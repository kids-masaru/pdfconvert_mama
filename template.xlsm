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700289\Downloads\"/>
    </mc:Choice>
  </mc:AlternateContent>
  <xr:revisionPtr revIDLastSave="0" documentId="13_ncr:1_{A81ECC45-ACE4-4C64-8DFF-C19D61EF365D}" xr6:coauthVersionLast="47" xr6:coauthVersionMax="47" xr10:uidLastSave="{00000000-0000-0000-0000-000000000000}"/>
  <bookViews>
    <workbookView xWindow="-108" yWindow="-108" windowWidth="23256" windowHeight="13896" firstSheet="4" activeTab="4" xr2:uid="{00000000-000D-0000-FFFF-FFFF00000000}"/>
  </bookViews>
  <sheets>
    <sheet name="注文弁当の抽出" sheetId="1" state="hidden" r:id="rId1"/>
    <sheet name="クライアント抽出" sheetId="2" state="hidden" r:id="rId2"/>
    <sheet name="貼り付け用" sheetId="3" state="hidden" r:id="rId3"/>
    <sheet name="数出表_Excel" sheetId="4" state="hidden" r:id="rId4"/>
    <sheet name="数出表_Excel（アレルギー入力）" sheetId="5" r:id="rId5"/>
    <sheet name="まとめ札" sheetId="6" state="hidden" r:id="rId6"/>
    <sheet name="先生札" sheetId="7" state="hidden" r:id="rId7"/>
    <sheet name="社食等の札" sheetId="8" state="hidden" r:id="rId8"/>
    <sheet name="盛付札（関数）" sheetId="9" state="hidden" r:id="rId9"/>
    <sheet name="札_まとめ（印刷用）" sheetId="10" r:id="rId10"/>
    <sheet name="変更先抽出【15時】" sheetId="11" state="hidden" r:id="rId11"/>
    <sheet name="まとめ札【15時】" sheetId="12" state="hidden" r:id="rId12"/>
    <sheet name="札_まとめ（印刷用）【15時】" sheetId="13" r:id="rId13"/>
    <sheet name="商品マスタ" sheetId="14" state="hidden" r:id="rId14"/>
    <sheet name="得意先マスタ" sheetId="15" state="hidden" r:id="rId15"/>
  </sheets>
  <definedNames>
    <definedName name="_xleta.AND" hidden="1" xlm="1">#NAME?</definedName>
    <definedName name="_xleta.COLUMN" hidden="1" xlm="1">#NAME?</definedName>
    <definedName name="_xleta.COUNTIF" hidden="1" xlm="1">#NAME?</definedName>
    <definedName name="_xleta.IF" hidden="1" xlm="1">#NAME?</definedName>
    <definedName name="_xleta.IFERROR" hidden="1" xlm="1">#NAME?</definedName>
    <definedName name="_xleta.INDIRECT" hidden="1" xlm="1">#NAME?</definedName>
    <definedName name="_xleta.ISNUMBER" hidden="1" xlm="1">#NAME?</definedName>
    <definedName name="_xleta.LEN" hidden="1" xlm="1">#NAME?</definedName>
    <definedName name="_xleta.MATCH" hidden="1" xlm="1">#NAME?</definedName>
    <definedName name="_xleta.N" hidden="1" xlm="1">#NAME?</definedName>
    <definedName name="_xleta.OR" hidden="1" xlm="1">#NAME?</definedName>
    <definedName name="_xleta.ROW" hidden="1" xlm="1">#NAME?</definedName>
    <definedName name="_xleta.SUBSTITUTE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VALUE" hidden="1" xlm="1">#NAME?</definedName>
    <definedName name="_xlpm.a" hidden="1" xlm="1">#NAME?</definedName>
    <definedName name="_xlpm.b" hidden="1" xlm="1">#NAME?</definedName>
    <definedName name="_xlpm.B_R" hidden="1" xlm="1">#NAME?</definedName>
    <definedName name="_xlpm.b_vals" hidden="1" xlm="1">#NAME?</definedName>
    <definedName name="_xlpm.baseCell" hidden="1" xlm="1">#NAME?</definedName>
    <definedName name="_xlpm.cellToCheck" hidden="1" xlm="1">#NAME?</definedName>
    <definedName name="_xlpm.checkRow" hidden="1" xlm="1">#NAME?</definedName>
    <definedName name="_xlpm.columnRange" hidden="1" xlm="1">#NAME?</definedName>
    <definedName name="_xlpm.currentA" hidden="1" xlm="1">#NAME?</definedName>
    <definedName name="_xlpm.H_R" hidden="1" xlm="1">#NAME?</definedName>
    <definedName name="_xlpm.hasCurry" hidden="1" xlm="1">#NAME?</definedName>
    <definedName name="_xlpm.hasHaizen" hidden="1" xlm="1">#NAME?</definedName>
    <definedName name="_xlpm.isZero" hidden="1" xlm="1">#NAME?</definedName>
    <definedName name="_xlpm.matchRow" hidden="1" xlm="1">#NAME?</definedName>
    <definedName name="_xlpm.max_pos" hidden="1" xlm="1">#NAME?</definedName>
    <definedName name="_xlpm.numValues" hidden="1" xlm="1">#NAME?</definedName>
    <definedName name="_xlpm.positions" hidden="1" xlm="1">#NAME?</definedName>
    <definedName name="_xlpm.q_vals" hidden="1" xlm="1">#NAME?</definedName>
    <definedName name="_xlpm.R" hidden="1" xlm="1">#NAME?</definedName>
    <definedName name="_xlpm.repeats" hidden="1" xlm="1">#NAME?</definedName>
    <definedName name="_xlpm.result" hidden="1" xlm="1">#NAME?</definedName>
    <definedName name="_xlpm.rowOffset" hidden="1" xlm="1">#NAME?</definedName>
    <definedName name="_xlpm.sequence" hidden="1" xlm="1">#NAME?</definedName>
    <definedName name="_xlpm.trueColum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101" i="11" l="1"/>
  <c r="S101" i="11"/>
  <c r="U101" i="11"/>
  <c r="V101" i="11"/>
  <c r="A1" i="11"/>
  <c r="Q3" i="12"/>
  <c r="Q4" i="12"/>
  <c r="Q5" i="12"/>
  <c r="Q6" i="12"/>
  <c r="Q7" i="12"/>
  <c r="Q8" i="12"/>
  <c r="Q2" i="12"/>
  <c r="P3" i="12"/>
  <c r="P4" i="12"/>
  <c r="P5" i="12"/>
  <c r="P6" i="12"/>
  <c r="P7" i="12"/>
  <c r="P8" i="12"/>
  <c r="P2" i="12"/>
  <c r="Z102" i="11"/>
  <c r="Z103" i="11"/>
  <c r="Z104" i="11"/>
  <c r="Z105" i="11"/>
  <c r="Z106" i="11"/>
  <c r="Z107" i="11"/>
  <c r="Z108" i="11"/>
  <c r="Z109" i="11"/>
  <c r="Z110" i="11"/>
  <c r="Z111" i="11"/>
  <c r="Z112" i="11"/>
  <c r="Z113" i="11"/>
  <c r="Z114" i="11"/>
  <c r="Z115" i="11"/>
  <c r="Z116" i="11"/>
  <c r="Z117" i="11"/>
  <c r="Z118" i="11"/>
  <c r="Z119" i="11"/>
  <c r="Z120" i="11"/>
  <c r="Z121" i="11"/>
  <c r="Z122" i="11"/>
  <c r="Z123" i="11"/>
  <c r="Z124" i="11"/>
  <c r="Z125" i="11"/>
  <c r="Z126" i="11"/>
  <c r="Z127" i="11"/>
  <c r="Z128" i="11"/>
  <c r="Z129" i="11"/>
  <c r="Z130" i="11"/>
  <c r="Z131" i="11"/>
  <c r="Z132" i="11"/>
  <c r="Z133" i="11"/>
  <c r="Z134" i="11"/>
  <c r="Z135" i="11"/>
  <c r="Z136" i="11"/>
  <c r="Z137" i="11"/>
  <c r="W255" i="9" a="1"/>
  <c r="W255" i="9" s="1"/>
  <c r="W256" i="9" a="1"/>
  <c r="W256" i="9" s="1"/>
  <c r="W257" i="9" a="1"/>
  <c r="W257" i="9" s="1"/>
  <c r="W258" i="9" a="1"/>
  <c r="W258" i="9" s="1"/>
  <c r="W259" i="9" a="1"/>
  <c r="W259" i="9" s="1"/>
  <c r="W260" i="9" a="1"/>
  <c r="W260" i="9" s="1"/>
  <c r="W261" i="9" a="1"/>
  <c r="W261" i="9" s="1"/>
  <c r="W262" i="9" a="1"/>
  <c r="W262" i="9" s="1"/>
  <c r="AA150" i="5"/>
  <c r="Y150" i="5"/>
  <c r="W150" i="5"/>
  <c r="U150" i="5"/>
  <c r="S150" i="5"/>
  <c r="M150" i="5"/>
  <c r="K150" i="5"/>
  <c r="G150" i="5"/>
  <c r="E150" i="5"/>
  <c r="C150" i="5"/>
  <c r="E8" i="12" l="1"/>
  <c r="A8" i="12"/>
  <c r="E7" i="12"/>
  <c r="A7" i="12"/>
  <c r="E6" i="12"/>
  <c r="A6" i="12"/>
  <c r="E5" i="12"/>
  <c r="A5" i="12"/>
  <c r="E4" i="12"/>
  <c r="A4" i="12"/>
  <c r="E3" i="12"/>
  <c r="A3" i="12"/>
  <c r="E2" i="12"/>
  <c r="A2" i="12"/>
  <c r="AA137" i="11"/>
  <c r="Y137" i="11"/>
  <c r="V137" i="11"/>
  <c r="U137" i="11"/>
  <c r="T137" i="11"/>
  <c r="R137" i="11" s="1"/>
  <c r="AC137" i="11" s="1"/>
  <c r="S137" i="11"/>
  <c r="Q137" i="11"/>
  <c r="AA136" i="11"/>
  <c r="V136" i="11"/>
  <c r="U136" i="11"/>
  <c r="T136" i="11"/>
  <c r="S136" i="11"/>
  <c r="Q136" i="11"/>
  <c r="Y136" i="11" s="1"/>
  <c r="V135" i="11"/>
  <c r="U135" i="11"/>
  <c r="S135" i="11"/>
  <c r="Q135" i="11"/>
  <c r="Y135" i="11" s="1"/>
  <c r="Y134" i="11"/>
  <c r="V134" i="11"/>
  <c r="U134" i="11"/>
  <c r="S134" i="11"/>
  <c r="Q134" i="11"/>
  <c r="AA134" i="11" s="1"/>
  <c r="Y133" i="11"/>
  <c r="V133" i="11"/>
  <c r="U133" i="11"/>
  <c r="S133" i="11"/>
  <c r="Q133" i="11"/>
  <c r="AA133" i="11" s="1"/>
  <c r="V132" i="11"/>
  <c r="U132" i="11"/>
  <c r="S132" i="11"/>
  <c r="Q132" i="11"/>
  <c r="AA132" i="11" s="1"/>
  <c r="V131" i="11"/>
  <c r="U131" i="11"/>
  <c r="S131" i="11"/>
  <c r="Q131" i="11"/>
  <c r="AA131" i="11" s="1"/>
  <c r="Y130" i="11"/>
  <c r="V130" i="11"/>
  <c r="U130" i="11"/>
  <c r="S130" i="11"/>
  <c r="Q130" i="11"/>
  <c r="AA130" i="11" s="1"/>
  <c r="AA129" i="11"/>
  <c r="Y129" i="11"/>
  <c r="V129" i="11"/>
  <c r="U129" i="11"/>
  <c r="S129" i="11"/>
  <c r="Q129" i="11"/>
  <c r="AA128" i="11"/>
  <c r="V128" i="11"/>
  <c r="U128" i="11"/>
  <c r="T128" i="11"/>
  <c r="S128" i="11"/>
  <c r="Q128" i="11"/>
  <c r="Y128" i="11" s="1"/>
  <c r="W127" i="11"/>
  <c r="V127" i="11"/>
  <c r="U127" i="11"/>
  <c r="T127" i="11"/>
  <c r="S127" i="11"/>
  <c r="R127" i="11"/>
  <c r="AC127" i="11" s="1"/>
  <c r="Q127" i="11"/>
  <c r="Y126" i="11"/>
  <c r="V126" i="11"/>
  <c r="U126" i="11"/>
  <c r="S126" i="11"/>
  <c r="Q126" i="11"/>
  <c r="AA126" i="11" s="1"/>
  <c r="Y125" i="11"/>
  <c r="V125" i="11"/>
  <c r="U125" i="11"/>
  <c r="S125" i="11"/>
  <c r="Q125" i="11"/>
  <c r="AA125" i="11" s="1"/>
  <c r="AA124" i="11"/>
  <c r="V124" i="11"/>
  <c r="U124" i="11"/>
  <c r="S124" i="11"/>
  <c r="Q124" i="11"/>
  <c r="Y124" i="11" s="1"/>
  <c r="V123" i="11"/>
  <c r="U123" i="11"/>
  <c r="S123" i="11"/>
  <c r="Q123" i="11"/>
  <c r="AA123" i="11" s="1"/>
  <c r="Y122" i="11"/>
  <c r="V122" i="11"/>
  <c r="U122" i="11"/>
  <c r="S122" i="11"/>
  <c r="Q122" i="11"/>
  <c r="AA122" i="11" s="1"/>
  <c r="AA121" i="11"/>
  <c r="Y121" i="11"/>
  <c r="V121" i="11"/>
  <c r="U121" i="11"/>
  <c r="S121" i="11"/>
  <c r="Q121" i="11"/>
  <c r="AA120" i="11"/>
  <c r="V120" i="11"/>
  <c r="U120" i="11"/>
  <c r="S120" i="11"/>
  <c r="Q120" i="11"/>
  <c r="Y120" i="11" s="1"/>
  <c r="AA119" i="11"/>
  <c r="W119" i="11"/>
  <c r="V119" i="11"/>
  <c r="U119" i="11"/>
  <c r="T119" i="11"/>
  <c r="S119" i="11"/>
  <c r="R119" i="11"/>
  <c r="AC119" i="11" s="1"/>
  <c r="Q119" i="11"/>
  <c r="Y119" i="11" s="1"/>
  <c r="AC118" i="11"/>
  <c r="Y118" i="11"/>
  <c r="W118" i="11"/>
  <c r="V118" i="11"/>
  <c r="U118" i="11"/>
  <c r="T118" i="11"/>
  <c r="R118" i="11" s="1"/>
  <c r="S118" i="11"/>
  <c r="Q118" i="11"/>
  <c r="AA118" i="11" s="1"/>
  <c r="Y117" i="11"/>
  <c r="V117" i="11"/>
  <c r="U117" i="11"/>
  <c r="S117" i="11"/>
  <c r="Q117" i="11"/>
  <c r="AA117" i="11" s="1"/>
  <c r="V116" i="11"/>
  <c r="U116" i="11"/>
  <c r="S116" i="11"/>
  <c r="Q116" i="11"/>
  <c r="Y116" i="11" s="1"/>
  <c r="V115" i="11"/>
  <c r="U115" i="11"/>
  <c r="S115" i="11"/>
  <c r="Q115" i="11"/>
  <c r="AA115" i="11" s="1"/>
  <c r="Y114" i="11"/>
  <c r="V114" i="11"/>
  <c r="U114" i="11"/>
  <c r="S114" i="11"/>
  <c r="Q114" i="11"/>
  <c r="AA114" i="11" s="1"/>
  <c r="AA113" i="11"/>
  <c r="Y113" i="11"/>
  <c r="V113" i="11"/>
  <c r="U113" i="11"/>
  <c r="S113" i="11"/>
  <c r="Q113" i="11"/>
  <c r="AA112" i="11"/>
  <c r="V112" i="11"/>
  <c r="U112" i="11"/>
  <c r="S112" i="11"/>
  <c r="Q112" i="11"/>
  <c r="Y112" i="11" s="1"/>
  <c r="AA111" i="11"/>
  <c r="V111" i="11"/>
  <c r="U111" i="11"/>
  <c r="S111" i="11"/>
  <c r="Q111" i="11"/>
  <c r="Y111" i="11" s="1"/>
  <c r="AC110" i="11"/>
  <c r="Y110" i="11"/>
  <c r="W110" i="11"/>
  <c r="V110" i="11"/>
  <c r="U110" i="11"/>
  <c r="T110" i="11"/>
  <c r="S110" i="11"/>
  <c r="R110" i="11"/>
  <c r="Q110" i="11"/>
  <c r="AA110" i="11" s="1"/>
  <c r="AC109" i="11"/>
  <c r="Y109" i="11"/>
  <c r="V109" i="11"/>
  <c r="U109" i="11"/>
  <c r="T109" i="11"/>
  <c r="S109" i="11"/>
  <c r="R109" i="11"/>
  <c r="W109" i="11" s="1"/>
  <c r="Q109" i="11"/>
  <c r="AA109" i="11" s="1"/>
  <c r="V108" i="11"/>
  <c r="U108" i="11"/>
  <c r="S108" i="11"/>
  <c r="Q108" i="11"/>
  <c r="Y108" i="11" s="1"/>
  <c r="V107" i="11"/>
  <c r="U107" i="11"/>
  <c r="S107" i="11"/>
  <c r="Q107" i="11"/>
  <c r="AA107" i="11" s="1"/>
  <c r="Y106" i="11"/>
  <c r="V106" i="11"/>
  <c r="U106" i="11"/>
  <c r="S106" i="11"/>
  <c r="Q106" i="11"/>
  <c r="AA106" i="11" s="1"/>
  <c r="Y105" i="11"/>
  <c r="V105" i="11"/>
  <c r="U105" i="11"/>
  <c r="S105" i="11"/>
  <c r="Q105" i="11"/>
  <c r="AA105" i="11" s="1"/>
  <c r="AA104" i="11"/>
  <c r="V104" i="11"/>
  <c r="U104" i="11"/>
  <c r="S104" i="11"/>
  <c r="Q104" i="11"/>
  <c r="Y104" i="11" s="1"/>
  <c r="AA103" i="11"/>
  <c r="V103" i="11"/>
  <c r="U103" i="11"/>
  <c r="S103" i="11"/>
  <c r="Q103" i="11"/>
  <c r="Y103" i="11" s="1"/>
  <c r="Y102" i="11"/>
  <c r="V102" i="11"/>
  <c r="U102" i="11"/>
  <c r="S102" i="11"/>
  <c r="Q102" i="11"/>
  <c r="AA102" i="11" s="1"/>
  <c r="L20" i="11" a="1"/>
  <c r="L20" i="11" s="1"/>
  <c r="L19" i="11" a="1"/>
  <c r="L19" i="11" s="1"/>
  <c r="O18" i="11"/>
  <c r="M18" i="11"/>
  <c r="L18" i="11" a="1"/>
  <c r="L18" i="11" s="1"/>
  <c r="O17" i="11"/>
  <c r="M17" i="11"/>
  <c r="L17" i="11" a="1"/>
  <c r="L17" i="11" s="1"/>
  <c r="O16" i="11"/>
  <c r="M16" i="11"/>
  <c r="L16" i="11" a="1"/>
  <c r="L16" i="11" s="1"/>
  <c r="D16" i="11" a="1"/>
  <c r="D16" i="11" s="1"/>
  <c r="O15" i="11"/>
  <c r="M15" i="11"/>
  <c r="L15" i="11"/>
  <c r="K15" i="11"/>
  <c r="I15" i="11"/>
  <c r="H15" i="11"/>
  <c r="G15" i="11"/>
  <c r="F15" i="11"/>
  <c r="E15" i="11"/>
  <c r="D15" i="11" a="1"/>
  <c r="D15" i="11" s="1"/>
  <c r="K14" i="11"/>
  <c r="A14" i="11"/>
  <c r="I14" i="11" s="1"/>
  <c r="M13" i="11"/>
  <c r="I13" i="11"/>
  <c r="G13" i="11"/>
  <c r="E13" i="11"/>
  <c r="A13" i="11"/>
  <c r="M12" i="11"/>
  <c r="L12" i="11"/>
  <c r="E12" i="11"/>
  <c r="A12" i="11"/>
  <c r="I12" i="11" s="1"/>
  <c r="I11" i="11"/>
  <c r="E11" i="11"/>
  <c r="D11" i="11" a="1"/>
  <c r="D11" i="11" s="1"/>
  <c r="A11" i="11"/>
  <c r="L10" i="11"/>
  <c r="K10" i="11"/>
  <c r="I10" i="11"/>
  <c r="G10" i="11"/>
  <c r="A10" i="11"/>
  <c r="E10" i="11" s="1"/>
  <c r="A9" i="11"/>
  <c r="M9" i="11" s="1"/>
  <c r="A8" i="11"/>
  <c r="A7" i="11"/>
  <c r="A6" i="11"/>
  <c r="A5" i="11"/>
  <c r="A4" i="11"/>
  <c r="A3" i="11"/>
  <c r="A2" i="11"/>
  <c r="A9" i="10"/>
  <c r="H1" i="10"/>
  <c r="AC270" i="9"/>
  <c r="Y270" i="9" a="1"/>
  <c r="Y270" i="9" s="1"/>
  <c r="AB266" i="9" a="1"/>
  <c r="AB266" i="9" s="1"/>
  <c r="I265" i="9"/>
  <c r="G265" i="9"/>
  <c r="F265" i="9"/>
  <c r="I264" i="9"/>
  <c r="G264" i="9"/>
  <c r="F264" i="9"/>
  <c r="I263" i="9"/>
  <c r="G263" i="9"/>
  <c r="F263" i="9"/>
  <c r="AB262" i="9" a="1"/>
  <c r="AB262" i="9" s="1"/>
  <c r="I262" i="9"/>
  <c r="G262" i="9"/>
  <c r="F262" i="9"/>
  <c r="AB261" i="9" a="1"/>
  <c r="AB261" i="9" s="1"/>
  <c r="I261" i="9"/>
  <c r="G261" i="9"/>
  <c r="F261" i="9"/>
  <c r="AB260" i="9" a="1"/>
  <c r="AB260" i="9" s="1"/>
  <c r="I260" i="9"/>
  <c r="G260" i="9"/>
  <c r="F260" i="9"/>
  <c r="AB259" i="9" a="1"/>
  <c r="AB259" i="9" s="1"/>
  <c r="I259" i="9"/>
  <c r="G259" i="9"/>
  <c r="F259" i="9"/>
  <c r="AB258" i="9" a="1"/>
  <c r="AB258" i="9" s="1"/>
  <c r="I258" i="9"/>
  <c r="G258" i="9"/>
  <c r="F258" i="9"/>
  <c r="AB257" i="9" a="1"/>
  <c r="AB257" i="9" s="1"/>
  <c r="I257" i="9"/>
  <c r="G257" i="9"/>
  <c r="F257" i="9"/>
  <c r="AB256" i="9" a="1"/>
  <c r="AB256" i="9" s="1"/>
  <c r="I256" i="9"/>
  <c r="G256" i="9"/>
  <c r="F256" i="9"/>
  <c r="AB255" i="9" a="1"/>
  <c r="AB255" i="9" s="1"/>
  <c r="I255" i="9"/>
  <c r="G255" i="9"/>
  <c r="F255" i="9"/>
  <c r="I254" i="9"/>
  <c r="G254" i="9"/>
  <c r="F254" i="9"/>
  <c r="I253" i="9"/>
  <c r="G253" i="9"/>
  <c r="F253" i="9"/>
  <c r="I252" i="9"/>
  <c r="G252" i="9"/>
  <c r="F252" i="9"/>
  <c r="I251" i="9"/>
  <c r="G251" i="9"/>
  <c r="F251" i="9"/>
  <c r="A219" i="9"/>
  <c r="H218" i="9"/>
  <c r="I217" i="9"/>
  <c r="Q216" i="9"/>
  <c r="P216" i="9" s="1"/>
  <c r="J216" i="9"/>
  <c r="I216" i="9"/>
  <c r="C216" i="9"/>
  <c r="P215" i="9"/>
  <c r="J215" i="9"/>
  <c r="I215" i="9"/>
  <c r="C215" i="9"/>
  <c r="Q215" i="9" s="1"/>
  <c r="P214" i="9"/>
  <c r="J214" i="9"/>
  <c r="C214" i="9"/>
  <c r="P213" i="9"/>
  <c r="H213" i="9"/>
  <c r="C213" i="9"/>
  <c r="P212" i="9"/>
  <c r="C212" i="9"/>
  <c r="P211" i="9"/>
  <c r="C211" i="9"/>
  <c r="C210" i="9"/>
  <c r="M210" i="9" s="1" a="1"/>
  <c r="M210" i="9" s="1"/>
  <c r="C209" i="9"/>
  <c r="C208" i="9"/>
  <c r="N208" i="9" s="1"/>
  <c r="C207" i="9"/>
  <c r="D207" i="9" s="1" a="1"/>
  <c r="D207" i="9" s="1"/>
  <c r="F207" i="9" s="1"/>
  <c r="G207" i="9" s="1"/>
  <c r="M206" i="9" a="1"/>
  <c r="M206" i="9" s="1"/>
  <c r="I206" i="9"/>
  <c r="D206" i="9" a="1"/>
  <c r="D206" i="9" s="1"/>
  <c r="F206" i="9" s="1"/>
  <c r="G206" i="9" s="1"/>
  <c r="C206" i="9"/>
  <c r="B206" i="9"/>
  <c r="C205" i="9"/>
  <c r="Q204" i="9"/>
  <c r="P204" i="9" s="1"/>
  <c r="H204" i="9"/>
  <c r="E204" i="9" s="1"/>
  <c r="C204" i="9"/>
  <c r="N204" i="9" s="1"/>
  <c r="M203" i="9" a="1"/>
  <c r="M203" i="9" s="1"/>
  <c r="H203" i="9"/>
  <c r="E203" i="9" s="1"/>
  <c r="C203" i="9"/>
  <c r="J202" i="9"/>
  <c r="I202" i="9"/>
  <c r="D202" i="9" a="1"/>
  <c r="D202" i="9" s="1"/>
  <c r="F202" i="9" s="1"/>
  <c r="G202" i="9" s="1"/>
  <c r="C202" i="9"/>
  <c r="N202" i="9" s="1"/>
  <c r="B202" i="9"/>
  <c r="J201" i="9"/>
  <c r="C201" i="9"/>
  <c r="J200" i="9"/>
  <c r="H200" i="9"/>
  <c r="E200" i="9" s="1"/>
  <c r="C200" i="9"/>
  <c r="N200" i="9" s="1"/>
  <c r="M199" i="9" a="1"/>
  <c r="M199" i="9" s="1"/>
  <c r="H199" i="9"/>
  <c r="E199" i="9" s="1"/>
  <c r="C199" i="9"/>
  <c r="C198" i="9"/>
  <c r="J197" i="9"/>
  <c r="H197" i="9"/>
  <c r="E197" i="9" s="1"/>
  <c r="C197" i="9"/>
  <c r="N197" i="9" s="1"/>
  <c r="C196" i="9"/>
  <c r="N196" i="9" s="1"/>
  <c r="C195" i="9"/>
  <c r="Q195" i="9" s="1"/>
  <c r="P195" i="9" s="1"/>
  <c r="Q194" i="9"/>
  <c r="P194" i="9" s="1"/>
  <c r="J194" i="9"/>
  <c r="C194" i="9"/>
  <c r="N194" i="9" s="1"/>
  <c r="C193" i="9"/>
  <c r="N193" i="9" s="1"/>
  <c r="M192" i="9" a="1"/>
  <c r="M192" i="9" s="1"/>
  <c r="H192" i="9"/>
  <c r="E192" i="9" s="1"/>
  <c r="C192" i="9"/>
  <c r="J191" i="9"/>
  <c r="C191" i="9"/>
  <c r="N191" i="9" s="1"/>
  <c r="C190" i="9"/>
  <c r="N190" i="9" s="1"/>
  <c r="J189" i="9"/>
  <c r="C189" i="9"/>
  <c r="N189" i="9" s="1"/>
  <c r="Q188" i="9"/>
  <c r="P188" i="9" s="1"/>
  <c r="M188" i="9" a="1"/>
  <c r="M188" i="9" s="1"/>
  <c r="D188" i="9" a="1"/>
  <c r="D188" i="9" s="1"/>
  <c r="F188" i="9" s="1"/>
  <c r="G188" i="9" s="1"/>
  <c r="C188" i="9"/>
  <c r="C187" i="9"/>
  <c r="C186" i="9"/>
  <c r="N186" i="9" s="1"/>
  <c r="C185" i="9"/>
  <c r="N185" i="9" s="1"/>
  <c r="C184" i="9"/>
  <c r="N184" i="9" s="1"/>
  <c r="Q183" i="9"/>
  <c r="P183" i="9" s="1"/>
  <c r="M183" i="9" a="1"/>
  <c r="M183" i="9" s="1"/>
  <c r="C183" i="9"/>
  <c r="H182" i="9"/>
  <c r="E182" i="9" s="1"/>
  <c r="D182" i="9" a="1"/>
  <c r="D182" i="9" s="1"/>
  <c r="F182" i="9" s="1"/>
  <c r="G182" i="9" s="1"/>
  <c r="C182" i="9"/>
  <c r="N182" i="9" s="1"/>
  <c r="C181" i="9"/>
  <c r="C180" i="9"/>
  <c r="B180" i="9"/>
  <c r="Q179" i="9"/>
  <c r="P179" i="9" s="1"/>
  <c r="M179" i="9" a="1"/>
  <c r="M179" i="9" s="1"/>
  <c r="J179" i="9"/>
  <c r="H179" i="9"/>
  <c r="E179" i="9" s="1"/>
  <c r="C179" i="9"/>
  <c r="N179" i="9" s="1"/>
  <c r="C178" i="9"/>
  <c r="N178" i="9" s="1"/>
  <c r="Q177" i="9"/>
  <c r="P177" i="9" s="1"/>
  <c r="M177" i="9" a="1"/>
  <c r="M177" i="9" s="1"/>
  <c r="J177" i="9"/>
  <c r="I177" i="9"/>
  <c r="H177" i="9"/>
  <c r="E177" i="9" s="1"/>
  <c r="D177" i="9" a="1"/>
  <c r="D177" i="9" s="1"/>
  <c r="F177" i="9" s="1"/>
  <c r="G177" i="9" s="1"/>
  <c r="C177" i="9"/>
  <c r="N177" i="9" s="1"/>
  <c r="B177" i="9"/>
  <c r="M176" i="9" a="1"/>
  <c r="M176" i="9" s="1"/>
  <c r="I176" i="9"/>
  <c r="C176" i="9"/>
  <c r="N176" i="9" s="1"/>
  <c r="C175" i="9"/>
  <c r="H174" i="9"/>
  <c r="E174" i="9" s="1"/>
  <c r="D174" i="9" a="1"/>
  <c r="D174" i="9" s="1"/>
  <c r="F174" i="9" s="1"/>
  <c r="G174" i="9" s="1"/>
  <c r="C174" i="9"/>
  <c r="N174" i="9" s="1"/>
  <c r="C173" i="9"/>
  <c r="C172" i="9"/>
  <c r="N172" i="9" s="1"/>
  <c r="B172" i="9"/>
  <c r="M171" i="9" a="1"/>
  <c r="M171" i="9" s="1"/>
  <c r="C171" i="9"/>
  <c r="N171" i="9" s="1"/>
  <c r="C170" i="9"/>
  <c r="I169" i="9"/>
  <c r="H169" i="9"/>
  <c r="E169" i="9" s="1"/>
  <c r="C169" i="9"/>
  <c r="N169" i="9" s="1"/>
  <c r="Q168" i="9"/>
  <c r="P168" i="9" s="1"/>
  <c r="I168" i="9"/>
  <c r="C168" i="9"/>
  <c r="C167" i="9"/>
  <c r="N167" i="9" s="1"/>
  <c r="D166" i="9" a="1"/>
  <c r="D166" i="9" s="1"/>
  <c r="F166" i="9" s="1"/>
  <c r="G166" i="9" s="1"/>
  <c r="C166" i="9"/>
  <c r="N166" i="9" s="1"/>
  <c r="C165" i="9"/>
  <c r="N165" i="9" s="1"/>
  <c r="M164" i="9" a="1"/>
  <c r="M164" i="9" s="1"/>
  <c r="C164" i="9"/>
  <c r="B164" i="9"/>
  <c r="Q163" i="9"/>
  <c r="P163" i="9" s="1"/>
  <c r="C163" i="9"/>
  <c r="C162" i="9"/>
  <c r="C161" i="9"/>
  <c r="M161" i="9" s="1" a="1"/>
  <c r="M161" i="9" s="1"/>
  <c r="C160" i="9"/>
  <c r="D160" i="9" s="1" a="1"/>
  <c r="D160" i="9" s="1"/>
  <c r="F160" i="9" s="1"/>
  <c r="G160" i="9" s="1"/>
  <c r="B160" i="9"/>
  <c r="C159" i="9"/>
  <c r="C158" i="9"/>
  <c r="C157" i="9"/>
  <c r="H157" i="9" s="1"/>
  <c r="E157" i="9" s="1"/>
  <c r="B157" i="9"/>
  <c r="M156" i="9" a="1"/>
  <c r="M156" i="9" s="1"/>
  <c r="C156" i="9"/>
  <c r="B156" i="9"/>
  <c r="J155" i="9"/>
  <c r="I155" i="9"/>
  <c r="C155" i="9"/>
  <c r="N155" i="9" s="1"/>
  <c r="C154" i="9"/>
  <c r="N154" i="9" s="1"/>
  <c r="C153" i="9"/>
  <c r="H153" i="9" s="1"/>
  <c r="E153" i="9" s="1"/>
  <c r="C152" i="9"/>
  <c r="B152" i="9"/>
  <c r="Q151" i="9"/>
  <c r="P151" i="9" s="1"/>
  <c r="J151" i="9"/>
  <c r="I151" i="9"/>
  <c r="C151" i="9"/>
  <c r="B151" i="9"/>
  <c r="C150" i="9"/>
  <c r="Q150" i="9" s="1"/>
  <c r="P150" i="9" s="1"/>
  <c r="Q149" i="9"/>
  <c r="P149" i="9" s="1"/>
  <c r="I149" i="9"/>
  <c r="C149" i="9"/>
  <c r="B149" i="9"/>
  <c r="M148" i="9" a="1"/>
  <c r="M148" i="9" s="1"/>
  <c r="I148" i="9"/>
  <c r="C148" i="9"/>
  <c r="B148" i="9" s="1"/>
  <c r="Q147" i="9"/>
  <c r="P147" i="9" s="1"/>
  <c r="J147" i="9"/>
  <c r="I147" i="9"/>
  <c r="D147" i="9" a="1"/>
  <c r="D147" i="9" s="1"/>
  <c r="F147" i="9" s="1"/>
  <c r="G147" i="9" s="1"/>
  <c r="C147" i="9"/>
  <c r="B147" i="9" s="1"/>
  <c r="H146" i="9"/>
  <c r="E146" i="9" s="1"/>
  <c r="C146" i="9"/>
  <c r="C145" i="9"/>
  <c r="N145" i="9" s="1"/>
  <c r="M144" i="9" a="1"/>
  <c r="M144" i="9" s="1"/>
  <c r="C144" i="9"/>
  <c r="C143" i="9"/>
  <c r="N143" i="9" s="1"/>
  <c r="C142" i="9"/>
  <c r="A142" i="9"/>
  <c r="A143" i="9" s="1"/>
  <c r="A144" i="9" s="1"/>
  <c r="A145" i="9" s="1"/>
  <c r="A146" i="9" s="1"/>
  <c r="A147" i="9" s="1"/>
  <c r="A148" i="9" s="1"/>
  <c r="A149" i="9" s="1"/>
  <c r="A150" i="9" s="1"/>
  <c r="A151" i="9" s="1"/>
  <c r="A152" i="9" s="1"/>
  <c r="A153" i="9" s="1"/>
  <c r="A154" i="9" s="1"/>
  <c r="A155" i="9" s="1"/>
  <c r="A156" i="9" s="1"/>
  <c r="A157" i="9" s="1"/>
  <c r="A158" i="9" s="1"/>
  <c r="A159" i="9" s="1"/>
  <c r="A160" i="9" s="1"/>
  <c r="A161" i="9" s="1"/>
  <c r="A162" i="9" s="1"/>
  <c r="A163" i="9" s="1"/>
  <c r="A164" i="9" s="1"/>
  <c r="A165" i="9" s="1"/>
  <c r="A166" i="9" s="1"/>
  <c r="A167" i="9" s="1"/>
  <c r="A168" i="9" s="1"/>
  <c r="A169" i="9" s="1"/>
  <c r="A170" i="9" s="1"/>
  <c r="A171" i="9" s="1"/>
  <c r="A172" i="9" s="1"/>
  <c r="A173" i="9" s="1"/>
  <c r="A174" i="9" s="1"/>
  <c r="A175" i="9" s="1"/>
  <c r="A176" i="9" s="1"/>
  <c r="A177" i="9" s="1"/>
  <c r="A178" i="9" s="1"/>
  <c r="A179" i="9" s="1"/>
  <c r="A180" i="9" s="1"/>
  <c r="A181" i="9" s="1"/>
  <c r="A182" i="9" s="1"/>
  <c r="A183" i="9" s="1"/>
  <c r="A184" i="9" s="1"/>
  <c r="A185" i="9" s="1"/>
  <c r="A186" i="9" s="1"/>
  <c r="A187" i="9" s="1"/>
  <c r="A188" i="9" s="1"/>
  <c r="A189" i="9" s="1"/>
  <c r="A190" i="9" s="1"/>
  <c r="A191" i="9" s="1"/>
  <c r="A192" i="9" s="1"/>
  <c r="A193" i="9" s="1"/>
  <c r="A194" i="9" s="1"/>
  <c r="A195" i="9" s="1"/>
  <c r="A196" i="9" s="1"/>
  <c r="A197" i="9" s="1"/>
  <c r="A198" i="9" s="1"/>
  <c r="A199" i="9" s="1"/>
  <c r="A200" i="9" s="1"/>
  <c r="A201" i="9" s="1"/>
  <c r="A202" i="9" s="1"/>
  <c r="A203" i="9" s="1"/>
  <c r="A204" i="9" s="1"/>
  <c r="A205" i="9" s="1"/>
  <c r="A206" i="9" s="1"/>
  <c r="A207" i="9" s="1"/>
  <c r="A208" i="9" s="1"/>
  <c r="A209" i="9" s="1"/>
  <c r="A210" i="9" s="1"/>
  <c r="M141" i="9" a="1"/>
  <c r="M141" i="9" s="1"/>
  <c r="H141" i="9"/>
  <c r="E141" i="9" s="1"/>
  <c r="C141" i="9"/>
  <c r="N141" i="9" s="1"/>
  <c r="C140" i="9"/>
  <c r="Q139" i="9"/>
  <c r="P139" i="9" s="1"/>
  <c r="J139" i="9"/>
  <c r="C139" i="9"/>
  <c r="C138" i="9"/>
  <c r="N138" i="9" s="1"/>
  <c r="H137" i="9"/>
  <c r="E137" i="9" s="1"/>
  <c r="D137" i="9" a="1"/>
  <c r="D137" i="9" s="1"/>
  <c r="F137" i="9" s="1"/>
  <c r="G137" i="9" s="1"/>
  <c r="C137" i="9"/>
  <c r="B137" i="9" s="1"/>
  <c r="C136" i="9"/>
  <c r="N136" i="9" s="1"/>
  <c r="C135" i="9"/>
  <c r="H134" i="9"/>
  <c r="E134" i="9" s="1"/>
  <c r="C134" i="9"/>
  <c r="B134" i="9" s="1"/>
  <c r="H133" i="9"/>
  <c r="E133" i="9" s="1"/>
  <c r="D133" i="9" a="1"/>
  <c r="D133" i="9" s="1"/>
  <c r="F133" i="9" s="1"/>
  <c r="G133" i="9" s="1"/>
  <c r="C133" i="9"/>
  <c r="B133" i="9" s="1"/>
  <c r="C132" i="9"/>
  <c r="C131" i="9"/>
  <c r="D130" i="9" a="1"/>
  <c r="D130" i="9" s="1"/>
  <c r="F130" i="9" s="1"/>
  <c r="G130" i="9" s="1"/>
  <c r="C130" i="9"/>
  <c r="N130" i="9" s="1"/>
  <c r="B130" i="9"/>
  <c r="H129" i="9"/>
  <c r="E129" i="9" s="1"/>
  <c r="D129" i="9" a="1"/>
  <c r="D129" i="9" s="1"/>
  <c r="F129" i="9" s="1"/>
  <c r="G129" i="9" s="1"/>
  <c r="C129" i="9"/>
  <c r="B129" i="9" s="1"/>
  <c r="J128" i="9"/>
  <c r="H128" i="9"/>
  <c r="E128" i="9" s="1"/>
  <c r="C128" i="9"/>
  <c r="C127" i="9"/>
  <c r="J127" i="9" s="1"/>
  <c r="C126" i="9"/>
  <c r="N126" i="9" s="1"/>
  <c r="Q125" i="9"/>
  <c r="P125" i="9" s="1"/>
  <c r="M125" i="9" a="1"/>
  <c r="M125" i="9" s="1"/>
  <c r="H125" i="9"/>
  <c r="E125" i="9" s="1"/>
  <c r="C125" i="9"/>
  <c r="B125" i="9"/>
  <c r="C124" i="9"/>
  <c r="C123" i="9"/>
  <c r="N123" i="9" s="1"/>
  <c r="H122" i="9"/>
  <c r="E122" i="9" s="1"/>
  <c r="C122" i="9"/>
  <c r="H121" i="9"/>
  <c r="E121" i="9" s="1"/>
  <c r="C121" i="9"/>
  <c r="C120" i="9"/>
  <c r="H120" i="9" s="1"/>
  <c r="E120" i="9" s="1"/>
  <c r="C119" i="9"/>
  <c r="N119" i="9" s="1"/>
  <c r="C118" i="9"/>
  <c r="D118" i="9" s="1" a="1"/>
  <c r="D118" i="9" s="1"/>
  <c r="F118" i="9" s="1"/>
  <c r="G118" i="9" s="1"/>
  <c r="B118" i="9"/>
  <c r="Q117" i="9"/>
  <c r="P117" i="9" s="1"/>
  <c r="J117" i="9"/>
  <c r="H117" i="9"/>
  <c r="E117" i="9" s="1"/>
  <c r="D117" i="9" a="1"/>
  <c r="D117" i="9" s="1"/>
  <c r="F117" i="9" s="1"/>
  <c r="G117" i="9" s="1"/>
  <c r="C117" i="9"/>
  <c r="C116" i="9"/>
  <c r="M116" i="9" s="1" a="1"/>
  <c r="M116" i="9" s="1"/>
  <c r="C115" i="9"/>
  <c r="N115" i="9" s="1"/>
  <c r="C114" i="9"/>
  <c r="Q114" i="9" s="1"/>
  <c r="P114" i="9" s="1"/>
  <c r="M113" i="9" a="1"/>
  <c r="M113" i="9" s="1"/>
  <c r="H113" i="9"/>
  <c r="E113" i="9" s="1"/>
  <c r="D113" i="9" a="1"/>
  <c r="D113" i="9" s="1"/>
  <c r="F113" i="9" s="1"/>
  <c r="G113" i="9" s="1"/>
  <c r="C113" i="9"/>
  <c r="M112" i="9" a="1"/>
  <c r="M112" i="9" s="1"/>
  <c r="J112" i="9"/>
  <c r="C112" i="9"/>
  <c r="B112" i="9" s="1"/>
  <c r="C111" i="9"/>
  <c r="N111" i="9" s="1"/>
  <c r="Q110" i="9"/>
  <c r="P110" i="9" s="1"/>
  <c r="H110" i="9"/>
  <c r="E110" i="9"/>
  <c r="D110" i="9" a="1"/>
  <c r="D110" i="9" s="1"/>
  <c r="F110" i="9" s="1"/>
  <c r="G110" i="9" s="1"/>
  <c r="C110" i="9"/>
  <c r="B110" i="9" s="1"/>
  <c r="C108" i="9"/>
  <c r="B108" i="9" s="1"/>
  <c r="C107" i="9"/>
  <c r="N107" i="9" s="1"/>
  <c r="B107" i="9"/>
  <c r="H106" i="9"/>
  <c r="E106" i="9"/>
  <c r="C106" i="9"/>
  <c r="B106" i="9" s="1"/>
  <c r="C105" i="9"/>
  <c r="H105" i="9" s="1"/>
  <c r="E105" i="9" s="1"/>
  <c r="C104" i="9"/>
  <c r="M104" i="9" s="1" a="1"/>
  <c r="M104" i="9" s="1"/>
  <c r="C103" i="9"/>
  <c r="N103" i="9" s="1"/>
  <c r="D102" i="9" a="1"/>
  <c r="D102" i="9" s="1"/>
  <c r="F102" i="9" s="1"/>
  <c r="G102" i="9" s="1"/>
  <c r="C102" i="9"/>
  <c r="B102" i="9" s="1"/>
  <c r="C101" i="9"/>
  <c r="J101" i="9" s="1"/>
  <c r="M100" i="9" a="1"/>
  <c r="M100" i="9" s="1"/>
  <c r="C100" i="9"/>
  <c r="C99" i="9"/>
  <c r="N99" i="9" s="1"/>
  <c r="D98" i="9" a="1"/>
  <c r="D98" i="9" s="1"/>
  <c r="F98" i="9" s="1"/>
  <c r="G98" i="9" s="1"/>
  <c r="C98" i="9"/>
  <c r="B98" i="9" s="1"/>
  <c r="M97" i="9" a="1"/>
  <c r="M97" i="9" s="1"/>
  <c r="H97" i="9"/>
  <c r="E97" i="9" s="1"/>
  <c r="C97" i="9"/>
  <c r="Q96" i="9"/>
  <c r="P96" i="9" s="1"/>
  <c r="M96" i="9" a="1"/>
  <c r="M96" i="9" s="1"/>
  <c r="J96" i="9"/>
  <c r="C96" i="9"/>
  <c r="B96" i="9" s="1"/>
  <c r="C95" i="9"/>
  <c r="N95" i="9" s="1"/>
  <c r="J94" i="9"/>
  <c r="H94" i="9"/>
  <c r="E94" i="9" s="1"/>
  <c r="D94" i="9" a="1"/>
  <c r="D94" i="9" s="1"/>
  <c r="F94" i="9" s="1"/>
  <c r="G94" i="9" s="1"/>
  <c r="C94" i="9"/>
  <c r="Q94" i="9" s="1"/>
  <c r="P94" i="9" s="1"/>
  <c r="B94" i="9"/>
  <c r="H93" i="9"/>
  <c r="E93" i="9" s="1"/>
  <c r="D93" i="9" a="1"/>
  <c r="D93" i="9" s="1"/>
  <c r="F93" i="9" s="1"/>
  <c r="G93" i="9" s="1"/>
  <c r="C93" i="9"/>
  <c r="Q93" i="9" s="1"/>
  <c r="P93" i="9" s="1"/>
  <c r="Q92" i="9"/>
  <c r="P92" i="9" s="1"/>
  <c r="M92" i="9" a="1"/>
  <c r="M92" i="9" s="1"/>
  <c r="J92" i="9"/>
  <c r="C92" i="9"/>
  <c r="C91" i="9"/>
  <c r="N91" i="9" s="1"/>
  <c r="Q90" i="9"/>
  <c r="P90" i="9" s="1"/>
  <c r="J90" i="9"/>
  <c r="C90" i="9"/>
  <c r="B90" i="9" s="1"/>
  <c r="H89" i="9"/>
  <c r="E89" i="9" s="1"/>
  <c r="D89" i="9" a="1"/>
  <c r="D89" i="9" s="1"/>
  <c r="F89" i="9" s="1"/>
  <c r="G89" i="9" s="1"/>
  <c r="C89" i="9"/>
  <c r="M89" i="9" s="1" a="1"/>
  <c r="M89" i="9" s="1"/>
  <c r="Q88" i="9"/>
  <c r="P88" i="9" s="1"/>
  <c r="M88" i="9" a="1"/>
  <c r="M88" i="9" s="1"/>
  <c r="J88" i="9"/>
  <c r="C88" i="9"/>
  <c r="B88" i="9"/>
  <c r="C87" i="9"/>
  <c r="N87" i="9" s="1"/>
  <c r="C86" i="9"/>
  <c r="D86" i="9" s="1" a="1"/>
  <c r="D86" i="9" s="1"/>
  <c r="F86" i="9" s="1"/>
  <c r="G86" i="9" s="1"/>
  <c r="B86" i="9"/>
  <c r="Q85" i="9"/>
  <c r="P85" i="9" s="1"/>
  <c r="J85" i="9"/>
  <c r="H85" i="9"/>
  <c r="E85" i="9" s="1"/>
  <c r="D85" i="9" a="1"/>
  <c r="D85" i="9" s="1"/>
  <c r="F85" i="9" s="1"/>
  <c r="G85" i="9" s="1"/>
  <c r="C85" i="9"/>
  <c r="M84" i="9" a="1"/>
  <c r="M84" i="9" s="1"/>
  <c r="J84" i="9"/>
  <c r="C84" i="9"/>
  <c r="Q84" i="9" s="1"/>
  <c r="P84" i="9" s="1"/>
  <c r="C83" i="9"/>
  <c r="N83" i="9" s="1"/>
  <c r="C82" i="9"/>
  <c r="Q82" i="9" s="1"/>
  <c r="P82" i="9" s="1"/>
  <c r="M81" i="9" a="1"/>
  <c r="M81" i="9" s="1"/>
  <c r="H81" i="9"/>
  <c r="E81" i="9" s="1"/>
  <c r="D81" i="9" a="1"/>
  <c r="D81" i="9" s="1"/>
  <c r="F81" i="9" s="1"/>
  <c r="G81" i="9" s="1"/>
  <c r="C81" i="9"/>
  <c r="M80" i="9" a="1"/>
  <c r="M80" i="9" s="1"/>
  <c r="J80" i="9"/>
  <c r="C80" i="9"/>
  <c r="B80" i="9" s="1"/>
  <c r="C79" i="9"/>
  <c r="N79" i="9" s="1"/>
  <c r="Q78" i="9"/>
  <c r="P78" i="9" s="1"/>
  <c r="H78" i="9"/>
  <c r="E78" i="9"/>
  <c r="D78" i="9" a="1"/>
  <c r="D78" i="9" s="1"/>
  <c r="F78" i="9" s="1"/>
  <c r="G78" i="9" s="1"/>
  <c r="C78" i="9"/>
  <c r="B78" i="9" s="1"/>
  <c r="C77" i="9"/>
  <c r="Q77" i="9" s="1"/>
  <c r="P77" i="9" s="1"/>
  <c r="A77" i="9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107" i="9" s="1"/>
  <c r="A108" i="9" s="1"/>
  <c r="A109" i="9" s="1"/>
  <c r="A110" i="9" s="1"/>
  <c r="A111" i="9" s="1"/>
  <c r="A112" i="9" s="1"/>
  <c r="A113" i="9" s="1"/>
  <c r="A114" i="9" s="1"/>
  <c r="A115" i="9" s="1"/>
  <c r="A116" i="9" s="1"/>
  <c r="A117" i="9" s="1"/>
  <c r="A118" i="9" s="1"/>
  <c r="A119" i="9" s="1"/>
  <c r="A120" i="9" s="1"/>
  <c r="A121" i="9" s="1"/>
  <c r="A122" i="9" s="1"/>
  <c r="A123" i="9" s="1"/>
  <c r="A124" i="9" s="1"/>
  <c r="A125" i="9" s="1"/>
  <c r="A126" i="9" s="1"/>
  <c r="A127" i="9" s="1"/>
  <c r="A128" i="9" s="1"/>
  <c r="A129" i="9" s="1"/>
  <c r="A130" i="9" s="1"/>
  <c r="A131" i="9" s="1"/>
  <c r="A132" i="9" s="1"/>
  <c r="A133" i="9" s="1"/>
  <c r="A134" i="9" s="1"/>
  <c r="A135" i="9" s="1"/>
  <c r="A136" i="9" s="1"/>
  <c r="A137" i="9" s="1"/>
  <c r="A138" i="9" s="1"/>
  <c r="A139" i="9" s="1"/>
  <c r="A140" i="9" s="1"/>
  <c r="Q76" i="9"/>
  <c r="P76" i="9" s="1"/>
  <c r="M76" i="9" a="1"/>
  <c r="M76" i="9" s="1"/>
  <c r="J76" i="9"/>
  <c r="C76" i="9"/>
  <c r="C75" i="9"/>
  <c r="N75" i="9" s="1"/>
  <c r="B75" i="9"/>
  <c r="AC74" i="9"/>
  <c r="Q74" i="9"/>
  <c r="P74" i="9" s="1"/>
  <c r="M74" i="9" a="1"/>
  <c r="M74" i="9" s="1"/>
  <c r="J74" i="9"/>
  <c r="C74" i="9"/>
  <c r="B74" i="9"/>
  <c r="C73" i="9"/>
  <c r="N73" i="9" s="1"/>
  <c r="A73" i="9"/>
  <c r="A74" i="9" s="1"/>
  <c r="A75" i="9" s="1"/>
  <c r="A76" i="9" s="1"/>
  <c r="C72" i="9"/>
  <c r="M72" i="9" s="1" a="1"/>
  <c r="M72" i="9" s="1"/>
  <c r="B72" i="9"/>
  <c r="A72" i="9"/>
  <c r="C71" i="9"/>
  <c r="H71" i="9" s="1"/>
  <c r="E71" i="9" s="1"/>
  <c r="C70" i="9"/>
  <c r="Q70" i="9" s="1"/>
  <c r="P70" i="9" s="1"/>
  <c r="C69" i="9"/>
  <c r="M68" i="9" a="1"/>
  <c r="M68" i="9" s="1"/>
  <c r="H68" i="9"/>
  <c r="E68" i="9" s="1"/>
  <c r="D68" i="9" a="1"/>
  <c r="D68" i="9" s="1"/>
  <c r="F68" i="9" s="1"/>
  <c r="G68" i="9" s="1"/>
  <c r="C68" i="9"/>
  <c r="B68" i="9"/>
  <c r="Q67" i="9"/>
  <c r="P67" i="9" s="1"/>
  <c r="M67" i="9" a="1"/>
  <c r="M67" i="9" s="1"/>
  <c r="J67" i="9"/>
  <c r="C67" i="9"/>
  <c r="N67" i="9" s="1"/>
  <c r="B67" i="9"/>
  <c r="C66" i="9"/>
  <c r="N66" i="9" s="1"/>
  <c r="C65" i="9"/>
  <c r="N65" i="9" s="1"/>
  <c r="C64" i="9"/>
  <c r="C63" i="9"/>
  <c r="C62" i="9"/>
  <c r="J62" i="9" s="1"/>
  <c r="C61" i="9"/>
  <c r="B61" i="9" s="1"/>
  <c r="H60" i="9"/>
  <c r="E60" i="9" s="1"/>
  <c r="C60" i="9"/>
  <c r="B60" i="9"/>
  <c r="H59" i="9"/>
  <c r="E59" i="9" s="1"/>
  <c r="C59" i="9"/>
  <c r="B59" i="9"/>
  <c r="C58" i="9"/>
  <c r="H57" i="9"/>
  <c r="E57" i="9" s="1"/>
  <c r="C57" i="9"/>
  <c r="B57" i="9"/>
  <c r="H56" i="9"/>
  <c r="E56" i="9" s="1"/>
  <c r="C56" i="9"/>
  <c r="B56" i="9" s="1"/>
  <c r="C55" i="9"/>
  <c r="C54" i="9"/>
  <c r="B54" i="9" s="1"/>
  <c r="C53" i="9"/>
  <c r="J53" i="9" s="1"/>
  <c r="H52" i="9"/>
  <c r="E52" i="9" s="1"/>
  <c r="C52" i="9"/>
  <c r="B52" i="9" s="1"/>
  <c r="C51" i="9"/>
  <c r="H51" i="9" s="1"/>
  <c r="E51" i="9" s="1"/>
  <c r="L50" i="9"/>
  <c r="I50" i="9" a="1"/>
  <c r="I50" i="9" s="1"/>
  <c r="H50" i="9"/>
  <c r="E50" i="9" s="1"/>
  <c r="C50" i="9"/>
  <c r="N50" i="9" s="1"/>
  <c r="C49" i="9"/>
  <c r="B49" i="9" s="1"/>
  <c r="C48" i="9"/>
  <c r="B48" i="9" s="1"/>
  <c r="C47" i="9"/>
  <c r="C46" i="9"/>
  <c r="C45" i="9"/>
  <c r="B45" i="9" s="1"/>
  <c r="C44" i="9"/>
  <c r="H44" i="9" s="1"/>
  <c r="E44" i="9" s="1"/>
  <c r="B44" i="9"/>
  <c r="C43" i="9"/>
  <c r="H43" i="9" s="1"/>
  <c r="E43" i="9" s="1"/>
  <c r="H42" i="9"/>
  <c r="E42" i="9" s="1"/>
  <c r="C42" i="9"/>
  <c r="H41" i="9"/>
  <c r="E41" i="9"/>
  <c r="C41" i="9"/>
  <c r="B41" i="9"/>
  <c r="C40" i="9"/>
  <c r="H40" i="9" s="1"/>
  <c r="E40" i="9" s="1"/>
  <c r="C39" i="9"/>
  <c r="B39" i="9" s="1"/>
  <c r="C38" i="9"/>
  <c r="H38" i="9" s="1"/>
  <c r="E38" i="9" s="1"/>
  <c r="C37" i="9"/>
  <c r="B37" i="9" s="1"/>
  <c r="C36" i="9"/>
  <c r="H36" i="9" s="1"/>
  <c r="E36" i="9" s="1"/>
  <c r="B36" i="9"/>
  <c r="C35" i="9"/>
  <c r="B35" i="9" s="1"/>
  <c r="C34" i="9"/>
  <c r="B34" i="9"/>
  <c r="H33" i="9"/>
  <c r="E33" i="9" s="1"/>
  <c r="C33" i="9"/>
  <c r="B33" i="9"/>
  <c r="C32" i="9"/>
  <c r="B32" i="9" s="1"/>
  <c r="C31" i="9"/>
  <c r="B31" i="9" s="1"/>
  <c r="C30" i="9"/>
  <c r="C29" i="9"/>
  <c r="B29" i="9" s="1"/>
  <c r="C28" i="9"/>
  <c r="H28" i="9" s="1"/>
  <c r="E28" i="9" s="1"/>
  <c r="B28" i="9"/>
  <c r="C27" i="9"/>
  <c r="B27" i="9" s="1"/>
  <c r="C26" i="9"/>
  <c r="B26" i="9"/>
  <c r="H25" i="9"/>
  <c r="E25" i="9" s="1"/>
  <c r="C25" i="9"/>
  <c r="B25" i="9" s="1"/>
  <c r="C24" i="9"/>
  <c r="B24" i="9" s="1"/>
  <c r="C23" i="9"/>
  <c r="C22" i="9"/>
  <c r="B22" i="9" s="1"/>
  <c r="C21" i="9"/>
  <c r="H21" i="9" s="1"/>
  <c r="E21" i="9" s="1"/>
  <c r="B21" i="9"/>
  <c r="H20" i="9"/>
  <c r="C20" i="9"/>
  <c r="B20" i="9"/>
  <c r="H19" i="9"/>
  <c r="E19" i="9" s="1"/>
  <c r="C19" i="9"/>
  <c r="C18" i="9"/>
  <c r="B18" i="9"/>
  <c r="H17" i="9"/>
  <c r="E17" i="9" s="1"/>
  <c r="C17" i="9"/>
  <c r="B17" i="9" s="1"/>
  <c r="C16" i="9"/>
  <c r="B16" i="9" s="1"/>
  <c r="C15" i="9"/>
  <c r="C14" i="9"/>
  <c r="B14" i="9" s="1"/>
  <c r="H13" i="9"/>
  <c r="E13" i="9" s="1"/>
  <c r="C13" i="9"/>
  <c r="B13" i="9"/>
  <c r="H12" i="9"/>
  <c r="C12" i="9"/>
  <c r="B12" i="9" s="1"/>
  <c r="C11" i="9"/>
  <c r="H11" i="9" s="1"/>
  <c r="E11" i="9" s="1"/>
  <c r="C10" i="9"/>
  <c r="B10" i="9" s="1"/>
  <c r="C9" i="9"/>
  <c r="H9" i="9" s="1"/>
  <c r="C8" i="9"/>
  <c r="B8" i="9" s="1"/>
  <c r="C7" i="9"/>
  <c r="C6" i="9"/>
  <c r="B6" i="9" s="1"/>
  <c r="H5" i="9"/>
  <c r="E5" i="9" s="1"/>
  <c r="C5" i="9"/>
  <c r="B5" i="9" s="1"/>
  <c r="C4" i="9"/>
  <c r="B4" i="9" s="1"/>
  <c r="A4" i="9"/>
  <c r="A5" i="9" s="1"/>
  <c r="A6" i="9" s="1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C3" i="9"/>
  <c r="H3" i="9" s="1"/>
  <c r="E3" i="9" s="1"/>
  <c r="A3" i="9"/>
  <c r="C2" i="9"/>
  <c r="B2" i="9"/>
  <c r="A2" i="9"/>
  <c r="L1" i="9"/>
  <c r="C1" i="9"/>
  <c r="L141" i="9" s="1"/>
  <c r="B1" i="9"/>
  <c r="B6" i="8"/>
  <c r="M8" i="6"/>
  <c r="N8" i="6" s="1"/>
  <c r="L8" i="6"/>
  <c r="E8" i="6"/>
  <c r="A8" i="6"/>
  <c r="M7" i="6"/>
  <c r="N7" i="6" s="1"/>
  <c r="H7" i="6" s="1"/>
  <c r="I7" i="6" s="1"/>
  <c r="L7" i="6"/>
  <c r="G7" i="6" s="1"/>
  <c r="E7" i="6"/>
  <c r="A7" i="6"/>
  <c r="M6" i="6"/>
  <c r="L6" i="6"/>
  <c r="E6" i="6"/>
  <c r="A6" i="6"/>
  <c r="M5" i="6"/>
  <c r="N5" i="6" s="1"/>
  <c r="H5" i="6" s="1"/>
  <c r="I5" i="6" s="1"/>
  <c r="E5" i="6"/>
  <c r="A5" i="6"/>
  <c r="M4" i="6"/>
  <c r="N4" i="6" s="1"/>
  <c r="E4" i="6"/>
  <c r="A4" i="6"/>
  <c r="M3" i="6"/>
  <c r="N3" i="6" s="1"/>
  <c r="H3" i="6" s="1"/>
  <c r="I3" i="6" s="1"/>
  <c r="E3" i="6"/>
  <c r="A3" i="6"/>
  <c r="M2" i="6"/>
  <c r="E2" i="6"/>
  <c r="A2" i="6"/>
  <c r="AK150" i="5"/>
  <c r="AI150" i="5"/>
  <c r="AG150" i="5"/>
  <c r="AE150" i="5"/>
  <c r="AC150" i="5"/>
  <c r="D7" i="12"/>
  <c r="Q150" i="5"/>
  <c r="O150" i="5"/>
  <c r="D4" i="12"/>
  <c r="I150" i="5"/>
  <c r="D3" i="12" s="1"/>
  <c r="D2" i="12"/>
  <c r="AL149" i="5"/>
  <c r="AJ149" i="5"/>
  <c r="AH149" i="5"/>
  <c r="AF149" i="5"/>
  <c r="AD149" i="5"/>
  <c r="AB149" i="5"/>
  <c r="Z149" i="5"/>
  <c r="X149" i="5"/>
  <c r="V149" i="5"/>
  <c r="R149" i="5"/>
  <c r="P149" i="5"/>
  <c r="N149" i="5"/>
  <c r="AM2" i="5"/>
  <c r="A2" i="5"/>
  <c r="W147" i="4"/>
  <c r="AN147" i="5" s="1"/>
  <c r="V147" i="4"/>
  <c r="AM147" i="5" s="1"/>
  <c r="T147" i="4"/>
  <c r="AL147" i="5" s="1"/>
  <c r="S147" i="4"/>
  <c r="R147" i="4"/>
  <c r="Q147" i="4"/>
  <c r="P147" i="4"/>
  <c r="O147" i="4"/>
  <c r="N147" i="4"/>
  <c r="M147" i="4"/>
  <c r="L147" i="4"/>
  <c r="K147" i="4"/>
  <c r="J147" i="4"/>
  <c r="I147" i="4"/>
  <c r="H147" i="4"/>
  <c r="G147" i="4"/>
  <c r="F147" i="4"/>
  <c r="E147" i="4"/>
  <c r="D147" i="4"/>
  <c r="C147" i="4"/>
  <c r="B147" i="4"/>
  <c r="A147" i="4"/>
  <c r="A147" i="5" s="1"/>
  <c r="W146" i="4" a="1"/>
  <c r="W146" i="4" s="1"/>
  <c r="AN146" i="5" s="1"/>
  <c r="V146" i="4" a="1"/>
  <c r="V146" i="4" s="1"/>
  <c r="AM146" i="5" s="1"/>
  <c r="T146" i="4" a="1"/>
  <c r="T146" i="4" s="1"/>
  <c r="AL146" i="5" s="1"/>
  <c r="S146" i="4" a="1"/>
  <c r="S146" i="4" s="1"/>
  <c r="R146" i="4" a="1"/>
  <c r="R146" i="4" s="1"/>
  <c r="Q146" i="4" a="1"/>
  <c r="Q146" i="4" s="1"/>
  <c r="P146" i="4" a="1"/>
  <c r="P146" i="4" s="1"/>
  <c r="O146" i="4" a="1"/>
  <c r="O146" i="4" s="1"/>
  <c r="N146" i="4" a="1"/>
  <c r="N146" i="4" s="1"/>
  <c r="M146" i="4" a="1"/>
  <c r="M146" i="4" s="1"/>
  <c r="L146" i="4" a="1"/>
  <c r="L146" i="4" s="1"/>
  <c r="K146" i="4" a="1"/>
  <c r="K146" i="4" s="1"/>
  <c r="J146" i="4" a="1"/>
  <c r="J146" i="4" s="1"/>
  <c r="I146" i="4" a="1"/>
  <c r="I146" i="4" s="1"/>
  <c r="H146" i="4" a="1"/>
  <c r="H146" i="4" s="1"/>
  <c r="G146" i="4" a="1"/>
  <c r="G146" i="4" s="1"/>
  <c r="F146" i="4" a="1"/>
  <c r="F146" i="4" s="1"/>
  <c r="E146" i="4" a="1"/>
  <c r="E146" i="4" s="1"/>
  <c r="D146" i="4" a="1"/>
  <c r="D146" i="4" s="1"/>
  <c r="C146" i="4" a="1"/>
  <c r="C146" i="4" s="1"/>
  <c r="B146" i="4" a="1"/>
  <c r="B146" i="4" s="1"/>
  <c r="A146" i="4" a="1"/>
  <c r="A146" i="4" s="1"/>
  <c r="A146" i="5" s="1"/>
  <c r="W145" i="4"/>
  <c r="AN145" i="5" s="1"/>
  <c r="V145" i="4"/>
  <c r="AM145" i="5" s="1"/>
  <c r="T145" i="4"/>
  <c r="R145" i="4"/>
  <c r="P145" i="4"/>
  <c r="N145" i="4"/>
  <c r="M145" i="4"/>
  <c r="L145" i="4"/>
  <c r="K145" i="4"/>
  <c r="H145" i="4"/>
  <c r="G145" i="4"/>
  <c r="E145" i="4"/>
  <c r="D145" i="4"/>
  <c r="C145" i="4"/>
  <c r="B145" i="4"/>
  <c r="A145" i="4"/>
  <c r="Q145" i="4" s="1"/>
  <c r="T143" i="4"/>
  <c r="R143" i="4"/>
  <c r="P143" i="4"/>
  <c r="D143" i="4"/>
  <c r="C143" i="4"/>
  <c r="A143" i="4"/>
  <c r="Q143" i="4" s="1"/>
  <c r="V141" i="4"/>
  <c r="AM141" i="5" s="1"/>
  <c r="T141" i="4"/>
  <c r="R141" i="4"/>
  <c r="P141" i="4"/>
  <c r="O141" i="4"/>
  <c r="N141" i="4"/>
  <c r="L141" i="4"/>
  <c r="K141" i="4"/>
  <c r="H141" i="4"/>
  <c r="G141" i="4"/>
  <c r="F141" i="4"/>
  <c r="E141" i="4"/>
  <c r="C141" i="4"/>
  <c r="B141" i="4"/>
  <c r="A141" i="4"/>
  <c r="Q141" i="4" s="1"/>
  <c r="W139" i="4"/>
  <c r="AN139" i="5" s="1"/>
  <c r="T139" i="4"/>
  <c r="J139" i="4"/>
  <c r="H139" i="4"/>
  <c r="A139" i="4"/>
  <c r="Q139" i="4" s="1"/>
  <c r="V137" i="4"/>
  <c r="AM137" i="5" s="1"/>
  <c r="T137" i="4"/>
  <c r="R137" i="4"/>
  <c r="O137" i="4"/>
  <c r="N137" i="4"/>
  <c r="L137" i="4"/>
  <c r="K137" i="4"/>
  <c r="H137" i="4"/>
  <c r="F137" i="4"/>
  <c r="E137" i="4"/>
  <c r="C137" i="4"/>
  <c r="B137" i="4"/>
  <c r="A137" i="4"/>
  <c r="Q137" i="4" s="1"/>
  <c r="T135" i="4"/>
  <c r="N135" i="4"/>
  <c r="B135" i="4"/>
  <c r="A135" i="4"/>
  <c r="Q135" i="4" s="1"/>
  <c r="T133" i="4"/>
  <c r="R133" i="4"/>
  <c r="O133" i="4"/>
  <c r="N133" i="4"/>
  <c r="H133" i="4"/>
  <c r="F133" i="4"/>
  <c r="E133" i="4"/>
  <c r="A133" i="4"/>
  <c r="Q133" i="4" s="1"/>
  <c r="T131" i="4"/>
  <c r="S131" i="4"/>
  <c r="R131" i="4"/>
  <c r="G131" i="4"/>
  <c r="F131" i="4"/>
  <c r="A131" i="4"/>
  <c r="Q131" i="4" s="1"/>
  <c r="T129" i="4"/>
  <c r="K129" i="4"/>
  <c r="B129" i="4"/>
  <c r="A129" i="4"/>
  <c r="Q129" i="4" s="1"/>
  <c r="T127" i="4"/>
  <c r="R127" i="4"/>
  <c r="P127" i="4"/>
  <c r="N127" i="4"/>
  <c r="L127" i="4"/>
  <c r="G127" i="4"/>
  <c r="F127" i="4"/>
  <c r="C127" i="4"/>
  <c r="B127" i="4"/>
  <c r="A127" i="4"/>
  <c r="Q127" i="4" s="1"/>
  <c r="A126" i="4"/>
  <c r="Q126" i="4" s="1"/>
  <c r="T125" i="4"/>
  <c r="S125" i="4"/>
  <c r="J125" i="4"/>
  <c r="A125" i="4"/>
  <c r="W124" i="4"/>
  <c r="AN124" i="5" s="1"/>
  <c r="T124" i="4"/>
  <c r="L124" i="4"/>
  <c r="J124" i="4"/>
  <c r="A124" i="4"/>
  <c r="S124" i="4" s="1"/>
  <c r="W123" i="4"/>
  <c r="AN123" i="5" s="1"/>
  <c r="T123" i="4"/>
  <c r="K123" i="4"/>
  <c r="A123" i="4"/>
  <c r="N122" i="4"/>
  <c r="A122" i="4"/>
  <c r="J122" i="4" s="1"/>
  <c r="T121" i="4"/>
  <c r="R121" i="4"/>
  <c r="P121" i="4"/>
  <c r="N121" i="4"/>
  <c r="H121" i="4"/>
  <c r="G121" i="4"/>
  <c r="E121" i="4"/>
  <c r="A121" i="4"/>
  <c r="Q121" i="4" s="1"/>
  <c r="W120" i="4"/>
  <c r="AN120" i="5" s="1"/>
  <c r="V120" i="4"/>
  <c r="AM120" i="5" s="1"/>
  <c r="T120" i="4"/>
  <c r="R120" i="4"/>
  <c r="L120" i="4"/>
  <c r="J120" i="4"/>
  <c r="H120" i="4"/>
  <c r="E120" i="4"/>
  <c r="A120" i="4"/>
  <c r="S120" i="4" s="1"/>
  <c r="T119" i="4"/>
  <c r="S119" i="4"/>
  <c r="P119" i="4"/>
  <c r="J119" i="4"/>
  <c r="H119" i="4"/>
  <c r="F119" i="4"/>
  <c r="A119" i="4"/>
  <c r="Q119" i="4" s="1"/>
  <c r="N118" i="4"/>
  <c r="F118" i="4"/>
  <c r="A118" i="4"/>
  <c r="R118" i="4" s="1"/>
  <c r="T117" i="4"/>
  <c r="R117" i="4"/>
  <c r="P117" i="4"/>
  <c r="N117" i="4"/>
  <c r="H117" i="4"/>
  <c r="G117" i="4"/>
  <c r="E117" i="4"/>
  <c r="A117" i="4"/>
  <c r="Q117" i="4" s="1"/>
  <c r="W116" i="4"/>
  <c r="AN116" i="5" s="1"/>
  <c r="V116" i="4"/>
  <c r="AM116" i="5" s="1"/>
  <c r="T116" i="4"/>
  <c r="R116" i="4"/>
  <c r="L116" i="4"/>
  <c r="J116" i="4"/>
  <c r="H116" i="4"/>
  <c r="E116" i="4"/>
  <c r="A116" i="4"/>
  <c r="S116" i="4" s="1"/>
  <c r="T115" i="4"/>
  <c r="S115" i="4"/>
  <c r="P115" i="4"/>
  <c r="J115" i="4"/>
  <c r="H115" i="4"/>
  <c r="F115" i="4"/>
  <c r="A115" i="4"/>
  <c r="Q115" i="4" s="1"/>
  <c r="W114" i="4"/>
  <c r="AN114" i="5" s="1"/>
  <c r="R114" i="4"/>
  <c r="F114" i="4"/>
  <c r="B114" i="4"/>
  <c r="A114" i="4"/>
  <c r="P114" i="4" s="1"/>
  <c r="T113" i="4"/>
  <c r="A113" i="4"/>
  <c r="W112" i="4"/>
  <c r="AN112" i="5" s="1"/>
  <c r="T112" i="4"/>
  <c r="L112" i="4"/>
  <c r="J112" i="4"/>
  <c r="F112" i="4"/>
  <c r="A112" i="4"/>
  <c r="S112" i="4" s="1"/>
  <c r="W111" i="4"/>
  <c r="AN111" i="5" s="1"/>
  <c r="T111" i="4"/>
  <c r="K111" i="4"/>
  <c r="A111" i="4"/>
  <c r="A110" i="4"/>
  <c r="P110" i="4" s="1"/>
  <c r="V109" i="4"/>
  <c r="AM109" i="5" s="1"/>
  <c r="T109" i="4"/>
  <c r="R109" i="4"/>
  <c r="P109" i="4"/>
  <c r="O109" i="4"/>
  <c r="N109" i="4"/>
  <c r="M109" i="4"/>
  <c r="L109" i="4"/>
  <c r="K109" i="4"/>
  <c r="H109" i="4"/>
  <c r="G109" i="4"/>
  <c r="F109" i="4"/>
  <c r="E109" i="4"/>
  <c r="D109" i="4"/>
  <c r="C109" i="4"/>
  <c r="B109" i="4"/>
  <c r="A109" i="4"/>
  <c r="Q109" i="4" s="1"/>
  <c r="V108" i="4"/>
  <c r="AM108" i="5" s="1"/>
  <c r="T108" i="4"/>
  <c r="R108" i="4"/>
  <c r="N108" i="4"/>
  <c r="H108" i="4"/>
  <c r="F108" i="4"/>
  <c r="E108" i="4"/>
  <c r="B108" i="4"/>
  <c r="A108" i="4"/>
  <c r="S108" i="4" s="1"/>
  <c r="T107" i="4"/>
  <c r="S107" i="4"/>
  <c r="R107" i="4"/>
  <c r="P107" i="4"/>
  <c r="N107" i="4"/>
  <c r="L107" i="4"/>
  <c r="J107" i="4"/>
  <c r="H107" i="4"/>
  <c r="G107" i="4"/>
  <c r="F107" i="4"/>
  <c r="C107" i="4"/>
  <c r="B107" i="4"/>
  <c r="A107" i="4"/>
  <c r="Q107" i="4" s="1"/>
  <c r="A106" i="4"/>
  <c r="W105" i="4"/>
  <c r="AN105" i="5" s="1"/>
  <c r="T105" i="4"/>
  <c r="O105" i="4"/>
  <c r="N105" i="4"/>
  <c r="M105" i="4"/>
  <c r="K105" i="4"/>
  <c r="F105" i="4"/>
  <c r="E105" i="4"/>
  <c r="D105" i="4"/>
  <c r="B105" i="4"/>
  <c r="A105" i="4"/>
  <c r="Q105" i="4" s="1"/>
  <c r="T104" i="4"/>
  <c r="R104" i="4"/>
  <c r="A104" i="4"/>
  <c r="P104" i="4" s="1"/>
  <c r="T103" i="4"/>
  <c r="R103" i="4"/>
  <c r="P103" i="4"/>
  <c r="O103" i="4"/>
  <c r="L103" i="4"/>
  <c r="G103" i="4"/>
  <c r="F103" i="4"/>
  <c r="D103" i="4"/>
  <c r="B103" i="4"/>
  <c r="A103" i="4"/>
  <c r="Q103" i="4" s="1"/>
  <c r="P102" i="4"/>
  <c r="N102" i="4"/>
  <c r="J102" i="4"/>
  <c r="F102" i="4"/>
  <c r="B102" i="4"/>
  <c r="A102" i="4"/>
  <c r="H102" i="4" s="1"/>
  <c r="T101" i="4"/>
  <c r="P101" i="4"/>
  <c r="A101" i="4"/>
  <c r="S101" i="4" s="1"/>
  <c r="T100" i="4"/>
  <c r="N100" i="4"/>
  <c r="A100" i="4"/>
  <c r="V100" i="4" s="1"/>
  <c r="AM100" i="5" s="1"/>
  <c r="A99" i="4"/>
  <c r="N98" i="4"/>
  <c r="J98" i="4"/>
  <c r="A98" i="4"/>
  <c r="I98" i="4" s="1"/>
  <c r="W97" i="4"/>
  <c r="AN97" i="5" s="1"/>
  <c r="V97" i="4"/>
  <c r="AM97" i="5" s="1"/>
  <c r="T97" i="4"/>
  <c r="O97" i="4"/>
  <c r="H97" i="4"/>
  <c r="G97" i="4"/>
  <c r="F97" i="4"/>
  <c r="D97" i="4"/>
  <c r="A97" i="4"/>
  <c r="S97" i="4" s="1"/>
  <c r="T96" i="4"/>
  <c r="S96" i="4"/>
  <c r="R96" i="4"/>
  <c r="O96" i="4"/>
  <c r="J96" i="4"/>
  <c r="H96" i="4"/>
  <c r="A96" i="4"/>
  <c r="A95" i="4"/>
  <c r="P94" i="4"/>
  <c r="O94" i="4"/>
  <c r="N94" i="4"/>
  <c r="F94" i="4"/>
  <c r="C94" i="4"/>
  <c r="B94" i="4"/>
  <c r="A94" i="4"/>
  <c r="W94" i="4" s="1"/>
  <c r="AN94" i="5" s="1"/>
  <c r="V93" i="4"/>
  <c r="AM93" i="5" s="1"/>
  <c r="F93" i="4"/>
  <c r="E93" i="4"/>
  <c r="A93" i="4"/>
  <c r="T92" i="4"/>
  <c r="R92" i="4"/>
  <c r="P92" i="4"/>
  <c r="N92" i="4"/>
  <c r="H92" i="4"/>
  <c r="G92" i="4"/>
  <c r="E92" i="4"/>
  <c r="A92" i="4"/>
  <c r="Q92" i="4" s="1"/>
  <c r="T91" i="4"/>
  <c r="S91" i="4"/>
  <c r="J91" i="4"/>
  <c r="I91" i="4"/>
  <c r="A91" i="4"/>
  <c r="R91" i="4" s="1"/>
  <c r="W90" i="4"/>
  <c r="AN90" i="5" s="1"/>
  <c r="S90" i="4"/>
  <c r="P90" i="4"/>
  <c r="I90" i="4"/>
  <c r="F90" i="4"/>
  <c r="A90" i="4"/>
  <c r="R90" i="4" s="1"/>
  <c r="V89" i="4"/>
  <c r="AM89" i="5" s="1"/>
  <c r="P89" i="4"/>
  <c r="L89" i="4"/>
  <c r="F89" i="4"/>
  <c r="A89" i="4"/>
  <c r="T89" i="4" s="1"/>
  <c r="T88" i="4"/>
  <c r="K88" i="4"/>
  <c r="A88" i="4"/>
  <c r="R88" i="4" s="1"/>
  <c r="Q87" i="4"/>
  <c r="E87" i="4"/>
  <c r="D87" i="4"/>
  <c r="A87" i="4"/>
  <c r="T87" i="4" s="1"/>
  <c r="P86" i="4"/>
  <c r="G86" i="4"/>
  <c r="F86" i="4"/>
  <c r="A86" i="4"/>
  <c r="W86" i="4" s="1"/>
  <c r="AN86" i="5" s="1"/>
  <c r="A85" i="4"/>
  <c r="W84" i="4"/>
  <c r="AN84" i="5" s="1"/>
  <c r="T84" i="4"/>
  <c r="M84" i="4"/>
  <c r="J84" i="4"/>
  <c r="E84" i="4"/>
  <c r="A84" i="4"/>
  <c r="N84" i="4" s="1"/>
  <c r="L83" i="4"/>
  <c r="B83" i="4"/>
  <c r="A83" i="4"/>
  <c r="T83" i="4" s="1"/>
  <c r="A82" i="4"/>
  <c r="W82" i="4" s="1"/>
  <c r="AN82" i="5" s="1"/>
  <c r="A81" i="4"/>
  <c r="W81" i="4" s="1"/>
  <c r="AN81" i="5" s="1"/>
  <c r="W80" i="4"/>
  <c r="AN80" i="5" s="1"/>
  <c r="T80" i="4"/>
  <c r="O80" i="4"/>
  <c r="N80" i="4"/>
  <c r="M80" i="4"/>
  <c r="K80" i="4"/>
  <c r="F80" i="4"/>
  <c r="E80" i="4"/>
  <c r="D80" i="4"/>
  <c r="B80" i="4"/>
  <c r="A80" i="4"/>
  <c r="Q80" i="4" s="1"/>
  <c r="T79" i="4"/>
  <c r="R79" i="4"/>
  <c r="Q79" i="4"/>
  <c r="M79" i="4"/>
  <c r="J79" i="4"/>
  <c r="I79" i="4"/>
  <c r="C79" i="4"/>
  <c r="B79" i="4"/>
  <c r="A79" i="4"/>
  <c r="S78" i="4"/>
  <c r="J78" i="4"/>
  <c r="I78" i="4"/>
  <c r="A78" i="4"/>
  <c r="R78" i="4" s="1"/>
  <c r="T77" i="4"/>
  <c r="Q77" i="4"/>
  <c r="I77" i="4"/>
  <c r="H77" i="4"/>
  <c r="A77" i="4"/>
  <c r="T76" i="4"/>
  <c r="S76" i="4"/>
  <c r="M76" i="4"/>
  <c r="D76" i="4"/>
  <c r="A76" i="4"/>
  <c r="L76" i="4" s="1"/>
  <c r="T75" i="4"/>
  <c r="J75" i="4"/>
  <c r="H75" i="4"/>
  <c r="D75" i="4"/>
  <c r="A75" i="4"/>
  <c r="L75" i="4" s="1"/>
  <c r="A74" i="4"/>
  <c r="W74" i="4" s="1"/>
  <c r="AN74" i="5" s="1"/>
  <c r="N73" i="4"/>
  <c r="G73" i="4"/>
  <c r="F73" i="4"/>
  <c r="A73" i="4"/>
  <c r="V73" i="4" s="1"/>
  <c r="AM73" i="5" s="1"/>
  <c r="T72" i="4"/>
  <c r="R72" i="4"/>
  <c r="F72" i="4"/>
  <c r="A72" i="4"/>
  <c r="Q72" i="4" s="1"/>
  <c r="T71" i="4"/>
  <c r="S71" i="4"/>
  <c r="R71" i="4"/>
  <c r="Q71" i="4"/>
  <c r="M71" i="4"/>
  <c r="I71" i="4"/>
  <c r="H71" i="4"/>
  <c r="E71" i="4"/>
  <c r="D71" i="4"/>
  <c r="C71" i="4"/>
  <c r="A71" i="4"/>
  <c r="L71" i="4" s="1"/>
  <c r="R70" i="4"/>
  <c r="O70" i="4"/>
  <c r="F70" i="4"/>
  <c r="A70" i="4"/>
  <c r="N70" i="4" s="1"/>
  <c r="W69" i="4"/>
  <c r="AN69" i="5" s="1"/>
  <c r="V69" i="4"/>
  <c r="AM69" i="5" s="1"/>
  <c r="T69" i="4"/>
  <c r="Q69" i="4"/>
  <c r="O69" i="4"/>
  <c r="L69" i="4"/>
  <c r="I69" i="4"/>
  <c r="H69" i="4"/>
  <c r="G69" i="4"/>
  <c r="F69" i="4"/>
  <c r="E69" i="4"/>
  <c r="A69" i="4"/>
  <c r="N69" i="4" s="1"/>
  <c r="W68" i="4"/>
  <c r="AN68" i="5" s="1"/>
  <c r="T68" i="4"/>
  <c r="S68" i="4"/>
  <c r="N68" i="4"/>
  <c r="L68" i="4"/>
  <c r="J68" i="4"/>
  <c r="G68" i="4"/>
  <c r="D68" i="4"/>
  <c r="B68" i="4"/>
  <c r="A68" i="4"/>
  <c r="Q68" i="4" s="1"/>
  <c r="V67" i="4"/>
  <c r="AM67" i="5" s="1"/>
  <c r="T67" i="4"/>
  <c r="K67" i="4"/>
  <c r="E67" i="4"/>
  <c r="D67" i="4"/>
  <c r="A67" i="4"/>
  <c r="Q67" i="4" s="1"/>
  <c r="R66" i="4"/>
  <c r="Q66" i="4"/>
  <c r="P66" i="4"/>
  <c r="O66" i="4"/>
  <c r="I66" i="4"/>
  <c r="G66" i="4"/>
  <c r="F66" i="4"/>
  <c r="E66" i="4"/>
  <c r="C66" i="4"/>
  <c r="A66" i="4"/>
  <c r="V66" i="4" s="1"/>
  <c r="AM66" i="5" s="1"/>
  <c r="A65" i="4"/>
  <c r="W64" i="4"/>
  <c r="AN64" i="5" s="1"/>
  <c r="T64" i="4"/>
  <c r="R64" i="4"/>
  <c r="Q64" i="4"/>
  <c r="O64" i="4"/>
  <c r="N64" i="4"/>
  <c r="L64" i="4"/>
  <c r="I64" i="4"/>
  <c r="G64" i="4"/>
  <c r="F64" i="4"/>
  <c r="E64" i="4"/>
  <c r="D64" i="4"/>
  <c r="B64" i="4"/>
  <c r="A64" i="4"/>
  <c r="V64" i="4" s="1"/>
  <c r="AM64" i="5" s="1"/>
  <c r="R63" i="4"/>
  <c r="A63" i="4"/>
  <c r="Q63" i="4" s="1"/>
  <c r="W62" i="4"/>
  <c r="AN62" i="5" s="1"/>
  <c r="O62" i="4"/>
  <c r="M62" i="4"/>
  <c r="I62" i="4"/>
  <c r="F62" i="4"/>
  <c r="B62" i="4"/>
  <c r="A62" i="4"/>
  <c r="Q62" i="4" s="1"/>
  <c r="W61" i="4"/>
  <c r="AN61" i="5" s="1"/>
  <c r="Q61" i="4"/>
  <c r="P61" i="4"/>
  <c r="M61" i="4"/>
  <c r="I61" i="4"/>
  <c r="H61" i="4"/>
  <c r="G61" i="4"/>
  <c r="F61" i="4"/>
  <c r="E61" i="4"/>
  <c r="D61" i="4"/>
  <c r="A61" i="4"/>
  <c r="V61" i="4" s="1"/>
  <c r="AM61" i="5" s="1"/>
  <c r="W60" i="4"/>
  <c r="AN60" i="5" s="1"/>
  <c r="T60" i="4"/>
  <c r="M60" i="4"/>
  <c r="L60" i="4"/>
  <c r="D60" i="4"/>
  <c r="B60" i="4"/>
  <c r="A60" i="4"/>
  <c r="R60" i="4" s="1"/>
  <c r="T59" i="4"/>
  <c r="M59" i="4"/>
  <c r="I59" i="4"/>
  <c r="C59" i="4"/>
  <c r="A59" i="4"/>
  <c r="P59" i="4" s="1"/>
  <c r="R58" i="4"/>
  <c r="F58" i="4"/>
  <c r="A58" i="4"/>
  <c r="Q58" i="4" s="1"/>
  <c r="W57" i="4"/>
  <c r="AN57" i="5" s="1"/>
  <c r="S57" i="4"/>
  <c r="O57" i="4"/>
  <c r="L57" i="4"/>
  <c r="F57" i="4"/>
  <c r="D57" i="4"/>
  <c r="C57" i="4"/>
  <c r="A57" i="4"/>
  <c r="Q57" i="4" s="1"/>
  <c r="R56" i="4"/>
  <c r="M56" i="4"/>
  <c r="G56" i="4"/>
  <c r="D56" i="4"/>
  <c r="A56" i="4"/>
  <c r="O56" i="4" s="1"/>
  <c r="T55" i="4"/>
  <c r="M55" i="4"/>
  <c r="K55" i="4"/>
  <c r="H55" i="4"/>
  <c r="D55" i="4"/>
  <c r="B55" i="4"/>
  <c r="A55" i="4"/>
  <c r="R55" i="4" s="1"/>
  <c r="Q54" i="4"/>
  <c r="G54" i="4"/>
  <c r="A54" i="4"/>
  <c r="N54" i="4" s="1"/>
  <c r="O53" i="4"/>
  <c r="I53" i="4"/>
  <c r="F53" i="4"/>
  <c r="A53" i="4"/>
  <c r="Q53" i="4" s="1"/>
  <c r="A52" i="4"/>
  <c r="W52" i="4" s="1"/>
  <c r="AN52" i="5" s="1"/>
  <c r="Q51" i="4"/>
  <c r="M51" i="4"/>
  <c r="D51" i="4"/>
  <c r="A51" i="4"/>
  <c r="P51" i="4" s="1"/>
  <c r="N50" i="4"/>
  <c r="A50" i="4"/>
  <c r="R50" i="4" s="1"/>
  <c r="A49" i="4"/>
  <c r="Q49" i="4" s="1"/>
  <c r="A48" i="4"/>
  <c r="A47" i="4"/>
  <c r="S47" i="4" s="1"/>
  <c r="A46" i="4"/>
  <c r="P46" i="4" s="1"/>
  <c r="T45" i="4"/>
  <c r="P45" i="4"/>
  <c r="N45" i="4"/>
  <c r="M45" i="4"/>
  <c r="H45" i="4"/>
  <c r="F45" i="4"/>
  <c r="D45" i="4"/>
  <c r="C45" i="4"/>
  <c r="A45" i="4"/>
  <c r="Q45" i="4" s="1"/>
  <c r="A44" i="4"/>
  <c r="T43" i="4"/>
  <c r="S43" i="4"/>
  <c r="R43" i="4"/>
  <c r="L43" i="4"/>
  <c r="K43" i="4"/>
  <c r="J43" i="4"/>
  <c r="G43" i="4"/>
  <c r="D43" i="4"/>
  <c r="C43" i="4"/>
  <c r="B43" i="4"/>
  <c r="A43" i="4"/>
  <c r="Q43" i="4" s="1"/>
  <c r="V42" i="4"/>
  <c r="AM42" i="5" s="1"/>
  <c r="P42" i="4"/>
  <c r="E42" i="4"/>
  <c r="A42" i="4"/>
  <c r="Q42" i="4" s="1"/>
  <c r="T41" i="4"/>
  <c r="S41" i="4"/>
  <c r="G41" i="4"/>
  <c r="A41" i="4"/>
  <c r="R41" i="4" s="1"/>
  <c r="A40" i="4"/>
  <c r="L3" i="4"/>
  <c r="V2" i="4"/>
  <c r="A2" i="4"/>
  <c r="S1" i="4" a="1"/>
  <c r="S1" i="4"/>
  <c r="R1" i="4" a="1"/>
  <c r="R1" i="4" s="1"/>
  <c r="I3" i="2"/>
  <c r="I4" i="2" s="1"/>
  <c r="I2" i="2"/>
  <c r="L2" i="9" s="1"/>
  <c r="G13" i="1"/>
  <c r="F13" i="1"/>
  <c r="G12" i="1"/>
  <c r="F12" i="1"/>
  <c r="G11" i="1"/>
  <c r="F11" i="1"/>
  <c r="G10" i="1"/>
  <c r="F10" i="1"/>
  <c r="G9" i="1"/>
  <c r="F9" i="1"/>
  <c r="G8" i="1"/>
  <c r="F8" i="1"/>
  <c r="G7" i="1"/>
  <c r="F7" i="1"/>
  <c r="G6" i="1"/>
  <c r="F6" i="1"/>
  <c r="G5" i="1"/>
  <c r="F5" i="1"/>
  <c r="G4" i="1"/>
  <c r="F4" i="1"/>
  <c r="G3" i="1"/>
  <c r="F3" i="1"/>
  <c r="C13" i="11" a="1"/>
  <c r="C12" i="11" a="1"/>
  <c r="C10" i="11" a="1"/>
  <c r="C14" i="11" a="1"/>
  <c r="C2" i="11" a="1"/>
  <c r="C8" i="11" a="1"/>
  <c r="C6" i="11" a="1"/>
  <c r="C3" i="11" a="1"/>
  <c r="C242" i="9" a="1"/>
  <c r="C234" i="9" a="1"/>
  <c r="C250" i="9" a="1"/>
  <c r="H241" i="9" a="1"/>
  <c r="H233" i="9" a="1"/>
  <c r="H225" i="9" a="1"/>
  <c r="H249" i="9" a="1"/>
  <c r="C240" i="9" a="1"/>
  <c r="H242" i="9" a="1"/>
  <c r="H234" i="9" a="1"/>
  <c r="H226" i="9" a="1"/>
  <c r="H250" i="9" a="1"/>
  <c r="C241" i="9" a="1"/>
  <c r="C249" i="9" a="1"/>
  <c r="H240" i="9" a="1"/>
  <c r="H247" i="9" a="1"/>
  <c r="C233" i="9" a="1"/>
  <c r="C219" i="9" a="1"/>
  <c r="C226" i="9" a="1"/>
  <c r="C239" i="9" a="1"/>
  <c r="C223" i="9" a="1"/>
  <c r="H248" i="9" a="1"/>
  <c r="C227" i="9" a="1"/>
  <c r="C248" i="9" a="1"/>
  <c r="C243" i="9" a="1"/>
  <c r="C235" i="9" a="1"/>
  <c r="C225" i="9" a="1"/>
  <c r="C231" i="9" a="1"/>
  <c r="A6" i="5" a="1"/>
  <c r="A7" i="5" a="1"/>
  <c r="A7" i="4" a="1"/>
  <c r="A6" i="4" a="1"/>
  <c r="G8" i="6" l="1"/>
  <c r="D9" i="11" a="1"/>
  <c r="D9" i="11" s="1"/>
  <c r="K9" i="11"/>
  <c r="B64" i="9"/>
  <c r="N64" i="9"/>
  <c r="B124" i="9"/>
  <c r="N124" i="9"/>
  <c r="I132" i="9" a="1"/>
  <c r="I132" i="9" s="1"/>
  <c r="N132" i="9"/>
  <c r="B135" i="9"/>
  <c r="N135" i="9"/>
  <c r="I140" i="9" a="1"/>
  <c r="I140" i="9" s="1"/>
  <c r="N140" i="9"/>
  <c r="H4" i="9"/>
  <c r="E4" i="9" s="1"/>
  <c r="H29" i="9"/>
  <c r="E29" i="9" s="1"/>
  <c r="I142" i="9"/>
  <c r="N142" i="9"/>
  <c r="H145" i="9"/>
  <c r="E145" i="9" s="1"/>
  <c r="H150" i="9"/>
  <c r="E150" i="9" s="1"/>
  <c r="I180" i="9"/>
  <c r="N180" i="9"/>
  <c r="J205" i="9"/>
  <c r="N205" i="9"/>
  <c r="D210" i="9" a="1"/>
  <c r="D210" i="9" s="1"/>
  <c r="F210" i="9" s="1"/>
  <c r="G210" i="9" s="1"/>
  <c r="H37" i="9"/>
  <c r="E37" i="9" s="1"/>
  <c r="H45" i="9"/>
  <c r="E45" i="9" s="1"/>
  <c r="H49" i="9"/>
  <c r="E49" i="9" s="1"/>
  <c r="J51" i="9"/>
  <c r="I62" i="9" a="1"/>
  <c r="I62" i="9" s="1"/>
  <c r="H64" i="9"/>
  <c r="E64" i="9" s="1"/>
  <c r="L66" i="9"/>
  <c r="J70" i="9"/>
  <c r="D72" i="9" a="1"/>
  <c r="D72" i="9" s="1"/>
  <c r="F72" i="9" s="1"/>
  <c r="G72" i="9" s="1"/>
  <c r="I75" i="9" a="1"/>
  <c r="I75" i="9" s="1"/>
  <c r="H77" i="9"/>
  <c r="E77" i="9" s="1"/>
  <c r="J78" i="9"/>
  <c r="Q80" i="9"/>
  <c r="P80" i="9" s="1"/>
  <c r="J93" i="9"/>
  <c r="M94" i="9" a="1"/>
  <c r="M94" i="9" s="1"/>
  <c r="Q97" i="9"/>
  <c r="P97" i="9" s="1"/>
  <c r="N97" i="9"/>
  <c r="H98" i="9"/>
  <c r="E98" i="9" s="1"/>
  <c r="D101" i="9" a="1"/>
  <c r="D101" i="9" s="1"/>
  <c r="F101" i="9" s="1"/>
  <c r="G101" i="9" s="1"/>
  <c r="H102" i="9"/>
  <c r="E102" i="9" s="1"/>
  <c r="J110" i="9"/>
  <c r="Q112" i="9"/>
  <c r="P112" i="9" s="1"/>
  <c r="I125" i="9" a="1"/>
  <c r="I125" i="9" s="1"/>
  <c r="N125" i="9"/>
  <c r="J129" i="9"/>
  <c r="H132" i="9"/>
  <c r="E132" i="9" s="1"/>
  <c r="J133" i="9"/>
  <c r="H136" i="9"/>
  <c r="E136" i="9" s="1"/>
  <c r="J137" i="9"/>
  <c r="H140" i="9"/>
  <c r="E140" i="9" s="1"/>
  <c r="H142" i="9"/>
  <c r="E142" i="9" s="1"/>
  <c r="M145" i="9" a="1"/>
  <c r="M145" i="9" s="1"/>
  <c r="D149" i="9" a="1"/>
  <c r="D149" i="9" s="1"/>
  <c r="F149" i="9" s="1"/>
  <c r="G149" i="9" s="1"/>
  <c r="N149" i="9"/>
  <c r="I150" i="9"/>
  <c r="Q152" i="9"/>
  <c r="P152" i="9" s="1"/>
  <c r="N152" i="9"/>
  <c r="I153" i="9"/>
  <c r="Q156" i="9"/>
  <c r="P156" i="9" s="1"/>
  <c r="N156" i="9"/>
  <c r="I161" i="9"/>
  <c r="Q164" i="9"/>
  <c r="P164" i="9" s="1"/>
  <c r="N164" i="9"/>
  <c r="H165" i="9"/>
  <c r="E165" i="9" s="1"/>
  <c r="H166" i="9"/>
  <c r="E166" i="9" s="1"/>
  <c r="Q167" i="9"/>
  <c r="P167" i="9" s="1"/>
  <c r="J169" i="9"/>
  <c r="D172" i="9" a="1"/>
  <c r="D172" i="9" s="1"/>
  <c r="F172" i="9" s="1"/>
  <c r="G172" i="9" s="1"/>
  <c r="J174" i="9"/>
  <c r="I178" i="9"/>
  <c r="D180" i="9" a="1"/>
  <c r="D180" i="9" s="1"/>
  <c r="F180" i="9" s="1"/>
  <c r="G180" i="9" s="1"/>
  <c r="I182" i="9"/>
  <c r="D184" i="9" a="1"/>
  <c r="D184" i="9" s="1"/>
  <c r="F184" i="9" s="1"/>
  <c r="G184" i="9" s="1"/>
  <c r="M187" i="9" a="1"/>
  <c r="M187" i="9" s="1"/>
  <c r="N187" i="9"/>
  <c r="J190" i="9"/>
  <c r="H193" i="9"/>
  <c r="E193" i="9" s="1"/>
  <c r="J195" i="9"/>
  <c r="Q199" i="9"/>
  <c r="P199" i="9" s="1"/>
  <c r="N199" i="9"/>
  <c r="M200" i="9" a="1"/>
  <c r="M200" i="9" s="1"/>
  <c r="Q203" i="9"/>
  <c r="P203" i="9" s="1"/>
  <c r="N203" i="9"/>
  <c r="D205" i="9" a="1"/>
  <c r="D205" i="9" s="1"/>
  <c r="F205" i="9" s="1"/>
  <c r="G205" i="9" s="1"/>
  <c r="I210" i="9"/>
  <c r="D104" i="9" a="1"/>
  <c r="D104" i="9" s="1"/>
  <c r="F104" i="9" s="1"/>
  <c r="G104" i="9" s="1"/>
  <c r="N104" i="9"/>
  <c r="I66" i="9" a="1"/>
  <c r="I66" i="9" s="1"/>
  <c r="I86" i="9" a="1"/>
  <c r="I86" i="9" s="1"/>
  <c r="N86" i="9"/>
  <c r="I87" i="9" a="1"/>
  <c r="I87" i="9" s="1"/>
  <c r="I118" i="9" a="1"/>
  <c r="I118" i="9" s="1"/>
  <c r="N118" i="9"/>
  <c r="D140" i="9" a="1"/>
  <c r="D140" i="9" s="1"/>
  <c r="F140" i="9" s="1"/>
  <c r="G140" i="9" s="1"/>
  <c r="Q160" i="9"/>
  <c r="P160" i="9" s="1"/>
  <c r="N160" i="9"/>
  <c r="J167" i="9"/>
  <c r="B198" i="9"/>
  <c r="N198" i="9"/>
  <c r="Q207" i="9"/>
  <c r="P207" i="9" s="1"/>
  <c r="N207" i="9"/>
  <c r="B38" i="9"/>
  <c r="L51" i="9"/>
  <c r="H53" i="9"/>
  <c r="E53" i="9" s="1"/>
  <c r="J64" i="9"/>
  <c r="H65" i="9"/>
  <c r="E65" i="9" s="1"/>
  <c r="M66" i="9" a="1"/>
  <c r="M66" i="9" s="1"/>
  <c r="L208" i="9"/>
  <c r="N68" i="9"/>
  <c r="D74" i="9" a="1"/>
  <c r="D74" i="9" s="1"/>
  <c r="F74" i="9" s="1"/>
  <c r="G74" i="9" s="1"/>
  <c r="N74" i="9"/>
  <c r="B76" i="9"/>
  <c r="N76" i="9"/>
  <c r="J77" i="9"/>
  <c r="M78" i="9" a="1"/>
  <c r="M78" i="9" s="1"/>
  <c r="Q81" i="9"/>
  <c r="P81" i="9" s="1"/>
  <c r="N81" i="9"/>
  <c r="H82" i="9"/>
  <c r="E82" i="9" s="1"/>
  <c r="I85" i="9" a="1"/>
  <c r="I85" i="9" s="1"/>
  <c r="N85" i="9"/>
  <c r="D88" i="9" a="1"/>
  <c r="D88" i="9" s="1"/>
  <c r="F88" i="9" s="1"/>
  <c r="G88" i="9" s="1"/>
  <c r="N88" i="9"/>
  <c r="B92" i="9"/>
  <c r="N92" i="9"/>
  <c r="D97" i="9" a="1"/>
  <c r="D97" i="9" s="1"/>
  <c r="F97" i="9" s="1"/>
  <c r="G97" i="9" s="1"/>
  <c r="J98" i="9"/>
  <c r="H101" i="9"/>
  <c r="E101" i="9" s="1"/>
  <c r="J102" i="9"/>
  <c r="Q104" i="9"/>
  <c r="P104" i="9" s="1"/>
  <c r="M110" i="9" a="1"/>
  <c r="M110" i="9" s="1"/>
  <c r="Q113" i="9"/>
  <c r="P113" i="9" s="1"/>
  <c r="N113" i="9"/>
  <c r="H114" i="9"/>
  <c r="E114" i="9" s="1"/>
  <c r="I117" i="9" a="1"/>
  <c r="I117" i="9" s="1"/>
  <c r="N117" i="9"/>
  <c r="Q121" i="9"/>
  <c r="P121" i="9" s="1"/>
  <c r="N121" i="9"/>
  <c r="D125" i="9" a="1"/>
  <c r="D125" i="9" s="1"/>
  <c r="F125" i="9" s="1"/>
  <c r="G125" i="9" s="1"/>
  <c r="B128" i="9"/>
  <c r="N128" i="9"/>
  <c r="Q129" i="9"/>
  <c r="P129" i="9" s="1"/>
  <c r="J132" i="9"/>
  <c r="M133" i="9" a="1"/>
  <c r="M133" i="9" s="1"/>
  <c r="I136" i="9" a="1"/>
  <c r="I136" i="9" s="1"/>
  <c r="Q137" i="9"/>
  <c r="P137" i="9" s="1"/>
  <c r="J140" i="9"/>
  <c r="I146" i="9"/>
  <c r="N146" i="9"/>
  <c r="H149" i="9"/>
  <c r="E149" i="9" s="1"/>
  <c r="D152" i="9" a="1"/>
  <c r="D152" i="9" s="1"/>
  <c r="F152" i="9" s="1"/>
  <c r="G152" i="9" s="1"/>
  <c r="J153" i="9"/>
  <c r="D156" i="9" a="1"/>
  <c r="D156" i="9" s="1"/>
  <c r="F156" i="9" s="1"/>
  <c r="G156" i="9" s="1"/>
  <c r="D164" i="9" a="1"/>
  <c r="D164" i="9" s="1"/>
  <c r="F164" i="9" s="1"/>
  <c r="G164" i="9" s="1"/>
  <c r="I165" i="9"/>
  <c r="I166" i="9"/>
  <c r="M168" i="9" a="1"/>
  <c r="M168" i="9" s="1"/>
  <c r="N168" i="9"/>
  <c r="H172" i="9"/>
  <c r="E172" i="9" s="1"/>
  <c r="M174" i="9" a="1"/>
  <c r="M174" i="9" s="1"/>
  <c r="H180" i="9"/>
  <c r="E180" i="9" s="1"/>
  <c r="Q182" i="9"/>
  <c r="P182" i="9" s="1"/>
  <c r="H184" i="9"/>
  <c r="E184" i="9" s="1"/>
  <c r="J188" i="9"/>
  <c r="N188" i="9"/>
  <c r="J193" i="9"/>
  <c r="D199" i="9" a="1"/>
  <c r="D199" i="9" s="1"/>
  <c r="F199" i="9" s="1"/>
  <c r="G199" i="9" s="1"/>
  <c r="H201" i="9"/>
  <c r="E201" i="9" s="1"/>
  <c r="N201" i="9"/>
  <c r="D203" i="9" a="1"/>
  <c r="D203" i="9" s="1"/>
  <c r="F203" i="9" s="1"/>
  <c r="G203" i="9" s="1"/>
  <c r="Q205" i="9"/>
  <c r="P205" i="9" s="1"/>
  <c r="H207" i="9"/>
  <c r="E207" i="9" s="1"/>
  <c r="J104" i="9"/>
  <c r="B116" i="9"/>
  <c r="N116" i="9"/>
  <c r="D157" i="9" a="1"/>
  <c r="D157" i="9" s="1"/>
  <c r="F157" i="9" s="1"/>
  <c r="G157" i="9" s="1"/>
  <c r="N157" i="9"/>
  <c r="M51" i="9" a="1"/>
  <c r="M51" i="9" s="1"/>
  <c r="I53" i="9" a="1"/>
  <c r="I53" i="9" s="1"/>
  <c r="M63" i="9" a="1"/>
  <c r="M63" i="9" s="1"/>
  <c r="N63" i="9"/>
  <c r="L64" i="9"/>
  <c r="J65" i="9"/>
  <c r="H72" i="9"/>
  <c r="E72" i="9" s="1"/>
  <c r="J82" i="9"/>
  <c r="H86" i="9"/>
  <c r="E86" i="9" s="1"/>
  <c r="M90" i="9" a="1"/>
  <c r="M90" i="9" s="1"/>
  <c r="N90" i="9"/>
  <c r="Q98" i="9"/>
  <c r="P98" i="9" s="1"/>
  <c r="M102" i="9" a="1"/>
  <c r="M102" i="9" s="1"/>
  <c r="J114" i="9"/>
  <c r="H118" i="9"/>
  <c r="E118" i="9" s="1"/>
  <c r="M132" i="9" a="1"/>
  <c r="M132" i="9" s="1"/>
  <c r="Q133" i="9"/>
  <c r="P133" i="9" s="1"/>
  <c r="J136" i="9"/>
  <c r="Q140" i="9"/>
  <c r="P140" i="9" s="1"/>
  <c r="Q144" i="9"/>
  <c r="P144" i="9" s="1"/>
  <c r="N144" i="9"/>
  <c r="Q148" i="9"/>
  <c r="P148" i="9" s="1"/>
  <c r="N148" i="9"/>
  <c r="H152" i="9"/>
  <c r="E152" i="9" s="1"/>
  <c r="Q153" i="9"/>
  <c r="P153" i="9" s="1"/>
  <c r="I157" i="9"/>
  <c r="H160" i="9"/>
  <c r="E160" i="9" s="1"/>
  <c r="B162" i="9"/>
  <c r="N162" i="9"/>
  <c r="M165" i="9" a="1"/>
  <c r="M165" i="9" s="1"/>
  <c r="J166" i="9"/>
  <c r="Q169" i="9"/>
  <c r="P169" i="9" s="1"/>
  <c r="J172" i="9"/>
  <c r="M175" i="9" a="1"/>
  <c r="M175" i="9" s="1"/>
  <c r="N175" i="9"/>
  <c r="J180" i="9"/>
  <c r="J183" i="9"/>
  <c r="N183" i="9"/>
  <c r="J184" i="9"/>
  <c r="Q193" i="9"/>
  <c r="P193" i="9" s="1"/>
  <c r="M207" i="9" a="1"/>
  <c r="M207" i="9" s="1"/>
  <c r="B70" i="9"/>
  <c r="N70" i="9"/>
  <c r="H210" i="9"/>
  <c r="E210" i="9" s="1"/>
  <c r="N210" i="9"/>
  <c r="B62" i="9"/>
  <c r="N62" i="9"/>
  <c r="D65" i="9" a="1"/>
  <c r="D65" i="9" s="1"/>
  <c r="F65" i="9" s="1"/>
  <c r="G65" i="9" s="1"/>
  <c r="I70" i="9" a="1"/>
  <c r="I70" i="9" s="1"/>
  <c r="I101" i="9" a="1"/>
  <c r="I101" i="9" s="1"/>
  <c r="N101" i="9"/>
  <c r="D114" i="9" a="1"/>
  <c r="D114" i="9" s="1"/>
  <c r="F114" i="9" s="1"/>
  <c r="G114" i="9" s="1"/>
  <c r="B127" i="9"/>
  <c r="N127" i="9"/>
  <c r="D165" i="9" a="1"/>
  <c r="D165" i="9" s="1"/>
  <c r="F165" i="9" s="1"/>
  <c r="G165" i="9" s="1"/>
  <c r="Q51" i="9"/>
  <c r="P51" i="9" s="1"/>
  <c r="D63" i="9" a="1"/>
  <c r="D63" i="9" s="1"/>
  <c r="F63" i="9" s="1"/>
  <c r="G63" i="9" s="1"/>
  <c r="M64" i="9" a="1"/>
  <c r="M64" i="9" s="1"/>
  <c r="L65" i="9"/>
  <c r="J72" i="9"/>
  <c r="J86" i="9"/>
  <c r="D90" i="9" a="1"/>
  <c r="D90" i="9" s="1"/>
  <c r="F90" i="9" s="1"/>
  <c r="G90" i="9" s="1"/>
  <c r="I94" i="9" a="1"/>
  <c r="I94" i="9" s="1"/>
  <c r="N94" i="9"/>
  <c r="B99" i="9"/>
  <c r="Q101" i="9"/>
  <c r="P101" i="9" s="1"/>
  <c r="Q102" i="9"/>
  <c r="P102" i="9" s="1"/>
  <c r="M114" i="9" a="1"/>
  <c r="M114" i="9" s="1"/>
  <c r="J118" i="9"/>
  <c r="M122" i="9" a="1"/>
  <c r="M122" i="9" s="1"/>
  <c r="N122" i="9"/>
  <c r="J125" i="9"/>
  <c r="Q132" i="9"/>
  <c r="P132" i="9" s="1"/>
  <c r="Q136" i="9"/>
  <c r="P136" i="9" s="1"/>
  <c r="D139" i="9" a="1"/>
  <c r="D139" i="9" s="1"/>
  <c r="F139" i="9" s="1"/>
  <c r="G139" i="9" s="1"/>
  <c r="N139" i="9"/>
  <c r="D144" i="9" a="1"/>
  <c r="D144" i="9" s="1"/>
  <c r="F144" i="9" s="1"/>
  <c r="G144" i="9" s="1"/>
  <c r="D148" i="9" a="1"/>
  <c r="D148" i="9" s="1"/>
  <c r="F148" i="9" s="1"/>
  <c r="G148" i="9" s="1"/>
  <c r="J149" i="9"/>
  <c r="H151" i="9"/>
  <c r="E151" i="9" s="1"/>
  <c r="N151" i="9"/>
  <c r="I152" i="9"/>
  <c r="H156" i="9"/>
  <c r="E156" i="9" s="1"/>
  <c r="M157" i="9" a="1"/>
  <c r="M157" i="9" s="1"/>
  <c r="I160" i="9"/>
  <c r="H162" i="9"/>
  <c r="E162" i="9" s="1"/>
  <c r="H164" i="9"/>
  <c r="E164" i="9" s="1"/>
  <c r="Q165" i="9"/>
  <c r="P165" i="9" s="1"/>
  <c r="M166" i="9" a="1"/>
  <c r="M166" i="9" s="1"/>
  <c r="B170" i="9"/>
  <c r="N170" i="9"/>
  <c r="M173" i="9" a="1"/>
  <c r="M173" i="9" s="1"/>
  <c r="N173" i="9"/>
  <c r="H175" i="9"/>
  <c r="E175" i="9" s="1"/>
  <c r="M180" i="9" a="1"/>
  <c r="M180" i="9" s="1"/>
  <c r="D183" i="9" a="1"/>
  <c r="D183" i="9" s="1"/>
  <c r="F183" i="9" s="1"/>
  <c r="G183" i="9" s="1"/>
  <c r="M184" i="9" a="1"/>
  <c r="M184" i="9" s="1"/>
  <c r="J192" i="9"/>
  <c r="N192" i="9"/>
  <c r="H206" i="9"/>
  <c r="E206" i="9" s="1"/>
  <c r="N206" i="9"/>
  <c r="I77" i="9" a="1"/>
  <c r="I77" i="9" s="1"/>
  <c r="N77" i="9"/>
  <c r="M82" i="9" a="1"/>
  <c r="M82" i="9" s="1"/>
  <c r="N82" i="9"/>
  <c r="Q120" i="9"/>
  <c r="P120" i="9" s="1"/>
  <c r="N120" i="9"/>
  <c r="D132" i="9" a="1"/>
  <c r="D132" i="9" s="1"/>
  <c r="F132" i="9" s="1"/>
  <c r="G132" i="9" s="1"/>
  <c r="D186" i="9" a="1"/>
  <c r="D186" i="9" s="1"/>
  <c r="F186" i="9" s="1"/>
  <c r="G186" i="9" s="1"/>
  <c r="H1" i="9"/>
  <c r="E1" i="9" s="1"/>
  <c r="H48" i="9"/>
  <c r="J63" i="9"/>
  <c r="Q64" i="9"/>
  <c r="P64" i="9" s="1"/>
  <c r="M65" i="9" a="1"/>
  <c r="M65" i="9" s="1"/>
  <c r="H67" i="9"/>
  <c r="E67" i="9" s="1"/>
  <c r="I78" i="9" a="1"/>
  <c r="I78" i="9" s="1"/>
  <c r="N78" i="9"/>
  <c r="M86" i="9" a="1"/>
  <c r="M86" i="9" s="1"/>
  <c r="D96" i="9" a="1"/>
  <c r="D96" i="9" s="1"/>
  <c r="F96" i="9" s="1"/>
  <c r="G96" i="9" s="1"/>
  <c r="N96" i="9"/>
  <c r="I110" i="9" a="1"/>
  <c r="I110" i="9" s="1"/>
  <c r="N110" i="9"/>
  <c r="M118" i="9" a="1"/>
  <c r="M118" i="9" s="1"/>
  <c r="M134" i="9" a="1"/>
  <c r="M134" i="9" s="1"/>
  <c r="N134" i="9"/>
  <c r="H144" i="9"/>
  <c r="E144" i="9" s="1"/>
  <c r="H147" i="9"/>
  <c r="E147" i="9" s="1"/>
  <c r="N147" i="9"/>
  <c r="H148" i="9"/>
  <c r="E148" i="9" s="1"/>
  <c r="M149" i="9" a="1"/>
  <c r="M149" i="9" s="1"/>
  <c r="M152" i="9" a="1"/>
  <c r="M152" i="9" s="1"/>
  <c r="I156" i="9"/>
  <c r="B158" i="9"/>
  <c r="N158" i="9"/>
  <c r="M160" i="9" a="1"/>
  <c r="M160" i="9" s="1"/>
  <c r="Q162" i="9"/>
  <c r="P162" i="9" s="1"/>
  <c r="J164" i="9"/>
  <c r="B166" i="9"/>
  <c r="B169" i="9"/>
  <c r="B174" i="9"/>
  <c r="Q181" i="9"/>
  <c r="P181" i="9" s="1"/>
  <c r="N181" i="9"/>
  <c r="H183" i="9"/>
  <c r="E183" i="9" s="1"/>
  <c r="Q184" i="9"/>
  <c r="P184" i="9" s="1"/>
  <c r="D192" i="9" a="1"/>
  <c r="D192" i="9" s="1"/>
  <c r="F192" i="9" s="1"/>
  <c r="G192" i="9" s="1"/>
  <c r="H194" i="9"/>
  <c r="E194" i="9" s="1"/>
  <c r="D197" i="9" a="1"/>
  <c r="D197" i="9" s="1"/>
  <c r="F197" i="9" s="1"/>
  <c r="G197" i="9" s="1"/>
  <c r="Q209" i="9"/>
  <c r="P209" i="9" s="1"/>
  <c r="N209" i="9"/>
  <c r="L191" i="9"/>
  <c r="N51" i="9"/>
  <c r="I114" i="9" a="1"/>
  <c r="I114" i="9" s="1"/>
  <c r="N114" i="9"/>
  <c r="M150" i="9" a="1"/>
  <c r="M150" i="9" s="1"/>
  <c r="N150" i="9"/>
  <c r="D153" i="9" a="1"/>
  <c r="D153" i="9" s="1"/>
  <c r="F153" i="9" s="1"/>
  <c r="G153" i="9" s="1"/>
  <c r="N153" i="9"/>
  <c r="D161" i="9" a="1"/>
  <c r="D161" i="9" s="1"/>
  <c r="F161" i="9" s="1"/>
  <c r="G161" i="9" s="1"/>
  <c r="N161" i="9"/>
  <c r="L53" i="9"/>
  <c r="N53" i="9"/>
  <c r="D64" i="9" a="1"/>
  <c r="D64" i="9" s="1"/>
  <c r="F64" i="9" s="1"/>
  <c r="G64" i="9" s="1"/>
  <c r="I72" i="9" a="1"/>
  <c r="I72" i="9" s="1"/>
  <c r="N72" i="9"/>
  <c r="D77" i="9" a="1"/>
  <c r="D77" i="9" s="1"/>
  <c r="F77" i="9" s="1"/>
  <c r="G77" i="9" s="1"/>
  <c r="D82" i="9" a="1"/>
  <c r="D82" i="9" s="1"/>
  <c r="F82" i="9" s="1"/>
  <c r="G82" i="9" s="1"/>
  <c r="H161" i="9"/>
  <c r="E161" i="9" s="1"/>
  <c r="H195" i="9"/>
  <c r="E195" i="9" s="1"/>
  <c r="N195" i="9"/>
  <c r="B51" i="9"/>
  <c r="Q53" i="9"/>
  <c r="P53" i="9" s="1"/>
  <c r="Q63" i="9"/>
  <c r="P63" i="9" s="1"/>
  <c r="B65" i="9"/>
  <c r="Q65" i="9"/>
  <c r="P65" i="9" s="1"/>
  <c r="B69" i="9"/>
  <c r="N69" i="9"/>
  <c r="Q72" i="9"/>
  <c r="P72" i="9" s="1"/>
  <c r="D80" i="9" a="1"/>
  <c r="D80" i="9" s="1"/>
  <c r="F80" i="9" s="1"/>
  <c r="G80" i="9" s="1"/>
  <c r="N80" i="9"/>
  <c r="B82" i="9"/>
  <c r="B84" i="9"/>
  <c r="N84" i="9"/>
  <c r="Q86" i="9"/>
  <c r="P86" i="9" s="1"/>
  <c r="Q89" i="9"/>
  <c r="P89" i="9" s="1"/>
  <c r="N89" i="9"/>
  <c r="H90" i="9"/>
  <c r="E90" i="9" s="1"/>
  <c r="I93" i="9" a="1"/>
  <c r="I93" i="9" s="1"/>
  <c r="N93" i="9"/>
  <c r="M98" i="9" a="1"/>
  <c r="M98" i="9" s="1"/>
  <c r="N98" i="9"/>
  <c r="B100" i="9"/>
  <c r="N100" i="9"/>
  <c r="I102" i="9" a="1"/>
  <c r="I102" i="9" s="1"/>
  <c r="N102" i="9"/>
  <c r="B104" i="9"/>
  <c r="D112" i="9" a="1"/>
  <c r="D112" i="9" s="1"/>
  <c r="F112" i="9" s="1"/>
  <c r="G112" i="9" s="1"/>
  <c r="N112" i="9"/>
  <c r="B114" i="9"/>
  <c r="B115" i="9"/>
  <c r="Q118" i="9"/>
  <c r="P118" i="9" s="1"/>
  <c r="I129" i="9" a="1"/>
  <c r="I129" i="9" s="1"/>
  <c r="N129" i="9"/>
  <c r="J131" i="9"/>
  <c r="N131" i="9"/>
  <c r="I133" i="9" a="1"/>
  <c r="I133" i="9" s="1"/>
  <c r="N133" i="9"/>
  <c r="I137" i="9" a="1"/>
  <c r="I137" i="9" s="1"/>
  <c r="N137" i="9"/>
  <c r="B153" i="9"/>
  <c r="B159" i="9"/>
  <c r="N159" i="9"/>
  <c r="B161" i="9"/>
  <c r="B163" i="9"/>
  <c r="N163" i="9"/>
  <c r="Q166" i="9"/>
  <c r="P166" i="9" s="1"/>
  <c r="B210" i="9"/>
  <c r="L49" i="4"/>
  <c r="Q113" i="4"/>
  <c r="O113" i="4"/>
  <c r="F113" i="4"/>
  <c r="N113" i="4"/>
  <c r="E113" i="4"/>
  <c r="W113" i="4"/>
  <c r="AN113" i="5" s="1"/>
  <c r="M113" i="4"/>
  <c r="D113" i="4"/>
  <c r="V113" i="4"/>
  <c r="AM113" i="5" s="1"/>
  <c r="L113" i="4"/>
  <c r="C113" i="4"/>
  <c r="K113" i="4"/>
  <c r="B113" i="4"/>
  <c r="R113" i="4"/>
  <c r="H113" i="4"/>
  <c r="P113" i="4"/>
  <c r="G113" i="4"/>
  <c r="H41" i="4"/>
  <c r="W41" i="4"/>
  <c r="AN41" i="5" s="1"/>
  <c r="N46" i="4"/>
  <c r="C50" i="4"/>
  <c r="K54" i="4"/>
  <c r="D41" i="4"/>
  <c r="E41" i="4"/>
  <c r="O41" i="4"/>
  <c r="H42" i="4"/>
  <c r="K45" i="4"/>
  <c r="V45" i="4"/>
  <c r="AM45" i="5" s="1"/>
  <c r="J47" i="4"/>
  <c r="H49" i="4"/>
  <c r="S49" i="4"/>
  <c r="K50" i="4"/>
  <c r="H51" i="4"/>
  <c r="E54" i="4"/>
  <c r="O54" i="4"/>
  <c r="C55" i="4"/>
  <c r="V55" i="4"/>
  <c r="AM55" i="5" s="1"/>
  <c r="W56" i="4"/>
  <c r="AN56" i="5" s="1"/>
  <c r="M57" i="4"/>
  <c r="I58" i="4"/>
  <c r="G59" i="4"/>
  <c r="Q59" i="4"/>
  <c r="G60" i="4"/>
  <c r="N61" i="4"/>
  <c r="C62" i="4"/>
  <c r="R62" i="4"/>
  <c r="C64" i="4"/>
  <c r="M64" i="4"/>
  <c r="M66" i="4"/>
  <c r="B67" i="4"/>
  <c r="O67" i="4"/>
  <c r="E68" i="4"/>
  <c r="O68" i="4"/>
  <c r="I70" i="4"/>
  <c r="P71" i="4"/>
  <c r="D72" i="4"/>
  <c r="N72" i="4"/>
  <c r="D73" i="4"/>
  <c r="Q73" i="4"/>
  <c r="J74" i="4"/>
  <c r="B75" i="4"/>
  <c r="P75" i="4"/>
  <c r="J76" i="4"/>
  <c r="W76" i="4"/>
  <c r="AN76" i="5" s="1"/>
  <c r="C78" i="4"/>
  <c r="C84" i="4"/>
  <c r="H88" i="4"/>
  <c r="K100" i="4"/>
  <c r="J101" i="4"/>
  <c r="M104" i="4"/>
  <c r="Q111" i="4"/>
  <c r="R111" i="4"/>
  <c r="G111" i="4"/>
  <c r="P111" i="4"/>
  <c r="F111" i="4"/>
  <c r="O111" i="4"/>
  <c r="D111" i="4"/>
  <c r="N111" i="4"/>
  <c r="C111" i="4"/>
  <c r="L111" i="4"/>
  <c r="B111" i="4"/>
  <c r="J111" i="4"/>
  <c r="S111" i="4"/>
  <c r="H111" i="4"/>
  <c r="Q123" i="4"/>
  <c r="R123" i="4"/>
  <c r="G123" i="4"/>
  <c r="P123" i="4"/>
  <c r="F123" i="4"/>
  <c r="O123" i="4"/>
  <c r="D123" i="4"/>
  <c r="N123" i="4"/>
  <c r="C123" i="4"/>
  <c r="L123" i="4"/>
  <c r="B123" i="4"/>
  <c r="J123" i="4"/>
  <c r="S123" i="4"/>
  <c r="H123" i="4"/>
  <c r="O74" i="4"/>
  <c r="K99" i="4"/>
  <c r="R99" i="4"/>
  <c r="Q99" i="4"/>
  <c r="P99" i="4"/>
  <c r="J99" i="4"/>
  <c r="B99" i="4"/>
  <c r="F41" i="4"/>
  <c r="P41" i="4"/>
  <c r="M42" i="4"/>
  <c r="L45" i="4"/>
  <c r="W45" i="4"/>
  <c r="AN45" i="5" s="1"/>
  <c r="I49" i="4"/>
  <c r="V49" i="4"/>
  <c r="AM49" i="5" s="1"/>
  <c r="M50" i="4"/>
  <c r="I51" i="4"/>
  <c r="F54" i="4"/>
  <c r="P54" i="4"/>
  <c r="N57" i="4"/>
  <c r="O58" i="4"/>
  <c r="H59" i="4"/>
  <c r="R59" i="4"/>
  <c r="K60" i="4"/>
  <c r="O61" i="4"/>
  <c r="E62" i="4"/>
  <c r="V62" i="4"/>
  <c r="AM62" i="5" s="1"/>
  <c r="N66" i="4"/>
  <c r="C67" i="4"/>
  <c r="R67" i="4"/>
  <c r="F68" i="4"/>
  <c r="R68" i="4"/>
  <c r="J70" i="4"/>
  <c r="E72" i="4"/>
  <c r="O72" i="4"/>
  <c r="E73" i="4"/>
  <c r="W73" i="4"/>
  <c r="AN73" i="5" s="1"/>
  <c r="N74" i="4"/>
  <c r="C75" i="4"/>
  <c r="Q75" i="4"/>
  <c r="P77" i="4"/>
  <c r="W77" i="4"/>
  <c r="AN77" i="5" s="1"/>
  <c r="G77" i="4"/>
  <c r="V77" i="4"/>
  <c r="AM77" i="5" s="1"/>
  <c r="E77" i="4"/>
  <c r="L77" i="4"/>
  <c r="H78" i="4"/>
  <c r="D84" i="4"/>
  <c r="V84" i="4"/>
  <c r="AM84" i="5" s="1"/>
  <c r="J88" i="4"/>
  <c r="M100" i="4"/>
  <c r="K101" i="4"/>
  <c r="Q125" i="4"/>
  <c r="O125" i="4"/>
  <c r="F125" i="4"/>
  <c r="N125" i="4"/>
  <c r="E125" i="4"/>
  <c r="W125" i="4"/>
  <c r="AN125" i="5" s="1"/>
  <c r="M125" i="4"/>
  <c r="D125" i="4"/>
  <c r="V125" i="4"/>
  <c r="AM125" i="5" s="1"/>
  <c r="L125" i="4"/>
  <c r="C125" i="4"/>
  <c r="K125" i="4"/>
  <c r="B125" i="4"/>
  <c r="R125" i="4"/>
  <c r="H125" i="4"/>
  <c r="P125" i="4"/>
  <c r="G125" i="4"/>
  <c r="W49" i="4"/>
  <c r="AN49" i="5" s="1"/>
  <c r="T95" i="4"/>
  <c r="L95" i="4"/>
  <c r="I95" i="4"/>
  <c r="D95" i="4"/>
  <c r="C95" i="4"/>
  <c r="P95" i="4"/>
  <c r="H54" i="4"/>
  <c r="R54" i="4"/>
  <c r="K59" i="4"/>
  <c r="V59" i="4"/>
  <c r="AM59" i="5" s="1"/>
  <c r="P70" i="4"/>
  <c r="G72" i="4"/>
  <c r="S72" i="4"/>
  <c r="B74" i="4"/>
  <c r="P74" i="4"/>
  <c r="Q76" i="4"/>
  <c r="P76" i="4"/>
  <c r="G76" i="4"/>
  <c r="O76" i="4"/>
  <c r="F76" i="4"/>
  <c r="K76" i="4"/>
  <c r="B76" i="4"/>
  <c r="N76" i="4"/>
  <c r="W85" i="4"/>
  <c r="AN85" i="5" s="1"/>
  <c r="P85" i="4"/>
  <c r="G85" i="4"/>
  <c r="F85" i="4"/>
  <c r="O88" i="4"/>
  <c r="B95" i="4"/>
  <c r="C99" i="4"/>
  <c r="J113" i="4"/>
  <c r="E46" i="4"/>
  <c r="C49" i="4"/>
  <c r="M49" i="4"/>
  <c r="Q50" i="4"/>
  <c r="K41" i="4"/>
  <c r="V41" i="4"/>
  <c r="AM41" i="5" s="1"/>
  <c r="O43" i="4"/>
  <c r="E45" i="4"/>
  <c r="O45" i="4"/>
  <c r="H46" i="4"/>
  <c r="D49" i="4"/>
  <c r="N49" i="4"/>
  <c r="B50" i="4"/>
  <c r="V50" i="4"/>
  <c r="AM50" i="5" s="1"/>
  <c r="R51" i="4"/>
  <c r="S53" i="4"/>
  <c r="I54" i="4"/>
  <c r="V54" i="4"/>
  <c r="AM54" i="5" s="1"/>
  <c r="L55" i="4"/>
  <c r="I56" i="4"/>
  <c r="E57" i="4"/>
  <c r="V57" i="4"/>
  <c r="AM57" i="5" s="1"/>
  <c r="B59" i="4"/>
  <c r="L59" i="4"/>
  <c r="Q60" i="4"/>
  <c r="S61" i="4"/>
  <c r="K62" i="4"/>
  <c r="I63" i="4"/>
  <c r="I67" i="4"/>
  <c r="K68" i="4"/>
  <c r="V68" i="4"/>
  <c r="AM68" i="5" s="1"/>
  <c r="C70" i="4"/>
  <c r="Q70" i="4"/>
  <c r="J72" i="4"/>
  <c r="L73" i="4"/>
  <c r="C74" i="4"/>
  <c r="R74" i="4"/>
  <c r="I75" i="4"/>
  <c r="C76" i="4"/>
  <c r="R76" i="4"/>
  <c r="O77" i="4"/>
  <c r="L84" i="4"/>
  <c r="Q85" i="4"/>
  <c r="M95" i="4"/>
  <c r="D99" i="4"/>
  <c r="S113" i="4"/>
  <c r="K72" i="4"/>
  <c r="V72" i="4"/>
  <c r="AM72" i="5" s="1"/>
  <c r="G74" i="4"/>
  <c r="S74" i="4"/>
  <c r="Q88" i="4"/>
  <c r="N88" i="4"/>
  <c r="E88" i="4"/>
  <c r="W88" i="4"/>
  <c r="AN88" i="5" s="1"/>
  <c r="M88" i="4"/>
  <c r="D88" i="4"/>
  <c r="V88" i="4"/>
  <c r="AM88" i="5" s="1"/>
  <c r="L88" i="4"/>
  <c r="C88" i="4"/>
  <c r="P88" i="4"/>
  <c r="G88" i="4"/>
  <c r="S88" i="4"/>
  <c r="S95" i="4"/>
  <c r="Q100" i="4"/>
  <c r="J100" i="4"/>
  <c r="S100" i="4"/>
  <c r="H100" i="4"/>
  <c r="R100" i="4"/>
  <c r="F100" i="4"/>
  <c r="P100" i="4"/>
  <c r="E100" i="4"/>
  <c r="W100" i="4"/>
  <c r="AN100" i="5" s="1"/>
  <c r="L100" i="4"/>
  <c r="B100" i="4"/>
  <c r="Q101" i="4"/>
  <c r="O101" i="4"/>
  <c r="F101" i="4"/>
  <c r="N101" i="4"/>
  <c r="E101" i="4"/>
  <c r="W101" i="4"/>
  <c r="AN101" i="5" s="1"/>
  <c r="M101" i="4"/>
  <c r="D101" i="4"/>
  <c r="V101" i="4"/>
  <c r="AM101" i="5" s="1"/>
  <c r="L101" i="4"/>
  <c r="C101" i="4"/>
  <c r="R101" i="4"/>
  <c r="H101" i="4"/>
  <c r="S104" i="4"/>
  <c r="L104" i="4"/>
  <c r="W104" i="4"/>
  <c r="AN104" i="5" s="1"/>
  <c r="J104" i="4"/>
  <c r="V104" i="4"/>
  <c r="AM104" i="5" s="1"/>
  <c r="H104" i="4"/>
  <c r="F104" i="4"/>
  <c r="N104" i="4"/>
  <c r="B104" i="4"/>
  <c r="L41" i="4"/>
  <c r="O49" i="4"/>
  <c r="C41" i="4"/>
  <c r="M41" i="4"/>
  <c r="G45" i="4"/>
  <c r="S45" i="4"/>
  <c r="Q46" i="4"/>
  <c r="F49" i="4"/>
  <c r="P49" i="4"/>
  <c r="E50" i="4"/>
  <c r="M52" i="4"/>
  <c r="B54" i="4"/>
  <c r="M54" i="4"/>
  <c r="Q55" i="4"/>
  <c r="Q56" i="4"/>
  <c r="I57" i="4"/>
  <c r="D59" i="4"/>
  <c r="O59" i="4"/>
  <c r="C60" i="4"/>
  <c r="V60" i="4"/>
  <c r="AM60" i="5" s="1"/>
  <c r="N62" i="4"/>
  <c r="K64" i="4"/>
  <c r="H66" i="4"/>
  <c r="W66" i="4"/>
  <c r="AN66" i="5" s="1"/>
  <c r="L67" i="4"/>
  <c r="C68" i="4"/>
  <c r="M68" i="4"/>
  <c r="P69" i="4"/>
  <c r="G70" i="4"/>
  <c r="S70" i="4"/>
  <c r="J71" i="4"/>
  <c r="B72" i="4"/>
  <c r="L72" i="4"/>
  <c r="W72" i="4"/>
  <c r="AN72" i="5" s="1"/>
  <c r="O73" i="4"/>
  <c r="H74" i="4"/>
  <c r="E76" i="4"/>
  <c r="P79" i="4"/>
  <c r="H79" i="4"/>
  <c r="S79" i="4"/>
  <c r="E79" i="4"/>
  <c r="L79" i="4"/>
  <c r="B88" i="4"/>
  <c r="Q96" i="4"/>
  <c r="N96" i="4"/>
  <c r="E96" i="4"/>
  <c r="W96" i="4"/>
  <c r="AN96" i="5" s="1"/>
  <c r="M96" i="4"/>
  <c r="D96" i="4"/>
  <c r="V96" i="4"/>
  <c r="AM96" i="5" s="1"/>
  <c r="L96" i="4"/>
  <c r="C96" i="4"/>
  <c r="K96" i="4"/>
  <c r="B96" i="4"/>
  <c r="P96" i="4"/>
  <c r="G96" i="4"/>
  <c r="C100" i="4"/>
  <c r="B101" i="4"/>
  <c r="D104" i="4"/>
  <c r="Q74" i="4"/>
  <c r="F74" i="4"/>
  <c r="E49" i="4"/>
  <c r="W50" i="4"/>
  <c r="AN50" i="5" s="1"/>
  <c r="W54" i="4"/>
  <c r="AN54" i="5" s="1"/>
  <c r="N41" i="4"/>
  <c r="G49" i="4"/>
  <c r="H50" i="4"/>
  <c r="C54" i="4"/>
  <c r="E59" i="4"/>
  <c r="M67" i="4"/>
  <c r="H70" i="4"/>
  <c r="W70" i="4"/>
  <c r="AN70" i="5" s="1"/>
  <c r="C72" i="4"/>
  <c r="M72" i="4"/>
  <c r="P73" i="4"/>
  <c r="I74" i="4"/>
  <c r="S75" i="4"/>
  <c r="R75" i="4"/>
  <c r="E75" i="4"/>
  <c r="M75" i="4"/>
  <c r="H76" i="4"/>
  <c r="V76" i="4"/>
  <c r="AM76" i="5" s="1"/>
  <c r="P78" i="4"/>
  <c r="Q78" i="4"/>
  <c r="O78" i="4"/>
  <c r="W78" i="4"/>
  <c r="AN78" i="5" s="1"/>
  <c r="G78" i="4"/>
  <c r="Q84" i="4"/>
  <c r="R84" i="4"/>
  <c r="H84" i="4"/>
  <c r="P84" i="4"/>
  <c r="G84" i="4"/>
  <c r="O84" i="4"/>
  <c r="F84" i="4"/>
  <c r="K84" i="4"/>
  <c r="B84" i="4"/>
  <c r="S84" i="4"/>
  <c r="F88" i="4"/>
  <c r="W93" i="4"/>
  <c r="AN93" i="5" s="1"/>
  <c r="P93" i="4"/>
  <c r="O93" i="4"/>
  <c r="N93" i="4"/>
  <c r="I93" i="4"/>
  <c r="D93" i="4"/>
  <c r="F96" i="4"/>
  <c r="D100" i="4"/>
  <c r="G101" i="4"/>
  <c r="E104" i="4"/>
  <c r="J106" i="4"/>
  <c r="P106" i="4"/>
  <c r="N106" i="4"/>
  <c r="C80" i="4"/>
  <c r="L80" i="4"/>
  <c r="V80" i="4"/>
  <c r="AM80" i="5" s="1"/>
  <c r="P87" i="4"/>
  <c r="I89" i="4"/>
  <c r="J90" i="4"/>
  <c r="P91" i="4"/>
  <c r="F92" i="4"/>
  <c r="O92" i="4"/>
  <c r="S94" i="4"/>
  <c r="E97" i="4"/>
  <c r="P97" i="4"/>
  <c r="I102" i="4"/>
  <c r="C103" i="4"/>
  <c r="N103" i="4"/>
  <c r="C105" i="4"/>
  <c r="L105" i="4"/>
  <c r="V105" i="4"/>
  <c r="AM105" i="5" s="1"/>
  <c r="D107" i="4"/>
  <c r="O107" i="4"/>
  <c r="D108" i="4"/>
  <c r="P108" i="4"/>
  <c r="W109" i="4"/>
  <c r="AN109" i="5" s="1"/>
  <c r="H112" i="4"/>
  <c r="V112" i="4"/>
  <c r="AM112" i="5" s="1"/>
  <c r="G115" i="4"/>
  <c r="R115" i="4"/>
  <c r="F116" i="4"/>
  <c r="F117" i="4"/>
  <c r="O117" i="4"/>
  <c r="B118" i="4"/>
  <c r="G119" i="4"/>
  <c r="R119" i="4"/>
  <c r="F120" i="4"/>
  <c r="F121" i="4"/>
  <c r="O121" i="4"/>
  <c r="H124" i="4"/>
  <c r="V124" i="4"/>
  <c r="AM124" i="5" s="1"/>
  <c r="K127" i="4"/>
  <c r="W127" i="4"/>
  <c r="AN127" i="5" s="1"/>
  <c r="H129" i="4"/>
  <c r="R129" i="4"/>
  <c r="D131" i="4"/>
  <c r="P131" i="4"/>
  <c r="D133" i="4"/>
  <c r="M133" i="4"/>
  <c r="W133" i="4"/>
  <c r="AN133" i="5" s="1"/>
  <c r="K135" i="4"/>
  <c r="J137" i="4"/>
  <c r="S137" i="4"/>
  <c r="F139" i="4"/>
  <c r="S139" i="4"/>
  <c r="B143" i="4"/>
  <c r="N143" i="4"/>
  <c r="J129" i="4"/>
  <c r="S129" i="4"/>
  <c r="L135" i="4"/>
  <c r="J92" i="4"/>
  <c r="S92" i="4"/>
  <c r="M112" i="4"/>
  <c r="K115" i="4"/>
  <c r="W115" i="4"/>
  <c r="AN115" i="5" s="1"/>
  <c r="J117" i="4"/>
  <c r="S117" i="4"/>
  <c r="K119" i="4"/>
  <c r="W119" i="4"/>
  <c r="AN119" i="5" s="1"/>
  <c r="J121" i="4"/>
  <c r="S121" i="4"/>
  <c r="M124" i="4"/>
  <c r="D127" i="4"/>
  <c r="O127" i="4"/>
  <c r="C129" i="4"/>
  <c r="L129" i="4"/>
  <c r="V129" i="4"/>
  <c r="AM129" i="5" s="1"/>
  <c r="H131" i="4"/>
  <c r="G133" i="4"/>
  <c r="P133" i="4"/>
  <c r="C135" i="4"/>
  <c r="P135" i="4"/>
  <c r="D137" i="4"/>
  <c r="M137" i="4"/>
  <c r="W137" i="4"/>
  <c r="AN137" i="5" s="1"/>
  <c r="K139" i="4"/>
  <c r="J141" i="4"/>
  <c r="S141" i="4"/>
  <c r="F143" i="4"/>
  <c r="S143" i="4"/>
  <c r="F145" i="4"/>
  <c r="O145" i="4"/>
  <c r="G80" i="4"/>
  <c r="P80" i="4"/>
  <c r="Q86" i="4"/>
  <c r="W89" i="4"/>
  <c r="AN89" i="5" s="1"/>
  <c r="B92" i="4"/>
  <c r="K92" i="4"/>
  <c r="I94" i="4"/>
  <c r="L97" i="4"/>
  <c r="R102" i="4"/>
  <c r="H103" i="4"/>
  <c r="S103" i="4"/>
  <c r="G105" i="4"/>
  <c r="P105" i="4"/>
  <c r="J108" i="4"/>
  <c r="W108" i="4"/>
  <c r="AN108" i="5" s="1"/>
  <c r="B112" i="4"/>
  <c r="N112" i="4"/>
  <c r="B115" i="4"/>
  <c r="L115" i="4"/>
  <c r="M116" i="4"/>
  <c r="B117" i="4"/>
  <c r="K117" i="4"/>
  <c r="B119" i="4"/>
  <c r="L119" i="4"/>
  <c r="M120" i="4"/>
  <c r="B121" i="4"/>
  <c r="K121" i="4"/>
  <c r="B124" i="4"/>
  <c r="N124" i="4"/>
  <c r="D129" i="4"/>
  <c r="M129" i="4"/>
  <c r="W129" i="4"/>
  <c r="AN129" i="5" s="1"/>
  <c r="J131" i="4"/>
  <c r="W131" i="4"/>
  <c r="AN131" i="5" s="1"/>
  <c r="D135" i="4"/>
  <c r="R135" i="4"/>
  <c r="L139" i="4"/>
  <c r="H143" i="4"/>
  <c r="H80" i="4"/>
  <c r="R80" i="4"/>
  <c r="D91" i="4"/>
  <c r="C92" i="4"/>
  <c r="L92" i="4"/>
  <c r="V92" i="4"/>
  <c r="AM92" i="5" s="1"/>
  <c r="M97" i="4"/>
  <c r="W102" i="4"/>
  <c r="AN102" i="5" s="1"/>
  <c r="J103" i="4"/>
  <c r="H105" i="4"/>
  <c r="R105" i="4"/>
  <c r="K107" i="4"/>
  <c r="W107" i="4"/>
  <c r="AN107" i="5" s="1"/>
  <c r="L108" i="4"/>
  <c r="J109" i="4"/>
  <c r="S109" i="4"/>
  <c r="D112" i="4"/>
  <c r="P112" i="4"/>
  <c r="C115" i="4"/>
  <c r="N115" i="4"/>
  <c r="B116" i="4"/>
  <c r="N116" i="4"/>
  <c r="C117" i="4"/>
  <c r="L117" i="4"/>
  <c r="V117" i="4"/>
  <c r="AM117" i="5" s="1"/>
  <c r="C119" i="4"/>
  <c r="N119" i="4"/>
  <c r="B120" i="4"/>
  <c r="N120" i="4"/>
  <c r="C121" i="4"/>
  <c r="L121" i="4"/>
  <c r="V121" i="4"/>
  <c r="AM121" i="5" s="1"/>
  <c r="D124" i="4"/>
  <c r="P124" i="4"/>
  <c r="E129" i="4"/>
  <c r="N129" i="4"/>
  <c r="K131" i="4"/>
  <c r="J133" i="4"/>
  <c r="S133" i="4"/>
  <c r="F135" i="4"/>
  <c r="S135" i="4"/>
  <c r="B139" i="4"/>
  <c r="N139" i="4"/>
  <c r="J143" i="4"/>
  <c r="W143" i="4"/>
  <c r="AN143" i="5" s="1"/>
  <c r="J80" i="4"/>
  <c r="S80" i="4"/>
  <c r="D92" i="4"/>
  <c r="M92" i="4"/>
  <c r="W92" i="4"/>
  <c r="AN92" i="5" s="1"/>
  <c r="N97" i="4"/>
  <c r="K103" i="4"/>
  <c r="W103" i="4"/>
  <c r="AN103" i="5" s="1"/>
  <c r="J105" i="4"/>
  <c r="S105" i="4"/>
  <c r="M108" i="4"/>
  <c r="E112" i="4"/>
  <c r="R112" i="4"/>
  <c r="D115" i="4"/>
  <c r="O115" i="4"/>
  <c r="D116" i="4"/>
  <c r="P116" i="4"/>
  <c r="D117" i="4"/>
  <c r="M117" i="4"/>
  <c r="W117" i="4"/>
  <c r="AN117" i="5" s="1"/>
  <c r="D119" i="4"/>
  <c r="O119" i="4"/>
  <c r="D120" i="4"/>
  <c r="P120" i="4"/>
  <c r="D121" i="4"/>
  <c r="M121" i="4"/>
  <c r="W121" i="4"/>
  <c r="AN121" i="5" s="1"/>
  <c r="E124" i="4"/>
  <c r="R124" i="4"/>
  <c r="H127" i="4"/>
  <c r="S127" i="4"/>
  <c r="F129" i="4"/>
  <c r="O129" i="4"/>
  <c r="B131" i="4"/>
  <c r="L131" i="4"/>
  <c r="B133" i="4"/>
  <c r="K133" i="4"/>
  <c r="H135" i="4"/>
  <c r="G137" i="4"/>
  <c r="P137" i="4"/>
  <c r="C139" i="4"/>
  <c r="P139" i="4"/>
  <c r="D141" i="4"/>
  <c r="M141" i="4"/>
  <c r="W141" i="4"/>
  <c r="AN141" i="5" s="1"/>
  <c r="K143" i="4"/>
  <c r="J145" i="4"/>
  <c r="S145" i="4"/>
  <c r="F124" i="4"/>
  <c r="R126" i="4"/>
  <c r="J127" i="4"/>
  <c r="G129" i="4"/>
  <c r="P129" i="4"/>
  <c r="C131" i="4"/>
  <c r="N131" i="4"/>
  <c r="C133" i="4"/>
  <c r="L133" i="4"/>
  <c r="V133" i="4"/>
  <c r="AM133" i="5" s="1"/>
  <c r="J135" i="4"/>
  <c r="W135" i="4"/>
  <c r="AN135" i="5" s="1"/>
  <c r="D139" i="4"/>
  <c r="R139" i="4"/>
  <c r="L143" i="4"/>
  <c r="G6" i="6"/>
  <c r="N6" i="6"/>
  <c r="H6" i="6" s="1"/>
  <c r="H8" i="6"/>
  <c r="H4" i="6"/>
  <c r="N2" i="6"/>
  <c r="H2" i="6" s="1"/>
  <c r="J15" i="11"/>
  <c r="A6" i="4"/>
  <c r="A7" i="4"/>
  <c r="A7" i="5"/>
  <c r="AH7" i="5" s="1"/>
  <c r="A6" i="5"/>
  <c r="AH6" i="5" s="1"/>
  <c r="C231" i="9"/>
  <c r="C225" i="9"/>
  <c r="C235" i="9"/>
  <c r="C243" i="9"/>
  <c r="C248" i="9"/>
  <c r="C227" i="9"/>
  <c r="H248" i="9"/>
  <c r="Q248" i="9" s="1"/>
  <c r="P248" i="9" s="1"/>
  <c r="C223" i="9"/>
  <c r="C239" i="9"/>
  <c r="C226" i="9"/>
  <c r="C219" i="9"/>
  <c r="C233" i="9"/>
  <c r="H247" i="9"/>
  <c r="Q247" i="9" s="1"/>
  <c r="P247" i="9" s="1"/>
  <c r="H240" i="9"/>
  <c r="Q240" i="9" s="1"/>
  <c r="P240" i="9" s="1"/>
  <c r="C249" i="9"/>
  <c r="C241" i="9"/>
  <c r="H250" i="9"/>
  <c r="Q250" i="9" s="1"/>
  <c r="P250" i="9" s="1"/>
  <c r="H226" i="9"/>
  <c r="Q226" i="9" s="1"/>
  <c r="P226" i="9" s="1"/>
  <c r="H234" i="9"/>
  <c r="Q234" i="9" s="1"/>
  <c r="P234" i="9" s="1"/>
  <c r="H242" i="9"/>
  <c r="Q242" i="9" s="1"/>
  <c r="P242" i="9" s="1"/>
  <c r="C240" i="9"/>
  <c r="H249" i="9"/>
  <c r="Q249" i="9" s="1"/>
  <c r="P249" i="9" s="1"/>
  <c r="H225" i="9"/>
  <c r="Q225" i="9" s="1"/>
  <c r="P225" i="9" s="1"/>
  <c r="H233" i="9"/>
  <c r="Q233" i="9" s="1"/>
  <c r="P233" i="9" s="1"/>
  <c r="H241" i="9"/>
  <c r="Q241" i="9" s="1"/>
  <c r="P241" i="9" s="1"/>
  <c r="C250" i="9"/>
  <c r="C234" i="9"/>
  <c r="C242" i="9"/>
  <c r="C3" i="11"/>
  <c r="B3" i="11" s="1"/>
  <c r="C6" i="11"/>
  <c r="B6" i="11" s="1"/>
  <c r="C8" i="11"/>
  <c r="B8" i="11" s="1"/>
  <c r="C2" i="11"/>
  <c r="B2" i="11" s="1"/>
  <c r="C14" i="11"/>
  <c r="B14" i="11" s="1"/>
  <c r="C10" i="11"/>
  <c r="B10" i="11" s="1"/>
  <c r="C12" i="11"/>
  <c r="B12" i="11" s="1"/>
  <c r="C13" i="11"/>
  <c r="B13" i="11" s="1"/>
  <c r="O40" i="4"/>
  <c r="G40" i="4"/>
  <c r="N40" i="4"/>
  <c r="V40" i="4"/>
  <c r="AM40" i="5" s="1"/>
  <c r="M40" i="4"/>
  <c r="S40" i="4"/>
  <c r="K40" i="4"/>
  <c r="C40" i="4"/>
  <c r="R40" i="4"/>
  <c r="J40" i="4"/>
  <c r="B40" i="4"/>
  <c r="P40" i="4"/>
  <c r="H40" i="4"/>
  <c r="W40" i="4"/>
  <c r="AN40" i="5" s="1"/>
  <c r="F40" i="4"/>
  <c r="E40" i="4"/>
  <c r="M47" i="4"/>
  <c r="R65" i="4"/>
  <c r="J65" i="4"/>
  <c r="B65" i="4"/>
  <c r="N65" i="4"/>
  <c r="E65" i="4"/>
  <c r="W65" i="4"/>
  <c r="AN65" i="5" s="1"/>
  <c r="M65" i="4"/>
  <c r="D65" i="4"/>
  <c r="V65" i="4"/>
  <c r="AM65" i="5" s="1"/>
  <c r="L65" i="4"/>
  <c r="C65" i="4"/>
  <c r="S65" i="4"/>
  <c r="I65" i="4"/>
  <c r="Q65" i="4"/>
  <c r="H65" i="4"/>
  <c r="P65" i="4"/>
  <c r="G65" i="4"/>
  <c r="O65" i="4"/>
  <c r="F65" i="4"/>
  <c r="V44" i="4"/>
  <c r="AM44" i="5" s="1"/>
  <c r="M44" i="4"/>
  <c r="E44" i="4"/>
  <c r="S44" i="4"/>
  <c r="K44" i="4"/>
  <c r="C44" i="4"/>
  <c r="R44" i="4"/>
  <c r="J44" i="4"/>
  <c r="B44" i="4"/>
  <c r="P44" i="4"/>
  <c r="H44" i="4"/>
  <c r="O44" i="4"/>
  <c r="G44" i="4"/>
  <c r="W44" i="4"/>
  <c r="AN44" i="5" s="1"/>
  <c r="N44" i="4"/>
  <c r="F44" i="4"/>
  <c r="K65" i="4"/>
  <c r="D40" i="4"/>
  <c r="I40" i="4"/>
  <c r="P48" i="4"/>
  <c r="H48" i="4"/>
  <c r="W48" i="4"/>
  <c r="AN48" i="5" s="1"/>
  <c r="M48" i="4"/>
  <c r="D48" i="4"/>
  <c r="T48" i="4"/>
  <c r="K48" i="4"/>
  <c r="B48" i="4"/>
  <c r="R48" i="4"/>
  <c r="I48" i="4"/>
  <c r="Q48" i="4"/>
  <c r="G48" i="4"/>
  <c r="N48" i="4"/>
  <c r="E48" i="4"/>
  <c r="V48" i="4"/>
  <c r="AM48" i="5" s="1"/>
  <c r="L48" i="4"/>
  <c r="C48" i="4"/>
  <c r="P52" i="4"/>
  <c r="H52" i="4"/>
  <c r="Q52" i="4"/>
  <c r="G52" i="4"/>
  <c r="O52" i="4"/>
  <c r="V52" i="4"/>
  <c r="AM52" i="5" s="1"/>
  <c r="L52" i="4"/>
  <c r="C52" i="4"/>
  <c r="T52" i="4"/>
  <c r="K52" i="4"/>
  <c r="B52" i="4"/>
  <c r="R52" i="4"/>
  <c r="I52" i="4"/>
  <c r="F52" i="4"/>
  <c r="N52" i="4"/>
  <c r="E52" i="4"/>
  <c r="T65" i="4"/>
  <c r="L4" i="9"/>
  <c r="I5" i="2"/>
  <c r="D44" i="4"/>
  <c r="L40" i="4"/>
  <c r="I44" i="4"/>
  <c r="F48" i="4"/>
  <c r="D52" i="4"/>
  <c r="V3" i="5"/>
  <c r="W3" i="5" s="1"/>
  <c r="M3" i="4"/>
  <c r="Q40" i="4"/>
  <c r="L44" i="4"/>
  <c r="J48" i="4"/>
  <c r="J52" i="4"/>
  <c r="W47" i="4"/>
  <c r="AN47" i="5" s="1"/>
  <c r="N47" i="4"/>
  <c r="F47" i="4"/>
  <c r="Q47" i="4"/>
  <c r="H47" i="4"/>
  <c r="O47" i="4"/>
  <c r="E47" i="4"/>
  <c r="V47" i="4"/>
  <c r="AM47" i="5" s="1"/>
  <c r="L47" i="4"/>
  <c r="C47" i="4"/>
  <c r="T47" i="4"/>
  <c r="K47" i="4"/>
  <c r="B47" i="4"/>
  <c r="R47" i="4"/>
  <c r="I47" i="4"/>
  <c r="P47" i="4"/>
  <c r="G47" i="4"/>
  <c r="O48" i="4"/>
  <c r="T40" i="4"/>
  <c r="Q44" i="4"/>
  <c r="T44" i="4"/>
  <c r="D47" i="4"/>
  <c r="S48" i="4"/>
  <c r="S52" i="4"/>
  <c r="S63" i="4"/>
  <c r="J42" i="4"/>
  <c r="B46" i="4"/>
  <c r="J46" i="4"/>
  <c r="S46" i="4"/>
  <c r="J51" i="4"/>
  <c r="C53" i="4"/>
  <c r="L53" i="4"/>
  <c r="B58" i="4"/>
  <c r="K58" i="4"/>
  <c r="V58" i="4"/>
  <c r="AM58" i="5" s="1"/>
  <c r="I41" i="4"/>
  <c r="Q41" i="4"/>
  <c r="C42" i="4"/>
  <c r="K42" i="4"/>
  <c r="S42" i="4"/>
  <c r="E43" i="4"/>
  <c r="M43" i="4"/>
  <c r="V43" i="4"/>
  <c r="AM43" i="5" s="1"/>
  <c r="B41" i="4"/>
  <c r="J41" i="4"/>
  <c r="D42" i="4"/>
  <c r="L42" i="4"/>
  <c r="T42" i="4"/>
  <c r="F43" i="4"/>
  <c r="N43" i="4"/>
  <c r="W43" i="4"/>
  <c r="AN43" i="5" s="1"/>
  <c r="B45" i="4"/>
  <c r="J45" i="4"/>
  <c r="R45" i="4"/>
  <c r="D46" i="4"/>
  <c r="M46" i="4"/>
  <c r="W46" i="4"/>
  <c r="AN46" i="5" s="1"/>
  <c r="R49" i="4"/>
  <c r="J49" i="4"/>
  <c r="B49" i="4"/>
  <c r="K49" i="4"/>
  <c r="T49" i="4"/>
  <c r="G50" i="4"/>
  <c r="P50" i="4"/>
  <c r="C51" i="4"/>
  <c r="L51" i="4"/>
  <c r="V51" i="4"/>
  <c r="AM51" i="5" s="1"/>
  <c r="E53" i="4"/>
  <c r="N53" i="4"/>
  <c r="T54" i="4"/>
  <c r="L54" i="4"/>
  <c r="D54" i="4"/>
  <c r="J54" i="4"/>
  <c r="S54" i="4"/>
  <c r="G55" i="4"/>
  <c r="P55" i="4"/>
  <c r="C56" i="4"/>
  <c r="L56" i="4"/>
  <c r="V56" i="4"/>
  <c r="AM56" i="5" s="1"/>
  <c r="H57" i="4"/>
  <c r="E58" i="4"/>
  <c r="N58" i="4"/>
  <c r="W59" i="4"/>
  <c r="AN59" i="5" s="1"/>
  <c r="N59" i="4"/>
  <c r="F59" i="4"/>
  <c r="J59" i="4"/>
  <c r="S59" i="4"/>
  <c r="F60" i="4"/>
  <c r="O60" i="4"/>
  <c r="C61" i="4"/>
  <c r="L61" i="4"/>
  <c r="H62" i="4"/>
  <c r="D63" i="4"/>
  <c r="M63" i="4"/>
  <c r="P64" i="4"/>
  <c r="H64" i="4"/>
  <c r="J64" i="4"/>
  <c r="S64" i="4"/>
  <c r="B66" i="4"/>
  <c r="K66" i="4"/>
  <c r="H67" i="4"/>
  <c r="D69" i="4"/>
  <c r="B70" i="4"/>
  <c r="B71" i="4"/>
  <c r="I73" i="4"/>
  <c r="D77" i="4"/>
  <c r="N77" i="4"/>
  <c r="B78" i="4"/>
  <c r="N78" i="4"/>
  <c r="G81" i="4"/>
  <c r="Q81" i="4"/>
  <c r="G82" i="4"/>
  <c r="Q82" i="4"/>
  <c r="E83" i="4"/>
  <c r="Q83" i="4"/>
  <c r="L85" i="4"/>
  <c r="J86" i="4"/>
  <c r="J87" i="4"/>
  <c r="E89" i="4"/>
  <c r="O89" i="4"/>
  <c r="C90" i="4"/>
  <c r="O90" i="4"/>
  <c r="C91" i="4"/>
  <c r="M91" i="4"/>
  <c r="H93" i="4"/>
  <c r="T93" i="4"/>
  <c r="H94" i="4"/>
  <c r="R94" i="4"/>
  <c r="H95" i="4"/>
  <c r="R95" i="4"/>
  <c r="F98" i="4"/>
  <c r="Q98" i="4"/>
  <c r="I99" i="4"/>
  <c r="T99" i="4"/>
  <c r="F106" i="4"/>
  <c r="W106" i="4"/>
  <c r="AN106" i="5" s="1"/>
  <c r="H110" i="4"/>
  <c r="I114" i="4"/>
  <c r="O122" i="4"/>
  <c r="G122" i="4"/>
  <c r="V122" i="4"/>
  <c r="AM122" i="5" s="1"/>
  <c r="M122" i="4"/>
  <c r="E122" i="4"/>
  <c r="T122" i="4"/>
  <c r="L122" i="4"/>
  <c r="D122" i="4"/>
  <c r="S122" i="4"/>
  <c r="K122" i="4"/>
  <c r="C122" i="4"/>
  <c r="P122" i="4"/>
  <c r="H122" i="4"/>
  <c r="W122" i="4"/>
  <c r="AN122" i="5" s="1"/>
  <c r="I126" i="4"/>
  <c r="H81" i="4"/>
  <c r="T81" i="4"/>
  <c r="H82" i="4"/>
  <c r="R82" i="4"/>
  <c r="H83" i="4"/>
  <c r="R83" i="4"/>
  <c r="S85" i="4"/>
  <c r="K85" i="4"/>
  <c r="C85" i="4"/>
  <c r="R85" i="4"/>
  <c r="J85" i="4"/>
  <c r="B85" i="4"/>
  <c r="M85" i="4"/>
  <c r="V86" i="4"/>
  <c r="AM86" i="5" s="1"/>
  <c r="M86" i="4"/>
  <c r="E86" i="4"/>
  <c r="T86" i="4"/>
  <c r="L86" i="4"/>
  <c r="D86" i="4"/>
  <c r="K86" i="4"/>
  <c r="O87" i="4"/>
  <c r="G87" i="4"/>
  <c r="W87" i="4"/>
  <c r="AN87" i="5" s="1"/>
  <c r="N87" i="4"/>
  <c r="F87" i="4"/>
  <c r="K87" i="4"/>
  <c r="V87" i="4"/>
  <c r="AM87" i="5" s="1"/>
  <c r="G98" i="4"/>
  <c r="R98" i="4"/>
  <c r="H106" i="4"/>
  <c r="I110" i="4"/>
  <c r="J114" i="4"/>
  <c r="Q118" i="4"/>
  <c r="B122" i="4"/>
  <c r="J126" i="4"/>
  <c r="F42" i="4"/>
  <c r="N42" i="4"/>
  <c r="W42" i="4"/>
  <c r="AN42" i="5" s="1"/>
  <c r="H43" i="4"/>
  <c r="P43" i="4"/>
  <c r="F46" i="4"/>
  <c r="O46" i="4"/>
  <c r="I50" i="4"/>
  <c r="E51" i="4"/>
  <c r="O51" i="4"/>
  <c r="G53" i="4"/>
  <c r="P53" i="4"/>
  <c r="I55" i="4"/>
  <c r="E56" i="4"/>
  <c r="N56" i="4"/>
  <c r="R57" i="4"/>
  <c r="J57" i="4"/>
  <c r="B57" i="4"/>
  <c r="K57" i="4"/>
  <c r="T57" i="4"/>
  <c r="G58" i="4"/>
  <c r="P58" i="4"/>
  <c r="I60" i="4"/>
  <c r="T62" i="4"/>
  <c r="L62" i="4"/>
  <c r="D62" i="4"/>
  <c r="J62" i="4"/>
  <c r="S62" i="4"/>
  <c r="G63" i="4"/>
  <c r="P63" i="4"/>
  <c r="W67" i="4"/>
  <c r="AN67" i="5" s="1"/>
  <c r="N67" i="4"/>
  <c r="F67" i="4"/>
  <c r="J67" i="4"/>
  <c r="S67" i="4"/>
  <c r="S73" i="4"/>
  <c r="K73" i="4"/>
  <c r="C73" i="4"/>
  <c r="R73" i="4"/>
  <c r="J73" i="4"/>
  <c r="B73" i="4"/>
  <c r="M73" i="4"/>
  <c r="V74" i="4"/>
  <c r="AM74" i="5" s="1"/>
  <c r="M74" i="4"/>
  <c r="E74" i="4"/>
  <c r="T74" i="4"/>
  <c r="L74" i="4"/>
  <c r="D74" i="4"/>
  <c r="K74" i="4"/>
  <c r="O75" i="4"/>
  <c r="G75" i="4"/>
  <c r="W75" i="4"/>
  <c r="AN75" i="5" s="1"/>
  <c r="N75" i="4"/>
  <c r="F75" i="4"/>
  <c r="K75" i="4"/>
  <c r="V75" i="4"/>
  <c r="AM75" i="5" s="1"/>
  <c r="F77" i="4"/>
  <c r="F78" i="4"/>
  <c r="D79" i="4"/>
  <c r="I81" i="4"/>
  <c r="V81" i="4"/>
  <c r="AM81" i="5" s="1"/>
  <c r="I82" i="4"/>
  <c r="S82" i="4"/>
  <c r="I83" i="4"/>
  <c r="S83" i="4"/>
  <c r="D85" i="4"/>
  <c r="N85" i="4"/>
  <c r="B86" i="4"/>
  <c r="N86" i="4"/>
  <c r="B87" i="4"/>
  <c r="L87" i="4"/>
  <c r="G89" i="4"/>
  <c r="Q89" i="4"/>
  <c r="G90" i="4"/>
  <c r="Q90" i="4"/>
  <c r="E91" i="4"/>
  <c r="Q91" i="4"/>
  <c r="L93" i="4"/>
  <c r="J94" i="4"/>
  <c r="J95" i="4"/>
  <c r="H98" i="4"/>
  <c r="W98" i="4"/>
  <c r="AN98" i="5" s="1"/>
  <c r="I106" i="4"/>
  <c r="J110" i="4"/>
  <c r="N114" i="4"/>
  <c r="F122" i="4"/>
  <c r="N126" i="4"/>
  <c r="E63" i="4"/>
  <c r="O63" i="4"/>
  <c r="G42" i="4"/>
  <c r="O42" i="4"/>
  <c r="I43" i="4"/>
  <c r="G46" i="4"/>
  <c r="T50" i="4"/>
  <c r="L50" i="4"/>
  <c r="D50" i="4"/>
  <c r="J50" i="4"/>
  <c r="S50" i="4"/>
  <c r="G51" i="4"/>
  <c r="H53" i="4"/>
  <c r="W55" i="4"/>
  <c r="AN55" i="5" s="1"/>
  <c r="N55" i="4"/>
  <c r="F55" i="4"/>
  <c r="J55" i="4"/>
  <c r="S55" i="4"/>
  <c r="F56" i="4"/>
  <c r="H58" i="4"/>
  <c r="P60" i="4"/>
  <c r="H60" i="4"/>
  <c r="J60" i="4"/>
  <c r="S60" i="4"/>
  <c r="H63" i="4"/>
  <c r="L81" i="4"/>
  <c r="J82" i="4"/>
  <c r="J83" i="4"/>
  <c r="E85" i="4"/>
  <c r="O85" i="4"/>
  <c r="C86" i="4"/>
  <c r="O86" i="4"/>
  <c r="C87" i="4"/>
  <c r="M87" i="4"/>
  <c r="H89" i="4"/>
  <c r="H90" i="4"/>
  <c r="H91" i="4"/>
  <c r="S93" i="4"/>
  <c r="K93" i="4"/>
  <c r="C93" i="4"/>
  <c r="R93" i="4"/>
  <c r="J93" i="4"/>
  <c r="B93" i="4"/>
  <c r="M93" i="4"/>
  <c r="V94" i="4"/>
  <c r="AM94" i="5" s="1"/>
  <c r="M94" i="4"/>
  <c r="E94" i="4"/>
  <c r="T94" i="4"/>
  <c r="L94" i="4"/>
  <c r="D94" i="4"/>
  <c r="K94" i="4"/>
  <c r="O95" i="4"/>
  <c r="G95" i="4"/>
  <c r="W95" i="4"/>
  <c r="AN95" i="5" s="1"/>
  <c r="N95" i="4"/>
  <c r="F95" i="4"/>
  <c r="K95" i="4"/>
  <c r="V95" i="4"/>
  <c r="AM95" i="5" s="1"/>
  <c r="O99" i="4"/>
  <c r="G99" i="4"/>
  <c r="W99" i="4"/>
  <c r="AN99" i="5" s="1"/>
  <c r="N99" i="4"/>
  <c r="F99" i="4"/>
  <c r="V99" i="4"/>
  <c r="AM99" i="5" s="1"/>
  <c r="M99" i="4"/>
  <c r="E99" i="4"/>
  <c r="L99" i="4"/>
  <c r="N110" i="4"/>
  <c r="O118" i="4"/>
  <c r="G118" i="4"/>
  <c r="V118" i="4"/>
  <c r="AM118" i="5" s="1"/>
  <c r="M118" i="4"/>
  <c r="E118" i="4"/>
  <c r="T118" i="4"/>
  <c r="L118" i="4"/>
  <c r="D118" i="4"/>
  <c r="S118" i="4"/>
  <c r="K118" i="4"/>
  <c r="C118" i="4"/>
  <c r="P118" i="4"/>
  <c r="H118" i="4"/>
  <c r="W118" i="4"/>
  <c r="AN118" i="5" s="1"/>
  <c r="I122" i="4"/>
  <c r="S81" i="4"/>
  <c r="K81" i="4"/>
  <c r="C81" i="4"/>
  <c r="R81" i="4"/>
  <c r="J81" i="4"/>
  <c r="B81" i="4"/>
  <c r="M81" i="4"/>
  <c r="V82" i="4"/>
  <c r="AM82" i="5" s="1"/>
  <c r="M82" i="4"/>
  <c r="E82" i="4"/>
  <c r="T82" i="4"/>
  <c r="L82" i="4"/>
  <c r="D82" i="4"/>
  <c r="K82" i="4"/>
  <c r="O83" i="4"/>
  <c r="G83" i="4"/>
  <c r="W83" i="4"/>
  <c r="AN83" i="5" s="1"/>
  <c r="N83" i="4"/>
  <c r="F83" i="4"/>
  <c r="K83" i="4"/>
  <c r="V83" i="4"/>
  <c r="AM83" i="5" s="1"/>
  <c r="O114" i="4"/>
  <c r="G114" i="4"/>
  <c r="V114" i="4"/>
  <c r="AM114" i="5" s="1"/>
  <c r="M114" i="4"/>
  <c r="E114" i="4"/>
  <c r="T114" i="4"/>
  <c r="L114" i="4"/>
  <c r="D114" i="4"/>
  <c r="S114" i="4"/>
  <c r="K114" i="4"/>
  <c r="C114" i="4"/>
  <c r="Q114" i="4"/>
  <c r="R53" i="4"/>
  <c r="J53" i="4"/>
  <c r="B53" i="4"/>
  <c r="K53" i="4"/>
  <c r="T53" i="4"/>
  <c r="D81" i="4"/>
  <c r="N81" i="4"/>
  <c r="B82" i="4"/>
  <c r="N82" i="4"/>
  <c r="O110" i="4"/>
  <c r="G110" i="4"/>
  <c r="V110" i="4"/>
  <c r="AM110" i="5" s="1"/>
  <c r="M110" i="4"/>
  <c r="E110" i="4"/>
  <c r="T110" i="4"/>
  <c r="L110" i="4"/>
  <c r="D110" i="4"/>
  <c r="S110" i="4"/>
  <c r="K110" i="4"/>
  <c r="C110" i="4"/>
  <c r="Q110" i="4"/>
  <c r="O126" i="4"/>
  <c r="G126" i="4"/>
  <c r="A128" i="4"/>
  <c r="V126" i="4"/>
  <c r="AM126" i="5" s="1"/>
  <c r="M126" i="4"/>
  <c r="E126" i="4"/>
  <c r="T126" i="4"/>
  <c r="L126" i="4"/>
  <c r="D126" i="4"/>
  <c r="S126" i="4"/>
  <c r="K126" i="4"/>
  <c r="C126" i="4"/>
  <c r="P126" i="4"/>
  <c r="H126" i="4"/>
  <c r="W126" i="4"/>
  <c r="AN126" i="5" s="1"/>
  <c r="T46" i="4"/>
  <c r="L46" i="4"/>
  <c r="I46" i="4"/>
  <c r="R46" i="4"/>
  <c r="W63" i="4"/>
  <c r="AN63" i="5" s="1"/>
  <c r="N63" i="4"/>
  <c r="F63" i="4"/>
  <c r="J63" i="4"/>
  <c r="B42" i="4"/>
  <c r="R42" i="4"/>
  <c r="P56" i="4"/>
  <c r="H56" i="4"/>
  <c r="J56" i="4"/>
  <c r="S56" i="4"/>
  <c r="S89" i="4"/>
  <c r="K89" i="4"/>
  <c r="C89" i="4"/>
  <c r="R89" i="4"/>
  <c r="J89" i="4"/>
  <c r="B89" i="4"/>
  <c r="M89" i="4"/>
  <c r="V90" i="4"/>
  <c r="AM90" i="5" s="1"/>
  <c r="M90" i="4"/>
  <c r="E90" i="4"/>
  <c r="T90" i="4"/>
  <c r="L90" i="4"/>
  <c r="D90" i="4"/>
  <c r="K90" i="4"/>
  <c r="V98" i="4"/>
  <c r="AM98" i="5" s="1"/>
  <c r="M98" i="4"/>
  <c r="E98" i="4"/>
  <c r="T98" i="4"/>
  <c r="L98" i="4"/>
  <c r="D98" i="4"/>
  <c r="S98" i="4"/>
  <c r="K98" i="4"/>
  <c r="C98" i="4"/>
  <c r="O98" i="4"/>
  <c r="O106" i="4"/>
  <c r="G106" i="4"/>
  <c r="V106" i="4"/>
  <c r="AM106" i="5" s="1"/>
  <c r="M106" i="4"/>
  <c r="E106" i="4"/>
  <c r="T106" i="4"/>
  <c r="L106" i="4"/>
  <c r="D106" i="4"/>
  <c r="S106" i="4"/>
  <c r="K106" i="4"/>
  <c r="C106" i="4"/>
  <c r="Q106" i="4"/>
  <c r="B110" i="4"/>
  <c r="R110" i="4"/>
  <c r="I118" i="4"/>
  <c r="Q122" i="4"/>
  <c r="B126" i="4"/>
  <c r="I42" i="4"/>
  <c r="T58" i="4"/>
  <c r="L58" i="4"/>
  <c r="D58" i="4"/>
  <c r="J58" i="4"/>
  <c r="S58" i="4"/>
  <c r="W51" i="4"/>
  <c r="AN51" i="5" s="1"/>
  <c r="N51" i="4"/>
  <c r="F51" i="4"/>
  <c r="S51" i="4"/>
  <c r="V53" i="4"/>
  <c r="AM53" i="5" s="1"/>
  <c r="B63" i="4"/>
  <c r="K63" i="4"/>
  <c r="T63" i="4"/>
  <c r="E81" i="4"/>
  <c r="O81" i="4"/>
  <c r="C82" i="4"/>
  <c r="O82" i="4"/>
  <c r="C83" i="4"/>
  <c r="M83" i="4"/>
  <c r="H85" i="4"/>
  <c r="T85" i="4"/>
  <c r="H86" i="4"/>
  <c r="R86" i="4"/>
  <c r="H87" i="4"/>
  <c r="R87" i="4"/>
  <c r="O91" i="4"/>
  <c r="G91" i="4"/>
  <c r="W91" i="4"/>
  <c r="AN91" i="5" s="1"/>
  <c r="N91" i="4"/>
  <c r="F91" i="4"/>
  <c r="K91" i="4"/>
  <c r="V91" i="4"/>
  <c r="AM91" i="5" s="1"/>
  <c r="I45" i="4"/>
  <c r="C46" i="4"/>
  <c r="K46" i="4"/>
  <c r="V46" i="4"/>
  <c r="AM46" i="5" s="1"/>
  <c r="F50" i="4"/>
  <c r="O50" i="4"/>
  <c r="B51" i="4"/>
  <c r="K51" i="4"/>
  <c r="T51" i="4"/>
  <c r="D53" i="4"/>
  <c r="M53" i="4"/>
  <c r="W53" i="4"/>
  <c r="AN53" i="5" s="1"/>
  <c r="E55" i="4"/>
  <c r="O55" i="4"/>
  <c r="B56" i="4"/>
  <c r="K56" i="4"/>
  <c r="T56" i="4"/>
  <c r="G57" i="4"/>
  <c r="P57" i="4"/>
  <c r="C58" i="4"/>
  <c r="M58" i="4"/>
  <c r="W58" i="4"/>
  <c r="AN58" i="5" s="1"/>
  <c r="E60" i="4"/>
  <c r="N60" i="4"/>
  <c r="R61" i="4"/>
  <c r="J61" i="4"/>
  <c r="B61" i="4"/>
  <c r="K61" i="4"/>
  <c r="T61" i="4"/>
  <c r="G62" i="4"/>
  <c r="P62" i="4"/>
  <c r="C63" i="4"/>
  <c r="L63" i="4"/>
  <c r="V63" i="4"/>
  <c r="AM63" i="5" s="1"/>
  <c r="T66" i="4"/>
  <c r="L66" i="4"/>
  <c r="D66" i="4"/>
  <c r="J66" i="4"/>
  <c r="S66" i="4"/>
  <c r="G67" i="4"/>
  <c r="P67" i="4"/>
  <c r="S69" i="4"/>
  <c r="K69" i="4"/>
  <c r="C69" i="4"/>
  <c r="R69" i="4"/>
  <c r="J69" i="4"/>
  <c r="B69" i="4"/>
  <c r="M69" i="4"/>
  <c r="V70" i="4"/>
  <c r="AM70" i="5" s="1"/>
  <c r="M70" i="4"/>
  <c r="E70" i="4"/>
  <c r="T70" i="4"/>
  <c r="L70" i="4"/>
  <c r="D70" i="4"/>
  <c r="K70" i="4"/>
  <c r="O71" i="4"/>
  <c r="G71" i="4"/>
  <c r="W71" i="4"/>
  <c r="AN71" i="5" s="1"/>
  <c r="N71" i="4"/>
  <c r="F71" i="4"/>
  <c r="K71" i="4"/>
  <c r="V71" i="4"/>
  <c r="AM71" i="5" s="1"/>
  <c r="H73" i="4"/>
  <c r="T73" i="4"/>
  <c r="S77" i="4"/>
  <c r="K77" i="4"/>
  <c r="C77" i="4"/>
  <c r="R77" i="4"/>
  <c r="J77" i="4"/>
  <c r="B77" i="4"/>
  <c r="M77" i="4"/>
  <c r="V78" i="4"/>
  <c r="AM78" i="5" s="1"/>
  <c r="M78" i="4"/>
  <c r="E78" i="4"/>
  <c r="T78" i="4"/>
  <c r="L78" i="4"/>
  <c r="D78" i="4"/>
  <c r="K78" i="4"/>
  <c r="O79" i="4"/>
  <c r="G79" i="4"/>
  <c r="W79" i="4"/>
  <c r="AN79" i="5" s="1"/>
  <c r="N79" i="4"/>
  <c r="F79" i="4"/>
  <c r="K79" i="4"/>
  <c r="V79" i="4"/>
  <c r="AM79" i="5" s="1"/>
  <c r="F81" i="4"/>
  <c r="P81" i="4"/>
  <c r="F82" i="4"/>
  <c r="P82" i="4"/>
  <c r="D83" i="4"/>
  <c r="P83" i="4"/>
  <c r="I85" i="4"/>
  <c r="V85" i="4"/>
  <c r="AM85" i="5" s="1"/>
  <c r="I86" i="4"/>
  <c r="S86" i="4"/>
  <c r="I87" i="4"/>
  <c r="S87" i="4"/>
  <c r="D89" i="4"/>
  <c r="N89" i="4"/>
  <c r="B90" i="4"/>
  <c r="N90" i="4"/>
  <c r="B91" i="4"/>
  <c r="L91" i="4"/>
  <c r="G93" i="4"/>
  <c r="Q93" i="4"/>
  <c r="G94" i="4"/>
  <c r="Q94" i="4"/>
  <c r="E95" i="4"/>
  <c r="Q95" i="4"/>
  <c r="B98" i="4"/>
  <c r="P98" i="4"/>
  <c r="H99" i="4"/>
  <c r="S99" i="4"/>
  <c r="O102" i="4"/>
  <c r="G102" i="4"/>
  <c r="V102" i="4"/>
  <c r="AM102" i="5" s="1"/>
  <c r="M102" i="4"/>
  <c r="E102" i="4"/>
  <c r="T102" i="4"/>
  <c r="L102" i="4"/>
  <c r="D102" i="4"/>
  <c r="S102" i="4"/>
  <c r="K102" i="4"/>
  <c r="C102" i="4"/>
  <c r="Q102" i="4"/>
  <c r="B106" i="4"/>
  <c r="R106" i="4"/>
  <c r="F110" i="4"/>
  <c r="W110" i="4"/>
  <c r="AN110" i="5" s="1"/>
  <c r="H114" i="4"/>
  <c r="J118" i="4"/>
  <c r="R122" i="4"/>
  <c r="F126" i="4"/>
  <c r="D6" i="12"/>
  <c r="D6" i="6"/>
  <c r="B23" i="9"/>
  <c r="H23" i="9"/>
  <c r="H6" i="9"/>
  <c r="H14" i="9"/>
  <c r="E14" i="9" s="1"/>
  <c r="H22" i="9"/>
  <c r="E22" i="9" s="1"/>
  <c r="B30" i="9"/>
  <c r="H30" i="9"/>
  <c r="E30" i="9" s="1"/>
  <c r="D8" i="12"/>
  <c r="D8" i="6"/>
  <c r="I97" i="4"/>
  <c r="Q97" i="4"/>
  <c r="G100" i="4"/>
  <c r="O100" i="4"/>
  <c r="I101" i="4"/>
  <c r="E103" i="4"/>
  <c r="M103" i="4"/>
  <c r="V103" i="4"/>
  <c r="AM103" i="5" s="1"/>
  <c r="G104" i="4"/>
  <c r="O104" i="4"/>
  <c r="I105" i="4"/>
  <c r="E107" i="4"/>
  <c r="M107" i="4"/>
  <c r="V107" i="4"/>
  <c r="AM107" i="5" s="1"/>
  <c r="G108" i="4"/>
  <c r="O108" i="4"/>
  <c r="I109" i="4"/>
  <c r="E111" i="4"/>
  <c r="M111" i="4"/>
  <c r="V111" i="4"/>
  <c r="AM111" i="5" s="1"/>
  <c r="G112" i="4"/>
  <c r="O112" i="4"/>
  <c r="I113" i="4"/>
  <c r="E115" i="4"/>
  <c r="M115" i="4"/>
  <c r="V115" i="4"/>
  <c r="AM115" i="5" s="1"/>
  <c r="G116" i="4"/>
  <c r="O116" i="4"/>
  <c r="I117" i="4"/>
  <c r="E119" i="4"/>
  <c r="M119" i="4"/>
  <c r="V119" i="4"/>
  <c r="AM119" i="5" s="1"/>
  <c r="G120" i="4"/>
  <c r="O120" i="4"/>
  <c r="I121" i="4"/>
  <c r="E123" i="4"/>
  <c r="M123" i="4"/>
  <c r="V123" i="4"/>
  <c r="AM123" i="5" s="1"/>
  <c r="G124" i="4"/>
  <c r="O124" i="4"/>
  <c r="I125" i="4"/>
  <c r="E127" i="4"/>
  <c r="M127" i="4"/>
  <c r="V127" i="4"/>
  <c r="AM127" i="5" s="1"/>
  <c r="I129" i="4"/>
  <c r="E131" i="4"/>
  <c r="M131" i="4"/>
  <c r="V131" i="4"/>
  <c r="AM131" i="5" s="1"/>
  <c r="I133" i="4"/>
  <c r="E135" i="4"/>
  <c r="M135" i="4"/>
  <c r="V135" i="4"/>
  <c r="AM135" i="5" s="1"/>
  <c r="I137" i="4"/>
  <c r="E139" i="4"/>
  <c r="M139" i="4"/>
  <c r="V139" i="4"/>
  <c r="AM139" i="5" s="1"/>
  <c r="I141" i="4"/>
  <c r="E143" i="4"/>
  <c r="M143" i="4"/>
  <c r="V143" i="4"/>
  <c r="AM143" i="5" s="1"/>
  <c r="I145" i="4"/>
  <c r="H68" i="4"/>
  <c r="P68" i="4"/>
  <c r="H72" i="4"/>
  <c r="P72" i="4"/>
  <c r="B97" i="4"/>
  <c r="J97" i="4"/>
  <c r="R97" i="4"/>
  <c r="B7" i="9"/>
  <c r="H7" i="9"/>
  <c r="E7" i="9" s="1"/>
  <c r="B15" i="9"/>
  <c r="H15" i="9"/>
  <c r="E15" i="9" s="1"/>
  <c r="I68" i="4"/>
  <c r="I72" i="4"/>
  <c r="I76" i="4"/>
  <c r="I80" i="4"/>
  <c r="I84" i="4"/>
  <c r="I88" i="4"/>
  <c r="I92" i="4"/>
  <c r="I96" i="4"/>
  <c r="C97" i="4"/>
  <c r="K97" i="4"/>
  <c r="I100" i="4"/>
  <c r="I104" i="4"/>
  <c r="Q104" i="4"/>
  <c r="I108" i="4"/>
  <c r="Q108" i="4"/>
  <c r="I112" i="4"/>
  <c r="Q112" i="4"/>
  <c r="I116" i="4"/>
  <c r="Q116" i="4"/>
  <c r="I120" i="4"/>
  <c r="Q120" i="4"/>
  <c r="I124" i="4"/>
  <c r="Q124" i="4"/>
  <c r="O131" i="4"/>
  <c r="G135" i="4"/>
  <c r="O135" i="4"/>
  <c r="G139" i="4"/>
  <c r="O139" i="4"/>
  <c r="G143" i="4"/>
  <c r="O143" i="4"/>
  <c r="D5" i="12"/>
  <c r="D5" i="6"/>
  <c r="L143" i="9"/>
  <c r="L73" i="9"/>
  <c r="L3" i="9"/>
  <c r="B3" i="9"/>
  <c r="L145" i="9"/>
  <c r="L75" i="9"/>
  <c r="L5" i="9"/>
  <c r="B11" i="9"/>
  <c r="B19" i="9"/>
  <c r="I103" i="4"/>
  <c r="C104" i="4"/>
  <c r="K104" i="4"/>
  <c r="I107" i="4"/>
  <c r="C108" i="4"/>
  <c r="K108" i="4"/>
  <c r="I111" i="4"/>
  <c r="C112" i="4"/>
  <c r="K112" i="4"/>
  <c r="I115" i="4"/>
  <c r="C116" i="4"/>
  <c r="K116" i="4"/>
  <c r="I119" i="4"/>
  <c r="C120" i="4"/>
  <c r="K120" i="4"/>
  <c r="I123" i="4"/>
  <c r="C124" i="4"/>
  <c r="K124" i="4"/>
  <c r="I127" i="4"/>
  <c r="I131" i="4"/>
  <c r="I135" i="4"/>
  <c r="I139" i="4"/>
  <c r="I143" i="4"/>
  <c r="D3" i="6"/>
  <c r="D7" i="6"/>
  <c r="H2" i="9"/>
  <c r="E2" i="9" s="1"/>
  <c r="L74" i="9"/>
  <c r="L144" i="9"/>
  <c r="H10" i="9"/>
  <c r="E10" i="9" s="1"/>
  <c r="H18" i="9"/>
  <c r="E18" i="9" s="1"/>
  <c r="H26" i="9"/>
  <c r="E26" i="9" s="1"/>
  <c r="H34" i="9"/>
  <c r="E34" i="9" s="1"/>
  <c r="B47" i="9"/>
  <c r="H47" i="9"/>
  <c r="E47" i="9" s="1"/>
  <c r="B55" i="9"/>
  <c r="H55" i="9"/>
  <c r="E55" i="9" s="1"/>
  <c r="B58" i="9"/>
  <c r="H58" i="9"/>
  <c r="E58" i="9" s="1"/>
  <c r="H61" i="9"/>
  <c r="E61" i="9" s="1"/>
  <c r="I63" i="9" a="1"/>
  <c r="I63" i="9" s="1"/>
  <c r="L206" i="9"/>
  <c r="L136" i="9"/>
  <c r="D66" i="9" a="1"/>
  <c r="D66" i="9" s="1"/>
  <c r="F66" i="9" s="1"/>
  <c r="G66" i="9" s="1"/>
  <c r="Q66" i="9"/>
  <c r="P66" i="9" s="1"/>
  <c r="J66" i="9"/>
  <c r="B66" i="9"/>
  <c r="H66" i="9"/>
  <c r="E66" i="9" s="1"/>
  <c r="H69" i="9"/>
  <c r="E69" i="9" s="1"/>
  <c r="D73" i="9" a="1"/>
  <c r="D73" i="9" s="1"/>
  <c r="F73" i="9" s="1"/>
  <c r="G73" i="9" s="1"/>
  <c r="Q73" i="9"/>
  <c r="P73" i="9" s="1"/>
  <c r="J73" i="9"/>
  <c r="B73" i="9"/>
  <c r="H73" i="9"/>
  <c r="E73" i="9" s="1"/>
  <c r="M73" i="9" a="1"/>
  <c r="M73" i="9" s="1"/>
  <c r="L202" i="9"/>
  <c r="L132" i="9"/>
  <c r="H62" i="9"/>
  <c r="E62" i="9" s="1"/>
  <c r="M62" i="9" a="1"/>
  <c r="M62" i="9" s="1"/>
  <c r="L62" i="9"/>
  <c r="D62" i="9" a="1"/>
  <c r="D62" i="9" s="1"/>
  <c r="F62" i="9" s="1"/>
  <c r="G62" i="9" s="1"/>
  <c r="L210" i="9"/>
  <c r="L140" i="9"/>
  <c r="H70" i="9"/>
  <c r="E70" i="9" s="1"/>
  <c r="M70" i="9" a="1"/>
  <c r="M70" i="9" s="1"/>
  <c r="L70" i="9"/>
  <c r="D70" i="9" a="1"/>
  <c r="D70" i="9" s="1"/>
  <c r="F70" i="9" s="1"/>
  <c r="G70" i="9" s="1"/>
  <c r="D103" i="9" a="1"/>
  <c r="D103" i="9" s="1"/>
  <c r="F103" i="9" s="1"/>
  <c r="G103" i="9" s="1"/>
  <c r="Q103" i="9"/>
  <c r="P103" i="9" s="1"/>
  <c r="J103" i="9"/>
  <c r="B103" i="9"/>
  <c r="H103" i="9"/>
  <c r="E103" i="9" s="1"/>
  <c r="M103" i="9" a="1"/>
  <c r="M103" i="9" s="1"/>
  <c r="L142" i="9"/>
  <c r="H8" i="9"/>
  <c r="E8" i="9" s="1"/>
  <c r="B9" i="9"/>
  <c r="H16" i="9"/>
  <c r="E16" i="9" s="1"/>
  <c r="H24" i="9"/>
  <c r="E24" i="9" s="1"/>
  <c r="H32" i="9"/>
  <c r="E32" i="9" s="1"/>
  <c r="H39" i="9"/>
  <c r="E39" i="9" s="1"/>
  <c r="B40" i="9"/>
  <c r="Q62" i="9"/>
  <c r="P62" i="9" s="1"/>
  <c r="I69" i="9" a="1"/>
  <c r="I69" i="9" s="1"/>
  <c r="D95" i="9" a="1"/>
  <c r="D95" i="9" s="1"/>
  <c r="F95" i="9" s="1"/>
  <c r="G95" i="9" s="1"/>
  <c r="Q95" i="9"/>
  <c r="P95" i="9" s="1"/>
  <c r="J95" i="9"/>
  <c r="B95" i="9"/>
  <c r="H95" i="9"/>
  <c r="E95" i="9" s="1"/>
  <c r="M95" i="9" a="1"/>
  <c r="M95" i="9" s="1"/>
  <c r="I103" i="9" a="1"/>
  <c r="I103" i="9" s="1"/>
  <c r="M126" i="9" a="1"/>
  <c r="M126" i="9" s="1"/>
  <c r="D126" i="9" a="1"/>
  <c r="D126" i="9" s="1"/>
  <c r="F126" i="9" s="1"/>
  <c r="G126" i="9" s="1"/>
  <c r="Q126" i="9"/>
  <c r="P126" i="9" s="1"/>
  <c r="J126" i="9"/>
  <c r="B126" i="9"/>
  <c r="I126" i="9" a="1"/>
  <c r="I126" i="9" s="1"/>
  <c r="H126" i="9"/>
  <c r="E126" i="9" s="1"/>
  <c r="H31" i="9"/>
  <c r="E31" i="9" s="1"/>
  <c r="B42" i="9"/>
  <c r="B43" i="9"/>
  <c r="B46" i="9"/>
  <c r="L120" i="9"/>
  <c r="L190" i="9"/>
  <c r="D50" i="9" a="1"/>
  <c r="D50" i="9" s="1"/>
  <c r="F50" i="9" s="1"/>
  <c r="G50" i="9" s="1"/>
  <c r="Q50" i="9"/>
  <c r="P50" i="9" s="1"/>
  <c r="J50" i="9"/>
  <c r="B50" i="9"/>
  <c r="M50" i="9" a="1"/>
  <c r="M50" i="9" s="1"/>
  <c r="B53" i="9"/>
  <c r="L69" i="9"/>
  <c r="L71" i="9"/>
  <c r="I73" i="9" a="1"/>
  <c r="I73" i="9" s="1"/>
  <c r="H75" i="9"/>
  <c r="E75" i="9" s="1"/>
  <c r="M75" i="9" a="1"/>
  <c r="M75" i="9" s="1"/>
  <c r="D75" i="9" a="1"/>
  <c r="D75" i="9" s="1"/>
  <c r="F75" i="9" s="1"/>
  <c r="G75" i="9" s="1"/>
  <c r="Q75" i="9"/>
  <c r="P75" i="9" s="1"/>
  <c r="J75" i="9"/>
  <c r="I95" i="9" a="1"/>
  <c r="I95" i="9" s="1"/>
  <c r="D2" i="6"/>
  <c r="D4" i="6"/>
  <c r="H46" i="9"/>
  <c r="E46" i="9" s="1"/>
  <c r="L193" i="9"/>
  <c r="M53" i="9" a="1"/>
  <c r="M53" i="9" s="1"/>
  <c r="D53" i="9" a="1"/>
  <c r="D53" i="9" s="1"/>
  <c r="F53" i="9" s="1"/>
  <c r="G53" i="9" s="1"/>
  <c r="L123" i="9"/>
  <c r="L203" i="9"/>
  <c r="B63" i="9"/>
  <c r="H63" i="9"/>
  <c r="E63" i="9" s="1"/>
  <c r="L63" i="9"/>
  <c r="L133" i="9"/>
  <c r="L72" i="9"/>
  <c r="D87" i="9" a="1"/>
  <c r="D87" i="9" s="1"/>
  <c r="F87" i="9" s="1"/>
  <c r="G87" i="9" s="1"/>
  <c r="Q87" i="9"/>
  <c r="P87" i="9" s="1"/>
  <c r="J87" i="9"/>
  <c r="B87" i="9"/>
  <c r="H87" i="9"/>
  <c r="E87" i="9" s="1"/>
  <c r="M87" i="9" a="1"/>
  <c r="M87" i="9" s="1"/>
  <c r="D111" i="9" a="1"/>
  <c r="D111" i="9" s="1"/>
  <c r="F111" i="9" s="1"/>
  <c r="G111" i="9" s="1"/>
  <c r="Q111" i="9"/>
  <c r="P111" i="9" s="1"/>
  <c r="J111" i="9"/>
  <c r="B111" i="9"/>
  <c r="H111" i="9"/>
  <c r="E111" i="9" s="1"/>
  <c r="M111" i="9" a="1"/>
  <c r="M111" i="9" s="1"/>
  <c r="D119" i="9" a="1"/>
  <c r="D119" i="9" s="1"/>
  <c r="F119" i="9" s="1"/>
  <c r="G119" i="9" s="1"/>
  <c r="Q119" i="9"/>
  <c r="P119" i="9" s="1"/>
  <c r="J119" i="9"/>
  <c r="B119" i="9"/>
  <c r="H119" i="9"/>
  <c r="E119" i="9" s="1"/>
  <c r="M119" i="9" a="1"/>
  <c r="M119" i="9" s="1"/>
  <c r="I111" i="9" a="1"/>
  <c r="I111" i="9" s="1"/>
  <c r="I119" i="9" a="1"/>
  <c r="I119" i="9" s="1"/>
  <c r="H54" i="9"/>
  <c r="E54" i="9" s="1"/>
  <c r="L209" i="9"/>
  <c r="L139" i="9"/>
  <c r="M69" i="9" a="1"/>
  <c r="M69" i="9" s="1"/>
  <c r="D69" i="9" a="1"/>
  <c r="D69" i="9" s="1"/>
  <c r="F69" i="9" s="1"/>
  <c r="G69" i="9" s="1"/>
  <c r="Q69" i="9"/>
  <c r="P69" i="9" s="1"/>
  <c r="J69" i="9"/>
  <c r="D79" i="9" a="1"/>
  <c r="D79" i="9" s="1"/>
  <c r="F79" i="9" s="1"/>
  <c r="G79" i="9" s="1"/>
  <c r="Q79" i="9"/>
  <c r="P79" i="9" s="1"/>
  <c r="J79" i="9"/>
  <c r="B79" i="9"/>
  <c r="H79" i="9"/>
  <c r="E79" i="9" s="1"/>
  <c r="M79" i="9" a="1"/>
  <c r="M79" i="9" s="1"/>
  <c r="H27" i="9"/>
  <c r="E27" i="9" s="1"/>
  <c r="H35" i="9"/>
  <c r="E35" i="9" s="1"/>
  <c r="I79" i="9" a="1"/>
  <c r="I79" i="9" s="1"/>
  <c r="I76" i="9" a="1"/>
  <c r="I76" i="9" s="1"/>
  <c r="B83" i="9"/>
  <c r="I84" i="9" a="1"/>
  <c r="I84" i="9" s="1"/>
  <c r="B91" i="9"/>
  <c r="I92" i="9" a="1"/>
  <c r="I92" i="9" s="1"/>
  <c r="I100" i="9" a="1"/>
  <c r="I100" i="9" s="1"/>
  <c r="I116" i="9" a="1"/>
  <c r="I116" i="9" s="1"/>
  <c r="J120" i="9"/>
  <c r="J121" i="9"/>
  <c r="J122" i="9"/>
  <c r="H123" i="9"/>
  <c r="E123" i="9" s="1"/>
  <c r="J123" i="9"/>
  <c r="J124" i="9"/>
  <c r="L138" i="9"/>
  <c r="I83" i="9" a="1"/>
  <c r="I83" i="9" s="1"/>
  <c r="I91" i="9" a="1"/>
  <c r="I91" i="9" s="1"/>
  <c r="I99" i="9" a="1"/>
  <c r="I99" i="9" s="1"/>
  <c r="J100" i="9"/>
  <c r="Q100" i="9"/>
  <c r="P100" i="9" s="1"/>
  <c r="I107" i="9" a="1"/>
  <c r="I107" i="9" s="1"/>
  <c r="I115" i="9" a="1"/>
  <c r="I115" i="9" s="1"/>
  <c r="J116" i="9"/>
  <c r="Q116" i="9"/>
  <c r="P116" i="9" s="1"/>
  <c r="M128" i="9" a="1"/>
  <c r="M128" i="9" s="1"/>
  <c r="I131" i="9" a="1"/>
  <c r="I131" i="9" s="1"/>
  <c r="I143" i="9"/>
  <c r="B143" i="9"/>
  <c r="H143" i="9"/>
  <c r="E143" i="9" s="1"/>
  <c r="M143" i="9" a="1"/>
  <c r="M143" i="9" s="1"/>
  <c r="D143" i="9" a="1"/>
  <c r="D143" i="9" s="1"/>
  <c r="F143" i="9" s="1"/>
  <c r="G143" i="9" s="1"/>
  <c r="H74" i="9"/>
  <c r="E74" i="9" s="1"/>
  <c r="D76" i="9" a="1"/>
  <c r="D76" i="9" s="1"/>
  <c r="F76" i="9" s="1"/>
  <c r="G76" i="9" s="1"/>
  <c r="H80" i="9"/>
  <c r="E80" i="9" s="1"/>
  <c r="B81" i="9"/>
  <c r="I82" i="9" a="1"/>
  <c r="I82" i="9" s="1"/>
  <c r="J83" i="9"/>
  <c r="Q83" i="9"/>
  <c r="P83" i="9" s="1"/>
  <c r="D84" i="9" a="1"/>
  <c r="D84" i="9" s="1"/>
  <c r="F84" i="9" s="1"/>
  <c r="G84" i="9" s="1"/>
  <c r="H88" i="9"/>
  <c r="E88" i="9" s="1"/>
  <c r="B89" i="9"/>
  <c r="I90" i="9" a="1"/>
  <c r="I90" i="9" s="1"/>
  <c r="J91" i="9"/>
  <c r="Q91" i="9"/>
  <c r="P91" i="9" s="1"/>
  <c r="D92" i="9" a="1"/>
  <c r="D92" i="9" s="1"/>
  <c r="F92" i="9" s="1"/>
  <c r="G92" i="9" s="1"/>
  <c r="H96" i="9"/>
  <c r="E96" i="9" s="1"/>
  <c r="B97" i="9"/>
  <c r="I98" i="9" a="1"/>
  <c r="I98" i="9" s="1"/>
  <c r="J99" i="9"/>
  <c r="Q99" i="9"/>
  <c r="P99" i="9" s="1"/>
  <c r="D100" i="9" a="1"/>
  <c r="D100" i="9" s="1"/>
  <c r="F100" i="9" s="1"/>
  <c r="G100" i="9" s="1"/>
  <c r="H104" i="9"/>
  <c r="E104" i="9" s="1"/>
  <c r="B105" i="9"/>
  <c r="J107" i="9"/>
  <c r="Q107" i="9"/>
  <c r="P107" i="9" s="1"/>
  <c r="H112" i="9"/>
  <c r="E112" i="9" s="1"/>
  <c r="B113" i="9"/>
  <c r="J115" i="9"/>
  <c r="Q115" i="9"/>
  <c r="P115" i="9" s="1"/>
  <c r="D116" i="9" a="1"/>
  <c r="D116" i="9" s="1"/>
  <c r="F116" i="9" s="1"/>
  <c r="G116" i="9" s="1"/>
  <c r="D120" i="9" a="1"/>
  <c r="D120" i="9" s="1"/>
  <c r="F120" i="9" s="1"/>
  <c r="G120" i="9" s="1"/>
  <c r="D121" i="9" a="1"/>
  <c r="D121" i="9" s="1"/>
  <c r="F121" i="9" s="1"/>
  <c r="G121" i="9" s="1"/>
  <c r="L121" i="9"/>
  <c r="D122" i="9" a="1"/>
  <c r="D122" i="9" s="1"/>
  <c r="F122" i="9" s="1"/>
  <c r="G122" i="9" s="1"/>
  <c r="D123" i="9" a="1"/>
  <c r="D123" i="9" s="1"/>
  <c r="F123" i="9" s="1"/>
  <c r="G123" i="9" s="1"/>
  <c r="D124" i="9" a="1"/>
  <c r="D124" i="9" s="1"/>
  <c r="F124" i="9" s="1"/>
  <c r="G124" i="9" s="1"/>
  <c r="Q127" i="9"/>
  <c r="P127" i="9" s="1"/>
  <c r="Q130" i="9"/>
  <c r="P130" i="9" s="1"/>
  <c r="J130" i="9"/>
  <c r="H130" i="9"/>
  <c r="E130" i="9" s="1"/>
  <c r="M130" i="9" a="1"/>
  <c r="M130" i="9" s="1"/>
  <c r="J143" i="9"/>
  <c r="M154" i="9" a="1"/>
  <c r="M154" i="9" s="1"/>
  <c r="J154" i="9"/>
  <c r="B154" i="9"/>
  <c r="Q154" i="9"/>
  <c r="P154" i="9" s="1"/>
  <c r="I154" i="9"/>
  <c r="H154" i="9"/>
  <c r="E154" i="9" s="1"/>
  <c r="D154" i="9" a="1"/>
  <c r="D154" i="9" s="1"/>
  <c r="F154" i="9" s="1"/>
  <c r="G154" i="9" s="1"/>
  <c r="I68" i="9" a="1"/>
  <c r="I68" i="9" s="1"/>
  <c r="I81" i="9" a="1"/>
  <c r="I81" i="9" s="1"/>
  <c r="D83" i="9" a="1"/>
  <c r="D83" i="9" s="1"/>
  <c r="F83" i="9" s="1"/>
  <c r="G83" i="9" s="1"/>
  <c r="I89" i="9" a="1"/>
  <c r="I89" i="9" s="1"/>
  <c r="D91" i="9" a="1"/>
  <c r="D91" i="9" s="1"/>
  <c r="F91" i="9" s="1"/>
  <c r="G91" i="9" s="1"/>
  <c r="I97" i="9" a="1"/>
  <c r="I97" i="9" s="1"/>
  <c r="D99" i="9" a="1"/>
  <c r="D99" i="9" s="1"/>
  <c r="F99" i="9" s="1"/>
  <c r="G99" i="9" s="1"/>
  <c r="D107" i="9" a="1"/>
  <c r="D107" i="9" s="1"/>
  <c r="F107" i="9" s="1"/>
  <c r="G107" i="9" s="1"/>
  <c r="I113" i="9" a="1"/>
  <c r="I113" i="9" s="1"/>
  <c r="D115" i="9" a="1"/>
  <c r="D115" i="9" s="1"/>
  <c r="F115" i="9" s="1"/>
  <c r="G115" i="9" s="1"/>
  <c r="M120" i="9" a="1"/>
  <c r="M120" i="9" s="1"/>
  <c r="M121" i="9" a="1"/>
  <c r="M121" i="9" s="1"/>
  <c r="D128" i="9" a="1"/>
  <c r="D128" i="9" s="1"/>
  <c r="F128" i="9" s="1"/>
  <c r="G128" i="9" s="1"/>
  <c r="H135" i="9"/>
  <c r="E135" i="9" s="1"/>
  <c r="D135" i="9" a="1"/>
  <c r="D135" i="9" s="1"/>
  <c r="F135" i="9" s="1"/>
  <c r="G135" i="9" s="1"/>
  <c r="Q135" i="9"/>
  <c r="P135" i="9" s="1"/>
  <c r="J135" i="9"/>
  <c r="Q138" i="9"/>
  <c r="P138" i="9" s="1"/>
  <c r="J138" i="9"/>
  <c r="B138" i="9"/>
  <c r="H138" i="9"/>
  <c r="E138" i="9" s="1"/>
  <c r="M138" i="9" a="1"/>
  <c r="M138" i="9" s="1"/>
  <c r="Q143" i="9"/>
  <c r="P143" i="9" s="1"/>
  <c r="I51" i="9" a="1"/>
  <c r="I51" i="9" s="1"/>
  <c r="L207" i="9"/>
  <c r="L137" i="9"/>
  <c r="I67" i="9" a="1"/>
  <c r="I67" i="9" s="1"/>
  <c r="J68" i="9"/>
  <c r="Q68" i="9"/>
  <c r="P68" i="9" s="1"/>
  <c r="I74" i="9" a="1"/>
  <c r="I74" i="9" s="1"/>
  <c r="M77" i="9" a="1"/>
  <c r="M77" i="9" s="1"/>
  <c r="I80" i="9" a="1"/>
  <c r="I80" i="9" s="1"/>
  <c r="J81" i="9"/>
  <c r="M85" i="9" a="1"/>
  <c r="M85" i="9" s="1"/>
  <c r="I88" i="9" a="1"/>
  <c r="I88" i="9" s="1"/>
  <c r="J89" i="9"/>
  <c r="M93" i="9" a="1"/>
  <c r="M93" i="9" s="1"/>
  <c r="I96" i="9" a="1"/>
  <c r="I96" i="9" s="1"/>
  <c r="J97" i="9"/>
  <c r="M101" i="9" a="1"/>
  <c r="M101" i="9" s="1"/>
  <c r="I104" i="9" a="1"/>
  <c r="I104" i="9" s="1"/>
  <c r="I112" i="9" a="1"/>
  <c r="I112" i="9" s="1"/>
  <c r="J113" i="9"/>
  <c r="M117" i="9" a="1"/>
  <c r="M117" i="9" s="1"/>
  <c r="M123" i="9" a="1"/>
  <c r="M123" i="9" s="1"/>
  <c r="M124" i="9" a="1"/>
  <c r="M124" i="9" s="1"/>
  <c r="I127" i="9" a="1"/>
  <c r="I127" i="9" s="1"/>
  <c r="Q128" i="9"/>
  <c r="P128" i="9" s="1"/>
  <c r="D138" i="9" a="1"/>
  <c r="D138" i="9" s="1"/>
  <c r="F138" i="9" s="1"/>
  <c r="G138" i="9" s="1"/>
  <c r="D131" i="9" a="1"/>
  <c r="D131" i="9" s="1"/>
  <c r="F131" i="9" s="1"/>
  <c r="G131" i="9" s="1"/>
  <c r="B131" i="9"/>
  <c r="H131" i="9"/>
  <c r="E131" i="9" s="1"/>
  <c r="M131" i="9" a="1"/>
  <c r="M131" i="9" s="1"/>
  <c r="D51" i="9" a="1"/>
  <c r="D51" i="9" s="1"/>
  <c r="F51" i="9" s="1"/>
  <c r="G51" i="9" s="1"/>
  <c r="L205" i="9"/>
  <c r="L135" i="9"/>
  <c r="I65" i="9" a="1"/>
  <c r="I65" i="9" s="1"/>
  <c r="D67" i="9" a="1"/>
  <c r="D67" i="9" s="1"/>
  <c r="F67" i="9" s="1"/>
  <c r="G67" i="9" s="1"/>
  <c r="L68" i="9"/>
  <c r="H76" i="9"/>
  <c r="E76" i="9" s="1"/>
  <c r="B77" i="9"/>
  <c r="M83" i="9" a="1"/>
  <c r="M83" i="9" s="1"/>
  <c r="H84" i="9"/>
  <c r="E84" i="9" s="1"/>
  <c r="B85" i="9"/>
  <c r="M91" i="9" a="1"/>
  <c r="M91" i="9" s="1"/>
  <c r="H92" i="9"/>
  <c r="E92" i="9" s="1"/>
  <c r="B93" i="9"/>
  <c r="M99" i="9" a="1"/>
  <c r="M99" i="9" s="1"/>
  <c r="H100" i="9"/>
  <c r="E100" i="9" s="1"/>
  <c r="B101" i="9"/>
  <c r="M107" i="9" a="1"/>
  <c r="M107" i="9" s="1"/>
  <c r="H108" i="9"/>
  <c r="E108" i="9" s="1"/>
  <c r="M115" i="9" a="1"/>
  <c r="M115" i="9" s="1"/>
  <c r="H116" i="9"/>
  <c r="E116" i="9" s="1"/>
  <c r="B117" i="9"/>
  <c r="H124" i="9"/>
  <c r="E124" i="9" s="1"/>
  <c r="I128" i="9" a="1"/>
  <c r="I128" i="9" s="1"/>
  <c r="I130" i="9" a="1"/>
  <c r="I130" i="9" s="1"/>
  <c r="Q131" i="9"/>
  <c r="P131" i="9" s="1"/>
  <c r="I135" i="9" a="1"/>
  <c r="I135" i="9" s="1"/>
  <c r="I138" i="9" a="1"/>
  <c r="I138" i="9" s="1"/>
  <c r="L204" i="9"/>
  <c r="L134" i="9"/>
  <c r="I64" i="9" a="1"/>
  <c r="I64" i="9" s="1"/>
  <c r="L67" i="9"/>
  <c r="H83" i="9"/>
  <c r="E83" i="9" s="1"/>
  <c r="H91" i="9"/>
  <c r="E91" i="9" s="1"/>
  <c r="H99" i="9"/>
  <c r="E99" i="9" s="1"/>
  <c r="H107" i="9"/>
  <c r="E107" i="9" s="1"/>
  <c r="H115" i="9"/>
  <c r="E115" i="9" s="1"/>
  <c r="B120" i="9"/>
  <c r="I120" i="9" a="1"/>
  <c r="I120" i="9" s="1"/>
  <c r="B121" i="9"/>
  <c r="I121" i="9" a="1"/>
  <c r="I121" i="9" s="1"/>
  <c r="B122" i="9"/>
  <c r="I122" i="9" a="1"/>
  <c r="I122" i="9" s="1"/>
  <c r="Q122" i="9"/>
  <c r="P122" i="9" s="1"/>
  <c r="B123" i="9"/>
  <c r="I123" i="9" a="1"/>
  <c r="I123" i="9" s="1"/>
  <c r="Q123" i="9"/>
  <c r="P123" i="9" s="1"/>
  <c r="I124" i="9" a="1"/>
  <c r="I124" i="9" s="1"/>
  <c r="Q124" i="9"/>
  <c r="P124" i="9" s="1"/>
  <c r="H127" i="9"/>
  <c r="E127" i="9" s="1"/>
  <c r="D127" i="9" a="1"/>
  <c r="D127" i="9" s="1"/>
  <c r="F127" i="9" s="1"/>
  <c r="G127" i="9" s="1"/>
  <c r="M127" i="9" a="1"/>
  <c r="M127" i="9" s="1"/>
  <c r="M135" i="9" a="1"/>
  <c r="M135" i="9" s="1"/>
  <c r="B136" i="9"/>
  <c r="M136" i="9" a="1"/>
  <c r="M136" i="9" s="1"/>
  <c r="D136" i="9" a="1"/>
  <c r="D136" i="9" s="1"/>
  <c r="F136" i="9" s="1"/>
  <c r="G136" i="9" s="1"/>
  <c r="J142" i="9"/>
  <c r="Q142" i="9"/>
  <c r="P142" i="9" s="1"/>
  <c r="J146" i="9"/>
  <c r="Q146" i="9"/>
  <c r="P146" i="9" s="1"/>
  <c r="H155" i="9"/>
  <c r="E155" i="9" s="1"/>
  <c r="M155" i="9" a="1"/>
  <c r="M155" i="9" s="1"/>
  <c r="J162" i="9"/>
  <c r="J163" i="9"/>
  <c r="I167" i="9"/>
  <c r="B167" i="9"/>
  <c r="M167" i="9" a="1"/>
  <c r="M167" i="9" s="1"/>
  <c r="D173" i="9" a="1"/>
  <c r="D173" i="9" s="1"/>
  <c r="F173" i="9" s="1"/>
  <c r="G173" i="9" s="1"/>
  <c r="H176" i="9"/>
  <c r="E176" i="9" s="1"/>
  <c r="D176" i="9" a="1"/>
  <c r="D176" i="9" s="1"/>
  <c r="F176" i="9" s="1"/>
  <c r="G176" i="9" s="1"/>
  <c r="J176" i="9"/>
  <c r="B176" i="9"/>
  <c r="J178" i="9"/>
  <c r="B178" i="9"/>
  <c r="M178" i="9" a="1"/>
  <c r="M178" i="9" s="1"/>
  <c r="H181" i="9"/>
  <c r="E181" i="9" s="1"/>
  <c r="I196" i="9"/>
  <c r="B196" i="9"/>
  <c r="H196" i="9"/>
  <c r="E196" i="9" s="1"/>
  <c r="Q196" i="9"/>
  <c r="P196" i="9" s="1"/>
  <c r="D196" i="9" a="1"/>
  <c r="D196" i="9" s="1"/>
  <c r="F196" i="9" s="1"/>
  <c r="G196" i="9" s="1"/>
  <c r="M196" i="9" a="1"/>
  <c r="M196" i="9" s="1"/>
  <c r="J196" i="9"/>
  <c r="M140" i="9" a="1"/>
  <c r="M140" i="9" s="1"/>
  <c r="B141" i="9"/>
  <c r="I141" i="9"/>
  <c r="B145" i="9"/>
  <c r="I145" i="9"/>
  <c r="D151" i="9" a="1"/>
  <c r="D151" i="9" s="1"/>
  <c r="F151" i="9" s="1"/>
  <c r="G151" i="9" s="1"/>
  <c r="M153" i="9" a="1"/>
  <c r="M153" i="9" s="1"/>
  <c r="H158" i="9"/>
  <c r="E158" i="9" s="1"/>
  <c r="Q158" i="9"/>
  <c r="P158" i="9" s="1"/>
  <c r="Q159" i="9"/>
  <c r="P159" i="9" s="1"/>
  <c r="D167" i="9" a="1"/>
  <c r="D167" i="9" s="1"/>
  <c r="F167" i="9" s="1"/>
  <c r="G167" i="9" s="1"/>
  <c r="J168" i="9"/>
  <c r="I170" i="9"/>
  <c r="M172" i="9" a="1"/>
  <c r="M172" i="9" s="1"/>
  <c r="Q172" i="9"/>
  <c r="P172" i="9" s="1"/>
  <c r="I172" i="9"/>
  <c r="Q176" i="9"/>
  <c r="P176" i="9" s="1"/>
  <c r="D178" i="9" a="1"/>
  <c r="D178" i="9" s="1"/>
  <c r="F178" i="9" s="1"/>
  <c r="G178" i="9" s="1"/>
  <c r="Q178" i="9"/>
  <c r="P178" i="9" s="1"/>
  <c r="I181" i="9"/>
  <c r="I191" i="9"/>
  <c r="B191" i="9"/>
  <c r="Q191" i="9"/>
  <c r="P191" i="9" s="1"/>
  <c r="M191" i="9" a="1"/>
  <c r="M191" i="9" s="1"/>
  <c r="D191" i="9" a="1"/>
  <c r="D191" i="9" s="1"/>
  <c r="F191" i="9" s="1"/>
  <c r="G191" i="9" s="1"/>
  <c r="H191" i="9"/>
  <c r="E191" i="9" s="1"/>
  <c r="I134" i="9" a="1"/>
  <c r="I134" i="9" s="1"/>
  <c r="M139" i="9" a="1"/>
  <c r="M139" i="9" s="1"/>
  <c r="J141" i="9"/>
  <c r="Q141" i="9"/>
  <c r="P141" i="9" s="1"/>
  <c r="D142" i="9" a="1"/>
  <c r="D142" i="9" s="1"/>
  <c r="F142" i="9" s="1"/>
  <c r="G142" i="9" s="1"/>
  <c r="J145" i="9"/>
  <c r="Q145" i="9"/>
  <c r="P145" i="9" s="1"/>
  <c r="D146" i="9" a="1"/>
  <c r="D146" i="9" s="1"/>
  <c r="F146" i="9" s="1"/>
  <c r="G146" i="9" s="1"/>
  <c r="D150" i="9" a="1"/>
  <c r="D150" i="9" s="1"/>
  <c r="F150" i="9" s="1"/>
  <c r="G150" i="9" s="1"/>
  <c r="M151" i="9" a="1"/>
  <c r="M151" i="9" s="1"/>
  <c r="D155" i="9" a="1"/>
  <c r="D155" i="9" s="1"/>
  <c r="F155" i="9" s="1"/>
  <c r="G155" i="9" s="1"/>
  <c r="I158" i="9"/>
  <c r="I159" i="9"/>
  <c r="M162" i="9" a="1"/>
  <c r="M162" i="9" s="1"/>
  <c r="D162" i="9" a="1"/>
  <c r="D162" i="9" s="1"/>
  <c r="F162" i="9" s="1"/>
  <c r="G162" i="9" s="1"/>
  <c r="H163" i="9"/>
  <c r="E163" i="9" s="1"/>
  <c r="M163" i="9" a="1"/>
  <c r="M163" i="9" s="1"/>
  <c r="J170" i="9"/>
  <c r="I173" i="9"/>
  <c r="I175" i="9"/>
  <c r="B175" i="9"/>
  <c r="J175" i="9"/>
  <c r="M181" i="9" a="1"/>
  <c r="M181" i="9" s="1"/>
  <c r="J185" i="9"/>
  <c r="I185" i="9"/>
  <c r="Q185" i="9"/>
  <c r="P185" i="9" s="1"/>
  <c r="H185" i="9"/>
  <c r="E185" i="9" s="1"/>
  <c r="D185" i="9" a="1"/>
  <c r="D185" i="9" s="1"/>
  <c r="F185" i="9" s="1"/>
  <c r="G185" i="9" s="1"/>
  <c r="B185" i="9"/>
  <c r="B132" i="9"/>
  <c r="J134" i="9"/>
  <c r="Q134" i="9"/>
  <c r="P134" i="9" s="1"/>
  <c r="H139" i="9"/>
  <c r="E139" i="9" s="1"/>
  <c r="B140" i="9"/>
  <c r="B144" i="9"/>
  <c r="I144" i="9"/>
  <c r="J158" i="9"/>
  <c r="J159" i="9"/>
  <c r="B168" i="9"/>
  <c r="I171" i="9"/>
  <c r="B171" i="9"/>
  <c r="D171" i="9" a="1"/>
  <c r="D171" i="9" s="1"/>
  <c r="F171" i="9" s="1"/>
  <c r="G171" i="9" s="1"/>
  <c r="Q171" i="9"/>
  <c r="P171" i="9" s="1"/>
  <c r="H171" i="9"/>
  <c r="E171" i="9" s="1"/>
  <c r="D175" i="9" a="1"/>
  <c r="D175" i="9" s="1"/>
  <c r="F175" i="9" s="1"/>
  <c r="G175" i="9" s="1"/>
  <c r="Q175" i="9"/>
  <c r="P175" i="9" s="1"/>
  <c r="H178" i="9"/>
  <c r="E178" i="9" s="1"/>
  <c r="M129" i="9" a="1"/>
  <c r="M129" i="9" s="1"/>
  <c r="D134" i="9" a="1"/>
  <c r="D134" i="9" s="1"/>
  <c r="F134" i="9" s="1"/>
  <c r="G134" i="9" s="1"/>
  <c r="M137" i="9" a="1"/>
  <c r="M137" i="9" s="1"/>
  <c r="B139" i="9"/>
  <c r="D141" i="9" a="1"/>
  <c r="D141" i="9" s="1"/>
  <c r="F141" i="9" s="1"/>
  <c r="G141" i="9" s="1"/>
  <c r="M142" i="9" a="1"/>
  <c r="M142" i="9" s="1"/>
  <c r="J144" i="9"/>
  <c r="D145" i="9" a="1"/>
  <c r="D145" i="9" s="1"/>
  <c r="F145" i="9" s="1"/>
  <c r="G145" i="9" s="1"/>
  <c r="M146" i="9" a="1"/>
  <c r="M146" i="9" s="1"/>
  <c r="M147" i="9" a="1"/>
  <c r="M147" i="9" s="1"/>
  <c r="Q155" i="9"/>
  <c r="P155" i="9" s="1"/>
  <c r="D163" i="9" a="1"/>
  <c r="D163" i="9" s="1"/>
  <c r="F163" i="9" s="1"/>
  <c r="G163" i="9" s="1"/>
  <c r="H167" i="9"/>
  <c r="E167" i="9" s="1"/>
  <c r="D168" i="9" a="1"/>
  <c r="D168" i="9" s="1"/>
  <c r="F168" i="9" s="1"/>
  <c r="G168" i="9" s="1"/>
  <c r="M185" i="9" a="1"/>
  <c r="M185" i="9" s="1"/>
  <c r="J186" i="9"/>
  <c r="I186" i="9"/>
  <c r="Q186" i="9"/>
  <c r="P186" i="9" s="1"/>
  <c r="H186" i="9"/>
  <c r="E186" i="9" s="1"/>
  <c r="M186" i="9" a="1"/>
  <c r="M186" i="9" s="1"/>
  <c r="B186" i="9"/>
  <c r="I139" i="9" a="1"/>
  <c r="I139" i="9" s="1"/>
  <c r="M158" i="9" a="1"/>
  <c r="M158" i="9" s="1"/>
  <c r="D158" i="9" a="1"/>
  <c r="D158" i="9" s="1"/>
  <c r="F158" i="9" s="1"/>
  <c r="G158" i="9" s="1"/>
  <c r="H159" i="9"/>
  <c r="E159" i="9" s="1"/>
  <c r="M159" i="9" a="1"/>
  <c r="M159" i="9" s="1"/>
  <c r="Q189" i="9"/>
  <c r="P189" i="9" s="1"/>
  <c r="H189" i="9"/>
  <c r="E189" i="9" s="1"/>
  <c r="D189" i="9" a="1"/>
  <c r="D189" i="9" s="1"/>
  <c r="F189" i="9" s="1"/>
  <c r="G189" i="9" s="1"/>
  <c r="B189" i="9"/>
  <c r="I189" i="9"/>
  <c r="H170" i="9"/>
  <c r="E170" i="9" s="1"/>
  <c r="M170" i="9" a="1"/>
  <c r="M170" i="9" s="1"/>
  <c r="Q170" i="9"/>
  <c r="P170" i="9" s="1"/>
  <c r="J173" i="9"/>
  <c r="B173" i="9"/>
  <c r="H173" i="9"/>
  <c r="E173" i="9" s="1"/>
  <c r="B181" i="9"/>
  <c r="J181" i="9"/>
  <c r="D181" i="9" a="1"/>
  <c r="D181" i="9" s="1"/>
  <c r="F181" i="9" s="1"/>
  <c r="G181" i="9" s="1"/>
  <c r="I187" i="9"/>
  <c r="B187" i="9"/>
  <c r="J187" i="9"/>
  <c r="H187" i="9"/>
  <c r="E187" i="9" s="1"/>
  <c r="Q187" i="9"/>
  <c r="P187" i="9" s="1"/>
  <c r="B142" i="9"/>
  <c r="B146" i="9"/>
  <c r="B150" i="9"/>
  <c r="J150" i="9"/>
  <c r="B155" i="9"/>
  <c r="D159" i="9" a="1"/>
  <c r="D159" i="9" s="1"/>
  <c r="F159" i="9" s="1"/>
  <c r="G159" i="9" s="1"/>
  <c r="I162" i="9"/>
  <c r="I163" i="9"/>
  <c r="J165" i="9"/>
  <c r="B165" i="9"/>
  <c r="H168" i="9"/>
  <c r="E168" i="9" s="1"/>
  <c r="M169" i="9" a="1"/>
  <c r="M169" i="9" s="1"/>
  <c r="D169" i="9" a="1"/>
  <c r="D169" i="9" s="1"/>
  <c r="F169" i="9" s="1"/>
  <c r="G169" i="9" s="1"/>
  <c r="D170" i="9" a="1"/>
  <c r="D170" i="9" s="1"/>
  <c r="F170" i="9" s="1"/>
  <c r="G170" i="9" s="1"/>
  <c r="J171" i="9"/>
  <c r="Q173" i="9"/>
  <c r="P173" i="9" s="1"/>
  <c r="D187" i="9" a="1"/>
  <c r="D187" i="9" s="1"/>
  <c r="F187" i="9" s="1"/>
  <c r="G187" i="9" s="1"/>
  <c r="M189" i="9" a="1"/>
  <c r="M189" i="9" s="1"/>
  <c r="Q190" i="9"/>
  <c r="P190" i="9" s="1"/>
  <c r="H190" i="9"/>
  <c r="E190" i="9" s="1"/>
  <c r="D190" i="9" a="1"/>
  <c r="D190" i="9" s="1"/>
  <c r="F190" i="9" s="1"/>
  <c r="G190" i="9" s="1"/>
  <c r="M190" i="9" a="1"/>
  <c r="M190" i="9" s="1"/>
  <c r="B190" i="9"/>
  <c r="I190" i="9"/>
  <c r="J157" i="9"/>
  <c r="Q157" i="9"/>
  <c r="P157" i="9" s="1"/>
  <c r="J161" i="9"/>
  <c r="Q161" i="9"/>
  <c r="P161" i="9" s="1"/>
  <c r="I164" i="9"/>
  <c r="I174" i="9"/>
  <c r="Q174" i="9"/>
  <c r="P174" i="9" s="1"/>
  <c r="D179" i="9" a="1"/>
  <c r="D179" i="9" s="1"/>
  <c r="F179" i="9" s="1"/>
  <c r="G179" i="9" s="1"/>
  <c r="M182" i="9" a="1"/>
  <c r="M182" i="9" s="1"/>
  <c r="I184" i="9"/>
  <c r="B184" i="9"/>
  <c r="Q192" i="9"/>
  <c r="P192" i="9" s="1"/>
  <c r="M197" i="9" a="1"/>
  <c r="M197" i="9" s="1"/>
  <c r="I197" i="9"/>
  <c r="B197" i="9"/>
  <c r="Q197" i="9"/>
  <c r="P197" i="9" s="1"/>
  <c r="H202" i="9"/>
  <c r="E202" i="9" s="1"/>
  <c r="Q202" i="9"/>
  <c r="P202" i="9" s="1"/>
  <c r="D208" i="9" a="1"/>
  <c r="D208" i="9" s="1"/>
  <c r="F208" i="9" s="1"/>
  <c r="G208" i="9" s="1"/>
  <c r="I208" i="9"/>
  <c r="B208" i="9"/>
  <c r="M208" i="9" a="1"/>
  <c r="M208" i="9" s="1"/>
  <c r="M198" i="9" a="1"/>
  <c r="M198" i="9" s="1"/>
  <c r="J148" i="9"/>
  <c r="J152" i="9"/>
  <c r="J156" i="9"/>
  <c r="J160" i="9"/>
  <c r="Q180" i="9"/>
  <c r="P180" i="9" s="1"/>
  <c r="I188" i="9"/>
  <c r="B188" i="9"/>
  <c r="I193" i="9"/>
  <c r="I194" i="9"/>
  <c r="D200" i="9" a="1"/>
  <c r="D200" i="9" s="1"/>
  <c r="F200" i="9" s="1"/>
  <c r="G200" i="9" s="1"/>
  <c r="I200" i="9"/>
  <c r="B200" i="9"/>
  <c r="Q200" i="9"/>
  <c r="P200" i="9" s="1"/>
  <c r="H208" i="9"/>
  <c r="E208" i="9" s="1"/>
  <c r="H198" i="9"/>
  <c r="E198" i="9" s="1"/>
  <c r="Q198" i="9"/>
  <c r="P198" i="9" s="1"/>
  <c r="D204" i="9" a="1"/>
  <c r="D204" i="9" s="1"/>
  <c r="F204" i="9" s="1"/>
  <c r="G204" i="9" s="1"/>
  <c r="I204" i="9"/>
  <c r="B204" i="9"/>
  <c r="M204" i="9" a="1"/>
  <c r="M204" i="9" s="1"/>
  <c r="J208" i="9"/>
  <c r="I192" i="9"/>
  <c r="B192" i="9"/>
  <c r="B193" i="9"/>
  <c r="B194" i="9"/>
  <c r="D198" i="9" a="1"/>
  <c r="D198" i="9" s="1"/>
  <c r="F198" i="9" s="1"/>
  <c r="G198" i="9" s="1"/>
  <c r="M209" i="9" a="1"/>
  <c r="M209" i="9" s="1"/>
  <c r="I209" i="9"/>
  <c r="B209" i="9"/>
  <c r="H209" i="9"/>
  <c r="E209" i="9" s="1"/>
  <c r="J182" i="9"/>
  <c r="M193" i="9" a="1"/>
  <c r="M193" i="9" s="1"/>
  <c r="I195" i="9"/>
  <c r="B195" i="9"/>
  <c r="M201" i="9" a="1"/>
  <c r="M201" i="9" s="1"/>
  <c r="I201" i="9"/>
  <c r="B201" i="9"/>
  <c r="Q201" i="9"/>
  <c r="P201" i="9" s="1"/>
  <c r="D209" i="9" a="1"/>
  <c r="D209" i="9" s="1"/>
  <c r="F209" i="9" s="1"/>
  <c r="G209" i="9" s="1"/>
  <c r="I179" i="9"/>
  <c r="B179" i="9"/>
  <c r="B182" i="9"/>
  <c r="D193" i="9" a="1"/>
  <c r="D193" i="9" s="1"/>
  <c r="F193" i="9" s="1"/>
  <c r="G193" i="9" s="1"/>
  <c r="M194" i="9" a="1"/>
  <c r="M194" i="9" s="1"/>
  <c r="I198" i="9"/>
  <c r="D201" i="9" a="1"/>
  <c r="D201" i="9" s="1"/>
  <c r="F201" i="9" s="1"/>
  <c r="G201" i="9" s="1"/>
  <c r="M202" i="9" a="1"/>
  <c r="M202" i="9" s="1"/>
  <c r="J204" i="9"/>
  <c r="Q208" i="9"/>
  <c r="P208" i="9" s="1"/>
  <c r="I183" i="9"/>
  <c r="B183" i="9"/>
  <c r="H188" i="9"/>
  <c r="E188" i="9" s="1"/>
  <c r="D194" i="9" a="1"/>
  <c r="D194" i="9" s="1"/>
  <c r="F194" i="9" s="1"/>
  <c r="G194" i="9" s="1"/>
  <c r="D195" i="9" a="1"/>
  <c r="D195" i="9" s="1"/>
  <c r="F195" i="9" s="1"/>
  <c r="G195" i="9" s="1"/>
  <c r="M195" i="9" a="1"/>
  <c r="M195" i="9" s="1"/>
  <c r="J198" i="9"/>
  <c r="M205" i="9" a="1"/>
  <c r="M205" i="9" s="1"/>
  <c r="I205" i="9"/>
  <c r="B205" i="9"/>
  <c r="H205" i="9"/>
  <c r="E205" i="9" s="1"/>
  <c r="J209" i="9"/>
  <c r="J206" i="9"/>
  <c r="Q206" i="9"/>
  <c r="P206" i="9" s="1"/>
  <c r="J210" i="9"/>
  <c r="Q210" i="9"/>
  <c r="P210" i="9" s="1"/>
  <c r="B199" i="9"/>
  <c r="I199" i="9"/>
  <c r="B203" i="9"/>
  <c r="I203" i="9"/>
  <c r="B207" i="9"/>
  <c r="I207" i="9"/>
  <c r="J199" i="9"/>
  <c r="J203" i="9"/>
  <c r="J207" i="9"/>
  <c r="H9" i="10"/>
  <c r="H9" i="11"/>
  <c r="O9" i="11"/>
  <c r="F9" i="11"/>
  <c r="L9" i="11"/>
  <c r="I9" i="11"/>
  <c r="G9" i="11"/>
  <c r="E9" i="11"/>
  <c r="H11" i="11"/>
  <c r="O11" i="11"/>
  <c r="F11" i="11"/>
  <c r="G12" i="11"/>
  <c r="M10" i="11"/>
  <c r="K11" i="11"/>
  <c r="G14" i="11"/>
  <c r="D10" i="11" a="1"/>
  <c r="D10" i="11" s="1"/>
  <c r="L11" i="11"/>
  <c r="H12" i="11"/>
  <c r="O12" i="11"/>
  <c r="F12" i="11"/>
  <c r="M11" i="11"/>
  <c r="K12" i="11"/>
  <c r="H13" i="11"/>
  <c r="J13" i="11" s="1"/>
  <c r="O13" i="11"/>
  <c r="F13" i="11"/>
  <c r="L13" i="11"/>
  <c r="D13" i="11" a="1"/>
  <c r="D13" i="11" s="1"/>
  <c r="K13" i="11"/>
  <c r="H14" i="11"/>
  <c r="O14" i="11"/>
  <c r="F14" i="11"/>
  <c r="M14" i="11"/>
  <c r="E14" i="11"/>
  <c r="L14" i="11"/>
  <c r="D14" i="11" a="1"/>
  <c r="D14" i="11" s="1"/>
  <c r="H10" i="11"/>
  <c r="J10" i="11" s="1"/>
  <c r="O10" i="11"/>
  <c r="F10" i="11"/>
  <c r="G11" i="11"/>
  <c r="D12" i="11" a="1"/>
  <c r="D12" i="11" s="1"/>
  <c r="Y127" i="11"/>
  <c r="AA127" i="11"/>
  <c r="AA108" i="11"/>
  <c r="AA116" i="11"/>
  <c r="R136" i="11"/>
  <c r="AC136" i="11" s="1"/>
  <c r="W136" i="11"/>
  <c r="Y132" i="11"/>
  <c r="R128" i="11"/>
  <c r="AC128" i="11" s="1"/>
  <c r="W128" i="11"/>
  <c r="AA135" i="11"/>
  <c r="W137" i="11"/>
  <c r="Y107" i="11"/>
  <c r="Y115" i="11"/>
  <c r="Y123" i="11"/>
  <c r="Y131" i="11"/>
  <c r="C244" i="9" a="1"/>
  <c r="H244" i="9" a="1"/>
  <c r="D8" i="11" a="1"/>
  <c r="D6" i="11" a="1"/>
  <c r="D3" i="11" a="1"/>
  <c r="D2" i="11" a="1"/>
  <c r="C236" i="9" a="1"/>
  <c r="H236" i="9" a="1"/>
  <c r="H237" i="9" a="1"/>
  <c r="C237" i="9" a="1"/>
  <c r="H245" i="9" a="1"/>
  <c r="C245" i="9" a="1"/>
  <c r="H229" i="9" a="1"/>
  <c r="C229" i="9" a="1"/>
  <c r="C221" i="9" a="1"/>
  <c r="H221" i="9" a="1"/>
  <c r="C9" i="11" a="1"/>
  <c r="C1" i="11" a="1"/>
  <c r="C7" i="11" a="1"/>
  <c r="C11" i="11" a="1"/>
  <c r="C5" i="11" a="1"/>
  <c r="C4" i="11" a="1"/>
  <c r="B1" i="7" a="1"/>
  <c r="B71" i="9"/>
  <c r="AD7" i="5" l="1"/>
  <c r="AF7" i="5"/>
  <c r="AD6" i="5"/>
  <c r="AF6" i="5"/>
  <c r="Z6" i="5"/>
  <c r="AB6" i="5"/>
  <c r="Z7" i="5"/>
  <c r="AB7" i="5"/>
  <c r="V7" i="5"/>
  <c r="X7" i="5"/>
  <c r="V6" i="5"/>
  <c r="X6" i="5"/>
  <c r="R6" i="5"/>
  <c r="T6" i="5"/>
  <c r="R7" i="5"/>
  <c r="T7" i="5"/>
  <c r="N7" i="5"/>
  <c r="P7" i="5"/>
  <c r="N6" i="5"/>
  <c r="P6" i="5"/>
  <c r="J6" i="5"/>
  <c r="L6" i="5"/>
  <c r="J7" i="5"/>
  <c r="L7" i="5"/>
  <c r="F7" i="5"/>
  <c r="H7" i="5"/>
  <c r="F6" i="5"/>
  <c r="H6" i="5"/>
  <c r="B7" i="5"/>
  <c r="D7" i="5"/>
  <c r="B6" i="5"/>
  <c r="D6" i="5"/>
  <c r="H244" i="9"/>
  <c r="Q244" i="9" s="1"/>
  <c r="P244" i="9" s="1"/>
  <c r="C244" i="9"/>
  <c r="J244" i="9" s="1"/>
  <c r="D8" i="11"/>
  <c r="D6" i="11"/>
  <c r="D3" i="11"/>
  <c r="D2" i="11"/>
  <c r="H236" i="9"/>
  <c r="Q236" i="9" s="1"/>
  <c r="P236" i="9" s="1"/>
  <c r="C236" i="9"/>
  <c r="J236" i="9" s="1"/>
  <c r="C237" i="9"/>
  <c r="A237" i="9" s="1"/>
  <c r="H237" i="9"/>
  <c r="Q237" i="9" s="1"/>
  <c r="P237" i="9" s="1"/>
  <c r="I6" i="6"/>
  <c r="C245" i="9"/>
  <c r="F245" i="9" s="1"/>
  <c r="G245" i="9" s="1"/>
  <c r="H245" i="9"/>
  <c r="Q245" i="9" s="1"/>
  <c r="P245" i="9" s="1"/>
  <c r="I8" i="6"/>
  <c r="C229" i="9"/>
  <c r="F229" i="9" s="1"/>
  <c r="G229" i="9" s="1"/>
  <c r="H229" i="9"/>
  <c r="Q229" i="9" s="1"/>
  <c r="P229" i="9" s="1"/>
  <c r="I4" i="6"/>
  <c r="H221" i="9"/>
  <c r="Q221" i="9" s="1"/>
  <c r="P221" i="9" s="1"/>
  <c r="C221" i="9"/>
  <c r="A221" i="9" s="1"/>
  <c r="I2" i="6"/>
  <c r="J12" i="11"/>
  <c r="J11" i="11"/>
  <c r="B1" i="7"/>
  <c r="C4" i="11"/>
  <c r="C5" i="11"/>
  <c r="C11" i="11"/>
  <c r="B11" i="11" s="1"/>
  <c r="C7" i="11"/>
  <c r="C1" i="11"/>
  <c r="C9" i="11"/>
  <c r="B9" i="11" s="1"/>
  <c r="X4" i="5"/>
  <c r="F226" i="9"/>
  <c r="G226" i="9" s="1"/>
  <c r="A226" i="9"/>
  <c r="J226" i="9"/>
  <c r="J14" i="11"/>
  <c r="F250" i="9"/>
  <c r="G250" i="9" s="1"/>
  <c r="J250" i="9"/>
  <c r="A250" i="9"/>
  <c r="J227" i="9"/>
  <c r="F240" i="9"/>
  <c r="G240" i="9" s="1"/>
  <c r="A240" i="9"/>
  <c r="J240" i="9"/>
  <c r="F248" i="9"/>
  <c r="G248" i="9" s="1"/>
  <c r="A248" i="9"/>
  <c r="J248" i="9"/>
  <c r="J231" i="9"/>
  <c r="S128" i="4"/>
  <c r="K128" i="4"/>
  <c r="C128" i="4"/>
  <c r="Q128" i="4"/>
  <c r="I128" i="4"/>
  <c r="P128" i="4"/>
  <c r="H128" i="4"/>
  <c r="O128" i="4"/>
  <c r="G128" i="4"/>
  <c r="A130" i="4"/>
  <c r="V128" i="4"/>
  <c r="AM128" i="5" s="1"/>
  <c r="M128" i="4"/>
  <c r="E128" i="4"/>
  <c r="T128" i="4"/>
  <c r="L128" i="4"/>
  <c r="D128" i="4"/>
  <c r="B128" i="4"/>
  <c r="W128" i="4"/>
  <c r="AN128" i="5" s="1"/>
  <c r="R128" i="4"/>
  <c r="N128" i="4"/>
  <c r="J128" i="4"/>
  <c r="F128" i="4"/>
  <c r="J239" i="9"/>
  <c r="J243" i="9"/>
  <c r="A8" i="5" a="1"/>
  <c r="A8" i="5" s="1"/>
  <c r="AH8" i="5" s="1"/>
  <c r="J9" i="11"/>
  <c r="A242" i="9"/>
  <c r="J242" i="9"/>
  <c r="F242" i="9"/>
  <c r="G242" i="9" s="1"/>
  <c r="J241" i="9"/>
  <c r="F241" i="9"/>
  <c r="G241" i="9" s="1"/>
  <c r="A241" i="9"/>
  <c r="J235" i="9"/>
  <c r="A9" i="5" a="1"/>
  <c r="A9" i="5" s="1"/>
  <c r="AH9" i="5" s="1"/>
  <c r="A17" i="10"/>
  <c r="J233" i="9"/>
  <c r="F233" i="9"/>
  <c r="G233" i="9" s="1"/>
  <c r="A233" i="9"/>
  <c r="N7" i="4"/>
  <c r="E7" i="4"/>
  <c r="R7" i="4"/>
  <c r="J7" i="4"/>
  <c r="U7" i="4" s="1"/>
  <c r="B7" i="4"/>
  <c r="Q7" i="4"/>
  <c r="I7" i="4"/>
  <c r="W7" i="4"/>
  <c r="AN7" i="5" s="1"/>
  <c r="O7" i="4"/>
  <c r="G7" i="4"/>
  <c r="V7" i="4"/>
  <c r="AM7" i="5" s="1"/>
  <c r="F7" i="4"/>
  <c r="M7" i="4"/>
  <c r="P7" i="4"/>
  <c r="L7" i="4"/>
  <c r="C7" i="4"/>
  <c r="S7" i="4"/>
  <c r="AJ7" i="5" s="1"/>
  <c r="K7" i="4"/>
  <c r="H7" i="4"/>
  <c r="A9" i="4" a="1"/>
  <c r="A9" i="4" s="1"/>
  <c r="T7" i="4"/>
  <c r="AL7" i="5" s="1"/>
  <c r="D7" i="4"/>
  <c r="X3" i="5"/>
  <c r="Y3" i="5" s="1"/>
  <c r="N3" i="4"/>
  <c r="I6" i="2"/>
  <c r="A234" i="9"/>
  <c r="J234" i="9"/>
  <c r="F234" i="9"/>
  <c r="G234" i="9" s="1"/>
  <c r="A249" i="9"/>
  <c r="J249" i="9"/>
  <c r="F249" i="9"/>
  <c r="G249" i="9" s="1"/>
  <c r="J219" i="9"/>
  <c r="J223" i="9"/>
  <c r="J225" i="9"/>
  <c r="F225" i="9"/>
  <c r="G225" i="9" s="1"/>
  <c r="A225" i="9"/>
  <c r="V6" i="4"/>
  <c r="F6" i="4"/>
  <c r="M6" i="4"/>
  <c r="R6" i="4"/>
  <c r="J6" i="4"/>
  <c r="U6" i="4" s="1"/>
  <c r="B6" i="4"/>
  <c r="A8" i="4" a="1"/>
  <c r="A8" i="4" s="1"/>
  <c r="Q6" i="4"/>
  <c r="I6" i="4"/>
  <c r="W6" i="4"/>
  <c r="AN6" i="5" s="1"/>
  <c r="O6" i="4"/>
  <c r="G6" i="4"/>
  <c r="N6" i="4"/>
  <c r="E6" i="4"/>
  <c r="S6" i="4"/>
  <c r="AJ6" i="5" s="1"/>
  <c r="P6" i="4"/>
  <c r="L6" i="4"/>
  <c r="K6" i="4"/>
  <c r="H6" i="4"/>
  <c r="D6" i="4"/>
  <c r="C6" i="4"/>
  <c r="T6" i="4"/>
  <c r="AL6" i="5" s="1"/>
  <c r="C238" i="9" a="1"/>
  <c r="H238" i="9" a="1"/>
  <c r="C246" i="9" a="1"/>
  <c r="H246" i="9" a="1"/>
  <c r="C230" i="9" a="1"/>
  <c r="H230" i="9" a="1"/>
  <c r="H222" i="9" a="1"/>
  <c r="C222" i="9" a="1"/>
  <c r="U1" i="2"/>
  <c r="T1" i="2"/>
  <c r="S1" i="2"/>
  <c r="Q1" i="2"/>
  <c r="P1" i="2"/>
  <c r="R1" i="2"/>
  <c r="B2" i="7" a="1"/>
  <c r="AD8" i="5" l="1"/>
  <c r="AF8" i="5"/>
  <c r="AD9" i="5"/>
  <c r="AF9" i="5"/>
  <c r="Z9" i="5"/>
  <c r="AB9" i="5"/>
  <c r="Z8" i="5"/>
  <c r="AB8" i="5"/>
  <c r="V8" i="5"/>
  <c r="X8" i="5"/>
  <c r="V9" i="5"/>
  <c r="X9" i="5"/>
  <c r="R9" i="5"/>
  <c r="T9" i="5"/>
  <c r="R8" i="5"/>
  <c r="T8" i="5"/>
  <c r="N9" i="5"/>
  <c r="P9" i="5"/>
  <c r="N8" i="5"/>
  <c r="P8" i="5"/>
  <c r="J9" i="5"/>
  <c r="L9" i="5"/>
  <c r="J8" i="5"/>
  <c r="L8" i="5"/>
  <c r="A244" i="9"/>
  <c r="F8" i="5"/>
  <c r="H8" i="5"/>
  <c r="F9" i="5"/>
  <c r="H9" i="5"/>
  <c r="B9" i="5"/>
  <c r="D9" i="5"/>
  <c r="B8" i="5"/>
  <c r="D8" i="5"/>
  <c r="F244" i="9"/>
  <c r="G244" i="9" s="1"/>
  <c r="A236" i="9"/>
  <c r="I8" i="11"/>
  <c r="H8" i="11"/>
  <c r="G8" i="11"/>
  <c r="O8" i="11" s="1"/>
  <c r="L8" i="11"/>
  <c r="M8" i="11"/>
  <c r="K8" i="11"/>
  <c r="B7" i="11"/>
  <c r="G6" i="11"/>
  <c r="O6" i="11" s="1"/>
  <c r="I6" i="11"/>
  <c r="M6" i="11"/>
  <c r="H6" i="11"/>
  <c r="K6" i="11"/>
  <c r="J237" i="9"/>
  <c r="F237" i="9"/>
  <c r="G237" i="9" s="1"/>
  <c r="F236" i="9"/>
  <c r="G236" i="9" s="1"/>
  <c r="B5" i="11"/>
  <c r="B4" i="11"/>
  <c r="H3" i="11"/>
  <c r="I3" i="11"/>
  <c r="M3" i="11"/>
  <c r="K3" i="11"/>
  <c r="G3" i="11"/>
  <c r="K2" i="11"/>
  <c r="M2" i="11"/>
  <c r="G2" i="11"/>
  <c r="H2" i="11"/>
  <c r="I2" i="11"/>
  <c r="B1" i="11"/>
  <c r="A245" i="9"/>
  <c r="J245" i="9"/>
  <c r="H238" i="9"/>
  <c r="Q238" i="9" s="1"/>
  <c r="P238" i="9" s="1"/>
  <c r="C238" i="9"/>
  <c r="F221" i="9"/>
  <c r="G221" i="9" s="1"/>
  <c r="J221" i="9"/>
  <c r="J229" i="9"/>
  <c r="H246" i="9"/>
  <c r="Q246" i="9" s="1"/>
  <c r="P246" i="9" s="1"/>
  <c r="C246" i="9"/>
  <c r="A229" i="9"/>
  <c r="H230" i="9"/>
  <c r="Q230" i="9" s="1"/>
  <c r="P230" i="9" s="1"/>
  <c r="C230" i="9"/>
  <c r="C222" i="9"/>
  <c r="H222" i="9"/>
  <c r="Q222" i="9" s="1"/>
  <c r="P222" i="9" s="1"/>
  <c r="B2" i="7"/>
  <c r="K141" i="9"/>
  <c r="K1" i="9"/>
  <c r="V1" i="2"/>
  <c r="O1" i="9" s="1"/>
  <c r="K71" i="9"/>
  <c r="A11" i="5" a="1"/>
  <c r="A11" i="5" s="1"/>
  <c r="AH11" i="5" s="1"/>
  <c r="I7" i="2"/>
  <c r="L6" i="9"/>
  <c r="L146" i="9"/>
  <c r="L76" i="9"/>
  <c r="Z3" i="5"/>
  <c r="AA3" i="5" s="1"/>
  <c r="O3" i="4"/>
  <c r="AM6" i="5"/>
  <c r="W8" i="4"/>
  <c r="AN8" i="5" s="1"/>
  <c r="F8" i="4"/>
  <c r="M8" i="4"/>
  <c r="R8" i="4"/>
  <c r="J8" i="4"/>
  <c r="B8" i="4"/>
  <c r="Q8" i="4"/>
  <c r="I8" i="4"/>
  <c r="A10" i="4" a="1"/>
  <c r="A10" i="4" s="1"/>
  <c r="O8" i="4"/>
  <c r="G8" i="4"/>
  <c r="N8" i="4"/>
  <c r="V8" i="4"/>
  <c r="AM8" i="5" s="1"/>
  <c r="E8" i="4"/>
  <c r="L8" i="4"/>
  <c r="K8" i="4"/>
  <c r="H8" i="4"/>
  <c r="D8" i="4"/>
  <c r="S8" i="4"/>
  <c r="AJ8" i="5" s="1"/>
  <c r="C8" i="4"/>
  <c r="T8" i="4"/>
  <c r="AL8" i="5" s="1"/>
  <c r="P8" i="4"/>
  <c r="Z4" i="5"/>
  <c r="O130" i="4"/>
  <c r="G130" i="4"/>
  <c r="A132" i="4"/>
  <c r="V130" i="4"/>
  <c r="AM130" i="5" s="1"/>
  <c r="M130" i="4"/>
  <c r="E130" i="4"/>
  <c r="T130" i="4"/>
  <c r="L130" i="4"/>
  <c r="D130" i="4"/>
  <c r="S130" i="4"/>
  <c r="K130" i="4"/>
  <c r="C130" i="4"/>
  <c r="Q130" i="4"/>
  <c r="I130" i="4"/>
  <c r="P130" i="4"/>
  <c r="H130" i="4"/>
  <c r="W130" i="4"/>
  <c r="AN130" i="5" s="1"/>
  <c r="R130" i="4"/>
  <c r="N130" i="4"/>
  <c r="J130" i="4"/>
  <c r="F130" i="4"/>
  <c r="B130" i="4"/>
  <c r="H17" i="10"/>
  <c r="A10" i="5" a="1"/>
  <c r="A10" i="5" s="1"/>
  <c r="AH10" i="5" s="1"/>
  <c r="O9" i="4"/>
  <c r="G9" i="4"/>
  <c r="W9" i="4"/>
  <c r="AN9" i="5" s="1"/>
  <c r="F9" i="4"/>
  <c r="S9" i="4"/>
  <c r="AJ9" i="5" s="1"/>
  <c r="K9" i="4"/>
  <c r="C9" i="4"/>
  <c r="R9" i="4"/>
  <c r="J9" i="4"/>
  <c r="B9" i="4"/>
  <c r="P9" i="4"/>
  <c r="H9" i="4"/>
  <c r="A11" i="4" a="1"/>
  <c r="A11" i="4" s="1"/>
  <c r="N9" i="4"/>
  <c r="L9" i="4"/>
  <c r="I9" i="4"/>
  <c r="M9" i="4"/>
  <c r="E9" i="4"/>
  <c r="D9" i="4"/>
  <c r="Q9" i="4"/>
  <c r="V9" i="4"/>
  <c r="AM9" i="5" s="1"/>
  <c r="T9" i="4"/>
  <c r="AL9" i="5" s="1"/>
  <c r="D7" i="11" a="1"/>
  <c r="D5" i="11" a="1"/>
  <c r="D4" i="11" a="1"/>
  <c r="D1" i="11" a="1"/>
  <c r="M1" i="2" a="1"/>
  <c r="N1" i="2" a="1"/>
  <c r="L1" i="2" a="1"/>
  <c r="O1" i="2" a="1"/>
  <c r="M1" i="9" a="1"/>
  <c r="T2" i="2"/>
  <c r="S2" i="2"/>
  <c r="U2" i="2"/>
  <c r="J1" i="2" a="1"/>
  <c r="B3" i="7" a="1"/>
  <c r="P2" i="2"/>
  <c r="Q2" i="2"/>
  <c r="R2" i="2"/>
  <c r="M71" i="9" a="1"/>
  <c r="K1" i="2" a="1"/>
  <c r="AD10" i="5" l="1"/>
  <c r="AF10" i="5"/>
  <c r="AD11" i="5"/>
  <c r="AF11" i="5"/>
  <c r="Z11" i="5"/>
  <c r="AB11" i="5"/>
  <c r="Z10" i="5"/>
  <c r="AB10" i="5"/>
  <c r="V11" i="5"/>
  <c r="X11" i="5"/>
  <c r="V10" i="5"/>
  <c r="X10" i="5"/>
  <c r="R11" i="5"/>
  <c r="T11" i="5"/>
  <c r="R10" i="5"/>
  <c r="T10" i="5"/>
  <c r="N10" i="5"/>
  <c r="P10" i="5"/>
  <c r="N11" i="5"/>
  <c r="P11" i="5"/>
  <c r="J11" i="5"/>
  <c r="L11" i="5"/>
  <c r="J10" i="5"/>
  <c r="L10" i="5"/>
  <c r="F11" i="5"/>
  <c r="H11" i="5"/>
  <c r="F10" i="5"/>
  <c r="H10" i="5"/>
  <c r="B11" i="5"/>
  <c r="D11" i="5"/>
  <c r="B10" i="5"/>
  <c r="D10" i="5"/>
  <c r="J6" i="11"/>
  <c r="J8" i="11"/>
  <c r="D7" i="11"/>
  <c r="D5" i="11"/>
  <c r="D4" i="11"/>
  <c r="O3" i="11"/>
  <c r="J3" i="11"/>
  <c r="O2" i="11"/>
  <c r="J2" i="11"/>
  <c r="D1" i="11"/>
  <c r="A238" i="9"/>
  <c r="J238" i="9"/>
  <c r="F238" i="9"/>
  <c r="G238" i="9" s="1"/>
  <c r="A246" i="9"/>
  <c r="J246" i="9"/>
  <c r="F246" i="9"/>
  <c r="G246" i="9" s="1"/>
  <c r="A230" i="9"/>
  <c r="J230" i="9"/>
  <c r="F230" i="9"/>
  <c r="G230" i="9" s="1"/>
  <c r="A222" i="9"/>
  <c r="F222" i="9"/>
  <c r="G222" i="9" s="1"/>
  <c r="J222" i="9"/>
  <c r="K1" i="2"/>
  <c r="M71" i="9"/>
  <c r="K142" i="9"/>
  <c r="K72" i="9"/>
  <c r="K2" i="9"/>
  <c r="V2" i="2"/>
  <c r="O2" i="9" s="1"/>
  <c r="B3" i="7"/>
  <c r="J1" i="2"/>
  <c r="M1" i="9"/>
  <c r="O1" i="2"/>
  <c r="L1" i="2"/>
  <c r="N1" i="2"/>
  <c r="M1" i="2"/>
  <c r="H11" i="4"/>
  <c r="V11" i="4"/>
  <c r="AM11" i="5" s="1"/>
  <c r="M11" i="4"/>
  <c r="E11" i="4"/>
  <c r="T11" i="4"/>
  <c r="AL11" i="5" s="1"/>
  <c r="L11" i="4"/>
  <c r="D11" i="4"/>
  <c r="R11" i="4"/>
  <c r="J11" i="4"/>
  <c r="B11" i="4"/>
  <c r="Q11" i="4"/>
  <c r="I11" i="4"/>
  <c r="P11" i="4"/>
  <c r="G11" i="4"/>
  <c r="A13" i="4" a="1"/>
  <c r="A13" i="4" s="1"/>
  <c r="F11" i="4"/>
  <c r="K11" i="4"/>
  <c r="C11" i="4"/>
  <c r="N11" i="4"/>
  <c r="W11" i="4"/>
  <c r="AN11" i="5" s="1"/>
  <c r="S11" i="4"/>
  <c r="AJ11" i="5" s="1"/>
  <c r="O11" i="4"/>
  <c r="AB3" i="5"/>
  <c r="P3" i="4"/>
  <c r="AB4" i="5"/>
  <c r="I8" i="2"/>
  <c r="L7" i="9"/>
  <c r="L147" i="9"/>
  <c r="L77" i="9"/>
  <c r="S132" i="4"/>
  <c r="K132" i="4"/>
  <c r="C132" i="4"/>
  <c r="Q132" i="4"/>
  <c r="I132" i="4"/>
  <c r="P132" i="4"/>
  <c r="H132" i="4"/>
  <c r="O132" i="4"/>
  <c r="G132" i="4"/>
  <c r="A134" i="4"/>
  <c r="V132" i="4"/>
  <c r="AM132" i="5" s="1"/>
  <c r="M132" i="4"/>
  <c r="E132" i="4"/>
  <c r="T132" i="4"/>
  <c r="L132" i="4"/>
  <c r="D132" i="4"/>
  <c r="B132" i="4"/>
  <c r="W132" i="4"/>
  <c r="AN132" i="5" s="1"/>
  <c r="R132" i="4"/>
  <c r="N132" i="4"/>
  <c r="J132" i="4"/>
  <c r="F132" i="4"/>
  <c r="O141" i="9"/>
  <c r="O71" i="9"/>
  <c r="I71" i="9" s="1" a="1"/>
  <c r="I71" i="9" s="1"/>
  <c r="I1" i="9" a="1"/>
  <c r="I1" i="9" s="1"/>
  <c r="A12" i="5" a="1"/>
  <c r="A12" i="5" s="1"/>
  <c r="AH12" i="5" s="1"/>
  <c r="A25" i="10"/>
  <c r="P10" i="4"/>
  <c r="H10" i="4"/>
  <c r="O10" i="4"/>
  <c r="A12" i="4" a="1"/>
  <c r="A12" i="4" s="1"/>
  <c r="T10" i="4"/>
  <c r="AL10" i="5" s="1"/>
  <c r="L10" i="4"/>
  <c r="D10" i="4"/>
  <c r="S10" i="4"/>
  <c r="AJ10" i="5" s="1"/>
  <c r="K10" i="4"/>
  <c r="C10" i="4"/>
  <c r="Q10" i="4"/>
  <c r="I10" i="4"/>
  <c r="G10" i="4"/>
  <c r="J10" i="4"/>
  <c r="F10" i="4"/>
  <c r="E10" i="4"/>
  <c r="B10" i="4"/>
  <c r="W10" i="4"/>
  <c r="AN10" i="5" s="1"/>
  <c r="V10" i="4"/>
  <c r="AM10" i="5" s="1"/>
  <c r="R10" i="4"/>
  <c r="N10" i="4"/>
  <c r="M10" i="4"/>
  <c r="A13" i="5" a="1"/>
  <c r="A13" i="5" s="1"/>
  <c r="AH13" i="5" s="1"/>
  <c r="D71" i="9" a="1"/>
  <c r="J2" i="2" a="1"/>
  <c r="D1" i="9" a="1"/>
  <c r="L2" i="2" a="1"/>
  <c r="O2" i="2" a="1"/>
  <c r="S3" i="2"/>
  <c r="T3" i="2"/>
  <c r="U3" i="2"/>
  <c r="M2" i="2" a="1"/>
  <c r="K2" i="2" a="1"/>
  <c r="N2" i="2" a="1"/>
  <c r="B4" i="7" a="1"/>
  <c r="P3" i="2"/>
  <c r="Q3" i="2"/>
  <c r="R3" i="2"/>
  <c r="M2" i="9" a="1"/>
  <c r="AD12" i="5" l="1"/>
  <c r="AF12" i="5"/>
  <c r="AD13" i="5"/>
  <c r="AF13" i="5"/>
  <c r="Z12" i="5"/>
  <c r="AB12" i="5"/>
  <c r="Z13" i="5"/>
  <c r="AB13" i="5"/>
  <c r="V13" i="5"/>
  <c r="X13" i="5"/>
  <c r="V12" i="5"/>
  <c r="X12" i="5"/>
  <c r="R12" i="5"/>
  <c r="T12" i="5"/>
  <c r="R13" i="5"/>
  <c r="T13" i="5"/>
  <c r="N13" i="5"/>
  <c r="P13" i="5"/>
  <c r="N12" i="5"/>
  <c r="P12" i="5"/>
  <c r="J12" i="5"/>
  <c r="L12" i="5"/>
  <c r="J13" i="5"/>
  <c r="L13" i="5"/>
  <c r="F13" i="5"/>
  <c r="H13" i="5"/>
  <c r="F12" i="5"/>
  <c r="H12" i="5"/>
  <c r="B12" i="5"/>
  <c r="D12" i="5"/>
  <c r="B13" i="5"/>
  <c r="D13" i="5"/>
  <c r="I7" i="11"/>
  <c r="K7" i="11"/>
  <c r="H7" i="11"/>
  <c r="G7" i="11"/>
  <c r="L7" i="11"/>
  <c r="M7" i="11"/>
  <c r="I5" i="11"/>
  <c r="G5" i="11"/>
  <c r="M5" i="11"/>
  <c r="H5" i="11"/>
  <c r="K5" i="11"/>
  <c r="M4" i="11"/>
  <c r="G4" i="11"/>
  <c r="H4" i="11"/>
  <c r="K4" i="11"/>
  <c r="I4" i="11"/>
  <c r="H1" i="11"/>
  <c r="I1" i="11"/>
  <c r="M1" i="11"/>
  <c r="G1" i="11"/>
  <c r="O1" i="11" s="1"/>
  <c r="K1" i="11"/>
  <c r="M2" i="9"/>
  <c r="K143" i="9"/>
  <c r="K73" i="9"/>
  <c r="K3" i="9"/>
  <c r="V3" i="2"/>
  <c r="O3" i="9" s="1"/>
  <c r="B4" i="7"/>
  <c r="N2" i="2"/>
  <c r="K2" i="2"/>
  <c r="M2" i="2"/>
  <c r="O2" i="2"/>
  <c r="L2" i="2"/>
  <c r="D1" i="9"/>
  <c r="N1" i="9" s="1"/>
  <c r="J2" i="2"/>
  <c r="D71" i="9"/>
  <c r="N71" i="9" s="1"/>
  <c r="O142" i="9"/>
  <c r="O72" i="9"/>
  <c r="I2" i="9" a="1"/>
  <c r="I2" i="9" s="1"/>
  <c r="AD3" i="5"/>
  <c r="Q3" i="4"/>
  <c r="A14" i="5" a="1"/>
  <c r="A14" i="5" s="1"/>
  <c r="AH14" i="5" s="1"/>
  <c r="AC3" i="5"/>
  <c r="AD4" i="5"/>
  <c r="O134" i="4"/>
  <c r="G134" i="4"/>
  <c r="A136" i="4"/>
  <c r="V134" i="4"/>
  <c r="AM134" i="5" s="1"/>
  <c r="M134" i="4"/>
  <c r="E134" i="4"/>
  <c r="T134" i="4"/>
  <c r="L134" i="4"/>
  <c r="D134" i="4"/>
  <c r="S134" i="4"/>
  <c r="K134" i="4"/>
  <c r="C134" i="4"/>
  <c r="Q134" i="4"/>
  <c r="I134" i="4"/>
  <c r="P134" i="4"/>
  <c r="H134" i="4"/>
  <c r="W134" i="4"/>
  <c r="AN134" i="5" s="1"/>
  <c r="R134" i="4"/>
  <c r="N134" i="4"/>
  <c r="J134" i="4"/>
  <c r="F134" i="4"/>
  <c r="B134" i="4"/>
  <c r="L8" i="9"/>
  <c r="I9" i="2"/>
  <c r="L148" i="9"/>
  <c r="L78" i="9"/>
  <c r="A15" i="5" a="1"/>
  <c r="A15" i="5" s="1"/>
  <c r="AH15" i="5" s="1"/>
  <c r="I12" i="4"/>
  <c r="W12" i="4"/>
  <c r="AN12" i="5" s="1"/>
  <c r="N12" i="4"/>
  <c r="F12" i="4"/>
  <c r="V12" i="4"/>
  <c r="M12" i="4"/>
  <c r="E12" i="4"/>
  <c r="S12" i="4"/>
  <c r="AJ12" i="5" s="1"/>
  <c r="K12" i="4"/>
  <c r="C12" i="4"/>
  <c r="R12" i="4"/>
  <c r="J12" i="4"/>
  <c r="B12" i="4"/>
  <c r="Q12" i="4"/>
  <c r="G12" i="4"/>
  <c r="D12" i="4"/>
  <c r="A14" i="4" a="1"/>
  <c r="A14" i="4" s="1"/>
  <c r="T12" i="4"/>
  <c r="AL12" i="5" s="1"/>
  <c r="L12" i="4"/>
  <c r="P12" i="4"/>
  <c r="H12" i="4"/>
  <c r="O12" i="4"/>
  <c r="H25" i="10"/>
  <c r="R13" i="4"/>
  <c r="B13" i="4"/>
  <c r="A15" i="4" a="1"/>
  <c r="A15" i="4" s="1"/>
  <c r="O13" i="4"/>
  <c r="G13" i="4"/>
  <c r="W13" i="4"/>
  <c r="AN13" i="5" s="1"/>
  <c r="N13" i="4"/>
  <c r="F13" i="4"/>
  <c r="T13" i="4"/>
  <c r="AL13" i="5" s="1"/>
  <c r="L13" i="4"/>
  <c r="D13" i="4"/>
  <c r="S13" i="4"/>
  <c r="AJ13" i="5" s="1"/>
  <c r="K13" i="4"/>
  <c r="C13" i="4"/>
  <c r="J13" i="4"/>
  <c r="E13" i="4"/>
  <c r="H13" i="4"/>
  <c r="V13" i="4"/>
  <c r="AM13" i="5" s="1"/>
  <c r="M13" i="4"/>
  <c r="I13" i="4"/>
  <c r="Q13" i="4"/>
  <c r="P13" i="4"/>
  <c r="B5" i="7" a="1"/>
  <c r="D2" i="9" a="1"/>
  <c r="L3" i="2" a="1"/>
  <c r="K3" i="2" a="1"/>
  <c r="O3" i="2" a="1"/>
  <c r="M3" i="9" a="1"/>
  <c r="N3" i="2" a="1"/>
  <c r="P4" i="2"/>
  <c r="R4" i="2"/>
  <c r="Q4" i="2"/>
  <c r="M3" i="2" a="1"/>
  <c r="S4" i="2"/>
  <c r="T4" i="2"/>
  <c r="U4" i="2"/>
  <c r="J3" i="2" a="1"/>
  <c r="AD14" i="5" l="1"/>
  <c r="AF14" i="5"/>
  <c r="AD15" i="5"/>
  <c r="AF15" i="5"/>
  <c r="Z15" i="5"/>
  <c r="AB15" i="5"/>
  <c r="Z14" i="5"/>
  <c r="AB14" i="5"/>
  <c r="V14" i="5"/>
  <c r="X14" i="5"/>
  <c r="V15" i="5"/>
  <c r="X15" i="5"/>
  <c r="R15" i="5"/>
  <c r="T15" i="5"/>
  <c r="R14" i="5"/>
  <c r="T14" i="5"/>
  <c r="N14" i="5"/>
  <c r="P14" i="5"/>
  <c r="N15" i="5"/>
  <c r="P15" i="5"/>
  <c r="J15" i="5"/>
  <c r="L15" i="5"/>
  <c r="J14" i="5"/>
  <c r="L14" i="5"/>
  <c r="F14" i="5"/>
  <c r="H14" i="5"/>
  <c r="F15" i="5"/>
  <c r="H15" i="5"/>
  <c r="B15" i="5"/>
  <c r="D15" i="5"/>
  <c r="B14" i="5"/>
  <c r="D14" i="5"/>
  <c r="O7" i="11"/>
  <c r="J7" i="11"/>
  <c r="O5" i="11"/>
  <c r="J5" i="11"/>
  <c r="O4" i="11"/>
  <c r="J4" i="11"/>
  <c r="J1" i="11"/>
  <c r="J3" i="2"/>
  <c r="M3" i="2"/>
  <c r="K74" i="9"/>
  <c r="K144" i="9"/>
  <c r="K4" i="9"/>
  <c r="V4" i="2"/>
  <c r="O4" i="9" s="1"/>
  <c r="N3" i="2"/>
  <c r="M3" i="9"/>
  <c r="O3" i="2"/>
  <c r="K3" i="2"/>
  <c r="L3" i="2"/>
  <c r="D2" i="9"/>
  <c r="N2" i="9" s="1"/>
  <c r="B5" i="7"/>
  <c r="O143" i="9"/>
  <c r="O73" i="9"/>
  <c r="I3" i="9" a="1"/>
  <c r="I3" i="9" s="1"/>
  <c r="V15" i="4"/>
  <c r="AM15" i="5" s="1"/>
  <c r="M15" i="4"/>
  <c r="E15" i="4"/>
  <c r="T15" i="4"/>
  <c r="AL15" i="5" s="1"/>
  <c r="L15" i="4"/>
  <c r="D15" i="4"/>
  <c r="Q15" i="4"/>
  <c r="I15" i="4"/>
  <c r="P15" i="4"/>
  <c r="H15" i="4"/>
  <c r="W15" i="4"/>
  <c r="AN15" i="5" s="1"/>
  <c r="N15" i="4"/>
  <c r="F15" i="4"/>
  <c r="B15" i="4"/>
  <c r="S15" i="4"/>
  <c r="AJ15" i="5" s="1"/>
  <c r="C15" i="4"/>
  <c r="R15" i="4"/>
  <c r="O15" i="4"/>
  <c r="G15" i="4"/>
  <c r="A17" i="4" a="1"/>
  <c r="A17" i="4" s="1"/>
  <c r="K15" i="4"/>
  <c r="J15" i="4"/>
  <c r="AM12" i="5"/>
  <c r="AF3" i="5"/>
  <c r="R3" i="4"/>
  <c r="A16" i="5" a="1"/>
  <c r="A16" i="5" s="1"/>
  <c r="AH16" i="5" s="1"/>
  <c r="A17" i="5" a="1"/>
  <c r="A17" i="5" s="1"/>
  <c r="AH17" i="5" s="1"/>
  <c r="L9" i="9"/>
  <c r="I10" i="2"/>
  <c r="L149" i="9"/>
  <c r="L79" i="9"/>
  <c r="S136" i="4"/>
  <c r="K136" i="4"/>
  <c r="C136" i="4"/>
  <c r="Q136" i="4"/>
  <c r="I136" i="4"/>
  <c r="P136" i="4"/>
  <c r="H136" i="4"/>
  <c r="O136" i="4"/>
  <c r="G136" i="4"/>
  <c r="A138" i="4"/>
  <c r="V136" i="4"/>
  <c r="AM136" i="5" s="1"/>
  <c r="M136" i="4"/>
  <c r="E136" i="4"/>
  <c r="T136" i="4"/>
  <c r="L136" i="4"/>
  <c r="D136" i="4"/>
  <c r="F136" i="4"/>
  <c r="B136" i="4"/>
  <c r="W136" i="4"/>
  <c r="AN136" i="5" s="1"/>
  <c r="R136" i="4"/>
  <c r="N136" i="4"/>
  <c r="J136" i="4"/>
  <c r="F71" i="9"/>
  <c r="G71" i="9" s="1"/>
  <c r="Q71" i="9"/>
  <c r="P71" i="9" s="1"/>
  <c r="J71" i="9"/>
  <c r="T14" i="4"/>
  <c r="AL14" i="5" s="1"/>
  <c r="S14" i="4"/>
  <c r="AJ14" i="5" s="1"/>
  <c r="C14" i="4"/>
  <c r="P14" i="4"/>
  <c r="H14" i="4"/>
  <c r="A16" i="4" a="1"/>
  <c r="A16" i="4" s="1"/>
  <c r="O14" i="4"/>
  <c r="G14" i="4"/>
  <c r="V14" i="4"/>
  <c r="AM14" i="5" s="1"/>
  <c r="M14" i="4"/>
  <c r="E14" i="4"/>
  <c r="L14" i="4"/>
  <c r="D14" i="4"/>
  <c r="K14" i="4"/>
  <c r="B14" i="4"/>
  <c r="W14" i="4"/>
  <c r="AN14" i="5" s="1"/>
  <c r="R14" i="4"/>
  <c r="Q14" i="4"/>
  <c r="I14" i="4"/>
  <c r="N14" i="4"/>
  <c r="J14" i="4"/>
  <c r="F14" i="4"/>
  <c r="AE3" i="5"/>
  <c r="AF4" i="5"/>
  <c r="J1" i="9"/>
  <c r="F1" i="9"/>
  <c r="G1" i="9" s="1"/>
  <c r="Q1" i="9"/>
  <c r="P1" i="9" s="1"/>
  <c r="A33" i="10"/>
  <c r="D3" i="9" a="1"/>
  <c r="L4" i="2" a="1"/>
  <c r="B6" i="7" a="1"/>
  <c r="M4" i="9" a="1"/>
  <c r="S5" i="2"/>
  <c r="U5" i="2"/>
  <c r="T5" i="2"/>
  <c r="O4" i="2" a="1"/>
  <c r="N4" i="2" a="1"/>
  <c r="M4" i="2" a="1"/>
  <c r="J4" i="2" a="1"/>
  <c r="R5" i="2"/>
  <c r="Q5" i="2"/>
  <c r="P5" i="2"/>
  <c r="K4" i="2" a="1"/>
  <c r="AD17" i="5" l="1"/>
  <c r="AF17" i="5"/>
  <c r="AD16" i="5"/>
  <c r="AF16" i="5"/>
  <c r="Z17" i="5"/>
  <c r="AB17" i="5"/>
  <c r="Z16" i="5"/>
  <c r="AB16" i="5"/>
  <c r="V17" i="5"/>
  <c r="X17" i="5"/>
  <c r="V16" i="5"/>
  <c r="X16" i="5"/>
  <c r="R17" i="5"/>
  <c r="T17" i="5"/>
  <c r="R16" i="5"/>
  <c r="T16" i="5"/>
  <c r="N17" i="5"/>
  <c r="P17" i="5"/>
  <c r="N16" i="5"/>
  <c r="P16" i="5"/>
  <c r="J17" i="5"/>
  <c r="L17" i="5"/>
  <c r="J16" i="5"/>
  <c r="L16" i="5"/>
  <c r="F17" i="5"/>
  <c r="H17" i="5"/>
  <c r="F16" i="5"/>
  <c r="H16" i="5"/>
  <c r="B16" i="5"/>
  <c r="D16" i="5"/>
  <c r="B17" i="5"/>
  <c r="D17" i="5"/>
  <c r="K4" i="2"/>
  <c r="K5" i="9"/>
  <c r="V5" i="2"/>
  <c r="O5" i="9" s="1"/>
  <c r="K75" i="9"/>
  <c r="K145" i="9"/>
  <c r="J4" i="2"/>
  <c r="M4" i="2"/>
  <c r="N4" i="2"/>
  <c r="O4" i="2"/>
  <c r="M4" i="9"/>
  <c r="B6" i="7"/>
  <c r="L4" i="2"/>
  <c r="D3" i="9"/>
  <c r="N3" i="9" s="1"/>
  <c r="O138" i="4"/>
  <c r="G138" i="4"/>
  <c r="A140" i="4"/>
  <c r="V138" i="4"/>
  <c r="AM138" i="5" s="1"/>
  <c r="M138" i="4"/>
  <c r="E138" i="4"/>
  <c r="T138" i="4"/>
  <c r="L138" i="4"/>
  <c r="D138" i="4"/>
  <c r="S138" i="4"/>
  <c r="K138" i="4"/>
  <c r="C138" i="4"/>
  <c r="Q138" i="4"/>
  <c r="I138" i="4"/>
  <c r="P138" i="4"/>
  <c r="H138" i="4"/>
  <c r="W138" i="4"/>
  <c r="AN138" i="5" s="1"/>
  <c r="R138" i="4"/>
  <c r="N138" i="4"/>
  <c r="J138" i="4"/>
  <c r="F138" i="4"/>
  <c r="B138" i="4"/>
  <c r="A19" i="5" a="1"/>
  <c r="A19" i="5" s="1"/>
  <c r="AH19" i="5" s="1"/>
  <c r="O17" i="4"/>
  <c r="G17" i="4"/>
  <c r="W17" i="4"/>
  <c r="AN17" i="5" s="1"/>
  <c r="N17" i="4"/>
  <c r="F17" i="4"/>
  <c r="S17" i="4"/>
  <c r="AJ17" i="5" s="1"/>
  <c r="K17" i="4"/>
  <c r="C17" i="4"/>
  <c r="R17" i="4"/>
  <c r="J17" i="4"/>
  <c r="B17" i="4"/>
  <c r="P17" i="4"/>
  <c r="H17" i="4"/>
  <c r="A19" i="4" a="1"/>
  <c r="A19" i="4" s="1"/>
  <c r="T17" i="4"/>
  <c r="AL17" i="5" s="1"/>
  <c r="Q17" i="4"/>
  <c r="V17" i="4"/>
  <c r="AM17" i="5" s="1"/>
  <c r="M17" i="4"/>
  <c r="I17" i="4"/>
  <c r="D17" i="4"/>
  <c r="L17" i="4"/>
  <c r="E17" i="4"/>
  <c r="A18" i="5" a="1"/>
  <c r="A18" i="5" s="1"/>
  <c r="AH18" i="5" s="1"/>
  <c r="H33" i="10"/>
  <c r="W16" i="4"/>
  <c r="AN16" i="5" s="1"/>
  <c r="N16" i="4"/>
  <c r="F16" i="4"/>
  <c r="V16" i="4"/>
  <c r="AM16" i="5" s="1"/>
  <c r="M16" i="4"/>
  <c r="E16" i="4"/>
  <c r="R16" i="4"/>
  <c r="J16" i="4"/>
  <c r="B16" i="4"/>
  <c r="Q16" i="4"/>
  <c r="I16" i="4"/>
  <c r="A18" i="4" a="1"/>
  <c r="A18" i="4" s="1"/>
  <c r="O16" i="4"/>
  <c r="G16" i="4"/>
  <c r="T16" i="4"/>
  <c r="AL16" i="5" s="1"/>
  <c r="S16" i="4"/>
  <c r="AJ16" i="5" s="1"/>
  <c r="P16" i="4"/>
  <c r="L16" i="4"/>
  <c r="D16" i="4"/>
  <c r="K16" i="4"/>
  <c r="H16" i="4"/>
  <c r="C16" i="4"/>
  <c r="L10" i="9"/>
  <c r="I11" i="2"/>
  <c r="L80" i="9"/>
  <c r="L150" i="9"/>
  <c r="O144" i="9"/>
  <c r="O74" i="9"/>
  <c r="I4" i="9" a="1"/>
  <c r="I4" i="9" s="1"/>
  <c r="AH3" i="5"/>
  <c r="S3" i="4"/>
  <c r="AJ3" i="5" s="1"/>
  <c r="F2" i="9"/>
  <c r="G2" i="9" s="1"/>
  <c r="J2" i="9"/>
  <c r="Q2" i="9"/>
  <c r="P2" i="9" s="1"/>
  <c r="AH4" i="5"/>
  <c r="AG3" i="5"/>
  <c r="D4" i="9" a="1"/>
  <c r="B7" i="7" a="1"/>
  <c r="B8" i="7" a="1"/>
  <c r="M5" i="9" a="1"/>
  <c r="S6" i="2"/>
  <c r="T6" i="2"/>
  <c r="U6" i="2"/>
  <c r="J5" i="2" a="1"/>
  <c r="N5" i="2" a="1"/>
  <c r="P6" i="2"/>
  <c r="Q6" i="2"/>
  <c r="R6" i="2"/>
  <c r="K5" i="2" a="1"/>
  <c r="O5" i="2" a="1"/>
  <c r="M5" i="2" a="1"/>
  <c r="L5" i="2" a="1"/>
  <c r="AD19" i="5" l="1"/>
  <c r="AF19" i="5"/>
  <c r="AD18" i="5"/>
  <c r="AF18" i="5"/>
  <c r="Z18" i="5"/>
  <c r="AB18" i="5"/>
  <c r="Z19" i="5"/>
  <c r="AB19" i="5"/>
  <c r="V19" i="5"/>
  <c r="X19" i="5"/>
  <c r="V18" i="5"/>
  <c r="X18" i="5"/>
  <c r="R18" i="5"/>
  <c r="T18" i="5"/>
  <c r="R19" i="5"/>
  <c r="T19" i="5"/>
  <c r="N19" i="5"/>
  <c r="P19" i="5"/>
  <c r="N18" i="5"/>
  <c r="P18" i="5"/>
  <c r="J18" i="5"/>
  <c r="L18" i="5"/>
  <c r="J19" i="5"/>
  <c r="L19" i="5"/>
  <c r="F19" i="5"/>
  <c r="H19" i="5"/>
  <c r="F18" i="5"/>
  <c r="H18" i="5"/>
  <c r="B18" i="5"/>
  <c r="D18" i="5"/>
  <c r="B19" i="5"/>
  <c r="D19" i="5"/>
  <c r="L5" i="2"/>
  <c r="M5" i="2"/>
  <c r="O5" i="2"/>
  <c r="K5" i="2"/>
  <c r="K146" i="9"/>
  <c r="K76" i="9"/>
  <c r="K6" i="9"/>
  <c r="M6" i="9" s="1" a="1"/>
  <c r="M6" i="9" s="1"/>
  <c r="V6" i="2"/>
  <c r="O6" i="9" s="1"/>
  <c r="N5" i="2"/>
  <c r="J5" i="2"/>
  <c r="M5" i="9"/>
  <c r="B8" i="7"/>
  <c r="B7" i="7"/>
  <c r="D4" i="9"/>
  <c r="N4" i="9" s="1"/>
  <c r="P18" i="4"/>
  <c r="H18" i="4"/>
  <c r="O18" i="4"/>
  <c r="G18" i="4"/>
  <c r="T18" i="4"/>
  <c r="AL18" i="5" s="1"/>
  <c r="L18" i="4"/>
  <c r="D18" i="4"/>
  <c r="S18" i="4"/>
  <c r="AJ18" i="5" s="1"/>
  <c r="K18" i="4"/>
  <c r="C18" i="4"/>
  <c r="Q18" i="4"/>
  <c r="I18" i="4"/>
  <c r="A20" i="4" a="1"/>
  <c r="A20" i="4" s="1"/>
  <c r="R18" i="4"/>
  <c r="N18" i="4"/>
  <c r="M18" i="4"/>
  <c r="F18" i="4"/>
  <c r="J18" i="4"/>
  <c r="B18" i="4"/>
  <c r="E18" i="4"/>
  <c r="W18" i="4"/>
  <c r="AN18" i="5" s="1"/>
  <c r="V18" i="4"/>
  <c r="AM18" i="5" s="1"/>
  <c r="A20" i="5" a="1"/>
  <c r="A20" i="5" s="1"/>
  <c r="AH20" i="5" s="1"/>
  <c r="S140" i="4"/>
  <c r="K140" i="4"/>
  <c r="C140" i="4"/>
  <c r="Q140" i="4"/>
  <c r="I140" i="4"/>
  <c r="P140" i="4"/>
  <c r="H140" i="4"/>
  <c r="O140" i="4"/>
  <c r="G140" i="4"/>
  <c r="A142" i="4"/>
  <c r="V140" i="4"/>
  <c r="AM140" i="5" s="1"/>
  <c r="M140" i="4"/>
  <c r="E140" i="4"/>
  <c r="T140" i="4"/>
  <c r="L140" i="4"/>
  <c r="D140" i="4"/>
  <c r="J140" i="4"/>
  <c r="F140" i="4"/>
  <c r="B140" i="4"/>
  <c r="W140" i="4"/>
  <c r="AN140" i="5" s="1"/>
  <c r="R140" i="4"/>
  <c r="N140" i="4"/>
  <c r="A21" i="5" a="1"/>
  <c r="A21" i="5" s="1"/>
  <c r="AH21" i="5" s="1"/>
  <c r="I12" i="2"/>
  <c r="L81" i="9"/>
  <c r="L151" i="9"/>
  <c r="L11" i="9"/>
  <c r="I19" i="4"/>
  <c r="P19" i="4"/>
  <c r="H19" i="4"/>
  <c r="V19" i="4"/>
  <c r="AM19" i="5" s="1"/>
  <c r="M19" i="4"/>
  <c r="E19" i="4"/>
  <c r="T19" i="4"/>
  <c r="AL19" i="5" s="1"/>
  <c r="L19" i="4"/>
  <c r="D19" i="4"/>
  <c r="R19" i="4"/>
  <c r="J19" i="4"/>
  <c r="B19" i="4"/>
  <c r="Q19" i="4"/>
  <c r="O19" i="4"/>
  <c r="N19" i="4"/>
  <c r="K19" i="4"/>
  <c r="F19" i="4"/>
  <c r="G19" i="4"/>
  <c r="A21" i="4" a="1"/>
  <c r="A21" i="4" s="1"/>
  <c r="W19" i="4"/>
  <c r="AN19" i="5" s="1"/>
  <c r="S19" i="4"/>
  <c r="AJ19" i="5" s="1"/>
  <c r="C19" i="4"/>
  <c r="A41" i="10"/>
  <c r="F3" i="9"/>
  <c r="G3" i="9" s="1"/>
  <c r="Q3" i="9"/>
  <c r="P3" i="9" s="1"/>
  <c r="J3" i="9"/>
  <c r="O145" i="9"/>
  <c r="O75" i="9"/>
  <c r="I5" i="9" a="1"/>
  <c r="I5" i="9" s="1"/>
  <c r="AK3" i="5"/>
  <c r="AJ4" i="5"/>
  <c r="AI3" i="5"/>
  <c r="J6" i="2" a="1"/>
  <c r="R7" i="2"/>
  <c r="Q7" i="2"/>
  <c r="P7" i="2"/>
  <c r="D5" i="9" a="1"/>
  <c r="L6" i="2" a="1"/>
  <c r="O6" i="2" a="1"/>
  <c r="N6" i="2" a="1"/>
  <c r="S7" i="2"/>
  <c r="T7" i="2"/>
  <c r="U7" i="2"/>
  <c r="K6" i="2" a="1"/>
  <c r="M6" i="2" a="1"/>
  <c r="AD21" i="5" l="1"/>
  <c r="AF21" i="5"/>
  <c r="AD20" i="5"/>
  <c r="AF20" i="5"/>
  <c r="Z20" i="5"/>
  <c r="AB20" i="5"/>
  <c r="Z21" i="5"/>
  <c r="AB21" i="5"/>
  <c r="V21" i="5"/>
  <c r="X21" i="5"/>
  <c r="V20" i="5"/>
  <c r="X20" i="5"/>
  <c r="R20" i="5"/>
  <c r="T20" i="5"/>
  <c r="R21" i="5"/>
  <c r="T21" i="5"/>
  <c r="N20" i="5"/>
  <c r="P20" i="5"/>
  <c r="N21" i="5"/>
  <c r="P21" i="5"/>
  <c r="J20" i="5"/>
  <c r="L20" i="5"/>
  <c r="J21" i="5"/>
  <c r="L21" i="5"/>
  <c r="F21" i="5"/>
  <c r="H21" i="5"/>
  <c r="F20" i="5"/>
  <c r="H20" i="5"/>
  <c r="B20" i="5"/>
  <c r="D20" i="5"/>
  <c r="B21" i="5"/>
  <c r="D21" i="5"/>
  <c r="M6" i="2"/>
  <c r="K6" i="2"/>
  <c r="N6" i="2"/>
  <c r="O6" i="2"/>
  <c r="L6" i="2"/>
  <c r="D5" i="9"/>
  <c r="N5" i="9" s="1"/>
  <c r="K7" i="9"/>
  <c r="V7" i="2"/>
  <c r="O7" i="9" s="1"/>
  <c r="K77" i="9"/>
  <c r="K147" i="9"/>
  <c r="J6" i="2"/>
  <c r="A22" i="5" a="1"/>
  <c r="A22" i="5" s="1"/>
  <c r="AH22" i="5" s="1"/>
  <c r="L12" i="9"/>
  <c r="I13" i="2"/>
  <c r="L152" i="9"/>
  <c r="L82" i="9"/>
  <c r="S21" i="4"/>
  <c r="AJ21" i="5" s="1"/>
  <c r="C21" i="4"/>
  <c r="J21" i="4"/>
  <c r="A23" i="4" a="1"/>
  <c r="A23" i="4" s="1"/>
  <c r="O21" i="4"/>
  <c r="G21" i="4"/>
  <c r="W21" i="4"/>
  <c r="AN21" i="5" s="1"/>
  <c r="N21" i="4"/>
  <c r="F21" i="4"/>
  <c r="T21" i="4"/>
  <c r="AL21" i="5" s="1"/>
  <c r="L21" i="4"/>
  <c r="D21" i="4"/>
  <c r="K21" i="4"/>
  <c r="R21" i="4"/>
  <c r="B21" i="4"/>
  <c r="M21" i="4"/>
  <c r="I21" i="4"/>
  <c r="H21" i="4"/>
  <c r="Q21" i="4"/>
  <c r="E21" i="4"/>
  <c r="V21" i="4"/>
  <c r="AM21" i="5" s="1"/>
  <c r="P21" i="4"/>
  <c r="J20" i="4"/>
  <c r="Q20" i="4"/>
  <c r="W20" i="4"/>
  <c r="AN20" i="5" s="1"/>
  <c r="N20" i="4"/>
  <c r="F20" i="4"/>
  <c r="V20" i="4"/>
  <c r="AM20" i="5" s="1"/>
  <c r="M20" i="4"/>
  <c r="E20" i="4"/>
  <c r="S20" i="4"/>
  <c r="AJ20" i="5" s="1"/>
  <c r="K20" i="4"/>
  <c r="C20" i="4"/>
  <c r="R20" i="4"/>
  <c r="B20" i="4"/>
  <c r="I20" i="4"/>
  <c r="O20" i="4"/>
  <c r="L20" i="4"/>
  <c r="P20" i="4"/>
  <c r="H20" i="4"/>
  <c r="D20" i="4"/>
  <c r="G20" i="4"/>
  <c r="A22" i="4" a="1"/>
  <c r="A22" i="4" s="1"/>
  <c r="T20" i="4"/>
  <c r="AL20" i="5" s="1"/>
  <c r="O142" i="4"/>
  <c r="G142" i="4"/>
  <c r="A144" i="4"/>
  <c r="V142" i="4"/>
  <c r="AM142" i="5" s="1"/>
  <c r="M142" i="4"/>
  <c r="E142" i="4"/>
  <c r="T142" i="4"/>
  <c r="L142" i="4"/>
  <c r="D142" i="4"/>
  <c r="S142" i="4"/>
  <c r="K142" i="4"/>
  <c r="C142" i="4"/>
  <c r="Q142" i="4"/>
  <c r="I142" i="4"/>
  <c r="P142" i="4"/>
  <c r="H142" i="4"/>
  <c r="B142" i="4"/>
  <c r="W142" i="4"/>
  <c r="AN142" i="5" s="1"/>
  <c r="R142" i="4"/>
  <c r="N142" i="4"/>
  <c r="J142" i="4"/>
  <c r="F142" i="4"/>
  <c r="A23" i="5" a="1"/>
  <c r="A23" i="5" s="1"/>
  <c r="AH23" i="5" s="1"/>
  <c r="F4" i="9"/>
  <c r="G4" i="9" s="1"/>
  <c r="J4" i="9"/>
  <c r="Q4" i="9"/>
  <c r="H41" i="10"/>
  <c r="O76" i="9"/>
  <c r="O146" i="9"/>
  <c r="I6" i="9" a="1"/>
  <c r="I6" i="9" s="1"/>
  <c r="E6" i="9" s="1"/>
  <c r="L7" i="2" a="1"/>
  <c r="O7" i="2" a="1"/>
  <c r="M7" i="9" a="1"/>
  <c r="U8" i="2"/>
  <c r="T8" i="2"/>
  <c r="S8" i="2"/>
  <c r="N7" i="2" a="1"/>
  <c r="Q8" i="2"/>
  <c r="R8" i="2"/>
  <c r="P8" i="2"/>
  <c r="M7" i="2" a="1"/>
  <c r="J7" i="2" a="1"/>
  <c r="K7" i="2" a="1"/>
  <c r="D6" i="9" a="1"/>
  <c r="AD23" i="5" l="1"/>
  <c r="AF23" i="5"/>
  <c r="AD22" i="5"/>
  <c r="AF22" i="5"/>
  <c r="Z22" i="5"/>
  <c r="AB22" i="5"/>
  <c r="Z23" i="5"/>
  <c r="AB23" i="5"/>
  <c r="V23" i="5"/>
  <c r="X23" i="5"/>
  <c r="V22" i="5"/>
  <c r="X22" i="5"/>
  <c r="R22" i="5"/>
  <c r="T22" i="5"/>
  <c r="R23" i="5"/>
  <c r="T23" i="5"/>
  <c r="N23" i="5"/>
  <c r="P23" i="5"/>
  <c r="N22" i="5"/>
  <c r="P22" i="5"/>
  <c r="J22" i="5"/>
  <c r="L22" i="5"/>
  <c r="J23" i="5"/>
  <c r="L23" i="5"/>
  <c r="F23" i="5"/>
  <c r="H23" i="5"/>
  <c r="F22" i="5"/>
  <c r="H22" i="5"/>
  <c r="B23" i="5"/>
  <c r="D23" i="5"/>
  <c r="B22" i="5"/>
  <c r="D22" i="5"/>
  <c r="P4" i="9"/>
  <c r="D6" i="9"/>
  <c r="N6" i="9" s="1"/>
  <c r="K7" i="2"/>
  <c r="J7" i="2"/>
  <c r="M7" i="2"/>
  <c r="K8" i="9"/>
  <c r="V8" i="2"/>
  <c r="O8" i="9" s="1"/>
  <c r="K148" i="9"/>
  <c r="K78" i="9"/>
  <c r="N7" i="2"/>
  <c r="M7" i="9"/>
  <c r="O7" i="2"/>
  <c r="L7" i="2"/>
  <c r="L23" i="4"/>
  <c r="D23" i="4"/>
  <c r="Q23" i="4"/>
  <c r="I23" i="4"/>
  <c r="P23" i="4"/>
  <c r="H23" i="4"/>
  <c r="W23" i="4"/>
  <c r="AN23" i="5" s="1"/>
  <c r="N23" i="4"/>
  <c r="F23" i="4"/>
  <c r="V23" i="4"/>
  <c r="AM23" i="5" s="1"/>
  <c r="M23" i="4"/>
  <c r="E23" i="4"/>
  <c r="T23" i="4"/>
  <c r="AL23" i="5" s="1"/>
  <c r="J23" i="4"/>
  <c r="G23" i="4"/>
  <c r="A25" i="4" a="1"/>
  <c r="A25" i="4" s="1"/>
  <c r="C23" i="4"/>
  <c r="B23" i="4"/>
  <c r="S23" i="4"/>
  <c r="AJ23" i="5" s="1"/>
  <c r="R23" i="4"/>
  <c r="K23" i="4"/>
  <c r="O23" i="4"/>
  <c r="A24" i="5" a="1"/>
  <c r="A24" i="5" s="1"/>
  <c r="AH24" i="5" s="1"/>
  <c r="S144" i="4"/>
  <c r="K144" i="4"/>
  <c r="C144" i="4"/>
  <c r="Q144" i="4"/>
  <c r="I144" i="4"/>
  <c r="P144" i="4"/>
  <c r="H144" i="4"/>
  <c r="O144" i="4"/>
  <c r="G144" i="4"/>
  <c r="V144" i="4"/>
  <c r="M144" i="4"/>
  <c r="E144" i="4"/>
  <c r="T144" i="4"/>
  <c r="L144" i="4"/>
  <c r="D144" i="4"/>
  <c r="N144" i="4"/>
  <c r="J144" i="4"/>
  <c r="F144" i="4"/>
  <c r="B144" i="4"/>
  <c r="W144" i="4"/>
  <c r="AN144" i="5" s="1"/>
  <c r="R144" i="4"/>
  <c r="P1" i="10"/>
  <c r="L22" i="4"/>
  <c r="S22" i="4"/>
  <c r="AJ22" i="5" s="1"/>
  <c r="K22" i="4"/>
  <c r="C22" i="4"/>
  <c r="P22" i="4"/>
  <c r="H22" i="4"/>
  <c r="A24" i="4" a="1"/>
  <c r="A24" i="4" s="1"/>
  <c r="O22" i="4"/>
  <c r="G22" i="4"/>
  <c r="V22" i="4"/>
  <c r="AM22" i="5" s="1"/>
  <c r="M22" i="4"/>
  <c r="E22" i="4"/>
  <c r="T22" i="4"/>
  <c r="AL22" i="5" s="1"/>
  <c r="D22" i="4"/>
  <c r="J22" i="4"/>
  <c r="I22" i="4"/>
  <c r="F22" i="4"/>
  <c r="B22" i="4"/>
  <c r="Q22" i="4"/>
  <c r="N22" i="4"/>
  <c r="W22" i="4"/>
  <c r="AN22" i="5" s="1"/>
  <c r="R22" i="4"/>
  <c r="O147" i="9"/>
  <c r="O77" i="9"/>
  <c r="I7" i="9" a="1"/>
  <c r="I7" i="9" s="1"/>
  <c r="A25" i="5" a="1"/>
  <c r="A25" i="5" s="1"/>
  <c r="AH25" i="5" s="1"/>
  <c r="F5" i="9"/>
  <c r="G5" i="9" s="1"/>
  <c r="Q5" i="9"/>
  <c r="P5" i="9" s="1"/>
  <c r="J5" i="9"/>
  <c r="I14" i="2"/>
  <c r="L153" i="9"/>
  <c r="L83" i="9"/>
  <c r="L13" i="9"/>
  <c r="L8" i="2" a="1"/>
  <c r="D7" i="9" a="1"/>
  <c r="K8" i="2" a="1"/>
  <c r="R9" i="2"/>
  <c r="Q9" i="2"/>
  <c r="P9" i="2"/>
  <c r="M8" i="9" a="1"/>
  <c r="M8" i="2" a="1"/>
  <c r="S9" i="2"/>
  <c r="T9" i="2"/>
  <c r="U9" i="2"/>
  <c r="N8" i="2" a="1"/>
  <c r="J8" i="2" a="1"/>
  <c r="O8" i="2" a="1"/>
  <c r="AD24" i="5" l="1"/>
  <c r="AF24" i="5"/>
  <c r="AD25" i="5"/>
  <c r="AF25" i="5"/>
  <c r="Z24" i="5"/>
  <c r="AB24" i="5"/>
  <c r="Z25" i="5"/>
  <c r="AB25" i="5"/>
  <c r="V24" i="5"/>
  <c r="X24" i="5"/>
  <c r="V25" i="5"/>
  <c r="X25" i="5"/>
  <c r="R24" i="5"/>
  <c r="T24" i="5"/>
  <c r="R25" i="5"/>
  <c r="T25" i="5"/>
  <c r="N25" i="5"/>
  <c r="P25" i="5"/>
  <c r="N24" i="5"/>
  <c r="P24" i="5"/>
  <c r="J24" i="5"/>
  <c r="L24" i="5"/>
  <c r="J25" i="5"/>
  <c r="L25" i="5"/>
  <c r="F25" i="5"/>
  <c r="H25" i="5"/>
  <c r="F24" i="5"/>
  <c r="H24" i="5"/>
  <c r="B24" i="5"/>
  <c r="D24" i="5"/>
  <c r="B25" i="5"/>
  <c r="D25" i="5"/>
  <c r="O8" i="2"/>
  <c r="J8" i="2"/>
  <c r="N8" i="2"/>
  <c r="M8" i="2"/>
  <c r="M8" i="9"/>
  <c r="K9" i="9"/>
  <c r="M9" i="9" s="1" a="1"/>
  <c r="M9" i="9" s="1"/>
  <c r="V9" i="2"/>
  <c r="O9" i="9" s="1"/>
  <c r="K79" i="9"/>
  <c r="K149" i="9"/>
  <c r="K8" i="2"/>
  <c r="D7" i="9"/>
  <c r="N7" i="9" s="1"/>
  <c r="L8" i="2"/>
  <c r="E24" i="4"/>
  <c r="R24" i="4"/>
  <c r="J24" i="4"/>
  <c r="B24" i="4"/>
  <c r="Q24" i="4"/>
  <c r="I24" i="4"/>
  <c r="A26" i="4" a="1"/>
  <c r="A26" i="4" s="1"/>
  <c r="O24" i="4"/>
  <c r="G24" i="4"/>
  <c r="W24" i="4"/>
  <c r="AN24" i="5" s="1"/>
  <c r="N24" i="4"/>
  <c r="F24" i="4"/>
  <c r="V24" i="4"/>
  <c r="AM24" i="5" s="1"/>
  <c r="M24" i="4"/>
  <c r="H24" i="4"/>
  <c r="D24" i="4"/>
  <c r="C24" i="4"/>
  <c r="S24" i="4"/>
  <c r="AJ24" i="5" s="1"/>
  <c r="T24" i="4"/>
  <c r="AL24" i="5" s="1"/>
  <c r="L24" i="4"/>
  <c r="P24" i="4"/>
  <c r="K24" i="4"/>
  <c r="A27" i="5" a="1"/>
  <c r="A27" i="5" s="1"/>
  <c r="AH27" i="5" s="1"/>
  <c r="A26" i="5" a="1"/>
  <c r="A26" i="5" s="1"/>
  <c r="AH26" i="5" s="1"/>
  <c r="O148" i="9"/>
  <c r="O78" i="9"/>
  <c r="I8" i="9" a="1"/>
  <c r="I8" i="9" s="1"/>
  <c r="W1" i="10"/>
  <c r="A27" i="4" a="1"/>
  <c r="A27" i="4" s="1"/>
  <c r="S25" i="4"/>
  <c r="AJ25" i="5" s="1"/>
  <c r="K25" i="4"/>
  <c r="C25" i="4"/>
  <c r="R25" i="4"/>
  <c r="J25" i="4"/>
  <c r="B25" i="4"/>
  <c r="P25" i="4"/>
  <c r="H25" i="4"/>
  <c r="O25" i="4"/>
  <c r="G25" i="4"/>
  <c r="W25" i="4"/>
  <c r="AN25" i="5" s="1"/>
  <c r="N25" i="4"/>
  <c r="F25" i="4"/>
  <c r="E25" i="4"/>
  <c r="D25" i="4"/>
  <c r="I25" i="4"/>
  <c r="V25" i="4"/>
  <c r="AM25" i="5" s="1"/>
  <c r="T25" i="4"/>
  <c r="AL25" i="5" s="1"/>
  <c r="Q25" i="4"/>
  <c r="M25" i="4"/>
  <c r="L25" i="4"/>
  <c r="I15" i="2"/>
  <c r="L14" i="9"/>
  <c r="L154" i="9"/>
  <c r="L84" i="9"/>
  <c r="AM144" i="5"/>
  <c r="F6" i="9"/>
  <c r="G6" i="9" s="1"/>
  <c r="J6" i="9"/>
  <c r="Q6" i="9"/>
  <c r="P6" i="9" s="1"/>
  <c r="S10" i="2"/>
  <c r="T10" i="2"/>
  <c r="U10" i="2"/>
  <c r="D8" i="9" a="1"/>
  <c r="R10" i="2"/>
  <c r="P10" i="2"/>
  <c r="Q10" i="2"/>
  <c r="J9" i="2" a="1"/>
  <c r="O9" i="2" a="1"/>
  <c r="N9" i="2" a="1"/>
  <c r="K9" i="2" a="1"/>
  <c r="M9" i="2" a="1"/>
  <c r="L9" i="2" a="1"/>
  <c r="AD26" i="5" l="1"/>
  <c r="AF26" i="5"/>
  <c r="AD27" i="5"/>
  <c r="AF27" i="5"/>
  <c r="Z26" i="5"/>
  <c r="AB26" i="5"/>
  <c r="Z27" i="5"/>
  <c r="AB27" i="5"/>
  <c r="V26" i="5"/>
  <c r="X26" i="5"/>
  <c r="V27" i="5"/>
  <c r="X27" i="5"/>
  <c r="R26" i="5"/>
  <c r="T26" i="5"/>
  <c r="R27" i="5"/>
  <c r="T27" i="5"/>
  <c r="N26" i="5"/>
  <c r="P26" i="5"/>
  <c r="N27" i="5"/>
  <c r="P27" i="5"/>
  <c r="J27" i="5"/>
  <c r="L27" i="5"/>
  <c r="J26" i="5"/>
  <c r="L26" i="5"/>
  <c r="F26" i="5"/>
  <c r="H26" i="5"/>
  <c r="F27" i="5"/>
  <c r="H27" i="5"/>
  <c r="B26" i="5"/>
  <c r="D26" i="5"/>
  <c r="B27" i="5"/>
  <c r="D27" i="5"/>
  <c r="L9" i="2"/>
  <c r="M9" i="2"/>
  <c r="K9" i="2"/>
  <c r="N9" i="2"/>
  <c r="O9" i="2"/>
  <c r="J9" i="2"/>
  <c r="K80" i="9"/>
  <c r="K10" i="9"/>
  <c r="V10" i="2"/>
  <c r="O10" i="9" s="1"/>
  <c r="K150" i="9"/>
  <c r="D8" i="9"/>
  <c r="N8" i="9" s="1"/>
  <c r="A28" i="4" a="1"/>
  <c r="A28" i="4" s="1"/>
  <c r="T26" i="4"/>
  <c r="AL26" i="5" s="1"/>
  <c r="L26" i="4"/>
  <c r="D26" i="4"/>
  <c r="S26" i="4"/>
  <c r="AJ26" i="5" s="1"/>
  <c r="K26" i="4"/>
  <c r="C26" i="4"/>
  <c r="Q26" i="4"/>
  <c r="I26" i="4"/>
  <c r="P26" i="4"/>
  <c r="H26" i="4"/>
  <c r="O26" i="4"/>
  <c r="G26" i="4"/>
  <c r="E26" i="4"/>
  <c r="W26" i="4"/>
  <c r="AN26" i="5" s="1"/>
  <c r="B26" i="4"/>
  <c r="V26" i="4"/>
  <c r="R26" i="4"/>
  <c r="J26" i="4"/>
  <c r="N26" i="4"/>
  <c r="M26" i="4"/>
  <c r="F26" i="4"/>
  <c r="P9" i="10"/>
  <c r="A28" i="5" a="1"/>
  <c r="A28" i="5" s="1"/>
  <c r="AH28" i="5" s="1"/>
  <c r="A29" i="5" a="1"/>
  <c r="A29" i="5" s="1"/>
  <c r="AH29" i="5" s="1"/>
  <c r="I16" i="2"/>
  <c r="L15" i="9"/>
  <c r="L85" i="9"/>
  <c r="L155" i="9"/>
  <c r="Q27" i="4"/>
  <c r="I27" i="4"/>
  <c r="V27" i="4"/>
  <c r="AM27" i="5" s="1"/>
  <c r="M27" i="4"/>
  <c r="E27" i="4"/>
  <c r="T27" i="4"/>
  <c r="AL27" i="5" s="1"/>
  <c r="L27" i="4"/>
  <c r="D27" i="4"/>
  <c r="R27" i="4"/>
  <c r="J27" i="4"/>
  <c r="B27" i="4"/>
  <c r="P27" i="4"/>
  <c r="H27" i="4"/>
  <c r="C27" i="4"/>
  <c r="W27" i="4"/>
  <c r="AN27" i="5" s="1"/>
  <c r="S27" i="4"/>
  <c r="AJ27" i="5" s="1"/>
  <c r="O27" i="4"/>
  <c r="G27" i="4"/>
  <c r="F27" i="4"/>
  <c r="N27" i="4"/>
  <c r="K27" i="4"/>
  <c r="A29" i="4" a="1"/>
  <c r="A29" i="4" s="1"/>
  <c r="O149" i="9"/>
  <c r="O79" i="9"/>
  <c r="I9" i="9" a="1"/>
  <c r="I9" i="9" s="1"/>
  <c r="E9" i="9" s="1"/>
  <c r="F7" i="9"/>
  <c r="G7" i="9" s="1"/>
  <c r="J7" i="9"/>
  <c r="Q7" i="9"/>
  <c r="P7" i="9" s="1"/>
  <c r="M10" i="9" a="1"/>
  <c r="M10" i="2" a="1"/>
  <c r="S11" i="2"/>
  <c r="T11" i="2"/>
  <c r="U11" i="2"/>
  <c r="J10" i="2" a="1"/>
  <c r="L10" i="2" a="1"/>
  <c r="D9" i="9" a="1"/>
  <c r="O10" i="2" a="1"/>
  <c r="Q11" i="2"/>
  <c r="P11" i="2"/>
  <c r="R11" i="2"/>
  <c r="K10" i="2" a="1"/>
  <c r="N10" i="2" a="1"/>
  <c r="AD28" i="5" l="1"/>
  <c r="AF28" i="5"/>
  <c r="AD29" i="5"/>
  <c r="AF29" i="5"/>
  <c r="Z28" i="5"/>
  <c r="AB28" i="5"/>
  <c r="Z29" i="5"/>
  <c r="AB29" i="5"/>
  <c r="V29" i="5"/>
  <c r="X29" i="5"/>
  <c r="V28" i="5"/>
  <c r="X28" i="5"/>
  <c r="R28" i="5"/>
  <c r="T28" i="5"/>
  <c r="R29" i="5"/>
  <c r="T29" i="5"/>
  <c r="N28" i="5"/>
  <c r="P28" i="5"/>
  <c r="N29" i="5"/>
  <c r="P29" i="5"/>
  <c r="J28" i="5"/>
  <c r="L28" i="5"/>
  <c r="J29" i="5"/>
  <c r="L29" i="5"/>
  <c r="F28" i="5"/>
  <c r="H28" i="5"/>
  <c r="F29" i="5"/>
  <c r="H29" i="5"/>
  <c r="B28" i="5"/>
  <c r="D28" i="5"/>
  <c r="B29" i="5"/>
  <c r="D29" i="5"/>
  <c r="N10" i="2"/>
  <c r="K10" i="2"/>
  <c r="K151" i="9"/>
  <c r="K11" i="9"/>
  <c r="V11" i="2"/>
  <c r="O11" i="9" s="1"/>
  <c r="K81" i="9"/>
  <c r="O10" i="2"/>
  <c r="D9" i="9"/>
  <c r="N9" i="9" s="1"/>
  <c r="L10" i="2"/>
  <c r="J10" i="2"/>
  <c r="M10" i="2"/>
  <c r="M10" i="9"/>
  <c r="L16" i="9"/>
  <c r="I17" i="2"/>
  <c r="L156" i="9"/>
  <c r="L86" i="9"/>
  <c r="AM26" i="5"/>
  <c r="R28" i="4"/>
  <c r="J28" i="4"/>
  <c r="B28" i="4"/>
  <c r="Q28" i="4"/>
  <c r="W28" i="4"/>
  <c r="AN28" i="5" s="1"/>
  <c r="N28" i="4"/>
  <c r="F28" i="4"/>
  <c r="V28" i="4"/>
  <c r="AM28" i="5" s="1"/>
  <c r="M28" i="4"/>
  <c r="E28" i="4"/>
  <c r="S28" i="4"/>
  <c r="AJ28" i="5" s="1"/>
  <c r="K28" i="4"/>
  <c r="C28" i="4"/>
  <c r="I28" i="4"/>
  <c r="T28" i="4"/>
  <c r="AL28" i="5" s="1"/>
  <c r="P28" i="4"/>
  <c r="A30" i="4" a="1"/>
  <c r="A30" i="4" s="1"/>
  <c r="O28" i="4"/>
  <c r="L28" i="4"/>
  <c r="H28" i="4"/>
  <c r="D28" i="4"/>
  <c r="G28" i="4"/>
  <c r="A31" i="5" a="1"/>
  <c r="A31" i="5" s="1"/>
  <c r="AH31" i="5" s="1"/>
  <c r="A30" i="5" a="1"/>
  <c r="A30" i="5" s="1"/>
  <c r="AH30" i="5" s="1"/>
  <c r="F8" i="9"/>
  <c r="G8" i="9" s="1"/>
  <c r="J8" i="9"/>
  <c r="Q8" i="9"/>
  <c r="P8" i="9" s="1"/>
  <c r="S29" i="4"/>
  <c r="AJ29" i="5" s="1"/>
  <c r="K29" i="4"/>
  <c r="C29" i="4"/>
  <c r="R29" i="4"/>
  <c r="J29" i="4"/>
  <c r="B29" i="4"/>
  <c r="A31" i="4" a="1"/>
  <c r="A31" i="4" s="1"/>
  <c r="O29" i="4"/>
  <c r="G29" i="4"/>
  <c r="W29" i="4"/>
  <c r="AN29" i="5" s="1"/>
  <c r="N29" i="4"/>
  <c r="F29" i="4"/>
  <c r="T29" i="4"/>
  <c r="AL29" i="5" s="1"/>
  <c r="L29" i="4"/>
  <c r="D29" i="4"/>
  <c r="V29" i="4"/>
  <c r="AM29" i="5" s="1"/>
  <c r="Q29" i="4"/>
  <c r="P29" i="4"/>
  <c r="M29" i="4"/>
  <c r="E29" i="4"/>
  <c r="I29" i="4"/>
  <c r="H29" i="4"/>
  <c r="O150" i="9"/>
  <c r="O80" i="9"/>
  <c r="I10" i="9" a="1"/>
  <c r="I10" i="9" s="1"/>
  <c r="W9" i="10"/>
  <c r="K11" i="2" a="1"/>
  <c r="M11" i="2" a="1"/>
  <c r="L11" i="2" a="1"/>
  <c r="M11" i="9" a="1"/>
  <c r="S12" i="2"/>
  <c r="U12" i="2"/>
  <c r="T12" i="2"/>
  <c r="D10" i="9" a="1"/>
  <c r="J11" i="2" a="1"/>
  <c r="O11" i="2" a="1"/>
  <c r="Q12" i="2"/>
  <c r="P12" i="2"/>
  <c r="R12" i="2"/>
  <c r="N11" i="2" a="1"/>
  <c r="AD31" i="5" l="1"/>
  <c r="AF31" i="5"/>
  <c r="AD30" i="5"/>
  <c r="AF30" i="5"/>
  <c r="Z30" i="5"/>
  <c r="AB30" i="5"/>
  <c r="Z31" i="5"/>
  <c r="AB31" i="5"/>
  <c r="V30" i="5"/>
  <c r="X30" i="5"/>
  <c r="V31" i="5"/>
  <c r="X31" i="5"/>
  <c r="R30" i="5"/>
  <c r="T30" i="5"/>
  <c r="R31" i="5"/>
  <c r="T31" i="5"/>
  <c r="N31" i="5"/>
  <c r="P31" i="5"/>
  <c r="N30" i="5"/>
  <c r="P30" i="5"/>
  <c r="J30" i="5"/>
  <c r="L30" i="5"/>
  <c r="J31" i="5"/>
  <c r="L31" i="5"/>
  <c r="F31" i="5"/>
  <c r="H31" i="5"/>
  <c r="F30" i="5"/>
  <c r="H30" i="5"/>
  <c r="B30" i="5"/>
  <c r="D30" i="5"/>
  <c r="B31" i="5"/>
  <c r="D31" i="5"/>
  <c r="N11" i="2"/>
  <c r="K152" i="9"/>
  <c r="K12" i="9"/>
  <c r="M12" i="9" s="1" a="1"/>
  <c r="M12" i="9" s="1"/>
  <c r="V12" i="2"/>
  <c r="O12" i="9" s="1"/>
  <c r="K82" i="9"/>
  <c r="O11" i="2"/>
  <c r="J11" i="2"/>
  <c r="D10" i="9"/>
  <c r="N10" i="9" s="1"/>
  <c r="M11" i="9"/>
  <c r="L11" i="2"/>
  <c r="M11" i="2"/>
  <c r="K11" i="2"/>
  <c r="L17" i="9"/>
  <c r="I18" i="2"/>
  <c r="L157" i="9"/>
  <c r="L87" i="9"/>
  <c r="V31" i="4"/>
  <c r="AM31" i="5" s="1"/>
  <c r="M31" i="4"/>
  <c r="E31" i="4"/>
  <c r="L31" i="4"/>
  <c r="D31" i="4"/>
  <c r="Q31" i="4"/>
  <c r="I31" i="4"/>
  <c r="P31" i="4"/>
  <c r="H31" i="4"/>
  <c r="W31" i="4"/>
  <c r="AN31" i="5" s="1"/>
  <c r="N31" i="4"/>
  <c r="F31" i="4"/>
  <c r="T31" i="4"/>
  <c r="AL31" i="5" s="1"/>
  <c r="S31" i="4"/>
  <c r="AJ31" i="5" s="1"/>
  <c r="K31" i="4"/>
  <c r="C31" i="4"/>
  <c r="G31" i="4"/>
  <c r="A33" i="4" a="1"/>
  <c r="A33" i="4" s="1"/>
  <c r="B31" i="4"/>
  <c r="O31" i="4"/>
  <c r="R31" i="4"/>
  <c r="J31" i="4"/>
  <c r="O151" i="9"/>
  <c r="O81" i="9"/>
  <c r="I11" i="9" a="1"/>
  <c r="I11" i="9" s="1"/>
  <c r="T30" i="4"/>
  <c r="AL30" i="5" s="1"/>
  <c r="L30" i="4"/>
  <c r="D30" i="4"/>
  <c r="S30" i="4"/>
  <c r="AJ30" i="5" s="1"/>
  <c r="K30" i="4"/>
  <c r="C30" i="4"/>
  <c r="P30" i="4"/>
  <c r="H30" i="4"/>
  <c r="A32" i="4" a="1"/>
  <c r="A32" i="4" s="1"/>
  <c r="O30" i="4"/>
  <c r="G30" i="4"/>
  <c r="V30" i="4"/>
  <c r="AM30" i="5" s="1"/>
  <c r="M30" i="4"/>
  <c r="E30" i="4"/>
  <c r="R30" i="4"/>
  <c r="J30" i="4"/>
  <c r="B30" i="4"/>
  <c r="W30" i="4"/>
  <c r="AN30" i="5" s="1"/>
  <c r="Q30" i="4"/>
  <c r="F30" i="4"/>
  <c r="N30" i="4"/>
  <c r="I30" i="4"/>
  <c r="P17" i="10"/>
  <c r="J9" i="9"/>
  <c r="Q9" i="9"/>
  <c r="P9" i="9" s="1"/>
  <c r="F9" i="9"/>
  <c r="G9" i="9" s="1"/>
  <c r="A32" i="5" a="1"/>
  <c r="A32" i="5" s="1"/>
  <c r="AH32" i="5" s="1"/>
  <c r="A33" i="5" a="1"/>
  <c r="A33" i="5" s="1"/>
  <c r="AH33" i="5" s="1"/>
  <c r="D11" i="9" a="1"/>
  <c r="L12" i="2" a="1"/>
  <c r="U13" i="2"/>
  <c r="S13" i="2"/>
  <c r="T13" i="2"/>
  <c r="N12" i="2" a="1"/>
  <c r="O12" i="2" a="1"/>
  <c r="J12" i="2" a="1"/>
  <c r="M12" i="2" a="1"/>
  <c r="K12" i="2" a="1"/>
  <c r="P13" i="2"/>
  <c r="R13" i="2"/>
  <c r="Q13" i="2"/>
  <c r="AD32" i="5" l="1"/>
  <c r="AF32" i="5"/>
  <c r="AD33" i="5"/>
  <c r="AF33" i="5"/>
  <c r="Z32" i="5"/>
  <c r="AB32" i="5"/>
  <c r="Z33" i="5"/>
  <c r="AB33" i="5"/>
  <c r="V33" i="5"/>
  <c r="X33" i="5"/>
  <c r="V32" i="5"/>
  <c r="X32" i="5"/>
  <c r="R32" i="5"/>
  <c r="T32" i="5"/>
  <c r="R33" i="5"/>
  <c r="T33" i="5"/>
  <c r="N32" i="5"/>
  <c r="P32" i="5"/>
  <c r="N33" i="5"/>
  <c r="P33" i="5"/>
  <c r="J33" i="5"/>
  <c r="L33" i="5"/>
  <c r="J32" i="5"/>
  <c r="L32" i="5"/>
  <c r="F32" i="5"/>
  <c r="H32" i="5"/>
  <c r="F33" i="5"/>
  <c r="H33" i="5"/>
  <c r="B33" i="5"/>
  <c r="D33" i="5"/>
  <c r="B32" i="5"/>
  <c r="D32" i="5"/>
  <c r="K83" i="9"/>
  <c r="K153" i="9"/>
  <c r="K13" i="9"/>
  <c r="V13" i="2"/>
  <c r="O13" i="9" s="1"/>
  <c r="K12" i="2"/>
  <c r="M12" i="2"/>
  <c r="J12" i="2"/>
  <c r="O12" i="2"/>
  <c r="N12" i="2"/>
  <c r="L12" i="2"/>
  <c r="D11" i="9"/>
  <c r="N11" i="9" s="1"/>
  <c r="W32" i="4"/>
  <c r="AN32" i="5" s="1"/>
  <c r="N32" i="4"/>
  <c r="F32" i="4"/>
  <c r="V32" i="4"/>
  <c r="E32" i="4"/>
  <c r="R32" i="4"/>
  <c r="J32" i="4"/>
  <c r="B32" i="4"/>
  <c r="Q32" i="4"/>
  <c r="I32" i="4"/>
  <c r="A34" i="4" a="1"/>
  <c r="A34" i="4" s="1"/>
  <c r="O32" i="4"/>
  <c r="G32" i="4"/>
  <c r="M32" i="4"/>
  <c r="T32" i="4"/>
  <c r="AL32" i="5" s="1"/>
  <c r="L32" i="4"/>
  <c r="D32" i="4"/>
  <c r="P32" i="4"/>
  <c r="K32" i="4"/>
  <c r="S32" i="4"/>
  <c r="AJ32" i="5" s="1"/>
  <c r="H32" i="4"/>
  <c r="C32" i="4"/>
  <c r="L18" i="9"/>
  <c r="I19" i="2"/>
  <c r="L158" i="9"/>
  <c r="L88" i="9"/>
  <c r="W17" i="10"/>
  <c r="O152" i="9"/>
  <c r="O82" i="9"/>
  <c r="I12" i="9" a="1"/>
  <c r="I12" i="9" s="1"/>
  <c r="E12" i="9" s="1"/>
  <c r="A35" i="5" a="1"/>
  <c r="A35" i="5" s="1"/>
  <c r="AH35" i="5" s="1"/>
  <c r="F10" i="9"/>
  <c r="G10" i="9" s="1"/>
  <c r="Q10" i="9"/>
  <c r="P10" i="9" s="1"/>
  <c r="J10" i="9"/>
  <c r="O33" i="4"/>
  <c r="G33" i="4"/>
  <c r="S33" i="4"/>
  <c r="AJ33" i="5" s="1"/>
  <c r="K33" i="4"/>
  <c r="C33" i="4"/>
  <c r="R33" i="4"/>
  <c r="J33" i="4"/>
  <c r="B33" i="4"/>
  <c r="P33" i="4"/>
  <c r="H33" i="4"/>
  <c r="A35" i="4" a="1"/>
  <c r="A35" i="4" s="1"/>
  <c r="W33" i="4"/>
  <c r="AN33" i="5" s="1"/>
  <c r="N33" i="4"/>
  <c r="F33" i="4"/>
  <c r="V33" i="4"/>
  <c r="AM33" i="5" s="1"/>
  <c r="M33" i="4"/>
  <c r="E33" i="4"/>
  <c r="T33" i="4"/>
  <c r="AL33" i="5" s="1"/>
  <c r="Q33" i="4"/>
  <c r="L33" i="4"/>
  <c r="I33" i="4"/>
  <c r="D33" i="4"/>
  <c r="A34" i="5" a="1"/>
  <c r="A34" i="5" s="1"/>
  <c r="AH34" i="5" s="1"/>
  <c r="P18" i="2"/>
  <c r="K13" i="2" a="1"/>
  <c r="Q18" i="2"/>
  <c r="U18" i="2"/>
  <c r="D12" i="9" a="1"/>
  <c r="U14" i="2"/>
  <c r="S14" i="2"/>
  <c r="T14" i="2"/>
  <c r="L13" i="2" a="1"/>
  <c r="M13" i="9" a="1"/>
  <c r="N13" i="2" a="1"/>
  <c r="Q14" i="2"/>
  <c r="P14" i="2"/>
  <c r="R14" i="2"/>
  <c r="T18" i="2"/>
  <c r="J13" i="2" a="1"/>
  <c r="M13" i="2" a="1"/>
  <c r="S18" i="2"/>
  <c r="O13" i="2" a="1"/>
  <c r="R18" i="2"/>
  <c r="AD34" i="5" l="1"/>
  <c r="AF34" i="5"/>
  <c r="AD35" i="5"/>
  <c r="AF35" i="5"/>
  <c r="Z34" i="5"/>
  <c r="AB34" i="5"/>
  <c r="Z35" i="5"/>
  <c r="AB35" i="5"/>
  <c r="V34" i="5"/>
  <c r="X34" i="5"/>
  <c r="V35" i="5"/>
  <c r="X35" i="5"/>
  <c r="R34" i="5"/>
  <c r="T34" i="5"/>
  <c r="R35" i="5"/>
  <c r="T35" i="5"/>
  <c r="N34" i="5"/>
  <c r="P34" i="5"/>
  <c r="N35" i="5"/>
  <c r="P35" i="5"/>
  <c r="J34" i="5"/>
  <c r="L34" i="5"/>
  <c r="J35" i="5"/>
  <c r="L35" i="5"/>
  <c r="F34" i="5"/>
  <c r="H34" i="5"/>
  <c r="F35" i="5"/>
  <c r="H35" i="5"/>
  <c r="B35" i="5"/>
  <c r="D35" i="5"/>
  <c r="B34" i="5"/>
  <c r="D34" i="5"/>
  <c r="K158" i="9"/>
  <c r="O13" i="2"/>
  <c r="M13" i="2"/>
  <c r="J13" i="2"/>
  <c r="K154" i="9"/>
  <c r="K14" i="9"/>
  <c r="V14" i="2"/>
  <c r="O14" i="9" s="1"/>
  <c r="K84" i="9"/>
  <c r="N13" i="2"/>
  <c r="M13" i="9"/>
  <c r="L13" i="2"/>
  <c r="D12" i="9"/>
  <c r="N12" i="9" s="1"/>
  <c r="K88" i="9"/>
  <c r="K13" i="2"/>
  <c r="K18" i="9"/>
  <c r="V18" i="2"/>
  <c r="O18" i="9" s="1"/>
  <c r="Q35" i="4"/>
  <c r="I35" i="4"/>
  <c r="P35" i="4"/>
  <c r="A37" i="4" a="1"/>
  <c r="A37" i="4" s="1"/>
  <c r="V35" i="4"/>
  <c r="AM35" i="5" s="1"/>
  <c r="M35" i="4"/>
  <c r="E35" i="4"/>
  <c r="T35" i="4"/>
  <c r="AL35" i="5" s="1"/>
  <c r="L35" i="4"/>
  <c r="D35" i="4"/>
  <c r="R35" i="4"/>
  <c r="J35" i="4"/>
  <c r="B35" i="4"/>
  <c r="H35" i="4"/>
  <c r="O35" i="4"/>
  <c r="G35" i="4"/>
  <c r="K35" i="4"/>
  <c r="F35" i="4"/>
  <c r="C35" i="4"/>
  <c r="W35" i="4"/>
  <c r="AN35" i="5" s="1"/>
  <c r="S35" i="4"/>
  <c r="AJ35" i="5" s="1"/>
  <c r="N35" i="4"/>
  <c r="O153" i="9"/>
  <c r="O83" i="9"/>
  <c r="I13" i="9" a="1"/>
  <c r="I13" i="9" s="1"/>
  <c r="A37" i="5" a="1"/>
  <c r="A37" i="5" s="1"/>
  <c r="AH37" i="5" s="1"/>
  <c r="I20" i="2"/>
  <c r="L159" i="9"/>
  <c r="L89" i="9"/>
  <c r="L19" i="9"/>
  <c r="A36" i="5" a="1"/>
  <c r="A36" i="5" s="1"/>
  <c r="AH36" i="5" s="1"/>
  <c r="P25" i="10"/>
  <c r="AM32" i="5"/>
  <c r="F11" i="9"/>
  <c r="G11" i="9" s="1"/>
  <c r="Q11" i="9"/>
  <c r="P11" i="9" s="1"/>
  <c r="J11" i="9"/>
  <c r="P34" i="4"/>
  <c r="H34" i="4"/>
  <c r="A36" i="4" a="1"/>
  <c r="A36" i="4" s="1"/>
  <c r="G34" i="4"/>
  <c r="T34" i="4"/>
  <c r="AL34" i="5" s="1"/>
  <c r="L34" i="4"/>
  <c r="D34" i="4"/>
  <c r="S34" i="4"/>
  <c r="AJ34" i="5" s="1"/>
  <c r="K34" i="4"/>
  <c r="C34" i="4"/>
  <c r="Q34" i="4"/>
  <c r="I34" i="4"/>
  <c r="O34" i="4"/>
  <c r="W34" i="4"/>
  <c r="AN34" i="5" s="1"/>
  <c r="N34" i="4"/>
  <c r="F34" i="4"/>
  <c r="B34" i="4"/>
  <c r="V34" i="4"/>
  <c r="AM34" i="5" s="1"/>
  <c r="R34" i="4"/>
  <c r="M34" i="4"/>
  <c r="E34" i="4"/>
  <c r="J34" i="4"/>
  <c r="L14" i="2" a="1"/>
  <c r="T19" i="2"/>
  <c r="L18" i="2" a="1"/>
  <c r="M14" i="9" a="1"/>
  <c r="N14" i="2" a="1"/>
  <c r="M18" i="9" a="1"/>
  <c r="M14" i="2" a="1"/>
  <c r="M18" i="2" a="1"/>
  <c r="J14" i="2" a="1"/>
  <c r="O14" i="2" a="1"/>
  <c r="J18" i="2" a="1"/>
  <c r="S19" i="2"/>
  <c r="P15" i="2"/>
  <c r="R15" i="2"/>
  <c r="Q15" i="2"/>
  <c r="S15" i="2"/>
  <c r="T15" i="2"/>
  <c r="U15" i="2"/>
  <c r="R19" i="2"/>
  <c r="D13" i="9" a="1"/>
  <c r="K14" i="2" a="1"/>
  <c r="O18" i="2" a="1"/>
  <c r="P19" i="2"/>
  <c r="N18" i="2" a="1"/>
  <c r="Q19" i="2"/>
  <c r="K18" i="2" a="1"/>
  <c r="U19" i="2"/>
  <c r="AD36" i="5" l="1"/>
  <c r="AF36" i="5"/>
  <c r="AD37" i="5"/>
  <c r="AF37" i="5"/>
  <c r="Z37" i="5"/>
  <c r="AB37" i="5"/>
  <c r="Z36" i="5"/>
  <c r="AB36" i="5"/>
  <c r="V36" i="5"/>
  <c r="X36" i="5"/>
  <c r="V37" i="5"/>
  <c r="X37" i="5"/>
  <c r="R37" i="5"/>
  <c r="T37" i="5"/>
  <c r="R36" i="5"/>
  <c r="T36" i="5"/>
  <c r="N36" i="5"/>
  <c r="P36" i="5"/>
  <c r="N37" i="5"/>
  <c r="P37" i="5"/>
  <c r="J37" i="5"/>
  <c r="L37" i="5"/>
  <c r="J36" i="5"/>
  <c r="L36" i="5"/>
  <c r="F37" i="5"/>
  <c r="H37" i="5"/>
  <c r="F36" i="5"/>
  <c r="H36" i="5"/>
  <c r="B37" i="5"/>
  <c r="D37" i="5"/>
  <c r="B36" i="5"/>
  <c r="D36" i="5"/>
  <c r="K18" i="2"/>
  <c r="K89" i="9"/>
  <c r="N18" i="2"/>
  <c r="K19" i="9"/>
  <c r="V19" i="2"/>
  <c r="O19" i="9" s="1"/>
  <c r="O18" i="2"/>
  <c r="K14" i="2"/>
  <c r="D13" i="9"/>
  <c r="N13" i="9" s="1"/>
  <c r="K159" i="9"/>
  <c r="K85" i="9"/>
  <c r="K155" i="9"/>
  <c r="K15" i="9"/>
  <c r="V15" i="2"/>
  <c r="O15" i="9" s="1"/>
  <c r="J18" i="2"/>
  <c r="O14" i="2"/>
  <c r="J14" i="2"/>
  <c r="M18" i="2"/>
  <c r="M14" i="2"/>
  <c r="M18" i="9"/>
  <c r="N14" i="2"/>
  <c r="M14" i="9"/>
  <c r="L18" i="2"/>
  <c r="L14" i="2"/>
  <c r="R36" i="4"/>
  <c r="J36" i="4"/>
  <c r="B36" i="4"/>
  <c r="I36" i="4"/>
  <c r="W36" i="4"/>
  <c r="AN36" i="5" s="1"/>
  <c r="N36" i="4"/>
  <c r="F36" i="4"/>
  <c r="V36" i="4"/>
  <c r="AM36" i="5" s="1"/>
  <c r="M36" i="4"/>
  <c r="E36" i="4"/>
  <c r="S36" i="4"/>
  <c r="AJ36" i="5" s="1"/>
  <c r="K36" i="4"/>
  <c r="C36" i="4"/>
  <c r="Q36" i="4"/>
  <c r="P36" i="4"/>
  <c r="H36" i="4"/>
  <c r="T36" i="4"/>
  <c r="AL36" i="5" s="1"/>
  <c r="A38" i="4" a="1"/>
  <c r="A38" i="4" s="1"/>
  <c r="O36" i="4"/>
  <c r="L36" i="4"/>
  <c r="G36" i="4"/>
  <c r="D36" i="4"/>
  <c r="W25" i="10"/>
  <c r="A39" i="5" a="1"/>
  <c r="A39" i="5" s="1"/>
  <c r="AH39" i="5" s="1"/>
  <c r="F12" i="9"/>
  <c r="G12" i="9" s="1"/>
  <c r="J12" i="9"/>
  <c r="Q12" i="9"/>
  <c r="P12" i="9" s="1"/>
  <c r="S37" i="4"/>
  <c r="AJ37" i="5" s="1"/>
  <c r="K37" i="4"/>
  <c r="C37" i="4"/>
  <c r="J37" i="4"/>
  <c r="B37" i="4"/>
  <c r="R37" i="4"/>
  <c r="Q37" i="4"/>
  <c r="A39" i="4" a="1"/>
  <c r="A39" i="4" s="1"/>
  <c r="O37" i="4"/>
  <c r="G37" i="4"/>
  <c r="W37" i="4"/>
  <c r="AN37" i="5" s="1"/>
  <c r="N37" i="4"/>
  <c r="F37" i="4"/>
  <c r="T37" i="4"/>
  <c r="AL37" i="5" s="1"/>
  <c r="L37" i="4"/>
  <c r="D37" i="4"/>
  <c r="I37" i="4"/>
  <c r="V37" i="4"/>
  <c r="AM37" i="5" s="1"/>
  <c r="P37" i="4"/>
  <c r="E37" i="4"/>
  <c r="M37" i="4"/>
  <c r="H37" i="4"/>
  <c r="L20" i="9"/>
  <c r="I21" i="2"/>
  <c r="L160" i="9"/>
  <c r="L90" i="9"/>
  <c r="O158" i="9"/>
  <c r="O88" i="9"/>
  <c r="I18" i="9" a="1"/>
  <c r="I18" i="9" s="1"/>
  <c r="O154" i="9"/>
  <c r="O84" i="9"/>
  <c r="I14" i="9" a="1"/>
  <c r="I14" i="9" s="1"/>
  <c r="A38" i="5" a="1"/>
  <c r="A38" i="5" s="1"/>
  <c r="AH38" i="5" s="1"/>
  <c r="O19" i="2" a="1"/>
  <c r="M19" i="2" a="1"/>
  <c r="T20" i="2"/>
  <c r="D18" i="9" a="1"/>
  <c r="Q20" i="2"/>
  <c r="U20" i="2"/>
  <c r="K15" i="2" a="1"/>
  <c r="N19" i="2" a="1"/>
  <c r="P20" i="2"/>
  <c r="K19" i="2" a="1"/>
  <c r="D14" i="9" a="1"/>
  <c r="L19" i="2" a="1"/>
  <c r="L15" i="2" a="1"/>
  <c r="T16" i="2"/>
  <c r="U16" i="2"/>
  <c r="S16" i="2"/>
  <c r="S20" i="2"/>
  <c r="M19" i="9" a="1"/>
  <c r="O15" i="2" a="1"/>
  <c r="M15" i="9" a="1"/>
  <c r="N15" i="2" a="1"/>
  <c r="R20" i="2"/>
  <c r="J19" i="2" a="1"/>
  <c r="M15" i="2" a="1"/>
  <c r="J15" i="2" a="1"/>
  <c r="R16" i="2"/>
  <c r="P16" i="2"/>
  <c r="Q16" i="2"/>
  <c r="AD38" i="5" l="1"/>
  <c r="AF38" i="5"/>
  <c r="AD39" i="5"/>
  <c r="AF39" i="5"/>
  <c r="Z39" i="5"/>
  <c r="AB39" i="5"/>
  <c r="Z38" i="5"/>
  <c r="AB38" i="5"/>
  <c r="V38" i="5"/>
  <c r="X38" i="5"/>
  <c r="V39" i="5"/>
  <c r="X39" i="5"/>
  <c r="R39" i="5"/>
  <c r="T39" i="5"/>
  <c r="R38" i="5"/>
  <c r="T38" i="5"/>
  <c r="N38" i="5"/>
  <c r="P38" i="5"/>
  <c r="N39" i="5"/>
  <c r="P39" i="5"/>
  <c r="J39" i="5"/>
  <c r="L39" i="5"/>
  <c r="J38" i="5"/>
  <c r="L38" i="5"/>
  <c r="F38" i="5"/>
  <c r="H38" i="5"/>
  <c r="F39" i="5"/>
  <c r="H39" i="5"/>
  <c r="B39" i="5"/>
  <c r="D39" i="5"/>
  <c r="B38" i="5"/>
  <c r="D38" i="5"/>
  <c r="K86" i="9"/>
  <c r="K16" i="9"/>
  <c r="V16" i="2"/>
  <c r="O16" i="9" s="1"/>
  <c r="K156" i="9"/>
  <c r="J15" i="2"/>
  <c r="M15" i="2"/>
  <c r="J19" i="2"/>
  <c r="K160" i="9"/>
  <c r="N15" i="2"/>
  <c r="M15" i="9"/>
  <c r="O15" i="2"/>
  <c r="M19" i="9"/>
  <c r="L15" i="2"/>
  <c r="L19" i="2"/>
  <c r="D14" i="9"/>
  <c r="N14" i="9" s="1"/>
  <c r="K19" i="2"/>
  <c r="K20" i="9"/>
  <c r="M20" i="9" s="1" a="1"/>
  <c r="M20" i="9" s="1"/>
  <c r="V20" i="2"/>
  <c r="O20" i="9" s="1"/>
  <c r="N19" i="2"/>
  <c r="K15" i="2"/>
  <c r="K90" i="9"/>
  <c r="D18" i="9"/>
  <c r="N18" i="9" s="1"/>
  <c r="M19" i="2"/>
  <c r="O19" i="2"/>
  <c r="I22" i="2"/>
  <c r="L21" i="9"/>
  <c r="L161" i="9"/>
  <c r="L91" i="9"/>
  <c r="P33" i="10"/>
  <c r="T38" i="4"/>
  <c r="AL38" i="5" s="1"/>
  <c r="L38" i="4"/>
  <c r="D38" i="4"/>
  <c r="S38" i="4"/>
  <c r="AJ38" i="5" s="1"/>
  <c r="K38" i="4"/>
  <c r="C38" i="4"/>
  <c r="J38" i="4"/>
  <c r="P38" i="4"/>
  <c r="H38" i="4"/>
  <c r="O38" i="4"/>
  <c r="G38" i="4"/>
  <c r="V38" i="4"/>
  <c r="AM38" i="5" s="1"/>
  <c r="M38" i="4"/>
  <c r="E38" i="4"/>
  <c r="R38" i="4"/>
  <c r="B38" i="4"/>
  <c r="F38" i="4"/>
  <c r="N38" i="4"/>
  <c r="I38" i="4"/>
  <c r="W38" i="4"/>
  <c r="AN38" i="5" s="1"/>
  <c r="Q38" i="4"/>
  <c r="O155" i="9"/>
  <c r="O85" i="9"/>
  <c r="I15" i="9" a="1"/>
  <c r="I15" i="9" s="1"/>
  <c r="O159" i="9"/>
  <c r="O89" i="9"/>
  <c r="I19" i="9" a="1"/>
  <c r="I19" i="9" s="1"/>
  <c r="A41" i="5" a="1"/>
  <c r="A41" i="5" s="1"/>
  <c r="AH41" i="5" s="1"/>
  <c r="F13" i="9"/>
  <c r="G13" i="9" s="1"/>
  <c r="Q13" i="9"/>
  <c r="P13" i="9" s="1"/>
  <c r="J13" i="9"/>
  <c r="A40" i="5" a="1"/>
  <c r="A40" i="5" s="1"/>
  <c r="AH40" i="5" s="1"/>
  <c r="V39" i="4"/>
  <c r="M39" i="4"/>
  <c r="E39" i="4"/>
  <c r="L39" i="4"/>
  <c r="D39" i="4"/>
  <c r="S39" i="4"/>
  <c r="AJ39" i="5" s="1"/>
  <c r="C39" i="4"/>
  <c r="Q39" i="4"/>
  <c r="I39" i="4"/>
  <c r="P39" i="4"/>
  <c r="H39" i="4"/>
  <c r="W39" i="4"/>
  <c r="AN39" i="5" s="1"/>
  <c r="N39" i="4"/>
  <c r="F39" i="4"/>
  <c r="T39" i="4"/>
  <c r="AL39" i="5" s="1"/>
  <c r="K39" i="4"/>
  <c r="O39" i="4"/>
  <c r="J39" i="4"/>
  <c r="G39" i="4"/>
  <c r="B39" i="4"/>
  <c r="R39" i="4"/>
  <c r="M20" i="2" a="1"/>
  <c r="F8" i="8" a="1"/>
  <c r="K16" i="2" a="1"/>
  <c r="D19" i="9" a="1"/>
  <c r="M16" i="2" a="1"/>
  <c r="N20" i="2" a="1"/>
  <c r="T21" i="2"/>
  <c r="B3" i="8" a="1"/>
  <c r="M16" i="9" a="1"/>
  <c r="O16" i="2" a="1"/>
  <c r="J20" i="2" a="1"/>
  <c r="Q21" i="2"/>
  <c r="L20" i="2" a="1"/>
  <c r="N16" i="2" a="1"/>
  <c r="U21" i="2"/>
  <c r="P17" i="2"/>
  <c r="R17" i="2"/>
  <c r="Q17" i="2"/>
  <c r="S17" i="2"/>
  <c r="T17" i="2"/>
  <c r="U17" i="2"/>
  <c r="J16" i="2" a="1"/>
  <c r="O20" i="2" a="1"/>
  <c r="S21" i="2"/>
  <c r="E7" i="8" a="1"/>
  <c r="L16" i="2" a="1"/>
  <c r="R21" i="2"/>
  <c r="E2" i="8" a="1"/>
  <c r="E1" i="8" a="1"/>
  <c r="D15" i="9" a="1"/>
  <c r="K20" i="2" a="1"/>
  <c r="P21" i="2"/>
  <c r="AD40" i="5" l="1"/>
  <c r="AF40" i="5"/>
  <c r="AD41" i="5"/>
  <c r="AF41" i="5"/>
  <c r="Z41" i="5"/>
  <c r="AB41" i="5"/>
  <c r="Z40" i="5"/>
  <c r="AB40" i="5"/>
  <c r="V41" i="5"/>
  <c r="X41" i="5"/>
  <c r="V40" i="5"/>
  <c r="X40" i="5"/>
  <c r="R41" i="5"/>
  <c r="T41" i="5"/>
  <c r="R40" i="5"/>
  <c r="T40" i="5"/>
  <c r="N41" i="5"/>
  <c r="P41" i="5"/>
  <c r="N40" i="5"/>
  <c r="P40" i="5"/>
  <c r="J41" i="5"/>
  <c r="L41" i="5"/>
  <c r="J40" i="5"/>
  <c r="L40" i="5"/>
  <c r="F40" i="5"/>
  <c r="H40" i="5"/>
  <c r="F41" i="5"/>
  <c r="H41" i="5"/>
  <c r="B41" i="5"/>
  <c r="D41" i="5"/>
  <c r="B40" i="5"/>
  <c r="D40" i="5"/>
  <c r="K21" i="9"/>
  <c r="V21" i="2"/>
  <c r="O21" i="9" s="1"/>
  <c r="K20" i="2"/>
  <c r="D15" i="9"/>
  <c r="N15" i="9" s="1"/>
  <c r="E1" i="8"/>
  <c r="E2" i="8"/>
  <c r="K161" i="9"/>
  <c r="L16" i="2"/>
  <c r="E7" i="8"/>
  <c r="O20" i="2"/>
  <c r="J16" i="2"/>
  <c r="K87" i="9"/>
  <c r="K157" i="9"/>
  <c r="K17" i="9"/>
  <c r="V17" i="2"/>
  <c r="O17" i="9" s="1"/>
  <c r="N16" i="2"/>
  <c r="L20" i="2"/>
  <c r="K91" i="9"/>
  <c r="J20" i="2"/>
  <c r="O16" i="2"/>
  <c r="M16" i="9"/>
  <c r="B3" i="8"/>
  <c r="N20" i="2"/>
  <c r="M16" i="2"/>
  <c r="D19" i="9"/>
  <c r="N19" i="9" s="1"/>
  <c r="K16" i="2"/>
  <c r="F8" i="8"/>
  <c r="M20" i="2"/>
  <c r="AL40" i="5"/>
  <c r="AJ40" i="5"/>
  <c r="A42" i="5" a="1"/>
  <c r="A42" i="5" s="1"/>
  <c r="AH42" i="5" s="1"/>
  <c r="F14" i="9"/>
  <c r="G14" i="9" s="1"/>
  <c r="J14" i="9"/>
  <c r="Q14" i="9"/>
  <c r="P14" i="9" s="1"/>
  <c r="O156" i="9"/>
  <c r="O86" i="9"/>
  <c r="I16" i="9" a="1"/>
  <c r="I16" i="9" s="1"/>
  <c r="W33" i="10"/>
  <c r="AL41" i="5"/>
  <c r="AJ41" i="5"/>
  <c r="A43" i="5" a="1"/>
  <c r="A43" i="5" s="1"/>
  <c r="AH43" i="5" s="1"/>
  <c r="O160" i="9"/>
  <c r="O90" i="9"/>
  <c r="I20" i="9" a="1"/>
  <c r="I20" i="9" s="1"/>
  <c r="E20" i="9" s="1"/>
  <c r="AM39" i="5"/>
  <c r="A212" i="9"/>
  <c r="A213" i="9" s="1"/>
  <c r="A211" i="9"/>
  <c r="I23" i="2"/>
  <c r="L22" i="9"/>
  <c r="L162" i="9"/>
  <c r="L92" i="9"/>
  <c r="J18" i="9"/>
  <c r="F18" i="9"/>
  <c r="G18" i="9" s="1"/>
  <c r="Q18" i="9"/>
  <c r="P18" i="9" s="1"/>
  <c r="M21" i="9" a="1"/>
  <c r="L21" i="2" a="1"/>
  <c r="N17" i="2" a="1"/>
  <c r="J17" i="2" a="1"/>
  <c r="D20" i="9" a="1"/>
  <c r="Q22" i="2"/>
  <c r="M17" i="2" a="1"/>
  <c r="O21" i="2" a="1"/>
  <c r="J21" i="2" a="1"/>
  <c r="N21" i="2" a="1"/>
  <c r="M21" i="2" a="1"/>
  <c r="K17" i="2" a="1"/>
  <c r="R22" i="2"/>
  <c r="T22" i="2"/>
  <c r="P22" i="2"/>
  <c r="D16" i="9" a="1"/>
  <c r="L17" i="2" a="1"/>
  <c r="K21" i="2" a="1"/>
  <c r="M17" i="9" a="1"/>
  <c r="S22" i="2"/>
  <c r="O17" i="2" a="1"/>
  <c r="U22" i="2"/>
  <c r="AD43" i="5" l="1"/>
  <c r="AF43" i="5"/>
  <c r="AD42" i="5"/>
  <c r="AF42" i="5"/>
  <c r="Z42" i="5"/>
  <c r="AB42" i="5"/>
  <c r="Z43" i="5"/>
  <c r="AB43" i="5"/>
  <c r="V42" i="5"/>
  <c r="X42" i="5"/>
  <c r="V43" i="5"/>
  <c r="X43" i="5"/>
  <c r="R43" i="5"/>
  <c r="T43" i="5"/>
  <c r="R42" i="5"/>
  <c r="T42" i="5"/>
  <c r="N43" i="5"/>
  <c r="P43" i="5"/>
  <c r="N42" i="5"/>
  <c r="P42" i="5"/>
  <c r="J43" i="5"/>
  <c r="L43" i="5"/>
  <c r="J42" i="5"/>
  <c r="L42" i="5"/>
  <c r="F43" i="5"/>
  <c r="H43" i="5"/>
  <c r="F42" i="5"/>
  <c r="H42" i="5"/>
  <c r="B42" i="5"/>
  <c r="D42" i="5"/>
  <c r="B43" i="5"/>
  <c r="D43" i="5"/>
  <c r="O17" i="2"/>
  <c r="M17" i="9"/>
  <c r="K21" i="2"/>
  <c r="L17" i="2"/>
  <c r="D16" i="9"/>
  <c r="N16" i="9" s="1"/>
  <c r="K22" i="9"/>
  <c r="V22" i="2"/>
  <c r="O22" i="9" s="1"/>
  <c r="K162" i="9"/>
  <c r="K17" i="2"/>
  <c r="M21" i="2"/>
  <c r="N21" i="2"/>
  <c r="J21" i="2"/>
  <c r="O21" i="2"/>
  <c r="M17" i="2"/>
  <c r="K92" i="9"/>
  <c r="D20" i="9"/>
  <c r="N20" i="9" s="1"/>
  <c r="J17" i="2"/>
  <c r="N17" i="2"/>
  <c r="L21" i="2"/>
  <c r="M21" i="9"/>
  <c r="A44" i="5" a="1"/>
  <c r="A44" i="5" s="1"/>
  <c r="AH44" i="5" s="1"/>
  <c r="AL42" i="5"/>
  <c r="AJ42" i="5"/>
  <c r="I218" i="9"/>
  <c r="A8" i="8"/>
  <c r="O157" i="9"/>
  <c r="O87" i="9"/>
  <c r="I17" i="9" a="1"/>
  <c r="I17" i="9" s="1"/>
  <c r="A45" i="5" a="1"/>
  <c r="A45" i="5" s="1"/>
  <c r="AH45" i="5" s="1"/>
  <c r="AL43" i="5"/>
  <c r="AJ43" i="5"/>
  <c r="P41" i="10"/>
  <c r="H216" i="9"/>
  <c r="J2" i="8"/>
  <c r="F19" i="9"/>
  <c r="G19" i="9" s="1"/>
  <c r="Q19" i="9"/>
  <c r="P19" i="9" s="1"/>
  <c r="J19" i="9"/>
  <c r="C9" i="12"/>
  <c r="H215" i="9"/>
  <c r="J1" i="8"/>
  <c r="C9" i="6"/>
  <c r="I24" i="2"/>
  <c r="L23" i="9"/>
  <c r="L93" i="9"/>
  <c r="L163" i="9"/>
  <c r="F15" i="9"/>
  <c r="G15" i="9" s="1"/>
  <c r="J15" i="9"/>
  <c r="Q15" i="9"/>
  <c r="P15" i="9" s="1"/>
  <c r="H217" i="9"/>
  <c r="A7" i="8"/>
  <c r="E3" i="8"/>
  <c r="H211" i="9" s="1"/>
  <c r="E4" i="8"/>
  <c r="H212" i="9" s="1"/>
  <c r="O161" i="9"/>
  <c r="O91" i="9"/>
  <c r="I21" i="9" a="1"/>
  <c r="I21" i="9" s="1"/>
  <c r="A217" i="9"/>
  <c r="A216" i="9"/>
  <c r="A215" i="9"/>
  <c r="A218" i="9"/>
  <c r="O22" i="2" a="1"/>
  <c r="D21" i="9" a="1"/>
  <c r="T23" i="2"/>
  <c r="J22" i="2" a="1"/>
  <c r="Q23" i="2"/>
  <c r="M22" i="2" a="1"/>
  <c r="N22" i="2" a="1"/>
  <c r="S23" i="2"/>
  <c r="U23" i="2"/>
  <c r="L22" i="2" a="1"/>
  <c r="K22" i="2" a="1"/>
  <c r="R23" i="2"/>
  <c r="P23" i="2"/>
  <c r="D17" i="9" a="1"/>
  <c r="M22" i="9" a="1"/>
  <c r="AD44" i="5" l="1"/>
  <c r="AF44" i="5"/>
  <c r="AD45" i="5"/>
  <c r="AF45" i="5"/>
  <c r="Z45" i="5"/>
  <c r="AB45" i="5"/>
  <c r="Z44" i="5"/>
  <c r="AB44" i="5"/>
  <c r="V44" i="5"/>
  <c r="X44" i="5"/>
  <c r="V45" i="5"/>
  <c r="X45" i="5"/>
  <c r="R44" i="5"/>
  <c r="T44" i="5"/>
  <c r="R45" i="5"/>
  <c r="T45" i="5"/>
  <c r="N44" i="5"/>
  <c r="P44" i="5"/>
  <c r="N45" i="5"/>
  <c r="P45" i="5"/>
  <c r="J44" i="5"/>
  <c r="L44" i="5"/>
  <c r="J45" i="5"/>
  <c r="L45" i="5"/>
  <c r="F44" i="5"/>
  <c r="H44" i="5"/>
  <c r="F45" i="5"/>
  <c r="H45" i="5"/>
  <c r="B45" i="5"/>
  <c r="D45" i="5"/>
  <c r="B44" i="5"/>
  <c r="D44" i="5"/>
  <c r="T108" i="11"/>
  <c r="M22" i="9"/>
  <c r="D17" i="9"/>
  <c r="N17" i="9" s="1"/>
  <c r="K23" i="9"/>
  <c r="M23" i="9" s="1" a="1"/>
  <c r="M23" i="9" s="1"/>
  <c r="V23" i="2"/>
  <c r="O23" i="9" s="1"/>
  <c r="K163" i="9"/>
  <c r="K22" i="2"/>
  <c r="L22" i="2"/>
  <c r="N22" i="2"/>
  <c r="M22" i="2"/>
  <c r="K93" i="9"/>
  <c r="J22" i="2"/>
  <c r="D21" i="9"/>
  <c r="N21" i="9" s="1"/>
  <c r="O22" i="2"/>
  <c r="A47" i="5" a="1"/>
  <c r="A47" i="5" s="1"/>
  <c r="AH47" i="5" s="1"/>
  <c r="AL45" i="5"/>
  <c r="AJ45" i="5"/>
  <c r="L24" i="9"/>
  <c r="I25" i="2"/>
  <c r="L94" i="9"/>
  <c r="L164" i="9"/>
  <c r="F16" i="9"/>
  <c r="G16" i="9" s="1"/>
  <c r="J16" i="9"/>
  <c r="Q16" i="9"/>
  <c r="P16" i="9" s="1"/>
  <c r="F20" i="9"/>
  <c r="G20" i="9" s="1"/>
  <c r="J20" i="9"/>
  <c r="Q20" i="9"/>
  <c r="P20" i="9" s="1"/>
  <c r="C217" i="9"/>
  <c r="Q217" i="9" s="1"/>
  <c r="P217" i="9" s="1"/>
  <c r="H7" i="8" a="1"/>
  <c r="H7" i="8" s="1"/>
  <c r="D217" i="9" s="1"/>
  <c r="G7" i="8"/>
  <c r="A46" i="5" a="1"/>
  <c r="A46" i="5" s="1"/>
  <c r="AH46" i="5" s="1"/>
  <c r="AL44" i="5"/>
  <c r="AJ44" i="5"/>
  <c r="W41" i="10"/>
  <c r="C218" i="9"/>
  <c r="Q218" i="9" s="1"/>
  <c r="P218" i="9" s="1"/>
  <c r="H8" i="8" a="1"/>
  <c r="H8" i="8" s="1"/>
  <c r="D218" i="9" s="1"/>
  <c r="G8" i="8"/>
  <c r="O162" i="9"/>
  <c r="O92" i="9"/>
  <c r="I22" i="9" a="1"/>
  <c r="I22" i="9" s="1"/>
  <c r="N23" i="2" a="1"/>
  <c r="U24" i="2"/>
  <c r="O23" i="2" a="1"/>
  <c r="Q24" i="2"/>
  <c r="M23" i="2" a="1"/>
  <c r="P24" i="2"/>
  <c r="J23" i="2" a="1"/>
  <c r="T24" i="2"/>
  <c r="L23" i="2" a="1"/>
  <c r="K23" i="2" a="1"/>
  <c r="S24" i="2"/>
  <c r="D22" i="9" a="1"/>
  <c r="R24" i="2"/>
  <c r="AD47" i="5" l="1"/>
  <c r="AF47" i="5"/>
  <c r="AD46" i="5"/>
  <c r="AF46" i="5"/>
  <c r="Z47" i="5"/>
  <c r="AB47" i="5"/>
  <c r="Z46" i="5"/>
  <c r="AB46" i="5"/>
  <c r="V46" i="5"/>
  <c r="X46" i="5"/>
  <c r="V47" i="5"/>
  <c r="X47" i="5"/>
  <c r="R47" i="5"/>
  <c r="T47" i="5"/>
  <c r="R46" i="5"/>
  <c r="T46" i="5"/>
  <c r="N47" i="5"/>
  <c r="P47" i="5"/>
  <c r="N46" i="5"/>
  <c r="P46" i="5"/>
  <c r="J47" i="5"/>
  <c r="L47" i="5"/>
  <c r="J46" i="5"/>
  <c r="L46" i="5"/>
  <c r="F46" i="5"/>
  <c r="H46" i="5"/>
  <c r="F47" i="5"/>
  <c r="H47" i="5"/>
  <c r="B47" i="5"/>
  <c r="D47" i="5"/>
  <c r="B46" i="5"/>
  <c r="D46" i="5"/>
  <c r="K164" i="9"/>
  <c r="D22" i="9"/>
  <c r="N22" i="9" s="1"/>
  <c r="K23" i="2"/>
  <c r="L23" i="2"/>
  <c r="J23" i="2"/>
  <c r="K24" i="9"/>
  <c r="V24" i="2"/>
  <c r="O24" i="9" s="1"/>
  <c r="M23" i="2"/>
  <c r="K94" i="9"/>
  <c r="O23" i="2"/>
  <c r="N23" i="2"/>
  <c r="J217" i="9"/>
  <c r="J7" i="8"/>
  <c r="AE1" i="10"/>
  <c r="L25" i="9"/>
  <c r="I26" i="2"/>
  <c r="L95" i="9"/>
  <c r="L165" i="9"/>
  <c r="AL47" i="5"/>
  <c r="AJ47" i="5"/>
  <c r="A49" i="5" a="1"/>
  <c r="A49" i="5" s="1"/>
  <c r="AH49" i="5" s="1"/>
  <c r="O163" i="9"/>
  <c r="O93" i="9"/>
  <c r="I23" i="9" a="1"/>
  <c r="I23" i="9" s="1"/>
  <c r="E23" i="9" s="1"/>
  <c r="J218" i="9"/>
  <c r="J8" i="8"/>
  <c r="F21" i="9"/>
  <c r="G21" i="9" s="1"/>
  <c r="Q21" i="9"/>
  <c r="P21" i="9" s="1"/>
  <c r="J21" i="9"/>
  <c r="AJ46" i="5"/>
  <c r="A48" i="5" a="1"/>
  <c r="A48" i="5" s="1"/>
  <c r="AH48" i="5" s="1"/>
  <c r="AL46" i="5"/>
  <c r="J17" i="9"/>
  <c r="Q17" i="9"/>
  <c r="P17" i="9" s="1"/>
  <c r="F17" i="9"/>
  <c r="G17" i="9" s="1"/>
  <c r="M24" i="9" a="1"/>
  <c r="R25" i="2"/>
  <c r="L24" i="2" a="1"/>
  <c r="P25" i="2"/>
  <c r="J24" i="2" a="1"/>
  <c r="U25" i="2"/>
  <c r="D23" i="9" a="1"/>
  <c r="M24" i="2" a="1"/>
  <c r="T25" i="2"/>
  <c r="Q25" i="2"/>
  <c r="K24" i="2" a="1"/>
  <c r="N24" i="2" a="1"/>
  <c r="O24" i="2" a="1"/>
  <c r="S25" i="2"/>
  <c r="AD49" i="5" l="1"/>
  <c r="AF49" i="5"/>
  <c r="AD48" i="5"/>
  <c r="AF48" i="5"/>
  <c r="Z48" i="5"/>
  <c r="AB48" i="5"/>
  <c r="Z49" i="5"/>
  <c r="AB49" i="5"/>
  <c r="V49" i="5"/>
  <c r="X49" i="5"/>
  <c r="V48" i="5"/>
  <c r="X48" i="5"/>
  <c r="R48" i="5"/>
  <c r="T48" i="5"/>
  <c r="R49" i="5"/>
  <c r="T49" i="5"/>
  <c r="N49" i="5"/>
  <c r="P49" i="5"/>
  <c r="N48" i="5"/>
  <c r="P48" i="5"/>
  <c r="J48" i="5"/>
  <c r="L48" i="5"/>
  <c r="J49" i="5"/>
  <c r="L49" i="5"/>
  <c r="F49" i="5"/>
  <c r="H49" i="5"/>
  <c r="F48" i="5"/>
  <c r="H48" i="5"/>
  <c r="B48" i="5"/>
  <c r="D48" i="5"/>
  <c r="B49" i="5"/>
  <c r="D49" i="5"/>
  <c r="O24" i="2"/>
  <c r="N24" i="2"/>
  <c r="K24" i="2"/>
  <c r="K95" i="9"/>
  <c r="M24" i="2"/>
  <c r="D23" i="9"/>
  <c r="N23" i="9" s="1"/>
  <c r="J24" i="2"/>
  <c r="K25" i="9"/>
  <c r="V25" i="2"/>
  <c r="O25" i="9" s="1"/>
  <c r="L24" i="2"/>
  <c r="K165" i="9"/>
  <c r="M24" i="9"/>
  <c r="AL48" i="5"/>
  <c r="AJ48" i="5"/>
  <c r="A50" i="5" a="1"/>
  <c r="A50" i="5" s="1"/>
  <c r="AH50" i="5" s="1"/>
  <c r="L26" i="9"/>
  <c r="I27" i="2"/>
  <c r="L166" i="9"/>
  <c r="L96" i="9"/>
  <c r="AL49" i="5"/>
  <c r="AJ49" i="5"/>
  <c r="A51" i="5" a="1"/>
  <c r="A51" i="5" s="1"/>
  <c r="AH51" i="5" s="1"/>
  <c r="F22" i="9"/>
  <c r="G22" i="9" s="1"/>
  <c r="Q22" i="9"/>
  <c r="P22" i="9" s="1"/>
  <c r="J22" i="9"/>
  <c r="AL1" i="10"/>
  <c r="O164" i="9"/>
  <c r="O94" i="9"/>
  <c r="I24" i="9" a="1"/>
  <c r="I24" i="9" s="1"/>
  <c r="M25" i="2" a="1"/>
  <c r="P26" i="2"/>
  <c r="O25" i="2" a="1"/>
  <c r="L25" i="2" a="1"/>
  <c r="D24" i="9" a="1"/>
  <c r="S26" i="2"/>
  <c r="M25" i="9" a="1"/>
  <c r="R26" i="2"/>
  <c r="K25" i="2" a="1"/>
  <c r="J25" i="2" a="1"/>
  <c r="T26" i="2"/>
  <c r="N25" i="2" a="1"/>
  <c r="U26" i="2"/>
  <c r="Q26" i="2"/>
  <c r="AD51" i="5" l="1"/>
  <c r="AF51" i="5"/>
  <c r="AD50" i="5"/>
  <c r="AF50" i="5"/>
  <c r="Z51" i="5"/>
  <c r="AB51" i="5"/>
  <c r="Z50" i="5"/>
  <c r="AB50" i="5"/>
  <c r="V51" i="5"/>
  <c r="X51" i="5"/>
  <c r="V50" i="5"/>
  <c r="X50" i="5"/>
  <c r="R51" i="5"/>
  <c r="T51" i="5"/>
  <c r="R50" i="5"/>
  <c r="T50" i="5"/>
  <c r="N51" i="5"/>
  <c r="P51" i="5"/>
  <c r="N50" i="5"/>
  <c r="P50" i="5"/>
  <c r="J51" i="5"/>
  <c r="L51" i="5"/>
  <c r="J50" i="5"/>
  <c r="L50" i="5"/>
  <c r="F51" i="5"/>
  <c r="H51" i="5"/>
  <c r="F50" i="5"/>
  <c r="H50" i="5"/>
  <c r="B50" i="5"/>
  <c r="D50" i="5"/>
  <c r="B51" i="5"/>
  <c r="D51" i="5"/>
  <c r="K96" i="9"/>
  <c r="N25" i="2"/>
  <c r="J25" i="2"/>
  <c r="K25" i="2"/>
  <c r="K166" i="9"/>
  <c r="M25" i="9"/>
  <c r="D24" i="9"/>
  <c r="N24" i="9" s="1"/>
  <c r="L25" i="2"/>
  <c r="O25" i="2"/>
  <c r="K26" i="9"/>
  <c r="V26" i="2"/>
  <c r="O26" i="9" s="1"/>
  <c r="M25" i="2"/>
  <c r="A53" i="5" a="1"/>
  <c r="A53" i="5" s="1"/>
  <c r="AH53" i="5" s="1"/>
  <c r="AL51" i="5"/>
  <c r="AJ51" i="5"/>
  <c r="AE9" i="10"/>
  <c r="A52" i="5" a="1"/>
  <c r="A52" i="5" s="1"/>
  <c r="AH52" i="5" s="1"/>
  <c r="AL50" i="5"/>
  <c r="AJ50" i="5"/>
  <c r="I28" i="2"/>
  <c r="L167" i="9"/>
  <c r="L97" i="9"/>
  <c r="L27" i="9"/>
  <c r="O165" i="9"/>
  <c r="O95" i="9"/>
  <c r="I25" i="9" a="1"/>
  <c r="I25" i="9" s="1"/>
  <c r="F23" i="9"/>
  <c r="G23" i="9" s="1"/>
  <c r="Q23" i="9"/>
  <c r="P23" i="9" s="1"/>
  <c r="J23" i="9"/>
  <c r="L26" i="2" a="1"/>
  <c r="J26" i="2" a="1"/>
  <c r="Q27" i="2"/>
  <c r="K26" i="2" a="1"/>
  <c r="O26" i="2" a="1"/>
  <c r="M26" i="2" a="1"/>
  <c r="S27" i="2"/>
  <c r="R27" i="2"/>
  <c r="T27" i="2"/>
  <c r="N26" i="2" a="1"/>
  <c r="P27" i="2"/>
  <c r="D25" i="9" a="1"/>
  <c r="M26" i="9" a="1"/>
  <c r="U27" i="2"/>
  <c r="AD52" i="5" l="1"/>
  <c r="AF52" i="5"/>
  <c r="AD53" i="5"/>
  <c r="AF53" i="5"/>
  <c r="Z52" i="5"/>
  <c r="AB52" i="5"/>
  <c r="Z53" i="5"/>
  <c r="AB53" i="5"/>
  <c r="V53" i="5"/>
  <c r="X53" i="5"/>
  <c r="V52" i="5"/>
  <c r="X52" i="5"/>
  <c r="R52" i="5"/>
  <c r="T52" i="5"/>
  <c r="R53" i="5"/>
  <c r="T53" i="5"/>
  <c r="N53" i="5"/>
  <c r="P53" i="5"/>
  <c r="N52" i="5"/>
  <c r="P52" i="5"/>
  <c r="J53" i="5"/>
  <c r="L53" i="5"/>
  <c r="J52" i="5"/>
  <c r="L52" i="5"/>
  <c r="F53" i="5"/>
  <c r="H53" i="5"/>
  <c r="F52" i="5"/>
  <c r="H52" i="5"/>
  <c r="B52" i="5"/>
  <c r="D52" i="5"/>
  <c r="B53" i="5"/>
  <c r="D53" i="5"/>
  <c r="M26" i="9"/>
  <c r="D25" i="9"/>
  <c r="N25" i="9" s="1"/>
  <c r="K27" i="9"/>
  <c r="V27" i="2"/>
  <c r="O27" i="9" s="1"/>
  <c r="N26" i="2"/>
  <c r="K167" i="9"/>
  <c r="M26" i="2"/>
  <c r="O26" i="2"/>
  <c r="K26" i="2"/>
  <c r="K97" i="9"/>
  <c r="J26" i="2"/>
  <c r="L26" i="2"/>
  <c r="A54" i="5" a="1"/>
  <c r="A54" i="5" s="1"/>
  <c r="AH54" i="5" s="1"/>
  <c r="AL52" i="5"/>
  <c r="AJ52" i="5"/>
  <c r="L98" i="9"/>
  <c r="L28" i="9"/>
  <c r="I29" i="2"/>
  <c r="L168" i="9"/>
  <c r="O166" i="9"/>
  <c r="O96" i="9"/>
  <c r="I26" i="9" a="1"/>
  <c r="I26" i="9" s="1"/>
  <c r="AL9" i="10"/>
  <c r="F24" i="9"/>
  <c r="G24" i="9" s="1"/>
  <c r="J24" i="9"/>
  <c r="Q24" i="9"/>
  <c r="P24" i="9" s="1"/>
  <c r="A55" i="5" a="1"/>
  <c r="A55" i="5" s="1"/>
  <c r="AH55" i="5" s="1"/>
  <c r="AL53" i="5"/>
  <c r="AJ53" i="5"/>
  <c r="O27" i="2" a="1"/>
  <c r="K27" i="2" a="1"/>
  <c r="L27" i="2" a="1"/>
  <c r="D26" i="9" a="1"/>
  <c r="T28" i="2"/>
  <c r="M27" i="9" a="1"/>
  <c r="M27" i="2" a="1"/>
  <c r="S28" i="2"/>
  <c r="R28" i="2"/>
  <c r="P28" i="2"/>
  <c r="J27" i="2" a="1"/>
  <c r="Q28" i="2"/>
  <c r="N27" i="2" a="1"/>
  <c r="U28" i="2"/>
  <c r="AD55" i="5" l="1"/>
  <c r="AF55" i="5"/>
  <c r="AD54" i="5"/>
  <c r="AF54" i="5"/>
  <c r="Z55" i="5"/>
  <c r="AB55" i="5"/>
  <c r="Z54" i="5"/>
  <c r="AB54" i="5"/>
  <c r="V54" i="5"/>
  <c r="X54" i="5"/>
  <c r="V55" i="5"/>
  <c r="X55" i="5"/>
  <c r="R55" i="5"/>
  <c r="T55" i="5"/>
  <c r="R54" i="5"/>
  <c r="T54" i="5"/>
  <c r="N55" i="5"/>
  <c r="P55" i="5"/>
  <c r="N54" i="5"/>
  <c r="P54" i="5"/>
  <c r="J55" i="5"/>
  <c r="L55" i="5"/>
  <c r="J54" i="5"/>
  <c r="L54" i="5"/>
  <c r="F54" i="5"/>
  <c r="H54" i="5"/>
  <c r="F55" i="5"/>
  <c r="H55" i="5"/>
  <c r="B54" i="5"/>
  <c r="D54" i="5"/>
  <c r="B55" i="5"/>
  <c r="D55" i="5"/>
  <c r="N27" i="2"/>
  <c r="K98" i="9"/>
  <c r="J27" i="2"/>
  <c r="K28" i="9"/>
  <c r="V28" i="2"/>
  <c r="O28" i="9" s="1"/>
  <c r="K168" i="9"/>
  <c r="M27" i="2"/>
  <c r="M27" i="9"/>
  <c r="D26" i="9"/>
  <c r="N26" i="9" s="1"/>
  <c r="L27" i="2"/>
  <c r="K27" i="2"/>
  <c r="O27" i="2"/>
  <c r="O167" i="9"/>
  <c r="O97" i="9"/>
  <c r="I27" i="9" a="1"/>
  <c r="I27" i="9" s="1"/>
  <c r="AJ54" i="5"/>
  <c r="A56" i="5" a="1"/>
  <c r="A56" i="5" s="1"/>
  <c r="AL54" i="5"/>
  <c r="F25" i="9"/>
  <c r="G25" i="9" s="1"/>
  <c r="J25" i="9"/>
  <c r="Q25" i="9"/>
  <c r="P25" i="9" s="1"/>
  <c r="I30" i="2"/>
  <c r="L29" i="9"/>
  <c r="L169" i="9"/>
  <c r="L99" i="9"/>
  <c r="AL55" i="5"/>
  <c r="AJ55" i="5"/>
  <c r="A57" i="5" a="1"/>
  <c r="A57" i="5" s="1"/>
  <c r="AE17" i="10"/>
  <c r="O28" i="2" a="1"/>
  <c r="R29" i="2"/>
  <c r="Q29" i="2"/>
  <c r="L28" i="2" a="1"/>
  <c r="P29" i="2"/>
  <c r="T29" i="2"/>
  <c r="M28" i="2" a="1"/>
  <c r="U29" i="2"/>
  <c r="S29" i="2"/>
  <c r="K28" i="2" a="1"/>
  <c r="D27" i="9" a="1"/>
  <c r="M28" i="9" a="1"/>
  <c r="N28" i="2" a="1"/>
  <c r="J28" i="2" a="1"/>
  <c r="AF57" i="5" l="1"/>
  <c r="AH57" i="5"/>
  <c r="AF56" i="5"/>
  <c r="AH56" i="5"/>
  <c r="AB57" i="5"/>
  <c r="AD57" i="5"/>
  <c r="AB56" i="5"/>
  <c r="AD56" i="5"/>
  <c r="X56" i="5"/>
  <c r="Z56" i="5"/>
  <c r="X57" i="5"/>
  <c r="Z57" i="5"/>
  <c r="T57" i="5"/>
  <c r="V57" i="5"/>
  <c r="T56" i="5"/>
  <c r="V56" i="5"/>
  <c r="P57" i="5"/>
  <c r="R57" i="5"/>
  <c r="P56" i="5"/>
  <c r="R56" i="5"/>
  <c r="L56" i="5"/>
  <c r="N56" i="5"/>
  <c r="L57" i="5"/>
  <c r="N57" i="5"/>
  <c r="H56" i="5"/>
  <c r="J56" i="5"/>
  <c r="H57" i="5"/>
  <c r="J57" i="5"/>
  <c r="D56" i="5"/>
  <c r="F56" i="5"/>
  <c r="D57" i="5"/>
  <c r="F57" i="5"/>
  <c r="E1" i="11"/>
  <c r="P1" i="11" s="1"/>
  <c r="B56" i="5"/>
  <c r="F1" i="11"/>
  <c r="B57" i="5"/>
  <c r="J28" i="2"/>
  <c r="N28" i="2"/>
  <c r="M28" i="9"/>
  <c r="D27" i="9"/>
  <c r="N27" i="9" s="1"/>
  <c r="K28" i="2"/>
  <c r="M28" i="2"/>
  <c r="K29" i="9"/>
  <c r="V29" i="2"/>
  <c r="O29" i="9" s="1"/>
  <c r="L28" i="2"/>
  <c r="K99" i="9"/>
  <c r="K169" i="9"/>
  <c r="O28" i="2"/>
  <c r="I31" i="2"/>
  <c r="L170" i="9"/>
  <c r="L30" i="9"/>
  <c r="L100" i="9"/>
  <c r="J26" i="9"/>
  <c r="F26" i="9"/>
  <c r="G26" i="9" s="1"/>
  <c r="Q26" i="9"/>
  <c r="P26" i="9" s="1"/>
  <c r="O168" i="9"/>
  <c r="O98" i="9"/>
  <c r="I28" i="9" a="1"/>
  <c r="I28" i="9" s="1"/>
  <c r="AL57" i="5"/>
  <c r="AJ57" i="5"/>
  <c r="A59" i="5" a="1"/>
  <c r="A59" i="5" s="1"/>
  <c r="L1" i="11"/>
  <c r="AL17" i="10"/>
  <c r="AL56" i="5"/>
  <c r="AJ56" i="5"/>
  <c r="A58" i="5" a="1"/>
  <c r="A58" i="5" s="1"/>
  <c r="D28" i="9" a="1"/>
  <c r="N29" i="2" a="1"/>
  <c r="S30" i="2"/>
  <c r="M29" i="9" a="1"/>
  <c r="L29" i="2" a="1"/>
  <c r="R30" i="2"/>
  <c r="J29" i="2" a="1"/>
  <c r="T30" i="2"/>
  <c r="P30" i="2"/>
  <c r="M29" i="2" a="1"/>
  <c r="Q30" i="2"/>
  <c r="O29" i="2" a="1"/>
  <c r="U30" i="2"/>
  <c r="K29" i="2" a="1"/>
  <c r="AF59" i="5" l="1"/>
  <c r="AH59" i="5"/>
  <c r="AF58" i="5"/>
  <c r="AH58" i="5"/>
  <c r="AB59" i="5"/>
  <c r="AD59" i="5"/>
  <c r="AB58" i="5"/>
  <c r="AD58" i="5"/>
  <c r="X58" i="5"/>
  <c r="Z58" i="5"/>
  <c r="X59" i="5"/>
  <c r="Z59" i="5"/>
  <c r="T59" i="5"/>
  <c r="V59" i="5"/>
  <c r="T58" i="5"/>
  <c r="V58" i="5"/>
  <c r="P58" i="5"/>
  <c r="R58" i="5"/>
  <c r="P59" i="5"/>
  <c r="R59" i="5"/>
  <c r="L58" i="5"/>
  <c r="N58" i="5"/>
  <c r="L59" i="5"/>
  <c r="N59" i="5"/>
  <c r="H58" i="5"/>
  <c r="J58" i="5"/>
  <c r="H59" i="5"/>
  <c r="J59" i="5"/>
  <c r="D59" i="5"/>
  <c r="F59" i="5"/>
  <c r="D58" i="5"/>
  <c r="F58" i="5"/>
  <c r="E8" i="11"/>
  <c r="B58" i="5"/>
  <c r="F8" i="11"/>
  <c r="B59" i="5"/>
  <c r="F6" i="11"/>
  <c r="F7" i="11"/>
  <c r="E6" i="11"/>
  <c r="E7" i="11"/>
  <c r="K29" i="2"/>
  <c r="O29" i="2"/>
  <c r="K100" i="9"/>
  <c r="M29" i="2"/>
  <c r="K30" i="9"/>
  <c r="V30" i="2"/>
  <c r="O30" i="9" s="1"/>
  <c r="J29" i="2"/>
  <c r="K170" i="9"/>
  <c r="L29" i="2"/>
  <c r="M29" i="9"/>
  <c r="N29" i="2"/>
  <c r="D28" i="9"/>
  <c r="N28" i="9" s="1"/>
  <c r="AE25" i="10"/>
  <c r="F27" i="9"/>
  <c r="G27" i="9" s="1"/>
  <c r="J27" i="9"/>
  <c r="Q27" i="9"/>
  <c r="P27" i="9" s="1"/>
  <c r="I32" i="2"/>
  <c r="L101" i="9"/>
  <c r="L31" i="9"/>
  <c r="L171" i="9"/>
  <c r="O169" i="9"/>
  <c r="O99" i="9"/>
  <c r="I29" i="9" a="1"/>
  <c r="I29" i="9" s="1"/>
  <c r="A61" i="5" a="1"/>
  <c r="A61" i="5" s="1"/>
  <c r="L6" i="11"/>
  <c r="AL59" i="5"/>
  <c r="AJ59" i="5"/>
  <c r="A60" i="5" a="1"/>
  <c r="A60" i="5" s="1"/>
  <c r="AL58" i="5"/>
  <c r="AJ58" i="5"/>
  <c r="J30" i="2" a="1"/>
  <c r="Q31" i="2"/>
  <c r="O30" i="2" a="1"/>
  <c r="N30" i="2" a="1"/>
  <c r="U31" i="2"/>
  <c r="D29" i="9" a="1"/>
  <c r="T31" i="2"/>
  <c r="P31" i="2"/>
  <c r="S31" i="2"/>
  <c r="M30" i="2" a="1"/>
  <c r="K30" i="2" a="1"/>
  <c r="L30" i="2" a="1"/>
  <c r="M30" i="9" a="1"/>
  <c r="R31" i="2"/>
  <c r="AF61" i="5" l="1"/>
  <c r="AH61" i="5"/>
  <c r="AF60" i="5"/>
  <c r="AH60" i="5"/>
  <c r="AB60" i="5"/>
  <c r="AD60" i="5"/>
  <c r="AB61" i="5"/>
  <c r="AD61" i="5"/>
  <c r="X61" i="5"/>
  <c r="Z61" i="5"/>
  <c r="X60" i="5"/>
  <c r="Z60" i="5"/>
  <c r="T61" i="5"/>
  <c r="V61" i="5"/>
  <c r="T60" i="5"/>
  <c r="V60" i="5"/>
  <c r="P61" i="5"/>
  <c r="R61" i="5"/>
  <c r="P60" i="5"/>
  <c r="R60" i="5"/>
  <c r="L60" i="5"/>
  <c r="N60" i="5"/>
  <c r="L61" i="5"/>
  <c r="N61" i="5"/>
  <c r="H61" i="5"/>
  <c r="J61" i="5"/>
  <c r="H60" i="5"/>
  <c r="J60" i="5"/>
  <c r="D61" i="5"/>
  <c r="F61" i="5"/>
  <c r="D60" i="5"/>
  <c r="F60" i="5"/>
  <c r="E2" i="11"/>
  <c r="P2" i="11" s="1"/>
  <c r="B60" i="5"/>
  <c r="F2" i="11"/>
  <c r="B61" i="5"/>
  <c r="K171" i="9"/>
  <c r="M30" i="9"/>
  <c r="L30" i="2"/>
  <c r="K30" i="2"/>
  <c r="M30" i="2"/>
  <c r="K31" i="9"/>
  <c r="V31" i="2"/>
  <c r="O31" i="9" s="1"/>
  <c r="D29" i="9"/>
  <c r="N29" i="9" s="1"/>
  <c r="N30" i="2"/>
  <c r="O30" i="2"/>
  <c r="K101" i="9"/>
  <c r="J30" i="2"/>
  <c r="O170" i="9"/>
  <c r="O100" i="9"/>
  <c r="I30" i="9" a="1"/>
  <c r="I30" i="9" s="1"/>
  <c r="L32" i="9"/>
  <c r="I33" i="2"/>
  <c r="L102" i="9"/>
  <c r="L172" i="9"/>
  <c r="A63" i="5" a="1"/>
  <c r="A63" i="5" s="1"/>
  <c r="AH63" i="5" s="1"/>
  <c r="L2" i="11"/>
  <c r="AL61" i="5"/>
  <c r="AJ61" i="5"/>
  <c r="AL25" i="10"/>
  <c r="A62" i="5" a="1"/>
  <c r="A62" i="5" s="1"/>
  <c r="AH62" i="5" s="1"/>
  <c r="AL60" i="5"/>
  <c r="AJ60" i="5"/>
  <c r="F28" i="9"/>
  <c r="G28" i="9" s="1"/>
  <c r="J28" i="9"/>
  <c r="Q28" i="9"/>
  <c r="P28" i="9" s="1"/>
  <c r="M31" i="9" a="1"/>
  <c r="R32" i="2"/>
  <c r="L31" i="2" a="1"/>
  <c r="K31" i="2" a="1"/>
  <c r="J31" i="2" a="1"/>
  <c r="D30" i="9" a="1"/>
  <c r="T32" i="2"/>
  <c r="N31" i="2" a="1"/>
  <c r="S32" i="2"/>
  <c r="U32" i="2"/>
  <c r="O31" i="2" a="1"/>
  <c r="Q32" i="2"/>
  <c r="P32" i="2"/>
  <c r="M31" i="2" a="1"/>
  <c r="AD62" i="5" l="1"/>
  <c r="AF62" i="5"/>
  <c r="AD63" i="5"/>
  <c r="AF63" i="5"/>
  <c r="Z63" i="5"/>
  <c r="AB63" i="5"/>
  <c r="Z62" i="5"/>
  <c r="AB62" i="5"/>
  <c r="V62" i="5"/>
  <c r="X62" i="5"/>
  <c r="V63" i="5"/>
  <c r="X63" i="5"/>
  <c r="R63" i="5"/>
  <c r="T63" i="5"/>
  <c r="R62" i="5"/>
  <c r="T62" i="5"/>
  <c r="N63" i="5"/>
  <c r="P63" i="5"/>
  <c r="N62" i="5"/>
  <c r="P62" i="5"/>
  <c r="J63" i="5"/>
  <c r="L63" i="5"/>
  <c r="J62" i="5"/>
  <c r="L62" i="5"/>
  <c r="F63" i="5"/>
  <c r="H63" i="5"/>
  <c r="F62" i="5"/>
  <c r="H62" i="5"/>
  <c r="B62" i="5"/>
  <c r="D62" i="5"/>
  <c r="B63" i="5"/>
  <c r="D63" i="5"/>
  <c r="M31" i="2"/>
  <c r="K32" i="9"/>
  <c r="V32" i="2"/>
  <c r="O32" i="9" s="1"/>
  <c r="K102" i="9"/>
  <c r="O31" i="2"/>
  <c r="N31" i="2"/>
  <c r="D30" i="9"/>
  <c r="N30" i="9" s="1"/>
  <c r="J31" i="2"/>
  <c r="K31" i="2"/>
  <c r="L31" i="2"/>
  <c r="K172" i="9"/>
  <c r="M31" i="9"/>
  <c r="AJ62" i="5"/>
  <c r="A64" i="5" a="1"/>
  <c r="A64" i="5" s="1"/>
  <c r="AH64" i="5" s="1"/>
  <c r="AL62" i="5"/>
  <c r="Q29" i="9"/>
  <c r="P29" i="9" s="1"/>
  <c r="F29" i="9"/>
  <c r="G29" i="9" s="1"/>
  <c r="J29" i="9"/>
  <c r="AL63" i="5"/>
  <c r="AJ63" i="5"/>
  <c r="A65" i="5" a="1"/>
  <c r="A65" i="5" s="1"/>
  <c r="AH65" i="5" s="1"/>
  <c r="AE33" i="10"/>
  <c r="L33" i="9"/>
  <c r="I34" i="2"/>
  <c r="L173" i="9"/>
  <c r="L103" i="9"/>
  <c r="O171" i="9"/>
  <c r="O101" i="9"/>
  <c r="I31" i="9" a="1"/>
  <c r="I31" i="9" s="1"/>
  <c r="M32" i="2" a="1"/>
  <c r="L32" i="2" a="1"/>
  <c r="R33" i="2"/>
  <c r="M32" i="9" a="1"/>
  <c r="P33" i="2"/>
  <c r="N32" i="2" a="1"/>
  <c r="J32" i="2" a="1"/>
  <c r="Q33" i="2"/>
  <c r="D31" i="9" a="1"/>
  <c r="U33" i="2"/>
  <c r="K32" i="2" a="1"/>
  <c r="T33" i="2"/>
  <c r="O32" i="2" a="1"/>
  <c r="S33" i="2"/>
  <c r="AD65" i="5" l="1"/>
  <c r="AF65" i="5"/>
  <c r="AD64" i="5"/>
  <c r="AF64" i="5"/>
  <c r="Z65" i="5"/>
  <c r="AB65" i="5"/>
  <c r="Z64" i="5"/>
  <c r="AB64" i="5"/>
  <c r="V64" i="5"/>
  <c r="X64" i="5"/>
  <c r="V65" i="5"/>
  <c r="X65" i="5"/>
  <c r="R65" i="5"/>
  <c r="T65" i="5"/>
  <c r="R64" i="5"/>
  <c r="T64" i="5"/>
  <c r="N64" i="5"/>
  <c r="P64" i="5"/>
  <c r="N65" i="5"/>
  <c r="P65" i="5"/>
  <c r="J64" i="5"/>
  <c r="L64" i="5"/>
  <c r="J65" i="5"/>
  <c r="L65" i="5"/>
  <c r="F65" i="5"/>
  <c r="H65" i="5"/>
  <c r="F64" i="5"/>
  <c r="H64" i="5"/>
  <c r="B64" i="5"/>
  <c r="D64" i="5"/>
  <c r="B65" i="5"/>
  <c r="D65" i="5"/>
  <c r="O32" i="2"/>
  <c r="K32" i="2"/>
  <c r="D31" i="9"/>
  <c r="N31" i="9" s="1"/>
  <c r="K103" i="9"/>
  <c r="J32" i="2"/>
  <c r="N32" i="2"/>
  <c r="K33" i="9"/>
  <c r="V33" i="2"/>
  <c r="O33" i="9" s="1"/>
  <c r="M32" i="9"/>
  <c r="K173" i="9"/>
  <c r="L32" i="2"/>
  <c r="M32" i="2"/>
  <c r="AL65" i="5"/>
  <c r="AJ65" i="5"/>
  <c r="A67" i="5" a="1"/>
  <c r="A67" i="5" s="1"/>
  <c r="AH67" i="5" s="1"/>
  <c r="AL33" i="10"/>
  <c r="F30" i="9"/>
  <c r="G30" i="9" s="1"/>
  <c r="J30" i="9"/>
  <c r="Q30" i="9"/>
  <c r="P30" i="9" s="1"/>
  <c r="L34" i="9"/>
  <c r="I35" i="2"/>
  <c r="L104" i="9"/>
  <c r="L174" i="9"/>
  <c r="O172" i="9"/>
  <c r="O102" i="9"/>
  <c r="I32" i="9" a="1"/>
  <c r="I32" i="9" s="1"/>
  <c r="AL64" i="5"/>
  <c r="AJ64" i="5"/>
  <c r="A66" i="5" a="1"/>
  <c r="A66" i="5" s="1"/>
  <c r="AH66" i="5" s="1"/>
  <c r="M33" i="2" a="1"/>
  <c r="K33" i="2" a="1"/>
  <c r="L33" i="2" a="1"/>
  <c r="T34" i="2"/>
  <c r="D32" i="9" a="1"/>
  <c r="S34" i="2"/>
  <c r="N33" i="2" a="1"/>
  <c r="R34" i="2"/>
  <c r="M33" i="9" a="1"/>
  <c r="P34" i="2"/>
  <c r="Q34" i="2"/>
  <c r="O33" i="2" a="1"/>
  <c r="J33" i="2" a="1"/>
  <c r="U34" i="2"/>
  <c r="AD66" i="5" l="1"/>
  <c r="AF66" i="5"/>
  <c r="AD67" i="5"/>
  <c r="AF67" i="5"/>
  <c r="Z67" i="5"/>
  <c r="AB67" i="5"/>
  <c r="Z66" i="5"/>
  <c r="AB66" i="5"/>
  <c r="V66" i="5"/>
  <c r="X66" i="5"/>
  <c r="V67" i="5"/>
  <c r="X67" i="5"/>
  <c r="R66" i="5"/>
  <c r="T66" i="5"/>
  <c r="R67" i="5"/>
  <c r="T67" i="5"/>
  <c r="N67" i="5"/>
  <c r="P67" i="5"/>
  <c r="N66" i="5"/>
  <c r="P66" i="5"/>
  <c r="J67" i="5"/>
  <c r="L67" i="5"/>
  <c r="J66" i="5"/>
  <c r="L66" i="5"/>
  <c r="F66" i="5"/>
  <c r="H66" i="5"/>
  <c r="F67" i="5"/>
  <c r="H67" i="5"/>
  <c r="B67" i="5"/>
  <c r="D67" i="5"/>
  <c r="B66" i="5"/>
  <c r="D66" i="5"/>
  <c r="J33" i="2"/>
  <c r="O33" i="2"/>
  <c r="K104" i="9"/>
  <c r="K34" i="9"/>
  <c r="V34" i="2"/>
  <c r="O34" i="9" s="1"/>
  <c r="M33" i="9"/>
  <c r="K174" i="9"/>
  <c r="N33" i="2"/>
  <c r="D32" i="9"/>
  <c r="N32" i="9" s="1"/>
  <c r="L33" i="2"/>
  <c r="K33" i="2"/>
  <c r="M33" i="2"/>
  <c r="I36" i="2"/>
  <c r="L35" i="9"/>
  <c r="L175" i="9"/>
  <c r="L105" i="9"/>
  <c r="F31" i="9"/>
  <c r="G31" i="9" s="1"/>
  <c r="J31" i="9"/>
  <c r="Q31" i="9"/>
  <c r="P31" i="9" s="1"/>
  <c r="A68" i="5" a="1"/>
  <c r="A68" i="5" s="1"/>
  <c r="AH68" i="5" s="1"/>
  <c r="AL66" i="5"/>
  <c r="AJ66" i="5"/>
  <c r="A69" i="5" a="1"/>
  <c r="A69" i="5" s="1"/>
  <c r="AH69" i="5" s="1"/>
  <c r="AL67" i="5"/>
  <c r="AJ67" i="5"/>
  <c r="O173" i="9"/>
  <c r="O103" i="9"/>
  <c r="I33" i="9" a="1"/>
  <c r="I33" i="9" s="1"/>
  <c r="AE41" i="10"/>
  <c r="O34" i="2" a="1"/>
  <c r="T35" i="2"/>
  <c r="D33" i="9" a="1"/>
  <c r="U35" i="2"/>
  <c r="L34" i="2" a="1"/>
  <c r="K34" i="2" a="1"/>
  <c r="M34" i="2" a="1"/>
  <c r="S35" i="2"/>
  <c r="M34" i="9" a="1"/>
  <c r="R35" i="2"/>
  <c r="N34" i="2" a="1"/>
  <c r="P35" i="2"/>
  <c r="J34" i="2" a="1"/>
  <c r="Q35" i="2"/>
  <c r="AD69" i="5" l="1"/>
  <c r="AF69" i="5"/>
  <c r="AD68" i="5"/>
  <c r="AF68" i="5"/>
  <c r="Z68" i="5"/>
  <c r="AB68" i="5"/>
  <c r="Z69" i="5"/>
  <c r="AB69" i="5"/>
  <c r="V69" i="5"/>
  <c r="X69" i="5"/>
  <c r="V68" i="5"/>
  <c r="X68" i="5"/>
  <c r="R68" i="5"/>
  <c r="T68" i="5"/>
  <c r="R69" i="5"/>
  <c r="T69" i="5"/>
  <c r="N69" i="5"/>
  <c r="P69" i="5"/>
  <c r="N68" i="5"/>
  <c r="P68" i="5"/>
  <c r="J68" i="5"/>
  <c r="L68" i="5"/>
  <c r="J69" i="5"/>
  <c r="L69" i="5"/>
  <c r="F69" i="5"/>
  <c r="H69" i="5"/>
  <c r="F68" i="5"/>
  <c r="H68" i="5"/>
  <c r="B68" i="5"/>
  <c r="D68" i="5"/>
  <c r="B69" i="5"/>
  <c r="D69" i="5"/>
  <c r="K105" i="9"/>
  <c r="J34" i="2"/>
  <c r="K35" i="9"/>
  <c r="V35" i="2"/>
  <c r="O35" i="9" s="1"/>
  <c r="N34" i="2"/>
  <c r="K175" i="9"/>
  <c r="M34" i="9"/>
  <c r="M34" i="2"/>
  <c r="K34" i="2"/>
  <c r="L34" i="2"/>
  <c r="D33" i="9"/>
  <c r="N33" i="9" s="1"/>
  <c r="O34" i="2"/>
  <c r="A70" i="5" a="1"/>
  <c r="A70" i="5" s="1"/>
  <c r="AH70" i="5" s="1"/>
  <c r="AL68" i="5"/>
  <c r="AJ68" i="5"/>
  <c r="O174" i="9"/>
  <c r="O104" i="9"/>
  <c r="I34" i="9" a="1"/>
  <c r="I34" i="9" s="1"/>
  <c r="J32" i="9"/>
  <c r="F32" i="9"/>
  <c r="G32" i="9" s="1"/>
  <c r="Q32" i="9"/>
  <c r="P32" i="9" s="1"/>
  <c r="A71" i="5" a="1"/>
  <c r="A71" i="5" s="1"/>
  <c r="AH71" i="5" s="1"/>
  <c r="AL69" i="5"/>
  <c r="AJ69" i="5"/>
  <c r="AL41" i="10"/>
  <c r="L36" i="9"/>
  <c r="I37" i="2"/>
  <c r="L106" i="9"/>
  <c r="L176" i="9"/>
  <c r="M105" i="9" a="1"/>
  <c r="L35" i="2" a="1"/>
  <c r="K35" i="2" a="1"/>
  <c r="N35" i="2" a="1"/>
  <c r="P36" i="2"/>
  <c r="S36" i="2"/>
  <c r="D34" i="9" a="1"/>
  <c r="M35" i="2" a="1"/>
  <c r="U36" i="2"/>
  <c r="R36" i="2"/>
  <c r="M35" i="9" a="1"/>
  <c r="Q36" i="2"/>
  <c r="T36" i="2"/>
  <c r="J35" i="2" a="1"/>
  <c r="O35" i="2" a="1"/>
  <c r="AD71" i="5" l="1"/>
  <c r="AF71" i="5"/>
  <c r="AD70" i="5"/>
  <c r="AF70" i="5"/>
  <c r="Z71" i="5"/>
  <c r="AB71" i="5"/>
  <c r="Z70" i="5"/>
  <c r="AB70" i="5"/>
  <c r="V71" i="5"/>
  <c r="X71" i="5"/>
  <c r="V70" i="5"/>
  <c r="X70" i="5"/>
  <c r="R70" i="5"/>
  <c r="T70" i="5"/>
  <c r="R71" i="5"/>
  <c r="T71" i="5"/>
  <c r="N71" i="5"/>
  <c r="P71" i="5"/>
  <c r="N70" i="5"/>
  <c r="P70" i="5"/>
  <c r="J71" i="5"/>
  <c r="L71" i="5"/>
  <c r="J70" i="5"/>
  <c r="L70" i="5"/>
  <c r="F70" i="5"/>
  <c r="H70" i="5"/>
  <c r="F71" i="5"/>
  <c r="H71" i="5"/>
  <c r="B70" i="5"/>
  <c r="D70" i="5"/>
  <c r="B71" i="5"/>
  <c r="D71" i="5"/>
  <c r="O35" i="2"/>
  <c r="J35" i="2"/>
  <c r="K106" i="9"/>
  <c r="M35" i="9"/>
  <c r="K176" i="9"/>
  <c r="M35" i="2"/>
  <c r="D34" i="9"/>
  <c r="N34" i="9" s="1"/>
  <c r="K36" i="9"/>
  <c r="V36" i="2"/>
  <c r="O36" i="9" s="1"/>
  <c r="N35" i="2"/>
  <c r="K35" i="2"/>
  <c r="L35" i="2"/>
  <c r="M105" i="9"/>
  <c r="AL71" i="5"/>
  <c r="AJ71" i="5"/>
  <c r="A73" i="5" a="1"/>
  <c r="A73" i="5" s="1"/>
  <c r="AH73" i="5" s="1"/>
  <c r="L37" i="9"/>
  <c r="I38" i="2"/>
  <c r="L107" i="9"/>
  <c r="L177" i="9"/>
  <c r="O175" i="9"/>
  <c r="O105" i="9"/>
  <c r="I105" i="9" s="1" a="1"/>
  <c r="I105" i="9" s="1"/>
  <c r="I35" i="9" a="1"/>
  <c r="I35" i="9" s="1"/>
  <c r="AT1" i="10"/>
  <c r="AJ70" i="5"/>
  <c r="A72" i="5" a="1"/>
  <c r="A72" i="5" s="1"/>
  <c r="AH72" i="5" s="1"/>
  <c r="AL70" i="5"/>
  <c r="F33" i="9"/>
  <c r="G33" i="9" s="1"/>
  <c r="J33" i="9"/>
  <c r="Q33" i="9"/>
  <c r="P33" i="9" s="1"/>
  <c r="O36" i="2" a="1"/>
  <c r="D105" i="9" a="1"/>
  <c r="P37" i="2"/>
  <c r="D35" i="9" a="1"/>
  <c r="N36" i="2" a="1"/>
  <c r="T37" i="2"/>
  <c r="M106" i="9" a="1"/>
  <c r="M36" i="2" a="1"/>
  <c r="Q37" i="2"/>
  <c r="K36" i="2" a="1"/>
  <c r="M36" i="9" a="1"/>
  <c r="U37" i="2"/>
  <c r="J36" i="2" a="1"/>
  <c r="S37" i="2"/>
  <c r="L36" i="2" a="1"/>
  <c r="R37" i="2"/>
  <c r="AD73" i="5" l="1"/>
  <c r="AF73" i="5"/>
  <c r="AD72" i="5"/>
  <c r="AF72" i="5"/>
  <c r="Z72" i="5"/>
  <c r="AB72" i="5"/>
  <c r="Z73" i="5"/>
  <c r="AB73" i="5"/>
  <c r="V72" i="5"/>
  <c r="X72" i="5"/>
  <c r="V73" i="5"/>
  <c r="X73" i="5"/>
  <c r="R73" i="5"/>
  <c r="T73" i="5"/>
  <c r="R72" i="5"/>
  <c r="T72" i="5"/>
  <c r="N72" i="5"/>
  <c r="P72" i="5"/>
  <c r="N73" i="5"/>
  <c r="P73" i="5"/>
  <c r="J73" i="5"/>
  <c r="L73" i="5"/>
  <c r="J72" i="5"/>
  <c r="L72" i="5"/>
  <c r="F72" i="5"/>
  <c r="H72" i="5"/>
  <c r="F73" i="5"/>
  <c r="H73" i="5"/>
  <c r="B72" i="5"/>
  <c r="D72" i="5"/>
  <c r="B73" i="5"/>
  <c r="D73" i="5"/>
  <c r="K177" i="9"/>
  <c r="L36" i="2"/>
  <c r="J36" i="2"/>
  <c r="M36" i="9"/>
  <c r="K36" i="2"/>
  <c r="K107" i="9"/>
  <c r="M36" i="2"/>
  <c r="M106" i="9"/>
  <c r="N36" i="2"/>
  <c r="D35" i="9"/>
  <c r="N35" i="9" s="1"/>
  <c r="K37" i="9"/>
  <c r="V37" i="2"/>
  <c r="O37" i="9" s="1"/>
  <c r="D105" i="9"/>
  <c r="N105" i="9" s="1"/>
  <c r="O36" i="2"/>
  <c r="O176" i="9"/>
  <c r="O106" i="9"/>
  <c r="I106" i="9" s="1" a="1"/>
  <c r="I106" i="9" s="1"/>
  <c r="I36" i="9" a="1"/>
  <c r="I36" i="9" s="1"/>
  <c r="F34" i="9"/>
  <c r="G34" i="9" s="1"/>
  <c r="Q34" i="9"/>
  <c r="P34" i="9" s="1"/>
  <c r="J34" i="9"/>
  <c r="AL72" i="5"/>
  <c r="AJ72" i="5"/>
  <c r="A74" i="5" a="1"/>
  <c r="A74" i="5" s="1"/>
  <c r="AH74" i="5" s="1"/>
  <c r="BA1" i="10"/>
  <c r="L38" i="9"/>
  <c r="I39" i="2"/>
  <c r="L108" i="9"/>
  <c r="L178" i="9"/>
  <c r="AL73" i="5"/>
  <c r="AJ73" i="5"/>
  <c r="A75" i="5" a="1"/>
  <c r="A75" i="5" s="1"/>
  <c r="AH75" i="5" s="1"/>
  <c r="D106" i="9" a="1"/>
  <c r="M37" i="9" a="1"/>
  <c r="L37" i="2" a="1"/>
  <c r="R38" i="2"/>
  <c r="K37" i="2" a="1"/>
  <c r="J37" i="2" a="1"/>
  <c r="M37" i="2" a="1"/>
  <c r="T38" i="2"/>
  <c r="S38" i="2"/>
  <c r="D36" i="9" a="1"/>
  <c r="N37" i="2" a="1"/>
  <c r="O37" i="2" a="1"/>
  <c r="U38" i="2"/>
  <c r="P38" i="2"/>
  <c r="Q38" i="2"/>
  <c r="AD75" i="5" l="1"/>
  <c r="AF75" i="5"/>
  <c r="AD74" i="5"/>
  <c r="AF74" i="5"/>
  <c r="Z74" i="5"/>
  <c r="AB74" i="5"/>
  <c r="Z75" i="5"/>
  <c r="AB75" i="5"/>
  <c r="V74" i="5"/>
  <c r="X74" i="5"/>
  <c r="V75" i="5"/>
  <c r="X75" i="5"/>
  <c r="R75" i="5"/>
  <c r="T75" i="5"/>
  <c r="R74" i="5"/>
  <c r="T74" i="5"/>
  <c r="N74" i="5"/>
  <c r="P74" i="5"/>
  <c r="N75" i="5"/>
  <c r="P75" i="5"/>
  <c r="J74" i="5"/>
  <c r="L74" i="5"/>
  <c r="J75" i="5"/>
  <c r="L75" i="5"/>
  <c r="F75" i="5"/>
  <c r="H75" i="5"/>
  <c r="F74" i="5"/>
  <c r="H74" i="5"/>
  <c r="B74" i="5"/>
  <c r="D74" i="5"/>
  <c r="B75" i="5"/>
  <c r="D75" i="5"/>
  <c r="K108" i="9"/>
  <c r="K38" i="9"/>
  <c r="V38" i="2"/>
  <c r="O38" i="9" s="1"/>
  <c r="O37" i="2"/>
  <c r="N37" i="2"/>
  <c r="D36" i="9"/>
  <c r="N36" i="9" s="1"/>
  <c r="M37" i="2"/>
  <c r="J37" i="2"/>
  <c r="K37" i="2"/>
  <c r="K178" i="9"/>
  <c r="L37" i="2"/>
  <c r="M37" i="9"/>
  <c r="D106" i="9"/>
  <c r="N106" i="9" s="1"/>
  <c r="A77" i="5" a="1"/>
  <c r="A77" i="5" s="1"/>
  <c r="AH77" i="5" s="1"/>
  <c r="AL75" i="5"/>
  <c r="AJ75" i="5"/>
  <c r="F35" i="9"/>
  <c r="G35" i="9" s="1"/>
  <c r="Q35" i="9"/>
  <c r="P35" i="9" s="1"/>
  <c r="J35" i="9"/>
  <c r="AT9" i="10"/>
  <c r="F105" i="9"/>
  <c r="G105" i="9" s="1"/>
  <c r="Q105" i="9"/>
  <c r="P105" i="9" s="1"/>
  <c r="J105" i="9"/>
  <c r="L39" i="9"/>
  <c r="I40" i="2"/>
  <c r="L179" i="9"/>
  <c r="L109" i="9"/>
  <c r="A76" i="5" a="1"/>
  <c r="A76" i="5" s="1"/>
  <c r="AH76" i="5" s="1"/>
  <c r="AL74" i="5"/>
  <c r="AJ74" i="5"/>
  <c r="O177" i="9"/>
  <c r="O107" i="9"/>
  <c r="I37" i="9" a="1"/>
  <c r="I37" i="9" s="1"/>
  <c r="M108" i="9" a="1"/>
  <c r="T39" i="2"/>
  <c r="K38" i="2" a="1"/>
  <c r="M38" i="2" a="1"/>
  <c r="Q39" i="2"/>
  <c r="M38" i="9" a="1"/>
  <c r="N38" i="2" a="1"/>
  <c r="S39" i="2"/>
  <c r="J38" i="2" a="1"/>
  <c r="D37" i="9" a="1"/>
  <c r="O38" i="2" a="1"/>
  <c r="R39" i="2"/>
  <c r="P39" i="2"/>
  <c r="L38" i="2" a="1"/>
  <c r="U39" i="2"/>
  <c r="AD76" i="5" l="1"/>
  <c r="AF76" i="5"/>
  <c r="AD77" i="5"/>
  <c r="AF77" i="5"/>
  <c r="Z77" i="5"/>
  <c r="AB77" i="5"/>
  <c r="Z76" i="5"/>
  <c r="AB76" i="5"/>
  <c r="V76" i="5"/>
  <c r="X76" i="5"/>
  <c r="V77" i="5"/>
  <c r="X77" i="5"/>
  <c r="R77" i="5"/>
  <c r="T77" i="5"/>
  <c r="R76" i="5"/>
  <c r="T76" i="5"/>
  <c r="N76" i="5"/>
  <c r="P76" i="5"/>
  <c r="N77" i="5"/>
  <c r="P77" i="5"/>
  <c r="J77" i="5"/>
  <c r="L77" i="5"/>
  <c r="J76" i="5"/>
  <c r="L76" i="5"/>
  <c r="F76" i="5"/>
  <c r="H76" i="5"/>
  <c r="F77" i="5"/>
  <c r="H77" i="5"/>
  <c r="B77" i="5"/>
  <c r="D77" i="5"/>
  <c r="B76" i="5"/>
  <c r="D76" i="5"/>
  <c r="L38" i="2"/>
  <c r="K39" i="9"/>
  <c r="V39" i="2"/>
  <c r="O39" i="9" s="1"/>
  <c r="K179" i="9"/>
  <c r="O38" i="2"/>
  <c r="D37" i="9"/>
  <c r="N37" i="9" s="1"/>
  <c r="J38" i="2"/>
  <c r="N38" i="2"/>
  <c r="M38" i="9"/>
  <c r="K109" i="9"/>
  <c r="M38" i="2"/>
  <c r="K38" i="2"/>
  <c r="M108" i="9"/>
  <c r="A78" i="5" a="1"/>
  <c r="A78" i="5" s="1"/>
  <c r="AH78" i="5" s="1"/>
  <c r="AL76" i="5"/>
  <c r="AJ76" i="5"/>
  <c r="A79" i="5" a="1"/>
  <c r="A79" i="5" s="1"/>
  <c r="AH79" i="5" s="1"/>
  <c r="AL77" i="5"/>
  <c r="AJ77" i="5"/>
  <c r="L40" i="9"/>
  <c r="I41" i="2"/>
  <c r="L180" i="9"/>
  <c r="L110" i="9"/>
  <c r="O178" i="9"/>
  <c r="O108" i="9"/>
  <c r="I108" i="9" s="1" a="1"/>
  <c r="I108" i="9" s="1"/>
  <c r="I38" i="9" a="1"/>
  <c r="I38" i="9" s="1"/>
  <c r="F106" i="9"/>
  <c r="G106" i="9" s="1"/>
  <c r="J106" i="9"/>
  <c r="Q106" i="9"/>
  <c r="P106" i="9" s="1"/>
  <c r="BA9" i="10"/>
  <c r="F36" i="9"/>
  <c r="G36" i="9" s="1"/>
  <c r="J36" i="9"/>
  <c r="Q36" i="9"/>
  <c r="P36" i="9" s="1"/>
  <c r="O39" i="2" a="1"/>
  <c r="U40" i="2"/>
  <c r="D38" i="9" a="1"/>
  <c r="D108" i="9" a="1"/>
  <c r="Q40" i="2"/>
  <c r="K39" i="2" a="1"/>
  <c r="M39" i="9" a="1"/>
  <c r="M39" i="2" a="1"/>
  <c r="N39" i="2" a="1"/>
  <c r="P40" i="2"/>
  <c r="T40" i="2"/>
  <c r="J39" i="2" a="1"/>
  <c r="S40" i="2"/>
  <c r="R40" i="2"/>
  <c r="L39" i="2" a="1"/>
  <c r="AD78" i="5" l="1"/>
  <c r="AF78" i="5"/>
  <c r="AD79" i="5"/>
  <c r="AF79" i="5"/>
  <c r="Z78" i="5"/>
  <c r="AB78" i="5"/>
  <c r="Z79" i="5"/>
  <c r="AB79" i="5"/>
  <c r="V79" i="5"/>
  <c r="X79" i="5"/>
  <c r="V78" i="5"/>
  <c r="X78" i="5"/>
  <c r="R78" i="5"/>
  <c r="T78" i="5"/>
  <c r="R79" i="5"/>
  <c r="T79" i="5"/>
  <c r="N79" i="5"/>
  <c r="P79" i="5"/>
  <c r="N78" i="5"/>
  <c r="P78" i="5"/>
  <c r="J79" i="5"/>
  <c r="L79" i="5"/>
  <c r="J78" i="5"/>
  <c r="L78" i="5"/>
  <c r="F79" i="5"/>
  <c r="H79" i="5"/>
  <c r="F78" i="5"/>
  <c r="H78" i="5"/>
  <c r="B78" i="5"/>
  <c r="D78" i="5"/>
  <c r="B79" i="5"/>
  <c r="D79" i="5"/>
  <c r="L39" i="2"/>
  <c r="K180" i="9"/>
  <c r="J39" i="2"/>
  <c r="K40" i="9"/>
  <c r="V40" i="2"/>
  <c r="O40" i="9" s="1"/>
  <c r="N39" i="2"/>
  <c r="M39" i="2"/>
  <c r="M39" i="9"/>
  <c r="K39" i="2"/>
  <c r="K110" i="9"/>
  <c r="D108" i="9"/>
  <c r="N108" i="9" s="1"/>
  <c r="D38" i="9"/>
  <c r="N38" i="9" s="1"/>
  <c r="O39" i="2"/>
  <c r="L41" i="9"/>
  <c r="I42" i="2"/>
  <c r="L111" i="9"/>
  <c r="L181" i="9"/>
  <c r="AJ78" i="5"/>
  <c r="A80" i="5" a="1"/>
  <c r="A80" i="5" s="1"/>
  <c r="AH80" i="5" s="1"/>
  <c r="AL78" i="5"/>
  <c r="AL79" i="5"/>
  <c r="AJ79" i="5"/>
  <c r="A81" i="5" a="1"/>
  <c r="A81" i="5" s="1"/>
  <c r="AH81" i="5" s="1"/>
  <c r="O179" i="9"/>
  <c r="O109" i="9"/>
  <c r="C109" i="9" s="1"/>
  <c r="N109" i="9" s="1"/>
  <c r="I39" i="9" a="1"/>
  <c r="I39" i="9" s="1"/>
  <c r="AT17" i="10"/>
  <c r="F37" i="9"/>
  <c r="G37" i="9" s="1"/>
  <c r="Q37" i="9"/>
  <c r="P37" i="9" s="1"/>
  <c r="J37" i="9"/>
  <c r="J40" i="2" a="1"/>
  <c r="Q41" i="2"/>
  <c r="O40" i="2" a="1"/>
  <c r="L40" i="2" a="1"/>
  <c r="S41" i="2"/>
  <c r="M40" i="2" a="1"/>
  <c r="R41" i="2"/>
  <c r="D39" i="9" a="1"/>
  <c r="P41" i="2"/>
  <c r="N40" i="2" a="1"/>
  <c r="M40" i="9" a="1"/>
  <c r="K40" i="2" a="1"/>
  <c r="U41" i="2"/>
  <c r="T41" i="2"/>
  <c r="AD80" i="5" l="1"/>
  <c r="AF80" i="5"/>
  <c r="AD81" i="5"/>
  <c r="AF81" i="5"/>
  <c r="Z80" i="5"/>
  <c r="AB80" i="5"/>
  <c r="Z81" i="5"/>
  <c r="AB81" i="5"/>
  <c r="V80" i="5"/>
  <c r="X80" i="5"/>
  <c r="V81" i="5"/>
  <c r="X81" i="5"/>
  <c r="R81" i="5"/>
  <c r="T81" i="5"/>
  <c r="R80" i="5"/>
  <c r="T80" i="5"/>
  <c r="N81" i="5"/>
  <c r="P81" i="5"/>
  <c r="N80" i="5"/>
  <c r="P80" i="5"/>
  <c r="J80" i="5"/>
  <c r="L80" i="5"/>
  <c r="J81" i="5"/>
  <c r="L81" i="5"/>
  <c r="F81" i="5"/>
  <c r="H81" i="5"/>
  <c r="F80" i="5"/>
  <c r="H80" i="5"/>
  <c r="B80" i="5"/>
  <c r="D80" i="5"/>
  <c r="B81" i="5"/>
  <c r="D81" i="5"/>
  <c r="K40" i="2"/>
  <c r="M40" i="9"/>
  <c r="N40" i="2"/>
  <c r="K41" i="9"/>
  <c r="V41" i="2"/>
  <c r="O41" i="9" s="1"/>
  <c r="D39" i="9"/>
  <c r="N39" i="9" s="1"/>
  <c r="K181" i="9"/>
  <c r="M40" i="2"/>
  <c r="L40" i="2"/>
  <c r="O40" i="2"/>
  <c r="K111" i="9"/>
  <c r="J40" i="2"/>
  <c r="F108" i="9"/>
  <c r="G108" i="9" s="1"/>
  <c r="Q108" i="9"/>
  <c r="P108" i="9" s="1"/>
  <c r="J108" i="9"/>
  <c r="O180" i="9"/>
  <c r="O110" i="9"/>
  <c r="I40" i="9" a="1"/>
  <c r="I40" i="9" s="1"/>
  <c r="AL80" i="5"/>
  <c r="AJ80" i="5"/>
  <c r="A82" i="5" a="1"/>
  <c r="A82" i="5" s="1"/>
  <c r="AH82" i="5" s="1"/>
  <c r="L42" i="9"/>
  <c r="I43" i="2"/>
  <c r="L182" i="9"/>
  <c r="L112" i="9"/>
  <c r="BA17" i="10"/>
  <c r="AL81" i="5"/>
  <c r="AJ81" i="5"/>
  <c r="A83" i="5" a="1"/>
  <c r="A83" i="5" s="1"/>
  <c r="AH83" i="5" s="1"/>
  <c r="I109" i="9" a="1"/>
  <c r="I109" i="9" s="1"/>
  <c r="B109" i="9"/>
  <c r="M109" i="9" a="1"/>
  <c r="M109" i="9" s="1"/>
  <c r="D109" i="9" a="1"/>
  <c r="D109" i="9" s="1"/>
  <c r="F109" i="9" s="1"/>
  <c r="G109" i="9" s="1"/>
  <c r="Q109" i="9"/>
  <c r="P109" i="9" s="1"/>
  <c r="J109" i="9"/>
  <c r="H109" i="9"/>
  <c r="E109" i="9" s="1"/>
  <c r="Q38" i="9"/>
  <c r="P38" i="9" s="1"/>
  <c r="F38" i="9"/>
  <c r="G38" i="9" s="1"/>
  <c r="J38" i="9"/>
  <c r="N41" i="2" a="1"/>
  <c r="J41" i="2" a="1"/>
  <c r="P42" i="2"/>
  <c r="O41" i="2" a="1"/>
  <c r="K41" i="2" a="1"/>
  <c r="T42" i="2"/>
  <c r="D40" i="9" a="1"/>
  <c r="S42" i="2"/>
  <c r="L41" i="2" a="1"/>
  <c r="R42" i="2"/>
  <c r="U42" i="2"/>
  <c r="M41" i="2" a="1"/>
  <c r="M41" i="9" a="1"/>
  <c r="Q42" i="2"/>
  <c r="AD83" i="5" l="1"/>
  <c r="AF83" i="5"/>
  <c r="AD82" i="5"/>
  <c r="AF82" i="5"/>
  <c r="Z82" i="5"/>
  <c r="AB82" i="5"/>
  <c r="Z83" i="5"/>
  <c r="AB83" i="5"/>
  <c r="V83" i="5"/>
  <c r="X83" i="5"/>
  <c r="V82" i="5"/>
  <c r="X82" i="5"/>
  <c r="R82" i="5"/>
  <c r="T82" i="5"/>
  <c r="R83" i="5"/>
  <c r="T83" i="5"/>
  <c r="N83" i="5"/>
  <c r="P83" i="5"/>
  <c r="N82" i="5"/>
  <c r="P82" i="5"/>
  <c r="J83" i="5"/>
  <c r="L83" i="5"/>
  <c r="J82" i="5"/>
  <c r="L82" i="5"/>
  <c r="F82" i="5"/>
  <c r="H82" i="5"/>
  <c r="F83" i="5"/>
  <c r="H83" i="5"/>
  <c r="B83" i="5"/>
  <c r="D83" i="5"/>
  <c r="B82" i="5"/>
  <c r="D82" i="5"/>
  <c r="K112" i="9"/>
  <c r="M41" i="9"/>
  <c r="M41" i="2"/>
  <c r="K182" i="9"/>
  <c r="L41" i="2"/>
  <c r="D40" i="9"/>
  <c r="N40" i="9" s="1"/>
  <c r="K41" i="2"/>
  <c r="O41" i="2"/>
  <c r="K42" i="9"/>
  <c r="V42" i="2"/>
  <c r="O42" i="9" s="1"/>
  <c r="J41" i="2"/>
  <c r="N41" i="2"/>
  <c r="O181" i="9"/>
  <c r="O111" i="9"/>
  <c r="I41" i="9" a="1"/>
  <c r="I41" i="9" s="1"/>
  <c r="A84" i="5" a="1"/>
  <c r="A84" i="5" s="1"/>
  <c r="AH84" i="5" s="1"/>
  <c r="AL82" i="5"/>
  <c r="AJ82" i="5"/>
  <c r="AT25" i="10"/>
  <c r="F39" i="9"/>
  <c r="G39" i="9" s="1"/>
  <c r="J39" i="9"/>
  <c r="Q39" i="9"/>
  <c r="P39" i="9" s="1"/>
  <c r="A85" i="5" a="1"/>
  <c r="A85" i="5" s="1"/>
  <c r="AH85" i="5" s="1"/>
  <c r="AL83" i="5"/>
  <c r="AJ83" i="5"/>
  <c r="L43" i="9"/>
  <c r="I44" i="2"/>
  <c r="L113" i="9"/>
  <c r="L183" i="9"/>
  <c r="M42" i="2" a="1"/>
  <c r="D41" i="9" a="1"/>
  <c r="P43" i="2"/>
  <c r="K42" i="2" a="1"/>
  <c r="N42" i="2" a="1"/>
  <c r="U43" i="2"/>
  <c r="T43" i="2"/>
  <c r="Q43" i="2"/>
  <c r="O42" i="2" a="1"/>
  <c r="S43" i="2"/>
  <c r="R43" i="2"/>
  <c r="M42" i="9" a="1"/>
  <c r="L42" i="2" a="1"/>
  <c r="J42" i="2" a="1"/>
  <c r="AD85" i="5" l="1"/>
  <c r="AF85" i="5"/>
  <c r="AD84" i="5"/>
  <c r="AF84" i="5"/>
  <c r="Z85" i="5"/>
  <c r="AB85" i="5"/>
  <c r="Z84" i="5"/>
  <c r="AB84" i="5"/>
  <c r="V85" i="5"/>
  <c r="X85" i="5"/>
  <c r="V84" i="5"/>
  <c r="X84" i="5"/>
  <c r="R85" i="5"/>
  <c r="T85" i="5"/>
  <c r="R84" i="5"/>
  <c r="T84" i="5"/>
  <c r="N85" i="5"/>
  <c r="P85" i="5"/>
  <c r="N84" i="5"/>
  <c r="P84" i="5"/>
  <c r="J85" i="5"/>
  <c r="L85" i="5"/>
  <c r="J84" i="5"/>
  <c r="L84" i="5"/>
  <c r="F84" i="5"/>
  <c r="H84" i="5"/>
  <c r="F85" i="5"/>
  <c r="H85" i="5"/>
  <c r="B85" i="5"/>
  <c r="D85" i="5"/>
  <c r="B84" i="5"/>
  <c r="D84" i="5"/>
  <c r="J42" i="2"/>
  <c r="L42" i="2"/>
  <c r="M42" i="9"/>
  <c r="K183" i="9"/>
  <c r="O42" i="2"/>
  <c r="K113" i="9"/>
  <c r="N42" i="2"/>
  <c r="K42" i="2"/>
  <c r="K43" i="9"/>
  <c r="V43" i="2"/>
  <c r="O43" i="9" s="1"/>
  <c r="D41" i="9"/>
  <c r="N41" i="9" s="1"/>
  <c r="M42" i="2"/>
  <c r="O182" i="9"/>
  <c r="O112" i="9"/>
  <c r="I42" i="9" a="1"/>
  <c r="I42" i="9" s="1"/>
  <c r="A87" i="5" a="1"/>
  <c r="A87" i="5" s="1"/>
  <c r="AH87" i="5" s="1"/>
  <c r="AL85" i="5"/>
  <c r="AJ85" i="5"/>
  <c r="A86" i="5" a="1"/>
  <c r="A86" i="5" s="1"/>
  <c r="AH86" i="5" s="1"/>
  <c r="AL84" i="5"/>
  <c r="AJ84" i="5"/>
  <c r="I45" i="2"/>
  <c r="L114" i="9"/>
  <c r="L44" i="9"/>
  <c r="L184" i="9"/>
  <c r="BA25" i="10"/>
  <c r="Q40" i="9"/>
  <c r="P40" i="9" s="1"/>
  <c r="F40" i="9"/>
  <c r="G40" i="9" s="1"/>
  <c r="J40" i="9"/>
  <c r="D42" i="9" a="1"/>
  <c r="K43" i="2" a="1"/>
  <c r="J43" i="2" a="1"/>
  <c r="N43" i="2" a="1"/>
  <c r="P44" i="2"/>
  <c r="O43" i="2" a="1"/>
  <c r="R44" i="2"/>
  <c r="L43" i="2" a="1"/>
  <c r="M43" i="2" a="1"/>
  <c r="M43" i="9" a="1"/>
  <c r="S44" i="2"/>
  <c r="U44" i="2"/>
  <c r="Q44" i="2"/>
  <c r="T44" i="2"/>
  <c r="AD87" i="5" l="1"/>
  <c r="AF87" i="5"/>
  <c r="AD86" i="5"/>
  <c r="AF86" i="5"/>
  <c r="Z87" i="5"/>
  <c r="AB87" i="5"/>
  <c r="Z86" i="5"/>
  <c r="AB86" i="5"/>
  <c r="V87" i="5"/>
  <c r="X87" i="5"/>
  <c r="V86" i="5"/>
  <c r="X86" i="5"/>
  <c r="R86" i="5"/>
  <c r="T86" i="5"/>
  <c r="R87" i="5"/>
  <c r="T87" i="5"/>
  <c r="N86" i="5"/>
  <c r="P86" i="5"/>
  <c r="N87" i="5"/>
  <c r="P87" i="5"/>
  <c r="J87" i="5"/>
  <c r="L87" i="5"/>
  <c r="J86" i="5"/>
  <c r="L86" i="5"/>
  <c r="F87" i="5"/>
  <c r="H87" i="5"/>
  <c r="F86" i="5"/>
  <c r="H86" i="5"/>
  <c r="B87" i="5"/>
  <c r="D87" i="5"/>
  <c r="B86" i="5"/>
  <c r="D86" i="5"/>
  <c r="K114" i="9"/>
  <c r="M43" i="9"/>
  <c r="M43" i="2"/>
  <c r="L43" i="2"/>
  <c r="K184" i="9"/>
  <c r="O43" i="2"/>
  <c r="K44" i="9"/>
  <c r="V44" i="2"/>
  <c r="O44" i="9" s="1"/>
  <c r="N43" i="2"/>
  <c r="J43" i="2"/>
  <c r="K43" i="2"/>
  <c r="D42" i="9"/>
  <c r="AJ86" i="5"/>
  <c r="A88" i="5" a="1"/>
  <c r="A88" i="5" s="1"/>
  <c r="AL86" i="5"/>
  <c r="O183" i="9"/>
  <c r="O113" i="9"/>
  <c r="I43" i="9" a="1"/>
  <c r="I43" i="9" s="1"/>
  <c r="AT33" i="10"/>
  <c r="L45" i="9"/>
  <c r="I46" i="2"/>
  <c r="L185" i="9"/>
  <c r="L115" i="9"/>
  <c r="AL87" i="5"/>
  <c r="AJ87" i="5"/>
  <c r="A89" i="5" a="1"/>
  <c r="A89" i="5" s="1"/>
  <c r="F41" i="9"/>
  <c r="G41" i="9" s="1"/>
  <c r="J41" i="9"/>
  <c r="Q41" i="9"/>
  <c r="P41" i="9" s="1"/>
  <c r="N44" i="2" a="1"/>
  <c r="L44" i="2" a="1"/>
  <c r="S45" i="2"/>
  <c r="P45" i="2"/>
  <c r="K44" i="2" a="1"/>
  <c r="R45" i="2"/>
  <c r="O44" i="2" a="1"/>
  <c r="M44" i="9" a="1"/>
  <c r="M44" i="2" a="1"/>
  <c r="J44" i="2" a="1"/>
  <c r="U45" i="2"/>
  <c r="Q45" i="2"/>
  <c r="D43" i="9" a="1"/>
  <c r="T45" i="2"/>
  <c r="AF89" i="5" l="1"/>
  <c r="AH89" i="5"/>
  <c r="AF88" i="5"/>
  <c r="AH88" i="5"/>
  <c r="AB89" i="5"/>
  <c r="AD89" i="5"/>
  <c r="AB88" i="5"/>
  <c r="AD88" i="5"/>
  <c r="X89" i="5"/>
  <c r="Z89" i="5"/>
  <c r="X88" i="5"/>
  <c r="Z88" i="5"/>
  <c r="T89" i="5"/>
  <c r="V89" i="5"/>
  <c r="T88" i="5"/>
  <c r="V88" i="5"/>
  <c r="P89" i="5"/>
  <c r="R89" i="5"/>
  <c r="P88" i="5"/>
  <c r="R88" i="5"/>
  <c r="L89" i="5"/>
  <c r="N89" i="5"/>
  <c r="L88" i="5"/>
  <c r="N88" i="5"/>
  <c r="H89" i="5"/>
  <c r="J89" i="5"/>
  <c r="H88" i="5"/>
  <c r="J88" i="5"/>
  <c r="D88" i="5"/>
  <c r="F88" i="5"/>
  <c r="D89" i="5"/>
  <c r="F89" i="5"/>
  <c r="F5" i="11"/>
  <c r="B89" i="5"/>
  <c r="E5" i="11"/>
  <c r="B88" i="5"/>
  <c r="N42" i="9"/>
  <c r="Q42" i="9" s="1"/>
  <c r="P42" i="9" s="1"/>
  <c r="F42" i="9"/>
  <c r="G42" i="9" s="1"/>
  <c r="D43" i="9"/>
  <c r="N43" i="9" s="1"/>
  <c r="K115" i="9"/>
  <c r="J44" i="2"/>
  <c r="M44" i="2"/>
  <c r="M44" i="9"/>
  <c r="O44" i="2"/>
  <c r="K185" i="9"/>
  <c r="K44" i="2"/>
  <c r="K45" i="9"/>
  <c r="V45" i="2"/>
  <c r="O45" i="9" s="1"/>
  <c r="L44" i="2"/>
  <c r="N44" i="2"/>
  <c r="A90" i="5" a="1"/>
  <c r="A90" i="5" s="1"/>
  <c r="AH90" i="5" s="1"/>
  <c r="AL88" i="5"/>
  <c r="AJ88" i="5"/>
  <c r="L46" i="9"/>
  <c r="I47" i="2"/>
  <c r="L116" i="9"/>
  <c r="L186" i="9"/>
  <c r="BA33" i="10"/>
  <c r="O184" i="9"/>
  <c r="O114" i="9"/>
  <c r="I44" i="9" a="1"/>
  <c r="I44" i="9" s="1"/>
  <c r="AJ89" i="5"/>
  <c r="A91" i="5" a="1"/>
  <c r="A91" i="5" s="1"/>
  <c r="AH91" i="5" s="1"/>
  <c r="AL89" i="5"/>
  <c r="L5" i="11"/>
  <c r="J42" i="9"/>
  <c r="N45" i="2" a="1"/>
  <c r="M45" i="2" a="1"/>
  <c r="P46" i="2"/>
  <c r="K45" i="2" a="1"/>
  <c r="L45" i="2" a="1"/>
  <c r="T46" i="2"/>
  <c r="S46" i="2"/>
  <c r="O45" i="2" a="1"/>
  <c r="M45" i="9" a="1"/>
  <c r="R46" i="2"/>
  <c r="D44" i="9" a="1"/>
  <c r="Q46" i="2"/>
  <c r="J45" i="2" a="1"/>
  <c r="U46" i="2"/>
  <c r="AD90" i="5" l="1"/>
  <c r="AF90" i="5"/>
  <c r="AD91" i="5"/>
  <c r="AF91" i="5"/>
  <c r="Z90" i="5"/>
  <c r="AB90" i="5"/>
  <c r="Z91" i="5"/>
  <c r="AB91" i="5"/>
  <c r="V91" i="5"/>
  <c r="X91" i="5"/>
  <c r="V90" i="5"/>
  <c r="X90" i="5"/>
  <c r="R91" i="5"/>
  <c r="T91" i="5"/>
  <c r="R90" i="5"/>
  <c r="T90" i="5"/>
  <c r="N90" i="5"/>
  <c r="P90" i="5"/>
  <c r="N91" i="5"/>
  <c r="P91" i="5"/>
  <c r="J90" i="5"/>
  <c r="L90" i="5"/>
  <c r="J91" i="5"/>
  <c r="L91" i="5"/>
  <c r="F91" i="5"/>
  <c r="H91" i="5"/>
  <c r="F90" i="5"/>
  <c r="H90" i="5"/>
  <c r="B91" i="5"/>
  <c r="D91" i="5"/>
  <c r="B90" i="5"/>
  <c r="D90" i="5"/>
  <c r="J45" i="2"/>
  <c r="K116" i="9"/>
  <c r="D44" i="9"/>
  <c r="N44" i="9" s="1"/>
  <c r="K186" i="9"/>
  <c r="M45" i="9"/>
  <c r="O45" i="2"/>
  <c r="L45" i="2"/>
  <c r="K45" i="2"/>
  <c r="K46" i="9"/>
  <c r="V46" i="2"/>
  <c r="O46" i="9" s="1"/>
  <c r="M45" i="2"/>
  <c r="N45" i="2"/>
  <c r="AL91" i="5"/>
  <c r="A93" i="5" a="1"/>
  <c r="A93" i="5" s="1"/>
  <c r="AH93" i="5" s="1"/>
  <c r="AJ91" i="5"/>
  <c r="AT41" i="10"/>
  <c r="O185" i="9"/>
  <c r="O115" i="9"/>
  <c r="I45" i="9" a="1"/>
  <c r="I45" i="9" s="1"/>
  <c r="I48" i="2"/>
  <c r="L187" i="9"/>
  <c r="L117" i="9"/>
  <c r="L47" i="9"/>
  <c r="AJ90" i="5"/>
  <c r="A92" i="5" a="1"/>
  <c r="A92" i="5" s="1"/>
  <c r="AH92" i="5" s="1"/>
  <c r="AL90" i="5"/>
  <c r="F43" i="9"/>
  <c r="G43" i="9" s="1"/>
  <c r="Q43" i="9"/>
  <c r="P43" i="9" s="1"/>
  <c r="J43" i="9"/>
  <c r="O46" i="2" a="1"/>
  <c r="R47" i="2"/>
  <c r="D45" i="9" a="1"/>
  <c r="M46" i="2" a="1"/>
  <c r="P47" i="2"/>
  <c r="N46" i="2" a="1"/>
  <c r="K46" i="2" a="1"/>
  <c r="U47" i="2"/>
  <c r="Q47" i="2"/>
  <c r="S47" i="2"/>
  <c r="M46" i="9" a="1"/>
  <c r="T47" i="2"/>
  <c r="L46" i="2" a="1"/>
  <c r="J46" i="2" a="1"/>
  <c r="AD92" i="5" l="1"/>
  <c r="AF92" i="5"/>
  <c r="AD93" i="5"/>
  <c r="AF93" i="5"/>
  <c r="Z92" i="5"/>
  <c r="AB92" i="5"/>
  <c r="Z93" i="5"/>
  <c r="AB93" i="5"/>
  <c r="V93" i="5"/>
  <c r="X93" i="5"/>
  <c r="V92" i="5"/>
  <c r="X92" i="5"/>
  <c r="R92" i="5"/>
  <c r="T92" i="5"/>
  <c r="R93" i="5"/>
  <c r="T93" i="5"/>
  <c r="N92" i="5"/>
  <c r="P92" i="5"/>
  <c r="N93" i="5"/>
  <c r="P93" i="5"/>
  <c r="J92" i="5"/>
  <c r="L92" i="5"/>
  <c r="J93" i="5"/>
  <c r="L93" i="5"/>
  <c r="F93" i="5"/>
  <c r="H93" i="5"/>
  <c r="F92" i="5"/>
  <c r="H92" i="5"/>
  <c r="B92" i="5"/>
  <c r="D92" i="5"/>
  <c r="B93" i="5"/>
  <c r="D93" i="5"/>
  <c r="J46" i="2"/>
  <c r="L46" i="2"/>
  <c r="M46" i="9"/>
  <c r="K117" i="9"/>
  <c r="K46" i="2"/>
  <c r="N46" i="2"/>
  <c r="K47" i="9"/>
  <c r="V47" i="2"/>
  <c r="O47" i="9" s="1"/>
  <c r="M46" i="2"/>
  <c r="D45" i="9"/>
  <c r="N45" i="9" s="1"/>
  <c r="K187" i="9"/>
  <c r="O46" i="2"/>
  <c r="BA41" i="10"/>
  <c r="O186" i="9"/>
  <c r="O116" i="9"/>
  <c r="I46" i="9" a="1"/>
  <c r="I46" i="9" s="1"/>
  <c r="F44" i="9"/>
  <c r="G44" i="9" s="1"/>
  <c r="J44" i="9"/>
  <c r="Q44" i="9"/>
  <c r="P44" i="9" s="1"/>
  <c r="A94" i="5" a="1"/>
  <c r="A94" i="5" s="1"/>
  <c r="AH94" i="5" s="1"/>
  <c r="AL92" i="5"/>
  <c r="AJ92" i="5"/>
  <c r="L48" i="9"/>
  <c r="I49" i="2"/>
  <c r="L188" i="9"/>
  <c r="L118" i="9"/>
  <c r="AL93" i="5"/>
  <c r="AJ93" i="5"/>
  <c r="A95" i="5" a="1"/>
  <c r="A95" i="5" s="1"/>
  <c r="AH95" i="5" s="1"/>
  <c r="D46" i="9" a="1"/>
  <c r="O47" i="2" a="1"/>
  <c r="L47" i="2" a="1"/>
  <c r="S48" i="2"/>
  <c r="N47" i="2" a="1"/>
  <c r="R48" i="2"/>
  <c r="M47" i="9" a="1"/>
  <c r="T48" i="2"/>
  <c r="M47" i="2" a="1"/>
  <c r="J47" i="2" a="1"/>
  <c r="P48" i="2"/>
  <c r="K47" i="2" a="1"/>
  <c r="U48" i="2"/>
  <c r="Q48" i="2"/>
  <c r="AD95" i="5" l="1"/>
  <c r="AF95" i="5"/>
  <c r="AD94" i="5"/>
  <c r="AF94" i="5"/>
  <c r="Z95" i="5"/>
  <c r="AB95" i="5"/>
  <c r="Z94" i="5"/>
  <c r="AB94" i="5"/>
  <c r="V95" i="5"/>
  <c r="X95" i="5"/>
  <c r="V94" i="5"/>
  <c r="X94" i="5"/>
  <c r="R95" i="5"/>
  <c r="T95" i="5"/>
  <c r="R94" i="5"/>
  <c r="T94" i="5"/>
  <c r="N95" i="5"/>
  <c r="P95" i="5"/>
  <c r="N94" i="5"/>
  <c r="P94" i="5"/>
  <c r="J95" i="5"/>
  <c r="L95" i="5"/>
  <c r="J94" i="5"/>
  <c r="L94" i="5"/>
  <c r="F95" i="5"/>
  <c r="H95" i="5"/>
  <c r="F94" i="5"/>
  <c r="H94" i="5"/>
  <c r="B95" i="5"/>
  <c r="D95" i="5"/>
  <c r="B94" i="5"/>
  <c r="D94" i="5"/>
  <c r="E3" i="11"/>
  <c r="E4" i="11"/>
  <c r="F3" i="11"/>
  <c r="F4" i="11"/>
  <c r="K118" i="9"/>
  <c r="K47" i="2"/>
  <c r="K48" i="9"/>
  <c r="M48" i="9" s="1" a="1"/>
  <c r="M48" i="9" s="1"/>
  <c r="V48" i="2"/>
  <c r="O48" i="9" s="1"/>
  <c r="J47" i="2"/>
  <c r="M47" i="2"/>
  <c r="M47" i="9"/>
  <c r="K188" i="9"/>
  <c r="N47" i="2"/>
  <c r="L47" i="2"/>
  <c r="O47" i="2"/>
  <c r="D46" i="9"/>
  <c r="N46" i="9" s="1"/>
  <c r="F45" i="9"/>
  <c r="G45" i="9" s="1"/>
  <c r="Q45" i="9"/>
  <c r="P45" i="9" s="1"/>
  <c r="J45" i="9"/>
  <c r="A96" i="5" a="1"/>
  <c r="A96" i="5" s="1"/>
  <c r="AH96" i="5" s="1"/>
  <c r="AL94" i="5"/>
  <c r="AJ94" i="5"/>
  <c r="O187" i="9"/>
  <c r="O117" i="9"/>
  <c r="I47" i="9" a="1"/>
  <c r="I47" i="9" s="1"/>
  <c r="L49" i="9"/>
  <c r="I50" i="2"/>
  <c r="L119" i="9"/>
  <c r="L189" i="9"/>
  <c r="AL95" i="5"/>
  <c r="AJ95" i="5"/>
  <c r="A97" i="5" a="1"/>
  <c r="A97" i="5" s="1"/>
  <c r="AH97" i="5" s="1"/>
  <c r="BI1" i="10"/>
  <c r="U49" i="2"/>
  <c r="K48" i="2" a="1"/>
  <c r="N48" i="2" a="1"/>
  <c r="T49" i="2"/>
  <c r="Q49" i="2"/>
  <c r="O48" i="2" a="1"/>
  <c r="L48" i="2" a="1"/>
  <c r="S49" i="2"/>
  <c r="R49" i="2"/>
  <c r="J48" i="2" a="1"/>
  <c r="M48" i="2" a="1"/>
  <c r="P49" i="2"/>
  <c r="D47" i="9" a="1"/>
  <c r="AD96" i="5" l="1"/>
  <c r="AF96" i="5"/>
  <c r="AD97" i="5"/>
  <c r="AF97" i="5"/>
  <c r="Z97" i="5"/>
  <c r="AB97" i="5"/>
  <c r="Z96" i="5"/>
  <c r="AB96" i="5"/>
  <c r="V96" i="5"/>
  <c r="X96" i="5"/>
  <c r="V97" i="5"/>
  <c r="X97" i="5"/>
  <c r="R96" i="5"/>
  <c r="T96" i="5"/>
  <c r="R97" i="5"/>
  <c r="T97" i="5"/>
  <c r="N96" i="5"/>
  <c r="P96" i="5"/>
  <c r="N97" i="5"/>
  <c r="P97" i="5"/>
  <c r="J97" i="5"/>
  <c r="L97" i="5"/>
  <c r="J96" i="5"/>
  <c r="L96" i="5"/>
  <c r="F97" i="5"/>
  <c r="H97" i="5"/>
  <c r="F96" i="5"/>
  <c r="H96" i="5"/>
  <c r="B97" i="5"/>
  <c r="D97" i="5"/>
  <c r="B96" i="5"/>
  <c r="D96" i="5"/>
  <c r="P51" i="11"/>
  <c r="P10" i="11"/>
  <c r="P52" i="11"/>
  <c r="P100" i="11"/>
  <c r="P55" i="11"/>
  <c r="P69" i="11"/>
  <c r="P59" i="11"/>
  <c r="P60" i="11"/>
  <c r="P38" i="11"/>
  <c r="P16" i="11"/>
  <c r="P23" i="11"/>
  <c r="P94" i="11"/>
  <c r="P17" i="11"/>
  <c r="P80" i="11"/>
  <c r="P93" i="11"/>
  <c r="P73" i="11"/>
  <c r="P12" i="11"/>
  <c r="P26" i="11"/>
  <c r="P9" i="11"/>
  <c r="P77" i="11"/>
  <c r="P78" i="11"/>
  <c r="P92" i="11"/>
  <c r="P81" i="11"/>
  <c r="P8" i="11"/>
  <c r="P36" i="11"/>
  <c r="P63" i="11"/>
  <c r="P40" i="11"/>
  <c r="P42" i="11"/>
  <c r="P44" i="11"/>
  <c r="P70" i="11"/>
  <c r="P46" i="11"/>
  <c r="P21" i="11"/>
  <c r="P5" i="11"/>
  <c r="P72" i="11"/>
  <c r="P47" i="11"/>
  <c r="P33" i="11"/>
  <c r="P67" i="11"/>
  <c r="P90" i="11"/>
  <c r="P43" i="11"/>
  <c r="P7" i="11"/>
  <c r="P31" i="11"/>
  <c r="P82" i="11"/>
  <c r="P3" i="11"/>
  <c r="P18" i="11"/>
  <c r="P85" i="11"/>
  <c r="P6" i="11"/>
  <c r="P68" i="11"/>
  <c r="P39" i="11"/>
  <c r="P98" i="11"/>
  <c r="P76" i="11"/>
  <c r="P20" i="11"/>
  <c r="P75" i="11"/>
  <c r="P87" i="11"/>
  <c r="P35" i="11"/>
  <c r="P71" i="11"/>
  <c r="P74" i="11"/>
  <c r="P95" i="11"/>
  <c r="P30" i="11"/>
  <c r="P19" i="11"/>
  <c r="P49" i="11"/>
  <c r="P65" i="11"/>
  <c r="P13" i="11"/>
  <c r="P96" i="11"/>
  <c r="P79" i="11"/>
  <c r="P37" i="11"/>
  <c r="P34" i="11"/>
  <c r="P54" i="11"/>
  <c r="P66" i="11"/>
  <c r="P62" i="11"/>
  <c r="P28" i="11"/>
  <c r="P61" i="11"/>
  <c r="P91" i="11"/>
  <c r="P84" i="11"/>
  <c r="P45" i="11"/>
  <c r="P48" i="11"/>
  <c r="P50" i="11"/>
  <c r="P58" i="11"/>
  <c r="P27" i="11"/>
  <c r="P97" i="11"/>
  <c r="P29" i="11"/>
  <c r="P89" i="11"/>
  <c r="P22" i="11"/>
  <c r="P57" i="11"/>
  <c r="P41" i="11"/>
  <c r="P24" i="11"/>
  <c r="P86" i="11"/>
  <c r="P53" i="11"/>
  <c r="P14" i="11"/>
  <c r="P11" i="11"/>
  <c r="P83" i="11"/>
  <c r="P56" i="11"/>
  <c r="P25" i="11"/>
  <c r="P15" i="11"/>
  <c r="P64" i="11"/>
  <c r="P32" i="11"/>
  <c r="P99" i="11"/>
  <c r="P4" i="11"/>
  <c r="P88" i="11"/>
  <c r="L3" i="11"/>
  <c r="L4" i="11"/>
  <c r="D47" i="9"/>
  <c r="N47" i="9" s="1"/>
  <c r="K49" i="9"/>
  <c r="V49" i="2"/>
  <c r="O49" i="9" s="1"/>
  <c r="M48" i="2"/>
  <c r="J48" i="2"/>
  <c r="K189" i="9"/>
  <c r="L48" i="2"/>
  <c r="O48" i="2"/>
  <c r="K119" i="9"/>
  <c r="N48" i="2"/>
  <c r="K48" i="2"/>
  <c r="BP1" i="10"/>
  <c r="O188" i="9"/>
  <c r="O118" i="9"/>
  <c r="I48" i="9" a="1"/>
  <c r="I48" i="9" s="1"/>
  <c r="E48" i="9" s="1"/>
  <c r="AL97" i="5"/>
  <c r="A99" i="5" a="1"/>
  <c r="A99" i="5" s="1"/>
  <c r="AH99" i="5" s="1"/>
  <c r="AJ97" i="5"/>
  <c r="AJ96" i="5"/>
  <c r="AL96" i="5"/>
  <c r="A98" i="5" a="1"/>
  <c r="A98" i="5" s="1"/>
  <c r="AH98" i="5" s="1"/>
  <c r="F46" i="9"/>
  <c r="G46" i="9" s="1"/>
  <c r="J46" i="9"/>
  <c r="Q46" i="9"/>
  <c r="P46" i="9" s="1"/>
  <c r="I51" i="2"/>
  <c r="L49" i="2" a="1"/>
  <c r="U50" i="2"/>
  <c r="Q50" i="2"/>
  <c r="M49" i="9" a="1"/>
  <c r="M49" i="2" a="1"/>
  <c r="O49" i="2" a="1"/>
  <c r="D48" i="9" a="1"/>
  <c r="J49" i="2" a="1"/>
  <c r="R50" i="2"/>
  <c r="K49" i="2" a="1"/>
  <c r="T50" i="2"/>
  <c r="N49" i="2" a="1"/>
  <c r="S50" i="2"/>
  <c r="P50" i="2"/>
  <c r="AD99" i="5" l="1"/>
  <c r="AF99" i="5"/>
  <c r="AD98" i="5"/>
  <c r="AF98" i="5"/>
  <c r="Z99" i="5"/>
  <c r="AB99" i="5"/>
  <c r="Z98" i="5"/>
  <c r="AB98" i="5"/>
  <c r="V98" i="5"/>
  <c r="X98" i="5"/>
  <c r="V99" i="5"/>
  <c r="X99" i="5"/>
  <c r="R98" i="5"/>
  <c r="T98" i="5"/>
  <c r="R99" i="5"/>
  <c r="T99" i="5"/>
  <c r="N98" i="5"/>
  <c r="P98" i="5"/>
  <c r="N99" i="5"/>
  <c r="P99" i="5"/>
  <c r="J98" i="5"/>
  <c r="L98" i="5"/>
  <c r="J99" i="5"/>
  <c r="L99" i="5"/>
  <c r="F98" i="5"/>
  <c r="H98" i="5"/>
  <c r="F99" i="5"/>
  <c r="H99" i="5"/>
  <c r="B99" i="5"/>
  <c r="D99" i="5"/>
  <c r="B98" i="5"/>
  <c r="D98" i="5"/>
  <c r="Q12" i="11" a="1"/>
  <c r="Q12" i="11" s="1"/>
  <c r="Q34" i="11" a="1"/>
  <c r="Q34" i="11" s="1"/>
  <c r="Q17" i="11" a="1"/>
  <c r="Q17" i="11" s="1"/>
  <c r="Q39" i="11" a="1"/>
  <c r="Q39" i="11" s="1"/>
  <c r="Q29" i="11" a="1"/>
  <c r="Q29" i="11" s="1"/>
  <c r="Z29" i="11" s="1"/>
  <c r="AA29" i="11" s="1"/>
  <c r="Q44" i="11" a="1"/>
  <c r="Q44" i="11" s="1"/>
  <c r="Q27" i="11" a="1"/>
  <c r="Q27" i="11" s="1"/>
  <c r="Q49" i="11" a="1"/>
  <c r="Q49" i="11" s="1"/>
  <c r="Z49" i="11" s="1"/>
  <c r="AA49" i="11" s="1"/>
  <c r="Q32" i="11" a="1"/>
  <c r="Q32" i="11" s="1"/>
  <c r="Q22" i="11" a="1"/>
  <c r="Q22" i="11" s="1"/>
  <c r="Q37" i="11" a="1"/>
  <c r="Q37" i="11" s="1"/>
  <c r="Z37" i="11" s="1"/>
  <c r="AA37" i="11" s="1"/>
  <c r="Q20" i="11" a="1"/>
  <c r="Q20" i="11" s="1"/>
  <c r="Z20" i="11" s="1"/>
  <c r="AA20" i="11" s="1"/>
  <c r="Q42" i="11" a="1"/>
  <c r="Q42" i="11" s="1"/>
  <c r="Q25" i="11" a="1"/>
  <c r="Q25" i="11" s="1"/>
  <c r="Q15" i="11" a="1"/>
  <c r="Q15" i="11" s="1"/>
  <c r="Z15" i="11" s="1"/>
  <c r="AA15" i="11" s="1"/>
  <c r="Q36" i="11" a="1"/>
  <c r="Q36" i="11" s="1"/>
  <c r="Z36" i="11" s="1"/>
  <c r="AA36" i="11" s="1"/>
  <c r="Q30" i="11" a="1"/>
  <c r="Q30" i="11" s="1"/>
  <c r="Q13" i="11" a="1"/>
  <c r="Q13" i="11" s="1"/>
  <c r="Q35" i="11" a="1"/>
  <c r="Q35" i="11" s="1"/>
  <c r="Q18" i="11" a="1"/>
  <c r="Q18" i="11" s="1"/>
  <c r="Q47" i="11" a="1"/>
  <c r="Q47" i="11" s="1"/>
  <c r="Z47" i="11" s="1"/>
  <c r="AA47" i="11" s="1"/>
  <c r="Q46" i="11" a="1"/>
  <c r="Q46" i="11" s="1"/>
  <c r="Z46" i="11" s="1"/>
  <c r="AA46" i="11" s="1"/>
  <c r="Q23" i="11" a="1"/>
  <c r="Q23" i="11" s="1"/>
  <c r="Z23" i="11" s="1"/>
  <c r="AA23" i="11" s="1"/>
  <c r="Q45" i="11" a="1"/>
  <c r="Q45" i="11" s="1"/>
  <c r="Z45" i="11" s="1"/>
  <c r="AA45" i="11" s="1"/>
  <c r="Q28" i="11" a="1"/>
  <c r="Q28" i="11" s="1"/>
  <c r="Q50" i="11" a="1"/>
  <c r="Q50" i="11" s="1"/>
  <c r="Z50" i="11" s="1"/>
  <c r="AA50" i="11" s="1"/>
  <c r="Q40" i="11" a="1"/>
  <c r="Q40" i="11" s="1"/>
  <c r="Z40" i="11" s="1"/>
  <c r="AA40" i="11" s="1"/>
  <c r="Q16" i="11" a="1"/>
  <c r="Q16" i="11" s="1"/>
  <c r="Z16" i="11" s="1"/>
  <c r="AA16" i="11" s="1"/>
  <c r="Q38" i="11" a="1"/>
  <c r="Q38" i="11" s="1"/>
  <c r="Q21" i="11" a="1"/>
  <c r="Q21" i="11" s="1"/>
  <c r="Q43" i="11" a="1"/>
  <c r="Q43" i="11" s="1"/>
  <c r="Z43" i="11" s="1"/>
  <c r="AA43" i="11" s="1"/>
  <c r="Q33" i="11" a="1"/>
  <c r="Q33" i="11" s="1"/>
  <c r="Z33" i="11" s="1"/>
  <c r="AA33" i="11" s="1"/>
  <c r="Q48" i="11" a="1"/>
  <c r="Q48" i="11" s="1"/>
  <c r="Z48" i="11" s="1"/>
  <c r="AA48" i="11" s="1"/>
  <c r="Q31" i="11" a="1"/>
  <c r="Q31" i="11" s="1"/>
  <c r="Y31" i="11" s="1"/>
  <c r="Q14" i="11" a="1"/>
  <c r="Q14" i="11" s="1"/>
  <c r="Y14" i="11" s="1"/>
  <c r="Q26" i="11" a="1"/>
  <c r="Q26" i="11" s="1"/>
  <c r="Q19" i="11" a="1"/>
  <c r="Q19" i="11" s="1"/>
  <c r="Q41" i="11" a="1"/>
  <c r="Q41" i="11" s="1"/>
  <c r="Q24" i="11" a="1"/>
  <c r="Q24" i="11" s="1"/>
  <c r="Z24" i="11" s="1"/>
  <c r="AA24" i="11" s="1"/>
  <c r="Q2" i="11" a="1"/>
  <c r="Q2" i="11" s="1"/>
  <c r="Q4" i="11" a="1"/>
  <c r="Q4" i="11" s="1"/>
  <c r="Q5" i="11" a="1"/>
  <c r="Q5" i="11" s="1"/>
  <c r="Q8" i="11" a="1"/>
  <c r="Q8" i="11" s="1"/>
  <c r="Z8" i="11" s="1"/>
  <c r="AA8" i="11" s="1"/>
  <c r="Q6" i="11" a="1"/>
  <c r="Q6" i="11" s="1"/>
  <c r="Q9" i="11" a="1"/>
  <c r="Q9" i="11" s="1"/>
  <c r="Q10" i="11" a="1"/>
  <c r="Q10" i="11" s="1"/>
  <c r="Q3" i="11" a="1"/>
  <c r="Q3" i="11" s="1"/>
  <c r="Q11" i="11" a="1"/>
  <c r="Q11" i="11" s="1"/>
  <c r="Y11" i="11" s="1"/>
  <c r="Q7" i="11" a="1"/>
  <c r="Q7" i="11" s="1"/>
  <c r="Q1" i="11" a="1"/>
  <c r="Q1" i="11" s="1"/>
  <c r="Z35" i="11"/>
  <c r="AA35" i="11" s="1"/>
  <c r="Y12" i="11"/>
  <c r="K50" i="9"/>
  <c r="V50" i="2"/>
  <c r="O50" i="9" s="1"/>
  <c r="N49" i="2"/>
  <c r="K49" i="2"/>
  <c r="K190" i="9"/>
  <c r="J49" i="2"/>
  <c r="D48" i="9"/>
  <c r="N48" i="9" s="1"/>
  <c r="O49" i="2"/>
  <c r="M49" i="2"/>
  <c r="M49" i="9"/>
  <c r="K120" i="9"/>
  <c r="L49" i="2"/>
  <c r="AL99" i="5"/>
  <c r="A101" i="5" a="1"/>
  <c r="A101" i="5" s="1"/>
  <c r="AH101" i="5" s="1"/>
  <c r="AJ99" i="5"/>
  <c r="I52" i="2"/>
  <c r="AJ98" i="5"/>
  <c r="A100" i="5" a="1"/>
  <c r="A100" i="5" s="1"/>
  <c r="AH100" i="5" s="1"/>
  <c r="AL98" i="5"/>
  <c r="BI9" i="10"/>
  <c r="O189" i="9"/>
  <c r="O119" i="9"/>
  <c r="I49" i="9" a="1"/>
  <c r="I49" i="9" s="1"/>
  <c r="F47" i="9"/>
  <c r="G47" i="9" s="1"/>
  <c r="J47" i="9"/>
  <c r="Q47" i="9"/>
  <c r="P47" i="9" s="1"/>
  <c r="X1" i="11" a="1"/>
  <c r="L50" i="2" a="1"/>
  <c r="O50" i="2" a="1"/>
  <c r="R51" i="2"/>
  <c r="T51" i="2"/>
  <c r="D49" i="9" a="1"/>
  <c r="P51" i="2"/>
  <c r="J50" i="2" a="1"/>
  <c r="M50" i="2" a="1"/>
  <c r="Q51" i="2"/>
  <c r="U51" i="2"/>
  <c r="N50" i="2" a="1"/>
  <c r="K50" i="2" a="1"/>
  <c r="S51" i="2"/>
  <c r="AD100" i="5" l="1"/>
  <c r="AF100" i="5"/>
  <c r="AD101" i="5"/>
  <c r="AF101" i="5"/>
  <c r="Z100" i="5"/>
  <c r="AB100" i="5"/>
  <c r="Z101" i="5"/>
  <c r="AB101" i="5"/>
  <c r="V100" i="5"/>
  <c r="X100" i="5"/>
  <c r="V101" i="5"/>
  <c r="X101" i="5"/>
  <c r="R101" i="5"/>
  <c r="T101" i="5"/>
  <c r="R100" i="5"/>
  <c r="T100" i="5"/>
  <c r="N100" i="5"/>
  <c r="P100" i="5"/>
  <c r="N101" i="5"/>
  <c r="P101" i="5"/>
  <c r="J101" i="5"/>
  <c r="L101" i="5"/>
  <c r="J100" i="5"/>
  <c r="L100" i="5"/>
  <c r="F100" i="5"/>
  <c r="H100" i="5"/>
  <c r="F101" i="5"/>
  <c r="H101" i="5"/>
  <c r="B101" i="5"/>
  <c r="D101" i="5"/>
  <c r="B100" i="5"/>
  <c r="D100" i="5"/>
  <c r="Y8" i="11"/>
  <c r="X1" i="11"/>
  <c r="V33" i="11"/>
  <c r="W33" i="11"/>
  <c r="X33" i="11" a="1"/>
  <c r="X33" i="11" s="1"/>
  <c r="R33" i="11"/>
  <c r="AC33" i="11" s="1"/>
  <c r="S33" i="11"/>
  <c r="T33" i="11"/>
  <c r="U33" i="11"/>
  <c r="V45" i="11"/>
  <c r="W45" i="11"/>
  <c r="X45" i="11" a="1"/>
  <c r="X45" i="11" s="1"/>
  <c r="R45" i="11"/>
  <c r="AC45" i="11" s="1"/>
  <c r="U45" i="11"/>
  <c r="S45" i="11"/>
  <c r="T45" i="11"/>
  <c r="X36" i="11" a="1"/>
  <c r="X36" i="11" s="1"/>
  <c r="R36" i="11"/>
  <c r="AC36" i="11" s="1"/>
  <c r="S36" i="11"/>
  <c r="T36" i="11"/>
  <c r="W36" i="11"/>
  <c r="U36" i="11"/>
  <c r="V36" i="11"/>
  <c r="V49" i="11"/>
  <c r="W49" i="11"/>
  <c r="X49" i="11" a="1"/>
  <c r="X49" i="11" s="1"/>
  <c r="R49" i="11"/>
  <c r="AC49" i="11" s="1"/>
  <c r="U49" i="11"/>
  <c r="S49" i="11"/>
  <c r="T49" i="11"/>
  <c r="X24" i="11" a="1"/>
  <c r="X24" i="11" s="1"/>
  <c r="R24" i="11"/>
  <c r="AC24" i="11" s="1"/>
  <c r="S24" i="11"/>
  <c r="T24" i="11"/>
  <c r="U24" i="11"/>
  <c r="V24" i="11"/>
  <c r="W24" i="11"/>
  <c r="R43" i="11"/>
  <c r="AC43" i="11" s="1"/>
  <c r="S43" i="11"/>
  <c r="T43" i="11"/>
  <c r="U43" i="11"/>
  <c r="V43" i="11"/>
  <c r="W43" i="11"/>
  <c r="X43" i="11" a="1"/>
  <c r="X43" i="11" s="1"/>
  <c r="R23" i="11"/>
  <c r="AC23" i="11" s="1"/>
  <c r="S23" i="11"/>
  <c r="T23" i="11"/>
  <c r="U23" i="11"/>
  <c r="V23" i="11"/>
  <c r="W23" i="11"/>
  <c r="X23" i="11" a="1"/>
  <c r="X23" i="11" s="1"/>
  <c r="R15" i="11"/>
  <c r="AC15" i="11" s="1"/>
  <c r="S15" i="11"/>
  <c r="T15" i="11"/>
  <c r="U15" i="11"/>
  <c r="V15" i="11"/>
  <c r="W15" i="11"/>
  <c r="X15" i="11" a="1"/>
  <c r="X15" i="11" s="1"/>
  <c r="R27" i="11"/>
  <c r="AC27" i="11" s="1"/>
  <c r="S27" i="11"/>
  <c r="T27" i="11"/>
  <c r="U27" i="11"/>
  <c r="V27" i="11"/>
  <c r="W27" i="11"/>
  <c r="X27" i="11" a="1"/>
  <c r="X27" i="11" s="1"/>
  <c r="V41" i="11"/>
  <c r="W41" i="11"/>
  <c r="U41" i="11"/>
  <c r="X41" i="11" a="1"/>
  <c r="X41" i="11" s="1"/>
  <c r="R41" i="11"/>
  <c r="AC41" i="11" s="1"/>
  <c r="S41" i="11"/>
  <c r="T41" i="11"/>
  <c r="V21" i="11"/>
  <c r="W21" i="11"/>
  <c r="X21" i="11" a="1"/>
  <c r="X21" i="11" s="1"/>
  <c r="R21" i="11"/>
  <c r="AC21" i="11" s="1"/>
  <c r="U21" i="11"/>
  <c r="S21" i="11"/>
  <c r="T21" i="11"/>
  <c r="T46" i="11"/>
  <c r="S46" i="11"/>
  <c r="U46" i="11"/>
  <c r="V46" i="11"/>
  <c r="W46" i="11"/>
  <c r="X46" i="11" a="1"/>
  <c r="X46" i="11" s="1"/>
  <c r="R46" i="11"/>
  <c r="AC46" i="11" s="1"/>
  <c r="V25" i="11"/>
  <c r="U25" i="11"/>
  <c r="W25" i="11"/>
  <c r="X25" i="11" a="1"/>
  <c r="X25" i="11" s="1"/>
  <c r="R25" i="11"/>
  <c r="AC25" i="11" s="1"/>
  <c r="S25" i="11"/>
  <c r="T25" i="11"/>
  <c r="X44" i="11" a="1"/>
  <c r="X44" i="11" s="1"/>
  <c r="R44" i="11"/>
  <c r="AC44" i="11" s="1"/>
  <c r="S44" i="11"/>
  <c r="T44" i="11"/>
  <c r="U44" i="11"/>
  <c r="W44" i="11"/>
  <c r="V44" i="11"/>
  <c r="R19" i="11"/>
  <c r="AC19" i="11" s="1"/>
  <c r="S19" i="11"/>
  <c r="T19" i="11"/>
  <c r="U19" i="11"/>
  <c r="V19" i="11"/>
  <c r="W19" i="11"/>
  <c r="X19" i="11" a="1"/>
  <c r="X19" i="11" s="1"/>
  <c r="T38" i="11"/>
  <c r="U38" i="11"/>
  <c r="V38" i="11"/>
  <c r="W38" i="11"/>
  <c r="X38" i="11" a="1"/>
  <c r="X38" i="11" s="1"/>
  <c r="S38" i="11"/>
  <c r="R38" i="11"/>
  <c r="AC38" i="11" s="1"/>
  <c r="R47" i="11"/>
  <c r="AC47" i="11" s="1"/>
  <c r="S47" i="11"/>
  <c r="T47" i="11"/>
  <c r="U47" i="11"/>
  <c r="V47" i="11"/>
  <c r="W47" i="11"/>
  <c r="X47" i="11" a="1"/>
  <c r="X47" i="11" s="1"/>
  <c r="T42" i="11"/>
  <c r="S42" i="11"/>
  <c r="U42" i="11"/>
  <c r="V42" i="11"/>
  <c r="W42" i="11"/>
  <c r="X42" i="11" a="1"/>
  <c r="X42" i="11" s="1"/>
  <c r="R42" i="11"/>
  <c r="AC42" i="11" s="1"/>
  <c r="V29" i="11"/>
  <c r="W29" i="11"/>
  <c r="X29" i="11" a="1"/>
  <c r="X29" i="11" s="1"/>
  <c r="R29" i="11"/>
  <c r="AC29" i="11" s="1"/>
  <c r="U29" i="11"/>
  <c r="S29" i="11"/>
  <c r="T29" i="11"/>
  <c r="T26" i="11"/>
  <c r="U26" i="11"/>
  <c r="V26" i="11"/>
  <c r="W26" i="11"/>
  <c r="X26" i="11" a="1"/>
  <c r="X26" i="11" s="1"/>
  <c r="S26" i="11"/>
  <c r="R26" i="11"/>
  <c r="AC26" i="11" s="1"/>
  <c r="X16" i="11" a="1"/>
  <c r="X16" i="11" s="1"/>
  <c r="W16" i="11"/>
  <c r="R16" i="11"/>
  <c r="AC16" i="11" s="1"/>
  <c r="S16" i="11"/>
  <c r="T16" i="11"/>
  <c r="U16" i="11"/>
  <c r="V16" i="11"/>
  <c r="T18" i="11"/>
  <c r="U18" i="11"/>
  <c r="V18" i="11"/>
  <c r="W18" i="11"/>
  <c r="X18" i="11" a="1"/>
  <c r="X18" i="11" s="1"/>
  <c r="S18" i="11"/>
  <c r="R18" i="11"/>
  <c r="AC18" i="11" s="1"/>
  <c r="X20" i="11" a="1"/>
  <c r="X20" i="11" s="1"/>
  <c r="W20" i="11"/>
  <c r="R20" i="11"/>
  <c r="AC20" i="11" s="1"/>
  <c r="S20" i="11"/>
  <c r="T20" i="11"/>
  <c r="U20" i="11"/>
  <c r="V20" i="11"/>
  <c r="R39" i="11"/>
  <c r="AC39" i="11" s="1"/>
  <c r="S39" i="11"/>
  <c r="T39" i="11"/>
  <c r="U39" i="11"/>
  <c r="V39" i="11"/>
  <c r="W39" i="11"/>
  <c r="X39" i="11" a="1"/>
  <c r="X39" i="11" s="1"/>
  <c r="T14" i="11"/>
  <c r="U14" i="11"/>
  <c r="V14" i="11"/>
  <c r="W14" i="11"/>
  <c r="S14" i="11"/>
  <c r="X14" i="11" a="1"/>
  <c r="X14" i="11" s="1"/>
  <c r="R14" i="11"/>
  <c r="AC14" i="11" s="1"/>
  <c r="X40" i="11" a="1"/>
  <c r="X40" i="11" s="1"/>
  <c r="R40" i="11"/>
  <c r="AC40" i="11" s="1"/>
  <c r="S40" i="11"/>
  <c r="W40" i="11"/>
  <c r="T40" i="11"/>
  <c r="U40" i="11"/>
  <c r="V40" i="11"/>
  <c r="R35" i="11"/>
  <c r="AC35" i="11" s="1"/>
  <c r="S35" i="11"/>
  <c r="T35" i="11"/>
  <c r="U35" i="11"/>
  <c r="V35" i="11"/>
  <c r="W35" i="11"/>
  <c r="X35" i="11" a="1"/>
  <c r="X35" i="11" s="1"/>
  <c r="V37" i="11"/>
  <c r="U37" i="11"/>
  <c r="W37" i="11"/>
  <c r="X37" i="11" a="1"/>
  <c r="X37" i="11" s="1"/>
  <c r="R37" i="11"/>
  <c r="AC37" i="11" s="1"/>
  <c r="S37" i="11"/>
  <c r="T37" i="11"/>
  <c r="V17" i="11"/>
  <c r="U17" i="11"/>
  <c r="W17" i="11"/>
  <c r="X17" i="11" a="1"/>
  <c r="X17" i="11" s="1"/>
  <c r="R17" i="11"/>
  <c r="AC17" i="11" s="1"/>
  <c r="S17" i="11"/>
  <c r="T17" i="11"/>
  <c r="R31" i="11"/>
  <c r="AC31" i="11" s="1"/>
  <c r="S31" i="11"/>
  <c r="T31" i="11"/>
  <c r="U31" i="11"/>
  <c r="V31" i="11"/>
  <c r="W31" i="11"/>
  <c r="X31" i="11" a="1"/>
  <c r="X31" i="11" s="1"/>
  <c r="T50" i="11"/>
  <c r="U50" i="11"/>
  <c r="V50" i="11"/>
  <c r="W50" i="11"/>
  <c r="X50" i="11" a="1"/>
  <c r="X50" i="11" s="1"/>
  <c r="S50" i="11"/>
  <c r="R50" i="11"/>
  <c r="AC50" i="11" s="1"/>
  <c r="V13" i="11"/>
  <c r="W13" i="11"/>
  <c r="X13" i="11" a="1"/>
  <c r="X13" i="11" s="1"/>
  <c r="R13" i="11"/>
  <c r="AC13" i="11" s="1"/>
  <c r="S13" i="11"/>
  <c r="T13" i="11"/>
  <c r="U13" i="11"/>
  <c r="T22" i="11"/>
  <c r="S22" i="11"/>
  <c r="U22" i="11"/>
  <c r="V22" i="11"/>
  <c r="W22" i="11"/>
  <c r="X22" i="11" a="1"/>
  <c r="X22" i="11" s="1"/>
  <c r="R22" i="11"/>
  <c r="AC22" i="11" s="1"/>
  <c r="T34" i="11"/>
  <c r="S34" i="11"/>
  <c r="U34" i="11"/>
  <c r="V34" i="11"/>
  <c r="W34" i="11"/>
  <c r="X34" i="11" a="1"/>
  <c r="X34" i="11" s="1"/>
  <c r="R34" i="11"/>
  <c r="AC34" i="11" s="1"/>
  <c r="X48" i="11" a="1"/>
  <c r="X48" i="11" s="1"/>
  <c r="R48" i="11"/>
  <c r="AC48" i="11" s="1"/>
  <c r="S48" i="11"/>
  <c r="T48" i="11"/>
  <c r="U48" i="11"/>
  <c r="V48" i="11"/>
  <c r="W48" i="11"/>
  <c r="X28" i="11" a="1"/>
  <c r="X28" i="11" s="1"/>
  <c r="W28" i="11"/>
  <c r="R28" i="11"/>
  <c r="AC28" i="11" s="1"/>
  <c r="S28" i="11"/>
  <c r="T28" i="11"/>
  <c r="U28" i="11"/>
  <c r="V28" i="11"/>
  <c r="T30" i="11"/>
  <c r="S30" i="11"/>
  <c r="U30" i="11"/>
  <c r="V30" i="11"/>
  <c r="W30" i="11"/>
  <c r="X30" i="11" a="1"/>
  <c r="X30" i="11" s="1"/>
  <c r="R30" i="11"/>
  <c r="AC30" i="11" s="1"/>
  <c r="X32" i="11" a="1"/>
  <c r="X32" i="11" s="1"/>
  <c r="R32" i="11"/>
  <c r="AC32" i="11" s="1"/>
  <c r="S32" i="11"/>
  <c r="T32" i="11"/>
  <c r="W32" i="11"/>
  <c r="U32" i="11"/>
  <c r="V32" i="11"/>
  <c r="X12" i="11" a="1"/>
  <c r="X12" i="11" s="1"/>
  <c r="R12" i="11"/>
  <c r="AC12" i="11" s="1"/>
  <c r="S12" i="11"/>
  <c r="T12" i="11"/>
  <c r="U12" i="11"/>
  <c r="W12" i="11"/>
  <c r="V12" i="11"/>
  <c r="W10" i="11"/>
  <c r="R10" i="11"/>
  <c r="AC10" i="11" s="1"/>
  <c r="X10" i="11" a="1"/>
  <c r="X10" i="11" s="1"/>
  <c r="S10" i="11"/>
  <c r="T10" i="11"/>
  <c r="U10" i="11"/>
  <c r="V10" i="11"/>
  <c r="R9" i="11"/>
  <c r="AC9" i="11" s="1"/>
  <c r="S9" i="11"/>
  <c r="T9" i="11"/>
  <c r="U9" i="11"/>
  <c r="V9" i="11"/>
  <c r="W9" i="11"/>
  <c r="X9" i="11" a="1"/>
  <c r="X9" i="11" s="1"/>
  <c r="V3" i="11"/>
  <c r="W3" i="11"/>
  <c r="R3" i="11"/>
  <c r="AC3" i="11" s="1"/>
  <c r="S3" i="11"/>
  <c r="Y3" i="11" s="1"/>
  <c r="U3" i="11"/>
  <c r="T3" i="11"/>
  <c r="R6" i="11"/>
  <c r="AC6" i="11" s="1"/>
  <c r="S6" i="11"/>
  <c r="X6" i="11" a="1"/>
  <c r="X6" i="11" s="1"/>
  <c r="T6" i="11"/>
  <c r="W6" i="11"/>
  <c r="U6" i="11"/>
  <c r="V6" i="11"/>
  <c r="T8" i="11"/>
  <c r="U8" i="11"/>
  <c r="S8" i="11"/>
  <c r="V8" i="11"/>
  <c r="W8" i="11"/>
  <c r="X8" i="11" a="1"/>
  <c r="X8" i="11" s="1"/>
  <c r="R8" i="11"/>
  <c r="AC8" i="11" s="1"/>
  <c r="R5" i="11"/>
  <c r="AC5" i="11" s="1"/>
  <c r="S5" i="11"/>
  <c r="Y5" i="11" s="1"/>
  <c r="T5" i="11"/>
  <c r="U5" i="11"/>
  <c r="V5" i="11"/>
  <c r="W5" i="11"/>
  <c r="Z10" i="11"/>
  <c r="AA10" i="11" s="1"/>
  <c r="W7" i="11"/>
  <c r="V7" i="11"/>
  <c r="X7" i="11" a="1"/>
  <c r="X7" i="11" s="1"/>
  <c r="U7" i="11"/>
  <c r="R7" i="11"/>
  <c r="AC7" i="11" s="1"/>
  <c r="S7" i="11"/>
  <c r="T7" i="11"/>
  <c r="T4" i="11"/>
  <c r="U4" i="11"/>
  <c r="S4" i="11"/>
  <c r="Y4" i="11" s="1"/>
  <c r="V4" i="11"/>
  <c r="W4" i="11"/>
  <c r="R4" i="11"/>
  <c r="AC4" i="11" s="1"/>
  <c r="W11" i="11"/>
  <c r="X11" i="11" a="1"/>
  <c r="X11" i="11" s="1"/>
  <c r="U11" i="11"/>
  <c r="R11" i="11"/>
  <c r="AC11" i="11" s="1"/>
  <c r="S11" i="11"/>
  <c r="T11" i="11"/>
  <c r="V11" i="11"/>
  <c r="R2" i="11"/>
  <c r="AC2" i="11" s="1"/>
  <c r="S2" i="11"/>
  <c r="Y2" i="11" s="1"/>
  <c r="T2" i="11"/>
  <c r="U2" i="11"/>
  <c r="V2" i="11"/>
  <c r="W2" i="11"/>
  <c r="W1" i="11"/>
  <c r="U1" i="11"/>
  <c r="V1" i="11"/>
  <c r="S1" i="11"/>
  <c r="Y1" i="11" s="1"/>
  <c r="T1" i="11"/>
  <c r="R1" i="11"/>
  <c r="Y46" i="11"/>
  <c r="Y47" i="11"/>
  <c r="Y20" i="11"/>
  <c r="Y16" i="11"/>
  <c r="Y49" i="11"/>
  <c r="Y15" i="11"/>
  <c r="Y37" i="11"/>
  <c r="Y24" i="11"/>
  <c r="Y43" i="11"/>
  <c r="Y33" i="11"/>
  <c r="Y35" i="11"/>
  <c r="Y29" i="11"/>
  <c r="Y50" i="11"/>
  <c r="Y36" i="11"/>
  <c r="Y23" i="11"/>
  <c r="Y10" i="11"/>
  <c r="Y48" i="11"/>
  <c r="Y27" i="11"/>
  <c r="Y41" i="11"/>
  <c r="Y40" i="11"/>
  <c r="Y45" i="11"/>
  <c r="Z17" i="11"/>
  <c r="AA17" i="11" s="1"/>
  <c r="Y6" i="11"/>
  <c r="Z6" i="11"/>
  <c r="AA6" i="11" s="1"/>
  <c r="Z28" i="11"/>
  <c r="AA28" i="11" s="1"/>
  <c r="Z38" i="11"/>
  <c r="AA38" i="11" s="1"/>
  <c r="Z44" i="11"/>
  <c r="AA44" i="11" s="1"/>
  <c r="Y30" i="11"/>
  <c r="Z30" i="11"/>
  <c r="AA30" i="11" s="1"/>
  <c r="Z42" i="11"/>
  <c r="AA42" i="11" s="1"/>
  <c r="Z25" i="11"/>
  <c r="AA25" i="11" s="1"/>
  <c r="Z31" i="11"/>
  <c r="AA31" i="11" s="1"/>
  <c r="Z11" i="11"/>
  <c r="AA11" i="11" s="1"/>
  <c r="Z22" i="11"/>
  <c r="AA22" i="11" s="1"/>
  <c r="Z14" i="11"/>
  <c r="AA14" i="11" s="1"/>
  <c r="Z21" i="11"/>
  <c r="AA21" i="11" s="1"/>
  <c r="Z18" i="11"/>
  <c r="AA18" i="11" s="1"/>
  <c r="Z39" i="11"/>
  <c r="AA39" i="11" s="1"/>
  <c r="Y7" i="11"/>
  <c r="Z7" i="11"/>
  <c r="AA7" i="11" s="1"/>
  <c r="Z13" i="11"/>
  <c r="AA13" i="11" s="1"/>
  <c r="Z19" i="11"/>
  <c r="AA19" i="11" s="1"/>
  <c r="Z26" i="11"/>
  <c r="AA26" i="11" s="1"/>
  <c r="Z12" i="11"/>
  <c r="AA12" i="11" s="1"/>
  <c r="Z32" i="11"/>
  <c r="AA32" i="11" s="1"/>
  <c r="Z9" i="11"/>
  <c r="AA9" i="11" s="1"/>
  <c r="Z34" i="11"/>
  <c r="AA34" i="11" s="1"/>
  <c r="Z27" i="11"/>
  <c r="AA27" i="11" s="1"/>
  <c r="Z41" i="11"/>
  <c r="AA41" i="11" s="1"/>
  <c r="Y19" i="11"/>
  <c r="Y44" i="11"/>
  <c r="Y18" i="11"/>
  <c r="Y28" i="11"/>
  <c r="Y42" i="11"/>
  <c r="Y39" i="11"/>
  <c r="Y13" i="11"/>
  <c r="Y17" i="11"/>
  <c r="Y38" i="11"/>
  <c r="Y21" i="11"/>
  <c r="Y22" i="11"/>
  <c r="Y32" i="11"/>
  <c r="Y34" i="11"/>
  <c r="Y9" i="11"/>
  <c r="Y26" i="11"/>
  <c r="Y25" i="11"/>
  <c r="K50" i="2"/>
  <c r="N50" i="2"/>
  <c r="K121" i="9"/>
  <c r="M50" i="2"/>
  <c r="J50" i="2"/>
  <c r="K51" i="9"/>
  <c r="V51" i="2"/>
  <c r="O51" i="9" s="1"/>
  <c r="D49" i="9"/>
  <c r="N49" i="9" s="1"/>
  <c r="K191" i="9"/>
  <c r="O50" i="2"/>
  <c r="L50" i="2"/>
  <c r="A102" i="5" a="1"/>
  <c r="A102" i="5" s="1"/>
  <c r="AH102" i="5" s="1"/>
  <c r="AL100" i="5"/>
  <c r="AJ100" i="5"/>
  <c r="AL101" i="5"/>
  <c r="AJ101" i="5"/>
  <c r="A103" i="5" a="1"/>
  <c r="A103" i="5" s="1"/>
  <c r="AH103" i="5" s="1"/>
  <c r="BP9" i="10"/>
  <c r="I53" i="2"/>
  <c r="L192" i="9"/>
  <c r="L52" i="9"/>
  <c r="L122" i="9"/>
  <c r="F48" i="9"/>
  <c r="G48" i="9" s="1"/>
  <c r="Q48" i="9"/>
  <c r="P48" i="9" s="1"/>
  <c r="J48" i="9"/>
  <c r="O190" i="9"/>
  <c r="O120" i="9"/>
  <c r="X3" i="11" a="1"/>
  <c r="X4" i="11" a="1"/>
  <c r="X5" i="11" a="1"/>
  <c r="X2" i="11" a="1"/>
  <c r="M51" i="2" a="1"/>
  <c r="R52" i="2"/>
  <c r="J51" i="2" a="1"/>
  <c r="T52" i="2"/>
  <c r="Q52" i="2"/>
  <c r="O51" i="2" a="1"/>
  <c r="S52" i="2"/>
  <c r="U52" i="2"/>
  <c r="N51" i="2" a="1"/>
  <c r="K51" i="2" a="1"/>
  <c r="P52" i="2"/>
  <c r="L51" i="2" a="1"/>
  <c r="AD102" i="5" l="1"/>
  <c r="AF102" i="5"/>
  <c r="AD103" i="5"/>
  <c r="AF103" i="5"/>
  <c r="Z103" i="5"/>
  <c r="AB103" i="5"/>
  <c r="Z102" i="5"/>
  <c r="AB102" i="5"/>
  <c r="V103" i="5"/>
  <c r="X103" i="5"/>
  <c r="V102" i="5"/>
  <c r="X102" i="5"/>
  <c r="R102" i="5"/>
  <c r="T102" i="5"/>
  <c r="R103" i="5"/>
  <c r="T103" i="5"/>
  <c r="N102" i="5"/>
  <c r="P102" i="5"/>
  <c r="N103" i="5"/>
  <c r="P103" i="5"/>
  <c r="J102" i="5"/>
  <c r="L102" i="5"/>
  <c r="J103" i="5"/>
  <c r="L103" i="5"/>
  <c r="F102" i="5"/>
  <c r="H102" i="5"/>
  <c r="F103" i="5"/>
  <c r="H103" i="5"/>
  <c r="B102" i="5"/>
  <c r="D102" i="5"/>
  <c r="B103" i="5"/>
  <c r="D103" i="5"/>
  <c r="R139" i="11"/>
  <c r="S139" i="11" s="1" a="1"/>
  <c r="S139" i="11" s="1"/>
  <c r="R138" i="11"/>
  <c r="S138" i="11" s="1" a="1"/>
  <c r="S138" i="11" s="1"/>
  <c r="X2" i="11"/>
  <c r="X5" i="11"/>
  <c r="X4" i="11"/>
  <c r="X3" i="11"/>
  <c r="Z3" i="11"/>
  <c r="AA3" i="11" s="1"/>
  <c r="Z1" i="11"/>
  <c r="AA1" i="11" s="1"/>
  <c r="AC1" i="11"/>
  <c r="Z5" i="11"/>
  <c r="AA5" i="11" s="1"/>
  <c r="Z4" i="11"/>
  <c r="AA4" i="11" s="1"/>
  <c r="Z2" i="11"/>
  <c r="AA2" i="11" s="1"/>
  <c r="L51" i="2"/>
  <c r="K52" i="9"/>
  <c r="V52" i="2"/>
  <c r="O52" i="9" s="1"/>
  <c r="K51" i="2"/>
  <c r="N51" i="2"/>
  <c r="O51" i="2"/>
  <c r="K122" i="9"/>
  <c r="J51" i="2"/>
  <c r="K192" i="9"/>
  <c r="M51" i="2"/>
  <c r="A104" i="5" a="1"/>
  <c r="A104" i="5" s="1"/>
  <c r="AH104" i="5" s="1"/>
  <c r="AL102" i="5"/>
  <c r="AJ102" i="5"/>
  <c r="BI17" i="10"/>
  <c r="J49" i="9"/>
  <c r="Q49" i="9"/>
  <c r="P49" i="9" s="1"/>
  <c r="F49" i="9"/>
  <c r="G49" i="9" s="1"/>
  <c r="I54" i="2"/>
  <c r="AJ103" i="5"/>
  <c r="A105" i="5" a="1"/>
  <c r="A105" i="5" s="1"/>
  <c r="AH105" i="5" s="1"/>
  <c r="AL103" i="5"/>
  <c r="O191" i="9"/>
  <c r="O121" i="9"/>
  <c r="T53" i="2"/>
  <c r="M52" i="9" a="1"/>
  <c r="Q53" i="2"/>
  <c r="K52" i="2" a="1"/>
  <c r="U53" i="2"/>
  <c r="J52" i="2" a="1"/>
  <c r="N52" i="2" a="1"/>
  <c r="P53" i="2"/>
  <c r="S53" i="2"/>
  <c r="R53" i="2"/>
  <c r="O52" i="2" a="1"/>
  <c r="L52" i="2" a="1"/>
  <c r="M52" i="2" a="1"/>
  <c r="AD104" i="5" l="1"/>
  <c r="AF104" i="5"/>
  <c r="AD105" i="5"/>
  <c r="AF105" i="5"/>
  <c r="Z105" i="5"/>
  <c r="AB105" i="5"/>
  <c r="Z104" i="5"/>
  <c r="AB104" i="5"/>
  <c r="V105" i="5"/>
  <c r="X105" i="5"/>
  <c r="V104" i="5"/>
  <c r="X104" i="5"/>
  <c r="R104" i="5"/>
  <c r="T104" i="5"/>
  <c r="R105" i="5"/>
  <c r="T105" i="5"/>
  <c r="N105" i="5"/>
  <c r="P105" i="5"/>
  <c r="N104" i="5"/>
  <c r="P104" i="5"/>
  <c r="J105" i="5"/>
  <c r="L105" i="5"/>
  <c r="J104" i="5"/>
  <c r="L104" i="5"/>
  <c r="F105" i="5"/>
  <c r="H105" i="5"/>
  <c r="F104" i="5"/>
  <c r="H104" i="5"/>
  <c r="B104" i="5"/>
  <c r="D104" i="5"/>
  <c r="B105" i="5"/>
  <c r="D105" i="5"/>
  <c r="M52" i="2"/>
  <c r="L52" i="2"/>
  <c r="O52" i="2"/>
  <c r="K193" i="9"/>
  <c r="K53" i="9"/>
  <c r="V53" i="2"/>
  <c r="O53" i="9" s="1"/>
  <c r="N52" i="2"/>
  <c r="J52" i="2"/>
  <c r="K52" i="2"/>
  <c r="K123" i="9"/>
  <c r="M52" i="9"/>
  <c r="I55" i="2"/>
  <c r="L54" i="9"/>
  <c r="L124" i="9"/>
  <c r="L194" i="9"/>
  <c r="AL105" i="5"/>
  <c r="A107" i="5" a="1"/>
  <c r="A107" i="5" s="1"/>
  <c r="AH107" i="5" s="1"/>
  <c r="AJ105" i="5"/>
  <c r="BP17" i="10"/>
  <c r="AJ104" i="5"/>
  <c r="A106" i="5" a="1"/>
  <c r="A106" i="5" s="1"/>
  <c r="AH106" i="5" s="1"/>
  <c r="AL104" i="5"/>
  <c r="O192" i="9"/>
  <c r="I52" i="9" a="1"/>
  <c r="I52" i="9" s="1"/>
  <c r="O122" i="9"/>
  <c r="Q54" i="2"/>
  <c r="J53" i="2" a="1"/>
  <c r="N53" i="2" a="1"/>
  <c r="P54" i="2"/>
  <c r="D52" i="9" a="1"/>
  <c r="R54" i="2"/>
  <c r="L53" i="2" a="1"/>
  <c r="O53" i="2" a="1"/>
  <c r="T54" i="2"/>
  <c r="M53" i="2" a="1"/>
  <c r="S54" i="2"/>
  <c r="K53" i="2" a="1"/>
  <c r="U54" i="2"/>
  <c r="AD106" i="5" l="1"/>
  <c r="AF106" i="5"/>
  <c r="AD107" i="5"/>
  <c r="AF107" i="5"/>
  <c r="Z107" i="5"/>
  <c r="AB107" i="5"/>
  <c r="Z106" i="5"/>
  <c r="AB106" i="5"/>
  <c r="V106" i="5"/>
  <c r="X106" i="5"/>
  <c r="V107" i="5"/>
  <c r="X107" i="5"/>
  <c r="R107" i="5"/>
  <c r="T107" i="5"/>
  <c r="R106" i="5"/>
  <c r="T106" i="5"/>
  <c r="N106" i="5"/>
  <c r="P106" i="5"/>
  <c r="N107" i="5"/>
  <c r="P107" i="5"/>
  <c r="J107" i="5"/>
  <c r="L107" i="5"/>
  <c r="J106" i="5"/>
  <c r="L106" i="5"/>
  <c r="F106" i="5"/>
  <c r="H106" i="5"/>
  <c r="F107" i="5"/>
  <c r="H107" i="5"/>
  <c r="B106" i="5"/>
  <c r="D106" i="5"/>
  <c r="B107" i="5"/>
  <c r="D107" i="5"/>
  <c r="K53" i="2"/>
  <c r="M53" i="2"/>
  <c r="O53" i="2"/>
  <c r="L53" i="2"/>
  <c r="K194" i="9"/>
  <c r="D52" i="9"/>
  <c r="N52" i="9" s="1"/>
  <c r="K54" i="9"/>
  <c r="V54" i="2"/>
  <c r="O54" i="9" s="1"/>
  <c r="N53" i="2"/>
  <c r="J53" i="2"/>
  <c r="K124" i="9"/>
  <c r="BI25" i="10"/>
  <c r="I56" i="2"/>
  <c r="L195" i="9"/>
  <c r="L125" i="9"/>
  <c r="L55" i="9"/>
  <c r="AJ106" i="5"/>
  <c r="AL106" i="5"/>
  <c r="A108" i="5" a="1"/>
  <c r="A108" i="5" s="1"/>
  <c r="AH108" i="5" s="1"/>
  <c r="AL107" i="5"/>
  <c r="AJ107" i="5"/>
  <c r="A109" i="5" a="1"/>
  <c r="A109" i="5" s="1"/>
  <c r="AH109" i="5" s="1"/>
  <c r="O193" i="9"/>
  <c r="O123" i="9"/>
  <c r="O54" i="2" a="1"/>
  <c r="L54" i="2" a="1"/>
  <c r="K54" i="2" a="1"/>
  <c r="U55" i="2"/>
  <c r="T55" i="2"/>
  <c r="M54" i="2" a="1"/>
  <c r="M54" i="9" a="1"/>
  <c r="Q55" i="2"/>
  <c r="N54" i="2" a="1"/>
  <c r="J54" i="2" a="1"/>
  <c r="S55" i="2"/>
  <c r="R55" i="2"/>
  <c r="P55" i="2"/>
  <c r="AD109" i="5" l="1"/>
  <c r="AF109" i="5"/>
  <c r="AD108" i="5"/>
  <c r="AF108" i="5"/>
  <c r="Z109" i="5"/>
  <c r="AB109" i="5"/>
  <c r="Z108" i="5"/>
  <c r="AB108" i="5"/>
  <c r="V108" i="5"/>
  <c r="X108" i="5"/>
  <c r="V109" i="5"/>
  <c r="X109" i="5"/>
  <c r="R109" i="5"/>
  <c r="T109" i="5"/>
  <c r="R108" i="5"/>
  <c r="T108" i="5"/>
  <c r="N108" i="5"/>
  <c r="P108" i="5"/>
  <c r="N109" i="5"/>
  <c r="P109" i="5"/>
  <c r="J108" i="5"/>
  <c r="L108" i="5"/>
  <c r="J109" i="5"/>
  <c r="L109" i="5"/>
  <c r="F108" i="5"/>
  <c r="H108" i="5"/>
  <c r="F109" i="5"/>
  <c r="H109" i="5"/>
  <c r="B108" i="5"/>
  <c r="D108" i="5"/>
  <c r="B109" i="5"/>
  <c r="D109" i="5"/>
  <c r="K55" i="9"/>
  <c r="V55" i="2"/>
  <c r="O55" i="9" s="1"/>
  <c r="K195" i="9"/>
  <c r="J54" i="2"/>
  <c r="N54" i="2"/>
  <c r="K125" i="9"/>
  <c r="M54" i="9"/>
  <c r="M54" i="2"/>
  <c r="K54" i="2"/>
  <c r="L54" i="2"/>
  <c r="O54" i="2"/>
  <c r="A110" i="5" a="1"/>
  <c r="A110" i="5" s="1"/>
  <c r="AH110" i="5" s="1"/>
  <c r="AL108" i="5"/>
  <c r="AJ108" i="5"/>
  <c r="L56" i="9"/>
  <c r="I57" i="2"/>
  <c r="L126" i="9"/>
  <c r="L196" i="9"/>
  <c r="O194" i="9"/>
  <c r="O124" i="9"/>
  <c r="I54" i="9" a="1"/>
  <c r="I54" i="9" s="1"/>
  <c r="AJ109" i="5"/>
  <c r="A111" i="5" a="1"/>
  <c r="A111" i="5" s="1"/>
  <c r="AH111" i="5" s="1"/>
  <c r="AL109" i="5"/>
  <c r="BP25" i="10"/>
  <c r="F52" i="9"/>
  <c r="G52" i="9" s="1"/>
  <c r="J52" i="9"/>
  <c r="Q52" i="9"/>
  <c r="P52" i="9" s="1"/>
  <c r="M55" i="9" a="1"/>
  <c r="S56" i="2"/>
  <c r="K55" i="2" a="1"/>
  <c r="T56" i="2"/>
  <c r="J55" i="2" a="1"/>
  <c r="U56" i="2"/>
  <c r="L55" i="2" a="1"/>
  <c r="Q56" i="2"/>
  <c r="M55" i="2" a="1"/>
  <c r="N55" i="2" a="1"/>
  <c r="P56" i="2"/>
  <c r="D54" i="9" a="1"/>
  <c r="O55" i="2" a="1"/>
  <c r="R56" i="2"/>
  <c r="AD111" i="5" l="1"/>
  <c r="AF111" i="5"/>
  <c r="AD110" i="5"/>
  <c r="AF110" i="5"/>
  <c r="Z111" i="5"/>
  <c r="AB111" i="5"/>
  <c r="Z110" i="5"/>
  <c r="AB110" i="5"/>
  <c r="V111" i="5"/>
  <c r="X111" i="5"/>
  <c r="V110" i="5"/>
  <c r="X110" i="5"/>
  <c r="R110" i="5"/>
  <c r="T110" i="5"/>
  <c r="R111" i="5"/>
  <c r="T111" i="5"/>
  <c r="N110" i="5"/>
  <c r="P110" i="5"/>
  <c r="N111" i="5"/>
  <c r="P111" i="5"/>
  <c r="J110" i="5"/>
  <c r="L110" i="5"/>
  <c r="J111" i="5"/>
  <c r="L111" i="5"/>
  <c r="F111" i="5"/>
  <c r="H111" i="5"/>
  <c r="F110" i="5"/>
  <c r="H110" i="5"/>
  <c r="B110" i="5"/>
  <c r="D110" i="5"/>
  <c r="B111" i="5"/>
  <c r="D111" i="5"/>
  <c r="K196" i="9"/>
  <c r="O55" i="2"/>
  <c r="D54" i="9"/>
  <c r="N54" i="9" s="1"/>
  <c r="K56" i="9"/>
  <c r="V56" i="2"/>
  <c r="O56" i="9" s="1"/>
  <c r="N55" i="2"/>
  <c r="M55" i="2"/>
  <c r="K126" i="9"/>
  <c r="L55" i="2"/>
  <c r="J55" i="2"/>
  <c r="K55" i="2"/>
  <c r="M55" i="9"/>
  <c r="A113" i="5" a="1"/>
  <c r="A113" i="5" s="1"/>
  <c r="AH113" i="5" s="1"/>
  <c r="AL111" i="5"/>
  <c r="AJ111" i="5"/>
  <c r="A112" i="5" a="1"/>
  <c r="A112" i="5" s="1"/>
  <c r="AH112" i="5" s="1"/>
  <c r="AL110" i="5"/>
  <c r="AJ110" i="5"/>
  <c r="O195" i="9"/>
  <c r="O125" i="9"/>
  <c r="I55" i="9" a="1"/>
  <c r="I55" i="9" s="1"/>
  <c r="BI33" i="10"/>
  <c r="L57" i="9"/>
  <c r="I58" i="2"/>
  <c r="L197" i="9"/>
  <c r="L127" i="9"/>
  <c r="M56" i="2" a="1"/>
  <c r="L56" i="2" a="1"/>
  <c r="Q57" i="2"/>
  <c r="K56" i="2" a="1"/>
  <c r="S57" i="2"/>
  <c r="P57" i="2"/>
  <c r="M56" i="9" a="1"/>
  <c r="O56" i="2" a="1"/>
  <c r="D55" i="9" a="1"/>
  <c r="J56" i="2" a="1"/>
  <c r="N56" i="2" a="1"/>
  <c r="U57" i="2"/>
  <c r="T57" i="2"/>
  <c r="R57" i="2"/>
  <c r="AD112" i="5" l="1"/>
  <c r="AF112" i="5"/>
  <c r="AD113" i="5"/>
  <c r="AF113" i="5"/>
  <c r="Z113" i="5"/>
  <c r="AB113" i="5"/>
  <c r="Z112" i="5"/>
  <c r="AB112" i="5"/>
  <c r="V113" i="5"/>
  <c r="X113" i="5"/>
  <c r="V112" i="5"/>
  <c r="X112" i="5"/>
  <c r="R113" i="5"/>
  <c r="T113" i="5"/>
  <c r="R112" i="5"/>
  <c r="T112" i="5"/>
  <c r="N112" i="5"/>
  <c r="P112" i="5"/>
  <c r="N113" i="5"/>
  <c r="P113" i="5"/>
  <c r="J113" i="5"/>
  <c r="L113" i="5"/>
  <c r="J112" i="5"/>
  <c r="L112" i="5"/>
  <c r="F113" i="5"/>
  <c r="H113" i="5"/>
  <c r="F112" i="5"/>
  <c r="H112" i="5"/>
  <c r="B113" i="5"/>
  <c r="D113" i="5"/>
  <c r="B112" i="5"/>
  <c r="D112" i="5"/>
  <c r="K197" i="9"/>
  <c r="N56" i="2"/>
  <c r="J56" i="2"/>
  <c r="D55" i="9"/>
  <c r="N55" i="9" s="1"/>
  <c r="O56" i="2"/>
  <c r="M56" i="9"/>
  <c r="K57" i="9"/>
  <c r="V57" i="2"/>
  <c r="O57" i="9" s="1"/>
  <c r="K56" i="2"/>
  <c r="K127" i="9"/>
  <c r="L56" i="2"/>
  <c r="M56" i="2"/>
  <c r="BP33" i="10"/>
  <c r="AL113" i="5"/>
  <c r="AJ113" i="5"/>
  <c r="A115" i="5" a="1"/>
  <c r="A115" i="5" s="1"/>
  <c r="AH115" i="5" s="1"/>
  <c r="L58" i="9"/>
  <c r="I59" i="2"/>
  <c r="L198" i="9"/>
  <c r="L128" i="9"/>
  <c r="O196" i="9"/>
  <c r="O126" i="9"/>
  <c r="I56" i="9" a="1"/>
  <c r="I56" i="9" s="1"/>
  <c r="F54" i="9"/>
  <c r="G54" i="9" s="1"/>
  <c r="Q54" i="9"/>
  <c r="P54" i="9" s="1"/>
  <c r="J54" i="9"/>
  <c r="AJ112" i="5"/>
  <c r="AL112" i="5"/>
  <c r="A114" i="5" a="1"/>
  <c r="A114" i="5" s="1"/>
  <c r="AH114" i="5" s="1"/>
  <c r="K57" i="2" a="1"/>
  <c r="U58" i="2"/>
  <c r="L57" i="2" a="1"/>
  <c r="M57" i="9" a="1"/>
  <c r="Q58" i="2"/>
  <c r="N57" i="2" a="1"/>
  <c r="P58" i="2"/>
  <c r="O57" i="2" a="1"/>
  <c r="J57" i="2" a="1"/>
  <c r="R58" i="2"/>
  <c r="D56" i="9" a="1"/>
  <c r="M57" i="2" a="1"/>
  <c r="T58" i="2"/>
  <c r="S58" i="2"/>
  <c r="AD114" i="5" l="1"/>
  <c r="AF114" i="5"/>
  <c r="AD115" i="5"/>
  <c r="AF115" i="5"/>
  <c r="Z115" i="5"/>
  <c r="AB115" i="5"/>
  <c r="Z114" i="5"/>
  <c r="AB114" i="5"/>
  <c r="V114" i="5"/>
  <c r="X114" i="5"/>
  <c r="V115" i="5"/>
  <c r="X115" i="5"/>
  <c r="R115" i="5"/>
  <c r="T115" i="5"/>
  <c r="R114" i="5"/>
  <c r="T114" i="5"/>
  <c r="N114" i="5"/>
  <c r="P114" i="5"/>
  <c r="N115" i="5"/>
  <c r="P115" i="5"/>
  <c r="J114" i="5"/>
  <c r="L114" i="5"/>
  <c r="J115" i="5"/>
  <c r="L115" i="5"/>
  <c r="F114" i="5"/>
  <c r="H114" i="5"/>
  <c r="F115" i="5"/>
  <c r="H115" i="5"/>
  <c r="B115" i="5"/>
  <c r="D115" i="5"/>
  <c r="B114" i="5"/>
  <c r="D114" i="5"/>
  <c r="M57" i="2"/>
  <c r="D56" i="9"/>
  <c r="N56" i="9" s="1"/>
  <c r="K198" i="9"/>
  <c r="J57" i="2"/>
  <c r="O57" i="2"/>
  <c r="K58" i="9"/>
  <c r="V58" i="2"/>
  <c r="O58" i="9" s="1"/>
  <c r="N57" i="2"/>
  <c r="K128" i="9"/>
  <c r="M57" i="9"/>
  <c r="L57" i="2"/>
  <c r="K57" i="2"/>
  <c r="AL115" i="5"/>
  <c r="AJ115" i="5"/>
  <c r="A117" i="5" a="1"/>
  <c r="A117" i="5" s="1"/>
  <c r="AH117" i="5" s="1"/>
  <c r="F55" i="9"/>
  <c r="G55" i="9" s="1"/>
  <c r="J55" i="9"/>
  <c r="Q55" i="9"/>
  <c r="P55" i="9" s="1"/>
  <c r="I60" i="2"/>
  <c r="L59" i="9"/>
  <c r="L199" i="9"/>
  <c r="L129" i="9"/>
  <c r="BI41" i="10"/>
  <c r="O197" i="9"/>
  <c r="O127" i="9"/>
  <c r="I57" i="9" a="1"/>
  <c r="I57" i="9" s="1"/>
  <c r="AJ114" i="5"/>
  <c r="AL114" i="5"/>
  <c r="A116" i="5" a="1"/>
  <c r="A116" i="5" s="1"/>
  <c r="AH116" i="5" s="1"/>
  <c r="M58" i="2" a="1"/>
  <c r="M58" i="9" a="1"/>
  <c r="O58" i="2" a="1"/>
  <c r="S59" i="2"/>
  <c r="N58" i="2" a="1"/>
  <c r="R59" i="2"/>
  <c r="J58" i="2" a="1"/>
  <c r="P59" i="2"/>
  <c r="U59" i="2"/>
  <c r="L58" i="2" a="1"/>
  <c r="K58" i="2" a="1"/>
  <c r="T59" i="2"/>
  <c r="D57" i="9" a="1"/>
  <c r="Q59" i="2"/>
  <c r="AD117" i="5" l="1"/>
  <c r="AF117" i="5"/>
  <c r="AD116" i="5"/>
  <c r="AF116" i="5"/>
  <c r="Z117" i="5"/>
  <c r="AB117" i="5"/>
  <c r="Z116" i="5"/>
  <c r="AB116" i="5"/>
  <c r="V117" i="5"/>
  <c r="X117" i="5"/>
  <c r="V116" i="5"/>
  <c r="X116" i="5"/>
  <c r="R117" i="5"/>
  <c r="T117" i="5"/>
  <c r="R116" i="5"/>
  <c r="T116" i="5"/>
  <c r="N117" i="5"/>
  <c r="P117" i="5"/>
  <c r="N116" i="5"/>
  <c r="P116" i="5"/>
  <c r="J117" i="5"/>
  <c r="L117" i="5"/>
  <c r="J116" i="5"/>
  <c r="L116" i="5"/>
  <c r="F116" i="5"/>
  <c r="H116" i="5"/>
  <c r="F117" i="5"/>
  <c r="H117" i="5"/>
  <c r="B116" i="5"/>
  <c r="D116" i="5"/>
  <c r="B117" i="5"/>
  <c r="D117" i="5"/>
  <c r="K129" i="9"/>
  <c r="D57" i="9"/>
  <c r="N57" i="9" s="1"/>
  <c r="K58" i="2"/>
  <c r="L58" i="2"/>
  <c r="K59" i="9"/>
  <c r="V59" i="2"/>
  <c r="O59" i="9" s="1"/>
  <c r="J58" i="2"/>
  <c r="K199" i="9"/>
  <c r="N58" i="2"/>
  <c r="O58" i="2"/>
  <c r="M58" i="9"/>
  <c r="M58" i="2"/>
  <c r="A118" i="5" a="1"/>
  <c r="A118" i="5" s="1"/>
  <c r="AH118" i="5" s="1"/>
  <c r="AL116" i="5"/>
  <c r="AJ116" i="5"/>
  <c r="A119" i="5" a="1"/>
  <c r="A119" i="5" s="1"/>
  <c r="AH119" i="5" s="1"/>
  <c r="AL117" i="5"/>
  <c r="AJ117" i="5"/>
  <c r="I61" i="2"/>
  <c r="L60" i="9"/>
  <c r="L200" i="9"/>
  <c r="L130" i="9"/>
  <c r="F56" i="9"/>
  <c r="G56" i="9" s="1"/>
  <c r="Q56" i="9"/>
  <c r="P56" i="9" s="1"/>
  <c r="J56" i="9"/>
  <c r="BP41" i="10"/>
  <c r="O198" i="9"/>
  <c r="O128" i="9"/>
  <c r="I58" i="9" a="1"/>
  <c r="I58" i="9" s="1"/>
  <c r="M59" i="9" a="1"/>
  <c r="T60" i="2"/>
  <c r="P60" i="2"/>
  <c r="U60" i="2"/>
  <c r="K59" i="2" a="1"/>
  <c r="J59" i="2" a="1"/>
  <c r="S60" i="2"/>
  <c r="D58" i="9" a="1"/>
  <c r="N59" i="2" a="1"/>
  <c r="L59" i="2" a="1"/>
  <c r="Q60" i="2"/>
  <c r="R60" i="2"/>
  <c r="O59" i="2" a="1"/>
  <c r="M59" i="2" a="1"/>
  <c r="AD119" i="5" l="1"/>
  <c r="AF119" i="5"/>
  <c r="AD118" i="5"/>
  <c r="AF118" i="5"/>
  <c r="Z118" i="5"/>
  <c r="AB118" i="5"/>
  <c r="Z119" i="5"/>
  <c r="AB119" i="5"/>
  <c r="V119" i="5"/>
  <c r="X119" i="5"/>
  <c r="V118" i="5"/>
  <c r="X118" i="5"/>
  <c r="R118" i="5"/>
  <c r="T118" i="5"/>
  <c r="R119" i="5"/>
  <c r="T119" i="5"/>
  <c r="N118" i="5"/>
  <c r="P118" i="5"/>
  <c r="N119" i="5"/>
  <c r="P119" i="5"/>
  <c r="J119" i="5"/>
  <c r="L119" i="5"/>
  <c r="J118" i="5"/>
  <c r="L118" i="5"/>
  <c r="F119" i="5"/>
  <c r="H119" i="5"/>
  <c r="F118" i="5"/>
  <c r="H118" i="5"/>
  <c r="B118" i="5"/>
  <c r="D118" i="5"/>
  <c r="B119" i="5"/>
  <c r="D119" i="5"/>
  <c r="M59" i="2"/>
  <c r="O59" i="2"/>
  <c r="K200" i="9"/>
  <c r="K130" i="9"/>
  <c r="L59" i="2"/>
  <c r="N59" i="2"/>
  <c r="D58" i="9"/>
  <c r="N58" i="9" s="1"/>
  <c r="J59" i="2"/>
  <c r="K59" i="2"/>
  <c r="K60" i="9"/>
  <c r="V60" i="2"/>
  <c r="O60" i="9" s="1"/>
  <c r="M59" i="9"/>
  <c r="A120" i="5" a="1"/>
  <c r="A120" i="5" s="1"/>
  <c r="AH120" i="5" s="1"/>
  <c r="AL118" i="5"/>
  <c r="AJ118" i="5"/>
  <c r="J57" i="9"/>
  <c r="Q57" i="9"/>
  <c r="P57" i="9" s="1"/>
  <c r="F57" i="9"/>
  <c r="G57" i="9" s="1"/>
  <c r="O199" i="9"/>
  <c r="O129" i="9"/>
  <c r="I59" i="9" a="1"/>
  <c r="I59" i="9" s="1"/>
  <c r="BX1" i="10"/>
  <c r="I62" i="2"/>
  <c r="L201" i="9"/>
  <c r="L61" i="9"/>
  <c r="L131" i="9"/>
  <c r="AL119" i="5"/>
  <c r="AJ119" i="5"/>
  <c r="A121" i="5" a="1"/>
  <c r="A121" i="5" s="1"/>
  <c r="AH121" i="5" s="1"/>
  <c r="N60" i="2" a="1"/>
  <c r="M60" i="2" a="1"/>
  <c r="S61" i="2"/>
  <c r="R61" i="2"/>
  <c r="D59" i="9" a="1"/>
  <c r="U61" i="2"/>
  <c r="L60" i="2" a="1"/>
  <c r="P61" i="2"/>
  <c r="Q61" i="2"/>
  <c r="T61" i="2"/>
  <c r="O60" i="2" a="1"/>
  <c r="K60" i="2" a="1"/>
  <c r="M60" i="9" a="1"/>
  <c r="J60" i="2" a="1"/>
  <c r="AD121" i="5" l="1"/>
  <c r="AF121" i="5"/>
  <c r="AD120" i="5"/>
  <c r="AF120" i="5"/>
  <c r="Z120" i="5"/>
  <c r="AB120" i="5"/>
  <c r="Z121" i="5"/>
  <c r="AB121" i="5"/>
  <c r="V120" i="5"/>
  <c r="X120" i="5"/>
  <c r="V121" i="5"/>
  <c r="X121" i="5"/>
  <c r="R120" i="5"/>
  <c r="T120" i="5"/>
  <c r="R121" i="5"/>
  <c r="T121" i="5"/>
  <c r="N120" i="5"/>
  <c r="P120" i="5"/>
  <c r="N121" i="5"/>
  <c r="P121" i="5"/>
  <c r="J120" i="5"/>
  <c r="L120" i="5"/>
  <c r="J121" i="5"/>
  <c r="L121" i="5"/>
  <c r="F120" i="5"/>
  <c r="H120" i="5"/>
  <c r="F121" i="5"/>
  <c r="H121" i="5"/>
  <c r="B120" i="5"/>
  <c r="D120" i="5"/>
  <c r="B121" i="5"/>
  <c r="D121" i="5"/>
  <c r="J60" i="2"/>
  <c r="M60" i="9"/>
  <c r="K60" i="2"/>
  <c r="O60" i="2"/>
  <c r="K131" i="9"/>
  <c r="K61" i="9"/>
  <c r="V61" i="2"/>
  <c r="O61" i="9" s="1"/>
  <c r="L60" i="2"/>
  <c r="D59" i="9"/>
  <c r="N59" i="9" s="1"/>
  <c r="K201" i="9"/>
  <c r="M60" i="2"/>
  <c r="N60" i="2"/>
  <c r="CE1" i="10"/>
  <c r="O200" i="9"/>
  <c r="O130" i="9"/>
  <c r="I60" i="9" a="1"/>
  <c r="I60" i="9" s="1"/>
  <c r="AJ120" i="5"/>
  <c r="AL120" i="5"/>
  <c r="A122" i="5" a="1"/>
  <c r="A122" i="5" s="1"/>
  <c r="AH122" i="5" s="1"/>
  <c r="I63" i="2"/>
  <c r="AL121" i="5"/>
  <c r="AJ121" i="5"/>
  <c r="A123" i="5" a="1"/>
  <c r="A123" i="5" s="1"/>
  <c r="AH123" i="5" s="1"/>
  <c r="F58" i="9"/>
  <c r="G58" i="9" s="1"/>
  <c r="J58" i="9"/>
  <c r="Q58" i="9"/>
  <c r="P58" i="9" s="1"/>
  <c r="D60" i="9" a="1"/>
  <c r="M61" i="2" a="1"/>
  <c r="J61" i="2" a="1"/>
  <c r="T62" i="2"/>
  <c r="S62" i="2"/>
  <c r="O61" i="2" a="1"/>
  <c r="U62" i="2"/>
  <c r="N61" i="2" a="1"/>
  <c r="Q62" i="2"/>
  <c r="P62" i="2"/>
  <c r="K61" i="2" a="1"/>
  <c r="M61" i="9" a="1"/>
  <c r="L61" i="2" a="1"/>
  <c r="R62" i="2"/>
  <c r="AD122" i="5" l="1"/>
  <c r="AF122" i="5"/>
  <c r="AD123" i="5"/>
  <c r="AF123" i="5"/>
  <c r="Z122" i="5"/>
  <c r="AB122" i="5"/>
  <c r="Z123" i="5"/>
  <c r="AB123" i="5"/>
  <c r="V122" i="5"/>
  <c r="X122" i="5"/>
  <c r="V123" i="5"/>
  <c r="X123" i="5"/>
  <c r="R123" i="5"/>
  <c r="T123" i="5"/>
  <c r="R122" i="5"/>
  <c r="T122" i="5"/>
  <c r="N123" i="5"/>
  <c r="P123" i="5"/>
  <c r="N122" i="5"/>
  <c r="P122" i="5"/>
  <c r="J122" i="5"/>
  <c r="L122" i="5"/>
  <c r="J123" i="5"/>
  <c r="L123" i="5"/>
  <c r="F122" i="5"/>
  <c r="H122" i="5"/>
  <c r="F123" i="5"/>
  <c r="H123" i="5"/>
  <c r="B122" i="5"/>
  <c r="D122" i="5"/>
  <c r="B123" i="5"/>
  <c r="D123" i="5"/>
  <c r="K202" i="9"/>
  <c r="L61" i="2"/>
  <c r="M61" i="9"/>
  <c r="K61" i="2"/>
  <c r="K62" i="9"/>
  <c r="V62" i="2"/>
  <c r="O62" i="9" s="1"/>
  <c r="K132" i="9"/>
  <c r="N61" i="2"/>
  <c r="O61" i="2"/>
  <c r="J61" i="2"/>
  <c r="M61" i="2"/>
  <c r="D60" i="9"/>
  <c r="N60" i="9" s="1"/>
  <c r="F59" i="9"/>
  <c r="G59" i="9" s="1"/>
  <c r="Q59" i="9"/>
  <c r="P59" i="9" s="1"/>
  <c r="J59" i="9"/>
  <c r="BX9" i="10"/>
  <c r="AL123" i="5"/>
  <c r="A125" i="5" a="1"/>
  <c r="A125" i="5" s="1"/>
  <c r="AH125" i="5" s="1"/>
  <c r="AJ123" i="5"/>
  <c r="I64" i="2"/>
  <c r="AJ122" i="5"/>
  <c r="A124" i="5" a="1"/>
  <c r="A124" i="5" s="1"/>
  <c r="AH124" i="5" s="1"/>
  <c r="AL122" i="5"/>
  <c r="O201" i="9"/>
  <c r="O131" i="9"/>
  <c r="I61" i="9" a="1"/>
  <c r="I61" i="9" s="1"/>
  <c r="L62" i="2" a="1"/>
  <c r="K62" i="2" a="1"/>
  <c r="S63" i="2"/>
  <c r="R63" i="2"/>
  <c r="T63" i="2"/>
  <c r="Q63" i="2"/>
  <c r="U63" i="2"/>
  <c r="O62" i="2" a="1"/>
  <c r="P63" i="2"/>
  <c r="M62" i="2" a="1"/>
  <c r="N62" i="2" a="1"/>
  <c r="J62" i="2" a="1"/>
  <c r="D61" i="9" a="1"/>
  <c r="AD125" i="5" l="1"/>
  <c r="AF125" i="5"/>
  <c r="AD124" i="5"/>
  <c r="AF124" i="5"/>
  <c r="Z125" i="5"/>
  <c r="AB125" i="5"/>
  <c r="Z124" i="5"/>
  <c r="AB124" i="5"/>
  <c r="V125" i="5"/>
  <c r="X125" i="5"/>
  <c r="V124" i="5"/>
  <c r="X124" i="5"/>
  <c r="R125" i="5"/>
  <c r="T125" i="5"/>
  <c r="R124" i="5"/>
  <c r="T124" i="5"/>
  <c r="N125" i="5"/>
  <c r="P125" i="5"/>
  <c r="N124" i="5"/>
  <c r="P124" i="5"/>
  <c r="J124" i="5"/>
  <c r="L124" i="5"/>
  <c r="J125" i="5"/>
  <c r="L125" i="5"/>
  <c r="F125" i="5"/>
  <c r="H125" i="5"/>
  <c r="F124" i="5"/>
  <c r="H124" i="5"/>
  <c r="B124" i="5"/>
  <c r="D124" i="5"/>
  <c r="B125" i="5"/>
  <c r="D125" i="5"/>
  <c r="D61" i="9"/>
  <c r="N61" i="9" s="1"/>
  <c r="J62" i="2"/>
  <c r="N62" i="2"/>
  <c r="M62" i="2"/>
  <c r="K63" i="9"/>
  <c r="V63" i="2"/>
  <c r="O63" i="9" s="1"/>
  <c r="O62" i="2"/>
  <c r="K133" i="9"/>
  <c r="K203" i="9"/>
  <c r="K62" i="2"/>
  <c r="L62" i="2"/>
  <c r="O202" i="9"/>
  <c r="O132" i="9"/>
  <c r="I65" i="2"/>
  <c r="AL125" i="5"/>
  <c r="AJ125" i="5"/>
  <c r="A127" i="5" a="1"/>
  <c r="A127" i="5" s="1"/>
  <c r="AH127" i="5" s="1"/>
  <c r="A126" i="5" a="1"/>
  <c r="A126" i="5" s="1"/>
  <c r="AH126" i="5" s="1"/>
  <c r="AL124" i="5"/>
  <c r="AJ124" i="5"/>
  <c r="CE9" i="10"/>
  <c r="F60" i="9"/>
  <c r="G60" i="9" s="1"/>
  <c r="Q60" i="9"/>
  <c r="P60" i="9" s="1"/>
  <c r="J60" i="9"/>
  <c r="R64" i="2"/>
  <c r="O63" i="2" a="1"/>
  <c r="T64" i="2"/>
  <c r="K63" i="2" a="1"/>
  <c r="S64" i="2"/>
  <c r="N63" i="2" a="1"/>
  <c r="P64" i="2"/>
  <c r="U64" i="2"/>
  <c r="L63" i="2" a="1"/>
  <c r="Q64" i="2"/>
  <c r="J63" i="2" a="1"/>
  <c r="M63" i="2" a="1"/>
  <c r="AD127" i="5" l="1"/>
  <c r="AF127" i="5"/>
  <c r="AD126" i="5"/>
  <c r="AF126" i="5"/>
  <c r="Z127" i="5"/>
  <c r="AB127" i="5"/>
  <c r="Z126" i="5"/>
  <c r="AB126" i="5"/>
  <c r="V126" i="5"/>
  <c r="X126" i="5"/>
  <c r="V127" i="5"/>
  <c r="X127" i="5"/>
  <c r="R126" i="5"/>
  <c r="T126" i="5"/>
  <c r="R127" i="5"/>
  <c r="T127" i="5"/>
  <c r="N126" i="5"/>
  <c r="P126" i="5"/>
  <c r="N127" i="5"/>
  <c r="P127" i="5"/>
  <c r="J126" i="5"/>
  <c r="L126" i="5"/>
  <c r="J127" i="5"/>
  <c r="L127" i="5"/>
  <c r="F127" i="5"/>
  <c r="H127" i="5"/>
  <c r="F126" i="5"/>
  <c r="H126" i="5"/>
  <c r="B127" i="5"/>
  <c r="D127" i="5"/>
  <c r="B126" i="5"/>
  <c r="D126" i="5"/>
  <c r="M63" i="2"/>
  <c r="J63" i="2"/>
  <c r="K134" i="9"/>
  <c r="L63" i="2"/>
  <c r="K64" i="9"/>
  <c r="V64" i="2"/>
  <c r="O64" i="9" s="1"/>
  <c r="N63" i="2"/>
  <c r="K63" i="2"/>
  <c r="O63" i="2"/>
  <c r="K204" i="9"/>
  <c r="O203" i="9"/>
  <c r="O133" i="9"/>
  <c r="A128" i="5" a="1"/>
  <c r="A128" i="5" s="1"/>
  <c r="AH128" i="5" s="1"/>
  <c r="AL126" i="5"/>
  <c r="AJ126" i="5"/>
  <c r="BX17" i="10"/>
  <c r="I66" i="2"/>
  <c r="AL127" i="5"/>
  <c r="AJ127" i="5"/>
  <c r="A129" i="5" a="1"/>
  <c r="A129" i="5" s="1"/>
  <c r="AH129" i="5" s="1"/>
  <c r="F61" i="9"/>
  <c r="G61" i="9" s="1"/>
  <c r="Q61" i="9"/>
  <c r="P61" i="9" s="1"/>
  <c r="J61" i="9"/>
  <c r="J64" i="2" a="1"/>
  <c r="S65" i="2"/>
  <c r="P65" i="2"/>
  <c r="R65" i="2"/>
  <c r="M64" i="2" a="1"/>
  <c r="K64" i="2" a="1"/>
  <c r="N64" i="2" a="1"/>
  <c r="T65" i="2"/>
  <c r="O64" i="2" a="1"/>
  <c r="Q65" i="2"/>
  <c r="U65" i="2"/>
  <c r="L64" i="2" a="1"/>
  <c r="AD129" i="5" l="1"/>
  <c r="AF129" i="5"/>
  <c r="AD128" i="5"/>
  <c r="AF128" i="5"/>
  <c r="Z128" i="5"/>
  <c r="AB128" i="5"/>
  <c r="Z129" i="5"/>
  <c r="AB129" i="5"/>
  <c r="V129" i="5"/>
  <c r="X129" i="5"/>
  <c r="V128" i="5"/>
  <c r="X128" i="5"/>
  <c r="R128" i="5"/>
  <c r="T128" i="5"/>
  <c r="R129" i="5"/>
  <c r="T129" i="5"/>
  <c r="N128" i="5"/>
  <c r="P128" i="5"/>
  <c r="N129" i="5"/>
  <c r="P129" i="5"/>
  <c r="J128" i="5"/>
  <c r="L128" i="5"/>
  <c r="J129" i="5"/>
  <c r="L129" i="5"/>
  <c r="F129" i="5"/>
  <c r="H129" i="5"/>
  <c r="F128" i="5"/>
  <c r="H128" i="5"/>
  <c r="B128" i="5"/>
  <c r="D128" i="5"/>
  <c r="B129" i="5"/>
  <c r="D129" i="5"/>
  <c r="L64" i="2"/>
  <c r="K135" i="9"/>
  <c r="O64" i="2"/>
  <c r="N64" i="2"/>
  <c r="K64" i="2"/>
  <c r="M64" i="2"/>
  <c r="K205" i="9"/>
  <c r="K65" i="9"/>
  <c r="V65" i="2"/>
  <c r="O65" i="9" s="1"/>
  <c r="J64" i="2"/>
  <c r="O204" i="9"/>
  <c r="O134" i="9"/>
  <c r="AL129" i="5"/>
  <c r="A131" i="5" a="1"/>
  <c r="A131" i="5" s="1"/>
  <c r="AH131" i="5" s="1"/>
  <c r="AJ129" i="5"/>
  <c r="CE17" i="10"/>
  <c r="I67" i="2"/>
  <c r="AJ128" i="5"/>
  <c r="AL128" i="5"/>
  <c r="A130" i="5" a="1"/>
  <c r="A130" i="5" s="1"/>
  <c r="AH130" i="5" s="1"/>
  <c r="S66" i="2"/>
  <c r="O65" i="2" a="1"/>
  <c r="P66" i="2"/>
  <c r="Q66" i="2"/>
  <c r="L65" i="2" a="1"/>
  <c r="U66" i="2"/>
  <c r="K65" i="2" a="1"/>
  <c r="R66" i="2"/>
  <c r="N65" i="2" a="1"/>
  <c r="J65" i="2" a="1"/>
  <c r="M65" i="2" a="1"/>
  <c r="T66" i="2"/>
  <c r="AD130" i="5" l="1"/>
  <c r="AF130" i="5"/>
  <c r="AD131" i="5"/>
  <c r="AF131" i="5"/>
  <c r="Z131" i="5"/>
  <c r="AB131" i="5"/>
  <c r="Z130" i="5"/>
  <c r="AB130" i="5"/>
  <c r="V131" i="5"/>
  <c r="X131" i="5"/>
  <c r="V130" i="5"/>
  <c r="X130" i="5"/>
  <c r="R131" i="5"/>
  <c r="T131" i="5"/>
  <c r="R130" i="5"/>
  <c r="T130" i="5"/>
  <c r="N130" i="5"/>
  <c r="P130" i="5"/>
  <c r="N131" i="5"/>
  <c r="P131" i="5"/>
  <c r="J131" i="5"/>
  <c r="L131" i="5"/>
  <c r="J130" i="5"/>
  <c r="L130" i="5"/>
  <c r="F131" i="5"/>
  <c r="H131" i="5"/>
  <c r="F130" i="5"/>
  <c r="H130" i="5"/>
  <c r="B130" i="5"/>
  <c r="D130" i="5"/>
  <c r="B131" i="5"/>
  <c r="D131" i="5"/>
  <c r="M65" i="2"/>
  <c r="J65" i="2"/>
  <c r="N65" i="2"/>
  <c r="K206" i="9"/>
  <c r="K65" i="2"/>
  <c r="L65" i="2"/>
  <c r="K136" i="9"/>
  <c r="K66" i="9"/>
  <c r="V66" i="2"/>
  <c r="O66" i="9" s="1"/>
  <c r="O65" i="2"/>
  <c r="I68" i="2"/>
  <c r="AL131" i="5"/>
  <c r="A133" i="5" a="1"/>
  <c r="A133" i="5" s="1"/>
  <c r="AH133" i="5" s="1"/>
  <c r="AJ131" i="5"/>
  <c r="O205" i="9"/>
  <c r="O135" i="9"/>
  <c r="AJ130" i="5"/>
  <c r="A132" i="5" a="1"/>
  <c r="A132" i="5" s="1"/>
  <c r="AH132" i="5" s="1"/>
  <c r="AL130" i="5"/>
  <c r="BX25" i="10"/>
  <c r="N66" i="2" a="1"/>
  <c r="P67" i="2"/>
  <c r="K66" i="2" a="1"/>
  <c r="Q67" i="2"/>
  <c r="U67" i="2"/>
  <c r="T67" i="2"/>
  <c r="L66" i="2" a="1"/>
  <c r="J66" i="2" a="1"/>
  <c r="S67" i="2"/>
  <c r="O66" i="2" a="1"/>
  <c r="M66" i="2" a="1"/>
  <c r="R67" i="2"/>
  <c r="AD132" i="5" l="1"/>
  <c r="AF132" i="5"/>
  <c r="AD133" i="5"/>
  <c r="AF133" i="5"/>
  <c r="Z133" i="5"/>
  <c r="AB133" i="5"/>
  <c r="Z132" i="5"/>
  <c r="AB132" i="5"/>
  <c r="V132" i="5"/>
  <c r="X132" i="5"/>
  <c r="V133" i="5"/>
  <c r="X133" i="5"/>
  <c r="R132" i="5"/>
  <c r="T132" i="5"/>
  <c r="R133" i="5"/>
  <c r="T133" i="5"/>
  <c r="N133" i="5"/>
  <c r="P133" i="5"/>
  <c r="N132" i="5"/>
  <c r="P132" i="5"/>
  <c r="J132" i="5"/>
  <c r="L132" i="5"/>
  <c r="J133" i="5"/>
  <c r="L133" i="5"/>
  <c r="F133" i="5"/>
  <c r="H133" i="5"/>
  <c r="F132" i="5"/>
  <c r="H132" i="5"/>
  <c r="B132" i="5"/>
  <c r="D132" i="5"/>
  <c r="B133" i="5"/>
  <c r="D133" i="5"/>
  <c r="K207" i="9"/>
  <c r="M66" i="2"/>
  <c r="O66" i="2"/>
  <c r="J66" i="2"/>
  <c r="L66" i="2"/>
  <c r="K137" i="9"/>
  <c r="K66" i="2"/>
  <c r="K67" i="9"/>
  <c r="V67" i="2"/>
  <c r="O67" i="9" s="1"/>
  <c r="N66" i="2"/>
  <c r="CE25" i="10"/>
  <c r="O206" i="9"/>
  <c r="O136" i="9"/>
  <c r="A134" i="5" a="1"/>
  <c r="A134" i="5" s="1"/>
  <c r="AH134" i="5" s="1"/>
  <c r="AL132" i="5"/>
  <c r="AJ132" i="5"/>
  <c r="AL133" i="5"/>
  <c r="AJ133" i="5"/>
  <c r="A135" i="5" a="1"/>
  <c r="A135" i="5" s="1"/>
  <c r="AH135" i="5" s="1"/>
  <c r="I69" i="2"/>
  <c r="R68" i="2"/>
  <c r="L67" i="2" a="1"/>
  <c r="O67" i="2" a="1"/>
  <c r="U68" i="2"/>
  <c r="T68" i="2"/>
  <c r="K67" i="2" a="1"/>
  <c r="S68" i="2"/>
  <c r="M67" i="2" a="1"/>
  <c r="Q68" i="2"/>
  <c r="P68" i="2"/>
  <c r="N67" i="2" a="1"/>
  <c r="J67" i="2" a="1"/>
  <c r="AD135" i="5" l="1"/>
  <c r="AF135" i="5"/>
  <c r="AD134" i="5"/>
  <c r="AF134" i="5"/>
  <c r="Z135" i="5"/>
  <c r="AB135" i="5"/>
  <c r="Z134" i="5"/>
  <c r="AB134" i="5"/>
  <c r="V135" i="5"/>
  <c r="X135" i="5"/>
  <c r="V134" i="5"/>
  <c r="X134" i="5"/>
  <c r="R135" i="5"/>
  <c r="T135" i="5"/>
  <c r="R134" i="5"/>
  <c r="T134" i="5"/>
  <c r="N134" i="5"/>
  <c r="P134" i="5"/>
  <c r="N135" i="5"/>
  <c r="P135" i="5"/>
  <c r="J135" i="5"/>
  <c r="L135" i="5"/>
  <c r="J134" i="5"/>
  <c r="L134" i="5"/>
  <c r="F134" i="5"/>
  <c r="H134" i="5"/>
  <c r="F135" i="5"/>
  <c r="H135" i="5"/>
  <c r="B135" i="5"/>
  <c r="D135" i="5"/>
  <c r="B134" i="5"/>
  <c r="D134" i="5"/>
  <c r="J67" i="2"/>
  <c r="N67" i="2"/>
  <c r="K68" i="9"/>
  <c r="V68" i="2"/>
  <c r="O68" i="9" s="1"/>
  <c r="K138" i="9"/>
  <c r="M67" i="2"/>
  <c r="K67" i="2"/>
  <c r="O67" i="2"/>
  <c r="L67" i="2"/>
  <c r="K208" i="9"/>
  <c r="O207" i="9"/>
  <c r="O137" i="9"/>
  <c r="AJ135" i="5"/>
  <c r="A137" i="5" a="1"/>
  <c r="A137" i="5" s="1"/>
  <c r="AH137" i="5" s="1"/>
  <c r="AL135" i="5"/>
  <c r="BX33" i="10"/>
  <c r="I70" i="2"/>
  <c r="A136" i="5" a="1"/>
  <c r="A136" i="5" s="1"/>
  <c r="AH136" i="5" s="1"/>
  <c r="AL134" i="5"/>
  <c r="AJ134" i="5"/>
  <c r="M68" i="2" a="1"/>
  <c r="S69" i="2"/>
  <c r="R69" i="2"/>
  <c r="N68" i="2" a="1"/>
  <c r="P69" i="2"/>
  <c r="O68" i="2" a="1"/>
  <c r="J68" i="2" a="1"/>
  <c r="T69" i="2"/>
  <c r="Q69" i="2"/>
  <c r="L68" i="2" a="1"/>
  <c r="K68" i="2" a="1"/>
  <c r="U69" i="2"/>
  <c r="AD136" i="5" l="1"/>
  <c r="AF136" i="5"/>
  <c r="AD137" i="5"/>
  <c r="AF137" i="5"/>
  <c r="Z137" i="5"/>
  <c r="AB137" i="5"/>
  <c r="Z136" i="5"/>
  <c r="AB136" i="5"/>
  <c r="V137" i="5"/>
  <c r="X137" i="5"/>
  <c r="V136" i="5"/>
  <c r="X136" i="5"/>
  <c r="R137" i="5"/>
  <c r="T137" i="5"/>
  <c r="R136" i="5"/>
  <c r="T136" i="5"/>
  <c r="N136" i="5"/>
  <c r="P136" i="5"/>
  <c r="N137" i="5"/>
  <c r="P137" i="5"/>
  <c r="J136" i="5"/>
  <c r="L136" i="5"/>
  <c r="J137" i="5"/>
  <c r="L137" i="5"/>
  <c r="F137" i="5"/>
  <c r="H137" i="5"/>
  <c r="F136" i="5"/>
  <c r="H136" i="5"/>
  <c r="B137" i="5"/>
  <c r="D137" i="5"/>
  <c r="B136" i="5"/>
  <c r="D136" i="5"/>
  <c r="K68" i="2"/>
  <c r="L68" i="2"/>
  <c r="K139" i="9"/>
  <c r="J68" i="2"/>
  <c r="O68" i="2"/>
  <c r="K69" i="9"/>
  <c r="V69" i="2"/>
  <c r="O69" i="9" s="1"/>
  <c r="N68" i="2"/>
  <c r="K209" i="9"/>
  <c r="M68" i="2"/>
  <c r="CE33" i="10"/>
  <c r="O208" i="9"/>
  <c r="O138" i="9"/>
  <c r="AL137" i="5"/>
  <c r="A139" i="5" a="1"/>
  <c r="A139" i="5" s="1"/>
  <c r="AH139" i="5" s="1"/>
  <c r="AJ137" i="5"/>
  <c r="AJ136" i="5"/>
  <c r="A138" i="5" a="1"/>
  <c r="A138" i="5" s="1"/>
  <c r="AH138" i="5" s="1"/>
  <c r="AL136" i="5"/>
  <c r="O69" i="2" a="1"/>
  <c r="R70" i="2"/>
  <c r="Q70" i="2"/>
  <c r="P70" i="2"/>
  <c r="M69" i="2" a="1"/>
  <c r="U70" i="2"/>
  <c r="S70" i="2"/>
  <c r="J69" i="2" a="1"/>
  <c r="K69" i="2" a="1"/>
  <c r="N69" i="2" a="1"/>
  <c r="L69" i="2" a="1"/>
  <c r="T70" i="2"/>
  <c r="AD139" i="5" l="1"/>
  <c r="AF139" i="5"/>
  <c r="AD138" i="5"/>
  <c r="AF138" i="5"/>
  <c r="Z139" i="5"/>
  <c r="AB139" i="5"/>
  <c r="Z138" i="5"/>
  <c r="AB138" i="5"/>
  <c r="V138" i="5"/>
  <c r="X138" i="5"/>
  <c r="V139" i="5"/>
  <c r="X139" i="5"/>
  <c r="R139" i="5"/>
  <c r="T139" i="5"/>
  <c r="R138" i="5"/>
  <c r="T138" i="5"/>
  <c r="N138" i="5"/>
  <c r="P138" i="5"/>
  <c r="N139" i="5"/>
  <c r="P139" i="5"/>
  <c r="J138" i="5"/>
  <c r="L138" i="5"/>
  <c r="J139" i="5"/>
  <c r="L139" i="5"/>
  <c r="F138" i="5"/>
  <c r="H138" i="5"/>
  <c r="F139" i="5"/>
  <c r="H139" i="5"/>
  <c r="B138" i="5"/>
  <c r="D138" i="5"/>
  <c r="B139" i="5"/>
  <c r="D139" i="5"/>
  <c r="L69" i="2"/>
  <c r="N69" i="2"/>
  <c r="K69" i="2"/>
  <c r="J69" i="2"/>
  <c r="M69" i="2"/>
  <c r="K70" i="9"/>
  <c r="V70" i="2"/>
  <c r="O70" i="9" s="1"/>
  <c r="K140" i="9"/>
  <c r="K210" i="9"/>
  <c r="O69" i="2"/>
  <c r="AL139" i="5"/>
  <c r="A141" i="5" a="1"/>
  <c r="A141" i="5" s="1"/>
  <c r="AH141" i="5" s="1"/>
  <c r="AJ139" i="5"/>
  <c r="O209" i="9"/>
  <c r="O139" i="9"/>
  <c r="AJ138" i="5"/>
  <c r="A140" i="5" a="1"/>
  <c r="A140" i="5" s="1"/>
  <c r="AH140" i="5" s="1"/>
  <c r="AL138" i="5"/>
  <c r="BX41" i="10"/>
  <c r="N70" i="2" a="1"/>
  <c r="J70" i="2" a="1"/>
  <c r="K70" i="2" a="1"/>
  <c r="M70" i="2" a="1"/>
  <c r="O70" i="2" a="1"/>
  <c r="L70" i="2" a="1"/>
  <c r="AD140" i="5" l="1"/>
  <c r="AF140" i="5"/>
  <c r="AD141" i="5"/>
  <c r="AF141" i="5"/>
  <c r="Z140" i="5"/>
  <c r="AB140" i="5"/>
  <c r="Z141" i="5"/>
  <c r="AB141" i="5"/>
  <c r="V141" i="5"/>
  <c r="X141" i="5"/>
  <c r="V140" i="5"/>
  <c r="X140" i="5"/>
  <c r="R140" i="5"/>
  <c r="T140" i="5"/>
  <c r="R141" i="5"/>
  <c r="T141" i="5"/>
  <c r="N140" i="5"/>
  <c r="P140" i="5"/>
  <c r="N141" i="5"/>
  <c r="P141" i="5"/>
  <c r="J141" i="5"/>
  <c r="L141" i="5"/>
  <c r="J140" i="5"/>
  <c r="L140" i="5"/>
  <c r="F141" i="5"/>
  <c r="H141" i="5"/>
  <c r="F140" i="5"/>
  <c r="H140" i="5"/>
  <c r="B141" i="5"/>
  <c r="D141" i="5"/>
  <c r="B140" i="5"/>
  <c r="D140" i="5"/>
  <c r="L70" i="2"/>
  <c r="O70" i="2"/>
  <c r="M70" i="2"/>
  <c r="K70" i="2"/>
  <c r="J70" i="2"/>
  <c r="N70" i="2"/>
  <c r="CE41" i="10"/>
  <c r="A142" i="5" a="1"/>
  <c r="A142" i="5" s="1"/>
  <c r="AH142" i="5" s="1"/>
  <c r="AJ140" i="5"/>
  <c r="AL140" i="5"/>
  <c r="AL141" i="5"/>
  <c r="A143" i="5" a="1"/>
  <c r="A143" i="5" s="1"/>
  <c r="AH143" i="5" s="1"/>
  <c r="AJ141" i="5"/>
  <c r="O210" i="9"/>
  <c r="O140" i="9"/>
  <c r="AD142" i="5" l="1"/>
  <c r="AF142" i="5"/>
  <c r="AD143" i="5"/>
  <c r="AF143" i="5"/>
  <c r="Z143" i="5"/>
  <c r="AB143" i="5"/>
  <c r="Z142" i="5"/>
  <c r="AB142" i="5"/>
  <c r="V143" i="5"/>
  <c r="X143" i="5"/>
  <c r="V142" i="5"/>
  <c r="X142" i="5"/>
  <c r="R143" i="5"/>
  <c r="T143" i="5"/>
  <c r="R142" i="5"/>
  <c r="T142" i="5"/>
  <c r="N142" i="5"/>
  <c r="P142" i="5"/>
  <c r="N143" i="5"/>
  <c r="P143" i="5"/>
  <c r="J142" i="5"/>
  <c r="L142" i="5"/>
  <c r="J143" i="5"/>
  <c r="L143" i="5"/>
  <c r="F143" i="5"/>
  <c r="H143" i="5"/>
  <c r="F142" i="5"/>
  <c r="H142" i="5"/>
  <c r="B143" i="5"/>
  <c r="D143" i="5"/>
  <c r="B142" i="5"/>
  <c r="D142" i="5"/>
  <c r="CM1" i="10"/>
  <c r="A145" i="5" a="1"/>
  <c r="A145" i="5" s="1"/>
  <c r="AH145" i="5" s="1"/>
  <c r="AL143" i="5"/>
  <c r="AJ143" i="5"/>
  <c r="A144" i="5" a="1"/>
  <c r="A144" i="5" s="1"/>
  <c r="AH144" i="5" s="1"/>
  <c r="AL142" i="5"/>
  <c r="AJ142" i="5"/>
  <c r="AD145" i="5" l="1"/>
  <c r="AF145" i="5"/>
  <c r="AD144" i="5"/>
  <c r="AF144" i="5"/>
  <c r="Z145" i="5"/>
  <c r="AB145" i="5"/>
  <c r="Z144" i="5"/>
  <c r="AB144" i="5"/>
  <c r="V144" i="5"/>
  <c r="X144" i="5"/>
  <c r="V145" i="5"/>
  <c r="X145" i="5"/>
  <c r="R145" i="5"/>
  <c r="T145" i="5"/>
  <c r="R144" i="5"/>
  <c r="T144" i="5"/>
  <c r="N145" i="5"/>
  <c r="P145" i="5"/>
  <c r="N144" i="5"/>
  <c r="P144" i="5"/>
  <c r="J145" i="5"/>
  <c r="L145" i="5"/>
  <c r="J144" i="5"/>
  <c r="L144" i="5"/>
  <c r="F145" i="5"/>
  <c r="H145" i="5"/>
  <c r="F144" i="5"/>
  <c r="H144" i="5"/>
  <c r="B145" i="5"/>
  <c r="D145" i="5"/>
  <c r="B144" i="5"/>
  <c r="D144" i="5"/>
  <c r="AL145" i="5"/>
  <c r="AJ145" i="5"/>
  <c r="CT1" i="10"/>
  <c r="AJ144" i="5"/>
  <c r="AL144" i="5"/>
  <c r="I1" i="8"/>
  <c r="I2" i="8"/>
  <c r="A9" i="12" l="1"/>
  <c r="R108" i="11" s="1"/>
  <c r="A9" i="6"/>
  <c r="AB146" i="5" a="1"/>
  <c r="AB146" i="5" s="1"/>
  <c r="AB147" i="5" a="1"/>
  <c r="AB147" i="5" s="1"/>
  <c r="R147" i="5" a="1"/>
  <c r="R147" i="5" s="1"/>
  <c r="R146" i="5" a="1"/>
  <c r="R146" i="5" s="1"/>
  <c r="H146" i="5" a="1"/>
  <c r="H146" i="5" s="1"/>
  <c r="H147" i="5" a="1"/>
  <c r="H147" i="5" s="1"/>
  <c r="AH146" i="5" a="1"/>
  <c r="AH146" i="5" s="1"/>
  <c r="AH147" i="5" a="1"/>
  <c r="AH147" i="5" s="1"/>
  <c r="L146" i="5" a="1"/>
  <c r="L146" i="5" s="1"/>
  <c r="L147" i="5" a="1"/>
  <c r="L147" i="5" s="1"/>
  <c r="F147" i="5" a="1"/>
  <c r="F147" i="5" s="1"/>
  <c r="F146" i="5" a="1"/>
  <c r="F146" i="5" s="1"/>
  <c r="P147" i="5" a="1"/>
  <c r="P147" i="5" s="1"/>
  <c r="P146" i="5" a="1"/>
  <c r="P146" i="5" s="1"/>
  <c r="J147" i="5" a="1"/>
  <c r="J147" i="5" s="1"/>
  <c r="J146" i="5" a="1"/>
  <c r="J146" i="5" s="1"/>
  <c r="V146" i="5" a="1"/>
  <c r="V146" i="5" s="1"/>
  <c r="V147" i="5" a="1"/>
  <c r="V147" i="5" s="1"/>
  <c r="AF146" i="5" a="1"/>
  <c r="AF146" i="5" s="1"/>
  <c r="AF147" i="5" a="1"/>
  <c r="AF147" i="5" s="1"/>
  <c r="CM9" i="10"/>
  <c r="T146" i="5" a="1"/>
  <c r="T146" i="5" s="1"/>
  <c r="T147" i="5" a="1"/>
  <c r="T147" i="5" s="1"/>
  <c r="AJ147" i="5" a="1"/>
  <c r="AJ147" i="5" s="1"/>
  <c r="AJ146" i="5" a="1"/>
  <c r="AJ146" i="5" s="1"/>
  <c r="X146" i="5" a="1"/>
  <c r="X146" i="5" s="1"/>
  <c r="X147" i="5" a="1"/>
  <c r="X147" i="5" s="1"/>
  <c r="N146" i="5" a="1"/>
  <c r="N146" i="5" s="1"/>
  <c r="N147" i="5" a="1"/>
  <c r="N147" i="5" s="1"/>
  <c r="AD147" i="5" a="1"/>
  <c r="AD147" i="5" s="1"/>
  <c r="AD146" i="5" a="1"/>
  <c r="AD146" i="5" s="1"/>
  <c r="Z146" i="5" a="1"/>
  <c r="Z146" i="5" s="1"/>
  <c r="Z147" i="5" a="1"/>
  <c r="Z147" i="5" s="1"/>
  <c r="D147" i="5" a="1"/>
  <c r="D147" i="5" s="1"/>
  <c r="D146" i="5" a="1"/>
  <c r="D146" i="5" s="1"/>
  <c r="B147" i="5" a="1"/>
  <c r="B147" i="5" s="1"/>
  <c r="B146" i="5" a="1"/>
  <c r="B146" i="5" s="1"/>
  <c r="A10" i="6"/>
  <c r="C247" i="9" a="1"/>
  <c r="AC108" i="11" l="1"/>
  <c r="W108" i="11"/>
  <c r="T149" i="5"/>
  <c r="L149" i="5"/>
  <c r="J149" i="5"/>
  <c r="H149" i="5"/>
  <c r="B10" i="6"/>
  <c r="C2" i="6" s="1"/>
  <c r="F149" i="5"/>
  <c r="C247" i="9"/>
  <c r="CT9" i="10"/>
  <c r="C3" i="12"/>
  <c r="C2" i="12"/>
  <c r="C7" i="12"/>
  <c r="C6" i="12"/>
  <c r="E6" i="8"/>
  <c r="C5" i="12"/>
  <c r="C4" i="12"/>
  <c r="C8" i="12"/>
  <c r="C7" i="6" l="1"/>
  <c r="K7" i="6" s="1"/>
  <c r="F7" i="6" s="1"/>
  <c r="C8" i="6"/>
  <c r="K8" i="6" s="1"/>
  <c r="F8" i="6" s="1"/>
  <c r="C6" i="6"/>
  <c r="K6" i="6" s="1"/>
  <c r="F6" i="6" s="1"/>
  <c r="C3" i="6"/>
  <c r="K3" i="6" s="1"/>
  <c r="C4" i="6"/>
  <c r="L4" i="6" s="1"/>
  <c r="G4" i="6" s="1"/>
  <c r="C5" i="6"/>
  <c r="L5" i="6" s="1"/>
  <c r="G5" i="6" s="1"/>
  <c r="L3" i="6"/>
  <c r="G3" i="6" s="1"/>
  <c r="K2" i="6"/>
  <c r="F2" i="6" s="1"/>
  <c r="L2" i="6"/>
  <c r="G2" i="6" s="1"/>
  <c r="CM17" i="10"/>
  <c r="H214" i="9"/>
  <c r="C6" i="8"/>
  <c r="F214" i="9" s="1"/>
  <c r="F247" i="9"/>
  <c r="G247" i="9" s="1"/>
  <c r="H239" i="9" a="1"/>
  <c r="H243" i="9" a="1"/>
  <c r="H235" i="9" a="1"/>
  <c r="H232" i="9" a="1"/>
  <c r="C232" i="9" a="1"/>
  <c r="H228" i="9" a="1"/>
  <c r="C228" i="9" a="1"/>
  <c r="C224" i="9" a="1"/>
  <c r="H224" i="9" a="1"/>
  <c r="H219" i="9" a="1"/>
  <c r="H220" i="9" a="1"/>
  <c r="C220" i="9" a="1"/>
  <c r="K4" i="6" l="1"/>
  <c r="F4" i="6" s="1"/>
  <c r="K5" i="6"/>
  <c r="F5" i="6" s="1"/>
  <c r="H243" i="9"/>
  <c r="Q243" i="9" s="1"/>
  <c r="P243" i="9" s="1"/>
  <c r="H239" i="9"/>
  <c r="Q239" i="9" s="1"/>
  <c r="P239" i="9" s="1"/>
  <c r="H235" i="9"/>
  <c r="Q235" i="9" s="1"/>
  <c r="P235" i="9" s="1"/>
  <c r="F3" i="6"/>
  <c r="C232" i="9"/>
  <c r="H232" i="9"/>
  <c r="Q232" i="9" s="1"/>
  <c r="P232" i="9" s="1"/>
  <c r="C228" i="9"/>
  <c r="H228" i="9"/>
  <c r="Q228" i="9" s="1"/>
  <c r="P228" i="9" s="1"/>
  <c r="H224" i="9"/>
  <c r="Q224" i="9" s="1"/>
  <c r="P224" i="9" s="1"/>
  <c r="C224" i="9"/>
  <c r="C220" i="9"/>
  <c r="H220" i="9"/>
  <c r="Q220" i="9" s="1"/>
  <c r="P220" i="9" s="1"/>
  <c r="H219" i="9"/>
  <c r="Q219" i="9" s="1"/>
  <c r="P219" i="9" s="1"/>
  <c r="D6" i="8"/>
  <c r="G214" i="9" s="1"/>
  <c r="CT17" i="10"/>
  <c r="H227" i="9" a="1"/>
  <c r="H231" i="9" a="1"/>
  <c r="H223" i="9" a="1"/>
  <c r="H227" i="9" l="1"/>
  <c r="Q227" i="9" s="1"/>
  <c r="P227" i="9" s="1"/>
  <c r="H231" i="9"/>
  <c r="Q231" i="9" s="1"/>
  <c r="P231" i="9" s="1"/>
  <c r="F235" i="9"/>
  <c r="G235" i="9" s="1"/>
  <c r="F243" i="9"/>
  <c r="G243" i="9" s="1"/>
  <c r="F239" i="9"/>
  <c r="G239" i="9" s="1"/>
  <c r="H223" i="9"/>
  <c r="Q223" i="9" s="1"/>
  <c r="P223" i="9" s="1"/>
  <c r="F219" i="9"/>
  <c r="G219" i="9" s="1"/>
  <c r="F232" i="9"/>
  <c r="G232" i="9" s="1"/>
  <c r="J232" i="9"/>
  <c r="J228" i="9"/>
  <c r="F228" i="9"/>
  <c r="G228" i="9" s="1"/>
  <c r="A224" i="9"/>
  <c r="J224" i="9"/>
  <c r="F224" i="9"/>
  <c r="G224" i="9" s="1"/>
  <c r="A220" i="9"/>
  <c r="A223" i="9" s="1"/>
  <c r="J220" i="9"/>
  <c r="F220" i="9"/>
  <c r="G220" i="9" s="1"/>
  <c r="CM25" i="10"/>
  <c r="F231" i="9" l="1"/>
  <c r="G231" i="9" s="1"/>
  <c r="F227" i="9"/>
  <c r="G227" i="9" s="1"/>
  <c r="F223" i="9"/>
  <c r="G223" i="9" s="1"/>
  <c r="A227" i="9"/>
  <c r="CT25" i="10"/>
  <c r="A228" i="9" l="1"/>
  <c r="A231" i="9" s="1"/>
  <c r="CM33" i="10"/>
  <c r="A232" i="9" l="1"/>
  <c r="A235" i="9" s="1"/>
  <c r="A239" i="9" s="1"/>
  <c r="A243" i="9" s="1"/>
  <c r="A247" i="9" s="1"/>
  <c r="CT33" i="10"/>
  <c r="CM41" i="10" l="1"/>
  <c r="CT41" i="10" l="1"/>
  <c r="DB1" i="10" l="1"/>
  <c r="DI1" i="10" l="1"/>
  <c r="DB9" i="10" l="1"/>
  <c r="DI9" i="10" l="1"/>
  <c r="DB17" i="10" l="1"/>
  <c r="DI17" i="10" l="1"/>
  <c r="DB25" i="10" l="1"/>
  <c r="DI25" i="10" l="1"/>
  <c r="DB33" i="10" l="1"/>
  <c r="DI33" i="10" l="1"/>
  <c r="DB41" i="10" l="1"/>
  <c r="DI41" i="10" l="1"/>
  <c r="DQ1" i="10" l="1"/>
  <c r="DX1" i="10" l="1"/>
  <c r="DQ9" i="10" l="1"/>
  <c r="DX9" i="10" l="1"/>
  <c r="DQ17" i="10" l="1"/>
  <c r="DX17" i="10" l="1"/>
  <c r="DQ25" i="10" l="1"/>
  <c r="DX25" i="10" l="1"/>
  <c r="DQ33" i="10" l="1"/>
  <c r="DX33" i="10" l="1"/>
  <c r="DQ41" i="10" l="1"/>
  <c r="DX41" i="10" l="1"/>
  <c r="EF1" i="10" l="1"/>
  <c r="EM1" i="10" l="1"/>
  <c r="EF9" i="10" l="1"/>
  <c r="EM9" i="10" l="1"/>
  <c r="EF17" i="10" l="1"/>
  <c r="EM17" i="10" l="1"/>
  <c r="EF25" i="10" l="1"/>
  <c r="EM25" i="10" l="1"/>
  <c r="EF33" i="10" l="1"/>
  <c r="EM33" i="10" l="1"/>
  <c r="EF41" i="10" l="1"/>
  <c r="EM41" i="10" l="1"/>
  <c r="O8" i="7" l="1" a="1"/>
  <c r="O8" i="7"/>
  <c r="O16" i="7" s="1" a="1"/>
  <c r="O16" i="7" s="1"/>
  <c r="O24" i="7" s="1" a="1"/>
  <c r="O24" i="7" s="1"/>
  <c r="O32" i="7" s="1" a="1"/>
  <c r="O32" i="7" s="1"/>
  <c r="O40" i="7" s="1" a="1"/>
  <c r="O40" i="7" s="1"/>
  <c r="O48" i="7" s="1" a="1"/>
  <c r="O48" i="7" s="1"/>
  <c r="O56" i="7" s="1" a="1"/>
  <c r="O56" i="7" s="1"/>
  <c r="O64" i="7" s="1" a="1"/>
  <c r="O64" i="7" s="1"/>
  <c r="O6" i="7" a="1"/>
  <c r="O6" i="7"/>
  <c r="O14" i="7" s="1" a="1"/>
  <c r="O14" i="7" s="1"/>
  <c r="O22" i="7" s="1" a="1"/>
  <c r="O22" i="7" s="1"/>
  <c r="O30" i="7" s="1" a="1"/>
  <c r="O30" i="7" s="1"/>
  <c r="O38" i="7" s="1" a="1"/>
  <c r="O38" i="7" s="1"/>
  <c r="O46" i="7" s="1" a="1"/>
  <c r="O46" i="7" s="1"/>
  <c r="O54" i="7" s="1" a="1"/>
  <c r="O54" i="7" s="1"/>
  <c r="O62" i="7" s="1" a="1"/>
  <c r="O62" i="7" s="1"/>
  <c r="O4" i="7" a="1"/>
  <c r="O4" i="7"/>
  <c r="O12" i="7" s="1" a="1"/>
  <c r="O12" i="7" s="1"/>
  <c r="O20" i="7" s="1" a="1"/>
  <c r="O20" i="7" s="1"/>
  <c r="O28" i="7" s="1" a="1"/>
  <c r="O28" i="7" s="1"/>
  <c r="O36" i="7" s="1" a="1"/>
  <c r="O36" i="7" s="1"/>
  <c r="O44" i="7" s="1" a="1"/>
  <c r="O44" i="7" s="1"/>
  <c r="O52" i="7" s="1" a="1"/>
  <c r="O52" i="7" s="1"/>
  <c r="O60" i="7" s="1" a="1"/>
  <c r="O60" i="7" s="1"/>
  <c r="O2" i="7" a="1"/>
  <c r="O2" i="7"/>
  <c r="O10" i="7" a="1"/>
  <c r="O7" i="7" a="1"/>
  <c r="O10" i="7" l="1"/>
  <c r="O18" i="7" s="1" a="1"/>
  <c r="O18" i="7" s="1"/>
  <c r="O26" i="7" s="1" a="1"/>
  <c r="O26" i="7" s="1"/>
  <c r="O34" i="7" s="1" a="1"/>
  <c r="O34" i="7" s="1"/>
  <c r="O42" i="7" s="1" a="1"/>
  <c r="O42" i="7" s="1"/>
  <c r="O50" i="7" s="1" a="1"/>
  <c r="O50" i="7" s="1"/>
  <c r="O58" i="7" s="1" a="1"/>
  <c r="O58" i="7" s="1"/>
  <c r="O7" i="7"/>
  <c r="O15" i="7" s="1" a="1"/>
  <c r="O15" i="7" s="1"/>
  <c r="O23" i="7" s="1" a="1"/>
  <c r="O23" i="7" s="1"/>
  <c r="O31" i="7" s="1" a="1"/>
  <c r="O31" i="7" s="1"/>
  <c r="O39" i="7" s="1" a="1"/>
  <c r="O39" i="7" s="1"/>
  <c r="O47" i="7" s="1" a="1"/>
  <c r="O47" i="7" s="1"/>
  <c r="O55" i="7" s="1" a="1"/>
  <c r="O55" i="7" s="1"/>
  <c r="O63" i="7" s="1" a="1"/>
  <c r="O63" i="7" s="1"/>
  <c r="O3" i="7" a="1"/>
  <c r="O3" i="7"/>
  <c r="F3" i="7" a="1"/>
  <c r="O11" i="7" a="1"/>
  <c r="O5" i="7" a="1"/>
  <c r="F3" i="7" l="1"/>
  <c r="A3" i="7" s="1" a="1"/>
  <c r="A3" i="7" s="1"/>
  <c r="O11" i="7"/>
  <c r="O5" i="7"/>
  <c r="O13" i="7" s="1" a="1"/>
  <c r="O13" i="7" s="1"/>
  <c r="O21" i="7" s="1" a="1"/>
  <c r="O21" i="7" s="1"/>
  <c r="O29" i="7" s="1" a="1"/>
  <c r="O29" i="7" s="1"/>
  <c r="O37" i="7" s="1" a="1"/>
  <c r="O37" i="7" s="1"/>
  <c r="O45" i="7" s="1" a="1"/>
  <c r="O45" i="7" s="1"/>
  <c r="O53" i="7" s="1" a="1"/>
  <c r="O53" i="7" s="1"/>
  <c r="O61" i="7" s="1" a="1"/>
  <c r="O61" i="7" s="1"/>
  <c r="O19" i="7" a="1"/>
  <c r="O1" i="7" a="1"/>
  <c r="O19" i="7" l="1"/>
  <c r="O1" i="7"/>
  <c r="O9" i="7" s="1" a="1"/>
  <c r="O9" i="7" s="1"/>
  <c r="B10" i="7" a="1"/>
  <c r="B10" i="7" s="1"/>
  <c r="B11" i="7" a="1"/>
  <c r="B11" i="7" s="1"/>
  <c r="B12" i="7" a="1"/>
  <c r="B12" i="7" s="1"/>
  <c r="B13" i="7" a="1"/>
  <c r="B13" i="7" s="1"/>
  <c r="B14" i="7" a="1"/>
  <c r="B14" i="7" s="1"/>
  <c r="B15" i="7" a="1"/>
  <c r="B15" i="7" s="1"/>
  <c r="B16" i="7" a="1"/>
  <c r="B16" i="7" s="1"/>
  <c r="O27" i="7" a="1"/>
  <c r="F1" i="7" a="1"/>
  <c r="F4" i="7" a="1"/>
  <c r="F6" i="7" a="1"/>
  <c r="F8" i="7" a="1"/>
  <c r="F2" i="7" a="1"/>
  <c r="F5" i="7" a="1"/>
  <c r="F7" i="7" a="1"/>
  <c r="B9" i="7" l="1" a="1"/>
  <c r="B9" i="7" s="1"/>
  <c r="F9" i="7" s="1" a="1"/>
  <c r="F9" i="7" s="1"/>
  <c r="A9" i="7" s="1" a="1"/>
  <c r="A9" i="7" s="1"/>
  <c r="O17" i="7" a="1"/>
  <c r="O17" i="7" s="1"/>
  <c r="O25" i="7" s="1" a="1"/>
  <c r="O25" i="7" s="1"/>
  <c r="O33" i="7" s="1" a="1"/>
  <c r="O33" i="7" s="1"/>
  <c r="O41" i="7" s="1" a="1"/>
  <c r="O41" i="7" s="1"/>
  <c r="O49" i="7" s="1" a="1"/>
  <c r="O49" i="7" s="1"/>
  <c r="O57" i="7" s="1" a="1"/>
  <c r="O57" i="7" s="1"/>
  <c r="F7" i="7"/>
  <c r="A7" i="7" s="1" a="1"/>
  <c r="A7" i="7" s="1"/>
  <c r="F5" i="7"/>
  <c r="A5" i="7" s="1" a="1"/>
  <c r="A5" i="7" s="1"/>
  <c r="F2" i="7"/>
  <c r="F8" i="7"/>
  <c r="A8" i="7" s="1" a="1"/>
  <c r="A8" i="7" s="1"/>
  <c r="F6" i="7"/>
  <c r="A6" i="7" s="1" a="1"/>
  <c r="A6" i="7" s="1"/>
  <c r="F4" i="7"/>
  <c r="A4" i="7" s="1" a="1"/>
  <c r="A4" i="7" s="1"/>
  <c r="F1" i="7"/>
  <c r="A1" i="7" s="1" a="1"/>
  <c r="A1" i="7" s="1"/>
  <c r="O27" i="7"/>
  <c r="F13" i="7" a="1"/>
  <c r="F13" i="7" s="1"/>
  <c r="A13" i="7" s="1" a="1"/>
  <c r="A13" i="7" s="1"/>
  <c r="B21" i="7" a="1"/>
  <c r="B21" i="7" s="1"/>
  <c r="F14" i="7" a="1"/>
  <c r="F14" i="7" s="1"/>
  <c r="A14" i="7" s="1" a="1"/>
  <c r="A14" i="7" s="1"/>
  <c r="B22" i="7" a="1"/>
  <c r="B22" i="7" s="1"/>
  <c r="F12" i="7" a="1"/>
  <c r="F12" i="7" s="1"/>
  <c r="A12" i="7" s="1" a="1"/>
  <c r="A12" i="7" s="1"/>
  <c r="B20" i="7" a="1"/>
  <c r="B20" i="7" s="1"/>
  <c r="F16" i="7" a="1"/>
  <c r="F16" i="7" s="1"/>
  <c r="A16" i="7" s="1" a="1"/>
  <c r="A16" i="7" s="1"/>
  <c r="B24" i="7" a="1"/>
  <c r="B24" i="7" s="1"/>
  <c r="F11" i="7" a="1"/>
  <c r="F11" i="7" s="1"/>
  <c r="A11" i="7" s="1" a="1"/>
  <c r="A11" i="7" s="1"/>
  <c r="B19" i="7" a="1"/>
  <c r="B19" i="7" s="1"/>
  <c r="F15" i="7" a="1"/>
  <c r="F15" i="7" s="1"/>
  <c r="A15" i="7" s="1" a="1"/>
  <c r="A15" i="7" s="1"/>
  <c r="B23" i="7" a="1"/>
  <c r="B23" i="7" s="1"/>
  <c r="F10" i="7" a="1"/>
  <c r="F10" i="7" s="1"/>
  <c r="A10" i="7" s="1" a="1"/>
  <c r="A10" i="7" s="1"/>
  <c r="B18" i="7" a="1"/>
  <c r="B18" i="7" s="1"/>
  <c r="A2" i="7" a="1"/>
  <c r="O35" i="7" a="1"/>
  <c r="B17" i="7" l="1" a="1"/>
  <c r="B17" i="7" s="1"/>
  <c r="B25" i="7" s="1" a="1"/>
  <c r="B25" i="7" s="1"/>
  <c r="O35" i="7"/>
  <c r="A2" i="7"/>
  <c r="F18" i="7" a="1"/>
  <c r="F18" i="7" s="1"/>
  <c r="A18" i="7" s="1" a="1"/>
  <c r="A18" i="7" s="1"/>
  <c r="B26" i="7" a="1"/>
  <c r="B26" i="7" s="1"/>
  <c r="F19" i="7" a="1"/>
  <c r="F19" i="7" s="1"/>
  <c r="A19" i="7" s="1" a="1"/>
  <c r="A19" i="7" s="1"/>
  <c r="B27" i="7" a="1"/>
  <c r="B27" i="7" s="1"/>
  <c r="F22" i="7" a="1"/>
  <c r="F22" i="7" s="1"/>
  <c r="A22" i="7" s="1" a="1"/>
  <c r="A22" i="7" s="1"/>
  <c r="B30" i="7" a="1"/>
  <c r="B30" i="7" s="1"/>
  <c r="F20" i="7" a="1"/>
  <c r="F20" i="7" s="1"/>
  <c r="A20" i="7" s="1" a="1"/>
  <c r="A20" i="7" s="1"/>
  <c r="B28" i="7" a="1"/>
  <c r="B28" i="7" s="1"/>
  <c r="F24" i="7" a="1"/>
  <c r="F24" i="7" s="1"/>
  <c r="A24" i="7" s="1" a="1"/>
  <c r="A24" i="7" s="1"/>
  <c r="B32" i="7" a="1"/>
  <c r="B32" i="7" s="1"/>
  <c r="F21" i="7" a="1"/>
  <c r="F21" i="7" s="1"/>
  <c r="A21" i="7" s="1" a="1"/>
  <c r="A21" i="7" s="1"/>
  <c r="B29" i="7" a="1"/>
  <c r="B29" i="7" s="1"/>
  <c r="F23" i="7" a="1"/>
  <c r="F23" i="7" s="1"/>
  <c r="A23" i="7" s="1" a="1"/>
  <c r="A23" i="7" s="1"/>
  <c r="B31" i="7" a="1"/>
  <c r="B31" i="7" s="1"/>
  <c r="O43" i="7" a="1"/>
  <c r="F17" i="7" l="1" a="1"/>
  <c r="F17" i="7" s="1"/>
  <c r="A17" i="7" s="1" a="1"/>
  <c r="A17" i="7" s="1"/>
  <c r="O43" i="7"/>
  <c r="F27" i="7" a="1"/>
  <c r="F27" i="7" s="1"/>
  <c r="A27" i="7" s="1" a="1"/>
  <c r="A27" i="7" s="1"/>
  <c r="B35" i="7" a="1"/>
  <c r="B35" i="7" s="1"/>
  <c r="F29" i="7" a="1"/>
  <c r="F29" i="7" s="1"/>
  <c r="A29" i="7" s="1" a="1"/>
  <c r="A29" i="7" s="1"/>
  <c r="B37" i="7" a="1"/>
  <c r="B37" i="7" s="1"/>
  <c r="B33" i="7" a="1"/>
  <c r="B33" i="7" s="1"/>
  <c r="F25" i="7" a="1"/>
  <c r="F25" i="7" s="1"/>
  <c r="A25" i="7" s="1" a="1"/>
  <c r="A25" i="7" s="1"/>
  <c r="F32" i="7" a="1"/>
  <c r="F32" i="7" s="1"/>
  <c r="A32" i="7" s="1" a="1"/>
  <c r="A32" i="7" s="1"/>
  <c r="B40" i="7" a="1"/>
  <c r="B40" i="7" s="1"/>
  <c r="F26" i="7" a="1"/>
  <c r="F26" i="7" s="1"/>
  <c r="A26" i="7" s="1" a="1"/>
  <c r="A26" i="7" s="1"/>
  <c r="B34" i="7" a="1"/>
  <c r="B34" i="7" s="1"/>
  <c r="F28" i="7" a="1"/>
  <c r="F28" i="7" s="1"/>
  <c r="A28" i="7" s="1" a="1"/>
  <c r="A28" i="7" s="1"/>
  <c r="B36" i="7" a="1"/>
  <c r="B36" i="7" s="1"/>
  <c r="F31" i="7" a="1"/>
  <c r="F31" i="7" s="1"/>
  <c r="A31" i="7" s="1" a="1"/>
  <c r="A31" i="7" s="1"/>
  <c r="B39" i="7" a="1"/>
  <c r="B39" i="7" s="1"/>
  <c r="F30" i="7" a="1"/>
  <c r="F30" i="7" s="1"/>
  <c r="A30" i="7" s="1" a="1"/>
  <c r="A30" i="7" s="1"/>
  <c r="B38" i="7" a="1"/>
  <c r="B38" i="7" s="1"/>
  <c r="O51" i="7" a="1"/>
  <c r="O51" i="7" l="1"/>
  <c r="F35" i="7" a="1"/>
  <c r="F35" i="7" s="1"/>
  <c r="A35" i="7" s="1" a="1"/>
  <c r="A35" i="7" s="1"/>
  <c r="B43" i="7" a="1"/>
  <c r="B43" i="7" s="1"/>
  <c r="F38" i="7" a="1"/>
  <c r="F38" i="7" s="1"/>
  <c r="A38" i="7" s="1" a="1"/>
  <c r="A38" i="7" s="1"/>
  <c r="B46" i="7" a="1"/>
  <c r="B46" i="7" s="1"/>
  <c r="F36" i="7" a="1"/>
  <c r="F36" i="7" s="1"/>
  <c r="A36" i="7" s="1" a="1"/>
  <c r="A36" i="7" s="1"/>
  <c r="B44" i="7" a="1"/>
  <c r="B44" i="7" s="1"/>
  <c r="F39" i="7" a="1"/>
  <c r="F39" i="7" s="1"/>
  <c r="A39" i="7" s="1" a="1"/>
  <c r="A39" i="7" s="1"/>
  <c r="B47" i="7" a="1"/>
  <c r="B47" i="7" s="1"/>
  <c r="F34" i="7" a="1"/>
  <c r="F34" i="7" s="1"/>
  <c r="A34" i="7" s="1" a="1"/>
  <c r="A34" i="7" s="1"/>
  <c r="B42" i="7" a="1"/>
  <c r="B42" i="7" s="1"/>
  <c r="B41" i="7" a="1"/>
  <c r="B41" i="7" s="1"/>
  <c r="F33" i="7" a="1"/>
  <c r="F33" i="7" s="1"/>
  <c r="A33" i="7" s="1" a="1"/>
  <c r="A33" i="7" s="1"/>
  <c r="F37" i="7" a="1"/>
  <c r="F37" i="7" s="1"/>
  <c r="A37" i="7" s="1" a="1"/>
  <c r="A37" i="7" s="1"/>
  <c r="B45" i="7" a="1"/>
  <c r="B45" i="7" s="1"/>
  <c r="F40" i="7" a="1"/>
  <c r="F40" i="7" s="1"/>
  <c r="A40" i="7" s="1" a="1"/>
  <c r="A40" i="7" s="1"/>
  <c r="B48" i="7" a="1"/>
  <c r="B48" i="7" s="1"/>
  <c r="O59" i="7" a="1"/>
  <c r="O59" i="7" l="1"/>
  <c r="F45" i="7" a="1"/>
  <c r="F45" i="7" s="1"/>
  <c r="A45" i="7" s="1" a="1"/>
  <c r="A45" i="7" s="1"/>
  <c r="B53" i="7" a="1"/>
  <c r="B53" i="7" s="1"/>
  <c r="F48" i="7" a="1"/>
  <c r="F48" i="7" s="1"/>
  <c r="A48" i="7" s="1" a="1"/>
  <c r="A48" i="7" s="1"/>
  <c r="B56" i="7" a="1"/>
  <c r="B56" i="7" s="1"/>
  <c r="B49" i="7" a="1"/>
  <c r="B49" i="7" s="1"/>
  <c r="F41" i="7" a="1"/>
  <c r="F41" i="7" s="1"/>
  <c r="A41" i="7" s="1" a="1"/>
  <c r="A41" i="7" s="1"/>
  <c r="F42" i="7" a="1"/>
  <c r="F42" i="7" s="1"/>
  <c r="A42" i="7" s="1" a="1"/>
  <c r="A42" i="7" s="1"/>
  <c r="B50" i="7" a="1"/>
  <c r="B50" i="7" s="1"/>
  <c r="F43" i="7" a="1"/>
  <c r="F43" i="7" s="1"/>
  <c r="A43" i="7" s="1" a="1"/>
  <c r="A43" i="7" s="1"/>
  <c r="B51" i="7" a="1"/>
  <c r="B51" i="7" s="1"/>
  <c r="F47" i="7" a="1"/>
  <c r="F47" i="7" s="1"/>
  <c r="A47" i="7" s="1" a="1"/>
  <c r="A47" i="7" s="1"/>
  <c r="B55" i="7" a="1"/>
  <c r="B55" i="7" s="1"/>
  <c r="F44" i="7" a="1"/>
  <c r="F44" i="7" s="1"/>
  <c r="A44" i="7" s="1" a="1"/>
  <c r="A44" i="7" s="1"/>
  <c r="B52" i="7" a="1"/>
  <c r="B52" i="7" s="1"/>
  <c r="F46" i="7" a="1"/>
  <c r="F46" i="7" s="1"/>
  <c r="A46" i="7" s="1" a="1"/>
  <c r="A46" i="7" s="1"/>
  <c r="B54" i="7" a="1"/>
  <c r="B54" i="7" s="1"/>
  <c r="F54" i="7" l="1" a="1"/>
  <c r="F54" i="7" s="1"/>
  <c r="A54" i="7" s="1" a="1"/>
  <c r="A54" i="7" s="1"/>
  <c r="B62" i="7" a="1"/>
  <c r="B62" i="7" s="1"/>
  <c r="F62" i="7" s="1" a="1"/>
  <c r="F62" i="7" s="1"/>
  <c r="A62" i="7" s="1" a="1"/>
  <c r="A62" i="7" s="1"/>
  <c r="F49" i="7" a="1"/>
  <c r="F49" i="7" s="1"/>
  <c r="A49" i="7" s="1" a="1"/>
  <c r="A49" i="7" s="1"/>
  <c r="B57" i="7" a="1"/>
  <c r="B57" i="7" s="1"/>
  <c r="F57" i="7" s="1" a="1"/>
  <c r="F57" i="7" s="1"/>
  <c r="A57" i="7" s="1" a="1"/>
  <c r="A57" i="7" s="1"/>
  <c r="F51" i="7" a="1"/>
  <c r="F51" i="7" s="1"/>
  <c r="A51" i="7" s="1" a="1"/>
  <c r="A51" i="7" s="1"/>
  <c r="B59" i="7" a="1"/>
  <c r="B59" i="7" s="1"/>
  <c r="F59" i="7" s="1" a="1"/>
  <c r="F59" i="7" s="1"/>
  <c r="A59" i="7" s="1" a="1"/>
  <c r="A59" i="7" s="1"/>
  <c r="F50" i="7" a="1"/>
  <c r="F50" i="7" s="1"/>
  <c r="A50" i="7" s="1" a="1"/>
  <c r="A50" i="7" s="1"/>
  <c r="B58" i="7" a="1"/>
  <c r="B58" i="7" s="1"/>
  <c r="F58" i="7" s="1" a="1"/>
  <c r="F58" i="7" s="1"/>
  <c r="A58" i="7" s="1" a="1"/>
  <c r="A58" i="7" s="1"/>
  <c r="F53" i="7" a="1"/>
  <c r="F53" i="7" s="1"/>
  <c r="A53" i="7" s="1" a="1"/>
  <c r="A53" i="7" s="1"/>
  <c r="B61" i="7" a="1"/>
  <c r="B61" i="7" s="1"/>
  <c r="F61" i="7" s="1" a="1"/>
  <c r="F61" i="7" s="1"/>
  <c r="A61" i="7" s="1" a="1"/>
  <c r="A61" i="7" s="1"/>
  <c r="F56" i="7" a="1"/>
  <c r="F56" i="7" s="1"/>
  <c r="A56" i="7" s="1" a="1"/>
  <c r="A56" i="7" s="1"/>
  <c r="B64" i="7" a="1"/>
  <c r="B64" i="7" s="1"/>
  <c r="F64" i="7" s="1" a="1"/>
  <c r="F64" i="7" s="1"/>
  <c r="A64" i="7" s="1" a="1"/>
  <c r="A64" i="7" s="1"/>
  <c r="F52" i="7" a="1"/>
  <c r="F52" i="7" s="1"/>
  <c r="A52" i="7" s="1" a="1"/>
  <c r="A52" i="7" s="1"/>
  <c r="B60" i="7" a="1"/>
  <c r="B60" i="7" s="1"/>
  <c r="F60" i="7" s="1" a="1"/>
  <c r="F60" i="7" s="1"/>
  <c r="A60" i="7" s="1" a="1"/>
  <c r="A60" i="7" s="1"/>
  <c r="F55" i="7" a="1"/>
  <c r="F55" i="7" s="1"/>
  <c r="A55" i="7" s="1" a="1"/>
  <c r="A55" i="7" s="1"/>
  <c r="B63" i="7" a="1"/>
  <c r="B63" i="7" s="1"/>
  <c r="F63" i="7" s="1" a="1"/>
  <c r="F63" i="7" s="1"/>
  <c r="A63" i="7" s="1" a="1"/>
  <c r="A63" i="7" s="1"/>
  <c r="R13" i="7" l="1" a="1"/>
  <c r="R13" i="7" s="1"/>
  <c r="T13" i="7" s="1"/>
  <c r="H263" i="9" s="1"/>
  <c r="Q263" i="9" s="1"/>
  <c r="P263" i="9" s="1"/>
  <c r="R2" i="7" a="1"/>
  <c r="R2" i="7" s="1"/>
  <c r="S2" i="7" s="1"/>
  <c r="D252" i="9" s="1"/>
  <c r="R14" i="7" a="1"/>
  <c r="R14" i="7" s="1"/>
  <c r="R8" i="7" a="1"/>
  <c r="R8" i="7" s="1"/>
  <c r="R7" i="7" a="1"/>
  <c r="R7" i="7" s="1"/>
  <c r="R1" i="7" a="1"/>
  <c r="R1" i="7" s="1"/>
  <c r="R6" i="7" a="1"/>
  <c r="R6" i="7" s="1"/>
  <c r="R15" i="7" a="1"/>
  <c r="R15" i="7" s="1"/>
  <c r="R10" i="7" a="1"/>
  <c r="R10" i="7" s="1"/>
  <c r="R5" i="7" a="1"/>
  <c r="R5" i="7" s="1"/>
  <c r="R9" i="7" a="1"/>
  <c r="R9" i="7" s="1"/>
  <c r="R11" i="7" a="1"/>
  <c r="R11" i="7" s="1"/>
  <c r="R3" i="7" a="1"/>
  <c r="R3" i="7" s="1"/>
  <c r="R12" i="7" a="1"/>
  <c r="R12" i="7" s="1"/>
  <c r="R4" i="7" a="1"/>
  <c r="R4" i="7" s="1"/>
  <c r="C263" i="9" l="1"/>
  <c r="J263" i="9" s="1"/>
  <c r="S13" i="7"/>
  <c r="D263" i="9" s="1"/>
  <c r="C252" i="9"/>
  <c r="J252" i="9" s="1"/>
  <c r="T2" i="7"/>
  <c r="H252" i="9" s="1"/>
  <c r="Q252" i="9" s="1"/>
  <c r="P252" i="9" s="1"/>
  <c r="S11" i="7"/>
  <c r="D261" i="9" s="1"/>
  <c r="T11" i="7"/>
  <c r="H261" i="9" s="1"/>
  <c r="Q261" i="9" s="1"/>
  <c r="P261" i="9" s="1"/>
  <c r="C261" i="9"/>
  <c r="C259" i="9"/>
  <c r="S9" i="7"/>
  <c r="D259" i="9" s="1"/>
  <c r="T9" i="7"/>
  <c r="H259" i="9" s="1"/>
  <c r="Q259" i="9" s="1"/>
  <c r="P259" i="9" s="1"/>
  <c r="T14" i="7"/>
  <c r="H264" i="9" s="1"/>
  <c r="Q264" i="9" s="1"/>
  <c r="P264" i="9" s="1"/>
  <c r="C264" i="9"/>
  <c r="S14" i="7"/>
  <c r="D264" i="9" s="1"/>
  <c r="S5" i="7"/>
  <c r="D255" i="9" s="1"/>
  <c r="T5" i="7"/>
  <c r="H255" i="9" s="1"/>
  <c r="Q255" i="9" s="1"/>
  <c r="P255" i="9" s="1"/>
  <c r="C255" i="9"/>
  <c r="S10" i="7"/>
  <c r="D260" i="9" s="1"/>
  <c r="C260" i="9"/>
  <c r="T10" i="7"/>
  <c r="H260" i="9" s="1"/>
  <c r="Q260" i="9" s="1"/>
  <c r="P260" i="9" s="1"/>
  <c r="C258" i="9"/>
  <c r="T8" i="7"/>
  <c r="H258" i="9" s="1"/>
  <c r="Q258" i="9" s="1"/>
  <c r="P258" i="9" s="1"/>
  <c r="S8" i="7"/>
  <c r="D258" i="9" s="1"/>
  <c r="C265" i="9"/>
  <c r="S15" i="7"/>
  <c r="D265" i="9" s="1"/>
  <c r="T15" i="7"/>
  <c r="H265" i="9" s="1"/>
  <c r="Q265" i="9" s="1"/>
  <c r="P265" i="9" s="1"/>
  <c r="C254" i="9"/>
  <c r="S4" i="7"/>
  <c r="D254" i="9" s="1"/>
  <c r="T4" i="7"/>
  <c r="H254" i="9" s="1"/>
  <c r="Q254" i="9" s="1"/>
  <c r="P254" i="9" s="1"/>
  <c r="C256" i="9"/>
  <c r="T6" i="7"/>
  <c r="H256" i="9" s="1"/>
  <c r="Q256" i="9" s="1"/>
  <c r="P256" i="9" s="1"/>
  <c r="S6" i="7"/>
  <c r="D256" i="9" s="1"/>
  <c r="S12" i="7"/>
  <c r="D262" i="9" s="1"/>
  <c r="T12" i="7"/>
  <c r="H262" i="9" s="1"/>
  <c r="Q262" i="9" s="1"/>
  <c r="P262" i="9" s="1"/>
  <c r="C262" i="9"/>
  <c r="T1" i="7"/>
  <c r="H251" i="9" s="1"/>
  <c r="Q251" i="9" s="1"/>
  <c r="P251" i="9" s="1"/>
  <c r="R4" i="9" s="1" a="1"/>
  <c r="R4" i="9" s="1"/>
  <c r="C251" i="9"/>
  <c r="S1" i="7"/>
  <c r="D251" i="9" s="1"/>
  <c r="C253" i="9"/>
  <c r="S3" i="7"/>
  <c r="D253" i="9" s="1"/>
  <c r="T3" i="7"/>
  <c r="H253" i="9" s="1"/>
  <c r="Q253" i="9" s="1"/>
  <c r="P253" i="9" s="1"/>
  <c r="T7" i="7"/>
  <c r="H257" i="9" s="1"/>
  <c r="Q257" i="9" s="1"/>
  <c r="P257" i="9" s="1"/>
  <c r="S7" i="7"/>
  <c r="D257" i="9" s="1"/>
  <c r="C257" i="9"/>
  <c r="A252" i="9" l="1"/>
  <c r="A263" i="9"/>
  <c r="J258" i="9"/>
  <c r="A258" i="9"/>
  <c r="J265" i="9"/>
  <c r="A265" i="9"/>
  <c r="A251" i="9"/>
  <c r="J251" i="9"/>
  <c r="J255" i="9"/>
  <c r="A255" i="9"/>
  <c r="J259" i="9"/>
  <c r="A259" i="9"/>
  <c r="A264" i="9"/>
  <c r="J264" i="9"/>
  <c r="R233" i="9" a="1"/>
  <c r="R233" i="9" s="1"/>
  <c r="W233" i="9" s="1" a="1"/>
  <c r="W233" i="9" s="1"/>
  <c r="R217" i="9" a="1"/>
  <c r="R217" i="9" s="1"/>
  <c r="W217" i="9" s="1" a="1"/>
  <c r="W217" i="9" s="1"/>
  <c r="R187" i="9" a="1"/>
  <c r="R187" i="9" s="1"/>
  <c r="W187" i="9" s="1" a="1"/>
  <c r="W187" i="9" s="1"/>
  <c r="R86" i="9" a="1"/>
  <c r="R86" i="9" s="1"/>
  <c r="W86" i="9" s="1" a="1"/>
  <c r="W86" i="9" s="1"/>
  <c r="R46" i="9" a="1"/>
  <c r="R46" i="9" s="1"/>
  <c r="R126" i="9" a="1"/>
  <c r="R126" i="9" s="1"/>
  <c r="W126" i="9" s="1" a="1"/>
  <c r="W126" i="9" s="1"/>
  <c r="R244" i="9" a="1"/>
  <c r="R244" i="9" s="1"/>
  <c r="W244" i="9" s="1" a="1"/>
  <c r="W244" i="9" s="1"/>
  <c r="R214" i="9" a="1"/>
  <c r="R214" i="9" s="1"/>
  <c r="W214" i="9" s="1" a="1"/>
  <c r="W214" i="9" s="1"/>
  <c r="R104" i="9" a="1"/>
  <c r="R104" i="9" s="1"/>
  <c r="W104" i="9" s="1" a="1"/>
  <c r="W104" i="9" s="1"/>
  <c r="R11" i="9" a="1"/>
  <c r="R11" i="9" s="1"/>
  <c r="R37" i="9" a="1"/>
  <c r="R37" i="9" s="1"/>
  <c r="R226" i="9" a="1"/>
  <c r="R226" i="9" s="1"/>
  <c r="W226" i="9" s="1" a="1"/>
  <c r="W226" i="9" s="1"/>
  <c r="R231" i="9" a="1"/>
  <c r="R231" i="9" s="1"/>
  <c r="W231" i="9" s="1" a="1"/>
  <c r="W231" i="9" s="1"/>
  <c r="R249" i="9" a="1"/>
  <c r="R249" i="9" s="1"/>
  <c r="W249" i="9" s="1" a="1"/>
  <c r="W249" i="9" s="1"/>
  <c r="R158" i="9" a="1"/>
  <c r="R158" i="9" s="1"/>
  <c r="W158" i="9" s="1" a="1"/>
  <c r="W158" i="9" s="1"/>
  <c r="R159" i="9" a="1"/>
  <c r="R159" i="9" s="1"/>
  <c r="W159" i="9" s="1" a="1"/>
  <c r="W159" i="9" s="1"/>
  <c r="R250" i="9" a="1"/>
  <c r="R250" i="9" s="1"/>
  <c r="W250" i="9" s="1" a="1"/>
  <c r="W250" i="9" s="1"/>
  <c r="R254" i="9" a="1"/>
  <c r="R254" i="9" s="1"/>
  <c r="W254" i="9" s="1" a="1"/>
  <c r="W254" i="9" s="1"/>
  <c r="R47" i="9" a="1"/>
  <c r="R47" i="9" s="1"/>
  <c r="R252" i="9" a="1"/>
  <c r="R252" i="9" s="1"/>
  <c r="W252" i="9" s="1" a="1"/>
  <c r="W252" i="9" s="1"/>
  <c r="R64" i="9" a="1"/>
  <c r="R64" i="9" s="1"/>
  <c r="W64" i="9" s="1" a="1"/>
  <c r="W64" i="9" s="1"/>
  <c r="R235" i="9" a="1"/>
  <c r="R235" i="9" s="1"/>
  <c r="W235" i="9" s="1" a="1"/>
  <c r="W235" i="9" s="1"/>
  <c r="R251" i="9" a="1"/>
  <c r="R251" i="9" s="1"/>
  <c r="W251" i="9" s="1" a="1"/>
  <c r="W251" i="9" s="1"/>
  <c r="R182" i="9" a="1"/>
  <c r="R182" i="9" s="1"/>
  <c r="W182" i="9" s="1" a="1"/>
  <c r="W182" i="9" s="1"/>
  <c r="R219" i="9" a="1"/>
  <c r="R219" i="9" s="1"/>
  <c r="W219" i="9" s="1" a="1"/>
  <c r="W219" i="9" s="1"/>
  <c r="R201" i="9" a="1"/>
  <c r="R201" i="9" s="1"/>
  <c r="W201" i="9" s="1" a="1"/>
  <c r="W201" i="9" s="1"/>
  <c r="R164" i="9" a="1"/>
  <c r="R164" i="9" s="1"/>
  <c r="W164" i="9" s="1" a="1"/>
  <c r="W164" i="9" s="1"/>
  <c r="R123" i="9" a="1"/>
  <c r="R123" i="9" s="1"/>
  <c r="W123" i="9" s="1" a="1"/>
  <c r="W123" i="9" s="1"/>
  <c r="R184" i="9" a="1"/>
  <c r="R184" i="9" s="1"/>
  <c r="W184" i="9" s="1" a="1"/>
  <c r="W184" i="9" s="1"/>
  <c r="R183" i="9" a="1"/>
  <c r="R183" i="9" s="1"/>
  <c r="W183" i="9" s="1" a="1"/>
  <c r="W183" i="9" s="1"/>
  <c r="R68" i="9" a="1"/>
  <c r="R68" i="9" s="1"/>
  <c r="W68" i="9" s="1" a="1"/>
  <c r="W68" i="9" s="1"/>
  <c r="R225" i="9" a="1"/>
  <c r="R225" i="9" s="1"/>
  <c r="W225" i="9" s="1" a="1"/>
  <c r="W225" i="9" s="1"/>
  <c r="R63" i="9" a="1"/>
  <c r="R63" i="9" s="1"/>
  <c r="W63" i="9" s="1" a="1"/>
  <c r="W63" i="9" s="1"/>
  <c r="R81" i="9" a="1"/>
  <c r="R81" i="9" s="1"/>
  <c r="W81" i="9" s="1" a="1"/>
  <c r="W81" i="9" s="1"/>
  <c r="R165" i="9" a="1"/>
  <c r="R165" i="9" s="1"/>
  <c r="W165" i="9" s="1" a="1"/>
  <c r="W165" i="9" s="1"/>
  <c r="R17" i="9" a="1"/>
  <c r="R17" i="9" s="1"/>
  <c r="R134" i="9" a="1"/>
  <c r="R134" i="9" s="1"/>
  <c r="W134" i="9" s="1" a="1"/>
  <c r="W134" i="9" s="1"/>
  <c r="R239" i="9" a="1"/>
  <c r="R239" i="9" s="1"/>
  <c r="W239" i="9" s="1" a="1"/>
  <c r="W239" i="9" s="1"/>
  <c r="R113" i="9" a="1"/>
  <c r="R113" i="9" s="1"/>
  <c r="W113" i="9" s="1" a="1"/>
  <c r="W113" i="9" s="1"/>
  <c r="R25" i="9" a="1"/>
  <c r="R25" i="9" s="1"/>
  <c r="R242" i="9" a="1"/>
  <c r="R242" i="9" s="1"/>
  <c r="W242" i="9" s="1" a="1"/>
  <c r="W242" i="9" s="1"/>
  <c r="R212" i="9" a="1"/>
  <c r="R212" i="9" s="1"/>
  <c r="W212" i="9" s="1" a="1"/>
  <c r="W212" i="9" s="1"/>
  <c r="R129" i="9" a="1"/>
  <c r="R129" i="9" s="1"/>
  <c r="W129" i="9" s="1" a="1"/>
  <c r="W129" i="9" s="1"/>
  <c r="R146" i="9" a="1"/>
  <c r="R146" i="9" s="1"/>
  <c r="W146" i="9" s="1" a="1"/>
  <c r="W146" i="9" s="1"/>
  <c r="R246" i="9" a="1"/>
  <c r="R246" i="9" s="1"/>
  <c r="W246" i="9" s="1" a="1"/>
  <c r="W246" i="9" s="1"/>
  <c r="R95" i="9" a="1"/>
  <c r="R95" i="9" s="1"/>
  <c r="W95" i="9" s="1" a="1"/>
  <c r="W95" i="9" s="1"/>
  <c r="R7" i="9" a="1"/>
  <c r="R7" i="9" s="1"/>
  <c r="R24" i="9" a="1"/>
  <c r="R24" i="9" s="1"/>
  <c r="R163" i="9" a="1"/>
  <c r="R163" i="9" s="1"/>
  <c r="W163" i="9" s="1" a="1"/>
  <c r="W163" i="9" s="1"/>
  <c r="R121" i="9" a="1"/>
  <c r="R121" i="9" s="1"/>
  <c r="W121" i="9" s="1" a="1"/>
  <c r="W121" i="9" s="1"/>
  <c r="R73" i="9" a="1"/>
  <c r="R73" i="9" s="1"/>
  <c r="W73" i="9" s="1" a="1"/>
  <c r="W73" i="9" s="1"/>
  <c r="R135" i="9" a="1"/>
  <c r="R135" i="9" s="1"/>
  <c r="W135" i="9" s="1" a="1"/>
  <c r="W135" i="9" s="1"/>
  <c r="R186" i="9" a="1"/>
  <c r="R186" i="9" s="1"/>
  <c r="W186" i="9" s="1" a="1"/>
  <c r="W186" i="9" s="1"/>
  <c r="R128" i="9" a="1"/>
  <c r="R128" i="9" s="1"/>
  <c r="W128" i="9" s="1" a="1"/>
  <c r="W128" i="9" s="1"/>
  <c r="R188" i="9" a="1"/>
  <c r="R188" i="9" s="1"/>
  <c r="W188" i="9" s="1" a="1"/>
  <c r="W188" i="9" s="1"/>
  <c r="R141" i="9" a="1"/>
  <c r="R141" i="9" s="1"/>
  <c r="W141" i="9" s="1" a="1"/>
  <c r="W141" i="9" s="1"/>
  <c r="R75" i="9" a="1"/>
  <c r="R75" i="9" s="1"/>
  <c r="W75" i="9" s="1" a="1"/>
  <c r="W75" i="9" s="1"/>
  <c r="R100" i="9" a="1"/>
  <c r="R100" i="9" s="1"/>
  <c r="W100" i="9" s="1" a="1"/>
  <c r="W100" i="9" s="1"/>
  <c r="R176" i="9" a="1"/>
  <c r="R176" i="9" s="1"/>
  <c r="W176" i="9" s="1" a="1"/>
  <c r="W176" i="9" s="1"/>
  <c r="R150" i="9" a="1"/>
  <c r="R150" i="9" s="1"/>
  <c r="W150" i="9" s="1" a="1"/>
  <c r="W150" i="9" s="1"/>
  <c r="R196" i="9" a="1"/>
  <c r="R196" i="9" s="1"/>
  <c r="W196" i="9" s="1" a="1"/>
  <c r="W196" i="9" s="1"/>
  <c r="R54" i="9" a="1"/>
  <c r="R54" i="9" s="1"/>
  <c r="R19" i="9" a="1"/>
  <c r="R19" i="9" s="1"/>
  <c r="R65" i="9" a="1"/>
  <c r="R65" i="9" s="1"/>
  <c r="W65" i="9" s="1" a="1"/>
  <c r="W65" i="9" s="1"/>
  <c r="R8" i="9" a="1"/>
  <c r="R8" i="9" s="1"/>
  <c r="R38" i="9" a="1"/>
  <c r="R38" i="9" s="1"/>
  <c r="R198" i="9" a="1"/>
  <c r="R198" i="9" s="1"/>
  <c r="W198" i="9" s="1" a="1"/>
  <c r="W198" i="9" s="1"/>
  <c r="R153" i="9" a="1"/>
  <c r="R153" i="9" s="1"/>
  <c r="W153" i="9" s="1" a="1"/>
  <c r="W153" i="9" s="1"/>
  <c r="R138" i="9" a="1"/>
  <c r="R138" i="9" s="1"/>
  <c r="W138" i="9" s="1" a="1"/>
  <c r="W138" i="9" s="1"/>
  <c r="R151" i="9" a="1"/>
  <c r="R151" i="9" s="1"/>
  <c r="W151" i="9" s="1" a="1"/>
  <c r="W151" i="9" s="1"/>
  <c r="R162" i="9" a="1"/>
  <c r="R162" i="9" s="1"/>
  <c r="W162" i="9" s="1" a="1"/>
  <c r="W162" i="9" s="1"/>
  <c r="R152" i="9" a="1"/>
  <c r="R152" i="9" s="1"/>
  <c r="W152" i="9" s="1" a="1"/>
  <c r="W152" i="9" s="1"/>
  <c r="R204" i="9" a="1"/>
  <c r="R204" i="9" s="1"/>
  <c r="W204" i="9" s="1" a="1"/>
  <c r="W204" i="9" s="1"/>
  <c r="R32" i="9" a="1"/>
  <c r="R32" i="9" s="1"/>
  <c r="R131" i="9" a="1"/>
  <c r="R131" i="9" s="1"/>
  <c r="W131" i="9" s="1" a="1"/>
  <c r="W131" i="9" s="1"/>
  <c r="R66" i="9" a="1"/>
  <c r="R66" i="9" s="1"/>
  <c r="W66" i="9" s="1" a="1"/>
  <c r="W66" i="9" s="1"/>
  <c r="R108" i="9" a="1"/>
  <c r="R108" i="9" s="1"/>
  <c r="W108" i="9" s="1" a="1"/>
  <c r="W108" i="9" s="1"/>
  <c r="R15" i="9" a="1"/>
  <c r="R15" i="9" s="1"/>
  <c r="R55" i="9" a="1"/>
  <c r="R55" i="9" s="1"/>
  <c r="W55" i="9" s="1" a="1"/>
  <c r="W55" i="9" s="1"/>
  <c r="R27" i="9" a="1"/>
  <c r="R27" i="9" s="1"/>
  <c r="R169" i="9" a="1"/>
  <c r="R169" i="9" s="1"/>
  <c r="W169" i="9" s="1" a="1"/>
  <c r="W169" i="9" s="1"/>
  <c r="R33" i="9" a="1"/>
  <c r="R33" i="9" s="1"/>
  <c r="R147" i="9" a="1"/>
  <c r="R147" i="9" s="1"/>
  <c r="W147" i="9" s="1" a="1"/>
  <c r="W147" i="9" s="1"/>
  <c r="R61" i="9" a="1"/>
  <c r="R61" i="9" s="1"/>
  <c r="W61" i="9" s="1" a="1"/>
  <c r="W61" i="9" s="1"/>
  <c r="R115" i="9" a="1"/>
  <c r="R115" i="9" s="1"/>
  <c r="W115" i="9" s="1" a="1"/>
  <c r="W115" i="9" s="1"/>
  <c r="R238" i="9" a="1"/>
  <c r="R238" i="9" s="1"/>
  <c r="W238" i="9" s="1" a="1"/>
  <c r="W238" i="9" s="1"/>
  <c r="R223" i="9" a="1"/>
  <c r="R223" i="9" s="1"/>
  <c r="W223" i="9" s="1" a="1"/>
  <c r="W223" i="9" s="1"/>
  <c r="R117" i="9" a="1"/>
  <c r="R117" i="9" s="1"/>
  <c r="W117" i="9" s="1" a="1"/>
  <c r="W117" i="9" s="1"/>
  <c r="R23" i="9" a="1"/>
  <c r="R23" i="9" s="1"/>
  <c r="R206" i="9" a="1"/>
  <c r="R206" i="9" s="1"/>
  <c r="W206" i="9" s="1" a="1"/>
  <c r="W206" i="9" s="1"/>
  <c r="R171" i="9" a="1"/>
  <c r="R171" i="9" s="1"/>
  <c r="W171" i="9" s="1" a="1"/>
  <c r="W171" i="9" s="1"/>
  <c r="R227" i="9" a="1"/>
  <c r="R227" i="9" s="1"/>
  <c r="W227" i="9" s="1" a="1"/>
  <c r="W227" i="9" s="1"/>
  <c r="R209" i="9" a="1"/>
  <c r="R209" i="9" s="1"/>
  <c r="W209" i="9" s="1" a="1"/>
  <c r="W209" i="9" s="1"/>
  <c r="R13" i="9" a="1"/>
  <c r="R13" i="9" s="1"/>
  <c r="R207" i="9" a="1"/>
  <c r="R207" i="9" s="1"/>
  <c r="W207" i="9" s="1" a="1"/>
  <c r="W207" i="9" s="1"/>
  <c r="R77" i="9" a="1"/>
  <c r="R77" i="9" s="1"/>
  <c r="W77" i="9" s="1" a="1"/>
  <c r="W77" i="9" s="1"/>
  <c r="R79" i="9" a="1"/>
  <c r="R79" i="9" s="1"/>
  <c r="W79" i="9" s="1" a="1"/>
  <c r="W79" i="9" s="1"/>
  <c r="R45" i="9" a="1"/>
  <c r="R45" i="9" s="1"/>
  <c r="R237" i="9" a="1"/>
  <c r="R237" i="9" s="1"/>
  <c r="W237" i="9" s="1" a="1"/>
  <c r="W237" i="9" s="1"/>
  <c r="R220" i="9" a="1"/>
  <c r="R220" i="9" s="1"/>
  <c r="W220" i="9" s="1" a="1"/>
  <c r="W220" i="9" s="1"/>
  <c r="R41" i="9" a="1"/>
  <c r="R41" i="9" s="1"/>
  <c r="R6" i="9" a="1"/>
  <c r="R6" i="9" s="1"/>
  <c r="R177" i="9" a="1"/>
  <c r="R177" i="9" s="1"/>
  <c r="W177" i="9" s="1" a="1"/>
  <c r="W177" i="9" s="1"/>
  <c r="R122" i="9" a="1"/>
  <c r="R122" i="9" s="1"/>
  <c r="W122" i="9" s="1" a="1"/>
  <c r="W122" i="9" s="1"/>
  <c r="R21" i="9" a="1"/>
  <c r="R21" i="9" s="1"/>
  <c r="R139" i="9" a="1"/>
  <c r="R139" i="9" s="1"/>
  <c r="W139" i="9" s="1" a="1"/>
  <c r="W139" i="9" s="1"/>
  <c r="R116" i="9" a="1"/>
  <c r="R116" i="9" s="1"/>
  <c r="W116" i="9" s="1" a="1"/>
  <c r="W116" i="9" s="1"/>
  <c r="R168" i="9" a="1"/>
  <c r="R168" i="9" s="1"/>
  <c r="W168" i="9" s="1" a="1"/>
  <c r="W168" i="9" s="1"/>
  <c r="R145" i="9" a="1"/>
  <c r="R145" i="9" s="1"/>
  <c r="W145" i="9" s="1" a="1"/>
  <c r="W145" i="9" s="1"/>
  <c r="R82" i="9" a="1"/>
  <c r="R82" i="9" s="1"/>
  <c r="W82" i="9" s="1" a="1"/>
  <c r="W82" i="9" s="1"/>
  <c r="R130" i="9" a="1"/>
  <c r="R130" i="9" s="1"/>
  <c r="W130" i="9" s="1" a="1"/>
  <c r="W130" i="9" s="1"/>
  <c r="R70" i="9" a="1"/>
  <c r="R70" i="9" s="1"/>
  <c r="W70" i="9" s="1" a="1"/>
  <c r="W70" i="9" s="1"/>
  <c r="R193" i="9" a="1"/>
  <c r="R193" i="9" s="1"/>
  <c r="W193" i="9" s="1" a="1"/>
  <c r="W193" i="9" s="1"/>
  <c r="R170" i="9" a="1"/>
  <c r="R170" i="9" s="1"/>
  <c r="W170" i="9" s="1" a="1"/>
  <c r="W170" i="9" s="1"/>
  <c r="R194" i="9" a="1"/>
  <c r="R194" i="9" s="1"/>
  <c r="W194" i="9" s="1" a="1"/>
  <c r="W194" i="9" s="1"/>
  <c r="R221" i="9" a="1"/>
  <c r="R221" i="9" s="1"/>
  <c r="W221" i="9" s="1" a="1"/>
  <c r="W221" i="9" s="1"/>
  <c r="R83" i="9" a="1"/>
  <c r="R83" i="9" s="1"/>
  <c r="W83" i="9" s="1" a="1"/>
  <c r="W83" i="9" s="1"/>
  <c r="R34" i="9" a="1"/>
  <c r="R34" i="9" s="1"/>
  <c r="R72" i="9" a="1"/>
  <c r="R72" i="9" s="1"/>
  <c r="W72" i="9" s="1" a="1"/>
  <c r="W72" i="9" s="1"/>
  <c r="R50" i="9" a="1"/>
  <c r="R50" i="9" s="1"/>
  <c r="R142" i="9" a="1"/>
  <c r="R142" i="9" s="1"/>
  <c r="W142" i="9" s="1" a="1"/>
  <c r="W142" i="9" s="1"/>
  <c r="R190" i="9" a="1"/>
  <c r="R190" i="9" s="1"/>
  <c r="W190" i="9" s="1" a="1"/>
  <c r="W190" i="9" s="1"/>
  <c r="R57" i="9" a="1"/>
  <c r="R57" i="9" s="1"/>
  <c r="W57" i="9" s="1" a="1"/>
  <c r="W57" i="9" s="1"/>
  <c r="R245" i="9" a="1"/>
  <c r="R245" i="9" s="1"/>
  <c r="W245" i="9" s="1" a="1"/>
  <c r="W245" i="9" s="1"/>
  <c r="R43" i="9" a="1"/>
  <c r="R43" i="9" s="1"/>
  <c r="R203" i="9" a="1"/>
  <c r="R203" i="9" s="1"/>
  <c r="W203" i="9" s="1" a="1"/>
  <c r="W203" i="9" s="1"/>
  <c r="R53" i="9" a="1"/>
  <c r="R53" i="9" s="1"/>
  <c r="R253" i="9" a="1"/>
  <c r="R253" i="9" s="1"/>
  <c r="W253" i="9" s="1" a="1"/>
  <c r="W253" i="9" s="1"/>
  <c r="R28" i="9" a="1"/>
  <c r="R28" i="9" s="1"/>
  <c r="R216" i="9" a="1"/>
  <c r="R216" i="9" s="1"/>
  <c r="W216" i="9" s="1" a="1"/>
  <c r="W216" i="9" s="1"/>
  <c r="R264" i="9" a="1"/>
  <c r="R264" i="9" s="1"/>
  <c r="W264" i="9" s="1" a="1"/>
  <c r="W264" i="9" s="1"/>
  <c r="R31" i="9" a="1"/>
  <c r="R31" i="9" s="1"/>
  <c r="R114" i="9" a="1"/>
  <c r="R114" i="9" s="1"/>
  <c r="W114" i="9" s="1" a="1"/>
  <c r="W114" i="9" s="1"/>
  <c r="R110" i="9" a="1"/>
  <c r="R110" i="9" s="1"/>
  <c r="W110" i="9" s="1" a="1"/>
  <c r="W110" i="9" s="1"/>
  <c r="R14" i="9" a="1"/>
  <c r="R14" i="9" s="1"/>
  <c r="R89" i="9" a="1"/>
  <c r="R89" i="9" s="1"/>
  <c r="W89" i="9" s="1" a="1"/>
  <c r="W89" i="9" s="1"/>
  <c r="R208" i="9" a="1"/>
  <c r="R208" i="9" s="1"/>
  <c r="W208" i="9" s="1" a="1"/>
  <c r="W208" i="9" s="1"/>
  <c r="R22" i="9" a="1"/>
  <c r="R22" i="9" s="1"/>
  <c r="R62" i="9" a="1"/>
  <c r="R62" i="9" s="1"/>
  <c r="W62" i="9" s="1" a="1"/>
  <c r="W62" i="9" s="1"/>
  <c r="R232" i="9" a="1"/>
  <c r="R232" i="9" s="1"/>
  <c r="W232" i="9" s="1" a="1"/>
  <c r="W232" i="9" s="1"/>
  <c r="R101" i="9" a="1"/>
  <c r="R101" i="9" s="1"/>
  <c r="W101" i="9" s="1" a="1"/>
  <c r="W101" i="9" s="1"/>
  <c r="R36" i="9" a="1"/>
  <c r="R36" i="9" s="1"/>
  <c r="R102" i="9" a="1"/>
  <c r="R102" i="9" s="1"/>
  <c r="W102" i="9" s="1" a="1"/>
  <c r="W102" i="9" s="1"/>
  <c r="R2" i="9" a="1"/>
  <c r="R2" i="9" s="1"/>
  <c r="R12" i="9" a="1"/>
  <c r="R12" i="9" s="1"/>
  <c r="R30" i="9" a="1"/>
  <c r="R30" i="9" s="1"/>
  <c r="R56" i="9" a="1"/>
  <c r="R56" i="9" s="1"/>
  <c r="W56" i="9" s="1" a="1"/>
  <c r="W56" i="9" s="1"/>
  <c r="R85" i="9" a="1"/>
  <c r="R85" i="9" s="1"/>
  <c r="W85" i="9" s="1" a="1"/>
  <c r="W85" i="9" s="1"/>
  <c r="R16" i="9" a="1"/>
  <c r="R16" i="9" s="1"/>
  <c r="R103" i="9" a="1"/>
  <c r="R103" i="9" s="1"/>
  <c r="W103" i="9" s="1" a="1"/>
  <c r="W103" i="9" s="1"/>
  <c r="R60" i="9" a="1"/>
  <c r="R60" i="9" s="1"/>
  <c r="W60" i="9" s="1" a="1"/>
  <c r="W60" i="9" s="1"/>
  <c r="R91" i="9" a="1"/>
  <c r="R91" i="9" s="1"/>
  <c r="W91" i="9" s="1" a="1"/>
  <c r="W91" i="9" s="1"/>
  <c r="R107" i="9" a="1"/>
  <c r="R107" i="9" s="1"/>
  <c r="W107" i="9" s="1" a="1"/>
  <c r="W107" i="9" s="1"/>
  <c r="R137" i="9" a="1"/>
  <c r="R137" i="9" s="1"/>
  <c r="W137" i="9" s="1" a="1"/>
  <c r="W137" i="9" s="1"/>
  <c r="R172" i="9" a="1"/>
  <c r="R172" i="9" s="1"/>
  <c r="W172" i="9" s="1" a="1"/>
  <c r="W172" i="9" s="1"/>
  <c r="R200" i="9" a="1"/>
  <c r="R200" i="9" s="1"/>
  <c r="W200" i="9" s="1" a="1"/>
  <c r="W200" i="9" s="1"/>
  <c r="R229" i="9" a="1"/>
  <c r="R229" i="9" s="1"/>
  <c r="W229" i="9" s="1" a="1"/>
  <c r="W229" i="9" s="1"/>
  <c r="R97" i="9" a="1"/>
  <c r="R97" i="9" s="1"/>
  <c r="W97" i="9" s="1" a="1"/>
  <c r="W97" i="9" s="1"/>
  <c r="R180" i="9" a="1"/>
  <c r="R180" i="9" s="1"/>
  <c r="W180" i="9" s="1" a="1"/>
  <c r="W180" i="9" s="1"/>
  <c r="R230" i="9" a="1"/>
  <c r="R230" i="9" s="1"/>
  <c r="W230" i="9" s="1" a="1"/>
  <c r="W230" i="9" s="1"/>
  <c r="R213" i="9" a="1"/>
  <c r="R213" i="9" s="1"/>
  <c r="W213" i="9" s="1" a="1"/>
  <c r="W213" i="9" s="1"/>
  <c r="R5" i="9" a="1"/>
  <c r="R5" i="9" s="1"/>
  <c r="R88" i="9" a="1"/>
  <c r="R88" i="9" s="1"/>
  <c r="W88" i="9" s="1" a="1"/>
  <c r="W88" i="9" s="1"/>
  <c r="R175" i="9" a="1"/>
  <c r="R175" i="9" s="1"/>
  <c r="W175" i="9" s="1" a="1"/>
  <c r="W175" i="9" s="1"/>
  <c r="R181" i="9" a="1"/>
  <c r="R181" i="9" s="1"/>
  <c r="W181" i="9" s="1" a="1"/>
  <c r="W181" i="9" s="1"/>
  <c r="R10" i="9" a="1"/>
  <c r="R10" i="9" s="1"/>
  <c r="R29" i="9" a="1"/>
  <c r="R29" i="9" s="1"/>
  <c r="R140" i="9" a="1"/>
  <c r="R140" i="9" s="1"/>
  <c r="W140" i="9" s="1" a="1"/>
  <c r="W140" i="9" s="1"/>
  <c r="R228" i="9" a="1"/>
  <c r="R228" i="9" s="1"/>
  <c r="W228" i="9" s="1" a="1"/>
  <c r="W228" i="9" s="1"/>
  <c r="R125" i="9" a="1"/>
  <c r="R125" i="9" s="1"/>
  <c r="W125" i="9" s="1" a="1"/>
  <c r="W125" i="9" s="1"/>
  <c r="R179" i="9" a="1"/>
  <c r="R179" i="9" s="1"/>
  <c r="W179" i="9" s="1" a="1"/>
  <c r="W179" i="9" s="1"/>
  <c r="R191" i="9" a="1"/>
  <c r="R191" i="9" s="1"/>
  <c r="W191" i="9" s="1" a="1"/>
  <c r="W191" i="9" s="1"/>
  <c r="R1" i="9" a="1"/>
  <c r="R1" i="9" s="1"/>
  <c r="R58" i="9" a="1"/>
  <c r="R58" i="9" s="1"/>
  <c r="W58" i="9" s="1" a="1"/>
  <c r="W58" i="9" s="1"/>
  <c r="R87" i="9" a="1"/>
  <c r="R87" i="9" s="1"/>
  <c r="W87" i="9" s="1" a="1"/>
  <c r="W87" i="9" s="1"/>
  <c r="R105" i="9" a="1"/>
  <c r="R105" i="9" s="1"/>
  <c r="W105" i="9" s="1" a="1"/>
  <c r="W105" i="9" s="1"/>
  <c r="R124" i="9" a="1"/>
  <c r="R124" i="9" s="1"/>
  <c r="W124" i="9" s="1" a="1"/>
  <c r="W124" i="9" s="1"/>
  <c r="R44" i="9" a="1"/>
  <c r="R44" i="9" s="1"/>
  <c r="R132" i="9" a="1"/>
  <c r="R132" i="9" s="1"/>
  <c r="W132" i="9" s="1" a="1"/>
  <c r="W132" i="9" s="1"/>
  <c r="R127" i="9" a="1"/>
  <c r="R127" i="9" s="1"/>
  <c r="W127" i="9" s="1" a="1"/>
  <c r="W127" i="9" s="1"/>
  <c r="R160" i="9" a="1"/>
  <c r="R160" i="9" s="1"/>
  <c r="W160" i="9" s="1" a="1"/>
  <c r="W160" i="9" s="1"/>
  <c r="R71" i="9" a="1"/>
  <c r="R71" i="9" s="1"/>
  <c r="W71" i="9" s="1" a="1"/>
  <c r="W71" i="9" s="1"/>
  <c r="R136" i="9" a="1"/>
  <c r="R136" i="9" s="1"/>
  <c r="W136" i="9" s="1" a="1"/>
  <c r="W136" i="9" s="1"/>
  <c r="R35" i="9" a="1"/>
  <c r="R35" i="9" s="1"/>
  <c r="R111" i="9" a="1"/>
  <c r="R111" i="9" s="1"/>
  <c r="W111" i="9" s="1" a="1"/>
  <c r="W111" i="9" s="1"/>
  <c r="R67" i="9" a="1"/>
  <c r="R67" i="9" s="1"/>
  <c r="W67" i="9" s="1" a="1"/>
  <c r="W67" i="9" s="1"/>
  <c r="R265" i="9" a="1"/>
  <c r="R265" i="9" s="1"/>
  <c r="W265" i="9" s="1" a="1"/>
  <c r="W265" i="9" s="1"/>
  <c r="R166" i="9" a="1"/>
  <c r="R166" i="9" s="1"/>
  <c r="W166" i="9" s="1" a="1"/>
  <c r="W166" i="9" s="1"/>
  <c r="R26" i="9" a="1"/>
  <c r="R26" i="9" s="1"/>
  <c r="R240" i="9" a="1"/>
  <c r="R240" i="9" s="1"/>
  <c r="W240" i="9" s="1" a="1"/>
  <c r="W240" i="9" s="1"/>
  <c r="R236" i="9" a="1"/>
  <c r="R236" i="9" s="1"/>
  <c r="W236" i="9" s="1" a="1"/>
  <c r="W236" i="9" s="1"/>
  <c r="R197" i="9" a="1"/>
  <c r="R197" i="9" s="1"/>
  <c r="W197" i="9" s="1" a="1"/>
  <c r="W197" i="9" s="1"/>
  <c r="R263" i="9" a="1"/>
  <c r="R263" i="9" s="1"/>
  <c r="W263" i="9" s="1" a="1"/>
  <c r="W263" i="9" s="1"/>
  <c r="R74" i="9" a="1"/>
  <c r="R74" i="9" s="1"/>
  <c r="W74" i="9" s="1" a="1"/>
  <c r="W74" i="9" s="1"/>
  <c r="R143" i="9" a="1"/>
  <c r="R143" i="9" s="1"/>
  <c r="W143" i="9" s="1" a="1"/>
  <c r="W143" i="9" s="1"/>
  <c r="R51" i="9" a="1"/>
  <c r="R51" i="9" s="1"/>
  <c r="R84" i="9" a="1"/>
  <c r="R84" i="9" s="1"/>
  <c r="W84" i="9" s="1" a="1"/>
  <c r="W84" i="9" s="1"/>
  <c r="R39" i="9" a="1"/>
  <c r="R39" i="9" s="1"/>
  <c r="R157" i="9" a="1"/>
  <c r="R157" i="9" s="1"/>
  <c r="W157" i="9" s="1" a="1"/>
  <c r="W157" i="9" s="1"/>
  <c r="R76" i="9" a="1"/>
  <c r="R76" i="9" s="1"/>
  <c r="W76" i="9" s="1" a="1"/>
  <c r="W76" i="9" s="1"/>
  <c r="R210" i="9" a="1"/>
  <c r="R210" i="9" s="1"/>
  <c r="W210" i="9" s="1" a="1"/>
  <c r="W210" i="9" s="1"/>
  <c r="R52" i="9" a="1"/>
  <c r="R52" i="9" s="1"/>
  <c r="R148" i="9" a="1"/>
  <c r="R148" i="9" s="1"/>
  <c r="W148" i="9" s="1" a="1"/>
  <c r="W148" i="9" s="1"/>
  <c r="R247" i="9" a="1"/>
  <c r="R247" i="9" s="1"/>
  <c r="W247" i="9" s="1" a="1"/>
  <c r="W247" i="9" s="1"/>
  <c r="R3" i="9" a="1"/>
  <c r="R3" i="9" s="1"/>
  <c r="R18" i="9" a="1"/>
  <c r="R18" i="9" s="1"/>
  <c r="R40" i="9" a="1"/>
  <c r="R40" i="9" s="1"/>
  <c r="R80" i="9" a="1"/>
  <c r="R80" i="9" s="1"/>
  <c r="W80" i="9" s="1" a="1"/>
  <c r="W80" i="9" s="1"/>
  <c r="R94" i="9" a="1"/>
  <c r="R94" i="9" s="1"/>
  <c r="W94" i="9" s="1" a="1"/>
  <c r="W94" i="9" s="1"/>
  <c r="R112" i="9" a="1"/>
  <c r="R112" i="9" s="1"/>
  <c r="W112" i="9" s="1" a="1"/>
  <c r="W112" i="9" s="1"/>
  <c r="R144" i="9" a="1"/>
  <c r="R144" i="9" s="1"/>
  <c r="W144" i="9" s="1" a="1"/>
  <c r="W144" i="9" s="1"/>
  <c r="R155" i="9" a="1"/>
  <c r="R155" i="9" s="1"/>
  <c r="W155" i="9" s="1" a="1"/>
  <c r="W155" i="9" s="1"/>
  <c r="R167" i="9" a="1"/>
  <c r="R167" i="9" s="1"/>
  <c r="W167" i="9" s="1" a="1"/>
  <c r="W167" i="9" s="1"/>
  <c r="R178" i="9" a="1"/>
  <c r="R178" i="9" s="1"/>
  <c r="W178" i="9" s="1" a="1"/>
  <c r="W178" i="9" s="1"/>
  <c r="R192" i="9" a="1"/>
  <c r="R192" i="9" s="1"/>
  <c r="W192" i="9" s="1" a="1"/>
  <c r="W192" i="9" s="1"/>
  <c r="R222" i="9" a="1"/>
  <c r="R222" i="9" s="1"/>
  <c r="W222" i="9" s="1" a="1"/>
  <c r="W222" i="9" s="1"/>
  <c r="R98" i="9" a="1"/>
  <c r="R98" i="9" s="1"/>
  <c r="W98" i="9" s="1" a="1"/>
  <c r="W98" i="9" s="1"/>
  <c r="R20" i="9" a="1"/>
  <c r="R20" i="9" s="1"/>
  <c r="R42" i="9" a="1"/>
  <c r="R42" i="9" s="1"/>
  <c r="R106" i="9" a="1"/>
  <c r="R106" i="9" s="1"/>
  <c r="W106" i="9" s="1" a="1"/>
  <c r="W106" i="9" s="1"/>
  <c r="R195" i="9" a="1"/>
  <c r="R195" i="9" s="1"/>
  <c r="W195" i="9" s="1" a="1"/>
  <c r="W195" i="9" s="1"/>
  <c r="R215" i="9" a="1"/>
  <c r="R215" i="9" s="1"/>
  <c r="W215" i="9" s="1" a="1"/>
  <c r="W215" i="9" s="1"/>
  <c r="R241" i="9" a="1"/>
  <c r="R241" i="9" s="1"/>
  <c r="W241" i="9" s="1" a="1"/>
  <c r="W241" i="9" s="1"/>
  <c r="R174" i="9" a="1"/>
  <c r="R174" i="9" s="1"/>
  <c r="W174" i="9" s="1" a="1"/>
  <c r="W174" i="9" s="1"/>
  <c r="R59" i="9" a="1"/>
  <c r="R59" i="9" s="1"/>
  <c r="W59" i="9" s="1" a="1"/>
  <c r="W59" i="9" s="1"/>
  <c r="R96" i="9" a="1"/>
  <c r="R96" i="9" s="1"/>
  <c r="W96" i="9" s="1" a="1"/>
  <c r="W96" i="9" s="1"/>
  <c r="R118" i="9" a="1"/>
  <c r="R118" i="9" s="1"/>
  <c r="W118" i="9" s="1" a="1"/>
  <c r="W118" i="9" s="1"/>
  <c r="R185" i="9" a="1"/>
  <c r="R185" i="9" s="1"/>
  <c r="W185" i="9" s="1" a="1"/>
  <c r="W185" i="9" s="1"/>
  <c r="R202" i="9" a="1"/>
  <c r="R202" i="9" s="1"/>
  <c r="W202" i="9" s="1" a="1"/>
  <c r="W202" i="9" s="1"/>
  <c r="R224" i="9" a="1"/>
  <c r="R224" i="9" s="1"/>
  <c r="W224" i="9" s="1" a="1"/>
  <c r="W224" i="9" s="1"/>
  <c r="R156" i="9" a="1"/>
  <c r="R156" i="9" s="1"/>
  <c r="W156" i="9" s="1" a="1"/>
  <c r="W156" i="9" s="1"/>
  <c r="R49" i="9" a="1"/>
  <c r="R49" i="9" s="1"/>
  <c r="R9" i="9" a="1"/>
  <c r="R9" i="9" s="1"/>
  <c r="R92" i="9" a="1"/>
  <c r="R92" i="9" s="1"/>
  <c r="W92" i="9" s="1" a="1"/>
  <c r="W92" i="9" s="1"/>
  <c r="R133" i="9" a="1"/>
  <c r="R133" i="9" s="1"/>
  <c r="W133" i="9" s="1" a="1"/>
  <c r="W133" i="9" s="1"/>
  <c r="R149" i="9" a="1"/>
  <c r="R149" i="9" s="1"/>
  <c r="W149" i="9" s="1" a="1"/>
  <c r="W149" i="9" s="1"/>
  <c r="R48" i="9" a="1"/>
  <c r="R48" i="9" s="1"/>
  <c r="R119" i="9" a="1"/>
  <c r="R119" i="9" s="1"/>
  <c r="W119" i="9" s="1" a="1"/>
  <c r="W119" i="9" s="1"/>
  <c r="R243" i="9" a="1"/>
  <c r="R243" i="9" s="1"/>
  <c r="W243" i="9" s="1" a="1"/>
  <c r="W243" i="9" s="1"/>
  <c r="R173" i="9" a="1"/>
  <c r="R173" i="9" s="1"/>
  <c r="W173" i="9" s="1" a="1"/>
  <c r="W173" i="9" s="1"/>
  <c r="R205" i="9" a="1"/>
  <c r="R205" i="9" s="1"/>
  <c r="W205" i="9" s="1" a="1"/>
  <c r="W205" i="9" s="1"/>
  <c r="R211" i="9" a="1"/>
  <c r="R211" i="9" s="1"/>
  <c r="W211" i="9" s="1" a="1"/>
  <c r="W211" i="9" s="1"/>
  <c r="R69" i="9" a="1"/>
  <c r="R69" i="9" s="1"/>
  <c r="W69" i="9" s="1" a="1"/>
  <c r="W69" i="9" s="1"/>
  <c r="R99" i="9" a="1"/>
  <c r="R99" i="9" s="1"/>
  <c r="W99" i="9" s="1" a="1"/>
  <c r="W99" i="9" s="1"/>
  <c r="R109" i="9" a="1"/>
  <c r="R109" i="9" s="1"/>
  <c r="W109" i="9" s="1" a="1"/>
  <c r="W109" i="9" s="1"/>
  <c r="R154" i="9" a="1"/>
  <c r="R154" i="9" s="1"/>
  <c r="W154" i="9" s="1" a="1"/>
  <c r="W154" i="9" s="1"/>
  <c r="R161" i="9" a="1"/>
  <c r="R161" i="9" s="1"/>
  <c r="W161" i="9" s="1" a="1"/>
  <c r="W161" i="9" s="1"/>
  <c r="R189" i="9" a="1"/>
  <c r="R189" i="9" s="1"/>
  <c r="W189" i="9" s="1" a="1"/>
  <c r="W189" i="9" s="1"/>
  <c r="R199" i="9" a="1"/>
  <c r="R199" i="9" s="1"/>
  <c r="W199" i="9" s="1" a="1"/>
  <c r="W199" i="9" s="1"/>
  <c r="R218" i="9" a="1"/>
  <c r="R218" i="9" s="1"/>
  <c r="W218" i="9" s="1" a="1"/>
  <c r="W218" i="9" s="1"/>
  <c r="R248" i="9" a="1"/>
  <c r="R248" i="9" s="1"/>
  <c r="W248" i="9" s="1" a="1"/>
  <c r="W248" i="9" s="1"/>
  <c r="R93" i="9" a="1"/>
  <c r="R93" i="9" s="1"/>
  <c r="W93" i="9" s="1" a="1"/>
  <c r="W93" i="9" s="1"/>
  <c r="R78" i="9" a="1"/>
  <c r="R78" i="9" s="1"/>
  <c r="W78" i="9" s="1" a="1"/>
  <c r="W78" i="9" s="1"/>
  <c r="R90" i="9" a="1"/>
  <c r="R90" i="9" s="1"/>
  <c r="W90" i="9" s="1" a="1"/>
  <c r="W90" i="9" s="1"/>
  <c r="R120" i="9" a="1"/>
  <c r="R120" i="9" s="1"/>
  <c r="W120" i="9" s="1" a="1"/>
  <c r="W120" i="9" s="1"/>
  <c r="R234" i="9" a="1"/>
  <c r="R234" i="9" s="1"/>
  <c r="W234" i="9" s="1" a="1"/>
  <c r="W234" i="9" s="1"/>
  <c r="A256" i="9"/>
  <c r="J256" i="9"/>
  <c r="J261" i="9"/>
  <c r="A261" i="9"/>
  <c r="A254" i="9"/>
  <c r="J254" i="9"/>
  <c r="J253" i="9"/>
  <c r="A253" i="9"/>
  <c r="J260" i="9"/>
  <c r="A260" i="9"/>
  <c r="A257" i="9"/>
  <c r="J257" i="9"/>
  <c r="A262" i="9"/>
  <c r="J262" i="9"/>
  <c r="U29" i="9" a="1"/>
  <c r="W54" i="9" a="1"/>
  <c r="W53" i="9" a="1"/>
  <c r="W52" i="9" a="1"/>
  <c r="W51" i="9" a="1"/>
  <c r="W50" i="9" a="1"/>
  <c r="W49" i="9" a="1"/>
  <c r="W46" i="9" a="1"/>
  <c r="W41" i="9" a="1"/>
  <c r="W43" i="9" a="1"/>
  <c r="W15" i="9" a="1"/>
  <c r="W13" i="9" a="1"/>
  <c r="W34" i="9" a="1"/>
  <c r="W16" i="9" a="1"/>
  <c r="W26" i="9" a="1"/>
  <c r="W48" i="9" a="1"/>
  <c r="W7" i="9" a="1"/>
  <c r="W19" i="9" a="1"/>
  <c r="W14" i="9" a="1"/>
  <c r="W36" i="9" a="1"/>
  <c r="W10" i="9" a="1"/>
  <c r="W39" i="9" a="1"/>
  <c r="W18" i="9" a="1"/>
  <c r="W25" i="9" a="1"/>
  <c r="W24" i="9" a="1"/>
  <c r="W27" i="9" a="1"/>
  <c r="W29" i="9" a="1"/>
  <c r="W40" i="9" a="1"/>
  <c r="W8" i="9" a="1"/>
  <c r="W23" i="9" a="1"/>
  <c r="W21" i="9" a="1"/>
  <c r="W28" i="9" a="1"/>
  <c r="W35" i="9" a="1"/>
  <c r="W11" i="9" a="1"/>
  <c r="W38" i="9" a="1"/>
  <c r="W32" i="9" a="1"/>
  <c r="W33" i="9" a="1"/>
  <c r="W45" i="9" a="1"/>
  <c r="W22" i="9" a="1"/>
  <c r="W12" i="9" a="1"/>
  <c r="W9" i="9" a="1"/>
  <c r="W31" i="9" a="1"/>
  <c r="W37" i="9" a="1"/>
  <c r="W47" i="9" a="1"/>
  <c r="W30" i="9" a="1"/>
  <c r="W44" i="9" a="1"/>
  <c r="W20" i="9" a="1"/>
  <c r="W17" i="9" a="1"/>
  <c r="W42" i="9" a="1"/>
  <c r="W4" i="9" a="1"/>
  <c r="W3" i="9" a="1"/>
  <c r="W2" i="9" a="1"/>
  <c r="W5" i="9" a="1"/>
  <c r="W1" i="9" a="1"/>
  <c r="W6" i="9" a="1"/>
  <c r="U29" i="9" l="1"/>
  <c r="W54" i="9"/>
  <c r="W52" i="9"/>
  <c r="W53" i="9"/>
  <c r="W51" i="9"/>
  <c r="W50" i="9"/>
  <c r="W49" i="9"/>
  <c r="W42" i="9"/>
  <c r="W17" i="9"/>
  <c r="W20" i="9"/>
  <c r="W44" i="9"/>
  <c r="W30" i="9"/>
  <c r="W47" i="9"/>
  <c r="W37" i="9"/>
  <c r="W31" i="9"/>
  <c r="W9" i="9"/>
  <c r="W12" i="9"/>
  <c r="W22" i="9"/>
  <c r="W45" i="9"/>
  <c r="W33" i="9"/>
  <c r="W32" i="9"/>
  <c r="W38" i="9"/>
  <c r="W11" i="9"/>
  <c r="W35" i="9"/>
  <c r="W28" i="9"/>
  <c r="W21" i="9"/>
  <c r="W23" i="9"/>
  <c r="W8" i="9"/>
  <c r="W40" i="9"/>
  <c r="W29" i="9"/>
  <c r="W27" i="9"/>
  <c r="W24" i="9"/>
  <c r="W25" i="9"/>
  <c r="W18" i="9"/>
  <c r="W39" i="9"/>
  <c r="W10" i="9"/>
  <c r="W36" i="9"/>
  <c r="W14" i="9"/>
  <c r="W19" i="9"/>
  <c r="W7" i="9"/>
  <c r="W48" i="9"/>
  <c r="W26" i="9"/>
  <c r="W16" i="9"/>
  <c r="W34" i="9"/>
  <c r="W13" i="9"/>
  <c r="W15" i="9"/>
  <c r="W43" i="9"/>
  <c r="W41" i="9"/>
  <c r="W46" i="9"/>
  <c r="W5" i="9"/>
  <c r="W2" i="9"/>
  <c r="W3" i="9"/>
  <c r="W4" i="9"/>
  <c r="W1" i="9"/>
  <c r="W6" i="9"/>
  <c r="V161" i="9" a="1"/>
  <c r="V161" i="9" s="1"/>
  <c r="AU161" i="9"/>
  <c r="AU248" i="9"/>
  <c r="V248" i="9" a="1"/>
  <c r="V248" i="9" s="1"/>
  <c r="AU148" i="9"/>
  <c r="Y148" i="9" a="1"/>
  <c r="Y148" i="9" s="1"/>
  <c r="T148" i="9" a="1"/>
  <c r="T148" i="9" s="1"/>
  <c r="Z148" i="9"/>
  <c r="V148" i="9" a="1"/>
  <c r="V148" i="9" s="1"/>
  <c r="U148" i="9" a="1"/>
  <c r="U148" i="9" s="1"/>
  <c r="S148" i="9" a="1"/>
  <c r="S148" i="9" s="1"/>
  <c r="AC148" i="9" s="1"/>
  <c r="AB148" i="9" a="1"/>
  <c r="AB148" i="9" s="1"/>
  <c r="X148" i="9" a="1"/>
  <c r="X148" i="9" s="1"/>
  <c r="S265" i="9" a="1"/>
  <c r="S265" i="9" s="1"/>
  <c r="AC265" i="9" s="1"/>
  <c r="AB265" i="9" a="1"/>
  <c r="AB265" i="9" s="1"/>
  <c r="Z265" i="9"/>
  <c r="T265" i="9" a="1"/>
  <c r="T265" i="9" s="1"/>
  <c r="Y265" i="9" a="1"/>
  <c r="Y265" i="9" s="1"/>
  <c r="V265" i="9" a="1"/>
  <c r="V265" i="9" s="1"/>
  <c r="U265" i="9" a="1"/>
  <c r="U265" i="9" s="1"/>
  <c r="X265" i="9" a="1"/>
  <c r="X265" i="9" s="1"/>
  <c r="AU179" i="9"/>
  <c r="X179" i="9" a="1"/>
  <c r="X179" i="9" s="1"/>
  <c r="V179" i="9" a="1"/>
  <c r="V179" i="9" s="1"/>
  <c r="S179" i="9" a="1"/>
  <c r="S179" i="9" s="1"/>
  <c r="AC179" i="9" s="1"/>
  <c r="T179" i="9" a="1"/>
  <c r="T179" i="9" s="1"/>
  <c r="AB179" i="9" a="1"/>
  <c r="AB179" i="9" s="1"/>
  <c r="Z179" i="9"/>
  <c r="U179" i="9" a="1"/>
  <c r="U179" i="9" s="1"/>
  <c r="Y179" i="9" a="1"/>
  <c r="Y179" i="9" s="1"/>
  <c r="AU88" i="9"/>
  <c r="S88" i="9" a="1"/>
  <c r="S88" i="9" s="1"/>
  <c r="AC88" i="9" s="1"/>
  <c r="T88" i="9" a="1"/>
  <c r="T88" i="9" s="1"/>
  <c r="X88" i="9" a="1"/>
  <c r="X88" i="9" s="1"/>
  <c r="U88" i="9" a="1"/>
  <c r="U88" i="9" s="1"/>
  <c r="Z88" i="9"/>
  <c r="Y88" i="9" a="1"/>
  <c r="Y88" i="9" s="1"/>
  <c r="V88" i="9" a="1"/>
  <c r="V88" i="9" s="1"/>
  <c r="AB88" i="9" a="1"/>
  <c r="AB88" i="9" s="1"/>
  <c r="AU172" i="9"/>
  <c r="V172" i="9" a="1"/>
  <c r="V172" i="9" s="1"/>
  <c r="AU56" i="9"/>
  <c r="V56" i="9" a="1"/>
  <c r="V56" i="9" s="1"/>
  <c r="Y232" i="9" a="1"/>
  <c r="Y232" i="9" s="1"/>
  <c r="AU232" i="9"/>
  <c r="T232" i="9" a="1"/>
  <c r="T232" i="9" s="1"/>
  <c r="U232" i="9" a="1"/>
  <c r="U232" i="9" s="1"/>
  <c r="AB232" i="9" a="1"/>
  <c r="AB232" i="9" s="1"/>
  <c r="S232" i="9" a="1"/>
  <c r="S232" i="9" s="1"/>
  <c r="AC232" i="9" s="1"/>
  <c r="Z232" i="9"/>
  <c r="V232" i="9" a="1"/>
  <c r="V232" i="9" s="1"/>
  <c r="X232" i="9" a="1"/>
  <c r="X232" i="9" s="1"/>
  <c r="U245" i="9" a="1"/>
  <c r="U245" i="9" s="1"/>
  <c r="S245" i="9" a="1"/>
  <c r="S245" i="9" s="1"/>
  <c r="AC245" i="9" s="1"/>
  <c r="AB245" i="9" a="1"/>
  <c r="AB245" i="9" s="1"/>
  <c r="Z245" i="9"/>
  <c r="T245" i="9" a="1"/>
  <c r="T245" i="9" s="1"/>
  <c r="Y245" i="9" a="1"/>
  <c r="Y245" i="9" s="1"/>
  <c r="AU245" i="9"/>
  <c r="X245" i="9" a="1"/>
  <c r="X245" i="9" s="1"/>
  <c r="V245" i="9" a="1"/>
  <c r="V245" i="9" s="1"/>
  <c r="V221" i="9" a="1"/>
  <c r="V221" i="9" s="1"/>
  <c r="S221" i="9" a="1"/>
  <c r="S221" i="9" s="1"/>
  <c r="AC221" i="9" s="1"/>
  <c r="U221" i="9" a="1"/>
  <c r="U221" i="9" s="1"/>
  <c r="AB221" i="9" a="1"/>
  <c r="AB221" i="9" s="1"/>
  <c r="Y221" i="9" a="1"/>
  <c r="Y221" i="9" s="1"/>
  <c r="X221" i="9" a="1"/>
  <c r="X221" i="9" s="1"/>
  <c r="Z221" i="9"/>
  <c r="AU221" i="9"/>
  <c r="T221" i="9" a="1"/>
  <c r="T221" i="9" s="1"/>
  <c r="Y168" i="9" a="1"/>
  <c r="Y168" i="9" s="1"/>
  <c r="AU168" i="9"/>
  <c r="U168" i="9" a="1"/>
  <c r="U168" i="9" s="1"/>
  <c r="X168" i="9" a="1"/>
  <c r="X168" i="9" s="1"/>
  <c r="AB168" i="9" a="1"/>
  <c r="AB168" i="9" s="1"/>
  <c r="S168" i="9" a="1"/>
  <c r="S168" i="9" s="1"/>
  <c r="AC168" i="9" s="1"/>
  <c r="V168" i="9" a="1"/>
  <c r="V168" i="9" s="1"/>
  <c r="T168" i="9" a="1"/>
  <c r="T168" i="9" s="1"/>
  <c r="Z168" i="9"/>
  <c r="X220" i="9" a="1"/>
  <c r="X220" i="9" s="1"/>
  <c r="AB220" i="9" a="1"/>
  <c r="AB220" i="9" s="1"/>
  <c r="U220" i="9" a="1"/>
  <c r="U220" i="9" s="1"/>
  <c r="S220" i="9" a="1"/>
  <c r="S220" i="9" s="1"/>
  <c r="AC220" i="9" s="1"/>
  <c r="T220" i="9" a="1"/>
  <c r="T220" i="9" s="1"/>
  <c r="AU220" i="9"/>
  <c r="Y220" i="9" a="1"/>
  <c r="Y220" i="9" s="1"/>
  <c r="Z220" i="9"/>
  <c r="V220" i="9" a="1"/>
  <c r="V220" i="9" s="1"/>
  <c r="AB227" i="9" a="1"/>
  <c r="AB227" i="9" s="1"/>
  <c r="V227" i="9" a="1"/>
  <c r="V227" i="9" s="1"/>
  <c r="S227" i="9" a="1"/>
  <c r="S227" i="9" s="1"/>
  <c r="AC227" i="9" s="1"/>
  <c r="Y227" i="9" a="1"/>
  <c r="Y227" i="9" s="1"/>
  <c r="T227" i="9" a="1"/>
  <c r="T227" i="9" s="1"/>
  <c r="U227" i="9" a="1"/>
  <c r="U227" i="9" s="1"/>
  <c r="AU227" i="9"/>
  <c r="Z227" i="9"/>
  <c r="X227" i="9" a="1"/>
  <c r="X227" i="9" s="1"/>
  <c r="AU61" i="9"/>
  <c r="X61" i="9" a="1"/>
  <c r="X61" i="9" s="1"/>
  <c r="S61" i="9" a="1"/>
  <c r="S61" i="9" s="1"/>
  <c r="AC61" i="9" s="1"/>
  <c r="AB61" i="9" a="1"/>
  <c r="AB61" i="9" s="1"/>
  <c r="T61" i="9" a="1"/>
  <c r="T61" i="9" s="1"/>
  <c r="V61" i="9" a="1"/>
  <c r="V61" i="9" s="1"/>
  <c r="U61" i="9" a="1"/>
  <c r="U61" i="9" s="1"/>
  <c r="Y61" i="9" a="1"/>
  <c r="Y61" i="9" s="1"/>
  <c r="Z61" i="9"/>
  <c r="X66" i="9" a="1"/>
  <c r="X66" i="9" s="1"/>
  <c r="S66" i="9" a="1"/>
  <c r="S66" i="9" s="1"/>
  <c r="AC66" i="9" s="1"/>
  <c r="Y66" i="9" a="1"/>
  <c r="Y66" i="9" s="1"/>
  <c r="Z66" i="9"/>
  <c r="AB66" i="9" a="1"/>
  <c r="AB66" i="9" s="1"/>
  <c r="T66" i="9" a="1"/>
  <c r="T66" i="9" s="1"/>
  <c r="U66" i="9" a="1"/>
  <c r="U66" i="9" s="1"/>
  <c r="AU66" i="9"/>
  <c r="V66" i="9" a="1"/>
  <c r="V66" i="9" s="1"/>
  <c r="AU153" i="9"/>
  <c r="Y153" i="9" a="1"/>
  <c r="Y153" i="9" s="1"/>
  <c r="X153" i="9" a="1"/>
  <c r="X153" i="9" s="1"/>
  <c r="T153" i="9" a="1"/>
  <c r="T153" i="9" s="1"/>
  <c r="V153" i="9" a="1"/>
  <c r="V153" i="9" s="1"/>
  <c r="AB153" i="9" a="1"/>
  <c r="AB153" i="9" s="1"/>
  <c r="U153" i="9" a="1"/>
  <c r="U153" i="9" s="1"/>
  <c r="S153" i="9" a="1"/>
  <c r="S153" i="9" s="1"/>
  <c r="AC153" i="9" s="1"/>
  <c r="Z153" i="9"/>
  <c r="AU150" i="9"/>
  <c r="T150" i="9" a="1"/>
  <c r="T150" i="9" s="1"/>
  <c r="Y150" i="9" a="1"/>
  <c r="Y150" i="9" s="1"/>
  <c r="Z150" i="9"/>
  <c r="AB150" i="9" a="1"/>
  <c r="AB150" i="9" s="1"/>
  <c r="V150" i="9" a="1"/>
  <c r="V150" i="9" s="1"/>
  <c r="X150" i="9" a="1"/>
  <c r="X150" i="9" s="1"/>
  <c r="U150" i="9" a="1"/>
  <c r="U150" i="9" s="1"/>
  <c r="S150" i="9" a="1"/>
  <c r="S150" i="9" s="1"/>
  <c r="AC150" i="9" s="1"/>
  <c r="S135" i="9" a="1"/>
  <c r="S135" i="9" s="1"/>
  <c r="AC135" i="9" s="1"/>
  <c r="AU135" i="9"/>
  <c r="X135" i="9" a="1"/>
  <c r="X135" i="9" s="1"/>
  <c r="V135" i="9" a="1"/>
  <c r="V135" i="9" s="1"/>
  <c r="Z135" i="9"/>
  <c r="AB135" i="9" a="1"/>
  <c r="AB135" i="9" s="1"/>
  <c r="T135" i="9" a="1"/>
  <c r="T135" i="9" s="1"/>
  <c r="Y135" i="9" a="1"/>
  <c r="Y135" i="9" s="1"/>
  <c r="U135" i="9" a="1"/>
  <c r="U135" i="9" s="1"/>
  <c r="U146" i="9" a="1"/>
  <c r="U146" i="9" s="1"/>
  <c r="Z146" i="9"/>
  <c r="Y146" i="9" a="1"/>
  <c r="Y146" i="9" s="1"/>
  <c r="AU146" i="9"/>
  <c r="V146" i="9" a="1"/>
  <c r="V146" i="9" s="1"/>
  <c r="S146" i="9" a="1"/>
  <c r="S146" i="9" s="1"/>
  <c r="AC146" i="9" s="1"/>
  <c r="X146" i="9" a="1"/>
  <c r="X146" i="9" s="1"/>
  <c r="T146" i="9" a="1"/>
  <c r="T146" i="9" s="1"/>
  <c r="AB146" i="9" a="1"/>
  <c r="AB146" i="9" s="1"/>
  <c r="S123" i="9" a="1"/>
  <c r="S123" i="9" s="1"/>
  <c r="AC123" i="9" s="1"/>
  <c r="AB123" i="9" a="1"/>
  <c r="AB123" i="9" s="1"/>
  <c r="T123" i="9" a="1"/>
  <c r="T123" i="9" s="1"/>
  <c r="U123" i="9" a="1"/>
  <c r="U123" i="9" s="1"/>
  <c r="Z123" i="9"/>
  <c r="AU123" i="9"/>
  <c r="Y123" i="9" a="1"/>
  <c r="Y123" i="9" s="1"/>
  <c r="X123" i="9" a="1"/>
  <c r="X123" i="9" s="1"/>
  <c r="V123" i="9" a="1"/>
  <c r="V123" i="9" s="1"/>
  <c r="AU252" i="9"/>
  <c r="S252" i="9" a="1"/>
  <c r="S252" i="9" s="1"/>
  <c r="AC252" i="9" s="1"/>
  <c r="X252" i="9" a="1"/>
  <c r="X252" i="9" s="1"/>
  <c r="U252" i="9" a="1"/>
  <c r="U252" i="9" s="1"/>
  <c r="Y252" i="9" a="1"/>
  <c r="Y252" i="9" s="1"/>
  <c r="Z252" i="9"/>
  <c r="V252" i="9" a="1"/>
  <c r="V252" i="9" s="1"/>
  <c r="AB252" i="9" a="1"/>
  <c r="AB252" i="9" s="1"/>
  <c r="T252" i="9" a="1"/>
  <c r="T252" i="9" s="1"/>
  <c r="X226" i="9" a="1"/>
  <c r="X226" i="9" s="1"/>
  <c r="AB226" i="9" a="1"/>
  <c r="AB226" i="9" s="1"/>
  <c r="AU226" i="9"/>
  <c r="V226" i="9" a="1"/>
  <c r="V226" i="9" s="1"/>
  <c r="S226" i="9" a="1"/>
  <c r="S226" i="9" s="1"/>
  <c r="AC226" i="9" s="1"/>
  <c r="U226" i="9" a="1"/>
  <c r="U226" i="9" s="1"/>
  <c r="Y226" i="9" a="1"/>
  <c r="Y226" i="9" s="1"/>
  <c r="T226" i="9" a="1"/>
  <c r="T226" i="9" s="1"/>
  <c r="Z226" i="9"/>
  <c r="T86" i="9" a="1"/>
  <c r="T86" i="9" s="1"/>
  <c r="X86" i="9" a="1"/>
  <c r="X86" i="9" s="1"/>
  <c r="U86" i="9" a="1"/>
  <c r="U86" i="9" s="1"/>
  <c r="S86" i="9" a="1"/>
  <c r="S86" i="9" s="1"/>
  <c r="AC86" i="9" s="1"/>
  <c r="Y86" i="9" a="1"/>
  <c r="Y86" i="9" s="1"/>
  <c r="AB86" i="9" a="1"/>
  <c r="AB86" i="9" s="1"/>
  <c r="Z86" i="9"/>
  <c r="V86" i="9" a="1"/>
  <c r="V86" i="9" s="1"/>
  <c r="AU86" i="9"/>
  <c r="V243" i="9" a="1"/>
  <c r="V243" i="9" s="1"/>
  <c r="AU243" i="9"/>
  <c r="V133" i="9" a="1"/>
  <c r="V133" i="9" s="1"/>
  <c r="AU133" i="9"/>
  <c r="V144" i="9" a="1"/>
  <c r="V144" i="9" s="1"/>
  <c r="AU144" i="9"/>
  <c r="X143" i="9" a="1"/>
  <c r="X143" i="9" s="1"/>
  <c r="Y143" i="9" a="1"/>
  <c r="Y143" i="9" s="1"/>
  <c r="Z143" i="9"/>
  <c r="V143" i="9" a="1"/>
  <c r="V143" i="9" s="1"/>
  <c r="AU143" i="9"/>
  <c r="S143" i="9" a="1"/>
  <c r="S143" i="9" s="1"/>
  <c r="AC143" i="9" s="1"/>
  <c r="T143" i="9" a="1"/>
  <c r="T143" i="9" s="1"/>
  <c r="U143" i="9" a="1"/>
  <c r="U143" i="9" s="1"/>
  <c r="AB143" i="9" a="1"/>
  <c r="AB143" i="9" s="1"/>
  <c r="Z132" i="9"/>
  <c r="S132" i="9" a="1"/>
  <c r="S132" i="9" s="1"/>
  <c r="AC132" i="9" s="1"/>
  <c r="V132" i="9" a="1"/>
  <c r="V132" i="9" s="1"/>
  <c r="AU132" i="9"/>
  <c r="AB132" i="9" a="1"/>
  <c r="AB132" i="9" s="1"/>
  <c r="T132" i="9" a="1"/>
  <c r="T132" i="9" s="1"/>
  <c r="X132" i="9" a="1"/>
  <c r="X132" i="9" s="1"/>
  <c r="U132" i="9" a="1"/>
  <c r="U132" i="9" s="1"/>
  <c r="Y132" i="9" a="1"/>
  <c r="Y132" i="9" s="1"/>
  <c r="V218" i="9" a="1"/>
  <c r="V218" i="9" s="1"/>
  <c r="AU218" i="9"/>
  <c r="AU211" i="9"/>
  <c r="V211" i="9" a="1"/>
  <c r="V211" i="9" s="1"/>
  <c r="V92" i="9" a="1"/>
  <c r="V92" i="9" s="1"/>
  <c r="AU92" i="9"/>
  <c r="V96" i="9" a="1"/>
  <c r="V96" i="9" s="1"/>
  <c r="AU96" i="9"/>
  <c r="AU112" i="9"/>
  <c r="V112" i="9" a="1"/>
  <c r="V112" i="9" s="1"/>
  <c r="AU52" i="9"/>
  <c r="X74" i="9" a="1"/>
  <c r="X74" i="9" s="1"/>
  <c r="Z74" i="9"/>
  <c r="T74" i="9" a="1"/>
  <c r="T74" i="9" s="1"/>
  <c r="V74" i="9" a="1"/>
  <c r="V74" i="9" s="1"/>
  <c r="Y74" i="9" a="1"/>
  <c r="Y74" i="9" s="1"/>
  <c r="AB74" i="9" a="1"/>
  <c r="AB74" i="9" s="1"/>
  <c r="U74" i="9" a="1"/>
  <c r="U74" i="9" s="1"/>
  <c r="AU74" i="9"/>
  <c r="V67" i="9" a="1"/>
  <c r="V67" i="9" s="1"/>
  <c r="AB67" i="9" a="1"/>
  <c r="AB67" i="9" s="1"/>
  <c r="AU67" i="9"/>
  <c r="U67" i="9" a="1"/>
  <c r="U67" i="9" s="1"/>
  <c r="T67" i="9" a="1"/>
  <c r="T67" i="9" s="1"/>
  <c r="X67" i="9" a="1"/>
  <c r="X67" i="9" s="1"/>
  <c r="S67" i="9" a="1"/>
  <c r="S67" i="9" s="1"/>
  <c r="AC67" i="9" s="1"/>
  <c r="Y67" i="9" a="1"/>
  <c r="Y67" i="9" s="1"/>
  <c r="Z67" i="9"/>
  <c r="S125" i="9" a="1"/>
  <c r="S125" i="9" s="1"/>
  <c r="AC125" i="9" s="1"/>
  <c r="U125" i="9" a="1"/>
  <c r="U125" i="9" s="1"/>
  <c r="AB125" i="9" a="1"/>
  <c r="AB125" i="9" s="1"/>
  <c r="AU125" i="9"/>
  <c r="X125" i="9" a="1"/>
  <c r="X125" i="9" s="1"/>
  <c r="T125" i="9" a="1"/>
  <c r="T125" i="9" s="1"/>
  <c r="Z125" i="9"/>
  <c r="Y125" i="9" a="1"/>
  <c r="Y125" i="9" s="1"/>
  <c r="V125" i="9" a="1"/>
  <c r="V125" i="9" s="1"/>
  <c r="V137" i="9" a="1"/>
  <c r="V137" i="9" s="1"/>
  <c r="AU137" i="9"/>
  <c r="U62" i="9" a="1"/>
  <c r="U62" i="9" s="1"/>
  <c r="Z62" i="9"/>
  <c r="Y62" i="9" a="1"/>
  <c r="Y62" i="9" s="1"/>
  <c r="T62" i="9" a="1"/>
  <c r="T62" i="9" s="1"/>
  <c r="AB62" i="9" a="1"/>
  <c r="AB62" i="9" s="1"/>
  <c r="V62" i="9" a="1"/>
  <c r="V62" i="9" s="1"/>
  <c r="S62" i="9" a="1"/>
  <c r="S62" i="9" s="1"/>
  <c r="AC62" i="9" s="1"/>
  <c r="X62" i="9" a="1"/>
  <c r="X62" i="9" s="1"/>
  <c r="AU62" i="9"/>
  <c r="V264" i="9" a="1"/>
  <c r="V264" i="9" s="1"/>
  <c r="AB264" i="9" a="1"/>
  <c r="AB264" i="9" s="1"/>
  <c r="U264" i="9" a="1"/>
  <c r="U264" i="9" s="1"/>
  <c r="Z264" i="9"/>
  <c r="S264" i="9" a="1"/>
  <c r="S264" i="9" s="1"/>
  <c r="AC264" i="9" s="1"/>
  <c r="X264" i="9" a="1"/>
  <c r="X264" i="9" s="1"/>
  <c r="T264" i="9" a="1"/>
  <c r="T264" i="9" s="1"/>
  <c r="Y264" i="9" a="1"/>
  <c r="Y264" i="9" s="1"/>
  <c r="X57" i="9" a="1"/>
  <c r="X57" i="9" s="1"/>
  <c r="Y57" i="9" a="1"/>
  <c r="Y57" i="9" s="1"/>
  <c r="AU57" i="9"/>
  <c r="S57" i="9" a="1"/>
  <c r="S57" i="9" s="1"/>
  <c r="AC57" i="9" s="1"/>
  <c r="V57" i="9" a="1"/>
  <c r="V57" i="9" s="1"/>
  <c r="U57" i="9" a="1"/>
  <c r="U57" i="9" s="1"/>
  <c r="T57" i="9" a="1"/>
  <c r="T57" i="9" s="1"/>
  <c r="Z57" i="9"/>
  <c r="AB57" i="9" a="1"/>
  <c r="AB57" i="9" s="1"/>
  <c r="U194" i="9" a="1"/>
  <c r="U194" i="9" s="1"/>
  <c r="AB194" i="9" a="1"/>
  <c r="AB194" i="9" s="1"/>
  <c r="S194" i="9" a="1"/>
  <c r="S194" i="9" s="1"/>
  <c r="AC194" i="9" s="1"/>
  <c r="AU194" i="9"/>
  <c r="T194" i="9" a="1"/>
  <c r="T194" i="9" s="1"/>
  <c r="X194" i="9" a="1"/>
  <c r="X194" i="9" s="1"/>
  <c r="Z194" i="9"/>
  <c r="V194" i="9" a="1"/>
  <c r="V194" i="9" s="1"/>
  <c r="Y194" i="9" a="1"/>
  <c r="Y194" i="9" s="1"/>
  <c r="Y116" i="9" a="1"/>
  <c r="Y116" i="9" s="1"/>
  <c r="V116" i="9" a="1"/>
  <c r="V116" i="9" s="1"/>
  <c r="U116" i="9" a="1"/>
  <c r="U116" i="9" s="1"/>
  <c r="S116" i="9" a="1"/>
  <c r="S116" i="9" s="1"/>
  <c r="AC116" i="9" s="1"/>
  <c r="AU116" i="9"/>
  <c r="T116" i="9" a="1"/>
  <c r="T116" i="9" s="1"/>
  <c r="AB116" i="9" a="1"/>
  <c r="AB116" i="9" s="1"/>
  <c r="Z116" i="9"/>
  <c r="X116" i="9" a="1"/>
  <c r="X116" i="9" s="1"/>
  <c r="T237" i="9" a="1"/>
  <c r="T237" i="9" s="1"/>
  <c r="Y237" i="9" a="1"/>
  <c r="Y237" i="9" s="1"/>
  <c r="U237" i="9" a="1"/>
  <c r="U237" i="9" s="1"/>
  <c r="X237" i="9" a="1"/>
  <c r="X237" i="9" s="1"/>
  <c r="Z237" i="9"/>
  <c r="V237" i="9" a="1"/>
  <c r="V237" i="9" s="1"/>
  <c r="AB237" i="9" a="1"/>
  <c r="AB237" i="9" s="1"/>
  <c r="AU237" i="9"/>
  <c r="S237" i="9" a="1"/>
  <c r="S237" i="9" s="1"/>
  <c r="AC237" i="9" s="1"/>
  <c r="AB171" i="9" a="1"/>
  <c r="AB171" i="9" s="1"/>
  <c r="Y171" i="9" a="1"/>
  <c r="Y171" i="9" s="1"/>
  <c r="AU171" i="9"/>
  <c r="U171" i="9" a="1"/>
  <c r="U171" i="9" s="1"/>
  <c r="V171" i="9" a="1"/>
  <c r="V171" i="9" s="1"/>
  <c r="T171" i="9" a="1"/>
  <c r="T171" i="9" s="1"/>
  <c r="X171" i="9" a="1"/>
  <c r="X171" i="9" s="1"/>
  <c r="Z171" i="9"/>
  <c r="S171" i="9" a="1"/>
  <c r="S171" i="9" s="1"/>
  <c r="AC171" i="9" s="1"/>
  <c r="AB147" i="9" a="1"/>
  <c r="AB147" i="9" s="1"/>
  <c r="AU147" i="9"/>
  <c r="T147" i="9" a="1"/>
  <c r="T147" i="9" s="1"/>
  <c r="X147" i="9" a="1"/>
  <c r="X147" i="9" s="1"/>
  <c r="Y147" i="9" a="1"/>
  <c r="Y147" i="9" s="1"/>
  <c r="U147" i="9" a="1"/>
  <c r="U147" i="9" s="1"/>
  <c r="V147" i="9" a="1"/>
  <c r="V147" i="9" s="1"/>
  <c r="Z147" i="9"/>
  <c r="S147" i="9" a="1"/>
  <c r="S147" i="9" s="1"/>
  <c r="AC147" i="9" s="1"/>
  <c r="V131" i="9" a="1"/>
  <c r="V131" i="9" s="1"/>
  <c r="Z131" i="9"/>
  <c r="Y131" i="9" a="1"/>
  <c r="Y131" i="9" s="1"/>
  <c r="T131" i="9" a="1"/>
  <c r="T131" i="9" s="1"/>
  <c r="AU131" i="9"/>
  <c r="AB131" i="9" a="1"/>
  <c r="AB131" i="9" s="1"/>
  <c r="X131" i="9" a="1"/>
  <c r="X131" i="9" s="1"/>
  <c r="U131" i="9" a="1"/>
  <c r="U131" i="9" s="1"/>
  <c r="S131" i="9" a="1"/>
  <c r="S131" i="9" s="1"/>
  <c r="AC131" i="9" s="1"/>
  <c r="V198" i="9" a="1"/>
  <c r="V198" i="9" s="1"/>
  <c r="AB198" i="9" a="1"/>
  <c r="AB198" i="9" s="1"/>
  <c r="U198" i="9" a="1"/>
  <c r="U198" i="9" s="1"/>
  <c r="Z198" i="9"/>
  <c r="Y198" i="9" a="1"/>
  <c r="Y198" i="9" s="1"/>
  <c r="AU198" i="9"/>
  <c r="T198" i="9" a="1"/>
  <c r="T198" i="9" s="1"/>
  <c r="S198" i="9" a="1"/>
  <c r="S198" i="9" s="1"/>
  <c r="AC198" i="9" s="1"/>
  <c r="X198" i="9" a="1"/>
  <c r="X198" i="9" s="1"/>
  <c r="U176" i="9" a="1"/>
  <c r="U176" i="9" s="1"/>
  <c r="V176" i="9" a="1"/>
  <c r="V176" i="9" s="1"/>
  <c r="T176" i="9" a="1"/>
  <c r="T176" i="9" s="1"/>
  <c r="S176" i="9" a="1"/>
  <c r="S176" i="9" s="1"/>
  <c r="AC176" i="9" s="1"/>
  <c r="Z176" i="9"/>
  <c r="X176" i="9" a="1"/>
  <c r="X176" i="9" s="1"/>
  <c r="AB176" i="9" a="1"/>
  <c r="AB176" i="9" s="1"/>
  <c r="Y176" i="9" a="1"/>
  <c r="Y176" i="9" s="1"/>
  <c r="AU176" i="9"/>
  <c r="S73" i="9" a="1"/>
  <c r="S73" i="9" s="1"/>
  <c r="AC73" i="9" s="1"/>
  <c r="AB73" i="9" a="1"/>
  <c r="AB73" i="9" s="1"/>
  <c r="Z73" i="9"/>
  <c r="T73" i="9" a="1"/>
  <c r="T73" i="9" s="1"/>
  <c r="V73" i="9" a="1"/>
  <c r="V73" i="9" s="1"/>
  <c r="AU73" i="9"/>
  <c r="X73" i="9" a="1"/>
  <c r="X73" i="9" s="1"/>
  <c r="U73" i="9" a="1"/>
  <c r="U73" i="9" s="1"/>
  <c r="Y73" i="9" a="1"/>
  <c r="Y73" i="9" s="1"/>
  <c r="Y129" i="9" a="1"/>
  <c r="Y129" i="9" s="1"/>
  <c r="U129" i="9" a="1"/>
  <c r="U129" i="9" s="1"/>
  <c r="AU129" i="9"/>
  <c r="X129" i="9" a="1"/>
  <c r="X129" i="9" s="1"/>
  <c r="AB129" i="9" a="1"/>
  <c r="AB129" i="9" s="1"/>
  <c r="V129" i="9" a="1"/>
  <c r="V129" i="9" s="1"/>
  <c r="Z129" i="9"/>
  <c r="T129" i="9" a="1"/>
  <c r="T129" i="9" s="1"/>
  <c r="S129" i="9" a="1"/>
  <c r="S129" i="9" s="1"/>
  <c r="AC129" i="9" s="1"/>
  <c r="X165" i="9" a="1"/>
  <c r="X165" i="9" s="1"/>
  <c r="AU165" i="9"/>
  <c r="V165" i="9" a="1"/>
  <c r="V165" i="9" s="1"/>
  <c r="Y165" i="9" a="1"/>
  <c r="Y165" i="9" s="1"/>
  <c r="AB165" i="9" a="1"/>
  <c r="AB165" i="9" s="1"/>
  <c r="S165" i="9" a="1"/>
  <c r="S165" i="9" s="1"/>
  <c r="AC165" i="9" s="1"/>
  <c r="T165" i="9" a="1"/>
  <c r="T165" i="9" s="1"/>
  <c r="Z165" i="9"/>
  <c r="U165" i="9" a="1"/>
  <c r="U165" i="9" s="1"/>
  <c r="Y164" i="9" a="1"/>
  <c r="Y164" i="9" s="1"/>
  <c r="AU164" i="9"/>
  <c r="Z164" i="9"/>
  <c r="X164" i="9" a="1"/>
  <c r="X164" i="9" s="1"/>
  <c r="T164" i="9" a="1"/>
  <c r="T164" i="9" s="1"/>
  <c r="S164" i="9" a="1"/>
  <c r="S164" i="9" s="1"/>
  <c r="AC164" i="9" s="1"/>
  <c r="AB164" i="9" a="1"/>
  <c r="AB164" i="9" s="1"/>
  <c r="U164" i="9" a="1"/>
  <c r="U164" i="9" s="1"/>
  <c r="V164" i="9" a="1"/>
  <c r="V164" i="9" s="1"/>
  <c r="AU47" i="9"/>
  <c r="X187" i="9" a="1"/>
  <c r="X187" i="9" s="1"/>
  <c r="AB187" i="9" a="1"/>
  <c r="AB187" i="9" s="1"/>
  <c r="T187" i="9" a="1"/>
  <c r="T187" i="9" s="1"/>
  <c r="Z187" i="9"/>
  <c r="U187" i="9" a="1"/>
  <c r="U187" i="9" s="1"/>
  <c r="V187" i="9" a="1"/>
  <c r="V187" i="9" s="1"/>
  <c r="Y187" i="9" a="1"/>
  <c r="Y187" i="9" s="1"/>
  <c r="AU187" i="9"/>
  <c r="S187" i="9" a="1"/>
  <c r="S187" i="9" s="1"/>
  <c r="AC187" i="9" s="1"/>
  <c r="AU241" i="9"/>
  <c r="V241" i="9" a="1"/>
  <c r="V241" i="9" s="1"/>
  <c r="V118" i="9" a="1"/>
  <c r="V118" i="9" s="1"/>
  <c r="AU118" i="9"/>
  <c r="AU205" i="9"/>
  <c r="V205" i="9" a="1"/>
  <c r="V205" i="9" s="1"/>
  <c r="AU59" i="9"/>
  <c r="V59" i="9" a="1"/>
  <c r="V59" i="9" s="1"/>
  <c r="AU98" i="9"/>
  <c r="V98" i="9" a="1"/>
  <c r="V98" i="9" s="1"/>
  <c r="T98" i="9" a="1"/>
  <c r="T98" i="9" s="1"/>
  <c r="AB98" i="9" a="1"/>
  <c r="AB98" i="9" s="1"/>
  <c r="X98" i="9" a="1"/>
  <c r="X98" i="9" s="1"/>
  <c r="U98" i="9" a="1"/>
  <c r="U98" i="9" s="1"/>
  <c r="Y98" i="9" a="1"/>
  <c r="Y98" i="9" s="1"/>
  <c r="Z98" i="9"/>
  <c r="S98" i="9" a="1"/>
  <c r="S98" i="9" s="1"/>
  <c r="AC98" i="9" s="1"/>
  <c r="AU94" i="9"/>
  <c r="V94" i="9" a="1"/>
  <c r="V94" i="9" s="1"/>
  <c r="S210" i="9" a="1"/>
  <c r="S210" i="9" s="1"/>
  <c r="AC210" i="9" s="1"/>
  <c r="AB210" i="9" a="1"/>
  <c r="AB210" i="9" s="1"/>
  <c r="T210" i="9" a="1"/>
  <c r="T210" i="9" s="1"/>
  <c r="U210" i="9" a="1"/>
  <c r="U210" i="9" s="1"/>
  <c r="X210" i="9" a="1"/>
  <c r="X210" i="9" s="1"/>
  <c r="Z210" i="9"/>
  <c r="Y210" i="9" a="1"/>
  <c r="Y210" i="9" s="1"/>
  <c r="V210" i="9" a="1"/>
  <c r="V210" i="9" s="1"/>
  <c r="AU210" i="9"/>
  <c r="Y263" i="9" a="1"/>
  <c r="Y263" i="9" s="1"/>
  <c r="AB263" i="9" a="1"/>
  <c r="AB263" i="9" s="1"/>
  <c r="T263" i="9" a="1"/>
  <c r="T263" i="9" s="1"/>
  <c r="X263" i="9" a="1"/>
  <c r="X263" i="9" s="1"/>
  <c r="V263" i="9" a="1"/>
  <c r="V263" i="9" s="1"/>
  <c r="U263" i="9" a="1"/>
  <c r="U263" i="9" s="1"/>
  <c r="S263" i="9" a="1"/>
  <c r="S263" i="9" s="1"/>
  <c r="AC263" i="9" s="1"/>
  <c r="Z263" i="9"/>
  <c r="AU111" i="9"/>
  <c r="S111" i="9" a="1"/>
  <c r="S111" i="9" s="1"/>
  <c r="AC111" i="9" s="1"/>
  <c r="AB111" i="9" a="1"/>
  <c r="AB111" i="9" s="1"/>
  <c r="Z111" i="9"/>
  <c r="T111" i="9" a="1"/>
  <c r="T111" i="9" s="1"/>
  <c r="X111" i="9" a="1"/>
  <c r="X111" i="9" s="1"/>
  <c r="V111" i="9" a="1"/>
  <c r="V111" i="9" s="1"/>
  <c r="Y111" i="9" a="1"/>
  <c r="Y111" i="9" s="1"/>
  <c r="U111" i="9" a="1"/>
  <c r="U111" i="9" s="1"/>
  <c r="V124" i="9" a="1"/>
  <c r="V124" i="9" s="1"/>
  <c r="AU124" i="9"/>
  <c r="AU228" i="9"/>
  <c r="U228" i="9" a="1"/>
  <c r="U228" i="9" s="1"/>
  <c r="T228" i="9" a="1"/>
  <c r="T228" i="9" s="1"/>
  <c r="S228" i="9" a="1"/>
  <c r="S228" i="9" s="1"/>
  <c r="AC228" i="9" s="1"/>
  <c r="AB228" i="9" a="1"/>
  <c r="AB228" i="9" s="1"/>
  <c r="Z228" i="9"/>
  <c r="X228" i="9" a="1"/>
  <c r="X228" i="9" s="1"/>
  <c r="V228" i="9" a="1"/>
  <c r="V228" i="9" s="1"/>
  <c r="Y228" i="9" a="1"/>
  <c r="Y228" i="9" s="1"/>
  <c r="U213" i="9" a="1"/>
  <c r="U213" i="9" s="1"/>
  <c r="S213" i="9" a="1"/>
  <c r="S213" i="9" s="1"/>
  <c r="AC213" i="9" s="1"/>
  <c r="AB213" i="9" a="1"/>
  <c r="AB213" i="9" s="1"/>
  <c r="Z213" i="9"/>
  <c r="Y213" i="9" a="1"/>
  <c r="Y213" i="9" s="1"/>
  <c r="V213" i="9" a="1"/>
  <c r="V213" i="9" s="1"/>
  <c r="AU213" i="9"/>
  <c r="T213" i="9" a="1"/>
  <c r="T213" i="9" s="1"/>
  <c r="X213" i="9" a="1"/>
  <c r="X213" i="9" s="1"/>
  <c r="AU107" i="9"/>
  <c r="V107" i="9" a="1"/>
  <c r="V107" i="9" s="1"/>
  <c r="X216" i="9" a="1"/>
  <c r="X216" i="9" s="1"/>
  <c r="AU216" i="9"/>
  <c r="U216" i="9" a="1"/>
  <c r="U216" i="9" s="1"/>
  <c r="Y216" i="9" a="1"/>
  <c r="Y216" i="9" s="1"/>
  <c r="AB216" i="9" a="1"/>
  <c r="AB216" i="9" s="1"/>
  <c r="Z216" i="9"/>
  <c r="V216" i="9" a="1"/>
  <c r="V216" i="9" s="1"/>
  <c r="T216" i="9" a="1"/>
  <c r="T216" i="9" s="1"/>
  <c r="S216" i="9" a="1"/>
  <c r="S216" i="9" s="1"/>
  <c r="AC216" i="9" s="1"/>
  <c r="Y190" i="9" a="1"/>
  <c r="Y190" i="9" s="1"/>
  <c r="Z190" i="9"/>
  <c r="X190" i="9" a="1"/>
  <c r="X190" i="9" s="1"/>
  <c r="V190" i="9" a="1"/>
  <c r="V190" i="9" s="1"/>
  <c r="AU190" i="9"/>
  <c r="S190" i="9" a="1"/>
  <c r="S190" i="9" s="1"/>
  <c r="AC190" i="9" s="1"/>
  <c r="T190" i="9" a="1"/>
  <c r="T190" i="9" s="1"/>
  <c r="U190" i="9" a="1"/>
  <c r="U190" i="9" s="1"/>
  <c r="AB190" i="9" a="1"/>
  <c r="AB190" i="9" s="1"/>
  <c r="Y170" i="9" a="1"/>
  <c r="Y170" i="9" s="1"/>
  <c r="AB170" i="9" a="1"/>
  <c r="AB170" i="9" s="1"/>
  <c r="T170" i="9" a="1"/>
  <c r="T170" i="9" s="1"/>
  <c r="V170" i="9" a="1"/>
  <c r="V170" i="9" s="1"/>
  <c r="U170" i="9" a="1"/>
  <c r="U170" i="9" s="1"/>
  <c r="Z170" i="9"/>
  <c r="AU170" i="9"/>
  <c r="S170" i="9" a="1"/>
  <c r="S170" i="9" s="1"/>
  <c r="AC170" i="9" s="1"/>
  <c r="X170" i="9" a="1"/>
  <c r="X170" i="9" s="1"/>
  <c r="Z139" i="9"/>
  <c r="X139" i="9" a="1"/>
  <c r="X139" i="9" s="1"/>
  <c r="Y139" i="9" a="1"/>
  <c r="Y139" i="9" s="1"/>
  <c r="V139" i="9" a="1"/>
  <c r="V139" i="9" s="1"/>
  <c r="AB139" i="9" a="1"/>
  <c r="AB139" i="9" s="1"/>
  <c r="AU139" i="9"/>
  <c r="T139" i="9" a="1"/>
  <c r="T139" i="9" s="1"/>
  <c r="S139" i="9" a="1"/>
  <c r="S139" i="9" s="1"/>
  <c r="AC139" i="9" s="1"/>
  <c r="U139" i="9" a="1"/>
  <c r="U139" i="9" s="1"/>
  <c r="AU45" i="9"/>
  <c r="Y206" i="9" a="1"/>
  <c r="Y206" i="9" s="1"/>
  <c r="V206" i="9" a="1"/>
  <c r="V206" i="9" s="1"/>
  <c r="Z206" i="9"/>
  <c r="AU206" i="9"/>
  <c r="T206" i="9" a="1"/>
  <c r="T206" i="9" s="1"/>
  <c r="X206" i="9" a="1"/>
  <c r="X206" i="9" s="1"/>
  <c r="AB206" i="9" a="1"/>
  <c r="AB206" i="9" s="1"/>
  <c r="S206" i="9" a="1"/>
  <c r="S206" i="9" s="1"/>
  <c r="AC206" i="9" s="1"/>
  <c r="U206" i="9" a="1"/>
  <c r="U206" i="9" s="1"/>
  <c r="AU100" i="9"/>
  <c r="S100" i="9" a="1"/>
  <c r="S100" i="9" s="1"/>
  <c r="AC100" i="9" s="1"/>
  <c r="AB100" i="9" a="1"/>
  <c r="AB100" i="9" s="1"/>
  <c r="T100" i="9" a="1"/>
  <c r="T100" i="9" s="1"/>
  <c r="Y100" i="9" a="1"/>
  <c r="Y100" i="9" s="1"/>
  <c r="V100" i="9" a="1"/>
  <c r="V100" i="9" s="1"/>
  <c r="X100" i="9" a="1"/>
  <c r="X100" i="9" s="1"/>
  <c r="U100" i="9" a="1"/>
  <c r="U100" i="9" s="1"/>
  <c r="Z100" i="9"/>
  <c r="AB121" i="9" a="1"/>
  <c r="AB121" i="9" s="1"/>
  <c r="X121" i="9" a="1"/>
  <c r="X121" i="9" s="1"/>
  <c r="S121" i="9" a="1"/>
  <c r="S121" i="9" s="1"/>
  <c r="AC121" i="9" s="1"/>
  <c r="V121" i="9" a="1"/>
  <c r="V121" i="9" s="1"/>
  <c r="Z121" i="9"/>
  <c r="AU121" i="9"/>
  <c r="U121" i="9" a="1"/>
  <c r="U121" i="9" s="1"/>
  <c r="Y121" i="9" a="1"/>
  <c r="Y121" i="9" s="1"/>
  <c r="T121" i="9" a="1"/>
  <c r="T121" i="9" s="1"/>
  <c r="T212" i="9" a="1"/>
  <c r="T212" i="9" s="1"/>
  <c r="Z212" i="9"/>
  <c r="X212" i="9" a="1"/>
  <c r="X212" i="9" s="1"/>
  <c r="U212" i="9" a="1"/>
  <c r="U212" i="9" s="1"/>
  <c r="AU212" i="9"/>
  <c r="S212" i="9" a="1"/>
  <c r="S212" i="9" s="1"/>
  <c r="AC212" i="9" s="1"/>
  <c r="AB212" i="9" a="1"/>
  <c r="AB212" i="9" s="1"/>
  <c r="V212" i="9" a="1"/>
  <c r="V212" i="9" s="1"/>
  <c r="Y212" i="9" a="1"/>
  <c r="Y212" i="9" s="1"/>
  <c r="Z81" i="9"/>
  <c r="S81" i="9" a="1"/>
  <c r="S81" i="9" s="1"/>
  <c r="AC81" i="9" s="1"/>
  <c r="AB81" i="9" a="1"/>
  <c r="AB81" i="9" s="1"/>
  <c r="V81" i="9" a="1"/>
  <c r="V81" i="9" s="1"/>
  <c r="U81" i="9" a="1"/>
  <c r="U81" i="9" s="1"/>
  <c r="AU81" i="9"/>
  <c r="Y81" i="9" a="1"/>
  <c r="Y81" i="9" s="1"/>
  <c r="T81" i="9" a="1"/>
  <c r="T81" i="9" s="1"/>
  <c r="X81" i="9" a="1"/>
  <c r="X81" i="9" s="1"/>
  <c r="U201" i="9" a="1"/>
  <c r="U201" i="9" s="1"/>
  <c r="Z201" i="9"/>
  <c r="AB201" i="9" a="1"/>
  <c r="AB201" i="9" s="1"/>
  <c r="AU201" i="9"/>
  <c r="V201" i="9" a="1"/>
  <c r="V201" i="9" s="1"/>
  <c r="S201" i="9" a="1"/>
  <c r="S201" i="9" s="1"/>
  <c r="AC201" i="9" s="1"/>
  <c r="T201" i="9" a="1"/>
  <c r="T201" i="9" s="1"/>
  <c r="Y201" i="9" a="1"/>
  <c r="Y201" i="9" s="1"/>
  <c r="X201" i="9" a="1"/>
  <c r="X201" i="9" s="1"/>
  <c r="Z254" i="9"/>
  <c r="V254" i="9" a="1"/>
  <c r="V254" i="9" s="1"/>
  <c r="AB254" i="9" a="1"/>
  <c r="AB254" i="9" s="1"/>
  <c r="Y254" i="9" a="1"/>
  <c r="Y254" i="9" s="1"/>
  <c r="X254" i="9" a="1"/>
  <c r="X254" i="9" s="1"/>
  <c r="U254" i="9" a="1"/>
  <c r="U254" i="9" s="1"/>
  <c r="T254" i="9" a="1"/>
  <c r="T254" i="9" s="1"/>
  <c r="AU254" i="9"/>
  <c r="S254" i="9" a="1"/>
  <c r="S254" i="9" s="1"/>
  <c r="AC254" i="9" s="1"/>
  <c r="S217" i="9" a="1"/>
  <c r="S217" i="9" s="1"/>
  <c r="AC217" i="9" s="1"/>
  <c r="AB217" i="9" a="1"/>
  <c r="AB217" i="9" s="1"/>
  <c r="Z217" i="9"/>
  <c r="V217" i="9" a="1"/>
  <c r="V217" i="9" s="1"/>
  <c r="AU217" i="9"/>
  <c r="T217" i="9" a="1"/>
  <c r="T217" i="9" s="1"/>
  <c r="Y217" i="9" a="1"/>
  <c r="Y217" i="9" s="1"/>
  <c r="U217" i="9" a="1"/>
  <c r="U217" i="9" s="1"/>
  <c r="X217" i="9" a="1"/>
  <c r="X217" i="9" s="1"/>
  <c r="V156" i="9" a="1"/>
  <c r="V156" i="9" s="1"/>
  <c r="AU156" i="9"/>
  <c r="V69" i="9" a="1"/>
  <c r="V69" i="9" s="1"/>
  <c r="AU69" i="9"/>
  <c r="V199" i="9" a="1"/>
  <c r="V199" i="9" s="1"/>
  <c r="AU199" i="9"/>
  <c r="V234" i="9" a="1"/>
  <c r="V234" i="9" s="1"/>
  <c r="AU234" i="9"/>
  <c r="V189" i="9" a="1"/>
  <c r="V189" i="9" s="1"/>
  <c r="AU189" i="9"/>
  <c r="V173" i="9" a="1"/>
  <c r="V173" i="9" s="1"/>
  <c r="AU173" i="9"/>
  <c r="AU49" i="9"/>
  <c r="X174" i="9" a="1"/>
  <c r="X174" i="9" s="1"/>
  <c r="S174" i="9" a="1"/>
  <c r="S174" i="9" s="1"/>
  <c r="AC174" i="9" s="1"/>
  <c r="V174" i="9" a="1"/>
  <c r="V174" i="9" s="1"/>
  <c r="Z174" i="9"/>
  <c r="AB174" i="9" a="1"/>
  <c r="AB174" i="9" s="1"/>
  <c r="Y174" i="9" a="1"/>
  <c r="Y174" i="9" s="1"/>
  <c r="AU174" i="9"/>
  <c r="T174" i="9" a="1"/>
  <c r="T174" i="9" s="1"/>
  <c r="U174" i="9" a="1"/>
  <c r="U174" i="9" s="1"/>
  <c r="V222" i="9" a="1"/>
  <c r="V222" i="9" s="1"/>
  <c r="AU222" i="9"/>
  <c r="AU80" i="9"/>
  <c r="V80" i="9" a="1"/>
  <c r="V80" i="9" s="1"/>
  <c r="Y76" i="9" a="1"/>
  <c r="Y76" i="9" s="1"/>
  <c r="Z76" i="9"/>
  <c r="U76" i="9" a="1"/>
  <c r="U76" i="9" s="1"/>
  <c r="V76" i="9" a="1"/>
  <c r="V76" i="9" s="1"/>
  <c r="AU76" i="9"/>
  <c r="S76" i="9" a="1"/>
  <c r="S76" i="9" s="1"/>
  <c r="AC76" i="9" s="1"/>
  <c r="T76" i="9" a="1"/>
  <c r="T76" i="9" s="1"/>
  <c r="X76" i="9" a="1"/>
  <c r="X76" i="9" s="1"/>
  <c r="AB76" i="9" a="1"/>
  <c r="AB76" i="9" s="1"/>
  <c r="AU197" i="9"/>
  <c r="U197" i="9" a="1"/>
  <c r="U197" i="9" s="1"/>
  <c r="S197" i="9" a="1"/>
  <c r="S197" i="9" s="1"/>
  <c r="AC197" i="9" s="1"/>
  <c r="V197" i="9" a="1"/>
  <c r="V197" i="9" s="1"/>
  <c r="X197" i="9" a="1"/>
  <c r="X197" i="9" s="1"/>
  <c r="Z197" i="9"/>
  <c r="AB197" i="9" a="1"/>
  <c r="AB197" i="9" s="1"/>
  <c r="Y197" i="9" a="1"/>
  <c r="Y197" i="9" s="1"/>
  <c r="T197" i="9" a="1"/>
  <c r="T197" i="9" s="1"/>
  <c r="AU105" i="9"/>
  <c r="V105" i="9" a="1"/>
  <c r="V105" i="9" s="1"/>
  <c r="AU140" i="9"/>
  <c r="S140" i="9" a="1"/>
  <c r="S140" i="9" s="1"/>
  <c r="AC140" i="9" s="1"/>
  <c r="T140" i="9" a="1"/>
  <c r="T140" i="9" s="1"/>
  <c r="X140" i="9" a="1"/>
  <c r="X140" i="9" s="1"/>
  <c r="Y140" i="9" a="1"/>
  <c r="Y140" i="9" s="1"/>
  <c r="U140" i="9" a="1"/>
  <c r="U140" i="9" s="1"/>
  <c r="AB140" i="9" a="1"/>
  <c r="AB140" i="9" s="1"/>
  <c r="Z140" i="9"/>
  <c r="V140" i="9" a="1"/>
  <c r="V140" i="9" s="1"/>
  <c r="X230" i="9" a="1"/>
  <c r="X230" i="9" s="1"/>
  <c r="AB230" i="9" a="1"/>
  <c r="AB230" i="9" s="1"/>
  <c r="Y230" i="9" a="1"/>
  <c r="Y230" i="9" s="1"/>
  <c r="AU230" i="9"/>
  <c r="T230" i="9" a="1"/>
  <c r="T230" i="9" s="1"/>
  <c r="Z230" i="9"/>
  <c r="U230" i="9" a="1"/>
  <c r="U230" i="9" s="1"/>
  <c r="S230" i="9" a="1"/>
  <c r="S230" i="9" s="1"/>
  <c r="AC230" i="9" s="1"/>
  <c r="V230" i="9" a="1"/>
  <c r="V230" i="9" s="1"/>
  <c r="AU91" i="9"/>
  <c r="V91" i="9" a="1"/>
  <c r="V91" i="9" s="1"/>
  <c r="T208" i="9" a="1"/>
  <c r="T208" i="9" s="1"/>
  <c r="U208" i="9" a="1"/>
  <c r="U208" i="9" s="1"/>
  <c r="V208" i="9" a="1"/>
  <c r="V208" i="9" s="1"/>
  <c r="X208" i="9" a="1"/>
  <c r="X208" i="9" s="1"/>
  <c r="AU208" i="9"/>
  <c r="Y208" i="9" a="1"/>
  <c r="Y208" i="9" s="1"/>
  <c r="S208" i="9" a="1"/>
  <c r="S208" i="9" s="1"/>
  <c r="AC208" i="9" s="1"/>
  <c r="AB208" i="9" a="1"/>
  <c r="AB208" i="9" s="1"/>
  <c r="Z208" i="9"/>
  <c r="U142" i="9" a="1"/>
  <c r="U142" i="9" s="1"/>
  <c r="S142" i="9" a="1"/>
  <c r="S142" i="9" s="1"/>
  <c r="AC142" i="9" s="1"/>
  <c r="Y142" i="9" a="1"/>
  <c r="Y142" i="9" s="1"/>
  <c r="T142" i="9" a="1"/>
  <c r="T142" i="9" s="1"/>
  <c r="Z142" i="9"/>
  <c r="X142" i="9" a="1"/>
  <c r="X142" i="9" s="1"/>
  <c r="AB142" i="9" a="1"/>
  <c r="AB142" i="9" s="1"/>
  <c r="V142" i="9" a="1"/>
  <c r="V142" i="9" s="1"/>
  <c r="AU142" i="9"/>
  <c r="Y193" i="9" a="1"/>
  <c r="Y193" i="9" s="1"/>
  <c r="S193" i="9" a="1"/>
  <c r="S193" i="9" s="1"/>
  <c r="AC193" i="9" s="1"/>
  <c r="T193" i="9" a="1"/>
  <c r="T193" i="9" s="1"/>
  <c r="X193" i="9" a="1"/>
  <c r="X193" i="9" s="1"/>
  <c r="U193" i="9" a="1"/>
  <c r="U193" i="9" s="1"/>
  <c r="V193" i="9" a="1"/>
  <c r="V193" i="9" s="1"/>
  <c r="AB193" i="9" a="1"/>
  <c r="AB193" i="9" s="1"/>
  <c r="Z193" i="9"/>
  <c r="AU193" i="9"/>
  <c r="U79" i="9" a="1"/>
  <c r="U79" i="9" s="1"/>
  <c r="X79" i="9" a="1"/>
  <c r="X79" i="9" s="1"/>
  <c r="Y79" i="9" a="1"/>
  <c r="Y79" i="9" s="1"/>
  <c r="V79" i="9" a="1"/>
  <c r="V79" i="9" s="1"/>
  <c r="Z79" i="9"/>
  <c r="AU79" i="9"/>
  <c r="AB79" i="9" a="1"/>
  <c r="AB79" i="9" s="1"/>
  <c r="T79" i="9" a="1"/>
  <c r="T79" i="9" s="1"/>
  <c r="S79" i="9" a="1"/>
  <c r="S79" i="9" s="1"/>
  <c r="AC79" i="9" s="1"/>
  <c r="AB169" i="9" a="1"/>
  <c r="AB169" i="9" s="1"/>
  <c r="U169" i="9" a="1"/>
  <c r="U169" i="9" s="1"/>
  <c r="AU169" i="9"/>
  <c r="Z169" i="9"/>
  <c r="V169" i="9" a="1"/>
  <c r="V169" i="9" s="1"/>
  <c r="S169" i="9" a="1"/>
  <c r="S169" i="9" s="1"/>
  <c r="AC169" i="9" s="1"/>
  <c r="X169" i="9" a="1"/>
  <c r="X169" i="9" s="1"/>
  <c r="Y169" i="9" a="1"/>
  <c r="Y169" i="9" s="1"/>
  <c r="T169" i="9" a="1"/>
  <c r="T169" i="9" s="1"/>
  <c r="Y204" i="9" a="1"/>
  <c r="Y204" i="9" s="1"/>
  <c r="AB204" i="9" a="1"/>
  <c r="AB204" i="9" s="1"/>
  <c r="X204" i="9" a="1"/>
  <c r="X204" i="9" s="1"/>
  <c r="AU204" i="9"/>
  <c r="Z204" i="9"/>
  <c r="V204" i="9" a="1"/>
  <c r="V204" i="9" s="1"/>
  <c r="S204" i="9" a="1"/>
  <c r="S204" i="9" s="1"/>
  <c r="AC204" i="9" s="1"/>
  <c r="T204" i="9" a="1"/>
  <c r="T204" i="9" s="1"/>
  <c r="U204" i="9" a="1"/>
  <c r="U204" i="9" s="1"/>
  <c r="AU75" i="9"/>
  <c r="V75" i="9" a="1"/>
  <c r="V75" i="9" s="1"/>
  <c r="AB75" i="9" a="1"/>
  <c r="AB75" i="9" s="1"/>
  <c r="X75" i="9" a="1"/>
  <c r="X75" i="9" s="1"/>
  <c r="S75" i="9" a="1"/>
  <c r="S75" i="9" s="1"/>
  <c r="AC75" i="9" s="1"/>
  <c r="Y75" i="9" a="1"/>
  <c r="Y75" i="9" s="1"/>
  <c r="T75" i="9" a="1"/>
  <c r="T75" i="9" s="1"/>
  <c r="U75" i="9" a="1"/>
  <c r="U75" i="9" s="1"/>
  <c r="Z75" i="9"/>
  <c r="U163" i="9" a="1"/>
  <c r="U163" i="9" s="1"/>
  <c r="V163" i="9" a="1"/>
  <c r="V163" i="9" s="1"/>
  <c r="AB163" i="9" a="1"/>
  <c r="AB163" i="9" s="1"/>
  <c r="AU163" i="9"/>
  <c r="S163" i="9" a="1"/>
  <c r="S163" i="9" s="1"/>
  <c r="AC163" i="9" s="1"/>
  <c r="T163" i="9" a="1"/>
  <c r="T163" i="9" s="1"/>
  <c r="Y163" i="9" a="1"/>
  <c r="Y163" i="9" s="1"/>
  <c r="X163" i="9" a="1"/>
  <c r="X163" i="9" s="1"/>
  <c r="Z163" i="9"/>
  <c r="S242" i="9" a="1"/>
  <c r="S242" i="9" s="1"/>
  <c r="AC242" i="9" s="1"/>
  <c r="AB242" i="9" a="1"/>
  <c r="AB242" i="9" s="1"/>
  <c r="Z242" i="9"/>
  <c r="T242" i="9" a="1"/>
  <c r="T242" i="9" s="1"/>
  <c r="V242" i="9" a="1"/>
  <c r="V242" i="9" s="1"/>
  <c r="Y242" i="9" a="1"/>
  <c r="Y242" i="9" s="1"/>
  <c r="X242" i="9" a="1"/>
  <c r="X242" i="9" s="1"/>
  <c r="AU242" i="9"/>
  <c r="U242" i="9" a="1"/>
  <c r="U242" i="9" s="1"/>
  <c r="U63" i="9" a="1"/>
  <c r="U63" i="9" s="1"/>
  <c r="S63" i="9" a="1"/>
  <c r="S63" i="9" s="1"/>
  <c r="AC63" i="9" s="1"/>
  <c r="T63" i="9" a="1"/>
  <c r="T63" i="9" s="1"/>
  <c r="X63" i="9" a="1"/>
  <c r="X63" i="9" s="1"/>
  <c r="AB63" i="9" a="1"/>
  <c r="AB63" i="9" s="1"/>
  <c r="V63" i="9" a="1"/>
  <c r="V63" i="9" s="1"/>
  <c r="Z63" i="9"/>
  <c r="AU63" i="9"/>
  <c r="Y63" i="9" a="1"/>
  <c r="Y63" i="9" s="1"/>
  <c r="T219" i="9" a="1"/>
  <c r="T219" i="9" s="1"/>
  <c r="X219" i="9" a="1"/>
  <c r="X219" i="9" s="1"/>
  <c r="S219" i="9" a="1"/>
  <c r="S219" i="9" s="1"/>
  <c r="AC219" i="9" s="1"/>
  <c r="U219" i="9" a="1"/>
  <c r="U219" i="9" s="1"/>
  <c r="Y219" i="9" a="1"/>
  <c r="Y219" i="9" s="1"/>
  <c r="Z219" i="9"/>
  <c r="V219" i="9" a="1"/>
  <c r="V219" i="9" s="1"/>
  <c r="AB219" i="9" a="1"/>
  <c r="AB219" i="9" s="1"/>
  <c r="AU219" i="9"/>
  <c r="X250" i="9" a="1"/>
  <c r="X250" i="9" s="1"/>
  <c r="Y250" i="9" a="1"/>
  <c r="Y250" i="9" s="1"/>
  <c r="V250" i="9" a="1"/>
  <c r="V250" i="9" s="1"/>
  <c r="AB250" i="9" a="1"/>
  <c r="AB250" i="9" s="1"/>
  <c r="U250" i="9" a="1"/>
  <c r="U250" i="9" s="1"/>
  <c r="S250" i="9" a="1"/>
  <c r="S250" i="9" s="1"/>
  <c r="AC250" i="9" s="1"/>
  <c r="Z250" i="9"/>
  <c r="T250" i="9" a="1"/>
  <c r="T250" i="9" s="1"/>
  <c r="AU250" i="9"/>
  <c r="S104" i="9" a="1"/>
  <c r="S104" i="9" s="1"/>
  <c r="AC104" i="9" s="1"/>
  <c r="T104" i="9" a="1"/>
  <c r="T104" i="9" s="1"/>
  <c r="X104" i="9" a="1"/>
  <c r="X104" i="9" s="1"/>
  <c r="Y104" i="9" a="1"/>
  <c r="Y104" i="9" s="1"/>
  <c r="AB104" i="9" a="1"/>
  <c r="AB104" i="9" s="1"/>
  <c r="U104" i="9" a="1"/>
  <c r="U104" i="9" s="1"/>
  <c r="Z104" i="9"/>
  <c r="AU104" i="9"/>
  <c r="V104" i="9" a="1"/>
  <c r="V104" i="9" s="1"/>
  <c r="Z233" i="9"/>
  <c r="S233" i="9" a="1"/>
  <c r="S233" i="9" s="1"/>
  <c r="AC233" i="9" s="1"/>
  <c r="T233" i="9" a="1"/>
  <c r="T233" i="9" s="1"/>
  <c r="Y233" i="9" a="1"/>
  <c r="Y233" i="9" s="1"/>
  <c r="AU233" i="9"/>
  <c r="AB233" i="9" a="1"/>
  <c r="AB233" i="9" s="1"/>
  <c r="U233" i="9" a="1"/>
  <c r="U233" i="9" s="1"/>
  <c r="V233" i="9" a="1"/>
  <c r="V233" i="9" s="1"/>
  <c r="X233" i="9" a="1"/>
  <c r="X233" i="9" s="1"/>
  <c r="AU122" i="9"/>
  <c r="Z122" i="9"/>
  <c r="V122" i="9" a="1"/>
  <c r="V122" i="9" s="1"/>
  <c r="S122" i="9" a="1"/>
  <c r="S122" i="9" s="1"/>
  <c r="AC122" i="9" s="1"/>
  <c r="X122" i="9" a="1"/>
  <c r="X122" i="9" s="1"/>
  <c r="T122" i="9" a="1"/>
  <c r="T122" i="9" s="1"/>
  <c r="AB122" i="9" a="1"/>
  <c r="AB122" i="9" s="1"/>
  <c r="Y122" i="9" a="1"/>
  <c r="Y122" i="9" s="1"/>
  <c r="U122" i="9" a="1"/>
  <c r="U122" i="9" s="1"/>
  <c r="V77" i="9" a="1"/>
  <c r="V77" i="9" s="1"/>
  <c r="AB77" i="9" a="1"/>
  <c r="AB77" i="9" s="1"/>
  <c r="AU77" i="9"/>
  <c r="Y77" i="9" a="1"/>
  <c r="Y77" i="9" s="1"/>
  <c r="X77" i="9" a="1"/>
  <c r="X77" i="9" s="1"/>
  <c r="Z77" i="9"/>
  <c r="S77" i="9" a="1"/>
  <c r="S77" i="9" s="1"/>
  <c r="AC77" i="9" s="1"/>
  <c r="U77" i="9" a="1"/>
  <c r="U77" i="9" s="1"/>
  <c r="T77" i="9" a="1"/>
  <c r="T77" i="9" s="1"/>
  <c r="V117" i="9" a="1"/>
  <c r="V117" i="9" s="1"/>
  <c r="AB117" i="9" a="1"/>
  <c r="AB117" i="9" s="1"/>
  <c r="AU117" i="9"/>
  <c r="U117" i="9" a="1"/>
  <c r="U117" i="9" s="1"/>
  <c r="S117" i="9" a="1"/>
  <c r="S117" i="9" s="1"/>
  <c r="AC117" i="9" s="1"/>
  <c r="T117" i="9" a="1"/>
  <c r="T117" i="9" s="1"/>
  <c r="X117" i="9" a="1"/>
  <c r="X117" i="9" s="1"/>
  <c r="Y117" i="9" a="1"/>
  <c r="Y117" i="9" s="1"/>
  <c r="Z117" i="9"/>
  <c r="S152" i="9" a="1"/>
  <c r="S152" i="9" s="1"/>
  <c r="AC152" i="9" s="1"/>
  <c r="AU152" i="9"/>
  <c r="Y152" i="9" a="1"/>
  <c r="Y152" i="9" s="1"/>
  <c r="AB152" i="9" a="1"/>
  <c r="AB152" i="9" s="1"/>
  <c r="X152" i="9" a="1"/>
  <c r="X152" i="9" s="1"/>
  <c r="T152" i="9" a="1"/>
  <c r="T152" i="9" s="1"/>
  <c r="Z152" i="9"/>
  <c r="V152" i="9" a="1"/>
  <c r="V152" i="9" s="1"/>
  <c r="U152" i="9" a="1"/>
  <c r="U152" i="9" s="1"/>
  <c r="AU65" i="9"/>
  <c r="S65" i="9" a="1"/>
  <c r="S65" i="9" s="1"/>
  <c r="AC65" i="9" s="1"/>
  <c r="T65" i="9" a="1"/>
  <c r="T65" i="9" s="1"/>
  <c r="Y65" i="9" a="1"/>
  <c r="Y65" i="9" s="1"/>
  <c r="V65" i="9" a="1"/>
  <c r="V65" i="9" s="1"/>
  <c r="AB65" i="9" a="1"/>
  <c r="AB65" i="9" s="1"/>
  <c r="U65" i="9" a="1"/>
  <c r="U65" i="9" s="1"/>
  <c r="X65" i="9" a="1"/>
  <c r="X65" i="9" s="1"/>
  <c r="Z65" i="9"/>
  <c r="T141" i="9" a="1"/>
  <c r="T141" i="9" s="1"/>
  <c r="AU141" i="9"/>
  <c r="X141" i="9" a="1"/>
  <c r="X141" i="9" s="1"/>
  <c r="U141" i="9" a="1"/>
  <c r="U141" i="9" s="1"/>
  <c r="S141" i="9" a="1"/>
  <c r="S141" i="9" s="1"/>
  <c r="AC141" i="9" s="1"/>
  <c r="AB141" i="9" a="1"/>
  <c r="AB141" i="9" s="1"/>
  <c r="Z141" i="9"/>
  <c r="V141" i="9" a="1"/>
  <c r="V141" i="9" s="1"/>
  <c r="Y141" i="9" a="1"/>
  <c r="Y141" i="9" s="1"/>
  <c r="Y225" i="9" a="1"/>
  <c r="Y225" i="9" s="1"/>
  <c r="Z225" i="9"/>
  <c r="X225" i="9" a="1"/>
  <c r="X225" i="9" s="1"/>
  <c r="T225" i="9" a="1"/>
  <c r="T225" i="9" s="1"/>
  <c r="U225" i="9" a="1"/>
  <c r="U225" i="9" s="1"/>
  <c r="AB225" i="9" a="1"/>
  <c r="AB225" i="9" s="1"/>
  <c r="AU225" i="9"/>
  <c r="V225" i="9" a="1"/>
  <c r="V225" i="9" s="1"/>
  <c r="S225" i="9" a="1"/>
  <c r="S225" i="9" s="1"/>
  <c r="AC225" i="9" s="1"/>
  <c r="V182" i="9" a="1"/>
  <c r="V182" i="9" s="1"/>
  <c r="S182" i="9" a="1"/>
  <c r="S182" i="9" s="1"/>
  <c r="AC182" i="9" s="1"/>
  <c r="Y182" i="9" a="1"/>
  <c r="Y182" i="9" s="1"/>
  <c r="AB182" i="9" a="1"/>
  <c r="AB182" i="9" s="1"/>
  <c r="AU182" i="9"/>
  <c r="Z182" i="9"/>
  <c r="X182" i="9" a="1"/>
  <c r="X182" i="9" s="1"/>
  <c r="T182" i="9" a="1"/>
  <c r="T182" i="9" s="1"/>
  <c r="U182" i="9" a="1"/>
  <c r="U182" i="9" s="1"/>
  <c r="Z159" i="9"/>
  <c r="U159" i="9" a="1"/>
  <c r="U159" i="9" s="1"/>
  <c r="S159" i="9" a="1"/>
  <c r="S159" i="9" s="1"/>
  <c r="AC159" i="9" s="1"/>
  <c r="X159" i="9" a="1"/>
  <c r="X159" i="9" s="1"/>
  <c r="V159" i="9" a="1"/>
  <c r="V159" i="9" s="1"/>
  <c r="Y159" i="9" a="1"/>
  <c r="Y159" i="9" s="1"/>
  <c r="AB159" i="9" a="1"/>
  <c r="AB159" i="9" s="1"/>
  <c r="AU159" i="9"/>
  <c r="T159" i="9" a="1"/>
  <c r="T159" i="9" s="1"/>
  <c r="V214" i="9" a="1"/>
  <c r="V214" i="9" s="1"/>
  <c r="Y214" i="9" a="1"/>
  <c r="Y214" i="9" s="1"/>
  <c r="AU214" i="9"/>
  <c r="X214" i="9" a="1"/>
  <c r="X214" i="9" s="1"/>
  <c r="U214" i="9" a="1"/>
  <c r="U214" i="9" s="1"/>
  <c r="Z214" i="9"/>
  <c r="AB214" i="9" a="1"/>
  <c r="AB214" i="9" s="1"/>
  <c r="S214" i="9" a="1"/>
  <c r="S214" i="9" s="1"/>
  <c r="AC214" i="9" s="1"/>
  <c r="T214" i="9" a="1"/>
  <c r="T214" i="9" s="1"/>
  <c r="Z136" i="9"/>
  <c r="V136" i="9" a="1"/>
  <c r="V136" i="9" s="1"/>
  <c r="AB136" i="9" a="1"/>
  <c r="AB136" i="9" s="1"/>
  <c r="AU136" i="9"/>
  <c r="S136" i="9" a="1"/>
  <c r="S136" i="9" s="1"/>
  <c r="AC136" i="9" s="1"/>
  <c r="T136" i="9" a="1"/>
  <c r="T136" i="9" s="1"/>
  <c r="U136" i="9" a="1"/>
  <c r="U136" i="9" s="1"/>
  <c r="X136" i="9" a="1"/>
  <c r="X136" i="9" s="1"/>
  <c r="Y136" i="9" a="1"/>
  <c r="Y136" i="9" s="1"/>
  <c r="Z89" i="9"/>
  <c r="Y89" i="9" a="1"/>
  <c r="Y89" i="9" s="1"/>
  <c r="U89" i="9" a="1"/>
  <c r="U89" i="9" s="1"/>
  <c r="S89" i="9" a="1"/>
  <c r="S89" i="9" s="1"/>
  <c r="AC89" i="9" s="1"/>
  <c r="V89" i="9" a="1"/>
  <c r="V89" i="9" s="1"/>
  <c r="AU89" i="9"/>
  <c r="AB89" i="9" a="1"/>
  <c r="AB89" i="9" s="1"/>
  <c r="T89" i="9" a="1"/>
  <c r="T89" i="9" s="1"/>
  <c r="X89" i="9" a="1"/>
  <c r="X89" i="9" s="1"/>
  <c r="T70" i="9" a="1"/>
  <c r="T70" i="9" s="1"/>
  <c r="X70" i="9" a="1"/>
  <c r="X70" i="9" s="1"/>
  <c r="S70" i="9" a="1"/>
  <c r="S70" i="9" s="1"/>
  <c r="AC70" i="9" s="1"/>
  <c r="Y70" i="9" a="1"/>
  <c r="Y70" i="9" s="1"/>
  <c r="AU70" i="9"/>
  <c r="AB70" i="9" a="1"/>
  <c r="AB70" i="9" s="1"/>
  <c r="U70" i="9" a="1"/>
  <c r="U70" i="9" s="1"/>
  <c r="Z70" i="9"/>
  <c r="V70" i="9" a="1"/>
  <c r="V70" i="9" s="1"/>
  <c r="V154" i="9" a="1"/>
  <c r="V154" i="9" s="1"/>
  <c r="AU154" i="9"/>
  <c r="V119" i="9" a="1"/>
  <c r="V119" i="9" s="1"/>
  <c r="AU119" i="9"/>
  <c r="V224" i="9" a="1"/>
  <c r="V224" i="9" s="1"/>
  <c r="AU224" i="9"/>
  <c r="AU215" i="9"/>
  <c r="V215" i="9" a="1"/>
  <c r="V215" i="9" s="1"/>
  <c r="AU178" i="9"/>
  <c r="V178" i="9" a="1"/>
  <c r="V178" i="9" s="1"/>
  <c r="Y240" i="9" a="1"/>
  <c r="Y240" i="9" s="1"/>
  <c r="S240" i="9" a="1"/>
  <c r="S240" i="9" s="1"/>
  <c r="AC240" i="9" s="1"/>
  <c r="Z240" i="9"/>
  <c r="V240" i="9" a="1"/>
  <c r="V240" i="9" s="1"/>
  <c r="U240" i="9" a="1"/>
  <c r="U240" i="9" s="1"/>
  <c r="AU240" i="9"/>
  <c r="AB240" i="9" a="1"/>
  <c r="AB240" i="9" s="1"/>
  <c r="T240" i="9" a="1"/>
  <c r="T240" i="9" s="1"/>
  <c r="X240" i="9" a="1"/>
  <c r="X240" i="9" s="1"/>
  <c r="AU71" i="9"/>
  <c r="Z71" i="9"/>
  <c r="AB71" i="9" a="1"/>
  <c r="AB71" i="9" s="1"/>
  <c r="V71" i="9" a="1"/>
  <c r="V71" i="9" s="1"/>
  <c r="T71" i="9" a="1"/>
  <c r="T71" i="9" s="1"/>
  <c r="X71" i="9" a="1"/>
  <c r="X71" i="9" s="1"/>
  <c r="S71" i="9" a="1"/>
  <c r="S71" i="9" s="1"/>
  <c r="AC71" i="9" s="1"/>
  <c r="U71" i="9" a="1"/>
  <c r="U71" i="9" s="1"/>
  <c r="Y71" i="9" a="1"/>
  <c r="Y71" i="9" s="1"/>
  <c r="AU58" i="9"/>
  <c r="V58" i="9" a="1"/>
  <c r="V58" i="9" s="1"/>
  <c r="U97" i="9" a="1"/>
  <c r="U97" i="9" s="1"/>
  <c r="S97" i="9" a="1"/>
  <c r="S97" i="9" s="1"/>
  <c r="AC97" i="9" s="1"/>
  <c r="AB97" i="9" a="1"/>
  <c r="AB97" i="9" s="1"/>
  <c r="V97" i="9" a="1"/>
  <c r="V97" i="9" s="1"/>
  <c r="T97" i="9" a="1"/>
  <c r="T97" i="9" s="1"/>
  <c r="AU97" i="9"/>
  <c r="Y97" i="9" a="1"/>
  <c r="Y97" i="9" s="1"/>
  <c r="X97" i="9" a="1"/>
  <c r="X97" i="9" s="1"/>
  <c r="Z97" i="9"/>
  <c r="T103" i="9" a="1"/>
  <c r="T103" i="9" s="1"/>
  <c r="X103" i="9" a="1"/>
  <c r="X103" i="9" s="1"/>
  <c r="V103" i="9" a="1"/>
  <c r="V103" i="9" s="1"/>
  <c r="Y103" i="9" a="1"/>
  <c r="Y103" i="9" s="1"/>
  <c r="AU103" i="9"/>
  <c r="S103" i="9" a="1"/>
  <c r="S103" i="9" s="1"/>
  <c r="AC103" i="9" s="1"/>
  <c r="AB103" i="9" a="1"/>
  <c r="AB103" i="9" s="1"/>
  <c r="Z103" i="9"/>
  <c r="U103" i="9" a="1"/>
  <c r="U103" i="9" s="1"/>
  <c r="AU53" i="9"/>
  <c r="T72" i="9" a="1"/>
  <c r="T72" i="9" s="1"/>
  <c r="S72" i="9" a="1"/>
  <c r="S72" i="9" s="1"/>
  <c r="AC72" i="9" s="1"/>
  <c r="AB72" i="9" a="1"/>
  <c r="AB72" i="9" s="1"/>
  <c r="V72" i="9" a="1"/>
  <c r="V72" i="9" s="1"/>
  <c r="U72" i="9" a="1"/>
  <c r="U72" i="9" s="1"/>
  <c r="Z72" i="9"/>
  <c r="X72" i="9" a="1"/>
  <c r="X72" i="9" s="1"/>
  <c r="AU72" i="9"/>
  <c r="Y72" i="9" a="1"/>
  <c r="Y72" i="9" s="1"/>
  <c r="V130" i="9" a="1"/>
  <c r="V130" i="9" s="1"/>
  <c r="S130" i="9" a="1"/>
  <c r="S130" i="9" s="1"/>
  <c r="AC130" i="9" s="1"/>
  <c r="AB130" i="9" a="1"/>
  <c r="AB130" i="9" s="1"/>
  <c r="Z130" i="9"/>
  <c r="Y130" i="9" a="1"/>
  <c r="Y130" i="9" s="1"/>
  <c r="X130" i="9" a="1"/>
  <c r="X130" i="9" s="1"/>
  <c r="T130" i="9" a="1"/>
  <c r="T130" i="9" s="1"/>
  <c r="U130" i="9" a="1"/>
  <c r="U130" i="9" s="1"/>
  <c r="AU130" i="9"/>
  <c r="V177" i="9" a="1"/>
  <c r="V177" i="9" s="1"/>
  <c r="AB177" i="9" a="1"/>
  <c r="AB177" i="9" s="1"/>
  <c r="Y177" i="9" a="1"/>
  <c r="Y177" i="9" s="1"/>
  <c r="S177" i="9" a="1"/>
  <c r="S177" i="9" s="1"/>
  <c r="AC177" i="9" s="1"/>
  <c r="X177" i="9" a="1"/>
  <c r="X177" i="9" s="1"/>
  <c r="U177" i="9" a="1"/>
  <c r="U177" i="9" s="1"/>
  <c r="Z177" i="9"/>
  <c r="T177" i="9" a="1"/>
  <c r="T177" i="9" s="1"/>
  <c r="AU177" i="9"/>
  <c r="S207" i="9" a="1"/>
  <c r="S207" i="9" s="1"/>
  <c r="AC207" i="9" s="1"/>
  <c r="X207" i="9" a="1"/>
  <c r="X207" i="9" s="1"/>
  <c r="T207" i="9" a="1"/>
  <c r="T207" i="9" s="1"/>
  <c r="V207" i="9" a="1"/>
  <c r="V207" i="9" s="1"/>
  <c r="Y207" i="9" a="1"/>
  <c r="Y207" i="9" s="1"/>
  <c r="Z207" i="9"/>
  <c r="AB207" i="9" a="1"/>
  <c r="AB207" i="9" s="1"/>
  <c r="AU207" i="9"/>
  <c r="U207" i="9" a="1"/>
  <c r="U207" i="9" s="1"/>
  <c r="AU223" i="9"/>
  <c r="Y223" i="9" a="1"/>
  <c r="Y223" i="9" s="1"/>
  <c r="Z223" i="9"/>
  <c r="U223" i="9" a="1"/>
  <c r="U223" i="9" s="1"/>
  <c r="S223" i="9" a="1"/>
  <c r="S223" i="9" s="1"/>
  <c r="AC223" i="9" s="1"/>
  <c r="T223" i="9" a="1"/>
  <c r="T223" i="9" s="1"/>
  <c r="X223" i="9" a="1"/>
  <c r="X223" i="9" s="1"/>
  <c r="AB223" i="9" a="1"/>
  <c r="AB223" i="9" s="1"/>
  <c r="V223" i="9" a="1"/>
  <c r="V223" i="9" s="1"/>
  <c r="U55" i="9" a="1"/>
  <c r="U55" i="9" s="1"/>
  <c r="AB55" i="9" a="1"/>
  <c r="AB55" i="9" s="1"/>
  <c r="Y55" i="9" a="1"/>
  <c r="Y55" i="9" s="1"/>
  <c r="V55" i="9" a="1"/>
  <c r="V55" i="9" s="1"/>
  <c r="Z55" i="9"/>
  <c r="AU55" i="9"/>
  <c r="S55" i="9" a="1"/>
  <c r="S55" i="9" s="1"/>
  <c r="AC55" i="9" s="1"/>
  <c r="T55" i="9" a="1"/>
  <c r="T55" i="9" s="1"/>
  <c r="X55" i="9" a="1"/>
  <c r="X55" i="9" s="1"/>
  <c r="Y162" i="9" a="1"/>
  <c r="Y162" i="9" s="1"/>
  <c r="Z162" i="9"/>
  <c r="AB162" i="9" a="1"/>
  <c r="AB162" i="9" s="1"/>
  <c r="U162" i="9" a="1"/>
  <c r="U162" i="9" s="1"/>
  <c r="V162" i="9" a="1"/>
  <c r="V162" i="9" s="1"/>
  <c r="AU162" i="9"/>
  <c r="S162" i="9" a="1"/>
  <c r="S162" i="9" s="1"/>
  <c r="AC162" i="9" s="1"/>
  <c r="T162" i="9" a="1"/>
  <c r="T162" i="9" s="1"/>
  <c r="X162" i="9" a="1"/>
  <c r="X162" i="9" s="1"/>
  <c r="AU188" i="9"/>
  <c r="T188" i="9" a="1"/>
  <c r="T188" i="9" s="1"/>
  <c r="AB188" i="9" a="1"/>
  <c r="AB188" i="9" s="1"/>
  <c r="Z188" i="9"/>
  <c r="X188" i="9" a="1"/>
  <c r="X188" i="9" s="1"/>
  <c r="U188" i="9" a="1"/>
  <c r="U188" i="9" s="1"/>
  <c r="S188" i="9" a="1"/>
  <c r="S188" i="9" s="1"/>
  <c r="AC188" i="9" s="1"/>
  <c r="Y188" i="9" a="1"/>
  <c r="Y188" i="9" s="1"/>
  <c r="V188" i="9" a="1"/>
  <c r="V188" i="9" s="1"/>
  <c r="S113" i="9" a="1"/>
  <c r="S113" i="9" s="1"/>
  <c r="AC113" i="9" s="1"/>
  <c r="AB113" i="9" a="1"/>
  <c r="AB113" i="9" s="1"/>
  <c r="V113" i="9" a="1"/>
  <c r="V113" i="9" s="1"/>
  <c r="T113" i="9" a="1"/>
  <c r="T113" i="9" s="1"/>
  <c r="AU113" i="9"/>
  <c r="Z113" i="9"/>
  <c r="X113" i="9" a="1"/>
  <c r="X113" i="9" s="1"/>
  <c r="U113" i="9" a="1"/>
  <c r="U113" i="9" s="1"/>
  <c r="Y113" i="9" a="1"/>
  <c r="Y113" i="9" s="1"/>
  <c r="Z68" i="9"/>
  <c r="U68" i="9" a="1"/>
  <c r="U68" i="9" s="1"/>
  <c r="V68" i="9" a="1"/>
  <c r="V68" i="9" s="1"/>
  <c r="Y68" i="9" a="1"/>
  <c r="Y68" i="9" s="1"/>
  <c r="X68" i="9" a="1"/>
  <c r="X68" i="9" s="1"/>
  <c r="AU68" i="9"/>
  <c r="S68" i="9" a="1"/>
  <c r="S68" i="9" s="1"/>
  <c r="AC68" i="9" s="1"/>
  <c r="AB68" i="9" a="1"/>
  <c r="AB68" i="9" s="1"/>
  <c r="T68" i="9" a="1"/>
  <c r="T68" i="9" s="1"/>
  <c r="AU251" i="9"/>
  <c r="U251" i="9" a="1"/>
  <c r="U251" i="9" s="1"/>
  <c r="Y251" i="9" a="1"/>
  <c r="Y251" i="9" s="1"/>
  <c r="V251" i="9" a="1"/>
  <c r="V251" i="9" s="1"/>
  <c r="S251" i="9" a="1"/>
  <c r="S251" i="9" s="1"/>
  <c r="AC251" i="9" s="1"/>
  <c r="AB251" i="9" a="1"/>
  <c r="AB251" i="9" s="1"/>
  <c r="X251" i="9" a="1"/>
  <c r="X251" i="9" s="1"/>
  <c r="Z251" i="9"/>
  <c r="T251" i="9" a="1"/>
  <c r="T251" i="9" s="1"/>
  <c r="T158" i="9" a="1"/>
  <c r="T158" i="9" s="1"/>
  <c r="Y158" i="9" a="1"/>
  <c r="Y158" i="9" s="1"/>
  <c r="Z158" i="9"/>
  <c r="U158" i="9" a="1"/>
  <c r="U158" i="9" s="1"/>
  <c r="AB158" i="9" a="1"/>
  <c r="AB158" i="9" s="1"/>
  <c r="X158" i="9" a="1"/>
  <c r="X158" i="9" s="1"/>
  <c r="V158" i="9" a="1"/>
  <c r="V158" i="9" s="1"/>
  <c r="S158" i="9" a="1"/>
  <c r="S158" i="9" s="1"/>
  <c r="AC158" i="9" s="1"/>
  <c r="AU158" i="9"/>
  <c r="S244" i="9" a="1"/>
  <c r="S244" i="9" s="1"/>
  <c r="AC244" i="9" s="1"/>
  <c r="Y244" i="9" a="1"/>
  <c r="Y244" i="9" s="1"/>
  <c r="Z244" i="9"/>
  <c r="U244" i="9" a="1"/>
  <c r="U244" i="9" s="1"/>
  <c r="V244" i="9" a="1"/>
  <c r="V244" i="9" s="1"/>
  <c r="AU244" i="9"/>
  <c r="T244" i="9" a="1"/>
  <c r="T244" i="9" s="1"/>
  <c r="X244" i="9" a="1"/>
  <c r="X244" i="9" s="1"/>
  <c r="AB244" i="9" a="1"/>
  <c r="AB244" i="9" s="1"/>
  <c r="AU120" i="9"/>
  <c r="V120" i="9" a="1"/>
  <c r="V120" i="9" s="1"/>
  <c r="X157" i="9" a="1"/>
  <c r="X157" i="9" s="1"/>
  <c r="Y157" i="9" a="1"/>
  <c r="Y157" i="9" s="1"/>
  <c r="AA157" i="9" s="1"/>
  <c r="V157" i="9" a="1"/>
  <c r="V157" i="9" s="1"/>
  <c r="T157" i="9" a="1"/>
  <c r="T157" i="9" s="1"/>
  <c r="AU157" i="9"/>
  <c r="Z157" i="9"/>
  <c r="S157" i="9" a="1"/>
  <c r="S157" i="9" s="1"/>
  <c r="AC157" i="9" s="1"/>
  <c r="AB157" i="9" a="1"/>
  <c r="AB157" i="9" s="1"/>
  <c r="U157" i="9" a="1"/>
  <c r="U157" i="9" s="1"/>
  <c r="AU180" i="9"/>
  <c r="Z180" i="9"/>
  <c r="X180" i="9" a="1"/>
  <c r="X180" i="9" s="1"/>
  <c r="U180" i="9" a="1"/>
  <c r="U180" i="9" s="1"/>
  <c r="AB180" i="9" a="1"/>
  <c r="AB180" i="9" s="1"/>
  <c r="S180" i="9" a="1"/>
  <c r="S180" i="9" s="1"/>
  <c r="AC180" i="9" s="1"/>
  <c r="T180" i="9" a="1"/>
  <c r="T180" i="9" s="1"/>
  <c r="V180" i="9" a="1"/>
  <c r="V180" i="9" s="1"/>
  <c r="Y180" i="9" a="1"/>
  <c r="Y180" i="9" s="1"/>
  <c r="AU102" i="9"/>
  <c r="T102" i="9" a="1"/>
  <c r="T102" i="9" s="1"/>
  <c r="S102" i="9" a="1"/>
  <c r="S102" i="9" s="1"/>
  <c r="AC102" i="9" s="1"/>
  <c r="AB102" i="9" a="1"/>
  <c r="AB102" i="9" s="1"/>
  <c r="X102" i="9" a="1"/>
  <c r="X102" i="9" s="1"/>
  <c r="U102" i="9" a="1"/>
  <c r="U102" i="9" s="1"/>
  <c r="Z102" i="9"/>
  <c r="V102" i="9" a="1"/>
  <c r="V102" i="9" s="1"/>
  <c r="Y102" i="9" a="1"/>
  <c r="Y102" i="9" s="1"/>
  <c r="AU50" i="9"/>
  <c r="AU78" i="9"/>
  <c r="V78" i="9" a="1"/>
  <c r="V78" i="9" s="1"/>
  <c r="AU48" i="9"/>
  <c r="V202" i="9" a="1"/>
  <c r="V202" i="9" s="1"/>
  <c r="AU202" i="9"/>
  <c r="V195" i="9" a="1"/>
  <c r="V195" i="9" s="1"/>
  <c r="AU195" i="9"/>
  <c r="V167" i="9" a="1"/>
  <c r="V167" i="9" s="1"/>
  <c r="AU167" i="9"/>
  <c r="V84" i="9" a="1"/>
  <c r="V84" i="9" s="1"/>
  <c r="AU84" i="9"/>
  <c r="Y160" i="9" a="1"/>
  <c r="Y160" i="9" s="1"/>
  <c r="V160" i="9" a="1"/>
  <c r="V160" i="9" s="1"/>
  <c r="AB160" i="9" a="1"/>
  <c r="AB160" i="9" s="1"/>
  <c r="S160" i="9" a="1"/>
  <c r="S160" i="9" s="1"/>
  <c r="AC160" i="9" s="1"/>
  <c r="AU160" i="9"/>
  <c r="T160" i="9" a="1"/>
  <c r="T160" i="9" s="1"/>
  <c r="Z160" i="9"/>
  <c r="X160" i="9" a="1"/>
  <c r="X160" i="9" s="1"/>
  <c r="U160" i="9" a="1"/>
  <c r="U160" i="9" s="1"/>
  <c r="AB181" i="9" a="1"/>
  <c r="AB181" i="9" s="1"/>
  <c r="S181" i="9" a="1"/>
  <c r="S181" i="9" s="1"/>
  <c r="AC181" i="9" s="1"/>
  <c r="T181" i="9" a="1"/>
  <c r="T181" i="9" s="1"/>
  <c r="X181" i="9" a="1"/>
  <c r="X181" i="9" s="1"/>
  <c r="U181" i="9" a="1"/>
  <c r="U181" i="9" s="1"/>
  <c r="Y181" i="9" a="1"/>
  <c r="Y181" i="9" s="1"/>
  <c r="Z181" i="9"/>
  <c r="V181" i="9" a="1"/>
  <c r="V181" i="9" s="1"/>
  <c r="AU181" i="9"/>
  <c r="V229" i="9" a="1"/>
  <c r="V229" i="9" s="1"/>
  <c r="AU229" i="9"/>
  <c r="AB101" i="9" a="1"/>
  <c r="AB101" i="9" s="1"/>
  <c r="AU101" i="9"/>
  <c r="U101" i="9" a="1"/>
  <c r="U101" i="9" s="1"/>
  <c r="S101" i="9" a="1"/>
  <c r="S101" i="9" s="1"/>
  <c r="AC101" i="9" s="1"/>
  <c r="T101" i="9" a="1"/>
  <c r="T101" i="9" s="1"/>
  <c r="Y101" i="9" a="1"/>
  <c r="Y101" i="9" s="1"/>
  <c r="X101" i="9" a="1"/>
  <c r="X101" i="9" s="1"/>
  <c r="Z101" i="9"/>
  <c r="V101" i="9" a="1"/>
  <c r="V101" i="9" s="1"/>
  <c r="V110" i="9" a="1"/>
  <c r="V110" i="9" s="1"/>
  <c r="Y110" i="9" a="1"/>
  <c r="Y110" i="9" s="1"/>
  <c r="AU110" i="9"/>
  <c r="T110" i="9" a="1"/>
  <c r="T110" i="9" s="1"/>
  <c r="S110" i="9" a="1"/>
  <c r="S110" i="9" s="1"/>
  <c r="AC110" i="9" s="1"/>
  <c r="AB110" i="9" a="1"/>
  <c r="AB110" i="9" s="1"/>
  <c r="Z110" i="9"/>
  <c r="X110" i="9" a="1"/>
  <c r="X110" i="9" s="1"/>
  <c r="U110" i="9" a="1"/>
  <c r="U110" i="9" s="1"/>
  <c r="X203" i="9" a="1"/>
  <c r="X203" i="9" s="1"/>
  <c r="T203" i="9" a="1"/>
  <c r="T203" i="9" s="1"/>
  <c r="Z203" i="9"/>
  <c r="V203" i="9" a="1"/>
  <c r="V203" i="9" s="1"/>
  <c r="AU203" i="9"/>
  <c r="S203" i="9" a="1"/>
  <c r="S203" i="9" s="1"/>
  <c r="AC203" i="9" s="1"/>
  <c r="U203" i="9" a="1"/>
  <c r="U203" i="9" s="1"/>
  <c r="Y203" i="9" a="1"/>
  <c r="Y203" i="9" s="1"/>
  <c r="AB203" i="9" a="1"/>
  <c r="AB203" i="9" s="1"/>
  <c r="U82" i="9" a="1"/>
  <c r="U82" i="9" s="1"/>
  <c r="V82" i="9" a="1"/>
  <c r="V82" i="9" s="1"/>
  <c r="Y82" i="9" a="1"/>
  <c r="Y82" i="9" s="1"/>
  <c r="T82" i="9" a="1"/>
  <c r="T82" i="9" s="1"/>
  <c r="Z82" i="9"/>
  <c r="AB82" i="9" a="1"/>
  <c r="AB82" i="9" s="1"/>
  <c r="X82" i="9" a="1"/>
  <c r="X82" i="9" s="1"/>
  <c r="S82" i="9" a="1"/>
  <c r="S82" i="9" s="1"/>
  <c r="AC82" i="9" s="1"/>
  <c r="AU82" i="9"/>
  <c r="AU238" i="9"/>
  <c r="V238" i="9" a="1"/>
  <c r="V238" i="9" s="1"/>
  <c r="U238" i="9" a="1"/>
  <c r="U238" i="9" s="1"/>
  <c r="Y238" i="9" a="1"/>
  <c r="Y238" i="9" s="1"/>
  <c r="AB238" i="9" a="1"/>
  <c r="AB238" i="9" s="1"/>
  <c r="T238" i="9" a="1"/>
  <c r="T238" i="9" s="1"/>
  <c r="Z238" i="9"/>
  <c r="X238" i="9" a="1"/>
  <c r="X238" i="9" s="1"/>
  <c r="S238" i="9" a="1"/>
  <c r="S238" i="9" s="1"/>
  <c r="AC238" i="9" s="1"/>
  <c r="S151" i="9" a="1"/>
  <c r="S151" i="9" s="1"/>
  <c r="AC151" i="9" s="1"/>
  <c r="Z151" i="9"/>
  <c r="AU151" i="9"/>
  <c r="Y151" i="9" a="1"/>
  <c r="Y151" i="9" s="1"/>
  <c r="AB151" i="9" a="1"/>
  <c r="AB151" i="9" s="1"/>
  <c r="T151" i="9" a="1"/>
  <c r="T151" i="9" s="1"/>
  <c r="X151" i="9" a="1"/>
  <c r="X151" i="9" s="1"/>
  <c r="V151" i="9" a="1"/>
  <c r="V151" i="9" s="1"/>
  <c r="U151" i="9" a="1"/>
  <c r="U151" i="9" s="1"/>
  <c r="AU54" i="9"/>
  <c r="S128" i="9" a="1"/>
  <c r="S128" i="9" s="1"/>
  <c r="AC128" i="9" s="1"/>
  <c r="AU128" i="9"/>
  <c r="T128" i="9" a="1"/>
  <c r="T128" i="9" s="1"/>
  <c r="Y128" i="9" a="1"/>
  <c r="Y128" i="9" s="1"/>
  <c r="X128" i="9" a="1"/>
  <c r="X128" i="9" s="1"/>
  <c r="AB128" i="9" a="1"/>
  <c r="AB128" i="9" s="1"/>
  <c r="U128" i="9" a="1"/>
  <c r="U128" i="9" s="1"/>
  <c r="Z128" i="9"/>
  <c r="V128" i="9" a="1"/>
  <c r="V128" i="9" s="1"/>
  <c r="T95" i="9" a="1"/>
  <c r="T95" i="9" s="1"/>
  <c r="S95" i="9" a="1"/>
  <c r="S95" i="9" s="1"/>
  <c r="AC95" i="9" s="1"/>
  <c r="AB95" i="9" a="1"/>
  <c r="AB95" i="9" s="1"/>
  <c r="Z95" i="9"/>
  <c r="U95" i="9" a="1"/>
  <c r="U95" i="9" s="1"/>
  <c r="Y95" i="9" a="1"/>
  <c r="Y95" i="9" s="1"/>
  <c r="V95" i="9" a="1"/>
  <c r="V95" i="9" s="1"/>
  <c r="AU95" i="9"/>
  <c r="X95" i="9" a="1"/>
  <c r="X95" i="9" s="1"/>
  <c r="V239" i="9" a="1"/>
  <c r="V239" i="9" s="1"/>
  <c r="Y239" i="9" a="1"/>
  <c r="Y239" i="9" s="1"/>
  <c r="AU239" i="9"/>
  <c r="AB239" i="9" a="1"/>
  <c r="AB239" i="9" s="1"/>
  <c r="S239" i="9" a="1"/>
  <c r="S239" i="9" s="1"/>
  <c r="AC239" i="9" s="1"/>
  <c r="T239" i="9" a="1"/>
  <c r="T239" i="9" s="1"/>
  <c r="Z239" i="9"/>
  <c r="X239" i="9" a="1"/>
  <c r="X239" i="9" s="1"/>
  <c r="U239" i="9" a="1"/>
  <c r="U239" i="9" s="1"/>
  <c r="Y183" i="9" a="1"/>
  <c r="Y183" i="9" s="1"/>
  <c r="V183" i="9" a="1"/>
  <c r="V183" i="9" s="1"/>
  <c r="X183" i="9" a="1"/>
  <c r="X183" i="9" s="1"/>
  <c r="AB183" i="9" a="1"/>
  <c r="AB183" i="9" s="1"/>
  <c r="T183" i="9" a="1"/>
  <c r="T183" i="9" s="1"/>
  <c r="AU183" i="9"/>
  <c r="S183" i="9" a="1"/>
  <c r="S183" i="9" s="1"/>
  <c r="AC183" i="9" s="1"/>
  <c r="U183" i="9" a="1"/>
  <c r="U183" i="9" s="1"/>
  <c r="Z183" i="9"/>
  <c r="T235" i="9" a="1"/>
  <c r="T235" i="9" s="1"/>
  <c r="V235" i="9" a="1"/>
  <c r="V235" i="9" s="1"/>
  <c r="X235" i="9" a="1"/>
  <c r="X235" i="9" s="1"/>
  <c r="AU235" i="9"/>
  <c r="U235" i="9" a="1"/>
  <c r="U235" i="9" s="1"/>
  <c r="Y235" i="9" a="1"/>
  <c r="Y235" i="9" s="1"/>
  <c r="AB235" i="9" a="1"/>
  <c r="AB235" i="9" s="1"/>
  <c r="Z235" i="9"/>
  <c r="S235" i="9" a="1"/>
  <c r="S235" i="9" s="1"/>
  <c r="AC235" i="9" s="1"/>
  <c r="S249" i="9" a="1"/>
  <c r="S249" i="9" s="1"/>
  <c r="AC249" i="9" s="1"/>
  <c r="AB249" i="9" a="1"/>
  <c r="AB249" i="9" s="1"/>
  <c r="X249" i="9" a="1"/>
  <c r="X249" i="9" s="1"/>
  <c r="U249" i="9" a="1"/>
  <c r="U249" i="9" s="1"/>
  <c r="Z249" i="9"/>
  <c r="V249" i="9" a="1"/>
  <c r="V249" i="9" s="1"/>
  <c r="AU249" i="9"/>
  <c r="Y249" i="9" a="1"/>
  <c r="Y249" i="9" s="1"/>
  <c r="T249" i="9" a="1"/>
  <c r="T249" i="9" s="1"/>
  <c r="T126" i="9" a="1"/>
  <c r="T126" i="9" s="1"/>
  <c r="U126" i="9" a="1"/>
  <c r="U126" i="9" s="1"/>
  <c r="AU126" i="9"/>
  <c r="AB126" i="9" a="1"/>
  <c r="AB126" i="9" s="1"/>
  <c r="Z126" i="9"/>
  <c r="V126" i="9" a="1"/>
  <c r="V126" i="9" s="1"/>
  <c r="S126" i="9" a="1"/>
  <c r="S126" i="9" s="1"/>
  <c r="AC126" i="9" s="1"/>
  <c r="X126" i="9" a="1"/>
  <c r="X126" i="9" s="1"/>
  <c r="Y126" i="9" a="1"/>
  <c r="Y126" i="9" s="1"/>
  <c r="V192" i="9" a="1"/>
  <c r="V192" i="9" s="1"/>
  <c r="AU192" i="9"/>
  <c r="U236" i="9" a="1"/>
  <c r="U236" i="9" s="1"/>
  <c r="AU236" i="9"/>
  <c r="AB236" i="9" a="1"/>
  <c r="AB236" i="9" s="1"/>
  <c r="X236" i="9" a="1"/>
  <c r="X236" i="9" s="1"/>
  <c r="V236" i="9" a="1"/>
  <c r="V236" i="9" s="1"/>
  <c r="Z236" i="9"/>
  <c r="T236" i="9" a="1"/>
  <c r="T236" i="9" s="1"/>
  <c r="Y236" i="9" a="1"/>
  <c r="Y236" i="9" s="1"/>
  <c r="S236" i="9" a="1"/>
  <c r="S236" i="9" s="1"/>
  <c r="AC236" i="9" s="1"/>
  <c r="V87" i="9" a="1"/>
  <c r="V87" i="9" s="1"/>
  <c r="AU87" i="9"/>
  <c r="AU60" i="9"/>
  <c r="V60" i="9" a="1"/>
  <c r="V60" i="9" s="1"/>
  <c r="AU253" i="9"/>
  <c r="Y253" i="9" a="1"/>
  <c r="Y253" i="9" s="1"/>
  <c r="U253" i="9" a="1"/>
  <c r="U253" i="9" s="1"/>
  <c r="V253" i="9" a="1"/>
  <c r="V253" i="9" s="1"/>
  <c r="AB253" i="9" a="1"/>
  <c r="AB253" i="9" s="1"/>
  <c r="T253" i="9" a="1"/>
  <c r="T253" i="9" s="1"/>
  <c r="X253" i="9" a="1"/>
  <c r="X253" i="9" s="1"/>
  <c r="Z253" i="9"/>
  <c r="S253" i="9" a="1"/>
  <c r="S253" i="9" s="1"/>
  <c r="AC253" i="9" s="1"/>
  <c r="AU90" i="9"/>
  <c r="V90" i="9" a="1"/>
  <c r="V90" i="9" s="1"/>
  <c r="V109" i="9" a="1"/>
  <c r="V109" i="9" s="1"/>
  <c r="AU109" i="9"/>
  <c r="AU93" i="9"/>
  <c r="V93" i="9" a="1"/>
  <c r="V93" i="9" s="1"/>
  <c r="V99" i="9" a="1"/>
  <c r="V99" i="9" s="1"/>
  <c r="AU99" i="9"/>
  <c r="AU149" i="9"/>
  <c r="V149" i="9" a="1"/>
  <c r="V149" i="9" s="1"/>
  <c r="AU185" i="9"/>
  <c r="V185" i="9" a="1"/>
  <c r="V185" i="9" s="1"/>
  <c r="AU106" i="9"/>
  <c r="V106" i="9" a="1"/>
  <c r="V106" i="9" s="1"/>
  <c r="V155" i="9" a="1"/>
  <c r="V155" i="9" s="1"/>
  <c r="AU155" i="9"/>
  <c r="T247" i="9" a="1"/>
  <c r="T247" i="9" s="1"/>
  <c r="U247" i="9" a="1"/>
  <c r="U247" i="9" s="1"/>
  <c r="V247" i="9" a="1"/>
  <c r="V247" i="9" s="1"/>
  <c r="Z247" i="9"/>
  <c r="X247" i="9" a="1"/>
  <c r="X247" i="9" s="1"/>
  <c r="Y247" i="9" a="1"/>
  <c r="Y247" i="9" s="1"/>
  <c r="AU247" i="9"/>
  <c r="S247" i="9" a="1"/>
  <c r="S247" i="9" s="1"/>
  <c r="AC247" i="9" s="1"/>
  <c r="AB247" i="9" a="1"/>
  <c r="AB247" i="9" s="1"/>
  <c r="AU51" i="9"/>
  <c r="AU166" i="9"/>
  <c r="Z166" i="9"/>
  <c r="U166" i="9" a="1"/>
  <c r="U166" i="9" s="1"/>
  <c r="AB166" i="9" a="1"/>
  <c r="AB166" i="9" s="1"/>
  <c r="S166" i="9" a="1"/>
  <c r="S166" i="9" s="1"/>
  <c r="AC166" i="9" s="1"/>
  <c r="Y166" i="9" a="1"/>
  <c r="Y166" i="9" s="1"/>
  <c r="T166" i="9" a="1"/>
  <c r="T166" i="9" s="1"/>
  <c r="X166" i="9" a="1"/>
  <c r="X166" i="9" s="1"/>
  <c r="V166" i="9" a="1"/>
  <c r="V166" i="9" s="1"/>
  <c r="S127" i="9" a="1"/>
  <c r="S127" i="9" s="1"/>
  <c r="AC127" i="9" s="1"/>
  <c r="Z127" i="9"/>
  <c r="Y127" i="9" a="1"/>
  <c r="Y127" i="9" s="1"/>
  <c r="AB127" i="9" a="1"/>
  <c r="AB127" i="9" s="1"/>
  <c r="X127" i="9" a="1"/>
  <c r="X127" i="9" s="1"/>
  <c r="U127" i="9" a="1"/>
  <c r="U127" i="9" s="1"/>
  <c r="AU127" i="9"/>
  <c r="V127" i="9" a="1"/>
  <c r="V127" i="9" s="1"/>
  <c r="T127" i="9" a="1"/>
  <c r="T127" i="9" s="1"/>
  <c r="Z191" i="9"/>
  <c r="V191" i="9" a="1"/>
  <c r="V191" i="9" s="1"/>
  <c r="X191" i="9" a="1"/>
  <c r="X191" i="9" s="1"/>
  <c r="AB191" i="9" a="1"/>
  <c r="AB191" i="9" s="1"/>
  <c r="S191" i="9" a="1"/>
  <c r="S191" i="9" s="1"/>
  <c r="AC191" i="9" s="1"/>
  <c r="AU191" i="9"/>
  <c r="T191" i="9" a="1"/>
  <c r="T191" i="9" s="1"/>
  <c r="Y191" i="9" a="1"/>
  <c r="Y191" i="9" s="1"/>
  <c r="U191" i="9" a="1"/>
  <c r="U191" i="9" s="1"/>
  <c r="S175" i="9" a="1"/>
  <c r="S175" i="9" s="1"/>
  <c r="AC175" i="9" s="1"/>
  <c r="AB175" i="9" a="1"/>
  <c r="AB175" i="9" s="1"/>
  <c r="X175" i="9" a="1"/>
  <c r="X175" i="9" s="1"/>
  <c r="U175" i="9" a="1"/>
  <c r="U175" i="9" s="1"/>
  <c r="T175" i="9" a="1"/>
  <c r="T175" i="9" s="1"/>
  <c r="Y175" i="9" a="1"/>
  <c r="Y175" i="9" s="1"/>
  <c r="Z175" i="9"/>
  <c r="V175" i="9" a="1"/>
  <c r="V175" i="9" s="1"/>
  <c r="AU175" i="9"/>
  <c r="V200" i="9" a="1"/>
  <c r="V200" i="9" s="1"/>
  <c r="AU200" i="9"/>
  <c r="AU85" i="9"/>
  <c r="V85" i="9" a="1"/>
  <c r="V85" i="9" s="1"/>
  <c r="T114" i="9" a="1"/>
  <c r="T114" i="9" s="1"/>
  <c r="Z114" i="9"/>
  <c r="AB114" i="9" a="1"/>
  <c r="AB114" i="9" s="1"/>
  <c r="X114" i="9" a="1"/>
  <c r="X114" i="9" s="1"/>
  <c r="S114" i="9" a="1"/>
  <c r="S114" i="9" s="1"/>
  <c r="AC114" i="9" s="1"/>
  <c r="V114" i="9" a="1"/>
  <c r="V114" i="9" s="1"/>
  <c r="Y114" i="9" a="1"/>
  <c r="Y114" i="9" s="1"/>
  <c r="U114" i="9" a="1"/>
  <c r="U114" i="9" s="1"/>
  <c r="AU114" i="9"/>
  <c r="Y83" i="9" a="1"/>
  <c r="Y83" i="9" s="1"/>
  <c r="AU83" i="9"/>
  <c r="T83" i="9" a="1"/>
  <c r="T83" i="9" s="1"/>
  <c r="Z83" i="9"/>
  <c r="V83" i="9" a="1"/>
  <c r="V83" i="9" s="1"/>
  <c r="AB83" i="9" a="1"/>
  <c r="AB83" i="9" s="1"/>
  <c r="X83" i="9" a="1"/>
  <c r="X83" i="9" s="1"/>
  <c r="U83" i="9" a="1"/>
  <c r="U83" i="9" s="1"/>
  <c r="S83" i="9" a="1"/>
  <c r="S83" i="9" s="1"/>
  <c r="AC83" i="9" s="1"/>
  <c r="S145" i="9" a="1"/>
  <c r="S145" i="9" s="1"/>
  <c r="AC145" i="9" s="1"/>
  <c r="T145" i="9" a="1"/>
  <c r="T145" i="9" s="1"/>
  <c r="X145" i="9" a="1"/>
  <c r="X145" i="9" s="1"/>
  <c r="AU145" i="9"/>
  <c r="AB145" i="9" a="1"/>
  <c r="AB145" i="9" s="1"/>
  <c r="U145" i="9" a="1"/>
  <c r="U145" i="9" s="1"/>
  <c r="Z145" i="9"/>
  <c r="V145" i="9" a="1"/>
  <c r="V145" i="9" s="1"/>
  <c r="Y145" i="9" a="1"/>
  <c r="Y145" i="9" s="1"/>
  <c r="V209" i="9" a="1"/>
  <c r="V209" i="9" s="1"/>
  <c r="S209" i="9" a="1"/>
  <c r="S209" i="9" s="1"/>
  <c r="AC209" i="9" s="1"/>
  <c r="X209" i="9" a="1"/>
  <c r="X209" i="9" s="1"/>
  <c r="Y209" i="9" a="1"/>
  <c r="Y209" i="9" s="1"/>
  <c r="AB209" i="9" a="1"/>
  <c r="AB209" i="9" s="1"/>
  <c r="U209" i="9" a="1"/>
  <c r="U209" i="9" s="1"/>
  <c r="AU209" i="9"/>
  <c r="T209" i="9" a="1"/>
  <c r="T209" i="9" s="1"/>
  <c r="Z209" i="9"/>
  <c r="T115" i="9" a="1"/>
  <c r="T115" i="9" s="1"/>
  <c r="Z115" i="9"/>
  <c r="Y115" i="9" a="1"/>
  <c r="Y115" i="9" s="1"/>
  <c r="AU115" i="9"/>
  <c r="S115" i="9" a="1"/>
  <c r="S115" i="9" s="1"/>
  <c r="AC115" i="9" s="1"/>
  <c r="X115" i="9" a="1"/>
  <c r="X115" i="9" s="1"/>
  <c r="U115" i="9" a="1"/>
  <c r="U115" i="9" s="1"/>
  <c r="AB115" i="9" a="1"/>
  <c r="AB115" i="9" s="1"/>
  <c r="V115" i="9" a="1"/>
  <c r="V115" i="9" s="1"/>
  <c r="S108" i="9" a="1"/>
  <c r="S108" i="9" s="1"/>
  <c r="AC108" i="9" s="1"/>
  <c r="U108" i="9" a="1"/>
  <c r="U108" i="9" s="1"/>
  <c r="Z108" i="9"/>
  <c r="V108" i="9" a="1"/>
  <c r="V108" i="9" s="1"/>
  <c r="T108" i="9" a="1"/>
  <c r="T108" i="9" s="1"/>
  <c r="X108" i="9" a="1"/>
  <c r="X108" i="9" s="1"/>
  <c r="Y108" i="9" a="1"/>
  <c r="Y108" i="9" s="1"/>
  <c r="AB108" i="9" a="1"/>
  <c r="AB108" i="9" s="1"/>
  <c r="AU108" i="9"/>
  <c r="S138" i="9" a="1"/>
  <c r="S138" i="9" s="1"/>
  <c r="AC138" i="9" s="1"/>
  <c r="T138" i="9" a="1"/>
  <c r="T138" i="9" s="1"/>
  <c r="X138" i="9" a="1"/>
  <c r="X138" i="9" s="1"/>
  <c r="Z138" i="9"/>
  <c r="Y138" i="9" a="1"/>
  <c r="Y138" i="9" s="1"/>
  <c r="U138" i="9" a="1"/>
  <c r="U138" i="9" s="1"/>
  <c r="AB138" i="9" a="1"/>
  <c r="AB138" i="9" s="1"/>
  <c r="V138" i="9" a="1"/>
  <c r="V138" i="9" s="1"/>
  <c r="AU138" i="9"/>
  <c r="AB196" i="9" a="1"/>
  <c r="AB196" i="9" s="1"/>
  <c r="AU196" i="9"/>
  <c r="U196" i="9" a="1"/>
  <c r="U196" i="9" s="1"/>
  <c r="S196" i="9" a="1"/>
  <c r="S196" i="9" s="1"/>
  <c r="AC196" i="9" s="1"/>
  <c r="Y196" i="9" a="1"/>
  <c r="Y196" i="9" s="1"/>
  <c r="Z196" i="9"/>
  <c r="V196" i="9" a="1"/>
  <c r="V196" i="9" s="1"/>
  <c r="X196" i="9" a="1"/>
  <c r="X196" i="9" s="1"/>
  <c r="T196" i="9" a="1"/>
  <c r="T196" i="9" s="1"/>
  <c r="Z186" i="9"/>
  <c r="X186" i="9" a="1"/>
  <c r="X186" i="9" s="1"/>
  <c r="U186" i="9" a="1"/>
  <c r="U186" i="9" s="1"/>
  <c r="AB186" i="9" a="1"/>
  <c r="AB186" i="9" s="1"/>
  <c r="S186" i="9" a="1"/>
  <c r="S186" i="9" s="1"/>
  <c r="AC186" i="9" s="1"/>
  <c r="V186" i="9" a="1"/>
  <c r="V186" i="9" s="1"/>
  <c r="T186" i="9" a="1"/>
  <c r="T186" i="9" s="1"/>
  <c r="Y186" i="9" a="1"/>
  <c r="Y186" i="9" s="1"/>
  <c r="AU186" i="9"/>
  <c r="AU246" i="9"/>
  <c r="AB246" i="9" a="1"/>
  <c r="AB246" i="9" s="1"/>
  <c r="Y246" i="9" a="1"/>
  <c r="Y246" i="9" s="1"/>
  <c r="Z246" i="9"/>
  <c r="X246" i="9" a="1"/>
  <c r="X246" i="9" s="1"/>
  <c r="S246" i="9" a="1"/>
  <c r="S246" i="9" s="1"/>
  <c r="AC246" i="9" s="1"/>
  <c r="T246" i="9" a="1"/>
  <c r="T246" i="9" s="1"/>
  <c r="V246" i="9" a="1"/>
  <c r="V246" i="9" s="1"/>
  <c r="U246" i="9" a="1"/>
  <c r="U246" i="9" s="1"/>
  <c r="Y134" i="9" a="1"/>
  <c r="Y134" i="9" s="1"/>
  <c r="X134" i="9" a="1"/>
  <c r="X134" i="9" s="1"/>
  <c r="Z134" i="9"/>
  <c r="AU134" i="9"/>
  <c r="S134" i="9" a="1"/>
  <c r="S134" i="9" s="1"/>
  <c r="AC134" i="9" s="1"/>
  <c r="T134" i="9" a="1"/>
  <c r="T134" i="9" s="1"/>
  <c r="U134" i="9" a="1"/>
  <c r="U134" i="9" s="1"/>
  <c r="AB134" i="9" a="1"/>
  <c r="AB134" i="9" s="1"/>
  <c r="V134" i="9" a="1"/>
  <c r="V134" i="9" s="1"/>
  <c r="X184" i="9" a="1"/>
  <c r="X184" i="9" s="1"/>
  <c r="Z184" i="9"/>
  <c r="V184" i="9" a="1"/>
  <c r="V184" i="9" s="1"/>
  <c r="AU184" i="9"/>
  <c r="AB184" i="9" a="1"/>
  <c r="AB184" i="9" s="1"/>
  <c r="S184" i="9" a="1"/>
  <c r="S184" i="9" s="1"/>
  <c r="AC184" i="9" s="1"/>
  <c r="Y184" i="9" a="1"/>
  <c r="Y184" i="9" s="1"/>
  <c r="U184" i="9" a="1"/>
  <c r="U184" i="9" s="1"/>
  <c r="T184" i="9" a="1"/>
  <c r="T184" i="9" s="1"/>
  <c r="AU64" i="9"/>
  <c r="U64" i="9" a="1"/>
  <c r="U64" i="9" s="1"/>
  <c r="T64" i="9" a="1"/>
  <c r="T64" i="9" s="1"/>
  <c r="X64" i="9" a="1"/>
  <c r="X64" i="9" s="1"/>
  <c r="S64" i="9" a="1"/>
  <c r="S64" i="9" s="1"/>
  <c r="AC64" i="9" s="1"/>
  <c r="V64" i="9" a="1"/>
  <c r="V64" i="9" s="1"/>
  <c r="Y64" i="9" a="1"/>
  <c r="Y64" i="9" s="1"/>
  <c r="Z64" i="9"/>
  <c r="AB64" i="9" a="1"/>
  <c r="AB64" i="9" s="1"/>
  <c r="S231" i="9" a="1"/>
  <c r="S231" i="9" s="1"/>
  <c r="AC231" i="9" s="1"/>
  <c r="X231" i="9" a="1"/>
  <c r="X231" i="9" s="1"/>
  <c r="Z231" i="9"/>
  <c r="AU231" i="9"/>
  <c r="Y231" i="9" a="1"/>
  <c r="Y231" i="9" s="1"/>
  <c r="AB231" i="9" a="1"/>
  <c r="AB231" i="9" s="1"/>
  <c r="T231" i="9" a="1"/>
  <c r="T231" i="9" s="1"/>
  <c r="U231" i="9" a="1"/>
  <c r="U231" i="9" s="1"/>
  <c r="V231" i="9" a="1"/>
  <c r="V231" i="9" s="1"/>
  <c r="AU46" i="9"/>
  <c r="Y54" i="9" a="1"/>
  <c r="V54" i="9" a="1"/>
  <c r="AB54" i="9" a="1"/>
  <c r="T54" i="9" a="1"/>
  <c r="S54" i="9" a="1"/>
  <c r="X54" i="9" a="1"/>
  <c r="U54" i="9" a="1"/>
  <c r="Y52" i="9" a="1"/>
  <c r="S53" i="9" a="1"/>
  <c r="AB53" i="9" a="1"/>
  <c r="T52" i="9" a="1"/>
  <c r="U52" i="9" a="1"/>
  <c r="Y53" i="9" a="1"/>
  <c r="X52" i="9" a="1"/>
  <c r="T53" i="9" a="1"/>
  <c r="V52" i="9" a="1"/>
  <c r="U53" i="9" a="1"/>
  <c r="AB52" i="9" a="1"/>
  <c r="V53" i="9" a="1"/>
  <c r="S52" i="9" a="1"/>
  <c r="X53" i="9" a="1"/>
  <c r="V51" i="9" a="1"/>
  <c r="S50" i="9" a="1"/>
  <c r="AB50" i="9" a="1"/>
  <c r="T50" i="9" a="1"/>
  <c r="X50" i="9" a="1"/>
  <c r="U50" i="9" a="1"/>
  <c r="Y50" i="9" a="1"/>
  <c r="V50" i="9" a="1"/>
  <c r="AB49" i="9" a="1"/>
  <c r="Y49" i="9" a="1"/>
  <c r="T49" i="9" a="1"/>
  <c r="V49" i="9" a="1"/>
  <c r="X49" i="9" a="1"/>
  <c r="U49" i="9" a="1"/>
  <c r="S49" i="9" a="1"/>
  <c r="U31" i="9" a="1"/>
  <c r="S17" i="9" a="1"/>
  <c r="T5" i="9" a="1"/>
  <c r="U47" i="9" a="1"/>
  <c r="S37" i="9" a="1"/>
  <c r="U37" i="9" a="1"/>
  <c r="X12" i="9" a="1"/>
  <c r="U45" i="9" a="1"/>
  <c r="X33" i="9" a="1"/>
  <c r="Y32" i="9" a="1"/>
  <c r="Y38" i="9" a="1"/>
  <c r="T11" i="9" a="1"/>
  <c r="T9" i="9" a="1"/>
  <c r="V2" i="9" a="1"/>
  <c r="X28" i="9" a="1"/>
  <c r="T21" i="9" a="1"/>
  <c r="T23" i="9" a="1"/>
  <c r="AB27" i="9" a="1"/>
  <c r="S25" i="9" a="1"/>
  <c r="S39" i="9" a="1"/>
  <c r="Y10" i="9" a="1"/>
  <c r="T14" i="9" a="1"/>
  <c r="Y14" i="9" a="1"/>
  <c r="U19" i="9" a="1"/>
  <c r="V7" i="9" a="1"/>
  <c r="Y26" i="9" a="1"/>
  <c r="Y1" i="9" a="1"/>
  <c r="X1" i="9" a="1"/>
  <c r="U34" i="9" a="1"/>
  <c r="V15" i="9" a="1"/>
  <c r="V43" i="9" a="1"/>
  <c r="Y41" i="9" a="1"/>
  <c r="V46" i="9" a="1"/>
  <c r="X46" i="9" a="1"/>
  <c r="S9" i="9" a="1"/>
  <c r="V35" i="9" a="1"/>
  <c r="V28" i="9" a="1"/>
  <c r="Y8" i="9" a="1"/>
  <c r="V48" i="9" a="1"/>
  <c r="S3" i="9" a="1"/>
  <c r="Y16" i="9" a="1"/>
  <c r="Y6" i="9" a="1"/>
  <c r="X17" i="9" a="1"/>
  <c r="S20" i="9" a="1"/>
  <c r="V44" i="9" a="1"/>
  <c r="V5" i="9" a="1"/>
  <c r="X5" i="9" a="1"/>
  <c r="AB47" i="9" a="1"/>
  <c r="T37" i="9" a="1"/>
  <c r="Y12" i="9" a="1"/>
  <c r="Y45" i="9" a="1"/>
  <c r="V33" i="9" a="1"/>
  <c r="X38" i="9" a="1"/>
  <c r="X9" i="9" a="1"/>
  <c r="U35" i="9" a="1"/>
  <c r="U21" i="9" a="1"/>
  <c r="Y23" i="9" a="1"/>
  <c r="S8" i="9" a="1"/>
  <c r="T27" i="9" a="1"/>
  <c r="Y25" i="9" a="1"/>
  <c r="S40" i="9" a="1"/>
  <c r="V18" i="9" a="1"/>
  <c r="AB36" i="9" a="1"/>
  <c r="U14" i="9" a="1"/>
  <c r="S19" i="9" a="1"/>
  <c r="AB19" i="9" a="1"/>
  <c r="X3" i="9" a="1"/>
  <c r="S26" i="9" a="1"/>
  <c r="AB1" i="9" a="1"/>
  <c r="AB16" i="9" a="1"/>
  <c r="T13" i="9" a="1"/>
  <c r="U15" i="9" a="1"/>
  <c r="S15" i="9" a="1"/>
  <c r="X43" i="9" a="1"/>
  <c r="V41" i="9" a="1"/>
  <c r="AB41" i="9" a="1"/>
  <c r="Y46" i="9" a="1"/>
  <c r="T35" i="9" a="1"/>
  <c r="S10" i="9" a="1"/>
  <c r="Y7" i="9" a="1"/>
  <c r="AB15" i="9" a="1"/>
  <c r="X4" i="9" a="1"/>
  <c r="AB31" i="9" a="1"/>
  <c r="V20" i="9" a="1"/>
  <c r="X44" i="9" a="1"/>
  <c r="S5" i="9" a="1"/>
  <c r="T22" i="9" a="1"/>
  <c r="V22" i="9" a="1"/>
  <c r="S45" i="9" a="1"/>
  <c r="U33" i="9" a="1"/>
  <c r="S32" i="9" a="1"/>
  <c r="AB32" i="9" a="1"/>
  <c r="U38" i="9" a="1"/>
  <c r="Y11" i="9" a="1"/>
  <c r="Y35" i="9" a="1"/>
  <c r="Y2" i="9" a="1"/>
  <c r="X21" i="9" a="1"/>
  <c r="T8" i="9" a="1"/>
  <c r="X27" i="9" a="1"/>
  <c r="Y24" i="9" a="1"/>
  <c r="U25" i="9" a="1"/>
  <c r="V40" i="9" a="1"/>
  <c r="Y39" i="9" a="1"/>
  <c r="AB14" i="9" a="1"/>
  <c r="Y19" i="9" a="1"/>
  <c r="U7" i="9" a="1"/>
  <c r="V1" i="9" a="1"/>
  <c r="U16" i="9" a="1"/>
  <c r="T6" i="9" a="1"/>
  <c r="X6" i="9" a="1"/>
  <c r="AB13" i="9" a="1"/>
  <c r="X15" i="9" a="1"/>
  <c r="V4" i="9" a="1"/>
  <c r="T43" i="9" a="1"/>
  <c r="T31" i="9" a="1"/>
  <c r="U17" i="9" a="1"/>
  <c r="X20" i="9" a="1"/>
  <c r="Y5" i="9" a="1"/>
  <c r="S22" i="9" a="1"/>
  <c r="V45" i="9" a="1"/>
  <c r="AB33" i="9" a="1"/>
  <c r="X32" i="9" a="1"/>
  <c r="T32" i="9" a="1"/>
  <c r="U11" i="9" a="1"/>
  <c r="X11" i="9" a="1"/>
  <c r="AB35" i="9" a="1"/>
  <c r="S21" i="9" a="1"/>
  <c r="X23" i="9" a="1"/>
  <c r="X8" i="9" a="1"/>
  <c r="U27" i="9" a="1"/>
  <c r="AB24" i="9" a="1"/>
  <c r="T25" i="9" a="1"/>
  <c r="Y18" i="9" a="1"/>
  <c r="U36" i="9" a="1"/>
  <c r="V14" i="9" a="1"/>
  <c r="T7" i="9" a="1"/>
  <c r="AB34" i="9" a="1"/>
  <c r="S6" i="9" a="1"/>
  <c r="X13" i="9" a="1"/>
  <c r="Y15" i="9" a="1"/>
  <c r="Y4" i="9" a="1"/>
  <c r="AB43" i="9" a="1"/>
  <c r="S43" i="9" a="1"/>
  <c r="S41" i="9" a="1"/>
  <c r="U46" i="9" a="1"/>
  <c r="Y20" i="9" a="1"/>
  <c r="T44" i="9" a="1"/>
  <c r="V47" i="9" a="1"/>
  <c r="T45" i="9" a="1"/>
  <c r="V32" i="9" a="1"/>
  <c r="T38" i="9" a="1"/>
  <c r="U28" i="9" a="1"/>
  <c r="AB8" i="9" a="1"/>
  <c r="AB39" i="9" a="1"/>
  <c r="Y36" i="9" a="1"/>
  <c r="T26" i="9" a="1"/>
  <c r="Y43" i="9" a="1"/>
  <c r="T46" i="9" a="1"/>
  <c r="U43" i="9" a="1"/>
  <c r="Y31" i="9" a="1"/>
  <c r="X31" i="9" a="1"/>
  <c r="V17" i="9" a="1"/>
  <c r="Y17" i="9" a="1"/>
  <c r="T47" i="9" a="1"/>
  <c r="V37" i="9" a="1"/>
  <c r="S12" i="9" a="1"/>
  <c r="AB22" i="9" a="1"/>
  <c r="AB45" i="9" a="1"/>
  <c r="S33" i="9" a="1"/>
  <c r="U32" i="9" a="1"/>
  <c r="S11" i="9" a="1"/>
  <c r="S35" i="9" a="1"/>
  <c r="AB28" i="9" a="1"/>
  <c r="V21" i="9" a="1"/>
  <c r="AB21" i="9" a="1"/>
  <c r="U23" i="9" a="1"/>
  <c r="U8" i="9" a="1"/>
  <c r="Y27" i="9" a="1"/>
  <c r="T24" i="9" a="1"/>
  <c r="V25" i="9" a="1"/>
  <c r="V39" i="9" a="1"/>
  <c r="X39" i="9" a="1"/>
  <c r="V10" i="9" a="1"/>
  <c r="V36" i="9" a="1"/>
  <c r="V19" i="9" a="1"/>
  <c r="V26" i="9" a="1"/>
  <c r="AB26" i="9" a="1"/>
  <c r="T1" i="9" a="1"/>
  <c r="T16" i="9" a="1"/>
  <c r="U6" i="9" a="1"/>
  <c r="V13" i="9" a="1"/>
  <c r="U13" i="9" a="1"/>
  <c r="AB4" i="9" a="1"/>
  <c r="AB46" i="9" a="1"/>
  <c r="S42" i="9" a="1"/>
  <c r="U44" i="9" a="1"/>
  <c r="S47" i="9" a="1"/>
  <c r="AB37" i="9" a="1"/>
  <c r="X22" i="9" a="1"/>
  <c r="T33" i="9" a="1"/>
  <c r="V38" i="9" a="1"/>
  <c r="Y21" i="9" a="1"/>
  <c r="S24" i="9" a="1"/>
  <c r="U39" i="9" a="1"/>
  <c r="S7" i="9" a="1"/>
  <c r="X34" i="9" a="1"/>
  <c r="X41" i="9" a="1"/>
  <c r="V42" i="9" a="1"/>
  <c r="V31" i="9" a="1"/>
  <c r="T17" i="9" a="1"/>
  <c r="Y44" i="9" a="1"/>
  <c r="AB44" i="9" a="1"/>
  <c r="AB5" i="9" a="1"/>
  <c r="V30" i="9" a="1"/>
  <c r="Y47" i="9" a="1"/>
  <c r="X37" i="9" a="1"/>
  <c r="U22" i="9" a="1"/>
  <c r="Y33" i="9" a="1"/>
  <c r="S38" i="9" a="1"/>
  <c r="V11" i="9" a="1"/>
  <c r="V9" i="9" a="1"/>
  <c r="S2" i="9" a="1"/>
  <c r="S28" i="9" a="1"/>
  <c r="T28" i="9" a="1"/>
  <c r="S23" i="9" a="1"/>
  <c r="V8" i="9" a="1"/>
  <c r="V27" i="9" a="1"/>
  <c r="U24" i="9" a="1"/>
  <c r="X24" i="9" a="1"/>
  <c r="X25" i="9" a="1"/>
  <c r="V29" i="9" a="1"/>
  <c r="T39" i="9" a="1"/>
  <c r="X36" i="9" a="1"/>
  <c r="S36" i="9" a="1"/>
  <c r="X19" i="9" a="1"/>
  <c r="AB7" i="9" a="1"/>
  <c r="V3" i="9" a="1"/>
  <c r="X26" i="9" a="1"/>
  <c r="S1" i="9" a="1"/>
  <c r="X16" i="9" a="1"/>
  <c r="V34" i="9" a="1"/>
  <c r="T34" i="9" a="1"/>
  <c r="AB6" i="9" a="1"/>
  <c r="S13" i="9" a="1"/>
  <c r="U4" i="9" a="1"/>
  <c r="T4" i="9" a="1"/>
  <c r="T41" i="9" a="1"/>
  <c r="S46" i="9" a="1"/>
  <c r="Y22" i="9" a="1"/>
  <c r="U9" i="9" a="1"/>
  <c r="X35" i="9" a="1"/>
  <c r="Y28" i="9" a="1"/>
  <c r="V24" i="9" a="1"/>
  <c r="S29" i="9" a="1"/>
  <c r="S18" i="9" a="1"/>
  <c r="S14" i="9" a="1"/>
  <c r="X14" i="9" a="1"/>
  <c r="T19" i="9" a="1"/>
  <c r="U26" i="9" a="1"/>
  <c r="U1" i="9" a="1"/>
  <c r="V16" i="9" a="1"/>
  <c r="S16" i="9" a="1"/>
  <c r="S34" i="9" a="1"/>
  <c r="Y34" i="9" a="1"/>
  <c r="V6" i="9" a="1"/>
  <c r="Y13" i="9" a="1"/>
  <c r="T15" i="9" a="1"/>
  <c r="S31" i="9" a="1"/>
  <c r="AB17" i="9" a="1"/>
  <c r="S44" i="9" a="1"/>
  <c r="U5" i="9" a="1"/>
  <c r="S30" i="9" a="1"/>
  <c r="X47" i="9" a="1"/>
  <c r="Y37" i="9" a="1"/>
  <c r="V12" i="9" a="1"/>
  <c r="X45" i="9" a="1"/>
  <c r="AB38" i="9" a="1"/>
  <c r="AB11" i="9" a="1"/>
  <c r="AB23" i="9" a="1"/>
  <c r="V23" i="9" a="1"/>
  <c r="S27" i="9" a="1"/>
  <c r="AB25" i="9" a="1"/>
  <c r="T36" i="9" a="1"/>
  <c r="X7" i="9" a="1"/>
  <c r="S4" i="9" a="1"/>
  <c r="U41" i="9" a="1"/>
  <c r="U54" i="9" l="1"/>
  <c r="X54" i="9"/>
  <c r="S54" i="9"/>
  <c r="AC54" i="9" s="1"/>
  <c r="T54" i="9"/>
  <c r="AB54" i="9"/>
  <c r="V54" i="9"/>
  <c r="Y54" i="9"/>
  <c r="Z54" i="9" s="1"/>
  <c r="X53" i="9"/>
  <c r="S52" i="9"/>
  <c r="AC52" i="9" s="1"/>
  <c r="V53" i="9"/>
  <c r="AB52" i="9"/>
  <c r="U53" i="9"/>
  <c r="V52" i="9"/>
  <c r="T53" i="9"/>
  <c r="X52" i="9"/>
  <c r="Y53" i="9"/>
  <c r="Z53" i="9" s="1"/>
  <c r="U52" i="9"/>
  <c r="T52" i="9"/>
  <c r="AB53" i="9"/>
  <c r="S53" i="9"/>
  <c r="AC53" i="9" s="1"/>
  <c r="Y52" i="9"/>
  <c r="Z52" i="9" s="1"/>
  <c r="V51" i="9"/>
  <c r="V50" i="9"/>
  <c r="Y50" i="9"/>
  <c r="Z50" i="9" s="1"/>
  <c r="U50" i="9"/>
  <c r="X50" i="9"/>
  <c r="T50" i="9"/>
  <c r="AB50" i="9"/>
  <c r="S50" i="9"/>
  <c r="AC50" i="9" s="1"/>
  <c r="S49" i="9"/>
  <c r="AC49" i="9" s="1"/>
  <c r="U49" i="9"/>
  <c r="X49" i="9"/>
  <c r="V49" i="9"/>
  <c r="T49" i="9"/>
  <c r="Y49" i="9"/>
  <c r="Z49" i="9" s="1"/>
  <c r="AB49" i="9"/>
  <c r="AA181" i="9"/>
  <c r="AA135" i="9"/>
  <c r="AA179" i="9"/>
  <c r="AA88" i="9"/>
  <c r="AA114" i="9"/>
  <c r="AA235" i="9"/>
  <c r="AA183" i="9"/>
  <c r="AA247" i="9"/>
  <c r="AA102" i="9"/>
  <c r="AA170" i="9"/>
  <c r="AA180" i="9"/>
  <c r="AA158" i="9"/>
  <c r="AA160" i="9"/>
  <c r="AA98" i="9"/>
  <c r="AA165" i="9"/>
  <c r="AA263" i="9"/>
  <c r="AA72" i="9"/>
  <c r="AA251" i="9"/>
  <c r="AA177" i="9"/>
  <c r="AA130" i="9"/>
  <c r="AA75" i="9"/>
  <c r="AA232" i="9"/>
  <c r="AA216" i="9"/>
  <c r="AA239" i="9"/>
  <c r="AA110" i="9"/>
  <c r="AA186" i="9"/>
  <c r="AA82" i="9"/>
  <c r="AA68" i="9"/>
  <c r="AA219" i="9"/>
  <c r="AA210" i="9"/>
  <c r="AA164" i="9"/>
  <c r="AA184" i="9"/>
  <c r="AA223" i="9"/>
  <c r="AA225" i="9"/>
  <c r="AA233" i="9"/>
  <c r="AA250" i="9"/>
  <c r="AA217" i="9"/>
  <c r="AA111" i="9"/>
  <c r="AA61" i="9"/>
  <c r="AA63" i="9"/>
  <c r="AA147" i="9"/>
  <c r="AA206" i="9"/>
  <c r="AA73" i="9"/>
  <c r="AA122" i="9"/>
  <c r="AA198" i="9"/>
  <c r="AA74" i="9"/>
  <c r="AA86" i="9"/>
  <c r="AA128" i="9"/>
  <c r="AA101" i="9"/>
  <c r="AA55" i="9"/>
  <c r="AA121" i="9"/>
  <c r="AA100" i="9"/>
  <c r="AA62" i="9"/>
  <c r="AA127" i="9"/>
  <c r="AA249" i="9"/>
  <c r="AA188" i="9"/>
  <c r="AA254" i="9"/>
  <c r="AA116" i="9"/>
  <c r="AA148" i="9"/>
  <c r="AA64" i="9"/>
  <c r="AA231" i="9"/>
  <c r="AA151" i="9"/>
  <c r="AA242" i="9"/>
  <c r="AA208" i="9"/>
  <c r="AA81" i="9"/>
  <c r="AA115" i="9"/>
  <c r="AA83" i="9"/>
  <c r="AA89" i="9"/>
  <c r="AA182" i="9"/>
  <c r="AA237" i="9"/>
  <c r="AA265" i="9"/>
  <c r="AA175" i="9"/>
  <c r="AA131" i="9"/>
  <c r="AA236" i="9"/>
  <c r="AA159" i="9"/>
  <c r="AA204" i="9"/>
  <c r="AA197" i="9"/>
  <c r="AA168" i="9"/>
  <c r="U41" i="9"/>
  <c r="S4" i="9"/>
  <c r="AC4" i="9" s="1"/>
  <c r="AU4" i="9" s="1"/>
  <c r="X7" i="9"/>
  <c r="T36" i="9"/>
  <c r="AB25" i="9"/>
  <c r="S27" i="9"/>
  <c r="AC27" i="9" s="1"/>
  <c r="AU27" i="9" s="1"/>
  <c r="V23" i="9"/>
  <c r="AB23" i="9"/>
  <c r="AB11" i="9"/>
  <c r="AB38" i="9"/>
  <c r="X45" i="9"/>
  <c r="V12" i="9"/>
  <c r="Y37" i="9"/>
  <c r="X47" i="9"/>
  <c r="S30" i="9"/>
  <c r="AC30" i="9" s="1"/>
  <c r="AU30" i="9" s="1"/>
  <c r="U5" i="9"/>
  <c r="S44" i="9"/>
  <c r="AC44" i="9" s="1"/>
  <c r="AU44" i="9" s="1"/>
  <c r="AB17" i="9"/>
  <c r="S31" i="9"/>
  <c r="AC31" i="9" s="1"/>
  <c r="AU31" i="9" s="1"/>
  <c r="T15" i="9"/>
  <c r="Y13" i="9"/>
  <c r="V6" i="9"/>
  <c r="Y34" i="9"/>
  <c r="S34" i="9"/>
  <c r="AC34" i="9" s="1"/>
  <c r="AU34" i="9" s="1"/>
  <c r="S16" i="9"/>
  <c r="AC16" i="9" s="1"/>
  <c r="AU16" i="9" s="1"/>
  <c r="V16" i="9"/>
  <c r="U1" i="9"/>
  <c r="U26" i="9"/>
  <c r="T19" i="9"/>
  <c r="X14" i="9"/>
  <c r="S14" i="9"/>
  <c r="AC14" i="9" s="1"/>
  <c r="AU14" i="9" s="1"/>
  <c r="S18" i="9"/>
  <c r="AC18" i="9" s="1"/>
  <c r="AU18" i="9" s="1"/>
  <c r="S29" i="9"/>
  <c r="AC29" i="9" s="1"/>
  <c r="AU29" i="9" s="1"/>
  <c r="V24" i="9"/>
  <c r="Y28" i="9"/>
  <c r="X35" i="9"/>
  <c r="U9" i="9"/>
  <c r="Y22" i="9"/>
  <c r="S46" i="9"/>
  <c r="AC46" i="9" s="1"/>
  <c r="T41" i="9"/>
  <c r="T4" i="9"/>
  <c r="U4" i="9"/>
  <c r="S13" i="9"/>
  <c r="AC13" i="9" s="1"/>
  <c r="AU13" i="9" s="1"/>
  <c r="AB6" i="9"/>
  <c r="T34" i="9"/>
  <c r="V34" i="9"/>
  <c r="X16" i="9"/>
  <c r="S1" i="9"/>
  <c r="AC1" i="9" s="1"/>
  <c r="AU1" i="9" s="1"/>
  <c r="X26" i="9"/>
  <c r="V3" i="9"/>
  <c r="AB7" i="9"/>
  <c r="X19" i="9"/>
  <c r="S36" i="9"/>
  <c r="AC36" i="9" s="1"/>
  <c r="AU36" i="9" s="1"/>
  <c r="X36" i="9"/>
  <c r="T39" i="9"/>
  <c r="V29" i="9"/>
  <c r="X25" i="9"/>
  <c r="X24" i="9"/>
  <c r="U24" i="9"/>
  <c r="V27" i="9"/>
  <c r="V8" i="9"/>
  <c r="S23" i="9"/>
  <c r="AC23" i="9" s="1"/>
  <c r="AU23" i="9" s="1"/>
  <c r="T28" i="9"/>
  <c r="S28" i="9"/>
  <c r="AC28" i="9" s="1"/>
  <c r="AU28" i="9" s="1"/>
  <c r="S2" i="9"/>
  <c r="AC2" i="9" s="1"/>
  <c r="AU2" i="9" s="1"/>
  <c r="V9" i="9"/>
  <c r="V11" i="9"/>
  <c r="S38" i="9"/>
  <c r="AC38" i="9" s="1"/>
  <c r="AU38" i="9" s="1"/>
  <c r="Y33" i="9"/>
  <c r="U22" i="9"/>
  <c r="X37" i="9"/>
  <c r="Y47" i="9"/>
  <c r="V30" i="9"/>
  <c r="AB5" i="9"/>
  <c r="AB44" i="9"/>
  <c r="Y44" i="9"/>
  <c r="T17" i="9"/>
  <c r="V31" i="9"/>
  <c r="V42" i="9"/>
  <c r="X41" i="9"/>
  <c r="X34" i="9"/>
  <c r="S7" i="9"/>
  <c r="AC7" i="9" s="1"/>
  <c r="AU7" i="9" s="1"/>
  <c r="U39" i="9"/>
  <c r="S24" i="9"/>
  <c r="AC24" i="9" s="1"/>
  <c r="AU24" i="9" s="1"/>
  <c r="Y21" i="9"/>
  <c r="V38" i="9"/>
  <c r="T33" i="9"/>
  <c r="X22" i="9"/>
  <c r="AB37" i="9"/>
  <c r="S47" i="9"/>
  <c r="AC47" i="9" s="1"/>
  <c r="U44" i="9"/>
  <c r="S42" i="9"/>
  <c r="AC42" i="9" s="1"/>
  <c r="AU42" i="9" s="1"/>
  <c r="AB46" i="9"/>
  <c r="AB4" i="9"/>
  <c r="U13" i="9"/>
  <c r="V13" i="9"/>
  <c r="U6" i="9"/>
  <c r="T16" i="9"/>
  <c r="T1" i="9"/>
  <c r="AB26" i="9"/>
  <c r="V26" i="9"/>
  <c r="V19" i="9"/>
  <c r="V36" i="9"/>
  <c r="V10" i="9"/>
  <c r="X39" i="9"/>
  <c r="V39" i="9"/>
  <c r="V25" i="9"/>
  <c r="T24" i="9"/>
  <c r="Y27" i="9"/>
  <c r="U8" i="9"/>
  <c r="U23" i="9"/>
  <c r="AB21" i="9"/>
  <c r="V21" i="9"/>
  <c r="AB28" i="9"/>
  <c r="S35" i="9"/>
  <c r="AC35" i="9" s="1"/>
  <c r="AU35" i="9" s="1"/>
  <c r="S11" i="9"/>
  <c r="AC11" i="9" s="1"/>
  <c r="AU11" i="9" s="1"/>
  <c r="U32" i="9"/>
  <c r="S33" i="9"/>
  <c r="AC33" i="9" s="1"/>
  <c r="AU33" i="9" s="1"/>
  <c r="AB45" i="9"/>
  <c r="AB22" i="9"/>
  <c r="S12" i="9"/>
  <c r="AC12" i="9" s="1"/>
  <c r="AU12" i="9" s="1"/>
  <c r="V37" i="9"/>
  <c r="T47" i="9"/>
  <c r="Y17" i="9"/>
  <c r="V17" i="9"/>
  <c r="X31" i="9"/>
  <c r="Y31" i="9"/>
  <c r="U43" i="9"/>
  <c r="T46" i="9"/>
  <c r="Y43" i="9"/>
  <c r="T26" i="9"/>
  <c r="Y36" i="9"/>
  <c r="AB39" i="9"/>
  <c r="AB8" i="9"/>
  <c r="U28" i="9"/>
  <c r="T38" i="9"/>
  <c r="V32" i="9"/>
  <c r="T45" i="9"/>
  <c r="V47" i="9"/>
  <c r="T44" i="9"/>
  <c r="Y20" i="9"/>
  <c r="U46" i="9"/>
  <c r="S41" i="9"/>
  <c r="AC41" i="9" s="1"/>
  <c r="AU41" i="9" s="1"/>
  <c r="S43" i="9"/>
  <c r="AC43" i="9" s="1"/>
  <c r="AU43" i="9" s="1"/>
  <c r="AB43" i="9"/>
  <c r="Y4" i="9"/>
  <c r="Y15" i="9"/>
  <c r="X13" i="9"/>
  <c r="S6" i="9"/>
  <c r="AC6" i="9" s="1"/>
  <c r="AU6" i="9" s="1"/>
  <c r="AB34" i="9"/>
  <c r="T7" i="9"/>
  <c r="V14" i="9"/>
  <c r="U36" i="9"/>
  <c r="Y18" i="9"/>
  <c r="T25" i="9"/>
  <c r="AB24" i="9"/>
  <c r="U27" i="9"/>
  <c r="X8" i="9"/>
  <c r="X23" i="9"/>
  <c r="S21" i="9"/>
  <c r="AC21" i="9" s="1"/>
  <c r="AU21" i="9" s="1"/>
  <c r="AB35" i="9"/>
  <c r="X11" i="9"/>
  <c r="U11" i="9"/>
  <c r="T32" i="9"/>
  <c r="X32" i="9"/>
  <c r="AB33" i="9"/>
  <c r="V45" i="9"/>
  <c r="S22" i="9"/>
  <c r="AC22" i="9" s="1"/>
  <c r="AU22" i="9" s="1"/>
  <c r="Y5" i="9"/>
  <c r="X20" i="9"/>
  <c r="U17" i="9"/>
  <c r="T31" i="9"/>
  <c r="T43" i="9"/>
  <c r="V4" i="9"/>
  <c r="X15" i="9"/>
  <c r="AB13" i="9"/>
  <c r="X6" i="9"/>
  <c r="T6" i="9"/>
  <c r="U16" i="9"/>
  <c r="V1" i="9"/>
  <c r="U7" i="9"/>
  <c r="Y19" i="9"/>
  <c r="AB14" i="9"/>
  <c r="Y39" i="9"/>
  <c r="V40" i="9"/>
  <c r="U25" i="9"/>
  <c r="Y24" i="9"/>
  <c r="X27" i="9"/>
  <c r="T8" i="9"/>
  <c r="X21" i="9"/>
  <c r="Y2" i="9"/>
  <c r="Y35" i="9"/>
  <c r="Y11" i="9"/>
  <c r="U38" i="9"/>
  <c r="AB32" i="9"/>
  <c r="S32" i="9"/>
  <c r="AC32" i="9" s="1"/>
  <c r="AU32" i="9" s="1"/>
  <c r="U33" i="9"/>
  <c r="S45" i="9"/>
  <c r="AC45" i="9" s="1"/>
  <c r="V22" i="9"/>
  <c r="T22" i="9"/>
  <c r="S5" i="9"/>
  <c r="AC5" i="9" s="1"/>
  <c r="AU5" i="9" s="1"/>
  <c r="X44" i="9"/>
  <c r="V20" i="9"/>
  <c r="AB31" i="9"/>
  <c r="X4" i="9"/>
  <c r="AB15" i="9"/>
  <c r="Y7" i="9"/>
  <c r="S10" i="9"/>
  <c r="AC10" i="9" s="1"/>
  <c r="AU10" i="9" s="1"/>
  <c r="T35" i="9"/>
  <c r="Y46" i="9"/>
  <c r="AB41" i="9"/>
  <c r="V41" i="9"/>
  <c r="X43" i="9"/>
  <c r="S15" i="9"/>
  <c r="AC15" i="9" s="1"/>
  <c r="AU15" i="9" s="1"/>
  <c r="U15" i="9"/>
  <c r="T13" i="9"/>
  <c r="AB16" i="9"/>
  <c r="AB1" i="9"/>
  <c r="S26" i="9"/>
  <c r="AC26" i="9" s="1"/>
  <c r="AU26" i="9" s="1"/>
  <c r="X3" i="9"/>
  <c r="AB19" i="9"/>
  <c r="S19" i="9"/>
  <c r="AC19" i="9" s="1"/>
  <c r="AU19" i="9" s="1"/>
  <c r="U14" i="9"/>
  <c r="AB36" i="9"/>
  <c r="V18" i="9"/>
  <c r="S40" i="9"/>
  <c r="AC40" i="9" s="1"/>
  <c r="AU40" i="9" s="1"/>
  <c r="Y25" i="9"/>
  <c r="T27" i="9"/>
  <c r="S8" i="9"/>
  <c r="AC8" i="9" s="1"/>
  <c r="AU8" i="9" s="1"/>
  <c r="Y23" i="9"/>
  <c r="U21" i="9"/>
  <c r="U35" i="9"/>
  <c r="X9" i="9"/>
  <c r="X38" i="9"/>
  <c r="V33" i="9"/>
  <c r="Y45" i="9"/>
  <c r="Y12" i="9"/>
  <c r="T37" i="9"/>
  <c r="AB47" i="9"/>
  <c r="X5" i="9"/>
  <c r="V5" i="9"/>
  <c r="V44" i="9"/>
  <c r="S20" i="9"/>
  <c r="AC20" i="9" s="1"/>
  <c r="AU20" i="9" s="1"/>
  <c r="X17" i="9"/>
  <c r="Y6" i="9"/>
  <c r="Y16" i="9"/>
  <c r="S3" i="9"/>
  <c r="AC3" i="9" s="1"/>
  <c r="AU3" i="9" s="1"/>
  <c r="V48" i="9"/>
  <c r="Y8" i="9"/>
  <c r="V28" i="9"/>
  <c r="V35" i="9"/>
  <c r="S9" i="9"/>
  <c r="AC9" i="9" s="1"/>
  <c r="AU9" i="9" s="1"/>
  <c r="X46" i="9"/>
  <c r="V46" i="9"/>
  <c r="Y41" i="9"/>
  <c r="V43" i="9"/>
  <c r="V15" i="9"/>
  <c r="U34" i="9"/>
  <c r="X1" i="9"/>
  <c r="Y1" i="9"/>
  <c r="Y26" i="9"/>
  <c r="V7" i="9"/>
  <c r="U19" i="9"/>
  <c r="Y14" i="9"/>
  <c r="T14" i="9"/>
  <c r="Y10" i="9"/>
  <c r="S39" i="9"/>
  <c r="AC39" i="9" s="1"/>
  <c r="AU39" i="9" s="1"/>
  <c r="S25" i="9"/>
  <c r="AC25" i="9" s="1"/>
  <c r="AU25" i="9" s="1"/>
  <c r="AB27" i="9"/>
  <c r="T23" i="9"/>
  <c r="T21" i="9"/>
  <c r="X28" i="9"/>
  <c r="V2" i="9"/>
  <c r="T9" i="9"/>
  <c r="T11" i="9"/>
  <c r="Y38" i="9"/>
  <c r="Y32" i="9"/>
  <c r="X33" i="9"/>
  <c r="U45" i="9"/>
  <c r="X12" i="9"/>
  <c r="U37" i="9"/>
  <c r="S37" i="9"/>
  <c r="AC37" i="9" s="1"/>
  <c r="AU37" i="9" s="1"/>
  <c r="U47" i="9"/>
  <c r="T5" i="9"/>
  <c r="S17" i="9"/>
  <c r="AC17" i="9" s="1"/>
  <c r="AU17" i="9" s="1"/>
  <c r="U31" i="9"/>
  <c r="AA153" i="9"/>
  <c r="AA246" i="9"/>
  <c r="AA196" i="9"/>
  <c r="AA145" i="9"/>
  <c r="AA191" i="9"/>
  <c r="AA238" i="9"/>
  <c r="AA113" i="9"/>
  <c r="AA240" i="9"/>
  <c r="AA79" i="9"/>
  <c r="AA174" i="9"/>
  <c r="AA201" i="9"/>
  <c r="AA228" i="9"/>
  <c r="AA194" i="9"/>
  <c r="AA52" i="9"/>
  <c r="AA143" i="9"/>
  <c r="AA245" i="9"/>
  <c r="AA253" i="9"/>
  <c r="AA126" i="9"/>
  <c r="AA103" i="9"/>
  <c r="AA70" i="9"/>
  <c r="AA136" i="9"/>
  <c r="AA141" i="9"/>
  <c r="AA117" i="9"/>
  <c r="AA76" i="9"/>
  <c r="AA139" i="9"/>
  <c r="AA213" i="9"/>
  <c r="AA166" i="9"/>
  <c r="AA203" i="9"/>
  <c r="AA244" i="9"/>
  <c r="AA214" i="9"/>
  <c r="AA65" i="9"/>
  <c r="AA152" i="9"/>
  <c r="AA104" i="9"/>
  <c r="AA212" i="9"/>
  <c r="AA176" i="9"/>
  <c r="AA171" i="9"/>
  <c r="AA57" i="9"/>
  <c r="AA252" i="9"/>
  <c r="AA97" i="9"/>
  <c r="AA163" i="9"/>
  <c r="AA169" i="9"/>
  <c r="AA230" i="9"/>
  <c r="AA123" i="9"/>
  <c r="AA146" i="9"/>
  <c r="AA220" i="9"/>
  <c r="AA138" i="9"/>
  <c r="AA134" i="9"/>
  <c r="AA209" i="9"/>
  <c r="AA95" i="9"/>
  <c r="AA207" i="9"/>
  <c r="AA77" i="9"/>
  <c r="AA140" i="9"/>
  <c r="AA150" i="9"/>
  <c r="AA108" i="9"/>
  <c r="AA162" i="9"/>
  <c r="AA71" i="9"/>
  <c r="AA193" i="9"/>
  <c r="AA142" i="9"/>
  <c r="AA49" i="9"/>
  <c r="AA190" i="9"/>
  <c r="AA187" i="9"/>
  <c r="AA129" i="9"/>
  <c r="AA264" i="9"/>
  <c r="AA125" i="9"/>
  <c r="AA67" i="9"/>
  <c r="AA132" i="9"/>
  <c r="AA226" i="9"/>
  <c r="AA66" i="9"/>
  <c r="AA227" i="9"/>
  <c r="AA221" i="9"/>
  <c r="T42" i="9" a="1"/>
  <c r="Y42" i="9" a="1"/>
  <c r="Y3" i="9" a="1"/>
  <c r="AA50" i="9" l="1"/>
  <c r="AA54" i="9"/>
  <c r="AA53" i="9"/>
  <c r="AD41" i="9"/>
  <c r="Y3" i="9"/>
  <c r="Z3" i="9" s="1"/>
  <c r="AM3" i="9" s="1"/>
  <c r="Y42" i="9"/>
  <c r="T42" i="9"/>
  <c r="AJ39" i="9"/>
  <c r="AG39" i="9"/>
  <c r="AA11" i="9"/>
  <c r="Z11" i="9"/>
  <c r="AM11" i="9" s="1"/>
  <c r="AA21" i="9"/>
  <c r="Z21" i="9"/>
  <c r="AA45" i="9"/>
  <c r="Z45" i="9"/>
  <c r="AA14" i="9"/>
  <c r="AN14" i="9" s="1"/>
  <c r="Z14" i="9"/>
  <c r="AM14" i="9" s="1"/>
  <c r="AA46" i="9"/>
  <c r="Z46" i="9"/>
  <c r="AD4" i="9"/>
  <c r="AD43" i="9"/>
  <c r="AA44" i="9"/>
  <c r="Z44" i="9"/>
  <c r="AA33" i="9"/>
  <c r="Z33" i="9"/>
  <c r="Z1" i="9"/>
  <c r="AA7" i="9"/>
  <c r="AN7" i="9" s="1"/>
  <c r="Z7" i="9"/>
  <c r="AM7" i="9" s="1"/>
  <c r="AA5" i="9"/>
  <c r="Z5" i="9"/>
  <c r="AA19" i="9"/>
  <c r="Z19" i="9"/>
  <c r="AA15" i="9"/>
  <c r="AN15" i="9" s="1"/>
  <c r="Z15" i="9"/>
  <c r="AM15" i="9" s="1"/>
  <c r="AD2" i="9"/>
  <c r="AA35" i="9"/>
  <c r="Z35" i="9"/>
  <c r="AF6" i="9"/>
  <c r="AW6" i="9" s="1"/>
  <c r="AA27" i="9"/>
  <c r="Z27" i="9"/>
  <c r="AA26" i="9"/>
  <c r="Z26" i="9"/>
  <c r="AA6" i="9"/>
  <c r="Z6" i="9"/>
  <c r="AA13" i="9"/>
  <c r="Z13" i="9"/>
  <c r="AM13" i="9" s="1"/>
  <c r="AA16" i="9"/>
  <c r="AN16" i="9" s="1"/>
  <c r="Z16" i="9"/>
  <c r="AM16" i="9" s="1"/>
  <c r="AA20" i="9"/>
  <c r="AN20" i="9" s="1"/>
  <c r="AA41" i="9"/>
  <c r="Z41" i="9"/>
  <c r="AA36" i="9"/>
  <c r="Z36" i="9"/>
  <c r="AA34" i="9"/>
  <c r="Z34" i="9"/>
  <c r="AP1" i="9"/>
  <c r="AD42" i="9"/>
  <c r="AA23" i="9"/>
  <c r="AN23" i="9" s="1"/>
  <c r="Z23" i="9"/>
  <c r="AA38" i="9"/>
  <c r="Z38" i="9"/>
  <c r="AA12" i="9"/>
  <c r="AN12" i="9" s="1"/>
  <c r="AE7" i="9"/>
  <c r="AJ16" i="9"/>
  <c r="AF7" i="9"/>
  <c r="AW7" i="9" s="1"/>
  <c r="AJ8" i="9"/>
  <c r="AI18" i="9"/>
  <c r="AG1" i="9"/>
  <c r="AL6" i="9"/>
  <c r="AE15" i="9"/>
  <c r="AI10" i="9"/>
  <c r="AK20" i="9"/>
  <c r="AJ2" i="9"/>
  <c r="AI2" i="9"/>
  <c r="AJ12" i="9"/>
  <c r="AL29" i="9"/>
  <c r="AK4" i="9"/>
  <c r="AJ4" i="9"/>
  <c r="AL14" i="9"/>
  <c r="AH33" i="9"/>
  <c r="AD5" i="9"/>
  <c r="AJ10" i="9"/>
  <c r="AO7" i="9"/>
  <c r="AJ7" i="9"/>
  <c r="AK7" i="9"/>
  <c r="AL7" i="9"/>
  <c r="AG7" i="9"/>
  <c r="AD13" i="9"/>
  <c r="AF15" i="9"/>
  <c r="AW15" i="9" s="1"/>
  <c r="AK12" i="9"/>
  <c r="AH7" i="9"/>
  <c r="AH15" i="9"/>
  <c r="AO15" i="9"/>
  <c r="AL15" i="9"/>
  <c r="AF24" i="9"/>
  <c r="AW24" i="9" s="1"/>
  <c r="AK15" i="9"/>
  <c r="AJ18" i="9"/>
  <c r="AJ15" i="9"/>
  <c r="AG15" i="9"/>
  <c r="AO24" i="9"/>
  <c r="AJ35" i="9"/>
  <c r="AL24" i="9"/>
  <c r="AK24" i="9"/>
  <c r="AG25" i="9"/>
  <c r="AP33" i="9"/>
  <c r="AE24" i="9"/>
  <c r="AI34" i="9"/>
  <c r="AF36" i="9"/>
  <c r="AW36" i="9" s="1"/>
  <c r="AH24" i="9"/>
  <c r="AG24" i="9"/>
  <c r="AJ24" i="9"/>
  <c r="AE5" i="9"/>
  <c r="AL10" i="9"/>
  <c r="AG17" i="9"/>
  <c r="AI1" i="9"/>
  <c r="AP14" i="9"/>
  <c r="AE11" i="9"/>
  <c r="AP2" i="9"/>
  <c r="AI15" i="9"/>
  <c r="AH1" i="9"/>
  <c r="AO8" i="9"/>
  <c r="AI3" i="9"/>
  <c r="AH9" i="9"/>
  <c r="AP16" i="9"/>
  <c r="AG5" i="9"/>
  <c r="AE36" i="9"/>
  <c r="AG9" i="9"/>
  <c r="AH17" i="9"/>
  <c r="AL2" i="9"/>
  <c r="AP6" i="9"/>
  <c r="AI19" i="9"/>
  <c r="AL12" i="9"/>
  <c r="AE19" i="9"/>
  <c r="AE13" i="9"/>
  <c r="AE3" i="9"/>
  <c r="AH25" i="9"/>
  <c r="AI7" i="9"/>
  <c r="AD21" i="9"/>
  <c r="AP8" i="9"/>
  <c r="AF23" i="9"/>
  <c r="AW23" i="9" s="1"/>
  <c r="AL18" i="9"/>
  <c r="AI11" i="9"/>
  <c r="AE23" i="9"/>
  <c r="AJ36" i="9"/>
  <c r="AL4" i="9"/>
  <c r="AO16" i="9"/>
  <c r="AO36" i="9"/>
  <c r="AG13" i="9"/>
  <c r="AP10" i="9"/>
  <c r="AP18" i="9"/>
  <c r="AG23" i="9"/>
  <c r="AJ23" i="9"/>
  <c r="AF37" i="9"/>
  <c r="AW37" i="9" s="1"/>
  <c r="AO23" i="9"/>
  <c r="AH23" i="9"/>
  <c r="AO25" i="9"/>
  <c r="AK23" i="9"/>
  <c r="AL23" i="9"/>
  <c r="AE37" i="9"/>
  <c r="AJ11" i="9"/>
  <c r="AO37" i="9"/>
  <c r="AK1" i="9"/>
  <c r="AF40" i="9"/>
  <c r="AW40" i="9" s="1"/>
  <c r="AJ3" i="9"/>
  <c r="AI9" i="9"/>
  <c r="AK13" i="9"/>
  <c r="AD14" i="9"/>
  <c r="AI17" i="9"/>
  <c r="AJ19" i="9"/>
  <c r="AK5" i="9"/>
  <c r="AG21" i="9"/>
  <c r="AJ37" i="9"/>
  <c r="AD6" i="9"/>
  <c r="AP25" i="9"/>
  <c r="AD22" i="9"/>
  <c r="AE40" i="9"/>
  <c r="AH40" i="9"/>
  <c r="AL5" i="9"/>
  <c r="AG40" i="9"/>
  <c r="AE6" i="9"/>
  <c r="AF8" i="9"/>
  <c r="AW8" i="9" s="1"/>
  <c r="AK40" i="9"/>
  <c r="AK3" i="9"/>
  <c r="AO40" i="9"/>
  <c r="AJ40" i="9"/>
  <c r="AL40" i="9"/>
  <c r="AO1" i="9"/>
  <c r="AK11" i="9"/>
  <c r="AK9" i="9"/>
  <c r="AL13" i="9"/>
  <c r="AL8" i="9"/>
  <c r="AG8" i="9"/>
  <c r="AF16" i="9"/>
  <c r="AW16" i="9" s="1"/>
  <c r="AE8" i="9"/>
  <c r="AE14" i="9"/>
  <c r="AH8" i="9"/>
  <c r="AK8" i="9"/>
  <c r="AK19" i="9"/>
  <c r="AL16" i="9"/>
  <c r="AK21" i="9"/>
  <c r="AF38" i="9"/>
  <c r="AW38" i="9" s="1"/>
  <c r="AE22" i="9"/>
  <c r="AG16" i="9"/>
  <c r="AE16" i="9"/>
  <c r="AH16" i="9"/>
  <c r="AK17" i="9"/>
  <c r="AK16" i="9"/>
  <c r="AF39" i="9"/>
  <c r="AW39" i="9" s="1"/>
  <c r="AE38" i="9"/>
  <c r="AJ38" i="9"/>
  <c r="AA4" i="9"/>
  <c r="AN4" i="9" s="1"/>
  <c r="Z4" i="9"/>
  <c r="AA22" i="9"/>
  <c r="Z22" i="9"/>
  <c r="AA28" i="9"/>
  <c r="Z28" i="9"/>
  <c r="AA39" i="9"/>
  <c r="Z39" i="9"/>
  <c r="AA47" i="9"/>
  <c r="Z47" i="9"/>
  <c r="AA31" i="9"/>
  <c r="Z31" i="9"/>
  <c r="AA43" i="9"/>
  <c r="Z43" i="9"/>
  <c r="AM40" i="9" s="1"/>
  <c r="AA32" i="9"/>
  <c r="Z32" i="9"/>
  <c r="AE39" i="9"/>
  <c r="AA24" i="9"/>
  <c r="Z24" i="9"/>
  <c r="AA37" i="9"/>
  <c r="Z37" i="9"/>
  <c r="AA17" i="9"/>
  <c r="Z17" i="9"/>
  <c r="AA8" i="9"/>
  <c r="AN8" i="9" s="1"/>
  <c r="Z8" i="9"/>
  <c r="AM8" i="9" s="1"/>
  <c r="AA25" i="9"/>
  <c r="Z25" i="9"/>
  <c r="AG6" i="9"/>
  <c r="AK6" i="9"/>
  <c r="AO6" i="9"/>
  <c r="AH6" i="9"/>
  <c r="AJ6" i="9"/>
  <c r="AD10" i="9"/>
  <c r="AD12" i="9"/>
  <c r="AF14" i="9"/>
  <c r="AW14" i="9" s="1"/>
  <c r="Y41" i="10" a="1"/>
  <c r="AN41" i="10" a="1"/>
  <c r="J25" i="10" a="1"/>
  <c r="AV9" i="10" a="1"/>
  <c r="AB9" i="9" a="1"/>
  <c r="Y9" i="10" a="1"/>
  <c r="C25" i="10" a="1"/>
  <c r="AV1" i="10" a="1"/>
  <c r="R41" i="10" a="1"/>
  <c r="BC1" i="10" a="1"/>
  <c r="J17" i="10" a="1"/>
  <c r="R9" i="10" a="1"/>
  <c r="BC9" i="10" a="1"/>
  <c r="Y1" i="10" a="1"/>
  <c r="AX24" i="9" l="1"/>
  <c r="AX6" i="9"/>
  <c r="AX14" i="9"/>
  <c r="AX8" i="9"/>
  <c r="AX23" i="9"/>
  <c r="AX36" i="9"/>
  <c r="AX40" i="9"/>
  <c r="AX39" i="9"/>
  <c r="AX38" i="9"/>
  <c r="AX16" i="9"/>
  <c r="AX37" i="9"/>
  <c r="AX15" i="9"/>
  <c r="AX7" i="9"/>
  <c r="AM6" i="9"/>
  <c r="AN6" i="9"/>
  <c r="AM5" i="9"/>
  <c r="AM24" i="9"/>
  <c r="AM23" i="9"/>
  <c r="AN24" i="9"/>
  <c r="AN40" i="9"/>
  <c r="BC9" i="10"/>
  <c r="R9" i="10"/>
  <c r="J17" i="10"/>
  <c r="BC1" i="10"/>
  <c r="R41" i="10"/>
  <c r="AV1" i="10"/>
  <c r="C25" i="10"/>
  <c r="Y9" i="10"/>
  <c r="AB9" i="9"/>
  <c r="AO9" i="9" s="1"/>
  <c r="AV9" i="10"/>
  <c r="J25" i="10"/>
  <c r="AN41" i="10"/>
  <c r="Y41" i="10"/>
  <c r="AA42" i="9"/>
  <c r="AN39" i="9" s="1"/>
  <c r="Z42" i="9"/>
  <c r="AM39" i="9" s="1"/>
  <c r="Y1" i="10"/>
  <c r="AG14" i="9"/>
  <c r="AJ14" i="9"/>
  <c r="AH14" i="9"/>
  <c r="AK14" i="9"/>
  <c r="AO14" i="9"/>
  <c r="AO17" i="9"/>
  <c r="AD18" i="9"/>
  <c r="AM19" i="9"/>
  <c r="AF20" i="9"/>
  <c r="AW20" i="9" s="1"/>
  <c r="AB7" i="10" a="1"/>
  <c r="Y6" i="10" a="1"/>
  <c r="AB6" i="10" a="1"/>
  <c r="X6" i="10" a="1"/>
  <c r="Y25" i="10" a="1"/>
  <c r="Q89" i="11" l="1"/>
  <c r="X89" i="11"/>
  <c r="Q90" i="11"/>
  <c r="X90" i="11"/>
  <c r="Q86" i="11"/>
  <c r="X86" i="11"/>
  <c r="Q57" i="11"/>
  <c r="X57" i="11"/>
  <c r="Q73" i="11"/>
  <c r="X73" i="11"/>
  <c r="Q65" i="11"/>
  <c r="X65" i="11"/>
  <c r="Q58" i="11"/>
  <c r="X58" i="11"/>
  <c r="Q87" i="11"/>
  <c r="X87" i="11"/>
  <c r="Q64" i="11"/>
  <c r="X64" i="11"/>
  <c r="Q66" i="11"/>
  <c r="X66" i="11"/>
  <c r="Q56" i="11"/>
  <c r="X56" i="11"/>
  <c r="Q88" i="11"/>
  <c r="X88" i="11"/>
  <c r="Q74" i="11"/>
  <c r="X74" i="11"/>
  <c r="AY38" i="9"/>
  <c r="AY39" i="9"/>
  <c r="AY40" i="9"/>
  <c r="AY36" i="9"/>
  <c r="AY7" i="9"/>
  <c r="AY23" i="9"/>
  <c r="AY15" i="9"/>
  <c r="AY8" i="9"/>
  <c r="AY37" i="9"/>
  <c r="AY14" i="9"/>
  <c r="AY16" i="9"/>
  <c r="AY6" i="9"/>
  <c r="AY24" i="9"/>
  <c r="BA15" i="9"/>
  <c r="AZ15" i="9"/>
  <c r="BA38" i="9"/>
  <c r="AZ38" i="9"/>
  <c r="AZ39" i="9"/>
  <c r="AZ36" i="9"/>
  <c r="BA36" i="9"/>
  <c r="AZ23" i="9"/>
  <c r="BA8" i="9"/>
  <c r="AZ8" i="9"/>
  <c r="BA37" i="9"/>
  <c r="AZ37" i="9"/>
  <c r="AZ14" i="9"/>
  <c r="BA14" i="9"/>
  <c r="AZ7" i="9"/>
  <c r="BA7" i="9"/>
  <c r="AZ16" i="9"/>
  <c r="BA16" i="9"/>
  <c r="AZ6" i="9"/>
  <c r="BA6" i="9"/>
  <c r="AX20" i="9"/>
  <c r="AM44" i="9"/>
  <c r="X6" i="10"/>
  <c r="AB6" i="10"/>
  <c r="Y6" i="10"/>
  <c r="AB7" i="10"/>
  <c r="X9" i="10"/>
  <c r="B25" i="10"/>
  <c r="AU1" i="10"/>
  <c r="X1" i="10"/>
  <c r="X41" i="10"/>
  <c r="Q41" i="10"/>
  <c r="AM41" i="10"/>
  <c r="BB1" i="10"/>
  <c r="I25" i="10"/>
  <c r="I17" i="10"/>
  <c r="AU9" i="10"/>
  <c r="Q9" i="10"/>
  <c r="BB9" i="10"/>
  <c r="Y25" i="10"/>
  <c r="X25" i="10" s="1"/>
  <c r="AE20" i="9"/>
  <c r="Z20" i="9"/>
  <c r="AM20" i="9" s="1"/>
  <c r="AJ20" i="9"/>
  <c r="AL20" i="9"/>
  <c r="AL21" i="9"/>
  <c r="AL22" i="9"/>
  <c r="AI26" i="9"/>
  <c r="AJ27" i="9"/>
  <c r="AE30" i="9"/>
  <c r="AF31" i="9"/>
  <c r="AW31" i="9" s="1"/>
  <c r="AY10" i="10" a="1"/>
  <c r="AY15" i="10" a="1"/>
  <c r="AY14" i="10" a="1"/>
  <c r="AW14" i="10" a="1"/>
  <c r="AU14" i="10" a="1"/>
  <c r="AV14" i="10" a="1"/>
  <c r="AY11" i="10" a="1"/>
  <c r="BF3" i="10" a="1"/>
  <c r="BF6" i="10" a="1"/>
  <c r="BB6" i="10" a="1"/>
  <c r="BD6" i="10" a="1"/>
  <c r="BF2" i="10" a="1"/>
  <c r="BF7" i="10" a="1"/>
  <c r="BC6" i="10" a="1"/>
  <c r="Y14" i="10" a="1"/>
  <c r="AC9" i="10" a="1"/>
  <c r="C28" i="10" a="1"/>
  <c r="B31" i="10" a="1"/>
  <c r="AW6" i="10" a="1"/>
  <c r="AV4" i="10" a="1"/>
  <c r="AB46" i="10" a="1"/>
  <c r="AB43" i="10" a="1"/>
  <c r="V41" i="10" a="1"/>
  <c r="S46" i="10" a="1"/>
  <c r="AM46" i="10" a="1"/>
  <c r="AO46" i="10" a="1"/>
  <c r="BG1" i="10" a="1"/>
  <c r="I31" i="10" a="1"/>
  <c r="J28" i="10" a="1"/>
  <c r="I22" i="10" a="1"/>
  <c r="M23" i="10" a="1"/>
  <c r="Q15" i="10" a="1"/>
  <c r="BD15" i="10" a="1"/>
  <c r="BD14" i="10" a="1"/>
  <c r="X14" i="10" a="1"/>
  <c r="AB10" i="10" a="1"/>
  <c r="G25" i="10" a="1"/>
  <c r="C30" i="10" a="1"/>
  <c r="AY3" i="10" a="1"/>
  <c r="AU7" i="10" a="1"/>
  <c r="AB47" i="10" a="1"/>
  <c r="U47" i="10" a="1"/>
  <c r="R44" i="10" a="1"/>
  <c r="I30" i="10" a="1"/>
  <c r="J26" i="10" a="1"/>
  <c r="M19" i="10" a="1"/>
  <c r="R14" i="10" a="1"/>
  <c r="R10" i="10" a="1"/>
  <c r="BF11" i="10" a="1"/>
  <c r="Y10" i="10" a="1"/>
  <c r="Z15" i="10" a="1"/>
  <c r="C26" i="10" a="1"/>
  <c r="D31" i="10" a="1"/>
  <c r="AZ1" i="10" a="1"/>
  <c r="AB2" i="10" a="1"/>
  <c r="AC41" i="10" a="1"/>
  <c r="U42" i="10" a="1"/>
  <c r="Z6" i="10" a="1"/>
  <c r="AR41" i="10" a="1"/>
  <c r="BF4" i="10" a="1"/>
  <c r="X7" i="10" a="1"/>
  <c r="M31" i="10" a="1"/>
  <c r="M26" i="10" a="1"/>
  <c r="M22" i="10" a="1"/>
  <c r="AB4" i="10" a="1"/>
  <c r="AV10" i="10" a="1"/>
  <c r="R12" i="10" a="1"/>
  <c r="Y2" i="10" a="1"/>
  <c r="BG9" i="10" a="1"/>
  <c r="AC25" i="10" a="1"/>
  <c r="T20" i="9" a="1"/>
  <c r="U15" i="10" a="1"/>
  <c r="AB3" i="10" a="1"/>
  <c r="AV6" i="10" a="1"/>
  <c r="AW7" i="10" a="1"/>
  <c r="Y46" i="10" a="1"/>
  <c r="U46" i="10" a="1"/>
  <c r="Y4" i="10" a="1"/>
  <c r="BB7" i="10" a="1"/>
  <c r="Z7" i="10" a="1"/>
  <c r="K31" i="10" a="1"/>
  <c r="I23" i="10" a="1"/>
  <c r="M20" i="10" a="1"/>
  <c r="AC1" i="10" a="1"/>
  <c r="U11" i="10" a="1"/>
  <c r="Q14" i="10" a="1"/>
  <c r="BF12" i="10" a="1"/>
  <c r="BB15" i="10" a="1"/>
  <c r="Z14" i="10" a="1"/>
  <c r="Y12" i="10" a="1"/>
  <c r="F30" i="10" a="1"/>
  <c r="F28" i="10" a="1"/>
  <c r="AY4" i="10" a="1"/>
  <c r="AB44" i="10" a="1"/>
  <c r="AB42" i="10" a="1"/>
  <c r="R46" i="10" a="1"/>
  <c r="U44" i="10" a="1"/>
  <c r="AN44" i="10" a="1"/>
  <c r="BC4" i="10" a="1"/>
  <c r="BC2" i="10" a="1"/>
  <c r="M28" i="10" a="1"/>
  <c r="N25" i="10" a="1"/>
  <c r="K23" i="10" a="1"/>
  <c r="M18" i="10" a="1"/>
  <c r="AZ9" i="10" a="1"/>
  <c r="AU15" i="10" a="1"/>
  <c r="U10" i="10" a="1"/>
  <c r="BB14" i="10" a="1"/>
  <c r="BC12" i="10" a="1"/>
  <c r="Z30" i="10" a="1"/>
  <c r="AB11" i="10" a="1"/>
  <c r="F27" i="10" a="1"/>
  <c r="D30" i="10" a="1"/>
  <c r="AY6" i="10" a="1"/>
  <c r="Y44" i="10" a="1"/>
  <c r="X47" i="10" a="1"/>
  <c r="Q47" i="10" a="1"/>
  <c r="U43" i="10" a="1"/>
  <c r="AQ46" i="10" a="1"/>
  <c r="AQ43" i="10" a="1"/>
  <c r="BD7" i="10" a="1"/>
  <c r="K30" i="10" a="1"/>
  <c r="M27" i="10" a="1"/>
  <c r="N17" i="10" a="1"/>
  <c r="J20" i="10" a="1"/>
  <c r="U12" i="10" a="1"/>
  <c r="S15" i="10" a="1"/>
  <c r="BF15" i="10" a="1"/>
  <c r="BF14" i="10" a="1"/>
  <c r="Y30" i="10" a="1"/>
  <c r="AB15" i="10" a="1"/>
  <c r="X15" i="10" a="1"/>
  <c r="F31" i="10" a="1"/>
  <c r="AU6" i="10" a="1"/>
  <c r="AY2" i="10" a="1"/>
  <c r="X46" i="10" a="1"/>
  <c r="Y42" i="10" a="1"/>
  <c r="S47" i="10" a="1"/>
  <c r="J18" i="10" a="1"/>
  <c r="AY12" i="10" a="1"/>
  <c r="U14" i="10" a="1"/>
  <c r="S14" i="10" a="1"/>
  <c r="BF10" i="10" a="1"/>
  <c r="BC14" i="10" a="1"/>
  <c r="AB28" i="10" a="1"/>
  <c r="AB14" i="10" a="1"/>
  <c r="AB12" i="10" a="1"/>
  <c r="B30" i="10" a="1"/>
  <c r="F26" i="10" a="1"/>
  <c r="AV2" i="10" a="1"/>
  <c r="AY7" i="10" a="1"/>
  <c r="Z47" i="10" a="1"/>
  <c r="Z46" i="10" a="1"/>
  <c r="Q46" i="10" a="1"/>
  <c r="R42" i="10" a="1"/>
  <c r="AQ47" i="10" a="1"/>
  <c r="M30" i="10" a="1"/>
  <c r="J30" i="10" a="1"/>
  <c r="K22" i="10" a="1"/>
  <c r="J22" i="10" a="1"/>
  <c r="AV12" i="10" a="1"/>
  <c r="AW15" i="10" a="1"/>
  <c r="V9" i="10" a="1"/>
  <c r="BC10" i="10" a="1"/>
  <c r="U20" i="9" a="1"/>
  <c r="AB20" i="9" a="1"/>
  <c r="X31" i="10" a="1"/>
  <c r="AG25" i="10" a="1"/>
  <c r="R88" i="11" l="1"/>
  <c r="AC88" i="11" s="1"/>
  <c r="S88" i="11"/>
  <c r="T88" i="11"/>
  <c r="U88" i="11"/>
  <c r="V88" i="11"/>
  <c r="W88" i="11"/>
  <c r="R87" i="11"/>
  <c r="AC87" i="11" s="1"/>
  <c r="S87" i="11"/>
  <c r="T87" i="11"/>
  <c r="U87" i="11"/>
  <c r="V87" i="11"/>
  <c r="W87" i="11"/>
  <c r="R57" i="11"/>
  <c r="AC57" i="11" s="1"/>
  <c r="S57" i="11"/>
  <c r="T57" i="11"/>
  <c r="U57" i="11"/>
  <c r="V57" i="11"/>
  <c r="W57" i="11"/>
  <c r="R56" i="11"/>
  <c r="AC56" i="11" s="1"/>
  <c r="S56" i="11"/>
  <c r="T56" i="11"/>
  <c r="U56" i="11"/>
  <c r="V56" i="11"/>
  <c r="W56" i="11"/>
  <c r="R58" i="11"/>
  <c r="AC58" i="11" s="1"/>
  <c r="S58" i="11"/>
  <c r="T58" i="11"/>
  <c r="U58" i="11"/>
  <c r="V58" i="11"/>
  <c r="W58" i="11"/>
  <c r="R86" i="11"/>
  <c r="AC86" i="11" s="1"/>
  <c r="S86" i="11"/>
  <c r="T86" i="11"/>
  <c r="U86" i="11"/>
  <c r="V86" i="11"/>
  <c r="W86" i="11"/>
  <c r="R66" i="11"/>
  <c r="AC66" i="11" s="1"/>
  <c r="S66" i="11"/>
  <c r="T66" i="11"/>
  <c r="U66" i="11"/>
  <c r="V66" i="11"/>
  <c r="W66" i="11"/>
  <c r="R65" i="11"/>
  <c r="AC65" i="11" s="1"/>
  <c r="S65" i="11"/>
  <c r="T65" i="11"/>
  <c r="U65" i="11"/>
  <c r="V65" i="11"/>
  <c r="W65" i="11"/>
  <c r="R90" i="11"/>
  <c r="AC90" i="11" s="1"/>
  <c r="S90" i="11"/>
  <c r="T90" i="11"/>
  <c r="U90" i="11"/>
  <c r="V90" i="11"/>
  <c r="W90" i="11"/>
  <c r="Q70" i="11"/>
  <c r="X70" i="11"/>
  <c r="R74" i="11"/>
  <c r="AC74" i="11" s="1"/>
  <c r="S74" i="11"/>
  <c r="T74" i="11"/>
  <c r="U74" i="11"/>
  <c r="V74" i="11"/>
  <c r="W74" i="11"/>
  <c r="R64" i="11"/>
  <c r="AC64" i="11" s="1"/>
  <c r="S64" i="11"/>
  <c r="T64" i="11"/>
  <c r="U64" i="11"/>
  <c r="V64" i="11"/>
  <c r="W64" i="11"/>
  <c r="R73" i="11"/>
  <c r="AC73" i="11" s="1"/>
  <c r="S73" i="11"/>
  <c r="T73" i="11"/>
  <c r="U73" i="11"/>
  <c r="V73" i="11"/>
  <c r="W73" i="11"/>
  <c r="R89" i="11"/>
  <c r="AC89" i="11" s="1"/>
  <c r="S89" i="11"/>
  <c r="T89" i="11"/>
  <c r="U89" i="11"/>
  <c r="V89" i="11"/>
  <c r="W89" i="11"/>
  <c r="Z56" i="11"/>
  <c r="AA56" i="11" s="1"/>
  <c r="Y56" i="11"/>
  <c r="Y58" i="11"/>
  <c r="Z58" i="11"/>
  <c r="AA58" i="11" s="1"/>
  <c r="Z86" i="11"/>
  <c r="AA86" i="11" s="1"/>
  <c r="Y86" i="11"/>
  <c r="Z66" i="11"/>
  <c r="AA66" i="11" s="1"/>
  <c r="Y66" i="11"/>
  <c r="Z65" i="11"/>
  <c r="AA65" i="11" s="1"/>
  <c r="Y65" i="11"/>
  <c r="Z90" i="11"/>
  <c r="AA90" i="11" s="1"/>
  <c r="Y90" i="11"/>
  <c r="AY20" i="9"/>
  <c r="Z64" i="11"/>
  <c r="AA64" i="11" s="1"/>
  <c r="Y64" i="11"/>
  <c r="Z73" i="11"/>
  <c r="AA73" i="11" s="1"/>
  <c r="Y73" i="11"/>
  <c r="Z89" i="11"/>
  <c r="AA89" i="11" s="1"/>
  <c r="Y89" i="11"/>
  <c r="Z74" i="11"/>
  <c r="AA74" i="11" s="1"/>
  <c r="Y74" i="11"/>
  <c r="Z87" i="11"/>
  <c r="AA87" i="11" s="1"/>
  <c r="Y87" i="11"/>
  <c r="Y57" i="11"/>
  <c r="Z57" i="11"/>
  <c r="AA57" i="11" s="1"/>
  <c r="Y88" i="11"/>
  <c r="Z88" i="11"/>
  <c r="AA88" i="11" s="1"/>
  <c r="BB8" i="9"/>
  <c r="BB6" i="9"/>
  <c r="BB15" i="9"/>
  <c r="BB7" i="9"/>
  <c r="BB14" i="9"/>
  <c r="BB36" i="9"/>
  <c r="BB16" i="9"/>
  <c r="BB37" i="9"/>
  <c r="BB38" i="9"/>
  <c r="AX31" i="9"/>
  <c r="AY11" i="10"/>
  <c r="AV14" i="10"/>
  <c r="AU14" i="10"/>
  <c r="AW14" i="10"/>
  <c r="AY14" i="10"/>
  <c r="AY15" i="10"/>
  <c r="AY10" i="10"/>
  <c r="BC6" i="10"/>
  <c r="BF7" i="10"/>
  <c r="BF2" i="10"/>
  <c r="BD6" i="10"/>
  <c r="BB6" i="10"/>
  <c r="BF6" i="10"/>
  <c r="BF3" i="10"/>
  <c r="X31" i="10"/>
  <c r="AB20" i="9"/>
  <c r="AO20" i="9" s="1"/>
  <c r="U20" i="9"/>
  <c r="AH20" i="9" s="1"/>
  <c r="BC10" i="10"/>
  <c r="V9" i="10"/>
  <c r="AW15" i="10"/>
  <c r="AV12" i="10"/>
  <c r="J22" i="10"/>
  <c r="K22" i="10"/>
  <c r="J30" i="10"/>
  <c r="M30" i="10"/>
  <c r="AQ47" i="10"/>
  <c r="R42" i="10"/>
  <c r="Q46" i="10"/>
  <c r="Z46" i="10"/>
  <c r="Z47" i="10"/>
  <c r="AY7" i="10"/>
  <c r="AV2" i="10"/>
  <c r="F26" i="10"/>
  <c r="B30" i="10"/>
  <c r="AB12" i="10"/>
  <c r="AB14" i="10"/>
  <c r="AB28" i="10"/>
  <c r="BC14" i="10"/>
  <c r="BF10" i="10"/>
  <c r="S14" i="10"/>
  <c r="U14" i="10"/>
  <c r="AY12" i="10"/>
  <c r="J18" i="10"/>
  <c r="S47" i="10"/>
  <c r="Y42" i="10"/>
  <c r="X46" i="10"/>
  <c r="AY2" i="10"/>
  <c r="AU6" i="10"/>
  <c r="F31" i="10"/>
  <c r="X15" i="10"/>
  <c r="AB15" i="10"/>
  <c r="Y30" i="10"/>
  <c r="BF14" i="10"/>
  <c r="BF15" i="10"/>
  <c r="S15" i="10"/>
  <c r="U12" i="10"/>
  <c r="J20" i="10"/>
  <c r="N17" i="10"/>
  <c r="M27" i="10"/>
  <c r="K30" i="10"/>
  <c r="BD7" i="10"/>
  <c r="AQ43" i="10"/>
  <c r="AQ46" i="10"/>
  <c r="U43" i="10"/>
  <c r="Q47" i="10"/>
  <c r="X47" i="10"/>
  <c r="Y44" i="10"/>
  <c r="AY6" i="10"/>
  <c r="D30" i="10"/>
  <c r="F27" i="10"/>
  <c r="AB11" i="10"/>
  <c r="Z30" i="10"/>
  <c r="BC12" i="10"/>
  <c r="BB14" i="10"/>
  <c r="U10" i="10"/>
  <c r="AU15" i="10"/>
  <c r="AZ9" i="10"/>
  <c r="M18" i="10"/>
  <c r="K23" i="10"/>
  <c r="N25" i="10"/>
  <c r="M28" i="10"/>
  <c r="BC2" i="10"/>
  <c r="BC4" i="10"/>
  <c r="AN44" i="10"/>
  <c r="U44" i="10"/>
  <c r="R46" i="10"/>
  <c r="AB42" i="10"/>
  <c r="AB44" i="10"/>
  <c r="AY4" i="10"/>
  <c r="F28" i="10"/>
  <c r="F30" i="10"/>
  <c r="Y12" i="10"/>
  <c r="Z14" i="10"/>
  <c r="BB15" i="10"/>
  <c r="BF12" i="10"/>
  <c r="Q14" i="10"/>
  <c r="U11" i="10"/>
  <c r="AC1" i="10"/>
  <c r="M20" i="10"/>
  <c r="I23" i="10"/>
  <c r="K31" i="10"/>
  <c r="Z7" i="10"/>
  <c r="BB7" i="10"/>
  <c r="Y4" i="10"/>
  <c r="U46" i="10"/>
  <c r="Y46" i="10"/>
  <c r="AW7" i="10"/>
  <c r="AV6" i="10"/>
  <c r="AB3" i="10"/>
  <c r="U15" i="10"/>
  <c r="T20" i="9"/>
  <c r="AG20" i="9" s="1"/>
  <c r="AC25" i="10"/>
  <c r="BG9" i="10"/>
  <c r="Y2" i="10"/>
  <c r="R12" i="10"/>
  <c r="AV10" i="10"/>
  <c r="AB4" i="10"/>
  <c r="M22" i="10"/>
  <c r="M26" i="10"/>
  <c r="M31" i="10"/>
  <c r="X7" i="10"/>
  <c r="BF4" i="10"/>
  <c r="AR41" i="10"/>
  <c r="Z6" i="10"/>
  <c r="U42" i="10"/>
  <c r="AC41" i="10"/>
  <c r="AB2" i="10"/>
  <c r="AZ1" i="10"/>
  <c r="D31" i="10"/>
  <c r="C26" i="10"/>
  <c r="Z15" i="10"/>
  <c r="Y10" i="10"/>
  <c r="BF11" i="10"/>
  <c r="R10" i="10"/>
  <c r="R14" i="10"/>
  <c r="M19" i="10"/>
  <c r="J26" i="10"/>
  <c r="I30" i="10"/>
  <c r="R44" i="10"/>
  <c r="U47" i="10"/>
  <c r="AB47" i="10"/>
  <c r="AU7" i="10"/>
  <c r="AY3" i="10"/>
  <c r="C30" i="10"/>
  <c r="G25" i="10"/>
  <c r="AB10" i="10"/>
  <c r="X14" i="10"/>
  <c r="BD14" i="10"/>
  <c r="BD15" i="10"/>
  <c r="Q15" i="10"/>
  <c r="M23" i="10"/>
  <c r="I22" i="10"/>
  <c r="J28" i="10"/>
  <c r="I31" i="10"/>
  <c r="BG1" i="10"/>
  <c r="AO46" i="10"/>
  <c r="AM46" i="10"/>
  <c r="S46" i="10"/>
  <c r="V41" i="10"/>
  <c r="AB43" i="10"/>
  <c r="AB46" i="10"/>
  <c r="AV4" i="10"/>
  <c r="AW6" i="10"/>
  <c r="B31" i="10"/>
  <c r="C28" i="10"/>
  <c r="AC9" i="10"/>
  <c r="Y14" i="10"/>
  <c r="AG25" i="10"/>
  <c r="AE31" i="9"/>
  <c r="AN41" i="9"/>
  <c r="AN43" i="9"/>
  <c r="AF4" i="9"/>
  <c r="AW4" i="9" s="1"/>
  <c r="AX4" i="9" s="1"/>
  <c r="AV11" i="10" a="1"/>
  <c r="AB30" i="10" a="1"/>
  <c r="AK25" i="10" a="1"/>
  <c r="Y40" i="9" a="1"/>
  <c r="AB31" i="10" a="1"/>
  <c r="AB26" i="10" a="1"/>
  <c r="Y11" i="10" a="1"/>
  <c r="Y28" i="10" a="1"/>
  <c r="U30" i="9" a="1"/>
  <c r="X30" i="9" a="1"/>
  <c r="Z31" i="10" a="1"/>
  <c r="T30" i="9" a="1"/>
  <c r="Y30" i="9" a="1"/>
  <c r="AB42" i="9" a="1"/>
  <c r="Y26" i="10" a="1"/>
  <c r="R11" i="10" a="1"/>
  <c r="AB30" i="9" a="1"/>
  <c r="U2" i="9" a="1"/>
  <c r="J27" i="10" a="1"/>
  <c r="AB27" i="10" a="1"/>
  <c r="X30" i="10" a="1"/>
  <c r="AF30" i="10" a="1"/>
  <c r="J9" i="10" a="1"/>
  <c r="R70" i="11" l="1"/>
  <c r="AC70" i="11" s="1"/>
  <c r="S70" i="11"/>
  <c r="T70" i="11"/>
  <c r="U70" i="11"/>
  <c r="V70" i="11"/>
  <c r="W70" i="11"/>
  <c r="Q81" i="11"/>
  <c r="Y81" i="11" s="1"/>
  <c r="X81" i="11"/>
  <c r="Q54" i="11"/>
  <c r="X54" i="11"/>
  <c r="AY4" i="9"/>
  <c r="Z70" i="11"/>
  <c r="AA70" i="11" s="1"/>
  <c r="Y70" i="11"/>
  <c r="AV11" i="10"/>
  <c r="AF30" i="10"/>
  <c r="X30" i="10"/>
  <c r="AB27" i="10"/>
  <c r="J27" i="10"/>
  <c r="U2" i="9"/>
  <c r="AH2" i="9" s="1"/>
  <c r="AB30" i="9"/>
  <c r="R11" i="10"/>
  <c r="Y26" i="10"/>
  <c r="AB42" i="9"/>
  <c r="AO39" i="9" s="1"/>
  <c r="Y30" i="9"/>
  <c r="T30" i="9"/>
  <c r="Z31" i="10"/>
  <c r="X30" i="9"/>
  <c r="U30" i="9"/>
  <c r="Y28" i="10"/>
  <c r="Y11" i="10"/>
  <c r="AB26" i="10"/>
  <c r="AB31" i="10"/>
  <c r="Y40" i="9"/>
  <c r="AK25" i="10"/>
  <c r="AB30" i="10"/>
  <c r="AF25" i="10"/>
  <c r="J9" i="10"/>
  <c r="AE4" i="9"/>
  <c r="AG4" i="9"/>
  <c r="AH4" i="9"/>
  <c r="AO4" i="9"/>
  <c r="AM4" i="9"/>
  <c r="AO5" i="9"/>
  <c r="AP9" i="9"/>
  <c r="AF12" i="9"/>
  <c r="AW12" i="9" s="1"/>
  <c r="BC3" i="10" a="1"/>
  <c r="AH30" i="10" a="1"/>
  <c r="BC11" i="10" a="1"/>
  <c r="AJ27" i="10" a="1"/>
  <c r="U10" i="9" a="1"/>
  <c r="C27" i="10" a="1"/>
  <c r="J14" i="10" a="1"/>
  <c r="J12" i="10" a="1"/>
  <c r="Y27" i="10" a="1"/>
  <c r="AJ30" i="10" a="1"/>
  <c r="AV3" i="10" a="1"/>
  <c r="M11" i="10" a="1"/>
  <c r="I15" i="10" a="1"/>
  <c r="Y3" i="10" a="1"/>
  <c r="R43" i="10" a="1"/>
  <c r="J19" i="10" a="1"/>
  <c r="Y43" i="10" a="1"/>
  <c r="K14" i="10" a="1"/>
  <c r="J41" i="10" a="1"/>
  <c r="R81" i="11" l="1"/>
  <c r="AC81" i="11" s="1"/>
  <c r="S81" i="11"/>
  <c r="T81" i="11"/>
  <c r="U81" i="11"/>
  <c r="V81" i="11"/>
  <c r="W81" i="11"/>
  <c r="Z81" i="11"/>
  <c r="AA81" i="11" s="1"/>
  <c r="R54" i="11"/>
  <c r="AC54" i="11" s="1"/>
  <c r="S54" i="11"/>
  <c r="T54" i="11"/>
  <c r="U54" i="11"/>
  <c r="V54" i="11"/>
  <c r="W54" i="11"/>
  <c r="Z54" i="11"/>
  <c r="AA54" i="11" s="1"/>
  <c r="Y54" i="11"/>
  <c r="AZ4" i="9"/>
  <c r="BA4" i="9"/>
  <c r="AX12" i="9"/>
  <c r="AG32" i="9"/>
  <c r="BC3" i="10"/>
  <c r="K14" i="10"/>
  <c r="Y43" i="10"/>
  <c r="J19" i="10"/>
  <c r="R43" i="10"/>
  <c r="Y3" i="10"/>
  <c r="I15" i="10"/>
  <c r="M11" i="10"/>
  <c r="AV3" i="10"/>
  <c r="AJ30" i="10"/>
  <c r="Y27" i="10"/>
  <c r="J12" i="10"/>
  <c r="J14" i="10"/>
  <c r="C27" i="10"/>
  <c r="U10" i="9"/>
  <c r="AH10" i="9" s="1"/>
  <c r="AJ27" i="10"/>
  <c r="BC11" i="10"/>
  <c r="AH30" i="10"/>
  <c r="I9" i="10"/>
  <c r="Z40" i="9"/>
  <c r="AJ31" i="9"/>
  <c r="AA30" i="9"/>
  <c r="Z30" i="9"/>
  <c r="J41" i="10"/>
  <c r="I41" i="10" s="1"/>
  <c r="AE12" i="9"/>
  <c r="Z12" i="9"/>
  <c r="AM12" i="9" s="1"/>
  <c r="AO13" i="9"/>
  <c r="AP17" i="9"/>
  <c r="AO21" i="9"/>
  <c r="AM22" i="9"/>
  <c r="AK28" i="9"/>
  <c r="AD29" i="9"/>
  <c r="AO32" i="9"/>
  <c r="AJ1" i="9"/>
  <c r="AD3" i="9"/>
  <c r="AL3" i="9"/>
  <c r="AF5" i="9"/>
  <c r="AW5" i="9" s="1"/>
  <c r="M14" i="10" a="1"/>
  <c r="K15" i="10" a="1"/>
  <c r="K46" i="10" a="1"/>
  <c r="U18" i="9" a="1"/>
  <c r="I46" i="10" a="1"/>
  <c r="J10" i="10" a="1"/>
  <c r="AG28" i="10" a="1"/>
  <c r="Y29" i="9" a="1"/>
  <c r="U12" i="9" a="1"/>
  <c r="X2" i="9" a="1"/>
  <c r="N41" i="10" a="1"/>
  <c r="I47" i="10" a="1"/>
  <c r="I14" i="10" a="1"/>
  <c r="J44" i="10" a="1"/>
  <c r="AB12" i="9" a="1"/>
  <c r="M12" i="10" a="1"/>
  <c r="M44" i="10" a="1"/>
  <c r="M46" i="10" a="1"/>
  <c r="K47" i="10" a="1"/>
  <c r="M15" i="10" a="1"/>
  <c r="N9" i="10" a="1"/>
  <c r="T12" i="9" a="1"/>
  <c r="J46" i="10" a="1"/>
  <c r="M43" i="10" a="1"/>
  <c r="C17" i="10" a="1"/>
  <c r="Q62" i="11" l="1"/>
  <c r="X62" i="11"/>
  <c r="AY12" i="9"/>
  <c r="BB4" i="9"/>
  <c r="AZ12" i="9"/>
  <c r="BA12" i="9"/>
  <c r="AX5" i="9"/>
  <c r="AM42" i="9"/>
  <c r="AM38" i="9"/>
  <c r="M43" i="10"/>
  <c r="J46" i="10"/>
  <c r="T12" i="9"/>
  <c r="AG12" i="9" s="1"/>
  <c r="N9" i="10"/>
  <c r="M15" i="10"/>
  <c r="K47" i="10"/>
  <c r="M46" i="10"/>
  <c r="M44" i="10"/>
  <c r="M12" i="10"/>
  <c r="AB12" i="9"/>
  <c r="AO12" i="9" s="1"/>
  <c r="J44" i="10"/>
  <c r="I14" i="10"/>
  <c r="I47" i="10"/>
  <c r="N41" i="10"/>
  <c r="X2" i="9"/>
  <c r="AK2" i="9" s="1"/>
  <c r="U12" i="9"/>
  <c r="AH12" i="9" s="1"/>
  <c r="Y29" i="9"/>
  <c r="AL31" i="9" s="1"/>
  <c r="AG28" i="10"/>
  <c r="J10" i="10"/>
  <c r="I46" i="10"/>
  <c r="U18" i="9"/>
  <c r="AH18" i="9" s="1"/>
  <c r="K46" i="10"/>
  <c r="K15" i="10"/>
  <c r="M14" i="10"/>
  <c r="C17" i="10"/>
  <c r="AJ5" i="9"/>
  <c r="AN5" i="9"/>
  <c r="AH5" i="9"/>
  <c r="AP7" i="9"/>
  <c r="AI8" i="9"/>
  <c r="AD11" i="9"/>
  <c r="AL11" i="9"/>
  <c r="AF13" i="9"/>
  <c r="AW13" i="9" s="1"/>
  <c r="AG30" i="10" a="1"/>
  <c r="F20" i="10" a="1"/>
  <c r="M47" i="10" a="1"/>
  <c r="C18" i="10" a="1"/>
  <c r="D22" i="10" a="1"/>
  <c r="J42" i="10" a="1"/>
  <c r="M42" i="10" a="1"/>
  <c r="X10" i="9" a="1"/>
  <c r="C20" i="10" a="1"/>
  <c r="J11" i="10" a="1"/>
  <c r="C22" i="10" a="1"/>
  <c r="R1" i="10" a="1"/>
  <c r="Q55" i="11" l="1"/>
  <c r="X55" i="11"/>
  <c r="R62" i="11"/>
  <c r="AC62" i="11" s="1"/>
  <c r="S62" i="11"/>
  <c r="T62" i="11"/>
  <c r="U62" i="11"/>
  <c r="V62" i="11"/>
  <c r="W62" i="11"/>
  <c r="AY5" i="9"/>
  <c r="Z62" i="11"/>
  <c r="AA62" i="11" s="1"/>
  <c r="Y62" i="11"/>
  <c r="BB12" i="9"/>
  <c r="BA5" i="9"/>
  <c r="AZ5" i="9"/>
  <c r="AX13" i="9"/>
  <c r="AG30" i="10"/>
  <c r="Z29" i="9"/>
  <c r="C22" i="10"/>
  <c r="J11" i="10"/>
  <c r="C20" i="10"/>
  <c r="X10" i="9"/>
  <c r="AK10" i="9" s="1"/>
  <c r="M42" i="10"/>
  <c r="J42" i="10"/>
  <c r="D22" i="10"/>
  <c r="C18" i="10"/>
  <c r="M47" i="10"/>
  <c r="AJ9" i="9"/>
  <c r="F20" i="10"/>
  <c r="B17" i="10"/>
  <c r="R1" i="10"/>
  <c r="Q1" i="10" s="1"/>
  <c r="AH13" i="9"/>
  <c r="AN13" i="9"/>
  <c r="AJ13" i="9"/>
  <c r="AP15" i="9"/>
  <c r="AI16" i="9"/>
  <c r="AJ17" i="9"/>
  <c r="AD19" i="9"/>
  <c r="AL19" i="9"/>
  <c r="AF21" i="9"/>
  <c r="AW21" i="9" s="1"/>
  <c r="AZ20" i="9" s="1"/>
  <c r="F23" i="10" a="1"/>
  <c r="U6" i="10" a="1"/>
  <c r="F22" i="10" a="1"/>
  <c r="B22" i="10" a="1"/>
  <c r="G17" i="10" a="1"/>
  <c r="U3" i="10" a="1"/>
  <c r="V1" i="10" a="1"/>
  <c r="X18" i="9" a="1"/>
  <c r="R4" i="10" a="1"/>
  <c r="S6" i="10" a="1"/>
  <c r="Q6" i="10" a="1"/>
  <c r="C19" i="10" a="1"/>
  <c r="D23" i="10" a="1"/>
  <c r="U4" i="10" a="1"/>
  <c r="R2" i="10" a="1"/>
  <c r="F18" i="10" a="1"/>
  <c r="F19" i="10" a="1"/>
  <c r="Q7" i="10" a="1"/>
  <c r="J43" i="10" a="1"/>
  <c r="B23" i="10" a="1"/>
  <c r="R6" i="10" a="1"/>
  <c r="U7" i="10" a="1"/>
  <c r="U2" i="10" a="1"/>
  <c r="R33" i="10" a="1"/>
  <c r="Q63" i="11" l="1"/>
  <c r="X63" i="11"/>
  <c r="R55" i="11"/>
  <c r="AC55" i="11" s="1"/>
  <c r="S55" i="11"/>
  <c r="T55" i="11"/>
  <c r="U55" i="11"/>
  <c r="V55" i="11"/>
  <c r="W55" i="11"/>
  <c r="AY13" i="9"/>
  <c r="Y55" i="11"/>
  <c r="Z55" i="11"/>
  <c r="AA55" i="11" s="1"/>
  <c r="BB5" i="9"/>
  <c r="AZ13" i="9"/>
  <c r="BA13" i="9"/>
  <c r="AX21" i="9"/>
  <c r="AM30" i="9"/>
  <c r="AM31" i="9"/>
  <c r="U2" i="10"/>
  <c r="U7" i="10"/>
  <c r="R6" i="10"/>
  <c r="B23" i="10"/>
  <c r="J43" i="10"/>
  <c r="Q7" i="10"/>
  <c r="F19" i="10"/>
  <c r="F18" i="10"/>
  <c r="R2" i="10"/>
  <c r="U4" i="10"/>
  <c r="D23" i="10"/>
  <c r="C19" i="10"/>
  <c r="Q6" i="10"/>
  <c r="S6" i="10"/>
  <c r="R4" i="10"/>
  <c r="X18" i="9"/>
  <c r="AK18" i="9" s="1"/>
  <c r="V1" i="10"/>
  <c r="U3" i="10"/>
  <c r="G17" i="10"/>
  <c r="B22" i="10"/>
  <c r="F22" i="10"/>
  <c r="U6" i="10"/>
  <c r="F23" i="10"/>
  <c r="R33" i="10"/>
  <c r="Q33" i="10" s="1"/>
  <c r="AE21" i="9"/>
  <c r="AJ21" i="9"/>
  <c r="AM21" i="9"/>
  <c r="AN21" i="9"/>
  <c r="AH21" i="9"/>
  <c r="AG22" i="9"/>
  <c r="AO22" i="9"/>
  <c r="AP23" i="9"/>
  <c r="AI24" i="9"/>
  <c r="AJ25" i="9"/>
  <c r="AK26" i="9"/>
  <c r="AD27" i="9"/>
  <c r="AL27" i="9"/>
  <c r="AE28" i="9"/>
  <c r="AM28" i="9"/>
  <c r="AF29" i="9"/>
  <c r="AW29" i="9" s="1"/>
  <c r="AF31" i="10" a="1"/>
  <c r="S7" i="10" a="1"/>
  <c r="U38" i="10" a="1"/>
  <c r="R38" i="10" a="1"/>
  <c r="U35" i="10" a="1"/>
  <c r="Q39" i="10" a="1"/>
  <c r="R34" i="10" a="1"/>
  <c r="Q38" i="10" a="1"/>
  <c r="R3" i="10" a="1"/>
  <c r="S38" i="10" a="1"/>
  <c r="V33" i="10" a="1"/>
  <c r="U39" i="10" a="1"/>
  <c r="R36" i="10" a="1"/>
  <c r="AG17" i="10" a="1"/>
  <c r="Q71" i="11" l="1"/>
  <c r="X71" i="11"/>
  <c r="R63" i="11"/>
  <c r="AC63" i="11" s="1"/>
  <c r="S63" i="11"/>
  <c r="T63" i="11"/>
  <c r="U63" i="11"/>
  <c r="V63" i="11"/>
  <c r="W63" i="11"/>
  <c r="AY21" i="9"/>
  <c r="Y63" i="11"/>
  <c r="Z63" i="11"/>
  <c r="AA63" i="11" s="1"/>
  <c r="BB13" i="9"/>
  <c r="BA21" i="9"/>
  <c r="AX29" i="9"/>
  <c r="AF31" i="10"/>
  <c r="R36" i="10"/>
  <c r="U39" i="10"/>
  <c r="V33" i="10"/>
  <c r="S38" i="10"/>
  <c r="R3" i="10"/>
  <c r="Q38" i="10"/>
  <c r="R34" i="10"/>
  <c r="Q39" i="10"/>
  <c r="U35" i="10"/>
  <c r="R38" i="10"/>
  <c r="U38" i="10"/>
  <c r="S7" i="10"/>
  <c r="AG17" i="10"/>
  <c r="AJ29" i="9"/>
  <c r="AE29" i="9"/>
  <c r="AK29" i="9"/>
  <c r="AG29" i="9"/>
  <c r="AH29" i="9"/>
  <c r="AM29" i="9"/>
  <c r="AN29" i="9"/>
  <c r="AO29" i="9"/>
  <c r="AP31" i="9"/>
  <c r="AI32" i="9"/>
  <c r="AJ33" i="9"/>
  <c r="AK34" i="9"/>
  <c r="AD35" i="9"/>
  <c r="AL35" i="9"/>
  <c r="AI36" i="9"/>
  <c r="AH37" i="9"/>
  <c r="AG41" i="9"/>
  <c r="AP41" i="9"/>
  <c r="AP42" i="9"/>
  <c r="AF43" i="9"/>
  <c r="AW43" i="9" s="1"/>
  <c r="AB29" i="9" a="1"/>
  <c r="T40" i="9" a="1"/>
  <c r="AJ18" i="10" a="1"/>
  <c r="AH23" i="10" a="1"/>
  <c r="U34" i="10" a="1"/>
  <c r="U42" i="9" a="1"/>
  <c r="R35" i="10" a="1"/>
  <c r="S39" i="10" a="1"/>
  <c r="T29" i="9" a="1"/>
  <c r="U36" i="10" a="1"/>
  <c r="AH22" i="10" a="1"/>
  <c r="AV25" i="10" a="1"/>
  <c r="Q79" i="11" l="1"/>
  <c r="X79" i="11"/>
  <c r="R71" i="11"/>
  <c r="AC71" i="11" s="1"/>
  <c r="S71" i="11"/>
  <c r="T71" i="11"/>
  <c r="U71" i="11"/>
  <c r="V71" i="11"/>
  <c r="W71" i="11"/>
  <c r="AY29" i="9"/>
  <c r="Y71" i="11"/>
  <c r="Z71" i="11"/>
  <c r="AA71" i="11" s="1"/>
  <c r="BA29" i="9"/>
  <c r="AX43" i="9"/>
  <c r="AH22" i="10"/>
  <c r="U36" i="10"/>
  <c r="T29" i="9"/>
  <c r="S39" i="10"/>
  <c r="R35" i="10"/>
  <c r="U42" i="9"/>
  <c r="AH39" i="9" s="1"/>
  <c r="U34" i="10"/>
  <c r="AH23" i="10"/>
  <c r="AJ18" i="10"/>
  <c r="T40" i="9"/>
  <c r="AB29" i="9"/>
  <c r="AF17" i="10"/>
  <c r="AV25" i="10"/>
  <c r="AE43" i="9"/>
  <c r="AH43" i="9"/>
  <c r="AI43" i="9"/>
  <c r="AL43" i="9"/>
  <c r="AM43" i="9"/>
  <c r="AJ43" i="9"/>
  <c r="AE44" i="9"/>
  <c r="AO44" i="9"/>
  <c r="AD45" i="9"/>
  <c r="AN45" i="9"/>
  <c r="AF46" i="9"/>
  <c r="AK17" i="10" a="1"/>
  <c r="AJ23" i="10" a="1"/>
  <c r="AJ19" i="10" a="1"/>
  <c r="AF23" i="10" a="1"/>
  <c r="AJ20" i="10" a="1"/>
  <c r="AG22" i="10" a="1"/>
  <c r="AY30" i="10" a="1"/>
  <c r="AF22" i="10" a="1"/>
  <c r="AJ22" i="10" a="1"/>
  <c r="AY26" i="10" a="1"/>
  <c r="AG18" i="10" a="1"/>
  <c r="AG20" i="10" a="1"/>
  <c r="AV30" i="10" a="1"/>
  <c r="BC33" i="10" a="1"/>
  <c r="Q93" i="11" l="1"/>
  <c r="X93" i="11"/>
  <c r="R79" i="11"/>
  <c r="AC79" i="11" s="1"/>
  <c r="S79" i="11"/>
  <c r="T79" i="11"/>
  <c r="U79" i="11"/>
  <c r="V79" i="11"/>
  <c r="W79" i="11"/>
  <c r="AY43" i="9"/>
  <c r="Y79" i="11"/>
  <c r="Z79" i="11"/>
  <c r="AA79" i="11" s="1"/>
  <c r="AW46" i="9"/>
  <c r="AX46" i="9" s="1"/>
  <c r="AO30" i="9"/>
  <c r="AO31" i="9"/>
  <c r="AG30" i="9"/>
  <c r="AG31" i="9"/>
  <c r="AG42" i="9"/>
  <c r="AG38" i="9"/>
  <c r="AV30" i="10"/>
  <c r="AG20" i="10"/>
  <c r="AG18" i="10"/>
  <c r="AY26" i="10"/>
  <c r="AJ22" i="10"/>
  <c r="AF22" i="10"/>
  <c r="AY30" i="10"/>
  <c r="AG22" i="10"/>
  <c r="AJ20" i="10"/>
  <c r="AF23" i="10"/>
  <c r="AJ19" i="10"/>
  <c r="AJ23" i="10"/>
  <c r="AK17" i="10"/>
  <c r="AU25" i="10"/>
  <c r="BC33" i="10"/>
  <c r="BB33" i="10" s="1"/>
  <c r="AJ46" i="9"/>
  <c r="AE46" i="9"/>
  <c r="AM46" i="9"/>
  <c r="AL46" i="9"/>
  <c r="AN46" i="9"/>
  <c r="AH46" i="9"/>
  <c r="AI46" i="9"/>
  <c r="AO47" i="9"/>
  <c r="AI48" i="9"/>
  <c r="AP49" i="9"/>
  <c r="AK50" i="9"/>
  <c r="AM52" i="9"/>
  <c r="AK53" i="9"/>
  <c r="AF54" i="9"/>
  <c r="AW54" i="9" s="1"/>
  <c r="AX54" i="9" s="1"/>
  <c r="AY54" i="9" s="1"/>
  <c r="AJ31" i="10" a="1"/>
  <c r="AG26" i="10" a="1"/>
  <c r="AU30" i="10" a="1"/>
  <c r="AU31" i="10" a="1"/>
  <c r="BG33" i="10" a="1"/>
  <c r="BD39" i="10" a="1"/>
  <c r="AV28" i="10" a="1"/>
  <c r="BD38" i="10" a="1"/>
  <c r="AG19" i="10" a="1"/>
  <c r="BF35" i="10" a="1"/>
  <c r="AW31" i="10" a="1"/>
  <c r="BC36" i="10" a="1"/>
  <c r="AZ25" i="10" a="1"/>
  <c r="BC38" i="10" a="1"/>
  <c r="AW30" i="10" a="1"/>
  <c r="BB38" i="10" a="1"/>
  <c r="BC34" i="10" a="1"/>
  <c r="BF39" i="10" a="1"/>
  <c r="BF34" i="10" a="1"/>
  <c r="AY27" i="10" a="1"/>
  <c r="BB39" i="10" a="1"/>
  <c r="BR17" i="10" a="1"/>
  <c r="Q96" i="11" l="1"/>
  <c r="X96" i="11"/>
  <c r="R93" i="11"/>
  <c r="AC93" i="11" s="1"/>
  <c r="S93" i="11"/>
  <c r="T93" i="11"/>
  <c r="U93" i="11"/>
  <c r="V93" i="11"/>
  <c r="W93" i="11"/>
  <c r="AY46" i="9"/>
  <c r="Y93" i="11"/>
  <c r="Z93" i="11"/>
  <c r="AA93" i="11" s="1"/>
  <c r="AG26" i="10"/>
  <c r="AJ31" i="10"/>
  <c r="BB39" i="10"/>
  <c r="AY27" i="10"/>
  <c r="BF34" i="10"/>
  <c r="BF39" i="10"/>
  <c r="BC34" i="10"/>
  <c r="BB38" i="10"/>
  <c r="AW30" i="10"/>
  <c r="BC38" i="10"/>
  <c r="AZ25" i="10"/>
  <c r="BC36" i="10"/>
  <c r="AW31" i="10"/>
  <c r="BF35" i="10"/>
  <c r="AG19" i="10"/>
  <c r="BD38" i="10"/>
  <c r="AV28" i="10"/>
  <c r="BD39" i="10"/>
  <c r="BG33" i="10"/>
  <c r="AU31" i="10"/>
  <c r="AU30" i="10"/>
  <c r="BR17" i="10"/>
  <c r="AG55" i="9"/>
  <c r="AO56" i="9"/>
  <c r="AD57" i="9"/>
  <c r="AM58" i="9"/>
  <c r="AJ60" i="9"/>
  <c r="AL62" i="9"/>
  <c r="AE63" i="9"/>
  <c r="AG64" i="9"/>
  <c r="AD65" i="9"/>
  <c r="AM66" i="9"/>
  <c r="AJ68" i="9"/>
  <c r="AL70" i="9"/>
  <c r="AK71" i="9"/>
  <c r="AH73" i="9"/>
  <c r="AL74" i="9"/>
  <c r="AG81" i="9"/>
  <c r="AP82" i="9"/>
  <c r="AD94" i="9"/>
  <c r="AM95" i="9"/>
  <c r="AL102" i="9"/>
  <c r="AO113" i="9"/>
  <c r="AP114" i="9"/>
  <c r="AI115" i="9"/>
  <c r="AJ116" i="9"/>
  <c r="AG120" i="9"/>
  <c r="AP121" i="9"/>
  <c r="AH22" i="9"/>
  <c r="AP22" i="9"/>
  <c r="AI23" i="9"/>
  <c r="AK25" i="9"/>
  <c r="AD26" i="9"/>
  <c r="AL26" i="9"/>
  <c r="AE27" i="9"/>
  <c r="AM27" i="9"/>
  <c r="AF28" i="9"/>
  <c r="AW28" i="9" s="1"/>
  <c r="AG27" i="10" a="1"/>
  <c r="BC35" i="10" a="1"/>
  <c r="BF38" i="10" a="1"/>
  <c r="BF36" i="10" a="1"/>
  <c r="AN9" i="10" a="1"/>
  <c r="R96" i="11" l="1"/>
  <c r="AC96" i="11" s="1"/>
  <c r="S96" i="11"/>
  <c r="T96" i="11"/>
  <c r="U96" i="11"/>
  <c r="V96" i="11"/>
  <c r="W96" i="11"/>
  <c r="Y96" i="11"/>
  <c r="Z96" i="11"/>
  <c r="AA96" i="11" s="1"/>
  <c r="AX28" i="9"/>
  <c r="AG27" i="10"/>
  <c r="BQ17" i="10"/>
  <c r="BF36" i="10"/>
  <c r="BF38" i="10"/>
  <c r="BC35" i="10"/>
  <c r="AN9" i="10"/>
  <c r="AM9" i="10" s="1"/>
  <c r="AL28" i="9"/>
  <c r="AH28" i="9"/>
  <c r="AJ28" i="9"/>
  <c r="AN28" i="9"/>
  <c r="AO28" i="9"/>
  <c r="AG28" i="9"/>
  <c r="AP30" i="9"/>
  <c r="AI31" i="9"/>
  <c r="AJ32" i="9"/>
  <c r="AK33" i="9"/>
  <c r="AD34" i="9"/>
  <c r="AL34" i="9"/>
  <c r="AE35" i="9"/>
  <c r="AM35" i="9"/>
  <c r="AI38" i="9"/>
  <c r="AI39" i="9"/>
  <c r="AI40" i="9"/>
  <c r="AH41" i="9"/>
  <c r="AF44" i="9"/>
  <c r="AW44" i="9" s="1"/>
  <c r="AZ43" i="9" s="1"/>
  <c r="AQ12" i="10" a="1"/>
  <c r="U40" i="9" a="1"/>
  <c r="AQ14" i="10" a="1"/>
  <c r="AO15" i="10" a="1"/>
  <c r="AN10" i="10" a="1"/>
  <c r="AQ11" i="10" a="1"/>
  <c r="AR9" i="10" a="1"/>
  <c r="AM15" i="10" a="1"/>
  <c r="BC25" i="10" a="1"/>
  <c r="Q78" i="11" l="1"/>
  <c r="X78" i="11"/>
  <c r="AY28" i="9"/>
  <c r="AZ28" i="9"/>
  <c r="AX44" i="9"/>
  <c r="AM15" i="10"/>
  <c r="AR9" i="10"/>
  <c r="AQ11" i="10"/>
  <c r="AN10" i="10"/>
  <c r="AO15" i="10"/>
  <c r="AQ14" i="10"/>
  <c r="U40" i="9"/>
  <c r="AQ12" i="10"/>
  <c r="BC25" i="10"/>
  <c r="AH44" i="9"/>
  <c r="AI44" i="9"/>
  <c r="AN44" i="9"/>
  <c r="AJ44" i="9"/>
  <c r="AL44" i="9"/>
  <c r="AE45" i="9"/>
  <c r="AO45" i="9"/>
  <c r="AG46" i="9"/>
  <c r="AE47" i="9"/>
  <c r="AP47" i="9"/>
  <c r="AD49" i="9"/>
  <c r="AM50" i="9"/>
  <c r="AQ10" i="10" a="1"/>
  <c r="AM14" i="10" a="1"/>
  <c r="X48" i="9" a="1"/>
  <c r="AQ15" i="10" a="1"/>
  <c r="AO14" i="10" a="1"/>
  <c r="AN12" i="10" a="1"/>
  <c r="AN14" i="10" a="1"/>
  <c r="BC30" i="10" a="1"/>
  <c r="BB30" i="10" a="1"/>
  <c r="BF30" i="10" a="1"/>
  <c r="BD30" i="10" a="1"/>
  <c r="Q94" i="11" l="1"/>
  <c r="X94" i="11"/>
  <c r="R78" i="11"/>
  <c r="AC78" i="11" s="1"/>
  <c r="S78" i="11"/>
  <c r="T78" i="11"/>
  <c r="U78" i="11"/>
  <c r="V78" i="11"/>
  <c r="W78" i="11"/>
  <c r="AY44" i="9"/>
  <c r="Z78" i="11"/>
  <c r="AA78" i="11" s="1"/>
  <c r="Y78" i="11"/>
  <c r="BA44" i="9"/>
  <c r="AH30" i="9"/>
  <c r="AH31" i="9"/>
  <c r="AH42" i="9"/>
  <c r="AH38" i="9"/>
  <c r="BD30" i="10"/>
  <c r="BF30" i="10"/>
  <c r="BB30" i="10"/>
  <c r="BC30" i="10"/>
  <c r="AN14" i="10"/>
  <c r="AN12" i="10"/>
  <c r="AO14" i="10"/>
  <c r="AQ15" i="10"/>
  <c r="X48" i="9"/>
  <c r="AK48" i="9" s="1"/>
  <c r="AM14" i="10"/>
  <c r="AQ10" i="10"/>
  <c r="BB25" i="10"/>
  <c r="AO52" i="9"/>
  <c r="AL53" i="9"/>
  <c r="AG54" i="9"/>
  <c r="AJ55" i="9"/>
  <c r="AP56" i="9"/>
  <c r="AG57" i="9"/>
  <c r="AP58" i="9"/>
  <c r="AK60" i="9"/>
  <c r="AD61" i="9"/>
  <c r="AM62" i="9"/>
  <c r="AF63" i="9"/>
  <c r="AW63" i="9" s="1"/>
  <c r="AX63" i="9" s="1"/>
  <c r="AY63" i="9" s="1"/>
  <c r="AJ26" i="10" a="1"/>
  <c r="BF27" i="10" a="1"/>
  <c r="BF31" i="10" a="1"/>
  <c r="BC28" i="10" a="1"/>
  <c r="BB31" i="10" a="1"/>
  <c r="BF26" i="10" a="1"/>
  <c r="BD31" i="10" a="1"/>
  <c r="AN11" i="10" a="1"/>
  <c r="BG25" i="10" a="1"/>
  <c r="BZ9" i="10" a="1"/>
  <c r="R94" i="11" l="1"/>
  <c r="AC94" i="11" s="1"/>
  <c r="S94" i="11"/>
  <c r="T94" i="11"/>
  <c r="U94" i="11"/>
  <c r="V94" i="11"/>
  <c r="W94" i="11"/>
  <c r="Z94" i="11"/>
  <c r="AA94" i="11" s="1"/>
  <c r="Y94" i="11"/>
  <c r="AJ26" i="10"/>
  <c r="BG25" i="10"/>
  <c r="AN11" i="10"/>
  <c r="BD31" i="10"/>
  <c r="BF26" i="10"/>
  <c r="BB31" i="10"/>
  <c r="BC28" i="10"/>
  <c r="BF31" i="10"/>
  <c r="BF27" i="10"/>
  <c r="BZ9" i="10"/>
  <c r="CD9" i="10" s="1" a="1"/>
  <c r="CD9" i="10" s="1"/>
  <c r="AH64" i="9"/>
  <c r="AG65" i="9"/>
  <c r="AP66" i="9"/>
  <c r="AK68" i="9"/>
  <c r="AD69" i="9"/>
  <c r="AM70" i="9"/>
  <c r="AN71" i="9"/>
  <c r="AD72" i="9"/>
  <c r="AI73" i="9"/>
  <c r="AP74" i="9"/>
  <c r="AD75" i="9"/>
  <c r="AF76" i="9"/>
  <c r="CV9" i="10" a="1"/>
  <c r="CC12" i="10" l="1" a="1"/>
  <c r="CC12" i="10" s="1"/>
  <c r="BZ12" i="10" a="1"/>
  <c r="BZ12" i="10" s="1"/>
  <c r="CC15" i="10" a="1"/>
  <c r="CC15" i="10" s="1"/>
  <c r="CC11" i="10" a="1"/>
  <c r="CC11" i="10" s="1"/>
  <c r="CC10" i="10" a="1"/>
  <c r="CC10" i="10" s="1"/>
  <c r="BZ10" i="10" a="1"/>
  <c r="BZ10" i="10" s="1"/>
  <c r="BZ11" i="10" s="1" a="1"/>
  <c r="BZ11" i="10" s="1"/>
  <c r="BY15" i="10" a="1"/>
  <c r="BY15" i="10" s="1"/>
  <c r="BY9" i="10"/>
  <c r="CA15" i="10" a="1"/>
  <c r="CA15" i="10" s="1"/>
  <c r="BZ14" i="10" a="1"/>
  <c r="BZ14" i="10" s="1"/>
  <c r="BY14" i="10" a="1"/>
  <c r="BY14" i="10" s="1"/>
  <c r="CC14" i="10" a="1"/>
  <c r="CC14" i="10" s="1"/>
  <c r="CA14" i="10" a="1"/>
  <c r="CA14" i="10" s="1"/>
  <c r="CV9" i="10"/>
  <c r="CY12" i="10" s="1" a="1"/>
  <c r="CY12" i="10" s="1"/>
  <c r="AO81" i="9"/>
  <c r="AJ84" i="9"/>
  <c r="AE87" i="9"/>
  <c r="AL94" i="9"/>
  <c r="AK101" i="9"/>
  <c r="AF104" i="9"/>
  <c r="AE111" i="9"/>
  <c r="AH119" i="9"/>
  <c r="AH125" i="9"/>
  <c r="AD1" i="9"/>
  <c r="AL1" i="9"/>
  <c r="AE2" i="9"/>
  <c r="Z2" i="9"/>
  <c r="AM2" i="9" s="1"/>
  <c r="AF3" i="9"/>
  <c r="C9" i="10" a="1"/>
  <c r="AW3" i="9" l="1"/>
  <c r="AX3" i="9" s="1"/>
  <c r="CV14" i="10" a="1"/>
  <c r="CV14" i="10" s="1"/>
  <c r="CU9" i="10"/>
  <c r="CU14" i="10" a="1"/>
  <c r="CU14" i="10" s="1"/>
  <c r="CW15" i="10" a="1"/>
  <c r="CW15" i="10" s="1"/>
  <c r="CW14" i="10" a="1"/>
  <c r="CW14" i="10" s="1"/>
  <c r="CY11" i="10" a="1"/>
  <c r="CY11" i="10" s="1"/>
  <c r="CV12" i="10" a="1"/>
  <c r="CV12" i="10" s="1"/>
  <c r="CV10" i="10" a="1"/>
  <c r="CV10" i="10" s="1"/>
  <c r="CV11" i="10" s="1" a="1"/>
  <c r="CV11" i="10" s="1"/>
  <c r="CU15" i="10" a="1"/>
  <c r="CU15" i="10" s="1"/>
  <c r="CZ9" i="10" a="1"/>
  <c r="CZ9" i="10" s="1"/>
  <c r="CY15" i="10" a="1"/>
  <c r="CY15" i="10" s="1"/>
  <c r="CY14" i="10" a="1"/>
  <c r="CY14" i="10" s="1"/>
  <c r="CY10" i="10" a="1"/>
  <c r="CY10" i="10" s="1"/>
  <c r="C9" i="10"/>
  <c r="B9" i="10" s="1"/>
  <c r="AA3" i="9"/>
  <c r="AN3" i="9" s="1"/>
  <c r="AP5" i="9"/>
  <c r="AI6" i="9"/>
  <c r="AD9" i="9"/>
  <c r="AE10" i="9"/>
  <c r="Z10" i="9"/>
  <c r="AM10" i="9" s="1"/>
  <c r="AF11" i="9"/>
  <c r="AW11" i="9" s="1"/>
  <c r="F11" i="10" a="1"/>
  <c r="AB3" i="9" a="1"/>
  <c r="C12" i="10" a="1"/>
  <c r="C14" i="10" a="1"/>
  <c r="F12" i="10" a="1"/>
  <c r="D15" i="10" a="1"/>
  <c r="U3" i="9" a="1"/>
  <c r="B15" i="10" a="1"/>
  <c r="Y9" i="9" a="1"/>
  <c r="G9" i="10" a="1"/>
  <c r="T3" i="9" a="1"/>
  <c r="D14" i="10" a="1"/>
  <c r="F14" i="10" a="1"/>
  <c r="C41" i="10" a="1"/>
  <c r="Q53" i="11" l="1"/>
  <c r="X53" i="11"/>
  <c r="AY3" i="9"/>
  <c r="AZ3" i="9"/>
  <c r="BA3" i="9"/>
  <c r="AX11" i="9"/>
  <c r="F14" i="10"/>
  <c r="D14" i="10"/>
  <c r="T3" i="9"/>
  <c r="AG3" i="9" s="1"/>
  <c r="G9" i="10"/>
  <c r="Y9" i="9"/>
  <c r="AL9" i="9" s="1"/>
  <c r="B15" i="10"/>
  <c r="U3" i="9"/>
  <c r="AH3" i="9" s="1"/>
  <c r="D15" i="10"/>
  <c r="F12" i="10"/>
  <c r="C14" i="10"/>
  <c r="C12" i="10"/>
  <c r="AB3" i="9"/>
  <c r="AO3" i="9" s="1"/>
  <c r="F11" i="10"/>
  <c r="C41" i="10"/>
  <c r="AG11" i="9"/>
  <c r="AN11" i="9"/>
  <c r="AO11" i="9"/>
  <c r="AH11" i="9"/>
  <c r="AP13" i="9"/>
  <c r="AI14" i="9"/>
  <c r="AD17" i="9"/>
  <c r="AL17" i="9"/>
  <c r="AE18" i="9"/>
  <c r="Z18" i="9"/>
  <c r="AM18" i="9" s="1"/>
  <c r="AF19" i="9"/>
  <c r="AW19" i="9" s="1"/>
  <c r="F42" i="10" a="1"/>
  <c r="C10" i="10" a="1"/>
  <c r="F15" i="10" a="1"/>
  <c r="F43" i="10" a="1"/>
  <c r="F44" i="10" a="1"/>
  <c r="B14" i="10" a="1"/>
  <c r="F10" i="10" a="1"/>
  <c r="B46" i="10" a="1"/>
  <c r="C46" i="10" a="1"/>
  <c r="B47" i="10" a="1"/>
  <c r="G41" i="10" a="1"/>
  <c r="C42" i="10" a="1"/>
  <c r="R25" i="10" a="1"/>
  <c r="Q61" i="11" l="1"/>
  <c r="X61" i="11"/>
  <c r="R53" i="11"/>
  <c r="AC53" i="11" s="1"/>
  <c r="S53" i="11"/>
  <c r="T53" i="11"/>
  <c r="U53" i="11"/>
  <c r="V53" i="11"/>
  <c r="W53" i="11"/>
  <c r="AY11" i="9"/>
  <c r="Y53" i="11"/>
  <c r="Z53" i="11"/>
  <c r="AA53" i="11" s="1"/>
  <c r="BB3" i="9"/>
  <c r="AZ11" i="9"/>
  <c r="BA11" i="9"/>
  <c r="AX19" i="9"/>
  <c r="C42" i="10"/>
  <c r="G41" i="10"/>
  <c r="B47" i="10"/>
  <c r="C46" i="10"/>
  <c r="B46" i="10"/>
  <c r="F10" i="10"/>
  <c r="B14" i="10"/>
  <c r="F44" i="10"/>
  <c r="F43" i="10"/>
  <c r="F15" i="10"/>
  <c r="C10" i="10"/>
  <c r="F42" i="10"/>
  <c r="B41" i="10"/>
  <c r="R25" i="10"/>
  <c r="Q25" i="10" s="1"/>
  <c r="AH19" i="9"/>
  <c r="AG19" i="9"/>
  <c r="AO19" i="9"/>
  <c r="AN19" i="9"/>
  <c r="AP21" i="9"/>
  <c r="AI22" i="9"/>
  <c r="AD25" i="9"/>
  <c r="AL25" i="9"/>
  <c r="AE26" i="9"/>
  <c r="AM26" i="9"/>
  <c r="AF27" i="9"/>
  <c r="AW27" i="9" s="1"/>
  <c r="D47" i="10" a="1"/>
  <c r="D46" i="10" a="1"/>
  <c r="C11" i="10" a="1"/>
  <c r="S31" i="10" a="1"/>
  <c r="R28" i="10" a="1"/>
  <c r="Q30" i="10" a="1"/>
  <c r="F46" i="10" a="1"/>
  <c r="C44" i="10" a="1"/>
  <c r="U27" i="10" a="1"/>
  <c r="F47" i="10" a="1"/>
  <c r="R30" i="10" a="1"/>
  <c r="R26" i="10" a="1"/>
  <c r="AG9" i="10" a="1"/>
  <c r="Q69" i="11" l="1"/>
  <c r="X69" i="11"/>
  <c r="R61" i="11"/>
  <c r="AC61" i="11" s="1"/>
  <c r="S61" i="11"/>
  <c r="T61" i="11"/>
  <c r="U61" i="11"/>
  <c r="V61" i="11"/>
  <c r="W61" i="11"/>
  <c r="AY19" i="9"/>
  <c r="Z61" i="11"/>
  <c r="AA61" i="11" s="1"/>
  <c r="Y61" i="11"/>
  <c r="BB11" i="9"/>
  <c r="AZ19" i="9"/>
  <c r="BA19" i="9"/>
  <c r="AX27" i="9"/>
  <c r="R26" i="10"/>
  <c r="R30" i="10"/>
  <c r="F47" i="10"/>
  <c r="U27" i="10"/>
  <c r="C44" i="10"/>
  <c r="F46" i="10"/>
  <c r="Q30" i="10"/>
  <c r="R28" i="10"/>
  <c r="S31" i="10"/>
  <c r="C11" i="10"/>
  <c r="D46" i="10"/>
  <c r="D47" i="10"/>
  <c r="AG9" i="10"/>
  <c r="AG27" i="9"/>
  <c r="AK27" i="9"/>
  <c r="AH27" i="9"/>
  <c r="AN27" i="9"/>
  <c r="AO27" i="9"/>
  <c r="AP29" i="9"/>
  <c r="AI30" i="9"/>
  <c r="AK32" i="9"/>
  <c r="AD33" i="9"/>
  <c r="AL33" i="9"/>
  <c r="AE34" i="9"/>
  <c r="AM34" i="9"/>
  <c r="AF35" i="9"/>
  <c r="AW35" i="9" s="1"/>
  <c r="U31" i="10" a="1"/>
  <c r="AG10" i="10" a="1"/>
  <c r="U26" i="10" a="1"/>
  <c r="U30" i="10" a="1"/>
  <c r="U28" i="10" a="1"/>
  <c r="S30" i="10" a="1"/>
  <c r="C43" i="10" a="1"/>
  <c r="AG14" i="10" a="1"/>
  <c r="V25" i="10" a="1"/>
  <c r="AK9" i="10" a="1"/>
  <c r="Q31" i="10" a="1"/>
  <c r="AF15" i="10" a="1"/>
  <c r="AJ15" i="10" a="1"/>
  <c r="R27" i="10" a="1"/>
  <c r="AJ12" i="10" a="1"/>
  <c r="AG41" i="10" a="1"/>
  <c r="Q77" i="11" l="1"/>
  <c r="X77" i="11"/>
  <c r="R69" i="11"/>
  <c r="AC69" i="11" s="1"/>
  <c r="S69" i="11"/>
  <c r="T69" i="11"/>
  <c r="U69" i="11"/>
  <c r="V69" i="11"/>
  <c r="W69" i="11"/>
  <c r="Y69" i="11"/>
  <c r="Z69" i="11"/>
  <c r="AA69" i="11" s="1"/>
  <c r="BB19" i="9"/>
  <c r="BA27" i="9"/>
  <c r="AZ27" i="9"/>
  <c r="AX35" i="9"/>
  <c r="AJ12" i="10"/>
  <c r="R27" i="10"/>
  <c r="AJ15" i="10"/>
  <c r="AF15" i="10"/>
  <c r="Q31" i="10"/>
  <c r="AK9" i="10"/>
  <c r="V25" i="10"/>
  <c r="AG14" i="10"/>
  <c r="C43" i="10"/>
  <c r="S30" i="10"/>
  <c r="U28" i="10"/>
  <c r="U30" i="10"/>
  <c r="U26" i="10"/>
  <c r="AG10" i="10"/>
  <c r="U31" i="10"/>
  <c r="AF9" i="10"/>
  <c r="AG41" i="10"/>
  <c r="AF41" i="10" s="1"/>
  <c r="AN35" i="9"/>
  <c r="AK36" i="9"/>
  <c r="AK37" i="9"/>
  <c r="AI41" i="9"/>
  <c r="AI42" i="9"/>
  <c r="AG44" i="9"/>
  <c r="AF45" i="9"/>
  <c r="AW45" i="9" s="1"/>
  <c r="BA43" i="9" s="1"/>
  <c r="BB43" i="9" s="1"/>
  <c r="BC26" i="10" a="1"/>
  <c r="AQ44" i="10" a="1"/>
  <c r="AH15" i="10" a="1"/>
  <c r="AJ46" i="10" a="1"/>
  <c r="AG12" i="10" a="1"/>
  <c r="AJ14" i="10" a="1"/>
  <c r="AF46" i="10" a="1"/>
  <c r="AH47" i="10" a="1"/>
  <c r="AK41" i="10" a="1"/>
  <c r="AG46" i="10" a="1"/>
  <c r="AJ43" i="10" a="1"/>
  <c r="AJ11" i="10" a="1"/>
  <c r="AF14" i="10" a="1"/>
  <c r="AH46" i="10" a="1"/>
  <c r="AF47" i="10" a="1"/>
  <c r="AH14" i="10" a="1"/>
  <c r="AG44" i="10" a="1"/>
  <c r="AV33" i="10" a="1"/>
  <c r="Q85" i="11" l="1"/>
  <c r="X85" i="11"/>
  <c r="R77" i="11"/>
  <c r="AC77" i="11" s="1"/>
  <c r="AY35" i="9"/>
  <c r="BA35" i="9"/>
  <c r="AZ35" i="9"/>
  <c r="AX45" i="9"/>
  <c r="AZ44" i="9"/>
  <c r="BB44" i="9" s="1"/>
  <c r="AQ44" i="10"/>
  <c r="BC26" i="10"/>
  <c r="AG44" i="10"/>
  <c r="AH14" i="10"/>
  <c r="AF47" i="10"/>
  <c r="AH46" i="10"/>
  <c r="AF14" i="10"/>
  <c r="AJ11" i="10"/>
  <c r="AJ43" i="10"/>
  <c r="AG46" i="10"/>
  <c r="AK41" i="10"/>
  <c r="AH47" i="10"/>
  <c r="AF46" i="10"/>
  <c r="AJ14" i="10"/>
  <c r="AG12" i="10"/>
  <c r="AJ46" i="10"/>
  <c r="AH15" i="10"/>
  <c r="AV33" i="10"/>
  <c r="AM45" i="9"/>
  <c r="AH45" i="9"/>
  <c r="AI45" i="9"/>
  <c r="AJ45" i="9"/>
  <c r="AL45" i="9"/>
  <c r="AP45" i="9"/>
  <c r="AF47" i="9"/>
  <c r="BC27" i="10" a="1"/>
  <c r="AG11" i="10" a="1"/>
  <c r="AY35" i="10" a="1"/>
  <c r="AY38" i="10" a="1"/>
  <c r="AV38" i="10" a="1"/>
  <c r="AW38" i="10" a="1"/>
  <c r="AV36" i="10" a="1"/>
  <c r="AY39" i="10" a="1"/>
  <c r="AW39" i="10" a="1"/>
  <c r="AY36" i="10" a="1"/>
  <c r="AU39" i="10" a="1"/>
  <c r="AY34" i="10" a="1"/>
  <c r="AU38" i="10" a="1"/>
  <c r="AV41" i="10" a="1"/>
  <c r="Q95" i="11" l="1"/>
  <c r="X95" i="11"/>
  <c r="R85" i="11"/>
  <c r="AC85" i="11" s="1"/>
  <c r="S85" i="11"/>
  <c r="T85" i="11"/>
  <c r="U85" i="11"/>
  <c r="V85" i="11"/>
  <c r="W85" i="11"/>
  <c r="AY45" i="9"/>
  <c r="Z85" i="11"/>
  <c r="AA85" i="11" s="1"/>
  <c r="Y85" i="11"/>
  <c r="BB35" i="9"/>
  <c r="AZ45" i="9"/>
  <c r="AW47" i="9"/>
  <c r="AZ46" i="9" s="1"/>
  <c r="BC27" i="10"/>
  <c r="AU38" i="10"/>
  <c r="AY34" i="10"/>
  <c r="AU39" i="10"/>
  <c r="AY36" i="10"/>
  <c r="AW39" i="10"/>
  <c r="AY39" i="10"/>
  <c r="AV36" i="10"/>
  <c r="AW38" i="10"/>
  <c r="AV38" i="10"/>
  <c r="AY38" i="10"/>
  <c r="AY35" i="10"/>
  <c r="AG11" i="10"/>
  <c r="AU33" i="10"/>
  <c r="AV41" i="10"/>
  <c r="AU41" i="10" s="1"/>
  <c r="AH47" i="9"/>
  <c r="AI47" i="9"/>
  <c r="AN47" i="9"/>
  <c r="AJ47" i="9"/>
  <c r="AL47" i="9"/>
  <c r="AM47" i="9"/>
  <c r="AG49" i="9"/>
  <c r="AP50" i="9"/>
  <c r="AI51" i="9"/>
  <c r="AD52" i="9"/>
  <c r="AM53" i="9"/>
  <c r="AI54" i="9"/>
  <c r="AM55" i="9"/>
  <c r="AH57" i="9"/>
  <c r="AF59" i="9"/>
  <c r="AW59" i="9" s="1"/>
  <c r="AX59" i="9" s="1"/>
  <c r="AY59" i="9" s="1"/>
  <c r="AV42" i="10" a="1"/>
  <c r="AU47" i="10" a="1"/>
  <c r="AW46" i="10" a="1"/>
  <c r="AU46" i="10" a="1"/>
  <c r="AY47" i="10" a="1"/>
  <c r="AY42" i="10" a="1"/>
  <c r="AY46" i="10" a="1"/>
  <c r="AV44" i="10" a="1"/>
  <c r="AV46" i="10" a="1"/>
  <c r="AY44" i="10" a="1"/>
  <c r="AZ33" i="10" a="1"/>
  <c r="AW47" i="10" a="1"/>
  <c r="Y48" i="9" a="1"/>
  <c r="AV34" i="10" a="1"/>
  <c r="AZ41" i="10" a="1"/>
  <c r="AY43" i="10" a="1"/>
  <c r="BK41" i="10" a="1"/>
  <c r="R95" i="11" l="1"/>
  <c r="AC95" i="11" s="1"/>
  <c r="S95" i="11"/>
  <c r="T95" i="11"/>
  <c r="U95" i="11"/>
  <c r="V95" i="11"/>
  <c r="W95" i="11"/>
  <c r="Z95" i="11"/>
  <c r="AA95" i="11" s="1"/>
  <c r="Y95" i="11"/>
  <c r="AX47" i="9"/>
  <c r="BA45" i="9"/>
  <c r="BB45" i="9" s="1"/>
  <c r="AY43" i="10"/>
  <c r="AZ41" i="10"/>
  <c r="AV34" i="10"/>
  <c r="Y48" i="9"/>
  <c r="AW47" i="10"/>
  <c r="AZ33" i="10"/>
  <c r="AY44" i="10"/>
  <c r="AV46" i="10"/>
  <c r="AV44" i="10"/>
  <c r="AY46" i="10"/>
  <c r="AY42" i="10"/>
  <c r="AY47" i="10"/>
  <c r="AU46" i="10"/>
  <c r="AW46" i="10"/>
  <c r="AU47" i="10"/>
  <c r="AV42" i="10"/>
  <c r="BK41" i="10"/>
  <c r="BO41" i="10" s="1" a="1"/>
  <c r="BO41" i="10" s="1"/>
  <c r="AL60" i="9"/>
  <c r="AE61" i="9"/>
  <c r="AN62" i="9"/>
  <c r="AG63" i="9"/>
  <c r="AK64" i="9"/>
  <c r="AH65" i="9"/>
  <c r="AF67" i="9"/>
  <c r="AW67" i="9" s="1"/>
  <c r="AX67" i="9" s="1"/>
  <c r="AY67" i="9" s="1"/>
  <c r="AV35" i="10" a="1"/>
  <c r="BZ25" i="10" a="1"/>
  <c r="Q97" i="11" l="1"/>
  <c r="X97" i="11"/>
  <c r="AY47" i="9"/>
  <c r="BN44" i="10" a="1"/>
  <c r="BN44" i="10" s="1"/>
  <c r="BK44" i="10" a="1"/>
  <c r="BK44" i="10" s="1"/>
  <c r="BJ41" i="10"/>
  <c r="BJ46" i="10" a="1"/>
  <c r="BJ46" i="10" s="1"/>
  <c r="BJ47" i="10" a="1"/>
  <c r="BJ47" i="10" s="1"/>
  <c r="BK46" i="10" a="1"/>
  <c r="BK46" i="10" s="1"/>
  <c r="BL47" i="10" a="1"/>
  <c r="BL47" i="10" s="1"/>
  <c r="BN47" i="10" a="1"/>
  <c r="BN47" i="10" s="1"/>
  <c r="BN43" i="10" a="1"/>
  <c r="BN43" i="10" s="1"/>
  <c r="BN42" i="10" a="1"/>
  <c r="BN42" i="10" s="1"/>
  <c r="BK42" i="10" a="1"/>
  <c r="BK42" i="10" s="1"/>
  <c r="BK43" i="10" s="1" a="1"/>
  <c r="BK43" i="10" s="1"/>
  <c r="BN46" i="10" a="1"/>
  <c r="BN46" i="10" s="1"/>
  <c r="AV35" i="10"/>
  <c r="BL46" i="10" a="1"/>
  <c r="BL46" i="10" s="1"/>
  <c r="AA48" i="9"/>
  <c r="AN48" i="9" s="1"/>
  <c r="BZ25" i="10"/>
  <c r="BY30" i="10" s="1" a="1"/>
  <c r="BY30" i="10" s="1"/>
  <c r="AL68" i="9"/>
  <c r="AE69" i="9"/>
  <c r="AN70" i="9"/>
  <c r="AO71" i="9"/>
  <c r="AG72" i="9"/>
  <c r="AM73" i="9"/>
  <c r="AE75" i="9"/>
  <c r="AJ76" i="9"/>
  <c r="AD86" i="9"/>
  <c r="AM87" i="9"/>
  <c r="AK93" i="9"/>
  <c r="AF96" i="9"/>
  <c r="AN104" i="9"/>
  <c r="AG105" i="9"/>
  <c r="AD110" i="9"/>
  <c r="AM111" i="9"/>
  <c r="AD118" i="9"/>
  <c r="AE1" i="9"/>
  <c r="AM1" i="9"/>
  <c r="AF2" i="9"/>
  <c r="AV43" i="10" a="1"/>
  <c r="J1" i="10" a="1"/>
  <c r="R97" i="11" l="1"/>
  <c r="AC97" i="11" s="1"/>
  <c r="S97" i="11"/>
  <c r="T97" i="11"/>
  <c r="U97" i="11"/>
  <c r="V97" i="11"/>
  <c r="W97" i="11"/>
  <c r="Y97" i="11"/>
  <c r="Z97" i="11"/>
  <c r="AA97" i="11" s="1"/>
  <c r="AW2" i="9"/>
  <c r="AX2" i="9" s="1"/>
  <c r="BZ30" i="10" a="1"/>
  <c r="BZ30" i="10" s="1"/>
  <c r="BZ28" i="10" a="1"/>
  <c r="BZ28" i="10" s="1"/>
  <c r="CA30" i="10" a="1"/>
  <c r="CA30" i="10" s="1"/>
  <c r="CC30" i="10" a="1"/>
  <c r="CC30" i="10" s="1"/>
  <c r="BY25" i="10"/>
  <c r="BZ26" i="10" a="1"/>
  <c r="BZ26" i="10" s="1"/>
  <c r="BZ27" i="10" s="1" a="1"/>
  <c r="BZ27" i="10" s="1"/>
  <c r="CC27" i="10" a="1"/>
  <c r="CC27" i="10" s="1"/>
  <c r="CC31" i="10" a="1"/>
  <c r="CC31" i="10" s="1"/>
  <c r="CC26" i="10" a="1"/>
  <c r="CC26" i="10" s="1"/>
  <c r="CA31" i="10" a="1"/>
  <c r="CA31" i="10" s="1"/>
  <c r="AV43" i="10"/>
  <c r="CD25" i="10" a="1"/>
  <c r="CD25" i="10" s="1"/>
  <c r="CC28" i="10" a="1"/>
  <c r="CC28" i="10" s="1"/>
  <c r="BY31" i="10" a="1"/>
  <c r="BY31" i="10" s="1"/>
  <c r="J1" i="10"/>
  <c r="I1" i="10" s="1"/>
  <c r="AA2" i="9"/>
  <c r="AN2" i="9" s="1"/>
  <c r="AP4" i="9"/>
  <c r="AI5" i="9"/>
  <c r="AD8" i="9"/>
  <c r="AE9" i="9"/>
  <c r="Z9" i="9"/>
  <c r="AM9" i="9" s="1"/>
  <c r="AF10" i="9"/>
  <c r="AW10" i="9" s="1"/>
  <c r="T2" i="9" a="1"/>
  <c r="M2" i="10" a="1"/>
  <c r="I6" i="10" a="1"/>
  <c r="M4" i="10" a="1"/>
  <c r="J6" i="10" a="1"/>
  <c r="I7" i="10" a="1"/>
  <c r="M6" i="10" a="1"/>
  <c r="AB2" i="9" a="1"/>
  <c r="J33" i="10" a="1"/>
  <c r="Q52" i="11" l="1"/>
  <c r="X52" i="11"/>
  <c r="AY2" i="9"/>
  <c r="AZ2" i="9"/>
  <c r="BA2" i="9"/>
  <c r="AX10" i="9"/>
  <c r="AB2" i="9"/>
  <c r="AO2" i="9" s="1"/>
  <c r="M6" i="10"/>
  <c r="I7" i="10"/>
  <c r="J6" i="10"/>
  <c r="M4" i="10"/>
  <c r="I6" i="10"/>
  <c r="M2" i="10"/>
  <c r="T2" i="9"/>
  <c r="AG2" i="9" s="1"/>
  <c r="J33" i="10"/>
  <c r="I33" i="10" s="1"/>
  <c r="AA10" i="9"/>
  <c r="AN10" i="9" s="1"/>
  <c r="AP12" i="9"/>
  <c r="AI13" i="9"/>
  <c r="AD16" i="9"/>
  <c r="AE17" i="9"/>
  <c r="AM17" i="9"/>
  <c r="AF18" i="9"/>
  <c r="AW18" i="9" s="1"/>
  <c r="M7" i="10" a="1"/>
  <c r="K7" i="10" a="1"/>
  <c r="M35" i="10" a="1"/>
  <c r="I39" i="10" a="1"/>
  <c r="J4" i="10" a="1"/>
  <c r="AB10" i="9" a="1"/>
  <c r="J2" i="10" a="1"/>
  <c r="M34" i="10" a="1"/>
  <c r="K39" i="10" a="1"/>
  <c r="J38" i="10" a="1"/>
  <c r="M3" i="10" a="1"/>
  <c r="M38" i="10" a="1"/>
  <c r="M36" i="10" a="1"/>
  <c r="N1" i="10" a="1"/>
  <c r="K6" i="10" a="1"/>
  <c r="T10" i="9" a="1"/>
  <c r="K38" i="10" a="1"/>
  <c r="N33" i="10" a="1"/>
  <c r="I38" i="10" a="1"/>
  <c r="J36" i="10" a="1"/>
  <c r="Y17" i="10" a="1"/>
  <c r="Q60" i="11" l="1"/>
  <c r="X60" i="11"/>
  <c r="R52" i="11"/>
  <c r="AC52" i="11" s="1"/>
  <c r="S52" i="11"/>
  <c r="T52" i="11"/>
  <c r="U52" i="11"/>
  <c r="V52" i="11"/>
  <c r="W52" i="11"/>
  <c r="AY10" i="9"/>
  <c r="Y52" i="11"/>
  <c r="Z52" i="11"/>
  <c r="AA52" i="11" s="1"/>
  <c r="BB2" i="9"/>
  <c r="AZ10" i="9"/>
  <c r="BA10" i="9"/>
  <c r="AX18" i="9"/>
  <c r="J36" i="10"/>
  <c r="I38" i="10"/>
  <c r="N33" i="10"/>
  <c r="K38" i="10"/>
  <c r="T10" i="9"/>
  <c r="AG10" i="9" s="1"/>
  <c r="K6" i="10"/>
  <c r="N1" i="10"/>
  <c r="M36" i="10"/>
  <c r="M38" i="10"/>
  <c r="M3" i="10"/>
  <c r="J38" i="10"/>
  <c r="K39" i="10"/>
  <c r="M34" i="10"/>
  <c r="J2" i="10"/>
  <c r="AB10" i="9"/>
  <c r="AO10" i="9" s="1"/>
  <c r="J4" i="10"/>
  <c r="I39" i="10"/>
  <c r="M35" i="10"/>
  <c r="K7" i="10"/>
  <c r="M7" i="10"/>
  <c r="Y17" i="10"/>
  <c r="X17" i="10" s="1"/>
  <c r="AA18" i="9"/>
  <c r="AN18" i="9" s="1"/>
  <c r="AP20" i="9"/>
  <c r="AI21" i="9"/>
  <c r="AJ22" i="9"/>
  <c r="AD24" i="9"/>
  <c r="AE25" i="9"/>
  <c r="T77" i="11" s="1"/>
  <c r="AM25" i="9"/>
  <c r="AF26" i="9"/>
  <c r="AW26" i="9" s="1"/>
  <c r="Z22" i="10" a="1"/>
  <c r="AB19" i="10" a="1"/>
  <c r="T18" i="9" a="1"/>
  <c r="AB18" i="9" a="1"/>
  <c r="Y20" i="10" a="1"/>
  <c r="J34" i="10" a="1"/>
  <c r="M39" i="10" a="1"/>
  <c r="AB18" i="10" a="1"/>
  <c r="AN1" i="10" a="1"/>
  <c r="AY27" i="9" l="1"/>
  <c r="BA24" i="9"/>
  <c r="R60" i="11"/>
  <c r="S60" i="11"/>
  <c r="T60" i="11"/>
  <c r="U60" i="11"/>
  <c r="V60" i="11"/>
  <c r="W60" i="11"/>
  <c r="Q68" i="11"/>
  <c r="X68" i="11"/>
  <c r="W77" i="11"/>
  <c r="V77" i="11"/>
  <c r="U77" i="11"/>
  <c r="AY18" i="9"/>
  <c r="BB10" i="9"/>
  <c r="BA18" i="9"/>
  <c r="AZ18" i="9"/>
  <c r="BB27" i="9"/>
  <c r="AB18" i="10"/>
  <c r="M39" i="10"/>
  <c r="J34" i="10"/>
  <c r="Y20" i="10"/>
  <c r="AB18" i="9"/>
  <c r="AO18" i="9" s="1"/>
  <c r="T18" i="9"/>
  <c r="AG18" i="9" s="1"/>
  <c r="AB19" i="10"/>
  <c r="Z22" i="10"/>
  <c r="AN1" i="10"/>
  <c r="AM1" i="10" s="1"/>
  <c r="AN26" i="9"/>
  <c r="AG26" i="9"/>
  <c r="AJ26" i="9"/>
  <c r="AO26" i="9"/>
  <c r="AH26" i="9"/>
  <c r="AP28" i="9"/>
  <c r="AI29" i="9"/>
  <c r="AJ30" i="9"/>
  <c r="AD32" i="9"/>
  <c r="AL32" i="9"/>
  <c r="AE33" i="9"/>
  <c r="AM33" i="9"/>
  <c r="AF34" i="9"/>
  <c r="AW34" i="9" s="1"/>
  <c r="AB20" i="10" a="1"/>
  <c r="Z23" i="10" a="1"/>
  <c r="AM6" i="10" a="1"/>
  <c r="AQ4" i="10" a="1"/>
  <c r="X23" i="10" a="1"/>
  <c r="X22" i="10" a="1"/>
  <c r="AN4" i="10" a="1"/>
  <c r="Y18" i="10" a="1"/>
  <c r="J35" i="10" a="1"/>
  <c r="AB23" i="10" a="1"/>
  <c r="AB22" i="10" a="1"/>
  <c r="AO6" i="10" a="1"/>
  <c r="Y22" i="10" a="1"/>
  <c r="AO7" i="10" a="1"/>
  <c r="J3" i="10" a="1"/>
  <c r="AN6" i="10" a="1"/>
  <c r="AQ2" i="10" a="1"/>
  <c r="AM7" i="10" a="1"/>
  <c r="AC17" i="10" a="1"/>
  <c r="AR1" i="10" a="1"/>
  <c r="AN2" i="10" a="1"/>
  <c r="AQ7" i="10" a="1"/>
  <c r="AQ3" i="10" a="1"/>
  <c r="AQ6" i="10" a="1"/>
  <c r="AN33" i="10" a="1"/>
  <c r="R68" i="11" l="1"/>
  <c r="AC68" i="11" s="1"/>
  <c r="S68" i="11"/>
  <c r="T68" i="11"/>
  <c r="U68" i="11"/>
  <c r="V68" i="11"/>
  <c r="W68" i="11"/>
  <c r="Z68" i="11"/>
  <c r="AA68" i="11" s="1"/>
  <c r="Y68" i="11"/>
  <c r="BB18" i="9"/>
  <c r="AX26" i="9"/>
  <c r="AX34" i="9"/>
  <c r="AQ6" i="10"/>
  <c r="AQ3" i="10"/>
  <c r="AQ7" i="10"/>
  <c r="AN2" i="10"/>
  <c r="AR1" i="10"/>
  <c r="AC17" i="10"/>
  <c r="AM7" i="10"/>
  <c r="AQ2" i="10"/>
  <c r="AN6" i="10"/>
  <c r="J3" i="10"/>
  <c r="AO7" i="10"/>
  <c r="Y22" i="10"/>
  <c r="AO6" i="10"/>
  <c r="AB22" i="10"/>
  <c r="AB23" i="10"/>
  <c r="J35" i="10"/>
  <c r="Y18" i="10"/>
  <c r="AN4" i="10"/>
  <c r="X22" i="10"/>
  <c r="X23" i="10"/>
  <c r="AQ4" i="10"/>
  <c r="AM6" i="10"/>
  <c r="Z23" i="10"/>
  <c r="AB20" i="10"/>
  <c r="AN33" i="10"/>
  <c r="AM33" i="10" s="1"/>
  <c r="AH34" i="9"/>
  <c r="AG34" i="9"/>
  <c r="AJ34" i="9"/>
  <c r="AN34" i="9"/>
  <c r="AO34" i="9"/>
  <c r="AG35" i="9"/>
  <c r="AO35" i="9"/>
  <c r="AL36" i="9"/>
  <c r="AL37" i="9"/>
  <c r="AL38" i="9"/>
  <c r="AL39" i="9"/>
  <c r="AJ41" i="9"/>
  <c r="AJ42" i="9"/>
  <c r="AK43" i="9"/>
  <c r="AG45" i="9"/>
  <c r="AG47" i="9"/>
  <c r="AH49" i="9"/>
  <c r="AJ51" i="9"/>
  <c r="AE52" i="9"/>
  <c r="AN53" i="9"/>
  <c r="AL54" i="9"/>
  <c r="AN55" i="9"/>
  <c r="AF56" i="9"/>
  <c r="AW56" i="9" s="1"/>
  <c r="AN46" i="10" a="1"/>
  <c r="AJ47" i="10" a="1"/>
  <c r="AG42" i="10" a="1"/>
  <c r="AY28" i="10" a="1"/>
  <c r="Y19" i="10" a="1"/>
  <c r="AQ39" i="10" a="1"/>
  <c r="AN34" i="10" a="1"/>
  <c r="AQ38" i="10" a="1"/>
  <c r="AN38" i="10" a="1"/>
  <c r="AO39" i="10" a="1"/>
  <c r="AM39" i="10" a="1"/>
  <c r="AN36" i="10" a="1"/>
  <c r="AO38" i="10" a="1"/>
  <c r="AQ36" i="10" a="1"/>
  <c r="AN3" i="10" a="1"/>
  <c r="AR33" i="10" a="1"/>
  <c r="AQ34" i="10" a="1"/>
  <c r="AM38" i="10" a="1"/>
  <c r="AQ35" i="10" a="1"/>
  <c r="AB48" i="9" a="1"/>
  <c r="BR25" i="10" a="1"/>
  <c r="Q84" i="11" l="1"/>
  <c r="X84" i="11"/>
  <c r="Q76" i="11"/>
  <c r="X76" i="11"/>
  <c r="AY34" i="9"/>
  <c r="AZ26" i="9"/>
  <c r="AZ34" i="9"/>
  <c r="BA34" i="9"/>
  <c r="BA26" i="9"/>
  <c r="AX56" i="9"/>
  <c r="AY56" i="9" s="1"/>
  <c r="BA54" i="9"/>
  <c r="AN46" i="10"/>
  <c r="AY28" i="10"/>
  <c r="AG42" i="10"/>
  <c r="AJ47" i="10"/>
  <c r="AB48" i="9"/>
  <c r="AO48" i="9" s="1"/>
  <c r="AQ35" i="10"/>
  <c r="AM38" i="10"/>
  <c r="AQ34" i="10"/>
  <c r="AR33" i="10"/>
  <c r="AN3" i="10"/>
  <c r="AQ36" i="10"/>
  <c r="AO38" i="10"/>
  <c r="AN36" i="10"/>
  <c r="AM39" i="10"/>
  <c r="AO39" i="10"/>
  <c r="AN38" i="10"/>
  <c r="AQ38" i="10"/>
  <c r="AN34" i="10"/>
  <c r="AQ39" i="10"/>
  <c r="Y19" i="10"/>
  <c r="BR25" i="10"/>
  <c r="BU30" i="10" s="1" a="1"/>
  <c r="BU30" i="10" s="1"/>
  <c r="AI57" i="9"/>
  <c r="AI59" i="9"/>
  <c r="AO60" i="9"/>
  <c r="AH61" i="9"/>
  <c r="AJ63" i="9"/>
  <c r="AN64" i="9"/>
  <c r="AI65" i="9"/>
  <c r="AI67" i="9"/>
  <c r="AO68" i="9"/>
  <c r="AH69" i="9"/>
  <c r="AH72" i="9"/>
  <c r="AP73" i="9"/>
  <c r="AI75" i="9"/>
  <c r="AN76" i="9"/>
  <c r="AE79" i="9"/>
  <c r="AL86" i="9"/>
  <c r="AF88" i="9"/>
  <c r="AN96" i="9"/>
  <c r="AO105" i="9"/>
  <c r="AL110" i="9"/>
  <c r="AL118" i="9"/>
  <c r="AM127" i="9"/>
  <c r="AF1" i="9"/>
  <c r="AW1" i="9" s="1"/>
  <c r="AG43" i="10" a="1"/>
  <c r="AN35" i="10" a="1"/>
  <c r="C1" i="10" a="1"/>
  <c r="R84" i="11" l="1"/>
  <c r="AC84" i="11" s="1"/>
  <c r="S84" i="11"/>
  <c r="T84" i="11"/>
  <c r="U84" i="11"/>
  <c r="V84" i="11"/>
  <c r="W84" i="11"/>
  <c r="R76" i="11"/>
  <c r="AC76" i="11" s="1"/>
  <c r="S76" i="11"/>
  <c r="T76" i="11"/>
  <c r="U76" i="11"/>
  <c r="V76" i="11"/>
  <c r="W76" i="11"/>
  <c r="AX1" i="9"/>
  <c r="X51" i="11" s="1"/>
  <c r="Z84" i="11"/>
  <c r="AA84" i="11" s="1"/>
  <c r="Y84" i="11"/>
  <c r="BB34" i="9"/>
  <c r="AG43" i="10"/>
  <c r="BQ31" i="10" a="1"/>
  <c r="BQ31" i="10" s="1"/>
  <c r="BS30" i="10" a="1"/>
  <c r="BS30" i="10" s="1"/>
  <c r="BU26" i="10" a="1"/>
  <c r="BU26" i="10" s="1"/>
  <c r="AN35" i="10"/>
  <c r="BR28" i="10" a="1"/>
  <c r="BR28" i="10" s="1"/>
  <c r="BR30" i="10" a="1"/>
  <c r="BR30" i="10" s="1"/>
  <c r="BU28" i="10" a="1"/>
  <c r="BU28" i="10" s="1"/>
  <c r="BU31" i="10" a="1"/>
  <c r="BU31" i="10" s="1"/>
  <c r="BS31" i="10" a="1"/>
  <c r="BS31" i="10" s="1"/>
  <c r="BU27" i="10" a="1"/>
  <c r="BU27" i="10" s="1"/>
  <c r="BQ25" i="10"/>
  <c r="BQ30" i="10" a="1"/>
  <c r="BQ30" i="10" s="1"/>
  <c r="BR26" i="10" a="1"/>
  <c r="BR26" i="10" s="1"/>
  <c r="BR27" i="10" s="1" a="1"/>
  <c r="BR27" i="10" s="1"/>
  <c r="BV25" i="10" a="1"/>
  <c r="BV25" i="10" s="1"/>
  <c r="C1" i="10"/>
  <c r="B1" i="10" s="1"/>
  <c r="AA1" i="9"/>
  <c r="AN1" i="9" s="1"/>
  <c r="AP3" i="9"/>
  <c r="AI4" i="9"/>
  <c r="AD7" i="9"/>
  <c r="AF9" i="9"/>
  <c r="AW9" i="9" s="1"/>
  <c r="M10" i="10" a="1"/>
  <c r="B6" i="10" a="1"/>
  <c r="G1" i="10" a="1"/>
  <c r="F3" i="10" a="1"/>
  <c r="D6" i="10" a="1"/>
  <c r="F2" i="10" a="1"/>
  <c r="C2" i="10" a="1"/>
  <c r="C4" i="10" a="1"/>
  <c r="C33" i="10" a="1"/>
  <c r="Q51" i="11" l="1"/>
  <c r="BA1" i="9"/>
  <c r="AY1" i="9"/>
  <c r="Y60" i="11"/>
  <c r="Z60" i="11"/>
  <c r="AA60" i="11" s="1"/>
  <c r="AX9" i="9"/>
  <c r="AZ1" i="9"/>
  <c r="M10" i="10"/>
  <c r="C4" i="10"/>
  <c r="C2" i="10"/>
  <c r="F2" i="10"/>
  <c r="D6" i="10"/>
  <c r="F3" i="10"/>
  <c r="G1" i="10"/>
  <c r="B6" i="10"/>
  <c r="C33" i="10"/>
  <c r="AA9" i="9"/>
  <c r="AN9" i="9" s="1"/>
  <c r="AP11" i="9"/>
  <c r="AI12" i="9"/>
  <c r="AD15" i="9"/>
  <c r="AF17" i="9"/>
  <c r="AW17" i="9" s="1"/>
  <c r="C6" i="10" a="1"/>
  <c r="F7" i="10" a="1"/>
  <c r="C3" i="10" a="1"/>
  <c r="F35" i="10" a="1"/>
  <c r="B7" i="10" a="1"/>
  <c r="F6" i="10" a="1"/>
  <c r="F4" i="10" a="1"/>
  <c r="C36" i="10" a="1"/>
  <c r="D7" i="10" a="1"/>
  <c r="B39" i="10" a="1"/>
  <c r="F39" i="10" a="1"/>
  <c r="R17" i="10" a="1"/>
  <c r="S51" i="11" l="1"/>
  <c r="R51" i="11"/>
  <c r="U51" i="11"/>
  <c r="T51" i="11"/>
  <c r="W51" i="11"/>
  <c r="V51" i="11"/>
  <c r="Q59" i="11"/>
  <c r="X59" i="11"/>
  <c r="BB1" i="9"/>
  <c r="AY9" i="9"/>
  <c r="AC60" i="11"/>
  <c r="AZ9" i="9"/>
  <c r="BA9" i="9"/>
  <c r="AX17" i="9"/>
  <c r="F39" i="10"/>
  <c r="B39" i="10"/>
  <c r="D7" i="10"/>
  <c r="C36" i="10"/>
  <c r="F4" i="10"/>
  <c r="F6" i="10"/>
  <c r="B7" i="10"/>
  <c r="F35" i="10"/>
  <c r="C3" i="10"/>
  <c r="F7" i="10"/>
  <c r="C6" i="10"/>
  <c r="B33" i="10"/>
  <c r="R17" i="10"/>
  <c r="Q17" i="10" s="1"/>
  <c r="AN17" i="9"/>
  <c r="AP19" i="9"/>
  <c r="AI20" i="9"/>
  <c r="AK22" i="9"/>
  <c r="AD23" i="9"/>
  <c r="AF25" i="9"/>
  <c r="AW25" i="9" s="1"/>
  <c r="F34" i="10" a="1"/>
  <c r="D38" i="10" a="1"/>
  <c r="C34" i="10" a="1"/>
  <c r="C38" i="10" a="1"/>
  <c r="G33" i="10" a="1"/>
  <c r="B38" i="10" a="1"/>
  <c r="R18" i="10" a="1"/>
  <c r="U19" i="10" a="1"/>
  <c r="U23" i="10" a="1"/>
  <c r="D39" i="10" a="1"/>
  <c r="U18" i="10" a="1"/>
  <c r="F38" i="10" a="1"/>
  <c r="F36" i="10" a="1"/>
  <c r="R20" i="10" a="1"/>
  <c r="AG1" i="10" a="1"/>
  <c r="AY26" i="9" l="1"/>
  <c r="BA23" i="9"/>
  <c r="BB23" i="9" s="1"/>
  <c r="AZ24" i="9"/>
  <c r="BB24" i="9" s="1"/>
  <c r="Q67" i="11"/>
  <c r="X67" i="11"/>
  <c r="R59" i="11"/>
  <c r="AC59" i="11" s="1"/>
  <c r="S59" i="11"/>
  <c r="T59" i="11"/>
  <c r="U59" i="11"/>
  <c r="V59" i="11"/>
  <c r="W59" i="11"/>
  <c r="AY17" i="9"/>
  <c r="Y59" i="11"/>
  <c r="Z59" i="11"/>
  <c r="AA59" i="11" s="1"/>
  <c r="BB9" i="9"/>
  <c r="BA17" i="9"/>
  <c r="AZ17" i="9"/>
  <c r="BB26" i="9"/>
  <c r="R20" i="10"/>
  <c r="F36" i="10"/>
  <c r="F38" i="10"/>
  <c r="U18" i="10"/>
  <c r="D39" i="10"/>
  <c r="U23" i="10"/>
  <c r="U19" i="10"/>
  <c r="R18" i="10"/>
  <c r="B38" i="10"/>
  <c r="G33" i="10"/>
  <c r="C38" i="10"/>
  <c r="C34" i="10"/>
  <c r="D38" i="10"/>
  <c r="F34" i="10"/>
  <c r="AG1" i="10"/>
  <c r="AN25" i="9"/>
  <c r="AP27" i="9"/>
  <c r="AI28" i="9"/>
  <c r="AD31" i="9"/>
  <c r="AE32" i="9"/>
  <c r="AM32" i="9"/>
  <c r="AF33" i="9"/>
  <c r="AW33" i="9" s="1"/>
  <c r="V17" i="10" a="1"/>
  <c r="X29" i="9" a="1"/>
  <c r="S22" i="10" a="1"/>
  <c r="Q23" i="10" a="1"/>
  <c r="R22" i="10" a="1"/>
  <c r="S23" i="10" a="1"/>
  <c r="C35" i="10" a="1"/>
  <c r="U22" i="10" a="1"/>
  <c r="Q22" i="10" a="1"/>
  <c r="U20" i="10" a="1"/>
  <c r="AF6" i="10" a="1"/>
  <c r="AJ2" i="10" a="1"/>
  <c r="R19" i="10" a="1"/>
  <c r="AG33" i="10" a="1"/>
  <c r="R67" i="11" l="1"/>
  <c r="AC67" i="11" s="1"/>
  <c r="S67" i="11"/>
  <c r="Y67" i="11" s="1"/>
  <c r="T67" i="11"/>
  <c r="U67" i="11"/>
  <c r="V67" i="11"/>
  <c r="W67" i="11"/>
  <c r="BB17" i="9"/>
  <c r="AX25" i="9"/>
  <c r="AX33" i="9"/>
  <c r="BA31" i="9"/>
  <c r="R19" i="10"/>
  <c r="AJ2" i="10"/>
  <c r="AF6" i="10"/>
  <c r="U20" i="10"/>
  <c r="Q22" i="10"/>
  <c r="U22" i="10"/>
  <c r="C35" i="10"/>
  <c r="S23" i="10"/>
  <c r="R22" i="10"/>
  <c r="Q23" i="10"/>
  <c r="S22" i="10"/>
  <c r="X29" i="9"/>
  <c r="V17" i="10"/>
  <c r="AF1" i="10"/>
  <c r="AG33" i="10"/>
  <c r="AF33" i="10" s="1"/>
  <c r="AG33" i="9"/>
  <c r="AN33" i="9"/>
  <c r="AO33" i="9"/>
  <c r="AH35" i="9"/>
  <c r="AP35" i="9"/>
  <c r="AD36" i="9"/>
  <c r="AM36" i="9"/>
  <c r="AD37" i="9"/>
  <c r="AM37" i="9"/>
  <c r="AD38" i="9"/>
  <c r="AD39" i="9"/>
  <c r="AK41" i="9"/>
  <c r="AI49" i="9"/>
  <c r="AE50" i="9"/>
  <c r="AG52" i="9"/>
  <c r="AD53" i="9"/>
  <c r="AP53" i="9"/>
  <c r="AM54" i="9"/>
  <c r="AO55" i="9"/>
  <c r="AG56" i="9"/>
  <c r="AL57" i="9"/>
  <c r="AE58" i="9"/>
  <c r="AJ59" i="9"/>
  <c r="AK61" i="9"/>
  <c r="AD62" i="9"/>
  <c r="AM63" i="9"/>
  <c r="AO64" i="9"/>
  <c r="AL65" i="9"/>
  <c r="AE66" i="9"/>
  <c r="AJ67" i="9"/>
  <c r="AK69" i="9"/>
  <c r="AD70" i="9"/>
  <c r="AL72" i="9"/>
  <c r="AM75" i="9"/>
  <c r="AD78" i="9"/>
  <c r="AM79" i="9"/>
  <c r="AK85" i="9"/>
  <c r="AN88" i="9"/>
  <c r="AH98" i="9"/>
  <c r="AH106" i="9"/>
  <c r="AK109" i="9"/>
  <c r="AF112" i="9"/>
  <c r="AK117" i="9"/>
  <c r="AK124" i="9"/>
  <c r="AP26" i="9"/>
  <c r="AI27" i="9"/>
  <c r="AD30" i="9"/>
  <c r="AL30" i="9"/>
  <c r="AF32" i="9"/>
  <c r="AW32" i="9" s="1"/>
  <c r="AM47" i="10" a="1"/>
  <c r="AJ10" i="10" a="1"/>
  <c r="AJ42" i="10" a="1"/>
  <c r="S48" i="9" a="1"/>
  <c r="AG6" i="10" a="1"/>
  <c r="AF7" i="10" a="1"/>
  <c r="AK1" i="10" a="1"/>
  <c r="AJ3" i="10" a="1"/>
  <c r="AK33" i="10" a="1"/>
  <c r="AF38" i="10" a="1"/>
  <c r="AH6" i="10" a="1"/>
  <c r="AG34" i="10" a="1"/>
  <c r="AH39" i="10" a="1"/>
  <c r="X40" i="9" a="1"/>
  <c r="AJ4" i="10" a="1"/>
  <c r="AH7" i="10" a="1"/>
  <c r="AJ38" i="10" a="1"/>
  <c r="AJ34" i="10" a="1"/>
  <c r="AG4" i="10" a="1"/>
  <c r="AG2" i="10" a="1"/>
  <c r="AJ36" i="10" a="1"/>
  <c r="AF39" i="10" a="1"/>
  <c r="AJ6" i="10" a="1"/>
  <c r="AJ7" i="10" a="1"/>
  <c r="AG36" i="10" a="1"/>
  <c r="AH38" i="10" a="1"/>
  <c r="AJ35" i="10" a="1"/>
  <c r="AN25" i="10" a="1"/>
  <c r="Q83" i="11" l="1"/>
  <c r="X83" i="11"/>
  <c r="Q75" i="11"/>
  <c r="X75" i="11"/>
  <c r="Z67" i="11"/>
  <c r="AA67" i="11" s="1"/>
  <c r="AY33" i="9"/>
  <c r="AY25" i="9"/>
  <c r="AZ25" i="9"/>
  <c r="BA25" i="9"/>
  <c r="AX32" i="9"/>
  <c r="AZ31" i="9"/>
  <c r="BA33" i="9"/>
  <c r="AZ33" i="9"/>
  <c r="AJ10" i="10"/>
  <c r="AM47" i="10"/>
  <c r="AK30" i="9"/>
  <c r="AK31" i="9"/>
  <c r="AJ42" i="10"/>
  <c r="AJ35" i="10"/>
  <c r="AH38" i="10"/>
  <c r="AG36" i="10"/>
  <c r="AJ7" i="10"/>
  <c r="AJ6" i="10"/>
  <c r="AF39" i="10"/>
  <c r="AJ36" i="10"/>
  <c r="AG2" i="10"/>
  <c r="AG4" i="10"/>
  <c r="AJ34" i="10"/>
  <c r="AJ38" i="10"/>
  <c r="AH7" i="10"/>
  <c r="AJ4" i="10"/>
  <c r="X40" i="9"/>
  <c r="AH39" i="10"/>
  <c r="AG34" i="10"/>
  <c r="AH6" i="10"/>
  <c r="AF38" i="10"/>
  <c r="AK33" i="10"/>
  <c r="AJ3" i="10"/>
  <c r="AK1" i="10"/>
  <c r="AF7" i="10"/>
  <c r="AG6" i="10"/>
  <c r="S48" i="9"/>
  <c r="AC48" i="9" s="1"/>
  <c r="AP48" i="9" s="1"/>
  <c r="AN25" i="10"/>
  <c r="AM25" i="10" s="1"/>
  <c r="AH32" i="9"/>
  <c r="AN32" i="9"/>
  <c r="AP34" i="9"/>
  <c r="AI35" i="9"/>
  <c r="AN36" i="9"/>
  <c r="AN37" i="9"/>
  <c r="AL41" i="9"/>
  <c r="AL42" i="9"/>
  <c r="AK45" i="9"/>
  <c r="AO47" i="10" a="1"/>
  <c r="AJ28" i="10" a="1"/>
  <c r="AJ39" i="10" a="1"/>
  <c r="AQ30" i="10" a="1"/>
  <c r="AQ27" i="10" a="1"/>
  <c r="AG3" i="10" a="1"/>
  <c r="AG35" i="10" a="1"/>
  <c r="AG38" i="10" a="1"/>
  <c r="AN26" i="10" a="1"/>
  <c r="AO30" i="10" a="1"/>
  <c r="AN28" i="10" a="1"/>
  <c r="AM31" i="10" a="1"/>
  <c r="AN30" i="10" a="1"/>
  <c r="AR25" i="10" a="1"/>
  <c r="AM30" i="10" a="1"/>
  <c r="AQ26" i="10" a="1"/>
  <c r="AQ31" i="10" a="1"/>
  <c r="AQ28" i="10" a="1"/>
  <c r="R75" i="11" l="1"/>
  <c r="AC75" i="11" s="1"/>
  <c r="S75" i="11"/>
  <c r="T75" i="11"/>
  <c r="U75" i="11"/>
  <c r="V75" i="11"/>
  <c r="W75" i="11"/>
  <c r="Q82" i="11"/>
  <c r="X82" i="11"/>
  <c r="R83" i="11"/>
  <c r="AC83" i="11" s="1"/>
  <c r="S83" i="11"/>
  <c r="T83" i="11"/>
  <c r="U83" i="11"/>
  <c r="V83" i="11"/>
  <c r="W83" i="11"/>
  <c r="AY32" i="9"/>
  <c r="Y83" i="11"/>
  <c r="Z83" i="11"/>
  <c r="AA83" i="11" s="1"/>
  <c r="BB25" i="9"/>
  <c r="BB33" i="9"/>
  <c r="AZ32" i="9"/>
  <c r="BA32" i="9"/>
  <c r="AJ28" i="10"/>
  <c r="AO47" i="10"/>
  <c r="AK42" i="9"/>
  <c r="AK38" i="9"/>
  <c r="AQ28" i="10"/>
  <c r="AQ31" i="10"/>
  <c r="AQ26" i="10"/>
  <c r="AM30" i="10"/>
  <c r="AR25" i="10"/>
  <c r="AN30" i="10"/>
  <c r="AM31" i="10"/>
  <c r="AN28" i="10"/>
  <c r="AO30" i="10"/>
  <c r="AN26" i="10"/>
  <c r="AG38" i="10"/>
  <c r="AG35" i="10"/>
  <c r="AG3" i="10"/>
  <c r="AQ27" i="10"/>
  <c r="AQ30" i="10"/>
  <c r="AJ39" i="10"/>
  <c r="AF48" i="9"/>
  <c r="AE48" i="9"/>
  <c r="AJ48" i="9"/>
  <c r="AL48" i="9"/>
  <c r="Z48" i="9"/>
  <c r="AM48" i="9" s="1"/>
  <c r="AJ49" i="9"/>
  <c r="AH50" i="9"/>
  <c r="AJ52" i="9"/>
  <c r="AE53" i="9"/>
  <c r="AN54" i="9"/>
  <c r="AH56" i="9"/>
  <c r="AO57" i="9"/>
  <c r="AH58" i="9"/>
  <c r="AK59" i="9"/>
  <c r="AL61" i="9"/>
  <c r="AE62" i="9"/>
  <c r="AN63" i="9"/>
  <c r="AP64" i="9"/>
  <c r="AO65" i="9"/>
  <c r="AH66" i="9"/>
  <c r="AK67" i="9"/>
  <c r="AL69" i="9"/>
  <c r="AE70" i="9"/>
  <c r="S77" i="11" s="1"/>
  <c r="AO72" i="9"/>
  <c r="AD74" i="9"/>
  <c r="AL78" i="9"/>
  <c r="AF80" i="9"/>
  <c r="AH90" i="9"/>
  <c r="AI91" i="9"/>
  <c r="AG97" i="9"/>
  <c r="AP98" i="9"/>
  <c r="AI99" i="9"/>
  <c r="AJ100" i="9"/>
  <c r="AP106" i="9"/>
  <c r="AI107" i="9"/>
  <c r="AJ108" i="9"/>
  <c r="AN112" i="9"/>
  <c r="AG123" i="9"/>
  <c r="AD126" i="9"/>
  <c r="AD46" i="9"/>
  <c r="AO46" i="9"/>
  <c r="AL49" i="9"/>
  <c r="AI50" i="9"/>
  <c r="AK52" i="9"/>
  <c r="AF53" i="9"/>
  <c r="AW53" i="9" s="1"/>
  <c r="BC41" i="10" a="1"/>
  <c r="AO31" i="10" a="1"/>
  <c r="T48" i="9" a="1"/>
  <c r="U48" i="9" a="1"/>
  <c r="BK17" i="10" a="1"/>
  <c r="R82" i="11" l="1"/>
  <c r="AC82" i="11" s="1"/>
  <c r="S82" i="11"/>
  <c r="T82" i="11"/>
  <c r="U82" i="11"/>
  <c r="V82" i="11"/>
  <c r="W82" i="11"/>
  <c r="Y82" i="11"/>
  <c r="Z82" i="11"/>
  <c r="AA82" i="11" s="1"/>
  <c r="AW48" i="9"/>
  <c r="BB32" i="9"/>
  <c r="AX53" i="9"/>
  <c r="AY53" i="9" s="1"/>
  <c r="U48" i="9"/>
  <c r="AH48" i="9" s="1"/>
  <c r="T48" i="9"/>
  <c r="AG48" i="9" s="1"/>
  <c r="AO31" i="10"/>
  <c r="BC41" i="10"/>
  <c r="BK17" i="10"/>
  <c r="AD54" i="9"/>
  <c r="AO54" i="9"/>
  <c r="AE55" i="9"/>
  <c r="AK56" i="9"/>
  <c r="AP57" i="9"/>
  <c r="AI58" i="9"/>
  <c r="AN59" i="9"/>
  <c r="AD60" i="9"/>
  <c r="AM61" i="9"/>
  <c r="AF62" i="9"/>
  <c r="AW62" i="9" s="1"/>
  <c r="AN27" i="10" a="1"/>
  <c r="CG1" i="10" a="1"/>
  <c r="BA46" i="9" l="1"/>
  <c r="BB46" i="9" s="1"/>
  <c r="AZ47" i="9"/>
  <c r="AX48" i="9"/>
  <c r="AX62" i="9"/>
  <c r="AY62" i="9" s="1"/>
  <c r="AZ53" i="9"/>
  <c r="AN27" i="10"/>
  <c r="BJ17" i="10"/>
  <c r="BB41" i="10"/>
  <c r="CG1" i="10"/>
  <c r="CJ7" i="10" s="1" a="1"/>
  <c r="CJ7" i="10" s="1"/>
  <c r="AO63" i="9"/>
  <c r="AP65" i="9"/>
  <c r="AI66" i="9"/>
  <c r="AN67" i="9"/>
  <c r="AD68" i="9"/>
  <c r="AM69" i="9"/>
  <c r="AF70" i="9"/>
  <c r="AW70" i="9" s="1"/>
  <c r="BN19" i="10" a="1"/>
  <c r="BL22" i="10" a="1"/>
  <c r="BN20" i="10" a="1"/>
  <c r="BK22" i="10" a="1"/>
  <c r="BL23" i="10" a="1"/>
  <c r="BJ22" i="10" a="1"/>
  <c r="BN22" i="10" a="1"/>
  <c r="BO17" i="10" a="1"/>
  <c r="BJ23" i="10" a="1"/>
  <c r="BD47" i="10" a="1"/>
  <c r="BF42" i="10" a="1"/>
  <c r="BC46" i="10" a="1"/>
  <c r="BB46" i="10" a="1"/>
  <c r="BD46" i="10" a="1"/>
  <c r="BC42" i="10" a="1"/>
  <c r="BF47" i="10" a="1"/>
  <c r="BB47" i="10" a="1"/>
  <c r="BC44" i="10" a="1"/>
  <c r="BF43" i="10" a="1"/>
  <c r="BF46" i="10" a="1"/>
  <c r="BF44" i="10" a="1"/>
  <c r="BG41" i="10" a="1"/>
  <c r="CG33" i="10" a="1"/>
  <c r="Q98" i="11" l="1"/>
  <c r="X98" i="11"/>
  <c r="AY48" i="9"/>
  <c r="AX70" i="9"/>
  <c r="AY70" i="9" s="1"/>
  <c r="AZ62" i="9"/>
  <c r="BJ23" i="10"/>
  <c r="BO17" i="10"/>
  <c r="BN22" i="10"/>
  <c r="BJ22" i="10"/>
  <c r="BL23" i="10"/>
  <c r="BK22" i="10"/>
  <c r="BN20" i="10"/>
  <c r="BL22" i="10"/>
  <c r="BN19" i="10"/>
  <c r="CF7" i="10" a="1"/>
  <c r="CF7" i="10" s="1"/>
  <c r="CH7" i="10" a="1"/>
  <c r="CH7" i="10" s="1"/>
  <c r="CG6" i="10" a="1"/>
  <c r="CG6" i="10" s="1"/>
  <c r="CK1" i="10" a="1"/>
  <c r="CK1" i="10" s="1"/>
  <c r="CG4" i="10" a="1"/>
  <c r="CG4" i="10" s="1"/>
  <c r="CG2" i="10" a="1"/>
  <c r="CG2" i="10" s="1"/>
  <c r="CG3" i="10" s="1" a="1"/>
  <c r="CG3" i="10" s="1"/>
  <c r="CH6" i="10" a="1"/>
  <c r="CH6" i="10" s="1"/>
  <c r="CJ3" i="10" a="1"/>
  <c r="CJ3" i="10" s="1"/>
  <c r="CF1" i="10"/>
  <c r="CJ2" i="10" a="1"/>
  <c r="CJ2" i="10" s="1"/>
  <c r="CF6" i="10" a="1"/>
  <c r="CF6" i="10" s="1"/>
  <c r="BG41" i="10"/>
  <c r="BF44" i="10"/>
  <c r="BF46" i="10"/>
  <c r="BF43" i="10"/>
  <c r="BC44" i="10"/>
  <c r="BB47" i="10"/>
  <c r="BF47" i="10"/>
  <c r="BC42" i="10"/>
  <c r="BD46" i="10"/>
  <c r="BB46" i="10"/>
  <c r="BC46" i="10"/>
  <c r="BF42" i="10"/>
  <c r="BD47" i="10"/>
  <c r="CJ4" i="10" a="1"/>
  <c r="CJ4" i="10" s="1"/>
  <c r="CJ6" i="10" a="1"/>
  <c r="CJ6" i="10" s="1"/>
  <c r="CG33" i="10"/>
  <c r="CJ38" i="10" s="1" a="1"/>
  <c r="CJ38" i="10" s="1"/>
  <c r="AF71" i="9"/>
  <c r="BC43" i="10" a="1"/>
  <c r="BZ41" i="10" a="1"/>
  <c r="R98" i="11" l="1"/>
  <c r="AC98" i="11" s="1"/>
  <c r="S98" i="11"/>
  <c r="T98" i="11"/>
  <c r="U98" i="11"/>
  <c r="V98" i="11"/>
  <c r="W98" i="11"/>
  <c r="Y98" i="11"/>
  <c r="Z98" i="11"/>
  <c r="AA98" i="11" s="1"/>
  <c r="BA70" i="9"/>
  <c r="AZ70" i="9"/>
  <c r="CG38" i="10" a="1"/>
  <c r="CG38" i="10" s="1"/>
  <c r="CJ35" i="10" a="1"/>
  <c r="CJ35" i="10" s="1"/>
  <c r="BC43" i="10"/>
  <c r="CG34" i="10" a="1"/>
  <c r="CG34" i="10" s="1"/>
  <c r="CG35" i="10" s="1" a="1"/>
  <c r="CG35" i="10" s="1"/>
  <c r="CF38" i="10" a="1"/>
  <c r="CF38" i="10" s="1"/>
  <c r="CF33" i="10"/>
  <c r="CJ39" i="10" a="1"/>
  <c r="CJ39" i="10" s="1"/>
  <c r="CK33" i="10" a="1"/>
  <c r="CK33" i="10" s="1"/>
  <c r="CH38" i="10" a="1"/>
  <c r="CH38" i="10" s="1"/>
  <c r="CJ34" i="10" a="1"/>
  <c r="CJ34" i="10" s="1"/>
  <c r="CJ36" i="10" a="1"/>
  <c r="CJ36" i="10" s="1"/>
  <c r="CH39" i="10" a="1"/>
  <c r="CH39" i="10" s="1"/>
  <c r="CG36" i="10" a="1"/>
  <c r="CG36" i="10" s="1"/>
  <c r="CF39" i="10" a="1"/>
  <c r="CF39" i="10" s="1"/>
  <c r="BZ41" i="10"/>
  <c r="CC43" i="10" s="1" a="1"/>
  <c r="CC43" i="10" s="1"/>
  <c r="AP72" i="9"/>
  <c r="AH74" i="9"/>
  <c r="AK77" i="9"/>
  <c r="AN80" i="9"/>
  <c r="AG89" i="9"/>
  <c r="AP90" i="9"/>
  <c r="AO97" i="9"/>
  <c r="AE103" i="9"/>
  <c r="AG122" i="9"/>
  <c r="AP123" i="9"/>
  <c r="AD20" i="9"/>
  <c r="AF22" i="9"/>
  <c r="AW22" i="9" s="1"/>
  <c r="Y33" i="10" a="1"/>
  <c r="BA20" i="9" l="1"/>
  <c r="BB20" i="9" s="1"/>
  <c r="AZ21" i="9"/>
  <c r="BB21" i="9" s="1"/>
  <c r="Y76" i="11"/>
  <c r="Y77" i="11"/>
  <c r="AX22" i="9"/>
  <c r="BY46" i="10" a="1"/>
  <c r="BY46" i="10" s="1"/>
  <c r="BZ46" i="10" a="1"/>
  <c r="BZ46" i="10" s="1"/>
  <c r="BZ44" i="10" a="1"/>
  <c r="BZ44" i="10" s="1"/>
  <c r="CA47" i="10" a="1"/>
  <c r="CA47" i="10" s="1"/>
  <c r="CC46" i="10" a="1"/>
  <c r="CC46" i="10" s="1"/>
  <c r="BZ42" i="10" a="1"/>
  <c r="BZ42" i="10" s="1"/>
  <c r="BZ43" i="10" s="1" a="1"/>
  <c r="BZ43" i="10" s="1"/>
  <c r="BY41" i="10"/>
  <c r="CA46" i="10" a="1"/>
  <c r="CA46" i="10" s="1"/>
  <c r="CC44" i="10" a="1"/>
  <c r="CC44" i="10" s="1"/>
  <c r="CD41" i="10" a="1"/>
  <c r="CD41" i="10" s="1"/>
  <c r="CC47" i="10" a="1"/>
  <c r="CC47" i="10" s="1"/>
  <c r="BY47" i="10" a="1"/>
  <c r="BY47" i="10" s="1"/>
  <c r="CC42" i="10" a="1"/>
  <c r="CC42" i="10" s="1"/>
  <c r="Y33" i="10"/>
  <c r="AN22" i="9"/>
  <c r="AP24" i="9"/>
  <c r="AI25" i="9"/>
  <c r="AD28" i="9"/>
  <c r="AF30" i="9"/>
  <c r="AW30" i="9" s="1"/>
  <c r="AB34" i="10" a="1"/>
  <c r="AN17" i="10" a="1"/>
  <c r="AY31" i="9" l="1"/>
  <c r="BB31" i="9" s="1"/>
  <c r="AZ29" i="9"/>
  <c r="BB29" i="9" s="1"/>
  <c r="BA28" i="9"/>
  <c r="BB28" i="9" s="1"/>
  <c r="Q72" i="11"/>
  <c r="X72" i="11"/>
  <c r="Z76" i="11"/>
  <c r="AA76" i="11" s="1"/>
  <c r="AY22" i="9"/>
  <c r="Z77" i="11"/>
  <c r="AA77" i="11" s="1"/>
  <c r="Y75" i="11"/>
  <c r="Z75" i="11"/>
  <c r="AA75" i="11" s="1"/>
  <c r="AZ22" i="9"/>
  <c r="BA22" i="9"/>
  <c r="AX30" i="9"/>
  <c r="AB34" i="10"/>
  <c r="X33" i="10"/>
  <c r="AN17" i="10"/>
  <c r="AA29" i="9"/>
  <c r="AP32" i="9"/>
  <c r="AI33" i="9"/>
  <c r="AK35" i="9"/>
  <c r="AG36" i="9"/>
  <c r="AG37" i="9"/>
  <c r="AP37" i="9"/>
  <c r="AP38" i="9"/>
  <c r="AP39" i="9"/>
  <c r="AP40" i="9"/>
  <c r="AF41" i="9"/>
  <c r="AW41" i="9" s="1"/>
  <c r="AZ40" i="9" s="1"/>
  <c r="AN42" i="10" a="1"/>
  <c r="AJ44" i="10" a="1"/>
  <c r="Z38" i="10" a="1"/>
  <c r="AC33" i="10" a="1"/>
  <c r="AB36" i="10" a="1"/>
  <c r="Y34" i="10" a="1"/>
  <c r="AB39" i="10" a="1"/>
  <c r="Z39" i="10" a="1"/>
  <c r="X39" i="10" a="1"/>
  <c r="AB35" i="10" a="1"/>
  <c r="Y38" i="10" a="1"/>
  <c r="Y36" i="10" a="1"/>
  <c r="AB38" i="10" a="1"/>
  <c r="X38" i="10" a="1"/>
  <c r="AR17" i="10" a="1"/>
  <c r="AM23" i="10" a="1"/>
  <c r="AQ19" i="10" a="1"/>
  <c r="AV17" i="10" a="1"/>
  <c r="Q80" i="11" l="1"/>
  <c r="X80" i="11"/>
  <c r="R72" i="11"/>
  <c r="AC72" i="11" s="1"/>
  <c r="S72" i="11"/>
  <c r="T72" i="11"/>
  <c r="U72" i="11"/>
  <c r="V72" i="11"/>
  <c r="W72" i="11"/>
  <c r="AY30" i="9"/>
  <c r="Z72" i="11"/>
  <c r="AA72" i="11" s="1"/>
  <c r="Y72" i="11"/>
  <c r="BB22" i="9"/>
  <c r="BA39" i="9"/>
  <c r="BB39" i="9" s="1"/>
  <c r="AZ30" i="9"/>
  <c r="BA30" i="9"/>
  <c r="AN42" i="10"/>
  <c r="AN30" i="9"/>
  <c r="AN31" i="9"/>
  <c r="AJ44" i="10"/>
  <c r="AQ19" i="10"/>
  <c r="AM23" i="10"/>
  <c r="AR17" i="10"/>
  <c r="X38" i="10"/>
  <c r="AB38" i="10"/>
  <c r="Y36" i="10"/>
  <c r="Y38" i="10"/>
  <c r="AB35" i="10"/>
  <c r="X39" i="10"/>
  <c r="Z39" i="10"/>
  <c r="AB39" i="10"/>
  <c r="Y34" i="10"/>
  <c r="AB36" i="10"/>
  <c r="AC33" i="10"/>
  <c r="Z38" i="10"/>
  <c r="AM17" i="10"/>
  <c r="AV17" i="10"/>
  <c r="AU17" i="10" s="1"/>
  <c r="AE41" i="9"/>
  <c r="AO41" i="9"/>
  <c r="AM41" i="9"/>
  <c r="AE42" i="9"/>
  <c r="AD44" i="9"/>
  <c r="AO49" i="9"/>
  <c r="AJ50" i="9"/>
  <c r="AL52" i="9"/>
  <c r="AH53" i="9"/>
  <c r="AE54" i="9"/>
  <c r="AF55" i="9"/>
  <c r="AW55" i="9" s="1"/>
  <c r="BA53" i="9" s="1"/>
  <c r="BQ22" i="10" a="1"/>
  <c r="BS22" i="10" a="1"/>
  <c r="BV17" i="10" a="1"/>
  <c r="BR22" i="10" a="1"/>
  <c r="BQ23" i="10" a="1"/>
  <c r="BS23" i="10" a="1"/>
  <c r="BU19" i="10" a="1"/>
  <c r="BU23" i="10" a="1"/>
  <c r="BR18" i="10" a="1"/>
  <c r="BU22" i="10" a="1"/>
  <c r="AN43" i="10" a="1"/>
  <c r="AH31" i="10" a="1"/>
  <c r="AO22" i="10" a="1"/>
  <c r="AO23" i="10" a="1"/>
  <c r="AB40" i="9" a="1"/>
  <c r="AQ22" i="10" a="1"/>
  <c r="AY18" i="10" a="1"/>
  <c r="AQ18" i="10" a="1"/>
  <c r="AN20" i="10" a="1"/>
  <c r="AQ20" i="10" a="1"/>
  <c r="AN18" i="10" a="1"/>
  <c r="Y35" i="10" a="1"/>
  <c r="AY22" i="10" a="1"/>
  <c r="AW23" i="10" a="1"/>
  <c r="AY23" i="10" a="1"/>
  <c r="AQ23" i="10" a="1"/>
  <c r="AW22" i="10" a="1"/>
  <c r="AM22" i="10" a="1"/>
  <c r="AN22" i="10" a="1"/>
  <c r="AV22" i="10" a="1"/>
  <c r="AY20" i="10" a="1"/>
  <c r="BK25" i="10" a="1"/>
  <c r="R80" i="11" l="1"/>
  <c r="AC80" i="11" s="1"/>
  <c r="S80" i="11"/>
  <c r="T80" i="11"/>
  <c r="U80" i="11"/>
  <c r="V80" i="11"/>
  <c r="W80" i="11"/>
  <c r="Z80" i="11"/>
  <c r="AA80" i="11" s="1"/>
  <c r="Y80" i="11"/>
  <c r="AX41" i="9"/>
  <c r="BB30" i="9"/>
  <c r="AX55" i="9"/>
  <c r="AY55" i="9" s="1"/>
  <c r="AZ54" i="9"/>
  <c r="BB54" i="9" s="1"/>
  <c r="BU22" i="10"/>
  <c r="BR18" i="10"/>
  <c r="BU23" i="10"/>
  <c r="BU19" i="10"/>
  <c r="BS23" i="10"/>
  <c r="BQ23" i="10"/>
  <c r="BR22" i="10"/>
  <c r="BV17" i="10"/>
  <c r="BS22" i="10"/>
  <c r="BQ22" i="10"/>
  <c r="AH31" i="10"/>
  <c r="AN43" i="10"/>
  <c r="AY20" i="10"/>
  <c r="AV22" i="10"/>
  <c r="AN22" i="10"/>
  <c r="AM22" i="10"/>
  <c r="AW22" i="10"/>
  <c r="AQ23" i="10"/>
  <c r="AY23" i="10"/>
  <c r="AW23" i="10"/>
  <c r="AY22" i="10"/>
  <c r="Y35" i="10"/>
  <c r="AN18" i="10"/>
  <c r="AQ20" i="10"/>
  <c r="AN20" i="10"/>
  <c r="AQ18" i="10"/>
  <c r="AY18" i="10"/>
  <c r="AQ22" i="10"/>
  <c r="AB40" i="9"/>
  <c r="AO23" i="10"/>
  <c r="AO22" i="10"/>
  <c r="BK25" i="10"/>
  <c r="BK28" i="10" s="1" a="1"/>
  <c r="BK28" i="10" s="1"/>
  <c r="AN56" i="9"/>
  <c r="AJ58" i="9"/>
  <c r="AG60" i="9"/>
  <c r="AP61" i="9"/>
  <c r="AI62" i="9"/>
  <c r="AF64" i="9"/>
  <c r="AW64" i="9" s="1"/>
  <c r="AZ17" i="10" a="1"/>
  <c r="AN19" i="10" a="1"/>
  <c r="AV20" i="10" a="1"/>
  <c r="AV18" i="10" a="1"/>
  <c r="AU23" i="10" a="1"/>
  <c r="AU22" i="10" a="1"/>
  <c r="AY19" i="10" a="1"/>
  <c r="CG9" i="10" a="1"/>
  <c r="Q91" i="11" l="1"/>
  <c r="X91" i="11"/>
  <c r="AY41" i="9"/>
  <c r="BA41" i="9"/>
  <c r="AX64" i="9"/>
  <c r="AY64" i="9" s="1"/>
  <c r="AZ63" i="9"/>
  <c r="BA62" i="9"/>
  <c r="AZ55" i="9"/>
  <c r="AO42" i="9"/>
  <c r="AO38" i="9"/>
  <c r="BN30" i="10" a="1"/>
  <c r="BN30" i="10" s="1"/>
  <c r="BK30" i="10" a="1"/>
  <c r="BK30" i="10" s="1"/>
  <c r="BN26" i="10" a="1"/>
  <c r="BN26" i="10" s="1"/>
  <c r="BJ30" i="10" a="1"/>
  <c r="BJ30" i="10" s="1"/>
  <c r="BK26" i="10" a="1"/>
  <c r="BK26" i="10" s="1"/>
  <c r="BK27" i="10" s="1" a="1"/>
  <c r="BK27" i="10" s="1"/>
  <c r="BL31" i="10" a="1"/>
  <c r="BL31" i="10" s="1"/>
  <c r="BN31" i="10" a="1"/>
  <c r="BN31" i="10" s="1"/>
  <c r="BJ31" i="10" a="1"/>
  <c r="BJ31" i="10" s="1"/>
  <c r="BL30" i="10" a="1"/>
  <c r="BL30" i="10" s="1"/>
  <c r="BO25" i="10" a="1"/>
  <c r="BO25" i="10" s="1"/>
  <c r="BJ25" i="10"/>
  <c r="BN28" i="10" a="1"/>
  <c r="BN28" i="10" s="1"/>
  <c r="BN27" i="10" a="1"/>
  <c r="BN27" i="10" s="1"/>
  <c r="AY19" i="10"/>
  <c r="AU22" i="10"/>
  <c r="AU23" i="10"/>
  <c r="AV18" i="10"/>
  <c r="AV20" i="10"/>
  <c r="AN19" i="10"/>
  <c r="AZ17" i="10"/>
  <c r="CG9" i="10"/>
  <c r="CJ12" i="10" s="1" a="1"/>
  <c r="CJ12" i="10" s="1"/>
  <c r="AJ66" i="9"/>
  <c r="AG68" i="9"/>
  <c r="AP69" i="9"/>
  <c r="AI70" i="9"/>
  <c r="AG71" i="9"/>
  <c r="AE73" i="9"/>
  <c r="AK74" i="9"/>
  <c r="AH82" i="9"/>
  <c r="AI83" i="9"/>
  <c r="AO89" i="9"/>
  <c r="AJ92" i="9"/>
  <c r="AE95" i="9"/>
  <c r="AD102" i="9"/>
  <c r="AM103" i="9"/>
  <c r="AG113" i="9"/>
  <c r="AH114" i="9"/>
  <c r="AG121" i="9"/>
  <c r="AP122" i="9"/>
  <c r="AL75" i="9"/>
  <c r="AE76" i="9"/>
  <c r="AM76" i="9"/>
  <c r="AF77" i="9"/>
  <c r="AV19" i="10" a="1"/>
  <c r="CO17" i="10" a="1"/>
  <c r="R91" i="11" l="1"/>
  <c r="AC91" i="11" s="1"/>
  <c r="S91" i="11"/>
  <c r="T91" i="11"/>
  <c r="U91" i="11"/>
  <c r="V91" i="11"/>
  <c r="W91" i="11"/>
  <c r="Z91" i="11"/>
  <c r="AA91" i="11" s="1"/>
  <c r="Y91" i="11"/>
  <c r="CH15" i="10" a="1"/>
  <c r="CH15" i="10" s="1"/>
  <c r="CJ14" i="10" a="1"/>
  <c r="CJ14" i="10" s="1"/>
  <c r="CJ11" i="10" a="1"/>
  <c r="CJ11" i="10" s="1"/>
  <c r="AV19" i="10"/>
  <c r="CG14" i="10" a="1"/>
  <c r="CG14" i="10" s="1"/>
  <c r="CG12" i="10" a="1"/>
  <c r="CG12" i="10" s="1"/>
  <c r="CJ15" i="10" a="1"/>
  <c r="CJ15" i="10" s="1"/>
  <c r="CF14" i="10" a="1"/>
  <c r="CF14" i="10" s="1"/>
  <c r="CJ10" i="10" a="1"/>
  <c r="CJ10" i="10" s="1"/>
  <c r="CG10" i="10" a="1"/>
  <c r="CG10" i="10" s="1"/>
  <c r="CG11" i="10" s="1" a="1"/>
  <c r="CG11" i="10" s="1"/>
  <c r="CF9" i="10"/>
  <c r="CH14" i="10" a="1"/>
  <c r="CH14" i="10" s="1"/>
  <c r="CF15" i="10" a="1"/>
  <c r="CF15" i="10" s="1"/>
  <c r="CK9" i="10" a="1"/>
  <c r="CK9" i="10" s="1"/>
  <c r="CO17" i="10"/>
  <c r="CR18" i="10" s="1" a="1"/>
  <c r="CR18" i="10" s="1"/>
  <c r="AN77" i="9"/>
  <c r="AG78" i="9"/>
  <c r="AO78" i="9"/>
  <c r="AH79" i="9"/>
  <c r="AP79" i="9"/>
  <c r="AI80" i="9"/>
  <c r="AJ81" i="9"/>
  <c r="AK82" i="9"/>
  <c r="AD83" i="9"/>
  <c r="AL83" i="9"/>
  <c r="AE84" i="9"/>
  <c r="AM84" i="9"/>
  <c r="AF85" i="9"/>
  <c r="AN85" i="9"/>
  <c r="AG86" i="9"/>
  <c r="AO86" i="9"/>
  <c r="AH87" i="9"/>
  <c r="AP87" i="9"/>
  <c r="AI88" i="9"/>
  <c r="AJ89" i="9"/>
  <c r="AK90" i="9"/>
  <c r="AD91" i="9"/>
  <c r="AL91" i="9"/>
  <c r="AE92" i="9"/>
  <c r="AM92" i="9"/>
  <c r="AF93" i="9"/>
  <c r="AN93" i="9"/>
  <c r="AG94" i="9"/>
  <c r="AO94" i="9"/>
  <c r="AH95" i="9"/>
  <c r="AP95" i="9"/>
  <c r="AI96" i="9"/>
  <c r="AJ97" i="9"/>
  <c r="AK98" i="9"/>
  <c r="AD99" i="9"/>
  <c r="AL99" i="9"/>
  <c r="AE100" i="9"/>
  <c r="AM100" i="9"/>
  <c r="AF101" i="9"/>
  <c r="AN101" i="9"/>
  <c r="AG102" i="9"/>
  <c r="AO102" i="9"/>
  <c r="AH103" i="9"/>
  <c r="AP103" i="9"/>
  <c r="AI104" i="9"/>
  <c r="AJ105" i="9"/>
  <c r="AK106" i="9"/>
  <c r="AD107" i="9"/>
  <c r="AL107" i="9"/>
  <c r="AE108" i="9"/>
  <c r="AM108" i="9"/>
  <c r="AF109" i="9"/>
  <c r="AN109" i="9"/>
  <c r="AG110" i="9"/>
  <c r="AO110" i="9"/>
  <c r="AH111" i="9"/>
  <c r="AP111" i="9"/>
  <c r="AI112" i="9"/>
  <c r="AJ113" i="9"/>
  <c r="AK114" i="9"/>
  <c r="AD115" i="9"/>
  <c r="AL115" i="9"/>
  <c r="AE116" i="9"/>
  <c r="AM116" i="9"/>
  <c r="AF117" i="9"/>
  <c r="AN117" i="9"/>
  <c r="AG118" i="9"/>
  <c r="AO118" i="9"/>
  <c r="AK119" i="9"/>
  <c r="AK120" i="9"/>
  <c r="AK121" i="9"/>
  <c r="AK122" i="9"/>
  <c r="AJ123" i="9"/>
  <c r="AE124" i="9"/>
  <c r="AO124" i="9"/>
  <c r="AL125" i="9"/>
  <c r="AI126" i="9"/>
  <c r="AE127" i="9"/>
  <c r="AN128" i="9"/>
  <c r="AO129" i="9"/>
  <c r="AH130" i="9"/>
  <c r="AF132" i="9"/>
  <c r="AH133" i="9"/>
  <c r="AL134" i="9"/>
  <c r="AK136" i="9"/>
  <c r="AL137" i="9"/>
  <c r="AG138" i="9"/>
  <c r="AO140" i="9"/>
  <c r="AJ141" i="9"/>
  <c r="AL142" i="9"/>
  <c r="AH144" i="9"/>
  <c r="AG146" i="9"/>
  <c r="AH148" i="9"/>
  <c r="AJ151" i="9"/>
  <c r="AG77" i="9"/>
  <c r="AO77" i="9"/>
  <c r="AH78" i="9"/>
  <c r="AP78" i="9"/>
  <c r="AI79" i="9"/>
  <c r="AJ80" i="9"/>
  <c r="AK81" i="9"/>
  <c r="AD82" i="9"/>
  <c r="AL82" i="9"/>
  <c r="AE83" i="9"/>
  <c r="AM83" i="9"/>
  <c r="AF84" i="9"/>
  <c r="AN84" i="9"/>
  <c r="AG85" i="9"/>
  <c r="AO85" i="9"/>
  <c r="AH86" i="9"/>
  <c r="AP86" i="9"/>
  <c r="AI87" i="9"/>
  <c r="AJ88" i="9"/>
  <c r="AK89" i="9"/>
  <c r="AD90" i="9"/>
  <c r="AL90" i="9"/>
  <c r="AE91" i="9"/>
  <c r="AM91" i="9"/>
  <c r="AF92" i="9"/>
  <c r="AN92" i="9"/>
  <c r="AG93" i="9"/>
  <c r="AO93" i="9"/>
  <c r="AH94" i="9"/>
  <c r="AP94" i="9"/>
  <c r="AI95" i="9"/>
  <c r="AJ96" i="9"/>
  <c r="AK97" i="9"/>
  <c r="AD98" i="9"/>
  <c r="AL98" i="9"/>
  <c r="AE99" i="9"/>
  <c r="AM99" i="9"/>
  <c r="AF100" i="9"/>
  <c r="AN100" i="9"/>
  <c r="AG101" i="9"/>
  <c r="AO101" i="9"/>
  <c r="AH102" i="9"/>
  <c r="AP102" i="9"/>
  <c r="AI103" i="9"/>
  <c r="AJ104" i="9"/>
  <c r="AK105" i="9"/>
  <c r="AD106" i="9"/>
  <c r="AL106" i="9"/>
  <c r="AE107" i="9"/>
  <c r="AM107" i="9"/>
  <c r="AF108" i="9"/>
  <c r="AN108" i="9"/>
  <c r="AG109" i="9"/>
  <c r="AO109" i="9"/>
  <c r="AH110" i="9"/>
  <c r="AP110" i="9"/>
  <c r="AI111" i="9"/>
  <c r="AJ112" i="9"/>
  <c r="AK113" i="9"/>
  <c r="AD114" i="9"/>
  <c r="AL114" i="9"/>
  <c r="AE115" i="9"/>
  <c r="AM115" i="9"/>
  <c r="AF116" i="9"/>
  <c r="AN116" i="9"/>
  <c r="AG117" i="9"/>
  <c r="AO117" i="9"/>
  <c r="AH118" i="9"/>
  <c r="AP118" i="9"/>
  <c r="AL119" i="9"/>
  <c r="AL120" i="9"/>
  <c r="AL121" i="9"/>
  <c r="AL122" i="9"/>
  <c r="AL123" i="9"/>
  <c r="AF124" i="9"/>
  <c r="AO125" i="9"/>
  <c r="AK126" i="9"/>
  <c r="AF127" i="9"/>
  <c r="AO128" i="9"/>
  <c r="AL130" i="9"/>
  <c r="AE131" i="9"/>
  <c r="AG132" i="9"/>
  <c r="AJ133" i="9"/>
  <c r="AD135" i="9"/>
  <c r="AM136" i="9"/>
  <c r="AN137" i="9"/>
  <c r="AM138" i="9"/>
  <c r="AP144" i="9"/>
  <c r="AJ145" i="9"/>
  <c r="AP146" i="9"/>
  <c r="AK153" i="9"/>
  <c r="AH71" i="9"/>
  <c r="AP71" i="9"/>
  <c r="AI72" i="9"/>
  <c r="AJ73" i="9"/>
  <c r="AE74" i="9"/>
  <c r="AM74" i="9"/>
  <c r="AF75" i="9"/>
  <c r="CO9" i="10" a="1"/>
  <c r="CO20" i="10" l="1" a="1"/>
  <c r="CO20" i="10" s="1"/>
  <c r="CN23" i="10" a="1"/>
  <c r="CN23" i="10" s="1"/>
  <c r="CR22" i="10" a="1"/>
  <c r="CR22" i="10" s="1"/>
  <c r="CO22" i="10" a="1"/>
  <c r="CO22" i="10" s="1"/>
  <c r="CP22" i="10" a="1"/>
  <c r="CP22" i="10" s="1"/>
  <c r="CN22" i="10" a="1"/>
  <c r="CN22" i="10" s="1"/>
  <c r="CP23" i="10" a="1"/>
  <c r="CP23" i="10" s="1"/>
  <c r="CR20" i="10" a="1"/>
  <c r="CR20" i="10" s="1"/>
  <c r="CR19" i="10" a="1"/>
  <c r="CR19" i="10" s="1"/>
  <c r="CO18" i="10" a="1"/>
  <c r="CO18" i="10" s="1"/>
  <c r="CO19" i="10" s="1" a="1"/>
  <c r="CO19" i="10" s="1"/>
  <c r="CN17" i="10"/>
  <c r="CR23" i="10" a="1"/>
  <c r="CR23" i="10" s="1"/>
  <c r="CS17" i="10" a="1"/>
  <c r="CS17" i="10" s="1"/>
  <c r="CO9" i="10"/>
  <c r="CO10" i="10" s="1" a="1"/>
  <c r="CO10" i="10" s="1"/>
  <c r="CO11" i="10" s="1" a="1"/>
  <c r="CO11" i="10" s="1"/>
  <c r="AN75" i="9"/>
  <c r="AG76" i="9"/>
  <c r="AO76" i="9"/>
  <c r="AH77" i="9"/>
  <c r="AP77" i="9"/>
  <c r="AI78" i="9"/>
  <c r="AJ79" i="9"/>
  <c r="AK80" i="9"/>
  <c r="AD81" i="9"/>
  <c r="AL81" i="9"/>
  <c r="AE82" i="9"/>
  <c r="AM82" i="9"/>
  <c r="AF83" i="9"/>
  <c r="AN83" i="9"/>
  <c r="AG84" i="9"/>
  <c r="AO84" i="9"/>
  <c r="AH85" i="9"/>
  <c r="AP85" i="9"/>
  <c r="AI86" i="9"/>
  <c r="AJ87" i="9"/>
  <c r="AK88" i="9"/>
  <c r="AD89" i="9"/>
  <c r="AL89" i="9"/>
  <c r="AE90" i="9"/>
  <c r="AM90" i="9"/>
  <c r="AF91" i="9"/>
  <c r="AN91" i="9"/>
  <c r="AG92" i="9"/>
  <c r="AO92" i="9"/>
  <c r="AH93" i="9"/>
  <c r="AP93" i="9"/>
  <c r="AI94" i="9"/>
  <c r="AJ95" i="9"/>
  <c r="AK96" i="9"/>
  <c r="AD97" i="9"/>
  <c r="AL97" i="9"/>
  <c r="AE98" i="9"/>
  <c r="AM98" i="9"/>
  <c r="AF99" i="9"/>
  <c r="AN99" i="9"/>
  <c r="AG100" i="9"/>
  <c r="AO100" i="9"/>
  <c r="AH101" i="9"/>
  <c r="AP101" i="9"/>
  <c r="AI102" i="9"/>
  <c r="AJ103" i="9"/>
  <c r="AK104" i="9"/>
  <c r="AD105" i="9"/>
  <c r="AL105" i="9"/>
  <c r="AE106" i="9"/>
  <c r="AM106" i="9"/>
  <c r="AF107" i="9"/>
  <c r="AN107" i="9"/>
  <c r="AG108" i="9"/>
  <c r="AO108" i="9"/>
  <c r="AH109" i="9"/>
  <c r="AP109" i="9"/>
  <c r="AI110" i="9"/>
  <c r="AJ111" i="9"/>
  <c r="AK112" i="9"/>
  <c r="AD113" i="9"/>
  <c r="AL113" i="9"/>
  <c r="AE114" i="9"/>
  <c r="AM114" i="9"/>
  <c r="AF115" i="9"/>
  <c r="AN115" i="9"/>
  <c r="AG116" i="9"/>
  <c r="AO116" i="9"/>
  <c r="AH117" i="9"/>
  <c r="AP117" i="9"/>
  <c r="AI118" i="9"/>
  <c r="AD119" i="9"/>
  <c r="AM119" i="9"/>
  <c r="AD120" i="9"/>
  <c r="AM120" i="9"/>
  <c r="AD121" i="9"/>
  <c r="AM121" i="9"/>
  <c r="AD122" i="9"/>
  <c r="AM122" i="9"/>
  <c r="AD123" i="9"/>
  <c r="AM123" i="9"/>
  <c r="AG124" i="9"/>
  <c r="AD125" i="9"/>
  <c r="AP125" i="9"/>
  <c r="AL126" i="9"/>
  <c r="AI127" i="9"/>
  <c r="AE128" i="9"/>
  <c r="AD129" i="9"/>
  <c r="AM130" i="9"/>
  <c r="AF131" i="9"/>
  <c r="AI132" i="9"/>
  <c r="AK133" i="9"/>
  <c r="AE135" i="9"/>
  <c r="AN136" i="9"/>
  <c r="AO137" i="9"/>
  <c r="AO138" i="9"/>
  <c r="AH55" i="9"/>
  <c r="AP55" i="9"/>
  <c r="AI56" i="9"/>
  <c r="AJ57" i="9"/>
  <c r="AK58" i="9"/>
  <c r="AD59" i="9"/>
  <c r="AL59" i="9"/>
  <c r="AE60" i="9"/>
  <c r="AM60" i="9"/>
  <c r="AF61" i="9"/>
  <c r="AW61" i="9" s="1"/>
  <c r="BZ1" i="10" a="1"/>
  <c r="AX61" i="9" l="1"/>
  <c r="AY61" i="9" s="1"/>
  <c r="BA59" i="9"/>
  <c r="BB62" i="9"/>
  <c r="CR10" i="10" a="1"/>
  <c r="CR10" i="10" s="1"/>
  <c r="CN9" i="10"/>
  <c r="CR14" i="10" a="1"/>
  <c r="CR14" i="10" s="1"/>
  <c r="CR11" i="10" a="1"/>
  <c r="CR11" i="10" s="1"/>
  <c r="CR12" i="10" a="1"/>
  <c r="CR12" i="10" s="1"/>
  <c r="CR15" i="10" a="1"/>
  <c r="CR15" i="10" s="1"/>
  <c r="CN14" i="10" a="1"/>
  <c r="CN14" i="10" s="1"/>
  <c r="CP15" i="10" a="1"/>
  <c r="CP15" i="10" s="1"/>
  <c r="CO12" i="10" a="1"/>
  <c r="CO12" i="10" s="1"/>
  <c r="CO14" i="10" a="1"/>
  <c r="CO14" i="10" s="1"/>
  <c r="CN15" i="10" a="1"/>
  <c r="CN15" i="10" s="1"/>
  <c r="CP14" i="10" a="1"/>
  <c r="CP14" i="10" s="1"/>
  <c r="CS9" i="10" a="1"/>
  <c r="CS9" i="10" s="1"/>
  <c r="BZ1" i="10"/>
  <c r="BZ6" i="10" s="1" a="1"/>
  <c r="BZ6" i="10" s="1"/>
  <c r="AN61" i="9"/>
  <c r="AG62" i="9"/>
  <c r="AO62" i="9"/>
  <c r="AH63" i="9"/>
  <c r="AP63" i="9"/>
  <c r="AI64" i="9"/>
  <c r="AJ65" i="9"/>
  <c r="AK66" i="9"/>
  <c r="AD67" i="9"/>
  <c r="AL67" i="9"/>
  <c r="AE68" i="9"/>
  <c r="AM68" i="9"/>
  <c r="AF69" i="9"/>
  <c r="AW69" i="9" s="1"/>
  <c r="BZ33" i="10" a="1"/>
  <c r="BA61" i="9" l="1"/>
  <c r="AZ61" i="9"/>
  <c r="AX69" i="9"/>
  <c r="AY69" i="9" s="1"/>
  <c r="BA67" i="9"/>
  <c r="BB70" i="9"/>
  <c r="CA6" i="10" a="1"/>
  <c r="CA6" i="10" s="1"/>
  <c r="CD1" i="10" a="1"/>
  <c r="CD1" i="10" s="1"/>
  <c r="BY1" i="10"/>
  <c r="BZ4" i="10" a="1"/>
  <c r="BZ4" i="10" s="1"/>
  <c r="CC6" i="10" a="1"/>
  <c r="CC6" i="10" s="1"/>
  <c r="CC4" i="10" a="1"/>
  <c r="CC4" i="10" s="1"/>
  <c r="CC3" i="10" a="1"/>
  <c r="CC3" i="10" s="1"/>
  <c r="BZ2" i="10" a="1"/>
  <c r="BZ2" i="10" s="1"/>
  <c r="BZ3" i="10" s="1" a="1"/>
  <c r="BZ3" i="10" s="1"/>
  <c r="CA7" i="10" a="1"/>
  <c r="CA7" i="10" s="1"/>
  <c r="CC2" i="10" a="1"/>
  <c r="CC2" i="10" s="1"/>
  <c r="BY7" i="10" a="1"/>
  <c r="BY7" i="10" s="1"/>
  <c r="BY6" i="10" a="1"/>
  <c r="BY6" i="10" s="1"/>
  <c r="CC7" i="10" a="1"/>
  <c r="CC7" i="10" s="1"/>
  <c r="BZ33" i="10"/>
  <c r="BZ36" i="10" s="1" a="1"/>
  <c r="BZ36" i="10" s="1"/>
  <c r="AN69" i="9"/>
  <c r="AG70" i="9"/>
  <c r="AO70" i="9"/>
  <c r="AI71" i="9"/>
  <c r="AJ72" i="9"/>
  <c r="AK73" i="9"/>
  <c r="AF74" i="9"/>
  <c r="CV1" i="10" a="1"/>
  <c r="AZ69" i="9" l="1"/>
  <c r="BA69" i="9"/>
  <c r="CC36" i="10" a="1"/>
  <c r="CC36" i="10" s="1"/>
  <c r="BY38" i="10" a="1"/>
  <c r="BY38" i="10" s="1"/>
  <c r="BZ34" i="10" a="1"/>
  <c r="BZ34" i="10" s="1"/>
  <c r="BZ35" i="10" s="1" a="1"/>
  <c r="BZ35" i="10" s="1"/>
  <c r="CC38" i="10" a="1"/>
  <c r="CC38" i="10" s="1"/>
  <c r="CC34" i="10" a="1"/>
  <c r="CC34" i="10" s="1"/>
  <c r="CC39" i="10" a="1"/>
  <c r="CC39" i="10" s="1"/>
  <c r="BY33" i="10"/>
  <c r="CA38" i="10" a="1"/>
  <c r="CA38" i="10" s="1"/>
  <c r="BZ38" i="10" a="1"/>
  <c r="BZ38" i="10" s="1"/>
  <c r="BY39" i="10" a="1"/>
  <c r="BY39" i="10" s="1"/>
  <c r="CC35" i="10" a="1"/>
  <c r="CC35" i="10" s="1"/>
  <c r="CD33" i="10" a="1"/>
  <c r="CD33" i="10" s="1"/>
  <c r="CA39" i="10" a="1"/>
  <c r="CA39" i="10" s="1"/>
  <c r="CV1" i="10"/>
  <c r="CW7" i="10" s="1" a="1"/>
  <c r="CW7" i="10" s="1"/>
  <c r="AN74" i="9"/>
  <c r="AG75" i="9"/>
  <c r="AO75" i="9"/>
  <c r="AH76" i="9"/>
  <c r="AP76" i="9"/>
  <c r="AI77" i="9"/>
  <c r="AJ78" i="9"/>
  <c r="AK79" i="9"/>
  <c r="AD80" i="9"/>
  <c r="AL80" i="9"/>
  <c r="AE81" i="9"/>
  <c r="AM81" i="9"/>
  <c r="AF82" i="9"/>
  <c r="AN82" i="9"/>
  <c r="AG83" i="9"/>
  <c r="AO83" i="9"/>
  <c r="AH84" i="9"/>
  <c r="AP84" i="9"/>
  <c r="AI85" i="9"/>
  <c r="AJ86" i="9"/>
  <c r="AK87" i="9"/>
  <c r="AD88" i="9"/>
  <c r="AL88" i="9"/>
  <c r="AE89" i="9"/>
  <c r="AM89" i="9"/>
  <c r="AF90" i="9"/>
  <c r="AN90" i="9"/>
  <c r="AG91" i="9"/>
  <c r="AO91" i="9"/>
  <c r="AH92" i="9"/>
  <c r="AP92" i="9"/>
  <c r="AI93" i="9"/>
  <c r="AJ94" i="9"/>
  <c r="AK95" i="9"/>
  <c r="AD96" i="9"/>
  <c r="AL96" i="9"/>
  <c r="AE97" i="9"/>
  <c r="AM97" i="9"/>
  <c r="AF98" i="9"/>
  <c r="AN98" i="9"/>
  <c r="AG99" i="9"/>
  <c r="AO99" i="9"/>
  <c r="AH100" i="9"/>
  <c r="AP100" i="9"/>
  <c r="AI101" i="9"/>
  <c r="AJ102" i="9"/>
  <c r="AK103" i="9"/>
  <c r="AD104" i="9"/>
  <c r="AL104" i="9"/>
  <c r="AE105" i="9"/>
  <c r="AM105" i="9"/>
  <c r="AF106" i="9"/>
  <c r="AN106" i="9"/>
  <c r="AG107" i="9"/>
  <c r="AO107" i="9"/>
  <c r="AH108" i="9"/>
  <c r="AP108" i="9"/>
  <c r="AI109" i="9"/>
  <c r="AJ110" i="9"/>
  <c r="AK111" i="9"/>
  <c r="AD112" i="9"/>
  <c r="AL112" i="9"/>
  <c r="AE113" i="9"/>
  <c r="AM113" i="9"/>
  <c r="AF114" i="9"/>
  <c r="AN114" i="9"/>
  <c r="AG115" i="9"/>
  <c r="AO115" i="9"/>
  <c r="AH116" i="9"/>
  <c r="AP116" i="9"/>
  <c r="AI117" i="9"/>
  <c r="AJ118" i="9"/>
  <c r="AE119" i="9"/>
  <c r="AN119" i="9"/>
  <c r="AE120" i="9"/>
  <c r="AN120" i="9"/>
  <c r="AE121" i="9"/>
  <c r="AN121" i="9"/>
  <c r="AE122" i="9"/>
  <c r="AN122" i="9"/>
  <c r="AE123" i="9"/>
  <c r="AN123" i="9"/>
  <c r="AI124" i="9"/>
  <c r="AF125" i="9"/>
  <c r="AM126" i="9"/>
  <c r="AJ127" i="9"/>
  <c r="AF128" i="9"/>
  <c r="AF129" i="9"/>
  <c r="AO130" i="9"/>
  <c r="AH131" i="9"/>
  <c r="AJ132" i="9"/>
  <c r="AP133" i="9"/>
  <c r="AJ135" i="9"/>
  <c r="AF139" i="9"/>
  <c r="AP46" i="9"/>
  <c r="AK49" i="9"/>
  <c r="AD50" i="9"/>
  <c r="AL50" i="9"/>
  <c r="AE51" i="9"/>
  <c r="AF52" i="9"/>
  <c r="BR9" i="10" a="1"/>
  <c r="AW52" i="9" l="1"/>
  <c r="BB53" i="9" s="1"/>
  <c r="CW6" i="10" a="1"/>
  <c r="CW6" i="10" s="1"/>
  <c r="CY7" i="10" a="1"/>
  <c r="CY7" i="10" s="1"/>
  <c r="CY2" i="10" a="1"/>
  <c r="CY2" i="10" s="1"/>
  <c r="CU6" i="10" a="1"/>
  <c r="CU6" i="10" s="1"/>
  <c r="CZ1" i="10" a="1"/>
  <c r="CZ1" i="10" s="1"/>
  <c r="CY4" i="10" a="1"/>
  <c r="CY4" i="10" s="1"/>
  <c r="CV4" i="10" a="1"/>
  <c r="CV4" i="10" s="1"/>
  <c r="CV2" i="10" a="1"/>
  <c r="CV2" i="10" s="1"/>
  <c r="CV3" i="10" s="1" a="1"/>
  <c r="CV3" i="10" s="1"/>
  <c r="CY3" i="10" a="1"/>
  <c r="CY3" i="10" s="1"/>
  <c r="CU7" i="10" a="1"/>
  <c r="CU7" i="10" s="1"/>
  <c r="CY6" i="10" a="1"/>
  <c r="CY6" i="10" s="1"/>
  <c r="CU1" i="10"/>
  <c r="CV6" i="10" a="1"/>
  <c r="CV6" i="10" s="1"/>
  <c r="BR9" i="10"/>
  <c r="AN52" i="9"/>
  <c r="AG53" i="9"/>
  <c r="AO53" i="9"/>
  <c r="AH54" i="9"/>
  <c r="AP54" i="9"/>
  <c r="AI55" i="9"/>
  <c r="AJ56" i="9"/>
  <c r="AK57" i="9"/>
  <c r="AD58" i="9"/>
  <c r="AL58" i="9"/>
  <c r="AE59" i="9"/>
  <c r="AM59" i="9"/>
  <c r="AF60" i="9"/>
  <c r="AW60" i="9" s="1"/>
  <c r="BU18" i="10" a="1"/>
  <c r="BR12" i="10" a="1"/>
  <c r="BK18" i="10" a="1"/>
  <c r="BN23" i="10" a="1"/>
  <c r="BR41" i="10" a="1"/>
  <c r="AX52" i="9" l="1"/>
  <c r="AY52" i="9" s="1"/>
  <c r="AX60" i="9"/>
  <c r="AY60" i="9" s="1"/>
  <c r="AZ59" i="9"/>
  <c r="BB61" i="9"/>
  <c r="BU18" i="10"/>
  <c r="BN23" i="10"/>
  <c r="BK18" i="10"/>
  <c r="BR12" i="10"/>
  <c r="BQ9" i="10"/>
  <c r="BR41" i="10"/>
  <c r="BU42" i="10" s="1" a="1"/>
  <c r="BU42" i="10" s="1"/>
  <c r="AN60" i="9"/>
  <c r="AG61" i="9"/>
  <c r="AO61" i="9"/>
  <c r="AH62" i="9"/>
  <c r="AP62" i="9"/>
  <c r="AI63" i="9"/>
  <c r="AJ64" i="9"/>
  <c r="AK65" i="9"/>
  <c r="AD66" i="9"/>
  <c r="AL66" i="9"/>
  <c r="AE67" i="9"/>
  <c r="AM67" i="9"/>
  <c r="AF68" i="9"/>
  <c r="AW68" i="9" s="1"/>
  <c r="BU11" i="10" a="1"/>
  <c r="BU14" i="10" a="1"/>
  <c r="BU12" i="10" a="1"/>
  <c r="BR14" i="10" a="1"/>
  <c r="BQ15" i="10" a="1"/>
  <c r="BS15" i="10" a="1"/>
  <c r="BV9" i="10" a="1"/>
  <c r="BR10" i="10" a="1"/>
  <c r="BU15" i="10" a="1"/>
  <c r="BS14" i="10" a="1"/>
  <c r="BQ14" i="10" a="1"/>
  <c r="CG25" i="10" a="1"/>
  <c r="AZ52" i="9" l="1"/>
  <c r="BA52" i="9"/>
  <c r="AX68" i="9"/>
  <c r="AY68" i="9" s="1"/>
  <c r="AZ67" i="9"/>
  <c r="BB69" i="9"/>
  <c r="AZ60" i="9"/>
  <c r="BA60" i="9"/>
  <c r="BQ14" i="10"/>
  <c r="BS14" i="10"/>
  <c r="BU15" i="10"/>
  <c r="BR10" i="10"/>
  <c r="BV9" i="10"/>
  <c r="BS15" i="10"/>
  <c r="BQ15" i="10"/>
  <c r="BR14" i="10"/>
  <c r="BU12" i="10"/>
  <c r="BU14" i="10"/>
  <c r="BU11" i="10"/>
  <c r="BS47" i="10" a="1"/>
  <c r="BS47" i="10" s="1"/>
  <c r="BQ47" i="10" a="1"/>
  <c r="BQ47" i="10" s="1"/>
  <c r="BU46" i="10" a="1"/>
  <c r="BU46" i="10" s="1"/>
  <c r="BU44" i="10" a="1"/>
  <c r="BU44" i="10" s="1"/>
  <c r="BR44" i="10" a="1"/>
  <c r="BR44" i="10" s="1"/>
  <c r="BU47" i="10" a="1"/>
  <c r="BU47" i="10" s="1"/>
  <c r="BQ46" i="10" a="1"/>
  <c r="BQ46" i="10" s="1"/>
  <c r="BV41" i="10" a="1"/>
  <c r="BV41" i="10" s="1"/>
  <c r="BR42" i="10" a="1"/>
  <c r="BR42" i="10" s="1"/>
  <c r="BR43" i="10" s="1" a="1"/>
  <c r="BR43" i="10" s="1"/>
  <c r="BU43" i="10" a="1"/>
  <c r="BU43" i="10" s="1"/>
  <c r="BR46" i="10" a="1"/>
  <c r="BR46" i="10" s="1"/>
  <c r="BQ41" i="10"/>
  <c r="BS46" i="10" a="1"/>
  <c r="BS46" i="10" s="1"/>
  <c r="CG25" i="10"/>
  <c r="CJ31" i="10" s="1" a="1"/>
  <c r="CJ31" i="10" s="1"/>
  <c r="AN68" i="9"/>
  <c r="AG69" i="9"/>
  <c r="AO69" i="9"/>
  <c r="AH70" i="9"/>
  <c r="AP70" i="9"/>
  <c r="AJ71" i="9"/>
  <c r="AK72" i="9"/>
  <c r="AD73" i="9"/>
  <c r="AL73" i="9"/>
  <c r="AG74" i="9"/>
  <c r="AO74" i="9"/>
  <c r="AH75" i="9"/>
  <c r="AP75" i="9"/>
  <c r="AI76" i="9"/>
  <c r="AJ77" i="9"/>
  <c r="AK78" i="9"/>
  <c r="AD79" i="9"/>
  <c r="AL79" i="9"/>
  <c r="AE80" i="9"/>
  <c r="AM80" i="9"/>
  <c r="AF81" i="9"/>
  <c r="AN81" i="9"/>
  <c r="AG82" i="9"/>
  <c r="AO82" i="9"/>
  <c r="AH83" i="9"/>
  <c r="AP83" i="9"/>
  <c r="AI84" i="9"/>
  <c r="AJ85" i="9"/>
  <c r="AK86" i="9"/>
  <c r="AD87" i="9"/>
  <c r="AL87" i="9"/>
  <c r="AE88" i="9"/>
  <c r="AM88" i="9"/>
  <c r="AF89" i="9"/>
  <c r="AN89" i="9"/>
  <c r="AG90" i="9"/>
  <c r="AO90" i="9"/>
  <c r="AH91" i="9"/>
  <c r="AP91" i="9"/>
  <c r="AI92" i="9"/>
  <c r="AJ93" i="9"/>
  <c r="AK94" i="9"/>
  <c r="AD95" i="9"/>
  <c r="AL95" i="9"/>
  <c r="AE96" i="9"/>
  <c r="AM96" i="9"/>
  <c r="AF97" i="9"/>
  <c r="AN97" i="9"/>
  <c r="AG98" i="9"/>
  <c r="AO98" i="9"/>
  <c r="AH99" i="9"/>
  <c r="AP99" i="9"/>
  <c r="AI100" i="9"/>
  <c r="AJ101" i="9"/>
  <c r="AK102" i="9"/>
  <c r="AD103" i="9"/>
  <c r="AL103" i="9"/>
  <c r="AE104" i="9"/>
  <c r="AM104" i="9"/>
  <c r="AF105" i="9"/>
  <c r="AN105" i="9"/>
  <c r="AG106" i="9"/>
  <c r="AO106" i="9"/>
  <c r="AH107" i="9"/>
  <c r="AP107" i="9"/>
  <c r="AI108" i="9"/>
  <c r="AJ109" i="9"/>
  <c r="AK110" i="9"/>
  <c r="AD111" i="9"/>
  <c r="AL111" i="9"/>
  <c r="AE112" i="9"/>
  <c r="AM112" i="9"/>
  <c r="AF113" i="9"/>
  <c r="AN113" i="9"/>
  <c r="AG114" i="9"/>
  <c r="AO114" i="9"/>
  <c r="AH115" i="9"/>
  <c r="AP115" i="9"/>
  <c r="AI116" i="9"/>
  <c r="AJ117" i="9"/>
  <c r="AK118" i="9"/>
  <c r="AF119" i="9"/>
  <c r="AP119" i="9"/>
  <c r="AF120" i="9"/>
  <c r="AO120" i="9"/>
  <c r="AF121" i="9"/>
  <c r="AO121" i="9"/>
  <c r="AF122" i="9"/>
  <c r="AO122" i="9"/>
  <c r="AF123" i="9"/>
  <c r="AO123" i="9"/>
  <c r="AJ124" i="9"/>
  <c r="AG125" i="9"/>
  <c r="AP126" i="9"/>
  <c r="AL127" i="9"/>
  <c r="AG128" i="9"/>
  <c r="AG129" i="9"/>
  <c r="AP130" i="9"/>
  <c r="AI131" i="9"/>
  <c r="AN132" i="9"/>
  <c r="AL135" i="9"/>
  <c r="AN139" i="9"/>
  <c r="AJ128" i="9"/>
  <c r="AK129" i="9"/>
  <c r="AD130" i="9"/>
  <c r="AM131" i="9"/>
  <c r="AO132" i="9"/>
  <c r="AD134" i="9"/>
  <c r="AM135" i="9"/>
  <c r="AD137" i="9"/>
  <c r="AJ152" i="9"/>
  <c r="AH36" i="9"/>
  <c r="AP36" i="9"/>
  <c r="AI37" i="9"/>
  <c r="AD40" i="9"/>
  <c r="AF42" i="9"/>
  <c r="AW42" i="9" s="1"/>
  <c r="BR11" i="10" a="1"/>
  <c r="AQ42" i="10" a="1"/>
  <c r="X42" i="9" a="1"/>
  <c r="BC17" i="10" a="1"/>
  <c r="BA40" i="9" l="1"/>
  <c r="BB40" i="9" s="1"/>
  <c r="AZ41" i="9"/>
  <c r="BB41" i="9" s="1"/>
  <c r="AX42" i="9"/>
  <c r="BB60" i="9"/>
  <c r="AZ68" i="9"/>
  <c r="BA68" i="9"/>
  <c r="BR11" i="10"/>
  <c r="AQ42" i="10"/>
  <c r="CH30" i="10" a="1"/>
  <c r="CH30" i="10" s="1"/>
  <c r="CJ28" i="10" a="1"/>
  <c r="CJ28" i="10" s="1"/>
  <c r="CK25" i="10" a="1"/>
  <c r="CK25" i="10" s="1"/>
  <c r="CH31" i="10" a="1"/>
  <c r="CH31" i="10" s="1"/>
  <c r="CJ27" i="10" a="1"/>
  <c r="CJ27" i="10" s="1"/>
  <c r="CG30" i="10" a="1"/>
  <c r="CG30" i="10" s="1"/>
  <c r="CF31" i="10" a="1"/>
  <c r="CF31" i="10" s="1"/>
  <c r="CG28" i="10" a="1"/>
  <c r="CG28" i="10" s="1"/>
  <c r="CF25" i="10"/>
  <c r="CF30" i="10" a="1"/>
  <c r="CF30" i="10" s="1"/>
  <c r="CJ30" i="10" a="1"/>
  <c r="CJ30" i="10" s="1"/>
  <c r="CJ26" i="10" a="1"/>
  <c r="CJ26" i="10" s="1"/>
  <c r="CG26" i="10" a="1"/>
  <c r="CG26" i="10" s="1"/>
  <c r="CG27" i="10" s="1" a="1"/>
  <c r="CG27" i="10" s="1"/>
  <c r="X42" i="9"/>
  <c r="BC17" i="10"/>
  <c r="BB17" i="10" s="1"/>
  <c r="AA40" i="9"/>
  <c r="AG43" i="9"/>
  <c r="AO43" i="9"/>
  <c r="AP44" i="9"/>
  <c r="AK47" i="9"/>
  <c r="AD48" i="9"/>
  <c r="AE49" i="9"/>
  <c r="AM49" i="9"/>
  <c r="AF50" i="9"/>
  <c r="AV26" i="10" a="1"/>
  <c r="AY31" i="10" a="1"/>
  <c r="BB22" i="10" a="1"/>
  <c r="BG17" i="10" a="1"/>
  <c r="BC20" i="10" a="1"/>
  <c r="BF20" i="10" a="1"/>
  <c r="BC22" i="10" a="1"/>
  <c r="BD22" i="10" a="1"/>
  <c r="BF23" i="10" a="1"/>
  <c r="BF18" i="10" a="1"/>
  <c r="BF22" i="10" a="1"/>
  <c r="BB23" i="10" a="1"/>
  <c r="BC18" i="10" a="1"/>
  <c r="BR1" i="10" a="1"/>
  <c r="Q92" i="11" l="1"/>
  <c r="X92" i="11"/>
  <c r="AY42" i="9"/>
  <c r="AW50" i="9"/>
  <c r="BA48" i="9" s="1"/>
  <c r="BA42" i="9"/>
  <c r="AZ42" i="9"/>
  <c r="BB68" i="9"/>
  <c r="AK39" i="9"/>
  <c r="AK44" i="9"/>
  <c r="AY31" i="10"/>
  <c r="AV26" i="10"/>
  <c r="AN42" i="9"/>
  <c r="AN38" i="9"/>
  <c r="BC18" i="10"/>
  <c r="BB23" i="10"/>
  <c r="BF22" i="10"/>
  <c r="BF18" i="10"/>
  <c r="BF23" i="10"/>
  <c r="BD22" i="10"/>
  <c r="BC22" i="10"/>
  <c r="BF20" i="10"/>
  <c r="BC20" i="10"/>
  <c r="BG17" i="10"/>
  <c r="BB22" i="10"/>
  <c r="BR1" i="10"/>
  <c r="AN50" i="9"/>
  <c r="AH52" i="9"/>
  <c r="AP52" i="9"/>
  <c r="AI53" i="9"/>
  <c r="AJ54" i="9"/>
  <c r="AK55" i="9"/>
  <c r="AD56" i="9"/>
  <c r="AL56" i="9"/>
  <c r="AE57" i="9"/>
  <c r="AM57" i="9"/>
  <c r="AF58" i="9"/>
  <c r="AW58" i="9" s="1"/>
  <c r="BN18" i="10" a="1"/>
  <c r="BR20" i="10" a="1"/>
  <c r="BF28" i="10" a="1"/>
  <c r="BR6" i="10" a="1"/>
  <c r="AV27" i="10" a="1"/>
  <c r="BD23" i="10" a="1"/>
  <c r="BF19" i="10" a="1"/>
  <c r="BR33" i="10" a="1"/>
  <c r="R92" i="11" l="1"/>
  <c r="AC92" i="11" s="1"/>
  <c r="S92" i="11"/>
  <c r="Y92" i="11" s="1"/>
  <c r="T92" i="11"/>
  <c r="U92" i="11"/>
  <c r="V92" i="11"/>
  <c r="W92" i="11"/>
  <c r="AX50" i="9"/>
  <c r="BB42" i="9"/>
  <c r="AX58" i="9"/>
  <c r="AY58" i="9" s="1"/>
  <c r="BB59" i="9"/>
  <c r="BA56" i="9"/>
  <c r="BR20" i="10"/>
  <c r="BN18" i="10"/>
  <c r="BR6" i="10"/>
  <c r="BF28" i="10"/>
  <c r="BF19" i="10"/>
  <c r="BD23" i="10"/>
  <c r="AV27" i="10"/>
  <c r="BQ1" i="10"/>
  <c r="BR33" i="10"/>
  <c r="BU35" i="10" s="1" a="1"/>
  <c r="BU35" i="10" s="1"/>
  <c r="AN58" i="9"/>
  <c r="AG59" i="9"/>
  <c r="AO59" i="9"/>
  <c r="AH60" i="9"/>
  <c r="AP60" i="9"/>
  <c r="AI61" i="9"/>
  <c r="AJ62" i="9"/>
  <c r="AK63" i="9"/>
  <c r="AD64" i="9"/>
  <c r="AL64" i="9"/>
  <c r="AE65" i="9"/>
  <c r="AM65" i="9"/>
  <c r="AF66" i="9"/>
  <c r="AW66" i="9" s="1"/>
  <c r="BR19" i="10" a="1"/>
  <c r="BU4" i="10" a="1"/>
  <c r="BS6" i="10" a="1"/>
  <c r="BR4" i="10" a="1"/>
  <c r="BU3" i="10" a="1"/>
  <c r="BQ6" i="10" a="1"/>
  <c r="BU2" i="10" a="1"/>
  <c r="BQ7" i="10" a="1"/>
  <c r="BS7" i="10" a="1"/>
  <c r="BU6" i="10" a="1"/>
  <c r="BV1" i="10" a="1"/>
  <c r="BC19" i="10" a="1"/>
  <c r="CG17" i="10" a="1"/>
  <c r="Q100" i="11" l="1"/>
  <c r="X100" i="11"/>
  <c r="Z92" i="11"/>
  <c r="AA92" i="11" s="1"/>
  <c r="AY50" i="9"/>
  <c r="BA50" i="9"/>
  <c r="AX66" i="9"/>
  <c r="AY66" i="9" s="1"/>
  <c r="BB67" i="9"/>
  <c r="BA64" i="9"/>
  <c r="AZ58" i="9"/>
  <c r="BA58" i="9"/>
  <c r="BR19" i="10"/>
  <c r="BV1" i="10"/>
  <c r="BU6" i="10"/>
  <c r="BS7" i="10"/>
  <c r="BQ7" i="10"/>
  <c r="BU2" i="10"/>
  <c r="BQ6" i="10"/>
  <c r="BU3" i="10"/>
  <c r="BR4" i="10"/>
  <c r="BS6" i="10"/>
  <c r="BU4" i="10"/>
  <c r="BC19" i="10"/>
  <c r="BU36" i="10" a="1"/>
  <c r="BU36" i="10" s="1"/>
  <c r="BQ39" i="10" a="1"/>
  <c r="BQ39" i="10" s="1"/>
  <c r="BR34" i="10" a="1"/>
  <c r="BR34" i="10" s="1"/>
  <c r="BR35" i="10" s="1" a="1"/>
  <c r="BR35" i="10" s="1"/>
  <c r="BS38" i="10" a="1"/>
  <c r="BS38" i="10" s="1"/>
  <c r="BU34" i="10" a="1"/>
  <c r="BU34" i="10" s="1"/>
  <c r="BU39" i="10" a="1"/>
  <c r="BU39" i="10" s="1"/>
  <c r="BS39" i="10" a="1"/>
  <c r="BS39" i="10" s="1"/>
  <c r="BV33" i="10" a="1"/>
  <c r="BV33" i="10" s="1"/>
  <c r="BR36" i="10" a="1"/>
  <c r="BR36" i="10" s="1"/>
  <c r="BU38" i="10" a="1"/>
  <c r="BU38" i="10" s="1"/>
  <c r="BR38" i="10" a="1"/>
  <c r="BR38" i="10" s="1"/>
  <c r="BQ38" i="10" a="1"/>
  <c r="BQ38" i="10" s="1"/>
  <c r="BQ33" i="10"/>
  <c r="CG17" i="10"/>
  <c r="CG22" i="10" s="1" a="1"/>
  <c r="CG22" i="10" s="1"/>
  <c r="AN66" i="9"/>
  <c r="AG67" i="9"/>
  <c r="AO67" i="9"/>
  <c r="AH68" i="9"/>
  <c r="AP68" i="9"/>
  <c r="AI69" i="9"/>
  <c r="AJ70" i="9"/>
  <c r="AD71" i="9"/>
  <c r="AL71" i="9"/>
  <c r="AE72" i="9"/>
  <c r="AM72" i="9"/>
  <c r="AF73" i="9"/>
  <c r="CO1" i="10" a="1"/>
  <c r="R100" i="11" l="1"/>
  <c r="S100" i="11"/>
  <c r="T100" i="11"/>
  <c r="U100" i="11"/>
  <c r="V100" i="11"/>
  <c r="W100" i="11"/>
  <c r="Y100" i="11"/>
  <c r="Z100" i="11"/>
  <c r="AA100" i="11" s="1"/>
  <c r="AZ66" i="9"/>
  <c r="BA66" i="9"/>
  <c r="CJ22" i="10" a="1"/>
  <c r="CJ22" i="10" s="1"/>
  <c r="CJ20" i="10" a="1"/>
  <c r="CJ20" i="10" s="1"/>
  <c r="CJ19" i="10" a="1"/>
  <c r="CJ19" i="10" s="1"/>
  <c r="CJ18" i="10" a="1"/>
  <c r="CJ18" i="10" s="1"/>
  <c r="CH23" i="10" a="1"/>
  <c r="CH23" i="10" s="1"/>
  <c r="CH22" i="10" a="1"/>
  <c r="CH22" i="10" s="1"/>
  <c r="CF22" i="10" a="1"/>
  <c r="CF22" i="10" s="1"/>
  <c r="CG18" i="10" a="1"/>
  <c r="CG18" i="10" s="1"/>
  <c r="CG19" i="10" s="1" a="1"/>
  <c r="CG19" i="10" s="1"/>
  <c r="CG20" i="10" a="1"/>
  <c r="CG20" i="10" s="1"/>
  <c r="CF23" i="10" a="1"/>
  <c r="CF23" i="10" s="1"/>
  <c r="CK17" i="10" a="1"/>
  <c r="CK17" i="10" s="1"/>
  <c r="CF17" i="10"/>
  <c r="CJ23" i="10" a="1"/>
  <c r="CJ23" i="10" s="1"/>
  <c r="CO1" i="10"/>
  <c r="CN6" i="10" s="1" a="1"/>
  <c r="CN6" i="10" s="1"/>
  <c r="AN73" i="9"/>
  <c r="AI74" i="9"/>
  <c r="AJ75" i="9"/>
  <c r="AK76" i="9"/>
  <c r="AD77" i="9"/>
  <c r="AL77" i="9"/>
  <c r="AE78" i="9"/>
  <c r="AM78" i="9"/>
  <c r="AF79" i="9"/>
  <c r="AN79" i="9"/>
  <c r="AG80" i="9"/>
  <c r="AO80" i="9"/>
  <c r="AH81" i="9"/>
  <c r="AP81" i="9"/>
  <c r="AI82" i="9"/>
  <c r="AJ83" i="9"/>
  <c r="AK84" i="9"/>
  <c r="AD85" i="9"/>
  <c r="AL85" i="9"/>
  <c r="AE86" i="9"/>
  <c r="AM86" i="9"/>
  <c r="AF87" i="9"/>
  <c r="AN87" i="9"/>
  <c r="AG88" i="9"/>
  <c r="AO88" i="9"/>
  <c r="AH89" i="9"/>
  <c r="AP89" i="9"/>
  <c r="AI90" i="9"/>
  <c r="AJ91" i="9"/>
  <c r="AK92" i="9"/>
  <c r="AD93" i="9"/>
  <c r="AL93" i="9"/>
  <c r="AE94" i="9"/>
  <c r="AM94" i="9"/>
  <c r="AF95" i="9"/>
  <c r="AN95" i="9"/>
  <c r="AG96" i="9"/>
  <c r="AO96" i="9"/>
  <c r="AH97" i="9"/>
  <c r="AP97" i="9"/>
  <c r="AI98" i="9"/>
  <c r="AJ99" i="9"/>
  <c r="AK100" i="9"/>
  <c r="AD101" i="9"/>
  <c r="AL101" i="9"/>
  <c r="AE102" i="9"/>
  <c r="AM102" i="9"/>
  <c r="AF103" i="9"/>
  <c r="AN103" i="9"/>
  <c r="AG104" i="9"/>
  <c r="AO104" i="9"/>
  <c r="AH105" i="9"/>
  <c r="AP105" i="9"/>
  <c r="AI106" i="9"/>
  <c r="AJ107" i="9"/>
  <c r="AK108" i="9"/>
  <c r="AD109" i="9"/>
  <c r="AL109" i="9"/>
  <c r="AE110" i="9"/>
  <c r="AM110" i="9"/>
  <c r="AF111" i="9"/>
  <c r="AN111" i="9"/>
  <c r="AG112" i="9"/>
  <c r="AO112" i="9"/>
  <c r="AH113" i="9"/>
  <c r="AP113" i="9"/>
  <c r="AI114" i="9"/>
  <c r="AJ115" i="9"/>
  <c r="AK116" i="9"/>
  <c r="AD117" i="9"/>
  <c r="AL117" i="9"/>
  <c r="AE118" i="9"/>
  <c r="AM118" i="9"/>
  <c r="AI119" i="9"/>
  <c r="AI120" i="9"/>
  <c r="AH121" i="9"/>
  <c r="AH122" i="9"/>
  <c r="AH123" i="9"/>
  <c r="AM124" i="9"/>
  <c r="AJ125" i="9"/>
  <c r="AE126" i="9"/>
  <c r="AN127" i="9"/>
  <c r="AK128" i="9"/>
  <c r="AL129" i="9"/>
  <c r="AE130" i="9"/>
  <c r="AN131" i="9"/>
  <c r="AI134" i="9"/>
  <c r="AE136" i="9"/>
  <c r="AF137" i="9"/>
  <c r="AF143" i="9"/>
  <c r="AF154" i="9"/>
  <c r="AP43" i="9"/>
  <c r="AK46" i="9"/>
  <c r="AD47" i="9"/>
  <c r="AF49" i="9"/>
  <c r="BK1" i="10" a="1"/>
  <c r="AC100" i="11" l="1"/>
  <c r="AW49" i="9"/>
  <c r="CN7" i="10" a="1"/>
  <c r="CN7" i="10" s="1"/>
  <c r="CO6" i="10" a="1"/>
  <c r="CO6" i="10" s="1"/>
  <c r="CO4" i="10" a="1"/>
  <c r="CO4" i="10" s="1"/>
  <c r="CS1" i="10" a="1"/>
  <c r="CS1" i="10" s="1"/>
  <c r="CP7" i="10" a="1"/>
  <c r="CP7" i="10" s="1"/>
  <c r="CR6" i="10" a="1"/>
  <c r="CR6" i="10" s="1"/>
  <c r="CR4" i="10" a="1"/>
  <c r="CR4" i="10" s="1"/>
  <c r="CP6" i="10" a="1"/>
  <c r="CP6" i="10" s="1"/>
  <c r="CO2" i="10" a="1"/>
  <c r="CO2" i="10" s="1"/>
  <c r="CO3" i="10" s="1" a="1"/>
  <c r="CO3" i="10" s="1"/>
  <c r="CR3" i="10" a="1"/>
  <c r="CR3" i="10" s="1"/>
  <c r="CN1" i="10"/>
  <c r="CR2" i="10" a="1"/>
  <c r="CR2" i="10" s="1"/>
  <c r="CR7" i="10" a="1"/>
  <c r="CR7" i="10" s="1"/>
  <c r="BK1" i="10"/>
  <c r="AN49" i="9"/>
  <c r="AG50" i="9"/>
  <c r="AO50" i="9"/>
  <c r="AI52" i="9"/>
  <c r="AJ53" i="9"/>
  <c r="AK54" i="9"/>
  <c r="AD55" i="9"/>
  <c r="AL55" i="9"/>
  <c r="AE56" i="9"/>
  <c r="AM56" i="9"/>
  <c r="AF57" i="9"/>
  <c r="AW57" i="9" s="1"/>
  <c r="BU20" i="10" a="1"/>
  <c r="BU10" i="10" a="1"/>
  <c r="BK20" i="10" a="1"/>
  <c r="BU7" i="10" a="1"/>
  <c r="BR2" i="10" a="1"/>
  <c r="BN7" i="10" a="1"/>
  <c r="BK33" i="10" a="1"/>
  <c r="BA47" i="9" l="1"/>
  <c r="BB47" i="9" s="1"/>
  <c r="AZ48" i="9"/>
  <c r="BB48" i="9" s="1"/>
  <c r="AX49" i="9"/>
  <c r="AX57" i="9"/>
  <c r="AY57" i="9" s="1"/>
  <c r="AZ56" i="9"/>
  <c r="BB56" i="9" s="1"/>
  <c r="BA55" i="9"/>
  <c r="BB55" i="9" s="1"/>
  <c r="BB58" i="9"/>
  <c r="BU20" i="10"/>
  <c r="BK20" i="10"/>
  <c r="BU10" i="10"/>
  <c r="BR2" i="10"/>
  <c r="BU7" i="10"/>
  <c r="BN7" i="10"/>
  <c r="BJ1" i="10"/>
  <c r="BK33" i="10"/>
  <c r="BN35" i="10" s="1" a="1"/>
  <c r="BN35" i="10" s="1"/>
  <c r="AN57" i="9"/>
  <c r="AG58" i="9"/>
  <c r="AO58" i="9"/>
  <c r="AH59" i="9"/>
  <c r="AP59" i="9"/>
  <c r="AI60" i="9"/>
  <c r="AJ61" i="9"/>
  <c r="AK62" i="9"/>
  <c r="AD63" i="9"/>
  <c r="AL63" i="9"/>
  <c r="AE64" i="9"/>
  <c r="AM64" i="9"/>
  <c r="AF65" i="9"/>
  <c r="AW65" i="9" s="1"/>
  <c r="BK19" i="10" a="1"/>
  <c r="BR3" i="10" a="1"/>
  <c r="BN2" i="10" a="1"/>
  <c r="BN3" i="10" a="1"/>
  <c r="BL7" i="10" a="1"/>
  <c r="BN6" i="10" a="1"/>
  <c r="BJ7" i="10" a="1"/>
  <c r="BK2" i="10" a="1"/>
  <c r="BJ6" i="10" a="1"/>
  <c r="BL6" i="10" a="1"/>
  <c r="BK4" i="10" a="1"/>
  <c r="BK6" i="10" a="1"/>
  <c r="BN4" i="10" a="1"/>
  <c r="BO1" i="10" a="1"/>
  <c r="BZ17" i="10" a="1"/>
  <c r="Q99" i="11" l="1"/>
  <c r="X99" i="11"/>
  <c r="AY49" i="9"/>
  <c r="AZ49" i="9"/>
  <c r="AX65" i="9"/>
  <c r="AY65" i="9" s="1"/>
  <c r="BA63" i="9"/>
  <c r="BB63" i="9" s="1"/>
  <c r="AZ64" i="9"/>
  <c r="BB64" i="9" s="1"/>
  <c r="BB66" i="9"/>
  <c r="BA57" i="9"/>
  <c r="AZ57" i="9"/>
  <c r="BK19" i="10"/>
  <c r="BR3" i="10"/>
  <c r="BO1" i="10"/>
  <c r="BN4" i="10"/>
  <c r="BK6" i="10"/>
  <c r="BK4" i="10"/>
  <c r="BL6" i="10"/>
  <c r="BJ6" i="10"/>
  <c r="BK2" i="10"/>
  <c r="BJ7" i="10"/>
  <c r="BN6" i="10"/>
  <c r="BL7" i="10"/>
  <c r="BN3" i="10"/>
  <c r="BN2" i="10"/>
  <c r="BN36" i="10" a="1"/>
  <c r="BN36" i="10" s="1"/>
  <c r="BJ33" i="10"/>
  <c r="BK36" i="10" a="1"/>
  <c r="BK36" i="10" s="1"/>
  <c r="BN34" i="10" a="1"/>
  <c r="BN34" i="10" s="1"/>
  <c r="BN39" i="10" a="1"/>
  <c r="BN39" i="10" s="1"/>
  <c r="BN38" i="10" a="1"/>
  <c r="BN38" i="10" s="1"/>
  <c r="BK38" i="10" a="1"/>
  <c r="BK38" i="10" s="1"/>
  <c r="BL39" i="10" a="1"/>
  <c r="BL39" i="10" s="1"/>
  <c r="BL38" i="10" a="1"/>
  <c r="BL38" i="10" s="1"/>
  <c r="BJ38" i="10" a="1"/>
  <c r="BJ38" i="10" s="1"/>
  <c r="BK34" i="10" a="1"/>
  <c r="BK34" i="10" s="1"/>
  <c r="BK35" i="10" s="1" a="1"/>
  <c r="BK35" i="10" s="1"/>
  <c r="BO33" i="10" a="1"/>
  <c r="BO33" i="10" s="1"/>
  <c r="BJ39" i="10" a="1"/>
  <c r="BJ39" i="10" s="1"/>
  <c r="BZ17" i="10"/>
  <c r="CA23" i="10" s="1" a="1"/>
  <c r="CA23" i="10" s="1"/>
  <c r="AN65" i="9"/>
  <c r="AG66" i="9"/>
  <c r="AO66" i="9"/>
  <c r="AH67" i="9"/>
  <c r="AP67" i="9"/>
  <c r="AI68" i="9"/>
  <c r="AJ69" i="9"/>
  <c r="AK70" i="9"/>
  <c r="AE71" i="9"/>
  <c r="AM71" i="9"/>
  <c r="AF72" i="9"/>
  <c r="BK3" i="10" a="1"/>
  <c r="CG41" i="10" a="1"/>
  <c r="R99" i="11" l="1"/>
  <c r="Q138" i="11" s="1"/>
  <c r="S99" i="11"/>
  <c r="T99" i="11"/>
  <c r="U99" i="11"/>
  <c r="V99" i="11"/>
  <c r="W99" i="11"/>
  <c r="Y99" i="11"/>
  <c r="Z99" i="11"/>
  <c r="AA99" i="11" s="1"/>
  <c r="BB57" i="9"/>
  <c r="BA65" i="9"/>
  <c r="AZ65" i="9"/>
  <c r="BK3" i="10"/>
  <c r="BY23" i="10" a="1"/>
  <c r="BY23" i="10" s="1"/>
  <c r="CC18" i="10" a="1"/>
  <c r="CC18" i="10" s="1"/>
  <c r="CA22" i="10" a="1"/>
  <c r="CA22" i="10" s="1"/>
  <c r="CC23" i="10" a="1"/>
  <c r="CC23" i="10" s="1"/>
  <c r="BZ22" i="10" a="1"/>
  <c r="BZ22" i="10" s="1"/>
  <c r="BZ20" i="10" a="1"/>
  <c r="BZ20" i="10" s="1"/>
  <c r="BZ18" i="10" a="1"/>
  <c r="BZ18" i="10" s="1"/>
  <c r="BZ19" i="10" s="1" a="1"/>
  <c r="BZ19" i="10" s="1"/>
  <c r="BY22" i="10" a="1"/>
  <c r="BY22" i="10" s="1"/>
  <c r="CC22" i="10" a="1"/>
  <c r="CC22" i="10" s="1"/>
  <c r="BY17" i="10"/>
  <c r="CD17" i="10" a="1"/>
  <c r="CD17" i="10" s="1"/>
  <c r="CC19" i="10" a="1"/>
  <c r="CC19" i="10" s="1"/>
  <c r="CC20" i="10" a="1"/>
  <c r="CC20" i="10" s="1"/>
  <c r="CG41" i="10"/>
  <c r="CF46" i="10" s="1" a="1"/>
  <c r="CF46" i="10" s="1"/>
  <c r="AN72" i="9"/>
  <c r="AG73" i="9"/>
  <c r="AO73" i="9"/>
  <c r="AJ74" i="9"/>
  <c r="AK75" i="9"/>
  <c r="AD76" i="9"/>
  <c r="AL76" i="9"/>
  <c r="AE77" i="9"/>
  <c r="AM77" i="9"/>
  <c r="AF78" i="9"/>
  <c r="AN78" i="9"/>
  <c r="AG79" i="9"/>
  <c r="AO79" i="9"/>
  <c r="AH80" i="9"/>
  <c r="AP80" i="9"/>
  <c r="AI81" i="9"/>
  <c r="AJ82" i="9"/>
  <c r="AK83" i="9"/>
  <c r="AD84" i="9"/>
  <c r="AL84" i="9"/>
  <c r="AE85" i="9"/>
  <c r="AM85" i="9"/>
  <c r="AF86" i="9"/>
  <c r="AN86" i="9"/>
  <c r="AG87" i="9"/>
  <c r="AO87" i="9"/>
  <c r="AH88" i="9"/>
  <c r="AP88" i="9"/>
  <c r="AI89" i="9"/>
  <c r="AJ90" i="9"/>
  <c r="AK91" i="9"/>
  <c r="AD92" i="9"/>
  <c r="AL92" i="9"/>
  <c r="AE93" i="9"/>
  <c r="AM93" i="9"/>
  <c r="AF94" i="9"/>
  <c r="AN94" i="9"/>
  <c r="AG95" i="9"/>
  <c r="AO95" i="9"/>
  <c r="AH96" i="9"/>
  <c r="AP96" i="9"/>
  <c r="AI97" i="9"/>
  <c r="AJ98" i="9"/>
  <c r="AK99" i="9"/>
  <c r="AD100" i="9"/>
  <c r="AL100" i="9"/>
  <c r="AE101" i="9"/>
  <c r="AM101" i="9"/>
  <c r="AF102" i="9"/>
  <c r="AN102" i="9"/>
  <c r="AG103" i="9"/>
  <c r="AO103" i="9"/>
  <c r="AH104" i="9"/>
  <c r="AP104" i="9"/>
  <c r="AI105" i="9"/>
  <c r="AJ106" i="9"/>
  <c r="AK107" i="9"/>
  <c r="AD108" i="9"/>
  <c r="AL108" i="9"/>
  <c r="AE109" i="9"/>
  <c r="AM109" i="9"/>
  <c r="AF110" i="9"/>
  <c r="AN110" i="9"/>
  <c r="AG111" i="9"/>
  <c r="AO111" i="9"/>
  <c r="AH112" i="9"/>
  <c r="AP112" i="9"/>
  <c r="AI113" i="9"/>
  <c r="AJ114" i="9"/>
  <c r="AK115" i="9"/>
  <c r="AD116" i="9"/>
  <c r="AL116" i="9"/>
  <c r="AE117" i="9"/>
  <c r="AM117" i="9"/>
  <c r="AF118" i="9"/>
  <c r="AN118" i="9"/>
  <c r="AJ119" i="9"/>
  <c r="AJ120" i="9"/>
  <c r="AJ121" i="9"/>
  <c r="AI122" i="9"/>
  <c r="AI123" i="9"/>
  <c r="AN124" i="9"/>
  <c r="AK125" i="9"/>
  <c r="AH126" i="9"/>
  <c r="AD127" i="9"/>
  <c r="AM128" i="9"/>
  <c r="AN129" i="9"/>
  <c r="AG130" i="9"/>
  <c r="AP131" i="9"/>
  <c r="AK134" i="9"/>
  <c r="AF136" i="9"/>
  <c r="AG137" i="9"/>
  <c r="AE138" i="9"/>
  <c r="AG140" i="9"/>
  <c r="AD142" i="9"/>
  <c r="AN143" i="9"/>
  <c r="AH147" i="9"/>
  <c r="AI149" i="9"/>
  <c r="AI150" i="9"/>
  <c r="AH139" i="9"/>
  <c r="AP139" i="9"/>
  <c r="AI140" i="9"/>
  <c r="AD141" i="9"/>
  <c r="AL141" i="9"/>
  <c r="AF142" i="9"/>
  <c r="AN142" i="9"/>
  <c r="AH143" i="9"/>
  <c r="AP143" i="9"/>
  <c r="AJ144" i="9"/>
  <c r="AD145" i="9"/>
  <c r="AL145" i="9"/>
  <c r="AI146" i="9"/>
  <c r="AJ147" i="9"/>
  <c r="AJ148" i="9"/>
  <c r="AK149" i="9"/>
  <c r="AL150" i="9"/>
  <c r="AM151" i="9"/>
  <c r="AL152" i="9"/>
  <c r="AD153" i="9"/>
  <c r="AM153" i="9"/>
  <c r="AI154" i="9"/>
  <c r="AH155" i="9"/>
  <c r="AE156" i="9"/>
  <c r="AP156" i="9"/>
  <c r="AM157" i="9"/>
  <c r="AM158" i="9"/>
  <c r="AM159" i="9"/>
  <c r="AI160" i="9"/>
  <c r="AG161" i="9"/>
  <c r="AF162" i="9"/>
  <c r="AF163" i="9"/>
  <c r="AP163" i="9"/>
  <c r="AI164" i="9"/>
  <c r="AE165" i="9"/>
  <c r="AP165" i="9"/>
  <c r="AH166" i="9"/>
  <c r="AP167" i="9"/>
  <c r="AJ168" i="9"/>
  <c r="AJ169" i="9"/>
  <c r="AN170" i="9"/>
  <c r="AI172" i="9"/>
  <c r="AM173" i="9"/>
  <c r="AO174" i="9"/>
  <c r="AF175" i="9"/>
  <c r="AJ176" i="9"/>
  <c r="AF177" i="9"/>
  <c r="AI178" i="9"/>
  <c r="AL179" i="9"/>
  <c r="AF180" i="9"/>
  <c r="AN181" i="9"/>
  <c r="AN182" i="9"/>
  <c r="AN183" i="9"/>
  <c r="AJ184" i="9"/>
  <c r="AP190" i="9"/>
  <c r="AH192" i="9"/>
  <c r="AF193" i="9"/>
  <c r="AF194" i="9"/>
  <c r="AH138" i="9"/>
  <c r="AP138" i="9"/>
  <c r="AI139" i="9"/>
  <c r="AJ140" i="9"/>
  <c r="AE141" i="9"/>
  <c r="AM141" i="9"/>
  <c r="AG142" i="9"/>
  <c r="AO142" i="9"/>
  <c r="AI143" i="9"/>
  <c r="AK144" i="9"/>
  <c r="AE145" i="9"/>
  <c r="AM145" i="9"/>
  <c r="AK146" i="9"/>
  <c r="AK147" i="9"/>
  <c r="AK148" i="9"/>
  <c r="AL149" i="9"/>
  <c r="AD150" i="9"/>
  <c r="AM150" i="9"/>
  <c r="AE151" i="9"/>
  <c r="AN151" i="9"/>
  <c r="AD152" i="9"/>
  <c r="AM152" i="9"/>
  <c r="AE153" i="9"/>
  <c r="AN153" i="9"/>
  <c r="AK154" i="9"/>
  <c r="AI155" i="9"/>
  <c r="AG156" i="9"/>
  <c r="AD157" i="9"/>
  <c r="AO157" i="9"/>
  <c r="AD158" i="9"/>
  <c r="AN158" i="9"/>
  <c r="AN159" i="9"/>
  <c r="AJ160" i="9"/>
  <c r="AI161" i="9"/>
  <c r="AG162" i="9"/>
  <c r="AG163" i="9"/>
  <c r="AK164" i="9"/>
  <c r="AF165" i="9"/>
  <c r="AI166" i="9"/>
  <c r="AD167" i="9"/>
  <c r="AK168" i="9"/>
  <c r="AK169" i="9"/>
  <c r="AP170" i="9"/>
  <c r="AF171" i="9"/>
  <c r="AK172" i="9"/>
  <c r="AN173" i="9"/>
  <c r="AD174" i="9"/>
  <c r="AG175" i="9"/>
  <c r="AL176" i="9"/>
  <c r="AG177" i="9"/>
  <c r="AL178" i="9"/>
  <c r="AO179" i="9"/>
  <c r="AH180" i="9"/>
  <c r="AP181" i="9"/>
  <c r="AO182" i="9"/>
  <c r="AO183" i="9"/>
  <c r="AL184" i="9"/>
  <c r="AP194" i="9"/>
  <c r="AH129" i="9"/>
  <c r="AP129" i="9"/>
  <c r="AI130" i="9"/>
  <c r="AJ131" i="9"/>
  <c r="AK132" i="9"/>
  <c r="AD133" i="9"/>
  <c r="AL133" i="9"/>
  <c r="AE134" i="9"/>
  <c r="AM134" i="9"/>
  <c r="AF135" i="9"/>
  <c r="AN135" i="9"/>
  <c r="AG136" i="9"/>
  <c r="AO136" i="9"/>
  <c r="AH137" i="9"/>
  <c r="AP137" i="9"/>
  <c r="AI138" i="9"/>
  <c r="AJ139" i="9"/>
  <c r="AK140" i="9"/>
  <c r="AF141" i="9"/>
  <c r="AN141" i="9"/>
  <c r="AH142" i="9"/>
  <c r="AP142" i="9"/>
  <c r="AJ143" i="9"/>
  <c r="AD144" i="9"/>
  <c r="AL144" i="9"/>
  <c r="AF145" i="9"/>
  <c r="AN145" i="9"/>
  <c r="AL146" i="9"/>
  <c r="AM147" i="9"/>
  <c r="AL148" i="9"/>
  <c r="AD149" i="9"/>
  <c r="AM149" i="9"/>
  <c r="AE150" i="9"/>
  <c r="AN150" i="9"/>
  <c r="AF151" i="9"/>
  <c r="AO151" i="9"/>
  <c r="AE152" i="9"/>
  <c r="AO152" i="9"/>
  <c r="AF153" i="9"/>
  <c r="AO153" i="9"/>
  <c r="AL154" i="9"/>
  <c r="AK155" i="9"/>
  <c r="AH156" i="9"/>
  <c r="AE157" i="9"/>
  <c r="AE158" i="9"/>
  <c r="AO158" i="9"/>
  <c r="AE159" i="9"/>
  <c r="AO159" i="9"/>
  <c r="AK160" i="9"/>
  <c r="AJ161" i="9"/>
  <c r="AI162" i="9"/>
  <c r="AH163" i="9"/>
  <c r="AM164" i="9"/>
  <c r="AG165" i="9"/>
  <c r="AJ166" i="9"/>
  <c r="AG167" i="9"/>
  <c r="AL168" i="9"/>
  <c r="AM169" i="9"/>
  <c r="AH171" i="9"/>
  <c r="AL172" i="9"/>
  <c r="AP173" i="9"/>
  <c r="AE174" i="9"/>
  <c r="AI175" i="9"/>
  <c r="AN176" i="9"/>
  <c r="AH177" i="9"/>
  <c r="AN178" i="9"/>
  <c r="AJ180" i="9"/>
  <c r="AJ185" i="9"/>
  <c r="AH188" i="9"/>
  <c r="AG119" i="9"/>
  <c r="AO119" i="9"/>
  <c r="AH120" i="9"/>
  <c r="AP120" i="9"/>
  <c r="AI121" i="9"/>
  <c r="AJ122" i="9"/>
  <c r="AK123" i="9"/>
  <c r="AD124" i="9"/>
  <c r="AL124" i="9"/>
  <c r="AE125" i="9"/>
  <c r="AM125" i="9"/>
  <c r="AF126" i="9"/>
  <c r="AN126" i="9"/>
  <c r="AG127" i="9"/>
  <c r="AO127" i="9"/>
  <c r="AH128" i="9"/>
  <c r="AP128" i="9"/>
  <c r="AI129" i="9"/>
  <c r="AJ130" i="9"/>
  <c r="AK131" i="9"/>
  <c r="AD132" i="9"/>
  <c r="AL132" i="9"/>
  <c r="AE133" i="9"/>
  <c r="AM133" i="9"/>
  <c r="AF134" i="9"/>
  <c r="AN134" i="9"/>
  <c r="AG135" i="9"/>
  <c r="AO135" i="9"/>
  <c r="AH136" i="9"/>
  <c r="AP136" i="9"/>
  <c r="AI137" i="9"/>
  <c r="AJ138" i="9"/>
  <c r="AK139" i="9"/>
  <c r="AD140" i="9"/>
  <c r="AL140" i="9"/>
  <c r="AG141" i="9"/>
  <c r="AO141" i="9"/>
  <c r="AI142" i="9"/>
  <c r="AK143" i="9"/>
  <c r="AE144" i="9"/>
  <c r="AM144" i="9"/>
  <c r="AG145" i="9"/>
  <c r="AO145" i="9"/>
  <c r="AD146" i="9"/>
  <c r="AM146" i="9"/>
  <c r="AE147" i="9"/>
  <c r="AN147" i="9"/>
  <c r="AD148" i="9"/>
  <c r="AM148" i="9"/>
  <c r="AE149" i="9"/>
  <c r="AN149" i="9"/>
  <c r="AF150" i="9"/>
  <c r="AO150" i="9"/>
  <c r="AG151" i="9"/>
  <c r="AP151" i="9"/>
  <c r="AG152" i="9"/>
  <c r="AP152" i="9"/>
  <c r="AG153" i="9"/>
  <c r="AM154" i="9"/>
  <c r="AM155" i="9"/>
  <c r="AI156" i="9"/>
  <c r="AG157" i="9"/>
  <c r="AF158" i="9"/>
  <c r="AF159" i="9"/>
  <c r="AP159" i="9"/>
  <c r="AM160" i="9"/>
  <c r="AK161" i="9"/>
  <c r="AK162" i="9"/>
  <c r="AI163" i="9"/>
  <c r="AN164" i="9"/>
  <c r="AH165" i="9"/>
  <c r="AM166" i="9"/>
  <c r="AH167" i="9"/>
  <c r="AN168" i="9"/>
  <c r="AO169" i="9"/>
  <c r="AE170" i="9"/>
  <c r="AJ171" i="9"/>
  <c r="AM172" i="9"/>
  <c r="AD173" i="9"/>
  <c r="AF174" i="9"/>
  <c r="AK175" i="9"/>
  <c r="AP176" i="9"/>
  <c r="AK177" i="9"/>
  <c r="AP178" i="9"/>
  <c r="AL180" i="9"/>
  <c r="AL185" i="9"/>
  <c r="AJ188" i="9"/>
  <c r="AN125" i="9"/>
  <c r="AG126" i="9"/>
  <c r="AO126" i="9"/>
  <c r="AH127" i="9"/>
  <c r="AP127" i="9"/>
  <c r="AI128" i="9"/>
  <c r="AJ129" i="9"/>
  <c r="AK130" i="9"/>
  <c r="AD131" i="9"/>
  <c r="AL131" i="9"/>
  <c r="AE132" i="9"/>
  <c r="AM132" i="9"/>
  <c r="AF133" i="9"/>
  <c r="AN133" i="9"/>
  <c r="AG134" i="9"/>
  <c r="AO134" i="9"/>
  <c r="AH135" i="9"/>
  <c r="AP135" i="9"/>
  <c r="AI136" i="9"/>
  <c r="AJ137" i="9"/>
  <c r="AK138" i="9"/>
  <c r="AD139" i="9"/>
  <c r="AL139" i="9"/>
  <c r="AE140" i="9"/>
  <c r="AM140" i="9"/>
  <c r="AH141" i="9"/>
  <c r="AP141" i="9"/>
  <c r="AJ142" i="9"/>
  <c r="AD143" i="9"/>
  <c r="AL143" i="9"/>
  <c r="AF144" i="9"/>
  <c r="AN144" i="9"/>
  <c r="AH145" i="9"/>
  <c r="AP145" i="9"/>
  <c r="AE146" i="9"/>
  <c r="AN146" i="9"/>
  <c r="AF147" i="9"/>
  <c r="AO147" i="9"/>
  <c r="AE148" i="9"/>
  <c r="AO148" i="9"/>
  <c r="AF149" i="9"/>
  <c r="AO149" i="9"/>
  <c r="AG150" i="9"/>
  <c r="AP150" i="9"/>
  <c r="AH151" i="9"/>
  <c r="AH152" i="9"/>
  <c r="AI153" i="9"/>
  <c r="AD154" i="9"/>
  <c r="AN154" i="9"/>
  <c r="AN155" i="9"/>
  <c r="AJ156" i="9"/>
  <c r="AI157" i="9"/>
  <c r="AG158" i="9"/>
  <c r="AG159" i="9"/>
  <c r="AO160" i="9"/>
  <c r="AL161" i="9"/>
  <c r="AL162" i="9"/>
  <c r="AK163" i="9"/>
  <c r="AD164" i="9"/>
  <c r="AP164" i="9"/>
  <c r="AJ165" i="9"/>
  <c r="AO166" i="9"/>
  <c r="AI167" i="9"/>
  <c r="AG170" i="9"/>
  <c r="AK171" i="9"/>
  <c r="AP172" i="9"/>
  <c r="AE173" i="9"/>
  <c r="AH174" i="9"/>
  <c r="AN175" i="9"/>
  <c r="AM177" i="9"/>
  <c r="AF179" i="9"/>
  <c r="AP180" i="9"/>
  <c r="AD181" i="9"/>
  <c r="AH186" i="9"/>
  <c r="AF189" i="9"/>
  <c r="AG133" i="9"/>
  <c r="AO133" i="9"/>
  <c r="AH134" i="9"/>
  <c r="AP134" i="9"/>
  <c r="AI135" i="9"/>
  <c r="AJ136" i="9"/>
  <c r="AK137" i="9"/>
  <c r="AD138" i="9"/>
  <c r="AL138" i="9"/>
  <c r="AE139" i="9"/>
  <c r="AM139" i="9"/>
  <c r="AF140" i="9"/>
  <c r="AN140" i="9"/>
  <c r="AI141" i="9"/>
  <c r="AK142" i="9"/>
  <c r="AE143" i="9"/>
  <c r="AM143" i="9"/>
  <c r="AG144" i="9"/>
  <c r="AO144" i="9"/>
  <c r="AI145" i="9"/>
  <c r="AF146" i="9"/>
  <c r="AO146" i="9"/>
  <c r="AG147" i="9"/>
  <c r="AP147" i="9"/>
  <c r="AG148" i="9"/>
  <c r="AP148" i="9"/>
  <c r="AG149" i="9"/>
  <c r="AH150" i="9"/>
  <c r="AI151" i="9"/>
  <c r="AI152" i="9"/>
  <c r="AJ153" i="9"/>
  <c r="AE154" i="9"/>
  <c r="AO154" i="9"/>
  <c r="AE155" i="9"/>
  <c r="AO155" i="9"/>
  <c r="AK156" i="9"/>
  <c r="AJ157" i="9"/>
  <c r="AI158" i="9"/>
  <c r="AH159" i="9"/>
  <c r="AE160" i="9"/>
  <c r="AP160" i="9"/>
  <c r="AM161" i="9"/>
  <c r="AM162" i="9"/>
  <c r="AM163" i="9"/>
  <c r="AE164" i="9"/>
  <c r="AL165" i="9"/>
  <c r="AD166" i="9"/>
  <c r="AP166" i="9"/>
  <c r="AJ167" i="9"/>
  <c r="AE168" i="9"/>
  <c r="AD169" i="9"/>
  <c r="AI170" i="9"/>
  <c r="AL171" i="9"/>
  <c r="AG173" i="9"/>
  <c r="AJ174" i="9"/>
  <c r="AO175" i="9"/>
  <c r="AE176" i="9"/>
  <c r="AO177" i="9"/>
  <c r="AE178" i="9"/>
  <c r="AH179" i="9"/>
  <c r="AE181" i="9"/>
  <c r="AD182" i="9"/>
  <c r="AL186" i="9"/>
  <c r="AJ189" i="9"/>
  <c r="AF155" i="9"/>
  <c r="AP155" i="9"/>
  <c r="AM156" i="9"/>
  <c r="AK157" i="9"/>
  <c r="AK158" i="9"/>
  <c r="AI159" i="9"/>
  <c r="AG160" i="9"/>
  <c r="AD161" i="9"/>
  <c r="AO161" i="9"/>
  <c r="AD162" i="9"/>
  <c r="AN162" i="9"/>
  <c r="AN163" i="9"/>
  <c r="AF164" i="9"/>
  <c r="AN165" i="9"/>
  <c r="AF166" i="9"/>
  <c r="AK167" i="9"/>
  <c r="AH168" i="9"/>
  <c r="AF169" i="9"/>
  <c r="AJ170" i="9"/>
  <c r="AO171" i="9"/>
  <c r="AD172" i="9"/>
  <c r="AJ173" i="9"/>
  <c r="AM174" i="9"/>
  <c r="AP175" i="9"/>
  <c r="AF176" i="9"/>
  <c r="AP177" i="9"/>
  <c r="AG178" i="9"/>
  <c r="AI179" i="9"/>
  <c r="AJ181" i="9"/>
  <c r="AE182" i="9"/>
  <c r="AD183" i="9"/>
  <c r="AH187" i="9"/>
  <c r="AF190" i="9"/>
  <c r="AH191" i="9"/>
  <c r="AH124" i="9"/>
  <c r="AP124" i="9"/>
  <c r="AI125" i="9"/>
  <c r="AJ126" i="9"/>
  <c r="AK127" i="9"/>
  <c r="AD128" i="9"/>
  <c r="AL128" i="9"/>
  <c r="AE129" i="9"/>
  <c r="AM129" i="9"/>
  <c r="AF130" i="9"/>
  <c r="AN130" i="9"/>
  <c r="AG131" i="9"/>
  <c r="AO131" i="9"/>
  <c r="AH132" i="9"/>
  <c r="AP132" i="9"/>
  <c r="AI133" i="9"/>
  <c r="AJ134" i="9"/>
  <c r="AK135" i="9"/>
  <c r="AD136" i="9"/>
  <c r="AL136" i="9"/>
  <c r="AE137" i="9"/>
  <c r="AM137" i="9"/>
  <c r="AF138" i="9"/>
  <c r="AN138" i="9"/>
  <c r="AG139" i="9"/>
  <c r="AO139" i="9"/>
  <c r="AH140" i="9"/>
  <c r="AP140" i="9"/>
  <c r="AK141" i="9"/>
  <c r="AE142" i="9"/>
  <c r="AM142" i="9"/>
  <c r="AG143" i="9"/>
  <c r="AO143" i="9"/>
  <c r="AI144" i="9"/>
  <c r="AK145" i="9"/>
  <c r="AH146" i="9"/>
  <c r="AI147" i="9"/>
  <c r="AI148" i="9"/>
  <c r="AJ149" i="9"/>
  <c r="AK150" i="9"/>
  <c r="AK151" i="9"/>
  <c r="AK152" i="9"/>
  <c r="AL153" i="9"/>
  <c r="AG154" i="9"/>
  <c r="AG155" i="9"/>
  <c r="AO156" i="9"/>
  <c r="AL157" i="9"/>
  <c r="AL158" i="9"/>
  <c r="AK159" i="9"/>
  <c r="AH160" i="9"/>
  <c r="AE161" i="9"/>
  <c r="AE162" i="9"/>
  <c r="AO162" i="9"/>
  <c r="AE163" i="9"/>
  <c r="AO163" i="9"/>
  <c r="AH164" i="9"/>
  <c r="AO165" i="9"/>
  <c r="AG166" i="9"/>
  <c r="AN167" i="9"/>
  <c r="AI168" i="9"/>
  <c r="AH169" i="9"/>
  <c r="AL170" i="9"/>
  <c r="AF172" i="9"/>
  <c r="AL173" i="9"/>
  <c r="AN174" i="9"/>
  <c r="AD175" i="9"/>
  <c r="AH176" i="9"/>
  <c r="AD177" i="9"/>
  <c r="AH178" i="9"/>
  <c r="AJ179" i="9"/>
  <c r="AD180" i="9"/>
  <c r="AL181" i="9"/>
  <c r="AL182" i="9"/>
  <c r="AJ183" i="9"/>
  <c r="AJ187" i="9"/>
  <c r="AH190" i="9"/>
  <c r="AG195" i="9"/>
  <c r="AH154" i="9"/>
  <c r="AP154" i="9"/>
  <c r="AJ155" i="9"/>
  <c r="AD156" i="9"/>
  <c r="AL156" i="9"/>
  <c r="AF157" i="9"/>
  <c r="AN157" i="9"/>
  <c r="AH158" i="9"/>
  <c r="AP158" i="9"/>
  <c r="AJ159" i="9"/>
  <c r="AD160" i="9"/>
  <c r="AL160" i="9"/>
  <c r="AF161" i="9"/>
  <c r="AN161" i="9"/>
  <c r="AH162" i="9"/>
  <c r="AP162" i="9"/>
  <c r="AJ163" i="9"/>
  <c r="AJ164" i="9"/>
  <c r="AK165" i="9"/>
  <c r="AL166" i="9"/>
  <c r="AL167" i="9"/>
  <c r="AD168" i="9"/>
  <c r="AM168" i="9"/>
  <c r="AE169" i="9"/>
  <c r="AN169" i="9"/>
  <c r="AF170" i="9"/>
  <c r="AO170" i="9"/>
  <c r="AG171" i="9"/>
  <c r="AP171" i="9"/>
  <c r="AH172" i="9"/>
  <c r="AH173" i="9"/>
  <c r="AI174" i="9"/>
  <c r="AJ175" i="9"/>
  <c r="AK176" i="9"/>
  <c r="AL177" i="9"/>
  <c r="AD178" i="9"/>
  <c r="AM178" i="9"/>
  <c r="AD179" i="9"/>
  <c r="AN179" i="9"/>
  <c r="AK180" i="9"/>
  <c r="AK181" i="9"/>
  <c r="AJ182" i="9"/>
  <c r="AI183" i="9"/>
  <c r="AI184" i="9"/>
  <c r="AH185" i="9"/>
  <c r="AG186" i="9"/>
  <c r="AG187" i="9"/>
  <c r="AF188" i="9"/>
  <c r="AE189" i="9"/>
  <c r="AP189" i="9"/>
  <c r="AE190" i="9"/>
  <c r="AO190" i="9"/>
  <c r="AD191" i="9"/>
  <c r="AO191" i="9"/>
  <c r="AN192" i="9"/>
  <c r="AM193" i="9"/>
  <c r="AM194" i="9"/>
  <c r="AO195" i="9"/>
  <c r="AD196" i="9"/>
  <c r="AN197" i="9"/>
  <c r="AH198" i="9"/>
  <c r="AP199" i="9"/>
  <c r="AJ200" i="9"/>
  <c r="AD201" i="9"/>
  <c r="AN202" i="9"/>
  <c r="AL203" i="9"/>
  <c r="AK205" i="9"/>
  <c r="AI208" i="9"/>
  <c r="AE218" i="9"/>
  <c r="AP219" i="9"/>
  <c r="AI222" i="9"/>
  <c r="AI250" i="9"/>
  <c r="AD288" i="9"/>
  <c r="AF191" i="9"/>
  <c r="AP191" i="9"/>
  <c r="AD192" i="9"/>
  <c r="AP192" i="9"/>
  <c r="AD193" i="9"/>
  <c r="AN193" i="9"/>
  <c r="AD194" i="9"/>
  <c r="AN194" i="9"/>
  <c r="AD195" i="9"/>
  <c r="AP195" i="9"/>
  <c r="AF196" i="9"/>
  <c r="AP197" i="9"/>
  <c r="AJ198" i="9"/>
  <c r="AL200" i="9"/>
  <c r="AF201" i="9"/>
  <c r="AP202" i="9"/>
  <c r="AO203" i="9"/>
  <c r="AD204" i="9"/>
  <c r="AN205" i="9"/>
  <c r="AL208" i="9"/>
  <c r="AM218" i="9"/>
  <c r="AI245" i="9"/>
  <c r="AJ146" i="9"/>
  <c r="AD147" i="9"/>
  <c r="AL147" i="9"/>
  <c r="AF148" i="9"/>
  <c r="AN148" i="9"/>
  <c r="AH149" i="9"/>
  <c r="AP149" i="9"/>
  <c r="AJ150" i="9"/>
  <c r="AD151" i="9"/>
  <c r="AL151" i="9"/>
  <c r="AF152" i="9"/>
  <c r="AN152" i="9"/>
  <c r="AH153" i="9"/>
  <c r="AP153" i="9"/>
  <c r="AJ154" i="9"/>
  <c r="AD155" i="9"/>
  <c r="AL155" i="9"/>
  <c r="AF156" i="9"/>
  <c r="AN156" i="9"/>
  <c r="AH157" i="9"/>
  <c r="AP157" i="9"/>
  <c r="AJ158" i="9"/>
  <c r="AD159" i="9"/>
  <c r="AL159" i="9"/>
  <c r="AF160" i="9"/>
  <c r="AN160" i="9"/>
  <c r="AH161" i="9"/>
  <c r="AP161" i="9"/>
  <c r="AJ162" i="9"/>
  <c r="AD163" i="9"/>
  <c r="AL163" i="9"/>
  <c r="AL164" i="9"/>
  <c r="AD165" i="9"/>
  <c r="AM165" i="9"/>
  <c r="AE166" i="9"/>
  <c r="AN166" i="9"/>
  <c r="AF167" i="9"/>
  <c r="AO167" i="9"/>
  <c r="AF168" i="9"/>
  <c r="AP168" i="9"/>
  <c r="AG169" i="9"/>
  <c r="AP169" i="9"/>
  <c r="AH170" i="9"/>
  <c r="AI171" i="9"/>
  <c r="AJ172" i="9"/>
  <c r="AK173" i="9"/>
  <c r="AL174" i="9"/>
  <c r="AL175" i="9"/>
  <c r="AD176" i="9"/>
  <c r="AM176" i="9"/>
  <c r="AE177" i="9"/>
  <c r="AN177" i="9"/>
  <c r="AF178" i="9"/>
  <c r="AO178" i="9"/>
  <c r="AG179" i="9"/>
  <c r="AP179" i="9"/>
  <c r="AN180" i="9"/>
  <c r="AM181" i="9"/>
  <c r="AM182" i="9"/>
  <c r="AL183" i="9"/>
  <c r="AK184" i="9"/>
  <c r="AK185" i="9"/>
  <c r="AJ186" i="9"/>
  <c r="AI187" i="9"/>
  <c r="AI188" i="9"/>
  <c r="AH189" i="9"/>
  <c r="AG190" i="9"/>
  <c r="AG191" i="9"/>
  <c r="AF192" i="9"/>
  <c r="AE193" i="9"/>
  <c r="AP193" i="9"/>
  <c r="AE194" i="9"/>
  <c r="AO194" i="9"/>
  <c r="AF195" i="9"/>
  <c r="AI196" i="9"/>
  <c r="AM198" i="9"/>
  <c r="AD199" i="9"/>
  <c r="AN200" i="9"/>
  <c r="AH201" i="9"/>
  <c r="AF204" i="9"/>
  <c r="AP205" i="9"/>
  <c r="AD207" i="9"/>
  <c r="AN208" i="9"/>
  <c r="AH217" i="9"/>
  <c r="AF221" i="9"/>
  <c r="AD226" i="9"/>
  <c r="AP228" i="9"/>
  <c r="AG231" i="9"/>
  <c r="AJ240" i="9"/>
  <c r="AJ196" i="9"/>
  <c r="AD197" i="9"/>
  <c r="AN198" i="9"/>
  <c r="AG199" i="9"/>
  <c r="AK201" i="9"/>
  <c r="AE202" i="9"/>
  <c r="AI204" i="9"/>
  <c r="AE206" i="9"/>
  <c r="AG207" i="9"/>
  <c r="AF209" i="9"/>
  <c r="AG212" i="9"/>
  <c r="AH213" i="9"/>
  <c r="AG214" i="9"/>
  <c r="AE215" i="9"/>
  <c r="AP217" i="9"/>
  <c r="AN221" i="9"/>
  <c r="AI224" i="9"/>
  <c r="AP226" i="9"/>
  <c r="AO235" i="9"/>
  <c r="AN184" i="9"/>
  <c r="AM185" i="9"/>
  <c r="AM186" i="9"/>
  <c r="AL187" i="9"/>
  <c r="AK188" i="9"/>
  <c r="AK189" i="9"/>
  <c r="AJ190" i="9"/>
  <c r="AI191" i="9"/>
  <c r="AI192" i="9"/>
  <c r="AH193" i="9"/>
  <c r="AG194" i="9"/>
  <c r="AH195" i="9"/>
  <c r="AL196" i="9"/>
  <c r="AF197" i="9"/>
  <c r="AP198" i="9"/>
  <c r="AH199" i="9"/>
  <c r="AL201" i="9"/>
  <c r="AF202" i="9"/>
  <c r="AL204" i="9"/>
  <c r="AH206" i="9"/>
  <c r="AJ207" i="9"/>
  <c r="AH209" i="9"/>
  <c r="AF211" i="9"/>
  <c r="AO212" i="9"/>
  <c r="AP213" i="9"/>
  <c r="AO214" i="9"/>
  <c r="AM215" i="9"/>
  <c r="AK216" i="9"/>
  <c r="AP247" i="9"/>
  <c r="AF181" i="9"/>
  <c r="AF182" i="9"/>
  <c r="AP182" i="9"/>
  <c r="AF183" i="9"/>
  <c r="AP183" i="9"/>
  <c r="AD184" i="9"/>
  <c r="AP184" i="9"/>
  <c r="AD185" i="9"/>
  <c r="AN185" i="9"/>
  <c r="AD186" i="9"/>
  <c r="AN186" i="9"/>
  <c r="AN187" i="9"/>
  <c r="AL188" i="9"/>
  <c r="AL189" i="9"/>
  <c r="AL190" i="9"/>
  <c r="AJ191" i="9"/>
  <c r="AJ192" i="9"/>
  <c r="AJ193" i="9"/>
  <c r="AH194" i="9"/>
  <c r="AJ195" i="9"/>
  <c r="AN196" i="9"/>
  <c r="AH197" i="9"/>
  <c r="AJ199" i="9"/>
  <c r="AD200" i="9"/>
  <c r="AN201" i="9"/>
  <c r="AH202" i="9"/>
  <c r="AD203" i="9"/>
  <c r="AN204" i="9"/>
  <c r="AJ206" i="9"/>
  <c r="AL207" i="9"/>
  <c r="AK209" i="9"/>
  <c r="AE210" i="9"/>
  <c r="AN211" i="9"/>
  <c r="AK220" i="9"/>
  <c r="AD223" i="9"/>
  <c r="AP242" i="9"/>
  <c r="AG273" i="9"/>
  <c r="AL169" i="9"/>
  <c r="AD170" i="9"/>
  <c r="AM170" i="9"/>
  <c r="AD171" i="9"/>
  <c r="AN171" i="9"/>
  <c r="AE172" i="9"/>
  <c r="AN172" i="9"/>
  <c r="AF173" i="9"/>
  <c r="AO173" i="9"/>
  <c r="AG174" i="9"/>
  <c r="AP174" i="9"/>
  <c r="AH175" i="9"/>
  <c r="AI176" i="9"/>
  <c r="AJ177" i="9"/>
  <c r="AJ178" i="9"/>
  <c r="AK179" i="9"/>
  <c r="AI180" i="9"/>
  <c r="AH181" i="9"/>
  <c r="AG182" i="9"/>
  <c r="AG183" i="9"/>
  <c r="AF184" i="9"/>
  <c r="AE185" i="9"/>
  <c r="AP185" i="9"/>
  <c r="AE186" i="9"/>
  <c r="AO186" i="9"/>
  <c r="AD187" i="9"/>
  <c r="AO187" i="9"/>
  <c r="AN188" i="9"/>
  <c r="AM189" i="9"/>
  <c r="AM190" i="9"/>
  <c r="AL191" i="9"/>
  <c r="AK192" i="9"/>
  <c r="AK193" i="9"/>
  <c r="AJ194" i="9"/>
  <c r="AL195" i="9"/>
  <c r="AK197" i="9"/>
  <c r="AE198" i="9"/>
  <c r="AL199" i="9"/>
  <c r="AF200" i="9"/>
  <c r="AP201" i="9"/>
  <c r="AJ202" i="9"/>
  <c r="AG203" i="9"/>
  <c r="AF205" i="9"/>
  <c r="AM206" i="9"/>
  <c r="AO207" i="9"/>
  <c r="AD208" i="9"/>
  <c r="AN209" i="9"/>
  <c r="AJ210" i="9"/>
  <c r="AL223" i="9"/>
  <c r="AJ227" i="9"/>
  <c r="AF278" i="9"/>
  <c r="AH182" i="9"/>
  <c r="AH183" i="9"/>
  <c r="AH184" i="9"/>
  <c r="AF185" i="9"/>
  <c r="AF186" i="9"/>
  <c r="AP186" i="9"/>
  <c r="AF187" i="9"/>
  <c r="AP187" i="9"/>
  <c r="AD188" i="9"/>
  <c r="AP188" i="9"/>
  <c r="AD189" i="9"/>
  <c r="AN189" i="9"/>
  <c r="AD190" i="9"/>
  <c r="AN190" i="9"/>
  <c r="AN191" i="9"/>
  <c r="AL192" i="9"/>
  <c r="AL193" i="9"/>
  <c r="AL194" i="9"/>
  <c r="AN195" i="9"/>
  <c r="AL197" i="9"/>
  <c r="AF198" i="9"/>
  <c r="AO199" i="9"/>
  <c r="AI200" i="9"/>
  <c r="AM202" i="9"/>
  <c r="AJ203" i="9"/>
  <c r="AH205" i="9"/>
  <c r="AP206" i="9"/>
  <c r="AF208" i="9"/>
  <c r="AP209" i="9"/>
  <c r="AM210" i="9"/>
  <c r="AH219" i="9"/>
  <c r="AJ225" i="9"/>
  <c r="AD230" i="9"/>
  <c r="AD238" i="9"/>
  <c r="AE283" i="9"/>
  <c r="AH203" i="9"/>
  <c r="AP203" i="9"/>
  <c r="AJ204" i="9"/>
  <c r="AD205" i="9"/>
  <c r="AL205" i="9"/>
  <c r="AF206" i="9"/>
  <c r="AN206" i="9"/>
  <c r="AH207" i="9"/>
  <c r="AP207" i="9"/>
  <c r="AJ208" i="9"/>
  <c r="AD209" i="9"/>
  <c r="AL209" i="9"/>
  <c r="AF210" i="9"/>
  <c r="AN210" i="9"/>
  <c r="AG211" i="9"/>
  <c r="AO211" i="9"/>
  <c r="AH212" i="9"/>
  <c r="AP212" i="9"/>
  <c r="AI213" i="9"/>
  <c r="AH214" i="9"/>
  <c r="AP214" i="9"/>
  <c r="AF215" i="9"/>
  <c r="AN215" i="9"/>
  <c r="AD216" i="9"/>
  <c r="AL216" i="9"/>
  <c r="AI217" i="9"/>
  <c r="AF218" i="9"/>
  <c r="AN218" i="9"/>
  <c r="AI219" i="9"/>
  <c r="AD220" i="9"/>
  <c r="AL220" i="9"/>
  <c r="AG221" i="9"/>
  <c r="AO221" i="9"/>
  <c r="AJ222" i="9"/>
  <c r="AE223" i="9"/>
  <c r="AM223" i="9"/>
  <c r="AJ224" i="9"/>
  <c r="AL225" i="9"/>
  <c r="AE226" i="9"/>
  <c r="AK227" i="9"/>
  <c r="AE228" i="9"/>
  <c r="AF230" i="9"/>
  <c r="AI231" i="9"/>
  <c r="AD232" i="9"/>
  <c r="AH238" i="9"/>
  <c r="AN240" i="9"/>
  <c r="AG243" i="9"/>
  <c r="AM245" i="9"/>
  <c r="AG248" i="9"/>
  <c r="AM250" i="9"/>
  <c r="AD251" i="9"/>
  <c r="AO273" i="9"/>
  <c r="AN278" i="9"/>
  <c r="AM283" i="9"/>
  <c r="AI195" i="9"/>
  <c r="AK196" i="9"/>
  <c r="AE197" i="9"/>
  <c r="AM197" i="9"/>
  <c r="AG198" i="9"/>
  <c r="AO198" i="9"/>
  <c r="AI199" i="9"/>
  <c r="AK200" i="9"/>
  <c r="AE201" i="9"/>
  <c r="AM201" i="9"/>
  <c r="AG202" i="9"/>
  <c r="AO202" i="9"/>
  <c r="AI203" i="9"/>
  <c r="AK204" i="9"/>
  <c r="AE205" i="9"/>
  <c r="AM205" i="9"/>
  <c r="AG206" i="9"/>
  <c r="AO206" i="9"/>
  <c r="AI207" i="9"/>
  <c r="AK208" i="9"/>
  <c r="AE209" i="9"/>
  <c r="AM209" i="9"/>
  <c r="AG210" i="9"/>
  <c r="AO210" i="9"/>
  <c r="AH211" i="9"/>
  <c r="AP211" i="9"/>
  <c r="AI212" i="9"/>
  <c r="AJ213" i="9"/>
  <c r="AI214" i="9"/>
  <c r="AG215" i="9"/>
  <c r="AO215" i="9"/>
  <c r="AE216" i="9"/>
  <c r="AM216" i="9"/>
  <c r="AJ217" i="9"/>
  <c r="AG218" i="9"/>
  <c r="AO218" i="9"/>
  <c r="AJ219" i="9"/>
  <c r="AE220" i="9"/>
  <c r="AM220" i="9"/>
  <c r="AH221" i="9"/>
  <c r="AP221" i="9"/>
  <c r="AK222" i="9"/>
  <c r="AF223" i="9"/>
  <c r="AN223" i="9"/>
  <c r="AL224" i="9"/>
  <c r="AM225" i="9"/>
  <c r="AG226" i="9"/>
  <c r="AM227" i="9"/>
  <c r="AF228" i="9"/>
  <c r="AE229" i="9"/>
  <c r="AH230" i="9"/>
  <c r="AK231" i="9"/>
  <c r="AF232" i="9"/>
  <c r="AE233" i="9"/>
  <c r="AF236" i="9"/>
  <c r="AL238" i="9"/>
  <c r="AE241" i="9"/>
  <c r="AK243" i="9"/>
  <c r="AD246" i="9"/>
  <c r="AK248" i="9"/>
  <c r="AL251" i="9"/>
  <c r="AG252" i="9"/>
  <c r="AI255" i="9"/>
  <c r="AJ274" i="9"/>
  <c r="AI279" i="9"/>
  <c r="AH284" i="9"/>
  <c r="AH210" i="9"/>
  <c r="AP210" i="9"/>
  <c r="AI211" i="9"/>
  <c r="AJ212" i="9"/>
  <c r="AK213" i="9"/>
  <c r="AJ214" i="9"/>
  <c r="AH215" i="9"/>
  <c r="AP215" i="9"/>
  <c r="AF216" i="9"/>
  <c r="AN216" i="9"/>
  <c r="AK217" i="9"/>
  <c r="AH218" i="9"/>
  <c r="AP218" i="9"/>
  <c r="AK219" i="9"/>
  <c r="AF220" i="9"/>
  <c r="AN220" i="9"/>
  <c r="AI221" i="9"/>
  <c r="AD222" i="9"/>
  <c r="AL222" i="9"/>
  <c r="AG223" i="9"/>
  <c r="AO223" i="9"/>
  <c r="AD224" i="9"/>
  <c r="AM224" i="9"/>
  <c r="AO225" i="9"/>
  <c r="AH226" i="9"/>
  <c r="AO227" i="9"/>
  <c r="AH228" i="9"/>
  <c r="AF229" i="9"/>
  <c r="AI230" i="9"/>
  <c r="AL231" i="9"/>
  <c r="AJ232" i="9"/>
  <c r="AG233" i="9"/>
  <c r="AD234" i="9"/>
  <c r="AJ236" i="9"/>
  <c r="AP238" i="9"/>
  <c r="AI241" i="9"/>
  <c r="AO243" i="9"/>
  <c r="AH246" i="9"/>
  <c r="AO248" i="9"/>
  <c r="AO252" i="9"/>
  <c r="AJ253" i="9"/>
  <c r="AE254" i="9"/>
  <c r="AF270" i="9"/>
  <c r="AE275" i="9"/>
  <c r="AD280" i="9"/>
  <c r="AP284" i="9"/>
  <c r="AE180" i="9"/>
  <c r="AM180" i="9"/>
  <c r="AG181" i="9"/>
  <c r="AO181" i="9"/>
  <c r="AI182" i="9"/>
  <c r="AK183" i="9"/>
  <c r="AE184" i="9"/>
  <c r="AM184" i="9"/>
  <c r="AG185" i="9"/>
  <c r="AO185" i="9"/>
  <c r="AI186" i="9"/>
  <c r="AK187" i="9"/>
  <c r="AE188" i="9"/>
  <c r="AM188" i="9"/>
  <c r="AG189" i="9"/>
  <c r="AO189" i="9"/>
  <c r="AI190" i="9"/>
  <c r="AK191" i="9"/>
  <c r="AE192" i="9"/>
  <c r="AM192" i="9"/>
  <c r="AG193" i="9"/>
  <c r="AO193" i="9"/>
  <c r="AI194" i="9"/>
  <c r="AK195" i="9"/>
  <c r="AE196" i="9"/>
  <c r="AM196" i="9"/>
  <c r="AG197" i="9"/>
  <c r="AO197" i="9"/>
  <c r="AI198" i="9"/>
  <c r="AK199" i="9"/>
  <c r="AE200" i="9"/>
  <c r="AM200" i="9"/>
  <c r="AG201" i="9"/>
  <c r="AO201" i="9"/>
  <c r="AI202" i="9"/>
  <c r="AK203" i="9"/>
  <c r="AE204" i="9"/>
  <c r="AM204" i="9"/>
  <c r="AG205" i="9"/>
  <c r="AO205" i="9"/>
  <c r="AI206" i="9"/>
  <c r="AK207" i="9"/>
  <c r="AE208" i="9"/>
  <c r="AM208" i="9"/>
  <c r="AG209" i="9"/>
  <c r="AO209" i="9"/>
  <c r="AI210" i="9"/>
  <c r="AJ211" i="9"/>
  <c r="AK212" i="9"/>
  <c r="AD213" i="9"/>
  <c r="AL213" i="9"/>
  <c r="AK214" i="9"/>
  <c r="AI215" i="9"/>
  <c r="AG216" i="9"/>
  <c r="AO216" i="9"/>
  <c r="AD217" i="9"/>
  <c r="AL217" i="9"/>
  <c r="AI218" i="9"/>
  <c r="AD219" i="9"/>
  <c r="AL219" i="9"/>
  <c r="AG220" i="9"/>
  <c r="AO220" i="9"/>
  <c r="AJ221" i="9"/>
  <c r="AE222" i="9"/>
  <c r="AM222" i="9"/>
  <c r="AH223" i="9"/>
  <c r="AP223" i="9"/>
  <c r="AE224" i="9"/>
  <c r="AN224" i="9"/>
  <c r="AD225" i="9"/>
  <c r="AJ226" i="9"/>
  <c r="AP227" i="9"/>
  <c r="AJ228" i="9"/>
  <c r="AI229" i="9"/>
  <c r="AL230" i="9"/>
  <c r="AO231" i="9"/>
  <c r="AL232" i="9"/>
  <c r="AI233" i="9"/>
  <c r="AH234" i="9"/>
  <c r="AE235" i="9"/>
  <c r="AN236" i="9"/>
  <c r="AG239" i="9"/>
  <c r="AM241" i="9"/>
  <c r="AF244" i="9"/>
  <c r="AL246" i="9"/>
  <c r="AF249" i="9"/>
  <c r="AM254" i="9"/>
  <c r="AF256" i="9"/>
  <c r="AK257" i="9"/>
  <c r="AN270" i="9"/>
  <c r="AM275" i="9"/>
  <c r="AL280" i="9"/>
  <c r="AK285" i="9"/>
  <c r="AK211" i="9"/>
  <c r="AD212" i="9"/>
  <c r="AL212" i="9"/>
  <c r="AE213" i="9"/>
  <c r="AM213" i="9"/>
  <c r="AD214" i="9"/>
  <c r="AL214" i="9"/>
  <c r="AJ215" i="9"/>
  <c r="AH216" i="9"/>
  <c r="AP216" i="9"/>
  <c r="AE217" i="9"/>
  <c r="AM217" i="9"/>
  <c r="AJ218" i="9"/>
  <c r="AE219" i="9"/>
  <c r="AM219" i="9"/>
  <c r="AH220" i="9"/>
  <c r="AP220" i="9"/>
  <c r="AK221" i="9"/>
  <c r="AF222" i="9"/>
  <c r="AN222" i="9"/>
  <c r="AI223" i="9"/>
  <c r="AF224" i="9"/>
  <c r="AO224" i="9"/>
  <c r="AE225" i="9"/>
  <c r="AL226" i="9"/>
  <c r="AE227" i="9"/>
  <c r="AK228" i="9"/>
  <c r="AK229" i="9"/>
  <c r="AN230" i="9"/>
  <c r="AN232" i="9"/>
  <c r="AM233" i="9"/>
  <c r="AJ234" i="9"/>
  <c r="AG235" i="9"/>
  <c r="AE237" i="9"/>
  <c r="AK239" i="9"/>
  <c r="AD242" i="9"/>
  <c r="AJ244" i="9"/>
  <c r="AP246" i="9"/>
  <c r="AD247" i="9"/>
  <c r="AJ249" i="9"/>
  <c r="AN256" i="9"/>
  <c r="AH258" i="9"/>
  <c r="AE259" i="9"/>
  <c r="AJ260" i="9"/>
  <c r="AG261" i="9"/>
  <c r="AD262" i="9"/>
  <c r="AH263" i="9"/>
  <c r="AD264" i="9"/>
  <c r="AH265" i="9"/>
  <c r="AI271" i="9"/>
  <c r="AH276" i="9"/>
  <c r="AG281" i="9"/>
  <c r="AF286" i="9"/>
  <c r="AG164" i="9"/>
  <c r="AO164" i="9"/>
  <c r="AI165" i="9"/>
  <c r="AK166" i="9"/>
  <c r="AE167" i="9"/>
  <c r="AM167" i="9"/>
  <c r="AG168" i="9"/>
  <c r="AO168" i="9"/>
  <c r="AI169" i="9"/>
  <c r="AK170" i="9"/>
  <c r="AE171" i="9"/>
  <c r="AM171" i="9"/>
  <c r="AG172" i="9"/>
  <c r="AO172" i="9"/>
  <c r="AI173" i="9"/>
  <c r="AK174" i="9"/>
  <c r="AE175" i="9"/>
  <c r="AM175" i="9"/>
  <c r="AG176" i="9"/>
  <c r="AO176" i="9"/>
  <c r="AI177" i="9"/>
  <c r="AK178" i="9"/>
  <c r="AE179" i="9"/>
  <c r="AM179" i="9"/>
  <c r="AG180" i="9"/>
  <c r="AO180" i="9"/>
  <c r="AI181" i="9"/>
  <c r="AK182" i="9"/>
  <c r="AE183" i="9"/>
  <c r="AM183" i="9"/>
  <c r="AG184" i="9"/>
  <c r="AO184" i="9"/>
  <c r="AI185" i="9"/>
  <c r="AK186" i="9"/>
  <c r="AE187" i="9"/>
  <c r="AM187" i="9"/>
  <c r="AG188" i="9"/>
  <c r="AO188" i="9"/>
  <c r="AI189" i="9"/>
  <c r="AK190" i="9"/>
  <c r="AE191" i="9"/>
  <c r="AM191" i="9"/>
  <c r="AG192" i="9"/>
  <c r="AO192" i="9"/>
  <c r="AI193" i="9"/>
  <c r="AK194" i="9"/>
  <c r="AE195" i="9"/>
  <c r="AM195" i="9"/>
  <c r="AG196" i="9"/>
  <c r="AO196" i="9"/>
  <c r="AI197" i="9"/>
  <c r="AK198" i="9"/>
  <c r="AE199" i="9"/>
  <c r="AM199" i="9"/>
  <c r="AG200" i="9"/>
  <c r="AO200" i="9"/>
  <c r="AI201" i="9"/>
  <c r="AK202" i="9"/>
  <c r="AE203" i="9"/>
  <c r="AM203" i="9"/>
  <c r="AG204" i="9"/>
  <c r="AO204" i="9"/>
  <c r="AI205" i="9"/>
  <c r="AK206" i="9"/>
  <c r="AE207" i="9"/>
  <c r="AM207" i="9"/>
  <c r="AG208" i="9"/>
  <c r="AO208" i="9"/>
  <c r="AI209" i="9"/>
  <c r="AK210" i="9"/>
  <c r="AD211" i="9"/>
  <c r="AL211" i="9"/>
  <c r="AE212" i="9"/>
  <c r="AM212" i="9"/>
  <c r="AF213" i="9"/>
  <c r="AN213" i="9"/>
  <c r="AE214" i="9"/>
  <c r="AM214" i="9"/>
  <c r="AK215" i="9"/>
  <c r="AI216" i="9"/>
  <c r="AF217" i="9"/>
  <c r="AN217" i="9"/>
  <c r="AK218" i="9"/>
  <c r="AF219" i="9"/>
  <c r="AN219" i="9"/>
  <c r="AI220" i="9"/>
  <c r="AD221" i="9"/>
  <c r="AL221" i="9"/>
  <c r="AG222" i="9"/>
  <c r="AO222" i="9"/>
  <c r="AJ223" i="9"/>
  <c r="AG224" i="9"/>
  <c r="AP224" i="9"/>
  <c r="AG225" i="9"/>
  <c r="AM226" i="9"/>
  <c r="AG227" i="9"/>
  <c r="AM228" i="9"/>
  <c r="AM229" i="9"/>
  <c r="AP230" i="9"/>
  <c r="AO233" i="9"/>
  <c r="AL234" i="9"/>
  <c r="AK235" i="9"/>
  <c r="AI237" i="9"/>
  <c r="AO239" i="9"/>
  <c r="AH242" i="9"/>
  <c r="AN244" i="9"/>
  <c r="AH247" i="9"/>
  <c r="AN249" i="9"/>
  <c r="AP258" i="9"/>
  <c r="AM259" i="9"/>
  <c r="AO261" i="9"/>
  <c r="AL262" i="9"/>
  <c r="AP263" i="9"/>
  <c r="AL264" i="9"/>
  <c r="AP265" i="9"/>
  <c r="AD272" i="9"/>
  <c r="AP276" i="9"/>
  <c r="AO281" i="9"/>
  <c r="AN286" i="9"/>
  <c r="AH196" i="9"/>
  <c r="AP196" i="9"/>
  <c r="AJ197" i="9"/>
  <c r="AD198" i="9"/>
  <c r="AL198" i="9"/>
  <c r="AF199" i="9"/>
  <c r="AN199" i="9"/>
  <c r="AH200" i="9"/>
  <c r="AP200" i="9"/>
  <c r="AJ201" i="9"/>
  <c r="AD202" i="9"/>
  <c r="AL202" i="9"/>
  <c r="AF203" i="9"/>
  <c r="AN203" i="9"/>
  <c r="AH204" i="9"/>
  <c r="AP204" i="9"/>
  <c r="AJ205" i="9"/>
  <c r="AD206" i="9"/>
  <c r="AL206" i="9"/>
  <c r="AF207" i="9"/>
  <c r="AN207" i="9"/>
  <c r="AH208" i="9"/>
  <c r="AP208" i="9"/>
  <c r="AJ209" i="9"/>
  <c r="AD210" i="9"/>
  <c r="AL210" i="9"/>
  <c r="AE211" i="9"/>
  <c r="AM211" i="9"/>
  <c r="AF212" i="9"/>
  <c r="AN212" i="9"/>
  <c r="AG213" i="9"/>
  <c r="AO213" i="9"/>
  <c r="AF214" i="9"/>
  <c r="AN214" i="9"/>
  <c r="AD215" i="9"/>
  <c r="AL215" i="9"/>
  <c r="AJ216" i="9"/>
  <c r="AG217" i="9"/>
  <c r="AO217" i="9"/>
  <c r="AD218" i="9"/>
  <c r="AL218" i="9"/>
  <c r="AG219" i="9"/>
  <c r="AO219" i="9"/>
  <c r="AJ220" i="9"/>
  <c r="AE221" i="9"/>
  <c r="AM221" i="9"/>
  <c r="AH222" i="9"/>
  <c r="AP222" i="9"/>
  <c r="AK223" i="9"/>
  <c r="AH224" i="9"/>
  <c r="AI225" i="9"/>
  <c r="AO226" i="9"/>
  <c r="AH227" i="9"/>
  <c r="AN228" i="9"/>
  <c r="AN229" i="9"/>
  <c r="AD231" i="9"/>
  <c r="AP234" i="9"/>
  <c r="AM235" i="9"/>
  <c r="AM237" i="9"/>
  <c r="AF240" i="9"/>
  <c r="AL242" i="9"/>
  <c r="AE245" i="9"/>
  <c r="AL247" i="9"/>
  <c r="AE250" i="9"/>
  <c r="AL272" i="9"/>
  <c r="AK277" i="9"/>
  <c r="AJ282" i="9"/>
  <c r="AI287" i="9"/>
  <c r="AL288" i="9"/>
  <c r="AG289" i="9"/>
  <c r="AO289" i="9"/>
  <c r="AJ290" i="9"/>
  <c r="AE291" i="9"/>
  <c r="AM291" i="9"/>
  <c r="AH292" i="9"/>
  <c r="AP292" i="9"/>
  <c r="AK293" i="9"/>
  <c r="AF294" i="9"/>
  <c r="AN294" i="9"/>
  <c r="AI295" i="9"/>
  <c r="AD296" i="9"/>
  <c r="AL296" i="9"/>
  <c r="AG297" i="9"/>
  <c r="AO297" i="9"/>
  <c r="AJ298" i="9"/>
  <c r="AE299" i="9"/>
  <c r="AM299" i="9"/>
  <c r="AH300" i="9"/>
  <c r="AP300" i="9"/>
  <c r="AK301" i="9"/>
  <c r="AF302" i="9"/>
  <c r="AN302" i="9"/>
  <c r="AI303" i="9"/>
  <c r="AD304" i="9"/>
  <c r="AL304" i="9"/>
  <c r="AG305" i="9"/>
  <c r="AO305" i="9"/>
  <c r="AJ306" i="9"/>
  <c r="AE307" i="9"/>
  <c r="AM307" i="9"/>
  <c r="AH308" i="9"/>
  <c r="AP308" i="9"/>
  <c r="AK309" i="9"/>
  <c r="AF310" i="9"/>
  <c r="AN310" i="9"/>
  <c r="AI311" i="9"/>
  <c r="AD312" i="9"/>
  <c r="AL312" i="9"/>
  <c r="AG313" i="9"/>
  <c r="AO313" i="9"/>
  <c r="AJ314" i="9"/>
  <c r="AE315" i="9"/>
  <c r="AM315" i="9"/>
  <c r="AH316" i="9"/>
  <c r="AP316" i="9"/>
  <c r="AK317" i="9"/>
  <c r="AF318" i="9"/>
  <c r="AN318" i="9"/>
  <c r="AI319" i="9"/>
  <c r="AD320" i="9"/>
  <c r="AL320" i="9"/>
  <c r="AG321" i="9"/>
  <c r="AO321" i="9"/>
  <c r="AJ322" i="9"/>
  <c r="AE323" i="9"/>
  <c r="AM323" i="9"/>
  <c r="AH324" i="9"/>
  <c r="AP324" i="9"/>
  <c r="AK325" i="9"/>
  <c r="AF326" i="9"/>
  <c r="AN326" i="9"/>
  <c r="AI327" i="9"/>
  <c r="AD328" i="9"/>
  <c r="AL328" i="9"/>
  <c r="AH329" i="9"/>
  <c r="AD330" i="9"/>
  <c r="AM330" i="9"/>
  <c r="AJ331" i="9"/>
  <c r="AF332" i="9"/>
  <c r="AO332" i="9"/>
  <c r="AK333" i="9"/>
  <c r="AG334" i="9"/>
  <c r="AP334" i="9"/>
  <c r="AL335" i="9"/>
  <c r="AJ336" i="9"/>
  <c r="AH337" i="9"/>
  <c r="AE338" i="9"/>
  <c r="AF339" i="9"/>
  <c r="AJ340" i="9"/>
  <c r="AG342" i="9"/>
  <c r="AO343" i="9"/>
  <c r="AI345" i="9"/>
  <c r="AN347" i="9"/>
  <c r="AF352" i="9"/>
  <c r="AE357" i="9"/>
  <c r="AD362" i="9"/>
  <c r="AP366" i="9"/>
  <c r="AO371" i="9"/>
  <c r="AK224" i="9"/>
  <c r="AF225" i="9"/>
  <c r="AN225" i="9"/>
  <c r="AI226" i="9"/>
  <c r="AD227" i="9"/>
  <c r="AL227" i="9"/>
  <c r="AG228" i="9"/>
  <c r="AO228" i="9"/>
  <c r="AJ229" i="9"/>
  <c r="AE230" i="9"/>
  <c r="AM230" i="9"/>
  <c r="AH231" i="9"/>
  <c r="AP231" i="9"/>
  <c r="AK232" i="9"/>
  <c r="AF233" i="9"/>
  <c r="AN233" i="9"/>
  <c r="AI234" i="9"/>
  <c r="AD235" i="9"/>
  <c r="AL235" i="9"/>
  <c r="AG236" i="9"/>
  <c r="AO236" i="9"/>
  <c r="AJ237" i="9"/>
  <c r="AE238" i="9"/>
  <c r="AM238" i="9"/>
  <c r="AH239" i="9"/>
  <c r="AP239" i="9"/>
  <c r="AK240" i="9"/>
  <c r="AF241" i="9"/>
  <c r="AN241" i="9"/>
  <c r="AI242" i="9"/>
  <c r="AD243" i="9"/>
  <c r="AL243" i="9"/>
  <c r="AG244" i="9"/>
  <c r="AO244" i="9"/>
  <c r="AJ245" i="9"/>
  <c r="AE246" i="9"/>
  <c r="AM246" i="9"/>
  <c r="AI247" i="9"/>
  <c r="AD248" i="9"/>
  <c r="AL248" i="9"/>
  <c r="AG249" i="9"/>
  <c r="AO249" i="9"/>
  <c r="AJ250" i="9"/>
  <c r="AE251" i="9"/>
  <c r="AM251" i="9"/>
  <c r="AH252" i="9"/>
  <c r="AP252" i="9"/>
  <c r="AK253" i="9"/>
  <c r="AF254" i="9"/>
  <c r="AN254" i="9"/>
  <c r="AJ255" i="9"/>
  <c r="AG256" i="9"/>
  <c r="AO256" i="9"/>
  <c r="AD257" i="9"/>
  <c r="AL257" i="9"/>
  <c r="AI258" i="9"/>
  <c r="AF259" i="9"/>
  <c r="AN259" i="9"/>
  <c r="AK260" i="9"/>
  <c r="AH261" i="9"/>
  <c r="AP261" i="9"/>
  <c r="AE262" i="9"/>
  <c r="AM262" i="9"/>
  <c r="AI263" i="9"/>
  <c r="AE264" i="9"/>
  <c r="AM264" i="9"/>
  <c r="AI265" i="9"/>
  <c r="AG270" i="9"/>
  <c r="AO270" i="9"/>
  <c r="AJ271" i="9"/>
  <c r="AE272" i="9"/>
  <c r="AM272" i="9"/>
  <c r="AH273" i="9"/>
  <c r="AP273" i="9"/>
  <c r="AK274" i="9"/>
  <c r="AF275" i="9"/>
  <c r="AN275" i="9"/>
  <c r="AI276" i="9"/>
  <c r="AD277" i="9"/>
  <c r="AL277" i="9"/>
  <c r="AG278" i="9"/>
  <c r="AO278" i="9"/>
  <c r="AJ279" i="9"/>
  <c r="AE280" i="9"/>
  <c r="AM280" i="9"/>
  <c r="AH281" i="9"/>
  <c r="AP281" i="9"/>
  <c r="AK282" i="9"/>
  <c r="AF283" i="9"/>
  <c r="AN283" i="9"/>
  <c r="AI284" i="9"/>
  <c r="AD285" i="9"/>
  <c r="AL285" i="9"/>
  <c r="AG286" i="9"/>
  <c r="AO286" i="9"/>
  <c r="AJ287" i="9"/>
  <c r="AE288" i="9"/>
  <c r="AM288" i="9"/>
  <c r="AH289" i="9"/>
  <c r="AP289" i="9"/>
  <c r="AK290" i="9"/>
  <c r="AF291" i="9"/>
  <c r="AN291" i="9"/>
  <c r="AI292" i="9"/>
  <c r="AD293" i="9"/>
  <c r="AL293" i="9"/>
  <c r="AG294" i="9"/>
  <c r="AO294" i="9"/>
  <c r="AJ295" i="9"/>
  <c r="AE296" i="9"/>
  <c r="AM296" i="9"/>
  <c r="AH297" i="9"/>
  <c r="AP297" i="9"/>
  <c r="AK298" i="9"/>
  <c r="AF299" i="9"/>
  <c r="AN299" i="9"/>
  <c r="AI300" i="9"/>
  <c r="AD301" i="9"/>
  <c r="AL301" i="9"/>
  <c r="AG302" i="9"/>
  <c r="AO302" i="9"/>
  <c r="AJ303" i="9"/>
  <c r="AE304" i="9"/>
  <c r="AM304" i="9"/>
  <c r="AH305" i="9"/>
  <c r="AP305" i="9"/>
  <c r="AK306" i="9"/>
  <c r="AF307" i="9"/>
  <c r="AN307" i="9"/>
  <c r="AI308" i="9"/>
  <c r="AD309" i="9"/>
  <c r="AL309" i="9"/>
  <c r="AG310" i="9"/>
  <c r="AO310" i="9"/>
  <c r="AJ311" i="9"/>
  <c r="AE312" i="9"/>
  <c r="AM312" i="9"/>
  <c r="AH313" i="9"/>
  <c r="AP313" i="9"/>
  <c r="AK314" i="9"/>
  <c r="AF315" i="9"/>
  <c r="AN315" i="9"/>
  <c r="AI316" i="9"/>
  <c r="AD317" i="9"/>
  <c r="AL317" i="9"/>
  <c r="AG318" i="9"/>
  <c r="AO318" i="9"/>
  <c r="AJ319" i="9"/>
  <c r="AE320" i="9"/>
  <c r="AM320" i="9"/>
  <c r="AH321" i="9"/>
  <c r="AP321" i="9"/>
  <c r="AK322" i="9"/>
  <c r="AF323" i="9"/>
  <c r="AN323" i="9"/>
  <c r="AI324" i="9"/>
  <c r="AD325" i="9"/>
  <c r="AL325" i="9"/>
  <c r="AG326" i="9"/>
  <c r="AO326" i="9"/>
  <c r="AJ327" i="9"/>
  <c r="AE328" i="9"/>
  <c r="AM328" i="9"/>
  <c r="AI329" i="9"/>
  <c r="AE330" i="9"/>
  <c r="AO330" i="9"/>
  <c r="AK331" i="9"/>
  <c r="AG332" i="9"/>
  <c r="AP332" i="9"/>
  <c r="AL333" i="9"/>
  <c r="AH334" i="9"/>
  <c r="AD335" i="9"/>
  <c r="AN335" i="9"/>
  <c r="AL336" i="9"/>
  <c r="AI337" i="9"/>
  <c r="AG338" i="9"/>
  <c r="AG339" i="9"/>
  <c r="AN340" i="9"/>
  <c r="AH342" i="9"/>
  <c r="AE344" i="9"/>
  <c r="AM345" i="9"/>
  <c r="AO347" i="9"/>
  <c r="AN352" i="9"/>
  <c r="AM357" i="9"/>
  <c r="AL362" i="9"/>
  <c r="AK367" i="9"/>
  <c r="AJ372" i="9"/>
  <c r="AH236" i="9"/>
  <c r="AP236" i="9"/>
  <c r="AK237" i="9"/>
  <c r="AF238" i="9"/>
  <c r="AN238" i="9"/>
  <c r="AI239" i="9"/>
  <c r="AD240" i="9"/>
  <c r="AL240" i="9"/>
  <c r="AG241" i="9"/>
  <c r="AO241" i="9"/>
  <c r="AJ242" i="9"/>
  <c r="AE243" i="9"/>
  <c r="AM243" i="9"/>
  <c r="AH244" i="9"/>
  <c r="AP244" i="9"/>
  <c r="AK245" i="9"/>
  <c r="AF246" i="9"/>
  <c r="AN246" i="9"/>
  <c r="AJ247" i="9"/>
  <c r="AE248" i="9"/>
  <c r="AM248" i="9"/>
  <c r="AH249" i="9"/>
  <c r="AP249" i="9"/>
  <c r="AK250" i="9"/>
  <c r="AF251" i="9"/>
  <c r="AN251" i="9"/>
  <c r="AI252" i="9"/>
  <c r="AD253" i="9"/>
  <c r="AL253" i="9"/>
  <c r="AG254" i="9"/>
  <c r="AO254" i="9"/>
  <c r="AK255" i="9"/>
  <c r="AH256" i="9"/>
  <c r="AP256" i="9"/>
  <c r="AE257" i="9"/>
  <c r="AM257" i="9"/>
  <c r="AJ258" i="9"/>
  <c r="AG259" i="9"/>
  <c r="AO259" i="9"/>
  <c r="AD260" i="9"/>
  <c r="AL260" i="9"/>
  <c r="AI261" i="9"/>
  <c r="AF262" i="9"/>
  <c r="AN262" i="9"/>
  <c r="AJ263" i="9"/>
  <c r="AF264" i="9"/>
  <c r="AN264" i="9"/>
  <c r="AJ265" i="9"/>
  <c r="AH270" i="9"/>
  <c r="AP270" i="9"/>
  <c r="AK271" i="9"/>
  <c r="AF272" i="9"/>
  <c r="AN272" i="9"/>
  <c r="AI273" i="9"/>
  <c r="AD274" i="9"/>
  <c r="AL274" i="9"/>
  <c r="AG275" i="9"/>
  <c r="AO275" i="9"/>
  <c r="AJ276" i="9"/>
  <c r="AE277" i="9"/>
  <c r="AM277" i="9"/>
  <c r="AH278" i="9"/>
  <c r="AP278" i="9"/>
  <c r="AK279" i="9"/>
  <c r="AF280" i="9"/>
  <c r="AN280" i="9"/>
  <c r="AI281" i="9"/>
  <c r="AD282" i="9"/>
  <c r="AL282" i="9"/>
  <c r="AG283" i="9"/>
  <c r="AO283" i="9"/>
  <c r="AJ284" i="9"/>
  <c r="AE285" i="9"/>
  <c r="AM285" i="9"/>
  <c r="AH286" i="9"/>
  <c r="AP286" i="9"/>
  <c r="AK287" i="9"/>
  <c r="AF288" i="9"/>
  <c r="AN288" i="9"/>
  <c r="AI289" i="9"/>
  <c r="AD290" i="9"/>
  <c r="AL290" i="9"/>
  <c r="AG291" i="9"/>
  <c r="AO291" i="9"/>
  <c r="AJ292" i="9"/>
  <c r="AE293" i="9"/>
  <c r="AM293" i="9"/>
  <c r="AH294" i="9"/>
  <c r="AP294" i="9"/>
  <c r="AK295" i="9"/>
  <c r="AF296" i="9"/>
  <c r="AN296" i="9"/>
  <c r="AI297" i="9"/>
  <c r="AD298" i="9"/>
  <c r="AL298" i="9"/>
  <c r="AG299" i="9"/>
  <c r="AO299" i="9"/>
  <c r="AJ300" i="9"/>
  <c r="AE301" i="9"/>
  <c r="AM301" i="9"/>
  <c r="AH302" i="9"/>
  <c r="AP302" i="9"/>
  <c r="AK303" i="9"/>
  <c r="AF304" i="9"/>
  <c r="AN304" i="9"/>
  <c r="AI305" i="9"/>
  <c r="AD306" i="9"/>
  <c r="AL306" i="9"/>
  <c r="AG307" i="9"/>
  <c r="AO307" i="9"/>
  <c r="AJ308" i="9"/>
  <c r="AE309" i="9"/>
  <c r="AM309" i="9"/>
  <c r="AH310" i="9"/>
  <c r="AP310" i="9"/>
  <c r="AK311" i="9"/>
  <c r="AF312" i="9"/>
  <c r="AN312" i="9"/>
  <c r="AI313" i="9"/>
  <c r="AD314" i="9"/>
  <c r="AL314" i="9"/>
  <c r="AG315" i="9"/>
  <c r="AO315" i="9"/>
  <c r="AJ316" i="9"/>
  <c r="AE317" i="9"/>
  <c r="AM317" i="9"/>
  <c r="AH318" i="9"/>
  <c r="AP318" i="9"/>
  <c r="AK319" i="9"/>
  <c r="AF320" i="9"/>
  <c r="AN320" i="9"/>
  <c r="AI321" i="9"/>
  <c r="AD322" i="9"/>
  <c r="AL322" i="9"/>
  <c r="AG323" i="9"/>
  <c r="AO323" i="9"/>
  <c r="AJ324" i="9"/>
  <c r="AE325" i="9"/>
  <c r="AM325" i="9"/>
  <c r="AH326" i="9"/>
  <c r="AP326" i="9"/>
  <c r="AK327" i="9"/>
  <c r="AF328" i="9"/>
  <c r="AN328" i="9"/>
  <c r="AJ329" i="9"/>
  <c r="AG330" i="9"/>
  <c r="AP330" i="9"/>
  <c r="AL331" i="9"/>
  <c r="AH332" i="9"/>
  <c r="AD333" i="9"/>
  <c r="AM333" i="9"/>
  <c r="AI334" i="9"/>
  <c r="AF335" i="9"/>
  <c r="AO335" i="9"/>
  <c r="AM336" i="9"/>
  <c r="AJ337" i="9"/>
  <c r="AH338" i="9"/>
  <c r="AJ339" i="9"/>
  <c r="AD341" i="9"/>
  <c r="AL342" i="9"/>
  <c r="AF344" i="9"/>
  <c r="AP345" i="9"/>
  <c r="AJ348" i="9"/>
  <c r="AI353" i="9"/>
  <c r="AH358" i="9"/>
  <c r="AG363" i="9"/>
  <c r="AF368" i="9"/>
  <c r="AE373" i="9"/>
  <c r="AH225" i="9"/>
  <c r="AP225" i="9"/>
  <c r="AK226" i="9"/>
  <c r="AF227" i="9"/>
  <c r="AN227" i="9"/>
  <c r="AI228" i="9"/>
  <c r="AD229" i="9"/>
  <c r="AL229" i="9"/>
  <c r="AG230" i="9"/>
  <c r="AO230" i="9"/>
  <c r="AJ231" i="9"/>
  <c r="AE232" i="9"/>
  <c r="AM232" i="9"/>
  <c r="AH233" i="9"/>
  <c r="AP233" i="9"/>
  <c r="AK234" i="9"/>
  <c r="AF235" i="9"/>
  <c r="AN235" i="9"/>
  <c r="AI236" i="9"/>
  <c r="AD237" i="9"/>
  <c r="AL237" i="9"/>
  <c r="AG238" i="9"/>
  <c r="AO238" i="9"/>
  <c r="AJ239" i="9"/>
  <c r="AE240" i="9"/>
  <c r="AM240" i="9"/>
  <c r="AH241" i="9"/>
  <c r="AP241" i="9"/>
  <c r="AK242" i="9"/>
  <c r="AF243" i="9"/>
  <c r="AN243" i="9"/>
  <c r="AI244" i="9"/>
  <c r="AD245" i="9"/>
  <c r="AL245" i="9"/>
  <c r="AG246" i="9"/>
  <c r="AO246" i="9"/>
  <c r="AK247" i="9"/>
  <c r="AF248" i="9"/>
  <c r="AN248" i="9"/>
  <c r="AI249" i="9"/>
  <c r="AD250" i="9"/>
  <c r="AL250" i="9"/>
  <c r="AG251" i="9"/>
  <c r="AO251" i="9"/>
  <c r="AJ252" i="9"/>
  <c r="AE253" i="9"/>
  <c r="AM253" i="9"/>
  <c r="AH254" i="9"/>
  <c r="AP254" i="9"/>
  <c r="AD255" i="9"/>
  <c r="AL255" i="9"/>
  <c r="AI256" i="9"/>
  <c r="AF257" i="9"/>
  <c r="AN257" i="9"/>
  <c r="AK258" i="9"/>
  <c r="AH259" i="9"/>
  <c r="AP259" i="9"/>
  <c r="AE260" i="9"/>
  <c r="AM260" i="9"/>
  <c r="AJ261" i="9"/>
  <c r="AG262" i="9"/>
  <c r="AO262" i="9"/>
  <c r="AK263" i="9"/>
  <c r="AG264" i="9"/>
  <c r="AO264" i="9"/>
  <c r="AK265" i="9"/>
  <c r="AI270" i="9"/>
  <c r="AD271" i="9"/>
  <c r="AL271" i="9"/>
  <c r="AG272" i="9"/>
  <c r="AO272" i="9"/>
  <c r="AJ273" i="9"/>
  <c r="AE274" i="9"/>
  <c r="AM274" i="9"/>
  <c r="AH275" i="9"/>
  <c r="AP275" i="9"/>
  <c r="AK276" i="9"/>
  <c r="AF277" i="9"/>
  <c r="AN277" i="9"/>
  <c r="AI278" i="9"/>
  <c r="AD279" i="9"/>
  <c r="AL279" i="9"/>
  <c r="AG280" i="9"/>
  <c r="AO280" i="9"/>
  <c r="AJ281" i="9"/>
  <c r="AE282" i="9"/>
  <c r="AM282" i="9"/>
  <c r="AH283" i="9"/>
  <c r="AP283" i="9"/>
  <c r="AK284" i="9"/>
  <c r="AF285" i="9"/>
  <c r="AN285" i="9"/>
  <c r="AI286" i="9"/>
  <c r="AD287" i="9"/>
  <c r="AL287" i="9"/>
  <c r="AG288" i="9"/>
  <c r="AO288" i="9"/>
  <c r="AJ289" i="9"/>
  <c r="AE290" i="9"/>
  <c r="AM290" i="9"/>
  <c r="AH291" i="9"/>
  <c r="AP291" i="9"/>
  <c r="AK292" i="9"/>
  <c r="AF293" i="9"/>
  <c r="AN293" i="9"/>
  <c r="AI294" i="9"/>
  <c r="AD295" i="9"/>
  <c r="AL295" i="9"/>
  <c r="AG296" i="9"/>
  <c r="AO296" i="9"/>
  <c r="AJ297" i="9"/>
  <c r="AE298" i="9"/>
  <c r="AM298" i="9"/>
  <c r="AH299" i="9"/>
  <c r="AP299" i="9"/>
  <c r="AK300" i="9"/>
  <c r="AF301" i="9"/>
  <c r="AN301" i="9"/>
  <c r="AI302" i="9"/>
  <c r="AD303" i="9"/>
  <c r="AL303" i="9"/>
  <c r="AG304" i="9"/>
  <c r="AO304" i="9"/>
  <c r="AJ305" i="9"/>
  <c r="AE306" i="9"/>
  <c r="AM306" i="9"/>
  <c r="AH307" i="9"/>
  <c r="AP307" i="9"/>
  <c r="AK308" i="9"/>
  <c r="AF309" i="9"/>
  <c r="AN309" i="9"/>
  <c r="AI310" i="9"/>
  <c r="AD311" i="9"/>
  <c r="AL311" i="9"/>
  <c r="AG312" i="9"/>
  <c r="AO312" i="9"/>
  <c r="AJ313" i="9"/>
  <c r="AE314" i="9"/>
  <c r="AM314" i="9"/>
  <c r="AH315" i="9"/>
  <c r="AP315" i="9"/>
  <c r="AK316" i="9"/>
  <c r="AF317" i="9"/>
  <c r="AN317" i="9"/>
  <c r="AI318" i="9"/>
  <c r="AD319" i="9"/>
  <c r="AL319" i="9"/>
  <c r="AG320" i="9"/>
  <c r="AO320" i="9"/>
  <c r="AJ321" i="9"/>
  <c r="AE322" i="9"/>
  <c r="AM322" i="9"/>
  <c r="AH323" i="9"/>
  <c r="AP323" i="9"/>
  <c r="AK324" i="9"/>
  <c r="AF325" i="9"/>
  <c r="AN325" i="9"/>
  <c r="AI326" i="9"/>
  <c r="AD327" i="9"/>
  <c r="AL327" i="9"/>
  <c r="AG328" i="9"/>
  <c r="AO328" i="9"/>
  <c r="AL329" i="9"/>
  <c r="AH330" i="9"/>
  <c r="AD331" i="9"/>
  <c r="AM331" i="9"/>
  <c r="AI332" i="9"/>
  <c r="AE333" i="9"/>
  <c r="AN333" i="9"/>
  <c r="AK334" i="9"/>
  <c r="AG335" i="9"/>
  <c r="AD336" i="9"/>
  <c r="AN336" i="9"/>
  <c r="AL337" i="9"/>
  <c r="AK338" i="9"/>
  <c r="AK339" i="9"/>
  <c r="AE341" i="9"/>
  <c r="AO342" i="9"/>
  <c r="AJ344" i="9"/>
  <c r="AD346" i="9"/>
  <c r="AE349" i="9"/>
  <c r="AD354" i="9"/>
  <c r="AP358" i="9"/>
  <c r="AO363" i="9"/>
  <c r="AN368" i="9"/>
  <c r="AM373" i="9"/>
  <c r="AH251" i="9"/>
  <c r="AP251" i="9"/>
  <c r="AK252" i="9"/>
  <c r="AF253" i="9"/>
  <c r="AN253" i="9"/>
  <c r="AI254" i="9"/>
  <c r="AE255" i="9"/>
  <c r="AM255" i="9"/>
  <c r="AJ256" i="9"/>
  <c r="AG257" i="9"/>
  <c r="AO257" i="9"/>
  <c r="AD258" i="9"/>
  <c r="AL258" i="9"/>
  <c r="AI259" i="9"/>
  <c r="AF260" i="9"/>
  <c r="AN260" i="9"/>
  <c r="AK261" i="9"/>
  <c r="AH262" i="9"/>
  <c r="AP262" i="9"/>
  <c r="AD263" i="9"/>
  <c r="AL263" i="9"/>
  <c r="AH264" i="9"/>
  <c r="AP264" i="9"/>
  <c r="AD265" i="9"/>
  <c r="AL265" i="9"/>
  <c r="AJ270" i="9"/>
  <c r="AE271" i="9"/>
  <c r="AM271" i="9"/>
  <c r="AH272" i="9"/>
  <c r="AP272" i="9"/>
  <c r="AK273" i="9"/>
  <c r="AF274" i="9"/>
  <c r="AN274" i="9"/>
  <c r="AI275" i="9"/>
  <c r="AD276" i="9"/>
  <c r="AL276" i="9"/>
  <c r="AG277" i="9"/>
  <c r="AO277" i="9"/>
  <c r="AJ278" i="9"/>
  <c r="AE279" i="9"/>
  <c r="AM279" i="9"/>
  <c r="AH280" i="9"/>
  <c r="AP280" i="9"/>
  <c r="AK281" i="9"/>
  <c r="AF282" i="9"/>
  <c r="AN282" i="9"/>
  <c r="AI283" i="9"/>
  <c r="AD284" i="9"/>
  <c r="AL284" i="9"/>
  <c r="AG285" i="9"/>
  <c r="AO285" i="9"/>
  <c r="AJ286" i="9"/>
  <c r="AE287" i="9"/>
  <c r="AM287" i="9"/>
  <c r="AH288" i="9"/>
  <c r="AP288" i="9"/>
  <c r="AK289" i="9"/>
  <c r="AF290" i="9"/>
  <c r="AN290" i="9"/>
  <c r="AI291" i="9"/>
  <c r="AD292" i="9"/>
  <c r="AL292" i="9"/>
  <c r="AG293" i="9"/>
  <c r="AO293" i="9"/>
  <c r="AJ294" i="9"/>
  <c r="AE295" i="9"/>
  <c r="AM295" i="9"/>
  <c r="AH296" i="9"/>
  <c r="AP296" i="9"/>
  <c r="AK297" i="9"/>
  <c r="AF298" i="9"/>
  <c r="AN298" i="9"/>
  <c r="AI299" i="9"/>
  <c r="AD300" i="9"/>
  <c r="AL300" i="9"/>
  <c r="AG301" i="9"/>
  <c r="AO301" i="9"/>
  <c r="AJ302" i="9"/>
  <c r="AE303" i="9"/>
  <c r="AM303" i="9"/>
  <c r="AH304" i="9"/>
  <c r="AP304" i="9"/>
  <c r="AK305" i="9"/>
  <c r="AF306" i="9"/>
  <c r="AN306" i="9"/>
  <c r="AI307" i="9"/>
  <c r="AD308" i="9"/>
  <c r="AL308" i="9"/>
  <c r="AG309" i="9"/>
  <c r="AO309" i="9"/>
  <c r="AJ310" i="9"/>
  <c r="AE311" i="9"/>
  <c r="AM311" i="9"/>
  <c r="AH312" i="9"/>
  <c r="AP312" i="9"/>
  <c r="AK313" i="9"/>
  <c r="AF314" i="9"/>
  <c r="AN314" i="9"/>
  <c r="AI315" i="9"/>
  <c r="AD316" i="9"/>
  <c r="AL316" i="9"/>
  <c r="AG317" i="9"/>
  <c r="AO317" i="9"/>
  <c r="AJ318" i="9"/>
  <c r="AE319" i="9"/>
  <c r="AM319" i="9"/>
  <c r="AH320" i="9"/>
  <c r="AP320" i="9"/>
  <c r="AK321" i="9"/>
  <c r="AF322" i="9"/>
  <c r="AN322" i="9"/>
  <c r="AI323" i="9"/>
  <c r="AD324" i="9"/>
  <c r="AL324" i="9"/>
  <c r="AG325" i="9"/>
  <c r="AO325" i="9"/>
  <c r="AJ326" i="9"/>
  <c r="AE327" i="9"/>
  <c r="AM327" i="9"/>
  <c r="AH328" i="9"/>
  <c r="AD329" i="9"/>
  <c r="AM329" i="9"/>
  <c r="AI330" i="9"/>
  <c r="AE331" i="9"/>
  <c r="AN331" i="9"/>
  <c r="AJ332" i="9"/>
  <c r="AF333" i="9"/>
  <c r="AP333" i="9"/>
  <c r="AL334" i="9"/>
  <c r="AH335" i="9"/>
  <c r="AE336" i="9"/>
  <c r="AO336" i="9"/>
  <c r="AM337" i="9"/>
  <c r="AL338" i="9"/>
  <c r="AN339" i="9"/>
  <c r="AI341" i="9"/>
  <c r="AP342" i="9"/>
  <c r="AM344" i="9"/>
  <c r="AK346" i="9"/>
  <c r="AM349" i="9"/>
  <c r="AL354" i="9"/>
  <c r="AK359" i="9"/>
  <c r="AJ364" i="9"/>
  <c r="AI369" i="9"/>
  <c r="AH374" i="9"/>
  <c r="AG232" i="9"/>
  <c r="AO232" i="9"/>
  <c r="AJ233" i="9"/>
  <c r="AE234" i="9"/>
  <c r="AM234" i="9"/>
  <c r="AH235" i="9"/>
  <c r="AP235" i="9"/>
  <c r="AK236" i="9"/>
  <c r="AF237" i="9"/>
  <c r="AN237" i="9"/>
  <c r="AI238" i="9"/>
  <c r="AD239" i="9"/>
  <c r="AL239" i="9"/>
  <c r="AG240" i="9"/>
  <c r="AO240" i="9"/>
  <c r="AJ241" i="9"/>
  <c r="AE242" i="9"/>
  <c r="AM242" i="9"/>
  <c r="AH243" i="9"/>
  <c r="AP243" i="9"/>
  <c r="AK244" i="9"/>
  <c r="AF245" i="9"/>
  <c r="AN245" i="9"/>
  <c r="AI246" i="9"/>
  <c r="AE247" i="9"/>
  <c r="AM247" i="9"/>
  <c r="AH248" i="9"/>
  <c r="AP248" i="9"/>
  <c r="AK249" i="9"/>
  <c r="AF250" i="9"/>
  <c r="AN250" i="9"/>
  <c r="AI251" i="9"/>
  <c r="AD252" i="9"/>
  <c r="AL252" i="9"/>
  <c r="AG253" i="9"/>
  <c r="AO253" i="9"/>
  <c r="AJ254" i="9"/>
  <c r="AF255" i="9"/>
  <c r="AN255" i="9"/>
  <c r="AK256" i="9"/>
  <c r="AH257" i="9"/>
  <c r="AP257" i="9"/>
  <c r="AE258" i="9"/>
  <c r="AM258" i="9"/>
  <c r="AJ259" i="9"/>
  <c r="AG260" i="9"/>
  <c r="AO260" i="9"/>
  <c r="AD261" i="9"/>
  <c r="AL261" i="9"/>
  <c r="AI262" i="9"/>
  <c r="AE263" i="9"/>
  <c r="AM263" i="9"/>
  <c r="AI264" i="9"/>
  <c r="AE265" i="9"/>
  <c r="AM265" i="9"/>
  <c r="AK270" i="9"/>
  <c r="AF271" i="9"/>
  <c r="AN271" i="9"/>
  <c r="AI272" i="9"/>
  <c r="AD273" i="9"/>
  <c r="AL273" i="9"/>
  <c r="AG274" i="9"/>
  <c r="AO274" i="9"/>
  <c r="AJ275" i="9"/>
  <c r="AE276" i="9"/>
  <c r="AM276" i="9"/>
  <c r="AH277" i="9"/>
  <c r="AP277" i="9"/>
  <c r="AK278" i="9"/>
  <c r="AF279" i="9"/>
  <c r="AN279" i="9"/>
  <c r="AI280" i="9"/>
  <c r="AD281" i="9"/>
  <c r="AL281" i="9"/>
  <c r="AG282" i="9"/>
  <c r="AO282" i="9"/>
  <c r="AJ283" i="9"/>
  <c r="AE284" i="9"/>
  <c r="AM284" i="9"/>
  <c r="AH285" i="9"/>
  <c r="AP285" i="9"/>
  <c r="AK286" i="9"/>
  <c r="AF287" i="9"/>
  <c r="AN287" i="9"/>
  <c r="AI288" i="9"/>
  <c r="AD289" i="9"/>
  <c r="AL289" i="9"/>
  <c r="AG290" i="9"/>
  <c r="AO290" i="9"/>
  <c r="AJ291" i="9"/>
  <c r="AE292" i="9"/>
  <c r="AM292" i="9"/>
  <c r="AH293" i="9"/>
  <c r="AP293" i="9"/>
  <c r="AK294" i="9"/>
  <c r="AF295" i="9"/>
  <c r="AN295" i="9"/>
  <c r="AI296" i="9"/>
  <c r="AD297" i="9"/>
  <c r="AL297" i="9"/>
  <c r="AG298" i="9"/>
  <c r="AO298" i="9"/>
  <c r="AJ299" i="9"/>
  <c r="AE300" i="9"/>
  <c r="AM300" i="9"/>
  <c r="AH301" i="9"/>
  <c r="AP301" i="9"/>
  <c r="AK302" i="9"/>
  <c r="AF303" i="9"/>
  <c r="AN303" i="9"/>
  <c r="AI304" i="9"/>
  <c r="AD305" i="9"/>
  <c r="AL305" i="9"/>
  <c r="AG306" i="9"/>
  <c r="AO306" i="9"/>
  <c r="AJ307" i="9"/>
  <c r="AE308" i="9"/>
  <c r="AM308" i="9"/>
  <c r="AH309" i="9"/>
  <c r="AP309" i="9"/>
  <c r="AK310" i="9"/>
  <c r="AF311" i="9"/>
  <c r="AN311" i="9"/>
  <c r="AI312" i="9"/>
  <c r="AD313" i="9"/>
  <c r="AL313" i="9"/>
  <c r="AG314" i="9"/>
  <c r="AO314" i="9"/>
  <c r="AJ315" i="9"/>
  <c r="AE316" i="9"/>
  <c r="AM316" i="9"/>
  <c r="AH317" i="9"/>
  <c r="AP317" i="9"/>
  <c r="AK318" i="9"/>
  <c r="AF319" i="9"/>
  <c r="AN319" i="9"/>
  <c r="AI320" i="9"/>
  <c r="AD321" i="9"/>
  <c r="AL321" i="9"/>
  <c r="AG322" i="9"/>
  <c r="AO322" i="9"/>
  <c r="AJ323" i="9"/>
  <c r="AE324" i="9"/>
  <c r="AM324" i="9"/>
  <c r="AH325" i="9"/>
  <c r="AP325" i="9"/>
  <c r="AK326" i="9"/>
  <c r="AF327" i="9"/>
  <c r="AN327" i="9"/>
  <c r="AI328" i="9"/>
  <c r="AE329" i="9"/>
  <c r="AN329" i="9"/>
  <c r="AJ330" i="9"/>
  <c r="AF331" i="9"/>
  <c r="AO331" i="9"/>
  <c r="AK332" i="9"/>
  <c r="AH333" i="9"/>
  <c r="AD334" i="9"/>
  <c r="AM334" i="9"/>
  <c r="AI335" i="9"/>
  <c r="AF336" i="9"/>
  <c r="AD337" i="9"/>
  <c r="AO337" i="9"/>
  <c r="AM338" i="9"/>
  <c r="AO339" i="9"/>
  <c r="AL341" i="9"/>
  <c r="AG343" i="9"/>
  <c r="AN344" i="9"/>
  <c r="AL346" i="9"/>
  <c r="AH350" i="9"/>
  <c r="AG355" i="9"/>
  <c r="AF360" i="9"/>
  <c r="AE365" i="9"/>
  <c r="AD370" i="9"/>
  <c r="AP374" i="9"/>
  <c r="AK225" i="9"/>
  <c r="AF226" i="9"/>
  <c r="AN226" i="9"/>
  <c r="AI227" i="9"/>
  <c r="AD228" i="9"/>
  <c r="AL228" i="9"/>
  <c r="AG229" i="9"/>
  <c r="AO229" i="9"/>
  <c r="AJ230" i="9"/>
  <c r="AE231" i="9"/>
  <c r="AM231" i="9"/>
  <c r="AH232" i="9"/>
  <c r="AP232" i="9"/>
  <c r="AK233" i="9"/>
  <c r="AF234" i="9"/>
  <c r="AN234" i="9"/>
  <c r="AI235" i="9"/>
  <c r="AD236" i="9"/>
  <c r="AL236" i="9"/>
  <c r="AG237" i="9"/>
  <c r="AO237" i="9"/>
  <c r="AJ238" i="9"/>
  <c r="AE239" i="9"/>
  <c r="AM239" i="9"/>
  <c r="AH240" i="9"/>
  <c r="AP240" i="9"/>
  <c r="AK241" i="9"/>
  <c r="AF242" i="9"/>
  <c r="AN242" i="9"/>
  <c r="AI243" i="9"/>
  <c r="AD244" i="9"/>
  <c r="AL244" i="9"/>
  <c r="AG245" i="9"/>
  <c r="AO245" i="9"/>
  <c r="AJ246" i="9"/>
  <c r="AF247" i="9"/>
  <c r="AN247" i="9"/>
  <c r="AI248" i="9"/>
  <c r="AD249" i="9"/>
  <c r="AL249" i="9"/>
  <c r="AG250" i="9"/>
  <c r="AO250" i="9"/>
  <c r="AJ251" i="9"/>
  <c r="AE252" i="9"/>
  <c r="AM252" i="9"/>
  <c r="AH253" i="9"/>
  <c r="AP253" i="9"/>
  <c r="AK254" i="9"/>
  <c r="AG255" i="9"/>
  <c r="AO255" i="9"/>
  <c r="AD256" i="9"/>
  <c r="AL256" i="9"/>
  <c r="AI257" i="9"/>
  <c r="AF258" i="9"/>
  <c r="AN258" i="9"/>
  <c r="AK259" i="9"/>
  <c r="AH260" i="9"/>
  <c r="AP260" i="9"/>
  <c r="AE261" i="9"/>
  <c r="AM261" i="9"/>
  <c r="AJ262" i="9"/>
  <c r="AF263" i="9"/>
  <c r="AN263" i="9"/>
  <c r="AJ264" i="9"/>
  <c r="AF265" i="9"/>
  <c r="AN265" i="9"/>
  <c r="AD270" i="9"/>
  <c r="AL270" i="9"/>
  <c r="AG271" i="9"/>
  <c r="AO271" i="9"/>
  <c r="AJ272" i="9"/>
  <c r="AE273" i="9"/>
  <c r="AM273" i="9"/>
  <c r="AH274" i="9"/>
  <c r="AP274" i="9"/>
  <c r="AK275" i="9"/>
  <c r="AF276" i="9"/>
  <c r="AN276" i="9"/>
  <c r="AI277" i="9"/>
  <c r="AD278" i="9"/>
  <c r="AL278" i="9"/>
  <c r="AG279" i="9"/>
  <c r="AO279" i="9"/>
  <c r="AJ280" i="9"/>
  <c r="AE281" i="9"/>
  <c r="AM281" i="9"/>
  <c r="AH282" i="9"/>
  <c r="AP282" i="9"/>
  <c r="AK283" i="9"/>
  <c r="AF284" i="9"/>
  <c r="AN284" i="9"/>
  <c r="AI285" i="9"/>
  <c r="AD286" i="9"/>
  <c r="AL286" i="9"/>
  <c r="AG287" i="9"/>
  <c r="AO287" i="9"/>
  <c r="AJ288" i="9"/>
  <c r="AE289" i="9"/>
  <c r="AM289" i="9"/>
  <c r="AH290" i="9"/>
  <c r="AP290" i="9"/>
  <c r="AK291" i="9"/>
  <c r="AF292" i="9"/>
  <c r="AN292" i="9"/>
  <c r="AI293" i="9"/>
  <c r="AD294" i="9"/>
  <c r="AL294" i="9"/>
  <c r="AG295" i="9"/>
  <c r="AO295" i="9"/>
  <c r="AJ296" i="9"/>
  <c r="AE297" i="9"/>
  <c r="AM297" i="9"/>
  <c r="AH298" i="9"/>
  <c r="AP298" i="9"/>
  <c r="AK299" i="9"/>
  <c r="AF300" i="9"/>
  <c r="AN300" i="9"/>
  <c r="AI301" i="9"/>
  <c r="AD302" i="9"/>
  <c r="AL302" i="9"/>
  <c r="AG303" i="9"/>
  <c r="AO303" i="9"/>
  <c r="AJ304" i="9"/>
  <c r="AE305" i="9"/>
  <c r="AM305" i="9"/>
  <c r="AH306" i="9"/>
  <c r="AP306" i="9"/>
  <c r="AK307" i="9"/>
  <c r="AF308" i="9"/>
  <c r="AN308" i="9"/>
  <c r="AI309" i="9"/>
  <c r="AD310" i="9"/>
  <c r="AL310" i="9"/>
  <c r="AG311" i="9"/>
  <c r="AO311" i="9"/>
  <c r="AJ312" i="9"/>
  <c r="AE313" i="9"/>
  <c r="AM313" i="9"/>
  <c r="AH314" i="9"/>
  <c r="AP314" i="9"/>
  <c r="AK315" i="9"/>
  <c r="AF316" i="9"/>
  <c r="AN316" i="9"/>
  <c r="AI317" i="9"/>
  <c r="AD318" i="9"/>
  <c r="AL318" i="9"/>
  <c r="AG319" i="9"/>
  <c r="AO319" i="9"/>
  <c r="AJ320" i="9"/>
  <c r="AE321" i="9"/>
  <c r="AM321" i="9"/>
  <c r="AH322" i="9"/>
  <c r="AP322" i="9"/>
  <c r="AK323" i="9"/>
  <c r="AF324" i="9"/>
  <c r="AN324" i="9"/>
  <c r="AI325" i="9"/>
  <c r="AD326" i="9"/>
  <c r="AL326" i="9"/>
  <c r="AG327" i="9"/>
  <c r="AO327" i="9"/>
  <c r="AJ328" i="9"/>
  <c r="AF329" i="9"/>
  <c r="AO329" i="9"/>
  <c r="AK330" i="9"/>
  <c r="AG331" i="9"/>
  <c r="AP331" i="9"/>
  <c r="AM332" i="9"/>
  <c r="AI333" i="9"/>
  <c r="AE334" i="9"/>
  <c r="AN334" i="9"/>
  <c r="AJ335" i="9"/>
  <c r="AG336" i="9"/>
  <c r="AE337" i="9"/>
  <c r="AP337" i="9"/>
  <c r="AO338" i="9"/>
  <c r="AF340" i="9"/>
  <c r="AM341" i="9"/>
  <c r="AJ343" i="9"/>
  <c r="AE345" i="9"/>
  <c r="AF347" i="9"/>
  <c r="AP350" i="9"/>
  <c r="AO355" i="9"/>
  <c r="AN360" i="9"/>
  <c r="AM365" i="9"/>
  <c r="AL370" i="9"/>
  <c r="AH229" i="9"/>
  <c r="AP229" i="9"/>
  <c r="AK230" i="9"/>
  <c r="AF231" i="9"/>
  <c r="AN231" i="9"/>
  <c r="AI232" i="9"/>
  <c r="AD233" i="9"/>
  <c r="AL233" i="9"/>
  <c r="AG234" i="9"/>
  <c r="AO234" i="9"/>
  <c r="AJ235" i="9"/>
  <c r="AE236" i="9"/>
  <c r="AM236" i="9"/>
  <c r="AH237" i="9"/>
  <c r="AP237" i="9"/>
  <c r="AK238" i="9"/>
  <c r="AF239" i="9"/>
  <c r="AN239" i="9"/>
  <c r="AI240" i="9"/>
  <c r="AD241" i="9"/>
  <c r="AL241" i="9"/>
  <c r="AG242" i="9"/>
  <c r="AO242" i="9"/>
  <c r="AJ243" i="9"/>
  <c r="AE244" i="9"/>
  <c r="AM244" i="9"/>
  <c r="AH245" i="9"/>
  <c r="AP245" i="9"/>
  <c r="AK246" i="9"/>
  <c r="AG247" i="9"/>
  <c r="AO247" i="9"/>
  <c r="AJ248" i="9"/>
  <c r="AE249" i="9"/>
  <c r="AM249" i="9"/>
  <c r="AH250" i="9"/>
  <c r="AP250" i="9"/>
  <c r="AK251" i="9"/>
  <c r="AF252" i="9"/>
  <c r="AN252" i="9"/>
  <c r="AI253" i="9"/>
  <c r="AD254" i="9"/>
  <c r="AL254" i="9"/>
  <c r="AH255" i="9"/>
  <c r="AP255" i="9"/>
  <c r="AE256" i="9"/>
  <c r="AM256" i="9"/>
  <c r="AJ257" i="9"/>
  <c r="AG258" i="9"/>
  <c r="AO258" i="9"/>
  <c r="AD259" i="9"/>
  <c r="AL259" i="9"/>
  <c r="AI260" i="9"/>
  <c r="AF261" i="9"/>
  <c r="AN261" i="9"/>
  <c r="AK262" i="9"/>
  <c r="AG263" i="9"/>
  <c r="AO263" i="9"/>
  <c r="AK264" i="9"/>
  <c r="AG265" i="9"/>
  <c r="AO265" i="9"/>
  <c r="AE270" i="9"/>
  <c r="AM270" i="9"/>
  <c r="AH271" i="9"/>
  <c r="AP271" i="9"/>
  <c r="AK272" i="9"/>
  <c r="AF273" i="9"/>
  <c r="AN273" i="9"/>
  <c r="AI274" i="9"/>
  <c r="AD275" i="9"/>
  <c r="AL275" i="9"/>
  <c r="AG276" i="9"/>
  <c r="AO276" i="9"/>
  <c r="AJ277" i="9"/>
  <c r="AE278" i="9"/>
  <c r="AM278" i="9"/>
  <c r="AH279" i="9"/>
  <c r="AP279" i="9"/>
  <c r="AK280" i="9"/>
  <c r="AF281" i="9"/>
  <c r="AN281" i="9"/>
  <c r="AI282" i="9"/>
  <c r="AD283" i="9"/>
  <c r="AL283" i="9"/>
  <c r="AG284" i="9"/>
  <c r="AO284" i="9"/>
  <c r="AJ285" i="9"/>
  <c r="AE286" i="9"/>
  <c r="AM286" i="9"/>
  <c r="AH287" i="9"/>
  <c r="AP287" i="9"/>
  <c r="AK288" i="9"/>
  <c r="AF289" i="9"/>
  <c r="AN289" i="9"/>
  <c r="AI290" i="9"/>
  <c r="AD291" i="9"/>
  <c r="AL291" i="9"/>
  <c r="AG292" i="9"/>
  <c r="AO292" i="9"/>
  <c r="AJ293" i="9"/>
  <c r="AE294" i="9"/>
  <c r="AM294" i="9"/>
  <c r="AH295" i="9"/>
  <c r="AP295" i="9"/>
  <c r="AK296" i="9"/>
  <c r="AF297" i="9"/>
  <c r="AN297" i="9"/>
  <c r="AI298" i="9"/>
  <c r="AD299" i="9"/>
  <c r="AL299" i="9"/>
  <c r="AG300" i="9"/>
  <c r="AO300" i="9"/>
  <c r="AJ301" i="9"/>
  <c r="AE302" i="9"/>
  <c r="AM302" i="9"/>
  <c r="AH303" i="9"/>
  <c r="AP303" i="9"/>
  <c r="AK304" i="9"/>
  <c r="AF305" i="9"/>
  <c r="AN305" i="9"/>
  <c r="AI306" i="9"/>
  <c r="AD307" i="9"/>
  <c r="AL307" i="9"/>
  <c r="AG308" i="9"/>
  <c r="AO308" i="9"/>
  <c r="AJ309" i="9"/>
  <c r="AE310" i="9"/>
  <c r="AM310" i="9"/>
  <c r="AH311" i="9"/>
  <c r="AP311" i="9"/>
  <c r="AK312" i="9"/>
  <c r="AF313" i="9"/>
  <c r="AN313" i="9"/>
  <c r="AI314" i="9"/>
  <c r="AD315" i="9"/>
  <c r="AL315" i="9"/>
  <c r="AG316" i="9"/>
  <c r="AO316" i="9"/>
  <c r="AJ317" i="9"/>
  <c r="AE318" i="9"/>
  <c r="AM318" i="9"/>
  <c r="AH319" i="9"/>
  <c r="AP319" i="9"/>
  <c r="AK320" i="9"/>
  <c r="AF321" i="9"/>
  <c r="AN321" i="9"/>
  <c r="AI322" i="9"/>
  <c r="AD323" i="9"/>
  <c r="AL323" i="9"/>
  <c r="AG324" i="9"/>
  <c r="AO324" i="9"/>
  <c r="AJ325" i="9"/>
  <c r="AE326" i="9"/>
  <c r="AM326" i="9"/>
  <c r="AH327" i="9"/>
  <c r="AP327" i="9"/>
  <c r="AK328" i="9"/>
  <c r="AG329" i="9"/>
  <c r="AP329" i="9"/>
  <c r="AL330" i="9"/>
  <c r="AH331" i="9"/>
  <c r="AE332" i="9"/>
  <c r="AN332" i="9"/>
  <c r="AJ333" i="9"/>
  <c r="AF334" i="9"/>
  <c r="AO334" i="9"/>
  <c r="AK335" i="9"/>
  <c r="AI336" i="9"/>
  <c r="AG337" i="9"/>
  <c r="AD338" i="9"/>
  <c r="AP338" i="9"/>
  <c r="AI340" i="9"/>
  <c r="AD342" i="9"/>
  <c r="AK343" i="9"/>
  <c r="AH345" i="9"/>
  <c r="AG347" i="9"/>
  <c r="AK351" i="9"/>
  <c r="AJ356" i="9"/>
  <c r="AI361" i="9"/>
  <c r="AH366" i="9"/>
  <c r="AG371" i="9"/>
  <c r="AE340" i="9"/>
  <c r="AM340" i="9"/>
  <c r="AH341" i="9"/>
  <c r="AP341" i="9"/>
  <c r="AK342" i="9"/>
  <c r="AF343" i="9"/>
  <c r="AN343" i="9"/>
  <c r="AI344" i="9"/>
  <c r="AD345" i="9"/>
  <c r="AL345" i="9"/>
  <c r="AG346" i="9"/>
  <c r="AO346" i="9"/>
  <c r="AJ347" i="9"/>
  <c r="AE348" i="9"/>
  <c r="AM348" i="9"/>
  <c r="AH349" i="9"/>
  <c r="AP349" i="9"/>
  <c r="AK350" i="9"/>
  <c r="AF351" i="9"/>
  <c r="AN351" i="9"/>
  <c r="AI352" i="9"/>
  <c r="AD353" i="9"/>
  <c r="AL353" i="9"/>
  <c r="AG354" i="9"/>
  <c r="AO354" i="9"/>
  <c r="AJ355" i="9"/>
  <c r="AE356" i="9"/>
  <c r="AM356" i="9"/>
  <c r="AH357" i="9"/>
  <c r="AP357" i="9"/>
  <c r="AK358" i="9"/>
  <c r="AF359" i="9"/>
  <c r="AN359" i="9"/>
  <c r="AI360" i="9"/>
  <c r="AD361" i="9"/>
  <c r="AL361" i="9"/>
  <c r="AG362" i="9"/>
  <c r="AO362" i="9"/>
  <c r="AJ363" i="9"/>
  <c r="AE364" i="9"/>
  <c r="AM364" i="9"/>
  <c r="AH365" i="9"/>
  <c r="AP365" i="9"/>
  <c r="AK366" i="9"/>
  <c r="AF367" i="9"/>
  <c r="AN367" i="9"/>
  <c r="AI368" i="9"/>
  <c r="AD369" i="9"/>
  <c r="AL369" i="9"/>
  <c r="AG370" i="9"/>
  <c r="AO370" i="9"/>
  <c r="AJ371" i="9"/>
  <c r="AE372" i="9"/>
  <c r="AM372" i="9"/>
  <c r="AH373" i="9"/>
  <c r="AP373" i="9"/>
  <c r="AK374" i="9"/>
  <c r="AH346" i="9"/>
  <c r="AP346" i="9"/>
  <c r="AK347" i="9"/>
  <c r="AF348" i="9"/>
  <c r="AN348" i="9"/>
  <c r="AI349" i="9"/>
  <c r="AD350" i="9"/>
  <c r="AL350" i="9"/>
  <c r="AG351" i="9"/>
  <c r="AO351" i="9"/>
  <c r="AJ352" i="9"/>
  <c r="AE353" i="9"/>
  <c r="AM353" i="9"/>
  <c r="AH354" i="9"/>
  <c r="AP354" i="9"/>
  <c r="AK355" i="9"/>
  <c r="AF356" i="9"/>
  <c r="AN356" i="9"/>
  <c r="AI357" i="9"/>
  <c r="AD358" i="9"/>
  <c r="AL358" i="9"/>
  <c r="AG359" i="9"/>
  <c r="AO359" i="9"/>
  <c r="AJ360" i="9"/>
  <c r="AE361" i="9"/>
  <c r="AM361" i="9"/>
  <c r="AH362" i="9"/>
  <c r="AP362" i="9"/>
  <c r="AK363" i="9"/>
  <c r="AF364" i="9"/>
  <c r="AN364" i="9"/>
  <c r="AI365" i="9"/>
  <c r="AD366" i="9"/>
  <c r="AL366" i="9"/>
  <c r="AG367" i="9"/>
  <c r="AO367" i="9"/>
  <c r="AJ368" i="9"/>
  <c r="AE369" i="9"/>
  <c r="AM369" i="9"/>
  <c r="AH370" i="9"/>
  <c r="AP370" i="9"/>
  <c r="AK371" i="9"/>
  <c r="AF372" i="9"/>
  <c r="AN372" i="9"/>
  <c r="AI373" i="9"/>
  <c r="AD374" i="9"/>
  <c r="AL374" i="9"/>
  <c r="AP335" i="9"/>
  <c r="AK336" i="9"/>
  <c r="AF337" i="9"/>
  <c r="AN337" i="9"/>
  <c r="AI338" i="9"/>
  <c r="AD339" i="9"/>
  <c r="AL339" i="9"/>
  <c r="AG340" i="9"/>
  <c r="AO340" i="9"/>
  <c r="AJ341" i="9"/>
  <c r="AE342" i="9"/>
  <c r="AM342" i="9"/>
  <c r="AH343" i="9"/>
  <c r="AP343" i="9"/>
  <c r="AK344" i="9"/>
  <c r="AF345" i="9"/>
  <c r="AN345" i="9"/>
  <c r="AI346" i="9"/>
  <c r="AD347" i="9"/>
  <c r="AL347" i="9"/>
  <c r="AG348" i="9"/>
  <c r="AO348" i="9"/>
  <c r="AJ349" i="9"/>
  <c r="AE350" i="9"/>
  <c r="AM350" i="9"/>
  <c r="AH351" i="9"/>
  <c r="AP351" i="9"/>
  <c r="AK352" i="9"/>
  <c r="AF353" i="9"/>
  <c r="AN353" i="9"/>
  <c r="AI354" i="9"/>
  <c r="AD355" i="9"/>
  <c r="AL355" i="9"/>
  <c r="AG356" i="9"/>
  <c r="AO356" i="9"/>
  <c r="AJ357" i="9"/>
  <c r="AE358" i="9"/>
  <c r="AM358" i="9"/>
  <c r="AH359" i="9"/>
  <c r="AP359" i="9"/>
  <c r="AK360" i="9"/>
  <c r="AF361" i="9"/>
  <c r="AN361" i="9"/>
  <c r="AI362" i="9"/>
  <c r="AD363" i="9"/>
  <c r="AL363" i="9"/>
  <c r="AG364" i="9"/>
  <c r="AO364" i="9"/>
  <c r="AJ365" i="9"/>
  <c r="AE366" i="9"/>
  <c r="AM366" i="9"/>
  <c r="AH367" i="9"/>
  <c r="AP367" i="9"/>
  <c r="AK368" i="9"/>
  <c r="AF369" i="9"/>
  <c r="AN369" i="9"/>
  <c r="AI370" i="9"/>
  <c r="AD371" i="9"/>
  <c r="AL371" i="9"/>
  <c r="AG372" i="9"/>
  <c r="AO372" i="9"/>
  <c r="AJ373" i="9"/>
  <c r="AE374" i="9"/>
  <c r="AM374" i="9"/>
  <c r="AJ338" i="9"/>
  <c r="AE339" i="9"/>
  <c r="AM339" i="9"/>
  <c r="AH340" i="9"/>
  <c r="AP340" i="9"/>
  <c r="AK341" i="9"/>
  <c r="AF342" i="9"/>
  <c r="AN342" i="9"/>
  <c r="AI343" i="9"/>
  <c r="AD344" i="9"/>
  <c r="AL344" i="9"/>
  <c r="AG345" i="9"/>
  <c r="AO345" i="9"/>
  <c r="AJ346" i="9"/>
  <c r="AE347" i="9"/>
  <c r="AM347" i="9"/>
  <c r="AH348" i="9"/>
  <c r="AP348" i="9"/>
  <c r="AK349" i="9"/>
  <c r="AF350" i="9"/>
  <c r="AN350" i="9"/>
  <c r="AI351" i="9"/>
  <c r="AD352" i="9"/>
  <c r="AL352" i="9"/>
  <c r="AG353" i="9"/>
  <c r="AO353" i="9"/>
  <c r="AJ354" i="9"/>
  <c r="AE355" i="9"/>
  <c r="AM355" i="9"/>
  <c r="AH356" i="9"/>
  <c r="AP356" i="9"/>
  <c r="AK357" i="9"/>
  <c r="AF358" i="9"/>
  <c r="AN358" i="9"/>
  <c r="AI359" i="9"/>
  <c r="AD360" i="9"/>
  <c r="AL360" i="9"/>
  <c r="AG361" i="9"/>
  <c r="AO361" i="9"/>
  <c r="AJ362" i="9"/>
  <c r="AE363" i="9"/>
  <c r="AM363" i="9"/>
  <c r="AH364" i="9"/>
  <c r="AP364" i="9"/>
  <c r="AK365" i="9"/>
  <c r="AF366" i="9"/>
  <c r="AN366" i="9"/>
  <c r="AI367" i="9"/>
  <c r="AD368" i="9"/>
  <c r="AL368" i="9"/>
  <c r="AG369" i="9"/>
  <c r="AO369" i="9"/>
  <c r="AJ370" i="9"/>
  <c r="AE371" i="9"/>
  <c r="AM371" i="9"/>
  <c r="AH372" i="9"/>
  <c r="AP372" i="9"/>
  <c r="AK373" i="9"/>
  <c r="AF374" i="9"/>
  <c r="AN374" i="9"/>
  <c r="AI348" i="9"/>
  <c r="AD349" i="9"/>
  <c r="AL349" i="9"/>
  <c r="AG350" i="9"/>
  <c r="AO350" i="9"/>
  <c r="AJ351" i="9"/>
  <c r="AE352" i="9"/>
  <c r="AM352" i="9"/>
  <c r="AH353" i="9"/>
  <c r="AP353" i="9"/>
  <c r="AK354" i="9"/>
  <c r="AF355" i="9"/>
  <c r="AN355" i="9"/>
  <c r="AI356" i="9"/>
  <c r="AD357" i="9"/>
  <c r="AL357" i="9"/>
  <c r="AG358" i="9"/>
  <c r="AO358" i="9"/>
  <c r="AJ359" i="9"/>
  <c r="AE360" i="9"/>
  <c r="AM360" i="9"/>
  <c r="AH361" i="9"/>
  <c r="AP361" i="9"/>
  <c r="AK362" i="9"/>
  <c r="AF363" i="9"/>
  <c r="AN363" i="9"/>
  <c r="AI364" i="9"/>
  <c r="AD365" i="9"/>
  <c r="AL365" i="9"/>
  <c r="AG366" i="9"/>
  <c r="AO366" i="9"/>
  <c r="AJ367" i="9"/>
  <c r="AE368" i="9"/>
  <c r="AM368" i="9"/>
  <c r="AH369" i="9"/>
  <c r="AP369" i="9"/>
  <c r="AK370" i="9"/>
  <c r="AF371" i="9"/>
  <c r="AN371" i="9"/>
  <c r="AI372" i="9"/>
  <c r="AD373" i="9"/>
  <c r="AL373" i="9"/>
  <c r="AG374" i="9"/>
  <c r="AO374" i="9"/>
  <c r="AH339" i="9"/>
  <c r="AP339" i="9"/>
  <c r="AK340" i="9"/>
  <c r="AF341" i="9"/>
  <c r="AN341" i="9"/>
  <c r="AI342" i="9"/>
  <c r="AD343" i="9"/>
  <c r="AL343" i="9"/>
  <c r="AG344" i="9"/>
  <c r="AO344" i="9"/>
  <c r="AJ345" i="9"/>
  <c r="AE346" i="9"/>
  <c r="AM346" i="9"/>
  <c r="AH347" i="9"/>
  <c r="AP347" i="9"/>
  <c r="AK348" i="9"/>
  <c r="AF349" i="9"/>
  <c r="AN349" i="9"/>
  <c r="AI350" i="9"/>
  <c r="AD351" i="9"/>
  <c r="AL351" i="9"/>
  <c r="AG352" i="9"/>
  <c r="AO352" i="9"/>
  <c r="AJ353" i="9"/>
  <c r="AE354" i="9"/>
  <c r="AM354" i="9"/>
  <c r="AH355" i="9"/>
  <c r="AP355" i="9"/>
  <c r="AK356" i="9"/>
  <c r="AF357" i="9"/>
  <c r="AN357" i="9"/>
  <c r="AI358" i="9"/>
  <c r="AD359" i="9"/>
  <c r="AL359" i="9"/>
  <c r="AG360" i="9"/>
  <c r="AO360" i="9"/>
  <c r="AJ361" i="9"/>
  <c r="AE362" i="9"/>
  <c r="AM362" i="9"/>
  <c r="AH363" i="9"/>
  <c r="AP363" i="9"/>
  <c r="AK364" i="9"/>
  <c r="AF365" i="9"/>
  <c r="AN365" i="9"/>
  <c r="AI366" i="9"/>
  <c r="AD367" i="9"/>
  <c r="AL367" i="9"/>
  <c r="AG368" i="9"/>
  <c r="AO368" i="9"/>
  <c r="AJ369" i="9"/>
  <c r="AE370" i="9"/>
  <c r="AM370" i="9"/>
  <c r="AH371" i="9"/>
  <c r="AP371" i="9"/>
  <c r="AK372" i="9"/>
  <c r="AF373" i="9"/>
  <c r="AN373" i="9"/>
  <c r="AI374" i="9"/>
  <c r="AP328" i="9"/>
  <c r="AK329" i="9"/>
  <c r="AF330" i="9"/>
  <c r="AN330" i="9"/>
  <c r="AI331" i="9"/>
  <c r="AD332" i="9"/>
  <c r="AL332" i="9"/>
  <c r="AG333" i="9"/>
  <c r="AO333" i="9"/>
  <c r="AJ334" i="9"/>
  <c r="AE335" i="9"/>
  <c r="AM335" i="9"/>
  <c r="AH336" i="9"/>
  <c r="AP336" i="9"/>
  <c r="AK337" i="9"/>
  <c r="AF338" i="9"/>
  <c r="AN338" i="9"/>
  <c r="AI339" i="9"/>
  <c r="AD340" i="9"/>
  <c r="AL340" i="9"/>
  <c r="AG341" i="9"/>
  <c r="AO341" i="9"/>
  <c r="AJ342" i="9"/>
  <c r="AE343" i="9"/>
  <c r="AM343" i="9"/>
  <c r="AH344" i="9"/>
  <c r="AP344" i="9"/>
  <c r="AK345" i="9"/>
  <c r="AF346" i="9"/>
  <c r="AN346" i="9"/>
  <c r="AI347" i="9"/>
  <c r="AD348" i="9"/>
  <c r="AL348" i="9"/>
  <c r="AG349" i="9"/>
  <c r="AO349" i="9"/>
  <c r="AJ350" i="9"/>
  <c r="AE351" i="9"/>
  <c r="AM351" i="9"/>
  <c r="AH352" i="9"/>
  <c r="AP352" i="9"/>
  <c r="AK353" i="9"/>
  <c r="AF354" i="9"/>
  <c r="AN354" i="9"/>
  <c r="AI355" i="9"/>
  <c r="AD356" i="9"/>
  <c r="AL356" i="9"/>
  <c r="AG357" i="9"/>
  <c r="AO357" i="9"/>
  <c r="AJ358" i="9"/>
  <c r="AE359" i="9"/>
  <c r="AM359" i="9"/>
  <c r="AH360" i="9"/>
  <c r="AP360" i="9"/>
  <c r="AK361" i="9"/>
  <c r="AF362" i="9"/>
  <c r="AN362" i="9"/>
  <c r="AI363" i="9"/>
  <c r="AD364" i="9"/>
  <c r="AL364" i="9"/>
  <c r="AG365" i="9"/>
  <c r="AO365" i="9"/>
  <c r="AJ366" i="9"/>
  <c r="AE367" i="9"/>
  <c r="AM367" i="9"/>
  <c r="AH368" i="9"/>
  <c r="AP368" i="9"/>
  <c r="AK369" i="9"/>
  <c r="AF370" i="9"/>
  <c r="AN370" i="9"/>
  <c r="AI371" i="9"/>
  <c r="AD372" i="9"/>
  <c r="AL372" i="9"/>
  <c r="AG373" i="9"/>
  <c r="AO373" i="9"/>
  <c r="AJ374" i="9"/>
  <c r="T94" i="9" a="1"/>
  <c r="T94" i="9" s="1"/>
  <c r="X94" i="9" a="1"/>
  <c r="X94" i="9" s="1"/>
  <c r="Z94" i="9"/>
  <c r="S94" i="9" a="1"/>
  <c r="S94" i="9" s="1"/>
  <c r="AC94" i="9" s="1"/>
  <c r="Y94" i="9" a="1"/>
  <c r="Y94" i="9" s="1"/>
  <c r="AB94" i="9" a="1"/>
  <c r="AB94" i="9" s="1"/>
  <c r="U94" i="9" a="1"/>
  <c r="U94" i="9" s="1"/>
  <c r="T118" i="9" a="1"/>
  <c r="T118" i="9" s="1"/>
  <c r="X118" i="9" a="1"/>
  <c r="X118" i="9" s="1"/>
  <c r="Z118" i="9"/>
  <c r="S118" i="9" a="1"/>
  <c r="S118" i="9" s="1"/>
  <c r="AC118" i="9" s="1"/>
  <c r="Y118" i="9" a="1"/>
  <c r="Y118" i="9" s="1"/>
  <c r="AB118" i="9" a="1"/>
  <c r="AB118" i="9" s="1"/>
  <c r="U118" i="9" a="1"/>
  <c r="U118" i="9" s="1"/>
  <c r="U85" i="9" a="1"/>
  <c r="U85" i="9" s="1"/>
  <c r="Y85" i="9" a="1"/>
  <c r="Y85" i="9" s="1"/>
  <c r="Z85" i="9"/>
  <c r="S85" i="9" a="1"/>
  <c r="S85" i="9" s="1"/>
  <c r="AC85" i="9" s="1"/>
  <c r="AB85" i="9" a="1"/>
  <c r="AB85" i="9" s="1"/>
  <c r="T85" i="9" a="1"/>
  <c r="T85" i="9" s="1"/>
  <c r="X85" i="9" a="1"/>
  <c r="X85" i="9" s="1"/>
  <c r="Y133" i="9" a="1"/>
  <c r="Y133" i="9" s="1"/>
  <c r="Z133" i="9"/>
  <c r="S133" i="9" a="1"/>
  <c r="S133" i="9" s="1"/>
  <c r="AC133" i="9" s="1"/>
  <c r="AB133" i="9" a="1"/>
  <c r="AB133" i="9" s="1"/>
  <c r="T133" i="9" a="1"/>
  <c r="T133" i="9" s="1"/>
  <c r="X133" i="9" a="1"/>
  <c r="X133" i="9" s="1"/>
  <c r="U133" i="9" a="1"/>
  <c r="U133" i="9" s="1"/>
  <c r="Y185" i="9" a="1"/>
  <c r="Y185" i="9" s="1"/>
  <c r="AB185" i="9" a="1"/>
  <c r="AB185" i="9" s="1"/>
  <c r="T185" i="9" a="1"/>
  <c r="T185" i="9" s="1"/>
  <c r="U185" i="9" a="1"/>
  <c r="U185" i="9" s="1"/>
  <c r="S185" i="9" a="1"/>
  <c r="S185" i="9" s="1"/>
  <c r="AC185" i="9" s="1"/>
  <c r="X185" i="9" a="1"/>
  <c r="X185" i="9" s="1"/>
  <c r="Z185" i="9"/>
  <c r="U149" i="9" a="1"/>
  <c r="U149" i="9" s="1"/>
  <c r="Z149" i="9"/>
  <c r="AB149" i="9" a="1"/>
  <c r="AB149" i="9" s="1"/>
  <c r="Y149" i="9" a="1"/>
  <c r="Y149" i="9" s="1"/>
  <c r="S149" i="9" a="1"/>
  <c r="S149" i="9" s="1"/>
  <c r="AC149" i="9" s="1"/>
  <c r="X149" i="9" a="1"/>
  <c r="X149" i="9" s="1"/>
  <c r="T149" i="9" a="1"/>
  <c r="T149" i="9" s="1"/>
  <c r="Y119" i="9" a="1"/>
  <c r="Y119" i="9" s="1"/>
  <c r="AB119" i="9" a="1"/>
  <c r="AB119" i="9" s="1"/>
  <c r="S119" i="9" a="1"/>
  <c r="S119" i="9" s="1"/>
  <c r="AC119" i="9" s="1"/>
  <c r="X119" i="9" a="1"/>
  <c r="X119" i="9" s="1"/>
  <c r="T119" i="9" a="1"/>
  <c r="T119" i="9" s="1"/>
  <c r="U119" i="9" a="1"/>
  <c r="U119" i="9" s="1"/>
  <c r="Z119" i="9"/>
  <c r="Z105" i="9"/>
  <c r="S105" i="9" a="1"/>
  <c r="S105" i="9" s="1"/>
  <c r="AC105" i="9" s="1"/>
  <c r="Y105" i="9" a="1"/>
  <c r="Y105" i="9" s="1"/>
  <c r="AB105" i="9" a="1"/>
  <c r="AB105" i="9" s="1"/>
  <c r="T105" i="9" a="1"/>
  <c r="T105" i="9" s="1"/>
  <c r="X105" i="9" a="1"/>
  <c r="X105" i="9" s="1"/>
  <c r="U105" i="9" a="1"/>
  <c r="U105" i="9" s="1"/>
  <c r="S87" i="9" a="1"/>
  <c r="S87" i="9" s="1"/>
  <c r="AC87" i="9" s="1"/>
  <c r="Y87" i="9" a="1"/>
  <c r="Y87" i="9" s="1"/>
  <c r="AB87" i="9" a="1"/>
  <c r="AB87" i="9" s="1"/>
  <c r="T87" i="9" a="1"/>
  <c r="T87" i="9" s="1"/>
  <c r="X87" i="9" a="1"/>
  <c r="X87" i="9" s="1"/>
  <c r="U87" i="9" a="1"/>
  <c r="U87" i="9" s="1"/>
  <c r="Z87" i="9"/>
  <c r="S189" i="9" a="1"/>
  <c r="S189" i="9" s="1"/>
  <c r="AC189" i="9" s="1"/>
  <c r="T189" i="9" a="1"/>
  <c r="T189" i="9" s="1"/>
  <c r="X189" i="9" a="1"/>
  <c r="X189" i="9" s="1"/>
  <c r="Y189" i="9" a="1"/>
  <c r="Y189" i="9" s="1"/>
  <c r="U189" i="9" a="1"/>
  <c r="U189" i="9" s="1"/>
  <c r="AB189" i="9" a="1"/>
  <c r="AB189" i="9" s="1"/>
  <c r="Z189" i="9"/>
  <c r="S199" i="9" a="1"/>
  <c r="S199" i="9" s="1"/>
  <c r="AC199" i="9" s="1"/>
  <c r="AB199" i="9" a="1"/>
  <c r="AB199" i="9" s="1"/>
  <c r="T199" i="9" a="1"/>
  <c r="T199" i="9" s="1"/>
  <c r="Y199" i="9" a="1"/>
  <c r="Y199" i="9" s="1"/>
  <c r="X199" i="9" a="1"/>
  <c r="X199" i="9" s="1"/>
  <c r="Z199" i="9"/>
  <c r="U199" i="9" a="1"/>
  <c r="U199" i="9" s="1"/>
  <c r="X234" i="9" a="1"/>
  <c r="X234" i="9" s="1"/>
  <c r="AB234" i="9" a="1"/>
  <c r="AB234" i="9" s="1"/>
  <c r="S234" i="9" a="1"/>
  <c r="S234" i="9" s="1"/>
  <c r="AC234" i="9" s="1"/>
  <c r="T234" i="9" a="1"/>
  <c r="T234" i="9" s="1"/>
  <c r="Y234" i="9" a="1"/>
  <c r="Y234" i="9" s="1"/>
  <c r="U234" i="9" a="1"/>
  <c r="U234" i="9" s="1"/>
  <c r="Z234" i="9"/>
  <c r="Y200" i="9" a="1"/>
  <c r="Y200" i="9" s="1"/>
  <c r="X200" i="9" a="1"/>
  <c r="X200" i="9" s="1"/>
  <c r="S200" i="9" a="1"/>
  <c r="S200" i="9" s="1"/>
  <c r="AC200" i="9" s="1"/>
  <c r="AB200" i="9" a="1"/>
  <c r="AB200" i="9" s="1"/>
  <c r="T200" i="9" a="1"/>
  <c r="T200" i="9" s="1"/>
  <c r="U200" i="9" a="1"/>
  <c r="U200" i="9" s="1"/>
  <c r="Z200" i="9"/>
  <c r="S161" i="9" a="1"/>
  <c r="S161" i="9" s="1"/>
  <c r="AC161" i="9" s="1"/>
  <c r="X161" i="9" a="1"/>
  <c r="X161" i="9" s="1"/>
  <c r="T161" i="9" a="1"/>
  <c r="T161" i="9" s="1"/>
  <c r="Z161" i="9"/>
  <c r="AB161" i="9" a="1"/>
  <c r="AB161" i="9" s="1"/>
  <c r="Y161" i="9" a="1"/>
  <c r="Y161" i="9" s="1"/>
  <c r="U161" i="9" a="1"/>
  <c r="U161" i="9" s="1"/>
  <c r="Z248" i="9"/>
  <c r="T248" i="9" a="1"/>
  <c r="T248" i="9" s="1"/>
  <c r="X248" i="9" a="1"/>
  <c r="X248" i="9" s="1"/>
  <c r="U248" i="9" a="1"/>
  <c r="U248" i="9" s="1"/>
  <c r="Y248" i="9" a="1"/>
  <c r="Y248" i="9" s="1"/>
  <c r="S248" i="9" a="1"/>
  <c r="S248" i="9" s="1"/>
  <c r="AC248" i="9" s="1"/>
  <c r="AB248" i="9" a="1"/>
  <c r="AB248" i="9" s="1"/>
  <c r="S58" i="9" a="1"/>
  <c r="S58" i="9" s="1"/>
  <c r="AC58" i="9" s="1"/>
  <c r="AB58" i="9" a="1"/>
  <c r="AB58" i="9" s="1"/>
  <c r="Y58" i="9" a="1"/>
  <c r="Y58" i="9" s="1"/>
  <c r="T58" i="9" a="1"/>
  <c r="T58" i="9" s="1"/>
  <c r="X58" i="9" a="1"/>
  <c r="X58" i="9" s="1"/>
  <c r="U58" i="9" a="1"/>
  <c r="U58" i="9" s="1"/>
  <c r="Z58" i="9"/>
  <c r="U215" i="9" a="1"/>
  <c r="U215" i="9" s="1"/>
  <c r="Y215" i="9" a="1"/>
  <c r="Y215" i="9" s="1"/>
  <c r="Z215" i="9"/>
  <c r="S215" i="9" a="1"/>
  <c r="S215" i="9" s="1"/>
  <c r="AC215" i="9" s="1"/>
  <c r="AB215" i="9" a="1"/>
  <c r="AB215" i="9" s="1"/>
  <c r="T215" i="9" a="1"/>
  <c r="T215" i="9" s="1"/>
  <c r="X215" i="9" a="1"/>
  <c r="X215" i="9" s="1"/>
  <c r="U205" i="9" a="1"/>
  <c r="U205" i="9" s="1"/>
  <c r="Y205" i="9" a="1"/>
  <c r="Y205" i="9" s="1"/>
  <c r="T205" i="9" a="1"/>
  <c r="T205" i="9" s="1"/>
  <c r="X205" i="9" a="1"/>
  <c r="X205" i="9" s="1"/>
  <c r="Z205" i="9"/>
  <c r="S205" i="9" a="1"/>
  <c r="S205" i="9" s="1"/>
  <c r="AC205" i="9" s="1"/>
  <c r="AB205" i="9" a="1"/>
  <c r="AB205" i="9" s="1"/>
  <c r="Y173" i="9" a="1"/>
  <c r="Y173" i="9" s="1"/>
  <c r="S173" i="9" a="1"/>
  <c r="S173" i="9" s="1"/>
  <c r="AC173" i="9" s="1"/>
  <c r="X173" i="9" a="1"/>
  <c r="X173" i="9" s="1"/>
  <c r="U173" i="9" a="1"/>
  <c r="U173" i="9" s="1"/>
  <c r="Z173" i="9"/>
  <c r="AB173" i="9" a="1"/>
  <c r="AB173" i="9" s="1"/>
  <c r="T173" i="9" a="1"/>
  <c r="T173" i="9" s="1"/>
  <c r="U137" i="9" a="1"/>
  <c r="U137" i="9" s="1"/>
  <c r="X137" i="9" a="1"/>
  <c r="X137" i="9" s="1"/>
  <c r="Y137" i="9" a="1"/>
  <c r="Y137" i="9" s="1"/>
  <c r="Z137" i="9"/>
  <c r="T137" i="9" a="1"/>
  <c r="T137" i="9" s="1"/>
  <c r="S137" i="9" a="1"/>
  <c r="S137" i="9" s="1"/>
  <c r="AC137" i="9" s="1"/>
  <c r="AB137" i="9" a="1"/>
  <c r="AB137" i="9" s="1"/>
  <c r="X178" i="9" a="1"/>
  <c r="X178" i="9" s="1"/>
  <c r="Y178" i="9" a="1"/>
  <c r="Y178" i="9" s="1"/>
  <c r="Z178" i="9"/>
  <c r="S178" i="9" a="1"/>
  <c r="S178" i="9" s="1"/>
  <c r="AC178" i="9" s="1"/>
  <c r="AB178" i="9" a="1"/>
  <c r="AB178" i="9" s="1"/>
  <c r="U178" i="9" a="1"/>
  <c r="U178" i="9" s="1"/>
  <c r="T178" i="9" a="1"/>
  <c r="T178" i="9" s="1"/>
  <c r="U112" i="9" a="1"/>
  <c r="U112" i="9" s="1"/>
  <c r="Y112" i="9" a="1"/>
  <c r="Y112" i="9" s="1"/>
  <c r="S112" i="9" a="1"/>
  <c r="S112" i="9" s="1"/>
  <c r="AC112" i="9" s="1"/>
  <c r="AB112" i="9" a="1"/>
  <c r="AB112" i="9" s="1"/>
  <c r="T112" i="9" a="1"/>
  <c r="T112" i="9" s="1"/>
  <c r="X112" i="9" a="1"/>
  <c r="X112" i="9" s="1"/>
  <c r="Z112" i="9"/>
  <c r="Y156" i="9" a="1"/>
  <c r="Y156" i="9" s="1"/>
  <c r="S156" i="9" a="1"/>
  <c r="S156" i="9" s="1"/>
  <c r="AC156" i="9" s="1"/>
  <c r="Z156" i="9"/>
  <c r="AB156" i="9" a="1"/>
  <c r="AB156" i="9" s="1"/>
  <c r="T156" i="9" a="1"/>
  <c r="T156" i="9" s="1"/>
  <c r="X156" i="9" a="1"/>
  <c r="X156" i="9" s="1"/>
  <c r="U156" i="9" a="1"/>
  <c r="U156" i="9" s="1"/>
  <c r="T99" i="9" a="1"/>
  <c r="T99" i="9" s="1"/>
  <c r="X99" i="9" a="1"/>
  <c r="X99" i="9" s="1"/>
  <c r="U99" i="9" a="1"/>
  <c r="U99" i="9" s="1"/>
  <c r="Y99" i="9" a="1"/>
  <c r="Y99" i="9" s="1"/>
  <c r="Z99" i="9"/>
  <c r="S99" i="9" a="1"/>
  <c r="S99" i="9" s="1"/>
  <c r="AC99" i="9" s="1"/>
  <c r="AB99" i="9" a="1"/>
  <c r="AB99" i="9" s="1"/>
  <c r="T91" i="9" a="1"/>
  <c r="T91" i="9" s="1"/>
  <c r="X91" i="9" a="1"/>
  <c r="X91" i="9" s="1"/>
  <c r="U91" i="9" a="1"/>
  <c r="U91" i="9" s="1"/>
  <c r="Y91" i="9" a="1"/>
  <c r="Y91" i="9" s="1"/>
  <c r="Z91" i="9"/>
  <c r="S91" i="9" a="1"/>
  <c r="S91" i="9" s="1"/>
  <c r="AC91" i="9" s="1"/>
  <c r="AB91" i="9" a="1"/>
  <c r="AB91" i="9" s="1"/>
  <c r="T78" i="9" a="1"/>
  <c r="T78" i="9" s="1"/>
  <c r="X78" i="9" a="1"/>
  <c r="X78" i="9" s="1"/>
  <c r="Z78" i="9"/>
  <c r="S78" i="9" a="1"/>
  <c r="S78" i="9" s="1"/>
  <c r="AC78" i="9" s="1"/>
  <c r="Y78" i="9" a="1"/>
  <c r="Y78" i="9" s="1"/>
  <c r="AB78" i="9" a="1"/>
  <c r="AB78" i="9" s="1"/>
  <c r="U78" i="9" a="1"/>
  <c r="U78" i="9" s="1"/>
  <c r="T106" i="9" a="1"/>
  <c r="T106" i="9" s="1"/>
  <c r="X106" i="9" a="1"/>
  <c r="X106" i="9" s="1"/>
  <c r="U106" i="9" a="1"/>
  <c r="U106" i="9" s="1"/>
  <c r="Y106" i="9" a="1"/>
  <c r="Y106" i="9" s="1"/>
  <c r="Z106" i="9"/>
  <c r="S106" i="9" a="1"/>
  <c r="S106" i="9" s="1"/>
  <c r="AC106" i="9" s="1"/>
  <c r="AB106" i="9" a="1"/>
  <c r="AB106" i="9" s="1"/>
  <c r="S92" i="9" a="1"/>
  <c r="S92" i="9" s="1"/>
  <c r="AC92" i="9" s="1"/>
  <c r="Y92" i="9" a="1"/>
  <c r="Y92" i="9" s="1"/>
  <c r="AB92" i="9" a="1"/>
  <c r="AB92" i="9" s="1"/>
  <c r="U92" i="9" a="1"/>
  <c r="U92" i="9" s="1"/>
  <c r="Z92" i="9"/>
  <c r="T92" i="9" a="1"/>
  <c r="T92" i="9" s="1"/>
  <c r="X92" i="9" a="1"/>
  <c r="X92" i="9" s="1"/>
  <c r="Z56" i="9"/>
  <c r="U56" i="9" a="1"/>
  <c r="U56" i="9" s="1"/>
  <c r="Y56" i="9" a="1"/>
  <c r="Y56" i="9" s="1"/>
  <c r="S56" i="9" a="1"/>
  <c r="S56" i="9" s="1"/>
  <c r="AC56" i="9" s="1"/>
  <c r="AB56" i="9" a="1"/>
  <c r="AB56" i="9" s="1"/>
  <c r="T56" i="9" a="1"/>
  <c r="T56" i="9" s="1"/>
  <c r="X56" i="9" a="1"/>
  <c r="X56" i="9" s="1"/>
  <c r="AB224" i="9" a="1"/>
  <c r="AB224" i="9" s="1"/>
  <c r="S224" i="9" a="1"/>
  <c r="S224" i="9" s="1"/>
  <c r="AC224" i="9" s="1"/>
  <c r="Y224" i="9" a="1"/>
  <c r="Y224" i="9" s="1"/>
  <c r="X224" i="9" a="1"/>
  <c r="X224" i="9" s="1"/>
  <c r="T224" i="9" a="1"/>
  <c r="T224" i="9" s="1"/>
  <c r="U224" i="9" a="1"/>
  <c r="U224" i="9" s="1"/>
  <c r="Z224" i="9"/>
  <c r="U124" i="9" a="1"/>
  <c r="U124" i="9" s="1"/>
  <c r="Y124" i="9" a="1"/>
  <c r="Y124" i="9" s="1"/>
  <c r="S124" i="9" a="1"/>
  <c r="S124" i="9" s="1"/>
  <c r="AC124" i="9" s="1"/>
  <c r="Z124" i="9"/>
  <c r="AB124" i="9" a="1"/>
  <c r="AB124" i="9" s="1"/>
  <c r="T124" i="9" a="1"/>
  <c r="T124" i="9" s="1"/>
  <c r="X124" i="9" a="1"/>
  <c r="X124" i="9" s="1"/>
  <c r="AB167" i="9" a="1"/>
  <c r="AB167" i="9" s="1"/>
  <c r="Y167" i="9" a="1"/>
  <c r="Y167" i="9" s="1"/>
  <c r="S167" i="9" a="1"/>
  <c r="S167" i="9" s="1"/>
  <c r="AC167" i="9" s="1"/>
  <c r="Z167" i="9"/>
  <c r="T167" i="9" a="1"/>
  <c r="T167" i="9" s="1"/>
  <c r="U167" i="9" a="1"/>
  <c r="U167" i="9" s="1"/>
  <c r="X167" i="9" a="1"/>
  <c r="X167" i="9" s="1"/>
  <c r="Y155" i="9" a="1"/>
  <c r="Y155" i="9" s="1"/>
  <c r="Z155" i="9"/>
  <c r="U155" i="9" a="1"/>
  <c r="U155" i="9" s="1"/>
  <c r="S155" i="9" a="1"/>
  <c r="S155" i="9" s="1"/>
  <c r="AC155" i="9" s="1"/>
  <c r="AB155" i="9" a="1"/>
  <c r="AB155" i="9" s="1"/>
  <c r="T155" i="9" a="1"/>
  <c r="T155" i="9" s="1"/>
  <c r="X155" i="9" a="1"/>
  <c r="X155" i="9" s="1"/>
  <c r="X154" i="9" a="1"/>
  <c r="X154" i="9" s="1"/>
  <c r="T154" i="9" a="1"/>
  <c r="T154" i="9" s="1"/>
  <c r="Y154" i="9" a="1"/>
  <c r="Y154" i="9" s="1"/>
  <c r="Z154" i="9"/>
  <c r="U154" i="9" a="1"/>
  <c r="U154" i="9" s="1"/>
  <c r="S154" i="9" a="1"/>
  <c r="S154" i="9" s="1"/>
  <c r="AC154" i="9" s="1"/>
  <c r="AB154" i="9" a="1"/>
  <c r="AB154" i="9" s="1"/>
  <c r="Y60" i="9" a="1"/>
  <c r="Y60" i="9" s="1"/>
  <c r="X60" i="9" a="1"/>
  <c r="X60" i="9" s="1"/>
  <c r="Z60" i="9"/>
  <c r="S60" i="9" a="1"/>
  <c r="S60" i="9" s="1"/>
  <c r="AC60" i="9" s="1"/>
  <c r="AB60" i="9" a="1"/>
  <c r="AB60" i="9" s="1"/>
  <c r="T60" i="9" a="1"/>
  <c r="T60" i="9" s="1"/>
  <c r="U60" i="9" a="1"/>
  <c r="U60" i="9" s="1"/>
  <c r="S59" i="9" a="1"/>
  <c r="S59" i="9" s="1"/>
  <c r="AC59" i="9" s="1"/>
  <c r="AB59" i="9" a="1"/>
  <c r="AB59" i="9" s="1"/>
  <c r="U59" i="9" a="1"/>
  <c r="U59" i="9" s="1"/>
  <c r="Y59" i="9" a="1"/>
  <c r="Y59" i="9" s="1"/>
  <c r="T59" i="9" a="1"/>
  <c r="T59" i="9" s="1"/>
  <c r="X59" i="9" a="1"/>
  <c r="X59" i="9" s="1"/>
  <c r="Z59" i="9"/>
  <c r="Y195" i="9" a="1"/>
  <c r="Y195" i="9" s="1"/>
  <c r="AB195" i="9" a="1"/>
  <c r="AB195" i="9" s="1"/>
  <c r="X195" i="9" a="1"/>
  <c r="X195" i="9" s="1"/>
  <c r="S195" i="9" a="1"/>
  <c r="S195" i="9" s="1"/>
  <c r="AC195" i="9" s="1"/>
  <c r="T195" i="9" a="1"/>
  <c r="T195" i="9" s="1"/>
  <c r="Z195" i="9"/>
  <c r="U195" i="9" a="1"/>
  <c r="U195" i="9" s="1"/>
  <c r="U93" i="9" a="1"/>
  <c r="U93" i="9" s="1"/>
  <c r="Y93" i="9" a="1"/>
  <c r="Y93" i="9" s="1"/>
  <c r="Z93" i="9"/>
  <c r="S93" i="9" a="1"/>
  <c r="S93" i="9" s="1"/>
  <c r="AC93" i="9" s="1"/>
  <c r="AB93" i="9" a="1"/>
  <c r="AB93" i="9" s="1"/>
  <c r="T93" i="9" a="1"/>
  <c r="T93" i="9" s="1"/>
  <c r="X93" i="9" a="1"/>
  <c r="X93" i="9" s="1"/>
  <c r="U241" i="9" a="1"/>
  <c r="U241" i="9" s="1"/>
  <c r="Y241" i="9" a="1"/>
  <c r="Y241" i="9" s="1"/>
  <c r="Z241" i="9"/>
  <c r="S241" i="9" a="1"/>
  <c r="S241" i="9" s="1"/>
  <c r="AC241" i="9" s="1"/>
  <c r="AB241" i="9" a="1"/>
  <c r="AB241" i="9" s="1"/>
  <c r="T241" i="9" a="1"/>
  <c r="T241" i="9" s="1"/>
  <c r="X241" i="9" a="1"/>
  <c r="X241" i="9" s="1"/>
  <c r="T90" i="9" a="1"/>
  <c r="T90" i="9" s="1"/>
  <c r="X90" i="9" a="1"/>
  <c r="X90" i="9" s="1"/>
  <c r="U90" i="9" a="1"/>
  <c r="U90" i="9" s="1"/>
  <c r="Y90" i="9" a="1"/>
  <c r="Y90" i="9" s="1"/>
  <c r="Z90" i="9"/>
  <c r="S90" i="9" a="1"/>
  <c r="S90" i="9" s="1"/>
  <c r="AC90" i="9" s="1"/>
  <c r="AB90" i="9" a="1"/>
  <c r="AB90" i="9" s="1"/>
  <c r="AB84" i="9" a="1"/>
  <c r="AB84" i="9" s="1"/>
  <c r="S84" i="9" a="1"/>
  <c r="S84" i="9" s="1"/>
  <c r="AC84" i="9" s="1"/>
  <c r="Y84" i="9" a="1"/>
  <c r="Y84" i="9" s="1"/>
  <c r="U84" i="9" a="1"/>
  <c r="U84" i="9" s="1"/>
  <c r="Z84" i="9"/>
  <c r="T84" i="9" a="1"/>
  <c r="T84" i="9" s="1"/>
  <c r="X84" i="9" a="1"/>
  <c r="X84" i="9" s="1"/>
  <c r="U109" i="9" a="1"/>
  <c r="U109" i="9" s="1"/>
  <c r="Y109" i="9" a="1"/>
  <c r="Y109" i="9" s="1"/>
  <c r="Z109" i="9"/>
  <c r="S109" i="9" a="1"/>
  <c r="S109" i="9" s="1"/>
  <c r="AC109" i="9" s="1"/>
  <c r="AB109" i="9" a="1"/>
  <c r="AB109" i="9" s="1"/>
  <c r="T109" i="9" a="1"/>
  <c r="T109" i="9" s="1"/>
  <c r="X109" i="9" a="1"/>
  <c r="X109" i="9" s="1"/>
  <c r="T107" i="9" a="1"/>
  <c r="T107" i="9" s="1"/>
  <c r="X107" i="9" a="1"/>
  <c r="X107" i="9" s="1"/>
  <c r="U107" i="9" a="1"/>
  <c r="U107" i="9" s="1"/>
  <c r="Y107" i="9" a="1"/>
  <c r="Y107" i="9" s="1"/>
  <c r="Z107" i="9"/>
  <c r="S107" i="9" a="1"/>
  <c r="S107" i="9" s="1"/>
  <c r="AC107" i="9" s="1"/>
  <c r="AB107" i="9" a="1"/>
  <c r="AB107" i="9" s="1"/>
  <c r="U211" i="9" a="1"/>
  <c r="U211" i="9" s="1"/>
  <c r="Y211" i="9" a="1"/>
  <c r="Y211" i="9" s="1"/>
  <c r="Z211" i="9"/>
  <c r="S211" i="9" a="1"/>
  <c r="S211" i="9" s="1"/>
  <c r="AC211" i="9" s="1"/>
  <c r="AB211" i="9" a="1"/>
  <c r="AB211" i="9" s="1"/>
  <c r="T211" i="9" a="1"/>
  <c r="T211" i="9" s="1"/>
  <c r="X211" i="9" a="1"/>
  <c r="X211" i="9" s="1"/>
  <c r="Y202" i="9" a="1"/>
  <c r="Y202" i="9" s="1"/>
  <c r="S202" i="9" a="1"/>
  <c r="S202" i="9" s="1"/>
  <c r="AC202" i="9" s="1"/>
  <c r="AB202" i="9" a="1"/>
  <c r="AB202" i="9" s="1"/>
  <c r="U202" i="9" a="1"/>
  <c r="U202" i="9" s="1"/>
  <c r="Z202" i="9"/>
  <c r="T202" i="9" a="1"/>
  <c r="T202" i="9" s="1"/>
  <c r="X202" i="9" a="1"/>
  <c r="X202" i="9" s="1"/>
  <c r="Y120" i="9" a="1"/>
  <c r="Y120" i="9" s="1"/>
  <c r="AB120" i="9" a="1"/>
  <c r="AB120" i="9" s="1"/>
  <c r="S120" i="9" a="1"/>
  <c r="S120" i="9" s="1"/>
  <c r="AC120" i="9" s="1"/>
  <c r="X120" i="9" a="1"/>
  <c r="X120" i="9" s="1"/>
  <c r="T120" i="9" a="1"/>
  <c r="T120" i="9" s="1"/>
  <c r="U120" i="9" a="1"/>
  <c r="U120" i="9" s="1"/>
  <c r="Z120" i="9"/>
  <c r="U80" i="9" a="1"/>
  <c r="U80" i="9" s="1"/>
  <c r="Y80" i="9" a="1"/>
  <c r="Y80" i="9" s="1"/>
  <c r="S80" i="9" a="1"/>
  <c r="S80" i="9" s="1"/>
  <c r="AC80" i="9" s="1"/>
  <c r="AB80" i="9" a="1"/>
  <c r="AB80" i="9" s="1"/>
  <c r="T80" i="9" a="1"/>
  <c r="T80" i="9" s="1"/>
  <c r="X80" i="9" a="1"/>
  <c r="X80" i="9" s="1"/>
  <c r="Z80" i="9"/>
  <c r="T69" i="9" a="1"/>
  <c r="T69" i="9" s="1"/>
  <c r="X69" i="9" a="1"/>
  <c r="X69" i="9" s="1"/>
  <c r="U69" i="9" a="1"/>
  <c r="U69" i="9" s="1"/>
  <c r="Y69" i="9" a="1"/>
  <c r="Y69" i="9" s="1"/>
  <c r="Z69" i="9"/>
  <c r="S69" i="9" a="1"/>
  <c r="S69" i="9" s="1"/>
  <c r="AC69" i="9" s="1"/>
  <c r="AB69" i="9" a="1"/>
  <c r="AB69" i="9" s="1"/>
  <c r="S144" i="9" a="1"/>
  <c r="S144" i="9" s="1"/>
  <c r="AC144" i="9" s="1"/>
  <c r="Y144" i="9" a="1"/>
  <c r="Y144" i="9" s="1"/>
  <c r="AB144" i="9" a="1"/>
  <c r="AB144" i="9" s="1"/>
  <c r="T144" i="9" a="1"/>
  <c r="T144" i="9" s="1"/>
  <c r="X144" i="9" a="1"/>
  <c r="X144" i="9" s="1"/>
  <c r="U144" i="9" a="1"/>
  <c r="U144" i="9" s="1"/>
  <c r="Z144" i="9"/>
  <c r="Y172" i="9" a="1"/>
  <c r="Y172" i="9" s="1"/>
  <c r="S172" i="9" a="1"/>
  <c r="S172" i="9" s="1"/>
  <c r="AC172" i="9" s="1"/>
  <c r="AB172" i="9" a="1"/>
  <c r="AB172" i="9" s="1"/>
  <c r="T172" i="9" a="1"/>
  <c r="T172" i="9" s="1"/>
  <c r="U172" i="9" a="1"/>
  <c r="U172" i="9" s="1"/>
  <c r="X172" i="9" a="1"/>
  <c r="X172" i="9" s="1"/>
  <c r="Z172" i="9"/>
  <c r="Z243" i="9"/>
  <c r="T243" i="9" a="1"/>
  <c r="T243" i="9" s="1"/>
  <c r="X243" i="9" a="1"/>
  <c r="X243" i="9" s="1"/>
  <c r="U243" i="9" a="1"/>
  <c r="U243" i="9" s="1"/>
  <c r="Y243" i="9" a="1"/>
  <c r="Y243" i="9" s="1"/>
  <c r="S243" i="9" a="1"/>
  <c r="S243" i="9" s="1"/>
  <c r="AC243" i="9" s="1"/>
  <c r="AB243" i="9" a="1"/>
  <c r="AB243" i="9" s="1"/>
  <c r="U218" i="9" a="1"/>
  <c r="U218" i="9" s="1"/>
  <c r="Y218" i="9" a="1"/>
  <c r="Y218" i="9" s="1"/>
  <c r="Z218" i="9"/>
  <c r="S218" i="9" a="1"/>
  <c r="S218" i="9" s="1"/>
  <c r="AC218" i="9" s="1"/>
  <c r="AB218" i="9" a="1"/>
  <c r="AB218" i="9" s="1"/>
  <c r="T218" i="9" a="1"/>
  <c r="T218" i="9" s="1"/>
  <c r="X218" i="9" a="1"/>
  <c r="X218" i="9" s="1"/>
  <c r="S222" i="9" a="1"/>
  <c r="S222" i="9" s="1"/>
  <c r="AC222" i="9" s="1"/>
  <c r="Y222" i="9" a="1"/>
  <c r="Y222" i="9" s="1"/>
  <c r="AB222" i="9" a="1"/>
  <c r="AB222" i="9" s="1"/>
  <c r="T222" i="9" a="1"/>
  <c r="T222" i="9" s="1"/>
  <c r="X222" i="9" a="1"/>
  <c r="X222" i="9" s="1"/>
  <c r="U222" i="9" a="1"/>
  <c r="U222" i="9" s="1"/>
  <c r="Z222" i="9"/>
  <c r="S192" i="9" a="1"/>
  <c r="S192" i="9" s="1"/>
  <c r="AC192" i="9" s="1"/>
  <c r="X192" i="9" a="1"/>
  <c r="X192" i="9" s="1"/>
  <c r="Y192" i="9" a="1"/>
  <c r="Y192" i="9" s="1"/>
  <c r="T192" i="9" a="1"/>
  <c r="T192" i="9" s="1"/>
  <c r="U192" i="9" a="1"/>
  <c r="U192" i="9" s="1"/>
  <c r="AB192" i="9" a="1"/>
  <c r="AB192" i="9" s="1"/>
  <c r="Z192" i="9"/>
  <c r="U96" i="9" a="1"/>
  <c r="U96" i="9" s="1"/>
  <c r="Y96" i="9" a="1"/>
  <c r="Y96" i="9" s="1"/>
  <c r="S96" i="9" a="1"/>
  <c r="S96" i="9" s="1"/>
  <c r="AC96" i="9" s="1"/>
  <c r="AB96" i="9" a="1"/>
  <c r="AB96" i="9" s="1"/>
  <c r="T96" i="9" a="1"/>
  <c r="T96" i="9" s="1"/>
  <c r="X96" i="9" a="1"/>
  <c r="X96" i="9" s="1"/>
  <c r="Z96" i="9"/>
  <c r="U229" i="9" a="1"/>
  <c r="U229" i="9" s="1"/>
  <c r="Y229" i="9" a="1"/>
  <c r="Y229" i="9" s="1"/>
  <c r="S229" i="9" a="1"/>
  <c r="S229" i="9" s="1"/>
  <c r="AC229" i="9" s="1"/>
  <c r="AB229" i="9" a="1"/>
  <c r="AB229" i="9" s="1"/>
  <c r="T229" i="9" a="1"/>
  <c r="T229" i="9" s="1"/>
  <c r="X229" i="9" a="1"/>
  <c r="X229" i="9" s="1"/>
  <c r="Z229" i="9"/>
  <c r="Y51" i="9" a="1"/>
  <c r="X51" i="9" a="1"/>
  <c r="S51" i="9" a="1"/>
  <c r="T51" i="9" a="1"/>
  <c r="AB51" i="9" a="1"/>
  <c r="U51" i="9" a="1"/>
  <c r="CV17" i="10" a="1"/>
  <c r="AC99" i="11" l="1"/>
  <c r="BB65" i="9"/>
  <c r="U51" i="9"/>
  <c r="AH51" i="9" s="1"/>
  <c r="AB51" i="9"/>
  <c r="AO51" i="9" s="1"/>
  <c r="T51" i="9"/>
  <c r="AG51" i="9" s="1"/>
  <c r="R3" i="12" s="1"/>
  <c r="K3" i="12" s="1"/>
  <c r="S51" i="9"/>
  <c r="X51" i="9"/>
  <c r="AK51" i="9" s="1"/>
  <c r="Y51" i="9"/>
  <c r="AA51" i="9" s="1"/>
  <c r="AN51" i="9" s="1"/>
  <c r="CJ47" i="10" a="1"/>
  <c r="CJ47" i="10" s="1"/>
  <c r="CJ43" i="10" a="1"/>
  <c r="CJ43" i="10" s="1"/>
  <c r="AA120" i="9"/>
  <c r="CJ44" i="10" a="1"/>
  <c r="CJ44" i="10" s="1"/>
  <c r="CJ42" i="10" a="1"/>
  <c r="CJ42" i="10" s="1"/>
  <c r="CJ46" i="10" a="1"/>
  <c r="CJ46" i="10" s="1"/>
  <c r="CF47" i="10" a="1"/>
  <c r="CF47" i="10" s="1"/>
  <c r="CG42" i="10" a="1"/>
  <c r="CG42" i="10" s="1"/>
  <c r="CG43" i="10" s="1" a="1"/>
  <c r="CG43" i="10" s="1"/>
  <c r="CG44" i="10" a="1"/>
  <c r="CG44" i="10" s="1"/>
  <c r="AA60" i="9"/>
  <c r="CH47" i="10" a="1"/>
  <c r="CH47" i="10" s="1"/>
  <c r="AA154" i="9"/>
  <c r="AA224" i="9"/>
  <c r="AA248" i="9"/>
  <c r="AA109" i="9"/>
  <c r="AA119" i="9"/>
  <c r="CH46" i="10" a="1"/>
  <c r="CH46" i="10" s="1"/>
  <c r="CF41" i="10"/>
  <c r="AA172" i="9"/>
  <c r="AA59" i="9"/>
  <c r="AA155" i="9"/>
  <c r="AA91" i="9"/>
  <c r="AA105" i="9"/>
  <c r="AA133" i="9"/>
  <c r="AA202" i="9"/>
  <c r="AA78" i="9"/>
  <c r="AA199" i="9"/>
  <c r="AA185" i="9"/>
  <c r="AA229" i="9"/>
  <c r="AA149" i="9"/>
  <c r="AA90" i="9"/>
  <c r="AA106" i="9"/>
  <c r="AA178" i="9"/>
  <c r="AA58" i="9"/>
  <c r="AA161" i="9"/>
  <c r="AA92" i="9"/>
  <c r="AA69" i="9"/>
  <c r="AA118" i="9"/>
  <c r="CK41" i="10" a="1"/>
  <c r="CK41" i="10" s="1"/>
  <c r="CG46" i="10" a="1"/>
  <c r="CG46" i="10" s="1"/>
  <c r="AA96" i="9"/>
  <c r="AA243" i="9"/>
  <c r="AA211" i="9"/>
  <c r="AA205" i="9"/>
  <c r="AA87" i="9"/>
  <c r="AA94" i="9"/>
  <c r="AA93" i="9"/>
  <c r="AA215" i="9"/>
  <c r="AA156" i="9"/>
  <c r="AA173" i="9"/>
  <c r="AA85" i="9"/>
  <c r="AA124" i="9"/>
  <c r="AA234" i="9"/>
  <c r="AA195" i="9"/>
  <c r="AA167" i="9"/>
  <c r="AA222" i="9"/>
  <c r="AA80" i="9"/>
  <c r="AA99" i="9"/>
  <c r="AA200" i="9"/>
  <c r="AA192" i="9"/>
  <c r="AA218" i="9"/>
  <c r="AA144" i="9"/>
  <c r="AA56" i="9"/>
  <c r="AA84" i="9"/>
  <c r="AA137" i="9"/>
  <c r="AA107" i="9"/>
  <c r="AA241" i="9"/>
  <c r="AA112" i="9"/>
  <c r="AA189" i="9"/>
  <c r="CV17" i="10"/>
  <c r="CV20" i="10" s="1" a="1"/>
  <c r="CV20" i="10" s="1"/>
  <c r="CO25" i="10" a="1"/>
  <c r="L3" i="12" l="1"/>
  <c r="T102" i="11"/>
  <c r="R102" i="11"/>
  <c r="R5" i="12"/>
  <c r="K5" i="12" s="1"/>
  <c r="R2" i="12"/>
  <c r="K2" i="12" s="1"/>
  <c r="R8" i="12"/>
  <c r="K8" i="12" s="1"/>
  <c r="R7" i="12"/>
  <c r="K7" i="12" s="1"/>
  <c r="R6" i="12"/>
  <c r="K6" i="12" s="1"/>
  <c r="R4" i="12"/>
  <c r="K4" i="12" s="1"/>
  <c r="AL51" i="9"/>
  <c r="Z51" i="9"/>
  <c r="AM51" i="9" s="1"/>
  <c r="AC51" i="9"/>
  <c r="AF51" i="9"/>
  <c r="CV18" i="10" a="1"/>
  <c r="CV18" i="10" s="1"/>
  <c r="CV19" i="10" s="1" a="1"/>
  <c r="CV19" i="10" s="1"/>
  <c r="CY20" i="10" a="1"/>
  <c r="CY20" i="10" s="1"/>
  <c r="CW23" i="10" a="1"/>
  <c r="CW23" i="10" s="1"/>
  <c r="CY23" i="10" a="1"/>
  <c r="CY23" i="10" s="1"/>
  <c r="CV22" i="10" a="1"/>
  <c r="CV22" i="10" s="1"/>
  <c r="CU23" i="10" a="1"/>
  <c r="CU23" i="10" s="1"/>
  <c r="CW22" i="10" a="1"/>
  <c r="CW22" i="10" s="1"/>
  <c r="CY18" i="10" a="1"/>
  <c r="CY18" i="10" s="1"/>
  <c r="CU17" i="10"/>
  <c r="CY22" i="10" a="1"/>
  <c r="CY22" i="10" s="1"/>
  <c r="CZ17" i="10" a="1"/>
  <c r="CZ17" i="10" s="1"/>
  <c r="CY19" i="10" a="1"/>
  <c r="CY19" i="10" s="1"/>
  <c r="CU22" i="10" a="1"/>
  <c r="CU22" i="10" s="1"/>
  <c r="CO25" i="10"/>
  <c r="CR30" i="10" s="1" a="1"/>
  <c r="CR30" i="10" s="1"/>
  <c r="BK9" i="10" a="1"/>
  <c r="CV25" i="10" a="1"/>
  <c r="R101" i="11" l="1"/>
  <c r="W101" i="11" s="1"/>
  <c r="T101" i="11"/>
  <c r="R107" i="11"/>
  <c r="L8" i="12"/>
  <c r="F8" i="12" s="1"/>
  <c r="T107" i="11"/>
  <c r="L7" i="12"/>
  <c r="F7" i="12" s="1"/>
  <c r="T106" i="11"/>
  <c r="R106" i="11"/>
  <c r="L6" i="12"/>
  <c r="F6" i="12" s="1"/>
  <c r="T105" i="11"/>
  <c r="R105" i="11"/>
  <c r="L2" i="12"/>
  <c r="AC102" i="11"/>
  <c r="W102" i="11"/>
  <c r="T103" i="11"/>
  <c r="L4" i="12"/>
  <c r="F4" i="12" s="1"/>
  <c r="R103" i="11"/>
  <c r="F3" i="12"/>
  <c r="T112" i="11"/>
  <c r="M3" i="12"/>
  <c r="G3" i="12" s="1"/>
  <c r="R104" i="11"/>
  <c r="T104" i="11"/>
  <c r="L5" i="12"/>
  <c r="F5" i="12" s="1"/>
  <c r="AW51" i="9"/>
  <c r="BK9" i="10"/>
  <c r="AD51" i="9"/>
  <c r="AP51" i="9"/>
  <c r="CN25" i="10"/>
  <c r="CR26" i="10" a="1"/>
  <c r="CR26" i="10" s="1"/>
  <c r="CN30" i="10" a="1"/>
  <c r="CN30" i="10" s="1"/>
  <c r="CO26" i="10" a="1"/>
  <c r="CO26" i="10" s="1"/>
  <c r="CO27" i="10" s="1" a="1"/>
  <c r="CO27" i="10" s="1"/>
  <c r="CP30" i="10" a="1"/>
  <c r="CP30" i="10" s="1"/>
  <c r="CN31" i="10" a="1"/>
  <c r="CN31" i="10" s="1"/>
  <c r="CR31" i="10" a="1"/>
  <c r="CR31" i="10" s="1"/>
  <c r="CO30" i="10" a="1"/>
  <c r="CO30" i="10" s="1"/>
  <c r="CS25" i="10" a="1"/>
  <c r="CS25" i="10" s="1"/>
  <c r="CR28" i="10" a="1"/>
  <c r="CR28" i="10" s="1"/>
  <c r="CO28" i="10" a="1"/>
  <c r="CO28" i="10" s="1"/>
  <c r="CR27" i="10" a="1"/>
  <c r="CR27" i="10" s="1"/>
  <c r="CP31" i="10" a="1"/>
  <c r="CP31" i="10" s="1"/>
  <c r="CV25" i="10"/>
  <c r="CZ25" i="10" s="1" a="1"/>
  <c r="CZ25" i="10" s="1"/>
  <c r="CO33" i="10" a="1"/>
  <c r="Y51" i="11" l="1"/>
  <c r="Z51" i="11" s="1"/>
  <c r="AA51" i="11" s="1"/>
  <c r="AC51" i="11"/>
  <c r="AC107" i="11"/>
  <c r="W107" i="11"/>
  <c r="M8" i="12"/>
  <c r="G8" i="12" s="1"/>
  <c r="T117" i="11"/>
  <c r="T116" i="11"/>
  <c r="M7" i="12"/>
  <c r="G7" i="12" s="1"/>
  <c r="AC106" i="11"/>
  <c r="W106" i="11"/>
  <c r="AC105" i="11"/>
  <c r="W105" i="11"/>
  <c r="M6" i="12"/>
  <c r="T115" i="11"/>
  <c r="AC103" i="11"/>
  <c r="W103" i="11"/>
  <c r="T121" i="11"/>
  <c r="N3" i="12"/>
  <c r="T130" i="11" s="1"/>
  <c r="W112" i="11"/>
  <c r="R112" i="11"/>
  <c r="AC112" i="11" s="1"/>
  <c r="M4" i="12"/>
  <c r="G4" i="12" s="1"/>
  <c r="T113" i="11"/>
  <c r="F2" i="12"/>
  <c r="M2" i="12"/>
  <c r="T111" i="11"/>
  <c r="M5" i="12"/>
  <c r="T114" i="11"/>
  <c r="AC104" i="11"/>
  <c r="W104" i="11"/>
  <c r="BB52" i="9"/>
  <c r="AZ50" i="9"/>
  <c r="BB50" i="9" s="1"/>
  <c r="BA49" i="9"/>
  <c r="BB49" i="9" s="1"/>
  <c r="AX51" i="9"/>
  <c r="BJ9" i="10"/>
  <c r="CU25" i="10"/>
  <c r="CU31" i="10" a="1"/>
  <c r="CU31" i="10" s="1"/>
  <c r="CY27" i="10" a="1"/>
  <c r="CY27" i="10" s="1"/>
  <c r="CY30" i="10" a="1"/>
  <c r="CY30" i="10" s="1"/>
  <c r="CV26" i="10" a="1"/>
  <c r="CV26" i="10" s="1"/>
  <c r="CV27" i="10" s="1" a="1"/>
  <c r="CV27" i="10" s="1"/>
  <c r="CW30" i="10" a="1"/>
  <c r="CW30" i="10" s="1"/>
  <c r="CY31" i="10" a="1"/>
  <c r="CY31" i="10" s="1"/>
  <c r="CW31" i="10" a="1"/>
  <c r="CW31" i="10" s="1"/>
  <c r="CY28" i="10" a="1"/>
  <c r="CY28" i="10" s="1"/>
  <c r="CV30" i="10" a="1"/>
  <c r="CV30" i="10" s="1"/>
  <c r="CY26" i="10" a="1"/>
  <c r="CY26" i="10" s="1"/>
  <c r="CU30" i="10" a="1"/>
  <c r="CU30" i="10" s="1"/>
  <c r="CV28" i="10" a="1"/>
  <c r="CV28" i="10" s="1"/>
  <c r="CO33" i="10"/>
  <c r="CR39" i="10" s="1" a="1"/>
  <c r="CR39" i="10" s="1"/>
  <c r="BN14" i="10" a="1"/>
  <c r="BL14" i="10" a="1"/>
  <c r="BN15" i="10" a="1"/>
  <c r="BK14" i="10" a="1"/>
  <c r="BK10" i="10" a="1"/>
  <c r="BN12" i="10" a="1"/>
  <c r="BN10" i="10" a="1"/>
  <c r="BO9" i="10" a="1"/>
  <c r="BN11" i="10" a="1"/>
  <c r="BJ14" i="10" a="1"/>
  <c r="BL15" i="10" a="1"/>
  <c r="BJ15" i="10" a="1"/>
  <c r="BK12" i="10" a="1"/>
  <c r="CV33" i="10" a="1"/>
  <c r="AY51" i="9" l="1"/>
  <c r="AC138" i="11"/>
  <c r="AC139" i="11"/>
  <c r="Q139" i="11"/>
  <c r="R117" i="11"/>
  <c r="AC117" i="11" s="1"/>
  <c r="W117" i="11"/>
  <c r="T126" i="11"/>
  <c r="N8" i="12"/>
  <c r="T135" i="11" s="1"/>
  <c r="N7" i="12"/>
  <c r="T134" i="11" s="1"/>
  <c r="T125" i="11"/>
  <c r="W116" i="11"/>
  <c r="R116" i="11"/>
  <c r="AC116" i="11" s="1"/>
  <c r="R115" i="11"/>
  <c r="AC115" i="11" s="1"/>
  <c r="W115" i="11"/>
  <c r="G6" i="12"/>
  <c r="T124" i="11"/>
  <c r="N6" i="12"/>
  <c r="T133" i="11" s="1"/>
  <c r="H3" i="12"/>
  <c r="I3" i="12" s="1"/>
  <c r="W111" i="11"/>
  <c r="R111" i="11"/>
  <c r="AC111" i="11" s="1"/>
  <c r="R130" i="11"/>
  <c r="AC130" i="11" s="1"/>
  <c r="W130" i="11"/>
  <c r="G2" i="12"/>
  <c r="N2" i="12"/>
  <c r="T129" i="11" s="1"/>
  <c r="T120" i="11"/>
  <c r="W113" i="11"/>
  <c r="R113" i="11"/>
  <c r="AC113" i="11" s="1"/>
  <c r="R121" i="11"/>
  <c r="AC121" i="11" s="1"/>
  <c r="W121" i="11"/>
  <c r="N4" i="12"/>
  <c r="T131" i="11" s="1"/>
  <c r="T122" i="11"/>
  <c r="G5" i="12"/>
  <c r="N5" i="12"/>
  <c r="T132" i="11" s="1"/>
  <c r="T123" i="11"/>
  <c r="R114" i="11"/>
  <c r="AC114" i="11" s="1"/>
  <c r="W114" i="11"/>
  <c r="BA51" i="9"/>
  <c r="AZ51" i="9"/>
  <c r="BK12" i="10"/>
  <c r="BJ15" i="10"/>
  <c r="BL15" i="10"/>
  <c r="BJ14" i="10"/>
  <c r="BN11" i="10"/>
  <c r="BO9" i="10"/>
  <c r="BN10" i="10"/>
  <c r="BN12" i="10"/>
  <c r="BK10" i="10"/>
  <c r="BK14" i="10"/>
  <c r="BN15" i="10"/>
  <c r="BL14" i="10"/>
  <c r="BN14" i="10"/>
  <c r="CO34" i="10" a="1"/>
  <c r="CO34" i="10" s="1"/>
  <c r="CO35" i="10" s="1" a="1"/>
  <c r="CO35" i="10" s="1"/>
  <c r="CP39" i="10" a="1"/>
  <c r="CP39" i="10" s="1"/>
  <c r="CR38" i="10" a="1"/>
  <c r="CR38" i="10" s="1"/>
  <c r="CR34" i="10" a="1"/>
  <c r="CR34" i="10" s="1"/>
  <c r="CN39" i="10" a="1"/>
  <c r="CN39" i="10" s="1"/>
  <c r="CR35" i="10" a="1"/>
  <c r="CR35" i="10" s="1"/>
  <c r="CR36" i="10" a="1"/>
  <c r="CR36" i="10" s="1"/>
  <c r="CN38" i="10" a="1"/>
  <c r="CN38" i="10" s="1"/>
  <c r="CP38" i="10" a="1"/>
  <c r="CP38" i="10" s="1"/>
  <c r="CO36" i="10" a="1"/>
  <c r="CO36" i="10" s="1"/>
  <c r="CS33" i="10" a="1"/>
  <c r="CS33" i="10" s="1"/>
  <c r="CN33" i="10"/>
  <c r="CO38" i="10" a="1"/>
  <c r="CO38" i="10" s="1"/>
  <c r="CV33" i="10"/>
  <c r="CU33" i="10" s="1"/>
  <c r="W139" i="11" a="1"/>
  <c r="V139" i="11" a="1"/>
  <c r="W138" i="11" a="1"/>
  <c r="U138" i="11" a="1"/>
  <c r="U139" i="11" a="1"/>
  <c r="V138" i="11" a="1"/>
  <c r="T138" i="11" a="1"/>
  <c r="T139" i="11" a="1"/>
  <c r="BK11" i="10" a="1"/>
  <c r="CO41" i="10" a="1"/>
  <c r="AC101" i="11" l="1"/>
  <c r="Z101" i="11"/>
  <c r="AA101" i="11" s="1"/>
  <c r="Y101" i="11"/>
  <c r="T139" i="11"/>
  <c r="Y139" i="11"/>
  <c r="Z139" i="11" s="1"/>
  <c r="AA139" i="11" s="1"/>
  <c r="T138" i="11"/>
  <c r="V138" i="11"/>
  <c r="U139" i="11"/>
  <c r="U138" i="11"/>
  <c r="Y138" i="11"/>
  <c r="W138" i="11"/>
  <c r="V139" i="11"/>
  <c r="W139" i="11"/>
  <c r="W126" i="11"/>
  <c r="R126" i="11"/>
  <c r="AC126" i="11" s="1"/>
  <c r="H8" i="12"/>
  <c r="I8" i="12" s="1"/>
  <c r="W135" i="11"/>
  <c r="R135" i="11"/>
  <c r="AC135" i="11" s="1"/>
  <c r="R134" i="11"/>
  <c r="AC134" i="11" s="1"/>
  <c r="W134" i="11"/>
  <c r="H7" i="12"/>
  <c r="I7" i="12" s="1"/>
  <c r="R125" i="11"/>
  <c r="AC125" i="11" s="1"/>
  <c r="W125" i="11"/>
  <c r="H6" i="12"/>
  <c r="I6" i="12" s="1"/>
  <c r="R133" i="11"/>
  <c r="AC133" i="11" s="1"/>
  <c r="W133" i="11"/>
  <c r="R124" i="11"/>
  <c r="AC124" i="11" s="1"/>
  <c r="W124" i="11"/>
  <c r="H4" i="12"/>
  <c r="I4" i="12" s="1"/>
  <c r="H2" i="12"/>
  <c r="I2" i="12" s="1"/>
  <c r="W120" i="11"/>
  <c r="R120" i="11"/>
  <c r="AC120" i="11" s="1"/>
  <c r="W122" i="11"/>
  <c r="R122" i="11"/>
  <c r="AC122" i="11" s="1"/>
  <c r="W129" i="11"/>
  <c r="R129" i="11"/>
  <c r="AC129" i="11" s="1"/>
  <c r="W131" i="11"/>
  <c r="R131" i="11"/>
  <c r="AC131" i="11" s="1"/>
  <c r="H5" i="12"/>
  <c r="I5" i="12" s="1"/>
  <c r="W123" i="11"/>
  <c r="R123" i="11"/>
  <c r="AC123" i="11" s="1"/>
  <c r="W132" i="11"/>
  <c r="R132" i="11"/>
  <c r="AC132" i="11" s="1"/>
  <c r="BB51" i="9"/>
  <c r="BK11" i="10"/>
  <c r="CY36" i="10" a="1"/>
  <c r="CY36" i="10" s="1"/>
  <c r="CY39" i="10" a="1"/>
  <c r="CY39" i="10" s="1"/>
  <c r="CU38" i="10" a="1"/>
  <c r="CU38" i="10" s="1"/>
  <c r="CY35" i="10" a="1"/>
  <c r="CY35" i="10" s="1"/>
  <c r="CV36" i="10" a="1"/>
  <c r="CV36" i="10" s="1"/>
  <c r="CZ33" i="10" a="1"/>
  <c r="CZ33" i="10" s="1"/>
  <c r="CW39" i="10" a="1"/>
  <c r="CW39" i="10" s="1"/>
  <c r="CV38" i="10" a="1"/>
  <c r="CV38" i="10" s="1"/>
  <c r="CW38" i="10" a="1"/>
  <c r="CW38" i="10" s="1"/>
  <c r="CY34" i="10" a="1"/>
  <c r="CY34" i="10" s="1"/>
  <c r="CY38" i="10" a="1"/>
  <c r="CY38" i="10" s="1"/>
  <c r="CV34" i="10" a="1"/>
  <c r="CV34" i="10" s="1"/>
  <c r="CV35" i="10" s="1" a="1"/>
  <c r="CV35" i="10" s="1"/>
  <c r="CU39" i="10" a="1"/>
  <c r="CU39" i="10" s="1"/>
  <c r="CO41" i="10"/>
  <c r="CO42" i="10" s="1" a="1"/>
  <c r="CO42" i="10" s="1"/>
  <c r="CO43" i="10" s="1" a="1"/>
  <c r="CO43" i="10" s="1"/>
  <c r="CV41" i="10" a="1"/>
  <c r="Z138" i="11" l="1"/>
  <c r="AA138" i="11" s="1"/>
  <c r="AD115" i="11" a="1"/>
  <c r="AD115" i="11" s="1"/>
  <c r="AD136" i="11" a="1"/>
  <c r="AD136" i="11" s="1"/>
  <c r="AD114" i="11" a="1"/>
  <c r="AD114" i="11" s="1"/>
  <c r="AD138" i="11" a="1"/>
  <c r="AD138" i="11" s="1"/>
  <c r="AD132" i="11" a="1"/>
  <c r="AD132" i="11" s="1"/>
  <c r="AD116" i="11" a="1"/>
  <c r="AD116" i="11" s="1"/>
  <c r="AD121" i="11" a="1"/>
  <c r="AD121" i="11" s="1"/>
  <c r="AD102" i="11" a="1"/>
  <c r="AD102" i="11" s="1"/>
  <c r="AD108" i="11" a="1"/>
  <c r="AD108" i="11" s="1"/>
  <c r="AD104" i="11" a="1"/>
  <c r="AD104" i="11" s="1"/>
  <c r="AD123" i="11" a="1"/>
  <c r="AD123" i="11" s="1"/>
  <c r="AD107" i="11" a="1"/>
  <c r="AD107" i="11" s="1"/>
  <c r="AD103" i="11" a="1"/>
  <c r="AD103" i="11" s="1"/>
  <c r="AD105" i="11" a="1"/>
  <c r="AD105" i="11" s="1"/>
  <c r="AD135" i="11" a="1"/>
  <c r="AD135" i="11" s="1"/>
  <c r="AD113" i="11" a="1"/>
  <c r="AD113" i="11" s="1"/>
  <c r="AD120" i="11" a="1"/>
  <c r="AD120" i="11" s="1"/>
  <c r="AD101" i="11" a="1"/>
  <c r="AD101" i="11" s="1"/>
  <c r="AD117" i="11" a="1"/>
  <c r="AD117" i="11" s="1"/>
  <c r="AD1" i="11" a="1"/>
  <c r="AD1" i="11" s="1"/>
  <c r="AD131" i="11" a="1"/>
  <c r="AD131" i="11" s="1"/>
  <c r="AD134" i="11" a="1"/>
  <c r="AD134" i="11" s="1"/>
  <c r="AD129" i="11" a="1"/>
  <c r="AD129" i="11" s="1"/>
  <c r="AD106" i="11" a="1"/>
  <c r="AD106" i="11" s="1"/>
  <c r="AD122" i="11" a="1"/>
  <c r="AD122" i="11" s="1"/>
  <c r="AD119" i="11" a="1"/>
  <c r="AD119" i="11" s="1"/>
  <c r="AD112" i="11" a="1"/>
  <c r="AD112" i="11" s="1"/>
  <c r="AD128" i="11" a="1"/>
  <c r="AD128" i="11" s="1"/>
  <c r="AD110" i="11" a="1"/>
  <c r="AD110" i="11" s="1"/>
  <c r="AD109" i="11" a="1"/>
  <c r="AD109" i="11" s="1"/>
  <c r="AD124" i="11" a="1"/>
  <c r="AD124" i="11" s="1"/>
  <c r="AD130" i="11" a="1"/>
  <c r="AD130" i="11" s="1"/>
  <c r="AD127" i="11" a="1"/>
  <c r="AD127" i="11" s="1"/>
  <c r="AD125" i="11" a="1"/>
  <c r="AD125" i="11" s="1"/>
  <c r="AD133" i="11" a="1"/>
  <c r="AD133" i="11" s="1"/>
  <c r="AD111" i="11" a="1"/>
  <c r="AD111" i="11" s="1"/>
  <c r="AD137" i="11" a="1"/>
  <c r="AD137" i="11" s="1"/>
  <c r="AD118" i="11" a="1"/>
  <c r="AD118" i="11" s="1"/>
  <c r="AD126" i="11" a="1"/>
  <c r="AD126" i="11" s="1"/>
  <c r="CN41" i="10"/>
  <c r="CR47" i="10" a="1"/>
  <c r="CR47" i="10" s="1"/>
  <c r="CO46" i="10" a="1"/>
  <c r="CO46" i="10" s="1"/>
  <c r="CR46" i="10" a="1"/>
  <c r="CR46" i="10" s="1"/>
  <c r="CR43" i="10" a="1"/>
  <c r="CR43" i="10" s="1"/>
  <c r="CR44" i="10" a="1"/>
  <c r="CR44" i="10" s="1"/>
  <c r="CR42" i="10" a="1"/>
  <c r="CR42" i="10" s="1"/>
  <c r="CP46" i="10" a="1"/>
  <c r="CP46" i="10" s="1"/>
  <c r="CP47" i="10" a="1"/>
  <c r="CP47" i="10" s="1"/>
  <c r="CO44" i="10" a="1"/>
  <c r="CO44" i="10" s="1"/>
  <c r="CN47" i="10" a="1"/>
  <c r="CN47" i="10" s="1"/>
  <c r="CN46" i="10" a="1"/>
  <c r="CN46" i="10" s="1"/>
  <c r="CS41" i="10" a="1"/>
  <c r="CS41" i="10" s="1"/>
  <c r="CV41" i="10"/>
  <c r="CV42" i="10" s="1" a="1"/>
  <c r="CV42" i="10" s="1"/>
  <c r="CV43" i="10" s="1" a="1"/>
  <c r="CV43" i="10" s="1"/>
  <c r="AF1" i="11" a="1"/>
  <c r="AN1" i="11" a="1"/>
  <c r="AK1" i="11" a="1"/>
  <c r="AJ1" i="11" a="1"/>
  <c r="AM1" i="11" a="1"/>
  <c r="AE1" i="11" a="1"/>
  <c r="DD1" i="10" a="1"/>
  <c r="AE1" i="11" l="1"/>
  <c r="C1" i="13" s="1"/>
  <c r="AM1" i="11"/>
  <c r="AJ1" i="11"/>
  <c r="AK1" i="11"/>
  <c r="AN1" i="11"/>
  <c r="AF1" i="11"/>
  <c r="CU47" i="10" a="1"/>
  <c r="CU47" i="10" s="1"/>
  <c r="CV46" i="10" a="1"/>
  <c r="CV46" i="10" s="1"/>
  <c r="CY44" i="10" a="1"/>
  <c r="CY44" i="10" s="1"/>
  <c r="CY42" i="10" a="1"/>
  <c r="CY42" i="10" s="1"/>
  <c r="CY46" i="10" a="1"/>
  <c r="CY46" i="10" s="1"/>
  <c r="CU41" i="10"/>
  <c r="CY47" i="10" a="1"/>
  <c r="CY47" i="10" s="1"/>
  <c r="CV44" i="10" a="1"/>
  <c r="CV44" i="10" s="1"/>
  <c r="CU46" i="10" a="1"/>
  <c r="CU46" i="10" s="1"/>
  <c r="CW47" i="10" a="1"/>
  <c r="CW47" i="10" s="1"/>
  <c r="CY43" i="10" a="1"/>
  <c r="CY43" i="10" s="1"/>
  <c r="CW46" i="10" a="1"/>
  <c r="CW46" i="10" s="1"/>
  <c r="CZ41" i="10" a="1"/>
  <c r="CZ41" i="10" s="1"/>
  <c r="DD1" i="10"/>
  <c r="DG4" i="10" s="1" a="1"/>
  <c r="DG4" i="10" s="1"/>
  <c r="AH1" i="11" a="1"/>
  <c r="AI1" i="11" a="1"/>
  <c r="DK1" i="10" a="1"/>
  <c r="AI1" i="11" l="1"/>
  <c r="AH1" i="11"/>
  <c r="F4" i="13" s="1"/>
  <c r="AP1" i="11"/>
  <c r="AO1" i="11"/>
  <c r="C3" i="13"/>
  <c r="C6" i="13"/>
  <c r="D6" i="13"/>
  <c r="F7" i="13"/>
  <c r="B1" i="13"/>
  <c r="F3" i="13"/>
  <c r="B6" i="13"/>
  <c r="F6" i="13"/>
  <c r="C2" i="13"/>
  <c r="G1" i="13"/>
  <c r="DG3" i="10" a="1"/>
  <c r="DG3" i="10" s="1"/>
  <c r="DC6" i="10" a="1"/>
  <c r="DC6" i="10" s="1"/>
  <c r="DC1" i="10"/>
  <c r="DD2" i="10" a="1"/>
  <c r="DD2" i="10" s="1"/>
  <c r="DD3" i="10" s="1" a="1"/>
  <c r="DD3" i="10" s="1"/>
  <c r="DE7" i="10" a="1"/>
  <c r="DE7" i="10" s="1"/>
  <c r="DH1" i="10" a="1"/>
  <c r="DH1" i="10" s="1"/>
  <c r="DG2" i="10" a="1"/>
  <c r="DG2" i="10" s="1"/>
  <c r="DD6" i="10" a="1"/>
  <c r="DD6" i="10" s="1"/>
  <c r="DC7" i="10" a="1"/>
  <c r="DC7" i="10" s="1"/>
  <c r="DE6" i="10" a="1"/>
  <c r="DE6" i="10" s="1"/>
  <c r="DG6" i="10" a="1"/>
  <c r="DG6" i="10" s="1"/>
  <c r="DG7" i="10" a="1"/>
  <c r="DG7" i="10" s="1"/>
  <c r="DD4" i="10" a="1"/>
  <c r="DD4" i="10" s="1"/>
  <c r="DK1" i="10"/>
  <c r="DJ1" i="10" s="1"/>
  <c r="DD9" i="10" a="1"/>
  <c r="AQ1" i="11" l="1"/>
  <c r="AR1" i="11"/>
  <c r="AS1" i="11"/>
  <c r="DL7" i="10" a="1"/>
  <c r="DL7" i="10" s="1"/>
  <c r="DN2" i="10" a="1"/>
  <c r="DN2" i="10" s="1"/>
  <c r="DO1" i="10" a="1"/>
  <c r="DO1" i="10" s="1"/>
  <c r="DL6" i="10" a="1"/>
  <c r="DL6" i="10" s="1"/>
  <c r="DK4" i="10" a="1"/>
  <c r="DK4" i="10" s="1"/>
  <c r="DN7" i="10" a="1"/>
  <c r="DN7" i="10" s="1"/>
  <c r="DN4" i="10" a="1"/>
  <c r="DN4" i="10" s="1"/>
  <c r="DJ7" i="10" a="1"/>
  <c r="DJ7" i="10" s="1"/>
  <c r="DK2" i="10" a="1"/>
  <c r="DK2" i="10" s="1"/>
  <c r="DK3" i="10" s="1" a="1"/>
  <c r="DK3" i="10" s="1"/>
  <c r="DN6" i="10" a="1"/>
  <c r="DN6" i="10" s="1"/>
  <c r="DN3" i="10" a="1"/>
  <c r="DN3" i="10" s="1"/>
  <c r="DK6" i="10" a="1"/>
  <c r="DK6" i="10" s="1"/>
  <c r="DJ6" i="10" a="1"/>
  <c r="DJ6" i="10" s="1"/>
  <c r="DD9" i="10"/>
  <c r="DH9" i="10" s="1" a="1"/>
  <c r="DH9" i="10" s="1"/>
  <c r="AG1" i="11" a="1"/>
  <c r="DK9" i="10" a="1"/>
  <c r="AG1" i="11" l="1"/>
  <c r="DG14" i="10" a="1"/>
  <c r="DG14" i="10" s="1"/>
  <c r="DC9" i="10"/>
  <c r="DG10" i="10" a="1"/>
  <c r="DG10" i="10" s="1"/>
  <c r="DD10" i="10" a="1"/>
  <c r="DD10" i="10" s="1"/>
  <c r="DD11" i="10" s="1" a="1"/>
  <c r="DD11" i="10" s="1"/>
  <c r="DG15" i="10" a="1"/>
  <c r="DG15" i="10" s="1"/>
  <c r="DE15" i="10" a="1"/>
  <c r="DE15" i="10" s="1"/>
  <c r="DC15" i="10" a="1"/>
  <c r="DC15" i="10" s="1"/>
  <c r="DG12" i="10" a="1"/>
  <c r="DG12" i="10" s="1"/>
  <c r="DD12" i="10" a="1"/>
  <c r="DD12" i="10" s="1"/>
  <c r="DD14" i="10" a="1"/>
  <c r="DD14" i="10" s="1"/>
  <c r="DC14" i="10" a="1"/>
  <c r="DC14" i="10" s="1"/>
  <c r="DE14" i="10" a="1"/>
  <c r="DE14" i="10" s="1"/>
  <c r="DG11" i="10" a="1"/>
  <c r="DG11" i="10" s="1"/>
  <c r="DK9" i="10"/>
  <c r="DJ9" i="10" s="1"/>
  <c r="DD17" i="10" a="1"/>
  <c r="C4" i="13" l="1"/>
  <c r="B7" i="13" s="1"/>
  <c r="AL1" i="11"/>
  <c r="F2" i="13" s="1"/>
  <c r="DK10" i="10" a="1"/>
  <c r="DK10" i="10" s="1"/>
  <c r="DK11" i="10" s="1" a="1"/>
  <c r="DK11" i="10" s="1"/>
  <c r="DN15" i="10" a="1"/>
  <c r="DN15" i="10" s="1"/>
  <c r="DN14" i="10" a="1"/>
  <c r="DN14" i="10" s="1"/>
  <c r="DL14" i="10" a="1"/>
  <c r="DL14" i="10" s="1"/>
  <c r="DJ15" i="10" a="1"/>
  <c r="DJ15" i="10" s="1"/>
  <c r="DN11" i="10" a="1"/>
  <c r="DN11" i="10" s="1"/>
  <c r="DL15" i="10" a="1"/>
  <c r="DL15" i="10" s="1"/>
  <c r="DN10" i="10" a="1"/>
  <c r="DN10" i="10" s="1"/>
  <c r="DN12" i="10" a="1"/>
  <c r="DN12" i="10" s="1"/>
  <c r="DK14" i="10" a="1"/>
  <c r="DK14" i="10" s="1"/>
  <c r="DO9" i="10" a="1"/>
  <c r="DO9" i="10" s="1"/>
  <c r="DK12" i="10" a="1"/>
  <c r="DK12" i="10" s="1"/>
  <c r="DJ14" i="10" a="1"/>
  <c r="DJ14" i="10" s="1"/>
  <c r="DD17" i="10"/>
  <c r="DG19" i="10" s="1" a="1"/>
  <c r="DG19" i="10" s="1"/>
  <c r="DK17" i="10" a="1"/>
  <c r="D7" i="13" l="1"/>
  <c r="DD20" i="10" a="1"/>
  <c r="DD20" i="10" s="1"/>
  <c r="DD18" i="10" a="1"/>
  <c r="DD18" i="10" s="1"/>
  <c r="DD19" i="10" s="1" a="1"/>
  <c r="DD19" i="10" s="1"/>
  <c r="DE22" i="10" a="1"/>
  <c r="DE22" i="10" s="1"/>
  <c r="DD22" i="10" a="1"/>
  <c r="DD22" i="10" s="1"/>
  <c r="DC22" i="10" a="1"/>
  <c r="DC22" i="10" s="1"/>
  <c r="DG20" i="10" a="1"/>
  <c r="DG20" i="10" s="1"/>
  <c r="DG18" i="10" a="1"/>
  <c r="DG18" i="10" s="1"/>
  <c r="DG23" i="10" a="1"/>
  <c r="DG23" i="10" s="1"/>
  <c r="DH17" i="10" a="1"/>
  <c r="DH17" i="10" s="1"/>
  <c r="DG22" i="10" a="1"/>
  <c r="DG22" i="10" s="1"/>
  <c r="DC17" i="10"/>
  <c r="DC23" i="10" a="1"/>
  <c r="DC23" i="10" s="1"/>
  <c r="DE23" i="10" a="1"/>
  <c r="DE23" i="10" s="1"/>
  <c r="DK17" i="10"/>
  <c r="DK22" i="10" s="1" a="1"/>
  <c r="DK22" i="10" s="1"/>
  <c r="DD25" i="10" a="1"/>
  <c r="DK18" i="10" l="1" a="1"/>
  <c r="DK18" i="10" s="1"/>
  <c r="DK19" i="10" s="1" a="1"/>
  <c r="DK19" i="10" s="1"/>
  <c r="DO17" i="10" a="1"/>
  <c r="DO17" i="10" s="1"/>
  <c r="DN23" i="10" a="1"/>
  <c r="DN23" i="10" s="1"/>
  <c r="DJ17" i="10"/>
  <c r="DN22" i="10" a="1"/>
  <c r="DN22" i="10" s="1"/>
  <c r="DN20" i="10" a="1"/>
  <c r="DN20" i="10" s="1"/>
  <c r="DJ22" i="10" a="1"/>
  <c r="DJ22" i="10" s="1"/>
  <c r="DN19" i="10" a="1"/>
  <c r="DN19" i="10" s="1"/>
  <c r="DN18" i="10" a="1"/>
  <c r="DN18" i="10" s="1"/>
  <c r="DL23" i="10" a="1"/>
  <c r="DL23" i="10" s="1"/>
  <c r="DL22" i="10" a="1"/>
  <c r="DL22" i="10" s="1"/>
  <c r="DJ23" i="10" a="1"/>
  <c r="DJ23" i="10" s="1"/>
  <c r="DK20" i="10" a="1"/>
  <c r="DK20" i="10" s="1"/>
  <c r="DD25" i="10"/>
  <c r="DG27" i="10" s="1" a="1"/>
  <c r="DG27" i="10" s="1"/>
  <c r="DK25" i="10" a="1"/>
  <c r="DE30" i="10" l="1" a="1"/>
  <c r="DE30" i="10" s="1"/>
  <c r="DD30" i="10" a="1"/>
  <c r="DD30" i="10" s="1"/>
  <c r="DG31" i="10" a="1"/>
  <c r="DG31" i="10" s="1"/>
  <c r="DG28" i="10" a="1"/>
  <c r="DG28" i="10" s="1"/>
  <c r="DE31" i="10" a="1"/>
  <c r="DE31" i="10" s="1"/>
  <c r="DG30" i="10" a="1"/>
  <c r="DG30" i="10" s="1"/>
  <c r="DG26" i="10" a="1"/>
  <c r="DG26" i="10" s="1"/>
  <c r="DD28" i="10" a="1"/>
  <c r="DD28" i="10" s="1"/>
  <c r="DC25" i="10"/>
  <c r="DC31" i="10" a="1"/>
  <c r="DC31" i="10" s="1"/>
  <c r="DC30" i="10" a="1"/>
  <c r="DC30" i="10" s="1"/>
  <c r="DH25" i="10" a="1"/>
  <c r="DH25" i="10" s="1"/>
  <c r="DD26" i="10" a="1"/>
  <c r="DD26" i="10" s="1"/>
  <c r="DD27" i="10" s="1" a="1"/>
  <c r="DD27" i="10" s="1"/>
  <c r="DK25" i="10"/>
  <c r="DO25" i="10" s="1" a="1"/>
  <c r="DO25" i="10" s="1"/>
  <c r="DD33" i="10" a="1"/>
  <c r="DK26" i="10" l="1" a="1"/>
  <c r="DK26" i="10" s="1"/>
  <c r="DK27" i="10" s="1" a="1"/>
  <c r="DK27" i="10" s="1"/>
  <c r="DN26" i="10" a="1"/>
  <c r="DN26" i="10" s="1"/>
  <c r="DN31" i="10" a="1"/>
  <c r="DN31" i="10" s="1"/>
  <c r="DL31" i="10" a="1"/>
  <c r="DL31" i="10" s="1"/>
  <c r="DN28" i="10" a="1"/>
  <c r="DN28" i="10" s="1"/>
  <c r="DN30" i="10" a="1"/>
  <c r="DN30" i="10" s="1"/>
  <c r="DJ30" i="10" a="1"/>
  <c r="DJ30" i="10" s="1"/>
  <c r="DJ25" i="10"/>
  <c r="DJ31" i="10" a="1"/>
  <c r="DJ31" i="10" s="1"/>
  <c r="DN27" i="10" a="1"/>
  <c r="DN27" i="10" s="1"/>
  <c r="DK30" i="10" a="1"/>
  <c r="DK30" i="10" s="1"/>
  <c r="DL30" i="10" a="1"/>
  <c r="DL30" i="10" s="1"/>
  <c r="DK28" i="10" a="1"/>
  <c r="DK28" i="10" s="1"/>
  <c r="DD33" i="10"/>
  <c r="DG34" i="10" s="1" a="1"/>
  <c r="DG34" i="10" s="1"/>
  <c r="DK33" i="10" a="1"/>
  <c r="DG36" i="10" l="1" a="1"/>
  <c r="DG36" i="10" s="1"/>
  <c r="DD34" i="10" a="1"/>
  <c r="DD34" i="10" s="1"/>
  <c r="DD35" i="10" s="1" a="1"/>
  <c r="DD35" i="10" s="1"/>
  <c r="DH33" i="10" a="1"/>
  <c r="DH33" i="10" s="1"/>
  <c r="DC39" i="10" a="1"/>
  <c r="DC39" i="10" s="1"/>
  <c r="DC33" i="10"/>
  <c r="DG39" i="10" a="1"/>
  <c r="DG39" i="10" s="1"/>
  <c r="DG35" i="10" a="1"/>
  <c r="DG35" i="10" s="1"/>
  <c r="DE38" i="10" a="1"/>
  <c r="DE38" i="10" s="1"/>
  <c r="DD38" i="10" a="1"/>
  <c r="DD38" i="10" s="1"/>
  <c r="DD36" i="10" a="1"/>
  <c r="DD36" i="10" s="1"/>
  <c r="DC38" i="10" a="1"/>
  <c r="DC38" i="10" s="1"/>
  <c r="DE39" i="10" a="1"/>
  <c r="DE39" i="10" s="1"/>
  <c r="DG38" i="10" a="1"/>
  <c r="DG38" i="10" s="1"/>
  <c r="DK33" i="10"/>
  <c r="DN34" i="10" s="1" a="1"/>
  <c r="DN34" i="10" s="1"/>
  <c r="DD41" i="10" a="1"/>
  <c r="DO33" i="10" l="1" a="1"/>
  <c r="DO33" i="10" s="1"/>
  <c r="DL39" i="10" a="1"/>
  <c r="DL39" i="10" s="1"/>
  <c r="DJ39" i="10" a="1"/>
  <c r="DJ39" i="10" s="1"/>
  <c r="DN38" i="10" a="1"/>
  <c r="DN38" i="10" s="1"/>
  <c r="DK38" i="10" a="1"/>
  <c r="DK38" i="10" s="1"/>
  <c r="DK34" i="10" a="1"/>
  <c r="DK34" i="10" s="1"/>
  <c r="DK35" i="10" s="1" a="1"/>
  <c r="DK35" i="10" s="1"/>
  <c r="DN35" i="10" a="1"/>
  <c r="DN35" i="10" s="1"/>
  <c r="DN36" i="10" a="1"/>
  <c r="DN36" i="10" s="1"/>
  <c r="DJ38" i="10" a="1"/>
  <c r="DJ38" i="10" s="1"/>
  <c r="DK36" i="10" a="1"/>
  <c r="DK36" i="10" s="1"/>
  <c r="DL38" i="10" a="1"/>
  <c r="DL38" i="10" s="1"/>
  <c r="DN39" i="10" a="1"/>
  <c r="DN39" i="10" s="1"/>
  <c r="DJ33" i="10"/>
  <c r="DD41" i="10"/>
  <c r="DG42" i="10" s="1" a="1"/>
  <c r="DG42" i="10" s="1"/>
  <c r="DK41" i="10" a="1"/>
  <c r="DC47" i="10" l="1" a="1"/>
  <c r="DC47" i="10" s="1"/>
  <c r="DC41" i="10"/>
  <c r="DD46" i="10" a="1"/>
  <c r="DD46" i="10" s="1"/>
  <c r="DD44" i="10" a="1"/>
  <c r="DD44" i="10" s="1"/>
  <c r="DE46" i="10" a="1"/>
  <c r="DE46" i="10" s="1"/>
  <c r="DD42" i="10" a="1"/>
  <c r="DD42" i="10" s="1"/>
  <c r="DD43" i="10" s="1" a="1"/>
  <c r="DD43" i="10" s="1"/>
  <c r="DG47" i="10" a="1"/>
  <c r="DG47" i="10" s="1"/>
  <c r="DG46" i="10" a="1"/>
  <c r="DG46" i="10" s="1"/>
  <c r="DG44" i="10" a="1"/>
  <c r="DG44" i="10" s="1"/>
  <c r="DG43" i="10" a="1"/>
  <c r="DG43" i="10" s="1"/>
  <c r="DH41" i="10" a="1"/>
  <c r="DH41" i="10" s="1"/>
  <c r="DE47" i="10" a="1"/>
  <c r="DE47" i="10" s="1"/>
  <c r="DC46" i="10" a="1"/>
  <c r="DC46" i="10" s="1"/>
  <c r="DK41" i="10"/>
  <c r="DK46" i="10" s="1" a="1"/>
  <c r="DK46" i="10" s="1"/>
  <c r="DS1" i="10" a="1"/>
  <c r="DJ46" i="10" l="1" a="1"/>
  <c r="DJ46" i="10" s="1"/>
  <c r="DN42" i="10" a="1"/>
  <c r="DN42" i="10" s="1"/>
  <c r="DJ41" i="10"/>
  <c r="DN43" i="10" a="1"/>
  <c r="DN43" i="10" s="1"/>
  <c r="DK44" i="10" a="1"/>
  <c r="DK44" i="10" s="1"/>
  <c r="DK42" i="10" a="1"/>
  <c r="DK42" i="10" s="1"/>
  <c r="DK43" i="10" s="1" a="1"/>
  <c r="DK43" i="10" s="1"/>
  <c r="DN47" i="10" a="1"/>
  <c r="DN47" i="10" s="1"/>
  <c r="DL47" i="10" a="1"/>
  <c r="DL47" i="10" s="1"/>
  <c r="DN46" i="10" a="1"/>
  <c r="DN46" i="10" s="1"/>
  <c r="DO41" i="10" a="1"/>
  <c r="DO41" i="10" s="1"/>
  <c r="DN44" i="10" a="1"/>
  <c r="DN44" i="10" s="1"/>
  <c r="DL46" i="10" a="1"/>
  <c r="DL46" i="10" s="1"/>
  <c r="DJ47" i="10" a="1"/>
  <c r="DJ47" i="10" s="1"/>
  <c r="DS1" i="10"/>
  <c r="DR6" i="10" s="1" a="1"/>
  <c r="DR6" i="10" s="1"/>
  <c r="DZ1" i="10" a="1"/>
  <c r="DV4" i="10" l="1" a="1"/>
  <c r="DV4" i="10" s="1"/>
  <c r="DV3" i="10" a="1"/>
  <c r="DV3" i="10" s="1"/>
  <c r="DV6" i="10" a="1"/>
  <c r="DV6" i="10" s="1"/>
  <c r="DV2" i="10" a="1"/>
  <c r="DV2" i="10" s="1"/>
  <c r="DS4" i="10" a="1"/>
  <c r="DS4" i="10" s="1"/>
  <c r="DV7" i="10" a="1"/>
  <c r="DV7" i="10" s="1"/>
  <c r="DT7" i="10" a="1"/>
  <c r="DT7" i="10" s="1"/>
  <c r="DT6" i="10" a="1"/>
  <c r="DT6" i="10" s="1"/>
  <c r="DS6" i="10" a="1"/>
  <c r="DS6" i="10" s="1"/>
  <c r="DR7" i="10" a="1"/>
  <c r="DR7" i="10" s="1"/>
  <c r="DW1" i="10" a="1"/>
  <c r="DW1" i="10" s="1"/>
  <c r="DS2" i="10" a="1"/>
  <c r="DS2" i="10" s="1"/>
  <c r="DS3" i="10" s="1" a="1"/>
  <c r="DS3" i="10" s="1"/>
  <c r="DR1" i="10"/>
  <c r="DZ1" i="10"/>
  <c r="EC3" i="10" s="1" a="1"/>
  <c r="EC3" i="10" s="1"/>
  <c r="DS9" i="10" a="1"/>
  <c r="EA7" i="10" l="1" a="1"/>
  <c r="EA7" i="10" s="1"/>
  <c r="EA6" i="10" a="1"/>
  <c r="EA6" i="10" s="1"/>
  <c r="DZ6" i="10" a="1"/>
  <c r="DZ6" i="10" s="1"/>
  <c r="EC2" i="10" a="1"/>
  <c r="EC2" i="10" s="1"/>
  <c r="DY6" i="10" a="1"/>
  <c r="DY6" i="10" s="1"/>
  <c r="DY1" i="10"/>
  <c r="ED1" i="10" a="1"/>
  <c r="ED1" i="10" s="1"/>
  <c r="DY7" i="10" a="1"/>
  <c r="DY7" i="10" s="1"/>
  <c r="DZ4" i="10" a="1"/>
  <c r="DZ4" i="10" s="1"/>
  <c r="EC6" i="10" a="1"/>
  <c r="EC6" i="10" s="1"/>
  <c r="DZ2" i="10" a="1"/>
  <c r="DZ2" i="10" s="1"/>
  <c r="DZ3" i="10" s="1" a="1"/>
  <c r="DZ3" i="10" s="1"/>
  <c r="EC4" i="10" a="1"/>
  <c r="EC4" i="10" s="1"/>
  <c r="EC7" i="10" a="1"/>
  <c r="EC7" i="10" s="1"/>
  <c r="DS9" i="10"/>
  <c r="DS12" i="10" s="1" a="1"/>
  <c r="DS12" i="10" s="1"/>
  <c r="DZ9" i="10" a="1"/>
  <c r="DR9" i="10" l="1"/>
  <c r="DS10" i="10" a="1"/>
  <c r="DS10" i="10" s="1"/>
  <c r="DS11" i="10" s="1" a="1"/>
  <c r="DS11" i="10" s="1"/>
  <c r="DV12" i="10" a="1"/>
  <c r="DV12" i="10" s="1"/>
  <c r="DV14" i="10" a="1"/>
  <c r="DV14" i="10" s="1"/>
  <c r="DR15" i="10" a="1"/>
  <c r="DR15" i="10" s="1"/>
  <c r="DV15" i="10" a="1"/>
  <c r="DV15" i="10" s="1"/>
  <c r="DR14" i="10" a="1"/>
  <c r="DR14" i="10" s="1"/>
  <c r="DT14" i="10" a="1"/>
  <c r="DT14" i="10" s="1"/>
  <c r="DV10" i="10" a="1"/>
  <c r="DV10" i="10" s="1"/>
  <c r="DV11" i="10" a="1"/>
  <c r="DV11" i="10" s="1"/>
  <c r="DT15" i="10" a="1"/>
  <c r="DT15" i="10" s="1"/>
  <c r="DW9" i="10" a="1"/>
  <c r="DW9" i="10" s="1"/>
  <c r="DS14" i="10" a="1"/>
  <c r="DS14" i="10" s="1"/>
  <c r="DZ9" i="10"/>
  <c r="ED9" i="10" s="1" a="1"/>
  <c r="ED9" i="10" s="1"/>
  <c r="DS17" i="10" a="1"/>
  <c r="EC15" i="10" l="1" a="1"/>
  <c r="EC15" i="10" s="1"/>
  <c r="DY14" i="10" a="1"/>
  <c r="DY14" i="10" s="1"/>
  <c r="EC14" i="10" a="1"/>
  <c r="EC14" i="10" s="1"/>
  <c r="DZ10" i="10" a="1"/>
  <c r="DZ10" i="10" s="1"/>
  <c r="DZ11" i="10" s="1" a="1"/>
  <c r="DZ11" i="10" s="1"/>
  <c r="DY9" i="10"/>
  <c r="DZ14" i="10" a="1"/>
  <c r="DZ14" i="10" s="1"/>
  <c r="EC10" i="10" a="1"/>
  <c r="EC10" i="10" s="1"/>
  <c r="DY15" i="10" a="1"/>
  <c r="DY15" i="10" s="1"/>
  <c r="DZ12" i="10" a="1"/>
  <c r="DZ12" i="10" s="1"/>
  <c r="EA15" i="10" a="1"/>
  <c r="EA15" i="10" s="1"/>
  <c r="EC11" i="10" a="1"/>
  <c r="EC11" i="10" s="1"/>
  <c r="EC12" i="10" a="1"/>
  <c r="EC12" i="10" s="1"/>
  <c r="EA14" i="10" a="1"/>
  <c r="EA14" i="10" s="1"/>
  <c r="DS17" i="10"/>
  <c r="DS18" i="10" s="1" a="1"/>
  <c r="DS18" i="10" s="1"/>
  <c r="DS19" i="10" s="1" a="1"/>
  <c r="DS19" i="10" s="1"/>
  <c r="DZ17" i="10" a="1"/>
  <c r="DT23" i="10" l="1" a="1"/>
  <c r="DT23" i="10" s="1"/>
  <c r="DR23" i="10" a="1"/>
  <c r="DR23" i="10" s="1"/>
  <c r="DS22" i="10" a="1"/>
  <c r="DS22" i="10" s="1"/>
  <c r="DR22" i="10" a="1"/>
  <c r="DR22" i="10" s="1"/>
  <c r="DR17" i="10"/>
  <c r="DT22" i="10" a="1"/>
  <c r="DT22" i="10" s="1"/>
  <c r="DV20" i="10" a="1"/>
  <c r="DV20" i="10" s="1"/>
  <c r="DW17" i="10" a="1"/>
  <c r="DW17" i="10" s="1"/>
  <c r="DV18" i="10" a="1"/>
  <c r="DV18" i="10" s="1"/>
  <c r="DS20" i="10" a="1"/>
  <c r="DS20" i="10" s="1"/>
  <c r="DV19" i="10" a="1"/>
  <c r="DV19" i="10" s="1"/>
  <c r="DV23" i="10" a="1"/>
  <c r="DV23" i="10" s="1"/>
  <c r="DV22" i="10" a="1"/>
  <c r="DV22" i="10" s="1"/>
  <c r="DZ17" i="10"/>
  <c r="ED17" i="10" s="1" a="1"/>
  <c r="ED17" i="10" s="1"/>
  <c r="DS25" i="10" a="1"/>
  <c r="DY17" i="10" l="1"/>
  <c r="EC19" i="10" a="1"/>
  <c r="EC19" i="10" s="1"/>
  <c r="DZ20" i="10" a="1"/>
  <c r="DZ20" i="10" s="1"/>
  <c r="EC23" i="10" a="1"/>
  <c r="EC23" i="10" s="1"/>
  <c r="DZ22" i="10" a="1"/>
  <c r="DZ22" i="10" s="1"/>
  <c r="EA23" i="10" a="1"/>
  <c r="EA23" i="10" s="1"/>
  <c r="DZ18" i="10" a="1"/>
  <c r="DZ18" i="10" s="1"/>
  <c r="DZ19" i="10" s="1" a="1"/>
  <c r="DZ19" i="10" s="1"/>
  <c r="DY22" i="10" a="1"/>
  <c r="DY22" i="10" s="1"/>
  <c r="DY23" i="10" a="1"/>
  <c r="DY23" i="10" s="1"/>
  <c r="EC20" i="10" a="1"/>
  <c r="EC20" i="10" s="1"/>
  <c r="EC22" i="10" a="1"/>
  <c r="EC22" i="10" s="1"/>
  <c r="EA22" i="10" a="1"/>
  <c r="EA22" i="10" s="1"/>
  <c r="EC18" i="10" a="1"/>
  <c r="EC18" i="10" s="1"/>
  <c r="DS25" i="10"/>
  <c r="DV27" i="10" s="1" a="1"/>
  <c r="DV27" i="10" s="1"/>
  <c r="DZ25" i="10" a="1"/>
  <c r="DT30" i="10" l="1" a="1"/>
  <c r="DT30" i="10" s="1"/>
  <c r="DV30" i="10" a="1"/>
  <c r="DV30" i="10" s="1"/>
  <c r="DV31" i="10" a="1"/>
  <c r="DV31" i="10" s="1"/>
  <c r="DW25" i="10" a="1"/>
  <c r="DW25" i="10" s="1"/>
  <c r="DS30" i="10" a="1"/>
  <c r="DS30" i="10" s="1"/>
  <c r="DT31" i="10" a="1"/>
  <c r="DT31" i="10" s="1"/>
  <c r="DV26" i="10" a="1"/>
  <c r="DV26" i="10" s="1"/>
  <c r="DR31" i="10" a="1"/>
  <c r="DR31" i="10" s="1"/>
  <c r="DR25" i="10"/>
  <c r="DS28" i="10" a="1"/>
  <c r="DS28" i="10" s="1"/>
  <c r="DS26" i="10" a="1"/>
  <c r="DS26" i="10" s="1"/>
  <c r="DS27" i="10" s="1" a="1"/>
  <c r="DS27" i="10" s="1"/>
  <c r="DV28" i="10" a="1"/>
  <c r="DV28" i="10" s="1"/>
  <c r="DR30" i="10" a="1"/>
  <c r="DR30" i="10" s="1"/>
  <c r="DZ25" i="10"/>
  <c r="EC30" i="10" s="1" a="1"/>
  <c r="EC30" i="10" s="1"/>
  <c r="DS33" i="10" a="1"/>
  <c r="EC27" i="10" l="1" a="1"/>
  <c r="EC27" i="10" s="1"/>
  <c r="ED25" i="10" a="1"/>
  <c r="ED25" i="10" s="1"/>
  <c r="DZ30" i="10" a="1"/>
  <c r="DZ30" i="10" s="1"/>
  <c r="EC28" i="10" a="1"/>
  <c r="EC28" i="10" s="1"/>
  <c r="EA31" i="10" a="1"/>
  <c r="EA31" i="10" s="1"/>
  <c r="DY30" i="10" a="1"/>
  <c r="DY30" i="10" s="1"/>
  <c r="DZ26" i="10" a="1"/>
  <c r="DZ26" i="10" s="1"/>
  <c r="DZ27" i="10" s="1" a="1"/>
  <c r="DZ27" i="10" s="1"/>
  <c r="EA30" i="10" a="1"/>
  <c r="EA30" i="10" s="1"/>
  <c r="EC31" i="10" a="1"/>
  <c r="EC31" i="10" s="1"/>
  <c r="DY25" i="10"/>
  <c r="DY31" i="10" a="1"/>
  <c r="DY31" i="10" s="1"/>
  <c r="DZ28" i="10" a="1"/>
  <c r="DZ28" i="10" s="1"/>
  <c r="EC26" i="10" a="1"/>
  <c r="EC26" i="10" s="1"/>
  <c r="DS33" i="10"/>
  <c r="DR39" i="10" s="1" a="1"/>
  <c r="DR39" i="10" s="1"/>
  <c r="DZ33" i="10" a="1"/>
  <c r="DV36" i="10" l="1" a="1"/>
  <c r="DV36" i="10" s="1"/>
  <c r="DS34" i="10" a="1"/>
  <c r="DS34" i="10" s="1"/>
  <c r="DS35" i="10" s="1" a="1"/>
  <c r="DS35" i="10" s="1"/>
  <c r="DV39" i="10" a="1"/>
  <c r="DV39" i="10" s="1"/>
  <c r="DV34" i="10" a="1"/>
  <c r="DV34" i="10" s="1"/>
  <c r="DR38" i="10" a="1"/>
  <c r="DR38" i="10" s="1"/>
  <c r="DW33" i="10" a="1"/>
  <c r="DW33" i="10" s="1"/>
  <c r="DT38" i="10" a="1"/>
  <c r="DT38" i="10" s="1"/>
  <c r="DV35" i="10" a="1"/>
  <c r="DV35" i="10" s="1"/>
  <c r="DV38" i="10" a="1"/>
  <c r="DV38" i="10" s="1"/>
  <c r="DT39" i="10" a="1"/>
  <c r="DT39" i="10" s="1"/>
  <c r="DS36" i="10" a="1"/>
  <c r="DS36" i="10" s="1"/>
  <c r="DR33" i="10"/>
  <c r="DS38" i="10" a="1"/>
  <c r="DS38" i="10" s="1"/>
  <c r="DZ33" i="10"/>
  <c r="ED33" i="10" s="1" a="1"/>
  <c r="ED33" i="10" s="1"/>
  <c r="DS41" i="10" a="1"/>
  <c r="DY39" i="10" l="1" a="1"/>
  <c r="DY39" i="10" s="1"/>
  <c r="EA38" i="10" a="1"/>
  <c r="EA38" i="10" s="1"/>
  <c r="DY33" i="10"/>
  <c r="EC38" i="10" a="1"/>
  <c r="EC38" i="10" s="1"/>
  <c r="DZ36" i="10" a="1"/>
  <c r="DZ36" i="10" s="1"/>
  <c r="DY38" i="10" a="1"/>
  <c r="DY38" i="10" s="1"/>
  <c r="EC35" i="10" a="1"/>
  <c r="EC35" i="10" s="1"/>
  <c r="EC34" i="10" a="1"/>
  <c r="EC34" i="10" s="1"/>
  <c r="EC39" i="10" a="1"/>
  <c r="EC39" i="10" s="1"/>
  <c r="EC36" i="10" a="1"/>
  <c r="EC36" i="10" s="1"/>
  <c r="DZ34" i="10" a="1"/>
  <c r="DZ34" i="10" s="1"/>
  <c r="DZ35" i="10" s="1" a="1"/>
  <c r="DZ35" i="10" s="1"/>
  <c r="DZ38" i="10" a="1"/>
  <c r="DZ38" i="10" s="1"/>
  <c r="EA39" i="10" a="1"/>
  <c r="EA39" i="10" s="1"/>
  <c r="DS41" i="10"/>
  <c r="DV47" i="10" s="1" a="1"/>
  <c r="DV47" i="10" s="1"/>
  <c r="DZ41" i="10" a="1"/>
  <c r="DS42" i="10" l="1" a="1"/>
  <c r="DS42" i="10" s="1"/>
  <c r="DS43" i="10" s="1" a="1"/>
  <c r="DS43" i="10" s="1"/>
  <c r="DR41" i="10"/>
  <c r="DV43" i="10" a="1"/>
  <c r="DV43" i="10" s="1"/>
  <c r="DV46" i="10" a="1"/>
  <c r="DV46" i="10" s="1"/>
  <c r="DR47" i="10" a="1"/>
  <c r="DR47" i="10" s="1"/>
  <c r="DR46" i="10" a="1"/>
  <c r="DR46" i="10" s="1"/>
  <c r="DS46" i="10" a="1"/>
  <c r="DS46" i="10" s="1"/>
  <c r="DT46" i="10" a="1"/>
  <c r="DT46" i="10" s="1"/>
  <c r="DV44" i="10" a="1"/>
  <c r="DV44" i="10" s="1"/>
  <c r="DV42" i="10" a="1"/>
  <c r="DV42" i="10" s="1"/>
  <c r="DS44" i="10" a="1"/>
  <c r="DS44" i="10" s="1"/>
  <c r="DW41" i="10" a="1"/>
  <c r="DW41" i="10" s="1"/>
  <c r="DT47" i="10" a="1"/>
  <c r="DT47" i="10" s="1"/>
  <c r="DZ41" i="10"/>
  <c r="DZ46" i="10" s="1" a="1"/>
  <c r="DZ46" i="10" s="1"/>
  <c r="EH1" i="10" a="1"/>
  <c r="DY41" i="10" l="1"/>
  <c r="EC46" i="10" a="1"/>
  <c r="EC46" i="10" s="1"/>
  <c r="DY46" i="10" a="1"/>
  <c r="DY46" i="10" s="1"/>
  <c r="DY47" i="10" a="1"/>
  <c r="DY47" i="10" s="1"/>
  <c r="DZ42" i="10" a="1"/>
  <c r="DZ42" i="10" s="1"/>
  <c r="DZ43" i="10" s="1" a="1"/>
  <c r="DZ43" i="10" s="1"/>
  <c r="EC44" i="10" a="1"/>
  <c r="EC44" i="10" s="1"/>
  <c r="DZ44" i="10" a="1"/>
  <c r="DZ44" i="10" s="1"/>
  <c r="EA46" i="10" a="1"/>
  <c r="EA46" i="10" s="1"/>
  <c r="ED41" i="10" a="1"/>
  <c r="ED41" i="10" s="1"/>
  <c r="EC43" i="10" a="1"/>
  <c r="EC43" i="10" s="1"/>
  <c r="EC47" i="10" a="1"/>
  <c r="EC47" i="10" s="1"/>
  <c r="EA47" i="10" a="1"/>
  <c r="EA47" i="10" s="1"/>
  <c r="EC42" i="10" a="1"/>
  <c r="EC42" i="10" s="1"/>
  <c r="EH1" i="10"/>
  <c r="EK3" i="10" s="1" a="1"/>
  <c r="EK3" i="10" s="1"/>
  <c r="EO1" i="10" a="1"/>
  <c r="EK6" i="10" l="1" a="1"/>
  <c r="EK6" i="10" s="1"/>
  <c r="EK2" i="10" a="1"/>
  <c r="EK2" i="10" s="1"/>
  <c r="EG6" i="10" a="1"/>
  <c r="EG6" i="10" s="1"/>
  <c r="EL1" i="10" a="1"/>
  <c r="EL1" i="10" s="1"/>
  <c r="EK7" i="10" a="1"/>
  <c r="EK7" i="10" s="1"/>
  <c r="EG7" i="10" a="1"/>
  <c r="EG7" i="10" s="1"/>
  <c r="EG1" i="10"/>
  <c r="EH4" i="10" a="1"/>
  <c r="EH4" i="10" s="1"/>
  <c r="EI6" i="10" a="1"/>
  <c r="EI6" i="10" s="1"/>
  <c r="EH2" i="10" a="1"/>
  <c r="EH2" i="10" s="1"/>
  <c r="EH3" i="10" s="1" a="1"/>
  <c r="EH3" i="10" s="1"/>
  <c r="EH6" i="10" a="1"/>
  <c r="EH6" i="10" s="1"/>
  <c r="EK4" i="10" a="1"/>
  <c r="EK4" i="10" s="1"/>
  <c r="EI7" i="10" a="1"/>
  <c r="EI7" i="10" s="1"/>
  <c r="EO1" i="10"/>
  <c r="EP7" i="10" s="1" a="1"/>
  <c r="EP7" i="10" s="1"/>
  <c r="EH9" i="10" a="1"/>
  <c r="EN1" i="10" l="1"/>
  <c r="EN6" i="10" a="1"/>
  <c r="EN6" i="10" s="1"/>
  <c r="EP6" i="10" a="1"/>
  <c r="EP6" i="10" s="1"/>
  <c r="EN7" i="10" a="1"/>
  <c r="EN7" i="10" s="1"/>
  <c r="EO6" i="10" a="1"/>
  <c r="EO6" i="10" s="1"/>
  <c r="ER2" i="10" a="1"/>
  <c r="ER2" i="10" s="1"/>
  <c r="ES1" i="10" a="1"/>
  <c r="ES1" i="10" s="1"/>
  <c r="ER7" i="10" a="1"/>
  <c r="ER7" i="10" s="1"/>
  <c r="ER6" i="10" a="1"/>
  <c r="ER6" i="10" s="1"/>
  <c r="EO4" i="10" a="1"/>
  <c r="EO4" i="10" s="1"/>
  <c r="ER4" i="10" a="1"/>
  <c r="ER4" i="10" s="1"/>
  <c r="EO2" i="10" a="1"/>
  <c r="EO2" i="10" s="1"/>
  <c r="EO3" i="10" s="1" a="1"/>
  <c r="EO3" i="10" s="1"/>
  <c r="ER3" i="10" a="1"/>
  <c r="ER3" i="10" s="1"/>
  <c r="EH9" i="10"/>
  <c r="EL9" i="10" s="1" a="1"/>
  <c r="EL9" i="10" s="1"/>
  <c r="EO9" i="10" a="1"/>
  <c r="EH10" i="10" l="1" a="1"/>
  <c r="EH10" i="10" s="1"/>
  <c r="EH11" i="10" s="1" a="1"/>
  <c r="EH11" i="10" s="1"/>
  <c r="EK10" i="10" a="1"/>
  <c r="EK10" i="10" s="1"/>
  <c r="EI15" i="10" a="1"/>
  <c r="EI15" i="10" s="1"/>
  <c r="EG15" i="10" a="1"/>
  <c r="EG15" i="10" s="1"/>
  <c r="EI14" i="10" a="1"/>
  <c r="EI14" i="10" s="1"/>
  <c r="EK14" i="10" a="1"/>
  <c r="EK14" i="10" s="1"/>
  <c r="EG9" i="10"/>
  <c r="EH14" i="10" a="1"/>
  <c r="EH14" i="10" s="1"/>
  <c r="EK12" i="10" a="1"/>
  <c r="EK12" i="10" s="1"/>
  <c r="EH12" i="10" a="1"/>
  <c r="EH12" i="10" s="1"/>
  <c r="EK15" i="10" a="1"/>
  <c r="EK15" i="10" s="1"/>
  <c r="EK11" i="10" a="1"/>
  <c r="EK11" i="10" s="1"/>
  <c r="EG14" i="10" a="1"/>
  <c r="EG14" i="10" s="1"/>
  <c r="EO9" i="10"/>
  <c r="ER10" i="10" s="1" a="1"/>
  <c r="ER10" i="10" s="1"/>
  <c r="EH17" i="10" a="1"/>
  <c r="EN14" i="10" l="1" a="1"/>
  <c r="EN14" i="10" s="1"/>
  <c r="ER15" i="10" a="1"/>
  <c r="ER15" i="10" s="1"/>
  <c r="ES9" i="10" a="1"/>
  <c r="ES9" i="10" s="1"/>
  <c r="EN15" i="10" a="1"/>
  <c r="EN15" i="10" s="1"/>
  <c r="EO12" i="10" a="1"/>
  <c r="EO12" i="10" s="1"/>
  <c r="ER14" i="10" a="1"/>
  <c r="ER14" i="10" s="1"/>
  <c r="EN9" i="10"/>
  <c r="EP15" i="10" a="1"/>
  <c r="EP15" i="10" s="1"/>
  <c r="EP14" i="10" a="1"/>
  <c r="EP14" i="10" s="1"/>
  <c r="EO14" i="10" a="1"/>
  <c r="EO14" i="10" s="1"/>
  <c r="ER11" i="10" a="1"/>
  <c r="ER11" i="10" s="1"/>
  <c r="ER12" i="10" a="1"/>
  <c r="ER12" i="10" s="1"/>
  <c r="EO10" i="10" a="1"/>
  <c r="EO10" i="10" s="1"/>
  <c r="EO11" i="10" s="1" a="1"/>
  <c r="EO11" i="10" s="1"/>
  <c r="EH17" i="10"/>
  <c r="EK23" i="10" s="1" a="1"/>
  <c r="EK23" i="10" s="1"/>
  <c r="EO17" i="10" a="1"/>
  <c r="EK19" i="10" l="1" a="1"/>
  <c r="EK19" i="10" s="1"/>
  <c r="EI23" i="10" a="1"/>
  <c r="EI23" i="10" s="1"/>
  <c r="EH18" i="10" a="1"/>
  <c r="EH18" i="10" s="1"/>
  <c r="EH19" i="10" s="1" a="1"/>
  <c r="EH19" i="10" s="1"/>
  <c r="EG22" i="10" a="1"/>
  <c r="EG22" i="10" s="1"/>
  <c r="EI22" i="10" a="1"/>
  <c r="EI22" i="10" s="1"/>
  <c r="EL17" i="10" a="1"/>
  <c r="EL17" i="10" s="1"/>
  <c r="EK22" i="10" a="1"/>
  <c r="EK22" i="10" s="1"/>
  <c r="EK18" i="10" a="1"/>
  <c r="EK18" i="10" s="1"/>
  <c r="EG17" i="10"/>
  <c r="EK20" i="10" a="1"/>
  <c r="EK20" i="10" s="1"/>
  <c r="EH22" i="10" a="1"/>
  <c r="EH22" i="10" s="1"/>
  <c r="EH20" i="10" a="1"/>
  <c r="EH20" i="10" s="1"/>
  <c r="EG23" i="10" a="1"/>
  <c r="EG23" i="10" s="1"/>
  <c r="EO17" i="10"/>
  <c r="EO20" i="10" s="1" a="1"/>
  <c r="EO20" i="10" s="1"/>
  <c r="EH25" i="10" a="1"/>
  <c r="EO22" i="10" l="1" a="1"/>
  <c r="EO22" i="10" s="1"/>
  <c r="EN22" i="10" a="1"/>
  <c r="EN22" i="10" s="1"/>
  <c r="ER20" i="10" a="1"/>
  <c r="ER20" i="10" s="1"/>
  <c r="EO18" i="10" a="1"/>
  <c r="EO18" i="10" s="1"/>
  <c r="EO19" i="10" s="1" a="1"/>
  <c r="EO19" i="10" s="1"/>
  <c r="ER18" i="10" a="1"/>
  <c r="ER18" i="10" s="1"/>
  <c r="EN17" i="10"/>
  <c r="ER23" i="10" a="1"/>
  <c r="ER23" i="10" s="1"/>
  <c r="ER19" i="10" a="1"/>
  <c r="ER19" i="10" s="1"/>
  <c r="EN23" i="10" a="1"/>
  <c r="EN23" i="10" s="1"/>
  <c r="EP23" i="10" a="1"/>
  <c r="EP23" i="10" s="1"/>
  <c r="ER22" i="10" a="1"/>
  <c r="ER22" i="10" s="1"/>
  <c r="EP22" i="10" a="1"/>
  <c r="EP22" i="10" s="1"/>
  <c r="ES17" i="10" a="1"/>
  <c r="ES17" i="10" s="1"/>
  <c r="EH25" i="10"/>
  <c r="EK26" i="10" s="1" a="1"/>
  <c r="EK26" i="10" s="1"/>
  <c r="EO25" i="10" a="1"/>
  <c r="EG25" i="10" l="1"/>
  <c r="EH26" i="10" a="1"/>
  <c r="EH26" i="10" s="1"/>
  <c r="EH27" i="10" s="1" a="1"/>
  <c r="EH27" i="10" s="1"/>
  <c r="EL25" i="10" a="1"/>
  <c r="EL25" i="10" s="1"/>
  <c r="EH28" i="10" a="1"/>
  <c r="EH28" i="10" s="1"/>
  <c r="EI30" i="10" a="1"/>
  <c r="EI30" i="10" s="1"/>
  <c r="EH30" i="10" a="1"/>
  <c r="EH30" i="10" s="1"/>
  <c r="EK31" i="10" a="1"/>
  <c r="EK31" i="10" s="1"/>
  <c r="EK28" i="10" a="1"/>
  <c r="EK28" i="10" s="1"/>
  <c r="EG30" i="10" a="1"/>
  <c r="EG30" i="10" s="1"/>
  <c r="EK27" i="10" a="1"/>
  <c r="EK27" i="10" s="1"/>
  <c r="EI31" i="10" a="1"/>
  <c r="EI31" i="10" s="1"/>
  <c r="EG31" i="10" a="1"/>
  <c r="EG31" i="10" s="1"/>
  <c r="EK30" i="10" a="1"/>
  <c r="EK30" i="10" s="1"/>
  <c r="EO25" i="10"/>
  <c r="ER26" i="10" s="1" a="1"/>
  <c r="ER26" i="10" s="1"/>
  <c r="EH33" i="10" a="1"/>
  <c r="EN30" i="10" l="1" a="1"/>
  <c r="EN30" i="10" s="1"/>
  <c r="ES25" i="10" a="1"/>
  <c r="ES25" i="10" s="1"/>
  <c r="EP31" i="10" a="1"/>
  <c r="EP31" i="10" s="1"/>
  <c r="ER31" i="10" a="1"/>
  <c r="ER31" i="10" s="1"/>
  <c r="EO28" i="10" a="1"/>
  <c r="EO28" i="10" s="1"/>
  <c r="EO26" i="10" a="1"/>
  <c r="EO26" i="10" s="1"/>
  <c r="EO27" i="10" s="1" a="1"/>
  <c r="EO27" i="10" s="1"/>
  <c r="EN25" i="10"/>
  <c r="ER27" i="10" a="1"/>
  <c r="ER27" i="10" s="1"/>
  <c r="EP30" i="10" a="1"/>
  <c r="EP30" i="10" s="1"/>
  <c r="ER30" i="10" a="1"/>
  <c r="ER30" i="10" s="1"/>
  <c r="ER28" i="10" a="1"/>
  <c r="ER28" i="10" s="1"/>
  <c r="EN31" i="10" a="1"/>
  <c r="EN31" i="10" s="1"/>
  <c r="EO30" i="10" a="1"/>
  <c r="EO30" i="10" s="1"/>
  <c r="EH33" i="10"/>
  <c r="EI38" i="10" s="1" a="1"/>
  <c r="EI38" i="10" s="1"/>
  <c r="EO33" i="10" a="1"/>
  <c r="EK36" i="10" l="1" a="1"/>
  <c r="EK36" i="10" s="1"/>
  <c r="EH38" i="10" a="1"/>
  <c r="EH38" i="10" s="1"/>
  <c r="EK34" i="10" a="1"/>
  <c r="EK34" i="10" s="1"/>
  <c r="EL33" i="10" a="1"/>
  <c r="EL33" i="10" s="1"/>
  <c r="EG38" i="10" a="1"/>
  <c r="EG38" i="10" s="1"/>
  <c r="EG33" i="10"/>
  <c r="EK39" i="10" a="1"/>
  <c r="EK39" i="10" s="1"/>
  <c r="EH36" i="10" a="1"/>
  <c r="EH36" i="10" s="1"/>
  <c r="EK35" i="10" a="1"/>
  <c r="EK35" i="10" s="1"/>
  <c r="EK38" i="10" a="1"/>
  <c r="EK38" i="10" s="1"/>
  <c r="EI39" i="10" a="1"/>
  <c r="EI39" i="10" s="1"/>
  <c r="EH34" i="10" a="1"/>
  <c r="EH34" i="10" s="1"/>
  <c r="EH35" i="10" s="1" a="1"/>
  <c r="EH35" i="10" s="1"/>
  <c r="EG39" i="10" a="1"/>
  <c r="EG39" i="10" s="1"/>
  <c r="EO33" i="10"/>
  <c r="ES33" i="10" s="1" a="1"/>
  <c r="ES33" i="10" s="1"/>
  <c r="EO41" i="10" a="1"/>
  <c r="ER34" i="10" l="1" a="1"/>
  <c r="ER34" i="10" s="1"/>
  <c r="EN33" i="10"/>
  <c r="EP39" i="10" a="1"/>
  <c r="EP39" i="10" s="1"/>
  <c r="ER35" i="10" a="1"/>
  <c r="ER35" i="10" s="1"/>
  <c r="EP38" i="10" a="1"/>
  <c r="EP38" i="10" s="1"/>
  <c r="EO38" i="10" a="1"/>
  <c r="EO38" i="10" s="1"/>
  <c r="ER36" i="10" a="1"/>
  <c r="ER36" i="10" s="1"/>
  <c r="EO34" i="10" a="1"/>
  <c r="EO34" i="10" s="1"/>
  <c r="EO35" i="10" s="1" a="1"/>
  <c r="EO35" i="10" s="1"/>
  <c r="EN38" i="10" a="1"/>
  <c r="EN38" i="10" s="1"/>
  <c r="EO36" i="10" a="1"/>
  <c r="EO36" i="10" s="1"/>
  <c r="EN39" i="10" a="1"/>
  <c r="EN39" i="10" s="1"/>
  <c r="ER38" i="10" a="1"/>
  <c r="ER38" i="10" s="1"/>
  <c r="ER39" i="10" a="1"/>
  <c r="ER39" i="10" s="1"/>
  <c r="EO41" i="10"/>
  <c r="ER47" i="10" s="1" a="1"/>
  <c r="ER47" i="10" s="1"/>
  <c r="EH41" i="10" a="1"/>
  <c r="ER42" i="10" l="1" a="1"/>
  <c r="ER42" i="10" s="1"/>
  <c r="EN41" i="10"/>
  <c r="EO44" i="10" a="1"/>
  <c r="EO44" i="10" s="1"/>
  <c r="ES41" i="10" a="1"/>
  <c r="ES41" i="10" s="1"/>
  <c r="EP47" i="10" a="1"/>
  <c r="EP47" i="10" s="1"/>
  <c r="EO46" i="10" a="1"/>
  <c r="EO46" i="10" s="1"/>
  <c r="ER43" i="10" a="1"/>
  <c r="ER43" i="10" s="1"/>
  <c r="ER46" i="10" a="1"/>
  <c r="ER46" i="10" s="1"/>
  <c r="EN47" i="10" a="1"/>
  <c r="EN47" i="10" s="1"/>
  <c r="EN46" i="10" a="1"/>
  <c r="EN46" i="10" s="1"/>
  <c r="EO42" i="10" a="1"/>
  <c r="EO42" i="10" s="1"/>
  <c r="EO43" i="10" s="1" a="1"/>
  <c r="EO43" i="10" s="1"/>
  <c r="EP46" i="10" a="1"/>
  <c r="EP46" i="10" s="1"/>
  <c r="ER44" i="10" a="1"/>
  <c r="ER44" i="10" s="1"/>
  <c r="EH41" i="10"/>
  <c r="EH44" i="10" s="1" a="1"/>
  <c r="EH44" i="10" s="1"/>
  <c r="EH46" i="10" l="1" a="1"/>
  <c r="EH46" i="10" s="1"/>
  <c r="EK43" i="10" a="1"/>
  <c r="EK43" i="10" s="1"/>
  <c r="EG41" i="10"/>
  <c r="EG47" i="10" a="1"/>
  <c r="EG47" i="10" s="1"/>
  <c r="EH42" i="10" a="1"/>
  <c r="EH42" i="10" s="1"/>
  <c r="EH43" i="10" s="1" a="1"/>
  <c r="EH43" i="10" s="1"/>
  <c r="EG46" i="10" a="1"/>
  <c r="EG46" i="10" s="1"/>
  <c r="EK46" i="10" a="1"/>
  <c r="EK46" i="10" s="1"/>
  <c r="EI46" i="10" a="1"/>
  <c r="EI46" i="10" s="1"/>
  <c r="EL41" i="10" a="1"/>
  <c r="EL41" i="10" s="1"/>
  <c r="EK44" i="10" a="1"/>
  <c r="EK44" i="10" s="1"/>
  <c r="EK42" i="10" a="1"/>
  <c r="EK42" i="10" s="1"/>
  <c r="EI47" i="10" a="1"/>
  <c r="EI47" i="10" s="1"/>
  <c r="EK47" i="10" a="1"/>
  <c r="EK47" i="10" s="1"/>
  <c r="AD2" i="11" a="1"/>
  <c r="AD2" i="11"/>
  <c r="AN2" i="11" a="1"/>
  <c r="AE2" i="11" a="1"/>
  <c r="AJ2" i="11" a="1"/>
  <c r="AF2" i="11" a="1"/>
  <c r="AK2" i="11" a="1"/>
  <c r="H1" i="13" l="1"/>
  <c r="AK2" i="11"/>
  <c r="AF2" i="11"/>
  <c r="AJ2" i="11"/>
  <c r="AE2" i="11"/>
  <c r="AN2" i="11"/>
  <c r="AO2" i="11" s="1"/>
  <c r="AH2" i="11" a="1"/>
  <c r="AI2" i="11" a="1"/>
  <c r="AG2" i="11" a="1"/>
  <c r="AD3" i="11" a="1"/>
  <c r="AG2" i="11" l="1"/>
  <c r="AI2" i="11"/>
  <c r="AH2" i="11"/>
  <c r="AL2" i="11"/>
  <c r="AP2" i="11"/>
  <c r="AD3" i="11"/>
  <c r="J1" i="13" l="1"/>
  <c r="J2" i="13" s="1"/>
  <c r="AQ2" i="11"/>
  <c r="AR2" i="11"/>
  <c r="AS2" i="11"/>
  <c r="M4" i="13"/>
  <c r="I1" i="13"/>
  <c r="N1" i="13"/>
  <c r="M7" i="13"/>
  <c r="J4" i="13"/>
  <c r="M6" i="13"/>
  <c r="K6" i="13"/>
  <c r="J3" i="13"/>
  <c r="J6" i="13"/>
  <c r="I6" i="13"/>
  <c r="AM2" i="11"/>
  <c r="M2" i="13" s="1"/>
  <c r="AN3" i="11" a="1"/>
  <c r="AE3" i="11" a="1"/>
  <c r="AJ3" i="11" a="1"/>
  <c r="AK3" i="11" a="1"/>
  <c r="AF3" i="11" a="1"/>
  <c r="M3" i="13" l="1"/>
  <c r="I7" i="13"/>
  <c r="K7" i="13"/>
  <c r="AF3" i="11"/>
  <c r="AK3" i="11"/>
  <c r="AJ3" i="11"/>
  <c r="AE3" i="11"/>
  <c r="AN3" i="11"/>
  <c r="AH3" i="11" a="1"/>
  <c r="AI3" i="11" a="1"/>
  <c r="AD4" i="11" a="1"/>
  <c r="AI3" i="11" l="1"/>
  <c r="AH3" i="11"/>
  <c r="AD4" i="11"/>
  <c r="AO3" i="11"/>
  <c r="AP3" i="11"/>
  <c r="AG3" i="11" a="1"/>
  <c r="AG3" i="11" l="1"/>
  <c r="AL3" i="11" s="1"/>
  <c r="AM3" i="11" s="1"/>
  <c r="A9" i="13"/>
  <c r="C9" i="13" s="1"/>
  <c r="AS3" i="11"/>
  <c r="AQ3" i="11"/>
  <c r="AR3" i="11"/>
  <c r="AJ4" i="11" a="1"/>
  <c r="AK4" i="11" a="1"/>
  <c r="AF4" i="11" a="1"/>
  <c r="AE4" i="11" a="1"/>
  <c r="AN4" i="11" a="1"/>
  <c r="F10" i="13" l="1"/>
  <c r="F14" i="13"/>
  <c r="F11" i="13"/>
  <c r="G9" i="13"/>
  <c r="C14" i="13"/>
  <c r="C10" i="13"/>
  <c r="B9" i="13"/>
  <c r="C11" i="13"/>
  <c r="C12" i="13"/>
  <c r="F12" i="13"/>
  <c r="D14" i="13"/>
  <c r="B14" i="13"/>
  <c r="F15" i="13"/>
  <c r="AN4" i="11"/>
  <c r="AO4" i="11" s="1"/>
  <c r="AE4" i="11"/>
  <c r="AF4" i="11"/>
  <c r="AK4" i="11"/>
  <c r="AJ4" i="11"/>
  <c r="AH4" i="11" a="1"/>
  <c r="AI4" i="11" a="1"/>
  <c r="AD5" i="11" a="1"/>
  <c r="AI4" i="11" l="1"/>
  <c r="AH4" i="11"/>
  <c r="B15" i="13"/>
  <c r="D15" i="13"/>
  <c r="AP4" i="11"/>
  <c r="AD5" i="11"/>
  <c r="AN5" i="11" a="1"/>
  <c r="AK5" i="11" a="1"/>
  <c r="AF5" i="11" a="1"/>
  <c r="AJ5" i="11" a="1"/>
  <c r="AE5" i="11" a="1"/>
  <c r="AQ4" i="11" l="1"/>
  <c r="AR4" i="11"/>
  <c r="AS4" i="11"/>
  <c r="AE5" i="11"/>
  <c r="AJ5" i="11"/>
  <c r="AF5" i="11"/>
  <c r="AK5" i="11"/>
  <c r="AN5" i="11"/>
  <c r="AO5" i="11" s="1"/>
  <c r="AG5" i="11" a="1"/>
  <c r="AH5" i="11" a="1"/>
  <c r="AG4" i="11" a="1"/>
  <c r="AI5" i="11" a="1"/>
  <c r="AD6" i="11" a="1"/>
  <c r="AI5" i="11" l="1"/>
  <c r="AG4" i="11"/>
  <c r="AH5" i="11"/>
  <c r="AG5" i="11"/>
  <c r="AD6" i="11"/>
  <c r="AL4" i="11"/>
  <c r="AM4" i="11" s="1"/>
  <c r="AL5" i="11"/>
  <c r="AM5" i="11" s="1"/>
  <c r="AP5" i="11"/>
  <c r="AN6" i="11" a="1"/>
  <c r="AJ6" i="11" a="1"/>
  <c r="AE6" i="11" a="1"/>
  <c r="H9" i="13" l="1"/>
  <c r="AQ5" i="11"/>
  <c r="AR5" i="11"/>
  <c r="AS5" i="11"/>
  <c r="AE6" i="11"/>
  <c r="AJ6" i="11"/>
  <c r="AN6" i="11"/>
  <c r="AI6" i="11" a="1"/>
  <c r="AH6" i="11" a="1"/>
  <c r="AD7" i="11" a="1"/>
  <c r="AF6" i="11" a="1"/>
  <c r="AK6" i="11" a="1"/>
  <c r="AI6" i="11" l="1"/>
  <c r="AH6" i="11"/>
  <c r="AP6" i="11"/>
  <c r="AO6" i="11"/>
  <c r="AK6" i="11"/>
  <c r="AF6" i="11"/>
  <c r="AD7" i="11"/>
  <c r="AF7" i="11" a="1"/>
  <c r="AK7" i="11" a="1"/>
  <c r="AN7" i="11" a="1"/>
  <c r="AE7" i="11" a="1"/>
  <c r="AR6" i="11" l="1"/>
  <c r="AS6" i="11"/>
  <c r="AQ6" i="11"/>
  <c r="J9" i="13"/>
  <c r="M10" i="13"/>
  <c r="AE7" i="11"/>
  <c r="AN7" i="11"/>
  <c r="AP7" i="11" s="1"/>
  <c r="AK7" i="11"/>
  <c r="AF7" i="11"/>
  <c r="AH7" i="11" a="1"/>
  <c r="AI7" i="11" a="1"/>
  <c r="AG6" i="11" a="1"/>
  <c r="AD8" i="11" a="1"/>
  <c r="AJ7" i="11" a="1"/>
  <c r="AI7" i="11" l="1"/>
  <c r="AH7" i="11"/>
  <c r="AG6" i="11"/>
  <c r="AQ7" i="11"/>
  <c r="AR7" i="11"/>
  <c r="AS7" i="11"/>
  <c r="AL6" i="11"/>
  <c r="AM6" i="11" s="1"/>
  <c r="N9" i="13"/>
  <c r="M14" i="13"/>
  <c r="J10" i="13"/>
  <c r="K14" i="13"/>
  <c r="M11" i="13"/>
  <c r="J14" i="13"/>
  <c r="J11" i="13"/>
  <c r="I14" i="13"/>
  <c r="I9" i="13"/>
  <c r="M12" i="13"/>
  <c r="M15" i="13"/>
  <c r="J12" i="13"/>
  <c r="AO7" i="11"/>
  <c r="AJ7" i="11"/>
  <c r="AD8" i="11"/>
  <c r="AG7" i="11" a="1"/>
  <c r="AF8" i="11" a="1"/>
  <c r="AJ8" i="11" a="1"/>
  <c r="AK8" i="11" a="1"/>
  <c r="AG7" i="11" l="1"/>
  <c r="A17" i="13"/>
  <c r="I15" i="13"/>
  <c r="K15" i="13"/>
  <c r="AL7" i="11"/>
  <c r="AM7" i="11" s="1"/>
  <c r="AK8" i="11"/>
  <c r="AJ8" i="11"/>
  <c r="AF8" i="11"/>
  <c r="AE8" i="11" a="1"/>
  <c r="AN8" i="11" a="1"/>
  <c r="AN8" i="11" l="1"/>
  <c r="AE8" i="11"/>
  <c r="AH8" i="11" a="1"/>
  <c r="AI8" i="11" a="1"/>
  <c r="AD9" i="11" a="1"/>
  <c r="AI8" i="11" l="1"/>
  <c r="AH8" i="11"/>
  <c r="AD9" i="11"/>
  <c r="F18" i="13" s="1"/>
  <c r="AO8" i="11"/>
  <c r="AP8" i="11"/>
  <c r="AS8" i="11" l="1"/>
  <c r="AR8" i="11"/>
  <c r="AQ8" i="11"/>
  <c r="C17" i="13"/>
  <c r="AG8" i="11" a="1"/>
  <c r="AJ9" i="11" a="1"/>
  <c r="AF9" i="11" a="1"/>
  <c r="AK9" i="11" a="1"/>
  <c r="AN9" i="11" a="1"/>
  <c r="AE9" i="11" a="1"/>
  <c r="AG8" i="11" l="1"/>
  <c r="F23" i="13"/>
  <c r="G17" i="13"/>
  <c r="C18" i="13"/>
  <c r="B22" i="13"/>
  <c r="F20" i="13"/>
  <c r="F22" i="13"/>
  <c r="C22" i="13"/>
  <c r="C20" i="13"/>
  <c r="F19" i="13"/>
  <c r="C19" i="13"/>
  <c r="B17" i="13"/>
  <c r="D22" i="13"/>
  <c r="AE9" i="11"/>
  <c r="AN9" i="11"/>
  <c r="AO9" i="11" s="1"/>
  <c r="AK9" i="11"/>
  <c r="AF9" i="11"/>
  <c r="AJ9" i="11"/>
  <c r="AL8" i="11"/>
  <c r="AM8" i="11" s="1"/>
  <c r="AH9" i="11" a="1"/>
  <c r="AI9" i="11" a="1"/>
  <c r="AD10" i="11" a="1"/>
  <c r="AI9" i="11" l="1"/>
  <c r="AH9" i="11"/>
  <c r="D23" i="13"/>
  <c r="B23" i="13"/>
  <c r="AP9" i="11"/>
  <c r="AD10" i="11"/>
  <c r="AF10" i="11" a="1"/>
  <c r="AN10" i="11" a="1"/>
  <c r="AE10" i="11" a="1"/>
  <c r="AJ10" i="11" a="1"/>
  <c r="AQ9" i="11" l="1"/>
  <c r="AR9" i="11"/>
  <c r="AS9" i="11"/>
  <c r="H17" i="13"/>
  <c r="AJ10" i="11"/>
  <c r="AE10" i="11"/>
  <c r="AN10" i="11"/>
  <c r="AP10" i="11" s="1"/>
  <c r="AF10" i="11"/>
  <c r="AH10" i="11" a="1"/>
  <c r="AI10" i="11" a="1"/>
  <c r="AG9" i="11" a="1"/>
  <c r="AD11" i="11" a="1"/>
  <c r="AK10" i="11" a="1"/>
  <c r="AG9" i="11" l="1"/>
  <c r="AI10" i="11"/>
  <c r="AH10" i="11"/>
  <c r="AS10" i="11"/>
  <c r="AR10" i="11"/>
  <c r="AQ10" i="11"/>
  <c r="AL9" i="11"/>
  <c r="AM9" i="11" s="1"/>
  <c r="AO10" i="11"/>
  <c r="AK10" i="11"/>
  <c r="AD11" i="11"/>
  <c r="AG10" i="11" a="1"/>
  <c r="AJ11" i="11" a="1"/>
  <c r="AF11" i="11" a="1"/>
  <c r="AN11" i="11" a="1"/>
  <c r="AE11" i="11" a="1"/>
  <c r="AG10" i="11" l="1"/>
  <c r="J17" i="13"/>
  <c r="M18" i="13"/>
  <c r="AE11" i="11"/>
  <c r="AN11" i="11"/>
  <c r="AO11" i="11" s="1"/>
  <c r="AF11" i="11"/>
  <c r="AJ11" i="11"/>
  <c r="AL10" i="11"/>
  <c r="AM10" i="11" s="1"/>
  <c r="AH11" i="11" a="1"/>
  <c r="AI11" i="11" a="1"/>
  <c r="AD12" i="11" a="1"/>
  <c r="AK11" i="11" a="1"/>
  <c r="AI11" i="11" l="1"/>
  <c r="AH11" i="11"/>
  <c r="K22" i="13"/>
  <c r="M19" i="13"/>
  <c r="J22" i="13"/>
  <c r="J20" i="13"/>
  <c r="I22" i="13"/>
  <c r="M22" i="13"/>
  <c r="M20" i="13"/>
  <c r="J18" i="13"/>
  <c r="J19" i="13"/>
  <c r="M23" i="13"/>
  <c r="I17" i="13"/>
  <c r="N17" i="13"/>
  <c r="AP11" i="11"/>
  <c r="AK11" i="11"/>
  <c r="AD12" i="11"/>
  <c r="AE12" i="11" a="1"/>
  <c r="AK12" i="11" a="1"/>
  <c r="A25" i="13" l="1"/>
  <c r="AQ11" i="11"/>
  <c r="AR11" i="11"/>
  <c r="AS11" i="11"/>
  <c r="K23" i="13"/>
  <c r="I23" i="13"/>
  <c r="AK12" i="11"/>
  <c r="AE12" i="11"/>
  <c r="AH12" i="11" a="1"/>
  <c r="AG11" i="11" a="1"/>
  <c r="AI12" i="11" a="1"/>
  <c r="AN12" i="11" a="1"/>
  <c r="AD13" i="11" a="1"/>
  <c r="AJ12" i="11" a="1"/>
  <c r="AF12" i="11" a="1"/>
  <c r="AI12" i="11" l="1"/>
  <c r="AG11" i="11"/>
  <c r="AH12" i="11"/>
  <c r="AL11" i="11"/>
  <c r="AM11" i="11" s="1"/>
  <c r="AF12" i="11"/>
  <c r="AJ12" i="11"/>
  <c r="AD13" i="11"/>
  <c r="AN12" i="11"/>
  <c r="F26" i="13" l="1"/>
  <c r="C25" i="13"/>
  <c r="AO12" i="11"/>
  <c r="AP12" i="11"/>
  <c r="AG12" i="11" a="1"/>
  <c r="AE13" i="11" a="1"/>
  <c r="AK13" i="11" a="1"/>
  <c r="AN13" i="11" a="1"/>
  <c r="AF13" i="11" a="1"/>
  <c r="AJ13" i="11" a="1"/>
  <c r="AG12" i="11" l="1"/>
  <c r="AQ12" i="11"/>
  <c r="AR12" i="11"/>
  <c r="AS12" i="11"/>
  <c r="AJ13" i="11"/>
  <c r="AF13" i="11"/>
  <c r="AN13" i="11"/>
  <c r="AP13" i="11" s="1"/>
  <c r="AK13" i="11"/>
  <c r="AE13" i="11"/>
  <c r="F31" i="13"/>
  <c r="B30" i="13"/>
  <c r="B25" i="13"/>
  <c r="G25" i="13"/>
  <c r="D30" i="13"/>
  <c r="F27" i="13"/>
  <c r="C30" i="13"/>
  <c r="F28" i="13"/>
  <c r="C28" i="13"/>
  <c r="C26" i="13"/>
  <c r="C27" i="13"/>
  <c r="F30" i="13"/>
  <c r="AL12" i="11"/>
  <c r="AM12" i="11" s="1"/>
  <c r="AH13" i="11" a="1"/>
  <c r="AI13" i="11" a="1"/>
  <c r="AD14" i="11" a="1"/>
  <c r="AI13" i="11" l="1"/>
  <c r="AH13" i="11"/>
  <c r="AS13" i="11"/>
  <c r="AR13" i="11"/>
  <c r="AQ13" i="11"/>
  <c r="AO13" i="11"/>
  <c r="AD14" i="11"/>
  <c r="H25" i="13" s="1"/>
  <c r="B31" i="13"/>
  <c r="D31" i="13"/>
  <c r="AG13" i="11" a="1"/>
  <c r="AJ14" i="11" a="1"/>
  <c r="AE14" i="11" a="1"/>
  <c r="AF14" i="11" a="1"/>
  <c r="AN14" i="11" a="1"/>
  <c r="AK14" i="11" a="1"/>
  <c r="AG13" i="11" l="1"/>
  <c r="AL13" i="11"/>
  <c r="AM13" i="11" s="1"/>
  <c r="AK14" i="11"/>
  <c r="AN14" i="11"/>
  <c r="AP14" i="11" s="1"/>
  <c r="AF14" i="11"/>
  <c r="AE14" i="11"/>
  <c r="AJ14" i="11"/>
  <c r="AI14" i="11" a="1"/>
  <c r="AH14" i="11" a="1"/>
  <c r="AD15" i="11" a="1"/>
  <c r="AH14" i="11" l="1"/>
  <c r="AI14" i="11"/>
  <c r="AQ14" i="11"/>
  <c r="AR14" i="11"/>
  <c r="AS14" i="11"/>
  <c r="AO14" i="11"/>
  <c r="AD15" i="11"/>
  <c r="M26" i="13" s="1"/>
  <c r="J25" i="13"/>
  <c r="AG14" i="11" a="1"/>
  <c r="AL15" i="11" l="1"/>
  <c r="AM15" i="11" s="1"/>
  <c r="AG14" i="11"/>
  <c r="AJ15" i="11" a="1"/>
  <c r="AJ15" i="11" s="1"/>
  <c r="AK15" i="11" a="1"/>
  <c r="AK15" i="11" s="1"/>
  <c r="AF15" i="11" a="1"/>
  <c r="AF15" i="11" s="1"/>
  <c r="AL14" i="11"/>
  <c r="AM14" i="11" s="1"/>
  <c r="AN15" i="11" a="1"/>
  <c r="AN15" i="11" s="1"/>
  <c r="AP15" i="11" s="1"/>
  <c r="AE15" i="11" a="1"/>
  <c r="AE15" i="11" s="1"/>
  <c r="M30" i="13"/>
  <c r="M28" i="13"/>
  <c r="K30" i="13"/>
  <c r="J30" i="13"/>
  <c r="J26" i="13"/>
  <c r="N25" i="13"/>
  <c r="I25" i="13"/>
  <c r="M27" i="13"/>
  <c r="J27" i="13"/>
  <c r="M31" i="13"/>
  <c r="J28" i="13"/>
  <c r="I30" i="13"/>
  <c r="AD16" i="11" a="1"/>
  <c r="AI15" i="11" l="1" a="1"/>
  <c r="AI15" i="11" s="1"/>
  <c r="AH15" i="11" a="1"/>
  <c r="AH15" i="11" s="1"/>
  <c r="AQ15" i="11"/>
  <c r="AR15" i="11"/>
  <c r="AS15" i="11"/>
  <c r="AO15" i="11"/>
  <c r="AG15" i="11" s="1" a="1"/>
  <c r="AG15" i="11" s="1"/>
  <c r="AD16" i="11"/>
  <c r="I31" i="13"/>
  <c r="K31" i="13"/>
  <c r="A33" i="13"/>
  <c r="AL16" i="11" l="1"/>
  <c r="AM16" i="11" s="1"/>
  <c r="AE16" i="11" a="1"/>
  <c r="AE16" i="11" s="1"/>
  <c r="AH16" i="11" s="1" a="1"/>
  <c r="AH16" i="11" s="1"/>
  <c r="AK16" i="11" a="1"/>
  <c r="AK16" i="11" s="1"/>
  <c r="AJ16" i="11" a="1"/>
  <c r="AJ16" i="11" s="1"/>
  <c r="AF16" i="11" a="1"/>
  <c r="AF16" i="11" s="1"/>
  <c r="AN16" i="11" a="1"/>
  <c r="AN16" i="11" s="1"/>
  <c r="AP16" i="11" s="1"/>
  <c r="AR16" i="11" s="1"/>
  <c r="AD17" i="11" a="1"/>
  <c r="AI16" i="11" l="1" a="1"/>
  <c r="AI16" i="11" s="1"/>
  <c r="AD17" i="11"/>
  <c r="AO16" i="11"/>
  <c r="AG16" i="11" s="1" a="1"/>
  <c r="AG16" i="11" s="1"/>
  <c r="AQ16" i="11"/>
  <c r="AS16" i="11"/>
  <c r="AN17" i="11" a="1"/>
  <c r="AN17" i="11" s="1"/>
  <c r="AO17" i="11" s="1"/>
  <c r="C33" i="13"/>
  <c r="AK17" i="11" a="1"/>
  <c r="AK17" i="11" s="1"/>
  <c r="F34" i="13"/>
  <c r="AE17" i="11" a="1"/>
  <c r="AE17" i="11" s="1"/>
  <c r="AJ17" i="11" a="1"/>
  <c r="AJ17" i="11" s="1"/>
  <c r="AD18" i="11" a="1"/>
  <c r="AL17" i="11" l="1"/>
  <c r="AM17" i="11" s="1"/>
  <c r="AI17" i="11" a="1"/>
  <c r="AI17" i="11" s="1"/>
  <c r="AG17" i="11" a="1"/>
  <c r="AG17" i="11" s="1"/>
  <c r="AH17" i="11" a="1"/>
  <c r="AH17" i="11" s="1"/>
  <c r="AF17" i="11" a="1"/>
  <c r="AF17" i="11" s="1"/>
  <c r="AP17" i="11"/>
  <c r="D38" i="13"/>
  <c r="C38" i="13"/>
  <c r="F38" i="13"/>
  <c r="F39" i="13"/>
  <c r="C34" i="13"/>
  <c r="B33" i="13"/>
  <c r="B38" i="13"/>
  <c r="C36" i="13"/>
  <c r="F36" i="13"/>
  <c r="F35" i="13"/>
  <c r="C35" i="13"/>
  <c r="G33" i="13"/>
  <c r="AD18" i="11"/>
  <c r="AJ18" i="11" l="1" a="1"/>
  <c r="AJ18" i="11" s="1"/>
  <c r="AQ17" i="11"/>
  <c r="AR17" i="11"/>
  <c r="AS17" i="11"/>
  <c r="B39" i="13"/>
  <c r="D39" i="13"/>
  <c r="AF18" i="11" a="1"/>
  <c r="AF18" i="11" s="1"/>
  <c r="AE18" i="11" a="1"/>
  <c r="AE18" i="11" s="1"/>
  <c r="AH18" i="11" s="1" a="1"/>
  <c r="AH18" i="11" s="1"/>
  <c r="AN18" i="11" a="1"/>
  <c r="AN18" i="11" s="1"/>
  <c r="AO18" i="11" s="1"/>
  <c r="AG18" i="11" s="1" a="1"/>
  <c r="AG18" i="11" s="1"/>
  <c r="AL18" i="11"/>
  <c r="AM18" i="11" s="1"/>
  <c r="H33" i="13"/>
  <c r="AK18" i="11" a="1"/>
  <c r="AK18" i="11" s="1"/>
  <c r="AD19" i="11" a="1"/>
  <c r="AI18" i="11" l="1" a="1"/>
  <c r="AI18" i="11" s="1"/>
  <c r="AD19" i="11"/>
  <c r="AK19" i="11" s="1" a="1"/>
  <c r="AK19" i="11" s="1"/>
  <c r="AP18" i="11"/>
  <c r="M34" i="13"/>
  <c r="J33" i="13"/>
  <c r="AE19" i="11" a="1"/>
  <c r="AE19" i="11" s="1"/>
  <c r="AD20" i="11" a="1"/>
  <c r="AL19" i="11" l="1"/>
  <c r="AM19" i="11" s="1"/>
  <c r="AH19" i="11" a="1"/>
  <c r="AH19" i="11" s="1"/>
  <c r="AI19" i="11" a="1"/>
  <c r="AI19" i="11" s="1"/>
  <c r="AQ18" i="11"/>
  <c r="AS18" i="11"/>
  <c r="AR18" i="11"/>
  <c r="AN19" i="11" a="1"/>
  <c r="AN19" i="11" s="1"/>
  <c r="AO19" i="11" s="1"/>
  <c r="AG19" i="11" s="1" a="1"/>
  <c r="AG19" i="11" s="1"/>
  <c r="AJ19" i="11" a="1"/>
  <c r="AJ19" i="11" s="1"/>
  <c r="AF19" i="11" a="1"/>
  <c r="AF19" i="11" s="1"/>
  <c r="J34" i="13"/>
  <c r="M35" i="13"/>
  <c r="M39" i="13"/>
  <c r="K38" i="13"/>
  <c r="M36" i="13"/>
  <c r="J35" i="13"/>
  <c r="M38" i="13"/>
  <c r="J38" i="13"/>
  <c r="I38" i="13"/>
  <c r="J36" i="13"/>
  <c r="I33" i="13"/>
  <c r="N33" i="13"/>
  <c r="AD20" i="11"/>
  <c r="AP19" i="11" l="1"/>
  <c r="AQ19" i="11" s="1"/>
  <c r="K39" i="13"/>
  <c r="I39" i="13"/>
  <c r="AL20" i="11"/>
  <c r="AM20" i="11" s="1"/>
  <c r="A41" i="13"/>
  <c r="AN20" i="11" a="1"/>
  <c r="AN20" i="11" s="1"/>
  <c r="AJ20" i="11" a="1"/>
  <c r="AJ20" i="11" s="1"/>
  <c r="AK20" i="11" a="1"/>
  <c r="AK20" i="11" s="1"/>
  <c r="AE20" i="11" a="1"/>
  <c r="AE20" i="11" s="1"/>
  <c r="AH20" i="11" s="1" a="1"/>
  <c r="AH20" i="11" s="1"/>
  <c r="AF20" i="11" a="1"/>
  <c r="AF20" i="11" s="1"/>
  <c r="AD21" i="11" a="1"/>
  <c r="AI20" i="11" l="1" a="1"/>
  <c r="AI20" i="11" s="1"/>
  <c r="AS19" i="11"/>
  <c r="AR19" i="11"/>
  <c r="AD21" i="11"/>
  <c r="AP20" i="11"/>
  <c r="AO20" i="11"/>
  <c r="AG20" i="11" s="1" a="1"/>
  <c r="AG20" i="11" s="1"/>
  <c r="AL21" i="11" l="1"/>
  <c r="AQ20" i="11"/>
  <c r="AR20" i="11"/>
  <c r="AS20" i="11"/>
  <c r="C41" i="13"/>
  <c r="F44" i="13" s="1"/>
  <c r="F42" i="13"/>
  <c r="AF21" i="11" a="1"/>
  <c r="AF21" i="11" s="1"/>
  <c r="AM21" i="11"/>
  <c r="AN21" i="11" a="1"/>
  <c r="AN21" i="11" s="1"/>
  <c r="AK21" i="11" a="1"/>
  <c r="AK21" i="11" s="1"/>
  <c r="AE21" i="11" a="1"/>
  <c r="AE21" i="11" s="1"/>
  <c r="AI21" i="11" s="1" a="1"/>
  <c r="AI21" i="11" s="1"/>
  <c r="AJ21" i="11" a="1"/>
  <c r="AJ21" i="11" s="1"/>
  <c r="AD22" i="11" a="1"/>
  <c r="AH21" i="11" l="1" a="1"/>
  <c r="AH21" i="11" s="1"/>
  <c r="C44" i="13"/>
  <c r="D46" i="13"/>
  <c r="B46" i="13"/>
  <c r="C43" i="13"/>
  <c r="F43" i="13"/>
  <c r="F47" i="13"/>
  <c r="F46" i="13"/>
  <c r="B41" i="13"/>
  <c r="C42" i="13"/>
  <c r="C46" i="13"/>
  <c r="G41" i="13"/>
  <c r="AD22" i="11"/>
  <c r="AO21" i="11"/>
  <c r="AG21" i="11" s="1" a="1"/>
  <c r="AG21" i="11" s="1"/>
  <c r="AP21" i="11"/>
  <c r="AS21" i="11" l="1"/>
  <c r="AR21" i="11"/>
  <c r="AQ21" i="11"/>
  <c r="B47" i="13"/>
  <c r="D47" i="13"/>
  <c r="AL22" i="11"/>
  <c r="AM22" i="11" s="1"/>
  <c r="H41" i="13"/>
  <c r="AF22" i="11" a="1"/>
  <c r="AF22" i="11" s="1"/>
  <c r="AE22" i="11" a="1"/>
  <c r="AE22" i="11" s="1"/>
  <c r="AK22" i="11" a="1"/>
  <c r="AK22" i="11" s="1"/>
  <c r="AJ22" i="11" a="1"/>
  <c r="AJ22" i="11" s="1"/>
  <c r="AN22" i="11" a="1"/>
  <c r="AN22" i="11" s="1"/>
  <c r="AD23" i="11" a="1"/>
  <c r="AI22" i="11" l="1" a="1"/>
  <c r="AI22" i="11" s="1"/>
  <c r="AH22" i="11" a="1"/>
  <c r="AH22" i="11" s="1"/>
  <c r="AD23" i="11"/>
  <c r="AO22" i="11"/>
  <c r="AG22" i="11" s="1" a="1"/>
  <c r="AG22" i="11" s="1"/>
  <c r="AP22" i="11"/>
  <c r="AL23" i="11" l="1"/>
  <c r="AM23" i="11" s="1"/>
  <c r="AQ22" i="11"/>
  <c r="AR22" i="11"/>
  <c r="AS22" i="11"/>
  <c r="J41" i="13"/>
  <c r="I46" i="13" s="1"/>
  <c r="M42" i="13"/>
  <c r="AE23" i="11" a="1"/>
  <c r="AE23" i="11" s="1"/>
  <c r="AN23" i="11" a="1"/>
  <c r="AN23" i="11" s="1"/>
  <c r="AJ23" i="11" a="1"/>
  <c r="AJ23" i="11" s="1"/>
  <c r="AF23" i="11" a="1"/>
  <c r="AF23" i="11" s="1"/>
  <c r="AK23" i="11" a="1"/>
  <c r="AK23" i="11" s="1"/>
  <c r="AD24" i="11" a="1"/>
  <c r="AI23" i="11" l="1" a="1"/>
  <c r="AI23" i="11" s="1"/>
  <c r="AH23" i="11" a="1"/>
  <c r="AH23" i="11" s="1"/>
  <c r="M46" i="13"/>
  <c r="N41" i="13"/>
  <c r="J44" i="13"/>
  <c r="J42" i="13"/>
  <c r="J43" i="13"/>
  <c r="J46" i="13"/>
  <c r="I41" i="13"/>
  <c r="K46" i="13"/>
  <c r="M43" i="13"/>
  <c r="M44" i="13"/>
  <c r="M47" i="13"/>
  <c r="AD24" i="11"/>
  <c r="AO23" i="11"/>
  <c r="AG23" i="11" s="1" a="1"/>
  <c r="AG23" i="11" s="1"/>
  <c r="AP23" i="11"/>
  <c r="AQ23" i="11" l="1"/>
  <c r="AR23" i="11"/>
  <c r="AS23" i="11"/>
  <c r="I47" i="13"/>
  <c r="K47" i="13"/>
  <c r="AL24" i="11"/>
  <c r="AM24" i="11" s="1"/>
  <c r="P1" i="13"/>
  <c r="AK24" i="11" a="1"/>
  <c r="AK24" i="11" s="1"/>
  <c r="AN24" i="11" a="1"/>
  <c r="AN24" i="11" s="1"/>
  <c r="AE24" i="11" a="1"/>
  <c r="AE24" i="11" s="1"/>
  <c r="AH24" i="11" s="1" a="1"/>
  <c r="AH24" i="11" s="1"/>
  <c r="AJ24" i="11" a="1"/>
  <c r="AJ24" i="11" s="1"/>
  <c r="AF24" i="11" a="1"/>
  <c r="AF24" i="11" s="1"/>
  <c r="AD25" i="11" a="1"/>
  <c r="AI24" i="11" l="1" a="1"/>
  <c r="AI24" i="11" s="1"/>
  <c r="AD25" i="11"/>
  <c r="AO24" i="11"/>
  <c r="AG24" i="11" s="1" a="1"/>
  <c r="AG24" i="11" s="1"/>
  <c r="AP24" i="11"/>
  <c r="AL25" i="11" l="1"/>
  <c r="AM25" i="11" s="1"/>
  <c r="AR24" i="11"/>
  <c r="AS24" i="11"/>
  <c r="AQ24" i="11"/>
  <c r="U2" i="13"/>
  <c r="R1" i="13"/>
  <c r="AK25" i="11" a="1"/>
  <c r="AK25" i="11" s="1"/>
  <c r="AN25" i="11" a="1"/>
  <c r="AN25" i="11" s="1"/>
  <c r="AJ25" i="11" a="1"/>
  <c r="AJ25" i="11" s="1"/>
  <c r="AF25" i="11" a="1"/>
  <c r="AF25" i="11" s="1"/>
  <c r="AE25" i="11" a="1"/>
  <c r="AE25" i="11" s="1"/>
  <c r="AI25" i="11" s="1" a="1"/>
  <c r="AI25" i="11" s="1"/>
  <c r="AD26" i="11" a="1"/>
  <c r="AH25" i="11" l="1" a="1"/>
  <c r="AH25" i="11" s="1"/>
  <c r="R4" i="13"/>
  <c r="Q6" i="13"/>
  <c r="U7" i="13"/>
  <c r="Q1" i="13"/>
  <c r="U4" i="13"/>
  <c r="S6" i="13"/>
  <c r="U3" i="13"/>
  <c r="R3" i="13"/>
  <c r="R2" i="13"/>
  <c r="R6" i="13"/>
  <c r="V1" i="13"/>
  <c r="U6" i="13"/>
  <c r="AD26" i="11"/>
  <c r="AP25" i="11"/>
  <c r="AO25" i="11"/>
  <c r="AG25" i="11" s="1" a="1"/>
  <c r="AG25" i="11" s="1"/>
  <c r="AQ25" i="11" l="1"/>
  <c r="AR25" i="11"/>
  <c r="AS25" i="11"/>
  <c r="Q7" i="13"/>
  <c r="S7" i="13"/>
  <c r="AL26" i="11"/>
  <c r="AM26" i="11" s="1"/>
  <c r="W1" i="13"/>
  <c r="AK26" i="11" a="1"/>
  <c r="AK26" i="11" s="1"/>
  <c r="AN26" i="11" a="1"/>
  <c r="AN26" i="11" s="1"/>
  <c r="AE26" i="11" a="1"/>
  <c r="AE26" i="11" s="1"/>
  <c r="AF26" i="11" a="1"/>
  <c r="AF26" i="11" s="1"/>
  <c r="AJ26" i="11" a="1"/>
  <c r="AJ26" i="11" s="1"/>
  <c r="AD27" i="11" a="1"/>
  <c r="AI26" i="11" l="1" a="1"/>
  <c r="AI26" i="11" s="1"/>
  <c r="AH26" i="11" a="1"/>
  <c r="AH26" i="11" s="1"/>
  <c r="AD27" i="11"/>
  <c r="AP26" i="11"/>
  <c r="AO26" i="11"/>
  <c r="AG26" i="11" s="1" a="1"/>
  <c r="AG26" i="11" s="1"/>
  <c r="AL27" i="11" l="1"/>
  <c r="AS26" i="11"/>
  <c r="AQ26" i="11"/>
  <c r="AR26" i="11"/>
  <c r="Y1" i="13"/>
  <c r="AB2" i="13"/>
  <c r="AM27" i="11"/>
  <c r="AJ27" i="11" a="1"/>
  <c r="AJ27" i="11" s="1"/>
  <c r="AE27" i="11" a="1"/>
  <c r="AE27" i="11" s="1"/>
  <c r="AH27" i="11" s="1" a="1"/>
  <c r="AH27" i="11" s="1"/>
  <c r="AF27" i="11" a="1"/>
  <c r="AF27" i="11" s="1"/>
  <c r="AN27" i="11" a="1"/>
  <c r="AN27" i="11" s="1"/>
  <c r="AK27" i="11" a="1"/>
  <c r="AK27" i="11" s="1"/>
  <c r="AD28" i="11" a="1"/>
  <c r="AI27" i="11" l="1" a="1"/>
  <c r="AI27" i="11" s="1"/>
  <c r="AB3" i="13"/>
  <c r="Z6" i="13"/>
  <c r="AB7" i="13"/>
  <c r="X6" i="13"/>
  <c r="X1" i="13"/>
  <c r="Y3" i="13"/>
  <c r="AC1" i="13"/>
  <c r="Y2" i="13"/>
  <c r="Y4" i="13"/>
  <c r="Y6" i="13"/>
  <c r="AB4" i="13"/>
  <c r="AB6" i="13"/>
  <c r="AD28" i="11"/>
  <c r="AO27" i="11"/>
  <c r="AG27" i="11" s="1" a="1"/>
  <c r="AG27" i="11" s="1"/>
  <c r="AP27" i="11"/>
  <c r="AQ27" i="11" l="1"/>
  <c r="AR27" i="11"/>
  <c r="AS27" i="11"/>
  <c r="Z7" i="13"/>
  <c r="X7" i="13"/>
  <c r="AL28" i="11"/>
  <c r="AM28" i="11" s="1"/>
  <c r="P9" i="13"/>
  <c r="AK28" i="11" a="1"/>
  <c r="AK28" i="11" s="1"/>
  <c r="AE28" i="11" a="1"/>
  <c r="AE28" i="11" s="1"/>
  <c r="AH28" i="11" s="1" a="1"/>
  <c r="AH28" i="11" s="1"/>
  <c r="AJ28" i="11" a="1"/>
  <c r="AJ28" i="11" s="1"/>
  <c r="AN28" i="11" a="1"/>
  <c r="AN28" i="11" s="1"/>
  <c r="AF28" i="11" a="1"/>
  <c r="AF28" i="11" s="1"/>
  <c r="AD29" i="11" a="1"/>
  <c r="AI28" i="11" l="1" a="1"/>
  <c r="AI28" i="11" s="1"/>
  <c r="R9" i="13"/>
  <c r="U10" i="13"/>
  <c r="AD29" i="11"/>
  <c r="AO28" i="11"/>
  <c r="AG28" i="11" s="1" a="1"/>
  <c r="AG28" i="11" s="1"/>
  <c r="AP28" i="11"/>
  <c r="AL29" i="11" l="1"/>
  <c r="AQ28" i="11"/>
  <c r="AR28" i="11"/>
  <c r="AS28" i="11"/>
  <c r="R12" i="13"/>
  <c r="U14" i="13"/>
  <c r="S15" i="13"/>
  <c r="U12" i="13"/>
  <c r="S14" i="13"/>
  <c r="V9" i="13"/>
  <c r="Q9" i="13"/>
  <c r="U11" i="13"/>
  <c r="U15" i="13"/>
  <c r="Q14" i="13"/>
  <c r="Q15" i="13"/>
  <c r="R10" i="13"/>
  <c r="R14" i="13"/>
  <c r="R11" i="13"/>
  <c r="AF29" i="11" a="1"/>
  <c r="AF29" i="11" s="1"/>
  <c r="AK29" i="11" a="1"/>
  <c r="AK29" i="11" s="1"/>
  <c r="AN29" i="11" a="1"/>
  <c r="AN29" i="11" s="1"/>
  <c r="AE29" i="11" a="1"/>
  <c r="AE29" i="11" s="1"/>
  <c r="AI29" i="11" s="1" a="1"/>
  <c r="AI29" i="11" s="1"/>
  <c r="AJ29" i="11" a="1"/>
  <c r="AJ29" i="11" s="1"/>
  <c r="AM29" i="11"/>
  <c r="AD30" i="11" a="1"/>
  <c r="AH29" i="11" l="1" a="1"/>
  <c r="AH29" i="11" s="1"/>
  <c r="AD30" i="11"/>
  <c r="AP29" i="11"/>
  <c r="AO29" i="11"/>
  <c r="AG29" i="11" s="1" a="1"/>
  <c r="AG29" i="11" s="1"/>
  <c r="AS29" i="11" l="1"/>
  <c r="AR29" i="11"/>
  <c r="AQ29" i="11"/>
  <c r="AL30" i="11"/>
  <c r="AM30" i="11" s="1"/>
  <c r="W9" i="13"/>
  <c r="AE30" i="11" a="1"/>
  <c r="AE30" i="11" s="1"/>
  <c r="AH30" i="11" s="1" a="1"/>
  <c r="AH30" i="11" s="1"/>
  <c r="AJ30" i="11" a="1"/>
  <c r="AJ30" i="11" s="1"/>
  <c r="AN30" i="11" a="1"/>
  <c r="AN30" i="11" s="1"/>
  <c r="AK30" i="11" a="1"/>
  <c r="AK30" i="11" s="1"/>
  <c r="AF30" i="11" a="1"/>
  <c r="AF30" i="11" s="1"/>
  <c r="AD31" i="11" a="1"/>
  <c r="AI30" i="11" l="1" a="1"/>
  <c r="AI30" i="11" s="1"/>
  <c r="AD31" i="11"/>
  <c r="AP30" i="11"/>
  <c r="AO30" i="11"/>
  <c r="AG30" i="11" s="1" a="1"/>
  <c r="AG30" i="11" s="1"/>
  <c r="AL31" i="11" l="1"/>
  <c r="AQ30" i="11"/>
  <c r="AR30" i="11"/>
  <c r="AS30" i="11"/>
  <c r="Y9" i="13"/>
  <c r="AB12" i="13" s="1"/>
  <c r="AB10" i="13"/>
  <c r="AN31" i="11" a="1"/>
  <c r="AN31" i="11" s="1"/>
  <c r="AE31" i="11" a="1"/>
  <c r="AE31" i="11" s="1"/>
  <c r="AM31" i="11"/>
  <c r="AJ31" i="11" a="1"/>
  <c r="AJ31" i="11" s="1"/>
  <c r="AF31" i="11" a="1"/>
  <c r="AF31" i="11" s="1"/>
  <c r="AK31" i="11" a="1"/>
  <c r="AK31" i="11" s="1"/>
  <c r="AD32" i="11" a="1"/>
  <c r="AI31" i="11" l="1" a="1"/>
  <c r="AI31" i="11" s="1"/>
  <c r="AH31" i="11" a="1"/>
  <c r="AH31" i="11" s="1"/>
  <c r="AC9" i="13"/>
  <c r="AB14" i="13"/>
  <c r="Z14" i="13"/>
  <c r="X14" i="13"/>
  <c r="X9" i="13"/>
  <c r="Y11" i="13"/>
  <c r="X15" i="13"/>
  <c r="Z15" i="13"/>
  <c r="AB15" i="13"/>
  <c r="Y10" i="13"/>
  <c r="AB11" i="13"/>
  <c r="Y12" i="13"/>
  <c r="Y14" i="13"/>
  <c r="AD32" i="11"/>
  <c r="AP31" i="11"/>
  <c r="AO31" i="11"/>
  <c r="AG31" i="11" s="1" a="1"/>
  <c r="AG31" i="11" s="1"/>
  <c r="AQ31" i="11" l="1"/>
  <c r="AR31" i="11"/>
  <c r="AS31" i="11"/>
  <c r="AL32" i="11"/>
  <c r="AM32" i="11" s="1"/>
  <c r="P17" i="13"/>
  <c r="AN32" i="11" a="1"/>
  <c r="AN32" i="11" s="1"/>
  <c r="AJ32" i="11" a="1"/>
  <c r="AJ32" i="11" s="1"/>
  <c r="AE32" i="11" a="1"/>
  <c r="AE32" i="11" s="1"/>
  <c r="AH32" i="11" s="1" a="1"/>
  <c r="AH32" i="11" s="1"/>
  <c r="AK32" i="11" a="1"/>
  <c r="AK32" i="11" s="1"/>
  <c r="AF32" i="11" a="1"/>
  <c r="AF32" i="11" s="1"/>
  <c r="AD33" i="11" a="1"/>
  <c r="AI32" i="11" l="1" a="1"/>
  <c r="AI32" i="11" s="1"/>
  <c r="AD33" i="11"/>
  <c r="AO32" i="11"/>
  <c r="AG32" i="11" s="1" a="1"/>
  <c r="AG32" i="11" s="1"/>
  <c r="AP32" i="11"/>
  <c r="AL33" i="11" l="1"/>
  <c r="AM33" i="11" s="1"/>
  <c r="AR32" i="11"/>
  <c r="AS32" i="11"/>
  <c r="AQ32" i="11"/>
  <c r="U18" i="13"/>
  <c r="R17" i="13"/>
  <c r="AN33" i="11" a="1"/>
  <c r="AN33" i="11" s="1"/>
  <c r="AF33" i="11" a="1"/>
  <c r="AF33" i="11" s="1"/>
  <c r="AK33" i="11" a="1"/>
  <c r="AK33" i="11" s="1"/>
  <c r="AE33" i="11" a="1"/>
  <c r="AE33" i="11" s="1"/>
  <c r="AI33" i="11" s="1" a="1"/>
  <c r="AI33" i="11" s="1"/>
  <c r="AJ33" i="11" a="1"/>
  <c r="AJ33" i="11" s="1"/>
  <c r="AD34" i="11" a="1"/>
  <c r="AH33" i="11" l="1" a="1"/>
  <c r="AH33" i="11" s="1"/>
  <c r="S23" i="13"/>
  <c r="Q17" i="13"/>
  <c r="Q23" i="13"/>
  <c r="U19" i="13"/>
  <c r="U20" i="13"/>
  <c r="R22" i="13"/>
  <c r="U23" i="13"/>
  <c r="S22" i="13"/>
  <c r="V17" i="13"/>
  <c r="U22" i="13"/>
  <c r="R20" i="13"/>
  <c r="R19" i="13"/>
  <c r="Q22" i="13"/>
  <c r="R18" i="13"/>
  <c r="AD34" i="11"/>
  <c r="AP33" i="11"/>
  <c r="AO33" i="11"/>
  <c r="AG33" i="11" s="1" a="1"/>
  <c r="AG33" i="11" s="1"/>
  <c r="AQ33" i="11" l="1"/>
  <c r="AR33" i="11"/>
  <c r="AS33" i="11"/>
  <c r="AL34" i="11"/>
  <c r="AM34" i="11" s="1"/>
  <c r="W17" i="13"/>
  <c r="AK34" i="11" a="1"/>
  <c r="AK34" i="11" s="1"/>
  <c r="AN34" i="11" a="1"/>
  <c r="AN34" i="11" s="1"/>
  <c r="AJ34" i="11" a="1"/>
  <c r="AJ34" i="11" s="1"/>
  <c r="AE34" i="11" a="1"/>
  <c r="AE34" i="11" s="1"/>
  <c r="AF34" i="11" a="1"/>
  <c r="AF34" i="11" s="1"/>
  <c r="AD35" i="11" a="1"/>
  <c r="AI34" i="11" l="1" a="1"/>
  <c r="AI34" i="11" s="1"/>
  <c r="AH34" i="11" a="1"/>
  <c r="AH34" i="11" s="1"/>
  <c r="AD35" i="11"/>
  <c r="AO34" i="11"/>
  <c r="AG34" i="11" s="1" a="1"/>
  <c r="AG34" i="11" s="1"/>
  <c r="AP34" i="11"/>
  <c r="AL35" i="11" l="1"/>
  <c r="AM35" i="11" s="1"/>
  <c r="AQ34" i="11"/>
  <c r="AS34" i="11"/>
  <c r="AR34" i="11"/>
  <c r="AB18" i="13"/>
  <c r="Y17" i="13"/>
  <c r="AJ35" i="11" a="1"/>
  <c r="AJ35" i="11" s="1"/>
  <c r="AF35" i="11" a="1"/>
  <c r="AF35" i="11" s="1"/>
  <c r="AK35" i="11" a="1"/>
  <c r="AK35" i="11" s="1"/>
  <c r="AN35" i="11" a="1"/>
  <c r="AN35" i="11" s="1"/>
  <c r="AE35" i="11" a="1"/>
  <c r="AE35" i="11" s="1"/>
  <c r="AD36" i="11" a="1"/>
  <c r="AI35" i="11" l="1" a="1"/>
  <c r="AI35" i="11" s="1"/>
  <c r="AH35" i="11" a="1"/>
  <c r="AH35" i="11" s="1"/>
  <c r="X22" i="13"/>
  <c r="Z22" i="13"/>
  <c r="Z23" i="13"/>
  <c r="Y18" i="13"/>
  <c r="AB22" i="13"/>
  <c r="X17" i="13"/>
  <c r="AB23" i="13"/>
  <c r="AB19" i="13"/>
  <c r="Y22" i="13"/>
  <c r="AB20" i="13"/>
  <c r="Y19" i="13"/>
  <c r="Y20" i="13"/>
  <c r="AC17" i="13"/>
  <c r="X23" i="13"/>
  <c r="AD36" i="11"/>
  <c r="AP35" i="11"/>
  <c r="AO35" i="11"/>
  <c r="AG35" i="11" s="1" a="1"/>
  <c r="AG35" i="11" s="1"/>
  <c r="AQ35" i="11" l="1"/>
  <c r="AR35" i="11"/>
  <c r="AS35" i="11"/>
  <c r="AL36" i="11"/>
  <c r="AM36" i="11" s="1"/>
  <c r="P25" i="13"/>
  <c r="AJ36" i="11" a="1"/>
  <c r="AJ36" i="11" s="1"/>
  <c r="AF36" i="11" a="1"/>
  <c r="AF36" i="11" s="1"/>
  <c r="AK36" i="11" a="1"/>
  <c r="AK36" i="11" s="1"/>
  <c r="AN36" i="11" a="1"/>
  <c r="AN36" i="11" s="1"/>
  <c r="AE36" i="11" a="1"/>
  <c r="AE36" i="11" s="1"/>
  <c r="AH36" i="11" s="1" a="1"/>
  <c r="AH36" i="11" s="1"/>
  <c r="AD37" i="11" a="1"/>
  <c r="AI36" i="11" l="1" a="1"/>
  <c r="AI36" i="11" s="1"/>
  <c r="AD37" i="11"/>
  <c r="AO36" i="11"/>
  <c r="AG36" i="11" s="1" a="1"/>
  <c r="AG36" i="11" s="1"/>
  <c r="AP36" i="11"/>
  <c r="AL37" i="11" l="1"/>
  <c r="AM37" i="11" s="1"/>
  <c r="AQ36" i="11"/>
  <c r="AR36" i="11"/>
  <c r="AS36" i="11"/>
  <c r="U26" i="13"/>
  <c r="R25" i="13"/>
  <c r="AJ37" i="11" a="1"/>
  <c r="AJ37" i="11" s="1"/>
  <c r="AK37" i="11" a="1"/>
  <c r="AK37" i="11" s="1"/>
  <c r="AF37" i="11" a="1"/>
  <c r="AF37" i="11" s="1"/>
  <c r="AN37" i="11" a="1"/>
  <c r="AN37" i="11" s="1"/>
  <c r="AE37" i="11" a="1"/>
  <c r="AE37" i="11" s="1"/>
  <c r="AI37" i="11" s="1" a="1"/>
  <c r="AI37" i="11" s="1"/>
  <c r="AD38" i="11" a="1"/>
  <c r="AH37" i="11" l="1" a="1"/>
  <c r="AH37" i="11" s="1"/>
  <c r="R28" i="13"/>
  <c r="S31" i="13"/>
  <c r="R30" i="13"/>
  <c r="V25" i="13"/>
  <c r="U30" i="13"/>
  <c r="U27" i="13"/>
  <c r="Q31" i="13"/>
  <c r="R27" i="13"/>
  <c r="S30" i="13"/>
  <c r="U31" i="13"/>
  <c r="R26" i="13"/>
  <c r="Q30" i="13"/>
  <c r="U28" i="13"/>
  <c r="Q25" i="13"/>
  <c r="AD38" i="11"/>
  <c r="AP37" i="11"/>
  <c r="AO37" i="11"/>
  <c r="AG37" i="11" s="1" a="1"/>
  <c r="AG37" i="11" s="1"/>
  <c r="AS37" i="11" l="1"/>
  <c r="AR37" i="11"/>
  <c r="AQ37" i="11"/>
  <c r="AL38" i="11"/>
  <c r="AM38" i="11" s="1"/>
  <c r="W25" i="13"/>
  <c r="AN38" i="11" a="1"/>
  <c r="AN38" i="11" s="1"/>
  <c r="AJ38" i="11" a="1"/>
  <c r="AJ38" i="11" s="1"/>
  <c r="AK38" i="11" a="1"/>
  <c r="AK38" i="11" s="1"/>
  <c r="AF38" i="11" a="1"/>
  <c r="AF38" i="11" s="1"/>
  <c r="AE38" i="11" a="1"/>
  <c r="AE38" i="11" s="1"/>
  <c r="AI38" i="11" s="1" a="1"/>
  <c r="AI38" i="11" s="1"/>
  <c r="AD39" i="11" a="1"/>
  <c r="AH38" i="11" l="1" a="1"/>
  <c r="AH38" i="11" s="1"/>
  <c r="AD39" i="11"/>
  <c r="AP38" i="11"/>
  <c r="AO38" i="11"/>
  <c r="AG38" i="11" s="1" a="1"/>
  <c r="AG38" i="11" s="1"/>
  <c r="AL39" i="11" l="1"/>
  <c r="AM39" i="11" s="1"/>
  <c r="AQ38" i="11"/>
  <c r="AR38" i="11"/>
  <c r="AS38" i="11"/>
  <c r="Y25" i="13"/>
  <c r="AB26" i="13"/>
  <c r="AF39" i="11" a="1"/>
  <c r="AF39" i="11" s="1"/>
  <c r="AN39" i="11" a="1"/>
  <c r="AN39" i="11" s="1"/>
  <c r="AE39" i="11" a="1"/>
  <c r="AE39" i="11" s="1"/>
  <c r="AH39" i="11" s="1" a="1"/>
  <c r="AH39" i="11" s="1"/>
  <c r="AK39" i="11" a="1"/>
  <c r="AK39" i="11" s="1"/>
  <c r="AJ39" i="11" a="1"/>
  <c r="AJ39" i="11" s="1"/>
  <c r="AD40" i="11" a="1"/>
  <c r="AI39" i="11" l="1" a="1"/>
  <c r="AI39" i="11" s="1"/>
  <c r="AB27" i="13"/>
  <c r="X30" i="13"/>
  <c r="AC25" i="13"/>
  <c r="AB30" i="13"/>
  <c r="Y30" i="13"/>
  <c r="AB31" i="13"/>
  <c r="Z31" i="13"/>
  <c r="X31" i="13"/>
  <c r="Z30" i="13"/>
  <c r="Y26" i="13"/>
  <c r="Y27" i="13"/>
  <c r="X25" i="13"/>
  <c r="Y28" i="13"/>
  <c r="AB28" i="13"/>
  <c r="AD40" i="11"/>
  <c r="AP39" i="11"/>
  <c r="AO39" i="11"/>
  <c r="AG39" i="11" s="1" a="1"/>
  <c r="AG39" i="11" s="1"/>
  <c r="AQ39" i="11" l="1"/>
  <c r="AR39" i="11"/>
  <c r="AS39" i="11"/>
  <c r="AL40" i="11"/>
  <c r="AM40" i="11" s="1"/>
  <c r="P33" i="13"/>
  <c r="AK40" i="11" a="1"/>
  <c r="AK40" i="11" s="1"/>
  <c r="AJ40" i="11" a="1"/>
  <c r="AJ40" i="11" s="1"/>
  <c r="AE40" i="11" a="1"/>
  <c r="AE40" i="11" s="1"/>
  <c r="AH40" i="11" s="1" a="1"/>
  <c r="AH40" i="11" s="1"/>
  <c r="AF40" i="11" a="1"/>
  <c r="AF40" i="11" s="1"/>
  <c r="AN40" i="11" a="1"/>
  <c r="AN40" i="11" s="1"/>
  <c r="AD41" i="11" a="1"/>
  <c r="AI40" i="11" l="1" a="1"/>
  <c r="AI40" i="11" s="1"/>
  <c r="AD41" i="11"/>
  <c r="AP40" i="11"/>
  <c r="AO40" i="11"/>
  <c r="AG40" i="11" s="1" a="1"/>
  <c r="AG40" i="11" s="1"/>
  <c r="AL41" i="11" l="1"/>
  <c r="AM41" i="11" s="1"/>
  <c r="AR40" i="11"/>
  <c r="AS40" i="11"/>
  <c r="AQ40" i="11"/>
  <c r="R33" i="13"/>
  <c r="U34" i="13"/>
  <c r="AE41" i="11" a="1"/>
  <c r="AE41" i="11" s="1"/>
  <c r="AI41" i="11" s="1" a="1"/>
  <c r="AI41" i="11" s="1"/>
  <c r="AK41" i="11" a="1"/>
  <c r="AK41" i="11" s="1"/>
  <c r="AN41" i="11" a="1"/>
  <c r="AN41" i="11" s="1"/>
  <c r="AJ41" i="11" a="1"/>
  <c r="AJ41" i="11" s="1"/>
  <c r="AF41" i="11" a="1"/>
  <c r="AF41" i="11" s="1"/>
  <c r="AD42" i="11" a="1"/>
  <c r="AH41" i="11" l="1" a="1"/>
  <c r="AH41" i="11" s="1"/>
  <c r="R35" i="13"/>
  <c r="Q33" i="13"/>
  <c r="R38" i="13"/>
  <c r="S39" i="13"/>
  <c r="U36" i="13"/>
  <c r="Q39" i="13"/>
  <c r="V33" i="13"/>
  <c r="U35" i="13"/>
  <c r="R36" i="13"/>
  <c r="S38" i="13"/>
  <c r="U38" i="13"/>
  <c r="U39" i="13"/>
  <c r="Q38" i="13"/>
  <c r="R34" i="13"/>
  <c r="AD42" i="11"/>
  <c r="AP41" i="11"/>
  <c r="AO41" i="11"/>
  <c r="AG41" i="11" s="1" a="1"/>
  <c r="AG41" i="11" s="1"/>
  <c r="AQ41" i="11" l="1"/>
  <c r="AR41" i="11"/>
  <c r="AS41" i="11"/>
  <c r="AL42" i="11"/>
  <c r="AM42" i="11" s="1"/>
  <c r="W33" i="13"/>
  <c r="AK42" i="11" a="1"/>
  <c r="AK42" i="11" s="1"/>
  <c r="AN42" i="11" a="1"/>
  <c r="AN42" i="11" s="1"/>
  <c r="AE42" i="11" a="1"/>
  <c r="AE42" i="11" s="1"/>
  <c r="AI42" i="11" s="1" a="1"/>
  <c r="AI42" i="11" s="1"/>
  <c r="AJ42" i="11" a="1"/>
  <c r="AJ42" i="11" s="1"/>
  <c r="AF42" i="11" a="1"/>
  <c r="AF42" i="11" s="1"/>
  <c r="AD43" i="11" a="1"/>
  <c r="AH42" i="11" l="1" a="1"/>
  <c r="AH42" i="11" s="1"/>
  <c r="AD43" i="11"/>
  <c r="AP42" i="11"/>
  <c r="AO42" i="11"/>
  <c r="AG42" i="11" s="1" a="1"/>
  <c r="AG42" i="11" s="1"/>
  <c r="AL43" i="11" l="1"/>
  <c r="AM43" i="11" s="1"/>
  <c r="AQ42" i="11"/>
  <c r="AS42" i="11"/>
  <c r="AR42" i="11"/>
  <c r="AB34" i="13"/>
  <c r="Y33" i="13"/>
  <c r="AE43" i="11" a="1"/>
  <c r="AE43" i="11" s="1"/>
  <c r="AH43" i="11" s="1" a="1"/>
  <c r="AH43" i="11" s="1"/>
  <c r="AK43" i="11" a="1"/>
  <c r="AK43" i="11" s="1"/>
  <c r="AF43" i="11" a="1"/>
  <c r="AF43" i="11" s="1"/>
  <c r="AJ43" i="11" a="1"/>
  <c r="AJ43" i="11" s="1"/>
  <c r="AN43" i="11" a="1"/>
  <c r="AN43" i="11" s="1"/>
  <c r="AD44" i="11" a="1"/>
  <c r="AI43" i="11" l="1" a="1"/>
  <c r="AI43" i="11" s="1"/>
  <c r="AC33" i="13"/>
  <c r="AB38" i="13"/>
  <c r="Y36" i="13"/>
  <c r="X39" i="13"/>
  <c r="Y38" i="13"/>
  <c r="Z39" i="13"/>
  <c r="AB35" i="13"/>
  <c r="Y34" i="13"/>
  <c r="X38" i="13"/>
  <c r="AB39" i="13"/>
  <c r="X33" i="13"/>
  <c r="Z38" i="13"/>
  <c r="AB36" i="13"/>
  <c r="Y35" i="13"/>
  <c r="AD44" i="11"/>
  <c r="AO43" i="11"/>
  <c r="AG43" i="11" s="1" a="1"/>
  <c r="AG43" i="11" s="1"/>
  <c r="AP43" i="11"/>
  <c r="AQ43" i="11" l="1"/>
  <c r="AR43" i="11"/>
  <c r="AS43" i="11"/>
  <c r="AL44" i="11"/>
  <c r="AM44" i="11" s="1"/>
  <c r="P41" i="13"/>
  <c r="AF44" i="11" a="1"/>
  <c r="AF44" i="11" s="1"/>
  <c r="AE44" i="11" a="1"/>
  <c r="AE44" i="11" s="1"/>
  <c r="AH44" i="11" s="1" a="1"/>
  <c r="AH44" i="11" s="1"/>
  <c r="AJ44" i="11" a="1"/>
  <c r="AJ44" i="11" s="1"/>
  <c r="AK44" i="11" a="1"/>
  <c r="AK44" i="11" s="1"/>
  <c r="AN44" i="11" a="1"/>
  <c r="AN44" i="11" s="1"/>
  <c r="AD45" i="11" a="1"/>
  <c r="AI44" i="11" l="1" a="1"/>
  <c r="AI44" i="11" s="1"/>
  <c r="AD45" i="11"/>
  <c r="AO44" i="11"/>
  <c r="AG44" i="11" s="1" a="1"/>
  <c r="AG44" i="11" s="1"/>
  <c r="AP44" i="11"/>
  <c r="AL45" i="11" l="1"/>
  <c r="AM45" i="11" s="1"/>
  <c r="AQ44" i="11"/>
  <c r="AR44" i="11"/>
  <c r="AS44" i="11"/>
  <c r="U42" i="13"/>
  <c r="R41" i="13"/>
  <c r="AE45" i="11" a="1"/>
  <c r="AE45" i="11" s="1"/>
  <c r="AI45" i="11" s="1" a="1"/>
  <c r="AI45" i="11" s="1"/>
  <c r="AJ45" i="11" a="1"/>
  <c r="AJ45" i="11" s="1"/>
  <c r="AF45" i="11" a="1"/>
  <c r="AF45" i="11" s="1"/>
  <c r="AN45" i="11" a="1"/>
  <c r="AN45" i="11" s="1"/>
  <c r="AK45" i="11" a="1"/>
  <c r="AK45" i="11" s="1"/>
  <c r="AD46" i="11" a="1"/>
  <c r="AH45" i="11" l="1" a="1"/>
  <c r="AH45" i="11" s="1"/>
  <c r="R46" i="13"/>
  <c r="S47" i="13"/>
  <c r="R42" i="13"/>
  <c r="R44" i="13"/>
  <c r="R43" i="13"/>
  <c r="V41" i="13"/>
  <c r="U44" i="13"/>
  <c r="Q41" i="13"/>
  <c r="U47" i="13"/>
  <c r="Q47" i="13"/>
  <c r="U46" i="13"/>
  <c r="U43" i="13"/>
  <c r="Q46" i="13"/>
  <c r="S46" i="13"/>
  <c r="AD46" i="11"/>
  <c r="AO45" i="11"/>
  <c r="AG45" i="11" s="1" a="1"/>
  <c r="AG45" i="11" s="1"/>
  <c r="AP45" i="11"/>
  <c r="AS45" i="11" l="1"/>
  <c r="AR45" i="11"/>
  <c r="AQ45" i="11"/>
  <c r="AL46" i="11"/>
  <c r="AM46" i="11" s="1"/>
  <c r="W41" i="13"/>
  <c r="AN46" i="11" a="1"/>
  <c r="AN46" i="11" s="1"/>
  <c r="AK46" i="11" a="1"/>
  <c r="AK46" i="11" s="1"/>
  <c r="AJ46" i="11" a="1"/>
  <c r="AJ46" i="11" s="1"/>
  <c r="AF46" i="11" a="1"/>
  <c r="AF46" i="11" s="1"/>
  <c r="AE46" i="11" a="1"/>
  <c r="AE46" i="11" s="1"/>
  <c r="AD47" i="11" a="1"/>
  <c r="AI46" i="11" l="1" a="1"/>
  <c r="AI46" i="11" s="1"/>
  <c r="AH46" i="11" a="1"/>
  <c r="AH46" i="11" s="1"/>
  <c r="AD47" i="11"/>
  <c r="AP46" i="11"/>
  <c r="AO46" i="11"/>
  <c r="AG46" i="11" s="1" a="1"/>
  <c r="AG46" i="11" s="1"/>
  <c r="AL47" i="11" l="1"/>
  <c r="AQ46" i="11"/>
  <c r="AR46" i="11"/>
  <c r="AS46" i="11"/>
  <c r="AB42" i="13"/>
  <c r="Y41" i="13"/>
  <c r="AB46" i="13" s="1"/>
  <c r="AJ47" i="11" a="1"/>
  <c r="AJ47" i="11" s="1"/>
  <c r="AM47" i="11"/>
  <c r="AN47" i="11" a="1"/>
  <c r="AN47" i="11" s="1"/>
  <c r="AF47" i="11" a="1"/>
  <c r="AF47" i="11" s="1"/>
  <c r="AE47" i="11" a="1"/>
  <c r="AE47" i="11" s="1"/>
  <c r="AK47" i="11" a="1"/>
  <c r="AK47" i="11" s="1"/>
  <c r="AD48" i="11" a="1"/>
  <c r="AI47" i="11" l="1" a="1"/>
  <c r="AI47" i="11" s="1"/>
  <c r="AH47" i="11" a="1"/>
  <c r="AH47" i="11" s="1"/>
  <c r="X41" i="13"/>
  <c r="Y42" i="13"/>
  <c r="X46" i="13"/>
  <c r="X47" i="13"/>
  <c r="AB43" i="13"/>
  <c r="Y43" i="13"/>
  <c r="AB44" i="13"/>
  <c r="Z47" i="13"/>
  <c r="AC41" i="13"/>
  <c r="Y44" i="13"/>
  <c r="Z46" i="13"/>
  <c r="AB47" i="13"/>
  <c r="Y46" i="13"/>
  <c r="AD48" i="11"/>
  <c r="AO47" i="11"/>
  <c r="AG47" i="11" s="1" a="1"/>
  <c r="AG47" i="11" s="1"/>
  <c r="AP47" i="11"/>
  <c r="AQ47" i="11" l="1"/>
  <c r="AR47" i="11"/>
  <c r="AS47" i="11"/>
  <c r="AL48" i="11"/>
  <c r="AM48" i="11" s="1"/>
  <c r="AE1" i="13"/>
  <c r="AE48" i="11" a="1"/>
  <c r="AE48" i="11" s="1"/>
  <c r="AH48" i="11" s="1" a="1"/>
  <c r="AH48" i="11" s="1"/>
  <c r="AN48" i="11" a="1"/>
  <c r="AN48" i="11" s="1"/>
  <c r="AK48" i="11" a="1"/>
  <c r="AK48" i="11" s="1"/>
  <c r="AJ48" i="11" a="1"/>
  <c r="AJ48" i="11" s="1"/>
  <c r="AF48" i="11" a="1"/>
  <c r="AF48" i="11" s="1"/>
  <c r="AD49" i="11" a="1"/>
  <c r="AI48" i="11" l="1" a="1"/>
  <c r="AI48" i="11" s="1"/>
  <c r="AD49" i="11"/>
  <c r="AP48" i="11"/>
  <c r="AO48" i="11"/>
  <c r="AG48" i="11" s="1" a="1"/>
  <c r="AG48" i="11" s="1"/>
  <c r="AL49" i="11" l="1"/>
  <c r="AM49" i="11" s="1"/>
  <c r="AR48" i="11"/>
  <c r="AS48" i="11"/>
  <c r="AQ48" i="11"/>
  <c r="AG1" i="13"/>
  <c r="AH7" i="13" s="1"/>
  <c r="AJ2" i="13"/>
  <c r="AF49" i="11" a="1"/>
  <c r="AF49" i="11" s="1"/>
  <c r="AJ49" i="11" a="1"/>
  <c r="AJ49" i="11" s="1"/>
  <c r="AK49" i="11" a="1"/>
  <c r="AK49" i="11" s="1"/>
  <c r="AN49" i="11" a="1"/>
  <c r="AN49" i="11" s="1"/>
  <c r="AE49" i="11" a="1"/>
  <c r="AE49" i="11" s="1"/>
  <c r="AI49" i="11" s="1" a="1"/>
  <c r="AI49" i="11" s="1"/>
  <c r="AD50" i="11" a="1"/>
  <c r="AH49" i="11" l="1" a="1"/>
  <c r="AH49" i="11" s="1"/>
  <c r="AG4" i="13"/>
  <c r="AF1" i="13"/>
  <c r="AG3" i="13"/>
  <c r="AK1" i="13"/>
  <c r="AJ6" i="13"/>
  <c r="AF7" i="13"/>
  <c r="AF6" i="13"/>
  <c r="AJ4" i="13"/>
  <c r="AG6" i="13"/>
  <c r="AH6" i="13"/>
  <c r="AJ3" i="13"/>
  <c r="AG2" i="13"/>
  <c r="AJ7" i="13"/>
  <c r="AD50" i="11"/>
  <c r="AP49" i="11"/>
  <c r="AO49" i="11"/>
  <c r="AG49" i="11" s="1" a="1"/>
  <c r="AG49" i="11" s="1"/>
  <c r="AQ49" i="11" l="1"/>
  <c r="AR49" i="11"/>
  <c r="AS49" i="11"/>
  <c r="AL50" i="11"/>
  <c r="AM50" i="11" s="1"/>
  <c r="AL1" i="13"/>
  <c r="AJ50" i="11" a="1"/>
  <c r="AJ50" i="11" s="1"/>
  <c r="AF50" i="11" a="1"/>
  <c r="AF50" i="11" s="1"/>
  <c r="AE50" i="11" a="1"/>
  <c r="AE50" i="11" s="1"/>
  <c r="AK50" i="11" a="1"/>
  <c r="AK50" i="11" s="1"/>
  <c r="AN50" i="11" a="1"/>
  <c r="AN50" i="11" s="1"/>
  <c r="AD51" i="11" a="1"/>
  <c r="AI50" i="11" l="1" a="1"/>
  <c r="AI50" i="11" s="1"/>
  <c r="AH50" i="11" a="1"/>
  <c r="AH50" i="11" s="1"/>
  <c r="AD51" i="11"/>
  <c r="AO50" i="11"/>
  <c r="AG50" i="11" s="1" a="1"/>
  <c r="AG50" i="11" s="1"/>
  <c r="AP50" i="11"/>
  <c r="AL51" i="11" l="1"/>
  <c r="AQ50" i="11"/>
  <c r="AS50" i="11"/>
  <c r="AR50" i="11"/>
  <c r="AQ2" i="13"/>
  <c r="AN1" i="13"/>
  <c r="AM51" i="11"/>
  <c r="AN51" i="11" a="1"/>
  <c r="AN51" i="11" s="1"/>
  <c r="AK51" i="11" a="1"/>
  <c r="AK51" i="11" s="1"/>
  <c r="AE51" i="11" a="1"/>
  <c r="AE51" i="11" s="1"/>
  <c r="AH51" i="11" s="1" a="1"/>
  <c r="AH51" i="11" s="1"/>
  <c r="AF51" i="11" a="1"/>
  <c r="AF51" i="11" s="1"/>
  <c r="AJ51" i="11" a="1"/>
  <c r="AJ51" i="11" s="1"/>
  <c r="AD52" i="11" a="1"/>
  <c r="AI51" i="11" l="1" a="1"/>
  <c r="AI51" i="11" s="1"/>
  <c r="AR1" i="13"/>
  <c r="AQ7" i="13"/>
  <c r="AN6" i="13"/>
  <c r="AN2" i="13"/>
  <c r="AQ3" i="13"/>
  <c r="AM7" i="13"/>
  <c r="AQ6" i="13"/>
  <c r="AN4" i="13"/>
  <c r="AM6" i="13"/>
  <c r="AO7" i="13"/>
  <c r="AN3" i="13"/>
  <c r="AM1" i="13"/>
  <c r="AQ4" i="13"/>
  <c r="AO6" i="13"/>
  <c r="AD52" i="11"/>
  <c r="AO51" i="11"/>
  <c r="AG51" i="11" s="1" a="1"/>
  <c r="AG51" i="11" s="1"/>
  <c r="AP51" i="11"/>
  <c r="AQ51" i="11" l="1"/>
  <c r="AR51" i="11"/>
  <c r="AS51" i="11"/>
  <c r="AL52" i="11"/>
  <c r="AM52" i="11" s="1"/>
  <c r="AE9" i="13"/>
  <c r="AE52" i="11" a="1"/>
  <c r="AE52" i="11" s="1"/>
  <c r="AH52" i="11" s="1" a="1"/>
  <c r="AH52" i="11" s="1"/>
  <c r="AJ52" i="11" a="1"/>
  <c r="AJ52" i="11" s="1"/>
  <c r="AF52" i="11" a="1"/>
  <c r="AF52" i="11" s="1"/>
  <c r="AN52" i="11" a="1"/>
  <c r="AN52" i="11" s="1"/>
  <c r="AK52" i="11" a="1"/>
  <c r="AK52" i="11" s="1"/>
  <c r="AD53" i="11" a="1"/>
  <c r="AI52" i="11" l="1" a="1"/>
  <c r="AI52" i="11" s="1"/>
  <c r="AJ10" i="13"/>
  <c r="AG9" i="13"/>
  <c r="AD53" i="11"/>
  <c r="AP52" i="11"/>
  <c r="AO52" i="11"/>
  <c r="AG52" i="11" s="1" a="1"/>
  <c r="AG52" i="11" s="1"/>
  <c r="AL53" i="11" l="1"/>
  <c r="AQ52" i="11"/>
  <c r="AR52" i="11"/>
  <c r="AS52" i="11"/>
  <c r="AF9" i="13"/>
  <c r="AH14" i="13"/>
  <c r="AJ15" i="13"/>
  <c r="AG11" i="13"/>
  <c r="AF14" i="13"/>
  <c r="AF15" i="13"/>
  <c r="AG14" i="13"/>
  <c r="AK9" i="13"/>
  <c r="AJ12" i="13"/>
  <c r="AG12" i="13"/>
  <c r="AJ11" i="13"/>
  <c r="AG10" i="13"/>
  <c r="AJ14" i="13"/>
  <c r="AH15" i="13"/>
  <c r="AE53" i="11" a="1"/>
  <c r="AE53" i="11" s="1"/>
  <c r="AI53" i="11" s="1" a="1"/>
  <c r="AI53" i="11" s="1"/>
  <c r="AF53" i="11" a="1"/>
  <c r="AF53" i="11" s="1"/>
  <c r="AJ53" i="11" a="1"/>
  <c r="AJ53" i="11" s="1"/>
  <c r="AK53" i="11" a="1"/>
  <c r="AK53" i="11" s="1"/>
  <c r="AM53" i="11"/>
  <c r="AN53" i="11" a="1"/>
  <c r="AN53" i="11" s="1"/>
  <c r="AD54" i="11" a="1"/>
  <c r="AH53" i="11" l="1" a="1"/>
  <c r="AH53" i="11" s="1"/>
  <c r="AD54" i="11"/>
  <c r="AP53" i="11"/>
  <c r="AO53" i="11"/>
  <c r="AG53" i="11" s="1" a="1"/>
  <c r="AG53" i="11" s="1"/>
  <c r="AS53" i="11" l="1"/>
  <c r="AR53" i="11"/>
  <c r="AQ53" i="11"/>
  <c r="AL54" i="11"/>
  <c r="AM54" i="11" s="1"/>
  <c r="AL9" i="13"/>
  <c r="AN54" i="11" a="1"/>
  <c r="AN54" i="11" s="1"/>
  <c r="AJ54" i="11" a="1"/>
  <c r="AJ54" i="11" s="1"/>
  <c r="AK54" i="11" a="1"/>
  <c r="AK54" i="11" s="1"/>
  <c r="AF54" i="11" a="1"/>
  <c r="AF54" i="11" s="1"/>
  <c r="AE54" i="11" a="1"/>
  <c r="AE54" i="11" s="1"/>
  <c r="AH54" i="11" s="1" a="1"/>
  <c r="AH54" i="11" s="1"/>
  <c r="AD55" i="11" a="1"/>
  <c r="AI54" i="11" l="1" a="1"/>
  <c r="AI54" i="11" s="1"/>
  <c r="AD55" i="11"/>
  <c r="AO54" i="11"/>
  <c r="AG54" i="11" s="1" a="1"/>
  <c r="AG54" i="11" s="1"/>
  <c r="AP54" i="11"/>
  <c r="AL55" i="11" l="1"/>
  <c r="AM55" i="11" s="1"/>
  <c r="AQ54" i="11"/>
  <c r="AR54" i="11"/>
  <c r="AS54" i="11"/>
  <c r="AQ10" i="13"/>
  <c r="AN9" i="13"/>
  <c r="AJ55" i="11" a="1"/>
  <c r="AJ55" i="11" s="1"/>
  <c r="AF55" i="11" a="1"/>
  <c r="AF55" i="11" s="1"/>
  <c r="AN55" i="11" a="1"/>
  <c r="AN55" i="11" s="1"/>
  <c r="AK55" i="11" a="1"/>
  <c r="AK55" i="11" s="1"/>
  <c r="AE55" i="11" a="1"/>
  <c r="AE55" i="11" s="1"/>
  <c r="AD56" i="11" a="1"/>
  <c r="AI55" i="11" l="1" a="1"/>
  <c r="AI55" i="11" s="1"/>
  <c r="AH55" i="11" a="1"/>
  <c r="AH55" i="11" s="1"/>
  <c r="AN11" i="13"/>
  <c r="AN10" i="13"/>
  <c r="AM15" i="13"/>
  <c r="AR9" i="13"/>
  <c r="AM9" i="13"/>
  <c r="AQ12" i="13"/>
  <c r="AO15" i="13"/>
  <c r="AQ14" i="13"/>
  <c r="AO14" i="13"/>
  <c r="AN14" i="13"/>
  <c r="AQ11" i="13"/>
  <c r="AM14" i="13"/>
  <c r="AN12" i="13"/>
  <c r="AQ15" i="13"/>
  <c r="AD56" i="11"/>
  <c r="AP55" i="11"/>
  <c r="AO55" i="11"/>
  <c r="AG55" i="11" s="1" a="1"/>
  <c r="AG55" i="11" s="1"/>
  <c r="AQ55" i="11" l="1"/>
  <c r="AR55" i="11"/>
  <c r="AS55" i="11"/>
  <c r="AL56" i="11"/>
  <c r="AM56" i="11" s="1"/>
  <c r="AE17" i="13"/>
  <c r="AJ56" i="11" a="1"/>
  <c r="AJ56" i="11" s="1"/>
  <c r="AE56" i="11" a="1"/>
  <c r="AE56" i="11" s="1"/>
  <c r="AI56" i="11" s="1" a="1"/>
  <c r="AI56" i="11" s="1"/>
  <c r="AN56" i="11" a="1"/>
  <c r="AN56" i="11" s="1"/>
  <c r="AK56" i="11" a="1"/>
  <c r="AK56" i="11" s="1"/>
  <c r="AF56" i="11" a="1"/>
  <c r="AF56" i="11" s="1"/>
  <c r="AD57" i="11" a="1"/>
  <c r="AH56" i="11" l="1" a="1"/>
  <c r="AH56" i="11" s="1"/>
  <c r="AD57" i="11"/>
  <c r="AO56" i="11"/>
  <c r="AG56" i="11" s="1" a="1"/>
  <c r="AG56" i="11" s="1"/>
  <c r="AP56" i="11"/>
  <c r="AL57" i="11" l="1"/>
  <c r="AH57" i="11" a="1"/>
  <c r="AH57" i="11" s="1"/>
  <c r="AR56" i="11"/>
  <c r="AQ56" i="11"/>
  <c r="AS56" i="11"/>
  <c r="AG17" i="13"/>
  <c r="AF22" i="13" s="1"/>
  <c r="AJ18" i="13"/>
  <c r="AM57" i="11"/>
  <c r="AF57" i="11" a="1"/>
  <c r="AF57" i="11" s="1"/>
  <c r="AJ57" i="11" a="1"/>
  <c r="AJ57" i="11" s="1"/>
  <c r="AE57" i="11" a="1"/>
  <c r="AE57" i="11" s="1"/>
  <c r="AI57" i="11" s="1" a="1"/>
  <c r="AI57" i="11" s="1"/>
  <c r="AK57" i="11" a="1"/>
  <c r="AK57" i="11" s="1"/>
  <c r="AN57" i="11" a="1"/>
  <c r="AN57" i="11" s="1"/>
  <c r="AD58" i="11" a="1"/>
  <c r="AH23" i="13" l="1"/>
  <c r="AG22" i="13"/>
  <c r="AH22" i="13"/>
  <c r="AJ20" i="13"/>
  <c r="AG19" i="13"/>
  <c r="AF17" i="13"/>
  <c r="AJ23" i="13"/>
  <c r="AG18" i="13"/>
  <c r="AF23" i="13"/>
  <c r="AJ19" i="13"/>
  <c r="AK17" i="13"/>
  <c r="AJ22" i="13"/>
  <c r="AG20" i="13"/>
  <c r="AD58" i="11"/>
  <c r="AO57" i="11"/>
  <c r="AG57" i="11" s="1" a="1"/>
  <c r="AG57" i="11" s="1"/>
  <c r="AP57" i="11"/>
  <c r="AQ57" i="11" l="1"/>
  <c r="AR57" i="11"/>
  <c r="AS57" i="11"/>
  <c r="AL58" i="11"/>
  <c r="AM58" i="11" s="1"/>
  <c r="AL17" i="13"/>
  <c r="AE58" i="11" a="1"/>
  <c r="AE58" i="11" s="1"/>
  <c r="AF58" i="11" a="1"/>
  <c r="AF58" i="11" s="1"/>
  <c r="AJ58" i="11" a="1"/>
  <c r="AJ58" i="11" s="1"/>
  <c r="AK58" i="11" a="1"/>
  <c r="AK58" i="11" s="1"/>
  <c r="AN58" i="11" a="1"/>
  <c r="AN58" i="11" s="1"/>
  <c r="AD59" i="11" a="1"/>
  <c r="AI58" i="11" l="1" a="1"/>
  <c r="AI58" i="11" s="1"/>
  <c r="AH58" i="11" a="1"/>
  <c r="AH58" i="11" s="1"/>
  <c r="AD59" i="11"/>
  <c r="AP58" i="11"/>
  <c r="AO58" i="11"/>
  <c r="AG58" i="11" s="1" a="1"/>
  <c r="AG58" i="11" s="1"/>
  <c r="AL59" i="11" l="1"/>
  <c r="AH59" i="11" a="1"/>
  <c r="AH59" i="11" s="1"/>
  <c r="AI59" i="11" a="1"/>
  <c r="AI59" i="11" s="1"/>
  <c r="AQ58" i="11"/>
  <c r="AS58" i="11"/>
  <c r="AR58" i="11"/>
  <c r="AN17" i="13"/>
  <c r="AQ18" i="13"/>
  <c r="AE59" i="11" a="1"/>
  <c r="AE59" i="11" s="1"/>
  <c r="AJ59" i="11" a="1"/>
  <c r="AJ59" i="11" s="1"/>
  <c r="AF59" i="11" a="1"/>
  <c r="AF59" i="11" s="1"/>
  <c r="AN59" i="11" a="1"/>
  <c r="AN59" i="11" s="1"/>
  <c r="AK59" i="11" a="1"/>
  <c r="AK59" i="11" s="1"/>
  <c r="AM59" i="11"/>
  <c r="AD60" i="11" a="1"/>
  <c r="AR17" i="13" l="1"/>
  <c r="AM17" i="13"/>
  <c r="AQ22" i="13"/>
  <c r="AN19" i="13"/>
  <c r="AQ23" i="13"/>
  <c r="AO22" i="13"/>
  <c r="AQ19" i="13"/>
  <c r="AN20" i="13"/>
  <c r="AN22" i="13"/>
  <c r="AM23" i="13"/>
  <c r="AN18" i="13"/>
  <c r="AQ20" i="13"/>
  <c r="AM22" i="13"/>
  <c r="AO23" i="13"/>
  <c r="AD60" i="11"/>
  <c r="AP59" i="11"/>
  <c r="AO59" i="11"/>
  <c r="AG59" i="11" s="1" a="1"/>
  <c r="AG59" i="11" s="1"/>
  <c r="AQ59" i="11" l="1"/>
  <c r="AR59" i="11"/>
  <c r="AS59" i="11"/>
  <c r="AL60" i="11"/>
  <c r="AM60" i="11" s="1"/>
  <c r="AE25" i="13"/>
  <c r="AE60" i="11" a="1"/>
  <c r="AE60" i="11" s="1"/>
  <c r="AH60" i="11" s="1" a="1"/>
  <c r="AH60" i="11" s="1"/>
  <c r="AF60" i="11" a="1"/>
  <c r="AF60" i="11" s="1"/>
  <c r="AN60" i="11" a="1"/>
  <c r="AN60" i="11" s="1"/>
  <c r="AJ60" i="11" a="1"/>
  <c r="AJ60" i="11" s="1"/>
  <c r="AK60" i="11" a="1"/>
  <c r="AK60" i="11" s="1"/>
  <c r="AD61" i="11" a="1"/>
  <c r="AI60" i="11" l="1" a="1"/>
  <c r="AI60" i="11" s="1"/>
  <c r="AD61" i="11"/>
  <c r="AO60" i="11"/>
  <c r="AG60" i="11" s="1" a="1"/>
  <c r="AG60" i="11" s="1"/>
  <c r="AP60" i="11"/>
  <c r="AL61" i="11" l="1"/>
  <c r="AQ60" i="11"/>
  <c r="AR60" i="11"/>
  <c r="AS60" i="11"/>
  <c r="AG25" i="13"/>
  <c r="AH31" i="13" s="1"/>
  <c r="AJ26" i="13"/>
  <c r="AJ61" i="11" a="1"/>
  <c r="AJ61" i="11" s="1"/>
  <c r="AF61" i="11" a="1"/>
  <c r="AF61" i="11" s="1"/>
  <c r="AM61" i="11"/>
  <c r="AN61" i="11" a="1"/>
  <c r="AN61" i="11" s="1"/>
  <c r="AK61" i="11" a="1"/>
  <c r="AK61" i="11" s="1"/>
  <c r="AE61" i="11" a="1"/>
  <c r="AE61" i="11" s="1"/>
  <c r="AI61" i="11" s="1" a="1"/>
  <c r="AI61" i="11" s="1"/>
  <c r="AD62" i="11" a="1"/>
  <c r="AH61" i="11" l="1" a="1"/>
  <c r="AH61" i="11" s="1"/>
  <c r="AG26" i="13"/>
  <c r="AG27" i="13"/>
  <c r="AJ27" i="13"/>
  <c r="AJ28" i="13"/>
  <c r="AJ30" i="13"/>
  <c r="AH30" i="13"/>
  <c r="AK25" i="13"/>
  <c r="AF30" i="13"/>
  <c r="AG28" i="13"/>
  <c r="AG30" i="13"/>
  <c r="AF31" i="13"/>
  <c r="AF25" i="13"/>
  <c r="AJ31" i="13"/>
  <c r="AD62" i="11"/>
  <c r="AO61" i="11"/>
  <c r="AG61" i="11" s="1" a="1"/>
  <c r="AG61" i="11" s="1"/>
  <c r="AP61" i="11"/>
  <c r="AS61" i="11" l="1"/>
  <c r="AR61" i="11"/>
  <c r="AQ61" i="11"/>
  <c r="AL62" i="11"/>
  <c r="AM62" i="11" s="1"/>
  <c r="AL25" i="13"/>
  <c r="AF62" i="11" a="1"/>
  <c r="AF62" i="11" s="1"/>
  <c r="AJ62" i="11" a="1"/>
  <c r="AJ62" i="11" s="1"/>
  <c r="AN62" i="11" a="1"/>
  <c r="AN62" i="11" s="1"/>
  <c r="AE62" i="11" a="1"/>
  <c r="AE62" i="11" s="1"/>
  <c r="AI62" i="11" s="1" a="1"/>
  <c r="AI62" i="11" s="1"/>
  <c r="AK62" i="11" a="1"/>
  <c r="AK62" i="11" s="1"/>
  <c r="AD63" i="11" a="1"/>
  <c r="AH62" i="11" l="1" a="1"/>
  <c r="AH62" i="11" s="1"/>
  <c r="AD63" i="11"/>
  <c r="AO62" i="11"/>
  <c r="AG62" i="11" s="1" a="1"/>
  <c r="AG62" i="11" s="1"/>
  <c r="AP62" i="11"/>
  <c r="AL63" i="11" l="1"/>
  <c r="AQ62" i="11"/>
  <c r="AR62" i="11"/>
  <c r="AS62" i="11"/>
  <c r="AN25" i="13"/>
  <c r="AQ26" i="13"/>
  <c r="AK63" i="11" a="1"/>
  <c r="AK63" i="11" s="1"/>
  <c r="AE63" i="11" a="1"/>
  <c r="AE63" i="11" s="1"/>
  <c r="AH63" i="11" s="1" a="1"/>
  <c r="AH63" i="11" s="1"/>
  <c r="AJ63" i="11" a="1"/>
  <c r="AJ63" i="11" s="1"/>
  <c r="AN63" i="11" a="1"/>
  <c r="AN63" i="11" s="1"/>
  <c r="AF63" i="11" a="1"/>
  <c r="AF63" i="11" s="1"/>
  <c r="AM63" i="11"/>
  <c r="AD64" i="11" a="1"/>
  <c r="AI63" i="11" l="1" a="1"/>
  <c r="AI63" i="11" s="1"/>
  <c r="AN27" i="13"/>
  <c r="AM31" i="13"/>
  <c r="AM30" i="13"/>
  <c r="AQ28" i="13"/>
  <c r="AN30" i="13"/>
  <c r="AQ30" i="13"/>
  <c r="AQ31" i="13"/>
  <c r="AO31" i="13"/>
  <c r="AM25" i="13"/>
  <c r="AN26" i="13"/>
  <c r="AO30" i="13"/>
  <c r="AN28" i="13"/>
  <c r="AR25" i="13"/>
  <c r="AQ27" i="13"/>
  <c r="AD64" i="11"/>
  <c r="AP63" i="11"/>
  <c r="AO63" i="11"/>
  <c r="AG63" i="11" s="1" a="1"/>
  <c r="AG63" i="11" s="1"/>
  <c r="AQ63" i="11" l="1"/>
  <c r="AR63" i="11"/>
  <c r="AS63" i="11"/>
  <c r="AL64" i="11"/>
  <c r="AM64" i="11" s="1"/>
  <c r="AE33" i="13"/>
  <c r="AN64" i="11" a="1"/>
  <c r="AN64" i="11" s="1"/>
  <c r="AK64" i="11" a="1"/>
  <c r="AK64" i="11" s="1"/>
  <c r="AJ64" i="11" a="1"/>
  <c r="AJ64" i="11" s="1"/>
  <c r="AE64" i="11" a="1"/>
  <c r="AE64" i="11" s="1"/>
  <c r="AH64" i="11" s="1" a="1"/>
  <c r="AH64" i="11" s="1"/>
  <c r="AF64" i="11" a="1"/>
  <c r="AF64" i="11" s="1"/>
  <c r="AD65" i="11" a="1"/>
  <c r="AI64" i="11" l="1" a="1"/>
  <c r="AI64" i="11" s="1"/>
  <c r="AD65" i="11"/>
  <c r="AO64" i="11"/>
  <c r="AG64" i="11" s="1" a="1"/>
  <c r="AG64" i="11" s="1"/>
  <c r="AP64" i="11"/>
  <c r="AL65" i="11" l="1"/>
  <c r="AM65" i="11" s="1"/>
  <c r="AR64" i="11"/>
  <c r="AS64" i="11"/>
  <c r="AQ64" i="11"/>
  <c r="AJ34" i="13"/>
  <c r="AG33" i="13"/>
  <c r="AN65" i="11" a="1"/>
  <c r="AN65" i="11" s="1"/>
  <c r="AE65" i="11" a="1"/>
  <c r="AE65" i="11" s="1"/>
  <c r="AI65" i="11" s="1" a="1"/>
  <c r="AI65" i="11" s="1"/>
  <c r="AK65" i="11" a="1"/>
  <c r="AK65" i="11" s="1"/>
  <c r="AJ65" i="11" a="1"/>
  <c r="AJ65" i="11" s="1"/>
  <c r="AF65" i="11" a="1"/>
  <c r="AF65" i="11" s="1"/>
  <c r="AD66" i="11" a="1"/>
  <c r="AH65" i="11" l="1" a="1"/>
  <c r="AH65" i="11" s="1"/>
  <c r="AF38" i="13"/>
  <c r="AJ35" i="13"/>
  <c r="AJ38" i="13"/>
  <c r="AG34" i="13"/>
  <c r="AF39" i="13"/>
  <c r="AH39" i="13"/>
  <c r="AK33" i="13"/>
  <c r="AG36" i="13"/>
  <c r="AF33" i="13"/>
  <c r="AG38" i="13"/>
  <c r="AJ36" i="13"/>
  <c r="AJ39" i="13"/>
  <c r="AH38" i="13"/>
  <c r="AG35" i="13"/>
  <c r="AD66" i="11"/>
  <c r="AP65" i="11"/>
  <c r="AO65" i="11"/>
  <c r="AG65" i="11" s="1" a="1"/>
  <c r="AG65" i="11" s="1"/>
  <c r="AQ65" i="11" l="1"/>
  <c r="AR65" i="11"/>
  <c r="AS65" i="11"/>
  <c r="AL66" i="11"/>
  <c r="AM66" i="11" s="1"/>
  <c r="AL33" i="13"/>
  <c r="AJ66" i="11" a="1"/>
  <c r="AJ66" i="11" s="1"/>
  <c r="AK66" i="11" a="1"/>
  <c r="AK66" i="11" s="1"/>
  <c r="AN66" i="11" a="1"/>
  <c r="AN66" i="11" s="1"/>
  <c r="AF66" i="11" a="1"/>
  <c r="AF66" i="11" s="1"/>
  <c r="AE66" i="11" a="1"/>
  <c r="AE66" i="11" s="1"/>
  <c r="AI66" i="11" s="1" a="1"/>
  <c r="AI66" i="11" s="1"/>
  <c r="AD67" i="11" a="1"/>
  <c r="AH66" i="11" l="1" a="1"/>
  <c r="AH66" i="11" s="1"/>
  <c r="AD67" i="11"/>
  <c r="AP66" i="11"/>
  <c r="AO66" i="11"/>
  <c r="AG66" i="11" s="1" a="1"/>
  <c r="AG66" i="11" s="1"/>
  <c r="AL67" i="11" l="1"/>
  <c r="AM67" i="11" s="1"/>
  <c r="AQ66" i="11"/>
  <c r="AS66" i="11"/>
  <c r="AR66" i="11"/>
  <c r="AN33" i="13"/>
  <c r="AO38" i="13" s="1"/>
  <c r="AQ34" i="13"/>
  <c r="AJ67" i="11" a="1"/>
  <c r="AJ67" i="11" s="1"/>
  <c r="AK67" i="11" a="1"/>
  <c r="AK67" i="11" s="1"/>
  <c r="AE67" i="11" a="1"/>
  <c r="AE67" i="11" s="1"/>
  <c r="AI67" i="11" s="1" a="1"/>
  <c r="AI67" i="11" s="1"/>
  <c r="AN67" i="11" a="1"/>
  <c r="AN67" i="11" s="1"/>
  <c r="AF67" i="11" a="1"/>
  <c r="AF67" i="11" s="1"/>
  <c r="AD68" i="11" a="1"/>
  <c r="AH67" i="11" l="1" a="1"/>
  <c r="AH67" i="11" s="1"/>
  <c r="AN35" i="13"/>
  <c r="AO39" i="13"/>
  <c r="AQ38" i="13"/>
  <c r="AR33" i="13"/>
  <c r="AM39" i="13"/>
  <c r="AQ36" i="13"/>
  <c r="AM33" i="13"/>
  <c r="AN34" i="13"/>
  <c r="AN36" i="13"/>
  <c r="AQ39" i="13"/>
  <c r="AQ35" i="13"/>
  <c r="AM38" i="13"/>
  <c r="AN38" i="13"/>
  <c r="AD68" i="11"/>
  <c r="AO67" i="11"/>
  <c r="AG67" i="11" s="1" a="1"/>
  <c r="AG67" i="11" s="1"/>
  <c r="AP67" i="11"/>
  <c r="AQ67" i="11" l="1"/>
  <c r="AR67" i="11"/>
  <c r="AS67" i="11"/>
  <c r="AL68" i="11"/>
  <c r="AM68" i="11" s="1"/>
  <c r="AE41" i="13"/>
  <c r="AF68" i="11" a="1"/>
  <c r="AF68" i="11" s="1"/>
  <c r="AN68" i="11" a="1"/>
  <c r="AN68" i="11" s="1"/>
  <c r="AK68" i="11" a="1"/>
  <c r="AK68" i="11" s="1"/>
  <c r="AE68" i="11" a="1"/>
  <c r="AE68" i="11" s="1"/>
  <c r="AH68" i="11" s="1" a="1"/>
  <c r="AH68" i="11" s="1"/>
  <c r="AJ68" i="11" a="1"/>
  <c r="AJ68" i="11" s="1"/>
  <c r="AD69" i="11" a="1"/>
  <c r="AI68" i="11" l="1" a="1"/>
  <c r="AI68" i="11" s="1"/>
  <c r="AD69" i="11"/>
  <c r="AP68" i="11"/>
  <c r="AO68" i="11"/>
  <c r="AG68" i="11" s="1" a="1"/>
  <c r="AG68" i="11" s="1"/>
  <c r="AL69" i="11" l="1"/>
  <c r="AQ68" i="11"/>
  <c r="AR68" i="11"/>
  <c r="AS68" i="11"/>
  <c r="AG41" i="13"/>
  <c r="AG42" i="13" s="1"/>
  <c r="AJ42" i="13"/>
  <c r="AJ69" i="11" a="1"/>
  <c r="AJ69" i="11" s="1"/>
  <c r="AK69" i="11" a="1"/>
  <c r="AK69" i="11" s="1"/>
  <c r="AF69" i="11" a="1"/>
  <c r="AF69" i="11" s="1"/>
  <c r="AM69" i="11"/>
  <c r="AE69" i="11" a="1"/>
  <c r="AE69" i="11" s="1"/>
  <c r="AI69" i="11" s="1" a="1"/>
  <c r="AI69" i="11" s="1"/>
  <c r="AN69" i="11" a="1"/>
  <c r="AN69" i="11" s="1"/>
  <c r="AD70" i="11" a="1"/>
  <c r="AH69" i="11" l="1" a="1"/>
  <c r="AH69" i="11" s="1"/>
  <c r="AF47" i="13"/>
  <c r="AH47" i="13"/>
  <c r="AG44" i="13"/>
  <c r="AJ47" i="13"/>
  <c r="AJ43" i="13"/>
  <c r="AJ46" i="13"/>
  <c r="AG46" i="13"/>
  <c r="AF41" i="13"/>
  <c r="AJ44" i="13"/>
  <c r="AH46" i="13"/>
  <c r="AK41" i="13"/>
  <c r="AG43" i="13"/>
  <c r="AF46" i="13"/>
  <c r="AD70" i="11"/>
  <c r="AO69" i="11"/>
  <c r="AG69" i="11" s="1" a="1"/>
  <c r="AG69" i="11" s="1"/>
  <c r="AP69" i="11"/>
  <c r="AS69" i="11" l="1"/>
  <c r="AR69" i="11"/>
  <c r="AQ69" i="11"/>
  <c r="AL70" i="11"/>
  <c r="AM70" i="11" s="1"/>
  <c r="AL41" i="13"/>
  <c r="AE70" i="11" a="1"/>
  <c r="AE70" i="11" s="1"/>
  <c r="AI70" i="11" s="1" a="1"/>
  <c r="AI70" i="11" s="1"/>
  <c r="AF70" i="11" a="1"/>
  <c r="AF70" i="11" s="1"/>
  <c r="AK70" i="11" a="1"/>
  <c r="AK70" i="11" s="1"/>
  <c r="AN70" i="11" a="1"/>
  <c r="AN70" i="11" s="1"/>
  <c r="AJ70" i="11" a="1"/>
  <c r="AJ70" i="11" s="1"/>
  <c r="AD71" i="11" a="1"/>
  <c r="AH70" i="11" l="1" a="1"/>
  <c r="AH70" i="11" s="1"/>
  <c r="AD71" i="11"/>
  <c r="AP70" i="11"/>
  <c r="AO70" i="11"/>
  <c r="AG70" i="11" s="1" a="1"/>
  <c r="AG70" i="11" s="1"/>
  <c r="AL71" i="11" l="1"/>
  <c r="AM71" i="11" s="1"/>
  <c r="AQ70" i="11"/>
  <c r="AR70" i="11"/>
  <c r="AS70" i="11"/>
  <c r="AQ42" i="13"/>
  <c r="AN41" i="13"/>
  <c r="AJ71" i="11" a="1"/>
  <c r="AJ71" i="11" s="1"/>
  <c r="AN71" i="11" a="1"/>
  <c r="AN71" i="11" s="1"/>
  <c r="AE71" i="11" a="1"/>
  <c r="AE71" i="11" s="1"/>
  <c r="AH71" i="11" s="1" a="1"/>
  <c r="AH71" i="11" s="1"/>
  <c r="AF71" i="11" a="1"/>
  <c r="AF71" i="11" s="1"/>
  <c r="AK71" i="11" a="1"/>
  <c r="AK71" i="11" s="1"/>
  <c r="AD72" i="11" a="1"/>
  <c r="AI71" i="11" l="1" a="1"/>
  <c r="AI71" i="11" s="1"/>
  <c r="AN44" i="13"/>
  <c r="AN46" i="13"/>
  <c r="AQ43" i="13"/>
  <c r="AQ46" i="13"/>
  <c r="AN42" i="13"/>
  <c r="AN43" i="13"/>
  <c r="AQ44" i="13"/>
  <c r="AO46" i="13"/>
  <c r="AM46" i="13"/>
  <c r="AQ47" i="13"/>
  <c r="AO47" i="13"/>
  <c r="AM47" i="13"/>
  <c r="AM41" i="13"/>
  <c r="AR41" i="13"/>
  <c r="AD72" i="11"/>
  <c r="AO71" i="11"/>
  <c r="AG71" i="11" s="1" a="1"/>
  <c r="AG71" i="11" s="1"/>
  <c r="AP71" i="11"/>
  <c r="AQ71" i="11" l="1"/>
  <c r="AR71" i="11"/>
  <c r="AS71" i="11"/>
  <c r="AL72" i="11"/>
  <c r="AM72" i="11" s="1"/>
  <c r="AT1" i="13"/>
  <c r="AJ72" i="11" a="1"/>
  <c r="AJ72" i="11" s="1"/>
  <c r="AK72" i="11" a="1"/>
  <c r="AK72" i="11" s="1"/>
  <c r="AE72" i="11" a="1"/>
  <c r="AE72" i="11" s="1"/>
  <c r="AH72" i="11" s="1" a="1"/>
  <c r="AH72" i="11" s="1"/>
  <c r="AF72" i="11" a="1"/>
  <c r="AF72" i="11" s="1"/>
  <c r="AN72" i="11" a="1"/>
  <c r="AN72" i="11" s="1"/>
  <c r="AD73" i="11" a="1"/>
  <c r="AI72" i="11" l="1" a="1"/>
  <c r="AI72" i="11" s="1"/>
  <c r="AD73" i="11"/>
  <c r="AP72" i="11"/>
  <c r="AO72" i="11"/>
  <c r="AG72" i="11" s="1" a="1"/>
  <c r="AG72" i="11" s="1"/>
  <c r="AL73" i="11" l="1"/>
  <c r="AM73" i="11" s="1"/>
  <c r="AR72" i="11"/>
  <c r="AS72" i="11"/>
  <c r="AQ72" i="11"/>
  <c r="AV1" i="13"/>
  <c r="AY2" i="13"/>
  <c r="AN73" i="11" a="1"/>
  <c r="AN73" i="11" s="1"/>
  <c r="AK73" i="11" a="1"/>
  <c r="AK73" i="11" s="1"/>
  <c r="AJ73" i="11" a="1"/>
  <c r="AJ73" i="11" s="1"/>
  <c r="AF73" i="11" a="1"/>
  <c r="AF73" i="11" s="1"/>
  <c r="AE73" i="11" a="1"/>
  <c r="AE73" i="11" s="1"/>
  <c r="AI73" i="11" s="1" a="1"/>
  <c r="AI73" i="11" s="1"/>
  <c r="AD74" i="11" a="1"/>
  <c r="AH73" i="11" l="1" a="1"/>
  <c r="AH73" i="11" s="1"/>
  <c r="AV3" i="13"/>
  <c r="AV2" i="13"/>
  <c r="AW6" i="13"/>
  <c r="AU7" i="13"/>
  <c r="AZ1" i="13"/>
  <c r="AY6" i="13"/>
  <c r="AV4" i="13"/>
  <c r="AY7" i="13"/>
  <c r="AV6" i="13"/>
  <c r="AU1" i="13"/>
  <c r="AY3" i="13"/>
  <c r="AY4" i="13"/>
  <c r="AW7" i="13"/>
  <c r="AU6" i="13"/>
  <c r="AD74" i="11"/>
  <c r="AP73" i="11"/>
  <c r="AO73" i="11"/>
  <c r="AG73" i="11" s="1" a="1"/>
  <c r="AG73" i="11" s="1"/>
  <c r="AQ73" i="11" l="1"/>
  <c r="AR73" i="11"/>
  <c r="AS73" i="11"/>
  <c r="AL74" i="11"/>
  <c r="AM74" i="11" s="1"/>
  <c r="BA1" i="13"/>
  <c r="AK74" i="11" a="1"/>
  <c r="AK74" i="11" s="1"/>
  <c r="AN74" i="11" a="1"/>
  <c r="AN74" i="11" s="1"/>
  <c r="AJ74" i="11" a="1"/>
  <c r="AJ74" i="11" s="1"/>
  <c r="AF74" i="11" a="1"/>
  <c r="AF74" i="11" s="1"/>
  <c r="AE74" i="11" a="1"/>
  <c r="AE74" i="11" s="1"/>
  <c r="AI74" i="11" s="1" a="1"/>
  <c r="AI74" i="11" s="1"/>
  <c r="AD75" i="11" a="1"/>
  <c r="AH74" i="11" l="1" a="1"/>
  <c r="AH74" i="11" s="1"/>
  <c r="AD75" i="11"/>
  <c r="AP74" i="11"/>
  <c r="AO74" i="11"/>
  <c r="AG74" i="11" s="1" a="1"/>
  <c r="AG74" i="11" s="1"/>
  <c r="AL75" i="11" l="1"/>
  <c r="AM75" i="11" s="1"/>
  <c r="AS74" i="11"/>
  <c r="AQ74" i="11"/>
  <c r="AR74" i="11"/>
  <c r="BF2" i="13"/>
  <c r="BC1" i="13"/>
  <c r="AF75" i="11" a="1"/>
  <c r="AF75" i="11" s="1"/>
  <c r="AK75" i="11" a="1"/>
  <c r="AK75" i="11" s="1"/>
  <c r="AE75" i="11" a="1"/>
  <c r="AE75" i="11" s="1"/>
  <c r="AI75" i="11" s="1" a="1"/>
  <c r="AI75" i="11" s="1"/>
  <c r="AN75" i="11" a="1"/>
  <c r="AN75" i="11" s="1"/>
  <c r="AJ75" i="11" a="1"/>
  <c r="AJ75" i="11" s="1"/>
  <c r="AD76" i="11" a="1"/>
  <c r="AH75" i="11" l="1" a="1"/>
  <c r="AH75" i="11" s="1"/>
  <c r="BC6" i="13"/>
  <c r="BF7" i="13"/>
  <c r="BC4" i="13"/>
  <c r="BB1" i="13"/>
  <c r="BC3" i="13"/>
  <c r="BF4" i="13"/>
  <c r="BF6" i="13"/>
  <c r="BB7" i="13"/>
  <c r="BC2" i="13"/>
  <c r="BF3" i="13"/>
  <c r="BD7" i="13"/>
  <c r="BG1" i="13"/>
  <c r="BD6" i="13"/>
  <c r="BB6" i="13"/>
  <c r="AD76" i="11"/>
  <c r="AP75" i="11"/>
  <c r="AO75" i="11"/>
  <c r="AG75" i="11" s="1" a="1"/>
  <c r="AG75" i="11" s="1"/>
  <c r="AQ75" i="11" l="1"/>
  <c r="AR75" i="11"/>
  <c r="AS75" i="11"/>
  <c r="AL76" i="11"/>
  <c r="AM76" i="11" s="1"/>
  <c r="AT9" i="13"/>
  <c r="AE76" i="11" a="1"/>
  <c r="AE76" i="11" s="1"/>
  <c r="AH76" i="11" s="1" a="1"/>
  <c r="AH76" i="11" s="1"/>
  <c r="AK76" i="11" a="1"/>
  <c r="AK76" i="11" s="1"/>
  <c r="AN76" i="11" a="1"/>
  <c r="AN76" i="11" s="1"/>
  <c r="AF76" i="11" a="1"/>
  <c r="AF76" i="11" s="1"/>
  <c r="AJ76" i="11" a="1"/>
  <c r="AJ76" i="11" s="1"/>
  <c r="AD77" i="11" a="1"/>
  <c r="AI76" i="11" l="1" a="1"/>
  <c r="AI76" i="11" s="1"/>
  <c r="AY10" i="13"/>
  <c r="AV9" i="13"/>
  <c r="AD77" i="11"/>
  <c r="AO76" i="11"/>
  <c r="AG76" i="11" s="1" a="1"/>
  <c r="AG76" i="11" s="1"/>
  <c r="AP76" i="11"/>
  <c r="AL77" i="11" l="1"/>
  <c r="AM77" i="11" s="1"/>
  <c r="AQ76" i="11"/>
  <c r="AR76" i="11"/>
  <c r="AS76" i="11"/>
  <c r="AV11" i="13"/>
  <c r="AV12" i="13"/>
  <c r="AY15" i="13"/>
  <c r="AY11" i="13"/>
  <c r="AU9" i="13"/>
  <c r="AU14" i="13"/>
  <c r="AW15" i="13"/>
  <c r="AW14" i="13"/>
  <c r="AY14" i="13"/>
  <c r="AY12" i="13"/>
  <c r="AZ9" i="13"/>
  <c r="AV14" i="13"/>
  <c r="AU15" i="13" s="1"/>
  <c r="AV10" i="13"/>
  <c r="AK77" i="11" a="1"/>
  <c r="AK77" i="11" s="1"/>
  <c r="AN77" i="11" a="1"/>
  <c r="AN77" i="11" s="1"/>
  <c r="AF77" i="11" a="1"/>
  <c r="AF77" i="11" s="1"/>
  <c r="AJ77" i="11" a="1"/>
  <c r="AJ77" i="11" s="1"/>
  <c r="AE77" i="11" a="1"/>
  <c r="AE77" i="11" s="1"/>
  <c r="AI77" i="11" s="1" a="1"/>
  <c r="AI77" i="11" s="1"/>
  <c r="AD78" i="11" a="1"/>
  <c r="AH77" i="11" l="1" a="1"/>
  <c r="AH77" i="11" s="1"/>
  <c r="AD78" i="11"/>
  <c r="AP77" i="11"/>
  <c r="AO77" i="11"/>
  <c r="AG77" i="11" s="1" a="1"/>
  <c r="AG77" i="11" s="1"/>
  <c r="AS77" i="11" l="1"/>
  <c r="AR77" i="11"/>
  <c r="AQ77" i="11"/>
  <c r="AL78" i="11"/>
  <c r="AM78" i="11" s="1"/>
  <c r="BA9" i="13"/>
  <c r="AK78" i="11" a="1"/>
  <c r="AK78" i="11" s="1"/>
  <c r="AN78" i="11" a="1"/>
  <c r="AN78" i="11" s="1"/>
  <c r="AF78" i="11" a="1"/>
  <c r="AF78" i="11" s="1"/>
  <c r="AE78" i="11" a="1"/>
  <c r="AE78" i="11" s="1"/>
  <c r="AH78" i="11" s="1" a="1"/>
  <c r="AH78" i="11" s="1"/>
  <c r="AJ78" i="11" a="1"/>
  <c r="AJ78" i="11" s="1"/>
  <c r="AD79" i="11" a="1"/>
  <c r="AI78" i="11" l="1" a="1"/>
  <c r="AI78" i="11" s="1"/>
  <c r="AD79" i="11"/>
  <c r="AO78" i="11"/>
  <c r="AG78" i="11" s="1" a="1"/>
  <c r="AG78" i="11" s="1"/>
  <c r="AP78" i="11"/>
  <c r="AL79" i="11" l="1"/>
  <c r="AM79" i="11" s="1"/>
  <c r="AQ78" i="11"/>
  <c r="AR78" i="11"/>
  <c r="AS78" i="11"/>
  <c r="BF10" i="13"/>
  <c r="BC9" i="13"/>
  <c r="AJ79" i="11" a="1"/>
  <c r="AJ79" i="11" s="1"/>
  <c r="AK79" i="11" a="1"/>
  <c r="AK79" i="11" s="1"/>
  <c r="AF79" i="11" a="1"/>
  <c r="AF79" i="11" s="1"/>
  <c r="AN79" i="11" a="1"/>
  <c r="AN79" i="11" s="1"/>
  <c r="AE79" i="11" a="1"/>
  <c r="AE79" i="11" s="1"/>
  <c r="AD80" i="11" a="1"/>
  <c r="AI79" i="11" l="1" a="1"/>
  <c r="AI79" i="11" s="1"/>
  <c r="AH79" i="11" a="1"/>
  <c r="AH79" i="11" s="1"/>
  <c r="BC12" i="13"/>
  <c r="BF15" i="13"/>
  <c r="BD14" i="13"/>
  <c r="BF12" i="13"/>
  <c r="BG9" i="13"/>
  <c r="BB14" i="13"/>
  <c r="BB15" i="13"/>
  <c r="BC10" i="13"/>
  <c r="BF11" i="13"/>
  <c r="BD15" i="13"/>
  <c r="BB9" i="13"/>
  <c r="BC14" i="13"/>
  <c r="BF14" i="13"/>
  <c r="BC11" i="13"/>
  <c r="AD80" i="11"/>
  <c r="AP79" i="11"/>
  <c r="AO79" i="11"/>
  <c r="AG79" i="11" s="1" a="1"/>
  <c r="AG79" i="11" s="1"/>
  <c r="AQ79" i="11" l="1"/>
  <c r="AR79" i="11"/>
  <c r="AS79" i="11"/>
  <c r="AL80" i="11"/>
  <c r="AM80" i="11" s="1"/>
  <c r="AT17" i="13"/>
  <c r="AJ80" i="11" a="1"/>
  <c r="AJ80" i="11" s="1"/>
  <c r="AN80" i="11" a="1"/>
  <c r="AN80" i="11" s="1"/>
  <c r="AK80" i="11" a="1"/>
  <c r="AK80" i="11" s="1"/>
  <c r="AF80" i="11" a="1"/>
  <c r="AF80" i="11" s="1"/>
  <c r="AE80" i="11" a="1"/>
  <c r="AE80" i="11" s="1"/>
  <c r="AH80" i="11" s="1" a="1"/>
  <c r="AH80" i="11" s="1"/>
  <c r="AD81" i="11" a="1"/>
  <c r="AI80" i="11" l="1" a="1"/>
  <c r="AI80" i="11" s="1"/>
  <c r="AD81" i="11"/>
  <c r="AP80" i="11"/>
  <c r="AO80" i="11"/>
  <c r="AG80" i="11" s="1" a="1"/>
  <c r="AG80" i="11" s="1"/>
  <c r="AL81" i="11" l="1"/>
  <c r="AR80" i="11"/>
  <c r="AS80" i="11"/>
  <c r="AQ80" i="11"/>
  <c r="AV17" i="13"/>
  <c r="AV19" i="13" s="1"/>
  <c r="AY18" i="13"/>
  <c r="AN81" i="11" a="1"/>
  <c r="AN81" i="11" s="1"/>
  <c r="AJ81" i="11" a="1"/>
  <c r="AJ81" i="11" s="1"/>
  <c r="AF81" i="11" a="1"/>
  <c r="AF81" i="11" s="1"/>
  <c r="AK81" i="11" a="1"/>
  <c r="AK81" i="11" s="1"/>
  <c r="AE81" i="11" a="1"/>
  <c r="AE81" i="11" s="1"/>
  <c r="AI81" i="11" s="1" a="1"/>
  <c r="AI81" i="11" s="1"/>
  <c r="AM81" i="11"/>
  <c r="AD82" i="11" a="1"/>
  <c r="AH81" i="11" l="1" a="1"/>
  <c r="AH81" i="11" s="1"/>
  <c r="AV22" i="13"/>
  <c r="AV18" i="13"/>
  <c r="AY23" i="13"/>
  <c r="AY19" i="13"/>
  <c r="AW23" i="13"/>
  <c r="AW22" i="13"/>
  <c r="AZ17" i="13"/>
  <c r="AU17" i="13"/>
  <c r="AU23" i="13"/>
  <c r="AY22" i="13"/>
  <c r="AY20" i="13"/>
  <c r="AU22" i="13"/>
  <c r="AV20" i="13"/>
  <c r="AD82" i="11"/>
  <c r="AO81" i="11"/>
  <c r="AG81" i="11" s="1" a="1"/>
  <c r="AG81" i="11" s="1"/>
  <c r="AP81" i="11"/>
  <c r="AQ81" i="11" l="1"/>
  <c r="AR81" i="11"/>
  <c r="AS81" i="11"/>
  <c r="AL82" i="11"/>
  <c r="AM82" i="11" s="1"/>
  <c r="BA17" i="13"/>
  <c r="AE82" i="11" a="1"/>
  <c r="AE82" i="11" s="1"/>
  <c r="AH82" i="11" s="1" a="1"/>
  <c r="AH82" i="11" s="1"/>
  <c r="AF82" i="11" a="1"/>
  <c r="AF82" i="11" s="1"/>
  <c r="AJ82" i="11" a="1"/>
  <c r="AJ82" i="11" s="1"/>
  <c r="AK82" i="11" a="1"/>
  <c r="AK82" i="11" s="1"/>
  <c r="AN82" i="11" a="1"/>
  <c r="AN82" i="11" s="1"/>
  <c r="AD83" i="11" a="1"/>
  <c r="AI82" i="11" l="1" a="1"/>
  <c r="AI82" i="11" s="1"/>
  <c r="AG82" i="11" a="1"/>
  <c r="AG82" i="11" s="1"/>
  <c r="AD83" i="11"/>
  <c r="AO82" i="11"/>
  <c r="AP82" i="11"/>
  <c r="AL83" i="11" l="1"/>
  <c r="AM83" i="11" s="1"/>
  <c r="AS82" i="11"/>
  <c r="AQ82" i="11"/>
  <c r="AR82" i="11"/>
  <c r="BF18" i="13"/>
  <c r="BC17" i="13"/>
  <c r="AK83" i="11" a="1"/>
  <c r="AK83" i="11" s="1"/>
  <c r="AE83" i="11" a="1"/>
  <c r="AE83" i="11" s="1"/>
  <c r="AH83" i="11" s="1" a="1"/>
  <c r="AH83" i="11" s="1"/>
  <c r="AF83" i="11" a="1"/>
  <c r="AF83" i="11" s="1"/>
  <c r="AJ83" i="11" a="1"/>
  <c r="AJ83" i="11" s="1"/>
  <c r="AN83" i="11" a="1"/>
  <c r="AN83" i="11" s="1"/>
  <c r="AD84" i="11" a="1"/>
  <c r="AI83" i="11" l="1" a="1"/>
  <c r="AI83" i="11" s="1"/>
  <c r="BB23" i="13"/>
  <c r="BD23" i="13"/>
  <c r="BF23" i="13"/>
  <c r="BF20" i="13"/>
  <c r="BC18" i="13"/>
  <c r="BC22" i="13"/>
  <c r="BF22" i="13"/>
  <c r="BC20" i="13"/>
  <c r="BG17" i="13"/>
  <c r="BF19" i="13"/>
  <c r="BC19" i="13"/>
  <c r="BD22" i="13"/>
  <c r="BB17" i="13"/>
  <c r="BB22" i="13"/>
  <c r="AD84" i="11"/>
  <c r="AO83" i="11"/>
  <c r="AG83" i="11" s="1" a="1"/>
  <c r="AG83" i="11" s="1"/>
  <c r="AP83" i="11"/>
  <c r="AQ83" i="11" l="1"/>
  <c r="AR83" i="11"/>
  <c r="AS83" i="11"/>
  <c r="AL84" i="11"/>
  <c r="AM84" i="11" s="1"/>
  <c r="AT25" i="13"/>
  <c r="AF84" i="11" a="1"/>
  <c r="AF84" i="11" s="1"/>
  <c r="AK84" i="11" a="1"/>
  <c r="AK84" i="11" s="1"/>
  <c r="AN84" i="11" a="1"/>
  <c r="AN84" i="11" s="1"/>
  <c r="AJ84" i="11" a="1"/>
  <c r="AJ84" i="11" s="1"/>
  <c r="AE84" i="11" a="1"/>
  <c r="AE84" i="11" s="1"/>
  <c r="AI84" i="11" s="1" a="1"/>
  <c r="AI84" i="11" s="1"/>
  <c r="AD85" i="11" a="1"/>
  <c r="AH84" i="11" l="1" a="1"/>
  <c r="AH84" i="11" s="1"/>
  <c r="AD85" i="11"/>
  <c r="AO84" i="11"/>
  <c r="AG84" i="11" s="1" a="1"/>
  <c r="AG84" i="11" s="1"/>
  <c r="AP84" i="11"/>
  <c r="AL85" i="11" l="1"/>
  <c r="AM85" i="11" s="1"/>
  <c r="AQ84" i="11"/>
  <c r="AR84" i="11"/>
  <c r="AS84" i="11"/>
  <c r="AY26" i="13"/>
  <c r="AV25" i="13"/>
  <c r="AK85" i="11" a="1"/>
  <c r="AK85" i="11" s="1"/>
  <c r="AF85" i="11" a="1"/>
  <c r="AF85" i="11" s="1"/>
  <c r="AJ85" i="11" a="1"/>
  <c r="AJ85" i="11" s="1"/>
  <c r="AN85" i="11" a="1"/>
  <c r="AN85" i="11" s="1"/>
  <c r="AE85" i="11" a="1"/>
  <c r="AE85" i="11" s="1"/>
  <c r="AI85" i="11" s="1" a="1"/>
  <c r="AI85" i="11" s="1"/>
  <c r="AD86" i="11" a="1"/>
  <c r="AH85" i="11" l="1" a="1"/>
  <c r="AH85" i="11" s="1"/>
  <c r="AV28" i="13"/>
  <c r="AV26" i="13"/>
  <c r="AW31" i="13"/>
  <c r="AY31" i="13"/>
  <c r="AU31" i="13"/>
  <c r="AZ25" i="13"/>
  <c r="AU30" i="13"/>
  <c r="AV27" i="13"/>
  <c r="AV30" i="13"/>
  <c r="AY30" i="13"/>
  <c r="AY28" i="13"/>
  <c r="AW30" i="13"/>
  <c r="AY27" i="13"/>
  <c r="AU25" i="13"/>
  <c r="AD86" i="11"/>
  <c r="AO85" i="11"/>
  <c r="AG85" i="11" s="1" a="1"/>
  <c r="AG85" i="11" s="1"/>
  <c r="AP85" i="11"/>
  <c r="AS85" i="11" l="1"/>
  <c r="AR85" i="11"/>
  <c r="AQ85" i="11"/>
  <c r="AL86" i="11"/>
  <c r="AM86" i="11" s="1"/>
  <c r="BA25" i="13"/>
  <c r="AK86" i="11" a="1"/>
  <c r="AK86" i="11" s="1"/>
  <c r="AN86" i="11" a="1"/>
  <c r="AN86" i="11" s="1"/>
  <c r="AJ86" i="11" a="1"/>
  <c r="AJ86" i="11" s="1"/>
  <c r="AE86" i="11" a="1"/>
  <c r="AE86" i="11" s="1"/>
  <c r="AF86" i="11" a="1"/>
  <c r="AF86" i="11" s="1"/>
  <c r="AD87" i="11" a="1"/>
  <c r="AI86" i="11" l="1" a="1"/>
  <c r="AI86" i="11" s="1"/>
  <c r="AH86" i="11" a="1"/>
  <c r="AH86" i="11" s="1"/>
  <c r="AD87" i="11"/>
  <c r="AO86" i="11"/>
  <c r="AG86" i="11" s="1" a="1"/>
  <c r="AG86" i="11" s="1"/>
  <c r="AP86" i="11"/>
  <c r="AL87" i="11" l="1"/>
  <c r="AM87" i="11" s="1"/>
  <c r="AQ86" i="11"/>
  <c r="AR86" i="11"/>
  <c r="AS86" i="11"/>
  <c r="BC25" i="13"/>
  <c r="BB31" i="13" s="1"/>
  <c r="BF26" i="13"/>
  <c r="AE87" i="11" a="1"/>
  <c r="AE87" i="11" s="1"/>
  <c r="AH87" i="11" s="1" a="1"/>
  <c r="AH87" i="11" s="1"/>
  <c r="AF87" i="11" a="1"/>
  <c r="AF87" i="11" s="1"/>
  <c r="AJ87" i="11" a="1"/>
  <c r="AJ87" i="11" s="1"/>
  <c r="AK87" i="11" a="1"/>
  <c r="AK87" i="11" s="1"/>
  <c r="AN87" i="11" a="1"/>
  <c r="AN87" i="11" s="1"/>
  <c r="AD88" i="11" a="1"/>
  <c r="AI87" i="11" l="1" a="1"/>
  <c r="AI87" i="11" s="1"/>
  <c r="BC26" i="13"/>
  <c r="BG25" i="13"/>
  <c r="BC27" i="13"/>
  <c r="BB25" i="13"/>
  <c r="BB30" i="13"/>
  <c r="BF28" i="13"/>
  <c r="BC28" i="13"/>
  <c r="BD30" i="13"/>
  <c r="BF31" i="13"/>
  <c r="BD31" i="13"/>
  <c r="BF30" i="13"/>
  <c r="BC30" i="13"/>
  <c r="BF27" i="13"/>
  <c r="AD88" i="11"/>
  <c r="AP87" i="11"/>
  <c r="AO87" i="11"/>
  <c r="AG87" i="11" s="1" a="1"/>
  <c r="AG87" i="11" s="1"/>
  <c r="AQ87" i="11" l="1"/>
  <c r="AR87" i="11"/>
  <c r="AS87" i="11"/>
  <c r="AL88" i="11"/>
  <c r="AM88" i="11" s="1"/>
  <c r="AT33" i="13"/>
  <c r="AN88" i="11" a="1"/>
  <c r="AN88" i="11" s="1"/>
  <c r="AJ88" i="11" a="1"/>
  <c r="AJ88" i="11" s="1"/>
  <c r="AF88" i="11" a="1"/>
  <c r="AF88" i="11" s="1"/>
  <c r="AE88" i="11" a="1"/>
  <c r="AE88" i="11" s="1"/>
  <c r="AH88" i="11" s="1" a="1"/>
  <c r="AH88" i="11" s="1"/>
  <c r="AK88" i="11" a="1"/>
  <c r="AK88" i="11" s="1"/>
  <c r="AD89" i="11" a="1"/>
  <c r="AI88" i="11" l="1" a="1"/>
  <c r="AI88" i="11" s="1"/>
  <c r="AD89" i="11"/>
  <c r="AP88" i="11"/>
  <c r="AO88" i="11"/>
  <c r="AG88" i="11" s="1" a="1"/>
  <c r="AG88" i="11" s="1"/>
  <c r="AL89" i="11" l="1"/>
  <c r="AR88" i="11"/>
  <c r="AS88" i="11"/>
  <c r="AQ88" i="11"/>
  <c r="AY34" i="13"/>
  <c r="AV33" i="13"/>
  <c r="AK89" i="11" a="1"/>
  <c r="AK89" i="11" s="1"/>
  <c r="AF89" i="11" a="1"/>
  <c r="AF89" i="11" s="1"/>
  <c r="AJ89" i="11" a="1"/>
  <c r="AJ89" i="11" s="1"/>
  <c r="AM89" i="11"/>
  <c r="AE89" i="11" a="1"/>
  <c r="AE89" i="11" s="1"/>
  <c r="AI89" i="11" s="1" a="1"/>
  <c r="AI89" i="11" s="1"/>
  <c r="AN89" i="11" a="1"/>
  <c r="AN89" i="11" s="1"/>
  <c r="AD90" i="11" a="1"/>
  <c r="AH89" i="11" l="1" a="1"/>
  <c r="AH89" i="11" s="1"/>
  <c r="AW38" i="13"/>
  <c r="AY35" i="13"/>
  <c r="AV36" i="13"/>
  <c r="AZ33" i="13"/>
  <c r="AU38" i="13"/>
  <c r="AV35" i="13"/>
  <c r="AV38" i="13"/>
  <c r="AU39" i="13"/>
  <c r="AU33" i="13"/>
  <c r="AY36" i="13"/>
  <c r="AY38" i="13"/>
  <c r="AV34" i="13"/>
  <c r="AY39" i="13"/>
  <c r="AW39" i="13"/>
  <c r="AD90" i="11"/>
  <c r="AP89" i="11"/>
  <c r="AO89" i="11"/>
  <c r="AG89" i="11" s="1" a="1"/>
  <c r="AG89" i="11" s="1"/>
  <c r="AQ89" i="11" l="1"/>
  <c r="AR89" i="11"/>
  <c r="AS89" i="11"/>
  <c r="AL90" i="11"/>
  <c r="AM90" i="11" s="1"/>
  <c r="BA33" i="13"/>
  <c r="AJ90" i="11" a="1"/>
  <c r="AJ90" i="11" s="1"/>
  <c r="AE90" i="11" a="1"/>
  <c r="AE90" i="11" s="1"/>
  <c r="AI90" i="11" s="1" a="1"/>
  <c r="AI90" i="11" s="1"/>
  <c r="AK90" i="11" a="1"/>
  <c r="AK90" i="11" s="1"/>
  <c r="AN90" i="11" a="1"/>
  <c r="AN90" i="11" s="1"/>
  <c r="AF90" i="11" a="1"/>
  <c r="AF90" i="11" s="1"/>
  <c r="AD91" i="11" a="1"/>
  <c r="AH90" i="11" l="1" a="1"/>
  <c r="AH90" i="11" s="1"/>
  <c r="AD91" i="11"/>
  <c r="AP90" i="11"/>
  <c r="AO90" i="11"/>
  <c r="AG90" i="11" s="1" a="1"/>
  <c r="AG90" i="11" s="1"/>
  <c r="AL91" i="11" l="1"/>
  <c r="AS90" i="11"/>
  <c r="AQ90" i="11"/>
  <c r="AR90" i="11"/>
  <c r="BC33" i="13"/>
  <c r="BF34" i="13"/>
  <c r="AM91" i="11"/>
  <c r="AF91" i="11" a="1"/>
  <c r="AF91" i="11" s="1"/>
  <c r="AJ91" i="11" a="1"/>
  <c r="AJ91" i="11" s="1"/>
  <c r="AN91" i="11" a="1"/>
  <c r="AN91" i="11" s="1"/>
  <c r="AE91" i="11" a="1"/>
  <c r="AE91" i="11" s="1"/>
  <c r="AI91" i="11" s="1" a="1"/>
  <c r="AI91" i="11" s="1"/>
  <c r="AK91" i="11" a="1"/>
  <c r="AK91" i="11" s="1"/>
  <c r="AD92" i="11" a="1"/>
  <c r="AH91" i="11" l="1" a="1"/>
  <c r="AH91" i="11" s="1"/>
  <c r="BC38" i="13"/>
  <c r="BF38" i="13"/>
  <c r="BC35" i="13"/>
  <c r="BB38" i="13"/>
  <c r="BD38" i="13"/>
  <c r="BC36" i="13"/>
  <c r="BG33" i="13"/>
  <c r="BC34" i="13"/>
  <c r="BF35" i="13"/>
  <c r="BF36" i="13"/>
  <c r="BF39" i="13"/>
  <c r="BD39" i="13"/>
  <c r="BB39" i="13"/>
  <c r="BB33" i="13"/>
  <c r="AD92" i="11"/>
  <c r="AO91" i="11"/>
  <c r="AG91" i="11" s="1" a="1"/>
  <c r="AG91" i="11" s="1"/>
  <c r="AP91" i="11"/>
  <c r="AQ91" i="11" l="1"/>
  <c r="AR91" i="11"/>
  <c r="AS91" i="11"/>
  <c r="AL92" i="11"/>
  <c r="AM92" i="11" s="1"/>
  <c r="AT41" i="13"/>
  <c r="AF92" i="11" a="1"/>
  <c r="AF92" i="11" s="1"/>
  <c r="AK92" i="11" a="1"/>
  <c r="AK92" i="11" s="1"/>
  <c r="AE92" i="11" a="1"/>
  <c r="AE92" i="11" s="1"/>
  <c r="AI92" i="11" s="1" a="1"/>
  <c r="AI92" i="11" s="1"/>
  <c r="AJ92" i="11" a="1"/>
  <c r="AJ92" i="11" s="1"/>
  <c r="AN92" i="11" a="1"/>
  <c r="AN92" i="11" s="1"/>
  <c r="AD93" i="11" a="1"/>
  <c r="AH92" i="11" l="1" a="1"/>
  <c r="AH92" i="11" s="1"/>
  <c r="AD93" i="11"/>
  <c r="AO92" i="11"/>
  <c r="AG92" i="11" s="1" a="1"/>
  <c r="AG92" i="11" s="1"/>
  <c r="AP92" i="11"/>
  <c r="AL93" i="11" l="1"/>
  <c r="AQ92" i="11"/>
  <c r="AR92" i="11"/>
  <c r="AS92" i="11"/>
  <c r="AV41" i="13"/>
  <c r="AY42" i="13"/>
  <c r="AK93" i="11" a="1"/>
  <c r="AK93" i="11" s="1"/>
  <c r="AM93" i="11"/>
  <c r="AJ93" i="11" a="1"/>
  <c r="AJ93" i="11" s="1"/>
  <c r="AN93" i="11" a="1"/>
  <c r="AN93" i="11" s="1"/>
  <c r="AE93" i="11" a="1"/>
  <c r="AE93" i="11" s="1"/>
  <c r="AI93" i="11" s="1" a="1"/>
  <c r="AI93" i="11" s="1"/>
  <c r="AF93" i="11" a="1"/>
  <c r="AF93" i="11" s="1"/>
  <c r="AD94" i="11" a="1"/>
  <c r="AH93" i="11" l="1" a="1"/>
  <c r="AH93" i="11" s="1"/>
  <c r="AV43" i="13"/>
  <c r="AU41" i="13"/>
  <c r="AW46" i="13"/>
  <c r="AV44" i="13"/>
  <c r="AY43" i="13"/>
  <c r="AY44" i="13"/>
  <c r="AV42" i="13"/>
  <c r="AU46" i="13"/>
  <c r="AW47" i="13"/>
  <c r="AY46" i="13"/>
  <c r="AZ41" i="13"/>
  <c r="AU47" i="13"/>
  <c r="AY47" i="13"/>
  <c r="AV46" i="13"/>
  <c r="AD94" i="11"/>
  <c r="AO93" i="11"/>
  <c r="AG93" i="11" s="1" a="1"/>
  <c r="AG93" i="11" s="1"/>
  <c r="AP93" i="11"/>
  <c r="AS93" i="11" l="1"/>
  <c r="AR93" i="11"/>
  <c r="AQ93" i="11"/>
  <c r="AL94" i="11"/>
  <c r="AM94" i="11" s="1"/>
  <c r="BA41" i="13"/>
  <c r="AF94" i="11" a="1"/>
  <c r="AF94" i="11" s="1"/>
  <c r="AJ94" i="11" a="1"/>
  <c r="AJ94" i="11" s="1"/>
  <c r="AN94" i="11" a="1"/>
  <c r="AN94" i="11" s="1"/>
  <c r="AE94" i="11" a="1"/>
  <c r="AE94" i="11" s="1"/>
  <c r="AK94" i="11" a="1"/>
  <c r="AK94" i="11" s="1"/>
  <c r="AD95" i="11" a="1"/>
  <c r="AI94" i="11" l="1" a="1"/>
  <c r="AI94" i="11" s="1"/>
  <c r="AH94" i="11" a="1"/>
  <c r="AH94" i="11" s="1"/>
  <c r="AD95" i="11"/>
  <c r="AO94" i="11"/>
  <c r="AG94" i="11" s="1" a="1"/>
  <c r="AG94" i="11" s="1"/>
  <c r="AP94" i="11"/>
  <c r="AL95" i="11" l="1"/>
  <c r="AQ94" i="11"/>
  <c r="AR94" i="11"/>
  <c r="AS94" i="11"/>
  <c r="BF42" i="13"/>
  <c r="BC41" i="13"/>
  <c r="AJ95" i="11" a="1"/>
  <c r="AJ95" i="11" s="1"/>
  <c r="AK95" i="11" a="1"/>
  <c r="AK95" i="11" s="1"/>
  <c r="AF95" i="11" a="1"/>
  <c r="AF95" i="11" s="1"/>
  <c r="AN95" i="11" a="1"/>
  <c r="AN95" i="11" s="1"/>
  <c r="AM95" i="11"/>
  <c r="AE95" i="11" a="1"/>
  <c r="AE95" i="11" s="1"/>
  <c r="AD96" i="11" a="1"/>
  <c r="AI95" i="11" l="1" a="1"/>
  <c r="AI95" i="11" s="1"/>
  <c r="AH95" i="11" a="1"/>
  <c r="AH95" i="11" s="1"/>
  <c r="BF47" i="13"/>
  <c r="BB46" i="13"/>
  <c r="BF43" i="13"/>
  <c r="BD46" i="13"/>
  <c r="BC43" i="13"/>
  <c r="BC44" i="13"/>
  <c r="BC42" i="13"/>
  <c r="BB47" i="13"/>
  <c r="BF46" i="13"/>
  <c r="BC46" i="13"/>
  <c r="BB41" i="13"/>
  <c r="BF44" i="13"/>
  <c r="BG41" i="13"/>
  <c r="BD47" i="13"/>
  <c r="AD96" i="11"/>
  <c r="AO95" i="11"/>
  <c r="AG95" i="11" s="1" a="1"/>
  <c r="AG95" i="11" s="1"/>
  <c r="AP95" i="11"/>
  <c r="AQ95" i="11" l="1"/>
  <c r="AR95" i="11"/>
  <c r="AS95" i="11"/>
  <c r="AL96" i="11"/>
  <c r="AM96" i="11" s="1"/>
  <c r="BI1" i="13"/>
  <c r="AF96" i="11" a="1"/>
  <c r="AF96" i="11" s="1"/>
  <c r="AN96" i="11" a="1"/>
  <c r="AN96" i="11" s="1"/>
  <c r="AE96" i="11" a="1"/>
  <c r="AE96" i="11" s="1"/>
  <c r="AH96" i="11" s="1" a="1"/>
  <c r="AH96" i="11" s="1"/>
  <c r="AK96" i="11" a="1"/>
  <c r="AK96" i="11" s="1"/>
  <c r="AJ96" i="11" a="1"/>
  <c r="AJ96" i="11" s="1"/>
  <c r="AD97" i="11" a="1"/>
  <c r="AI96" i="11" l="1" a="1"/>
  <c r="AI96" i="11" s="1"/>
  <c r="AD97" i="11"/>
  <c r="AO96" i="11"/>
  <c r="AG96" i="11" s="1" a="1"/>
  <c r="AG96" i="11" s="1"/>
  <c r="AP96" i="11"/>
  <c r="AL97" i="11" l="1"/>
  <c r="AM97" i="11" s="1"/>
  <c r="AR96" i="11"/>
  <c r="AS96" i="11"/>
  <c r="AQ96" i="11"/>
  <c r="BN2" i="13"/>
  <c r="BK1" i="13"/>
  <c r="AN97" i="11" a="1"/>
  <c r="AN97" i="11" s="1"/>
  <c r="AK97" i="11" a="1"/>
  <c r="AK97" i="11" s="1"/>
  <c r="AE97" i="11" a="1"/>
  <c r="AE97" i="11" s="1"/>
  <c r="AI97" i="11" s="1" a="1"/>
  <c r="AI97" i="11" s="1"/>
  <c r="AJ97" i="11" a="1"/>
  <c r="AJ97" i="11" s="1"/>
  <c r="AF97" i="11" a="1"/>
  <c r="AF97" i="11" s="1"/>
  <c r="AD98" i="11" a="1"/>
  <c r="AH97" i="11" l="1" a="1"/>
  <c r="AH97" i="11" s="1"/>
  <c r="BN6" i="13"/>
  <c r="BN4" i="13"/>
  <c r="BL7" i="13"/>
  <c r="BN7" i="13"/>
  <c r="BJ1" i="13"/>
  <c r="BK6" i="13"/>
  <c r="BJ6" i="13"/>
  <c r="BJ7" i="13"/>
  <c r="BL6" i="13"/>
  <c r="BK2" i="13"/>
  <c r="BN3" i="13"/>
  <c r="BK3" i="13"/>
  <c r="BO1" i="13"/>
  <c r="BK4" i="13"/>
  <c r="AD98" i="11"/>
  <c r="AO97" i="11"/>
  <c r="AG97" i="11" s="1" a="1"/>
  <c r="AG97" i="11" s="1"/>
  <c r="AP97" i="11"/>
  <c r="AQ97" i="11" l="1"/>
  <c r="AR97" i="11"/>
  <c r="AS97" i="11"/>
  <c r="AL98" i="11"/>
  <c r="AM98" i="11" s="1"/>
  <c r="BP1" i="13"/>
  <c r="AJ98" i="11" a="1"/>
  <c r="AJ98" i="11" s="1"/>
  <c r="AF98" i="11" a="1"/>
  <c r="AF98" i="11" s="1"/>
  <c r="AE98" i="11" a="1"/>
  <c r="AE98" i="11" s="1"/>
  <c r="AI98" i="11" s="1" a="1"/>
  <c r="AI98" i="11" s="1"/>
  <c r="AN98" i="11" a="1"/>
  <c r="AN98" i="11" s="1"/>
  <c r="AK98" i="11" a="1"/>
  <c r="AK98" i="11" s="1"/>
  <c r="AD99" i="11" a="1"/>
  <c r="AH98" i="11" l="1" a="1"/>
  <c r="AH98" i="11" s="1"/>
  <c r="AD99" i="11"/>
  <c r="AP98" i="11"/>
  <c r="AO98" i="11"/>
  <c r="AG98" i="11" s="1" a="1"/>
  <c r="AG98" i="11" s="1"/>
  <c r="AL99" i="11" l="1"/>
  <c r="AS98" i="11"/>
  <c r="AQ98" i="11"/>
  <c r="AR98" i="11"/>
  <c r="BU2" i="13"/>
  <c r="BR1" i="13"/>
  <c r="AF99" i="11" a="1"/>
  <c r="AF99" i="11" s="1"/>
  <c r="AK99" i="11" a="1"/>
  <c r="AK99" i="11" s="1"/>
  <c r="AJ99" i="11" a="1"/>
  <c r="AJ99" i="11" s="1"/>
  <c r="AE99" i="11" a="1"/>
  <c r="AE99" i="11" s="1"/>
  <c r="AM99" i="11"/>
  <c r="AN99" i="11" a="1"/>
  <c r="AN99" i="11" s="1"/>
  <c r="AD100" i="11" a="1"/>
  <c r="AI99" i="11" l="1" a="1"/>
  <c r="AI99" i="11" s="1"/>
  <c r="AH99" i="11" a="1"/>
  <c r="AH99" i="11" s="1"/>
  <c r="BR2" i="13"/>
  <c r="BU3" i="13"/>
  <c r="BU7" i="13"/>
  <c r="BR6" i="13"/>
  <c r="BU4" i="13"/>
  <c r="BR4" i="13"/>
  <c r="BS6" i="13"/>
  <c r="BQ7" i="13"/>
  <c r="BQ6" i="13"/>
  <c r="BQ1" i="13"/>
  <c r="BR3" i="13"/>
  <c r="BU6" i="13"/>
  <c r="BV1" i="13"/>
  <c r="BS7" i="13"/>
  <c r="AD100" i="11"/>
  <c r="AO99" i="11"/>
  <c r="AG99" i="11" s="1" a="1"/>
  <c r="AG99" i="11" s="1"/>
  <c r="AP99" i="11"/>
  <c r="AQ99" i="11" l="1"/>
  <c r="AR99" i="11"/>
  <c r="AS99" i="11"/>
  <c r="AL100" i="11"/>
  <c r="AM100" i="11" s="1"/>
  <c r="BI9" i="13"/>
  <c r="AJ100" i="11" a="1"/>
  <c r="AJ100" i="11" s="1"/>
  <c r="AK100" i="11" a="1"/>
  <c r="AK100" i="11" s="1"/>
  <c r="AE100" i="11" a="1"/>
  <c r="AE100" i="11" s="1"/>
  <c r="AH100" i="11" s="1" a="1"/>
  <c r="AH100" i="11" s="1"/>
  <c r="AN100" i="11" a="1"/>
  <c r="AN100" i="11" s="1"/>
  <c r="AF100" i="11" a="1"/>
  <c r="AF100" i="11" s="1"/>
  <c r="AI100" i="11" l="1" a="1"/>
  <c r="AI100" i="11" s="1"/>
  <c r="BK9" i="13"/>
  <c r="BN10" i="13"/>
  <c r="BP9" i="13"/>
  <c r="AP100" i="11"/>
  <c r="AO100" i="11"/>
  <c r="AG100" i="11" s="1" a="1"/>
  <c r="AG100" i="11" s="1"/>
  <c r="AQ100" i="11" l="1"/>
  <c r="AR100" i="11"/>
  <c r="AS100" i="11"/>
  <c r="BU10" i="13"/>
  <c r="BR9" i="13"/>
  <c r="BI17" i="13"/>
  <c r="BK14" i="13"/>
  <c r="BN14" i="13"/>
  <c r="BJ15" i="13"/>
  <c r="BJ9" i="13"/>
  <c r="BJ14" i="13"/>
  <c r="BL15" i="13"/>
  <c r="BO9" i="13"/>
  <c r="BL14" i="13"/>
  <c r="BK12" i="13"/>
  <c r="BK11" i="13"/>
  <c r="BK10" i="13"/>
  <c r="BN11" i="13"/>
  <c r="BN15" i="13"/>
  <c r="BN12" i="13"/>
  <c r="BK17" i="13" l="1"/>
  <c r="BP17" i="13"/>
  <c r="BN18" i="13"/>
  <c r="BQ9" i="13"/>
  <c r="BS14" i="13"/>
  <c r="BR14" i="13"/>
  <c r="BU15" i="13"/>
  <c r="BR12" i="13"/>
  <c r="BU11" i="13"/>
  <c r="BS15" i="13"/>
  <c r="BU14" i="13"/>
  <c r="BV9" i="13"/>
  <c r="BR10" i="13"/>
  <c r="BQ15" i="13"/>
  <c r="BU12" i="13"/>
  <c r="BQ14" i="13"/>
  <c r="BR11" i="13"/>
  <c r="BI25" i="13" l="1"/>
  <c r="BU18" i="13"/>
  <c r="BR17" i="13"/>
  <c r="BJ17" i="13"/>
  <c r="BK18" i="13"/>
  <c r="BN20" i="13"/>
  <c r="BO17" i="13"/>
  <c r="BJ23" i="13"/>
  <c r="BK22" i="13"/>
  <c r="BL22" i="13"/>
  <c r="BL23" i="13"/>
  <c r="BJ22" i="13"/>
  <c r="BN23" i="13"/>
  <c r="BN22" i="13"/>
  <c r="BK19" i="13"/>
  <c r="BK20" i="13"/>
  <c r="BN19" i="13"/>
  <c r="BU19" i="13" l="1"/>
  <c r="BQ22" i="13"/>
  <c r="BR20" i="13"/>
  <c r="BS23" i="13"/>
  <c r="BR18" i="13"/>
  <c r="BU22" i="13"/>
  <c r="BS22" i="13"/>
  <c r="BU20" i="13"/>
  <c r="BR22" i="13"/>
  <c r="BQ23" i="13"/>
  <c r="BQ17" i="13"/>
  <c r="BR19" i="13"/>
  <c r="BV17" i="13"/>
  <c r="BU23" i="13"/>
  <c r="BN26" i="13"/>
  <c r="BK25" i="13"/>
  <c r="BP25" i="13"/>
  <c r="BK28" i="13" l="1"/>
  <c r="BN30" i="13"/>
  <c r="BK27" i="13"/>
  <c r="BK30" i="13"/>
  <c r="BK26" i="13"/>
  <c r="BJ30" i="13"/>
  <c r="BN28" i="13"/>
  <c r="BO25" i="13"/>
  <c r="BN31" i="13"/>
  <c r="BL31" i="13"/>
  <c r="BJ31" i="13"/>
  <c r="BL30" i="13"/>
  <c r="BJ25" i="13"/>
  <c r="BN27" i="13"/>
  <c r="BI33" i="13"/>
  <c r="BU26" i="13"/>
  <c r="BR25" i="13"/>
  <c r="BN34" i="13" l="1"/>
  <c r="BP33" i="13"/>
  <c r="BK33" i="13"/>
  <c r="BQ30" i="13"/>
  <c r="BR30" i="13"/>
  <c r="BQ31" i="13"/>
  <c r="BS31" i="13"/>
  <c r="BV25" i="13"/>
  <c r="BQ25" i="13"/>
  <c r="BU30" i="13"/>
  <c r="BR27" i="13"/>
  <c r="BU27" i="13"/>
  <c r="BR28" i="13"/>
  <c r="BU28" i="13"/>
  <c r="BS30" i="13"/>
  <c r="BR26" i="13"/>
  <c r="BU31" i="13"/>
  <c r="BJ33" i="13" l="1"/>
  <c r="BK35" i="13"/>
  <c r="BN38" i="13"/>
  <c r="BN35" i="13"/>
  <c r="BN39" i="13"/>
  <c r="BL38" i="13"/>
  <c r="BN36" i="13"/>
  <c r="BK36" i="13"/>
  <c r="BO33" i="13"/>
  <c r="BK38" i="13"/>
  <c r="BJ39" i="13"/>
  <c r="BL39" i="13"/>
  <c r="BJ38" i="13"/>
  <c r="BK34" i="13"/>
  <c r="BR33" i="13"/>
  <c r="BU34" i="13"/>
  <c r="BI41" i="13"/>
  <c r="BV33" i="13" l="1"/>
  <c r="BU38" i="13"/>
  <c r="BR36" i="13"/>
  <c r="BU36" i="13"/>
  <c r="BQ39" i="13"/>
  <c r="BQ38" i="13"/>
  <c r="BQ33" i="13"/>
  <c r="BU39" i="13"/>
  <c r="BR35" i="13"/>
  <c r="BR34" i="13"/>
  <c r="BR38" i="13"/>
  <c r="BS38" i="13"/>
  <c r="BS39" i="13"/>
  <c r="BU35" i="13"/>
  <c r="BP41" i="13"/>
  <c r="BK41" i="13"/>
  <c r="BN42" i="13"/>
  <c r="BN44" i="13" l="1"/>
  <c r="BL46" i="13"/>
  <c r="BK43" i="13"/>
  <c r="BK44" i="13"/>
  <c r="BN46" i="13"/>
  <c r="BN47" i="13"/>
  <c r="BJ47" i="13"/>
  <c r="BJ41" i="13"/>
  <c r="BK42" i="13"/>
  <c r="BL47" i="13"/>
  <c r="BJ46" i="13"/>
  <c r="BK46" i="13"/>
  <c r="BN43" i="13"/>
  <c r="BO41" i="13"/>
  <c r="BX1" i="13"/>
  <c r="BR41" i="13"/>
  <c r="BU42" i="13"/>
  <c r="BZ1" i="13" l="1"/>
  <c r="CE1" i="13"/>
  <c r="CC2" i="13"/>
  <c r="BS46" i="13"/>
  <c r="BS47" i="13"/>
  <c r="BR46" i="13"/>
  <c r="BU43" i="13"/>
  <c r="BV41" i="13"/>
  <c r="BR44" i="13"/>
  <c r="BQ46" i="13"/>
  <c r="BR42" i="13"/>
  <c r="BQ47" i="13"/>
  <c r="BR43" i="13"/>
  <c r="BU46" i="13"/>
  <c r="BU44" i="13"/>
  <c r="BQ41" i="13"/>
  <c r="BU47" i="13"/>
  <c r="CJ2" i="13" l="1"/>
  <c r="BX9" i="13"/>
  <c r="CG1" i="13"/>
  <c r="CC6" i="13"/>
  <c r="CC3" i="13"/>
  <c r="CA7" i="13"/>
  <c r="CA6" i="13"/>
  <c r="BZ6" i="13"/>
  <c r="CC4" i="13"/>
  <c r="BY1" i="13"/>
  <c r="CD1" i="13"/>
  <c r="BZ2" i="13"/>
  <c r="BY6" i="13"/>
  <c r="CC7" i="13"/>
  <c r="BZ3" i="13"/>
  <c r="BZ4" i="13"/>
  <c r="BY7" i="13"/>
  <c r="CF7" i="13" l="1"/>
  <c r="CJ4" i="13"/>
  <c r="CG3" i="13"/>
  <c r="CF1" i="13"/>
  <c r="CG4" i="13"/>
  <c r="CH7" i="13"/>
  <c r="CJ7" i="13"/>
  <c r="CH6" i="13"/>
  <c r="CJ3" i="13"/>
  <c r="CK1" i="13"/>
  <c r="CJ6" i="13"/>
  <c r="CG2" i="13"/>
  <c r="CF6" i="13"/>
  <c r="CG6" i="13"/>
  <c r="CE9" i="13"/>
  <c r="BZ9" i="13"/>
  <c r="CC10" i="13"/>
  <c r="CJ10" i="13" l="1"/>
  <c r="BX17" i="13"/>
  <c r="CG9" i="13"/>
  <c r="CC11" i="13"/>
  <c r="BZ12" i="13"/>
  <c r="BZ14" i="13"/>
  <c r="CC15" i="13"/>
  <c r="CC14" i="13"/>
  <c r="BZ11" i="13"/>
  <c r="CA15" i="13"/>
  <c r="CA14" i="13"/>
  <c r="CD9" i="13"/>
  <c r="BY15" i="13"/>
  <c r="BY14" i="13"/>
  <c r="BY9" i="13"/>
  <c r="CC12" i="13"/>
  <c r="BZ10" i="13"/>
  <c r="CG11" i="13" l="1"/>
  <c r="CG14" i="13"/>
  <c r="CJ11" i="13"/>
  <c r="CH14" i="13"/>
  <c r="CF14" i="13"/>
  <c r="CK9" i="13"/>
  <c r="CJ15" i="13"/>
  <c r="CH15" i="13"/>
  <c r="CF9" i="13"/>
  <c r="CJ14" i="13"/>
  <c r="CJ12" i="13"/>
  <c r="CF15" i="13"/>
  <c r="CG12" i="13"/>
  <c r="CG10" i="13"/>
  <c r="CC18" i="13"/>
  <c r="CE17" i="13"/>
  <c r="BZ17" i="13"/>
  <c r="BX25" i="13" l="1"/>
  <c r="CJ18" i="13"/>
  <c r="CG17" i="13"/>
  <c r="BY17" i="13"/>
  <c r="CD17" i="13"/>
  <c r="BZ19" i="13"/>
  <c r="CC23" i="13"/>
  <c r="BZ20" i="13"/>
  <c r="CC20" i="13"/>
  <c r="BY23" i="13"/>
  <c r="CC19" i="13"/>
  <c r="CA23" i="13"/>
  <c r="CA22" i="13"/>
  <c r="BY22" i="13"/>
  <c r="BZ22" i="13"/>
  <c r="BZ18" i="13"/>
  <c r="CC22" i="13"/>
  <c r="CH23" i="13" l="1"/>
  <c r="CF22" i="13"/>
  <c r="CJ23" i="13"/>
  <c r="CK17" i="13"/>
  <c r="CG19" i="13"/>
  <c r="CJ20" i="13"/>
  <c r="CG18" i="13"/>
  <c r="CH22" i="13"/>
  <c r="CJ19" i="13"/>
  <c r="CG20" i="13"/>
  <c r="CF23" i="13"/>
  <c r="CG22" i="13"/>
  <c r="CF17" i="13"/>
  <c r="CJ22" i="13"/>
  <c r="BZ25" i="13"/>
  <c r="CC26" i="13"/>
  <c r="CE25" i="13"/>
  <c r="BY31" i="13" l="1"/>
  <c r="CC28" i="13"/>
  <c r="BZ27" i="13"/>
  <c r="CC27" i="13"/>
  <c r="BY30" i="13"/>
  <c r="BZ28" i="13"/>
  <c r="CA30" i="13"/>
  <c r="CA31" i="13"/>
  <c r="BY25" i="13"/>
  <c r="BZ30" i="13"/>
  <c r="BZ26" i="13"/>
  <c r="CC30" i="13"/>
  <c r="CC31" i="13"/>
  <c r="CD25" i="13"/>
  <c r="BX33" i="13"/>
  <c r="CJ26" i="13"/>
  <c r="CG25" i="13"/>
  <c r="CE33" i="13" l="1"/>
  <c r="BZ33" i="13"/>
  <c r="CC34" i="13"/>
  <c r="CH31" i="13"/>
  <c r="CG28" i="13"/>
  <c r="CJ30" i="13"/>
  <c r="CJ27" i="13"/>
  <c r="CJ28" i="13"/>
  <c r="CF25" i="13"/>
  <c r="CF31" i="13"/>
  <c r="CJ31" i="13"/>
  <c r="CF30" i="13"/>
  <c r="CK25" i="13"/>
  <c r="CH30" i="13"/>
  <c r="CG26" i="13"/>
  <c r="CG27" i="13"/>
  <c r="CG30" i="13"/>
  <c r="CD33" i="13" l="1"/>
  <c r="CA39" i="13"/>
  <c r="CC39" i="13"/>
  <c r="BZ35" i="13"/>
  <c r="CA38" i="13"/>
  <c r="BY39" i="13"/>
  <c r="BY33" i="13"/>
  <c r="CC36" i="13"/>
  <c r="CC38" i="13"/>
  <c r="BZ36" i="13"/>
  <c r="BZ38" i="13"/>
  <c r="CC35" i="13"/>
  <c r="BY38" i="13"/>
  <c r="BZ34" i="13"/>
  <c r="CG33" i="13"/>
  <c r="BX41" i="13"/>
  <c r="CJ34" i="13"/>
  <c r="CF38" i="13" l="1"/>
  <c r="CF39" i="13"/>
  <c r="CH38" i="13"/>
  <c r="CG36" i="13"/>
  <c r="CF33" i="13"/>
  <c r="CK33" i="13"/>
  <c r="CJ38" i="13"/>
  <c r="CJ35" i="13"/>
  <c r="CG35" i="13"/>
  <c r="CG38" i="13"/>
  <c r="CJ39" i="13"/>
  <c r="CJ36" i="13"/>
  <c r="CG34" i="13"/>
  <c r="CH39" i="13"/>
  <c r="CC42" i="13"/>
  <c r="CE41" i="13"/>
  <c r="BZ41" i="13"/>
  <c r="CM1" i="13" l="1"/>
  <c r="CJ42" i="13"/>
  <c r="CG41" i="13"/>
  <c r="CC46" i="13"/>
  <c r="CC44" i="13"/>
  <c r="BZ42" i="13"/>
  <c r="CC43" i="13"/>
  <c r="BY47" i="13"/>
  <c r="BZ46" i="13"/>
  <c r="BZ43" i="13"/>
  <c r="BY46" i="13"/>
  <c r="CD41" i="13"/>
  <c r="BY41" i="13"/>
  <c r="BZ44" i="13"/>
  <c r="CC47" i="13"/>
  <c r="CA46" i="13"/>
  <c r="CA47" i="13"/>
  <c r="CJ47" i="13" l="1"/>
  <c r="CJ46" i="13"/>
  <c r="CG42" i="13"/>
  <c r="CH47" i="13"/>
  <c r="CG44" i="13"/>
  <c r="CJ44" i="13"/>
  <c r="CG46" i="13"/>
  <c r="CK41" i="13"/>
  <c r="CF47" i="13"/>
  <c r="CF46" i="13"/>
  <c r="CG43" i="13"/>
  <c r="CF41" i="13"/>
  <c r="CJ43" i="13"/>
  <c r="CH46" i="13"/>
  <c r="CT1" i="13"/>
  <c r="CR2" i="13"/>
  <c r="CO1" i="13"/>
  <c r="CY2" i="13" l="1"/>
  <c r="CV1" i="13"/>
  <c r="CM9" i="13"/>
  <c r="CN7" i="13"/>
  <c r="CR6" i="13"/>
  <c r="CO6" i="13"/>
  <c r="CO2" i="13"/>
  <c r="CP6" i="13"/>
  <c r="CR4" i="13"/>
  <c r="CR3" i="13"/>
  <c r="CO3" i="13"/>
  <c r="CN6" i="13"/>
  <c r="CR7" i="13"/>
  <c r="CS1" i="13"/>
  <c r="CN1" i="13"/>
  <c r="CO4" i="13"/>
  <c r="CP7" i="13"/>
  <c r="CR10" i="13" l="1"/>
  <c r="CT9" i="13"/>
  <c r="CO9" i="13"/>
  <c r="CZ1" i="13"/>
  <c r="CV2" i="13"/>
  <c r="CV6" i="13"/>
  <c r="CY3" i="13"/>
  <c r="CU7" i="13"/>
  <c r="CV4" i="13"/>
  <c r="CW7" i="13"/>
  <c r="CW6" i="13"/>
  <c r="CV3" i="13"/>
  <c r="CU1" i="13"/>
  <c r="CY4" i="13"/>
  <c r="CY6" i="13"/>
  <c r="CU6" i="13"/>
  <c r="CY7" i="13"/>
  <c r="CN14" i="13" l="1"/>
  <c r="CO12" i="13"/>
  <c r="CR11" i="13"/>
  <c r="CO14" i="13"/>
  <c r="CO11" i="13"/>
  <c r="CN15" i="13"/>
  <c r="CN9" i="13"/>
  <c r="CR15" i="13"/>
  <c r="CO10" i="13"/>
  <c r="CR12" i="13"/>
  <c r="CP15" i="13"/>
  <c r="CR14" i="13"/>
  <c r="CP14" i="13"/>
  <c r="CS9" i="13"/>
  <c r="CY10" i="13"/>
  <c r="CM17" i="13"/>
  <c r="CV9" i="13"/>
  <c r="CO17" i="13" l="1"/>
  <c r="CR18" i="13"/>
  <c r="CT17" i="13"/>
  <c r="CY11" i="13"/>
  <c r="CW14" i="13"/>
  <c r="CZ9" i="13"/>
  <c r="CY15" i="13"/>
  <c r="CV14" i="13"/>
  <c r="CY14" i="13"/>
  <c r="CV12" i="13"/>
  <c r="CY12" i="13"/>
  <c r="CV10" i="13"/>
  <c r="CU15" i="13"/>
  <c r="CU14" i="13"/>
  <c r="CV11" i="13"/>
  <c r="CW15" i="13"/>
  <c r="CU9" i="13"/>
  <c r="CY18" i="13" l="1"/>
  <c r="CV17" i="13"/>
  <c r="CM25" i="13"/>
  <c r="CO22" i="13"/>
  <c r="CR22" i="13"/>
  <c r="CO18" i="13"/>
  <c r="CN22" i="13"/>
  <c r="CP23" i="13"/>
  <c r="CR19" i="13"/>
  <c r="CR20" i="13"/>
  <c r="CR23" i="13"/>
  <c r="CO20" i="13"/>
  <c r="CP22" i="13"/>
  <c r="CS17" i="13"/>
  <c r="CO19" i="13"/>
  <c r="CN17" i="13"/>
  <c r="CN23" i="13"/>
  <c r="CR26" i="13" l="1"/>
  <c r="CT25" i="13"/>
  <c r="CO25" i="13"/>
  <c r="CV18" i="13"/>
  <c r="CU17" i="13"/>
  <c r="CZ17" i="13"/>
  <c r="CY20" i="13"/>
  <c r="CW22" i="13"/>
  <c r="CU22" i="13"/>
  <c r="CY23" i="13"/>
  <c r="CV20" i="13"/>
  <c r="CY19" i="13"/>
  <c r="CV19" i="13"/>
  <c r="CW23" i="13"/>
  <c r="CU23" i="13"/>
  <c r="CV22" i="13"/>
  <c r="CY22" i="13"/>
  <c r="CP30" i="13" l="1"/>
  <c r="CO28" i="13"/>
  <c r="CN31" i="13"/>
  <c r="CP31" i="13"/>
  <c r="CO26" i="13"/>
  <c r="CN30" i="13"/>
  <c r="CR30" i="13"/>
  <c r="CO30" i="13"/>
  <c r="CS25" i="13"/>
  <c r="CR27" i="13"/>
  <c r="CR28" i="13"/>
  <c r="CN25" i="13"/>
  <c r="CR31" i="13"/>
  <c r="CO27" i="13"/>
  <c r="CY26" i="13"/>
  <c r="CM33" i="13"/>
  <c r="CV25" i="13"/>
  <c r="CO33" i="13" l="1"/>
  <c r="CR34" i="13"/>
  <c r="CT33" i="13"/>
  <c r="CU25" i="13"/>
  <c r="CW31" i="13"/>
  <c r="CV26" i="13"/>
  <c r="CW30" i="13"/>
  <c r="CY31" i="13"/>
  <c r="CY28" i="13"/>
  <c r="CU30" i="13"/>
  <c r="CV27" i="13"/>
  <c r="CV28" i="13"/>
  <c r="CY27" i="13"/>
  <c r="CY30" i="13"/>
  <c r="CZ25" i="13"/>
  <c r="CV30" i="13"/>
  <c r="CU31" i="13"/>
  <c r="CV33" i="13" l="1"/>
  <c r="CM41" i="13"/>
  <c r="CY34" i="13"/>
  <c r="CP39" i="13"/>
  <c r="CO38" i="13"/>
  <c r="CR39" i="13"/>
  <c r="CR38" i="13"/>
  <c r="CR35" i="13"/>
  <c r="CR36" i="13"/>
  <c r="CN39" i="13"/>
  <c r="CS33" i="13"/>
  <c r="CN38" i="13"/>
  <c r="CP38" i="13"/>
  <c r="CO34" i="13"/>
  <c r="CO35" i="13"/>
  <c r="CN33" i="13"/>
  <c r="CO36" i="13"/>
  <c r="CT41" i="13" l="1"/>
  <c r="CO41" i="13"/>
  <c r="CR42" i="13"/>
  <c r="CV35" i="13"/>
  <c r="CW39" i="13"/>
  <c r="CU38" i="13"/>
  <c r="CY38" i="13"/>
  <c r="CY39" i="13"/>
  <c r="CU39" i="13"/>
  <c r="CV38" i="13"/>
  <c r="CV36" i="13"/>
  <c r="CY36" i="13"/>
  <c r="CU33" i="13"/>
  <c r="CV34" i="13"/>
  <c r="CZ33" i="13"/>
  <c r="CY35" i="13"/>
  <c r="CW38" i="13"/>
  <c r="CR44" i="13" l="1"/>
  <c r="CR47" i="13"/>
  <c r="CO44" i="13"/>
  <c r="CP47" i="13"/>
  <c r="CN47" i="13"/>
  <c r="CP46" i="13"/>
  <c r="CO46" i="13"/>
  <c r="CO42" i="13"/>
  <c r="CO43" i="13"/>
  <c r="CN46" i="13"/>
  <c r="CR43" i="13"/>
  <c r="CR46" i="13"/>
  <c r="CS41" i="13"/>
  <c r="CN41" i="13"/>
  <c r="CY42" i="13"/>
  <c r="CV41" i="13"/>
  <c r="DB1" i="13"/>
  <c r="CZ41" i="13" l="1"/>
  <c r="CY46" i="13"/>
  <c r="CW47" i="13"/>
  <c r="CY44" i="13"/>
  <c r="CY47" i="13"/>
  <c r="CV46" i="13"/>
  <c r="CU41" i="13"/>
  <c r="CY43" i="13"/>
  <c r="CU46" i="13"/>
  <c r="CV43" i="13"/>
  <c r="CV44" i="13"/>
  <c r="CU47" i="13"/>
  <c r="CW46" i="13"/>
  <c r="CV42" i="13"/>
  <c r="DI1" i="13"/>
  <c r="DG2" i="13"/>
  <c r="DD1" i="13"/>
  <c r="DB9" i="13" l="1"/>
  <c r="DK1" i="13"/>
  <c r="DN2" i="13"/>
  <c r="DE7" i="13"/>
  <c r="DG3" i="13"/>
  <c r="DC1" i="13"/>
  <c r="DE6" i="13"/>
  <c r="DG4" i="13"/>
  <c r="DC7" i="13"/>
  <c r="DG6" i="13"/>
  <c r="DG7" i="13"/>
  <c r="DD6" i="13"/>
  <c r="DD2" i="13"/>
  <c r="DD3" i="13"/>
  <c r="DC6" i="13"/>
  <c r="DH1" i="13"/>
  <c r="DD4" i="13"/>
  <c r="DK3" i="13" l="1"/>
  <c r="DN4" i="13"/>
  <c r="DN6" i="13"/>
  <c r="DN7" i="13"/>
  <c r="DN3" i="13"/>
  <c r="DJ1" i="13"/>
  <c r="DO1" i="13"/>
  <c r="DJ6" i="13"/>
  <c r="DJ7" i="13"/>
  <c r="DL7" i="13"/>
  <c r="DK4" i="13"/>
  <c r="DK6" i="13"/>
  <c r="DL6" i="13"/>
  <c r="DK2" i="13"/>
  <c r="DG10" i="13"/>
  <c r="DI9" i="13"/>
  <c r="DD9" i="13"/>
  <c r="DN10" i="13" l="1"/>
  <c r="DB17" i="13"/>
  <c r="DK9" i="13"/>
  <c r="DC15" i="13"/>
  <c r="DG11" i="13"/>
  <c r="DC14" i="13"/>
  <c r="DG14" i="13"/>
  <c r="DG15" i="13"/>
  <c r="DE15" i="13"/>
  <c r="DH9" i="13"/>
  <c r="DD12" i="13"/>
  <c r="DD14" i="13"/>
  <c r="DG12" i="13"/>
  <c r="DE14" i="13"/>
  <c r="DD11" i="13"/>
  <c r="DC9" i="13"/>
  <c r="DD10" i="13"/>
  <c r="DJ15" i="13" l="1"/>
  <c r="DK14" i="13"/>
  <c r="DL14" i="13"/>
  <c r="DN11" i="13"/>
  <c r="DL15" i="13"/>
  <c r="DJ9" i="13"/>
  <c r="DN15" i="13"/>
  <c r="DK10" i="13"/>
  <c r="DK12" i="13"/>
  <c r="DN14" i="13"/>
  <c r="DJ14" i="13"/>
  <c r="DO9" i="13"/>
  <c r="DK11" i="13"/>
  <c r="DN12" i="13"/>
  <c r="DG18" i="13"/>
  <c r="DD17" i="13"/>
  <c r="DI17" i="13"/>
  <c r="DD18" i="13" l="1"/>
  <c r="DD22" i="13"/>
  <c r="DC22" i="13"/>
  <c r="DC17" i="13"/>
  <c r="DD20" i="13"/>
  <c r="DE23" i="13"/>
  <c r="DG22" i="13"/>
  <c r="DH17" i="13"/>
  <c r="DE22" i="13"/>
  <c r="DG23" i="13"/>
  <c r="DD19" i="13"/>
  <c r="DG20" i="13"/>
  <c r="DG19" i="13"/>
  <c r="DC23" i="13"/>
  <c r="DK17" i="13"/>
  <c r="DB25" i="13"/>
  <c r="DN18" i="13"/>
  <c r="DN20" i="13" l="1"/>
  <c r="DN22" i="13"/>
  <c r="DN19" i="13"/>
  <c r="DL23" i="13"/>
  <c r="DO17" i="13"/>
  <c r="DJ23" i="13"/>
  <c r="DK18" i="13"/>
  <c r="DJ22" i="13"/>
  <c r="DL22" i="13"/>
  <c r="DK22" i="13"/>
  <c r="DJ17" i="13"/>
  <c r="DK19" i="13"/>
  <c r="DK20" i="13"/>
  <c r="DN23" i="13"/>
  <c r="DG26" i="13"/>
  <c r="DI25" i="13"/>
  <c r="DD25" i="13"/>
  <c r="DN26" i="13" l="1"/>
  <c r="DK25" i="13"/>
  <c r="DB33" i="13"/>
  <c r="DD28" i="13"/>
  <c r="DG30" i="13"/>
  <c r="DD27" i="13"/>
  <c r="DG28" i="13"/>
  <c r="DC25" i="13"/>
  <c r="DE30" i="13"/>
  <c r="DC31" i="13"/>
  <c r="DH25" i="13"/>
  <c r="DC30" i="13"/>
  <c r="DG31" i="13"/>
  <c r="DD26" i="13"/>
  <c r="DE31" i="13"/>
  <c r="DD30" i="13"/>
  <c r="DG27" i="13"/>
  <c r="DG34" i="13" l="1"/>
  <c r="DI33" i="13"/>
  <c r="DD33" i="13"/>
  <c r="DK27" i="13"/>
  <c r="DN28" i="13"/>
  <c r="DJ30" i="13"/>
  <c r="DO25" i="13"/>
  <c r="DN30" i="13"/>
  <c r="DN27" i="13"/>
  <c r="DJ25" i="13"/>
  <c r="DJ31" i="13"/>
  <c r="DN31" i="13"/>
  <c r="DK26" i="13"/>
  <c r="DL31" i="13"/>
  <c r="DL30" i="13"/>
  <c r="DK28" i="13"/>
  <c r="DK30" i="13"/>
  <c r="DG36" i="13" l="1"/>
  <c r="DG38" i="13"/>
  <c r="DG35" i="13"/>
  <c r="DD35" i="13"/>
  <c r="DC38" i="13"/>
  <c r="DH33" i="13"/>
  <c r="DE38" i="13"/>
  <c r="DC33" i="13"/>
  <c r="DC39" i="13"/>
  <c r="DG39" i="13"/>
  <c r="DD36" i="13"/>
  <c r="DD38" i="13"/>
  <c r="DD34" i="13"/>
  <c r="DE39" i="13"/>
  <c r="DN34" i="13"/>
  <c r="DK33" i="13"/>
  <c r="DB41" i="13"/>
  <c r="DJ33" i="13" l="1"/>
  <c r="DL39" i="13"/>
  <c r="DK36" i="13"/>
  <c r="DL38" i="13"/>
  <c r="DN38" i="13"/>
  <c r="DN35" i="13"/>
  <c r="DO33" i="13"/>
  <c r="DK34" i="13"/>
  <c r="DJ38" i="13"/>
  <c r="DN36" i="13"/>
  <c r="DJ39" i="13"/>
  <c r="DK35" i="13"/>
  <c r="DN39" i="13"/>
  <c r="DK38" i="13"/>
  <c r="DD41" i="13"/>
  <c r="DG42" i="13"/>
  <c r="DI41" i="13"/>
  <c r="DG47" i="13" l="1"/>
  <c r="DC47" i="13"/>
  <c r="DE46" i="13"/>
  <c r="DD42" i="13"/>
  <c r="DD44" i="13"/>
  <c r="DD43" i="13"/>
  <c r="DG44" i="13"/>
  <c r="DC46" i="13"/>
  <c r="DG43" i="13"/>
  <c r="DG46" i="13"/>
  <c r="DE47" i="13"/>
  <c r="DD46" i="13"/>
  <c r="DH41" i="13"/>
  <c r="DC41" i="13"/>
  <c r="DK41" i="13"/>
  <c r="DN42" i="13"/>
  <c r="DQ1" i="13"/>
  <c r="DL46" i="13" l="1"/>
  <c r="DN46" i="13"/>
  <c r="DJ41" i="13"/>
  <c r="DK43" i="13"/>
  <c r="DJ47" i="13"/>
  <c r="DK42" i="13"/>
  <c r="DK44" i="13"/>
  <c r="DK46" i="13"/>
  <c r="DL47" i="13"/>
  <c r="DN44" i="13"/>
  <c r="DN47" i="13"/>
  <c r="DJ46" i="13"/>
  <c r="DN43" i="13"/>
  <c r="DO41" i="13"/>
  <c r="DX1" i="13"/>
  <c r="DV2" i="13"/>
  <c r="DS1" i="13"/>
  <c r="DZ1" i="13" l="1"/>
  <c r="DQ9" i="13"/>
  <c r="EC2" i="13"/>
  <c r="DS3" i="13"/>
  <c r="DT6" i="13"/>
  <c r="DV6" i="13"/>
  <c r="DR7" i="13"/>
  <c r="DS2" i="13"/>
  <c r="DR6" i="13"/>
  <c r="DV4" i="13"/>
  <c r="DV3" i="13"/>
  <c r="DT7" i="13"/>
  <c r="DS4" i="13"/>
  <c r="DW1" i="13"/>
  <c r="DV7" i="13"/>
  <c r="DR1" i="13"/>
  <c r="DS6" i="13"/>
  <c r="DV10" i="13" l="1"/>
  <c r="DS9" i="13"/>
  <c r="DX9" i="13"/>
  <c r="DZ6" i="13"/>
  <c r="DZ4" i="13"/>
  <c r="EC6" i="13"/>
  <c r="DY6" i="13"/>
  <c r="EC7" i="13"/>
  <c r="EC3" i="13"/>
  <c r="DY1" i="13"/>
  <c r="EA6" i="13"/>
  <c r="EC4" i="13"/>
  <c r="ED1" i="13"/>
  <c r="DZ2" i="13"/>
  <c r="DY7" i="13"/>
  <c r="DZ3" i="13"/>
  <c r="EA7" i="13"/>
  <c r="DZ9" i="13" l="1"/>
  <c r="DQ17" i="13"/>
  <c r="EC10" i="13"/>
  <c r="DS12" i="13"/>
  <c r="DV11" i="13"/>
  <c r="DV14" i="13"/>
  <c r="DS11" i="13"/>
  <c r="DR9" i="13"/>
  <c r="DS10" i="13"/>
  <c r="DR15" i="13"/>
  <c r="DV15" i="13"/>
  <c r="DT15" i="13"/>
  <c r="DS14" i="13"/>
  <c r="DT14" i="13"/>
  <c r="DV12" i="13"/>
  <c r="DR14" i="13"/>
  <c r="DW9" i="13"/>
  <c r="DX17" i="13" l="1"/>
  <c r="DS17" i="13"/>
  <c r="DV18" i="13"/>
  <c r="EC12" i="13"/>
  <c r="EC11" i="13"/>
  <c r="EC14" i="13"/>
  <c r="DZ11" i="13"/>
  <c r="DZ12" i="13"/>
  <c r="EC15" i="13"/>
  <c r="DY15" i="13"/>
  <c r="EA15" i="13"/>
  <c r="DZ10" i="13"/>
  <c r="DY14" i="13"/>
  <c r="EA14" i="13"/>
  <c r="DZ14" i="13"/>
  <c r="ED9" i="13"/>
  <c r="DY9" i="13"/>
  <c r="DV20" i="13" l="1"/>
  <c r="DV22" i="13"/>
  <c r="DS20" i="13"/>
  <c r="DW17" i="13"/>
  <c r="DR22" i="13"/>
  <c r="DT23" i="13"/>
  <c r="DR23" i="13"/>
  <c r="DS19" i="13"/>
  <c r="DV19" i="13"/>
  <c r="DV23" i="13"/>
  <c r="DT22" i="13"/>
  <c r="DS22" i="13"/>
  <c r="DS18" i="13"/>
  <c r="DR17" i="13"/>
  <c r="DZ17" i="13"/>
  <c r="DQ25" i="13"/>
  <c r="EC18" i="13"/>
  <c r="DV26" i="13" l="1"/>
  <c r="DS25" i="13"/>
  <c r="DX25" i="13"/>
  <c r="EA22" i="13"/>
  <c r="DZ22" i="13"/>
  <c r="EC23" i="13"/>
  <c r="EA23" i="13"/>
  <c r="DZ18" i="13"/>
  <c r="DY23" i="13"/>
  <c r="DZ20" i="13"/>
  <c r="DY22" i="13"/>
  <c r="DZ19" i="13"/>
  <c r="EC19" i="13"/>
  <c r="EC22" i="13"/>
  <c r="ED17" i="13"/>
  <c r="DY17" i="13"/>
  <c r="EC20" i="13"/>
  <c r="EC26" i="13" l="1"/>
  <c r="DQ33" i="13"/>
  <c r="DZ25" i="13"/>
  <c r="DT30" i="13"/>
  <c r="DS30" i="13"/>
  <c r="DS28" i="13"/>
  <c r="DS27" i="13"/>
  <c r="DT31" i="13"/>
  <c r="DS26" i="13"/>
  <c r="DV31" i="13"/>
  <c r="DV27" i="13"/>
  <c r="DR31" i="13"/>
  <c r="DR30" i="13"/>
  <c r="DV30" i="13"/>
  <c r="DR25" i="13"/>
  <c r="DW25" i="13"/>
  <c r="DV28" i="13"/>
  <c r="EC28" i="13" l="1"/>
  <c r="DY30" i="13"/>
  <c r="EA30" i="13"/>
  <c r="EC31" i="13"/>
  <c r="EA31" i="13"/>
  <c r="DZ27" i="13"/>
  <c r="DY31" i="13"/>
  <c r="EC30" i="13"/>
  <c r="DZ30" i="13"/>
  <c r="DZ28" i="13"/>
  <c r="EC27" i="13"/>
  <c r="DY25" i="13"/>
  <c r="ED25" i="13"/>
  <c r="DZ26" i="13"/>
  <c r="DV34" i="13"/>
  <c r="DX33" i="13"/>
  <c r="DS33" i="13"/>
  <c r="EC34" i="13" l="1"/>
  <c r="DQ41" i="13"/>
  <c r="DZ33" i="13"/>
  <c r="DT39" i="13"/>
  <c r="DV36" i="13"/>
  <c r="DS38" i="13"/>
  <c r="DR33" i="13"/>
  <c r="DS35" i="13"/>
  <c r="DS34" i="13"/>
  <c r="DV35" i="13"/>
  <c r="DW33" i="13"/>
  <c r="DV39" i="13"/>
  <c r="DR38" i="13"/>
  <c r="DV38" i="13"/>
  <c r="DS36" i="13"/>
  <c r="DT38" i="13"/>
  <c r="DR39" i="13"/>
  <c r="ED33" i="13" l="1"/>
  <c r="DZ35" i="13"/>
  <c r="EC35" i="13"/>
  <c r="DY33" i="13"/>
  <c r="EC36" i="13"/>
  <c r="EA38" i="13"/>
  <c r="DZ36" i="13"/>
  <c r="DY39" i="13"/>
  <c r="EC39" i="13"/>
  <c r="EA39" i="13"/>
  <c r="DZ38" i="13"/>
  <c r="EC38" i="13"/>
  <c r="DZ34" i="13"/>
  <c r="DY38" i="13"/>
  <c r="DX41" i="13"/>
  <c r="DV42" i="13"/>
  <c r="DS41" i="13"/>
  <c r="DZ41" i="13" l="1"/>
  <c r="EF1" i="13"/>
  <c r="EC42" i="13"/>
  <c r="DV44" i="13"/>
  <c r="DR47" i="13"/>
  <c r="DS46" i="13"/>
  <c r="DS43" i="13"/>
  <c r="DV46" i="13"/>
  <c r="DR41" i="13"/>
  <c r="DT46" i="13"/>
  <c r="DV43" i="13"/>
  <c r="DT47" i="13"/>
  <c r="DS44" i="13"/>
  <c r="DS42" i="13"/>
  <c r="DV47" i="13"/>
  <c r="DW41" i="13"/>
  <c r="DR46" i="13"/>
  <c r="EM1" i="13" l="1"/>
  <c r="EH1" i="13"/>
  <c r="EK2" i="13"/>
  <c r="EC46" i="13"/>
  <c r="EC43" i="13"/>
  <c r="DZ42" i="13"/>
  <c r="DY46" i="13"/>
  <c r="DY47" i="13"/>
  <c r="EC47" i="13"/>
  <c r="DZ43" i="13"/>
  <c r="DY41" i="13"/>
  <c r="ED41" i="13"/>
  <c r="DZ46" i="13"/>
  <c r="EA46" i="13"/>
  <c r="DZ44" i="13"/>
  <c r="EC44" i="13"/>
  <c r="EA47" i="13"/>
  <c r="EG7" i="13" l="1"/>
  <c r="EG6" i="13"/>
  <c r="EK6" i="13"/>
  <c r="EI6" i="13"/>
  <c r="EK3" i="13"/>
  <c r="EL1" i="13"/>
  <c r="EK7" i="13"/>
  <c r="EH2" i="13"/>
  <c r="EG1" i="13"/>
  <c r="EH3" i="13"/>
  <c r="EH6" i="13"/>
  <c r="EI7" i="13"/>
  <c r="EK4" i="13"/>
  <c r="EH4" i="13"/>
  <c r="EF9" i="13"/>
  <c r="EO1" i="13"/>
  <c r="ER2" i="13"/>
  <c r="EN7" i="13" l="1"/>
  <c r="EO4" i="13"/>
  <c r="EO2" i="13"/>
  <c r="ER6" i="13"/>
  <c r="ER7" i="13"/>
  <c r="ER3" i="13"/>
  <c r="ES1" i="13"/>
  <c r="EO3" i="13"/>
  <c r="EN6" i="13"/>
  <c r="EN1" i="13"/>
  <c r="ER4" i="13"/>
  <c r="EP6" i="13"/>
  <c r="EO6" i="13"/>
  <c r="EP7" i="13"/>
  <c r="EH9" i="13"/>
  <c r="EK10" i="13"/>
  <c r="EM9" i="13"/>
  <c r="EK12" i="13" l="1"/>
  <c r="EI14" i="13"/>
  <c r="EH11" i="13"/>
  <c r="EG9" i="13"/>
  <c r="EK14" i="13"/>
  <c r="EH14" i="13"/>
  <c r="EK11" i="13"/>
  <c r="EL9" i="13"/>
  <c r="EI15" i="13"/>
  <c r="EK15" i="13"/>
  <c r="EH12" i="13"/>
  <c r="EG15" i="13"/>
  <c r="EG14" i="13"/>
  <c r="EH10" i="13"/>
  <c r="EO9" i="13"/>
  <c r="EF17" i="13"/>
  <c r="ER10" i="13"/>
  <c r="ER14" i="13" l="1"/>
  <c r="ER15" i="13"/>
  <c r="EN9" i="13"/>
  <c r="ES9" i="13"/>
  <c r="EO12" i="13"/>
  <c r="EP15" i="13"/>
  <c r="EO11" i="13"/>
  <c r="EN14" i="13"/>
  <c r="EO14" i="13"/>
  <c r="EP14" i="13"/>
  <c r="ER11" i="13"/>
  <c r="ER12" i="13"/>
  <c r="EO10" i="13"/>
  <c r="EN15" i="13"/>
  <c r="EK18" i="13"/>
  <c r="EM17" i="13"/>
  <c r="EH17" i="13"/>
  <c r="ER18" i="13" l="1"/>
  <c r="EF25" i="13"/>
  <c r="EO17" i="13"/>
  <c r="EG22" i="13"/>
  <c r="EG17" i="13"/>
  <c r="EH20" i="13"/>
  <c r="EK19" i="13"/>
  <c r="EI22" i="13"/>
  <c r="EH18" i="13"/>
  <c r="EG23" i="13"/>
  <c r="EL17" i="13"/>
  <c r="EK20" i="13"/>
  <c r="EI23" i="13"/>
  <c r="EH19" i="13"/>
  <c r="EH22" i="13"/>
  <c r="EK22" i="13"/>
  <c r="EK23" i="13"/>
  <c r="EO18" i="13" l="1"/>
  <c r="ER19" i="13"/>
  <c r="ER20" i="13"/>
  <c r="EO20" i="13"/>
  <c r="EO19" i="13"/>
  <c r="EP23" i="13"/>
  <c r="ER22" i="13"/>
  <c r="EO22" i="13"/>
  <c r="ES17" i="13"/>
  <c r="EP22" i="13"/>
  <c r="ER23" i="13"/>
  <c r="EN23" i="13"/>
  <c r="EN22" i="13"/>
  <c r="EN17" i="13"/>
  <c r="EM25" i="13"/>
  <c r="EH25" i="13"/>
  <c r="EK26" i="13"/>
  <c r="EH30" i="13" l="1"/>
  <c r="EG31" i="13"/>
  <c r="EI30" i="13"/>
  <c r="EI31" i="13"/>
  <c r="EH27" i="13"/>
  <c r="EG25" i="13"/>
  <c r="EK31" i="13"/>
  <c r="EG30" i="13"/>
  <c r="EH28" i="13"/>
  <c r="EK28" i="13"/>
  <c r="EK30" i="13"/>
  <c r="EK27" i="13"/>
  <c r="EH26" i="13"/>
  <c r="EL25" i="13"/>
  <c r="ER26" i="13"/>
  <c r="EF33" i="13"/>
  <c r="EO25" i="13"/>
  <c r="EH33" i="13" l="1"/>
  <c r="EK34" i="13"/>
  <c r="EM33" i="13"/>
  <c r="EO30" i="13"/>
  <c r="ER28" i="13"/>
  <c r="EO27" i="13"/>
  <c r="ER30" i="13"/>
  <c r="EP31" i="13"/>
  <c r="EN31" i="13"/>
  <c r="ER31" i="13"/>
  <c r="EO26" i="13"/>
  <c r="EN30" i="13"/>
  <c r="ER27" i="13"/>
  <c r="EN25" i="13"/>
  <c r="EP30" i="13"/>
  <c r="EO28" i="13"/>
  <c r="ES25" i="13"/>
  <c r="EO33" i="13" l="1"/>
  <c r="ER34" i="13"/>
  <c r="EF41" i="13"/>
  <c r="EL33" i="13"/>
  <c r="EH34" i="13"/>
  <c r="EK35" i="13"/>
  <c r="EK36" i="13"/>
  <c r="EG39" i="13"/>
  <c r="EH36" i="13"/>
  <c r="EK39" i="13"/>
  <c r="EH35" i="13"/>
  <c r="EI39" i="13"/>
  <c r="EG33" i="13"/>
  <c r="EK38" i="13"/>
  <c r="EG38" i="13"/>
  <c r="EI38" i="13"/>
  <c r="EH38" i="13"/>
  <c r="EM41" i="13" l="1"/>
  <c r="EH41" i="13"/>
  <c r="EK42" i="13"/>
  <c r="EO34" i="13"/>
  <c r="ER38" i="13"/>
  <c r="EN39" i="13"/>
  <c r="EP38" i="13"/>
  <c r="ER39" i="13"/>
  <c r="EO35" i="13"/>
  <c r="EO38" i="13"/>
  <c r="EP39" i="13"/>
  <c r="ER36" i="13"/>
  <c r="EN38" i="13"/>
  <c r="EN33" i="13"/>
  <c r="EO36" i="13"/>
  <c r="ER35" i="13"/>
  <c r="ES33" i="13"/>
  <c r="EI47" i="13" l="1"/>
  <c r="EH46" i="13"/>
  <c r="EG47" i="13"/>
  <c r="EK46" i="13"/>
  <c r="EG46" i="13"/>
  <c r="EH44" i="13"/>
  <c r="EH42" i="13"/>
  <c r="EK43" i="13"/>
  <c r="EL41" i="13"/>
  <c r="EH43" i="13"/>
  <c r="EG41" i="13"/>
  <c r="EI46" i="13"/>
  <c r="EK47" i="13"/>
  <c r="EK44" i="13"/>
  <c r="EO41" i="13"/>
  <c r="ER42" i="13"/>
  <c r="EO46" i="13" l="1"/>
  <c r="EO44" i="13"/>
  <c r="EN41" i="13"/>
  <c r="EN47" i="13"/>
  <c r="ER46" i="13"/>
  <c r="EP46" i="13"/>
  <c r="EO42" i="13"/>
  <c r="ER44" i="13"/>
  <c r="EO43" i="13"/>
  <c r="ER43" i="13"/>
  <c r="EN46" i="13"/>
  <c r="EP47" i="13"/>
  <c r="ER47" i="13"/>
  <c r="ES41" i="13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<sst xmlns="http://schemas.openxmlformats.org/spreadsheetml/2006/main" count="21200" uniqueCount="4432">
  <si>
    <t>赤</t>
  </si>
  <si>
    <t>24</t>
  </si>
  <si>
    <t>88</t>
  </si>
  <si>
    <t>0</t>
  </si>
  <si>
    <t>キャラ弁（学食）</t>
  </si>
  <si>
    <t>オレンジ</t>
  </si>
  <si>
    <t>30</t>
  </si>
  <si>
    <t>76</t>
  </si>
  <si>
    <t>1</t>
  </si>
  <si>
    <t>キャラ弁当</t>
  </si>
  <si>
    <t>お誕生会　</t>
  </si>
  <si>
    <t>18</t>
  </si>
  <si>
    <t>65</t>
  </si>
  <si>
    <t>配膳スマ</t>
  </si>
  <si>
    <t>シンキングキッズ</t>
  </si>
  <si>
    <t>なないろキッズ</t>
  </si>
  <si>
    <t>奈良屋幼稚園</t>
  </si>
  <si>
    <t>スマイルキッズ</t>
  </si>
  <si>
    <t>シャインスターキッズ</t>
  </si>
  <si>
    <t>ことばの森プリスクール</t>
  </si>
  <si>
    <t>笹丘カトリック幼稚園</t>
  </si>
  <si>
    <t>小笹幼稚園</t>
  </si>
  <si>
    <t>若久幼稚園</t>
  </si>
  <si>
    <t>大橋幼稚園</t>
  </si>
  <si>
    <t>かしはら幼稚園</t>
  </si>
  <si>
    <t>さらやま保育園</t>
  </si>
  <si>
    <t>リリィ保育園</t>
  </si>
  <si>
    <t>宝幼稚園</t>
  </si>
  <si>
    <t>須玖幼稚園</t>
  </si>
  <si>
    <t>大野南幼稚園</t>
  </si>
  <si>
    <t>太宰府天満宮幼稚園</t>
  </si>
  <si>
    <t>すてっぷ</t>
  </si>
  <si>
    <t>香蘭幼稚園</t>
  </si>
  <si>
    <t>イングリッシュスク―ル</t>
  </si>
  <si>
    <t>アメリカンチャターボックス</t>
  </si>
  <si>
    <t>コーナーズインターナショナル</t>
  </si>
  <si>
    <t>はたなか</t>
  </si>
  <si>
    <t>社食</t>
  </si>
  <si>
    <t>吉塚ゆりの樹幼稚園（別）</t>
  </si>
  <si>
    <t>春日小鳩幼稚園</t>
  </si>
  <si>
    <t>かなやま幼稚園</t>
  </si>
  <si>
    <t>山王幼稚園</t>
  </si>
  <si>
    <t>アイスクール幼稚園</t>
  </si>
  <si>
    <t>＊＊＊</t>
  </si>
  <si>
    <t>数出表</t>
  </si>
  <si>
    <t>上段：園児、下段：先生</t>
  </si>
  <si>
    <t>作成日</t>
  </si>
  <si>
    <t>おやつ</t>
  </si>
  <si>
    <t>園名</t>
  </si>
  <si>
    <t>飯あり</t>
  </si>
  <si>
    <t>おにぎり</t>
  </si>
  <si>
    <t>飯なし</t>
  </si>
  <si>
    <t>100</t>
  </si>
  <si>
    <t>150</t>
  </si>
  <si>
    <t>120</t>
  </si>
  <si>
    <t>三角</t>
  </si>
  <si>
    <t>半俵</t>
  </si>
  <si>
    <t>5100</t>
  </si>
  <si>
    <t>73</t>
  </si>
  <si>
    <t>18600</t>
  </si>
  <si>
    <t>9</t>
  </si>
  <si>
    <t>19700</t>
  </si>
  <si>
    <t>200</t>
  </si>
  <si>
    <t>53</t>
  </si>
  <si>
    <t>15</t>
  </si>
  <si>
    <t>206</t>
  </si>
  <si>
    <t>207</t>
  </si>
  <si>
    <t>3</t>
  </si>
  <si>
    <t>400</t>
  </si>
  <si>
    <t>20</t>
  </si>
  <si>
    <t>406</t>
  </si>
  <si>
    <t>407</t>
  </si>
  <si>
    <t>6</t>
  </si>
  <si>
    <t>500</t>
  </si>
  <si>
    <t>69</t>
  </si>
  <si>
    <t>22</t>
  </si>
  <si>
    <t>506</t>
  </si>
  <si>
    <t>507</t>
  </si>
  <si>
    <t>11</t>
  </si>
  <si>
    <t>13000</t>
  </si>
  <si>
    <t>61</t>
  </si>
  <si>
    <t>13002</t>
  </si>
  <si>
    <t>13003</t>
  </si>
  <si>
    <t>13004</t>
  </si>
  <si>
    <t>5</t>
  </si>
  <si>
    <t>16300</t>
  </si>
  <si>
    <t>600</t>
  </si>
  <si>
    <t>109</t>
  </si>
  <si>
    <t>16</t>
  </si>
  <si>
    <t>606</t>
  </si>
  <si>
    <t>236</t>
  </si>
  <si>
    <t>607</t>
  </si>
  <si>
    <t>13</t>
  </si>
  <si>
    <t>700</t>
  </si>
  <si>
    <t>90</t>
  </si>
  <si>
    <t>706</t>
  </si>
  <si>
    <t>140</t>
  </si>
  <si>
    <t>707</t>
  </si>
  <si>
    <t>17600</t>
  </si>
  <si>
    <t>8</t>
  </si>
  <si>
    <t>18500</t>
  </si>
  <si>
    <t>3100</t>
  </si>
  <si>
    <t>116</t>
  </si>
  <si>
    <t>21</t>
  </si>
  <si>
    <t>3400</t>
  </si>
  <si>
    <t>115</t>
  </si>
  <si>
    <t>3600</t>
  </si>
  <si>
    <t>92</t>
  </si>
  <si>
    <t>12</t>
  </si>
  <si>
    <t>3700</t>
  </si>
  <si>
    <t>41</t>
  </si>
  <si>
    <t>2</t>
  </si>
  <si>
    <t>8000</t>
  </si>
  <si>
    <t>66</t>
  </si>
  <si>
    <t>20200</t>
  </si>
  <si>
    <t>5900</t>
  </si>
  <si>
    <t>4</t>
  </si>
  <si>
    <t>7100</t>
  </si>
  <si>
    <t>14</t>
  </si>
  <si>
    <t>7103</t>
  </si>
  <si>
    <t>25</t>
  </si>
  <si>
    <t>16800</t>
  </si>
  <si>
    <t>99</t>
  </si>
  <si>
    <t>17</t>
  </si>
  <si>
    <t>11600</t>
  </si>
  <si>
    <t>7800</t>
  </si>
  <si>
    <t>7300</t>
  </si>
  <si>
    <t>103</t>
  </si>
  <si>
    <t>12900</t>
  </si>
  <si>
    <t>12910</t>
  </si>
  <si>
    <t>7</t>
  </si>
  <si>
    <t>19800</t>
  </si>
  <si>
    <t>8100</t>
  </si>
  <si>
    <t>27</t>
  </si>
  <si>
    <t>13900</t>
  </si>
  <si>
    <t>10</t>
  </si>
  <si>
    <t>18900</t>
  </si>
  <si>
    <t>14700</t>
  </si>
  <si>
    <t>19100</t>
  </si>
  <si>
    <t>7003</t>
  </si>
  <si>
    <t>58</t>
  </si>
  <si>
    <t>4700</t>
  </si>
  <si>
    <t>4800</t>
  </si>
  <si>
    <t>30003</t>
  </si>
  <si>
    <t>30004</t>
  </si>
  <si>
    <t>800</t>
  </si>
  <si>
    <t>156</t>
  </si>
  <si>
    <t>802</t>
  </si>
  <si>
    <t>805</t>
  </si>
  <si>
    <t>122</t>
  </si>
  <si>
    <t>40200</t>
  </si>
  <si>
    <t>40250</t>
  </si>
  <si>
    <t>40350</t>
  </si>
  <si>
    <t>40400</t>
  </si>
  <si>
    <t>174</t>
  </si>
  <si>
    <t>40700</t>
  </si>
  <si>
    <t>40750</t>
  </si>
  <si>
    <t>40800</t>
  </si>
  <si>
    <t>10000</t>
  </si>
  <si>
    <t>10001</t>
  </si>
  <si>
    <t>10002</t>
  </si>
  <si>
    <t>242</t>
  </si>
  <si>
    <t>77</t>
  </si>
  <si>
    <t>42</t>
  </si>
  <si>
    <t>128</t>
  </si>
  <si>
    <t>44</t>
  </si>
  <si>
    <t>アレルギーの数を入力してください。</t>
  </si>
  <si>
    <t>残り</t>
  </si>
  <si>
    <t>スケジュール①</t>
  </si>
  <si>
    <t>スケジュール②</t>
  </si>
  <si>
    <t>スケジュール③</t>
  </si>
  <si>
    <t>残食</t>
  </si>
  <si>
    <t>※オレンジのセルを入力してください。▶</t>
  </si>
  <si>
    <t>V</t>
  </si>
  <si>
    <t>X</t>
  </si>
  <si>
    <t>Z</t>
  </si>
  <si>
    <t>AB</t>
  </si>
  <si>
    <t>AD</t>
  </si>
  <si>
    <t>AF</t>
  </si>
  <si>
    <t>AH</t>
  </si>
  <si>
    <t>AJ</t>
  </si>
  <si>
    <t>ニシム</t>
  </si>
  <si>
    <t>新日本製薬</t>
  </si>
  <si>
    <t>配送</t>
  </si>
  <si>
    <t>先生用</t>
  </si>
  <si>
    <t>メニュー会議用</t>
  </si>
  <si>
    <t>商品ＣＤ</t>
  </si>
  <si>
    <t>商品区分</t>
  </si>
  <si>
    <t>商品名</t>
  </si>
  <si>
    <t>商品予定名</t>
  </si>
  <si>
    <t>売価単価</t>
  </si>
  <si>
    <t>先生用商品ＣＤ</t>
  </si>
  <si>
    <t>弁当区分</t>
  </si>
  <si>
    <t>パン箱入数</t>
  </si>
  <si>
    <t>クラス分け名称1</t>
  </si>
  <si>
    <t>クラス分けグラム出力区分1</t>
  </si>
  <si>
    <t>クラス分け名称2</t>
  </si>
  <si>
    <t>クラス分けグラム出力区分2</t>
  </si>
  <si>
    <t>クラス分け名称3</t>
  </si>
  <si>
    <t>クラス分けグラム出力区分3</t>
  </si>
  <si>
    <t>クラス分け名称4</t>
  </si>
  <si>
    <t>クラス分けグラム出力区分4</t>
  </si>
  <si>
    <t>クラス分け名称5</t>
  </si>
  <si>
    <t>クラス分けグラム出力区分5</t>
  </si>
  <si>
    <t>修正担当者ＣＤ</t>
  </si>
  <si>
    <t>修正日</t>
  </si>
  <si>
    <t>弁当　園児</t>
  </si>
  <si>
    <t>2025/09/08 13:37:08</t>
  </si>
  <si>
    <t>弁当　先生</t>
  </si>
  <si>
    <t>赤　先生</t>
  </si>
  <si>
    <t>2025/09/08 13:37:37</t>
  </si>
  <si>
    <t>弁当　先生　実習生　</t>
  </si>
  <si>
    <t>赤　実習生</t>
  </si>
  <si>
    <t>2025/09/08 13:37:46</t>
  </si>
  <si>
    <t>弁当　先生　保護者</t>
  </si>
  <si>
    <t>赤　保護者</t>
  </si>
  <si>
    <t>2025/09/08 13:37:55</t>
  </si>
  <si>
    <t>キャラ</t>
  </si>
  <si>
    <t>71</t>
  </si>
  <si>
    <t>ごはん</t>
  </si>
  <si>
    <t>2025/09/08 13:38:12</t>
  </si>
  <si>
    <t>キャラ　先生</t>
  </si>
  <si>
    <t>2025/09/08 13:38:22</t>
  </si>
  <si>
    <t>弁当　生徒</t>
  </si>
  <si>
    <t>キャラ（ふたば）</t>
  </si>
  <si>
    <t>ごはん用保温箱</t>
  </si>
  <si>
    <t>2025/09/08 13:38:31</t>
  </si>
  <si>
    <t>キャラ（ふたば）　先生</t>
  </si>
  <si>
    <t>2025/09/08 13:39:01</t>
  </si>
  <si>
    <t>ビーフシチュー　園児</t>
  </si>
  <si>
    <t>ビーフシチュー</t>
  </si>
  <si>
    <t>23</t>
  </si>
  <si>
    <t>皿</t>
  </si>
  <si>
    <t>2025/09/08 13:39:27</t>
  </si>
  <si>
    <t>ビーフシチュー　先生</t>
  </si>
  <si>
    <t>2025/09/08 13:39:34</t>
  </si>
  <si>
    <t>弁当　園児　スープ付き</t>
  </si>
  <si>
    <t>2025/09/08 13:40:15</t>
  </si>
  <si>
    <t>弁当　先生　スープ付き</t>
  </si>
  <si>
    <t>2025/09/08 13:40:20</t>
  </si>
  <si>
    <t>26</t>
  </si>
  <si>
    <t>弁当　前日キャンセル30％</t>
  </si>
  <si>
    <t>2025/09/08 13:40:22</t>
  </si>
  <si>
    <t>弁当　前日キャンセル50％</t>
  </si>
  <si>
    <t>2025/09/08 13:40:28</t>
  </si>
  <si>
    <t>28</t>
  </si>
  <si>
    <t>弁当　当日キャンセル50％</t>
  </si>
  <si>
    <t>2025/09/08 13:40:33</t>
  </si>
  <si>
    <t>29</t>
  </si>
  <si>
    <t>弁当　当日キャンセル100％</t>
  </si>
  <si>
    <t>2025/09/08 13:40:38</t>
  </si>
  <si>
    <t>弁当　園児　予備</t>
  </si>
  <si>
    <t>31</t>
  </si>
  <si>
    <t>2025/09/08 13:40:42</t>
  </si>
  <si>
    <t>弁当　園児　検食</t>
  </si>
  <si>
    <t>2025/09/08 13:40:52</t>
  </si>
  <si>
    <t>33</t>
  </si>
  <si>
    <t>パン弁当　園児</t>
  </si>
  <si>
    <t>赤パン　　</t>
  </si>
  <si>
    <t>34</t>
  </si>
  <si>
    <t>2025/09/08 13:41:14</t>
  </si>
  <si>
    <t>パン弁当　先生</t>
  </si>
  <si>
    <t>赤パン　　先生</t>
  </si>
  <si>
    <t>2025/09/08 13:41:27</t>
  </si>
  <si>
    <t>35</t>
  </si>
  <si>
    <t>キャラパン　</t>
  </si>
  <si>
    <t>36</t>
  </si>
  <si>
    <t>2025/09/08 13:41:35</t>
  </si>
  <si>
    <t>キャラパン　　先生</t>
  </si>
  <si>
    <t>2025/09/08 13:41:46</t>
  </si>
  <si>
    <t>37</t>
  </si>
  <si>
    <t>パン　園児</t>
  </si>
  <si>
    <t>パンカップ　</t>
  </si>
  <si>
    <t>38</t>
  </si>
  <si>
    <t>2025/09/08 13:42:18</t>
  </si>
  <si>
    <t>パン　先生</t>
  </si>
  <si>
    <t>パンカップ　先生</t>
  </si>
  <si>
    <t>2025/09/08 13:42:26</t>
  </si>
  <si>
    <t>39</t>
  </si>
  <si>
    <t>お誕生会　園児</t>
  </si>
  <si>
    <t>40</t>
  </si>
  <si>
    <t>ランチ</t>
  </si>
  <si>
    <t>2025/09/08 13:42:35</t>
  </si>
  <si>
    <t>お誕生会　先生</t>
  </si>
  <si>
    <t>2025/09/08 13:42:50</t>
  </si>
  <si>
    <t>七夕ランチ　園児</t>
  </si>
  <si>
    <t>七夕ランチ　</t>
  </si>
  <si>
    <t>2025/09/08 13:42:47</t>
  </si>
  <si>
    <t>七夕ランチ　先生</t>
  </si>
  <si>
    <t>2025/09/08 13:42:54</t>
  </si>
  <si>
    <t>43</t>
  </si>
  <si>
    <t>クリスマス　園児</t>
  </si>
  <si>
    <t>クリスマス</t>
  </si>
  <si>
    <t>2025/09/08 13:43:00</t>
  </si>
  <si>
    <t>クリスマス　先生</t>
  </si>
  <si>
    <t>2025/09/08 13:43:05</t>
  </si>
  <si>
    <t>45</t>
  </si>
  <si>
    <t>おひなさま　園児</t>
  </si>
  <si>
    <t>おひなさま　</t>
  </si>
  <si>
    <t>46</t>
  </si>
  <si>
    <t>2025/09/08 13:43:09</t>
  </si>
  <si>
    <t>おひなさま　先生</t>
  </si>
  <si>
    <t>2025/09/08 13:43:17</t>
  </si>
  <si>
    <t>49</t>
  </si>
  <si>
    <t>カレー　園児</t>
  </si>
  <si>
    <t>カレー</t>
  </si>
  <si>
    <t>50</t>
  </si>
  <si>
    <t>ルウ</t>
  </si>
  <si>
    <t>2025/09/08 13:43:26</t>
  </si>
  <si>
    <t>カレー　先生</t>
  </si>
  <si>
    <t>2025/09/08 13:43:30</t>
  </si>
  <si>
    <t>52</t>
  </si>
  <si>
    <t>ハヤシ　園児</t>
  </si>
  <si>
    <t>ハヤシ</t>
  </si>
  <si>
    <t>2025/09/05 14:16:31</t>
  </si>
  <si>
    <t>ハヤシ　先生</t>
  </si>
  <si>
    <t>2025/09/05 14:16:36</t>
  </si>
  <si>
    <t>55</t>
  </si>
  <si>
    <t>シチュー　園児</t>
  </si>
  <si>
    <t>シチュー</t>
  </si>
  <si>
    <t>56</t>
  </si>
  <si>
    <t>2025/09/05 14:16:41</t>
  </si>
  <si>
    <t>シチュー　先生</t>
  </si>
  <si>
    <t>カップ</t>
  </si>
  <si>
    <t>2025/09/05 14:16:48</t>
  </si>
  <si>
    <t>スープ　園児</t>
  </si>
  <si>
    <t>スープ</t>
  </si>
  <si>
    <t>59</t>
  </si>
  <si>
    <t>おわん</t>
  </si>
  <si>
    <t>2025/09/05 14:16:54</t>
  </si>
  <si>
    <t>スープ　先生</t>
  </si>
  <si>
    <t>2025/09/05 14:16:59</t>
  </si>
  <si>
    <t>60</t>
  </si>
  <si>
    <t>ハーモニィ　園児</t>
  </si>
  <si>
    <t>ハーモニィ</t>
  </si>
  <si>
    <t>ちゃわん　カップ</t>
  </si>
  <si>
    <t>2025/09/08 13:44:09</t>
  </si>
  <si>
    <t>ハーモニィ　先生</t>
  </si>
  <si>
    <t>2025/09/05 14:18:39</t>
  </si>
  <si>
    <t>62</t>
  </si>
  <si>
    <t>ピクニック　園児</t>
  </si>
  <si>
    <t>ピクニック</t>
  </si>
  <si>
    <t>63</t>
  </si>
  <si>
    <t>2025/09/08 13:44:23</t>
  </si>
  <si>
    <t>ピクニック　先生</t>
  </si>
  <si>
    <t>2025/09/08 16:44:52</t>
  </si>
  <si>
    <t>64</t>
  </si>
  <si>
    <t>クッキング　園児</t>
  </si>
  <si>
    <t>クッキング</t>
  </si>
  <si>
    <t>2025/09/08 16:44:16</t>
  </si>
  <si>
    <t>クッキング　先生</t>
  </si>
  <si>
    <t>2025/09/08 16:45:18</t>
  </si>
  <si>
    <t>バイキング　園児</t>
  </si>
  <si>
    <t>バイキング</t>
  </si>
  <si>
    <t>67</t>
  </si>
  <si>
    <t>おにぎり①</t>
  </si>
  <si>
    <t>おにぎり②</t>
  </si>
  <si>
    <t>麺類</t>
  </si>
  <si>
    <t>おかず①</t>
  </si>
  <si>
    <t>おかず②</t>
  </si>
  <si>
    <t>2025/09/05 13:14:07</t>
  </si>
  <si>
    <t>バイキング　先生</t>
  </si>
  <si>
    <t>2025/09/08 13:44:49</t>
  </si>
  <si>
    <t>豚汁　園児</t>
  </si>
  <si>
    <t>豚汁</t>
  </si>
  <si>
    <t>2025/09/08 13:45:24</t>
  </si>
  <si>
    <t>91</t>
  </si>
  <si>
    <t>豚汁　先生</t>
  </si>
  <si>
    <t>2025/09/08 13:45:29</t>
  </si>
  <si>
    <t>93</t>
  </si>
  <si>
    <t>寿司飯　園児</t>
  </si>
  <si>
    <t>寿司飯</t>
  </si>
  <si>
    <t>94</t>
  </si>
  <si>
    <t>2025/09/08 13:45:41</t>
  </si>
  <si>
    <t>寿司飯　先生</t>
  </si>
  <si>
    <t>2025/09/08 13:45:46</t>
  </si>
  <si>
    <t>96</t>
  </si>
  <si>
    <t>ごはん　園児</t>
  </si>
  <si>
    <t>97</t>
  </si>
  <si>
    <t>2025/09/08 13:45:59</t>
  </si>
  <si>
    <t>ごはん　先生</t>
  </si>
  <si>
    <t>2025/09/08 13:46:09</t>
  </si>
  <si>
    <t>98</t>
  </si>
  <si>
    <t>おにぎり　園児</t>
  </si>
  <si>
    <t>2025/09/08 13:46:14</t>
  </si>
  <si>
    <t>おにぎり　先生</t>
  </si>
  <si>
    <t>2025/09/08 13:46:20</t>
  </si>
  <si>
    <t>試食　</t>
  </si>
  <si>
    <t>101</t>
  </si>
  <si>
    <t>2025/09/08 13:46:25</t>
  </si>
  <si>
    <t>試食　先生</t>
  </si>
  <si>
    <t>2025/09/08 13:46:30</t>
  </si>
  <si>
    <t>102</t>
  </si>
  <si>
    <t>朝食　園児</t>
  </si>
  <si>
    <t>朝食</t>
  </si>
  <si>
    <t>2025/09/08 13:46:35</t>
  </si>
  <si>
    <t>朝食　先生</t>
  </si>
  <si>
    <t>2025/09/08 13:46:40</t>
  </si>
  <si>
    <t>104</t>
  </si>
  <si>
    <t>昼食　園児</t>
  </si>
  <si>
    <t>昼食</t>
  </si>
  <si>
    <t>105</t>
  </si>
  <si>
    <t>2025/09/08 13:46:44</t>
  </si>
  <si>
    <t>昼食　先生</t>
  </si>
  <si>
    <t>2025/09/08 13:46:49</t>
  </si>
  <si>
    <t>106</t>
  </si>
  <si>
    <t>夕食　園児</t>
  </si>
  <si>
    <t>夕食</t>
  </si>
  <si>
    <t>107</t>
  </si>
  <si>
    <t>2025/09/08 13:46:53</t>
  </si>
  <si>
    <t>夕食　先生</t>
  </si>
  <si>
    <t>2025/09/08 13:46:58</t>
  </si>
  <si>
    <t>108</t>
  </si>
  <si>
    <t>デザート　園児</t>
  </si>
  <si>
    <t>デザート　</t>
  </si>
  <si>
    <t>2025/09/08 13:47:03</t>
  </si>
  <si>
    <t>デザート　先生</t>
  </si>
  <si>
    <t>2025/09/08 13:47:07</t>
  </si>
  <si>
    <t>112</t>
  </si>
  <si>
    <t>ケーキ　園児</t>
  </si>
  <si>
    <t>ケーキ　</t>
  </si>
  <si>
    <t>113</t>
  </si>
  <si>
    <t>2025/09/08 13:47:29</t>
  </si>
  <si>
    <t>ケーキ　先生</t>
  </si>
  <si>
    <t>2025/09/08 13:47:37</t>
  </si>
  <si>
    <t>114</t>
  </si>
  <si>
    <t>484</t>
  </si>
  <si>
    <t>2025/09/08 13:47:42</t>
  </si>
  <si>
    <t>アーモンド小魚</t>
  </si>
  <si>
    <t>2025/09/08 13:47:49</t>
  </si>
  <si>
    <t>味付小魚</t>
  </si>
  <si>
    <t>2025/09/08 13:47:53</t>
  </si>
  <si>
    <t>117</t>
  </si>
  <si>
    <t>アップルジュース</t>
  </si>
  <si>
    <t>2025/09/08 13:47:58</t>
  </si>
  <si>
    <t>118</t>
  </si>
  <si>
    <t>オレンジジュース</t>
  </si>
  <si>
    <t>2025/09/08 13:48:06</t>
  </si>
  <si>
    <t>119</t>
  </si>
  <si>
    <t>野菜ジュース</t>
  </si>
  <si>
    <t>2025/09/08 13:48:10</t>
  </si>
  <si>
    <t>ミニりんごジュース</t>
  </si>
  <si>
    <t>2025/09/08 13:48:15</t>
  </si>
  <si>
    <t>121</t>
  </si>
  <si>
    <t>プチコンク</t>
  </si>
  <si>
    <t>2025/09/08 13:48:23</t>
  </si>
  <si>
    <t>お茶</t>
  </si>
  <si>
    <t>2025/09/08 13:48:28</t>
  </si>
  <si>
    <t>123</t>
  </si>
  <si>
    <t>牛乳</t>
  </si>
  <si>
    <t>2025/09/08 13:48:34</t>
  </si>
  <si>
    <t>127</t>
  </si>
  <si>
    <t>ひなあられ</t>
  </si>
  <si>
    <t>2025/09/08 13:48:46</t>
  </si>
  <si>
    <t>いり大豆</t>
  </si>
  <si>
    <t>2025/09/08 13:48:51</t>
  </si>
  <si>
    <t>129</t>
  </si>
  <si>
    <t>フルーツカップ</t>
  </si>
  <si>
    <t>2025/09/08 13:48:56</t>
  </si>
  <si>
    <t>130</t>
  </si>
  <si>
    <t>みかんゼリー</t>
  </si>
  <si>
    <t>2025/09/08 13:49:01</t>
  </si>
  <si>
    <t>131</t>
  </si>
  <si>
    <t>節分豆</t>
  </si>
  <si>
    <t>2025/09/08 13:49:06</t>
  </si>
  <si>
    <t>132</t>
  </si>
  <si>
    <t>サラダカップ</t>
  </si>
  <si>
    <t>2025/09/08 16:45:59</t>
  </si>
  <si>
    <t>134</t>
  </si>
  <si>
    <t>もち米</t>
  </si>
  <si>
    <t>604</t>
  </si>
  <si>
    <t>2025/09/08 16:46:42</t>
  </si>
  <si>
    <t>136</t>
  </si>
  <si>
    <t>そうめん</t>
  </si>
  <si>
    <t>522</t>
  </si>
  <si>
    <t>2025/09/08 13:49:29</t>
  </si>
  <si>
    <t>137</t>
  </si>
  <si>
    <t>ごはんとスープ</t>
  </si>
  <si>
    <t>492</t>
  </si>
  <si>
    <t>おちゃわん</t>
  </si>
  <si>
    <t>2021/01/20 14:25:33</t>
  </si>
  <si>
    <t>138</t>
  </si>
  <si>
    <t>お弁当</t>
  </si>
  <si>
    <t>2025/09/08 13:49:39</t>
  </si>
  <si>
    <t>消費税</t>
  </si>
  <si>
    <t>2025/09/08 13:49:48</t>
  </si>
  <si>
    <t>141</t>
  </si>
  <si>
    <t>チーズ</t>
  </si>
  <si>
    <t>2025/09/08 13:49:53</t>
  </si>
  <si>
    <t>148</t>
  </si>
  <si>
    <t>さつま芋</t>
  </si>
  <si>
    <t>2025/09/08 13:50:08</t>
  </si>
  <si>
    <t>149</t>
  </si>
  <si>
    <t>すいか</t>
  </si>
  <si>
    <t>2025/09/08 13:50:13</t>
  </si>
  <si>
    <t>サンドイッチ</t>
  </si>
  <si>
    <t>491</t>
  </si>
  <si>
    <t>2025/09/08 13:50:20</t>
  </si>
  <si>
    <t>151</t>
  </si>
  <si>
    <t>ジャム</t>
  </si>
  <si>
    <t>2025/09/08 13:50:48</t>
  </si>
  <si>
    <t>152</t>
  </si>
  <si>
    <t>パン</t>
  </si>
  <si>
    <t>503</t>
  </si>
  <si>
    <t>2025/09/08 13:50:52</t>
  </si>
  <si>
    <t>153</t>
  </si>
  <si>
    <t>ピーナッツバター</t>
  </si>
  <si>
    <t>2025/09/08 13:50:56</t>
  </si>
  <si>
    <t>154</t>
  </si>
  <si>
    <t>マヨネーズ</t>
  </si>
  <si>
    <t>2025/09/08 13:51:01</t>
  </si>
  <si>
    <t>155</t>
  </si>
  <si>
    <t>レタス</t>
  </si>
  <si>
    <t>2025/09/08 13:51:06</t>
  </si>
  <si>
    <t>チェリー缶</t>
  </si>
  <si>
    <t>2025/09/08 13:51:13</t>
  </si>
  <si>
    <t>157</t>
  </si>
  <si>
    <t>パイン缶</t>
  </si>
  <si>
    <t>2025/09/08 13:51:18</t>
  </si>
  <si>
    <t>158</t>
  </si>
  <si>
    <t>もも缶</t>
  </si>
  <si>
    <t>2025/09/08 13:51:32</t>
  </si>
  <si>
    <t>159</t>
  </si>
  <si>
    <t>みかん缶</t>
  </si>
  <si>
    <t>2025/09/08 13:51:36</t>
  </si>
  <si>
    <t>160</t>
  </si>
  <si>
    <t>おかずパック　園児</t>
  </si>
  <si>
    <t>おかずパック</t>
  </si>
  <si>
    <t>482</t>
  </si>
  <si>
    <t>2025/09/08 13:51:41</t>
  </si>
  <si>
    <t>162</t>
  </si>
  <si>
    <t>からあげ</t>
  </si>
  <si>
    <t>2025/09/08 16:47:05</t>
  </si>
  <si>
    <t>163</t>
  </si>
  <si>
    <t>からあげとポテト</t>
  </si>
  <si>
    <t>2025/09/08 16:47:13</t>
  </si>
  <si>
    <t>164</t>
  </si>
  <si>
    <t>クリームコンフェ</t>
  </si>
  <si>
    <t>2025/09/08 13:52:00</t>
  </si>
  <si>
    <t>165</t>
  </si>
  <si>
    <t>クレープ</t>
  </si>
  <si>
    <t>2025/09/08 13:52:04</t>
  </si>
  <si>
    <t>166</t>
  </si>
  <si>
    <t>チキンナゲット</t>
  </si>
  <si>
    <t>2025/09/08 13:52:09</t>
  </si>
  <si>
    <t>167</t>
  </si>
  <si>
    <t>80</t>
  </si>
  <si>
    <t>2025/09/08 16:47:28</t>
  </si>
  <si>
    <t>168</t>
  </si>
  <si>
    <t>たこやき</t>
  </si>
  <si>
    <t>2025/09/08 16:47:34</t>
  </si>
  <si>
    <t>169</t>
  </si>
  <si>
    <t>ドーナッツ　</t>
  </si>
  <si>
    <t>ドーナツ</t>
  </si>
  <si>
    <t>2025/09/08 13:52:28</t>
  </si>
  <si>
    <t>172</t>
  </si>
  <si>
    <t>プチドック</t>
  </si>
  <si>
    <t>2025/09/08 13:53:50</t>
  </si>
  <si>
    <t>173</t>
  </si>
  <si>
    <t>フランクフルト</t>
  </si>
  <si>
    <t>2025/09/08 13:53:56</t>
  </si>
  <si>
    <t>ポテト</t>
  </si>
  <si>
    <t>2025/09/08 13:54:00</t>
  </si>
  <si>
    <t>175</t>
  </si>
  <si>
    <t>焼きそば</t>
  </si>
  <si>
    <t>191</t>
  </si>
  <si>
    <t>2025/09/08 13:54:04</t>
  </si>
  <si>
    <t>193</t>
  </si>
  <si>
    <t>管理職</t>
  </si>
  <si>
    <t>2025/09/08 13:54:20</t>
  </si>
  <si>
    <t>194</t>
  </si>
  <si>
    <t>実習生</t>
  </si>
  <si>
    <t>2025/09/08 13:54:25</t>
  </si>
  <si>
    <t>195</t>
  </si>
  <si>
    <t>保護者様用</t>
  </si>
  <si>
    <t>2025/09/08 13:54:30</t>
  </si>
  <si>
    <t>196</t>
  </si>
  <si>
    <t>消毒液</t>
  </si>
  <si>
    <t>3500</t>
  </si>
  <si>
    <t>2025/09/08 13:54:41</t>
  </si>
  <si>
    <t>197</t>
  </si>
  <si>
    <t>フルーツ</t>
  </si>
  <si>
    <t>2025/09/08 13:54:45</t>
  </si>
  <si>
    <t>198</t>
  </si>
  <si>
    <t>ケーキ</t>
  </si>
  <si>
    <t>2025/09/08 13:54:51</t>
  </si>
  <si>
    <t>199</t>
  </si>
  <si>
    <t>特別ランチ　園児用</t>
  </si>
  <si>
    <t>特別ランチ</t>
  </si>
  <si>
    <t>480</t>
  </si>
  <si>
    <t>2025/09/08 13:55:01</t>
  </si>
  <si>
    <t>2025/09/05 13:49:51</t>
  </si>
  <si>
    <t>201</t>
  </si>
  <si>
    <t>ルー用保温箱</t>
  </si>
  <si>
    <t>　　　　　用保温箱</t>
  </si>
  <si>
    <t>2025/09/05 13:49:57</t>
  </si>
  <si>
    <t>202</t>
  </si>
  <si>
    <t>アーモンドミニフィッシュ</t>
  </si>
  <si>
    <t>ｱｰﾓﾝﾄﾞﾐﾆﾌｨｯｼｭ</t>
  </si>
  <si>
    <t>2025/09/05 13:50:05</t>
  </si>
  <si>
    <t>203</t>
  </si>
  <si>
    <t>ミニフィッシュ</t>
  </si>
  <si>
    <t>2025/09/05 13:50:11</t>
  </si>
  <si>
    <t>204</t>
  </si>
  <si>
    <t>１０ｇチーズ</t>
  </si>
  <si>
    <t>2025/09/05 13:50:18</t>
  </si>
  <si>
    <t>205</t>
  </si>
  <si>
    <t>型抜きチーズ</t>
  </si>
  <si>
    <t>2025/09/05 13:50:25</t>
  </si>
  <si>
    <t>おかわり用保温箱　２K</t>
  </si>
  <si>
    <t>おかわり用保温箱</t>
  </si>
  <si>
    <t>2025/09/05 13:50:31</t>
  </si>
  <si>
    <t>おかわり用保温箱　３K</t>
  </si>
  <si>
    <t>2025/09/05 13:50:36</t>
  </si>
  <si>
    <t>208</t>
  </si>
  <si>
    <t>おかわり用保温箱　４K</t>
  </si>
  <si>
    <t>2025/09/05 13:50:42</t>
  </si>
  <si>
    <t>209</t>
  </si>
  <si>
    <t>おかわり用保温箱　５K</t>
  </si>
  <si>
    <t>2025/09/05 13:51:19</t>
  </si>
  <si>
    <t>210</t>
  </si>
  <si>
    <t>おかわり用保温箱　１K</t>
  </si>
  <si>
    <t>2025/09/05 13:50:51</t>
  </si>
  <si>
    <t>211</t>
  </si>
  <si>
    <t>おかわり用保温箱　１．５K</t>
  </si>
  <si>
    <t>2025/09/05 13:50:57</t>
  </si>
  <si>
    <t>212</t>
  </si>
  <si>
    <t>おわかり用保温箱　２．５K</t>
  </si>
  <si>
    <t>おかわり用保温箱　２．５K</t>
  </si>
  <si>
    <t>2025/09/05 13:51:30</t>
  </si>
  <si>
    <t>213</t>
  </si>
  <si>
    <t>ウィンナー</t>
  </si>
  <si>
    <t>2025/09/05 13:51:36</t>
  </si>
  <si>
    <t>214</t>
  </si>
  <si>
    <t>2025/09/05 13:51:43</t>
  </si>
  <si>
    <t>215</t>
  </si>
  <si>
    <t>唐揚</t>
  </si>
  <si>
    <t>2025/09/05 13:51:48</t>
  </si>
  <si>
    <t>216</t>
  </si>
  <si>
    <t>くま皿</t>
  </si>
  <si>
    <t>2025/09/05 13:51:53</t>
  </si>
  <si>
    <t>217</t>
  </si>
  <si>
    <t>つけもの</t>
  </si>
  <si>
    <t>つぼ漬け</t>
  </si>
  <si>
    <t>2025/09/05 13:51:57</t>
  </si>
  <si>
    <t>218</t>
  </si>
  <si>
    <t>福神漬け</t>
  </si>
  <si>
    <t>2025/09/05 13:52:02</t>
  </si>
  <si>
    <t>219</t>
  </si>
  <si>
    <t>ピピピチーズ</t>
  </si>
  <si>
    <t>ﾋﾟﾋﾟﾋﾟﾁｰｽﾞ</t>
  </si>
  <si>
    <t>2025/09/05 13:52:07</t>
  </si>
  <si>
    <t>220</t>
  </si>
  <si>
    <t>2025/09/05 13:52:12</t>
  </si>
  <si>
    <t>221</t>
  </si>
  <si>
    <t>2025/09/05 13:52:17</t>
  </si>
  <si>
    <t>222</t>
  </si>
  <si>
    <t>ゼリー</t>
  </si>
  <si>
    <t>2025/09/05 13:52:22</t>
  </si>
  <si>
    <t>223</t>
  </si>
  <si>
    <t>すりおろしゼリー</t>
  </si>
  <si>
    <t>すりおろしｾﾞﾘｰ</t>
  </si>
  <si>
    <t>2025/09/05 13:52:28</t>
  </si>
  <si>
    <t>225</t>
  </si>
  <si>
    <t>2025/09/05 13:52:36</t>
  </si>
  <si>
    <t>226</t>
  </si>
  <si>
    <t>　　　　　　</t>
  </si>
  <si>
    <t>　.</t>
  </si>
  <si>
    <t>2025/09/05 13:52:41</t>
  </si>
  <si>
    <t>227</t>
  </si>
  <si>
    <t>ちゃわん</t>
  </si>
  <si>
    <t>2025/09/05 13:52:45</t>
  </si>
  <si>
    <t>230</t>
  </si>
  <si>
    <t>節分豆　QBB福豆5ｇ</t>
  </si>
  <si>
    <t>給食用福豆5ｇ</t>
  </si>
  <si>
    <t>2025/09/05 13:53:07</t>
  </si>
  <si>
    <t>231</t>
  </si>
  <si>
    <t>節分豆　肥後福豆10ｇ</t>
  </si>
  <si>
    <t>給食用福豆10ｇ</t>
  </si>
  <si>
    <t>2025/09/05 13:53:13</t>
  </si>
  <si>
    <t>232</t>
  </si>
  <si>
    <t>節分豆　肥後福豆ﾐｯｸｽ10ｇ</t>
  </si>
  <si>
    <t>肥後福豆ﾐｯｸｽ10ｇ</t>
  </si>
  <si>
    <t>2025/09/05 13:53:19</t>
  </si>
  <si>
    <t>233</t>
  </si>
  <si>
    <t>節分豆　肥後リンカケ10ｇ</t>
  </si>
  <si>
    <t>ミツヤB２０ｇ</t>
  </si>
  <si>
    <t>2025/09/05 13:53:26</t>
  </si>
  <si>
    <t>234</t>
  </si>
  <si>
    <t>節分豆　ミツヤA２２ｇ</t>
  </si>
  <si>
    <t>ミツヤA３０ｇ</t>
  </si>
  <si>
    <t>2025/09/05 13:53:31</t>
  </si>
  <si>
    <t>235</t>
  </si>
  <si>
    <t>節分豆　肥後煎り大豆</t>
  </si>
  <si>
    <t>肥後煎り大豆</t>
  </si>
  <si>
    <t>2025/09/05 13:53:36</t>
  </si>
  <si>
    <t>スパゲティ給食</t>
  </si>
  <si>
    <t>237</t>
  </si>
  <si>
    <t>ｽﾊﾟｹﾞﾃｨ</t>
  </si>
  <si>
    <t>ﾐｰﾄｿｰｽ</t>
  </si>
  <si>
    <t>2025/09/05 13:53:43</t>
  </si>
  <si>
    <t>2025/09/05 13:53:51</t>
  </si>
  <si>
    <t>238</t>
  </si>
  <si>
    <t>豚汁用保温箱</t>
  </si>
  <si>
    <t>239</t>
  </si>
  <si>
    <t>2025/09/05 13:53:59</t>
  </si>
  <si>
    <t>240</t>
  </si>
  <si>
    <t>どんぶり給食</t>
  </si>
  <si>
    <t>241</t>
  </si>
  <si>
    <t>具材</t>
  </si>
  <si>
    <t>汁もの</t>
  </si>
  <si>
    <t>どんぶり</t>
  </si>
  <si>
    <t>2025/06/16 13:56:13</t>
  </si>
  <si>
    <t>コロッケ</t>
  </si>
  <si>
    <t>2025/09/05 13:54:20</t>
  </si>
  <si>
    <t>チキンカツ</t>
  </si>
  <si>
    <t>2025/09/05 13:54:24</t>
  </si>
  <si>
    <t>243</t>
  </si>
  <si>
    <t>オムレツ</t>
  </si>
  <si>
    <t>2025/09/05 13:54:31</t>
  </si>
  <si>
    <t>244</t>
  </si>
  <si>
    <t>とんかつ</t>
  </si>
  <si>
    <t>2025/09/05 13:54:34</t>
  </si>
  <si>
    <t>245</t>
  </si>
  <si>
    <t>えだまめ</t>
  </si>
  <si>
    <t>2025/09/05 13:54:42</t>
  </si>
  <si>
    <t>246</t>
  </si>
  <si>
    <t>お椀 ｶｯﾌﾟ 皿</t>
  </si>
  <si>
    <t>2025/09/05 13:54:47</t>
  </si>
  <si>
    <t>247</t>
  </si>
  <si>
    <t>シューマイ</t>
  </si>
  <si>
    <t>2025/09/05 13:54:52</t>
  </si>
  <si>
    <t>248</t>
  </si>
  <si>
    <t>もち</t>
  </si>
  <si>
    <t>2025/09/05 13:54:56</t>
  </si>
  <si>
    <t>250</t>
  </si>
  <si>
    <t>給食セット</t>
  </si>
  <si>
    <t>食器</t>
  </si>
  <si>
    <t>主菜</t>
  </si>
  <si>
    <t>副菜</t>
  </si>
  <si>
    <t>2021/03/25 17:05:59</t>
  </si>
  <si>
    <t>251</t>
  </si>
  <si>
    <t>スパゲティ</t>
  </si>
  <si>
    <t>2025/09/05 13:55:29</t>
  </si>
  <si>
    <t>252</t>
  </si>
  <si>
    <t>ミートソース</t>
  </si>
  <si>
    <t>2025/09/05 13:55:33</t>
  </si>
  <si>
    <t>253</t>
  </si>
  <si>
    <t>のり巻きおにぎり</t>
  </si>
  <si>
    <t>2025/09/05 13:55:37</t>
  </si>
  <si>
    <t>254</t>
  </si>
  <si>
    <t>わかめおにぎり</t>
  </si>
  <si>
    <t>2025/09/05 13:55:42</t>
  </si>
  <si>
    <t>255</t>
  </si>
  <si>
    <t>おかわり用おにぎり</t>
  </si>
  <si>
    <t>おかわり用半俵</t>
  </si>
  <si>
    <t>2025/09/05 13:55:45</t>
  </si>
  <si>
    <t>256</t>
  </si>
  <si>
    <t>ドリンク</t>
  </si>
  <si>
    <t>2025/09/05 13:55:48</t>
  </si>
  <si>
    <t>257</t>
  </si>
  <si>
    <t>麺</t>
  </si>
  <si>
    <t>2025/09/05 13:55:52</t>
  </si>
  <si>
    <t>258</t>
  </si>
  <si>
    <t>2025/09/05 13:55:54</t>
  </si>
  <si>
    <t>259</t>
  </si>
  <si>
    <t>2025/09/05 13:55:58</t>
  </si>
  <si>
    <t>260</t>
  </si>
  <si>
    <t>2025/09/05 13:56:01</t>
  </si>
  <si>
    <t>261</t>
  </si>
  <si>
    <t>2025/09/05 13:56:04</t>
  </si>
  <si>
    <t>262</t>
  </si>
  <si>
    <t>汁物</t>
  </si>
  <si>
    <t>2025/09/05 13:56:12</t>
  </si>
  <si>
    <t>301</t>
  </si>
  <si>
    <t>保温箱（大）</t>
  </si>
  <si>
    <t>2025/09/05 13:56:21</t>
  </si>
  <si>
    <t>302</t>
  </si>
  <si>
    <t>保温箱（小）</t>
  </si>
  <si>
    <t>2025/09/05 13:56:29</t>
  </si>
  <si>
    <t>303</t>
  </si>
  <si>
    <t>ルー保温箱（小）</t>
  </si>
  <si>
    <t>2025/09/05 13:56:32</t>
  </si>
  <si>
    <t>304</t>
  </si>
  <si>
    <t>カレー皿</t>
  </si>
  <si>
    <t>2025/09/05 13:56:34</t>
  </si>
  <si>
    <t>305</t>
  </si>
  <si>
    <t>先生カレー皿</t>
  </si>
  <si>
    <t>2025/09/05 13:56:37</t>
  </si>
  <si>
    <t>306</t>
  </si>
  <si>
    <t>寸胴</t>
  </si>
  <si>
    <t>2025/09/05 13:56:40</t>
  </si>
  <si>
    <t>307</t>
  </si>
  <si>
    <t>2025/09/05 13:56:44</t>
  </si>
  <si>
    <t>308</t>
  </si>
  <si>
    <t>2025/09/05 13:58:32</t>
  </si>
  <si>
    <t>309</t>
  </si>
  <si>
    <t>トレー</t>
  </si>
  <si>
    <t>2025/09/05 13:58:38</t>
  </si>
  <si>
    <t>310</t>
  </si>
  <si>
    <t>しゃもじ</t>
  </si>
  <si>
    <t>2025/09/05 13:58:45</t>
  </si>
  <si>
    <t>311</t>
  </si>
  <si>
    <t>お玉</t>
  </si>
  <si>
    <t>2025/09/05 13:59:07</t>
  </si>
  <si>
    <t>312</t>
  </si>
  <si>
    <t>クリアケース</t>
  </si>
  <si>
    <t>2025/09/05 13:59:02</t>
  </si>
  <si>
    <t>313</t>
  </si>
  <si>
    <t>パン箱</t>
  </si>
  <si>
    <t>2025/09/05 13:59:14</t>
  </si>
  <si>
    <t>314</t>
  </si>
  <si>
    <t>くま</t>
  </si>
  <si>
    <t>2025/09/05 14:01:28</t>
  </si>
  <si>
    <t>315</t>
  </si>
  <si>
    <t>ミッフィー</t>
  </si>
  <si>
    <t>2025/09/05 14:01:35</t>
  </si>
  <si>
    <t>316</t>
  </si>
  <si>
    <t>ハムスター</t>
  </si>
  <si>
    <t>2025/09/05 14:01:40</t>
  </si>
  <si>
    <t>403</t>
  </si>
  <si>
    <t>牛乳200ｍｌ</t>
  </si>
  <si>
    <t>2025/09/08 14:00:59</t>
  </si>
  <si>
    <t>410</t>
  </si>
  <si>
    <t>パンランチ　園児</t>
  </si>
  <si>
    <t>パンランチ</t>
  </si>
  <si>
    <t>135</t>
  </si>
  <si>
    <t>411</t>
  </si>
  <si>
    <t>2025/09/08 14:01:58</t>
  </si>
  <si>
    <t>パンランチ　先生</t>
  </si>
  <si>
    <t>2025/09/08 14:02:07</t>
  </si>
  <si>
    <t>412</t>
  </si>
  <si>
    <t>中仕切り</t>
  </si>
  <si>
    <t>2025/09/08 14:02:22</t>
  </si>
  <si>
    <t>413</t>
  </si>
  <si>
    <t>お好み焼き</t>
  </si>
  <si>
    <t>2025/09/08 14:02:27</t>
  </si>
  <si>
    <t>414</t>
  </si>
  <si>
    <t>2025/09/08 14:02:32</t>
  </si>
  <si>
    <t>415</t>
  </si>
  <si>
    <t>レモンタルト</t>
  </si>
  <si>
    <t>2025/09/08 14:02:36</t>
  </si>
  <si>
    <t>416</t>
  </si>
  <si>
    <t>シークワーシャーゼリー</t>
  </si>
  <si>
    <t>2025/09/08 14:02:41</t>
  </si>
  <si>
    <t>417</t>
  </si>
  <si>
    <t>いちごクレープ</t>
  </si>
  <si>
    <t>2025/09/08 14:02:46</t>
  </si>
  <si>
    <t>418</t>
  </si>
  <si>
    <t>すりおろしゼリー　もも</t>
  </si>
  <si>
    <t>2025/09/08 14:02:53</t>
  </si>
  <si>
    <t>419</t>
  </si>
  <si>
    <t>すりおろしゼリー　りんご</t>
  </si>
  <si>
    <t>2025/09/08 14:02:58</t>
  </si>
  <si>
    <t>420</t>
  </si>
  <si>
    <t>うどん　園児</t>
  </si>
  <si>
    <t>うどん</t>
  </si>
  <si>
    <t>421</t>
  </si>
  <si>
    <t>うどんスープ</t>
  </si>
  <si>
    <t>2025/09/08 14:03:04</t>
  </si>
  <si>
    <t>うどん　先生</t>
  </si>
  <si>
    <t>2025/09/08 14:03:08</t>
  </si>
  <si>
    <t>422</t>
  </si>
  <si>
    <t>2025/09/08 14:03:14</t>
  </si>
  <si>
    <t>425</t>
  </si>
  <si>
    <t>懇親会子供用</t>
  </si>
  <si>
    <t>2025/09/08 14:03:26</t>
  </si>
  <si>
    <t>426</t>
  </si>
  <si>
    <t>懇親会大人用</t>
  </si>
  <si>
    <t>2025/09/08 14:03:31</t>
  </si>
  <si>
    <t>427</t>
  </si>
  <si>
    <t>お子様用</t>
  </si>
  <si>
    <t>おこさまよう</t>
  </si>
  <si>
    <t>2025/09/08 14:03:36</t>
  </si>
  <si>
    <t>430</t>
  </si>
  <si>
    <t>委託</t>
  </si>
  <si>
    <t>431</t>
  </si>
  <si>
    <t>2025/09/08 14:04:01</t>
  </si>
  <si>
    <t>2025/09/08 14:04:06</t>
  </si>
  <si>
    <t>433</t>
  </si>
  <si>
    <t>生徒用　弁当</t>
  </si>
  <si>
    <t>2025/09/08 14:04:18</t>
  </si>
  <si>
    <t>434</t>
  </si>
  <si>
    <t>ウインナーパン</t>
  </si>
  <si>
    <t>2025/09/08 14:04:28</t>
  </si>
  <si>
    <t>435</t>
  </si>
  <si>
    <t>カレーパン</t>
  </si>
  <si>
    <t>2025/09/08 14:04:34</t>
  </si>
  <si>
    <t>436</t>
  </si>
  <si>
    <t>天使のほっぺ</t>
  </si>
  <si>
    <t>2025/09/08 14:04:39</t>
  </si>
  <si>
    <t>438</t>
  </si>
  <si>
    <t>キャロット紫芋パン</t>
  </si>
  <si>
    <t>2025/09/08 14:04:51</t>
  </si>
  <si>
    <t>449</t>
  </si>
  <si>
    <t>食育うどん</t>
  </si>
  <si>
    <t>450</t>
  </si>
  <si>
    <t>具材用保温箱</t>
  </si>
  <si>
    <t>スープ用保温箱</t>
  </si>
  <si>
    <t>2025/09/08 14:05:09</t>
  </si>
  <si>
    <t>食育うどん　先生</t>
  </si>
  <si>
    <t>2025/09/08 14:05:13</t>
  </si>
  <si>
    <t>451</t>
  </si>
  <si>
    <t>食育巻き寿司　園児</t>
  </si>
  <si>
    <t>食育巻き寿司</t>
  </si>
  <si>
    <t>2025/09/08 14:05:18</t>
  </si>
  <si>
    <t>452</t>
  </si>
  <si>
    <t>食育巻き寿司　</t>
  </si>
  <si>
    <t>食育巻き寿司　先生用</t>
  </si>
  <si>
    <t>2025/09/08 14:05:23</t>
  </si>
  <si>
    <t>453</t>
  </si>
  <si>
    <t>食育巻き寿司　保護者用</t>
  </si>
  <si>
    <t>2025/09/08 14:59:18</t>
  </si>
  <si>
    <t>454</t>
  </si>
  <si>
    <t>ハンバーグピザパン</t>
  </si>
  <si>
    <t>2025/09/08 14:05:25</t>
  </si>
  <si>
    <t>455</t>
  </si>
  <si>
    <t>しましまチョコパン</t>
  </si>
  <si>
    <t>2025/09/08 14:35:48</t>
  </si>
  <si>
    <t>456</t>
  </si>
  <si>
    <t>しましまメロンパン</t>
  </si>
  <si>
    <t>2025/09/08 14:35:52</t>
  </si>
  <si>
    <t>457</t>
  </si>
  <si>
    <t>おにぎりパック</t>
  </si>
  <si>
    <t>603</t>
  </si>
  <si>
    <t>2025/09/08 14:36:09</t>
  </si>
  <si>
    <t>458</t>
  </si>
  <si>
    <t>焼きおにぎり</t>
  </si>
  <si>
    <t>2025/09/08 14:37:13</t>
  </si>
  <si>
    <t>459</t>
  </si>
  <si>
    <t>スイートポテト</t>
  </si>
  <si>
    <t>2025/09/08 14:37:19</t>
  </si>
  <si>
    <t>460</t>
  </si>
  <si>
    <t>食育　園児</t>
  </si>
  <si>
    <t>食育</t>
  </si>
  <si>
    <t>463</t>
  </si>
  <si>
    <t>おかず③</t>
  </si>
  <si>
    <t>おかず④</t>
  </si>
  <si>
    <t>2023/06/20 13:25:21</t>
  </si>
  <si>
    <t>461</t>
  </si>
  <si>
    <t>お皿</t>
  </si>
  <si>
    <t>2025/09/08 14:37:27</t>
  </si>
  <si>
    <t>462</t>
  </si>
  <si>
    <t>送料</t>
  </si>
  <si>
    <t>2025/09/08 14:37:31</t>
  </si>
  <si>
    <t>食育　先生</t>
  </si>
  <si>
    <t>2025/09/08 14:37:36</t>
  </si>
  <si>
    <t>464</t>
  </si>
  <si>
    <t>パック弁当　園児</t>
  </si>
  <si>
    <t>パック弁当</t>
  </si>
  <si>
    <t>465</t>
  </si>
  <si>
    <t>2025/09/08 14:37:44</t>
  </si>
  <si>
    <t>パック弁当　先生</t>
  </si>
  <si>
    <t>2025/09/08 14:37:50</t>
  </si>
  <si>
    <t>466</t>
  </si>
  <si>
    <t>ハム</t>
  </si>
  <si>
    <t>2025/09/08 14:37:54</t>
  </si>
  <si>
    <t>467</t>
  </si>
  <si>
    <t>ガトーショコラ</t>
  </si>
  <si>
    <t>2025/09/08 14:37:58</t>
  </si>
  <si>
    <t>468</t>
  </si>
  <si>
    <t>桜もち</t>
  </si>
  <si>
    <t>2025/09/08 14:38:03</t>
  </si>
  <si>
    <t>469</t>
  </si>
  <si>
    <t>お弁当用袋</t>
  </si>
  <si>
    <t>2025/09/08 14:38:08</t>
  </si>
  <si>
    <t>470</t>
  </si>
  <si>
    <t>食育サンドイッチ　園児</t>
  </si>
  <si>
    <t>食育サンドイッチ</t>
  </si>
  <si>
    <t>471</t>
  </si>
  <si>
    <t>保温箱</t>
  </si>
  <si>
    <t>2025/09/08 14:38:12</t>
  </si>
  <si>
    <t>食育サンドイッチ　</t>
  </si>
  <si>
    <t>食育サンドイッチ　先生</t>
  </si>
  <si>
    <t>2025/09/08 14:38:18</t>
  </si>
  <si>
    <t>472</t>
  </si>
  <si>
    <t>食育サンドイッチ　保護者さま</t>
  </si>
  <si>
    <t>2025/09/08 14:38:23</t>
  </si>
  <si>
    <t>474</t>
  </si>
  <si>
    <t>節分豆　肥後りんかけ　10ｇ</t>
  </si>
  <si>
    <t>節分豆　肥後りんかけ10ｇ</t>
  </si>
  <si>
    <t>2025/09/08 14:38:37</t>
  </si>
  <si>
    <t>475</t>
  </si>
  <si>
    <t>節分豆　給食用福豆10ｇ</t>
  </si>
  <si>
    <t>節分豆　10ｇ</t>
  </si>
  <si>
    <t>2025/09/08 14:38:42</t>
  </si>
  <si>
    <t>476</t>
  </si>
  <si>
    <t>節分豆　肥後ﾐｯｸｽ10ｇ</t>
  </si>
  <si>
    <t>2025/09/08 14:38:48</t>
  </si>
  <si>
    <t>477</t>
  </si>
  <si>
    <t>節分豆　ミツヤ２０ｇ</t>
  </si>
  <si>
    <t>2025/09/08 14:38:52</t>
  </si>
  <si>
    <t>478</t>
  </si>
  <si>
    <t>節分豆　ミツヤ２２ｇ</t>
  </si>
  <si>
    <t>2025/09/08 14:38:58</t>
  </si>
  <si>
    <t>479</t>
  </si>
  <si>
    <t>2025/09/08 14:39:04</t>
  </si>
  <si>
    <t>特別ランチ　先生用</t>
  </si>
  <si>
    <t>特別ランチ　</t>
  </si>
  <si>
    <t>2025/09/08 14:39:10</t>
  </si>
  <si>
    <t>481</t>
  </si>
  <si>
    <t>2025/09/08 14:59:32</t>
  </si>
  <si>
    <t>483</t>
  </si>
  <si>
    <t>夏祭り</t>
  </si>
  <si>
    <t>2025/09/08 14:59:42</t>
  </si>
  <si>
    <t>488</t>
  </si>
  <si>
    <t>野菜</t>
  </si>
  <si>
    <t>2025/09/08 14:39:51</t>
  </si>
  <si>
    <t>489</t>
  </si>
  <si>
    <t>肉</t>
  </si>
  <si>
    <t>2025/09/08 14:39:57</t>
  </si>
  <si>
    <t>490</t>
  </si>
  <si>
    <t>ゼリー　園児</t>
  </si>
  <si>
    <t>602</t>
  </si>
  <si>
    <t>2025/09/08 14:40:06</t>
  </si>
  <si>
    <t>2025/09/08 14:39:14</t>
  </si>
  <si>
    <t>493</t>
  </si>
  <si>
    <t>値引き</t>
  </si>
  <si>
    <t>2025/09/08 14:40:15</t>
  </si>
  <si>
    <t>494</t>
  </si>
  <si>
    <t>ひなあられセット</t>
  </si>
  <si>
    <t>495</t>
  </si>
  <si>
    <t>2025/09/08 14:40:19</t>
  </si>
  <si>
    <t>ひなあられセット　先生</t>
  </si>
  <si>
    <t>ひなあられセット　先生用</t>
  </si>
  <si>
    <t>2025/09/08 14:40:24</t>
  </si>
  <si>
    <t>496</t>
  </si>
  <si>
    <t>おかしセット　園児用</t>
  </si>
  <si>
    <t>おかしセット　</t>
  </si>
  <si>
    <t>497</t>
  </si>
  <si>
    <t>2025/09/08 14:40:39</t>
  </si>
  <si>
    <t>おかしセット　先生用</t>
  </si>
  <si>
    <t>2025/09/08 14:40:45</t>
  </si>
  <si>
    <t>学童　飯有り</t>
  </si>
  <si>
    <t>2025/09/08 14:41:07</t>
  </si>
  <si>
    <t>501</t>
  </si>
  <si>
    <t>学童　飯無し</t>
  </si>
  <si>
    <t>2025/09/08 14:41:14</t>
  </si>
  <si>
    <t>502</t>
  </si>
  <si>
    <t>予備</t>
  </si>
  <si>
    <t>2025/09/08 14:41:21</t>
  </si>
  <si>
    <t>504</t>
  </si>
  <si>
    <t>節分豆　肥後黒糖豆１０ｇ</t>
  </si>
  <si>
    <t>2025/09/08 14:41:33</t>
  </si>
  <si>
    <t>505</t>
  </si>
  <si>
    <t>節分豆　ミツヤミックス１８ｇ</t>
  </si>
  <si>
    <t>2025/09/08 14:41:37</t>
  </si>
  <si>
    <t>お別れ会　園児</t>
  </si>
  <si>
    <t>お別れ会</t>
  </si>
  <si>
    <t>2025/09/08 14:42:06</t>
  </si>
  <si>
    <t>お別れ会　先生</t>
  </si>
  <si>
    <t>2025/09/08 14:42:00</t>
  </si>
  <si>
    <t>508</t>
  </si>
  <si>
    <t>弁当　園児（満3歳児）</t>
  </si>
  <si>
    <t>弁当園児（満3歳児）</t>
  </si>
  <si>
    <t>2025/09/08 14:45:33</t>
  </si>
  <si>
    <t>509</t>
  </si>
  <si>
    <t>補助教員</t>
  </si>
  <si>
    <t>2025/09/08 15:00:25</t>
  </si>
  <si>
    <t>2025/09/08 14:46:26</t>
  </si>
  <si>
    <t>523</t>
  </si>
  <si>
    <t>とうもろこし</t>
  </si>
  <si>
    <t>2025/09/08 14:46:31</t>
  </si>
  <si>
    <t>534</t>
  </si>
  <si>
    <t>配膳給食　園児</t>
  </si>
  <si>
    <t>535</t>
  </si>
  <si>
    <t>2025/03/21 14:43:14</t>
  </si>
  <si>
    <t>配膳給食　先生</t>
  </si>
  <si>
    <t>配膳給食</t>
  </si>
  <si>
    <t>2025/09/08 14:46:49</t>
  </si>
  <si>
    <t>536</t>
  </si>
  <si>
    <t>製造加工費</t>
  </si>
  <si>
    <t>2025/09/08 14:46:57</t>
  </si>
  <si>
    <t>537</t>
  </si>
  <si>
    <t>配送費</t>
  </si>
  <si>
    <t>2025/09/08 14:47:01</t>
  </si>
  <si>
    <t>538</t>
  </si>
  <si>
    <t>事務管理費</t>
  </si>
  <si>
    <t>2025/09/08 14:47:06</t>
  </si>
  <si>
    <t>539</t>
  </si>
  <si>
    <t>メロンパン</t>
  </si>
  <si>
    <t>2025/09/08 14:47:11</t>
  </si>
  <si>
    <t>540</t>
  </si>
  <si>
    <t>ロールパン</t>
  </si>
  <si>
    <t>2025/09/08 14:47:15</t>
  </si>
  <si>
    <t>543</t>
  </si>
  <si>
    <t>　</t>
  </si>
  <si>
    <t>2025/09/08 14:47:34</t>
  </si>
  <si>
    <t>544</t>
  </si>
  <si>
    <t>クリスマス クッキー　園児</t>
  </si>
  <si>
    <t>クリスマス　クッキー</t>
  </si>
  <si>
    <t>545</t>
  </si>
  <si>
    <t>2025/09/08 14:47:39</t>
  </si>
  <si>
    <t>クリスマス クッキー　先生</t>
  </si>
  <si>
    <t>クリスマス　クッキー　先生</t>
  </si>
  <si>
    <t>2025/09/08 14:47:57</t>
  </si>
  <si>
    <t>548</t>
  </si>
  <si>
    <t>めん給食　園児</t>
  </si>
  <si>
    <t>めん給食　</t>
  </si>
  <si>
    <t>549</t>
  </si>
  <si>
    <t>2025/09/08 14:48:51</t>
  </si>
  <si>
    <t>めん給食　先生</t>
  </si>
  <si>
    <t>2025/09/08 14:48:57</t>
  </si>
  <si>
    <t>552</t>
  </si>
  <si>
    <t>ミルクロールパン</t>
  </si>
  <si>
    <t>2025/09/08 14:49:12</t>
  </si>
  <si>
    <t>553</t>
  </si>
  <si>
    <t>おにぎりとスープ</t>
  </si>
  <si>
    <t>554</t>
  </si>
  <si>
    <t>汁用保温箱　大</t>
  </si>
  <si>
    <t>2025/09/08 14:49:18</t>
  </si>
  <si>
    <t>2025/09/08 14:49:23</t>
  </si>
  <si>
    <t>555</t>
  </si>
  <si>
    <t>どんぶり給食　園児</t>
  </si>
  <si>
    <t>556</t>
  </si>
  <si>
    <t>2025/08/08 16:39:31</t>
  </si>
  <si>
    <t>どんぶり給食　先生</t>
  </si>
  <si>
    <t>2025/09/08 14:49:29</t>
  </si>
  <si>
    <t>557</t>
  </si>
  <si>
    <t>調整</t>
  </si>
  <si>
    <t>2025/09/08 14:49:33</t>
  </si>
  <si>
    <t>558</t>
  </si>
  <si>
    <t>チーズドッグ</t>
  </si>
  <si>
    <t>2025/09/08 14:49:38</t>
  </si>
  <si>
    <t>559</t>
  </si>
  <si>
    <t>ワッフル</t>
  </si>
  <si>
    <t>2025/09/08 14:49:42</t>
  </si>
  <si>
    <t>560</t>
  </si>
  <si>
    <t>たい焼き（あんこ）</t>
  </si>
  <si>
    <t>2025/09/08 14:49:50</t>
  </si>
  <si>
    <t>561</t>
  </si>
  <si>
    <t>たい焼き（カスタード）</t>
  </si>
  <si>
    <t>2025/09/08 14:49:54</t>
  </si>
  <si>
    <t>562</t>
  </si>
  <si>
    <t>プリン</t>
  </si>
  <si>
    <t>2025/09/08 14:49:58</t>
  </si>
  <si>
    <t>563</t>
  </si>
  <si>
    <t>自園給食　園児</t>
  </si>
  <si>
    <t>自園給食</t>
  </si>
  <si>
    <t>564</t>
  </si>
  <si>
    <t>2024/03/19 13:51:56</t>
  </si>
  <si>
    <t>自園給食　先生</t>
  </si>
  <si>
    <t>2025/08/08 17:21:48</t>
  </si>
  <si>
    <t>570</t>
  </si>
  <si>
    <t>節分豆　ヨコイ福豆5ｇ</t>
  </si>
  <si>
    <t>2025/09/08 14:53:31</t>
  </si>
  <si>
    <t>571</t>
  </si>
  <si>
    <t>節分豆　きなこボーロ福豆5ｇ</t>
  </si>
  <si>
    <t>節分豆　きなこぼーろ福豆5ｇ</t>
  </si>
  <si>
    <t>給食用きなこボーロ</t>
  </si>
  <si>
    <t>2025/09/08 14:53:38</t>
  </si>
  <si>
    <t>572</t>
  </si>
  <si>
    <t>節分豆　ｽｲｰﾄﾎﾟﾃﾄ＆ﾌｨｯｼｭ</t>
  </si>
  <si>
    <t>ｽｲｰﾄﾎﾟﾃﾄ＆ﾌｨｯｼｭ</t>
  </si>
  <si>
    <t>2025/09/08 14:53:44</t>
  </si>
  <si>
    <t>573</t>
  </si>
  <si>
    <t>ミツヤ節分豆10ｇ</t>
  </si>
  <si>
    <t>三種の福豆</t>
  </si>
  <si>
    <t>2025/09/08 14:53:48</t>
  </si>
  <si>
    <t>574</t>
  </si>
  <si>
    <t>節分豆　豆まき用炒り大豆</t>
  </si>
  <si>
    <t>炒り大豆</t>
  </si>
  <si>
    <t>2025/09/08 14:53:53</t>
  </si>
  <si>
    <t>575</t>
  </si>
  <si>
    <t>配膳ぶろ</t>
  </si>
  <si>
    <t>576</t>
  </si>
  <si>
    <t>2025/03/21 14:45:55</t>
  </si>
  <si>
    <t>どこ食</t>
  </si>
  <si>
    <t>おかず</t>
  </si>
  <si>
    <t>2025/04/01 9:36:24</t>
  </si>
  <si>
    <t>ゼリー　先生</t>
  </si>
  <si>
    <t>2025/09/08 14:54:08</t>
  </si>
  <si>
    <t>2025/09/08 14:54:15</t>
  </si>
  <si>
    <t>もち米　先生</t>
  </si>
  <si>
    <t>2025/09/08 14:54:20</t>
  </si>
  <si>
    <t>605</t>
  </si>
  <si>
    <t>給食振り替え分</t>
  </si>
  <si>
    <t>2025/09/08 14:54:25</t>
  </si>
  <si>
    <t>2025/09/08 14:54:30</t>
  </si>
  <si>
    <t>給食（夕食）</t>
  </si>
  <si>
    <t>608</t>
  </si>
  <si>
    <t>2025/09/08 16:50:53</t>
  </si>
  <si>
    <t>2025/09/08 14:54:38</t>
  </si>
  <si>
    <t>609</t>
  </si>
  <si>
    <t>給食（朝食）</t>
  </si>
  <si>
    <t>610</t>
  </si>
  <si>
    <t>2025/09/08 16:51:07</t>
  </si>
  <si>
    <t>2025/09/08 14:54:45</t>
  </si>
  <si>
    <t>611</t>
  </si>
  <si>
    <t>セントラル</t>
  </si>
  <si>
    <t>612</t>
  </si>
  <si>
    <t>2025/09/08 16:51:20</t>
  </si>
  <si>
    <t>2025/09/08 14:54:55</t>
  </si>
  <si>
    <t>613</t>
  </si>
  <si>
    <t>2025/09/08 14:55:00</t>
  </si>
  <si>
    <t>614</t>
  </si>
  <si>
    <t>アジフライ</t>
  </si>
  <si>
    <t>2025/09/08 16:51:28</t>
  </si>
  <si>
    <t>615</t>
  </si>
  <si>
    <t>包材</t>
  </si>
  <si>
    <t>2025/09/08 14:55:10</t>
  </si>
  <si>
    <t>得意先ＣＤ</t>
  </si>
  <si>
    <t>得意先名</t>
  </si>
  <si>
    <t>得意先名カナ</t>
  </si>
  <si>
    <t>得意先名略称</t>
  </si>
  <si>
    <t>郵便番号</t>
  </si>
  <si>
    <t>住所１</t>
  </si>
  <si>
    <t>住所２</t>
  </si>
  <si>
    <t>電話番号</t>
  </si>
  <si>
    <t>ＦＡＸ</t>
  </si>
  <si>
    <t>売掛現金区分</t>
  </si>
  <si>
    <t>電話確認区分</t>
  </si>
  <si>
    <t>締区分</t>
  </si>
  <si>
    <t>締日１</t>
  </si>
  <si>
    <t>締日２</t>
  </si>
  <si>
    <t>締日３</t>
  </si>
  <si>
    <t>締日４</t>
  </si>
  <si>
    <t>支払サイト</t>
  </si>
  <si>
    <t>支払日</t>
  </si>
  <si>
    <t>集金区分</t>
  </si>
  <si>
    <t>請求先ＣＤ</t>
  </si>
  <si>
    <t>ＷＥＢ表示区分</t>
  </si>
  <si>
    <t>取扱区分</t>
  </si>
  <si>
    <t>帳票出力順</t>
  </si>
  <si>
    <t>ＩＤ</t>
  </si>
  <si>
    <t>パスワード</t>
  </si>
  <si>
    <t>備考</t>
  </si>
  <si>
    <t>数量確定フラグ</t>
  </si>
  <si>
    <t>税区分</t>
  </si>
  <si>
    <t>軽減税率区分</t>
  </si>
  <si>
    <t>部署ＣＤ</t>
  </si>
  <si>
    <t>幼稚園別注</t>
  </si>
  <si>
    <t>ﾖｳﾁｴﾝﾍﾞｯﾁｭｳ</t>
  </si>
  <si>
    <t>2025/08/27 16:54:39</t>
  </si>
  <si>
    <t>太宰府小学校　第一学童保育所</t>
  </si>
  <si>
    <t>ﾀﾞｻﾞｲﾌｼｮｳｶﾞｯｺｳﾀﾞｲｲﾁｶﾞｸﾄﾞｳﾎｲｸｼｮ</t>
  </si>
  <si>
    <t>太宰府小　学童第一</t>
  </si>
  <si>
    <t>818-0119</t>
  </si>
  <si>
    <t>太宰府市連歌屋1-2-2</t>
  </si>
  <si>
    <t>092-925-3525</t>
  </si>
  <si>
    <t>2021/05/21 11:50:55</t>
  </si>
  <si>
    <t>太宰府小学校　第二学童保育所</t>
  </si>
  <si>
    <t>ﾀﾞｻﾞｲﾌｼｮｳｶﾞｯｺｳ ﾀﾞｲﾆｶﾞｸﾄﾞｳﾎｲｸｼｮ</t>
  </si>
  <si>
    <t>太宰府小　学童第二</t>
  </si>
  <si>
    <t>太宰府市連歌屋1-2-1</t>
  </si>
  <si>
    <t>092-928-5031</t>
  </si>
  <si>
    <t>2021/05/21 13:54:29</t>
  </si>
  <si>
    <t>太宰府東小学校　第一学童保育所</t>
  </si>
  <si>
    <t>ﾀﾞｻﾞｲﾌﾋｶﾞｼｼｮｳｶﾞｯｺｳ ﾀﾞｲｲﾁｶﾞｸﾄﾞｳ</t>
  </si>
  <si>
    <t>太宰府東小　学童第一</t>
  </si>
  <si>
    <t>818-0121</t>
  </si>
  <si>
    <t>太宰府市青山3-4-1</t>
  </si>
  <si>
    <t>092-925-5299</t>
  </si>
  <si>
    <t>2021/05/21 11:53:48</t>
  </si>
  <si>
    <t>太宰府東小学校　第二学童保育所</t>
  </si>
  <si>
    <t>ﾀﾞｻﾞｲﾌﾋｶﾞｼｼｮｳｶﾞｯｺｳ ﾀﾞｲﾆｶﾞｸﾄﾞｳﾎ</t>
  </si>
  <si>
    <t>太宰府東小　学童第二</t>
  </si>
  <si>
    <t>092-929-3038</t>
  </si>
  <si>
    <t>2021/05/21 11:55:03</t>
  </si>
  <si>
    <t>太宰府南小学校　第一学童保育所</t>
  </si>
  <si>
    <t>ﾀﾞｻﾞｲﾌﾐﾅﾐｼｮｳｶﾞｯｺｳ ﾀﾞｲｲﾁｶﾞｸﾄﾞｳﾎ</t>
  </si>
  <si>
    <t>太宰府南小　学童第一</t>
  </si>
  <si>
    <t>818-0122</t>
  </si>
  <si>
    <t>太宰府市高雄2-3855</t>
  </si>
  <si>
    <t>092-925-6031</t>
  </si>
  <si>
    <t>2021/05/21 12:00:41</t>
  </si>
  <si>
    <t>太宰府南小学校　第二学童保育所</t>
  </si>
  <si>
    <t>ﾀﾞｻﾞｲﾌﾐﾅﾐｼｮｳｶﾞｯｺｳ ﾀﾞｲﾆｶﾞｸﾄﾞｳﾎ</t>
  </si>
  <si>
    <t>太宰府南小　学童第二</t>
  </si>
  <si>
    <t>092-925-6936</t>
  </si>
  <si>
    <t>2021/05/21 11:59:10</t>
  </si>
  <si>
    <t>水城小学校　第一学童保育所</t>
  </si>
  <si>
    <t>ﾐｽﾞｷｼｮｳｶﾞｯｺｳ ﾀﾞｲｲﾁｶﾞｸﾄﾞｳﾎｲｸｼｮ</t>
  </si>
  <si>
    <t>水城小　学童第一</t>
  </si>
  <si>
    <t>818-0101</t>
  </si>
  <si>
    <t>太宰府市観世音寺3-13-2</t>
  </si>
  <si>
    <t>092-925-2777</t>
  </si>
  <si>
    <t>2021/05/21 12:07:23</t>
  </si>
  <si>
    <t>水城小学校　第二学童保育所</t>
  </si>
  <si>
    <t>ﾐｽﾞｷｼｮｳｶﾞｯｺｳ ﾀﾞｲﾆｶﾞｸﾄﾞｳﾎｲｸｼｮ</t>
  </si>
  <si>
    <t>水城小　学童第二</t>
  </si>
  <si>
    <t>092-923-3073</t>
  </si>
  <si>
    <t>2021/05/21 13:54:41</t>
  </si>
  <si>
    <t>19</t>
  </si>
  <si>
    <t>水城小学校　第三学童保育所</t>
  </si>
  <si>
    <t>ﾐｽﾞｷｼｮｳｶﾞｯｺｳ ﾀﾞｲｻﾝｶﾞｸﾄﾞｳﾎｲｸｼｮ</t>
  </si>
  <si>
    <t>水城小　学童第三</t>
  </si>
  <si>
    <t>092-923-3083</t>
  </si>
  <si>
    <t>2021/05/21 12:37:01</t>
  </si>
  <si>
    <t>水城西小学校　第一学童保育所</t>
  </si>
  <si>
    <t>ﾐｽﾞｷﾆｼｼｮｳｶﾞｯｺｳ ﾀﾞｲｲﾁｶﾞｸﾄﾞｳﾎｲｸｼ</t>
  </si>
  <si>
    <t>水城西小　学童第一</t>
  </si>
  <si>
    <t>818-0135</t>
  </si>
  <si>
    <t>太宰府市向佐野90</t>
  </si>
  <si>
    <t>092-925-5923</t>
  </si>
  <si>
    <t>2021/05/21 12:40:46</t>
  </si>
  <si>
    <t>水城西小学校　第二学童保育所</t>
  </si>
  <si>
    <t>ﾐｽﾞｷﾆｼｼｮｳｶﾞｯｺｳ ﾀﾞｲﾆｶﾞｸﾄﾞｳﾎｲｸｼｮ</t>
  </si>
  <si>
    <t>水城西小　学童第二</t>
  </si>
  <si>
    <t>092-925-6099</t>
  </si>
  <si>
    <t>2021/05/21 12:43:36</t>
  </si>
  <si>
    <t>水城西小学校　第三学童保育所</t>
  </si>
  <si>
    <t>ﾐｽﾞｷﾆｼｼｮｳｶﾞｯｺｳ ﾀﾞｲｻﾝｶﾞｸﾄﾞｳﾎｲｸｼ</t>
  </si>
  <si>
    <t>水城西小　学童第三</t>
  </si>
  <si>
    <t>092-928-5002</t>
  </si>
  <si>
    <t>2021/05/21 12:45:19</t>
  </si>
  <si>
    <t>太宰府西小学校　第一学童保育所</t>
  </si>
  <si>
    <t>ﾀﾞｻﾞｲﾌﾆｼｼｮｳｶﾞｯｺｳ ﾀﾞｲｲﾁｶﾞｸﾄﾞｳﾎｲ</t>
  </si>
  <si>
    <t>太宰府西小　学童第一</t>
  </si>
  <si>
    <t>818-0134</t>
  </si>
  <si>
    <t>太宰府市大佐野4-6-30</t>
  </si>
  <si>
    <t>092-924-0932</t>
  </si>
  <si>
    <t>2021/05/21 12:47:43</t>
  </si>
  <si>
    <t>太宰府西小学校　第二学童保育所</t>
  </si>
  <si>
    <t>ﾀﾞｻﾞｲﾌﾆｼｼｮｳｶﾞｯｺｳ ﾀﾞｲﾆｶﾞｸﾄﾞｳﾎｲｸ</t>
  </si>
  <si>
    <t>太宰府西小　学童第二</t>
  </si>
  <si>
    <t>092-924-1516</t>
  </si>
  <si>
    <t>2021/05/21 12:48:43</t>
  </si>
  <si>
    <t>国分小学校　第一学童保育所</t>
  </si>
  <si>
    <t>ｺｸﾌﾞｼｮｳｶﾞｯｺｳ ﾀﾞｲｲﾁｶﾞｸﾄﾞｳﾎｲｸｼｮ</t>
  </si>
  <si>
    <t>国分小　学童第一</t>
  </si>
  <si>
    <t>818-0132</t>
  </si>
  <si>
    <t>太宰府市国分5-29-7</t>
  </si>
  <si>
    <t>092-924-0542</t>
  </si>
  <si>
    <t>2021/05/21 12:49:52</t>
  </si>
  <si>
    <t>国分小学校　第二学童保育所</t>
  </si>
  <si>
    <t>ｺｸﾌﾞｼｮｳｶﾞｯｺｳ ﾀﾞｲﾆｶﾞｸﾄﾞｳﾎｲｸｼｮｺｸ</t>
  </si>
  <si>
    <t>国分小　学童第二</t>
  </si>
  <si>
    <t>太宰府市国分2-10-1</t>
  </si>
  <si>
    <t>092-925-1122</t>
  </si>
  <si>
    <t>2021/05/21 12:50:45</t>
  </si>
  <si>
    <t>国分小学校　第三学童保育所</t>
  </si>
  <si>
    <t>ｺｸﾌﾞｼｮｳｶﾞｯｺｳ ﾀﾞｲｻﾝｶﾞｸﾄﾞｳﾎｲｸｼｮ</t>
  </si>
  <si>
    <t>国分小　学童第三</t>
  </si>
  <si>
    <t>092-925-1123</t>
  </si>
  <si>
    <t>2021/05/21 12:51:47</t>
  </si>
  <si>
    <t>須玖小学校　　チャイルドクラブ</t>
  </si>
  <si>
    <t>ｽｸ ﾁｬｲﾙﾄﾞ</t>
  </si>
  <si>
    <t>須玖小　チャイルド</t>
  </si>
  <si>
    <t>816-0863</t>
  </si>
  <si>
    <t>春日市須玖南2-71</t>
  </si>
  <si>
    <t>092-582-6444</t>
  </si>
  <si>
    <t>2020/03/17 13:17:24</t>
  </si>
  <si>
    <t>32</t>
  </si>
  <si>
    <t>春日小学校　ポケットクラブ</t>
  </si>
  <si>
    <t>ｶｽｶﾞ ﾎﾟｹｯﾄ</t>
  </si>
  <si>
    <t>春日小　ポケット</t>
  </si>
  <si>
    <t>816-0851</t>
  </si>
  <si>
    <t>春日市昇町1-142</t>
  </si>
  <si>
    <t>092-573-4692</t>
  </si>
  <si>
    <t>2020/03/17 12:58:05</t>
  </si>
  <si>
    <t>春日小学校　ポケット第2クラブ</t>
  </si>
  <si>
    <t>ｶｽｶﾞ ﾎﾟｹｯﾄﾀﾞｲ2</t>
  </si>
  <si>
    <t>春日小　ポケット第2</t>
  </si>
  <si>
    <t>092-573-4699</t>
  </si>
  <si>
    <t>2020/03/17 13:12:47</t>
  </si>
  <si>
    <t>春日西小学校　つばめクラブ</t>
  </si>
  <si>
    <t>ｶｽｶﾞﾆｼ ﾂﾊﾞﾒ</t>
  </si>
  <si>
    <t>春日西小　つばめ</t>
  </si>
  <si>
    <t>816-0846</t>
  </si>
  <si>
    <t>春日市下白水南4-134</t>
  </si>
  <si>
    <t>092-572-6522</t>
  </si>
  <si>
    <t>2020/03/17 15:27:36</t>
  </si>
  <si>
    <t>春日西小学校　つばめ第2クラブ</t>
  </si>
  <si>
    <t>ｶｽｶﾞﾆｼ ﾂﾊﾞﾒﾀﾞｲ2</t>
  </si>
  <si>
    <t>春日西小　つばめ第2</t>
  </si>
  <si>
    <t>092-592-1345</t>
  </si>
  <si>
    <t>2020/03/17 13:12:52</t>
  </si>
  <si>
    <t>天神山小学校　ひかりクラブ</t>
  </si>
  <si>
    <t>ﾃﾝｼﾞﾝﾔﾏ ﾋｶﾘ</t>
  </si>
  <si>
    <t>天神山小　ひかり</t>
  </si>
  <si>
    <t>816-0855</t>
  </si>
  <si>
    <t>春日市天神山6-39</t>
  </si>
  <si>
    <t>092-574-0316</t>
  </si>
  <si>
    <t>2020/03/17 12:59:54</t>
  </si>
  <si>
    <t>天神山小学校　ひかり第2クラブ</t>
  </si>
  <si>
    <t>ﾃﾝｼﾞﾝﾔﾏﾋｶﾘﾀﾞｲ2</t>
  </si>
  <si>
    <t>天神山小　ひかり第2</t>
  </si>
  <si>
    <t>092-573-7758</t>
  </si>
  <si>
    <t>2020/03/17 13:12:57</t>
  </si>
  <si>
    <t>大谷小学校　ひまわりクラブ</t>
  </si>
  <si>
    <t>ｵｵﾀﾆ ﾋﾏﾜﾘ</t>
  </si>
  <si>
    <t>大谷小　ひまわり</t>
  </si>
  <si>
    <t>816-0831</t>
  </si>
  <si>
    <t>春日市大谷4-1</t>
  </si>
  <si>
    <t>092-591-1355</t>
  </si>
  <si>
    <t>2020/03/17 15:29:13</t>
  </si>
  <si>
    <t>春日南小学校　さくらクラブ</t>
  </si>
  <si>
    <t>ｶｽｶﾞﾐﾅﾐ ｻｸﾗ</t>
  </si>
  <si>
    <t>春日南小　さくら</t>
  </si>
  <si>
    <t>816-0814</t>
  </si>
  <si>
    <t>春日市春日8-100</t>
  </si>
  <si>
    <t>092-595-3377</t>
  </si>
  <si>
    <t>2020/03/17 13:03:50</t>
  </si>
  <si>
    <t>春日南小学校　さくら第2クラブ</t>
  </si>
  <si>
    <t>ｶｽｶﾞﾐﾅﾐｻｸﾗﾀﾞｲ2</t>
  </si>
  <si>
    <t>春日南小　さくら第2</t>
  </si>
  <si>
    <t>092-595-3436</t>
  </si>
  <si>
    <t>2020/03/17 13:12:59</t>
  </si>
  <si>
    <t>春日原小学校　たいようクラブ</t>
  </si>
  <si>
    <t>ｶｽｶﾞﾊﾞﾙﾀｲﾖｳ</t>
  </si>
  <si>
    <t>春日原小　たいよう</t>
  </si>
  <si>
    <t>816-0803</t>
  </si>
  <si>
    <t>春日市春日原南町4-37-1</t>
  </si>
  <si>
    <t>092-574-2348</t>
  </si>
  <si>
    <t>2020/03/17 13:09:46</t>
  </si>
  <si>
    <t>春日東小学校　なかよしクラブ</t>
  </si>
  <si>
    <t>ｶｽｶﾞﾋｶﾞｼﾅｶﾖｼ</t>
  </si>
  <si>
    <t>春日東小　なかよし</t>
  </si>
  <si>
    <t>816-0821</t>
  </si>
  <si>
    <t>春日市若葉台東1-51</t>
  </si>
  <si>
    <t>092-574-2650</t>
  </si>
  <si>
    <t>2020/03/17 13:09:59</t>
  </si>
  <si>
    <t>春日東小学校　なかよし第2クラブ</t>
  </si>
  <si>
    <t>ｶｽｶﾞﾋｶﾞｼﾅｶﾖｼﾀﾞｲ2</t>
  </si>
  <si>
    <t>春日東小　なかよし第2</t>
  </si>
  <si>
    <t>092-571-3688</t>
  </si>
  <si>
    <t>2020/03/17 13:13:06</t>
  </si>
  <si>
    <t>春日北小学校　あおぞらクラブ</t>
  </si>
  <si>
    <t>ｶｽｶﾞｷﾀｱｵｿﾞﾗ</t>
  </si>
  <si>
    <t>春日北小　あおぞら</t>
  </si>
  <si>
    <t>816-0861</t>
  </si>
  <si>
    <t>春日市岡本1-35</t>
  </si>
  <si>
    <t>092-592-2692</t>
  </si>
  <si>
    <t>2020/03/17 13:10:40</t>
  </si>
  <si>
    <t>48</t>
  </si>
  <si>
    <t>春日野小学校　つくしんぼクラブ</t>
  </si>
  <si>
    <t>ｶｽｶﾞﾉﾂｸｼﾝﾎﾞ</t>
  </si>
  <si>
    <t>春日野小　つくしんぼ</t>
  </si>
  <si>
    <t>816-0811</t>
  </si>
  <si>
    <t>春日市春日公園4-1-1</t>
  </si>
  <si>
    <t>092-501-7302</t>
  </si>
  <si>
    <t>2020/03/17 13:11:27</t>
  </si>
  <si>
    <t>春日野小学校　つくしんぼ第2クラブ</t>
  </si>
  <si>
    <t>ｶｽｶﾞﾉﾂｸｼﾝﾎﾞﾀﾞｲ2</t>
  </si>
  <si>
    <t>春日野小つくしんぼ第2</t>
  </si>
  <si>
    <t>092-582-8680</t>
  </si>
  <si>
    <t>2020/03/17 13:13:21</t>
  </si>
  <si>
    <t>日の出小学校　コスモクラブ</t>
  </si>
  <si>
    <t>ﾋﾉﾃﾞｺｽﾓ</t>
  </si>
  <si>
    <t>日の出小　コスモ</t>
  </si>
  <si>
    <t>816-0873</t>
  </si>
  <si>
    <t>春日市日の出町3-1-10</t>
  </si>
  <si>
    <t>092-585-2883</t>
  </si>
  <si>
    <t>2020/03/17 13:13:46</t>
  </si>
  <si>
    <t>白水小学校　スマイルクラブ</t>
  </si>
  <si>
    <t>ｼﾛｳｽﾞスマイル</t>
  </si>
  <si>
    <t>白水小　スマイル</t>
  </si>
  <si>
    <t>816-0845</t>
  </si>
  <si>
    <t>春日市白水ヶ丘1-100</t>
  </si>
  <si>
    <t>092-581-2450</t>
  </si>
  <si>
    <t>2020/03/17 15:33:41</t>
  </si>
  <si>
    <t>立花小学校　学童保育所</t>
  </si>
  <si>
    <t>ﾀﾁﾊﾞﾅｼｮｳｶﾞｯｺｳ ｶﾞｸﾄﾞｳﾎｲｸｼｮ</t>
  </si>
  <si>
    <t>立花小　学童</t>
  </si>
  <si>
    <t>811-0102</t>
  </si>
  <si>
    <t>糟屋郡新宮町大字立花口1072-3</t>
  </si>
  <si>
    <t>092-963-0450</t>
  </si>
  <si>
    <t>2021/05/21 10:55:00</t>
  </si>
  <si>
    <t>新宮小学校　学童保育所第一・第二・第三</t>
  </si>
  <si>
    <t>ｼﾝｸﾞｳｼｮｳｶﾞｯｺｳ ｶﾞｸﾄﾞｳﾎｲｸｼｮﾀﾞｲｲﾁ</t>
  </si>
  <si>
    <t>新宮小学校　学童</t>
  </si>
  <si>
    <t>811-0112</t>
  </si>
  <si>
    <t>糟屋郡新宮町下府3-12</t>
  </si>
  <si>
    <t>092-962-4139</t>
  </si>
  <si>
    <t>2021/05/21 13:54:52</t>
  </si>
  <si>
    <t>新宮東小学校　学童保育所第一・第二</t>
  </si>
  <si>
    <t>ｼﾝｸﾞｳﾋｶﾞｼｼｮｳｶﾞｯｺｳ ｶﾞｸﾄﾞｳﾎｲｸｼｮﾀ</t>
  </si>
  <si>
    <t>新宮東小　学童</t>
  </si>
  <si>
    <t>811-0117</t>
  </si>
  <si>
    <t>糟屋郡新宮町新宮東4-8-1</t>
  </si>
  <si>
    <t>092-963-1131</t>
  </si>
  <si>
    <t>2021/05/21 10:57:34</t>
  </si>
  <si>
    <t>新宮北小学校　学童保育所第一・第二・第三・第四</t>
  </si>
  <si>
    <t>ｼﾝｸﾞｳｷﾀｼｮｳｶﾞｯｺｳ ｶﾞｸﾄﾞｳﾎｲｸｼｮﾀﾞｲ</t>
  </si>
  <si>
    <t>新宮北小　学童</t>
  </si>
  <si>
    <t>811-0123</t>
  </si>
  <si>
    <t>糟屋郡新宮町上府北1-16-1</t>
  </si>
  <si>
    <t>092-963-1712</t>
  </si>
  <si>
    <t>092-963-1713</t>
  </si>
  <si>
    <t>2021/05/21 11:00:04</t>
  </si>
  <si>
    <t>南畑小学校　学童保育所</t>
  </si>
  <si>
    <t>ﾐﾅﾐﾊﾀｼｮｳｶﾞｯｺｳ ｶﾞｸﾄﾞｳﾎｲｸｼｮ</t>
  </si>
  <si>
    <t>南畑小　学童</t>
  </si>
  <si>
    <t>811-1232</t>
  </si>
  <si>
    <t>那珂川市大字埋金530-1</t>
  </si>
  <si>
    <t>092-953-3660</t>
  </si>
  <si>
    <t>2021/05/21 11:08:56</t>
  </si>
  <si>
    <t>72</t>
  </si>
  <si>
    <t>岩戸小学校　学童保育所A・B</t>
  </si>
  <si>
    <t>ｲﾜﾄｼｮｳｶﾞｯｺｳ ｶﾞｸﾄﾞｳﾎｲｸｼｮA･B</t>
  </si>
  <si>
    <t>岩戸小　学童</t>
  </si>
  <si>
    <t>811-1242</t>
  </si>
  <si>
    <t>那珂川市大字西隈2-6-45</t>
  </si>
  <si>
    <t>092-953-1768</t>
  </si>
  <si>
    <t>2021/05/21 11:11:02</t>
  </si>
  <si>
    <t>岩戸北小学校　学童保育A・B・C</t>
  </si>
  <si>
    <t>ｲﾜﾄｷﾀｼｮｳｶﾞｯｺｳ ｶﾞｸﾄﾞｳﾎｲｸA･B･C</t>
  </si>
  <si>
    <t>岩戸北小　学童</t>
  </si>
  <si>
    <t>811-1255</t>
  </si>
  <si>
    <t>那珂川市恵子1-1-1</t>
  </si>
  <si>
    <t>092-953-3141</t>
  </si>
  <si>
    <t>2021/05/21 11:12:49</t>
  </si>
  <si>
    <t>74</t>
  </si>
  <si>
    <t>安徳小学校　学童保育所A・B・C</t>
  </si>
  <si>
    <t>ｱﾝﾄｸｼｮｳｶﾞｯｺｳ ｶﾞｸﾄﾞｳﾎｲｸｼｮA･B･C</t>
  </si>
  <si>
    <t>安徳小　学童</t>
  </si>
  <si>
    <t>811-1251</t>
  </si>
  <si>
    <t>那珂川市松木2-134</t>
  </si>
  <si>
    <t>092-953-1766</t>
  </si>
  <si>
    <t>2021/05/21 11:14:59</t>
  </si>
  <si>
    <t>75</t>
  </si>
  <si>
    <t>安徳北小学校　学童保育所A・B・Ｃ</t>
  </si>
  <si>
    <t>ｱﾝﾄｸｷﾀｼｮｳｶﾞｯｺｳ ｶﾞｸﾄﾞｳﾎｲｸｼｮABC</t>
  </si>
  <si>
    <t>安徳北小　学童</t>
  </si>
  <si>
    <t>811-1252</t>
  </si>
  <si>
    <t>那珂川市五郎丸1-11</t>
  </si>
  <si>
    <t>092-952-8147</t>
  </si>
  <si>
    <t>2021/05/21 13:55:08</t>
  </si>
  <si>
    <t>片縄小学校　学童保育所A・第二B・第三Ｃ</t>
  </si>
  <si>
    <t>ｶﾀﾅﾜｼｮｳｶﾞｯｺｳ ｶﾞｸﾄﾞｳﾎｲｸｼｮAﾀﾞｲ</t>
  </si>
  <si>
    <t>片縄小　学童</t>
  </si>
  <si>
    <t>811-1203</t>
  </si>
  <si>
    <t>那珂川市片縄北1-15-2</t>
  </si>
  <si>
    <t>092-952-8133</t>
  </si>
  <si>
    <t>2021/05/21 11:33:23</t>
  </si>
  <si>
    <t>安徳南小学校　学童保育所A・B・Ｃ</t>
  </si>
  <si>
    <t>ｱﾝﾄｸﾐﾅﾐｼｮｳｶﾞｯｺｳ ｶﾞｸﾄﾞｳﾎｲｸｼｮA･B</t>
  </si>
  <si>
    <t>安徳南小　学童</t>
  </si>
  <si>
    <t>811-1223</t>
  </si>
  <si>
    <t>那珂川市上梶尾1-1-2</t>
  </si>
  <si>
    <t>092-953-6221</t>
  </si>
  <si>
    <t>2021/05/21 11:34:53</t>
  </si>
  <si>
    <t>ペコフリー</t>
  </si>
  <si>
    <t>ﾍﾟｺﾌﾘｰ</t>
  </si>
  <si>
    <t>815-0032</t>
  </si>
  <si>
    <t>福岡県福岡市南区塩原1-28-1</t>
  </si>
  <si>
    <t xml:space="preserve">
LuneAyla</t>
  </si>
  <si>
    <t>092-292-7997</t>
  </si>
  <si>
    <t>2025/09/08 11:37:12</t>
  </si>
  <si>
    <t>テノ・サポート</t>
  </si>
  <si>
    <t>ﾃﾉ･ｻﾎﾟｰﾄ</t>
  </si>
  <si>
    <t>812-0036</t>
  </si>
  <si>
    <t>福岡市博多区上呉服町10-10</t>
  </si>
  <si>
    <t>呉服町ビジネスセンター5階</t>
  </si>
  <si>
    <t>2022/09/03 11:45:23</t>
  </si>
  <si>
    <t xml:space="preserve">
LuneAyla(リュネアイラ)</t>
  </si>
  <si>
    <t>2025/09/08 11:18:39</t>
  </si>
  <si>
    <t>95</t>
  </si>
  <si>
    <t>博多学園　志明館</t>
  </si>
  <si>
    <t>ハカタガクエン ｼﾒｲｶﾝ</t>
  </si>
  <si>
    <t>博多学園志明館</t>
  </si>
  <si>
    <t>813-0041</t>
  </si>
  <si>
    <t>福岡県福岡市東区水谷１丁目２１番１号</t>
  </si>
  <si>
    <t/>
  </si>
  <si>
    <t>092-410-1450</t>
  </si>
  <si>
    <t>2019/10/30 9:38:49</t>
  </si>
  <si>
    <t>博多学園</t>
  </si>
  <si>
    <t>ハカタガクエン</t>
  </si>
  <si>
    <t>092-671-6319</t>
  </si>
  <si>
    <t>2019/10/07 13:24:11</t>
  </si>
  <si>
    <t>博多メディカル専門学校（現金）</t>
  </si>
  <si>
    <t>ハカタメディカル</t>
  </si>
  <si>
    <t>博多メディカル</t>
  </si>
  <si>
    <t>812-0044</t>
  </si>
  <si>
    <t>福岡県福岡市博多区千代4-32-1-</t>
  </si>
  <si>
    <t>092-651-8001</t>
  </si>
  <si>
    <t>2019/10/30 9:39:00</t>
  </si>
  <si>
    <t>博多メディカル専門学校</t>
  </si>
  <si>
    <t>2019/10/30 9:39:07</t>
  </si>
  <si>
    <t>博多高等学校</t>
  </si>
  <si>
    <t>ハカタコウコウ</t>
  </si>
  <si>
    <t>092-681-0331</t>
  </si>
  <si>
    <t>2019/10/30 9:39:18</t>
  </si>
  <si>
    <t>博多のびっこ幼稚園　週3ｺｰｽ</t>
  </si>
  <si>
    <t>ハカタノビッコ ｼｭｳ3ｺｰｽ</t>
  </si>
  <si>
    <t>811-3425</t>
  </si>
  <si>
    <t>福岡県宗像市日の里７－１８－１</t>
  </si>
  <si>
    <t>0940-36-7473</t>
  </si>
  <si>
    <t>0940-36-7382</t>
  </si>
  <si>
    <t>2025/09/02 12:00:52</t>
  </si>
  <si>
    <t>博多のびっこ幼稚園（別注）</t>
  </si>
  <si>
    <t>ハカタノビッコ</t>
  </si>
  <si>
    <t>2019/10/30 9:24:33</t>
  </si>
  <si>
    <t>博多のびっこ幼稚園　リトルプレイルーム</t>
  </si>
  <si>
    <t>ハカタノビッコリトル</t>
  </si>
  <si>
    <t>2019/10/30 9:24:40</t>
  </si>
  <si>
    <t>博多のびっこ幼稚園　ふれあい</t>
  </si>
  <si>
    <t>フレアイ</t>
  </si>
  <si>
    <t>2019/10/30 9:24:46</t>
  </si>
  <si>
    <t>博多のびっこ幼稚園　のびっこクラブ</t>
  </si>
  <si>
    <t>ノビッコｸﾗﾌﾞ</t>
  </si>
  <si>
    <t>博多のびっこ幼稚園　のびっこク</t>
  </si>
  <si>
    <t>2019/10/30 9:24:53</t>
  </si>
  <si>
    <t>博多のびっこ幼稚園　星組</t>
  </si>
  <si>
    <t>ﾊｶﾀﾉﾋﾞｯｺﾖｳﾁｴﾝ ﾎｼｸﾞﾐ</t>
  </si>
  <si>
    <t>博多のびっこ　星組</t>
  </si>
  <si>
    <t>福岡県宗像市日の里7-18-1</t>
  </si>
  <si>
    <t>2019/10/30 9:24:59</t>
  </si>
  <si>
    <t>博多のびっこ幼稚園　週5ｺｰｽ</t>
  </si>
  <si>
    <t>ﾊｶﾀﾉﾋﾞｯｺｼｭｳ5ｺｰｽ</t>
  </si>
  <si>
    <t>博多のびっこ　週5ｺｰｽ</t>
  </si>
  <si>
    <t>2025/09/08 11:24:02</t>
  </si>
  <si>
    <t>博多のびっこ幼稚園（補助教員）</t>
  </si>
  <si>
    <t>ハカタノビッコ (ﾎｼﾞｮｷｮｳｲﾝ)</t>
  </si>
  <si>
    <t>博多のびっこ（補助教員）</t>
  </si>
  <si>
    <t>2019/10/30 9:25:10</t>
  </si>
  <si>
    <t>博多のびっこ幼稚園（別注2）</t>
  </si>
  <si>
    <t>ハカタノビッコ2</t>
  </si>
  <si>
    <t>2019/10/30 9:25:16</t>
  </si>
  <si>
    <t>博多南幼稚園　週3ｺｰｽ</t>
  </si>
  <si>
    <t>ハカタミナミ ｼｭｳ3ｺｰｽ</t>
  </si>
  <si>
    <t>博多南　週3ｺｰｽ</t>
  </si>
  <si>
    <t>811-0215</t>
  </si>
  <si>
    <t>福岡県福岡市東区高美台２－２５－１</t>
  </si>
  <si>
    <t>092-606-8217</t>
  </si>
  <si>
    <t>092-606-8850</t>
  </si>
  <si>
    <t>2025/09/10 14:02:26</t>
  </si>
  <si>
    <t>博多南幼稚園（別注）</t>
  </si>
  <si>
    <t>ハカタミナミ(別注)</t>
  </si>
  <si>
    <t>51</t>
  </si>
  <si>
    <t>2019/10/30 9:25:33</t>
  </si>
  <si>
    <t>博多南幼稚園　リトルプレイルーム</t>
  </si>
  <si>
    <t>ハカタミナミリトル</t>
  </si>
  <si>
    <t>2019/10/30 9:25:37</t>
  </si>
  <si>
    <t>博多南幼稚園（別注2）</t>
  </si>
  <si>
    <t>ハカタミナミﾍﾞｯﾁｭｳ2</t>
  </si>
  <si>
    <t>2019/10/30 9:25:44</t>
  </si>
  <si>
    <t>博多南幼稚園（別注3）</t>
  </si>
  <si>
    <t>ハカタミナミ(別注3)</t>
  </si>
  <si>
    <t>2024/02/01 14:22:08</t>
  </si>
  <si>
    <t>博多南幼稚園　フレンズルーム</t>
  </si>
  <si>
    <t>ハカタミナミ ﾌﾚﾝｽﾞﾙｰﾑ</t>
  </si>
  <si>
    <t>2025/09/02 12:01:42</t>
  </si>
  <si>
    <t>博多南幼稚園　週5ｺｰｽ</t>
  </si>
  <si>
    <t>ハカタミナミ ｼｭｳ5ｺｰｽ</t>
  </si>
  <si>
    <t>博多南　週5ｺｰｽ</t>
  </si>
  <si>
    <t>検食</t>
  </si>
  <si>
    <t>-1</t>
  </si>
  <si>
    <t>2025/09/10 14:02:33</t>
  </si>
  <si>
    <t>博多南幼稚園（補助教員）</t>
  </si>
  <si>
    <t>ハカタミナミ(ﾎｼﾞｮｷｮｳｲﾝ)</t>
  </si>
  <si>
    <t>博多南（補助教員）　web</t>
  </si>
  <si>
    <t>2025/09/10 15:59:12</t>
  </si>
  <si>
    <t>300</t>
  </si>
  <si>
    <t>博多東幼稚園</t>
  </si>
  <si>
    <t>ハカタヒガシ</t>
  </si>
  <si>
    <t>811-0121</t>
  </si>
  <si>
    <t>福岡県糟屋郡新宮町美咲2丁目17-1</t>
  </si>
  <si>
    <t>092-962-0321</t>
  </si>
  <si>
    <t>092-963-1199</t>
  </si>
  <si>
    <t>2019/12/27 10:45:24</t>
  </si>
  <si>
    <t>博多東幼稚園（別注）</t>
  </si>
  <si>
    <t>2019/12/27 10:45:32</t>
  </si>
  <si>
    <t>博多東幼稚園　リトルプレイルーム</t>
  </si>
  <si>
    <t>ハカタヒガシリトル</t>
  </si>
  <si>
    <t>2019/12/27 10:45:38</t>
  </si>
  <si>
    <t>博多東幼稚園　ピータールーム</t>
  </si>
  <si>
    <t>ヒガシピーター</t>
  </si>
  <si>
    <t>2019/12/27 10:45:44</t>
  </si>
  <si>
    <t>認定こども園博多東幼稚園</t>
  </si>
  <si>
    <t>ヒガシﾆﾝﾃｲｺﾄﾞﾓｴﾝ</t>
  </si>
  <si>
    <t>認定こども園博多東幼稚園　</t>
  </si>
  <si>
    <t>30005</t>
  </si>
  <si>
    <t>2023/06/21 15:03:19</t>
  </si>
  <si>
    <t>博多中央幼稚園　週3ｺｰｽ</t>
  </si>
  <si>
    <t>ハカタチュウオウ ｼｭｳ3ｺｰｽ</t>
  </si>
  <si>
    <t>博多中央　週3ｺｰｽ</t>
  </si>
  <si>
    <t>813-0014</t>
  </si>
  <si>
    <t>福岡県福岡市東区香椎台１－５－２２</t>
  </si>
  <si>
    <t>092-681-3131</t>
  </si>
  <si>
    <t>092-681-3134</t>
  </si>
  <si>
    <t>70</t>
  </si>
  <si>
    <t>2025/09/10 14:02:41</t>
  </si>
  <si>
    <t>401</t>
  </si>
  <si>
    <t>博多中央幼稚園（別注）</t>
  </si>
  <si>
    <t>ハカタチュウオウ ﾍﾞｯﾁｭｳ</t>
  </si>
  <si>
    <t>2019/10/30 9:29:54</t>
  </si>
  <si>
    <t>402</t>
  </si>
  <si>
    <t>博多中央幼稚園　リトルプレイルーム</t>
  </si>
  <si>
    <t>ハカタチュウオウリトル</t>
  </si>
  <si>
    <t>2019/10/30 9:30:01</t>
  </si>
  <si>
    <t>博多中央幼稚園　キラキラルーム</t>
  </si>
  <si>
    <t>ﾊｶﾀﾁｭｳｵｳﾖｳﾁｴﾝ ｷﾗｷﾗﾙｰﾑ</t>
  </si>
  <si>
    <t>福岡県福岡市東区香椎台1-5-22</t>
  </si>
  <si>
    <t>2025/09/02 12:05:56</t>
  </si>
  <si>
    <t>404</t>
  </si>
  <si>
    <t>博多中央幼稚園（別注2）</t>
  </si>
  <si>
    <t>ハカタチュウオウ ﾍﾞｯﾁｭｳ2</t>
  </si>
  <si>
    <t>博多中央（別注2）</t>
  </si>
  <si>
    <t>2025/09/10 14:02:52</t>
  </si>
  <si>
    <t>博多中央幼稚園　週5ｺｰｽ</t>
  </si>
  <si>
    <t>ハカタチュウオウ ｼｭｳ5ｺｰｽ</t>
  </si>
  <si>
    <t>博多中央　週5ｺｰｽ</t>
  </si>
  <si>
    <t>2025/09/10 14:02:59</t>
  </si>
  <si>
    <t>博多中央幼稚園（補助教員）</t>
  </si>
  <si>
    <t>ハカタチュウオウ(ﾎｼﾞｮｷｮｳｲﾝ)</t>
  </si>
  <si>
    <t>博多中央（補助教員）　web</t>
  </si>
  <si>
    <t>2025/09/10 15:59:21</t>
  </si>
  <si>
    <t>博多幼稚園　週3ｺｰｽ</t>
  </si>
  <si>
    <t>ハカタ ｼｭｳ3ｺｰｽ</t>
  </si>
  <si>
    <t>博多　週3ｺｰｽ</t>
  </si>
  <si>
    <t>813-0042</t>
  </si>
  <si>
    <t>福岡県福岡市東区舞松原５－７－５</t>
  </si>
  <si>
    <t>092-681-1107</t>
  </si>
  <si>
    <t>092-671-6231</t>
  </si>
  <si>
    <t>2025/09/10 14:03:08</t>
  </si>
  <si>
    <t>博多幼稚園（別注）</t>
  </si>
  <si>
    <t>ハカタ</t>
  </si>
  <si>
    <t>81</t>
  </si>
  <si>
    <t>2019/10/30 9:30:38</t>
  </si>
  <si>
    <t>博多幼稚園　リトルプレイルーム</t>
  </si>
  <si>
    <t>ハカタリトル</t>
  </si>
  <si>
    <t>2019/10/30 9:30:43</t>
  </si>
  <si>
    <t>博多幼稚園　ぴよぴよランド</t>
  </si>
  <si>
    <t>ﾊｶﾀﾖｳﾁｴﾝ ﾋﾟﾖﾋﾟﾖﾗﾝﾄﾞ</t>
  </si>
  <si>
    <t>2025/09/02 12:06:24</t>
  </si>
  <si>
    <t>博多幼稚園（別注2）</t>
  </si>
  <si>
    <t>ハカタ2</t>
  </si>
  <si>
    <t>博多（別注2）</t>
  </si>
  <si>
    <t>2025/09/10 14:03:13</t>
  </si>
  <si>
    <t>博多幼稚園　きらきらルーム</t>
  </si>
  <si>
    <t>ハカタ  ｷﾗｷﾗﾙｰﾑ</t>
  </si>
  <si>
    <t>2025/09/02 12:06:39</t>
  </si>
  <si>
    <t>博多幼稚園　週5ｺｰｽ</t>
  </si>
  <si>
    <t>ハカタ ｼｭｳ5ｺｰｽ</t>
  </si>
  <si>
    <t>博多　週5ｺｰｽ</t>
  </si>
  <si>
    <t>2025/09/10 14:03:19</t>
  </si>
  <si>
    <t>博多幼稚園（補助教員）</t>
  </si>
  <si>
    <t>ハカタ ｼｭｳ(ﾎｼﾞｮｷｮｳｲﾝ)</t>
  </si>
  <si>
    <t>博多（補助教員）　web</t>
  </si>
  <si>
    <t>2025/09/10 15:59:26</t>
  </si>
  <si>
    <t>博多第一幼稚園　週3ｺｰｽ</t>
  </si>
  <si>
    <t>ハカタダイイチ ｼｭｳｼｭｳ3ｺｰｽ</t>
  </si>
  <si>
    <t>博多第一　週3ｺｰｽ</t>
  </si>
  <si>
    <t>811-2201</t>
  </si>
  <si>
    <t>福岡県糟屋郡志免町桜丘１－２８</t>
  </si>
  <si>
    <t>092-936-0200</t>
  </si>
  <si>
    <t>092-936-1114</t>
  </si>
  <si>
    <t>110</t>
  </si>
  <si>
    <t>2025/09/10 14:03:31</t>
  </si>
  <si>
    <t>601</t>
  </si>
  <si>
    <t>博多第一幼稚園（別注）</t>
  </si>
  <si>
    <t>ハカタダイイチ</t>
  </si>
  <si>
    <t>111</t>
  </si>
  <si>
    <t>2019/10/30 9:31:40</t>
  </si>
  <si>
    <t>博多第一幼稚園　ﾘﾄﾙﾌﾟﾚｲﾙｰﾑ</t>
  </si>
  <si>
    <t>ハカタダイイチリトルﾘﾄﾙﾌﾟﾚｲﾙｰﾑ</t>
  </si>
  <si>
    <t>2019/10/30 9:31:45</t>
  </si>
  <si>
    <t>博多第一幼稚園　別注2</t>
  </si>
  <si>
    <t>ﾊｶﾀﾀﾞｲｲﾁ ﾍﾞｯﾁｭｳ2</t>
  </si>
  <si>
    <t>博多第一幼稚園　(別注2)</t>
  </si>
  <si>
    <t>2025/09/02 12:07:21</t>
  </si>
  <si>
    <t>博多第一幼稚園　別注3</t>
  </si>
  <si>
    <t>ﾊｶﾀﾀﾞｲｲﾁ ﾍﾞｯﾁｭｳ3</t>
  </si>
  <si>
    <t>博多第一幼稚園　(別注3)</t>
  </si>
  <si>
    <t>2025/09/02 12:07:44</t>
  </si>
  <si>
    <t>博多第一幼稚園　スターズルーム</t>
  </si>
  <si>
    <t>ハカタダイイチ ｽﾀｰｽﾞﾙｰﾑ</t>
  </si>
  <si>
    <t>2025/09/02 12:09:01</t>
  </si>
  <si>
    <t>博多第一幼稚園　週5ｺｰｽ</t>
  </si>
  <si>
    <t>ハカタダイイチ ｼｭｳ5ｺｰｽ</t>
  </si>
  <si>
    <t>博多第一　週5ｺｰｽ</t>
  </si>
  <si>
    <t>2025/09/10 14:03:50</t>
  </si>
  <si>
    <t>博多第一幼稚園（補助教員）</t>
  </si>
  <si>
    <t>ハカタダイイチ(ﾎｼﾞｮｷｮｳｲﾝ)</t>
  </si>
  <si>
    <t>博多第一（補助教員）　web</t>
  </si>
  <si>
    <t>2025/09/10 15:59:33</t>
  </si>
  <si>
    <t>博多第二幼稚園　週3ｺｰｽ</t>
  </si>
  <si>
    <t>ハカタダイニ ｼｭｳ3ｺｰｽ</t>
  </si>
  <si>
    <t>博多第二　週3ｺｰｽ</t>
  </si>
  <si>
    <t>811-2106</t>
  </si>
  <si>
    <t>福岡県糟屋郡宇美町ひばりが丘１－１－１０</t>
  </si>
  <si>
    <t>092-934-1001</t>
  </si>
  <si>
    <t>092-934-1564</t>
  </si>
  <si>
    <t>2025/09/10 14:04:01</t>
  </si>
  <si>
    <t>701</t>
  </si>
  <si>
    <t>博多第二幼稚園　（別注）</t>
  </si>
  <si>
    <t>ハカタダイニ</t>
  </si>
  <si>
    <t>博多第二幼稚園（別注）</t>
  </si>
  <si>
    <t>2019/12/27 10:52:47</t>
  </si>
  <si>
    <t>702</t>
  </si>
  <si>
    <t>博多第二幼稚園　リトルプレイルーム</t>
  </si>
  <si>
    <t>ハカタダイニﾘﾄﾙﾌﾟﾚｲﾙｰﾑ</t>
  </si>
  <si>
    <t>博多第二幼稚リトルプレイルーム</t>
  </si>
  <si>
    <t>2025/09/02 12:10:06</t>
  </si>
  <si>
    <t>703</t>
  </si>
  <si>
    <t>博多第二幼稚園　リトルプレイルーム　週2（にじ組）</t>
  </si>
  <si>
    <t>ﾊｶﾀﾀﾞｲﾆﾘﾄﾙ ｼｭｳ2(ﾆｼﾞｸﾐ)ﾌﾟﾚｲﾙｰﾑ</t>
  </si>
  <si>
    <t>博多第二リトル　週2</t>
  </si>
  <si>
    <t>2025/09/02 12:12:44</t>
  </si>
  <si>
    <t>704</t>
  </si>
  <si>
    <t>博多第二幼稚園　（別注2）</t>
  </si>
  <si>
    <t>ハカタダイニ2</t>
  </si>
  <si>
    <t>博多第二幼稚園（別注2）</t>
  </si>
  <si>
    <t>2019/11/05 9:39:05</t>
  </si>
  <si>
    <t>705</t>
  </si>
  <si>
    <t>博多第二幼稚園　お預かり</t>
  </si>
  <si>
    <t>ハカタダイニ ｵｱｽﾞｶﾘ</t>
  </si>
  <si>
    <t>博多第二　お預かり</t>
  </si>
  <si>
    <t>2019/12/27 10:53:19</t>
  </si>
  <si>
    <t>博多第二幼稚園　週5ｺｰｽ</t>
  </si>
  <si>
    <t>ハカタダイニ ｼｭｳ5ｺｰｽ</t>
  </si>
  <si>
    <t>博多第二　週5ｺｰｽ</t>
  </si>
  <si>
    <t>2025/09/10 14:04:06</t>
  </si>
  <si>
    <t>博多第二幼稚園（補助教員）</t>
  </si>
  <si>
    <t>ハカタダイニ(ﾎｼﾞｮｷｮｳｲﾝ)</t>
  </si>
  <si>
    <t>博多第二（補助教員）　web</t>
  </si>
  <si>
    <t>2025/09/10 15:59:39</t>
  </si>
  <si>
    <t>708</t>
  </si>
  <si>
    <t>博多第二幼稚園　（別注3）</t>
  </si>
  <si>
    <t>ハカタダイニ3</t>
  </si>
  <si>
    <t>博多第二幼稚園（別注3）</t>
  </si>
  <si>
    <t>2019/12/27 10:53:34</t>
  </si>
  <si>
    <t>吉塚ゆりの樹幼稚園</t>
  </si>
  <si>
    <t>ヨシヅカ</t>
  </si>
  <si>
    <t>吉塚ゆりの樹　スマぶろ　web</t>
  </si>
  <si>
    <t>812-0041</t>
  </si>
  <si>
    <t>福岡県福岡市博多区吉塚５－５－３９</t>
  </si>
  <si>
    <t>092-621-1055</t>
  </si>
  <si>
    <t>092-623-0586</t>
  </si>
  <si>
    <t>30010</t>
  </si>
  <si>
    <t>2025/09/10 14:04:34</t>
  </si>
  <si>
    <t>ヨシズカｼｮｳｻｲﾖｳ(ﾍﾞﾂ)</t>
  </si>
  <si>
    <t>2022/12/01 14:15:06</t>
  </si>
  <si>
    <t>吉塚ゆりの樹　ママミール　web</t>
  </si>
  <si>
    <t>2025/09/10 14:04:40</t>
  </si>
  <si>
    <t>806</t>
  </si>
  <si>
    <t>ヨシズカ</t>
  </si>
  <si>
    <t>吉塚ゆりの樹（別）　ママミール</t>
  </si>
  <si>
    <t>2025/09/02 12:16:39</t>
  </si>
  <si>
    <t>1000</t>
  </si>
  <si>
    <t>学校法人　白水学園　森の木幼稚園</t>
  </si>
  <si>
    <t>モリノキ</t>
  </si>
  <si>
    <t>森の木幼稚園</t>
  </si>
  <si>
    <t>福岡県春日市昇町２－８５</t>
  </si>
  <si>
    <t>092-592-3977</t>
  </si>
  <si>
    <t>092-573-2562</t>
  </si>
  <si>
    <t>270</t>
  </si>
  <si>
    <t>2015/01/06 16:39:45</t>
  </si>
  <si>
    <t>1001</t>
  </si>
  <si>
    <t>森の木幼稚園（別注）</t>
  </si>
  <si>
    <t>271</t>
  </si>
  <si>
    <t>2015/01/22 10:58:54</t>
  </si>
  <si>
    <t>1002</t>
  </si>
  <si>
    <t>森の木幼稚園　なかよしクラブ</t>
  </si>
  <si>
    <t>森の木　なかよしクラブ</t>
  </si>
  <si>
    <t>291</t>
  </si>
  <si>
    <t>2015/01/06 16:48:16</t>
  </si>
  <si>
    <t>1004</t>
  </si>
  <si>
    <t>森の木幼稚園　食育</t>
  </si>
  <si>
    <t>モリノキ ｼｮｸｲｸ</t>
  </si>
  <si>
    <t>森の木　食育</t>
  </si>
  <si>
    <t>2024/01/19 11:18:18</t>
  </si>
  <si>
    <t>1100</t>
  </si>
  <si>
    <t>学校法人白水学園　くすの木幼稚園</t>
  </si>
  <si>
    <t>クスノキ</t>
  </si>
  <si>
    <t>くすの木幼稚園</t>
  </si>
  <si>
    <t>816-0823</t>
  </si>
  <si>
    <t>福岡県春日市若葉台西６－１０３</t>
  </si>
  <si>
    <t>092-571-0254</t>
  </si>
  <si>
    <t>092-582-9568</t>
  </si>
  <si>
    <t>280</t>
  </si>
  <si>
    <t>2015/01/05 16:18:05</t>
  </si>
  <si>
    <t>1101</t>
  </si>
  <si>
    <t>くすの木幼稚園　（別注）</t>
  </si>
  <si>
    <t>クスノキｷ</t>
  </si>
  <si>
    <t>281</t>
  </si>
  <si>
    <t>2015/01/22 11:15:18</t>
  </si>
  <si>
    <t>1102</t>
  </si>
  <si>
    <t>くすの木幼稚園　なかよしクラブ</t>
  </si>
  <si>
    <t>くすの木　なかよしクラブ</t>
  </si>
  <si>
    <t>292</t>
  </si>
  <si>
    <t>2016/11/26 12:13:42</t>
  </si>
  <si>
    <t>1103</t>
  </si>
  <si>
    <t>くすの木幼稚園　学童</t>
  </si>
  <si>
    <t>2014/12/16 15:39:39</t>
  </si>
  <si>
    <t>1104</t>
  </si>
  <si>
    <t>くすの木幼稚園　食育</t>
  </si>
  <si>
    <t>クスノキ ｼｮｸｲｸ</t>
  </si>
  <si>
    <t>くすの木　食育</t>
  </si>
  <si>
    <t>2024/01/19 11:18:28</t>
  </si>
  <si>
    <t>1200</t>
  </si>
  <si>
    <t>学校法人白水学園　もみの木幼稚園</t>
  </si>
  <si>
    <t>モミノキ</t>
  </si>
  <si>
    <t>もみの木</t>
  </si>
  <si>
    <t>816-0844</t>
  </si>
  <si>
    <t>福岡県春日市上白水前田４４５－２</t>
  </si>
  <si>
    <t>092-582-4292</t>
  </si>
  <si>
    <t>092-573-2146</t>
  </si>
  <si>
    <t>290</t>
  </si>
  <si>
    <t>2023/02/02 14:20:33</t>
  </si>
  <si>
    <t>1201</t>
  </si>
  <si>
    <t>もみの木幼稚園（別注）</t>
  </si>
  <si>
    <t>2023/01/23 11:27:40</t>
  </si>
  <si>
    <t>1202</t>
  </si>
  <si>
    <t>もみの木幼稚園　なかよしクラブ</t>
  </si>
  <si>
    <t>もみの木　なかよしクラブ</t>
  </si>
  <si>
    <t>293</t>
  </si>
  <si>
    <t>2012/01/18 14:43:24</t>
  </si>
  <si>
    <t>1204</t>
  </si>
  <si>
    <t>もみの木幼稚園　食育</t>
  </si>
  <si>
    <t>モミノキ ｼｮｸｲｸ</t>
  </si>
  <si>
    <t>もみの木　食育</t>
  </si>
  <si>
    <t>2024/01/19 11:18:55</t>
  </si>
  <si>
    <t>1300</t>
  </si>
  <si>
    <t>岩戸幼稚園</t>
  </si>
  <si>
    <t>イワト</t>
  </si>
  <si>
    <t>福岡県筑紫郡那珂川町西隈1丁目9-17</t>
  </si>
  <si>
    <t>092-952-2006</t>
  </si>
  <si>
    <t>092-952-3176</t>
  </si>
  <si>
    <t>340</t>
  </si>
  <si>
    <t>2012/01/18 14:43:29</t>
  </si>
  <si>
    <t>1301</t>
  </si>
  <si>
    <t>岩戸幼稚園（別注）</t>
  </si>
  <si>
    <t>341</t>
  </si>
  <si>
    <t>2014/12/22 11:59:25</t>
  </si>
  <si>
    <t>1302</t>
  </si>
  <si>
    <t>岩戸幼稚園　（先生用）</t>
  </si>
  <si>
    <t>2012/01/18 14:43:32</t>
  </si>
  <si>
    <t>1400</t>
  </si>
  <si>
    <t>岩戸北幼稚園</t>
  </si>
  <si>
    <t>イワトキタ</t>
  </si>
  <si>
    <t>福岡県筑紫郡那珂川町恵子１－１－２</t>
  </si>
  <si>
    <t>092-952-5054</t>
  </si>
  <si>
    <t>092-952-5283</t>
  </si>
  <si>
    <t>350</t>
  </si>
  <si>
    <t>2020/01/23 9:29:57</t>
  </si>
  <si>
    <t>1401</t>
  </si>
  <si>
    <t>岩戸北幼稚園（別注）</t>
  </si>
  <si>
    <t>351</t>
  </si>
  <si>
    <t>2015/01/26 14:20:44</t>
  </si>
  <si>
    <t>1402</t>
  </si>
  <si>
    <t>岩戸北幼稚園（先生用）</t>
  </si>
  <si>
    <t>2012/01/18 14:43:38</t>
  </si>
  <si>
    <t>1500</t>
  </si>
  <si>
    <t>南畑幼稚園</t>
  </si>
  <si>
    <t>ミナミハタ</t>
  </si>
  <si>
    <t>福岡県筑紫郡那珂川町埋金８１１－１</t>
  </si>
  <si>
    <t>092-952-2095</t>
  </si>
  <si>
    <t>092-952-2305</t>
  </si>
  <si>
    <t>360</t>
  </si>
  <si>
    <t>2012/01/18 14:43:41</t>
  </si>
  <si>
    <t>1501</t>
  </si>
  <si>
    <t>南畑幼稚園（別注）</t>
  </si>
  <si>
    <t>361</t>
  </si>
  <si>
    <t>2015/01/26 14:30:30</t>
  </si>
  <si>
    <t>1502</t>
  </si>
  <si>
    <t>南畑幼稚園（先生用）</t>
  </si>
  <si>
    <t>2012/01/18 14:43:48</t>
  </si>
  <si>
    <t>1600</t>
  </si>
  <si>
    <t>南ヶ丘幼稚園</t>
  </si>
  <si>
    <t>ミナミガオカ</t>
  </si>
  <si>
    <t>南ヶ丘幼稚園　　</t>
  </si>
  <si>
    <t>816-0964</t>
  </si>
  <si>
    <t>福岡県大野城市南ケ丘５－１９－１</t>
  </si>
  <si>
    <t>092-596-2974</t>
  </si>
  <si>
    <t>092-596-1910</t>
  </si>
  <si>
    <t>3.0</t>
  </si>
  <si>
    <t>2025/09/10 13:52:37</t>
  </si>
  <si>
    <t>1601</t>
  </si>
  <si>
    <t>南ヶ丘幼稚園　（別注）</t>
  </si>
  <si>
    <t>2011/10/20 17:33:53</t>
  </si>
  <si>
    <t>1602</t>
  </si>
  <si>
    <t>南ヶ丘幼稚園　のびっこクラブ</t>
  </si>
  <si>
    <t>ﾐﾅﾐｶﾞｵｶ ﾉﾋﾞｯｺ</t>
  </si>
  <si>
    <t>2025/09/02 12:17:28</t>
  </si>
  <si>
    <t>1700</t>
  </si>
  <si>
    <t>南ヶ丘第二幼稚園</t>
  </si>
  <si>
    <t>ミナミガオカダイニ</t>
  </si>
  <si>
    <t>816-0953</t>
  </si>
  <si>
    <t>福岡県大野城市旭ケ丘２－４－１０</t>
  </si>
  <si>
    <t>092-596-2907</t>
  </si>
  <si>
    <t>092-596-1915</t>
  </si>
  <si>
    <t>320</t>
  </si>
  <si>
    <t>2025/09/10 13:52:45</t>
  </si>
  <si>
    <t>1701</t>
  </si>
  <si>
    <t>南ヶ丘第二幼稚園　（別注）</t>
  </si>
  <si>
    <t>2017/04/10 13:56:55</t>
  </si>
  <si>
    <t>1702</t>
  </si>
  <si>
    <t>南ヶ丘第二幼稚園　のびっこクラブ</t>
  </si>
  <si>
    <t>ﾐﾅﾐｶﾞｵｶﾀﾞｲﾆﾖｳﾁｴﾝ ﾉﾋﾞｯｺｸﾗﾌﾞ</t>
  </si>
  <si>
    <t>南ヶ丘第二　のびっこ</t>
  </si>
  <si>
    <t>092-596-1519</t>
  </si>
  <si>
    <t>321</t>
  </si>
  <si>
    <t>2020/05/11 9:15:39</t>
  </si>
  <si>
    <t>1800</t>
  </si>
  <si>
    <t>月の浦幼稚園</t>
  </si>
  <si>
    <t>ツキノウラ</t>
  </si>
  <si>
    <t>816-0983</t>
  </si>
  <si>
    <t>福岡県大野城市月の浦３－２３－１</t>
  </si>
  <si>
    <t>092-595-2580</t>
  </si>
  <si>
    <t>330</t>
  </si>
  <si>
    <t>2025/09/10 13:52:51</t>
  </si>
  <si>
    <t>1801</t>
  </si>
  <si>
    <t>月の浦幼稚園　（別注）</t>
  </si>
  <si>
    <t>331</t>
  </si>
  <si>
    <t>2015/02/25 15:15:50</t>
  </si>
  <si>
    <t>1802</t>
  </si>
  <si>
    <t>月の浦幼稚園　のびっこクラブ</t>
  </si>
  <si>
    <t>ﾂｷﾉｳﾗﾖｳﾁｴﾝ ﾉﾋﾞｯｺｸﾗﾌﾞ</t>
  </si>
  <si>
    <t>月の浦　のびっこ</t>
  </si>
  <si>
    <t>大野城市月の浦3-23-1</t>
  </si>
  <si>
    <t>2014/06/19 14:58:22</t>
  </si>
  <si>
    <t>1803</t>
  </si>
  <si>
    <t>月の浦幼稚園　食育先生用</t>
  </si>
  <si>
    <t>ツキノウラ ｼｮｸｲｸｾﾝｾｲﾖｳ</t>
  </si>
  <si>
    <t>2015/10/06 16:20:49</t>
  </si>
  <si>
    <t>1804</t>
  </si>
  <si>
    <t>月の浦幼稚園　別注用先生</t>
  </si>
  <si>
    <t>ツキノウラ ﾍﾞｯﾁｭｳﾖｳｾﾝｾｲ</t>
  </si>
  <si>
    <t>2016/01/18 15:00:26</t>
  </si>
  <si>
    <t>1900</t>
  </si>
  <si>
    <t>那珂川第一幼稚園</t>
  </si>
  <si>
    <t>ナカガワダイイチ</t>
  </si>
  <si>
    <t>福岡県筑紫郡那珂川町松木５丁目１－１</t>
  </si>
  <si>
    <t>092-953-1135</t>
  </si>
  <si>
    <t>092-953-3848</t>
  </si>
  <si>
    <t>2014/09/12 11:13:07</t>
  </si>
  <si>
    <t>1901</t>
  </si>
  <si>
    <t>那珂川第一幼稚園（別注）</t>
  </si>
  <si>
    <t>2016/06/22 11:52:19</t>
  </si>
  <si>
    <t>1902</t>
  </si>
  <si>
    <t>那珂川第一幼稚園　音楽の先生</t>
  </si>
  <si>
    <t>ナカガワダイイチオンガクノセンセイ</t>
  </si>
  <si>
    <t>2012/01/18 14:44:18</t>
  </si>
  <si>
    <t>1903</t>
  </si>
  <si>
    <t>那珂川第一幼稚園　（おやつ）</t>
  </si>
  <si>
    <t>ナカガワダイイチオヤツ</t>
  </si>
  <si>
    <t>那珂川第一　（おやつ）</t>
  </si>
  <si>
    <t>2014/10/30 17:00:46</t>
  </si>
  <si>
    <t>1904</t>
  </si>
  <si>
    <t>香蘭女子短期大学　保育科</t>
  </si>
  <si>
    <t>コウランホイクカ</t>
  </si>
  <si>
    <t>2012/01/18 14:44:27</t>
  </si>
  <si>
    <t>1905</t>
  </si>
  <si>
    <t>那珂川第一幼稚園（お預かり）</t>
  </si>
  <si>
    <t>ナカガワダイイチ(</t>
  </si>
  <si>
    <t>那珂川第一幼稚園〈お預かり）</t>
  </si>
  <si>
    <t>2015/12/10 17:51:33</t>
  </si>
  <si>
    <t>1906</t>
  </si>
  <si>
    <t>那珂川第二幼稚園おやつ</t>
  </si>
  <si>
    <t>ナカガワダイニﾖｳﾁｴﾝ</t>
  </si>
  <si>
    <t>那珂川第二おやつ</t>
  </si>
  <si>
    <t>福岡県筑紫郡那珂川町五郎丸字ムタダ70-3</t>
  </si>
  <si>
    <t>092-953-0222</t>
  </si>
  <si>
    <t>2014/10/30 17:00:31</t>
  </si>
  <si>
    <t>1907</t>
  </si>
  <si>
    <t>那珂川第二幼稚園</t>
  </si>
  <si>
    <t>ﾅｶｶﾞﾜﾀﾞｲﾆﾖｳﾁｴﾝ</t>
  </si>
  <si>
    <t>筑紫郡那珂川町五郎丸字ムタダ70-3</t>
  </si>
  <si>
    <t>02-953-222</t>
  </si>
  <si>
    <t>2013/11/06 13:37:15</t>
  </si>
  <si>
    <t>1908</t>
  </si>
  <si>
    <t>筑紫女学院大学　実習生</t>
  </si>
  <si>
    <t>コﾁｸｼｼﾞｮｶﾞｸｲﾝﾀﾞｲｶﾞｸ ｼﾞｯｼｭｳｾｲ</t>
  </si>
  <si>
    <t>2017/05/26 11:33:05</t>
  </si>
  <si>
    <t>1910</t>
  </si>
  <si>
    <t>那珂川第一幼稚園　研修生</t>
  </si>
  <si>
    <t>ﾅｶｶﾞﾜﾀﾞｲｲﾁﾖｳﾁｴﾝ ｹﾝｼｭｳｾｲ</t>
  </si>
  <si>
    <t>2018/01/24 12:20:42</t>
  </si>
  <si>
    <t>2000</t>
  </si>
  <si>
    <t>学校法人　豊田学園　淡水幼稚園</t>
  </si>
  <si>
    <t>タンスイ</t>
  </si>
  <si>
    <t>淡水幼稚園</t>
  </si>
  <si>
    <t>816-0094</t>
  </si>
  <si>
    <t>福岡県福岡市博多区諸岡１－１８－３</t>
  </si>
  <si>
    <t>092-581-1461</t>
  </si>
  <si>
    <t>092-581-1793</t>
  </si>
  <si>
    <t>2024/07/18 11:48:59</t>
  </si>
  <si>
    <t>2001</t>
  </si>
  <si>
    <t>淡水幼稚園（別注）</t>
  </si>
  <si>
    <t>2015/01/22 11:16:28</t>
  </si>
  <si>
    <t>2002</t>
  </si>
  <si>
    <t>淡水幼稚園　おひさまランド</t>
  </si>
  <si>
    <t>おひさまランド</t>
  </si>
  <si>
    <t>2012/01/18 14:44:45</t>
  </si>
  <si>
    <t>2003</t>
  </si>
  <si>
    <t>淡水幼稚園　まいまい</t>
  </si>
  <si>
    <t>まいまい</t>
  </si>
  <si>
    <t>2012/01/18 14:44:48</t>
  </si>
  <si>
    <t>2004</t>
  </si>
  <si>
    <t>淡水幼稚園　アフタークラブ</t>
  </si>
  <si>
    <t>淡水　アフタークラブ</t>
  </si>
  <si>
    <t>2014/10/30 17:00:15</t>
  </si>
  <si>
    <t>2005</t>
  </si>
  <si>
    <t>淡水幼稚園あそびじゅく</t>
  </si>
  <si>
    <t>9999</t>
  </si>
  <si>
    <t>2011/09/14 0:00:00</t>
  </si>
  <si>
    <t>2006</t>
  </si>
  <si>
    <t>淡水幼稚園　つくし</t>
  </si>
  <si>
    <t>つくし</t>
  </si>
  <si>
    <t>2025/09/08 11:26:07</t>
  </si>
  <si>
    <t>2007</t>
  </si>
  <si>
    <t>たんすい保育園</t>
  </si>
  <si>
    <t>タンスイﾎｲｸｴﾝ</t>
  </si>
  <si>
    <t>福岡県福岡市博多区諸岡1-19-5</t>
  </si>
  <si>
    <t>092-575-6005</t>
  </si>
  <si>
    <t>092-575-6006</t>
  </si>
  <si>
    <t>2024/07/18 11:49:05</t>
  </si>
  <si>
    <t>2008</t>
  </si>
  <si>
    <t>たんすい保育園　先生</t>
  </si>
  <si>
    <t>タンスイﾎｲｸｴﾝ ｾﾝｾｲ</t>
  </si>
  <si>
    <t>2024/07/18 11:49:53</t>
  </si>
  <si>
    <t>2009</t>
  </si>
  <si>
    <t>淡水保育園　おやつ</t>
  </si>
  <si>
    <t>タンスイﾎｲｸｴﾝ ｵﾔﾂ</t>
  </si>
  <si>
    <t>2024/07/18 11:49:44</t>
  </si>
  <si>
    <t>2010</t>
  </si>
  <si>
    <t>たんすいfamilia保育園</t>
  </si>
  <si>
    <t>ファミリア保育園</t>
  </si>
  <si>
    <t>2024/07/18 11:46:52</t>
  </si>
  <si>
    <t>2011</t>
  </si>
  <si>
    <t>たんすいfamilia保育園　先生用</t>
  </si>
  <si>
    <t>ファミリア保育園 ｾﾝｾｲﾖｳ</t>
  </si>
  <si>
    <t>たんすいfamilia先生用</t>
  </si>
  <si>
    <t>2024/07/18 11:46:01</t>
  </si>
  <si>
    <t>2012</t>
  </si>
  <si>
    <t>たんすいfamilia保育園　おやつ</t>
  </si>
  <si>
    <t>ファミリア保育園 ｵﾔﾂ</t>
  </si>
  <si>
    <t>2024/07/18 11:46:16</t>
  </si>
  <si>
    <t>2100</t>
  </si>
  <si>
    <t>志免幼稚園</t>
  </si>
  <si>
    <t>シメ</t>
  </si>
  <si>
    <t>811-2202</t>
  </si>
  <si>
    <t>福岡県糟屋郡志免町志免１－２２－１</t>
  </si>
  <si>
    <t>092-935-8805</t>
  </si>
  <si>
    <t>092-935-6677</t>
  </si>
  <si>
    <t>2021/12/14 9:28:56</t>
  </si>
  <si>
    <t>2101</t>
  </si>
  <si>
    <t>志免幼稚園（別注）</t>
  </si>
  <si>
    <t>志免幼稚園　（別注）</t>
  </si>
  <si>
    <t>2025/09/02 13:39:58</t>
  </si>
  <si>
    <t>2102</t>
  </si>
  <si>
    <t>志免幼稚園　（別注）　内税</t>
  </si>
  <si>
    <t>ｼﾒﾖｳﾁｴﾝ ﾍﾞｯﾁｭｳ ｳﾁｾﾞｲ</t>
  </si>
  <si>
    <t>142</t>
  </si>
  <si>
    <t>2025/08/25 13:16:31</t>
  </si>
  <si>
    <t>2200</t>
  </si>
  <si>
    <t>志免中央幼稚園　園児</t>
  </si>
  <si>
    <t>シメチュウオウ</t>
  </si>
  <si>
    <t>志免中央幼稚園</t>
  </si>
  <si>
    <t>福岡県糟屋郡志免町片峰１－８－１</t>
  </si>
  <si>
    <t>092-935-2015</t>
  </si>
  <si>
    <t>092-936-5712</t>
  </si>
  <si>
    <t>2014/10/30 16:30:27</t>
  </si>
  <si>
    <t>2201</t>
  </si>
  <si>
    <t>志免中央幼稚園（別注）</t>
  </si>
  <si>
    <t>2014/10/30 16:30:46</t>
  </si>
  <si>
    <t>2300</t>
  </si>
  <si>
    <t>2014/10/30 16:39:17</t>
  </si>
  <si>
    <t>2400</t>
  </si>
  <si>
    <t>玄海ゆりの樹幼稚園</t>
  </si>
  <si>
    <t>ゲンカイ</t>
  </si>
  <si>
    <t>811-3513</t>
  </si>
  <si>
    <t>福岡県宗像市上八1974</t>
  </si>
  <si>
    <t>0940-62-3836</t>
  </si>
  <si>
    <t>0940-62-2231</t>
  </si>
  <si>
    <t>2014/10/30 16:30:56</t>
  </si>
  <si>
    <t>2401</t>
  </si>
  <si>
    <t>玄海ゆりの樹幼稚園（別注）</t>
  </si>
  <si>
    <t>ｹﾞﾝｶｲ(ﾍﾞﾂﾁｭｳ)</t>
  </si>
  <si>
    <t>2014/10/30 16:31:04</t>
  </si>
  <si>
    <t>2500</t>
  </si>
  <si>
    <t>天照幼稚園</t>
  </si>
  <si>
    <t>テンショウ</t>
  </si>
  <si>
    <t>811-3114</t>
  </si>
  <si>
    <t>福岡県古賀市舞の里１－１３－２</t>
  </si>
  <si>
    <t>092-942-6744</t>
  </si>
  <si>
    <t>092-943-5367</t>
  </si>
  <si>
    <t>2025/09/02 13:40:13</t>
  </si>
  <si>
    <t>2501</t>
  </si>
  <si>
    <t>天照幼稚園（別注）</t>
  </si>
  <si>
    <t>2018/10/24 13:56:52</t>
  </si>
  <si>
    <t>2502</t>
  </si>
  <si>
    <t>2022/10/25 15:09:23</t>
  </si>
  <si>
    <t>2503</t>
  </si>
  <si>
    <t>天照幼稚園　うさぎ組</t>
  </si>
  <si>
    <t>テンショウ ｳｻｷﾞｸﾞﾐ</t>
  </si>
  <si>
    <t>2025/05/08 10:33:16</t>
  </si>
  <si>
    <t>2504</t>
  </si>
  <si>
    <t>2024/11/05 14:29:54</t>
  </si>
  <si>
    <t>2505</t>
  </si>
  <si>
    <t>2024/11/05 14:30:37</t>
  </si>
  <si>
    <t>2600</t>
  </si>
  <si>
    <t>香椎幼稚園</t>
  </si>
  <si>
    <t>カシイ</t>
  </si>
  <si>
    <t>813-0003</t>
  </si>
  <si>
    <t>福岡県福岡市東区香住ケ丘１－２－３</t>
  </si>
  <si>
    <t>092-681-3320</t>
  </si>
  <si>
    <t>092-683-0697</t>
  </si>
  <si>
    <t>2014/10/30 16:49:47</t>
  </si>
  <si>
    <t>2601</t>
  </si>
  <si>
    <t>香椎幼稚園（別注）</t>
  </si>
  <si>
    <t>2014/10/30 16:49:52</t>
  </si>
  <si>
    <t>2700</t>
  </si>
  <si>
    <t>福岡名島幼稚園</t>
  </si>
  <si>
    <t>ナジマ</t>
  </si>
  <si>
    <t>814-0043</t>
  </si>
  <si>
    <t>福岡市東区名島３－２５－１</t>
  </si>
  <si>
    <t>092-671-0123</t>
  </si>
  <si>
    <t>2014/10/30 16:39:24</t>
  </si>
  <si>
    <t>2701</t>
  </si>
  <si>
    <t>福岡名島幼稚園（別注）</t>
  </si>
  <si>
    <t>2014/10/30 16:31:18</t>
  </si>
  <si>
    <t>2800</t>
  </si>
  <si>
    <t>学校法人関学園　大野東幼稚園</t>
  </si>
  <si>
    <t>オオノヒガシ</t>
  </si>
  <si>
    <t>大野東幼稚園</t>
  </si>
  <si>
    <t>816-0902</t>
  </si>
  <si>
    <t>福岡県大野城市乙金１－１０－３７</t>
  </si>
  <si>
    <t>092-503-2895</t>
  </si>
  <si>
    <t>092-503-2975</t>
  </si>
  <si>
    <t>2012/04/03 13:29:24</t>
  </si>
  <si>
    <t>2801</t>
  </si>
  <si>
    <t>大野東幼稚園　（別注）</t>
  </si>
  <si>
    <t>161</t>
  </si>
  <si>
    <t>2012/04/03 13:29:39</t>
  </si>
  <si>
    <t>2900</t>
  </si>
  <si>
    <t>託児所　なでしこ</t>
  </si>
  <si>
    <t>ナデシコ</t>
  </si>
  <si>
    <t>818-0041</t>
  </si>
  <si>
    <t>福岡県筑紫野市上古賀3-7-7　2階</t>
  </si>
  <si>
    <t>092-919-6336</t>
  </si>
  <si>
    <t>170</t>
  </si>
  <si>
    <t>2014/10/30 16:50:00</t>
  </si>
  <si>
    <t>2901</t>
  </si>
  <si>
    <t>託児所　なでしこ(先生用）</t>
  </si>
  <si>
    <t>ナデシコセンセイ</t>
  </si>
  <si>
    <t>171</t>
  </si>
  <si>
    <t>2014/10/30 16:50:05</t>
  </si>
  <si>
    <t>3000</t>
  </si>
  <si>
    <t>はこぶね幼稚園</t>
  </si>
  <si>
    <t>ハコブネ</t>
  </si>
  <si>
    <t>811-2308</t>
  </si>
  <si>
    <t>福岡県糟屋郡粕屋町内橋字一本木22</t>
  </si>
  <si>
    <t>092-938-1230</t>
  </si>
  <si>
    <t>092-938-1236</t>
  </si>
  <si>
    <t>2014/10/30 16:39:31</t>
  </si>
  <si>
    <t>3001</t>
  </si>
  <si>
    <t>はこぶね幼稚園　別注</t>
  </si>
  <si>
    <t>2014/10/30 16:39:37</t>
  </si>
  <si>
    <t>3003</t>
  </si>
  <si>
    <t>はこぶね認定こども園</t>
  </si>
  <si>
    <t>ハコブネﾆﾝﾃｲｺﾄﾞﾓｴﾝ</t>
  </si>
  <si>
    <t>2015/04/08 9:27:08</t>
  </si>
  <si>
    <t>3010</t>
  </si>
  <si>
    <t>はこぶね認定こども園　別注</t>
  </si>
  <si>
    <t>ハコブネﾆﾝﾃｲｺﾄﾞﾓｴﾝ ﾍﾞｯﾁｭｳ</t>
  </si>
  <si>
    <t>はこぶね認定こども園別注</t>
  </si>
  <si>
    <t>2015/08/05 8:50:34</t>
  </si>
  <si>
    <t>ササオカ</t>
  </si>
  <si>
    <t>810-0034</t>
  </si>
  <si>
    <t>福岡県福岡市中央区笹丘１丁目17-51</t>
  </si>
  <si>
    <t>092-713-0019</t>
  </si>
  <si>
    <t>092-713-0089</t>
  </si>
  <si>
    <t>180</t>
  </si>
  <si>
    <t>2025/09/02 13:40:33</t>
  </si>
  <si>
    <t>3101</t>
  </si>
  <si>
    <t>笹丘カトリック幼稚園（別注）</t>
  </si>
  <si>
    <t>ｻｻｵｶｶﾄﾘｯｸﾖｳﾁｴﾝ(ﾍﾞｯﾁｭｳ)</t>
  </si>
  <si>
    <t>笹丘カトリック　（別注）</t>
  </si>
  <si>
    <t>181</t>
  </si>
  <si>
    <t>2025/09/02 13:40:52</t>
  </si>
  <si>
    <t>3200</t>
  </si>
  <si>
    <t>キッズ・キッズ　長丘</t>
  </si>
  <si>
    <t>キッズナガオカ</t>
  </si>
  <si>
    <t>815-0075</t>
  </si>
  <si>
    <t>福岡県福岡市南区長丘4-3-36</t>
  </si>
  <si>
    <t>092-542-0006</t>
  </si>
  <si>
    <t>2014/10/30 16:39:54</t>
  </si>
  <si>
    <t>3300</t>
  </si>
  <si>
    <t>株式会社アマテラス</t>
  </si>
  <si>
    <t>アマテラス</t>
  </si>
  <si>
    <t>810-0044</t>
  </si>
  <si>
    <t>福岡市中央区六本松3丁目11-25　谷口ビル2F</t>
  </si>
  <si>
    <t>092-712-0777</t>
  </si>
  <si>
    <t>2015/03/09 15:48:36</t>
  </si>
  <si>
    <t>オザサ</t>
  </si>
  <si>
    <t>小笹幼稚園　　</t>
  </si>
  <si>
    <t>810-0033</t>
  </si>
  <si>
    <t>福岡県福岡市中央区小笹５－１６－３５</t>
  </si>
  <si>
    <t>092-531-3374</t>
  </si>
  <si>
    <t>190</t>
  </si>
  <si>
    <t>2024/10/22 16:22:19</t>
  </si>
  <si>
    <t>3401</t>
  </si>
  <si>
    <t>小笹幼稚園（別注）</t>
  </si>
  <si>
    <t>2015/06/04 10:51:38</t>
  </si>
  <si>
    <t>慶光ブライトンアカデミー</t>
  </si>
  <si>
    <t>ケイコウ</t>
  </si>
  <si>
    <t>814-0153</t>
  </si>
  <si>
    <t>福岡県福岡市城南区樋井川２－１１－２７</t>
  </si>
  <si>
    <t>092-801-6666</t>
  </si>
  <si>
    <t>2014/10/30 16:39:59</t>
  </si>
  <si>
    <t>ワカヒサ</t>
  </si>
  <si>
    <t>815-0042</t>
  </si>
  <si>
    <t>福岡県福岡市南区若久１－２２－７</t>
  </si>
  <si>
    <t>092-542-0415</t>
  </si>
  <si>
    <t>092-561-2116</t>
  </si>
  <si>
    <t>2012/01/18 14:45:57</t>
  </si>
  <si>
    <t>3601</t>
  </si>
  <si>
    <t>若久幼稚園（別注）</t>
  </si>
  <si>
    <t>2015/01/22 11:17:22</t>
  </si>
  <si>
    <t>オオハシ</t>
  </si>
  <si>
    <t>815-0033</t>
  </si>
  <si>
    <t>福岡県福岡市南区大橋３－８－２</t>
  </si>
  <si>
    <t>092-541-3072</t>
  </si>
  <si>
    <t>092-541-3143</t>
  </si>
  <si>
    <t>2022/06/08 12:06:53</t>
  </si>
  <si>
    <t>3701</t>
  </si>
  <si>
    <t>大橋幼稚園（別注）</t>
  </si>
  <si>
    <t>2015/01/22 11:17:36</t>
  </si>
  <si>
    <t>3800</t>
  </si>
  <si>
    <t>学校法人　石田学園　山王幼稚園</t>
  </si>
  <si>
    <t>サンノウ</t>
  </si>
  <si>
    <t>812-0015</t>
  </si>
  <si>
    <t>福岡県福岡市博多区山王１－５－３６</t>
  </si>
  <si>
    <t>092-441-2800</t>
  </si>
  <si>
    <t>092-472-1390</t>
  </si>
  <si>
    <t>30021</t>
  </si>
  <si>
    <t>2024/04/26 13:56:19</t>
  </si>
  <si>
    <t>3801</t>
  </si>
  <si>
    <t>山王幼稚園　（別注）</t>
  </si>
  <si>
    <t>2024/06/18 13:17:36</t>
  </si>
  <si>
    <t>3900</t>
  </si>
  <si>
    <t>塩原幼稚園</t>
  </si>
  <si>
    <t>シオバル</t>
  </si>
  <si>
    <t>福岡県福岡市南区塩原2-4-30</t>
  </si>
  <si>
    <t>092-541-1547</t>
  </si>
  <si>
    <t>2012/01/18 14:46:14</t>
  </si>
  <si>
    <t>3901</t>
  </si>
  <si>
    <t>塩原幼稚園　別注</t>
  </si>
  <si>
    <t>ｼｵﾊﾞﾙﾖｳﾁｴﾝ ﾍﾞﾂﾁｭｳ</t>
  </si>
  <si>
    <t>2016/06/22 16:15:59</t>
  </si>
  <si>
    <t>3902</t>
  </si>
  <si>
    <t>塩原　つぼみ組火・木クラス</t>
  </si>
  <si>
    <t>ｼｵﾊﾞﾙﾂﾎﾞﾐｸﾐｶ･ｷｸﾗｽ</t>
  </si>
  <si>
    <t>塩原つぼみ組火・木</t>
  </si>
  <si>
    <t>福岡市南区塩原２－４－３０</t>
  </si>
  <si>
    <t>541-1547</t>
  </si>
  <si>
    <t>2016/05/06 15:53:51</t>
  </si>
  <si>
    <t>3903</t>
  </si>
  <si>
    <t>塩原幼稚園　先生用</t>
  </si>
  <si>
    <t>シオバル ｾﾝｾｲﾖｳ</t>
  </si>
  <si>
    <t>2015/04/07 15:55:35</t>
  </si>
  <si>
    <t>3904</t>
  </si>
  <si>
    <t>塩原幼稚園　現金</t>
  </si>
  <si>
    <t>シオバル ｹﾞﾝｷﾝ</t>
  </si>
  <si>
    <t>2015/08/04 9:57:05</t>
  </si>
  <si>
    <t>3905</t>
  </si>
  <si>
    <t>塩原　つぼみ組水・金クラス</t>
  </si>
  <si>
    <t>ｼｵﾊﾞﾙﾂﾎﾞﾐｸ</t>
  </si>
  <si>
    <t>塩原つぼみ組水・金</t>
  </si>
  <si>
    <t>2016/05/06 15:54:11</t>
  </si>
  <si>
    <t>3906</t>
  </si>
  <si>
    <t>塩原幼稚園（先生）</t>
  </si>
  <si>
    <t>ｼｵﾊﾞﾙﾖｳﾁｴﾝ(ｾﾝｾｲ)</t>
  </si>
  <si>
    <t>2020/08/04 13:12:50</t>
  </si>
  <si>
    <t>4000</t>
  </si>
  <si>
    <t>コバト</t>
  </si>
  <si>
    <t>福岡県春日市岡本１－８６</t>
  </si>
  <si>
    <t>092-581-5905</t>
  </si>
  <si>
    <t>092-581-5771</t>
  </si>
  <si>
    <t>2023/04/22 11:04:23</t>
  </si>
  <si>
    <t>4001</t>
  </si>
  <si>
    <t>春日小鳩幼稚園（別注）</t>
  </si>
  <si>
    <t>2021/06/21 11:56:04</t>
  </si>
  <si>
    <t>4100</t>
  </si>
  <si>
    <t>正光寺ひかり幼稚園</t>
  </si>
  <si>
    <t>ヒカリ</t>
  </si>
  <si>
    <t>816-0087</t>
  </si>
  <si>
    <t>福岡県福岡市博多区三筑２－３１－１</t>
  </si>
  <si>
    <t>092-581-1959</t>
  </si>
  <si>
    <t>095-582-9650</t>
  </si>
  <si>
    <t>370</t>
  </si>
  <si>
    <t>2015/02/06 12:51:06</t>
  </si>
  <si>
    <t>4101</t>
  </si>
  <si>
    <t>正光寺ひかり幼稚園（別注）</t>
  </si>
  <si>
    <t>371</t>
  </si>
  <si>
    <t>2015/01/22 11:16:16</t>
  </si>
  <si>
    <t>4200</t>
  </si>
  <si>
    <t>社会福祉法人　愛育の森</t>
  </si>
  <si>
    <t>ｼｬｶｲﾌｸｼﾎｳｼﾞﾝ ｱｲｲｸﾉﾓﾘ</t>
  </si>
  <si>
    <t>愛育の森</t>
  </si>
  <si>
    <t>816-0862</t>
  </si>
  <si>
    <t>福岡県春日市弥生2-43</t>
  </si>
  <si>
    <t>092-582-7595</t>
  </si>
  <si>
    <t>092-581-7916</t>
  </si>
  <si>
    <t>2015/06/01 16:50:39</t>
  </si>
  <si>
    <t>4201</t>
  </si>
  <si>
    <t>ふくようスポーツクラブ</t>
  </si>
  <si>
    <t>ﾌｸﾖｳｽﾎﾟｰﾂｸﾗﾌﾞ</t>
  </si>
  <si>
    <t>福岡県春日市弥生2-40</t>
  </si>
  <si>
    <t>092-581-7700</t>
  </si>
  <si>
    <t>2020/10/20 15:04:46</t>
  </si>
  <si>
    <t>4202</t>
  </si>
  <si>
    <t>ｼｬｶｲﾎｳｼﾞﾝ ｱｲｲｸﾉﾓﾘ</t>
  </si>
  <si>
    <t>2015/06/04 9:53:27</t>
  </si>
  <si>
    <t>4203</t>
  </si>
  <si>
    <t>アイイクｼｬｶｲﾌｸｼﾎｳｼﾞﾝ ｱｲｲｸﾉﾓﾘ</t>
  </si>
  <si>
    <t>2015/05/22 11:50:03</t>
  </si>
  <si>
    <t>4300</t>
  </si>
  <si>
    <t>けご幼稚園</t>
  </si>
  <si>
    <t>ケゴ</t>
  </si>
  <si>
    <t>810-0024</t>
  </si>
  <si>
    <t>福岡県福岡市中央区桜坂１丁目10-17</t>
  </si>
  <si>
    <t>092-751-1503</t>
  </si>
  <si>
    <t>092-751-1520</t>
  </si>
  <si>
    <t>2012/04/03 13:42:56</t>
  </si>
  <si>
    <t>4301</t>
  </si>
  <si>
    <t>けご幼稚園（別注）1</t>
  </si>
  <si>
    <t>ケゴ1</t>
  </si>
  <si>
    <t>2014/07/23 16:20:45</t>
  </si>
  <si>
    <t>4302</t>
  </si>
  <si>
    <t>有限会社　エム.エー.ディ</t>
  </si>
  <si>
    <t>ｴﾑ.ｴｰ.ﾃﾞｨ</t>
  </si>
  <si>
    <t>ｴﾑ.ｴｰ.ﾃﾞｨ（けご幼ｻｯｶｰｸﾗﾌ</t>
  </si>
  <si>
    <t>2016/06/21 13:51:50</t>
  </si>
  <si>
    <t>4303</t>
  </si>
  <si>
    <t>けご幼稚園（別注）2</t>
  </si>
  <si>
    <t>ケゴ2</t>
  </si>
  <si>
    <t>2018/11/01 13:44:14</t>
  </si>
  <si>
    <t>4310</t>
  </si>
  <si>
    <t>ＮＰＯ法人　アメイシャ</t>
  </si>
  <si>
    <t>NPOﾎｳｼﾞﾝ ｱﾒｲｼｬ</t>
  </si>
  <si>
    <t>ｱﾒｲｼｬ</t>
  </si>
  <si>
    <t>2015/07/15 14:06:58</t>
  </si>
  <si>
    <t>4400</t>
  </si>
  <si>
    <t>江辻キッズガーデン保育園</t>
  </si>
  <si>
    <t>エツジ</t>
  </si>
  <si>
    <t>江辻</t>
  </si>
  <si>
    <t>811-2313</t>
  </si>
  <si>
    <t>福岡県糟屋郡粕屋町江辻553-6</t>
  </si>
  <si>
    <t>092-938-1001</t>
  </si>
  <si>
    <t>2012/01/18 14:46:45</t>
  </si>
  <si>
    <t>4500</t>
  </si>
  <si>
    <t>やない小児科　デイケアルｰム</t>
  </si>
  <si>
    <t>ヤナイ</t>
  </si>
  <si>
    <t>やない</t>
  </si>
  <si>
    <t>811-1362</t>
  </si>
  <si>
    <t>福岡市南区長住7-4-21</t>
  </si>
  <si>
    <t>092-551-6337</t>
  </si>
  <si>
    <t>092-551-6333</t>
  </si>
  <si>
    <t>440</t>
  </si>
  <si>
    <t>2012/01/18 14:46:48</t>
  </si>
  <si>
    <t>4600</t>
  </si>
  <si>
    <t>悠香</t>
  </si>
  <si>
    <t>ﾕｳｶ</t>
  </si>
  <si>
    <t>816-0912</t>
  </si>
  <si>
    <t>福岡県大野城市御笠川5-10-18</t>
  </si>
  <si>
    <t>092-503-0730</t>
  </si>
  <si>
    <t>2016/02/24 15:08:46</t>
  </si>
  <si>
    <t>ﾊﾀﾅｶ</t>
  </si>
  <si>
    <t>29999</t>
  </si>
  <si>
    <t>2023/01/23 18:46:50</t>
  </si>
  <si>
    <t>ｼｬｼｮｸ</t>
  </si>
  <si>
    <t>2023/01/23 18:46:41</t>
  </si>
  <si>
    <t>4900</t>
  </si>
  <si>
    <t>エンジェルキッズ保育園</t>
  </si>
  <si>
    <t>ｴﾝｼﾞｪﾙｷｯｽﾞﾎｲｸｴﾝ</t>
  </si>
  <si>
    <t>エンジェルキッズ</t>
  </si>
  <si>
    <t>2014/10/30 16:40:40</t>
  </si>
  <si>
    <t>5000</t>
  </si>
  <si>
    <t>高宮キッズ保育園</t>
  </si>
  <si>
    <t>ﾀｶﾐﾔｷｯｽﾞﾎｲｸｴﾝ</t>
  </si>
  <si>
    <t>高宮キッズ</t>
  </si>
  <si>
    <t>815-0083</t>
  </si>
  <si>
    <t>福岡市南区高宮５丁目８番２号</t>
  </si>
  <si>
    <t>092-406-5688</t>
  </si>
  <si>
    <t>2014/10/30 16:40:47</t>
  </si>
  <si>
    <t>雙葉小学校</t>
  </si>
  <si>
    <t>ﾌﾀﾊﾞｼｮｳｶﾞｯｺｳ</t>
  </si>
  <si>
    <t>雙葉小学校　web</t>
  </si>
  <si>
    <t>810-0027</t>
  </si>
  <si>
    <t>福岡市中央区御所ｹ谷7番１号</t>
  </si>
  <si>
    <t>092-531-1215</t>
  </si>
  <si>
    <t>092-531-1245</t>
  </si>
  <si>
    <t>2025/09/10 15:59:04</t>
  </si>
  <si>
    <t>5101</t>
  </si>
  <si>
    <t>092-531-9728</t>
  </si>
  <si>
    <t>2019/10/30 9:37:28</t>
  </si>
  <si>
    <t>5102</t>
  </si>
  <si>
    <t>雙葉小学校　先生</t>
  </si>
  <si>
    <t>ﾌﾀﾊﾞｼｮｳｶﾞｯｺｳ ｾﾝｾｲ</t>
  </si>
  <si>
    <t>2024/10/21 15:54:00</t>
  </si>
  <si>
    <t>5200</t>
  </si>
  <si>
    <t>乙金病院院内保育所</t>
  </si>
  <si>
    <t>ｵﾄｶﾞﾈﾋﾞｮｳｲ</t>
  </si>
  <si>
    <t>816-0901</t>
  </si>
  <si>
    <t>大野城市乙金東2-17-10</t>
  </si>
  <si>
    <t>ジェイネットビル１F</t>
  </si>
  <si>
    <t>092-558-5095</t>
  </si>
  <si>
    <t>2016/08/29 13:22:49</t>
  </si>
  <si>
    <t>5201</t>
  </si>
  <si>
    <t>医療法人　同仁会　乙金病院院内保育所</t>
  </si>
  <si>
    <t>ｲﾘｮｳﾎｳｼﾞﾝﾄﾞｳｼﾞﾝｶｲｵﾄｶﾞﾈﾋﾞｮｳｲﾝｲﾝ</t>
  </si>
  <si>
    <t>ジェイネットビル1F</t>
  </si>
  <si>
    <t>092-588-5095</t>
  </si>
  <si>
    <t>2014/10/30 16:40:56</t>
  </si>
  <si>
    <t>5300</t>
  </si>
  <si>
    <t>吉塚市民病院</t>
  </si>
  <si>
    <t>ﾖｼﾂﾞｶｼﾐﾝﾋﾞｮｳｲﾝ</t>
  </si>
  <si>
    <t>2012/03/27 13:45:17</t>
  </si>
  <si>
    <t>5400</t>
  </si>
  <si>
    <t>ｶﾅﾔﾏﾖｳﾁｴﾝｶﾅﾔﾏ</t>
  </si>
  <si>
    <t>814-0114</t>
  </si>
  <si>
    <t>福岡市城南区金山団地23-1</t>
  </si>
  <si>
    <t>092-871-1463</t>
  </si>
  <si>
    <t>092-871-2900</t>
  </si>
  <si>
    <t>2023/04/22 11:02:04</t>
  </si>
  <si>
    <t>5500</t>
  </si>
  <si>
    <t>河合塾</t>
  </si>
  <si>
    <t>ｶﾜｲｼﾞｭｸ</t>
  </si>
  <si>
    <t>2012/04/03 15:37:24</t>
  </si>
  <si>
    <t>5600</t>
  </si>
  <si>
    <t>ちいさこべ幼稚園</t>
  </si>
  <si>
    <t>ﾁｲｻｺﾍﾞﾖｳﾁｴﾝ</t>
  </si>
  <si>
    <t>福岡県太宰府市向佐野81番地</t>
  </si>
  <si>
    <t>092-922-3313</t>
  </si>
  <si>
    <t>092-922-7518</t>
  </si>
  <si>
    <t>335</t>
  </si>
  <si>
    <t>2012/06/19 14:03:10</t>
  </si>
  <si>
    <t>5601</t>
  </si>
  <si>
    <t>ちいさこべ　幼稚園</t>
  </si>
  <si>
    <t>ﾁｲｻｺﾍﾞ ﾖｳﾁｴﾝ</t>
  </si>
  <si>
    <t>ちいさこべ</t>
  </si>
  <si>
    <t>2012/07/02 15:47:43</t>
  </si>
  <si>
    <t>5700</t>
  </si>
  <si>
    <t>わくわくキッズランド赤坂</t>
  </si>
  <si>
    <t>ﾜｸﾜｸｷｯｽﾞﾗﾝﾄﾞｱｶｻｶ</t>
  </si>
  <si>
    <t>わくわく赤坂</t>
  </si>
  <si>
    <t>福岡市中央区赤坂3-6-43</t>
  </si>
  <si>
    <t>メイけやき２Ｆ</t>
  </si>
  <si>
    <t>092-725-3420</t>
  </si>
  <si>
    <t>2012/08/02 11:06:07</t>
  </si>
  <si>
    <t>5800</t>
  </si>
  <si>
    <t>社会福祉法人信正会　もみじの森保育園</t>
  </si>
  <si>
    <t>ﾓﾐｼﾞﾉﾓﾘﾎｲｸｴﾝ</t>
  </si>
  <si>
    <t>もみじの森保育園</t>
  </si>
  <si>
    <t>819-0371</t>
  </si>
  <si>
    <t>福岡県福岡市西区大字飯氏868-1</t>
  </si>
  <si>
    <t>092-805-5511</t>
  </si>
  <si>
    <t>092-805-5512</t>
  </si>
  <si>
    <t>2012/09/03 15:11:34</t>
  </si>
  <si>
    <t>5805</t>
  </si>
  <si>
    <t>古賀工業　株式会社</t>
  </si>
  <si>
    <t>ｺｶﾞｺｳｷﾞｮｳ ｶﾌﾞｼｷｶｲｼｬ</t>
  </si>
  <si>
    <t>810-0011</t>
  </si>
  <si>
    <t>福岡県福岡市中央区六本松３丁目１２番１４号</t>
  </si>
  <si>
    <t>2012/10/03 13:18:59</t>
  </si>
  <si>
    <t>ﾘﾘｨﾎｲｸｴﾝ</t>
  </si>
  <si>
    <t>811-1241</t>
  </si>
  <si>
    <t>福岡県那珂川市後野２丁目８－２８－１０２</t>
  </si>
  <si>
    <t>092-952-9292</t>
  </si>
  <si>
    <t>2025/05/08 10:22:04</t>
  </si>
  <si>
    <t>6000</t>
  </si>
  <si>
    <t>キッズサポート千代保育園</t>
  </si>
  <si>
    <t>ｷｯｽﾞｻﾎﾟｰﾄﾁﾖﾎｲｸｴﾝ</t>
  </si>
  <si>
    <t>キッズ千代</t>
  </si>
  <si>
    <t>福岡県博多区千代1-2-4-1F</t>
  </si>
  <si>
    <t>631-1333</t>
  </si>
  <si>
    <t>2012/09/04 9:34:50</t>
  </si>
  <si>
    <t>6100</t>
  </si>
  <si>
    <t>学校法人　汀幼稚園</t>
  </si>
  <si>
    <t>ﾐｷﾞﾜﾖｳﾁｴﾝ</t>
  </si>
  <si>
    <t>汀幼稚園</t>
  </si>
  <si>
    <t>810-0062</t>
  </si>
  <si>
    <t>福岡県福岡市中央区荒戸２丁目５番１１号</t>
  </si>
  <si>
    <t>092-761-0470</t>
  </si>
  <si>
    <t>2014/06/09 11:44:55</t>
  </si>
  <si>
    <t>6101</t>
  </si>
  <si>
    <t>みぎわ</t>
  </si>
  <si>
    <t>福岡県福岡市荒戸２丁目５番１１号</t>
  </si>
  <si>
    <t>2012/10/01 10:16:29</t>
  </si>
  <si>
    <t>6200</t>
  </si>
  <si>
    <t>豊庄保育園</t>
  </si>
  <si>
    <t>ﾎｳｼｮｳﾎｲｸｴﾝ</t>
  </si>
  <si>
    <t>2012/10/03 15:11:55</t>
  </si>
  <si>
    <t>6300</t>
  </si>
  <si>
    <t>こぐま園</t>
  </si>
  <si>
    <t>ｺｸﾞﾏｴﾝ</t>
  </si>
  <si>
    <t>812-0854</t>
  </si>
  <si>
    <t>福岡県福岡市博多区東月隈3丁目19-14</t>
  </si>
  <si>
    <t>092-503-3088</t>
  </si>
  <si>
    <t>2015/09/09 15:02:06</t>
  </si>
  <si>
    <t>6301</t>
  </si>
  <si>
    <t>こぐま園　別注</t>
  </si>
  <si>
    <t>ｺｸﾞﾏｴﾝ ﾍﾞｯﾁｭｳ</t>
  </si>
  <si>
    <t>福岡県福岡市博多区東月隈３丁目</t>
  </si>
  <si>
    <t>１９－１４</t>
  </si>
  <si>
    <t>2014/10/20 15:18:10</t>
  </si>
  <si>
    <t>6400</t>
  </si>
  <si>
    <t>つくし保育園</t>
  </si>
  <si>
    <t>ﾂｸｼﾎｲｸｴﾝｼ</t>
  </si>
  <si>
    <t>812-0888</t>
  </si>
  <si>
    <t>福岡県福岡市博多区板付7丁目3-16</t>
  </si>
  <si>
    <t>092-571-2572</t>
  </si>
  <si>
    <t>092-571-2573</t>
  </si>
  <si>
    <t>2013/04/15 13:47:34</t>
  </si>
  <si>
    <t>6402</t>
  </si>
  <si>
    <t>つくし保育園（先生用）</t>
  </si>
  <si>
    <t>ﾂｸｼﾎｲｸｴﾝ(ｾﾝｾｲﾖｳ)</t>
  </si>
  <si>
    <t>福岡市博多区板付７丁目3-16</t>
  </si>
  <si>
    <t>571-2572</t>
  </si>
  <si>
    <t>2013/01/21 13:24:46</t>
  </si>
  <si>
    <t>6500</t>
  </si>
  <si>
    <t>社会福祉法人　光輪会　みそら保育園</t>
  </si>
  <si>
    <t>ｼｬｶｲﾌｸｼﾎｳｼﾞﾝ ｺｳﾘﾝｶｲ ﾐｿﾗﾎｲｸｴﾝ</t>
  </si>
  <si>
    <t>みそら保育園</t>
  </si>
  <si>
    <t>812-0061</t>
  </si>
  <si>
    <t>福岡市東区筥松4丁目2-21</t>
  </si>
  <si>
    <t>092-622-0270</t>
  </si>
  <si>
    <t>092-622-0311</t>
  </si>
  <si>
    <t>2012/12/19 11:04:38</t>
  </si>
  <si>
    <t>6600</t>
  </si>
  <si>
    <t>学校法人福岡幼児学園　ナーサリーライムスクール</t>
  </si>
  <si>
    <t>ﾅｰｻﾘｰﾗ</t>
  </si>
  <si>
    <t>ナーサリーライムスクール</t>
  </si>
  <si>
    <t>814-0175</t>
  </si>
  <si>
    <t>福岡県福岡市早良区田村</t>
  </si>
  <si>
    <t>6-21-7</t>
  </si>
  <si>
    <t>092-801-4302</t>
  </si>
  <si>
    <t>2022/07/07 12:07:15</t>
  </si>
  <si>
    <t>6602</t>
  </si>
  <si>
    <t>学校法人福岡幼児学園　ナーサリーライムスクール　職員用</t>
  </si>
  <si>
    <t>ｶﾞｯｺｳﾎｳｼﾞﾝﾌｸｵｶﾖｳｼﾞｶﾞｸｴﾝ ﾅｰｻﾘｰﾗ</t>
  </si>
  <si>
    <t>092-801-4195</t>
  </si>
  <si>
    <t>2016/07/25 9:08:01</t>
  </si>
  <si>
    <t>6603</t>
  </si>
  <si>
    <t>学校法人福岡幼児学園　職員用</t>
  </si>
  <si>
    <t>ｶﾞｯｺｳﾎｳｼﾞﾝﾌｸｵｶﾖｳｼﾞｶﾞｸｴﾝ ｼｮｸｲﾝﾖ</t>
  </si>
  <si>
    <t>2016/07/25 9:08:32</t>
  </si>
  <si>
    <t>6604</t>
  </si>
  <si>
    <t>学校法人福岡幼児学園　実習生用</t>
  </si>
  <si>
    <t>ｶﾞｯｺｳﾎｳｼﾞﾝﾌｸｵｶﾖｳｼﾞｶﾞｸｴﾝ ｼﾞｯｼｭｳ</t>
  </si>
  <si>
    <t>2016/07/25 9:08:55</t>
  </si>
  <si>
    <t>6700</t>
  </si>
  <si>
    <t>福岡女学院幼稚園</t>
  </si>
  <si>
    <t>ﾌｸｵｶｼﾞｮｶﾞｸｲﾝﾖｳﾁｴﾝ</t>
  </si>
  <si>
    <t>女学院幼稚園</t>
  </si>
  <si>
    <t>811-1313</t>
  </si>
  <si>
    <t>福岡県福岡市南区日佐3丁目42-1</t>
  </si>
  <si>
    <t>092-575-2472</t>
  </si>
  <si>
    <t>2025/09/08 11:26:24</t>
  </si>
  <si>
    <t>6701</t>
  </si>
  <si>
    <t>福岡女学院幼稚園　別注</t>
  </si>
  <si>
    <t>ﾌｸｵｶｼﾞｮｶﾞｸｲﾝﾖｳﾁｴﾝ ﾍﾞｯﾁｭｳ</t>
  </si>
  <si>
    <t>女学院　別注</t>
  </si>
  <si>
    <t>福岡市南区日佐3丁目42-1</t>
  </si>
  <si>
    <t>2014/06/02 10:00:01</t>
  </si>
  <si>
    <t>6800</t>
  </si>
  <si>
    <t>木村病院</t>
  </si>
  <si>
    <t>ｷﾑﾗﾋﾞｮｳｲﾝ</t>
  </si>
  <si>
    <t>680</t>
  </si>
  <si>
    <t>2013/02/19 9:46:03</t>
  </si>
  <si>
    <t>6900</t>
  </si>
  <si>
    <t>福岡海星女子学院マリア幼稚園</t>
  </si>
  <si>
    <t>ﾌｸｵｶｶｲｾｲｼﾞｮｼｶﾞｸｲﾝﾏﾘｱﾖｳﾁｴﾝ</t>
  </si>
  <si>
    <t>マリア幼稚園</t>
  </si>
  <si>
    <t>811-1346</t>
  </si>
  <si>
    <t>福岡市南区老司5-29-3</t>
  </si>
  <si>
    <t>092-565-0951</t>
  </si>
  <si>
    <t>092-565-0991</t>
  </si>
  <si>
    <t>2018/10/01 16:56:35</t>
  </si>
  <si>
    <t>6901</t>
  </si>
  <si>
    <t>福岡海星女子学院マリア幼稚園(別注）</t>
  </si>
  <si>
    <t>ﾌｸｵｶｶｲｾｲｼﾞｮｼｶﾞｸｲﾝﾏﾘｱﾖｳﾁｴﾝ(ﾍﾞﾂﾁ</t>
  </si>
  <si>
    <t>マリア幼稚園　別注</t>
  </si>
  <si>
    <t>2013/05/15 11:33:12</t>
  </si>
  <si>
    <t>6902</t>
  </si>
  <si>
    <t>ﾌｸｵｶｶｲｾｲｼﾞｮｼｶﾞｸｲﾝﾏﾘｱﾏﾘｱﾖｳﾁｴﾝ</t>
  </si>
  <si>
    <t>2013/05/15 11:29:11</t>
  </si>
  <si>
    <t>6903</t>
  </si>
  <si>
    <t>海星小学校</t>
  </si>
  <si>
    <t>ﾌｶｲｾｲｼｮｳｶﾞｯｺｳ</t>
  </si>
  <si>
    <t>2014/08/22 11:24:57</t>
  </si>
  <si>
    <t>7000</t>
  </si>
  <si>
    <t>バディスポーツ幼育園　筑紫野校</t>
  </si>
  <si>
    <t>ﾊﾞﾃﾞｨｽﾎﾟｰﾂﾖｳｲｸｴﾝ ﾁｸｼ</t>
  </si>
  <si>
    <t>バディ筑紫野校　web</t>
  </si>
  <si>
    <t>筑紫野市原田1-11-1</t>
  </si>
  <si>
    <t>092-926-1002</t>
  </si>
  <si>
    <t>2025/09/10 14:04:49</t>
  </si>
  <si>
    <t>7001</t>
  </si>
  <si>
    <t>バディスポーツ幼育園　筑紫野校（別注）</t>
  </si>
  <si>
    <t>ﾊﾞﾃﾞｨｽﾎﾟｰﾂﾖｳｲｸｴﾝ ﾁｸｼﾉｺｳ(ﾍﾞｯﾁｭｳ</t>
  </si>
  <si>
    <t>バディ筑紫野別注内税</t>
  </si>
  <si>
    <t>2025/09/02 14:06:48</t>
  </si>
  <si>
    <t>7002</t>
  </si>
  <si>
    <t>バディスポーツ幼育園筑紫野校　先生用</t>
  </si>
  <si>
    <t>ﾊﾞﾃﾞｲﾁｸｼﾉ ｾﾝｾｲ</t>
  </si>
  <si>
    <t>バディ筑紫野　先生</t>
  </si>
  <si>
    <t>2025/09/02 14:07:22</t>
  </si>
  <si>
    <t>バディスポーツ幼育園筑紫野校　2号認定</t>
  </si>
  <si>
    <t xml:space="preserve">ﾊﾞﾃﾞｨﾁｸｼﾉｺｳ2ｺﾞｳ </t>
  </si>
  <si>
    <t>バディ筑紫野校　2号</t>
  </si>
  <si>
    <t>2025/09/10 14:09:33</t>
  </si>
  <si>
    <t>7004</t>
  </si>
  <si>
    <t>バディスポーツ幼育園筑紫野校　別注</t>
  </si>
  <si>
    <t>ﾊﾞﾃﾞｨﾁｸｼﾉ ﾍﾞｯﾁｭｳ</t>
  </si>
  <si>
    <t>バディ筑紫野別注外税</t>
  </si>
  <si>
    <t>2025/09/02 14:08:36</t>
  </si>
  <si>
    <t>7005</t>
  </si>
  <si>
    <t>ﾊﾞﾃﾞｨｽﾎﾟｰﾂ筑紫野校　セミジュニア未就組</t>
  </si>
  <si>
    <t>ﾊﾞﾃﾞｨﾁｸｼﾉｺｳ ｾﾐｼﾞｭﾆｱﾐｼｭｳｸ ｾﾐｼﾞｭ</t>
  </si>
  <si>
    <t>バディ筑紫野セミジュニア</t>
  </si>
  <si>
    <t>2025/09/02 14:09:09</t>
  </si>
  <si>
    <t>7006</t>
  </si>
  <si>
    <t>バディスポーツ筑紫野校　セミジュニア3号認定</t>
  </si>
  <si>
    <t>ﾊﾞﾃﾞｨ ﾁｸｼﾉｺｳｾﾐｼﾞｭﾆｱ3ｺﾞｳ</t>
  </si>
  <si>
    <t>バディ紫野ｾﾐｼﾞｭﾆｱ</t>
  </si>
  <si>
    <t>2025/09/02 14:09:49</t>
  </si>
  <si>
    <t>7007</t>
  </si>
  <si>
    <t>バディスポーツ筑紫野校　セミジュニア　1号認定</t>
  </si>
  <si>
    <t>ﾊﾞﾃﾞｨﾁｸｼﾉ ｾﾐｼﾞｭﾆｱ1ｺﾞｳ</t>
  </si>
  <si>
    <t>バディ筑紫野　セミジュニア</t>
  </si>
  <si>
    <t>2025/09/02 14:10:39</t>
  </si>
  <si>
    <t>7008</t>
  </si>
  <si>
    <t>バディスポーツ幼育園筑紫野校　学童</t>
  </si>
  <si>
    <t>ﾊﾞﾃﾞｨｽﾎﾟｰﾂﾖｳｲｸｴﾝﾁｸｼﾉｺｳｶﾞｸﾄﾞｳﾊﾞ</t>
  </si>
  <si>
    <t>バディ筑紫野校学童</t>
  </si>
  <si>
    <t>2025/09/02 14:13:38</t>
  </si>
  <si>
    <t>7009</t>
  </si>
  <si>
    <t>スポーツハシリティー株式会社</t>
  </si>
  <si>
    <t>ｽﾎﾟｰﾂﾌｧｼﾘﾃｨｰ</t>
  </si>
  <si>
    <t>106-0031</t>
  </si>
  <si>
    <t>東京都港区西麻布2-13-15</t>
  </si>
  <si>
    <t>第２横芝ビル701</t>
  </si>
  <si>
    <t>2024/04/15 9:02:16</t>
  </si>
  <si>
    <t>7010</t>
  </si>
  <si>
    <t>BUDDY GSA International School</t>
  </si>
  <si>
    <t>ﾊﾞﾃﾞｨｼﾞｰｴｽｴｰｲﾝﾀｰﾅｼｮﾅﾙ</t>
  </si>
  <si>
    <t>BUDDY GSA InternationalSch web</t>
  </si>
  <si>
    <t>092-926-8856</t>
  </si>
  <si>
    <t>2025/09/10 14:10:35</t>
  </si>
  <si>
    <t>7011</t>
  </si>
  <si>
    <t>BUDDY GSA International School　別注　外税</t>
  </si>
  <si>
    <t>BGIS ﾍﾞｯﾁｭｳ ｿﾄｾﾞｲ</t>
  </si>
  <si>
    <t>2025/09/02 15:11:28</t>
  </si>
  <si>
    <t>7012</t>
  </si>
  <si>
    <t>BUDDY GSA International School　サマースクール</t>
  </si>
  <si>
    <t>BGIS ｻﾏｰｽｸｰﾙ</t>
  </si>
  <si>
    <t>BGIS　サマースクール</t>
  </si>
  <si>
    <t>2025/09/02 15:12:22</t>
  </si>
  <si>
    <t>7013</t>
  </si>
  <si>
    <t>BUDDY GSA International School　特別保育</t>
  </si>
  <si>
    <t>BGIS ﾄｸﾍﾞﾂﾎｲｸ</t>
  </si>
  <si>
    <t>BGIS　特別保育</t>
  </si>
  <si>
    <t>2025/09/02 15:12:59</t>
  </si>
  <si>
    <t>7020</t>
  </si>
  <si>
    <t>株式会社　バディスポーツ</t>
  </si>
  <si>
    <t>ﾊﾞﾃﾞｨｽﾎﾟｰﾂ</t>
  </si>
  <si>
    <t>バディスポーツ</t>
  </si>
  <si>
    <t>2024/07/18 13:13:04</t>
  </si>
  <si>
    <t>バディスポーツ幼育園　博多南校</t>
  </si>
  <si>
    <t>ﾊﾞﾃﾞｨｽﾎﾟｰﾂﾖｳｲｸｴﾝ ﾊｶﾀ</t>
  </si>
  <si>
    <t>バディ博多南校　web</t>
  </si>
  <si>
    <t>筑紫郡那珂川町五郎丸1-97</t>
  </si>
  <si>
    <t>092-953-7222</t>
  </si>
  <si>
    <t>2025/09/10 14:05:27</t>
  </si>
  <si>
    <t>7101</t>
  </si>
  <si>
    <t>バディスポーツ幼育園　博多南校　別注</t>
  </si>
  <si>
    <t>ﾊﾞﾃﾞｨｽﾎﾟｰﾂﾖｳｲｸｴﾝ ﾊｶﾀ ﾍﾞｯﾁｭｳ</t>
  </si>
  <si>
    <t>バディ博多南別注　内税</t>
  </si>
  <si>
    <t>2025/09/02 15:13:42</t>
  </si>
  <si>
    <t>7102</t>
  </si>
  <si>
    <t>バディスポーツ幼育園　博多南校先生用</t>
  </si>
  <si>
    <t>ﾊﾞﾃﾞｲｽﾎﾟｰﾂﾊｶﾀﾐﾅﾐ</t>
  </si>
  <si>
    <t>バディ博多南先生</t>
  </si>
  <si>
    <t>福岡県那珂川市五郎丸1-97</t>
  </si>
  <si>
    <t>2025/09/02 15:14:11</t>
  </si>
  <si>
    <t>バディスポーツ幼育園博多南校　2号認定</t>
  </si>
  <si>
    <t>ﾊﾞﾃﾞｨｽﾎﾟｰﾂﾖｳｲｸｴﾝ ﾊｶﾀﾐﾅﾐ 2ｺﾞｳ</t>
  </si>
  <si>
    <t>バディ博多南校　2号</t>
  </si>
  <si>
    <t>2025/09/10 14:10:51</t>
  </si>
  <si>
    <t>7104</t>
  </si>
  <si>
    <t>バディ博多南別注　外税</t>
  </si>
  <si>
    <t>2025/09/02 15:15:09</t>
  </si>
  <si>
    <t>7200</t>
  </si>
  <si>
    <t>九州中央病院　ひよこ保育園</t>
  </si>
  <si>
    <t>ｷｭｳｼｭｳﾁｭｳｵｳﾋﾞｮｳｲﾝ ﾋﾖｺﾎｲｸｴﾝ</t>
  </si>
  <si>
    <t>ひよこ保育園</t>
  </si>
  <si>
    <t>福岡市南区塩原３丁目21-20</t>
  </si>
  <si>
    <t>092-552-0188</t>
  </si>
  <si>
    <t>2017/01/19 14:32:51</t>
  </si>
  <si>
    <t>7201</t>
  </si>
  <si>
    <t>九州中央病院　ひよこ保育園　（別注）</t>
  </si>
  <si>
    <t>ﾋﾖｺﾎｲｸｴﾝ</t>
  </si>
  <si>
    <t>ひよこ保育園（別注）</t>
  </si>
  <si>
    <t>2025/09/02 15:15:42</t>
  </si>
  <si>
    <t>7202</t>
  </si>
  <si>
    <t>2015/06/02 14:53:09</t>
  </si>
  <si>
    <t>ﾀﾞｻﾞｲﾌﾃﾝﾏﾝｸﾞｳﾖｳﾁｴﾝ</t>
  </si>
  <si>
    <t>818-0117</t>
  </si>
  <si>
    <t>太宰府市宰府４丁目７番５号</t>
  </si>
  <si>
    <t>092-924-0223</t>
  </si>
  <si>
    <t>092-921-2255</t>
  </si>
  <si>
    <t>337</t>
  </si>
  <si>
    <t>-1.-1</t>
  </si>
  <si>
    <t>2025/09/08 11:42:28</t>
  </si>
  <si>
    <t>7301</t>
  </si>
  <si>
    <t>太宰府天満宮幼稚園（別注）</t>
  </si>
  <si>
    <t>ﾀﾞｻﾞｲﾌﾃﾝﾏﾝｸﾞｳﾖｳﾁｴﾝ(ﾍﾞﾂﾁｭｳ)</t>
  </si>
  <si>
    <t>818-0177</t>
  </si>
  <si>
    <t>太宰府市太宰府４丁目７番５号</t>
  </si>
  <si>
    <t>338</t>
  </si>
  <si>
    <t>2025/09/02 15:18:10</t>
  </si>
  <si>
    <t>7400</t>
  </si>
  <si>
    <t>ASOはぐみらい保育園</t>
  </si>
  <si>
    <t>ASOﾊｸﾞﾐﾗｲﾎｲｸｴﾝ</t>
  </si>
  <si>
    <t>はぐみらい保育園</t>
  </si>
  <si>
    <t>812-0016</t>
  </si>
  <si>
    <t>福岡市博多区駅南2-12-29　2階</t>
  </si>
  <si>
    <t>0924152307</t>
  </si>
  <si>
    <t>0924825298</t>
  </si>
  <si>
    <t>2025/09/08 11:32:59</t>
  </si>
  <si>
    <t>7500</t>
  </si>
  <si>
    <t>順和保育園</t>
  </si>
  <si>
    <t>ｼﾞｭﾝﾜﾎｲｸｴﾝ</t>
  </si>
  <si>
    <t>福岡市東区筥松2-14-18</t>
  </si>
  <si>
    <t>092-611-2250</t>
  </si>
  <si>
    <t>2013/09/25 14:14:09</t>
  </si>
  <si>
    <t>7502</t>
  </si>
  <si>
    <t>福岡市東区派筥松2-14-18</t>
  </si>
  <si>
    <t>2013/09/25 14:18:49</t>
  </si>
  <si>
    <t>7503</t>
  </si>
  <si>
    <t>順和保育園　おやつ</t>
  </si>
  <si>
    <t>ｼﾞｭﾝﾜﾎｲｸｴﾝ ｵﾔﾂ</t>
  </si>
  <si>
    <t>順和保育園　</t>
  </si>
  <si>
    <t>2013/10/10 11:30:51</t>
  </si>
  <si>
    <t>7600</t>
  </si>
  <si>
    <t>アリス保育園</t>
  </si>
  <si>
    <t>ｱﾘｽﾎｲｸｴﾝ</t>
  </si>
  <si>
    <t>811-0101</t>
  </si>
  <si>
    <t>福岡県糟屋郡新宮町新宮中央駅前1丁目1-16</t>
  </si>
  <si>
    <t>0929631244</t>
  </si>
  <si>
    <t>2025/09/08 11:33:10</t>
  </si>
  <si>
    <t>7700</t>
  </si>
  <si>
    <t>水城幼稚園</t>
  </si>
  <si>
    <t xml:space="preserve">ﾐｽﾞｷﾖｳﾁｴﾝ </t>
  </si>
  <si>
    <t>818-0133</t>
  </si>
  <si>
    <t>福岡県太宰府市坂本3丁目5-1</t>
  </si>
  <si>
    <t>092-925-6311</t>
  </si>
  <si>
    <t>336</t>
  </si>
  <si>
    <t>2013/09/11 14:57:09</t>
  </si>
  <si>
    <t>ｵｵﾉﾐﾅﾐﾖｳﾁｴﾝ</t>
  </si>
  <si>
    <t>816-0955</t>
  </si>
  <si>
    <t>福岡県大野城市上大利1丁目8-1</t>
  </si>
  <si>
    <t>092-596-0160</t>
  </si>
  <si>
    <t>092-596-3104</t>
  </si>
  <si>
    <t>333</t>
  </si>
  <si>
    <t>-2</t>
  </si>
  <si>
    <t>2025/09/10 13:51:39</t>
  </si>
  <si>
    <t>7801</t>
  </si>
  <si>
    <t>大野南幼稚園（別注）</t>
  </si>
  <si>
    <t>ｵｵﾉﾐﾅﾐﾖｳﾁｴﾝ(ﾍﾞﾂﾁｭｳ)</t>
  </si>
  <si>
    <t>2025/09/02 15:18:49</t>
  </si>
  <si>
    <t>7802</t>
  </si>
  <si>
    <t>大野南幼稚園　お泊り保育</t>
  </si>
  <si>
    <t>ｵｵﾉﾐﾅﾐﾖｳﾁｴﾝ ｵﾄﾏﾘﾎｲｸ</t>
  </si>
  <si>
    <t>大野南　お泊り保育</t>
  </si>
  <si>
    <t>092-596-0610</t>
  </si>
  <si>
    <t>2014/10/30 16:41:39</t>
  </si>
  <si>
    <t>7803</t>
  </si>
  <si>
    <t>大野南幼稚園　お誕生会</t>
  </si>
  <si>
    <t>ｵｵｵﾉﾐﾅﾐﾖｳﾁｴﾝ ｵﾀﾝｼﾞｮｳｶｲ</t>
  </si>
  <si>
    <t>大野南　お誕生会</t>
  </si>
  <si>
    <t>2025/09/08 11:27:15</t>
  </si>
  <si>
    <t>7804</t>
  </si>
  <si>
    <t>大野南幼稚園　先生用</t>
  </si>
  <si>
    <t>ｵｵﾉﾐﾅﾐﾖｳﾁｴﾝ ｾﾝｾｲﾖｳ</t>
  </si>
  <si>
    <t>2025/09/02 15:19:05</t>
  </si>
  <si>
    <t>7900</t>
  </si>
  <si>
    <t>ツルタみとま幼稚園</t>
  </si>
  <si>
    <t>ﾂﾙﾀﾐﾄマﾖｳﾁｴﾝ</t>
  </si>
  <si>
    <t>811-0212</t>
  </si>
  <si>
    <t>福岡県福岡市東区美和台5丁目26番1号</t>
  </si>
  <si>
    <t>092-607-1361</t>
  </si>
  <si>
    <t>092-607-3875</t>
  </si>
  <si>
    <t>2015/01/14 13:03:14</t>
  </si>
  <si>
    <t>7901</t>
  </si>
  <si>
    <t>ツルタみとま幼稚園（別注）</t>
  </si>
  <si>
    <t>ﾂﾙﾀﾐﾄﾏﾖｳﾁｴﾝ(ﾍﾞﾂﾁｭｳ)</t>
  </si>
  <si>
    <t>ツルタみとま幼稚園別注</t>
  </si>
  <si>
    <t>福岡市東区美和台5丁目26-1</t>
  </si>
  <si>
    <t>2014/10/30 16:41:54</t>
  </si>
  <si>
    <t>7902</t>
  </si>
  <si>
    <t>ツルタみとま幼稚園（別注）②</t>
  </si>
  <si>
    <t>ﾂﾙﾀﾐﾄﾏﾖｳﾁｴﾝ(ﾍﾞﾂﾁｭｳ)2</t>
  </si>
  <si>
    <t>2023/02/16 16:03:58</t>
  </si>
  <si>
    <t>7905</t>
  </si>
  <si>
    <t>ツルタみとま幼稚園　ファミリーサポート</t>
  </si>
  <si>
    <t>ﾂﾙﾀﾐﾄマﾖｳﾁｴﾝ ﾌｧﾐﾘｰｻﾎﾟｰﾄ</t>
  </si>
  <si>
    <t>ツルタみとま　お預かり</t>
  </si>
  <si>
    <t>2023/06/08 17:04:48</t>
  </si>
  <si>
    <t>ｶｼﾊﾗﾖｳﾁｴﾝ</t>
  </si>
  <si>
    <t>811-1353</t>
  </si>
  <si>
    <t>福岡県福岡市南区柏原1丁目12番15号</t>
  </si>
  <si>
    <t>092-566-3111</t>
  </si>
  <si>
    <t>092-566-3819</t>
  </si>
  <si>
    <t>2025/09/08 11:42:11</t>
  </si>
  <si>
    <t>8001</t>
  </si>
  <si>
    <t>かしはら幼稚園（別注）</t>
  </si>
  <si>
    <t>ｶｼﾊﾗﾖｳﾁｴﾝ(ﾍﾞｯﾁｭｳ)</t>
  </si>
  <si>
    <t>2017/07/12 11:28:45</t>
  </si>
  <si>
    <t>8002</t>
  </si>
  <si>
    <t>かしはら幼稚園（検食）</t>
  </si>
  <si>
    <t>ｶｼﾊﾗﾖｳﾁｴﾝ(ｹﾝｼｮｸ)</t>
  </si>
  <si>
    <t>2021/10/07 9:10:09</t>
  </si>
  <si>
    <t>ｺｳﾗﾝﾖｳﾁｴﾝ</t>
  </si>
  <si>
    <t>811-1311</t>
  </si>
  <si>
    <t>福岡県福岡市横手1丁目12-35</t>
  </si>
  <si>
    <t>092-571-3441</t>
  </si>
  <si>
    <t>092-513-1813</t>
  </si>
  <si>
    <t>2025/09/02 15:19:51</t>
  </si>
  <si>
    <t>8101</t>
  </si>
  <si>
    <t>香蘭幼稚園（別注）</t>
  </si>
  <si>
    <t>ｺｳﾗﾝﾖｳﾁｴﾝ(ﾍﾞﾂﾁｭｳ)</t>
  </si>
  <si>
    <t>福岡市南区横手1丁目12-35</t>
  </si>
  <si>
    <t>571-3441</t>
  </si>
  <si>
    <t>513-1813</t>
  </si>
  <si>
    <t>2021/03/08 17:29:44</t>
  </si>
  <si>
    <t>8102</t>
  </si>
  <si>
    <t>香蘭幼稚園　つぼみ組　別注</t>
  </si>
  <si>
    <t>ｺｳﾗﾝﾖｳﾁｴﾝ ﾂﾎﾞﾐｸﾞﾐ ﾍﾞｯﾁｭｳ</t>
  </si>
  <si>
    <t>香蘭幼稚園　つぼみ</t>
  </si>
  <si>
    <t>福岡県福岡市南区横手1丁目12-35</t>
  </si>
  <si>
    <t>092-513-1831</t>
  </si>
  <si>
    <t>441</t>
  </si>
  <si>
    <t>2025/09/02 15:20:21</t>
  </si>
  <si>
    <t>8103</t>
  </si>
  <si>
    <t>香蘭幼稚園　実習生</t>
  </si>
  <si>
    <t>ｺｳﾗﾝﾖｳﾁｴﾝ ｼﾞｯｼｭｳｾｲ</t>
  </si>
  <si>
    <t>2015/03/04 13:46:20</t>
  </si>
  <si>
    <t>8104</t>
  </si>
  <si>
    <t>ｺｳﾗﾝｼﾞｮｼﾀﾝｷﾀﾞｲｶﾞｸ ﾎｲｸｶ</t>
  </si>
  <si>
    <t>香蘭女子保育科</t>
  </si>
  <si>
    <t>2013/09/12 14:01:32</t>
  </si>
  <si>
    <t>8105</t>
  </si>
  <si>
    <t>香蘭幼稚園　つぼみ組　火曜日</t>
  </si>
  <si>
    <t>ｺｳﾗﾝﾖｳﾁｴﾝ ﾂﾎﾞﾐｸﾞﾐ ｶﾖｳﾋﾞ</t>
  </si>
  <si>
    <t>香蘭　つぼみ火曜</t>
  </si>
  <si>
    <t>2015/01/26 16:29:12</t>
  </si>
  <si>
    <t>8106</t>
  </si>
  <si>
    <t>香蘭幼稚園　つぼみ組　木曜日</t>
  </si>
  <si>
    <t>ｺｳﾗﾝﾖｳﾁｴﾝ ﾂﾎﾞﾐｸﾞﾐ ﾓｸﾖｳﾋﾞ</t>
  </si>
  <si>
    <t>香蘭　つぼみ木曜</t>
  </si>
  <si>
    <t>2015/01/26 16:29:17</t>
  </si>
  <si>
    <t>8107</t>
  </si>
  <si>
    <t>香蘭幼稚園　つぼみ組</t>
  </si>
  <si>
    <t>ｺｳﾗﾝﾖｳﾁｴﾝ ﾂﾎﾞﾐｸﾞﾐ</t>
  </si>
  <si>
    <t>香蘭　つぼみ</t>
  </si>
  <si>
    <t>2025/09/08 11:32:37</t>
  </si>
  <si>
    <t>8108</t>
  </si>
  <si>
    <t>塩原保育園</t>
  </si>
  <si>
    <t>ｼｵﾊﾞﾙﾎｲｸｴﾝ</t>
  </si>
  <si>
    <t>福岡県福岡市南区塩原3丁目26-19</t>
  </si>
  <si>
    <t>092-554-1188</t>
  </si>
  <si>
    <t>092-554-1288</t>
  </si>
  <si>
    <t>2015/01/21 16:10:15</t>
  </si>
  <si>
    <t>8109</t>
  </si>
  <si>
    <t>香蘭幼稚園　つぼみ組　金曜日</t>
  </si>
  <si>
    <t>ｺｳﾗﾝﾖｳﾁｴﾝ ﾂﾎﾞﾐｸﾞﾐ ｷﾝﾖｳﾋﾞ</t>
  </si>
  <si>
    <t>香蘭　つぼみ金曜</t>
  </si>
  <si>
    <t>2016/01/19 14:54:19</t>
  </si>
  <si>
    <t>8110</t>
  </si>
  <si>
    <t>香蘭幼稚園（別注）　内税</t>
  </si>
  <si>
    <t>ｺｳﾗﾝﾖｳﾁｴﾝ(ﾍﾞﾂﾁｭｳ) ｳﾁｾﾞｲ</t>
  </si>
  <si>
    <t>2025/09/02 15:22:02</t>
  </si>
  <si>
    <t>8200</t>
  </si>
  <si>
    <t>円龍幼稚園</t>
  </si>
  <si>
    <t>ｴﾝﾘｭｳﾖｳﾁｴﾝ</t>
  </si>
  <si>
    <t>810-0014</t>
  </si>
  <si>
    <t>福岡県福岡市中央区平尾4丁目1番1号</t>
  </si>
  <si>
    <t>092-531-4643</t>
  </si>
  <si>
    <t>092-531-4641</t>
  </si>
  <si>
    <t>2013/09/03 19:42:14</t>
  </si>
  <si>
    <t>8201</t>
  </si>
  <si>
    <t>2014/07/28 12:02:34</t>
  </si>
  <si>
    <t>8300</t>
  </si>
  <si>
    <t>岡本保育所</t>
  </si>
  <si>
    <t>ｵｶﾓﾄﾎｲｸｼｮ</t>
  </si>
  <si>
    <t>福岡県春日市岡本1丁目89</t>
  </si>
  <si>
    <t>092-591-3617</t>
  </si>
  <si>
    <t>092-591-3629</t>
  </si>
  <si>
    <t>265</t>
  </si>
  <si>
    <t>2023/11/06 14:49:25</t>
  </si>
  <si>
    <t>8301</t>
  </si>
  <si>
    <t>2013/10/02 16:40:20</t>
  </si>
  <si>
    <t>8400</t>
  </si>
  <si>
    <t>社会福祉法人良和会こぐま保育園</t>
  </si>
  <si>
    <t>ｼｬｶｲﾌｸｼﾎｳｼﾞﾝ ﾘｮｳﾜｶｲ ｺｸﾞﾏﾎｲｸｴﾝ</t>
  </si>
  <si>
    <t>こぐま保育園</t>
  </si>
  <si>
    <t>814-0174</t>
  </si>
  <si>
    <t>福岡市早良区田隈1-23-43</t>
  </si>
  <si>
    <t>092-861-4111</t>
  </si>
  <si>
    <t>092-861-4180</t>
  </si>
  <si>
    <t>2013/12/26 11:30:05</t>
  </si>
  <si>
    <t>8402</t>
  </si>
  <si>
    <t>社会福祉法人良和会こぐま保育園　先生</t>
  </si>
  <si>
    <t xml:space="preserve">ｼｬｶｲﾌｸｼﾎｳｼﾞﾝﾘｮｳﾜﾖｲｶｲｺｸﾞﾏﾎｲｸｴﾝ </t>
  </si>
  <si>
    <t>こぐま保育園　先生</t>
  </si>
  <si>
    <t>861-4111</t>
  </si>
  <si>
    <t>861-4180</t>
  </si>
  <si>
    <t>2014/01/07 11:10:16</t>
  </si>
  <si>
    <t>8500</t>
  </si>
  <si>
    <t>バイリンガルキッズハウス</t>
  </si>
  <si>
    <t>ﾊﾞｲﾘﾝｶﾞﾙｷｯｽﾞﾊｳｽ</t>
  </si>
  <si>
    <t>ﾊﾞｲﾘﾝｶﾞﾙ</t>
  </si>
  <si>
    <t>810-0064</t>
  </si>
  <si>
    <t>福岡県福岡市中央区地行1-9-10-2F</t>
  </si>
  <si>
    <t>092-725-4833</t>
  </si>
  <si>
    <t>092-725-4855</t>
  </si>
  <si>
    <t>2014/03/20 11:17:36</t>
  </si>
  <si>
    <t>8600</t>
  </si>
  <si>
    <t>社会福祉法人清風会　御幸保育園</t>
  </si>
  <si>
    <t>ﾐﾕｷﾎｲｸｴﾝ</t>
  </si>
  <si>
    <t>御幸保育園</t>
  </si>
  <si>
    <t>813-0044</t>
  </si>
  <si>
    <t>福岡県福岡市東区千早6-8-14</t>
  </si>
  <si>
    <t>092-662-1431</t>
  </si>
  <si>
    <t>092-683-3597</t>
  </si>
  <si>
    <t>2025/09/08 11:27:33</t>
  </si>
  <si>
    <t>8601</t>
  </si>
  <si>
    <t>御幸保育園　おやつ</t>
  </si>
  <si>
    <t>ﾐﾕｷﾎｲｸｴﾝ ｵﾔﾂ</t>
  </si>
  <si>
    <t>2015/02/19 9:09:22</t>
  </si>
  <si>
    <t>8602</t>
  </si>
  <si>
    <t>ｼｬｶｲﾌｸｼﾎｳｼﾞﾝｾｲﾌｳｶｲ ﾐﾕｷﾎｲｸｴﾝ</t>
  </si>
  <si>
    <t>2015/01/21 15:08:56</t>
  </si>
  <si>
    <t>8605</t>
  </si>
  <si>
    <t>ｼｬｶｲﾌｸｼﾎｳｼﾞﾝ ｾｲﾌｳｶｲ ﾐﾕｷﾎｲｸｴﾝ</t>
  </si>
  <si>
    <t>御幸保育園　延長おやつ</t>
  </si>
  <si>
    <t>2015/01/21 15:10:01</t>
  </si>
  <si>
    <t>8700</t>
  </si>
  <si>
    <t>社会福祉法人清風会　香住ヶ丘保育園</t>
  </si>
  <si>
    <t>ｼｬｶｲﾌｸｼﾎｳｼﾞﾝｾｲﾌｳｶｲｶｽﾐｶﾞｵｶﾎｲｸｴﾝ</t>
  </si>
  <si>
    <t>香住ヶ丘保育園</t>
  </si>
  <si>
    <t>福岡県福岡市東区香住ヶ丘1-13-10</t>
  </si>
  <si>
    <t>092-661-1003</t>
  </si>
  <si>
    <t>092-672-8288</t>
  </si>
  <si>
    <t>2022/05/30 11:22:29</t>
  </si>
  <si>
    <t>8702</t>
  </si>
  <si>
    <t>ｼｬｶｲﾌｸｼﾎｳｼﾞﾝｾｲﾌｳｶｲ ｶｽﾐｶﾞｵｶﾎｲｸｴ</t>
  </si>
  <si>
    <t>2014/04/15 14:57:06</t>
  </si>
  <si>
    <t>8705</t>
  </si>
  <si>
    <t>2014/03/20 12:52:33</t>
  </si>
  <si>
    <t>8800</t>
  </si>
  <si>
    <t>社会福祉法人清風会　香住ヶ丘保育園松香台分園</t>
  </si>
  <si>
    <t>香住ヶ丘保　松香台分園</t>
  </si>
  <si>
    <t>813-0004</t>
  </si>
  <si>
    <t>福岡県福岡市東区松香台2-1-3</t>
  </si>
  <si>
    <t>092-692-7498</t>
  </si>
  <si>
    <t>092-692-7499</t>
  </si>
  <si>
    <t>2014/05/07 15:56:39</t>
  </si>
  <si>
    <t>8802</t>
  </si>
  <si>
    <t>2014/05/07 15:57:08</t>
  </si>
  <si>
    <t>8805</t>
  </si>
  <si>
    <t>2014/05/07 15:59:01</t>
  </si>
  <si>
    <t>8806</t>
  </si>
  <si>
    <t>8706</t>
  </si>
  <si>
    <t>2014/03/20 12:54:46</t>
  </si>
  <si>
    <t>8900</t>
  </si>
  <si>
    <t>聖心　ウルスラ幼稚園</t>
  </si>
  <si>
    <t>ｾｲｼﾝ ｳﾙｽﾗﾖｳﾁｴﾝ</t>
  </si>
  <si>
    <t>ウルスラ</t>
  </si>
  <si>
    <t>福岡県福岡市南区塩原4-25-20</t>
  </si>
  <si>
    <t>092-541-2428</t>
  </si>
  <si>
    <t>2014/12/26 11:03:20</t>
  </si>
  <si>
    <t>8901</t>
  </si>
  <si>
    <t>2014/10/06 11:31:04</t>
  </si>
  <si>
    <t>8902</t>
  </si>
  <si>
    <t>2014/03/20 11:36:06</t>
  </si>
  <si>
    <t>9000</t>
  </si>
  <si>
    <t>五十川保育園</t>
  </si>
  <si>
    <t>ｺﾞｼﾞｭｳｶﾜﾎｲｸｴﾝ</t>
  </si>
  <si>
    <t>五十川</t>
  </si>
  <si>
    <t>福岡市博多区諸岡３－２２－７</t>
  </si>
  <si>
    <t>092-585-8501</t>
  </si>
  <si>
    <t>092-572-2311</t>
  </si>
  <si>
    <t>2015/02/10 14:31:49</t>
  </si>
  <si>
    <t>9002</t>
  </si>
  <si>
    <t>五十川保育園　おやつ</t>
  </si>
  <si>
    <t>ｺﾞｼﾞｭｳｶﾜﾎｲｸｴﾝ ｵﾔﾂ</t>
  </si>
  <si>
    <t>2015/02/10 14:32:54</t>
  </si>
  <si>
    <t>9005</t>
  </si>
  <si>
    <t>五十川保育園　延長おやつ</t>
  </si>
  <si>
    <t>ｺﾞｼﾞｯｶﾜﾎｲｸｴﾝﾎｲｸｴﾝ ｴﾝﾁｮｳｵﾔﾂ</t>
  </si>
  <si>
    <t>2015/02/10 14:32:48</t>
  </si>
  <si>
    <t>9100</t>
  </si>
  <si>
    <t>まいむ保育園</t>
  </si>
  <si>
    <t>ﾏｲﾑﾎｲｸｴﾝ</t>
  </si>
  <si>
    <t>まいむ</t>
  </si>
  <si>
    <t>福岡県福岡市南区大橋１丁目8番8号</t>
  </si>
  <si>
    <t>1丁目8番館２F</t>
  </si>
  <si>
    <t>092-400-6463</t>
  </si>
  <si>
    <t>092-557-2660</t>
  </si>
  <si>
    <t>2018/10/25 16:33:26</t>
  </si>
  <si>
    <t>9200</t>
  </si>
  <si>
    <t>社会福祉法人四季の会　どろんこ保育園</t>
  </si>
  <si>
    <t>ｼｬｶｲﾌｸｼﾎｳｼﾞﾝｼｷﾉｶｲ ﾄﾞﾛﾝｺﾎｲｸｴﾝ</t>
  </si>
  <si>
    <t>どろんこ保育園</t>
  </si>
  <si>
    <t>812-0018</t>
  </si>
  <si>
    <t>福岡市博多区吉住1-2-50</t>
  </si>
  <si>
    <t>092-271-3343</t>
  </si>
  <si>
    <t>2014/05/19 15:58:08</t>
  </si>
  <si>
    <t>9202</t>
  </si>
  <si>
    <t>2014/06/03 14:40:52</t>
  </si>
  <si>
    <t>9300</t>
  </si>
  <si>
    <t>ももちはま保育園</t>
  </si>
  <si>
    <t>ﾓﾓﾁﾊﾏﾎｲｸｴﾝ</t>
  </si>
  <si>
    <t>814-0001</t>
  </si>
  <si>
    <t>福岡市早良区百道浜2-3-26</t>
  </si>
  <si>
    <t>092-833-2360</t>
  </si>
  <si>
    <t>092-407-6376</t>
  </si>
  <si>
    <t>2015/02/18 10:21:38</t>
  </si>
  <si>
    <t>9400</t>
  </si>
  <si>
    <t>白金幼稚園</t>
  </si>
  <si>
    <t>ｼﾛｶﾞﾈﾖｳﾁｴﾝ</t>
  </si>
  <si>
    <t>白金</t>
  </si>
  <si>
    <t>810-0012</t>
  </si>
  <si>
    <t>福岡市中央区白金１－１５－１０</t>
  </si>
  <si>
    <t>0925315656</t>
  </si>
  <si>
    <t>0925315676</t>
  </si>
  <si>
    <t>2025/09/08 11:36:00</t>
  </si>
  <si>
    <t>9500</t>
  </si>
  <si>
    <t>ワーカーズコープデイサービスホット</t>
  </si>
  <si>
    <t>ﾜｰｶｰｽﾞｺｰﾌﾟﾃﾞｲｻｰﾋﾞｽﾎｯﾄ</t>
  </si>
  <si>
    <t>ﾜｰｶｽﾞｺｰﾌﾟ（学童）</t>
  </si>
  <si>
    <t>2014/07/01 18:31:46</t>
  </si>
  <si>
    <t>9600</t>
  </si>
  <si>
    <t>ひで坊ん家</t>
  </si>
  <si>
    <t>ﾋﾃﾞﾎﾞｳﾝﾁ</t>
  </si>
  <si>
    <t>810-0022</t>
  </si>
  <si>
    <t>福岡県福岡市中央区薬院2-6-32-5Ｆ</t>
  </si>
  <si>
    <t>092-713-2489</t>
  </si>
  <si>
    <t>511</t>
  </si>
  <si>
    <t>2016/06/02 14:45:03</t>
  </si>
  <si>
    <t>9700</t>
  </si>
  <si>
    <t>社会福祉法人しののめ会信愛保育園</t>
  </si>
  <si>
    <t>ｼｬｶｲﾌｸｼﾎｳｼﾞﾝｼﾉﾉﾒｶｲ ｼﾝｱｲﾎｲｸｴﾝ</t>
  </si>
  <si>
    <t>信愛保育園</t>
  </si>
  <si>
    <t>813-0043</t>
  </si>
  <si>
    <t>福岡県福岡市東区名島5丁目5-2</t>
  </si>
  <si>
    <t>092-681-6691</t>
  </si>
  <si>
    <t>092-672-9250</t>
  </si>
  <si>
    <t>2015/06/26 11:04:07</t>
  </si>
  <si>
    <t>9703</t>
  </si>
  <si>
    <t>2015/06/26 11:04:15</t>
  </si>
  <si>
    <t>9800</t>
  </si>
  <si>
    <t>医療法人友愛会　友田病院</t>
  </si>
  <si>
    <t>ｲﾝｲﾘｮｳﾎｳｼﾞﾝﾕｳｱｲｶｲ  ﾄﾓﾀﾞﾋﾞｮｳ</t>
  </si>
  <si>
    <t>友田病院　きらきら星</t>
  </si>
  <si>
    <t>812-0894</t>
  </si>
  <si>
    <t>福岡県福岡市博多区諸岡3丁目10-18</t>
  </si>
  <si>
    <t>092-585-6161</t>
  </si>
  <si>
    <t>2014/12/26 11:05:58</t>
  </si>
  <si>
    <t>9802</t>
  </si>
  <si>
    <t>2014/12/26 11:09:08</t>
  </si>
  <si>
    <t>9900</t>
  </si>
  <si>
    <t>若竹保育園</t>
  </si>
  <si>
    <t>ﾜｶﾀｹﾎｲｸｴﾝﾜｶﾀｹ</t>
  </si>
  <si>
    <t>816-0872</t>
  </si>
  <si>
    <t>春日市桜ヶ丘4-6</t>
  </si>
  <si>
    <t>092-591-6023</t>
  </si>
  <si>
    <t>2022/01/27 11:33:06</t>
  </si>
  <si>
    <t>　　　　　　　　　　　　</t>
  </si>
  <si>
    <t>100000</t>
  </si>
  <si>
    <t>2025/09/08 11:28:04</t>
  </si>
  <si>
    <t>100001</t>
  </si>
  <si>
    <t>2021/05/25 11:54:05</t>
  </si>
  <si>
    <t>100002</t>
  </si>
  <si>
    <t>2021/05/25 11:54:24</t>
  </si>
  <si>
    <t>10003</t>
  </si>
  <si>
    <t>100003</t>
  </si>
  <si>
    <t>2021/05/25 11:54:20</t>
  </si>
  <si>
    <t>10004</t>
  </si>
  <si>
    <t>100004</t>
  </si>
  <si>
    <t>2021/05/25 11:54:30</t>
  </si>
  <si>
    <t>10005</t>
  </si>
  <si>
    <t>100005</t>
  </si>
  <si>
    <t>2021/05/25 11:54:37</t>
  </si>
  <si>
    <t>10100</t>
  </si>
  <si>
    <t>社会福祉法人　みつる会　城浜保育園</t>
  </si>
  <si>
    <t>ｼｬｶｲﾌｸｼﾎｳｼﾞﾝ ﾐﾂﾙｶｲ ｼﾛﾊﾏﾎｲｸｴﾝ</t>
  </si>
  <si>
    <t>城浜保育園</t>
  </si>
  <si>
    <t>813-0045</t>
  </si>
  <si>
    <t>福岡県福岡市東区城浜団地8-4</t>
  </si>
  <si>
    <t>092-661-0631</t>
  </si>
  <si>
    <t>092-661-0638</t>
  </si>
  <si>
    <t>2014/06/11 9:36:03</t>
  </si>
  <si>
    <t>10101</t>
  </si>
  <si>
    <t>社会福祉法人　みつる会　城浜保育園別注</t>
  </si>
  <si>
    <t>ｼｬｶｲﾌｸｼﾎｳｼﾞﾝ ﾐﾂﾙｶｲ ｼﾛﾊﾏﾎｲｸｴﾝﾍﾞ</t>
  </si>
  <si>
    <t>城浜保育園　別注</t>
  </si>
  <si>
    <t>092-661-6638</t>
  </si>
  <si>
    <t>2014/07/08 13:59:29</t>
  </si>
  <si>
    <t>10200</t>
  </si>
  <si>
    <t>学校法人　大石学園　三井幼稚園</t>
  </si>
  <si>
    <t>ｶﾞｯｺｳﾎｳｼﾞﾝ ｵｵｲｼｶﾞｸｴﾝ ﾐｲﾖｳﾁｴﾝ</t>
  </si>
  <si>
    <t>三井幼稚園</t>
  </si>
  <si>
    <t>838-0111</t>
  </si>
  <si>
    <t>福岡県小郡市吹上1060</t>
  </si>
  <si>
    <t>0942-72-6984</t>
  </si>
  <si>
    <t>0942-72-1195</t>
  </si>
  <si>
    <t>2015/03/18 14:03:03</t>
  </si>
  <si>
    <t>10201</t>
  </si>
  <si>
    <t>2014/11/10 10:06:33</t>
  </si>
  <si>
    <t>10300</t>
  </si>
  <si>
    <t>こりす保育園</t>
  </si>
  <si>
    <t>ｺﾘｽﾎｲｸｴﾝ</t>
  </si>
  <si>
    <t>810-0032</t>
  </si>
  <si>
    <t>福岡市中央区輝国2-8-24</t>
  </si>
  <si>
    <t>090-7293-6200</t>
  </si>
  <si>
    <t>2014/10/30 16:44:47</t>
  </si>
  <si>
    <t>10400</t>
  </si>
  <si>
    <t>けいあい保育園</t>
  </si>
  <si>
    <t>ｹｲｱｲﾎｲｸｴﾝ</t>
  </si>
  <si>
    <t>福岡県福岡市博多区千代1丁目1-55</t>
  </si>
  <si>
    <t>092-631-2255</t>
  </si>
  <si>
    <t>2014/12/26 11:00:58</t>
  </si>
  <si>
    <t>10402</t>
  </si>
  <si>
    <t>社会福祉法人　敬愛園　けいあい保育園（アットホーム福岡)</t>
  </si>
  <si>
    <t>ｼｬｶｲﾌｸｼﾎｳｼﾞﾝ ｹｲｱｲｴﾝ ｹｲｱｲﾎｲｸｴﾝ(</t>
  </si>
  <si>
    <t>2014/10/30 16:44:43</t>
  </si>
  <si>
    <t>10500</t>
  </si>
  <si>
    <t>託児所　あしあとの樹</t>
  </si>
  <si>
    <t>ﾀｸｼﾞｼｮ ｱｼｱﾄﾉｷ</t>
  </si>
  <si>
    <t>あしあとの樹</t>
  </si>
  <si>
    <t>819-0005</t>
  </si>
  <si>
    <t>福岡市西区内浜2-32-15</t>
  </si>
  <si>
    <t>092-834-9111</t>
  </si>
  <si>
    <t>092-834-9181</t>
  </si>
  <si>
    <t>2015/01/07 11:36:23</t>
  </si>
  <si>
    <t>10600</t>
  </si>
  <si>
    <t>にしじん森の子保育園</t>
  </si>
  <si>
    <t>ﾆｼｼﾞﾝﾓﾘﾉｺﾎｲｸｴﾝ</t>
  </si>
  <si>
    <t>森の子保育園</t>
  </si>
  <si>
    <t>814-0003</t>
  </si>
  <si>
    <t>福岡市早良区城西3-21-15</t>
  </si>
  <si>
    <t>ジョイフル西新2F</t>
  </si>
  <si>
    <t>092-833-1230</t>
  </si>
  <si>
    <t>092-833-1231</t>
  </si>
  <si>
    <t>2018/08/06 10:14:17</t>
  </si>
  <si>
    <t>10700</t>
  </si>
  <si>
    <t>わかば保育園</t>
  </si>
  <si>
    <t>ﾜｶﾊﾞﾎｲｸｴﾝ</t>
  </si>
  <si>
    <t>福岡市博多区板付3丁目15-2</t>
  </si>
  <si>
    <t>092-582-9235</t>
  </si>
  <si>
    <t>092-582-7611</t>
  </si>
  <si>
    <t>2022/02/01 15:27:52</t>
  </si>
  <si>
    <t>10703</t>
  </si>
  <si>
    <t>わかば保育園　おやつ</t>
  </si>
  <si>
    <t>ﾜｶﾊﾞﾎｲｸｴﾝ ｵﾔﾂ</t>
  </si>
  <si>
    <t>2015/02/09 11:45:41</t>
  </si>
  <si>
    <t>10800</t>
  </si>
  <si>
    <t>大野幼稚園</t>
  </si>
  <si>
    <t>ｵｵﾉﾖｳﾁｴﾝ</t>
  </si>
  <si>
    <t>816-0934</t>
  </si>
  <si>
    <t>福岡県大野城市曙町1-2-27</t>
  </si>
  <si>
    <t>092-572-8662</t>
  </si>
  <si>
    <t>092-572-8670</t>
  </si>
  <si>
    <t>334</t>
  </si>
  <si>
    <t>2015/03/18 13:38:47</t>
  </si>
  <si>
    <t>10801</t>
  </si>
  <si>
    <t>2015/09/16 11:25:14</t>
  </si>
  <si>
    <t>10900</t>
  </si>
  <si>
    <t>やまのみ保育園</t>
  </si>
  <si>
    <t>ﾔﾏﾉﾐﾎｲｸｴﾝ</t>
  </si>
  <si>
    <t>813-0001</t>
  </si>
  <si>
    <t>福岡県福岡市東区唐原5丁目10-22</t>
  </si>
  <si>
    <t>092-672-1022</t>
  </si>
  <si>
    <t>092-672-1066</t>
  </si>
  <si>
    <t>2015/01/23 11:38:22</t>
  </si>
  <si>
    <t>10901</t>
  </si>
  <si>
    <t>やまのみ保育園　別注</t>
  </si>
  <si>
    <t>ﾔﾏﾉﾐﾎｲｸｴﾝ ﾍﾞｯﾁｭｳ</t>
  </si>
  <si>
    <t>2015/01/23 11:38:58</t>
  </si>
  <si>
    <t>10902</t>
  </si>
  <si>
    <t>やまのみ保育園　先生用</t>
  </si>
  <si>
    <t>ﾔﾏﾉﾐﾎｲｸｴﾝ ｾﾝｾｲﾖｳ</t>
  </si>
  <si>
    <t>2015/01/23 11:39:15</t>
  </si>
  <si>
    <t>10903</t>
  </si>
  <si>
    <t>やまのみ保育園　タウン園児</t>
  </si>
  <si>
    <t>ﾔﾏﾉﾐﾎｲｸｴﾝ ﾀｳﾝｴﾝｼﾞ</t>
  </si>
  <si>
    <t>2015/02/03 9:07:17</t>
  </si>
  <si>
    <t>10904</t>
  </si>
  <si>
    <t>やまのみ保育園　おやつ</t>
  </si>
  <si>
    <t>ﾔﾏﾉﾐﾎｲｸｴﾝ ｵﾔﾂ</t>
  </si>
  <si>
    <t>2015/02/09 13:17:21</t>
  </si>
  <si>
    <t>11000</t>
  </si>
  <si>
    <t>託児ルーム　アンジュ・ブラン</t>
  </si>
  <si>
    <t>ﾀｸｼﾞﾙｰﾑ ｱﾝｼﾞｭ･ﾌﾞﾗﾝ</t>
  </si>
  <si>
    <t>アンジュブラン</t>
  </si>
  <si>
    <t>814-0006</t>
  </si>
  <si>
    <t>福岡市早良区百道3-6-9</t>
  </si>
  <si>
    <t>092-215-1234</t>
  </si>
  <si>
    <t>215-1234</t>
  </si>
  <si>
    <t>2025/09/02 16:13:17</t>
  </si>
  <si>
    <t>11100</t>
  </si>
  <si>
    <t>須玖幼稚園　×使用しない</t>
  </si>
  <si>
    <t xml:space="preserve">ｽｸﾞﾖｳﾁｴﾝ </t>
  </si>
  <si>
    <t>816-.864</t>
  </si>
  <si>
    <t>福岡県春日市須玖北8-56</t>
  </si>
  <si>
    <t>092-582-9830</t>
  </si>
  <si>
    <t>092-582-9831</t>
  </si>
  <si>
    <t>2025/09/02 15:22:53</t>
  </si>
  <si>
    <t>11200</t>
  </si>
  <si>
    <t>松崎幼稚園</t>
  </si>
  <si>
    <t>ﾏﾂｻﾞｷﾖｳﾁｴﾝ</t>
  </si>
  <si>
    <t>福岡県福岡市東区水谷1-19-30</t>
  </si>
  <si>
    <t>092-681-2213</t>
  </si>
  <si>
    <t>092-674-6911</t>
  </si>
  <si>
    <t>79</t>
  </si>
  <si>
    <t>2015/03/10 14:25:33</t>
  </si>
  <si>
    <t>11201</t>
  </si>
  <si>
    <t>2015/04/14 13:47:46</t>
  </si>
  <si>
    <t>11300</t>
  </si>
  <si>
    <t>清星幼稚園</t>
  </si>
  <si>
    <t>ｾｲｾｲﾖｳﾁｴﾝ</t>
  </si>
  <si>
    <t>811-1344</t>
  </si>
  <si>
    <t>福岡市南区三宅1-17-12</t>
  </si>
  <si>
    <t>092-541-6820</t>
  </si>
  <si>
    <t>092-541-6821</t>
  </si>
  <si>
    <t>2015/03/10 13:03:45</t>
  </si>
  <si>
    <t>11400</t>
  </si>
  <si>
    <t>双葉中央保育園</t>
  </si>
  <si>
    <t>ﾌﾀﾊﾞﾁｭｳｵｳﾎｲｸｴﾝ</t>
  </si>
  <si>
    <t>811-3217</t>
  </si>
  <si>
    <t>福岡県福津市中央5-1-4</t>
  </si>
  <si>
    <t>0940-42-3067</t>
  </si>
  <si>
    <t>2015/03/27 15:32:06</t>
  </si>
  <si>
    <t>11500</t>
  </si>
  <si>
    <t>Kids　JR　高取</t>
  </si>
  <si>
    <t>Kids JR ﾀｶﾄﾘ</t>
  </si>
  <si>
    <t>KidsJR高取</t>
  </si>
  <si>
    <t>814-0012</t>
  </si>
  <si>
    <t>福岡市早良区昭代3-7-9</t>
  </si>
  <si>
    <t>092-407-6997</t>
  </si>
  <si>
    <t>2015/04/23 10:56:13</t>
  </si>
  <si>
    <t>11501</t>
  </si>
  <si>
    <t>2015/11/16 15:06:13</t>
  </si>
  <si>
    <t>11502</t>
  </si>
  <si>
    <t>Kids　JR　高取　先生用</t>
  </si>
  <si>
    <t>Kids JR ﾀｶﾄﾘ ｾﾝｾｲﾖｳ</t>
  </si>
  <si>
    <t>2015/11/16 15:07:03</t>
  </si>
  <si>
    <t>ｽｸﾞﾖｳﾁｴﾝ</t>
  </si>
  <si>
    <t>816-0871</t>
  </si>
  <si>
    <t>春日市須玖北8-56</t>
  </si>
  <si>
    <t>2015/03/25 8:53:53</t>
  </si>
  <si>
    <t>11601</t>
  </si>
  <si>
    <t>須玖幼稚園　保護者の会</t>
  </si>
  <si>
    <t>ｽｸﾞﾖｳﾁｴﾝ ﾎｺﾞｼｬﾉｶｲ</t>
  </si>
  <si>
    <t>須玖　保護者の会</t>
  </si>
  <si>
    <t>2025/09/02 15:23:05</t>
  </si>
  <si>
    <t>11700</t>
  </si>
  <si>
    <t>夜須幼稚園</t>
  </si>
  <si>
    <t>ﾔｽﾖｳﾁｴﾝ</t>
  </si>
  <si>
    <t>838-0214</t>
  </si>
  <si>
    <t>福岡県朝倉郡筑前町東小田1864</t>
  </si>
  <si>
    <t>0946-42-5199</t>
  </si>
  <si>
    <t>0946-42-2207</t>
  </si>
  <si>
    <t>2017/07/05 12:56:39</t>
  </si>
  <si>
    <t>11800</t>
  </si>
  <si>
    <t>南ヶ丘託児所　こぐま園</t>
  </si>
  <si>
    <t>ﾐﾅﾐｶﾞｵｶﾀｸｼﾞｼｮ ｺｸﾞﾏｴﾝ</t>
  </si>
  <si>
    <t>南ヶ丘　こぐま園</t>
  </si>
  <si>
    <t>大野城市南ヶ丘5-8-22</t>
  </si>
  <si>
    <t>092-596-5902</t>
  </si>
  <si>
    <t>2015/03/23 9:49:40</t>
  </si>
  <si>
    <t>11900</t>
  </si>
  <si>
    <t>キッズサポート博多中央</t>
  </si>
  <si>
    <t>ｷｯｽﾞｻﾎﾟｰﾄﾊｶﾀﾁｭｳｵｳ</t>
  </si>
  <si>
    <t>812-0039</t>
  </si>
  <si>
    <t>福岡市博多区冷泉町12-8</t>
  </si>
  <si>
    <t>アサヒプラザ１F</t>
  </si>
  <si>
    <t>092-262-5566</t>
  </si>
  <si>
    <t>2015/03/27 9:27:57</t>
  </si>
  <si>
    <t>12000</t>
  </si>
  <si>
    <t>にじいろの光保育園</t>
  </si>
  <si>
    <t>ﾆｼﾞｲﾛﾉﾋｶﾘﾎｲｸｴﾝ</t>
  </si>
  <si>
    <t>春日市一の谷2-6</t>
  </si>
  <si>
    <t>092-574-1073</t>
  </si>
  <si>
    <t>2015/04/08 13:53:52</t>
  </si>
  <si>
    <t>12100</t>
  </si>
  <si>
    <t>大濠すくすく保育園</t>
  </si>
  <si>
    <t>ｵｵﾎﾘｽｸｽｸﾎｲｸｴﾝ</t>
  </si>
  <si>
    <t>福岡市中央区荒戸1-4-17</t>
  </si>
  <si>
    <t>092-781-3535</t>
  </si>
  <si>
    <t>2015/10/13 13:22:55</t>
  </si>
  <si>
    <t>12200</t>
  </si>
  <si>
    <t>九州医療センター　ひまわり保育園</t>
  </si>
  <si>
    <t>ｷｭｳｼｭｳｲﾘｮｳｾﾝﾀｰ ﾋﾏﾜﾘﾎｲｸｴﾝ</t>
  </si>
  <si>
    <t>ひまわり保育園</t>
  </si>
  <si>
    <t>福岡県福岡市早良区百道浜1-6-1</t>
  </si>
  <si>
    <t>092-834-1161</t>
  </si>
  <si>
    <t>092-834-1162</t>
  </si>
  <si>
    <t>2015/11/19 11:07:08</t>
  </si>
  <si>
    <t>12300</t>
  </si>
  <si>
    <t>那珂の森保育園</t>
  </si>
  <si>
    <t>ﾅｶﾉﾓﾘﾎｲｸｴﾝ</t>
  </si>
  <si>
    <t>福岡県筑紫郡那珂川町大字五郎丸3丁目16-1</t>
  </si>
  <si>
    <t>092-952-0585</t>
  </si>
  <si>
    <t>2018/05/25 15:10:39</t>
  </si>
  <si>
    <t>12400</t>
  </si>
  <si>
    <t>アイランドシティコスモス保育園</t>
  </si>
  <si>
    <t>ｱｲﾗﾝﾄﾞｼﾃｨｺｽﾓｽﾎｲｸｴﾝ</t>
  </si>
  <si>
    <t>アイランドシティ</t>
  </si>
  <si>
    <t>813-0017</t>
  </si>
  <si>
    <t>福岡県福岡市東区香椎照葉2丁目2-11</t>
  </si>
  <si>
    <t>092-662-1501</t>
  </si>
  <si>
    <t>092-662-1502</t>
  </si>
  <si>
    <t>2015/06/24 15:57:17</t>
  </si>
  <si>
    <t>12401</t>
  </si>
  <si>
    <t>寺塚コスモス保育園</t>
  </si>
  <si>
    <t>ﾃﾗﾂﾞｶｺｽﾓｽﾎｲｸｴﾝ</t>
  </si>
  <si>
    <t>寺塚コスモｽ</t>
  </si>
  <si>
    <t>815-0074</t>
  </si>
  <si>
    <t>福岡市南区寺塚1-21-20</t>
  </si>
  <si>
    <t>2015/06/24 15:58:22</t>
  </si>
  <si>
    <t>12402</t>
  </si>
  <si>
    <t>笹丘コスモス保育園</t>
  </si>
  <si>
    <t>ｻｻｵｶｺｽﾓｽﾎｲｸｴﾝ</t>
  </si>
  <si>
    <t>笹丘コスモス</t>
  </si>
  <si>
    <t>福岡市中央区笹丘3-2-1</t>
  </si>
  <si>
    <t>2015/06/24 15:59:49</t>
  </si>
  <si>
    <t>12403</t>
  </si>
  <si>
    <t>伊都コスモス保育園</t>
  </si>
  <si>
    <t>ｲﾄｺｽﾓｽﾎｲｸｴﾝ</t>
  </si>
  <si>
    <t>伊都コスモス</t>
  </si>
  <si>
    <t>819-0367</t>
  </si>
  <si>
    <t>福岡市西区西都2-20-10</t>
  </si>
  <si>
    <t>2015/06/24 16:00:57</t>
  </si>
  <si>
    <t>12404</t>
  </si>
  <si>
    <t>杜の宮コスモス保育園</t>
  </si>
  <si>
    <t>ﾓﾘﾉﾐﾔｺｽﾓｽﾎｲｸｴﾝ</t>
  </si>
  <si>
    <t>杜の宮コスモス</t>
  </si>
  <si>
    <t>811-0122</t>
  </si>
  <si>
    <t>糟屋郡新宮町杜の宮3-12-1</t>
  </si>
  <si>
    <t>2015/06/24 16:09:52</t>
  </si>
  <si>
    <t>12405</t>
  </si>
  <si>
    <t>下府コスモス保育園</t>
  </si>
  <si>
    <t>ｼﾓﾉﾌｺｽﾓｽﾎｲｸｴﾝ</t>
  </si>
  <si>
    <t>下府コスモス</t>
  </si>
  <si>
    <t>糟屋郡新宮町下府6-13-41</t>
  </si>
  <si>
    <t>2015/06/24 16:12:53</t>
  </si>
  <si>
    <t>12500</t>
  </si>
  <si>
    <t>あおりんご</t>
  </si>
  <si>
    <t>ｱｵﾘﾝｺﾞ</t>
  </si>
  <si>
    <t>春日市大谷5-3</t>
  </si>
  <si>
    <t>092-558-7531</t>
  </si>
  <si>
    <t>092-558-7541</t>
  </si>
  <si>
    <t>2017/08/04 17:43:41</t>
  </si>
  <si>
    <t>12600</t>
  </si>
  <si>
    <t>㈱医倖会　さかいの樹　若久</t>
  </si>
  <si>
    <t>ｲｺｳｶｲ ｻｶｲﾉｷ ﾜｶﾋｻ</t>
  </si>
  <si>
    <t>さかいの樹　若久</t>
  </si>
  <si>
    <t>福岡市南区若久1-1-22</t>
  </si>
  <si>
    <t>092-555-2347</t>
  </si>
  <si>
    <t>092-554-3089</t>
  </si>
  <si>
    <t>2016/12/01 14:59:14</t>
  </si>
  <si>
    <t>12700</t>
  </si>
  <si>
    <t>太郎保育園</t>
  </si>
  <si>
    <t>ﾀﾛｳﾎｲｸｴﾝ</t>
  </si>
  <si>
    <t>819-0384</t>
  </si>
  <si>
    <t>福岡市西区太郎丸2-7-3</t>
  </si>
  <si>
    <t>092-806-2821</t>
  </si>
  <si>
    <t>092-806-2874</t>
  </si>
  <si>
    <t>2015/08/17 9:10:15</t>
  </si>
  <si>
    <t>12703</t>
  </si>
  <si>
    <t>太郎保育園　おやつ</t>
  </si>
  <si>
    <t>2015/07/27 9:39:07</t>
  </si>
  <si>
    <t>12800</t>
  </si>
  <si>
    <t>こじか保育園</t>
  </si>
  <si>
    <t>ｺｼﾞｶﾎｲｸｴﾝ</t>
  </si>
  <si>
    <t>819-0383</t>
  </si>
  <si>
    <t>福岡市西区田尻1-7-21</t>
  </si>
  <si>
    <t>092-807-8308</t>
  </si>
  <si>
    <t>092-807-9089</t>
  </si>
  <si>
    <t>2015/09/24 17:08:17</t>
  </si>
  <si>
    <t>12802</t>
  </si>
  <si>
    <t>こじか保育園　おやつ</t>
  </si>
  <si>
    <t>ｺｼﾞｶﾎｲｸｴﾝ ｵﾔﾂ</t>
  </si>
  <si>
    <t>2015/09/24 17:08:32</t>
  </si>
  <si>
    <t>12803</t>
  </si>
  <si>
    <t>2015/07/27 9:38:57</t>
  </si>
  <si>
    <t>児童発達支援　いろは　そうり</t>
  </si>
  <si>
    <t>ｲﾛﾊ ｿｳﾘ</t>
  </si>
  <si>
    <t>816-0813</t>
  </si>
  <si>
    <t>福岡県春日市惣利2-35</t>
  </si>
  <si>
    <t>本田コーポ１F</t>
  </si>
  <si>
    <t>092-558-6559</t>
  </si>
  <si>
    <t>092-558-6560</t>
  </si>
  <si>
    <t>2025/03/31 11:17:50</t>
  </si>
  <si>
    <t>児童発達支援　いろは</t>
  </si>
  <si>
    <t>ｼﾞﾄﾞｳﾊｯﾀﾂｼｴﾝ ｲﾛﾊ</t>
  </si>
  <si>
    <t>児童発達支援　いろは　</t>
  </si>
  <si>
    <t>816-0802</t>
  </si>
  <si>
    <t>春日市春日原北町1-3-52</t>
  </si>
  <si>
    <t>パークハウス春日原ステーションレジデンス１F１B</t>
  </si>
  <si>
    <t>092-707-8570</t>
  </si>
  <si>
    <t>092-707-8571</t>
  </si>
  <si>
    <t>2024/03/01 15:12:58</t>
  </si>
  <si>
    <t>学校法人奈良屋学園　奈良屋幼稚園</t>
  </si>
  <si>
    <t>ｶﾞｯｺｳﾎｳｼﾞﾝﾅﾗﾔｶﾞｸｴﾝ ﾅﾗﾔﾖｳﾁｴﾝ</t>
  </si>
  <si>
    <t>812-0023</t>
  </si>
  <si>
    <t>福岡市博多区奈良屋町1-6</t>
  </si>
  <si>
    <t>092-291-3554</t>
  </si>
  <si>
    <t>092-291-3557</t>
  </si>
  <si>
    <t>2023/04/14 13:29:43</t>
  </si>
  <si>
    <t>13001</t>
  </si>
  <si>
    <t>奈良屋幼稚園　（別注）</t>
  </si>
  <si>
    <t>ﾅﾗﾔﾖｳﾁｴﾝ ﾍﾞｯﾁｭｳ()</t>
  </si>
  <si>
    <t>奈良屋幼稚園　別注</t>
  </si>
  <si>
    <t>2025/09/02 15:23:27</t>
  </si>
  <si>
    <t>奈良屋幼稚園　奥田先生</t>
  </si>
  <si>
    <t>ﾅﾗﾔﾖｳﾁｴﾝ ｵｸﾀﾞ</t>
  </si>
  <si>
    <t>2025/09/02 15:24:05</t>
  </si>
  <si>
    <t>奈良屋幼稚園　実習生</t>
  </si>
  <si>
    <t>ｶﾞｯｺｳﾎｳｼﾞﾝﾅﾗﾔｶﾞｸｴﾝ ﾅﾗﾔﾖｳﾁｴﾝ ｵｸ</t>
  </si>
  <si>
    <t>2017/01/20 10:32:20</t>
  </si>
  <si>
    <t>奈良屋幼稚園　先生</t>
  </si>
  <si>
    <t>ｶﾞｯｺｳﾎｳｼﾞﾝﾅﾗﾔｶﾞｸｴﾝ ﾅﾗﾔﾖｳﾁｴﾝ ｾﾝ</t>
  </si>
  <si>
    <t>2023/04/14 13:30:48</t>
  </si>
  <si>
    <t>13005</t>
  </si>
  <si>
    <t>奈良屋幼稚園　平田先生</t>
  </si>
  <si>
    <t>ﾅﾗﾔﾖｳﾁｴﾝ ﾋﾗﾀｾﾝｾｲ</t>
  </si>
  <si>
    <t>2025/09/02 15:24:31</t>
  </si>
  <si>
    <t>13100</t>
  </si>
  <si>
    <t>英進館</t>
  </si>
  <si>
    <t>ｴｲｼﾝｶﾝ</t>
  </si>
  <si>
    <t>2015/08/18 9:05:43</t>
  </si>
  <si>
    <t>13200</t>
  </si>
  <si>
    <t>淑明学園　心をゆさぶる共育の学舎</t>
  </si>
  <si>
    <t>ｺｺﾛｦﾕｻﾌﾞﾙｷｮｳｲｸﾉﾏﾅﾋﾞﾔ</t>
  </si>
  <si>
    <t>心をゆさぶる共育の学舎</t>
  </si>
  <si>
    <t>813-0011</t>
  </si>
  <si>
    <t>福岡市東区香椎1-10-3</t>
  </si>
  <si>
    <t>092-671-9684</t>
  </si>
  <si>
    <t>092-671-9676</t>
  </si>
  <si>
    <t>2015/08/28 15:39:51</t>
  </si>
  <si>
    <t>13300</t>
  </si>
  <si>
    <t>スマイルガーデン幼児園</t>
  </si>
  <si>
    <t>ｽﾏｲﾙｶﾞｰﾃﾞﾝﾖｳｼﾞｴﾝ</t>
  </si>
  <si>
    <t>スマイルガーデン</t>
  </si>
  <si>
    <t>春日市春日公園７丁目-100</t>
  </si>
  <si>
    <t>090-2719-4892</t>
  </si>
  <si>
    <t>092-922-1088</t>
  </si>
  <si>
    <t>339</t>
  </si>
  <si>
    <t>2015/12/18 11:28:23</t>
  </si>
  <si>
    <t>13400</t>
  </si>
  <si>
    <t>星の原保育園</t>
  </si>
  <si>
    <t>ﾎｼﾉﾊﾗﾎｲｸｴﾝ</t>
  </si>
  <si>
    <t>814-0162</t>
  </si>
  <si>
    <t>福岡市早良区星の原団地68-1</t>
  </si>
  <si>
    <t>092-801-5188</t>
  </si>
  <si>
    <t>2015/10/06 9:48:44</t>
  </si>
  <si>
    <t>13500</t>
  </si>
  <si>
    <t>いずみ保育園</t>
  </si>
  <si>
    <t>ｲｽﾞﾐﾎｲｸｴﾝ</t>
  </si>
  <si>
    <t>815-0063</t>
  </si>
  <si>
    <t>福岡市南区柳河内2丁目6-69</t>
  </si>
  <si>
    <t>092-512-0077</t>
  </si>
  <si>
    <t>092-512-0138</t>
  </si>
  <si>
    <t>2016/01/26 11:35:59</t>
  </si>
  <si>
    <t>13502</t>
  </si>
  <si>
    <t>いずみ保育園　（先生用）</t>
  </si>
  <si>
    <t>ｲｽﾞﾐﾎｲｸｴﾝ (ｾﾝｾｲﾖｳ)</t>
  </si>
  <si>
    <t>2016/01/27 11:46:06</t>
  </si>
  <si>
    <t>13600</t>
  </si>
  <si>
    <t>キンダーキッズインターナショナルスクール</t>
  </si>
  <si>
    <t>ｷﾝﾀﾞｰｷｯｽﾞｲﾝﾀｰﾅｼｮﾅﾙｽｸｰﾙ</t>
  </si>
  <si>
    <t>ｷﾝﾀﾞｰｷｯｽﾞ</t>
  </si>
  <si>
    <t>福岡市早良区百道浜2丁目4-27</t>
  </si>
  <si>
    <t>福岡ＡＩﾋﾞﾙ　１Ｆ</t>
  </si>
  <si>
    <t>092-832-6828</t>
  </si>
  <si>
    <t>092-832-6829</t>
  </si>
  <si>
    <t>2017/05/10 11:15:46</t>
  </si>
  <si>
    <t>13700</t>
  </si>
  <si>
    <t>輝育塾　春日教室</t>
  </si>
  <si>
    <t>ｷｲｸｼﾞｭｸ</t>
  </si>
  <si>
    <t>輝育塾</t>
  </si>
  <si>
    <t>816-0824</t>
  </si>
  <si>
    <t>福岡県春日市小倉2-149-1</t>
  </si>
  <si>
    <t>サンヒルズ小倉1F</t>
  </si>
  <si>
    <t>092-502-3275</t>
  </si>
  <si>
    <t>2016/06/02 14:45:30</t>
  </si>
  <si>
    <t>13800</t>
  </si>
  <si>
    <t>あすなろ保育園</t>
  </si>
  <si>
    <t>ｱｽﾅﾛﾎｲｸｴﾝ</t>
  </si>
  <si>
    <t>811-2415</t>
  </si>
  <si>
    <t>粕屋郡篠栗町津波黒671-1</t>
  </si>
  <si>
    <t>948-2263</t>
  </si>
  <si>
    <t>948-2333</t>
  </si>
  <si>
    <t>2020/02/06 12:49:46</t>
  </si>
  <si>
    <t>東京インターナショナルスクール　大濠キンダーガーテン</t>
  </si>
  <si>
    <t>ﾄｳｷｮｳｲﾝﾀｰﾅｼｮﾅﾙｽｸｰﾙ ｵｵﾎﾘｷﾝﾀﾞｰｶﾞ</t>
  </si>
  <si>
    <t>大濠キンダーガーテン　web</t>
  </si>
  <si>
    <t>810-0053</t>
  </si>
  <si>
    <t>福岡市中央区鳥飼1-4-53</t>
  </si>
  <si>
    <t>718-7772</t>
  </si>
  <si>
    <t>718-7773</t>
  </si>
  <si>
    <t>2025/09/10 14:05:33</t>
  </si>
  <si>
    <t>13902</t>
  </si>
  <si>
    <t>東京インターナショナルスクール　大濠アフタースクール</t>
  </si>
  <si>
    <t>ｵｵﾎﾘｱﾌﾀｰｽｸｰﾙｲﾝﾀｰﾅｼｮﾅﾙｽｸｰﾙｱﾌﾀｰｽ</t>
  </si>
  <si>
    <t>大濠アフタースクール</t>
  </si>
  <si>
    <t>2025/09/10 14:11:49</t>
  </si>
  <si>
    <t>13903</t>
  </si>
  <si>
    <t>東京インターナショナルスクール　大濠アフタースクール（先生）</t>
  </si>
  <si>
    <t>ｵｵﾎﾘｱﾌﾀｰｽｸｰｲﾝﾀｰﾅｼｮﾅﾙｽｸｰﾙｱﾌﾀｰｽｸ</t>
  </si>
  <si>
    <t>大濠アフタースクール　先生</t>
  </si>
  <si>
    <t>2025/09/02 16:14:15</t>
  </si>
  <si>
    <t>13904</t>
  </si>
  <si>
    <t>東京インターナショナルスクール　大濠アフタースクール先生2</t>
  </si>
  <si>
    <t>ｵｵﾎﾘｱﾌﾀｰｽｸｰ</t>
  </si>
  <si>
    <t>大濠アフタースクール先生2</t>
  </si>
  <si>
    <t>2025/09/02 16:15:04</t>
  </si>
  <si>
    <t>13905</t>
  </si>
  <si>
    <t>東京インターナショナルスクール　大濠アフタースクール　別注</t>
  </si>
  <si>
    <t>大濠アフタースクール別注</t>
  </si>
  <si>
    <t>2025/09/02 16:15:34</t>
  </si>
  <si>
    <t>13906</t>
  </si>
  <si>
    <t>大濠キンダーガーテン　別注（外税）</t>
  </si>
  <si>
    <t>ｵｵﾎﾘｷﾝﾀﾞｶﾞｰｷﾝﾀﾞｰｶﾞｰﾃﾝ</t>
  </si>
  <si>
    <t>大濠キンダーガーテン別注</t>
  </si>
  <si>
    <t>2025/09/10 14:12:10</t>
  </si>
  <si>
    <t>13907</t>
  </si>
  <si>
    <t>大濠キンダーガーテン　別注　内税</t>
  </si>
  <si>
    <t>ｵｵﾎﾘｷﾝﾀﾞｶﾞｰﾃﾝ</t>
  </si>
  <si>
    <t>2025/09/02 16:16:51</t>
  </si>
  <si>
    <t>13908</t>
  </si>
  <si>
    <t>大濠キンダーガーテン　別注2　内税</t>
  </si>
  <si>
    <t>大濠キンダーガーテン別注2</t>
  </si>
  <si>
    <t>2025/09/02 16:17:32</t>
  </si>
  <si>
    <t>14000</t>
  </si>
  <si>
    <t>ハグポン　藤崎教室</t>
  </si>
  <si>
    <t>ﾊｸﾞﾎﾟﾝ ﾌｼﾞｻｷｷｮｳｼﾂ</t>
  </si>
  <si>
    <t>ハグポン</t>
  </si>
  <si>
    <t>814-0011</t>
  </si>
  <si>
    <t>福岡市早良区高取1丁目1-22</t>
  </si>
  <si>
    <t>高取田中ビル1F</t>
  </si>
  <si>
    <t>092-831-0001</t>
  </si>
  <si>
    <t>2017/08/07 14:10:28</t>
  </si>
  <si>
    <t>14100</t>
  </si>
  <si>
    <t>まなび保育園</t>
  </si>
  <si>
    <t>ﾏﾅﾋﾞﾎｲｸｴﾝ</t>
  </si>
  <si>
    <t>福岡市南区大橋2-16-110号</t>
  </si>
  <si>
    <t>092-511-8760</t>
  </si>
  <si>
    <t>092-555-3673</t>
  </si>
  <si>
    <t>2016/03/28 9:18:08</t>
  </si>
  <si>
    <t>14102</t>
  </si>
  <si>
    <t>まなび保育園　先生用</t>
  </si>
  <si>
    <t>ﾏﾅﾋﾞﾎｲｸｴﾝ ｾﾝｾｲﾖｳ</t>
  </si>
  <si>
    <t>2016/06/09 16:11:01</t>
  </si>
  <si>
    <t>14200</t>
  </si>
  <si>
    <t>社会福祉法人大楠会　平野保育園</t>
  </si>
  <si>
    <t>ｼｬｶｲﾌｸｼﾎｳｼﾞﾝｵｵｸｽｶｲ ﾋﾗﾉﾎｲｸｴﾝ</t>
  </si>
  <si>
    <t>平野保育園</t>
  </si>
  <si>
    <t>816-0971</t>
  </si>
  <si>
    <t>福岡県大野城市牛頸4丁目7番20号</t>
  </si>
  <si>
    <t>092-596-6200</t>
  </si>
  <si>
    <t>092-596-1935</t>
  </si>
  <si>
    <t>2016/04/13 15:20:50</t>
  </si>
  <si>
    <t>14302</t>
  </si>
  <si>
    <t>ナーサリーライムスクール　職員用</t>
  </si>
  <si>
    <t>ﾅｰｻﾘｰﾗｲﾑｽｸｰﾙ ｼｮｸｲﾝﾖｳ</t>
  </si>
  <si>
    <t>ﾅｰｻﾘｰﾗｲﾑ</t>
  </si>
  <si>
    <t>福岡県福岡市早良区田村6丁目21-7</t>
  </si>
  <si>
    <t>2016/07/25 9:02:47</t>
  </si>
  <si>
    <t>14400</t>
  </si>
  <si>
    <t>弥永保育園</t>
  </si>
  <si>
    <t>ﾔﾅｶﾞﾎｲｸｴﾝ</t>
  </si>
  <si>
    <t>811-1322</t>
  </si>
  <si>
    <t>福岡市南区弥永団地31-1</t>
  </si>
  <si>
    <t>092-571-0337</t>
  </si>
  <si>
    <t>092-571-0523</t>
  </si>
  <si>
    <t>2019/02/25 15:58:28</t>
  </si>
  <si>
    <t>14500</t>
  </si>
  <si>
    <t>おーるはっぴぃ</t>
  </si>
  <si>
    <t>ｵｰﾙﾊｯﾋﾟｨ</t>
  </si>
  <si>
    <t>福岡市南区大橋1-1-17</t>
  </si>
  <si>
    <t>サンシャイン東602</t>
  </si>
  <si>
    <t>210-7615</t>
  </si>
  <si>
    <t>2018/03/20 10:09:55</t>
  </si>
  <si>
    <t>14502</t>
  </si>
  <si>
    <t>おーるはっぴぃ　先生用</t>
  </si>
  <si>
    <t>ｵｰﾙﾊｯﾋﾟｨ ｾﾝｾｲﾖｳ</t>
  </si>
  <si>
    <t>080-2780-2625</t>
  </si>
  <si>
    <t>2016/08/31 9:39:41</t>
  </si>
  <si>
    <t>14600</t>
  </si>
  <si>
    <t>田島保育園</t>
  </si>
  <si>
    <t>ﾀｼﾞﾏﾎｲｸｴﾝ</t>
  </si>
  <si>
    <t>814-0113</t>
  </si>
  <si>
    <t>福岡県福岡市城南区田島2-28</t>
  </si>
  <si>
    <t>092-822-4568</t>
  </si>
  <si>
    <t>092-822-4795</t>
  </si>
  <si>
    <t>2016/10/12 17:26:39</t>
  </si>
  <si>
    <t>ｱﾒﾘｶﾝﾁｬﾀｰﾎﾞｯｸｽ</t>
  </si>
  <si>
    <t>福岡市早良区百道浜1丁目</t>
  </si>
  <si>
    <t>3-70-5212</t>
  </si>
  <si>
    <t>092-847-6615</t>
  </si>
  <si>
    <t>092-847-6631</t>
  </si>
  <si>
    <t>2017/01/06 12:50:16</t>
  </si>
  <si>
    <t>14710</t>
  </si>
  <si>
    <t>アメリカンチャターボックス大名校</t>
  </si>
  <si>
    <t>ｱﾒﾘｶﾝﾁｬﾀｰﾎﾞｯｸｽﾀﾞｲﾐｮｳｺｳ</t>
  </si>
  <si>
    <t>アメリカンチャターボックス大名</t>
  </si>
  <si>
    <t>福岡市中央区大名2丁目6-53ガーデンシティ　テラス棟3階</t>
  </si>
  <si>
    <t>092-707-3181</t>
  </si>
  <si>
    <t>092-707-3182</t>
  </si>
  <si>
    <t>2024/01/29 15:04:19</t>
  </si>
  <si>
    <t>14720</t>
  </si>
  <si>
    <t>アメリカンチャターボックス浄水校</t>
  </si>
  <si>
    <t>ｱﾒﾘｶﾝﾁｬﾀｰﾎﾞｯｸｽｼﾞｮｳｽｲｺｳ</t>
  </si>
  <si>
    <t>アメリカンチャター浄水校</t>
  </si>
  <si>
    <t>810-0028</t>
  </si>
  <si>
    <t>福岡市中央区浄水通3-3浄水フラッツ401</t>
  </si>
  <si>
    <t>092-401-5577</t>
  </si>
  <si>
    <t>092-401-5578</t>
  </si>
  <si>
    <t>2025/09/02 16:17:51</t>
  </si>
  <si>
    <t>14800</t>
  </si>
  <si>
    <t>西新保育園</t>
  </si>
  <si>
    <t>ﾆｼｼﾞﾝﾎｲｸｴﾝ</t>
  </si>
  <si>
    <t>814-0004</t>
  </si>
  <si>
    <t>福岡市早良区曙1丁目3-26</t>
  </si>
  <si>
    <t>092-821-7969</t>
  </si>
  <si>
    <t>092-821-4209</t>
  </si>
  <si>
    <t>2016/10/19 16:41:05</t>
  </si>
  <si>
    <t>14900</t>
  </si>
  <si>
    <t>若久たんぽぽ保育園</t>
  </si>
  <si>
    <t>ﾜｶﾋｻﾀﾝﾎﾟﾎﾟﾎｲｸｴﾝ</t>
  </si>
  <si>
    <t>たんぽぽ保育園</t>
  </si>
  <si>
    <t>福岡市南区若久3丁目14-25</t>
  </si>
  <si>
    <t>092-562-4152</t>
  </si>
  <si>
    <t>2017/01/12 16:32:31</t>
  </si>
  <si>
    <t>15000</t>
  </si>
  <si>
    <t>博多みなみ保育園</t>
  </si>
  <si>
    <t>ﾊｶﾀﾐﾅﾐﾎｲｸｴﾝ</t>
  </si>
  <si>
    <t>811-1213</t>
  </si>
  <si>
    <t>福岡県那珂川市中原3-124　ラ・シュネガ1F1号室</t>
  </si>
  <si>
    <t>092-986-4431</t>
  </si>
  <si>
    <t>092-985-7631</t>
  </si>
  <si>
    <t>2022/03/24 11:07:37</t>
  </si>
  <si>
    <t>15010</t>
  </si>
  <si>
    <t>みなみの風保育園</t>
  </si>
  <si>
    <t>ﾐﾅﾐﾉｶｾﾞﾎｲｸｴﾝ</t>
  </si>
  <si>
    <t>福岡県那珂川市中原2-124　</t>
  </si>
  <si>
    <t>2023/11/15 16:49:12</t>
  </si>
  <si>
    <t>15100</t>
  </si>
  <si>
    <t>福岡朝鮮初級学校　附属幼稚園</t>
  </si>
  <si>
    <t>ﾌｸｵｶﾁｮｳｾﾝｼｮｷｭｳｶﾞｯｺｳﾌｿﾞｸﾖｳﾁｴﾝ</t>
  </si>
  <si>
    <t>朝鮮幼稚園</t>
  </si>
  <si>
    <t>811-0202</t>
  </si>
  <si>
    <t>福岡市東区和白5丁目17-1</t>
  </si>
  <si>
    <t>092-606-4611</t>
  </si>
  <si>
    <t>092-606-4612</t>
  </si>
  <si>
    <t>2025/09/02 16:20:02</t>
  </si>
  <si>
    <t>15101</t>
  </si>
  <si>
    <t>福岡朝鮮初級学校　附属幼稚園　別注</t>
  </si>
  <si>
    <t>ﾁｮｳｾﾝﾖｳﾁｴﾝ</t>
  </si>
  <si>
    <t>朝鮮幼稚園　別注</t>
  </si>
  <si>
    <t>2025/09/02 16:20:33</t>
  </si>
  <si>
    <t>15102</t>
  </si>
  <si>
    <t>福岡朝鮮初級学校</t>
  </si>
  <si>
    <t>ﾌｸｵｶﾁｮｳｾﾝｼｮｷｭｳｶﾞｯｺｳ</t>
  </si>
  <si>
    <t>朝鮮幼稚園　小学校</t>
  </si>
  <si>
    <t>2025/09/02 16:20:48</t>
  </si>
  <si>
    <t>15200</t>
  </si>
  <si>
    <t>油山幼稚園</t>
  </si>
  <si>
    <t>ｱﾌﾞﾗﾔﾏﾖｳﾁｴﾝ</t>
  </si>
  <si>
    <t>814-0155</t>
  </si>
  <si>
    <t>福岡県福岡市城南区東油山４丁目3-13</t>
  </si>
  <si>
    <t>092-863-6221</t>
  </si>
  <si>
    <t>092-863-6222</t>
  </si>
  <si>
    <t>2017/07/05 12:57:20</t>
  </si>
  <si>
    <t>15201</t>
  </si>
  <si>
    <t>油山幼稚園　別注</t>
  </si>
  <si>
    <t>ｱﾌﾞﾗﾔﾏﾖｳﾁｴﾝ ﾍﾞﾂﾁｭｳ</t>
  </si>
  <si>
    <t>油山幼稚園（別注）</t>
  </si>
  <si>
    <t>2018/06/22 19:21:17</t>
  </si>
  <si>
    <t>15300</t>
  </si>
  <si>
    <t>長丘幼稚園</t>
  </si>
  <si>
    <t>ﾅｶﾞｵｶﾖｳﾁｴﾝ</t>
  </si>
  <si>
    <t>福岡市南区長丘2-23-10</t>
  </si>
  <si>
    <t>092-511-1550</t>
  </si>
  <si>
    <t>092-511-1593</t>
  </si>
  <si>
    <t>2017/09/16 9:31:07</t>
  </si>
  <si>
    <t>15400</t>
  </si>
  <si>
    <t>すみれ保育園</t>
  </si>
  <si>
    <t>ｽﾐﾚﾎｲｸｴﾝ</t>
  </si>
  <si>
    <t>814-0134</t>
  </si>
  <si>
    <t>福岡市城南区飯倉1丁目10-18</t>
  </si>
  <si>
    <t>092-831-0729</t>
  </si>
  <si>
    <t>092-831-0732</t>
  </si>
  <si>
    <t>2018/01/05 11:19:09</t>
  </si>
  <si>
    <t>15500</t>
  </si>
  <si>
    <t>社会福祉法人　松月保育園</t>
  </si>
  <si>
    <t>ｼｬｶｲﾌｸｼﾎｳｼﾞﾝｼｮｳｹﾞﾂﾎｲｸｴﾝ</t>
  </si>
  <si>
    <t>松月保育園</t>
  </si>
  <si>
    <t>福岡市博多区住吉4-16-7</t>
  </si>
  <si>
    <t>092-441-4570</t>
  </si>
  <si>
    <t>2018/02/14 15:00:27</t>
  </si>
  <si>
    <t>15600</t>
  </si>
  <si>
    <t>ちゃれんじくらぶ</t>
  </si>
  <si>
    <t>ﾁｬﾚﾝｼﾞｸﾗﾌﾞ</t>
  </si>
  <si>
    <t>福岡県春日市昇町</t>
  </si>
  <si>
    <t>3-196-1F</t>
  </si>
  <si>
    <t>050-3134-5234</t>
  </si>
  <si>
    <t>2018/07/17 16:15:42</t>
  </si>
  <si>
    <t>15700</t>
  </si>
  <si>
    <t>BeePopインターナショナルキンダーガーテン</t>
  </si>
  <si>
    <t>BeePopｲﾝﾀｰﾅｼｮﾅﾙｷﾝﾀﾞｰｶﾞｰﾃﾝ</t>
  </si>
  <si>
    <t>BeePopキンダーガーテン</t>
  </si>
  <si>
    <t>福岡県福岡市東区名島3丁目51-21</t>
  </si>
  <si>
    <t>クリスタル＆リゾートスカイプレミア１F</t>
  </si>
  <si>
    <t>092-672-6371</t>
  </si>
  <si>
    <t>2023/04/22 11:04:14</t>
  </si>
  <si>
    <t>15701</t>
  </si>
  <si>
    <t>名島BeePop保育園　別注</t>
  </si>
  <si>
    <t xml:space="preserve">ﾅｼﾞﾏﾋﾞｰﾎﾟｯﾌﾟﾎｲｸｴﾝﾍﾞｯﾁｭｳ </t>
  </si>
  <si>
    <t>名島BeePop①</t>
  </si>
  <si>
    <t>2020/02/25 16:14:08</t>
  </si>
  <si>
    <t>15702</t>
  </si>
  <si>
    <t>BeePopインターナショナルプリスクール</t>
  </si>
  <si>
    <t>BeePopｲﾝﾀｰﾅｼｮﾅﾙﾌﾟﾘｽｸｰﾙ</t>
  </si>
  <si>
    <t>BeePopｲﾝﾀｰﾅｼｮﾅﾙﾌﾟﾘｽｸ</t>
  </si>
  <si>
    <t>福岡県福岡市東区名島2丁目25-1</t>
  </si>
  <si>
    <t>092-682-8072</t>
  </si>
  <si>
    <t>092-985-4392</t>
  </si>
  <si>
    <t>30011</t>
  </si>
  <si>
    <t>2021/06/21 15:35:42</t>
  </si>
  <si>
    <t>15703</t>
  </si>
  <si>
    <t>2019/12/27 15:02:48</t>
  </si>
  <si>
    <t>15704</t>
  </si>
  <si>
    <t>BeePopＥｎｇｌｉｓｈ　千早校</t>
  </si>
  <si>
    <t>BeePopEnglish ﾁﾊﾔｺｳ</t>
  </si>
  <si>
    <t>BeePopEnglish　千早</t>
  </si>
  <si>
    <t>2021/03/25 15:31:35</t>
  </si>
  <si>
    <t>15705</t>
  </si>
  <si>
    <t>BeePopＥｎｇｌｉｓｈ　今宿校</t>
  </si>
  <si>
    <t>BeePopEnglish ｲﾏｼﾞｭｸｺｳ</t>
  </si>
  <si>
    <t>BeePopEnglish　今宿校</t>
  </si>
  <si>
    <t>2021/03/24 9:37:09</t>
  </si>
  <si>
    <t>15800</t>
  </si>
  <si>
    <t>筑紫野市立山家幼稚園</t>
  </si>
  <si>
    <t>ﾁｸｼﾉｼﾘﾂﾔﾏｴﾖｳﾁｴﾝ</t>
  </si>
  <si>
    <t>山家幼稚園</t>
  </si>
  <si>
    <t>818-0003</t>
  </si>
  <si>
    <t>福岡県筑紫野市大字山家4341番地</t>
  </si>
  <si>
    <t>092-926-1283</t>
  </si>
  <si>
    <t>2018/10/24 16:12:03</t>
  </si>
  <si>
    <t>15801</t>
  </si>
  <si>
    <t>2019/02/27 11:39:16</t>
  </si>
  <si>
    <t>15802</t>
  </si>
  <si>
    <t>筑紫野市立山家幼稚園　先生</t>
  </si>
  <si>
    <t>ﾁｸｼﾉｼﾘﾂﾔﾏｴﾖｳﾁｴﾝ ｾﾝｾｲ</t>
  </si>
  <si>
    <t>2019/05/08 13:22:13</t>
  </si>
  <si>
    <t>15900</t>
  </si>
  <si>
    <t>ミニーズ</t>
  </si>
  <si>
    <t>ﾐﾆｰｽﾞ</t>
  </si>
  <si>
    <t>2018/12/21 15:47:37</t>
  </si>
  <si>
    <t>16000</t>
  </si>
  <si>
    <t>合同会社　フレックス（ハーモニー）</t>
  </si>
  <si>
    <t>ｺﾞｳﾄﾞｳｶｲｼｬ ﾌﾚｯｸｽ(ﾊｰﾓﾆｰ)</t>
  </si>
  <si>
    <t>フレックス（ハーモニー）</t>
  </si>
  <si>
    <t>大野城市南ヶ丘5丁目8-1</t>
  </si>
  <si>
    <t>092-287-1436</t>
  </si>
  <si>
    <t>092-287-2036</t>
  </si>
  <si>
    <t>2019/01/29 12:30:52</t>
  </si>
  <si>
    <t>16100</t>
  </si>
  <si>
    <t>社会福祉法人　田隈会　若杉保育園</t>
  </si>
  <si>
    <t>ｼｬｶｲﾌｸｼﾎｳｼﾞﾝ ﾀｸﾞﾏｸﾏｶｲ ﾜｶｽｷﾞﾎｲｸ</t>
  </si>
  <si>
    <t>若杉保育園</t>
  </si>
  <si>
    <t>8140163</t>
  </si>
  <si>
    <t>福岡市早良区干隈5丁目23-27</t>
  </si>
  <si>
    <t>092-861-0470</t>
  </si>
  <si>
    <t>2023/02/08 7:00:51</t>
  </si>
  <si>
    <t>16200</t>
  </si>
  <si>
    <t>みんなの保育園</t>
  </si>
  <si>
    <t>ﾐﾝﾅﾉﾎｲｸｴﾝ</t>
  </si>
  <si>
    <t>那珂川市中原2-156</t>
  </si>
  <si>
    <t>092-951-2300</t>
  </si>
  <si>
    <t>2019/09/02 14:45:16</t>
  </si>
  <si>
    <t>ｽﾏｲﾙｷｯｽﾞ</t>
  </si>
  <si>
    <t>福岡県福岡市博多区住吉5-18-7</t>
  </si>
  <si>
    <t>第２山城ビル２F</t>
  </si>
  <si>
    <t>092-409-6032</t>
  </si>
  <si>
    <t>2025/09/02 16:20:59</t>
  </si>
  <si>
    <t>16302</t>
  </si>
  <si>
    <t>スマイルキッズ　別注</t>
  </si>
  <si>
    <t>ｽﾏｲﾙｷｯｽﾞ ﾍﾞｯﾁｭｳ</t>
  </si>
  <si>
    <t>2025/09/02 16:21:10</t>
  </si>
  <si>
    <t>16400</t>
  </si>
  <si>
    <t>ラビキッズワールド　はかた保育園</t>
  </si>
  <si>
    <t>ﾗﾋﾞｷｯｽﾞﾜｰﾙﾄﾞ ﾊｶﾀﾎｲｸｴﾝ</t>
  </si>
  <si>
    <t>ラビｷｯｽﾞﾜｰﾙﾄﾞ</t>
  </si>
  <si>
    <t>812-0025</t>
  </si>
  <si>
    <t>福岡市博多区店屋町1-35　</t>
  </si>
  <si>
    <t>博多三井ビル2号館2Ｆ</t>
  </si>
  <si>
    <t>092-263-5201</t>
  </si>
  <si>
    <t>092-263-5202</t>
  </si>
  <si>
    <t>2020/02/18 13:31:13</t>
  </si>
  <si>
    <t>16500</t>
  </si>
  <si>
    <t>博多の森保育園</t>
  </si>
  <si>
    <t>ﾊｶﾀﾉﾓﾘﾎｲｸｴﾝ</t>
  </si>
  <si>
    <t>811-2232</t>
  </si>
  <si>
    <t>福岡県糟屋郡志免町別府西2-23-25</t>
  </si>
  <si>
    <t>092-937-2673</t>
  </si>
  <si>
    <t>2020/04/30 11:27:08</t>
  </si>
  <si>
    <t>16600</t>
  </si>
  <si>
    <t>学校法人　大原幼稚園</t>
  </si>
  <si>
    <t>ｶﾞｯｺｳﾎｳｼﾞﾝ ｵｵﾊﾗﾖｳﾁｴﾝ</t>
  </si>
  <si>
    <t>大原幼稚園</t>
  </si>
  <si>
    <t>814-0023</t>
  </si>
  <si>
    <t>福岡市早良区原団地1-1</t>
  </si>
  <si>
    <t>092-831-4157</t>
  </si>
  <si>
    <t>092-831-5168</t>
  </si>
  <si>
    <t>2023/04/22 11:05:39</t>
  </si>
  <si>
    <t>16602</t>
  </si>
  <si>
    <t>学校法人　大原幼稚園　ちびっこクラブ</t>
  </si>
  <si>
    <t>ｶﾞｯｺｳﾎｳｼﾞﾝ ｵｵﾊﾗﾖｳﾁｴﾝ ﾁﾋﾞｯｺｸﾗﾌﾞ</t>
  </si>
  <si>
    <t>大原幼稚園　ちびっこクラブ</t>
  </si>
  <si>
    <t>2021/03/23 9:13:36</t>
  </si>
  <si>
    <t>16700</t>
  </si>
  <si>
    <t>光應寺保育園</t>
  </si>
  <si>
    <t>ｺｳｵｳｼﾞﾎｲｸｴﾝ</t>
  </si>
  <si>
    <t>812-0017</t>
  </si>
  <si>
    <t>福岡市博多区美野島2丁目6-31</t>
  </si>
  <si>
    <t>092-441-9715</t>
  </si>
  <si>
    <t>2020/09/09 9:05:21</t>
  </si>
  <si>
    <t>学校法人清光学園　宝幼稚園</t>
  </si>
  <si>
    <t>ﾀｶﾗ</t>
  </si>
  <si>
    <t>816-0807</t>
  </si>
  <si>
    <t>福岡県春日市宝町4-14-1</t>
  </si>
  <si>
    <t>092-591-2414</t>
  </si>
  <si>
    <t>092-591-2415</t>
  </si>
  <si>
    <t>2021/06/14 10:51:42</t>
  </si>
  <si>
    <t>16900</t>
  </si>
  <si>
    <t>社会福祉法人　ゆりの会　あさひ保育園</t>
  </si>
  <si>
    <t>ｱｻﾋﾎｲｸ</t>
  </si>
  <si>
    <t>あさひ保育園</t>
  </si>
  <si>
    <t>814-0144</t>
  </si>
  <si>
    <t>福岡市城南区梅林4丁目5-27</t>
  </si>
  <si>
    <t>092-874-2388</t>
  </si>
  <si>
    <t>2022/01/21 13:35:42</t>
  </si>
  <si>
    <t>17000</t>
  </si>
  <si>
    <t>飯塚らいむ保育園</t>
  </si>
  <si>
    <t>ｲｲｽﾞｶﾗｲﾑﾎｲｸｴﾝ</t>
  </si>
  <si>
    <t>820-0001</t>
  </si>
  <si>
    <t>福岡県飯塚市鯰田2425-207</t>
  </si>
  <si>
    <t>0948-25-6266</t>
  </si>
  <si>
    <t>2022/02/09 11:27:47</t>
  </si>
  <si>
    <t>17100</t>
  </si>
  <si>
    <t>恵美保育園</t>
  </si>
  <si>
    <t>ｴﾐﾎｲｸｴﾝ</t>
  </si>
  <si>
    <t>福岡県福岡市南区大橋2丁目23-20</t>
  </si>
  <si>
    <t>092-551-2548</t>
  </si>
  <si>
    <t>2022/04/27 9:22:13</t>
  </si>
  <si>
    <t>17200</t>
  </si>
  <si>
    <t>南片江保育園</t>
  </si>
  <si>
    <t>ﾐﾅﾐｶﾀｴﾎｲｸｴﾝ</t>
  </si>
  <si>
    <t>814-0143</t>
  </si>
  <si>
    <t>福岡県福岡市城南区南片江</t>
  </si>
  <si>
    <t>6-11-7</t>
  </si>
  <si>
    <t>092-407-1885</t>
  </si>
  <si>
    <t>2022/06/01 14:20:24</t>
  </si>
  <si>
    <t>17300</t>
  </si>
  <si>
    <t>粕屋わかば保育園</t>
  </si>
  <si>
    <t>ｶｽﾔ ﾜｶﾊﾞﾎｲｸｴﾝ</t>
  </si>
  <si>
    <t>811-2310</t>
  </si>
  <si>
    <t>福岡県粕屋郡粕屋町花ヶ浦1丁目6-1</t>
  </si>
  <si>
    <t>092-939-6111</t>
  </si>
  <si>
    <t>092-939-6115</t>
  </si>
  <si>
    <t>2025/09/08 11:31:57</t>
  </si>
  <si>
    <t>17400</t>
  </si>
  <si>
    <t>学校法人福岡幼児学園　紅葉幼稚園</t>
  </si>
  <si>
    <t>ﾓﾐｼﾞﾖｳﾁｴﾝ</t>
  </si>
  <si>
    <t>紅葉幼稚園</t>
  </si>
  <si>
    <t>福岡県福岡市早良区田村6-21-7</t>
  </si>
  <si>
    <t>092-801-7916</t>
  </si>
  <si>
    <t>2022/07/07 12:06:39</t>
  </si>
  <si>
    <t>17402</t>
  </si>
  <si>
    <t>紅葉幼稚園　　（外税）</t>
  </si>
  <si>
    <t>2025/09/30 16:08:23</t>
  </si>
  <si>
    <t>17500</t>
  </si>
  <si>
    <t>日の里西保育園</t>
  </si>
  <si>
    <t>ﾋﾉｻﾄﾆｼﾎｲｸｴﾝ</t>
  </si>
  <si>
    <t>福岡県宗像市日の里9丁目12-1</t>
  </si>
  <si>
    <t>0940-37-2078</t>
  </si>
  <si>
    <t>0940-36-5132</t>
  </si>
  <si>
    <t>2022/08/01 14:10:13</t>
  </si>
  <si>
    <t>ｼｬｲﾝｽﾀｰｷｯｽﾞ</t>
  </si>
  <si>
    <t>811-2246</t>
  </si>
  <si>
    <t>福岡県糟屋郡志免町志免451-1</t>
  </si>
  <si>
    <t>092-936-5510</t>
  </si>
  <si>
    <t>2024/11/22 12:44:03</t>
  </si>
  <si>
    <t>17700</t>
  </si>
  <si>
    <t>恵愛保育園</t>
  </si>
  <si>
    <t>811-4143</t>
  </si>
  <si>
    <t>福岡県宗像市三郎丸1丁目11-28</t>
  </si>
  <si>
    <t>0940-32-3265</t>
  </si>
  <si>
    <t>0940-35-3992</t>
  </si>
  <si>
    <t>2024/07/05 11:03:19</t>
  </si>
  <si>
    <t>17702</t>
  </si>
  <si>
    <t>恵愛保育園　先生用</t>
  </si>
  <si>
    <t>ｹｲｱｲﾎｲｸｴﾝ ｾﾝｾｲﾖｳ</t>
  </si>
  <si>
    <t>恵愛保育園　先生</t>
  </si>
  <si>
    <t>2025/09/02 16:21:43</t>
  </si>
  <si>
    <t>17800</t>
  </si>
  <si>
    <t>花畑ガーデン保育園</t>
  </si>
  <si>
    <t>ﾊﾅﾊﾀｶﾞｰﾃﾞﾝﾎｲｸｴﾝ</t>
  </si>
  <si>
    <t>811-1356</t>
  </si>
  <si>
    <t>福岡市南区花畑4丁目9-25</t>
  </si>
  <si>
    <t>092-981-1704</t>
  </si>
  <si>
    <t>2022/08/29 11:10:23</t>
  </si>
  <si>
    <t>17900</t>
  </si>
  <si>
    <t>福岡東子ども発達センターさくら園</t>
  </si>
  <si>
    <t>ﾌｸｵｶﾋｶﾞｼｺﾄﾞﾓﾊｯﾀﾂｾﾝﾀｰ ｻｸﾗｴﾝ</t>
  </si>
  <si>
    <t>さくら園</t>
  </si>
  <si>
    <t>811-0206</t>
  </si>
  <si>
    <t>福岡市東区雁の巣1丁目6-10</t>
  </si>
  <si>
    <t>092-692-5987</t>
  </si>
  <si>
    <t>092-692-5988</t>
  </si>
  <si>
    <t>2022/12/01 14:50:56</t>
  </si>
  <si>
    <t>18000</t>
  </si>
  <si>
    <t>こゆ保育園</t>
  </si>
  <si>
    <t>ｺﾕﾎｲｸｴﾝ</t>
  </si>
  <si>
    <t>816-0941</t>
  </si>
  <si>
    <t>福岡県大野城市東大利1-7-10</t>
  </si>
  <si>
    <t>092-286-9217</t>
  </si>
  <si>
    <t>2022/11/25 9:49:53</t>
  </si>
  <si>
    <t>18100</t>
  </si>
  <si>
    <t>アース保育園　六本松</t>
  </si>
  <si>
    <t>ｱｰｽﾎｲｸｴﾝ ﾛｯﾎﾟﾝﾏﾂ</t>
  </si>
  <si>
    <t>アース保育園</t>
  </si>
  <si>
    <t>福岡市中央区六本松2丁目</t>
  </si>
  <si>
    <t>12-25　1F</t>
  </si>
  <si>
    <t>092-715-2666</t>
  </si>
  <si>
    <t>2022/12/26 10:40:12</t>
  </si>
  <si>
    <t>18200</t>
  </si>
  <si>
    <t>しいのみ学園</t>
  </si>
  <si>
    <t>ｼｲﾉﾐｶﾞｸｴﾝ</t>
  </si>
  <si>
    <t>811-1302</t>
  </si>
  <si>
    <t>福岡市南区井尻1丁目37-12</t>
  </si>
  <si>
    <t>092-572-7519</t>
  </si>
  <si>
    <t>2025/09/08 11:31:30</t>
  </si>
  <si>
    <t>18300</t>
  </si>
  <si>
    <t>カトリック光丘幼稚園</t>
  </si>
  <si>
    <t>ｶﾄﾘｯｸﾋｶﾘｶﾞｵｶﾖｳﾁｴﾝ</t>
  </si>
  <si>
    <t>カトリック光丘</t>
  </si>
  <si>
    <t>812-0874</t>
  </si>
  <si>
    <t>福岡市博多区光丘町2-1-25</t>
  </si>
  <si>
    <t>0925732231</t>
  </si>
  <si>
    <t>092-573-8130</t>
  </si>
  <si>
    <t>2023/04/03 15:41:15</t>
  </si>
  <si>
    <t>18301</t>
  </si>
  <si>
    <t>カトリック光丘幼稚園（別注）</t>
  </si>
  <si>
    <t>ｶﾄﾘｯｸﾋｶﾘｶﾞｵｶﾖｳﾁｴﾝ()ﾍﾞｯﾁｭｳ</t>
  </si>
  <si>
    <t>092-581-0570</t>
  </si>
  <si>
    <t>2023/02/27 10:24:10</t>
  </si>
  <si>
    <t>18400</t>
  </si>
  <si>
    <t>福岡中央保育園</t>
  </si>
  <si>
    <t>ﾌｸｵｶﾁｭｳｵｳﾎｲｸｴﾝ</t>
  </si>
  <si>
    <t>810-0003</t>
  </si>
  <si>
    <t>福岡市中央区春吉3丁目26-19</t>
  </si>
  <si>
    <t>092-739-7070</t>
  </si>
  <si>
    <t>2023/04/26 13:59:55</t>
  </si>
  <si>
    <t>ｺﾄﾊﾞﾉﾓﾘﾌﾟﾘｽｸｰﾙ</t>
  </si>
  <si>
    <t>福岡市博多区山王2-12-21</t>
  </si>
  <si>
    <t>092-292-2304</t>
  </si>
  <si>
    <t>2025/09/08 11:34:27</t>
  </si>
  <si>
    <t>ｼﾝｷﾝｸﾞｷｯｽﾞ</t>
  </si>
  <si>
    <t>福岡市東区香椎照葉3-2-5　2階</t>
  </si>
  <si>
    <t>092-673-0783</t>
  </si>
  <si>
    <t>092-692-4692</t>
  </si>
  <si>
    <t>2025/09/30 14:23:33</t>
  </si>
  <si>
    <t>18700</t>
  </si>
  <si>
    <t>はばたく保育園</t>
  </si>
  <si>
    <t>ﾊﾊﾞﾀｸﾎｲｸｴﾝ</t>
  </si>
  <si>
    <t>815-0031</t>
  </si>
  <si>
    <t>福岡市南区清水2丁目7-7</t>
  </si>
  <si>
    <t>092-552-8837</t>
  </si>
  <si>
    <t>2025/09/08 11:34:40</t>
  </si>
  <si>
    <t>18800</t>
  </si>
  <si>
    <t>浄水通り幼児園</t>
  </si>
  <si>
    <t>ｼﾞｮｳｽｲﾄﾞｵﾘﾖｳｼﾞｴﾝ</t>
  </si>
  <si>
    <t>810-0029</t>
  </si>
  <si>
    <t>福岡市中央区浄水町4-26</t>
  </si>
  <si>
    <t>092-523-4456</t>
  </si>
  <si>
    <t>2023/03/01 15:19:55</t>
  </si>
  <si>
    <t>サンシャインイングリッシュスクール</t>
  </si>
  <si>
    <t>ｻﾝｼｬｲﾝｲﾝｸﾞﾘｯｼｭｽｸｰﾙ</t>
  </si>
  <si>
    <t>福岡市南区長住2-22-12　おとぎビル2F</t>
  </si>
  <si>
    <t>092-231-9083</t>
  </si>
  <si>
    <t>2025/09/02 16:23:01</t>
  </si>
  <si>
    <t>19000</t>
  </si>
  <si>
    <t>レバノン幼稚園</t>
  </si>
  <si>
    <t>ﾚﾊﾞﾉﾝﾖｳﾁｴﾝ</t>
  </si>
  <si>
    <t>812-0873</t>
  </si>
  <si>
    <t>福岡市博多区西春町</t>
  </si>
  <si>
    <t>1丁目1番37号</t>
  </si>
  <si>
    <t>092-581-0528</t>
  </si>
  <si>
    <t>092-581-0055</t>
  </si>
  <si>
    <t>2023/06/20 13:27:56</t>
  </si>
  <si>
    <t>19001</t>
  </si>
  <si>
    <t>レバノン幼稚園　別注</t>
  </si>
  <si>
    <t>ﾚﾊﾞﾉﾝﾖｳﾁｴﾝ ﾍﾞｯﾁｭｳ</t>
  </si>
  <si>
    <t>2023/07/12 10:50:40</t>
  </si>
  <si>
    <t>コーナーズインターナショナルスクール</t>
  </si>
  <si>
    <t>ｺｰﾅｰｽﾞｲﾝﾀｰﾅｼｮﾅﾙｽｸｰﾙ</t>
  </si>
  <si>
    <t>福岡市早良区百道浜3-9-33</t>
  </si>
  <si>
    <t>グランドメゾン百道浜オーシャン＆フォレスト１F</t>
  </si>
  <si>
    <t>092-834-8776</t>
  </si>
  <si>
    <t>092-400-6466</t>
  </si>
  <si>
    <t>2025/09/02 16:23:14</t>
  </si>
  <si>
    <t>19200</t>
  </si>
  <si>
    <t>学校法人淡窓学園　筑紫野幼稚園</t>
  </si>
  <si>
    <t>ﾁｸｼﾉﾖｳﾁｴﾝ</t>
  </si>
  <si>
    <t>筑紫野幼稚園</t>
  </si>
  <si>
    <t>818-0025</t>
  </si>
  <si>
    <t>福岡県筑紫野市筑紫626</t>
  </si>
  <si>
    <t>092-926-4976</t>
  </si>
  <si>
    <t>2023/07/11 13:29:05</t>
  </si>
  <si>
    <t>19300</t>
  </si>
  <si>
    <t>学校法人　筑紫野中央幼稚園</t>
  </si>
  <si>
    <t>ﾁｸｼﾉﾁｭｳｵｳﾖｳﾁｴﾝ</t>
  </si>
  <si>
    <t>筑紫野中央幼稚園</t>
  </si>
  <si>
    <t>福岡県筑紫野市上古賀3-13-1</t>
  </si>
  <si>
    <t>092-924-6909</t>
  </si>
  <si>
    <t>2023/07/11 13:30:57</t>
  </si>
  <si>
    <t>19400</t>
  </si>
  <si>
    <t>月隈小学校　学童</t>
  </si>
  <si>
    <t>ﾂｷｸﾞﾏｼｮｳｶﾞｯｺｳ ｶﾞ</t>
  </si>
  <si>
    <t>月隈小　学童</t>
  </si>
  <si>
    <t>2024/01/10 12:00:07</t>
  </si>
  <si>
    <t>19500</t>
  </si>
  <si>
    <t>さくら保育園</t>
  </si>
  <si>
    <t>ｻｸﾗﾎｲｸｴﾝ</t>
  </si>
  <si>
    <t>818-0064</t>
  </si>
  <si>
    <t>福岡県筑紫野市常松339-6</t>
  </si>
  <si>
    <t>092-926-6226</t>
  </si>
  <si>
    <t>2024/02/01 14:31:03</t>
  </si>
  <si>
    <t>19502</t>
  </si>
  <si>
    <t>2024/03/01 15:24:11</t>
  </si>
  <si>
    <t>19600</t>
  </si>
  <si>
    <t>みやたけ保育園</t>
  </si>
  <si>
    <t>ﾐﾔﾀｹﾎｲｸｴﾝ</t>
  </si>
  <si>
    <t>815-0004</t>
  </si>
  <si>
    <t>福岡市南区高木2-16-5</t>
  </si>
  <si>
    <t>092-572-4585</t>
  </si>
  <si>
    <t>092-572-4586</t>
  </si>
  <si>
    <t>2024/02/02 13:33:06</t>
  </si>
  <si>
    <t>ﾅﾅｲﾛｷｯｽﾞ</t>
  </si>
  <si>
    <t>811-3118</t>
  </si>
  <si>
    <t>古賀市新久保1-15-45</t>
  </si>
  <si>
    <t>092-692-7213</t>
  </si>
  <si>
    <t>092-692-7214</t>
  </si>
  <si>
    <t>2025/07/08 9:59:52</t>
  </si>
  <si>
    <t>19750</t>
  </si>
  <si>
    <t>放課後等ディサービス　バカンス</t>
  </si>
  <si>
    <t>ﾊﾞｶﾝｽ</t>
  </si>
  <si>
    <t>バカンス</t>
  </si>
  <si>
    <t>古賀市新久保1-15-44</t>
  </si>
  <si>
    <t>070-5078-3786</t>
  </si>
  <si>
    <t>2025/09/02 16:23:45</t>
  </si>
  <si>
    <t>児童発達支援事業所　すてっぷ</t>
  </si>
  <si>
    <t>ｼﾞﾄﾞｳﾊｯﾀﾂｼｴﾝｼﾞｷﾞｮｳｼｮ ｽﾃｯﾌﾟ</t>
  </si>
  <si>
    <t>816-0806</t>
  </si>
  <si>
    <t>春日市光町2-177-3</t>
  </si>
  <si>
    <t>092-284-5088</t>
  </si>
  <si>
    <t>2025/09/02 16:23:59</t>
  </si>
  <si>
    <t>19802</t>
  </si>
  <si>
    <t>児童発達支援事業所　すてっぷ　先生</t>
  </si>
  <si>
    <t>ｼﾞﾄﾞｳﾊｯﾀﾂｼｴﾝｼﾞｷﾞｮｳｼｮ ｽﾃｯﾌﾟ ｾﾝｾ</t>
  </si>
  <si>
    <t>すてっぷ　先生</t>
  </si>
  <si>
    <t>2024/09/04 15:57:49</t>
  </si>
  <si>
    <t>19900</t>
  </si>
  <si>
    <t>イーズィーピーズィーイングリッシュ保育園</t>
  </si>
  <si>
    <t>ｲｰｽﾞｨ</t>
  </si>
  <si>
    <t>イーズィピーズィーイングリッシ</t>
  </si>
  <si>
    <t>春日市天神山1-180</t>
  </si>
  <si>
    <t>092-575-6839</t>
  </si>
  <si>
    <t xml:space="preserve">ご担当者ウェブ様（080-6403-3936）
</t>
  </si>
  <si>
    <t>2025/09/10 14:13:05</t>
  </si>
  <si>
    <t>20000</t>
  </si>
  <si>
    <t>2017/09/20 14:06:47</t>
  </si>
  <si>
    <t>20100</t>
  </si>
  <si>
    <t>愛宕けいあい保育園</t>
  </si>
  <si>
    <t>ｱﾀｺﾞｹｲｱｲﾎｲｸｴﾝ</t>
  </si>
  <si>
    <t>819-0015</t>
  </si>
  <si>
    <t>福岡市西区愛宕4丁目2-28</t>
  </si>
  <si>
    <t>092-892-8925</t>
  </si>
  <si>
    <t>092-892-8927</t>
  </si>
  <si>
    <t>2024/07/31 16:01:57</t>
  </si>
  <si>
    <t>ｻﾗﾔﾏﾎｲｸｴﾝ</t>
  </si>
  <si>
    <t>811-1365</t>
  </si>
  <si>
    <t>福岡市南区皿山3丁目11-14</t>
  </si>
  <si>
    <t>キャッスル皿山１階</t>
  </si>
  <si>
    <t>092-555-4366</t>
  </si>
  <si>
    <t>2025/05/08 10:30:07</t>
  </si>
  <si>
    <t>20300</t>
  </si>
  <si>
    <t>クレシュ六本松</t>
  </si>
  <si>
    <t>ｸﾚｼｭﾛｯﾎﾟﾝﾏﾂ</t>
  </si>
  <si>
    <t>810-0045</t>
  </si>
  <si>
    <t>福岡市中央区草香江2丁目1</t>
  </si>
  <si>
    <t>092-716-7080</t>
  </si>
  <si>
    <t>092-716-7081</t>
  </si>
  <si>
    <t>2024/12/16 17:15:21</t>
  </si>
  <si>
    <t>20400</t>
  </si>
  <si>
    <t>アンクラス</t>
  </si>
  <si>
    <t>ｱﾝｸﾗｽ</t>
  </si>
  <si>
    <t>福岡県春日市日の出町2丁目27-205号</t>
  </si>
  <si>
    <t>092-791-2272</t>
  </si>
  <si>
    <t>2025/06/23 9:40:23</t>
  </si>
  <si>
    <t>20500</t>
  </si>
  <si>
    <t>学校法人　福岡聖マリア学園　二日市カトリック幼稚園</t>
  </si>
  <si>
    <t>ﾌﾂｶｲﾁｶﾄﾘｯｸﾖｳﾁｴﾝ</t>
  </si>
  <si>
    <t>二日市カトリック幼稚園</t>
  </si>
  <si>
    <t>福岡県太宰府市朱雀4丁目14-2</t>
  </si>
  <si>
    <t>092-924-5100</t>
  </si>
  <si>
    <t>092-915-5109</t>
  </si>
  <si>
    <t>2025/07/17 15:15:58</t>
  </si>
  <si>
    <t>20600</t>
  </si>
  <si>
    <t>こころ保育園</t>
  </si>
  <si>
    <t>ｺｺﾛﾎｲｸｴﾝ</t>
  </si>
  <si>
    <t>福岡県春日市須玖南5-12-1F</t>
  </si>
  <si>
    <t>092-558-8833</t>
  </si>
  <si>
    <t>264</t>
  </si>
  <si>
    <t>2025/09/09 9:27:27</t>
  </si>
  <si>
    <t>20700</t>
  </si>
  <si>
    <t>つるた保育園</t>
  </si>
  <si>
    <t>ﾂﾙﾀﾎｲｸｴﾝ</t>
  </si>
  <si>
    <t>811-1352</t>
  </si>
  <si>
    <t>福岡市南区鶴田3-1-7</t>
  </si>
  <si>
    <t>ビラ・コースト102号</t>
  </si>
  <si>
    <t>092-710-3316</t>
  </si>
  <si>
    <t>2025/09/22 11:00:40</t>
  </si>
  <si>
    <t>20702</t>
  </si>
  <si>
    <t>つるた保育園　先生</t>
  </si>
  <si>
    <t>ﾂﾙﾀﾎｲｸｴﾝ ｾﾝｾｲ</t>
  </si>
  <si>
    <t>8111352</t>
  </si>
  <si>
    <t>2025/10/09 11:52:45</t>
  </si>
  <si>
    <t>30000</t>
  </si>
  <si>
    <t>福岡セントラル　マリア</t>
  </si>
  <si>
    <t>ﾌｸｵｶｾﾝﾄﾗﾙ ﾏﾘｱ</t>
  </si>
  <si>
    <t>セントラル　マリア</t>
  </si>
  <si>
    <t>2017/09/20 13:34:14</t>
  </si>
  <si>
    <t>30001</t>
  </si>
  <si>
    <t>福岡セントラル　はこぶね</t>
  </si>
  <si>
    <t>ﾌｸｵｶｾﾝﾄﾗﾙ ﾊｺﾌﾞﾈ</t>
  </si>
  <si>
    <t>セントラル　はこぶね</t>
  </si>
  <si>
    <t>2017/12/04 9:43:48</t>
  </si>
  <si>
    <t>30002</t>
  </si>
  <si>
    <t>福岡セントラル　舞の里</t>
  </si>
  <si>
    <t>ﾌｸｵｶｾﾝﾄﾗﾙ ﾏｲﾉｻﾄ</t>
  </si>
  <si>
    <t>セントラル　舞の里</t>
  </si>
  <si>
    <t>2017/09/20 13:34:48</t>
  </si>
  <si>
    <t>福岡セントラル　春日やよい</t>
  </si>
  <si>
    <t>ﾌｸｵｶｾﾝﾄﾗﾙ ﾔﾖｲ</t>
  </si>
  <si>
    <t>セントラル　やよい</t>
  </si>
  <si>
    <t>2017/09/20 13:35:01</t>
  </si>
  <si>
    <t>福岡セントラル　筑紫野</t>
  </si>
  <si>
    <t>ﾌｸｵｶｾﾝﾄﾗﾙ ﾁｸｼﾉ</t>
  </si>
  <si>
    <t>セントラル　筑紫野</t>
  </si>
  <si>
    <t>2017/09/20 13:35:19</t>
  </si>
  <si>
    <t>セントラル　BeePop</t>
  </si>
  <si>
    <t>2019/03/25 15:44:50</t>
  </si>
  <si>
    <t>30006</t>
  </si>
  <si>
    <t>基山バディ認定こども園</t>
  </si>
  <si>
    <t>ｷﾔﾏﾊﾞﾃﾞｨﾆﾝﾃｲｺﾄﾞﾓｴﾝ</t>
  </si>
  <si>
    <t>2023/10/30 14:02:42</t>
  </si>
  <si>
    <t>30007</t>
  </si>
  <si>
    <t>福岡セントラル　ぶろっこりーの森</t>
  </si>
  <si>
    <t>ﾌｸｵｶｾﾝﾄﾗﾙ ﾌﾞﾛｯｺﾘｰﾉﾓﾘ</t>
  </si>
  <si>
    <t>セントラル　ぶろ森</t>
  </si>
  <si>
    <t>5896155</t>
  </si>
  <si>
    <t>5896156</t>
  </si>
  <si>
    <t>2024/05/01 10:17:40</t>
  </si>
  <si>
    <t>30008</t>
  </si>
  <si>
    <t>福岡セントラル　下白水保育園</t>
  </si>
  <si>
    <t>ﾌｸｵｶｾﾝﾄﾗﾙ ｼﾓｼﾛｳｽﾞﾎｲｸ</t>
  </si>
  <si>
    <t>セントラル　下白水</t>
  </si>
  <si>
    <t>2020/08/20 15:09:03</t>
  </si>
  <si>
    <t>30009</t>
  </si>
  <si>
    <t>スマイルぶろっこりー</t>
  </si>
  <si>
    <t>ｽﾏｲﾙﾌﾞﾛｯｺﾘｰ</t>
  </si>
  <si>
    <t>2022/05/23 13:56:55</t>
  </si>
  <si>
    <t>福岡セントラル　にじの森保育園</t>
  </si>
  <si>
    <t>ﾆｼﾞﾉﾓﾘﾎｲｸｴﾝ</t>
  </si>
  <si>
    <t>セントラル　にじの森</t>
  </si>
  <si>
    <t>春日氏昇町4丁目79</t>
  </si>
  <si>
    <t>092-592-9300</t>
  </si>
  <si>
    <t>2025/09/08 11:36:41</t>
  </si>
  <si>
    <t>福岡セントラル　博多東幼稚園</t>
  </si>
  <si>
    <t>ﾊｶﾀﾋｶﾞｼﾖｳﾁｴﾝ</t>
  </si>
  <si>
    <t>セントラル　博多東</t>
  </si>
  <si>
    <t>2023/04/11 16:54:16</t>
  </si>
  <si>
    <t>30012</t>
  </si>
  <si>
    <t>あいくる保育園</t>
  </si>
  <si>
    <t>ｱｲｸﾙﾎｲｸｴﾝ</t>
  </si>
  <si>
    <t>811-1323</t>
  </si>
  <si>
    <t>福岡市南区弥永3-3-1</t>
  </si>
  <si>
    <t>092-588-0004</t>
  </si>
  <si>
    <t>2025/09/08 11:31:04</t>
  </si>
  <si>
    <t>30013</t>
  </si>
  <si>
    <t>福岡セントラル　ふくろうの森保育園</t>
  </si>
  <si>
    <t xml:space="preserve">ﾌｸﾛｳﾉﾓﾘﾎｲｸｴﾝ </t>
  </si>
  <si>
    <t>セントラル　ふくろうの森</t>
  </si>
  <si>
    <t>那珂川市中原2-124-2Fオーデブラン博多南</t>
  </si>
  <si>
    <t>092-953-7800</t>
  </si>
  <si>
    <t>2025/09/08 11:31:14</t>
  </si>
  <si>
    <t>30014</t>
  </si>
  <si>
    <t>福岡セントラル　バディ博多南</t>
  </si>
  <si>
    <t>ｾﾝﾄﾗﾙ ﾊﾞﾃﾞｨﾊｶﾀﾐﾅﾐﾌｸｵｶ</t>
  </si>
  <si>
    <t>セントラル　バディ博多南</t>
  </si>
  <si>
    <t>2024/03/19 17:27:10</t>
  </si>
  <si>
    <t>30020</t>
  </si>
  <si>
    <t>内浜保育園</t>
  </si>
  <si>
    <t>ｳﾁﾊﾏﾎｲｸｴﾝ</t>
  </si>
  <si>
    <t>819-0001</t>
  </si>
  <si>
    <t>福岡市西区小戸4丁目13-10</t>
  </si>
  <si>
    <t>092-881-3037</t>
  </si>
  <si>
    <t>092-894-2992</t>
  </si>
  <si>
    <t>2023/12/15 18:00:19</t>
  </si>
  <si>
    <t>学校法人　清洋学園　泉ヶ丘幼稚園</t>
  </si>
  <si>
    <t>ｶﾞｯｺｳﾎｳｼﾞﾝ ｾｲﾖｳｶﾞｸｴﾝ ｲｽﾞﾐｶﾞｵｶｹ</t>
  </si>
  <si>
    <t>泉ヶ丘幼稚園</t>
  </si>
  <si>
    <t>816-0853</t>
  </si>
  <si>
    <t>春日市泉2丁目2番</t>
  </si>
  <si>
    <t>092-574-4154</t>
  </si>
  <si>
    <t>092-574-4157</t>
  </si>
  <si>
    <t>2024/05/07 16:58:44</t>
  </si>
  <si>
    <t>30022</t>
  </si>
  <si>
    <t>泉ヶ丘幼稚園　ぺんぎん組</t>
  </si>
  <si>
    <t>ｲｽﾞﾐｶﾞｵｶﾖｳﾁｴﾝ ﾍﾟﾝｷﾞﾝｸﾐ</t>
  </si>
  <si>
    <t>泉ヶ丘幼稚園ぺんぎん組</t>
  </si>
  <si>
    <t>2024/05/10 9:30:09</t>
  </si>
  <si>
    <t>30023</t>
  </si>
  <si>
    <t>泉ヶ丘幼稚園　ホームクラス</t>
  </si>
  <si>
    <t>ｲｽﾞﾐｶﾞｵｶ ﾎｰﾑｸﾗｽ</t>
  </si>
  <si>
    <t>2024/06/18 11:50:27</t>
  </si>
  <si>
    <t>30024</t>
  </si>
  <si>
    <t>泉ヶ丘幼稚園　ホームクラス　先生</t>
  </si>
  <si>
    <t>ｲｽﾞﾐｶﾞｵｶ ﾎｰﾑｸﾗｽ ｾﾝｾｲ</t>
  </si>
  <si>
    <t>2024/06/18 11:50:43</t>
  </si>
  <si>
    <t>40000</t>
  </si>
  <si>
    <t>2024/07/18 12:04:16</t>
  </si>
  <si>
    <t>40050</t>
  </si>
  <si>
    <t>2024/07/17 17:28:57</t>
  </si>
  <si>
    <t>40100</t>
  </si>
  <si>
    <t>2024/10/29 14:24:40</t>
  </si>
  <si>
    <t>40102</t>
  </si>
  <si>
    <t>2024/07/17 17:31:21</t>
  </si>
  <si>
    <t>40103</t>
  </si>
  <si>
    <t>2024/07/17 17:31:53</t>
  </si>
  <si>
    <t>40104</t>
  </si>
  <si>
    <t>泉ヶ丘幼稚園　ホームクラス先生</t>
  </si>
  <si>
    <t>2025/07/15 10:28:16</t>
  </si>
  <si>
    <t>40150</t>
  </si>
  <si>
    <t>2025/09/10 13:53:33</t>
  </si>
  <si>
    <t>40152</t>
  </si>
  <si>
    <t>2024/07/17 17:33:26</t>
  </si>
  <si>
    <t>2024/07/17 17:33:45</t>
  </si>
  <si>
    <t>40201</t>
  </si>
  <si>
    <t>2024/07/17 17:34:12</t>
  </si>
  <si>
    <t>2024/07/17 17:34:33</t>
  </si>
  <si>
    <t>40300</t>
  </si>
  <si>
    <t>GREEN　HILLSほいくえん</t>
  </si>
  <si>
    <t>ｸﾞﾘｰﾝﾋﾙｽﾞﾎｲｸｴﾝS</t>
  </si>
  <si>
    <t>812-0893</t>
  </si>
  <si>
    <t>福岡市博多区那珂6丁目23-1ららぽーと4F</t>
  </si>
  <si>
    <t>092-586-6703</t>
  </si>
  <si>
    <t>2024/07/10 15:00:39</t>
  </si>
  <si>
    <t>2024/07/17 17:35:05</t>
  </si>
  <si>
    <t>40351</t>
  </si>
  <si>
    <t>2024/07/17 17:36:45</t>
  </si>
  <si>
    <t>福岡インターナショナルアイスクール幼稚園</t>
  </si>
  <si>
    <t>ｱｲｽｸｰﾙﾖｳﾁｴﾝ</t>
  </si>
  <si>
    <t>819-0041</t>
  </si>
  <si>
    <t>福岡市西区拾六町1丁目15-5</t>
  </si>
  <si>
    <t>092-892-8155</t>
  </si>
  <si>
    <t>092-892-8055</t>
  </si>
  <si>
    <t>2025/04/11 14:57:07</t>
  </si>
  <si>
    <t>40450</t>
  </si>
  <si>
    <t>恵星幼稚園</t>
  </si>
  <si>
    <t>ｹｲｾｲﾖｳﾁｴﾝ</t>
  </si>
  <si>
    <t>福岡県春日市春日原北町4丁目23番地</t>
  </si>
  <si>
    <t>092-501-7635</t>
  </si>
  <si>
    <t>092-501-7645</t>
  </si>
  <si>
    <t>2025/04/14 13:21:28</t>
  </si>
  <si>
    <t>40500</t>
  </si>
  <si>
    <t>一般社団法人　やまもも会　どんぐり保育園</t>
  </si>
  <si>
    <t>ｲｯﾊﾟﾝｼｬﾀﾞﾝﾎｳｼﾞﾝﾔﾏﾓﾓｶｲﾄﾞﾝｸﾞﾘﾎｲｸ</t>
  </si>
  <si>
    <t>どんぐり保育園</t>
  </si>
  <si>
    <t>那珂川市西隈1丁目10-16</t>
  </si>
  <si>
    <t>092-953-0655</t>
  </si>
  <si>
    <t>2025/03/15 16:05:15</t>
  </si>
  <si>
    <t>40550</t>
  </si>
  <si>
    <t>福岡市中央区草香江2丁目15-5</t>
  </si>
  <si>
    <t>2025/04/11 8:54:00</t>
  </si>
  <si>
    <t>40600</t>
  </si>
  <si>
    <t>いずみ幼稚園</t>
  </si>
  <si>
    <t>ｲｽﾞﾖｳﾁｴﾝ</t>
  </si>
  <si>
    <t>809-0022</t>
  </si>
  <si>
    <t>福岡市西区福重1-4-20</t>
  </si>
  <si>
    <t>092-881-1452</t>
  </si>
  <si>
    <t>2025/09/02 16:25:12</t>
  </si>
  <si>
    <t>40650</t>
  </si>
  <si>
    <t>くりのみ保育園</t>
  </si>
  <si>
    <t>ｸﾘﾉﾐﾎｲｸｴﾝ</t>
  </si>
  <si>
    <t>811-1201</t>
  </si>
  <si>
    <t>那珂川市片縄1丁目68</t>
  </si>
  <si>
    <t>092-953-5675</t>
  </si>
  <si>
    <t>2025/09/08 11:28:56</t>
  </si>
  <si>
    <t>オハナ保育園　長住</t>
  </si>
  <si>
    <t>ｵﾊﾅﾎｲｸｴﾝ ﾅｶﾞｽﾞﾐ</t>
  </si>
  <si>
    <t>福岡県南区長住3丁目70番</t>
  </si>
  <si>
    <t>092-984-3878</t>
  </si>
  <si>
    <t>2025/10/09 12:59:32</t>
  </si>
  <si>
    <t>オハナ保育園　春日</t>
  </si>
  <si>
    <t>ｵﾊﾅﾎｲｸｴﾝ ｶｽｶﾞ</t>
  </si>
  <si>
    <t>福岡県春日市下白水南3丁目101番</t>
  </si>
  <si>
    <t>092-985-4207</t>
  </si>
  <si>
    <t>2025/10/09 13:04:39</t>
  </si>
  <si>
    <t>オハナ保育園　一の谷</t>
  </si>
  <si>
    <t>ｵﾊﾅﾎｲｸｴﾝ ｲﾁﾉﾀﾆ</t>
  </si>
  <si>
    <t>816-0852</t>
  </si>
  <si>
    <t>福岡県春日市一の谷1丁目74番</t>
  </si>
  <si>
    <t>092-558-9841</t>
  </si>
  <si>
    <t>2025/10/09 13:23:15</t>
  </si>
  <si>
    <t>出力区分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</si>
</sst>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 "/>
    <numFmt numFmtId="177" formatCode="0&quot;箱&quot;"/>
  </numFmts>
  <fonts count="4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11"/>
      <color theme="0" tint="-4.9989318521683403E-2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4"/>
      <color theme="1"/>
      <name val="游ゴシック"/>
      <family val="2"/>
      <charset val="128"/>
      <scheme val="minor"/>
    </font>
    <font>
      <b/>
      <sz val="18"/>
      <name val="Arial Black"/>
      <family val="2"/>
    </font>
    <font>
      <b/>
      <sz val="28"/>
      <name val="Arial Black"/>
      <family val="2"/>
    </font>
    <font>
      <sz val="28"/>
      <color theme="1"/>
      <name val="Arial Black"/>
      <family val="2"/>
    </font>
    <font>
      <sz val="11"/>
      <color theme="0"/>
      <name val="游ゴシック"/>
      <family val="3"/>
      <charset val="128"/>
      <scheme val="minor"/>
    </font>
    <font>
      <sz val="14"/>
      <color theme="0"/>
      <name val="游ゴシック"/>
      <family val="2"/>
      <charset val="128"/>
      <scheme val="minor"/>
    </font>
    <font>
      <sz val="14"/>
      <color rgb="FFFF0000"/>
      <name val="游ゴシック"/>
      <family val="2"/>
      <charset val="128"/>
      <scheme val="minor"/>
    </font>
    <font>
      <sz val="4"/>
      <color theme="1"/>
      <name val="游ゴシック"/>
      <family val="2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2"/>
      <name val="游ゴシック"/>
      <family val="2"/>
      <charset val="128"/>
      <scheme val="minor"/>
    </font>
    <font>
      <sz val="14"/>
      <color theme="0"/>
      <name val="游ゴシック"/>
      <family val="3"/>
      <charset val="128"/>
      <scheme val="minor"/>
    </font>
    <font>
      <b/>
      <sz val="28"/>
      <color theme="1"/>
      <name val="Arial Black"/>
      <family val="2"/>
    </font>
    <font>
      <sz val="14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11"/>
      <color rgb="FFFF0000"/>
      <name val="游ゴシック"/>
      <family val="3"/>
      <charset val="128"/>
      <scheme val="minor"/>
    </font>
    <font>
      <sz val="12"/>
      <color theme="1"/>
      <name val="UD デジタル 教科書体 NK"/>
      <family val="1"/>
      <charset val="128"/>
    </font>
    <font>
      <sz val="12"/>
      <color rgb="FFFF0000"/>
      <name val="UD デジタル 教科書体 NK"/>
      <family val="1"/>
      <charset val="128"/>
    </font>
    <font>
      <sz val="12"/>
      <color theme="1"/>
      <name val="Arial Black"/>
      <family val="2"/>
    </font>
    <font>
      <b/>
      <sz val="12"/>
      <color theme="1"/>
      <name val="Arial Black"/>
      <family val="2"/>
    </font>
    <font>
      <sz val="12"/>
      <color rgb="FFFF0000"/>
      <name val="Arial Black"/>
      <family val="2"/>
    </font>
    <font>
      <b/>
      <sz val="12"/>
      <color rgb="FFFF0000"/>
      <name val="Arial Black"/>
      <family val="2"/>
    </font>
    <font>
      <sz val="12"/>
      <color theme="0"/>
      <name val="Arial Black"/>
      <family val="2"/>
    </font>
    <font>
      <sz val="16"/>
      <name val="HGP創英角ｺﾞｼｯｸUB"/>
      <family val="3"/>
      <charset val="128"/>
    </font>
    <font>
      <sz val="12"/>
      <color theme="1"/>
      <name val="HGP創英角ｺﾞｼｯｸUB"/>
      <family val="3"/>
      <charset val="128"/>
    </font>
    <font>
      <b/>
      <sz val="12"/>
      <color theme="1"/>
      <name val="HGP創英角ｺﾞｼｯｸUB"/>
      <family val="3"/>
      <charset val="128"/>
    </font>
    <font>
      <b/>
      <sz val="12"/>
      <name val="HGP創英角ｺﾞｼｯｸUB"/>
      <family val="3"/>
      <charset val="128"/>
    </font>
    <font>
      <b/>
      <sz val="12"/>
      <color rgb="FFFF0000"/>
      <name val="HGP創英角ｺﾞｼｯｸUB"/>
      <family val="3"/>
      <charset val="128"/>
    </font>
    <font>
      <sz val="12"/>
      <color theme="0"/>
      <name val="HGP創英角ｺﾞｼｯｸUB"/>
      <family val="3"/>
      <charset val="128"/>
    </font>
    <font>
      <sz val="12"/>
      <color rgb="FFFF0000"/>
      <name val="HGP創英角ｺﾞｼｯｸUB"/>
      <family val="3"/>
      <charset val="128"/>
    </font>
    <font>
      <sz val="12"/>
      <name val="HGP創英角ｺﾞｼｯｸUB"/>
      <family val="3"/>
      <charset val="128"/>
    </font>
    <font>
      <sz val="12"/>
      <color theme="0" tint="-4.9989318521683403E-2"/>
      <name val="HGP創英角ｺﾞｼｯｸUB"/>
      <family val="3"/>
      <charset val="128"/>
    </font>
    <font>
      <sz val="6"/>
      <color theme="0"/>
      <name val="HGP創英角ｺﾞｼｯｸUB"/>
      <family val="3"/>
      <charset val="128"/>
    </font>
    <font>
      <sz val="12"/>
      <name val="游ゴシック"/>
      <family val="3"/>
      <charset val="128"/>
      <scheme val="minor"/>
    </font>
    <font>
      <sz val="18"/>
      <color rgb="FF000000"/>
      <name val="HGP創英角ｺﾞｼｯｸUB"/>
      <family val="3"/>
      <charset val="128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thin">
        <color indexed="64"/>
      </top>
      <bottom/>
      <diagonal/>
    </border>
    <border>
      <left style="medium">
        <color auto="1"/>
      </left>
      <right/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/>
      <diagonal/>
    </border>
    <border>
      <left style="thick">
        <color theme="7" tint="-0.24994659260841701"/>
      </left>
      <right style="thick">
        <color theme="7" tint="-0.24994659260841701"/>
      </right>
      <top style="thick">
        <color theme="7" tint="-0.24994659260841701"/>
      </top>
      <bottom/>
      <diagonal/>
    </border>
    <border>
      <left style="thick">
        <color theme="7" tint="-0.24994659260841701"/>
      </left>
      <right style="thick">
        <color theme="7" tint="-0.24994659260841701"/>
      </right>
      <top/>
      <bottom style="thick">
        <color theme="7" tint="-0.24994659260841701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auto="1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20">
    <xf numFmtId="0" fontId="0" fillId="0" borderId="0" xfId="0">
      <alignment vertical="center"/>
    </xf>
    <xf numFmtId="0" fontId="0" fillId="0" borderId="2" xfId="0" applyBorder="1">
      <alignment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6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5" xfId="0" applyBorder="1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7" fillId="0" borderId="0" xfId="0" applyFont="1" applyAlignment="1"/>
    <xf numFmtId="0" fontId="11" fillId="0" borderId="2" xfId="0" applyFont="1" applyBorder="1">
      <alignment vertical="center"/>
    </xf>
    <xf numFmtId="0" fontId="11" fillId="0" borderId="14" xfId="0" applyFont="1" applyBorder="1">
      <alignment vertical="center"/>
    </xf>
    <xf numFmtId="0" fontId="4" fillId="0" borderId="11" xfId="0" applyFont="1" applyBorder="1">
      <alignment vertical="center"/>
    </xf>
    <xf numFmtId="0" fontId="4" fillId="0" borderId="0" xfId="0" applyFont="1" applyAlignment="1"/>
    <xf numFmtId="0" fontId="4" fillId="0" borderId="9" xfId="0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12" fillId="0" borderId="0" xfId="0" applyFont="1" applyAlignment="1"/>
    <xf numFmtId="0" fontId="12" fillId="0" borderId="11" xfId="0" applyFont="1" applyBorder="1">
      <alignment vertical="center"/>
    </xf>
    <xf numFmtId="0" fontId="7" fillId="0" borderId="12" xfId="0" applyFont="1" applyBorder="1">
      <alignment vertical="center"/>
    </xf>
    <xf numFmtId="0" fontId="13" fillId="0" borderId="0" xfId="0" applyFont="1" applyAlignment="1"/>
    <xf numFmtId="0" fontId="7" fillId="0" borderId="11" xfId="0" applyFont="1" applyBorder="1" applyAlignment="1">
      <alignment vertical="top"/>
    </xf>
    <xf numFmtId="0" fontId="14" fillId="0" borderId="0" xfId="0" applyFont="1" applyAlignment="1"/>
    <xf numFmtId="0" fontId="15" fillId="0" borderId="12" xfId="0" applyFont="1" applyBorder="1" applyAlignment="1">
      <alignment horizontal="left" vertical="center"/>
    </xf>
    <xf numFmtId="0" fontId="15" fillId="0" borderId="12" xfId="0" applyFont="1" applyBorder="1">
      <alignment vertical="center"/>
    </xf>
    <xf numFmtId="0" fontId="15" fillId="0" borderId="0" xfId="0" applyFont="1" applyAlignment="1"/>
    <xf numFmtId="0" fontId="2" fillId="0" borderId="8" xfId="0" applyFont="1" applyBorder="1" applyAlignment="1">
      <alignment horizontal="center"/>
    </xf>
    <xf numFmtId="0" fontId="16" fillId="0" borderId="6" xfId="0" applyFont="1" applyBorder="1">
      <alignment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17" fillId="0" borderId="0" xfId="0" applyFont="1" applyAlignment="1"/>
    <xf numFmtId="0" fontId="10" fillId="0" borderId="0" xfId="0" applyFont="1" applyAlignment="1"/>
    <xf numFmtId="0" fontId="19" fillId="5" borderId="0" xfId="0" applyFont="1" applyFill="1">
      <alignment vertical="center"/>
    </xf>
    <xf numFmtId="0" fontId="6" fillId="0" borderId="0" xfId="0" applyFont="1" applyAlignment="1"/>
    <xf numFmtId="0" fontId="21" fillId="0" borderId="1" xfId="0" applyFon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21" fillId="0" borderId="3" xfId="0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0" xfId="0" applyAlignment="1">
      <alignment horizontal="left"/>
    </xf>
    <xf numFmtId="0" fontId="0" fillId="8" borderId="0" xfId="0" applyFill="1">
      <alignment vertical="center"/>
    </xf>
    <xf numFmtId="0" fontId="22" fillId="0" borderId="0" xfId="0" applyFont="1">
      <alignment vertical="center"/>
    </xf>
    <xf numFmtId="0" fontId="23" fillId="0" borderId="0" xfId="0" applyFont="1">
      <alignment vertical="center"/>
    </xf>
    <xf numFmtId="0" fontId="24" fillId="0" borderId="9" xfId="0" applyFont="1" applyBorder="1" applyAlignment="1">
      <alignment horizontal="center" vertical="center"/>
    </xf>
    <xf numFmtId="0" fontId="24" fillId="0" borderId="27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4" fillId="0" borderId="29" xfId="0" applyFont="1" applyBorder="1" applyAlignment="1">
      <alignment horizontal="center" vertical="center"/>
    </xf>
    <xf numFmtId="0" fontId="24" fillId="0" borderId="21" xfId="0" applyFont="1" applyBorder="1" applyAlignment="1">
      <alignment horizontal="center"/>
    </xf>
    <xf numFmtId="0" fontId="25" fillId="5" borderId="18" xfId="0" applyFont="1" applyFill="1" applyBorder="1" applyAlignment="1">
      <alignment horizontal="center" vertical="center"/>
    </xf>
    <xf numFmtId="0" fontId="25" fillId="5" borderId="2" xfId="0" applyFont="1" applyFill="1" applyBorder="1" applyAlignment="1">
      <alignment horizontal="center" vertical="center"/>
    </xf>
    <xf numFmtId="0" fontId="25" fillId="5" borderId="18" xfId="0" applyFont="1" applyFill="1" applyBorder="1" applyAlignment="1">
      <alignment horizontal="center"/>
    </xf>
    <xf numFmtId="0" fontId="25" fillId="5" borderId="28" xfId="0" applyFont="1" applyFill="1" applyBorder="1" applyAlignment="1">
      <alignment horizontal="center"/>
    </xf>
    <xf numFmtId="0" fontId="27" fillId="5" borderId="18" xfId="0" applyFont="1" applyFill="1" applyBorder="1" applyAlignment="1">
      <alignment horizontal="center" vertical="center"/>
    </xf>
    <xf numFmtId="0" fontId="27" fillId="5" borderId="2" xfId="0" applyFont="1" applyFill="1" applyBorder="1" applyAlignment="1">
      <alignment horizontal="center" vertical="center"/>
    </xf>
    <xf numFmtId="0" fontId="27" fillId="5" borderId="18" xfId="0" applyFont="1" applyFill="1" applyBorder="1" applyAlignment="1">
      <alignment horizontal="center"/>
    </xf>
    <xf numFmtId="0" fontId="27" fillId="5" borderId="28" xfId="0" applyFont="1" applyFill="1" applyBorder="1" applyAlignment="1">
      <alignment horizontal="center"/>
    </xf>
    <xf numFmtId="0" fontId="24" fillId="0" borderId="21" xfId="0" applyFont="1" applyBorder="1" applyAlignment="1">
      <alignment horizontal="center" vertical="center"/>
    </xf>
    <xf numFmtId="0" fontId="28" fillId="0" borderId="6" xfId="0" applyFont="1" applyBorder="1" applyAlignment="1">
      <alignment horizontal="center" vertical="center"/>
    </xf>
    <xf numFmtId="0" fontId="24" fillId="5" borderId="30" xfId="0" applyFont="1" applyFill="1" applyBorder="1" applyAlignment="1">
      <alignment horizontal="center" vertical="center"/>
    </xf>
    <xf numFmtId="0" fontId="24" fillId="0" borderId="24" xfId="0" applyFont="1" applyBorder="1" applyAlignment="1">
      <alignment horizontal="center" vertical="center"/>
    </xf>
    <xf numFmtId="0" fontId="28" fillId="0" borderId="30" xfId="0" applyFont="1" applyBorder="1" applyAlignment="1">
      <alignment horizontal="center" vertical="center"/>
    </xf>
    <xf numFmtId="0" fontId="0" fillId="3" borderId="0" xfId="0" applyFill="1">
      <alignment vertical="center"/>
    </xf>
    <xf numFmtId="0" fontId="0" fillId="5" borderId="0" xfId="0" applyFill="1">
      <alignment vertical="center"/>
    </xf>
    <xf numFmtId="0" fontId="30" fillId="0" borderId="0" xfId="0" applyFont="1">
      <alignment vertical="center"/>
    </xf>
    <xf numFmtId="0" fontId="30" fillId="0" borderId="6" xfId="0" applyFont="1" applyBorder="1">
      <alignment vertical="center"/>
    </xf>
    <xf numFmtId="0" fontId="30" fillId="0" borderId="9" xfId="0" applyFont="1" applyBorder="1">
      <alignment vertical="center"/>
    </xf>
    <xf numFmtId="0" fontId="30" fillId="0" borderId="0" xfId="0" applyFont="1" applyAlignment="1"/>
    <xf numFmtId="0" fontId="30" fillId="8" borderId="0" xfId="0" applyFont="1" applyFill="1" applyAlignment="1">
      <alignment horizontal="center" vertical="center"/>
    </xf>
    <xf numFmtId="0" fontId="33" fillId="0" borderId="0" xfId="0" applyFont="1" applyAlignment="1"/>
    <xf numFmtId="0" fontId="30" fillId="0" borderId="7" xfId="0" applyFont="1" applyBorder="1">
      <alignment vertical="center"/>
    </xf>
    <xf numFmtId="0" fontId="30" fillId="0" borderId="8" xfId="0" applyFont="1" applyBorder="1">
      <alignment vertical="center"/>
    </xf>
    <xf numFmtId="0" fontId="30" fillId="0" borderId="22" xfId="0" applyFont="1" applyBorder="1" applyAlignment="1">
      <alignment horizontal="center" vertical="center"/>
    </xf>
    <xf numFmtId="0" fontId="30" fillId="0" borderId="7" xfId="0" applyFont="1" applyBorder="1" applyAlignment="1">
      <alignment horizontal="left" vertical="center"/>
    </xf>
    <xf numFmtId="0" fontId="30" fillId="0" borderId="8" xfId="0" applyFont="1" applyBorder="1" applyAlignment="1">
      <alignment horizontal="left" vertical="center"/>
    </xf>
    <xf numFmtId="0" fontId="30" fillId="0" borderId="15" xfId="0" applyFont="1" applyBorder="1" applyAlignment="1">
      <alignment horizontal="left" vertical="center"/>
    </xf>
    <xf numFmtId="0" fontId="30" fillId="0" borderId="10" xfId="0" applyFont="1" applyBorder="1" applyAlignment="1">
      <alignment horizontal="left" vertical="center"/>
    </xf>
    <xf numFmtId="0" fontId="30" fillId="0" borderId="15" xfId="0" applyFont="1" applyBorder="1">
      <alignment vertical="center"/>
    </xf>
    <xf numFmtId="0" fontId="30" fillId="0" borderId="10" xfId="0" applyFont="1" applyBorder="1">
      <alignment vertical="center"/>
    </xf>
    <xf numFmtId="0" fontId="30" fillId="0" borderId="2" xfId="0" applyFont="1" applyBorder="1" applyAlignment="1"/>
    <xf numFmtId="0" fontId="30" fillId="0" borderId="1" xfId="0" applyFont="1" applyBorder="1" applyAlignment="1"/>
    <xf numFmtId="0" fontId="35" fillId="0" borderId="0" xfId="0" applyFont="1" applyAlignment="1"/>
    <xf numFmtId="0" fontId="4" fillId="0" borderId="13" xfId="0" applyFont="1" applyBorder="1">
      <alignment vertical="center"/>
    </xf>
    <xf numFmtId="0" fontId="19" fillId="5" borderId="0" xfId="0" applyFont="1" applyFill="1" applyAlignment="1">
      <alignment vertical="center" wrapText="1"/>
    </xf>
    <xf numFmtId="0" fontId="19" fillId="0" borderId="0" xfId="0" applyFont="1" applyAlignment="1"/>
    <xf numFmtId="0" fontId="19" fillId="5" borderId="0" xfId="0" applyFont="1" applyFill="1" applyAlignment="1">
      <alignment horizontal="left" vertical="center"/>
    </xf>
    <xf numFmtId="0" fontId="13" fillId="0" borderId="11" xfId="0" applyFont="1" applyBorder="1" applyAlignment="1"/>
    <xf numFmtId="0" fontId="19" fillId="3" borderId="0" xfId="0" applyFont="1" applyFill="1" applyAlignment="1">
      <alignment horizontal="left" vertical="center"/>
    </xf>
    <xf numFmtId="0" fontId="19" fillId="3" borderId="0" xfId="0" applyFont="1" applyFill="1">
      <alignment vertical="center"/>
    </xf>
    <xf numFmtId="0" fontId="19" fillId="3" borderId="0" xfId="0" applyFont="1" applyFill="1" applyAlignment="1">
      <alignment vertical="center" wrapText="1"/>
    </xf>
    <xf numFmtId="0" fontId="19" fillId="8" borderId="0" xfId="0" applyFont="1" applyFill="1">
      <alignment vertical="center"/>
    </xf>
    <xf numFmtId="0" fontId="19" fillId="8" borderId="0" xfId="0" applyFont="1" applyFill="1" applyAlignment="1">
      <alignment horizontal="left" vertical="center"/>
    </xf>
    <xf numFmtId="0" fontId="19" fillId="8" borderId="0" xfId="0" applyFont="1" applyFill="1" applyAlignment="1">
      <alignment vertical="center" wrapText="1"/>
    </xf>
    <xf numFmtId="22" fontId="0" fillId="0" borderId="0" xfId="0" applyNumberFormat="1">
      <alignment vertical="center"/>
    </xf>
    <xf numFmtId="0" fontId="0" fillId="10" borderId="6" xfId="0" applyFill="1" applyBorder="1">
      <alignment vertical="center"/>
    </xf>
    <xf numFmtId="0" fontId="0" fillId="10" borderId="11" xfId="0" applyFill="1" applyBorder="1">
      <alignment vertical="center"/>
    </xf>
    <xf numFmtId="0" fontId="0" fillId="10" borderId="9" xfId="0" applyFill="1" applyBorder="1">
      <alignment vertical="center"/>
    </xf>
    <xf numFmtId="0" fontId="20" fillId="11" borderId="0" xfId="0" applyFont="1" applyFill="1">
      <alignment vertical="center"/>
    </xf>
    <xf numFmtId="0" fontId="19" fillId="2" borderId="0" xfId="0" applyFont="1" applyFill="1">
      <alignment vertical="center"/>
    </xf>
    <xf numFmtId="0" fontId="19" fillId="2" borderId="0" xfId="0" applyFont="1" applyFill="1" applyAlignment="1"/>
    <xf numFmtId="0" fontId="19" fillId="6" borderId="0" xfId="0" applyFont="1" applyFill="1">
      <alignment vertical="center"/>
    </xf>
    <xf numFmtId="0" fontId="19" fillId="6" borderId="0" xfId="0" applyFont="1" applyFill="1" applyAlignment="1"/>
    <xf numFmtId="0" fontId="19" fillId="6" borderId="0" xfId="0" applyFont="1" applyFill="1" applyAlignment="1">
      <alignment horizontal="right"/>
    </xf>
    <xf numFmtId="0" fontId="19" fillId="8" borderId="0" xfId="0" applyFont="1" applyFill="1" applyAlignment="1"/>
    <xf numFmtId="0" fontId="19" fillId="9" borderId="0" xfId="0" applyFont="1" applyFill="1">
      <alignment vertical="center"/>
    </xf>
    <xf numFmtId="0" fontId="19" fillId="9" borderId="0" xfId="0" applyFont="1" applyFill="1" applyAlignment="1"/>
    <xf numFmtId="0" fontId="19" fillId="11" borderId="0" xfId="0" applyFont="1" applyFill="1">
      <alignment vertical="center"/>
    </xf>
    <xf numFmtId="0" fontId="20" fillId="8" borderId="0" xfId="0" applyFont="1" applyFill="1">
      <alignment vertical="center"/>
    </xf>
    <xf numFmtId="0" fontId="20" fillId="3" borderId="0" xfId="0" applyFont="1" applyFill="1">
      <alignment vertical="center"/>
    </xf>
    <xf numFmtId="0" fontId="20" fillId="5" borderId="0" xfId="0" applyFont="1" applyFill="1">
      <alignment vertical="center"/>
    </xf>
    <xf numFmtId="0" fontId="0" fillId="11" borderId="0" xfId="0" applyFill="1">
      <alignment vertical="center"/>
    </xf>
    <xf numFmtId="0" fontId="34" fillId="0" borderId="14" xfId="0" applyFont="1" applyBorder="1" applyAlignment="1">
      <alignment horizontal="center" vertical="center"/>
    </xf>
    <xf numFmtId="0" fontId="36" fillId="0" borderId="17" xfId="0" applyFont="1" applyBorder="1" applyAlignment="1">
      <alignment horizontal="center" vertical="center"/>
    </xf>
    <xf numFmtId="0" fontId="30" fillId="0" borderId="19" xfId="0" applyFont="1" applyBorder="1" applyAlignment="1">
      <alignment horizontal="center" vertical="center"/>
    </xf>
    <xf numFmtId="0" fontId="34" fillId="0" borderId="23" xfId="0" applyFont="1" applyBorder="1" applyAlignment="1">
      <alignment horizontal="center" vertical="center"/>
    </xf>
    <xf numFmtId="0" fontId="35" fillId="0" borderId="14" xfId="0" applyFont="1" applyBorder="1">
      <alignment vertical="center"/>
    </xf>
    <xf numFmtId="0" fontId="30" fillId="0" borderId="12" xfId="0" applyFont="1" applyBorder="1">
      <alignment vertical="center"/>
    </xf>
    <xf numFmtId="0" fontId="30" fillId="11" borderId="31" xfId="0" applyFont="1" applyFill="1" applyBorder="1">
      <alignment vertical="center"/>
    </xf>
    <xf numFmtId="0" fontId="30" fillId="11" borderId="32" xfId="0" applyFont="1" applyFill="1" applyBorder="1">
      <alignment vertical="center"/>
    </xf>
    <xf numFmtId="0" fontId="7" fillId="0" borderId="0" xfId="0" applyFont="1" applyAlignment="1">
      <alignment horizontal="center" vertical="center"/>
    </xf>
    <xf numFmtId="0" fontId="39" fillId="0" borderId="0" xfId="0" applyFont="1" applyAlignment="1">
      <alignment horizontal="left" vertical="center"/>
    </xf>
    <xf numFmtId="0" fontId="34" fillId="0" borderId="33" xfId="0" applyFont="1" applyBorder="1" applyAlignment="1">
      <alignment horizontal="center" vertical="center"/>
    </xf>
    <xf numFmtId="0" fontId="30" fillId="0" borderId="11" xfId="0" applyFont="1" applyBorder="1" applyAlignment="1">
      <alignment horizontal="center" vertical="center"/>
    </xf>
    <xf numFmtId="0" fontId="30" fillId="0" borderId="9" xfId="0" applyFont="1" applyBorder="1" applyAlignment="1">
      <alignment horizontal="center" vertical="center"/>
    </xf>
    <xf numFmtId="0" fontId="31" fillId="0" borderId="13" xfId="0" applyFont="1" applyBorder="1" applyAlignment="1">
      <alignment horizontal="center"/>
    </xf>
    <xf numFmtId="0" fontId="32" fillId="0" borderId="13" xfId="0" applyFont="1" applyBorder="1" applyAlignment="1">
      <alignment horizontal="center"/>
    </xf>
    <xf numFmtId="0" fontId="30" fillId="0" borderId="0" xfId="0" applyFont="1" applyAlignment="1">
      <alignment horizontal="center" vertical="center"/>
    </xf>
    <xf numFmtId="0" fontId="35" fillId="4" borderId="14" xfId="0" applyFont="1" applyFill="1" applyBorder="1" applyAlignment="1">
      <alignment horizontal="center" vertical="center"/>
    </xf>
    <xf numFmtId="0" fontId="35" fillId="5" borderId="14" xfId="0" applyFont="1" applyFill="1" applyBorder="1" applyAlignment="1">
      <alignment horizontal="center" vertical="center"/>
    </xf>
    <xf numFmtId="0" fontId="36" fillId="0" borderId="14" xfId="0" applyFont="1" applyBorder="1" applyAlignment="1">
      <alignment horizontal="right" vertical="center"/>
    </xf>
    <xf numFmtId="0" fontId="22" fillId="0" borderId="0" xfId="0" applyFont="1" applyAlignment="1">
      <alignment horizontal="center" vertical="center"/>
    </xf>
    <xf numFmtId="0" fontId="22" fillId="0" borderId="0" xfId="0" applyFont="1" applyAlignment="1">
      <alignment horizontal="center"/>
    </xf>
    <xf numFmtId="0" fontId="24" fillId="0" borderId="35" xfId="0" applyFont="1" applyBorder="1" applyAlignment="1">
      <alignment horizontal="center" vertical="center"/>
    </xf>
    <xf numFmtId="0" fontId="24" fillId="0" borderId="34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/>
    </xf>
    <xf numFmtId="0" fontId="24" fillId="0" borderId="26" xfId="0" applyFont="1" applyBorder="1" applyAlignment="1">
      <alignment horizontal="center" vertical="center"/>
    </xf>
    <xf numFmtId="0" fontId="24" fillId="8" borderId="36" xfId="0" applyFont="1" applyFill="1" applyBorder="1" applyAlignment="1">
      <alignment horizontal="center" vertical="center"/>
    </xf>
    <xf numFmtId="0" fontId="24" fillId="8" borderId="26" xfId="0" applyFont="1" applyFill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4" fillId="7" borderId="18" xfId="0" applyFont="1" applyFill="1" applyBorder="1" applyAlignment="1">
      <alignment horizontal="center" vertical="center"/>
    </xf>
    <xf numFmtId="0" fontId="26" fillId="7" borderId="18" xfId="0" applyFont="1" applyFill="1" applyBorder="1" applyAlignment="1">
      <alignment horizontal="center" vertical="center"/>
    </xf>
    <xf numFmtId="0" fontId="24" fillId="8" borderId="11" xfId="0" applyFont="1" applyFill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12" xfId="0" applyFont="1" applyBorder="1" applyAlignment="1">
      <alignment horizontal="center"/>
    </xf>
    <xf numFmtId="0" fontId="24" fillId="8" borderId="12" xfId="0" applyFont="1" applyFill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24" fillId="8" borderId="9" xfId="0" applyFont="1" applyFill="1" applyBorder="1" applyAlignment="1">
      <alignment horizontal="center" vertical="center"/>
    </xf>
    <xf numFmtId="0" fontId="24" fillId="0" borderId="12" xfId="0" applyFont="1" applyBorder="1" applyAlignment="1">
      <alignment horizontal="center" vertical="center"/>
    </xf>
    <xf numFmtId="0" fontId="24" fillId="8" borderId="24" xfId="0" applyFont="1" applyFill="1" applyBorder="1" applyAlignment="1">
      <alignment horizontal="center" vertical="center"/>
    </xf>
    <xf numFmtId="0" fontId="24" fillId="7" borderId="2" xfId="0" applyFont="1" applyFill="1" applyBorder="1" applyAlignment="1">
      <alignment horizontal="center" vertical="center"/>
    </xf>
    <xf numFmtId="0" fontId="26" fillId="7" borderId="2" xfId="0" applyFont="1" applyFill="1" applyBorder="1" applyAlignment="1">
      <alignment horizontal="center" vertical="center"/>
    </xf>
    <xf numFmtId="0" fontId="30" fillId="0" borderId="17" xfId="0" applyFont="1" applyBorder="1" applyAlignment="1">
      <alignment horizontal="left" vertical="center"/>
    </xf>
    <xf numFmtId="0" fontId="28" fillId="0" borderId="37" xfId="0" applyFont="1" applyBorder="1" applyAlignment="1">
      <alignment horizontal="center" vertical="center"/>
    </xf>
    <xf numFmtId="0" fontId="38" fillId="0" borderId="33" xfId="0" applyFont="1" applyBorder="1" applyAlignment="1">
      <alignment horizontal="center" vertical="center"/>
    </xf>
    <xf numFmtId="0" fontId="35" fillId="0" borderId="16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0" fontId="37" fillId="0" borderId="16" xfId="0" applyFont="1" applyBorder="1" applyAlignment="1">
      <alignment horizontal="center" vertical="center"/>
    </xf>
    <xf numFmtId="0" fontId="30" fillId="0" borderId="27" xfId="0" applyFont="1" applyBorder="1" applyAlignment="1">
      <alignment horizontal="center" vertical="center"/>
    </xf>
    <xf numFmtId="0" fontId="37" fillId="0" borderId="21" xfId="0" applyFont="1" applyBorder="1" applyAlignment="1">
      <alignment horizontal="center" vertical="center"/>
    </xf>
    <xf numFmtId="0" fontId="19" fillId="0" borderId="0" xfId="0" applyFont="1">
      <alignment vertical="center"/>
    </xf>
    <xf numFmtId="0" fontId="19" fillId="10" borderId="0" xfId="0" applyFont="1" applyFill="1">
      <alignment vertical="center"/>
    </xf>
    <xf numFmtId="0" fontId="0" fillId="0" borderId="1" xfId="0" applyBorder="1">
      <alignment vertical="center"/>
    </xf>
    <xf numFmtId="0" fontId="0" fillId="0" borderId="15" xfId="0" applyBorder="1" applyAlignment="1"/>
    <xf numFmtId="0" fontId="0" fillId="0" borderId="0" xfId="0" applyAlignment="1"/>
    <xf numFmtId="0" fontId="7" fillId="0" borderId="0" xfId="0" applyFont="1">
      <alignment vertical="center"/>
    </xf>
    <xf numFmtId="176" fontId="24" fillId="0" borderId="34" xfId="0" applyNumberFormat="1" applyFont="1" applyBorder="1" applyAlignment="1">
      <alignment horizontal="center" vertical="center"/>
    </xf>
    <xf numFmtId="177" fontId="19" fillId="0" borderId="0" xfId="0" applyNumberFormat="1" applyFont="1">
      <alignment vertical="center"/>
    </xf>
    <xf numFmtId="177" fontId="19" fillId="5" borderId="0" xfId="0" applyNumberFormat="1" applyFont="1" applyFill="1">
      <alignment vertical="center"/>
    </xf>
    <xf numFmtId="177" fontId="19" fillId="11" borderId="0" xfId="0" applyNumberFormat="1" applyFont="1" applyFill="1">
      <alignment vertical="center"/>
    </xf>
    <xf numFmtId="177" fontId="19" fillId="3" borderId="0" xfId="0" applyNumberFormat="1" applyFont="1" applyFill="1">
      <alignment vertical="center"/>
    </xf>
    <xf numFmtId="177" fontId="19" fillId="8" borderId="0" xfId="0" applyNumberFormat="1" applyFont="1" applyFill="1">
      <alignment vertical="center"/>
    </xf>
    <xf numFmtId="177" fontId="19" fillId="2" borderId="0" xfId="0" applyNumberFormat="1" applyFont="1" applyFill="1">
      <alignment vertical="center"/>
    </xf>
    <xf numFmtId="177" fontId="19" fillId="6" borderId="0" xfId="0" applyNumberFormat="1" applyFont="1" applyFill="1" applyAlignment="1"/>
    <xf numFmtId="177" fontId="15" fillId="0" borderId="0" xfId="0" applyNumberFormat="1" applyFont="1" applyAlignment="1">
      <alignment horizontal="right" vertical="center"/>
    </xf>
    <xf numFmtId="0" fontId="0" fillId="6" borderId="0" xfId="0" applyFill="1">
      <alignment vertical="center"/>
    </xf>
    <xf numFmtId="0" fontId="0" fillId="6" borderId="7" xfId="0" applyFill="1" applyBorder="1">
      <alignment vertical="center"/>
    </xf>
    <xf numFmtId="0" fontId="0" fillId="6" borderId="8" xfId="0" applyFill="1" applyBorder="1">
      <alignment vertical="center"/>
    </xf>
    <xf numFmtId="0" fontId="0" fillId="6" borderId="12" xfId="0" applyFill="1" applyBorder="1">
      <alignment vertical="center"/>
    </xf>
    <xf numFmtId="0" fontId="0" fillId="6" borderId="15" xfId="0" applyFill="1" applyBorder="1">
      <alignment vertical="center"/>
    </xf>
    <xf numFmtId="0" fontId="0" fillId="6" borderId="10" xfId="0" applyFill="1" applyBorder="1">
      <alignment vertical="center"/>
    </xf>
    <xf numFmtId="0" fontId="0" fillId="12" borderId="0" xfId="0" applyFill="1">
      <alignment vertical="center"/>
    </xf>
    <xf numFmtId="0" fontId="30" fillId="0" borderId="30" xfId="0" applyFont="1" applyBorder="1">
      <alignment vertical="center"/>
    </xf>
    <xf numFmtId="0" fontId="30" fillId="0" borderId="24" xfId="0" applyFont="1" applyBorder="1">
      <alignment vertical="center"/>
    </xf>
    <xf numFmtId="0" fontId="25" fillId="0" borderId="13" xfId="0" applyFont="1" applyBorder="1" applyAlignment="1">
      <alignment horizontal="center" vertical="center"/>
    </xf>
    <xf numFmtId="0" fontId="0" fillId="0" borderId="11" xfId="0" applyBorder="1" applyAlignment="1"/>
    <xf numFmtId="0" fontId="0" fillId="0" borderId="9" xfId="0" applyBorder="1" applyAlignment="1"/>
    <xf numFmtId="0" fontId="25" fillId="0" borderId="25" xfId="0" applyFont="1" applyBorder="1" applyAlignment="1">
      <alignment horizontal="center" vertical="center"/>
    </xf>
    <xf numFmtId="0" fontId="0" fillId="0" borderId="26" xfId="0" applyBorder="1" applyAlignment="1"/>
    <xf numFmtId="0" fontId="0" fillId="0" borderId="24" xfId="0" applyBorder="1" applyAlignment="1"/>
    <xf numFmtId="0" fontId="18" fillId="0" borderId="10" xfId="0" applyFont="1" applyBorder="1" applyAlignment="1">
      <alignment horizontal="center" vertical="center"/>
    </xf>
    <xf numFmtId="0" fontId="0" fillId="0" borderId="12" xfId="0" applyBorder="1" applyAlignment="1"/>
    <xf numFmtId="0" fontId="0" fillId="0" borderId="15" xfId="0" applyBorder="1" applyAlignment="1"/>
    <xf numFmtId="0" fontId="0" fillId="0" borderId="10" xfId="0" applyBorder="1" applyAlignment="1"/>
    <xf numFmtId="0" fontId="9" fillId="0" borderId="15" xfId="0" applyFont="1" applyBorder="1" applyAlignment="1">
      <alignment horizontal="center" vertical="center"/>
    </xf>
    <xf numFmtId="0" fontId="0" fillId="0" borderId="0" xfId="0" applyAlignment="1"/>
    <xf numFmtId="0" fontId="7" fillId="0" borderId="0" xfId="0" applyFont="1" applyAlignment="1">
      <alignment horizontal="center"/>
    </xf>
    <xf numFmtId="0" fontId="7" fillId="0" borderId="0" xfId="0" applyFont="1">
      <alignment vertical="center"/>
    </xf>
    <xf numFmtId="0" fontId="29" fillId="0" borderId="7" xfId="0" applyFont="1" applyBorder="1" applyAlignment="1">
      <alignment horizontal="left"/>
    </xf>
    <xf numFmtId="0" fontId="0" fillId="0" borderId="7" xfId="0" applyBorder="1" applyAlignment="1"/>
    <xf numFmtId="0" fontId="8" fillId="0" borderId="5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 wrapText="1"/>
    </xf>
    <xf numFmtId="177" fontId="19" fillId="0" borderId="0" xfId="0" applyNumberFormat="1" applyFont="1" applyFill="1">
      <alignment vertical="center"/>
    </xf>
    <xf numFmtId="0" fontId="19" fillId="0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274320</xdr:colOff>
          <xdr:row>0</xdr:row>
          <xdr:rowOff>45720</xdr:rowOff>
        </xdr:from>
        <xdr:to>
          <xdr:col>39</xdr:col>
          <xdr:colOff>1828800</xdr:colOff>
          <xdr:row>1</xdr:row>
          <xdr:rowOff>198120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F1BFCE9A-B2A7-8BA0-A54B-37507D60EB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7432" rIns="54864" bIns="27432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P創英角ｺﾞｼｯｸUB"/>
                  <a:ea typeface="HGP創英角ｺﾞｼｯｸUB"/>
                </a:rPr>
                <a:t>【確定】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/>
  <dimension ref="A1:G13"/>
  <sheetViews>
    <sheetView workbookViewId="0">
      <selection activeCell="D1" sqref="A1:D1048576"/>
    </sheetView>
  </sheetViews>
  <sheetFormatPr defaultRowHeight="18"/>
  <cols>
    <col min="1" max="1" width="16.69921875" style="180" customWidth="1"/>
    <col min="5" max="5" width="8.796875" style="180" customWidth="1"/>
    <col min="6" max="6" width="21.69921875" style="180" customWidth="1"/>
  </cols>
  <sheetData>
    <row r="1" spans="1:7">
      <c r="A1"/>
      <c r="F1" t="s">
        <v>4</v>
      </c>
      <c r="G1">
        <v>24</v>
      </c>
    </row>
    <row r="2" spans="1:7">
      <c r="A2"/>
      <c r="F2" t="s">
        <v>9</v>
      </c>
      <c r="G2">
        <v>24</v>
      </c>
    </row>
    <row r="3" spans="1:7">
      <c r="A3"/>
      <c r="F3" t="str">
        <f t="shared" ref="F3:F13" si="0">IF(A1&lt;&gt;"",A1,"")</f>
        <v/>
      </c>
      <c r="G3" t="str">
        <f t="shared" ref="G3:G13" si="1">IF(B1&lt;&gt;"",B1,"")</f>
        <v/>
      </c>
    </row>
    <row r="4" spans="1:7">
      <c r="A4"/>
      <c r="F4" t="str">
        <f t="shared" si="0"/>
        <v/>
      </c>
      <c r="G4" t="str">
        <f t="shared" si="1"/>
        <v/>
      </c>
    </row>
    <row r="5" spans="1:7">
      <c r="A5"/>
      <c r="F5" t="str">
        <f t="shared" si="0"/>
        <v/>
      </c>
      <c r="G5" t="str">
        <f t="shared" si="1"/>
        <v/>
      </c>
    </row>
    <row r="6" spans="1:7">
      <c r="A6"/>
      <c r="F6" t="str">
        <f t="shared" si="0"/>
        <v/>
      </c>
      <c r="G6" t="str">
        <f t="shared" si="1"/>
        <v/>
      </c>
    </row>
    <row r="7" spans="1:7">
      <c r="A7"/>
      <c r="F7" t="str">
        <f t="shared" si="0"/>
        <v/>
      </c>
      <c r="G7" t="str">
        <f t="shared" si="1"/>
        <v/>
      </c>
    </row>
    <row r="8" spans="1:7">
      <c r="A8"/>
      <c r="F8" t="str">
        <f t="shared" si="0"/>
        <v/>
      </c>
      <c r="G8" t="str">
        <f t="shared" si="1"/>
        <v/>
      </c>
    </row>
    <row r="9" spans="1:7">
      <c r="F9" t="str">
        <f t="shared" si="0"/>
        <v/>
      </c>
      <c r="G9" t="str">
        <f t="shared" si="1"/>
        <v/>
      </c>
    </row>
    <row r="10" spans="1:7">
      <c r="F10" t="str">
        <f t="shared" si="0"/>
        <v/>
      </c>
      <c r="G10" t="str">
        <f t="shared" si="1"/>
        <v/>
      </c>
    </row>
    <row r="11" spans="1:7">
      <c r="F11" t="str">
        <f t="shared" si="0"/>
        <v/>
      </c>
      <c r="G11" t="str">
        <f t="shared" si="1"/>
        <v/>
      </c>
    </row>
    <row r="12" spans="1:7">
      <c r="F12" t="str">
        <f t="shared" si="0"/>
        <v/>
      </c>
      <c r="G12" t="str">
        <f t="shared" si="1"/>
        <v/>
      </c>
    </row>
    <row r="13" spans="1:7">
      <c r="F13" t="str">
        <f t="shared" si="0"/>
        <v/>
      </c>
      <c r="G13" t="str">
        <f t="shared" si="1"/>
        <v/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V70"/>
  <sheetViews>
    <sheetView topLeftCell="A38" workbookViewId="0">
      <selection activeCell="G38" sqref="A1:G1048576"/>
    </sheetView>
  </sheetViews>
  <sheetFormatPr defaultRowHeight="18"/>
  <cols>
    <col min="1" max="1" width="28.59765625" style="180" customWidth="1"/>
    <col min="8" max="8" width="3.19921875" style="78" customWidth="1"/>
    <col min="9" max="9" width="5.59765625" style="180" customWidth="1"/>
    <col min="10" max="15" width="14.796875" style="180" customWidth="1"/>
    <col min="16" max="21" width="4" style="180" customWidth="1"/>
  </cols>
  <sheetData>
    <row r="1" spans="1:22">
      <c r="A1"/>
      <c r="I1">
        <v>7</v>
      </c>
      <c r="J1" t="str">
        <f t="array" aca="1" ref="J1" ca="1">IFERROR(IF(OR(COUNTIF(INDIRECT("数出表_Excel!"&amp;P1&amp;"3"),"*キャラ*"),
COUNTIF(INDIRECT("数出表_Excel!"&amp;P1&amp;"3"),"*赤*")),
IF(COUNTIF(A1,"*雙葉*"),INDIRECT("数出表_Excel!"&amp;P1&amp;"3"),
INDIRECT("数出表_Excel!"&amp;P1&amp;"3")
&amp;"　"&amp;INDIRECT("数出表_Excel!"&amp;P1&amp;"4")
&amp;INDIRECT("数出表_Excel!"&amp;P1&amp;"5")),
INDIRECT("数出表_Excel!"&amp;P1&amp;"3")),"")</f>
        <v/>
      </c>
      <c r="K1" t="str">
        <f t="array" aca="1" ref="K1" ca="1">IFERROR(IF(OR(COUNTIF(INDIRECT("数出表_Excel!"&amp;Q1&amp;"3"),"*キャラ*"),
COUNTIF(INDIRECT("数出表_Excel!"&amp;Q1&amp;"3"),"*赤*")),
INDIRECT("数出表_Excel!"&amp;Q1&amp;"3")
&amp;"　"&amp;INDIRECT("数出表_Excel!"&amp;Q1&amp;"4")
&amp;INDIRECT("数出表_Excel!"&amp;Q1&amp;"5"),
INDIRECT("数出表_Excel!"&amp;Q1&amp;"3")),"")</f>
        <v/>
      </c>
      <c r="L1" t="str">
        <f t="array" aca="1" ref="L1" ca="1">IFERROR(IF(OR(COUNTIF(INDIRECT("数出表_Excel!"&amp;R1&amp;"3"),"*キャラ*"),
COUNTIF(INDIRECT("数出表_Excel!"&amp;R1&amp;"3"),"*赤*")),
INDIRECT("数出表_Excel!"&amp;R1&amp;"3")
&amp;"　"&amp;INDIRECT("数出表_Excel!"&amp;R1&amp;"4")
&amp;INDIRECT("数出表_Excel!"&amp;R1&amp;"5"),
INDIRECT("数出表_Excel!"&amp;R1&amp;"3")),"")</f>
        <v/>
      </c>
      <c r="M1" t="str">
        <f t="array" aca="1" ref="M1" ca="1">IFERROR(IF(OR(COUNTIF(INDIRECT("数出表_Excel!"&amp;S1&amp;"3"),"*キャラ*"),
COUNTIF(INDIRECT("数出表_Excel!"&amp;S1&amp;"3"),"*赤*")),
INDIRECT("数出表_Excel!"&amp;S1&amp;"3")
&amp;"　"&amp;INDIRECT("数出表_Excel!"&amp;S1&amp;"4")
&amp;INDIRECT("数出表_Excel!"&amp;S1&amp;"5"),
INDIRECT("数出表_Excel!"&amp;S1&amp;"3")),"")</f>
        <v/>
      </c>
      <c r="N1" t="str">
        <f t="array" aca="1" ref="N1" ca="1">IFERROR(IF(OR(COUNTIF(INDIRECT("数出表_Excel!"&amp;T1&amp;"3"),"*キャラ*"),
COUNTIF(INDIRECT("数出表_Excel!"&amp;T1&amp;"3"),"*赤*")),
INDIRECT("数出表_Excel!"&amp;T1&amp;"3")
&amp;"　"&amp;INDIRECT("数出表_Excel!"&amp;T1&amp;"4")
&amp;INDIRECT("数出表_Excel!"&amp;T1&amp;"5"),
INDIRECT("数出表_Excel!"&amp;T1&amp;"3")),"")</f>
        <v/>
      </c>
      <c r="O1" t="str">
        <f t="array" aca="1" ref="O1" ca="1">IFERROR(IF(OR(COUNTIF(INDIRECT("数出表_Excel!"&amp;U1&amp;"3"),"*キャラ*"),
COUNTIF(INDIRECT("数出表_Excel!"&amp;U1&amp;"3"),"*赤*")),
INDIRECT("数出表_Excel!"&amp;U1&amp;"3")
&amp;"　"&amp;INDIRECT("数出表_Excel!"&amp;U1&amp;"4")
&amp;INDIRECT("数出表_Excel!"&amp;U1&amp;"5"),
INDIRECT("数出表_Excel!"&amp;U1&amp;"3")),"")</f>
        <v/>
      </c>
      <c r="P1" t="str">
        <f t="shared" ref="P1:P32" ca="1" si="0">IFERROR(
SUBSTITUTE(ADDRESS(1,
IFERROR(COLUMN(INDEX(INDIRECT("数出表_Excel!B"&amp;$I1-1&amp;":T"&amp;$I1-1&amp;""),1,MATCH(TEXT(B1,0),INDIRECT("数出表_Excel!B"&amp;$I1-1&amp;":T"&amp;$I1-1&amp;""),0))),""),4),"1",""),
"")</f>
        <v/>
      </c>
      <c r="Q1" t="str">
        <f t="shared" ref="Q1:Q32" ca="1" si="1">IFERROR(
SUBSTITUTE(ADDRESS(1,
IFERROR(COLUMN(INDEX(INDIRECT("数出表_Excel!B"&amp;$I1-1&amp;":T"&amp;$I1-1&amp;""),1,MATCH(TEXT(C1,0),INDIRECT("数出表_Excel!B"&amp;$I1-1&amp;":T"&amp;$I1-1&amp;""),0))),""),4),"1",""),
"")</f>
        <v/>
      </c>
      <c r="R1" t="str">
        <f t="shared" ref="R1:R32" ca="1" si="2">IFERROR(
SUBSTITUTE(ADDRESS(1,
IFERROR(COLUMN(INDEX(INDIRECT("数出表_Excel!B"&amp;$I1-1&amp;":T"&amp;$I1-1&amp;""),1,MATCH(TEXT(D1,0),INDIRECT("数出表_Excel!B"&amp;$I1-1&amp;":T"&amp;$I1-1&amp;""),0))),""),4),"1",""),
"")</f>
        <v/>
      </c>
      <c r="S1" t="str">
        <f t="shared" ref="S1:S32" ca="1" si="3">IFERROR(
SUBSTITUTE(ADDRESS(1,
IFERROR(COLUMN(INDEX(INDIRECT("数出表_Excel!B"&amp;$I1&amp;":T"&amp;$I1&amp;""),1,MATCH(TEXT(E1,0),INDIRECT("数出表_Excel!B"&amp;$I1&amp;":T"&amp;$I1&amp;""),0))),""),4),"1",""),
"")</f>
        <v/>
      </c>
      <c r="T1" t="str">
        <f t="shared" ref="T1:T32" ca="1" si="4">IFERROR(
SUBSTITUTE(ADDRESS(1,
IFERROR(COLUMN(INDEX(INDIRECT("数出表_Excel!B"&amp;$I1&amp;":T"&amp;$I1&amp;""),1,MATCH(TEXT(F1,0),INDIRECT("数出表_Excel!B"&amp;$I1&amp;":T"&amp;$I1&amp;""),0))),""),4),"1",""),
"")</f>
        <v/>
      </c>
      <c r="U1" t="str">
        <f t="shared" ref="U1:U32" ca="1" si="5">IFERROR(
SUBSTITUTE(ADDRESS(1,
IFERROR(COLUMN(INDEX(INDIRECT("数出表_Excel!B"&amp;$I1&amp;":T"&amp;$I1&amp;""),1,MATCH(TEXT(G1,0),INDIRECT("数出表_Excel!B"&amp;$I1&amp;":T"&amp;$I1&amp;""),0))),""),4),"1",""),
"")</f>
        <v/>
      </c>
      <c r="V1" t="str">
        <f t="shared" ref="V1:V32" ca="1" si="6">TRIM(SUBSTITUTE(
IF(COUNTIF(P1:U1,"A")&gt;0,"A ","")&amp;
IF(COUNTIF(P1:U1,"B")&gt;0,"B ","")&amp;
IF(COUNTIF(P1:U1,"C")&gt;0,"C ","")&amp;
IF(COUNTIF(P1:U1,"D")&gt;0,"D ","")&amp;
IF(COUNTIF(P1:U1,"E")&gt;0,"E ","")&amp;
IF(COUNTIF(P1:U1,"F")&gt;0,"F ","")&amp;
IF(COUNTIF(P1:U1,"G")&gt;0,"G ","")&amp;
IF(COUNTIF(P1:U1,"H")&gt;0,"H ","")&amp;
IF(COUNTIF(P1:U1,"I")&gt;0,"I ","")&amp;
IF(COUNTIF(P1:U1,"J")&gt;0,"J ","")&amp;
IF(COUNTIF(P1:U1,"K")&gt;0,"K ","")&amp;
IF(COUNTIF(P1:U1,"L")&gt;0,"L ","")&amp;
IF(COUNTIF(P1:U1,"M")&gt;0,"M ","")&amp;
IF(COUNTIF(P1:U1,"N")&gt;0,"N ","")&amp;
IF(COUNTIF(P1:U1,"O")&gt;0,"O ","")&amp;
IF(COUNTIF(P1:U1,"P")&gt;0,"P ","")&amp;
IF(COUNTIF(P1:U1,"Q")&gt;0,"Q ","")&amp;
IF(COUNTIF(P1:U1,"R")&gt;0,"R ","")&amp;
IF(COUNTIF(P1:U1,"S")&gt;0,"S ","")&amp;
IF(COUNTIF(P1:U1,"T")&gt;0,"T ","")&amp;
IF(COUNTIF(P1:U1,"U")&gt;0,"U ","")&amp;
IF(COUNTIF(P1:U1,"V")&gt;0,"V ","")&amp;
IF(COUNTIF(P1:U1,"W")&gt;0,"W ","")&amp;
IF(COUNTIF(P1:U1,"X")&gt;0,"X ","")&amp;
IF(COUNTIF(P1:U1,"Y")&gt;0,"Y ","")&amp;
IF(COUNTIF(P1:U1,"Z")&gt;0,"Z ","")," ",","))</f>
        <v/>
      </c>
    </row>
    <row r="2" spans="1:22">
      <c r="A2"/>
      <c r="I2">
        <f t="shared" ref="I2:I33" si="7">I1+2</f>
        <v>9</v>
      </c>
      <c r="J2" t="str">
        <f t="array" aca="1" ref="J2" ca="1">IFERROR(IF(OR(COUNTIF(INDIRECT("数出表_Excel!"&amp;P2&amp;"3"),"*キャラ*"),
COUNTIF(INDIRECT("数出表_Excel!"&amp;P2&amp;"3"),"*赤*")),
IF(COUNTIF(A2,"*雙葉*"),INDIRECT("数出表_Excel!"&amp;P2&amp;"3"),
INDIRECT("数出表_Excel!"&amp;P2&amp;"3")
&amp;"　"&amp;INDIRECT("数出表_Excel!"&amp;P2&amp;"4")
&amp;INDIRECT("数出表_Excel!"&amp;P2&amp;"5")),
INDIRECT("数出表_Excel!"&amp;P2&amp;"3")),"")</f>
        <v/>
      </c>
      <c r="K2" t="str">
        <f t="array" aca="1" ref="K2" ca="1">IFERROR(IF(OR(COUNTIF(INDIRECT("数出表_Excel!"&amp;Q2&amp;"3"),"*キャラ*"),
COUNTIF(INDIRECT("数出表_Excel!"&amp;Q2&amp;"3"),"*赤*")),
INDIRECT("数出表_Excel!"&amp;Q2&amp;"3")
&amp;"　"&amp;INDIRECT("数出表_Excel!"&amp;Q2&amp;"4")
&amp;INDIRECT("数出表_Excel!"&amp;Q2&amp;"5"),
INDIRECT("数出表_Excel!"&amp;Q2&amp;"3")),"")</f>
        <v/>
      </c>
      <c r="L2" t="str">
        <f t="array" aca="1" ref="L2" ca="1">IFERROR(IF(OR(COUNTIF(INDIRECT("数出表_Excel!"&amp;R2&amp;"3"),"*キャラ*"),
COUNTIF(INDIRECT("数出表_Excel!"&amp;R2&amp;"3"),"*赤*")),
INDIRECT("数出表_Excel!"&amp;R2&amp;"3")
&amp;"　"&amp;INDIRECT("数出表_Excel!"&amp;R2&amp;"4")
&amp;INDIRECT("数出表_Excel!"&amp;R2&amp;"5"),
INDIRECT("数出表_Excel!"&amp;R2&amp;"3")),"")</f>
        <v/>
      </c>
      <c r="M2" t="str">
        <f t="array" aca="1" ref="M2" ca="1">IFERROR(IF(OR(COUNTIF(INDIRECT("数出表_Excel!"&amp;S2&amp;"3"),"*キャラ*"),
COUNTIF(INDIRECT("数出表_Excel!"&amp;S2&amp;"3"),"*赤*")),
INDIRECT("数出表_Excel!"&amp;S2&amp;"3")
&amp;"　"&amp;INDIRECT("数出表_Excel!"&amp;S2&amp;"4")
&amp;INDIRECT("数出表_Excel!"&amp;S2&amp;"5"),
INDIRECT("数出表_Excel!"&amp;S2&amp;"3")),"")</f>
        <v/>
      </c>
      <c r="N2" t="str">
        <f t="array" aca="1" ref="N2" ca="1">IFERROR(IF(OR(COUNTIF(INDIRECT("数出表_Excel!"&amp;T2&amp;"3"),"*キャラ*"),
COUNTIF(INDIRECT("数出表_Excel!"&amp;T2&amp;"3"),"*赤*")),
INDIRECT("数出表_Excel!"&amp;T2&amp;"3")
&amp;"　"&amp;INDIRECT("数出表_Excel!"&amp;T2&amp;"4")
&amp;INDIRECT("数出表_Excel!"&amp;T2&amp;"5"),
INDIRECT("数出表_Excel!"&amp;T2&amp;"3")),"")</f>
        <v/>
      </c>
      <c r="O2" t="str">
        <f t="array" aca="1" ref="O2" ca="1">IFERROR(IF(OR(COUNTIF(INDIRECT("数出表_Excel!"&amp;U2&amp;"3"),"*キャラ*"),
COUNTIF(INDIRECT("数出表_Excel!"&amp;U2&amp;"3"),"*赤*")),
INDIRECT("数出表_Excel!"&amp;U2&amp;"3")
&amp;"　"&amp;INDIRECT("数出表_Excel!"&amp;U2&amp;"4")
&amp;INDIRECT("数出表_Excel!"&amp;U2&amp;"5"),
INDIRECT("数出表_Excel!"&amp;U2&amp;"3")),"")</f>
        <v/>
      </c>
      <c r="P2" t="str">
        <f t="shared" ca="1" si="0"/>
        <v/>
      </c>
      <c r="Q2" t="str">
        <f t="shared" ca="1" si="1"/>
        <v/>
      </c>
      <c r="R2" t="str">
        <f t="shared" ca="1" si="2"/>
        <v/>
      </c>
      <c r="S2" t="str">
        <f t="shared" ca="1" si="3"/>
        <v/>
      </c>
      <c r="T2" t="str">
        <f t="shared" ca="1" si="4"/>
        <v/>
      </c>
      <c r="U2" t="str">
        <f t="shared" ca="1" si="5"/>
        <v/>
      </c>
      <c r="V2" t="str">
        <f t="shared" ca="1" si="6"/>
        <v/>
      </c>
    </row>
    <row r="3" spans="1:22">
      <c r="A3"/>
      <c r="I3">
        <f t="shared" si="7"/>
        <v>11</v>
      </c>
      <c r="J3" t="str">
        <f t="array" aca="1" ref="J3" ca="1">IFERROR(IF(OR(COUNTIF(INDIRECT("数出表_Excel!"&amp;P3&amp;"3"),"*キャラ*"),
COUNTIF(INDIRECT("数出表_Excel!"&amp;P3&amp;"3"),"*赤*")),
IF(COUNTIF(A3,"*雙葉*"),INDIRECT("数出表_Excel!"&amp;P3&amp;"3"),
INDIRECT("数出表_Excel!"&amp;P3&amp;"3")
&amp;"　"&amp;INDIRECT("数出表_Excel!"&amp;P3&amp;"4")
&amp;INDIRECT("数出表_Excel!"&amp;P3&amp;"5")),
INDIRECT("数出表_Excel!"&amp;P3&amp;"3")),"")</f>
        <v/>
      </c>
      <c r="K3" t="str">
        <f t="array" aca="1" ref="K3" ca="1">IFERROR(IF(OR(COUNTIF(INDIRECT("数出表_Excel!"&amp;Q3&amp;"3"),"*キャラ*"),
COUNTIF(INDIRECT("数出表_Excel!"&amp;Q3&amp;"3"),"*赤*")),
INDIRECT("数出表_Excel!"&amp;Q3&amp;"3")
&amp;"　"&amp;INDIRECT("数出表_Excel!"&amp;Q3&amp;"4")
&amp;INDIRECT("数出表_Excel!"&amp;Q3&amp;"5"),
INDIRECT("数出表_Excel!"&amp;Q3&amp;"3")),"")</f>
        <v/>
      </c>
      <c r="L3" t="str">
        <f t="array" aca="1" ref="L3" ca="1">IFERROR(IF(OR(COUNTIF(INDIRECT("数出表_Excel!"&amp;R3&amp;"3"),"*キャラ*"),
COUNTIF(INDIRECT("数出表_Excel!"&amp;R3&amp;"3"),"*赤*")),
INDIRECT("数出表_Excel!"&amp;R3&amp;"3")
&amp;"　"&amp;INDIRECT("数出表_Excel!"&amp;R3&amp;"4")
&amp;INDIRECT("数出表_Excel!"&amp;R3&amp;"5"),
INDIRECT("数出表_Excel!"&amp;R3&amp;"3")),"")</f>
        <v/>
      </c>
      <c r="M3" t="str">
        <f t="array" aca="1" ref="M3" ca="1">IFERROR(IF(OR(COUNTIF(INDIRECT("数出表_Excel!"&amp;S3&amp;"3"),"*キャラ*"),
COUNTIF(INDIRECT("数出表_Excel!"&amp;S3&amp;"3"),"*赤*")),
INDIRECT("数出表_Excel!"&amp;S3&amp;"3")
&amp;"　"&amp;INDIRECT("数出表_Excel!"&amp;S3&amp;"4")
&amp;INDIRECT("数出表_Excel!"&amp;S3&amp;"5"),
INDIRECT("数出表_Excel!"&amp;S3&amp;"3")),"")</f>
        <v/>
      </c>
      <c r="N3" t="str">
        <f t="array" aca="1" ref="N3" ca="1">IFERROR(IF(OR(COUNTIF(INDIRECT("数出表_Excel!"&amp;T3&amp;"3"),"*キャラ*"),
COUNTIF(INDIRECT("数出表_Excel!"&amp;T3&amp;"3"),"*赤*")),
INDIRECT("数出表_Excel!"&amp;T3&amp;"3")
&amp;"　"&amp;INDIRECT("数出表_Excel!"&amp;T3&amp;"4")
&amp;INDIRECT("数出表_Excel!"&amp;T3&amp;"5"),
INDIRECT("数出表_Excel!"&amp;T3&amp;"3")),"")</f>
        <v/>
      </c>
      <c r="O3" t="str">
        <f t="array" aca="1" ref="O3" ca="1">IFERROR(IF(OR(COUNTIF(INDIRECT("数出表_Excel!"&amp;U3&amp;"3"),"*キャラ*"),
COUNTIF(INDIRECT("数出表_Excel!"&amp;U3&amp;"3"),"*赤*")),
INDIRECT("数出表_Excel!"&amp;U3&amp;"3")
&amp;"　"&amp;INDIRECT("数出表_Excel!"&amp;U3&amp;"4")
&amp;INDIRECT("数出表_Excel!"&amp;U3&amp;"5"),
INDIRECT("数出表_Excel!"&amp;U3&amp;"3")),"")</f>
        <v/>
      </c>
      <c r="P3" t="str">
        <f t="shared" ca="1" si="0"/>
        <v/>
      </c>
      <c r="Q3" t="str">
        <f t="shared" ca="1" si="1"/>
        <v/>
      </c>
      <c r="R3" t="str">
        <f t="shared" ca="1" si="2"/>
        <v/>
      </c>
      <c r="S3" t="str">
        <f t="shared" ca="1" si="3"/>
        <v/>
      </c>
      <c r="T3" t="str">
        <f t="shared" ca="1" si="4"/>
        <v/>
      </c>
      <c r="U3" t="str">
        <f t="shared" ca="1" si="5"/>
        <v/>
      </c>
      <c r="V3" t="str">
        <f t="shared" ca="1" si="6"/>
        <v/>
      </c>
    </row>
    <row r="4" spans="1:22">
      <c r="A4"/>
      <c r="I4">
        <f t="shared" si="7"/>
        <v>13</v>
      </c>
      <c r="J4" t="str">
        <f t="array" aca="1" ref="J4" ca="1">IFERROR(IF(OR(COUNTIF(INDIRECT("数出表_Excel!"&amp;P4&amp;"3"),"*キャラ*"),
COUNTIF(INDIRECT("数出表_Excel!"&amp;P4&amp;"3"),"*赤*")),
IF(COUNTIF(A4,"*雙葉*"),INDIRECT("数出表_Excel!"&amp;P4&amp;"3"),
INDIRECT("数出表_Excel!"&amp;P4&amp;"3")
&amp;"　"&amp;INDIRECT("数出表_Excel!"&amp;P4&amp;"4")
&amp;INDIRECT("数出表_Excel!"&amp;P4&amp;"5")),
INDIRECT("数出表_Excel!"&amp;P4&amp;"3")),"")</f>
        <v/>
      </c>
      <c r="K4" t="str">
        <f t="array" aca="1" ref="K4" ca="1">IFERROR(IF(OR(COUNTIF(INDIRECT("数出表_Excel!"&amp;Q4&amp;"3"),"*キャラ*"),
COUNTIF(INDIRECT("数出表_Excel!"&amp;Q4&amp;"3"),"*赤*")),
INDIRECT("数出表_Excel!"&amp;Q4&amp;"3")
&amp;"　"&amp;INDIRECT("数出表_Excel!"&amp;Q4&amp;"4")
&amp;INDIRECT("数出表_Excel!"&amp;Q4&amp;"5"),
INDIRECT("数出表_Excel!"&amp;Q4&amp;"3")),"")</f>
        <v/>
      </c>
      <c r="L4" t="str">
        <f t="array" aca="1" ref="L4" ca="1">IFERROR(IF(OR(COUNTIF(INDIRECT("数出表_Excel!"&amp;R4&amp;"3"),"*キャラ*"),
COUNTIF(INDIRECT("数出表_Excel!"&amp;R4&amp;"3"),"*赤*")),
INDIRECT("数出表_Excel!"&amp;R4&amp;"3")
&amp;"　"&amp;INDIRECT("数出表_Excel!"&amp;R4&amp;"4")
&amp;INDIRECT("数出表_Excel!"&amp;R4&amp;"5"),
INDIRECT("数出表_Excel!"&amp;R4&amp;"3")),"")</f>
        <v/>
      </c>
      <c r="M4" t="str">
        <f t="array" aca="1" ref="M4" ca="1">IFERROR(IF(OR(COUNTIF(INDIRECT("数出表_Excel!"&amp;S4&amp;"3"),"*キャラ*"),
COUNTIF(INDIRECT("数出表_Excel!"&amp;S4&amp;"3"),"*赤*")),
INDIRECT("数出表_Excel!"&amp;S4&amp;"3")
&amp;"　"&amp;INDIRECT("数出表_Excel!"&amp;S4&amp;"4")
&amp;INDIRECT("数出表_Excel!"&amp;S4&amp;"5"),
INDIRECT("数出表_Excel!"&amp;S4&amp;"3")),"")</f>
        <v/>
      </c>
      <c r="N4" t="str">
        <f t="array" aca="1" ref="N4" ca="1">IFERROR(IF(OR(COUNTIF(INDIRECT("数出表_Excel!"&amp;T4&amp;"3"),"*キャラ*"),
COUNTIF(INDIRECT("数出表_Excel!"&amp;T4&amp;"3"),"*赤*")),
INDIRECT("数出表_Excel!"&amp;T4&amp;"3")
&amp;"　"&amp;INDIRECT("数出表_Excel!"&amp;T4&amp;"4")
&amp;INDIRECT("数出表_Excel!"&amp;T4&amp;"5"),
INDIRECT("数出表_Excel!"&amp;T4&amp;"3")),"")</f>
        <v/>
      </c>
      <c r="O4" t="str">
        <f t="array" aca="1" ref="O4" ca="1">IFERROR(IF(OR(COUNTIF(INDIRECT("数出表_Excel!"&amp;U4&amp;"3"),"*キャラ*"),
COUNTIF(INDIRECT("数出表_Excel!"&amp;U4&amp;"3"),"*赤*")),
INDIRECT("数出表_Excel!"&amp;U4&amp;"3")
&amp;"　"&amp;INDIRECT("数出表_Excel!"&amp;U4&amp;"4")
&amp;INDIRECT("数出表_Excel!"&amp;U4&amp;"5"),
INDIRECT("数出表_Excel!"&amp;U4&amp;"3")),"")</f>
        <v/>
      </c>
      <c r="P4" t="str">
        <f t="shared" ca="1" si="0"/>
        <v/>
      </c>
      <c r="Q4" t="str">
        <f t="shared" ca="1" si="1"/>
        <v/>
      </c>
      <c r="R4" t="str">
        <f t="shared" ca="1" si="2"/>
        <v/>
      </c>
      <c r="S4" t="str">
        <f t="shared" ca="1" si="3"/>
        <v/>
      </c>
      <c r="T4" t="str">
        <f t="shared" ca="1" si="4"/>
        <v/>
      </c>
      <c r="U4" t="str">
        <f t="shared" ca="1" si="5"/>
        <v/>
      </c>
      <c r="V4" t="str">
        <f t="shared" ca="1" si="6"/>
        <v/>
      </c>
    </row>
    <row r="5" spans="1:22">
      <c r="A5"/>
      <c r="I5">
        <f t="shared" si="7"/>
        <v>15</v>
      </c>
      <c r="J5" t="str">
        <f t="array" aca="1" ref="J5" ca="1">IFERROR(IF(OR(COUNTIF(INDIRECT("数出表_Excel!"&amp;P5&amp;"3"),"*キャラ*"),
COUNTIF(INDIRECT("数出表_Excel!"&amp;P5&amp;"3"),"*赤*")),
IF(COUNTIF(A5,"*雙葉*"),INDIRECT("数出表_Excel!"&amp;P5&amp;"3"),
INDIRECT("数出表_Excel!"&amp;P5&amp;"3")
&amp;"　"&amp;INDIRECT("数出表_Excel!"&amp;P5&amp;"4")
&amp;INDIRECT("数出表_Excel!"&amp;P5&amp;"5")),
INDIRECT("数出表_Excel!"&amp;P5&amp;"3")),"")</f>
        <v/>
      </c>
      <c r="K5" t="str">
        <f t="array" aca="1" ref="K5" ca="1">IFERROR(IF(OR(COUNTIF(INDIRECT("数出表_Excel!"&amp;Q5&amp;"3"),"*キャラ*"),
COUNTIF(INDIRECT("数出表_Excel!"&amp;Q5&amp;"3"),"*赤*")),
INDIRECT("数出表_Excel!"&amp;Q5&amp;"3")
&amp;"　"&amp;INDIRECT("数出表_Excel!"&amp;Q5&amp;"4")
&amp;INDIRECT("数出表_Excel!"&amp;Q5&amp;"5"),
INDIRECT("数出表_Excel!"&amp;Q5&amp;"3")),"")</f>
        <v/>
      </c>
      <c r="L5" t="str">
        <f t="array" aca="1" ref="L5" ca="1">IFERROR(IF(OR(COUNTIF(INDIRECT("数出表_Excel!"&amp;R5&amp;"3"),"*キャラ*"),
COUNTIF(INDIRECT("数出表_Excel!"&amp;R5&amp;"3"),"*赤*")),
INDIRECT("数出表_Excel!"&amp;R5&amp;"3")
&amp;"　"&amp;INDIRECT("数出表_Excel!"&amp;R5&amp;"4")
&amp;INDIRECT("数出表_Excel!"&amp;R5&amp;"5"),
INDIRECT("数出表_Excel!"&amp;R5&amp;"3")),"")</f>
        <v/>
      </c>
      <c r="M5" t="str">
        <f t="array" aca="1" ref="M5" ca="1">IFERROR(IF(OR(COUNTIF(INDIRECT("数出表_Excel!"&amp;S5&amp;"3"),"*キャラ*"),
COUNTIF(INDIRECT("数出表_Excel!"&amp;S5&amp;"3"),"*赤*")),
INDIRECT("数出表_Excel!"&amp;S5&amp;"3")
&amp;"　"&amp;INDIRECT("数出表_Excel!"&amp;S5&amp;"4")
&amp;INDIRECT("数出表_Excel!"&amp;S5&amp;"5"),
INDIRECT("数出表_Excel!"&amp;S5&amp;"3")),"")</f>
        <v/>
      </c>
      <c r="N5" t="str">
        <f t="array" aca="1" ref="N5" ca="1">IFERROR(IF(OR(COUNTIF(INDIRECT("数出表_Excel!"&amp;T5&amp;"3"),"*キャラ*"),
COUNTIF(INDIRECT("数出表_Excel!"&amp;T5&amp;"3"),"*赤*")),
INDIRECT("数出表_Excel!"&amp;T5&amp;"3")
&amp;"　"&amp;INDIRECT("数出表_Excel!"&amp;T5&amp;"4")
&amp;INDIRECT("数出表_Excel!"&amp;T5&amp;"5"),
INDIRECT("数出表_Excel!"&amp;T5&amp;"3")),"")</f>
        <v/>
      </c>
      <c r="O5" t="str">
        <f t="array" aca="1" ref="O5" ca="1">IFERROR(IF(OR(COUNTIF(INDIRECT("数出表_Excel!"&amp;U5&amp;"3"),"*キャラ*"),
COUNTIF(INDIRECT("数出表_Excel!"&amp;U5&amp;"3"),"*赤*")),
INDIRECT("数出表_Excel!"&amp;U5&amp;"3")
&amp;"　"&amp;INDIRECT("数出表_Excel!"&amp;U5&amp;"4")
&amp;INDIRECT("数出表_Excel!"&amp;U5&amp;"5"),
INDIRECT("数出表_Excel!"&amp;U5&amp;"3")),"")</f>
        <v/>
      </c>
      <c r="P5" t="str">
        <f t="shared" ca="1" si="0"/>
        <v/>
      </c>
      <c r="Q5" t="str">
        <f t="shared" ca="1" si="1"/>
        <v/>
      </c>
      <c r="R5" t="str">
        <f t="shared" ca="1" si="2"/>
        <v/>
      </c>
      <c r="S5" t="str">
        <f t="shared" ca="1" si="3"/>
        <v/>
      </c>
      <c r="T5" t="str">
        <f t="shared" ca="1" si="4"/>
        <v/>
      </c>
      <c r="U5" t="str">
        <f t="shared" ca="1" si="5"/>
        <v/>
      </c>
      <c r="V5" t="str">
        <f t="shared" ca="1" si="6"/>
        <v/>
      </c>
    </row>
    <row r="6" spans="1:22">
      <c r="A6"/>
      <c r="I6">
        <f t="shared" si="7"/>
        <v>17</v>
      </c>
      <c r="J6" t="str">
        <f t="array" aca="1" ref="J6" ca="1">IFERROR(IF(OR(COUNTIF(INDIRECT("数出表_Excel!"&amp;P6&amp;"3"),"*キャラ*"),
COUNTIF(INDIRECT("数出表_Excel!"&amp;P6&amp;"3"),"*赤*")),
IF(COUNTIF(A6,"*雙葉*"),INDIRECT("数出表_Excel!"&amp;P6&amp;"3"),
INDIRECT("数出表_Excel!"&amp;P6&amp;"3")
&amp;"　"&amp;INDIRECT("数出表_Excel!"&amp;P6&amp;"4")
&amp;INDIRECT("数出表_Excel!"&amp;P6&amp;"5")),
INDIRECT("数出表_Excel!"&amp;P6&amp;"3")),"")</f>
        <v/>
      </c>
      <c r="K6" t="str">
        <f t="array" aca="1" ref="K6" ca="1">IFERROR(IF(OR(COUNTIF(INDIRECT("数出表_Excel!"&amp;Q6&amp;"3"),"*キャラ*"),
COUNTIF(INDIRECT("数出表_Excel!"&amp;Q6&amp;"3"),"*赤*")),
INDIRECT("数出表_Excel!"&amp;Q6&amp;"3")
&amp;"　"&amp;INDIRECT("数出表_Excel!"&amp;Q6&amp;"4")
&amp;INDIRECT("数出表_Excel!"&amp;Q6&amp;"5"),
INDIRECT("数出表_Excel!"&amp;Q6&amp;"3")),"")</f>
        <v/>
      </c>
      <c r="L6" t="str">
        <f t="array" aca="1" ref="L6" ca="1">IFERROR(IF(OR(COUNTIF(INDIRECT("数出表_Excel!"&amp;R6&amp;"3"),"*キャラ*"),
COUNTIF(INDIRECT("数出表_Excel!"&amp;R6&amp;"3"),"*赤*")),
INDIRECT("数出表_Excel!"&amp;R6&amp;"3")
&amp;"　"&amp;INDIRECT("数出表_Excel!"&amp;R6&amp;"4")
&amp;INDIRECT("数出表_Excel!"&amp;R6&amp;"5"),
INDIRECT("数出表_Excel!"&amp;R6&amp;"3")),"")</f>
        <v/>
      </c>
      <c r="M6" t="str">
        <f t="array" aca="1" ref="M6" ca="1">IFERROR(IF(OR(COUNTIF(INDIRECT("数出表_Excel!"&amp;S6&amp;"3"),"*キャラ*"),
COUNTIF(INDIRECT("数出表_Excel!"&amp;S6&amp;"3"),"*赤*")),
INDIRECT("数出表_Excel!"&amp;S6&amp;"3")
&amp;"　"&amp;INDIRECT("数出表_Excel!"&amp;S6&amp;"4")
&amp;INDIRECT("数出表_Excel!"&amp;S6&amp;"5"),
INDIRECT("数出表_Excel!"&amp;S6&amp;"3")),"")</f>
        <v/>
      </c>
      <c r="N6" t="str">
        <f t="array" aca="1" ref="N6" ca="1">IFERROR(IF(OR(COUNTIF(INDIRECT("数出表_Excel!"&amp;T6&amp;"3"),"*キャラ*"),
COUNTIF(INDIRECT("数出表_Excel!"&amp;T6&amp;"3"),"*赤*")),
INDIRECT("数出表_Excel!"&amp;T6&amp;"3")
&amp;"　"&amp;INDIRECT("数出表_Excel!"&amp;T6&amp;"4")
&amp;INDIRECT("数出表_Excel!"&amp;T6&amp;"5"),
INDIRECT("数出表_Excel!"&amp;T6&amp;"3")),"")</f>
        <v/>
      </c>
      <c r="O6" t="str">
        <f t="array" aca="1" ref="O6" ca="1">IFERROR(IF(OR(COUNTIF(INDIRECT("数出表_Excel!"&amp;U6&amp;"3"),"*キャラ*"),
COUNTIF(INDIRECT("数出表_Excel!"&amp;U6&amp;"3"),"*赤*")),
INDIRECT("数出表_Excel!"&amp;U6&amp;"3")
&amp;"　"&amp;INDIRECT("数出表_Excel!"&amp;U6&amp;"4")
&amp;INDIRECT("数出表_Excel!"&amp;U6&amp;"5"),
INDIRECT("数出表_Excel!"&amp;U6&amp;"3")),"")</f>
        <v/>
      </c>
      <c r="P6" t="str">
        <f t="shared" ca="1" si="0"/>
        <v/>
      </c>
      <c r="Q6" t="str">
        <f t="shared" ca="1" si="1"/>
        <v/>
      </c>
      <c r="R6" t="str">
        <f t="shared" ca="1" si="2"/>
        <v/>
      </c>
      <c r="S6" t="str">
        <f t="shared" ca="1" si="3"/>
        <v/>
      </c>
      <c r="T6" t="str">
        <f t="shared" ca="1" si="4"/>
        <v/>
      </c>
      <c r="U6" t="str">
        <f t="shared" ca="1" si="5"/>
        <v/>
      </c>
      <c r="V6" t="str">
        <f t="shared" ca="1" si="6"/>
        <v/>
      </c>
    </row>
    <row r="7" spans="1:22">
      <c r="A7"/>
      <c r="I7">
        <f t="shared" si="7"/>
        <v>19</v>
      </c>
      <c r="J7" t="str">
        <f t="array" aca="1" ref="J7" ca="1">IFERROR(IF(OR(COUNTIF(INDIRECT("数出表_Excel!"&amp;P7&amp;"3"),"*キャラ*"),
COUNTIF(INDIRECT("数出表_Excel!"&amp;P7&amp;"3"),"*赤*")),
IF(COUNTIF(A7,"*雙葉*"),INDIRECT("数出表_Excel!"&amp;P7&amp;"3"),
INDIRECT("数出表_Excel!"&amp;P7&amp;"3")
&amp;"　"&amp;INDIRECT("数出表_Excel!"&amp;P7&amp;"4")
&amp;INDIRECT("数出表_Excel!"&amp;P7&amp;"5")),
INDIRECT("数出表_Excel!"&amp;P7&amp;"3")),"")</f>
        <v/>
      </c>
      <c r="K7" t="str">
        <f t="array" aca="1" ref="K7" ca="1">IFERROR(IF(OR(COUNTIF(INDIRECT("数出表_Excel!"&amp;Q7&amp;"3"),"*キャラ*"),
COUNTIF(INDIRECT("数出表_Excel!"&amp;Q7&amp;"3"),"*赤*")),
INDIRECT("数出表_Excel!"&amp;Q7&amp;"3")
&amp;"　"&amp;INDIRECT("数出表_Excel!"&amp;Q7&amp;"4")
&amp;INDIRECT("数出表_Excel!"&amp;Q7&amp;"5"),
INDIRECT("数出表_Excel!"&amp;Q7&amp;"3")),"")</f>
        <v/>
      </c>
      <c r="L7" t="str">
        <f t="array" aca="1" ref="L7" ca="1">IFERROR(IF(OR(COUNTIF(INDIRECT("数出表_Excel!"&amp;R7&amp;"3"),"*キャラ*"),
COUNTIF(INDIRECT("数出表_Excel!"&amp;R7&amp;"3"),"*赤*")),
INDIRECT("数出表_Excel!"&amp;R7&amp;"3")
&amp;"　"&amp;INDIRECT("数出表_Excel!"&amp;R7&amp;"4")
&amp;INDIRECT("数出表_Excel!"&amp;R7&amp;"5"),
INDIRECT("数出表_Excel!"&amp;R7&amp;"3")),"")</f>
        <v/>
      </c>
      <c r="M7" t="str">
        <f t="array" aca="1" ref="M7" ca="1">IFERROR(IF(OR(COUNTIF(INDIRECT("数出表_Excel!"&amp;S7&amp;"3"),"*キャラ*"),
COUNTIF(INDIRECT("数出表_Excel!"&amp;S7&amp;"3"),"*赤*")),
INDIRECT("数出表_Excel!"&amp;S7&amp;"3")
&amp;"　"&amp;INDIRECT("数出表_Excel!"&amp;S7&amp;"4")
&amp;INDIRECT("数出表_Excel!"&amp;S7&amp;"5"),
INDIRECT("数出表_Excel!"&amp;S7&amp;"3")),"")</f>
        <v/>
      </c>
      <c r="N7" t="str">
        <f t="array" aca="1" ref="N7" ca="1">IFERROR(IF(OR(COUNTIF(INDIRECT("数出表_Excel!"&amp;T7&amp;"3"),"*キャラ*"),
COUNTIF(INDIRECT("数出表_Excel!"&amp;T7&amp;"3"),"*赤*")),
INDIRECT("数出表_Excel!"&amp;T7&amp;"3")
&amp;"　"&amp;INDIRECT("数出表_Excel!"&amp;T7&amp;"4")
&amp;INDIRECT("数出表_Excel!"&amp;T7&amp;"5"),
INDIRECT("数出表_Excel!"&amp;T7&amp;"3")),"")</f>
        <v/>
      </c>
      <c r="O7" t="str">
        <f t="array" aca="1" ref="O7" ca="1">IFERROR(IF(OR(COUNTIF(INDIRECT("数出表_Excel!"&amp;U7&amp;"3"),"*キャラ*"),
COUNTIF(INDIRECT("数出表_Excel!"&amp;U7&amp;"3"),"*赤*")),
INDIRECT("数出表_Excel!"&amp;U7&amp;"3")
&amp;"　"&amp;INDIRECT("数出表_Excel!"&amp;U7&amp;"4")
&amp;INDIRECT("数出表_Excel!"&amp;U7&amp;"5"),
INDIRECT("数出表_Excel!"&amp;U7&amp;"3")),"")</f>
        <v/>
      </c>
      <c r="P7" t="str">
        <f t="shared" ca="1" si="0"/>
        <v/>
      </c>
      <c r="Q7" t="str">
        <f t="shared" ca="1" si="1"/>
        <v/>
      </c>
      <c r="R7" t="str">
        <f t="shared" ca="1" si="2"/>
        <v/>
      </c>
      <c r="S7" t="str">
        <f t="shared" ca="1" si="3"/>
        <v/>
      </c>
      <c r="T7" t="str">
        <f t="shared" ca="1" si="4"/>
        <v/>
      </c>
      <c r="U7" t="str">
        <f t="shared" ca="1" si="5"/>
        <v/>
      </c>
      <c r="V7" t="str">
        <f t="shared" ca="1" si="6"/>
        <v/>
      </c>
    </row>
    <row r="8" spans="1:22">
      <c r="A8"/>
      <c r="I8">
        <f t="shared" si="7"/>
        <v>21</v>
      </c>
      <c r="J8" t="str">
        <f t="array" aca="1" ref="J8" ca="1">IFERROR(IF(OR(COUNTIF(INDIRECT("数出表_Excel!"&amp;P8&amp;"3"),"*キャラ*"),
COUNTIF(INDIRECT("数出表_Excel!"&amp;P8&amp;"3"),"*赤*")),
IF(COUNTIF(A8,"*雙葉*"),INDIRECT("数出表_Excel!"&amp;P8&amp;"3"),
INDIRECT("数出表_Excel!"&amp;P8&amp;"3")
&amp;"　"&amp;INDIRECT("数出表_Excel!"&amp;P8&amp;"4")
&amp;INDIRECT("数出表_Excel!"&amp;P8&amp;"5")),
INDIRECT("数出表_Excel!"&amp;P8&amp;"3")),"")</f>
        <v/>
      </c>
      <c r="K8" t="str">
        <f t="array" aca="1" ref="K8" ca="1">IFERROR(IF(OR(COUNTIF(INDIRECT("数出表_Excel!"&amp;Q8&amp;"3"),"*キャラ*"),
COUNTIF(INDIRECT("数出表_Excel!"&amp;Q8&amp;"3"),"*赤*")),
INDIRECT("数出表_Excel!"&amp;Q8&amp;"3")
&amp;"　"&amp;INDIRECT("数出表_Excel!"&amp;Q8&amp;"4")
&amp;INDIRECT("数出表_Excel!"&amp;Q8&amp;"5"),
INDIRECT("数出表_Excel!"&amp;Q8&amp;"3")),"")</f>
        <v/>
      </c>
      <c r="L8" t="str">
        <f t="array" aca="1" ref="L8" ca="1">IFERROR(IF(OR(COUNTIF(INDIRECT("数出表_Excel!"&amp;R8&amp;"3"),"*キャラ*"),
COUNTIF(INDIRECT("数出表_Excel!"&amp;R8&amp;"3"),"*赤*")),
INDIRECT("数出表_Excel!"&amp;R8&amp;"3")
&amp;"　"&amp;INDIRECT("数出表_Excel!"&amp;R8&amp;"4")
&amp;INDIRECT("数出表_Excel!"&amp;R8&amp;"5"),
INDIRECT("数出表_Excel!"&amp;R8&amp;"3")),"")</f>
        <v/>
      </c>
      <c r="M8" t="str">
        <f t="array" aca="1" ref="M8" ca="1">IFERROR(IF(OR(COUNTIF(INDIRECT("数出表_Excel!"&amp;S8&amp;"3"),"*キャラ*"),
COUNTIF(INDIRECT("数出表_Excel!"&amp;S8&amp;"3"),"*赤*")),
INDIRECT("数出表_Excel!"&amp;S8&amp;"3")
&amp;"　"&amp;INDIRECT("数出表_Excel!"&amp;S8&amp;"4")
&amp;INDIRECT("数出表_Excel!"&amp;S8&amp;"5"),
INDIRECT("数出表_Excel!"&amp;S8&amp;"3")),"")</f>
        <v/>
      </c>
      <c r="N8" t="str">
        <f t="array" aca="1" ref="N8" ca="1">IFERROR(IF(OR(COUNTIF(INDIRECT("数出表_Excel!"&amp;T8&amp;"3"),"*キャラ*"),
COUNTIF(INDIRECT("数出表_Excel!"&amp;T8&amp;"3"),"*赤*")),
INDIRECT("数出表_Excel!"&amp;T8&amp;"3")
&amp;"　"&amp;INDIRECT("数出表_Excel!"&amp;T8&amp;"4")
&amp;INDIRECT("数出表_Excel!"&amp;T8&amp;"5"),
INDIRECT("数出表_Excel!"&amp;T8&amp;"3")),"")</f>
        <v/>
      </c>
      <c r="O8" t="str">
        <f t="array" aca="1" ref="O8" ca="1">IFERROR(IF(OR(COUNTIF(INDIRECT("数出表_Excel!"&amp;U8&amp;"3"),"*キャラ*"),
COUNTIF(INDIRECT("数出表_Excel!"&amp;U8&amp;"3"),"*赤*")),
INDIRECT("数出表_Excel!"&amp;U8&amp;"3")
&amp;"　"&amp;INDIRECT("数出表_Excel!"&amp;U8&amp;"4")
&amp;INDIRECT("数出表_Excel!"&amp;U8&amp;"5"),
INDIRECT("数出表_Excel!"&amp;U8&amp;"3")),"")</f>
        <v/>
      </c>
      <c r="P8" t="str">
        <f t="shared" ca="1" si="0"/>
        <v/>
      </c>
      <c r="Q8" t="str">
        <f t="shared" ca="1" si="1"/>
        <v/>
      </c>
      <c r="R8" t="str">
        <f t="shared" ca="1" si="2"/>
        <v/>
      </c>
      <c r="S8" t="str">
        <f t="shared" ca="1" si="3"/>
        <v/>
      </c>
      <c r="T8" t="str">
        <f t="shared" ca="1" si="4"/>
        <v/>
      </c>
      <c r="U8" t="str">
        <f t="shared" ca="1" si="5"/>
        <v/>
      </c>
      <c r="V8" t="str">
        <f t="shared" ca="1" si="6"/>
        <v/>
      </c>
    </row>
    <row r="9" spans="1:22">
      <c r="A9"/>
      <c r="I9">
        <f t="shared" si="7"/>
        <v>23</v>
      </c>
      <c r="J9" t="str">
        <f t="array" aca="1" ref="J9" ca="1">IFERROR(IF(OR(COUNTIF(INDIRECT("数出表_Excel!"&amp;P9&amp;"3"),"*キャラ*"),
COUNTIF(INDIRECT("数出表_Excel!"&amp;P9&amp;"3"),"*赤*")),
IF(COUNTIF(A9,"*雙葉*"),INDIRECT("数出表_Excel!"&amp;P9&amp;"3"),
INDIRECT("数出表_Excel!"&amp;P9&amp;"3")
&amp;"　"&amp;INDIRECT("数出表_Excel!"&amp;P9&amp;"4")
&amp;INDIRECT("数出表_Excel!"&amp;P9&amp;"5")),
INDIRECT("数出表_Excel!"&amp;P9&amp;"3")),"")</f>
        <v/>
      </c>
      <c r="K9" t="str">
        <f t="array" aca="1" ref="K9" ca="1">IFERROR(IF(OR(COUNTIF(INDIRECT("数出表_Excel!"&amp;Q9&amp;"3"),"*キャラ*"),
COUNTIF(INDIRECT("数出表_Excel!"&amp;Q9&amp;"3"),"*赤*")),
INDIRECT("数出表_Excel!"&amp;Q9&amp;"3")
&amp;"　"&amp;INDIRECT("数出表_Excel!"&amp;Q9&amp;"4")
&amp;INDIRECT("数出表_Excel!"&amp;Q9&amp;"5"),
INDIRECT("数出表_Excel!"&amp;Q9&amp;"3")),"")</f>
        <v/>
      </c>
      <c r="L9" t="str">
        <f t="array" aca="1" ref="L9" ca="1">IFERROR(IF(OR(COUNTIF(INDIRECT("数出表_Excel!"&amp;R9&amp;"3"),"*キャラ*"),
COUNTIF(INDIRECT("数出表_Excel!"&amp;R9&amp;"3"),"*赤*")),
INDIRECT("数出表_Excel!"&amp;R9&amp;"3")
&amp;"　"&amp;INDIRECT("数出表_Excel!"&amp;R9&amp;"4")
&amp;INDIRECT("数出表_Excel!"&amp;R9&amp;"5"),
INDIRECT("数出表_Excel!"&amp;R9&amp;"3")),"")</f>
        <v/>
      </c>
      <c r="M9" t="str">
        <f t="array" aca="1" ref="M9" ca="1">IFERROR(IF(OR(COUNTIF(INDIRECT("数出表_Excel!"&amp;S9&amp;"3"),"*キャラ*"),
COUNTIF(INDIRECT("数出表_Excel!"&amp;S9&amp;"3"),"*赤*")),
INDIRECT("数出表_Excel!"&amp;S9&amp;"3")
&amp;"　"&amp;INDIRECT("数出表_Excel!"&amp;S9&amp;"4")
&amp;INDIRECT("数出表_Excel!"&amp;S9&amp;"5"),
INDIRECT("数出表_Excel!"&amp;S9&amp;"3")),"")</f>
        <v/>
      </c>
      <c r="N9" t="str">
        <f t="array" aca="1" ref="N9" ca="1">IFERROR(IF(OR(COUNTIF(INDIRECT("数出表_Excel!"&amp;T9&amp;"3"),"*キャラ*"),
COUNTIF(INDIRECT("数出表_Excel!"&amp;T9&amp;"3"),"*赤*")),
INDIRECT("数出表_Excel!"&amp;T9&amp;"3")
&amp;"　"&amp;INDIRECT("数出表_Excel!"&amp;T9&amp;"4")
&amp;INDIRECT("数出表_Excel!"&amp;T9&amp;"5"),
INDIRECT("数出表_Excel!"&amp;T9&amp;"3")),"")</f>
        <v/>
      </c>
      <c r="O9" t="str">
        <f t="array" aca="1" ref="O9" ca="1">IFERROR(IF(OR(COUNTIF(INDIRECT("数出表_Excel!"&amp;U9&amp;"3"),"*キャラ*"),
COUNTIF(INDIRECT("数出表_Excel!"&amp;U9&amp;"3"),"*赤*")),
INDIRECT("数出表_Excel!"&amp;U9&amp;"3")
&amp;"　"&amp;INDIRECT("数出表_Excel!"&amp;U9&amp;"4")
&amp;INDIRECT("数出表_Excel!"&amp;U9&amp;"5"),
INDIRECT("数出表_Excel!"&amp;U9&amp;"3")),"")</f>
        <v/>
      </c>
      <c r="P9" t="str">
        <f t="shared" ca="1" si="0"/>
        <v/>
      </c>
      <c r="Q9" t="str">
        <f t="shared" ca="1" si="1"/>
        <v/>
      </c>
      <c r="R9" t="str">
        <f t="shared" ca="1" si="2"/>
        <v/>
      </c>
      <c r="S9" t="str">
        <f t="shared" ca="1" si="3"/>
        <v/>
      </c>
      <c r="T9" t="str">
        <f t="shared" ca="1" si="4"/>
        <v/>
      </c>
      <c r="U9" t="str">
        <f t="shared" ca="1" si="5"/>
        <v/>
      </c>
      <c r="V9" t="str">
        <f t="shared" ca="1" si="6"/>
        <v/>
      </c>
    </row>
    <row r="10" spans="1:22">
      <c r="A10"/>
      <c r="I10">
        <f t="shared" si="7"/>
        <v>25</v>
      </c>
      <c r="J10" t="str">
        <f t="array" aca="1" ref="J10" ca="1">IFERROR(IF(OR(COUNTIF(INDIRECT("数出表_Excel!"&amp;P10&amp;"3"),"*キャラ*"),
COUNTIF(INDIRECT("数出表_Excel!"&amp;P10&amp;"3"),"*赤*")),
IF(COUNTIF(A10,"*雙葉*"),INDIRECT("数出表_Excel!"&amp;P10&amp;"3"),
INDIRECT("数出表_Excel!"&amp;P10&amp;"3")
&amp;"　"&amp;INDIRECT("数出表_Excel!"&amp;P10&amp;"4")
&amp;INDIRECT("数出表_Excel!"&amp;P10&amp;"5")),
INDIRECT("数出表_Excel!"&amp;P10&amp;"3")),"")</f>
        <v/>
      </c>
      <c r="K10" t="str">
        <f t="array" aca="1" ref="K10" ca="1">IFERROR(IF(OR(COUNTIF(INDIRECT("数出表_Excel!"&amp;Q10&amp;"3"),"*キャラ*"),
COUNTIF(INDIRECT("数出表_Excel!"&amp;Q10&amp;"3"),"*赤*")),
INDIRECT("数出表_Excel!"&amp;Q10&amp;"3")
&amp;"　"&amp;INDIRECT("数出表_Excel!"&amp;Q10&amp;"4")
&amp;INDIRECT("数出表_Excel!"&amp;Q10&amp;"5"),
INDIRECT("数出表_Excel!"&amp;Q10&amp;"3")),"")</f>
        <v/>
      </c>
      <c r="L10" t="str">
        <f t="array" aca="1" ref="L10" ca="1">IFERROR(IF(OR(COUNTIF(INDIRECT("数出表_Excel!"&amp;R10&amp;"3"),"*キャラ*"),
COUNTIF(INDIRECT("数出表_Excel!"&amp;R10&amp;"3"),"*赤*")),
INDIRECT("数出表_Excel!"&amp;R10&amp;"3")
&amp;"　"&amp;INDIRECT("数出表_Excel!"&amp;R10&amp;"4")
&amp;INDIRECT("数出表_Excel!"&amp;R10&amp;"5"),
INDIRECT("数出表_Excel!"&amp;R10&amp;"3")),"")</f>
        <v/>
      </c>
      <c r="M10" t="str">
        <f t="array" aca="1" ref="M10" ca="1">IFERROR(IF(OR(COUNTIF(INDIRECT("数出表_Excel!"&amp;S10&amp;"3"),"*キャラ*"),
COUNTIF(INDIRECT("数出表_Excel!"&amp;S10&amp;"3"),"*赤*")),
INDIRECT("数出表_Excel!"&amp;S10&amp;"3")
&amp;"　"&amp;INDIRECT("数出表_Excel!"&amp;S10&amp;"4")
&amp;INDIRECT("数出表_Excel!"&amp;S10&amp;"5"),
INDIRECT("数出表_Excel!"&amp;S10&amp;"3")),"")</f>
        <v/>
      </c>
      <c r="N10" t="str">
        <f t="array" aca="1" ref="N10" ca="1">IFERROR(IF(OR(COUNTIF(INDIRECT("数出表_Excel!"&amp;T10&amp;"3"),"*キャラ*"),
COUNTIF(INDIRECT("数出表_Excel!"&amp;T10&amp;"3"),"*赤*")),
INDIRECT("数出表_Excel!"&amp;T10&amp;"3")
&amp;"　"&amp;INDIRECT("数出表_Excel!"&amp;T10&amp;"4")
&amp;INDIRECT("数出表_Excel!"&amp;T10&amp;"5"),
INDIRECT("数出表_Excel!"&amp;T10&amp;"3")),"")</f>
        <v/>
      </c>
      <c r="O10" t="str">
        <f t="array" aca="1" ref="O10" ca="1">IFERROR(IF(OR(COUNTIF(INDIRECT("数出表_Excel!"&amp;U10&amp;"3"),"*キャラ*"),
COUNTIF(INDIRECT("数出表_Excel!"&amp;U10&amp;"3"),"*赤*")),
INDIRECT("数出表_Excel!"&amp;U10&amp;"3")
&amp;"　"&amp;INDIRECT("数出表_Excel!"&amp;U10&amp;"4")
&amp;INDIRECT("数出表_Excel!"&amp;U10&amp;"5"),
INDIRECT("数出表_Excel!"&amp;U10&amp;"3")),"")</f>
        <v/>
      </c>
      <c r="P10" t="str">
        <f t="shared" ca="1" si="0"/>
        <v/>
      </c>
      <c r="Q10" t="str">
        <f t="shared" ca="1" si="1"/>
        <v/>
      </c>
      <c r="R10" t="str">
        <f t="shared" ca="1" si="2"/>
        <v/>
      </c>
      <c r="S10" t="str">
        <f t="shared" ca="1" si="3"/>
        <v/>
      </c>
      <c r="T10" t="str">
        <f t="shared" ca="1" si="4"/>
        <v/>
      </c>
      <c r="U10" t="str">
        <f t="shared" ca="1" si="5"/>
        <v/>
      </c>
      <c r="V10" t="str">
        <f t="shared" ca="1" si="6"/>
        <v/>
      </c>
    </row>
    <row r="11" spans="1:22">
      <c r="A11"/>
      <c r="I11">
        <f t="shared" si="7"/>
        <v>27</v>
      </c>
      <c r="J11" t="str">
        <f t="array" aca="1" ref="J11" ca="1">IFERROR(IF(OR(COUNTIF(INDIRECT("数出表_Excel!"&amp;P11&amp;"3"),"*キャラ*"),
COUNTIF(INDIRECT("数出表_Excel!"&amp;P11&amp;"3"),"*赤*")),
IF(COUNTIF(A11,"*雙葉*"),INDIRECT("数出表_Excel!"&amp;P11&amp;"3"),
INDIRECT("数出表_Excel!"&amp;P11&amp;"3")
&amp;"　"&amp;INDIRECT("数出表_Excel!"&amp;P11&amp;"4")
&amp;INDIRECT("数出表_Excel!"&amp;P11&amp;"5")),
INDIRECT("数出表_Excel!"&amp;P11&amp;"3")),"")</f>
        <v/>
      </c>
      <c r="K11" t="str">
        <f t="array" aca="1" ref="K11" ca="1">IFERROR(IF(OR(COUNTIF(INDIRECT("数出表_Excel!"&amp;Q11&amp;"3"),"*キャラ*"),
COUNTIF(INDIRECT("数出表_Excel!"&amp;Q11&amp;"3"),"*赤*")),
INDIRECT("数出表_Excel!"&amp;Q11&amp;"3")
&amp;"　"&amp;INDIRECT("数出表_Excel!"&amp;Q11&amp;"4")
&amp;INDIRECT("数出表_Excel!"&amp;Q11&amp;"5"),
INDIRECT("数出表_Excel!"&amp;Q11&amp;"3")),"")</f>
        <v/>
      </c>
      <c r="L11" t="str">
        <f t="array" aca="1" ref="L11" ca="1">IFERROR(IF(OR(COUNTIF(INDIRECT("数出表_Excel!"&amp;R11&amp;"3"),"*キャラ*"),
COUNTIF(INDIRECT("数出表_Excel!"&amp;R11&amp;"3"),"*赤*")),
INDIRECT("数出表_Excel!"&amp;R11&amp;"3")
&amp;"　"&amp;INDIRECT("数出表_Excel!"&amp;R11&amp;"4")
&amp;INDIRECT("数出表_Excel!"&amp;R11&amp;"5"),
INDIRECT("数出表_Excel!"&amp;R11&amp;"3")),"")</f>
        <v/>
      </c>
      <c r="M11" t="str">
        <f t="array" aca="1" ref="M11" ca="1">IFERROR(IF(OR(COUNTIF(INDIRECT("数出表_Excel!"&amp;S11&amp;"3"),"*キャラ*"),
COUNTIF(INDIRECT("数出表_Excel!"&amp;S11&amp;"3"),"*赤*")),
INDIRECT("数出表_Excel!"&amp;S11&amp;"3")
&amp;"　"&amp;INDIRECT("数出表_Excel!"&amp;S11&amp;"4")
&amp;INDIRECT("数出表_Excel!"&amp;S11&amp;"5"),
INDIRECT("数出表_Excel!"&amp;S11&amp;"3")),"")</f>
        <v/>
      </c>
      <c r="N11" t="str">
        <f t="array" aca="1" ref="N11" ca="1">IFERROR(IF(OR(COUNTIF(INDIRECT("数出表_Excel!"&amp;T11&amp;"3"),"*キャラ*"),
COUNTIF(INDIRECT("数出表_Excel!"&amp;T11&amp;"3"),"*赤*")),
INDIRECT("数出表_Excel!"&amp;T11&amp;"3")
&amp;"　"&amp;INDIRECT("数出表_Excel!"&amp;T11&amp;"4")
&amp;INDIRECT("数出表_Excel!"&amp;T11&amp;"5"),
INDIRECT("数出表_Excel!"&amp;T11&amp;"3")),"")</f>
        <v/>
      </c>
      <c r="O11" t="str">
        <f t="array" aca="1" ref="O11" ca="1">IFERROR(IF(OR(COUNTIF(INDIRECT("数出表_Excel!"&amp;U11&amp;"3"),"*キャラ*"),
COUNTIF(INDIRECT("数出表_Excel!"&amp;U11&amp;"3"),"*赤*")),
INDIRECT("数出表_Excel!"&amp;U11&amp;"3")
&amp;"　"&amp;INDIRECT("数出表_Excel!"&amp;U11&amp;"4")
&amp;INDIRECT("数出表_Excel!"&amp;U11&amp;"5"),
INDIRECT("数出表_Excel!"&amp;U11&amp;"3")),"")</f>
        <v/>
      </c>
      <c r="P11" t="str">
        <f t="shared" ca="1" si="0"/>
        <v/>
      </c>
      <c r="Q11" t="str">
        <f t="shared" ca="1" si="1"/>
        <v/>
      </c>
      <c r="R11" t="str">
        <f t="shared" ca="1" si="2"/>
        <v/>
      </c>
      <c r="S11" t="str">
        <f t="shared" ca="1" si="3"/>
        <v/>
      </c>
      <c r="T11" t="str">
        <f t="shared" ca="1" si="4"/>
        <v/>
      </c>
      <c r="U11" t="str">
        <f t="shared" ca="1" si="5"/>
        <v/>
      </c>
      <c r="V11" t="str">
        <f t="shared" ca="1" si="6"/>
        <v/>
      </c>
    </row>
    <row r="12" spans="1:22">
      <c r="A12"/>
      <c r="I12">
        <f t="shared" si="7"/>
        <v>29</v>
      </c>
      <c r="J12" t="str">
        <f t="array" aca="1" ref="J12" ca="1">IFERROR(IF(OR(COUNTIF(INDIRECT("数出表_Excel!"&amp;P12&amp;"3"),"*キャラ*"),
COUNTIF(INDIRECT("数出表_Excel!"&amp;P12&amp;"3"),"*赤*")),
IF(COUNTIF(A12,"*雙葉*"),INDIRECT("数出表_Excel!"&amp;P12&amp;"3"),
INDIRECT("数出表_Excel!"&amp;P12&amp;"3")
&amp;"　"&amp;INDIRECT("数出表_Excel!"&amp;P12&amp;"4")
&amp;INDIRECT("数出表_Excel!"&amp;P12&amp;"5")),
INDIRECT("数出表_Excel!"&amp;P12&amp;"3")),"")</f>
        <v/>
      </c>
      <c r="K12" t="str">
        <f t="array" aca="1" ref="K12" ca="1">IFERROR(IF(OR(COUNTIF(INDIRECT("数出表_Excel!"&amp;Q12&amp;"3"),"*キャラ*"),
COUNTIF(INDIRECT("数出表_Excel!"&amp;Q12&amp;"3"),"*赤*")),
INDIRECT("数出表_Excel!"&amp;Q12&amp;"3")
&amp;"　"&amp;INDIRECT("数出表_Excel!"&amp;Q12&amp;"4")
&amp;INDIRECT("数出表_Excel!"&amp;Q12&amp;"5"),
INDIRECT("数出表_Excel!"&amp;Q12&amp;"3")),"")</f>
        <v/>
      </c>
      <c r="L12" t="str">
        <f t="array" aca="1" ref="L12" ca="1">IFERROR(IF(OR(COUNTIF(INDIRECT("数出表_Excel!"&amp;R12&amp;"3"),"*キャラ*"),
COUNTIF(INDIRECT("数出表_Excel!"&amp;R12&amp;"3"),"*赤*")),
INDIRECT("数出表_Excel!"&amp;R12&amp;"3")
&amp;"　"&amp;INDIRECT("数出表_Excel!"&amp;R12&amp;"4")
&amp;INDIRECT("数出表_Excel!"&amp;R12&amp;"5"),
INDIRECT("数出表_Excel!"&amp;R12&amp;"3")),"")</f>
        <v/>
      </c>
      <c r="M12" t="str">
        <f t="array" aca="1" ref="M12" ca="1">IFERROR(IF(OR(COUNTIF(INDIRECT("数出表_Excel!"&amp;S12&amp;"3"),"*キャラ*"),
COUNTIF(INDIRECT("数出表_Excel!"&amp;S12&amp;"3"),"*赤*")),
INDIRECT("数出表_Excel!"&amp;S12&amp;"3")
&amp;"　"&amp;INDIRECT("数出表_Excel!"&amp;S12&amp;"4")
&amp;INDIRECT("数出表_Excel!"&amp;S12&amp;"5"),
INDIRECT("数出表_Excel!"&amp;S12&amp;"3")),"")</f>
        <v/>
      </c>
      <c r="N12" t="str">
        <f t="array" aca="1" ref="N12" ca="1">IFERROR(IF(OR(COUNTIF(INDIRECT("数出表_Excel!"&amp;T12&amp;"3"),"*キャラ*"),
COUNTIF(INDIRECT("数出表_Excel!"&amp;T12&amp;"3"),"*赤*")),
INDIRECT("数出表_Excel!"&amp;T12&amp;"3")
&amp;"　"&amp;INDIRECT("数出表_Excel!"&amp;T12&amp;"4")
&amp;INDIRECT("数出表_Excel!"&amp;T12&amp;"5"),
INDIRECT("数出表_Excel!"&amp;T12&amp;"3")),"")</f>
        <v/>
      </c>
      <c r="O12" t="str">
        <f t="array" aca="1" ref="O12" ca="1">IFERROR(IF(OR(COUNTIF(INDIRECT("数出表_Excel!"&amp;U12&amp;"3"),"*キャラ*"),
COUNTIF(INDIRECT("数出表_Excel!"&amp;U12&amp;"3"),"*赤*")),
INDIRECT("数出表_Excel!"&amp;U12&amp;"3")
&amp;"　"&amp;INDIRECT("数出表_Excel!"&amp;U12&amp;"4")
&amp;INDIRECT("数出表_Excel!"&amp;U12&amp;"5"),
INDIRECT("数出表_Excel!"&amp;U12&amp;"3")),"")</f>
        <v/>
      </c>
      <c r="P12" t="str">
        <f t="shared" ca="1" si="0"/>
        <v/>
      </c>
      <c r="Q12" t="str">
        <f t="shared" ca="1" si="1"/>
        <v/>
      </c>
      <c r="R12" t="str">
        <f t="shared" ca="1" si="2"/>
        <v/>
      </c>
      <c r="S12" t="str">
        <f t="shared" ca="1" si="3"/>
        <v/>
      </c>
      <c r="T12" t="str">
        <f t="shared" ca="1" si="4"/>
        <v/>
      </c>
      <c r="U12" t="str">
        <f t="shared" ca="1" si="5"/>
        <v/>
      </c>
      <c r="V12" t="str">
        <f t="shared" ca="1" si="6"/>
        <v/>
      </c>
    </row>
    <row r="13" spans="1:22">
      <c r="A13"/>
      <c r="I13">
        <f t="shared" si="7"/>
        <v>31</v>
      </c>
      <c r="J13" t="str">
        <f t="array" aca="1" ref="J13" ca="1">IFERROR(IF(OR(COUNTIF(INDIRECT("数出表_Excel!"&amp;P13&amp;"3"),"*キャラ*"),
COUNTIF(INDIRECT("数出表_Excel!"&amp;P13&amp;"3"),"*赤*")),
IF(COUNTIF(A13,"*雙葉*"),INDIRECT("数出表_Excel!"&amp;P13&amp;"3"),
INDIRECT("数出表_Excel!"&amp;P13&amp;"3")
&amp;"　"&amp;INDIRECT("数出表_Excel!"&amp;P13&amp;"4")
&amp;INDIRECT("数出表_Excel!"&amp;P13&amp;"5")),
INDIRECT("数出表_Excel!"&amp;P13&amp;"3")),"")</f>
        <v/>
      </c>
      <c r="K13" t="str">
        <f t="array" aca="1" ref="K13" ca="1">IFERROR(IF(OR(COUNTIF(INDIRECT("数出表_Excel!"&amp;Q13&amp;"3"),"*キャラ*"),
COUNTIF(INDIRECT("数出表_Excel!"&amp;Q13&amp;"3"),"*赤*")),
INDIRECT("数出表_Excel!"&amp;Q13&amp;"3")
&amp;"　"&amp;INDIRECT("数出表_Excel!"&amp;Q13&amp;"4")
&amp;INDIRECT("数出表_Excel!"&amp;Q13&amp;"5"),
INDIRECT("数出表_Excel!"&amp;Q13&amp;"3")),"")</f>
        <v/>
      </c>
      <c r="L13" t="str">
        <f t="array" aca="1" ref="L13" ca="1">IFERROR(IF(OR(COUNTIF(INDIRECT("数出表_Excel!"&amp;R13&amp;"3"),"*キャラ*"),
COUNTIF(INDIRECT("数出表_Excel!"&amp;R13&amp;"3"),"*赤*")),
INDIRECT("数出表_Excel!"&amp;R13&amp;"3")
&amp;"　"&amp;INDIRECT("数出表_Excel!"&amp;R13&amp;"4")
&amp;INDIRECT("数出表_Excel!"&amp;R13&amp;"5"),
INDIRECT("数出表_Excel!"&amp;R13&amp;"3")),"")</f>
        <v/>
      </c>
      <c r="M13" t="str">
        <f t="array" aca="1" ref="M13" ca="1">IFERROR(IF(OR(COUNTIF(INDIRECT("数出表_Excel!"&amp;S13&amp;"3"),"*キャラ*"),
COUNTIF(INDIRECT("数出表_Excel!"&amp;S13&amp;"3"),"*赤*")),
INDIRECT("数出表_Excel!"&amp;S13&amp;"3")
&amp;"　"&amp;INDIRECT("数出表_Excel!"&amp;S13&amp;"4")
&amp;INDIRECT("数出表_Excel!"&amp;S13&amp;"5"),
INDIRECT("数出表_Excel!"&amp;S13&amp;"3")),"")</f>
        <v/>
      </c>
      <c r="N13" t="str">
        <f t="array" aca="1" ref="N13" ca="1">IFERROR(IF(OR(COUNTIF(INDIRECT("数出表_Excel!"&amp;T13&amp;"3"),"*キャラ*"),
COUNTIF(INDIRECT("数出表_Excel!"&amp;T13&amp;"3"),"*赤*")),
INDIRECT("数出表_Excel!"&amp;T13&amp;"3")
&amp;"　"&amp;INDIRECT("数出表_Excel!"&amp;T13&amp;"4")
&amp;INDIRECT("数出表_Excel!"&amp;T13&amp;"5"),
INDIRECT("数出表_Excel!"&amp;T13&amp;"3")),"")</f>
        <v/>
      </c>
      <c r="O13" t="str">
        <f t="array" aca="1" ref="O13" ca="1">IFERROR(IF(OR(COUNTIF(INDIRECT("数出表_Excel!"&amp;U13&amp;"3"),"*キャラ*"),
COUNTIF(INDIRECT("数出表_Excel!"&amp;U13&amp;"3"),"*赤*")),
INDIRECT("数出表_Excel!"&amp;U13&amp;"3")
&amp;"　"&amp;INDIRECT("数出表_Excel!"&amp;U13&amp;"4")
&amp;INDIRECT("数出表_Excel!"&amp;U13&amp;"5"),
INDIRECT("数出表_Excel!"&amp;U13&amp;"3")),"")</f>
        <v/>
      </c>
      <c r="P13" t="str">
        <f t="shared" ca="1" si="0"/>
        <v/>
      </c>
      <c r="Q13" t="str">
        <f t="shared" ca="1" si="1"/>
        <v/>
      </c>
      <c r="R13" t="str">
        <f t="shared" ca="1" si="2"/>
        <v/>
      </c>
      <c r="S13" t="str">
        <f t="shared" ca="1" si="3"/>
        <v/>
      </c>
      <c r="T13" t="str">
        <f t="shared" ca="1" si="4"/>
        <v/>
      </c>
      <c r="U13" t="str">
        <f t="shared" ca="1" si="5"/>
        <v/>
      </c>
      <c r="V13" t="str">
        <f t="shared" ca="1" si="6"/>
        <v/>
      </c>
    </row>
    <row r="14" spans="1:22">
      <c r="A14"/>
      <c r="I14">
        <f t="shared" si="7"/>
        <v>33</v>
      </c>
      <c r="J14" t="str">
        <f t="array" aca="1" ref="J14" ca="1">IFERROR(IF(OR(COUNTIF(INDIRECT("数出表_Excel!"&amp;P14&amp;"3"),"*キャラ*"),
COUNTIF(INDIRECT("数出表_Excel!"&amp;P14&amp;"3"),"*赤*")),
IF(COUNTIF(A14,"*雙葉*"),INDIRECT("数出表_Excel!"&amp;P14&amp;"3"),
INDIRECT("数出表_Excel!"&amp;P14&amp;"3")
&amp;"　"&amp;INDIRECT("数出表_Excel!"&amp;P14&amp;"4")
&amp;INDIRECT("数出表_Excel!"&amp;P14&amp;"5")),
INDIRECT("数出表_Excel!"&amp;P14&amp;"3")),"")</f>
        <v/>
      </c>
      <c r="K14" t="str">
        <f t="array" aca="1" ref="K14" ca="1">IFERROR(IF(OR(COUNTIF(INDIRECT("数出表_Excel!"&amp;Q14&amp;"3"),"*キャラ*"),
COUNTIF(INDIRECT("数出表_Excel!"&amp;Q14&amp;"3"),"*赤*")),
INDIRECT("数出表_Excel!"&amp;Q14&amp;"3")
&amp;"　"&amp;INDIRECT("数出表_Excel!"&amp;Q14&amp;"4")
&amp;INDIRECT("数出表_Excel!"&amp;Q14&amp;"5"),
INDIRECT("数出表_Excel!"&amp;Q14&amp;"3")),"")</f>
        <v/>
      </c>
      <c r="L14" t="str">
        <f t="array" aca="1" ref="L14" ca="1">IFERROR(IF(OR(COUNTIF(INDIRECT("数出表_Excel!"&amp;R14&amp;"3"),"*キャラ*"),
COUNTIF(INDIRECT("数出表_Excel!"&amp;R14&amp;"3"),"*赤*")),
INDIRECT("数出表_Excel!"&amp;R14&amp;"3")
&amp;"　"&amp;INDIRECT("数出表_Excel!"&amp;R14&amp;"4")
&amp;INDIRECT("数出表_Excel!"&amp;R14&amp;"5"),
INDIRECT("数出表_Excel!"&amp;R14&amp;"3")),"")</f>
        <v/>
      </c>
      <c r="M14" t="str">
        <f t="array" aca="1" ref="M14" ca="1">IFERROR(IF(OR(COUNTIF(INDIRECT("数出表_Excel!"&amp;S14&amp;"3"),"*キャラ*"),
COUNTIF(INDIRECT("数出表_Excel!"&amp;S14&amp;"3"),"*赤*")),
INDIRECT("数出表_Excel!"&amp;S14&amp;"3")
&amp;"　"&amp;INDIRECT("数出表_Excel!"&amp;S14&amp;"4")
&amp;INDIRECT("数出表_Excel!"&amp;S14&amp;"5"),
INDIRECT("数出表_Excel!"&amp;S14&amp;"3")),"")</f>
        <v/>
      </c>
      <c r="N14" t="str">
        <f t="array" aca="1" ref="N14" ca="1">IFERROR(IF(OR(COUNTIF(INDIRECT("数出表_Excel!"&amp;T14&amp;"3"),"*キャラ*"),
COUNTIF(INDIRECT("数出表_Excel!"&amp;T14&amp;"3"),"*赤*")),
INDIRECT("数出表_Excel!"&amp;T14&amp;"3")
&amp;"　"&amp;INDIRECT("数出表_Excel!"&amp;T14&amp;"4")
&amp;INDIRECT("数出表_Excel!"&amp;T14&amp;"5"),
INDIRECT("数出表_Excel!"&amp;T14&amp;"3")),"")</f>
        <v/>
      </c>
      <c r="O14" t="str">
        <f t="array" aca="1" ref="O14" ca="1">IFERROR(IF(OR(COUNTIF(INDIRECT("数出表_Excel!"&amp;U14&amp;"3"),"*キャラ*"),
COUNTIF(INDIRECT("数出表_Excel!"&amp;U14&amp;"3"),"*赤*")),
INDIRECT("数出表_Excel!"&amp;U14&amp;"3")
&amp;"　"&amp;INDIRECT("数出表_Excel!"&amp;U14&amp;"4")
&amp;INDIRECT("数出表_Excel!"&amp;U14&amp;"5"),
INDIRECT("数出表_Excel!"&amp;U14&amp;"3")),"")</f>
        <v/>
      </c>
      <c r="P14" t="str">
        <f t="shared" ca="1" si="0"/>
        <v/>
      </c>
      <c r="Q14" t="str">
        <f t="shared" ca="1" si="1"/>
        <v/>
      </c>
      <c r="R14" t="str">
        <f t="shared" ca="1" si="2"/>
        <v/>
      </c>
      <c r="S14" t="str">
        <f t="shared" ca="1" si="3"/>
        <v/>
      </c>
      <c r="T14" t="str">
        <f t="shared" ca="1" si="4"/>
        <v/>
      </c>
      <c r="U14" t="str">
        <f t="shared" ca="1" si="5"/>
        <v/>
      </c>
      <c r="V14" t="str">
        <f t="shared" ca="1" si="6"/>
        <v/>
      </c>
    </row>
    <row r="15" spans="1:22">
      <c r="A15"/>
      <c r="I15">
        <f t="shared" si="7"/>
        <v>35</v>
      </c>
      <c r="J15" t="str">
        <f t="array" aca="1" ref="J15" ca="1">IFERROR(IF(OR(COUNTIF(INDIRECT("数出表_Excel!"&amp;P15&amp;"3"),"*キャラ*"),
COUNTIF(INDIRECT("数出表_Excel!"&amp;P15&amp;"3"),"*赤*")),
IF(COUNTIF(A15,"*雙葉*"),INDIRECT("数出表_Excel!"&amp;P15&amp;"3"),
INDIRECT("数出表_Excel!"&amp;P15&amp;"3")
&amp;"　"&amp;INDIRECT("数出表_Excel!"&amp;P15&amp;"4")
&amp;INDIRECT("数出表_Excel!"&amp;P15&amp;"5")),
INDIRECT("数出表_Excel!"&amp;P15&amp;"3")),"")</f>
        <v/>
      </c>
      <c r="K15" t="str">
        <f t="array" aca="1" ref="K15" ca="1">IFERROR(IF(OR(COUNTIF(INDIRECT("数出表_Excel!"&amp;Q15&amp;"3"),"*キャラ*"),
COUNTIF(INDIRECT("数出表_Excel!"&amp;Q15&amp;"3"),"*赤*")),
INDIRECT("数出表_Excel!"&amp;Q15&amp;"3")
&amp;"　"&amp;INDIRECT("数出表_Excel!"&amp;Q15&amp;"4")
&amp;INDIRECT("数出表_Excel!"&amp;Q15&amp;"5"),
INDIRECT("数出表_Excel!"&amp;Q15&amp;"3")),"")</f>
        <v/>
      </c>
      <c r="L15" t="str">
        <f t="array" aca="1" ref="L15" ca="1">IFERROR(IF(OR(COUNTIF(INDIRECT("数出表_Excel!"&amp;R15&amp;"3"),"*キャラ*"),
COUNTIF(INDIRECT("数出表_Excel!"&amp;R15&amp;"3"),"*赤*")),
INDIRECT("数出表_Excel!"&amp;R15&amp;"3")
&amp;"　"&amp;INDIRECT("数出表_Excel!"&amp;R15&amp;"4")
&amp;INDIRECT("数出表_Excel!"&amp;R15&amp;"5"),
INDIRECT("数出表_Excel!"&amp;R15&amp;"3")),"")</f>
        <v/>
      </c>
      <c r="M15" t="str">
        <f t="array" aca="1" ref="M15" ca="1">IFERROR(IF(OR(COUNTIF(INDIRECT("数出表_Excel!"&amp;S15&amp;"3"),"*キャラ*"),
COUNTIF(INDIRECT("数出表_Excel!"&amp;S15&amp;"3"),"*赤*")),
INDIRECT("数出表_Excel!"&amp;S15&amp;"3")
&amp;"　"&amp;INDIRECT("数出表_Excel!"&amp;S15&amp;"4")
&amp;INDIRECT("数出表_Excel!"&amp;S15&amp;"5"),
INDIRECT("数出表_Excel!"&amp;S15&amp;"3")),"")</f>
        <v/>
      </c>
      <c r="N15" t="str">
        <f t="array" aca="1" ref="N15" ca="1">IFERROR(IF(OR(COUNTIF(INDIRECT("数出表_Excel!"&amp;T15&amp;"3"),"*キャラ*"),
COUNTIF(INDIRECT("数出表_Excel!"&amp;T15&amp;"3"),"*赤*")),
INDIRECT("数出表_Excel!"&amp;T15&amp;"3")
&amp;"　"&amp;INDIRECT("数出表_Excel!"&amp;T15&amp;"4")
&amp;INDIRECT("数出表_Excel!"&amp;T15&amp;"5"),
INDIRECT("数出表_Excel!"&amp;T15&amp;"3")),"")</f>
        <v/>
      </c>
      <c r="O15" t="str">
        <f t="array" aca="1" ref="O15" ca="1">IFERROR(IF(OR(COUNTIF(INDIRECT("数出表_Excel!"&amp;U15&amp;"3"),"*キャラ*"),
COUNTIF(INDIRECT("数出表_Excel!"&amp;U15&amp;"3"),"*赤*")),
INDIRECT("数出表_Excel!"&amp;U15&amp;"3")
&amp;"　"&amp;INDIRECT("数出表_Excel!"&amp;U15&amp;"4")
&amp;INDIRECT("数出表_Excel!"&amp;U15&amp;"5"),
INDIRECT("数出表_Excel!"&amp;U15&amp;"3")),"")</f>
        <v/>
      </c>
      <c r="P15" t="str">
        <f t="shared" ca="1" si="0"/>
        <v/>
      </c>
      <c r="Q15" t="str">
        <f t="shared" ca="1" si="1"/>
        <v/>
      </c>
      <c r="R15" t="str">
        <f t="shared" ca="1" si="2"/>
        <v/>
      </c>
      <c r="S15" t="str">
        <f t="shared" ca="1" si="3"/>
        <v/>
      </c>
      <c r="T15" t="str">
        <f t="shared" ca="1" si="4"/>
        <v/>
      </c>
      <c r="U15" t="str">
        <f t="shared" ca="1" si="5"/>
        <v/>
      </c>
      <c r="V15" t="str">
        <f t="shared" ca="1" si="6"/>
        <v/>
      </c>
    </row>
    <row r="16" spans="1:22">
      <c r="A16"/>
      <c r="I16">
        <f t="shared" si="7"/>
        <v>37</v>
      </c>
      <c r="J16" t="str">
        <f t="array" aca="1" ref="J16" ca="1">IFERROR(IF(OR(COUNTIF(INDIRECT("数出表_Excel!"&amp;P16&amp;"3"),"*キャラ*"),
COUNTIF(INDIRECT("数出表_Excel!"&amp;P16&amp;"3"),"*赤*")),
IF(COUNTIF(A16,"*雙葉*"),INDIRECT("数出表_Excel!"&amp;P16&amp;"3"),
INDIRECT("数出表_Excel!"&amp;P16&amp;"3")
&amp;"　"&amp;INDIRECT("数出表_Excel!"&amp;P16&amp;"4")
&amp;INDIRECT("数出表_Excel!"&amp;P16&amp;"5")),
INDIRECT("数出表_Excel!"&amp;P16&amp;"3")),"")</f>
        <v/>
      </c>
      <c r="K16" t="str">
        <f t="array" aca="1" ref="K16" ca="1">IFERROR(IF(OR(COUNTIF(INDIRECT("数出表_Excel!"&amp;Q16&amp;"3"),"*キャラ*"),
COUNTIF(INDIRECT("数出表_Excel!"&amp;Q16&amp;"3"),"*赤*")),
INDIRECT("数出表_Excel!"&amp;Q16&amp;"3")
&amp;"　"&amp;INDIRECT("数出表_Excel!"&amp;Q16&amp;"4")
&amp;INDIRECT("数出表_Excel!"&amp;Q16&amp;"5"),
INDIRECT("数出表_Excel!"&amp;Q16&amp;"3")),"")</f>
        <v/>
      </c>
      <c r="L16" t="str">
        <f t="array" aca="1" ref="L16" ca="1">IFERROR(IF(OR(COUNTIF(INDIRECT("数出表_Excel!"&amp;R16&amp;"3"),"*キャラ*"),
COUNTIF(INDIRECT("数出表_Excel!"&amp;R16&amp;"3"),"*赤*")),
INDIRECT("数出表_Excel!"&amp;R16&amp;"3")
&amp;"　"&amp;INDIRECT("数出表_Excel!"&amp;R16&amp;"4")
&amp;INDIRECT("数出表_Excel!"&amp;R16&amp;"5"),
INDIRECT("数出表_Excel!"&amp;R16&amp;"3")),"")</f>
        <v/>
      </c>
      <c r="M16" t="str">
        <f t="array" aca="1" ref="M16" ca="1">IFERROR(IF(OR(COUNTIF(INDIRECT("数出表_Excel!"&amp;S16&amp;"3"),"*キャラ*"),
COUNTIF(INDIRECT("数出表_Excel!"&amp;S16&amp;"3"),"*赤*")),
INDIRECT("数出表_Excel!"&amp;S16&amp;"3")
&amp;"　"&amp;INDIRECT("数出表_Excel!"&amp;S16&amp;"4")
&amp;INDIRECT("数出表_Excel!"&amp;S16&amp;"5"),
INDIRECT("数出表_Excel!"&amp;S16&amp;"3")),"")</f>
        <v/>
      </c>
      <c r="N16" t="str">
        <f t="array" aca="1" ref="N16" ca="1">IFERROR(IF(OR(COUNTIF(INDIRECT("数出表_Excel!"&amp;T16&amp;"3"),"*キャラ*"),
COUNTIF(INDIRECT("数出表_Excel!"&amp;T16&amp;"3"),"*赤*")),
INDIRECT("数出表_Excel!"&amp;T16&amp;"3")
&amp;"　"&amp;INDIRECT("数出表_Excel!"&amp;T16&amp;"4")
&amp;INDIRECT("数出表_Excel!"&amp;T16&amp;"5"),
INDIRECT("数出表_Excel!"&amp;T16&amp;"3")),"")</f>
        <v/>
      </c>
      <c r="O16" t="str">
        <f t="array" aca="1" ref="O16" ca="1">IFERROR(IF(OR(COUNTIF(INDIRECT("数出表_Excel!"&amp;U16&amp;"3"),"*キャラ*"),
COUNTIF(INDIRECT("数出表_Excel!"&amp;U16&amp;"3"),"*赤*")),
INDIRECT("数出表_Excel!"&amp;U16&amp;"3")
&amp;"　"&amp;INDIRECT("数出表_Excel!"&amp;U16&amp;"4")
&amp;INDIRECT("数出表_Excel!"&amp;U16&amp;"5"),
INDIRECT("数出表_Excel!"&amp;U16&amp;"3")),"")</f>
        <v/>
      </c>
      <c r="P16" t="str">
        <f t="shared" ca="1" si="0"/>
        <v/>
      </c>
      <c r="Q16" t="str">
        <f t="shared" ca="1" si="1"/>
        <v/>
      </c>
      <c r="R16" t="str">
        <f t="shared" ca="1" si="2"/>
        <v/>
      </c>
      <c r="S16" t="str">
        <f t="shared" ca="1" si="3"/>
        <v/>
      </c>
      <c r="T16" t="str">
        <f t="shared" ca="1" si="4"/>
        <v/>
      </c>
      <c r="U16" t="str">
        <f t="shared" ca="1" si="5"/>
        <v/>
      </c>
      <c r="V16" t="str">
        <f t="shared" ca="1" si="6"/>
        <v/>
      </c>
    </row>
    <row r="17" spans="1:22">
      <c r="A17"/>
      <c r="I17">
        <f t="shared" si="7"/>
        <v>39</v>
      </c>
      <c r="J17" t="str">
        <f t="array" aca="1" ref="J17" ca="1">IFERROR(IF(OR(COUNTIF(INDIRECT("数出表_Excel!"&amp;P17&amp;"3"),"*キャラ*"),
COUNTIF(INDIRECT("数出表_Excel!"&amp;P17&amp;"3"),"*赤*")),
IF(COUNTIF(A17,"*雙葉*"),INDIRECT("数出表_Excel!"&amp;P17&amp;"3"),
INDIRECT("数出表_Excel!"&amp;P17&amp;"3")
&amp;"　"&amp;INDIRECT("数出表_Excel!"&amp;P17&amp;"4")
&amp;INDIRECT("数出表_Excel!"&amp;P17&amp;"5")),
INDIRECT("数出表_Excel!"&amp;P17&amp;"3")),"")</f>
        <v/>
      </c>
      <c r="K17" t="str">
        <f t="array" aca="1" ref="K17" ca="1">IFERROR(IF(OR(COUNTIF(INDIRECT("数出表_Excel!"&amp;Q17&amp;"3"),"*キャラ*"),
COUNTIF(INDIRECT("数出表_Excel!"&amp;Q17&amp;"3"),"*赤*")),
INDIRECT("数出表_Excel!"&amp;Q17&amp;"3")
&amp;"　"&amp;INDIRECT("数出表_Excel!"&amp;Q17&amp;"4")
&amp;INDIRECT("数出表_Excel!"&amp;Q17&amp;"5"),
INDIRECT("数出表_Excel!"&amp;Q17&amp;"3")),"")</f>
        <v/>
      </c>
      <c r="L17" t="str">
        <f t="array" aca="1" ref="L17" ca="1">IFERROR(IF(OR(COUNTIF(INDIRECT("数出表_Excel!"&amp;R17&amp;"3"),"*キャラ*"),
COUNTIF(INDIRECT("数出表_Excel!"&amp;R17&amp;"3"),"*赤*")),
INDIRECT("数出表_Excel!"&amp;R17&amp;"3")
&amp;"　"&amp;INDIRECT("数出表_Excel!"&amp;R17&amp;"4")
&amp;INDIRECT("数出表_Excel!"&amp;R17&amp;"5"),
INDIRECT("数出表_Excel!"&amp;R17&amp;"3")),"")</f>
        <v/>
      </c>
      <c r="M17" t="str">
        <f t="array" aca="1" ref="M17" ca="1">IFERROR(IF(OR(COUNTIF(INDIRECT("数出表_Excel!"&amp;S17&amp;"3"),"*キャラ*"),
COUNTIF(INDIRECT("数出表_Excel!"&amp;S17&amp;"3"),"*赤*")),
INDIRECT("数出表_Excel!"&amp;S17&amp;"3")
&amp;"　"&amp;INDIRECT("数出表_Excel!"&amp;S17&amp;"4")
&amp;INDIRECT("数出表_Excel!"&amp;S17&amp;"5"),
INDIRECT("数出表_Excel!"&amp;S17&amp;"3")),"")</f>
        <v/>
      </c>
      <c r="N17" t="str">
        <f t="array" aca="1" ref="N17" ca="1">IFERROR(IF(OR(COUNTIF(INDIRECT("数出表_Excel!"&amp;T17&amp;"3"),"*キャラ*"),
COUNTIF(INDIRECT("数出表_Excel!"&amp;T17&amp;"3"),"*赤*")),
INDIRECT("数出表_Excel!"&amp;T17&amp;"3")
&amp;"　"&amp;INDIRECT("数出表_Excel!"&amp;T17&amp;"4")
&amp;INDIRECT("数出表_Excel!"&amp;T17&amp;"5"),
INDIRECT("数出表_Excel!"&amp;T17&amp;"3")),"")</f>
        <v/>
      </c>
      <c r="O17" t="str">
        <f t="array" aca="1" ref="O17" ca="1">IFERROR(IF(OR(COUNTIF(INDIRECT("数出表_Excel!"&amp;U17&amp;"3"),"*キャラ*"),
COUNTIF(INDIRECT("数出表_Excel!"&amp;U17&amp;"3"),"*赤*")),
INDIRECT("数出表_Excel!"&amp;U17&amp;"3")
&amp;"　"&amp;INDIRECT("数出表_Excel!"&amp;U17&amp;"4")
&amp;INDIRECT("数出表_Excel!"&amp;U17&amp;"5"),
INDIRECT("数出表_Excel!"&amp;U17&amp;"3")),"")</f>
        <v/>
      </c>
      <c r="P17" t="str">
        <f t="shared" ca="1" si="0"/>
        <v/>
      </c>
      <c r="Q17" t="str">
        <f t="shared" ca="1" si="1"/>
        <v/>
      </c>
      <c r="R17" t="str">
        <f t="shared" ca="1" si="2"/>
        <v/>
      </c>
      <c r="S17" t="str">
        <f t="shared" ca="1" si="3"/>
        <v/>
      </c>
      <c r="T17" t="str">
        <f t="shared" ca="1" si="4"/>
        <v/>
      </c>
      <c r="U17" t="str">
        <f t="shared" ca="1" si="5"/>
        <v/>
      </c>
      <c r="V17" t="str">
        <f t="shared" ca="1" si="6"/>
        <v/>
      </c>
    </row>
    <row r="18" spans="1:22">
      <c r="A18"/>
      <c r="I18">
        <f t="shared" si="7"/>
        <v>41</v>
      </c>
      <c r="J18" t="str">
        <f t="array" aca="1" ref="J18" ca="1">IFERROR(IF(OR(COUNTIF(INDIRECT("数出表_Excel!"&amp;P18&amp;"3"),"*キャラ*"),
COUNTIF(INDIRECT("数出表_Excel!"&amp;P18&amp;"3"),"*赤*")),
IF(COUNTIF(A18,"*雙葉*"),INDIRECT("数出表_Excel!"&amp;P18&amp;"3"),
INDIRECT("数出表_Excel!"&amp;P18&amp;"3")
&amp;"　"&amp;INDIRECT("数出表_Excel!"&amp;P18&amp;"4")
&amp;INDIRECT("数出表_Excel!"&amp;P18&amp;"5")),
INDIRECT("数出表_Excel!"&amp;P18&amp;"3")),"")</f>
        <v/>
      </c>
      <c r="K18" t="str">
        <f t="array" aca="1" ref="K18" ca="1">IFERROR(IF(OR(COUNTIF(INDIRECT("数出表_Excel!"&amp;Q18&amp;"3"),"*キャラ*"),
COUNTIF(INDIRECT("数出表_Excel!"&amp;Q18&amp;"3"),"*赤*")),
INDIRECT("数出表_Excel!"&amp;Q18&amp;"3")
&amp;"　"&amp;INDIRECT("数出表_Excel!"&amp;Q18&amp;"4")
&amp;INDIRECT("数出表_Excel!"&amp;Q18&amp;"5"),
INDIRECT("数出表_Excel!"&amp;Q18&amp;"3")),"")</f>
        <v/>
      </c>
      <c r="L18" t="str">
        <f t="array" aca="1" ref="L18" ca="1">IFERROR(IF(OR(COUNTIF(INDIRECT("数出表_Excel!"&amp;R18&amp;"3"),"*キャラ*"),
COUNTIF(INDIRECT("数出表_Excel!"&amp;R18&amp;"3"),"*赤*")),
INDIRECT("数出表_Excel!"&amp;R18&amp;"3")
&amp;"　"&amp;INDIRECT("数出表_Excel!"&amp;R18&amp;"4")
&amp;INDIRECT("数出表_Excel!"&amp;R18&amp;"5"),
INDIRECT("数出表_Excel!"&amp;R18&amp;"3")),"")</f>
        <v/>
      </c>
      <c r="M18" t="str">
        <f t="array" aca="1" ref="M18" ca="1">IFERROR(IF(OR(COUNTIF(INDIRECT("数出表_Excel!"&amp;S18&amp;"3"),"*キャラ*"),
COUNTIF(INDIRECT("数出表_Excel!"&amp;S18&amp;"3"),"*赤*")),
INDIRECT("数出表_Excel!"&amp;S18&amp;"3")
&amp;"　"&amp;INDIRECT("数出表_Excel!"&amp;S18&amp;"4")
&amp;INDIRECT("数出表_Excel!"&amp;S18&amp;"5"),
INDIRECT("数出表_Excel!"&amp;S18&amp;"3")),"")</f>
        <v/>
      </c>
      <c r="N18" t="str">
        <f t="array" aca="1" ref="N18" ca="1">IFERROR(IF(OR(COUNTIF(INDIRECT("数出表_Excel!"&amp;T18&amp;"3"),"*キャラ*"),
COUNTIF(INDIRECT("数出表_Excel!"&amp;T18&amp;"3"),"*赤*")),
INDIRECT("数出表_Excel!"&amp;T18&amp;"3")
&amp;"　"&amp;INDIRECT("数出表_Excel!"&amp;T18&amp;"4")
&amp;INDIRECT("数出表_Excel!"&amp;T18&amp;"5"),
INDIRECT("数出表_Excel!"&amp;T18&amp;"3")),"")</f>
        <v/>
      </c>
      <c r="O18" t="str">
        <f t="array" aca="1" ref="O18" ca="1">IFERROR(IF(OR(COUNTIF(INDIRECT("数出表_Excel!"&amp;U18&amp;"3"),"*キャラ*"),
COUNTIF(INDIRECT("数出表_Excel!"&amp;U18&amp;"3"),"*赤*")),
INDIRECT("数出表_Excel!"&amp;U18&amp;"3")
&amp;"　"&amp;INDIRECT("数出表_Excel!"&amp;U18&amp;"4")
&amp;INDIRECT("数出表_Excel!"&amp;U18&amp;"5"),
INDIRECT("数出表_Excel!"&amp;U18&amp;"3")),"")</f>
        <v/>
      </c>
      <c r="P18" t="str">
        <f t="shared" ca="1" si="0"/>
        <v/>
      </c>
      <c r="Q18" t="str">
        <f t="shared" ca="1" si="1"/>
        <v/>
      </c>
      <c r="R18" t="str">
        <f t="shared" ca="1" si="2"/>
        <v/>
      </c>
      <c r="S18" t="str">
        <f t="shared" ca="1" si="3"/>
        <v/>
      </c>
      <c r="T18" t="str">
        <f t="shared" ca="1" si="4"/>
        <v/>
      </c>
      <c r="U18" t="str">
        <f t="shared" ca="1" si="5"/>
        <v/>
      </c>
      <c r="V18" t="str">
        <f t="shared" ca="1" si="6"/>
        <v/>
      </c>
    </row>
    <row r="19" spans="1:22">
      <c r="A19"/>
      <c r="I19">
        <f t="shared" si="7"/>
        <v>43</v>
      </c>
      <c r="J19" t="str">
        <f t="array" aca="1" ref="J19" ca="1">IFERROR(IF(OR(COUNTIF(INDIRECT("数出表_Excel!"&amp;P19&amp;"3"),"*キャラ*"),
COUNTIF(INDIRECT("数出表_Excel!"&amp;P19&amp;"3"),"*赤*")),
IF(COUNTIF(A19,"*雙葉*"),INDIRECT("数出表_Excel!"&amp;P19&amp;"3"),
INDIRECT("数出表_Excel!"&amp;P19&amp;"3")
&amp;"　"&amp;INDIRECT("数出表_Excel!"&amp;P19&amp;"4")
&amp;INDIRECT("数出表_Excel!"&amp;P19&amp;"5")),
INDIRECT("数出表_Excel!"&amp;P19&amp;"3")),"")</f>
        <v/>
      </c>
      <c r="K19" t="str">
        <f t="array" aca="1" ref="K19" ca="1">IFERROR(IF(OR(COUNTIF(INDIRECT("数出表_Excel!"&amp;Q19&amp;"3"),"*キャラ*"),
COUNTIF(INDIRECT("数出表_Excel!"&amp;Q19&amp;"3"),"*赤*")),
INDIRECT("数出表_Excel!"&amp;Q19&amp;"3")
&amp;"　"&amp;INDIRECT("数出表_Excel!"&amp;Q19&amp;"4")
&amp;INDIRECT("数出表_Excel!"&amp;Q19&amp;"5"),
INDIRECT("数出表_Excel!"&amp;Q19&amp;"3")),"")</f>
        <v/>
      </c>
      <c r="L19" t="str">
        <f t="array" aca="1" ref="L19" ca="1">IFERROR(IF(OR(COUNTIF(INDIRECT("数出表_Excel!"&amp;R19&amp;"3"),"*キャラ*"),
COUNTIF(INDIRECT("数出表_Excel!"&amp;R19&amp;"3"),"*赤*")),
INDIRECT("数出表_Excel!"&amp;R19&amp;"3")
&amp;"　"&amp;INDIRECT("数出表_Excel!"&amp;R19&amp;"4")
&amp;INDIRECT("数出表_Excel!"&amp;R19&amp;"5"),
INDIRECT("数出表_Excel!"&amp;R19&amp;"3")),"")</f>
        <v/>
      </c>
      <c r="M19" t="str">
        <f t="array" aca="1" ref="M19" ca="1">IFERROR(IF(OR(COUNTIF(INDIRECT("数出表_Excel!"&amp;S19&amp;"3"),"*キャラ*"),
COUNTIF(INDIRECT("数出表_Excel!"&amp;S19&amp;"3"),"*赤*")),
INDIRECT("数出表_Excel!"&amp;S19&amp;"3")
&amp;"　"&amp;INDIRECT("数出表_Excel!"&amp;S19&amp;"4")
&amp;INDIRECT("数出表_Excel!"&amp;S19&amp;"5"),
INDIRECT("数出表_Excel!"&amp;S19&amp;"3")),"")</f>
        <v/>
      </c>
      <c r="N19" t="str">
        <f t="array" aca="1" ref="N19" ca="1">IFERROR(IF(OR(COUNTIF(INDIRECT("数出表_Excel!"&amp;T19&amp;"3"),"*キャラ*"),
COUNTIF(INDIRECT("数出表_Excel!"&amp;T19&amp;"3"),"*赤*")),
INDIRECT("数出表_Excel!"&amp;T19&amp;"3")
&amp;"　"&amp;INDIRECT("数出表_Excel!"&amp;T19&amp;"4")
&amp;INDIRECT("数出表_Excel!"&amp;T19&amp;"5"),
INDIRECT("数出表_Excel!"&amp;T19&amp;"3")),"")</f>
        <v/>
      </c>
      <c r="O19" t="str">
        <f t="array" aca="1" ref="O19" ca="1">IFERROR(IF(OR(COUNTIF(INDIRECT("数出表_Excel!"&amp;U19&amp;"3"),"*キャラ*"),
COUNTIF(INDIRECT("数出表_Excel!"&amp;U19&amp;"3"),"*赤*")),
INDIRECT("数出表_Excel!"&amp;U19&amp;"3")
&amp;"　"&amp;INDIRECT("数出表_Excel!"&amp;U19&amp;"4")
&amp;INDIRECT("数出表_Excel!"&amp;U19&amp;"5"),
INDIRECT("数出表_Excel!"&amp;U19&amp;"3")),"")</f>
        <v/>
      </c>
      <c r="P19" t="str">
        <f t="shared" ca="1" si="0"/>
        <v/>
      </c>
      <c r="Q19" t="str">
        <f t="shared" ca="1" si="1"/>
        <v/>
      </c>
      <c r="R19" t="str">
        <f t="shared" ca="1" si="2"/>
        <v/>
      </c>
      <c r="S19" t="str">
        <f t="shared" ca="1" si="3"/>
        <v/>
      </c>
      <c r="T19" t="str">
        <f t="shared" ca="1" si="4"/>
        <v/>
      </c>
      <c r="U19" t="str">
        <f t="shared" ca="1" si="5"/>
        <v/>
      </c>
      <c r="V19" t="str">
        <f t="shared" ca="1" si="6"/>
        <v/>
      </c>
    </row>
    <row r="20" spans="1:22">
      <c r="A20"/>
      <c r="I20">
        <f t="shared" si="7"/>
        <v>45</v>
      </c>
      <c r="J20" t="str">
        <f t="array" aca="1" ref="J20" ca="1">IFERROR(IF(OR(COUNTIF(INDIRECT("数出表_Excel!"&amp;P20&amp;"3"),"*キャラ*"),
COUNTIF(INDIRECT("数出表_Excel!"&amp;P20&amp;"3"),"*赤*")),
IF(COUNTIF(A20,"*雙葉*"),INDIRECT("数出表_Excel!"&amp;P20&amp;"3"),
INDIRECT("数出表_Excel!"&amp;P20&amp;"3")
&amp;"　"&amp;INDIRECT("数出表_Excel!"&amp;P20&amp;"4")
&amp;INDIRECT("数出表_Excel!"&amp;P20&amp;"5")),
INDIRECT("数出表_Excel!"&amp;P20&amp;"3")),"")</f>
        <v/>
      </c>
      <c r="K20" t="str">
        <f t="array" aca="1" ref="K20" ca="1">IFERROR(IF(OR(COUNTIF(INDIRECT("数出表_Excel!"&amp;Q20&amp;"3"),"*キャラ*"),
COUNTIF(INDIRECT("数出表_Excel!"&amp;Q20&amp;"3"),"*赤*")),
INDIRECT("数出表_Excel!"&amp;Q20&amp;"3")
&amp;"　"&amp;INDIRECT("数出表_Excel!"&amp;Q20&amp;"4")
&amp;INDIRECT("数出表_Excel!"&amp;Q20&amp;"5"),
INDIRECT("数出表_Excel!"&amp;Q20&amp;"3")),"")</f>
        <v/>
      </c>
      <c r="L20" t="str">
        <f t="array" aca="1" ref="L20" ca="1">IFERROR(IF(OR(COUNTIF(INDIRECT("数出表_Excel!"&amp;R20&amp;"3"),"*キャラ*"),
COUNTIF(INDIRECT("数出表_Excel!"&amp;R20&amp;"3"),"*赤*")),
INDIRECT("数出表_Excel!"&amp;R20&amp;"3")
&amp;"　"&amp;INDIRECT("数出表_Excel!"&amp;R20&amp;"4")
&amp;INDIRECT("数出表_Excel!"&amp;R20&amp;"5"),
INDIRECT("数出表_Excel!"&amp;R20&amp;"3")),"")</f>
        <v/>
      </c>
      <c r="M20" t="str">
        <f t="array" aca="1" ref="M20" ca="1">IFERROR(IF(OR(COUNTIF(INDIRECT("数出表_Excel!"&amp;S20&amp;"3"),"*キャラ*"),
COUNTIF(INDIRECT("数出表_Excel!"&amp;S20&amp;"3"),"*赤*")),
INDIRECT("数出表_Excel!"&amp;S20&amp;"3")
&amp;"　"&amp;INDIRECT("数出表_Excel!"&amp;S20&amp;"4")
&amp;INDIRECT("数出表_Excel!"&amp;S20&amp;"5"),
INDIRECT("数出表_Excel!"&amp;S20&amp;"3")),"")</f>
        <v/>
      </c>
      <c r="N20" t="str">
        <f t="array" aca="1" ref="N20" ca="1">IFERROR(IF(OR(COUNTIF(INDIRECT("数出表_Excel!"&amp;T20&amp;"3"),"*キャラ*"),
COUNTIF(INDIRECT("数出表_Excel!"&amp;T20&amp;"3"),"*赤*")),
INDIRECT("数出表_Excel!"&amp;T20&amp;"3")
&amp;"　"&amp;INDIRECT("数出表_Excel!"&amp;T20&amp;"4")
&amp;INDIRECT("数出表_Excel!"&amp;T20&amp;"5"),
INDIRECT("数出表_Excel!"&amp;T20&amp;"3")),"")</f>
        <v/>
      </c>
      <c r="O20" t="str">
        <f t="array" aca="1" ref="O20" ca="1">IFERROR(IF(OR(COUNTIF(INDIRECT("数出表_Excel!"&amp;U20&amp;"3"),"*キャラ*"),
COUNTIF(INDIRECT("数出表_Excel!"&amp;U20&amp;"3"),"*赤*")),
INDIRECT("数出表_Excel!"&amp;U20&amp;"3")
&amp;"　"&amp;INDIRECT("数出表_Excel!"&amp;U20&amp;"4")
&amp;INDIRECT("数出表_Excel!"&amp;U20&amp;"5"),
INDIRECT("数出表_Excel!"&amp;U20&amp;"3")),"")</f>
        <v/>
      </c>
      <c r="P20" t="str">
        <f t="shared" ca="1" si="0"/>
        <v/>
      </c>
      <c r="Q20" t="str">
        <f t="shared" ca="1" si="1"/>
        <v/>
      </c>
      <c r="R20" t="str">
        <f t="shared" ca="1" si="2"/>
        <v/>
      </c>
      <c r="S20" t="str">
        <f t="shared" ca="1" si="3"/>
        <v/>
      </c>
      <c r="T20" t="str">
        <f t="shared" ca="1" si="4"/>
        <v/>
      </c>
      <c r="U20" t="str">
        <f t="shared" ca="1" si="5"/>
        <v/>
      </c>
      <c r="V20" t="str">
        <f t="shared" ca="1" si="6"/>
        <v/>
      </c>
    </row>
    <row r="21" spans="1:22">
      <c r="A21"/>
      <c r="I21">
        <f t="shared" si="7"/>
        <v>47</v>
      </c>
      <c r="J21" t="str">
        <f t="array" aca="1" ref="J21" ca="1">IFERROR(IF(OR(COUNTIF(INDIRECT("数出表_Excel!"&amp;P21&amp;"3"),"*キャラ*"),
COUNTIF(INDIRECT("数出表_Excel!"&amp;P21&amp;"3"),"*赤*")),
IF(COUNTIF(A21,"*雙葉*"),INDIRECT("数出表_Excel!"&amp;P21&amp;"3"),
INDIRECT("数出表_Excel!"&amp;P21&amp;"3")
&amp;"　"&amp;INDIRECT("数出表_Excel!"&amp;P21&amp;"4")
&amp;INDIRECT("数出表_Excel!"&amp;P21&amp;"5")),
INDIRECT("数出表_Excel!"&amp;P21&amp;"3")),"")</f>
        <v/>
      </c>
      <c r="K21" t="str">
        <f t="array" aca="1" ref="K21" ca="1">IFERROR(IF(OR(COUNTIF(INDIRECT("数出表_Excel!"&amp;Q21&amp;"3"),"*キャラ*"),
COUNTIF(INDIRECT("数出表_Excel!"&amp;Q21&amp;"3"),"*赤*")),
INDIRECT("数出表_Excel!"&amp;Q21&amp;"3")
&amp;"　"&amp;INDIRECT("数出表_Excel!"&amp;Q21&amp;"4")
&amp;INDIRECT("数出表_Excel!"&amp;Q21&amp;"5"),
INDIRECT("数出表_Excel!"&amp;Q21&amp;"3")),"")</f>
        <v/>
      </c>
      <c r="L21" t="str">
        <f t="array" aca="1" ref="L21" ca="1">IFERROR(IF(OR(COUNTIF(INDIRECT("数出表_Excel!"&amp;R21&amp;"3"),"*キャラ*"),
COUNTIF(INDIRECT("数出表_Excel!"&amp;R21&amp;"3"),"*赤*")),
INDIRECT("数出表_Excel!"&amp;R21&amp;"3")
&amp;"　"&amp;INDIRECT("数出表_Excel!"&amp;R21&amp;"4")
&amp;INDIRECT("数出表_Excel!"&amp;R21&amp;"5"),
INDIRECT("数出表_Excel!"&amp;R21&amp;"3")),"")</f>
        <v/>
      </c>
      <c r="M21" t="str">
        <f t="array" aca="1" ref="M21" ca="1">IFERROR(IF(OR(COUNTIF(INDIRECT("数出表_Excel!"&amp;S21&amp;"3"),"*キャラ*"),
COUNTIF(INDIRECT("数出表_Excel!"&amp;S21&amp;"3"),"*赤*")),
INDIRECT("数出表_Excel!"&amp;S21&amp;"3")
&amp;"　"&amp;INDIRECT("数出表_Excel!"&amp;S21&amp;"4")
&amp;INDIRECT("数出表_Excel!"&amp;S21&amp;"5"),
INDIRECT("数出表_Excel!"&amp;S21&amp;"3")),"")</f>
        <v/>
      </c>
      <c r="N21" t="str">
        <f t="array" aca="1" ref="N21" ca="1">IFERROR(IF(OR(COUNTIF(INDIRECT("数出表_Excel!"&amp;T21&amp;"3"),"*キャラ*"),
COUNTIF(INDIRECT("数出表_Excel!"&amp;T21&amp;"3"),"*赤*")),
INDIRECT("数出表_Excel!"&amp;T21&amp;"3")
&amp;"　"&amp;INDIRECT("数出表_Excel!"&amp;T21&amp;"4")
&amp;INDIRECT("数出表_Excel!"&amp;T21&amp;"5"),
INDIRECT("数出表_Excel!"&amp;T21&amp;"3")),"")</f>
        <v/>
      </c>
      <c r="O21" t="str">
        <f t="array" aca="1" ref="O21" ca="1">IFERROR(IF(OR(COUNTIF(INDIRECT("数出表_Excel!"&amp;U21&amp;"3"),"*キャラ*"),
COUNTIF(INDIRECT("数出表_Excel!"&amp;U21&amp;"3"),"*赤*")),
INDIRECT("数出表_Excel!"&amp;U21&amp;"3")
&amp;"　"&amp;INDIRECT("数出表_Excel!"&amp;U21&amp;"4")
&amp;INDIRECT("数出表_Excel!"&amp;U21&amp;"5"),
INDIRECT("数出表_Excel!"&amp;U21&amp;"3")),"")</f>
        <v/>
      </c>
      <c r="P21" t="str">
        <f t="shared" ca="1" si="0"/>
        <v/>
      </c>
      <c r="Q21" t="str">
        <f t="shared" ca="1" si="1"/>
        <v/>
      </c>
      <c r="R21" t="str">
        <f t="shared" ca="1" si="2"/>
        <v/>
      </c>
      <c r="S21" t="str">
        <f t="shared" ca="1" si="3"/>
        <v/>
      </c>
      <c r="T21" t="str">
        <f t="shared" ca="1" si="4"/>
        <v/>
      </c>
      <c r="U21" t="str">
        <f t="shared" ca="1" si="5"/>
        <v/>
      </c>
      <c r="V21" t="str">
        <f t="shared" ca="1" si="6"/>
        <v/>
      </c>
    </row>
    <row r="22" spans="1:22">
      <c r="A22"/>
      <c r="I22">
        <f t="shared" si="7"/>
        <v>49</v>
      </c>
      <c r="J22" t="str">
        <f t="array" aca="1" ref="J22" ca="1">IFERROR(IF(OR(COUNTIF(INDIRECT("数出表_Excel!"&amp;P22&amp;"3"),"*キャラ*"),
COUNTIF(INDIRECT("数出表_Excel!"&amp;P22&amp;"3"),"*赤*")),
IF(COUNTIF(A22,"*雙葉*"),INDIRECT("数出表_Excel!"&amp;P22&amp;"3"),
INDIRECT("数出表_Excel!"&amp;P22&amp;"3")
&amp;"　"&amp;INDIRECT("数出表_Excel!"&amp;P22&amp;"4")
&amp;INDIRECT("数出表_Excel!"&amp;P22&amp;"5")),
INDIRECT("数出表_Excel!"&amp;P22&amp;"3")),"")</f>
        <v/>
      </c>
      <c r="K22" t="str">
        <f t="array" aca="1" ref="K22" ca="1">IFERROR(IF(OR(COUNTIF(INDIRECT("数出表_Excel!"&amp;Q22&amp;"3"),"*キャラ*"),
COUNTIF(INDIRECT("数出表_Excel!"&amp;Q22&amp;"3"),"*赤*")),
INDIRECT("数出表_Excel!"&amp;Q22&amp;"3")
&amp;"　"&amp;INDIRECT("数出表_Excel!"&amp;Q22&amp;"4")
&amp;INDIRECT("数出表_Excel!"&amp;Q22&amp;"5"),
INDIRECT("数出表_Excel!"&amp;Q22&amp;"3")),"")</f>
        <v/>
      </c>
      <c r="L22" t="str">
        <f t="array" aca="1" ref="L22" ca="1">IFERROR(IF(OR(COUNTIF(INDIRECT("数出表_Excel!"&amp;R22&amp;"3"),"*キャラ*"),
COUNTIF(INDIRECT("数出表_Excel!"&amp;R22&amp;"3"),"*赤*")),
INDIRECT("数出表_Excel!"&amp;R22&amp;"3")
&amp;"　"&amp;INDIRECT("数出表_Excel!"&amp;R22&amp;"4")
&amp;INDIRECT("数出表_Excel!"&amp;R22&amp;"5"),
INDIRECT("数出表_Excel!"&amp;R22&amp;"3")),"")</f>
        <v/>
      </c>
      <c r="M22" t="str">
        <f t="array" aca="1" ref="M22" ca="1">IFERROR(IF(OR(COUNTIF(INDIRECT("数出表_Excel!"&amp;S22&amp;"3"),"*キャラ*"),
COUNTIF(INDIRECT("数出表_Excel!"&amp;S22&amp;"3"),"*赤*")),
INDIRECT("数出表_Excel!"&amp;S22&amp;"3")
&amp;"　"&amp;INDIRECT("数出表_Excel!"&amp;S22&amp;"4")
&amp;INDIRECT("数出表_Excel!"&amp;S22&amp;"5"),
INDIRECT("数出表_Excel!"&amp;S22&amp;"3")),"")</f>
        <v/>
      </c>
      <c r="N22" t="str">
        <f t="array" aca="1" ref="N22" ca="1">IFERROR(IF(OR(COUNTIF(INDIRECT("数出表_Excel!"&amp;T22&amp;"3"),"*キャラ*"),
COUNTIF(INDIRECT("数出表_Excel!"&amp;T22&amp;"3"),"*赤*")),
INDIRECT("数出表_Excel!"&amp;T22&amp;"3")
&amp;"　"&amp;INDIRECT("数出表_Excel!"&amp;T22&amp;"4")
&amp;INDIRECT("数出表_Excel!"&amp;T22&amp;"5"),
INDIRECT("数出表_Excel!"&amp;T22&amp;"3")),"")</f>
        <v/>
      </c>
      <c r="O22" t="str">
        <f t="array" aca="1" ref="O22" ca="1">IFERROR(IF(OR(COUNTIF(INDIRECT("数出表_Excel!"&amp;U22&amp;"3"),"*キャラ*"),
COUNTIF(INDIRECT("数出表_Excel!"&amp;U22&amp;"3"),"*赤*")),
INDIRECT("数出表_Excel!"&amp;U22&amp;"3")
&amp;"　"&amp;INDIRECT("数出表_Excel!"&amp;U22&amp;"4")
&amp;INDIRECT("数出表_Excel!"&amp;U22&amp;"5"),
INDIRECT("数出表_Excel!"&amp;U22&amp;"3")),"")</f>
        <v/>
      </c>
      <c r="P22" t="str">
        <f t="shared" ca="1" si="0"/>
        <v/>
      </c>
      <c r="Q22" t="str">
        <f t="shared" ca="1" si="1"/>
        <v/>
      </c>
      <c r="R22" t="str">
        <f t="shared" ca="1" si="2"/>
        <v/>
      </c>
      <c r="S22" t="str">
        <f t="shared" ca="1" si="3"/>
        <v/>
      </c>
      <c r="T22" t="str">
        <f t="shared" ca="1" si="4"/>
        <v/>
      </c>
      <c r="U22" t="str">
        <f t="shared" ca="1" si="5"/>
        <v/>
      </c>
      <c r="V22" t="str">
        <f t="shared" ca="1" si="6"/>
        <v/>
      </c>
    </row>
    <row r="23" spans="1:22">
      <c r="A23"/>
      <c r="I23">
        <f t="shared" si="7"/>
        <v>51</v>
      </c>
      <c r="J23" t="str">
        <f t="array" aca="1" ref="J23" ca="1">IFERROR(IF(OR(COUNTIF(INDIRECT("数出表_Excel!"&amp;P23&amp;"3"),"*キャラ*"),
COUNTIF(INDIRECT("数出表_Excel!"&amp;P23&amp;"3"),"*赤*")),
IF(COUNTIF(A23,"*雙葉*"),INDIRECT("数出表_Excel!"&amp;P23&amp;"3"),
INDIRECT("数出表_Excel!"&amp;P23&amp;"3")
&amp;"　"&amp;INDIRECT("数出表_Excel!"&amp;P23&amp;"4")
&amp;INDIRECT("数出表_Excel!"&amp;P23&amp;"5")),
INDIRECT("数出表_Excel!"&amp;P23&amp;"3")),"")</f>
        <v/>
      </c>
      <c r="K23" t="str">
        <f t="array" aca="1" ref="K23" ca="1">IFERROR(IF(OR(COUNTIF(INDIRECT("数出表_Excel!"&amp;Q23&amp;"3"),"*キャラ*"),
COUNTIF(INDIRECT("数出表_Excel!"&amp;Q23&amp;"3"),"*赤*")),
INDIRECT("数出表_Excel!"&amp;Q23&amp;"3")
&amp;"　"&amp;INDIRECT("数出表_Excel!"&amp;Q23&amp;"4")
&amp;INDIRECT("数出表_Excel!"&amp;Q23&amp;"5"),
INDIRECT("数出表_Excel!"&amp;Q23&amp;"3")),"")</f>
        <v/>
      </c>
      <c r="L23" t="str">
        <f t="array" aca="1" ref="L23" ca="1">IFERROR(IF(OR(COUNTIF(INDIRECT("数出表_Excel!"&amp;R23&amp;"3"),"*キャラ*"),
COUNTIF(INDIRECT("数出表_Excel!"&amp;R23&amp;"3"),"*赤*")),
INDIRECT("数出表_Excel!"&amp;R23&amp;"3")
&amp;"　"&amp;INDIRECT("数出表_Excel!"&amp;R23&amp;"4")
&amp;INDIRECT("数出表_Excel!"&amp;R23&amp;"5"),
INDIRECT("数出表_Excel!"&amp;R23&amp;"3")),"")</f>
        <v/>
      </c>
      <c r="M23" t="str">
        <f t="array" aca="1" ref="M23" ca="1">IFERROR(IF(OR(COUNTIF(INDIRECT("数出表_Excel!"&amp;S23&amp;"3"),"*キャラ*"),
COUNTIF(INDIRECT("数出表_Excel!"&amp;S23&amp;"3"),"*赤*")),
INDIRECT("数出表_Excel!"&amp;S23&amp;"3")
&amp;"　"&amp;INDIRECT("数出表_Excel!"&amp;S23&amp;"4")
&amp;INDIRECT("数出表_Excel!"&amp;S23&amp;"5"),
INDIRECT("数出表_Excel!"&amp;S23&amp;"3")),"")</f>
        <v/>
      </c>
      <c r="N23" t="str">
        <f t="array" aca="1" ref="N23" ca="1">IFERROR(IF(OR(COUNTIF(INDIRECT("数出表_Excel!"&amp;T23&amp;"3"),"*キャラ*"),
COUNTIF(INDIRECT("数出表_Excel!"&amp;T23&amp;"3"),"*赤*")),
INDIRECT("数出表_Excel!"&amp;T23&amp;"3")
&amp;"　"&amp;INDIRECT("数出表_Excel!"&amp;T23&amp;"4")
&amp;INDIRECT("数出表_Excel!"&amp;T23&amp;"5"),
INDIRECT("数出表_Excel!"&amp;T23&amp;"3")),"")</f>
        <v/>
      </c>
      <c r="O23" t="str">
        <f t="array" aca="1" ref="O23" ca="1">IFERROR(IF(OR(COUNTIF(INDIRECT("数出表_Excel!"&amp;U23&amp;"3"),"*キャラ*"),
COUNTIF(INDIRECT("数出表_Excel!"&amp;U23&amp;"3"),"*赤*")),
INDIRECT("数出表_Excel!"&amp;U23&amp;"3")
&amp;"　"&amp;INDIRECT("数出表_Excel!"&amp;U23&amp;"4")
&amp;INDIRECT("数出表_Excel!"&amp;U23&amp;"5"),
INDIRECT("数出表_Excel!"&amp;U23&amp;"3")),"")</f>
        <v/>
      </c>
      <c r="P23" t="str">
        <f t="shared" ca="1" si="0"/>
        <v/>
      </c>
      <c r="Q23" t="str">
        <f t="shared" ca="1" si="1"/>
        <v/>
      </c>
      <c r="R23" t="str">
        <f t="shared" ca="1" si="2"/>
        <v/>
      </c>
      <c r="S23" t="str">
        <f t="shared" ca="1" si="3"/>
        <v/>
      </c>
      <c r="T23" t="str">
        <f t="shared" ca="1" si="4"/>
        <v/>
      </c>
      <c r="U23" t="str">
        <f t="shared" ca="1" si="5"/>
        <v/>
      </c>
      <c r="V23" t="str">
        <f t="shared" ca="1" si="6"/>
        <v/>
      </c>
    </row>
    <row r="24" spans="1:22">
      <c r="A24"/>
      <c r="I24">
        <f t="shared" si="7"/>
        <v>53</v>
      </c>
      <c r="J24" t="str">
        <f t="array" aca="1" ref="J24" ca="1">IFERROR(IF(OR(COUNTIF(INDIRECT("数出表_Excel!"&amp;P24&amp;"3"),"*キャラ*"),
COUNTIF(INDIRECT("数出表_Excel!"&amp;P24&amp;"3"),"*赤*")),
IF(COUNTIF(A24,"*雙葉*"),INDIRECT("数出表_Excel!"&amp;P24&amp;"3"),
INDIRECT("数出表_Excel!"&amp;P24&amp;"3")
&amp;"　"&amp;INDIRECT("数出表_Excel!"&amp;P24&amp;"4")
&amp;INDIRECT("数出表_Excel!"&amp;P24&amp;"5")),
INDIRECT("数出表_Excel!"&amp;P24&amp;"3")),"")</f>
        <v/>
      </c>
      <c r="K24" t="str">
        <f t="array" aca="1" ref="K24" ca="1">IFERROR(IF(OR(COUNTIF(INDIRECT("数出表_Excel!"&amp;Q24&amp;"3"),"*キャラ*"),
COUNTIF(INDIRECT("数出表_Excel!"&amp;Q24&amp;"3"),"*赤*")),
INDIRECT("数出表_Excel!"&amp;Q24&amp;"3")
&amp;"　"&amp;INDIRECT("数出表_Excel!"&amp;Q24&amp;"4")
&amp;INDIRECT("数出表_Excel!"&amp;Q24&amp;"5"),
INDIRECT("数出表_Excel!"&amp;Q24&amp;"3")),"")</f>
        <v/>
      </c>
      <c r="L24" t="str">
        <f t="array" aca="1" ref="L24" ca="1">IFERROR(IF(OR(COUNTIF(INDIRECT("数出表_Excel!"&amp;R24&amp;"3"),"*キャラ*"),
COUNTIF(INDIRECT("数出表_Excel!"&amp;R24&amp;"3"),"*赤*")),
INDIRECT("数出表_Excel!"&amp;R24&amp;"3")
&amp;"　"&amp;INDIRECT("数出表_Excel!"&amp;R24&amp;"4")
&amp;INDIRECT("数出表_Excel!"&amp;R24&amp;"5"),
INDIRECT("数出表_Excel!"&amp;R24&amp;"3")),"")</f>
        <v/>
      </c>
      <c r="M24" t="str">
        <f t="array" aca="1" ref="M24" ca="1">IFERROR(IF(OR(COUNTIF(INDIRECT("数出表_Excel!"&amp;S24&amp;"3"),"*キャラ*"),
COUNTIF(INDIRECT("数出表_Excel!"&amp;S24&amp;"3"),"*赤*")),
INDIRECT("数出表_Excel!"&amp;S24&amp;"3")
&amp;"　"&amp;INDIRECT("数出表_Excel!"&amp;S24&amp;"4")
&amp;INDIRECT("数出表_Excel!"&amp;S24&amp;"5"),
INDIRECT("数出表_Excel!"&amp;S24&amp;"3")),"")</f>
        <v/>
      </c>
      <c r="N24" t="str">
        <f t="array" aca="1" ref="N24" ca="1">IFERROR(IF(OR(COUNTIF(INDIRECT("数出表_Excel!"&amp;T24&amp;"3"),"*キャラ*"),
COUNTIF(INDIRECT("数出表_Excel!"&amp;T24&amp;"3"),"*赤*")),
INDIRECT("数出表_Excel!"&amp;T24&amp;"3")
&amp;"　"&amp;INDIRECT("数出表_Excel!"&amp;T24&amp;"4")
&amp;INDIRECT("数出表_Excel!"&amp;T24&amp;"5"),
INDIRECT("数出表_Excel!"&amp;T24&amp;"3")),"")</f>
        <v/>
      </c>
      <c r="O24" t="str">
        <f t="array" aca="1" ref="O24" ca="1">IFERROR(IF(OR(COUNTIF(INDIRECT("数出表_Excel!"&amp;U24&amp;"3"),"*キャラ*"),
COUNTIF(INDIRECT("数出表_Excel!"&amp;U24&amp;"3"),"*赤*")),
INDIRECT("数出表_Excel!"&amp;U24&amp;"3")
&amp;"　"&amp;INDIRECT("数出表_Excel!"&amp;U24&amp;"4")
&amp;INDIRECT("数出表_Excel!"&amp;U24&amp;"5"),
INDIRECT("数出表_Excel!"&amp;U24&amp;"3")),"")</f>
        <v/>
      </c>
      <c r="P24" t="str">
        <f t="shared" ca="1" si="0"/>
        <v/>
      </c>
      <c r="Q24" t="str">
        <f t="shared" ca="1" si="1"/>
        <v/>
      </c>
      <c r="R24" t="str">
        <f t="shared" ca="1" si="2"/>
        <v/>
      </c>
      <c r="S24" t="str">
        <f t="shared" ca="1" si="3"/>
        <v/>
      </c>
      <c r="T24" t="str">
        <f t="shared" ca="1" si="4"/>
        <v/>
      </c>
      <c r="U24" t="str">
        <f t="shared" ca="1" si="5"/>
        <v/>
      </c>
      <c r="V24" t="str">
        <f t="shared" ca="1" si="6"/>
        <v/>
      </c>
    </row>
    <row r="25" spans="1:22">
      <c r="A25"/>
      <c r="I25">
        <f t="shared" si="7"/>
        <v>55</v>
      </c>
      <c r="J25" t="str">
        <f t="array" aca="1" ref="J25" ca="1">IFERROR(IF(OR(COUNTIF(INDIRECT("数出表_Excel!"&amp;P25&amp;"3"),"*キャラ*"),
COUNTIF(INDIRECT("数出表_Excel!"&amp;P25&amp;"3"),"*赤*")),
IF(COUNTIF(A25,"*雙葉*"),INDIRECT("数出表_Excel!"&amp;P25&amp;"3"),
INDIRECT("数出表_Excel!"&amp;P25&amp;"3")
&amp;"　"&amp;INDIRECT("数出表_Excel!"&amp;P25&amp;"4")
&amp;INDIRECT("数出表_Excel!"&amp;P25&amp;"5")),
INDIRECT("数出表_Excel!"&amp;P25&amp;"3")),"")</f>
        <v/>
      </c>
      <c r="K25" t="str">
        <f t="array" aca="1" ref="K25" ca="1">IFERROR(IF(OR(COUNTIF(INDIRECT("数出表_Excel!"&amp;Q25&amp;"3"),"*キャラ*"),
COUNTIF(INDIRECT("数出表_Excel!"&amp;Q25&amp;"3"),"*赤*")),
INDIRECT("数出表_Excel!"&amp;Q25&amp;"3")
&amp;"　"&amp;INDIRECT("数出表_Excel!"&amp;Q25&amp;"4")
&amp;INDIRECT("数出表_Excel!"&amp;Q25&amp;"5"),
INDIRECT("数出表_Excel!"&amp;Q25&amp;"3")),"")</f>
        <v/>
      </c>
      <c r="L25" t="str">
        <f t="array" aca="1" ref="L25" ca="1">IFERROR(IF(OR(COUNTIF(INDIRECT("数出表_Excel!"&amp;R25&amp;"3"),"*キャラ*"),
COUNTIF(INDIRECT("数出表_Excel!"&amp;R25&amp;"3"),"*赤*")),
INDIRECT("数出表_Excel!"&amp;R25&amp;"3")
&amp;"　"&amp;INDIRECT("数出表_Excel!"&amp;R25&amp;"4")
&amp;INDIRECT("数出表_Excel!"&amp;R25&amp;"5"),
INDIRECT("数出表_Excel!"&amp;R25&amp;"3")),"")</f>
        <v/>
      </c>
      <c r="M25" t="str">
        <f t="array" aca="1" ref="M25" ca="1">IFERROR(IF(OR(COUNTIF(INDIRECT("数出表_Excel!"&amp;S25&amp;"3"),"*キャラ*"),
COUNTIF(INDIRECT("数出表_Excel!"&amp;S25&amp;"3"),"*赤*")),
INDIRECT("数出表_Excel!"&amp;S25&amp;"3")
&amp;"　"&amp;INDIRECT("数出表_Excel!"&amp;S25&amp;"4")
&amp;INDIRECT("数出表_Excel!"&amp;S25&amp;"5"),
INDIRECT("数出表_Excel!"&amp;S25&amp;"3")),"")</f>
        <v/>
      </c>
      <c r="N25" t="str">
        <f t="array" aca="1" ref="N25" ca="1">IFERROR(IF(OR(COUNTIF(INDIRECT("数出表_Excel!"&amp;T25&amp;"3"),"*キャラ*"),
COUNTIF(INDIRECT("数出表_Excel!"&amp;T25&amp;"3"),"*赤*")),
INDIRECT("数出表_Excel!"&amp;T25&amp;"3")
&amp;"　"&amp;INDIRECT("数出表_Excel!"&amp;T25&amp;"4")
&amp;INDIRECT("数出表_Excel!"&amp;T25&amp;"5"),
INDIRECT("数出表_Excel!"&amp;T25&amp;"3")),"")</f>
        <v/>
      </c>
      <c r="O25" t="str">
        <f t="array" aca="1" ref="O25" ca="1">IFERROR(IF(OR(COUNTIF(INDIRECT("数出表_Excel!"&amp;U25&amp;"3"),"*キャラ*"),
COUNTIF(INDIRECT("数出表_Excel!"&amp;U25&amp;"3"),"*赤*")),
INDIRECT("数出表_Excel!"&amp;U25&amp;"3")
&amp;"　"&amp;INDIRECT("数出表_Excel!"&amp;U25&amp;"4")
&amp;INDIRECT("数出表_Excel!"&amp;U25&amp;"5"),
INDIRECT("数出表_Excel!"&amp;U25&amp;"3")),"")</f>
        <v/>
      </c>
      <c r="P25" t="str">
        <f t="shared" ca="1" si="0"/>
        <v/>
      </c>
      <c r="Q25" t="str">
        <f t="shared" ca="1" si="1"/>
        <v/>
      </c>
      <c r="R25" t="str">
        <f t="shared" ca="1" si="2"/>
        <v/>
      </c>
      <c r="S25" t="str">
        <f t="shared" ca="1" si="3"/>
        <v/>
      </c>
      <c r="T25" t="str">
        <f t="shared" ca="1" si="4"/>
        <v/>
      </c>
      <c r="U25" t="str">
        <f t="shared" ca="1" si="5"/>
        <v/>
      </c>
      <c r="V25" t="str">
        <f t="shared" ca="1" si="6"/>
        <v/>
      </c>
    </row>
    <row r="26" spans="1:22">
      <c r="A26"/>
      <c r="I26">
        <f t="shared" si="7"/>
        <v>57</v>
      </c>
      <c r="J26" t="str">
        <f t="array" aca="1" ref="J26" ca="1">IFERROR(IF(OR(COUNTIF(INDIRECT("数出表_Excel!"&amp;P26&amp;"3"),"*キャラ*"),
COUNTIF(INDIRECT("数出表_Excel!"&amp;P26&amp;"3"),"*赤*")),
IF(COUNTIF(A26,"*雙葉*"),INDIRECT("数出表_Excel!"&amp;P26&amp;"3"),
INDIRECT("数出表_Excel!"&amp;P26&amp;"3")
&amp;"　"&amp;INDIRECT("数出表_Excel!"&amp;P26&amp;"4")
&amp;INDIRECT("数出表_Excel!"&amp;P26&amp;"5")),
INDIRECT("数出表_Excel!"&amp;P26&amp;"3")),"")</f>
        <v/>
      </c>
      <c r="K26" t="str">
        <f t="array" aca="1" ref="K26" ca="1">IFERROR(IF(OR(COUNTIF(INDIRECT("数出表_Excel!"&amp;Q26&amp;"3"),"*キャラ*"),
COUNTIF(INDIRECT("数出表_Excel!"&amp;Q26&amp;"3"),"*赤*")),
INDIRECT("数出表_Excel!"&amp;Q26&amp;"3")
&amp;"　"&amp;INDIRECT("数出表_Excel!"&amp;Q26&amp;"4")
&amp;INDIRECT("数出表_Excel!"&amp;Q26&amp;"5"),
INDIRECT("数出表_Excel!"&amp;Q26&amp;"3")),"")</f>
        <v/>
      </c>
      <c r="L26" t="str">
        <f t="array" aca="1" ref="L26" ca="1">IFERROR(IF(OR(COUNTIF(INDIRECT("数出表_Excel!"&amp;R26&amp;"3"),"*キャラ*"),
COUNTIF(INDIRECT("数出表_Excel!"&amp;R26&amp;"3"),"*赤*")),
INDIRECT("数出表_Excel!"&amp;R26&amp;"3")
&amp;"　"&amp;INDIRECT("数出表_Excel!"&amp;R26&amp;"4")
&amp;INDIRECT("数出表_Excel!"&amp;R26&amp;"5"),
INDIRECT("数出表_Excel!"&amp;R26&amp;"3")),"")</f>
        <v/>
      </c>
      <c r="M26" t="str">
        <f t="array" aca="1" ref="M26" ca="1">IFERROR(IF(OR(COUNTIF(INDIRECT("数出表_Excel!"&amp;S26&amp;"3"),"*キャラ*"),
COUNTIF(INDIRECT("数出表_Excel!"&amp;S26&amp;"3"),"*赤*")),
INDIRECT("数出表_Excel!"&amp;S26&amp;"3")
&amp;"　"&amp;INDIRECT("数出表_Excel!"&amp;S26&amp;"4")
&amp;INDIRECT("数出表_Excel!"&amp;S26&amp;"5"),
INDIRECT("数出表_Excel!"&amp;S26&amp;"3")),"")</f>
        <v/>
      </c>
      <c r="N26" t="str">
        <f t="array" aca="1" ref="N26" ca="1">IFERROR(IF(OR(COUNTIF(INDIRECT("数出表_Excel!"&amp;T26&amp;"3"),"*キャラ*"),
COUNTIF(INDIRECT("数出表_Excel!"&amp;T26&amp;"3"),"*赤*")),
INDIRECT("数出表_Excel!"&amp;T26&amp;"3")
&amp;"　"&amp;INDIRECT("数出表_Excel!"&amp;T26&amp;"4")
&amp;INDIRECT("数出表_Excel!"&amp;T26&amp;"5"),
INDIRECT("数出表_Excel!"&amp;T26&amp;"3")),"")</f>
        <v/>
      </c>
      <c r="O26" t="str">
        <f t="array" aca="1" ref="O26" ca="1">IFERROR(IF(OR(COUNTIF(INDIRECT("数出表_Excel!"&amp;U26&amp;"3"),"*キャラ*"),
COUNTIF(INDIRECT("数出表_Excel!"&amp;U26&amp;"3"),"*赤*")),
INDIRECT("数出表_Excel!"&amp;U26&amp;"3")
&amp;"　"&amp;INDIRECT("数出表_Excel!"&amp;U26&amp;"4")
&amp;INDIRECT("数出表_Excel!"&amp;U26&amp;"5"),
INDIRECT("数出表_Excel!"&amp;U26&amp;"3")),"")</f>
        <v/>
      </c>
      <c r="P26" t="str">
        <f t="shared" ca="1" si="0"/>
        <v/>
      </c>
      <c r="Q26" t="str">
        <f t="shared" ca="1" si="1"/>
        <v/>
      </c>
      <c r="R26" t="str">
        <f t="shared" ca="1" si="2"/>
        <v/>
      </c>
      <c r="S26" t="str">
        <f t="shared" ca="1" si="3"/>
        <v/>
      </c>
      <c r="T26" t="str">
        <f t="shared" ca="1" si="4"/>
        <v/>
      </c>
      <c r="U26" t="str">
        <f t="shared" ca="1" si="5"/>
        <v/>
      </c>
      <c r="V26" t="str">
        <f t="shared" ca="1" si="6"/>
        <v/>
      </c>
    </row>
    <row r="27" spans="1:22">
      <c r="A27"/>
      <c r="I27">
        <f t="shared" si="7"/>
        <v>59</v>
      </c>
      <c r="J27" t="str">
        <f t="array" aca="1" ref="J27" ca="1">IFERROR(IF(OR(COUNTIF(INDIRECT("数出表_Excel!"&amp;P27&amp;"3"),"*キャラ*"),
COUNTIF(INDIRECT("数出表_Excel!"&amp;P27&amp;"3"),"*赤*")),
IF(COUNTIF(A27,"*雙葉*"),INDIRECT("数出表_Excel!"&amp;P27&amp;"3"),
INDIRECT("数出表_Excel!"&amp;P27&amp;"3")
&amp;"　"&amp;INDIRECT("数出表_Excel!"&amp;P27&amp;"4")
&amp;INDIRECT("数出表_Excel!"&amp;P27&amp;"5")),
INDIRECT("数出表_Excel!"&amp;P27&amp;"3")),"")</f>
        <v/>
      </c>
      <c r="K27" t="str">
        <f t="array" aca="1" ref="K27" ca="1">IFERROR(IF(OR(COUNTIF(INDIRECT("数出表_Excel!"&amp;Q27&amp;"3"),"*キャラ*"),
COUNTIF(INDIRECT("数出表_Excel!"&amp;Q27&amp;"3"),"*赤*")),
INDIRECT("数出表_Excel!"&amp;Q27&amp;"3")
&amp;"　"&amp;INDIRECT("数出表_Excel!"&amp;Q27&amp;"4")
&amp;INDIRECT("数出表_Excel!"&amp;Q27&amp;"5"),
INDIRECT("数出表_Excel!"&amp;Q27&amp;"3")),"")</f>
        <v/>
      </c>
      <c r="L27" t="str">
        <f t="array" aca="1" ref="L27" ca="1">IFERROR(IF(OR(COUNTIF(INDIRECT("数出表_Excel!"&amp;R27&amp;"3"),"*キャラ*"),
COUNTIF(INDIRECT("数出表_Excel!"&amp;R27&amp;"3"),"*赤*")),
INDIRECT("数出表_Excel!"&amp;R27&amp;"3")
&amp;"　"&amp;INDIRECT("数出表_Excel!"&amp;R27&amp;"4")
&amp;INDIRECT("数出表_Excel!"&amp;R27&amp;"5"),
INDIRECT("数出表_Excel!"&amp;R27&amp;"3")),"")</f>
        <v/>
      </c>
      <c r="M27" t="str">
        <f t="array" aca="1" ref="M27" ca="1">IFERROR(IF(OR(COUNTIF(INDIRECT("数出表_Excel!"&amp;S27&amp;"3"),"*キャラ*"),
COUNTIF(INDIRECT("数出表_Excel!"&amp;S27&amp;"3"),"*赤*")),
INDIRECT("数出表_Excel!"&amp;S27&amp;"3")
&amp;"　"&amp;INDIRECT("数出表_Excel!"&amp;S27&amp;"4")
&amp;INDIRECT("数出表_Excel!"&amp;S27&amp;"5"),
INDIRECT("数出表_Excel!"&amp;S27&amp;"3")),"")</f>
        <v/>
      </c>
      <c r="N27" t="str">
        <f t="array" aca="1" ref="N27" ca="1">IFERROR(IF(OR(COUNTIF(INDIRECT("数出表_Excel!"&amp;T27&amp;"3"),"*キャラ*"),
COUNTIF(INDIRECT("数出表_Excel!"&amp;T27&amp;"3"),"*赤*")),
INDIRECT("数出表_Excel!"&amp;T27&amp;"3")
&amp;"　"&amp;INDIRECT("数出表_Excel!"&amp;T27&amp;"4")
&amp;INDIRECT("数出表_Excel!"&amp;T27&amp;"5"),
INDIRECT("数出表_Excel!"&amp;T27&amp;"3")),"")</f>
        <v/>
      </c>
      <c r="O27" t="str">
        <f t="array" aca="1" ref="O27" ca="1">IFERROR(IF(OR(COUNTIF(INDIRECT("数出表_Excel!"&amp;U27&amp;"3"),"*キャラ*"),
COUNTIF(INDIRECT("数出表_Excel!"&amp;U27&amp;"3"),"*赤*")),
INDIRECT("数出表_Excel!"&amp;U27&amp;"3")
&amp;"　"&amp;INDIRECT("数出表_Excel!"&amp;U27&amp;"4")
&amp;INDIRECT("数出表_Excel!"&amp;U27&amp;"5"),
INDIRECT("数出表_Excel!"&amp;U27&amp;"3")),"")</f>
        <v/>
      </c>
      <c r="P27" t="str">
        <f t="shared" ca="1" si="0"/>
        <v/>
      </c>
      <c r="Q27" t="str">
        <f t="shared" ca="1" si="1"/>
        <v/>
      </c>
      <c r="R27" t="str">
        <f t="shared" ca="1" si="2"/>
        <v/>
      </c>
      <c r="S27" t="str">
        <f t="shared" ca="1" si="3"/>
        <v/>
      </c>
      <c r="T27" t="str">
        <f t="shared" ca="1" si="4"/>
        <v/>
      </c>
      <c r="U27" t="str">
        <f t="shared" ca="1" si="5"/>
        <v/>
      </c>
      <c r="V27" t="str">
        <f t="shared" ca="1" si="6"/>
        <v/>
      </c>
    </row>
    <row r="28" spans="1:22">
      <c r="A28"/>
      <c r="I28">
        <f t="shared" si="7"/>
        <v>61</v>
      </c>
      <c r="J28" t="str">
        <f t="array" aca="1" ref="J28" ca="1">IFERROR(IF(OR(COUNTIF(INDIRECT("数出表_Excel!"&amp;P28&amp;"3"),"*キャラ*"),
COUNTIF(INDIRECT("数出表_Excel!"&amp;P28&amp;"3"),"*赤*")),
IF(COUNTIF(A28,"*雙葉*"),INDIRECT("数出表_Excel!"&amp;P28&amp;"3"),
INDIRECT("数出表_Excel!"&amp;P28&amp;"3")
&amp;"　"&amp;INDIRECT("数出表_Excel!"&amp;P28&amp;"4")
&amp;INDIRECT("数出表_Excel!"&amp;P28&amp;"5")),
INDIRECT("数出表_Excel!"&amp;P28&amp;"3")),"")</f>
        <v/>
      </c>
      <c r="K28" t="str">
        <f t="array" aca="1" ref="K28" ca="1">IFERROR(IF(OR(COUNTIF(INDIRECT("数出表_Excel!"&amp;Q28&amp;"3"),"*キャラ*"),
COUNTIF(INDIRECT("数出表_Excel!"&amp;Q28&amp;"3"),"*赤*")),
INDIRECT("数出表_Excel!"&amp;Q28&amp;"3")
&amp;"　"&amp;INDIRECT("数出表_Excel!"&amp;Q28&amp;"4")
&amp;INDIRECT("数出表_Excel!"&amp;Q28&amp;"5"),
INDIRECT("数出表_Excel!"&amp;Q28&amp;"3")),"")</f>
        <v/>
      </c>
      <c r="L28" t="str">
        <f t="array" aca="1" ref="L28" ca="1">IFERROR(IF(OR(COUNTIF(INDIRECT("数出表_Excel!"&amp;R28&amp;"3"),"*キャラ*"),
COUNTIF(INDIRECT("数出表_Excel!"&amp;R28&amp;"3"),"*赤*")),
INDIRECT("数出表_Excel!"&amp;R28&amp;"3")
&amp;"　"&amp;INDIRECT("数出表_Excel!"&amp;R28&amp;"4")
&amp;INDIRECT("数出表_Excel!"&amp;R28&amp;"5"),
INDIRECT("数出表_Excel!"&amp;R28&amp;"3")),"")</f>
        <v/>
      </c>
      <c r="M28" t="str">
        <f t="array" aca="1" ref="M28" ca="1">IFERROR(IF(OR(COUNTIF(INDIRECT("数出表_Excel!"&amp;S28&amp;"3"),"*キャラ*"),
COUNTIF(INDIRECT("数出表_Excel!"&amp;S28&amp;"3"),"*赤*")),
INDIRECT("数出表_Excel!"&amp;S28&amp;"3")
&amp;"　"&amp;INDIRECT("数出表_Excel!"&amp;S28&amp;"4")
&amp;INDIRECT("数出表_Excel!"&amp;S28&amp;"5"),
INDIRECT("数出表_Excel!"&amp;S28&amp;"3")),"")</f>
        <v/>
      </c>
      <c r="N28" t="str">
        <f t="array" aca="1" ref="N28" ca="1">IFERROR(IF(OR(COUNTIF(INDIRECT("数出表_Excel!"&amp;T28&amp;"3"),"*キャラ*"),
COUNTIF(INDIRECT("数出表_Excel!"&amp;T28&amp;"3"),"*赤*")),
INDIRECT("数出表_Excel!"&amp;T28&amp;"3")
&amp;"　"&amp;INDIRECT("数出表_Excel!"&amp;T28&amp;"4")
&amp;INDIRECT("数出表_Excel!"&amp;T28&amp;"5"),
INDIRECT("数出表_Excel!"&amp;T28&amp;"3")),"")</f>
        <v/>
      </c>
      <c r="O28" t="str">
        <f t="array" aca="1" ref="O28" ca="1">IFERROR(IF(OR(COUNTIF(INDIRECT("数出表_Excel!"&amp;U28&amp;"3"),"*キャラ*"),
COUNTIF(INDIRECT("数出表_Excel!"&amp;U28&amp;"3"),"*赤*")),
INDIRECT("数出表_Excel!"&amp;U28&amp;"3")
&amp;"　"&amp;INDIRECT("数出表_Excel!"&amp;U28&amp;"4")
&amp;INDIRECT("数出表_Excel!"&amp;U28&amp;"5"),
INDIRECT("数出表_Excel!"&amp;U28&amp;"3")),"")</f>
        <v/>
      </c>
      <c r="P28" t="str">
        <f t="shared" ca="1" si="0"/>
        <v/>
      </c>
      <c r="Q28" t="str">
        <f t="shared" ca="1" si="1"/>
        <v/>
      </c>
      <c r="R28" t="str">
        <f t="shared" ca="1" si="2"/>
        <v/>
      </c>
      <c r="S28" t="str">
        <f t="shared" ca="1" si="3"/>
        <v/>
      </c>
      <c r="T28" t="str">
        <f t="shared" ca="1" si="4"/>
        <v/>
      </c>
      <c r="U28" t="str">
        <f t="shared" ca="1" si="5"/>
        <v/>
      </c>
      <c r="V28" t="str">
        <f t="shared" ca="1" si="6"/>
        <v/>
      </c>
    </row>
    <row r="29" spans="1:22">
      <c r="A29"/>
      <c r="I29">
        <f t="shared" si="7"/>
        <v>63</v>
      </c>
      <c r="J29" t="str">
        <f t="array" aca="1" ref="J29" ca="1">IFERROR(IF(OR(COUNTIF(INDIRECT("数出表_Excel!"&amp;P29&amp;"3"),"*キャラ*"),
COUNTIF(INDIRECT("数出表_Excel!"&amp;P29&amp;"3"),"*赤*")),
IF(COUNTIF(A29,"*雙葉*"),INDIRECT("数出表_Excel!"&amp;P29&amp;"3"),
INDIRECT("数出表_Excel!"&amp;P29&amp;"3")
&amp;"　"&amp;INDIRECT("数出表_Excel!"&amp;P29&amp;"4")
&amp;INDIRECT("数出表_Excel!"&amp;P29&amp;"5")),
INDIRECT("数出表_Excel!"&amp;P29&amp;"3")),"")</f>
        <v/>
      </c>
      <c r="K29" t="str">
        <f t="array" aca="1" ref="K29" ca="1">IFERROR(IF(OR(COUNTIF(INDIRECT("数出表_Excel!"&amp;Q29&amp;"3"),"*キャラ*"),
COUNTIF(INDIRECT("数出表_Excel!"&amp;Q29&amp;"3"),"*赤*")),
INDIRECT("数出表_Excel!"&amp;Q29&amp;"3")
&amp;"　"&amp;INDIRECT("数出表_Excel!"&amp;Q29&amp;"4")
&amp;INDIRECT("数出表_Excel!"&amp;Q29&amp;"5"),
INDIRECT("数出表_Excel!"&amp;Q29&amp;"3")),"")</f>
        <v/>
      </c>
      <c r="L29" t="str">
        <f t="array" aca="1" ref="L29" ca="1">IFERROR(IF(OR(COUNTIF(INDIRECT("数出表_Excel!"&amp;R29&amp;"3"),"*キャラ*"),
COUNTIF(INDIRECT("数出表_Excel!"&amp;R29&amp;"3"),"*赤*")),
INDIRECT("数出表_Excel!"&amp;R29&amp;"3")
&amp;"　"&amp;INDIRECT("数出表_Excel!"&amp;R29&amp;"4")
&amp;INDIRECT("数出表_Excel!"&amp;R29&amp;"5"),
INDIRECT("数出表_Excel!"&amp;R29&amp;"3")),"")</f>
        <v/>
      </c>
      <c r="M29" t="str">
        <f t="array" aca="1" ref="M29" ca="1">IFERROR(IF(OR(COUNTIF(INDIRECT("数出表_Excel!"&amp;S29&amp;"3"),"*キャラ*"),
COUNTIF(INDIRECT("数出表_Excel!"&amp;S29&amp;"3"),"*赤*")),
INDIRECT("数出表_Excel!"&amp;S29&amp;"3")
&amp;"　"&amp;INDIRECT("数出表_Excel!"&amp;S29&amp;"4")
&amp;INDIRECT("数出表_Excel!"&amp;S29&amp;"5"),
INDIRECT("数出表_Excel!"&amp;S29&amp;"3")),"")</f>
        <v/>
      </c>
      <c r="N29" t="str">
        <f t="array" aca="1" ref="N29" ca="1">IFERROR(IF(OR(COUNTIF(INDIRECT("数出表_Excel!"&amp;T29&amp;"3"),"*キャラ*"),
COUNTIF(INDIRECT("数出表_Excel!"&amp;T29&amp;"3"),"*赤*")),
INDIRECT("数出表_Excel!"&amp;T29&amp;"3")
&amp;"　"&amp;INDIRECT("数出表_Excel!"&amp;T29&amp;"4")
&amp;INDIRECT("数出表_Excel!"&amp;T29&amp;"5"),
INDIRECT("数出表_Excel!"&amp;T29&amp;"3")),"")</f>
        <v/>
      </c>
      <c r="O29" t="str">
        <f t="array" aca="1" ref="O29" ca="1">IFERROR(IF(OR(COUNTIF(INDIRECT("数出表_Excel!"&amp;U29&amp;"3"),"*キャラ*"),
COUNTIF(INDIRECT("数出表_Excel!"&amp;U29&amp;"3"),"*赤*")),
INDIRECT("数出表_Excel!"&amp;U29&amp;"3")
&amp;"　"&amp;INDIRECT("数出表_Excel!"&amp;U29&amp;"4")
&amp;INDIRECT("数出表_Excel!"&amp;U29&amp;"5"),
INDIRECT("数出表_Excel!"&amp;U29&amp;"3")),"")</f>
        <v/>
      </c>
      <c r="P29" t="str">
        <f t="shared" ca="1" si="0"/>
        <v/>
      </c>
      <c r="Q29" t="str">
        <f t="shared" ca="1" si="1"/>
        <v/>
      </c>
      <c r="R29" t="str">
        <f t="shared" ca="1" si="2"/>
        <v/>
      </c>
      <c r="S29" t="str">
        <f t="shared" ca="1" si="3"/>
        <v/>
      </c>
      <c r="T29" t="str">
        <f t="shared" ca="1" si="4"/>
        <v/>
      </c>
      <c r="U29" t="str">
        <f t="shared" ca="1" si="5"/>
        <v/>
      </c>
      <c r="V29" t="str">
        <f t="shared" ca="1" si="6"/>
        <v/>
      </c>
    </row>
    <row r="30" spans="1:22">
      <c r="A30"/>
      <c r="I30">
        <f t="shared" si="7"/>
        <v>65</v>
      </c>
      <c r="J30" t="str">
        <f t="array" aca="1" ref="J30" ca="1">IFERROR(IF(OR(COUNTIF(INDIRECT("数出表_Excel!"&amp;P30&amp;"3"),"*キャラ*"),
COUNTIF(INDIRECT("数出表_Excel!"&amp;P30&amp;"3"),"*赤*")),
IF(COUNTIF(A30,"*雙葉*"),INDIRECT("数出表_Excel!"&amp;P30&amp;"3"),
INDIRECT("数出表_Excel!"&amp;P30&amp;"3")
&amp;"　"&amp;INDIRECT("数出表_Excel!"&amp;P30&amp;"4")
&amp;INDIRECT("数出表_Excel!"&amp;P30&amp;"5")),
INDIRECT("数出表_Excel!"&amp;P30&amp;"3")),"")</f>
        <v/>
      </c>
      <c r="K30" t="str">
        <f t="array" aca="1" ref="K30" ca="1">IFERROR(IF(OR(COUNTIF(INDIRECT("数出表_Excel!"&amp;Q30&amp;"3"),"*キャラ*"),
COUNTIF(INDIRECT("数出表_Excel!"&amp;Q30&amp;"3"),"*赤*")),
INDIRECT("数出表_Excel!"&amp;Q30&amp;"3")
&amp;"　"&amp;INDIRECT("数出表_Excel!"&amp;Q30&amp;"4")
&amp;INDIRECT("数出表_Excel!"&amp;Q30&amp;"5"),
INDIRECT("数出表_Excel!"&amp;Q30&amp;"3")),"")</f>
        <v/>
      </c>
      <c r="L30" t="str">
        <f t="array" aca="1" ref="L30" ca="1">IFERROR(IF(OR(COUNTIF(INDIRECT("数出表_Excel!"&amp;R30&amp;"3"),"*キャラ*"),
COUNTIF(INDIRECT("数出表_Excel!"&amp;R30&amp;"3"),"*赤*")),
INDIRECT("数出表_Excel!"&amp;R30&amp;"3")
&amp;"　"&amp;INDIRECT("数出表_Excel!"&amp;R30&amp;"4")
&amp;INDIRECT("数出表_Excel!"&amp;R30&amp;"5"),
INDIRECT("数出表_Excel!"&amp;R30&amp;"3")),"")</f>
        <v/>
      </c>
      <c r="M30" t="str">
        <f t="array" aca="1" ref="M30" ca="1">IFERROR(IF(OR(COUNTIF(INDIRECT("数出表_Excel!"&amp;S30&amp;"3"),"*キャラ*"),
COUNTIF(INDIRECT("数出表_Excel!"&amp;S30&amp;"3"),"*赤*")),
INDIRECT("数出表_Excel!"&amp;S30&amp;"3")
&amp;"　"&amp;INDIRECT("数出表_Excel!"&amp;S30&amp;"4")
&amp;INDIRECT("数出表_Excel!"&amp;S30&amp;"5"),
INDIRECT("数出表_Excel!"&amp;S30&amp;"3")),"")</f>
        <v/>
      </c>
      <c r="N30" t="str">
        <f t="array" aca="1" ref="N30" ca="1">IFERROR(IF(OR(COUNTIF(INDIRECT("数出表_Excel!"&amp;T30&amp;"3"),"*キャラ*"),
COUNTIF(INDIRECT("数出表_Excel!"&amp;T30&amp;"3"),"*赤*")),
INDIRECT("数出表_Excel!"&amp;T30&amp;"3")
&amp;"　"&amp;INDIRECT("数出表_Excel!"&amp;T30&amp;"4")
&amp;INDIRECT("数出表_Excel!"&amp;T30&amp;"5"),
INDIRECT("数出表_Excel!"&amp;T30&amp;"3")),"")</f>
        <v/>
      </c>
      <c r="O30" t="str">
        <f t="array" aca="1" ref="O30" ca="1">IFERROR(IF(OR(COUNTIF(INDIRECT("数出表_Excel!"&amp;U30&amp;"3"),"*キャラ*"),
COUNTIF(INDIRECT("数出表_Excel!"&amp;U30&amp;"3"),"*赤*")),
INDIRECT("数出表_Excel!"&amp;U30&amp;"3")
&amp;"　"&amp;INDIRECT("数出表_Excel!"&amp;U30&amp;"4")
&amp;INDIRECT("数出表_Excel!"&amp;U30&amp;"5"),
INDIRECT("数出表_Excel!"&amp;U30&amp;"3")),"")</f>
        <v/>
      </c>
      <c r="P30" t="str">
        <f t="shared" ca="1" si="0"/>
        <v/>
      </c>
      <c r="Q30" t="str">
        <f t="shared" ca="1" si="1"/>
        <v/>
      </c>
      <c r="R30" t="str">
        <f t="shared" ca="1" si="2"/>
        <v/>
      </c>
      <c r="S30" t="str">
        <f t="shared" ca="1" si="3"/>
        <v/>
      </c>
      <c r="T30" t="str">
        <f t="shared" ca="1" si="4"/>
        <v/>
      </c>
      <c r="U30" t="str">
        <f t="shared" ca="1" si="5"/>
        <v/>
      </c>
      <c r="V30" t="str">
        <f t="shared" ca="1" si="6"/>
        <v/>
      </c>
    </row>
    <row r="31" spans="1:22">
      <c r="A31"/>
      <c r="I31">
        <f t="shared" si="7"/>
        <v>67</v>
      </c>
      <c r="J31" t="str">
        <f t="array" aca="1" ref="J31" ca="1">IFERROR(IF(OR(COUNTIF(INDIRECT("数出表_Excel!"&amp;P31&amp;"3"),"*キャラ*"),
COUNTIF(INDIRECT("数出表_Excel!"&amp;P31&amp;"3"),"*赤*")),
IF(COUNTIF(A31,"*雙葉*"),INDIRECT("数出表_Excel!"&amp;P31&amp;"3"),
INDIRECT("数出表_Excel!"&amp;P31&amp;"3")
&amp;"　"&amp;INDIRECT("数出表_Excel!"&amp;P31&amp;"4")
&amp;INDIRECT("数出表_Excel!"&amp;P31&amp;"5")),
INDIRECT("数出表_Excel!"&amp;P31&amp;"3")),"")</f>
        <v/>
      </c>
      <c r="K31" t="str">
        <f t="array" aca="1" ref="K31" ca="1">IFERROR(IF(OR(COUNTIF(INDIRECT("数出表_Excel!"&amp;Q31&amp;"3"),"*キャラ*"),
COUNTIF(INDIRECT("数出表_Excel!"&amp;Q31&amp;"3"),"*赤*")),
INDIRECT("数出表_Excel!"&amp;Q31&amp;"3")
&amp;"　"&amp;INDIRECT("数出表_Excel!"&amp;Q31&amp;"4")
&amp;INDIRECT("数出表_Excel!"&amp;Q31&amp;"5"),
INDIRECT("数出表_Excel!"&amp;Q31&amp;"3")),"")</f>
        <v/>
      </c>
      <c r="L31" t="str">
        <f t="array" aca="1" ref="L31" ca="1">IFERROR(IF(OR(COUNTIF(INDIRECT("数出表_Excel!"&amp;R31&amp;"3"),"*キャラ*"),
COUNTIF(INDIRECT("数出表_Excel!"&amp;R31&amp;"3"),"*赤*")),
INDIRECT("数出表_Excel!"&amp;R31&amp;"3")
&amp;"　"&amp;INDIRECT("数出表_Excel!"&amp;R31&amp;"4")
&amp;INDIRECT("数出表_Excel!"&amp;R31&amp;"5"),
INDIRECT("数出表_Excel!"&amp;R31&amp;"3")),"")</f>
        <v/>
      </c>
      <c r="M31" t="str">
        <f t="array" aca="1" ref="M31" ca="1">IFERROR(IF(OR(COUNTIF(INDIRECT("数出表_Excel!"&amp;S31&amp;"3"),"*キャラ*"),
COUNTIF(INDIRECT("数出表_Excel!"&amp;S31&amp;"3"),"*赤*")),
INDIRECT("数出表_Excel!"&amp;S31&amp;"3")
&amp;"　"&amp;INDIRECT("数出表_Excel!"&amp;S31&amp;"4")
&amp;INDIRECT("数出表_Excel!"&amp;S31&amp;"5"),
INDIRECT("数出表_Excel!"&amp;S31&amp;"3")),"")</f>
        <v/>
      </c>
      <c r="N31" t="str">
        <f t="array" aca="1" ref="N31" ca="1">IFERROR(IF(OR(COUNTIF(INDIRECT("数出表_Excel!"&amp;T31&amp;"3"),"*キャラ*"),
COUNTIF(INDIRECT("数出表_Excel!"&amp;T31&amp;"3"),"*赤*")),
INDIRECT("数出表_Excel!"&amp;T31&amp;"3")
&amp;"　"&amp;INDIRECT("数出表_Excel!"&amp;T31&amp;"4")
&amp;INDIRECT("数出表_Excel!"&amp;T31&amp;"5"),
INDIRECT("数出表_Excel!"&amp;T31&amp;"3")),"")</f>
        <v/>
      </c>
      <c r="O31" t="str">
        <f t="array" aca="1" ref="O31" ca="1">IFERROR(IF(OR(COUNTIF(INDIRECT("数出表_Excel!"&amp;U31&amp;"3"),"*キャラ*"),
COUNTIF(INDIRECT("数出表_Excel!"&amp;U31&amp;"3"),"*赤*")),
INDIRECT("数出表_Excel!"&amp;U31&amp;"3")
&amp;"　"&amp;INDIRECT("数出表_Excel!"&amp;U31&amp;"4")
&amp;INDIRECT("数出表_Excel!"&amp;U31&amp;"5"),
INDIRECT("数出表_Excel!"&amp;U31&amp;"3")),"")</f>
        <v/>
      </c>
      <c r="P31" t="str">
        <f t="shared" ca="1" si="0"/>
        <v/>
      </c>
      <c r="Q31" t="str">
        <f t="shared" ca="1" si="1"/>
        <v/>
      </c>
      <c r="R31" t="str">
        <f t="shared" ca="1" si="2"/>
        <v/>
      </c>
      <c r="S31" t="str">
        <f t="shared" ca="1" si="3"/>
        <v/>
      </c>
      <c r="T31" t="str">
        <f t="shared" ca="1" si="4"/>
        <v/>
      </c>
      <c r="U31" t="str">
        <f t="shared" ca="1" si="5"/>
        <v/>
      </c>
      <c r="V31" t="str">
        <f t="shared" ca="1" si="6"/>
        <v/>
      </c>
    </row>
    <row r="32" spans="1:22">
      <c r="A32"/>
      <c r="I32">
        <f t="shared" si="7"/>
        <v>69</v>
      </c>
      <c r="J32" t="str">
        <f t="array" aca="1" ref="J32" ca="1">IFERROR(IF(OR(COUNTIF(INDIRECT("数出表_Excel!"&amp;P32&amp;"3"),"*キャラ*"),
COUNTIF(INDIRECT("数出表_Excel!"&amp;P32&amp;"3"),"*赤*")),
IF(COUNTIF(A32,"*雙葉*"),INDIRECT("数出表_Excel!"&amp;P32&amp;"3"),
INDIRECT("数出表_Excel!"&amp;P32&amp;"3")
&amp;"　"&amp;INDIRECT("数出表_Excel!"&amp;P32&amp;"4")
&amp;INDIRECT("数出表_Excel!"&amp;P32&amp;"5")),
INDIRECT("数出表_Excel!"&amp;P32&amp;"3")),"")</f>
        <v/>
      </c>
      <c r="K32" t="str">
        <f t="array" aca="1" ref="K32" ca="1">IFERROR(IF(OR(COUNTIF(INDIRECT("数出表_Excel!"&amp;Q32&amp;"3"),"*キャラ*"),
COUNTIF(INDIRECT("数出表_Excel!"&amp;Q32&amp;"3"),"*赤*")),
INDIRECT("数出表_Excel!"&amp;Q32&amp;"3")
&amp;"　"&amp;INDIRECT("数出表_Excel!"&amp;Q32&amp;"4")
&amp;INDIRECT("数出表_Excel!"&amp;Q32&amp;"5"),
INDIRECT("数出表_Excel!"&amp;Q32&amp;"3")),"")</f>
        <v/>
      </c>
      <c r="L32" t="str">
        <f t="array" aca="1" ref="L32" ca="1">IFERROR(IF(OR(COUNTIF(INDIRECT("数出表_Excel!"&amp;R32&amp;"3"),"*キャラ*"),
COUNTIF(INDIRECT("数出表_Excel!"&amp;R32&amp;"3"),"*赤*")),
INDIRECT("数出表_Excel!"&amp;R32&amp;"3")
&amp;"　"&amp;INDIRECT("数出表_Excel!"&amp;R32&amp;"4")
&amp;INDIRECT("数出表_Excel!"&amp;R32&amp;"5"),
INDIRECT("数出表_Excel!"&amp;R32&amp;"3")),"")</f>
        <v/>
      </c>
      <c r="M32" t="str">
        <f t="array" aca="1" ref="M32" ca="1">IFERROR(IF(OR(COUNTIF(INDIRECT("数出表_Excel!"&amp;S32&amp;"3"),"*キャラ*"),
COUNTIF(INDIRECT("数出表_Excel!"&amp;S32&amp;"3"),"*赤*")),
INDIRECT("数出表_Excel!"&amp;S32&amp;"3")
&amp;"　"&amp;INDIRECT("数出表_Excel!"&amp;S32&amp;"4")
&amp;INDIRECT("数出表_Excel!"&amp;S32&amp;"5"),
INDIRECT("数出表_Excel!"&amp;S32&amp;"3")),"")</f>
        <v/>
      </c>
      <c r="N32" t="str">
        <f t="array" aca="1" ref="N32" ca="1">IFERROR(IF(OR(COUNTIF(INDIRECT("数出表_Excel!"&amp;T32&amp;"3"),"*キャラ*"),
COUNTIF(INDIRECT("数出表_Excel!"&amp;T32&amp;"3"),"*赤*")),
INDIRECT("数出表_Excel!"&amp;T32&amp;"3")
&amp;"　"&amp;INDIRECT("数出表_Excel!"&amp;T32&amp;"4")
&amp;INDIRECT("数出表_Excel!"&amp;T32&amp;"5"),
INDIRECT("数出表_Excel!"&amp;T32&amp;"3")),"")</f>
        <v/>
      </c>
      <c r="O32" t="str">
        <f t="array" aca="1" ref="O32" ca="1">IFERROR(IF(OR(COUNTIF(INDIRECT("数出表_Excel!"&amp;U32&amp;"3"),"*キャラ*"),
COUNTIF(INDIRECT("数出表_Excel!"&amp;U32&amp;"3"),"*赤*")),
INDIRECT("数出表_Excel!"&amp;U32&amp;"3")
&amp;"　"&amp;INDIRECT("数出表_Excel!"&amp;U32&amp;"4")
&amp;INDIRECT("数出表_Excel!"&amp;U32&amp;"5"),
INDIRECT("数出表_Excel!"&amp;U32&amp;"3")),"")</f>
        <v/>
      </c>
      <c r="P32" t="str">
        <f t="shared" ca="1" si="0"/>
        <v/>
      </c>
      <c r="Q32" t="str">
        <f t="shared" ca="1" si="1"/>
        <v/>
      </c>
      <c r="R32" t="str">
        <f t="shared" ca="1" si="2"/>
        <v/>
      </c>
      <c r="S32" t="str">
        <f t="shared" ca="1" si="3"/>
        <v/>
      </c>
      <c r="T32" t="str">
        <f t="shared" ca="1" si="4"/>
        <v/>
      </c>
      <c r="U32" t="str">
        <f t="shared" ca="1" si="5"/>
        <v/>
      </c>
      <c r="V32" t="str">
        <f t="shared" ca="1" si="6"/>
        <v/>
      </c>
    </row>
    <row r="33" spans="1:22">
      <c r="A33"/>
      <c r="I33">
        <f t="shared" si="7"/>
        <v>71</v>
      </c>
      <c r="J33" t="str">
        <f t="array" aca="1" ref="J33" ca="1">IFERROR(IF(OR(COUNTIF(INDIRECT("数出表_Excel!"&amp;P33&amp;"3"),"*キャラ*"),
COUNTIF(INDIRECT("数出表_Excel!"&amp;P33&amp;"3"),"*赤*")),
IF(COUNTIF(A33,"*雙葉*"),INDIRECT("数出表_Excel!"&amp;P33&amp;"3"),
INDIRECT("数出表_Excel!"&amp;P33&amp;"3")
&amp;"　"&amp;INDIRECT("数出表_Excel!"&amp;P33&amp;"4")
&amp;INDIRECT("数出表_Excel!"&amp;P33&amp;"5")),
INDIRECT("数出表_Excel!"&amp;P33&amp;"3")),"")</f>
        <v/>
      </c>
      <c r="K33" t="str">
        <f t="array" aca="1" ref="K33" ca="1">IFERROR(IF(OR(COUNTIF(INDIRECT("数出表_Excel!"&amp;Q33&amp;"3"),"*キャラ*"),
COUNTIF(INDIRECT("数出表_Excel!"&amp;Q33&amp;"3"),"*赤*")),
INDIRECT("数出表_Excel!"&amp;Q33&amp;"3")
&amp;"　"&amp;INDIRECT("数出表_Excel!"&amp;Q33&amp;"4")
&amp;INDIRECT("数出表_Excel!"&amp;Q33&amp;"5"),
INDIRECT("数出表_Excel!"&amp;Q33&amp;"3")),"")</f>
        <v/>
      </c>
      <c r="L33" t="str">
        <f t="array" aca="1" ref="L33" ca="1">IFERROR(IF(OR(COUNTIF(INDIRECT("数出表_Excel!"&amp;R33&amp;"3"),"*キャラ*"),
COUNTIF(INDIRECT("数出表_Excel!"&amp;R33&amp;"3"),"*赤*")),
INDIRECT("数出表_Excel!"&amp;R33&amp;"3")
&amp;"　"&amp;INDIRECT("数出表_Excel!"&amp;R33&amp;"4")
&amp;INDIRECT("数出表_Excel!"&amp;R33&amp;"5"),
INDIRECT("数出表_Excel!"&amp;R33&amp;"3")),"")</f>
        <v/>
      </c>
      <c r="M33" t="str">
        <f t="array" aca="1" ref="M33" ca="1">IFERROR(IF(OR(COUNTIF(INDIRECT("数出表_Excel!"&amp;S33&amp;"3"),"*キャラ*"),
COUNTIF(INDIRECT("数出表_Excel!"&amp;S33&amp;"3"),"*赤*")),
INDIRECT("数出表_Excel!"&amp;S33&amp;"3")
&amp;"　"&amp;INDIRECT("数出表_Excel!"&amp;S33&amp;"4")
&amp;INDIRECT("数出表_Excel!"&amp;S33&amp;"5"),
INDIRECT("数出表_Excel!"&amp;S33&amp;"3")),"")</f>
        <v/>
      </c>
      <c r="N33" t="str">
        <f t="array" aca="1" ref="N33" ca="1">IFERROR(IF(OR(COUNTIF(INDIRECT("数出表_Excel!"&amp;T33&amp;"3"),"*キャラ*"),
COUNTIF(INDIRECT("数出表_Excel!"&amp;T33&amp;"3"),"*赤*")),
INDIRECT("数出表_Excel!"&amp;T33&amp;"3")
&amp;"　"&amp;INDIRECT("数出表_Excel!"&amp;T33&amp;"4")
&amp;INDIRECT("数出表_Excel!"&amp;T33&amp;"5"),
INDIRECT("数出表_Excel!"&amp;T33&amp;"3")),"")</f>
        <v/>
      </c>
      <c r="O33" t="str">
        <f t="array" aca="1" ref="O33" ca="1">IFERROR(IF(OR(COUNTIF(INDIRECT("数出表_Excel!"&amp;U33&amp;"3"),"*キャラ*"),
COUNTIF(INDIRECT("数出表_Excel!"&amp;U33&amp;"3"),"*赤*")),
INDIRECT("数出表_Excel!"&amp;U33&amp;"3")
&amp;"　"&amp;INDIRECT("数出表_Excel!"&amp;U33&amp;"4")
&amp;INDIRECT("数出表_Excel!"&amp;U33&amp;"5"),
INDIRECT("数出表_Excel!"&amp;U33&amp;"3")),"")</f>
        <v/>
      </c>
      <c r="P33" t="str">
        <f t="shared" ref="P33:P64" ca="1" si="8">IFERROR(
SUBSTITUTE(ADDRESS(1,
IFERROR(COLUMN(INDEX(INDIRECT("数出表_Excel!B"&amp;$I33-1&amp;":T"&amp;$I33-1&amp;""),1,MATCH(TEXT(B33,0),INDIRECT("数出表_Excel!B"&amp;$I33-1&amp;":T"&amp;$I33-1&amp;""),0))),""),4),"1",""),
"")</f>
        <v/>
      </c>
      <c r="Q33" t="str">
        <f t="shared" ref="Q33:Q64" ca="1" si="9">IFERROR(
SUBSTITUTE(ADDRESS(1,
IFERROR(COLUMN(INDEX(INDIRECT("数出表_Excel!B"&amp;$I33-1&amp;":T"&amp;$I33-1&amp;""),1,MATCH(TEXT(C33,0),INDIRECT("数出表_Excel!B"&amp;$I33-1&amp;":T"&amp;$I33-1&amp;""),0))),""),4),"1",""),
"")</f>
        <v/>
      </c>
      <c r="R33" t="str">
        <f t="shared" ref="R33:R64" ca="1" si="10">IFERROR(
SUBSTITUTE(ADDRESS(1,
IFERROR(COLUMN(INDEX(INDIRECT("数出表_Excel!B"&amp;$I33-1&amp;":T"&amp;$I33-1&amp;""),1,MATCH(TEXT(D33,0),INDIRECT("数出表_Excel!B"&amp;$I33-1&amp;":T"&amp;$I33-1&amp;""),0))),""),4),"1",""),
"")</f>
        <v/>
      </c>
      <c r="S33" t="str">
        <f t="shared" ref="S33:S64" ca="1" si="11">IFERROR(
SUBSTITUTE(ADDRESS(1,
IFERROR(COLUMN(INDEX(INDIRECT("数出表_Excel!B"&amp;$I33&amp;":T"&amp;$I33&amp;""),1,MATCH(TEXT(E33,0),INDIRECT("数出表_Excel!B"&amp;$I33&amp;":T"&amp;$I33&amp;""),0))),""),4),"1",""),
"")</f>
        <v/>
      </c>
      <c r="T33" t="str">
        <f t="shared" ref="T33:T64" ca="1" si="12">IFERROR(
SUBSTITUTE(ADDRESS(1,
IFERROR(COLUMN(INDEX(INDIRECT("数出表_Excel!B"&amp;$I33&amp;":T"&amp;$I33&amp;""),1,MATCH(TEXT(F33,0),INDIRECT("数出表_Excel!B"&amp;$I33&amp;":T"&amp;$I33&amp;""),0))),""),4),"1",""),
"")</f>
        <v/>
      </c>
      <c r="U33" t="str">
        <f t="shared" ref="U33:U64" ca="1" si="13">IFERROR(
SUBSTITUTE(ADDRESS(1,
IFERROR(COLUMN(INDEX(INDIRECT("数出表_Excel!B"&amp;$I33&amp;":T"&amp;$I33&amp;""),1,MATCH(TEXT(G33,0),INDIRECT("数出表_Excel!B"&amp;$I33&amp;":T"&amp;$I33&amp;""),0))),""),4),"1",""),
"")</f>
        <v/>
      </c>
      <c r="V33" t="str">
        <f t="shared" ref="V33:V64" ca="1" si="14">TRIM(SUBSTITUTE(
IF(COUNTIF(P33:U33,"A")&gt;0,"A ","")&amp;
IF(COUNTIF(P33:U33,"B")&gt;0,"B ","")&amp;
IF(COUNTIF(P33:U33,"C")&gt;0,"C ","")&amp;
IF(COUNTIF(P33:U33,"D")&gt;0,"D ","")&amp;
IF(COUNTIF(P33:U33,"E")&gt;0,"E ","")&amp;
IF(COUNTIF(P33:U33,"F")&gt;0,"F ","")&amp;
IF(COUNTIF(P33:U33,"G")&gt;0,"G ","")&amp;
IF(COUNTIF(P33:U33,"H")&gt;0,"H ","")&amp;
IF(COUNTIF(P33:U33,"I")&gt;0,"I ","")&amp;
IF(COUNTIF(P33:U33,"J")&gt;0,"J ","")&amp;
IF(COUNTIF(P33:U33,"K")&gt;0,"K ","")&amp;
IF(COUNTIF(P33:U33,"L")&gt;0,"L ","")&amp;
IF(COUNTIF(P33:U33,"M")&gt;0,"M ","")&amp;
IF(COUNTIF(P33:U33,"N")&gt;0,"N ","")&amp;
IF(COUNTIF(P33:U33,"O")&gt;0,"O ","")&amp;
IF(COUNTIF(P33:U33,"P")&gt;0,"P ","")&amp;
IF(COUNTIF(P33:U33,"Q")&gt;0,"Q ","")&amp;
IF(COUNTIF(P33:U33,"R")&gt;0,"R ","")&amp;
IF(COUNTIF(P33:U33,"S")&gt;0,"S ","")&amp;
IF(COUNTIF(P33:U33,"T")&gt;0,"T ","")&amp;
IF(COUNTIF(P33:U33,"U")&gt;0,"U ","")&amp;
IF(COUNTIF(P33:U33,"V")&gt;0,"V ","")&amp;
IF(COUNTIF(P33:U33,"W")&gt;0,"W ","")&amp;
IF(COUNTIF(P33:U33,"X")&gt;0,"X ","")&amp;
IF(COUNTIF(P33:U33,"Y")&gt;0,"Y ","")&amp;
IF(COUNTIF(P33:U33,"Z")&gt;0,"Z ","")," ",","))</f>
        <v/>
      </c>
    </row>
    <row r="34" spans="1:22">
      <c r="A34"/>
      <c r="I34">
        <f t="shared" ref="I34:I70" si="15">I33+2</f>
        <v>73</v>
      </c>
      <c r="J34" t="str">
        <f t="array" aca="1" ref="J34" ca="1">IFERROR(IF(OR(COUNTIF(INDIRECT("数出表_Excel!"&amp;P34&amp;"3"),"*キャラ*"),
COUNTIF(INDIRECT("数出表_Excel!"&amp;P34&amp;"3"),"*赤*")),
IF(COUNTIF(A34,"*雙葉*"),INDIRECT("数出表_Excel!"&amp;P34&amp;"3"),
INDIRECT("数出表_Excel!"&amp;P34&amp;"3")
&amp;"　"&amp;INDIRECT("数出表_Excel!"&amp;P34&amp;"4")
&amp;INDIRECT("数出表_Excel!"&amp;P34&amp;"5")),
INDIRECT("数出表_Excel!"&amp;P34&amp;"3")),"")</f>
        <v/>
      </c>
      <c r="K34" t="str">
        <f t="array" aca="1" ref="K34" ca="1">IFERROR(IF(OR(COUNTIF(INDIRECT("数出表_Excel!"&amp;Q34&amp;"3"),"*キャラ*"),
COUNTIF(INDIRECT("数出表_Excel!"&amp;Q34&amp;"3"),"*赤*")),
INDIRECT("数出表_Excel!"&amp;Q34&amp;"3")
&amp;"　"&amp;INDIRECT("数出表_Excel!"&amp;Q34&amp;"4")
&amp;INDIRECT("数出表_Excel!"&amp;Q34&amp;"5"),
INDIRECT("数出表_Excel!"&amp;Q34&amp;"3")),"")</f>
        <v/>
      </c>
      <c r="L34" t="str">
        <f t="array" aca="1" ref="L34" ca="1">IFERROR(IF(OR(COUNTIF(INDIRECT("数出表_Excel!"&amp;R34&amp;"3"),"*キャラ*"),
COUNTIF(INDIRECT("数出表_Excel!"&amp;R34&amp;"3"),"*赤*")),
INDIRECT("数出表_Excel!"&amp;R34&amp;"3")
&amp;"　"&amp;INDIRECT("数出表_Excel!"&amp;R34&amp;"4")
&amp;INDIRECT("数出表_Excel!"&amp;R34&amp;"5"),
INDIRECT("数出表_Excel!"&amp;R34&amp;"3")),"")</f>
        <v/>
      </c>
      <c r="M34" t="str">
        <f t="array" aca="1" ref="M34" ca="1">IFERROR(IF(OR(COUNTIF(INDIRECT("数出表_Excel!"&amp;S34&amp;"3"),"*キャラ*"),
COUNTIF(INDIRECT("数出表_Excel!"&amp;S34&amp;"3"),"*赤*")),
INDIRECT("数出表_Excel!"&amp;S34&amp;"3")
&amp;"　"&amp;INDIRECT("数出表_Excel!"&amp;S34&amp;"4")
&amp;INDIRECT("数出表_Excel!"&amp;S34&amp;"5"),
INDIRECT("数出表_Excel!"&amp;S34&amp;"3")),"")</f>
        <v/>
      </c>
      <c r="N34" t="str">
        <f t="array" aca="1" ref="N34" ca="1">IFERROR(IF(OR(COUNTIF(INDIRECT("数出表_Excel!"&amp;T34&amp;"3"),"*キャラ*"),
COUNTIF(INDIRECT("数出表_Excel!"&amp;T34&amp;"3"),"*赤*")),
INDIRECT("数出表_Excel!"&amp;T34&amp;"3")
&amp;"　"&amp;INDIRECT("数出表_Excel!"&amp;T34&amp;"4")
&amp;INDIRECT("数出表_Excel!"&amp;T34&amp;"5"),
INDIRECT("数出表_Excel!"&amp;T34&amp;"3")),"")</f>
        <v/>
      </c>
      <c r="O34" t="str">
        <f t="array" aca="1" ref="O34" ca="1">IFERROR(IF(OR(COUNTIF(INDIRECT("数出表_Excel!"&amp;U34&amp;"3"),"*キャラ*"),
COUNTIF(INDIRECT("数出表_Excel!"&amp;U34&amp;"3"),"*赤*")),
INDIRECT("数出表_Excel!"&amp;U34&amp;"3")
&amp;"　"&amp;INDIRECT("数出表_Excel!"&amp;U34&amp;"4")
&amp;INDIRECT("数出表_Excel!"&amp;U34&amp;"5"),
INDIRECT("数出表_Excel!"&amp;U34&amp;"3")),"")</f>
        <v/>
      </c>
      <c r="P34" t="str">
        <f t="shared" ca="1" si="8"/>
        <v/>
      </c>
      <c r="Q34" t="str">
        <f t="shared" ca="1" si="9"/>
        <v/>
      </c>
      <c r="R34" t="str">
        <f t="shared" ca="1" si="10"/>
        <v/>
      </c>
      <c r="S34" t="str">
        <f t="shared" ca="1" si="11"/>
        <v/>
      </c>
      <c r="T34" t="str">
        <f t="shared" ca="1" si="12"/>
        <v/>
      </c>
      <c r="U34" t="str">
        <f t="shared" ca="1" si="13"/>
        <v/>
      </c>
      <c r="V34" t="str">
        <f t="shared" ca="1" si="14"/>
        <v/>
      </c>
    </row>
    <row r="35" spans="1:22">
      <c r="A35"/>
      <c r="I35">
        <f t="shared" si="15"/>
        <v>75</v>
      </c>
      <c r="J35" t="str">
        <f t="array" aca="1" ref="J35" ca="1">IFERROR(IF(OR(COUNTIF(INDIRECT("数出表_Excel!"&amp;P35&amp;"3"),"*キャラ*"),
COUNTIF(INDIRECT("数出表_Excel!"&amp;P35&amp;"3"),"*赤*")),
IF(COUNTIF(A35,"*雙葉*"),INDIRECT("数出表_Excel!"&amp;P35&amp;"3"),
INDIRECT("数出表_Excel!"&amp;P35&amp;"3")
&amp;"　"&amp;INDIRECT("数出表_Excel!"&amp;P35&amp;"4")
&amp;INDIRECT("数出表_Excel!"&amp;P35&amp;"5")),
INDIRECT("数出表_Excel!"&amp;P35&amp;"3")),"")</f>
        <v/>
      </c>
      <c r="K35" t="str">
        <f t="array" aca="1" ref="K35" ca="1">IFERROR(IF(OR(COUNTIF(INDIRECT("数出表_Excel!"&amp;Q35&amp;"3"),"*キャラ*"),
COUNTIF(INDIRECT("数出表_Excel!"&amp;Q35&amp;"3"),"*赤*")),
INDIRECT("数出表_Excel!"&amp;Q35&amp;"3")
&amp;"　"&amp;INDIRECT("数出表_Excel!"&amp;Q35&amp;"4")
&amp;INDIRECT("数出表_Excel!"&amp;Q35&amp;"5"),
INDIRECT("数出表_Excel!"&amp;Q35&amp;"3")),"")</f>
        <v/>
      </c>
      <c r="L35" t="str">
        <f t="array" aca="1" ref="L35" ca="1">IFERROR(IF(OR(COUNTIF(INDIRECT("数出表_Excel!"&amp;R35&amp;"3"),"*キャラ*"),
COUNTIF(INDIRECT("数出表_Excel!"&amp;R35&amp;"3"),"*赤*")),
INDIRECT("数出表_Excel!"&amp;R35&amp;"3")
&amp;"　"&amp;INDIRECT("数出表_Excel!"&amp;R35&amp;"4")
&amp;INDIRECT("数出表_Excel!"&amp;R35&amp;"5"),
INDIRECT("数出表_Excel!"&amp;R35&amp;"3")),"")</f>
        <v/>
      </c>
      <c r="M35" t="str">
        <f t="array" aca="1" ref="M35" ca="1">IFERROR(IF(OR(COUNTIF(INDIRECT("数出表_Excel!"&amp;S35&amp;"3"),"*キャラ*"),
COUNTIF(INDIRECT("数出表_Excel!"&amp;S35&amp;"3"),"*赤*")),
INDIRECT("数出表_Excel!"&amp;S35&amp;"3")
&amp;"　"&amp;INDIRECT("数出表_Excel!"&amp;S35&amp;"4")
&amp;INDIRECT("数出表_Excel!"&amp;S35&amp;"5"),
INDIRECT("数出表_Excel!"&amp;S35&amp;"3")),"")</f>
        <v/>
      </c>
      <c r="N35" t="str">
        <f t="array" aca="1" ref="N35" ca="1">IFERROR(IF(OR(COUNTIF(INDIRECT("数出表_Excel!"&amp;T35&amp;"3"),"*キャラ*"),
COUNTIF(INDIRECT("数出表_Excel!"&amp;T35&amp;"3"),"*赤*")),
INDIRECT("数出表_Excel!"&amp;T35&amp;"3")
&amp;"　"&amp;INDIRECT("数出表_Excel!"&amp;T35&amp;"4")
&amp;INDIRECT("数出表_Excel!"&amp;T35&amp;"5"),
INDIRECT("数出表_Excel!"&amp;T35&amp;"3")),"")</f>
        <v/>
      </c>
      <c r="O35" t="str">
        <f t="array" aca="1" ref="O35" ca="1">IFERROR(IF(OR(COUNTIF(INDIRECT("数出表_Excel!"&amp;U35&amp;"3"),"*キャラ*"),
COUNTIF(INDIRECT("数出表_Excel!"&amp;U35&amp;"3"),"*赤*")),
INDIRECT("数出表_Excel!"&amp;U35&amp;"3")
&amp;"　"&amp;INDIRECT("数出表_Excel!"&amp;U35&amp;"4")
&amp;INDIRECT("数出表_Excel!"&amp;U35&amp;"5"),
INDIRECT("数出表_Excel!"&amp;U35&amp;"3")),"")</f>
        <v/>
      </c>
      <c r="P35" t="str">
        <f t="shared" ca="1" si="8"/>
        <v/>
      </c>
      <c r="Q35" t="str">
        <f t="shared" ca="1" si="9"/>
        <v/>
      </c>
      <c r="R35" t="str">
        <f t="shared" ca="1" si="10"/>
        <v/>
      </c>
      <c r="S35" t="str">
        <f t="shared" ca="1" si="11"/>
        <v/>
      </c>
      <c r="T35" t="str">
        <f t="shared" ca="1" si="12"/>
        <v/>
      </c>
      <c r="U35" t="str">
        <f t="shared" ca="1" si="13"/>
        <v/>
      </c>
      <c r="V35" t="str">
        <f t="shared" ca="1" si="14"/>
        <v/>
      </c>
    </row>
    <row r="36" spans="1:22">
      <c r="A36"/>
      <c r="I36">
        <f t="shared" si="15"/>
        <v>77</v>
      </c>
      <c r="J36" t="str">
        <f t="array" aca="1" ref="J36" ca="1">IFERROR(IF(OR(COUNTIF(INDIRECT("数出表_Excel!"&amp;P36&amp;"3"),"*キャラ*"),
COUNTIF(INDIRECT("数出表_Excel!"&amp;P36&amp;"3"),"*赤*")),
IF(COUNTIF(A36,"*雙葉*"),INDIRECT("数出表_Excel!"&amp;P36&amp;"3"),
INDIRECT("数出表_Excel!"&amp;P36&amp;"3")
&amp;"　"&amp;INDIRECT("数出表_Excel!"&amp;P36&amp;"4")
&amp;INDIRECT("数出表_Excel!"&amp;P36&amp;"5")),
INDIRECT("数出表_Excel!"&amp;P36&amp;"3")),"")</f>
        <v/>
      </c>
      <c r="K36" t="str">
        <f t="array" aca="1" ref="K36" ca="1">IFERROR(IF(OR(COUNTIF(INDIRECT("数出表_Excel!"&amp;Q36&amp;"3"),"*キャラ*"),
COUNTIF(INDIRECT("数出表_Excel!"&amp;Q36&amp;"3"),"*赤*")),
INDIRECT("数出表_Excel!"&amp;Q36&amp;"3")
&amp;"　"&amp;INDIRECT("数出表_Excel!"&amp;Q36&amp;"4")
&amp;INDIRECT("数出表_Excel!"&amp;Q36&amp;"5"),
INDIRECT("数出表_Excel!"&amp;Q36&amp;"3")),"")</f>
        <v/>
      </c>
      <c r="L36" t="str">
        <f t="array" aca="1" ref="L36" ca="1">IFERROR(IF(OR(COUNTIF(INDIRECT("数出表_Excel!"&amp;R36&amp;"3"),"*キャラ*"),
COUNTIF(INDIRECT("数出表_Excel!"&amp;R36&amp;"3"),"*赤*")),
INDIRECT("数出表_Excel!"&amp;R36&amp;"3")
&amp;"　"&amp;INDIRECT("数出表_Excel!"&amp;R36&amp;"4")
&amp;INDIRECT("数出表_Excel!"&amp;R36&amp;"5"),
INDIRECT("数出表_Excel!"&amp;R36&amp;"3")),"")</f>
        <v/>
      </c>
      <c r="M36" t="str">
        <f t="array" aca="1" ref="M36" ca="1">IFERROR(IF(OR(COUNTIF(INDIRECT("数出表_Excel!"&amp;S36&amp;"3"),"*キャラ*"),
COUNTIF(INDIRECT("数出表_Excel!"&amp;S36&amp;"3"),"*赤*")),
INDIRECT("数出表_Excel!"&amp;S36&amp;"3")
&amp;"　"&amp;INDIRECT("数出表_Excel!"&amp;S36&amp;"4")
&amp;INDIRECT("数出表_Excel!"&amp;S36&amp;"5"),
INDIRECT("数出表_Excel!"&amp;S36&amp;"3")),"")</f>
        <v/>
      </c>
      <c r="N36" t="str">
        <f t="array" aca="1" ref="N36" ca="1">IFERROR(IF(OR(COUNTIF(INDIRECT("数出表_Excel!"&amp;T36&amp;"3"),"*キャラ*"),
COUNTIF(INDIRECT("数出表_Excel!"&amp;T36&amp;"3"),"*赤*")),
INDIRECT("数出表_Excel!"&amp;T36&amp;"3")
&amp;"　"&amp;INDIRECT("数出表_Excel!"&amp;T36&amp;"4")
&amp;INDIRECT("数出表_Excel!"&amp;T36&amp;"5"),
INDIRECT("数出表_Excel!"&amp;T36&amp;"3")),"")</f>
        <v/>
      </c>
      <c r="O36" t="str">
        <f t="array" aca="1" ref="O36" ca="1">IFERROR(IF(OR(COUNTIF(INDIRECT("数出表_Excel!"&amp;U36&amp;"3"),"*キャラ*"),
COUNTIF(INDIRECT("数出表_Excel!"&amp;U36&amp;"3"),"*赤*")),
INDIRECT("数出表_Excel!"&amp;U36&amp;"3")
&amp;"　"&amp;INDIRECT("数出表_Excel!"&amp;U36&amp;"4")
&amp;INDIRECT("数出表_Excel!"&amp;U36&amp;"5"),
INDIRECT("数出表_Excel!"&amp;U36&amp;"3")),"")</f>
        <v/>
      </c>
      <c r="P36" t="str">
        <f t="shared" ca="1" si="8"/>
        <v/>
      </c>
      <c r="Q36" t="str">
        <f t="shared" ca="1" si="9"/>
        <v/>
      </c>
      <c r="R36" t="str">
        <f t="shared" ca="1" si="10"/>
        <v/>
      </c>
      <c r="S36" t="str">
        <f t="shared" ca="1" si="11"/>
        <v/>
      </c>
      <c r="T36" t="str">
        <f t="shared" ca="1" si="12"/>
        <v/>
      </c>
      <c r="U36" t="str">
        <f t="shared" ca="1" si="13"/>
        <v/>
      </c>
      <c r="V36" t="str">
        <f t="shared" ca="1" si="14"/>
        <v/>
      </c>
    </row>
    <row r="37" spans="1:22">
      <c r="A37"/>
      <c r="I37">
        <f t="shared" si="15"/>
        <v>79</v>
      </c>
      <c r="J37" t="str">
        <f t="array" aca="1" ref="J37" ca="1">IFERROR(IF(OR(COUNTIF(INDIRECT("数出表_Excel!"&amp;P37&amp;"3"),"*キャラ*"),
COUNTIF(INDIRECT("数出表_Excel!"&amp;P37&amp;"3"),"*赤*")),
IF(COUNTIF(A37,"*雙葉*"),INDIRECT("数出表_Excel!"&amp;P37&amp;"3"),
INDIRECT("数出表_Excel!"&amp;P37&amp;"3")
&amp;"　"&amp;INDIRECT("数出表_Excel!"&amp;P37&amp;"4")
&amp;INDIRECT("数出表_Excel!"&amp;P37&amp;"5")),
INDIRECT("数出表_Excel!"&amp;P37&amp;"3")),"")</f>
        <v/>
      </c>
      <c r="K37" t="str">
        <f t="array" aca="1" ref="K37" ca="1">IFERROR(IF(OR(COUNTIF(INDIRECT("数出表_Excel!"&amp;Q37&amp;"3"),"*キャラ*"),
COUNTIF(INDIRECT("数出表_Excel!"&amp;Q37&amp;"3"),"*赤*")),
INDIRECT("数出表_Excel!"&amp;Q37&amp;"3")
&amp;"　"&amp;INDIRECT("数出表_Excel!"&amp;Q37&amp;"4")
&amp;INDIRECT("数出表_Excel!"&amp;Q37&amp;"5"),
INDIRECT("数出表_Excel!"&amp;Q37&amp;"3")),"")</f>
        <v/>
      </c>
      <c r="L37" t="str">
        <f t="array" aca="1" ref="L37" ca="1">IFERROR(IF(OR(COUNTIF(INDIRECT("数出表_Excel!"&amp;R37&amp;"3"),"*キャラ*"),
COUNTIF(INDIRECT("数出表_Excel!"&amp;R37&amp;"3"),"*赤*")),
INDIRECT("数出表_Excel!"&amp;R37&amp;"3")
&amp;"　"&amp;INDIRECT("数出表_Excel!"&amp;R37&amp;"4")
&amp;INDIRECT("数出表_Excel!"&amp;R37&amp;"5"),
INDIRECT("数出表_Excel!"&amp;R37&amp;"3")),"")</f>
        <v/>
      </c>
      <c r="M37" t="str">
        <f t="array" aca="1" ref="M37" ca="1">IFERROR(IF(OR(COUNTIF(INDIRECT("数出表_Excel!"&amp;S37&amp;"3"),"*キャラ*"),
COUNTIF(INDIRECT("数出表_Excel!"&amp;S37&amp;"3"),"*赤*")),
INDIRECT("数出表_Excel!"&amp;S37&amp;"3")
&amp;"　"&amp;INDIRECT("数出表_Excel!"&amp;S37&amp;"4")
&amp;INDIRECT("数出表_Excel!"&amp;S37&amp;"5"),
INDIRECT("数出表_Excel!"&amp;S37&amp;"3")),"")</f>
        <v/>
      </c>
      <c r="N37" t="str">
        <f t="array" aca="1" ref="N37" ca="1">IFERROR(IF(OR(COUNTIF(INDIRECT("数出表_Excel!"&amp;T37&amp;"3"),"*キャラ*"),
COUNTIF(INDIRECT("数出表_Excel!"&amp;T37&amp;"3"),"*赤*")),
INDIRECT("数出表_Excel!"&amp;T37&amp;"3")
&amp;"　"&amp;INDIRECT("数出表_Excel!"&amp;T37&amp;"4")
&amp;INDIRECT("数出表_Excel!"&amp;T37&amp;"5"),
INDIRECT("数出表_Excel!"&amp;T37&amp;"3")),"")</f>
        <v/>
      </c>
      <c r="O37" t="str">
        <f t="array" aca="1" ref="O37" ca="1">IFERROR(IF(OR(COUNTIF(INDIRECT("数出表_Excel!"&amp;U37&amp;"3"),"*キャラ*"),
COUNTIF(INDIRECT("数出表_Excel!"&amp;U37&amp;"3"),"*赤*")),
INDIRECT("数出表_Excel!"&amp;U37&amp;"3")
&amp;"　"&amp;INDIRECT("数出表_Excel!"&amp;U37&amp;"4")
&amp;INDIRECT("数出表_Excel!"&amp;U37&amp;"5"),
INDIRECT("数出表_Excel!"&amp;U37&amp;"3")),"")</f>
        <v/>
      </c>
      <c r="P37" t="str">
        <f t="shared" ca="1" si="8"/>
        <v/>
      </c>
      <c r="Q37" t="str">
        <f t="shared" ca="1" si="9"/>
        <v/>
      </c>
      <c r="R37" t="str">
        <f t="shared" ca="1" si="10"/>
        <v/>
      </c>
      <c r="S37" t="str">
        <f t="shared" ca="1" si="11"/>
        <v/>
      </c>
      <c r="T37" t="str">
        <f t="shared" ca="1" si="12"/>
        <v/>
      </c>
      <c r="U37" t="str">
        <f t="shared" ca="1" si="13"/>
        <v/>
      </c>
      <c r="V37" t="str">
        <f t="shared" ca="1" si="14"/>
        <v/>
      </c>
    </row>
    <row r="38" spans="1:22">
      <c r="A38"/>
      <c r="I38">
        <f t="shared" si="15"/>
        <v>81</v>
      </c>
      <c r="J38" t="str">
        <f t="array" aca="1" ref="J38" ca="1">IFERROR(IF(OR(COUNTIF(INDIRECT("数出表_Excel!"&amp;P38&amp;"3"),"*キャラ*"),
COUNTIF(INDIRECT("数出表_Excel!"&amp;P38&amp;"3"),"*赤*")),
IF(COUNTIF(A38,"*雙葉*"),INDIRECT("数出表_Excel!"&amp;P38&amp;"3"),
INDIRECT("数出表_Excel!"&amp;P38&amp;"3")
&amp;"　"&amp;INDIRECT("数出表_Excel!"&amp;P38&amp;"4")
&amp;INDIRECT("数出表_Excel!"&amp;P38&amp;"5")),
INDIRECT("数出表_Excel!"&amp;P38&amp;"3")),"")</f>
        <v/>
      </c>
      <c r="K38" t="str">
        <f t="array" aca="1" ref="K38" ca="1">IFERROR(IF(OR(COUNTIF(INDIRECT("数出表_Excel!"&amp;Q38&amp;"3"),"*キャラ*"),
COUNTIF(INDIRECT("数出表_Excel!"&amp;Q38&amp;"3"),"*赤*")),
INDIRECT("数出表_Excel!"&amp;Q38&amp;"3")
&amp;"　"&amp;INDIRECT("数出表_Excel!"&amp;Q38&amp;"4")
&amp;INDIRECT("数出表_Excel!"&amp;Q38&amp;"5"),
INDIRECT("数出表_Excel!"&amp;Q38&amp;"3")),"")</f>
        <v/>
      </c>
      <c r="L38" t="str">
        <f t="array" aca="1" ref="L38" ca="1">IFERROR(IF(OR(COUNTIF(INDIRECT("数出表_Excel!"&amp;R38&amp;"3"),"*キャラ*"),
COUNTIF(INDIRECT("数出表_Excel!"&amp;R38&amp;"3"),"*赤*")),
INDIRECT("数出表_Excel!"&amp;R38&amp;"3")
&amp;"　"&amp;INDIRECT("数出表_Excel!"&amp;R38&amp;"4")
&amp;INDIRECT("数出表_Excel!"&amp;R38&amp;"5"),
INDIRECT("数出表_Excel!"&amp;R38&amp;"3")),"")</f>
        <v/>
      </c>
      <c r="M38" t="str">
        <f t="array" aca="1" ref="M38" ca="1">IFERROR(IF(OR(COUNTIF(INDIRECT("数出表_Excel!"&amp;S38&amp;"3"),"*キャラ*"),
COUNTIF(INDIRECT("数出表_Excel!"&amp;S38&amp;"3"),"*赤*")),
INDIRECT("数出表_Excel!"&amp;S38&amp;"3")
&amp;"　"&amp;INDIRECT("数出表_Excel!"&amp;S38&amp;"4")
&amp;INDIRECT("数出表_Excel!"&amp;S38&amp;"5"),
INDIRECT("数出表_Excel!"&amp;S38&amp;"3")),"")</f>
        <v/>
      </c>
      <c r="N38" t="str">
        <f t="array" aca="1" ref="N38" ca="1">IFERROR(IF(OR(COUNTIF(INDIRECT("数出表_Excel!"&amp;T38&amp;"3"),"*キャラ*"),
COUNTIF(INDIRECT("数出表_Excel!"&amp;T38&amp;"3"),"*赤*")),
INDIRECT("数出表_Excel!"&amp;T38&amp;"3")
&amp;"　"&amp;INDIRECT("数出表_Excel!"&amp;T38&amp;"4")
&amp;INDIRECT("数出表_Excel!"&amp;T38&amp;"5"),
INDIRECT("数出表_Excel!"&amp;T38&amp;"3")),"")</f>
        <v/>
      </c>
      <c r="O38" t="str">
        <f t="array" aca="1" ref="O38" ca="1">IFERROR(IF(OR(COUNTIF(INDIRECT("数出表_Excel!"&amp;U38&amp;"3"),"*キャラ*"),
COUNTIF(INDIRECT("数出表_Excel!"&amp;U38&amp;"3"),"*赤*")),
INDIRECT("数出表_Excel!"&amp;U38&amp;"3")
&amp;"　"&amp;INDIRECT("数出表_Excel!"&amp;U38&amp;"4")
&amp;INDIRECT("数出表_Excel!"&amp;U38&amp;"5"),
INDIRECT("数出表_Excel!"&amp;U38&amp;"3")),"")</f>
        <v/>
      </c>
      <c r="P38" t="str">
        <f t="shared" ca="1" si="8"/>
        <v/>
      </c>
      <c r="Q38" t="str">
        <f t="shared" ca="1" si="9"/>
        <v/>
      </c>
      <c r="R38" t="str">
        <f t="shared" ca="1" si="10"/>
        <v/>
      </c>
      <c r="S38" t="str">
        <f t="shared" ca="1" si="11"/>
        <v/>
      </c>
      <c r="T38" t="str">
        <f t="shared" ca="1" si="12"/>
        <v/>
      </c>
      <c r="U38" t="str">
        <f t="shared" ca="1" si="13"/>
        <v/>
      </c>
      <c r="V38" t="str">
        <f t="shared" ca="1" si="14"/>
        <v/>
      </c>
    </row>
    <row r="39" spans="1:22">
      <c r="A39"/>
      <c r="I39">
        <f t="shared" si="15"/>
        <v>83</v>
      </c>
      <c r="J39" t="str">
        <f t="array" aca="1" ref="J39" ca="1">IFERROR(IF(OR(COUNTIF(INDIRECT("数出表_Excel!"&amp;P39&amp;"3"),"*キャラ*"),
COUNTIF(INDIRECT("数出表_Excel!"&amp;P39&amp;"3"),"*赤*")),
IF(COUNTIF(A39,"*雙葉*"),INDIRECT("数出表_Excel!"&amp;P39&amp;"3"),
INDIRECT("数出表_Excel!"&amp;P39&amp;"3")
&amp;"　"&amp;INDIRECT("数出表_Excel!"&amp;P39&amp;"4")
&amp;INDIRECT("数出表_Excel!"&amp;P39&amp;"5")),
INDIRECT("数出表_Excel!"&amp;P39&amp;"3")),"")</f>
        <v/>
      </c>
      <c r="K39" t="str">
        <f t="array" aca="1" ref="K39" ca="1">IFERROR(IF(OR(COUNTIF(INDIRECT("数出表_Excel!"&amp;Q39&amp;"3"),"*キャラ*"),
COUNTIF(INDIRECT("数出表_Excel!"&amp;Q39&amp;"3"),"*赤*")),
INDIRECT("数出表_Excel!"&amp;Q39&amp;"3")
&amp;"　"&amp;INDIRECT("数出表_Excel!"&amp;Q39&amp;"4")
&amp;INDIRECT("数出表_Excel!"&amp;Q39&amp;"5"),
INDIRECT("数出表_Excel!"&amp;Q39&amp;"3")),"")</f>
        <v/>
      </c>
      <c r="L39" t="str">
        <f t="array" aca="1" ref="L39" ca="1">IFERROR(IF(OR(COUNTIF(INDIRECT("数出表_Excel!"&amp;R39&amp;"3"),"*キャラ*"),
COUNTIF(INDIRECT("数出表_Excel!"&amp;R39&amp;"3"),"*赤*")),
INDIRECT("数出表_Excel!"&amp;R39&amp;"3")
&amp;"　"&amp;INDIRECT("数出表_Excel!"&amp;R39&amp;"4")
&amp;INDIRECT("数出表_Excel!"&amp;R39&amp;"5"),
INDIRECT("数出表_Excel!"&amp;R39&amp;"3")),"")</f>
        <v/>
      </c>
      <c r="M39" t="str">
        <f t="array" aca="1" ref="M39" ca="1">IFERROR(IF(OR(COUNTIF(INDIRECT("数出表_Excel!"&amp;S39&amp;"3"),"*キャラ*"),
COUNTIF(INDIRECT("数出表_Excel!"&amp;S39&amp;"3"),"*赤*")),
INDIRECT("数出表_Excel!"&amp;S39&amp;"3")
&amp;"　"&amp;INDIRECT("数出表_Excel!"&amp;S39&amp;"4")
&amp;INDIRECT("数出表_Excel!"&amp;S39&amp;"5"),
INDIRECT("数出表_Excel!"&amp;S39&amp;"3")),"")</f>
        <v/>
      </c>
      <c r="N39" t="str">
        <f t="array" aca="1" ref="N39" ca="1">IFERROR(IF(OR(COUNTIF(INDIRECT("数出表_Excel!"&amp;T39&amp;"3"),"*キャラ*"),
COUNTIF(INDIRECT("数出表_Excel!"&amp;T39&amp;"3"),"*赤*")),
INDIRECT("数出表_Excel!"&amp;T39&amp;"3")
&amp;"　"&amp;INDIRECT("数出表_Excel!"&amp;T39&amp;"4")
&amp;INDIRECT("数出表_Excel!"&amp;T39&amp;"5"),
INDIRECT("数出表_Excel!"&amp;T39&amp;"3")),"")</f>
        <v/>
      </c>
      <c r="O39" t="str">
        <f t="array" aca="1" ref="O39" ca="1">IFERROR(IF(OR(COUNTIF(INDIRECT("数出表_Excel!"&amp;U39&amp;"3"),"*キャラ*"),
COUNTIF(INDIRECT("数出表_Excel!"&amp;U39&amp;"3"),"*赤*")),
INDIRECT("数出表_Excel!"&amp;U39&amp;"3")
&amp;"　"&amp;INDIRECT("数出表_Excel!"&amp;U39&amp;"4")
&amp;INDIRECT("数出表_Excel!"&amp;U39&amp;"5"),
INDIRECT("数出表_Excel!"&amp;U39&amp;"3")),"")</f>
        <v/>
      </c>
      <c r="P39" t="str">
        <f t="shared" ca="1" si="8"/>
        <v/>
      </c>
      <c r="Q39" t="str">
        <f t="shared" ca="1" si="9"/>
        <v/>
      </c>
      <c r="R39" t="str">
        <f t="shared" ca="1" si="10"/>
        <v/>
      </c>
      <c r="S39" t="str">
        <f t="shared" ca="1" si="11"/>
        <v/>
      </c>
      <c r="T39" t="str">
        <f t="shared" ca="1" si="12"/>
        <v/>
      </c>
      <c r="U39" t="str">
        <f t="shared" ca="1" si="13"/>
        <v/>
      </c>
      <c r="V39" t="str">
        <f t="shared" ca="1" si="14"/>
        <v/>
      </c>
    </row>
    <row r="40" spans="1:22">
      <c r="A40"/>
      <c r="I40">
        <f t="shared" si="15"/>
        <v>85</v>
      </c>
      <c r="J40" t="str">
        <f t="array" aca="1" ref="J40" ca="1">IFERROR(IF(OR(COUNTIF(INDIRECT("数出表_Excel!"&amp;P40&amp;"3"),"*キャラ*"),
COUNTIF(INDIRECT("数出表_Excel!"&amp;P40&amp;"3"),"*赤*")),
IF(COUNTIF(A40,"*雙葉*"),INDIRECT("数出表_Excel!"&amp;P40&amp;"3"),
INDIRECT("数出表_Excel!"&amp;P40&amp;"3")
&amp;"　"&amp;INDIRECT("数出表_Excel!"&amp;P40&amp;"4")
&amp;INDIRECT("数出表_Excel!"&amp;P40&amp;"5")),
INDIRECT("数出表_Excel!"&amp;P40&amp;"3")),"")</f>
        <v/>
      </c>
      <c r="K40" t="str">
        <f t="array" aca="1" ref="K40" ca="1">IFERROR(IF(OR(COUNTIF(INDIRECT("数出表_Excel!"&amp;Q40&amp;"3"),"*キャラ*"),
COUNTIF(INDIRECT("数出表_Excel!"&amp;Q40&amp;"3"),"*赤*")),
INDIRECT("数出表_Excel!"&amp;Q40&amp;"3")
&amp;"　"&amp;INDIRECT("数出表_Excel!"&amp;Q40&amp;"4")
&amp;INDIRECT("数出表_Excel!"&amp;Q40&amp;"5"),
INDIRECT("数出表_Excel!"&amp;Q40&amp;"3")),"")</f>
        <v/>
      </c>
      <c r="L40" t="str">
        <f t="array" aca="1" ref="L40" ca="1">IFERROR(IF(OR(COUNTIF(INDIRECT("数出表_Excel!"&amp;R40&amp;"3"),"*キャラ*"),
COUNTIF(INDIRECT("数出表_Excel!"&amp;R40&amp;"3"),"*赤*")),
INDIRECT("数出表_Excel!"&amp;R40&amp;"3")
&amp;"　"&amp;INDIRECT("数出表_Excel!"&amp;R40&amp;"4")
&amp;INDIRECT("数出表_Excel!"&amp;R40&amp;"5"),
INDIRECT("数出表_Excel!"&amp;R40&amp;"3")),"")</f>
        <v/>
      </c>
      <c r="M40" t="str">
        <f t="array" aca="1" ref="M40" ca="1">IFERROR(IF(OR(COUNTIF(INDIRECT("数出表_Excel!"&amp;S40&amp;"3"),"*キャラ*"),
COUNTIF(INDIRECT("数出表_Excel!"&amp;S40&amp;"3"),"*赤*")),
INDIRECT("数出表_Excel!"&amp;S40&amp;"3")
&amp;"　"&amp;INDIRECT("数出表_Excel!"&amp;S40&amp;"4")
&amp;INDIRECT("数出表_Excel!"&amp;S40&amp;"5"),
INDIRECT("数出表_Excel!"&amp;S40&amp;"3")),"")</f>
        <v/>
      </c>
      <c r="N40" t="str">
        <f t="array" aca="1" ref="N40" ca="1">IFERROR(IF(OR(COUNTIF(INDIRECT("数出表_Excel!"&amp;T40&amp;"3"),"*キャラ*"),
COUNTIF(INDIRECT("数出表_Excel!"&amp;T40&amp;"3"),"*赤*")),
INDIRECT("数出表_Excel!"&amp;T40&amp;"3")
&amp;"　"&amp;INDIRECT("数出表_Excel!"&amp;T40&amp;"4")
&amp;INDIRECT("数出表_Excel!"&amp;T40&amp;"5"),
INDIRECT("数出表_Excel!"&amp;T40&amp;"3")),"")</f>
        <v/>
      </c>
      <c r="O40" t="str">
        <f t="array" aca="1" ref="O40" ca="1">IFERROR(IF(OR(COUNTIF(INDIRECT("数出表_Excel!"&amp;U40&amp;"3"),"*キャラ*"),
COUNTIF(INDIRECT("数出表_Excel!"&amp;U40&amp;"3"),"*赤*")),
INDIRECT("数出表_Excel!"&amp;U40&amp;"3")
&amp;"　"&amp;INDIRECT("数出表_Excel!"&amp;U40&amp;"4")
&amp;INDIRECT("数出表_Excel!"&amp;U40&amp;"5"),
INDIRECT("数出表_Excel!"&amp;U40&amp;"3")),"")</f>
        <v/>
      </c>
      <c r="P40" t="str">
        <f t="shared" ca="1" si="8"/>
        <v/>
      </c>
      <c r="Q40" t="str">
        <f t="shared" ca="1" si="9"/>
        <v/>
      </c>
      <c r="R40" t="str">
        <f t="shared" ca="1" si="10"/>
        <v/>
      </c>
      <c r="S40" t="str">
        <f t="shared" ca="1" si="11"/>
        <v/>
      </c>
      <c r="T40" t="str">
        <f t="shared" ca="1" si="12"/>
        <v/>
      </c>
      <c r="U40" t="str">
        <f t="shared" ca="1" si="13"/>
        <v/>
      </c>
      <c r="V40" t="str">
        <f t="shared" ca="1" si="14"/>
        <v/>
      </c>
    </row>
    <row r="41" spans="1:22">
      <c r="A41"/>
      <c r="I41">
        <f t="shared" si="15"/>
        <v>87</v>
      </c>
      <c r="J41" t="str">
        <f t="array" aca="1" ref="J41" ca="1">IFERROR(IF(OR(COUNTIF(INDIRECT("数出表_Excel!"&amp;P41&amp;"3"),"*キャラ*"),
COUNTIF(INDIRECT("数出表_Excel!"&amp;P41&amp;"3"),"*赤*")),
IF(COUNTIF(A41,"*雙葉*"),INDIRECT("数出表_Excel!"&amp;P41&amp;"3"),
INDIRECT("数出表_Excel!"&amp;P41&amp;"3")
&amp;"　"&amp;INDIRECT("数出表_Excel!"&amp;P41&amp;"4")
&amp;INDIRECT("数出表_Excel!"&amp;P41&amp;"5")),
INDIRECT("数出表_Excel!"&amp;P41&amp;"3")),"")</f>
        <v/>
      </c>
      <c r="K41" t="str">
        <f t="array" aca="1" ref="K41" ca="1">IFERROR(IF(OR(COUNTIF(INDIRECT("数出表_Excel!"&amp;Q41&amp;"3"),"*キャラ*"),
COUNTIF(INDIRECT("数出表_Excel!"&amp;Q41&amp;"3"),"*赤*")),
INDIRECT("数出表_Excel!"&amp;Q41&amp;"3")
&amp;"　"&amp;INDIRECT("数出表_Excel!"&amp;Q41&amp;"4")
&amp;INDIRECT("数出表_Excel!"&amp;Q41&amp;"5"),
INDIRECT("数出表_Excel!"&amp;Q41&amp;"3")),"")</f>
        <v/>
      </c>
      <c r="L41" t="str">
        <f t="array" aca="1" ref="L41" ca="1">IFERROR(IF(OR(COUNTIF(INDIRECT("数出表_Excel!"&amp;R41&amp;"3"),"*キャラ*"),
COUNTIF(INDIRECT("数出表_Excel!"&amp;R41&amp;"3"),"*赤*")),
INDIRECT("数出表_Excel!"&amp;R41&amp;"3")
&amp;"　"&amp;INDIRECT("数出表_Excel!"&amp;R41&amp;"4")
&amp;INDIRECT("数出表_Excel!"&amp;R41&amp;"5"),
INDIRECT("数出表_Excel!"&amp;R41&amp;"3")),"")</f>
        <v/>
      </c>
      <c r="M41" t="str">
        <f t="array" aca="1" ref="M41" ca="1">IFERROR(IF(OR(COUNTIF(INDIRECT("数出表_Excel!"&amp;S41&amp;"3"),"*キャラ*"),
COUNTIF(INDIRECT("数出表_Excel!"&amp;S41&amp;"3"),"*赤*")),
INDIRECT("数出表_Excel!"&amp;S41&amp;"3")
&amp;"　"&amp;INDIRECT("数出表_Excel!"&amp;S41&amp;"4")
&amp;INDIRECT("数出表_Excel!"&amp;S41&amp;"5"),
INDIRECT("数出表_Excel!"&amp;S41&amp;"3")),"")</f>
        <v/>
      </c>
      <c r="N41" t="str">
        <f t="array" aca="1" ref="N41" ca="1">IFERROR(IF(OR(COUNTIF(INDIRECT("数出表_Excel!"&amp;T41&amp;"3"),"*キャラ*"),
COUNTIF(INDIRECT("数出表_Excel!"&amp;T41&amp;"3"),"*赤*")),
INDIRECT("数出表_Excel!"&amp;T41&amp;"3")
&amp;"　"&amp;INDIRECT("数出表_Excel!"&amp;T41&amp;"4")
&amp;INDIRECT("数出表_Excel!"&amp;T41&amp;"5"),
INDIRECT("数出表_Excel!"&amp;T41&amp;"3")),"")</f>
        <v/>
      </c>
      <c r="O41" t="str">
        <f t="array" aca="1" ref="O41" ca="1">IFERROR(IF(OR(COUNTIF(INDIRECT("数出表_Excel!"&amp;U41&amp;"3"),"*キャラ*"),
COUNTIF(INDIRECT("数出表_Excel!"&amp;U41&amp;"3"),"*赤*")),
INDIRECT("数出表_Excel!"&amp;U41&amp;"3")
&amp;"　"&amp;INDIRECT("数出表_Excel!"&amp;U41&amp;"4")
&amp;INDIRECT("数出表_Excel!"&amp;U41&amp;"5"),
INDIRECT("数出表_Excel!"&amp;U41&amp;"3")),"")</f>
        <v/>
      </c>
      <c r="P41" t="str">
        <f t="shared" ca="1" si="8"/>
        <v/>
      </c>
      <c r="Q41" t="str">
        <f t="shared" ca="1" si="9"/>
        <v/>
      </c>
      <c r="R41" t="str">
        <f t="shared" ca="1" si="10"/>
        <v/>
      </c>
      <c r="S41" t="str">
        <f t="shared" ca="1" si="11"/>
        <v/>
      </c>
      <c r="T41" t="str">
        <f t="shared" ca="1" si="12"/>
        <v/>
      </c>
      <c r="U41" t="str">
        <f t="shared" ca="1" si="13"/>
        <v/>
      </c>
      <c r="V41" t="str">
        <f t="shared" ca="1" si="14"/>
        <v/>
      </c>
    </row>
    <row r="42" spans="1:22">
      <c r="A42"/>
      <c r="I42">
        <f t="shared" si="15"/>
        <v>89</v>
      </c>
      <c r="J42" t="str">
        <f t="array" aca="1" ref="J42" ca="1">IFERROR(IF(OR(COUNTIF(INDIRECT("数出表_Excel!"&amp;P42&amp;"3"),"*キャラ*"),
COUNTIF(INDIRECT("数出表_Excel!"&amp;P42&amp;"3"),"*赤*")),
IF(COUNTIF(A42,"*雙葉*"),INDIRECT("数出表_Excel!"&amp;P42&amp;"3"),
INDIRECT("数出表_Excel!"&amp;P42&amp;"3")
&amp;"　"&amp;INDIRECT("数出表_Excel!"&amp;P42&amp;"4")
&amp;INDIRECT("数出表_Excel!"&amp;P42&amp;"5")),
INDIRECT("数出表_Excel!"&amp;P42&amp;"3")),"")</f>
        <v/>
      </c>
      <c r="K42" t="str">
        <f t="array" aca="1" ref="K42" ca="1">IFERROR(IF(OR(COUNTIF(INDIRECT("数出表_Excel!"&amp;Q42&amp;"3"),"*キャラ*"),
COUNTIF(INDIRECT("数出表_Excel!"&amp;Q42&amp;"3"),"*赤*")),
INDIRECT("数出表_Excel!"&amp;Q42&amp;"3")
&amp;"　"&amp;INDIRECT("数出表_Excel!"&amp;Q42&amp;"4")
&amp;INDIRECT("数出表_Excel!"&amp;Q42&amp;"5"),
INDIRECT("数出表_Excel!"&amp;Q42&amp;"3")),"")</f>
        <v/>
      </c>
      <c r="L42" t="str">
        <f t="array" aca="1" ref="L42" ca="1">IFERROR(IF(OR(COUNTIF(INDIRECT("数出表_Excel!"&amp;R42&amp;"3"),"*キャラ*"),
COUNTIF(INDIRECT("数出表_Excel!"&amp;R42&amp;"3"),"*赤*")),
INDIRECT("数出表_Excel!"&amp;R42&amp;"3")
&amp;"　"&amp;INDIRECT("数出表_Excel!"&amp;R42&amp;"4")
&amp;INDIRECT("数出表_Excel!"&amp;R42&amp;"5"),
INDIRECT("数出表_Excel!"&amp;R42&amp;"3")),"")</f>
        <v/>
      </c>
      <c r="M42" t="str">
        <f t="array" aca="1" ref="M42" ca="1">IFERROR(IF(OR(COUNTIF(INDIRECT("数出表_Excel!"&amp;S42&amp;"3"),"*キャラ*"),
COUNTIF(INDIRECT("数出表_Excel!"&amp;S42&amp;"3"),"*赤*")),
INDIRECT("数出表_Excel!"&amp;S42&amp;"3")
&amp;"　"&amp;INDIRECT("数出表_Excel!"&amp;S42&amp;"4")
&amp;INDIRECT("数出表_Excel!"&amp;S42&amp;"5"),
INDIRECT("数出表_Excel!"&amp;S42&amp;"3")),"")</f>
        <v/>
      </c>
      <c r="N42" t="str">
        <f t="array" aca="1" ref="N42" ca="1">IFERROR(IF(OR(COUNTIF(INDIRECT("数出表_Excel!"&amp;T42&amp;"3"),"*キャラ*"),
COUNTIF(INDIRECT("数出表_Excel!"&amp;T42&amp;"3"),"*赤*")),
INDIRECT("数出表_Excel!"&amp;T42&amp;"3")
&amp;"　"&amp;INDIRECT("数出表_Excel!"&amp;T42&amp;"4")
&amp;INDIRECT("数出表_Excel!"&amp;T42&amp;"5"),
INDIRECT("数出表_Excel!"&amp;T42&amp;"3")),"")</f>
        <v/>
      </c>
      <c r="O42" t="str">
        <f t="array" aca="1" ref="O42" ca="1">IFERROR(IF(OR(COUNTIF(INDIRECT("数出表_Excel!"&amp;U42&amp;"3"),"*キャラ*"),
COUNTIF(INDIRECT("数出表_Excel!"&amp;U42&amp;"3"),"*赤*")),
INDIRECT("数出表_Excel!"&amp;U42&amp;"3")
&amp;"　"&amp;INDIRECT("数出表_Excel!"&amp;U42&amp;"4")
&amp;INDIRECT("数出表_Excel!"&amp;U42&amp;"5"),
INDIRECT("数出表_Excel!"&amp;U42&amp;"3")),"")</f>
        <v/>
      </c>
      <c r="P42" t="str">
        <f t="shared" ca="1" si="8"/>
        <v/>
      </c>
      <c r="Q42" t="str">
        <f t="shared" ca="1" si="9"/>
        <v/>
      </c>
      <c r="R42" t="str">
        <f t="shared" ca="1" si="10"/>
        <v/>
      </c>
      <c r="S42" t="str">
        <f t="shared" ca="1" si="11"/>
        <v/>
      </c>
      <c r="T42" t="str">
        <f t="shared" ca="1" si="12"/>
        <v/>
      </c>
      <c r="U42" t="str">
        <f t="shared" ca="1" si="13"/>
        <v/>
      </c>
      <c r="V42" t="str">
        <f t="shared" ca="1" si="14"/>
        <v/>
      </c>
    </row>
    <row r="43" spans="1:22">
      <c r="A43"/>
      <c r="I43">
        <f t="shared" si="15"/>
        <v>91</v>
      </c>
      <c r="J43" t="str">
        <f t="array" aca="1" ref="J43" ca="1">IFERROR(IF(OR(COUNTIF(INDIRECT("数出表_Excel!"&amp;P43&amp;"3"),"*キャラ*"),
COUNTIF(INDIRECT("数出表_Excel!"&amp;P43&amp;"3"),"*赤*")),
IF(COUNTIF(A43,"*雙葉*"),INDIRECT("数出表_Excel!"&amp;P43&amp;"3"),
INDIRECT("数出表_Excel!"&amp;P43&amp;"3")
&amp;"　"&amp;INDIRECT("数出表_Excel!"&amp;P43&amp;"4")
&amp;INDIRECT("数出表_Excel!"&amp;P43&amp;"5")),
INDIRECT("数出表_Excel!"&amp;P43&amp;"3")),"")</f>
        <v/>
      </c>
      <c r="K43" t="str">
        <f t="array" aca="1" ref="K43" ca="1">IFERROR(IF(OR(COUNTIF(INDIRECT("数出表_Excel!"&amp;Q43&amp;"3"),"*キャラ*"),
COUNTIF(INDIRECT("数出表_Excel!"&amp;Q43&amp;"3"),"*赤*")),
INDIRECT("数出表_Excel!"&amp;Q43&amp;"3")
&amp;"　"&amp;INDIRECT("数出表_Excel!"&amp;Q43&amp;"4")
&amp;INDIRECT("数出表_Excel!"&amp;Q43&amp;"5"),
INDIRECT("数出表_Excel!"&amp;Q43&amp;"3")),"")</f>
        <v/>
      </c>
      <c r="L43" t="str">
        <f t="array" aca="1" ref="L43" ca="1">IFERROR(IF(OR(COUNTIF(INDIRECT("数出表_Excel!"&amp;R43&amp;"3"),"*キャラ*"),
COUNTIF(INDIRECT("数出表_Excel!"&amp;R43&amp;"3"),"*赤*")),
INDIRECT("数出表_Excel!"&amp;R43&amp;"3")
&amp;"　"&amp;INDIRECT("数出表_Excel!"&amp;R43&amp;"4")
&amp;INDIRECT("数出表_Excel!"&amp;R43&amp;"5"),
INDIRECT("数出表_Excel!"&amp;R43&amp;"3")),"")</f>
        <v/>
      </c>
      <c r="M43" t="str">
        <f t="array" aca="1" ref="M43" ca="1">IFERROR(IF(OR(COUNTIF(INDIRECT("数出表_Excel!"&amp;S43&amp;"3"),"*キャラ*"),
COUNTIF(INDIRECT("数出表_Excel!"&amp;S43&amp;"3"),"*赤*")),
INDIRECT("数出表_Excel!"&amp;S43&amp;"3")
&amp;"　"&amp;INDIRECT("数出表_Excel!"&amp;S43&amp;"4")
&amp;INDIRECT("数出表_Excel!"&amp;S43&amp;"5"),
INDIRECT("数出表_Excel!"&amp;S43&amp;"3")),"")</f>
        <v/>
      </c>
      <c r="N43" t="str">
        <f t="array" aca="1" ref="N43" ca="1">IFERROR(IF(OR(COUNTIF(INDIRECT("数出表_Excel!"&amp;T43&amp;"3"),"*キャラ*"),
COUNTIF(INDIRECT("数出表_Excel!"&amp;T43&amp;"3"),"*赤*")),
INDIRECT("数出表_Excel!"&amp;T43&amp;"3")
&amp;"　"&amp;INDIRECT("数出表_Excel!"&amp;T43&amp;"4")
&amp;INDIRECT("数出表_Excel!"&amp;T43&amp;"5"),
INDIRECT("数出表_Excel!"&amp;T43&amp;"3")),"")</f>
        <v/>
      </c>
      <c r="O43" t="str">
        <f t="array" aca="1" ref="O43" ca="1">IFERROR(IF(OR(COUNTIF(INDIRECT("数出表_Excel!"&amp;U43&amp;"3"),"*キャラ*"),
COUNTIF(INDIRECT("数出表_Excel!"&amp;U43&amp;"3"),"*赤*")),
INDIRECT("数出表_Excel!"&amp;U43&amp;"3")
&amp;"　"&amp;INDIRECT("数出表_Excel!"&amp;U43&amp;"4")
&amp;INDIRECT("数出表_Excel!"&amp;U43&amp;"5"),
INDIRECT("数出表_Excel!"&amp;U43&amp;"3")),"")</f>
        <v/>
      </c>
      <c r="P43" t="str">
        <f t="shared" ca="1" si="8"/>
        <v/>
      </c>
      <c r="Q43" t="str">
        <f t="shared" ca="1" si="9"/>
        <v/>
      </c>
      <c r="R43" t="str">
        <f t="shared" ca="1" si="10"/>
        <v/>
      </c>
      <c r="S43" t="str">
        <f t="shared" ca="1" si="11"/>
        <v/>
      </c>
      <c r="T43" t="str">
        <f t="shared" ca="1" si="12"/>
        <v/>
      </c>
      <c r="U43" t="str">
        <f t="shared" ca="1" si="13"/>
        <v/>
      </c>
      <c r="V43" t="str">
        <f t="shared" ca="1" si="14"/>
        <v/>
      </c>
    </row>
    <row r="44" spans="1:22">
      <c r="A44"/>
      <c r="I44">
        <f t="shared" si="15"/>
        <v>93</v>
      </c>
      <c r="J44" t="str">
        <f t="array" aca="1" ref="J44" ca="1">IFERROR(IF(OR(COUNTIF(INDIRECT("数出表_Excel!"&amp;P44&amp;"3"),"*キャラ*"),
COUNTIF(INDIRECT("数出表_Excel!"&amp;P44&amp;"3"),"*赤*")),
IF(COUNTIF(A44,"*雙葉*"),INDIRECT("数出表_Excel!"&amp;P44&amp;"3"),
INDIRECT("数出表_Excel!"&amp;P44&amp;"3")
&amp;"　"&amp;INDIRECT("数出表_Excel!"&amp;P44&amp;"4")
&amp;INDIRECT("数出表_Excel!"&amp;P44&amp;"5")),
INDIRECT("数出表_Excel!"&amp;P44&amp;"3")),"")</f>
        <v/>
      </c>
      <c r="K44" t="str">
        <f t="array" aca="1" ref="K44" ca="1">IFERROR(IF(OR(COUNTIF(INDIRECT("数出表_Excel!"&amp;Q44&amp;"3"),"*キャラ*"),
COUNTIF(INDIRECT("数出表_Excel!"&amp;Q44&amp;"3"),"*赤*")),
INDIRECT("数出表_Excel!"&amp;Q44&amp;"3")
&amp;"　"&amp;INDIRECT("数出表_Excel!"&amp;Q44&amp;"4")
&amp;INDIRECT("数出表_Excel!"&amp;Q44&amp;"5"),
INDIRECT("数出表_Excel!"&amp;Q44&amp;"3")),"")</f>
        <v/>
      </c>
      <c r="L44" t="str">
        <f t="array" aca="1" ref="L44" ca="1">IFERROR(IF(OR(COUNTIF(INDIRECT("数出表_Excel!"&amp;R44&amp;"3"),"*キャラ*"),
COUNTIF(INDIRECT("数出表_Excel!"&amp;R44&amp;"3"),"*赤*")),
INDIRECT("数出表_Excel!"&amp;R44&amp;"3")
&amp;"　"&amp;INDIRECT("数出表_Excel!"&amp;R44&amp;"4")
&amp;INDIRECT("数出表_Excel!"&amp;R44&amp;"5"),
INDIRECT("数出表_Excel!"&amp;R44&amp;"3")),"")</f>
        <v/>
      </c>
      <c r="M44" t="str">
        <f t="array" aca="1" ref="M44" ca="1">IFERROR(IF(OR(COUNTIF(INDIRECT("数出表_Excel!"&amp;S44&amp;"3"),"*キャラ*"),
COUNTIF(INDIRECT("数出表_Excel!"&amp;S44&amp;"3"),"*赤*")),
INDIRECT("数出表_Excel!"&amp;S44&amp;"3")
&amp;"　"&amp;INDIRECT("数出表_Excel!"&amp;S44&amp;"4")
&amp;INDIRECT("数出表_Excel!"&amp;S44&amp;"5"),
INDIRECT("数出表_Excel!"&amp;S44&amp;"3")),"")</f>
        <v/>
      </c>
      <c r="N44" t="str">
        <f t="array" aca="1" ref="N44" ca="1">IFERROR(IF(OR(COUNTIF(INDIRECT("数出表_Excel!"&amp;T44&amp;"3"),"*キャラ*"),
COUNTIF(INDIRECT("数出表_Excel!"&amp;T44&amp;"3"),"*赤*")),
INDIRECT("数出表_Excel!"&amp;T44&amp;"3")
&amp;"　"&amp;INDIRECT("数出表_Excel!"&amp;T44&amp;"4")
&amp;INDIRECT("数出表_Excel!"&amp;T44&amp;"5"),
INDIRECT("数出表_Excel!"&amp;T44&amp;"3")),"")</f>
        <v/>
      </c>
      <c r="O44" t="str">
        <f t="array" aca="1" ref="O44" ca="1">IFERROR(IF(OR(COUNTIF(INDIRECT("数出表_Excel!"&amp;U44&amp;"3"),"*キャラ*"),
COUNTIF(INDIRECT("数出表_Excel!"&amp;U44&amp;"3"),"*赤*")),
INDIRECT("数出表_Excel!"&amp;U44&amp;"3")
&amp;"　"&amp;INDIRECT("数出表_Excel!"&amp;U44&amp;"4")
&amp;INDIRECT("数出表_Excel!"&amp;U44&amp;"5"),
INDIRECT("数出表_Excel!"&amp;U44&amp;"3")),"")</f>
        <v/>
      </c>
      <c r="P44" t="str">
        <f t="shared" ca="1" si="8"/>
        <v/>
      </c>
      <c r="Q44" t="str">
        <f t="shared" ca="1" si="9"/>
        <v/>
      </c>
      <c r="R44" t="str">
        <f t="shared" ca="1" si="10"/>
        <v/>
      </c>
      <c r="S44" t="str">
        <f t="shared" ca="1" si="11"/>
        <v/>
      </c>
      <c r="T44" t="str">
        <f t="shared" ca="1" si="12"/>
        <v/>
      </c>
      <c r="U44" t="str">
        <f t="shared" ca="1" si="13"/>
        <v/>
      </c>
      <c r="V44" t="str">
        <f t="shared" ca="1" si="14"/>
        <v/>
      </c>
    </row>
    <row r="45" spans="1:22">
      <c r="A45"/>
      <c r="I45">
        <f t="shared" si="15"/>
        <v>95</v>
      </c>
      <c r="J45" t="str">
        <f t="array" aca="1" ref="J45" ca="1">IFERROR(IF(OR(COUNTIF(INDIRECT("数出表_Excel!"&amp;P45&amp;"3"),"*キャラ*"),
COUNTIF(INDIRECT("数出表_Excel!"&amp;P45&amp;"3"),"*赤*")),
IF(COUNTIF(A45,"*雙葉*"),INDIRECT("数出表_Excel!"&amp;P45&amp;"3"),
INDIRECT("数出表_Excel!"&amp;P45&amp;"3")
&amp;"　"&amp;INDIRECT("数出表_Excel!"&amp;P45&amp;"4")
&amp;INDIRECT("数出表_Excel!"&amp;P45&amp;"5")),
INDIRECT("数出表_Excel!"&amp;P45&amp;"3")),"")</f>
        <v/>
      </c>
      <c r="K45" t="str">
        <f t="array" aca="1" ref="K45" ca="1">IFERROR(IF(OR(COUNTIF(INDIRECT("数出表_Excel!"&amp;Q45&amp;"3"),"*キャラ*"),
COUNTIF(INDIRECT("数出表_Excel!"&amp;Q45&amp;"3"),"*赤*")),
INDIRECT("数出表_Excel!"&amp;Q45&amp;"3")
&amp;"　"&amp;INDIRECT("数出表_Excel!"&amp;Q45&amp;"4")
&amp;INDIRECT("数出表_Excel!"&amp;Q45&amp;"5"),
INDIRECT("数出表_Excel!"&amp;Q45&amp;"3")),"")</f>
        <v/>
      </c>
      <c r="L45" t="str">
        <f t="array" aca="1" ref="L45" ca="1">IFERROR(IF(OR(COUNTIF(INDIRECT("数出表_Excel!"&amp;R45&amp;"3"),"*キャラ*"),
COUNTIF(INDIRECT("数出表_Excel!"&amp;R45&amp;"3"),"*赤*")),
INDIRECT("数出表_Excel!"&amp;R45&amp;"3")
&amp;"　"&amp;INDIRECT("数出表_Excel!"&amp;R45&amp;"4")
&amp;INDIRECT("数出表_Excel!"&amp;R45&amp;"5"),
INDIRECT("数出表_Excel!"&amp;R45&amp;"3")),"")</f>
        <v/>
      </c>
      <c r="M45" t="str">
        <f t="array" aca="1" ref="M45" ca="1">IFERROR(IF(OR(COUNTIF(INDIRECT("数出表_Excel!"&amp;S45&amp;"3"),"*キャラ*"),
COUNTIF(INDIRECT("数出表_Excel!"&amp;S45&amp;"3"),"*赤*")),
INDIRECT("数出表_Excel!"&amp;S45&amp;"3")
&amp;"　"&amp;INDIRECT("数出表_Excel!"&amp;S45&amp;"4")
&amp;INDIRECT("数出表_Excel!"&amp;S45&amp;"5"),
INDIRECT("数出表_Excel!"&amp;S45&amp;"3")),"")</f>
        <v/>
      </c>
      <c r="N45" t="str">
        <f t="array" aca="1" ref="N45" ca="1">IFERROR(IF(OR(COUNTIF(INDIRECT("数出表_Excel!"&amp;T45&amp;"3"),"*キャラ*"),
COUNTIF(INDIRECT("数出表_Excel!"&amp;T45&amp;"3"),"*赤*")),
INDIRECT("数出表_Excel!"&amp;T45&amp;"3")
&amp;"　"&amp;INDIRECT("数出表_Excel!"&amp;T45&amp;"4")
&amp;INDIRECT("数出表_Excel!"&amp;T45&amp;"5"),
INDIRECT("数出表_Excel!"&amp;T45&amp;"3")),"")</f>
        <v/>
      </c>
      <c r="O45" t="str">
        <f t="array" aca="1" ref="O45" ca="1">IFERROR(IF(OR(COUNTIF(INDIRECT("数出表_Excel!"&amp;U45&amp;"3"),"*キャラ*"),
COUNTIF(INDIRECT("数出表_Excel!"&amp;U45&amp;"3"),"*赤*")),
INDIRECT("数出表_Excel!"&amp;U45&amp;"3")
&amp;"　"&amp;INDIRECT("数出表_Excel!"&amp;U45&amp;"4")
&amp;INDIRECT("数出表_Excel!"&amp;U45&amp;"5"),
INDIRECT("数出表_Excel!"&amp;U45&amp;"3")),"")</f>
        <v/>
      </c>
      <c r="P45" t="str">
        <f t="shared" ca="1" si="8"/>
        <v/>
      </c>
      <c r="Q45" t="str">
        <f t="shared" ca="1" si="9"/>
        <v/>
      </c>
      <c r="R45" t="str">
        <f t="shared" ca="1" si="10"/>
        <v/>
      </c>
      <c r="S45" t="str">
        <f t="shared" ca="1" si="11"/>
        <v/>
      </c>
      <c r="T45" t="str">
        <f t="shared" ca="1" si="12"/>
        <v/>
      </c>
      <c r="U45" t="str">
        <f t="shared" ca="1" si="13"/>
        <v/>
      </c>
      <c r="V45" t="str">
        <f t="shared" ca="1" si="14"/>
        <v/>
      </c>
    </row>
    <row r="46" spans="1:22">
      <c r="A46"/>
      <c r="I46">
        <f t="shared" si="15"/>
        <v>97</v>
      </c>
      <c r="J46" t="str">
        <f t="array" aca="1" ref="J46" ca="1">IFERROR(IF(OR(COUNTIF(INDIRECT("数出表_Excel!"&amp;P46&amp;"3"),"*キャラ*"),
COUNTIF(INDIRECT("数出表_Excel!"&amp;P46&amp;"3"),"*赤*")),
IF(COUNTIF(A46,"*雙葉*"),INDIRECT("数出表_Excel!"&amp;P46&amp;"3"),
INDIRECT("数出表_Excel!"&amp;P46&amp;"3")
&amp;"　"&amp;INDIRECT("数出表_Excel!"&amp;P46&amp;"4")
&amp;INDIRECT("数出表_Excel!"&amp;P46&amp;"5")),
INDIRECT("数出表_Excel!"&amp;P46&amp;"3")),"")</f>
        <v/>
      </c>
      <c r="K46" t="str">
        <f t="array" aca="1" ref="K46" ca="1">IFERROR(IF(OR(COUNTIF(INDIRECT("数出表_Excel!"&amp;Q46&amp;"3"),"*キャラ*"),
COUNTIF(INDIRECT("数出表_Excel!"&amp;Q46&amp;"3"),"*赤*")),
INDIRECT("数出表_Excel!"&amp;Q46&amp;"3")
&amp;"　"&amp;INDIRECT("数出表_Excel!"&amp;Q46&amp;"4")
&amp;INDIRECT("数出表_Excel!"&amp;Q46&amp;"5"),
INDIRECT("数出表_Excel!"&amp;Q46&amp;"3")),"")</f>
        <v/>
      </c>
      <c r="L46" t="str">
        <f t="array" aca="1" ref="L46" ca="1">IFERROR(IF(OR(COUNTIF(INDIRECT("数出表_Excel!"&amp;R46&amp;"3"),"*キャラ*"),
COUNTIF(INDIRECT("数出表_Excel!"&amp;R46&amp;"3"),"*赤*")),
INDIRECT("数出表_Excel!"&amp;R46&amp;"3")
&amp;"　"&amp;INDIRECT("数出表_Excel!"&amp;R46&amp;"4")
&amp;INDIRECT("数出表_Excel!"&amp;R46&amp;"5"),
INDIRECT("数出表_Excel!"&amp;R46&amp;"3")),"")</f>
        <v/>
      </c>
      <c r="M46" t="str">
        <f t="array" aca="1" ref="M46" ca="1">IFERROR(IF(OR(COUNTIF(INDIRECT("数出表_Excel!"&amp;S46&amp;"3"),"*キャラ*"),
COUNTIF(INDIRECT("数出表_Excel!"&amp;S46&amp;"3"),"*赤*")),
INDIRECT("数出表_Excel!"&amp;S46&amp;"3")
&amp;"　"&amp;INDIRECT("数出表_Excel!"&amp;S46&amp;"4")
&amp;INDIRECT("数出表_Excel!"&amp;S46&amp;"5"),
INDIRECT("数出表_Excel!"&amp;S46&amp;"3")),"")</f>
        <v/>
      </c>
      <c r="N46" t="str">
        <f t="array" aca="1" ref="N46" ca="1">IFERROR(IF(OR(COUNTIF(INDIRECT("数出表_Excel!"&amp;T46&amp;"3"),"*キャラ*"),
COUNTIF(INDIRECT("数出表_Excel!"&amp;T46&amp;"3"),"*赤*")),
INDIRECT("数出表_Excel!"&amp;T46&amp;"3")
&amp;"　"&amp;INDIRECT("数出表_Excel!"&amp;T46&amp;"4")
&amp;INDIRECT("数出表_Excel!"&amp;T46&amp;"5"),
INDIRECT("数出表_Excel!"&amp;T46&amp;"3")),"")</f>
        <v/>
      </c>
      <c r="O46" t="str">
        <f t="array" aca="1" ref="O46" ca="1">IFERROR(IF(OR(COUNTIF(INDIRECT("数出表_Excel!"&amp;U46&amp;"3"),"*キャラ*"),
COUNTIF(INDIRECT("数出表_Excel!"&amp;U46&amp;"3"),"*赤*")),
INDIRECT("数出表_Excel!"&amp;U46&amp;"3")
&amp;"　"&amp;INDIRECT("数出表_Excel!"&amp;U46&amp;"4")
&amp;INDIRECT("数出表_Excel!"&amp;U46&amp;"5"),
INDIRECT("数出表_Excel!"&amp;U46&amp;"3")),"")</f>
        <v/>
      </c>
      <c r="P46" t="str">
        <f t="shared" ca="1" si="8"/>
        <v/>
      </c>
      <c r="Q46" t="str">
        <f t="shared" ca="1" si="9"/>
        <v/>
      </c>
      <c r="R46" t="str">
        <f t="shared" ca="1" si="10"/>
        <v/>
      </c>
      <c r="S46" t="str">
        <f t="shared" ca="1" si="11"/>
        <v/>
      </c>
      <c r="T46" t="str">
        <f t="shared" ca="1" si="12"/>
        <v/>
      </c>
      <c r="U46" t="str">
        <f t="shared" ca="1" si="13"/>
        <v/>
      </c>
      <c r="V46" t="str">
        <f t="shared" ca="1" si="14"/>
        <v/>
      </c>
    </row>
    <row r="47" spans="1:22">
      <c r="A47"/>
      <c r="I47">
        <f t="shared" si="15"/>
        <v>99</v>
      </c>
      <c r="J47" t="str">
        <f t="array" aca="1" ref="J47" ca="1">IFERROR(IF(OR(COUNTIF(INDIRECT("数出表_Excel!"&amp;P47&amp;"3"),"*キャラ*"),
COUNTIF(INDIRECT("数出表_Excel!"&amp;P47&amp;"3"),"*赤*")),
IF(COUNTIF(A47,"*雙葉*"),INDIRECT("数出表_Excel!"&amp;P47&amp;"3"),
INDIRECT("数出表_Excel!"&amp;P47&amp;"3")
&amp;"　"&amp;INDIRECT("数出表_Excel!"&amp;P47&amp;"4")
&amp;INDIRECT("数出表_Excel!"&amp;P47&amp;"5")),
INDIRECT("数出表_Excel!"&amp;P47&amp;"3")),"")</f>
        <v/>
      </c>
      <c r="K47" t="str">
        <f t="array" aca="1" ref="K47" ca="1">IFERROR(IF(OR(COUNTIF(INDIRECT("数出表_Excel!"&amp;Q47&amp;"3"),"*キャラ*"),
COUNTIF(INDIRECT("数出表_Excel!"&amp;Q47&amp;"3"),"*赤*")),
INDIRECT("数出表_Excel!"&amp;Q47&amp;"3")
&amp;"　"&amp;INDIRECT("数出表_Excel!"&amp;Q47&amp;"4")
&amp;INDIRECT("数出表_Excel!"&amp;Q47&amp;"5"),
INDIRECT("数出表_Excel!"&amp;Q47&amp;"3")),"")</f>
        <v/>
      </c>
      <c r="L47" t="str">
        <f t="array" aca="1" ref="L47" ca="1">IFERROR(IF(OR(COUNTIF(INDIRECT("数出表_Excel!"&amp;R47&amp;"3"),"*キャラ*"),
COUNTIF(INDIRECT("数出表_Excel!"&amp;R47&amp;"3"),"*赤*")),
INDIRECT("数出表_Excel!"&amp;R47&amp;"3")
&amp;"　"&amp;INDIRECT("数出表_Excel!"&amp;R47&amp;"4")
&amp;INDIRECT("数出表_Excel!"&amp;R47&amp;"5"),
INDIRECT("数出表_Excel!"&amp;R47&amp;"3")),"")</f>
        <v/>
      </c>
      <c r="M47" t="str">
        <f t="array" aca="1" ref="M47" ca="1">IFERROR(IF(OR(COUNTIF(INDIRECT("数出表_Excel!"&amp;S47&amp;"3"),"*キャラ*"),
COUNTIF(INDIRECT("数出表_Excel!"&amp;S47&amp;"3"),"*赤*")),
INDIRECT("数出表_Excel!"&amp;S47&amp;"3")
&amp;"　"&amp;INDIRECT("数出表_Excel!"&amp;S47&amp;"4")
&amp;INDIRECT("数出表_Excel!"&amp;S47&amp;"5"),
INDIRECT("数出表_Excel!"&amp;S47&amp;"3")),"")</f>
        <v/>
      </c>
      <c r="N47" t="str">
        <f t="array" aca="1" ref="N47" ca="1">IFERROR(IF(OR(COUNTIF(INDIRECT("数出表_Excel!"&amp;T47&amp;"3"),"*キャラ*"),
COUNTIF(INDIRECT("数出表_Excel!"&amp;T47&amp;"3"),"*赤*")),
INDIRECT("数出表_Excel!"&amp;T47&amp;"3")
&amp;"　"&amp;INDIRECT("数出表_Excel!"&amp;T47&amp;"4")
&amp;INDIRECT("数出表_Excel!"&amp;T47&amp;"5"),
INDIRECT("数出表_Excel!"&amp;T47&amp;"3")),"")</f>
        <v/>
      </c>
      <c r="O47" t="str">
        <f t="array" aca="1" ref="O47" ca="1">IFERROR(IF(OR(COUNTIF(INDIRECT("数出表_Excel!"&amp;U47&amp;"3"),"*キャラ*"),
COUNTIF(INDIRECT("数出表_Excel!"&amp;U47&amp;"3"),"*赤*")),
INDIRECT("数出表_Excel!"&amp;U47&amp;"3")
&amp;"　"&amp;INDIRECT("数出表_Excel!"&amp;U47&amp;"4")
&amp;INDIRECT("数出表_Excel!"&amp;U47&amp;"5"),
INDIRECT("数出表_Excel!"&amp;U47&amp;"3")),"")</f>
        <v/>
      </c>
      <c r="P47" t="str">
        <f t="shared" ca="1" si="8"/>
        <v/>
      </c>
      <c r="Q47" t="str">
        <f t="shared" ca="1" si="9"/>
        <v/>
      </c>
      <c r="R47" t="str">
        <f t="shared" ca="1" si="10"/>
        <v/>
      </c>
      <c r="S47" t="str">
        <f t="shared" ca="1" si="11"/>
        <v/>
      </c>
      <c r="T47" t="str">
        <f t="shared" ca="1" si="12"/>
        <v/>
      </c>
      <c r="U47" t="str">
        <f t="shared" ca="1" si="13"/>
        <v/>
      </c>
      <c r="V47" t="str">
        <f t="shared" ca="1" si="14"/>
        <v/>
      </c>
    </row>
    <row r="48" spans="1:22">
      <c r="A48"/>
      <c r="I48">
        <f t="shared" si="15"/>
        <v>101</v>
      </c>
      <c r="J48" t="str">
        <f t="array" aca="1" ref="J48" ca="1">IFERROR(IF(OR(COUNTIF(INDIRECT("数出表_Excel!"&amp;P48&amp;"3"),"*キャラ*"),
COUNTIF(INDIRECT("数出表_Excel!"&amp;P48&amp;"3"),"*赤*")),
IF(COUNTIF(A48,"*雙葉*"),INDIRECT("数出表_Excel!"&amp;P48&amp;"3"),
INDIRECT("数出表_Excel!"&amp;P48&amp;"3")
&amp;"　"&amp;INDIRECT("数出表_Excel!"&amp;P48&amp;"4")
&amp;INDIRECT("数出表_Excel!"&amp;P48&amp;"5")),
INDIRECT("数出表_Excel!"&amp;P48&amp;"3")),"")</f>
        <v/>
      </c>
      <c r="K48" t="str">
        <f t="array" aca="1" ref="K48" ca="1">IFERROR(IF(OR(COUNTIF(INDIRECT("数出表_Excel!"&amp;Q48&amp;"3"),"*キャラ*"),
COUNTIF(INDIRECT("数出表_Excel!"&amp;Q48&amp;"3"),"*赤*")),
INDIRECT("数出表_Excel!"&amp;Q48&amp;"3")
&amp;"　"&amp;INDIRECT("数出表_Excel!"&amp;Q48&amp;"4")
&amp;INDIRECT("数出表_Excel!"&amp;Q48&amp;"5"),
INDIRECT("数出表_Excel!"&amp;Q48&amp;"3")),"")</f>
        <v/>
      </c>
      <c r="L48" t="str">
        <f t="array" aca="1" ref="L48" ca="1">IFERROR(IF(OR(COUNTIF(INDIRECT("数出表_Excel!"&amp;R48&amp;"3"),"*キャラ*"),
COUNTIF(INDIRECT("数出表_Excel!"&amp;R48&amp;"3"),"*赤*")),
INDIRECT("数出表_Excel!"&amp;R48&amp;"3")
&amp;"　"&amp;INDIRECT("数出表_Excel!"&amp;R48&amp;"4")
&amp;INDIRECT("数出表_Excel!"&amp;R48&amp;"5"),
INDIRECT("数出表_Excel!"&amp;R48&amp;"3")),"")</f>
        <v/>
      </c>
      <c r="M48" t="str">
        <f t="array" aca="1" ref="M48" ca="1">IFERROR(IF(OR(COUNTIF(INDIRECT("数出表_Excel!"&amp;S48&amp;"3"),"*キャラ*"),
COUNTIF(INDIRECT("数出表_Excel!"&amp;S48&amp;"3"),"*赤*")),
INDIRECT("数出表_Excel!"&amp;S48&amp;"3")
&amp;"　"&amp;INDIRECT("数出表_Excel!"&amp;S48&amp;"4")
&amp;INDIRECT("数出表_Excel!"&amp;S48&amp;"5"),
INDIRECT("数出表_Excel!"&amp;S48&amp;"3")),"")</f>
        <v/>
      </c>
      <c r="N48" t="str">
        <f t="array" aca="1" ref="N48" ca="1">IFERROR(IF(OR(COUNTIF(INDIRECT("数出表_Excel!"&amp;T48&amp;"3"),"*キャラ*"),
COUNTIF(INDIRECT("数出表_Excel!"&amp;T48&amp;"3"),"*赤*")),
INDIRECT("数出表_Excel!"&amp;T48&amp;"3")
&amp;"　"&amp;INDIRECT("数出表_Excel!"&amp;T48&amp;"4")
&amp;INDIRECT("数出表_Excel!"&amp;T48&amp;"5"),
INDIRECT("数出表_Excel!"&amp;T48&amp;"3")),"")</f>
        <v/>
      </c>
      <c r="O48" t="str">
        <f t="array" aca="1" ref="O48" ca="1">IFERROR(IF(OR(COUNTIF(INDIRECT("数出表_Excel!"&amp;U48&amp;"3"),"*キャラ*"),
COUNTIF(INDIRECT("数出表_Excel!"&amp;U48&amp;"3"),"*赤*")),
INDIRECT("数出表_Excel!"&amp;U48&amp;"3")
&amp;"　"&amp;INDIRECT("数出表_Excel!"&amp;U48&amp;"4")
&amp;INDIRECT("数出表_Excel!"&amp;U48&amp;"5"),
INDIRECT("数出表_Excel!"&amp;U48&amp;"3")),"")</f>
        <v/>
      </c>
      <c r="P48" t="str">
        <f t="shared" ca="1" si="8"/>
        <v/>
      </c>
      <c r="Q48" t="str">
        <f t="shared" ca="1" si="9"/>
        <v/>
      </c>
      <c r="R48" t="str">
        <f t="shared" ca="1" si="10"/>
        <v/>
      </c>
      <c r="S48" t="str">
        <f t="shared" ca="1" si="11"/>
        <v/>
      </c>
      <c r="T48" t="str">
        <f t="shared" ca="1" si="12"/>
        <v/>
      </c>
      <c r="U48" t="str">
        <f t="shared" ca="1" si="13"/>
        <v/>
      </c>
      <c r="V48" t="str">
        <f t="shared" ca="1" si="14"/>
        <v/>
      </c>
    </row>
    <row r="49" spans="1:22">
      <c r="A49"/>
      <c r="I49">
        <f t="shared" si="15"/>
        <v>103</v>
      </c>
      <c r="J49" t="str">
        <f t="array" aca="1" ref="J49" ca="1">IFERROR(IF(OR(COUNTIF(INDIRECT("数出表_Excel!"&amp;P49&amp;"3"),"*キャラ*"),
COUNTIF(INDIRECT("数出表_Excel!"&amp;P49&amp;"3"),"*赤*")),
IF(COUNTIF(A49,"*雙葉*"),INDIRECT("数出表_Excel!"&amp;P49&amp;"3"),
INDIRECT("数出表_Excel!"&amp;P49&amp;"3")
&amp;"　"&amp;INDIRECT("数出表_Excel!"&amp;P49&amp;"4")
&amp;INDIRECT("数出表_Excel!"&amp;P49&amp;"5")),
INDIRECT("数出表_Excel!"&amp;P49&amp;"3")),"")</f>
        <v/>
      </c>
      <c r="K49" t="str">
        <f t="array" aca="1" ref="K49" ca="1">IFERROR(IF(OR(COUNTIF(INDIRECT("数出表_Excel!"&amp;Q49&amp;"3"),"*キャラ*"),
COUNTIF(INDIRECT("数出表_Excel!"&amp;Q49&amp;"3"),"*赤*")),
INDIRECT("数出表_Excel!"&amp;Q49&amp;"3")
&amp;"　"&amp;INDIRECT("数出表_Excel!"&amp;Q49&amp;"4")
&amp;INDIRECT("数出表_Excel!"&amp;Q49&amp;"5"),
INDIRECT("数出表_Excel!"&amp;Q49&amp;"3")),"")</f>
        <v/>
      </c>
      <c r="L49" t="str">
        <f t="array" aca="1" ref="L49" ca="1">IFERROR(IF(OR(COUNTIF(INDIRECT("数出表_Excel!"&amp;R49&amp;"3"),"*キャラ*"),
COUNTIF(INDIRECT("数出表_Excel!"&amp;R49&amp;"3"),"*赤*")),
INDIRECT("数出表_Excel!"&amp;R49&amp;"3")
&amp;"　"&amp;INDIRECT("数出表_Excel!"&amp;R49&amp;"4")
&amp;INDIRECT("数出表_Excel!"&amp;R49&amp;"5"),
INDIRECT("数出表_Excel!"&amp;R49&amp;"3")),"")</f>
        <v/>
      </c>
      <c r="M49" t="str">
        <f t="array" aca="1" ref="M49" ca="1">IFERROR(IF(OR(COUNTIF(INDIRECT("数出表_Excel!"&amp;S49&amp;"3"),"*キャラ*"),
COUNTIF(INDIRECT("数出表_Excel!"&amp;S49&amp;"3"),"*赤*")),
INDIRECT("数出表_Excel!"&amp;S49&amp;"3")
&amp;"　"&amp;INDIRECT("数出表_Excel!"&amp;S49&amp;"4")
&amp;INDIRECT("数出表_Excel!"&amp;S49&amp;"5"),
INDIRECT("数出表_Excel!"&amp;S49&amp;"3")),"")</f>
        <v/>
      </c>
      <c r="N49" t="str">
        <f t="array" aca="1" ref="N49" ca="1">IFERROR(IF(OR(COUNTIF(INDIRECT("数出表_Excel!"&amp;T49&amp;"3"),"*キャラ*"),
COUNTIF(INDIRECT("数出表_Excel!"&amp;T49&amp;"3"),"*赤*")),
INDIRECT("数出表_Excel!"&amp;T49&amp;"3")
&amp;"　"&amp;INDIRECT("数出表_Excel!"&amp;T49&amp;"4")
&amp;INDIRECT("数出表_Excel!"&amp;T49&amp;"5"),
INDIRECT("数出表_Excel!"&amp;T49&amp;"3")),"")</f>
        <v/>
      </c>
      <c r="O49" t="str">
        <f t="array" aca="1" ref="O49" ca="1">IFERROR(IF(OR(COUNTIF(INDIRECT("数出表_Excel!"&amp;U49&amp;"3"),"*キャラ*"),
COUNTIF(INDIRECT("数出表_Excel!"&amp;U49&amp;"3"),"*赤*")),
INDIRECT("数出表_Excel!"&amp;U49&amp;"3")
&amp;"　"&amp;INDIRECT("数出表_Excel!"&amp;U49&amp;"4")
&amp;INDIRECT("数出表_Excel!"&amp;U49&amp;"5"),
INDIRECT("数出表_Excel!"&amp;U49&amp;"3")),"")</f>
        <v/>
      </c>
      <c r="P49" t="str">
        <f t="shared" ca="1" si="8"/>
        <v/>
      </c>
      <c r="Q49" t="str">
        <f t="shared" ca="1" si="9"/>
        <v/>
      </c>
      <c r="R49" t="str">
        <f t="shared" ca="1" si="10"/>
        <v/>
      </c>
      <c r="S49" t="str">
        <f t="shared" ca="1" si="11"/>
        <v/>
      </c>
      <c r="T49" t="str">
        <f t="shared" ca="1" si="12"/>
        <v/>
      </c>
      <c r="U49" t="str">
        <f t="shared" ca="1" si="13"/>
        <v/>
      </c>
      <c r="V49" t="str">
        <f t="shared" ca="1" si="14"/>
        <v/>
      </c>
    </row>
    <row r="50" spans="1:22">
      <c r="A50"/>
      <c r="I50">
        <f t="shared" si="15"/>
        <v>105</v>
      </c>
      <c r="J50" t="str">
        <f t="array" aca="1" ref="J50" ca="1">IFERROR(IF(OR(COUNTIF(INDIRECT("数出表_Excel!"&amp;P50&amp;"3"),"*キャラ*"),
COUNTIF(INDIRECT("数出表_Excel!"&amp;P50&amp;"3"),"*赤*")),
IF(COUNTIF(A50,"*雙葉*"),INDIRECT("数出表_Excel!"&amp;P50&amp;"3"),
INDIRECT("数出表_Excel!"&amp;P50&amp;"3")
&amp;"　"&amp;INDIRECT("数出表_Excel!"&amp;P50&amp;"4")
&amp;INDIRECT("数出表_Excel!"&amp;P50&amp;"5")),
INDIRECT("数出表_Excel!"&amp;P50&amp;"3")),"")</f>
        <v/>
      </c>
      <c r="K50" t="str">
        <f t="array" aca="1" ref="K50" ca="1">IFERROR(IF(OR(COUNTIF(INDIRECT("数出表_Excel!"&amp;Q50&amp;"3"),"*キャラ*"),
COUNTIF(INDIRECT("数出表_Excel!"&amp;Q50&amp;"3"),"*赤*")),
INDIRECT("数出表_Excel!"&amp;Q50&amp;"3")
&amp;"　"&amp;INDIRECT("数出表_Excel!"&amp;Q50&amp;"4")
&amp;INDIRECT("数出表_Excel!"&amp;Q50&amp;"5"),
INDIRECT("数出表_Excel!"&amp;Q50&amp;"3")),"")</f>
        <v/>
      </c>
      <c r="L50" t="str">
        <f t="array" aca="1" ref="L50" ca="1">IFERROR(IF(OR(COUNTIF(INDIRECT("数出表_Excel!"&amp;R50&amp;"3"),"*キャラ*"),
COUNTIF(INDIRECT("数出表_Excel!"&amp;R50&amp;"3"),"*赤*")),
INDIRECT("数出表_Excel!"&amp;R50&amp;"3")
&amp;"　"&amp;INDIRECT("数出表_Excel!"&amp;R50&amp;"4")
&amp;INDIRECT("数出表_Excel!"&amp;R50&amp;"5"),
INDIRECT("数出表_Excel!"&amp;R50&amp;"3")),"")</f>
        <v/>
      </c>
      <c r="M50" t="str">
        <f t="array" aca="1" ref="M50" ca="1">IFERROR(IF(OR(COUNTIF(INDIRECT("数出表_Excel!"&amp;S50&amp;"3"),"*キャラ*"),
COUNTIF(INDIRECT("数出表_Excel!"&amp;S50&amp;"3"),"*赤*")),
INDIRECT("数出表_Excel!"&amp;S50&amp;"3")
&amp;"　"&amp;INDIRECT("数出表_Excel!"&amp;S50&amp;"4")
&amp;INDIRECT("数出表_Excel!"&amp;S50&amp;"5"),
INDIRECT("数出表_Excel!"&amp;S50&amp;"3")),"")</f>
        <v/>
      </c>
      <c r="N50" t="str">
        <f t="array" aca="1" ref="N50" ca="1">IFERROR(IF(OR(COUNTIF(INDIRECT("数出表_Excel!"&amp;T50&amp;"3"),"*キャラ*"),
COUNTIF(INDIRECT("数出表_Excel!"&amp;T50&amp;"3"),"*赤*")),
INDIRECT("数出表_Excel!"&amp;T50&amp;"3")
&amp;"　"&amp;INDIRECT("数出表_Excel!"&amp;T50&amp;"4")
&amp;INDIRECT("数出表_Excel!"&amp;T50&amp;"5"),
INDIRECT("数出表_Excel!"&amp;T50&amp;"3")),"")</f>
        <v/>
      </c>
      <c r="O50" t="str">
        <f t="array" aca="1" ref="O50" ca="1">IFERROR(IF(OR(COUNTIF(INDIRECT("数出表_Excel!"&amp;U50&amp;"3"),"*キャラ*"),
COUNTIF(INDIRECT("数出表_Excel!"&amp;U50&amp;"3"),"*赤*")),
INDIRECT("数出表_Excel!"&amp;U50&amp;"3")
&amp;"　"&amp;INDIRECT("数出表_Excel!"&amp;U50&amp;"4")
&amp;INDIRECT("数出表_Excel!"&amp;U50&amp;"5"),
INDIRECT("数出表_Excel!"&amp;U50&amp;"3")),"")</f>
        <v/>
      </c>
      <c r="P50" t="str">
        <f t="shared" ca="1" si="8"/>
        <v/>
      </c>
      <c r="Q50" t="str">
        <f t="shared" ca="1" si="9"/>
        <v/>
      </c>
      <c r="R50" t="str">
        <f t="shared" ca="1" si="10"/>
        <v/>
      </c>
      <c r="S50" t="str">
        <f t="shared" ca="1" si="11"/>
        <v/>
      </c>
      <c r="T50" t="str">
        <f t="shared" ca="1" si="12"/>
        <v/>
      </c>
      <c r="U50" t="str">
        <f t="shared" ca="1" si="13"/>
        <v/>
      </c>
      <c r="V50" t="str">
        <f t="shared" ca="1" si="14"/>
        <v/>
      </c>
    </row>
    <row r="51" spans="1:22">
      <c r="A51"/>
      <c r="I51">
        <f t="shared" si="15"/>
        <v>107</v>
      </c>
      <c r="J51" t="str">
        <f t="array" aca="1" ref="J51" ca="1">IFERROR(IF(OR(COUNTIF(INDIRECT("数出表_Excel!"&amp;P51&amp;"3"),"*キャラ*"),
COUNTIF(INDIRECT("数出表_Excel!"&amp;P51&amp;"3"),"*赤*")),
IF(COUNTIF(A51,"*雙葉*"),INDIRECT("数出表_Excel!"&amp;P51&amp;"3"),
INDIRECT("数出表_Excel!"&amp;P51&amp;"3")
&amp;"　"&amp;INDIRECT("数出表_Excel!"&amp;P51&amp;"4")
&amp;INDIRECT("数出表_Excel!"&amp;P51&amp;"5")),
INDIRECT("数出表_Excel!"&amp;P51&amp;"3")),"")</f>
        <v/>
      </c>
      <c r="K51" t="str">
        <f t="array" aca="1" ref="K51" ca="1">IFERROR(IF(OR(COUNTIF(INDIRECT("数出表_Excel!"&amp;Q51&amp;"3"),"*キャラ*"),
COUNTIF(INDIRECT("数出表_Excel!"&amp;Q51&amp;"3"),"*赤*")),
INDIRECT("数出表_Excel!"&amp;Q51&amp;"3")
&amp;"　"&amp;INDIRECT("数出表_Excel!"&amp;Q51&amp;"4")
&amp;INDIRECT("数出表_Excel!"&amp;Q51&amp;"5"),
INDIRECT("数出表_Excel!"&amp;Q51&amp;"3")),"")</f>
        <v/>
      </c>
      <c r="L51" t="str">
        <f t="array" aca="1" ref="L51" ca="1">IFERROR(IF(OR(COUNTIF(INDIRECT("数出表_Excel!"&amp;R51&amp;"3"),"*キャラ*"),
COUNTIF(INDIRECT("数出表_Excel!"&amp;R51&amp;"3"),"*赤*")),
INDIRECT("数出表_Excel!"&amp;R51&amp;"3")
&amp;"　"&amp;INDIRECT("数出表_Excel!"&amp;R51&amp;"4")
&amp;INDIRECT("数出表_Excel!"&amp;R51&amp;"5"),
INDIRECT("数出表_Excel!"&amp;R51&amp;"3")),"")</f>
        <v/>
      </c>
      <c r="M51" t="str">
        <f t="array" aca="1" ref="M51" ca="1">IFERROR(IF(OR(COUNTIF(INDIRECT("数出表_Excel!"&amp;S51&amp;"3"),"*キャラ*"),
COUNTIF(INDIRECT("数出表_Excel!"&amp;S51&amp;"3"),"*赤*")),
INDIRECT("数出表_Excel!"&amp;S51&amp;"3")
&amp;"　"&amp;INDIRECT("数出表_Excel!"&amp;S51&amp;"4")
&amp;INDIRECT("数出表_Excel!"&amp;S51&amp;"5"),
INDIRECT("数出表_Excel!"&amp;S51&amp;"3")),"")</f>
        <v/>
      </c>
      <c r="N51" t="str">
        <f t="array" aca="1" ref="N51" ca="1">IFERROR(IF(OR(COUNTIF(INDIRECT("数出表_Excel!"&amp;T51&amp;"3"),"*キャラ*"),
COUNTIF(INDIRECT("数出表_Excel!"&amp;T51&amp;"3"),"*赤*")),
INDIRECT("数出表_Excel!"&amp;T51&amp;"3")
&amp;"　"&amp;INDIRECT("数出表_Excel!"&amp;T51&amp;"4")
&amp;INDIRECT("数出表_Excel!"&amp;T51&amp;"5"),
INDIRECT("数出表_Excel!"&amp;T51&amp;"3")),"")</f>
        <v/>
      </c>
      <c r="O51" t="str">
        <f t="array" aca="1" ref="O51" ca="1">IFERROR(IF(OR(COUNTIF(INDIRECT("数出表_Excel!"&amp;U51&amp;"3"),"*キャラ*"),
COUNTIF(INDIRECT("数出表_Excel!"&amp;U51&amp;"3"),"*赤*")),
INDIRECT("数出表_Excel!"&amp;U51&amp;"3")
&amp;"　"&amp;INDIRECT("数出表_Excel!"&amp;U51&amp;"4")
&amp;INDIRECT("数出表_Excel!"&amp;U51&amp;"5"),
INDIRECT("数出表_Excel!"&amp;U51&amp;"3")),"")</f>
        <v/>
      </c>
      <c r="P51" t="str">
        <f t="shared" ca="1" si="8"/>
        <v/>
      </c>
      <c r="Q51" t="str">
        <f t="shared" ca="1" si="9"/>
        <v/>
      </c>
      <c r="R51" t="str">
        <f t="shared" ca="1" si="10"/>
        <v/>
      </c>
      <c r="S51" t="str">
        <f t="shared" ca="1" si="11"/>
        <v/>
      </c>
      <c r="T51" t="str">
        <f t="shared" ca="1" si="12"/>
        <v/>
      </c>
      <c r="U51" t="str">
        <f t="shared" ca="1" si="13"/>
        <v/>
      </c>
      <c r="V51" t="str">
        <f t="shared" ca="1" si="14"/>
        <v/>
      </c>
    </row>
    <row r="52" spans="1:22">
      <c r="A52"/>
      <c r="I52">
        <f t="shared" si="15"/>
        <v>109</v>
      </c>
      <c r="J52" t="str">
        <f t="array" aca="1" ref="J52" ca="1">IFERROR(IF(OR(COUNTIF(INDIRECT("数出表_Excel!"&amp;P52&amp;"3"),"*キャラ*"),
COUNTIF(INDIRECT("数出表_Excel!"&amp;P52&amp;"3"),"*赤*")),
IF(COUNTIF(A52,"*雙葉*"),INDIRECT("数出表_Excel!"&amp;P52&amp;"3"),
INDIRECT("数出表_Excel!"&amp;P52&amp;"3")
&amp;"　"&amp;INDIRECT("数出表_Excel!"&amp;P52&amp;"4")
&amp;INDIRECT("数出表_Excel!"&amp;P52&amp;"5")),
INDIRECT("数出表_Excel!"&amp;P52&amp;"3")),"")</f>
        <v/>
      </c>
      <c r="K52" t="str">
        <f t="array" aca="1" ref="K52" ca="1">IFERROR(IF(OR(COUNTIF(INDIRECT("数出表_Excel!"&amp;Q52&amp;"3"),"*キャラ*"),
COUNTIF(INDIRECT("数出表_Excel!"&amp;Q52&amp;"3"),"*赤*")),
INDIRECT("数出表_Excel!"&amp;Q52&amp;"3")
&amp;"　"&amp;INDIRECT("数出表_Excel!"&amp;Q52&amp;"4")
&amp;INDIRECT("数出表_Excel!"&amp;Q52&amp;"5"),
INDIRECT("数出表_Excel!"&amp;Q52&amp;"3")),"")</f>
        <v/>
      </c>
      <c r="L52" t="str">
        <f t="array" aca="1" ref="L52" ca="1">IFERROR(IF(OR(COUNTIF(INDIRECT("数出表_Excel!"&amp;R52&amp;"3"),"*キャラ*"),
COUNTIF(INDIRECT("数出表_Excel!"&amp;R52&amp;"3"),"*赤*")),
INDIRECT("数出表_Excel!"&amp;R52&amp;"3")
&amp;"　"&amp;INDIRECT("数出表_Excel!"&amp;R52&amp;"4")
&amp;INDIRECT("数出表_Excel!"&amp;R52&amp;"5"),
INDIRECT("数出表_Excel!"&amp;R52&amp;"3")),"")</f>
        <v/>
      </c>
      <c r="M52" t="str">
        <f t="array" aca="1" ref="M52" ca="1">IFERROR(IF(OR(COUNTIF(INDIRECT("数出表_Excel!"&amp;S52&amp;"3"),"*キャラ*"),
COUNTIF(INDIRECT("数出表_Excel!"&amp;S52&amp;"3"),"*赤*")),
INDIRECT("数出表_Excel!"&amp;S52&amp;"3")
&amp;"　"&amp;INDIRECT("数出表_Excel!"&amp;S52&amp;"4")
&amp;INDIRECT("数出表_Excel!"&amp;S52&amp;"5"),
INDIRECT("数出表_Excel!"&amp;S52&amp;"3")),"")</f>
        <v/>
      </c>
      <c r="N52" t="str">
        <f t="array" aca="1" ref="N52" ca="1">IFERROR(IF(OR(COUNTIF(INDIRECT("数出表_Excel!"&amp;T52&amp;"3"),"*キャラ*"),
COUNTIF(INDIRECT("数出表_Excel!"&amp;T52&amp;"3"),"*赤*")),
INDIRECT("数出表_Excel!"&amp;T52&amp;"3")
&amp;"　"&amp;INDIRECT("数出表_Excel!"&amp;T52&amp;"4")
&amp;INDIRECT("数出表_Excel!"&amp;T52&amp;"5"),
INDIRECT("数出表_Excel!"&amp;T52&amp;"3")),"")</f>
        <v/>
      </c>
      <c r="O52" t="str">
        <f t="array" aca="1" ref="O52" ca="1">IFERROR(IF(OR(COUNTIF(INDIRECT("数出表_Excel!"&amp;U52&amp;"3"),"*キャラ*"),
COUNTIF(INDIRECT("数出表_Excel!"&amp;U52&amp;"3"),"*赤*")),
INDIRECT("数出表_Excel!"&amp;U52&amp;"3")
&amp;"　"&amp;INDIRECT("数出表_Excel!"&amp;U52&amp;"4")
&amp;INDIRECT("数出表_Excel!"&amp;U52&amp;"5"),
INDIRECT("数出表_Excel!"&amp;U52&amp;"3")),"")</f>
        <v/>
      </c>
      <c r="P52" t="str">
        <f t="shared" ca="1" si="8"/>
        <v/>
      </c>
      <c r="Q52" t="str">
        <f t="shared" ca="1" si="9"/>
        <v/>
      </c>
      <c r="R52" t="str">
        <f t="shared" ca="1" si="10"/>
        <v/>
      </c>
      <c r="S52" t="str">
        <f t="shared" ca="1" si="11"/>
        <v/>
      </c>
      <c r="T52" t="str">
        <f t="shared" ca="1" si="12"/>
        <v/>
      </c>
      <c r="U52" t="str">
        <f t="shared" ca="1" si="13"/>
        <v/>
      </c>
      <c r="V52" t="str">
        <f t="shared" ca="1" si="14"/>
        <v/>
      </c>
    </row>
    <row r="53" spans="1:22">
      <c r="A53"/>
      <c r="I53">
        <f t="shared" si="15"/>
        <v>111</v>
      </c>
      <c r="J53" t="str">
        <f t="array" aca="1" ref="J53" ca="1">IFERROR(IF(OR(COUNTIF(INDIRECT("数出表_Excel!"&amp;P53&amp;"3"),"*キャラ*"),
COUNTIF(INDIRECT("数出表_Excel!"&amp;P53&amp;"3"),"*赤*")),
IF(COUNTIF(A53,"*雙葉*"),INDIRECT("数出表_Excel!"&amp;P53&amp;"3"),
INDIRECT("数出表_Excel!"&amp;P53&amp;"3")
&amp;"　"&amp;INDIRECT("数出表_Excel!"&amp;P53&amp;"4")
&amp;INDIRECT("数出表_Excel!"&amp;P53&amp;"5")),
INDIRECT("数出表_Excel!"&amp;P53&amp;"3")),"")</f>
        <v/>
      </c>
      <c r="K53" t="str">
        <f t="array" aca="1" ref="K53" ca="1">IFERROR(IF(OR(COUNTIF(INDIRECT("数出表_Excel!"&amp;Q53&amp;"3"),"*キャラ*"),
COUNTIF(INDIRECT("数出表_Excel!"&amp;Q53&amp;"3"),"*赤*")),
INDIRECT("数出表_Excel!"&amp;Q53&amp;"3")
&amp;"　"&amp;INDIRECT("数出表_Excel!"&amp;Q53&amp;"4")
&amp;INDIRECT("数出表_Excel!"&amp;Q53&amp;"5"),
INDIRECT("数出表_Excel!"&amp;Q53&amp;"3")),"")</f>
        <v/>
      </c>
      <c r="L53" t="str">
        <f t="array" aca="1" ref="L53" ca="1">IFERROR(IF(OR(COUNTIF(INDIRECT("数出表_Excel!"&amp;R53&amp;"3"),"*キャラ*"),
COUNTIF(INDIRECT("数出表_Excel!"&amp;R53&amp;"3"),"*赤*")),
INDIRECT("数出表_Excel!"&amp;R53&amp;"3")
&amp;"　"&amp;INDIRECT("数出表_Excel!"&amp;R53&amp;"4")
&amp;INDIRECT("数出表_Excel!"&amp;R53&amp;"5"),
INDIRECT("数出表_Excel!"&amp;R53&amp;"3")),"")</f>
        <v/>
      </c>
      <c r="M53" t="str">
        <f t="array" aca="1" ref="M53" ca="1">IFERROR(IF(OR(COUNTIF(INDIRECT("数出表_Excel!"&amp;S53&amp;"3"),"*キャラ*"),
COUNTIF(INDIRECT("数出表_Excel!"&amp;S53&amp;"3"),"*赤*")),
INDIRECT("数出表_Excel!"&amp;S53&amp;"3")
&amp;"　"&amp;INDIRECT("数出表_Excel!"&amp;S53&amp;"4")
&amp;INDIRECT("数出表_Excel!"&amp;S53&amp;"5"),
INDIRECT("数出表_Excel!"&amp;S53&amp;"3")),"")</f>
        <v/>
      </c>
      <c r="N53" t="str">
        <f t="array" aca="1" ref="N53" ca="1">IFERROR(IF(OR(COUNTIF(INDIRECT("数出表_Excel!"&amp;T53&amp;"3"),"*キャラ*"),
COUNTIF(INDIRECT("数出表_Excel!"&amp;T53&amp;"3"),"*赤*")),
INDIRECT("数出表_Excel!"&amp;T53&amp;"3")
&amp;"　"&amp;INDIRECT("数出表_Excel!"&amp;T53&amp;"4")
&amp;INDIRECT("数出表_Excel!"&amp;T53&amp;"5"),
INDIRECT("数出表_Excel!"&amp;T53&amp;"3")),"")</f>
        <v/>
      </c>
      <c r="O53" t="str">
        <f t="array" aca="1" ref="O53" ca="1">IFERROR(IF(OR(COUNTIF(INDIRECT("数出表_Excel!"&amp;U53&amp;"3"),"*キャラ*"),
COUNTIF(INDIRECT("数出表_Excel!"&amp;U53&amp;"3"),"*赤*")),
INDIRECT("数出表_Excel!"&amp;U53&amp;"3")
&amp;"　"&amp;INDIRECT("数出表_Excel!"&amp;U53&amp;"4")
&amp;INDIRECT("数出表_Excel!"&amp;U53&amp;"5"),
INDIRECT("数出表_Excel!"&amp;U53&amp;"3")),"")</f>
        <v/>
      </c>
      <c r="P53" t="str">
        <f t="shared" ca="1" si="8"/>
        <v/>
      </c>
      <c r="Q53" t="str">
        <f t="shared" ca="1" si="9"/>
        <v/>
      </c>
      <c r="R53" t="str">
        <f t="shared" ca="1" si="10"/>
        <v/>
      </c>
      <c r="S53" t="str">
        <f t="shared" ca="1" si="11"/>
        <v/>
      </c>
      <c r="T53" t="str">
        <f t="shared" ca="1" si="12"/>
        <v/>
      </c>
      <c r="U53" t="str">
        <f t="shared" ca="1" si="13"/>
        <v/>
      </c>
      <c r="V53" t="str">
        <f t="shared" ca="1" si="14"/>
        <v/>
      </c>
    </row>
    <row r="54" spans="1:22">
      <c r="A54"/>
      <c r="I54">
        <f t="shared" si="15"/>
        <v>113</v>
      </c>
      <c r="J54" t="str">
        <f t="array" aca="1" ref="J54" ca="1">IFERROR(IF(OR(COUNTIF(INDIRECT("数出表_Excel!"&amp;P54&amp;"3"),"*キャラ*"),
COUNTIF(INDIRECT("数出表_Excel!"&amp;P54&amp;"3"),"*赤*")),
IF(COUNTIF(A54,"*雙葉*"),INDIRECT("数出表_Excel!"&amp;P54&amp;"3"),
INDIRECT("数出表_Excel!"&amp;P54&amp;"3")
&amp;"　"&amp;INDIRECT("数出表_Excel!"&amp;P54&amp;"4")
&amp;INDIRECT("数出表_Excel!"&amp;P54&amp;"5")),
INDIRECT("数出表_Excel!"&amp;P54&amp;"3")),"")</f>
        <v/>
      </c>
      <c r="K54" t="str">
        <f t="array" aca="1" ref="K54" ca="1">IFERROR(IF(OR(COUNTIF(INDIRECT("数出表_Excel!"&amp;Q54&amp;"3"),"*キャラ*"),
COUNTIF(INDIRECT("数出表_Excel!"&amp;Q54&amp;"3"),"*赤*")),
INDIRECT("数出表_Excel!"&amp;Q54&amp;"3")
&amp;"　"&amp;INDIRECT("数出表_Excel!"&amp;Q54&amp;"4")
&amp;INDIRECT("数出表_Excel!"&amp;Q54&amp;"5"),
INDIRECT("数出表_Excel!"&amp;Q54&amp;"3")),"")</f>
        <v/>
      </c>
      <c r="L54" t="str">
        <f t="array" aca="1" ref="L54" ca="1">IFERROR(IF(OR(COUNTIF(INDIRECT("数出表_Excel!"&amp;R54&amp;"3"),"*キャラ*"),
COUNTIF(INDIRECT("数出表_Excel!"&amp;R54&amp;"3"),"*赤*")),
INDIRECT("数出表_Excel!"&amp;R54&amp;"3")
&amp;"　"&amp;INDIRECT("数出表_Excel!"&amp;R54&amp;"4")
&amp;INDIRECT("数出表_Excel!"&amp;R54&amp;"5"),
INDIRECT("数出表_Excel!"&amp;R54&amp;"3")),"")</f>
        <v/>
      </c>
      <c r="M54" t="str">
        <f t="array" aca="1" ref="M54" ca="1">IFERROR(IF(OR(COUNTIF(INDIRECT("数出表_Excel!"&amp;S54&amp;"3"),"*キャラ*"),
COUNTIF(INDIRECT("数出表_Excel!"&amp;S54&amp;"3"),"*赤*")),
INDIRECT("数出表_Excel!"&amp;S54&amp;"3")
&amp;"　"&amp;INDIRECT("数出表_Excel!"&amp;S54&amp;"4")
&amp;INDIRECT("数出表_Excel!"&amp;S54&amp;"5"),
INDIRECT("数出表_Excel!"&amp;S54&amp;"3")),"")</f>
        <v/>
      </c>
      <c r="N54" t="str">
        <f t="array" aca="1" ref="N54" ca="1">IFERROR(IF(OR(COUNTIF(INDIRECT("数出表_Excel!"&amp;T54&amp;"3"),"*キャラ*"),
COUNTIF(INDIRECT("数出表_Excel!"&amp;T54&amp;"3"),"*赤*")),
INDIRECT("数出表_Excel!"&amp;T54&amp;"3")
&amp;"　"&amp;INDIRECT("数出表_Excel!"&amp;T54&amp;"4")
&amp;INDIRECT("数出表_Excel!"&amp;T54&amp;"5"),
INDIRECT("数出表_Excel!"&amp;T54&amp;"3")),"")</f>
        <v/>
      </c>
      <c r="O54" t="str">
        <f t="array" aca="1" ref="O54" ca="1">IFERROR(IF(OR(COUNTIF(INDIRECT("数出表_Excel!"&amp;U54&amp;"3"),"*キャラ*"),
COUNTIF(INDIRECT("数出表_Excel!"&amp;U54&amp;"3"),"*赤*")),
INDIRECT("数出表_Excel!"&amp;U54&amp;"3")
&amp;"　"&amp;INDIRECT("数出表_Excel!"&amp;U54&amp;"4")
&amp;INDIRECT("数出表_Excel!"&amp;U54&amp;"5"),
INDIRECT("数出表_Excel!"&amp;U54&amp;"3")),"")</f>
        <v/>
      </c>
      <c r="P54" t="str">
        <f t="shared" ca="1" si="8"/>
        <v/>
      </c>
      <c r="Q54" t="str">
        <f t="shared" ca="1" si="9"/>
        <v/>
      </c>
      <c r="R54" t="str">
        <f t="shared" ca="1" si="10"/>
        <v/>
      </c>
      <c r="S54" t="str">
        <f t="shared" ca="1" si="11"/>
        <v/>
      </c>
      <c r="T54" t="str">
        <f t="shared" ca="1" si="12"/>
        <v/>
      </c>
      <c r="U54" t="str">
        <f t="shared" ca="1" si="13"/>
        <v/>
      </c>
      <c r="V54" t="str">
        <f t="shared" ca="1" si="14"/>
        <v/>
      </c>
    </row>
    <row r="55" spans="1:22">
      <c r="A55"/>
      <c r="I55">
        <f t="shared" si="15"/>
        <v>115</v>
      </c>
      <c r="J55" t="str">
        <f t="array" aca="1" ref="J55" ca="1">IFERROR(IF(OR(COUNTIF(INDIRECT("数出表_Excel!"&amp;P55&amp;"3"),"*キャラ*"),
COUNTIF(INDIRECT("数出表_Excel!"&amp;P55&amp;"3"),"*赤*")),
IF(COUNTIF(A55,"*雙葉*"),INDIRECT("数出表_Excel!"&amp;P55&amp;"3"),
INDIRECT("数出表_Excel!"&amp;P55&amp;"3")
&amp;"　"&amp;INDIRECT("数出表_Excel!"&amp;P55&amp;"4")
&amp;INDIRECT("数出表_Excel!"&amp;P55&amp;"5")),
INDIRECT("数出表_Excel!"&amp;P55&amp;"3")),"")</f>
        <v/>
      </c>
      <c r="K55" t="str">
        <f t="array" aca="1" ref="K55" ca="1">IFERROR(IF(OR(COUNTIF(INDIRECT("数出表_Excel!"&amp;Q55&amp;"3"),"*キャラ*"),
COUNTIF(INDIRECT("数出表_Excel!"&amp;Q55&amp;"3"),"*赤*")),
INDIRECT("数出表_Excel!"&amp;Q55&amp;"3")
&amp;"　"&amp;INDIRECT("数出表_Excel!"&amp;Q55&amp;"4")
&amp;INDIRECT("数出表_Excel!"&amp;Q55&amp;"5"),
INDIRECT("数出表_Excel!"&amp;Q55&amp;"3")),"")</f>
        <v/>
      </c>
      <c r="L55" t="str">
        <f t="array" aca="1" ref="L55" ca="1">IFERROR(IF(OR(COUNTIF(INDIRECT("数出表_Excel!"&amp;R55&amp;"3"),"*キャラ*"),
COUNTIF(INDIRECT("数出表_Excel!"&amp;R55&amp;"3"),"*赤*")),
INDIRECT("数出表_Excel!"&amp;R55&amp;"3")
&amp;"　"&amp;INDIRECT("数出表_Excel!"&amp;R55&amp;"4")
&amp;INDIRECT("数出表_Excel!"&amp;R55&amp;"5"),
INDIRECT("数出表_Excel!"&amp;R55&amp;"3")),"")</f>
        <v/>
      </c>
      <c r="M55" t="str">
        <f t="array" aca="1" ref="M55" ca="1">IFERROR(IF(OR(COUNTIF(INDIRECT("数出表_Excel!"&amp;S55&amp;"3"),"*キャラ*"),
COUNTIF(INDIRECT("数出表_Excel!"&amp;S55&amp;"3"),"*赤*")),
INDIRECT("数出表_Excel!"&amp;S55&amp;"3")
&amp;"　"&amp;INDIRECT("数出表_Excel!"&amp;S55&amp;"4")
&amp;INDIRECT("数出表_Excel!"&amp;S55&amp;"5"),
INDIRECT("数出表_Excel!"&amp;S55&amp;"3")),"")</f>
        <v/>
      </c>
      <c r="N55" t="str">
        <f t="array" aca="1" ref="N55" ca="1">IFERROR(IF(OR(COUNTIF(INDIRECT("数出表_Excel!"&amp;T55&amp;"3"),"*キャラ*"),
COUNTIF(INDIRECT("数出表_Excel!"&amp;T55&amp;"3"),"*赤*")),
INDIRECT("数出表_Excel!"&amp;T55&amp;"3")
&amp;"　"&amp;INDIRECT("数出表_Excel!"&amp;T55&amp;"4")
&amp;INDIRECT("数出表_Excel!"&amp;T55&amp;"5"),
INDIRECT("数出表_Excel!"&amp;T55&amp;"3")),"")</f>
        <v/>
      </c>
      <c r="O55" t="str">
        <f t="array" aca="1" ref="O55" ca="1">IFERROR(IF(OR(COUNTIF(INDIRECT("数出表_Excel!"&amp;U55&amp;"3"),"*キャラ*"),
COUNTIF(INDIRECT("数出表_Excel!"&amp;U55&amp;"3"),"*赤*")),
INDIRECT("数出表_Excel!"&amp;U55&amp;"3")
&amp;"　"&amp;INDIRECT("数出表_Excel!"&amp;U55&amp;"4")
&amp;INDIRECT("数出表_Excel!"&amp;U55&amp;"5"),
INDIRECT("数出表_Excel!"&amp;U55&amp;"3")),"")</f>
        <v/>
      </c>
      <c r="P55" t="str">
        <f t="shared" ca="1" si="8"/>
        <v/>
      </c>
      <c r="Q55" t="str">
        <f t="shared" ca="1" si="9"/>
        <v/>
      </c>
      <c r="R55" t="str">
        <f t="shared" ca="1" si="10"/>
        <v/>
      </c>
      <c r="S55" t="str">
        <f t="shared" ca="1" si="11"/>
        <v/>
      </c>
      <c r="T55" t="str">
        <f t="shared" ca="1" si="12"/>
        <v/>
      </c>
      <c r="U55" t="str">
        <f t="shared" ca="1" si="13"/>
        <v/>
      </c>
      <c r="V55" t="str">
        <f t="shared" ca="1" si="14"/>
        <v/>
      </c>
    </row>
    <row r="56" spans="1:22">
      <c r="A56"/>
      <c r="I56">
        <f t="shared" si="15"/>
        <v>117</v>
      </c>
      <c r="J56" t="str">
        <f t="array" aca="1" ref="J56" ca="1">IFERROR(IF(OR(COUNTIF(INDIRECT("数出表_Excel!"&amp;P56&amp;"3"),"*キャラ*"),
COUNTIF(INDIRECT("数出表_Excel!"&amp;P56&amp;"3"),"*赤*")),
IF(COUNTIF(A56,"*雙葉*"),INDIRECT("数出表_Excel!"&amp;P56&amp;"3"),
INDIRECT("数出表_Excel!"&amp;P56&amp;"3")
&amp;"　"&amp;INDIRECT("数出表_Excel!"&amp;P56&amp;"4")
&amp;INDIRECT("数出表_Excel!"&amp;P56&amp;"5")),
INDIRECT("数出表_Excel!"&amp;P56&amp;"3")),"")</f>
        <v/>
      </c>
      <c r="K56" t="str">
        <f t="array" aca="1" ref="K56" ca="1">IFERROR(IF(OR(COUNTIF(INDIRECT("数出表_Excel!"&amp;Q56&amp;"3"),"*キャラ*"),
COUNTIF(INDIRECT("数出表_Excel!"&amp;Q56&amp;"3"),"*赤*")),
INDIRECT("数出表_Excel!"&amp;Q56&amp;"3")
&amp;"　"&amp;INDIRECT("数出表_Excel!"&amp;Q56&amp;"4")
&amp;INDIRECT("数出表_Excel!"&amp;Q56&amp;"5"),
INDIRECT("数出表_Excel!"&amp;Q56&amp;"3")),"")</f>
        <v/>
      </c>
      <c r="L56" t="str">
        <f t="array" aca="1" ref="L56" ca="1">IFERROR(IF(OR(COUNTIF(INDIRECT("数出表_Excel!"&amp;R56&amp;"3"),"*キャラ*"),
COUNTIF(INDIRECT("数出表_Excel!"&amp;R56&amp;"3"),"*赤*")),
INDIRECT("数出表_Excel!"&amp;R56&amp;"3")
&amp;"　"&amp;INDIRECT("数出表_Excel!"&amp;R56&amp;"4")
&amp;INDIRECT("数出表_Excel!"&amp;R56&amp;"5"),
INDIRECT("数出表_Excel!"&amp;R56&amp;"3")),"")</f>
        <v/>
      </c>
      <c r="M56" t="str">
        <f t="array" aca="1" ref="M56" ca="1">IFERROR(IF(OR(COUNTIF(INDIRECT("数出表_Excel!"&amp;S56&amp;"3"),"*キャラ*"),
COUNTIF(INDIRECT("数出表_Excel!"&amp;S56&amp;"3"),"*赤*")),
INDIRECT("数出表_Excel!"&amp;S56&amp;"3")
&amp;"　"&amp;INDIRECT("数出表_Excel!"&amp;S56&amp;"4")
&amp;INDIRECT("数出表_Excel!"&amp;S56&amp;"5"),
INDIRECT("数出表_Excel!"&amp;S56&amp;"3")),"")</f>
        <v/>
      </c>
      <c r="N56" t="str">
        <f t="array" aca="1" ref="N56" ca="1">IFERROR(IF(OR(COUNTIF(INDIRECT("数出表_Excel!"&amp;T56&amp;"3"),"*キャラ*"),
COUNTIF(INDIRECT("数出表_Excel!"&amp;T56&amp;"3"),"*赤*")),
INDIRECT("数出表_Excel!"&amp;T56&amp;"3")
&amp;"　"&amp;INDIRECT("数出表_Excel!"&amp;T56&amp;"4")
&amp;INDIRECT("数出表_Excel!"&amp;T56&amp;"5"),
INDIRECT("数出表_Excel!"&amp;T56&amp;"3")),"")</f>
        <v/>
      </c>
      <c r="O56" t="str">
        <f t="array" aca="1" ref="O56" ca="1">IFERROR(IF(OR(COUNTIF(INDIRECT("数出表_Excel!"&amp;U56&amp;"3"),"*キャラ*"),
COUNTIF(INDIRECT("数出表_Excel!"&amp;U56&amp;"3"),"*赤*")),
INDIRECT("数出表_Excel!"&amp;U56&amp;"3")
&amp;"　"&amp;INDIRECT("数出表_Excel!"&amp;U56&amp;"4")
&amp;INDIRECT("数出表_Excel!"&amp;U56&amp;"5"),
INDIRECT("数出表_Excel!"&amp;U56&amp;"3")),"")</f>
        <v/>
      </c>
      <c r="P56" t="str">
        <f t="shared" ca="1" si="8"/>
        <v/>
      </c>
      <c r="Q56" t="str">
        <f t="shared" ca="1" si="9"/>
        <v/>
      </c>
      <c r="R56" t="str">
        <f t="shared" ca="1" si="10"/>
        <v/>
      </c>
      <c r="S56" t="str">
        <f t="shared" ca="1" si="11"/>
        <v/>
      </c>
      <c r="T56" t="str">
        <f t="shared" ca="1" si="12"/>
        <v/>
      </c>
      <c r="U56" t="str">
        <f t="shared" ca="1" si="13"/>
        <v/>
      </c>
      <c r="V56" t="str">
        <f t="shared" ca="1" si="14"/>
        <v/>
      </c>
    </row>
    <row r="57" spans="1:22">
      <c r="A57"/>
      <c r="I57">
        <f t="shared" si="15"/>
        <v>119</v>
      </c>
      <c r="J57" t="str">
        <f t="array" aca="1" ref="J57" ca="1">IFERROR(IF(OR(COUNTIF(INDIRECT("数出表_Excel!"&amp;P57&amp;"3"),"*キャラ*"),
COUNTIF(INDIRECT("数出表_Excel!"&amp;P57&amp;"3"),"*赤*")),
IF(COUNTIF(A57,"*雙葉*"),INDIRECT("数出表_Excel!"&amp;P57&amp;"3"),
INDIRECT("数出表_Excel!"&amp;P57&amp;"3")
&amp;"　"&amp;INDIRECT("数出表_Excel!"&amp;P57&amp;"4")
&amp;INDIRECT("数出表_Excel!"&amp;P57&amp;"5")),
INDIRECT("数出表_Excel!"&amp;P57&amp;"3")),"")</f>
        <v/>
      </c>
      <c r="K57" t="str">
        <f t="array" aca="1" ref="K57" ca="1">IFERROR(IF(OR(COUNTIF(INDIRECT("数出表_Excel!"&amp;Q57&amp;"3"),"*キャラ*"),
COUNTIF(INDIRECT("数出表_Excel!"&amp;Q57&amp;"3"),"*赤*")),
INDIRECT("数出表_Excel!"&amp;Q57&amp;"3")
&amp;"　"&amp;INDIRECT("数出表_Excel!"&amp;Q57&amp;"4")
&amp;INDIRECT("数出表_Excel!"&amp;Q57&amp;"5"),
INDIRECT("数出表_Excel!"&amp;Q57&amp;"3")),"")</f>
        <v/>
      </c>
      <c r="L57" t="str">
        <f t="array" aca="1" ref="L57" ca="1">IFERROR(IF(OR(COUNTIF(INDIRECT("数出表_Excel!"&amp;R57&amp;"3"),"*キャラ*"),
COUNTIF(INDIRECT("数出表_Excel!"&amp;R57&amp;"3"),"*赤*")),
INDIRECT("数出表_Excel!"&amp;R57&amp;"3")
&amp;"　"&amp;INDIRECT("数出表_Excel!"&amp;R57&amp;"4")
&amp;INDIRECT("数出表_Excel!"&amp;R57&amp;"5"),
INDIRECT("数出表_Excel!"&amp;R57&amp;"3")),"")</f>
        <v/>
      </c>
      <c r="M57" t="str">
        <f t="array" aca="1" ref="M57" ca="1">IFERROR(IF(OR(COUNTIF(INDIRECT("数出表_Excel!"&amp;S57&amp;"3"),"*キャラ*"),
COUNTIF(INDIRECT("数出表_Excel!"&amp;S57&amp;"3"),"*赤*")),
INDIRECT("数出表_Excel!"&amp;S57&amp;"3")
&amp;"　"&amp;INDIRECT("数出表_Excel!"&amp;S57&amp;"4")
&amp;INDIRECT("数出表_Excel!"&amp;S57&amp;"5"),
INDIRECT("数出表_Excel!"&amp;S57&amp;"3")),"")</f>
        <v/>
      </c>
      <c r="N57" t="str">
        <f t="array" aca="1" ref="N57" ca="1">IFERROR(IF(OR(COUNTIF(INDIRECT("数出表_Excel!"&amp;T57&amp;"3"),"*キャラ*"),
COUNTIF(INDIRECT("数出表_Excel!"&amp;T57&amp;"3"),"*赤*")),
INDIRECT("数出表_Excel!"&amp;T57&amp;"3")
&amp;"　"&amp;INDIRECT("数出表_Excel!"&amp;T57&amp;"4")
&amp;INDIRECT("数出表_Excel!"&amp;T57&amp;"5"),
INDIRECT("数出表_Excel!"&amp;T57&amp;"3")),"")</f>
        <v/>
      </c>
      <c r="O57" t="str">
        <f t="array" aca="1" ref="O57" ca="1">IFERROR(IF(OR(COUNTIF(INDIRECT("数出表_Excel!"&amp;U57&amp;"3"),"*キャラ*"),
COUNTIF(INDIRECT("数出表_Excel!"&amp;U57&amp;"3"),"*赤*")),
INDIRECT("数出表_Excel!"&amp;U57&amp;"3")
&amp;"　"&amp;INDIRECT("数出表_Excel!"&amp;U57&amp;"4")
&amp;INDIRECT("数出表_Excel!"&amp;U57&amp;"5"),
INDIRECT("数出表_Excel!"&amp;U57&amp;"3")),"")</f>
        <v/>
      </c>
      <c r="P57" t="str">
        <f t="shared" ca="1" si="8"/>
        <v/>
      </c>
      <c r="Q57" t="str">
        <f t="shared" ca="1" si="9"/>
        <v/>
      </c>
      <c r="R57" t="str">
        <f t="shared" ca="1" si="10"/>
        <v/>
      </c>
      <c r="S57" t="str">
        <f t="shared" ca="1" si="11"/>
        <v/>
      </c>
      <c r="T57" t="str">
        <f t="shared" ca="1" si="12"/>
        <v/>
      </c>
      <c r="U57" t="str">
        <f t="shared" ca="1" si="13"/>
        <v/>
      </c>
      <c r="V57" t="str">
        <f t="shared" ca="1" si="14"/>
        <v/>
      </c>
    </row>
    <row r="58" spans="1:22">
      <c r="A58"/>
      <c r="I58">
        <f t="shared" si="15"/>
        <v>121</v>
      </c>
      <c r="J58" t="str">
        <f t="array" aca="1" ref="J58" ca="1">IFERROR(IF(OR(COUNTIF(INDIRECT("数出表_Excel!"&amp;P58&amp;"3"),"*キャラ*"),
COUNTIF(INDIRECT("数出表_Excel!"&amp;P58&amp;"3"),"*赤*")),
IF(COUNTIF(A58,"*雙葉*"),INDIRECT("数出表_Excel!"&amp;P58&amp;"3"),
INDIRECT("数出表_Excel!"&amp;P58&amp;"3")
&amp;"　"&amp;INDIRECT("数出表_Excel!"&amp;P58&amp;"4")
&amp;INDIRECT("数出表_Excel!"&amp;P58&amp;"5")),
INDIRECT("数出表_Excel!"&amp;P58&amp;"3")),"")</f>
        <v/>
      </c>
      <c r="K58" t="str">
        <f t="array" aca="1" ref="K58" ca="1">IFERROR(IF(OR(COUNTIF(INDIRECT("数出表_Excel!"&amp;Q58&amp;"3"),"*キャラ*"),
COUNTIF(INDIRECT("数出表_Excel!"&amp;Q58&amp;"3"),"*赤*")),
INDIRECT("数出表_Excel!"&amp;Q58&amp;"3")
&amp;"　"&amp;INDIRECT("数出表_Excel!"&amp;Q58&amp;"4")
&amp;INDIRECT("数出表_Excel!"&amp;Q58&amp;"5"),
INDIRECT("数出表_Excel!"&amp;Q58&amp;"3")),"")</f>
        <v/>
      </c>
      <c r="L58" t="str">
        <f t="array" aca="1" ref="L58" ca="1">IFERROR(IF(OR(COUNTIF(INDIRECT("数出表_Excel!"&amp;R58&amp;"3"),"*キャラ*"),
COUNTIF(INDIRECT("数出表_Excel!"&amp;R58&amp;"3"),"*赤*")),
INDIRECT("数出表_Excel!"&amp;R58&amp;"3")
&amp;"　"&amp;INDIRECT("数出表_Excel!"&amp;R58&amp;"4")
&amp;INDIRECT("数出表_Excel!"&amp;R58&amp;"5"),
INDIRECT("数出表_Excel!"&amp;R58&amp;"3")),"")</f>
        <v/>
      </c>
      <c r="M58" t="str">
        <f t="array" aca="1" ref="M58" ca="1">IFERROR(IF(OR(COUNTIF(INDIRECT("数出表_Excel!"&amp;S58&amp;"3"),"*キャラ*"),
COUNTIF(INDIRECT("数出表_Excel!"&amp;S58&amp;"3"),"*赤*")),
INDIRECT("数出表_Excel!"&amp;S58&amp;"3")
&amp;"　"&amp;INDIRECT("数出表_Excel!"&amp;S58&amp;"4")
&amp;INDIRECT("数出表_Excel!"&amp;S58&amp;"5"),
INDIRECT("数出表_Excel!"&amp;S58&amp;"3")),"")</f>
        <v/>
      </c>
      <c r="N58" t="str">
        <f t="array" aca="1" ref="N58" ca="1">IFERROR(IF(OR(COUNTIF(INDIRECT("数出表_Excel!"&amp;T58&amp;"3"),"*キャラ*"),
COUNTIF(INDIRECT("数出表_Excel!"&amp;T58&amp;"3"),"*赤*")),
INDIRECT("数出表_Excel!"&amp;T58&amp;"3")
&amp;"　"&amp;INDIRECT("数出表_Excel!"&amp;T58&amp;"4")
&amp;INDIRECT("数出表_Excel!"&amp;T58&amp;"5"),
INDIRECT("数出表_Excel!"&amp;T58&amp;"3")),"")</f>
        <v/>
      </c>
      <c r="O58" t="str">
        <f t="array" aca="1" ref="O58" ca="1">IFERROR(IF(OR(COUNTIF(INDIRECT("数出表_Excel!"&amp;U58&amp;"3"),"*キャラ*"),
COUNTIF(INDIRECT("数出表_Excel!"&amp;U58&amp;"3"),"*赤*")),
INDIRECT("数出表_Excel!"&amp;U58&amp;"3")
&amp;"　"&amp;INDIRECT("数出表_Excel!"&amp;U58&amp;"4")
&amp;INDIRECT("数出表_Excel!"&amp;U58&amp;"5"),
INDIRECT("数出表_Excel!"&amp;U58&amp;"3")),"")</f>
        <v/>
      </c>
      <c r="P58" t="str">
        <f t="shared" ca="1" si="8"/>
        <v/>
      </c>
      <c r="Q58" t="str">
        <f t="shared" ca="1" si="9"/>
        <v/>
      </c>
      <c r="R58" t="str">
        <f t="shared" ca="1" si="10"/>
        <v/>
      </c>
      <c r="S58" t="str">
        <f t="shared" ca="1" si="11"/>
        <v/>
      </c>
      <c r="T58" t="str">
        <f t="shared" ca="1" si="12"/>
        <v/>
      </c>
      <c r="U58" t="str">
        <f t="shared" ca="1" si="13"/>
        <v/>
      </c>
      <c r="V58" t="str">
        <f t="shared" ca="1" si="14"/>
        <v/>
      </c>
    </row>
    <row r="59" spans="1:22">
      <c r="A59"/>
      <c r="I59">
        <f t="shared" si="15"/>
        <v>123</v>
      </c>
      <c r="J59" t="str">
        <f t="array" aca="1" ref="J59" ca="1">IFERROR(IF(OR(COUNTIF(INDIRECT("数出表_Excel!"&amp;P59&amp;"3"),"*キャラ*"),
COUNTIF(INDIRECT("数出表_Excel!"&amp;P59&amp;"3"),"*赤*")),
IF(COUNTIF(A59,"*雙葉*"),INDIRECT("数出表_Excel!"&amp;P59&amp;"3"),
INDIRECT("数出表_Excel!"&amp;P59&amp;"3")
&amp;"　"&amp;INDIRECT("数出表_Excel!"&amp;P59&amp;"4")
&amp;INDIRECT("数出表_Excel!"&amp;P59&amp;"5")),
INDIRECT("数出表_Excel!"&amp;P59&amp;"3")),"")</f>
        <v/>
      </c>
      <c r="K59" t="str">
        <f t="array" aca="1" ref="K59" ca="1">IFERROR(IF(OR(COUNTIF(INDIRECT("数出表_Excel!"&amp;Q59&amp;"3"),"*キャラ*"),
COUNTIF(INDIRECT("数出表_Excel!"&amp;Q59&amp;"3"),"*赤*")),
INDIRECT("数出表_Excel!"&amp;Q59&amp;"3")
&amp;"　"&amp;INDIRECT("数出表_Excel!"&amp;Q59&amp;"4")
&amp;INDIRECT("数出表_Excel!"&amp;Q59&amp;"5"),
INDIRECT("数出表_Excel!"&amp;Q59&amp;"3")),"")</f>
        <v/>
      </c>
      <c r="L59" t="str">
        <f t="array" aca="1" ref="L59" ca="1">IFERROR(IF(OR(COUNTIF(INDIRECT("数出表_Excel!"&amp;R59&amp;"3"),"*キャラ*"),
COUNTIF(INDIRECT("数出表_Excel!"&amp;R59&amp;"3"),"*赤*")),
INDIRECT("数出表_Excel!"&amp;R59&amp;"3")
&amp;"　"&amp;INDIRECT("数出表_Excel!"&amp;R59&amp;"4")
&amp;INDIRECT("数出表_Excel!"&amp;R59&amp;"5"),
INDIRECT("数出表_Excel!"&amp;R59&amp;"3")),"")</f>
        <v/>
      </c>
      <c r="M59" t="str">
        <f t="array" aca="1" ref="M59" ca="1">IFERROR(IF(OR(COUNTIF(INDIRECT("数出表_Excel!"&amp;S59&amp;"3"),"*キャラ*"),
COUNTIF(INDIRECT("数出表_Excel!"&amp;S59&amp;"3"),"*赤*")),
INDIRECT("数出表_Excel!"&amp;S59&amp;"3")
&amp;"　"&amp;INDIRECT("数出表_Excel!"&amp;S59&amp;"4")
&amp;INDIRECT("数出表_Excel!"&amp;S59&amp;"5"),
INDIRECT("数出表_Excel!"&amp;S59&amp;"3")),"")</f>
        <v/>
      </c>
      <c r="N59" t="str">
        <f t="array" aca="1" ref="N59" ca="1">IFERROR(IF(OR(COUNTIF(INDIRECT("数出表_Excel!"&amp;T59&amp;"3"),"*キャラ*"),
COUNTIF(INDIRECT("数出表_Excel!"&amp;T59&amp;"3"),"*赤*")),
INDIRECT("数出表_Excel!"&amp;T59&amp;"3")
&amp;"　"&amp;INDIRECT("数出表_Excel!"&amp;T59&amp;"4")
&amp;INDIRECT("数出表_Excel!"&amp;T59&amp;"5"),
INDIRECT("数出表_Excel!"&amp;T59&amp;"3")),"")</f>
        <v/>
      </c>
      <c r="O59" t="str">
        <f t="array" aca="1" ref="O59" ca="1">IFERROR(IF(OR(COUNTIF(INDIRECT("数出表_Excel!"&amp;U59&amp;"3"),"*キャラ*"),
COUNTIF(INDIRECT("数出表_Excel!"&amp;U59&amp;"3"),"*赤*")),
INDIRECT("数出表_Excel!"&amp;U59&amp;"3")
&amp;"　"&amp;INDIRECT("数出表_Excel!"&amp;U59&amp;"4")
&amp;INDIRECT("数出表_Excel!"&amp;U59&amp;"5"),
INDIRECT("数出表_Excel!"&amp;U59&amp;"3")),"")</f>
        <v/>
      </c>
      <c r="P59" t="str">
        <f t="shared" ca="1" si="8"/>
        <v/>
      </c>
      <c r="Q59" t="str">
        <f t="shared" ca="1" si="9"/>
        <v/>
      </c>
      <c r="R59" t="str">
        <f t="shared" ca="1" si="10"/>
        <v/>
      </c>
      <c r="S59" t="str">
        <f t="shared" ca="1" si="11"/>
        <v/>
      </c>
      <c r="T59" t="str">
        <f t="shared" ca="1" si="12"/>
        <v/>
      </c>
      <c r="U59" t="str">
        <f t="shared" ca="1" si="13"/>
        <v/>
      </c>
      <c r="V59" t="str">
        <f t="shared" ca="1" si="14"/>
        <v/>
      </c>
    </row>
    <row r="60" spans="1:22">
      <c r="A60"/>
      <c r="I60">
        <f t="shared" si="15"/>
        <v>125</v>
      </c>
      <c r="J60" t="str">
        <f t="array" aca="1" ref="J60" ca="1">IFERROR(IF(OR(COUNTIF(INDIRECT("数出表_Excel!"&amp;P60&amp;"3"),"*キャラ*"),
COUNTIF(INDIRECT("数出表_Excel!"&amp;P60&amp;"3"),"*赤*")),
IF(COUNTIF(A60,"*雙葉*"),INDIRECT("数出表_Excel!"&amp;P60&amp;"3"),
INDIRECT("数出表_Excel!"&amp;P60&amp;"3")
&amp;"　"&amp;INDIRECT("数出表_Excel!"&amp;P60&amp;"4")
&amp;INDIRECT("数出表_Excel!"&amp;P60&amp;"5")),
INDIRECT("数出表_Excel!"&amp;P60&amp;"3")),"")</f>
        <v/>
      </c>
      <c r="K60" t="str">
        <f t="array" aca="1" ref="K60" ca="1">IFERROR(IF(OR(COUNTIF(INDIRECT("数出表_Excel!"&amp;Q60&amp;"3"),"*キャラ*"),
COUNTIF(INDIRECT("数出表_Excel!"&amp;Q60&amp;"3"),"*赤*")),
INDIRECT("数出表_Excel!"&amp;Q60&amp;"3")
&amp;"　"&amp;INDIRECT("数出表_Excel!"&amp;Q60&amp;"4")
&amp;INDIRECT("数出表_Excel!"&amp;Q60&amp;"5"),
INDIRECT("数出表_Excel!"&amp;Q60&amp;"3")),"")</f>
        <v/>
      </c>
      <c r="L60" t="str">
        <f t="array" aca="1" ref="L60" ca="1">IFERROR(IF(OR(COUNTIF(INDIRECT("数出表_Excel!"&amp;R60&amp;"3"),"*キャラ*"),
COUNTIF(INDIRECT("数出表_Excel!"&amp;R60&amp;"3"),"*赤*")),
INDIRECT("数出表_Excel!"&amp;R60&amp;"3")
&amp;"　"&amp;INDIRECT("数出表_Excel!"&amp;R60&amp;"4")
&amp;INDIRECT("数出表_Excel!"&amp;R60&amp;"5"),
INDIRECT("数出表_Excel!"&amp;R60&amp;"3")),"")</f>
        <v/>
      </c>
      <c r="M60" t="str">
        <f t="array" aca="1" ref="M60" ca="1">IFERROR(IF(OR(COUNTIF(INDIRECT("数出表_Excel!"&amp;S60&amp;"3"),"*キャラ*"),
COUNTIF(INDIRECT("数出表_Excel!"&amp;S60&amp;"3"),"*赤*")),
INDIRECT("数出表_Excel!"&amp;S60&amp;"3")
&amp;"　"&amp;INDIRECT("数出表_Excel!"&amp;S60&amp;"4")
&amp;INDIRECT("数出表_Excel!"&amp;S60&amp;"5"),
INDIRECT("数出表_Excel!"&amp;S60&amp;"3")),"")</f>
        <v/>
      </c>
      <c r="N60" t="str">
        <f t="array" aca="1" ref="N60" ca="1">IFERROR(IF(OR(COUNTIF(INDIRECT("数出表_Excel!"&amp;T60&amp;"3"),"*キャラ*"),
COUNTIF(INDIRECT("数出表_Excel!"&amp;T60&amp;"3"),"*赤*")),
INDIRECT("数出表_Excel!"&amp;T60&amp;"3")
&amp;"　"&amp;INDIRECT("数出表_Excel!"&amp;T60&amp;"4")
&amp;INDIRECT("数出表_Excel!"&amp;T60&amp;"5"),
INDIRECT("数出表_Excel!"&amp;T60&amp;"3")),"")</f>
        <v/>
      </c>
      <c r="O60" t="str">
        <f t="array" aca="1" ref="O60" ca="1">IFERROR(IF(OR(COUNTIF(INDIRECT("数出表_Excel!"&amp;U60&amp;"3"),"*キャラ*"),
COUNTIF(INDIRECT("数出表_Excel!"&amp;U60&amp;"3"),"*赤*")),
INDIRECT("数出表_Excel!"&amp;U60&amp;"3")
&amp;"　"&amp;INDIRECT("数出表_Excel!"&amp;U60&amp;"4")
&amp;INDIRECT("数出表_Excel!"&amp;U60&amp;"5"),
INDIRECT("数出表_Excel!"&amp;U60&amp;"3")),"")</f>
        <v/>
      </c>
      <c r="P60" t="str">
        <f t="shared" ca="1" si="8"/>
        <v/>
      </c>
      <c r="Q60" t="str">
        <f t="shared" ca="1" si="9"/>
        <v/>
      </c>
      <c r="R60" t="str">
        <f t="shared" ca="1" si="10"/>
        <v/>
      </c>
      <c r="S60" t="str">
        <f t="shared" ca="1" si="11"/>
        <v/>
      </c>
      <c r="T60" t="str">
        <f t="shared" ca="1" si="12"/>
        <v/>
      </c>
      <c r="U60" t="str">
        <f t="shared" ca="1" si="13"/>
        <v/>
      </c>
      <c r="V60" t="str">
        <f t="shared" ca="1" si="14"/>
        <v/>
      </c>
    </row>
    <row r="61" spans="1:22">
      <c r="A61"/>
      <c r="I61">
        <f t="shared" si="15"/>
        <v>127</v>
      </c>
      <c r="J61" t="str">
        <f t="array" aca="1" ref="J61" ca="1">IFERROR(IF(OR(COUNTIF(INDIRECT("数出表_Excel!"&amp;P61&amp;"3"),"*キャラ*"),
COUNTIF(INDIRECT("数出表_Excel!"&amp;P61&amp;"3"),"*赤*")),
IF(COUNTIF(A61,"*雙葉*"),INDIRECT("数出表_Excel!"&amp;P61&amp;"3"),
INDIRECT("数出表_Excel!"&amp;P61&amp;"3")
&amp;"　"&amp;INDIRECT("数出表_Excel!"&amp;P61&amp;"4")
&amp;INDIRECT("数出表_Excel!"&amp;P61&amp;"5")),
INDIRECT("数出表_Excel!"&amp;P61&amp;"3")),"")</f>
        <v/>
      </c>
      <c r="K61" t="str">
        <f t="array" aca="1" ref="K61" ca="1">IFERROR(IF(OR(COUNTIF(INDIRECT("数出表_Excel!"&amp;Q61&amp;"3"),"*キャラ*"),
COUNTIF(INDIRECT("数出表_Excel!"&amp;Q61&amp;"3"),"*赤*")),
INDIRECT("数出表_Excel!"&amp;Q61&amp;"3")
&amp;"　"&amp;INDIRECT("数出表_Excel!"&amp;Q61&amp;"4")
&amp;INDIRECT("数出表_Excel!"&amp;Q61&amp;"5"),
INDIRECT("数出表_Excel!"&amp;Q61&amp;"3")),"")</f>
        <v/>
      </c>
      <c r="L61" t="str">
        <f t="array" aca="1" ref="L61" ca="1">IFERROR(IF(OR(COUNTIF(INDIRECT("数出表_Excel!"&amp;R61&amp;"3"),"*キャラ*"),
COUNTIF(INDIRECT("数出表_Excel!"&amp;R61&amp;"3"),"*赤*")),
INDIRECT("数出表_Excel!"&amp;R61&amp;"3")
&amp;"　"&amp;INDIRECT("数出表_Excel!"&amp;R61&amp;"4")
&amp;INDIRECT("数出表_Excel!"&amp;R61&amp;"5"),
INDIRECT("数出表_Excel!"&amp;R61&amp;"3")),"")</f>
        <v/>
      </c>
      <c r="M61" t="str">
        <f t="array" aca="1" ref="M61" ca="1">IFERROR(IF(OR(COUNTIF(INDIRECT("数出表_Excel!"&amp;S61&amp;"3"),"*キャラ*"),
COUNTIF(INDIRECT("数出表_Excel!"&amp;S61&amp;"3"),"*赤*")),
INDIRECT("数出表_Excel!"&amp;S61&amp;"3")
&amp;"　"&amp;INDIRECT("数出表_Excel!"&amp;S61&amp;"4")
&amp;INDIRECT("数出表_Excel!"&amp;S61&amp;"5"),
INDIRECT("数出表_Excel!"&amp;S61&amp;"3")),"")</f>
        <v/>
      </c>
      <c r="N61" t="str">
        <f t="array" aca="1" ref="N61" ca="1">IFERROR(IF(OR(COUNTIF(INDIRECT("数出表_Excel!"&amp;T61&amp;"3"),"*キャラ*"),
COUNTIF(INDIRECT("数出表_Excel!"&amp;T61&amp;"3"),"*赤*")),
INDIRECT("数出表_Excel!"&amp;T61&amp;"3")
&amp;"　"&amp;INDIRECT("数出表_Excel!"&amp;T61&amp;"4")
&amp;INDIRECT("数出表_Excel!"&amp;T61&amp;"5"),
INDIRECT("数出表_Excel!"&amp;T61&amp;"3")),"")</f>
        <v/>
      </c>
      <c r="O61" t="str">
        <f t="array" aca="1" ref="O61" ca="1">IFERROR(IF(OR(COUNTIF(INDIRECT("数出表_Excel!"&amp;U61&amp;"3"),"*キャラ*"),
COUNTIF(INDIRECT("数出表_Excel!"&amp;U61&amp;"3"),"*赤*")),
INDIRECT("数出表_Excel!"&amp;U61&amp;"3")
&amp;"　"&amp;INDIRECT("数出表_Excel!"&amp;U61&amp;"4")
&amp;INDIRECT("数出表_Excel!"&amp;U61&amp;"5"),
INDIRECT("数出表_Excel!"&amp;U61&amp;"3")),"")</f>
        <v/>
      </c>
      <c r="P61" t="str">
        <f t="shared" ca="1" si="8"/>
        <v/>
      </c>
      <c r="Q61" t="str">
        <f t="shared" ca="1" si="9"/>
        <v/>
      </c>
      <c r="R61" t="str">
        <f t="shared" ca="1" si="10"/>
        <v/>
      </c>
      <c r="S61" t="str">
        <f t="shared" ca="1" si="11"/>
        <v/>
      </c>
      <c r="T61" t="str">
        <f t="shared" ca="1" si="12"/>
        <v/>
      </c>
      <c r="U61" t="str">
        <f t="shared" ca="1" si="13"/>
        <v/>
      </c>
      <c r="V61" t="str">
        <f t="shared" ca="1" si="14"/>
        <v/>
      </c>
    </row>
    <row r="62" spans="1:22">
      <c r="A62"/>
      <c r="I62">
        <f t="shared" si="15"/>
        <v>129</v>
      </c>
      <c r="J62" t="str">
        <f t="array" aca="1" ref="J62" ca="1">IFERROR(IF(OR(COUNTIF(INDIRECT("数出表_Excel!"&amp;P62&amp;"3"),"*キャラ*"),
COUNTIF(INDIRECT("数出表_Excel!"&amp;P62&amp;"3"),"*赤*")),
IF(COUNTIF(A62,"*雙葉*"),INDIRECT("数出表_Excel!"&amp;P62&amp;"3"),
INDIRECT("数出表_Excel!"&amp;P62&amp;"3")
&amp;"　"&amp;INDIRECT("数出表_Excel!"&amp;P62&amp;"4")
&amp;INDIRECT("数出表_Excel!"&amp;P62&amp;"5")),
INDIRECT("数出表_Excel!"&amp;P62&amp;"3")),"")</f>
        <v/>
      </c>
      <c r="K62" t="str">
        <f t="array" aca="1" ref="K62" ca="1">IFERROR(IF(OR(COUNTIF(INDIRECT("数出表_Excel!"&amp;Q62&amp;"3"),"*キャラ*"),
COUNTIF(INDIRECT("数出表_Excel!"&amp;Q62&amp;"3"),"*赤*")),
INDIRECT("数出表_Excel!"&amp;Q62&amp;"3")
&amp;"　"&amp;INDIRECT("数出表_Excel!"&amp;Q62&amp;"4")
&amp;INDIRECT("数出表_Excel!"&amp;Q62&amp;"5"),
INDIRECT("数出表_Excel!"&amp;Q62&amp;"3")),"")</f>
        <v/>
      </c>
      <c r="L62" t="str">
        <f t="array" aca="1" ref="L62" ca="1">IFERROR(IF(OR(COUNTIF(INDIRECT("数出表_Excel!"&amp;R62&amp;"3"),"*キャラ*"),
COUNTIF(INDIRECT("数出表_Excel!"&amp;R62&amp;"3"),"*赤*")),
INDIRECT("数出表_Excel!"&amp;R62&amp;"3")
&amp;"　"&amp;INDIRECT("数出表_Excel!"&amp;R62&amp;"4")
&amp;INDIRECT("数出表_Excel!"&amp;R62&amp;"5"),
INDIRECT("数出表_Excel!"&amp;R62&amp;"3")),"")</f>
        <v/>
      </c>
      <c r="M62" t="str">
        <f t="array" aca="1" ref="M62" ca="1">IFERROR(IF(OR(COUNTIF(INDIRECT("数出表_Excel!"&amp;S62&amp;"3"),"*キャラ*"),
COUNTIF(INDIRECT("数出表_Excel!"&amp;S62&amp;"3"),"*赤*")),
INDIRECT("数出表_Excel!"&amp;S62&amp;"3")
&amp;"　"&amp;INDIRECT("数出表_Excel!"&amp;S62&amp;"4")
&amp;INDIRECT("数出表_Excel!"&amp;S62&amp;"5"),
INDIRECT("数出表_Excel!"&amp;S62&amp;"3")),"")</f>
        <v/>
      </c>
      <c r="N62" t="str">
        <f t="array" aca="1" ref="N62" ca="1">IFERROR(IF(OR(COUNTIF(INDIRECT("数出表_Excel!"&amp;T62&amp;"3"),"*キャラ*"),
COUNTIF(INDIRECT("数出表_Excel!"&amp;T62&amp;"3"),"*赤*")),
INDIRECT("数出表_Excel!"&amp;T62&amp;"3")
&amp;"　"&amp;INDIRECT("数出表_Excel!"&amp;T62&amp;"4")
&amp;INDIRECT("数出表_Excel!"&amp;T62&amp;"5"),
INDIRECT("数出表_Excel!"&amp;T62&amp;"3")),"")</f>
        <v/>
      </c>
      <c r="O62" t="str">
        <f t="array" aca="1" ref="O62" ca="1">IFERROR(IF(OR(COUNTIF(INDIRECT("数出表_Excel!"&amp;U62&amp;"3"),"*キャラ*"),
COUNTIF(INDIRECT("数出表_Excel!"&amp;U62&amp;"3"),"*赤*")),
INDIRECT("数出表_Excel!"&amp;U62&amp;"3")
&amp;"　"&amp;INDIRECT("数出表_Excel!"&amp;U62&amp;"4")
&amp;INDIRECT("数出表_Excel!"&amp;U62&amp;"5"),
INDIRECT("数出表_Excel!"&amp;U62&amp;"3")),"")</f>
        <v/>
      </c>
      <c r="P62" t="str">
        <f t="shared" ca="1" si="8"/>
        <v/>
      </c>
      <c r="Q62" t="str">
        <f t="shared" ca="1" si="9"/>
        <v/>
      </c>
      <c r="R62" t="str">
        <f t="shared" ca="1" si="10"/>
        <v/>
      </c>
      <c r="S62" t="str">
        <f t="shared" ca="1" si="11"/>
        <v/>
      </c>
      <c r="T62" t="str">
        <f t="shared" ca="1" si="12"/>
        <v/>
      </c>
      <c r="U62" t="str">
        <f t="shared" ca="1" si="13"/>
        <v/>
      </c>
      <c r="V62" t="str">
        <f t="shared" ca="1" si="14"/>
        <v/>
      </c>
    </row>
    <row r="63" spans="1:22">
      <c r="A63"/>
      <c r="I63">
        <f t="shared" si="15"/>
        <v>131</v>
      </c>
      <c r="J63" t="str">
        <f t="array" aca="1" ref="J63" ca="1">IFERROR(IF(OR(COUNTIF(INDIRECT("数出表_Excel!"&amp;P63&amp;"3"),"*キャラ*"),
COUNTIF(INDIRECT("数出表_Excel!"&amp;P63&amp;"3"),"*赤*")),
IF(COUNTIF(A63,"*雙葉*"),INDIRECT("数出表_Excel!"&amp;P63&amp;"3"),
INDIRECT("数出表_Excel!"&amp;P63&amp;"3")
&amp;"　"&amp;INDIRECT("数出表_Excel!"&amp;P63&amp;"4")
&amp;INDIRECT("数出表_Excel!"&amp;P63&amp;"5")),
INDIRECT("数出表_Excel!"&amp;P63&amp;"3")),"")</f>
        <v/>
      </c>
      <c r="K63" t="str">
        <f t="array" aca="1" ref="K63" ca="1">IFERROR(IF(OR(COUNTIF(INDIRECT("数出表_Excel!"&amp;Q63&amp;"3"),"*キャラ*"),
COUNTIF(INDIRECT("数出表_Excel!"&amp;Q63&amp;"3"),"*赤*")),
INDIRECT("数出表_Excel!"&amp;Q63&amp;"3")
&amp;"　"&amp;INDIRECT("数出表_Excel!"&amp;Q63&amp;"4")
&amp;INDIRECT("数出表_Excel!"&amp;Q63&amp;"5"),
INDIRECT("数出表_Excel!"&amp;Q63&amp;"3")),"")</f>
        <v/>
      </c>
      <c r="L63" t="str">
        <f t="array" aca="1" ref="L63" ca="1">IFERROR(IF(OR(COUNTIF(INDIRECT("数出表_Excel!"&amp;R63&amp;"3"),"*キャラ*"),
COUNTIF(INDIRECT("数出表_Excel!"&amp;R63&amp;"3"),"*赤*")),
INDIRECT("数出表_Excel!"&amp;R63&amp;"3")
&amp;"　"&amp;INDIRECT("数出表_Excel!"&amp;R63&amp;"4")
&amp;INDIRECT("数出表_Excel!"&amp;R63&amp;"5"),
INDIRECT("数出表_Excel!"&amp;R63&amp;"3")),"")</f>
        <v/>
      </c>
      <c r="M63" t="str">
        <f t="array" aca="1" ref="M63" ca="1">IFERROR(IF(OR(COUNTIF(INDIRECT("数出表_Excel!"&amp;S63&amp;"3"),"*キャラ*"),
COUNTIF(INDIRECT("数出表_Excel!"&amp;S63&amp;"3"),"*赤*")),
INDIRECT("数出表_Excel!"&amp;S63&amp;"3")
&amp;"　"&amp;INDIRECT("数出表_Excel!"&amp;S63&amp;"4")
&amp;INDIRECT("数出表_Excel!"&amp;S63&amp;"5"),
INDIRECT("数出表_Excel!"&amp;S63&amp;"3")),"")</f>
        <v/>
      </c>
      <c r="N63" t="str">
        <f t="array" aca="1" ref="N63" ca="1">IFERROR(IF(OR(COUNTIF(INDIRECT("数出表_Excel!"&amp;T63&amp;"3"),"*キャラ*"),
COUNTIF(INDIRECT("数出表_Excel!"&amp;T63&amp;"3"),"*赤*")),
INDIRECT("数出表_Excel!"&amp;T63&amp;"3")
&amp;"　"&amp;INDIRECT("数出表_Excel!"&amp;T63&amp;"4")
&amp;INDIRECT("数出表_Excel!"&amp;T63&amp;"5"),
INDIRECT("数出表_Excel!"&amp;T63&amp;"3")),"")</f>
        <v/>
      </c>
      <c r="O63" t="str">
        <f t="array" aca="1" ref="O63" ca="1">IFERROR(IF(OR(COUNTIF(INDIRECT("数出表_Excel!"&amp;U63&amp;"3"),"*キャラ*"),
COUNTIF(INDIRECT("数出表_Excel!"&amp;U63&amp;"3"),"*赤*")),
INDIRECT("数出表_Excel!"&amp;U63&amp;"3")
&amp;"　"&amp;INDIRECT("数出表_Excel!"&amp;U63&amp;"4")
&amp;INDIRECT("数出表_Excel!"&amp;U63&amp;"5"),
INDIRECT("数出表_Excel!"&amp;U63&amp;"3")),"")</f>
        <v/>
      </c>
      <c r="P63" t="str">
        <f t="shared" ca="1" si="8"/>
        <v/>
      </c>
      <c r="Q63" t="str">
        <f t="shared" ca="1" si="9"/>
        <v/>
      </c>
      <c r="R63" t="str">
        <f t="shared" ca="1" si="10"/>
        <v/>
      </c>
      <c r="S63" t="str">
        <f t="shared" ca="1" si="11"/>
        <v/>
      </c>
      <c r="T63" t="str">
        <f t="shared" ca="1" si="12"/>
        <v/>
      </c>
      <c r="U63" t="str">
        <f t="shared" ca="1" si="13"/>
        <v/>
      </c>
      <c r="V63" t="str">
        <f t="shared" ca="1" si="14"/>
        <v/>
      </c>
    </row>
    <row r="64" spans="1:22">
      <c r="A64"/>
      <c r="I64">
        <f t="shared" si="15"/>
        <v>133</v>
      </c>
      <c r="J64" t="str">
        <f t="array" aca="1" ref="J64" ca="1">IFERROR(IF(OR(COUNTIF(INDIRECT("数出表_Excel!"&amp;P64&amp;"3"),"*キャラ*"),
COUNTIF(INDIRECT("数出表_Excel!"&amp;P64&amp;"3"),"*赤*")),
IF(COUNTIF(A64,"*雙葉*"),INDIRECT("数出表_Excel!"&amp;P64&amp;"3"),
INDIRECT("数出表_Excel!"&amp;P64&amp;"3")
&amp;"　"&amp;INDIRECT("数出表_Excel!"&amp;P64&amp;"4")
&amp;INDIRECT("数出表_Excel!"&amp;P64&amp;"5")),
INDIRECT("数出表_Excel!"&amp;P64&amp;"3")),"")</f>
        <v/>
      </c>
      <c r="K64" t="str">
        <f t="array" aca="1" ref="K64" ca="1">IFERROR(IF(OR(COUNTIF(INDIRECT("数出表_Excel!"&amp;Q64&amp;"3"),"*キャラ*"),
COUNTIF(INDIRECT("数出表_Excel!"&amp;Q64&amp;"3"),"*赤*")),
INDIRECT("数出表_Excel!"&amp;Q64&amp;"3")
&amp;"　"&amp;INDIRECT("数出表_Excel!"&amp;Q64&amp;"4")
&amp;INDIRECT("数出表_Excel!"&amp;Q64&amp;"5"),
INDIRECT("数出表_Excel!"&amp;Q64&amp;"3")),"")</f>
        <v/>
      </c>
      <c r="L64" t="str">
        <f t="array" aca="1" ref="L64" ca="1">IFERROR(IF(OR(COUNTIF(INDIRECT("数出表_Excel!"&amp;R64&amp;"3"),"*キャラ*"),
COUNTIF(INDIRECT("数出表_Excel!"&amp;R64&amp;"3"),"*赤*")),
INDIRECT("数出表_Excel!"&amp;R64&amp;"3")
&amp;"　"&amp;INDIRECT("数出表_Excel!"&amp;R64&amp;"4")
&amp;INDIRECT("数出表_Excel!"&amp;R64&amp;"5"),
INDIRECT("数出表_Excel!"&amp;R64&amp;"3")),"")</f>
        <v/>
      </c>
      <c r="M64" t="str">
        <f t="array" aca="1" ref="M64" ca="1">IFERROR(IF(OR(COUNTIF(INDIRECT("数出表_Excel!"&amp;S64&amp;"3"),"*キャラ*"),
COUNTIF(INDIRECT("数出表_Excel!"&amp;S64&amp;"3"),"*赤*")),
INDIRECT("数出表_Excel!"&amp;S64&amp;"3")
&amp;"　"&amp;INDIRECT("数出表_Excel!"&amp;S64&amp;"4")
&amp;INDIRECT("数出表_Excel!"&amp;S64&amp;"5"),
INDIRECT("数出表_Excel!"&amp;S64&amp;"3")),"")</f>
        <v/>
      </c>
      <c r="N64" t="str">
        <f t="array" aca="1" ref="N64" ca="1">IFERROR(IF(OR(COUNTIF(INDIRECT("数出表_Excel!"&amp;T64&amp;"3"),"*キャラ*"),
COUNTIF(INDIRECT("数出表_Excel!"&amp;T64&amp;"3"),"*赤*")),
INDIRECT("数出表_Excel!"&amp;T64&amp;"3")
&amp;"　"&amp;INDIRECT("数出表_Excel!"&amp;T64&amp;"4")
&amp;INDIRECT("数出表_Excel!"&amp;T64&amp;"5"),
INDIRECT("数出表_Excel!"&amp;T64&amp;"3")),"")</f>
        <v/>
      </c>
      <c r="O64" t="str">
        <f t="array" aca="1" ref="O64" ca="1">IFERROR(IF(OR(COUNTIF(INDIRECT("数出表_Excel!"&amp;U64&amp;"3"),"*キャラ*"),
COUNTIF(INDIRECT("数出表_Excel!"&amp;U64&amp;"3"),"*赤*")),
INDIRECT("数出表_Excel!"&amp;U64&amp;"3")
&amp;"　"&amp;INDIRECT("数出表_Excel!"&amp;U64&amp;"4")
&amp;INDIRECT("数出表_Excel!"&amp;U64&amp;"5"),
INDIRECT("数出表_Excel!"&amp;U64&amp;"3")),"")</f>
        <v/>
      </c>
      <c r="P64" t="str">
        <f t="shared" ca="1" si="8"/>
        <v/>
      </c>
      <c r="Q64" t="str">
        <f t="shared" ca="1" si="9"/>
        <v/>
      </c>
      <c r="R64" t="str">
        <f t="shared" ca="1" si="10"/>
        <v/>
      </c>
      <c r="S64" t="str">
        <f t="shared" ca="1" si="11"/>
        <v/>
      </c>
      <c r="T64" t="str">
        <f t="shared" ca="1" si="12"/>
        <v/>
      </c>
      <c r="U64" t="str">
        <f t="shared" ca="1" si="13"/>
        <v/>
      </c>
      <c r="V64" t="str">
        <f t="shared" ca="1" si="14"/>
        <v/>
      </c>
    </row>
    <row r="65" spans="1:22">
      <c r="A65"/>
      <c r="I65">
        <f t="shared" si="15"/>
        <v>135</v>
      </c>
      <c r="J65" t="str">
        <f t="array" aca="1" ref="J65" ca="1">IFERROR(IF(OR(COUNTIF(INDIRECT("数出表_Excel!"&amp;P65&amp;"3"),"*キャラ*"),
COUNTIF(INDIRECT("数出表_Excel!"&amp;P65&amp;"3"),"*赤*")),
IF(COUNTIF(A65,"*雙葉*"),INDIRECT("数出表_Excel!"&amp;P65&amp;"3"),
INDIRECT("数出表_Excel!"&amp;P65&amp;"3")
&amp;"　"&amp;INDIRECT("数出表_Excel!"&amp;P65&amp;"4")
&amp;INDIRECT("数出表_Excel!"&amp;P65&amp;"5")),
INDIRECT("数出表_Excel!"&amp;P65&amp;"3")),"")</f>
        <v/>
      </c>
      <c r="K65" t="str">
        <f t="array" aca="1" ref="K65" ca="1">IFERROR(IF(OR(COUNTIF(INDIRECT("数出表_Excel!"&amp;Q65&amp;"3"),"*キャラ*"),
COUNTIF(INDIRECT("数出表_Excel!"&amp;Q65&amp;"3"),"*赤*")),
INDIRECT("数出表_Excel!"&amp;Q65&amp;"3")
&amp;"　"&amp;INDIRECT("数出表_Excel!"&amp;Q65&amp;"4")
&amp;INDIRECT("数出表_Excel!"&amp;Q65&amp;"5"),
INDIRECT("数出表_Excel!"&amp;Q65&amp;"3")),"")</f>
        <v/>
      </c>
      <c r="L65" t="str">
        <f t="array" aca="1" ref="L65" ca="1">IFERROR(IF(OR(COUNTIF(INDIRECT("数出表_Excel!"&amp;R65&amp;"3"),"*キャラ*"),
COUNTIF(INDIRECT("数出表_Excel!"&amp;R65&amp;"3"),"*赤*")),
INDIRECT("数出表_Excel!"&amp;R65&amp;"3")
&amp;"　"&amp;INDIRECT("数出表_Excel!"&amp;R65&amp;"4")
&amp;INDIRECT("数出表_Excel!"&amp;R65&amp;"5"),
INDIRECT("数出表_Excel!"&amp;R65&amp;"3")),"")</f>
        <v/>
      </c>
      <c r="M65" t="str">
        <f t="array" aca="1" ref="M65" ca="1">IFERROR(IF(OR(COUNTIF(INDIRECT("数出表_Excel!"&amp;S65&amp;"3"),"*キャラ*"),
COUNTIF(INDIRECT("数出表_Excel!"&amp;S65&amp;"3"),"*赤*")),
INDIRECT("数出表_Excel!"&amp;S65&amp;"3")
&amp;"　"&amp;INDIRECT("数出表_Excel!"&amp;S65&amp;"4")
&amp;INDIRECT("数出表_Excel!"&amp;S65&amp;"5"),
INDIRECT("数出表_Excel!"&amp;S65&amp;"3")),"")</f>
        <v/>
      </c>
      <c r="N65" t="str">
        <f t="array" aca="1" ref="N65" ca="1">IFERROR(IF(OR(COUNTIF(INDIRECT("数出表_Excel!"&amp;T65&amp;"3"),"*キャラ*"),
COUNTIF(INDIRECT("数出表_Excel!"&amp;T65&amp;"3"),"*赤*")),
INDIRECT("数出表_Excel!"&amp;T65&amp;"3")
&amp;"　"&amp;INDIRECT("数出表_Excel!"&amp;T65&amp;"4")
&amp;INDIRECT("数出表_Excel!"&amp;T65&amp;"5"),
INDIRECT("数出表_Excel!"&amp;T65&amp;"3")),"")</f>
        <v/>
      </c>
      <c r="O65" t="str">
        <f t="array" aca="1" ref="O65" ca="1">IFERROR(IF(OR(COUNTIF(INDIRECT("数出表_Excel!"&amp;U65&amp;"3"),"*キャラ*"),
COUNTIF(INDIRECT("数出表_Excel!"&amp;U65&amp;"3"),"*赤*")),
INDIRECT("数出表_Excel!"&amp;U65&amp;"3")
&amp;"　"&amp;INDIRECT("数出表_Excel!"&amp;U65&amp;"4")
&amp;INDIRECT("数出表_Excel!"&amp;U65&amp;"5"),
INDIRECT("数出表_Excel!"&amp;U65&amp;"3")),"")</f>
        <v/>
      </c>
      <c r="P65" t="str">
        <f t="shared" ref="P65:P70" ca="1" si="16">IFERROR(
SUBSTITUTE(ADDRESS(1,
IFERROR(COLUMN(INDEX(INDIRECT("数出表_Excel!B"&amp;$I65-1&amp;":T"&amp;$I65-1&amp;""),1,MATCH(TEXT(B65,0),INDIRECT("数出表_Excel!B"&amp;$I65-1&amp;":T"&amp;$I65-1&amp;""),0))),""),4),"1",""),
"")</f>
        <v/>
      </c>
      <c r="Q65" t="str">
        <f t="shared" ref="Q65:Q70" ca="1" si="17">IFERROR(
SUBSTITUTE(ADDRESS(1,
IFERROR(COLUMN(INDEX(INDIRECT("数出表_Excel!B"&amp;$I65-1&amp;":T"&amp;$I65-1&amp;""),1,MATCH(TEXT(C65,0),INDIRECT("数出表_Excel!B"&amp;$I65-1&amp;":T"&amp;$I65-1&amp;""),0))),""),4),"1",""),
"")</f>
        <v/>
      </c>
      <c r="R65" t="str">
        <f t="shared" ref="R65:R70" ca="1" si="18">IFERROR(
SUBSTITUTE(ADDRESS(1,
IFERROR(COLUMN(INDEX(INDIRECT("数出表_Excel!B"&amp;$I65-1&amp;":T"&amp;$I65-1&amp;""),1,MATCH(TEXT(D65,0),INDIRECT("数出表_Excel!B"&amp;$I65-1&amp;":T"&amp;$I65-1&amp;""),0))),""),4),"1",""),
"")</f>
        <v/>
      </c>
      <c r="S65" t="str">
        <f t="shared" ref="S65:S70" ca="1" si="19">IFERROR(
SUBSTITUTE(ADDRESS(1,
IFERROR(COLUMN(INDEX(INDIRECT("数出表_Excel!B"&amp;$I65&amp;":T"&amp;$I65&amp;""),1,MATCH(TEXT(E65,0),INDIRECT("数出表_Excel!B"&amp;$I65&amp;":T"&amp;$I65&amp;""),0))),""),4),"1",""),
"")</f>
        <v/>
      </c>
      <c r="T65" t="str">
        <f t="shared" ref="T65:T70" ca="1" si="20">IFERROR(
SUBSTITUTE(ADDRESS(1,
IFERROR(COLUMN(INDEX(INDIRECT("数出表_Excel!B"&amp;$I65&amp;":T"&amp;$I65&amp;""),1,MATCH(TEXT(F65,0),INDIRECT("数出表_Excel!B"&amp;$I65&amp;":T"&amp;$I65&amp;""),0))),""),4),"1",""),
"")</f>
        <v/>
      </c>
      <c r="U65" t="str">
        <f t="shared" ref="U65:U70" ca="1" si="21">IFERROR(
SUBSTITUTE(ADDRESS(1,
IFERROR(COLUMN(INDEX(INDIRECT("数出表_Excel!B"&amp;$I65&amp;":T"&amp;$I65&amp;""),1,MATCH(TEXT(G65,0),INDIRECT("数出表_Excel!B"&amp;$I65&amp;":T"&amp;$I65&amp;""),0))),""),4),"1",""),
"")</f>
        <v/>
      </c>
      <c r="V65" t="str">
        <f t="shared" ref="V65:V96" ca="1" si="22">TRIM(SUBSTITUTE(
IF(COUNTIF(P65:U65,"A")&gt;0,"A ","")&amp;
IF(COUNTIF(P65:U65,"B")&gt;0,"B ","")&amp;
IF(COUNTIF(P65:U65,"C")&gt;0,"C ","")&amp;
IF(COUNTIF(P65:U65,"D")&gt;0,"D ","")&amp;
IF(COUNTIF(P65:U65,"E")&gt;0,"E ","")&amp;
IF(COUNTIF(P65:U65,"F")&gt;0,"F ","")&amp;
IF(COUNTIF(P65:U65,"G")&gt;0,"G ","")&amp;
IF(COUNTIF(P65:U65,"H")&gt;0,"H ","")&amp;
IF(COUNTIF(P65:U65,"I")&gt;0,"I ","")&amp;
IF(COUNTIF(P65:U65,"J")&gt;0,"J ","")&amp;
IF(COUNTIF(P65:U65,"K")&gt;0,"K ","")&amp;
IF(COUNTIF(P65:U65,"L")&gt;0,"L ","")&amp;
IF(COUNTIF(P65:U65,"M")&gt;0,"M ","")&amp;
IF(COUNTIF(P65:U65,"N")&gt;0,"N ","")&amp;
IF(COUNTIF(P65:U65,"O")&gt;0,"O ","")&amp;
IF(COUNTIF(P65:U65,"P")&gt;0,"P ","")&amp;
IF(COUNTIF(P65:U65,"Q")&gt;0,"Q ","")&amp;
IF(COUNTIF(P65:U65,"R")&gt;0,"R ","")&amp;
IF(COUNTIF(P65:U65,"S")&gt;0,"S ","")&amp;
IF(COUNTIF(P65:U65,"T")&gt;0,"T ","")&amp;
IF(COUNTIF(P65:U65,"U")&gt;0,"U ","")&amp;
IF(COUNTIF(P65:U65,"V")&gt;0,"V ","")&amp;
IF(COUNTIF(P65:U65,"W")&gt;0,"W ","")&amp;
IF(COUNTIF(P65:U65,"X")&gt;0,"X ","")&amp;
IF(COUNTIF(P65:U65,"Y")&gt;0,"Y ","")&amp;
IF(COUNTIF(P65:U65,"Z")&gt;0,"Z ","")," ",","))</f>
        <v/>
      </c>
    </row>
    <row r="66" spans="1:22">
      <c r="A66"/>
      <c r="I66">
        <f t="shared" si="15"/>
        <v>137</v>
      </c>
      <c r="J66" t="str">
        <f t="array" aca="1" ref="J66" ca="1">IFERROR(IF(OR(COUNTIF(INDIRECT("数出表_Excel!"&amp;P66&amp;"3"),"*キャラ*"),
COUNTIF(INDIRECT("数出表_Excel!"&amp;P66&amp;"3"),"*赤*")),
IF(COUNTIF(A66,"*雙葉*"),INDIRECT("数出表_Excel!"&amp;P66&amp;"3"),
INDIRECT("数出表_Excel!"&amp;P66&amp;"3")
&amp;"　"&amp;INDIRECT("数出表_Excel!"&amp;P66&amp;"4")
&amp;INDIRECT("数出表_Excel!"&amp;P66&amp;"5")),
INDIRECT("数出表_Excel!"&amp;P66&amp;"3")),"")</f>
        <v/>
      </c>
      <c r="K66" t="str">
        <f t="array" aca="1" ref="K66" ca="1">IFERROR(IF(OR(COUNTIF(INDIRECT("数出表_Excel!"&amp;Q66&amp;"3"),"*キャラ*"),
COUNTIF(INDIRECT("数出表_Excel!"&amp;Q66&amp;"3"),"*赤*")),
INDIRECT("数出表_Excel!"&amp;Q66&amp;"3")
&amp;"　"&amp;INDIRECT("数出表_Excel!"&amp;Q66&amp;"4")
&amp;INDIRECT("数出表_Excel!"&amp;Q66&amp;"5"),
INDIRECT("数出表_Excel!"&amp;Q66&amp;"3")),"")</f>
        <v/>
      </c>
      <c r="L66" t="str">
        <f t="array" aca="1" ref="L66" ca="1">IFERROR(IF(OR(COUNTIF(INDIRECT("数出表_Excel!"&amp;R66&amp;"3"),"*キャラ*"),
COUNTIF(INDIRECT("数出表_Excel!"&amp;R66&amp;"3"),"*赤*")),
INDIRECT("数出表_Excel!"&amp;R66&amp;"3")
&amp;"　"&amp;INDIRECT("数出表_Excel!"&amp;R66&amp;"4")
&amp;INDIRECT("数出表_Excel!"&amp;R66&amp;"5"),
INDIRECT("数出表_Excel!"&amp;R66&amp;"3")),"")</f>
        <v/>
      </c>
      <c r="M66" t="str">
        <f t="array" aca="1" ref="M66" ca="1">IFERROR(IF(OR(COUNTIF(INDIRECT("数出表_Excel!"&amp;S66&amp;"3"),"*キャラ*"),
COUNTIF(INDIRECT("数出表_Excel!"&amp;S66&amp;"3"),"*赤*")),
INDIRECT("数出表_Excel!"&amp;S66&amp;"3")
&amp;"　"&amp;INDIRECT("数出表_Excel!"&amp;S66&amp;"4")
&amp;INDIRECT("数出表_Excel!"&amp;S66&amp;"5"),
INDIRECT("数出表_Excel!"&amp;S66&amp;"3")),"")</f>
        <v/>
      </c>
      <c r="N66" t="str">
        <f t="array" aca="1" ref="N66" ca="1">IFERROR(IF(OR(COUNTIF(INDIRECT("数出表_Excel!"&amp;T66&amp;"3"),"*キャラ*"),
COUNTIF(INDIRECT("数出表_Excel!"&amp;T66&amp;"3"),"*赤*")),
INDIRECT("数出表_Excel!"&amp;T66&amp;"3")
&amp;"　"&amp;INDIRECT("数出表_Excel!"&amp;T66&amp;"4")
&amp;INDIRECT("数出表_Excel!"&amp;T66&amp;"5"),
INDIRECT("数出表_Excel!"&amp;T66&amp;"3")),"")</f>
        <v/>
      </c>
      <c r="O66" t="str">
        <f t="array" aca="1" ref="O66" ca="1">IFERROR(IF(OR(COUNTIF(INDIRECT("数出表_Excel!"&amp;U66&amp;"3"),"*キャラ*"),
COUNTIF(INDIRECT("数出表_Excel!"&amp;U66&amp;"3"),"*赤*")),
INDIRECT("数出表_Excel!"&amp;U66&amp;"3")
&amp;"　"&amp;INDIRECT("数出表_Excel!"&amp;U66&amp;"4")
&amp;INDIRECT("数出表_Excel!"&amp;U66&amp;"5"),
INDIRECT("数出表_Excel!"&amp;U66&amp;"3")),"")</f>
        <v/>
      </c>
      <c r="P66" t="str">
        <f t="shared" ca="1" si="16"/>
        <v/>
      </c>
      <c r="Q66" t="str">
        <f t="shared" ca="1" si="17"/>
        <v/>
      </c>
      <c r="R66" t="str">
        <f t="shared" ca="1" si="18"/>
        <v/>
      </c>
      <c r="S66" t="str">
        <f t="shared" ca="1" si="19"/>
        <v/>
      </c>
      <c r="T66" t="str">
        <f t="shared" ca="1" si="20"/>
        <v/>
      </c>
      <c r="U66" t="str">
        <f t="shared" ca="1" si="21"/>
        <v/>
      </c>
      <c r="V66" t="str">
        <f t="shared" ca="1" si="22"/>
        <v/>
      </c>
    </row>
    <row r="67" spans="1:22">
      <c r="A67"/>
      <c r="I67">
        <f t="shared" si="15"/>
        <v>139</v>
      </c>
      <c r="J67" t="str">
        <f t="array" aca="1" ref="J67" ca="1">IFERROR(IF(OR(COUNTIF(INDIRECT("数出表_Excel!"&amp;P67&amp;"3"),"*キャラ*"),
COUNTIF(INDIRECT("数出表_Excel!"&amp;P67&amp;"3"),"*赤*")),
IF(COUNTIF(A67,"*雙葉*"),INDIRECT("数出表_Excel!"&amp;P67&amp;"3"),
INDIRECT("数出表_Excel!"&amp;P67&amp;"3")
&amp;"　"&amp;INDIRECT("数出表_Excel!"&amp;P67&amp;"4")
&amp;INDIRECT("数出表_Excel!"&amp;P67&amp;"5")),
INDIRECT("数出表_Excel!"&amp;P67&amp;"3")),"")</f>
        <v/>
      </c>
      <c r="K67" t="str">
        <f t="array" aca="1" ref="K67" ca="1">IFERROR(IF(OR(COUNTIF(INDIRECT("数出表_Excel!"&amp;Q67&amp;"3"),"*キャラ*"),
COUNTIF(INDIRECT("数出表_Excel!"&amp;Q67&amp;"3"),"*赤*")),
INDIRECT("数出表_Excel!"&amp;Q67&amp;"3")
&amp;"　"&amp;INDIRECT("数出表_Excel!"&amp;Q67&amp;"4")
&amp;INDIRECT("数出表_Excel!"&amp;Q67&amp;"5"),
INDIRECT("数出表_Excel!"&amp;Q67&amp;"3")),"")</f>
        <v/>
      </c>
      <c r="L67" t="str">
        <f t="array" aca="1" ref="L67" ca="1">IFERROR(IF(OR(COUNTIF(INDIRECT("数出表_Excel!"&amp;R67&amp;"3"),"*キャラ*"),
COUNTIF(INDIRECT("数出表_Excel!"&amp;R67&amp;"3"),"*赤*")),
INDIRECT("数出表_Excel!"&amp;R67&amp;"3")
&amp;"　"&amp;INDIRECT("数出表_Excel!"&amp;R67&amp;"4")
&amp;INDIRECT("数出表_Excel!"&amp;R67&amp;"5"),
INDIRECT("数出表_Excel!"&amp;R67&amp;"3")),"")</f>
        <v/>
      </c>
      <c r="M67" t="str">
        <f t="array" aca="1" ref="M67" ca="1">IFERROR(IF(OR(COUNTIF(INDIRECT("数出表_Excel!"&amp;S67&amp;"3"),"*キャラ*"),
COUNTIF(INDIRECT("数出表_Excel!"&amp;S67&amp;"3"),"*赤*")),
INDIRECT("数出表_Excel!"&amp;S67&amp;"3")
&amp;"　"&amp;INDIRECT("数出表_Excel!"&amp;S67&amp;"4")
&amp;INDIRECT("数出表_Excel!"&amp;S67&amp;"5"),
INDIRECT("数出表_Excel!"&amp;S67&amp;"3")),"")</f>
        <v/>
      </c>
      <c r="N67" t="str">
        <f t="array" aca="1" ref="N67" ca="1">IFERROR(IF(OR(COUNTIF(INDIRECT("数出表_Excel!"&amp;T67&amp;"3"),"*キャラ*"),
COUNTIF(INDIRECT("数出表_Excel!"&amp;T67&amp;"3"),"*赤*")),
INDIRECT("数出表_Excel!"&amp;T67&amp;"3")
&amp;"　"&amp;INDIRECT("数出表_Excel!"&amp;T67&amp;"4")
&amp;INDIRECT("数出表_Excel!"&amp;T67&amp;"5"),
INDIRECT("数出表_Excel!"&amp;T67&amp;"3")),"")</f>
        <v/>
      </c>
      <c r="O67" t="str">
        <f t="array" aca="1" ref="O67" ca="1">IFERROR(IF(OR(COUNTIF(INDIRECT("数出表_Excel!"&amp;U67&amp;"3"),"*キャラ*"),
COUNTIF(INDIRECT("数出表_Excel!"&amp;U67&amp;"3"),"*赤*")),
INDIRECT("数出表_Excel!"&amp;U67&amp;"3")
&amp;"　"&amp;INDIRECT("数出表_Excel!"&amp;U67&amp;"4")
&amp;INDIRECT("数出表_Excel!"&amp;U67&amp;"5"),
INDIRECT("数出表_Excel!"&amp;U67&amp;"3")),"")</f>
        <v/>
      </c>
      <c r="P67" t="str">
        <f t="shared" ca="1" si="16"/>
        <v/>
      </c>
      <c r="Q67" t="str">
        <f t="shared" ca="1" si="17"/>
        <v/>
      </c>
      <c r="R67" t="str">
        <f t="shared" ca="1" si="18"/>
        <v/>
      </c>
      <c r="S67" t="str">
        <f t="shared" ca="1" si="19"/>
        <v/>
      </c>
      <c r="T67" t="str">
        <f t="shared" ca="1" si="20"/>
        <v/>
      </c>
      <c r="U67" t="str">
        <f t="shared" ca="1" si="21"/>
        <v/>
      </c>
      <c r="V67" t="str">
        <f t="shared" ca="1" si="22"/>
        <v/>
      </c>
    </row>
    <row r="68" spans="1:22">
      <c r="I68">
        <f t="shared" si="15"/>
        <v>141</v>
      </c>
      <c r="J68" t="str">
        <f t="array" aca="1" ref="J68" ca="1">IFERROR(IF(OR(COUNTIF(INDIRECT("数出表_Excel!"&amp;P68&amp;"3"),"*キャラ*"),
COUNTIF(INDIRECT("数出表_Excel!"&amp;P68&amp;"3"),"*赤*")),
IF(COUNTIF(A68,"*雙葉*"),INDIRECT("数出表_Excel!"&amp;P68&amp;"3"),
INDIRECT("数出表_Excel!"&amp;P68&amp;"3")
&amp;"　"&amp;INDIRECT("数出表_Excel!"&amp;P68&amp;"4")
&amp;INDIRECT("数出表_Excel!"&amp;P68&amp;"5")),
INDIRECT("数出表_Excel!"&amp;P68&amp;"3")),"")</f>
        <v/>
      </c>
      <c r="K68" t="str">
        <f t="array" aca="1" ref="K68" ca="1">IFERROR(IF(OR(COUNTIF(INDIRECT("数出表_Excel!"&amp;Q68&amp;"3"),"*キャラ*"),
COUNTIF(INDIRECT("数出表_Excel!"&amp;Q68&amp;"3"),"*赤*")),
INDIRECT("数出表_Excel!"&amp;Q68&amp;"3")
&amp;"　"&amp;INDIRECT("数出表_Excel!"&amp;Q68&amp;"4")
&amp;INDIRECT("数出表_Excel!"&amp;Q68&amp;"5"),
INDIRECT("数出表_Excel!"&amp;Q68&amp;"3")),"")</f>
        <v/>
      </c>
      <c r="L68" t="str">
        <f t="array" aca="1" ref="L68" ca="1">IFERROR(IF(OR(COUNTIF(INDIRECT("数出表_Excel!"&amp;R68&amp;"3"),"*キャラ*"),
COUNTIF(INDIRECT("数出表_Excel!"&amp;R68&amp;"3"),"*赤*")),
INDIRECT("数出表_Excel!"&amp;R68&amp;"3")
&amp;"　"&amp;INDIRECT("数出表_Excel!"&amp;R68&amp;"4")
&amp;INDIRECT("数出表_Excel!"&amp;R68&amp;"5"),
INDIRECT("数出表_Excel!"&amp;R68&amp;"3")),"")</f>
        <v/>
      </c>
      <c r="M68" t="str">
        <f t="array" aca="1" ref="M68" ca="1">IFERROR(IF(OR(COUNTIF(INDIRECT("数出表_Excel!"&amp;S68&amp;"3"),"*キャラ*"),
COUNTIF(INDIRECT("数出表_Excel!"&amp;S68&amp;"3"),"*赤*")),
INDIRECT("数出表_Excel!"&amp;S68&amp;"3")
&amp;"　"&amp;INDIRECT("数出表_Excel!"&amp;S68&amp;"4")
&amp;INDIRECT("数出表_Excel!"&amp;S68&amp;"5"),
INDIRECT("数出表_Excel!"&amp;S68&amp;"3")),"")</f>
        <v/>
      </c>
      <c r="N68" t="str">
        <f t="array" aca="1" ref="N68" ca="1">IFERROR(IF(OR(COUNTIF(INDIRECT("数出表_Excel!"&amp;T68&amp;"3"),"*キャラ*"),
COUNTIF(INDIRECT("数出表_Excel!"&amp;T68&amp;"3"),"*赤*")),
INDIRECT("数出表_Excel!"&amp;T68&amp;"3")
&amp;"　"&amp;INDIRECT("数出表_Excel!"&amp;T68&amp;"4")
&amp;INDIRECT("数出表_Excel!"&amp;T68&amp;"5"),
INDIRECT("数出表_Excel!"&amp;T68&amp;"3")),"")</f>
        <v/>
      </c>
      <c r="O68" t="str">
        <f t="array" aca="1" ref="O68" ca="1">IFERROR(IF(OR(COUNTIF(INDIRECT("数出表_Excel!"&amp;U68&amp;"3"),"*キャラ*"),
COUNTIF(INDIRECT("数出表_Excel!"&amp;U68&amp;"3"),"*赤*")),
INDIRECT("数出表_Excel!"&amp;U68&amp;"3")
&amp;"　"&amp;INDIRECT("数出表_Excel!"&amp;U68&amp;"4")
&amp;INDIRECT("数出表_Excel!"&amp;U68&amp;"5"),
INDIRECT("数出表_Excel!"&amp;U68&amp;"3")),"")</f>
        <v/>
      </c>
      <c r="P68" t="str">
        <f t="shared" ca="1" si="16"/>
        <v/>
      </c>
      <c r="Q68" t="str">
        <f t="shared" ca="1" si="17"/>
        <v/>
      </c>
      <c r="R68" t="str">
        <f t="shared" ca="1" si="18"/>
        <v/>
      </c>
      <c r="S68" t="str">
        <f t="shared" ca="1" si="19"/>
        <v/>
      </c>
      <c r="T68" t="str">
        <f t="shared" ca="1" si="20"/>
        <v/>
      </c>
      <c r="U68" t="str">
        <f t="shared" ca="1" si="21"/>
        <v/>
      </c>
      <c r="V68" t="str">
        <f t="shared" ca="1" si="22"/>
        <v/>
      </c>
    </row>
    <row r="69" spans="1:22">
      <c r="I69">
        <f t="shared" si="15"/>
        <v>143</v>
      </c>
      <c r="J69" t="str">
        <f t="array" aca="1" ref="J69" ca="1">IFERROR(IF(OR(COUNTIF(INDIRECT("数出表_Excel!"&amp;P69&amp;"3"),"*キャラ*"),
COUNTIF(INDIRECT("数出表_Excel!"&amp;P69&amp;"3"),"*赤*")),
IF(COUNTIF(A69,"*雙葉*"),INDIRECT("数出表_Excel!"&amp;P69&amp;"3"),
INDIRECT("数出表_Excel!"&amp;P69&amp;"3")
&amp;"　"&amp;INDIRECT("数出表_Excel!"&amp;P69&amp;"4")
&amp;INDIRECT("数出表_Excel!"&amp;P69&amp;"5")),
INDIRECT("数出表_Excel!"&amp;P69&amp;"3")),"")</f>
        <v/>
      </c>
      <c r="K69" t="str">
        <f t="array" aca="1" ref="K69" ca="1">IFERROR(IF(OR(COUNTIF(INDIRECT("数出表_Excel!"&amp;Q69&amp;"3"),"*キャラ*"),
COUNTIF(INDIRECT("数出表_Excel!"&amp;Q69&amp;"3"),"*赤*")),
INDIRECT("数出表_Excel!"&amp;Q69&amp;"3")
&amp;"　"&amp;INDIRECT("数出表_Excel!"&amp;Q69&amp;"4")
&amp;INDIRECT("数出表_Excel!"&amp;Q69&amp;"5"),
INDIRECT("数出表_Excel!"&amp;Q69&amp;"3")),"")</f>
        <v/>
      </c>
      <c r="L69" t="str">
        <f t="array" aca="1" ref="L69" ca="1">IFERROR(IF(OR(COUNTIF(INDIRECT("数出表_Excel!"&amp;R69&amp;"3"),"*キャラ*"),
COUNTIF(INDIRECT("数出表_Excel!"&amp;R69&amp;"3"),"*赤*")),
INDIRECT("数出表_Excel!"&amp;R69&amp;"3")
&amp;"　"&amp;INDIRECT("数出表_Excel!"&amp;R69&amp;"4")
&amp;INDIRECT("数出表_Excel!"&amp;R69&amp;"5"),
INDIRECT("数出表_Excel!"&amp;R69&amp;"3")),"")</f>
        <v/>
      </c>
      <c r="M69" t="str">
        <f t="array" aca="1" ref="M69" ca="1">IFERROR(IF(OR(COUNTIF(INDIRECT("数出表_Excel!"&amp;S69&amp;"3"),"*キャラ*"),
COUNTIF(INDIRECT("数出表_Excel!"&amp;S69&amp;"3"),"*赤*")),
INDIRECT("数出表_Excel!"&amp;S69&amp;"3")
&amp;"　"&amp;INDIRECT("数出表_Excel!"&amp;S69&amp;"4")
&amp;INDIRECT("数出表_Excel!"&amp;S69&amp;"5"),
INDIRECT("数出表_Excel!"&amp;S69&amp;"3")),"")</f>
        <v/>
      </c>
      <c r="N69" t="str">
        <f t="array" aca="1" ref="N69" ca="1">IFERROR(IF(OR(COUNTIF(INDIRECT("数出表_Excel!"&amp;T69&amp;"3"),"*キャラ*"),
COUNTIF(INDIRECT("数出表_Excel!"&amp;T69&amp;"3"),"*赤*")),
INDIRECT("数出表_Excel!"&amp;T69&amp;"3")
&amp;"　"&amp;INDIRECT("数出表_Excel!"&amp;T69&amp;"4")
&amp;INDIRECT("数出表_Excel!"&amp;T69&amp;"5"),
INDIRECT("数出表_Excel!"&amp;T69&amp;"3")),"")</f>
        <v/>
      </c>
      <c r="O69" t="str">
        <f t="array" aca="1" ref="O69" ca="1">IFERROR(IF(OR(COUNTIF(INDIRECT("数出表_Excel!"&amp;U69&amp;"3"),"*キャラ*"),
COUNTIF(INDIRECT("数出表_Excel!"&amp;U69&amp;"3"),"*赤*")),
INDIRECT("数出表_Excel!"&amp;U69&amp;"3")
&amp;"　"&amp;INDIRECT("数出表_Excel!"&amp;U69&amp;"4")
&amp;INDIRECT("数出表_Excel!"&amp;U69&amp;"5"),
INDIRECT("数出表_Excel!"&amp;U69&amp;"3")),"")</f>
        <v/>
      </c>
      <c r="P69" t="str">
        <f t="shared" ca="1" si="16"/>
        <v/>
      </c>
      <c r="Q69" t="str">
        <f t="shared" ca="1" si="17"/>
        <v/>
      </c>
      <c r="R69" t="str">
        <f t="shared" ca="1" si="18"/>
        <v/>
      </c>
      <c r="S69" t="str">
        <f t="shared" ca="1" si="19"/>
        <v/>
      </c>
      <c r="T69" t="str">
        <f t="shared" ca="1" si="20"/>
        <v/>
      </c>
      <c r="U69" t="str">
        <f t="shared" ca="1" si="21"/>
        <v/>
      </c>
      <c r="V69" t="str">
        <f t="shared" ca="1" si="22"/>
        <v/>
      </c>
    </row>
    <row r="70" spans="1:22" s="79" customFormat="1">
      <c r="H70" s="78"/>
      <c r="I70" s="79">
        <f t="shared" si="15"/>
        <v>145</v>
      </c>
      <c r="J70" s="79" t="str">
        <f t="array" aca="1" ref="J70" ca="1">IFERROR(IF(OR(COUNTIF(INDIRECT("数出表_Excel!"&amp;P70&amp;"3"),"*キャラ*"),
COUNTIF(INDIRECT("数出表_Excel!"&amp;P70&amp;"3"),"*赤*")),
IF(COUNTIF(A70,"*雙葉*"),INDIRECT("数出表_Excel!"&amp;P70&amp;"3"),
INDIRECT("数出表_Excel!"&amp;P70&amp;"3")
&amp;"　"&amp;INDIRECT("数出表_Excel!"&amp;P70&amp;"4")
&amp;INDIRECT("数出表_Excel!"&amp;P70&amp;"5")),
INDIRECT("数出表_Excel!"&amp;P70&amp;"3")),"")</f>
        <v/>
      </c>
      <c r="K70" s="79" t="str">
        <f t="array" aca="1" ref="K70" ca="1">IFERROR(IF(OR(COUNTIF(INDIRECT("数出表_Excel!"&amp;Q70&amp;"3"),"*キャラ*"),
COUNTIF(INDIRECT("数出表_Excel!"&amp;Q70&amp;"3"),"*赤*")),
INDIRECT("数出表_Excel!"&amp;Q70&amp;"3")
&amp;"　"&amp;INDIRECT("数出表_Excel!"&amp;Q70&amp;"4")
&amp;INDIRECT("数出表_Excel!"&amp;Q70&amp;"5"),
INDIRECT("数出表_Excel!"&amp;Q70&amp;"3")),"")</f>
        <v/>
      </c>
      <c r="L70" s="79" t="str">
        <f t="array" aca="1" ref="L70" ca="1">IFERROR(IF(OR(COUNTIF(INDIRECT("数出表_Excel!"&amp;R70&amp;"3"),"*キャラ*"),
COUNTIF(INDIRECT("数出表_Excel!"&amp;R70&amp;"3"),"*赤*")),
INDIRECT("数出表_Excel!"&amp;R70&amp;"3")
&amp;"　"&amp;INDIRECT("数出表_Excel!"&amp;R70&amp;"4")
&amp;INDIRECT("数出表_Excel!"&amp;R70&amp;"5"),
INDIRECT("数出表_Excel!"&amp;R70&amp;"3")),"")</f>
        <v/>
      </c>
      <c r="M70" s="79" t="str">
        <f t="array" aca="1" ref="M70" ca="1">IFERROR(IF(OR(COUNTIF(INDIRECT("数出表_Excel!"&amp;S70&amp;"3"),"*キャラ*"),
COUNTIF(INDIRECT("数出表_Excel!"&amp;S70&amp;"3"),"*赤*")),
INDIRECT("数出表_Excel!"&amp;S70&amp;"3")
&amp;"　"&amp;INDIRECT("数出表_Excel!"&amp;S70&amp;"4")
&amp;INDIRECT("数出表_Excel!"&amp;S70&amp;"5"),
INDIRECT("数出表_Excel!"&amp;S70&amp;"3")),"")</f>
        <v/>
      </c>
      <c r="N70" s="79" t="str">
        <f t="array" aca="1" ref="N70" ca="1">IFERROR(IF(OR(COUNTIF(INDIRECT("数出表_Excel!"&amp;T70&amp;"3"),"*キャラ*"),
COUNTIF(INDIRECT("数出表_Excel!"&amp;T70&amp;"3"),"*赤*")),
INDIRECT("数出表_Excel!"&amp;T70&amp;"3")
&amp;"　"&amp;INDIRECT("数出表_Excel!"&amp;T70&amp;"4")
&amp;INDIRECT("数出表_Excel!"&amp;T70&amp;"5"),
INDIRECT("数出表_Excel!"&amp;T70&amp;"3")),"")</f>
        <v/>
      </c>
      <c r="O70" s="79" t="str">
        <f t="array" aca="1" ref="O70" ca="1">IFERROR(IF(OR(COUNTIF(INDIRECT("数出表_Excel!"&amp;U70&amp;"3"),"*キャラ*"),
COUNTIF(INDIRECT("数出表_Excel!"&amp;U70&amp;"3"),"*赤*")),
INDIRECT("数出表_Excel!"&amp;U70&amp;"3")
&amp;"　"&amp;INDIRECT("数出表_Excel!"&amp;U70&amp;"4")
&amp;INDIRECT("数出表_Excel!"&amp;U70&amp;"5"),
INDIRECT("数出表_Excel!"&amp;U70&amp;"3")),"")</f>
        <v/>
      </c>
      <c r="P70" s="79" t="str">
        <f t="shared" ca="1" si="16"/>
        <v/>
      </c>
      <c r="Q70" s="79" t="str">
        <f t="shared" ca="1" si="17"/>
        <v/>
      </c>
      <c r="R70" s="79" t="str">
        <f t="shared" ca="1" si="18"/>
        <v/>
      </c>
      <c r="S70" s="79" t="str">
        <f t="shared" ca="1" si="19"/>
        <v/>
      </c>
      <c r="T70" s="79" t="str">
        <f t="shared" ca="1" si="20"/>
        <v/>
      </c>
      <c r="U70" s="79" t="str">
        <f t="shared" ca="1" si="21"/>
        <v/>
      </c>
      <c r="V70" s="79" t="str">
        <f t="shared" ca="1" si="22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"/>
  <sheetViews>
    <sheetView zoomScale="60" zoomScaleNormal="60" workbookViewId="0">
      <selection sqref="A1:XFD1048576"/>
    </sheetView>
  </sheetViews>
  <sheetFormatPr defaultRowHeight="18"/>
  <sheetData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pageSetUpPr fitToPage="1"/>
  </sheetPr>
  <dimension ref="A1:W147"/>
  <sheetViews>
    <sheetView topLeftCell="A66" zoomScale="60" zoomScaleNormal="60" workbookViewId="0">
      <selection activeCell="V88" sqref="V88"/>
    </sheetView>
  </sheetViews>
  <sheetFormatPr defaultRowHeight="18"/>
  <cols>
    <col min="1" max="1" width="26.69921875" style="180" customWidth="1"/>
    <col min="2" max="11" width="8.796875" style="28" customWidth="1"/>
    <col min="12" max="20" width="11.3984375" style="29" customWidth="1"/>
    <col min="21" max="21" width="11.3984375" style="29" hidden="1" customWidth="1"/>
    <col min="22" max="22" width="32.796875" style="56" customWidth="1"/>
    <col min="23" max="23" width="27.69921875" style="180" customWidth="1"/>
  </cols>
  <sheetData>
    <row r="1" spans="1:23">
      <c r="A1"/>
      <c r="L1" s="28"/>
      <c r="M1" s="28"/>
      <c r="N1" s="28"/>
      <c r="O1" s="28"/>
      <c r="P1" s="28"/>
      <c r="Q1" s="28"/>
      <c r="R1" s="28" t="str">
        <f t="array" ref="R1">IF(R5&lt;&gt;"",
IF(AND(SUMPRODUCT(--ISNUMBER(SEARCH(LEFT(R5,LEN(R5)-2),SUBSTITUTE(SUBSTITUTE(貼り付け用!$L$3:$Z$3,"　","")," ",""))))&gt;0,
LEN(LEFT(R5,LEN(R5)-2))&gt;2),1,0),"")</f>
        <v/>
      </c>
      <c r="S1" s="28" t="str">
        <f t="array" ref="S1">IF(S5&lt;&gt;"",
IF(AND(SUMPRODUCT(--ISNUMBER(SEARCH(LEFT(S5,LEN(S5)-2),SUBSTITUTE(SUBSTITUTE(貼り付け用!$L$3:$Z$3,"　","")," ",""))))&gt;0,
LEN(LEFT(S5,LEN(S5)-2))&gt;2),1,0),"")</f>
        <v/>
      </c>
      <c r="T1" s="28"/>
      <c r="U1" s="28"/>
      <c r="V1" s="51"/>
      <c r="W1"/>
    </row>
    <row r="2" spans="1:23" s="9" customFormat="1" ht="26.4" customHeight="1">
      <c r="A2" s="9" t="str">
        <f>貼り付け用!A2&amp;"　"&amp;貼り付け用!B2&amp;"　"&amp;貼り付け用!C2</f>
        <v>　　</v>
      </c>
      <c r="B2" s="10"/>
      <c r="C2" s="10"/>
      <c r="D2" s="10"/>
      <c r="E2" s="10"/>
      <c r="F2" s="10"/>
      <c r="G2" s="10"/>
      <c r="H2" s="10"/>
      <c r="I2" s="16" t="s">
        <v>43</v>
      </c>
      <c r="J2" s="16"/>
      <c r="K2" s="16" t="s">
        <v>44</v>
      </c>
      <c r="L2" s="16"/>
      <c r="M2" s="16" t="s">
        <v>43</v>
      </c>
      <c r="N2" s="10"/>
      <c r="O2"/>
      <c r="P2"/>
      <c r="Q2"/>
      <c r="R2" t="s">
        <v>45</v>
      </c>
      <c r="S2"/>
      <c r="T2" t="s">
        <v>46</v>
      </c>
      <c r="U2" t="s">
        <v>46</v>
      </c>
      <c r="V2" s="52" t="str">
        <f>貼り付け用!T2&amp;"　"&amp;貼り付け用!U2&amp;"　"&amp;貼り付け用!V2&amp;"　"&amp;貼り付け用!W2</f>
        <v>　　　</v>
      </c>
    </row>
    <row r="3" spans="1:23">
      <c r="A3" s="4"/>
      <c r="B3" s="98" t="s">
        <v>4</v>
      </c>
      <c r="C3" s="23" t="s">
        <v>4</v>
      </c>
      <c r="D3" s="98" t="s">
        <v>9</v>
      </c>
      <c r="E3" s="24" t="s">
        <v>9</v>
      </c>
      <c r="F3" s="23" t="s">
        <v>9</v>
      </c>
      <c r="G3" s="98" t="s">
        <v>0</v>
      </c>
      <c r="H3" s="24" t="s">
        <v>0</v>
      </c>
      <c r="I3" s="24" t="s">
        <v>0</v>
      </c>
      <c r="J3" s="24" t="s">
        <v>0</v>
      </c>
      <c r="K3" s="23" t="s">
        <v>0</v>
      </c>
      <c r="L3" s="50">
        <f>IF(COUNTIF(注文弁当の抽出!A2,"*おやつ*"),"",注文弁当の抽出!A2)</f>
        <v>0</v>
      </c>
      <c r="M3" s="50">
        <f>IF(L3&lt;&gt;"",IF(COUNTIF(注文弁当の抽出!A3,"*おやつ*"),"",注文弁当の抽出!A3),"")</f>
        <v>0</v>
      </c>
      <c r="N3" s="50">
        <f>IF(M3&lt;&gt;"",IF(COUNTIF(注文弁当の抽出!A4,"*おやつ*"),"",注文弁当の抽出!A4),"")</f>
        <v>0</v>
      </c>
      <c r="O3" s="50">
        <f>IF(N3&lt;&gt;"",IF(COUNTIF(注文弁当の抽出!A5,"*おやつ*"),"",注文弁当の抽出!A5),"")</f>
        <v>0</v>
      </c>
      <c r="P3" s="50">
        <f>IF(O3&lt;&gt;"",IF(COUNTIF(注文弁当の抽出!A6,"*おやつ*"),"",注文弁当の抽出!A6),"")</f>
        <v>0</v>
      </c>
      <c r="Q3" s="50">
        <f>IF(P3&lt;&gt;"",IF(COUNTIF(注文弁当の抽出!A7,"*おやつ*"),"",注文弁当の抽出!A7),"")</f>
        <v>0</v>
      </c>
      <c r="R3" s="50">
        <f>IF(Q3&lt;&gt;"",IF(COUNTIF(注文弁当の抽出!A8,"*おやつ*"),"",注文弁当の抽出!A8),"")</f>
        <v>0</v>
      </c>
      <c r="S3" s="50">
        <f>IF(R3&lt;&gt;"",IF(COUNTIF(注文弁当の抽出!A9,"*おやつ*"),"",注文弁当の抽出!A9),"")</f>
        <v>0</v>
      </c>
      <c r="T3" s="47" t="s">
        <v>47</v>
      </c>
      <c r="U3" s="15"/>
      <c r="V3" s="53"/>
      <c r="W3" s="6"/>
    </row>
    <row r="4" spans="1:23">
      <c r="A4" s="2" t="s">
        <v>48</v>
      </c>
      <c r="B4" s="13" t="s">
        <v>49</v>
      </c>
      <c r="C4" s="13" t="s">
        <v>49</v>
      </c>
      <c r="D4" s="13" t="s">
        <v>49</v>
      </c>
      <c r="E4" s="13" t="s">
        <v>50</v>
      </c>
      <c r="F4" s="13" t="s">
        <v>51</v>
      </c>
      <c r="G4" s="13" t="s">
        <v>49</v>
      </c>
      <c r="H4" s="13" t="s">
        <v>49</v>
      </c>
      <c r="I4" s="13" t="s">
        <v>50</v>
      </c>
      <c r="J4" s="13" t="s">
        <v>50</v>
      </c>
      <c r="K4" s="13" t="s">
        <v>51</v>
      </c>
      <c r="L4" s="47"/>
      <c r="M4" s="47"/>
      <c r="N4" s="47"/>
      <c r="O4" s="47"/>
      <c r="P4" s="47"/>
      <c r="Q4" s="47"/>
      <c r="R4" s="47"/>
      <c r="S4" s="47"/>
      <c r="T4" s="47"/>
      <c r="U4" s="19"/>
      <c r="V4" s="54"/>
      <c r="W4" s="1"/>
    </row>
    <row r="5" spans="1:23">
      <c r="A5" s="3"/>
      <c r="B5" s="13">
        <v>100</v>
      </c>
      <c r="C5" s="13">
        <v>150</v>
      </c>
      <c r="D5" s="13">
        <v>120</v>
      </c>
      <c r="E5" s="13" t="s">
        <v>55</v>
      </c>
      <c r="F5" s="13"/>
      <c r="G5" s="13">
        <v>120</v>
      </c>
      <c r="H5" s="13">
        <v>100</v>
      </c>
      <c r="I5" s="13" t="s">
        <v>55</v>
      </c>
      <c r="J5" s="13" t="s">
        <v>56</v>
      </c>
      <c r="K5" s="13"/>
      <c r="L5" s="47"/>
      <c r="M5" s="47"/>
      <c r="N5" s="47"/>
      <c r="O5" s="47"/>
      <c r="P5" s="47"/>
      <c r="Q5" s="47"/>
      <c r="R5" s="47"/>
      <c r="S5" s="47"/>
      <c r="T5" s="47"/>
      <c r="U5" s="20"/>
      <c r="V5" s="54"/>
      <c r="W5" s="1"/>
    </row>
    <row r="6" spans="1:23">
      <c r="A6" s="4" t="e">
        <f t="array" aca="1" ref="A6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MATCH(1,(ISNUMBER(--INDIRECT("貼り付け用!A"&amp;MATCH("園名",貼り付け用!$A:$A,0)+1&amp;":A300")))*(INDIRECT("貼り付け用!A"&amp;MATCH("園名",貼り付け用!$A:$A,0)+1&amp;":A300")&lt;&gt;""),0))</f>
        <v>#N/A</v>
      </c>
      <c r="B6" s="14" t="e">
        <f ca="1">IF($A6&lt;&gt;"",IF(VLOOKUP($A6,貼り付け用!$A$1:$BA$300,COLUMN(),FALSE)=0,"",VLOOKUP($A6,貼り付け用!$A$1:$BA$300,COLUMN(),FALSE)),"")</f>
        <v>#N/A</v>
      </c>
      <c r="C6" s="14" t="e">
        <f ca="1">IF($A6&lt;&gt;"",IF(VLOOKUP($A6,貼り付け用!$A$1:$BA$300,COLUMN(),FALSE)=0,"",VLOOKUP($A6,貼り付け用!$A$1:$BA$300,COLUMN(),FALSE)),"")</f>
        <v>#N/A</v>
      </c>
      <c r="D6" s="14" t="e">
        <f ca="1">IF($A6&lt;&gt;"",IF(VLOOKUP($A6,貼り付け用!$A$1:$BA$300,COLUMN(),FALSE)=0,"",VLOOKUP($A6,貼り付け用!$A$1:$BA$300,COLUMN(),FALSE)),"")</f>
        <v>#N/A</v>
      </c>
      <c r="E6" s="14" t="e">
        <f ca="1">IF($A6&lt;&gt;"",IF(VLOOKUP($A6,貼り付け用!$A$1:$BA$300,COLUMN(),FALSE)=0,"",VLOOKUP($A6,貼り付け用!$A$1:$BA$300,COLUMN(),FALSE)),"")</f>
        <v>#N/A</v>
      </c>
      <c r="F6" s="14" t="e">
        <f ca="1">IF($A6&lt;&gt;"",IF(VLOOKUP($A6,貼り付け用!$A$1:$BA$300,COLUMN(),FALSE)=0,"",VLOOKUP($A6,貼り付け用!$A$1:$BA$300,COLUMN(),FALSE)),"")</f>
        <v>#N/A</v>
      </c>
      <c r="G6" s="14" t="e">
        <f ca="1">IF($A6&lt;&gt;"",IF(VLOOKUP($A6,貼り付け用!$A$1:$BA$300,COLUMN(),FALSE)=0,"",VLOOKUP($A6,貼り付け用!$A$1:$BA$300,COLUMN(),FALSE)),"")</f>
        <v>#N/A</v>
      </c>
      <c r="H6" s="14" t="e">
        <f ca="1">IF($A6&lt;&gt;"",IF(VLOOKUP($A6,貼り付け用!$A$1:$BA$300,COLUMN(),FALSE)=0,"",VLOOKUP($A6,貼り付け用!$A$1:$BA$300,COLUMN(),FALSE)),"")</f>
        <v>#N/A</v>
      </c>
      <c r="I6" s="14" t="e">
        <f ca="1">IF($A6&lt;&gt;"",IF(VLOOKUP($A6,貼り付け用!$A$1:$BA$300,COLUMN(),FALSE)=0,"",VLOOKUP($A6,貼り付け用!$A$1:$BA$300,COLUMN(),FALSE)),"")</f>
        <v>#N/A</v>
      </c>
      <c r="J6" s="14" t="e">
        <f ca="1">IF($A6&lt;&gt;"",IF(VLOOKUP($A6,貼り付け用!$A$1:$BA$300,COLUMN(),FALSE)=0,"",VLOOKUP($A6,貼り付け用!$A$1:$BA$300,COLUMN(),FALSE)),"")</f>
        <v>#N/A</v>
      </c>
      <c r="K6" s="14" t="e">
        <f ca="1">IF($A6&lt;&gt;"",IF(VLOOKUP($A6,貼り付け用!$A$1:$BA$300,COLUMN(),FALSE)=0,"",VLOOKUP($A6,貼り付け用!$A$1:$BA$300,COLUMN(),FALSE)),"")</f>
        <v>#N/A</v>
      </c>
      <c r="L6" s="14" t="e">
        <f ca="1">IF($A6&lt;&gt;"",
IF(COLUMN(貼り付け用!L6)&gt;MATCH("おやつ",貼り付け用!$3:$3,0),"",
IF(VLOOKUP($A6,貼り付け用!$A$1:$BA$300,COLUMN(),FALSE)=0,"",VLOOKUP($A6,貼り付け用!$A$1:$BA$300,COLUMN(),FALSE))),"")</f>
        <v>#N/A</v>
      </c>
      <c r="M6" s="14" t="e">
        <f ca="1">IF($A6&lt;&gt;"",
IF(COLUMN(貼り付け用!M6)&gt;MATCH("おやつ",貼り付け用!$3:$3,0),"",
IF(VLOOKUP($A6,貼り付け用!$A$1:$BA$300,COLUMN(),FALSE)=0,"",VLOOKUP($A6,貼り付け用!$A$1:$BA$300,COLUMN(),FALSE))),"")</f>
        <v>#N/A</v>
      </c>
      <c r="N6" s="14" t="e">
        <f ca="1">IF($A6&lt;&gt;"",
IF(COLUMN(貼り付け用!N6)&gt;MATCH("おやつ",貼り付け用!$3:$3,0),"",
IF(VLOOKUP($A6,貼り付け用!$A$1:$BA$300,COLUMN(),FALSE)=0,"",VLOOKUP($A6,貼り付け用!$A$1:$BA$300,COLUMN(),FALSE))),"")</f>
        <v>#N/A</v>
      </c>
      <c r="O6" s="14" t="e">
        <f ca="1">IF($A6&lt;&gt;"",
IF(COLUMN(貼り付け用!O6)&gt;MATCH("おやつ",貼り付け用!$3:$3,0),"",
IF(VLOOKUP($A6,貼り付け用!$A$1:$BA$300,COLUMN(),FALSE)=0,"",VLOOKUP($A6,貼り付け用!$A$1:$BA$300,COLUMN(),FALSE))),"")</f>
        <v>#N/A</v>
      </c>
      <c r="P6" s="14" t="e">
        <f ca="1">IF($A6&lt;&gt;"",
IF(COLUMN(貼り付け用!P6)&gt;MATCH("おやつ",貼り付け用!$3:$3,0),"",
IF(VLOOKUP($A6,貼り付け用!$A$1:$BA$300,COLUMN(),FALSE)=0,"",VLOOKUP($A6,貼り付け用!$A$1:$BA$300,COLUMN(),FALSE))),"")</f>
        <v>#N/A</v>
      </c>
      <c r="Q6" s="14" t="e">
        <f ca="1">IF($A6&lt;&gt;"",
IF(COLUMN(貼り付け用!Q6)&gt;MATCH("おやつ",貼り付け用!$3:$3,0),"",
IF(VLOOKUP($A6,貼り付け用!$A$1:$BA$300,COLUMN(),FALSE)=0,"",VLOOKUP($A6,貼り付け用!$A$1:$BA$300,COLUMN(),FALSE))),"")</f>
        <v>#N/A</v>
      </c>
      <c r="R6" s="14" t="e">
        <f ca="1">IF($A6&lt;&gt;"",
IF(COLUMN(貼り付け用!R6)&gt;MATCH("おやつ",貼り付け用!$3:$3,0),"",
IF(VLOOKUP($A6,貼り付け用!$A$1:$BA$300,COLUMN(),FALSE)=0,"",VLOOKUP($A6,貼り付け用!$A$1:$BA$300,COLUMN(),FALSE))),"")</f>
        <v>#N/A</v>
      </c>
      <c r="S6" s="14" t="e">
        <f ca="1">IF($A6&lt;&gt;"",
IF(COLUMN(貼り付け用!S6)&gt;MATCH("おやつ",貼り付け用!$3:$3,0),"",
IF(VLOOKUP($A6,貼り付け用!$A$1:$BA$300,COLUMN(),FALSE)=0,"",VLOOKUP($A6,貼り付け用!$A$1:$BA$300,COLUMN(),FALSE))),"")</f>
        <v>#N/A</v>
      </c>
      <c r="T6" s="14" t="e">
        <f>IF(COLUMN(貼り付け用!T6)&gt;MATCH("おやつ",貼り付け用!$3:$3,0),"",
IF(VLOOKUP($A6,貼り付け用!$A$1:$BA$300,COLUMN(),FALSE)=0,"",VLOOKUP($A6,貼り付け用!$A$1:$BA$300,COLUMN(),FALSE)))</f>
        <v>#N/A</v>
      </c>
      <c r="U6" s="14" t="e">
        <f ca="1">IF(J6&lt;&gt;"",
IF(COLUMN(貼り付け用!U6)&gt;MATCH("おやつ",貼り付け用!$3:$3,0),"",
IF(VLOOKUP($A6,貼り付け用!$A$1:$BA$300,COLUMN(),FALSE)=0,"",VLOOKUP($A6,貼り付け用!$A$1:$BA$300,COLUMN(),FALSE))),"")</f>
        <v>#N/A</v>
      </c>
      <c r="V6" s="55" t="e">
        <f ca="1">IF(A6&lt;&gt;"",
IF(VLOOKUP($A6,貼り付け用!$A$1:$BA$300,MATCH("おやつ",貼り付け用!$3:$3,0)+1,FALSE)=0,"",VLOOKUP($A6,貼り付け用!$A$1:$BA$300,MATCH("おやつ",貼り付け用!$3:$3,0)+1,FALSE)),"")</f>
        <v>#N/A</v>
      </c>
      <c r="W6" s="14" t="e">
        <f ca="1">IF(A6&lt;&gt;"",
IF(VLOOKUP($A6,貼り付け用!$A$1:$BA$300,MATCH("おやつ",貼り付け用!$3:$3,0)+2,FALSE)=0,"",VLOOKUP($A6,貼り付け用!$A$1:$BA$300,MATCH("おやつ",貼り付け用!$3:$3,0)+2,FALSE)),"")</f>
        <v>#N/A</v>
      </c>
    </row>
    <row r="7" spans="1:23">
      <c r="A7" s="8" t="e">
        <f t="array" aca="1" ref="A7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MATCH(1,(ISNUMBER(--INDIRECT("貼り付け用!A"&amp;MATCH("園名",貼り付け用!$A:$A,0)+1&amp;":A300")))*(INDIRECT("貼り付け用!A"&amp;MATCH("園名",貼り付け用!$A:$A,0)+1&amp;":A300")&lt;&gt;""),0)+1)</f>
        <v>#N/A</v>
      </c>
      <c r="B7" s="3" t="e">
        <f ca="1">IF($A7&lt;&gt;"",IF(VLOOKUP($A7,貼り付け用!$A$1:$BA$300,COLUMN(),FALSE)=0,"",VLOOKUP($A7,貼り付け用!$A$1:$BA$300,COLUMN(),FALSE)),"")</f>
        <v>#N/A</v>
      </c>
      <c r="C7" s="3" t="e">
        <f ca="1">IF($A7&lt;&gt;"",IF(VLOOKUP($A7,貼り付け用!$A$1:$BA$300,COLUMN(),FALSE)=0,"",VLOOKUP($A7,貼り付け用!$A$1:$BA$300,COLUMN(),FALSE)),"")</f>
        <v>#N/A</v>
      </c>
      <c r="D7" s="3" t="e">
        <f ca="1">IF($A7&lt;&gt;"",IF(VLOOKUP($A7,貼り付け用!$A$1:$BA$300,COLUMN(),FALSE)=0,"",VLOOKUP($A7,貼り付け用!$A$1:$BA$300,COLUMN(),FALSE)),"")</f>
        <v>#N/A</v>
      </c>
      <c r="E7" s="3" t="e">
        <f ca="1">IF($A7&lt;&gt;"",IF(VLOOKUP($A7,貼り付け用!$A$1:$BA$300,COLUMN(),FALSE)=0,"",VLOOKUP($A7,貼り付け用!$A$1:$BA$300,COLUMN(),FALSE)),"")</f>
        <v>#N/A</v>
      </c>
      <c r="F7" s="3" t="e">
        <f ca="1">IF($A7&lt;&gt;"",IF(VLOOKUP($A7,貼り付け用!$A$1:$BA$300,COLUMN(),FALSE)=0,"",VLOOKUP($A7,貼り付け用!$A$1:$BA$300,COLUMN(),FALSE)),"")</f>
        <v>#N/A</v>
      </c>
      <c r="G7" s="3" t="e">
        <f ca="1">IF($A7&lt;&gt;"",IF(VLOOKUP($A7,貼り付け用!$A$1:$BA$300,COLUMN(),FALSE)=0,"",VLOOKUP($A7,貼り付け用!$A$1:$BA$300,COLUMN(),FALSE)),"")</f>
        <v>#N/A</v>
      </c>
      <c r="H7" s="3" t="e">
        <f ca="1">IF($A7&lt;&gt;"",IF(VLOOKUP($A7,貼り付け用!$A$1:$BA$300,COLUMN(),FALSE)=0,"",VLOOKUP($A7,貼り付け用!$A$1:$BA$300,COLUMN(),FALSE)),"")</f>
        <v>#N/A</v>
      </c>
      <c r="I7" s="3" t="e">
        <f ca="1">IF($A7&lt;&gt;"",IF(VLOOKUP($A7,貼り付け用!$A$1:$BA$300,COLUMN(),FALSE)=0,"",VLOOKUP($A7,貼り付け用!$A$1:$BA$300,COLUMN(),FALSE)),"")</f>
        <v>#N/A</v>
      </c>
      <c r="J7" s="3" t="e">
        <f ca="1">IF($A7&lt;&gt;"",IF(VLOOKUP($A7,貼り付け用!$A$1:$BA$300,COLUMN(),FALSE)=0,"",VLOOKUP($A7,貼り付け用!$A$1:$BA$300,COLUMN(),FALSE)),"")</f>
        <v>#N/A</v>
      </c>
      <c r="K7" s="3" t="e">
        <f ca="1">IF($A7&lt;&gt;"",IF(VLOOKUP($A7,貼り付け用!$A$1:$BA$300,COLUMN(),FALSE)=0,"",VLOOKUP($A7,貼り付け用!$A$1:$BA$300,COLUMN(),FALSE)),"")</f>
        <v>#N/A</v>
      </c>
      <c r="L7" s="3" t="e">
        <f ca="1">IF($A7&lt;&gt;"",
IF(COLUMN(貼り付け用!L7)&gt;MATCH("おやつ",貼り付け用!$3:$3,0),"",
IF(VLOOKUP($A7,貼り付け用!$A$1:$BA$300,COLUMN(),FALSE)=0,"",VLOOKUP($A7,貼り付け用!$A$1:$BA$300,COLUMN(),FALSE))),"")</f>
        <v>#N/A</v>
      </c>
      <c r="M7" s="3" t="e">
        <f ca="1">IF($A7&lt;&gt;"",
IF(COLUMN(貼り付け用!M7)&gt;MATCH("おやつ",貼り付け用!$3:$3,0),"",
IF(VLOOKUP($A7,貼り付け用!$A$1:$BA$300,COLUMN(),FALSE)=0,"",VLOOKUP($A7,貼り付け用!$A$1:$BA$300,COLUMN(),FALSE))),"")</f>
        <v>#N/A</v>
      </c>
      <c r="N7" s="3" t="e">
        <f ca="1">IF($A7&lt;&gt;"",
IF(COLUMN(貼り付け用!N7)&gt;MATCH("おやつ",貼り付け用!$3:$3,0),"",
IF(VLOOKUP($A7,貼り付け用!$A$1:$BA$300,COLUMN(),FALSE)=0,"",VLOOKUP($A7,貼り付け用!$A$1:$BA$300,COLUMN(),FALSE))),"")</f>
        <v>#N/A</v>
      </c>
      <c r="O7" s="3" t="e">
        <f ca="1">IF($A7&lt;&gt;"",
IF(COLUMN(貼り付け用!O7)&gt;MATCH("おやつ",貼り付け用!$3:$3,0),"",
IF(VLOOKUP($A7,貼り付け用!$A$1:$BA$300,COLUMN(),FALSE)=0,"",VLOOKUP($A7,貼り付け用!$A$1:$BA$300,COLUMN(),FALSE))),"")</f>
        <v>#N/A</v>
      </c>
      <c r="P7" s="3" t="e">
        <f ca="1">IF($A7&lt;&gt;"",
IF(COLUMN(貼り付け用!P7)&gt;MATCH("おやつ",貼り付け用!$3:$3,0),"",
IF(VLOOKUP($A7,貼り付け用!$A$1:$BA$300,COLUMN(),FALSE)=0,"",VLOOKUP($A7,貼り付け用!$A$1:$BA$300,COLUMN(),FALSE))),"")</f>
        <v>#N/A</v>
      </c>
      <c r="Q7" s="3" t="e">
        <f ca="1">IF($A7&lt;&gt;"",
IF(COLUMN(貼り付け用!Q7)&gt;MATCH("おやつ",貼り付け用!$3:$3,0),"",
IF(VLOOKUP($A7,貼り付け用!$A$1:$BA$300,COLUMN(),FALSE)=0,"",VLOOKUP($A7,貼り付け用!$A$1:$BA$300,COLUMN(),FALSE))),"")</f>
        <v>#N/A</v>
      </c>
      <c r="R7" s="3" t="e">
        <f ca="1">IF($A7&lt;&gt;"",
IF(COLUMN(貼り付け用!R7)&gt;MATCH("おやつ",貼り付け用!$3:$3,0),"",
IF(VLOOKUP($A7,貼り付け用!$A$1:$BA$300,COLUMN(),FALSE)=0,"",VLOOKUP($A7,貼り付け用!$A$1:$BA$300,COLUMN(),FALSE))),"")</f>
        <v>#N/A</v>
      </c>
      <c r="S7" s="3" t="e">
        <f ca="1">IF($A7&lt;&gt;"",
IF(COLUMN(貼り付け用!S7)&gt;MATCH("おやつ",貼り付け用!$3:$3,0),"",
IF(VLOOKUP($A7,貼り付け用!$A$1:$BA$300,COLUMN(),FALSE)=0,"",VLOOKUP($A7,貼り付け用!$A$1:$BA$300,COLUMN(),FALSE))),"")</f>
        <v>#N/A</v>
      </c>
      <c r="T7" s="3" t="e">
        <f>IF(COLUMN(貼り付け用!T7)&gt;MATCH("おやつ",貼り付け用!$3:$3,0),"",
IF(VLOOKUP($A7,貼り付け用!$A$1:$BA$300,COLUMN(),FALSE)=0,"",VLOOKUP($A7,貼り付け用!$A$1:$BA$300,COLUMN(),FALSE)))</f>
        <v>#N/A</v>
      </c>
      <c r="U7" s="3" t="e">
        <f ca="1">IF(J7&lt;&gt;"",
IF(COLUMN(貼り付け用!U7)&gt;MATCH("おやつ",貼り付け用!$3:$3,0),"",
IF(VLOOKUP($A7,貼り付け用!$A$1:$BA$300,COLUMN(),FALSE)=0,"",VLOOKUP($A7,貼り付け用!$A$1:$BA$300,COLUMN(),FALSE))),"")</f>
        <v>#N/A</v>
      </c>
      <c r="V7" s="55" t="e">
        <f ca="1">IF(A7&lt;&gt;"",
IF(VLOOKUP($A7,貼り付け用!$A$1:$BA$300,MATCH("おやつ",貼り付け用!$3:$3,0)+1,FALSE)=0,"",VLOOKUP($A7,貼り付け用!$A$1:$BA$300,MATCH("おやつ",貼り付け用!$3:$3,0)+1,FALSE)),"")</f>
        <v>#N/A</v>
      </c>
      <c r="W7" s="14" t="e">
        <f ca="1">IF(A7&lt;&gt;"",
IF(VLOOKUP($A7,貼り付け用!$A$1:$BA$300,MATCH("おやつ",貼り付け用!$3:$3,0)+2,FALSE)=0,"",VLOOKUP($A7,貼り付け用!$A$1:$BA$300,MATCH("おやつ",貼り付け用!$3:$3,0)+2,FALSE)),"")</f>
        <v>#N/A</v>
      </c>
    </row>
    <row r="8" spans="1:23">
      <c r="A8" s="4" t="e">
        <f t="array" aca="1" ref="A8" ca="1">IF(OR(COUNTIF(A6,"*合計*"),COUNTIF(A6,"")),"",INDEX(貼り付け用!$A:$A,MATCH(A6,貼り付け用!$A:$A,0)+2,0))</f>
        <v>#N/A</v>
      </c>
      <c r="B8" s="14" t="e">
        <f ca="1">IF($A8&lt;&gt;"",IF(VLOOKUP($A8,貼り付け用!$A$1:$BA$300,COLUMN(),FALSE)=0,"",VLOOKUP($A8,貼り付け用!$A$1:$BA$300,COLUMN(),FALSE)),"")</f>
        <v>#N/A</v>
      </c>
      <c r="C8" s="14" t="e">
        <f ca="1">IF($A8&lt;&gt;"",IF(VLOOKUP($A8,貼り付け用!$A$1:$BA$300,COLUMN(),FALSE)=0,"",VLOOKUP($A8,貼り付け用!$A$1:$BA$300,COLUMN(),FALSE)),"")</f>
        <v>#N/A</v>
      </c>
      <c r="D8" s="14" t="e">
        <f ca="1">IF($A8&lt;&gt;"",IF(VLOOKUP($A8,貼り付け用!$A$1:$BA$300,COLUMN(),FALSE)=0,"",VLOOKUP($A8,貼り付け用!$A$1:$BA$300,COLUMN(),FALSE)),"")</f>
        <v>#N/A</v>
      </c>
      <c r="E8" s="14" t="e">
        <f ca="1">IF($A8&lt;&gt;"",IF(VLOOKUP($A8,貼り付け用!$A$1:$BA$300,COLUMN(),FALSE)=0,"",VLOOKUP($A8,貼り付け用!$A$1:$BA$300,COLUMN(),FALSE)),"")</f>
        <v>#N/A</v>
      </c>
      <c r="F8" s="14" t="e">
        <f ca="1">IF($A8&lt;&gt;"",IF(VLOOKUP($A8,貼り付け用!$A$1:$BA$300,COLUMN(),FALSE)=0,"",VLOOKUP($A8,貼り付け用!$A$1:$BA$300,COLUMN(),FALSE)),"")</f>
        <v>#N/A</v>
      </c>
      <c r="G8" s="14" t="e">
        <f ca="1">IF($A8&lt;&gt;"",IF(VLOOKUP($A8,貼り付け用!$A$1:$BA$300,COLUMN(),FALSE)=0,"",VLOOKUP($A8,貼り付け用!$A$1:$BA$300,COLUMN(),FALSE)),"")</f>
        <v>#N/A</v>
      </c>
      <c r="H8" s="14" t="e">
        <f ca="1">IF($A8&lt;&gt;"",IF(VLOOKUP($A8,貼り付け用!$A$1:$BA$300,COLUMN(),FALSE)=0,"",VLOOKUP($A8,貼り付け用!$A$1:$BA$300,COLUMN(),FALSE)),"")</f>
        <v>#N/A</v>
      </c>
      <c r="I8" s="14" t="e">
        <f ca="1">IF($A8&lt;&gt;"",IF(VLOOKUP($A8,貼り付け用!$A$1:$BA$300,COLUMN(),FALSE)=0,"",VLOOKUP($A8,貼り付け用!$A$1:$BA$300,COLUMN(),FALSE)),"")</f>
        <v>#N/A</v>
      </c>
      <c r="J8" s="14" t="e">
        <f ca="1">IF($A8&lt;&gt;"",IF(VLOOKUP($A8,貼り付け用!$A$1:$BA$300,COLUMN(),FALSE)=0,"",VLOOKUP($A8,貼り付け用!$A$1:$BA$300,COLUMN(),FALSE)),"")</f>
        <v>#N/A</v>
      </c>
      <c r="K8" s="14" t="e">
        <f ca="1">IF($A8&lt;&gt;"",IF(VLOOKUP($A8,貼り付け用!$A$1:$BA$300,COLUMN(),FALSE)=0,"",VLOOKUP($A8,貼り付け用!$A$1:$BA$300,COLUMN(),FALSE)),"")</f>
        <v>#N/A</v>
      </c>
      <c r="L8" s="14" t="e">
        <f ca="1">IF($A8&lt;&gt;"",
IF(COLUMN(貼り付け用!L8)&gt;MATCH("おやつ",貼り付け用!$3:$3,0),"",
IF(VLOOKUP($A8,貼り付け用!$A$1:$BA$300,COLUMN(),FALSE)=0,"",VLOOKUP($A8,貼り付け用!$A$1:$BA$300,COLUMN(),FALSE))),"")</f>
        <v>#N/A</v>
      </c>
      <c r="M8" s="14" t="e">
        <f ca="1">IF($A8&lt;&gt;"",
IF(COLUMN(貼り付け用!M8)&gt;MATCH("おやつ",貼り付け用!$3:$3,0),"",
IF(VLOOKUP($A8,貼り付け用!$A$1:$BA$300,COLUMN(),FALSE)=0,"",VLOOKUP($A8,貼り付け用!$A$1:$BA$300,COLUMN(),FALSE))),"")</f>
        <v>#N/A</v>
      </c>
      <c r="N8" s="14" t="e">
        <f ca="1">IF($A8&lt;&gt;"",
IF(COLUMN(貼り付け用!N8)&gt;MATCH("おやつ",貼り付け用!$3:$3,0),"",
IF(VLOOKUP($A8,貼り付け用!$A$1:$BA$300,COLUMN(),FALSE)=0,"",VLOOKUP($A8,貼り付け用!$A$1:$BA$300,COLUMN(),FALSE))),"")</f>
        <v>#N/A</v>
      </c>
      <c r="O8" s="14" t="e">
        <f ca="1">IF($A8&lt;&gt;"",
IF(COLUMN(貼り付け用!O8)&gt;MATCH("おやつ",貼り付け用!$3:$3,0),"",
IF(VLOOKUP($A8,貼り付け用!$A$1:$BA$300,COLUMN(),FALSE)=0,"",VLOOKUP($A8,貼り付け用!$A$1:$BA$300,COLUMN(),FALSE))),"")</f>
        <v>#N/A</v>
      </c>
      <c r="P8" s="14" t="e">
        <f ca="1">IF($A8&lt;&gt;"",
IF(COLUMN(貼り付け用!P8)&gt;MATCH("おやつ",貼り付け用!$3:$3,0),"",
IF(VLOOKUP($A8,貼り付け用!$A$1:$BA$300,COLUMN(),FALSE)=0,"",VLOOKUP($A8,貼り付け用!$A$1:$BA$300,COLUMN(),FALSE))),"")</f>
        <v>#N/A</v>
      </c>
      <c r="Q8" s="14" t="e">
        <f ca="1">IF($A8&lt;&gt;"",
IF(COLUMN(貼り付け用!Q8)&gt;MATCH("おやつ",貼り付け用!$3:$3,0),"",
IF(VLOOKUP($A8,貼り付け用!$A$1:$BA$300,COLUMN(),FALSE)=0,"",VLOOKUP($A8,貼り付け用!$A$1:$BA$300,COLUMN(),FALSE))),"")</f>
        <v>#N/A</v>
      </c>
      <c r="R8" s="14" t="e">
        <f ca="1">IF($A8&lt;&gt;"",
IF(COLUMN(貼り付け用!R8)&gt;MATCH("おやつ",貼り付け用!$3:$3,0),"",
IF(VLOOKUP($A8,貼り付け用!$A$1:$BA$300,COLUMN(),FALSE)=0,"",VLOOKUP($A8,貼り付け用!$A$1:$BA$300,COLUMN(),FALSE))),"")</f>
        <v>#N/A</v>
      </c>
      <c r="S8" s="14" t="e">
        <f ca="1">IF($A8&lt;&gt;"",
IF(COLUMN(貼り付け用!S8)&gt;MATCH("おやつ",貼り付け用!$3:$3,0),"",
IF(VLOOKUP($A8,貼り付け用!$A$1:$BA$300,COLUMN(),FALSE)=0,"",VLOOKUP($A8,貼り付け用!$A$1:$BA$300,COLUMN(),FALSE))),"")</f>
        <v>#N/A</v>
      </c>
      <c r="T8" s="14" t="e">
        <f>IF(COLUMN(貼り付け用!T8)&gt;MATCH("おやつ",貼り付け用!$3:$3,0),"",
IF(VLOOKUP($A8,貼り付け用!$A$1:$BA$300,COLUMN(),FALSE)=0,"",VLOOKUP($A8,貼り付け用!$A$1:$BA$300,COLUMN(),FALSE)))</f>
        <v>#N/A</v>
      </c>
      <c r="U8" s="11"/>
      <c r="V8" s="55" t="e">
        <f ca="1">IF(A8&lt;&gt;"",
IF(VLOOKUP($A8,貼り付け用!$A$1:$BA$300,MATCH("おやつ",貼り付け用!$3:$3,0)+1,FALSE)=0,"",VLOOKUP($A8,貼り付け用!$A$1:$BA$300,MATCH("おやつ",貼り付け用!$3:$3,0)+1,FALSE)),"")</f>
        <v>#N/A</v>
      </c>
      <c r="W8" s="14" t="e">
        <f ca="1">IF(A8&lt;&gt;"",
IF(VLOOKUP($A8,貼り付け用!$A$1:$BA$300,MATCH("おやつ",貼り付け用!$3:$3,0)+2,FALSE)=0,"",VLOOKUP($A8,貼り付け用!$A$1:$BA$300,MATCH("おやつ",貼り付け用!$3:$3,0)+2,FALSE)),"")</f>
        <v>#N/A</v>
      </c>
    </row>
    <row r="9" spans="1:23">
      <c r="A9" s="8" t="e">
        <f t="array" aca="1" ref="A9" ca="1">IF(OR(COUNTIF(A7,"*1000*"),COUNTIF(A7,"")),"",INDEX(貼り付け用!$A:$A,MATCH(A7,貼り付け用!$A:$A,0)+2,0))</f>
        <v>#N/A</v>
      </c>
      <c r="B9" s="3" t="e">
        <f ca="1">IF($A9&lt;&gt;"",IF(VLOOKUP($A9,貼り付け用!$A$1:$BA$300,COLUMN(),FALSE)=0,"",VLOOKUP($A9,貼り付け用!$A$1:$BA$300,COLUMN(),FALSE)),"")</f>
        <v>#N/A</v>
      </c>
      <c r="C9" s="3" t="e">
        <f ca="1">IF($A9&lt;&gt;"",IF(VLOOKUP($A9,貼り付け用!$A$1:$BA$300,COLUMN(),FALSE)=0,"",VLOOKUP($A9,貼り付け用!$A$1:$BA$300,COLUMN(),FALSE)),"")</f>
        <v>#N/A</v>
      </c>
      <c r="D9" s="3" t="e">
        <f ca="1">IF($A9&lt;&gt;"",IF(VLOOKUP($A9,貼り付け用!$A$1:$BA$300,COLUMN(),FALSE)=0,"",VLOOKUP($A9,貼り付け用!$A$1:$BA$300,COLUMN(),FALSE)),"")</f>
        <v>#N/A</v>
      </c>
      <c r="E9" s="3" t="e">
        <f ca="1">IF($A9&lt;&gt;"",IF(VLOOKUP($A9,貼り付け用!$A$1:$BA$300,COLUMN(),FALSE)=0,"",VLOOKUP($A9,貼り付け用!$A$1:$BA$300,COLUMN(),FALSE)),"")</f>
        <v>#N/A</v>
      </c>
      <c r="F9" s="3" t="e">
        <f ca="1">IF($A9&lt;&gt;"",IF(VLOOKUP($A9,貼り付け用!$A$1:$BA$300,COLUMN(),FALSE)=0,"",VLOOKUP($A9,貼り付け用!$A$1:$BA$300,COLUMN(),FALSE)),"")</f>
        <v>#N/A</v>
      </c>
      <c r="G9" s="3" t="e">
        <f ca="1">IF($A9&lt;&gt;"",IF(VLOOKUP($A9,貼り付け用!$A$1:$BA$300,COLUMN(),FALSE)=0,"",VLOOKUP($A9,貼り付け用!$A$1:$BA$300,COLUMN(),FALSE)),"")</f>
        <v>#N/A</v>
      </c>
      <c r="H9" s="3" t="e">
        <f ca="1">IF($A9&lt;&gt;"",IF(VLOOKUP($A9,貼り付け用!$A$1:$BA$300,COLUMN(),FALSE)=0,"",VLOOKUP($A9,貼り付け用!$A$1:$BA$300,COLUMN(),FALSE)),"")</f>
        <v>#N/A</v>
      </c>
      <c r="I9" s="3" t="e">
        <f ca="1">IF($A9&lt;&gt;"",IF(VLOOKUP($A9,貼り付け用!$A$1:$BA$300,COLUMN(),FALSE)=0,"",VLOOKUP($A9,貼り付け用!$A$1:$BA$300,COLUMN(),FALSE)),"")</f>
        <v>#N/A</v>
      </c>
      <c r="J9" s="3" t="e">
        <f ca="1">IF($A9&lt;&gt;"",IF(VLOOKUP($A9,貼り付け用!$A$1:$BA$300,COLUMN(),FALSE)=0,"",VLOOKUP($A9,貼り付け用!$A$1:$BA$300,COLUMN(),FALSE)),"")</f>
        <v>#N/A</v>
      </c>
      <c r="K9" s="3" t="e">
        <f ca="1">IF($A9&lt;&gt;"",IF(VLOOKUP($A9,貼り付け用!$A$1:$BA$300,COLUMN(),FALSE)=0,"",VLOOKUP($A9,貼り付け用!$A$1:$BA$300,COLUMN(),FALSE)),"")</f>
        <v>#N/A</v>
      </c>
      <c r="L9" s="3" t="e">
        <f ca="1">IF($A9&lt;&gt;"",
IF(COLUMN(貼り付け用!L9)&gt;MATCH("おやつ",貼り付け用!$3:$3,0),"",
IF(VLOOKUP($A9,貼り付け用!$A$1:$BA$300,COLUMN(),FALSE)=0,"",VLOOKUP($A9,貼り付け用!$A$1:$BA$300,COLUMN(),FALSE))),"")</f>
        <v>#N/A</v>
      </c>
      <c r="M9" s="3" t="e">
        <f ca="1">IF($A9&lt;&gt;"",
IF(COLUMN(貼り付け用!M9)&gt;MATCH("おやつ",貼り付け用!$3:$3,0),"",
IF(VLOOKUP($A9,貼り付け用!$A$1:$BA$300,COLUMN(),FALSE)=0,"",VLOOKUP($A9,貼り付け用!$A$1:$BA$300,COLUMN(),FALSE))),"")</f>
        <v>#N/A</v>
      </c>
      <c r="N9" s="3" t="e">
        <f ca="1">IF($A9&lt;&gt;"",
IF(COLUMN(貼り付け用!N9)&gt;MATCH("おやつ",貼り付け用!$3:$3,0),"",
IF(VLOOKUP($A9,貼り付け用!$A$1:$BA$300,COLUMN(),FALSE)=0,"",VLOOKUP($A9,貼り付け用!$A$1:$BA$300,COLUMN(),FALSE))),"")</f>
        <v>#N/A</v>
      </c>
      <c r="O9" s="3" t="e">
        <f ca="1">IF($A9&lt;&gt;"",
IF(COLUMN(貼り付け用!O9)&gt;MATCH("おやつ",貼り付け用!$3:$3,0),"",
IF(VLOOKUP($A9,貼り付け用!$A$1:$BA$300,COLUMN(),FALSE)=0,"",VLOOKUP($A9,貼り付け用!$A$1:$BA$300,COLUMN(),FALSE))),"")</f>
        <v>#N/A</v>
      </c>
      <c r="P9" s="3" t="e">
        <f ca="1">IF($A9&lt;&gt;"",
IF(COLUMN(貼り付け用!P9)&gt;MATCH("おやつ",貼り付け用!$3:$3,0),"",
IF(VLOOKUP($A9,貼り付け用!$A$1:$BA$300,COLUMN(),FALSE)=0,"",VLOOKUP($A9,貼り付け用!$A$1:$BA$300,COLUMN(),FALSE))),"")</f>
        <v>#N/A</v>
      </c>
      <c r="Q9" s="3" t="e">
        <f ca="1">IF($A9&lt;&gt;"",
IF(COLUMN(貼り付け用!Q9)&gt;MATCH("おやつ",貼り付け用!$3:$3,0),"",
IF(VLOOKUP($A9,貼り付け用!$A$1:$BA$300,COLUMN(),FALSE)=0,"",VLOOKUP($A9,貼り付け用!$A$1:$BA$300,COLUMN(),FALSE))),"")</f>
        <v>#N/A</v>
      </c>
      <c r="R9" s="3" t="e">
        <f ca="1">IF($A9&lt;&gt;"",
IF(COLUMN(貼り付け用!R9)&gt;MATCH("おやつ",貼り付け用!$3:$3,0),"",
IF(VLOOKUP($A9,貼り付け用!$A$1:$BA$300,COLUMN(),FALSE)=0,"",VLOOKUP($A9,貼り付け用!$A$1:$BA$300,COLUMN(),FALSE))),"")</f>
        <v>#N/A</v>
      </c>
      <c r="S9" s="3" t="e">
        <f ca="1">IF($A9&lt;&gt;"",
IF(COLUMN(貼り付け用!S9)&gt;MATCH("おやつ",貼り付け用!$3:$3,0),"",
IF(VLOOKUP($A9,貼り付け用!$A$1:$BA$300,COLUMN(),FALSE)=0,"",VLOOKUP($A9,貼り付け用!$A$1:$BA$300,COLUMN(),FALSE))),"")</f>
        <v>#N/A</v>
      </c>
      <c r="T9" s="3" t="e">
        <f>IF(COLUMN(貼り付け用!T9)&gt;MATCH("おやつ",貼り付け用!$3:$3,0),"",
IF(VLOOKUP($A9,貼り付け用!$A$1:$BA$300,COLUMN(),FALSE)=0,"",VLOOKUP($A9,貼り付け用!$A$1:$BA$300,COLUMN(),FALSE)))</f>
        <v>#N/A</v>
      </c>
      <c r="U9" s="21"/>
      <c r="V9" s="55" t="e">
        <f ca="1">IF(A9&lt;&gt;"",
IF(VLOOKUP($A9,貼り付け用!$A$1:$BA$300,MATCH("おやつ",貼り付け用!$3:$3,0)+1,FALSE)=0,"",VLOOKUP($A9,貼り付け用!$A$1:$BA$300,MATCH("おやつ",貼り付け用!$3:$3,0)+1,FALSE)),"")</f>
        <v>#N/A</v>
      </c>
      <c r="W9" s="14" t="e">
        <f ca="1">IF(A9&lt;&gt;"",
IF(VLOOKUP($A9,貼り付け用!$A$1:$BA$300,MATCH("おやつ",貼り付け用!$3:$3,0)+2,FALSE)=0,"",VLOOKUP($A9,貼り付け用!$A$1:$BA$300,MATCH("おやつ",貼り付け用!$3:$3,0)+2,FALSE)),"")</f>
        <v>#N/A</v>
      </c>
    </row>
    <row r="10" spans="1:23">
      <c r="A10" s="4" t="e">
        <f t="array" aca="1" ref="A10" ca="1">IF(OR(COUNTIF(A8,"*合計*"),COUNTIF(A8,"")),"",INDEX(貼り付け用!$A:$A,MATCH(A8,貼り付け用!$A:$A,0)+2,0))</f>
        <v>#N/A</v>
      </c>
      <c r="B10" s="14" t="e">
        <f ca="1">IF($A10&lt;&gt;"",IF(VLOOKUP($A10,貼り付け用!$A$1:$BA$300,COLUMN(),FALSE)=0,"",VLOOKUP($A10,貼り付け用!$A$1:$BA$300,COLUMN(),FALSE)),"")</f>
        <v>#N/A</v>
      </c>
      <c r="C10" s="14" t="e">
        <f ca="1">IF($A10&lt;&gt;"",IF(VLOOKUP($A10,貼り付け用!$A$1:$BA$300,COLUMN(),FALSE)=0,"",VLOOKUP($A10,貼り付け用!$A$1:$BA$300,COLUMN(),FALSE)),"")</f>
        <v>#N/A</v>
      </c>
      <c r="D10" s="14" t="e">
        <f ca="1">IF($A10&lt;&gt;"",IF(VLOOKUP($A10,貼り付け用!$A$1:$BA$300,COLUMN(),FALSE)=0,"",VLOOKUP($A10,貼り付け用!$A$1:$BA$300,COLUMN(),FALSE)),"")</f>
        <v>#N/A</v>
      </c>
      <c r="E10" s="14" t="e">
        <f ca="1">IF($A10&lt;&gt;"",IF(VLOOKUP($A10,貼り付け用!$A$1:$BA$300,COLUMN(),FALSE)=0,"",VLOOKUP($A10,貼り付け用!$A$1:$BA$300,COLUMN(),FALSE)),"")</f>
        <v>#N/A</v>
      </c>
      <c r="F10" s="14" t="e">
        <f ca="1">IF($A10&lt;&gt;"",IF(VLOOKUP($A10,貼り付け用!$A$1:$BA$300,COLUMN(),FALSE)=0,"",VLOOKUP($A10,貼り付け用!$A$1:$BA$300,COLUMN(),FALSE)),"")</f>
        <v>#N/A</v>
      </c>
      <c r="G10" s="14" t="e">
        <f ca="1">IF($A10&lt;&gt;"",IF(VLOOKUP($A10,貼り付け用!$A$1:$BA$300,COLUMN(),FALSE)=0,"",VLOOKUP($A10,貼り付け用!$A$1:$BA$300,COLUMN(),FALSE)),"")</f>
        <v>#N/A</v>
      </c>
      <c r="H10" s="14" t="e">
        <f ca="1">IF($A10&lt;&gt;"",IF(VLOOKUP($A10,貼り付け用!$A$1:$BA$300,COLUMN(),FALSE)=0,"",VLOOKUP($A10,貼り付け用!$A$1:$BA$300,COLUMN(),FALSE)),"")</f>
        <v>#N/A</v>
      </c>
      <c r="I10" s="14" t="e">
        <f ca="1">IF($A10&lt;&gt;"",IF(VLOOKUP($A10,貼り付け用!$A$1:$BA$300,COLUMN(),FALSE)=0,"",VLOOKUP($A10,貼り付け用!$A$1:$BA$300,COLUMN(),FALSE)),"")</f>
        <v>#N/A</v>
      </c>
      <c r="J10" s="14" t="e">
        <f ca="1">IF($A10&lt;&gt;"",IF(VLOOKUP($A10,貼り付け用!$A$1:$BA$300,COLUMN(),FALSE)=0,"",VLOOKUP($A10,貼り付け用!$A$1:$BA$300,COLUMN(),FALSE)),"")</f>
        <v>#N/A</v>
      </c>
      <c r="K10" s="14" t="e">
        <f ca="1">IF($A10&lt;&gt;"",IF(VLOOKUP($A10,貼り付け用!$A$1:$BA$300,COLUMN(),FALSE)=0,"",VLOOKUP($A10,貼り付け用!$A$1:$BA$300,COLUMN(),FALSE)),"")</f>
        <v>#N/A</v>
      </c>
      <c r="L10" s="14" t="e">
        <f ca="1">IF($A10&lt;&gt;"",
IF(COLUMN(貼り付け用!L10)&gt;MATCH("おやつ",貼り付け用!$3:$3,0),"",
IF(VLOOKUP($A10,貼り付け用!$A$1:$BA$300,COLUMN(),FALSE)=0,"",VLOOKUP($A10,貼り付け用!$A$1:$BA$300,COLUMN(),FALSE))),"")</f>
        <v>#N/A</v>
      </c>
      <c r="M10" s="14" t="e">
        <f ca="1">IF($A10&lt;&gt;"",
IF(COLUMN(貼り付け用!M10)&gt;MATCH("おやつ",貼り付け用!$3:$3,0),"",
IF(VLOOKUP($A10,貼り付け用!$A$1:$BA$300,COLUMN(),FALSE)=0,"",VLOOKUP($A10,貼り付け用!$A$1:$BA$300,COLUMN(),FALSE))),"")</f>
        <v>#N/A</v>
      </c>
      <c r="N10" s="14" t="e">
        <f ca="1">IF($A10&lt;&gt;"",
IF(COLUMN(貼り付け用!N10)&gt;MATCH("おやつ",貼り付け用!$3:$3,0),"",
IF(VLOOKUP($A10,貼り付け用!$A$1:$BA$300,COLUMN(),FALSE)=0,"",VLOOKUP($A10,貼り付け用!$A$1:$BA$300,COLUMN(),FALSE))),"")</f>
        <v>#N/A</v>
      </c>
      <c r="O10" s="14" t="e">
        <f ca="1">IF($A10&lt;&gt;"",
IF(COLUMN(貼り付け用!O10)&gt;MATCH("おやつ",貼り付け用!$3:$3,0),"",
IF(VLOOKUP($A10,貼り付け用!$A$1:$BA$300,COLUMN(),FALSE)=0,"",VLOOKUP($A10,貼り付け用!$A$1:$BA$300,COLUMN(),FALSE))),"")</f>
        <v>#N/A</v>
      </c>
      <c r="P10" s="14" t="e">
        <f ca="1">IF($A10&lt;&gt;"",
IF(COLUMN(貼り付け用!P10)&gt;MATCH("おやつ",貼り付け用!$3:$3,0),"",
IF(VLOOKUP($A10,貼り付け用!$A$1:$BA$300,COLUMN(),FALSE)=0,"",VLOOKUP($A10,貼り付け用!$A$1:$BA$300,COLUMN(),FALSE))),"")</f>
        <v>#N/A</v>
      </c>
      <c r="Q10" s="14" t="e">
        <f ca="1">IF($A10&lt;&gt;"",
IF(COLUMN(貼り付け用!Q10)&gt;MATCH("おやつ",貼り付け用!$3:$3,0),"",
IF(VLOOKUP($A10,貼り付け用!$A$1:$BA$300,COLUMN(),FALSE)=0,"",VLOOKUP($A10,貼り付け用!$A$1:$BA$300,COLUMN(),FALSE))),"")</f>
        <v>#N/A</v>
      </c>
      <c r="R10" s="14" t="e">
        <f ca="1">IF($A10&lt;&gt;"",
IF(COLUMN(貼り付け用!R10)&gt;MATCH("おやつ",貼り付け用!$3:$3,0),"",
IF(VLOOKUP($A10,貼り付け用!$A$1:$BA$300,COLUMN(),FALSE)=0,"",VLOOKUP($A10,貼り付け用!$A$1:$BA$300,COLUMN(),FALSE))),"")</f>
        <v>#N/A</v>
      </c>
      <c r="S10" s="14" t="e">
        <f ca="1">IF($A10&lt;&gt;"",
IF(COLUMN(貼り付け用!S10)&gt;MATCH("おやつ",貼り付け用!$3:$3,0),"",
IF(VLOOKUP($A10,貼り付け用!$A$1:$BA$300,COLUMN(),FALSE)=0,"",VLOOKUP($A10,貼り付け用!$A$1:$BA$300,COLUMN(),FALSE))),"")</f>
        <v>#N/A</v>
      </c>
      <c r="T10" s="14" t="e">
        <f>IF(COLUMN(貼り付け用!T10)&gt;MATCH("おやつ",貼り付け用!$3:$3,0),"",
IF(VLOOKUP($A10,貼り付け用!$A$1:$BA$300,COLUMN(),FALSE)=0,"",VLOOKUP($A10,貼り付け用!$A$1:$BA$300,COLUMN(),FALSE)))</f>
        <v>#N/A</v>
      </c>
      <c r="U10" s="11"/>
      <c r="V10" s="55" t="e">
        <f ca="1">IF(A10&lt;&gt;"",
IF(VLOOKUP($A10,貼り付け用!$A$1:$BA$300,MATCH("おやつ",貼り付け用!$3:$3,0)+1,FALSE)=0,"",VLOOKUP($A10,貼り付け用!$A$1:$BA$300,MATCH("おやつ",貼り付け用!$3:$3,0)+1,FALSE)),"")</f>
        <v>#N/A</v>
      </c>
      <c r="W10" s="14" t="e">
        <f ca="1">IF(A10&lt;&gt;"",
IF(VLOOKUP($A10,貼り付け用!$A$1:$BA$300,MATCH("おやつ",貼り付け用!$3:$3,0)+2,FALSE)=0,"",VLOOKUP($A10,貼り付け用!$A$1:$BA$300,MATCH("おやつ",貼り付け用!$3:$3,0)+2,FALSE)),"")</f>
        <v>#N/A</v>
      </c>
    </row>
    <row r="11" spans="1:23">
      <c r="A11" s="8" t="e">
        <f t="array" aca="1" ref="A11" ca="1">IF(OR(COUNTIF(A9,"*1000*"),COUNTIF(A9,"")),"",INDEX(貼り付け用!$A:$A,MATCH(A9,貼り付け用!$A:$A,0)+2,0))</f>
        <v>#N/A</v>
      </c>
      <c r="B11" s="3" t="e">
        <f ca="1">IF($A11&lt;&gt;"",IF(VLOOKUP($A11,貼り付け用!$A$1:$BA$300,COLUMN(),FALSE)=0,"",VLOOKUP($A11,貼り付け用!$A$1:$BA$300,COLUMN(),FALSE)),"")</f>
        <v>#N/A</v>
      </c>
      <c r="C11" s="3" t="e">
        <f ca="1">IF($A11&lt;&gt;"",IF(VLOOKUP($A11,貼り付け用!$A$1:$BA$300,COLUMN(),FALSE)=0,"",VLOOKUP($A11,貼り付け用!$A$1:$BA$300,COLUMN(),FALSE)),"")</f>
        <v>#N/A</v>
      </c>
      <c r="D11" s="3" t="e">
        <f ca="1">IF($A11&lt;&gt;"",IF(VLOOKUP($A11,貼り付け用!$A$1:$BA$300,COLUMN(),FALSE)=0,"",VLOOKUP($A11,貼り付け用!$A$1:$BA$300,COLUMN(),FALSE)),"")</f>
        <v>#N/A</v>
      </c>
      <c r="E11" s="3" t="e">
        <f ca="1">IF($A11&lt;&gt;"",IF(VLOOKUP($A11,貼り付け用!$A$1:$BA$300,COLUMN(),FALSE)=0,"",VLOOKUP($A11,貼り付け用!$A$1:$BA$300,COLUMN(),FALSE)),"")</f>
        <v>#N/A</v>
      </c>
      <c r="F11" s="3" t="e">
        <f ca="1">IF($A11&lt;&gt;"",IF(VLOOKUP($A11,貼り付け用!$A$1:$BA$300,COLUMN(),FALSE)=0,"",VLOOKUP($A11,貼り付け用!$A$1:$BA$300,COLUMN(),FALSE)),"")</f>
        <v>#N/A</v>
      </c>
      <c r="G11" s="3" t="e">
        <f ca="1">IF($A11&lt;&gt;"",IF(VLOOKUP($A11,貼り付け用!$A$1:$BA$300,COLUMN(),FALSE)=0,"",VLOOKUP($A11,貼り付け用!$A$1:$BA$300,COLUMN(),FALSE)),"")</f>
        <v>#N/A</v>
      </c>
      <c r="H11" s="3" t="e">
        <f ca="1">IF($A11&lt;&gt;"",IF(VLOOKUP($A11,貼り付け用!$A$1:$BA$300,COLUMN(),FALSE)=0,"",VLOOKUP($A11,貼り付け用!$A$1:$BA$300,COLUMN(),FALSE)),"")</f>
        <v>#N/A</v>
      </c>
      <c r="I11" s="3" t="e">
        <f ca="1">IF($A11&lt;&gt;"",IF(VLOOKUP($A11,貼り付け用!$A$1:$BA$300,COLUMN(),FALSE)=0,"",VLOOKUP($A11,貼り付け用!$A$1:$BA$300,COLUMN(),FALSE)),"")</f>
        <v>#N/A</v>
      </c>
      <c r="J11" s="3" t="e">
        <f ca="1">IF($A11&lt;&gt;"",IF(VLOOKUP($A11,貼り付け用!$A$1:$BA$300,COLUMN(),FALSE)=0,"",VLOOKUP($A11,貼り付け用!$A$1:$BA$300,COLUMN(),FALSE)),"")</f>
        <v>#N/A</v>
      </c>
      <c r="K11" s="3" t="e">
        <f ca="1">IF($A11&lt;&gt;"",IF(VLOOKUP($A11,貼り付け用!$A$1:$BA$300,COLUMN(),FALSE)=0,"",VLOOKUP($A11,貼り付け用!$A$1:$BA$300,COLUMN(),FALSE)),"")</f>
        <v>#N/A</v>
      </c>
      <c r="L11" s="3" t="e">
        <f ca="1">IF($A11&lt;&gt;"",
IF(COLUMN(貼り付け用!L11)&gt;MATCH("おやつ",貼り付け用!$3:$3,0),"",
IF(VLOOKUP($A11,貼り付け用!$A$1:$BA$300,COLUMN(),FALSE)=0,"",VLOOKUP($A11,貼り付け用!$A$1:$BA$300,COLUMN(),FALSE))),"")</f>
        <v>#N/A</v>
      </c>
      <c r="M11" s="3" t="e">
        <f ca="1">IF($A11&lt;&gt;"",
IF(COLUMN(貼り付け用!M11)&gt;MATCH("おやつ",貼り付け用!$3:$3,0),"",
IF(VLOOKUP($A11,貼り付け用!$A$1:$BA$300,COLUMN(),FALSE)=0,"",VLOOKUP($A11,貼り付け用!$A$1:$BA$300,COLUMN(),FALSE))),"")</f>
        <v>#N/A</v>
      </c>
      <c r="N11" s="3" t="e">
        <f ca="1">IF($A11&lt;&gt;"",
IF(COLUMN(貼り付け用!N11)&gt;MATCH("おやつ",貼り付け用!$3:$3,0),"",
IF(VLOOKUP($A11,貼り付け用!$A$1:$BA$300,COLUMN(),FALSE)=0,"",VLOOKUP($A11,貼り付け用!$A$1:$BA$300,COLUMN(),FALSE))),"")</f>
        <v>#N/A</v>
      </c>
      <c r="O11" s="3" t="e">
        <f ca="1">IF($A11&lt;&gt;"",
IF(COLUMN(貼り付け用!O11)&gt;MATCH("おやつ",貼り付け用!$3:$3,0),"",
IF(VLOOKUP($A11,貼り付け用!$A$1:$BA$300,COLUMN(),FALSE)=0,"",VLOOKUP($A11,貼り付け用!$A$1:$BA$300,COLUMN(),FALSE))),"")</f>
        <v>#N/A</v>
      </c>
      <c r="P11" s="3" t="e">
        <f ca="1">IF($A11&lt;&gt;"",
IF(COLUMN(貼り付け用!P11)&gt;MATCH("おやつ",貼り付け用!$3:$3,0),"",
IF(VLOOKUP($A11,貼り付け用!$A$1:$BA$300,COLUMN(),FALSE)=0,"",VLOOKUP($A11,貼り付け用!$A$1:$BA$300,COLUMN(),FALSE))),"")</f>
        <v>#N/A</v>
      </c>
      <c r="Q11" s="3" t="e">
        <f ca="1">IF($A11&lt;&gt;"",
IF(COLUMN(貼り付け用!Q11)&gt;MATCH("おやつ",貼り付け用!$3:$3,0),"",
IF(VLOOKUP($A11,貼り付け用!$A$1:$BA$300,COLUMN(),FALSE)=0,"",VLOOKUP($A11,貼り付け用!$A$1:$BA$300,COLUMN(),FALSE))),"")</f>
        <v>#N/A</v>
      </c>
      <c r="R11" s="3" t="e">
        <f ca="1">IF($A11&lt;&gt;"",
IF(COLUMN(貼り付け用!R11)&gt;MATCH("おやつ",貼り付け用!$3:$3,0),"",
IF(VLOOKUP($A11,貼り付け用!$A$1:$BA$300,COLUMN(),FALSE)=0,"",VLOOKUP($A11,貼り付け用!$A$1:$BA$300,COLUMN(),FALSE))),"")</f>
        <v>#N/A</v>
      </c>
      <c r="S11" s="3" t="e">
        <f ca="1">IF($A11&lt;&gt;"",
IF(COLUMN(貼り付け用!S11)&gt;MATCH("おやつ",貼り付け用!$3:$3,0),"",
IF(VLOOKUP($A11,貼り付け用!$A$1:$BA$300,COLUMN(),FALSE)=0,"",VLOOKUP($A11,貼り付け用!$A$1:$BA$300,COLUMN(),FALSE))),"")</f>
        <v>#N/A</v>
      </c>
      <c r="T11" s="3" t="e">
        <f>IF(COLUMN(貼り付け用!T11)&gt;MATCH("おやつ",貼り付け用!$3:$3,0),"",
IF(VLOOKUP($A11,貼り付け用!$A$1:$BA$300,COLUMN(),FALSE)=0,"",VLOOKUP($A11,貼り付け用!$A$1:$BA$300,COLUMN(),FALSE)))</f>
        <v>#N/A</v>
      </c>
      <c r="U11" s="21"/>
      <c r="V11" s="55" t="e">
        <f ca="1">IF(A11&lt;&gt;"",
IF(VLOOKUP($A11,貼り付け用!$A$1:$BA$300,MATCH("おやつ",貼り付け用!$3:$3,0)+1,FALSE)=0,"",VLOOKUP($A11,貼り付け用!$A$1:$BA$300,MATCH("おやつ",貼り付け用!$3:$3,0)+1,FALSE)),"")</f>
        <v>#N/A</v>
      </c>
      <c r="W11" s="14" t="e">
        <f ca="1">IF(A11&lt;&gt;"",
IF(VLOOKUP($A11,貼り付け用!$A$1:$BA$300,MATCH("おやつ",貼り付け用!$3:$3,0)+2,FALSE)=0,"",VLOOKUP($A11,貼り付け用!$A$1:$BA$300,MATCH("おやつ",貼り付け用!$3:$3,0)+2,FALSE)),"")</f>
        <v>#N/A</v>
      </c>
    </row>
    <row r="12" spans="1:23">
      <c r="A12" s="4" t="e">
        <f t="array" aca="1" ref="A12" ca="1">IF(OR(COUNTIF(A10,"*合計*"),COUNTIF(A10,"")),"",INDEX(貼り付け用!$A:$A,MATCH(A10,貼り付け用!$A:$A,0)+2,0))</f>
        <v>#N/A</v>
      </c>
      <c r="B12" s="14" t="e">
        <f ca="1">IF($A12&lt;&gt;"",IF(VLOOKUP($A12,貼り付け用!$A$1:$BA$300,COLUMN(),FALSE)=0,"",VLOOKUP($A12,貼り付け用!$A$1:$BA$300,COLUMN(),FALSE)),"")</f>
        <v>#N/A</v>
      </c>
      <c r="C12" s="14" t="e">
        <f ca="1">IF($A12&lt;&gt;"",IF(VLOOKUP($A12,貼り付け用!$A$1:$BA$300,COLUMN(),FALSE)=0,"",VLOOKUP($A12,貼り付け用!$A$1:$BA$300,COLUMN(),FALSE)),"")</f>
        <v>#N/A</v>
      </c>
      <c r="D12" s="14" t="e">
        <f ca="1">IF($A12&lt;&gt;"",IF(VLOOKUP($A12,貼り付け用!$A$1:$BA$300,COLUMN(),FALSE)=0,"",VLOOKUP($A12,貼り付け用!$A$1:$BA$300,COLUMN(),FALSE)),"")</f>
        <v>#N/A</v>
      </c>
      <c r="E12" s="14" t="e">
        <f ca="1">IF($A12&lt;&gt;"",IF(VLOOKUP($A12,貼り付け用!$A$1:$BA$300,COLUMN(),FALSE)=0,"",VLOOKUP($A12,貼り付け用!$A$1:$BA$300,COLUMN(),FALSE)),"")</f>
        <v>#N/A</v>
      </c>
      <c r="F12" s="14" t="e">
        <f ca="1">IF($A12&lt;&gt;"",IF(VLOOKUP($A12,貼り付け用!$A$1:$BA$300,COLUMN(),FALSE)=0,"",VLOOKUP($A12,貼り付け用!$A$1:$BA$300,COLUMN(),FALSE)),"")</f>
        <v>#N/A</v>
      </c>
      <c r="G12" s="14" t="e">
        <f ca="1">IF($A12&lt;&gt;"",IF(VLOOKUP($A12,貼り付け用!$A$1:$BA$300,COLUMN(),FALSE)=0,"",VLOOKUP($A12,貼り付け用!$A$1:$BA$300,COLUMN(),FALSE)),"")</f>
        <v>#N/A</v>
      </c>
      <c r="H12" s="14" t="e">
        <f ca="1">IF($A12&lt;&gt;"",IF(VLOOKUP($A12,貼り付け用!$A$1:$BA$300,COLUMN(),FALSE)=0,"",VLOOKUP($A12,貼り付け用!$A$1:$BA$300,COLUMN(),FALSE)),"")</f>
        <v>#N/A</v>
      </c>
      <c r="I12" s="14" t="e">
        <f ca="1">IF($A12&lt;&gt;"",IF(VLOOKUP($A12,貼り付け用!$A$1:$BA$300,COLUMN(),FALSE)=0,"",VLOOKUP($A12,貼り付け用!$A$1:$BA$300,COLUMN(),FALSE)),"")</f>
        <v>#N/A</v>
      </c>
      <c r="J12" s="14" t="e">
        <f ca="1">IF($A12&lt;&gt;"",IF(VLOOKUP($A12,貼り付け用!$A$1:$BA$300,COLUMN(),FALSE)=0,"",VLOOKUP($A12,貼り付け用!$A$1:$BA$300,COLUMN(),FALSE)),"")</f>
        <v>#N/A</v>
      </c>
      <c r="K12" s="14" t="e">
        <f ca="1">IF($A12&lt;&gt;"",IF(VLOOKUP($A12,貼り付け用!$A$1:$BA$300,COLUMN(),FALSE)=0,"",VLOOKUP($A12,貼り付け用!$A$1:$BA$300,COLUMN(),FALSE)),"")</f>
        <v>#N/A</v>
      </c>
      <c r="L12" s="14" t="e">
        <f ca="1">IF($A12&lt;&gt;"",
IF(COLUMN(貼り付け用!L12)&gt;MATCH("おやつ",貼り付け用!$3:$3,0),"",
IF(VLOOKUP($A12,貼り付け用!$A$1:$BA$300,COLUMN(),FALSE)=0,"",VLOOKUP($A12,貼り付け用!$A$1:$BA$300,COLUMN(),FALSE))),"")</f>
        <v>#N/A</v>
      </c>
      <c r="M12" s="14" t="e">
        <f ca="1">IF($A12&lt;&gt;"",
IF(COLUMN(貼り付け用!M12)&gt;MATCH("おやつ",貼り付け用!$3:$3,0),"",
IF(VLOOKUP($A12,貼り付け用!$A$1:$BA$300,COLUMN(),FALSE)=0,"",VLOOKUP($A12,貼り付け用!$A$1:$BA$300,COLUMN(),FALSE))),"")</f>
        <v>#N/A</v>
      </c>
      <c r="N12" s="14" t="e">
        <f ca="1">IF($A12&lt;&gt;"",
IF(COLUMN(貼り付け用!N12)&gt;MATCH("おやつ",貼り付け用!$3:$3,0),"",
IF(VLOOKUP($A12,貼り付け用!$A$1:$BA$300,COLUMN(),FALSE)=0,"",VLOOKUP($A12,貼り付け用!$A$1:$BA$300,COLUMN(),FALSE))),"")</f>
        <v>#N/A</v>
      </c>
      <c r="O12" s="14" t="e">
        <f ca="1">IF($A12&lt;&gt;"",
IF(COLUMN(貼り付け用!O12)&gt;MATCH("おやつ",貼り付け用!$3:$3,0),"",
IF(VLOOKUP($A12,貼り付け用!$A$1:$BA$300,COLUMN(),FALSE)=0,"",VLOOKUP($A12,貼り付け用!$A$1:$BA$300,COLUMN(),FALSE))),"")</f>
        <v>#N/A</v>
      </c>
      <c r="P12" s="14" t="e">
        <f ca="1">IF($A12&lt;&gt;"",
IF(COLUMN(貼り付け用!P12)&gt;MATCH("おやつ",貼り付け用!$3:$3,0),"",
IF(VLOOKUP($A12,貼り付け用!$A$1:$BA$300,COLUMN(),FALSE)=0,"",VLOOKUP($A12,貼り付け用!$A$1:$BA$300,COLUMN(),FALSE))),"")</f>
        <v>#N/A</v>
      </c>
      <c r="Q12" s="14" t="e">
        <f ca="1">IF($A12&lt;&gt;"",
IF(COLUMN(貼り付け用!Q12)&gt;MATCH("おやつ",貼り付け用!$3:$3,0),"",
IF(VLOOKUP($A12,貼り付け用!$A$1:$BA$300,COLUMN(),FALSE)=0,"",VLOOKUP($A12,貼り付け用!$A$1:$BA$300,COLUMN(),FALSE))),"")</f>
        <v>#N/A</v>
      </c>
      <c r="R12" s="14" t="e">
        <f ca="1">IF($A12&lt;&gt;"",
IF(COLUMN(貼り付け用!R12)&gt;MATCH("おやつ",貼り付け用!$3:$3,0),"",
IF(VLOOKUP($A12,貼り付け用!$A$1:$BA$300,COLUMN(),FALSE)=0,"",VLOOKUP($A12,貼り付け用!$A$1:$BA$300,COLUMN(),FALSE))),"")</f>
        <v>#N/A</v>
      </c>
      <c r="S12" s="14" t="e">
        <f ca="1">IF($A12&lt;&gt;"",
IF(COLUMN(貼り付け用!S12)&gt;MATCH("おやつ",貼り付け用!$3:$3,0),"",
IF(VLOOKUP($A12,貼り付け用!$A$1:$BA$300,COLUMN(),FALSE)=0,"",VLOOKUP($A12,貼り付け用!$A$1:$BA$300,COLUMN(),FALSE))),"")</f>
        <v>#N/A</v>
      </c>
      <c r="T12" s="14" t="e">
        <f>IF(COLUMN(貼り付け用!T12)&gt;MATCH("おやつ",貼り付け用!$3:$3,0),"",
IF(VLOOKUP($A12,貼り付け用!$A$1:$BA$300,COLUMN(),FALSE)=0,"",VLOOKUP($A12,貼り付け用!$A$1:$BA$300,COLUMN(),FALSE)))</f>
        <v>#N/A</v>
      </c>
      <c r="U12" s="11"/>
      <c r="V12" s="55" t="e">
        <f ca="1">IF(A12&lt;&gt;"",
IF(VLOOKUP($A12,貼り付け用!$A$1:$BA$300,MATCH("おやつ",貼り付け用!$3:$3,0)+1,FALSE)=0,"",VLOOKUP($A12,貼り付け用!$A$1:$BA$300,MATCH("おやつ",貼り付け用!$3:$3,0)+1,FALSE)),"")</f>
        <v>#N/A</v>
      </c>
      <c r="W12" s="14" t="e">
        <f ca="1">IF(A12&lt;&gt;"",
IF(VLOOKUP($A12,貼り付け用!$A$1:$BA$300,MATCH("おやつ",貼り付け用!$3:$3,0)+2,FALSE)=0,"",VLOOKUP($A12,貼り付け用!$A$1:$BA$300,MATCH("おやつ",貼り付け用!$3:$3,0)+2,FALSE)),"")</f>
        <v>#N/A</v>
      </c>
    </row>
    <row r="13" spans="1:23">
      <c r="A13" s="8" t="e">
        <f t="array" aca="1" ref="A13" ca="1">IF(OR(COUNTIF(A11,"*1000*"),COUNTIF(A11,"")),"",INDEX(貼り付け用!$A:$A,MATCH(A11,貼り付け用!$A:$A,0)+2,0))</f>
        <v>#N/A</v>
      </c>
      <c r="B13" s="3" t="e">
        <f ca="1">IF($A13&lt;&gt;"",IF(VLOOKUP($A13,貼り付け用!$A$1:$BA$300,COLUMN(),FALSE)=0,"",VLOOKUP($A13,貼り付け用!$A$1:$BA$300,COLUMN(),FALSE)),"")</f>
        <v>#N/A</v>
      </c>
      <c r="C13" s="3" t="e">
        <f ca="1">IF($A13&lt;&gt;"",IF(VLOOKUP($A13,貼り付け用!$A$1:$BA$300,COLUMN(),FALSE)=0,"",VLOOKUP($A13,貼り付け用!$A$1:$BA$300,COLUMN(),FALSE)),"")</f>
        <v>#N/A</v>
      </c>
      <c r="D13" s="3" t="e">
        <f ca="1">IF($A13&lt;&gt;"",IF(VLOOKUP($A13,貼り付け用!$A$1:$BA$300,COLUMN(),FALSE)=0,"",VLOOKUP($A13,貼り付け用!$A$1:$BA$300,COLUMN(),FALSE)),"")</f>
        <v>#N/A</v>
      </c>
      <c r="E13" s="3" t="e">
        <f ca="1">IF($A13&lt;&gt;"",IF(VLOOKUP($A13,貼り付け用!$A$1:$BA$300,COLUMN(),FALSE)=0,"",VLOOKUP($A13,貼り付け用!$A$1:$BA$300,COLUMN(),FALSE)),"")</f>
        <v>#N/A</v>
      </c>
      <c r="F13" s="3" t="e">
        <f ca="1">IF($A13&lt;&gt;"",IF(VLOOKUP($A13,貼り付け用!$A$1:$BA$300,COLUMN(),FALSE)=0,"",VLOOKUP($A13,貼り付け用!$A$1:$BA$300,COLUMN(),FALSE)),"")</f>
        <v>#N/A</v>
      </c>
      <c r="G13" s="3" t="e">
        <f ca="1">IF($A13&lt;&gt;"",IF(VLOOKUP($A13,貼り付け用!$A$1:$BA$300,COLUMN(),FALSE)=0,"",VLOOKUP($A13,貼り付け用!$A$1:$BA$300,COLUMN(),FALSE)),"")</f>
        <v>#N/A</v>
      </c>
      <c r="H13" s="3" t="e">
        <f ca="1">IF($A13&lt;&gt;"",IF(VLOOKUP($A13,貼り付け用!$A$1:$BA$300,COLUMN(),FALSE)=0,"",VLOOKUP($A13,貼り付け用!$A$1:$BA$300,COLUMN(),FALSE)),"")</f>
        <v>#N/A</v>
      </c>
      <c r="I13" s="3" t="e">
        <f ca="1">IF($A13&lt;&gt;"",IF(VLOOKUP($A13,貼り付け用!$A$1:$BA$300,COLUMN(),FALSE)=0,"",VLOOKUP($A13,貼り付け用!$A$1:$BA$300,COLUMN(),FALSE)),"")</f>
        <v>#N/A</v>
      </c>
      <c r="J13" s="3" t="e">
        <f ca="1">IF($A13&lt;&gt;"",IF(VLOOKUP($A13,貼り付け用!$A$1:$BA$300,COLUMN(),FALSE)=0,"",VLOOKUP($A13,貼り付け用!$A$1:$BA$300,COLUMN(),FALSE)),"")</f>
        <v>#N/A</v>
      </c>
      <c r="K13" s="3" t="e">
        <f ca="1">IF($A13&lt;&gt;"",IF(VLOOKUP($A13,貼り付け用!$A$1:$BA$300,COLUMN(),FALSE)=0,"",VLOOKUP($A13,貼り付け用!$A$1:$BA$300,COLUMN(),FALSE)),"")</f>
        <v>#N/A</v>
      </c>
      <c r="L13" s="3" t="e">
        <f ca="1">IF($A13&lt;&gt;"",
IF(COLUMN(貼り付け用!L13)&gt;MATCH("おやつ",貼り付け用!$3:$3,0),"",
IF(VLOOKUP($A13,貼り付け用!$A$1:$BA$300,COLUMN(),FALSE)=0,"",VLOOKUP($A13,貼り付け用!$A$1:$BA$300,COLUMN(),FALSE))),"")</f>
        <v>#N/A</v>
      </c>
      <c r="M13" s="3" t="e">
        <f ca="1">IF($A13&lt;&gt;"",
IF(COLUMN(貼り付け用!M13)&gt;MATCH("おやつ",貼り付け用!$3:$3,0),"",
IF(VLOOKUP($A13,貼り付け用!$A$1:$BA$300,COLUMN(),FALSE)=0,"",VLOOKUP($A13,貼り付け用!$A$1:$BA$300,COLUMN(),FALSE))),"")</f>
        <v>#N/A</v>
      </c>
      <c r="N13" s="3" t="e">
        <f ca="1">IF($A13&lt;&gt;"",
IF(COLUMN(貼り付け用!N13)&gt;MATCH("おやつ",貼り付け用!$3:$3,0),"",
IF(VLOOKUP($A13,貼り付け用!$A$1:$BA$300,COLUMN(),FALSE)=0,"",VLOOKUP($A13,貼り付け用!$A$1:$BA$300,COLUMN(),FALSE))),"")</f>
        <v>#N/A</v>
      </c>
      <c r="O13" s="3" t="e">
        <f ca="1">IF($A13&lt;&gt;"",
IF(COLUMN(貼り付け用!O13)&gt;MATCH("おやつ",貼り付け用!$3:$3,0),"",
IF(VLOOKUP($A13,貼り付け用!$A$1:$BA$300,COLUMN(),FALSE)=0,"",VLOOKUP($A13,貼り付け用!$A$1:$BA$300,COLUMN(),FALSE))),"")</f>
        <v>#N/A</v>
      </c>
      <c r="P13" s="3" t="e">
        <f ca="1">IF($A13&lt;&gt;"",
IF(COLUMN(貼り付け用!P13)&gt;MATCH("おやつ",貼り付け用!$3:$3,0),"",
IF(VLOOKUP($A13,貼り付け用!$A$1:$BA$300,COLUMN(),FALSE)=0,"",VLOOKUP($A13,貼り付け用!$A$1:$BA$300,COLUMN(),FALSE))),"")</f>
        <v>#N/A</v>
      </c>
      <c r="Q13" s="3" t="e">
        <f ca="1">IF($A13&lt;&gt;"",
IF(COLUMN(貼り付け用!Q13)&gt;MATCH("おやつ",貼り付け用!$3:$3,0),"",
IF(VLOOKUP($A13,貼り付け用!$A$1:$BA$300,COLUMN(),FALSE)=0,"",VLOOKUP($A13,貼り付け用!$A$1:$BA$300,COLUMN(),FALSE))),"")</f>
        <v>#N/A</v>
      </c>
      <c r="R13" s="3" t="e">
        <f ca="1">IF($A13&lt;&gt;"",
IF(COLUMN(貼り付け用!R13)&gt;MATCH("おやつ",貼り付け用!$3:$3,0),"",
IF(VLOOKUP($A13,貼り付け用!$A$1:$BA$300,COLUMN(),FALSE)=0,"",VLOOKUP($A13,貼り付け用!$A$1:$BA$300,COLUMN(),FALSE))),"")</f>
        <v>#N/A</v>
      </c>
      <c r="S13" s="3" t="e">
        <f ca="1">IF($A13&lt;&gt;"",
IF(COLUMN(貼り付け用!S13)&gt;MATCH("おやつ",貼り付け用!$3:$3,0),"",
IF(VLOOKUP($A13,貼り付け用!$A$1:$BA$300,COLUMN(),FALSE)=0,"",VLOOKUP($A13,貼り付け用!$A$1:$BA$300,COLUMN(),FALSE))),"")</f>
        <v>#N/A</v>
      </c>
      <c r="T13" s="3" t="e">
        <f>IF(COLUMN(貼り付け用!T13)&gt;MATCH("おやつ",貼り付け用!$3:$3,0),"",
IF(VLOOKUP($A13,貼り付け用!$A$1:$BA$300,COLUMN(),FALSE)=0,"",VLOOKUP($A13,貼り付け用!$A$1:$BA$300,COLUMN(),FALSE)))</f>
        <v>#N/A</v>
      </c>
      <c r="U13" s="21"/>
      <c r="V13" s="55" t="e">
        <f ca="1">IF(A13&lt;&gt;"",
IF(VLOOKUP($A13,貼り付け用!$A$1:$BA$300,MATCH("おやつ",貼り付け用!$3:$3,0)+1,FALSE)=0,"",VLOOKUP($A13,貼り付け用!$A$1:$BA$300,MATCH("おやつ",貼り付け用!$3:$3,0)+1,FALSE)),"")</f>
        <v>#N/A</v>
      </c>
      <c r="W13" s="14" t="e">
        <f ca="1">IF(A13&lt;&gt;"",
IF(VLOOKUP($A13,貼り付け用!$A$1:$BA$300,MATCH("おやつ",貼り付け用!$3:$3,0)+2,FALSE)=0,"",VLOOKUP($A13,貼り付け用!$A$1:$BA$300,MATCH("おやつ",貼り付け用!$3:$3,0)+2,FALSE)),"")</f>
        <v>#N/A</v>
      </c>
    </row>
    <row r="14" spans="1:23">
      <c r="A14" s="4" t="e">
        <f t="array" aca="1" ref="A14" ca="1">IF(OR(COUNTIF(A12,"*合計*"),COUNTIF(A12,"")),"",INDEX(貼り付け用!$A:$A,MATCH(A12,貼り付け用!$A:$A,0)+2,0))</f>
        <v>#N/A</v>
      </c>
      <c r="B14" s="14" t="e">
        <f ca="1">IF($A14&lt;&gt;"",IF(VLOOKUP($A14,貼り付け用!$A$1:$BA$300,COLUMN(),FALSE)=0,"",VLOOKUP($A14,貼り付け用!$A$1:$BA$300,COLUMN(),FALSE)),"")</f>
        <v>#N/A</v>
      </c>
      <c r="C14" s="14" t="e">
        <f ca="1">IF($A14&lt;&gt;"",IF(VLOOKUP($A14,貼り付け用!$A$1:$BA$300,COLUMN(),FALSE)=0,"",VLOOKUP($A14,貼り付け用!$A$1:$BA$300,COLUMN(),FALSE)),"")</f>
        <v>#N/A</v>
      </c>
      <c r="D14" s="14" t="e">
        <f ca="1">IF($A14&lt;&gt;"",IF(VLOOKUP($A14,貼り付け用!$A$1:$BA$300,COLUMN(),FALSE)=0,"",VLOOKUP($A14,貼り付け用!$A$1:$BA$300,COLUMN(),FALSE)),"")</f>
        <v>#N/A</v>
      </c>
      <c r="E14" s="14" t="e">
        <f ca="1">IF($A14&lt;&gt;"",IF(VLOOKUP($A14,貼り付け用!$A$1:$BA$300,COLUMN(),FALSE)=0,"",VLOOKUP($A14,貼り付け用!$A$1:$BA$300,COLUMN(),FALSE)),"")</f>
        <v>#N/A</v>
      </c>
      <c r="F14" s="14" t="e">
        <f ca="1">IF($A14&lt;&gt;"",IF(VLOOKUP($A14,貼り付け用!$A$1:$BA$300,COLUMN(),FALSE)=0,"",VLOOKUP($A14,貼り付け用!$A$1:$BA$300,COLUMN(),FALSE)),"")</f>
        <v>#N/A</v>
      </c>
      <c r="G14" s="14" t="e">
        <f ca="1">IF($A14&lt;&gt;"",IF(VLOOKUP($A14,貼り付け用!$A$1:$BA$300,COLUMN(),FALSE)=0,"",VLOOKUP($A14,貼り付け用!$A$1:$BA$300,COLUMN(),FALSE)),"")</f>
        <v>#N/A</v>
      </c>
      <c r="H14" s="14" t="e">
        <f ca="1">IF($A14&lt;&gt;"",IF(VLOOKUP($A14,貼り付け用!$A$1:$BA$300,COLUMN(),FALSE)=0,"",VLOOKUP($A14,貼り付け用!$A$1:$BA$300,COLUMN(),FALSE)),"")</f>
        <v>#N/A</v>
      </c>
      <c r="I14" s="14" t="e">
        <f ca="1">IF($A14&lt;&gt;"",IF(VLOOKUP($A14,貼り付け用!$A$1:$BA$300,COLUMN(),FALSE)=0,"",VLOOKUP($A14,貼り付け用!$A$1:$BA$300,COLUMN(),FALSE)),"")</f>
        <v>#N/A</v>
      </c>
      <c r="J14" s="14" t="e">
        <f ca="1">IF($A14&lt;&gt;"",IF(VLOOKUP($A14,貼り付け用!$A$1:$BA$300,COLUMN(),FALSE)=0,"",VLOOKUP($A14,貼り付け用!$A$1:$BA$300,COLUMN(),FALSE)),"")</f>
        <v>#N/A</v>
      </c>
      <c r="K14" s="14" t="e">
        <f ca="1">IF($A14&lt;&gt;"",IF(VLOOKUP($A14,貼り付け用!$A$1:$BA$300,COLUMN(),FALSE)=0,"",VLOOKUP($A14,貼り付け用!$A$1:$BA$300,COLUMN(),FALSE)),"")</f>
        <v>#N/A</v>
      </c>
      <c r="L14" s="14" t="e">
        <f ca="1">IF($A14&lt;&gt;"",
IF(COLUMN(貼り付け用!L14)&gt;MATCH("おやつ",貼り付け用!$3:$3,0),"",
IF(VLOOKUP($A14,貼り付け用!$A$1:$BA$300,COLUMN(),FALSE)=0,"",VLOOKUP($A14,貼り付け用!$A$1:$BA$300,COLUMN(),FALSE))),"")</f>
        <v>#N/A</v>
      </c>
      <c r="M14" s="14" t="e">
        <f ca="1">IF($A14&lt;&gt;"",
IF(COLUMN(貼り付け用!M14)&gt;MATCH("おやつ",貼り付け用!$3:$3,0),"",
IF(VLOOKUP($A14,貼り付け用!$A$1:$BA$300,COLUMN(),FALSE)=0,"",VLOOKUP($A14,貼り付け用!$A$1:$BA$300,COLUMN(),FALSE))),"")</f>
        <v>#N/A</v>
      </c>
      <c r="N14" s="14" t="e">
        <f ca="1">IF($A14&lt;&gt;"",
IF(COLUMN(貼り付け用!N14)&gt;MATCH("おやつ",貼り付け用!$3:$3,0),"",
IF(VLOOKUP($A14,貼り付け用!$A$1:$BA$300,COLUMN(),FALSE)=0,"",VLOOKUP($A14,貼り付け用!$A$1:$BA$300,COLUMN(),FALSE))),"")</f>
        <v>#N/A</v>
      </c>
      <c r="O14" s="14" t="e">
        <f ca="1">IF($A14&lt;&gt;"",
IF(COLUMN(貼り付け用!O14)&gt;MATCH("おやつ",貼り付け用!$3:$3,0),"",
IF(VLOOKUP($A14,貼り付け用!$A$1:$BA$300,COLUMN(),FALSE)=0,"",VLOOKUP($A14,貼り付け用!$A$1:$BA$300,COLUMN(),FALSE))),"")</f>
        <v>#N/A</v>
      </c>
      <c r="P14" s="14" t="e">
        <f ca="1">IF($A14&lt;&gt;"",
IF(COLUMN(貼り付け用!P14)&gt;MATCH("おやつ",貼り付け用!$3:$3,0),"",
IF(VLOOKUP($A14,貼り付け用!$A$1:$BA$300,COLUMN(),FALSE)=0,"",VLOOKUP($A14,貼り付け用!$A$1:$BA$300,COLUMN(),FALSE))),"")</f>
        <v>#N/A</v>
      </c>
      <c r="Q14" s="14" t="e">
        <f ca="1">IF($A14&lt;&gt;"",
IF(COLUMN(貼り付け用!Q14)&gt;MATCH("おやつ",貼り付け用!$3:$3,0),"",
IF(VLOOKUP($A14,貼り付け用!$A$1:$BA$300,COLUMN(),FALSE)=0,"",VLOOKUP($A14,貼り付け用!$A$1:$BA$300,COLUMN(),FALSE))),"")</f>
        <v>#N/A</v>
      </c>
      <c r="R14" s="14" t="e">
        <f ca="1">IF($A14&lt;&gt;"",
IF(COLUMN(貼り付け用!R14)&gt;MATCH("おやつ",貼り付け用!$3:$3,0),"",
IF(VLOOKUP($A14,貼り付け用!$A$1:$BA$300,COLUMN(),FALSE)=0,"",VLOOKUP($A14,貼り付け用!$A$1:$BA$300,COLUMN(),FALSE))),"")</f>
        <v>#N/A</v>
      </c>
      <c r="S14" s="14" t="e">
        <f ca="1">IF($A14&lt;&gt;"",
IF(COLUMN(貼り付け用!S14)&gt;MATCH("おやつ",貼り付け用!$3:$3,0),"",
IF(VLOOKUP($A14,貼り付け用!$A$1:$BA$300,COLUMN(),FALSE)=0,"",VLOOKUP($A14,貼り付け用!$A$1:$BA$300,COLUMN(),FALSE))),"")</f>
        <v>#N/A</v>
      </c>
      <c r="T14" s="14" t="e">
        <f>IF(COLUMN(貼り付け用!T14)&gt;MATCH("おやつ",貼り付け用!$3:$3,0),"",
IF(VLOOKUP($A14,貼り付け用!$A$1:$BA$300,COLUMN(),FALSE)=0,"",VLOOKUP($A14,貼り付け用!$A$1:$BA$300,COLUMN(),FALSE)))</f>
        <v>#N/A</v>
      </c>
      <c r="U14" s="11"/>
      <c r="V14" s="55" t="e">
        <f ca="1">IF(A14&lt;&gt;"",
IF(VLOOKUP($A14,貼り付け用!$A$1:$BA$300,MATCH("おやつ",貼り付け用!$3:$3,0)+1,FALSE)=0,"",VLOOKUP($A14,貼り付け用!$A$1:$BA$300,MATCH("おやつ",貼り付け用!$3:$3,0)+1,FALSE)),"")</f>
        <v>#N/A</v>
      </c>
      <c r="W14" s="14" t="e">
        <f ca="1">IF(A14&lt;&gt;"",
IF(VLOOKUP($A14,貼り付け用!$A$1:$BA$300,MATCH("おやつ",貼り付け用!$3:$3,0)+2,FALSE)=0,"",VLOOKUP($A14,貼り付け用!$A$1:$BA$300,MATCH("おやつ",貼り付け用!$3:$3,0)+2,FALSE)),"")</f>
        <v>#N/A</v>
      </c>
    </row>
    <row r="15" spans="1:23">
      <c r="A15" s="8" t="e">
        <f t="array" aca="1" ref="A15" ca="1">IF(OR(COUNTIF(A13,"*1000*"),COUNTIF(A13,"")),"",INDEX(貼り付け用!$A:$A,MATCH(A13,貼り付け用!$A:$A,0)+2,0))</f>
        <v>#N/A</v>
      </c>
      <c r="B15" s="3" t="e">
        <f ca="1">IF($A15&lt;&gt;"",IF(VLOOKUP($A15,貼り付け用!$A$1:$BA$300,COLUMN(),FALSE)=0,"",VLOOKUP($A15,貼り付け用!$A$1:$BA$300,COLUMN(),FALSE)),"")</f>
        <v>#N/A</v>
      </c>
      <c r="C15" s="3" t="e">
        <f ca="1">IF($A15&lt;&gt;"",IF(VLOOKUP($A15,貼り付け用!$A$1:$BA$300,COLUMN(),FALSE)=0,"",VLOOKUP($A15,貼り付け用!$A$1:$BA$300,COLUMN(),FALSE)),"")</f>
        <v>#N/A</v>
      </c>
      <c r="D15" s="3" t="e">
        <f ca="1">IF($A15&lt;&gt;"",IF(VLOOKUP($A15,貼り付け用!$A$1:$BA$300,COLUMN(),FALSE)=0,"",VLOOKUP($A15,貼り付け用!$A$1:$BA$300,COLUMN(),FALSE)),"")</f>
        <v>#N/A</v>
      </c>
      <c r="E15" s="3" t="e">
        <f ca="1">IF($A15&lt;&gt;"",IF(VLOOKUP($A15,貼り付け用!$A$1:$BA$300,COLUMN(),FALSE)=0,"",VLOOKUP($A15,貼り付け用!$A$1:$BA$300,COLUMN(),FALSE)),"")</f>
        <v>#N/A</v>
      </c>
      <c r="F15" s="3" t="e">
        <f ca="1">IF($A15&lt;&gt;"",IF(VLOOKUP($A15,貼り付け用!$A$1:$BA$300,COLUMN(),FALSE)=0,"",VLOOKUP($A15,貼り付け用!$A$1:$BA$300,COLUMN(),FALSE)),"")</f>
        <v>#N/A</v>
      </c>
      <c r="G15" s="3" t="e">
        <f ca="1">IF($A15&lt;&gt;"",IF(VLOOKUP($A15,貼り付け用!$A$1:$BA$300,COLUMN(),FALSE)=0,"",VLOOKUP($A15,貼り付け用!$A$1:$BA$300,COLUMN(),FALSE)),"")</f>
        <v>#N/A</v>
      </c>
      <c r="H15" s="3" t="e">
        <f ca="1">IF($A15&lt;&gt;"",IF(VLOOKUP($A15,貼り付け用!$A$1:$BA$300,COLUMN(),FALSE)=0,"",VLOOKUP($A15,貼り付け用!$A$1:$BA$300,COLUMN(),FALSE)),"")</f>
        <v>#N/A</v>
      </c>
      <c r="I15" s="3" t="e">
        <f ca="1">IF($A15&lt;&gt;"",IF(VLOOKUP($A15,貼り付け用!$A$1:$BA$300,COLUMN(),FALSE)=0,"",VLOOKUP($A15,貼り付け用!$A$1:$BA$300,COLUMN(),FALSE)),"")</f>
        <v>#N/A</v>
      </c>
      <c r="J15" s="3" t="e">
        <f ca="1">IF($A15&lt;&gt;"",IF(VLOOKUP($A15,貼り付け用!$A$1:$BA$300,COLUMN(),FALSE)=0,"",VLOOKUP($A15,貼り付け用!$A$1:$BA$300,COLUMN(),FALSE)),"")</f>
        <v>#N/A</v>
      </c>
      <c r="K15" s="3" t="e">
        <f ca="1">IF($A15&lt;&gt;"",IF(VLOOKUP($A15,貼り付け用!$A$1:$BA$300,COLUMN(),FALSE)=0,"",VLOOKUP($A15,貼り付け用!$A$1:$BA$300,COLUMN(),FALSE)),"")</f>
        <v>#N/A</v>
      </c>
      <c r="L15" s="3" t="e">
        <f ca="1">IF($A15&lt;&gt;"",
IF(COLUMN(貼り付け用!L15)&gt;MATCH("おやつ",貼り付け用!$3:$3,0),"",
IF(VLOOKUP($A15,貼り付け用!$A$1:$BA$300,COLUMN(),FALSE)=0,"",VLOOKUP($A15,貼り付け用!$A$1:$BA$300,COLUMN(),FALSE))),"")</f>
        <v>#N/A</v>
      </c>
      <c r="M15" s="3" t="e">
        <f ca="1">IF($A15&lt;&gt;"",
IF(COLUMN(貼り付け用!M15)&gt;MATCH("おやつ",貼り付け用!$3:$3,0),"",
IF(VLOOKUP($A15,貼り付け用!$A$1:$BA$300,COLUMN(),FALSE)=0,"",VLOOKUP($A15,貼り付け用!$A$1:$BA$300,COLUMN(),FALSE))),"")</f>
        <v>#N/A</v>
      </c>
      <c r="N15" s="3" t="e">
        <f ca="1">IF($A15&lt;&gt;"",
IF(COLUMN(貼り付け用!N15)&gt;MATCH("おやつ",貼り付け用!$3:$3,0),"",
IF(VLOOKUP($A15,貼り付け用!$A$1:$BA$300,COLUMN(),FALSE)=0,"",VLOOKUP($A15,貼り付け用!$A$1:$BA$300,COLUMN(),FALSE))),"")</f>
        <v>#N/A</v>
      </c>
      <c r="O15" s="3" t="e">
        <f ca="1">IF($A15&lt;&gt;"",
IF(COLUMN(貼り付け用!O15)&gt;MATCH("おやつ",貼り付け用!$3:$3,0),"",
IF(VLOOKUP($A15,貼り付け用!$A$1:$BA$300,COLUMN(),FALSE)=0,"",VLOOKUP($A15,貼り付け用!$A$1:$BA$300,COLUMN(),FALSE))),"")</f>
        <v>#N/A</v>
      </c>
      <c r="P15" s="3" t="e">
        <f ca="1">IF($A15&lt;&gt;"",
IF(COLUMN(貼り付け用!P15)&gt;MATCH("おやつ",貼り付け用!$3:$3,0),"",
IF(VLOOKUP($A15,貼り付け用!$A$1:$BA$300,COLUMN(),FALSE)=0,"",VLOOKUP($A15,貼り付け用!$A$1:$BA$300,COLUMN(),FALSE))),"")</f>
        <v>#N/A</v>
      </c>
      <c r="Q15" s="3" t="e">
        <f ca="1">IF($A15&lt;&gt;"",
IF(COLUMN(貼り付け用!Q15)&gt;MATCH("おやつ",貼り付け用!$3:$3,0),"",
IF(VLOOKUP($A15,貼り付け用!$A$1:$BA$300,COLUMN(),FALSE)=0,"",VLOOKUP($A15,貼り付け用!$A$1:$BA$300,COLUMN(),FALSE))),"")</f>
        <v>#N/A</v>
      </c>
      <c r="R15" s="3" t="e">
        <f ca="1">IF($A15&lt;&gt;"",
IF(COLUMN(貼り付け用!R15)&gt;MATCH("おやつ",貼り付け用!$3:$3,0),"",
IF(VLOOKUP($A15,貼り付け用!$A$1:$BA$300,COLUMN(),FALSE)=0,"",VLOOKUP($A15,貼り付け用!$A$1:$BA$300,COLUMN(),FALSE))),"")</f>
        <v>#N/A</v>
      </c>
      <c r="S15" s="3" t="e">
        <f ca="1">IF($A15&lt;&gt;"",
IF(COLUMN(貼り付け用!S15)&gt;MATCH("おやつ",貼り付け用!$3:$3,0),"",
IF(VLOOKUP($A15,貼り付け用!$A$1:$BA$300,COLUMN(),FALSE)=0,"",VLOOKUP($A15,貼り付け用!$A$1:$BA$300,COLUMN(),FALSE))),"")</f>
        <v>#N/A</v>
      </c>
      <c r="T15" s="3" t="e">
        <f>IF(COLUMN(貼り付け用!T15)&gt;MATCH("おやつ",貼り付け用!$3:$3,0),"",
IF(VLOOKUP($A15,貼り付け用!$A$1:$BA$300,COLUMN(),FALSE)=0,"",VLOOKUP($A15,貼り付け用!$A$1:$BA$300,COLUMN(),FALSE)))</f>
        <v>#N/A</v>
      </c>
      <c r="U15" s="21"/>
      <c r="V15" s="55" t="e">
        <f ca="1">IF(A15&lt;&gt;"",
IF(VLOOKUP($A15,貼り付け用!$A$1:$BA$300,MATCH("おやつ",貼り付け用!$3:$3,0)+1,FALSE)=0,"",VLOOKUP($A15,貼り付け用!$A$1:$BA$300,MATCH("おやつ",貼り付け用!$3:$3,0)+1,FALSE)),"")</f>
        <v>#N/A</v>
      </c>
      <c r="W15" s="14" t="e">
        <f ca="1">IF(A15&lt;&gt;"",
IF(VLOOKUP($A15,貼り付け用!$A$1:$BA$300,MATCH("おやつ",貼り付け用!$3:$3,0)+2,FALSE)=0,"",VLOOKUP($A15,貼り付け用!$A$1:$BA$300,MATCH("おやつ",貼り付け用!$3:$3,0)+2,FALSE)),"")</f>
        <v>#N/A</v>
      </c>
    </row>
    <row r="16" spans="1:23">
      <c r="A16" s="4" t="e">
        <f t="array" aca="1" ref="A16" ca="1">IF(OR(COUNTIF(A14,"*合計*"),COUNTIF(A14,"")),"",INDEX(貼り付け用!$A:$A,MATCH(A14,貼り付け用!$A:$A,0)+2,0))</f>
        <v>#N/A</v>
      </c>
      <c r="B16" s="14" t="e">
        <f ca="1">IF($A16&lt;&gt;"",IF(VLOOKUP($A16,貼り付け用!$A$1:$BA$300,COLUMN(),FALSE)=0,"",VLOOKUP($A16,貼り付け用!$A$1:$BA$300,COLUMN(),FALSE)),"")</f>
        <v>#N/A</v>
      </c>
      <c r="C16" s="14" t="e">
        <f ca="1">IF($A16&lt;&gt;"",IF(VLOOKUP($A16,貼り付け用!$A$1:$BA$300,COLUMN(),FALSE)=0,"",VLOOKUP($A16,貼り付け用!$A$1:$BA$300,COLUMN(),FALSE)),"")</f>
        <v>#N/A</v>
      </c>
      <c r="D16" s="14" t="e">
        <f ca="1">IF($A16&lt;&gt;"",IF(VLOOKUP($A16,貼り付け用!$A$1:$BA$300,COLUMN(),FALSE)=0,"",VLOOKUP($A16,貼り付け用!$A$1:$BA$300,COLUMN(),FALSE)),"")</f>
        <v>#N/A</v>
      </c>
      <c r="E16" s="14" t="e">
        <f ca="1">IF($A16&lt;&gt;"",IF(VLOOKUP($A16,貼り付け用!$A$1:$BA$300,COLUMN(),FALSE)=0,"",VLOOKUP($A16,貼り付け用!$A$1:$BA$300,COLUMN(),FALSE)),"")</f>
        <v>#N/A</v>
      </c>
      <c r="F16" s="14" t="e">
        <f ca="1">IF($A16&lt;&gt;"",IF(VLOOKUP($A16,貼り付け用!$A$1:$BA$300,COLUMN(),FALSE)=0,"",VLOOKUP($A16,貼り付け用!$A$1:$BA$300,COLUMN(),FALSE)),"")</f>
        <v>#N/A</v>
      </c>
      <c r="G16" s="14" t="e">
        <f ca="1">IF($A16&lt;&gt;"",IF(VLOOKUP($A16,貼り付け用!$A$1:$BA$300,COLUMN(),FALSE)=0,"",VLOOKUP($A16,貼り付け用!$A$1:$BA$300,COLUMN(),FALSE)),"")</f>
        <v>#N/A</v>
      </c>
      <c r="H16" s="14" t="e">
        <f ca="1">IF($A16&lt;&gt;"",IF(VLOOKUP($A16,貼り付け用!$A$1:$BA$300,COLUMN(),FALSE)=0,"",VLOOKUP($A16,貼り付け用!$A$1:$BA$300,COLUMN(),FALSE)),"")</f>
        <v>#N/A</v>
      </c>
      <c r="I16" s="14" t="e">
        <f ca="1">IF($A16&lt;&gt;"",IF(VLOOKUP($A16,貼り付け用!$A$1:$BA$300,COLUMN(),FALSE)=0,"",VLOOKUP($A16,貼り付け用!$A$1:$BA$300,COLUMN(),FALSE)),"")</f>
        <v>#N/A</v>
      </c>
      <c r="J16" s="14" t="e">
        <f ca="1">IF($A16&lt;&gt;"",IF(VLOOKUP($A16,貼り付け用!$A$1:$BA$300,COLUMN(),FALSE)=0,"",VLOOKUP($A16,貼り付け用!$A$1:$BA$300,COLUMN(),FALSE)),"")</f>
        <v>#N/A</v>
      </c>
      <c r="K16" s="14" t="e">
        <f ca="1">IF($A16&lt;&gt;"",IF(VLOOKUP($A16,貼り付け用!$A$1:$BA$300,COLUMN(),FALSE)=0,"",VLOOKUP($A16,貼り付け用!$A$1:$BA$300,COLUMN(),FALSE)),"")</f>
        <v>#N/A</v>
      </c>
      <c r="L16" s="14" t="e">
        <f ca="1">IF($A16&lt;&gt;"",
IF(COLUMN(貼り付け用!L16)&gt;MATCH("おやつ",貼り付け用!$3:$3,0),"",
IF(VLOOKUP($A16,貼り付け用!$A$1:$BA$300,COLUMN(),FALSE)=0,"",VLOOKUP($A16,貼り付け用!$A$1:$BA$300,COLUMN(),FALSE))),"")</f>
        <v>#N/A</v>
      </c>
      <c r="M16" s="14" t="e">
        <f ca="1">IF($A16&lt;&gt;"",
IF(COLUMN(貼り付け用!M16)&gt;MATCH("おやつ",貼り付け用!$3:$3,0),"",
IF(VLOOKUP($A16,貼り付け用!$A$1:$BA$300,COLUMN(),FALSE)=0,"",VLOOKUP($A16,貼り付け用!$A$1:$BA$300,COLUMN(),FALSE))),"")</f>
        <v>#N/A</v>
      </c>
      <c r="N16" s="14" t="e">
        <f ca="1">IF($A16&lt;&gt;"",
IF(COLUMN(貼り付け用!N16)&gt;MATCH("おやつ",貼り付け用!$3:$3,0),"",
IF(VLOOKUP($A16,貼り付け用!$A$1:$BA$300,COLUMN(),FALSE)=0,"",VLOOKUP($A16,貼り付け用!$A$1:$BA$300,COLUMN(),FALSE))),"")</f>
        <v>#N/A</v>
      </c>
      <c r="O16" s="14" t="e">
        <f ca="1">IF($A16&lt;&gt;"",
IF(COLUMN(貼り付け用!O16)&gt;MATCH("おやつ",貼り付け用!$3:$3,0),"",
IF(VLOOKUP($A16,貼り付け用!$A$1:$BA$300,COLUMN(),FALSE)=0,"",VLOOKUP($A16,貼り付け用!$A$1:$BA$300,COLUMN(),FALSE))),"")</f>
        <v>#N/A</v>
      </c>
      <c r="P16" s="14" t="e">
        <f ca="1">IF($A16&lt;&gt;"",
IF(COLUMN(貼り付け用!P16)&gt;MATCH("おやつ",貼り付け用!$3:$3,0),"",
IF(VLOOKUP($A16,貼り付け用!$A$1:$BA$300,COLUMN(),FALSE)=0,"",VLOOKUP($A16,貼り付け用!$A$1:$BA$300,COLUMN(),FALSE))),"")</f>
        <v>#N/A</v>
      </c>
      <c r="Q16" s="14" t="e">
        <f ca="1">IF($A16&lt;&gt;"",
IF(COLUMN(貼り付け用!Q16)&gt;MATCH("おやつ",貼り付け用!$3:$3,0),"",
IF(VLOOKUP($A16,貼り付け用!$A$1:$BA$300,COLUMN(),FALSE)=0,"",VLOOKUP($A16,貼り付け用!$A$1:$BA$300,COLUMN(),FALSE))),"")</f>
        <v>#N/A</v>
      </c>
      <c r="R16" s="14" t="e">
        <f ca="1">IF($A16&lt;&gt;"",
IF(COLUMN(貼り付け用!R16)&gt;MATCH("おやつ",貼り付け用!$3:$3,0),"",
IF(VLOOKUP($A16,貼り付け用!$A$1:$BA$300,COLUMN(),FALSE)=0,"",VLOOKUP($A16,貼り付け用!$A$1:$BA$300,COLUMN(),FALSE))),"")</f>
        <v>#N/A</v>
      </c>
      <c r="S16" s="14" t="e">
        <f ca="1">IF($A16&lt;&gt;"",
IF(COLUMN(貼り付け用!S16)&gt;MATCH("おやつ",貼り付け用!$3:$3,0),"",
IF(VLOOKUP($A16,貼り付け用!$A$1:$BA$300,COLUMN(),FALSE)=0,"",VLOOKUP($A16,貼り付け用!$A$1:$BA$300,COLUMN(),FALSE))),"")</f>
        <v>#N/A</v>
      </c>
      <c r="T16" s="14" t="e">
        <f>IF(COLUMN(貼り付け用!T16)&gt;MATCH("おやつ",貼り付け用!$3:$3,0),"",
IF(VLOOKUP($A16,貼り付け用!$A$1:$BA$300,COLUMN(),FALSE)=0,"",VLOOKUP($A16,貼り付け用!$A$1:$BA$300,COLUMN(),FALSE)))</f>
        <v>#N/A</v>
      </c>
      <c r="U16" s="11"/>
      <c r="V16" s="55" t="e">
        <f ca="1">IF(A16&lt;&gt;"",
IF(VLOOKUP($A16,貼り付け用!$A$1:$BA$300,MATCH("おやつ",貼り付け用!$3:$3,0)+1,FALSE)=0,"",VLOOKUP($A16,貼り付け用!$A$1:$BA$300,MATCH("おやつ",貼り付け用!$3:$3,0)+1,FALSE)),"")</f>
        <v>#N/A</v>
      </c>
      <c r="W16" s="14" t="e">
        <f ca="1">IF(A16&lt;&gt;"",
IF(VLOOKUP($A16,貼り付け用!$A$1:$BA$300,MATCH("おやつ",貼り付け用!$3:$3,0)+2,FALSE)=0,"",VLOOKUP($A16,貼り付け用!$A$1:$BA$300,MATCH("おやつ",貼り付け用!$3:$3,0)+2,FALSE)),"")</f>
        <v>#N/A</v>
      </c>
    </row>
    <row r="17" spans="1:23">
      <c r="A17" s="8" t="e">
        <f t="array" aca="1" ref="A17" ca="1">IF(OR(COUNTIF(A15,"*1000*"),COUNTIF(A15,"")),"",INDEX(貼り付け用!$A:$A,MATCH(A15,貼り付け用!$A:$A,0)+2,0))</f>
        <v>#N/A</v>
      </c>
      <c r="B17" s="3" t="e">
        <f ca="1">IF($A17&lt;&gt;"",IF(VLOOKUP($A17,貼り付け用!$A$1:$BA$300,COLUMN(),FALSE)=0,"",VLOOKUP($A17,貼り付け用!$A$1:$BA$300,COLUMN(),FALSE)),"")</f>
        <v>#N/A</v>
      </c>
      <c r="C17" s="3" t="e">
        <f ca="1">IF($A17&lt;&gt;"",IF(VLOOKUP($A17,貼り付け用!$A$1:$BA$300,COLUMN(),FALSE)=0,"",VLOOKUP($A17,貼り付け用!$A$1:$BA$300,COLUMN(),FALSE)),"")</f>
        <v>#N/A</v>
      </c>
      <c r="D17" s="3" t="e">
        <f ca="1">IF($A17&lt;&gt;"",IF(VLOOKUP($A17,貼り付け用!$A$1:$BA$300,COLUMN(),FALSE)=0,"",VLOOKUP($A17,貼り付け用!$A$1:$BA$300,COLUMN(),FALSE)),"")</f>
        <v>#N/A</v>
      </c>
      <c r="E17" s="3" t="e">
        <f ca="1">IF($A17&lt;&gt;"",IF(VLOOKUP($A17,貼り付け用!$A$1:$BA$300,COLUMN(),FALSE)=0,"",VLOOKUP($A17,貼り付け用!$A$1:$BA$300,COLUMN(),FALSE)),"")</f>
        <v>#N/A</v>
      </c>
      <c r="F17" s="3" t="e">
        <f ca="1">IF($A17&lt;&gt;"",IF(VLOOKUP($A17,貼り付け用!$A$1:$BA$300,COLUMN(),FALSE)=0,"",VLOOKUP($A17,貼り付け用!$A$1:$BA$300,COLUMN(),FALSE)),"")</f>
        <v>#N/A</v>
      </c>
      <c r="G17" s="3" t="e">
        <f ca="1">IF($A17&lt;&gt;"",IF(VLOOKUP($A17,貼り付け用!$A$1:$BA$300,COLUMN(),FALSE)=0,"",VLOOKUP($A17,貼り付け用!$A$1:$BA$300,COLUMN(),FALSE)),"")</f>
        <v>#N/A</v>
      </c>
      <c r="H17" s="3" t="e">
        <f ca="1">IF($A17&lt;&gt;"",IF(VLOOKUP($A17,貼り付け用!$A$1:$BA$300,COLUMN(),FALSE)=0,"",VLOOKUP($A17,貼り付け用!$A$1:$BA$300,COLUMN(),FALSE)),"")</f>
        <v>#N/A</v>
      </c>
      <c r="I17" s="3" t="e">
        <f ca="1">IF($A17&lt;&gt;"",IF(VLOOKUP($A17,貼り付け用!$A$1:$BA$300,COLUMN(),FALSE)=0,"",VLOOKUP($A17,貼り付け用!$A$1:$BA$300,COLUMN(),FALSE)),"")</f>
        <v>#N/A</v>
      </c>
      <c r="J17" s="3" t="e">
        <f ca="1">IF($A17&lt;&gt;"",IF(VLOOKUP($A17,貼り付け用!$A$1:$BA$300,COLUMN(),FALSE)=0,"",VLOOKUP($A17,貼り付け用!$A$1:$BA$300,COLUMN(),FALSE)),"")</f>
        <v>#N/A</v>
      </c>
      <c r="K17" s="3" t="e">
        <f ca="1">IF($A17&lt;&gt;"",IF(VLOOKUP($A17,貼り付け用!$A$1:$BA$300,COLUMN(),FALSE)=0,"",VLOOKUP($A17,貼り付け用!$A$1:$BA$300,COLUMN(),FALSE)),"")</f>
        <v>#N/A</v>
      </c>
      <c r="L17" s="3" t="e">
        <f ca="1">IF($A17&lt;&gt;"",
IF(COLUMN(貼り付け用!L17)&gt;MATCH("おやつ",貼り付け用!$3:$3,0),"",
IF(VLOOKUP($A17,貼り付け用!$A$1:$BA$300,COLUMN(),FALSE)=0,"",VLOOKUP($A17,貼り付け用!$A$1:$BA$300,COLUMN(),FALSE))),"")</f>
        <v>#N/A</v>
      </c>
      <c r="M17" s="3" t="e">
        <f ca="1">IF($A17&lt;&gt;"",
IF(COLUMN(貼り付け用!M17)&gt;MATCH("おやつ",貼り付け用!$3:$3,0),"",
IF(VLOOKUP($A17,貼り付け用!$A$1:$BA$300,COLUMN(),FALSE)=0,"",VLOOKUP($A17,貼り付け用!$A$1:$BA$300,COLUMN(),FALSE))),"")</f>
        <v>#N/A</v>
      </c>
      <c r="N17" s="3" t="e">
        <f ca="1">IF($A17&lt;&gt;"",
IF(COLUMN(貼り付け用!N17)&gt;MATCH("おやつ",貼り付け用!$3:$3,0),"",
IF(VLOOKUP($A17,貼り付け用!$A$1:$BA$300,COLUMN(),FALSE)=0,"",VLOOKUP($A17,貼り付け用!$A$1:$BA$300,COLUMN(),FALSE))),"")</f>
        <v>#N/A</v>
      </c>
      <c r="O17" s="3" t="e">
        <f ca="1">IF($A17&lt;&gt;"",
IF(COLUMN(貼り付け用!O17)&gt;MATCH("おやつ",貼り付け用!$3:$3,0),"",
IF(VLOOKUP($A17,貼り付け用!$A$1:$BA$300,COLUMN(),FALSE)=0,"",VLOOKUP($A17,貼り付け用!$A$1:$BA$300,COLUMN(),FALSE))),"")</f>
        <v>#N/A</v>
      </c>
      <c r="P17" s="3" t="e">
        <f ca="1">IF($A17&lt;&gt;"",
IF(COLUMN(貼り付け用!P17)&gt;MATCH("おやつ",貼り付け用!$3:$3,0),"",
IF(VLOOKUP($A17,貼り付け用!$A$1:$BA$300,COLUMN(),FALSE)=0,"",VLOOKUP($A17,貼り付け用!$A$1:$BA$300,COLUMN(),FALSE))),"")</f>
        <v>#N/A</v>
      </c>
      <c r="Q17" s="3" t="e">
        <f ca="1">IF($A17&lt;&gt;"",
IF(COLUMN(貼り付け用!Q17)&gt;MATCH("おやつ",貼り付け用!$3:$3,0),"",
IF(VLOOKUP($A17,貼り付け用!$A$1:$BA$300,COLUMN(),FALSE)=0,"",VLOOKUP($A17,貼り付け用!$A$1:$BA$300,COLUMN(),FALSE))),"")</f>
        <v>#N/A</v>
      </c>
      <c r="R17" s="3" t="e">
        <f ca="1">IF($A17&lt;&gt;"",
IF(COLUMN(貼り付け用!R17)&gt;MATCH("おやつ",貼り付け用!$3:$3,0),"",
IF(VLOOKUP($A17,貼り付け用!$A$1:$BA$300,COLUMN(),FALSE)=0,"",VLOOKUP($A17,貼り付け用!$A$1:$BA$300,COLUMN(),FALSE))),"")</f>
        <v>#N/A</v>
      </c>
      <c r="S17" s="3" t="e">
        <f ca="1">IF($A17&lt;&gt;"",
IF(COLUMN(貼り付け用!S17)&gt;MATCH("おやつ",貼り付け用!$3:$3,0),"",
IF(VLOOKUP($A17,貼り付け用!$A$1:$BA$300,COLUMN(),FALSE)=0,"",VLOOKUP($A17,貼り付け用!$A$1:$BA$300,COLUMN(),FALSE))),"")</f>
        <v>#N/A</v>
      </c>
      <c r="T17" s="3" t="e">
        <f>IF(COLUMN(貼り付け用!T17)&gt;MATCH("おやつ",貼り付け用!$3:$3,0),"",
IF(VLOOKUP($A17,貼り付け用!$A$1:$BA$300,COLUMN(),FALSE)=0,"",VLOOKUP($A17,貼り付け用!$A$1:$BA$300,COLUMN(),FALSE)))</f>
        <v>#N/A</v>
      </c>
      <c r="U17" s="21"/>
      <c r="V17" s="55" t="e">
        <f ca="1">IF(A17&lt;&gt;"",
IF(VLOOKUP($A17,貼り付け用!$A$1:$BA$300,MATCH("おやつ",貼り付け用!$3:$3,0)+1,FALSE)=0,"",VLOOKUP($A17,貼り付け用!$A$1:$BA$300,MATCH("おやつ",貼り付け用!$3:$3,0)+1,FALSE)),"")</f>
        <v>#N/A</v>
      </c>
      <c r="W17" s="14" t="e">
        <f ca="1">IF(A17&lt;&gt;"",
IF(VLOOKUP($A17,貼り付け用!$A$1:$BA$300,MATCH("おやつ",貼り付け用!$3:$3,0)+2,FALSE)=0,"",VLOOKUP($A17,貼り付け用!$A$1:$BA$300,MATCH("おやつ",貼り付け用!$3:$3,0)+2,FALSE)),"")</f>
        <v>#N/A</v>
      </c>
    </row>
    <row r="18" spans="1:23">
      <c r="A18" s="4" t="e">
        <f t="array" aca="1" ref="A18" ca="1">IF(OR(COUNTIF(A16,"*合計*"),COUNTIF(A16,"")),"",INDEX(貼り付け用!$A:$A,MATCH(A16,貼り付け用!$A:$A,0)+2,0))</f>
        <v>#N/A</v>
      </c>
      <c r="B18" s="14" t="e">
        <f ca="1">IF($A18&lt;&gt;"",IF(VLOOKUP($A18,貼り付け用!$A$1:$BA$300,COLUMN(),FALSE)=0,"",VLOOKUP($A18,貼り付け用!$A$1:$BA$300,COLUMN(),FALSE)),"")</f>
        <v>#N/A</v>
      </c>
      <c r="C18" s="14" t="e">
        <f ca="1">IF($A18&lt;&gt;"",IF(VLOOKUP($A18,貼り付け用!$A$1:$BA$300,COLUMN(),FALSE)=0,"",VLOOKUP($A18,貼り付け用!$A$1:$BA$300,COLUMN(),FALSE)),"")</f>
        <v>#N/A</v>
      </c>
      <c r="D18" s="14" t="e">
        <f ca="1">IF($A18&lt;&gt;"",IF(VLOOKUP($A18,貼り付け用!$A$1:$BA$300,COLUMN(),FALSE)=0,"",VLOOKUP($A18,貼り付け用!$A$1:$BA$300,COLUMN(),FALSE)),"")</f>
        <v>#N/A</v>
      </c>
      <c r="E18" s="14" t="e">
        <f ca="1">IF($A18&lt;&gt;"",IF(VLOOKUP($A18,貼り付け用!$A$1:$BA$300,COLUMN(),FALSE)=0,"",VLOOKUP($A18,貼り付け用!$A$1:$BA$300,COLUMN(),FALSE)),"")</f>
        <v>#N/A</v>
      </c>
      <c r="F18" s="14" t="e">
        <f ca="1">IF($A18&lt;&gt;"",IF(VLOOKUP($A18,貼り付け用!$A$1:$BA$300,COLUMN(),FALSE)=0,"",VLOOKUP($A18,貼り付け用!$A$1:$BA$300,COLUMN(),FALSE)),"")</f>
        <v>#N/A</v>
      </c>
      <c r="G18" s="14" t="e">
        <f ca="1">IF($A18&lt;&gt;"",IF(VLOOKUP($A18,貼り付け用!$A$1:$BA$300,COLUMN(),FALSE)=0,"",VLOOKUP($A18,貼り付け用!$A$1:$BA$300,COLUMN(),FALSE)),"")</f>
        <v>#N/A</v>
      </c>
      <c r="H18" s="14" t="e">
        <f ca="1">IF($A18&lt;&gt;"",IF(VLOOKUP($A18,貼り付け用!$A$1:$BA$300,COLUMN(),FALSE)=0,"",VLOOKUP($A18,貼り付け用!$A$1:$BA$300,COLUMN(),FALSE)),"")</f>
        <v>#N/A</v>
      </c>
      <c r="I18" s="14" t="e">
        <f ca="1">IF($A18&lt;&gt;"",IF(VLOOKUP($A18,貼り付け用!$A$1:$BA$300,COLUMN(),FALSE)=0,"",VLOOKUP($A18,貼り付け用!$A$1:$BA$300,COLUMN(),FALSE)),"")</f>
        <v>#N/A</v>
      </c>
      <c r="J18" s="14" t="e">
        <f ca="1">IF($A18&lt;&gt;"",IF(VLOOKUP($A18,貼り付け用!$A$1:$BA$300,COLUMN(),FALSE)=0,"",VLOOKUP($A18,貼り付け用!$A$1:$BA$300,COLUMN(),FALSE)),"")</f>
        <v>#N/A</v>
      </c>
      <c r="K18" s="14" t="e">
        <f ca="1">IF($A18&lt;&gt;"",IF(VLOOKUP($A18,貼り付け用!$A$1:$BA$300,COLUMN(),FALSE)=0,"",VLOOKUP($A18,貼り付け用!$A$1:$BA$300,COLUMN(),FALSE)),"")</f>
        <v>#N/A</v>
      </c>
      <c r="L18" s="14" t="e">
        <f ca="1">IF($A18&lt;&gt;"",
IF(COLUMN(貼り付け用!L18)&gt;MATCH("おやつ",貼り付け用!$3:$3,0),"",
IF(VLOOKUP($A18,貼り付け用!$A$1:$BA$300,COLUMN(),FALSE)=0,"",VLOOKUP($A18,貼り付け用!$A$1:$BA$300,COLUMN(),FALSE))),"")</f>
        <v>#N/A</v>
      </c>
      <c r="M18" s="14" t="e">
        <f ca="1">IF($A18&lt;&gt;"",
IF(COLUMN(貼り付け用!M18)&gt;MATCH("おやつ",貼り付け用!$3:$3,0),"",
IF(VLOOKUP($A18,貼り付け用!$A$1:$BA$300,COLUMN(),FALSE)=0,"",VLOOKUP($A18,貼り付け用!$A$1:$BA$300,COLUMN(),FALSE))),"")</f>
        <v>#N/A</v>
      </c>
      <c r="N18" s="14" t="e">
        <f ca="1">IF($A18&lt;&gt;"",
IF(COLUMN(貼り付け用!N18)&gt;MATCH("おやつ",貼り付け用!$3:$3,0),"",
IF(VLOOKUP($A18,貼り付け用!$A$1:$BA$300,COLUMN(),FALSE)=0,"",VLOOKUP($A18,貼り付け用!$A$1:$BA$300,COLUMN(),FALSE))),"")</f>
        <v>#N/A</v>
      </c>
      <c r="O18" s="14" t="e">
        <f ca="1">IF($A18&lt;&gt;"",
IF(COLUMN(貼り付け用!O18)&gt;MATCH("おやつ",貼り付け用!$3:$3,0),"",
IF(VLOOKUP($A18,貼り付け用!$A$1:$BA$300,COLUMN(),FALSE)=0,"",VLOOKUP($A18,貼り付け用!$A$1:$BA$300,COLUMN(),FALSE))),"")</f>
        <v>#N/A</v>
      </c>
      <c r="P18" s="14" t="e">
        <f ca="1">IF($A18&lt;&gt;"",
IF(COLUMN(貼り付け用!P18)&gt;MATCH("おやつ",貼り付け用!$3:$3,0),"",
IF(VLOOKUP($A18,貼り付け用!$A$1:$BA$300,COLUMN(),FALSE)=0,"",VLOOKUP($A18,貼り付け用!$A$1:$BA$300,COLUMN(),FALSE))),"")</f>
        <v>#N/A</v>
      </c>
      <c r="Q18" s="14" t="e">
        <f ca="1">IF($A18&lt;&gt;"",
IF(COLUMN(貼り付け用!Q18)&gt;MATCH("おやつ",貼り付け用!$3:$3,0),"",
IF(VLOOKUP($A18,貼り付け用!$A$1:$BA$300,COLUMN(),FALSE)=0,"",VLOOKUP($A18,貼り付け用!$A$1:$BA$300,COLUMN(),FALSE))),"")</f>
        <v>#N/A</v>
      </c>
      <c r="R18" s="14" t="e">
        <f ca="1">IF($A18&lt;&gt;"",
IF(COLUMN(貼り付け用!R18)&gt;MATCH("おやつ",貼り付け用!$3:$3,0),"",
IF(VLOOKUP($A18,貼り付け用!$A$1:$BA$300,COLUMN(),FALSE)=0,"",VLOOKUP($A18,貼り付け用!$A$1:$BA$300,COLUMN(),FALSE))),"")</f>
        <v>#N/A</v>
      </c>
      <c r="S18" s="14" t="e">
        <f ca="1">IF($A18&lt;&gt;"",
IF(COLUMN(貼り付け用!S18)&gt;MATCH("おやつ",貼り付け用!$3:$3,0),"",
IF(VLOOKUP($A18,貼り付け用!$A$1:$BA$300,COLUMN(),FALSE)=0,"",VLOOKUP($A18,貼り付け用!$A$1:$BA$300,COLUMN(),FALSE))),"")</f>
        <v>#N/A</v>
      </c>
      <c r="T18" s="14" t="e">
        <f>IF(COLUMN(貼り付け用!T18)&gt;MATCH("おやつ",貼り付け用!$3:$3,0),"",
IF(VLOOKUP($A18,貼り付け用!$A$1:$BA$300,COLUMN(),FALSE)=0,"",VLOOKUP($A18,貼り付け用!$A$1:$BA$300,COLUMN(),FALSE)))</f>
        <v>#N/A</v>
      </c>
      <c r="U18" s="11"/>
      <c r="V18" s="55" t="e">
        <f ca="1">IF(A18&lt;&gt;"",
IF(VLOOKUP($A18,貼り付け用!$A$1:$BA$300,MATCH("おやつ",貼り付け用!$3:$3,0)+1,FALSE)=0,"",VLOOKUP($A18,貼り付け用!$A$1:$BA$300,MATCH("おやつ",貼り付け用!$3:$3,0)+1,FALSE)),"")</f>
        <v>#N/A</v>
      </c>
      <c r="W18" s="14" t="e">
        <f ca="1">IF(A18&lt;&gt;"",
IF(VLOOKUP($A18,貼り付け用!$A$1:$BA$300,MATCH("おやつ",貼り付け用!$3:$3,0)+2,FALSE)=0,"",VLOOKUP($A18,貼り付け用!$A$1:$BA$300,MATCH("おやつ",貼り付け用!$3:$3,0)+2,FALSE)),"")</f>
        <v>#N/A</v>
      </c>
    </row>
    <row r="19" spans="1:23">
      <c r="A19" s="8" t="e">
        <f t="array" aca="1" ref="A19" ca="1">IF(OR(COUNTIF(A17,"*1000*"),COUNTIF(A17,"")),"",INDEX(貼り付け用!$A:$A,MATCH(A17,貼り付け用!$A:$A,0)+2,0))</f>
        <v>#N/A</v>
      </c>
      <c r="B19" s="3" t="e">
        <f ca="1">IF($A19&lt;&gt;"",IF(VLOOKUP($A19,貼り付け用!$A$1:$BA$300,COLUMN(),FALSE)=0,"",VLOOKUP($A19,貼り付け用!$A$1:$BA$300,COLUMN(),FALSE)),"")</f>
        <v>#N/A</v>
      </c>
      <c r="C19" s="3" t="e">
        <f ca="1">IF($A19&lt;&gt;"",IF(VLOOKUP($A19,貼り付け用!$A$1:$BA$300,COLUMN(),FALSE)=0,"",VLOOKUP($A19,貼り付け用!$A$1:$BA$300,COLUMN(),FALSE)),"")</f>
        <v>#N/A</v>
      </c>
      <c r="D19" s="3" t="e">
        <f ca="1">IF($A19&lt;&gt;"",IF(VLOOKUP($A19,貼り付け用!$A$1:$BA$300,COLUMN(),FALSE)=0,"",VLOOKUP($A19,貼り付け用!$A$1:$BA$300,COLUMN(),FALSE)),"")</f>
        <v>#N/A</v>
      </c>
      <c r="E19" s="3" t="e">
        <f ca="1">IF($A19&lt;&gt;"",IF(VLOOKUP($A19,貼り付け用!$A$1:$BA$300,COLUMN(),FALSE)=0,"",VLOOKUP($A19,貼り付け用!$A$1:$BA$300,COLUMN(),FALSE)),"")</f>
        <v>#N/A</v>
      </c>
      <c r="F19" s="3" t="e">
        <f ca="1">IF($A19&lt;&gt;"",IF(VLOOKUP($A19,貼り付け用!$A$1:$BA$300,COLUMN(),FALSE)=0,"",VLOOKUP($A19,貼り付け用!$A$1:$BA$300,COLUMN(),FALSE)),"")</f>
        <v>#N/A</v>
      </c>
      <c r="G19" s="3" t="e">
        <f ca="1">IF($A19&lt;&gt;"",IF(VLOOKUP($A19,貼り付け用!$A$1:$BA$300,COLUMN(),FALSE)=0,"",VLOOKUP($A19,貼り付け用!$A$1:$BA$300,COLUMN(),FALSE)),"")</f>
        <v>#N/A</v>
      </c>
      <c r="H19" s="3" t="e">
        <f ca="1">IF($A19&lt;&gt;"",IF(VLOOKUP($A19,貼り付け用!$A$1:$BA$300,COLUMN(),FALSE)=0,"",VLOOKUP($A19,貼り付け用!$A$1:$BA$300,COLUMN(),FALSE)),"")</f>
        <v>#N/A</v>
      </c>
      <c r="I19" s="3" t="e">
        <f ca="1">IF($A19&lt;&gt;"",IF(VLOOKUP($A19,貼り付け用!$A$1:$BA$300,COLUMN(),FALSE)=0,"",VLOOKUP($A19,貼り付け用!$A$1:$BA$300,COLUMN(),FALSE)),"")</f>
        <v>#N/A</v>
      </c>
      <c r="J19" s="3" t="e">
        <f ca="1">IF($A19&lt;&gt;"",IF(VLOOKUP($A19,貼り付け用!$A$1:$BA$300,COLUMN(),FALSE)=0,"",VLOOKUP($A19,貼り付け用!$A$1:$BA$300,COLUMN(),FALSE)),"")</f>
        <v>#N/A</v>
      </c>
      <c r="K19" s="3" t="e">
        <f ca="1">IF($A19&lt;&gt;"",IF(VLOOKUP($A19,貼り付け用!$A$1:$BA$300,COLUMN(),FALSE)=0,"",VLOOKUP($A19,貼り付け用!$A$1:$BA$300,COLUMN(),FALSE)),"")</f>
        <v>#N/A</v>
      </c>
      <c r="L19" s="3" t="e">
        <f ca="1">IF($A19&lt;&gt;"",
IF(COLUMN(貼り付け用!L19)&gt;MATCH("おやつ",貼り付け用!$3:$3,0),"",
IF(VLOOKUP($A19,貼り付け用!$A$1:$BA$300,COLUMN(),FALSE)=0,"",VLOOKUP($A19,貼り付け用!$A$1:$BA$300,COLUMN(),FALSE))),"")</f>
        <v>#N/A</v>
      </c>
      <c r="M19" s="3" t="e">
        <f ca="1">IF($A19&lt;&gt;"",
IF(COLUMN(貼り付け用!M19)&gt;MATCH("おやつ",貼り付け用!$3:$3,0),"",
IF(VLOOKUP($A19,貼り付け用!$A$1:$BA$300,COLUMN(),FALSE)=0,"",VLOOKUP($A19,貼り付け用!$A$1:$BA$300,COLUMN(),FALSE))),"")</f>
        <v>#N/A</v>
      </c>
      <c r="N19" s="3" t="e">
        <f ca="1">IF($A19&lt;&gt;"",
IF(COLUMN(貼り付け用!N19)&gt;MATCH("おやつ",貼り付け用!$3:$3,0),"",
IF(VLOOKUP($A19,貼り付け用!$A$1:$BA$300,COLUMN(),FALSE)=0,"",VLOOKUP($A19,貼り付け用!$A$1:$BA$300,COLUMN(),FALSE))),"")</f>
        <v>#N/A</v>
      </c>
      <c r="O19" s="3" t="e">
        <f ca="1">IF($A19&lt;&gt;"",
IF(COLUMN(貼り付け用!O19)&gt;MATCH("おやつ",貼り付け用!$3:$3,0),"",
IF(VLOOKUP($A19,貼り付け用!$A$1:$BA$300,COLUMN(),FALSE)=0,"",VLOOKUP($A19,貼り付け用!$A$1:$BA$300,COLUMN(),FALSE))),"")</f>
        <v>#N/A</v>
      </c>
      <c r="P19" s="3" t="e">
        <f ca="1">IF($A19&lt;&gt;"",
IF(COLUMN(貼り付け用!P19)&gt;MATCH("おやつ",貼り付け用!$3:$3,0),"",
IF(VLOOKUP($A19,貼り付け用!$A$1:$BA$300,COLUMN(),FALSE)=0,"",VLOOKUP($A19,貼り付け用!$A$1:$BA$300,COLUMN(),FALSE))),"")</f>
        <v>#N/A</v>
      </c>
      <c r="Q19" s="3" t="e">
        <f ca="1">IF($A19&lt;&gt;"",
IF(COLUMN(貼り付け用!Q19)&gt;MATCH("おやつ",貼り付け用!$3:$3,0),"",
IF(VLOOKUP($A19,貼り付け用!$A$1:$BA$300,COLUMN(),FALSE)=0,"",VLOOKUP($A19,貼り付け用!$A$1:$BA$300,COLUMN(),FALSE))),"")</f>
        <v>#N/A</v>
      </c>
      <c r="R19" s="3" t="e">
        <f ca="1">IF($A19&lt;&gt;"",
IF(COLUMN(貼り付け用!R19)&gt;MATCH("おやつ",貼り付け用!$3:$3,0),"",
IF(VLOOKUP($A19,貼り付け用!$A$1:$BA$300,COLUMN(),FALSE)=0,"",VLOOKUP($A19,貼り付け用!$A$1:$BA$300,COLUMN(),FALSE))),"")</f>
        <v>#N/A</v>
      </c>
      <c r="S19" s="3" t="e">
        <f ca="1">IF($A19&lt;&gt;"",
IF(COLUMN(貼り付け用!S19)&gt;MATCH("おやつ",貼り付け用!$3:$3,0),"",
IF(VLOOKUP($A19,貼り付け用!$A$1:$BA$300,COLUMN(),FALSE)=0,"",VLOOKUP($A19,貼り付け用!$A$1:$BA$300,COLUMN(),FALSE))),"")</f>
        <v>#N/A</v>
      </c>
      <c r="T19" s="3" t="e">
        <f>IF(COLUMN(貼り付け用!T19)&gt;MATCH("おやつ",貼り付け用!$3:$3,0),"",
IF(VLOOKUP($A19,貼り付け用!$A$1:$BA$300,COLUMN(),FALSE)=0,"",VLOOKUP($A19,貼り付け用!$A$1:$BA$300,COLUMN(),FALSE)))</f>
        <v>#N/A</v>
      </c>
      <c r="U19" s="21"/>
      <c r="V19" s="55" t="e">
        <f ca="1">IF(A19&lt;&gt;"",
IF(VLOOKUP($A19,貼り付け用!$A$1:$BA$300,MATCH("おやつ",貼り付け用!$3:$3,0)+1,FALSE)=0,"",VLOOKUP($A19,貼り付け用!$A$1:$BA$300,MATCH("おやつ",貼り付け用!$3:$3,0)+1,FALSE)),"")</f>
        <v>#N/A</v>
      </c>
      <c r="W19" s="14" t="e">
        <f ca="1">IF(A19&lt;&gt;"",
IF(VLOOKUP($A19,貼り付け用!$A$1:$BA$300,MATCH("おやつ",貼り付け用!$3:$3,0)+2,FALSE)=0,"",VLOOKUP($A19,貼り付け用!$A$1:$BA$300,MATCH("おやつ",貼り付け用!$3:$3,0)+2,FALSE)),"")</f>
        <v>#N/A</v>
      </c>
    </row>
    <row r="20" spans="1:23">
      <c r="A20" s="4" t="e">
        <f t="array" aca="1" ref="A20" ca="1">IF(OR(COUNTIF(A18,"*合計*"),COUNTIF(A18,"")),"",INDEX(貼り付け用!$A:$A,MATCH(A18,貼り付け用!$A:$A,0)+2,0))</f>
        <v>#N/A</v>
      </c>
      <c r="B20" s="14" t="e">
        <f ca="1">IF($A20&lt;&gt;"",IF(VLOOKUP($A20,貼り付け用!$A$1:$BA$300,COLUMN(),FALSE)=0,"",VLOOKUP($A20,貼り付け用!$A$1:$BA$300,COLUMN(),FALSE)),"")</f>
        <v>#N/A</v>
      </c>
      <c r="C20" s="14" t="e">
        <f ca="1">IF($A20&lt;&gt;"",IF(VLOOKUP($A20,貼り付け用!$A$1:$BA$300,COLUMN(),FALSE)=0,"",VLOOKUP($A20,貼り付け用!$A$1:$BA$300,COLUMN(),FALSE)),"")</f>
        <v>#N/A</v>
      </c>
      <c r="D20" s="14" t="e">
        <f ca="1">IF($A20&lt;&gt;"",IF(VLOOKUP($A20,貼り付け用!$A$1:$BA$300,COLUMN(),FALSE)=0,"",VLOOKUP($A20,貼り付け用!$A$1:$BA$300,COLUMN(),FALSE)),"")</f>
        <v>#N/A</v>
      </c>
      <c r="E20" s="14" t="e">
        <f ca="1">IF($A20&lt;&gt;"",IF(VLOOKUP($A20,貼り付け用!$A$1:$BA$300,COLUMN(),FALSE)=0,"",VLOOKUP($A20,貼り付け用!$A$1:$BA$300,COLUMN(),FALSE)),"")</f>
        <v>#N/A</v>
      </c>
      <c r="F20" s="14" t="e">
        <f ca="1">IF($A20&lt;&gt;"",IF(VLOOKUP($A20,貼り付け用!$A$1:$BA$300,COLUMN(),FALSE)=0,"",VLOOKUP($A20,貼り付け用!$A$1:$BA$300,COLUMN(),FALSE)),"")</f>
        <v>#N/A</v>
      </c>
      <c r="G20" s="14" t="e">
        <f ca="1">IF($A20&lt;&gt;"",IF(VLOOKUP($A20,貼り付け用!$A$1:$BA$300,COLUMN(),FALSE)=0,"",VLOOKUP($A20,貼り付け用!$A$1:$BA$300,COLUMN(),FALSE)),"")</f>
        <v>#N/A</v>
      </c>
      <c r="H20" s="14" t="e">
        <f ca="1">IF($A20&lt;&gt;"",IF(VLOOKUP($A20,貼り付け用!$A$1:$BA$300,COLUMN(),FALSE)=0,"",VLOOKUP($A20,貼り付け用!$A$1:$BA$300,COLUMN(),FALSE)),"")</f>
        <v>#N/A</v>
      </c>
      <c r="I20" s="14" t="e">
        <f ca="1">IF($A20&lt;&gt;"",IF(VLOOKUP($A20,貼り付け用!$A$1:$BA$300,COLUMN(),FALSE)=0,"",VLOOKUP($A20,貼り付け用!$A$1:$BA$300,COLUMN(),FALSE)),"")</f>
        <v>#N/A</v>
      </c>
      <c r="J20" s="14" t="e">
        <f ca="1">IF($A20&lt;&gt;"",IF(VLOOKUP($A20,貼り付け用!$A$1:$BA$300,COLUMN(),FALSE)=0,"",VLOOKUP($A20,貼り付け用!$A$1:$BA$300,COLUMN(),FALSE)),"")</f>
        <v>#N/A</v>
      </c>
      <c r="K20" s="14" t="e">
        <f ca="1">IF($A20&lt;&gt;"",IF(VLOOKUP($A20,貼り付け用!$A$1:$BA$300,COLUMN(),FALSE)=0,"",VLOOKUP($A20,貼り付け用!$A$1:$BA$300,COLUMN(),FALSE)),"")</f>
        <v>#N/A</v>
      </c>
      <c r="L20" s="14" t="e">
        <f ca="1">IF($A20&lt;&gt;"",
IF(COLUMN(貼り付け用!L20)&gt;MATCH("おやつ",貼り付け用!$3:$3,0),"",
IF(VLOOKUP($A20,貼り付け用!$A$1:$BA$300,COLUMN(),FALSE)=0,"",VLOOKUP($A20,貼り付け用!$A$1:$BA$300,COLUMN(),FALSE))),"")</f>
        <v>#N/A</v>
      </c>
      <c r="M20" s="14" t="e">
        <f ca="1">IF($A20&lt;&gt;"",
IF(COLUMN(貼り付け用!M20)&gt;MATCH("おやつ",貼り付け用!$3:$3,0),"",
IF(VLOOKUP($A20,貼り付け用!$A$1:$BA$300,COLUMN(),FALSE)=0,"",VLOOKUP($A20,貼り付け用!$A$1:$BA$300,COLUMN(),FALSE))),"")</f>
        <v>#N/A</v>
      </c>
      <c r="N20" s="14" t="e">
        <f ca="1">IF($A20&lt;&gt;"",
IF(COLUMN(貼り付け用!N20)&gt;MATCH("おやつ",貼り付け用!$3:$3,0),"",
IF(VLOOKUP($A20,貼り付け用!$A$1:$BA$300,COLUMN(),FALSE)=0,"",VLOOKUP($A20,貼り付け用!$A$1:$BA$300,COLUMN(),FALSE))),"")</f>
        <v>#N/A</v>
      </c>
      <c r="O20" s="14" t="e">
        <f ca="1">IF($A20&lt;&gt;"",
IF(COLUMN(貼り付け用!O20)&gt;MATCH("おやつ",貼り付け用!$3:$3,0),"",
IF(VLOOKUP($A20,貼り付け用!$A$1:$BA$300,COLUMN(),FALSE)=0,"",VLOOKUP($A20,貼り付け用!$A$1:$BA$300,COLUMN(),FALSE))),"")</f>
        <v>#N/A</v>
      </c>
      <c r="P20" s="14" t="e">
        <f ca="1">IF($A20&lt;&gt;"",
IF(COLUMN(貼り付け用!P20)&gt;MATCH("おやつ",貼り付け用!$3:$3,0),"",
IF(VLOOKUP($A20,貼り付け用!$A$1:$BA$300,COLUMN(),FALSE)=0,"",VLOOKUP($A20,貼り付け用!$A$1:$BA$300,COLUMN(),FALSE))),"")</f>
        <v>#N/A</v>
      </c>
      <c r="Q20" s="14" t="e">
        <f ca="1">IF($A20&lt;&gt;"",
IF(COLUMN(貼り付け用!Q20)&gt;MATCH("おやつ",貼り付け用!$3:$3,0),"",
IF(VLOOKUP($A20,貼り付け用!$A$1:$BA$300,COLUMN(),FALSE)=0,"",VLOOKUP($A20,貼り付け用!$A$1:$BA$300,COLUMN(),FALSE))),"")</f>
        <v>#N/A</v>
      </c>
      <c r="R20" s="14" t="e">
        <f ca="1">IF($A20&lt;&gt;"",
IF(COLUMN(貼り付け用!R20)&gt;MATCH("おやつ",貼り付け用!$3:$3,0),"",
IF(VLOOKUP($A20,貼り付け用!$A$1:$BA$300,COLUMN(),FALSE)=0,"",VLOOKUP($A20,貼り付け用!$A$1:$BA$300,COLUMN(),FALSE))),"")</f>
        <v>#N/A</v>
      </c>
      <c r="S20" s="14" t="e">
        <f ca="1">IF($A20&lt;&gt;"",
IF(COLUMN(貼り付け用!S20)&gt;MATCH("おやつ",貼り付け用!$3:$3,0),"",
IF(VLOOKUP($A20,貼り付け用!$A$1:$BA$300,COLUMN(),FALSE)=0,"",VLOOKUP($A20,貼り付け用!$A$1:$BA$300,COLUMN(),FALSE))),"")</f>
        <v>#N/A</v>
      </c>
      <c r="T20" s="14" t="e">
        <f>IF(COLUMN(貼り付け用!T20)&gt;MATCH("おやつ",貼り付け用!$3:$3,0),"",
IF(VLOOKUP($A20,貼り付け用!$A$1:$BA$300,COLUMN(),FALSE)=0,"",VLOOKUP($A20,貼り付け用!$A$1:$BA$300,COLUMN(),FALSE)))</f>
        <v>#N/A</v>
      </c>
      <c r="U20" s="11"/>
      <c r="V20" s="55" t="e">
        <f ca="1">IF(A20&lt;&gt;"",
IF(VLOOKUP($A20,貼り付け用!$A$1:$BA$300,MATCH("おやつ",貼り付け用!$3:$3,0)+1,FALSE)=0,"",VLOOKUP($A20,貼り付け用!$A$1:$BA$300,MATCH("おやつ",貼り付け用!$3:$3,0)+1,FALSE)),"")</f>
        <v>#N/A</v>
      </c>
      <c r="W20" s="14" t="e">
        <f ca="1">IF(A20&lt;&gt;"",
IF(VLOOKUP($A20,貼り付け用!$A$1:$BA$300,MATCH("おやつ",貼り付け用!$3:$3,0)+2,FALSE)=0,"",VLOOKUP($A20,貼り付け用!$A$1:$BA$300,MATCH("おやつ",貼り付け用!$3:$3,0)+2,FALSE)),"")</f>
        <v>#N/A</v>
      </c>
    </row>
    <row r="21" spans="1:23">
      <c r="A21" s="8" t="e">
        <f t="array" aca="1" ref="A21" ca="1">IF(OR(COUNTIF(A19,"*1000*"),COUNTIF(A19,"")),"",INDEX(貼り付け用!$A:$A,MATCH(A19,貼り付け用!$A:$A,0)+2,0))</f>
        <v>#N/A</v>
      </c>
      <c r="B21" s="3" t="e">
        <f ca="1">IF($A21&lt;&gt;"",IF(VLOOKUP($A21,貼り付け用!$A$1:$BA$300,COLUMN(),FALSE)=0,"",VLOOKUP($A21,貼り付け用!$A$1:$BA$300,COLUMN(),FALSE)),"")</f>
        <v>#N/A</v>
      </c>
      <c r="C21" s="3" t="e">
        <f ca="1">IF($A21&lt;&gt;"",IF(VLOOKUP($A21,貼り付け用!$A$1:$BA$300,COLUMN(),FALSE)=0,"",VLOOKUP($A21,貼り付け用!$A$1:$BA$300,COLUMN(),FALSE)),"")</f>
        <v>#N/A</v>
      </c>
      <c r="D21" s="3" t="e">
        <f ca="1">IF($A21&lt;&gt;"",IF(VLOOKUP($A21,貼り付け用!$A$1:$BA$300,COLUMN(),FALSE)=0,"",VLOOKUP($A21,貼り付け用!$A$1:$BA$300,COLUMN(),FALSE)),"")</f>
        <v>#N/A</v>
      </c>
      <c r="E21" s="3" t="e">
        <f ca="1">IF($A21&lt;&gt;"",IF(VLOOKUP($A21,貼り付け用!$A$1:$BA$300,COLUMN(),FALSE)=0,"",VLOOKUP($A21,貼り付け用!$A$1:$BA$300,COLUMN(),FALSE)),"")</f>
        <v>#N/A</v>
      </c>
      <c r="F21" s="3" t="e">
        <f ca="1">IF($A21&lt;&gt;"",IF(VLOOKUP($A21,貼り付け用!$A$1:$BA$300,COLUMN(),FALSE)=0,"",VLOOKUP($A21,貼り付け用!$A$1:$BA$300,COLUMN(),FALSE)),"")</f>
        <v>#N/A</v>
      </c>
      <c r="G21" s="3" t="e">
        <f ca="1">IF($A21&lt;&gt;"",IF(VLOOKUP($A21,貼り付け用!$A$1:$BA$300,COLUMN(),FALSE)=0,"",VLOOKUP($A21,貼り付け用!$A$1:$BA$300,COLUMN(),FALSE)),"")</f>
        <v>#N/A</v>
      </c>
      <c r="H21" s="3" t="e">
        <f ca="1">IF($A21&lt;&gt;"",IF(VLOOKUP($A21,貼り付け用!$A$1:$BA$300,COLUMN(),FALSE)=0,"",VLOOKUP($A21,貼り付け用!$A$1:$BA$300,COLUMN(),FALSE)),"")</f>
        <v>#N/A</v>
      </c>
      <c r="I21" s="3" t="e">
        <f ca="1">IF($A21&lt;&gt;"",IF(VLOOKUP($A21,貼り付け用!$A$1:$BA$300,COLUMN(),FALSE)=0,"",VLOOKUP($A21,貼り付け用!$A$1:$BA$300,COLUMN(),FALSE)),"")</f>
        <v>#N/A</v>
      </c>
      <c r="J21" s="3" t="e">
        <f ca="1">IF($A21&lt;&gt;"",IF(VLOOKUP($A21,貼り付け用!$A$1:$BA$300,COLUMN(),FALSE)=0,"",VLOOKUP($A21,貼り付け用!$A$1:$BA$300,COLUMN(),FALSE)),"")</f>
        <v>#N/A</v>
      </c>
      <c r="K21" s="3" t="e">
        <f ca="1">IF($A21&lt;&gt;"",IF(VLOOKUP($A21,貼り付け用!$A$1:$BA$300,COLUMN(),FALSE)=0,"",VLOOKUP($A21,貼り付け用!$A$1:$BA$300,COLUMN(),FALSE)),"")</f>
        <v>#N/A</v>
      </c>
      <c r="L21" s="3" t="e">
        <f ca="1">IF($A21&lt;&gt;"",
IF(COLUMN(貼り付け用!L21)&gt;MATCH("おやつ",貼り付け用!$3:$3,0),"",
IF(VLOOKUP($A21,貼り付け用!$A$1:$BA$300,COLUMN(),FALSE)=0,"",VLOOKUP($A21,貼り付け用!$A$1:$BA$300,COLUMN(),FALSE))),"")</f>
        <v>#N/A</v>
      </c>
      <c r="M21" s="3" t="e">
        <f ca="1">IF($A21&lt;&gt;"",
IF(COLUMN(貼り付け用!M21)&gt;MATCH("おやつ",貼り付け用!$3:$3,0),"",
IF(VLOOKUP($A21,貼り付け用!$A$1:$BA$300,COLUMN(),FALSE)=0,"",VLOOKUP($A21,貼り付け用!$A$1:$BA$300,COLUMN(),FALSE))),"")</f>
        <v>#N/A</v>
      </c>
      <c r="N21" s="3" t="e">
        <f ca="1">IF($A21&lt;&gt;"",
IF(COLUMN(貼り付け用!N21)&gt;MATCH("おやつ",貼り付け用!$3:$3,0),"",
IF(VLOOKUP($A21,貼り付け用!$A$1:$BA$300,COLUMN(),FALSE)=0,"",VLOOKUP($A21,貼り付け用!$A$1:$BA$300,COLUMN(),FALSE))),"")</f>
        <v>#N/A</v>
      </c>
      <c r="O21" s="3" t="e">
        <f ca="1">IF($A21&lt;&gt;"",
IF(COLUMN(貼り付け用!O21)&gt;MATCH("おやつ",貼り付け用!$3:$3,0),"",
IF(VLOOKUP($A21,貼り付け用!$A$1:$BA$300,COLUMN(),FALSE)=0,"",VLOOKUP($A21,貼り付け用!$A$1:$BA$300,COLUMN(),FALSE))),"")</f>
        <v>#N/A</v>
      </c>
      <c r="P21" s="3" t="e">
        <f ca="1">IF($A21&lt;&gt;"",
IF(COLUMN(貼り付け用!P21)&gt;MATCH("おやつ",貼り付け用!$3:$3,0),"",
IF(VLOOKUP($A21,貼り付け用!$A$1:$BA$300,COLUMN(),FALSE)=0,"",VLOOKUP($A21,貼り付け用!$A$1:$BA$300,COLUMN(),FALSE))),"")</f>
        <v>#N/A</v>
      </c>
      <c r="Q21" s="3" t="e">
        <f ca="1">IF($A21&lt;&gt;"",
IF(COLUMN(貼り付け用!Q21)&gt;MATCH("おやつ",貼り付け用!$3:$3,0),"",
IF(VLOOKUP($A21,貼り付け用!$A$1:$BA$300,COLUMN(),FALSE)=0,"",VLOOKUP($A21,貼り付け用!$A$1:$BA$300,COLUMN(),FALSE))),"")</f>
        <v>#N/A</v>
      </c>
      <c r="R21" s="3" t="e">
        <f ca="1">IF($A21&lt;&gt;"",
IF(COLUMN(貼り付け用!R21)&gt;MATCH("おやつ",貼り付け用!$3:$3,0),"",
IF(VLOOKUP($A21,貼り付け用!$A$1:$BA$300,COLUMN(),FALSE)=0,"",VLOOKUP($A21,貼り付け用!$A$1:$BA$300,COLUMN(),FALSE))),"")</f>
        <v>#N/A</v>
      </c>
      <c r="S21" s="3" t="e">
        <f ca="1">IF($A21&lt;&gt;"",
IF(COLUMN(貼り付け用!S21)&gt;MATCH("おやつ",貼り付け用!$3:$3,0),"",
IF(VLOOKUP($A21,貼り付け用!$A$1:$BA$300,COLUMN(),FALSE)=0,"",VLOOKUP($A21,貼り付け用!$A$1:$BA$300,COLUMN(),FALSE))),"")</f>
        <v>#N/A</v>
      </c>
      <c r="T21" s="3" t="e">
        <f>IF(COLUMN(貼り付け用!T21)&gt;MATCH("おやつ",貼り付け用!$3:$3,0),"",
IF(VLOOKUP($A21,貼り付け用!$A$1:$BA$300,COLUMN(),FALSE)=0,"",VLOOKUP($A21,貼り付け用!$A$1:$BA$300,COLUMN(),FALSE)))</f>
        <v>#N/A</v>
      </c>
      <c r="U21" s="21"/>
      <c r="V21" s="55" t="e">
        <f ca="1">IF(A21&lt;&gt;"",
IF(VLOOKUP($A21,貼り付け用!$A$1:$BA$300,MATCH("おやつ",貼り付け用!$3:$3,0)+1,FALSE)=0,"",VLOOKUP($A21,貼り付け用!$A$1:$BA$300,MATCH("おやつ",貼り付け用!$3:$3,0)+1,FALSE)),"")</f>
        <v>#N/A</v>
      </c>
      <c r="W21" s="14" t="e">
        <f ca="1">IF(A21&lt;&gt;"",
IF(VLOOKUP($A21,貼り付け用!$A$1:$BA$300,MATCH("おやつ",貼り付け用!$3:$3,0)+2,FALSE)=0,"",VLOOKUP($A21,貼り付け用!$A$1:$BA$300,MATCH("おやつ",貼り付け用!$3:$3,0)+2,FALSE)),"")</f>
        <v>#N/A</v>
      </c>
    </row>
    <row r="22" spans="1:23">
      <c r="A22" s="4" t="e">
        <f t="array" aca="1" ref="A22" ca="1">IF(OR(COUNTIF(A20,"*合計*"),COUNTIF(A20,"")),"",INDEX(貼り付け用!$A:$A,MATCH(A20,貼り付け用!$A:$A,0)+2,0))</f>
        <v>#N/A</v>
      </c>
      <c r="B22" s="14" t="e">
        <f ca="1">IF($A22&lt;&gt;"",IF(VLOOKUP($A22,貼り付け用!$A$1:$BA$300,COLUMN(),FALSE)=0,"",VLOOKUP($A22,貼り付け用!$A$1:$BA$300,COLUMN(),FALSE)),"")</f>
        <v>#N/A</v>
      </c>
      <c r="C22" s="14" t="e">
        <f ca="1">IF($A22&lt;&gt;"",IF(VLOOKUP($A22,貼り付け用!$A$1:$BA$300,COLUMN(),FALSE)=0,"",VLOOKUP($A22,貼り付け用!$A$1:$BA$300,COLUMN(),FALSE)),"")</f>
        <v>#N/A</v>
      </c>
      <c r="D22" s="14" t="e">
        <f ca="1">IF($A22&lt;&gt;"",IF(VLOOKUP($A22,貼り付け用!$A$1:$BA$300,COLUMN(),FALSE)=0,"",VLOOKUP($A22,貼り付け用!$A$1:$BA$300,COLUMN(),FALSE)),"")</f>
        <v>#N/A</v>
      </c>
      <c r="E22" s="14" t="e">
        <f ca="1">IF($A22&lt;&gt;"",IF(VLOOKUP($A22,貼り付け用!$A$1:$BA$300,COLUMN(),FALSE)=0,"",VLOOKUP($A22,貼り付け用!$A$1:$BA$300,COLUMN(),FALSE)),"")</f>
        <v>#N/A</v>
      </c>
      <c r="F22" s="14" t="e">
        <f ca="1">IF($A22&lt;&gt;"",IF(VLOOKUP($A22,貼り付け用!$A$1:$BA$300,COLUMN(),FALSE)=0,"",VLOOKUP($A22,貼り付け用!$A$1:$BA$300,COLUMN(),FALSE)),"")</f>
        <v>#N/A</v>
      </c>
      <c r="G22" s="14" t="e">
        <f ca="1">IF($A22&lt;&gt;"",IF(VLOOKUP($A22,貼り付け用!$A$1:$BA$300,COLUMN(),FALSE)=0,"",VLOOKUP($A22,貼り付け用!$A$1:$BA$300,COLUMN(),FALSE)),"")</f>
        <v>#N/A</v>
      </c>
      <c r="H22" s="14" t="e">
        <f ca="1">IF($A22&lt;&gt;"",IF(VLOOKUP($A22,貼り付け用!$A$1:$BA$300,COLUMN(),FALSE)=0,"",VLOOKUP($A22,貼り付け用!$A$1:$BA$300,COLUMN(),FALSE)),"")</f>
        <v>#N/A</v>
      </c>
      <c r="I22" s="14" t="e">
        <f ca="1">IF($A22&lt;&gt;"",IF(VLOOKUP($A22,貼り付け用!$A$1:$BA$300,COLUMN(),FALSE)=0,"",VLOOKUP($A22,貼り付け用!$A$1:$BA$300,COLUMN(),FALSE)),"")</f>
        <v>#N/A</v>
      </c>
      <c r="J22" s="14" t="e">
        <f ca="1">IF($A22&lt;&gt;"",IF(VLOOKUP($A22,貼り付け用!$A$1:$BA$300,COLUMN(),FALSE)=0,"",VLOOKUP($A22,貼り付け用!$A$1:$BA$300,COLUMN(),FALSE)),"")</f>
        <v>#N/A</v>
      </c>
      <c r="K22" s="14" t="e">
        <f ca="1">IF($A22&lt;&gt;"",IF(VLOOKUP($A22,貼り付け用!$A$1:$BA$300,COLUMN(),FALSE)=0,"",VLOOKUP($A22,貼り付け用!$A$1:$BA$300,COLUMN(),FALSE)),"")</f>
        <v>#N/A</v>
      </c>
      <c r="L22" s="14" t="e">
        <f ca="1">IF($A22&lt;&gt;"",
IF(COLUMN(貼り付け用!L22)&gt;MATCH("おやつ",貼り付け用!$3:$3,0),"",
IF(VLOOKUP($A22,貼り付け用!$A$1:$BA$300,COLUMN(),FALSE)=0,"",VLOOKUP($A22,貼り付け用!$A$1:$BA$300,COLUMN(),FALSE))),"")</f>
        <v>#N/A</v>
      </c>
      <c r="M22" s="14" t="e">
        <f ca="1">IF($A22&lt;&gt;"",
IF(COLUMN(貼り付け用!M22)&gt;MATCH("おやつ",貼り付け用!$3:$3,0),"",
IF(VLOOKUP($A22,貼り付け用!$A$1:$BA$300,COLUMN(),FALSE)=0,"",VLOOKUP($A22,貼り付け用!$A$1:$BA$300,COLUMN(),FALSE))),"")</f>
        <v>#N/A</v>
      </c>
      <c r="N22" s="14" t="e">
        <f ca="1">IF($A22&lt;&gt;"",
IF(COLUMN(貼り付け用!N22)&gt;MATCH("おやつ",貼り付け用!$3:$3,0),"",
IF(VLOOKUP($A22,貼り付け用!$A$1:$BA$300,COLUMN(),FALSE)=0,"",VLOOKUP($A22,貼り付け用!$A$1:$BA$300,COLUMN(),FALSE))),"")</f>
        <v>#N/A</v>
      </c>
      <c r="O22" s="14" t="e">
        <f ca="1">IF($A22&lt;&gt;"",
IF(COLUMN(貼り付け用!O22)&gt;MATCH("おやつ",貼り付け用!$3:$3,0),"",
IF(VLOOKUP($A22,貼り付け用!$A$1:$BA$300,COLUMN(),FALSE)=0,"",VLOOKUP($A22,貼り付け用!$A$1:$BA$300,COLUMN(),FALSE))),"")</f>
        <v>#N/A</v>
      </c>
      <c r="P22" s="14" t="e">
        <f ca="1">IF($A22&lt;&gt;"",
IF(COLUMN(貼り付け用!P22)&gt;MATCH("おやつ",貼り付け用!$3:$3,0),"",
IF(VLOOKUP($A22,貼り付け用!$A$1:$BA$300,COLUMN(),FALSE)=0,"",VLOOKUP($A22,貼り付け用!$A$1:$BA$300,COLUMN(),FALSE))),"")</f>
        <v>#N/A</v>
      </c>
      <c r="Q22" s="14" t="e">
        <f ca="1">IF($A22&lt;&gt;"",
IF(COLUMN(貼り付け用!Q22)&gt;MATCH("おやつ",貼り付け用!$3:$3,0),"",
IF(VLOOKUP($A22,貼り付け用!$A$1:$BA$300,COLUMN(),FALSE)=0,"",VLOOKUP($A22,貼り付け用!$A$1:$BA$300,COLUMN(),FALSE))),"")</f>
        <v>#N/A</v>
      </c>
      <c r="R22" s="14" t="e">
        <f ca="1">IF($A22&lt;&gt;"",
IF(COLUMN(貼り付け用!R22)&gt;MATCH("おやつ",貼り付け用!$3:$3,0),"",
IF(VLOOKUP($A22,貼り付け用!$A$1:$BA$300,COLUMN(),FALSE)=0,"",VLOOKUP($A22,貼り付け用!$A$1:$BA$300,COLUMN(),FALSE))),"")</f>
        <v>#N/A</v>
      </c>
      <c r="S22" s="14" t="e">
        <f ca="1">IF($A22&lt;&gt;"",
IF(COLUMN(貼り付け用!S22)&gt;MATCH("おやつ",貼り付け用!$3:$3,0),"",
IF(VLOOKUP($A22,貼り付け用!$A$1:$BA$300,COLUMN(),FALSE)=0,"",VLOOKUP($A22,貼り付け用!$A$1:$BA$300,COLUMN(),FALSE))),"")</f>
        <v>#N/A</v>
      </c>
      <c r="T22" s="14" t="e">
        <f>IF(COLUMN(貼り付け用!T22)&gt;MATCH("おやつ",貼り付け用!$3:$3,0),"",
IF(VLOOKUP($A22,貼り付け用!$A$1:$BA$300,COLUMN(),FALSE)=0,"",VLOOKUP($A22,貼り付け用!$A$1:$BA$300,COLUMN(),FALSE)))</f>
        <v>#N/A</v>
      </c>
      <c r="U22" s="11"/>
      <c r="V22" s="55" t="e">
        <f ca="1">IF(A22&lt;&gt;"",
IF(VLOOKUP($A22,貼り付け用!$A$1:$BA$300,MATCH("おやつ",貼り付け用!$3:$3,0)+1,FALSE)=0,"",VLOOKUP($A22,貼り付け用!$A$1:$BA$300,MATCH("おやつ",貼り付け用!$3:$3,0)+1,FALSE)),"")</f>
        <v>#N/A</v>
      </c>
      <c r="W22" s="14" t="e">
        <f ca="1">IF(A22&lt;&gt;"",
IF(VLOOKUP($A22,貼り付け用!$A$1:$BA$300,MATCH("おやつ",貼り付け用!$3:$3,0)+2,FALSE)=0,"",VLOOKUP($A22,貼り付け用!$A$1:$BA$300,MATCH("おやつ",貼り付け用!$3:$3,0)+2,FALSE)),"")</f>
        <v>#N/A</v>
      </c>
    </row>
    <row r="23" spans="1:23">
      <c r="A23" s="8" t="e">
        <f t="array" aca="1" ref="A23" ca="1">IF(OR(COUNTIF(A21,"*1000*"),COUNTIF(A21,"")),"",INDEX(貼り付け用!$A:$A,MATCH(A21,貼り付け用!$A:$A,0)+2,0))</f>
        <v>#N/A</v>
      </c>
      <c r="B23" s="3" t="e">
        <f ca="1">IF($A23&lt;&gt;"",IF(VLOOKUP($A23,貼り付け用!$A$1:$BA$300,COLUMN(),FALSE)=0,"",VLOOKUP($A23,貼り付け用!$A$1:$BA$300,COLUMN(),FALSE)),"")</f>
        <v>#N/A</v>
      </c>
      <c r="C23" s="3" t="e">
        <f ca="1">IF($A23&lt;&gt;"",IF(VLOOKUP($A23,貼り付け用!$A$1:$BA$300,COLUMN(),FALSE)=0,"",VLOOKUP($A23,貼り付け用!$A$1:$BA$300,COLUMN(),FALSE)),"")</f>
        <v>#N/A</v>
      </c>
      <c r="D23" s="3" t="e">
        <f ca="1">IF($A23&lt;&gt;"",IF(VLOOKUP($A23,貼り付け用!$A$1:$BA$300,COLUMN(),FALSE)=0,"",VLOOKUP($A23,貼り付け用!$A$1:$BA$300,COLUMN(),FALSE)),"")</f>
        <v>#N/A</v>
      </c>
      <c r="E23" s="3" t="e">
        <f ca="1">IF($A23&lt;&gt;"",IF(VLOOKUP($A23,貼り付け用!$A$1:$BA$300,COLUMN(),FALSE)=0,"",VLOOKUP($A23,貼り付け用!$A$1:$BA$300,COLUMN(),FALSE)),"")</f>
        <v>#N/A</v>
      </c>
      <c r="F23" s="3" t="e">
        <f ca="1">IF($A23&lt;&gt;"",IF(VLOOKUP($A23,貼り付け用!$A$1:$BA$300,COLUMN(),FALSE)=0,"",VLOOKUP($A23,貼り付け用!$A$1:$BA$300,COLUMN(),FALSE)),"")</f>
        <v>#N/A</v>
      </c>
      <c r="G23" s="3" t="e">
        <f ca="1">IF($A23&lt;&gt;"",IF(VLOOKUP($A23,貼り付け用!$A$1:$BA$300,COLUMN(),FALSE)=0,"",VLOOKUP($A23,貼り付け用!$A$1:$BA$300,COLUMN(),FALSE)),"")</f>
        <v>#N/A</v>
      </c>
      <c r="H23" s="3" t="e">
        <f ca="1">IF($A23&lt;&gt;"",IF(VLOOKUP($A23,貼り付け用!$A$1:$BA$300,COLUMN(),FALSE)=0,"",VLOOKUP($A23,貼り付け用!$A$1:$BA$300,COLUMN(),FALSE)),"")</f>
        <v>#N/A</v>
      </c>
      <c r="I23" s="3" t="e">
        <f ca="1">IF($A23&lt;&gt;"",IF(VLOOKUP($A23,貼り付け用!$A$1:$BA$300,COLUMN(),FALSE)=0,"",VLOOKUP($A23,貼り付け用!$A$1:$BA$300,COLUMN(),FALSE)),"")</f>
        <v>#N/A</v>
      </c>
      <c r="J23" s="3" t="e">
        <f ca="1">IF($A23&lt;&gt;"",IF(VLOOKUP($A23,貼り付け用!$A$1:$BA$300,COLUMN(),FALSE)=0,"",VLOOKUP($A23,貼り付け用!$A$1:$BA$300,COLUMN(),FALSE)),"")</f>
        <v>#N/A</v>
      </c>
      <c r="K23" s="3" t="e">
        <f ca="1">IF($A23&lt;&gt;"",IF(VLOOKUP($A23,貼り付け用!$A$1:$BA$300,COLUMN(),FALSE)=0,"",VLOOKUP($A23,貼り付け用!$A$1:$BA$300,COLUMN(),FALSE)),"")</f>
        <v>#N/A</v>
      </c>
      <c r="L23" s="3" t="e">
        <f ca="1">IF($A23&lt;&gt;"",
IF(COLUMN(貼り付け用!L23)&gt;MATCH("おやつ",貼り付け用!$3:$3,0),"",
IF(VLOOKUP($A23,貼り付け用!$A$1:$BA$300,COLUMN(),FALSE)=0,"",VLOOKUP($A23,貼り付け用!$A$1:$BA$300,COLUMN(),FALSE))),"")</f>
        <v>#N/A</v>
      </c>
      <c r="M23" s="3" t="e">
        <f ca="1">IF($A23&lt;&gt;"",
IF(COLUMN(貼り付け用!M23)&gt;MATCH("おやつ",貼り付け用!$3:$3,0),"",
IF(VLOOKUP($A23,貼り付け用!$A$1:$BA$300,COLUMN(),FALSE)=0,"",VLOOKUP($A23,貼り付け用!$A$1:$BA$300,COLUMN(),FALSE))),"")</f>
        <v>#N/A</v>
      </c>
      <c r="N23" s="3" t="e">
        <f ca="1">IF($A23&lt;&gt;"",
IF(COLUMN(貼り付け用!N23)&gt;MATCH("おやつ",貼り付け用!$3:$3,0),"",
IF(VLOOKUP($A23,貼り付け用!$A$1:$BA$300,COLUMN(),FALSE)=0,"",VLOOKUP($A23,貼り付け用!$A$1:$BA$300,COLUMN(),FALSE))),"")</f>
        <v>#N/A</v>
      </c>
      <c r="O23" s="3" t="e">
        <f ca="1">IF($A23&lt;&gt;"",
IF(COLUMN(貼り付け用!O23)&gt;MATCH("おやつ",貼り付け用!$3:$3,0),"",
IF(VLOOKUP($A23,貼り付け用!$A$1:$BA$300,COLUMN(),FALSE)=0,"",VLOOKUP($A23,貼り付け用!$A$1:$BA$300,COLUMN(),FALSE))),"")</f>
        <v>#N/A</v>
      </c>
      <c r="P23" s="3" t="e">
        <f ca="1">IF($A23&lt;&gt;"",
IF(COLUMN(貼り付け用!P23)&gt;MATCH("おやつ",貼り付け用!$3:$3,0),"",
IF(VLOOKUP($A23,貼り付け用!$A$1:$BA$300,COLUMN(),FALSE)=0,"",VLOOKUP($A23,貼り付け用!$A$1:$BA$300,COLUMN(),FALSE))),"")</f>
        <v>#N/A</v>
      </c>
      <c r="Q23" s="3" t="e">
        <f ca="1">IF($A23&lt;&gt;"",
IF(COLUMN(貼り付け用!Q23)&gt;MATCH("おやつ",貼り付け用!$3:$3,0),"",
IF(VLOOKUP($A23,貼り付け用!$A$1:$BA$300,COLUMN(),FALSE)=0,"",VLOOKUP($A23,貼り付け用!$A$1:$BA$300,COLUMN(),FALSE))),"")</f>
        <v>#N/A</v>
      </c>
      <c r="R23" s="3" t="e">
        <f ca="1">IF($A23&lt;&gt;"",
IF(COLUMN(貼り付け用!R23)&gt;MATCH("おやつ",貼り付け用!$3:$3,0),"",
IF(VLOOKUP($A23,貼り付け用!$A$1:$BA$300,COLUMN(),FALSE)=0,"",VLOOKUP($A23,貼り付け用!$A$1:$BA$300,COLUMN(),FALSE))),"")</f>
        <v>#N/A</v>
      </c>
      <c r="S23" s="3" t="e">
        <f ca="1">IF($A23&lt;&gt;"",
IF(COLUMN(貼り付け用!S23)&gt;MATCH("おやつ",貼り付け用!$3:$3,0),"",
IF(VLOOKUP($A23,貼り付け用!$A$1:$BA$300,COLUMN(),FALSE)=0,"",VLOOKUP($A23,貼り付け用!$A$1:$BA$300,COLUMN(),FALSE))),"")</f>
        <v>#N/A</v>
      </c>
      <c r="T23" s="3" t="e">
        <f>IF(COLUMN(貼り付け用!T23)&gt;MATCH("おやつ",貼り付け用!$3:$3,0),"",
IF(VLOOKUP($A23,貼り付け用!$A$1:$BA$300,COLUMN(),FALSE)=0,"",VLOOKUP($A23,貼り付け用!$A$1:$BA$300,COLUMN(),FALSE)))</f>
        <v>#N/A</v>
      </c>
      <c r="U23" s="21"/>
      <c r="V23" s="55" t="e">
        <f ca="1">IF(A23&lt;&gt;"",
IF(VLOOKUP($A23,貼り付け用!$A$1:$BA$300,MATCH("おやつ",貼り付け用!$3:$3,0)+1,FALSE)=0,"",VLOOKUP($A23,貼り付け用!$A$1:$BA$300,MATCH("おやつ",貼り付け用!$3:$3,0)+1,FALSE)),"")</f>
        <v>#N/A</v>
      </c>
      <c r="W23" s="14" t="e">
        <f ca="1">IF(A23&lt;&gt;"",
IF(VLOOKUP($A23,貼り付け用!$A$1:$BA$300,MATCH("おやつ",貼り付け用!$3:$3,0)+2,FALSE)=0,"",VLOOKUP($A23,貼り付け用!$A$1:$BA$300,MATCH("おやつ",貼り付け用!$3:$3,0)+2,FALSE)),"")</f>
        <v>#N/A</v>
      </c>
    </row>
    <row r="24" spans="1:23">
      <c r="A24" s="4" t="e">
        <f t="array" aca="1" ref="A24" ca="1">IF(OR(COUNTIF(A22,"*合計*"),COUNTIF(A22,"")),"",INDEX(貼り付け用!$A:$A,MATCH(A22,貼り付け用!$A:$A,0)+2,0))</f>
        <v>#N/A</v>
      </c>
      <c r="B24" s="14" t="e">
        <f ca="1">IF($A24&lt;&gt;"",IF(VLOOKUP($A24,貼り付け用!$A$1:$BA$300,COLUMN(),FALSE)=0,"",VLOOKUP($A24,貼り付け用!$A$1:$BA$300,COLUMN(),FALSE)),"")</f>
        <v>#N/A</v>
      </c>
      <c r="C24" s="14" t="e">
        <f ca="1">IF($A24&lt;&gt;"",IF(VLOOKUP($A24,貼り付け用!$A$1:$BA$300,COLUMN(),FALSE)=0,"",VLOOKUP($A24,貼り付け用!$A$1:$BA$300,COLUMN(),FALSE)),"")</f>
        <v>#N/A</v>
      </c>
      <c r="D24" s="14" t="e">
        <f ca="1">IF($A24&lt;&gt;"",IF(VLOOKUP($A24,貼り付け用!$A$1:$BA$300,COLUMN(),FALSE)=0,"",VLOOKUP($A24,貼り付け用!$A$1:$BA$300,COLUMN(),FALSE)),"")</f>
        <v>#N/A</v>
      </c>
      <c r="E24" s="14" t="e">
        <f ca="1">IF($A24&lt;&gt;"",IF(VLOOKUP($A24,貼り付け用!$A$1:$BA$300,COLUMN(),FALSE)=0,"",VLOOKUP($A24,貼り付け用!$A$1:$BA$300,COLUMN(),FALSE)),"")</f>
        <v>#N/A</v>
      </c>
      <c r="F24" s="14" t="e">
        <f ca="1">IF($A24&lt;&gt;"",IF(VLOOKUP($A24,貼り付け用!$A$1:$BA$300,COLUMN(),FALSE)=0,"",VLOOKUP($A24,貼り付け用!$A$1:$BA$300,COLUMN(),FALSE)),"")</f>
        <v>#N/A</v>
      </c>
      <c r="G24" s="14" t="e">
        <f ca="1">IF($A24&lt;&gt;"",IF(VLOOKUP($A24,貼り付け用!$A$1:$BA$300,COLUMN(),FALSE)=0,"",VLOOKUP($A24,貼り付け用!$A$1:$BA$300,COLUMN(),FALSE)),"")</f>
        <v>#N/A</v>
      </c>
      <c r="H24" s="14" t="e">
        <f ca="1">IF($A24&lt;&gt;"",IF(VLOOKUP($A24,貼り付け用!$A$1:$BA$300,COLUMN(),FALSE)=0,"",VLOOKUP($A24,貼り付け用!$A$1:$BA$300,COLUMN(),FALSE)),"")</f>
        <v>#N/A</v>
      </c>
      <c r="I24" s="14" t="e">
        <f ca="1">IF($A24&lt;&gt;"",IF(VLOOKUP($A24,貼り付け用!$A$1:$BA$300,COLUMN(),FALSE)=0,"",VLOOKUP($A24,貼り付け用!$A$1:$BA$300,COLUMN(),FALSE)),"")</f>
        <v>#N/A</v>
      </c>
      <c r="J24" s="14" t="e">
        <f ca="1">IF($A24&lt;&gt;"",IF(VLOOKUP($A24,貼り付け用!$A$1:$BA$300,COLUMN(),FALSE)=0,"",VLOOKUP($A24,貼り付け用!$A$1:$BA$300,COLUMN(),FALSE)),"")</f>
        <v>#N/A</v>
      </c>
      <c r="K24" s="14" t="e">
        <f ca="1">IF($A24&lt;&gt;"",IF(VLOOKUP($A24,貼り付け用!$A$1:$BA$300,COLUMN(),FALSE)=0,"",VLOOKUP($A24,貼り付け用!$A$1:$BA$300,COLUMN(),FALSE)),"")</f>
        <v>#N/A</v>
      </c>
      <c r="L24" s="14" t="e">
        <f ca="1">IF($A24&lt;&gt;"",
IF(COLUMN(貼り付け用!L24)&gt;MATCH("おやつ",貼り付け用!$3:$3,0),"",
IF(VLOOKUP($A24,貼り付け用!$A$1:$BA$300,COLUMN(),FALSE)=0,"",VLOOKUP($A24,貼り付け用!$A$1:$BA$300,COLUMN(),FALSE))),"")</f>
        <v>#N/A</v>
      </c>
      <c r="M24" s="14" t="e">
        <f ca="1">IF($A24&lt;&gt;"",
IF(COLUMN(貼り付け用!M24)&gt;MATCH("おやつ",貼り付け用!$3:$3,0),"",
IF(VLOOKUP($A24,貼り付け用!$A$1:$BA$300,COLUMN(),FALSE)=0,"",VLOOKUP($A24,貼り付け用!$A$1:$BA$300,COLUMN(),FALSE))),"")</f>
        <v>#N/A</v>
      </c>
      <c r="N24" s="14" t="e">
        <f ca="1">IF($A24&lt;&gt;"",
IF(COLUMN(貼り付け用!N24)&gt;MATCH("おやつ",貼り付け用!$3:$3,0),"",
IF(VLOOKUP($A24,貼り付け用!$A$1:$BA$300,COLUMN(),FALSE)=0,"",VLOOKUP($A24,貼り付け用!$A$1:$BA$300,COLUMN(),FALSE))),"")</f>
        <v>#N/A</v>
      </c>
      <c r="O24" s="14" t="e">
        <f ca="1">IF($A24&lt;&gt;"",
IF(COLUMN(貼り付け用!O24)&gt;MATCH("おやつ",貼り付け用!$3:$3,0),"",
IF(VLOOKUP($A24,貼り付け用!$A$1:$BA$300,COLUMN(),FALSE)=0,"",VLOOKUP($A24,貼り付け用!$A$1:$BA$300,COLUMN(),FALSE))),"")</f>
        <v>#N/A</v>
      </c>
      <c r="P24" s="14" t="e">
        <f ca="1">IF($A24&lt;&gt;"",
IF(COLUMN(貼り付け用!P24)&gt;MATCH("おやつ",貼り付け用!$3:$3,0),"",
IF(VLOOKUP($A24,貼り付け用!$A$1:$BA$300,COLUMN(),FALSE)=0,"",VLOOKUP($A24,貼り付け用!$A$1:$BA$300,COLUMN(),FALSE))),"")</f>
        <v>#N/A</v>
      </c>
      <c r="Q24" s="14" t="e">
        <f ca="1">IF($A24&lt;&gt;"",
IF(COLUMN(貼り付け用!Q24)&gt;MATCH("おやつ",貼り付け用!$3:$3,0),"",
IF(VLOOKUP($A24,貼り付け用!$A$1:$BA$300,COLUMN(),FALSE)=0,"",VLOOKUP($A24,貼り付け用!$A$1:$BA$300,COLUMN(),FALSE))),"")</f>
        <v>#N/A</v>
      </c>
      <c r="R24" s="14" t="e">
        <f ca="1">IF($A24&lt;&gt;"",
IF(COLUMN(貼り付け用!R24)&gt;MATCH("おやつ",貼り付け用!$3:$3,0),"",
IF(VLOOKUP($A24,貼り付け用!$A$1:$BA$300,COLUMN(),FALSE)=0,"",VLOOKUP($A24,貼り付け用!$A$1:$BA$300,COLUMN(),FALSE))),"")</f>
        <v>#N/A</v>
      </c>
      <c r="S24" s="14" t="e">
        <f ca="1">IF($A24&lt;&gt;"",
IF(COLUMN(貼り付け用!S24)&gt;MATCH("おやつ",貼り付け用!$3:$3,0),"",
IF(VLOOKUP($A24,貼り付け用!$A$1:$BA$300,COLUMN(),FALSE)=0,"",VLOOKUP($A24,貼り付け用!$A$1:$BA$300,COLUMN(),FALSE))),"")</f>
        <v>#N/A</v>
      </c>
      <c r="T24" s="14" t="e">
        <f>IF(COLUMN(貼り付け用!T24)&gt;MATCH("おやつ",貼り付け用!$3:$3,0),"",
IF(VLOOKUP($A24,貼り付け用!$A$1:$BA$300,COLUMN(),FALSE)=0,"",VLOOKUP($A24,貼り付け用!$A$1:$BA$300,COLUMN(),FALSE)))</f>
        <v>#N/A</v>
      </c>
      <c r="U24" s="11"/>
      <c r="V24" s="55" t="e">
        <f ca="1">IF(A24&lt;&gt;"",
IF(VLOOKUP($A24,貼り付け用!$A$1:$BA$300,MATCH("おやつ",貼り付け用!$3:$3,0)+1,FALSE)=0,"",VLOOKUP($A24,貼り付け用!$A$1:$BA$300,MATCH("おやつ",貼り付け用!$3:$3,0)+1,FALSE)),"")</f>
        <v>#N/A</v>
      </c>
      <c r="W24" s="14" t="e">
        <f ca="1">IF(A24&lt;&gt;"",
IF(VLOOKUP($A24,貼り付け用!$A$1:$BA$300,MATCH("おやつ",貼り付け用!$3:$3,0)+2,FALSE)=0,"",VLOOKUP($A24,貼り付け用!$A$1:$BA$300,MATCH("おやつ",貼り付け用!$3:$3,0)+2,FALSE)),"")</f>
        <v>#N/A</v>
      </c>
    </row>
    <row r="25" spans="1:23">
      <c r="A25" s="8" t="e">
        <f t="array" aca="1" ref="A25" ca="1">IF(OR(COUNTIF(A23,"*1000*"),COUNTIF(A23,"")),"",INDEX(貼り付け用!$A:$A,MATCH(A23,貼り付け用!$A:$A,0)+2,0))</f>
        <v>#N/A</v>
      </c>
      <c r="B25" s="3" t="e">
        <f ca="1">IF($A25&lt;&gt;"",IF(VLOOKUP($A25,貼り付け用!$A$1:$BA$300,COLUMN(),FALSE)=0,"",VLOOKUP($A25,貼り付け用!$A$1:$BA$300,COLUMN(),FALSE)),"")</f>
        <v>#N/A</v>
      </c>
      <c r="C25" s="3" t="e">
        <f ca="1">IF($A25&lt;&gt;"",IF(VLOOKUP($A25,貼り付け用!$A$1:$BA$300,COLUMN(),FALSE)=0,"",VLOOKUP($A25,貼り付け用!$A$1:$BA$300,COLUMN(),FALSE)),"")</f>
        <v>#N/A</v>
      </c>
      <c r="D25" s="3" t="e">
        <f ca="1">IF($A25&lt;&gt;"",IF(VLOOKUP($A25,貼り付け用!$A$1:$BA$300,COLUMN(),FALSE)=0,"",VLOOKUP($A25,貼り付け用!$A$1:$BA$300,COLUMN(),FALSE)),"")</f>
        <v>#N/A</v>
      </c>
      <c r="E25" s="3" t="e">
        <f ca="1">IF($A25&lt;&gt;"",IF(VLOOKUP($A25,貼り付け用!$A$1:$BA$300,COLUMN(),FALSE)=0,"",VLOOKUP($A25,貼り付け用!$A$1:$BA$300,COLUMN(),FALSE)),"")</f>
        <v>#N/A</v>
      </c>
      <c r="F25" s="3" t="e">
        <f ca="1">IF($A25&lt;&gt;"",IF(VLOOKUP($A25,貼り付け用!$A$1:$BA$300,COLUMN(),FALSE)=0,"",VLOOKUP($A25,貼り付け用!$A$1:$BA$300,COLUMN(),FALSE)),"")</f>
        <v>#N/A</v>
      </c>
      <c r="G25" s="3" t="e">
        <f ca="1">IF($A25&lt;&gt;"",IF(VLOOKUP($A25,貼り付け用!$A$1:$BA$300,COLUMN(),FALSE)=0,"",VLOOKUP($A25,貼り付け用!$A$1:$BA$300,COLUMN(),FALSE)),"")</f>
        <v>#N/A</v>
      </c>
      <c r="H25" s="3" t="e">
        <f ca="1">IF($A25&lt;&gt;"",IF(VLOOKUP($A25,貼り付け用!$A$1:$BA$300,COLUMN(),FALSE)=0,"",VLOOKUP($A25,貼り付け用!$A$1:$BA$300,COLUMN(),FALSE)),"")</f>
        <v>#N/A</v>
      </c>
      <c r="I25" s="3" t="e">
        <f ca="1">IF($A25&lt;&gt;"",IF(VLOOKUP($A25,貼り付け用!$A$1:$BA$300,COLUMN(),FALSE)=0,"",VLOOKUP($A25,貼り付け用!$A$1:$BA$300,COLUMN(),FALSE)),"")</f>
        <v>#N/A</v>
      </c>
      <c r="J25" s="3" t="e">
        <f ca="1">IF($A25&lt;&gt;"",IF(VLOOKUP($A25,貼り付け用!$A$1:$BA$300,COLUMN(),FALSE)=0,"",VLOOKUP($A25,貼り付け用!$A$1:$BA$300,COLUMN(),FALSE)),"")</f>
        <v>#N/A</v>
      </c>
      <c r="K25" s="3" t="e">
        <f ca="1">IF($A25&lt;&gt;"",IF(VLOOKUP($A25,貼り付け用!$A$1:$BA$300,COLUMN(),FALSE)=0,"",VLOOKUP($A25,貼り付け用!$A$1:$BA$300,COLUMN(),FALSE)),"")</f>
        <v>#N/A</v>
      </c>
      <c r="L25" s="3" t="e">
        <f ca="1">IF($A25&lt;&gt;"",
IF(COLUMN(貼り付け用!L25)&gt;MATCH("おやつ",貼り付け用!$3:$3,0),"",
IF(VLOOKUP($A25,貼り付け用!$A$1:$BA$300,COLUMN(),FALSE)=0,"",VLOOKUP($A25,貼り付け用!$A$1:$BA$300,COLUMN(),FALSE))),"")</f>
        <v>#N/A</v>
      </c>
      <c r="M25" s="3" t="e">
        <f ca="1">IF($A25&lt;&gt;"",
IF(COLUMN(貼り付け用!M25)&gt;MATCH("おやつ",貼り付け用!$3:$3,0),"",
IF(VLOOKUP($A25,貼り付け用!$A$1:$BA$300,COLUMN(),FALSE)=0,"",VLOOKUP($A25,貼り付け用!$A$1:$BA$300,COLUMN(),FALSE))),"")</f>
        <v>#N/A</v>
      </c>
      <c r="N25" s="3" t="e">
        <f ca="1">IF($A25&lt;&gt;"",
IF(COLUMN(貼り付け用!N25)&gt;MATCH("おやつ",貼り付け用!$3:$3,0),"",
IF(VLOOKUP($A25,貼り付け用!$A$1:$BA$300,COLUMN(),FALSE)=0,"",VLOOKUP($A25,貼り付け用!$A$1:$BA$300,COLUMN(),FALSE))),"")</f>
        <v>#N/A</v>
      </c>
      <c r="O25" s="3" t="e">
        <f ca="1">IF($A25&lt;&gt;"",
IF(COLUMN(貼り付け用!O25)&gt;MATCH("おやつ",貼り付け用!$3:$3,0),"",
IF(VLOOKUP($A25,貼り付け用!$A$1:$BA$300,COLUMN(),FALSE)=0,"",VLOOKUP($A25,貼り付け用!$A$1:$BA$300,COLUMN(),FALSE))),"")</f>
        <v>#N/A</v>
      </c>
      <c r="P25" s="3" t="e">
        <f ca="1">IF($A25&lt;&gt;"",
IF(COLUMN(貼り付け用!P25)&gt;MATCH("おやつ",貼り付け用!$3:$3,0),"",
IF(VLOOKUP($A25,貼り付け用!$A$1:$BA$300,COLUMN(),FALSE)=0,"",VLOOKUP($A25,貼り付け用!$A$1:$BA$300,COLUMN(),FALSE))),"")</f>
        <v>#N/A</v>
      </c>
      <c r="Q25" s="3" t="e">
        <f ca="1">IF($A25&lt;&gt;"",
IF(COLUMN(貼り付け用!Q25)&gt;MATCH("おやつ",貼り付け用!$3:$3,0),"",
IF(VLOOKUP($A25,貼り付け用!$A$1:$BA$300,COLUMN(),FALSE)=0,"",VLOOKUP($A25,貼り付け用!$A$1:$BA$300,COLUMN(),FALSE))),"")</f>
        <v>#N/A</v>
      </c>
      <c r="R25" s="3" t="e">
        <f ca="1">IF($A25&lt;&gt;"",
IF(COLUMN(貼り付け用!R25)&gt;MATCH("おやつ",貼り付け用!$3:$3,0),"",
IF(VLOOKUP($A25,貼り付け用!$A$1:$BA$300,COLUMN(),FALSE)=0,"",VLOOKUP($A25,貼り付け用!$A$1:$BA$300,COLUMN(),FALSE))),"")</f>
        <v>#N/A</v>
      </c>
      <c r="S25" s="3" t="e">
        <f ca="1">IF($A25&lt;&gt;"",
IF(COLUMN(貼り付け用!S25)&gt;MATCH("おやつ",貼り付け用!$3:$3,0),"",
IF(VLOOKUP($A25,貼り付け用!$A$1:$BA$300,COLUMN(),FALSE)=0,"",VLOOKUP($A25,貼り付け用!$A$1:$BA$300,COLUMN(),FALSE))),"")</f>
        <v>#N/A</v>
      </c>
      <c r="T25" s="3" t="e">
        <f>IF(COLUMN(貼り付け用!T25)&gt;MATCH("おやつ",貼り付け用!$3:$3,0),"",
IF(VLOOKUP($A25,貼り付け用!$A$1:$BA$300,COLUMN(),FALSE)=0,"",VLOOKUP($A25,貼り付け用!$A$1:$BA$300,COLUMN(),FALSE)))</f>
        <v>#N/A</v>
      </c>
      <c r="U25" s="21"/>
      <c r="V25" s="55" t="e">
        <f ca="1">IF(A25&lt;&gt;"",
IF(VLOOKUP($A25,貼り付け用!$A$1:$BA$300,MATCH("おやつ",貼り付け用!$3:$3,0)+1,FALSE)=0,"",VLOOKUP($A25,貼り付け用!$A$1:$BA$300,MATCH("おやつ",貼り付け用!$3:$3,0)+1,FALSE)),"")</f>
        <v>#N/A</v>
      </c>
      <c r="W25" s="14" t="e">
        <f ca="1">IF(A25&lt;&gt;"",
IF(VLOOKUP($A25,貼り付け用!$A$1:$BA$300,MATCH("おやつ",貼り付け用!$3:$3,0)+2,FALSE)=0,"",VLOOKUP($A25,貼り付け用!$A$1:$BA$300,MATCH("おやつ",貼り付け用!$3:$3,0)+2,FALSE)),"")</f>
        <v>#N/A</v>
      </c>
    </row>
    <row r="26" spans="1:23">
      <c r="A26" s="4" t="e">
        <f t="array" aca="1" ref="A26" ca="1">IF(OR(COUNTIF(A24,"*合計*"),COUNTIF(A24,"")),"",INDEX(貼り付け用!$A:$A,MATCH(A24,貼り付け用!$A:$A,0)+2,0))</f>
        <v>#N/A</v>
      </c>
      <c r="B26" s="14" t="e">
        <f ca="1">IF($A26&lt;&gt;"",IF(VLOOKUP($A26,貼り付け用!$A$1:$BA$300,COLUMN(),FALSE)=0,"",VLOOKUP($A26,貼り付け用!$A$1:$BA$300,COLUMN(),FALSE)),"")</f>
        <v>#N/A</v>
      </c>
      <c r="C26" s="14" t="e">
        <f ca="1">IF($A26&lt;&gt;"",IF(VLOOKUP($A26,貼り付け用!$A$1:$BA$300,COLUMN(),FALSE)=0,"",VLOOKUP($A26,貼り付け用!$A$1:$BA$300,COLUMN(),FALSE)),"")</f>
        <v>#N/A</v>
      </c>
      <c r="D26" s="14" t="e">
        <f ca="1">IF($A26&lt;&gt;"",IF(VLOOKUP($A26,貼り付け用!$A$1:$BA$300,COLUMN(),FALSE)=0,"",VLOOKUP($A26,貼り付け用!$A$1:$BA$300,COLUMN(),FALSE)),"")</f>
        <v>#N/A</v>
      </c>
      <c r="E26" s="14" t="e">
        <f ca="1">IF($A26&lt;&gt;"",IF(VLOOKUP($A26,貼り付け用!$A$1:$BA$300,COLUMN(),FALSE)=0,"",VLOOKUP($A26,貼り付け用!$A$1:$BA$300,COLUMN(),FALSE)),"")</f>
        <v>#N/A</v>
      </c>
      <c r="F26" s="14" t="e">
        <f ca="1">IF($A26&lt;&gt;"",IF(VLOOKUP($A26,貼り付け用!$A$1:$BA$300,COLUMN(),FALSE)=0,"",VLOOKUP($A26,貼り付け用!$A$1:$BA$300,COLUMN(),FALSE)),"")</f>
        <v>#N/A</v>
      </c>
      <c r="G26" s="14" t="e">
        <f ca="1">IF($A26&lt;&gt;"",IF(VLOOKUP($A26,貼り付け用!$A$1:$BA$300,COLUMN(),FALSE)=0,"",VLOOKUP($A26,貼り付け用!$A$1:$BA$300,COLUMN(),FALSE)),"")</f>
        <v>#N/A</v>
      </c>
      <c r="H26" s="14" t="e">
        <f ca="1">IF($A26&lt;&gt;"",IF(VLOOKUP($A26,貼り付け用!$A$1:$BA$300,COLUMN(),FALSE)=0,"",VLOOKUP($A26,貼り付け用!$A$1:$BA$300,COLUMN(),FALSE)),"")</f>
        <v>#N/A</v>
      </c>
      <c r="I26" s="14" t="e">
        <f ca="1">IF($A26&lt;&gt;"",IF(VLOOKUP($A26,貼り付け用!$A$1:$BA$300,COLUMN(),FALSE)=0,"",VLOOKUP($A26,貼り付け用!$A$1:$BA$300,COLUMN(),FALSE)),"")</f>
        <v>#N/A</v>
      </c>
      <c r="J26" s="14" t="e">
        <f ca="1">IF($A26&lt;&gt;"",IF(VLOOKUP($A26,貼り付け用!$A$1:$BA$300,COLUMN(),FALSE)=0,"",VLOOKUP($A26,貼り付け用!$A$1:$BA$300,COLUMN(),FALSE)),"")</f>
        <v>#N/A</v>
      </c>
      <c r="K26" s="14" t="e">
        <f ca="1">IF($A26&lt;&gt;"",IF(VLOOKUP($A26,貼り付け用!$A$1:$BA$300,COLUMN(),FALSE)=0,"",VLOOKUP($A26,貼り付け用!$A$1:$BA$300,COLUMN(),FALSE)),"")</f>
        <v>#N/A</v>
      </c>
      <c r="L26" s="14" t="e">
        <f ca="1">IF($A26&lt;&gt;"",
IF(COLUMN(貼り付け用!L26)&gt;MATCH("おやつ",貼り付け用!$3:$3,0),"",
IF(VLOOKUP($A26,貼り付け用!$A$1:$BA$300,COLUMN(),FALSE)=0,"",VLOOKUP($A26,貼り付け用!$A$1:$BA$300,COLUMN(),FALSE))),"")</f>
        <v>#N/A</v>
      </c>
      <c r="M26" s="14" t="e">
        <f ca="1">IF($A26&lt;&gt;"",
IF(COLUMN(貼り付け用!M26)&gt;MATCH("おやつ",貼り付け用!$3:$3,0),"",
IF(VLOOKUP($A26,貼り付け用!$A$1:$BA$300,COLUMN(),FALSE)=0,"",VLOOKUP($A26,貼り付け用!$A$1:$BA$300,COLUMN(),FALSE))),"")</f>
        <v>#N/A</v>
      </c>
      <c r="N26" s="14" t="e">
        <f ca="1">IF($A26&lt;&gt;"",
IF(COLUMN(貼り付け用!N26)&gt;MATCH("おやつ",貼り付け用!$3:$3,0),"",
IF(VLOOKUP($A26,貼り付け用!$A$1:$BA$300,COLUMN(),FALSE)=0,"",VLOOKUP($A26,貼り付け用!$A$1:$BA$300,COLUMN(),FALSE))),"")</f>
        <v>#N/A</v>
      </c>
      <c r="O26" s="14" t="e">
        <f ca="1">IF($A26&lt;&gt;"",
IF(COLUMN(貼り付け用!O26)&gt;MATCH("おやつ",貼り付け用!$3:$3,0),"",
IF(VLOOKUP($A26,貼り付け用!$A$1:$BA$300,COLUMN(),FALSE)=0,"",VLOOKUP($A26,貼り付け用!$A$1:$BA$300,COLUMN(),FALSE))),"")</f>
        <v>#N/A</v>
      </c>
      <c r="P26" s="14" t="e">
        <f ca="1">IF($A26&lt;&gt;"",
IF(COLUMN(貼り付け用!P26)&gt;MATCH("おやつ",貼り付け用!$3:$3,0),"",
IF(VLOOKUP($A26,貼り付け用!$A$1:$BA$300,COLUMN(),FALSE)=0,"",VLOOKUP($A26,貼り付け用!$A$1:$BA$300,COLUMN(),FALSE))),"")</f>
        <v>#N/A</v>
      </c>
      <c r="Q26" s="14" t="e">
        <f ca="1">IF($A26&lt;&gt;"",
IF(COLUMN(貼り付け用!Q26)&gt;MATCH("おやつ",貼り付け用!$3:$3,0),"",
IF(VLOOKUP($A26,貼り付け用!$A$1:$BA$300,COLUMN(),FALSE)=0,"",VLOOKUP($A26,貼り付け用!$A$1:$BA$300,COLUMN(),FALSE))),"")</f>
        <v>#N/A</v>
      </c>
      <c r="R26" s="14" t="e">
        <f ca="1">IF($A26&lt;&gt;"",
IF(COLUMN(貼り付け用!R26)&gt;MATCH("おやつ",貼り付け用!$3:$3,0),"",
IF(VLOOKUP($A26,貼り付け用!$A$1:$BA$300,COLUMN(),FALSE)=0,"",VLOOKUP($A26,貼り付け用!$A$1:$BA$300,COLUMN(),FALSE))),"")</f>
        <v>#N/A</v>
      </c>
      <c r="S26" s="14" t="e">
        <f ca="1">IF($A26&lt;&gt;"",
IF(COLUMN(貼り付け用!S26)&gt;MATCH("おやつ",貼り付け用!$3:$3,0),"",
IF(VLOOKUP($A26,貼り付け用!$A$1:$BA$300,COLUMN(),FALSE)=0,"",VLOOKUP($A26,貼り付け用!$A$1:$BA$300,COLUMN(),FALSE))),"")</f>
        <v>#N/A</v>
      </c>
      <c r="T26" s="14" t="e">
        <f>IF(COLUMN(貼り付け用!T26)&gt;MATCH("おやつ",貼り付け用!$3:$3,0),"",
IF(VLOOKUP($A26,貼り付け用!$A$1:$BA$300,COLUMN(),FALSE)=0,"",VLOOKUP($A26,貼り付け用!$A$1:$BA$300,COLUMN(),FALSE)))</f>
        <v>#N/A</v>
      </c>
      <c r="U26" s="11"/>
      <c r="V26" s="55" t="e">
        <f ca="1">IF(A26&lt;&gt;"",
IF(VLOOKUP($A26,貼り付け用!$A$1:$BA$300,MATCH("おやつ",貼り付け用!$3:$3,0)+1,FALSE)=0,"",VLOOKUP($A26,貼り付け用!$A$1:$BA$300,MATCH("おやつ",貼り付け用!$3:$3,0)+1,FALSE)),"")</f>
        <v>#N/A</v>
      </c>
      <c r="W26" s="14" t="e">
        <f ca="1">IF(A26&lt;&gt;"",
IF(VLOOKUP($A26,貼り付け用!$A$1:$BA$300,MATCH("おやつ",貼り付け用!$3:$3,0)+2,FALSE)=0,"",VLOOKUP($A26,貼り付け用!$A$1:$BA$300,MATCH("おやつ",貼り付け用!$3:$3,0)+2,FALSE)),"")</f>
        <v>#N/A</v>
      </c>
    </row>
    <row r="27" spans="1:23">
      <c r="A27" s="8" t="e">
        <f t="array" aca="1" ref="A27" ca="1">IF(OR(COUNTIF(A25,"*1000*"),COUNTIF(A25,"")),"",INDEX(貼り付け用!$A:$A,MATCH(A25,貼り付け用!$A:$A,0)+2,0))</f>
        <v>#N/A</v>
      </c>
      <c r="B27" s="3" t="e">
        <f ca="1">IF($A27&lt;&gt;"",IF(VLOOKUP($A27,貼り付け用!$A$1:$BA$300,COLUMN(),FALSE)=0,"",VLOOKUP($A27,貼り付け用!$A$1:$BA$300,COLUMN(),FALSE)),"")</f>
        <v>#N/A</v>
      </c>
      <c r="C27" s="3" t="e">
        <f ca="1">IF($A27&lt;&gt;"",IF(VLOOKUP($A27,貼り付け用!$A$1:$BA$300,COLUMN(),FALSE)=0,"",VLOOKUP($A27,貼り付け用!$A$1:$BA$300,COLUMN(),FALSE)),"")</f>
        <v>#N/A</v>
      </c>
      <c r="D27" s="3" t="e">
        <f ca="1">IF($A27&lt;&gt;"",IF(VLOOKUP($A27,貼り付け用!$A$1:$BA$300,COLUMN(),FALSE)=0,"",VLOOKUP($A27,貼り付け用!$A$1:$BA$300,COLUMN(),FALSE)),"")</f>
        <v>#N/A</v>
      </c>
      <c r="E27" s="3" t="e">
        <f ca="1">IF($A27&lt;&gt;"",IF(VLOOKUP($A27,貼り付け用!$A$1:$BA$300,COLUMN(),FALSE)=0,"",VLOOKUP($A27,貼り付け用!$A$1:$BA$300,COLUMN(),FALSE)),"")</f>
        <v>#N/A</v>
      </c>
      <c r="F27" s="3" t="e">
        <f ca="1">IF($A27&lt;&gt;"",IF(VLOOKUP($A27,貼り付け用!$A$1:$BA$300,COLUMN(),FALSE)=0,"",VLOOKUP($A27,貼り付け用!$A$1:$BA$300,COLUMN(),FALSE)),"")</f>
        <v>#N/A</v>
      </c>
      <c r="G27" s="3" t="e">
        <f ca="1">IF($A27&lt;&gt;"",IF(VLOOKUP($A27,貼り付け用!$A$1:$BA$300,COLUMN(),FALSE)=0,"",VLOOKUP($A27,貼り付け用!$A$1:$BA$300,COLUMN(),FALSE)),"")</f>
        <v>#N/A</v>
      </c>
      <c r="H27" s="3" t="e">
        <f ca="1">IF($A27&lt;&gt;"",IF(VLOOKUP($A27,貼り付け用!$A$1:$BA$300,COLUMN(),FALSE)=0,"",VLOOKUP($A27,貼り付け用!$A$1:$BA$300,COLUMN(),FALSE)),"")</f>
        <v>#N/A</v>
      </c>
      <c r="I27" s="3" t="e">
        <f ca="1">IF($A27&lt;&gt;"",IF(VLOOKUP($A27,貼り付け用!$A$1:$BA$300,COLUMN(),FALSE)=0,"",VLOOKUP($A27,貼り付け用!$A$1:$BA$300,COLUMN(),FALSE)),"")</f>
        <v>#N/A</v>
      </c>
      <c r="J27" s="3" t="e">
        <f ca="1">IF($A27&lt;&gt;"",IF(VLOOKUP($A27,貼り付け用!$A$1:$BA$300,COLUMN(),FALSE)=0,"",VLOOKUP($A27,貼り付け用!$A$1:$BA$300,COLUMN(),FALSE)),"")</f>
        <v>#N/A</v>
      </c>
      <c r="K27" s="3" t="e">
        <f ca="1">IF($A27&lt;&gt;"",IF(VLOOKUP($A27,貼り付け用!$A$1:$BA$300,COLUMN(),FALSE)=0,"",VLOOKUP($A27,貼り付け用!$A$1:$BA$300,COLUMN(),FALSE)),"")</f>
        <v>#N/A</v>
      </c>
      <c r="L27" s="3" t="e">
        <f ca="1">IF($A27&lt;&gt;"",
IF(COLUMN(貼り付け用!L27)&gt;MATCH("おやつ",貼り付け用!$3:$3,0),"",
IF(VLOOKUP($A27,貼り付け用!$A$1:$BA$300,COLUMN(),FALSE)=0,"",VLOOKUP($A27,貼り付け用!$A$1:$BA$300,COLUMN(),FALSE))),"")</f>
        <v>#N/A</v>
      </c>
      <c r="M27" s="3" t="e">
        <f ca="1">IF($A27&lt;&gt;"",
IF(COLUMN(貼り付け用!M27)&gt;MATCH("おやつ",貼り付け用!$3:$3,0),"",
IF(VLOOKUP($A27,貼り付け用!$A$1:$BA$300,COLUMN(),FALSE)=0,"",VLOOKUP($A27,貼り付け用!$A$1:$BA$300,COLUMN(),FALSE))),"")</f>
        <v>#N/A</v>
      </c>
      <c r="N27" s="3" t="e">
        <f ca="1">IF($A27&lt;&gt;"",
IF(COLUMN(貼り付け用!N27)&gt;MATCH("おやつ",貼り付け用!$3:$3,0),"",
IF(VLOOKUP($A27,貼り付け用!$A$1:$BA$300,COLUMN(),FALSE)=0,"",VLOOKUP($A27,貼り付け用!$A$1:$BA$300,COLUMN(),FALSE))),"")</f>
        <v>#N/A</v>
      </c>
      <c r="O27" s="3" t="e">
        <f ca="1">IF($A27&lt;&gt;"",
IF(COLUMN(貼り付け用!O27)&gt;MATCH("おやつ",貼り付け用!$3:$3,0),"",
IF(VLOOKUP($A27,貼り付け用!$A$1:$BA$300,COLUMN(),FALSE)=0,"",VLOOKUP($A27,貼り付け用!$A$1:$BA$300,COLUMN(),FALSE))),"")</f>
        <v>#N/A</v>
      </c>
      <c r="P27" s="3" t="e">
        <f ca="1">IF($A27&lt;&gt;"",
IF(COLUMN(貼り付け用!P27)&gt;MATCH("おやつ",貼り付け用!$3:$3,0),"",
IF(VLOOKUP($A27,貼り付け用!$A$1:$BA$300,COLUMN(),FALSE)=0,"",VLOOKUP($A27,貼り付け用!$A$1:$BA$300,COLUMN(),FALSE))),"")</f>
        <v>#N/A</v>
      </c>
      <c r="Q27" s="3" t="e">
        <f ca="1">IF($A27&lt;&gt;"",
IF(COLUMN(貼り付け用!Q27)&gt;MATCH("おやつ",貼り付け用!$3:$3,0),"",
IF(VLOOKUP($A27,貼り付け用!$A$1:$BA$300,COLUMN(),FALSE)=0,"",VLOOKUP($A27,貼り付け用!$A$1:$BA$300,COLUMN(),FALSE))),"")</f>
        <v>#N/A</v>
      </c>
      <c r="R27" s="3" t="e">
        <f ca="1">IF($A27&lt;&gt;"",
IF(COLUMN(貼り付け用!R27)&gt;MATCH("おやつ",貼り付け用!$3:$3,0),"",
IF(VLOOKUP($A27,貼り付け用!$A$1:$BA$300,COLUMN(),FALSE)=0,"",VLOOKUP($A27,貼り付け用!$A$1:$BA$300,COLUMN(),FALSE))),"")</f>
        <v>#N/A</v>
      </c>
      <c r="S27" s="3" t="e">
        <f ca="1">IF($A27&lt;&gt;"",
IF(COLUMN(貼り付け用!S27)&gt;MATCH("おやつ",貼り付け用!$3:$3,0),"",
IF(VLOOKUP($A27,貼り付け用!$A$1:$BA$300,COLUMN(),FALSE)=0,"",VLOOKUP($A27,貼り付け用!$A$1:$BA$300,COLUMN(),FALSE))),"")</f>
        <v>#N/A</v>
      </c>
      <c r="T27" s="3" t="e">
        <f>IF(COLUMN(貼り付け用!T27)&gt;MATCH("おやつ",貼り付け用!$3:$3,0),"",
IF(VLOOKUP($A27,貼り付け用!$A$1:$BA$300,COLUMN(),FALSE)=0,"",VLOOKUP($A27,貼り付け用!$A$1:$BA$300,COLUMN(),FALSE)))</f>
        <v>#N/A</v>
      </c>
      <c r="U27" s="21"/>
      <c r="V27" s="55" t="e">
        <f ca="1">IF(A27&lt;&gt;"",
IF(VLOOKUP($A27,貼り付け用!$A$1:$BA$300,MATCH("おやつ",貼り付け用!$3:$3,0)+1,FALSE)=0,"",VLOOKUP($A27,貼り付け用!$A$1:$BA$300,MATCH("おやつ",貼り付け用!$3:$3,0)+1,FALSE)),"")</f>
        <v>#N/A</v>
      </c>
      <c r="W27" s="14" t="e">
        <f ca="1">IF(A27&lt;&gt;"",
IF(VLOOKUP($A27,貼り付け用!$A$1:$BA$300,MATCH("おやつ",貼り付け用!$3:$3,0)+2,FALSE)=0,"",VLOOKUP($A27,貼り付け用!$A$1:$BA$300,MATCH("おやつ",貼り付け用!$3:$3,0)+2,FALSE)),"")</f>
        <v>#N/A</v>
      </c>
    </row>
    <row r="28" spans="1:23">
      <c r="A28" s="4" t="e">
        <f t="array" aca="1" ref="A28" ca="1">IF(OR(COUNTIF(A26,"*合計*"),COUNTIF(A26,"")),"",INDEX(貼り付け用!$A:$A,MATCH(A26,貼り付け用!$A:$A,0)+2,0))</f>
        <v>#N/A</v>
      </c>
      <c r="B28" s="14" t="e">
        <f ca="1">IF($A28&lt;&gt;"",IF(VLOOKUP($A28,貼り付け用!$A$1:$BA$300,COLUMN(),FALSE)=0,"",VLOOKUP($A28,貼り付け用!$A$1:$BA$300,COLUMN(),FALSE)),"")</f>
        <v>#N/A</v>
      </c>
      <c r="C28" s="14" t="e">
        <f ca="1">IF($A28&lt;&gt;"",IF(VLOOKUP($A28,貼り付け用!$A$1:$BA$300,COLUMN(),FALSE)=0,"",VLOOKUP($A28,貼り付け用!$A$1:$BA$300,COLUMN(),FALSE)),"")</f>
        <v>#N/A</v>
      </c>
      <c r="D28" s="14" t="e">
        <f ca="1">IF($A28&lt;&gt;"",IF(VLOOKUP($A28,貼り付け用!$A$1:$BA$300,COLUMN(),FALSE)=0,"",VLOOKUP($A28,貼り付け用!$A$1:$BA$300,COLUMN(),FALSE)),"")</f>
        <v>#N/A</v>
      </c>
      <c r="E28" s="14" t="e">
        <f ca="1">IF($A28&lt;&gt;"",IF(VLOOKUP($A28,貼り付け用!$A$1:$BA$300,COLUMN(),FALSE)=0,"",VLOOKUP($A28,貼り付け用!$A$1:$BA$300,COLUMN(),FALSE)),"")</f>
        <v>#N/A</v>
      </c>
      <c r="F28" s="14" t="e">
        <f ca="1">IF($A28&lt;&gt;"",IF(VLOOKUP($A28,貼り付け用!$A$1:$BA$300,COLUMN(),FALSE)=0,"",VLOOKUP($A28,貼り付け用!$A$1:$BA$300,COLUMN(),FALSE)),"")</f>
        <v>#N/A</v>
      </c>
      <c r="G28" s="14" t="e">
        <f ca="1">IF($A28&lt;&gt;"",IF(VLOOKUP($A28,貼り付け用!$A$1:$BA$300,COLUMN(),FALSE)=0,"",VLOOKUP($A28,貼り付け用!$A$1:$BA$300,COLUMN(),FALSE)),"")</f>
        <v>#N/A</v>
      </c>
      <c r="H28" s="14" t="e">
        <f ca="1">IF($A28&lt;&gt;"",IF(VLOOKUP($A28,貼り付け用!$A$1:$BA$300,COLUMN(),FALSE)=0,"",VLOOKUP($A28,貼り付け用!$A$1:$BA$300,COLUMN(),FALSE)),"")</f>
        <v>#N/A</v>
      </c>
      <c r="I28" s="14" t="e">
        <f ca="1">IF($A28&lt;&gt;"",IF(VLOOKUP($A28,貼り付け用!$A$1:$BA$300,COLUMN(),FALSE)=0,"",VLOOKUP($A28,貼り付け用!$A$1:$BA$300,COLUMN(),FALSE)),"")</f>
        <v>#N/A</v>
      </c>
      <c r="J28" s="14" t="e">
        <f ca="1">IF($A28&lt;&gt;"",IF(VLOOKUP($A28,貼り付け用!$A$1:$BA$300,COLUMN(),FALSE)=0,"",VLOOKUP($A28,貼り付け用!$A$1:$BA$300,COLUMN(),FALSE)),"")</f>
        <v>#N/A</v>
      </c>
      <c r="K28" s="14" t="e">
        <f ca="1">IF($A28&lt;&gt;"",IF(VLOOKUP($A28,貼り付け用!$A$1:$BA$300,COLUMN(),FALSE)=0,"",VLOOKUP($A28,貼り付け用!$A$1:$BA$300,COLUMN(),FALSE)),"")</f>
        <v>#N/A</v>
      </c>
      <c r="L28" s="14" t="e">
        <f ca="1">IF($A28&lt;&gt;"",
IF(COLUMN(貼り付け用!L28)&gt;MATCH("おやつ",貼り付け用!$3:$3,0),"",
IF(VLOOKUP($A28,貼り付け用!$A$1:$BA$300,COLUMN(),FALSE)=0,"",VLOOKUP($A28,貼り付け用!$A$1:$BA$300,COLUMN(),FALSE))),"")</f>
        <v>#N/A</v>
      </c>
      <c r="M28" s="14" t="e">
        <f ca="1">IF($A28&lt;&gt;"",
IF(COLUMN(貼り付け用!M28)&gt;MATCH("おやつ",貼り付け用!$3:$3,0),"",
IF(VLOOKUP($A28,貼り付け用!$A$1:$BA$300,COLUMN(),FALSE)=0,"",VLOOKUP($A28,貼り付け用!$A$1:$BA$300,COLUMN(),FALSE))),"")</f>
        <v>#N/A</v>
      </c>
      <c r="N28" s="14" t="e">
        <f ca="1">IF($A28&lt;&gt;"",
IF(COLUMN(貼り付け用!N28)&gt;MATCH("おやつ",貼り付け用!$3:$3,0),"",
IF(VLOOKUP($A28,貼り付け用!$A$1:$BA$300,COLUMN(),FALSE)=0,"",VLOOKUP($A28,貼り付け用!$A$1:$BA$300,COLUMN(),FALSE))),"")</f>
        <v>#N/A</v>
      </c>
      <c r="O28" s="14" t="e">
        <f ca="1">IF($A28&lt;&gt;"",
IF(COLUMN(貼り付け用!O28)&gt;MATCH("おやつ",貼り付け用!$3:$3,0),"",
IF(VLOOKUP($A28,貼り付け用!$A$1:$BA$300,COLUMN(),FALSE)=0,"",VLOOKUP($A28,貼り付け用!$A$1:$BA$300,COLUMN(),FALSE))),"")</f>
        <v>#N/A</v>
      </c>
      <c r="P28" s="14" t="e">
        <f ca="1">IF($A28&lt;&gt;"",
IF(COLUMN(貼り付け用!P28)&gt;MATCH("おやつ",貼り付け用!$3:$3,0),"",
IF(VLOOKUP($A28,貼り付け用!$A$1:$BA$300,COLUMN(),FALSE)=0,"",VLOOKUP($A28,貼り付け用!$A$1:$BA$300,COLUMN(),FALSE))),"")</f>
        <v>#N/A</v>
      </c>
      <c r="Q28" s="14" t="e">
        <f ca="1">IF($A28&lt;&gt;"",
IF(COLUMN(貼り付け用!Q28)&gt;MATCH("おやつ",貼り付け用!$3:$3,0),"",
IF(VLOOKUP($A28,貼り付け用!$A$1:$BA$300,COLUMN(),FALSE)=0,"",VLOOKUP($A28,貼り付け用!$A$1:$BA$300,COLUMN(),FALSE))),"")</f>
        <v>#N/A</v>
      </c>
      <c r="R28" s="14" t="e">
        <f ca="1">IF($A28&lt;&gt;"",
IF(COLUMN(貼り付け用!R28)&gt;MATCH("おやつ",貼り付け用!$3:$3,0),"",
IF(VLOOKUP($A28,貼り付け用!$A$1:$BA$300,COLUMN(),FALSE)=0,"",VLOOKUP($A28,貼り付け用!$A$1:$BA$300,COLUMN(),FALSE))),"")</f>
        <v>#N/A</v>
      </c>
      <c r="S28" s="14" t="e">
        <f ca="1">IF($A28&lt;&gt;"",
IF(COLUMN(貼り付け用!S28)&gt;MATCH("おやつ",貼り付け用!$3:$3,0),"",
IF(VLOOKUP($A28,貼り付け用!$A$1:$BA$300,COLUMN(),FALSE)=0,"",VLOOKUP($A28,貼り付け用!$A$1:$BA$300,COLUMN(),FALSE))),"")</f>
        <v>#N/A</v>
      </c>
      <c r="T28" s="14" t="e">
        <f>IF(COLUMN(貼り付け用!T28)&gt;MATCH("おやつ",貼り付け用!$3:$3,0),"",
IF(VLOOKUP($A28,貼り付け用!$A$1:$BA$300,COLUMN(),FALSE)=0,"",VLOOKUP($A28,貼り付け用!$A$1:$BA$300,COLUMN(),FALSE)))</f>
        <v>#N/A</v>
      </c>
      <c r="U28" s="11"/>
      <c r="V28" s="55" t="e">
        <f ca="1">IF(A28&lt;&gt;"",
IF(VLOOKUP($A28,貼り付け用!$A$1:$BA$300,MATCH("おやつ",貼り付け用!$3:$3,0)+1,FALSE)=0,"",VLOOKUP($A28,貼り付け用!$A$1:$BA$300,MATCH("おやつ",貼り付け用!$3:$3,0)+1,FALSE)),"")</f>
        <v>#N/A</v>
      </c>
      <c r="W28" s="14" t="e">
        <f ca="1">IF(A28&lt;&gt;"",
IF(VLOOKUP($A28,貼り付け用!$A$1:$BA$300,MATCH("おやつ",貼り付け用!$3:$3,0)+2,FALSE)=0,"",VLOOKUP($A28,貼り付け用!$A$1:$BA$300,MATCH("おやつ",貼り付け用!$3:$3,0)+2,FALSE)),"")</f>
        <v>#N/A</v>
      </c>
    </row>
    <row r="29" spans="1:23">
      <c r="A29" s="8" t="e">
        <f t="array" aca="1" ref="A29" ca="1">IF(OR(COUNTIF(A27,"*1000*"),COUNTIF(A27,"")),"",INDEX(貼り付け用!$A:$A,MATCH(A27,貼り付け用!$A:$A,0)+2,0))</f>
        <v>#N/A</v>
      </c>
      <c r="B29" s="3" t="e">
        <f ca="1">IF($A29&lt;&gt;"",IF(VLOOKUP($A29,貼り付け用!$A$1:$BA$300,COLUMN(),FALSE)=0,"",VLOOKUP($A29,貼り付け用!$A$1:$BA$300,COLUMN(),FALSE)),"")</f>
        <v>#N/A</v>
      </c>
      <c r="C29" s="3" t="e">
        <f ca="1">IF($A29&lt;&gt;"",IF(VLOOKUP($A29,貼り付け用!$A$1:$BA$300,COLUMN(),FALSE)=0,"",VLOOKUP($A29,貼り付け用!$A$1:$BA$300,COLUMN(),FALSE)),"")</f>
        <v>#N/A</v>
      </c>
      <c r="D29" s="3" t="e">
        <f ca="1">IF($A29&lt;&gt;"",IF(VLOOKUP($A29,貼り付け用!$A$1:$BA$300,COLUMN(),FALSE)=0,"",VLOOKUP($A29,貼り付け用!$A$1:$BA$300,COLUMN(),FALSE)),"")</f>
        <v>#N/A</v>
      </c>
      <c r="E29" s="3" t="e">
        <f ca="1">IF($A29&lt;&gt;"",IF(VLOOKUP($A29,貼り付け用!$A$1:$BA$300,COLUMN(),FALSE)=0,"",VLOOKUP($A29,貼り付け用!$A$1:$BA$300,COLUMN(),FALSE)),"")</f>
        <v>#N/A</v>
      </c>
      <c r="F29" s="3" t="e">
        <f ca="1">IF($A29&lt;&gt;"",IF(VLOOKUP($A29,貼り付け用!$A$1:$BA$300,COLUMN(),FALSE)=0,"",VLOOKUP($A29,貼り付け用!$A$1:$BA$300,COLUMN(),FALSE)),"")</f>
        <v>#N/A</v>
      </c>
      <c r="G29" s="3" t="e">
        <f ca="1">IF($A29&lt;&gt;"",IF(VLOOKUP($A29,貼り付け用!$A$1:$BA$300,COLUMN(),FALSE)=0,"",VLOOKUP($A29,貼り付け用!$A$1:$BA$300,COLUMN(),FALSE)),"")</f>
        <v>#N/A</v>
      </c>
      <c r="H29" s="3" t="e">
        <f ca="1">IF($A29&lt;&gt;"",IF(VLOOKUP($A29,貼り付け用!$A$1:$BA$300,COLUMN(),FALSE)=0,"",VLOOKUP($A29,貼り付け用!$A$1:$BA$300,COLUMN(),FALSE)),"")</f>
        <v>#N/A</v>
      </c>
      <c r="I29" s="3" t="e">
        <f ca="1">IF($A29&lt;&gt;"",IF(VLOOKUP($A29,貼り付け用!$A$1:$BA$300,COLUMN(),FALSE)=0,"",VLOOKUP($A29,貼り付け用!$A$1:$BA$300,COLUMN(),FALSE)),"")</f>
        <v>#N/A</v>
      </c>
      <c r="J29" s="3" t="e">
        <f ca="1">IF($A29&lt;&gt;"",IF(VLOOKUP($A29,貼り付け用!$A$1:$BA$300,COLUMN(),FALSE)=0,"",VLOOKUP($A29,貼り付け用!$A$1:$BA$300,COLUMN(),FALSE)),"")</f>
        <v>#N/A</v>
      </c>
      <c r="K29" s="3" t="e">
        <f ca="1">IF($A29&lt;&gt;"",IF(VLOOKUP($A29,貼り付け用!$A$1:$BA$300,COLUMN(),FALSE)=0,"",VLOOKUP($A29,貼り付け用!$A$1:$BA$300,COLUMN(),FALSE)),"")</f>
        <v>#N/A</v>
      </c>
      <c r="L29" s="3" t="e">
        <f ca="1">IF($A29&lt;&gt;"",
IF(COLUMN(貼り付け用!L29)&gt;MATCH("おやつ",貼り付け用!$3:$3,0),"",
IF(VLOOKUP($A29,貼り付け用!$A$1:$BA$300,COLUMN(),FALSE)=0,"",VLOOKUP($A29,貼り付け用!$A$1:$BA$300,COLUMN(),FALSE))),"")</f>
        <v>#N/A</v>
      </c>
      <c r="M29" s="3" t="e">
        <f ca="1">IF($A29&lt;&gt;"",
IF(COLUMN(貼り付け用!M29)&gt;MATCH("おやつ",貼り付け用!$3:$3,0),"",
IF(VLOOKUP($A29,貼り付け用!$A$1:$BA$300,COLUMN(),FALSE)=0,"",VLOOKUP($A29,貼り付け用!$A$1:$BA$300,COLUMN(),FALSE))),"")</f>
        <v>#N/A</v>
      </c>
      <c r="N29" s="3" t="e">
        <f ca="1">IF($A29&lt;&gt;"",
IF(COLUMN(貼り付け用!N29)&gt;MATCH("おやつ",貼り付け用!$3:$3,0),"",
IF(VLOOKUP($A29,貼り付け用!$A$1:$BA$300,COLUMN(),FALSE)=0,"",VLOOKUP($A29,貼り付け用!$A$1:$BA$300,COLUMN(),FALSE))),"")</f>
        <v>#N/A</v>
      </c>
      <c r="O29" s="3" t="e">
        <f ca="1">IF($A29&lt;&gt;"",
IF(COLUMN(貼り付け用!O29)&gt;MATCH("おやつ",貼り付け用!$3:$3,0),"",
IF(VLOOKUP($A29,貼り付け用!$A$1:$BA$300,COLUMN(),FALSE)=0,"",VLOOKUP($A29,貼り付け用!$A$1:$BA$300,COLUMN(),FALSE))),"")</f>
        <v>#N/A</v>
      </c>
      <c r="P29" s="3" t="e">
        <f ca="1">IF($A29&lt;&gt;"",
IF(COLUMN(貼り付け用!P29)&gt;MATCH("おやつ",貼り付け用!$3:$3,0),"",
IF(VLOOKUP($A29,貼り付け用!$A$1:$BA$300,COLUMN(),FALSE)=0,"",VLOOKUP($A29,貼り付け用!$A$1:$BA$300,COLUMN(),FALSE))),"")</f>
        <v>#N/A</v>
      </c>
      <c r="Q29" s="3" t="e">
        <f ca="1">IF($A29&lt;&gt;"",
IF(COLUMN(貼り付け用!Q29)&gt;MATCH("おやつ",貼り付け用!$3:$3,0),"",
IF(VLOOKUP($A29,貼り付け用!$A$1:$BA$300,COLUMN(),FALSE)=0,"",VLOOKUP($A29,貼り付け用!$A$1:$BA$300,COLUMN(),FALSE))),"")</f>
        <v>#N/A</v>
      </c>
      <c r="R29" s="3" t="e">
        <f ca="1">IF($A29&lt;&gt;"",
IF(COLUMN(貼り付け用!R29)&gt;MATCH("おやつ",貼り付け用!$3:$3,0),"",
IF(VLOOKUP($A29,貼り付け用!$A$1:$BA$300,COLUMN(),FALSE)=0,"",VLOOKUP($A29,貼り付け用!$A$1:$BA$300,COLUMN(),FALSE))),"")</f>
        <v>#N/A</v>
      </c>
      <c r="S29" s="3" t="e">
        <f ca="1">IF($A29&lt;&gt;"",
IF(COLUMN(貼り付け用!S29)&gt;MATCH("おやつ",貼り付け用!$3:$3,0),"",
IF(VLOOKUP($A29,貼り付け用!$A$1:$BA$300,COLUMN(),FALSE)=0,"",VLOOKUP($A29,貼り付け用!$A$1:$BA$300,COLUMN(),FALSE))),"")</f>
        <v>#N/A</v>
      </c>
      <c r="T29" s="3" t="e">
        <f>IF(COLUMN(貼り付け用!T29)&gt;MATCH("おやつ",貼り付け用!$3:$3,0),"",
IF(VLOOKUP($A29,貼り付け用!$A$1:$BA$300,COLUMN(),FALSE)=0,"",VLOOKUP($A29,貼り付け用!$A$1:$BA$300,COLUMN(),FALSE)))</f>
        <v>#N/A</v>
      </c>
      <c r="U29" s="21"/>
      <c r="V29" s="55" t="e">
        <f ca="1">IF(A29&lt;&gt;"",
IF(VLOOKUP($A29,貼り付け用!$A$1:$BA$300,MATCH("おやつ",貼り付け用!$3:$3,0)+1,FALSE)=0,"",VLOOKUP($A29,貼り付け用!$A$1:$BA$300,MATCH("おやつ",貼り付け用!$3:$3,0)+1,FALSE)),"")</f>
        <v>#N/A</v>
      </c>
      <c r="W29" s="14" t="e">
        <f ca="1">IF(A29&lt;&gt;"",
IF(VLOOKUP($A29,貼り付け用!$A$1:$BA$300,MATCH("おやつ",貼り付け用!$3:$3,0)+2,FALSE)=0,"",VLOOKUP($A29,貼り付け用!$A$1:$BA$300,MATCH("おやつ",貼り付け用!$3:$3,0)+2,FALSE)),"")</f>
        <v>#N/A</v>
      </c>
    </row>
    <row r="30" spans="1:23">
      <c r="A30" s="4" t="e">
        <f t="array" aca="1" ref="A30" ca="1">IF(OR(COUNTIF(A28,"*合計*"),COUNTIF(A28,"")),"",INDEX(貼り付け用!$A:$A,MATCH(A28,貼り付け用!$A:$A,0)+2,0))</f>
        <v>#N/A</v>
      </c>
      <c r="B30" s="14" t="e">
        <f ca="1">IF($A30&lt;&gt;"",IF(VLOOKUP($A30,貼り付け用!$A$1:$BA$300,COLUMN(),FALSE)=0,"",VLOOKUP($A30,貼り付け用!$A$1:$BA$300,COLUMN(),FALSE)),"")</f>
        <v>#N/A</v>
      </c>
      <c r="C30" s="14" t="e">
        <f ca="1">IF($A30&lt;&gt;"",IF(VLOOKUP($A30,貼り付け用!$A$1:$BA$300,COLUMN(),FALSE)=0,"",VLOOKUP($A30,貼り付け用!$A$1:$BA$300,COLUMN(),FALSE)),"")</f>
        <v>#N/A</v>
      </c>
      <c r="D30" s="14" t="e">
        <f ca="1">IF($A30&lt;&gt;"",IF(VLOOKUP($A30,貼り付け用!$A$1:$BA$300,COLUMN(),FALSE)=0,"",VLOOKUP($A30,貼り付け用!$A$1:$BA$300,COLUMN(),FALSE)),"")</f>
        <v>#N/A</v>
      </c>
      <c r="E30" s="14" t="e">
        <f ca="1">IF($A30&lt;&gt;"",IF(VLOOKUP($A30,貼り付け用!$A$1:$BA$300,COLUMN(),FALSE)=0,"",VLOOKUP($A30,貼り付け用!$A$1:$BA$300,COLUMN(),FALSE)),"")</f>
        <v>#N/A</v>
      </c>
      <c r="F30" s="14" t="e">
        <f ca="1">IF($A30&lt;&gt;"",IF(VLOOKUP($A30,貼り付け用!$A$1:$BA$300,COLUMN(),FALSE)=0,"",VLOOKUP($A30,貼り付け用!$A$1:$BA$300,COLUMN(),FALSE)),"")</f>
        <v>#N/A</v>
      </c>
      <c r="G30" s="14" t="e">
        <f ca="1">IF($A30&lt;&gt;"",IF(VLOOKUP($A30,貼り付け用!$A$1:$BA$300,COLUMN(),FALSE)=0,"",VLOOKUP($A30,貼り付け用!$A$1:$BA$300,COLUMN(),FALSE)),"")</f>
        <v>#N/A</v>
      </c>
      <c r="H30" s="14" t="e">
        <f ca="1">IF($A30&lt;&gt;"",IF(VLOOKUP($A30,貼り付け用!$A$1:$BA$300,COLUMN(),FALSE)=0,"",VLOOKUP($A30,貼り付け用!$A$1:$BA$300,COLUMN(),FALSE)),"")</f>
        <v>#N/A</v>
      </c>
      <c r="I30" s="14" t="e">
        <f ca="1">IF($A30&lt;&gt;"",IF(VLOOKUP($A30,貼り付け用!$A$1:$BA$300,COLUMN(),FALSE)=0,"",VLOOKUP($A30,貼り付け用!$A$1:$BA$300,COLUMN(),FALSE)),"")</f>
        <v>#N/A</v>
      </c>
      <c r="J30" s="14" t="e">
        <f ca="1">IF($A30&lt;&gt;"",IF(VLOOKUP($A30,貼り付け用!$A$1:$BA$300,COLUMN(),FALSE)=0,"",VLOOKUP($A30,貼り付け用!$A$1:$BA$300,COLUMN(),FALSE)),"")</f>
        <v>#N/A</v>
      </c>
      <c r="K30" s="14" t="e">
        <f ca="1">IF($A30&lt;&gt;"",IF(VLOOKUP($A30,貼り付け用!$A$1:$BA$300,COLUMN(),FALSE)=0,"",VLOOKUP($A30,貼り付け用!$A$1:$BA$300,COLUMN(),FALSE)),"")</f>
        <v>#N/A</v>
      </c>
      <c r="L30" s="14" t="e">
        <f ca="1">IF($A30&lt;&gt;"",
IF(COLUMN(貼り付け用!L30)&gt;MATCH("おやつ",貼り付け用!$3:$3,0),"",
IF(VLOOKUP($A30,貼り付け用!$A$1:$BA$300,COLUMN(),FALSE)=0,"",VLOOKUP($A30,貼り付け用!$A$1:$BA$300,COLUMN(),FALSE))),"")</f>
        <v>#N/A</v>
      </c>
      <c r="M30" s="14" t="e">
        <f ca="1">IF($A30&lt;&gt;"",
IF(COLUMN(貼り付け用!M30)&gt;MATCH("おやつ",貼り付け用!$3:$3,0),"",
IF(VLOOKUP($A30,貼り付け用!$A$1:$BA$300,COLUMN(),FALSE)=0,"",VLOOKUP($A30,貼り付け用!$A$1:$BA$300,COLUMN(),FALSE))),"")</f>
        <v>#N/A</v>
      </c>
      <c r="N30" s="14" t="e">
        <f ca="1">IF($A30&lt;&gt;"",
IF(COLUMN(貼り付け用!N30)&gt;MATCH("おやつ",貼り付け用!$3:$3,0),"",
IF(VLOOKUP($A30,貼り付け用!$A$1:$BA$300,COLUMN(),FALSE)=0,"",VLOOKUP($A30,貼り付け用!$A$1:$BA$300,COLUMN(),FALSE))),"")</f>
        <v>#N/A</v>
      </c>
      <c r="O30" s="14" t="e">
        <f ca="1">IF($A30&lt;&gt;"",
IF(COLUMN(貼り付け用!O30)&gt;MATCH("おやつ",貼り付け用!$3:$3,0),"",
IF(VLOOKUP($A30,貼り付け用!$A$1:$BA$300,COLUMN(),FALSE)=0,"",VLOOKUP($A30,貼り付け用!$A$1:$BA$300,COLUMN(),FALSE))),"")</f>
        <v>#N/A</v>
      </c>
      <c r="P30" s="14" t="e">
        <f ca="1">IF($A30&lt;&gt;"",
IF(COLUMN(貼り付け用!P30)&gt;MATCH("おやつ",貼り付け用!$3:$3,0),"",
IF(VLOOKUP($A30,貼り付け用!$A$1:$BA$300,COLUMN(),FALSE)=0,"",VLOOKUP($A30,貼り付け用!$A$1:$BA$300,COLUMN(),FALSE))),"")</f>
        <v>#N/A</v>
      </c>
      <c r="Q30" s="14" t="e">
        <f ca="1">IF($A30&lt;&gt;"",
IF(COLUMN(貼り付け用!Q30)&gt;MATCH("おやつ",貼り付け用!$3:$3,0),"",
IF(VLOOKUP($A30,貼り付け用!$A$1:$BA$300,COLUMN(),FALSE)=0,"",VLOOKUP($A30,貼り付け用!$A$1:$BA$300,COLUMN(),FALSE))),"")</f>
        <v>#N/A</v>
      </c>
      <c r="R30" s="14" t="e">
        <f ca="1">IF($A30&lt;&gt;"",
IF(COLUMN(貼り付け用!R30)&gt;MATCH("おやつ",貼り付け用!$3:$3,0),"",
IF(VLOOKUP($A30,貼り付け用!$A$1:$BA$300,COLUMN(),FALSE)=0,"",VLOOKUP($A30,貼り付け用!$A$1:$BA$300,COLUMN(),FALSE))),"")</f>
        <v>#N/A</v>
      </c>
      <c r="S30" s="14" t="e">
        <f ca="1">IF($A30&lt;&gt;"",
IF(COLUMN(貼り付け用!S30)&gt;MATCH("おやつ",貼り付け用!$3:$3,0),"",
IF(VLOOKUP($A30,貼り付け用!$A$1:$BA$300,COLUMN(),FALSE)=0,"",VLOOKUP($A30,貼り付け用!$A$1:$BA$300,COLUMN(),FALSE))),"")</f>
        <v>#N/A</v>
      </c>
      <c r="T30" s="14" t="e">
        <f>IF(COLUMN(貼り付け用!T30)&gt;MATCH("おやつ",貼り付け用!$3:$3,0),"",
IF(VLOOKUP($A30,貼り付け用!$A$1:$BA$300,COLUMN(),FALSE)=0,"",VLOOKUP($A30,貼り付け用!$A$1:$BA$300,COLUMN(),FALSE)))</f>
        <v>#N/A</v>
      </c>
      <c r="U30" s="11"/>
      <c r="V30" s="55" t="e">
        <f ca="1">IF(A30&lt;&gt;"",
IF(VLOOKUP($A30,貼り付け用!$A$1:$BA$300,MATCH("おやつ",貼り付け用!$3:$3,0)+1,FALSE)=0,"",VLOOKUP($A30,貼り付け用!$A$1:$BA$300,MATCH("おやつ",貼り付け用!$3:$3,0)+1,FALSE)),"")</f>
        <v>#N/A</v>
      </c>
      <c r="W30" s="14" t="e">
        <f ca="1">IF(A30&lt;&gt;"",
IF(VLOOKUP($A30,貼り付け用!$A$1:$BA$300,MATCH("おやつ",貼り付け用!$3:$3,0)+2,FALSE)=0,"",VLOOKUP($A30,貼り付け用!$A$1:$BA$300,MATCH("おやつ",貼り付け用!$3:$3,0)+2,FALSE)),"")</f>
        <v>#N/A</v>
      </c>
    </row>
    <row r="31" spans="1:23">
      <c r="A31" s="8" t="e">
        <f t="array" aca="1" ref="A31" ca="1">IF(OR(COUNTIF(A29,"*1000*"),COUNTIF(A29,"")),"",INDEX(貼り付け用!$A:$A,MATCH(A29,貼り付け用!$A:$A,0)+2,0))</f>
        <v>#N/A</v>
      </c>
      <c r="B31" s="3" t="e">
        <f ca="1">IF($A31&lt;&gt;"",IF(VLOOKUP($A31,貼り付け用!$A$1:$BA$300,COLUMN(),FALSE)=0,"",VLOOKUP($A31,貼り付け用!$A$1:$BA$300,COLUMN(),FALSE)),"")</f>
        <v>#N/A</v>
      </c>
      <c r="C31" s="3" t="e">
        <f ca="1">IF($A31&lt;&gt;"",IF(VLOOKUP($A31,貼り付け用!$A$1:$BA$300,COLUMN(),FALSE)=0,"",VLOOKUP($A31,貼り付け用!$A$1:$BA$300,COLUMN(),FALSE)),"")</f>
        <v>#N/A</v>
      </c>
      <c r="D31" s="3" t="e">
        <f ca="1">IF($A31&lt;&gt;"",IF(VLOOKUP($A31,貼り付け用!$A$1:$BA$300,COLUMN(),FALSE)=0,"",VLOOKUP($A31,貼り付け用!$A$1:$BA$300,COLUMN(),FALSE)),"")</f>
        <v>#N/A</v>
      </c>
      <c r="E31" s="3" t="e">
        <f ca="1">IF($A31&lt;&gt;"",IF(VLOOKUP($A31,貼り付け用!$A$1:$BA$300,COLUMN(),FALSE)=0,"",VLOOKUP($A31,貼り付け用!$A$1:$BA$300,COLUMN(),FALSE)),"")</f>
        <v>#N/A</v>
      </c>
      <c r="F31" s="3" t="e">
        <f ca="1">IF($A31&lt;&gt;"",IF(VLOOKUP($A31,貼り付け用!$A$1:$BA$300,COLUMN(),FALSE)=0,"",VLOOKUP($A31,貼り付け用!$A$1:$BA$300,COLUMN(),FALSE)),"")</f>
        <v>#N/A</v>
      </c>
      <c r="G31" s="3" t="e">
        <f ca="1">IF($A31&lt;&gt;"",IF(VLOOKUP($A31,貼り付け用!$A$1:$BA$300,COLUMN(),FALSE)=0,"",VLOOKUP($A31,貼り付け用!$A$1:$BA$300,COLUMN(),FALSE)),"")</f>
        <v>#N/A</v>
      </c>
      <c r="H31" s="3" t="e">
        <f ca="1">IF($A31&lt;&gt;"",IF(VLOOKUP($A31,貼り付け用!$A$1:$BA$300,COLUMN(),FALSE)=0,"",VLOOKUP($A31,貼り付け用!$A$1:$BA$300,COLUMN(),FALSE)),"")</f>
        <v>#N/A</v>
      </c>
      <c r="I31" s="3" t="e">
        <f ca="1">IF($A31&lt;&gt;"",IF(VLOOKUP($A31,貼り付け用!$A$1:$BA$300,COLUMN(),FALSE)=0,"",VLOOKUP($A31,貼り付け用!$A$1:$BA$300,COLUMN(),FALSE)),"")</f>
        <v>#N/A</v>
      </c>
      <c r="J31" s="3" t="e">
        <f ca="1">IF($A31&lt;&gt;"",IF(VLOOKUP($A31,貼り付け用!$A$1:$BA$300,COLUMN(),FALSE)=0,"",VLOOKUP($A31,貼り付け用!$A$1:$BA$300,COLUMN(),FALSE)),"")</f>
        <v>#N/A</v>
      </c>
      <c r="K31" s="3" t="e">
        <f ca="1">IF($A31&lt;&gt;"",IF(VLOOKUP($A31,貼り付け用!$A$1:$BA$300,COLUMN(),FALSE)=0,"",VLOOKUP($A31,貼り付け用!$A$1:$BA$300,COLUMN(),FALSE)),"")</f>
        <v>#N/A</v>
      </c>
      <c r="L31" s="3" t="e">
        <f ca="1">IF($A31&lt;&gt;"",
IF(COLUMN(貼り付け用!L31)&gt;MATCH("おやつ",貼り付け用!$3:$3,0),"",
IF(VLOOKUP($A31,貼り付け用!$A$1:$BA$300,COLUMN(),FALSE)=0,"",VLOOKUP($A31,貼り付け用!$A$1:$BA$300,COLUMN(),FALSE))),"")</f>
        <v>#N/A</v>
      </c>
      <c r="M31" s="3" t="e">
        <f ca="1">IF($A31&lt;&gt;"",
IF(COLUMN(貼り付け用!M31)&gt;MATCH("おやつ",貼り付け用!$3:$3,0),"",
IF(VLOOKUP($A31,貼り付け用!$A$1:$BA$300,COLUMN(),FALSE)=0,"",VLOOKUP($A31,貼り付け用!$A$1:$BA$300,COLUMN(),FALSE))),"")</f>
        <v>#N/A</v>
      </c>
      <c r="N31" s="3" t="e">
        <f ca="1">IF($A31&lt;&gt;"",
IF(COLUMN(貼り付け用!N31)&gt;MATCH("おやつ",貼り付け用!$3:$3,0),"",
IF(VLOOKUP($A31,貼り付け用!$A$1:$BA$300,COLUMN(),FALSE)=0,"",VLOOKUP($A31,貼り付け用!$A$1:$BA$300,COLUMN(),FALSE))),"")</f>
        <v>#N/A</v>
      </c>
      <c r="O31" s="3" t="e">
        <f ca="1">IF($A31&lt;&gt;"",
IF(COLUMN(貼り付け用!O31)&gt;MATCH("おやつ",貼り付け用!$3:$3,0),"",
IF(VLOOKUP($A31,貼り付け用!$A$1:$BA$300,COLUMN(),FALSE)=0,"",VLOOKUP($A31,貼り付け用!$A$1:$BA$300,COLUMN(),FALSE))),"")</f>
        <v>#N/A</v>
      </c>
      <c r="P31" s="3" t="e">
        <f ca="1">IF($A31&lt;&gt;"",
IF(COLUMN(貼り付け用!P31)&gt;MATCH("おやつ",貼り付け用!$3:$3,0),"",
IF(VLOOKUP($A31,貼り付け用!$A$1:$BA$300,COLUMN(),FALSE)=0,"",VLOOKUP($A31,貼り付け用!$A$1:$BA$300,COLUMN(),FALSE))),"")</f>
        <v>#N/A</v>
      </c>
      <c r="Q31" s="3" t="e">
        <f ca="1">IF($A31&lt;&gt;"",
IF(COLUMN(貼り付け用!Q31)&gt;MATCH("おやつ",貼り付け用!$3:$3,0),"",
IF(VLOOKUP($A31,貼り付け用!$A$1:$BA$300,COLUMN(),FALSE)=0,"",VLOOKUP($A31,貼り付け用!$A$1:$BA$300,COLUMN(),FALSE))),"")</f>
        <v>#N/A</v>
      </c>
      <c r="R31" s="3" t="e">
        <f ca="1">IF($A31&lt;&gt;"",
IF(COLUMN(貼り付け用!R31)&gt;MATCH("おやつ",貼り付け用!$3:$3,0),"",
IF(VLOOKUP($A31,貼り付け用!$A$1:$BA$300,COLUMN(),FALSE)=0,"",VLOOKUP($A31,貼り付け用!$A$1:$BA$300,COLUMN(),FALSE))),"")</f>
        <v>#N/A</v>
      </c>
      <c r="S31" s="3" t="e">
        <f ca="1">IF($A31&lt;&gt;"",
IF(COLUMN(貼り付け用!S31)&gt;MATCH("おやつ",貼り付け用!$3:$3,0),"",
IF(VLOOKUP($A31,貼り付け用!$A$1:$BA$300,COLUMN(),FALSE)=0,"",VLOOKUP($A31,貼り付け用!$A$1:$BA$300,COLUMN(),FALSE))),"")</f>
        <v>#N/A</v>
      </c>
      <c r="T31" s="3" t="e">
        <f>IF(COLUMN(貼り付け用!T31)&gt;MATCH("おやつ",貼り付け用!$3:$3,0),"",
IF(VLOOKUP($A31,貼り付け用!$A$1:$BA$300,COLUMN(),FALSE)=0,"",VLOOKUP($A31,貼り付け用!$A$1:$BA$300,COLUMN(),FALSE)))</f>
        <v>#N/A</v>
      </c>
      <c r="U31" s="21"/>
      <c r="V31" s="55" t="e">
        <f ca="1">IF(A31&lt;&gt;"",
IF(VLOOKUP($A31,貼り付け用!$A$1:$BA$300,MATCH("おやつ",貼り付け用!$3:$3,0)+1,FALSE)=0,"",VLOOKUP($A31,貼り付け用!$A$1:$BA$300,MATCH("おやつ",貼り付け用!$3:$3,0)+1,FALSE)),"")</f>
        <v>#N/A</v>
      </c>
      <c r="W31" s="14" t="e">
        <f ca="1">IF(A31&lt;&gt;"",
IF(VLOOKUP($A31,貼り付け用!$A$1:$BA$300,MATCH("おやつ",貼り付け用!$3:$3,0)+2,FALSE)=0,"",VLOOKUP($A31,貼り付け用!$A$1:$BA$300,MATCH("おやつ",貼り付け用!$3:$3,0)+2,FALSE)),"")</f>
        <v>#N/A</v>
      </c>
    </row>
    <row r="32" spans="1:23">
      <c r="A32" s="4" t="e">
        <f t="array" aca="1" ref="A32" ca="1">IF(OR(COUNTIF(A30,"*合計*"),COUNTIF(A30,"")),"",INDEX(貼り付け用!$A:$A,MATCH(A30,貼り付け用!$A:$A,0)+2,0))</f>
        <v>#N/A</v>
      </c>
      <c r="B32" s="14" t="e">
        <f ca="1">IF($A32&lt;&gt;"",IF(VLOOKUP($A32,貼り付け用!$A$1:$BA$300,COLUMN(),FALSE)=0,"",VLOOKUP($A32,貼り付け用!$A$1:$BA$300,COLUMN(),FALSE)),"")</f>
        <v>#N/A</v>
      </c>
      <c r="C32" s="14" t="e">
        <f ca="1">IF($A32&lt;&gt;"",IF(VLOOKUP($A32,貼り付け用!$A$1:$BA$300,COLUMN(),FALSE)=0,"",VLOOKUP($A32,貼り付け用!$A$1:$BA$300,COLUMN(),FALSE)),"")</f>
        <v>#N/A</v>
      </c>
      <c r="D32" s="14" t="e">
        <f ca="1">IF($A32&lt;&gt;"",IF(VLOOKUP($A32,貼り付け用!$A$1:$BA$300,COLUMN(),FALSE)=0,"",VLOOKUP($A32,貼り付け用!$A$1:$BA$300,COLUMN(),FALSE)),"")</f>
        <v>#N/A</v>
      </c>
      <c r="E32" s="14" t="e">
        <f ca="1">IF($A32&lt;&gt;"",IF(VLOOKUP($A32,貼り付け用!$A$1:$BA$300,COLUMN(),FALSE)=0,"",VLOOKUP($A32,貼り付け用!$A$1:$BA$300,COLUMN(),FALSE)),"")</f>
        <v>#N/A</v>
      </c>
      <c r="F32" s="14" t="e">
        <f ca="1">IF($A32&lt;&gt;"",IF(VLOOKUP($A32,貼り付け用!$A$1:$BA$300,COLUMN(),FALSE)=0,"",VLOOKUP($A32,貼り付け用!$A$1:$BA$300,COLUMN(),FALSE)),"")</f>
        <v>#N/A</v>
      </c>
      <c r="G32" s="14" t="e">
        <f ca="1">IF($A32&lt;&gt;"",IF(VLOOKUP($A32,貼り付け用!$A$1:$BA$300,COLUMN(),FALSE)=0,"",VLOOKUP($A32,貼り付け用!$A$1:$BA$300,COLUMN(),FALSE)),"")</f>
        <v>#N/A</v>
      </c>
      <c r="H32" s="14" t="e">
        <f ca="1">IF($A32&lt;&gt;"",IF(VLOOKUP($A32,貼り付け用!$A$1:$BA$300,COLUMN(),FALSE)=0,"",VLOOKUP($A32,貼り付け用!$A$1:$BA$300,COLUMN(),FALSE)),"")</f>
        <v>#N/A</v>
      </c>
      <c r="I32" s="14" t="e">
        <f ca="1">IF($A32&lt;&gt;"",IF(VLOOKUP($A32,貼り付け用!$A$1:$BA$300,COLUMN(),FALSE)=0,"",VLOOKUP($A32,貼り付け用!$A$1:$BA$300,COLUMN(),FALSE)),"")</f>
        <v>#N/A</v>
      </c>
      <c r="J32" s="14" t="e">
        <f ca="1">IF($A32&lt;&gt;"",IF(VLOOKUP($A32,貼り付け用!$A$1:$BA$300,COLUMN(),FALSE)=0,"",VLOOKUP($A32,貼り付け用!$A$1:$BA$300,COLUMN(),FALSE)),"")</f>
        <v>#N/A</v>
      </c>
      <c r="K32" s="14" t="e">
        <f ca="1">IF($A32&lt;&gt;"",IF(VLOOKUP($A32,貼り付け用!$A$1:$BA$300,COLUMN(),FALSE)=0,"",VLOOKUP($A32,貼り付け用!$A$1:$BA$300,COLUMN(),FALSE)),"")</f>
        <v>#N/A</v>
      </c>
      <c r="L32" s="14" t="e">
        <f ca="1">IF($A32&lt;&gt;"",
IF(COLUMN(貼り付け用!L32)&gt;MATCH("おやつ",貼り付け用!$3:$3,0),"",
IF(VLOOKUP($A32,貼り付け用!$A$1:$BA$300,COLUMN(),FALSE)=0,"",VLOOKUP($A32,貼り付け用!$A$1:$BA$300,COLUMN(),FALSE))),"")</f>
        <v>#N/A</v>
      </c>
      <c r="M32" s="14" t="e">
        <f ca="1">IF($A32&lt;&gt;"",
IF(COLUMN(貼り付け用!M32)&gt;MATCH("おやつ",貼り付け用!$3:$3,0),"",
IF(VLOOKUP($A32,貼り付け用!$A$1:$BA$300,COLUMN(),FALSE)=0,"",VLOOKUP($A32,貼り付け用!$A$1:$BA$300,COLUMN(),FALSE))),"")</f>
        <v>#N/A</v>
      </c>
      <c r="N32" s="14" t="e">
        <f ca="1">IF($A32&lt;&gt;"",
IF(COLUMN(貼り付け用!N32)&gt;MATCH("おやつ",貼り付け用!$3:$3,0),"",
IF(VLOOKUP($A32,貼り付け用!$A$1:$BA$300,COLUMN(),FALSE)=0,"",VLOOKUP($A32,貼り付け用!$A$1:$BA$300,COLUMN(),FALSE))),"")</f>
        <v>#N/A</v>
      </c>
      <c r="O32" s="14" t="e">
        <f ca="1">IF($A32&lt;&gt;"",
IF(COLUMN(貼り付け用!O32)&gt;MATCH("おやつ",貼り付け用!$3:$3,0),"",
IF(VLOOKUP($A32,貼り付け用!$A$1:$BA$300,COLUMN(),FALSE)=0,"",VLOOKUP($A32,貼り付け用!$A$1:$BA$300,COLUMN(),FALSE))),"")</f>
        <v>#N/A</v>
      </c>
      <c r="P32" s="14" t="e">
        <f ca="1">IF($A32&lt;&gt;"",
IF(COLUMN(貼り付け用!P32)&gt;MATCH("おやつ",貼り付け用!$3:$3,0),"",
IF(VLOOKUP($A32,貼り付け用!$A$1:$BA$300,COLUMN(),FALSE)=0,"",VLOOKUP($A32,貼り付け用!$A$1:$BA$300,COLUMN(),FALSE))),"")</f>
        <v>#N/A</v>
      </c>
      <c r="Q32" s="14" t="e">
        <f ca="1">IF($A32&lt;&gt;"",
IF(COLUMN(貼り付け用!Q32)&gt;MATCH("おやつ",貼り付け用!$3:$3,0),"",
IF(VLOOKUP($A32,貼り付け用!$A$1:$BA$300,COLUMN(),FALSE)=0,"",VLOOKUP($A32,貼り付け用!$A$1:$BA$300,COLUMN(),FALSE))),"")</f>
        <v>#N/A</v>
      </c>
      <c r="R32" s="14" t="e">
        <f ca="1">IF($A32&lt;&gt;"",
IF(COLUMN(貼り付け用!R32)&gt;MATCH("おやつ",貼り付け用!$3:$3,0),"",
IF(VLOOKUP($A32,貼り付け用!$A$1:$BA$300,COLUMN(),FALSE)=0,"",VLOOKUP($A32,貼り付け用!$A$1:$BA$300,COLUMN(),FALSE))),"")</f>
        <v>#N/A</v>
      </c>
      <c r="S32" s="14" t="e">
        <f ca="1">IF($A32&lt;&gt;"",
IF(COLUMN(貼り付け用!S32)&gt;MATCH("おやつ",貼り付け用!$3:$3,0),"",
IF(VLOOKUP($A32,貼り付け用!$A$1:$BA$300,COLUMN(),FALSE)=0,"",VLOOKUP($A32,貼り付け用!$A$1:$BA$300,COLUMN(),FALSE))),"")</f>
        <v>#N/A</v>
      </c>
      <c r="T32" s="14" t="e">
        <f>IF(COLUMN(貼り付け用!T32)&gt;MATCH("おやつ",貼り付け用!$3:$3,0),"",
IF(VLOOKUP($A32,貼り付け用!$A$1:$BA$300,COLUMN(),FALSE)=0,"",VLOOKUP($A32,貼り付け用!$A$1:$BA$300,COLUMN(),FALSE)))</f>
        <v>#N/A</v>
      </c>
      <c r="U32" s="11"/>
      <c r="V32" s="55" t="e">
        <f ca="1">IF(A32&lt;&gt;"",
IF(VLOOKUP($A32,貼り付け用!$A$1:$BA$300,MATCH("おやつ",貼り付け用!$3:$3,0)+1,FALSE)=0,"",VLOOKUP($A32,貼り付け用!$A$1:$BA$300,MATCH("おやつ",貼り付け用!$3:$3,0)+1,FALSE)),"")</f>
        <v>#N/A</v>
      </c>
      <c r="W32" s="14" t="e">
        <f ca="1">IF(A32&lt;&gt;"",
IF(VLOOKUP($A32,貼り付け用!$A$1:$BA$300,MATCH("おやつ",貼り付け用!$3:$3,0)+2,FALSE)=0,"",VLOOKUP($A32,貼り付け用!$A$1:$BA$300,MATCH("おやつ",貼り付け用!$3:$3,0)+2,FALSE)),"")</f>
        <v>#N/A</v>
      </c>
    </row>
    <row r="33" spans="1:23">
      <c r="A33" s="8" t="e">
        <f t="array" aca="1" ref="A33" ca="1">IF(OR(COUNTIF(A31,"*1000*"),COUNTIF(A31,"")),"",INDEX(貼り付け用!$A:$A,MATCH(A31,貼り付け用!$A:$A,0)+2,0))</f>
        <v>#N/A</v>
      </c>
      <c r="B33" s="3" t="e">
        <f ca="1">IF($A33&lt;&gt;"",IF(VLOOKUP($A33,貼り付け用!$A$1:$BA$300,COLUMN(),FALSE)=0,"",VLOOKUP($A33,貼り付け用!$A$1:$BA$300,COLUMN(),FALSE)),"")</f>
        <v>#N/A</v>
      </c>
      <c r="C33" s="3" t="e">
        <f ca="1">IF($A33&lt;&gt;"",IF(VLOOKUP($A33,貼り付け用!$A$1:$BA$300,COLUMN(),FALSE)=0,"",VLOOKUP($A33,貼り付け用!$A$1:$BA$300,COLUMN(),FALSE)),"")</f>
        <v>#N/A</v>
      </c>
      <c r="D33" s="3" t="e">
        <f ca="1">IF($A33&lt;&gt;"",IF(VLOOKUP($A33,貼り付け用!$A$1:$BA$300,COLUMN(),FALSE)=0,"",VLOOKUP($A33,貼り付け用!$A$1:$BA$300,COLUMN(),FALSE)),"")</f>
        <v>#N/A</v>
      </c>
      <c r="E33" s="3" t="e">
        <f ca="1">IF($A33&lt;&gt;"",IF(VLOOKUP($A33,貼り付け用!$A$1:$BA$300,COLUMN(),FALSE)=0,"",VLOOKUP($A33,貼り付け用!$A$1:$BA$300,COLUMN(),FALSE)),"")</f>
        <v>#N/A</v>
      </c>
      <c r="F33" s="3" t="e">
        <f ca="1">IF($A33&lt;&gt;"",IF(VLOOKUP($A33,貼り付け用!$A$1:$BA$300,COLUMN(),FALSE)=0,"",VLOOKUP($A33,貼り付け用!$A$1:$BA$300,COLUMN(),FALSE)),"")</f>
        <v>#N/A</v>
      </c>
      <c r="G33" s="3" t="e">
        <f ca="1">IF($A33&lt;&gt;"",IF(VLOOKUP($A33,貼り付け用!$A$1:$BA$300,COLUMN(),FALSE)=0,"",VLOOKUP($A33,貼り付け用!$A$1:$BA$300,COLUMN(),FALSE)),"")</f>
        <v>#N/A</v>
      </c>
      <c r="H33" s="3" t="e">
        <f ca="1">IF($A33&lt;&gt;"",IF(VLOOKUP($A33,貼り付け用!$A$1:$BA$300,COLUMN(),FALSE)=0,"",VLOOKUP($A33,貼り付け用!$A$1:$BA$300,COLUMN(),FALSE)),"")</f>
        <v>#N/A</v>
      </c>
      <c r="I33" s="3" t="e">
        <f ca="1">IF($A33&lt;&gt;"",IF(VLOOKUP($A33,貼り付け用!$A$1:$BA$300,COLUMN(),FALSE)=0,"",VLOOKUP($A33,貼り付け用!$A$1:$BA$300,COLUMN(),FALSE)),"")</f>
        <v>#N/A</v>
      </c>
      <c r="J33" s="3" t="e">
        <f ca="1">IF($A33&lt;&gt;"",IF(VLOOKUP($A33,貼り付け用!$A$1:$BA$300,COLUMN(),FALSE)=0,"",VLOOKUP($A33,貼り付け用!$A$1:$BA$300,COLUMN(),FALSE)),"")</f>
        <v>#N/A</v>
      </c>
      <c r="K33" s="3" t="e">
        <f ca="1">IF($A33&lt;&gt;"",IF(VLOOKUP($A33,貼り付け用!$A$1:$BA$300,COLUMN(),FALSE)=0,"",VLOOKUP($A33,貼り付け用!$A$1:$BA$300,COLUMN(),FALSE)),"")</f>
        <v>#N/A</v>
      </c>
      <c r="L33" s="3" t="e">
        <f ca="1">IF($A33&lt;&gt;"",
IF(COLUMN(貼り付け用!L33)&gt;MATCH("おやつ",貼り付け用!$3:$3,0),"",
IF(VLOOKUP($A33,貼り付け用!$A$1:$BA$300,COLUMN(),FALSE)=0,"",VLOOKUP($A33,貼り付け用!$A$1:$BA$300,COLUMN(),FALSE))),"")</f>
        <v>#N/A</v>
      </c>
      <c r="M33" s="3" t="e">
        <f ca="1">IF($A33&lt;&gt;"",
IF(COLUMN(貼り付け用!M33)&gt;MATCH("おやつ",貼り付け用!$3:$3,0),"",
IF(VLOOKUP($A33,貼り付け用!$A$1:$BA$300,COLUMN(),FALSE)=0,"",VLOOKUP($A33,貼り付け用!$A$1:$BA$300,COLUMN(),FALSE))),"")</f>
        <v>#N/A</v>
      </c>
      <c r="N33" s="3" t="e">
        <f ca="1">IF($A33&lt;&gt;"",
IF(COLUMN(貼り付け用!N33)&gt;MATCH("おやつ",貼り付け用!$3:$3,0),"",
IF(VLOOKUP($A33,貼り付け用!$A$1:$BA$300,COLUMN(),FALSE)=0,"",VLOOKUP($A33,貼り付け用!$A$1:$BA$300,COLUMN(),FALSE))),"")</f>
        <v>#N/A</v>
      </c>
      <c r="O33" s="3" t="e">
        <f ca="1">IF($A33&lt;&gt;"",
IF(COLUMN(貼り付け用!O33)&gt;MATCH("おやつ",貼り付け用!$3:$3,0),"",
IF(VLOOKUP($A33,貼り付け用!$A$1:$BA$300,COLUMN(),FALSE)=0,"",VLOOKUP($A33,貼り付け用!$A$1:$BA$300,COLUMN(),FALSE))),"")</f>
        <v>#N/A</v>
      </c>
      <c r="P33" s="3" t="e">
        <f ca="1">IF($A33&lt;&gt;"",
IF(COLUMN(貼り付け用!P33)&gt;MATCH("おやつ",貼り付け用!$3:$3,0),"",
IF(VLOOKUP($A33,貼り付け用!$A$1:$BA$300,COLUMN(),FALSE)=0,"",VLOOKUP($A33,貼り付け用!$A$1:$BA$300,COLUMN(),FALSE))),"")</f>
        <v>#N/A</v>
      </c>
      <c r="Q33" s="3" t="e">
        <f ca="1">IF($A33&lt;&gt;"",
IF(COLUMN(貼り付け用!Q33)&gt;MATCH("おやつ",貼り付け用!$3:$3,0),"",
IF(VLOOKUP($A33,貼り付け用!$A$1:$BA$300,COLUMN(),FALSE)=0,"",VLOOKUP($A33,貼り付け用!$A$1:$BA$300,COLUMN(),FALSE))),"")</f>
        <v>#N/A</v>
      </c>
      <c r="R33" s="3" t="e">
        <f ca="1">IF($A33&lt;&gt;"",
IF(COLUMN(貼り付け用!R33)&gt;MATCH("おやつ",貼り付け用!$3:$3,0),"",
IF(VLOOKUP($A33,貼り付け用!$A$1:$BA$300,COLUMN(),FALSE)=0,"",VLOOKUP($A33,貼り付け用!$A$1:$BA$300,COLUMN(),FALSE))),"")</f>
        <v>#N/A</v>
      </c>
      <c r="S33" s="3" t="e">
        <f ca="1">IF($A33&lt;&gt;"",
IF(COLUMN(貼り付け用!S33)&gt;MATCH("おやつ",貼り付け用!$3:$3,0),"",
IF(VLOOKUP($A33,貼り付け用!$A$1:$BA$300,COLUMN(),FALSE)=0,"",VLOOKUP($A33,貼り付け用!$A$1:$BA$300,COLUMN(),FALSE))),"")</f>
        <v>#N/A</v>
      </c>
      <c r="T33" s="3" t="e">
        <f>IF(COLUMN(貼り付け用!T33)&gt;MATCH("おやつ",貼り付け用!$3:$3,0),"",
IF(VLOOKUP($A33,貼り付け用!$A$1:$BA$300,COLUMN(),FALSE)=0,"",VLOOKUP($A33,貼り付け用!$A$1:$BA$300,COLUMN(),FALSE)))</f>
        <v>#N/A</v>
      </c>
      <c r="U33" s="21"/>
      <c r="V33" s="55" t="e">
        <f ca="1">IF(A33&lt;&gt;"",
IF(VLOOKUP($A33,貼り付け用!$A$1:$BA$300,MATCH("おやつ",貼り付け用!$3:$3,0)+1,FALSE)=0,"",VLOOKUP($A33,貼り付け用!$A$1:$BA$300,MATCH("おやつ",貼り付け用!$3:$3,0)+1,FALSE)),"")</f>
        <v>#N/A</v>
      </c>
      <c r="W33" s="14" t="e">
        <f ca="1">IF(A33&lt;&gt;"",
IF(VLOOKUP($A33,貼り付け用!$A$1:$BA$300,MATCH("おやつ",貼り付け用!$3:$3,0)+2,FALSE)=0,"",VLOOKUP($A33,貼り付け用!$A$1:$BA$300,MATCH("おやつ",貼り付け用!$3:$3,0)+2,FALSE)),"")</f>
        <v>#N/A</v>
      </c>
    </row>
    <row r="34" spans="1:23">
      <c r="A34" s="4" t="e">
        <f t="array" aca="1" ref="A34" ca="1">IF(OR(COUNTIF(A32,"*合計*"),COUNTIF(A32,"")),"",INDEX(貼り付け用!$A:$A,MATCH(A32,貼り付け用!$A:$A,0)+2,0))</f>
        <v>#N/A</v>
      </c>
      <c r="B34" s="14" t="e">
        <f ca="1">IF($A34&lt;&gt;"",IF(VLOOKUP($A34,貼り付け用!$A$1:$BA$300,COLUMN(),FALSE)=0,"",VLOOKUP($A34,貼り付け用!$A$1:$BA$300,COLUMN(),FALSE)),"")</f>
        <v>#N/A</v>
      </c>
      <c r="C34" s="14" t="e">
        <f ca="1">IF($A34&lt;&gt;"",IF(VLOOKUP($A34,貼り付け用!$A$1:$BA$300,COLUMN(),FALSE)=0,"",VLOOKUP($A34,貼り付け用!$A$1:$BA$300,COLUMN(),FALSE)),"")</f>
        <v>#N/A</v>
      </c>
      <c r="D34" s="14" t="e">
        <f ca="1">IF($A34&lt;&gt;"",IF(VLOOKUP($A34,貼り付け用!$A$1:$BA$300,COLUMN(),FALSE)=0,"",VLOOKUP($A34,貼り付け用!$A$1:$BA$300,COLUMN(),FALSE)),"")</f>
        <v>#N/A</v>
      </c>
      <c r="E34" s="14" t="e">
        <f ca="1">IF($A34&lt;&gt;"",IF(VLOOKUP($A34,貼り付け用!$A$1:$BA$300,COLUMN(),FALSE)=0,"",VLOOKUP($A34,貼り付け用!$A$1:$BA$300,COLUMN(),FALSE)),"")</f>
        <v>#N/A</v>
      </c>
      <c r="F34" s="14" t="e">
        <f ca="1">IF($A34&lt;&gt;"",IF(VLOOKUP($A34,貼り付け用!$A$1:$BA$300,COLUMN(),FALSE)=0,"",VLOOKUP($A34,貼り付け用!$A$1:$BA$300,COLUMN(),FALSE)),"")</f>
        <v>#N/A</v>
      </c>
      <c r="G34" s="14" t="e">
        <f ca="1">IF($A34&lt;&gt;"",IF(VLOOKUP($A34,貼り付け用!$A$1:$BA$300,COLUMN(),FALSE)=0,"",VLOOKUP($A34,貼り付け用!$A$1:$BA$300,COLUMN(),FALSE)),"")</f>
        <v>#N/A</v>
      </c>
      <c r="H34" s="14" t="e">
        <f ca="1">IF($A34&lt;&gt;"",IF(VLOOKUP($A34,貼り付け用!$A$1:$BA$300,COLUMN(),FALSE)=0,"",VLOOKUP($A34,貼り付け用!$A$1:$BA$300,COLUMN(),FALSE)),"")</f>
        <v>#N/A</v>
      </c>
      <c r="I34" s="14" t="e">
        <f ca="1">IF($A34&lt;&gt;"",IF(VLOOKUP($A34,貼り付け用!$A$1:$BA$300,COLUMN(),FALSE)=0,"",VLOOKUP($A34,貼り付け用!$A$1:$BA$300,COLUMN(),FALSE)),"")</f>
        <v>#N/A</v>
      </c>
      <c r="J34" s="14" t="e">
        <f ca="1">IF($A34&lt;&gt;"",IF(VLOOKUP($A34,貼り付け用!$A$1:$BA$300,COLUMN(),FALSE)=0,"",VLOOKUP($A34,貼り付け用!$A$1:$BA$300,COLUMN(),FALSE)),"")</f>
        <v>#N/A</v>
      </c>
      <c r="K34" s="14" t="e">
        <f ca="1">IF($A34&lt;&gt;"",IF(VLOOKUP($A34,貼り付け用!$A$1:$BA$300,COLUMN(),FALSE)=0,"",VLOOKUP($A34,貼り付け用!$A$1:$BA$300,COLUMN(),FALSE)),"")</f>
        <v>#N/A</v>
      </c>
      <c r="L34" s="14" t="e">
        <f ca="1">IF($A34&lt;&gt;"",
IF(COLUMN(貼り付け用!L34)&gt;MATCH("おやつ",貼り付け用!$3:$3,0),"",
IF(VLOOKUP($A34,貼り付け用!$A$1:$BA$300,COLUMN(),FALSE)=0,"",VLOOKUP($A34,貼り付け用!$A$1:$BA$300,COLUMN(),FALSE))),"")</f>
        <v>#N/A</v>
      </c>
      <c r="M34" s="14" t="e">
        <f ca="1">IF($A34&lt;&gt;"",
IF(COLUMN(貼り付け用!M34)&gt;MATCH("おやつ",貼り付け用!$3:$3,0),"",
IF(VLOOKUP($A34,貼り付け用!$A$1:$BA$300,COLUMN(),FALSE)=0,"",VLOOKUP($A34,貼り付け用!$A$1:$BA$300,COLUMN(),FALSE))),"")</f>
        <v>#N/A</v>
      </c>
      <c r="N34" s="14" t="e">
        <f ca="1">IF($A34&lt;&gt;"",
IF(COLUMN(貼り付け用!N34)&gt;MATCH("おやつ",貼り付け用!$3:$3,0),"",
IF(VLOOKUP($A34,貼り付け用!$A$1:$BA$300,COLUMN(),FALSE)=0,"",VLOOKUP($A34,貼り付け用!$A$1:$BA$300,COLUMN(),FALSE))),"")</f>
        <v>#N/A</v>
      </c>
      <c r="O34" s="14" t="e">
        <f ca="1">IF($A34&lt;&gt;"",
IF(COLUMN(貼り付け用!O34)&gt;MATCH("おやつ",貼り付け用!$3:$3,0),"",
IF(VLOOKUP($A34,貼り付け用!$A$1:$BA$300,COLUMN(),FALSE)=0,"",VLOOKUP($A34,貼り付け用!$A$1:$BA$300,COLUMN(),FALSE))),"")</f>
        <v>#N/A</v>
      </c>
      <c r="P34" s="14" t="e">
        <f ca="1">IF($A34&lt;&gt;"",
IF(COLUMN(貼り付け用!P34)&gt;MATCH("おやつ",貼り付け用!$3:$3,0),"",
IF(VLOOKUP($A34,貼り付け用!$A$1:$BA$300,COLUMN(),FALSE)=0,"",VLOOKUP($A34,貼り付け用!$A$1:$BA$300,COLUMN(),FALSE))),"")</f>
        <v>#N/A</v>
      </c>
      <c r="Q34" s="14" t="e">
        <f ca="1">IF($A34&lt;&gt;"",
IF(COLUMN(貼り付け用!Q34)&gt;MATCH("おやつ",貼り付け用!$3:$3,0),"",
IF(VLOOKUP($A34,貼り付け用!$A$1:$BA$300,COLUMN(),FALSE)=0,"",VLOOKUP($A34,貼り付け用!$A$1:$BA$300,COLUMN(),FALSE))),"")</f>
        <v>#N/A</v>
      </c>
      <c r="R34" s="14" t="e">
        <f ca="1">IF($A34&lt;&gt;"",
IF(COLUMN(貼り付け用!R34)&gt;MATCH("おやつ",貼り付け用!$3:$3,0),"",
IF(VLOOKUP($A34,貼り付け用!$A$1:$BA$300,COLUMN(),FALSE)=0,"",VLOOKUP($A34,貼り付け用!$A$1:$BA$300,COLUMN(),FALSE))),"")</f>
        <v>#N/A</v>
      </c>
      <c r="S34" s="14" t="e">
        <f ca="1">IF($A34&lt;&gt;"",
IF(COLUMN(貼り付け用!S34)&gt;MATCH("おやつ",貼り付け用!$3:$3,0),"",
IF(VLOOKUP($A34,貼り付け用!$A$1:$BA$300,COLUMN(),FALSE)=0,"",VLOOKUP($A34,貼り付け用!$A$1:$BA$300,COLUMN(),FALSE))),"")</f>
        <v>#N/A</v>
      </c>
      <c r="T34" s="14" t="e">
        <f>IF(COLUMN(貼り付け用!T34)&gt;MATCH("おやつ",貼り付け用!$3:$3,0),"",
IF(VLOOKUP($A34,貼り付け用!$A$1:$BA$300,COLUMN(),FALSE)=0,"",VLOOKUP($A34,貼り付け用!$A$1:$BA$300,COLUMN(),FALSE)))</f>
        <v>#N/A</v>
      </c>
      <c r="U34" s="11"/>
      <c r="V34" s="55" t="e">
        <f ca="1">IF(A34&lt;&gt;"",
IF(VLOOKUP($A34,貼り付け用!$A$1:$BA$300,MATCH("おやつ",貼り付け用!$3:$3,0)+1,FALSE)=0,"",VLOOKUP($A34,貼り付け用!$A$1:$BA$300,MATCH("おやつ",貼り付け用!$3:$3,0)+1,FALSE)),"")</f>
        <v>#N/A</v>
      </c>
      <c r="W34" s="14" t="e">
        <f ca="1">IF(A34&lt;&gt;"",
IF(VLOOKUP($A34,貼り付け用!$A$1:$BA$300,MATCH("おやつ",貼り付け用!$3:$3,0)+2,FALSE)=0,"",VLOOKUP($A34,貼り付け用!$A$1:$BA$300,MATCH("おやつ",貼り付け用!$3:$3,0)+2,FALSE)),"")</f>
        <v>#N/A</v>
      </c>
    </row>
    <row r="35" spans="1:23">
      <c r="A35" s="8" t="e">
        <f t="array" aca="1" ref="A35" ca="1">IF(OR(COUNTIF(A33,"*1000*"),COUNTIF(A33,"")),"",INDEX(貼り付け用!$A:$A,MATCH(A33,貼り付け用!$A:$A,0)+2,0))</f>
        <v>#N/A</v>
      </c>
      <c r="B35" s="3" t="e">
        <f ca="1">IF($A35&lt;&gt;"",IF(VLOOKUP($A35,貼り付け用!$A$1:$BA$300,COLUMN(),FALSE)=0,"",VLOOKUP($A35,貼り付け用!$A$1:$BA$300,COLUMN(),FALSE)),"")</f>
        <v>#N/A</v>
      </c>
      <c r="C35" s="3" t="e">
        <f ca="1">IF($A35&lt;&gt;"",IF(VLOOKUP($A35,貼り付け用!$A$1:$BA$300,COLUMN(),FALSE)=0,"",VLOOKUP($A35,貼り付け用!$A$1:$BA$300,COLUMN(),FALSE)),"")</f>
        <v>#N/A</v>
      </c>
      <c r="D35" s="3" t="e">
        <f ca="1">IF($A35&lt;&gt;"",IF(VLOOKUP($A35,貼り付け用!$A$1:$BA$300,COLUMN(),FALSE)=0,"",VLOOKUP($A35,貼り付け用!$A$1:$BA$300,COLUMN(),FALSE)),"")</f>
        <v>#N/A</v>
      </c>
      <c r="E35" s="3" t="e">
        <f ca="1">IF($A35&lt;&gt;"",IF(VLOOKUP($A35,貼り付け用!$A$1:$BA$300,COLUMN(),FALSE)=0,"",VLOOKUP($A35,貼り付け用!$A$1:$BA$300,COLUMN(),FALSE)),"")</f>
        <v>#N/A</v>
      </c>
      <c r="F35" s="3" t="e">
        <f ca="1">IF($A35&lt;&gt;"",IF(VLOOKUP($A35,貼り付け用!$A$1:$BA$300,COLUMN(),FALSE)=0,"",VLOOKUP($A35,貼り付け用!$A$1:$BA$300,COLUMN(),FALSE)),"")</f>
        <v>#N/A</v>
      </c>
      <c r="G35" s="3" t="e">
        <f ca="1">IF($A35&lt;&gt;"",IF(VLOOKUP($A35,貼り付け用!$A$1:$BA$300,COLUMN(),FALSE)=0,"",VLOOKUP($A35,貼り付け用!$A$1:$BA$300,COLUMN(),FALSE)),"")</f>
        <v>#N/A</v>
      </c>
      <c r="H35" s="3" t="e">
        <f ca="1">IF($A35&lt;&gt;"",IF(VLOOKUP($A35,貼り付け用!$A$1:$BA$300,COLUMN(),FALSE)=0,"",VLOOKUP($A35,貼り付け用!$A$1:$BA$300,COLUMN(),FALSE)),"")</f>
        <v>#N/A</v>
      </c>
      <c r="I35" s="3" t="e">
        <f ca="1">IF($A35&lt;&gt;"",IF(VLOOKUP($A35,貼り付け用!$A$1:$BA$300,COLUMN(),FALSE)=0,"",VLOOKUP($A35,貼り付け用!$A$1:$BA$300,COLUMN(),FALSE)),"")</f>
        <v>#N/A</v>
      </c>
      <c r="J35" s="3" t="e">
        <f ca="1">IF($A35&lt;&gt;"",IF(VLOOKUP($A35,貼り付け用!$A$1:$BA$300,COLUMN(),FALSE)=0,"",VLOOKUP($A35,貼り付け用!$A$1:$BA$300,COLUMN(),FALSE)),"")</f>
        <v>#N/A</v>
      </c>
      <c r="K35" s="3" t="e">
        <f ca="1">IF($A35&lt;&gt;"",IF(VLOOKUP($A35,貼り付け用!$A$1:$BA$300,COLUMN(),FALSE)=0,"",VLOOKUP($A35,貼り付け用!$A$1:$BA$300,COLUMN(),FALSE)),"")</f>
        <v>#N/A</v>
      </c>
      <c r="L35" s="3" t="e">
        <f ca="1">IF($A35&lt;&gt;"",
IF(COLUMN(貼り付け用!L35)&gt;MATCH("おやつ",貼り付け用!$3:$3,0),"",
IF(VLOOKUP($A35,貼り付け用!$A$1:$BA$300,COLUMN(),FALSE)=0,"",VLOOKUP($A35,貼り付け用!$A$1:$BA$300,COLUMN(),FALSE))),"")</f>
        <v>#N/A</v>
      </c>
      <c r="M35" s="3" t="e">
        <f ca="1">IF($A35&lt;&gt;"",
IF(COLUMN(貼り付け用!M35)&gt;MATCH("おやつ",貼り付け用!$3:$3,0),"",
IF(VLOOKUP($A35,貼り付け用!$A$1:$BA$300,COLUMN(),FALSE)=0,"",VLOOKUP($A35,貼り付け用!$A$1:$BA$300,COLUMN(),FALSE))),"")</f>
        <v>#N/A</v>
      </c>
      <c r="N35" s="3" t="e">
        <f ca="1">IF($A35&lt;&gt;"",
IF(COLUMN(貼り付け用!N35)&gt;MATCH("おやつ",貼り付け用!$3:$3,0),"",
IF(VLOOKUP($A35,貼り付け用!$A$1:$BA$300,COLUMN(),FALSE)=0,"",VLOOKUP($A35,貼り付け用!$A$1:$BA$300,COLUMN(),FALSE))),"")</f>
        <v>#N/A</v>
      </c>
      <c r="O35" s="3" t="e">
        <f ca="1">IF($A35&lt;&gt;"",
IF(COLUMN(貼り付け用!O35)&gt;MATCH("おやつ",貼り付け用!$3:$3,0),"",
IF(VLOOKUP($A35,貼り付け用!$A$1:$BA$300,COLUMN(),FALSE)=0,"",VLOOKUP($A35,貼り付け用!$A$1:$BA$300,COLUMN(),FALSE))),"")</f>
        <v>#N/A</v>
      </c>
      <c r="P35" s="3" t="e">
        <f ca="1">IF($A35&lt;&gt;"",
IF(COLUMN(貼り付け用!P35)&gt;MATCH("おやつ",貼り付け用!$3:$3,0),"",
IF(VLOOKUP($A35,貼り付け用!$A$1:$BA$300,COLUMN(),FALSE)=0,"",VLOOKUP($A35,貼り付け用!$A$1:$BA$300,COLUMN(),FALSE))),"")</f>
        <v>#N/A</v>
      </c>
      <c r="Q35" s="3" t="e">
        <f ca="1">IF($A35&lt;&gt;"",
IF(COLUMN(貼り付け用!Q35)&gt;MATCH("おやつ",貼り付け用!$3:$3,0),"",
IF(VLOOKUP($A35,貼り付け用!$A$1:$BA$300,COLUMN(),FALSE)=0,"",VLOOKUP($A35,貼り付け用!$A$1:$BA$300,COLUMN(),FALSE))),"")</f>
        <v>#N/A</v>
      </c>
      <c r="R35" s="3" t="e">
        <f ca="1">IF($A35&lt;&gt;"",
IF(COLUMN(貼り付け用!R35)&gt;MATCH("おやつ",貼り付け用!$3:$3,0),"",
IF(VLOOKUP($A35,貼り付け用!$A$1:$BA$300,COLUMN(),FALSE)=0,"",VLOOKUP($A35,貼り付け用!$A$1:$BA$300,COLUMN(),FALSE))),"")</f>
        <v>#N/A</v>
      </c>
      <c r="S35" s="3" t="e">
        <f ca="1">IF($A35&lt;&gt;"",
IF(COLUMN(貼り付け用!S35)&gt;MATCH("おやつ",貼り付け用!$3:$3,0),"",
IF(VLOOKUP($A35,貼り付け用!$A$1:$BA$300,COLUMN(),FALSE)=0,"",VLOOKUP($A35,貼り付け用!$A$1:$BA$300,COLUMN(),FALSE))),"")</f>
        <v>#N/A</v>
      </c>
      <c r="T35" s="3" t="e">
        <f>IF(COLUMN(貼り付け用!T35)&gt;MATCH("おやつ",貼り付け用!$3:$3,0),"",
IF(VLOOKUP($A35,貼り付け用!$A$1:$BA$300,COLUMN(),FALSE)=0,"",VLOOKUP($A35,貼り付け用!$A$1:$BA$300,COLUMN(),FALSE)))</f>
        <v>#N/A</v>
      </c>
      <c r="U35" s="21"/>
      <c r="V35" s="55" t="e">
        <f ca="1">IF(A35&lt;&gt;"",
IF(VLOOKUP($A35,貼り付け用!$A$1:$BA$300,MATCH("おやつ",貼り付け用!$3:$3,0)+1,FALSE)=0,"",VLOOKUP($A35,貼り付け用!$A$1:$BA$300,MATCH("おやつ",貼り付け用!$3:$3,0)+1,FALSE)),"")</f>
        <v>#N/A</v>
      </c>
      <c r="W35" s="14" t="e">
        <f ca="1">IF(A35&lt;&gt;"",
IF(VLOOKUP($A35,貼り付け用!$A$1:$BA$300,MATCH("おやつ",貼り付け用!$3:$3,0)+2,FALSE)=0,"",VLOOKUP($A35,貼り付け用!$A$1:$BA$300,MATCH("おやつ",貼り付け用!$3:$3,0)+2,FALSE)),"")</f>
        <v>#N/A</v>
      </c>
    </row>
    <row r="36" spans="1:23">
      <c r="A36" s="4" t="e">
        <f t="array" aca="1" ref="A36" ca="1">IF(OR(COUNTIF(A34,"*合計*"),COUNTIF(A34,"")),"",INDEX(貼り付け用!$A:$A,MATCH(A34,貼り付け用!$A:$A,0)+2,0))</f>
        <v>#N/A</v>
      </c>
      <c r="B36" s="14" t="e">
        <f ca="1">IF($A36&lt;&gt;"",IF(VLOOKUP($A36,貼り付け用!$A$1:$BA$300,COLUMN(),FALSE)=0,"",VLOOKUP($A36,貼り付け用!$A$1:$BA$300,COLUMN(),FALSE)),"")</f>
        <v>#N/A</v>
      </c>
      <c r="C36" s="14" t="e">
        <f ca="1">IF($A36&lt;&gt;"",IF(VLOOKUP($A36,貼り付け用!$A$1:$BA$300,COLUMN(),FALSE)=0,"",VLOOKUP($A36,貼り付け用!$A$1:$BA$300,COLUMN(),FALSE)),"")</f>
        <v>#N/A</v>
      </c>
      <c r="D36" s="14" t="e">
        <f ca="1">IF($A36&lt;&gt;"",IF(VLOOKUP($A36,貼り付け用!$A$1:$BA$300,COLUMN(),FALSE)=0,"",VLOOKUP($A36,貼り付け用!$A$1:$BA$300,COLUMN(),FALSE)),"")</f>
        <v>#N/A</v>
      </c>
      <c r="E36" s="14" t="e">
        <f ca="1">IF($A36&lt;&gt;"",IF(VLOOKUP($A36,貼り付け用!$A$1:$BA$300,COLUMN(),FALSE)=0,"",VLOOKUP($A36,貼り付け用!$A$1:$BA$300,COLUMN(),FALSE)),"")</f>
        <v>#N/A</v>
      </c>
      <c r="F36" s="14" t="e">
        <f ca="1">IF($A36&lt;&gt;"",IF(VLOOKUP($A36,貼り付け用!$A$1:$BA$300,COLUMN(),FALSE)=0,"",VLOOKUP($A36,貼り付け用!$A$1:$BA$300,COLUMN(),FALSE)),"")</f>
        <v>#N/A</v>
      </c>
      <c r="G36" s="14" t="e">
        <f ca="1">IF($A36&lt;&gt;"",IF(VLOOKUP($A36,貼り付け用!$A$1:$BA$300,COLUMN(),FALSE)=0,"",VLOOKUP($A36,貼り付け用!$A$1:$BA$300,COLUMN(),FALSE)),"")</f>
        <v>#N/A</v>
      </c>
      <c r="H36" s="14" t="e">
        <f ca="1">IF($A36&lt;&gt;"",IF(VLOOKUP($A36,貼り付け用!$A$1:$BA$300,COLUMN(),FALSE)=0,"",VLOOKUP($A36,貼り付け用!$A$1:$BA$300,COLUMN(),FALSE)),"")</f>
        <v>#N/A</v>
      </c>
      <c r="I36" s="14" t="e">
        <f ca="1">IF($A36&lt;&gt;"",IF(VLOOKUP($A36,貼り付け用!$A$1:$BA$300,COLUMN(),FALSE)=0,"",VLOOKUP($A36,貼り付け用!$A$1:$BA$300,COLUMN(),FALSE)),"")</f>
        <v>#N/A</v>
      </c>
      <c r="J36" s="14" t="e">
        <f ca="1">IF($A36&lt;&gt;"",IF(VLOOKUP($A36,貼り付け用!$A$1:$BA$300,COLUMN(),FALSE)=0,"",VLOOKUP($A36,貼り付け用!$A$1:$BA$300,COLUMN(),FALSE)),"")</f>
        <v>#N/A</v>
      </c>
      <c r="K36" s="14" t="e">
        <f ca="1">IF($A36&lt;&gt;"",IF(VLOOKUP($A36,貼り付け用!$A$1:$BA$300,COLUMN(),FALSE)=0,"",VLOOKUP($A36,貼り付け用!$A$1:$BA$300,COLUMN(),FALSE)),"")</f>
        <v>#N/A</v>
      </c>
      <c r="L36" s="14" t="e">
        <f ca="1">IF($A36&lt;&gt;"",
IF(COLUMN(貼り付け用!L36)&gt;MATCH("おやつ",貼り付け用!$3:$3,0),"",
IF(VLOOKUP($A36,貼り付け用!$A$1:$BA$300,COLUMN(),FALSE)=0,"",VLOOKUP($A36,貼り付け用!$A$1:$BA$300,COLUMN(),FALSE))),"")</f>
        <v>#N/A</v>
      </c>
      <c r="M36" s="14" t="e">
        <f ca="1">IF($A36&lt;&gt;"",
IF(COLUMN(貼り付け用!M36)&gt;MATCH("おやつ",貼り付け用!$3:$3,0),"",
IF(VLOOKUP($A36,貼り付け用!$A$1:$BA$300,COLUMN(),FALSE)=0,"",VLOOKUP($A36,貼り付け用!$A$1:$BA$300,COLUMN(),FALSE))),"")</f>
        <v>#N/A</v>
      </c>
      <c r="N36" s="14" t="e">
        <f ca="1">IF($A36&lt;&gt;"",
IF(COLUMN(貼り付け用!N36)&gt;MATCH("おやつ",貼り付け用!$3:$3,0),"",
IF(VLOOKUP($A36,貼り付け用!$A$1:$BA$300,COLUMN(),FALSE)=0,"",VLOOKUP($A36,貼り付け用!$A$1:$BA$300,COLUMN(),FALSE))),"")</f>
        <v>#N/A</v>
      </c>
      <c r="O36" s="14" t="e">
        <f ca="1">IF($A36&lt;&gt;"",
IF(COLUMN(貼り付け用!O36)&gt;MATCH("おやつ",貼り付け用!$3:$3,0),"",
IF(VLOOKUP($A36,貼り付け用!$A$1:$BA$300,COLUMN(),FALSE)=0,"",VLOOKUP($A36,貼り付け用!$A$1:$BA$300,COLUMN(),FALSE))),"")</f>
        <v>#N/A</v>
      </c>
      <c r="P36" s="14" t="e">
        <f ca="1">IF($A36&lt;&gt;"",
IF(COLUMN(貼り付け用!P36)&gt;MATCH("おやつ",貼り付け用!$3:$3,0),"",
IF(VLOOKUP($A36,貼り付け用!$A$1:$BA$300,COLUMN(),FALSE)=0,"",VLOOKUP($A36,貼り付け用!$A$1:$BA$300,COLUMN(),FALSE))),"")</f>
        <v>#N/A</v>
      </c>
      <c r="Q36" s="14" t="e">
        <f ca="1">IF($A36&lt;&gt;"",
IF(COLUMN(貼り付け用!Q36)&gt;MATCH("おやつ",貼り付け用!$3:$3,0),"",
IF(VLOOKUP($A36,貼り付け用!$A$1:$BA$300,COLUMN(),FALSE)=0,"",VLOOKUP($A36,貼り付け用!$A$1:$BA$300,COLUMN(),FALSE))),"")</f>
        <v>#N/A</v>
      </c>
      <c r="R36" s="14" t="e">
        <f ca="1">IF($A36&lt;&gt;"",
IF(COLUMN(貼り付け用!R36)&gt;MATCH("おやつ",貼り付け用!$3:$3,0),"",
IF(VLOOKUP($A36,貼り付け用!$A$1:$BA$300,COLUMN(),FALSE)=0,"",VLOOKUP($A36,貼り付け用!$A$1:$BA$300,COLUMN(),FALSE))),"")</f>
        <v>#N/A</v>
      </c>
      <c r="S36" s="14" t="e">
        <f ca="1">IF($A36&lt;&gt;"",
IF(COLUMN(貼り付け用!S36)&gt;MATCH("おやつ",貼り付け用!$3:$3,0),"",
IF(VLOOKUP($A36,貼り付け用!$A$1:$BA$300,COLUMN(),FALSE)=0,"",VLOOKUP($A36,貼り付け用!$A$1:$BA$300,COLUMN(),FALSE))),"")</f>
        <v>#N/A</v>
      </c>
      <c r="T36" s="14" t="e">
        <f>IF(COLUMN(貼り付け用!T36)&gt;MATCH("おやつ",貼り付け用!$3:$3,0),"",
IF(VLOOKUP($A36,貼り付け用!$A$1:$BA$300,COLUMN(),FALSE)=0,"",VLOOKUP($A36,貼り付け用!$A$1:$BA$300,COLUMN(),FALSE)))</f>
        <v>#N/A</v>
      </c>
      <c r="U36" s="11"/>
      <c r="V36" s="55" t="e">
        <f ca="1">IF(A36&lt;&gt;"",
IF(VLOOKUP($A36,貼り付け用!$A$1:$BA$300,MATCH("おやつ",貼り付け用!$3:$3,0)+1,FALSE)=0,"",VLOOKUP($A36,貼り付け用!$A$1:$BA$300,MATCH("おやつ",貼り付け用!$3:$3,0)+1,FALSE)),"")</f>
        <v>#N/A</v>
      </c>
      <c r="W36" s="14" t="e">
        <f ca="1">IF(A36&lt;&gt;"",
IF(VLOOKUP($A36,貼り付け用!$A$1:$BA$300,MATCH("おやつ",貼り付け用!$3:$3,0)+2,FALSE)=0,"",VLOOKUP($A36,貼り付け用!$A$1:$BA$300,MATCH("おやつ",貼り付け用!$3:$3,0)+2,FALSE)),"")</f>
        <v>#N/A</v>
      </c>
    </row>
    <row r="37" spans="1:23">
      <c r="A37" s="8" t="e">
        <f t="array" aca="1" ref="A37" ca="1">IF(OR(COUNTIF(A35,"*1000*"),COUNTIF(A35,"")),"",INDEX(貼り付け用!$A:$A,MATCH(A35,貼り付け用!$A:$A,0)+2,0))</f>
        <v>#N/A</v>
      </c>
      <c r="B37" s="3" t="e">
        <f ca="1">IF($A37&lt;&gt;"",IF(VLOOKUP($A37,貼り付け用!$A$1:$BA$300,COLUMN(),FALSE)=0,"",VLOOKUP($A37,貼り付け用!$A$1:$BA$300,COLUMN(),FALSE)),"")</f>
        <v>#N/A</v>
      </c>
      <c r="C37" s="3" t="e">
        <f ca="1">IF($A37&lt;&gt;"",IF(VLOOKUP($A37,貼り付け用!$A$1:$BA$300,COLUMN(),FALSE)=0,"",VLOOKUP($A37,貼り付け用!$A$1:$BA$300,COLUMN(),FALSE)),"")</f>
        <v>#N/A</v>
      </c>
      <c r="D37" s="3" t="e">
        <f ca="1">IF($A37&lt;&gt;"",IF(VLOOKUP($A37,貼り付け用!$A$1:$BA$300,COLUMN(),FALSE)=0,"",VLOOKUP($A37,貼り付け用!$A$1:$BA$300,COLUMN(),FALSE)),"")</f>
        <v>#N/A</v>
      </c>
      <c r="E37" s="3" t="e">
        <f ca="1">IF($A37&lt;&gt;"",IF(VLOOKUP($A37,貼り付け用!$A$1:$BA$300,COLUMN(),FALSE)=0,"",VLOOKUP($A37,貼り付け用!$A$1:$BA$300,COLUMN(),FALSE)),"")</f>
        <v>#N/A</v>
      </c>
      <c r="F37" s="3" t="e">
        <f ca="1">IF($A37&lt;&gt;"",IF(VLOOKUP($A37,貼り付け用!$A$1:$BA$300,COLUMN(),FALSE)=0,"",VLOOKUP($A37,貼り付け用!$A$1:$BA$300,COLUMN(),FALSE)),"")</f>
        <v>#N/A</v>
      </c>
      <c r="G37" s="3" t="e">
        <f ca="1">IF($A37&lt;&gt;"",IF(VLOOKUP($A37,貼り付け用!$A$1:$BA$300,COLUMN(),FALSE)=0,"",VLOOKUP($A37,貼り付け用!$A$1:$BA$300,COLUMN(),FALSE)),"")</f>
        <v>#N/A</v>
      </c>
      <c r="H37" s="3" t="e">
        <f ca="1">IF($A37&lt;&gt;"",IF(VLOOKUP($A37,貼り付け用!$A$1:$BA$300,COLUMN(),FALSE)=0,"",VLOOKUP($A37,貼り付け用!$A$1:$BA$300,COLUMN(),FALSE)),"")</f>
        <v>#N/A</v>
      </c>
      <c r="I37" s="3" t="e">
        <f ca="1">IF($A37&lt;&gt;"",IF(VLOOKUP($A37,貼り付け用!$A$1:$BA$300,COLUMN(),FALSE)=0,"",VLOOKUP($A37,貼り付け用!$A$1:$BA$300,COLUMN(),FALSE)),"")</f>
        <v>#N/A</v>
      </c>
      <c r="J37" s="3" t="e">
        <f ca="1">IF($A37&lt;&gt;"",IF(VLOOKUP($A37,貼り付け用!$A$1:$BA$300,COLUMN(),FALSE)=0,"",VLOOKUP($A37,貼り付け用!$A$1:$BA$300,COLUMN(),FALSE)),"")</f>
        <v>#N/A</v>
      </c>
      <c r="K37" s="3" t="e">
        <f ca="1">IF($A37&lt;&gt;"",IF(VLOOKUP($A37,貼り付け用!$A$1:$BA$300,COLUMN(),FALSE)=0,"",VLOOKUP($A37,貼り付け用!$A$1:$BA$300,COLUMN(),FALSE)),"")</f>
        <v>#N/A</v>
      </c>
      <c r="L37" s="3" t="e">
        <f ca="1">IF($A37&lt;&gt;"",
IF(COLUMN(貼り付け用!L37)&gt;MATCH("おやつ",貼り付け用!$3:$3,0),"",
IF(VLOOKUP($A37,貼り付け用!$A$1:$BA$300,COLUMN(),FALSE)=0,"",VLOOKUP($A37,貼り付け用!$A$1:$BA$300,COLUMN(),FALSE))),"")</f>
        <v>#N/A</v>
      </c>
      <c r="M37" s="3" t="e">
        <f ca="1">IF($A37&lt;&gt;"",
IF(COLUMN(貼り付け用!M37)&gt;MATCH("おやつ",貼り付け用!$3:$3,0),"",
IF(VLOOKUP($A37,貼り付け用!$A$1:$BA$300,COLUMN(),FALSE)=0,"",VLOOKUP($A37,貼り付け用!$A$1:$BA$300,COLUMN(),FALSE))),"")</f>
        <v>#N/A</v>
      </c>
      <c r="N37" s="3" t="e">
        <f ca="1">IF($A37&lt;&gt;"",
IF(COLUMN(貼り付け用!N37)&gt;MATCH("おやつ",貼り付け用!$3:$3,0),"",
IF(VLOOKUP($A37,貼り付け用!$A$1:$BA$300,COLUMN(),FALSE)=0,"",VLOOKUP($A37,貼り付け用!$A$1:$BA$300,COLUMN(),FALSE))),"")</f>
        <v>#N/A</v>
      </c>
      <c r="O37" s="3" t="e">
        <f ca="1">IF($A37&lt;&gt;"",
IF(COLUMN(貼り付け用!O37)&gt;MATCH("おやつ",貼り付け用!$3:$3,0),"",
IF(VLOOKUP($A37,貼り付け用!$A$1:$BA$300,COLUMN(),FALSE)=0,"",VLOOKUP($A37,貼り付け用!$A$1:$BA$300,COLUMN(),FALSE))),"")</f>
        <v>#N/A</v>
      </c>
      <c r="P37" s="3" t="e">
        <f ca="1">IF($A37&lt;&gt;"",
IF(COLUMN(貼り付け用!P37)&gt;MATCH("おやつ",貼り付け用!$3:$3,0),"",
IF(VLOOKUP($A37,貼り付け用!$A$1:$BA$300,COLUMN(),FALSE)=0,"",VLOOKUP($A37,貼り付け用!$A$1:$BA$300,COLUMN(),FALSE))),"")</f>
        <v>#N/A</v>
      </c>
      <c r="Q37" s="3" t="e">
        <f ca="1">IF($A37&lt;&gt;"",
IF(COLUMN(貼り付け用!Q37)&gt;MATCH("おやつ",貼り付け用!$3:$3,0),"",
IF(VLOOKUP($A37,貼り付け用!$A$1:$BA$300,COLUMN(),FALSE)=0,"",VLOOKUP($A37,貼り付け用!$A$1:$BA$300,COLUMN(),FALSE))),"")</f>
        <v>#N/A</v>
      </c>
      <c r="R37" s="3" t="e">
        <f ca="1">IF($A37&lt;&gt;"",
IF(COLUMN(貼り付け用!R37)&gt;MATCH("おやつ",貼り付け用!$3:$3,0),"",
IF(VLOOKUP($A37,貼り付け用!$A$1:$BA$300,COLUMN(),FALSE)=0,"",VLOOKUP($A37,貼り付け用!$A$1:$BA$300,COLUMN(),FALSE))),"")</f>
        <v>#N/A</v>
      </c>
      <c r="S37" s="3" t="e">
        <f ca="1">IF($A37&lt;&gt;"",
IF(COLUMN(貼り付け用!S37)&gt;MATCH("おやつ",貼り付け用!$3:$3,0),"",
IF(VLOOKUP($A37,貼り付け用!$A$1:$BA$300,COLUMN(),FALSE)=0,"",VLOOKUP($A37,貼り付け用!$A$1:$BA$300,COLUMN(),FALSE))),"")</f>
        <v>#N/A</v>
      </c>
      <c r="T37" s="3" t="e">
        <f>IF(COLUMN(貼り付け用!T37)&gt;MATCH("おやつ",貼り付け用!$3:$3,0),"",
IF(VLOOKUP($A37,貼り付け用!$A$1:$BA$300,COLUMN(),FALSE)=0,"",VLOOKUP($A37,貼り付け用!$A$1:$BA$300,COLUMN(),FALSE)))</f>
        <v>#N/A</v>
      </c>
      <c r="U37" s="21"/>
      <c r="V37" s="55" t="e">
        <f ca="1">IF(A37&lt;&gt;"",
IF(VLOOKUP($A37,貼り付け用!$A$1:$BA$300,MATCH("おやつ",貼り付け用!$3:$3,0)+1,FALSE)=0,"",VLOOKUP($A37,貼り付け用!$A$1:$BA$300,MATCH("おやつ",貼り付け用!$3:$3,0)+1,FALSE)),"")</f>
        <v>#N/A</v>
      </c>
      <c r="W37" s="14" t="e">
        <f ca="1">IF(A37&lt;&gt;"",
IF(VLOOKUP($A37,貼り付け用!$A$1:$BA$300,MATCH("おやつ",貼り付け用!$3:$3,0)+2,FALSE)=0,"",VLOOKUP($A37,貼り付け用!$A$1:$BA$300,MATCH("おやつ",貼り付け用!$3:$3,0)+2,FALSE)),"")</f>
        <v>#N/A</v>
      </c>
    </row>
    <row r="38" spans="1:23">
      <c r="A38" s="4" t="e">
        <f t="array" aca="1" ref="A38" ca="1">IF(OR(COUNTIF(A36,"*合計*"),COUNTIF(A36,"")),"",INDEX(貼り付け用!$A:$A,MATCH(A36,貼り付け用!$A:$A,0)+2,0))</f>
        <v>#N/A</v>
      </c>
      <c r="B38" s="14" t="e">
        <f ca="1">IF($A38&lt;&gt;"",IF(VLOOKUP($A38,貼り付け用!$A$1:$BA$300,COLUMN(),FALSE)=0,"",VLOOKUP($A38,貼り付け用!$A$1:$BA$300,COLUMN(),FALSE)),"")</f>
        <v>#N/A</v>
      </c>
      <c r="C38" s="14" t="e">
        <f ca="1">IF($A38&lt;&gt;"",IF(VLOOKUP($A38,貼り付け用!$A$1:$BA$300,COLUMN(),FALSE)=0,"",VLOOKUP($A38,貼り付け用!$A$1:$BA$300,COLUMN(),FALSE)),"")</f>
        <v>#N/A</v>
      </c>
      <c r="D38" s="14" t="e">
        <f ca="1">IF($A38&lt;&gt;"",IF(VLOOKUP($A38,貼り付け用!$A$1:$BA$300,COLUMN(),FALSE)=0,"",VLOOKUP($A38,貼り付け用!$A$1:$BA$300,COLUMN(),FALSE)),"")</f>
        <v>#N/A</v>
      </c>
      <c r="E38" s="14" t="e">
        <f ca="1">IF($A38&lt;&gt;"",IF(VLOOKUP($A38,貼り付け用!$A$1:$BA$300,COLUMN(),FALSE)=0,"",VLOOKUP($A38,貼り付け用!$A$1:$BA$300,COLUMN(),FALSE)),"")</f>
        <v>#N/A</v>
      </c>
      <c r="F38" s="14" t="e">
        <f ca="1">IF($A38&lt;&gt;"",IF(VLOOKUP($A38,貼り付け用!$A$1:$BA$300,COLUMN(),FALSE)=0,"",VLOOKUP($A38,貼り付け用!$A$1:$BA$300,COLUMN(),FALSE)),"")</f>
        <v>#N/A</v>
      </c>
      <c r="G38" s="14" t="e">
        <f ca="1">IF($A38&lt;&gt;"",IF(VLOOKUP($A38,貼り付け用!$A$1:$BA$300,COLUMN(),FALSE)=0,"",VLOOKUP($A38,貼り付け用!$A$1:$BA$300,COLUMN(),FALSE)),"")</f>
        <v>#N/A</v>
      </c>
      <c r="H38" s="14" t="e">
        <f ca="1">IF($A38&lt;&gt;"",IF(VLOOKUP($A38,貼り付け用!$A$1:$BA$300,COLUMN(),FALSE)=0,"",VLOOKUP($A38,貼り付け用!$A$1:$BA$300,COLUMN(),FALSE)),"")</f>
        <v>#N/A</v>
      </c>
      <c r="I38" s="14" t="e">
        <f ca="1">IF($A38&lt;&gt;"",IF(VLOOKUP($A38,貼り付け用!$A$1:$BA$300,COLUMN(),FALSE)=0,"",VLOOKUP($A38,貼り付け用!$A$1:$BA$300,COLUMN(),FALSE)),"")</f>
        <v>#N/A</v>
      </c>
      <c r="J38" s="14" t="e">
        <f ca="1">IF($A38&lt;&gt;"",IF(VLOOKUP($A38,貼り付け用!$A$1:$BA$300,COLUMN(),FALSE)=0,"",VLOOKUP($A38,貼り付け用!$A$1:$BA$300,COLUMN(),FALSE)),"")</f>
        <v>#N/A</v>
      </c>
      <c r="K38" s="14" t="e">
        <f ca="1">IF($A38&lt;&gt;"",IF(VLOOKUP($A38,貼り付け用!$A$1:$BA$300,COLUMN(),FALSE)=0,"",VLOOKUP($A38,貼り付け用!$A$1:$BA$300,COLUMN(),FALSE)),"")</f>
        <v>#N/A</v>
      </c>
      <c r="L38" s="14" t="e">
        <f ca="1">IF($A38&lt;&gt;"",
IF(COLUMN(貼り付け用!L38)&gt;MATCH("おやつ",貼り付け用!$3:$3,0),"",
IF(VLOOKUP($A38,貼り付け用!$A$1:$BA$300,COLUMN(),FALSE)=0,"",VLOOKUP($A38,貼り付け用!$A$1:$BA$300,COLUMN(),FALSE))),"")</f>
        <v>#N/A</v>
      </c>
      <c r="M38" s="14" t="e">
        <f ca="1">IF($A38&lt;&gt;"",
IF(COLUMN(貼り付け用!M38)&gt;MATCH("おやつ",貼り付け用!$3:$3,0),"",
IF(VLOOKUP($A38,貼り付け用!$A$1:$BA$300,COLUMN(),FALSE)=0,"",VLOOKUP($A38,貼り付け用!$A$1:$BA$300,COLUMN(),FALSE))),"")</f>
        <v>#N/A</v>
      </c>
      <c r="N38" s="14" t="e">
        <f ca="1">IF($A38&lt;&gt;"",
IF(COLUMN(貼り付け用!N38)&gt;MATCH("おやつ",貼り付け用!$3:$3,0),"",
IF(VLOOKUP($A38,貼り付け用!$A$1:$BA$300,COLUMN(),FALSE)=0,"",VLOOKUP($A38,貼り付け用!$A$1:$BA$300,COLUMN(),FALSE))),"")</f>
        <v>#N/A</v>
      </c>
      <c r="O38" s="14" t="e">
        <f ca="1">IF($A38&lt;&gt;"",
IF(COLUMN(貼り付け用!O38)&gt;MATCH("おやつ",貼り付け用!$3:$3,0),"",
IF(VLOOKUP($A38,貼り付け用!$A$1:$BA$300,COLUMN(),FALSE)=0,"",VLOOKUP($A38,貼り付け用!$A$1:$BA$300,COLUMN(),FALSE))),"")</f>
        <v>#N/A</v>
      </c>
      <c r="P38" s="14" t="e">
        <f ca="1">IF($A38&lt;&gt;"",
IF(COLUMN(貼り付け用!P38)&gt;MATCH("おやつ",貼り付け用!$3:$3,0),"",
IF(VLOOKUP($A38,貼り付け用!$A$1:$BA$300,COLUMN(),FALSE)=0,"",VLOOKUP($A38,貼り付け用!$A$1:$BA$300,COLUMN(),FALSE))),"")</f>
        <v>#N/A</v>
      </c>
      <c r="Q38" s="14" t="e">
        <f ca="1">IF($A38&lt;&gt;"",
IF(COLUMN(貼り付け用!Q38)&gt;MATCH("おやつ",貼り付け用!$3:$3,0),"",
IF(VLOOKUP($A38,貼り付け用!$A$1:$BA$300,COLUMN(),FALSE)=0,"",VLOOKUP($A38,貼り付け用!$A$1:$BA$300,COLUMN(),FALSE))),"")</f>
        <v>#N/A</v>
      </c>
      <c r="R38" s="14" t="e">
        <f ca="1">IF($A38&lt;&gt;"",
IF(COLUMN(貼り付け用!R38)&gt;MATCH("おやつ",貼り付け用!$3:$3,0),"",
IF(VLOOKUP($A38,貼り付け用!$A$1:$BA$300,COLUMN(),FALSE)=0,"",VLOOKUP($A38,貼り付け用!$A$1:$BA$300,COLUMN(),FALSE))),"")</f>
        <v>#N/A</v>
      </c>
      <c r="S38" s="14" t="e">
        <f ca="1">IF($A38&lt;&gt;"",
IF(COLUMN(貼り付け用!S38)&gt;MATCH("おやつ",貼り付け用!$3:$3,0),"",
IF(VLOOKUP($A38,貼り付け用!$A$1:$BA$300,COLUMN(),FALSE)=0,"",VLOOKUP($A38,貼り付け用!$A$1:$BA$300,COLUMN(),FALSE))),"")</f>
        <v>#N/A</v>
      </c>
      <c r="T38" s="14" t="e">
        <f>IF(COLUMN(貼り付け用!T38)&gt;MATCH("おやつ",貼り付け用!$3:$3,0),"",
IF(VLOOKUP($A38,貼り付け用!$A$1:$BA$300,COLUMN(),FALSE)=0,"",VLOOKUP($A38,貼り付け用!$A$1:$BA$300,COLUMN(),FALSE)))</f>
        <v>#N/A</v>
      </c>
      <c r="U38" s="11"/>
      <c r="V38" s="55" t="e">
        <f ca="1">IF(A38&lt;&gt;"",
IF(VLOOKUP($A38,貼り付け用!$A$1:$BA$300,MATCH("おやつ",貼り付け用!$3:$3,0)+1,FALSE)=0,"",VLOOKUP($A38,貼り付け用!$A$1:$BA$300,MATCH("おやつ",貼り付け用!$3:$3,0)+1,FALSE)),"")</f>
        <v>#N/A</v>
      </c>
      <c r="W38" s="14" t="e">
        <f ca="1">IF(A38&lt;&gt;"",
IF(VLOOKUP($A38,貼り付け用!$A$1:$BA$300,MATCH("おやつ",貼り付け用!$3:$3,0)+2,FALSE)=0,"",VLOOKUP($A38,貼り付け用!$A$1:$BA$300,MATCH("おやつ",貼り付け用!$3:$3,0)+2,FALSE)),"")</f>
        <v>#N/A</v>
      </c>
    </row>
    <row r="39" spans="1:23">
      <c r="A39" s="8" t="e">
        <f t="array" aca="1" ref="A39" ca="1">IF(OR(COUNTIF(A37,"*1000*"),COUNTIF(A37,"")),"",INDEX(貼り付け用!$A:$A,MATCH(A37,貼り付け用!$A:$A,0)+2,0))</f>
        <v>#N/A</v>
      </c>
      <c r="B39" s="3" t="e">
        <f ca="1">IF($A39&lt;&gt;"",IF(VLOOKUP($A39,貼り付け用!$A$1:$BA$300,COLUMN(),FALSE)=0,"",VLOOKUP($A39,貼り付け用!$A$1:$BA$300,COLUMN(),FALSE)),"")</f>
        <v>#N/A</v>
      </c>
      <c r="C39" s="3" t="e">
        <f ca="1">IF($A39&lt;&gt;"",IF(VLOOKUP($A39,貼り付け用!$A$1:$BA$300,COLUMN(),FALSE)=0,"",VLOOKUP($A39,貼り付け用!$A$1:$BA$300,COLUMN(),FALSE)),"")</f>
        <v>#N/A</v>
      </c>
      <c r="D39" s="3" t="e">
        <f ca="1">IF($A39&lt;&gt;"",IF(VLOOKUP($A39,貼り付け用!$A$1:$BA$300,COLUMN(),FALSE)=0,"",VLOOKUP($A39,貼り付け用!$A$1:$BA$300,COLUMN(),FALSE)),"")</f>
        <v>#N/A</v>
      </c>
      <c r="E39" s="3" t="e">
        <f ca="1">IF($A39&lt;&gt;"",IF(VLOOKUP($A39,貼り付け用!$A$1:$BA$300,COLUMN(),FALSE)=0,"",VLOOKUP($A39,貼り付け用!$A$1:$BA$300,COLUMN(),FALSE)),"")</f>
        <v>#N/A</v>
      </c>
      <c r="F39" s="3" t="e">
        <f ca="1">IF($A39&lt;&gt;"",IF(VLOOKUP($A39,貼り付け用!$A$1:$BA$300,COLUMN(),FALSE)=0,"",VLOOKUP($A39,貼り付け用!$A$1:$BA$300,COLUMN(),FALSE)),"")</f>
        <v>#N/A</v>
      </c>
      <c r="G39" s="3" t="e">
        <f ca="1">IF($A39&lt;&gt;"",IF(VLOOKUP($A39,貼り付け用!$A$1:$BA$300,COLUMN(),FALSE)=0,"",VLOOKUP($A39,貼り付け用!$A$1:$BA$300,COLUMN(),FALSE)),"")</f>
        <v>#N/A</v>
      </c>
      <c r="H39" s="3" t="e">
        <f ca="1">IF($A39&lt;&gt;"",IF(VLOOKUP($A39,貼り付け用!$A$1:$BA$300,COLUMN(),FALSE)=0,"",VLOOKUP($A39,貼り付け用!$A$1:$BA$300,COLUMN(),FALSE)),"")</f>
        <v>#N/A</v>
      </c>
      <c r="I39" s="3" t="e">
        <f ca="1">IF($A39&lt;&gt;"",IF(VLOOKUP($A39,貼り付け用!$A$1:$BA$300,COLUMN(),FALSE)=0,"",VLOOKUP($A39,貼り付け用!$A$1:$BA$300,COLUMN(),FALSE)),"")</f>
        <v>#N/A</v>
      </c>
      <c r="J39" s="3" t="e">
        <f ca="1">IF($A39&lt;&gt;"",IF(VLOOKUP($A39,貼り付け用!$A$1:$BA$300,COLUMN(),FALSE)=0,"",VLOOKUP($A39,貼り付け用!$A$1:$BA$300,COLUMN(),FALSE)),"")</f>
        <v>#N/A</v>
      </c>
      <c r="K39" s="3" t="e">
        <f ca="1">IF($A39&lt;&gt;"",IF(VLOOKUP($A39,貼り付け用!$A$1:$BA$300,COLUMN(),FALSE)=0,"",VLOOKUP($A39,貼り付け用!$A$1:$BA$300,COLUMN(),FALSE)),"")</f>
        <v>#N/A</v>
      </c>
      <c r="L39" s="3" t="e">
        <f ca="1">IF($A39&lt;&gt;"",
IF(COLUMN(貼り付け用!L39)&gt;MATCH("おやつ",貼り付け用!$3:$3,0),"",
IF(VLOOKUP($A39,貼り付け用!$A$1:$BA$300,COLUMN(),FALSE)=0,"",VLOOKUP($A39,貼り付け用!$A$1:$BA$300,COLUMN(),FALSE))),"")</f>
        <v>#N/A</v>
      </c>
      <c r="M39" s="3" t="e">
        <f ca="1">IF($A39&lt;&gt;"",
IF(COLUMN(貼り付け用!M39)&gt;MATCH("おやつ",貼り付け用!$3:$3,0),"",
IF(VLOOKUP($A39,貼り付け用!$A$1:$BA$300,COLUMN(),FALSE)=0,"",VLOOKUP($A39,貼り付け用!$A$1:$BA$300,COLUMN(),FALSE))),"")</f>
        <v>#N/A</v>
      </c>
      <c r="N39" s="3" t="e">
        <f ca="1">IF($A39&lt;&gt;"",
IF(COLUMN(貼り付け用!N39)&gt;MATCH("おやつ",貼り付け用!$3:$3,0),"",
IF(VLOOKUP($A39,貼り付け用!$A$1:$BA$300,COLUMN(),FALSE)=0,"",VLOOKUP($A39,貼り付け用!$A$1:$BA$300,COLUMN(),FALSE))),"")</f>
        <v>#N/A</v>
      </c>
      <c r="O39" s="3" t="e">
        <f ca="1">IF($A39&lt;&gt;"",
IF(COLUMN(貼り付け用!O39)&gt;MATCH("おやつ",貼り付け用!$3:$3,0),"",
IF(VLOOKUP($A39,貼り付け用!$A$1:$BA$300,COLUMN(),FALSE)=0,"",VLOOKUP($A39,貼り付け用!$A$1:$BA$300,COLUMN(),FALSE))),"")</f>
        <v>#N/A</v>
      </c>
      <c r="P39" s="3" t="e">
        <f ca="1">IF($A39&lt;&gt;"",
IF(COLUMN(貼り付け用!P39)&gt;MATCH("おやつ",貼り付け用!$3:$3,0),"",
IF(VLOOKUP($A39,貼り付け用!$A$1:$BA$300,COLUMN(),FALSE)=0,"",VLOOKUP($A39,貼り付け用!$A$1:$BA$300,COLUMN(),FALSE))),"")</f>
        <v>#N/A</v>
      </c>
      <c r="Q39" s="3" t="e">
        <f ca="1">IF($A39&lt;&gt;"",
IF(COLUMN(貼り付け用!Q39)&gt;MATCH("おやつ",貼り付け用!$3:$3,0),"",
IF(VLOOKUP($A39,貼り付け用!$A$1:$BA$300,COLUMN(),FALSE)=0,"",VLOOKUP($A39,貼り付け用!$A$1:$BA$300,COLUMN(),FALSE))),"")</f>
        <v>#N/A</v>
      </c>
      <c r="R39" s="3" t="e">
        <f ca="1">IF($A39&lt;&gt;"",
IF(COLUMN(貼り付け用!R39)&gt;MATCH("おやつ",貼り付け用!$3:$3,0),"",
IF(VLOOKUP($A39,貼り付け用!$A$1:$BA$300,COLUMN(),FALSE)=0,"",VLOOKUP($A39,貼り付け用!$A$1:$BA$300,COLUMN(),FALSE))),"")</f>
        <v>#N/A</v>
      </c>
      <c r="S39" s="3" t="e">
        <f ca="1">IF($A39&lt;&gt;"",
IF(COLUMN(貼り付け用!S39)&gt;MATCH("おやつ",貼り付け用!$3:$3,0),"",
IF(VLOOKUP($A39,貼り付け用!$A$1:$BA$300,COLUMN(),FALSE)=0,"",VLOOKUP($A39,貼り付け用!$A$1:$BA$300,COLUMN(),FALSE))),"")</f>
        <v>#N/A</v>
      </c>
      <c r="T39" s="3" t="e">
        <f>IF(COLUMN(貼り付け用!T39)&gt;MATCH("おやつ",貼り付け用!$3:$3,0),"",
IF(VLOOKUP($A39,貼り付け用!$A$1:$BA$300,COLUMN(),FALSE)=0,"",VLOOKUP($A39,貼り付け用!$A$1:$BA$300,COLUMN(),FALSE)))</f>
        <v>#N/A</v>
      </c>
      <c r="U39" s="21"/>
      <c r="V39" s="55" t="e">
        <f ca="1">IF(A39&lt;&gt;"",
IF(VLOOKUP($A39,貼り付け用!$A$1:$BA$300,MATCH("おやつ",貼り付け用!$3:$3,0)+1,FALSE)=0,"",VLOOKUP($A39,貼り付け用!$A$1:$BA$300,MATCH("おやつ",貼り付け用!$3:$3,0)+1,FALSE)),"")</f>
        <v>#N/A</v>
      </c>
      <c r="W39" s="14" t="e">
        <f ca="1">IF(A39&lt;&gt;"",
IF(VLOOKUP($A39,貼り付け用!$A$1:$BA$300,MATCH("おやつ",貼り付け用!$3:$3,0)+2,FALSE)=0,"",VLOOKUP($A39,貼り付け用!$A$1:$BA$300,MATCH("おやつ",貼り付け用!$3:$3,0)+2,FALSE)),"")</f>
        <v>#N/A</v>
      </c>
    </row>
    <row r="40" spans="1:23">
      <c r="A40" s="4" t="e">
        <f>IF(貼り付け用!$A$6&lt;&gt;"",
IF(ROW(A39)+1&gt;=MATCH("*10000*", 貼り付け用!$A:$A, 0),
IF(COUNTIF(A38,"*10000*"),"10001",
IF(COUNTIF(A38,"*10001*"),"10002",
IF(COUNTIF(A38,"*10002*"),"",
IF(COUNTIF(A38,""),"","10000")))),
IF(貼り付け用!A40&lt;&gt;"",貼り付け用!A40,"")),
IF(ROW(A40)+1&gt;=MATCH("*10000*", 貼り付け用!$A:$A, 0),
IF(COUNTIF(A38,"*10000*"),"10001",
IF(COUNTIF(A38,"*10001*"),"10002",
IF(COUNTIF(A38,"*10002*"),"",
IF(COUNTIF(A38,""),"","10000")))),
IF(貼り付け用!A41&lt;&gt;"",貼り付け用!A41,"")))</f>
        <v>#N/A</v>
      </c>
      <c r="B40" s="14" t="e">
        <f>IF($A40&lt;&gt;"",IF(VLOOKUP($A40,貼り付け用!$A$1:$BA$300,COLUMN(),FALSE)=0,"",VLOOKUP($A40,貼り付け用!$A$1:$BA$300,COLUMN(),FALSE)),"")</f>
        <v>#N/A</v>
      </c>
      <c r="C40" s="14" t="e">
        <f>IF($A40&lt;&gt;"",IF(VLOOKUP($A40,貼り付け用!$A$1:$BA$300,COLUMN(),FALSE)=0,"",VLOOKUP($A40,貼り付け用!$A$1:$BA$300,COLUMN(),FALSE)),"")</f>
        <v>#N/A</v>
      </c>
      <c r="D40" s="14" t="e">
        <f>IF($A40&lt;&gt;"",IF(VLOOKUP($A40,貼り付け用!$A$1:$BA$300,COLUMN(),FALSE)=0,"",VLOOKUP($A40,貼り付け用!$A$1:$BA$300,COLUMN(),FALSE)),"")</f>
        <v>#N/A</v>
      </c>
      <c r="E40" s="14" t="e">
        <f>IF($A40&lt;&gt;"",IF(VLOOKUP($A40,貼り付け用!$A$1:$BA$300,COLUMN(),FALSE)=0,"",VLOOKUP($A40,貼り付け用!$A$1:$BA$300,COLUMN(),FALSE)),"")</f>
        <v>#N/A</v>
      </c>
      <c r="F40" s="14" t="e">
        <f>IF($A40&lt;&gt;"",IF(VLOOKUP($A40,貼り付け用!$A$1:$BA$300,COLUMN(),FALSE)=0,"",VLOOKUP($A40,貼り付け用!$A$1:$BA$300,COLUMN(),FALSE)),"")</f>
        <v>#N/A</v>
      </c>
      <c r="G40" s="14" t="e">
        <f>IF($A40&lt;&gt;"",IF(VLOOKUP($A40,貼り付け用!$A$1:$BA$300,COLUMN(),FALSE)=0,"",VLOOKUP($A40,貼り付け用!$A$1:$BA$300,COLUMN(),FALSE)),"")</f>
        <v>#N/A</v>
      </c>
      <c r="H40" s="14" t="e">
        <f>IF($A40&lt;&gt;"",IF(VLOOKUP($A40,貼り付け用!$A$1:$BA$300,COLUMN(),FALSE)=0,"",VLOOKUP($A40,貼り付け用!$A$1:$BA$300,COLUMN(),FALSE)),"")</f>
        <v>#N/A</v>
      </c>
      <c r="I40" s="14" t="e">
        <f>IF($A40&lt;&gt;"",IF(VLOOKUP($A40,貼り付け用!$A$1:$BA$300,COLUMN(),FALSE)=0,"",VLOOKUP($A40,貼り付け用!$A$1:$BA$300,COLUMN(),FALSE)),"")</f>
        <v>#N/A</v>
      </c>
      <c r="J40" s="14" t="e">
        <f>IF($A40&lt;&gt;"",IF(VLOOKUP($A40,貼り付け用!$A$1:$BA$300,COLUMN(),FALSE)=0,"",VLOOKUP($A40,貼り付け用!$A$1:$BA$300,COLUMN(),FALSE)),"")</f>
        <v>#N/A</v>
      </c>
      <c r="K40" s="14" t="e">
        <f>IF($A40&lt;&gt;"",IF(VLOOKUP($A40,貼り付け用!$A$1:$BA$300,COLUMN(),FALSE)=0,"",VLOOKUP($A40,貼り付け用!$A$1:$BA$300,COLUMN(),FALSE)),"")</f>
        <v>#N/A</v>
      </c>
      <c r="L40" s="14" t="e">
        <f>IF($A40&lt;&gt;"",
IF(COLUMN(貼り付け用!L40)&gt;MATCH("おやつ",貼り付け用!$3:$3,0),"",
IF(VLOOKUP($A40,貼り付け用!$A$1:$BA$300,COLUMN(),FALSE)=0,"",VLOOKUP($A40,貼り付け用!$A$1:$BA$300,COLUMN(),FALSE))),"")</f>
        <v>#N/A</v>
      </c>
      <c r="M40" s="14" t="e">
        <f>IF($A40&lt;&gt;"",
IF(COLUMN(貼り付け用!M40)&gt;MATCH("おやつ",貼り付け用!$3:$3,0),"",
IF(VLOOKUP($A40,貼り付け用!$A$1:$BA$300,COLUMN(),FALSE)=0,"",VLOOKUP($A40,貼り付け用!$A$1:$BA$300,COLUMN(),FALSE))),"")</f>
        <v>#N/A</v>
      </c>
      <c r="N40" s="14" t="e">
        <f>IF($A40&lt;&gt;"",
IF(COLUMN(貼り付け用!N40)&gt;MATCH("おやつ",貼り付け用!$3:$3,0),"",
IF(VLOOKUP($A40,貼り付け用!$A$1:$BA$300,COLUMN(),FALSE)=0,"",VLOOKUP($A40,貼り付け用!$A$1:$BA$300,COLUMN(),FALSE))),"")</f>
        <v>#N/A</v>
      </c>
      <c r="O40" s="14" t="e">
        <f>IF($A40&lt;&gt;"",
IF(COLUMN(貼り付け用!O40)&gt;MATCH("おやつ",貼り付け用!$3:$3,0),"",
IF(VLOOKUP($A40,貼り付け用!$A$1:$BA$300,COLUMN(),FALSE)=0,"",VLOOKUP($A40,貼り付け用!$A$1:$BA$300,COLUMN(),FALSE))),"")</f>
        <v>#N/A</v>
      </c>
      <c r="P40" s="14" t="e">
        <f>IF($A40&lt;&gt;"",
IF(COLUMN(貼り付け用!P40)&gt;MATCH("おやつ",貼り付け用!$3:$3,0),"",
IF(VLOOKUP($A40,貼り付け用!$A$1:$BA$300,COLUMN(),FALSE)=0,"",VLOOKUP($A40,貼り付け用!$A$1:$BA$300,COLUMN(),FALSE))),"")</f>
        <v>#N/A</v>
      </c>
      <c r="Q40" s="14" t="e">
        <f>IF($A40&lt;&gt;"",
IF(COLUMN(貼り付け用!Q40)&gt;MATCH("おやつ",貼り付け用!$3:$3,0),"",
IF(VLOOKUP($A40,貼り付け用!$A$1:$BA$300,COLUMN(),FALSE)=0,"",VLOOKUP($A40,貼り付け用!$A$1:$BA$300,COLUMN(),FALSE))),"")</f>
        <v>#N/A</v>
      </c>
      <c r="R40" s="14" t="e">
        <f>IF($A40&lt;&gt;"",
IF(COLUMN(貼り付け用!R40)&gt;MATCH("おやつ",貼り付け用!$3:$3,0),"",
IF(VLOOKUP($A40,貼り付け用!$A$1:$BA$300,COLUMN(),FALSE)=0,"",VLOOKUP($A40,貼り付け用!$A$1:$BA$300,COLUMN(),FALSE))),"")</f>
        <v>#N/A</v>
      </c>
      <c r="S40" s="14" t="e">
        <f>IF($A40&lt;&gt;"",
IF(COLUMN(貼り付け用!S40)&gt;MATCH("おやつ",貼り付け用!$3:$3,0),"",
IF(VLOOKUP($A40,貼り付け用!$A$1:$BA$300,COLUMN(),FALSE)=0,"",VLOOKUP($A40,貼り付け用!$A$1:$BA$300,COLUMN(),FALSE))),"")</f>
        <v>#N/A</v>
      </c>
      <c r="T40" s="14" t="e">
        <f>IF(COLUMN(貼り付け用!T40)&gt;MATCH("おやつ",貼り付け用!$3:$3,0),"",
IF(VLOOKUP($A40,貼り付け用!$A$1:$BA$300,COLUMN(),FALSE)=0,"",VLOOKUP($A40,貼り付け用!$A$1:$BA$300,COLUMN(),FALSE)))</f>
        <v>#N/A</v>
      </c>
      <c r="U40" s="11"/>
      <c r="V40" s="55" t="e">
        <f>IF(A40&lt;&gt;"",
IF(VLOOKUP($A40,貼り付け用!$A$1:$BA$300,MATCH("おやつ",貼り付け用!$3:$3,0)+1,FALSE)=0,"",VLOOKUP($A40,貼り付け用!$A$1:$BA$300,MATCH("おやつ",貼り付け用!$3:$3,0)+1,FALSE)),"")</f>
        <v>#N/A</v>
      </c>
      <c r="W40" s="14" t="e">
        <f>IF(A40&lt;&gt;"",
IF(VLOOKUP($A40,貼り付け用!$A$1:$BA$300,MATCH("おやつ",貼り付け用!$3:$3,0)+2,FALSE)=0,"",VLOOKUP($A40,貼り付け用!$A$1:$BA$300,MATCH("おやつ",貼り付け用!$3:$3,0)+2,FALSE)),"")</f>
        <v>#N/A</v>
      </c>
    </row>
    <row r="41" spans="1:23">
      <c r="A41" s="8" t="e">
        <f>IF(貼り付け用!$A$6&lt;&gt;"",
IF(ROW(A40)+1&gt;=MATCH("*10000*", 貼り付け用!$A:$A, 0),"",
IF(貼り付け用!A41&lt;&gt;"",貼り付け用!A41,"")),
IF(ROW(A41)+1&gt;=MATCH("*10000*", 貼り付け用!$A:$A, 0),"",
IF(貼り付け用!A42&lt;&gt;"",貼り付け用!A42,"")))</f>
        <v>#N/A</v>
      </c>
      <c r="B41" s="3" t="e">
        <f>IF($A41&lt;&gt;"",IF(VLOOKUP($A41,貼り付け用!$A$1:$BA$300,COLUMN(),FALSE)=0,"",VLOOKUP($A41,貼り付け用!$A$1:$BA$300,COLUMN(),FALSE)),"")</f>
        <v>#N/A</v>
      </c>
      <c r="C41" s="3" t="e">
        <f>IF($A41&lt;&gt;"",IF(VLOOKUP($A41,貼り付け用!$A$1:$BA$300,COLUMN(),FALSE)=0,"",VLOOKUP($A41,貼り付け用!$A$1:$BA$300,COLUMN(),FALSE)),"")</f>
        <v>#N/A</v>
      </c>
      <c r="D41" s="3" t="e">
        <f>IF($A41&lt;&gt;"",IF(VLOOKUP($A41,貼り付け用!$A$1:$BA$300,COLUMN(),FALSE)=0,"",VLOOKUP($A41,貼り付け用!$A$1:$BA$300,COLUMN(),FALSE)),"")</f>
        <v>#N/A</v>
      </c>
      <c r="E41" s="3" t="e">
        <f>IF($A41&lt;&gt;"",IF(VLOOKUP($A41,貼り付け用!$A$1:$BA$300,COLUMN(),FALSE)=0,"",VLOOKUP($A41,貼り付け用!$A$1:$BA$300,COLUMN(),FALSE)),"")</f>
        <v>#N/A</v>
      </c>
      <c r="F41" s="3" t="e">
        <f>IF($A41&lt;&gt;"",IF(VLOOKUP($A41,貼り付け用!$A$1:$BA$300,COLUMN(),FALSE)=0,"",VLOOKUP($A41,貼り付け用!$A$1:$BA$300,COLUMN(),FALSE)),"")</f>
        <v>#N/A</v>
      </c>
      <c r="G41" s="3" t="e">
        <f>IF($A41&lt;&gt;"",IF(VLOOKUP($A41,貼り付け用!$A$1:$BA$300,COLUMN(),FALSE)=0,"",VLOOKUP($A41,貼り付け用!$A$1:$BA$300,COLUMN(),FALSE)),"")</f>
        <v>#N/A</v>
      </c>
      <c r="H41" s="3" t="e">
        <f>IF($A41&lt;&gt;"",IF(VLOOKUP($A41,貼り付け用!$A$1:$BA$300,COLUMN(),FALSE)=0,"",VLOOKUP($A41,貼り付け用!$A$1:$BA$300,COLUMN(),FALSE)),"")</f>
        <v>#N/A</v>
      </c>
      <c r="I41" s="3" t="e">
        <f>IF($A41&lt;&gt;"",IF(VLOOKUP($A41,貼り付け用!$A$1:$BA$300,COLUMN(),FALSE)=0,"",VLOOKUP($A41,貼り付け用!$A$1:$BA$300,COLUMN(),FALSE)),"")</f>
        <v>#N/A</v>
      </c>
      <c r="J41" s="3" t="e">
        <f>IF($A41&lt;&gt;"",IF(VLOOKUP($A41,貼り付け用!$A$1:$BA$300,COLUMN(),FALSE)=0,"",VLOOKUP($A41,貼り付け用!$A$1:$BA$300,COLUMN(),FALSE)),"")</f>
        <v>#N/A</v>
      </c>
      <c r="K41" s="3" t="e">
        <f>IF($A41&lt;&gt;"",IF(VLOOKUP($A41,貼り付け用!$A$1:$BA$300,COLUMN(),FALSE)=0,"",VLOOKUP($A41,貼り付け用!$A$1:$BA$300,COLUMN(),FALSE)),"")</f>
        <v>#N/A</v>
      </c>
      <c r="L41" s="3" t="e">
        <f>IF($A41&lt;&gt;"",
IF(COLUMN(貼り付け用!L41)&gt;MATCH("おやつ",貼り付け用!$3:$3,0),"",
IF(VLOOKUP($A41,貼り付け用!$A$1:$BA$300,COLUMN(),FALSE)=0,"",VLOOKUP($A41,貼り付け用!$A$1:$BA$300,COLUMN(),FALSE))),"")</f>
        <v>#N/A</v>
      </c>
      <c r="M41" s="3" t="e">
        <f>IF($A41&lt;&gt;"",
IF(COLUMN(貼り付け用!M41)&gt;MATCH("おやつ",貼り付け用!$3:$3,0),"",
IF(VLOOKUP($A41,貼り付け用!$A$1:$BA$300,COLUMN(),FALSE)=0,"",VLOOKUP($A41,貼り付け用!$A$1:$BA$300,COLUMN(),FALSE))),"")</f>
        <v>#N/A</v>
      </c>
      <c r="N41" s="3" t="e">
        <f>IF($A41&lt;&gt;"",
IF(COLUMN(貼り付け用!N41)&gt;MATCH("おやつ",貼り付け用!$3:$3,0),"",
IF(VLOOKUP($A41,貼り付け用!$A$1:$BA$300,COLUMN(),FALSE)=0,"",VLOOKUP($A41,貼り付け用!$A$1:$BA$300,COLUMN(),FALSE))),"")</f>
        <v>#N/A</v>
      </c>
      <c r="O41" s="3" t="e">
        <f>IF($A41&lt;&gt;"",
IF(COLUMN(貼り付け用!O41)&gt;MATCH("おやつ",貼り付け用!$3:$3,0),"",
IF(VLOOKUP($A41,貼り付け用!$A$1:$BA$300,COLUMN(),FALSE)=0,"",VLOOKUP($A41,貼り付け用!$A$1:$BA$300,COLUMN(),FALSE))),"")</f>
        <v>#N/A</v>
      </c>
      <c r="P41" s="3" t="e">
        <f>IF($A41&lt;&gt;"",
IF(COLUMN(貼り付け用!P41)&gt;MATCH("おやつ",貼り付け用!$3:$3,0),"",
IF(VLOOKUP($A41,貼り付け用!$A$1:$BA$300,COLUMN(),FALSE)=0,"",VLOOKUP($A41,貼り付け用!$A$1:$BA$300,COLUMN(),FALSE))),"")</f>
        <v>#N/A</v>
      </c>
      <c r="Q41" s="3" t="e">
        <f>IF($A41&lt;&gt;"",
IF(COLUMN(貼り付け用!Q41)&gt;MATCH("おやつ",貼り付け用!$3:$3,0),"",
IF(VLOOKUP($A41,貼り付け用!$A$1:$BA$300,COLUMN(),FALSE)=0,"",VLOOKUP($A41,貼り付け用!$A$1:$BA$300,COLUMN(),FALSE))),"")</f>
        <v>#N/A</v>
      </c>
      <c r="R41" s="3" t="e">
        <f>IF($A41&lt;&gt;"",
IF(COLUMN(貼り付け用!R41)&gt;MATCH("おやつ",貼り付け用!$3:$3,0),"",
IF(VLOOKUP($A41,貼り付け用!$A$1:$BA$300,COLUMN(),FALSE)=0,"",VLOOKUP($A41,貼り付け用!$A$1:$BA$300,COLUMN(),FALSE))),"")</f>
        <v>#N/A</v>
      </c>
      <c r="S41" s="3" t="e">
        <f>IF($A41&lt;&gt;"",
IF(COLUMN(貼り付け用!S41)&gt;MATCH("おやつ",貼り付け用!$3:$3,0),"",
IF(VLOOKUP($A41,貼り付け用!$A$1:$BA$300,COLUMN(),FALSE)=0,"",VLOOKUP($A41,貼り付け用!$A$1:$BA$300,COLUMN(),FALSE))),"")</f>
        <v>#N/A</v>
      </c>
      <c r="T41" s="3" t="e">
        <f>IF(COLUMN(貼り付け用!T41)&gt;MATCH("おやつ",貼り付け用!$3:$3,0),"",
IF(VLOOKUP($A41,貼り付け用!$A$1:$BA$300,COLUMN(),FALSE)=0,"",VLOOKUP($A41,貼り付け用!$A$1:$BA$300,COLUMN(),FALSE)))</f>
        <v>#N/A</v>
      </c>
      <c r="U41" s="21"/>
      <c r="V41" s="55" t="e">
        <f>IF(A41&lt;&gt;"",
IF(VLOOKUP($A41,貼り付け用!$A$1:$BA$300,MATCH("おやつ",貼り付け用!$3:$3,0)+1,FALSE)=0,"",VLOOKUP($A41,貼り付け用!$A$1:$BA$300,MATCH("おやつ",貼り付け用!$3:$3,0)+1,FALSE)),"")</f>
        <v>#N/A</v>
      </c>
      <c r="W41" s="14" t="e">
        <f>IF(A41&lt;&gt;"",
IF(VLOOKUP($A41,貼り付け用!$A$1:$BA$300,MATCH("おやつ",貼り付け用!$3:$3,0)+2,FALSE)=0,"",VLOOKUP($A41,貼り付け用!$A$1:$BA$300,MATCH("おやつ",貼り付け用!$3:$3,0)+2,FALSE)),"")</f>
        <v>#N/A</v>
      </c>
    </row>
    <row r="42" spans="1:23">
      <c r="A42" s="4" t="e">
        <f>IF(貼り付け用!$A$6&lt;&gt;"",
IF(ROW(A41)+1&gt;=MATCH("*10000*", 貼り付け用!$A:$A, 0),
IF(COUNTIF(A40,"*10000*"),"10001",
IF(COUNTIF(A40,"*10001*"),"10002",
IF(COUNTIF(A40,"*10002*"),"",
IF(COUNTIF(A40,""),"","10000")))),
IF(貼り付け用!A42&lt;&gt;"",貼り付け用!A42,"")),
IF(ROW(A42)+1&gt;=MATCH("*10000*", 貼り付け用!$A:$A, 0),
IF(COUNTIF(A40,"*10000*"),"10001",
IF(COUNTIF(A40,"*10001*"),"10002",
IF(COUNTIF(A40,"*10002*"),"",
IF(COUNTIF(A40,""),"","10000")))),
IF(貼り付け用!A43&lt;&gt;"",貼り付け用!A43,"")))</f>
        <v>#N/A</v>
      </c>
      <c r="B42" s="14" t="e">
        <f>IF($A42&lt;&gt;"",IF(VLOOKUP($A42,貼り付け用!$A$1:$BA$300,COLUMN(),FALSE)=0,"",VLOOKUP($A42,貼り付け用!$A$1:$BA$300,COLUMN(),FALSE)),"")</f>
        <v>#N/A</v>
      </c>
      <c r="C42" s="14" t="e">
        <f>IF($A42&lt;&gt;"",IF(VLOOKUP($A42,貼り付け用!$A$1:$BA$300,COLUMN(),FALSE)=0,"",VLOOKUP($A42,貼り付け用!$A$1:$BA$300,COLUMN(),FALSE)),"")</f>
        <v>#N/A</v>
      </c>
      <c r="D42" s="14" t="e">
        <f>IF($A42&lt;&gt;"",IF(VLOOKUP($A42,貼り付け用!$A$1:$BA$300,COLUMN(),FALSE)=0,"",VLOOKUP($A42,貼り付け用!$A$1:$BA$300,COLUMN(),FALSE)),"")</f>
        <v>#N/A</v>
      </c>
      <c r="E42" s="14" t="e">
        <f>IF($A42&lt;&gt;"",IF(VLOOKUP($A42,貼り付け用!$A$1:$BA$300,COLUMN(),FALSE)=0,"",VLOOKUP($A42,貼り付け用!$A$1:$BA$300,COLUMN(),FALSE)),"")</f>
        <v>#N/A</v>
      </c>
      <c r="F42" s="14" t="e">
        <f>IF($A42&lt;&gt;"",IF(VLOOKUP($A42,貼り付け用!$A$1:$BA$300,COLUMN(),FALSE)=0,"",VLOOKUP($A42,貼り付け用!$A$1:$BA$300,COLUMN(),FALSE)),"")</f>
        <v>#N/A</v>
      </c>
      <c r="G42" s="14" t="e">
        <f>IF($A42&lt;&gt;"",IF(VLOOKUP($A42,貼り付け用!$A$1:$BA$300,COLUMN(),FALSE)=0,"",VLOOKUP($A42,貼り付け用!$A$1:$BA$300,COLUMN(),FALSE)),"")</f>
        <v>#N/A</v>
      </c>
      <c r="H42" s="14" t="e">
        <f>IF($A42&lt;&gt;"",IF(VLOOKUP($A42,貼り付け用!$A$1:$BA$300,COLUMN(),FALSE)=0,"",VLOOKUP($A42,貼り付け用!$A$1:$BA$300,COLUMN(),FALSE)),"")</f>
        <v>#N/A</v>
      </c>
      <c r="I42" s="14" t="e">
        <f>IF($A42&lt;&gt;"",IF(VLOOKUP($A42,貼り付け用!$A$1:$BA$300,COLUMN(),FALSE)=0,"",VLOOKUP($A42,貼り付け用!$A$1:$BA$300,COLUMN(),FALSE)),"")</f>
        <v>#N/A</v>
      </c>
      <c r="J42" s="14" t="e">
        <f>IF($A42&lt;&gt;"",IF(VLOOKUP($A42,貼り付け用!$A$1:$BA$300,COLUMN(),FALSE)=0,"",VLOOKUP($A42,貼り付け用!$A$1:$BA$300,COLUMN(),FALSE)),"")</f>
        <v>#N/A</v>
      </c>
      <c r="K42" s="14" t="e">
        <f>IF($A42&lt;&gt;"",IF(VLOOKUP($A42,貼り付け用!$A$1:$BA$300,COLUMN(),FALSE)=0,"",VLOOKUP($A42,貼り付け用!$A$1:$BA$300,COLUMN(),FALSE)),"")</f>
        <v>#N/A</v>
      </c>
      <c r="L42" s="14" t="e">
        <f>IF($A42&lt;&gt;"",
IF(COLUMN(貼り付け用!L42)&gt;MATCH("おやつ",貼り付け用!$3:$3,0),"",
IF(VLOOKUP($A42,貼り付け用!$A$1:$BA$300,COLUMN(),FALSE)=0,"",VLOOKUP($A42,貼り付け用!$A$1:$BA$300,COLUMN(),FALSE))),"")</f>
        <v>#N/A</v>
      </c>
      <c r="M42" s="14" t="e">
        <f>IF($A42&lt;&gt;"",
IF(COLUMN(貼り付け用!M42)&gt;MATCH("おやつ",貼り付け用!$3:$3,0),"",
IF(VLOOKUP($A42,貼り付け用!$A$1:$BA$300,COLUMN(),FALSE)=0,"",VLOOKUP($A42,貼り付け用!$A$1:$BA$300,COLUMN(),FALSE))),"")</f>
        <v>#N/A</v>
      </c>
      <c r="N42" s="14" t="e">
        <f>IF($A42&lt;&gt;"",
IF(COLUMN(貼り付け用!N42)&gt;MATCH("おやつ",貼り付け用!$3:$3,0),"",
IF(VLOOKUP($A42,貼り付け用!$A$1:$BA$300,COLUMN(),FALSE)=0,"",VLOOKUP($A42,貼り付け用!$A$1:$BA$300,COLUMN(),FALSE))),"")</f>
        <v>#N/A</v>
      </c>
      <c r="O42" s="14" t="e">
        <f>IF($A42&lt;&gt;"",
IF(COLUMN(貼り付け用!O42)&gt;MATCH("おやつ",貼り付け用!$3:$3,0),"",
IF(VLOOKUP($A42,貼り付け用!$A$1:$BA$300,COLUMN(),FALSE)=0,"",VLOOKUP($A42,貼り付け用!$A$1:$BA$300,COLUMN(),FALSE))),"")</f>
        <v>#N/A</v>
      </c>
      <c r="P42" s="14" t="e">
        <f>IF($A42&lt;&gt;"",
IF(COLUMN(貼り付け用!P42)&gt;MATCH("おやつ",貼り付け用!$3:$3,0),"",
IF(VLOOKUP($A42,貼り付け用!$A$1:$BA$300,COLUMN(),FALSE)=0,"",VLOOKUP($A42,貼り付け用!$A$1:$BA$300,COLUMN(),FALSE))),"")</f>
        <v>#N/A</v>
      </c>
      <c r="Q42" s="14" t="e">
        <f>IF($A42&lt;&gt;"",
IF(COLUMN(貼り付け用!Q42)&gt;MATCH("おやつ",貼り付け用!$3:$3,0),"",
IF(VLOOKUP($A42,貼り付け用!$A$1:$BA$300,COLUMN(),FALSE)=0,"",VLOOKUP($A42,貼り付け用!$A$1:$BA$300,COLUMN(),FALSE))),"")</f>
        <v>#N/A</v>
      </c>
      <c r="R42" s="14" t="e">
        <f>IF($A42&lt;&gt;"",
IF(COLUMN(貼り付け用!R42)&gt;MATCH("おやつ",貼り付け用!$3:$3,0),"",
IF(VLOOKUP($A42,貼り付け用!$A$1:$BA$300,COLUMN(),FALSE)=0,"",VLOOKUP($A42,貼り付け用!$A$1:$BA$300,COLUMN(),FALSE))),"")</f>
        <v>#N/A</v>
      </c>
      <c r="S42" s="14" t="e">
        <f>IF($A42&lt;&gt;"",
IF(COLUMN(貼り付け用!S42)&gt;MATCH("おやつ",貼り付け用!$3:$3,0),"",
IF(VLOOKUP($A42,貼り付け用!$A$1:$BA$300,COLUMN(),FALSE)=0,"",VLOOKUP($A42,貼り付け用!$A$1:$BA$300,COLUMN(),FALSE))),"")</f>
        <v>#N/A</v>
      </c>
      <c r="T42" s="14" t="e">
        <f>IF(COLUMN(貼り付け用!T42)&gt;MATCH("おやつ",貼り付け用!$3:$3,0),"",
IF(VLOOKUP($A42,貼り付け用!$A$1:$BA$300,COLUMN(),FALSE)=0,"",VLOOKUP($A42,貼り付け用!$A$1:$BA$300,COLUMN(),FALSE)))</f>
        <v>#N/A</v>
      </c>
      <c r="U42" s="11"/>
      <c r="V42" s="55" t="e">
        <f>IF(A42&lt;&gt;"",
IF(VLOOKUP($A42,貼り付け用!$A$1:$BA$300,MATCH("おやつ",貼り付け用!$3:$3,0)+1,FALSE)=0,"",VLOOKUP($A42,貼り付け用!$A$1:$BA$300,MATCH("おやつ",貼り付け用!$3:$3,0)+1,FALSE)),"")</f>
        <v>#N/A</v>
      </c>
      <c r="W42" s="14" t="e">
        <f>IF(A42&lt;&gt;"",
IF(VLOOKUP($A42,貼り付け用!$A$1:$BA$300,MATCH("おやつ",貼り付け用!$3:$3,0)+2,FALSE)=0,"",VLOOKUP($A42,貼り付け用!$A$1:$BA$300,MATCH("おやつ",貼り付け用!$3:$3,0)+2,FALSE)),"")</f>
        <v>#N/A</v>
      </c>
    </row>
    <row r="43" spans="1:23">
      <c r="A43" s="8" t="e">
        <f>IF(貼り付け用!$A$6&lt;&gt;"",
IF(ROW(A42)+1&gt;=MATCH("*10000*", 貼り付け用!$A:$A, 0),"",
IF(貼り付け用!A43&lt;&gt;"",貼り付け用!A43,"")),
IF(ROW(A43)+1&gt;=MATCH("*10000*", 貼り付け用!$A:$A, 0),"",
IF(貼り付け用!A44&lt;&gt;"",貼り付け用!A44,"")))</f>
        <v>#N/A</v>
      </c>
      <c r="B43" s="3" t="e">
        <f>IF($A43&lt;&gt;"",IF(VLOOKUP($A43,貼り付け用!$A$1:$BA$300,COLUMN(),FALSE)=0,"",VLOOKUP($A43,貼り付け用!$A$1:$BA$300,COLUMN(),FALSE)),"")</f>
        <v>#N/A</v>
      </c>
      <c r="C43" s="3" t="e">
        <f>IF($A43&lt;&gt;"",IF(VLOOKUP($A43,貼り付け用!$A$1:$BA$300,COLUMN(),FALSE)=0,"",VLOOKUP($A43,貼り付け用!$A$1:$BA$300,COLUMN(),FALSE)),"")</f>
        <v>#N/A</v>
      </c>
      <c r="D43" s="3" t="e">
        <f>IF($A43&lt;&gt;"",IF(VLOOKUP($A43,貼り付け用!$A$1:$BA$300,COLUMN(),FALSE)=0,"",VLOOKUP($A43,貼り付け用!$A$1:$BA$300,COLUMN(),FALSE)),"")</f>
        <v>#N/A</v>
      </c>
      <c r="E43" s="3" t="e">
        <f>IF($A43&lt;&gt;"",IF(VLOOKUP($A43,貼り付け用!$A$1:$BA$300,COLUMN(),FALSE)=0,"",VLOOKUP($A43,貼り付け用!$A$1:$BA$300,COLUMN(),FALSE)),"")</f>
        <v>#N/A</v>
      </c>
      <c r="F43" s="3" t="e">
        <f>IF($A43&lt;&gt;"",IF(VLOOKUP($A43,貼り付け用!$A$1:$BA$300,COLUMN(),FALSE)=0,"",VLOOKUP($A43,貼り付け用!$A$1:$BA$300,COLUMN(),FALSE)),"")</f>
        <v>#N/A</v>
      </c>
      <c r="G43" s="3" t="e">
        <f>IF($A43&lt;&gt;"",IF(VLOOKUP($A43,貼り付け用!$A$1:$BA$300,COLUMN(),FALSE)=0,"",VLOOKUP($A43,貼り付け用!$A$1:$BA$300,COLUMN(),FALSE)),"")</f>
        <v>#N/A</v>
      </c>
      <c r="H43" s="3" t="e">
        <f>IF($A43&lt;&gt;"",IF(VLOOKUP($A43,貼り付け用!$A$1:$BA$300,COLUMN(),FALSE)=0,"",VLOOKUP($A43,貼り付け用!$A$1:$BA$300,COLUMN(),FALSE)),"")</f>
        <v>#N/A</v>
      </c>
      <c r="I43" s="3" t="e">
        <f>IF($A43&lt;&gt;"",IF(VLOOKUP($A43,貼り付け用!$A$1:$BA$300,COLUMN(),FALSE)=0,"",VLOOKUP($A43,貼り付け用!$A$1:$BA$300,COLUMN(),FALSE)),"")</f>
        <v>#N/A</v>
      </c>
      <c r="J43" s="3" t="e">
        <f>IF($A43&lt;&gt;"",IF(VLOOKUP($A43,貼り付け用!$A$1:$BA$300,COLUMN(),FALSE)=0,"",VLOOKUP($A43,貼り付け用!$A$1:$BA$300,COLUMN(),FALSE)),"")</f>
        <v>#N/A</v>
      </c>
      <c r="K43" s="3" t="e">
        <f>IF($A43&lt;&gt;"",IF(VLOOKUP($A43,貼り付け用!$A$1:$BA$300,COLUMN(),FALSE)=0,"",VLOOKUP($A43,貼り付け用!$A$1:$BA$300,COLUMN(),FALSE)),"")</f>
        <v>#N/A</v>
      </c>
      <c r="L43" s="3" t="e">
        <f>IF($A43&lt;&gt;"",
IF(COLUMN(貼り付け用!L43)&gt;MATCH("おやつ",貼り付け用!$3:$3,0),"",
IF(VLOOKUP($A43,貼り付け用!$A$1:$BA$300,COLUMN(),FALSE)=0,"",VLOOKUP($A43,貼り付け用!$A$1:$BA$300,COLUMN(),FALSE))),"")</f>
        <v>#N/A</v>
      </c>
      <c r="M43" s="3" t="e">
        <f>IF($A43&lt;&gt;"",
IF(COLUMN(貼り付け用!M43)&gt;MATCH("おやつ",貼り付け用!$3:$3,0),"",
IF(VLOOKUP($A43,貼り付け用!$A$1:$BA$300,COLUMN(),FALSE)=0,"",VLOOKUP($A43,貼り付け用!$A$1:$BA$300,COLUMN(),FALSE))),"")</f>
        <v>#N/A</v>
      </c>
      <c r="N43" s="3" t="e">
        <f>IF($A43&lt;&gt;"",
IF(COLUMN(貼り付け用!N43)&gt;MATCH("おやつ",貼り付け用!$3:$3,0),"",
IF(VLOOKUP($A43,貼り付け用!$A$1:$BA$300,COLUMN(),FALSE)=0,"",VLOOKUP($A43,貼り付け用!$A$1:$BA$300,COLUMN(),FALSE))),"")</f>
        <v>#N/A</v>
      </c>
      <c r="O43" s="3" t="e">
        <f>IF($A43&lt;&gt;"",
IF(COLUMN(貼り付け用!O43)&gt;MATCH("おやつ",貼り付け用!$3:$3,0),"",
IF(VLOOKUP($A43,貼り付け用!$A$1:$BA$300,COLUMN(),FALSE)=0,"",VLOOKUP($A43,貼り付け用!$A$1:$BA$300,COLUMN(),FALSE))),"")</f>
        <v>#N/A</v>
      </c>
      <c r="P43" s="3" t="e">
        <f>IF($A43&lt;&gt;"",
IF(COLUMN(貼り付け用!P43)&gt;MATCH("おやつ",貼り付け用!$3:$3,0),"",
IF(VLOOKUP($A43,貼り付け用!$A$1:$BA$300,COLUMN(),FALSE)=0,"",VLOOKUP($A43,貼り付け用!$A$1:$BA$300,COLUMN(),FALSE))),"")</f>
        <v>#N/A</v>
      </c>
      <c r="Q43" s="3" t="e">
        <f>IF($A43&lt;&gt;"",
IF(COLUMN(貼り付け用!Q43)&gt;MATCH("おやつ",貼り付け用!$3:$3,0),"",
IF(VLOOKUP($A43,貼り付け用!$A$1:$BA$300,COLUMN(),FALSE)=0,"",VLOOKUP($A43,貼り付け用!$A$1:$BA$300,COLUMN(),FALSE))),"")</f>
        <v>#N/A</v>
      </c>
      <c r="R43" s="3" t="e">
        <f>IF($A43&lt;&gt;"",
IF(COLUMN(貼り付け用!R43)&gt;MATCH("おやつ",貼り付け用!$3:$3,0),"",
IF(VLOOKUP($A43,貼り付け用!$A$1:$BA$300,COLUMN(),FALSE)=0,"",VLOOKUP($A43,貼り付け用!$A$1:$BA$300,COLUMN(),FALSE))),"")</f>
        <v>#N/A</v>
      </c>
      <c r="S43" s="3" t="e">
        <f>IF($A43&lt;&gt;"",
IF(COLUMN(貼り付け用!S43)&gt;MATCH("おやつ",貼り付け用!$3:$3,0),"",
IF(VLOOKUP($A43,貼り付け用!$A$1:$BA$300,COLUMN(),FALSE)=0,"",VLOOKUP($A43,貼り付け用!$A$1:$BA$300,COLUMN(),FALSE))),"")</f>
        <v>#N/A</v>
      </c>
      <c r="T43" s="3" t="e">
        <f>IF(COLUMN(貼り付け用!T43)&gt;MATCH("おやつ",貼り付け用!$3:$3,0),"",
IF(VLOOKUP($A43,貼り付け用!$A$1:$BA$300,COLUMN(),FALSE)=0,"",VLOOKUP($A43,貼り付け用!$A$1:$BA$300,COLUMN(),FALSE)))</f>
        <v>#N/A</v>
      </c>
      <c r="U43" s="21"/>
      <c r="V43" s="55" t="e">
        <f>IF(A43&lt;&gt;"",
IF(VLOOKUP($A43,貼り付け用!$A$1:$BA$300,MATCH("おやつ",貼り付け用!$3:$3,0)+1,FALSE)=0,"",VLOOKUP($A43,貼り付け用!$A$1:$BA$300,MATCH("おやつ",貼り付け用!$3:$3,0)+1,FALSE)),"")</f>
        <v>#N/A</v>
      </c>
      <c r="W43" s="14" t="e">
        <f>IF(A43&lt;&gt;"",
IF(VLOOKUP($A43,貼り付け用!$A$1:$BA$300,MATCH("おやつ",貼り付け用!$3:$3,0)+2,FALSE)=0,"",VLOOKUP($A43,貼り付け用!$A$1:$BA$300,MATCH("おやつ",貼り付け用!$3:$3,0)+2,FALSE)),"")</f>
        <v>#N/A</v>
      </c>
    </row>
    <row r="44" spans="1:23">
      <c r="A44" s="4" t="e">
        <f>IF(貼り付け用!$A$6&lt;&gt;"",
IF(ROW(A43)+1&gt;=MATCH("*10000*", 貼り付け用!$A:$A, 0),
IF(COUNTIF(A42,"*10000*"),"10001",
IF(COUNTIF(A42,"*10001*"),"10002",
IF(COUNTIF(A42,"*10002*"),"",
IF(COUNTIF(A42,""),"","10000")))),
IF(貼り付け用!A44&lt;&gt;"",貼り付け用!A44,"")),
IF(ROW(A44)+1&gt;=MATCH("*10000*", 貼り付け用!$A:$A, 0),
IF(COUNTIF(A42,"*10000*"),"10001",
IF(COUNTIF(A42,"*10001*"),"10002",
IF(COUNTIF(A42,"*10002*"),"",
IF(COUNTIF(A42,""),"","10000")))),
IF(貼り付け用!A45&lt;&gt;"",貼り付け用!A45,"")))</f>
        <v>#N/A</v>
      </c>
      <c r="B44" s="14" t="e">
        <f>IF($A44&lt;&gt;"",IF(VLOOKUP($A44,貼り付け用!$A$1:$BA$300,COLUMN(),FALSE)=0,"",VLOOKUP($A44,貼り付け用!$A$1:$BA$300,COLUMN(),FALSE)),"")</f>
        <v>#N/A</v>
      </c>
      <c r="C44" s="14" t="e">
        <f>IF($A44&lt;&gt;"",IF(VLOOKUP($A44,貼り付け用!$A$1:$BA$300,COLUMN(),FALSE)=0,"",VLOOKUP($A44,貼り付け用!$A$1:$BA$300,COLUMN(),FALSE)),"")</f>
        <v>#N/A</v>
      </c>
      <c r="D44" s="14" t="e">
        <f>IF($A44&lt;&gt;"",IF(VLOOKUP($A44,貼り付け用!$A$1:$BA$300,COLUMN(),FALSE)=0,"",VLOOKUP($A44,貼り付け用!$A$1:$BA$300,COLUMN(),FALSE)),"")</f>
        <v>#N/A</v>
      </c>
      <c r="E44" s="14" t="e">
        <f>IF($A44&lt;&gt;"",IF(VLOOKUP($A44,貼り付け用!$A$1:$BA$300,COLUMN(),FALSE)=0,"",VLOOKUP($A44,貼り付け用!$A$1:$BA$300,COLUMN(),FALSE)),"")</f>
        <v>#N/A</v>
      </c>
      <c r="F44" s="14" t="e">
        <f>IF($A44&lt;&gt;"",IF(VLOOKUP($A44,貼り付け用!$A$1:$BA$300,COLUMN(),FALSE)=0,"",VLOOKUP($A44,貼り付け用!$A$1:$BA$300,COLUMN(),FALSE)),"")</f>
        <v>#N/A</v>
      </c>
      <c r="G44" s="14" t="e">
        <f>IF($A44&lt;&gt;"",IF(VLOOKUP($A44,貼り付け用!$A$1:$BA$300,COLUMN(),FALSE)=0,"",VLOOKUP($A44,貼り付け用!$A$1:$BA$300,COLUMN(),FALSE)),"")</f>
        <v>#N/A</v>
      </c>
      <c r="H44" s="14" t="e">
        <f>IF($A44&lt;&gt;"",IF(VLOOKUP($A44,貼り付け用!$A$1:$BA$300,COLUMN(),FALSE)=0,"",VLOOKUP($A44,貼り付け用!$A$1:$BA$300,COLUMN(),FALSE)),"")</f>
        <v>#N/A</v>
      </c>
      <c r="I44" s="14" t="e">
        <f>IF($A44&lt;&gt;"",IF(VLOOKUP($A44,貼り付け用!$A$1:$BA$300,COLUMN(),FALSE)=0,"",VLOOKUP($A44,貼り付け用!$A$1:$BA$300,COLUMN(),FALSE)),"")</f>
        <v>#N/A</v>
      </c>
      <c r="J44" s="14" t="e">
        <f>IF($A44&lt;&gt;"",IF(VLOOKUP($A44,貼り付け用!$A$1:$BA$300,COLUMN(),FALSE)=0,"",VLOOKUP($A44,貼り付け用!$A$1:$BA$300,COLUMN(),FALSE)),"")</f>
        <v>#N/A</v>
      </c>
      <c r="K44" s="14" t="e">
        <f>IF($A44&lt;&gt;"",IF(VLOOKUP($A44,貼り付け用!$A$1:$BA$300,COLUMN(),FALSE)=0,"",VLOOKUP($A44,貼り付け用!$A$1:$BA$300,COLUMN(),FALSE)),"")</f>
        <v>#N/A</v>
      </c>
      <c r="L44" s="14" t="e">
        <f>IF($A44&lt;&gt;"",
IF(COLUMN(貼り付け用!L44)&gt;MATCH("おやつ",貼り付け用!$3:$3,0),"",
IF(VLOOKUP($A44,貼り付け用!$A$1:$BA$300,COLUMN(),FALSE)=0,"",VLOOKUP($A44,貼り付け用!$A$1:$BA$300,COLUMN(),FALSE))),"")</f>
        <v>#N/A</v>
      </c>
      <c r="M44" s="14" t="e">
        <f>IF($A44&lt;&gt;"",
IF(COLUMN(貼り付け用!M44)&gt;MATCH("おやつ",貼り付け用!$3:$3,0),"",
IF(VLOOKUP($A44,貼り付け用!$A$1:$BA$300,COLUMN(),FALSE)=0,"",VLOOKUP($A44,貼り付け用!$A$1:$BA$300,COLUMN(),FALSE))),"")</f>
        <v>#N/A</v>
      </c>
      <c r="N44" s="14" t="e">
        <f>IF($A44&lt;&gt;"",
IF(COLUMN(貼り付け用!N44)&gt;MATCH("おやつ",貼り付け用!$3:$3,0),"",
IF(VLOOKUP($A44,貼り付け用!$A$1:$BA$300,COLUMN(),FALSE)=0,"",VLOOKUP($A44,貼り付け用!$A$1:$BA$300,COLUMN(),FALSE))),"")</f>
        <v>#N/A</v>
      </c>
      <c r="O44" s="14" t="e">
        <f>IF($A44&lt;&gt;"",
IF(COLUMN(貼り付け用!O44)&gt;MATCH("おやつ",貼り付け用!$3:$3,0),"",
IF(VLOOKUP($A44,貼り付け用!$A$1:$BA$300,COLUMN(),FALSE)=0,"",VLOOKUP($A44,貼り付け用!$A$1:$BA$300,COLUMN(),FALSE))),"")</f>
        <v>#N/A</v>
      </c>
      <c r="P44" s="14" t="e">
        <f>IF($A44&lt;&gt;"",
IF(COLUMN(貼り付け用!P44)&gt;MATCH("おやつ",貼り付け用!$3:$3,0),"",
IF(VLOOKUP($A44,貼り付け用!$A$1:$BA$300,COLUMN(),FALSE)=0,"",VLOOKUP($A44,貼り付け用!$A$1:$BA$300,COLUMN(),FALSE))),"")</f>
        <v>#N/A</v>
      </c>
      <c r="Q44" s="14" t="e">
        <f>IF($A44&lt;&gt;"",
IF(COLUMN(貼り付け用!Q44)&gt;MATCH("おやつ",貼り付け用!$3:$3,0),"",
IF(VLOOKUP($A44,貼り付け用!$A$1:$BA$300,COLUMN(),FALSE)=0,"",VLOOKUP($A44,貼り付け用!$A$1:$BA$300,COLUMN(),FALSE))),"")</f>
        <v>#N/A</v>
      </c>
      <c r="R44" s="14" t="e">
        <f>IF($A44&lt;&gt;"",
IF(COLUMN(貼り付け用!R44)&gt;MATCH("おやつ",貼り付け用!$3:$3,0),"",
IF(VLOOKUP($A44,貼り付け用!$A$1:$BA$300,COLUMN(),FALSE)=0,"",VLOOKUP($A44,貼り付け用!$A$1:$BA$300,COLUMN(),FALSE))),"")</f>
        <v>#N/A</v>
      </c>
      <c r="S44" s="14" t="e">
        <f>IF($A44&lt;&gt;"",
IF(COLUMN(貼り付け用!S44)&gt;MATCH("おやつ",貼り付け用!$3:$3,0),"",
IF(VLOOKUP($A44,貼り付け用!$A$1:$BA$300,COLUMN(),FALSE)=0,"",VLOOKUP($A44,貼り付け用!$A$1:$BA$300,COLUMN(),FALSE))),"")</f>
        <v>#N/A</v>
      </c>
      <c r="T44" s="14" t="e">
        <f>IF(COLUMN(貼り付け用!T44)&gt;MATCH("おやつ",貼り付け用!$3:$3,0),"",
IF(VLOOKUP($A44,貼り付け用!$A$1:$BA$300,COLUMN(),FALSE)=0,"",VLOOKUP($A44,貼り付け用!$A$1:$BA$300,COLUMN(),FALSE)))</f>
        <v>#N/A</v>
      </c>
      <c r="U44" s="11"/>
      <c r="V44" s="55" t="e">
        <f>IF(A44&lt;&gt;"",
IF(VLOOKUP($A44,貼り付け用!$A$1:$BA$300,MATCH("おやつ",貼り付け用!$3:$3,0)+1,FALSE)=0,"",VLOOKUP($A44,貼り付け用!$A$1:$BA$300,MATCH("おやつ",貼り付け用!$3:$3,0)+1,FALSE)),"")</f>
        <v>#N/A</v>
      </c>
      <c r="W44" s="14" t="e">
        <f>IF(A44&lt;&gt;"",
IF(VLOOKUP($A44,貼り付け用!$A$1:$BA$300,MATCH("おやつ",貼り付け用!$3:$3,0)+2,FALSE)=0,"",VLOOKUP($A44,貼り付け用!$A$1:$BA$300,MATCH("おやつ",貼り付け用!$3:$3,0)+2,FALSE)),"")</f>
        <v>#N/A</v>
      </c>
    </row>
    <row r="45" spans="1:23">
      <c r="A45" s="8" t="e">
        <f>IF(貼り付け用!$A$6&lt;&gt;"",
IF(ROW(A44)+1&gt;=MATCH("*10000*", 貼り付け用!$A:$A, 0),"",
IF(貼り付け用!A45&lt;&gt;"",貼り付け用!A45,"")),
IF(ROW(A45)+1&gt;=MATCH("*10000*", 貼り付け用!$A:$A, 0),"",
IF(貼り付け用!A46&lt;&gt;"",貼り付け用!A46,"")))</f>
        <v>#N/A</v>
      </c>
      <c r="B45" s="3" t="e">
        <f>IF($A45&lt;&gt;"",IF(VLOOKUP($A45,貼り付け用!$A$1:$BA$300,COLUMN(),FALSE)=0,"",VLOOKUP($A45,貼り付け用!$A$1:$BA$300,COLUMN(),FALSE)),"")</f>
        <v>#N/A</v>
      </c>
      <c r="C45" s="3" t="e">
        <f>IF($A45&lt;&gt;"",IF(VLOOKUP($A45,貼り付け用!$A$1:$BA$300,COLUMN(),FALSE)=0,"",VLOOKUP($A45,貼り付け用!$A$1:$BA$300,COLUMN(),FALSE)),"")</f>
        <v>#N/A</v>
      </c>
      <c r="D45" s="3" t="e">
        <f>IF($A45&lt;&gt;"",IF(VLOOKUP($A45,貼り付け用!$A$1:$BA$300,COLUMN(),FALSE)=0,"",VLOOKUP($A45,貼り付け用!$A$1:$BA$300,COLUMN(),FALSE)),"")</f>
        <v>#N/A</v>
      </c>
      <c r="E45" s="3" t="e">
        <f>IF($A45&lt;&gt;"",IF(VLOOKUP($A45,貼り付け用!$A$1:$BA$300,COLUMN(),FALSE)=0,"",VLOOKUP($A45,貼り付け用!$A$1:$BA$300,COLUMN(),FALSE)),"")</f>
        <v>#N/A</v>
      </c>
      <c r="F45" s="3" t="e">
        <f>IF($A45&lt;&gt;"",IF(VLOOKUP($A45,貼り付け用!$A$1:$BA$300,COLUMN(),FALSE)=0,"",VLOOKUP($A45,貼り付け用!$A$1:$BA$300,COLUMN(),FALSE)),"")</f>
        <v>#N/A</v>
      </c>
      <c r="G45" s="3" t="e">
        <f>IF($A45&lt;&gt;"",IF(VLOOKUP($A45,貼り付け用!$A$1:$BA$300,COLUMN(),FALSE)=0,"",VLOOKUP($A45,貼り付け用!$A$1:$BA$300,COLUMN(),FALSE)),"")</f>
        <v>#N/A</v>
      </c>
      <c r="H45" s="3" t="e">
        <f>IF($A45&lt;&gt;"",IF(VLOOKUP($A45,貼り付け用!$A$1:$BA$300,COLUMN(),FALSE)=0,"",VLOOKUP($A45,貼り付け用!$A$1:$BA$300,COLUMN(),FALSE)),"")</f>
        <v>#N/A</v>
      </c>
      <c r="I45" s="3" t="e">
        <f>IF($A45&lt;&gt;"",IF(VLOOKUP($A45,貼り付け用!$A$1:$BA$300,COLUMN(),FALSE)=0,"",VLOOKUP($A45,貼り付け用!$A$1:$BA$300,COLUMN(),FALSE)),"")</f>
        <v>#N/A</v>
      </c>
      <c r="J45" s="3" t="e">
        <f>IF($A45&lt;&gt;"",IF(VLOOKUP($A45,貼り付け用!$A$1:$BA$300,COLUMN(),FALSE)=0,"",VLOOKUP($A45,貼り付け用!$A$1:$BA$300,COLUMN(),FALSE)),"")</f>
        <v>#N/A</v>
      </c>
      <c r="K45" s="3" t="e">
        <f>IF($A45&lt;&gt;"",IF(VLOOKUP($A45,貼り付け用!$A$1:$BA$300,COLUMN(),FALSE)=0,"",VLOOKUP($A45,貼り付け用!$A$1:$BA$300,COLUMN(),FALSE)),"")</f>
        <v>#N/A</v>
      </c>
      <c r="L45" s="3" t="e">
        <f>IF($A45&lt;&gt;"",
IF(COLUMN(貼り付け用!L45)&gt;MATCH("おやつ",貼り付け用!$3:$3,0),"",
IF(VLOOKUP($A45,貼り付け用!$A$1:$BA$300,COLUMN(),FALSE)=0,"",VLOOKUP($A45,貼り付け用!$A$1:$BA$300,COLUMN(),FALSE))),"")</f>
        <v>#N/A</v>
      </c>
      <c r="M45" s="3" t="e">
        <f>IF($A45&lt;&gt;"",
IF(COLUMN(貼り付け用!M45)&gt;MATCH("おやつ",貼り付け用!$3:$3,0),"",
IF(VLOOKUP($A45,貼り付け用!$A$1:$BA$300,COLUMN(),FALSE)=0,"",VLOOKUP($A45,貼り付け用!$A$1:$BA$300,COLUMN(),FALSE))),"")</f>
        <v>#N/A</v>
      </c>
      <c r="N45" s="3" t="e">
        <f>IF($A45&lt;&gt;"",
IF(COLUMN(貼り付け用!N45)&gt;MATCH("おやつ",貼り付け用!$3:$3,0),"",
IF(VLOOKUP($A45,貼り付け用!$A$1:$BA$300,COLUMN(),FALSE)=0,"",VLOOKUP($A45,貼り付け用!$A$1:$BA$300,COLUMN(),FALSE))),"")</f>
        <v>#N/A</v>
      </c>
      <c r="O45" s="3" t="e">
        <f>IF($A45&lt;&gt;"",
IF(COLUMN(貼り付け用!O45)&gt;MATCH("おやつ",貼り付け用!$3:$3,0),"",
IF(VLOOKUP($A45,貼り付け用!$A$1:$BA$300,COLUMN(),FALSE)=0,"",VLOOKUP($A45,貼り付け用!$A$1:$BA$300,COLUMN(),FALSE))),"")</f>
        <v>#N/A</v>
      </c>
      <c r="P45" s="3" t="e">
        <f>IF($A45&lt;&gt;"",
IF(COLUMN(貼り付け用!P45)&gt;MATCH("おやつ",貼り付け用!$3:$3,0),"",
IF(VLOOKUP($A45,貼り付け用!$A$1:$BA$300,COLUMN(),FALSE)=0,"",VLOOKUP($A45,貼り付け用!$A$1:$BA$300,COLUMN(),FALSE))),"")</f>
        <v>#N/A</v>
      </c>
      <c r="Q45" s="3" t="e">
        <f>IF($A45&lt;&gt;"",
IF(COLUMN(貼り付け用!Q45)&gt;MATCH("おやつ",貼り付け用!$3:$3,0),"",
IF(VLOOKUP($A45,貼り付け用!$A$1:$BA$300,COLUMN(),FALSE)=0,"",VLOOKUP($A45,貼り付け用!$A$1:$BA$300,COLUMN(),FALSE))),"")</f>
        <v>#N/A</v>
      </c>
      <c r="R45" s="3" t="e">
        <f>IF($A45&lt;&gt;"",
IF(COLUMN(貼り付け用!R45)&gt;MATCH("おやつ",貼り付け用!$3:$3,0),"",
IF(VLOOKUP($A45,貼り付け用!$A$1:$BA$300,COLUMN(),FALSE)=0,"",VLOOKUP($A45,貼り付け用!$A$1:$BA$300,COLUMN(),FALSE))),"")</f>
        <v>#N/A</v>
      </c>
      <c r="S45" s="3" t="e">
        <f>IF($A45&lt;&gt;"",
IF(COLUMN(貼り付け用!S45)&gt;MATCH("おやつ",貼り付け用!$3:$3,0),"",
IF(VLOOKUP($A45,貼り付け用!$A$1:$BA$300,COLUMN(),FALSE)=0,"",VLOOKUP($A45,貼り付け用!$A$1:$BA$300,COLUMN(),FALSE))),"")</f>
        <v>#N/A</v>
      </c>
      <c r="T45" s="3" t="e">
        <f>IF(COLUMN(貼り付け用!T45)&gt;MATCH("おやつ",貼り付け用!$3:$3,0),"",
IF(VLOOKUP($A45,貼り付け用!$A$1:$BA$300,COLUMN(),FALSE)=0,"",VLOOKUP($A45,貼り付け用!$A$1:$BA$300,COLUMN(),FALSE)))</f>
        <v>#N/A</v>
      </c>
      <c r="U45" s="21"/>
      <c r="V45" s="55" t="e">
        <f>IF(A45&lt;&gt;"",
IF(VLOOKUP($A45,貼り付け用!$A$1:$BA$300,MATCH("おやつ",貼り付け用!$3:$3,0)+1,FALSE)=0,"",VLOOKUP($A45,貼り付け用!$A$1:$BA$300,MATCH("おやつ",貼り付け用!$3:$3,0)+1,FALSE)),"")</f>
        <v>#N/A</v>
      </c>
      <c r="W45" s="14" t="e">
        <f>IF(A45&lt;&gt;"",
IF(VLOOKUP($A45,貼り付け用!$A$1:$BA$300,MATCH("おやつ",貼り付け用!$3:$3,0)+2,FALSE)=0,"",VLOOKUP($A45,貼り付け用!$A$1:$BA$300,MATCH("おやつ",貼り付け用!$3:$3,0)+2,FALSE)),"")</f>
        <v>#N/A</v>
      </c>
    </row>
    <row r="46" spans="1:23">
      <c r="A46" s="4" t="e">
        <f>IF(貼り付け用!$A$6&lt;&gt;"",
IF(ROW(A45)+1&gt;=MATCH("*10000*", 貼り付け用!$A:$A, 0),
IF(COUNTIF(A44,"*10000*"),"10001",
IF(COUNTIF(A44,"*10001*"),"10002",
IF(COUNTIF(A44,"*10002*"),"",
IF(COUNTIF(A44,""),"","10000")))),
IF(貼り付け用!A46&lt;&gt;"",貼り付け用!A46,"")),
IF(ROW(A46)+1&gt;=MATCH("*10000*", 貼り付け用!$A:$A, 0),
IF(COUNTIF(A44,"*10000*"),"10001",
IF(COUNTIF(A44,"*10001*"),"10002",
IF(COUNTIF(A44,"*10002*"),"",
IF(COUNTIF(A44,""),"","10000")))),
IF(貼り付け用!A47&lt;&gt;"",貼り付け用!A47,"")))</f>
        <v>#N/A</v>
      </c>
      <c r="B46" s="14" t="e">
        <f>IF($A46&lt;&gt;"",IF(VLOOKUP($A46,貼り付け用!$A$1:$BA$300,COLUMN(),FALSE)=0,"",VLOOKUP($A46,貼り付け用!$A$1:$BA$300,COLUMN(),FALSE)),"")</f>
        <v>#N/A</v>
      </c>
      <c r="C46" s="14" t="e">
        <f>IF($A46&lt;&gt;"",IF(VLOOKUP($A46,貼り付け用!$A$1:$BA$300,COLUMN(),FALSE)=0,"",VLOOKUP($A46,貼り付け用!$A$1:$BA$300,COLUMN(),FALSE)),"")</f>
        <v>#N/A</v>
      </c>
      <c r="D46" s="14" t="e">
        <f>IF($A46&lt;&gt;"",IF(VLOOKUP($A46,貼り付け用!$A$1:$BA$300,COLUMN(),FALSE)=0,"",VLOOKUP($A46,貼り付け用!$A$1:$BA$300,COLUMN(),FALSE)),"")</f>
        <v>#N/A</v>
      </c>
      <c r="E46" s="14" t="e">
        <f>IF($A46&lt;&gt;"",IF(VLOOKUP($A46,貼り付け用!$A$1:$BA$300,COLUMN(),FALSE)=0,"",VLOOKUP($A46,貼り付け用!$A$1:$BA$300,COLUMN(),FALSE)),"")</f>
        <v>#N/A</v>
      </c>
      <c r="F46" s="14" t="e">
        <f>IF($A46&lt;&gt;"",IF(VLOOKUP($A46,貼り付け用!$A$1:$BA$300,COLUMN(),FALSE)=0,"",VLOOKUP($A46,貼り付け用!$A$1:$BA$300,COLUMN(),FALSE)),"")</f>
        <v>#N/A</v>
      </c>
      <c r="G46" s="14" t="e">
        <f>IF($A46&lt;&gt;"",IF(VLOOKUP($A46,貼り付け用!$A$1:$BA$300,COLUMN(),FALSE)=0,"",VLOOKUP($A46,貼り付け用!$A$1:$BA$300,COLUMN(),FALSE)),"")</f>
        <v>#N/A</v>
      </c>
      <c r="H46" s="14" t="e">
        <f>IF($A46&lt;&gt;"",IF(VLOOKUP($A46,貼り付け用!$A$1:$BA$300,COLUMN(),FALSE)=0,"",VLOOKUP($A46,貼り付け用!$A$1:$BA$300,COLUMN(),FALSE)),"")</f>
        <v>#N/A</v>
      </c>
      <c r="I46" s="14" t="e">
        <f>IF($A46&lt;&gt;"",IF(VLOOKUP($A46,貼り付け用!$A$1:$BA$300,COLUMN(),FALSE)=0,"",VLOOKUP($A46,貼り付け用!$A$1:$BA$300,COLUMN(),FALSE)),"")</f>
        <v>#N/A</v>
      </c>
      <c r="J46" s="14" t="e">
        <f>IF($A46&lt;&gt;"",IF(VLOOKUP($A46,貼り付け用!$A$1:$BA$300,COLUMN(),FALSE)=0,"",VLOOKUP($A46,貼り付け用!$A$1:$BA$300,COLUMN(),FALSE)),"")</f>
        <v>#N/A</v>
      </c>
      <c r="K46" s="14" t="e">
        <f>IF($A46&lt;&gt;"",IF(VLOOKUP($A46,貼り付け用!$A$1:$BA$300,COLUMN(),FALSE)=0,"",VLOOKUP($A46,貼り付け用!$A$1:$BA$300,COLUMN(),FALSE)),"")</f>
        <v>#N/A</v>
      </c>
      <c r="L46" s="14" t="e">
        <f>IF($A46&lt;&gt;"",
IF(COLUMN(貼り付け用!L46)&gt;MATCH("おやつ",貼り付け用!$3:$3,0),"",
IF(VLOOKUP($A46,貼り付け用!$A$1:$BA$300,COLUMN(),FALSE)=0,"",VLOOKUP($A46,貼り付け用!$A$1:$BA$300,COLUMN(),FALSE))),"")</f>
        <v>#N/A</v>
      </c>
      <c r="M46" s="14" t="e">
        <f>IF($A46&lt;&gt;"",
IF(COLUMN(貼り付け用!M46)&gt;MATCH("おやつ",貼り付け用!$3:$3,0),"",
IF(VLOOKUP($A46,貼り付け用!$A$1:$BA$300,COLUMN(),FALSE)=0,"",VLOOKUP($A46,貼り付け用!$A$1:$BA$300,COLUMN(),FALSE))),"")</f>
        <v>#N/A</v>
      </c>
      <c r="N46" s="14" t="e">
        <f>IF($A46&lt;&gt;"",
IF(COLUMN(貼り付け用!N46)&gt;MATCH("おやつ",貼り付け用!$3:$3,0),"",
IF(VLOOKUP($A46,貼り付け用!$A$1:$BA$300,COLUMN(),FALSE)=0,"",VLOOKUP($A46,貼り付け用!$A$1:$BA$300,COLUMN(),FALSE))),"")</f>
        <v>#N/A</v>
      </c>
      <c r="O46" s="14" t="e">
        <f>IF($A46&lt;&gt;"",
IF(COLUMN(貼り付け用!O46)&gt;MATCH("おやつ",貼り付け用!$3:$3,0),"",
IF(VLOOKUP($A46,貼り付け用!$A$1:$BA$300,COLUMN(),FALSE)=0,"",VLOOKUP($A46,貼り付け用!$A$1:$BA$300,COLUMN(),FALSE))),"")</f>
        <v>#N/A</v>
      </c>
      <c r="P46" s="14" t="e">
        <f>IF($A46&lt;&gt;"",
IF(COLUMN(貼り付け用!P46)&gt;MATCH("おやつ",貼り付け用!$3:$3,0),"",
IF(VLOOKUP($A46,貼り付け用!$A$1:$BA$300,COLUMN(),FALSE)=0,"",VLOOKUP($A46,貼り付け用!$A$1:$BA$300,COLUMN(),FALSE))),"")</f>
        <v>#N/A</v>
      </c>
      <c r="Q46" s="14" t="e">
        <f>IF($A46&lt;&gt;"",
IF(COLUMN(貼り付け用!Q46)&gt;MATCH("おやつ",貼り付け用!$3:$3,0),"",
IF(VLOOKUP($A46,貼り付け用!$A$1:$BA$300,COLUMN(),FALSE)=0,"",VLOOKUP($A46,貼り付け用!$A$1:$BA$300,COLUMN(),FALSE))),"")</f>
        <v>#N/A</v>
      </c>
      <c r="R46" s="14" t="e">
        <f>IF($A46&lt;&gt;"",
IF(COLUMN(貼り付け用!R46)&gt;MATCH("おやつ",貼り付け用!$3:$3,0),"",
IF(VLOOKUP($A46,貼り付け用!$A$1:$BA$300,COLUMN(),FALSE)=0,"",VLOOKUP($A46,貼り付け用!$A$1:$BA$300,COLUMN(),FALSE))),"")</f>
        <v>#N/A</v>
      </c>
      <c r="S46" s="14" t="e">
        <f>IF($A46&lt;&gt;"",
IF(COLUMN(貼り付け用!S46)&gt;MATCH("おやつ",貼り付け用!$3:$3,0),"",
IF(VLOOKUP($A46,貼り付け用!$A$1:$BA$300,COLUMN(),FALSE)=0,"",VLOOKUP($A46,貼り付け用!$A$1:$BA$300,COLUMN(),FALSE))),"")</f>
        <v>#N/A</v>
      </c>
      <c r="T46" s="14" t="e">
        <f>IF(COLUMN(貼り付け用!T46)&gt;MATCH("おやつ",貼り付け用!$3:$3,0),"",
IF(VLOOKUP($A46,貼り付け用!$A$1:$BA$300,COLUMN(),FALSE)=0,"",VLOOKUP($A46,貼り付け用!$A$1:$BA$300,COLUMN(),FALSE)))</f>
        <v>#N/A</v>
      </c>
      <c r="U46" s="11"/>
      <c r="V46" s="55" t="e">
        <f>IF(A46&lt;&gt;"",
IF(VLOOKUP($A46,貼り付け用!$A$1:$BA$300,MATCH("おやつ",貼り付け用!$3:$3,0)+1,FALSE)=0,"",VLOOKUP($A46,貼り付け用!$A$1:$BA$300,MATCH("おやつ",貼り付け用!$3:$3,0)+1,FALSE)),"")</f>
        <v>#N/A</v>
      </c>
      <c r="W46" s="14" t="e">
        <f>IF(A46&lt;&gt;"",
IF(VLOOKUP($A46,貼り付け用!$A$1:$BA$300,MATCH("おやつ",貼り付け用!$3:$3,0)+2,FALSE)=0,"",VLOOKUP($A46,貼り付け用!$A$1:$BA$300,MATCH("おやつ",貼り付け用!$3:$3,0)+2,FALSE)),"")</f>
        <v>#N/A</v>
      </c>
    </row>
    <row r="47" spans="1:23">
      <c r="A47" s="8" t="e">
        <f>IF(貼り付け用!$A$6&lt;&gt;"",
IF(ROW(A46)+1&gt;=MATCH("*10000*", 貼り付け用!$A:$A, 0),"",
IF(貼り付け用!A47&lt;&gt;"",貼り付け用!A47,"")),
IF(ROW(A47)+1&gt;=MATCH("*10000*", 貼り付け用!$A:$A, 0),"",
IF(貼り付け用!A48&lt;&gt;"",貼り付け用!A48,"")))</f>
        <v>#N/A</v>
      </c>
      <c r="B47" s="3" t="e">
        <f>IF($A47&lt;&gt;"",IF(VLOOKUP($A47,貼り付け用!$A$1:$BA$300,COLUMN(),FALSE)=0,"",VLOOKUP($A47,貼り付け用!$A$1:$BA$300,COLUMN(),FALSE)),"")</f>
        <v>#N/A</v>
      </c>
      <c r="C47" s="3" t="e">
        <f>IF($A47&lt;&gt;"",IF(VLOOKUP($A47,貼り付け用!$A$1:$BA$300,COLUMN(),FALSE)=0,"",VLOOKUP($A47,貼り付け用!$A$1:$BA$300,COLUMN(),FALSE)),"")</f>
        <v>#N/A</v>
      </c>
      <c r="D47" s="3" t="e">
        <f>IF($A47&lt;&gt;"",IF(VLOOKUP($A47,貼り付け用!$A$1:$BA$300,COLUMN(),FALSE)=0,"",VLOOKUP($A47,貼り付け用!$A$1:$BA$300,COLUMN(),FALSE)),"")</f>
        <v>#N/A</v>
      </c>
      <c r="E47" s="3" t="e">
        <f>IF($A47&lt;&gt;"",IF(VLOOKUP($A47,貼り付け用!$A$1:$BA$300,COLUMN(),FALSE)=0,"",VLOOKUP($A47,貼り付け用!$A$1:$BA$300,COLUMN(),FALSE)),"")</f>
        <v>#N/A</v>
      </c>
      <c r="F47" s="3" t="e">
        <f>IF($A47&lt;&gt;"",IF(VLOOKUP($A47,貼り付け用!$A$1:$BA$300,COLUMN(),FALSE)=0,"",VLOOKUP($A47,貼り付け用!$A$1:$BA$300,COLUMN(),FALSE)),"")</f>
        <v>#N/A</v>
      </c>
      <c r="G47" s="3" t="e">
        <f>IF($A47&lt;&gt;"",IF(VLOOKUP($A47,貼り付け用!$A$1:$BA$300,COLUMN(),FALSE)=0,"",VLOOKUP($A47,貼り付け用!$A$1:$BA$300,COLUMN(),FALSE)),"")</f>
        <v>#N/A</v>
      </c>
      <c r="H47" s="3" t="e">
        <f>IF($A47&lt;&gt;"",IF(VLOOKUP($A47,貼り付け用!$A$1:$BA$300,COLUMN(),FALSE)=0,"",VLOOKUP($A47,貼り付け用!$A$1:$BA$300,COLUMN(),FALSE)),"")</f>
        <v>#N/A</v>
      </c>
      <c r="I47" s="3" t="e">
        <f>IF($A47&lt;&gt;"",IF(VLOOKUP($A47,貼り付け用!$A$1:$BA$300,COLUMN(),FALSE)=0,"",VLOOKUP($A47,貼り付け用!$A$1:$BA$300,COLUMN(),FALSE)),"")</f>
        <v>#N/A</v>
      </c>
      <c r="J47" s="3" t="e">
        <f>IF($A47&lt;&gt;"",IF(VLOOKUP($A47,貼り付け用!$A$1:$BA$300,COLUMN(),FALSE)=0,"",VLOOKUP($A47,貼り付け用!$A$1:$BA$300,COLUMN(),FALSE)),"")</f>
        <v>#N/A</v>
      </c>
      <c r="K47" s="3" t="e">
        <f>IF($A47&lt;&gt;"",IF(VLOOKUP($A47,貼り付け用!$A$1:$BA$300,COLUMN(),FALSE)=0,"",VLOOKUP($A47,貼り付け用!$A$1:$BA$300,COLUMN(),FALSE)),"")</f>
        <v>#N/A</v>
      </c>
      <c r="L47" s="3" t="e">
        <f>IF($A47&lt;&gt;"",
IF(COLUMN(貼り付け用!L47)&gt;MATCH("おやつ",貼り付け用!$3:$3,0),"",
IF(VLOOKUP($A47,貼り付け用!$A$1:$BA$300,COLUMN(),FALSE)=0,"",VLOOKUP($A47,貼り付け用!$A$1:$BA$300,COLUMN(),FALSE))),"")</f>
        <v>#N/A</v>
      </c>
      <c r="M47" s="3" t="e">
        <f>IF($A47&lt;&gt;"",
IF(COLUMN(貼り付け用!M47)&gt;MATCH("おやつ",貼り付け用!$3:$3,0),"",
IF(VLOOKUP($A47,貼り付け用!$A$1:$BA$300,COLUMN(),FALSE)=0,"",VLOOKUP($A47,貼り付け用!$A$1:$BA$300,COLUMN(),FALSE))),"")</f>
        <v>#N/A</v>
      </c>
      <c r="N47" s="3" t="e">
        <f>IF($A47&lt;&gt;"",
IF(COLUMN(貼り付け用!N47)&gt;MATCH("おやつ",貼り付け用!$3:$3,0),"",
IF(VLOOKUP($A47,貼り付け用!$A$1:$BA$300,COLUMN(),FALSE)=0,"",VLOOKUP($A47,貼り付け用!$A$1:$BA$300,COLUMN(),FALSE))),"")</f>
        <v>#N/A</v>
      </c>
      <c r="O47" s="3" t="e">
        <f>IF($A47&lt;&gt;"",
IF(COLUMN(貼り付け用!O47)&gt;MATCH("おやつ",貼り付け用!$3:$3,0),"",
IF(VLOOKUP($A47,貼り付け用!$A$1:$BA$300,COLUMN(),FALSE)=0,"",VLOOKUP($A47,貼り付け用!$A$1:$BA$300,COLUMN(),FALSE))),"")</f>
        <v>#N/A</v>
      </c>
      <c r="P47" s="3" t="e">
        <f>IF($A47&lt;&gt;"",
IF(COLUMN(貼り付け用!P47)&gt;MATCH("おやつ",貼り付け用!$3:$3,0),"",
IF(VLOOKUP($A47,貼り付け用!$A$1:$BA$300,COLUMN(),FALSE)=0,"",VLOOKUP($A47,貼り付け用!$A$1:$BA$300,COLUMN(),FALSE))),"")</f>
        <v>#N/A</v>
      </c>
      <c r="Q47" s="3" t="e">
        <f>IF($A47&lt;&gt;"",
IF(COLUMN(貼り付け用!Q47)&gt;MATCH("おやつ",貼り付け用!$3:$3,0),"",
IF(VLOOKUP($A47,貼り付け用!$A$1:$BA$300,COLUMN(),FALSE)=0,"",VLOOKUP($A47,貼り付け用!$A$1:$BA$300,COLUMN(),FALSE))),"")</f>
        <v>#N/A</v>
      </c>
      <c r="R47" s="3" t="e">
        <f>IF($A47&lt;&gt;"",
IF(COLUMN(貼り付け用!R47)&gt;MATCH("おやつ",貼り付け用!$3:$3,0),"",
IF(VLOOKUP($A47,貼り付け用!$A$1:$BA$300,COLUMN(),FALSE)=0,"",VLOOKUP($A47,貼り付け用!$A$1:$BA$300,COLUMN(),FALSE))),"")</f>
        <v>#N/A</v>
      </c>
      <c r="S47" s="3" t="e">
        <f>IF($A47&lt;&gt;"",
IF(COLUMN(貼り付け用!S47)&gt;MATCH("おやつ",貼り付け用!$3:$3,0),"",
IF(VLOOKUP($A47,貼り付け用!$A$1:$BA$300,COLUMN(),FALSE)=0,"",VLOOKUP($A47,貼り付け用!$A$1:$BA$300,COLUMN(),FALSE))),"")</f>
        <v>#N/A</v>
      </c>
      <c r="T47" s="3" t="e">
        <f>IF(COLUMN(貼り付け用!T47)&gt;MATCH("おやつ",貼り付け用!$3:$3,0),"",
IF(VLOOKUP($A47,貼り付け用!$A$1:$BA$300,COLUMN(),FALSE)=0,"",VLOOKUP($A47,貼り付け用!$A$1:$BA$300,COLUMN(),FALSE)))</f>
        <v>#N/A</v>
      </c>
      <c r="U47" s="21"/>
      <c r="V47" s="55" t="e">
        <f>IF(A47&lt;&gt;"",
IF(VLOOKUP($A47,貼り付け用!$A$1:$BA$300,MATCH("おやつ",貼り付け用!$3:$3,0)+1,FALSE)=0,"",VLOOKUP($A47,貼り付け用!$A$1:$BA$300,MATCH("おやつ",貼り付け用!$3:$3,0)+1,FALSE)),"")</f>
        <v>#N/A</v>
      </c>
      <c r="W47" s="14" t="e">
        <f>IF(A47&lt;&gt;"",
IF(VLOOKUP($A47,貼り付け用!$A$1:$BA$300,MATCH("おやつ",貼り付け用!$3:$3,0)+2,FALSE)=0,"",VLOOKUP($A47,貼り付け用!$A$1:$BA$300,MATCH("おやつ",貼り付け用!$3:$3,0)+2,FALSE)),"")</f>
        <v>#N/A</v>
      </c>
    </row>
    <row r="48" spans="1:23">
      <c r="A48" s="4" t="e">
        <f>IF(貼り付け用!$A$6&lt;&gt;"",
IF(ROW(A47)+1&gt;=MATCH("*10000*", 貼り付け用!$A:$A, 0),
IF(COUNTIF(A46,"*10000*"),"10001",
IF(COUNTIF(A46,"*10001*"),"10002",
IF(COUNTIF(A46,"*10002*"),"",
IF(COUNTIF(A46,""),"","10000")))),
IF(貼り付け用!A48&lt;&gt;"",貼り付け用!A48,"")),
IF(ROW(A48)+1&gt;=MATCH("*10000*", 貼り付け用!$A:$A, 0),
IF(COUNTIF(A46,"*10000*"),"10001",
IF(COUNTIF(A46,"*10001*"),"10002",
IF(COUNTIF(A46,"*10002*"),"",
IF(COUNTIF(A46,""),"","10000")))),
IF(貼り付け用!A49&lt;&gt;"",貼り付け用!A49,"")))</f>
        <v>#N/A</v>
      </c>
      <c r="B48" s="14" t="e">
        <f>IF($A48&lt;&gt;"",IF(VLOOKUP($A48,貼り付け用!$A$1:$BA$300,COLUMN(),FALSE)=0,"",VLOOKUP($A48,貼り付け用!$A$1:$BA$300,COLUMN(),FALSE)),"")</f>
        <v>#N/A</v>
      </c>
      <c r="C48" s="14" t="e">
        <f>IF($A48&lt;&gt;"",IF(VLOOKUP($A48,貼り付け用!$A$1:$BA$300,COLUMN(),FALSE)=0,"",VLOOKUP($A48,貼り付け用!$A$1:$BA$300,COLUMN(),FALSE)),"")</f>
        <v>#N/A</v>
      </c>
      <c r="D48" s="14" t="e">
        <f>IF($A48&lt;&gt;"",IF(VLOOKUP($A48,貼り付け用!$A$1:$BA$300,COLUMN(),FALSE)=0,"",VLOOKUP($A48,貼り付け用!$A$1:$BA$300,COLUMN(),FALSE)),"")</f>
        <v>#N/A</v>
      </c>
      <c r="E48" s="14" t="e">
        <f>IF($A48&lt;&gt;"",IF(VLOOKUP($A48,貼り付け用!$A$1:$BA$300,COLUMN(),FALSE)=0,"",VLOOKUP($A48,貼り付け用!$A$1:$BA$300,COLUMN(),FALSE)),"")</f>
        <v>#N/A</v>
      </c>
      <c r="F48" s="14" t="e">
        <f>IF($A48&lt;&gt;"",IF(VLOOKUP($A48,貼り付け用!$A$1:$BA$300,COLUMN(),FALSE)=0,"",VLOOKUP($A48,貼り付け用!$A$1:$BA$300,COLUMN(),FALSE)),"")</f>
        <v>#N/A</v>
      </c>
      <c r="G48" s="14" t="e">
        <f>IF($A48&lt;&gt;"",IF(VLOOKUP($A48,貼り付け用!$A$1:$BA$300,COLUMN(),FALSE)=0,"",VLOOKUP($A48,貼り付け用!$A$1:$BA$300,COLUMN(),FALSE)),"")</f>
        <v>#N/A</v>
      </c>
      <c r="H48" s="14" t="e">
        <f>IF($A48&lt;&gt;"",IF(VLOOKUP($A48,貼り付け用!$A$1:$BA$300,COLUMN(),FALSE)=0,"",VLOOKUP($A48,貼り付け用!$A$1:$BA$300,COLUMN(),FALSE)),"")</f>
        <v>#N/A</v>
      </c>
      <c r="I48" s="14" t="e">
        <f>IF($A48&lt;&gt;"",IF(VLOOKUP($A48,貼り付け用!$A$1:$BA$300,COLUMN(),FALSE)=0,"",VLOOKUP($A48,貼り付け用!$A$1:$BA$300,COLUMN(),FALSE)),"")</f>
        <v>#N/A</v>
      </c>
      <c r="J48" s="14" t="e">
        <f>IF($A48&lt;&gt;"",IF(VLOOKUP($A48,貼り付け用!$A$1:$BA$300,COLUMN(),FALSE)=0,"",VLOOKUP($A48,貼り付け用!$A$1:$BA$300,COLUMN(),FALSE)),"")</f>
        <v>#N/A</v>
      </c>
      <c r="K48" s="14" t="e">
        <f>IF($A48&lt;&gt;"",IF(VLOOKUP($A48,貼り付け用!$A$1:$BA$300,COLUMN(),FALSE)=0,"",VLOOKUP($A48,貼り付け用!$A$1:$BA$300,COLUMN(),FALSE)),"")</f>
        <v>#N/A</v>
      </c>
      <c r="L48" s="14" t="e">
        <f>IF($A48&lt;&gt;"",
IF(COLUMN(貼り付け用!L48)&gt;MATCH("おやつ",貼り付け用!$3:$3,0),"",
IF(VLOOKUP($A48,貼り付け用!$A$1:$BA$300,COLUMN(),FALSE)=0,"",VLOOKUP($A48,貼り付け用!$A$1:$BA$300,COLUMN(),FALSE))),"")</f>
        <v>#N/A</v>
      </c>
      <c r="M48" s="14" t="e">
        <f>IF($A48&lt;&gt;"",
IF(COLUMN(貼り付け用!M48)&gt;MATCH("おやつ",貼り付け用!$3:$3,0),"",
IF(VLOOKUP($A48,貼り付け用!$A$1:$BA$300,COLUMN(),FALSE)=0,"",VLOOKUP($A48,貼り付け用!$A$1:$BA$300,COLUMN(),FALSE))),"")</f>
        <v>#N/A</v>
      </c>
      <c r="N48" s="14" t="e">
        <f>IF($A48&lt;&gt;"",
IF(COLUMN(貼り付け用!N48)&gt;MATCH("おやつ",貼り付け用!$3:$3,0),"",
IF(VLOOKUP($A48,貼り付け用!$A$1:$BA$300,COLUMN(),FALSE)=0,"",VLOOKUP($A48,貼り付け用!$A$1:$BA$300,COLUMN(),FALSE))),"")</f>
        <v>#N/A</v>
      </c>
      <c r="O48" s="14" t="e">
        <f>IF($A48&lt;&gt;"",
IF(COLUMN(貼り付け用!O48)&gt;MATCH("おやつ",貼り付け用!$3:$3,0),"",
IF(VLOOKUP($A48,貼り付け用!$A$1:$BA$300,COLUMN(),FALSE)=0,"",VLOOKUP($A48,貼り付け用!$A$1:$BA$300,COLUMN(),FALSE))),"")</f>
        <v>#N/A</v>
      </c>
      <c r="P48" s="14" t="e">
        <f>IF($A48&lt;&gt;"",
IF(COLUMN(貼り付け用!P48)&gt;MATCH("おやつ",貼り付け用!$3:$3,0),"",
IF(VLOOKUP($A48,貼り付け用!$A$1:$BA$300,COLUMN(),FALSE)=0,"",VLOOKUP($A48,貼り付け用!$A$1:$BA$300,COLUMN(),FALSE))),"")</f>
        <v>#N/A</v>
      </c>
      <c r="Q48" s="14" t="e">
        <f>IF($A48&lt;&gt;"",
IF(COLUMN(貼り付け用!Q48)&gt;MATCH("おやつ",貼り付け用!$3:$3,0),"",
IF(VLOOKUP($A48,貼り付け用!$A$1:$BA$300,COLUMN(),FALSE)=0,"",VLOOKUP($A48,貼り付け用!$A$1:$BA$300,COLUMN(),FALSE))),"")</f>
        <v>#N/A</v>
      </c>
      <c r="R48" s="14" t="e">
        <f>IF($A48&lt;&gt;"",
IF(COLUMN(貼り付け用!R48)&gt;MATCH("おやつ",貼り付け用!$3:$3,0),"",
IF(VLOOKUP($A48,貼り付け用!$A$1:$BA$300,COLUMN(),FALSE)=0,"",VLOOKUP($A48,貼り付け用!$A$1:$BA$300,COLUMN(),FALSE))),"")</f>
        <v>#N/A</v>
      </c>
      <c r="S48" s="14" t="e">
        <f>IF($A48&lt;&gt;"",
IF(COLUMN(貼り付け用!S48)&gt;MATCH("おやつ",貼り付け用!$3:$3,0),"",
IF(VLOOKUP($A48,貼り付け用!$A$1:$BA$300,COLUMN(),FALSE)=0,"",VLOOKUP($A48,貼り付け用!$A$1:$BA$300,COLUMN(),FALSE))),"")</f>
        <v>#N/A</v>
      </c>
      <c r="T48" s="14" t="e">
        <f>IF(COLUMN(貼り付け用!T48)&gt;MATCH("おやつ",貼り付け用!$3:$3,0),"",
IF(VLOOKUP($A48,貼り付け用!$A$1:$BA$300,COLUMN(),FALSE)=0,"",VLOOKUP($A48,貼り付け用!$A$1:$BA$300,COLUMN(),FALSE)))</f>
        <v>#N/A</v>
      </c>
      <c r="U48" s="11"/>
      <c r="V48" s="55" t="e">
        <f>IF(A48&lt;&gt;"",
IF(VLOOKUP($A48,貼り付け用!$A$1:$BA$300,MATCH("おやつ",貼り付け用!$3:$3,0)+1,FALSE)=0,"",VLOOKUP($A48,貼り付け用!$A$1:$BA$300,MATCH("おやつ",貼り付け用!$3:$3,0)+1,FALSE)),"")</f>
        <v>#N/A</v>
      </c>
      <c r="W48" s="14" t="e">
        <f>IF(A48&lt;&gt;"",
IF(VLOOKUP($A48,貼り付け用!$A$1:$BA$300,MATCH("おやつ",貼り付け用!$3:$3,0)+2,FALSE)=0,"",VLOOKUP($A48,貼り付け用!$A$1:$BA$300,MATCH("おやつ",貼り付け用!$3:$3,0)+2,FALSE)),"")</f>
        <v>#N/A</v>
      </c>
    </row>
    <row r="49" spans="1:23">
      <c r="A49" s="8" t="e">
        <f>IF(貼り付け用!$A$6&lt;&gt;"",
IF(ROW(A48)+1&gt;=MATCH("*10000*", 貼り付け用!$A:$A, 0),"",
IF(貼り付け用!A49&lt;&gt;"",貼り付け用!A49,"")),
IF(ROW(A49)+1&gt;=MATCH("*10000*", 貼り付け用!$A:$A, 0),"",
IF(貼り付け用!A50&lt;&gt;"",貼り付け用!A50,"")))</f>
        <v>#N/A</v>
      </c>
      <c r="B49" s="3" t="e">
        <f>IF($A49&lt;&gt;"",IF(VLOOKUP($A49,貼り付け用!$A$1:$BA$300,COLUMN(),FALSE)=0,"",VLOOKUP($A49,貼り付け用!$A$1:$BA$300,COLUMN(),FALSE)),"")</f>
        <v>#N/A</v>
      </c>
      <c r="C49" s="3" t="e">
        <f>IF($A49&lt;&gt;"",IF(VLOOKUP($A49,貼り付け用!$A$1:$BA$300,COLUMN(),FALSE)=0,"",VLOOKUP($A49,貼り付け用!$A$1:$BA$300,COLUMN(),FALSE)),"")</f>
        <v>#N/A</v>
      </c>
      <c r="D49" s="3" t="e">
        <f>IF($A49&lt;&gt;"",IF(VLOOKUP($A49,貼り付け用!$A$1:$BA$300,COLUMN(),FALSE)=0,"",VLOOKUP($A49,貼り付け用!$A$1:$BA$300,COLUMN(),FALSE)),"")</f>
        <v>#N/A</v>
      </c>
      <c r="E49" s="3" t="e">
        <f>IF($A49&lt;&gt;"",IF(VLOOKUP($A49,貼り付け用!$A$1:$BA$300,COLUMN(),FALSE)=0,"",VLOOKUP($A49,貼り付け用!$A$1:$BA$300,COLUMN(),FALSE)),"")</f>
        <v>#N/A</v>
      </c>
      <c r="F49" s="3" t="e">
        <f>IF($A49&lt;&gt;"",IF(VLOOKUP($A49,貼り付け用!$A$1:$BA$300,COLUMN(),FALSE)=0,"",VLOOKUP($A49,貼り付け用!$A$1:$BA$300,COLUMN(),FALSE)),"")</f>
        <v>#N/A</v>
      </c>
      <c r="G49" s="3" t="e">
        <f>IF($A49&lt;&gt;"",IF(VLOOKUP($A49,貼り付け用!$A$1:$BA$300,COLUMN(),FALSE)=0,"",VLOOKUP($A49,貼り付け用!$A$1:$BA$300,COLUMN(),FALSE)),"")</f>
        <v>#N/A</v>
      </c>
      <c r="H49" s="3" t="e">
        <f>IF($A49&lt;&gt;"",IF(VLOOKUP($A49,貼り付け用!$A$1:$BA$300,COLUMN(),FALSE)=0,"",VLOOKUP($A49,貼り付け用!$A$1:$BA$300,COLUMN(),FALSE)),"")</f>
        <v>#N/A</v>
      </c>
      <c r="I49" s="3" t="e">
        <f>IF($A49&lt;&gt;"",IF(VLOOKUP($A49,貼り付け用!$A$1:$BA$300,COLUMN(),FALSE)=0,"",VLOOKUP($A49,貼り付け用!$A$1:$BA$300,COLUMN(),FALSE)),"")</f>
        <v>#N/A</v>
      </c>
      <c r="J49" s="3" t="e">
        <f>IF($A49&lt;&gt;"",IF(VLOOKUP($A49,貼り付け用!$A$1:$BA$300,COLUMN(),FALSE)=0,"",VLOOKUP($A49,貼り付け用!$A$1:$BA$300,COLUMN(),FALSE)),"")</f>
        <v>#N/A</v>
      </c>
      <c r="K49" s="3" t="e">
        <f>IF($A49&lt;&gt;"",IF(VLOOKUP($A49,貼り付け用!$A$1:$BA$300,COLUMN(),FALSE)=0,"",VLOOKUP($A49,貼り付け用!$A$1:$BA$300,COLUMN(),FALSE)),"")</f>
        <v>#N/A</v>
      </c>
      <c r="L49" s="3" t="e">
        <f>IF($A49&lt;&gt;"",
IF(COLUMN(貼り付け用!L49)&gt;MATCH("おやつ",貼り付け用!$3:$3,0),"",
IF(VLOOKUP($A49,貼り付け用!$A$1:$BA$300,COLUMN(),FALSE)=0,"",VLOOKUP($A49,貼り付け用!$A$1:$BA$300,COLUMN(),FALSE))),"")</f>
        <v>#N/A</v>
      </c>
      <c r="M49" s="3" t="e">
        <f>IF($A49&lt;&gt;"",
IF(COLUMN(貼り付け用!M49)&gt;MATCH("おやつ",貼り付け用!$3:$3,0),"",
IF(VLOOKUP($A49,貼り付け用!$A$1:$BA$300,COLUMN(),FALSE)=0,"",VLOOKUP($A49,貼り付け用!$A$1:$BA$300,COLUMN(),FALSE))),"")</f>
        <v>#N/A</v>
      </c>
      <c r="N49" s="3" t="e">
        <f>IF($A49&lt;&gt;"",
IF(COLUMN(貼り付け用!N49)&gt;MATCH("おやつ",貼り付け用!$3:$3,0),"",
IF(VLOOKUP($A49,貼り付け用!$A$1:$BA$300,COLUMN(),FALSE)=0,"",VLOOKUP($A49,貼り付け用!$A$1:$BA$300,COLUMN(),FALSE))),"")</f>
        <v>#N/A</v>
      </c>
      <c r="O49" s="3" t="e">
        <f>IF($A49&lt;&gt;"",
IF(COLUMN(貼り付け用!O49)&gt;MATCH("おやつ",貼り付け用!$3:$3,0),"",
IF(VLOOKUP($A49,貼り付け用!$A$1:$BA$300,COLUMN(),FALSE)=0,"",VLOOKUP($A49,貼り付け用!$A$1:$BA$300,COLUMN(),FALSE))),"")</f>
        <v>#N/A</v>
      </c>
      <c r="P49" s="3" t="e">
        <f>IF($A49&lt;&gt;"",
IF(COLUMN(貼り付け用!P49)&gt;MATCH("おやつ",貼り付け用!$3:$3,0),"",
IF(VLOOKUP($A49,貼り付け用!$A$1:$BA$300,COLUMN(),FALSE)=0,"",VLOOKUP($A49,貼り付け用!$A$1:$BA$300,COLUMN(),FALSE))),"")</f>
        <v>#N/A</v>
      </c>
      <c r="Q49" s="3" t="e">
        <f>IF($A49&lt;&gt;"",
IF(COLUMN(貼り付け用!Q49)&gt;MATCH("おやつ",貼り付け用!$3:$3,0),"",
IF(VLOOKUP($A49,貼り付け用!$A$1:$BA$300,COLUMN(),FALSE)=0,"",VLOOKUP($A49,貼り付け用!$A$1:$BA$300,COLUMN(),FALSE))),"")</f>
        <v>#N/A</v>
      </c>
      <c r="R49" s="3" t="e">
        <f>IF($A49&lt;&gt;"",
IF(COLUMN(貼り付け用!R49)&gt;MATCH("おやつ",貼り付け用!$3:$3,0),"",
IF(VLOOKUP($A49,貼り付け用!$A$1:$BA$300,COLUMN(),FALSE)=0,"",VLOOKUP($A49,貼り付け用!$A$1:$BA$300,COLUMN(),FALSE))),"")</f>
        <v>#N/A</v>
      </c>
      <c r="S49" s="3" t="e">
        <f>IF($A49&lt;&gt;"",
IF(COLUMN(貼り付け用!S49)&gt;MATCH("おやつ",貼り付け用!$3:$3,0),"",
IF(VLOOKUP($A49,貼り付け用!$A$1:$BA$300,COLUMN(),FALSE)=0,"",VLOOKUP($A49,貼り付け用!$A$1:$BA$300,COLUMN(),FALSE))),"")</f>
        <v>#N/A</v>
      </c>
      <c r="T49" s="3" t="e">
        <f>IF(COLUMN(貼り付け用!T49)&gt;MATCH("おやつ",貼り付け用!$3:$3,0),"",
IF(VLOOKUP($A49,貼り付け用!$A$1:$BA$300,COLUMN(),FALSE)=0,"",VLOOKUP($A49,貼り付け用!$A$1:$BA$300,COLUMN(),FALSE)))</f>
        <v>#N/A</v>
      </c>
      <c r="U49" s="21"/>
      <c r="V49" s="55" t="e">
        <f>IF(A49&lt;&gt;"",
IF(VLOOKUP($A49,貼り付け用!$A$1:$BA$300,MATCH("おやつ",貼り付け用!$3:$3,0)+1,FALSE)=0,"",VLOOKUP($A49,貼り付け用!$A$1:$BA$300,MATCH("おやつ",貼り付け用!$3:$3,0)+1,FALSE)),"")</f>
        <v>#N/A</v>
      </c>
      <c r="W49" s="14" t="e">
        <f>IF(A49&lt;&gt;"",
IF(VLOOKUP($A49,貼り付け用!$A$1:$BA$300,MATCH("おやつ",貼り付け用!$3:$3,0)+2,FALSE)=0,"",VLOOKUP($A49,貼り付け用!$A$1:$BA$300,MATCH("おやつ",貼り付け用!$3:$3,0)+2,FALSE)),"")</f>
        <v>#N/A</v>
      </c>
    </row>
    <row r="50" spans="1:23">
      <c r="A50" s="4" t="e">
        <f>IF(貼り付け用!$A$6&lt;&gt;"",
IF(ROW(A49)+1&gt;=MATCH("*10000*", 貼り付け用!$A:$A, 0),
IF(COUNTIF(A48,"*10000*"),"10001",
IF(COUNTIF(A48,"*10001*"),"10002",
IF(COUNTIF(A48,"*10002*"),"",
IF(COUNTIF(A48,""),"","10000")))),
IF(貼り付け用!A50&lt;&gt;"",貼り付け用!A50,"")),
IF(ROW(A50)+1&gt;=MATCH("*10000*", 貼り付け用!$A:$A, 0),
IF(COUNTIF(A48,"*10000*"),"10001",
IF(COUNTIF(A48,"*10001*"),"10002",
IF(COUNTIF(A48,"*10002*"),"",
IF(COUNTIF(A48,""),"","10000")))),
IF(貼り付け用!A51&lt;&gt;"",貼り付け用!A51,"")))</f>
        <v>#N/A</v>
      </c>
      <c r="B50" s="14" t="e">
        <f>IF($A50&lt;&gt;"",IF(VLOOKUP($A50,貼り付け用!$A$1:$BA$300,COLUMN(),FALSE)=0,"",VLOOKUP($A50,貼り付け用!$A$1:$BA$300,COLUMN(),FALSE)),"")</f>
        <v>#N/A</v>
      </c>
      <c r="C50" s="14" t="e">
        <f>IF($A50&lt;&gt;"",IF(VLOOKUP($A50,貼り付け用!$A$1:$BA$300,COLUMN(),FALSE)=0,"",VLOOKUP($A50,貼り付け用!$A$1:$BA$300,COLUMN(),FALSE)),"")</f>
        <v>#N/A</v>
      </c>
      <c r="D50" s="14" t="e">
        <f>IF($A50&lt;&gt;"",IF(VLOOKUP($A50,貼り付け用!$A$1:$BA$300,COLUMN(),FALSE)=0,"",VLOOKUP($A50,貼り付け用!$A$1:$BA$300,COLUMN(),FALSE)),"")</f>
        <v>#N/A</v>
      </c>
      <c r="E50" s="14" t="e">
        <f>IF($A50&lt;&gt;"",IF(VLOOKUP($A50,貼り付け用!$A$1:$BA$300,COLUMN(),FALSE)=0,"",VLOOKUP($A50,貼り付け用!$A$1:$BA$300,COLUMN(),FALSE)),"")</f>
        <v>#N/A</v>
      </c>
      <c r="F50" s="14" t="e">
        <f>IF($A50&lt;&gt;"",IF(VLOOKUP($A50,貼り付け用!$A$1:$BA$300,COLUMN(),FALSE)=0,"",VLOOKUP($A50,貼り付け用!$A$1:$BA$300,COLUMN(),FALSE)),"")</f>
        <v>#N/A</v>
      </c>
      <c r="G50" s="14" t="e">
        <f>IF($A50&lt;&gt;"",IF(VLOOKUP($A50,貼り付け用!$A$1:$BA$300,COLUMN(),FALSE)=0,"",VLOOKUP($A50,貼り付け用!$A$1:$BA$300,COLUMN(),FALSE)),"")</f>
        <v>#N/A</v>
      </c>
      <c r="H50" s="14" t="e">
        <f>IF($A50&lt;&gt;"",IF(VLOOKUP($A50,貼り付け用!$A$1:$BA$300,COLUMN(),FALSE)=0,"",VLOOKUP($A50,貼り付け用!$A$1:$BA$300,COLUMN(),FALSE)),"")</f>
        <v>#N/A</v>
      </c>
      <c r="I50" s="14" t="e">
        <f>IF($A50&lt;&gt;"",IF(VLOOKUP($A50,貼り付け用!$A$1:$BA$300,COLUMN(),FALSE)=0,"",VLOOKUP($A50,貼り付け用!$A$1:$BA$300,COLUMN(),FALSE)),"")</f>
        <v>#N/A</v>
      </c>
      <c r="J50" s="14" t="e">
        <f>IF($A50&lt;&gt;"",IF(VLOOKUP($A50,貼り付け用!$A$1:$BA$300,COLUMN(),FALSE)=0,"",VLOOKUP($A50,貼り付け用!$A$1:$BA$300,COLUMN(),FALSE)),"")</f>
        <v>#N/A</v>
      </c>
      <c r="K50" s="14" t="e">
        <f>IF($A50&lt;&gt;"",IF(VLOOKUP($A50,貼り付け用!$A$1:$BA$300,COLUMN(),FALSE)=0,"",VLOOKUP($A50,貼り付け用!$A$1:$BA$300,COLUMN(),FALSE)),"")</f>
        <v>#N/A</v>
      </c>
      <c r="L50" s="14" t="e">
        <f>IF($A50&lt;&gt;"",
IF(COLUMN(貼り付け用!L50)&gt;MATCH("おやつ",貼り付け用!$3:$3,0),"",
IF(VLOOKUP($A50,貼り付け用!$A$1:$BA$300,COLUMN(),FALSE)=0,"",VLOOKUP($A50,貼り付け用!$A$1:$BA$300,COLUMN(),FALSE))),"")</f>
        <v>#N/A</v>
      </c>
      <c r="M50" s="14" t="e">
        <f>IF($A50&lt;&gt;"",
IF(COLUMN(貼り付け用!M50)&gt;MATCH("おやつ",貼り付け用!$3:$3,0),"",
IF(VLOOKUP($A50,貼り付け用!$A$1:$BA$300,COLUMN(),FALSE)=0,"",VLOOKUP($A50,貼り付け用!$A$1:$BA$300,COLUMN(),FALSE))),"")</f>
        <v>#N/A</v>
      </c>
      <c r="N50" s="14" t="e">
        <f>IF($A50&lt;&gt;"",
IF(COLUMN(貼り付け用!N50)&gt;MATCH("おやつ",貼り付け用!$3:$3,0),"",
IF(VLOOKUP($A50,貼り付け用!$A$1:$BA$300,COLUMN(),FALSE)=0,"",VLOOKUP($A50,貼り付け用!$A$1:$BA$300,COLUMN(),FALSE))),"")</f>
        <v>#N/A</v>
      </c>
      <c r="O50" s="14" t="e">
        <f>IF($A50&lt;&gt;"",
IF(COLUMN(貼り付け用!O50)&gt;MATCH("おやつ",貼り付け用!$3:$3,0),"",
IF(VLOOKUP($A50,貼り付け用!$A$1:$BA$300,COLUMN(),FALSE)=0,"",VLOOKUP($A50,貼り付け用!$A$1:$BA$300,COLUMN(),FALSE))),"")</f>
        <v>#N/A</v>
      </c>
      <c r="P50" s="14" t="e">
        <f>IF($A50&lt;&gt;"",
IF(COLUMN(貼り付け用!P50)&gt;MATCH("おやつ",貼り付け用!$3:$3,0),"",
IF(VLOOKUP($A50,貼り付け用!$A$1:$BA$300,COLUMN(),FALSE)=0,"",VLOOKUP($A50,貼り付け用!$A$1:$BA$300,COLUMN(),FALSE))),"")</f>
        <v>#N/A</v>
      </c>
      <c r="Q50" s="14" t="e">
        <f>IF($A50&lt;&gt;"",
IF(COLUMN(貼り付け用!Q50)&gt;MATCH("おやつ",貼り付け用!$3:$3,0),"",
IF(VLOOKUP($A50,貼り付け用!$A$1:$BA$300,COLUMN(),FALSE)=0,"",VLOOKUP($A50,貼り付け用!$A$1:$BA$300,COLUMN(),FALSE))),"")</f>
        <v>#N/A</v>
      </c>
      <c r="R50" s="14" t="e">
        <f>IF($A50&lt;&gt;"",
IF(COLUMN(貼り付け用!R50)&gt;MATCH("おやつ",貼り付け用!$3:$3,0),"",
IF(VLOOKUP($A50,貼り付け用!$A$1:$BA$300,COLUMN(),FALSE)=0,"",VLOOKUP($A50,貼り付け用!$A$1:$BA$300,COLUMN(),FALSE))),"")</f>
        <v>#N/A</v>
      </c>
      <c r="S50" s="14" t="e">
        <f>IF($A50&lt;&gt;"",
IF(COLUMN(貼り付け用!S50)&gt;MATCH("おやつ",貼り付け用!$3:$3,0),"",
IF(VLOOKUP($A50,貼り付け用!$A$1:$BA$300,COLUMN(),FALSE)=0,"",VLOOKUP($A50,貼り付け用!$A$1:$BA$300,COLUMN(),FALSE))),"")</f>
        <v>#N/A</v>
      </c>
      <c r="T50" s="14" t="e">
        <f>IF(COLUMN(貼り付け用!T50)&gt;MATCH("おやつ",貼り付け用!$3:$3,0),"",
IF(VLOOKUP($A50,貼り付け用!$A$1:$BA$300,COLUMN(),FALSE)=0,"",VLOOKUP($A50,貼り付け用!$A$1:$BA$300,COLUMN(),FALSE)))</f>
        <v>#N/A</v>
      </c>
      <c r="U50" s="11"/>
      <c r="V50" s="55" t="e">
        <f>IF(A50&lt;&gt;"",
IF(VLOOKUP($A50,貼り付け用!$A$1:$BA$300,MATCH("おやつ",貼り付け用!$3:$3,0)+1,FALSE)=0,"",VLOOKUP($A50,貼り付け用!$A$1:$BA$300,MATCH("おやつ",貼り付け用!$3:$3,0)+1,FALSE)),"")</f>
        <v>#N/A</v>
      </c>
      <c r="W50" s="14" t="e">
        <f>IF(A50&lt;&gt;"",
IF(VLOOKUP($A50,貼り付け用!$A$1:$BA$300,MATCH("おやつ",貼り付け用!$3:$3,0)+2,FALSE)=0,"",VLOOKUP($A50,貼り付け用!$A$1:$BA$300,MATCH("おやつ",貼り付け用!$3:$3,0)+2,FALSE)),"")</f>
        <v>#N/A</v>
      </c>
    </row>
    <row r="51" spans="1:23">
      <c r="A51" s="8" t="e">
        <f>IF(貼り付け用!$A$6&lt;&gt;"",
IF(ROW(A50)+1&gt;=MATCH("*10000*", 貼り付け用!$A:$A, 0),"",
IF(貼り付け用!A51&lt;&gt;"",貼り付け用!A51,"")),
IF(ROW(A51)+1&gt;=MATCH("*10000*", 貼り付け用!$A:$A, 0),"",
IF(貼り付け用!A52&lt;&gt;"",貼り付け用!A52,"")))</f>
        <v>#N/A</v>
      </c>
      <c r="B51" s="3" t="e">
        <f>IF($A51&lt;&gt;"",IF(VLOOKUP($A51,貼り付け用!$A$1:$BA$300,COLUMN(),FALSE)=0,"",VLOOKUP($A51,貼り付け用!$A$1:$BA$300,COLUMN(),FALSE)),"")</f>
        <v>#N/A</v>
      </c>
      <c r="C51" s="3" t="e">
        <f>IF($A51&lt;&gt;"",IF(VLOOKUP($A51,貼り付け用!$A$1:$BA$300,COLUMN(),FALSE)=0,"",VLOOKUP($A51,貼り付け用!$A$1:$BA$300,COLUMN(),FALSE)),"")</f>
        <v>#N/A</v>
      </c>
      <c r="D51" s="3" t="e">
        <f>IF($A51&lt;&gt;"",IF(VLOOKUP($A51,貼り付け用!$A$1:$BA$300,COLUMN(),FALSE)=0,"",VLOOKUP($A51,貼り付け用!$A$1:$BA$300,COLUMN(),FALSE)),"")</f>
        <v>#N/A</v>
      </c>
      <c r="E51" s="3" t="e">
        <f>IF($A51&lt;&gt;"",IF(VLOOKUP($A51,貼り付け用!$A$1:$BA$300,COLUMN(),FALSE)=0,"",VLOOKUP($A51,貼り付け用!$A$1:$BA$300,COLUMN(),FALSE)),"")</f>
        <v>#N/A</v>
      </c>
      <c r="F51" s="3" t="e">
        <f>IF($A51&lt;&gt;"",IF(VLOOKUP($A51,貼り付け用!$A$1:$BA$300,COLUMN(),FALSE)=0,"",VLOOKUP($A51,貼り付け用!$A$1:$BA$300,COLUMN(),FALSE)),"")</f>
        <v>#N/A</v>
      </c>
      <c r="G51" s="3" t="e">
        <f>IF($A51&lt;&gt;"",IF(VLOOKUP($A51,貼り付け用!$A$1:$BA$300,COLUMN(),FALSE)=0,"",VLOOKUP($A51,貼り付け用!$A$1:$BA$300,COLUMN(),FALSE)),"")</f>
        <v>#N/A</v>
      </c>
      <c r="H51" s="3" t="e">
        <f>IF($A51&lt;&gt;"",IF(VLOOKUP($A51,貼り付け用!$A$1:$BA$300,COLUMN(),FALSE)=0,"",VLOOKUP($A51,貼り付け用!$A$1:$BA$300,COLUMN(),FALSE)),"")</f>
        <v>#N/A</v>
      </c>
      <c r="I51" s="3" t="e">
        <f>IF($A51&lt;&gt;"",IF(VLOOKUP($A51,貼り付け用!$A$1:$BA$300,COLUMN(),FALSE)=0,"",VLOOKUP($A51,貼り付け用!$A$1:$BA$300,COLUMN(),FALSE)),"")</f>
        <v>#N/A</v>
      </c>
      <c r="J51" s="3" t="e">
        <f>IF($A51&lt;&gt;"",IF(VLOOKUP($A51,貼り付け用!$A$1:$BA$300,COLUMN(),FALSE)=0,"",VLOOKUP($A51,貼り付け用!$A$1:$BA$300,COLUMN(),FALSE)),"")</f>
        <v>#N/A</v>
      </c>
      <c r="K51" s="3" t="e">
        <f>IF($A51&lt;&gt;"",IF(VLOOKUP($A51,貼り付け用!$A$1:$BA$300,COLUMN(),FALSE)=0,"",VLOOKUP($A51,貼り付け用!$A$1:$BA$300,COLUMN(),FALSE)),"")</f>
        <v>#N/A</v>
      </c>
      <c r="L51" s="3" t="e">
        <f>IF($A51&lt;&gt;"",
IF(COLUMN(貼り付け用!L51)&gt;MATCH("おやつ",貼り付け用!$3:$3,0),"",
IF(VLOOKUP($A51,貼り付け用!$A$1:$BA$300,COLUMN(),FALSE)=0,"",VLOOKUP($A51,貼り付け用!$A$1:$BA$300,COLUMN(),FALSE))),"")</f>
        <v>#N/A</v>
      </c>
      <c r="M51" s="3" t="e">
        <f>IF($A51&lt;&gt;"",
IF(COLUMN(貼り付け用!M51)&gt;MATCH("おやつ",貼り付け用!$3:$3,0),"",
IF(VLOOKUP($A51,貼り付け用!$A$1:$BA$300,COLUMN(),FALSE)=0,"",VLOOKUP($A51,貼り付け用!$A$1:$BA$300,COLUMN(),FALSE))),"")</f>
        <v>#N/A</v>
      </c>
      <c r="N51" s="3" t="e">
        <f>IF($A51&lt;&gt;"",
IF(COLUMN(貼り付け用!N51)&gt;MATCH("おやつ",貼り付け用!$3:$3,0),"",
IF(VLOOKUP($A51,貼り付け用!$A$1:$BA$300,COLUMN(),FALSE)=0,"",VLOOKUP($A51,貼り付け用!$A$1:$BA$300,COLUMN(),FALSE))),"")</f>
        <v>#N/A</v>
      </c>
      <c r="O51" s="3" t="e">
        <f>IF($A51&lt;&gt;"",
IF(COLUMN(貼り付け用!O51)&gt;MATCH("おやつ",貼り付け用!$3:$3,0),"",
IF(VLOOKUP($A51,貼り付け用!$A$1:$BA$300,COLUMN(),FALSE)=0,"",VLOOKUP($A51,貼り付け用!$A$1:$BA$300,COLUMN(),FALSE))),"")</f>
        <v>#N/A</v>
      </c>
      <c r="P51" s="3" t="e">
        <f>IF($A51&lt;&gt;"",
IF(COLUMN(貼り付け用!P51)&gt;MATCH("おやつ",貼り付け用!$3:$3,0),"",
IF(VLOOKUP($A51,貼り付け用!$A$1:$BA$300,COLUMN(),FALSE)=0,"",VLOOKUP($A51,貼り付け用!$A$1:$BA$300,COLUMN(),FALSE))),"")</f>
        <v>#N/A</v>
      </c>
      <c r="Q51" s="3" t="e">
        <f>IF($A51&lt;&gt;"",
IF(COLUMN(貼り付け用!Q51)&gt;MATCH("おやつ",貼り付け用!$3:$3,0),"",
IF(VLOOKUP($A51,貼り付け用!$A$1:$BA$300,COLUMN(),FALSE)=0,"",VLOOKUP($A51,貼り付け用!$A$1:$BA$300,COLUMN(),FALSE))),"")</f>
        <v>#N/A</v>
      </c>
      <c r="R51" s="3" t="e">
        <f>IF($A51&lt;&gt;"",
IF(COLUMN(貼り付け用!R51)&gt;MATCH("おやつ",貼り付け用!$3:$3,0),"",
IF(VLOOKUP($A51,貼り付け用!$A$1:$BA$300,COLUMN(),FALSE)=0,"",VLOOKUP($A51,貼り付け用!$A$1:$BA$300,COLUMN(),FALSE))),"")</f>
        <v>#N/A</v>
      </c>
      <c r="S51" s="3" t="e">
        <f>IF($A51&lt;&gt;"",
IF(COLUMN(貼り付け用!S51)&gt;MATCH("おやつ",貼り付け用!$3:$3,0),"",
IF(VLOOKUP($A51,貼り付け用!$A$1:$BA$300,COLUMN(),FALSE)=0,"",VLOOKUP($A51,貼り付け用!$A$1:$BA$300,COLUMN(),FALSE))),"")</f>
        <v>#N/A</v>
      </c>
      <c r="T51" s="3" t="e">
        <f>IF(COLUMN(貼り付け用!T51)&gt;MATCH("おやつ",貼り付け用!$3:$3,0),"",
IF(VLOOKUP($A51,貼り付け用!$A$1:$BA$300,COLUMN(),FALSE)=0,"",VLOOKUP($A51,貼り付け用!$A$1:$BA$300,COLUMN(),FALSE)))</f>
        <v>#N/A</v>
      </c>
      <c r="U51" s="21"/>
      <c r="V51" s="55" t="e">
        <f>IF(A51&lt;&gt;"",
IF(VLOOKUP($A51,貼り付け用!$A$1:$BA$300,MATCH("おやつ",貼り付け用!$3:$3,0)+1,FALSE)=0,"",VLOOKUP($A51,貼り付け用!$A$1:$BA$300,MATCH("おやつ",貼り付け用!$3:$3,0)+1,FALSE)),"")</f>
        <v>#N/A</v>
      </c>
      <c r="W51" s="14" t="e">
        <f>IF(A51&lt;&gt;"",
IF(VLOOKUP($A51,貼り付け用!$A$1:$BA$300,MATCH("おやつ",貼り付け用!$3:$3,0)+2,FALSE)=0,"",VLOOKUP($A51,貼り付け用!$A$1:$BA$300,MATCH("おやつ",貼り付け用!$3:$3,0)+2,FALSE)),"")</f>
        <v>#N/A</v>
      </c>
    </row>
    <row r="52" spans="1:23">
      <c r="A52" s="4" t="e">
        <f>IF(貼り付け用!$A$6&lt;&gt;"",
IF(ROW(A51)+1&gt;=MATCH("*10000*", 貼り付け用!$A:$A, 0),
IF(COUNTIF(A50,"*10000*"),"10001",
IF(COUNTIF(A50,"*10001*"),"10002",
IF(COUNTIF(A50,"*10002*"),"",
IF(COUNTIF(A50,""),"","10000")))),
IF(貼り付け用!A52&lt;&gt;"",貼り付け用!A52,"")),
IF(ROW(A52)+1&gt;=MATCH("*10000*", 貼り付け用!$A:$A, 0),
IF(COUNTIF(A50,"*10000*"),"10001",
IF(COUNTIF(A50,"*10001*"),"10002",
IF(COUNTIF(A50,"*10002*"),"",
IF(COUNTIF(A50,""),"","10000")))),
IF(貼り付け用!A53&lt;&gt;"",貼り付け用!A53,"")))</f>
        <v>#N/A</v>
      </c>
      <c r="B52" s="14" t="e">
        <f>IF($A52&lt;&gt;"",IF(VLOOKUP($A52,貼り付け用!$A$1:$BA$300,COLUMN(),FALSE)=0,"",VLOOKUP($A52,貼り付け用!$A$1:$BA$300,COLUMN(),FALSE)),"")</f>
        <v>#N/A</v>
      </c>
      <c r="C52" s="14" t="e">
        <f>IF($A52&lt;&gt;"",IF(VLOOKUP($A52,貼り付け用!$A$1:$BA$300,COLUMN(),FALSE)=0,"",VLOOKUP($A52,貼り付け用!$A$1:$BA$300,COLUMN(),FALSE)),"")</f>
        <v>#N/A</v>
      </c>
      <c r="D52" s="14" t="e">
        <f>IF($A52&lt;&gt;"",IF(VLOOKUP($A52,貼り付け用!$A$1:$BA$300,COLUMN(),FALSE)=0,"",VLOOKUP($A52,貼り付け用!$A$1:$BA$300,COLUMN(),FALSE)),"")</f>
        <v>#N/A</v>
      </c>
      <c r="E52" s="14" t="e">
        <f>IF($A52&lt;&gt;"",IF(VLOOKUP($A52,貼り付け用!$A$1:$BA$300,COLUMN(),FALSE)=0,"",VLOOKUP($A52,貼り付け用!$A$1:$BA$300,COLUMN(),FALSE)),"")</f>
        <v>#N/A</v>
      </c>
      <c r="F52" s="14" t="e">
        <f>IF($A52&lt;&gt;"",IF(VLOOKUP($A52,貼り付け用!$A$1:$BA$300,COLUMN(),FALSE)=0,"",VLOOKUP($A52,貼り付け用!$A$1:$BA$300,COLUMN(),FALSE)),"")</f>
        <v>#N/A</v>
      </c>
      <c r="G52" s="14" t="e">
        <f>IF($A52&lt;&gt;"",IF(VLOOKUP($A52,貼り付け用!$A$1:$BA$300,COLUMN(),FALSE)=0,"",VLOOKUP($A52,貼り付け用!$A$1:$BA$300,COLUMN(),FALSE)),"")</f>
        <v>#N/A</v>
      </c>
      <c r="H52" s="14" t="e">
        <f>IF($A52&lt;&gt;"",IF(VLOOKUP($A52,貼り付け用!$A$1:$BA$300,COLUMN(),FALSE)=0,"",VLOOKUP($A52,貼り付け用!$A$1:$BA$300,COLUMN(),FALSE)),"")</f>
        <v>#N/A</v>
      </c>
      <c r="I52" s="14" t="e">
        <f>IF($A52&lt;&gt;"",IF(VLOOKUP($A52,貼り付け用!$A$1:$BA$300,COLUMN(),FALSE)=0,"",VLOOKUP($A52,貼り付け用!$A$1:$BA$300,COLUMN(),FALSE)),"")</f>
        <v>#N/A</v>
      </c>
      <c r="J52" s="14" t="e">
        <f>IF($A52&lt;&gt;"",IF(VLOOKUP($A52,貼り付け用!$A$1:$BA$300,COLUMN(),FALSE)=0,"",VLOOKUP($A52,貼り付け用!$A$1:$BA$300,COLUMN(),FALSE)),"")</f>
        <v>#N/A</v>
      </c>
      <c r="K52" s="14" t="e">
        <f>IF($A52&lt;&gt;"",IF(VLOOKUP($A52,貼り付け用!$A$1:$BA$300,COLUMN(),FALSE)=0,"",VLOOKUP($A52,貼り付け用!$A$1:$BA$300,COLUMN(),FALSE)),"")</f>
        <v>#N/A</v>
      </c>
      <c r="L52" s="14" t="e">
        <f>IF($A52&lt;&gt;"",
IF(COLUMN(貼り付け用!L52)&gt;MATCH("おやつ",貼り付け用!$3:$3,0),"",
IF(VLOOKUP($A52,貼り付け用!$A$1:$BA$300,COLUMN(),FALSE)=0,"",VLOOKUP($A52,貼り付け用!$A$1:$BA$300,COLUMN(),FALSE))),"")</f>
        <v>#N/A</v>
      </c>
      <c r="M52" s="14" t="e">
        <f>IF($A52&lt;&gt;"",
IF(COLUMN(貼り付け用!M52)&gt;MATCH("おやつ",貼り付け用!$3:$3,0),"",
IF(VLOOKUP($A52,貼り付け用!$A$1:$BA$300,COLUMN(),FALSE)=0,"",VLOOKUP($A52,貼り付け用!$A$1:$BA$300,COLUMN(),FALSE))),"")</f>
        <v>#N/A</v>
      </c>
      <c r="N52" s="14" t="e">
        <f>IF($A52&lt;&gt;"",
IF(COLUMN(貼り付け用!N52)&gt;MATCH("おやつ",貼り付け用!$3:$3,0),"",
IF(VLOOKUP($A52,貼り付け用!$A$1:$BA$300,COLUMN(),FALSE)=0,"",VLOOKUP($A52,貼り付け用!$A$1:$BA$300,COLUMN(),FALSE))),"")</f>
        <v>#N/A</v>
      </c>
      <c r="O52" s="14" t="e">
        <f>IF($A52&lt;&gt;"",
IF(COLUMN(貼り付け用!O52)&gt;MATCH("おやつ",貼り付け用!$3:$3,0),"",
IF(VLOOKUP($A52,貼り付け用!$A$1:$BA$300,COLUMN(),FALSE)=0,"",VLOOKUP($A52,貼り付け用!$A$1:$BA$300,COLUMN(),FALSE))),"")</f>
        <v>#N/A</v>
      </c>
      <c r="P52" s="14" t="e">
        <f>IF($A52&lt;&gt;"",
IF(COLUMN(貼り付け用!P52)&gt;MATCH("おやつ",貼り付け用!$3:$3,0),"",
IF(VLOOKUP($A52,貼り付け用!$A$1:$BA$300,COLUMN(),FALSE)=0,"",VLOOKUP($A52,貼り付け用!$A$1:$BA$300,COLUMN(),FALSE))),"")</f>
        <v>#N/A</v>
      </c>
      <c r="Q52" s="14" t="e">
        <f>IF($A52&lt;&gt;"",
IF(COLUMN(貼り付け用!Q52)&gt;MATCH("おやつ",貼り付け用!$3:$3,0),"",
IF(VLOOKUP($A52,貼り付け用!$A$1:$BA$300,COLUMN(),FALSE)=0,"",VLOOKUP($A52,貼り付け用!$A$1:$BA$300,COLUMN(),FALSE))),"")</f>
        <v>#N/A</v>
      </c>
      <c r="R52" s="14" t="e">
        <f>IF($A52&lt;&gt;"",
IF(COLUMN(貼り付け用!R52)&gt;MATCH("おやつ",貼り付け用!$3:$3,0),"",
IF(VLOOKUP($A52,貼り付け用!$A$1:$BA$300,COLUMN(),FALSE)=0,"",VLOOKUP($A52,貼り付け用!$A$1:$BA$300,COLUMN(),FALSE))),"")</f>
        <v>#N/A</v>
      </c>
      <c r="S52" s="14" t="e">
        <f>IF($A52&lt;&gt;"",
IF(COLUMN(貼り付け用!S52)&gt;MATCH("おやつ",貼り付け用!$3:$3,0),"",
IF(VLOOKUP($A52,貼り付け用!$A$1:$BA$300,COLUMN(),FALSE)=0,"",VLOOKUP($A52,貼り付け用!$A$1:$BA$300,COLUMN(),FALSE))),"")</f>
        <v>#N/A</v>
      </c>
      <c r="T52" s="14" t="e">
        <f>IF(COLUMN(貼り付け用!T52)&gt;MATCH("おやつ",貼り付け用!$3:$3,0),"",
IF(VLOOKUP($A52,貼り付け用!$A$1:$BA$300,COLUMN(),FALSE)=0,"",VLOOKUP($A52,貼り付け用!$A$1:$BA$300,COLUMN(),FALSE)))</f>
        <v>#N/A</v>
      </c>
      <c r="U52" s="11"/>
      <c r="V52" s="55" t="e">
        <f>IF(A52&lt;&gt;"",
IF(VLOOKUP($A52,貼り付け用!$A$1:$BA$300,MATCH("おやつ",貼り付け用!$3:$3,0)+1,FALSE)=0,"",VLOOKUP($A52,貼り付け用!$A$1:$BA$300,MATCH("おやつ",貼り付け用!$3:$3,0)+1,FALSE)),"")</f>
        <v>#N/A</v>
      </c>
      <c r="W52" s="14" t="e">
        <f>IF(A52&lt;&gt;"",
IF(VLOOKUP($A52,貼り付け用!$A$1:$BA$300,MATCH("おやつ",貼り付け用!$3:$3,0)+2,FALSE)=0,"",VLOOKUP($A52,貼り付け用!$A$1:$BA$300,MATCH("おやつ",貼り付け用!$3:$3,0)+2,FALSE)),"")</f>
        <v>#N/A</v>
      </c>
    </row>
    <row r="53" spans="1:23">
      <c r="A53" s="8" t="e">
        <f>IF(貼り付け用!$A$6&lt;&gt;"",
IF(ROW(A52)+1&gt;=MATCH("*10000*", 貼り付け用!$A:$A, 0),"",
IF(貼り付け用!A53&lt;&gt;"",貼り付け用!A53,"")),
IF(ROW(A53)+1&gt;=MATCH("*10000*", 貼り付け用!$A:$A, 0),"",
IF(貼り付け用!A54&lt;&gt;"",貼り付け用!A54,"")))</f>
        <v>#N/A</v>
      </c>
      <c r="B53" s="3" t="e">
        <f>IF($A53&lt;&gt;"",IF(VLOOKUP($A53,貼り付け用!$A$1:$BA$300,COLUMN(),FALSE)=0,"",VLOOKUP($A53,貼り付け用!$A$1:$BA$300,COLUMN(),FALSE)),"")</f>
        <v>#N/A</v>
      </c>
      <c r="C53" s="3" t="e">
        <f>IF($A53&lt;&gt;"",IF(VLOOKUP($A53,貼り付け用!$A$1:$BA$300,COLUMN(),FALSE)=0,"",VLOOKUP($A53,貼り付け用!$A$1:$BA$300,COLUMN(),FALSE)),"")</f>
        <v>#N/A</v>
      </c>
      <c r="D53" s="3" t="e">
        <f>IF($A53&lt;&gt;"",IF(VLOOKUP($A53,貼り付け用!$A$1:$BA$300,COLUMN(),FALSE)=0,"",VLOOKUP($A53,貼り付け用!$A$1:$BA$300,COLUMN(),FALSE)),"")</f>
        <v>#N/A</v>
      </c>
      <c r="E53" s="3" t="e">
        <f>IF($A53&lt;&gt;"",IF(VLOOKUP($A53,貼り付け用!$A$1:$BA$300,COLUMN(),FALSE)=0,"",VLOOKUP($A53,貼り付け用!$A$1:$BA$300,COLUMN(),FALSE)),"")</f>
        <v>#N/A</v>
      </c>
      <c r="F53" s="3" t="e">
        <f>IF($A53&lt;&gt;"",IF(VLOOKUP($A53,貼り付け用!$A$1:$BA$300,COLUMN(),FALSE)=0,"",VLOOKUP($A53,貼り付け用!$A$1:$BA$300,COLUMN(),FALSE)),"")</f>
        <v>#N/A</v>
      </c>
      <c r="G53" s="3" t="e">
        <f>IF($A53&lt;&gt;"",IF(VLOOKUP($A53,貼り付け用!$A$1:$BA$300,COLUMN(),FALSE)=0,"",VLOOKUP($A53,貼り付け用!$A$1:$BA$300,COLUMN(),FALSE)),"")</f>
        <v>#N/A</v>
      </c>
      <c r="H53" s="3" t="e">
        <f>IF($A53&lt;&gt;"",IF(VLOOKUP($A53,貼り付け用!$A$1:$BA$300,COLUMN(),FALSE)=0,"",VLOOKUP($A53,貼り付け用!$A$1:$BA$300,COLUMN(),FALSE)),"")</f>
        <v>#N/A</v>
      </c>
      <c r="I53" s="3" t="e">
        <f>IF($A53&lt;&gt;"",IF(VLOOKUP($A53,貼り付け用!$A$1:$BA$300,COLUMN(),FALSE)=0,"",VLOOKUP($A53,貼り付け用!$A$1:$BA$300,COLUMN(),FALSE)),"")</f>
        <v>#N/A</v>
      </c>
      <c r="J53" s="3" t="e">
        <f>IF($A53&lt;&gt;"",IF(VLOOKUP($A53,貼り付け用!$A$1:$BA$300,COLUMN(),FALSE)=0,"",VLOOKUP($A53,貼り付け用!$A$1:$BA$300,COLUMN(),FALSE)),"")</f>
        <v>#N/A</v>
      </c>
      <c r="K53" s="3" t="e">
        <f>IF($A53&lt;&gt;"",IF(VLOOKUP($A53,貼り付け用!$A$1:$BA$300,COLUMN(),FALSE)=0,"",VLOOKUP($A53,貼り付け用!$A$1:$BA$300,COLUMN(),FALSE)),"")</f>
        <v>#N/A</v>
      </c>
      <c r="L53" s="3" t="e">
        <f>IF($A53&lt;&gt;"",
IF(COLUMN(貼り付け用!L53)&gt;MATCH("おやつ",貼り付け用!$3:$3,0),"",
IF(VLOOKUP($A53,貼り付け用!$A$1:$BA$300,COLUMN(),FALSE)=0,"",VLOOKUP($A53,貼り付け用!$A$1:$BA$300,COLUMN(),FALSE))),"")</f>
        <v>#N/A</v>
      </c>
      <c r="M53" s="3" t="e">
        <f>IF($A53&lt;&gt;"",
IF(COLUMN(貼り付け用!M53)&gt;MATCH("おやつ",貼り付け用!$3:$3,0),"",
IF(VLOOKUP($A53,貼り付け用!$A$1:$BA$300,COLUMN(),FALSE)=0,"",VLOOKUP($A53,貼り付け用!$A$1:$BA$300,COLUMN(),FALSE))),"")</f>
        <v>#N/A</v>
      </c>
      <c r="N53" s="3" t="e">
        <f>IF($A53&lt;&gt;"",
IF(COLUMN(貼り付け用!N53)&gt;MATCH("おやつ",貼り付け用!$3:$3,0),"",
IF(VLOOKUP($A53,貼り付け用!$A$1:$BA$300,COLUMN(),FALSE)=0,"",VLOOKUP($A53,貼り付け用!$A$1:$BA$300,COLUMN(),FALSE))),"")</f>
        <v>#N/A</v>
      </c>
      <c r="O53" s="3" t="e">
        <f>IF($A53&lt;&gt;"",
IF(COLUMN(貼り付け用!O53)&gt;MATCH("おやつ",貼り付け用!$3:$3,0),"",
IF(VLOOKUP($A53,貼り付け用!$A$1:$BA$300,COLUMN(),FALSE)=0,"",VLOOKUP($A53,貼り付け用!$A$1:$BA$300,COLUMN(),FALSE))),"")</f>
        <v>#N/A</v>
      </c>
      <c r="P53" s="3" t="e">
        <f>IF($A53&lt;&gt;"",
IF(COLUMN(貼り付け用!P53)&gt;MATCH("おやつ",貼り付け用!$3:$3,0),"",
IF(VLOOKUP($A53,貼り付け用!$A$1:$BA$300,COLUMN(),FALSE)=0,"",VLOOKUP($A53,貼り付け用!$A$1:$BA$300,COLUMN(),FALSE))),"")</f>
        <v>#N/A</v>
      </c>
      <c r="Q53" s="3" t="e">
        <f>IF($A53&lt;&gt;"",
IF(COLUMN(貼り付け用!Q53)&gt;MATCH("おやつ",貼り付け用!$3:$3,0),"",
IF(VLOOKUP($A53,貼り付け用!$A$1:$BA$300,COLUMN(),FALSE)=0,"",VLOOKUP($A53,貼り付け用!$A$1:$BA$300,COLUMN(),FALSE))),"")</f>
        <v>#N/A</v>
      </c>
      <c r="R53" s="3" t="e">
        <f>IF($A53&lt;&gt;"",
IF(COLUMN(貼り付け用!R53)&gt;MATCH("おやつ",貼り付け用!$3:$3,0),"",
IF(VLOOKUP($A53,貼り付け用!$A$1:$BA$300,COLUMN(),FALSE)=0,"",VLOOKUP($A53,貼り付け用!$A$1:$BA$300,COLUMN(),FALSE))),"")</f>
        <v>#N/A</v>
      </c>
      <c r="S53" s="3" t="e">
        <f>IF($A53&lt;&gt;"",
IF(COLUMN(貼り付け用!S53)&gt;MATCH("おやつ",貼り付け用!$3:$3,0),"",
IF(VLOOKUP($A53,貼り付け用!$A$1:$BA$300,COLUMN(),FALSE)=0,"",VLOOKUP($A53,貼り付け用!$A$1:$BA$300,COLUMN(),FALSE))),"")</f>
        <v>#N/A</v>
      </c>
      <c r="T53" s="3" t="e">
        <f>IF(COLUMN(貼り付け用!T53)&gt;MATCH("おやつ",貼り付け用!$3:$3,0),"",
IF(VLOOKUP($A53,貼り付け用!$A$1:$BA$300,COLUMN(),FALSE)=0,"",VLOOKUP($A53,貼り付け用!$A$1:$BA$300,COLUMN(),FALSE)))</f>
        <v>#N/A</v>
      </c>
      <c r="U53" s="21"/>
      <c r="V53" s="55" t="e">
        <f>IF(A53&lt;&gt;"",
IF(VLOOKUP($A53,貼り付け用!$A$1:$BA$300,MATCH("おやつ",貼り付け用!$3:$3,0)+1,FALSE)=0,"",VLOOKUP($A53,貼り付け用!$A$1:$BA$300,MATCH("おやつ",貼り付け用!$3:$3,0)+1,FALSE)),"")</f>
        <v>#N/A</v>
      </c>
      <c r="W53" s="14" t="e">
        <f>IF(A53&lt;&gt;"",
IF(VLOOKUP($A53,貼り付け用!$A$1:$BA$300,MATCH("おやつ",貼り付け用!$3:$3,0)+2,FALSE)=0,"",VLOOKUP($A53,貼り付け用!$A$1:$BA$300,MATCH("おやつ",貼り付け用!$3:$3,0)+2,FALSE)),"")</f>
        <v>#N/A</v>
      </c>
    </row>
    <row r="54" spans="1:23">
      <c r="A54" s="4" t="e">
        <f>IF(貼り付け用!$A$6&lt;&gt;"",
IF(ROW(A53)+1&gt;=MATCH("*10000*", 貼り付け用!$A:$A, 0),
IF(COUNTIF(A52,"*10000*"),"10001",
IF(COUNTIF(A52,"*10001*"),"10002",
IF(COUNTIF(A52,"*10002*"),"",
IF(COUNTIF(A52,""),"","10000")))),
IF(貼り付け用!A54&lt;&gt;"",貼り付け用!A54,"")),
IF(ROW(A54)+1&gt;=MATCH("*10000*", 貼り付け用!$A:$A, 0),
IF(COUNTIF(A52,"*10000*"),"10001",
IF(COUNTIF(A52,"*10001*"),"10002",
IF(COUNTIF(A52,"*10002*"),"",
IF(COUNTIF(A52,""),"","10000")))),
IF(貼り付け用!A55&lt;&gt;"",貼り付け用!A55,"")))</f>
        <v>#N/A</v>
      </c>
      <c r="B54" s="14" t="e">
        <f>IF($A54&lt;&gt;"",IF(VLOOKUP($A54,貼り付け用!$A$1:$BA$300,COLUMN(),FALSE)=0,"",VLOOKUP($A54,貼り付け用!$A$1:$BA$300,COLUMN(),FALSE)),"")</f>
        <v>#N/A</v>
      </c>
      <c r="C54" s="14" t="e">
        <f>IF($A54&lt;&gt;"",IF(VLOOKUP($A54,貼り付け用!$A$1:$BA$300,COLUMN(),FALSE)=0,"",VLOOKUP($A54,貼り付け用!$A$1:$BA$300,COLUMN(),FALSE)),"")</f>
        <v>#N/A</v>
      </c>
      <c r="D54" s="14" t="e">
        <f>IF($A54&lt;&gt;"",IF(VLOOKUP($A54,貼り付け用!$A$1:$BA$300,COLUMN(),FALSE)=0,"",VLOOKUP($A54,貼り付け用!$A$1:$BA$300,COLUMN(),FALSE)),"")</f>
        <v>#N/A</v>
      </c>
      <c r="E54" s="14" t="e">
        <f>IF($A54&lt;&gt;"",IF(VLOOKUP($A54,貼り付け用!$A$1:$BA$300,COLUMN(),FALSE)=0,"",VLOOKUP($A54,貼り付け用!$A$1:$BA$300,COLUMN(),FALSE)),"")</f>
        <v>#N/A</v>
      </c>
      <c r="F54" s="14" t="e">
        <f>IF($A54&lt;&gt;"",IF(VLOOKUP($A54,貼り付け用!$A$1:$BA$300,COLUMN(),FALSE)=0,"",VLOOKUP($A54,貼り付け用!$A$1:$BA$300,COLUMN(),FALSE)),"")</f>
        <v>#N/A</v>
      </c>
      <c r="G54" s="14" t="e">
        <f>IF($A54&lt;&gt;"",IF(VLOOKUP($A54,貼り付け用!$A$1:$BA$300,COLUMN(),FALSE)=0,"",VLOOKUP($A54,貼り付け用!$A$1:$BA$300,COLUMN(),FALSE)),"")</f>
        <v>#N/A</v>
      </c>
      <c r="H54" s="14" t="e">
        <f>IF($A54&lt;&gt;"",IF(VLOOKUP($A54,貼り付け用!$A$1:$BA$300,COLUMN(),FALSE)=0,"",VLOOKUP($A54,貼り付け用!$A$1:$BA$300,COLUMN(),FALSE)),"")</f>
        <v>#N/A</v>
      </c>
      <c r="I54" s="14" t="e">
        <f>IF($A54&lt;&gt;"",IF(VLOOKUP($A54,貼り付け用!$A$1:$BA$300,COLUMN(),FALSE)=0,"",VLOOKUP($A54,貼り付け用!$A$1:$BA$300,COLUMN(),FALSE)),"")</f>
        <v>#N/A</v>
      </c>
      <c r="J54" s="14" t="e">
        <f>IF($A54&lt;&gt;"",IF(VLOOKUP($A54,貼り付け用!$A$1:$BA$300,COLUMN(),FALSE)=0,"",VLOOKUP($A54,貼り付け用!$A$1:$BA$300,COLUMN(),FALSE)),"")</f>
        <v>#N/A</v>
      </c>
      <c r="K54" s="14" t="e">
        <f>IF($A54&lt;&gt;"",IF(VLOOKUP($A54,貼り付け用!$A$1:$BA$300,COLUMN(),FALSE)=0,"",VLOOKUP($A54,貼り付け用!$A$1:$BA$300,COLUMN(),FALSE)),"")</f>
        <v>#N/A</v>
      </c>
      <c r="L54" s="14" t="e">
        <f>IF($A54&lt;&gt;"",
IF(COLUMN(貼り付け用!L54)&gt;MATCH("おやつ",貼り付け用!$3:$3,0),"",
IF(VLOOKUP($A54,貼り付け用!$A$1:$BA$300,COLUMN(),FALSE)=0,"",VLOOKUP($A54,貼り付け用!$A$1:$BA$300,COLUMN(),FALSE))),"")</f>
        <v>#N/A</v>
      </c>
      <c r="M54" s="14" t="e">
        <f>IF($A54&lt;&gt;"",
IF(COLUMN(貼り付け用!M54)&gt;MATCH("おやつ",貼り付け用!$3:$3,0),"",
IF(VLOOKUP($A54,貼り付け用!$A$1:$BA$300,COLUMN(),FALSE)=0,"",VLOOKUP($A54,貼り付け用!$A$1:$BA$300,COLUMN(),FALSE))),"")</f>
        <v>#N/A</v>
      </c>
      <c r="N54" s="14" t="e">
        <f>IF($A54&lt;&gt;"",
IF(COLUMN(貼り付け用!N54)&gt;MATCH("おやつ",貼り付け用!$3:$3,0),"",
IF(VLOOKUP($A54,貼り付け用!$A$1:$BA$300,COLUMN(),FALSE)=0,"",VLOOKUP($A54,貼り付け用!$A$1:$BA$300,COLUMN(),FALSE))),"")</f>
        <v>#N/A</v>
      </c>
      <c r="O54" s="14" t="e">
        <f>IF($A54&lt;&gt;"",
IF(COLUMN(貼り付け用!O54)&gt;MATCH("おやつ",貼り付け用!$3:$3,0),"",
IF(VLOOKUP($A54,貼り付け用!$A$1:$BA$300,COLUMN(),FALSE)=0,"",VLOOKUP($A54,貼り付け用!$A$1:$BA$300,COLUMN(),FALSE))),"")</f>
        <v>#N/A</v>
      </c>
      <c r="P54" s="14" t="e">
        <f>IF($A54&lt;&gt;"",
IF(COLUMN(貼り付け用!P54)&gt;MATCH("おやつ",貼り付け用!$3:$3,0),"",
IF(VLOOKUP($A54,貼り付け用!$A$1:$BA$300,COLUMN(),FALSE)=0,"",VLOOKUP($A54,貼り付け用!$A$1:$BA$300,COLUMN(),FALSE))),"")</f>
        <v>#N/A</v>
      </c>
      <c r="Q54" s="14" t="e">
        <f>IF($A54&lt;&gt;"",
IF(COLUMN(貼り付け用!Q54)&gt;MATCH("おやつ",貼り付け用!$3:$3,0),"",
IF(VLOOKUP($A54,貼り付け用!$A$1:$BA$300,COLUMN(),FALSE)=0,"",VLOOKUP($A54,貼り付け用!$A$1:$BA$300,COLUMN(),FALSE))),"")</f>
        <v>#N/A</v>
      </c>
      <c r="R54" s="14" t="e">
        <f>IF($A54&lt;&gt;"",
IF(COLUMN(貼り付け用!R54)&gt;MATCH("おやつ",貼り付け用!$3:$3,0),"",
IF(VLOOKUP($A54,貼り付け用!$A$1:$BA$300,COLUMN(),FALSE)=0,"",VLOOKUP($A54,貼り付け用!$A$1:$BA$300,COLUMN(),FALSE))),"")</f>
        <v>#N/A</v>
      </c>
      <c r="S54" s="14" t="e">
        <f>IF($A54&lt;&gt;"",
IF(COLUMN(貼り付け用!S54)&gt;MATCH("おやつ",貼り付け用!$3:$3,0),"",
IF(VLOOKUP($A54,貼り付け用!$A$1:$BA$300,COLUMN(),FALSE)=0,"",VLOOKUP($A54,貼り付け用!$A$1:$BA$300,COLUMN(),FALSE))),"")</f>
        <v>#N/A</v>
      </c>
      <c r="T54" s="14" t="e">
        <f>IF(COLUMN(貼り付け用!T54)&gt;MATCH("おやつ",貼り付け用!$3:$3,0),"",
IF(VLOOKUP($A54,貼り付け用!$A$1:$BA$300,COLUMN(),FALSE)=0,"",VLOOKUP($A54,貼り付け用!$A$1:$BA$300,COLUMN(),FALSE)))</f>
        <v>#N/A</v>
      </c>
      <c r="U54" s="11"/>
      <c r="V54" s="55" t="e">
        <f>IF(A54&lt;&gt;"",
IF(VLOOKUP($A54,貼り付け用!$A$1:$BA$300,MATCH("おやつ",貼り付け用!$3:$3,0)+1,FALSE)=0,"",VLOOKUP($A54,貼り付け用!$A$1:$BA$300,MATCH("おやつ",貼り付け用!$3:$3,0)+1,FALSE)),"")</f>
        <v>#N/A</v>
      </c>
      <c r="W54" s="14" t="e">
        <f>IF(A54&lt;&gt;"",
IF(VLOOKUP($A54,貼り付け用!$A$1:$BA$300,MATCH("おやつ",貼り付け用!$3:$3,0)+2,FALSE)=0,"",VLOOKUP($A54,貼り付け用!$A$1:$BA$300,MATCH("おやつ",貼り付け用!$3:$3,0)+2,FALSE)),"")</f>
        <v>#N/A</v>
      </c>
    </row>
    <row r="55" spans="1:23">
      <c r="A55" s="8" t="e">
        <f>IF(貼り付け用!$A$6&lt;&gt;"",
IF(ROW(A54)+1&gt;=MATCH("*10000*", 貼り付け用!$A:$A, 0),"",
IF(貼り付け用!A55&lt;&gt;"",貼り付け用!A55,"")),
IF(ROW(A55)+1&gt;=MATCH("*10000*", 貼り付け用!$A:$A, 0),"",
IF(貼り付け用!A56&lt;&gt;"",貼り付け用!A56,"")))</f>
        <v>#N/A</v>
      </c>
      <c r="B55" s="3" t="e">
        <f>IF($A55&lt;&gt;"",IF(VLOOKUP($A55,貼り付け用!$A$1:$BA$300,COLUMN(),FALSE)=0,"",VLOOKUP($A55,貼り付け用!$A$1:$BA$300,COLUMN(),FALSE)),"")</f>
        <v>#N/A</v>
      </c>
      <c r="C55" s="3" t="e">
        <f>IF($A55&lt;&gt;"",IF(VLOOKUP($A55,貼り付け用!$A$1:$BA$300,COLUMN(),FALSE)=0,"",VLOOKUP($A55,貼り付け用!$A$1:$BA$300,COLUMN(),FALSE)),"")</f>
        <v>#N/A</v>
      </c>
      <c r="D55" s="3" t="e">
        <f>IF($A55&lt;&gt;"",IF(VLOOKUP($A55,貼り付け用!$A$1:$BA$300,COLUMN(),FALSE)=0,"",VLOOKUP($A55,貼り付け用!$A$1:$BA$300,COLUMN(),FALSE)),"")</f>
        <v>#N/A</v>
      </c>
      <c r="E55" s="3" t="e">
        <f>IF($A55&lt;&gt;"",IF(VLOOKUP($A55,貼り付け用!$A$1:$BA$300,COLUMN(),FALSE)=0,"",VLOOKUP($A55,貼り付け用!$A$1:$BA$300,COLUMN(),FALSE)),"")</f>
        <v>#N/A</v>
      </c>
      <c r="F55" s="3" t="e">
        <f>IF($A55&lt;&gt;"",IF(VLOOKUP($A55,貼り付け用!$A$1:$BA$300,COLUMN(),FALSE)=0,"",VLOOKUP($A55,貼り付け用!$A$1:$BA$300,COLUMN(),FALSE)),"")</f>
        <v>#N/A</v>
      </c>
      <c r="G55" s="3" t="e">
        <f>IF($A55&lt;&gt;"",IF(VLOOKUP($A55,貼り付け用!$A$1:$BA$300,COLUMN(),FALSE)=0,"",VLOOKUP($A55,貼り付け用!$A$1:$BA$300,COLUMN(),FALSE)),"")</f>
        <v>#N/A</v>
      </c>
      <c r="H55" s="3" t="e">
        <f>IF($A55&lt;&gt;"",IF(VLOOKUP($A55,貼り付け用!$A$1:$BA$300,COLUMN(),FALSE)=0,"",VLOOKUP($A55,貼り付け用!$A$1:$BA$300,COLUMN(),FALSE)),"")</f>
        <v>#N/A</v>
      </c>
      <c r="I55" s="3" t="e">
        <f>IF($A55&lt;&gt;"",IF(VLOOKUP($A55,貼り付け用!$A$1:$BA$300,COLUMN(),FALSE)=0,"",VLOOKUP($A55,貼り付け用!$A$1:$BA$300,COLUMN(),FALSE)),"")</f>
        <v>#N/A</v>
      </c>
      <c r="J55" s="3" t="e">
        <f>IF($A55&lt;&gt;"",IF(VLOOKUP($A55,貼り付け用!$A$1:$BA$300,COLUMN(),FALSE)=0,"",VLOOKUP($A55,貼り付け用!$A$1:$BA$300,COLUMN(),FALSE)),"")</f>
        <v>#N/A</v>
      </c>
      <c r="K55" s="3" t="e">
        <f>IF($A55&lt;&gt;"",IF(VLOOKUP($A55,貼り付け用!$A$1:$BA$300,COLUMN(),FALSE)=0,"",VLOOKUP($A55,貼り付け用!$A$1:$BA$300,COLUMN(),FALSE)),"")</f>
        <v>#N/A</v>
      </c>
      <c r="L55" s="3" t="e">
        <f>IF($A55&lt;&gt;"",
IF(COLUMN(貼り付け用!L55)&gt;MATCH("おやつ",貼り付け用!$3:$3,0),"",
IF(VLOOKUP($A55,貼り付け用!$A$1:$BA$300,COLUMN(),FALSE)=0,"",VLOOKUP($A55,貼り付け用!$A$1:$BA$300,COLUMN(),FALSE))),"")</f>
        <v>#N/A</v>
      </c>
      <c r="M55" s="3" t="e">
        <f>IF($A55&lt;&gt;"",
IF(COLUMN(貼り付け用!M55)&gt;MATCH("おやつ",貼り付け用!$3:$3,0),"",
IF(VLOOKUP($A55,貼り付け用!$A$1:$BA$300,COLUMN(),FALSE)=0,"",VLOOKUP($A55,貼り付け用!$A$1:$BA$300,COLUMN(),FALSE))),"")</f>
        <v>#N/A</v>
      </c>
      <c r="N55" s="3" t="e">
        <f>IF($A55&lt;&gt;"",
IF(COLUMN(貼り付け用!N55)&gt;MATCH("おやつ",貼り付け用!$3:$3,0),"",
IF(VLOOKUP($A55,貼り付け用!$A$1:$BA$300,COLUMN(),FALSE)=0,"",VLOOKUP($A55,貼り付け用!$A$1:$BA$300,COLUMN(),FALSE))),"")</f>
        <v>#N/A</v>
      </c>
      <c r="O55" s="3" t="e">
        <f>IF($A55&lt;&gt;"",
IF(COLUMN(貼り付け用!O55)&gt;MATCH("おやつ",貼り付け用!$3:$3,0),"",
IF(VLOOKUP($A55,貼り付け用!$A$1:$BA$300,COLUMN(),FALSE)=0,"",VLOOKUP($A55,貼り付け用!$A$1:$BA$300,COLUMN(),FALSE))),"")</f>
        <v>#N/A</v>
      </c>
      <c r="P55" s="3" t="e">
        <f>IF($A55&lt;&gt;"",
IF(COLUMN(貼り付け用!P55)&gt;MATCH("おやつ",貼り付け用!$3:$3,0),"",
IF(VLOOKUP($A55,貼り付け用!$A$1:$BA$300,COLUMN(),FALSE)=0,"",VLOOKUP($A55,貼り付け用!$A$1:$BA$300,COLUMN(),FALSE))),"")</f>
        <v>#N/A</v>
      </c>
      <c r="Q55" s="3" t="e">
        <f>IF($A55&lt;&gt;"",
IF(COLUMN(貼り付け用!Q55)&gt;MATCH("おやつ",貼り付け用!$3:$3,0),"",
IF(VLOOKUP($A55,貼り付け用!$A$1:$BA$300,COLUMN(),FALSE)=0,"",VLOOKUP($A55,貼り付け用!$A$1:$BA$300,COLUMN(),FALSE))),"")</f>
        <v>#N/A</v>
      </c>
      <c r="R55" s="3" t="e">
        <f>IF($A55&lt;&gt;"",
IF(COLUMN(貼り付け用!R55)&gt;MATCH("おやつ",貼り付け用!$3:$3,0),"",
IF(VLOOKUP($A55,貼り付け用!$A$1:$BA$300,COLUMN(),FALSE)=0,"",VLOOKUP($A55,貼り付け用!$A$1:$BA$300,COLUMN(),FALSE))),"")</f>
        <v>#N/A</v>
      </c>
      <c r="S55" s="3" t="e">
        <f>IF($A55&lt;&gt;"",
IF(COLUMN(貼り付け用!S55)&gt;MATCH("おやつ",貼り付け用!$3:$3,0),"",
IF(VLOOKUP($A55,貼り付け用!$A$1:$BA$300,COLUMN(),FALSE)=0,"",VLOOKUP($A55,貼り付け用!$A$1:$BA$300,COLUMN(),FALSE))),"")</f>
        <v>#N/A</v>
      </c>
      <c r="T55" s="3" t="e">
        <f>IF(COLUMN(貼り付け用!T55)&gt;MATCH("おやつ",貼り付け用!$3:$3,0),"",
IF(VLOOKUP($A55,貼り付け用!$A$1:$BA$300,COLUMN(),FALSE)=0,"",VLOOKUP($A55,貼り付け用!$A$1:$BA$300,COLUMN(),FALSE)))</f>
        <v>#N/A</v>
      </c>
      <c r="U55" s="21"/>
      <c r="V55" s="55" t="e">
        <f>IF(A55&lt;&gt;"",
IF(VLOOKUP($A55,貼り付け用!$A$1:$BA$300,MATCH("おやつ",貼り付け用!$3:$3,0)+1,FALSE)=0,"",VLOOKUP($A55,貼り付け用!$A$1:$BA$300,MATCH("おやつ",貼り付け用!$3:$3,0)+1,FALSE)),"")</f>
        <v>#N/A</v>
      </c>
      <c r="W55" s="14" t="e">
        <f>IF(A55&lt;&gt;"",
IF(VLOOKUP($A55,貼り付け用!$A$1:$BA$300,MATCH("おやつ",貼り付け用!$3:$3,0)+2,FALSE)=0,"",VLOOKUP($A55,貼り付け用!$A$1:$BA$300,MATCH("おやつ",貼り付け用!$3:$3,0)+2,FALSE)),"")</f>
        <v>#N/A</v>
      </c>
    </row>
    <row r="56" spans="1:23">
      <c r="A56" s="4" t="e">
        <f>IF(貼り付け用!$A$6&lt;&gt;"",
IF(ROW(A55)+1&gt;=MATCH("*10000*", 貼り付け用!$A:$A, 0),
IF(COUNTIF(A54,"*10000*"),"10001",
IF(COUNTIF(A54,"*10001*"),"10002",
IF(COUNTIF(A54,"*10002*"),"",
IF(COUNTIF(A54,""),"","10000")))),
IF(貼り付け用!A56&lt;&gt;"",貼り付け用!A56,"")),
IF(ROW(A56)+1&gt;=MATCH("*10000*", 貼り付け用!$A:$A, 0),
IF(COUNTIF(A54,"*10000*"),"10001",
IF(COUNTIF(A54,"*10001*"),"10002",
IF(COUNTIF(A54,"*10002*"),"",
IF(COUNTIF(A54,""),"","10000")))),
IF(貼り付け用!A57&lt;&gt;"",貼り付け用!A57,"")))</f>
        <v>#N/A</v>
      </c>
      <c r="B56" s="14" t="e">
        <f>IF($A56&lt;&gt;"",IF(VLOOKUP($A56,貼り付け用!$A$1:$BA$300,COLUMN(),FALSE)=0,"",VLOOKUP($A56,貼り付け用!$A$1:$BA$300,COLUMN(),FALSE)),"")</f>
        <v>#N/A</v>
      </c>
      <c r="C56" s="14" t="e">
        <f>IF($A56&lt;&gt;"",IF(VLOOKUP($A56,貼り付け用!$A$1:$BA$300,COLUMN(),FALSE)=0,"",VLOOKUP($A56,貼り付け用!$A$1:$BA$300,COLUMN(),FALSE)),"")</f>
        <v>#N/A</v>
      </c>
      <c r="D56" s="14" t="e">
        <f>IF($A56&lt;&gt;"",IF(VLOOKUP($A56,貼り付け用!$A$1:$BA$300,COLUMN(),FALSE)=0,"",VLOOKUP($A56,貼り付け用!$A$1:$BA$300,COLUMN(),FALSE)),"")</f>
        <v>#N/A</v>
      </c>
      <c r="E56" s="14" t="e">
        <f>IF($A56&lt;&gt;"",IF(VLOOKUP($A56,貼り付け用!$A$1:$BA$300,COLUMN(),FALSE)=0,"",VLOOKUP($A56,貼り付け用!$A$1:$BA$300,COLUMN(),FALSE)),"")</f>
        <v>#N/A</v>
      </c>
      <c r="F56" s="14" t="e">
        <f>IF($A56&lt;&gt;"",IF(VLOOKUP($A56,貼り付け用!$A$1:$BA$300,COLUMN(),FALSE)=0,"",VLOOKUP($A56,貼り付け用!$A$1:$BA$300,COLUMN(),FALSE)),"")</f>
        <v>#N/A</v>
      </c>
      <c r="G56" s="14" t="e">
        <f>IF($A56&lt;&gt;"",IF(VLOOKUP($A56,貼り付け用!$A$1:$BA$300,COLUMN(),FALSE)=0,"",VLOOKUP($A56,貼り付け用!$A$1:$BA$300,COLUMN(),FALSE)),"")</f>
        <v>#N/A</v>
      </c>
      <c r="H56" s="14" t="e">
        <f>IF($A56&lt;&gt;"",IF(VLOOKUP($A56,貼り付け用!$A$1:$BA$300,COLUMN(),FALSE)=0,"",VLOOKUP($A56,貼り付け用!$A$1:$BA$300,COLUMN(),FALSE)),"")</f>
        <v>#N/A</v>
      </c>
      <c r="I56" s="14" t="e">
        <f>IF($A56&lt;&gt;"",IF(VLOOKUP($A56,貼り付け用!$A$1:$BA$300,COLUMN(),FALSE)=0,"",VLOOKUP($A56,貼り付け用!$A$1:$BA$300,COLUMN(),FALSE)),"")</f>
        <v>#N/A</v>
      </c>
      <c r="J56" s="14" t="e">
        <f>IF($A56&lt;&gt;"",IF(VLOOKUP($A56,貼り付け用!$A$1:$BA$300,COLUMN(),FALSE)=0,"",VLOOKUP($A56,貼り付け用!$A$1:$BA$300,COLUMN(),FALSE)),"")</f>
        <v>#N/A</v>
      </c>
      <c r="K56" s="14" t="e">
        <f>IF($A56&lt;&gt;"",IF(VLOOKUP($A56,貼り付け用!$A$1:$BA$300,COLUMN(),FALSE)=0,"",VLOOKUP($A56,貼り付け用!$A$1:$BA$300,COLUMN(),FALSE)),"")</f>
        <v>#N/A</v>
      </c>
      <c r="L56" s="14" t="e">
        <f>IF($A56&lt;&gt;"",
IF(COLUMN(貼り付け用!L56)&gt;MATCH("おやつ",貼り付け用!$3:$3,0),"",
IF(VLOOKUP($A56,貼り付け用!$A$1:$BA$300,COLUMN(),FALSE)=0,"",VLOOKUP($A56,貼り付け用!$A$1:$BA$300,COLUMN(),FALSE))),"")</f>
        <v>#N/A</v>
      </c>
      <c r="M56" s="14" t="e">
        <f>IF($A56&lt;&gt;"",
IF(COLUMN(貼り付け用!M56)&gt;MATCH("おやつ",貼り付け用!$3:$3,0),"",
IF(VLOOKUP($A56,貼り付け用!$A$1:$BA$300,COLUMN(),FALSE)=0,"",VLOOKUP($A56,貼り付け用!$A$1:$BA$300,COLUMN(),FALSE))),"")</f>
        <v>#N/A</v>
      </c>
      <c r="N56" s="14" t="e">
        <f>IF($A56&lt;&gt;"",
IF(COLUMN(貼り付け用!N56)&gt;MATCH("おやつ",貼り付け用!$3:$3,0),"",
IF(VLOOKUP($A56,貼り付け用!$A$1:$BA$300,COLUMN(),FALSE)=0,"",VLOOKUP($A56,貼り付け用!$A$1:$BA$300,COLUMN(),FALSE))),"")</f>
        <v>#N/A</v>
      </c>
      <c r="O56" s="14" t="e">
        <f>IF($A56&lt;&gt;"",
IF(COLUMN(貼り付け用!O56)&gt;MATCH("おやつ",貼り付け用!$3:$3,0),"",
IF(VLOOKUP($A56,貼り付け用!$A$1:$BA$300,COLUMN(),FALSE)=0,"",VLOOKUP($A56,貼り付け用!$A$1:$BA$300,COLUMN(),FALSE))),"")</f>
        <v>#N/A</v>
      </c>
      <c r="P56" s="14" t="e">
        <f>IF($A56&lt;&gt;"",
IF(COLUMN(貼り付け用!P56)&gt;MATCH("おやつ",貼り付け用!$3:$3,0),"",
IF(VLOOKUP($A56,貼り付け用!$A$1:$BA$300,COLUMN(),FALSE)=0,"",VLOOKUP($A56,貼り付け用!$A$1:$BA$300,COLUMN(),FALSE))),"")</f>
        <v>#N/A</v>
      </c>
      <c r="Q56" s="14" t="e">
        <f>IF($A56&lt;&gt;"",
IF(COLUMN(貼り付け用!Q56)&gt;MATCH("おやつ",貼り付け用!$3:$3,0),"",
IF(VLOOKUP($A56,貼り付け用!$A$1:$BA$300,COLUMN(),FALSE)=0,"",VLOOKUP($A56,貼り付け用!$A$1:$BA$300,COLUMN(),FALSE))),"")</f>
        <v>#N/A</v>
      </c>
      <c r="R56" s="14" t="e">
        <f>IF($A56&lt;&gt;"",
IF(COLUMN(貼り付け用!R56)&gt;MATCH("おやつ",貼り付け用!$3:$3,0),"",
IF(VLOOKUP($A56,貼り付け用!$A$1:$BA$300,COLUMN(),FALSE)=0,"",VLOOKUP($A56,貼り付け用!$A$1:$BA$300,COLUMN(),FALSE))),"")</f>
        <v>#N/A</v>
      </c>
      <c r="S56" s="14" t="e">
        <f>IF($A56&lt;&gt;"",
IF(COLUMN(貼り付け用!S56)&gt;MATCH("おやつ",貼り付け用!$3:$3,0),"",
IF(VLOOKUP($A56,貼り付け用!$A$1:$BA$300,COLUMN(),FALSE)=0,"",VLOOKUP($A56,貼り付け用!$A$1:$BA$300,COLUMN(),FALSE))),"")</f>
        <v>#N/A</v>
      </c>
      <c r="T56" s="14" t="e">
        <f>IF(COLUMN(貼り付け用!T56)&gt;MATCH("おやつ",貼り付け用!$3:$3,0),"",
IF(VLOOKUP($A56,貼り付け用!$A$1:$BA$300,COLUMN(),FALSE)=0,"",VLOOKUP($A56,貼り付け用!$A$1:$BA$300,COLUMN(),FALSE)))</f>
        <v>#N/A</v>
      </c>
      <c r="U56" s="11"/>
      <c r="V56" s="55" t="e">
        <f>IF(A56&lt;&gt;"",
IF(VLOOKUP($A56,貼り付け用!$A$1:$BA$300,MATCH("おやつ",貼り付け用!$3:$3,0)+1,FALSE)=0,"",VLOOKUP($A56,貼り付け用!$A$1:$BA$300,MATCH("おやつ",貼り付け用!$3:$3,0)+1,FALSE)),"")</f>
        <v>#N/A</v>
      </c>
      <c r="W56" s="14" t="e">
        <f>IF(A56&lt;&gt;"",
IF(VLOOKUP($A56,貼り付け用!$A$1:$BA$300,MATCH("おやつ",貼り付け用!$3:$3,0)+2,FALSE)=0,"",VLOOKUP($A56,貼り付け用!$A$1:$BA$300,MATCH("おやつ",貼り付け用!$3:$3,0)+2,FALSE)),"")</f>
        <v>#N/A</v>
      </c>
    </row>
    <row r="57" spans="1:23">
      <c r="A57" s="8" t="e">
        <f>IF(貼り付け用!$A$6&lt;&gt;"",
IF(ROW(A56)+1&gt;=MATCH("*10000*", 貼り付け用!$A:$A, 0),"",
IF(貼り付け用!A57&lt;&gt;"",貼り付け用!A57,"")),
IF(ROW(A57)+1&gt;=MATCH("*10000*", 貼り付け用!$A:$A, 0),"",
IF(貼り付け用!A58&lt;&gt;"",貼り付け用!A58,"")))</f>
        <v>#N/A</v>
      </c>
      <c r="B57" s="3" t="e">
        <f>IF($A57&lt;&gt;"",IF(VLOOKUP($A57,貼り付け用!$A$1:$BA$300,COLUMN(),FALSE)=0,"",VLOOKUP($A57,貼り付け用!$A$1:$BA$300,COLUMN(),FALSE)),"")</f>
        <v>#N/A</v>
      </c>
      <c r="C57" s="3" t="e">
        <f>IF($A57&lt;&gt;"",IF(VLOOKUP($A57,貼り付け用!$A$1:$BA$300,COLUMN(),FALSE)=0,"",VLOOKUP($A57,貼り付け用!$A$1:$BA$300,COLUMN(),FALSE)),"")</f>
        <v>#N/A</v>
      </c>
      <c r="D57" s="3" t="e">
        <f>IF($A57&lt;&gt;"",IF(VLOOKUP($A57,貼り付け用!$A$1:$BA$300,COLUMN(),FALSE)=0,"",VLOOKUP($A57,貼り付け用!$A$1:$BA$300,COLUMN(),FALSE)),"")</f>
        <v>#N/A</v>
      </c>
      <c r="E57" s="3" t="e">
        <f>IF($A57&lt;&gt;"",IF(VLOOKUP($A57,貼り付け用!$A$1:$BA$300,COLUMN(),FALSE)=0,"",VLOOKUP($A57,貼り付け用!$A$1:$BA$300,COLUMN(),FALSE)),"")</f>
        <v>#N/A</v>
      </c>
      <c r="F57" s="3" t="e">
        <f>IF($A57&lt;&gt;"",IF(VLOOKUP($A57,貼り付け用!$A$1:$BA$300,COLUMN(),FALSE)=0,"",VLOOKUP($A57,貼り付け用!$A$1:$BA$300,COLUMN(),FALSE)),"")</f>
        <v>#N/A</v>
      </c>
      <c r="G57" s="3" t="e">
        <f>IF($A57&lt;&gt;"",IF(VLOOKUP($A57,貼り付け用!$A$1:$BA$300,COLUMN(),FALSE)=0,"",VLOOKUP($A57,貼り付け用!$A$1:$BA$300,COLUMN(),FALSE)),"")</f>
        <v>#N/A</v>
      </c>
      <c r="H57" s="3" t="e">
        <f>IF($A57&lt;&gt;"",IF(VLOOKUP($A57,貼り付け用!$A$1:$BA$300,COLUMN(),FALSE)=0,"",VLOOKUP($A57,貼り付け用!$A$1:$BA$300,COLUMN(),FALSE)),"")</f>
        <v>#N/A</v>
      </c>
      <c r="I57" s="3" t="e">
        <f>IF($A57&lt;&gt;"",IF(VLOOKUP($A57,貼り付け用!$A$1:$BA$300,COLUMN(),FALSE)=0,"",VLOOKUP($A57,貼り付け用!$A$1:$BA$300,COLUMN(),FALSE)),"")</f>
        <v>#N/A</v>
      </c>
      <c r="J57" s="3" t="e">
        <f>IF($A57&lt;&gt;"",IF(VLOOKUP($A57,貼り付け用!$A$1:$BA$300,COLUMN(),FALSE)=0,"",VLOOKUP($A57,貼り付け用!$A$1:$BA$300,COLUMN(),FALSE)),"")</f>
        <v>#N/A</v>
      </c>
      <c r="K57" s="3" t="e">
        <f>IF($A57&lt;&gt;"",IF(VLOOKUP($A57,貼り付け用!$A$1:$BA$300,COLUMN(),FALSE)=0,"",VLOOKUP($A57,貼り付け用!$A$1:$BA$300,COLUMN(),FALSE)),"")</f>
        <v>#N/A</v>
      </c>
      <c r="L57" s="3" t="e">
        <f>IF($A57&lt;&gt;"",
IF(COLUMN(貼り付け用!L57)&gt;MATCH("おやつ",貼り付け用!$3:$3,0),"",
IF(VLOOKUP($A57,貼り付け用!$A$1:$BA$300,COLUMN(),FALSE)=0,"",VLOOKUP($A57,貼り付け用!$A$1:$BA$300,COLUMN(),FALSE))),"")</f>
        <v>#N/A</v>
      </c>
      <c r="M57" s="3" t="e">
        <f>IF($A57&lt;&gt;"",
IF(COLUMN(貼り付け用!M57)&gt;MATCH("おやつ",貼り付け用!$3:$3,0),"",
IF(VLOOKUP($A57,貼り付け用!$A$1:$BA$300,COLUMN(),FALSE)=0,"",VLOOKUP($A57,貼り付け用!$A$1:$BA$300,COLUMN(),FALSE))),"")</f>
        <v>#N/A</v>
      </c>
      <c r="N57" s="3" t="e">
        <f>IF($A57&lt;&gt;"",
IF(COLUMN(貼り付け用!N57)&gt;MATCH("おやつ",貼り付け用!$3:$3,0),"",
IF(VLOOKUP($A57,貼り付け用!$A$1:$BA$300,COLUMN(),FALSE)=0,"",VLOOKUP($A57,貼り付け用!$A$1:$BA$300,COLUMN(),FALSE))),"")</f>
        <v>#N/A</v>
      </c>
      <c r="O57" s="3" t="e">
        <f>IF($A57&lt;&gt;"",
IF(COLUMN(貼り付け用!O57)&gt;MATCH("おやつ",貼り付け用!$3:$3,0),"",
IF(VLOOKUP($A57,貼り付け用!$A$1:$BA$300,COLUMN(),FALSE)=0,"",VLOOKUP($A57,貼り付け用!$A$1:$BA$300,COLUMN(),FALSE))),"")</f>
        <v>#N/A</v>
      </c>
      <c r="P57" s="3" t="e">
        <f>IF($A57&lt;&gt;"",
IF(COLUMN(貼り付け用!P57)&gt;MATCH("おやつ",貼り付け用!$3:$3,0),"",
IF(VLOOKUP($A57,貼り付け用!$A$1:$BA$300,COLUMN(),FALSE)=0,"",VLOOKUP($A57,貼り付け用!$A$1:$BA$300,COLUMN(),FALSE))),"")</f>
        <v>#N/A</v>
      </c>
      <c r="Q57" s="3" t="e">
        <f>IF($A57&lt;&gt;"",
IF(COLUMN(貼り付け用!Q57)&gt;MATCH("おやつ",貼り付け用!$3:$3,0),"",
IF(VLOOKUP($A57,貼り付け用!$A$1:$BA$300,COLUMN(),FALSE)=0,"",VLOOKUP($A57,貼り付け用!$A$1:$BA$300,COLUMN(),FALSE))),"")</f>
        <v>#N/A</v>
      </c>
      <c r="R57" s="3" t="e">
        <f>IF($A57&lt;&gt;"",
IF(COLUMN(貼り付け用!R57)&gt;MATCH("おやつ",貼り付け用!$3:$3,0),"",
IF(VLOOKUP($A57,貼り付け用!$A$1:$BA$300,COLUMN(),FALSE)=0,"",VLOOKUP($A57,貼り付け用!$A$1:$BA$300,COLUMN(),FALSE))),"")</f>
        <v>#N/A</v>
      </c>
      <c r="S57" s="3" t="e">
        <f>IF($A57&lt;&gt;"",
IF(COLUMN(貼り付け用!S57)&gt;MATCH("おやつ",貼り付け用!$3:$3,0),"",
IF(VLOOKUP($A57,貼り付け用!$A$1:$BA$300,COLUMN(),FALSE)=0,"",VLOOKUP($A57,貼り付け用!$A$1:$BA$300,COLUMN(),FALSE))),"")</f>
        <v>#N/A</v>
      </c>
      <c r="T57" s="3" t="e">
        <f>IF(COLUMN(貼り付け用!T57)&gt;MATCH("おやつ",貼り付け用!$3:$3,0),"",
IF(VLOOKUP($A57,貼り付け用!$A$1:$BA$300,COLUMN(),FALSE)=0,"",VLOOKUP($A57,貼り付け用!$A$1:$BA$300,COLUMN(),FALSE)))</f>
        <v>#N/A</v>
      </c>
      <c r="U57" s="21"/>
      <c r="V57" s="55" t="e">
        <f>IF(A57&lt;&gt;"",
IF(VLOOKUP($A57,貼り付け用!$A$1:$BA$300,MATCH("おやつ",貼り付け用!$3:$3,0)+1,FALSE)=0,"",VLOOKUP($A57,貼り付け用!$A$1:$BA$300,MATCH("おやつ",貼り付け用!$3:$3,0)+1,FALSE)),"")</f>
        <v>#N/A</v>
      </c>
      <c r="W57" s="14" t="e">
        <f>IF(A57&lt;&gt;"",
IF(VLOOKUP($A57,貼り付け用!$A$1:$BA$300,MATCH("おやつ",貼り付け用!$3:$3,0)+2,FALSE)=0,"",VLOOKUP($A57,貼り付け用!$A$1:$BA$300,MATCH("おやつ",貼り付け用!$3:$3,0)+2,FALSE)),"")</f>
        <v>#N/A</v>
      </c>
    </row>
    <row r="58" spans="1:23">
      <c r="A58" s="4" t="e">
        <f>IF(貼り付け用!$A$6&lt;&gt;"",
IF(ROW(A57)+1&gt;=MATCH("*10000*", 貼り付け用!$A:$A, 0),
IF(COUNTIF(A56,"*10000*"),"10001",
IF(COUNTIF(A56,"*10001*"),"10002",
IF(COUNTIF(A56,"*10002*"),"",
IF(COUNTIF(A56,""),"","10000")))),
IF(貼り付け用!A58&lt;&gt;"",貼り付け用!A58,"")),
IF(ROW(A58)+1&gt;=MATCH("*10000*", 貼り付け用!$A:$A, 0),
IF(COUNTIF(A56,"*10000*"),"10001",
IF(COUNTIF(A56,"*10001*"),"10002",
IF(COUNTIF(A56,"*10002*"),"",
IF(COUNTIF(A56,""),"","10000")))),
IF(貼り付け用!A59&lt;&gt;"",貼り付け用!A59,"")))</f>
        <v>#N/A</v>
      </c>
      <c r="B58" s="14" t="e">
        <f>IF($A58&lt;&gt;"",IF(VLOOKUP($A58,貼り付け用!$A$1:$BA$300,COLUMN(),FALSE)=0,"",VLOOKUP($A58,貼り付け用!$A$1:$BA$300,COLUMN(),FALSE)),"")</f>
        <v>#N/A</v>
      </c>
      <c r="C58" s="14" t="e">
        <f>IF($A58&lt;&gt;"",IF(VLOOKUP($A58,貼り付け用!$A$1:$BA$300,COLUMN(),FALSE)=0,"",VLOOKUP($A58,貼り付け用!$A$1:$BA$300,COLUMN(),FALSE)),"")</f>
        <v>#N/A</v>
      </c>
      <c r="D58" s="14" t="e">
        <f>IF($A58&lt;&gt;"",IF(VLOOKUP($A58,貼り付け用!$A$1:$BA$300,COLUMN(),FALSE)=0,"",VLOOKUP($A58,貼り付け用!$A$1:$BA$300,COLUMN(),FALSE)),"")</f>
        <v>#N/A</v>
      </c>
      <c r="E58" s="14" t="e">
        <f>IF($A58&lt;&gt;"",IF(VLOOKUP($A58,貼り付け用!$A$1:$BA$300,COLUMN(),FALSE)=0,"",VLOOKUP($A58,貼り付け用!$A$1:$BA$300,COLUMN(),FALSE)),"")</f>
        <v>#N/A</v>
      </c>
      <c r="F58" s="14" t="e">
        <f>IF($A58&lt;&gt;"",IF(VLOOKUP($A58,貼り付け用!$A$1:$BA$300,COLUMN(),FALSE)=0,"",VLOOKUP($A58,貼り付け用!$A$1:$BA$300,COLUMN(),FALSE)),"")</f>
        <v>#N/A</v>
      </c>
      <c r="G58" s="14" t="e">
        <f>IF($A58&lt;&gt;"",IF(VLOOKUP($A58,貼り付け用!$A$1:$BA$300,COLUMN(),FALSE)=0,"",VLOOKUP($A58,貼り付け用!$A$1:$BA$300,COLUMN(),FALSE)),"")</f>
        <v>#N/A</v>
      </c>
      <c r="H58" s="14" t="e">
        <f>IF($A58&lt;&gt;"",IF(VLOOKUP($A58,貼り付け用!$A$1:$BA$300,COLUMN(),FALSE)=0,"",VLOOKUP($A58,貼り付け用!$A$1:$BA$300,COLUMN(),FALSE)),"")</f>
        <v>#N/A</v>
      </c>
      <c r="I58" s="14" t="e">
        <f>IF($A58&lt;&gt;"",IF(VLOOKUP($A58,貼り付け用!$A$1:$BA$300,COLUMN(),FALSE)=0,"",VLOOKUP($A58,貼り付け用!$A$1:$BA$300,COLUMN(),FALSE)),"")</f>
        <v>#N/A</v>
      </c>
      <c r="J58" s="14" t="e">
        <f>IF($A58&lt;&gt;"",IF(VLOOKUP($A58,貼り付け用!$A$1:$BA$300,COLUMN(),FALSE)=0,"",VLOOKUP($A58,貼り付け用!$A$1:$BA$300,COLUMN(),FALSE)),"")</f>
        <v>#N/A</v>
      </c>
      <c r="K58" s="14" t="e">
        <f>IF($A58&lt;&gt;"",IF(VLOOKUP($A58,貼り付け用!$A$1:$BA$300,COLUMN(),FALSE)=0,"",VLOOKUP($A58,貼り付け用!$A$1:$BA$300,COLUMN(),FALSE)),"")</f>
        <v>#N/A</v>
      </c>
      <c r="L58" s="14" t="e">
        <f>IF($A58&lt;&gt;"",
IF(COLUMN(貼り付け用!L58)&gt;MATCH("おやつ",貼り付け用!$3:$3,0),"",
IF(VLOOKUP($A58,貼り付け用!$A$1:$BA$300,COLUMN(),FALSE)=0,"",VLOOKUP($A58,貼り付け用!$A$1:$BA$300,COLUMN(),FALSE))),"")</f>
        <v>#N/A</v>
      </c>
      <c r="M58" s="14" t="e">
        <f>IF($A58&lt;&gt;"",
IF(COLUMN(貼り付け用!M58)&gt;MATCH("おやつ",貼り付け用!$3:$3,0),"",
IF(VLOOKUP($A58,貼り付け用!$A$1:$BA$300,COLUMN(),FALSE)=0,"",VLOOKUP($A58,貼り付け用!$A$1:$BA$300,COLUMN(),FALSE))),"")</f>
        <v>#N/A</v>
      </c>
      <c r="N58" s="14" t="e">
        <f>IF($A58&lt;&gt;"",
IF(COLUMN(貼り付け用!N58)&gt;MATCH("おやつ",貼り付け用!$3:$3,0),"",
IF(VLOOKUP($A58,貼り付け用!$A$1:$BA$300,COLUMN(),FALSE)=0,"",VLOOKUP($A58,貼り付け用!$A$1:$BA$300,COLUMN(),FALSE))),"")</f>
        <v>#N/A</v>
      </c>
      <c r="O58" s="14" t="e">
        <f>IF($A58&lt;&gt;"",
IF(COLUMN(貼り付け用!O58)&gt;MATCH("おやつ",貼り付け用!$3:$3,0),"",
IF(VLOOKUP($A58,貼り付け用!$A$1:$BA$300,COLUMN(),FALSE)=0,"",VLOOKUP($A58,貼り付け用!$A$1:$BA$300,COLUMN(),FALSE))),"")</f>
        <v>#N/A</v>
      </c>
      <c r="P58" s="14" t="e">
        <f>IF($A58&lt;&gt;"",
IF(COLUMN(貼り付け用!P58)&gt;MATCH("おやつ",貼り付け用!$3:$3,0),"",
IF(VLOOKUP($A58,貼り付け用!$A$1:$BA$300,COLUMN(),FALSE)=0,"",VLOOKUP($A58,貼り付け用!$A$1:$BA$300,COLUMN(),FALSE))),"")</f>
        <v>#N/A</v>
      </c>
      <c r="Q58" s="14" t="e">
        <f>IF($A58&lt;&gt;"",
IF(COLUMN(貼り付け用!Q58)&gt;MATCH("おやつ",貼り付け用!$3:$3,0),"",
IF(VLOOKUP($A58,貼り付け用!$A$1:$BA$300,COLUMN(),FALSE)=0,"",VLOOKUP($A58,貼り付け用!$A$1:$BA$300,COLUMN(),FALSE))),"")</f>
        <v>#N/A</v>
      </c>
      <c r="R58" s="14" t="e">
        <f>IF($A58&lt;&gt;"",
IF(COLUMN(貼り付け用!R58)&gt;MATCH("おやつ",貼り付け用!$3:$3,0),"",
IF(VLOOKUP($A58,貼り付け用!$A$1:$BA$300,COLUMN(),FALSE)=0,"",VLOOKUP($A58,貼り付け用!$A$1:$BA$300,COLUMN(),FALSE))),"")</f>
        <v>#N/A</v>
      </c>
      <c r="S58" s="14" t="e">
        <f>IF($A58&lt;&gt;"",
IF(COLUMN(貼り付け用!S58)&gt;MATCH("おやつ",貼り付け用!$3:$3,0),"",
IF(VLOOKUP($A58,貼り付け用!$A$1:$BA$300,COLUMN(),FALSE)=0,"",VLOOKUP($A58,貼り付け用!$A$1:$BA$300,COLUMN(),FALSE))),"")</f>
        <v>#N/A</v>
      </c>
      <c r="T58" s="14" t="e">
        <f>IF(COLUMN(貼り付け用!T58)&gt;MATCH("おやつ",貼り付け用!$3:$3,0),"",
IF(VLOOKUP($A58,貼り付け用!$A$1:$BA$300,COLUMN(),FALSE)=0,"",VLOOKUP($A58,貼り付け用!$A$1:$BA$300,COLUMN(),FALSE)))</f>
        <v>#N/A</v>
      </c>
      <c r="U58" s="11"/>
      <c r="V58" s="55" t="e">
        <f>IF(A58&lt;&gt;"",
IF(VLOOKUP($A58,貼り付け用!$A$1:$BA$300,MATCH("おやつ",貼り付け用!$3:$3,0)+1,FALSE)=0,"",VLOOKUP($A58,貼り付け用!$A$1:$BA$300,MATCH("おやつ",貼り付け用!$3:$3,0)+1,FALSE)),"")</f>
        <v>#N/A</v>
      </c>
      <c r="W58" s="14" t="e">
        <f>IF(A58&lt;&gt;"",
IF(VLOOKUP($A58,貼り付け用!$A$1:$BA$300,MATCH("おやつ",貼り付け用!$3:$3,0)+2,FALSE)=0,"",VLOOKUP($A58,貼り付け用!$A$1:$BA$300,MATCH("おやつ",貼り付け用!$3:$3,0)+2,FALSE)),"")</f>
        <v>#N/A</v>
      </c>
    </row>
    <row r="59" spans="1:23">
      <c r="A59" s="8" t="e">
        <f>IF(貼り付け用!$A$6&lt;&gt;"",
IF(ROW(A58)+1&gt;=MATCH("*10000*", 貼り付け用!$A:$A, 0),"",
IF(貼り付け用!A59&lt;&gt;"",貼り付け用!A59,"")),
IF(ROW(A59)+1&gt;=MATCH("*10000*", 貼り付け用!$A:$A, 0),"",
IF(貼り付け用!A60&lt;&gt;"",貼り付け用!A60,"")))</f>
        <v>#N/A</v>
      </c>
      <c r="B59" s="3" t="e">
        <f>IF($A59&lt;&gt;"",IF(VLOOKUP($A59,貼り付け用!$A$1:$BA$300,COLUMN(),FALSE)=0,"",VLOOKUP($A59,貼り付け用!$A$1:$BA$300,COLUMN(),FALSE)),"")</f>
        <v>#N/A</v>
      </c>
      <c r="C59" s="3" t="e">
        <f>IF($A59&lt;&gt;"",IF(VLOOKUP($A59,貼り付け用!$A$1:$BA$300,COLUMN(),FALSE)=0,"",VLOOKUP($A59,貼り付け用!$A$1:$BA$300,COLUMN(),FALSE)),"")</f>
        <v>#N/A</v>
      </c>
      <c r="D59" s="3" t="e">
        <f>IF($A59&lt;&gt;"",IF(VLOOKUP($A59,貼り付け用!$A$1:$BA$300,COLUMN(),FALSE)=0,"",VLOOKUP($A59,貼り付け用!$A$1:$BA$300,COLUMN(),FALSE)),"")</f>
        <v>#N/A</v>
      </c>
      <c r="E59" s="3" t="e">
        <f>IF($A59&lt;&gt;"",IF(VLOOKUP($A59,貼り付け用!$A$1:$BA$300,COLUMN(),FALSE)=0,"",VLOOKUP($A59,貼り付け用!$A$1:$BA$300,COLUMN(),FALSE)),"")</f>
        <v>#N/A</v>
      </c>
      <c r="F59" s="3" t="e">
        <f>IF($A59&lt;&gt;"",IF(VLOOKUP($A59,貼り付け用!$A$1:$BA$300,COLUMN(),FALSE)=0,"",VLOOKUP($A59,貼り付け用!$A$1:$BA$300,COLUMN(),FALSE)),"")</f>
        <v>#N/A</v>
      </c>
      <c r="G59" s="3" t="e">
        <f>IF($A59&lt;&gt;"",IF(VLOOKUP($A59,貼り付け用!$A$1:$BA$300,COLUMN(),FALSE)=0,"",VLOOKUP($A59,貼り付け用!$A$1:$BA$300,COLUMN(),FALSE)),"")</f>
        <v>#N/A</v>
      </c>
      <c r="H59" s="3" t="e">
        <f>IF($A59&lt;&gt;"",IF(VLOOKUP($A59,貼り付け用!$A$1:$BA$300,COLUMN(),FALSE)=0,"",VLOOKUP($A59,貼り付け用!$A$1:$BA$300,COLUMN(),FALSE)),"")</f>
        <v>#N/A</v>
      </c>
      <c r="I59" s="3" t="e">
        <f>IF($A59&lt;&gt;"",IF(VLOOKUP($A59,貼り付け用!$A$1:$BA$300,COLUMN(),FALSE)=0,"",VLOOKUP($A59,貼り付け用!$A$1:$BA$300,COLUMN(),FALSE)),"")</f>
        <v>#N/A</v>
      </c>
      <c r="J59" s="3" t="e">
        <f>IF($A59&lt;&gt;"",IF(VLOOKUP($A59,貼り付け用!$A$1:$BA$300,COLUMN(),FALSE)=0,"",VLOOKUP($A59,貼り付け用!$A$1:$BA$300,COLUMN(),FALSE)),"")</f>
        <v>#N/A</v>
      </c>
      <c r="K59" s="3" t="e">
        <f>IF($A59&lt;&gt;"",IF(VLOOKUP($A59,貼り付け用!$A$1:$BA$300,COLUMN(),FALSE)=0,"",VLOOKUP($A59,貼り付け用!$A$1:$BA$300,COLUMN(),FALSE)),"")</f>
        <v>#N/A</v>
      </c>
      <c r="L59" s="3" t="e">
        <f>IF($A59&lt;&gt;"",
IF(COLUMN(貼り付け用!L59)&gt;MATCH("おやつ",貼り付け用!$3:$3,0),"",
IF(VLOOKUP($A59,貼り付け用!$A$1:$BA$300,COLUMN(),FALSE)=0,"",VLOOKUP($A59,貼り付け用!$A$1:$BA$300,COLUMN(),FALSE))),"")</f>
        <v>#N/A</v>
      </c>
      <c r="M59" s="3" t="e">
        <f>IF($A59&lt;&gt;"",
IF(COLUMN(貼り付け用!M59)&gt;MATCH("おやつ",貼り付け用!$3:$3,0),"",
IF(VLOOKUP($A59,貼り付け用!$A$1:$BA$300,COLUMN(),FALSE)=0,"",VLOOKUP($A59,貼り付け用!$A$1:$BA$300,COLUMN(),FALSE))),"")</f>
        <v>#N/A</v>
      </c>
      <c r="N59" s="3" t="e">
        <f>IF($A59&lt;&gt;"",
IF(COLUMN(貼り付け用!N59)&gt;MATCH("おやつ",貼り付け用!$3:$3,0),"",
IF(VLOOKUP($A59,貼り付け用!$A$1:$BA$300,COLUMN(),FALSE)=0,"",VLOOKUP($A59,貼り付け用!$A$1:$BA$300,COLUMN(),FALSE))),"")</f>
        <v>#N/A</v>
      </c>
      <c r="O59" s="3" t="e">
        <f>IF($A59&lt;&gt;"",
IF(COLUMN(貼り付け用!O59)&gt;MATCH("おやつ",貼り付け用!$3:$3,0),"",
IF(VLOOKUP($A59,貼り付け用!$A$1:$BA$300,COLUMN(),FALSE)=0,"",VLOOKUP($A59,貼り付け用!$A$1:$BA$300,COLUMN(),FALSE))),"")</f>
        <v>#N/A</v>
      </c>
      <c r="P59" s="3" t="e">
        <f>IF($A59&lt;&gt;"",
IF(COLUMN(貼り付け用!P59)&gt;MATCH("おやつ",貼り付け用!$3:$3,0),"",
IF(VLOOKUP($A59,貼り付け用!$A$1:$BA$300,COLUMN(),FALSE)=0,"",VLOOKUP($A59,貼り付け用!$A$1:$BA$300,COLUMN(),FALSE))),"")</f>
        <v>#N/A</v>
      </c>
      <c r="Q59" s="3" t="e">
        <f>IF($A59&lt;&gt;"",
IF(COLUMN(貼り付け用!Q59)&gt;MATCH("おやつ",貼り付け用!$3:$3,0),"",
IF(VLOOKUP($A59,貼り付け用!$A$1:$BA$300,COLUMN(),FALSE)=0,"",VLOOKUP($A59,貼り付け用!$A$1:$BA$300,COLUMN(),FALSE))),"")</f>
        <v>#N/A</v>
      </c>
      <c r="R59" s="3" t="e">
        <f>IF($A59&lt;&gt;"",
IF(COLUMN(貼り付け用!R59)&gt;MATCH("おやつ",貼り付け用!$3:$3,0),"",
IF(VLOOKUP($A59,貼り付け用!$A$1:$BA$300,COLUMN(),FALSE)=0,"",VLOOKUP($A59,貼り付け用!$A$1:$BA$300,COLUMN(),FALSE))),"")</f>
        <v>#N/A</v>
      </c>
      <c r="S59" s="3" t="e">
        <f>IF($A59&lt;&gt;"",
IF(COLUMN(貼り付け用!S59)&gt;MATCH("おやつ",貼り付け用!$3:$3,0),"",
IF(VLOOKUP($A59,貼り付け用!$A$1:$BA$300,COLUMN(),FALSE)=0,"",VLOOKUP($A59,貼り付け用!$A$1:$BA$300,COLUMN(),FALSE))),"")</f>
        <v>#N/A</v>
      </c>
      <c r="T59" s="3" t="e">
        <f>IF(COLUMN(貼り付け用!T59)&gt;MATCH("おやつ",貼り付け用!$3:$3,0),"",
IF(VLOOKUP($A59,貼り付け用!$A$1:$BA$300,COLUMN(),FALSE)=0,"",VLOOKUP($A59,貼り付け用!$A$1:$BA$300,COLUMN(),FALSE)))</f>
        <v>#N/A</v>
      </c>
      <c r="U59" s="21"/>
      <c r="V59" s="55" t="e">
        <f>IF(A59&lt;&gt;"",
IF(VLOOKUP($A59,貼り付け用!$A$1:$BA$300,MATCH("おやつ",貼り付け用!$3:$3,0)+1,FALSE)=0,"",VLOOKUP($A59,貼り付け用!$A$1:$BA$300,MATCH("おやつ",貼り付け用!$3:$3,0)+1,FALSE)),"")</f>
        <v>#N/A</v>
      </c>
      <c r="W59" s="14" t="e">
        <f>IF(A59&lt;&gt;"",
IF(VLOOKUP($A59,貼り付け用!$A$1:$BA$300,MATCH("おやつ",貼り付け用!$3:$3,0)+2,FALSE)=0,"",VLOOKUP($A59,貼り付け用!$A$1:$BA$300,MATCH("おやつ",貼り付け用!$3:$3,0)+2,FALSE)),"")</f>
        <v>#N/A</v>
      </c>
    </row>
    <row r="60" spans="1:23">
      <c r="A60" s="4" t="e">
        <f>IF(貼り付け用!$A$6&lt;&gt;"",
IF(ROW(A59)+1&gt;=MATCH("*10000*", 貼り付け用!$A:$A, 0),
IF(COUNTIF(A58,"*10000*"),"10001",
IF(COUNTIF(A58,"*10001*"),"10002",
IF(COUNTIF(A58,"*10002*"),"",
IF(COUNTIF(A58,""),"","10000")))),
IF(貼り付け用!A60&lt;&gt;"",貼り付け用!A60,"")),
IF(ROW(A60)+1&gt;=MATCH("*10000*", 貼り付け用!$A:$A, 0),
IF(COUNTIF(A58,"*10000*"),"10001",
IF(COUNTIF(A58,"*10001*"),"10002",
IF(COUNTIF(A58,"*10002*"),"",
IF(COUNTIF(A58,""),"","10000")))),
IF(貼り付け用!A61&lt;&gt;"",貼り付け用!A61,"")))</f>
        <v>#N/A</v>
      </c>
      <c r="B60" s="14" t="e">
        <f>IF($A60&lt;&gt;"",IF(VLOOKUP($A60,貼り付け用!$A$1:$BA$300,COLUMN(),FALSE)=0,"",VLOOKUP($A60,貼り付け用!$A$1:$BA$300,COLUMN(),FALSE)),"")</f>
        <v>#N/A</v>
      </c>
      <c r="C60" s="14" t="e">
        <f>IF($A60&lt;&gt;"",IF(VLOOKUP($A60,貼り付け用!$A$1:$BA$300,COLUMN(),FALSE)=0,"",VLOOKUP($A60,貼り付け用!$A$1:$BA$300,COLUMN(),FALSE)),"")</f>
        <v>#N/A</v>
      </c>
      <c r="D60" s="14" t="e">
        <f>IF($A60&lt;&gt;"",IF(VLOOKUP($A60,貼り付け用!$A$1:$BA$300,COLUMN(),FALSE)=0,"",VLOOKUP($A60,貼り付け用!$A$1:$BA$300,COLUMN(),FALSE)),"")</f>
        <v>#N/A</v>
      </c>
      <c r="E60" s="14" t="e">
        <f>IF($A60&lt;&gt;"",IF(VLOOKUP($A60,貼り付け用!$A$1:$BA$300,COLUMN(),FALSE)=0,"",VLOOKUP($A60,貼り付け用!$A$1:$BA$300,COLUMN(),FALSE)),"")</f>
        <v>#N/A</v>
      </c>
      <c r="F60" s="14" t="e">
        <f>IF($A60&lt;&gt;"",IF(VLOOKUP($A60,貼り付け用!$A$1:$BA$300,COLUMN(),FALSE)=0,"",VLOOKUP($A60,貼り付け用!$A$1:$BA$300,COLUMN(),FALSE)),"")</f>
        <v>#N/A</v>
      </c>
      <c r="G60" s="14" t="e">
        <f>IF($A60&lt;&gt;"",IF(VLOOKUP($A60,貼り付け用!$A$1:$BA$300,COLUMN(),FALSE)=0,"",VLOOKUP($A60,貼り付け用!$A$1:$BA$300,COLUMN(),FALSE)),"")</f>
        <v>#N/A</v>
      </c>
      <c r="H60" s="14" t="e">
        <f>IF($A60&lt;&gt;"",IF(VLOOKUP($A60,貼り付け用!$A$1:$BA$300,COLUMN(),FALSE)=0,"",VLOOKUP($A60,貼り付け用!$A$1:$BA$300,COLUMN(),FALSE)),"")</f>
        <v>#N/A</v>
      </c>
      <c r="I60" s="14" t="e">
        <f>IF($A60&lt;&gt;"",IF(VLOOKUP($A60,貼り付け用!$A$1:$BA$300,COLUMN(),FALSE)=0,"",VLOOKUP($A60,貼り付け用!$A$1:$BA$300,COLUMN(),FALSE)),"")</f>
        <v>#N/A</v>
      </c>
      <c r="J60" s="14" t="e">
        <f>IF($A60&lt;&gt;"",IF(VLOOKUP($A60,貼り付け用!$A$1:$BA$300,COLUMN(),FALSE)=0,"",VLOOKUP($A60,貼り付け用!$A$1:$BA$300,COLUMN(),FALSE)),"")</f>
        <v>#N/A</v>
      </c>
      <c r="K60" s="14" t="e">
        <f>IF($A60&lt;&gt;"",IF(VLOOKUP($A60,貼り付け用!$A$1:$BA$300,COLUMN(),FALSE)=0,"",VLOOKUP($A60,貼り付け用!$A$1:$BA$300,COLUMN(),FALSE)),"")</f>
        <v>#N/A</v>
      </c>
      <c r="L60" s="14" t="e">
        <f>IF($A60&lt;&gt;"",
IF(COLUMN(貼り付け用!L60)&gt;MATCH("おやつ",貼り付け用!$3:$3,0),"",
IF(VLOOKUP($A60,貼り付け用!$A$1:$BA$300,COLUMN(),FALSE)=0,"",VLOOKUP($A60,貼り付け用!$A$1:$BA$300,COLUMN(),FALSE))),"")</f>
        <v>#N/A</v>
      </c>
      <c r="M60" s="14" t="e">
        <f>IF($A60&lt;&gt;"",
IF(COLUMN(貼り付け用!M60)&gt;MATCH("おやつ",貼り付け用!$3:$3,0),"",
IF(VLOOKUP($A60,貼り付け用!$A$1:$BA$300,COLUMN(),FALSE)=0,"",VLOOKUP($A60,貼り付け用!$A$1:$BA$300,COLUMN(),FALSE))),"")</f>
        <v>#N/A</v>
      </c>
      <c r="N60" s="14" t="e">
        <f>IF($A60&lt;&gt;"",
IF(COLUMN(貼り付け用!N60)&gt;MATCH("おやつ",貼り付け用!$3:$3,0),"",
IF(VLOOKUP($A60,貼り付け用!$A$1:$BA$300,COLUMN(),FALSE)=0,"",VLOOKUP($A60,貼り付け用!$A$1:$BA$300,COLUMN(),FALSE))),"")</f>
        <v>#N/A</v>
      </c>
      <c r="O60" s="14" t="e">
        <f>IF($A60&lt;&gt;"",
IF(COLUMN(貼り付け用!O60)&gt;MATCH("おやつ",貼り付け用!$3:$3,0),"",
IF(VLOOKUP($A60,貼り付け用!$A$1:$BA$300,COLUMN(),FALSE)=0,"",VLOOKUP($A60,貼り付け用!$A$1:$BA$300,COLUMN(),FALSE))),"")</f>
        <v>#N/A</v>
      </c>
      <c r="P60" s="14" t="e">
        <f>IF($A60&lt;&gt;"",
IF(COLUMN(貼り付け用!P60)&gt;MATCH("おやつ",貼り付け用!$3:$3,0),"",
IF(VLOOKUP($A60,貼り付け用!$A$1:$BA$300,COLUMN(),FALSE)=0,"",VLOOKUP($A60,貼り付け用!$A$1:$BA$300,COLUMN(),FALSE))),"")</f>
        <v>#N/A</v>
      </c>
      <c r="Q60" s="14" t="e">
        <f>IF($A60&lt;&gt;"",
IF(COLUMN(貼り付け用!Q60)&gt;MATCH("おやつ",貼り付け用!$3:$3,0),"",
IF(VLOOKUP($A60,貼り付け用!$A$1:$BA$300,COLUMN(),FALSE)=0,"",VLOOKUP($A60,貼り付け用!$A$1:$BA$300,COLUMN(),FALSE))),"")</f>
        <v>#N/A</v>
      </c>
      <c r="R60" s="14" t="e">
        <f>IF($A60&lt;&gt;"",
IF(COLUMN(貼り付け用!R60)&gt;MATCH("おやつ",貼り付け用!$3:$3,0),"",
IF(VLOOKUP($A60,貼り付け用!$A$1:$BA$300,COLUMN(),FALSE)=0,"",VLOOKUP($A60,貼り付け用!$A$1:$BA$300,COLUMN(),FALSE))),"")</f>
        <v>#N/A</v>
      </c>
      <c r="S60" s="14" t="e">
        <f>IF($A60&lt;&gt;"",
IF(COLUMN(貼り付け用!S60)&gt;MATCH("おやつ",貼り付け用!$3:$3,0),"",
IF(VLOOKUP($A60,貼り付け用!$A$1:$BA$300,COLUMN(),FALSE)=0,"",VLOOKUP($A60,貼り付け用!$A$1:$BA$300,COLUMN(),FALSE))),"")</f>
        <v>#N/A</v>
      </c>
      <c r="T60" s="14" t="e">
        <f>IF(COLUMN(貼り付け用!T60)&gt;MATCH("おやつ",貼り付け用!$3:$3,0),"",
IF(VLOOKUP($A60,貼り付け用!$A$1:$BA$300,COLUMN(),FALSE)=0,"",VLOOKUP($A60,貼り付け用!$A$1:$BA$300,COLUMN(),FALSE)))</f>
        <v>#N/A</v>
      </c>
      <c r="U60" s="11"/>
      <c r="V60" s="55" t="e">
        <f>IF(A60&lt;&gt;"",
IF(VLOOKUP($A60,貼り付け用!$A$1:$BA$300,MATCH("おやつ",貼り付け用!$3:$3,0)+1,FALSE)=0,"",VLOOKUP($A60,貼り付け用!$A$1:$BA$300,MATCH("おやつ",貼り付け用!$3:$3,0)+1,FALSE)),"")</f>
        <v>#N/A</v>
      </c>
      <c r="W60" s="14" t="e">
        <f>IF(A60&lt;&gt;"",
IF(VLOOKUP($A60,貼り付け用!$A$1:$BA$300,MATCH("おやつ",貼り付け用!$3:$3,0)+2,FALSE)=0,"",VLOOKUP($A60,貼り付け用!$A$1:$BA$300,MATCH("おやつ",貼り付け用!$3:$3,0)+2,FALSE)),"")</f>
        <v>#N/A</v>
      </c>
    </row>
    <row r="61" spans="1:23">
      <c r="A61" s="8" t="e">
        <f>IF(貼り付け用!$A$6&lt;&gt;"",
IF(ROW(A60)+1&gt;=MATCH("*10000*", 貼り付け用!$A:$A, 0),"",
IF(貼り付け用!A61&lt;&gt;"",貼り付け用!A61,"")),
IF(ROW(A61)+1&gt;=MATCH("*10000*", 貼り付け用!$A:$A, 0),"",
IF(貼り付け用!A62&lt;&gt;"",貼り付け用!A62,"")))</f>
        <v>#N/A</v>
      </c>
      <c r="B61" s="3" t="e">
        <f>IF($A61&lt;&gt;"",IF(VLOOKUP($A61,貼り付け用!$A$1:$BA$300,COLUMN(),FALSE)=0,"",VLOOKUP($A61,貼り付け用!$A$1:$BA$300,COLUMN(),FALSE)),"")</f>
        <v>#N/A</v>
      </c>
      <c r="C61" s="3" t="e">
        <f>IF($A61&lt;&gt;"",IF(VLOOKUP($A61,貼り付け用!$A$1:$BA$300,COLUMN(),FALSE)=0,"",VLOOKUP($A61,貼り付け用!$A$1:$BA$300,COLUMN(),FALSE)),"")</f>
        <v>#N/A</v>
      </c>
      <c r="D61" s="3" t="e">
        <f>IF($A61&lt;&gt;"",IF(VLOOKUP($A61,貼り付け用!$A$1:$BA$300,COLUMN(),FALSE)=0,"",VLOOKUP($A61,貼り付け用!$A$1:$BA$300,COLUMN(),FALSE)),"")</f>
        <v>#N/A</v>
      </c>
      <c r="E61" s="3" t="e">
        <f>IF($A61&lt;&gt;"",IF(VLOOKUP($A61,貼り付け用!$A$1:$BA$300,COLUMN(),FALSE)=0,"",VLOOKUP($A61,貼り付け用!$A$1:$BA$300,COLUMN(),FALSE)),"")</f>
        <v>#N/A</v>
      </c>
      <c r="F61" s="3" t="e">
        <f>IF($A61&lt;&gt;"",IF(VLOOKUP($A61,貼り付け用!$A$1:$BA$300,COLUMN(),FALSE)=0,"",VLOOKUP($A61,貼り付け用!$A$1:$BA$300,COLUMN(),FALSE)),"")</f>
        <v>#N/A</v>
      </c>
      <c r="G61" s="3" t="e">
        <f>IF($A61&lt;&gt;"",IF(VLOOKUP($A61,貼り付け用!$A$1:$BA$300,COLUMN(),FALSE)=0,"",VLOOKUP($A61,貼り付け用!$A$1:$BA$300,COLUMN(),FALSE)),"")</f>
        <v>#N/A</v>
      </c>
      <c r="H61" s="3" t="e">
        <f>IF($A61&lt;&gt;"",IF(VLOOKUP($A61,貼り付け用!$A$1:$BA$300,COLUMN(),FALSE)=0,"",VLOOKUP($A61,貼り付け用!$A$1:$BA$300,COLUMN(),FALSE)),"")</f>
        <v>#N/A</v>
      </c>
      <c r="I61" s="3" t="e">
        <f>IF($A61&lt;&gt;"",IF(VLOOKUP($A61,貼り付け用!$A$1:$BA$300,COLUMN(),FALSE)=0,"",VLOOKUP($A61,貼り付け用!$A$1:$BA$300,COLUMN(),FALSE)),"")</f>
        <v>#N/A</v>
      </c>
      <c r="J61" s="3" t="e">
        <f>IF($A61&lt;&gt;"",IF(VLOOKUP($A61,貼り付け用!$A$1:$BA$300,COLUMN(),FALSE)=0,"",VLOOKUP($A61,貼り付け用!$A$1:$BA$300,COLUMN(),FALSE)),"")</f>
        <v>#N/A</v>
      </c>
      <c r="K61" s="3" t="e">
        <f>IF($A61&lt;&gt;"",IF(VLOOKUP($A61,貼り付け用!$A$1:$BA$300,COLUMN(),FALSE)=0,"",VLOOKUP($A61,貼り付け用!$A$1:$BA$300,COLUMN(),FALSE)),"")</f>
        <v>#N/A</v>
      </c>
      <c r="L61" s="3" t="e">
        <f>IF($A61&lt;&gt;"",
IF(COLUMN(貼り付け用!L61)&gt;MATCH("おやつ",貼り付け用!$3:$3,0),"",
IF(VLOOKUP($A61,貼り付け用!$A$1:$BA$300,COLUMN(),FALSE)=0,"",VLOOKUP($A61,貼り付け用!$A$1:$BA$300,COLUMN(),FALSE))),"")</f>
        <v>#N/A</v>
      </c>
      <c r="M61" s="3" t="e">
        <f>IF($A61&lt;&gt;"",
IF(COLUMN(貼り付け用!M61)&gt;MATCH("おやつ",貼り付け用!$3:$3,0),"",
IF(VLOOKUP($A61,貼り付け用!$A$1:$BA$300,COLUMN(),FALSE)=0,"",VLOOKUP($A61,貼り付け用!$A$1:$BA$300,COLUMN(),FALSE))),"")</f>
        <v>#N/A</v>
      </c>
      <c r="N61" s="3" t="e">
        <f>IF($A61&lt;&gt;"",
IF(COLUMN(貼り付け用!N61)&gt;MATCH("おやつ",貼り付け用!$3:$3,0),"",
IF(VLOOKUP($A61,貼り付け用!$A$1:$BA$300,COLUMN(),FALSE)=0,"",VLOOKUP($A61,貼り付け用!$A$1:$BA$300,COLUMN(),FALSE))),"")</f>
        <v>#N/A</v>
      </c>
      <c r="O61" s="3" t="e">
        <f>IF($A61&lt;&gt;"",
IF(COLUMN(貼り付け用!O61)&gt;MATCH("おやつ",貼り付け用!$3:$3,0),"",
IF(VLOOKUP($A61,貼り付け用!$A$1:$BA$300,COLUMN(),FALSE)=0,"",VLOOKUP($A61,貼り付け用!$A$1:$BA$300,COLUMN(),FALSE))),"")</f>
        <v>#N/A</v>
      </c>
      <c r="P61" s="3" t="e">
        <f>IF($A61&lt;&gt;"",
IF(COLUMN(貼り付け用!P61)&gt;MATCH("おやつ",貼り付け用!$3:$3,0),"",
IF(VLOOKUP($A61,貼り付け用!$A$1:$BA$300,COLUMN(),FALSE)=0,"",VLOOKUP($A61,貼り付け用!$A$1:$BA$300,COLUMN(),FALSE))),"")</f>
        <v>#N/A</v>
      </c>
      <c r="Q61" s="3" t="e">
        <f>IF($A61&lt;&gt;"",
IF(COLUMN(貼り付け用!Q61)&gt;MATCH("おやつ",貼り付け用!$3:$3,0),"",
IF(VLOOKUP($A61,貼り付け用!$A$1:$BA$300,COLUMN(),FALSE)=0,"",VLOOKUP($A61,貼り付け用!$A$1:$BA$300,COLUMN(),FALSE))),"")</f>
        <v>#N/A</v>
      </c>
      <c r="R61" s="3" t="e">
        <f>IF($A61&lt;&gt;"",
IF(COLUMN(貼り付け用!R61)&gt;MATCH("おやつ",貼り付け用!$3:$3,0),"",
IF(VLOOKUP($A61,貼り付け用!$A$1:$BA$300,COLUMN(),FALSE)=0,"",VLOOKUP($A61,貼り付け用!$A$1:$BA$300,COLUMN(),FALSE))),"")</f>
        <v>#N/A</v>
      </c>
      <c r="S61" s="3" t="e">
        <f>IF($A61&lt;&gt;"",
IF(COLUMN(貼り付け用!S61)&gt;MATCH("おやつ",貼り付け用!$3:$3,0),"",
IF(VLOOKUP($A61,貼り付け用!$A$1:$BA$300,COLUMN(),FALSE)=0,"",VLOOKUP($A61,貼り付け用!$A$1:$BA$300,COLUMN(),FALSE))),"")</f>
        <v>#N/A</v>
      </c>
      <c r="T61" s="3" t="e">
        <f>IF(COLUMN(貼り付け用!T61)&gt;MATCH("おやつ",貼り付け用!$3:$3,0),"",
IF(VLOOKUP($A61,貼り付け用!$A$1:$BA$300,COLUMN(),FALSE)=0,"",VLOOKUP($A61,貼り付け用!$A$1:$BA$300,COLUMN(),FALSE)))</f>
        <v>#N/A</v>
      </c>
      <c r="U61" s="21"/>
      <c r="V61" s="55" t="e">
        <f>IF(A61&lt;&gt;"",
IF(VLOOKUP($A61,貼り付け用!$A$1:$BA$300,MATCH("おやつ",貼り付け用!$3:$3,0)+1,FALSE)=0,"",VLOOKUP($A61,貼り付け用!$A$1:$BA$300,MATCH("おやつ",貼り付け用!$3:$3,0)+1,FALSE)),"")</f>
        <v>#N/A</v>
      </c>
      <c r="W61" s="14" t="e">
        <f>IF(A61&lt;&gt;"",
IF(VLOOKUP($A61,貼り付け用!$A$1:$BA$300,MATCH("おやつ",貼り付け用!$3:$3,0)+2,FALSE)=0,"",VLOOKUP($A61,貼り付け用!$A$1:$BA$300,MATCH("おやつ",貼り付け用!$3:$3,0)+2,FALSE)),"")</f>
        <v>#N/A</v>
      </c>
    </row>
    <row r="62" spans="1:23">
      <c r="A62" s="4" t="e">
        <f>IF(貼り付け用!$A$6&lt;&gt;"",
IF(ROW(A61)+1&gt;=MATCH("*10000*", 貼り付け用!$A:$A, 0),
IF(COUNTIF(A60,"*10000*"),"10001",
IF(COUNTIF(A60,"*10001*"),"10002",
IF(COUNTIF(A60,"*10002*"),"",
IF(COUNTIF(A60,""),"","10000")))),
IF(貼り付け用!A62&lt;&gt;"",貼り付け用!A62,"")),
IF(ROW(A62)+1&gt;=MATCH("*10000*", 貼り付け用!$A:$A, 0),
IF(COUNTIF(A60,"*10000*"),"10001",
IF(COUNTIF(A60,"*10001*"),"10002",
IF(COUNTIF(A60,"*10002*"),"",
IF(COUNTIF(A60,""),"","10000")))),
IF(貼り付け用!A63&lt;&gt;"",貼り付け用!A63,"")))</f>
        <v>#N/A</v>
      </c>
      <c r="B62" s="14" t="e">
        <f>IF($A62&lt;&gt;"",IF(VLOOKUP($A62,貼り付け用!$A$1:$BA$300,COLUMN(),FALSE)=0,"",VLOOKUP($A62,貼り付け用!$A$1:$BA$300,COLUMN(),FALSE)),"")</f>
        <v>#N/A</v>
      </c>
      <c r="C62" s="14" t="e">
        <f>IF($A62&lt;&gt;"",IF(VLOOKUP($A62,貼り付け用!$A$1:$BA$300,COLUMN(),FALSE)=0,"",VLOOKUP($A62,貼り付け用!$A$1:$BA$300,COLUMN(),FALSE)),"")</f>
        <v>#N/A</v>
      </c>
      <c r="D62" s="14" t="e">
        <f>IF($A62&lt;&gt;"",IF(VLOOKUP($A62,貼り付け用!$A$1:$BA$300,COLUMN(),FALSE)=0,"",VLOOKUP($A62,貼り付け用!$A$1:$BA$300,COLUMN(),FALSE)),"")</f>
        <v>#N/A</v>
      </c>
      <c r="E62" s="14" t="e">
        <f>IF($A62&lt;&gt;"",IF(VLOOKUP($A62,貼り付け用!$A$1:$BA$300,COLUMN(),FALSE)=0,"",VLOOKUP($A62,貼り付け用!$A$1:$BA$300,COLUMN(),FALSE)),"")</f>
        <v>#N/A</v>
      </c>
      <c r="F62" s="14" t="e">
        <f>IF($A62&lt;&gt;"",IF(VLOOKUP($A62,貼り付け用!$A$1:$BA$300,COLUMN(),FALSE)=0,"",VLOOKUP($A62,貼り付け用!$A$1:$BA$300,COLUMN(),FALSE)),"")</f>
        <v>#N/A</v>
      </c>
      <c r="G62" s="14" t="e">
        <f>IF($A62&lt;&gt;"",IF(VLOOKUP($A62,貼り付け用!$A$1:$BA$300,COLUMN(),FALSE)=0,"",VLOOKUP($A62,貼り付け用!$A$1:$BA$300,COLUMN(),FALSE)),"")</f>
        <v>#N/A</v>
      </c>
      <c r="H62" s="14" t="e">
        <f>IF($A62&lt;&gt;"",IF(VLOOKUP($A62,貼り付け用!$A$1:$BA$300,COLUMN(),FALSE)=0,"",VLOOKUP($A62,貼り付け用!$A$1:$BA$300,COLUMN(),FALSE)),"")</f>
        <v>#N/A</v>
      </c>
      <c r="I62" s="14" t="e">
        <f>IF($A62&lt;&gt;"",IF(VLOOKUP($A62,貼り付け用!$A$1:$BA$300,COLUMN(),FALSE)=0,"",VLOOKUP($A62,貼り付け用!$A$1:$BA$300,COLUMN(),FALSE)),"")</f>
        <v>#N/A</v>
      </c>
      <c r="J62" s="14" t="e">
        <f>IF($A62&lt;&gt;"",IF(VLOOKUP($A62,貼り付け用!$A$1:$BA$300,COLUMN(),FALSE)=0,"",VLOOKUP($A62,貼り付け用!$A$1:$BA$300,COLUMN(),FALSE)),"")</f>
        <v>#N/A</v>
      </c>
      <c r="K62" s="14" t="e">
        <f>IF($A62&lt;&gt;"",IF(VLOOKUP($A62,貼り付け用!$A$1:$BA$300,COLUMN(),FALSE)=0,"",VLOOKUP($A62,貼り付け用!$A$1:$BA$300,COLUMN(),FALSE)),"")</f>
        <v>#N/A</v>
      </c>
      <c r="L62" s="14" t="e">
        <f>IF($A62&lt;&gt;"",
IF(COLUMN(貼り付け用!L62)&gt;MATCH("おやつ",貼り付け用!$3:$3,0),"",
IF(VLOOKUP($A62,貼り付け用!$A$1:$BA$300,COLUMN(),FALSE)=0,"",VLOOKUP($A62,貼り付け用!$A$1:$BA$300,COLUMN(),FALSE))),"")</f>
        <v>#N/A</v>
      </c>
      <c r="M62" s="14" t="e">
        <f>IF($A62&lt;&gt;"",
IF(COLUMN(貼り付け用!M62)&gt;MATCH("おやつ",貼り付け用!$3:$3,0),"",
IF(VLOOKUP($A62,貼り付け用!$A$1:$BA$300,COLUMN(),FALSE)=0,"",VLOOKUP($A62,貼り付け用!$A$1:$BA$300,COLUMN(),FALSE))),"")</f>
        <v>#N/A</v>
      </c>
      <c r="N62" s="14" t="e">
        <f>IF($A62&lt;&gt;"",
IF(COLUMN(貼り付け用!N62)&gt;MATCH("おやつ",貼り付け用!$3:$3,0),"",
IF(VLOOKUP($A62,貼り付け用!$A$1:$BA$300,COLUMN(),FALSE)=0,"",VLOOKUP($A62,貼り付け用!$A$1:$BA$300,COLUMN(),FALSE))),"")</f>
        <v>#N/A</v>
      </c>
      <c r="O62" s="14" t="e">
        <f>IF($A62&lt;&gt;"",
IF(COLUMN(貼り付け用!O62)&gt;MATCH("おやつ",貼り付け用!$3:$3,0),"",
IF(VLOOKUP($A62,貼り付け用!$A$1:$BA$300,COLUMN(),FALSE)=0,"",VLOOKUP($A62,貼り付け用!$A$1:$BA$300,COLUMN(),FALSE))),"")</f>
        <v>#N/A</v>
      </c>
      <c r="P62" s="14" t="e">
        <f>IF($A62&lt;&gt;"",
IF(COLUMN(貼り付け用!P62)&gt;MATCH("おやつ",貼り付け用!$3:$3,0),"",
IF(VLOOKUP($A62,貼り付け用!$A$1:$BA$300,COLUMN(),FALSE)=0,"",VLOOKUP($A62,貼り付け用!$A$1:$BA$300,COLUMN(),FALSE))),"")</f>
        <v>#N/A</v>
      </c>
      <c r="Q62" s="14" t="e">
        <f>IF($A62&lt;&gt;"",
IF(COLUMN(貼り付け用!Q62)&gt;MATCH("おやつ",貼り付け用!$3:$3,0),"",
IF(VLOOKUP($A62,貼り付け用!$A$1:$BA$300,COLUMN(),FALSE)=0,"",VLOOKUP($A62,貼り付け用!$A$1:$BA$300,COLUMN(),FALSE))),"")</f>
        <v>#N/A</v>
      </c>
      <c r="R62" s="14" t="e">
        <f>IF($A62&lt;&gt;"",
IF(COLUMN(貼り付け用!R62)&gt;MATCH("おやつ",貼り付け用!$3:$3,0),"",
IF(VLOOKUP($A62,貼り付け用!$A$1:$BA$300,COLUMN(),FALSE)=0,"",VLOOKUP($A62,貼り付け用!$A$1:$BA$300,COLUMN(),FALSE))),"")</f>
        <v>#N/A</v>
      </c>
      <c r="S62" s="14" t="e">
        <f>IF($A62&lt;&gt;"",
IF(COLUMN(貼り付け用!S62)&gt;MATCH("おやつ",貼り付け用!$3:$3,0),"",
IF(VLOOKUP($A62,貼り付け用!$A$1:$BA$300,COLUMN(),FALSE)=0,"",VLOOKUP($A62,貼り付け用!$A$1:$BA$300,COLUMN(),FALSE))),"")</f>
        <v>#N/A</v>
      </c>
      <c r="T62" s="14" t="e">
        <f>IF(COLUMN(貼り付け用!T62)&gt;MATCH("おやつ",貼り付け用!$3:$3,0),"",
IF(VLOOKUP($A62,貼り付け用!$A$1:$BA$300,COLUMN(),FALSE)=0,"",VLOOKUP($A62,貼り付け用!$A$1:$BA$300,COLUMN(),FALSE)))</f>
        <v>#N/A</v>
      </c>
      <c r="U62" s="11"/>
      <c r="V62" s="55" t="e">
        <f>IF(A62&lt;&gt;"",
IF(VLOOKUP($A62,貼り付け用!$A$1:$BA$300,MATCH("おやつ",貼り付け用!$3:$3,0)+1,FALSE)=0,"",VLOOKUP($A62,貼り付け用!$A$1:$BA$300,MATCH("おやつ",貼り付け用!$3:$3,0)+1,FALSE)),"")</f>
        <v>#N/A</v>
      </c>
      <c r="W62" s="14" t="e">
        <f>IF(A62&lt;&gt;"",
IF(VLOOKUP($A62,貼り付け用!$A$1:$BA$300,MATCH("おやつ",貼り付け用!$3:$3,0)+2,FALSE)=0,"",VLOOKUP($A62,貼り付け用!$A$1:$BA$300,MATCH("おやつ",貼り付け用!$3:$3,0)+2,FALSE)),"")</f>
        <v>#N/A</v>
      </c>
    </row>
    <row r="63" spans="1:23">
      <c r="A63" s="8" t="e">
        <f>IF(貼り付け用!$A$6&lt;&gt;"",
IF(ROW(A62)+1&gt;=MATCH("*10000*", 貼り付け用!$A:$A, 0),"",
IF(貼り付け用!A63&lt;&gt;"",貼り付け用!A63,"")),
IF(ROW(A63)+1&gt;=MATCH("*10000*", 貼り付け用!$A:$A, 0),"",
IF(貼り付け用!A64&lt;&gt;"",貼り付け用!A64,"")))</f>
        <v>#N/A</v>
      </c>
      <c r="B63" s="3" t="e">
        <f>IF($A63&lt;&gt;"",IF(VLOOKUP($A63,貼り付け用!$A$1:$BA$300,COLUMN(),FALSE)=0,"",VLOOKUP($A63,貼り付け用!$A$1:$BA$300,COLUMN(),FALSE)),"")</f>
        <v>#N/A</v>
      </c>
      <c r="C63" s="3" t="e">
        <f>IF($A63&lt;&gt;"",IF(VLOOKUP($A63,貼り付け用!$A$1:$BA$300,COLUMN(),FALSE)=0,"",VLOOKUP($A63,貼り付け用!$A$1:$BA$300,COLUMN(),FALSE)),"")</f>
        <v>#N/A</v>
      </c>
      <c r="D63" s="3" t="e">
        <f>IF($A63&lt;&gt;"",IF(VLOOKUP($A63,貼り付け用!$A$1:$BA$300,COLUMN(),FALSE)=0,"",VLOOKUP($A63,貼り付け用!$A$1:$BA$300,COLUMN(),FALSE)),"")</f>
        <v>#N/A</v>
      </c>
      <c r="E63" s="3" t="e">
        <f>IF($A63&lt;&gt;"",IF(VLOOKUP($A63,貼り付け用!$A$1:$BA$300,COLUMN(),FALSE)=0,"",VLOOKUP($A63,貼り付け用!$A$1:$BA$300,COLUMN(),FALSE)),"")</f>
        <v>#N/A</v>
      </c>
      <c r="F63" s="3" t="e">
        <f>IF($A63&lt;&gt;"",IF(VLOOKUP($A63,貼り付け用!$A$1:$BA$300,COLUMN(),FALSE)=0,"",VLOOKUP($A63,貼り付け用!$A$1:$BA$300,COLUMN(),FALSE)),"")</f>
        <v>#N/A</v>
      </c>
      <c r="G63" s="3" t="e">
        <f>IF($A63&lt;&gt;"",IF(VLOOKUP($A63,貼り付け用!$A$1:$BA$300,COLUMN(),FALSE)=0,"",VLOOKUP($A63,貼り付け用!$A$1:$BA$300,COLUMN(),FALSE)),"")</f>
        <v>#N/A</v>
      </c>
      <c r="H63" s="3" t="e">
        <f>IF($A63&lt;&gt;"",IF(VLOOKUP($A63,貼り付け用!$A$1:$BA$300,COLUMN(),FALSE)=0,"",VLOOKUP($A63,貼り付け用!$A$1:$BA$300,COLUMN(),FALSE)),"")</f>
        <v>#N/A</v>
      </c>
      <c r="I63" s="3" t="e">
        <f>IF($A63&lt;&gt;"",IF(VLOOKUP($A63,貼り付け用!$A$1:$BA$300,COLUMN(),FALSE)=0,"",VLOOKUP($A63,貼り付け用!$A$1:$BA$300,COLUMN(),FALSE)),"")</f>
        <v>#N/A</v>
      </c>
      <c r="J63" s="3" t="e">
        <f>IF($A63&lt;&gt;"",IF(VLOOKUP($A63,貼り付け用!$A$1:$BA$300,COLUMN(),FALSE)=0,"",VLOOKUP($A63,貼り付け用!$A$1:$BA$300,COLUMN(),FALSE)),"")</f>
        <v>#N/A</v>
      </c>
      <c r="K63" s="3" t="e">
        <f>IF($A63&lt;&gt;"",IF(VLOOKUP($A63,貼り付け用!$A$1:$BA$300,COLUMN(),FALSE)=0,"",VLOOKUP($A63,貼り付け用!$A$1:$BA$300,COLUMN(),FALSE)),"")</f>
        <v>#N/A</v>
      </c>
      <c r="L63" s="3" t="e">
        <f>IF($A63&lt;&gt;"",
IF(COLUMN(貼り付け用!L63)&gt;MATCH("おやつ",貼り付け用!$3:$3,0),"",
IF(VLOOKUP($A63,貼り付け用!$A$1:$BA$300,COLUMN(),FALSE)=0,"",VLOOKUP($A63,貼り付け用!$A$1:$BA$300,COLUMN(),FALSE))),"")</f>
        <v>#N/A</v>
      </c>
      <c r="M63" s="3" t="e">
        <f>IF($A63&lt;&gt;"",
IF(COLUMN(貼り付け用!M63)&gt;MATCH("おやつ",貼り付け用!$3:$3,0),"",
IF(VLOOKUP($A63,貼り付け用!$A$1:$BA$300,COLUMN(),FALSE)=0,"",VLOOKUP($A63,貼り付け用!$A$1:$BA$300,COLUMN(),FALSE))),"")</f>
        <v>#N/A</v>
      </c>
      <c r="N63" s="3" t="e">
        <f>IF($A63&lt;&gt;"",
IF(COLUMN(貼り付け用!N63)&gt;MATCH("おやつ",貼り付け用!$3:$3,0),"",
IF(VLOOKUP($A63,貼り付け用!$A$1:$BA$300,COLUMN(),FALSE)=0,"",VLOOKUP($A63,貼り付け用!$A$1:$BA$300,COLUMN(),FALSE))),"")</f>
        <v>#N/A</v>
      </c>
      <c r="O63" s="3" t="e">
        <f>IF($A63&lt;&gt;"",
IF(COLUMN(貼り付け用!O63)&gt;MATCH("おやつ",貼り付け用!$3:$3,0),"",
IF(VLOOKUP($A63,貼り付け用!$A$1:$BA$300,COLUMN(),FALSE)=0,"",VLOOKUP($A63,貼り付け用!$A$1:$BA$300,COLUMN(),FALSE))),"")</f>
        <v>#N/A</v>
      </c>
      <c r="P63" s="3" t="e">
        <f>IF($A63&lt;&gt;"",
IF(COLUMN(貼り付け用!P63)&gt;MATCH("おやつ",貼り付け用!$3:$3,0),"",
IF(VLOOKUP($A63,貼り付け用!$A$1:$BA$300,COLUMN(),FALSE)=0,"",VLOOKUP($A63,貼り付け用!$A$1:$BA$300,COLUMN(),FALSE))),"")</f>
        <v>#N/A</v>
      </c>
      <c r="Q63" s="3" t="e">
        <f>IF($A63&lt;&gt;"",
IF(COLUMN(貼り付け用!Q63)&gt;MATCH("おやつ",貼り付け用!$3:$3,0),"",
IF(VLOOKUP($A63,貼り付け用!$A$1:$BA$300,COLUMN(),FALSE)=0,"",VLOOKUP($A63,貼り付け用!$A$1:$BA$300,COLUMN(),FALSE))),"")</f>
        <v>#N/A</v>
      </c>
      <c r="R63" s="3" t="e">
        <f>IF($A63&lt;&gt;"",
IF(COLUMN(貼り付け用!R63)&gt;MATCH("おやつ",貼り付け用!$3:$3,0),"",
IF(VLOOKUP($A63,貼り付け用!$A$1:$BA$300,COLUMN(),FALSE)=0,"",VLOOKUP($A63,貼り付け用!$A$1:$BA$300,COLUMN(),FALSE))),"")</f>
        <v>#N/A</v>
      </c>
      <c r="S63" s="3" t="e">
        <f>IF($A63&lt;&gt;"",
IF(COLUMN(貼り付け用!S63)&gt;MATCH("おやつ",貼り付け用!$3:$3,0),"",
IF(VLOOKUP($A63,貼り付け用!$A$1:$BA$300,COLUMN(),FALSE)=0,"",VLOOKUP($A63,貼り付け用!$A$1:$BA$300,COLUMN(),FALSE))),"")</f>
        <v>#N/A</v>
      </c>
      <c r="T63" s="3" t="e">
        <f>IF(COLUMN(貼り付け用!T63)&gt;MATCH("おやつ",貼り付け用!$3:$3,0),"",
IF(VLOOKUP($A63,貼り付け用!$A$1:$BA$300,COLUMN(),FALSE)=0,"",VLOOKUP($A63,貼り付け用!$A$1:$BA$300,COLUMN(),FALSE)))</f>
        <v>#N/A</v>
      </c>
      <c r="U63" s="21"/>
      <c r="V63" s="55" t="e">
        <f>IF(A63&lt;&gt;"",
IF(VLOOKUP($A63,貼り付け用!$A$1:$BA$300,MATCH("おやつ",貼り付け用!$3:$3,0)+1,FALSE)=0,"",VLOOKUP($A63,貼り付け用!$A$1:$BA$300,MATCH("おやつ",貼り付け用!$3:$3,0)+1,FALSE)),"")</f>
        <v>#N/A</v>
      </c>
      <c r="W63" s="14" t="e">
        <f>IF(A63&lt;&gt;"",
IF(VLOOKUP($A63,貼り付け用!$A$1:$BA$300,MATCH("おやつ",貼り付け用!$3:$3,0)+2,FALSE)=0,"",VLOOKUP($A63,貼り付け用!$A$1:$BA$300,MATCH("おやつ",貼り付け用!$3:$3,0)+2,FALSE)),"")</f>
        <v>#N/A</v>
      </c>
    </row>
    <row r="64" spans="1:23">
      <c r="A64" s="4" t="e">
        <f>IF(貼り付け用!$A$6&lt;&gt;"",
IF(ROW(A63)+1&gt;=MATCH("*10000*", 貼り付け用!$A:$A, 0),
IF(COUNTIF(A62,"*10000*"),"10001",
IF(COUNTIF(A62,"*10001*"),"10002",
IF(COUNTIF(A62,"*10002*"),"",
IF(COUNTIF(A62,""),"","10000")))),
IF(貼り付け用!A64&lt;&gt;"",貼り付け用!A64,"")),
IF(ROW(A64)+1&gt;=MATCH("*10000*", 貼り付け用!$A:$A, 0),
IF(COUNTIF(A62,"*10000*"),"10001",
IF(COUNTIF(A62,"*10001*"),"10002",
IF(COUNTIF(A62,"*10002*"),"",
IF(COUNTIF(A62,""),"","10000")))),
IF(貼り付け用!A65&lt;&gt;"",貼り付け用!A65,"")))</f>
        <v>#N/A</v>
      </c>
      <c r="B64" s="14" t="e">
        <f>IF($A64&lt;&gt;"",IF(VLOOKUP($A64,貼り付け用!$A$1:$BA$300,COLUMN(),FALSE)=0,"",VLOOKUP($A64,貼り付け用!$A$1:$BA$300,COLUMN(),FALSE)),"")</f>
        <v>#N/A</v>
      </c>
      <c r="C64" s="14" t="e">
        <f>IF($A64&lt;&gt;"",IF(VLOOKUP($A64,貼り付け用!$A$1:$BA$300,COLUMN(),FALSE)=0,"",VLOOKUP($A64,貼り付け用!$A$1:$BA$300,COLUMN(),FALSE)),"")</f>
        <v>#N/A</v>
      </c>
      <c r="D64" s="14" t="e">
        <f>IF($A64&lt;&gt;"",IF(VLOOKUP($A64,貼り付け用!$A$1:$BA$300,COLUMN(),FALSE)=0,"",VLOOKUP($A64,貼り付け用!$A$1:$BA$300,COLUMN(),FALSE)),"")</f>
        <v>#N/A</v>
      </c>
      <c r="E64" s="14" t="e">
        <f>IF($A64&lt;&gt;"",IF(VLOOKUP($A64,貼り付け用!$A$1:$BA$300,COLUMN(),FALSE)=0,"",VLOOKUP($A64,貼り付け用!$A$1:$BA$300,COLUMN(),FALSE)),"")</f>
        <v>#N/A</v>
      </c>
      <c r="F64" s="14" t="e">
        <f>IF($A64&lt;&gt;"",IF(VLOOKUP($A64,貼り付け用!$A$1:$BA$300,COLUMN(),FALSE)=0,"",VLOOKUP($A64,貼り付け用!$A$1:$BA$300,COLUMN(),FALSE)),"")</f>
        <v>#N/A</v>
      </c>
      <c r="G64" s="14" t="e">
        <f>IF($A64&lt;&gt;"",IF(VLOOKUP($A64,貼り付け用!$A$1:$BA$300,COLUMN(),FALSE)=0,"",VLOOKUP($A64,貼り付け用!$A$1:$BA$300,COLUMN(),FALSE)),"")</f>
        <v>#N/A</v>
      </c>
      <c r="H64" s="14" t="e">
        <f>IF($A64&lt;&gt;"",IF(VLOOKUP($A64,貼り付け用!$A$1:$BA$300,COLUMN(),FALSE)=0,"",VLOOKUP($A64,貼り付け用!$A$1:$BA$300,COLUMN(),FALSE)),"")</f>
        <v>#N/A</v>
      </c>
      <c r="I64" s="14" t="e">
        <f>IF($A64&lt;&gt;"",IF(VLOOKUP($A64,貼り付け用!$A$1:$BA$300,COLUMN(),FALSE)=0,"",VLOOKUP($A64,貼り付け用!$A$1:$BA$300,COLUMN(),FALSE)),"")</f>
        <v>#N/A</v>
      </c>
      <c r="J64" s="14" t="e">
        <f>IF($A64&lt;&gt;"",IF(VLOOKUP($A64,貼り付け用!$A$1:$BA$300,COLUMN(),FALSE)=0,"",VLOOKUP($A64,貼り付け用!$A$1:$BA$300,COLUMN(),FALSE)),"")</f>
        <v>#N/A</v>
      </c>
      <c r="K64" s="14" t="e">
        <f>IF($A64&lt;&gt;"",IF(VLOOKUP($A64,貼り付け用!$A$1:$BA$300,COLUMN(),FALSE)=0,"",VLOOKUP($A64,貼り付け用!$A$1:$BA$300,COLUMN(),FALSE)),"")</f>
        <v>#N/A</v>
      </c>
      <c r="L64" s="14" t="e">
        <f>IF($A64&lt;&gt;"",
IF(COLUMN(貼り付け用!L64)&gt;MATCH("おやつ",貼り付け用!$3:$3,0),"",
IF(VLOOKUP($A64,貼り付け用!$A$1:$BA$300,COLUMN(),FALSE)=0,"",VLOOKUP($A64,貼り付け用!$A$1:$BA$300,COLUMN(),FALSE))),"")</f>
        <v>#N/A</v>
      </c>
      <c r="M64" s="14" t="e">
        <f>IF($A64&lt;&gt;"",
IF(COLUMN(貼り付け用!M64)&gt;MATCH("おやつ",貼り付け用!$3:$3,0),"",
IF(VLOOKUP($A64,貼り付け用!$A$1:$BA$300,COLUMN(),FALSE)=0,"",VLOOKUP($A64,貼り付け用!$A$1:$BA$300,COLUMN(),FALSE))),"")</f>
        <v>#N/A</v>
      </c>
      <c r="N64" s="14" t="e">
        <f>IF($A64&lt;&gt;"",
IF(COLUMN(貼り付け用!N64)&gt;MATCH("おやつ",貼り付け用!$3:$3,0),"",
IF(VLOOKUP($A64,貼り付け用!$A$1:$BA$300,COLUMN(),FALSE)=0,"",VLOOKUP($A64,貼り付け用!$A$1:$BA$300,COLUMN(),FALSE))),"")</f>
        <v>#N/A</v>
      </c>
      <c r="O64" s="14" t="e">
        <f>IF($A64&lt;&gt;"",
IF(COLUMN(貼り付け用!O64)&gt;MATCH("おやつ",貼り付け用!$3:$3,0),"",
IF(VLOOKUP($A64,貼り付け用!$A$1:$BA$300,COLUMN(),FALSE)=0,"",VLOOKUP($A64,貼り付け用!$A$1:$BA$300,COLUMN(),FALSE))),"")</f>
        <v>#N/A</v>
      </c>
      <c r="P64" s="14" t="e">
        <f>IF($A64&lt;&gt;"",
IF(COLUMN(貼り付け用!P64)&gt;MATCH("おやつ",貼り付け用!$3:$3,0),"",
IF(VLOOKUP($A64,貼り付け用!$A$1:$BA$300,COLUMN(),FALSE)=0,"",VLOOKUP($A64,貼り付け用!$A$1:$BA$300,COLUMN(),FALSE))),"")</f>
        <v>#N/A</v>
      </c>
      <c r="Q64" s="14" t="e">
        <f>IF($A64&lt;&gt;"",
IF(COLUMN(貼り付け用!Q64)&gt;MATCH("おやつ",貼り付け用!$3:$3,0),"",
IF(VLOOKUP($A64,貼り付け用!$A$1:$BA$300,COLUMN(),FALSE)=0,"",VLOOKUP($A64,貼り付け用!$A$1:$BA$300,COLUMN(),FALSE))),"")</f>
        <v>#N/A</v>
      </c>
      <c r="R64" s="14" t="e">
        <f>IF($A64&lt;&gt;"",
IF(COLUMN(貼り付け用!R64)&gt;MATCH("おやつ",貼り付け用!$3:$3,0),"",
IF(VLOOKUP($A64,貼り付け用!$A$1:$BA$300,COLUMN(),FALSE)=0,"",VLOOKUP($A64,貼り付け用!$A$1:$BA$300,COLUMN(),FALSE))),"")</f>
        <v>#N/A</v>
      </c>
      <c r="S64" s="14" t="e">
        <f>IF($A64&lt;&gt;"",
IF(COLUMN(貼り付け用!S64)&gt;MATCH("おやつ",貼り付け用!$3:$3,0),"",
IF(VLOOKUP($A64,貼り付け用!$A$1:$BA$300,COLUMN(),FALSE)=0,"",VLOOKUP($A64,貼り付け用!$A$1:$BA$300,COLUMN(),FALSE))),"")</f>
        <v>#N/A</v>
      </c>
      <c r="T64" s="14" t="e">
        <f>IF(COLUMN(貼り付け用!T64)&gt;MATCH("おやつ",貼り付け用!$3:$3,0),"",
IF(VLOOKUP($A64,貼り付け用!$A$1:$BA$300,COLUMN(),FALSE)=0,"",VLOOKUP($A64,貼り付け用!$A$1:$BA$300,COLUMN(),FALSE)))</f>
        <v>#N/A</v>
      </c>
      <c r="U64" s="11"/>
      <c r="V64" s="55" t="e">
        <f>IF(A64&lt;&gt;"",
IF(VLOOKUP($A64,貼り付け用!$A$1:$BA$300,MATCH("おやつ",貼り付け用!$3:$3,0)+1,FALSE)=0,"",VLOOKUP($A64,貼り付け用!$A$1:$BA$300,MATCH("おやつ",貼り付け用!$3:$3,0)+1,FALSE)),"")</f>
        <v>#N/A</v>
      </c>
      <c r="W64" s="14" t="e">
        <f>IF(A64&lt;&gt;"",
IF(VLOOKUP($A64,貼り付け用!$A$1:$BA$300,MATCH("おやつ",貼り付け用!$3:$3,0)+2,FALSE)=0,"",VLOOKUP($A64,貼り付け用!$A$1:$BA$300,MATCH("おやつ",貼り付け用!$3:$3,0)+2,FALSE)),"")</f>
        <v>#N/A</v>
      </c>
    </row>
    <row r="65" spans="1:23">
      <c r="A65" s="8" t="e">
        <f>IF(貼り付け用!$A$6&lt;&gt;"",
IF(ROW(A64)+1&gt;=MATCH("*10000*", 貼り付け用!$A:$A, 0),"",
IF(貼り付け用!A65&lt;&gt;"",貼り付け用!A65,"")),
IF(ROW(A65)+1&gt;=MATCH("*10000*", 貼り付け用!$A:$A, 0),"",
IF(貼り付け用!A66&lt;&gt;"",貼り付け用!A66,"")))</f>
        <v>#N/A</v>
      </c>
      <c r="B65" s="3" t="e">
        <f>IF($A65&lt;&gt;"",IF(VLOOKUP($A65,貼り付け用!$A$1:$BA$300,COLUMN(),FALSE)=0,"",VLOOKUP($A65,貼り付け用!$A$1:$BA$300,COLUMN(),FALSE)),"")</f>
        <v>#N/A</v>
      </c>
      <c r="C65" s="3" t="e">
        <f>IF($A65&lt;&gt;"",IF(VLOOKUP($A65,貼り付け用!$A$1:$BA$300,COLUMN(),FALSE)=0,"",VLOOKUP($A65,貼り付け用!$A$1:$BA$300,COLUMN(),FALSE)),"")</f>
        <v>#N/A</v>
      </c>
      <c r="D65" s="3" t="e">
        <f>IF($A65&lt;&gt;"",IF(VLOOKUP($A65,貼り付け用!$A$1:$BA$300,COLUMN(),FALSE)=0,"",VLOOKUP($A65,貼り付け用!$A$1:$BA$300,COLUMN(),FALSE)),"")</f>
        <v>#N/A</v>
      </c>
      <c r="E65" s="3" t="e">
        <f>IF($A65&lt;&gt;"",IF(VLOOKUP($A65,貼り付け用!$A$1:$BA$300,COLUMN(),FALSE)=0,"",VLOOKUP($A65,貼り付け用!$A$1:$BA$300,COLUMN(),FALSE)),"")</f>
        <v>#N/A</v>
      </c>
      <c r="F65" s="3" t="e">
        <f>IF($A65&lt;&gt;"",IF(VLOOKUP($A65,貼り付け用!$A$1:$BA$300,COLUMN(),FALSE)=0,"",VLOOKUP($A65,貼り付け用!$A$1:$BA$300,COLUMN(),FALSE)),"")</f>
        <v>#N/A</v>
      </c>
      <c r="G65" s="3" t="e">
        <f>IF($A65&lt;&gt;"",IF(VLOOKUP($A65,貼り付け用!$A$1:$BA$300,COLUMN(),FALSE)=0,"",VLOOKUP($A65,貼り付け用!$A$1:$BA$300,COLUMN(),FALSE)),"")</f>
        <v>#N/A</v>
      </c>
      <c r="H65" s="3" t="e">
        <f>IF($A65&lt;&gt;"",IF(VLOOKUP($A65,貼り付け用!$A$1:$BA$300,COLUMN(),FALSE)=0,"",VLOOKUP($A65,貼り付け用!$A$1:$BA$300,COLUMN(),FALSE)),"")</f>
        <v>#N/A</v>
      </c>
      <c r="I65" s="3" t="e">
        <f>IF($A65&lt;&gt;"",IF(VLOOKUP($A65,貼り付け用!$A$1:$BA$300,COLUMN(),FALSE)=0,"",VLOOKUP($A65,貼り付け用!$A$1:$BA$300,COLUMN(),FALSE)),"")</f>
        <v>#N/A</v>
      </c>
      <c r="J65" s="3" t="e">
        <f>IF($A65&lt;&gt;"",IF(VLOOKUP($A65,貼り付け用!$A$1:$BA$300,COLUMN(),FALSE)=0,"",VLOOKUP($A65,貼り付け用!$A$1:$BA$300,COLUMN(),FALSE)),"")</f>
        <v>#N/A</v>
      </c>
      <c r="K65" s="3" t="e">
        <f>IF($A65&lt;&gt;"",IF(VLOOKUP($A65,貼り付け用!$A$1:$BA$300,COLUMN(),FALSE)=0,"",VLOOKUP($A65,貼り付け用!$A$1:$BA$300,COLUMN(),FALSE)),"")</f>
        <v>#N/A</v>
      </c>
      <c r="L65" s="3" t="e">
        <f>IF($A65&lt;&gt;"",
IF(COLUMN(貼り付け用!L65)&gt;MATCH("おやつ",貼り付け用!$3:$3,0),"",
IF(VLOOKUP($A65,貼り付け用!$A$1:$BA$300,COLUMN(),FALSE)=0,"",VLOOKUP($A65,貼り付け用!$A$1:$BA$300,COLUMN(),FALSE))),"")</f>
        <v>#N/A</v>
      </c>
      <c r="M65" s="3" t="e">
        <f>IF($A65&lt;&gt;"",
IF(COLUMN(貼り付け用!M65)&gt;MATCH("おやつ",貼り付け用!$3:$3,0),"",
IF(VLOOKUP($A65,貼り付け用!$A$1:$BA$300,COLUMN(),FALSE)=0,"",VLOOKUP($A65,貼り付け用!$A$1:$BA$300,COLUMN(),FALSE))),"")</f>
        <v>#N/A</v>
      </c>
      <c r="N65" s="3" t="e">
        <f>IF($A65&lt;&gt;"",
IF(COLUMN(貼り付け用!N65)&gt;MATCH("おやつ",貼り付け用!$3:$3,0),"",
IF(VLOOKUP($A65,貼り付け用!$A$1:$BA$300,COLUMN(),FALSE)=0,"",VLOOKUP($A65,貼り付け用!$A$1:$BA$300,COLUMN(),FALSE))),"")</f>
        <v>#N/A</v>
      </c>
      <c r="O65" s="3" t="e">
        <f>IF($A65&lt;&gt;"",
IF(COLUMN(貼り付け用!O65)&gt;MATCH("おやつ",貼り付け用!$3:$3,0),"",
IF(VLOOKUP($A65,貼り付け用!$A$1:$BA$300,COLUMN(),FALSE)=0,"",VLOOKUP($A65,貼り付け用!$A$1:$BA$300,COLUMN(),FALSE))),"")</f>
        <v>#N/A</v>
      </c>
      <c r="P65" s="3" t="e">
        <f>IF($A65&lt;&gt;"",
IF(COLUMN(貼り付け用!P65)&gt;MATCH("おやつ",貼り付け用!$3:$3,0),"",
IF(VLOOKUP($A65,貼り付け用!$A$1:$BA$300,COLUMN(),FALSE)=0,"",VLOOKUP($A65,貼り付け用!$A$1:$BA$300,COLUMN(),FALSE))),"")</f>
        <v>#N/A</v>
      </c>
      <c r="Q65" s="3" t="e">
        <f>IF($A65&lt;&gt;"",
IF(COLUMN(貼り付け用!Q65)&gt;MATCH("おやつ",貼り付け用!$3:$3,0),"",
IF(VLOOKUP($A65,貼り付け用!$A$1:$BA$300,COLUMN(),FALSE)=0,"",VLOOKUP($A65,貼り付け用!$A$1:$BA$300,COLUMN(),FALSE))),"")</f>
        <v>#N/A</v>
      </c>
      <c r="R65" s="3" t="e">
        <f>IF($A65&lt;&gt;"",
IF(COLUMN(貼り付け用!R65)&gt;MATCH("おやつ",貼り付け用!$3:$3,0),"",
IF(VLOOKUP($A65,貼り付け用!$A$1:$BA$300,COLUMN(),FALSE)=0,"",VLOOKUP($A65,貼り付け用!$A$1:$BA$300,COLUMN(),FALSE))),"")</f>
        <v>#N/A</v>
      </c>
      <c r="S65" s="3" t="e">
        <f>IF($A65&lt;&gt;"",
IF(COLUMN(貼り付け用!S65)&gt;MATCH("おやつ",貼り付け用!$3:$3,0),"",
IF(VLOOKUP($A65,貼り付け用!$A$1:$BA$300,COLUMN(),FALSE)=0,"",VLOOKUP($A65,貼り付け用!$A$1:$BA$300,COLUMN(),FALSE))),"")</f>
        <v>#N/A</v>
      </c>
      <c r="T65" s="3" t="e">
        <f>IF(COLUMN(貼り付け用!T65)&gt;MATCH("おやつ",貼り付け用!$3:$3,0),"",
IF(VLOOKUP($A65,貼り付け用!$A$1:$BA$300,COLUMN(),FALSE)=0,"",VLOOKUP($A65,貼り付け用!$A$1:$BA$300,COLUMN(),FALSE)))</f>
        <v>#N/A</v>
      </c>
      <c r="U65" s="21"/>
      <c r="V65" s="55" t="e">
        <f>IF(A65&lt;&gt;"",
IF(VLOOKUP($A65,貼り付け用!$A$1:$BA$300,MATCH("おやつ",貼り付け用!$3:$3,0)+1,FALSE)=0,"",VLOOKUP($A65,貼り付け用!$A$1:$BA$300,MATCH("おやつ",貼り付け用!$3:$3,0)+1,FALSE)),"")</f>
        <v>#N/A</v>
      </c>
      <c r="W65" s="14" t="e">
        <f>IF(A65&lt;&gt;"",
IF(VLOOKUP($A65,貼り付け用!$A$1:$BA$300,MATCH("おやつ",貼り付け用!$3:$3,0)+2,FALSE)=0,"",VLOOKUP($A65,貼り付け用!$A$1:$BA$300,MATCH("おやつ",貼り付け用!$3:$3,0)+2,FALSE)),"")</f>
        <v>#N/A</v>
      </c>
    </row>
    <row r="66" spans="1:23">
      <c r="A66" s="4" t="e">
        <f>IF(貼り付け用!$A$6&lt;&gt;"",
IF(ROW(A65)+1&gt;=MATCH("*10000*", 貼り付け用!$A:$A, 0),
IF(COUNTIF(A64,"*10000*"),"10001",
IF(COUNTIF(A64,"*10001*"),"10002",
IF(COUNTIF(A64,"*10002*"),"",
IF(COUNTIF(A64,""),"","10000")))),
IF(貼り付け用!A66&lt;&gt;"",貼り付け用!A66,"")),
IF(ROW(A66)+1&gt;=MATCH("*10000*", 貼り付け用!$A:$A, 0),
IF(COUNTIF(A64,"*10000*"),"10001",
IF(COUNTIF(A64,"*10001*"),"10002",
IF(COUNTIF(A64,"*10002*"),"",
IF(COUNTIF(A64,""),"","10000")))),
IF(貼り付け用!A67&lt;&gt;"",貼り付け用!A67,"")))</f>
        <v>#N/A</v>
      </c>
      <c r="B66" s="14" t="e">
        <f>IF($A66&lt;&gt;"",IF(VLOOKUP($A66,貼り付け用!$A$1:$BA$300,COLUMN(),FALSE)=0,"",VLOOKUP($A66,貼り付け用!$A$1:$BA$300,COLUMN(),FALSE)),"")</f>
        <v>#N/A</v>
      </c>
      <c r="C66" s="14" t="e">
        <f>IF($A66&lt;&gt;"",IF(VLOOKUP($A66,貼り付け用!$A$1:$BA$300,COLUMN(),FALSE)=0,"",VLOOKUP($A66,貼り付け用!$A$1:$BA$300,COLUMN(),FALSE)),"")</f>
        <v>#N/A</v>
      </c>
      <c r="D66" s="14" t="e">
        <f>IF($A66&lt;&gt;"",IF(VLOOKUP($A66,貼り付け用!$A$1:$BA$300,COLUMN(),FALSE)=0,"",VLOOKUP($A66,貼り付け用!$A$1:$BA$300,COLUMN(),FALSE)),"")</f>
        <v>#N/A</v>
      </c>
      <c r="E66" s="14" t="e">
        <f>IF($A66&lt;&gt;"",IF(VLOOKUP($A66,貼り付け用!$A$1:$BA$300,COLUMN(),FALSE)=0,"",VLOOKUP($A66,貼り付け用!$A$1:$BA$300,COLUMN(),FALSE)),"")</f>
        <v>#N/A</v>
      </c>
      <c r="F66" s="14" t="e">
        <f>IF($A66&lt;&gt;"",IF(VLOOKUP($A66,貼り付け用!$A$1:$BA$300,COLUMN(),FALSE)=0,"",VLOOKUP($A66,貼り付け用!$A$1:$BA$300,COLUMN(),FALSE)),"")</f>
        <v>#N/A</v>
      </c>
      <c r="G66" s="14" t="e">
        <f>IF($A66&lt;&gt;"",IF(VLOOKUP($A66,貼り付け用!$A$1:$BA$300,COLUMN(),FALSE)=0,"",VLOOKUP($A66,貼り付け用!$A$1:$BA$300,COLUMN(),FALSE)),"")</f>
        <v>#N/A</v>
      </c>
      <c r="H66" s="14" t="e">
        <f>IF($A66&lt;&gt;"",IF(VLOOKUP($A66,貼り付け用!$A$1:$BA$300,COLUMN(),FALSE)=0,"",VLOOKUP($A66,貼り付け用!$A$1:$BA$300,COLUMN(),FALSE)),"")</f>
        <v>#N/A</v>
      </c>
      <c r="I66" s="14" t="e">
        <f>IF($A66&lt;&gt;"",IF(VLOOKUP($A66,貼り付け用!$A$1:$BA$300,COLUMN(),FALSE)=0,"",VLOOKUP($A66,貼り付け用!$A$1:$BA$300,COLUMN(),FALSE)),"")</f>
        <v>#N/A</v>
      </c>
      <c r="J66" s="14" t="e">
        <f>IF($A66&lt;&gt;"",IF(VLOOKUP($A66,貼り付け用!$A$1:$BA$300,COLUMN(),FALSE)=0,"",VLOOKUP($A66,貼り付け用!$A$1:$BA$300,COLUMN(),FALSE)),"")</f>
        <v>#N/A</v>
      </c>
      <c r="K66" s="14" t="e">
        <f>IF($A66&lt;&gt;"",IF(VLOOKUP($A66,貼り付け用!$A$1:$BA$300,COLUMN(),FALSE)=0,"",VLOOKUP($A66,貼り付け用!$A$1:$BA$300,COLUMN(),FALSE)),"")</f>
        <v>#N/A</v>
      </c>
      <c r="L66" s="14" t="e">
        <f>IF($A66&lt;&gt;"",
IF(COLUMN(貼り付け用!L66)&gt;MATCH("おやつ",貼り付け用!$3:$3,0),"",
IF(VLOOKUP($A66,貼り付け用!$A$1:$BA$300,COLUMN(),FALSE)=0,"",VLOOKUP($A66,貼り付け用!$A$1:$BA$300,COLUMN(),FALSE))),"")</f>
        <v>#N/A</v>
      </c>
      <c r="M66" s="14" t="e">
        <f>IF($A66&lt;&gt;"",
IF(COLUMN(貼り付け用!M66)&gt;MATCH("おやつ",貼り付け用!$3:$3,0),"",
IF(VLOOKUP($A66,貼り付け用!$A$1:$BA$300,COLUMN(),FALSE)=0,"",VLOOKUP($A66,貼り付け用!$A$1:$BA$300,COLUMN(),FALSE))),"")</f>
        <v>#N/A</v>
      </c>
      <c r="N66" s="14" t="e">
        <f>IF($A66&lt;&gt;"",
IF(COLUMN(貼り付け用!N66)&gt;MATCH("おやつ",貼り付け用!$3:$3,0),"",
IF(VLOOKUP($A66,貼り付け用!$A$1:$BA$300,COLUMN(),FALSE)=0,"",VLOOKUP($A66,貼り付け用!$A$1:$BA$300,COLUMN(),FALSE))),"")</f>
        <v>#N/A</v>
      </c>
      <c r="O66" s="14" t="e">
        <f>IF($A66&lt;&gt;"",
IF(COLUMN(貼り付け用!O66)&gt;MATCH("おやつ",貼り付け用!$3:$3,0),"",
IF(VLOOKUP($A66,貼り付け用!$A$1:$BA$300,COLUMN(),FALSE)=0,"",VLOOKUP($A66,貼り付け用!$A$1:$BA$300,COLUMN(),FALSE))),"")</f>
        <v>#N/A</v>
      </c>
      <c r="P66" s="14" t="e">
        <f>IF($A66&lt;&gt;"",
IF(COLUMN(貼り付け用!P66)&gt;MATCH("おやつ",貼り付け用!$3:$3,0),"",
IF(VLOOKUP($A66,貼り付け用!$A$1:$BA$300,COLUMN(),FALSE)=0,"",VLOOKUP($A66,貼り付け用!$A$1:$BA$300,COLUMN(),FALSE))),"")</f>
        <v>#N/A</v>
      </c>
      <c r="Q66" s="14" t="e">
        <f>IF($A66&lt;&gt;"",
IF(COLUMN(貼り付け用!Q66)&gt;MATCH("おやつ",貼り付け用!$3:$3,0),"",
IF(VLOOKUP($A66,貼り付け用!$A$1:$BA$300,COLUMN(),FALSE)=0,"",VLOOKUP($A66,貼り付け用!$A$1:$BA$300,COLUMN(),FALSE))),"")</f>
        <v>#N/A</v>
      </c>
      <c r="R66" s="14" t="e">
        <f>IF($A66&lt;&gt;"",
IF(COLUMN(貼り付け用!R66)&gt;MATCH("おやつ",貼り付け用!$3:$3,0),"",
IF(VLOOKUP($A66,貼り付け用!$A$1:$BA$300,COLUMN(),FALSE)=0,"",VLOOKUP($A66,貼り付け用!$A$1:$BA$300,COLUMN(),FALSE))),"")</f>
        <v>#N/A</v>
      </c>
      <c r="S66" s="14" t="e">
        <f>IF($A66&lt;&gt;"",
IF(COLUMN(貼り付け用!S66)&gt;MATCH("おやつ",貼り付け用!$3:$3,0),"",
IF(VLOOKUP($A66,貼り付け用!$A$1:$BA$300,COLUMN(),FALSE)=0,"",VLOOKUP($A66,貼り付け用!$A$1:$BA$300,COLUMN(),FALSE))),"")</f>
        <v>#N/A</v>
      </c>
      <c r="T66" s="14" t="e">
        <f>IF(COLUMN(貼り付け用!T66)&gt;MATCH("おやつ",貼り付け用!$3:$3,0),"",
IF(VLOOKUP($A66,貼り付け用!$A$1:$BA$300,COLUMN(),FALSE)=0,"",VLOOKUP($A66,貼り付け用!$A$1:$BA$300,COLUMN(),FALSE)))</f>
        <v>#N/A</v>
      </c>
      <c r="U66" s="11"/>
      <c r="V66" s="55" t="e">
        <f>IF(A66&lt;&gt;"",
IF(VLOOKUP($A66,貼り付け用!$A$1:$BA$300,MATCH("おやつ",貼り付け用!$3:$3,0)+1,FALSE)=0,"",VLOOKUP($A66,貼り付け用!$A$1:$BA$300,MATCH("おやつ",貼り付け用!$3:$3,0)+1,FALSE)),"")</f>
        <v>#N/A</v>
      </c>
      <c r="W66" s="14" t="e">
        <f>IF(A66&lt;&gt;"",
IF(VLOOKUP($A66,貼り付け用!$A$1:$BA$300,MATCH("おやつ",貼り付け用!$3:$3,0)+2,FALSE)=0,"",VLOOKUP($A66,貼り付け用!$A$1:$BA$300,MATCH("おやつ",貼り付け用!$3:$3,0)+2,FALSE)),"")</f>
        <v>#N/A</v>
      </c>
    </row>
    <row r="67" spans="1:23">
      <c r="A67" s="8" t="e">
        <f>IF(貼り付け用!$A$6&lt;&gt;"",
IF(ROW(A66)+1&gt;=MATCH("*10000*", 貼り付け用!$A:$A, 0),"",
IF(貼り付け用!A67&lt;&gt;"",貼り付け用!A67,"")),
IF(ROW(A67)+1&gt;=MATCH("*10000*", 貼り付け用!$A:$A, 0),"",
IF(貼り付け用!A68&lt;&gt;"",貼り付け用!A68,"")))</f>
        <v>#N/A</v>
      </c>
      <c r="B67" s="3" t="e">
        <f>IF($A67&lt;&gt;"",IF(VLOOKUP($A67,貼り付け用!$A$1:$BA$300,COLUMN(),FALSE)=0,"",VLOOKUP($A67,貼り付け用!$A$1:$BA$300,COLUMN(),FALSE)),"")</f>
        <v>#N/A</v>
      </c>
      <c r="C67" s="3" t="e">
        <f>IF($A67&lt;&gt;"",IF(VLOOKUP($A67,貼り付け用!$A$1:$BA$300,COLUMN(),FALSE)=0,"",VLOOKUP($A67,貼り付け用!$A$1:$BA$300,COLUMN(),FALSE)),"")</f>
        <v>#N/A</v>
      </c>
      <c r="D67" s="3" t="e">
        <f>IF($A67&lt;&gt;"",IF(VLOOKUP($A67,貼り付け用!$A$1:$BA$300,COLUMN(),FALSE)=0,"",VLOOKUP($A67,貼り付け用!$A$1:$BA$300,COLUMN(),FALSE)),"")</f>
        <v>#N/A</v>
      </c>
      <c r="E67" s="3" t="e">
        <f>IF($A67&lt;&gt;"",IF(VLOOKUP($A67,貼り付け用!$A$1:$BA$300,COLUMN(),FALSE)=0,"",VLOOKUP($A67,貼り付け用!$A$1:$BA$300,COLUMN(),FALSE)),"")</f>
        <v>#N/A</v>
      </c>
      <c r="F67" s="3" t="e">
        <f>IF($A67&lt;&gt;"",IF(VLOOKUP($A67,貼り付け用!$A$1:$BA$300,COLUMN(),FALSE)=0,"",VLOOKUP($A67,貼り付け用!$A$1:$BA$300,COLUMN(),FALSE)),"")</f>
        <v>#N/A</v>
      </c>
      <c r="G67" s="3" t="e">
        <f>IF($A67&lt;&gt;"",IF(VLOOKUP($A67,貼り付け用!$A$1:$BA$300,COLUMN(),FALSE)=0,"",VLOOKUP($A67,貼り付け用!$A$1:$BA$300,COLUMN(),FALSE)),"")</f>
        <v>#N/A</v>
      </c>
      <c r="H67" s="3" t="e">
        <f>IF($A67&lt;&gt;"",IF(VLOOKUP($A67,貼り付け用!$A$1:$BA$300,COLUMN(),FALSE)=0,"",VLOOKUP($A67,貼り付け用!$A$1:$BA$300,COLUMN(),FALSE)),"")</f>
        <v>#N/A</v>
      </c>
      <c r="I67" s="3" t="e">
        <f>IF($A67&lt;&gt;"",IF(VLOOKUP($A67,貼り付け用!$A$1:$BA$300,COLUMN(),FALSE)=0,"",VLOOKUP($A67,貼り付け用!$A$1:$BA$300,COLUMN(),FALSE)),"")</f>
        <v>#N/A</v>
      </c>
      <c r="J67" s="3" t="e">
        <f>IF($A67&lt;&gt;"",IF(VLOOKUP($A67,貼り付け用!$A$1:$BA$300,COLUMN(),FALSE)=0,"",VLOOKUP($A67,貼り付け用!$A$1:$BA$300,COLUMN(),FALSE)),"")</f>
        <v>#N/A</v>
      </c>
      <c r="K67" s="3" t="e">
        <f>IF($A67&lt;&gt;"",IF(VLOOKUP($A67,貼り付け用!$A$1:$BA$300,COLUMN(),FALSE)=0,"",VLOOKUP($A67,貼り付け用!$A$1:$BA$300,COLUMN(),FALSE)),"")</f>
        <v>#N/A</v>
      </c>
      <c r="L67" s="3" t="e">
        <f>IF($A67&lt;&gt;"",
IF(COLUMN(貼り付け用!L67)&gt;MATCH("おやつ",貼り付け用!$3:$3,0),"",
IF(VLOOKUP($A67,貼り付け用!$A$1:$BA$300,COLUMN(),FALSE)=0,"",VLOOKUP($A67,貼り付け用!$A$1:$BA$300,COLUMN(),FALSE))),"")</f>
        <v>#N/A</v>
      </c>
      <c r="M67" s="3" t="e">
        <f>IF($A67&lt;&gt;"",
IF(COLUMN(貼り付け用!M67)&gt;MATCH("おやつ",貼り付け用!$3:$3,0),"",
IF(VLOOKUP($A67,貼り付け用!$A$1:$BA$300,COLUMN(),FALSE)=0,"",VLOOKUP($A67,貼り付け用!$A$1:$BA$300,COLUMN(),FALSE))),"")</f>
        <v>#N/A</v>
      </c>
      <c r="N67" s="3" t="e">
        <f>IF($A67&lt;&gt;"",
IF(COLUMN(貼り付け用!N67)&gt;MATCH("おやつ",貼り付け用!$3:$3,0),"",
IF(VLOOKUP($A67,貼り付け用!$A$1:$BA$300,COLUMN(),FALSE)=0,"",VLOOKUP($A67,貼り付け用!$A$1:$BA$300,COLUMN(),FALSE))),"")</f>
        <v>#N/A</v>
      </c>
      <c r="O67" s="3" t="e">
        <f>IF($A67&lt;&gt;"",
IF(COLUMN(貼り付け用!O67)&gt;MATCH("おやつ",貼り付け用!$3:$3,0),"",
IF(VLOOKUP($A67,貼り付け用!$A$1:$BA$300,COLUMN(),FALSE)=0,"",VLOOKUP($A67,貼り付け用!$A$1:$BA$300,COLUMN(),FALSE))),"")</f>
        <v>#N/A</v>
      </c>
      <c r="P67" s="3" t="e">
        <f>IF($A67&lt;&gt;"",
IF(COLUMN(貼り付け用!P67)&gt;MATCH("おやつ",貼り付け用!$3:$3,0),"",
IF(VLOOKUP($A67,貼り付け用!$A$1:$BA$300,COLUMN(),FALSE)=0,"",VLOOKUP($A67,貼り付け用!$A$1:$BA$300,COLUMN(),FALSE))),"")</f>
        <v>#N/A</v>
      </c>
      <c r="Q67" s="3" t="e">
        <f>IF($A67&lt;&gt;"",
IF(COLUMN(貼り付け用!Q67)&gt;MATCH("おやつ",貼り付け用!$3:$3,0),"",
IF(VLOOKUP($A67,貼り付け用!$A$1:$BA$300,COLUMN(),FALSE)=0,"",VLOOKUP($A67,貼り付け用!$A$1:$BA$300,COLUMN(),FALSE))),"")</f>
        <v>#N/A</v>
      </c>
      <c r="R67" s="3" t="e">
        <f>IF($A67&lt;&gt;"",
IF(COLUMN(貼り付け用!R67)&gt;MATCH("おやつ",貼り付け用!$3:$3,0),"",
IF(VLOOKUP($A67,貼り付け用!$A$1:$BA$300,COLUMN(),FALSE)=0,"",VLOOKUP($A67,貼り付け用!$A$1:$BA$300,COLUMN(),FALSE))),"")</f>
        <v>#N/A</v>
      </c>
      <c r="S67" s="3" t="e">
        <f>IF($A67&lt;&gt;"",
IF(COLUMN(貼り付け用!S67)&gt;MATCH("おやつ",貼り付け用!$3:$3,0),"",
IF(VLOOKUP($A67,貼り付け用!$A$1:$BA$300,COLUMN(),FALSE)=0,"",VLOOKUP($A67,貼り付け用!$A$1:$BA$300,COLUMN(),FALSE))),"")</f>
        <v>#N/A</v>
      </c>
      <c r="T67" s="3" t="e">
        <f>IF(COLUMN(貼り付け用!T67)&gt;MATCH("おやつ",貼り付け用!$3:$3,0),"",
IF(VLOOKUP($A67,貼り付け用!$A$1:$BA$300,COLUMN(),FALSE)=0,"",VLOOKUP($A67,貼り付け用!$A$1:$BA$300,COLUMN(),FALSE)))</f>
        <v>#N/A</v>
      </c>
      <c r="U67" s="21"/>
      <c r="V67" s="55" t="e">
        <f>IF(A67&lt;&gt;"",
IF(VLOOKUP($A67,貼り付け用!$A$1:$BA$300,MATCH("おやつ",貼り付け用!$3:$3,0)+1,FALSE)=0,"",VLOOKUP($A67,貼り付け用!$A$1:$BA$300,MATCH("おやつ",貼り付け用!$3:$3,0)+1,FALSE)),"")</f>
        <v>#N/A</v>
      </c>
      <c r="W67" s="14" t="e">
        <f>IF(A67&lt;&gt;"",
IF(VLOOKUP($A67,貼り付け用!$A$1:$BA$300,MATCH("おやつ",貼り付け用!$3:$3,0)+2,FALSE)=0,"",VLOOKUP($A67,貼り付け用!$A$1:$BA$300,MATCH("おやつ",貼り付け用!$3:$3,0)+2,FALSE)),"")</f>
        <v>#N/A</v>
      </c>
    </row>
    <row r="68" spans="1:23">
      <c r="A68" s="4" t="e">
        <f>IF(貼り付け用!$A$6&lt;&gt;"",
IF(ROW(A67)+1&gt;=MATCH("*10000*", 貼り付け用!$A:$A, 0),
IF(COUNTIF(A66,"*10000*"),"10001",
IF(COUNTIF(A66,"*10001*"),"10002",
IF(COUNTIF(A66,"*10002*"),"",
IF(COUNTIF(A66,""),"","10000")))),
IF(貼り付け用!A68&lt;&gt;"",貼り付け用!A68,"")),
IF(ROW(A68)+1&gt;=MATCH("*10000*", 貼り付け用!$A:$A, 0),
IF(COUNTIF(A66,"*10000*"),"10001",
IF(COUNTIF(A66,"*10001*"),"10002",
IF(COUNTIF(A66,"*10002*"),"",
IF(COUNTIF(A66,""),"","10000")))),
IF(貼り付け用!A69&lt;&gt;"",貼り付け用!A69,"")))</f>
        <v>#N/A</v>
      </c>
      <c r="B68" s="14" t="e">
        <f>IF($A68&lt;&gt;"",IF(VLOOKUP($A68,貼り付け用!$A$1:$BA$300,COLUMN(),FALSE)=0,"",VLOOKUP($A68,貼り付け用!$A$1:$BA$300,COLUMN(),FALSE)),"")</f>
        <v>#N/A</v>
      </c>
      <c r="C68" s="14" t="e">
        <f>IF($A68&lt;&gt;"",IF(VLOOKUP($A68,貼り付け用!$A$1:$BA$300,COLUMN(),FALSE)=0,"",VLOOKUP($A68,貼り付け用!$A$1:$BA$300,COLUMN(),FALSE)),"")</f>
        <v>#N/A</v>
      </c>
      <c r="D68" s="14" t="e">
        <f>IF($A68&lt;&gt;"",IF(VLOOKUP($A68,貼り付け用!$A$1:$BA$300,COLUMN(),FALSE)=0,"",VLOOKUP($A68,貼り付け用!$A$1:$BA$300,COLUMN(),FALSE)),"")</f>
        <v>#N/A</v>
      </c>
      <c r="E68" s="14" t="e">
        <f>IF($A68&lt;&gt;"",IF(VLOOKUP($A68,貼り付け用!$A$1:$BA$300,COLUMN(),FALSE)=0,"",VLOOKUP($A68,貼り付け用!$A$1:$BA$300,COLUMN(),FALSE)),"")</f>
        <v>#N/A</v>
      </c>
      <c r="F68" s="14" t="e">
        <f>IF($A68&lt;&gt;"",IF(VLOOKUP($A68,貼り付け用!$A$1:$BA$300,COLUMN(),FALSE)=0,"",VLOOKUP($A68,貼り付け用!$A$1:$BA$300,COLUMN(),FALSE)),"")</f>
        <v>#N/A</v>
      </c>
      <c r="G68" s="14" t="e">
        <f>IF($A68&lt;&gt;"",IF(VLOOKUP($A68,貼り付け用!$A$1:$BA$300,COLUMN(),FALSE)=0,"",VLOOKUP($A68,貼り付け用!$A$1:$BA$300,COLUMN(),FALSE)),"")</f>
        <v>#N/A</v>
      </c>
      <c r="H68" s="14" t="e">
        <f>IF($A68&lt;&gt;"",IF(VLOOKUP($A68,貼り付け用!$A$1:$BA$300,COLUMN(),FALSE)=0,"",VLOOKUP($A68,貼り付け用!$A$1:$BA$300,COLUMN(),FALSE)),"")</f>
        <v>#N/A</v>
      </c>
      <c r="I68" s="14" t="e">
        <f>IF($A68&lt;&gt;"",IF(VLOOKUP($A68,貼り付け用!$A$1:$BA$300,COLUMN(),FALSE)=0,"",VLOOKUP($A68,貼り付け用!$A$1:$BA$300,COLUMN(),FALSE)),"")</f>
        <v>#N/A</v>
      </c>
      <c r="J68" s="14" t="e">
        <f>IF($A68&lt;&gt;"",IF(VLOOKUP($A68,貼り付け用!$A$1:$BA$300,COLUMN(),FALSE)=0,"",VLOOKUP($A68,貼り付け用!$A$1:$BA$300,COLUMN(),FALSE)),"")</f>
        <v>#N/A</v>
      </c>
      <c r="K68" s="14" t="e">
        <f>IF($A68&lt;&gt;"",IF(VLOOKUP($A68,貼り付け用!$A$1:$BA$300,COLUMN(),FALSE)=0,"",VLOOKUP($A68,貼り付け用!$A$1:$BA$300,COLUMN(),FALSE)),"")</f>
        <v>#N/A</v>
      </c>
      <c r="L68" s="14" t="e">
        <f>IF($A68&lt;&gt;"",
IF(COLUMN(貼り付け用!L68)&gt;MATCH("おやつ",貼り付け用!$3:$3,0),"",
IF(VLOOKUP($A68,貼り付け用!$A$1:$BA$300,COLUMN(),FALSE)=0,"",VLOOKUP($A68,貼り付け用!$A$1:$BA$300,COLUMN(),FALSE))),"")</f>
        <v>#N/A</v>
      </c>
      <c r="M68" s="14" t="e">
        <f>IF($A68&lt;&gt;"",
IF(COLUMN(貼り付け用!M68)&gt;MATCH("おやつ",貼り付け用!$3:$3,0),"",
IF(VLOOKUP($A68,貼り付け用!$A$1:$BA$300,COLUMN(),FALSE)=0,"",VLOOKUP($A68,貼り付け用!$A$1:$BA$300,COLUMN(),FALSE))),"")</f>
        <v>#N/A</v>
      </c>
      <c r="N68" s="14" t="e">
        <f>IF($A68&lt;&gt;"",
IF(COLUMN(貼り付け用!N68)&gt;MATCH("おやつ",貼り付け用!$3:$3,0),"",
IF(VLOOKUP($A68,貼り付け用!$A$1:$BA$300,COLUMN(),FALSE)=0,"",VLOOKUP($A68,貼り付け用!$A$1:$BA$300,COLUMN(),FALSE))),"")</f>
        <v>#N/A</v>
      </c>
      <c r="O68" s="14" t="e">
        <f>IF($A68&lt;&gt;"",
IF(COLUMN(貼り付け用!O68)&gt;MATCH("おやつ",貼り付け用!$3:$3,0),"",
IF(VLOOKUP($A68,貼り付け用!$A$1:$BA$300,COLUMN(),FALSE)=0,"",VLOOKUP($A68,貼り付け用!$A$1:$BA$300,COLUMN(),FALSE))),"")</f>
        <v>#N/A</v>
      </c>
      <c r="P68" s="14" t="e">
        <f>IF($A68&lt;&gt;"",
IF(COLUMN(貼り付け用!P68)&gt;MATCH("おやつ",貼り付け用!$3:$3,0),"",
IF(VLOOKUP($A68,貼り付け用!$A$1:$BA$300,COLUMN(),FALSE)=0,"",VLOOKUP($A68,貼り付け用!$A$1:$BA$300,COLUMN(),FALSE))),"")</f>
        <v>#N/A</v>
      </c>
      <c r="Q68" s="14" t="e">
        <f>IF($A68&lt;&gt;"",
IF(COLUMN(貼り付け用!Q68)&gt;MATCH("おやつ",貼り付け用!$3:$3,0),"",
IF(VLOOKUP($A68,貼り付け用!$A$1:$BA$300,COLUMN(),FALSE)=0,"",VLOOKUP($A68,貼り付け用!$A$1:$BA$300,COLUMN(),FALSE))),"")</f>
        <v>#N/A</v>
      </c>
      <c r="R68" s="14" t="e">
        <f>IF($A68&lt;&gt;"",
IF(COLUMN(貼り付け用!R68)&gt;MATCH("おやつ",貼り付け用!$3:$3,0),"",
IF(VLOOKUP($A68,貼り付け用!$A$1:$BA$300,COLUMN(),FALSE)=0,"",VLOOKUP($A68,貼り付け用!$A$1:$BA$300,COLUMN(),FALSE))),"")</f>
        <v>#N/A</v>
      </c>
      <c r="S68" s="14" t="e">
        <f>IF($A68&lt;&gt;"",
IF(COLUMN(貼り付け用!S68)&gt;MATCH("おやつ",貼り付け用!$3:$3,0),"",
IF(VLOOKUP($A68,貼り付け用!$A$1:$BA$300,COLUMN(),FALSE)=0,"",VLOOKUP($A68,貼り付け用!$A$1:$BA$300,COLUMN(),FALSE))),"")</f>
        <v>#N/A</v>
      </c>
      <c r="T68" s="14" t="e">
        <f>IF(COLUMN(貼り付け用!T68)&gt;MATCH("おやつ",貼り付け用!$3:$3,0),"",
IF(VLOOKUP($A68,貼り付け用!$A$1:$BA$300,COLUMN(),FALSE)=0,"",VLOOKUP($A68,貼り付け用!$A$1:$BA$300,COLUMN(),FALSE)))</f>
        <v>#N/A</v>
      </c>
      <c r="U68" s="11"/>
      <c r="V68" s="55" t="e">
        <f>IF(A68&lt;&gt;"",
IF(VLOOKUP($A68,貼り付け用!$A$1:$BA$300,MATCH("おやつ",貼り付け用!$3:$3,0)+1,FALSE)=0,"",VLOOKUP($A68,貼り付け用!$A$1:$BA$300,MATCH("おやつ",貼り付け用!$3:$3,0)+1,FALSE)),"")</f>
        <v>#N/A</v>
      </c>
      <c r="W68" s="14" t="e">
        <f>IF(A68&lt;&gt;"",
IF(VLOOKUP($A68,貼り付け用!$A$1:$BA$300,MATCH("おやつ",貼り付け用!$3:$3,0)+2,FALSE)=0,"",VLOOKUP($A68,貼り付け用!$A$1:$BA$300,MATCH("おやつ",貼り付け用!$3:$3,0)+2,FALSE)),"")</f>
        <v>#N/A</v>
      </c>
    </row>
    <row r="69" spans="1:23">
      <c r="A69" s="8" t="e">
        <f>IF(貼り付け用!$A$6&lt;&gt;"",
IF(ROW(A68)+1&gt;=MATCH("*10000*", 貼り付け用!$A:$A, 0),"",
IF(貼り付け用!A69&lt;&gt;"",貼り付け用!A69,"")),
IF(ROW(A69)+1&gt;=MATCH("*10000*", 貼り付け用!$A:$A, 0),"",
IF(貼り付け用!A70&lt;&gt;"",貼り付け用!A70,"")))</f>
        <v>#N/A</v>
      </c>
      <c r="B69" s="3" t="e">
        <f>IF($A69&lt;&gt;"",IF(VLOOKUP($A69,貼り付け用!$A$1:$BA$300,COLUMN(),FALSE)=0,"",VLOOKUP($A69,貼り付け用!$A$1:$BA$300,COLUMN(),FALSE)),"")</f>
        <v>#N/A</v>
      </c>
      <c r="C69" s="3" t="e">
        <f>IF($A69&lt;&gt;"",IF(VLOOKUP($A69,貼り付け用!$A$1:$BA$300,COLUMN(),FALSE)=0,"",VLOOKUP($A69,貼り付け用!$A$1:$BA$300,COLUMN(),FALSE)),"")</f>
        <v>#N/A</v>
      </c>
      <c r="D69" s="3" t="e">
        <f>IF($A69&lt;&gt;"",IF(VLOOKUP($A69,貼り付け用!$A$1:$BA$300,COLUMN(),FALSE)=0,"",VLOOKUP($A69,貼り付け用!$A$1:$BA$300,COLUMN(),FALSE)),"")</f>
        <v>#N/A</v>
      </c>
      <c r="E69" s="3" t="e">
        <f>IF($A69&lt;&gt;"",IF(VLOOKUP($A69,貼り付け用!$A$1:$BA$300,COLUMN(),FALSE)=0,"",VLOOKUP($A69,貼り付け用!$A$1:$BA$300,COLUMN(),FALSE)),"")</f>
        <v>#N/A</v>
      </c>
      <c r="F69" s="3" t="e">
        <f>IF($A69&lt;&gt;"",IF(VLOOKUP($A69,貼り付け用!$A$1:$BA$300,COLUMN(),FALSE)=0,"",VLOOKUP($A69,貼り付け用!$A$1:$BA$300,COLUMN(),FALSE)),"")</f>
        <v>#N/A</v>
      </c>
      <c r="G69" s="3" t="e">
        <f>IF($A69&lt;&gt;"",IF(VLOOKUP($A69,貼り付け用!$A$1:$BA$300,COLUMN(),FALSE)=0,"",VLOOKUP($A69,貼り付け用!$A$1:$BA$300,COLUMN(),FALSE)),"")</f>
        <v>#N/A</v>
      </c>
      <c r="H69" s="3" t="e">
        <f>IF($A69&lt;&gt;"",IF(VLOOKUP($A69,貼り付け用!$A$1:$BA$300,COLUMN(),FALSE)=0,"",VLOOKUP($A69,貼り付け用!$A$1:$BA$300,COLUMN(),FALSE)),"")</f>
        <v>#N/A</v>
      </c>
      <c r="I69" s="3" t="e">
        <f>IF($A69&lt;&gt;"",IF(VLOOKUP($A69,貼り付け用!$A$1:$BA$300,COLUMN(),FALSE)=0,"",VLOOKUP($A69,貼り付け用!$A$1:$BA$300,COLUMN(),FALSE)),"")</f>
        <v>#N/A</v>
      </c>
      <c r="J69" s="3" t="e">
        <f>IF($A69&lt;&gt;"",IF(VLOOKUP($A69,貼り付け用!$A$1:$BA$300,COLUMN(),FALSE)=0,"",VLOOKUP($A69,貼り付け用!$A$1:$BA$300,COLUMN(),FALSE)),"")</f>
        <v>#N/A</v>
      </c>
      <c r="K69" s="3" t="e">
        <f>IF($A69&lt;&gt;"",IF(VLOOKUP($A69,貼り付け用!$A$1:$BA$300,COLUMN(),FALSE)=0,"",VLOOKUP($A69,貼り付け用!$A$1:$BA$300,COLUMN(),FALSE)),"")</f>
        <v>#N/A</v>
      </c>
      <c r="L69" s="3" t="e">
        <f>IF($A69&lt;&gt;"",
IF(COLUMN(貼り付け用!L69)&gt;MATCH("おやつ",貼り付け用!$3:$3,0),"",
IF(VLOOKUP($A69,貼り付け用!$A$1:$BA$300,COLUMN(),FALSE)=0,"",VLOOKUP($A69,貼り付け用!$A$1:$BA$300,COLUMN(),FALSE))),"")</f>
        <v>#N/A</v>
      </c>
      <c r="M69" s="3" t="e">
        <f>IF($A69&lt;&gt;"",
IF(COLUMN(貼り付け用!M69)&gt;MATCH("おやつ",貼り付け用!$3:$3,0),"",
IF(VLOOKUP($A69,貼り付け用!$A$1:$BA$300,COLUMN(),FALSE)=0,"",VLOOKUP($A69,貼り付け用!$A$1:$BA$300,COLUMN(),FALSE))),"")</f>
        <v>#N/A</v>
      </c>
      <c r="N69" s="3" t="e">
        <f>IF($A69&lt;&gt;"",
IF(COLUMN(貼り付け用!N69)&gt;MATCH("おやつ",貼り付け用!$3:$3,0),"",
IF(VLOOKUP($A69,貼り付け用!$A$1:$BA$300,COLUMN(),FALSE)=0,"",VLOOKUP($A69,貼り付け用!$A$1:$BA$300,COLUMN(),FALSE))),"")</f>
        <v>#N/A</v>
      </c>
      <c r="O69" s="3" t="e">
        <f>IF($A69&lt;&gt;"",
IF(COLUMN(貼り付け用!O69)&gt;MATCH("おやつ",貼り付け用!$3:$3,0),"",
IF(VLOOKUP($A69,貼り付け用!$A$1:$BA$300,COLUMN(),FALSE)=0,"",VLOOKUP($A69,貼り付け用!$A$1:$BA$300,COLUMN(),FALSE))),"")</f>
        <v>#N/A</v>
      </c>
      <c r="P69" s="3" t="e">
        <f>IF($A69&lt;&gt;"",
IF(COLUMN(貼り付け用!P69)&gt;MATCH("おやつ",貼り付け用!$3:$3,0),"",
IF(VLOOKUP($A69,貼り付け用!$A$1:$BA$300,COLUMN(),FALSE)=0,"",VLOOKUP($A69,貼り付け用!$A$1:$BA$300,COLUMN(),FALSE))),"")</f>
        <v>#N/A</v>
      </c>
      <c r="Q69" s="3" t="e">
        <f>IF($A69&lt;&gt;"",
IF(COLUMN(貼り付け用!Q69)&gt;MATCH("おやつ",貼り付け用!$3:$3,0),"",
IF(VLOOKUP($A69,貼り付け用!$A$1:$BA$300,COLUMN(),FALSE)=0,"",VLOOKUP($A69,貼り付け用!$A$1:$BA$300,COLUMN(),FALSE))),"")</f>
        <v>#N/A</v>
      </c>
      <c r="R69" s="3" t="e">
        <f>IF($A69&lt;&gt;"",
IF(COLUMN(貼り付け用!R69)&gt;MATCH("おやつ",貼り付け用!$3:$3,0),"",
IF(VLOOKUP($A69,貼り付け用!$A$1:$BA$300,COLUMN(),FALSE)=0,"",VLOOKUP($A69,貼り付け用!$A$1:$BA$300,COLUMN(),FALSE))),"")</f>
        <v>#N/A</v>
      </c>
      <c r="S69" s="3" t="e">
        <f>IF($A69&lt;&gt;"",
IF(COLUMN(貼り付け用!S69)&gt;MATCH("おやつ",貼り付け用!$3:$3,0),"",
IF(VLOOKUP($A69,貼り付け用!$A$1:$BA$300,COLUMN(),FALSE)=0,"",VLOOKUP($A69,貼り付け用!$A$1:$BA$300,COLUMN(),FALSE))),"")</f>
        <v>#N/A</v>
      </c>
      <c r="T69" s="3" t="e">
        <f>IF(COLUMN(貼り付け用!T69)&gt;MATCH("おやつ",貼り付け用!$3:$3,0),"",
IF(VLOOKUP($A69,貼り付け用!$A$1:$BA$300,COLUMN(),FALSE)=0,"",VLOOKUP($A69,貼り付け用!$A$1:$BA$300,COLUMN(),FALSE)))</f>
        <v>#N/A</v>
      </c>
      <c r="U69" s="21"/>
      <c r="V69" s="55" t="e">
        <f>IF(A69&lt;&gt;"",
IF(VLOOKUP($A69,貼り付け用!$A$1:$BA$300,MATCH("おやつ",貼り付け用!$3:$3,0)+1,FALSE)=0,"",VLOOKUP($A69,貼り付け用!$A$1:$BA$300,MATCH("おやつ",貼り付け用!$3:$3,0)+1,FALSE)),"")</f>
        <v>#N/A</v>
      </c>
      <c r="W69" s="14" t="e">
        <f>IF(A69&lt;&gt;"",
IF(VLOOKUP($A69,貼り付け用!$A$1:$BA$300,MATCH("おやつ",貼り付け用!$3:$3,0)+2,FALSE)=0,"",VLOOKUP($A69,貼り付け用!$A$1:$BA$300,MATCH("おやつ",貼り付け用!$3:$3,0)+2,FALSE)),"")</f>
        <v>#N/A</v>
      </c>
    </row>
    <row r="70" spans="1:23">
      <c r="A70" s="4" t="e">
        <f>IF(貼り付け用!$A$6&lt;&gt;"",
IF(ROW(A69)+1&gt;=MATCH("*10000*", 貼り付け用!$A:$A, 0),
IF(COUNTIF(A68,"*10000*"),"10001",
IF(COUNTIF(A68,"*10001*"),"10002",
IF(COUNTIF(A68,"*10002*"),"",
IF(COUNTIF(A68,""),"","10000")))),
IF(貼り付け用!A70&lt;&gt;"",貼り付け用!A70,"")),
IF(ROW(A70)+1&gt;=MATCH("*10000*", 貼り付け用!$A:$A, 0),
IF(COUNTIF(A68,"*10000*"),"10001",
IF(COUNTIF(A68,"*10001*"),"10002",
IF(COUNTIF(A68,"*10002*"),"",
IF(COUNTIF(A68,""),"","10000")))),
IF(貼り付け用!A71&lt;&gt;"",貼り付け用!A71,"")))</f>
        <v>#N/A</v>
      </c>
      <c r="B70" s="14" t="e">
        <f>IF($A70&lt;&gt;"",IF(VLOOKUP($A70,貼り付け用!$A$1:$BA$300,COLUMN(),FALSE)=0,"",VLOOKUP($A70,貼り付け用!$A$1:$BA$300,COLUMN(),FALSE)),"")</f>
        <v>#N/A</v>
      </c>
      <c r="C70" s="14" t="e">
        <f>IF($A70&lt;&gt;"",IF(VLOOKUP($A70,貼り付け用!$A$1:$BA$300,COLUMN(),FALSE)=0,"",VLOOKUP($A70,貼り付け用!$A$1:$BA$300,COLUMN(),FALSE)),"")</f>
        <v>#N/A</v>
      </c>
      <c r="D70" s="14" t="e">
        <f>IF($A70&lt;&gt;"",IF(VLOOKUP($A70,貼り付け用!$A$1:$BA$300,COLUMN(),FALSE)=0,"",VLOOKUP($A70,貼り付け用!$A$1:$BA$300,COLUMN(),FALSE)),"")</f>
        <v>#N/A</v>
      </c>
      <c r="E70" s="14" t="e">
        <f>IF($A70&lt;&gt;"",IF(VLOOKUP($A70,貼り付け用!$A$1:$BA$300,COLUMN(),FALSE)=0,"",VLOOKUP($A70,貼り付け用!$A$1:$BA$300,COLUMN(),FALSE)),"")</f>
        <v>#N/A</v>
      </c>
      <c r="F70" s="14" t="e">
        <f>IF($A70&lt;&gt;"",IF(VLOOKUP($A70,貼り付け用!$A$1:$BA$300,COLUMN(),FALSE)=0,"",VLOOKUP($A70,貼り付け用!$A$1:$BA$300,COLUMN(),FALSE)),"")</f>
        <v>#N/A</v>
      </c>
      <c r="G70" s="14" t="e">
        <f>IF($A70&lt;&gt;"",IF(VLOOKUP($A70,貼り付け用!$A$1:$BA$300,COLUMN(),FALSE)=0,"",VLOOKUP($A70,貼り付け用!$A$1:$BA$300,COLUMN(),FALSE)),"")</f>
        <v>#N/A</v>
      </c>
      <c r="H70" s="14" t="e">
        <f>IF($A70&lt;&gt;"",IF(VLOOKUP($A70,貼り付け用!$A$1:$BA$300,COLUMN(),FALSE)=0,"",VLOOKUP($A70,貼り付け用!$A$1:$BA$300,COLUMN(),FALSE)),"")</f>
        <v>#N/A</v>
      </c>
      <c r="I70" s="14" t="e">
        <f>IF($A70&lt;&gt;"",IF(VLOOKUP($A70,貼り付け用!$A$1:$BA$300,COLUMN(),FALSE)=0,"",VLOOKUP($A70,貼り付け用!$A$1:$BA$300,COLUMN(),FALSE)),"")</f>
        <v>#N/A</v>
      </c>
      <c r="J70" s="14" t="e">
        <f>IF($A70&lt;&gt;"",IF(VLOOKUP($A70,貼り付け用!$A$1:$BA$300,COLUMN(),FALSE)=0,"",VLOOKUP($A70,貼り付け用!$A$1:$BA$300,COLUMN(),FALSE)),"")</f>
        <v>#N/A</v>
      </c>
      <c r="K70" s="14" t="e">
        <f>IF($A70&lt;&gt;"",IF(VLOOKUP($A70,貼り付け用!$A$1:$BA$300,COLUMN(),FALSE)=0,"",VLOOKUP($A70,貼り付け用!$A$1:$BA$300,COLUMN(),FALSE)),"")</f>
        <v>#N/A</v>
      </c>
      <c r="L70" s="14" t="e">
        <f>IF($A70&lt;&gt;"",
IF(COLUMN(貼り付け用!L70)&gt;MATCH("おやつ",貼り付け用!$3:$3,0),"",
IF(VLOOKUP($A70,貼り付け用!$A$1:$BA$300,COLUMN(),FALSE)=0,"",VLOOKUP($A70,貼り付け用!$A$1:$BA$300,COLUMN(),FALSE))),"")</f>
        <v>#N/A</v>
      </c>
      <c r="M70" s="14" t="e">
        <f>IF($A70&lt;&gt;"",
IF(COLUMN(貼り付け用!M70)&gt;MATCH("おやつ",貼り付け用!$3:$3,0),"",
IF(VLOOKUP($A70,貼り付け用!$A$1:$BA$300,COLUMN(),FALSE)=0,"",VLOOKUP($A70,貼り付け用!$A$1:$BA$300,COLUMN(),FALSE))),"")</f>
        <v>#N/A</v>
      </c>
      <c r="N70" s="14" t="e">
        <f>IF($A70&lt;&gt;"",
IF(COLUMN(貼り付け用!N70)&gt;MATCH("おやつ",貼り付け用!$3:$3,0),"",
IF(VLOOKUP($A70,貼り付け用!$A$1:$BA$300,COLUMN(),FALSE)=0,"",VLOOKUP($A70,貼り付け用!$A$1:$BA$300,COLUMN(),FALSE))),"")</f>
        <v>#N/A</v>
      </c>
      <c r="O70" s="14" t="e">
        <f>IF($A70&lt;&gt;"",
IF(COLUMN(貼り付け用!O70)&gt;MATCH("おやつ",貼り付け用!$3:$3,0),"",
IF(VLOOKUP($A70,貼り付け用!$A$1:$BA$300,COLUMN(),FALSE)=0,"",VLOOKUP($A70,貼り付け用!$A$1:$BA$300,COLUMN(),FALSE))),"")</f>
        <v>#N/A</v>
      </c>
      <c r="P70" s="14" t="e">
        <f>IF($A70&lt;&gt;"",
IF(COLUMN(貼り付け用!P70)&gt;MATCH("おやつ",貼り付け用!$3:$3,0),"",
IF(VLOOKUP($A70,貼り付け用!$A$1:$BA$300,COLUMN(),FALSE)=0,"",VLOOKUP($A70,貼り付け用!$A$1:$BA$300,COLUMN(),FALSE))),"")</f>
        <v>#N/A</v>
      </c>
      <c r="Q70" s="14" t="e">
        <f>IF($A70&lt;&gt;"",
IF(COLUMN(貼り付け用!Q70)&gt;MATCH("おやつ",貼り付け用!$3:$3,0),"",
IF(VLOOKUP($A70,貼り付け用!$A$1:$BA$300,COLUMN(),FALSE)=0,"",VLOOKUP($A70,貼り付け用!$A$1:$BA$300,COLUMN(),FALSE))),"")</f>
        <v>#N/A</v>
      </c>
      <c r="R70" s="14" t="e">
        <f>IF($A70&lt;&gt;"",
IF(COLUMN(貼り付け用!R70)&gt;MATCH("おやつ",貼り付け用!$3:$3,0),"",
IF(VLOOKUP($A70,貼り付け用!$A$1:$BA$300,COLUMN(),FALSE)=0,"",VLOOKUP($A70,貼り付け用!$A$1:$BA$300,COLUMN(),FALSE))),"")</f>
        <v>#N/A</v>
      </c>
      <c r="S70" s="14" t="e">
        <f>IF($A70&lt;&gt;"",
IF(COLUMN(貼り付け用!S70)&gt;MATCH("おやつ",貼り付け用!$3:$3,0),"",
IF(VLOOKUP($A70,貼り付け用!$A$1:$BA$300,COLUMN(),FALSE)=0,"",VLOOKUP($A70,貼り付け用!$A$1:$BA$300,COLUMN(),FALSE))),"")</f>
        <v>#N/A</v>
      </c>
      <c r="T70" s="14" t="e">
        <f>IF(COLUMN(貼り付け用!T70)&gt;MATCH("おやつ",貼り付け用!$3:$3,0),"",
IF(VLOOKUP($A70,貼り付け用!$A$1:$BA$300,COLUMN(),FALSE)=0,"",VLOOKUP($A70,貼り付け用!$A$1:$BA$300,COLUMN(),FALSE)))</f>
        <v>#N/A</v>
      </c>
      <c r="U70" s="11"/>
      <c r="V70" s="55" t="e">
        <f>IF(A70&lt;&gt;"",
IF(VLOOKUP($A70,貼り付け用!$A$1:$BA$300,MATCH("おやつ",貼り付け用!$3:$3,0)+1,FALSE)=0,"",VLOOKUP($A70,貼り付け用!$A$1:$BA$300,MATCH("おやつ",貼り付け用!$3:$3,0)+1,FALSE)),"")</f>
        <v>#N/A</v>
      </c>
      <c r="W70" s="14" t="e">
        <f>IF(A70&lt;&gt;"",
IF(VLOOKUP($A70,貼り付け用!$A$1:$BA$300,MATCH("おやつ",貼り付け用!$3:$3,0)+2,FALSE)=0,"",VLOOKUP($A70,貼り付け用!$A$1:$BA$300,MATCH("おやつ",貼り付け用!$3:$3,0)+2,FALSE)),"")</f>
        <v>#N/A</v>
      </c>
    </row>
    <row r="71" spans="1:23">
      <c r="A71" s="8" t="e">
        <f>IF(貼り付け用!$A$6&lt;&gt;"",
IF(ROW(A70)+1&gt;=MATCH("*10000*", 貼り付け用!$A:$A, 0),"",
IF(貼り付け用!A71&lt;&gt;"",貼り付け用!A71,"")),
IF(ROW(A71)+1&gt;=MATCH("*10000*", 貼り付け用!$A:$A, 0),"",
IF(貼り付け用!A72&lt;&gt;"",貼り付け用!A72,"")))</f>
        <v>#N/A</v>
      </c>
      <c r="B71" s="3" t="e">
        <f>IF($A71&lt;&gt;"",IF(VLOOKUP($A71,貼り付け用!$A$1:$BA$300,COLUMN(),FALSE)=0,"",VLOOKUP($A71,貼り付け用!$A$1:$BA$300,COLUMN(),FALSE)),"")</f>
        <v>#N/A</v>
      </c>
      <c r="C71" s="3" t="e">
        <f>IF($A71&lt;&gt;"",IF(VLOOKUP($A71,貼り付け用!$A$1:$BA$300,COLUMN(),FALSE)=0,"",VLOOKUP($A71,貼り付け用!$A$1:$BA$300,COLUMN(),FALSE)),"")</f>
        <v>#N/A</v>
      </c>
      <c r="D71" s="3" t="e">
        <f>IF($A71&lt;&gt;"",IF(VLOOKUP($A71,貼り付け用!$A$1:$BA$300,COLUMN(),FALSE)=0,"",VLOOKUP($A71,貼り付け用!$A$1:$BA$300,COLUMN(),FALSE)),"")</f>
        <v>#N/A</v>
      </c>
      <c r="E71" s="3" t="e">
        <f>IF($A71&lt;&gt;"",IF(VLOOKUP($A71,貼り付け用!$A$1:$BA$300,COLUMN(),FALSE)=0,"",VLOOKUP($A71,貼り付け用!$A$1:$BA$300,COLUMN(),FALSE)),"")</f>
        <v>#N/A</v>
      </c>
      <c r="F71" s="3" t="e">
        <f>IF($A71&lt;&gt;"",IF(VLOOKUP($A71,貼り付け用!$A$1:$BA$300,COLUMN(),FALSE)=0,"",VLOOKUP($A71,貼り付け用!$A$1:$BA$300,COLUMN(),FALSE)),"")</f>
        <v>#N/A</v>
      </c>
      <c r="G71" s="3" t="e">
        <f>IF($A71&lt;&gt;"",IF(VLOOKUP($A71,貼り付け用!$A$1:$BA$300,COLUMN(),FALSE)=0,"",VLOOKUP($A71,貼り付け用!$A$1:$BA$300,COLUMN(),FALSE)),"")</f>
        <v>#N/A</v>
      </c>
      <c r="H71" s="3" t="e">
        <f>IF($A71&lt;&gt;"",IF(VLOOKUP($A71,貼り付け用!$A$1:$BA$300,COLUMN(),FALSE)=0,"",VLOOKUP($A71,貼り付け用!$A$1:$BA$300,COLUMN(),FALSE)),"")</f>
        <v>#N/A</v>
      </c>
      <c r="I71" s="3" t="e">
        <f>IF($A71&lt;&gt;"",IF(VLOOKUP($A71,貼り付け用!$A$1:$BA$300,COLUMN(),FALSE)=0,"",VLOOKUP($A71,貼り付け用!$A$1:$BA$300,COLUMN(),FALSE)),"")</f>
        <v>#N/A</v>
      </c>
      <c r="J71" s="3" t="e">
        <f>IF($A71&lt;&gt;"",IF(VLOOKUP($A71,貼り付け用!$A$1:$BA$300,COLUMN(),FALSE)=0,"",VLOOKUP($A71,貼り付け用!$A$1:$BA$300,COLUMN(),FALSE)),"")</f>
        <v>#N/A</v>
      </c>
      <c r="K71" s="3" t="e">
        <f>IF($A71&lt;&gt;"",IF(VLOOKUP($A71,貼り付け用!$A$1:$BA$300,COLUMN(),FALSE)=0,"",VLOOKUP($A71,貼り付け用!$A$1:$BA$300,COLUMN(),FALSE)),"")</f>
        <v>#N/A</v>
      </c>
      <c r="L71" s="3" t="e">
        <f>IF($A71&lt;&gt;"",
IF(COLUMN(貼り付け用!L71)&gt;MATCH("おやつ",貼り付け用!$3:$3,0),"",
IF(VLOOKUP($A71,貼り付け用!$A$1:$BA$300,COLUMN(),FALSE)=0,"",VLOOKUP($A71,貼り付け用!$A$1:$BA$300,COLUMN(),FALSE))),"")</f>
        <v>#N/A</v>
      </c>
      <c r="M71" s="3" t="e">
        <f>IF($A71&lt;&gt;"",
IF(COLUMN(貼り付け用!M71)&gt;MATCH("おやつ",貼り付け用!$3:$3,0),"",
IF(VLOOKUP($A71,貼り付け用!$A$1:$BA$300,COLUMN(),FALSE)=0,"",VLOOKUP($A71,貼り付け用!$A$1:$BA$300,COLUMN(),FALSE))),"")</f>
        <v>#N/A</v>
      </c>
      <c r="N71" s="3" t="e">
        <f>IF($A71&lt;&gt;"",
IF(COLUMN(貼り付け用!N71)&gt;MATCH("おやつ",貼り付け用!$3:$3,0),"",
IF(VLOOKUP($A71,貼り付け用!$A$1:$BA$300,COLUMN(),FALSE)=0,"",VLOOKUP($A71,貼り付け用!$A$1:$BA$300,COLUMN(),FALSE))),"")</f>
        <v>#N/A</v>
      </c>
      <c r="O71" s="3" t="e">
        <f>IF($A71&lt;&gt;"",
IF(COLUMN(貼り付け用!O71)&gt;MATCH("おやつ",貼り付け用!$3:$3,0),"",
IF(VLOOKUP($A71,貼り付け用!$A$1:$BA$300,COLUMN(),FALSE)=0,"",VLOOKUP($A71,貼り付け用!$A$1:$BA$300,COLUMN(),FALSE))),"")</f>
        <v>#N/A</v>
      </c>
      <c r="P71" s="3" t="e">
        <f>IF($A71&lt;&gt;"",
IF(COLUMN(貼り付け用!P71)&gt;MATCH("おやつ",貼り付け用!$3:$3,0),"",
IF(VLOOKUP($A71,貼り付け用!$A$1:$BA$300,COLUMN(),FALSE)=0,"",VLOOKUP($A71,貼り付け用!$A$1:$BA$300,COLUMN(),FALSE))),"")</f>
        <v>#N/A</v>
      </c>
      <c r="Q71" s="3" t="e">
        <f>IF($A71&lt;&gt;"",
IF(COLUMN(貼り付け用!Q71)&gt;MATCH("おやつ",貼り付け用!$3:$3,0),"",
IF(VLOOKUP($A71,貼り付け用!$A$1:$BA$300,COLUMN(),FALSE)=0,"",VLOOKUP($A71,貼り付け用!$A$1:$BA$300,COLUMN(),FALSE))),"")</f>
        <v>#N/A</v>
      </c>
      <c r="R71" s="3" t="e">
        <f>IF($A71&lt;&gt;"",
IF(COLUMN(貼り付け用!R71)&gt;MATCH("おやつ",貼り付け用!$3:$3,0),"",
IF(VLOOKUP($A71,貼り付け用!$A$1:$BA$300,COLUMN(),FALSE)=0,"",VLOOKUP($A71,貼り付け用!$A$1:$BA$300,COLUMN(),FALSE))),"")</f>
        <v>#N/A</v>
      </c>
      <c r="S71" s="3" t="e">
        <f>IF($A71&lt;&gt;"",
IF(COLUMN(貼り付け用!S71)&gt;MATCH("おやつ",貼り付け用!$3:$3,0),"",
IF(VLOOKUP($A71,貼り付け用!$A$1:$BA$300,COLUMN(),FALSE)=0,"",VLOOKUP($A71,貼り付け用!$A$1:$BA$300,COLUMN(),FALSE))),"")</f>
        <v>#N/A</v>
      </c>
      <c r="T71" s="3" t="e">
        <f>IF(COLUMN(貼り付け用!T71)&gt;MATCH("おやつ",貼り付け用!$3:$3,0),"",
IF(VLOOKUP($A71,貼り付け用!$A$1:$BA$300,COLUMN(),FALSE)=0,"",VLOOKUP($A71,貼り付け用!$A$1:$BA$300,COLUMN(),FALSE)))</f>
        <v>#N/A</v>
      </c>
      <c r="U71" s="21"/>
      <c r="V71" s="55" t="e">
        <f>IF(A71&lt;&gt;"",
IF(VLOOKUP($A71,貼り付け用!$A$1:$BA$300,MATCH("おやつ",貼り付け用!$3:$3,0)+1,FALSE)=0,"",VLOOKUP($A71,貼り付け用!$A$1:$BA$300,MATCH("おやつ",貼り付け用!$3:$3,0)+1,FALSE)),"")</f>
        <v>#N/A</v>
      </c>
      <c r="W71" s="14" t="e">
        <f>IF(A71&lt;&gt;"",
IF(VLOOKUP($A71,貼り付け用!$A$1:$BA$300,MATCH("おやつ",貼り付け用!$3:$3,0)+2,FALSE)=0,"",VLOOKUP($A71,貼り付け用!$A$1:$BA$300,MATCH("おやつ",貼り付け用!$3:$3,0)+2,FALSE)),"")</f>
        <v>#N/A</v>
      </c>
    </row>
    <row r="72" spans="1:23">
      <c r="A72" s="4" t="e">
        <f>IF(貼り付け用!$A$6&lt;&gt;"",
IF(ROW(A71)+1&gt;=MATCH("*10000*", 貼り付け用!$A:$A, 0),
IF(COUNTIF(A70,"*10000*"),"10001",
IF(COUNTIF(A70,"*10001*"),"10002",
IF(COUNTIF(A70,"*10002*"),"",
IF(COUNTIF(A70,""),"","10000")))),
IF(貼り付け用!A72&lt;&gt;"",貼り付け用!A72,"")),
IF(ROW(A72)+1&gt;=MATCH("*10000*", 貼り付け用!$A:$A, 0),
IF(COUNTIF(A70,"*10000*"),"10001",
IF(COUNTIF(A70,"*10001*"),"10002",
IF(COUNTIF(A70,"*10002*"),"",
IF(COUNTIF(A70,""),"","10000")))),
IF(貼り付け用!A73&lt;&gt;"",貼り付け用!A73,"")))</f>
        <v>#N/A</v>
      </c>
      <c r="B72" s="14" t="e">
        <f>IF($A72&lt;&gt;"",IF(VLOOKUP($A72,貼り付け用!$A$1:$BA$300,COLUMN(),FALSE)=0,"",VLOOKUP($A72,貼り付け用!$A$1:$BA$300,COLUMN(),FALSE)),"")</f>
        <v>#N/A</v>
      </c>
      <c r="C72" s="14" t="e">
        <f>IF($A72&lt;&gt;"",IF(VLOOKUP($A72,貼り付け用!$A$1:$BA$300,COLUMN(),FALSE)=0,"",VLOOKUP($A72,貼り付け用!$A$1:$BA$300,COLUMN(),FALSE)),"")</f>
        <v>#N/A</v>
      </c>
      <c r="D72" s="14" t="e">
        <f>IF($A72&lt;&gt;"",IF(VLOOKUP($A72,貼り付け用!$A$1:$BA$300,COLUMN(),FALSE)=0,"",VLOOKUP($A72,貼り付け用!$A$1:$BA$300,COLUMN(),FALSE)),"")</f>
        <v>#N/A</v>
      </c>
      <c r="E72" s="14" t="e">
        <f>IF($A72&lt;&gt;"",IF(VLOOKUP($A72,貼り付け用!$A$1:$BA$300,COLUMN(),FALSE)=0,"",VLOOKUP($A72,貼り付け用!$A$1:$BA$300,COLUMN(),FALSE)),"")</f>
        <v>#N/A</v>
      </c>
      <c r="F72" s="14" t="e">
        <f>IF($A72&lt;&gt;"",IF(VLOOKUP($A72,貼り付け用!$A$1:$BA$300,COLUMN(),FALSE)=0,"",VLOOKUP($A72,貼り付け用!$A$1:$BA$300,COLUMN(),FALSE)),"")</f>
        <v>#N/A</v>
      </c>
      <c r="G72" s="14" t="e">
        <f>IF($A72&lt;&gt;"",IF(VLOOKUP($A72,貼り付け用!$A$1:$BA$300,COLUMN(),FALSE)=0,"",VLOOKUP($A72,貼り付け用!$A$1:$BA$300,COLUMN(),FALSE)),"")</f>
        <v>#N/A</v>
      </c>
      <c r="H72" s="14" t="e">
        <f>IF($A72&lt;&gt;"",IF(VLOOKUP($A72,貼り付け用!$A$1:$BA$300,COLUMN(),FALSE)=0,"",VLOOKUP($A72,貼り付け用!$A$1:$BA$300,COLUMN(),FALSE)),"")</f>
        <v>#N/A</v>
      </c>
      <c r="I72" s="14" t="e">
        <f>IF($A72&lt;&gt;"",IF(VLOOKUP($A72,貼り付け用!$A$1:$BA$300,COLUMN(),FALSE)=0,"",VLOOKUP($A72,貼り付け用!$A$1:$BA$300,COLUMN(),FALSE)),"")</f>
        <v>#N/A</v>
      </c>
      <c r="J72" s="14" t="e">
        <f>IF($A72&lt;&gt;"",IF(VLOOKUP($A72,貼り付け用!$A$1:$BA$300,COLUMN(),FALSE)=0,"",VLOOKUP($A72,貼り付け用!$A$1:$BA$300,COLUMN(),FALSE)),"")</f>
        <v>#N/A</v>
      </c>
      <c r="K72" s="14" t="e">
        <f>IF($A72&lt;&gt;"",IF(VLOOKUP($A72,貼り付け用!$A$1:$BA$300,COLUMN(),FALSE)=0,"",VLOOKUP($A72,貼り付け用!$A$1:$BA$300,COLUMN(),FALSE)),"")</f>
        <v>#N/A</v>
      </c>
      <c r="L72" s="14" t="e">
        <f>IF($A72&lt;&gt;"",
IF(COLUMN(貼り付け用!L72)&gt;MATCH("おやつ",貼り付け用!$3:$3,0),"",
IF(VLOOKUP($A72,貼り付け用!$A$1:$BA$300,COLUMN(),FALSE)=0,"",VLOOKUP($A72,貼り付け用!$A$1:$BA$300,COLUMN(),FALSE))),"")</f>
        <v>#N/A</v>
      </c>
      <c r="M72" s="14" t="e">
        <f>IF($A72&lt;&gt;"",
IF(COLUMN(貼り付け用!M72)&gt;MATCH("おやつ",貼り付け用!$3:$3,0),"",
IF(VLOOKUP($A72,貼り付け用!$A$1:$BA$300,COLUMN(),FALSE)=0,"",VLOOKUP($A72,貼り付け用!$A$1:$BA$300,COLUMN(),FALSE))),"")</f>
        <v>#N/A</v>
      </c>
      <c r="N72" s="14" t="e">
        <f>IF($A72&lt;&gt;"",
IF(COLUMN(貼り付け用!N72)&gt;MATCH("おやつ",貼り付け用!$3:$3,0),"",
IF(VLOOKUP($A72,貼り付け用!$A$1:$BA$300,COLUMN(),FALSE)=0,"",VLOOKUP($A72,貼り付け用!$A$1:$BA$300,COLUMN(),FALSE))),"")</f>
        <v>#N/A</v>
      </c>
      <c r="O72" s="14" t="e">
        <f>IF($A72&lt;&gt;"",
IF(COLUMN(貼り付け用!O72)&gt;MATCH("おやつ",貼り付け用!$3:$3,0),"",
IF(VLOOKUP($A72,貼り付け用!$A$1:$BA$300,COLUMN(),FALSE)=0,"",VLOOKUP($A72,貼り付け用!$A$1:$BA$300,COLUMN(),FALSE))),"")</f>
        <v>#N/A</v>
      </c>
      <c r="P72" s="14" t="e">
        <f>IF($A72&lt;&gt;"",
IF(COLUMN(貼り付け用!P72)&gt;MATCH("おやつ",貼り付け用!$3:$3,0),"",
IF(VLOOKUP($A72,貼り付け用!$A$1:$BA$300,COLUMN(),FALSE)=0,"",VLOOKUP($A72,貼り付け用!$A$1:$BA$300,COLUMN(),FALSE))),"")</f>
        <v>#N/A</v>
      </c>
      <c r="Q72" s="14" t="e">
        <f>IF($A72&lt;&gt;"",
IF(COLUMN(貼り付け用!Q72)&gt;MATCH("おやつ",貼り付け用!$3:$3,0),"",
IF(VLOOKUP($A72,貼り付け用!$A$1:$BA$300,COLUMN(),FALSE)=0,"",VLOOKUP($A72,貼り付け用!$A$1:$BA$300,COLUMN(),FALSE))),"")</f>
        <v>#N/A</v>
      </c>
      <c r="R72" s="14" t="e">
        <f>IF($A72&lt;&gt;"",
IF(COLUMN(貼り付け用!R72)&gt;MATCH("おやつ",貼り付け用!$3:$3,0),"",
IF(VLOOKUP($A72,貼り付け用!$A$1:$BA$300,COLUMN(),FALSE)=0,"",VLOOKUP($A72,貼り付け用!$A$1:$BA$300,COLUMN(),FALSE))),"")</f>
        <v>#N/A</v>
      </c>
      <c r="S72" s="14" t="e">
        <f>IF($A72&lt;&gt;"",
IF(COLUMN(貼り付け用!S72)&gt;MATCH("おやつ",貼り付け用!$3:$3,0),"",
IF(VLOOKUP($A72,貼り付け用!$A$1:$BA$300,COLUMN(),FALSE)=0,"",VLOOKUP($A72,貼り付け用!$A$1:$BA$300,COLUMN(),FALSE))),"")</f>
        <v>#N/A</v>
      </c>
      <c r="T72" s="14" t="e">
        <f>IF(COLUMN(貼り付け用!T72)&gt;MATCH("おやつ",貼り付け用!$3:$3,0),"",
IF(VLOOKUP($A72,貼り付け用!$A$1:$BA$300,COLUMN(),FALSE)=0,"",VLOOKUP($A72,貼り付け用!$A$1:$BA$300,COLUMN(),FALSE)))</f>
        <v>#N/A</v>
      </c>
      <c r="U72" s="11"/>
      <c r="V72" s="55" t="e">
        <f>IF(A72&lt;&gt;"",
IF(VLOOKUP($A72,貼り付け用!$A$1:$BA$300,MATCH("おやつ",貼り付け用!$3:$3,0)+1,FALSE)=0,"",VLOOKUP($A72,貼り付け用!$A$1:$BA$300,MATCH("おやつ",貼り付け用!$3:$3,0)+1,FALSE)),"")</f>
        <v>#N/A</v>
      </c>
      <c r="W72" s="14" t="e">
        <f>IF(A72&lt;&gt;"",
IF(VLOOKUP($A72,貼り付け用!$A$1:$BA$300,MATCH("おやつ",貼り付け用!$3:$3,0)+2,FALSE)=0,"",VLOOKUP($A72,貼り付け用!$A$1:$BA$300,MATCH("おやつ",貼り付け用!$3:$3,0)+2,FALSE)),"")</f>
        <v>#N/A</v>
      </c>
    </row>
    <row r="73" spans="1:23">
      <c r="A73" s="8" t="e">
        <f>IF(貼り付け用!$A$6&lt;&gt;"",
IF(ROW(A72)+1&gt;=MATCH("*10000*", 貼り付け用!$A:$A, 0),"",
IF(貼り付け用!A73&lt;&gt;"",貼り付け用!A73,"")),
IF(ROW(A73)+1&gt;=MATCH("*10000*", 貼り付け用!$A:$A, 0),"",
IF(貼り付け用!A74&lt;&gt;"",貼り付け用!A74,"")))</f>
        <v>#N/A</v>
      </c>
      <c r="B73" s="3" t="e">
        <f>IF($A73&lt;&gt;"",IF(VLOOKUP($A73,貼り付け用!$A$1:$BA$300,COLUMN(),FALSE)=0,"",VLOOKUP($A73,貼り付け用!$A$1:$BA$300,COLUMN(),FALSE)),"")</f>
        <v>#N/A</v>
      </c>
      <c r="C73" s="3" t="e">
        <f>IF($A73&lt;&gt;"",IF(VLOOKUP($A73,貼り付け用!$A$1:$BA$300,COLUMN(),FALSE)=0,"",VLOOKUP($A73,貼り付け用!$A$1:$BA$300,COLUMN(),FALSE)),"")</f>
        <v>#N/A</v>
      </c>
      <c r="D73" s="3" t="e">
        <f>IF($A73&lt;&gt;"",IF(VLOOKUP($A73,貼り付け用!$A$1:$BA$300,COLUMN(),FALSE)=0,"",VLOOKUP($A73,貼り付け用!$A$1:$BA$300,COLUMN(),FALSE)),"")</f>
        <v>#N/A</v>
      </c>
      <c r="E73" s="3" t="e">
        <f>IF($A73&lt;&gt;"",IF(VLOOKUP($A73,貼り付け用!$A$1:$BA$300,COLUMN(),FALSE)=0,"",VLOOKUP($A73,貼り付け用!$A$1:$BA$300,COLUMN(),FALSE)),"")</f>
        <v>#N/A</v>
      </c>
      <c r="F73" s="3" t="e">
        <f>IF($A73&lt;&gt;"",IF(VLOOKUP($A73,貼り付け用!$A$1:$BA$300,COLUMN(),FALSE)=0,"",VLOOKUP($A73,貼り付け用!$A$1:$BA$300,COLUMN(),FALSE)),"")</f>
        <v>#N/A</v>
      </c>
      <c r="G73" s="3" t="e">
        <f>IF($A73&lt;&gt;"",IF(VLOOKUP($A73,貼り付け用!$A$1:$BA$300,COLUMN(),FALSE)=0,"",VLOOKUP($A73,貼り付け用!$A$1:$BA$300,COLUMN(),FALSE)),"")</f>
        <v>#N/A</v>
      </c>
      <c r="H73" s="3" t="e">
        <f>IF($A73&lt;&gt;"",IF(VLOOKUP($A73,貼り付け用!$A$1:$BA$300,COLUMN(),FALSE)=0,"",VLOOKUP($A73,貼り付け用!$A$1:$BA$300,COLUMN(),FALSE)),"")</f>
        <v>#N/A</v>
      </c>
      <c r="I73" s="3" t="e">
        <f>IF($A73&lt;&gt;"",IF(VLOOKUP($A73,貼り付け用!$A$1:$BA$300,COLUMN(),FALSE)=0,"",VLOOKUP($A73,貼り付け用!$A$1:$BA$300,COLUMN(),FALSE)),"")</f>
        <v>#N/A</v>
      </c>
      <c r="J73" s="3" t="e">
        <f>IF($A73&lt;&gt;"",IF(VLOOKUP($A73,貼り付け用!$A$1:$BA$300,COLUMN(),FALSE)=0,"",VLOOKUP($A73,貼り付け用!$A$1:$BA$300,COLUMN(),FALSE)),"")</f>
        <v>#N/A</v>
      </c>
      <c r="K73" s="3" t="e">
        <f>IF($A73&lt;&gt;"",IF(VLOOKUP($A73,貼り付け用!$A$1:$BA$300,COLUMN(),FALSE)=0,"",VLOOKUP($A73,貼り付け用!$A$1:$BA$300,COLUMN(),FALSE)),"")</f>
        <v>#N/A</v>
      </c>
      <c r="L73" s="3" t="e">
        <f>IF($A73&lt;&gt;"",
IF(COLUMN(貼り付け用!L73)&gt;MATCH("おやつ",貼り付け用!$3:$3,0),"",
IF(VLOOKUP($A73,貼り付け用!$A$1:$BA$300,COLUMN(),FALSE)=0,"",VLOOKUP($A73,貼り付け用!$A$1:$BA$300,COLUMN(),FALSE))),"")</f>
        <v>#N/A</v>
      </c>
      <c r="M73" s="3" t="e">
        <f>IF($A73&lt;&gt;"",
IF(COLUMN(貼り付け用!M73)&gt;MATCH("おやつ",貼り付け用!$3:$3,0),"",
IF(VLOOKUP($A73,貼り付け用!$A$1:$BA$300,COLUMN(),FALSE)=0,"",VLOOKUP($A73,貼り付け用!$A$1:$BA$300,COLUMN(),FALSE))),"")</f>
        <v>#N/A</v>
      </c>
      <c r="N73" s="3" t="e">
        <f>IF($A73&lt;&gt;"",
IF(COLUMN(貼り付け用!N73)&gt;MATCH("おやつ",貼り付け用!$3:$3,0),"",
IF(VLOOKUP($A73,貼り付け用!$A$1:$BA$300,COLUMN(),FALSE)=0,"",VLOOKUP($A73,貼り付け用!$A$1:$BA$300,COLUMN(),FALSE))),"")</f>
        <v>#N/A</v>
      </c>
      <c r="O73" s="3" t="e">
        <f>IF($A73&lt;&gt;"",
IF(COLUMN(貼り付け用!O73)&gt;MATCH("おやつ",貼り付け用!$3:$3,0),"",
IF(VLOOKUP($A73,貼り付け用!$A$1:$BA$300,COLUMN(),FALSE)=0,"",VLOOKUP($A73,貼り付け用!$A$1:$BA$300,COLUMN(),FALSE))),"")</f>
        <v>#N/A</v>
      </c>
      <c r="P73" s="3" t="e">
        <f>IF($A73&lt;&gt;"",
IF(COLUMN(貼り付け用!P73)&gt;MATCH("おやつ",貼り付け用!$3:$3,0),"",
IF(VLOOKUP($A73,貼り付け用!$A$1:$BA$300,COLUMN(),FALSE)=0,"",VLOOKUP($A73,貼り付け用!$A$1:$BA$300,COLUMN(),FALSE))),"")</f>
        <v>#N/A</v>
      </c>
      <c r="Q73" s="3" t="e">
        <f>IF($A73&lt;&gt;"",
IF(COLUMN(貼り付け用!Q73)&gt;MATCH("おやつ",貼り付け用!$3:$3,0),"",
IF(VLOOKUP($A73,貼り付け用!$A$1:$BA$300,COLUMN(),FALSE)=0,"",VLOOKUP($A73,貼り付け用!$A$1:$BA$300,COLUMN(),FALSE))),"")</f>
        <v>#N/A</v>
      </c>
      <c r="R73" s="3" t="e">
        <f>IF($A73&lt;&gt;"",
IF(COLUMN(貼り付け用!R73)&gt;MATCH("おやつ",貼り付け用!$3:$3,0),"",
IF(VLOOKUP($A73,貼り付け用!$A$1:$BA$300,COLUMN(),FALSE)=0,"",VLOOKUP($A73,貼り付け用!$A$1:$BA$300,COLUMN(),FALSE))),"")</f>
        <v>#N/A</v>
      </c>
      <c r="S73" s="3" t="e">
        <f>IF($A73&lt;&gt;"",
IF(COLUMN(貼り付け用!S73)&gt;MATCH("おやつ",貼り付け用!$3:$3,0),"",
IF(VLOOKUP($A73,貼り付け用!$A$1:$BA$300,COLUMN(),FALSE)=0,"",VLOOKUP($A73,貼り付け用!$A$1:$BA$300,COLUMN(),FALSE))),"")</f>
        <v>#N/A</v>
      </c>
      <c r="T73" s="3" t="e">
        <f>IF(COLUMN(貼り付け用!T73)&gt;MATCH("おやつ",貼り付け用!$3:$3,0),"",
IF(VLOOKUP($A73,貼り付け用!$A$1:$BA$300,COLUMN(),FALSE)=0,"",VLOOKUP($A73,貼り付け用!$A$1:$BA$300,COLUMN(),FALSE)))</f>
        <v>#N/A</v>
      </c>
      <c r="U73" s="21"/>
      <c r="V73" s="55" t="e">
        <f>IF(A73&lt;&gt;"",
IF(VLOOKUP($A73,貼り付け用!$A$1:$BA$300,MATCH("おやつ",貼り付け用!$3:$3,0)+1,FALSE)=0,"",VLOOKUP($A73,貼り付け用!$A$1:$BA$300,MATCH("おやつ",貼り付け用!$3:$3,0)+1,FALSE)),"")</f>
        <v>#N/A</v>
      </c>
      <c r="W73" s="14" t="e">
        <f>IF(A73&lt;&gt;"",
IF(VLOOKUP($A73,貼り付け用!$A$1:$BA$300,MATCH("おやつ",貼り付け用!$3:$3,0)+2,FALSE)=0,"",VLOOKUP($A73,貼り付け用!$A$1:$BA$300,MATCH("おやつ",貼り付け用!$3:$3,0)+2,FALSE)),"")</f>
        <v>#N/A</v>
      </c>
    </row>
    <row r="74" spans="1:23">
      <c r="A74" s="4" t="e">
        <f>IF(貼り付け用!$A$6&lt;&gt;"",
IF(ROW(A73)+1&gt;=MATCH("*10000*", 貼り付け用!$A:$A, 0),
IF(COUNTIF(A72,"*10000*"),"10001",
IF(COUNTIF(A72,"*10001*"),"10002",
IF(COUNTIF(A72,"*10002*"),"",
IF(COUNTIF(A72,""),"","10000")))),
IF(貼り付け用!A74&lt;&gt;"",貼り付け用!A74,"")),
IF(ROW(A74)+1&gt;=MATCH("*10000*", 貼り付け用!$A:$A, 0),
IF(COUNTIF(A72,"*10000*"),"10001",
IF(COUNTIF(A72,"*10001*"),"10002",
IF(COUNTIF(A72,"*10002*"),"",
IF(COUNTIF(A72,""),"","10000")))),
IF(貼り付け用!A75&lt;&gt;"",貼り付け用!A75,"")))</f>
        <v>#N/A</v>
      </c>
      <c r="B74" s="14" t="e">
        <f>IF($A74&lt;&gt;"",IF(VLOOKUP($A74,貼り付け用!$A$1:$BA$300,COLUMN(),FALSE)=0,"",VLOOKUP($A74,貼り付け用!$A$1:$BA$300,COLUMN(),FALSE)),"")</f>
        <v>#N/A</v>
      </c>
      <c r="C74" s="14" t="e">
        <f>IF($A74&lt;&gt;"",IF(VLOOKUP($A74,貼り付け用!$A$1:$BA$300,COLUMN(),FALSE)=0,"",VLOOKUP($A74,貼り付け用!$A$1:$BA$300,COLUMN(),FALSE)),"")</f>
        <v>#N/A</v>
      </c>
      <c r="D74" s="14" t="e">
        <f>IF($A74&lt;&gt;"",IF(VLOOKUP($A74,貼り付け用!$A$1:$BA$300,COLUMN(),FALSE)=0,"",VLOOKUP($A74,貼り付け用!$A$1:$BA$300,COLUMN(),FALSE)),"")</f>
        <v>#N/A</v>
      </c>
      <c r="E74" s="14" t="e">
        <f>IF($A74&lt;&gt;"",IF(VLOOKUP($A74,貼り付け用!$A$1:$BA$300,COLUMN(),FALSE)=0,"",VLOOKUP($A74,貼り付け用!$A$1:$BA$300,COLUMN(),FALSE)),"")</f>
        <v>#N/A</v>
      </c>
      <c r="F74" s="14" t="e">
        <f>IF($A74&lt;&gt;"",IF(VLOOKUP($A74,貼り付け用!$A$1:$BA$300,COLUMN(),FALSE)=0,"",VLOOKUP($A74,貼り付け用!$A$1:$BA$300,COLUMN(),FALSE)),"")</f>
        <v>#N/A</v>
      </c>
      <c r="G74" s="14" t="e">
        <f>IF($A74&lt;&gt;"",IF(VLOOKUP($A74,貼り付け用!$A$1:$BA$300,COLUMN(),FALSE)=0,"",VLOOKUP($A74,貼り付け用!$A$1:$BA$300,COLUMN(),FALSE)),"")</f>
        <v>#N/A</v>
      </c>
      <c r="H74" s="14" t="e">
        <f>IF($A74&lt;&gt;"",IF(VLOOKUP($A74,貼り付け用!$A$1:$BA$300,COLUMN(),FALSE)=0,"",VLOOKUP($A74,貼り付け用!$A$1:$BA$300,COLUMN(),FALSE)),"")</f>
        <v>#N/A</v>
      </c>
      <c r="I74" s="14" t="e">
        <f>IF($A74&lt;&gt;"",IF(VLOOKUP($A74,貼り付け用!$A$1:$BA$300,COLUMN(),FALSE)=0,"",VLOOKUP($A74,貼り付け用!$A$1:$BA$300,COLUMN(),FALSE)),"")</f>
        <v>#N/A</v>
      </c>
      <c r="J74" s="14" t="e">
        <f>IF($A74&lt;&gt;"",IF(VLOOKUP($A74,貼り付け用!$A$1:$BA$300,COLUMN(),FALSE)=0,"",VLOOKUP($A74,貼り付け用!$A$1:$BA$300,COLUMN(),FALSE)),"")</f>
        <v>#N/A</v>
      </c>
      <c r="K74" s="14" t="e">
        <f>IF($A74&lt;&gt;"",IF(VLOOKUP($A74,貼り付け用!$A$1:$BA$300,COLUMN(),FALSE)=0,"",VLOOKUP($A74,貼り付け用!$A$1:$BA$300,COLUMN(),FALSE)),"")</f>
        <v>#N/A</v>
      </c>
      <c r="L74" s="14" t="e">
        <f>IF($A74&lt;&gt;"",
IF(COLUMN(貼り付け用!L74)&gt;MATCH("おやつ",貼り付け用!$3:$3,0),"",
IF(VLOOKUP($A74,貼り付け用!$A$1:$BA$300,COLUMN(),FALSE)=0,"",VLOOKUP($A74,貼り付け用!$A$1:$BA$300,COLUMN(),FALSE))),"")</f>
        <v>#N/A</v>
      </c>
      <c r="M74" s="14" t="e">
        <f>IF($A74&lt;&gt;"",
IF(COLUMN(貼り付け用!M74)&gt;MATCH("おやつ",貼り付け用!$3:$3,0),"",
IF(VLOOKUP($A74,貼り付け用!$A$1:$BA$300,COLUMN(),FALSE)=0,"",VLOOKUP($A74,貼り付け用!$A$1:$BA$300,COLUMN(),FALSE))),"")</f>
        <v>#N/A</v>
      </c>
      <c r="N74" s="14" t="e">
        <f>IF($A74&lt;&gt;"",
IF(COLUMN(貼り付け用!N74)&gt;MATCH("おやつ",貼り付け用!$3:$3,0),"",
IF(VLOOKUP($A74,貼り付け用!$A$1:$BA$300,COLUMN(),FALSE)=0,"",VLOOKUP($A74,貼り付け用!$A$1:$BA$300,COLUMN(),FALSE))),"")</f>
        <v>#N/A</v>
      </c>
      <c r="O74" s="14" t="e">
        <f>IF($A74&lt;&gt;"",
IF(COLUMN(貼り付け用!O74)&gt;MATCH("おやつ",貼り付け用!$3:$3,0),"",
IF(VLOOKUP($A74,貼り付け用!$A$1:$BA$300,COLUMN(),FALSE)=0,"",VLOOKUP($A74,貼り付け用!$A$1:$BA$300,COLUMN(),FALSE))),"")</f>
        <v>#N/A</v>
      </c>
      <c r="P74" s="14" t="e">
        <f>IF($A74&lt;&gt;"",
IF(COLUMN(貼り付け用!P74)&gt;MATCH("おやつ",貼り付け用!$3:$3,0),"",
IF(VLOOKUP($A74,貼り付け用!$A$1:$BA$300,COLUMN(),FALSE)=0,"",VLOOKUP($A74,貼り付け用!$A$1:$BA$300,COLUMN(),FALSE))),"")</f>
        <v>#N/A</v>
      </c>
      <c r="Q74" s="14" t="e">
        <f>IF($A74&lt;&gt;"",
IF(COLUMN(貼り付け用!Q74)&gt;MATCH("おやつ",貼り付け用!$3:$3,0),"",
IF(VLOOKUP($A74,貼り付け用!$A$1:$BA$300,COLUMN(),FALSE)=0,"",VLOOKUP($A74,貼り付け用!$A$1:$BA$300,COLUMN(),FALSE))),"")</f>
        <v>#N/A</v>
      </c>
      <c r="R74" s="14" t="e">
        <f>IF($A74&lt;&gt;"",
IF(COLUMN(貼り付け用!R74)&gt;MATCH("おやつ",貼り付け用!$3:$3,0),"",
IF(VLOOKUP($A74,貼り付け用!$A$1:$BA$300,COLUMN(),FALSE)=0,"",VLOOKUP($A74,貼り付け用!$A$1:$BA$300,COLUMN(),FALSE))),"")</f>
        <v>#N/A</v>
      </c>
      <c r="S74" s="14" t="e">
        <f>IF($A74&lt;&gt;"",
IF(COLUMN(貼り付け用!S74)&gt;MATCH("おやつ",貼り付け用!$3:$3,0),"",
IF(VLOOKUP($A74,貼り付け用!$A$1:$BA$300,COLUMN(),FALSE)=0,"",VLOOKUP($A74,貼り付け用!$A$1:$BA$300,COLUMN(),FALSE))),"")</f>
        <v>#N/A</v>
      </c>
      <c r="T74" s="14" t="e">
        <f>IF(COLUMN(貼り付け用!T74)&gt;MATCH("おやつ",貼り付け用!$3:$3,0),"",
IF(VLOOKUP($A74,貼り付け用!$A$1:$BA$300,COLUMN(),FALSE)=0,"",VLOOKUP($A74,貼り付け用!$A$1:$BA$300,COLUMN(),FALSE)))</f>
        <v>#N/A</v>
      </c>
      <c r="U74" s="11"/>
      <c r="V74" s="55" t="e">
        <f>IF(A74&lt;&gt;"",
IF(VLOOKUP($A74,貼り付け用!$A$1:$BA$300,MATCH("おやつ",貼り付け用!$3:$3,0)+1,FALSE)=0,"",VLOOKUP($A74,貼り付け用!$A$1:$BA$300,MATCH("おやつ",貼り付け用!$3:$3,0)+1,FALSE)),"")</f>
        <v>#N/A</v>
      </c>
      <c r="W74" s="14" t="e">
        <f>IF(A74&lt;&gt;"",
IF(VLOOKUP($A74,貼り付け用!$A$1:$BA$300,MATCH("おやつ",貼り付け用!$3:$3,0)+2,FALSE)=0,"",VLOOKUP($A74,貼り付け用!$A$1:$BA$300,MATCH("おやつ",貼り付け用!$3:$3,0)+2,FALSE)),"")</f>
        <v>#N/A</v>
      </c>
    </row>
    <row r="75" spans="1:23">
      <c r="A75" s="8" t="e">
        <f>IF(貼り付け用!$A$6&lt;&gt;"",
IF(ROW(A74)+1&gt;=MATCH("*10000*", 貼り付け用!$A:$A, 0),"",
IF(貼り付け用!A75&lt;&gt;"",貼り付け用!A75,"")),
IF(ROW(A75)+1&gt;=MATCH("*10000*", 貼り付け用!$A:$A, 0),"",
IF(貼り付け用!A76&lt;&gt;"",貼り付け用!A76,"")))</f>
        <v>#N/A</v>
      </c>
      <c r="B75" s="3" t="e">
        <f>IF($A75&lt;&gt;"",IF(VLOOKUP($A75,貼り付け用!$A$1:$BA$300,COLUMN(),FALSE)=0,"",VLOOKUP($A75,貼り付け用!$A$1:$BA$300,COLUMN(),FALSE)),"")</f>
        <v>#N/A</v>
      </c>
      <c r="C75" s="3" t="e">
        <f>IF($A75&lt;&gt;"",IF(VLOOKUP($A75,貼り付け用!$A$1:$BA$300,COLUMN(),FALSE)=0,"",VLOOKUP($A75,貼り付け用!$A$1:$BA$300,COLUMN(),FALSE)),"")</f>
        <v>#N/A</v>
      </c>
      <c r="D75" s="3" t="e">
        <f>IF($A75&lt;&gt;"",IF(VLOOKUP($A75,貼り付け用!$A$1:$BA$300,COLUMN(),FALSE)=0,"",VLOOKUP($A75,貼り付け用!$A$1:$BA$300,COLUMN(),FALSE)),"")</f>
        <v>#N/A</v>
      </c>
      <c r="E75" s="3" t="e">
        <f>IF($A75&lt;&gt;"",IF(VLOOKUP($A75,貼り付け用!$A$1:$BA$300,COLUMN(),FALSE)=0,"",VLOOKUP($A75,貼り付け用!$A$1:$BA$300,COLUMN(),FALSE)),"")</f>
        <v>#N/A</v>
      </c>
      <c r="F75" s="3" t="e">
        <f>IF($A75&lt;&gt;"",IF(VLOOKUP($A75,貼り付け用!$A$1:$BA$300,COLUMN(),FALSE)=0,"",VLOOKUP($A75,貼り付け用!$A$1:$BA$300,COLUMN(),FALSE)),"")</f>
        <v>#N/A</v>
      </c>
      <c r="G75" s="3" t="e">
        <f>IF($A75&lt;&gt;"",IF(VLOOKUP($A75,貼り付け用!$A$1:$BA$300,COLUMN(),FALSE)=0,"",VLOOKUP($A75,貼り付け用!$A$1:$BA$300,COLUMN(),FALSE)),"")</f>
        <v>#N/A</v>
      </c>
      <c r="H75" s="3" t="e">
        <f>IF($A75&lt;&gt;"",IF(VLOOKUP($A75,貼り付け用!$A$1:$BA$300,COLUMN(),FALSE)=0,"",VLOOKUP($A75,貼り付け用!$A$1:$BA$300,COLUMN(),FALSE)),"")</f>
        <v>#N/A</v>
      </c>
      <c r="I75" s="3" t="e">
        <f>IF($A75&lt;&gt;"",IF(VLOOKUP($A75,貼り付け用!$A$1:$BA$300,COLUMN(),FALSE)=0,"",VLOOKUP($A75,貼り付け用!$A$1:$BA$300,COLUMN(),FALSE)),"")</f>
        <v>#N/A</v>
      </c>
      <c r="J75" s="3" t="e">
        <f>IF($A75&lt;&gt;"",IF(VLOOKUP($A75,貼り付け用!$A$1:$BA$300,COLUMN(),FALSE)=0,"",VLOOKUP($A75,貼り付け用!$A$1:$BA$300,COLUMN(),FALSE)),"")</f>
        <v>#N/A</v>
      </c>
      <c r="K75" s="3" t="e">
        <f>IF($A75&lt;&gt;"",IF(VLOOKUP($A75,貼り付け用!$A$1:$BA$300,COLUMN(),FALSE)=0,"",VLOOKUP($A75,貼り付け用!$A$1:$BA$300,COLUMN(),FALSE)),"")</f>
        <v>#N/A</v>
      </c>
      <c r="L75" s="3" t="e">
        <f>IF($A75&lt;&gt;"",
IF(COLUMN(貼り付け用!L75)&gt;MATCH("おやつ",貼り付け用!$3:$3,0),"",
IF(VLOOKUP($A75,貼り付け用!$A$1:$BA$300,COLUMN(),FALSE)=0,"",VLOOKUP($A75,貼り付け用!$A$1:$BA$300,COLUMN(),FALSE))),"")</f>
        <v>#N/A</v>
      </c>
      <c r="M75" s="3" t="e">
        <f>IF($A75&lt;&gt;"",
IF(COLUMN(貼り付け用!M75)&gt;MATCH("おやつ",貼り付け用!$3:$3,0),"",
IF(VLOOKUP($A75,貼り付け用!$A$1:$BA$300,COLUMN(),FALSE)=0,"",VLOOKUP($A75,貼り付け用!$A$1:$BA$300,COLUMN(),FALSE))),"")</f>
        <v>#N/A</v>
      </c>
      <c r="N75" s="3" t="e">
        <f>IF($A75&lt;&gt;"",
IF(COLUMN(貼り付け用!N75)&gt;MATCH("おやつ",貼り付け用!$3:$3,0),"",
IF(VLOOKUP($A75,貼り付け用!$A$1:$BA$300,COLUMN(),FALSE)=0,"",VLOOKUP($A75,貼り付け用!$A$1:$BA$300,COLUMN(),FALSE))),"")</f>
        <v>#N/A</v>
      </c>
      <c r="O75" s="3" t="e">
        <f>IF($A75&lt;&gt;"",
IF(COLUMN(貼り付け用!O75)&gt;MATCH("おやつ",貼り付け用!$3:$3,0),"",
IF(VLOOKUP($A75,貼り付け用!$A$1:$BA$300,COLUMN(),FALSE)=0,"",VLOOKUP($A75,貼り付け用!$A$1:$BA$300,COLUMN(),FALSE))),"")</f>
        <v>#N/A</v>
      </c>
      <c r="P75" s="3" t="e">
        <f>IF($A75&lt;&gt;"",
IF(COLUMN(貼り付け用!P75)&gt;MATCH("おやつ",貼り付け用!$3:$3,0),"",
IF(VLOOKUP($A75,貼り付け用!$A$1:$BA$300,COLUMN(),FALSE)=0,"",VLOOKUP($A75,貼り付け用!$A$1:$BA$300,COLUMN(),FALSE))),"")</f>
        <v>#N/A</v>
      </c>
      <c r="Q75" s="3" t="e">
        <f>IF($A75&lt;&gt;"",
IF(COLUMN(貼り付け用!Q75)&gt;MATCH("おやつ",貼り付け用!$3:$3,0),"",
IF(VLOOKUP($A75,貼り付け用!$A$1:$BA$300,COLUMN(),FALSE)=0,"",VLOOKUP($A75,貼り付け用!$A$1:$BA$300,COLUMN(),FALSE))),"")</f>
        <v>#N/A</v>
      </c>
      <c r="R75" s="3" t="e">
        <f>IF($A75&lt;&gt;"",
IF(COLUMN(貼り付け用!R75)&gt;MATCH("おやつ",貼り付け用!$3:$3,0),"",
IF(VLOOKUP($A75,貼り付け用!$A$1:$BA$300,COLUMN(),FALSE)=0,"",VLOOKUP($A75,貼り付け用!$A$1:$BA$300,COLUMN(),FALSE))),"")</f>
        <v>#N/A</v>
      </c>
      <c r="S75" s="3" t="e">
        <f>IF($A75&lt;&gt;"",
IF(COLUMN(貼り付け用!S75)&gt;MATCH("おやつ",貼り付け用!$3:$3,0),"",
IF(VLOOKUP($A75,貼り付け用!$A$1:$BA$300,COLUMN(),FALSE)=0,"",VLOOKUP($A75,貼り付け用!$A$1:$BA$300,COLUMN(),FALSE))),"")</f>
        <v>#N/A</v>
      </c>
      <c r="T75" s="3" t="e">
        <f>IF(COLUMN(貼り付け用!T75)&gt;MATCH("おやつ",貼り付け用!$3:$3,0),"",
IF(VLOOKUP($A75,貼り付け用!$A$1:$BA$300,COLUMN(),FALSE)=0,"",VLOOKUP($A75,貼り付け用!$A$1:$BA$300,COLUMN(),FALSE)))</f>
        <v>#N/A</v>
      </c>
      <c r="U75" s="21"/>
      <c r="V75" s="55" t="e">
        <f>IF(A75&lt;&gt;"",
IF(VLOOKUP($A75,貼り付け用!$A$1:$BA$300,MATCH("おやつ",貼り付け用!$3:$3,0)+1,FALSE)=0,"",VLOOKUP($A75,貼り付け用!$A$1:$BA$300,MATCH("おやつ",貼り付け用!$3:$3,0)+1,FALSE)),"")</f>
        <v>#N/A</v>
      </c>
      <c r="W75" s="14" t="e">
        <f>IF(A75&lt;&gt;"",
IF(VLOOKUP($A75,貼り付け用!$A$1:$BA$300,MATCH("おやつ",貼り付け用!$3:$3,0)+2,FALSE)=0,"",VLOOKUP($A75,貼り付け用!$A$1:$BA$300,MATCH("おやつ",貼り付け用!$3:$3,0)+2,FALSE)),"")</f>
        <v>#N/A</v>
      </c>
    </row>
    <row r="76" spans="1:23">
      <c r="A76" s="4" t="e">
        <f>IF(貼り付け用!$A$6&lt;&gt;"",
IF(ROW(A75)+1&gt;=MATCH("*10000*", 貼り付け用!$A:$A, 0),
IF(COUNTIF(A74,"*10000*"),"10001",
IF(COUNTIF(A74,"*10001*"),"10002",
IF(COUNTIF(A74,"*10002*"),"",
IF(COUNTIF(A74,""),"","10000")))),
IF(貼り付け用!A76&lt;&gt;"",貼り付け用!A76,"")),
IF(ROW(A76)+1&gt;=MATCH("*10000*", 貼り付け用!$A:$A, 0),
IF(COUNTIF(A74,"*10000*"),"10001",
IF(COUNTIF(A74,"*10001*"),"10002",
IF(COUNTIF(A74,"*10002*"),"",
IF(COUNTIF(A74,""),"","10000")))),
IF(貼り付け用!A77&lt;&gt;"",貼り付け用!A77,"")))</f>
        <v>#N/A</v>
      </c>
      <c r="B76" s="14" t="e">
        <f>IF($A76&lt;&gt;"",IF(VLOOKUP($A76,貼り付け用!$A$1:$BA$300,COLUMN(),FALSE)=0,"",VLOOKUP($A76,貼り付け用!$A$1:$BA$300,COLUMN(),FALSE)),"")</f>
        <v>#N/A</v>
      </c>
      <c r="C76" s="14" t="e">
        <f>IF($A76&lt;&gt;"",IF(VLOOKUP($A76,貼り付け用!$A$1:$BA$300,COLUMN(),FALSE)=0,"",VLOOKUP($A76,貼り付け用!$A$1:$BA$300,COLUMN(),FALSE)),"")</f>
        <v>#N/A</v>
      </c>
      <c r="D76" s="14" t="e">
        <f>IF($A76&lt;&gt;"",IF(VLOOKUP($A76,貼り付け用!$A$1:$BA$300,COLUMN(),FALSE)=0,"",VLOOKUP($A76,貼り付け用!$A$1:$BA$300,COLUMN(),FALSE)),"")</f>
        <v>#N/A</v>
      </c>
      <c r="E76" s="14" t="e">
        <f>IF($A76&lt;&gt;"",IF(VLOOKUP($A76,貼り付け用!$A$1:$BA$300,COLUMN(),FALSE)=0,"",VLOOKUP($A76,貼り付け用!$A$1:$BA$300,COLUMN(),FALSE)),"")</f>
        <v>#N/A</v>
      </c>
      <c r="F76" s="14" t="e">
        <f>IF($A76&lt;&gt;"",IF(VLOOKUP($A76,貼り付け用!$A$1:$BA$300,COLUMN(),FALSE)=0,"",VLOOKUP($A76,貼り付け用!$A$1:$BA$300,COLUMN(),FALSE)),"")</f>
        <v>#N/A</v>
      </c>
      <c r="G76" s="14" t="e">
        <f>IF($A76&lt;&gt;"",IF(VLOOKUP($A76,貼り付け用!$A$1:$BA$300,COLUMN(),FALSE)=0,"",VLOOKUP($A76,貼り付け用!$A$1:$BA$300,COLUMN(),FALSE)),"")</f>
        <v>#N/A</v>
      </c>
      <c r="H76" s="14" t="e">
        <f>IF($A76&lt;&gt;"",IF(VLOOKUP($A76,貼り付け用!$A$1:$BA$300,COLUMN(),FALSE)=0,"",VLOOKUP($A76,貼り付け用!$A$1:$BA$300,COLUMN(),FALSE)),"")</f>
        <v>#N/A</v>
      </c>
      <c r="I76" s="14" t="e">
        <f>IF($A76&lt;&gt;"",IF(VLOOKUP($A76,貼り付け用!$A$1:$BA$300,COLUMN(),FALSE)=0,"",VLOOKUP($A76,貼り付け用!$A$1:$BA$300,COLUMN(),FALSE)),"")</f>
        <v>#N/A</v>
      </c>
      <c r="J76" s="14" t="e">
        <f>IF($A76&lt;&gt;"",IF(VLOOKUP($A76,貼り付け用!$A$1:$BA$300,COLUMN(),FALSE)=0,"",VLOOKUP($A76,貼り付け用!$A$1:$BA$300,COLUMN(),FALSE)),"")</f>
        <v>#N/A</v>
      </c>
      <c r="K76" s="14" t="e">
        <f>IF($A76&lt;&gt;"",IF(VLOOKUP($A76,貼り付け用!$A$1:$BA$300,COLUMN(),FALSE)=0,"",VLOOKUP($A76,貼り付け用!$A$1:$BA$300,COLUMN(),FALSE)),"")</f>
        <v>#N/A</v>
      </c>
      <c r="L76" s="14" t="e">
        <f>IF($A76&lt;&gt;"",
IF(COLUMN(貼り付け用!L76)&gt;MATCH("おやつ",貼り付け用!$3:$3,0),"",
IF(VLOOKUP($A76,貼り付け用!$A$1:$BA$300,COLUMN(),FALSE)=0,"",VLOOKUP($A76,貼り付け用!$A$1:$BA$300,COLUMN(),FALSE))),"")</f>
        <v>#N/A</v>
      </c>
      <c r="M76" s="14" t="e">
        <f>IF($A76&lt;&gt;"",
IF(COLUMN(貼り付け用!M76)&gt;MATCH("おやつ",貼り付け用!$3:$3,0),"",
IF(VLOOKUP($A76,貼り付け用!$A$1:$BA$300,COLUMN(),FALSE)=0,"",VLOOKUP($A76,貼り付け用!$A$1:$BA$300,COLUMN(),FALSE))),"")</f>
        <v>#N/A</v>
      </c>
      <c r="N76" s="14" t="e">
        <f>IF($A76&lt;&gt;"",
IF(COLUMN(貼り付け用!N76)&gt;MATCH("おやつ",貼り付け用!$3:$3,0),"",
IF(VLOOKUP($A76,貼り付け用!$A$1:$BA$300,COLUMN(),FALSE)=0,"",VLOOKUP($A76,貼り付け用!$A$1:$BA$300,COLUMN(),FALSE))),"")</f>
        <v>#N/A</v>
      </c>
      <c r="O76" s="14" t="e">
        <f>IF($A76&lt;&gt;"",
IF(COLUMN(貼り付け用!O76)&gt;MATCH("おやつ",貼り付け用!$3:$3,0),"",
IF(VLOOKUP($A76,貼り付け用!$A$1:$BA$300,COLUMN(),FALSE)=0,"",VLOOKUP($A76,貼り付け用!$A$1:$BA$300,COLUMN(),FALSE))),"")</f>
        <v>#N/A</v>
      </c>
      <c r="P76" s="14" t="e">
        <f>IF($A76&lt;&gt;"",
IF(COLUMN(貼り付け用!P76)&gt;MATCH("おやつ",貼り付け用!$3:$3,0),"",
IF(VLOOKUP($A76,貼り付け用!$A$1:$BA$300,COLUMN(),FALSE)=0,"",VLOOKUP($A76,貼り付け用!$A$1:$BA$300,COLUMN(),FALSE))),"")</f>
        <v>#N/A</v>
      </c>
      <c r="Q76" s="14" t="e">
        <f>IF($A76&lt;&gt;"",
IF(COLUMN(貼り付け用!Q76)&gt;MATCH("おやつ",貼り付け用!$3:$3,0),"",
IF(VLOOKUP($A76,貼り付け用!$A$1:$BA$300,COLUMN(),FALSE)=0,"",VLOOKUP($A76,貼り付け用!$A$1:$BA$300,COLUMN(),FALSE))),"")</f>
        <v>#N/A</v>
      </c>
      <c r="R76" s="14" t="e">
        <f>IF($A76&lt;&gt;"",
IF(COLUMN(貼り付け用!R76)&gt;MATCH("おやつ",貼り付け用!$3:$3,0),"",
IF(VLOOKUP($A76,貼り付け用!$A$1:$BA$300,COLUMN(),FALSE)=0,"",VLOOKUP($A76,貼り付け用!$A$1:$BA$300,COLUMN(),FALSE))),"")</f>
        <v>#N/A</v>
      </c>
      <c r="S76" s="14" t="e">
        <f>IF($A76&lt;&gt;"",
IF(COLUMN(貼り付け用!S76)&gt;MATCH("おやつ",貼り付け用!$3:$3,0),"",
IF(VLOOKUP($A76,貼り付け用!$A$1:$BA$300,COLUMN(),FALSE)=0,"",VLOOKUP($A76,貼り付け用!$A$1:$BA$300,COLUMN(),FALSE))),"")</f>
        <v>#N/A</v>
      </c>
      <c r="T76" s="14" t="e">
        <f>IF(COLUMN(貼り付け用!T76)&gt;MATCH("おやつ",貼り付け用!$3:$3,0),"",
IF(VLOOKUP($A76,貼り付け用!$A$1:$BA$300,COLUMN(),FALSE)=0,"",VLOOKUP($A76,貼り付け用!$A$1:$BA$300,COLUMN(),FALSE)))</f>
        <v>#N/A</v>
      </c>
      <c r="U76" s="11"/>
      <c r="V76" s="55" t="e">
        <f>IF(A76&lt;&gt;"",
IF(VLOOKUP($A76,貼り付け用!$A$1:$BA$300,MATCH("おやつ",貼り付け用!$3:$3,0)+1,FALSE)=0,"",VLOOKUP($A76,貼り付け用!$A$1:$BA$300,MATCH("おやつ",貼り付け用!$3:$3,0)+1,FALSE)),"")</f>
        <v>#N/A</v>
      </c>
      <c r="W76" s="14" t="e">
        <f>IF(A76&lt;&gt;"",
IF(VLOOKUP($A76,貼り付け用!$A$1:$BA$300,MATCH("おやつ",貼り付け用!$3:$3,0)+2,FALSE)=0,"",VLOOKUP($A76,貼り付け用!$A$1:$BA$300,MATCH("おやつ",貼り付け用!$3:$3,0)+2,FALSE)),"")</f>
        <v>#N/A</v>
      </c>
    </row>
    <row r="77" spans="1:23">
      <c r="A77" s="8" t="e">
        <f>IF(貼り付け用!$A$6&lt;&gt;"",
IF(ROW(A76)+1&gt;=MATCH("*10000*", 貼り付け用!$A:$A, 0),"",
IF(貼り付け用!A77&lt;&gt;"",貼り付け用!A77,"")),
IF(ROW(A77)+1&gt;=MATCH("*10000*", 貼り付け用!$A:$A, 0),"",
IF(貼り付け用!A78&lt;&gt;"",貼り付け用!A78,"")))</f>
        <v>#N/A</v>
      </c>
      <c r="B77" s="3" t="e">
        <f>IF($A77&lt;&gt;"",IF(VLOOKUP($A77,貼り付け用!$A$1:$BA$300,COLUMN(),FALSE)=0,"",VLOOKUP($A77,貼り付け用!$A$1:$BA$300,COLUMN(),FALSE)),"")</f>
        <v>#N/A</v>
      </c>
      <c r="C77" s="3" t="e">
        <f>IF($A77&lt;&gt;"",IF(VLOOKUP($A77,貼り付け用!$A$1:$BA$300,COLUMN(),FALSE)=0,"",VLOOKUP($A77,貼り付け用!$A$1:$BA$300,COLUMN(),FALSE)),"")</f>
        <v>#N/A</v>
      </c>
      <c r="D77" s="3" t="e">
        <f>IF($A77&lt;&gt;"",IF(VLOOKUP($A77,貼り付け用!$A$1:$BA$300,COLUMN(),FALSE)=0,"",VLOOKUP($A77,貼り付け用!$A$1:$BA$300,COLUMN(),FALSE)),"")</f>
        <v>#N/A</v>
      </c>
      <c r="E77" s="3" t="e">
        <f>IF($A77&lt;&gt;"",IF(VLOOKUP($A77,貼り付け用!$A$1:$BA$300,COLUMN(),FALSE)=0,"",VLOOKUP($A77,貼り付け用!$A$1:$BA$300,COLUMN(),FALSE)),"")</f>
        <v>#N/A</v>
      </c>
      <c r="F77" s="3" t="e">
        <f>IF($A77&lt;&gt;"",IF(VLOOKUP($A77,貼り付け用!$A$1:$BA$300,COLUMN(),FALSE)=0,"",VLOOKUP($A77,貼り付け用!$A$1:$BA$300,COLUMN(),FALSE)),"")</f>
        <v>#N/A</v>
      </c>
      <c r="G77" s="3" t="e">
        <f>IF($A77&lt;&gt;"",IF(VLOOKUP($A77,貼り付け用!$A$1:$BA$300,COLUMN(),FALSE)=0,"",VLOOKUP($A77,貼り付け用!$A$1:$BA$300,COLUMN(),FALSE)),"")</f>
        <v>#N/A</v>
      </c>
      <c r="H77" s="3" t="e">
        <f>IF($A77&lt;&gt;"",IF(VLOOKUP($A77,貼り付け用!$A$1:$BA$300,COLUMN(),FALSE)=0,"",VLOOKUP($A77,貼り付け用!$A$1:$BA$300,COLUMN(),FALSE)),"")</f>
        <v>#N/A</v>
      </c>
      <c r="I77" s="3" t="e">
        <f>IF($A77&lt;&gt;"",IF(VLOOKUP($A77,貼り付け用!$A$1:$BA$300,COLUMN(),FALSE)=0,"",VLOOKUP($A77,貼り付け用!$A$1:$BA$300,COLUMN(),FALSE)),"")</f>
        <v>#N/A</v>
      </c>
      <c r="J77" s="3" t="e">
        <f>IF($A77&lt;&gt;"",IF(VLOOKUP($A77,貼り付け用!$A$1:$BA$300,COLUMN(),FALSE)=0,"",VLOOKUP($A77,貼り付け用!$A$1:$BA$300,COLUMN(),FALSE)),"")</f>
        <v>#N/A</v>
      </c>
      <c r="K77" s="3" t="e">
        <f>IF($A77&lt;&gt;"",IF(VLOOKUP($A77,貼り付け用!$A$1:$BA$300,COLUMN(),FALSE)=0,"",VLOOKUP($A77,貼り付け用!$A$1:$BA$300,COLUMN(),FALSE)),"")</f>
        <v>#N/A</v>
      </c>
      <c r="L77" s="3" t="e">
        <f>IF($A77&lt;&gt;"",
IF(COLUMN(貼り付け用!L77)&gt;MATCH("おやつ",貼り付け用!$3:$3,0),"",
IF(VLOOKUP($A77,貼り付け用!$A$1:$BA$300,COLUMN(),FALSE)=0,"",VLOOKUP($A77,貼り付け用!$A$1:$BA$300,COLUMN(),FALSE))),"")</f>
        <v>#N/A</v>
      </c>
      <c r="M77" s="3" t="e">
        <f>IF($A77&lt;&gt;"",
IF(COLUMN(貼り付け用!M77)&gt;MATCH("おやつ",貼り付け用!$3:$3,0),"",
IF(VLOOKUP($A77,貼り付け用!$A$1:$BA$300,COLUMN(),FALSE)=0,"",VLOOKUP($A77,貼り付け用!$A$1:$BA$300,COLUMN(),FALSE))),"")</f>
        <v>#N/A</v>
      </c>
      <c r="N77" s="3" t="e">
        <f>IF($A77&lt;&gt;"",
IF(COLUMN(貼り付け用!N77)&gt;MATCH("おやつ",貼り付け用!$3:$3,0),"",
IF(VLOOKUP($A77,貼り付け用!$A$1:$BA$300,COLUMN(),FALSE)=0,"",VLOOKUP($A77,貼り付け用!$A$1:$BA$300,COLUMN(),FALSE))),"")</f>
        <v>#N/A</v>
      </c>
      <c r="O77" s="3" t="e">
        <f>IF($A77&lt;&gt;"",
IF(COLUMN(貼り付け用!O77)&gt;MATCH("おやつ",貼り付け用!$3:$3,0),"",
IF(VLOOKUP($A77,貼り付け用!$A$1:$BA$300,COLUMN(),FALSE)=0,"",VLOOKUP($A77,貼り付け用!$A$1:$BA$300,COLUMN(),FALSE))),"")</f>
        <v>#N/A</v>
      </c>
      <c r="P77" s="3" t="e">
        <f>IF($A77&lt;&gt;"",
IF(COLUMN(貼り付け用!P77)&gt;MATCH("おやつ",貼り付け用!$3:$3,0),"",
IF(VLOOKUP($A77,貼り付け用!$A$1:$BA$300,COLUMN(),FALSE)=0,"",VLOOKUP($A77,貼り付け用!$A$1:$BA$300,COLUMN(),FALSE))),"")</f>
        <v>#N/A</v>
      </c>
      <c r="Q77" s="3" t="e">
        <f>IF($A77&lt;&gt;"",
IF(COLUMN(貼り付け用!Q77)&gt;MATCH("おやつ",貼り付け用!$3:$3,0),"",
IF(VLOOKUP($A77,貼り付け用!$A$1:$BA$300,COLUMN(),FALSE)=0,"",VLOOKUP($A77,貼り付け用!$A$1:$BA$300,COLUMN(),FALSE))),"")</f>
        <v>#N/A</v>
      </c>
      <c r="R77" s="3" t="e">
        <f>IF($A77&lt;&gt;"",
IF(COLUMN(貼り付け用!R77)&gt;MATCH("おやつ",貼り付け用!$3:$3,0),"",
IF(VLOOKUP($A77,貼り付け用!$A$1:$BA$300,COLUMN(),FALSE)=0,"",VLOOKUP($A77,貼り付け用!$A$1:$BA$300,COLUMN(),FALSE))),"")</f>
        <v>#N/A</v>
      </c>
      <c r="S77" s="3" t="e">
        <f>IF($A77&lt;&gt;"",
IF(COLUMN(貼り付け用!S77)&gt;MATCH("おやつ",貼り付け用!$3:$3,0),"",
IF(VLOOKUP($A77,貼り付け用!$A$1:$BA$300,COLUMN(),FALSE)=0,"",VLOOKUP($A77,貼り付け用!$A$1:$BA$300,COLUMN(),FALSE))),"")</f>
        <v>#N/A</v>
      </c>
      <c r="T77" s="3" t="e">
        <f>IF(COLUMN(貼り付け用!T77)&gt;MATCH("おやつ",貼り付け用!$3:$3,0),"",
IF(VLOOKUP($A77,貼り付け用!$A$1:$BA$300,COLUMN(),FALSE)=0,"",VLOOKUP($A77,貼り付け用!$A$1:$BA$300,COLUMN(),FALSE)))</f>
        <v>#N/A</v>
      </c>
      <c r="U77" s="21"/>
      <c r="V77" s="55" t="e">
        <f>IF(A77&lt;&gt;"",
IF(VLOOKUP($A77,貼り付け用!$A$1:$BA$300,MATCH("おやつ",貼り付け用!$3:$3,0)+1,FALSE)=0,"",VLOOKUP($A77,貼り付け用!$A$1:$BA$300,MATCH("おやつ",貼り付け用!$3:$3,0)+1,FALSE)),"")</f>
        <v>#N/A</v>
      </c>
      <c r="W77" s="14" t="e">
        <f>IF(A77&lt;&gt;"",
IF(VLOOKUP($A77,貼り付け用!$A$1:$BA$300,MATCH("おやつ",貼り付け用!$3:$3,0)+2,FALSE)=0,"",VLOOKUP($A77,貼り付け用!$A$1:$BA$300,MATCH("おやつ",貼り付け用!$3:$3,0)+2,FALSE)),"")</f>
        <v>#N/A</v>
      </c>
    </row>
    <row r="78" spans="1:23">
      <c r="A78" s="4" t="e">
        <f>IF(貼り付け用!$A$6&lt;&gt;"",
IF(ROW(A77)+1&gt;=MATCH("*10000*", 貼り付け用!$A:$A, 0),
IF(COUNTIF(A76,"*10000*"),"10001",
IF(COUNTIF(A76,"*10001*"),"10002",
IF(COUNTIF(A76,"*10002*"),"",
IF(COUNTIF(A76,""),"","10000")))),
IF(貼り付け用!A78&lt;&gt;"",貼り付け用!A78,"")),
IF(ROW(A78)+1&gt;=MATCH("*10000*", 貼り付け用!$A:$A, 0),
IF(COUNTIF(A76,"*10000*"),"10001",
IF(COUNTIF(A76,"*10001*"),"10002",
IF(COUNTIF(A76,"*10002*"),"",
IF(COUNTIF(A76,""),"","10000")))),
IF(貼り付け用!A79&lt;&gt;"",貼り付け用!A79,"")))</f>
        <v>#N/A</v>
      </c>
      <c r="B78" s="14" t="e">
        <f>IF($A78&lt;&gt;"",IF(VLOOKUP($A78,貼り付け用!$A$1:$BA$300,COLUMN(),FALSE)=0,"",VLOOKUP($A78,貼り付け用!$A$1:$BA$300,COLUMN(),FALSE)),"")</f>
        <v>#N/A</v>
      </c>
      <c r="C78" s="14" t="e">
        <f>IF($A78&lt;&gt;"",IF(VLOOKUP($A78,貼り付け用!$A$1:$BA$300,COLUMN(),FALSE)=0,"",VLOOKUP($A78,貼り付け用!$A$1:$BA$300,COLUMN(),FALSE)),"")</f>
        <v>#N/A</v>
      </c>
      <c r="D78" s="14" t="e">
        <f>IF($A78&lt;&gt;"",IF(VLOOKUP($A78,貼り付け用!$A$1:$BA$300,COLUMN(),FALSE)=0,"",VLOOKUP($A78,貼り付け用!$A$1:$BA$300,COLUMN(),FALSE)),"")</f>
        <v>#N/A</v>
      </c>
      <c r="E78" s="14" t="e">
        <f>IF($A78&lt;&gt;"",IF(VLOOKUP($A78,貼り付け用!$A$1:$BA$300,COLUMN(),FALSE)=0,"",VLOOKUP($A78,貼り付け用!$A$1:$BA$300,COLUMN(),FALSE)),"")</f>
        <v>#N/A</v>
      </c>
      <c r="F78" s="14" t="e">
        <f>IF($A78&lt;&gt;"",IF(VLOOKUP($A78,貼り付け用!$A$1:$BA$300,COLUMN(),FALSE)=0,"",VLOOKUP($A78,貼り付け用!$A$1:$BA$300,COLUMN(),FALSE)),"")</f>
        <v>#N/A</v>
      </c>
      <c r="G78" s="14" t="e">
        <f>IF($A78&lt;&gt;"",IF(VLOOKUP($A78,貼り付け用!$A$1:$BA$300,COLUMN(),FALSE)=0,"",VLOOKUP($A78,貼り付け用!$A$1:$BA$300,COLUMN(),FALSE)),"")</f>
        <v>#N/A</v>
      </c>
      <c r="H78" s="14" t="e">
        <f>IF($A78&lt;&gt;"",IF(VLOOKUP($A78,貼り付け用!$A$1:$BA$300,COLUMN(),FALSE)=0,"",VLOOKUP($A78,貼り付け用!$A$1:$BA$300,COLUMN(),FALSE)),"")</f>
        <v>#N/A</v>
      </c>
      <c r="I78" s="14" t="e">
        <f>IF($A78&lt;&gt;"",IF(VLOOKUP($A78,貼り付け用!$A$1:$BA$300,COLUMN(),FALSE)=0,"",VLOOKUP($A78,貼り付け用!$A$1:$BA$300,COLUMN(),FALSE)),"")</f>
        <v>#N/A</v>
      </c>
      <c r="J78" s="14" t="e">
        <f>IF($A78&lt;&gt;"",IF(VLOOKUP($A78,貼り付け用!$A$1:$BA$300,COLUMN(),FALSE)=0,"",VLOOKUP($A78,貼り付け用!$A$1:$BA$300,COLUMN(),FALSE)),"")</f>
        <v>#N/A</v>
      </c>
      <c r="K78" s="14" t="e">
        <f>IF($A78&lt;&gt;"",IF(VLOOKUP($A78,貼り付け用!$A$1:$BA$300,COLUMN(),FALSE)=0,"",VLOOKUP($A78,貼り付け用!$A$1:$BA$300,COLUMN(),FALSE)),"")</f>
        <v>#N/A</v>
      </c>
      <c r="L78" s="14" t="e">
        <f>IF($A78&lt;&gt;"",
IF(COLUMN(貼り付け用!L78)&gt;MATCH("おやつ",貼り付け用!$3:$3,0),"",
IF(VLOOKUP($A78,貼り付け用!$A$1:$BA$300,COLUMN(),FALSE)=0,"",VLOOKUP($A78,貼り付け用!$A$1:$BA$300,COLUMN(),FALSE))),"")</f>
        <v>#N/A</v>
      </c>
      <c r="M78" s="14" t="e">
        <f>IF($A78&lt;&gt;"",
IF(COLUMN(貼り付け用!M78)&gt;MATCH("おやつ",貼り付け用!$3:$3,0),"",
IF(VLOOKUP($A78,貼り付け用!$A$1:$BA$300,COLUMN(),FALSE)=0,"",VLOOKUP($A78,貼り付け用!$A$1:$BA$300,COLUMN(),FALSE))),"")</f>
        <v>#N/A</v>
      </c>
      <c r="N78" s="14" t="e">
        <f>IF($A78&lt;&gt;"",
IF(COLUMN(貼り付け用!N78)&gt;MATCH("おやつ",貼り付け用!$3:$3,0),"",
IF(VLOOKUP($A78,貼り付け用!$A$1:$BA$300,COLUMN(),FALSE)=0,"",VLOOKUP($A78,貼り付け用!$A$1:$BA$300,COLUMN(),FALSE))),"")</f>
        <v>#N/A</v>
      </c>
      <c r="O78" s="14" t="e">
        <f>IF($A78&lt;&gt;"",
IF(COLUMN(貼り付け用!O78)&gt;MATCH("おやつ",貼り付け用!$3:$3,0),"",
IF(VLOOKUP($A78,貼り付け用!$A$1:$BA$300,COLUMN(),FALSE)=0,"",VLOOKUP($A78,貼り付け用!$A$1:$BA$300,COLUMN(),FALSE))),"")</f>
        <v>#N/A</v>
      </c>
      <c r="P78" s="14" t="e">
        <f>IF($A78&lt;&gt;"",
IF(COLUMN(貼り付け用!P78)&gt;MATCH("おやつ",貼り付け用!$3:$3,0),"",
IF(VLOOKUP($A78,貼り付け用!$A$1:$BA$300,COLUMN(),FALSE)=0,"",VLOOKUP($A78,貼り付け用!$A$1:$BA$300,COLUMN(),FALSE))),"")</f>
        <v>#N/A</v>
      </c>
      <c r="Q78" s="14" t="e">
        <f>IF($A78&lt;&gt;"",
IF(COLUMN(貼り付け用!Q78)&gt;MATCH("おやつ",貼り付け用!$3:$3,0),"",
IF(VLOOKUP($A78,貼り付け用!$A$1:$BA$300,COLUMN(),FALSE)=0,"",VLOOKUP($A78,貼り付け用!$A$1:$BA$300,COLUMN(),FALSE))),"")</f>
        <v>#N/A</v>
      </c>
      <c r="R78" s="14" t="e">
        <f>IF($A78&lt;&gt;"",
IF(COLUMN(貼り付け用!R78)&gt;MATCH("おやつ",貼り付け用!$3:$3,0),"",
IF(VLOOKUP($A78,貼り付け用!$A$1:$BA$300,COLUMN(),FALSE)=0,"",VLOOKUP($A78,貼り付け用!$A$1:$BA$300,COLUMN(),FALSE))),"")</f>
        <v>#N/A</v>
      </c>
      <c r="S78" s="14" t="e">
        <f>IF($A78&lt;&gt;"",
IF(COLUMN(貼り付け用!S78)&gt;MATCH("おやつ",貼り付け用!$3:$3,0),"",
IF(VLOOKUP($A78,貼り付け用!$A$1:$BA$300,COLUMN(),FALSE)=0,"",VLOOKUP($A78,貼り付け用!$A$1:$BA$300,COLUMN(),FALSE))),"")</f>
        <v>#N/A</v>
      </c>
      <c r="T78" s="14" t="e">
        <f>IF(COLUMN(貼り付け用!T78)&gt;MATCH("おやつ",貼り付け用!$3:$3,0),"",
IF(VLOOKUP($A78,貼り付け用!$A$1:$BA$300,COLUMN(),FALSE)=0,"",VLOOKUP($A78,貼り付け用!$A$1:$BA$300,COLUMN(),FALSE)))</f>
        <v>#N/A</v>
      </c>
      <c r="U78" s="11"/>
      <c r="V78" s="55" t="e">
        <f>IF(A78&lt;&gt;"",
IF(VLOOKUP($A78,貼り付け用!$A$1:$BA$300,MATCH("おやつ",貼り付け用!$3:$3,0)+1,FALSE)=0,"",VLOOKUP($A78,貼り付け用!$A$1:$BA$300,MATCH("おやつ",貼り付け用!$3:$3,0)+1,FALSE)),"")</f>
        <v>#N/A</v>
      </c>
      <c r="W78" s="14" t="e">
        <f>IF(A78&lt;&gt;"",
IF(VLOOKUP($A78,貼り付け用!$A$1:$BA$300,MATCH("おやつ",貼り付け用!$3:$3,0)+2,FALSE)=0,"",VLOOKUP($A78,貼り付け用!$A$1:$BA$300,MATCH("おやつ",貼り付け用!$3:$3,0)+2,FALSE)),"")</f>
        <v>#N/A</v>
      </c>
    </row>
    <row r="79" spans="1:23">
      <c r="A79" s="8" t="e">
        <f>IF(貼り付け用!$A$6&lt;&gt;"",
IF(ROW(A78)+1&gt;=MATCH("*10000*", 貼り付け用!$A:$A, 0),"",
IF(貼り付け用!A79&lt;&gt;"",貼り付け用!A79,"")),
IF(ROW(A79)+1&gt;=MATCH("*10000*", 貼り付け用!$A:$A, 0),"",
IF(貼り付け用!A80&lt;&gt;"",貼り付け用!A80,"")))</f>
        <v>#N/A</v>
      </c>
      <c r="B79" s="3" t="e">
        <f>IF($A79&lt;&gt;"",IF(VLOOKUP($A79,貼り付け用!$A$1:$BA$300,COLUMN(),FALSE)=0,"",VLOOKUP($A79,貼り付け用!$A$1:$BA$300,COLUMN(),FALSE)),"")</f>
        <v>#N/A</v>
      </c>
      <c r="C79" s="3" t="e">
        <f>IF($A79&lt;&gt;"",IF(VLOOKUP($A79,貼り付け用!$A$1:$BA$300,COLUMN(),FALSE)=0,"",VLOOKUP($A79,貼り付け用!$A$1:$BA$300,COLUMN(),FALSE)),"")</f>
        <v>#N/A</v>
      </c>
      <c r="D79" s="3" t="e">
        <f>IF($A79&lt;&gt;"",IF(VLOOKUP($A79,貼り付け用!$A$1:$BA$300,COLUMN(),FALSE)=0,"",VLOOKUP($A79,貼り付け用!$A$1:$BA$300,COLUMN(),FALSE)),"")</f>
        <v>#N/A</v>
      </c>
      <c r="E79" s="3" t="e">
        <f>IF($A79&lt;&gt;"",IF(VLOOKUP($A79,貼り付け用!$A$1:$BA$300,COLUMN(),FALSE)=0,"",VLOOKUP($A79,貼り付け用!$A$1:$BA$300,COLUMN(),FALSE)),"")</f>
        <v>#N/A</v>
      </c>
      <c r="F79" s="3" t="e">
        <f>IF($A79&lt;&gt;"",IF(VLOOKUP($A79,貼り付け用!$A$1:$BA$300,COLUMN(),FALSE)=0,"",VLOOKUP($A79,貼り付け用!$A$1:$BA$300,COLUMN(),FALSE)),"")</f>
        <v>#N/A</v>
      </c>
      <c r="G79" s="3" t="e">
        <f>IF($A79&lt;&gt;"",IF(VLOOKUP($A79,貼り付け用!$A$1:$BA$300,COLUMN(),FALSE)=0,"",VLOOKUP($A79,貼り付け用!$A$1:$BA$300,COLUMN(),FALSE)),"")</f>
        <v>#N/A</v>
      </c>
      <c r="H79" s="3" t="e">
        <f>IF($A79&lt;&gt;"",IF(VLOOKUP($A79,貼り付け用!$A$1:$BA$300,COLUMN(),FALSE)=0,"",VLOOKUP($A79,貼り付け用!$A$1:$BA$300,COLUMN(),FALSE)),"")</f>
        <v>#N/A</v>
      </c>
      <c r="I79" s="3" t="e">
        <f>IF($A79&lt;&gt;"",IF(VLOOKUP($A79,貼り付け用!$A$1:$BA$300,COLUMN(),FALSE)=0,"",VLOOKUP($A79,貼り付け用!$A$1:$BA$300,COLUMN(),FALSE)),"")</f>
        <v>#N/A</v>
      </c>
      <c r="J79" s="3" t="e">
        <f>IF($A79&lt;&gt;"",IF(VLOOKUP($A79,貼り付け用!$A$1:$BA$300,COLUMN(),FALSE)=0,"",VLOOKUP($A79,貼り付け用!$A$1:$BA$300,COLUMN(),FALSE)),"")</f>
        <v>#N/A</v>
      </c>
      <c r="K79" s="3" t="e">
        <f>IF($A79&lt;&gt;"",IF(VLOOKUP($A79,貼り付け用!$A$1:$BA$300,COLUMN(),FALSE)=0,"",VLOOKUP($A79,貼り付け用!$A$1:$BA$300,COLUMN(),FALSE)),"")</f>
        <v>#N/A</v>
      </c>
      <c r="L79" s="3" t="e">
        <f>IF($A79&lt;&gt;"",
IF(COLUMN(貼り付け用!L79)&gt;MATCH("おやつ",貼り付け用!$3:$3,0),"",
IF(VLOOKUP($A79,貼り付け用!$A$1:$BA$300,COLUMN(),FALSE)=0,"",VLOOKUP($A79,貼り付け用!$A$1:$BA$300,COLUMN(),FALSE))),"")</f>
        <v>#N/A</v>
      </c>
      <c r="M79" s="3" t="e">
        <f>IF($A79&lt;&gt;"",
IF(COLUMN(貼り付け用!M79)&gt;MATCH("おやつ",貼り付け用!$3:$3,0),"",
IF(VLOOKUP($A79,貼り付け用!$A$1:$BA$300,COLUMN(),FALSE)=0,"",VLOOKUP($A79,貼り付け用!$A$1:$BA$300,COLUMN(),FALSE))),"")</f>
        <v>#N/A</v>
      </c>
      <c r="N79" s="3" t="e">
        <f>IF($A79&lt;&gt;"",
IF(COLUMN(貼り付け用!N79)&gt;MATCH("おやつ",貼り付け用!$3:$3,0),"",
IF(VLOOKUP($A79,貼り付け用!$A$1:$BA$300,COLUMN(),FALSE)=0,"",VLOOKUP($A79,貼り付け用!$A$1:$BA$300,COLUMN(),FALSE))),"")</f>
        <v>#N/A</v>
      </c>
      <c r="O79" s="3" t="e">
        <f>IF($A79&lt;&gt;"",
IF(COLUMN(貼り付け用!O79)&gt;MATCH("おやつ",貼り付け用!$3:$3,0),"",
IF(VLOOKUP($A79,貼り付け用!$A$1:$BA$300,COLUMN(),FALSE)=0,"",VLOOKUP($A79,貼り付け用!$A$1:$BA$300,COLUMN(),FALSE))),"")</f>
        <v>#N/A</v>
      </c>
      <c r="P79" s="3" t="e">
        <f>IF($A79&lt;&gt;"",
IF(COLUMN(貼り付け用!P79)&gt;MATCH("おやつ",貼り付け用!$3:$3,0),"",
IF(VLOOKUP($A79,貼り付け用!$A$1:$BA$300,COLUMN(),FALSE)=0,"",VLOOKUP($A79,貼り付け用!$A$1:$BA$300,COLUMN(),FALSE))),"")</f>
        <v>#N/A</v>
      </c>
      <c r="Q79" s="3" t="e">
        <f>IF($A79&lt;&gt;"",
IF(COLUMN(貼り付け用!Q79)&gt;MATCH("おやつ",貼り付け用!$3:$3,0),"",
IF(VLOOKUP($A79,貼り付け用!$A$1:$BA$300,COLUMN(),FALSE)=0,"",VLOOKUP($A79,貼り付け用!$A$1:$BA$300,COLUMN(),FALSE))),"")</f>
        <v>#N/A</v>
      </c>
      <c r="R79" s="3" t="e">
        <f>IF($A79&lt;&gt;"",
IF(COLUMN(貼り付け用!R79)&gt;MATCH("おやつ",貼り付け用!$3:$3,0),"",
IF(VLOOKUP($A79,貼り付け用!$A$1:$BA$300,COLUMN(),FALSE)=0,"",VLOOKUP($A79,貼り付け用!$A$1:$BA$300,COLUMN(),FALSE))),"")</f>
        <v>#N/A</v>
      </c>
      <c r="S79" s="3" t="e">
        <f>IF($A79&lt;&gt;"",
IF(COLUMN(貼り付け用!S79)&gt;MATCH("おやつ",貼り付け用!$3:$3,0),"",
IF(VLOOKUP($A79,貼り付け用!$A$1:$BA$300,COLUMN(),FALSE)=0,"",VLOOKUP($A79,貼り付け用!$A$1:$BA$300,COLUMN(),FALSE))),"")</f>
        <v>#N/A</v>
      </c>
      <c r="T79" s="3" t="e">
        <f>IF(COLUMN(貼り付け用!T79)&gt;MATCH("おやつ",貼り付け用!$3:$3,0),"",
IF(VLOOKUP($A79,貼り付け用!$A$1:$BA$300,COLUMN(),FALSE)=0,"",VLOOKUP($A79,貼り付け用!$A$1:$BA$300,COLUMN(),FALSE)))</f>
        <v>#N/A</v>
      </c>
      <c r="U79" s="21"/>
      <c r="V79" s="55" t="e">
        <f>IF(A79&lt;&gt;"",
IF(VLOOKUP($A79,貼り付け用!$A$1:$BA$300,MATCH("おやつ",貼り付け用!$3:$3,0)+1,FALSE)=0,"",VLOOKUP($A79,貼り付け用!$A$1:$BA$300,MATCH("おやつ",貼り付け用!$3:$3,0)+1,FALSE)),"")</f>
        <v>#N/A</v>
      </c>
      <c r="W79" s="14" t="e">
        <f>IF(A79&lt;&gt;"",
IF(VLOOKUP($A79,貼り付け用!$A$1:$BA$300,MATCH("おやつ",貼り付け用!$3:$3,0)+2,FALSE)=0,"",VLOOKUP($A79,貼り付け用!$A$1:$BA$300,MATCH("おやつ",貼り付け用!$3:$3,0)+2,FALSE)),"")</f>
        <v>#N/A</v>
      </c>
    </row>
    <row r="80" spans="1:23">
      <c r="A80" s="4" t="e">
        <f>IF(貼り付け用!$A$6&lt;&gt;"",
IF(ROW(A79)+1&gt;=MATCH("*10000*", 貼り付け用!$A:$A, 0),
IF(COUNTIF(A78,"*10000*"),"10001",
IF(COUNTIF(A78,"*10001*"),"10002",
IF(COUNTIF(A78,"*10002*"),"",
IF(COUNTIF(A78,""),"","10000")))),
IF(貼り付け用!A80&lt;&gt;"",貼り付け用!A80,"")),
IF(ROW(A80)+1&gt;=MATCH("*10000*", 貼り付け用!$A:$A, 0),
IF(COUNTIF(A78,"*10000*"),"10001",
IF(COUNTIF(A78,"*10001*"),"10002",
IF(COUNTIF(A78,"*10002*"),"",
IF(COUNTIF(A78,""),"","10000")))),
IF(貼り付け用!A81&lt;&gt;"",貼り付け用!A81,"")))</f>
        <v>#N/A</v>
      </c>
      <c r="B80" s="14" t="e">
        <f>IF($A80&lt;&gt;"",IF(VLOOKUP($A80,貼り付け用!$A$1:$BA$300,COLUMN(),FALSE)=0,"",VLOOKUP($A80,貼り付け用!$A$1:$BA$300,COLUMN(),FALSE)),"")</f>
        <v>#N/A</v>
      </c>
      <c r="C80" s="14" t="e">
        <f>IF($A80&lt;&gt;"",IF(VLOOKUP($A80,貼り付け用!$A$1:$BA$300,COLUMN(),FALSE)=0,"",VLOOKUP($A80,貼り付け用!$A$1:$BA$300,COLUMN(),FALSE)),"")</f>
        <v>#N/A</v>
      </c>
      <c r="D80" s="14" t="e">
        <f>IF($A80&lt;&gt;"",IF(VLOOKUP($A80,貼り付け用!$A$1:$BA$300,COLUMN(),FALSE)=0,"",VLOOKUP($A80,貼り付け用!$A$1:$BA$300,COLUMN(),FALSE)),"")</f>
        <v>#N/A</v>
      </c>
      <c r="E80" s="14" t="e">
        <f>IF($A80&lt;&gt;"",IF(VLOOKUP($A80,貼り付け用!$A$1:$BA$300,COLUMN(),FALSE)=0,"",VLOOKUP($A80,貼り付け用!$A$1:$BA$300,COLUMN(),FALSE)),"")</f>
        <v>#N/A</v>
      </c>
      <c r="F80" s="14" t="e">
        <f>IF($A80&lt;&gt;"",IF(VLOOKUP($A80,貼り付け用!$A$1:$BA$300,COLUMN(),FALSE)=0,"",VLOOKUP($A80,貼り付け用!$A$1:$BA$300,COLUMN(),FALSE)),"")</f>
        <v>#N/A</v>
      </c>
      <c r="G80" s="14" t="e">
        <f>IF($A80&lt;&gt;"",IF(VLOOKUP($A80,貼り付け用!$A$1:$BA$300,COLUMN(),FALSE)=0,"",VLOOKUP($A80,貼り付け用!$A$1:$BA$300,COLUMN(),FALSE)),"")</f>
        <v>#N/A</v>
      </c>
      <c r="H80" s="14" t="e">
        <f>IF($A80&lt;&gt;"",IF(VLOOKUP($A80,貼り付け用!$A$1:$BA$300,COLUMN(),FALSE)=0,"",VLOOKUP($A80,貼り付け用!$A$1:$BA$300,COLUMN(),FALSE)),"")</f>
        <v>#N/A</v>
      </c>
      <c r="I80" s="14" t="e">
        <f>IF($A80&lt;&gt;"",IF(VLOOKUP($A80,貼り付け用!$A$1:$BA$300,COLUMN(),FALSE)=0,"",VLOOKUP($A80,貼り付け用!$A$1:$BA$300,COLUMN(),FALSE)),"")</f>
        <v>#N/A</v>
      </c>
      <c r="J80" s="14" t="e">
        <f>IF($A80&lt;&gt;"",IF(VLOOKUP($A80,貼り付け用!$A$1:$BA$300,COLUMN(),FALSE)=0,"",VLOOKUP($A80,貼り付け用!$A$1:$BA$300,COLUMN(),FALSE)),"")</f>
        <v>#N/A</v>
      </c>
      <c r="K80" s="14" t="e">
        <f>IF($A80&lt;&gt;"",IF(VLOOKUP($A80,貼り付け用!$A$1:$BA$300,COLUMN(),FALSE)=0,"",VLOOKUP($A80,貼り付け用!$A$1:$BA$300,COLUMN(),FALSE)),"")</f>
        <v>#N/A</v>
      </c>
      <c r="L80" s="14" t="e">
        <f>IF($A80&lt;&gt;"",
IF(COLUMN(貼り付け用!L80)&gt;MATCH("おやつ",貼り付け用!$3:$3,0),"",
IF(VLOOKUP($A80,貼り付け用!$A$1:$BA$300,COLUMN(),FALSE)=0,"",VLOOKUP($A80,貼り付け用!$A$1:$BA$300,COLUMN(),FALSE))),"")</f>
        <v>#N/A</v>
      </c>
      <c r="M80" s="14" t="e">
        <f>IF($A80&lt;&gt;"",
IF(COLUMN(貼り付け用!M80)&gt;MATCH("おやつ",貼り付け用!$3:$3,0),"",
IF(VLOOKUP($A80,貼り付け用!$A$1:$BA$300,COLUMN(),FALSE)=0,"",VLOOKUP($A80,貼り付け用!$A$1:$BA$300,COLUMN(),FALSE))),"")</f>
        <v>#N/A</v>
      </c>
      <c r="N80" s="14" t="e">
        <f>IF($A80&lt;&gt;"",
IF(COLUMN(貼り付け用!N80)&gt;MATCH("おやつ",貼り付け用!$3:$3,0),"",
IF(VLOOKUP($A80,貼り付け用!$A$1:$BA$300,COLUMN(),FALSE)=0,"",VLOOKUP($A80,貼り付け用!$A$1:$BA$300,COLUMN(),FALSE))),"")</f>
        <v>#N/A</v>
      </c>
      <c r="O80" s="14" t="e">
        <f>IF($A80&lt;&gt;"",
IF(COLUMN(貼り付け用!O80)&gt;MATCH("おやつ",貼り付け用!$3:$3,0),"",
IF(VLOOKUP($A80,貼り付け用!$A$1:$BA$300,COLUMN(),FALSE)=0,"",VLOOKUP($A80,貼り付け用!$A$1:$BA$300,COLUMN(),FALSE))),"")</f>
        <v>#N/A</v>
      </c>
      <c r="P80" s="14" t="e">
        <f>IF($A80&lt;&gt;"",
IF(COLUMN(貼り付け用!P80)&gt;MATCH("おやつ",貼り付け用!$3:$3,0),"",
IF(VLOOKUP($A80,貼り付け用!$A$1:$BA$300,COLUMN(),FALSE)=0,"",VLOOKUP($A80,貼り付け用!$A$1:$BA$300,COLUMN(),FALSE))),"")</f>
        <v>#N/A</v>
      </c>
      <c r="Q80" s="14" t="e">
        <f>IF($A80&lt;&gt;"",
IF(COLUMN(貼り付け用!Q80)&gt;MATCH("おやつ",貼り付け用!$3:$3,0),"",
IF(VLOOKUP($A80,貼り付け用!$A$1:$BA$300,COLUMN(),FALSE)=0,"",VLOOKUP($A80,貼り付け用!$A$1:$BA$300,COLUMN(),FALSE))),"")</f>
        <v>#N/A</v>
      </c>
      <c r="R80" s="14" t="e">
        <f>IF($A80&lt;&gt;"",
IF(COLUMN(貼り付け用!R80)&gt;MATCH("おやつ",貼り付け用!$3:$3,0),"",
IF(VLOOKUP($A80,貼り付け用!$A$1:$BA$300,COLUMN(),FALSE)=0,"",VLOOKUP($A80,貼り付け用!$A$1:$BA$300,COLUMN(),FALSE))),"")</f>
        <v>#N/A</v>
      </c>
      <c r="S80" s="14" t="e">
        <f>IF($A80&lt;&gt;"",
IF(COLUMN(貼り付け用!S80)&gt;MATCH("おやつ",貼り付け用!$3:$3,0),"",
IF(VLOOKUP($A80,貼り付け用!$A$1:$BA$300,COLUMN(),FALSE)=0,"",VLOOKUP($A80,貼り付け用!$A$1:$BA$300,COLUMN(),FALSE))),"")</f>
        <v>#N/A</v>
      </c>
      <c r="T80" s="14" t="e">
        <f>IF(COLUMN(貼り付け用!T80)&gt;MATCH("おやつ",貼り付け用!$3:$3,0),"",
IF(VLOOKUP($A80,貼り付け用!$A$1:$BA$300,COLUMN(),FALSE)=0,"",VLOOKUP($A80,貼り付け用!$A$1:$BA$300,COLUMN(),FALSE)))</f>
        <v>#N/A</v>
      </c>
      <c r="U80" s="11"/>
      <c r="V80" s="55" t="e">
        <f>IF(A80&lt;&gt;"",
IF(VLOOKUP($A80,貼り付け用!$A$1:$BA$300,MATCH("おやつ",貼り付け用!$3:$3,0)+1,FALSE)=0,"",VLOOKUP($A80,貼り付け用!$A$1:$BA$300,MATCH("おやつ",貼り付け用!$3:$3,0)+1,FALSE)),"")</f>
        <v>#N/A</v>
      </c>
      <c r="W80" s="14" t="e">
        <f>IF(A80&lt;&gt;"",
IF(VLOOKUP($A80,貼り付け用!$A$1:$BA$300,MATCH("おやつ",貼り付け用!$3:$3,0)+2,FALSE)=0,"",VLOOKUP($A80,貼り付け用!$A$1:$BA$300,MATCH("おやつ",貼り付け用!$3:$3,0)+2,FALSE)),"")</f>
        <v>#N/A</v>
      </c>
    </row>
    <row r="81" spans="1:23">
      <c r="A81" s="8" t="e">
        <f>IF(貼り付け用!$A$6&lt;&gt;"",
IF(ROW(A80)+1&gt;=MATCH("*10000*", 貼り付け用!$A:$A, 0),"",
IF(貼り付け用!A81&lt;&gt;"",貼り付け用!A81,"")),
IF(ROW(A81)+1&gt;=MATCH("*10000*", 貼り付け用!$A:$A, 0),"",
IF(貼り付け用!A82&lt;&gt;"",貼り付け用!A82,"")))</f>
        <v>#N/A</v>
      </c>
      <c r="B81" s="3" t="e">
        <f>IF($A81&lt;&gt;"",IF(VLOOKUP($A81,貼り付け用!$A$1:$BA$300,COLUMN(),FALSE)=0,"",VLOOKUP($A81,貼り付け用!$A$1:$BA$300,COLUMN(),FALSE)),"")</f>
        <v>#N/A</v>
      </c>
      <c r="C81" s="3" t="e">
        <f>IF($A81&lt;&gt;"",IF(VLOOKUP($A81,貼り付け用!$A$1:$BA$300,COLUMN(),FALSE)=0,"",VLOOKUP($A81,貼り付け用!$A$1:$BA$300,COLUMN(),FALSE)),"")</f>
        <v>#N/A</v>
      </c>
      <c r="D81" s="3" t="e">
        <f>IF($A81&lt;&gt;"",IF(VLOOKUP($A81,貼り付け用!$A$1:$BA$300,COLUMN(),FALSE)=0,"",VLOOKUP($A81,貼り付け用!$A$1:$BA$300,COLUMN(),FALSE)),"")</f>
        <v>#N/A</v>
      </c>
      <c r="E81" s="3" t="e">
        <f>IF($A81&lt;&gt;"",IF(VLOOKUP($A81,貼り付け用!$A$1:$BA$300,COLUMN(),FALSE)=0,"",VLOOKUP($A81,貼り付け用!$A$1:$BA$300,COLUMN(),FALSE)),"")</f>
        <v>#N/A</v>
      </c>
      <c r="F81" s="3" t="e">
        <f>IF($A81&lt;&gt;"",IF(VLOOKUP($A81,貼り付け用!$A$1:$BA$300,COLUMN(),FALSE)=0,"",VLOOKUP($A81,貼り付け用!$A$1:$BA$300,COLUMN(),FALSE)),"")</f>
        <v>#N/A</v>
      </c>
      <c r="G81" s="3" t="e">
        <f>IF($A81&lt;&gt;"",IF(VLOOKUP($A81,貼り付け用!$A$1:$BA$300,COLUMN(),FALSE)=0,"",VLOOKUP($A81,貼り付け用!$A$1:$BA$300,COLUMN(),FALSE)),"")</f>
        <v>#N/A</v>
      </c>
      <c r="H81" s="3" t="e">
        <f>IF($A81&lt;&gt;"",IF(VLOOKUP($A81,貼り付け用!$A$1:$BA$300,COLUMN(),FALSE)=0,"",VLOOKUP($A81,貼り付け用!$A$1:$BA$300,COLUMN(),FALSE)),"")</f>
        <v>#N/A</v>
      </c>
      <c r="I81" s="3" t="e">
        <f>IF($A81&lt;&gt;"",IF(VLOOKUP($A81,貼り付け用!$A$1:$BA$300,COLUMN(),FALSE)=0,"",VLOOKUP($A81,貼り付け用!$A$1:$BA$300,COLUMN(),FALSE)),"")</f>
        <v>#N/A</v>
      </c>
      <c r="J81" s="3" t="e">
        <f>IF($A81&lt;&gt;"",IF(VLOOKUP($A81,貼り付け用!$A$1:$BA$300,COLUMN(),FALSE)=0,"",VLOOKUP($A81,貼り付け用!$A$1:$BA$300,COLUMN(),FALSE)),"")</f>
        <v>#N/A</v>
      </c>
      <c r="K81" s="3" t="e">
        <f>IF($A81&lt;&gt;"",IF(VLOOKUP($A81,貼り付け用!$A$1:$BA$300,COLUMN(),FALSE)=0,"",VLOOKUP($A81,貼り付け用!$A$1:$BA$300,COLUMN(),FALSE)),"")</f>
        <v>#N/A</v>
      </c>
      <c r="L81" s="3" t="e">
        <f>IF($A81&lt;&gt;"",
IF(COLUMN(貼り付け用!L81)&gt;MATCH("おやつ",貼り付け用!$3:$3,0),"",
IF(VLOOKUP($A81,貼り付け用!$A$1:$BA$300,COLUMN(),FALSE)=0,"",VLOOKUP($A81,貼り付け用!$A$1:$BA$300,COLUMN(),FALSE))),"")</f>
        <v>#N/A</v>
      </c>
      <c r="M81" s="3" t="e">
        <f>IF($A81&lt;&gt;"",
IF(COLUMN(貼り付け用!M81)&gt;MATCH("おやつ",貼り付け用!$3:$3,0),"",
IF(VLOOKUP($A81,貼り付け用!$A$1:$BA$300,COLUMN(),FALSE)=0,"",VLOOKUP($A81,貼り付け用!$A$1:$BA$300,COLUMN(),FALSE))),"")</f>
        <v>#N/A</v>
      </c>
      <c r="N81" s="3" t="e">
        <f>IF($A81&lt;&gt;"",
IF(COLUMN(貼り付け用!N81)&gt;MATCH("おやつ",貼り付け用!$3:$3,0),"",
IF(VLOOKUP($A81,貼り付け用!$A$1:$BA$300,COLUMN(),FALSE)=0,"",VLOOKUP($A81,貼り付け用!$A$1:$BA$300,COLUMN(),FALSE))),"")</f>
        <v>#N/A</v>
      </c>
      <c r="O81" s="3" t="e">
        <f>IF($A81&lt;&gt;"",
IF(COLUMN(貼り付け用!O81)&gt;MATCH("おやつ",貼り付け用!$3:$3,0),"",
IF(VLOOKUP($A81,貼り付け用!$A$1:$BA$300,COLUMN(),FALSE)=0,"",VLOOKUP($A81,貼り付け用!$A$1:$BA$300,COLUMN(),FALSE))),"")</f>
        <v>#N/A</v>
      </c>
      <c r="P81" s="3" t="e">
        <f>IF($A81&lt;&gt;"",
IF(COLUMN(貼り付け用!P81)&gt;MATCH("おやつ",貼り付け用!$3:$3,0),"",
IF(VLOOKUP($A81,貼り付け用!$A$1:$BA$300,COLUMN(),FALSE)=0,"",VLOOKUP($A81,貼り付け用!$A$1:$BA$300,COLUMN(),FALSE))),"")</f>
        <v>#N/A</v>
      </c>
      <c r="Q81" s="3" t="e">
        <f>IF($A81&lt;&gt;"",
IF(COLUMN(貼り付け用!Q81)&gt;MATCH("おやつ",貼り付け用!$3:$3,0),"",
IF(VLOOKUP($A81,貼り付け用!$A$1:$BA$300,COLUMN(),FALSE)=0,"",VLOOKUP($A81,貼り付け用!$A$1:$BA$300,COLUMN(),FALSE))),"")</f>
        <v>#N/A</v>
      </c>
      <c r="R81" s="3" t="e">
        <f>IF($A81&lt;&gt;"",
IF(COLUMN(貼り付け用!R81)&gt;MATCH("おやつ",貼り付け用!$3:$3,0),"",
IF(VLOOKUP($A81,貼り付け用!$A$1:$BA$300,COLUMN(),FALSE)=0,"",VLOOKUP($A81,貼り付け用!$A$1:$BA$300,COLUMN(),FALSE))),"")</f>
        <v>#N/A</v>
      </c>
      <c r="S81" s="3" t="e">
        <f>IF($A81&lt;&gt;"",
IF(COLUMN(貼り付け用!S81)&gt;MATCH("おやつ",貼り付け用!$3:$3,0),"",
IF(VLOOKUP($A81,貼り付け用!$A$1:$BA$300,COLUMN(),FALSE)=0,"",VLOOKUP($A81,貼り付け用!$A$1:$BA$300,COLUMN(),FALSE))),"")</f>
        <v>#N/A</v>
      </c>
      <c r="T81" s="3" t="e">
        <f>IF(COLUMN(貼り付け用!T81)&gt;MATCH("おやつ",貼り付け用!$3:$3,0),"",
IF(VLOOKUP($A81,貼り付け用!$A$1:$BA$300,COLUMN(),FALSE)=0,"",VLOOKUP($A81,貼り付け用!$A$1:$BA$300,COLUMN(),FALSE)))</f>
        <v>#N/A</v>
      </c>
      <c r="U81" s="21"/>
      <c r="V81" s="55" t="e">
        <f>IF(A81&lt;&gt;"",
IF(VLOOKUP($A81,貼り付け用!$A$1:$BA$300,MATCH("おやつ",貼り付け用!$3:$3,0)+1,FALSE)=0,"",VLOOKUP($A81,貼り付け用!$A$1:$BA$300,MATCH("おやつ",貼り付け用!$3:$3,0)+1,FALSE)),"")</f>
        <v>#N/A</v>
      </c>
      <c r="W81" s="14" t="e">
        <f>IF(A81&lt;&gt;"",
IF(VLOOKUP($A81,貼り付け用!$A$1:$BA$300,MATCH("おやつ",貼り付け用!$3:$3,0)+2,FALSE)=0,"",VLOOKUP($A81,貼り付け用!$A$1:$BA$300,MATCH("おやつ",貼り付け用!$3:$3,0)+2,FALSE)),"")</f>
        <v>#N/A</v>
      </c>
    </row>
    <row r="82" spans="1:23">
      <c r="A82" s="4" t="e">
        <f>IF(貼り付け用!$A$6&lt;&gt;"",
IF(ROW(A81)+1&gt;=MATCH("*10000*", 貼り付け用!$A:$A, 0),
IF(COUNTIF(A80,"*10000*"),"10001",
IF(COUNTIF(A80,"*10001*"),"10002",
IF(COUNTIF(A80,"*10002*"),"",
IF(COUNTIF(A80,""),"","10000")))),
IF(貼り付け用!A82&lt;&gt;"",貼り付け用!A82,"")),
IF(ROW(A82)+1&gt;=MATCH("*10000*", 貼り付け用!$A:$A, 0),
IF(COUNTIF(A80,"*10000*"),"10001",
IF(COUNTIF(A80,"*10001*"),"10002",
IF(COUNTIF(A80,"*10002*"),"",
IF(COUNTIF(A80,""),"","10000")))),
IF(貼り付け用!A83&lt;&gt;"",貼り付け用!A83,"")))</f>
        <v>#N/A</v>
      </c>
      <c r="B82" s="14" t="e">
        <f>IF($A82&lt;&gt;"",IF(VLOOKUP($A82,貼り付け用!$A$1:$BA$300,COLUMN(),FALSE)=0,"",VLOOKUP($A82,貼り付け用!$A$1:$BA$300,COLUMN(),FALSE)),"")</f>
        <v>#N/A</v>
      </c>
      <c r="C82" s="14" t="e">
        <f>IF($A82&lt;&gt;"",IF(VLOOKUP($A82,貼り付け用!$A$1:$BA$300,COLUMN(),FALSE)=0,"",VLOOKUP($A82,貼り付け用!$A$1:$BA$300,COLUMN(),FALSE)),"")</f>
        <v>#N/A</v>
      </c>
      <c r="D82" s="14" t="e">
        <f>IF($A82&lt;&gt;"",IF(VLOOKUP($A82,貼り付け用!$A$1:$BA$300,COLUMN(),FALSE)=0,"",VLOOKUP($A82,貼り付け用!$A$1:$BA$300,COLUMN(),FALSE)),"")</f>
        <v>#N/A</v>
      </c>
      <c r="E82" s="14" t="e">
        <f>IF($A82&lt;&gt;"",IF(VLOOKUP($A82,貼り付け用!$A$1:$BA$300,COLUMN(),FALSE)=0,"",VLOOKUP($A82,貼り付け用!$A$1:$BA$300,COLUMN(),FALSE)),"")</f>
        <v>#N/A</v>
      </c>
      <c r="F82" s="14" t="e">
        <f>IF($A82&lt;&gt;"",IF(VLOOKUP($A82,貼り付け用!$A$1:$BA$300,COLUMN(),FALSE)=0,"",VLOOKUP($A82,貼り付け用!$A$1:$BA$300,COLUMN(),FALSE)),"")</f>
        <v>#N/A</v>
      </c>
      <c r="G82" s="14" t="e">
        <f>IF($A82&lt;&gt;"",IF(VLOOKUP($A82,貼り付け用!$A$1:$BA$300,COLUMN(),FALSE)=0,"",VLOOKUP($A82,貼り付け用!$A$1:$BA$300,COLUMN(),FALSE)),"")</f>
        <v>#N/A</v>
      </c>
      <c r="H82" s="14" t="e">
        <f>IF($A82&lt;&gt;"",IF(VLOOKUP($A82,貼り付け用!$A$1:$BA$300,COLUMN(),FALSE)=0,"",VLOOKUP($A82,貼り付け用!$A$1:$BA$300,COLUMN(),FALSE)),"")</f>
        <v>#N/A</v>
      </c>
      <c r="I82" s="14" t="e">
        <f>IF($A82&lt;&gt;"",IF(VLOOKUP($A82,貼り付け用!$A$1:$BA$300,COLUMN(),FALSE)=0,"",VLOOKUP($A82,貼り付け用!$A$1:$BA$300,COLUMN(),FALSE)),"")</f>
        <v>#N/A</v>
      </c>
      <c r="J82" s="14" t="e">
        <f>IF($A82&lt;&gt;"",IF(VLOOKUP($A82,貼り付け用!$A$1:$BA$300,COLUMN(),FALSE)=0,"",VLOOKUP($A82,貼り付け用!$A$1:$BA$300,COLUMN(),FALSE)),"")</f>
        <v>#N/A</v>
      </c>
      <c r="K82" s="14" t="e">
        <f>IF($A82&lt;&gt;"",IF(VLOOKUP($A82,貼り付け用!$A$1:$BA$300,COLUMN(),FALSE)=0,"",VLOOKUP($A82,貼り付け用!$A$1:$BA$300,COLUMN(),FALSE)),"")</f>
        <v>#N/A</v>
      </c>
      <c r="L82" s="14" t="e">
        <f>IF($A82&lt;&gt;"",
IF(COLUMN(貼り付け用!L82)&gt;MATCH("おやつ",貼り付け用!$3:$3,0),"",
IF(VLOOKUP($A82,貼り付け用!$A$1:$BA$300,COLUMN(),FALSE)=0,"",VLOOKUP($A82,貼り付け用!$A$1:$BA$300,COLUMN(),FALSE))),"")</f>
        <v>#N/A</v>
      </c>
      <c r="M82" s="14" t="e">
        <f>IF($A82&lt;&gt;"",
IF(COLUMN(貼り付け用!M82)&gt;MATCH("おやつ",貼り付け用!$3:$3,0),"",
IF(VLOOKUP($A82,貼り付け用!$A$1:$BA$300,COLUMN(),FALSE)=0,"",VLOOKUP($A82,貼り付け用!$A$1:$BA$300,COLUMN(),FALSE))),"")</f>
        <v>#N/A</v>
      </c>
      <c r="N82" s="14" t="e">
        <f>IF($A82&lt;&gt;"",
IF(COLUMN(貼り付け用!N82)&gt;MATCH("おやつ",貼り付け用!$3:$3,0),"",
IF(VLOOKUP($A82,貼り付け用!$A$1:$BA$300,COLUMN(),FALSE)=0,"",VLOOKUP($A82,貼り付け用!$A$1:$BA$300,COLUMN(),FALSE))),"")</f>
        <v>#N/A</v>
      </c>
      <c r="O82" s="14" t="e">
        <f>IF($A82&lt;&gt;"",
IF(COLUMN(貼り付け用!O82)&gt;MATCH("おやつ",貼り付け用!$3:$3,0),"",
IF(VLOOKUP($A82,貼り付け用!$A$1:$BA$300,COLUMN(),FALSE)=0,"",VLOOKUP($A82,貼り付け用!$A$1:$BA$300,COLUMN(),FALSE))),"")</f>
        <v>#N/A</v>
      </c>
      <c r="P82" s="14" t="e">
        <f>IF($A82&lt;&gt;"",
IF(COLUMN(貼り付け用!P82)&gt;MATCH("おやつ",貼り付け用!$3:$3,0),"",
IF(VLOOKUP($A82,貼り付け用!$A$1:$BA$300,COLUMN(),FALSE)=0,"",VLOOKUP($A82,貼り付け用!$A$1:$BA$300,COLUMN(),FALSE))),"")</f>
        <v>#N/A</v>
      </c>
      <c r="Q82" s="14" t="e">
        <f>IF($A82&lt;&gt;"",
IF(COLUMN(貼り付け用!Q82)&gt;MATCH("おやつ",貼り付け用!$3:$3,0),"",
IF(VLOOKUP($A82,貼り付け用!$A$1:$BA$300,COLUMN(),FALSE)=0,"",VLOOKUP($A82,貼り付け用!$A$1:$BA$300,COLUMN(),FALSE))),"")</f>
        <v>#N/A</v>
      </c>
      <c r="R82" s="14" t="e">
        <f>IF($A82&lt;&gt;"",
IF(COLUMN(貼り付け用!R82)&gt;MATCH("おやつ",貼り付け用!$3:$3,0),"",
IF(VLOOKUP($A82,貼り付け用!$A$1:$BA$300,COLUMN(),FALSE)=0,"",VLOOKUP($A82,貼り付け用!$A$1:$BA$300,COLUMN(),FALSE))),"")</f>
        <v>#N/A</v>
      </c>
      <c r="S82" s="14" t="e">
        <f>IF($A82&lt;&gt;"",
IF(COLUMN(貼り付け用!S82)&gt;MATCH("おやつ",貼り付け用!$3:$3,0),"",
IF(VLOOKUP($A82,貼り付け用!$A$1:$BA$300,COLUMN(),FALSE)=0,"",VLOOKUP($A82,貼り付け用!$A$1:$BA$300,COLUMN(),FALSE))),"")</f>
        <v>#N/A</v>
      </c>
      <c r="T82" s="14" t="e">
        <f>IF(COLUMN(貼り付け用!T82)&gt;MATCH("おやつ",貼り付け用!$3:$3,0),"",
IF(VLOOKUP($A82,貼り付け用!$A$1:$BA$300,COLUMN(),FALSE)=0,"",VLOOKUP($A82,貼り付け用!$A$1:$BA$300,COLUMN(),FALSE)))</f>
        <v>#N/A</v>
      </c>
      <c r="U82" s="11"/>
      <c r="V82" s="55" t="e">
        <f>IF(A82&lt;&gt;"",
IF(VLOOKUP($A82,貼り付け用!$A$1:$BA$300,MATCH("おやつ",貼り付け用!$3:$3,0)+1,FALSE)=0,"",VLOOKUP($A82,貼り付け用!$A$1:$BA$300,MATCH("おやつ",貼り付け用!$3:$3,0)+1,FALSE)),"")</f>
        <v>#N/A</v>
      </c>
      <c r="W82" s="14" t="e">
        <f>IF(A82&lt;&gt;"",
IF(VLOOKUP($A82,貼り付け用!$A$1:$BA$300,MATCH("おやつ",貼り付け用!$3:$3,0)+2,FALSE)=0,"",VLOOKUP($A82,貼り付け用!$A$1:$BA$300,MATCH("おやつ",貼り付け用!$3:$3,0)+2,FALSE)),"")</f>
        <v>#N/A</v>
      </c>
    </row>
    <row r="83" spans="1:23">
      <c r="A83" s="8" t="e">
        <f>IF(貼り付け用!$A$6&lt;&gt;"",
IF(ROW(A82)+1&gt;=MATCH("*10000*", 貼り付け用!$A:$A, 0),"",
IF(貼り付け用!A83&lt;&gt;"",貼り付け用!A83,"")),
IF(ROW(A83)+1&gt;=MATCH("*10000*", 貼り付け用!$A:$A, 0),"",
IF(貼り付け用!A84&lt;&gt;"",貼り付け用!A84,"")))</f>
        <v>#N/A</v>
      </c>
      <c r="B83" s="3" t="e">
        <f>IF($A83&lt;&gt;"",IF(VLOOKUP($A83,貼り付け用!$A$1:$BA$300,COLUMN(),FALSE)=0,"",VLOOKUP($A83,貼り付け用!$A$1:$BA$300,COLUMN(),FALSE)),"")</f>
        <v>#N/A</v>
      </c>
      <c r="C83" s="3" t="e">
        <f>IF($A83&lt;&gt;"",IF(VLOOKUP($A83,貼り付け用!$A$1:$BA$300,COLUMN(),FALSE)=0,"",VLOOKUP($A83,貼り付け用!$A$1:$BA$300,COLUMN(),FALSE)),"")</f>
        <v>#N/A</v>
      </c>
      <c r="D83" s="3" t="e">
        <f>IF($A83&lt;&gt;"",IF(VLOOKUP($A83,貼り付け用!$A$1:$BA$300,COLUMN(),FALSE)=0,"",VLOOKUP($A83,貼り付け用!$A$1:$BA$300,COLUMN(),FALSE)),"")</f>
        <v>#N/A</v>
      </c>
      <c r="E83" s="3" t="e">
        <f>IF($A83&lt;&gt;"",IF(VLOOKUP($A83,貼り付け用!$A$1:$BA$300,COLUMN(),FALSE)=0,"",VLOOKUP($A83,貼り付け用!$A$1:$BA$300,COLUMN(),FALSE)),"")</f>
        <v>#N/A</v>
      </c>
      <c r="F83" s="3" t="e">
        <f>IF($A83&lt;&gt;"",IF(VLOOKUP($A83,貼り付け用!$A$1:$BA$300,COLUMN(),FALSE)=0,"",VLOOKUP($A83,貼り付け用!$A$1:$BA$300,COLUMN(),FALSE)),"")</f>
        <v>#N/A</v>
      </c>
      <c r="G83" s="3" t="e">
        <f>IF($A83&lt;&gt;"",IF(VLOOKUP($A83,貼り付け用!$A$1:$BA$300,COLUMN(),FALSE)=0,"",VLOOKUP($A83,貼り付け用!$A$1:$BA$300,COLUMN(),FALSE)),"")</f>
        <v>#N/A</v>
      </c>
      <c r="H83" s="3" t="e">
        <f>IF($A83&lt;&gt;"",IF(VLOOKUP($A83,貼り付け用!$A$1:$BA$300,COLUMN(),FALSE)=0,"",VLOOKUP($A83,貼り付け用!$A$1:$BA$300,COLUMN(),FALSE)),"")</f>
        <v>#N/A</v>
      </c>
      <c r="I83" s="3" t="e">
        <f>IF($A83&lt;&gt;"",IF(VLOOKUP($A83,貼り付け用!$A$1:$BA$300,COLUMN(),FALSE)=0,"",VLOOKUP($A83,貼り付け用!$A$1:$BA$300,COLUMN(),FALSE)),"")</f>
        <v>#N/A</v>
      </c>
      <c r="J83" s="3" t="e">
        <f>IF($A83&lt;&gt;"",IF(VLOOKUP($A83,貼り付け用!$A$1:$BA$300,COLUMN(),FALSE)=0,"",VLOOKUP($A83,貼り付け用!$A$1:$BA$300,COLUMN(),FALSE)),"")</f>
        <v>#N/A</v>
      </c>
      <c r="K83" s="3" t="e">
        <f>IF($A83&lt;&gt;"",IF(VLOOKUP($A83,貼り付け用!$A$1:$BA$300,COLUMN(),FALSE)=0,"",VLOOKUP($A83,貼り付け用!$A$1:$BA$300,COLUMN(),FALSE)),"")</f>
        <v>#N/A</v>
      </c>
      <c r="L83" s="3" t="e">
        <f>IF($A83&lt;&gt;"",
IF(COLUMN(貼り付け用!L83)&gt;MATCH("おやつ",貼り付け用!$3:$3,0),"",
IF(VLOOKUP($A83,貼り付け用!$A$1:$BA$300,COLUMN(),FALSE)=0,"",VLOOKUP($A83,貼り付け用!$A$1:$BA$300,COLUMN(),FALSE))),"")</f>
        <v>#N/A</v>
      </c>
      <c r="M83" s="3" t="e">
        <f>IF($A83&lt;&gt;"",
IF(COLUMN(貼り付け用!M83)&gt;MATCH("おやつ",貼り付け用!$3:$3,0),"",
IF(VLOOKUP($A83,貼り付け用!$A$1:$BA$300,COLUMN(),FALSE)=0,"",VLOOKUP($A83,貼り付け用!$A$1:$BA$300,COLUMN(),FALSE))),"")</f>
        <v>#N/A</v>
      </c>
      <c r="N83" s="3" t="e">
        <f>IF($A83&lt;&gt;"",
IF(COLUMN(貼り付け用!N83)&gt;MATCH("おやつ",貼り付け用!$3:$3,0),"",
IF(VLOOKUP($A83,貼り付け用!$A$1:$BA$300,COLUMN(),FALSE)=0,"",VLOOKUP($A83,貼り付け用!$A$1:$BA$300,COLUMN(),FALSE))),"")</f>
        <v>#N/A</v>
      </c>
      <c r="O83" s="3" t="e">
        <f>IF($A83&lt;&gt;"",
IF(COLUMN(貼り付け用!O83)&gt;MATCH("おやつ",貼り付け用!$3:$3,0),"",
IF(VLOOKUP($A83,貼り付け用!$A$1:$BA$300,COLUMN(),FALSE)=0,"",VLOOKUP($A83,貼り付け用!$A$1:$BA$300,COLUMN(),FALSE))),"")</f>
        <v>#N/A</v>
      </c>
      <c r="P83" s="3" t="e">
        <f>IF($A83&lt;&gt;"",
IF(COLUMN(貼り付け用!P83)&gt;MATCH("おやつ",貼り付け用!$3:$3,0),"",
IF(VLOOKUP($A83,貼り付け用!$A$1:$BA$300,COLUMN(),FALSE)=0,"",VLOOKUP($A83,貼り付け用!$A$1:$BA$300,COLUMN(),FALSE))),"")</f>
        <v>#N/A</v>
      </c>
      <c r="Q83" s="3" t="e">
        <f>IF($A83&lt;&gt;"",
IF(COLUMN(貼り付け用!Q83)&gt;MATCH("おやつ",貼り付け用!$3:$3,0),"",
IF(VLOOKUP($A83,貼り付け用!$A$1:$BA$300,COLUMN(),FALSE)=0,"",VLOOKUP($A83,貼り付け用!$A$1:$BA$300,COLUMN(),FALSE))),"")</f>
        <v>#N/A</v>
      </c>
      <c r="R83" s="3" t="e">
        <f>IF($A83&lt;&gt;"",
IF(COLUMN(貼り付け用!R83)&gt;MATCH("おやつ",貼り付け用!$3:$3,0),"",
IF(VLOOKUP($A83,貼り付け用!$A$1:$BA$300,COLUMN(),FALSE)=0,"",VLOOKUP($A83,貼り付け用!$A$1:$BA$300,COLUMN(),FALSE))),"")</f>
        <v>#N/A</v>
      </c>
      <c r="S83" s="3" t="e">
        <f>IF($A83&lt;&gt;"",
IF(COLUMN(貼り付け用!S83)&gt;MATCH("おやつ",貼り付け用!$3:$3,0),"",
IF(VLOOKUP($A83,貼り付け用!$A$1:$BA$300,COLUMN(),FALSE)=0,"",VLOOKUP($A83,貼り付け用!$A$1:$BA$300,COLUMN(),FALSE))),"")</f>
        <v>#N/A</v>
      </c>
      <c r="T83" s="3" t="e">
        <f>IF(COLUMN(貼り付け用!T83)&gt;MATCH("おやつ",貼り付け用!$3:$3,0),"",
IF(VLOOKUP($A83,貼り付け用!$A$1:$BA$300,COLUMN(),FALSE)=0,"",VLOOKUP($A83,貼り付け用!$A$1:$BA$300,COLUMN(),FALSE)))</f>
        <v>#N/A</v>
      </c>
      <c r="U83" s="21"/>
      <c r="V83" s="55" t="e">
        <f>IF(A83&lt;&gt;"",
IF(VLOOKUP($A83,貼り付け用!$A$1:$BA$300,MATCH("おやつ",貼り付け用!$3:$3,0)+1,FALSE)=0,"",VLOOKUP($A83,貼り付け用!$A$1:$BA$300,MATCH("おやつ",貼り付け用!$3:$3,0)+1,FALSE)),"")</f>
        <v>#N/A</v>
      </c>
      <c r="W83" s="14" t="e">
        <f>IF(A83&lt;&gt;"",
IF(VLOOKUP($A83,貼り付け用!$A$1:$BA$300,MATCH("おやつ",貼り付け用!$3:$3,0)+2,FALSE)=0,"",VLOOKUP($A83,貼り付け用!$A$1:$BA$300,MATCH("おやつ",貼り付け用!$3:$3,0)+2,FALSE)),"")</f>
        <v>#N/A</v>
      </c>
    </row>
    <row r="84" spans="1:23">
      <c r="A84" s="4" t="e">
        <f>IF(貼り付け用!$A$6&lt;&gt;"",
IF(ROW(A83)+1&gt;=MATCH("*10000*", 貼り付け用!$A:$A, 0),
IF(COUNTIF(A82,"*10000*"),"10001",
IF(COUNTIF(A82,"*10001*"),"10002",
IF(COUNTIF(A82,"*10002*"),"",
IF(COUNTIF(A82,""),"","10000")))),
IF(貼り付け用!A84&lt;&gt;"",貼り付け用!A84,"")),
IF(ROW(A84)+1&gt;=MATCH("*10000*", 貼り付け用!$A:$A, 0),
IF(COUNTIF(A82,"*10000*"),"10001",
IF(COUNTIF(A82,"*10001*"),"10002",
IF(COUNTIF(A82,"*10002*"),"",
IF(COUNTIF(A82,""),"","10000")))),
IF(貼り付け用!A85&lt;&gt;"",貼り付け用!A85,"")))</f>
        <v>#N/A</v>
      </c>
      <c r="B84" s="14" t="e">
        <f>IF($A84&lt;&gt;"",IF(VLOOKUP($A84,貼り付け用!$A$1:$BA$300,COLUMN(),FALSE)=0,"",VLOOKUP($A84,貼り付け用!$A$1:$BA$300,COLUMN(),FALSE)),"")</f>
        <v>#N/A</v>
      </c>
      <c r="C84" s="14" t="e">
        <f>IF($A84&lt;&gt;"",IF(VLOOKUP($A84,貼り付け用!$A$1:$BA$300,COLUMN(),FALSE)=0,"",VLOOKUP($A84,貼り付け用!$A$1:$BA$300,COLUMN(),FALSE)),"")</f>
        <v>#N/A</v>
      </c>
      <c r="D84" s="14" t="e">
        <f>IF($A84&lt;&gt;"",IF(VLOOKUP($A84,貼り付け用!$A$1:$BA$300,COLUMN(),FALSE)=0,"",VLOOKUP($A84,貼り付け用!$A$1:$BA$300,COLUMN(),FALSE)),"")</f>
        <v>#N/A</v>
      </c>
      <c r="E84" s="14" t="e">
        <f>IF($A84&lt;&gt;"",IF(VLOOKUP($A84,貼り付け用!$A$1:$BA$300,COLUMN(),FALSE)=0,"",VLOOKUP($A84,貼り付け用!$A$1:$BA$300,COLUMN(),FALSE)),"")</f>
        <v>#N/A</v>
      </c>
      <c r="F84" s="14" t="e">
        <f>IF($A84&lt;&gt;"",IF(VLOOKUP($A84,貼り付け用!$A$1:$BA$300,COLUMN(),FALSE)=0,"",VLOOKUP($A84,貼り付け用!$A$1:$BA$300,COLUMN(),FALSE)),"")</f>
        <v>#N/A</v>
      </c>
      <c r="G84" s="14" t="e">
        <f>IF($A84&lt;&gt;"",IF(VLOOKUP($A84,貼り付け用!$A$1:$BA$300,COLUMN(),FALSE)=0,"",VLOOKUP($A84,貼り付け用!$A$1:$BA$300,COLUMN(),FALSE)),"")</f>
        <v>#N/A</v>
      </c>
      <c r="H84" s="14" t="e">
        <f>IF($A84&lt;&gt;"",IF(VLOOKUP($A84,貼り付け用!$A$1:$BA$300,COLUMN(),FALSE)=0,"",VLOOKUP($A84,貼り付け用!$A$1:$BA$300,COLUMN(),FALSE)),"")</f>
        <v>#N/A</v>
      </c>
      <c r="I84" s="14" t="e">
        <f>IF($A84&lt;&gt;"",IF(VLOOKUP($A84,貼り付け用!$A$1:$BA$300,COLUMN(),FALSE)=0,"",VLOOKUP($A84,貼り付け用!$A$1:$BA$300,COLUMN(),FALSE)),"")</f>
        <v>#N/A</v>
      </c>
      <c r="J84" s="14" t="e">
        <f>IF($A84&lt;&gt;"",IF(VLOOKUP($A84,貼り付け用!$A$1:$BA$300,COLUMN(),FALSE)=0,"",VLOOKUP($A84,貼り付け用!$A$1:$BA$300,COLUMN(),FALSE)),"")</f>
        <v>#N/A</v>
      </c>
      <c r="K84" s="14" t="e">
        <f>IF($A84&lt;&gt;"",IF(VLOOKUP($A84,貼り付け用!$A$1:$BA$300,COLUMN(),FALSE)=0,"",VLOOKUP($A84,貼り付け用!$A$1:$BA$300,COLUMN(),FALSE)),"")</f>
        <v>#N/A</v>
      </c>
      <c r="L84" s="14" t="e">
        <f>IF($A84&lt;&gt;"",
IF(COLUMN(貼り付け用!L84)&gt;MATCH("おやつ",貼り付け用!$3:$3,0),"",
IF(VLOOKUP($A84,貼り付け用!$A$1:$BA$300,COLUMN(),FALSE)=0,"",VLOOKUP($A84,貼り付け用!$A$1:$BA$300,COLUMN(),FALSE))),"")</f>
        <v>#N/A</v>
      </c>
      <c r="M84" s="14" t="e">
        <f>IF($A84&lt;&gt;"",
IF(COLUMN(貼り付け用!M84)&gt;MATCH("おやつ",貼り付け用!$3:$3,0),"",
IF(VLOOKUP($A84,貼り付け用!$A$1:$BA$300,COLUMN(),FALSE)=0,"",VLOOKUP($A84,貼り付け用!$A$1:$BA$300,COLUMN(),FALSE))),"")</f>
        <v>#N/A</v>
      </c>
      <c r="N84" s="14" t="e">
        <f>IF($A84&lt;&gt;"",
IF(COLUMN(貼り付け用!N84)&gt;MATCH("おやつ",貼り付け用!$3:$3,0),"",
IF(VLOOKUP($A84,貼り付け用!$A$1:$BA$300,COLUMN(),FALSE)=0,"",VLOOKUP($A84,貼り付け用!$A$1:$BA$300,COLUMN(),FALSE))),"")</f>
        <v>#N/A</v>
      </c>
      <c r="O84" s="14" t="e">
        <f>IF($A84&lt;&gt;"",
IF(COLUMN(貼り付け用!O84)&gt;MATCH("おやつ",貼り付け用!$3:$3,0),"",
IF(VLOOKUP($A84,貼り付け用!$A$1:$BA$300,COLUMN(),FALSE)=0,"",VLOOKUP($A84,貼り付け用!$A$1:$BA$300,COLUMN(),FALSE))),"")</f>
        <v>#N/A</v>
      </c>
      <c r="P84" s="14" t="e">
        <f>IF($A84&lt;&gt;"",
IF(COLUMN(貼り付け用!P84)&gt;MATCH("おやつ",貼り付け用!$3:$3,0),"",
IF(VLOOKUP($A84,貼り付け用!$A$1:$BA$300,COLUMN(),FALSE)=0,"",VLOOKUP($A84,貼り付け用!$A$1:$BA$300,COLUMN(),FALSE))),"")</f>
        <v>#N/A</v>
      </c>
      <c r="Q84" s="14" t="e">
        <f>IF($A84&lt;&gt;"",
IF(COLUMN(貼り付け用!Q84)&gt;MATCH("おやつ",貼り付け用!$3:$3,0),"",
IF(VLOOKUP($A84,貼り付け用!$A$1:$BA$300,COLUMN(),FALSE)=0,"",VLOOKUP($A84,貼り付け用!$A$1:$BA$300,COLUMN(),FALSE))),"")</f>
        <v>#N/A</v>
      </c>
      <c r="R84" s="14" t="e">
        <f>IF($A84&lt;&gt;"",
IF(COLUMN(貼り付け用!R84)&gt;MATCH("おやつ",貼り付け用!$3:$3,0),"",
IF(VLOOKUP($A84,貼り付け用!$A$1:$BA$300,COLUMN(),FALSE)=0,"",VLOOKUP($A84,貼り付け用!$A$1:$BA$300,COLUMN(),FALSE))),"")</f>
        <v>#N/A</v>
      </c>
      <c r="S84" s="14" t="e">
        <f>IF($A84&lt;&gt;"",
IF(COLUMN(貼り付け用!S84)&gt;MATCH("おやつ",貼り付け用!$3:$3,0),"",
IF(VLOOKUP($A84,貼り付け用!$A$1:$BA$300,COLUMN(),FALSE)=0,"",VLOOKUP($A84,貼り付け用!$A$1:$BA$300,COLUMN(),FALSE))),"")</f>
        <v>#N/A</v>
      </c>
      <c r="T84" s="14" t="e">
        <f>IF(COLUMN(貼り付け用!T84)&gt;MATCH("おやつ",貼り付け用!$3:$3,0),"",
IF(VLOOKUP($A84,貼り付け用!$A$1:$BA$300,COLUMN(),FALSE)=0,"",VLOOKUP($A84,貼り付け用!$A$1:$BA$300,COLUMN(),FALSE)))</f>
        <v>#N/A</v>
      </c>
      <c r="U84" s="11"/>
      <c r="V84" s="55" t="e">
        <f>IF(A84&lt;&gt;"",
IF(VLOOKUP($A84,貼り付け用!$A$1:$BA$300,MATCH("おやつ",貼り付け用!$3:$3,0)+1,FALSE)=0,"",VLOOKUP($A84,貼り付け用!$A$1:$BA$300,MATCH("おやつ",貼り付け用!$3:$3,0)+1,FALSE)),"")</f>
        <v>#N/A</v>
      </c>
      <c r="W84" s="14" t="e">
        <f>IF(A84&lt;&gt;"",
IF(VLOOKUP($A84,貼り付け用!$A$1:$BA$300,MATCH("おやつ",貼り付け用!$3:$3,0)+2,FALSE)=0,"",VLOOKUP($A84,貼り付け用!$A$1:$BA$300,MATCH("おやつ",貼り付け用!$3:$3,0)+2,FALSE)),"")</f>
        <v>#N/A</v>
      </c>
    </row>
    <row r="85" spans="1:23">
      <c r="A85" s="8" t="e">
        <f>IF(貼り付け用!$A$6&lt;&gt;"",
IF(ROW(A84)+1&gt;=MATCH("*10000*", 貼り付け用!$A:$A, 0),"",
IF(貼り付け用!A85&lt;&gt;"",貼り付け用!A85,"")),
IF(ROW(A85)+1&gt;=MATCH("*10000*", 貼り付け用!$A:$A, 0),"",
IF(貼り付け用!A86&lt;&gt;"",貼り付け用!A86,"")))</f>
        <v>#N/A</v>
      </c>
      <c r="B85" s="3" t="e">
        <f>IF($A85&lt;&gt;"",IF(VLOOKUP($A85,貼り付け用!$A$1:$BA$300,COLUMN(),FALSE)=0,"",VLOOKUP($A85,貼り付け用!$A$1:$BA$300,COLUMN(),FALSE)),"")</f>
        <v>#N/A</v>
      </c>
      <c r="C85" s="3" t="e">
        <f>IF($A85&lt;&gt;"",IF(VLOOKUP($A85,貼り付け用!$A$1:$BA$300,COLUMN(),FALSE)=0,"",VLOOKUP($A85,貼り付け用!$A$1:$BA$300,COLUMN(),FALSE)),"")</f>
        <v>#N/A</v>
      </c>
      <c r="D85" s="3" t="e">
        <f>IF($A85&lt;&gt;"",IF(VLOOKUP($A85,貼り付け用!$A$1:$BA$300,COLUMN(),FALSE)=0,"",VLOOKUP($A85,貼り付け用!$A$1:$BA$300,COLUMN(),FALSE)),"")</f>
        <v>#N/A</v>
      </c>
      <c r="E85" s="3" t="e">
        <f>IF($A85&lt;&gt;"",IF(VLOOKUP($A85,貼り付け用!$A$1:$BA$300,COLUMN(),FALSE)=0,"",VLOOKUP($A85,貼り付け用!$A$1:$BA$300,COLUMN(),FALSE)),"")</f>
        <v>#N/A</v>
      </c>
      <c r="F85" s="3" t="e">
        <f>IF($A85&lt;&gt;"",IF(VLOOKUP($A85,貼り付け用!$A$1:$BA$300,COLUMN(),FALSE)=0,"",VLOOKUP($A85,貼り付け用!$A$1:$BA$300,COLUMN(),FALSE)),"")</f>
        <v>#N/A</v>
      </c>
      <c r="G85" s="3" t="e">
        <f>IF($A85&lt;&gt;"",IF(VLOOKUP($A85,貼り付け用!$A$1:$BA$300,COLUMN(),FALSE)=0,"",VLOOKUP($A85,貼り付け用!$A$1:$BA$300,COLUMN(),FALSE)),"")</f>
        <v>#N/A</v>
      </c>
      <c r="H85" s="3" t="e">
        <f>IF($A85&lt;&gt;"",IF(VLOOKUP($A85,貼り付け用!$A$1:$BA$300,COLUMN(),FALSE)=0,"",VLOOKUP($A85,貼り付け用!$A$1:$BA$300,COLUMN(),FALSE)),"")</f>
        <v>#N/A</v>
      </c>
      <c r="I85" s="3" t="e">
        <f>IF($A85&lt;&gt;"",IF(VLOOKUP($A85,貼り付け用!$A$1:$BA$300,COLUMN(),FALSE)=0,"",VLOOKUP($A85,貼り付け用!$A$1:$BA$300,COLUMN(),FALSE)),"")</f>
        <v>#N/A</v>
      </c>
      <c r="J85" s="3" t="e">
        <f>IF($A85&lt;&gt;"",IF(VLOOKUP($A85,貼り付け用!$A$1:$BA$300,COLUMN(),FALSE)=0,"",VLOOKUP($A85,貼り付け用!$A$1:$BA$300,COLUMN(),FALSE)),"")</f>
        <v>#N/A</v>
      </c>
      <c r="K85" s="3" t="e">
        <f>IF($A85&lt;&gt;"",IF(VLOOKUP($A85,貼り付け用!$A$1:$BA$300,COLUMN(),FALSE)=0,"",VLOOKUP($A85,貼り付け用!$A$1:$BA$300,COLUMN(),FALSE)),"")</f>
        <v>#N/A</v>
      </c>
      <c r="L85" s="3" t="e">
        <f>IF($A85&lt;&gt;"",
IF(COLUMN(貼り付け用!L85)&gt;MATCH("おやつ",貼り付け用!$3:$3,0),"",
IF(VLOOKUP($A85,貼り付け用!$A$1:$BA$300,COLUMN(),FALSE)=0,"",VLOOKUP($A85,貼り付け用!$A$1:$BA$300,COLUMN(),FALSE))),"")</f>
        <v>#N/A</v>
      </c>
      <c r="M85" s="3" t="e">
        <f>IF($A85&lt;&gt;"",
IF(COLUMN(貼り付け用!M85)&gt;MATCH("おやつ",貼り付け用!$3:$3,0),"",
IF(VLOOKUP($A85,貼り付け用!$A$1:$BA$300,COLUMN(),FALSE)=0,"",VLOOKUP($A85,貼り付け用!$A$1:$BA$300,COLUMN(),FALSE))),"")</f>
        <v>#N/A</v>
      </c>
      <c r="N85" s="3" t="e">
        <f>IF($A85&lt;&gt;"",
IF(COLUMN(貼り付け用!N85)&gt;MATCH("おやつ",貼り付け用!$3:$3,0),"",
IF(VLOOKUP($A85,貼り付け用!$A$1:$BA$300,COLUMN(),FALSE)=0,"",VLOOKUP($A85,貼り付け用!$A$1:$BA$300,COLUMN(),FALSE))),"")</f>
        <v>#N/A</v>
      </c>
      <c r="O85" s="3" t="e">
        <f>IF($A85&lt;&gt;"",
IF(COLUMN(貼り付け用!O85)&gt;MATCH("おやつ",貼り付け用!$3:$3,0),"",
IF(VLOOKUP($A85,貼り付け用!$A$1:$BA$300,COLUMN(),FALSE)=0,"",VLOOKUP($A85,貼り付け用!$A$1:$BA$300,COLUMN(),FALSE))),"")</f>
        <v>#N/A</v>
      </c>
      <c r="P85" s="3" t="e">
        <f>IF($A85&lt;&gt;"",
IF(COLUMN(貼り付け用!P85)&gt;MATCH("おやつ",貼り付け用!$3:$3,0),"",
IF(VLOOKUP($A85,貼り付け用!$A$1:$BA$300,COLUMN(),FALSE)=0,"",VLOOKUP($A85,貼り付け用!$A$1:$BA$300,COLUMN(),FALSE))),"")</f>
        <v>#N/A</v>
      </c>
      <c r="Q85" s="3" t="e">
        <f>IF($A85&lt;&gt;"",
IF(COLUMN(貼り付け用!Q85)&gt;MATCH("おやつ",貼り付け用!$3:$3,0),"",
IF(VLOOKUP($A85,貼り付け用!$A$1:$BA$300,COLUMN(),FALSE)=0,"",VLOOKUP($A85,貼り付け用!$A$1:$BA$300,COLUMN(),FALSE))),"")</f>
        <v>#N/A</v>
      </c>
      <c r="R85" s="3" t="e">
        <f>IF($A85&lt;&gt;"",
IF(COLUMN(貼り付け用!R85)&gt;MATCH("おやつ",貼り付け用!$3:$3,0),"",
IF(VLOOKUP($A85,貼り付け用!$A$1:$BA$300,COLUMN(),FALSE)=0,"",VLOOKUP($A85,貼り付け用!$A$1:$BA$300,COLUMN(),FALSE))),"")</f>
        <v>#N/A</v>
      </c>
      <c r="S85" s="3" t="e">
        <f>IF($A85&lt;&gt;"",
IF(COLUMN(貼り付け用!S85)&gt;MATCH("おやつ",貼り付け用!$3:$3,0),"",
IF(VLOOKUP($A85,貼り付け用!$A$1:$BA$300,COLUMN(),FALSE)=0,"",VLOOKUP($A85,貼り付け用!$A$1:$BA$300,COLUMN(),FALSE))),"")</f>
        <v>#N/A</v>
      </c>
      <c r="T85" s="3" t="e">
        <f>IF(COLUMN(貼り付け用!T85)&gt;MATCH("おやつ",貼り付け用!$3:$3,0),"",
IF(VLOOKUP($A85,貼り付け用!$A$1:$BA$300,COLUMN(),FALSE)=0,"",VLOOKUP($A85,貼り付け用!$A$1:$BA$300,COLUMN(),FALSE)))</f>
        <v>#N/A</v>
      </c>
      <c r="U85" s="21"/>
      <c r="V85" s="55" t="e">
        <f>IF(A85&lt;&gt;"",
IF(VLOOKUP($A85,貼り付け用!$A$1:$BA$300,MATCH("おやつ",貼り付け用!$3:$3,0)+1,FALSE)=0,"",VLOOKUP($A85,貼り付け用!$A$1:$BA$300,MATCH("おやつ",貼り付け用!$3:$3,0)+1,FALSE)),"")</f>
        <v>#N/A</v>
      </c>
      <c r="W85" s="14" t="e">
        <f>IF(A85&lt;&gt;"",
IF(VLOOKUP($A85,貼り付け用!$A$1:$BA$300,MATCH("おやつ",貼り付け用!$3:$3,0)+2,FALSE)=0,"",VLOOKUP($A85,貼り付け用!$A$1:$BA$300,MATCH("おやつ",貼り付け用!$3:$3,0)+2,FALSE)),"")</f>
        <v>#N/A</v>
      </c>
    </row>
    <row r="86" spans="1:23">
      <c r="A86" s="4" t="e">
        <f>IF(貼り付け用!$A$6&lt;&gt;"",
IF(ROW(A85)+1&gt;=MATCH("*10000*", 貼り付け用!$A:$A, 0),
IF(COUNTIF(A84,"*10000*"),"10001",
IF(COUNTIF(A84,"*10001*"),"10002",
IF(COUNTIF(A84,"*10002*"),"",
IF(COUNTIF(A84,""),"","10000")))),
IF(貼り付け用!A86&lt;&gt;"",貼り付け用!A86,"")),
IF(ROW(A86)+1&gt;=MATCH("*10000*", 貼り付け用!$A:$A, 0),
IF(COUNTIF(A84,"*10000*"),"10001",
IF(COUNTIF(A84,"*10001*"),"10002",
IF(COUNTIF(A84,"*10002*"),"",
IF(COUNTIF(A84,""),"","10000")))),
IF(貼り付け用!A87&lt;&gt;"",貼り付け用!A87,"")))</f>
        <v>#N/A</v>
      </c>
      <c r="B86" s="14" t="e">
        <f>IF($A86&lt;&gt;"",IF(VLOOKUP($A86,貼り付け用!$A$1:$BA$300,COLUMN(),FALSE)=0,"",VLOOKUP($A86,貼り付け用!$A$1:$BA$300,COLUMN(),FALSE)),"")</f>
        <v>#N/A</v>
      </c>
      <c r="C86" s="14" t="e">
        <f>IF($A86&lt;&gt;"",IF(VLOOKUP($A86,貼り付け用!$A$1:$BA$300,COLUMN(),FALSE)=0,"",VLOOKUP($A86,貼り付け用!$A$1:$BA$300,COLUMN(),FALSE)),"")</f>
        <v>#N/A</v>
      </c>
      <c r="D86" s="14" t="e">
        <f>IF($A86&lt;&gt;"",IF(VLOOKUP($A86,貼り付け用!$A$1:$BA$300,COLUMN(),FALSE)=0,"",VLOOKUP($A86,貼り付け用!$A$1:$BA$300,COLUMN(),FALSE)),"")</f>
        <v>#N/A</v>
      </c>
      <c r="E86" s="14" t="e">
        <f>IF($A86&lt;&gt;"",IF(VLOOKUP($A86,貼り付け用!$A$1:$BA$300,COLUMN(),FALSE)=0,"",VLOOKUP($A86,貼り付け用!$A$1:$BA$300,COLUMN(),FALSE)),"")</f>
        <v>#N/A</v>
      </c>
      <c r="F86" s="14" t="e">
        <f>IF($A86&lt;&gt;"",IF(VLOOKUP($A86,貼り付け用!$A$1:$BA$300,COLUMN(),FALSE)=0,"",VLOOKUP($A86,貼り付け用!$A$1:$BA$300,COLUMN(),FALSE)),"")</f>
        <v>#N/A</v>
      </c>
      <c r="G86" s="14" t="e">
        <f>IF($A86&lt;&gt;"",IF(VLOOKUP($A86,貼り付け用!$A$1:$BA$300,COLUMN(),FALSE)=0,"",VLOOKUP($A86,貼り付け用!$A$1:$BA$300,COLUMN(),FALSE)),"")</f>
        <v>#N/A</v>
      </c>
      <c r="H86" s="14" t="e">
        <f>IF($A86&lt;&gt;"",IF(VLOOKUP($A86,貼り付け用!$A$1:$BA$300,COLUMN(),FALSE)=0,"",VLOOKUP($A86,貼り付け用!$A$1:$BA$300,COLUMN(),FALSE)),"")</f>
        <v>#N/A</v>
      </c>
      <c r="I86" s="14" t="e">
        <f>IF($A86&lt;&gt;"",IF(VLOOKUP($A86,貼り付け用!$A$1:$BA$300,COLUMN(),FALSE)=0,"",VLOOKUP($A86,貼り付け用!$A$1:$BA$300,COLUMN(),FALSE)),"")</f>
        <v>#N/A</v>
      </c>
      <c r="J86" s="14" t="e">
        <f>IF($A86&lt;&gt;"",IF(VLOOKUP($A86,貼り付け用!$A$1:$BA$300,COLUMN(),FALSE)=0,"",VLOOKUP($A86,貼り付け用!$A$1:$BA$300,COLUMN(),FALSE)),"")</f>
        <v>#N/A</v>
      </c>
      <c r="K86" s="14" t="e">
        <f>IF($A86&lt;&gt;"",IF(VLOOKUP($A86,貼り付け用!$A$1:$BA$300,COLUMN(),FALSE)=0,"",VLOOKUP($A86,貼り付け用!$A$1:$BA$300,COLUMN(),FALSE)),"")</f>
        <v>#N/A</v>
      </c>
      <c r="L86" s="14" t="e">
        <f>IF($A86&lt;&gt;"",
IF(COLUMN(貼り付け用!L86)&gt;MATCH("おやつ",貼り付け用!$3:$3,0),"",
IF(VLOOKUP($A86,貼り付け用!$A$1:$BA$300,COLUMN(),FALSE)=0,"",VLOOKUP($A86,貼り付け用!$A$1:$BA$300,COLUMN(),FALSE))),"")</f>
        <v>#N/A</v>
      </c>
      <c r="M86" s="14" t="e">
        <f>IF($A86&lt;&gt;"",
IF(COLUMN(貼り付け用!M86)&gt;MATCH("おやつ",貼り付け用!$3:$3,0),"",
IF(VLOOKUP($A86,貼り付け用!$A$1:$BA$300,COLUMN(),FALSE)=0,"",VLOOKUP($A86,貼り付け用!$A$1:$BA$300,COLUMN(),FALSE))),"")</f>
        <v>#N/A</v>
      </c>
      <c r="N86" s="14" t="e">
        <f>IF($A86&lt;&gt;"",
IF(COLUMN(貼り付け用!N86)&gt;MATCH("おやつ",貼り付け用!$3:$3,0),"",
IF(VLOOKUP($A86,貼り付け用!$A$1:$BA$300,COLUMN(),FALSE)=0,"",VLOOKUP($A86,貼り付け用!$A$1:$BA$300,COLUMN(),FALSE))),"")</f>
        <v>#N/A</v>
      </c>
      <c r="O86" s="14" t="e">
        <f>IF($A86&lt;&gt;"",
IF(COLUMN(貼り付け用!O86)&gt;MATCH("おやつ",貼り付け用!$3:$3,0),"",
IF(VLOOKUP($A86,貼り付け用!$A$1:$BA$300,COLUMN(),FALSE)=0,"",VLOOKUP($A86,貼り付け用!$A$1:$BA$300,COLUMN(),FALSE))),"")</f>
        <v>#N/A</v>
      </c>
      <c r="P86" s="14" t="e">
        <f>IF($A86&lt;&gt;"",
IF(COLUMN(貼り付け用!P86)&gt;MATCH("おやつ",貼り付け用!$3:$3,0),"",
IF(VLOOKUP($A86,貼り付け用!$A$1:$BA$300,COLUMN(),FALSE)=0,"",VLOOKUP($A86,貼り付け用!$A$1:$BA$300,COLUMN(),FALSE))),"")</f>
        <v>#N/A</v>
      </c>
      <c r="Q86" s="14" t="e">
        <f>IF($A86&lt;&gt;"",
IF(COLUMN(貼り付け用!Q86)&gt;MATCH("おやつ",貼り付け用!$3:$3,0),"",
IF(VLOOKUP($A86,貼り付け用!$A$1:$BA$300,COLUMN(),FALSE)=0,"",VLOOKUP($A86,貼り付け用!$A$1:$BA$300,COLUMN(),FALSE))),"")</f>
        <v>#N/A</v>
      </c>
      <c r="R86" s="14" t="e">
        <f>IF($A86&lt;&gt;"",
IF(COLUMN(貼り付け用!R86)&gt;MATCH("おやつ",貼り付け用!$3:$3,0),"",
IF(VLOOKUP($A86,貼り付け用!$A$1:$BA$300,COLUMN(),FALSE)=0,"",VLOOKUP($A86,貼り付け用!$A$1:$BA$300,COLUMN(),FALSE))),"")</f>
        <v>#N/A</v>
      </c>
      <c r="S86" s="14" t="e">
        <f>IF($A86&lt;&gt;"",
IF(COLUMN(貼り付け用!S86)&gt;MATCH("おやつ",貼り付け用!$3:$3,0),"",
IF(VLOOKUP($A86,貼り付け用!$A$1:$BA$300,COLUMN(),FALSE)=0,"",VLOOKUP($A86,貼り付け用!$A$1:$BA$300,COLUMN(),FALSE))),"")</f>
        <v>#N/A</v>
      </c>
      <c r="T86" s="14" t="e">
        <f>IF(COLUMN(貼り付け用!T86)&gt;MATCH("おやつ",貼り付け用!$3:$3,0),"",
IF(VLOOKUP($A86,貼り付け用!$A$1:$BA$300,COLUMN(),FALSE)=0,"",VLOOKUP($A86,貼り付け用!$A$1:$BA$300,COLUMN(),FALSE)))</f>
        <v>#N/A</v>
      </c>
      <c r="U86" s="11"/>
      <c r="V86" s="55" t="e">
        <f>IF(A86&lt;&gt;"",
IF(VLOOKUP($A86,貼り付け用!$A$1:$BA$300,MATCH("おやつ",貼り付け用!$3:$3,0)+1,FALSE)=0,"",VLOOKUP($A86,貼り付け用!$A$1:$BA$300,MATCH("おやつ",貼り付け用!$3:$3,0)+1,FALSE)),"")</f>
        <v>#N/A</v>
      </c>
      <c r="W86" s="14" t="e">
        <f>IF(A86&lt;&gt;"",
IF(VLOOKUP($A86,貼り付け用!$A$1:$BA$300,MATCH("おやつ",貼り付け用!$3:$3,0)+2,FALSE)=0,"",VLOOKUP($A86,貼り付け用!$A$1:$BA$300,MATCH("おやつ",貼り付け用!$3:$3,0)+2,FALSE)),"")</f>
        <v>#N/A</v>
      </c>
    </row>
    <row r="87" spans="1:23">
      <c r="A87" s="8" t="e">
        <f>IF(貼り付け用!$A$6&lt;&gt;"",
IF(ROW(A86)+1&gt;=MATCH("*10000*", 貼り付け用!$A:$A, 0),"",
IF(貼り付け用!A87&lt;&gt;"",貼り付け用!A87,"")),
IF(ROW(A87)+1&gt;=MATCH("*10000*", 貼り付け用!$A:$A, 0),"",
IF(貼り付け用!A88&lt;&gt;"",貼り付け用!A88,"")))</f>
        <v>#N/A</v>
      </c>
      <c r="B87" s="3" t="e">
        <f>IF($A87&lt;&gt;"",IF(VLOOKUP($A87,貼り付け用!$A$1:$BA$300,COLUMN(),FALSE)=0,"",VLOOKUP($A87,貼り付け用!$A$1:$BA$300,COLUMN(),FALSE)),"")</f>
        <v>#N/A</v>
      </c>
      <c r="C87" s="3" t="e">
        <f>IF($A87&lt;&gt;"",IF(VLOOKUP($A87,貼り付け用!$A$1:$BA$300,COLUMN(),FALSE)=0,"",VLOOKUP($A87,貼り付け用!$A$1:$BA$300,COLUMN(),FALSE)),"")</f>
        <v>#N/A</v>
      </c>
      <c r="D87" s="3" t="e">
        <f>IF($A87&lt;&gt;"",IF(VLOOKUP($A87,貼り付け用!$A$1:$BA$300,COLUMN(),FALSE)=0,"",VLOOKUP($A87,貼り付け用!$A$1:$BA$300,COLUMN(),FALSE)),"")</f>
        <v>#N/A</v>
      </c>
      <c r="E87" s="3" t="e">
        <f>IF($A87&lt;&gt;"",IF(VLOOKUP($A87,貼り付け用!$A$1:$BA$300,COLUMN(),FALSE)=0,"",VLOOKUP($A87,貼り付け用!$A$1:$BA$300,COLUMN(),FALSE)),"")</f>
        <v>#N/A</v>
      </c>
      <c r="F87" s="3" t="e">
        <f>IF($A87&lt;&gt;"",IF(VLOOKUP($A87,貼り付け用!$A$1:$BA$300,COLUMN(),FALSE)=0,"",VLOOKUP($A87,貼り付け用!$A$1:$BA$300,COLUMN(),FALSE)),"")</f>
        <v>#N/A</v>
      </c>
      <c r="G87" s="3" t="e">
        <f>IF($A87&lt;&gt;"",IF(VLOOKUP($A87,貼り付け用!$A$1:$BA$300,COLUMN(),FALSE)=0,"",VLOOKUP($A87,貼り付け用!$A$1:$BA$300,COLUMN(),FALSE)),"")</f>
        <v>#N/A</v>
      </c>
      <c r="H87" s="3" t="e">
        <f>IF($A87&lt;&gt;"",IF(VLOOKUP($A87,貼り付け用!$A$1:$BA$300,COLUMN(),FALSE)=0,"",VLOOKUP($A87,貼り付け用!$A$1:$BA$300,COLUMN(),FALSE)),"")</f>
        <v>#N/A</v>
      </c>
      <c r="I87" s="3" t="e">
        <f>IF($A87&lt;&gt;"",IF(VLOOKUP($A87,貼り付け用!$A$1:$BA$300,COLUMN(),FALSE)=0,"",VLOOKUP($A87,貼り付け用!$A$1:$BA$300,COLUMN(),FALSE)),"")</f>
        <v>#N/A</v>
      </c>
      <c r="J87" s="3" t="e">
        <f>IF($A87&lt;&gt;"",IF(VLOOKUP($A87,貼り付け用!$A$1:$BA$300,COLUMN(),FALSE)=0,"",VLOOKUP($A87,貼り付け用!$A$1:$BA$300,COLUMN(),FALSE)),"")</f>
        <v>#N/A</v>
      </c>
      <c r="K87" s="3" t="e">
        <f>IF($A87&lt;&gt;"",IF(VLOOKUP($A87,貼り付け用!$A$1:$BA$300,COLUMN(),FALSE)=0,"",VLOOKUP($A87,貼り付け用!$A$1:$BA$300,COLUMN(),FALSE)),"")</f>
        <v>#N/A</v>
      </c>
      <c r="L87" s="3" t="e">
        <f>IF($A87&lt;&gt;"",
IF(COLUMN(貼り付け用!L87)&gt;MATCH("おやつ",貼り付け用!$3:$3,0),"",
IF(VLOOKUP($A87,貼り付け用!$A$1:$BA$300,COLUMN(),FALSE)=0,"",VLOOKUP($A87,貼り付け用!$A$1:$BA$300,COLUMN(),FALSE))),"")</f>
        <v>#N/A</v>
      </c>
      <c r="M87" s="3" t="e">
        <f>IF($A87&lt;&gt;"",
IF(COLUMN(貼り付け用!M87)&gt;MATCH("おやつ",貼り付け用!$3:$3,0),"",
IF(VLOOKUP($A87,貼り付け用!$A$1:$BA$300,COLUMN(),FALSE)=0,"",VLOOKUP($A87,貼り付け用!$A$1:$BA$300,COLUMN(),FALSE))),"")</f>
        <v>#N/A</v>
      </c>
      <c r="N87" s="3" t="e">
        <f>IF($A87&lt;&gt;"",
IF(COLUMN(貼り付け用!N87)&gt;MATCH("おやつ",貼り付け用!$3:$3,0),"",
IF(VLOOKUP($A87,貼り付け用!$A$1:$BA$300,COLUMN(),FALSE)=0,"",VLOOKUP($A87,貼り付け用!$A$1:$BA$300,COLUMN(),FALSE))),"")</f>
        <v>#N/A</v>
      </c>
      <c r="O87" s="3" t="e">
        <f>IF($A87&lt;&gt;"",
IF(COLUMN(貼り付け用!O87)&gt;MATCH("おやつ",貼り付け用!$3:$3,0),"",
IF(VLOOKUP($A87,貼り付け用!$A$1:$BA$300,COLUMN(),FALSE)=0,"",VLOOKUP($A87,貼り付け用!$A$1:$BA$300,COLUMN(),FALSE))),"")</f>
        <v>#N/A</v>
      </c>
      <c r="P87" s="3" t="e">
        <f>IF($A87&lt;&gt;"",
IF(COLUMN(貼り付け用!P87)&gt;MATCH("おやつ",貼り付け用!$3:$3,0),"",
IF(VLOOKUP($A87,貼り付け用!$A$1:$BA$300,COLUMN(),FALSE)=0,"",VLOOKUP($A87,貼り付け用!$A$1:$BA$300,COLUMN(),FALSE))),"")</f>
        <v>#N/A</v>
      </c>
      <c r="Q87" s="3" t="e">
        <f>IF($A87&lt;&gt;"",
IF(COLUMN(貼り付け用!Q87)&gt;MATCH("おやつ",貼り付け用!$3:$3,0),"",
IF(VLOOKUP($A87,貼り付け用!$A$1:$BA$300,COLUMN(),FALSE)=0,"",VLOOKUP($A87,貼り付け用!$A$1:$BA$300,COLUMN(),FALSE))),"")</f>
        <v>#N/A</v>
      </c>
      <c r="R87" s="3" t="e">
        <f>IF($A87&lt;&gt;"",
IF(COLUMN(貼り付け用!R87)&gt;MATCH("おやつ",貼り付け用!$3:$3,0),"",
IF(VLOOKUP($A87,貼り付け用!$A$1:$BA$300,COLUMN(),FALSE)=0,"",VLOOKUP($A87,貼り付け用!$A$1:$BA$300,COLUMN(),FALSE))),"")</f>
        <v>#N/A</v>
      </c>
      <c r="S87" s="3" t="e">
        <f>IF($A87&lt;&gt;"",
IF(COLUMN(貼り付け用!S87)&gt;MATCH("おやつ",貼り付け用!$3:$3,0),"",
IF(VLOOKUP($A87,貼り付け用!$A$1:$BA$300,COLUMN(),FALSE)=0,"",VLOOKUP($A87,貼り付け用!$A$1:$BA$300,COLUMN(),FALSE))),"")</f>
        <v>#N/A</v>
      </c>
      <c r="T87" s="3" t="e">
        <f>IF(COLUMN(貼り付け用!T87)&gt;MATCH("おやつ",貼り付け用!$3:$3,0),"",
IF(VLOOKUP($A87,貼り付け用!$A$1:$BA$300,COLUMN(),FALSE)=0,"",VLOOKUP($A87,貼り付け用!$A$1:$BA$300,COLUMN(),FALSE)))</f>
        <v>#N/A</v>
      </c>
      <c r="U87" s="21"/>
      <c r="V87" s="55" t="e">
        <f>IF(A87&lt;&gt;"",
IF(VLOOKUP($A87,貼り付け用!$A$1:$BA$300,MATCH("おやつ",貼り付け用!$3:$3,0)+1,FALSE)=0,"",VLOOKUP($A87,貼り付け用!$A$1:$BA$300,MATCH("おやつ",貼り付け用!$3:$3,0)+1,FALSE)),"")</f>
        <v>#N/A</v>
      </c>
      <c r="W87" s="14" t="e">
        <f>IF(A87&lt;&gt;"",
IF(VLOOKUP($A87,貼り付け用!$A$1:$BA$300,MATCH("おやつ",貼り付け用!$3:$3,0)+2,FALSE)=0,"",VLOOKUP($A87,貼り付け用!$A$1:$BA$300,MATCH("おやつ",貼り付け用!$3:$3,0)+2,FALSE)),"")</f>
        <v>#N/A</v>
      </c>
    </row>
    <row r="88" spans="1:23">
      <c r="A88" s="4" t="e">
        <f>IF(貼り付け用!$A$6&lt;&gt;"",
IF(ROW(A87)+1&gt;=MATCH("*10000*", 貼り付け用!$A:$A, 0),
IF(COUNTIF(A86,"*10000*"),"10001",
IF(COUNTIF(A86,"*10001*"),"10002",
IF(COUNTIF(A86,"*10002*"),"",
IF(COUNTIF(A86,""),"","10000")))),
IF(貼り付け用!A88&lt;&gt;"",貼り付け用!A88,"")),
IF(ROW(A88)+1&gt;=MATCH("*10000*", 貼り付け用!$A:$A, 0),
IF(COUNTIF(A86,"*10000*"),"10001",
IF(COUNTIF(A86,"*10001*"),"10002",
IF(COUNTIF(A86,"*10002*"),"",
IF(COUNTIF(A86,""),"","10000")))),
IF(貼り付け用!A89&lt;&gt;"",貼り付け用!A89,"")))</f>
        <v>#N/A</v>
      </c>
      <c r="B88" s="14" t="e">
        <f>IF($A88&lt;&gt;"",IF(VLOOKUP($A88,貼り付け用!$A$1:$BA$300,COLUMN(),FALSE)=0,"",VLOOKUP($A88,貼り付け用!$A$1:$BA$300,COLUMN(),FALSE)),"")</f>
        <v>#N/A</v>
      </c>
      <c r="C88" s="14" t="e">
        <f>IF($A88&lt;&gt;"",IF(VLOOKUP($A88,貼り付け用!$A$1:$BA$300,COLUMN(),FALSE)=0,"",VLOOKUP($A88,貼り付け用!$A$1:$BA$300,COLUMN(),FALSE)),"")</f>
        <v>#N/A</v>
      </c>
      <c r="D88" s="14" t="e">
        <f>IF($A88&lt;&gt;"",IF(VLOOKUP($A88,貼り付け用!$A$1:$BA$300,COLUMN(),FALSE)=0,"",VLOOKUP($A88,貼り付け用!$A$1:$BA$300,COLUMN(),FALSE)),"")</f>
        <v>#N/A</v>
      </c>
      <c r="E88" s="14" t="e">
        <f>IF($A88&lt;&gt;"",IF(VLOOKUP($A88,貼り付け用!$A$1:$BA$300,COLUMN(),FALSE)=0,"",VLOOKUP($A88,貼り付け用!$A$1:$BA$300,COLUMN(),FALSE)),"")</f>
        <v>#N/A</v>
      </c>
      <c r="F88" s="14" t="e">
        <f>IF($A88&lt;&gt;"",IF(VLOOKUP($A88,貼り付け用!$A$1:$BA$300,COLUMN(),FALSE)=0,"",VLOOKUP($A88,貼り付け用!$A$1:$BA$300,COLUMN(),FALSE)),"")</f>
        <v>#N/A</v>
      </c>
      <c r="G88" s="14" t="e">
        <f>IF($A88&lt;&gt;"",IF(VLOOKUP($A88,貼り付け用!$A$1:$BA$300,COLUMN(),FALSE)=0,"",VLOOKUP($A88,貼り付け用!$A$1:$BA$300,COLUMN(),FALSE)),"")</f>
        <v>#N/A</v>
      </c>
      <c r="H88" s="14" t="e">
        <f>IF($A88&lt;&gt;"",IF(VLOOKUP($A88,貼り付け用!$A$1:$BA$300,COLUMN(),FALSE)=0,"",VLOOKUP($A88,貼り付け用!$A$1:$BA$300,COLUMN(),FALSE)),"")</f>
        <v>#N/A</v>
      </c>
      <c r="I88" s="14" t="e">
        <f>IF($A88&lt;&gt;"",IF(VLOOKUP($A88,貼り付け用!$A$1:$BA$300,COLUMN(),FALSE)=0,"",VLOOKUP($A88,貼り付け用!$A$1:$BA$300,COLUMN(),FALSE)),"")</f>
        <v>#N/A</v>
      </c>
      <c r="J88" s="14" t="e">
        <f>IF($A88&lt;&gt;"",IF(VLOOKUP($A88,貼り付け用!$A$1:$BA$300,COLUMN(),FALSE)=0,"",VLOOKUP($A88,貼り付け用!$A$1:$BA$300,COLUMN(),FALSE)),"")</f>
        <v>#N/A</v>
      </c>
      <c r="K88" s="14" t="e">
        <f>IF($A88&lt;&gt;"",IF(VLOOKUP($A88,貼り付け用!$A$1:$BA$300,COLUMN(),FALSE)=0,"",VLOOKUP($A88,貼り付け用!$A$1:$BA$300,COLUMN(),FALSE)),"")</f>
        <v>#N/A</v>
      </c>
      <c r="L88" s="14" t="e">
        <f>IF($A88&lt;&gt;"",
IF(COLUMN(貼り付け用!L88)&gt;MATCH("おやつ",貼り付け用!$3:$3,0),"",
IF(VLOOKUP($A88,貼り付け用!$A$1:$BA$300,COLUMN(),FALSE)=0,"",VLOOKUP($A88,貼り付け用!$A$1:$BA$300,COLUMN(),FALSE))),"")</f>
        <v>#N/A</v>
      </c>
      <c r="M88" s="14" t="e">
        <f>IF($A88&lt;&gt;"",
IF(COLUMN(貼り付け用!M88)&gt;MATCH("おやつ",貼り付け用!$3:$3,0),"",
IF(VLOOKUP($A88,貼り付け用!$A$1:$BA$300,COLUMN(),FALSE)=0,"",VLOOKUP($A88,貼り付け用!$A$1:$BA$300,COLUMN(),FALSE))),"")</f>
        <v>#N/A</v>
      </c>
      <c r="N88" s="14" t="e">
        <f>IF($A88&lt;&gt;"",
IF(COLUMN(貼り付け用!N88)&gt;MATCH("おやつ",貼り付け用!$3:$3,0),"",
IF(VLOOKUP($A88,貼り付け用!$A$1:$BA$300,COLUMN(),FALSE)=0,"",VLOOKUP($A88,貼り付け用!$A$1:$BA$300,COLUMN(),FALSE))),"")</f>
        <v>#N/A</v>
      </c>
      <c r="O88" s="14" t="e">
        <f>IF($A88&lt;&gt;"",
IF(COLUMN(貼り付け用!O88)&gt;MATCH("おやつ",貼り付け用!$3:$3,0),"",
IF(VLOOKUP($A88,貼り付け用!$A$1:$BA$300,COLUMN(),FALSE)=0,"",VLOOKUP($A88,貼り付け用!$A$1:$BA$300,COLUMN(),FALSE))),"")</f>
        <v>#N/A</v>
      </c>
      <c r="P88" s="14" t="e">
        <f>IF($A88&lt;&gt;"",
IF(COLUMN(貼り付け用!P88)&gt;MATCH("おやつ",貼り付け用!$3:$3,0),"",
IF(VLOOKUP($A88,貼り付け用!$A$1:$BA$300,COLUMN(),FALSE)=0,"",VLOOKUP($A88,貼り付け用!$A$1:$BA$300,COLUMN(),FALSE))),"")</f>
        <v>#N/A</v>
      </c>
      <c r="Q88" s="14" t="e">
        <f>IF($A88&lt;&gt;"",
IF(COLUMN(貼り付け用!Q88)&gt;MATCH("おやつ",貼り付け用!$3:$3,0),"",
IF(VLOOKUP($A88,貼り付け用!$A$1:$BA$300,COLUMN(),FALSE)=0,"",VLOOKUP($A88,貼り付け用!$A$1:$BA$300,COLUMN(),FALSE))),"")</f>
        <v>#N/A</v>
      </c>
      <c r="R88" s="14" t="e">
        <f>IF($A88&lt;&gt;"",
IF(COLUMN(貼り付け用!R88)&gt;MATCH("おやつ",貼り付け用!$3:$3,0),"",
IF(VLOOKUP($A88,貼り付け用!$A$1:$BA$300,COLUMN(),FALSE)=0,"",VLOOKUP($A88,貼り付け用!$A$1:$BA$300,COLUMN(),FALSE))),"")</f>
        <v>#N/A</v>
      </c>
      <c r="S88" s="14" t="e">
        <f>IF($A88&lt;&gt;"",
IF(COLUMN(貼り付け用!S88)&gt;MATCH("おやつ",貼り付け用!$3:$3,0),"",
IF(VLOOKUP($A88,貼り付け用!$A$1:$BA$300,COLUMN(),FALSE)=0,"",VLOOKUP($A88,貼り付け用!$A$1:$BA$300,COLUMN(),FALSE))),"")</f>
        <v>#N/A</v>
      </c>
      <c r="T88" s="14" t="e">
        <f>IF(COLUMN(貼り付け用!T88)&gt;MATCH("おやつ",貼り付け用!$3:$3,0),"",
IF(VLOOKUP($A88,貼り付け用!$A$1:$BA$300,COLUMN(),FALSE)=0,"",VLOOKUP($A88,貼り付け用!$A$1:$BA$300,COLUMN(),FALSE)))</f>
        <v>#N/A</v>
      </c>
      <c r="U88" s="11"/>
      <c r="V88" s="55" t="e">
        <f>IF(A88&lt;&gt;"",
IF(VLOOKUP($A88,貼り付け用!$A$1:$BA$300,MATCH("おやつ",貼り付け用!$3:$3,0)+1,FALSE)=0,"",VLOOKUP($A88,貼り付け用!$A$1:$BA$300,MATCH("おやつ",貼り付け用!$3:$3,0)+1,FALSE)),"")</f>
        <v>#N/A</v>
      </c>
      <c r="W88" s="14" t="e">
        <f>IF(A88&lt;&gt;"",
IF(VLOOKUP($A88,貼り付け用!$A$1:$BA$300,MATCH("おやつ",貼り付け用!$3:$3,0)+2,FALSE)=0,"",VLOOKUP($A88,貼り付け用!$A$1:$BA$300,MATCH("おやつ",貼り付け用!$3:$3,0)+2,FALSE)),"")</f>
        <v>#N/A</v>
      </c>
    </row>
    <row r="89" spans="1:23">
      <c r="A89" s="8" t="e">
        <f>IF(貼り付け用!$A$6&lt;&gt;"",
IF(ROW(A88)+1&gt;=MATCH("*10000*", 貼り付け用!$A:$A, 0),"",
IF(貼り付け用!A89&lt;&gt;"",貼り付け用!A89,"")),
IF(ROW(A89)+1&gt;=MATCH("*10000*", 貼り付け用!$A:$A, 0),"",
IF(貼り付け用!A90&lt;&gt;"",貼り付け用!A90,"")))</f>
        <v>#N/A</v>
      </c>
      <c r="B89" s="3" t="e">
        <f>IF($A89&lt;&gt;"",IF(VLOOKUP($A89,貼り付け用!$A$1:$BA$300,COLUMN(),FALSE)=0,"",VLOOKUP($A89,貼り付け用!$A$1:$BA$300,COLUMN(),FALSE)),"")</f>
        <v>#N/A</v>
      </c>
      <c r="C89" s="3" t="e">
        <f>IF($A89&lt;&gt;"",IF(VLOOKUP($A89,貼り付け用!$A$1:$BA$300,COLUMN(),FALSE)=0,"",VLOOKUP($A89,貼り付け用!$A$1:$BA$300,COLUMN(),FALSE)),"")</f>
        <v>#N/A</v>
      </c>
      <c r="D89" s="3" t="e">
        <f>IF($A89&lt;&gt;"",IF(VLOOKUP($A89,貼り付け用!$A$1:$BA$300,COLUMN(),FALSE)=0,"",VLOOKUP($A89,貼り付け用!$A$1:$BA$300,COLUMN(),FALSE)),"")</f>
        <v>#N/A</v>
      </c>
      <c r="E89" s="3" t="e">
        <f>IF($A89&lt;&gt;"",IF(VLOOKUP($A89,貼り付け用!$A$1:$BA$300,COLUMN(),FALSE)=0,"",VLOOKUP($A89,貼り付け用!$A$1:$BA$300,COLUMN(),FALSE)),"")</f>
        <v>#N/A</v>
      </c>
      <c r="F89" s="3" t="e">
        <f>IF($A89&lt;&gt;"",IF(VLOOKUP($A89,貼り付け用!$A$1:$BA$300,COLUMN(),FALSE)=0,"",VLOOKUP($A89,貼り付け用!$A$1:$BA$300,COLUMN(),FALSE)),"")</f>
        <v>#N/A</v>
      </c>
      <c r="G89" s="3" t="e">
        <f>IF($A89&lt;&gt;"",IF(VLOOKUP($A89,貼り付け用!$A$1:$BA$300,COLUMN(),FALSE)=0,"",VLOOKUP($A89,貼り付け用!$A$1:$BA$300,COLUMN(),FALSE)),"")</f>
        <v>#N/A</v>
      </c>
      <c r="H89" s="3" t="e">
        <f>IF($A89&lt;&gt;"",IF(VLOOKUP($A89,貼り付け用!$A$1:$BA$300,COLUMN(),FALSE)=0,"",VLOOKUP($A89,貼り付け用!$A$1:$BA$300,COLUMN(),FALSE)),"")</f>
        <v>#N/A</v>
      </c>
      <c r="I89" s="3" t="e">
        <f>IF($A89&lt;&gt;"",IF(VLOOKUP($A89,貼り付け用!$A$1:$BA$300,COLUMN(),FALSE)=0,"",VLOOKUP($A89,貼り付け用!$A$1:$BA$300,COLUMN(),FALSE)),"")</f>
        <v>#N/A</v>
      </c>
      <c r="J89" s="3" t="e">
        <f>IF($A89&lt;&gt;"",IF(VLOOKUP($A89,貼り付け用!$A$1:$BA$300,COLUMN(),FALSE)=0,"",VLOOKUP($A89,貼り付け用!$A$1:$BA$300,COLUMN(),FALSE)),"")</f>
        <v>#N/A</v>
      </c>
      <c r="K89" s="3" t="e">
        <f>IF($A89&lt;&gt;"",IF(VLOOKUP($A89,貼り付け用!$A$1:$BA$300,COLUMN(),FALSE)=0,"",VLOOKUP($A89,貼り付け用!$A$1:$BA$300,COLUMN(),FALSE)),"")</f>
        <v>#N/A</v>
      </c>
      <c r="L89" s="3" t="e">
        <f>IF($A89&lt;&gt;"",
IF(COLUMN(貼り付け用!L89)&gt;MATCH("おやつ",貼り付け用!$3:$3,0),"",
IF(VLOOKUP($A89,貼り付け用!$A$1:$BA$300,COLUMN(),FALSE)=0,"",VLOOKUP($A89,貼り付け用!$A$1:$BA$300,COLUMN(),FALSE))),"")</f>
        <v>#N/A</v>
      </c>
      <c r="M89" s="3" t="e">
        <f>IF($A89&lt;&gt;"",
IF(COLUMN(貼り付け用!M89)&gt;MATCH("おやつ",貼り付け用!$3:$3,0),"",
IF(VLOOKUP($A89,貼り付け用!$A$1:$BA$300,COLUMN(),FALSE)=0,"",VLOOKUP($A89,貼り付け用!$A$1:$BA$300,COLUMN(),FALSE))),"")</f>
        <v>#N/A</v>
      </c>
      <c r="N89" s="3" t="e">
        <f>IF($A89&lt;&gt;"",
IF(COLUMN(貼り付け用!N89)&gt;MATCH("おやつ",貼り付け用!$3:$3,0),"",
IF(VLOOKUP($A89,貼り付け用!$A$1:$BA$300,COLUMN(),FALSE)=0,"",VLOOKUP($A89,貼り付け用!$A$1:$BA$300,COLUMN(),FALSE))),"")</f>
        <v>#N/A</v>
      </c>
      <c r="O89" s="3" t="e">
        <f>IF($A89&lt;&gt;"",
IF(COLUMN(貼り付け用!O89)&gt;MATCH("おやつ",貼り付け用!$3:$3,0),"",
IF(VLOOKUP($A89,貼り付け用!$A$1:$BA$300,COLUMN(),FALSE)=0,"",VLOOKUP($A89,貼り付け用!$A$1:$BA$300,COLUMN(),FALSE))),"")</f>
        <v>#N/A</v>
      </c>
      <c r="P89" s="3" t="e">
        <f>IF($A89&lt;&gt;"",
IF(COLUMN(貼り付け用!P89)&gt;MATCH("おやつ",貼り付け用!$3:$3,0),"",
IF(VLOOKUP($A89,貼り付け用!$A$1:$BA$300,COLUMN(),FALSE)=0,"",VLOOKUP($A89,貼り付け用!$A$1:$BA$300,COLUMN(),FALSE))),"")</f>
        <v>#N/A</v>
      </c>
      <c r="Q89" s="3" t="e">
        <f>IF($A89&lt;&gt;"",
IF(COLUMN(貼り付け用!Q89)&gt;MATCH("おやつ",貼り付け用!$3:$3,0),"",
IF(VLOOKUP($A89,貼り付け用!$A$1:$BA$300,COLUMN(),FALSE)=0,"",VLOOKUP($A89,貼り付け用!$A$1:$BA$300,COLUMN(),FALSE))),"")</f>
        <v>#N/A</v>
      </c>
      <c r="R89" s="3" t="e">
        <f>IF($A89&lt;&gt;"",
IF(COLUMN(貼り付け用!R89)&gt;MATCH("おやつ",貼り付け用!$3:$3,0),"",
IF(VLOOKUP($A89,貼り付け用!$A$1:$BA$300,COLUMN(),FALSE)=0,"",VLOOKUP($A89,貼り付け用!$A$1:$BA$300,COLUMN(),FALSE))),"")</f>
        <v>#N/A</v>
      </c>
      <c r="S89" s="3" t="e">
        <f>IF($A89&lt;&gt;"",
IF(COLUMN(貼り付け用!S89)&gt;MATCH("おやつ",貼り付け用!$3:$3,0),"",
IF(VLOOKUP($A89,貼り付け用!$A$1:$BA$300,COLUMN(),FALSE)=0,"",VLOOKUP($A89,貼り付け用!$A$1:$BA$300,COLUMN(),FALSE))),"")</f>
        <v>#N/A</v>
      </c>
      <c r="T89" s="3" t="e">
        <f>IF(COLUMN(貼り付け用!T89)&gt;MATCH("おやつ",貼り付け用!$3:$3,0),"",
IF(VLOOKUP($A89,貼り付け用!$A$1:$BA$300,COLUMN(),FALSE)=0,"",VLOOKUP($A89,貼り付け用!$A$1:$BA$300,COLUMN(),FALSE)))</f>
        <v>#N/A</v>
      </c>
      <c r="U89" s="21"/>
      <c r="V89" s="55" t="e">
        <f>IF(A89&lt;&gt;"",
IF(VLOOKUP($A89,貼り付け用!$A$1:$BA$300,MATCH("おやつ",貼り付け用!$3:$3,0)+1,FALSE)=0,"",VLOOKUP($A89,貼り付け用!$A$1:$BA$300,MATCH("おやつ",貼り付け用!$3:$3,0)+1,FALSE)),"")</f>
        <v>#N/A</v>
      </c>
      <c r="W89" s="14" t="e">
        <f>IF(A89&lt;&gt;"",
IF(VLOOKUP($A89,貼り付け用!$A$1:$BA$300,MATCH("おやつ",貼り付け用!$3:$3,0)+2,FALSE)=0,"",VLOOKUP($A89,貼り付け用!$A$1:$BA$300,MATCH("おやつ",貼り付け用!$3:$3,0)+2,FALSE)),"")</f>
        <v>#N/A</v>
      </c>
    </row>
    <row r="90" spans="1:23">
      <c r="A90" s="4" t="e">
        <f>IF(貼り付け用!$A$6&lt;&gt;"",
IF(ROW(A89)+1&gt;=MATCH("*10000*", 貼り付け用!$A:$A, 0),
IF(COUNTIF(A88,"*10000*"),"10001",
IF(COUNTIF(A88,"*10001*"),"10002",
IF(COUNTIF(A88,"*10002*"),"",
IF(COUNTIF(A88,""),"","10000")))),
IF(貼り付け用!A90&lt;&gt;"",貼り付け用!A90,"")),
IF(ROW(A90)+1&gt;=MATCH("*10000*", 貼り付け用!$A:$A, 0),
IF(COUNTIF(A88,"*10000*"),"10001",
IF(COUNTIF(A88,"*10001*"),"10002",
IF(COUNTIF(A88,"*10002*"),"",
IF(COUNTIF(A88,""),"","10000")))),
IF(貼り付け用!A91&lt;&gt;"",貼り付け用!A91,"")))</f>
        <v>#N/A</v>
      </c>
      <c r="B90" s="14" t="e">
        <f>IF($A90&lt;&gt;"",IF(VLOOKUP($A90,貼り付け用!$A$1:$BA$300,COLUMN(),FALSE)=0,"",VLOOKUP($A90,貼り付け用!$A$1:$BA$300,COLUMN(),FALSE)),"")</f>
        <v>#N/A</v>
      </c>
      <c r="C90" s="14" t="e">
        <f>IF($A90&lt;&gt;"",IF(VLOOKUP($A90,貼り付け用!$A$1:$BA$300,COLUMN(),FALSE)=0,"",VLOOKUP($A90,貼り付け用!$A$1:$BA$300,COLUMN(),FALSE)),"")</f>
        <v>#N/A</v>
      </c>
      <c r="D90" s="14" t="e">
        <f>IF($A90&lt;&gt;"",IF(VLOOKUP($A90,貼り付け用!$A$1:$BA$300,COLUMN(),FALSE)=0,"",VLOOKUP($A90,貼り付け用!$A$1:$BA$300,COLUMN(),FALSE)),"")</f>
        <v>#N/A</v>
      </c>
      <c r="E90" s="14" t="e">
        <f>IF($A90&lt;&gt;"",IF(VLOOKUP($A90,貼り付け用!$A$1:$BA$300,COLUMN(),FALSE)=0,"",VLOOKUP($A90,貼り付け用!$A$1:$BA$300,COLUMN(),FALSE)),"")</f>
        <v>#N/A</v>
      </c>
      <c r="F90" s="14" t="e">
        <f>IF($A90&lt;&gt;"",IF(VLOOKUP($A90,貼り付け用!$A$1:$BA$300,COLUMN(),FALSE)=0,"",VLOOKUP($A90,貼り付け用!$A$1:$BA$300,COLUMN(),FALSE)),"")</f>
        <v>#N/A</v>
      </c>
      <c r="G90" s="14" t="e">
        <f>IF($A90&lt;&gt;"",IF(VLOOKUP($A90,貼り付け用!$A$1:$BA$300,COLUMN(),FALSE)=0,"",VLOOKUP($A90,貼り付け用!$A$1:$BA$300,COLUMN(),FALSE)),"")</f>
        <v>#N/A</v>
      </c>
      <c r="H90" s="14" t="e">
        <f>IF($A90&lt;&gt;"",IF(VLOOKUP($A90,貼り付け用!$A$1:$BA$300,COLUMN(),FALSE)=0,"",VLOOKUP($A90,貼り付け用!$A$1:$BA$300,COLUMN(),FALSE)),"")</f>
        <v>#N/A</v>
      </c>
      <c r="I90" s="14" t="e">
        <f>IF($A90&lt;&gt;"",IF(VLOOKUP($A90,貼り付け用!$A$1:$BA$300,COLUMN(),FALSE)=0,"",VLOOKUP($A90,貼り付け用!$A$1:$BA$300,COLUMN(),FALSE)),"")</f>
        <v>#N/A</v>
      </c>
      <c r="J90" s="14" t="e">
        <f>IF($A90&lt;&gt;"",IF(VLOOKUP($A90,貼り付け用!$A$1:$BA$300,COLUMN(),FALSE)=0,"",VLOOKUP($A90,貼り付け用!$A$1:$BA$300,COLUMN(),FALSE)),"")</f>
        <v>#N/A</v>
      </c>
      <c r="K90" s="14" t="e">
        <f>IF($A90&lt;&gt;"",IF(VLOOKUP($A90,貼り付け用!$A$1:$BA$300,COLUMN(),FALSE)=0,"",VLOOKUP($A90,貼り付け用!$A$1:$BA$300,COLUMN(),FALSE)),"")</f>
        <v>#N/A</v>
      </c>
      <c r="L90" s="14" t="e">
        <f>IF($A90&lt;&gt;"",
IF(COLUMN(貼り付け用!L90)&gt;MATCH("おやつ",貼り付け用!$3:$3,0),"",
IF(VLOOKUP($A90,貼り付け用!$A$1:$BA$300,COLUMN(),FALSE)=0,"",VLOOKUP($A90,貼り付け用!$A$1:$BA$300,COLUMN(),FALSE))),"")</f>
        <v>#N/A</v>
      </c>
      <c r="M90" s="14" t="e">
        <f>IF($A90&lt;&gt;"",
IF(COLUMN(貼り付け用!M90)&gt;MATCH("おやつ",貼り付け用!$3:$3,0),"",
IF(VLOOKUP($A90,貼り付け用!$A$1:$BA$300,COLUMN(),FALSE)=0,"",VLOOKUP($A90,貼り付け用!$A$1:$BA$300,COLUMN(),FALSE))),"")</f>
        <v>#N/A</v>
      </c>
      <c r="N90" s="14" t="e">
        <f>IF($A90&lt;&gt;"",
IF(COLUMN(貼り付け用!N90)&gt;MATCH("おやつ",貼り付け用!$3:$3,0),"",
IF(VLOOKUP($A90,貼り付け用!$A$1:$BA$300,COLUMN(),FALSE)=0,"",VLOOKUP($A90,貼り付け用!$A$1:$BA$300,COLUMN(),FALSE))),"")</f>
        <v>#N/A</v>
      </c>
      <c r="O90" s="14" t="e">
        <f>IF($A90&lt;&gt;"",
IF(COLUMN(貼り付け用!O90)&gt;MATCH("おやつ",貼り付け用!$3:$3,0),"",
IF(VLOOKUP($A90,貼り付け用!$A$1:$BA$300,COLUMN(),FALSE)=0,"",VLOOKUP($A90,貼り付け用!$A$1:$BA$300,COLUMN(),FALSE))),"")</f>
        <v>#N/A</v>
      </c>
      <c r="P90" s="14" t="e">
        <f>IF($A90&lt;&gt;"",
IF(COLUMN(貼り付け用!P90)&gt;MATCH("おやつ",貼り付け用!$3:$3,0),"",
IF(VLOOKUP($A90,貼り付け用!$A$1:$BA$300,COLUMN(),FALSE)=0,"",VLOOKUP($A90,貼り付け用!$A$1:$BA$300,COLUMN(),FALSE))),"")</f>
        <v>#N/A</v>
      </c>
      <c r="Q90" s="14" t="e">
        <f>IF($A90&lt;&gt;"",
IF(COLUMN(貼り付け用!Q90)&gt;MATCH("おやつ",貼り付け用!$3:$3,0),"",
IF(VLOOKUP($A90,貼り付け用!$A$1:$BA$300,COLUMN(),FALSE)=0,"",VLOOKUP($A90,貼り付け用!$A$1:$BA$300,COLUMN(),FALSE))),"")</f>
        <v>#N/A</v>
      </c>
      <c r="R90" s="14" t="e">
        <f>IF($A90&lt;&gt;"",
IF(COLUMN(貼り付け用!R90)&gt;MATCH("おやつ",貼り付け用!$3:$3,0),"",
IF(VLOOKUP($A90,貼り付け用!$A$1:$BA$300,COLUMN(),FALSE)=0,"",VLOOKUP($A90,貼り付け用!$A$1:$BA$300,COLUMN(),FALSE))),"")</f>
        <v>#N/A</v>
      </c>
      <c r="S90" s="14" t="e">
        <f>IF($A90&lt;&gt;"",
IF(COLUMN(貼り付け用!S90)&gt;MATCH("おやつ",貼り付け用!$3:$3,0),"",
IF(VLOOKUP($A90,貼り付け用!$A$1:$BA$300,COLUMN(),FALSE)=0,"",VLOOKUP($A90,貼り付け用!$A$1:$BA$300,COLUMN(),FALSE))),"")</f>
        <v>#N/A</v>
      </c>
      <c r="T90" s="14" t="e">
        <f>IF(COLUMN(貼り付け用!T90)&gt;MATCH("おやつ",貼り付け用!$3:$3,0),"",
IF(VLOOKUP($A90,貼り付け用!$A$1:$BA$300,COLUMN(),FALSE)=0,"",VLOOKUP($A90,貼り付け用!$A$1:$BA$300,COLUMN(),FALSE)))</f>
        <v>#N/A</v>
      </c>
      <c r="U90" s="11"/>
      <c r="V90" s="55" t="e">
        <f>IF(A90&lt;&gt;"",
IF(VLOOKUP($A90,貼り付け用!$A$1:$BA$300,MATCH("おやつ",貼り付け用!$3:$3,0)+1,FALSE)=0,"",VLOOKUP($A90,貼り付け用!$A$1:$BA$300,MATCH("おやつ",貼り付け用!$3:$3,0)+1,FALSE)),"")</f>
        <v>#N/A</v>
      </c>
      <c r="W90" s="14" t="e">
        <f>IF(A90&lt;&gt;"",
IF(VLOOKUP($A90,貼り付け用!$A$1:$BA$300,MATCH("おやつ",貼り付け用!$3:$3,0)+2,FALSE)=0,"",VLOOKUP($A90,貼り付け用!$A$1:$BA$300,MATCH("おやつ",貼り付け用!$3:$3,0)+2,FALSE)),"")</f>
        <v>#N/A</v>
      </c>
    </row>
    <row r="91" spans="1:23">
      <c r="A91" s="8" t="e">
        <f>IF(貼り付け用!$A$6&lt;&gt;"",
IF(ROW(A90)+1&gt;=MATCH("*10000*", 貼り付け用!$A:$A, 0),"",
IF(貼り付け用!A91&lt;&gt;"",貼り付け用!A91,"")),
IF(ROW(A91)+1&gt;=MATCH("*10000*", 貼り付け用!$A:$A, 0),"",
IF(貼り付け用!A92&lt;&gt;"",貼り付け用!A92,"")))</f>
        <v>#N/A</v>
      </c>
      <c r="B91" s="3" t="e">
        <f>IF($A91&lt;&gt;"",IF(VLOOKUP($A91,貼り付け用!$A$1:$BA$300,COLUMN(),FALSE)=0,"",VLOOKUP($A91,貼り付け用!$A$1:$BA$300,COLUMN(),FALSE)),"")</f>
        <v>#N/A</v>
      </c>
      <c r="C91" s="3" t="e">
        <f>IF($A91&lt;&gt;"",IF(VLOOKUP($A91,貼り付け用!$A$1:$BA$300,COLUMN(),FALSE)=0,"",VLOOKUP($A91,貼り付け用!$A$1:$BA$300,COLUMN(),FALSE)),"")</f>
        <v>#N/A</v>
      </c>
      <c r="D91" s="3" t="e">
        <f>IF($A91&lt;&gt;"",IF(VLOOKUP($A91,貼り付け用!$A$1:$BA$300,COLUMN(),FALSE)=0,"",VLOOKUP($A91,貼り付け用!$A$1:$BA$300,COLUMN(),FALSE)),"")</f>
        <v>#N/A</v>
      </c>
      <c r="E91" s="3" t="e">
        <f>IF($A91&lt;&gt;"",IF(VLOOKUP($A91,貼り付け用!$A$1:$BA$300,COLUMN(),FALSE)=0,"",VLOOKUP($A91,貼り付け用!$A$1:$BA$300,COLUMN(),FALSE)),"")</f>
        <v>#N/A</v>
      </c>
      <c r="F91" s="3" t="e">
        <f>IF($A91&lt;&gt;"",IF(VLOOKUP($A91,貼り付け用!$A$1:$BA$300,COLUMN(),FALSE)=0,"",VLOOKUP($A91,貼り付け用!$A$1:$BA$300,COLUMN(),FALSE)),"")</f>
        <v>#N/A</v>
      </c>
      <c r="G91" s="3" t="e">
        <f>IF($A91&lt;&gt;"",IF(VLOOKUP($A91,貼り付け用!$A$1:$BA$300,COLUMN(),FALSE)=0,"",VLOOKUP($A91,貼り付け用!$A$1:$BA$300,COLUMN(),FALSE)),"")</f>
        <v>#N/A</v>
      </c>
      <c r="H91" s="3" t="e">
        <f>IF($A91&lt;&gt;"",IF(VLOOKUP($A91,貼り付け用!$A$1:$BA$300,COLUMN(),FALSE)=0,"",VLOOKUP($A91,貼り付け用!$A$1:$BA$300,COLUMN(),FALSE)),"")</f>
        <v>#N/A</v>
      </c>
      <c r="I91" s="3" t="e">
        <f>IF($A91&lt;&gt;"",IF(VLOOKUP($A91,貼り付け用!$A$1:$BA$300,COLUMN(),FALSE)=0,"",VLOOKUP($A91,貼り付け用!$A$1:$BA$300,COLUMN(),FALSE)),"")</f>
        <v>#N/A</v>
      </c>
      <c r="J91" s="3" t="e">
        <f>IF($A91&lt;&gt;"",IF(VLOOKUP($A91,貼り付け用!$A$1:$BA$300,COLUMN(),FALSE)=0,"",VLOOKUP($A91,貼り付け用!$A$1:$BA$300,COLUMN(),FALSE)),"")</f>
        <v>#N/A</v>
      </c>
      <c r="K91" s="3" t="e">
        <f>IF($A91&lt;&gt;"",IF(VLOOKUP($A91,貼り付け用!$A$1:$BA$300,COLUMN(),FALSE)=0,"",VLOOKUP($A91,貼り付け用!$A$1:$BA$300,COLUMN(),FALSE)),"")</f>
        <v>#N/A</v>
      </c>
      <c r="L91" s="3" t="e">
        <f>IF($A91&lt;&gt;"",
IF(COLUMN(貼り付け用!L91)&gt;MATCH("おやつ",貼り付け用!$3:$3,0),"",
IF(VLOOKUP($A91,貼り付け用!$A$1:$BA$300,COLUMN(),FALSE)=0,"",VLOOKUP($A91,貼り付け用!$A$1:$BA$300,COLUMN(),FALSE))),"")</f>
        <v>#N/A</v>
      </c>
      <c r="M91" s="3" t="e">
        <f>IF($A91&lt;&gt;"",
IF(COLUMN(貼り付け用!M91)&gt;MATCH("おやつ",貼り付け用!$3:$3,0),"",
IF(VLOOKUP($A91,貼り付け用!$A$1:$BA$300,COLUMN(),FALSE)=0,"",VLOOKUP($A91,貼り付け用!$A$1:$BA$300,COLUMN(),FALSE))),"")</f>
        <v>#N/A</v>
      </c>
      <c r="N91" s="3" t="e">
        <f>IF($A91&lt;&gt;"",
IF(COLUMN(貼り付け用!N91)&gt;MATCH("おやつ",貼り付け用!$3:$3,0),"",
IF(VLOOKUP($A91,貼り付け用!$A$1:$BA$300,COLUMN(),FALSE)=0,"",VLOOKUP($A91,貼り付け用!$A$1:$BA$300,COLUMN(),FALSE))),"")</f>
        <v>#N/A</v>
      </c>
      <c r="O91" s="3" t="e">
        <f>IF($A91&lt;&gt;"",
IF(COLUMN(貼り付け用!O91)&gt;MATCH("おやつ",貼り付け用!$3:$3,0),"",
IF(VLOOKUP($A91,貼り付け用!$A$1:$BA$300,COLUMN(),FALSE)=0,"",VLOOKUP($A91,貼り付け用!$A$1:$BA$300,COLUMN(),FALSE))),"")</f>
        <v>#N/A</v>
      </c>
      <c r="P91" s="3" t="e">
        <f>IF($A91&lt;&gt;"",
IF(COLUMN(貼り付け用!P91)&gt;MATCH("おやつ",貼り付け用!$3:$3,0),"",
IF(VLOOKUP($A91,貼り付け用!$A$1:$BA$300,COLUMN(),FALSE)=0,"",VLOOKUP($A91,貼り付け用!$A$1:$BA$300,COLUMN(),FALSE))),"")</f>
        <v>#N/A</v>
      </c>
      <c r="Q91" s="3" t="e">
        <f>IF($A91&lt;&gt;"",
IF(COLUMN(貼り付け用!Q91)&gt;MATCH("おやつ",貼り付け用!$3:$3,0),"",
IF(VLOOKUP($A91,貼り付け用!$A$1:$BA$300,COLUMN(),FALSE)=0,"",VLOOKUP($A91,貼り付け用!$A$1:$BA$300,COLUMN(),FALSE))),"")</f>
        <v>#N/A</v>
      </c>
      <c r="R91" s="3" t="e">
        <f>IF($A91&lt;&gt;"",
IF(COLUMN(貼り付け用!R91)&gt;MATCH("おやつ",貼り付け用!$3:$3,0),"",
IF(VLOOKUP($A91,貼り付け用!$A$1:$BA$300,COLUMN(),FALSE)=0,"",VLOOKUP($A91,貼り付け用!$A$1:$BA$300,COLUMN(),FALSE))),"")</f>
        <v>#N/A</v>
      </c>
      <c r="S91" s="3" t="e">
        <f>IF($A91&lt;&gt;"",
IF(COLUMN(貼り付け用!S91)&gt;MATCH("おやつ",貼り付け用!$3:$3,0),"",
IF(VLOOKUP($A91,貼り付け用!$A$1:$BA$300,COLUMN(),FALSE)=0,"",VLOOKUP($A91,貼り付け用!$A$1:$BA$300,COLUMN(),FALSE))),"")</f>
        <v>#N/A</v>
      </c>
      <c r="T91" s="3" t="e">
        <f>IF(COLUMN(貼り付け用!T91)&gt;MATCH("おやつ",貼り付け用!$3:$3,0),"",
IF(VLOOKUP($A91,貼り付け用!$A$1:$BA$300,COLUMN(),FALSE)=0,"",VLOOKUP($A91,貼り付け用!$A$1:$BA$300,COLUMN(),FALSE)))</f>
        <v>#N/A</v>
      </c>
      <c r="U91" s="21"/>
      <c r="V91" s="55" t="e">
        <f>IF(A91&lt;&gt;"",
IF(VLOOKUP($A91,貼り付け用!$A$1:$BA$300,MATCH("おやつ",貼り付け用!$3:$3,0)+1,FALSE)=0,"",VLOOKUP($A91,貼り付け用!$A$1:$BA$300,MATCH("おやつ",貼り付け用!$3:$3,0)+1,FALSE)),"")</f>
        <v>#N/A</v>
      </c>
      <c r="W91" s="14" t="e">
        <f>IF(A91&lt;&gt;"",
IF(VLOOKUP($A91,貼り付け用!$A$1:$BA$300,MATCH("おやつ",貼り付け用!$3:$3,0)+2,FALSE)=0,"",VLOOKUP($A91,貼り付け用!$A$1:$BA$300,MATCH("おやつ",貼り付け用!$3:$3,0)+2,FALSE)),"")</f>
        <v>#N/A</v>
      </c>
    </row>
    <row r="92" spans="1:23">
      <c r="A92" s="4" t="e">
        <f>IF(貼り付け用!$A$6&lt;&gt;"",
IF(ROW(A91)+1&gt;=MATCH("*10000*", 貼り付け用!$A:$A, 0),
IF(COUNTIF(A90,"*10000*"),"10001",
IF(COUNTIF(A90,"*10001*"),"10002",
IF(COUNTIF(A90,"*10002*"),"",
IF(COUNTIF(A90,""),"","10000")))),
IF(貼り付け用!A92&lt;&gt;"",貼り付け用!A92,"")),
IF(ROW(A92)+1&gt;=MATCH("*10000*", 貼り付け用!$A:$A, 0),
IF(COUNTIF(A90,"*10000*"),"10001",
IF(COUNTIF(A90,"*10001*"),"10002",
IF(COUNTIF(A90,"*10002*"),"",
IF(COUNTIF(A90,""),"","10000")))),
IF(貼り付け用!A93&lt;&gt;"",貼り付け用!A93,"")))</f>
        <v>#N/A</v>
      </c>
      <c r="B92" s="14" t="e">
        <f>IF($A92&lt;&gt;"",IF(VLOOKUP($A92,貼り付け用!$A$1:$BA$300,COLUMN(),FALSE)=0,"",VLOOKUP($A92,貼り付け用!$A$1:$BA$300,COLUMN(),FALSE)),"")</f>
        <v>#N/A</v>
      </c>
      <c r="C92" s="14" t="e">
        <f>IF($A92&lt;&gt;"",IF(VLOOKUP($A92,貼り付け用!$A$1:$BA$300,COLUMN(),FALSE)=0,"",VLOOKUP($A92,貼り付け用!$A$1:$BA$300,COLUMN(),FALSE)),"")</f>
        <v>#N/A</v>
      </c>
      <c r="D92" s="14" t="e">
        <f>IF($A92&lt;&gt;"",IF(VLOOKUP($A92,貼り付け用!$A$1:$BA$300,COLUMN(),FALSE)=0,"",VLOOKUP($A92,貼り付け用!$A$1:$BA$300,COLUMN(),FALSE)),"")</f>
        <v>#N/A</v>
      </c>
      <c r="E92" s="14" t="e">
        <f>IF($A92&lt;&gt;"",IF(VLOOKUP($A92,貼り付け用!$A$1:$BA$300,COLUMN(),FALSE)=0,"",VLOOKUP($A92,貼り付け用!$A$1:$BA$300,COLUMN(),FALSE)),"")</f>
        <v>#N/A</v>
      </c>
      <c r="F92" s="14" t="e">
        <f>IF($A92&lt;&gt;"",IF(VLOOKUP($A92,貼り付け用!$A$1:$BA$300,COLUMN(),FALSE)=0,"",VLOOKUP($A92,貼り付け用!$A$1:$BA$300,COLUMN(),FALSE)),"")</f>
        <v>#N/A</v>
      </c>
      <c r="G92" s="14" t="e">
        <f>IF($A92&lt;&gt;"",IF(VLOOKUP($A92,貼り付け用!$A$1:$BA$300,COLUMN(),FALSE)=0,"",VLOOKUP($A92,貼り付け用!$A$1:$BA$300,COLUMN(),FALSE)),"")</f>
        <v>#N/A</v>
      </c>
      <c r="H92" s="14" t="e">
        <f>IF($A92&lt;&gt;"",IF(VLOOKUP($A92,貼り付け用!$A$1:$BA$300,COLUMN(),FALSE)=0,"",VLOOKUP($A92,貼り付け用!$A$1:$BA$300,COLUMN(),FALSE)),"")</f>
        <v>#N/A</v>
      </c>
      <c r="I92" s="14" t="e">
        <f>IF($A92&lt;&gt;"",IF(VLOOKUP($A92,貼り付け用!$A$1:$BA$300,COLUMN(),FALSE)=0,"",VLOOKUP($A92,貼り付け用!$A$1:$BA$300,COLUMN(),FALSE)),"")</f>
        <v>#N/A</v>
      </c>
      <c r="J92" s="14" t="e">
        <f>IF($A92&lt;&gt;"",IF(VLOOKUP($A92,貼り付け用!$A$1:$BA$300,COLUMN(),FALSE)=0,"",VLOOKUP($A92,貼り付け用!$A$1:$BA$300,COLUMN(),FALSE)),"")</f>
        <v>#N/A</v>
      </c>
      <c r="K92" s="14" t="e">
        <f>IF($A92&lt;&gt;"",IF(VLOOKUP($A92,貼り付け用!$A$1:$BA$300,COLUMN(),FALSE)=0,"",VLOOKUP($A92,貼り付け用!$A$1:$BA$300,COLUMN(),FALSE)),"")</f>
        <v>#N/A</v>
      </c>
      <c r="L92" s="14" t="e">
        <f>IF($A92&lt;&gt;"",
IF(COLUMN(貼り付け用!L92)&gt;MATCH("おやつ",貼り付け用!$3:$3,0),"",
IF(VLOOKUP($A92,貼り付け用!$A$1:$BA$300,COLUMN(),FALSE)=0,"",VLOOKUP($A92,貼り付け用!$A$1:$BA$300,COLUMN(),FALSE))),"")</f>
        <v>#N/A</v>
      </c>
      <c r="M92" s="14" t="e">
        <f>IF($A92&lt;&gt;"",
IF(COLUMN(貼り付け用!M92)&gt;MATCH("おやつ",貼り付け用!$3:$3,0),"",
IF(VLOOKUP($A92,貼り付け用!$A$1:$BA$300,COLUMN(),FALSE)=0,"",VLOOKUP($A92,貼り付け用!$A$1:$BA$300,COLUMN(),FALSE))),"")</f>
        <v>#N/A</v>
      </c>
      <c r="N92" s="14" t="e">
        <f>IF($A92&lt;&gt;"",
IF(COLUMN(貼り付け用!N92)&gt;MATCH("おやつ",貼り付け用!$3:$3,0),"",
IF(VLOOKUP($A92,貼り付け用!$A$1:$BA$300,COLUMN(),FALSE)=0,"",VLOOKUP($A92,貼り付け用!$A$1:$BA$300,COLUMN(),FALSE))),"")</f>
        <v>#N/A</v>
      </c>
      <c r="O92" s="14" t="e">
        <f>IF($A92&lt;&gt;"",
IF(COLUMN(貼り付け用!O92)&gt;MATCH("おやつ",貼り付け用!$3:$3,0),"",
IF(VLOOKUP($A92,貼り付け用!$A$1:$BA$300,COLUMN(),FALSE)=0,"",VLOOKUP($A92,貼り付け用!$A$1:$BA$300,COLUMN(),FALSE))),"")</f>
        <v>#N/A</v>
      </c>
      <c r="P92" s="14" t="e">
        <f>IF($A92&lt;&gt;"",
IF(COLUMN(貼り付け用!P92)&gt;MATCH("おやつ",貼り付け用!$3:$3,0),"",
IF(VLOOKUP($A92,貼り付け用!$A$1:$BA$300,COLUMN(),FALSE)=0,"",VLOOKUP($A92,貼り付け用!$A$1:$BA$300,COLUMN(),FALSE))),"")</f>
        <v>#N/A</v>
      </c>
      <c r="Q92" s="14" t="e">
        <f>IF($A92&lt;&gt;"",
IF(COLUMN(貼り付け用!Q92)&gt;MATCH("おやつ",貼り付け用!$3:$3,0),"",
IF(VLOOKUP($A92,貼り付け用!$A$1:$BA$300,COLUMN(),FALSE)=0,"",VLOOKUP($A92,貼り付け用!$A$1:$BA$300,COLUMN(),FALSE))),"")</f>
        <v>#N/A</v>
      </c>
      <c r="R92" s="14" t="e">
        <f>IF($A92&lt;&gt;"",
IF(COLUMN(貼り付け用!R92)&gt;MATCH("おやつ",貼り付け用!$3:$3,0),"",
IF(VLOOKUP($A92,貼り付け用!$A$1:$BA$300,COLUMN(),FALSE)=0,"",VLOOKUP($A92,貼り付け用!$A$1:$BA$300,COLUMN(),FALSE))),"")</f>
        <v>#N/A</v>
      </c>
      <c r="S92" s="14" t="e">
        <f>IF($A92&lt;&gt;"",
IF(COLUMN(貼り付け用!S92)&gt;MATCH("おやつ",貼り付け用!$3:$3,0),"",
IF(VLOOKUP($A92,貼り付け用!$A$1:$BA$300,COLUMN(),FALSE)=0,"",VLOOKUP($A92,貼り付け用!$A$1:$BA$300,COLUMN(),FALSE))),"")</f>
        <v>#N/A</v>
      </c>
      <c r="T92" s="14" t="e">
        <f>IF(COLUMN(貼り付け用!T92)&gt;MATCH("おやつ",貼り付け用!$3:$3,0),"",
IF(VLOOKUP($A92,貼り付け用!$A$1:$BA$300,COLUMN(),FALSE)=0,"",VLOOKUP($A92,貼り付け用!$A$1:$BA$300,COLUMN(),FALSE)))</f>
        <v>#N/A</v>
      </c>
      <c r="U92" s="11"/>
      <c r="V92" s="55" t="e">
        <f>IF(A92&lt;&gt;"",
IF(VLOOKUP($A92,貼り付け用!$A$1:$BA$300,MATCH("おやつ",貼り付け用!$3:$3,0)+1,FALSE)=0,"",VLOOKUP($A92,貼り付け用!$A$1:$BA$300,MATCH("おやつ",貼り付け用!$3:$3,0)+1,FALSE)),"")</f>
        <v>#N/A</v>
      </c>
      <c r="W92" s="14" t="e">
        <f>IF(A92&lt;&gt;"",
IF(VLOOKUP($A92,貼り付け用!$A$1:$BA$300,MATCH("おやつ",貼り付け用!$3:$3,0)+2,FALSE)=0,"",VLOOKUP($A92,貼り付け用!$A$1:$BA$300,MATCH("おやつ",貼り付け用!$3:$3,0)+2,FALSE)),"")</f>
        <v>#N/A</v>
      </c>
    </row>
    <row r="93" spans="1:23">
      <c r="A93" s="8" t="e">
        <f>IF(貼り付け用!$A$6&lt;&gt;"",
IF(ROW(A92)+1&gt;=MATCH("*10000*", 貼り付け用!$A:$A, 0),"",
IF(貼り付け用!A93&lt;&gt;"",貼り付け用!A93,"")),
IF(ROW(A93)+1&gt;=MATCH("*10000*", 貼り付け用!$A:$A, 0),"",
IF(貼り付け用!A94&lt;&gt;"",貼り付け用!A94,"")))</f>
        <v>#N/A</v>
      </c>
      <c r="B93" s="3" t="e">
        <f>IF($A93&lt;&gt;"",IF(VLOOKUP($A93,貼り付け用!$A$1:$BA$300,COLUMN(),FALSE)=0,"",VLOOKUP($A93,貼り付け用!$A$1:$BA$300,COLUMN(),FALSE)),"")</f>
        <v>#N/A</v>
      </c>
      <c r="C93" s="3" t="e">
        <f>IF($A93&lt;&gt;"",IF(VLOOKUP($A93,貼り付け用!$A$1:$BA$300,COLUMN(),FALSE)=0,"",VLOOKUP($A93,貼り付け用!$A$1:$BA$300,COLUMN(),FALSE)),"")</f>
        <v>#N/A</v>
      </c>
      <c r="D93" s="3" t="e">
        <f>IF($A93&lt;&gt;"",IF(VLOOKUP($A93,貼り付け用!$A$1:$BA$300,COLUMN(),FALSE)=0,"",VLOOKUP($A93,貼り付け用!$A$1:$BA$300,COLUMN(),FALSE)),"")</f>
        <v>#N/A</v>
      </c>
      <c r="E93" s="3" t="e">
        <f>IF($A93&lt;&gt;"",IF(VLOOKUP($A93,貼り付け用!$A$1:$BA$300,COLUMN(),FALSE)=0,"",VLOOKUP($A93,貼り付け用!$A$1:$BA$300,COLUMN(),FALSE)),"")</f>
        <v>#N/A</v>
      </c>
      <c r="F93" s="3" t="e">
        <f>IF($A93&lt;&gt;"",IF(VLOOKUP($A93,貼り付け用!$A$1:$BA$300,COLUMN(),FALSE)=0,"",VLOOKUP($A93,貼り付け用!$A$1:$BA$300,COLUMN(),FALSE)),"")</f>
        <v>#N/A</v>
      </c>
      <c r="G93" s="3" t="e">
        <f>IF($A93&lt;&gt;"",IF(VLOOKUP($A93,貼り付け用!$A$1:$BA$300,COLUMN(),FALSE)=0,"",VLOOKUP($A93,貼り付け用!$A$1:$BA$300,COLUMN(),FALSE)),"")</f>
        <v>#N/A</v>
      </c>
      <c r="H93" s="3" t="e">
        <f>IF($A93&lt;&gt;"",IF(VLOOKUP($A93,貼り付け用!$A$1:$BA$300,COLUMN(),FALSE)=0,"",VLOOKUP($A93,貼り付け用!$A$1:$BA$300,COLUMN(),FALSE)),"")</f>
        <v>#N/A</v>
      </c>
      <c r="I93" s="3" t="e">
        <f>IF($A93&lt;&gt;"",IF(VLOOKUP($A93,貼り付け用!$A$1:$BA$300,COLUMN(),FALSE)=0,"",VLOOKUP($A93,貼り付け用!$A$1:$BA$300,COLUMN(),FALSE)),"")</f>
        <v>#N/A</v>
      </c>
      <c r="J93" s="3" t="e">
        <f>IF($A93&lt;&gt;"",IF(VLOOKUP($A93,貼り付け用!$A$1:$BA$300,COLUMN(),FALSE)=0,"",VLOOKUP($A93,貼り付け用!$A$1:$BA$300,COLUMN(),FALSE)),"")</f>
        <v>#N/A</v>
      </c>
      <c r="K93" s="3" t="e">
        <f>IF($A93&lt;&gt;"",IF(VLOOKUP($A93,貼り付け用!$A$1:$BA$300,COLUMN(),FALSE)=0,"",VLOOKUP($A93,貼り付け用!$A$1:$BA$300,COLUMN(),FALSE)),"")</f>
        <v>#N/A</v>
      </c>
      <c r="L93" s="3" t="e">
        <f>IF($A93&lt;&gt;"",
IF(COLUMN(貼り付け用!L93)&gt;MATCH("おやつ",貼り付け用!$3:$3,0),"",
IF(VLOOKUP($A93,貼り付け用!$A$1:$BA$300,COLUMN(),FALSE)=0,"",VLOOKUP($A93,貼り付け用!$A$1:$BA$300,COLUMN(),FALSE))),"")</f>
        <v>#N/A</v>
      </c>
      <c r="M93" s="3" t="e">
        <f>IF($A93&lt;&gt;"",
IF(COLUMN(貼り付け用!M93)&gt;MATCH("おやつ",貼り付け用!$3:$3,0),"",
IF(VLOOKUP($A93,貼り付け用!$A$1:$BA$300,COLUMN(),FALSE)=0,"",VLOOKUP($A93,貼り付け用!$A$1:$BA$300,COLUMN(),FALSE))),"")</f>
        <v>#N/A</v>
      </c>
      <c r="N93" s="3" t="e">
        <f>IF($A93&lt;&gt;"",
IF(COLUMN(貼り付け用!N93)&gt;MATCH("おやつ",貼り付け用!$3:$3,0),"",
IF(VLOOKUP($A93,貼り付け用!$A$1:$BA$300,COLUMN(),FALSE)=0,"",VLOOKUP($A93,貼り付け用!$A$1:$BA$300,COLUMN(),FALSE))),"")</f>
        <v>#N/A</v>
      </c>
      <c r="O93" s="3" t="e">
        <f>IF($A93&lt;&gt;"",
IF(COLUMN(貼り付け用!O93)&gt;MATCH("おやつ",貼り付け用!$3:$3,0),"",
IF(VLOOKUP($A93,貼り付け用!$A$1:$BA$300,COLUMN(),FALSE)=0,"",VLOOKUP($A93,貼り付け用!$A$1:$BA$300,COLUMN(),FALSE))),"")</f>
        <v>#N/A</v>
      </c>
      <c r="P93" s="3" t="e">
        <f>IF($A93&lt;&gt;"",
IF(COLUMN(貼り付け用!P93)&gt;MATCH("おやつ",貼り付け用!$3:$3,0),"",
IF(VLOOKUP($A93,貼り付け用!$A$1:$BA$300,COLUMN(),FALSE)=0,"",VLOOKUP($A93,貼り付け用!$A$1:$BA$300,COLUMN(),FALSE))),"")</f>
        <v>#N/A</v>
      </c>
      <c r="Q93" s="3" t="e">
        <f>IF($A93&lt;&gt;"",
IF(COLUMN(貼り付け用!Q93)&gt;MATCH("おやつ",貼り付け用!$3:$3,0),"",
IF(VLOOKUP($A93,貼り付け用!$A$1:$BA$300,COLUMN(),FALSE)=0,"",VLOOKUP($A93,貼り付け用!$A$1:$BA$300,COLUMN(),FALSE))),"")</f>
        <v>#N/A</v>
      </c>
      <c r="R93" s="3" t="e">
        <f>IF($A93&lt;&gt;"",
IF(COLUMN(貼り付け用!R93)&gt;MATCH("おやつ",貼り付け用!$3:$3,0),"",
IF(VLOOKUP($A93,貼り付け用!$A$1:$BA$300,COLUMN(),FALSE)=0,"",VLOOKUP($A93,貼り付け用!$A$1:$BA$300,COLUMN(),FALSE))),"")</f>
        <v>#N/A</v>
      </c>
      <c r="S93" s="3" t="e">
        <f>IF($A93&lt;&gt;"",
IF(COLUMN(貼り付け用!S93)&gt;MATCH("おやつ",貼り付け用!$3:$3,0),"",
IF(VLOOKUP($A93,貼り付け用!$A$1:$BA$300,COLUMN(),FALSE)=0,"",VLOOKUP($A93,貼り付け用!$A$1:$BA$300,COLUMN(),FALSE))),"")</f>
        <v>#N/A</v>
      </c>
      <c r="T93" s="3" t="e">
        <f>IF(COLUMN(貼り付け用!T93)&gt;MATCH("おやつ",貼り付け用!$3:$3,0),"",
IF(VLOOKUP($A93,貼り付け用!$A$1:$BA$300,COLUMN(),FALSE)=0,"",VLOOKUP($A93,貼り付け用!$A$1:$BA$300,COLUMN(),FALSE)))</f>
        <v>#N/A</v>
      </c>
      <c r="U93" s="21"/>
      <c r="V93" s="55" t="e">
        <f>IF(A93&lt;&gt;"",
IF(VLOOKUP($A93,貼り付け用!$A$1:$BA$300,MATCH("おやつ",貼り付け用!$3:$3,0)+1,FALSE)=0,"",VLOOKUP($A93,貼り付け用!$A$1:$BA$300,MATCH("おやつ",貼り付け用!$3:$3,0)+1,FALSE)),"")</f>
        <v>#N/A</v>
      </c>
      <c r="W93" s="14" t="e">
        <f>IF(A93&lt;&gt;"",
IF(VLOOKUP($A93,貼り付け用!$A$1:$BA$300,MATCH("おやつ",貼り付け用!$3:$3,0)+2,FALSE)=0,"",VLOOKUP($A93,貼り付け用!$A$1:$BA$300,MATCH("おやつ",貼り付け用!$3:$3,0)+2,FALSE)),"")</f>
        <v>#N/A</v>
      </c>
    </row>
    <row r="94" spans="1:23">
      <c r="A94" s="4" t="e">
        <f>IF(貼り付け用!$A$6&lt;&gt;"",
IF(ROW(A93)+1&gt;=MATCH("*10000*", 貼り付け用!$A:$A, 0),
IF(COUNTIF(A92,"*10000*"),"10001",
IF(COUNTIF(A92,"*10001*"),"10002",
IF(COUNTIF(A92,"*10002*"),"",
IF(COUNTIF(A92,""),"","10000")))),
IF(貼り付け用!A94&lt;&gt;"",貼り付け用!A94,"")),
IF(ROW(A94)+1&gt;=MATCH("*10000*", 貼り付け用!$A:$A, 0),
IF(COUNTIF(A92,"*10000*"),"10001",
IF(COUNTIF(A92,"*10001*"),"10002",
IF(COUNTIF(A92,"*10002*"),"",
IF(COUNTIF(A92,""),"","10000")))),
IF(貼り付け用!A95&lt;&gt;"",貼り付け用!A95,"")))</f>
        <v>#N/A</v>
      </c>
      <c r="B94" s="14" t="e">
        <f>IF($A94&lt;&gt;"",IF(VLOOKUP($A94,貼り付け用!$A$1:$BA$300,COLUMN(),FALSE)=0,"",VLOOKUP($A94,貼り付け用!$A$1:$BA$300,COLUMN(),FALSE)),"")</f>
        <v>#N/A</v>
      </c>
      <c r="C94" s="14" t="e">
        <f>IF($A94&lt;&gt;"",IF(VLOOKUP($A94,貼り付け用!$A$1:$BA$300,COLUMN(),FALSE)=0,"",VLOOKUP($A94,貼り付け用!$A$1:$BA$300,COLUMN(),FALSE)),"")</f>
        <v>#N/A</v>
      </c>
      <c r="D94" s="14" t="e">
        <f>IF($A94&lt;&gt;"",IF(VLOOKUP($A94,貼り付け用!$A$1:$BA$300,COLUMN(),FALSE)=0,"",VLOOKUP($A94,貼り付け用!$A$1:$BA$300,COLUMN(),FALSE)),"")</f>
        <v>#N/A</v>
      </c>
      <c r="E94" s="14" t="e">
        <f>IF($A94&lt;&gt;"",IF(VLOOKUP($A94,貼り付け用!$A$1:$BA$300,COLUMN(),FALSE)=0,"",VLOOKUP($A94,貼り付け用!$A$1:$BA$300,COLUMN(),FALSE)),"")</f>
        <v>#N/A</v>
      </c>
      <c r="F94" s="14" t="e">
        <f>IF($A94&lt;&gt;"",IF(VLOOKUP($A94,貼り付け用!$A$1:$BA$300,COLUMN(),FALSE)=0,"",VLOOKUP($A94,貼り付け用!$A$1:$BA$300,COLUMN(),FALSE)),"")</f>
        <v>#N/A</v>
      </c>
      <c r="G94" s="14" t="e">
        <f>IF($A94&lt;&gt;"",IF(VLOOKUP($A94,貼り付け用!$A$1:$BA$300,COLUMN(),FALSE)=0,"",VLOOKUP($A94,貼り付け用!$A$1:$BA$300,COLUMN(),FALSE)),"")</f>
        <v>#N/A</v>
      </c>
      <c r="H94" s="14" t="e">
        <f>IF($A94&lt;&gt;"",IF(VLOOKUP($A94,貼り付け用!$A$1:$BA$300,COLUMN(),FALSE)=0,"",VLOOKUP($A94,貼り付け用!$A$1:$BA$300,COLUMN(),FALSE)),"")</f>
        <v>#N/A</v>
      </c>
      <c r="I94" s="14" t="e">
        <f>IF($A94&lt;&gt;"",IF(VLOOKUP($A94,貼り付け用!$A$1:$BA$300,COLUMN(),FALSE)=0,"",VLOOKUP($A94,貼り付け用!$A$1:$BA$300,COLUMN(),FALSE)),"")</f>
        <v>#N/A</v>
      </c>
      <c r="J94" s="14" t="e">
        <f>IF($A94&lt;&gt;"",IF(VLOOKUP($A94,貼り付け用!$A$1:$BA$300,COLUMN(),FALSE)=0,"",VLOOKUP($A94,貼り付け用!$A$1:$BA$300,COLUMN(),FALSE)),"")</f>
        <v>#N/A</v>
      </c>
      <c r="K94" s="14" t="e">
        <f>IF($A94&lt;&gt;"",IF(VLOOKUP($A94,貼り付け用!$A$1:$BA$300,COLUMN(),FALSE)=0,"",VLOOKUP($A94,貼り付け用!$A$1:$BA$300,COLUMN(),FALSE)),"")</f>
        <v>#N/A</v>
      </c>
      <c r="L94" s="14" t="e">
        <f>IF($A94&lt;&gt;"",
IF(COLUMN(貼り付け用!L94)&gt;MATCH("おやつ",貼り付け用!$3:$3,0),"",
IF(VLOOKUP($A94,貼り付け用!$A$1:$BA$300,COLUMN(),FALSE)=0,"",VLOOKUP($A94,貼り付け用!$A$1:$BA$300,COLUMN(),FALSE))),"")</f>
        <v>#N/A</v>
      </c>
      <c r="M94" s="14" t="e">
        <f>IF($A94&lt;&gt;"",
IF(COLUMN(貼り付け用!M94)&gt;MATCH("おやつ",貼り付け用!$3:$3,0),"",
IF(VLOOKUP($A94,貼り付け用!$A$1:$BA$300,COLUMN(),FALSE)=0,"",VLOOKUP($A94,貼り付け用!$A$1:$BA$300,COLUMN(),FALSE))),"")</f>
        <v>#N/A</v>
      </c>
      <c r="N94" s="14" t="e">
        <f>IF($A94&lt;&gt;"",
IF(COLUMN(貼り付け用!N94)&gt;MATCH("おやつ",貼り付け用!$3:$3,0),"",
IF(VLOOKUP($A94,貼り付け用!$A$1:$BA$300,COLUMN(),FALSE)=0,"",VLOOKUP($A94,貼り付け用!$A$1:$BA$300,COLUMN(),FALSE))),"")</f>
        <v>#N/A</v>
      </c>
      <c r="O94" s="14" t="e">
        <f>IF($A94&lt;&gt;"",
IF(COLUMN(貼り付け用!O94)&gt;MATCH("おやつ",貼り付け用!$3:$3,0),"",
IF(VLOOKUP($A94,貼り付け用!$A$1:$BA$300,COLUMN(),FALSE)=0,"",VLOOKUP($A94,貼り付け用!$A$1:$BA$300,COLUMN(),FALSE))),"")</f>
        <v>#N/A</v>
      </c>
      <c r="P94" s="14" t="e">
        <f>IF($A94&lt;&gt;"",
IF(COLUMN(貼り付け用!P94)&gt;MATCH("おやつ",貼り付け用!$3:$3,0),"",
IF(VLOOKUP($A94,貼り付け用!$A$1:$BA$300,COLUMN(),FALSE)=0,"",VLOOKUP($A94,貼り付け用!$A$1:$BA$300,COLUMN(),FALSE))),"")</f>
        <v>#N/A</v>
      </c>
      <c r="Q94" s="14" t="e">
        <f>IF($A94&lt;&gt;"",
IF(COLUMN(貼り付け用!Q94)&gt;MATCH("おやつ",貼り付け用!$3:$3,0),"",
IF(VLOOKUP($A94,貼り付け用!$A$1:$BA$300,COLUMN(),FALSE)=0,"",VLOOKUP($A94,貼り付け用!$A$1:$BA$300,COLUMN(),FALSE))),"")</f>
        <v>#N/A</v>
      </c>
      <c r="R94" s="14" t="e">
        <f>IF($A94&lt;&gt;"",
IF(COLUMN(貼り付け用!R94)&gt;MATCH("おやつ",貼り付け用!$3:$3,0),"",
IF(VLOOKUP($A94,貼り付け用!$A$1:$BA$300,COLUMN(),FALSE)=0,"",VLOOKUP($A94,貼り付け用!$A$1:$BA$300,COLUMN(),FALSE))),"")</f>
        <v>#N/A</v>
      </c>
      <c r="S94" s="14" t="e">
        <f>IF($A94&lt;&gt;"",
IF(COLUMN(貼り付け用!S94)&gt;MATCH("おやつ",貼り付け用!$3:$3,0),"",
IF(VLOOKUP($A94,貼り付け用!$A$1:$BA$300,COLUMN(),FALSE)=0,"",VLOOKUP($A94,貼り付け用!$A$1:$BA$300,COLUMN(),FALSE))),"")</f>
        <v>#N/A</v>
      </c>
      <c r="T94" s="14" t="e">
        <f>IF(COLUMN(貼り付け用!T94)&gt;MATCH("おやつ",貼り付け用!$3:$3,0),"",
IF(VLOOKUP($A94,貼り付け用!$A$1:$BA$300,COLUMN(),FALSE)=0,"",VLOOKUP($A94,貼り付け用!$A$1:$BA$300,COLUMN(),FALSE)))</f>
        <v>#N/A</v>
      </c>
      <c r="U94" s="11"/>
      <c r="V94" s="55" t="e">
        <f>IF(A94&lt;&gt;"",
IF(VLOOKUP($A94,貼り付け用!$A$1:$BA$300,MATCH("おやつ",貼り付け用!$3:$3,0)+1,FALSE)=0,"",VLOOKUP($A94,貼り付け用!$A$1:$BA$300,MATCH("おやつ",貼り付け用!$3:$3,0)+1,FALSE)),"")</f>
        <v>#N/A</v>
      </c>
      <c r="W94" s="14" t="e">
        <f>IF(A94&lt;&gt;"",
IF(VLOOKUP($A94,貼り付け用!$A$1:$BA$300,MATCH("おやつ",貼り付け用!$3:$3,0)+2,FALSE)=0,"",VLOOKUP($A94,貼り付け用!$A$1:$BA$300,MATCH("おやつ",貼り付け用!$3:$3,0)+2,FALSE)),"")</f>
        <v>#N/A</v>
      </c>
    </row>
    <row r="95" spans="1:23">
      <c r="A95" s="8" t="e">
        <f>IF(貼り付け用!$A$6&lt;&gt;"",
IF(ROW(A94)+1&gt;=MATCH("*10000*", 貼り付け用!$A:$A, 0),"",
IF(貼り付け用!A95&lt;&gt;"",貼り付け用!A95,"")),
IF(ROW(A95)+1&gt;=MATCH("*10000*", 貼り付け用!$A:$A, 0),"",
IF(貼り付け用!A96&lt;&gt;"",貼り付け用!A96,"")))</f>
        <v>#N/A</v>
      </c>
      <c r="B95" s="3" t="e">
        <f>IF($A95&lt;&gt;"",IF(VLOOKUP($A95,貼り付け用!$A$1:$BA$300,COLUMN(),FALSE)=0,"",VLOOKUP($A95,貼り付け用!$A$1:$BA$300,COLUMN(),FALSE)),"")</f>
        <v>#N/A</v>
      </c>
      <c r="C95" s="3" t="e">
        <f>IF($A95&lt;&gt;"",IF(VLOOKUP($A95,貼り付け用!$A$1:$BA$300,COLUMN(),FALSE)=0,"",VLOOKUP($A95,貼り付け用!$A$1:$BA$300,COLUMN(),FALSE)),"")</f>
        <v>#N/A</v>
      </c>
      <c r="D95" s="3" t="e">
        <f>IF($A95&lt;&gt;"",IF(VLOOKUP($A95,貼り付け用!$A$1:$BA$300,COLUMN(),FALSE)=0,"",VLOOKUP($A95,貼り付け用!$A$1:$BA$300,COLUMN(),FALSE)),"")</f>
        <v>#N/A</v>
      </c>
      <c r="E95" s="3" t="e">
        <f>IF($A95&lt;&gt;"",IF(VLOOKUP($A95,貼り付け用!$A$1:$BA$300,COLUMN(),FALSE)=0,"",VLOOKUP($A95,貼り付け用!$A$1:$BA$300,COLUMN(),FALSE)),"")</f>
        <v>#N/A</v>
      </c>
      <c r="F95" s="3" t="e">
        <f>IF($A95&lt;&gt;"",IF(VLOOKUP($A95,貼り付け用!$A$1:$BA$300,COLUMN(),FALSE)=0,"",VLOOKUP($A95,貼り付け用!$A$1:$BA$300,COLUMN(),FALSE)),"")</f>
        <v>#N/A</v>
      </c>
      <c r="G95" s="3" t="e">
        <f>IF($A95&lt;&gt;"",IF(VLOOKUP($A95,貼り付け用!$A$1:$BA$300,COLUMN(),FALSE)=0,"",VLOOKUP($A95,貼り付け用!$A$1:$BA$300,COLUMN(),FALSE)),"")</f>
        <v>#N/A</v>
      </c>
      <c r="H95" s="3" t="e">
        <f>IF($A95&lt;&gt;"",IF(VLOOKUP($A95,貼り付け用!$A$1:$BA$300,COLUMN(),FALSE)=0,"",VLOOKUP($A95,貼り付け用!$A$1:$BA$300,COLUMN(),FALSE)),"")</f>
        <v>#N/A</v>
      </c>
      <c r="I95" s="3" t="e">
        <f>IF($A95&lt;&gt;"",IF(VLOOKUP($A95,貼り付け用!$A$1:$BA$300,COLUMN(),FALSE)=0,"",VLOOKUP($A95,貼り付け用!$A$1:$BA$300,COLUMN(),FALSE)),"")</f>
        <v>#N/A</v>
      </c>
      <c r="J95" s="3" t="e">
        <f>IF($A95&lt;&gt;"",IF(VLOOKUP($A95,貼り付け用!$A$1:$BA$300,COLUMN(),FALSE)=0,"",VLOOKUP($A95,貼り付け用!$A$1:$BA$300,COLUMN(),FALSE)),"")</f>
        <v>#N/A</v>
      </c>
      <c r="K95" s="3" t="e">
        <f>IF($A95&lt;&gt;"",IF(VLOOKUP($A95,貼り付け用!$A$1:$BA$300,COLUMN(),FALSE)=0,"",VLOOKUP($A95,貼り付け用!$A$1:$BA$300,COLUMN(),FALSE)),"")</f>
        <v>#N/A</v>
      </c>
      <c r="L95" s="3" t="e">
        <f>IF($A95&lt;&gt;"",
IF(COLUMN(貼り付け用!L95)&gt;MATCH("おやつ",貼り付け用!$3:$3,0),"",
IF(VLOOKUP($A95,貼り付け用!$A$1:$BA$300,COLUMN(),FALSE)=0,"",VLOOKUP($A95,貼り付け用!$A$1:$BA$300,COLUMN(),FALSE))),"")</f>
        <v>#N/A</v>
      </c>
      <c r="M95" s="3" t="e">
        <f>IF($A95&lt;&gt;"",
IF(COLUMN(貼り付け用!M95)&gt;MATCH("おやつ",貼り付け用!$3:$3,0),"",
IF(VLOOKUP($A95,貼り付け用!$A$1:$BA$300,COLUMN(),FALSE)=0,"",VLOOKUP($A95,貼り付け用!$A$1:$BA$300,COLUMN(),FALSE))),"")</f>
        <v>#N/A</v>
      </c>
      <c r="N95" s="3" t="e">
        <f>IF($A95&lt;&gt;"",
IF(COLUMN(貼り付け用!N95)&gt;MATCH("おやつ",貼り付け用!$3:$3,0),"",
IF(VLOOKUP($A95,貼り付け用!$A$1:$BA$300,COLUMN(),FALSE)=0,"",VLOOKUP($A95,貼り付け用!$A$1:$BA$300,COLUMN(),FALSE))),"")</f>
        <v>#N/A</v>
      </c>
      <c r="O95" s="3" t="e">
        <f>IF($A95&lt;&gt;"",
IF(COLUMN(貼り付け用!O95)&gt;MATCH("おやつ",貼り付け用!$3:$3,0),"",
IF(VLOOKUP($A95,貼り付け用!$A$1:$BA$300,COLUMN(),FALSE)=0,"",VLOOKUP($A95,貼り付け用!$A$1:$BA$300,COLUMN(),FALSE))),"")</f>
        <v>#N/A</v>
      </c>
      <c r="P95" s="3" t="e">
        <f>IF($A95&lt;&gt;"",
IF(COLUMN(貼り付け用!P95)&gt;MATCH("おやつ",貼り付け用!$3:$3,0),"",
IF(VLOOKUP($A95,貼り付け用!$A$1:$BA$300,COLUMN(),FALSE)=0,"",VLOOKUP($A95,貼り付け用!$A$1:$BA$300,COLUMN(),FALSE))),"")</f>
        <v>#N/A</v>
      </c>
      <c r="Q95" s="3" t="e">
        <f>IF($A95&lt;&gt;"",
IF(COLUMN(貼り付け用!Q95)&gt;MATCH("おやつ",貼り付け用!$3:$3,0),"",
IF(VLOOKUP($A95,貼り付け用!$A$1:$BA$300,COLUMN(),FALSE)=0,"",VLOOKUP($A95,貼り付け用!$A$1:$BA$300,COLUMN(),FALSE))),"")</f>
        <v>#N/A</v>
      </c>
      <c r="R95" s="3" t="e">
        <f>IF($A95&lt;&gt;"",
IF(COLUMN(貼り付け用!R95)&gt;MATCH("おやつ",貼り付け用!$3:$3,0),"",
IF(VLOOKUP($A95,貼り付け用!$A$1:$BA$300,COLUMN(),FALSE)=0,"",VLOOKUP($A95,貼り付け用!$A$1:$BA$300,COLUMN(),FALSE))),"")</f>
        <v>#N/A</v>
      </c>
      <c r="S95" s="3" t="e">
        <f>IF($A95&lt;&gt;"",
IF(COLUMN(貼り付け用!S95)&gt;MATCH("おやつ",貼り付け用!$3:$3,0),"",
IF(VLOOKUP($A95,貼り付け用!$A$1:$BA$300,COLUMN(),FALSE)=0,"",VLOOKUP($A95,貼り付け用!$A$1:$BA$300,COLUMN(),FALSE))),"")</f>
        <v>#N/A</v>
      </c>
      <c r="T95" s="3" t="e">
        <f>IF(COLUMN(貼り付け用!T95)&gt;MATCH("おやつ",貼り付け用!$3:$3,0),"",
IF(VLOOKUP($A95,貼り付け用!$A$1:$BA$300,COLUMN(),FALSE)=0,"",VLOOKUP($A95,貼り付け用!$A$1:$BA$300,COLUMN(),FALSE)))</f>
        <v>#N/A</v>
      </c>
      <c r="U95" s="21"/>
      <c r="V95" s="55" t="e">
        <f>IF(A95&lt;&gt;"",
IF(VLOOKUP($A95,貼り付け用!$A$1:$BA$300,MATCH("おやつ",貼り付け用!$3:$3,0)+1,FALSE)=0,"",VLOOKUP($A95,貼り付け用!$A$1:$BA$300,MATCH("おやつ",貼り付け用!$3:$3,0)+1,FALSE)),"")</f>
        <v>#N/A</v>
      </c>
      <c r="W95" s="14" t="e">
        <f>IF(A95&lt;&gt;"",
IF(VLOOKUP($A95,貼り付け用!$A$1:$BA$300,MATCH("おやつ",貼り付け用!$3:$3,0)+2,FALSE)=0,"",VLOOKUP($A95,貼り付け用!$A$1:$BA$300,MATCH("おやつ",貼り付け用!$3:$3,0)+2,FALSE)),"")</f>
        <v>#N/A</v>
      </c>
    </row>
    <row r="96" spans="1:23">
      <c r="A96" s="4" t="e">
        <f>IF(貼り付け用!$A$6&lt;&gt;"",
IF(ROW(A95)+1&gt;=MATCH("*10000*", 貼り付け用!$A:$A, 0),
IF(COUNTIF(A94,"*10000*"),"10001",
IF(COUNTIF(A94,"*10001*"),"10002",
IF(COUNTIF(A94,"*10002*"),"",
IF(COUNTIF(A94,""),"","10000")))),
IF(貼り付け用!A96&lt;&gt;"",貼り付け用!A96,"")),
IF(ROW(A96)+1&gt;=MATCH("*10000*", 貼り付け用!$A:$A, 0),
IF(COUNTIF(A94,"*10000*"),"10001",
IF(COUNTIF(A94,"*10001*"),"10002",
IF(COUNTIF(A94,"*10002*"),"",
IF(COUNTIF(A94,""),"","10000")))),
IF(貼り付け用!A97&lt;&gt;"",貼り付け用!A97,"")))</f>
        <v>#N/A</v>
      </c>
      <c r="B96" s="14" t="e">
        <f>IF($A96&lt;&gt;"",IF(VLOOKUP($A96,貼り付け用!$A$1:$BA$300,COLUMN(),FALSE)=0,"",VLOOKUP($A96,貼り付け用!$A$1:$BA$300,COLUMN(),FALSE)),"")</f>
        <v>#N/A</v>
      </c>
      <c r="C96" s="14" t="e">
        <f>IF($A96&lt;&gt;"",IF(VLOOKUP($A96,貼り付け用!$A$1:$BA$300,COLUMN(),FALSE)=0,"",VLOOKUP($A96,貼り付け用!$A$1:$BA$300,COLUMN(),FALSE)),"")</f>
        <v>#N/A</v>
      </c>
      <c r="D96" s="14" t="e">
        <f>IF($A96&lt;&gt;"",IF(VLOOKUP($A96,貼り付け用!$A$1:$BA$300,COLUMN(),FALSE)=0,"",VLOOKUP($A96,貼り付け用!$A$1:$BA$300,COLUMN(),FALSE)),"")</f>
        <v>#N/A</v>
      </c>
      <c r="E96" s="14" t="e">
        <f>IF($A96&lt;&gt;"",IF(VLOOKUP($A96,貼り付け用!$A$1:$BA$300,COLUMN(),FALSE)=0,"",VLOOKUP($A96,貼り付け用!$A$1:$BA$300,COLUMN(),FALSE)),"")</f>
        <v>#N/A</v>
      </c>
      <c r="F96" s="14" t="e">
        <f>IF($A96&lt;&gt;"",IF(VLOOKUP($A96,貼り付け用!$A$1:$BA$300,COLUMN(),FALSE)=0,"",VLOOKUP($A96,貼り付け用!$A$1:$BA$300,COLUMN(),FALSE)),"")</f>
        <v>#N/A</v>
      </c>
      <c r="G96" s="14" t="e">
        <f>IF($A96&lt;&gt;"",IF(VLOOKUP($A96,貼り付け用!$A$1:$BA$300,COLUMN(),FALSE)=0,"",VLOOKUP($A96,貼り付け用!$A$1:$BA$300,COLUMN(),FALSE)),"")</f>
        <v>#N/A</v>
      </c>
      <c r="H96" s="14" t="e">
        <f>IF($A96&lt;&gt;"",IF(VLOOKUP($A96,貼り付け用!$A$1:$BA$300,COLUMN(),FALSE)=0,"",VLOOKUP($A96,貼り付け用!$A$1:$BA$300,COLUMN(),FALSE)),"")</f>
        <v>#N/A</v>
      </c>
      <c r="I96" s="14" t="e">
        <f>IF($A96&lt;&gt;"",IF(VLOOKUP($A96,貼り付け用!$A$1:$BA$300,COLUMN(),FALSE)=0,"",VLOOKUP($A96,貼り付け用!$A$1:$BA$300,COLUMN(),FALSE)),"")</f>
        <v>#N/A</v>
      </c>
      <c r="J96" s="14" t="e">
        <f>IF($A96&lt;&gt;"",IF(VLOOKUP($A96,貼り付け用!$A$1:$BA$300,COLUMN(),FALSE)=0,"",VLOOKUP($A96,貼り付け用!$A$1:$BA$300,COLUMN(),FALSE)),"")</f>
        <v>#N/A</v>
      </c>
      <c r="K96" s="14" t="e">
        <f>IF($A96&lt;&gt;"",IF(VLOOKUP($A96,貼り付け用!$A$1:$BA$300,COLUMN(),FALSE)=0,"",VLOOKUP($A96,貼り付け用!$A$1:$BA$300,COLUMN(),FALSE)),"")</f>
        <v>#N/A</v>
      </c>
      <c r="L96" s="14" t="e">
        <f>IF($A96&lt;&gt;"",
IF(COLUMN(貼り付け用!L96)&gt;MATCH("おやつ",貼り付け用!$3:$3,0),"",
IF(VLOOKUP($A96,貼り付け用!$A$1:$BA$300,COLUMN(),FALSE)=0,"",VLOOKUP($A96,貼り付け用!$A$1:$BA$300,COLUMN(),FALSE))),"")</f>
        <v>#N/A</v>
      </c>
      <c r="M96" s="14" t="e">
        <f>IF($A96&lt;&gt;"",
IF(COLUMN(貼り付け用!M96)&gt;MATCH("おやつ",貼り付け用!$3:$3,0),"",
IF(VLOOKUP($A96,貼り付け用!$A$1:$BA$300,COLUMN(),FALSE)=0,"",VLOOKUP($A96,貼り付け用!$A$1:$BA$300,COLUMN(),FALSE))),"")</f>
        <v>#N/A</v>
      </c>
      <c r="N96" s="14" t="e">
        <f>IF($A96&lt;&gt;"",
IF(COLUMN(貼り付け用!N96)&gt;MATCH("おやつ",貼り付け用!$3:$3,0),"",
IF(VLOOKUP($A96,貼り付け用!$A$1:$BA$300,COLUMN(),FALSE)=0,"",VLOOKUP($A96,貼り付け用!$A$1:$BA$300,COLUMN(),FALSE))),"")</f>
        <v>#N/A</v>
      </c>
      <c r="O96" s="14" t="e">
        <f>IF($A96&lt;&gt;"",
IF(COLUMN(貼り付け用!O96)&gt;MATCH("おやつ",貼り付け用!$3:$3,0),"",
IF(VLOOKUP($A96,貼り付け用!$A$1:$BA$300,COLUMN(),FALSE)=0,"",VLOOKUP($A96,貼り付け用!$A$1:$BA$300,COLUMN(),FALSE))),"")</f>
        <v>#N/A</v>
      </c>
      <c r="P96" s="14" t="e">
        <f>IF($A96&lt;&gt;"",
IF(COLUMN(貼り付け用!P96)&gt;MATCH("おやつ",貼り付け用!$3:$3,0),"",
IF(VLOOKUP($A96,貼り付け用!$A$1:$BA$300,COLUMN(),FALSE)=0,"",VLOOKUP($A96,貼り付け用!$A$1:$BA$300,COLUMN(),FALSE))),"")</f>
        <v>#N/A</v>
      </c>
      <c r="Q96" s="14" t="e">
        <f>IF($A96&lt;&gt;"",
IF(COLUMN(貼り付け用!Q96)&gt;MATCH("おやつ",貼り付け用!$3:$3,0),"",
IF(VLOOKUP($A96,貼り付け用!$A$1:$BA$300,COLUMN(),FALSE)=0,"",VLOOKUP($A96,貼り付け用!$A$1:$BA$300,COLUMN(),FALSE))),"")</f>
        <v>#N/A</v>
      </c>
      <c r="R96" s="14" t="e">
        <f>IF($A96&lt;&gt;"",
IF(COLUMN(貼り付け用!R96)&gt;MATCH("おやつ",貼り付け用!$3:$3,0),"",
IF(VLOOKUP($A96,貼り付け用!$A$1:$BA$300,COLUMN(),FALSE)=0,"",VLOOKUP($A96,貼り付け用!$A$1:$BA$300,COLUMN(),FALSE))),"")</f>
        <v>#N/A</v>
      </c>
      <c r="S96" s="14" t="e">
        <f>IF($A96&lt;&gt;"",
IF(COLUMN(貼り付け用!S96)&gt;MATCH("おやつ",貼り付け用!$3:$3,0),"",
IF(VLOOKUP($A96,貼り付け用!$A$1:$BA$300,COLUMN(),FALSE)=0,"",VLOOKUP($A96,貼り付け用!$A$1:$BA$300,COLUMN(),FALSE))),"")</f>
        <v>#N/A</v>
      </c>
      <c r="T96" s="14" t="e">
        <f>IF(COLUMN(貼り付け用!T96)&gt;MATCH("おやつ",貼り付け用!$3:$3,0),"",
IF(VLOOKUP($A96,貼り付け用!$A$1:$BA$300,COLUMN(),FALSE)=0,"",VLOOKUP($A96,貼り付け用!$A$1:$BA$300,COLUMN(),FALSE)))</f>
        <v>#N/A</v>
      </c>
      <c r="U96" s="11"/>
      <c r="V96" s="55" t="e">
        <f>IF(A96&lt;&gt;"",
IF(VLOOKUP($A96,貼り付け用!$A$1:$BA$300,MATCH("おやつ",貼り付け用!$3:$3,0)+1,FALSE)=0,"",VLOOKUP($A96,貼り付け用!$A$1:$BA$300,MATCH("おやつ",貼り付け用!$3:$3,0)+1,FALSE)),"")</f>
        <v>#N/A</v>
      </c>
      <c r="W96" s="14" t="e">
        <f>IF(A96&lt;&gt;"",
IF(VLOOKUP($A96,貼り付け用!$A$1:$BA$300,MATCH("おやつ",貼り付け用!$3:$3,0)+2,FALSE)=0,"",VLOOKUP($A96,貼り付け用!$A$1:$BA$300,MATCH("おやつ",貼り付け用!$3:$3,0)+2,FALSE)),"")</f>
        <v>#N/A</v>
      </c>
    </row>
    <row r="97" spans="1:23">
      <c r="A97" s="8" t="e">
        <f>IF(貼り付け用!$A$6&lt;&gt;"",
IF(ROW(A96)+1&gt;=MATCH("*10000*", 貼り付け用!$A:$A, 0),"",
IF(貼り付け用!A97&lt;&gt;"",貼り付け用!A97,"")),
IF(ROW(A97)+1&gt;=MATCH("*10000*", 貼り付け用!$A:$A, 0),"",
IF(貼り付け用!A98&lt;&gt;"",貼り付け用!A98,"")))</f>
        <v>#N/A</v>
      </c>
      <c r="B97" s="3" t="e">
        <f>IF($A97&lt;&gt;"",IF(VLOOKUP($A97,貼り付け用!$A$1:$BA$300,COLUMN(),FALSE)=0,"",VLOOKUP($A97,貼り付け用!$A$1:$BA$300,COLUMN(),FALSE)),"")</f>
        <v>#N/A</v>
      </c>
      <c r="C97" s="3" t="e">
        <f>IF($A97&lt;&gt;"",IF(VLOOKUP($A97,貼り付け用!$A$1:$BA$300,COLUMN(),FALSE)=0,"",VLOOKUP($A97,貼り付け用!$A$1:$BA$300,COLUMN(),FALSE)),"")</f>
        <v>#N/A</v>
      </c>
      <c r="D97" s="3" t="e">
        <f>IF($A97&lt;&gt;"",IF(VLOOKUP($A97,貼り付け用!$A$1:$BA$300,COLUMN(),FALSE)=0,"",VLOOKUP($A97,貼り付け用!$A$1:$BA$300,COLUMN(),FALSE)),"")</f>
        <v>#N/A</v>
      </c>
      <c r="E97" s="3" t="e">
        <f>IF($A97&lt;&gt;"",IF(VLOOKUP($A97,貼り付け用!$A$1:$BA$300,COLUMN(),FALSE)=0,"",VLOOKUP($A97,貼り付け用!$A$1:$BA$300,COLUMN(),FALSE)),"")</f>
        <v>#N/A</v>
      </c>
      <c r="F97" s="3" t="e">
        <f>IF($A97&lt;&gt;"",IF(VLOOKUP($A97,貼り付け用!$A$1:$BA$300,COLUMN(),FALSE)=0,"",VLOOKUP($A97,貼り付け用!$A$1:$BA$300,COLUMN(),FALSE)),"")</f>
        <v>#N/A</v>
      </c>
      <c r="G97" s="3" t="e">
        <f>IF($A97&lt;&gt;"",IF(VLOOKUP($A97,貼り付け用!$A$1:$BA$300,COLUMN(),FALSE)=0,"",VLOOKUP($A97,貼り付け用!$A$1:$BA$300,COLUMN(),FALSE)),"")</f>
        <v>#N/A</v>
      </c>
      <c r="H97" s="3" t="e">
        <f>IF($A97&lt;&gt;"",IF(VLOOKUP($A97,貼り付け用!$A$1:$BA$300,COLUMN(),FALSE)=0,"",VLOOKUP($A97,貼り付け用!$A$1:$BA$300,COLUMN(),FALSE)),"")</f>
        <v>#N/A</v>
      </c>
      <c r="I97" s="3" t="e">
        <f>IF($A97&lt;&gt;"",IF(VLOOKUP($A97,貼り付け用!$A$1:$BA$300,COLUMN(),FALSE)=0,"",VLOOKUP($A97,貼り付け用!$A$1:$BA$300,COLUMN(),FALSE)),"")</f>
        <v>#N/A</v>
      </c>
      <c r="J97" s="3" t="e">
        <f>IF($A97&lt;&gt;"",IF(VLOOKUP($A97,貼り付け用!$A$1:$BA$300,COLUMN(),FALSE)=0,"",VLOOKUP($A97,貼り付け用!$A$1:$BA$300,COLUMN(),FALSE)),"")</f>
        <v>#N/A</v>
      </c>
      <c r="K97" s="3" t="e">
        <f>IF($A97&lt;&gt;"",IF(VLOOKUP($A97,貼り付け用!$A$1:$BA$300,COLUMN(),FALSE)=0,"",VLOOKUP($A97,貼り付け用!$A$1:$BA$300,COLUMN(),FALSE)),"")</f>
        <v>#N/A</v>
      </c>
      <c r="L97" s="3" t="e">
        <f>IF($A97&lt;&gt;"",
IF(COLUMN(貼り付け用!L97)&gt;MATCH("おやつ",貼り付け用!$3:$3,0),"",
IF(VLOOKUP($A97,貼り付け用!$A$1:$BA$300,COLUMN(),FALSE)=0,"",VLOOKUP($A97,貼り付け用!$A$1:$BA$300,COLUMN(),FALSE))),"")</f>
        <v>#N/A</v>
      </c>
      <c r="M97" s="3" t="e">
        <f>IF($A97&lt;&gt;"",
IF(COLUMN(貼り付け用!M97)&gt;MATCH("おやつ",貼り付け用!$3:$3,0),"",
IF(VLOOKUP($A97,貼り付け用!$A$1:$BA$300,COLUMN(),FALSE)=0,"",VLOOKUP($A97,貼り付け用!$A$1:$BA$300,COLUMN(),FALSE))),"")</f>
        <v>#N/A</v>
      </c>
      <c r="N97" s="3" t="e">
        <f>IF($A97&lt;&gt;"",
IF(COLUMN(貼り付け用!N97)&gt;MATCH("おやつ",貼り付け用!$3:$3,0),"",
IF(VLOOKUP($A97,貼り付け用!$A$1:$BA$300,COLUMN(),FALSE)=0,"",VLOOKUP($A97,貼り付け用!$A$1:$BA$300,COLUMN(),FALSE))),"")</f>
        <v>#N/A</v>
      </c>
      <c r="O97" s="3" t="e">
        <f>IF($A97&lt;&gt;"",
IF(COLUMN(貼り付け用!O97)&gt;MATCH("おやつ",貼り付け用!$3:$3,0),"",
IF(VLOOKUP($A97,貼り付け用!$A$1:$BA$300,COLUMN(),FALSE)=0,"",VLOOKUP($A97,貼り付け用!$A$1:$BA$300,COLUMN(),FALSE))),"")</f>
        <v>#N/A</v>
      </c>
      <c r="P97" s="3" t="e">
        <f>IF($A97&lt;&gt;"",
IF(COLUMN(貼り付け用!P97)&gt;MATCH("おやつ",貼り付け用!$3:$3,0),"",
IF(VLOOKUP($A97,貼り付け用!$A$1:$BA$300,COLUMN(),FALSE)=0,"",VLOOKUP($A97,貼り付け用!$A$1:$BA$300,COLUMN(),FALSE))),"")</f>
        <v>#N/A</v>
      </c>
      <c r="Q97" s="3" t="e">
        <f>IF($A97&lt;&gt;"",
IF(COLUMN(貼り付け用!Q97)&gt;MATCH("おやつ",貼り付け用!$3:$3,0),"",
IF(VLOOKUP($A97,貼り付け用!$A$1:$BA$300,COLUMN(),FALSE)=0,"",VLOOKUP($A97,貼り付け用!$A$1:$BA$300,COLUMN(),FALSE))),"")</f>
        <v>#N/A</v>
      </c>
      <c r="R97" s="3" t="e">
        <f>IF($A97&lt;&gt;"",
IF(COLUMN(貼り付け用!R97)&gt;MATCH("おやつ",貼り付け用!$3:$3,0),"",
IF(VLOOKUP($A97,貼り付け用!$A$1:$BA$300,COLUMN(),FALSE)=0,"",VLOOKUP($A97,貼り付け用!$A$1:$BA$300,COLUMN(),FALSE))),"")</f>
        <v>#N/A</v>
      </c>
      <c r="S97" s="3" t="e">
        <f>IF($A97&lt;&gt;"",
IF(COLUMN(貼り付け用!S97)&gt;MATCH("おやつ",貼り付け用!$3:$3,0),"",
IF(VLOOKUP($A97,貼り付け用!$A$1:$BA$300,COLUMN(),FALSE)=0,"",VLOOKUP($A97,貼り付け用!$A$1:$BA$300,COLUMN(),FALSE))),"")</f>
        <v>#N/A</v>
      </c>
      <c r="T97" s="3" t="e">
        <f>IF(COLUMN(貼り付け用!T97)&gt;MATCH("おやつ",貼り付け用!$3:$3,0),"",
IF(VLOOKUP($A97,貼り付け用!$A$1:$BA$300,COLUMN(),FALSE)=0,"",VLOOKUP($A97,貼り付け用!$A$1:$BA$300,COLUMN(),FALSE)))</f>
        <v>#N/A</v>
      </c>
      <c r="U97" s="21"/>
      <c r="V97" s="55" t="e">
        <f>IF(A97&lt;&gt;"",
IF(VLOOKUP($A97,貼り付け用!$A$1:$BA$300,MATCH("おやつ",貼り付け用!$3:$3,0)+1,FALSE)=0,"",VLOOKUP($A97,貼り付け用!$A$1:$BA$300,MATCH("おやつ",貼り付け用!$3:$3,0)+1,FALSE)),"")</f>
        <v>#N/A</v>
      </c>
      <c r="W97" s="14" t="e">
        <f>IF(A97&lt;&gt;"",
IF(VLOOKUP($A97,貼り付け用!$A$1:$BA$300,MATCH("おやつ",貼り付け用!$3:$3,0)+2,FALSE)=0,"",VLOOKUP($A97,貼り付け用!$A$1:$BA$300,MATCH("おやつ",貼り付け用!$3:$3,0)+2,FALSE)),"")</f>
        <v>#N/A</v>
      </c>
    </row>
    <row r="98" spans="1:23">
      <c r="A98" s="4" t="e">
        <f>IF(貼り付け用!$A$6&lt;&gt;"",
IF(ROW(A97)+1&gt;=MATCH("*10000*", 貼り付け用!$A:$A, 0),
IF(COUNTIF(A96,"*10000*"),"10001",
IF(COUNTIF(A96,"*10001*"),"10002",
IF(COUNTIF(A96,"*10002*"),"",
IF(COUNTIF(A96,""),"","10000")))),
IF(貼り付け用!A98&lt;&gt;"",貼り付け用!A98,"")),
IF(ROW(A98)+1&gt;=MATCH("*10000*", 貼り付け用!$A:$A, 0),
IF(COUNTIF(A96,"*10000*"),"10001",
IF(COUNTIF(A96,"*10001*"),"10002",
IF(COUNTIF(A96,"*10002*"),"",
IF(COUNTIF(A96,""),"","10000")))),
IF(貼り付け用!A99&lt;&gt;"",貼り付け用!A99,"")))</f>
        <v>#N/A</v>
      </c>
      <c r="B98" s="14" t="e">
        <f>IF($A98&lt;&gt;"",IF(VLOOKUP($A98,貼り付け用!$A$1:$BA$300,COLUMN(),FALSE)=0,"",VLOOKUP($A98,貼り付け用!$A$1:$BA$300,COLUMN(),FALSE)),"")</f>
        <v>#N/A</v>
      </c>
      <c r="C98" s="14" t="e">
        <f>IF($A98&lt;&gt;"",IF(VLOOKUP($A98,貼り付け用!$A$1:$BA$300,COLUMN(),FALSE)=0,"",VLOOKUP($A98,貼り付け用!$A$1:$BA$300,COLUMN(),FALSE)),"")</f>
        <v>#N/A</v>
      </c>
      <c r="D98" s="14" t="e">
        <f>IF($A98&lt;&gt;"",IF(VLOOKUP($A98,貼り付け用!$A$1:$BA$300,COLUMN(),FALSE)=0,"",VLOOKUP($A98,貼り付け用!$A$1:$BA$300,COLUMN(),FALSE)),"")</f>
        <v>#N/A</v>
      </c>
      <c r="E98" s="14" t="e">
        <f>IF($A98&lt;&gt;"",IF(VLOOKUP($A98,貼り付け用!$A$1:$BA$300,COLUMN(),FALSE)=0,"",VLOOKUP($A98,貼り付け用!$A$1:$BA$300,COLUMN(),FALSE)),"")</f>
        <v>#N/A</v>
      </c>
      <c r="F98" s="14" t="e">
        <f>IF($A98&lt;&gt;"",IF(VLOOKUP($A98,貼り付け用!$A$1:$BA$300,COLUMN(),FALSE)=0,"",VLOOKUP($A98,貼り付け用!$A$1:$BA$300,COLUMN(),FALSE)),"")</f>
        <v>#N/A</v>
      </c>
      <c r="G98" s="14" t="e">
        <f>IF($A98&lt;&gt;"",IF(VLOOKUP($A98,貼り付け用!$A$1:$BA$300,COLUMN(),FALSE)=0,"",VLOOKUP($A98,貼り付け用!$A$1:$BA$300,COLUMN(),FALSE)),"")</f>
        <v>#N/A</v>
      </c>
      <c r="H98" s="14" t="e">
        <f>IF($A98&lt;&gt;"",IF(VLOOKUP($A98,貼り付け用!$A$1:$BA$300,COLUMN(),FALSE)=0,"",VLOOKUP($A98,貼り付け用!$A$1:$BA$300,COLUMN(),FALSE)),"")</f>
        <v>#N/A</v>
      </c>
      <c r="I98" s="14" t="e">
        <f>IF($A98&lt;&gt;"",IF(VLOOKUP($A98,貼り付け用!$A$1:$BA$300,COLUMN(),FALSE)=0,"",VLOOKUP($A98,貼り付け用!$A$1:$BA$300,COLUMN(),FALSE)),"")</f>
        <v>#N/A</v>
      </c>
      <c r="J98" s="14" t="e">
        <f>IF($A98&lt;&gt;"",IF(VLOOKUP($A98,貼り付け用!$A$1:$BA$300,COLUMN(),FALSE)=0,"",VLOOKUP($A98,貼り付け用!$A$1:$BA$300,COLUMN(),FALSE)),"")</f>
        <v>#N/A</v>
      </c>
      <c r="K98" s="14" t="e">
        <f>IF($A98&lt;&gt;"",IF(VLOOKUP($A98,貼り付け用!$A$1:$BA$300,COLUMN(),FALSE)=0,"",VLOOKUP($A98,貼り付け用!$A$1:$BA$300,COLUMN(),FALSE)),"")</f>
        <v>#N/A</v>
      </c>
      <c r="L98" s="14" t="e">
        <f>IF($A98&lt;&gt;"",
IF(COLUMN(貼り付け用!L98)&gt;MATCH("おやつ",貼り付け用!$3:$3,0),"",
IF(VLOOKUP($A98,貼り付け用!$A$1:$BA$300,COLUMN(),FALSE)=0,"",VLOOKUP($A98,貼り付け用!$A$1:$BA$300,COLUMN(),FALSE))),"")</f>
        <v>#N/A</v>
      </c>
      <c r="M98" s="14" t="e">
        <f>IF($A98&lt;&gt;"",
IF(COLUMN(貼り付け用!M98)&gt;MATCH("おやつ",貼り付け用!$3:$3,0),"",
IF(VLOOKUP($A98,貼り付け用!$A$1:$BA$300,COLUMN(),FALSE)=0,"",VLOOKUP($A98,貼り付け用!$A$1:$BA$300,COLUMN(),FALSE))),"")</f>
        <v>#N/A</v>
      </c>
      <c r="N98" s="14" t="e">
        <f>IF($A98&lt;&gt;"",
IF(COLUMN(貼り付け用!N98)&gt;MATCH("おやつ",貼り付け用!$3:$3,0),"",
IF(VLOOKUP($A98,貼り付け用!$A$1:$BA$300,COLUMN(),FALSE)=0,"",VLOOKUP($A98,貼り付け用!$A$1:$BA$300,COLUMN(),FALSE))),"")</f>
        <v>#N/A</v>
      </c>
      <c r="O98" s="14" t="e">
        <f>IF($A98&lt;&gt;"",
IF(COLUMN(貼り付け用!O98)&gt;MATCH("おやつ",貼り付け用!$3:$3,0),"",
IF(VLOOKUP($A98,貼り付け用!$A$1:$BA$300,COLUMN(),FALSE)=0,"",VLOOKUP($A98,貼り付け用!$A$1:$BA$300,COLUMN(),FALSE))),"")</f>
        <v>#N/A</v>
      </c>
      <c r="P98" s="14" t="e">
        <f>IF($A98&lt;&gt;"",
IF(COLUMN(貼り付け用!P98)&gt;MATCH("おやつ",貼り付け用!$3:$3,0),"",
IF(VLOOKUP($A98,貼り付け用!$A$1:$BA$300,COLUMN(),FALSE)=0,"",VLOOKUP($A98,貼り付け用!$A$1:$BA$300,COLUMN(),FALSE))),"")</f>
        <v>#N/A</v>
      </c>
      <c r="Q98" s="14" t="e">
        <f>IF($A98&lt;&gt;"",
IF(COLUMN(貼り付け用!Q98)&gt;MATCH("おやつ",貼り付け用!$3:$3,0),"",
IF(VLOOKUP($A98,貼り付け用!$A$1:$BA$300,COLUMN(),FALSE)=0,"",VLOOKUP($A98,貼り付け用!$A$1:$BA$300,COLUMN(),FALSE))),"")</f>
        <v>#N/A</v>
      </c>
      <c r="R98" s="14" t="e">
        <f>IF($A98&lt;&gt;"",
IF(COLUMN(貼り付け用!R98)&gt;MATCH("おやつ",貼り付け用!$3:$3,0),"",
IF(VLOOKUP($A98,貼り付け用!$A$1:$BA$300,COLUMN(),FALSE)=0,"",VLOOKUP($A98,貼り付け用!$A$1:$BA$300,COLUMN(),FALSE))),"")</f>
        <v>#N/A</v>
      </c>
      <c r="S98" s="14" t="e">
        <f>IF($A98&lt;&gt;"",
IF(COLUMN(貼り付け用!S98)&gt;MATCH("おやつ",貼り付け用!$3:$3,0),"",
IF(VLOOKUP($A98,貼り付け用!$A$1:$BA$300,COLUMN(),FALSE)=0,"",VLOOKUP($A98,貼り付け用!$A$1:$BA$300,COLUMN(),FALSE))),"")</f>
        <v>#N/A</v>
      </c>
      <c r="T98" s="14" t="e">
        <f>IF(COLUMN(貼り付け用!T98)&gt;MATCH("おやつ",貼り付け用!$3:$3,0),"",
IF(VLOOKUP($A98,貼り付け用!$A$1:$BA$300,COLUMN(),FALSE)=0,"",VLOOKUP($A98,貼り付け用!$A$1:$BA$300,COLUMN(),FALSE)))</f>
        <v>#N/A</v>
      </c>
      <c r="U98" s="11"/>
      <c r="V98" s="55" t="e">
        <f>IF(A98&lt;&gt;"",
IF(VLOOKUP($A98,貼り付け用!$A$1:$BA$300,MATCH("おやつ",貼り付け用!$3:$3,0)+1,FALSE)=0,"",VLOOKUP($A98,貼り付け用!$A$1:$BA$300,MATCH("おやつ",貼り付け用!$3:$3,0)+1,FALSE)),"")</f>
        <v>#N/A</v>
      </c>
      <c r="W98" s="14" t="e">
        <f>IF(A98&lt;&gt;"",
IF(VLOOKUP($A98,貼り付け用!$A$1:$BA$300,MATCH("おやつ",貼り付け用!$3:$3,0)+2,FALSE)=0,"",VLOOKUP($A98,貼り付け用!$A$1:$BA$300,MATCH("おやつ",貼り付け用!$3:$3,0)+2,FALSE)),"")</f>
        <v>#N/A</v>
      </c>
    </row>
    <row r="99" spans="1:23">
      <c r="A99" s="8" t="e">
        <f>IF(貼り付け用!$A$6&lt;&gt;"",
IF(ROW(A98)+1&gt;=MATCH("*10000*", 貼り付け用!$A:$A, 0),"",
IF(貼り付け用!A99&lt;&gt;"",貼り付け用!A99,"")),
IF(ROW(A99)+1&gt;=MATCH("*10000*", 貼り付け用!$A:$A, 0),"",
IF(貼り付け用!A100&lt;&gt;"",貼り付け用!A100,"")))</f>
        <v>#N/A</v>
      </c>
      <c r="B99" s="3" t="e">
        <f>IF($A99&lt;&gt;"",IF(VLOOKUP($A99,貼り付け用!$A$1:$BA$300,COLUMN(),FALSE)=0,"",VLOOKUP($A99,貼り付け用!$A$1:$BA$300,COLUMN(),FALSE)),"")</f>
        <v>#N/A</v>
      </c>
      <c r="C99" s="3" t="e">
        <f>IF($A99&lt;&gt;"",IF(VLOOKUP($A99,貼り付け用!$A$1:$BA$300,COLUMN(),FALSE)=0,"",VLOOKUP($A99,貼り付け用!$A$1:$BA$300,COLUMN(),FALSE)),"")</f>
        <v>#N/A</v>
      </c>
      <c r="D99" s="3" t="e">
        <f>IF($A99&lt;&gt;"",IF(VLOOKUP($A99,貼り付け用!$A$1:$BA$300,COLUMN(),FALSE)=0,"",VLOOKUP($A99,貼り付け用!$A$1:$BA$300,COLUMN(),FALSE)),"")</f>
        <v>#N/A</v>
      </c>
      <c r="E99" s="3" t="e">
        <f>IF($A99&lt;&gt;"",IF(VLOOKUP($A99,貼り付け用!$A$1:$BA$300,COLUMN(),FALSE)=0,"",VLOOKUP($A99,貼り付け用!$A$1:$BA$300,COLUMN(),FALSE)),"")</f>
        <v>#N/A</v>
      </c>
      <c r="F99" s="3" t="e">
        <f>IF($A99&lt;&gt;"",IF(VLOOKUP($A99,貼り付け用!$A$1:$BA$300,COLUMN(),FALSE)=0,"",VLOOKUP($A99,貼り付け用!$A$1:$BA$300,COLUMN(),FALSE)),"")</f>
        <v>#N/A</v>
      </c>
      <c r="G99" s="3" t="e">
        <f>IF($A99&lt;&gt;"",IF(VLOOKUP($A99,貼り付け用!$A$1:$BA$300,COLUMN(),FALSE)=0,"",VLOOKUP($A99,貼り付け用!$A$1:$BA$300,COLUMN(),FALSE)),"")</f>
        <v>#N/A</v>
      </c>
      <c r="H99" s="3" t="e">
        <f>IF($A99&lt;&gt;"",IF(VLOOKUP($A99,貼り付け用!$A$1:$BA$300,COLUMN(),FALSE)=0,"",VLOOKUP($A99,貼り付け用!$A$1:$BA$300,COLUMN(),FALSE)),"")</f>
        <v>#N/A</v>
      </c>
      <c r="I99" s="3" t="e">
        <f>IF($A99&lt;&gt;"",IF(VLOOKUP($A99,貼り付け用!$A$1:$BA$300,COLUMN(),FALSE)=0,"",VLOOKUP($A99,貼り付け用!$A$1:$BA$300,COLUMN(),FALSE)),"")</f>
        <v>#N/A</v>
      </c>
      <c r="J99" s="3" t="e">
        <f>IF($A99&lt;&gt;"",IF(VLOOKUP($A99,貼り付け用!$A$1:$BA$300,COLUMN(),FALSE)=0,"",VLOOKUP($A99,貼り付け用!$A$1:$BA$300,COLUMN(),FALSE)),"")</f>
        <v>#N/A</v>
      </c>
      <c r="K99" s="3" t="e">
        <f>IF($A99&lt;&gt;"",IF(VLOOKUP($A99,貼り付け用!$A$1:$BA$300,COLUMN(),FALSE)=0,"",VLOOKUP($A99,貼り付け用!$A$1:$BA$300,COLUMN(),FALSE)),"")</f>
        <v>#N/A</v>
      </c>
      <c r="L99" s="3" t="e">
        <f>IF($A99&lt;&gt;"",
IF(COLUMN(貼り付け用!L99)&gt;MATCH("おやつ",貼り付け用!$3:$3,0),"",
IF(VLOOKUP($A99,貼り付け用!$A$1:$BA$300,COLUMN(),FALSE)=0,"",VLOOKUP($A99,貼り付け用!$A$1:$BA$300,COLUMN(),FALSE))),"")</f>
        <v>#N/A</v>
      </c>
      <c r="M99" s="3" t="e">
        <f>IF($A99&lt;&gt;"",
IF(COLUMN(貼り付け用!M99)&gt;MATCH("おやつ",貼り付け用!$3:$3,0),"",
IF(VLOOKUP($A99,貼り付け用!$A$1:$BA$300,COLUMN(),FALSE)=0,"",VLOOKUP($A99,貼り付け用!$A$1:$BA$300,COLUMN(),FALSE))),"")</f>
        <v>#N/A</v>
      </c>
      <c r="N99" s="3" t="e">
        <f>IF($A99&lt;&gt;"",
IF(COLUMN(貼り付け用!N99)&gt;MATCH("おやつ",貼り付け用!$3:$3,0),"",
IF(VLOOKUP($A99,貼り付け用!$A$1:$BA$300,COLUMN(),FALSE)=0,"",VLOOKUP($A99,貼り付け用!$A$1:$BA$300,COLUMN(),FALSE))),"")</f>
        <v>#N/A</v>
      </c>
      <c r="O99" s="3" t="e">
        <f>IF($A99&lt;&gt;"",
IF(COLUMN(貼り付け用!O99)&gt;MATCH("おやつ",貼り付け用!$3:$3,0),"",
IF(VLOOKUP($A99,貼り付け用!$A$1:$BA$300,COLUMN(),FALSE)=0,"",VLOOKUP($A99,貼り付け用!$A$1:$BA$300,COLUMN(),FALSE))),"")</f>
        <v>#N/A</v>
      </c>
      <c r="P99" s="3" t="e">
        <f>IF($A99&lt;&gt;"",
IF(COLUMN(貼り付け用!P99)&gt;MATCH("おやつ",貼り付け用!$3:$3,0),"",
IF(VLOOKUP($A99,貼り付け用!$A$1:$BA$300,COLUMN(),FALSE)=0,"",VLOOKUP($A99,貼り付け用!$A$1:$BA$300,COLUMN(),FALSE))),"")</f>
        <v>#N/A</v>
      </c>
      <c r="Q99" s="3" t="e">
        <f>IF($A99&lt;&gt;"",
IF(COLUMN(貼り付け用!Q99)&gt;MATCH("おやつ",貼り付け用!$3:$3,0),"",
IF(VLOOKUP($A99,貼り付け用!$A$1:$BA$300,COLUMN(),FALSE)=0,"",VLOOKUP($A99,貼り付け用!$A$1:$BA$300,COLUMN(),FALSE))),"")</f>
        <v>#N/A</v>
      </c>
      <c r="R99" s="3" t="e">
        <f>IF($A99&lt;&gt;"",
IF(COLUMN(貼り付け用!R99)&gt;MATCH("おやつ",貼り付け用!$3:$3,0),"",
IF(VLOOKUP($A99,貼り付け用!$A$1:$BA$300,COLUMN(),FALSE)=0,"",VLOOKUP($A99,貼り付け用!$A$1:$BA$300,COLUMN(),FALSE))),"")</f>
        <v>#N/A</v>
      </c>
      <c r="S99" s="3" t="e">
        <f>IF($A99&lt;&gt;"",
IF(COLUMN(貼り付け用!S99)&gt;MATCH("おやつ",貼り付け用!$3:$3,0),"",
IF(VLOOKUP($A99,貼り付け用!$A$1:$BA$300,COLUMN(),FALSE)=0,"",VLOOKUP($A99,貼り付け用!$A$1:$BA$300,COLUMN(),FALSE))),"")</f>
        <v>#N/A</v>
      </c>
      <c r="T99" s="3" t="e">
        <f>IF(COLUMN(貼り付け用!T99)&gt;MATCH("おやつ",貼り付け用!$3:$3,0),"",
IF(VLOOKUP($A99,貼り付け用!$A$1:$BA$300,COLUMN(),FALSE)=0,"",VLOOKUP($A99,貼り付け用!$A$1:$BA$300,COLUMN(),FALSE)))</f>
        <v>#N/A</v>
      </c>
      <c r="U99" s="21"/>
      <c r="V99" s="55" t="e">
        <f>IF(A99&lt;&gt;"",
IF(VLOOKUP($A99,貼り付け用!$A$1:$BA$300,MATCH("おやつ",貼り付け用!$3:$3,0)+1,FALSE)=0,"",VLOOKUP($A99,貼り付け用!$A$1:$BA$300,MATCH("おやつ",貼り付け用!$3:$3,0)+1,FALSE)),"")</f>
        <v>#N/A</v>
      </c>
      <c r="W99" s="14" t="e">
        <f>IF(A99&lt;&gt;"",
IF(VLOOKUP($A99,貼り付け用!$A$1:$BA$300,MATCH("おやつ",貼り付け用!$3:$3,0)+2,FALSE)=0,"",VLOOKUP($A99,貼り付け用!$A$1:$BA$300,MATCH("おやつ",貼り付け用!$3:$3,0)+2,FALSE)),"")</f>
        <v>#N/A</v>
      </c>
    </row>
    <row r="100" spans="1:23">
      <c r="A100" s="4" t="e">
        <f>IF(貼り付け用!$A$6&lt;&gt;"",
IF(ROW(A99)+1&gt;=MATCH("*10000*", 貼り付け用!$A:$A, 0),
IF(COUNTIF(A98,"*10000*"),"10001",
IF(COUNTIF(A98,"*10001*"),"10002",
IF(COUNTIF(A98,"*10002*"),"",
IF(COUNTIF(A98,""),"","10000")))),
IF(貼り付け用!A100&lt;&gt;"",貼り付け用!A100,"")),
IF(ROW(A100)+1&gt;=MATCH("*10000*", 貼り付け用!$A:$A, 0),
IF(COUNTIF(A98,"*10000*"),"10001",
IF(COUNTIF(A98,"*10001*"),"10002",
IF(COUNTIF(A98,"*10002*"),"",
IF(COUNTIF(A98,""),"","10000")))),
IF(貼り付け用!A101&lt;&gt;"",貼り付け用!A101,"")))</f>
        <v>#N/A</v>
      </c>
      <c r="B100" s="14" t="e">
        <f>IF($A100&lt;&gt;"",IF(VLOOKUP($A100,貼り付け用!$A$1:$BA$300,COLUMN(),FALSE)=0,"",VLOOKUP($A100,貼り付け用!$A$1:$BA$300,COLUMN(),FALSE)),"")</f>
        <v>#N/A</v>
      </c>
      <c r="C100" s="14" t="e">
        <f>IF($A100&lt;&gt;"",IF(VLOOKUP($A100,貼り付け用!$A$1:$BA$300,COLUMN(),FALSE)=0,"",VLOOKUP($A100,貼り付け用!$A$1:$BA$300,COLUMN(),FALSE)),"")</f>
        <v>#N/A</v>
      </c>
      <c r="D100" s="14" t="e">
        <f>IF($A100&lt;&gt;"",IF(VLOOKUP($A100,貼り付け用!$A$1:$BA$300,COLUMN(),FALSE)=0,"",VLOOKUP($A100,貼り付け用!$A$1:$BA$300,COLUMN(),FALSE)),"")</f>
        <v>#N/A</v>
      </c>
      <c r="E100" s="14" t="e">
        <f>IF($A100&lt;&gt;"",IF(VLOOKUP($A100,貼り付け用!$A$1:$BA$300,COLUMN(),FALSE)=0,"",VLOOKUP($A100,貼り付け用!$A$1:$BA$300,COLUMN(),FALSE)),"")</f>
        <v>#N/A</v>
      </c>
      <c r="F100" s="14" t="e">
        <f>IF($A100&lt;&gt;"",IF(VLOOKUP($A100,貼り付け用!$A$1:$BA$300,COLUMN(),FALSE)=0,"",VLOOKUP($A100,貼り付け用!$A$1:$BA$300,COLUMN(),FALSE)),"")</f>
        <v>#N/A</v>
      </c>
      <c r="G100" s="14" t="e">
        <f>IF($A100&lt;&gt;"",IF(VLOOKUP($A100,貼り付け用!$A$1:$BA$300,COLUMN(),FALSE)=0,"",VLOOKUP($A100,貼り付け用!$A$1:$BA$300,COLUMN(),FALSE)),"")</f>
        <v>#N/A</v>
      </c>
      <c r="H100" s="14" t="e">
        <f>IF($A100&lt;&gt;"",IF(VLOOKUP($A100,貼り付け用!$A$1:$BA$300,COLUMN(),FALSE)=0,"",VLOOKUP($A100,貼り付け用!$A$1:$BA$300,COLUMN(),FALSE)),"")</f>
        <v>#N/A</v>
      </c>
      <c r="I100" s="14" t="e">
        <f>IF($A100&lt;&gt;"",IF(VLOOKUP($A100,貼り付け用!$A$1:$BA$300,COLUMN(),FALSE)=0,"",VLOOKUP($A100,貼り付け用!$A$1:$BA$300,COLUMN(),FALSE)),"")</f>
        <v>#N/A</v>
      </c>
      <c r="J100" s="14" t="e">
        <f>IF($A100&lt;&gt;"",IF(VLOOKUP($A100,貼り付け用!$A$1:$BA$300,COLUMN(),FALSE)=0,"",VLOOKUP($A100,貼り付け用!$A$1:$BA$300,COLUMN(),FALSE)),"")</f>
        <v>#N/A</v>
      </c>
      <c r="K100" s="14" t="e">
        <f>IF($A100&lt;&gt;"",IF(VLOOKUP($A100,貼り付け用!$A$1:$BA$300,COLUMN(),FALSE)=0,"",VLOOKUP($A100,貼り付け用!$A$1:$BA$300,COLUMN(),FALSE)),"")</f>
        <v>#N/A</v>
      </c>
      <c r="L100" s="14" t="e">
        <f>IF($A100&lt;&gt;"",
IF(COLUMN(貼り付け用!L100)&gt;MATCH("おやつ",貼り付け用!$3:$3,0),"",
IF(VLOOKUP($A100,貼り付け用!$A$1:$BA$300,COLUMN(),FALSE)=0,"",VLOOKUP($A100,貼り付け用!$A$1:$BA$300,COLUMN(),FALSE))),"")</f>
        <v>#N/A</v>
      </c>
      <c r="M100" s="14" t="e">
        <f>IF($A100&lt;&gt;"",
IF(COLUMN(貼り付け用!M100)&gt;MATCH("おやつ",貼り付け用!$3:$3,0),"",
IF(VLOOKUP($A100,貼り付け用!$A$1:$BA$300,COLUMN(),FALSE)=0,"",VLOOKUP($A100,貼り付け用!$A$1:$BA$300,COLUMN(),FALSE))),"")</f>
        <v>#N/A</v>
      </c>
      <c r="N100" s="14" t="e">
        <f>IF($A100&lt;&gt;"",
IF(COLUMN(貼り付け用!N100)&gt;MATCH("おやつ",貼り付け用!$3:$3,0),"",
IF(VLOOKUP($A100,貼り付け用!$A$1:$BA$300,COLUMN(),FALSE)=0,"",VLOOKUP($A100,貼り付け用!$A$1:$BA$300,COLUMN(),FALSE))),"")</f>
        <v>#N/A</v>
      </c>
      <c r="O100" s="14" t="e">
        <f>IF($A100&lt;&gt;"",
IF(COLUMN(貼り付け用!O100)&gt;MATCH("おやつ",貼り付け用!$3:$3,0),"",
IF(VLOOKUP($A100,貼り付け用!$A$1:$BA$300,COLUMN(),FALSE)=0,"",VLOOKUP($A100,貼り付け用!$A$1:$BA$300,COLUMN(),FALSE))),"")</f>
        <v>#N/A</v>
      </c>
      <c r="P100" s="14" t="e">
        <f>IF($A100&lt;&gt;"",
IF(COLUMN(貼り付け用!P100)&gt;MATCH("おやつ",貼り付け用!$3:$3,0),"",
IF(VLOOKUP($A100,貼り付け用!$A$1:$BA$300,COLUMN(),FALSE)=0,"",VLOOKUP($A100,貼り付け用!$A$1:$BA$300,COLUMN(),FALSE))),"")</f>
        <v>#N/A</v>
      </c>
      <c r="Q100" s="14" t="e">
        <f>IF($A100&lt;&gt;"",
IF(COLUMN(貼り付け用!Q100)&gt;MATCH("おやつ",貼り付け用!$3:$3,0),"",
IF(VLOOKUP($A100,貼り付け用!$A$1:$BA$300,COLUMN(),FALSE)=0,"",VLOOKUP($A100,貼り付け用!$A$1:$BA$300,COLUMN(),FALSE))),"")</f>
        <v>#N/A</v>
      </c>
      <c r="R100" s="14" t="e">
        <f>IF($A100&lt;&gt;"",
IF(COLUMN(貼り付け用!R100)&gt;MATCH("おやつ",貼り付け用!$3:$3,0),"",
IF(VLOOKUP($A100,貼り付け用!$A$1:$BA$300,COLUMN(),FALSE)=0,"",VLOOKUP($A100,貼り付け用!$A$1:$BA$300,COLUMN(),FALSE))),"")</f>
        <v>#N/A</v>
      </c>
      <c r="S100" s="14" t="e">
        <f>IF($A100&lt;&gt;"",
IF(COLUMN(貼り付け用!S100)&gt;MATCH("おやつ",貼り付け用!$3:$3,0),"",
IF(VLOOKUP($A100,貼り付け用!$A$1:$BA$300,COLUMN(),FALSE)=0,"",VLOOKUP($A100,貼り付け用!$A$1:$BA$300,COLUMN(),FALSE))),"")</f>
        <v>#N/A</v>
      </c>
      <c r="T100" s="14" t="e">
        <f>IF(COLUMN(貼り付け用!T100)&gt;MATCH("おやつ",貼り付け用!$3:$3,0),"",
IF(VLOOKUP($A100,貼り付け用!$A$1:$BA$300,COLUMN(),FALSE)=0,"",VLOOKUP($A100,貼り付け用!$A$1:$BA$300,COLUMN(),FALSE)))</f>
        <v>#N/A</v>
      </c>
      <c r="U100" s="11"/>
      <c r="V100" s="55" t="e">
        <f>IF(A100&lt;&gt;"",
IF(VLOOKUP($A100,貼り付け用!$A$1:$BA$300,MATCH("おやつ",貼り付け用!$3:$3,0)+1,FALSE)=0,"",VLOOKUP($A100,貼り付け用!$A$1:$BA$300,MATCH("おやつ",貼り付け用!$3:$3,0)+1,FALSE)),"")</f>
        <v>#N/A</v>
      </c>
      <c r="W100" s="14" t="e">
        <f>IF(A100&lt;&gt;"",
IF(VLOOKUP($A100,貼り付け用!$A$1:$BA$300,MATCH("おやつ",貼り付け用!$3:$3,0)+2,FALSE)=0,"",VLOOKUP($A100,貼り付け用!$A$1:$BA$300,MATCH("おやつ",貼り付け用!$3:$3,0)+2,FALSE)),"")</f>
        <v>#N/A</v>
      </c>
    </row>
    <row r="101" spans="1:23">
      <c r="A101" s="8" t="e">
        <f>IF(貼り付け用!$A$6&lt;&gt;"",
IF(ROW(A100)+1&gt;=MATCH("*10000*", 貼り付け用!$A:$A, 0),"",
IF(貼り付け用!A101&lt;&gt;"",貼り付け用!A101,"")),
IF(ROW(A101)+1&gt;=MATCH("*10000*", 貼り付け用!$A:$A, 0),"",
IF(貼り付け用!A102&lt;&gt;"",貼り付け用!A102,"")))</f>
        <v>#N/A</v>
      </c>
      <c r="B101" s="3" t="e">
        <f>IF($A101&lt;&gt;"",IF(VLOOKUP($A101,貼り付け用!$A$1:$BA$300,COLUMN(),FALSE)=0,"",VLOOKUP($A101,貼り付け用!$A$1:$BA$300,COLUMN(),FALSE)),"")</f>
        <v>#N/A</v>
      </c>
      <c r="C101" s="3" t="e">
        <f>IF($A101&lt;&gt;"",IF(VLOOKUP($A101,貼り付け用!$A$1:$BA$300,COLUMN(),FALSE)=0,"",VLOOKUP($A101,貼り付け用!$A$1:$BA$300,COLUMN(),FALSE)),"")</f>
        <v>#N/A</v>
      </c>
      <c r="D101" s="3" t="e">
        <f>IF($A101&lt;&gt;"",IF(VLOOKUP($A101,貼り付け用!$A$1:$BA$300,COLUMN(),FALSE)=0,"",VLOOKUP($A101,貼り付け用!$A$1:$BA$300,COLUMN(),FALSE)),"")</f>
        <v>#N/A</v>
      </c>
      <c r="E101" s="3" t="e">
        <f>IF($A101&lt;&gt;"",IF(VLOOKUP($A101,貼り付け用!$A$1:$BA$300,COLUMN(),FALSE)=0,"",VLOOKUP($A101,貼り付け用!$A$1:$BA$300,COLUMN(),FALSE)),"")</f>
        <v>#N/A</v>
      </c>
      <c r="F101" s="3" t="e">
        <f>IF($A101&lt;&gt;"",IF(VLOOKUP($A101,貼り付け用!$A$1:$BA$300,COLUMN(),FALSE)=0,"",VLOOKUP($A101,貼り付け用!$A$1:$BA$300,COLUMN(),FALSE)),"")</f>
        <v>#N/A</v>
      </c>
      <c r="G101" s="3" t="e">
        <f>IF($A101&lt;&gt;"",IF(VLOOKUP($A101,貼り付け用!$A$1:$BA$300,COLUMN(),FALSE)=0,"",VLOOKUP($A101,貼り付け用!$A$1:$BA$300,COLUMN(),FALSE)),"")</f>
        <v>#N/A</v>
      </c>
      <c r="H101" s="3" t="e">
        <f>IF($A101&lt;&gt;"",IF(VLOOKUP($A101,貼り付け用!$A$1:$BA$300,COLUMN(),FALSE)=0,"",VLOOKUP($A101,貼り付け用!$A$1:$BA$300,COLUMN(),FALSE)),"")</f>
        <v>#N/A</v>
      </c>
      <c r="I101" s="3" t="e">
        <f>IF($A101&lt;&gt;"",IF(VLOOKUP($A101,貼り付け用!$A$1:$BA$300,COLUMN(),FALSE)=0,"",VLOOKUP($A101,貼り付け用!$A$1:$BA$300,COLUMN(),FALSE)),"")</f>
        <v>#N/A</v>
      </c>
      <c r="J101" s="3" t="e">
        <f>IF($A101&lt;&gt;"",IF(VLOOKUP($A101,貼り付け用!$A$1:$BA$300,COLUMN(),FALSE)=0,"",VLOOKUP($A101,貼り付け用!$A$1:$BA$300,COLUMN(),FALSE)),"")</f>
        <v>#N/A</v>
      </c>
      <c r="K101" s="3" t="e">
        <f>IF($A101&lt;&gt;"",IF(VLOOKUP($A101,貼り付け用!$A$1:$BA$300,COLUMN(),FALSE)=0,"",VLOOKUP($A101,貼り付け用!$A$1:$BA$300,COLUMN(),FALSE)),"")</f>
        <v>#N/A</v>
      </c>
      <c r="L101" s="3" t="e">
        <f>IF($A101&lt;&gt;"",
IF(COLUMN(貼り付け用!L101)&gt;MATCH("おやつ",貼り付け用!$3:$3,0),"",
IF(VLOOKUP($A101,貼り付け用!$A$1:$BA$300,COLUMN(),FALSE)=0,"",VLOOKUP($A101,貼り付け用!$A$1:$BA$300,COLUMN(),FALSE))),"")</f>
        <v>#N/A</v>
      </c>
      <c r="M101" s="3" t="e">
        <f>IF($A101&lt;&gt;"",
IF(COLUMN(貼り付け用!M101)&gt;MATCH("おやつ",貼り付け用!$3:$3,0),"",
IF(VLOOKUP($A101,貼り付け用!$A$1:$BA$300,COLUMN(),FALSE)=0,"",VLOOKUP($A101,貼り付け用!$A$1:$BA$300,COLUMN(),FALSE))),"")</f>
        <v>#N/A</v>
      </c>
      <c r="N101" s="3" t="e">
        <f>IF($A101&lt;&gt;"",
IF(COLUMN(貼り付け用!N101)&gt;MATCH("おやつ",貼り付け用!$3:$3,0),"",
IF(VLOOKUP($A101,貼り付け用!$A$1:$BA$300,COLUMN(),FALSE)=0,"",VLOOKUP($A101,貼り付け用!$A$1:$BA$300,COLUMN(),FALSE))),"")</f>
        <v>#N/A</v>
      </c>
      <c r="O101" s="3" t="e">
        <f>IF($A101&lt;&gt;"",
IF(COLUMN(貼り付け用!O101)&gt;MATCH("おやつ",貼り付け用!$3:$3,0),"",
IF(VLOOKUP($A101,貼り付け用!$A$1:$BA$300,COLUMN(),FALSE)=0,"",VLOOKUP($A101,貼り付け用!$A$1:$BA$300,COLUMN(),FALSE))),"")</f>
        <v>#N/A</v>
      </c>
      <c r="P101" s="3" t="e">
        <f>IF($A101&lt;&gt;"",
IF(COLUMN(貼り付け用!P101)&gt;MATCH("おやつ",貼り付け用!$3:$3,0),"",
IF(VLOOKUP($A101,貼り付け用!$A$1:$BA$300,COLUMN(),FALSE)=0,"",VLOOKUP($A101,貼り付け用!$A$1:$BA$300,COLUMN(),FALSE))),"")</f>
        <v>#N/A</v>
      </c>
      <c r="Q101" s="3" t="e">
        <f>IF($A101&lt;&gt;"",
IF(COLUMN(貼り付け用!Q101)&gt;MATCH("おやつ",貼り付け用!$3:$3,0),"",
IF(VLOOKUP($A101,貼り付け用!$A$1:$BA$300,COLUMN(),FALSE)=0,"",VLOOKUP($A101,貼り付け用!$A$1:$BA$300,COLUMN(),FALSE))),"")</f>
        <v>#N/A</v>
      </c>
      <c r="R101" s="3" t="e">
        <f>IF($A101&lt;&gt;"",
IF(COLUMN(貼り付け用!R101)&gt;MATCH("おやつ",貼り付け用!$3:$3,0),"",
IF(VLOOKUP($A101,貼り付け用!$A$1:$BA$300,COLUMN(),FALSE)=0,"",VLOOKUP($A101,貼り付け用!$A$1:$BA$300,COLUMN(),FALSE))),"")</f>
        <v>#N/A</v>
      </c>
      <c r="S101" s="3" t="e">
        <f>IF($A101&lt;&gt;"",
IF(COLUMN(貼り付け用!S101)&gt;MATCH("おやつ",貼り付け用!$3:$3,0),"",
IF(VLOOKUP($A101,貼り付け用!$A$1:$BA$300,COLUMN(),FALSE)=0,"",VLOOKUP($A101,貼り付け用!$A$1:$BA$300,COLUMN(),FALSE))),"")</f>
        <v>#N/A</v>
      </c>
      <c r="T101" s="3" t="e">
        <f>IF(COLUMN(貼り付け用!T101)&gt;MATCH("おやつ",貼り付け用!$3:$3,0),"",
IF(VLOOKUP($A101,貼り付け用!$A$1:$BA$300,COLUMN(),FALSE)=0,"",VLOOKUP($A101,貼り付け用!$A$1:$BA$300,COLUMN(),FALSE)))</f>
        <v>#N/A</v>
      </c>
      <c r="U101" s="21"/>
      <c r="V101" s="55" t="e">
        <f>IF(A101&lt;&gt;"",
IF(VLOOKUP($A101,貼り付け用!$A$1:$BA$300,MATCH("おやつ",貼り付け用!$3:$3,0)+1,FALSE)=0,"",VLOOKUP($A101,貼り付け用!$A$1:$BA$300,MATCH("おやつ",貼り付け用!$3:$3,0)+1,FALSE)),"")</f>
        <v>#N/A</v>
      </c>
      <c r="W101" s="14" t="e">
        <f>IF(A101&lt;&gt;"",
IF(VLOOKUP($A101,貼り付け用!$A$1:$BA$300,MATCH("おやつ",貼り付け用!$3:$3,0)+2,FALSE)=0,"",VLOOKUP($A101,貼り付け用!$A$1:$BA$300,MATCH("おやつ",貼り付け用!$3:$3,0)+2,FALSE)),"")</f>
        <v>#N/A</v>
      </c>
    </row>
    <row r="102" spans="1:23">
      <c r="A102" s="4" t="e">
        <f>IF(貼り付け用!$A$6&lt;&gt;"",
IF(ROW(A101)+1&gt;=MATCH("*10000*", 貼り付け用!$A:$A, 0),
IF(COUNTIF(A100,"*10000*"),"10001",
IF(COUNTIF(A100,"*10001*"),"10002",
IF(COUNTIF(A100,"*10002*"),"",
IF(COUNTIF(A100,""),"","10000")))),
IF(貼り付け用!A102&lt;&gt;"",貼り付け用!A102,"")),
IF(ROW(A102)+1&gt;=MATCH("*10000*", 貼り付け用!$A:$A, 0),
IF(COUNTIF(A100,"*10000*"),"10001",
IF(COUNTIF(A100,"*10001*"),"10002",
IF(COUNTIF(A100,"*10002*"),"",
IF(COUNTIF(A100,""),"","10000")))),
IF(貼り付け用!A103&lt;&gt;"",貼り付け用!A103,"")))</f>
        <v>#N/A</v>
      </c>
      <c r="B102" s="14" t="e">
        <f>IF($A102&lt;&gt;"",IF(VLOOKUP($A102,貼り付け用!$A$1:$BA$300,COLUMN(),FALSE)=0,"",VLOOKUP($A102,貼り付け用!$A$1:$BA$300,COLUMN(),FALSE)),"")</f>
        <v>#N/A</v>
      </c>
      <c r="C102" s="14" t="e">
        <f>IF($A102&lt;&gt;"",IF(VLOOKUP($A102,貼り付け用!$A$1:$BA$300,COLUMN(),FALSE)=0,"",VLOOKUP($A102,貼り付け用!$A$1:$BA$300,COLUMN(),FALSE)),"")</f>
        <v>#N/A</v>
      </c>
      <c r="D102" s="14" t="e">
        <f>IF($A102&lt;&gt;"",IF(VLOOKUP($A102,貼り付け用!$A$1:$BA$300,COLUMN(),FALSE)=0,"",VLOOKUP($A102,貼り付け用!$A$1:$BA$300,COLUMN(),FALSE)),"")</f>
        <v>#N/A</v>
      </c>
      <c r="E102" s="14" t="e">
        <f>IF($A102&lt;&gt;"",IF(VLOOKUP($A102,貼り付け用!$A$1:$BA$300,COLUMN(),FALSE)=0,"",VLOOKUP($A102,貼り付け用!$A$1:$BA$300,COLUMN(),FALSE)),"")</f>
        <v>#N/A</v>
      </c>
      <c r="F102" s="14" t="e">
        <f>IF($A102&lt;&gt;"",IF(VLOOKUP($A102,貼り付け用!$A$1:$BA$300,COLUMN(),FALSE)=0,"",VLOOKUP($A102,貼り付け用!$A$1:$BA$300,COLUMN(),FALSE)),"")</f>
        <v>#N/A</v>
      </c>
      <c r="G102" s="14" t="e">
        <f>IF($A102&lt;&gt;"",IF(VLOOKUP($A102,貼り付け用!$A$1:$BA$300,COLUMN(),FALSE)=0,"",VLOOKUP($A102,貼り付け用!$A$1:$BA$300,COLUMN(),FALSE)),"")</f>
        <v>#N/A</v>
      </c>
      <c r="H102" s="14" t="e">
        <f>IF($A102&lt;&gt;"",IF(VLOOKUP($A102,貼り付け用!$A$1:$BA$300,COLUMN(),FALSE)=0,"",VLOOKUP($A102,貼り付け用!$A$1:$BA$300,COLUMN(),FALSE)),"")</f>
        <v>#N/A</v>
      </c>
      <c r="I102" s="14" t="e">
        <f>IF($A102&lt;&gt;"",IF(VLOOKUP($A102,貼り付け用!$A$1:$BA$300,COLUMN(),FALSE)=0,"",VLOOKUP($A102,貼り付け用!$A$1:$BA$300,COLUMN(),FALSE)),"")</f>
        <v>#N/A</v>
      </c>
      <c r="J102" s="14" t="e">
        <f>IF($A102&lt;&gt;"",IF(VLOOKUP($A102,貼り付け用!$A$1:$BA$300,COLUMN(),FALSE)=0,"",VLOOKUP($A102,貼り付け用!$A$1:$BA$300,COLUMN(),FALSE)),"")</f>
        <v>#N/A</v>
      </c>
      <c r="K102" s="14" t="e">
        <f>IF($A102&lt;&gt;"",IF(VLOOKUP($A102,貼り付け用!$A$1:$BA$300,COLUMN(),FALSE)=0,"",VLOOKUP($A102,貼り付け用!$A$1:$BA$300,COLUMN(),FALSE)),"")</f>
        <v>#N/A</v>
      </c>
      <c r="L102" s="14" t="e">
        <f>IF($A102&lt;&gt;"",
IF(COLUMN(貼り付け用!L102)&gt;MATCH("おやつ",貼り付け用!$3:$3,0),"",
IF(VLOOKUP($A102,貼り付け用!$A$1:$BA$300,COLUMN(),FALSE)=0,"",VLOOKUP($A102,貼り付け用!$A$1:$BA$300,COLUMN(),FALSE))),"")</f>
        <v>#N/A</v>
      </c>
      <c r="M102" s="14" t="e">
        <f>IF($A102&lt;&gt;"",
IF(COLUMN(貼り付け用!M102)&gt;MATCH("おやつ",貼り付け用!$3:$3,0),"",
IF(VLOOKUP($A102,貼り付け用!$A$1:$BA$300,COLUMN(),FALSE)=0,"",VLOOKUP($A102,貼り付け用!$A$1:$BA$300,COLUMN(),FALSE))),"")</f>
        <v>#N/A</v>
      </c>
      <c r="N102" s="14" t="e">
        <f>IF($A102&lt;&gt;"",
IF(COLUMN(貼り付け用!N102)&gt;MATCH("おやつ",貼り付け用!$3:$3,0),"",
IF(VLOOKUP($A102,貼り付け用!$A$1:$BA$300,COLUMN(),FALSE)=0,"",VLOOKUP($A102,貼り付け用!$A$1:$BA$300,COLUMN(),FALSE))),"")</f>
        <v>#N/A</v>
      </c>
      <c r="O102" s="14" t="e">
        <f>IF($A102&lt;&gt;"",
IF(COLUMN(貼り付け用!O102)&gt;MATCH("おやつ",貼り付け用!$3:$3,0),"",
IF(VLOOKUP($A102,貼り付け用!$A$1:$BA$300,COLUMN(),FALSE)=0,"",VLOOKUP($A102,貼り付け用!$A$1:$BA$300,COLUMN(),FALSE))),"")</f>
        <v>#N/A</v>
      </c>
      <c r="P102" s="14" t="e">
        <f>IF($A102&lt;&gt;"",
IF(COLUMN(貼り付け用!P102)&gt;MATCH("おやつ",貼り付け用!$3:$3,0),"",
IF(VLOOKUP($A102,貼り付け用!$A$1:$BA$300,COLUMN(),FALSE)=0,"",VLOOKUP($A102,貼り付け用!$A$1:$BA$300,COLUMN(),FALSE))),"")</f>
        <v>#N/A</v>
      </c>
      <c r="Q102" s="14" t="e">
        <f>IF($A102&lt;&gt;"",
IF(COLUMN(貼り付け用!Q102)&gt;MATCH("おやつ",貼り付け用!$3:$3,0),"",
IF(VLOOKUP($A102,貼り付け用!$A$1:$BA$300,COLUMN(),FALSE)=0,"",VLOOKUP($A102,貼り付け用!$A$1:$BA$300,COLUMN(),FALSE))),"")</f>
        <v>#N/A</v>
      </c>
      <c r="R102" s="14" t="e">
        <f>IF($A102&lt;&gt;"",
IF(COLUMN(貼り付け用!R102)&gt;MATCH("おやつ",貼り付け用!$3:$3,0),"",
IF(VLOOKUP($A102,貼り付け用!$A$1:$BA$300,COLUMN(),FALSE)=0,"",VLOOKUP($A102,貼り付け用!$A$1:$BA$300,COLUMN(),FALSE))),"")</f>
        <v>#N/A</v>
      </c>
      <c r="S102" s="14" t="e">
        <f>IF($A102&lt;&gt;"",
IF(COLUMN(貼り付け用!S102)&gt;MATCH("おやつ",貼り付け用!$3:$3,0),"",
IF(VLOOKUP($A102,貼り付け用!$A$1:$BA$300,COLUMN(),FALSE)=0,"",VLOOKUP($A102,貼り付け用!$A$1:$BA$300,COLUMN(),FALSE))),"")</f>
        <v>#N/A</v>
      </c>
      <c r="T102" s="14" t="e">
        <f>IF(COLUMN(貼り付け用!T102)&gt;MATCH("おやつ",貼り付け用!$3:$3,0),"",
IF(VLOOKUP($A102,貼り付け用!$A$1:$BA$300,COLUMN(),FALSE)=0,"",VLOOKUP($A102,貼り付け用!$A$1:$BA$300,COLUMN(),FALSE)))</f>
        <v>#N/A</v>
      </c>
      <c r="U102" s="11"/>
      <c r="V102" s="55" t="e">
        <f>IF(A102&lt;&gt;"",
IF(VLOOKUP($A102,貼り付け用!$A$1:$BA$300,MATCH("おやつ",貼り付け用!$3:$3,0)+1,FALSE)=0,"",VLOOKUP($A102,貼り付け用!$A$1:$BA$300,MATCH("おやつ",貼り付け用!$3:$3,0)+1,FALSE)),"")</f>
        <v>#N/A</v>
      </c>
      <c r="W102" s="14" t="e">
        <f>IF(A102&lt;&gt;"",
IF(VLOOKUP($A102,貼り付け用!$A$1:$BA$300,MATCH("おやつ",貼り付け用!$3:$3,0)+2,FALSE)=0,"",VLOOKUP($A102,貼り付け用!$A$1:$BA$300,MATCH("おやつ",貼り付け用!$3:$3,0)+2,FALSE)),"")</f>
        <v>#N/A</v>
      </c>
    </row>
    <row r="103" spans="1:23">
      <c r="A103" s="8" t="e">
        <f>IF(貼り付け用!$A$6&lt;&gt;"",
IF(ROW(A102)+1&gt;=MATCH("*10000*", 貼り付け用!$A:$A, 0),"",
IF(貼り付け用!A103&lt;&gt;"",貼り付け用!A103,"")),
IF(ROW(A103)+1&gt;=MATCH("*10000*", 貼り付け用!$A:$A, 0),"",
IF(貼り付け用!A104&lt;&gt;"",貼り付け用!A104,"")))</f>
        <v>#N/A</v>
      </c>
      <c r="B103" s="3" t="e">
        <f>IF($A103&lt;&gt;"",IF(VLOOKUP($A103,貼り付け用!$A$1:$BA$300,COLUMN(),FALSE)=0,"",VLOOKUP($A103,貼り付け用!$A$1:$BA$300,COLUMN(),FALSE)),"")</f>
        <v>#N/A</v>
      </c>
      <c r="C103" s="3" t="e">
        <f>IF($A103&lt;&gt;"",IF(VLOOKUP($A103,貼り付け用!$A$1:$BA$300,COLUMN(),FALSE)=0,"",VLOOKUP($A103,貼り付け用!$A$1:$BA$300,COLUMN(),FALSE)),"")</f>
        <v>#N/A</v>
      </c>
      <c r="D103" s="3" t="e">
        <f>IF($A103&lt;&gt;"",IF(VLOOKUP($A103,貼り付け用!$A$1:$BA$300,COLUMN(),FALSE)=0,"",VLOOKUP($A103,貼り付け用!$A$1:$BA$300,COLUMN(),FALSE)),"")</f>
        <v>#N/A</v>
      </c>
      <c r="E103" s="3" t="e">
        <f>IF($A103&lt;&gt;"",IF(VLOOKUP($A103,貼り付け用!$A$1:$BA$300,COLUMN(),FALSE)=0,"",VLOOKUP($A103,貼り付け用!$A$1:$BA$300,COLUMN(),FALSE)),"")</f>
        <v>#N/A</v>
      </c>
      <c r="F103" s="3" t="e">
        <f>IF($A103&lt;&gt;"",IF(VLOOKUP($A103,貼り付け用!$A$1:$BA$300,COLUMN(),FALSE)=0,"",VLOOKUP($A103,貼り付け用!$A$1:$BA$300,COLUMN(),FALSE)),"")</f>
        <v>#N/A</v>
      </c>
      <c r="G103" s="3" t="e">
        <f>IF($A103&lt;&gt;"",IF(VLOOKUP($A103,貼り付け用!$A$1:$BA$300,COLUMN(),FALSE)=0,"",VLOOKUP($A103,貼り付け用!$A$1:$BA$300,COLUMN(),FALSE)),"")</f>
        <v>#N/A</v>
      </c>
      <c r="H103" s="3" t="e">
        <f>IF($A103&lt;&gt;"",IF(VLOOKUP($A103,貼り付け用!$A$1:$BA$300,COLUMN(),FALSE)=0,"",VLOOKUP($A103,貼り付け用!$A$1:$BA$300,COLUMN(),FALSE)),"")</f>
        <v>#N/A</v>
      </c>
      <c r="I103" s="3" t="e">
        <f>IF($A103&lt;&gt;"",IF(VLOOKUP($A103,貼り付け用!$A$1:$BA$300,COLUMN(),FALSE)=0,"",VLOOKUP($A103,貼り付け用!$A$1:$BA$300,COLUMN(),FALSE)),"")</f>
        <v>#N/A</v>
      </c>
      <c r="J103" s="3" t="e">
        <f>IF($A103&lt;&gt;"",IF(VLOOKUP($A103,貼り付け用!$A$1:$BA$300,COLUMN(),FALSE)=0,"",VLOOKUP($A103,貼り付け用!$A$1:$BA$300,COLUMN(),FALSE)),"")</f>
        <v>#N/A</v>
      </c>
      <c r="K103" s="3" t="e">
        <f>IF($A103&lt;&gt;"",IF(VLOOKUP($A103,貼り付け用!$A$1:$BA$300,COLUMN(),FALSE)=0,"",VLOOKUP($A103,貼り付け用!$A$1:$BA$300,COLUMN(),FALSE)),"")</f>
        <v>#N/A</v>
      </c>
      <c r="L103" s="3" t="e">
        <f>IF($A103&lt;&gt;"",
IF(COLUMN(貼り付け用!L103)&gt;MATCH("おやつ",貼り付け用!$3:$3,0),"",
IF(VLOOKUP($A103,貼り付け用!$A$1:$BA$300,COLUMN(),FALSE)=0,"",VLOOKUP($A103,貼り付け用!$A$1:$BA$300,COLUMN(),FALSE))),"")</f>
        <v>#N/A</v>
      </c>
      <c r="M103" s="3" t="e">
        <f>IF($A103&lt;&gt;"",
IF(COLUMN(貼り付け用!M103)&gt;MATCH("おやつ",貼り付け用!$3:$3,0),"",
IF(VLOOKUP($A103,貼り付け用!$A$1:$BA$300,COLUMN(),FALSE)=0,"",VLOOKUP($A103,貼り付け用!$A$1:$BA$300,COLUMN(),FALSE))),"")</f>
        <v>#N/A</v>
      </c>
      <c r="N103" s="3" t="e">
        <f>IF($A103&lt;&gt;"",
IF(COLUMN(貼り付け用!N103)&gt;MATCH("おやつ",貼り付け用!$3:$3,0),"",
IF(VLOOKUP($A103,貼り付け用!$A$1:$BA$300,COLUMN(),FALSE)=0,"",VLOOKUP($A103,貼り付け用!$A$1:$BA$300,COLUMN(),FALSE))),"")</f>
        <v>#N/A</v>
      </c>
      <c r="O103" s="3" t="e">
        <f>IF($A103&lt;&gt;"",
IF(COLUMN(貼り付け用!O103)&gt;MATCH("おやつ",貼り付け用!$3:$3,0),"",
IF(VLOOKUP($A103,貼り付け用!$A$1:$BA$300,COLUMN(),FALSE)=0,"",VLOOKUP($A103,貼り付け用!$A$1:$BA$300,COLUMN(),FALSE))),"")</f>
        <v>#N/A</v>
      </c>
      <c r="P103" s="3" t="e">
        <f>IF($A103&lt;&gt;"",
IF(COLUMN(貼り付け用!P103)&gt;MATCH("おやつ",貼り付け用!$3:$3,0),"",
IF(VLOOKUP($A103,貼り付け用!$A$1:$BA$300,COLUMN(),FALSE)=0,"",VLOOKUP($A103,貼り付け用!$A$1:$BA$300,COLUMN(),FALSE))),"")</f>
        <v>#N/A</v>
      </c>
      <c r="Q103" s="3" t="e">
        <f>IF($A103&lt;&gt;"",
IF(COLUMN(貼り付け用!Q103)&gt;MATCH("おやつ",貼り付け用!$3:$3,0),"",
IF(VLOOKUP($A103,貼り付け用!$A$1:$BA$300,COLUMN(),FALSE)=0,"",VLOOKUP($A103,貼り付け用!$A$1:$BA$300,COLUMN(),FALSE))),"")</f>
        <v>#N/A</v>
      </c>
      <c r="R103" s="3" t="e">
        <f>IF($A103&lt;&gt;"",
IF(COLUMN(貼り付け用!R103)&gt;MATCH("おやつ",貼り付け用!$3:$3,0),"",
IF(VLOOKUP($A103,貼り付け用!$A$1:$BA$300,COLUMN(),FALSE)=0,"",VLOOKUP($A103,貼り付け用!$A$1:$BA$300,COLUMN(),FALSE))),"")</f>
        <v>#N/A</v>
      </c>
      <c r="S103" s="3" t="e">
        <f>IF($A103&lt;&gt;"",
IF(COLUMN(貼り付け用!S103)&gt;MATCH("おやつ",貼り付け用!$3:$3,0),"",
IF(VLOOKUP($A103,貼り付け用!$A$1:$BA$300,COLUMN(),FALSE)=0,"",VLOOKUP($A103,貼り付け用!$A$1:$BA$300,COLUMN(),FALSE))),"")</f>
        <v>#N/A</v>
      </c>
      <c r="T103" s="3" t="e">
        <f>IF(COLUMN(貼り付け用!T103)&gt;MATCH("おやつ",貼り付け用!$3:$3,0),"",
IF(VLOOKUP($A103,貼り付け用!$A$1:$BA$300,COLUMN(),FALSE)=0,"",VLOOKUP($A103,貼り付け用!$A$1:$BA$300,COLUMN(),FALSE)))</f>
        <v>#N/A</v>
      </c>
      <c r="U103" s="21"/>
      <c r="V103" s="55" t="e">
        <f>IF(A103&lt;&gt;"",
IF(VLOOKUP($A103,貼り付け用!$A$1:$BA$300,MATCH("おやつ",貼り付け用!$3:$3,0)+1,FALSE)=0,"",VLOOKUP($A103,貼り付け用!$A$1:$BA$300,MATCH("おやつ",貼り付け用!$3:$3,0)+1,FALSE)),"")</f>
        <v>#N/A</v>
      </c>
      <c r="W103" s="14" t="e">
        <f>IF(A103&lt;&gt;"",
IF(VLOOKUP($A103,貼り付け用!$A$1:$BA$300,MATCH("おやつ",貼り付け用!$3:$3,0)+2,FALSE)=0,"",VLOOKUP($A103,貼り付け用!$A$1:$BA$300,MATCH("おやつ",貼り付け用!$3:$3,0)+2,FALSE)),"")</f>
        <v>#N/A</v>
      </c>
    </row>
    <row r="104" spans="1:23">
      <c r="A104" s="4" t="e">
        <f>IF(貼り付け用!$A$6&lt;&gt;"",
IF(ROW(A103)+1&gt;=MATCH("*10000*", 貼り付け用!$A:$A, 0),
IF(COUNTIF(A102,"*10000*"),"10001",
IF(COUNTIF(A102,"*10001*"),"10002",
IF(COUNTIF(A102,"*10002*"),"",
IF(COUNTIF(A102,""),"","10000")))),
IF(貼り付け用!A104&lt;&gt;"",貼り付け用!A104,"")),
IF(ROW(A104)+1&gt;=MATCH("*10000*", 貼り付け用!$A:$A, 0),
IF(COUNTIF(A102,"*10000*"),"10001",
IF(COUNTIF(A102,"*10001*"),"10002",
IF(COUNTIF(A102,"*10002*"),"",
IF(COUNTIF(A102,""),"","10000")))),
IF(貼り付け用!A105&lt;&gt;"",貼り付け用!A105,"")))</f>
        <v>#N/A</v>
      </c>
      <c r="B104" s="14" t="e">
        <f>IF($A104&lt;&gt;"",IF(VLOOKUP($A104,貼り付け用!$A$1:$BA$300,COLUMN(),FALSE)=0,"",VLOOKUP($A104,貼り付け用!$A$1:$BA$300,COLUMN(),FALSE)),"")</f>
        <v>#N/A</v>
      </c>
      <c r="C104" s="14" t="e">
        <f>IF($A104&lt;&gt;"",IF(VLOOKUP($A104,貼り付け用!$A$1:$BA$300,COLUMN(),FALSE)=0,"",VLOOKUP($A104,貼り付け用!$A$1:$BA$300,COLUMN(),FALSE)),"")</f>
        <v>#N/A</v>
      </c>
      <c r="D104" s="14" t="e">
        <f>IF($A104&lt;&gt;"",IF(VLOOKUP($A104,貼り付け用!$A$1:$BA$300,COLUMN(),FALSE)=0,"",VLOOKUP($A104,貼り付け用!$A$1:$BA$300,COLUMN(),FALSE)),"")</f>
        <v>#N/A</v>
      </c>
      <c r="E104" s="14" t="e">
        <f>IF($A104&lt;&gt;"",IF(VLOOKUP($A104,貼り付け用!$A$1:$BA$300,COLUMN(),FALSE)=0,"",VLOOKUP($A104,貼り付け用!$A$1:$BA$300,COLUMN(),FALSE)),"")</f>
        <v>#N/A</v>
      </c>
      <c r="F104" s="14" t="e">
        <f>IF($A104&lt;&gt;"",IF(VLOOKUP($A104,貼り付け用!$A$1:$BA$300,COLUMN(),FALSE)=0,"",VLOOKUP($A104,貼り付け用!$A$1:$BA$300,COLUMN(),FALSE)),"")</f>
        <v>#N/A</v>
      </c>
      <c r="G104" s="14" t="e">
        <f>IF($A104&lt;&gt;"",IF(VLOOKUP($A104,貼り付け用!$A$1:$BA$300,COLUMN(),FALSE)=0,"",VLOOKUP($A104,貼り付け用!$A$1:$BA$300,COLUMN(),FALSE)),"")</f>
        <v>#N/A</v>
      </c>
      <c r="H104" s="14" t="e">
        <f>IF($A104&lt;&gt;"",IF(VLOOKUP($A104,貼り付け用!$A$1:$BA$300,COLUMN(),FALSE)=0,"",VLOOKUP($A104,貼り付け用!$A$1:$BA$300,COLUMN(),FALSE)),"")</f>
        <v>#N/A</v>
      </c>
      <c r="I104" s="14" t="e">
        <f>IF($A104&lt;&gt;"",IF(VLOOKUP($A104,貼り付け用!$A$1:$BA$300,COLUMN(),FALSE)=0,"",VLOOKUP($A104,貼り付け用!$A$1:$BA$300,COLUMN(),FALSE)),"")</f>
        <v>#N/A</v>
      </c>
      <c r="J104" s="14" t="e">
        <f>IF($A104&lt;&gt;"",IF(VLOOKUP($A104,貼り付け用!$A$1:$BA$300,COLUMN(),FALSE)=0,"",VLOOKUP($A104,貼り付け用!$A$1:$BA$300,COLUMN(),FALSE)),"")</f>
        <v>#N/A</v>
      </c>
      <c r="K104" s="14" t="e">
        <f>IF($A104&lt;&gt;"",IF(VLOOKUP($A104,貼り付け用!$A$1:$BA$300,COLUMN(),FALSE)=0,"",VLOOKUP($A104,貼り付け用!$A$1:$BA$300,COLUMN(),FALSE)),"")</f>
        <v>#N/A</v>
      </c>
      <c r="L104" s="14" t="e">
        <f>IF($A104&lt;&gt;"",
IF(COLUMN(貼り付け用!L104)&gt;MATCH("おやつ",貼り付け用!$3:$3,0),"",
IF(VLOOKUP($A104,貼り付け用!$A$1:$BA$300,COLUMN(),FALSE)=0,"",VLOOKUP($A104,貼り付け用!$A$1:$BA$300,COLUMN(),FALSE))),"")</f>
        <v>#N/A</v>
      </c>
      <c r="M104" s="14" t="e">
        <f>IF($A104&lt;&gt;"",
IF(COLUMN(貼り付け用!M104)&gt;MATCH("おやつ",貼り付け用!$3:$3,0),"",
IF(VLOOKUP($A104,貼り付け用!$A$1:$BA$300,COLUMN(),FALSE)=0,"",VLOOKUP($A104,貼り付け用!$A$1:$BA$300,COLUMN(),FALSE))),"")</f>
        <v>#N/A</v>
      </c>
      <c r="N104" s="14" t="e">
        <f>IF($A104&lt;&gt;"",
IF(COLUMN(貼り付け用!N104)&gt;MATCH("おやつ",貼り付け用!$3:$3,0),"",
IF(VLOOKUP($A104,貼り付け用!$A$1:$BA$300,COLUMN(),FALSE)=0,"",VLOOKUP($A104,貼り付け用!$A$1:$BA$300,COLUMN(),FALSE))),"")</f>
        <v>#N/A</v>
      </c>
      <c r="O104" s="14" t="e">
        <f>IF($A104&lt;&gt;"",
IF(COLUMN(貼り付け用!O104)&gt;MATCH("おやつ",貼り付け用!$3:$3,0),"",
IF(VLOOKUP($A104,貼り付け用!$A$1:$BA$300,COLUMN(),FALSE)=0,"",VLOOKUP($A104,貼り付け用!$A$1:$BA$300,COLUMN(),FALSE))),"")</f>
        <v>#N/A</v>
      </c>
      <c r="P104" s="14" t="e">
        <f>IF($A104&lt;&gt;"",
IF(COLUMN(貼り付け用!P104)&gt;MATCH("おやつ",貼り付け用!$3:$3,0),"",
IF(VLOOKUP($A104,貼り付け用!$A$1:$BA$300,COLUMN(),FALSE)=0,"",VLOOKUP($A104,貼り付け用!$A$1:$BA$300,COLUMN(),FALSE))),"")</f>
        <v>#N/A</v>
      </c>
      <c r="Q104" s="14" t="e">
        <f>IF($A104&lt;&gt;"",
IF(COLUMN(貼り付け用!Q104)&gt;MATCH("おやつ",貼り付け用!$3:$3,0),"",
IF(VLOOKUP($A104,貼り付け用!$A$1:$BA$300,COLUMN(),FALSE)=0,"",VLOOKUP($A104,貼り付け用!$A$1:$BA$300,COLUMN(),FALSE))),"")</f>
        <v>#N/A</v>
      </c>
      <c r="R104" s="14" t="e">
        <f>IF($A104&lt;&gt;"",
IF(COLUMN(貼り付け用!R104)&gt;MATCH("おやつ",貼り付け用!$3:$3,0),"",
IF(VLOOKUP($A104,貼り付け用!$A$1:$BA$300,COLUMN(),FALSE)=0,"",VLOOKUP($A104,貼り付け用!$A$1:$BA$300,COLUMN(),FALSE))),"")</f>
        <v>#N/A</v>
      </c>
      <c r="S104" s="14" t="e">
        <f>IF($A104&lt;&gt;"",
IF(COLUMN(貼り付け用!S104)&gt;MATCH("おやつ",貼り付け用!$3:$3,0),"",
IF(VLOOKUP($A104,貼り付け用!$A$1:$BA$300,COLUMN(),FALSE)=0,"",VLOOKUP($A104,貼り付け用!$A$1:$BA$300,COLUMN(),FALSE))),"")</f>
        <v>#N/A</v>
      </c>
      <c r="T104" s="14" t="e">
        <f>IF(COLUMN(貼り付け用!T104)&gt;MATCH("おやつ",貼り付け用!$3:$3,0),"",
IF(VLOOKUP($A104,貼り付け用!$A$1:$BA$300,COLUMN(),FALSE)=0,"",VLOOKUP($A104,貼り付け用!$A$1:$BA$300,COLUMN(),FALSE)))</f>
        <v>#N/A</v>
      </c>
      <c r="U104" s="11"/>
      <c r="V104" s="55" t="e">
        <f>IF(A104&lt;&gt;"",
IF(VLOOKUP($A104,貼り付け用!$A$1:$BA$300,MATCH("おやつ",貼り付け用!$3:$3,0)+1,FALSE)=0,"",VLOOKUP($A104,貼り付け用!$A$1:$BA$300,MATCH("おやつ",貼り付け用!$3:$3,0)+1,FALSE)),"")</f>
        <v>#N/A</v>
      </c>
      <c r="W104" s="14" t="e">
        <f>IF(A104&lt;&gt;"",
IF(VLOOKUP($A104,貼り付け用!$A$1:$BA$300,MATCH("おやつ",貼り付け用!$3:$3,0)+2,FALSE)=0,"",VLOOKUP($A104,貼り付け用!$A$1:$BA$300,MATCH("おやつ",貼り付け用!$3:$3,0)+2,FALSE)),"")</f>
        <v>#N/A</v>
      </c>
    </row>
    <row r="105" spans="1:23">
      <c r="A105" s="8" t="e">
        <f>IF(貼り付け用!$A$6&lt;&gt;"",
IF(ROW(A104)+1&gt;=MATCH("*10000*", 貼り付け用!$A:$A, 0),"",
IF(貼り付け用!A105&lt;&gt;"",貼り付け用!A105,"")),
IF(ROW(A105)+1&gt;=MATCH("*10000*", 貼り付け用!$A:$A, 0),"",
IF(貼り付け用!A106&lt;&gt;"",貼り付け用!A106,"")))</f>
        <v>#N/A</v>
      </c>
      <c r="B105" s="3" t="e">
        <f>IF($A105&lt;&gt;"",IF(VLOOKUP($A105,貼り付け用!$A$1:$BA$300,COLUMN(),FALSE)=0,"",VLOOKUP($A105,貼り付け用!$A$1:$BA$300,COLUMN(),FALSE)),"")</f>
        <v>#N/A</v>
      </c>
      <c r="C105" s="3" t="e">
        <f>IF($A105&lt;&gt;"",IF(VLOOKUP($A105,貼り付け用!$A$1:$BA$300,COLUMN(),FALSE)=0,"",VLOOKUP($A105,貼り付け用!$A$1:$BA$300,COLUMN(),FALSE)),"")</f>
        <v>#N/A</v>
      </c>
      <c r="D105" s="3" t="e">
        <f>IF($A105&lt;&gt;"",IF(VLOOKUP($A105,貼り付け用!$A$1:$BA$300,COLUMN(),FALSE)=0,"",VLOOKUP($A105,貼り付け用!$A$1:$BA$300,COLUMN(),FALSE)),"")</f>
        <v>#N/A</v>
      </c>
      <c r="E105" s="3" t="e">
        <f>IF($A105&lt;&gt;"",IF(VLOOKUP($A105,貼り付け用!$A$1:$BA$300,COLUMN(),FALSE)=0,"",VLOOKUP($A105,貼り付け用!$A$1:$BA$300,COLUMN(),FALSE)),"")</f>
        <v>#N/A</v>
      </c>
      <c r="F105" s="3" t="e">
        <f>IF($A105&lt;&gt;"",IF(VLOOKUP($A105,貼り付け用!$A$1:$BA$300,COLUMN(),FALSE)=0,"",VLOOKUP($A105,貼り付け用!$A$1:$BA$300,COLUMN(),FALSE)),"")</f>
        <v>#N/A</v>
      </c>
      <c r="G105" s="3" t="e">
        <f>IF($A105&lt;&gt;"",IF(VLOOKUP($A105,貼り付け用!$A$1:$BA$300,COLUMN(),FALSE)=0,"",VLOOKUP($A105,貼り付け用!$A$1:$BA$300,COLUMN(),FALSE)),"")</f>
        <v>#N/A</v>
      </c>
      <c r="H105" s="3" t="e">
        <f>IF($A105&lt;&gt;"",IF(VLOOKUP($A105,貼り付け用!$A$1:$BA$300,COLUMN(),FALSE)=0,"",VLOOKUP($A105,貼り付け用!$A$1:$BA$300,COLUMN(),FALSE)),"")</f>
        <v>#N/A</v>
      </c>
      <c r="I105" s="3" t="e">
        <f>IF($A105&lt;&gt;"",IF(VLOOKUP($A105,貼り付け用!$A$1:$BA$300,COLUMN(),FALSE)=0,"",VLOOKUP($A105,貼り付け用!$A$1:$BA$300,COLUMN(),FALSE)),"")</f>
        <v>#N/A</v>
      </c>
      <c r="J105" s="3" t="e">
        <f>IF($A105&lt;&gt;"",IF(VLOOKUP($A105,貼り付け用!$A$1:$BA$300,COLUMN(),FALSE)=0,"",VLOOKUP($A105,貼り付け用!$A$1:$BA$300,COLUMN(),FALSE)),"")</f>
        <v>#N/A</v>
      </c>
      <c r="K105" s="3" t="e">
        <f>IF($A105&lt;&gt;"",IF(VLOOKUP($A105,貼り付け用!$A$1:$BA$300,COLUMN(),FALSE)=0,"",VLOOKUP($A105,貼り付け用!$A$1:$BA$300,COLUMN(),FALSE)),"")</f>
        <v>#N/A</v>
      </c>
      <c r="L105" s="3" t="e">
        <f>IF($A105&lt;&gt;"",
IF(COLUMN(貼り付け用!L105)&gt;MATCH("おやつ",貼り付け用!$3:$3,0),"",
IF(VLOOKUP($A105,貼り付け用!$A$1:$BA$300,COLUMN(),FALSE)=0,"",VLOOKUP($A105,貼り付け用!$A$1:$BA$300,COLUMN(),FALSE))),"")</f>
        <v>#N/A</v>
      </c>
      <c r="M105" s="3" t="e">
        <f>IF($A105&lt;&gt;"",
IF(COLUMN(貼り付け用!M105)&gt;MATCH("おやつ",貼り付け用!$3:$3,0),"",
IF(VLOOKUP($A105,貼り付け用!$A$1:$BA$300,COLUMN(),FALSE)=0,"",VLOOKUP($A105,貼り付け用!$A$1:$BA$300,COLUMN(),FALSE))),"")</f>
        <v>#N/A</v>
      </c>
      <c r="N105" s="3" t="e">
        <f>IF($A105&lt;&gt;"",
IF(COLUMN(貼り付け用!N105)&gt;MATCH("おやつ",貼り付け用!$3:$3,0),"",
IF(VLOOKUP($A105,貼り付け用!$A$1:$BA$300,COLUMN(),FALSE)=0,"",VLOOKUP($A105,貼り付け用!$A$1:$BA$300,COLUMN(),FALSE))),"")</f>
        <v>#N/A</v>
      </c>
      <c r="O105" s="3" t="e">
        <f>IF($A105&lt;&gt;"",
IF(COLUMN(貼り付け用!O105)&gt;MATCH("おやつ",貼り付け用!$3:$3,0),"",
IF(VLOOKUP($A105,貼り付け用!$A$1:$BA$300,COLUMN(),FALSE)=0,"",VLOOKUP($A105,貼り付け用!$A$1:$BA$300,COLUMN(),FALSE))),"")</f>
        <v>#N/A</v>
      </c>
      <c r="P105" s="3" t="e">
        <f>IF($A105&lt;&gt;"",
IF(COLUMN(貼り付け用!P105)&gt;MATCH("おやつ",貼り付け用!$3:$3,0),"",
IF(VLOOKUP($A105,貼り付け用!$A$1:$BA$300,COLUMN(),FALSE)=0,"",VLOOKUP($A105,貼り付け用!$A$1:$BA$300,COLUMN(),FALSE))),"")</f>
        <v>#N/A</v>
      </c>
      <c r="Q105" s="3" t="e">
        <f>IF($A105&lt;&gt;"",
IF(COLUMN(貼り付け用!Q105)&gt;MATCH("おやつ",貼り付け用!$3:$3,0),"",
IF(VLOOKUP($A105,貼り付け用!$A$1:$BA$300,COLUMN(),FALSE)=0,"",VLOOKUP($A105,貼り付け用!$A$1:$BA$300,COLUMN(),FALSE))),"")</f>
        <v>#N/A</v>
      </c>
      <c r="R105" s="3" t="e">
        <f>IF($A105&lt;&gt;"",
IF(COLUMN(貼り付け用!R105)&gt;MATCH("おやつ",貼り付け用!$3:$3,0),"",
IF(VLOOKUP($A105,貼り付け用!$A$1:$BA$300,COLUMN(),FALSE)=0,"",VLOOKUP($A105,貼り付け用!$A$1:$BA$300,COLUMN(),FALSE))),"")</f>
        <v>#N/A</v>
      </c>
      <c r="S105" s="3" t="e">
        <f>IF($A105&lt;&gt;"",
IF(COLUMN(貼り付け用!S105)&gt;MATCH("おやつ",貼り付け用!$3:$3,0),"",
IF(VLOOKUP($A105,貼り付け用!$A$1:$BA$300,COLUMN(),FALSE)=0,"",VLOOKUP($A105,貼り付け用!$A$1:$BA$300,COLUMN(),FALSE))),"")</f>
        <v>#N/A</v>
      </c>
      <c r="T105" s="3" t="e">
        <f>IF(COLUMN(貼り付け用!T105)&gt;MATCH("おやつ",貼り付け用!$3:$3,0),"",
IF(VLOOKUP($A105,貼り付け用!$A$1:$BA$300,COLUMN(),FALSE)=0,"",VLOOKUP($A105,貼り付け用!$A$1:$BA$300,COLUMN(),FALSE)))</f>
        <v>#N/A</v>
      </c>
      <c r="U105" s="21"/>
      <c r="V105" s="55" t="e">
        <f>IF(A105&lt;&gt;"",
IF(VLOOKUP($A105,貼り付け用!$A$1:$BA$300,MATCH("おやつ",貼り付け用!$3:$3,0)+1,FALSE)=0,"",VLOOKUP($A105,貼り付け用!$A$1:$BA$300,MATCH("おやつ",貼り付け用!$3:$3,0)+1,FALSE)),"")</f>
        <v>#N/A</v>
      </c>
      <c r="W105" s="14" t="e">
        <f>IF(A105&lt;&gt;"",
IF(VLOOKUP($A105,貼り付け用!$A$1:$BA$300,MATCH("おやつ",貼り付け用!$3:$3,0)+2,FALSE)=0,"",VLOOKUP($A105,貼り付け用!$A$1:$BA$300,MATCH("おやつ",貼り付け用!$3:$3,0)+2,FALSE)),"")</f>
        <v>#N/A</v>
      </c>
    </row>
    <row r="106" spans="1:23">
      <c r="A106" s="4" t="e">
        <f>IF(貼り付け用!$A$6&lt;&gt;"",
IF(ROW(A105)+1&gt;=MATCH("*10000*", 貼り付け用!$A:$A, 0),
IF(COUNTIF(A104,"*10000*"),"10001",
IF(COUNTIF(A104,"*10001*"),"10002",
IF(COUNTIF(A104,"*10002*"),"",
IF(COUNTIF(A104,""),"","10000")))),
IF(貼り付け用!A106&lt;&gt;"",貼り付け用!A106,"")),
IF(ROW(A106)+1&gt;=MATCH("*10000*", 貼り付け用!$A:$A, 0),
IF(COUNTIF(A104,"*10000*"),"10001",
IF(COUNTIF(A104,"*10001*"),"10002",
IF(COUNTIF(A104,"*10002*"),"",
IF(COUNTIF(A104,""),"","10000")))),
IF(貼り付け用!A107&lt;&gt;"",貼り付け用!A107,"")))</f>
        <v>#N/A</v>
      </c>
      <c r="B106" s="14" t="e">
        <f>IF($A106&lt;&gt;"",IF(VLOOKUP($A106,貼り付け用!$A$1:$BA$300,COLUMN(),FALSE)=0,"",VLOOKUP($A106,貼り付け用!$A$1:$BA$300,COLUMN(),FALSE)),"")</f>
        <v>#N/A</v>
      </c>
      <c r="C106" s="14" t="e">
        <f>IF($A106&lt;&gt;"",IF(VLOOKUP($A106,貼り付け用!$A$1:$BA$300,COLUMN(),FALSE)=0,"",VLOOKUP($A106,貼り付け用!$A$1:$BA$300,COLUMN(),FALSE)),"")</f>
        <v>#N/A</v>
      </c>
      <c r="D106" s="14" t="e">
        <f>IF($A106&lt;&gt;"",IF(VLOOKUP($A106,貼り付け用!$A$1:$BA$300,COLUMN(),FALSE)=0,"",VLOOKUP($A106,貼り付け用!$A$1:$BA$300,COLUMN(),FALSE)),"")</f>
        <v>#N/A</v>
      </c>
      <c r="E106" s="14" t="e">
        <f>IF($A106&lt;&gt;"",IF(VLOOKUP($A106,貼り付け用!$A$1:$BA$300,COLUMN(),FALSE)=0,"",VLOOKUP($A106,貼り付け用!$A$1:$BA$300,COLUMN(),FALSE)),"")</f>
        <v>#N/A</v>
      </c>
      <c r="F106" s="14" t="e">
        <f>IF($A106&lt;&gt;"",IF(VLOOKUP($A106,貼り付け用!$A$1:$BA$300,COLUMN(),FALSE)=0,"",VLOOKUP($A106,貼り付け用!$A$1:$BA$300,COLUMN(),FALSE)),"")</f>
        <v>#N/A</v>
      </c>
      <c r="G106" s="14" t="e">
        <f>IF($A106&lt;&gt;"",IF(VLOOKUP($A106,貼り付け用!$A$1:$BA$300,COLUMN(),FALSE)=0,"",VLOOKUP($A106,貼り付け用!$A$1:$BA$300,COLUMN(),FALSE)),"")</f>
        <v>#N/A</v>
      </c>
      <c r="H106" s="14" t="e">
        <f>IF($A106&lt;&gt;"",IF(VLOOKUP($A106,貼り付け用!$A$1:$BA$300,COLUMN(),FALSE)=0,"",VLOOKUP($A106,貼り付け用!$A$1:$BA$300,COLUMN(),FALSE)),"")</f>
        <v>#N/A</v>
      </c>
      <c r="I106" s="14" t="e">
        <f>IF($A106&lt;&gt;"",IF(VLOOKUP($A106,貼り付け用!$A$1:$BA$300,COLUMN(),FALSE)=0,"",VLOOKUP($A106,貼り付け用!$A$1:$BA$300,COLUMN(),FALSE)),"")</f>
        <v>#N/A</v>
      </c>
      <c r="J106" s="14" t="e">
        <f>IF($A106&lt;&gt;"",IF(VLOOKUP($A106,貼り付け用!$A$1:$BA$300,COLUMN(),FALSE)=0,"",VLOOKUP($A106,貼り付け用!$A$1:$BA$300,COLUMN(),FALSE)),"")</f>
        <v>#N/A</v>
      </c>
      <c r="K106" s="14" t="e">
        <f>IF($A106&lt;&gt;"",IF(VLOOKUP($A106,貼り付け用!$A$1:$BA$300,COLUMN(),FALSE)=0,"",VLOOKUP($A106,貼り付け用!$A$1:$BA$300,COLUMN(),FALSE)),"")</f>
        <v>#N/A</v>
      </c>
      <c r="L106" s="14" t="e">
        <f>IF($A106&lt;&gt;"",
IF(COLUMN(貼り付け用!L106)&gt;MATCH("おやつ",貼り付け用!$3:$3,0),"",
IF(VLOOKUP($A106,貼り付け用!$A$1:$BA$300,COLUMN(),FALSE)=0,"",VLOOKUP($A106,貼り付け用!$A$1:$BA$300,COLUMN(),FALSE))),"")</f>
        <v>#N/A</v>
      </c>
      <c r="M106" s="14" t="e">
        <f>IF($A106&lt;&gt;"",
IF(COLUMN(貼り付け用!M106)&gt;MATCH("おやつ",貼り付け用!$3:$3,0),"",
IF(VLOOKUP($A106,貼り付け用!$A$1:$BA$300,COLUMN(),FALSE)=0,"",VLOOKUP($A106,貼り付け用!$A$1:$BA$300,COLUMN(),FALSE))),"")</f>
        <v>#N/A</v>
      </c>
      <c r="N106" s="14" t="e">
        <f>IF($A106&lt;&gt;"",
IF(COLUMN(貼り付け用!N106)&gt;MATCH("おやつ",貼り付け用!$3:$3,0),"",
IF(VLOOKUP($A106,貼り付け用!$A$1:$BA$300,COLUMN(),FALSE)=0,"",VLOOKUP($A106,貼り付け用!$A$1:$BA$300,COLUMN(),FALSE))),"")</f>
        <v>#N/A</v>
      </c>
      <c r="O106" s="14" t="e">
        <f>IF($A106&lt;&gt;"",
IF(COLUMN(貼り付け用!O106)&gt;MATCH("おやつ",貼り付け用!$3:$3,0),"",
IF(VLOOKUP($A106,貼り付け用!$A$1:$BA$300,COLUMN(),FALSE)=0,"",VLOOKUP($A106,貼り付け用!$A$1:$BA$300,COLUMN(),FALSE))),"")</f>
        <v>#N/A</v>
      </c>
      <c r="P106" s="14" t="e">
        <f>IF($A106&lt;&gt;"",
IF(COLUMN(貼り付け用!P106)&gt;MATCH("おやつ",貼り付け用!$3:$3,0),"",
IF(VLOOKUP($A106,貼り付け用!$A$1:$BA$300,COLUMN(),FALSE)=0,"",VLOOKUP($A106,貼り付け用!$A$1:$BA$300,COLUMN(),FALSE))),"")</f>
        <v>#N/A</v>
      </c>
      <c r="Q106" s="14" t="e">
        <f>IF($A106&lt;&gt;"",
IF(COLUMN(貼り付け用!Q106)&gt;MATCH("おやつ",貼り付け用!$3:$3,0),"",
IF(VLOOKUP($A106,貼り付け用!$A$1:$BA$300,COLUMN(),FALSE)=0,"",VLOOKUP($A106,貼り付け用!$A$1:$BA$300,COLUMN(),FALSE))),"")</f>
        <v>#N/A</v>
      </c>
      <c r="R106" s="14" t="e">
        <f>IF($A106&lt;&gt;"",
IF(COLUMN(貼り付け用!R106)&gt;MATCH("おやつ",貼り付け用!$3:$3,0),"",
IF(VLOOKUP($A106,貼り付け用!$A$1:$BA$300,COLUMN(),FALSE)=0,"",VLOOKUP($A106,貼り付け用!$A$1:$BA$300,COLUMN(),FALSE))),"")</f>
        <v>#N/A</v>
      </c>
      <c r="S106" s="14" t="e">
        <f>IF($A106&lt;&gt;"",
IF(COLUMN(貼り付け用!S106)&gt;MATCH("おやつ",貼り付け用!$3:$3,0),"",
IF(VLOOKUP($A106,貼り付け用!$A$1:$BA$300,COLUMN(),FALSE)=0,"",VLOOKUP($A106,貼り付け用!$A$1:$BA$300,COLUMN(),FALSE))),"")</f>
        <v>#N/A</v>
      </c>
      <c r="T106" s="14" t="e">
        <f>IF(COLUMN(貼り付け用!T106)&gt;MATCH("おやつ",貼り付け用!$3:$3,0),"",
IF(VLOOKUP($A106,貼り付け用!$A$1:$BA$300,COLUMN(),FALSE)=0,"",VLOOKUP($A106,貼り付け用!$A$1:$BA$300,COLUMN(),FALSE)))</f>
        <v>#N/A</v>
      </c>
      <c r="U106" s="11"/>
      <c r="V106" s="55" t="e">
        <f>IF(A106&lt;&gt;"",
IF(VLOOKUP($A106,貼り付け用!$A$1:$BA$300,MATCH("おやつ",貼り付け用!$3:$3,0)+1,FALSE)=0,"",VLOOKUP($A106,貼り付け用!$A$1:$BA$300,MATCH("おやつ",貼り付け用!$3:$3,0)+1,FALSE)),"")</f>
        <v>#N/A</v>
      </c>
      <c r="W106" s="14" t="e">
        <f>IF(A106&lt;&gt;"",
IF(VLOOKUP($A106,貼り付け用!$A$1:$BA$300,MATCH("おやつ",貼り付け用!$3:$3,0)+2,FALSE)=0,"",VLOOKUP($A106,貼り付け用!$A$1:$BA$300,MATCH("おやつ",貼り付け用!$3:$3,0)+2,FALSE)),"")</f>
        <v>#N/A</v>
      </c>
    </row>
    <row r="107" spans="1:23">
      <c r="A107" s="8" t="e">
        <f>IF(貼り付け用!$A$6&lt;&gt;"",
IF(ROW(A106)+1&gt;=MATCH("*10000*", 貼り付け用!$A:$A, 0),"",
IF(貼り付け用!A107&lt;&gt;"",貼り付け用!A107,"")),
IF(ROW(A107)+1&gt;=MATCH("*10000*", 貼り付け用!$A:$A, 0),"",
IF(貼り付け用!A108&lt;&gt;"",貼り付け用!A108,"")))</f>
        <v>#N/A</v>
      </c>
      <c r="B107" s="3" t="e">
        <f>IF($A107&lt;&gt;"",IF(VLOOKUP($A107,貼り付け用!$A$1:$BA$300,COLUMN(),FALSE)=0,"",VLOOKUP($A107,貼り付け用!$A$1:$BA$300,COLUMN(),FALSE)),"")</f>
        <v>#N/A</v>
      </c>
      <c r="C107" s="3" t="e">
        <f>IF($A107&lt;&gt;"",IF(VLOOKUP($A107,貼り付け用!$A$1:$BA$300,COLUMN(),FALSE)=0,"",VLOOKUP($A107,貼り付け用!$A$1:$BA$300,COLUMN(),FALSE)),"")</f>
        <v>#N/A</v>
      </c>
      <c r="D107" s="3" t="e">
        <f>IF($A107&lt;&gt;"",IF(VLOOKUP($A107,貼り付け用!$A$1:$BA$300,COLUMN(),FALSE)=0,"",VLOOKUP($A107,貼り付け用!$A$1:$BA$300,COLUMN(),FALSE)),"")</f>
        <v>#N/A</v>
      </c>
      <c r="E107" s="3" t="e">
        <f>IF($A107&lt;&gt;"",IF(VLOOKUP($A107,貼り付け用!$A$1:$BA$300,COLUMN(),FALSE)=0,"",VLOOKUP($A107,貼り付け用!$A$1:$BA$300,COLUMN(),FALSE)),"")</f>
        <v>#N/A</v>
      </c>
      <c r="F107" s="3" t="e">
        <f>IF($A107&lt;&gt;"",IF(VLOOKUP($A107,貼り付け用!$A$1:$BA$300,COLUMN(),FALSE)=0,"",VLOOKUP($A107,貼り付け用!$A$1:$BA$300,COLUMN(),FALSE)),"")</f>
        <v>#N/A</v>
      </c>
      <c r="G107" s="3" t="e">
        <f>IF($A107&lt;&gt;"",IF(VLOOKUP($A107,貼り付け用!$A$1:$BA$300,COLUMN(),FALSE)=0,"",VLOOKUP($A107,貼り付け用!$A$1:$BA$300,COLUMN(),FALSE)),"")</f>
        <v>#N/A</v>
      </c>
      <c r="H107" s="3" t="e">
        <f>IF($A107&lt;&gt;"",IF(VLOOKUP($A107,貼り付け用!$A$1:$BA$300,COLUMN(),FALSE)=0,"",VLOOKUP($A107,貼り付け用!$A$1:$BA$300,COLUMN(),FALSE)),"")</f>
        <v>#N/A</v>
      </c>
      <c r="I107" s="3" t="e">
        <f>IF($A107&lt;&gt;"",IF(VLOOKUP($A107,貼り付け用!$A$1:$BA$300,COLUMN(),FALSE)=0,"",VLOOKUP($A107,貼り付け用!$A$1:$BA$300,COLUMN(),FALSE)),"")</f>
        <v>#N/A</v>
      </c>
      <c r="J107" s="3" t="e">
        <f>IF($A107&lt;&gt;"",IF(VLOOKUP($A107,貼り付け用!$A$1:$BA$300,COLUMN(),FALSE)=0,"",VLOOKUP($A107,貼り付け用!$A$1:$BA$300,COLUMN(),FALSE)),"")</f>
        <v>#N/A</v>
      </c>
      <c r="K107" s="3" t="e">
        <f>IF($A107&lt;&gt;"",IF(VLOOKUP($A107,貼り付け用!$A$1:$BA$300,COLUMN(),FALSE)=0,"",VLOOKUP($A107,貼り付け用!$A$1:$BA$300,COLUMN(),FALSE)),"")</f>
        <v>#N/A</v>
      </c>
      <c r="L107" s="3" t="e">
        <f>IF($A107&lt;&gt;"",
IF(COLUMN(貼り付け用!L107)&gt;MATCH("おやつ",貼り付け用!$3:$3,0),"",
IF(VLOOKUP($A107,貼り付け用!$A$1:$BA$300,COLUMN(),FALSE)=0,"",VLOOKUP($A107,貼り付け用!$A$1:$BA$300,COLUMN(),FALSE))),"")</f>
        <v>#N/A</v>
      </c>
      <c r="M107" s="3" t="e">
        <f>IF($A107&lt;&gt;"",
IF(COLUMN(貼り付け用!M107)&gt;MATCH("おやつ",貼り付け用!$3:$3,0),"",
IF(VLOOKUP($A107,貼り付け用!$A$1:$BA$300,COLUMN(),FALSE)=0,"",VLOOKUP($A107,貼り付け用!$A$1:$BA$300,COLUMN(),FALSE))),"")</f>
        <v>#N/A</v>
      </c>
      <c r="N107" s="3" t="e">
        <f>IF($A107&lt;&gt;"",
IF(COLUMN(貼り付け用!N107)&gt;MATCH("おやつ",貼り付け用!$3:$3,0),"",
IF(VLOOKUP($A107,貼り付け用!$A$1:$BA$300,COLUMN(),FALSE)=0,"",VLOOKUP($A107,貼り付け用!$A$1:$BA$300,COLUMN(),FALSE))),"")</f>
        <v>#N/A</v>
      </c>
      <c r="O107" s="3" t="e">
        <f>IF($A107&lt;&gt;"",
IF(COLUMN(貼り付け用!O107)&gt;MATCH("おやつ",貼り付け用!$3:$3,0),"",
IF(VLOOKUP($A107,貼り付け用!$A$1:$BA$300,COLUMN(),FALSE)=0,"",VLOOKUP($A107,貼り付け用!$A$1:$BA$300,COLUMN(),FALSE))),"")</f>
        <v>#N/A</v>
      </c>
      <c r="P107" s="3" t="e">
        <f>IF($A107&lt;&gt;"",
IF(COLUMN(貼り付け用!P107)&gt;MATCH("おやつ",貼り付け用!$3:$3,0),"",
IF(VLOOKUP($A107,貼り付け用!$A$1:$BA$300,COLUMN(),FALSE)=0,"",VLOOKUP($A107,貼り付け用!$A$1:$BA$300,COLUMN(),FALSE))),"")</f>
        <v>#N/A</v>
      </c>
      <c r="Q107" s="3" t="e">
        <f>IF($A107&lt;&gt;"",
IF(COLUMN(貼り付け用!Q107)&gt;MATCH("おやつ",貼り付け用!$3:$3,0),"",
IF(VLOOKUP($A107,貼り付け用!$A$1:$BA$300,COLUMN(),FALSE)=0,"",VLOOKUP($A107,貼り付け用!$A$1:$BA$300,COLUMN(),FALSE))),"")</f>
        <v>#N/A</v>
      </c>
      <c r="R107" s="3" t="e">
        <f>IF($A107&lt;&gt;"",
IF(COLUMN(貼り付け用!R107)&gt;MATCH("おやつ",貼り付け用!$3:$3,0),"",
IF(VLOOKUP($A107,貼り付け用!$A$1:$BA$300,COLUMN(),FALSE)=0,"",VLOOKUP($A107,貼り付け用!$A$1:$BA$300,COLUMN(),FALSE))),"")</f>
        <v>#N/A</v>
      </c>
      <c r="S107" s="3" t="e">
        <f>IF($A107&lt;&gt;"",
IF(COLUMN(貼り付け用!S107)&gt;MATCH("おやつ",貼り付け用!$3:$3,0),"",
IF(VLOOKUP($A107,貼り付け用!$A$1:$BA$300,COLUMN(),FALSE)=0,"",VLOOKUP($A107,貼り付け用!$A$1:$BA$300,COLUMN(),FALSE))),"")</f>
        <v>#N/A</v>
      </c>
      <c r="T107" s="3" t="e">
        <f>IF(COLUMN(貼り付け用!T107)&gt;MATCH("おやつ",貼り付け用!$3:$3,0),"",
IF(VLOOKUP($A107,貼り付け用!$A$1:$BA$300,COLUMN(),FALSE)=0,"",VLOOKUP($A107,貼り付け用!$A$1:$BA$300,COLUMN(),FALSE)))</f>
        <v>#N/A</v>
      </c>
      <c r="U107" s="21"/>
      <c r="V107" s="55" t="e">
        <f>IF(A107&lt;&gt;"",
IF(VLOOKUP($A107,貼り付け用!$A$1:$BA$300,MATCH("おやつ",貼り付け用!$3:$3,0)+1,FALSE)=0,"",VLOOKUP($A107,貼り付け用!$A$1:$BA$300,MATCH("おやつ",貼り付け用!$3:$3,0)+1,FALSE)),"")</f>
        <v>#N/A</v>
      </c>
      <c r="W107" s="14" t="e">
        <f>IF(A107&lt;&gt;"",
IF(VLOOKUP($A107,貼り付け用!$A$1:$BA$300,MATCH("おやつ",貼り付け用!$3:$3,0)+2,FALSE)=0,"",VLOOKUP($A107,貼り付け用!$A$1:$BA$300,MATCH("おやつ",貼り付け用!$3:$3,0)+2,FALSE)),"")</f>
        <v>#N/A</v>
      </c>
    </row>
    <row r="108" spans="1:23">
      <c r="A108" s="4" t="e">
        <f>IF(貼り付け用!$A$6&lt;&gt;"",
IF(ROW(A107)+1&gt;=MATCH("*10000*", 貼り付け用!$A:$A, 0),
IF(COUNTIF(A106,"*10000*"),"10001",
IF(COUNTIF(A106,"*10001*"),"10002",
IF(COUNTIF(A106,"*10002*"),"",
IF(COUNTIF(A106,""),"","10000")))),
IF(貼り付け用!A108&lt;&gt;"",貼り付け用!A108,"")),
IF(ROW(A108)+1&gt;=MATCH("*10000*", 貼り付け用!$A:$A, 0),
IF(COUNTIF(A106,"*10000*"),"10001",
IF(COUNTIF(A106,"*10001*"),"10002",
IF(COUNTIF(A106,"*10002*"),"",
IF(COUNTIF(A106,""),"","10000")))),
IF(貼り付け用!A109&lt;&gt;"",貼り付け用!A109,"")))</f>
        <v>#N/A</v>
      </c>
      <c r="B108" s="14" t="e">
        <f>IF($A108&lt;&gt;"",IF(VLOOKUP($A108,貼り付け用!$A$1:$BA$300,COLUMN(),FALSE)=0,"",VLOOKUP($A108,貼り付け用!$A$1:$BA$300,COLUMN(),FALSE)),"")</f>
        <v>#N/A</v>
      </c>
      <c r="C108" s="14" t="e">
        <f>IF($A108&lt;&gt;"",IF(VLOOKUP($A108,貼り付け用!$A$1:$BA$300,COLUMN(),FALSE)=0,"",VLOOKUP($A108,貼り付け用!$A$1:$BA$300,COLUMN(),FALSE)),"")</f>
        <v>#N/A</v>
      </c>
      <c r="D108" s="14" t="e">
        <f>IF($A108&lt;&gt;"",IF(VLOOKUP($A108,貼り付け用!$A$1:$BA$300,COLUMN(),FALSE)=0,"",VLOOKUP($A108,貼り付け用!$A$1:$BA$300,COLUMN(),FALSE)),"")</f>
        <v>#N/A</v>
      </c>
      <c r="E108" s="14" t="e">
        <f>IF($A108&lt;&gt;"",IF(VLOOKUP($A108,貼り付け用!$A$1:$BA$300,COLUMN(),FALSE)=0,"",VLOOKUP($A108,貼り付け用!$A$1:$BA$300,COLUMN(),FALSE)),"")</f>
        <v>#N/A</v>
      </c>
      <c r="F108" s="14" t="e">
        <f>IF($A108&lt;&gt;"",IF(VLOOKUP($A108,貼り付け用!$A$1:$BA$300,COLUMN(),FALSE)=0,"",VLOOKUP($A108,貼り付け用!$A$1:$BA$300,COLUMN(),FALSE)),"")</f>
        <v>#N/A</v>
      </c>
      <c r="G108" s="14" t="e">
        <f>IF($A108&lt;&gt;"",IF(VLOOKUP($A108,貼り付け用!$A$1:$BA$300,COLUMN(),FALSE)=0,"",VLOOKUP($A108,貼り付け用!$A$1:$BA$300,COLUMN(),FALSE)),"")</f>
        <v>#N/A</v>
      </c>
      <c r="H108" s="14" t="e">
        <f>IF($A108&lt;&gt;"",IF(VLOOKUP($A108,貼り付け用!$A$1:$BA$300,COLUMN(),FALSE)=0,"",VLOOKUP($A108,貼り付け用!$A$1:$BA$300,COLUMN(),FALSE)),"")</f>
        <v>#N/A</v>
      </c>
      <c r="I108" s="14" t="e">
        <f>IF($A108&lt;&gt;"",IF(VLOOKUP($A108,貼り付け用!$A$1:$BA$300,COLUMN(),FALSE)=0,"",VLOOKUP($A108,貼り付け用!$A$1:$BA$300,COLUMN(),FALSE)),"")</f>
        <v>#N/A</v>
      </c>
      <c r="J108" s="14" t="e">
        <f>IF($A108&lt;&gt;"",IF(VLOOKUP($A108,貼り付け用!$A$1:$BA$300,COLUMN(),FALSE)=0,"",VLOOKUP($A108,貼り付け用!$A$1:$BA$300,COLUMN(),FALSE)),"")</f>
        <v>#N/A</v>
      </c>
      <c r="K108" s="14" t="e">
        <f>IF($A108&lt;&gt;"",IF(VLOOKUP($A108,貼り付け用!$A$1:$BA$300,COLUMN(),FALSE)=0,"",VLOOKUP($A108,貼り付け用!$A$1:$BA$300,COLUMN(),FALSE)),"")</f>
        <v>#N/A</v>
      </c>
      <c r="L108" s="14" t="e">
        <f>IF($A108&lt;&gt;"",
IF(COLUMN(貼り付け用!L108)&gt;MATCH("おやつ",貼り付け用!$3:$3,0),"",
IF(VLOOKUP($A108,貼り付け用!$A$1:$BA$300,COLUMN(),FALSE)=0,"",VLOOKUP($A108,貼り付け用!$A$1:$BA$300,COLUMN(),FALSE))),"")</f>
        <v>#N/A</v>
      </c>
      <c r="M108" s="14" t="e">
        <f>IF($A108&lt;&gt;"",
IF(COLUMN(貼り付け用!M108)&gt;MATCH("おやつ",貼り付け用!$3:$3,0),"",
IF(VLOOKUP($A108,貼り付け用!$A$1:$BA$300,COLUMN(),FALSE)=0,"",VLOOKUP($A108,貼り付け用!$A$1:$BA$300,COLUMN(),FALSE))),"")</f>
        <v>#N/A</v>
      </c>
      <c r="N108" s="14" t="e">
        <f>IF($A108&lt;&gt;"",
IF(COLUMN(貼り付け用!N108)&gt;MATCH("おやつ",貼り付け用!$3:$3,0),"",
IF(VLOOKUP($A108,貼り付け用!$A$1:$BA$300,COLUMN(),FALSE)=0,"",VLOOKUP($A108,貼り付け用!$A$1:$BA$300,COLUMN(),FALSE))),"")</f>
        <v>#N/A</v>
      </c>
      <c r="O108" s="14" t="e">
        <f>IF($A108&lt;&gt;"",
IF(COLUMN(貼り付け用!O108)&gt;MATCH("おやつ",貼り付け用!$3:$3,0),"",
IF(VLOOKUP($A108,貼り付け用!$A$1:$BA$300,COLUMN(),FALSE)=0,"",VLOOKUP($A108,貼り付け用!$A$1:$BA$300,COLUMN(),FALSE))),"")</f>
        <v>#N/A</v>
      </c>
      <c r="P108" s="14" t="e">
        <f>IF($A108&lt;&gt;"",
IF(COLUMN(貼り付け用!P108)&gt;MATCH("おやつ",貼り付け用!$3:$3,0),"",
IF(VLOOKUP($A108,貼り付け用!$A$1:$BA$300,COLUMN(),FALSE)=0,"",VLOOKUP($A108,貼り付け用!$A$1:$BA$300,COLUMN(),FALSE))),"")</f>
        <v>#N/A</v>
      </c>
      <c r="Q108" s="14" t="e">
        <f>IF($A108&lt;&gt;"",
IF(COLUMN(貼り付け用!Q108)&gt;MATCH("おやつ",貼り付け用!$3:$3,0),"",
IF(VLOOKUP($A108,貼り付け用!$A$1:$BA$300,COLUMN(),FALSE)=0,"",VLOOKUP($A108,貼り付け用!$A$1:$BA$300,COLUMN(),FALSE))),"")</f>
        <v>#N/A</v>
      </c>
      <c r="R108" s="14" t="e">
        <f>IF($A108&lt;&gt;"",
IF(COLUMN(貼り付け用!R108)&gt;MATCH("おやつ",貼り付け用!$3:$3,0),"",
IF(VLOOKUP($A108,貼り付け用!$A$1:$BA$300,COLUMN(),FALSE)=0,"",VLOOKUP($A108,貼り付け用!$A$1:$BA$300,COLUMN(),FALSE))),"")</f>
        <v>#N/A</v>
      </c>
      <c r="S108" s="14" t="e">
        <f>IF($A108&lt;&gt;"",
IF(COLUMN(貼り付け用!S108)&gt;MATCH("おやつ",貼り付け用!$3:$3,0),"",
IF(VLOOKUP($A108,貼り付け用!$A$1:$BA$300,COLUMN(),FALSE)=0,"",VLOOKUP($A108,貼り付け用!$A$1:$BA$300,COLUMN(),FALSE))),"")</f>
        <v>#N/A</v>
      </c>
      <c r="T108" s="14" t="e">
        <f>IF(COLUMN(貼り付け用!T108)&gt;MATCH("おやつ",貼り付け用!$3:$3,0),"",
IF(VLOOKUP($A108,貼り付け用!$A$1:$BA$300,COLUMN(),FALSE)=0,"",VLOOKUP($A108,貼り付け用!$A$1:$BA$300,COLUMN(),FALSE)))</f>
        <v>#N/A</v>
      </c>
      <c r="U108" s="11"/>
      <c r="V108" s="55" t="e">
        <f>IF(A108&lt;&gt;"",
IF(VLOOKUP($A108,貼り付け用!$A$1:$BA$300,MATCH("おやつ",貼り付け用!$3:$3,0)+1,FALSE)=0,"",VLOOKUP($A108,貼り付け用!$A$1:$BA$300,MATCH("おやつ",貼り付け用!$3:$3,0)+1,FALSE)),"")</f>
        <v>#N/A</v>
      </c>
      <c r="W108" s="14" t="e">
        <f>IF(A108&lt;&gt;"",
IF(VLOOKUP($A108,貼り付け用!$A$1:$BA$300,MATCH("おやつ",貼り付け用!$3:$3,0)+2,FALSE)=0,"",VLOOKUP($A108,貼り付け用!$A$1:$BA$300,MATCH("おやつ",貼り付け用!$3:$3,0)+2,FALSE)),"")</f>
        <v>#N/A</v>
      </c>
    </row>
    <row r="109" spans="1:23">
      <c r="A109" s="8" t="e">
        <f>IF(貼り付け用!$A$6&lt;&gt;"",
IF(ROW(A108)+1&gt;=MATCH("*10000*", 貼り付け用!$A:$A, 0),"",
IF(貼り付け用!A109&lt;&gt;"",貼り付け用!A109,"")),
IF(ROW(A109)+1&gt;=MATCH("*10000*", 貼り付け用!$A:$A, 0),"",
IF(貼り付け用!A110&lt;&gt;"",貼り付け用!A110,"")))</f>
        <v>#N/A</v>
      </c>
      <c r="B109" s="3" t="e">
        <f>IF($A109&lt;&gt;"",IF(VLOOKUP($A109,貼り付け用!$A$1:$BA$300,COLUMN(),FALSE)=0,"",VLOOKUP($A109,貼り付け用!$A$1:$BA$300,COLUMN(),FALSE)),"")</f>
        <v>#N/A</v>
      </c>
      <c r="C109" s="3" t="e">
        <f>IF($A109&lt;&gt;"",IF(VLOOKUP($A109,貼り付け用!$A$1:$BA$300,COLUMN(),FALSE)=0,"",VLOOKUP($A109,貼り付け用!$A$1:$BA$300,COLUMN(),FALSE)),"")</f>
        <v>#N/A</v>
      </c>
      <c r="D109" s="3" t="e">
        <f>IF($A109&lt;&gt;"",IF(VLOOKUP($A109,貼り付け用!$A$1:$BA$300,COLUMN(),FALSE)=0,"",VLOOKUP($A109,貼り付け用!$A$1:$BA$300,COLUMN(),FALSE)),"")</f>
        <v>#N/A</v>
      </c>
      <c r="E109" s="3" t="e">
        <f>IF($A109&lt;&gt;"",IF(VLOOKUP($A109,貼り付け用!$A$1:$BA$300,COLUMN(),FALSE)=0,"",VLOOKUP($A109,貼り付け用!$A$1:$BA$300,COLUMN(),FALSE)),"")</f>
        <v>#N/A</v>
      </c>
      <c r="F109" s="3" t="e">
        <f>IF($A109&lt;&gt;"",IF(VLOOKUP($A109,貼り付け用!$A$1:$BA$300,COLUMN(),FALSE)=0,"",VLOOKUP($A109,貼り付け用!$A$1:$BA$300,COLUMN(),FALSE)),"")</f>
        <v>#N/A</v>
      </c>
      <c r="G109" s="3" t="e">
        <f>IF($A109&lt;&gt;"",IF(VLOOKUP($A109,貼り付け用!$A$1:$BA$300,COLUMN(),FALSE)=0,"",VLOOKUP($A109,貼り付け用!$A$1:$BA$300,COLUMN(),FALSE)),"")</f>
        <v>#N/A</v>
      </c>
      <c r="H109" s="3" t="e">
        <f>IF($A109&lt;&gt;"",IF(VLOOKUP($A109,貼り付け用!$A$1:$BA$300,COLUMN(),FALSE)=0,"",VLOOKUP($A109,貼り付け用!$A$1:$BA$300,COLUMN(),FALSE)),"")</f>
        <v>#N/A</v>
      </c>
      <c r="I109" s="3" t="e">
        <f>IF($A109&lt;&gt;"",IF(VLOOKUP($A109,貼り付け用!$A$1:$BA$300,COLUMN(),FALSE)=0,"",VLOOKUP($A109,貼り付け用!$A$1:$BA$300,COLUMN(),FALSE)),"")</f>
        <v>#N/A</v>
      </c>
      <c r="J109" s="3" t="e">
        <f>IF($A109&lt;&gt;"",IF(VLOOKUP($A109,貼り付け用!$A$1:$BA$300,COLUMN(),FALSE)=0,"",VLOOKUP($A109,貼り付け用!$A$1:$BA$300,COLUMN(),FALSE)),"")</f>
        <v>#N/A</v>
      </c>
      <c r="K109" s="3" t="e">
        <f>IF($A109&lt;&gt;"",IF(VLOOKUP($A109,貼り付け用!$A$1:$BA$300,COLUMN(),FALSE)=0,"",VLOOKUP($A109,貼り付け用!$A$1:$BA$300,COLUMN(),FALSE)),"")</f>
        <v>#N/A</v>
      </c>
      <c r="L109" s="3" t="e">
        <f>IF($A109&lt;&gt;"",
IF(COLUMN(貼り付け用!L109)&gt;MATCH("おやつ",貼り付け用!$3:$3,0),"",
IF(VLOOKUP($A109,貼り付け用!$A$1:$BA$300,COLUMN(),FALSE)=0,"",VLOOKUP($A109,貼り付け用!$A$1:$BA$300,COLUMN(),FALSE))),"")</f>
        <v>#N/A</v>
      </c>
      <c r="M109" s="3" t="e">
        <f>IF($A109&lt;&gt;"",
IF(COLUMN(貼り付け用!M109)&gt;MATCH("おやつ",貼り付け用!$3:$3,0),"",
IF(VLOOKUP($A109,貼り付け用!$A$1:$BA$300,COLUMN(),FALSE)=0,"",VLOOKUP($A109,貼り付け用!$A$1:$BA$300,COLUMN(),FALSE))),"")</f>
        <v>#N/A</v>
      </c>
      <c r="N109" s="3" t="e">
        <f>IF($A109&lt;&gt;"",
IF(COLUMN(貼り付け用!N109)&gt;MATCH("おやつ",貼り付け用!$3:$3,0),"",
IF(VLOOKUP($A109,貼り付け用!$A$1:$BA$300,COLUMN(),FALSE)=0,"",VLOOKUP($A109,貼り付け用!$A$1:$BA$300,COLUMN(),FALSE))),"")</f>
        <v>#N/A</v>
      </c>
      <c r="O109" s="3" t="e">
        <f>IF($A109&lt;&gt;"",
IF(COLUMN(貼り付け用!O109)&gt;MATCH("おやつ",貼り付け用!$3:$3,0),"",
IF(VLOOKUP($A109,貼り付け用!$A$1:$BA$300,COLUMN(),FALSE)=0,"",VLOOKUP($A109,貼り付け用!$A$1:$BA$300,COLUMN(),FALSE))),"")</f>
        <v>#N/A</v>
      </c>
      <c r="P109" s="3" t="e">
        <f>IF($A109&lt;&gt;"",
IF(COLUMN(貼り付け用!P109)&gt;MATCH("おやつ",貼り付け用!$3:$3,0),"",
IF(VLOOKUP($A109,貼り付け用!$A$1:$BA$300,COLUMN(),FALSE)=0,"",VLOOKUP($A109,貼り付け用!$A$1:$BA$300,COLUMN(),FALSE))),"")</f>
        <v>#N/A</v>
      </c>
      <c r="Q109" s="3" t="e">
        <f>IF($A109&lt;&gt;"",
IF(COLUMN(貼り付け用!Q109)&gt;MATCH("おやつ",貼り付け用!$3:$3,0),"",
IF(VLOOKUP($A109,貼り付け用!$A$1:$BA$300,COLUMN(),FALSE)=0,"",VLOOKUP($A109,貼り付け用!$A$1:$BA$300,COLUMN(),FALSE))),"")</f>
        <v>#N/A</v>
      </c>
      <c r="R109" s="3" t="e">
        <f>IF($A109&lt;&gt;"",
IF(COLUMN(貼り付け用!R109)&gt;MATCH("おやつ",貼り付け用!$3:$3,0),"",
IF(VLOOKUP($A109,貼り付け用!$A$1:$BA$300,COLUMN(),FALSE)=0,"",VLOOKUP($A109,貼り付け用!$A$1:$BA$300,COLUMN(),FALSE))),"")</f>
        <v>#N/A</v>
      </c>
      <c r="S109" s="3" t="e">
        <f>IF($A109&lt;&gt;"",
IF(COLUMN(貼り付け用!S109)&gt;MATCH("おやつ",貼り付け用!$3:$3,0),"",
IF(VLOOKUP($A109,貼り付け用!$A$1:$BA$300,COLUMN(),FALSE)=0,"",VLOOKUP($A109,貼り付け用!$A$1:$BA$300,COLUMN(),FALSE))),"")</f>
        <v>#N/A</v>
      </c>
      <c r="T109" s="3" t="e">
        <f>IF(COLUMN(貼り付け用!T109)&gt;MATCH("おやつ",貼り付け用!$3:$3,0),"",
IF(VLOOKUP($A109,貼り付け用!$A$1:$BA$300,COLUMN(),FALSE)=0,"",VLOOKUP($A109,貼り付け用!$A$1:$BA$300,COLUMN(),FALSE)))</f>
        <v>#N/A</v>
      </c>
      <c r="U109" s="21"/>
      <c r="V109" s="55" t="e">
        <f>IF(A109&lt;&gt;"",
IF(VLOOKUP($A109,貼り付け用!$A$1:$BA$300,MATCH("おやつ",貼り付け用!$3:$3,0)+1,FALSE)=0,"",VLOOKUP($A109,貼り付け用!$A$1:$BA$300,MATCH("おやつ",貼り付け用!$3:$3,0)+1,FALSE)),"")</f>
        <v>#N/A</v>
      </c>
      <c r="W109" s="14" t="e">
        <f>IF(A109&lt;&gt;"",
IF(VLOOKUP($A109,貼り付け用!$A$1:$BA$300,MATCH("おやつ",貼り付け用!$3:$3,0)+2,FALSE)=0,"",VLOOKUP($A109,貼り付け用!$A$1:$BA$300,MATCH("おやつ",貼り付け用!$3:$3,0)+2,FALSE)),"")</f>
        <v>#N/A</v>
      </c>
    </row>
    <row r="110" spans="1:23">
      <c r="A110" s="4" t="e">
        <f>IF(貼り付け用!$A$6&lt;&gt;"",
IF(ROW(A109)+1&gt;=MATCH("*10000*", 貼り付け用!$A:$A, 0),
IF(COUNTIF(A108,"*10000*"),"10001",
IF(COUNTIF(A108,"*10001*"),"10002",
IF(COUNTIF(A108,"*10002*"),"",
IF(COUNTIF(A108,""),"","10000")))),
IF(貼り付け用!A110&lt;&gt;"",貼り付け用!A110,"")),
IF(ROW(A110)+1&gt;=MATCH("*10000*", 貼り付け用!$A:$A, 0),
IF(COUNTIF(A108,"*10000*"),"10001",
IF(COUNTIF(A108,"*10001*"),"10002",
IF(COUNTIF(A108,"*10002*"),"",
IF(COUNTIF(A108,""),"","10000")))),
IF(貼り付け用!A111&lt;&gt;"",貼り付け用!A111,"")))</f>
        <v>#N/A</v>
      </c>
      <c r="B110" s="14" t="e">
        <f>IF($A110&lt;&gt;"",IF(VLOOKUP($A110,貼り付け用!$A$1:$BA$300,COLUMN(),FALSE)=0,"",VLOOKUP($A110,貼り付け用!$A$1:$BA$300,COLUMN(),FALSE)),"")</f>
        <v>#N/A</v>
      </c>
      <c r="C110" s="14" t="e">
        <f>IF($A110&lt;&gt;"",IF(VLOOKUP($A110,貼り付け用!$A$1:$BA$300,COLUMN(),FALSE)=0,"",VLOOKUP($A110,貼り付け用!$A$1:$BA$300,COLUMN(),FALSE)),"")</f>
        <v>#N/A</v>
      </c>
      <c r="D110" s="14" t="e">
        <f>IF($A110&lt;&gt;"",IF(VLOOKUP($A110,貼り付け用!$A$1:$BA$300,COLUMN(),FALSE)=0,"",VLOOKUP($A110,貼り付け用!$A$1:$BA$300,COLUMN(),FALSE)),"")</f>
        <v>#N/A</v>
      </c>
      <c r="E110" s="14" t="e">
        <f>IF($A110&lt;&gt;"",IF(VLOOKUP($A110,貼り付け用!$A$1:$BA$300,COLUMN(),FALSE)=0,"",VLOOKUP($A110,貼り付け用!$A$1:$BA$300,COLUMN(),FALSE)),"")</f>
        <v>#N/A</v>
      </c>
      <c r="F110" s="14" t="e">
        <f>IF($A110&lt;&gt;"",IF(VLOOKUP($A110,貼り付け用!$A$1:$BA$300,COLUMN(),FALSE)=0,"",VLOOKUP($A110,貼り付け用!$A$1:$BA$300,COLUMN(),FALSE)),"")</f>
        <v>#N/A</v>
      </c>
      <c r="G110" s="14" t="e">
        <f>IF($A110&lt;&gt;"",IF(VLOOKUP($A110,貼り付け用!$A$1:$BA$300,COLUMN(),FALSE)=0,"",VLOOKUP($A110,貼り付け用!$A$1:$BA$300,COLUMN(),FALSE)),"")</f>
        <v>#N/A</v>
      </c>
      <c r="H110" s="14" t="e">
        <f>IF($A110&lt;&gt;"",IF(VLOOKUP($A110,貼り付け用!$A$1:$BA$300,COLUMN(),FALSE)=0,"",VLOOKUP($A110,貼り付け用!$A$1:$BA$300,COLUMN(),FALSE)),"")</f>
        <v>#N/A</v>
      </c>
      <c r="I110" s="14" t="e">
        <f>IF($A110&lt;&gt;"",IF(VLOOKUP($A110,貼り付け用!$A$1:$BA$300,COLUMN(),FALSE)=0,"",VLOOKUP($A110,貼り付け用!$A$1:$BA$300,COLUMN(),FALSE)),"")</f>
        <v>#N/A</v>
      </c>
      <c r="J110" s="14" t="e">
        <f>IF($A110&lt;&gt;"",IF(VLOOKUP($A110,貼り付け用!$A$1:$BA$300,COLUMN(),FALSE)=0,"",VLOOKUP($A110,貼り付け用!$A$1:$BA$300,COLUMN(),FALSE)),"")</f>
        <v>#N/A</v>
      </c>
      <c r="K110" s="14" t="e">
        <f>IF($A110&lt;&gt;"",IF(VLOOKUP($A110,貼り付け用!$A$1:$BA$300,COLUMN(),FALSE)=0,"",VLOOKUP($A110,貼り付け用!$A$1:$BA$300,COLUMN(),FALSE)),"")</f>
        <v>#N/A</v>
      </c>
      <c r="L110" s="14" t="e">
        <f>IF($A110&lt;&gt;"",
IF(COLUMN(貼り付け用!L110)&gt;MATCH("おやつ",貼り付け用!$3:$3,0),"",
IF(VLOOKUP($A110,貼り付け用!$A$1:$BA$300,COLUMN(),FALSE)=0,"",VLOOKUP($A110,貼り付け用!$A$1:$BA$300,COLUMN(),FALSE))),"")</f>
        <v>#N/A</v>
      </c>
      <c r="M110" s="14" t="e">
        <f>IF($A110&lt;&gt;"",
IF(COLUMN(貼り付け用!M110)&gt;MATCH("おやつ",貼り付け用!$3:$3,0),"",
IF(VLOOKUP($A110,貼り付け用!$A$1:$BA$300,COLUMN(),FALSE)=0,"",VLOOKUP($A110,貼り付け用!$A$1:$BA$300,COLUMN(),FALSE))),"")</f>
        <v>#N/A</v>
      </c>
      <c r="N110" s="14" t="e">
        <f>IF($A110&lt;&gt;"",
IF(COLUMN(貼り付け用!N110)&gt;MATCH("おやつ",貼り付け用!$3:$3,0),"",
IF(VLOOKUP($A110,貼り付け用!$A$1:$BA$300,COLUMN(),FALSE)=0,"",VLOOKUP($A110,貼り付け用!$A$1:$BA$300,COLUMN(),FALSE))),"")</f>
        <v>#N/A</v>
      </c>
      <c r="O110" s="14" t="e">
        <f>IF($A110&lt;&gt;"",
IF(COLUMN(貼り付け用!O110)&gt;MATCH("おやつ",貼り付け用!$3:$3,0),"",
IF(VLOOKUP($A110,貼り付け用!$A$1:$BA$300,COLUMN(),FALSE)=0,"",VLOOKUP($A110,貼り付け用!$A$1:$BA$300,COLUMN(),FALSE))),"")</f>
        <v>#N/A</v>
      </c>
      <c r="P110" s="14" t="e">
        <f>IF($A110&lt;&gt;"",
IF(COLUMN(貼り付け用!P110)&gt;MATCH("おやつ",貼り付け用!$3:$3,0),"",
IF(VLOOKUP($A110,貼り付け用!$A$1:$BA$300,COLUMN(),FALSE)=0,"",VLOOKUP($A110,貼り付け用!$A$1:$BA$300,COLUMN(),FALSE))),"")</f>
        <v>#N/A</v>
      </c>
      <c r="Q110" s="14" t="e">
        <f>IF($A110&lt;&gt;"",
IF(COLUMN(貼り付け用!Q110)&gt;MATCH("おやつ",貼り付け用!$3:$3,0),"",
IF(VLOOKUP($A110,貼り付け用!$A$1:$BA$300,COLUMN(),FALSE)=0,"",VLOOKUP($A110,貼り付け用!$A$1:$BA$300,COLUMN(),FALSE))),"")</f>
        <v>#N/A</v>
      </c>
      <c r="R110" s="14" t="e">
        <f>IF($A110&lt;&gt;"",
IF(COLUMN(貼り付け用!R110)&gt;MATCH("おやつ",貼り付け用!$3:$3,0),"",
IF(VLOOKUP($A110,貼り付け用!$A$1:$BA$300,COLUMN(),FALSE)=0,"",VLOOKUP($A110,貼り付け用!$A$1:$BA$300,COLUMN(),FALSE))),"")</f>
        <v>#N/A</v>
      </c>
      <c r="S110" s="14" t="e">
        <f>IF($A110&lt;&gt;"",
IF(COLUMN(貼り付け用!S110)&gt;MATCH("おやつ",貼り付け用!$3:$3,0),"",
IF(VLOOKUP($A110,貼り付け用!$A$1:$BA$300,COLUMN(),FALSE)=0,"",VLOOKUP($A110,貼り付け用!$A$1:$BA$300,COLUMN(),FALSE))),"")</f>
        <v>#N/A</v>
      </c>
      <c r="T110" s="14" t="e">
        <f>IF(COLUMN(貼り付け用!T110)&gt;MATCH("おやつ",貼り付け用!$3:$3,0),"",
IF(VLOOKUP($A110,貼り付け用!$A$1:$BA$300,COLUMN(),FALSE)=0,"",VLOOKUP($A110,貼り付け用!$A$1:$BA$300,COLUMN(),FALSE)))</f>
        <v>#N/A</v>
      </c>
      <c r="U110" s="11"/>
      <c r="V110" s="55" t="e">
        <f>IF(A110&lt;&gt;"",
IF(VLOOKUP($A110,貼り付け用!$A$1:$BA$300,MATCH("おやつ",貼り付け用!$3:$3,0)+1,FALSE)=0,"",VLOOKUP($A110,貼り付け用!$A$1:$BA$300,MATCH("おやつ",貼り付け用!$3:$3,0)+1,FALSE)),"")</f>
        <v>#N/A</v>
      </c>
      <c r="W110" s="14" t="e">
        <f>IF(A110&lt;&gt;"",
IF(VLOOKUP($A110,貼り付け用!$A$1:$BA$300,MATCH("おやつ",貼り付け用!$3:$3,0)+2,FALSE)=0,"",VLOOKUP($A110,貼り付け用!$A$1:$BA$300,MATCH("おやつ",貼り付け用!$3:$3,0)+2,FALSE)),"")</f>
        <v>#N/A</v>
      </c>
    </row>
    <row r="111" spans="1:23">
      <c r="A111" s="8" t="e">
        <f>IF(貼り付け用!$A$6&lt;&gt;"",
IF(ROW(A110)+1&gt;=MATCH("*10000*", 貼り付け用!$A:$A, 0),"",
IF(貼り付け用!A111&lt;&gt;"",貼り付け用!A111,"")),
IF(ROW(A111)+1&gt;=MATCH("*10000*", 貼り付け用!$A:$A, 0),"",
IF(貼り付け用!A112&lt;&gt;"",貼り付け用!A112,"")))</f>
        <v>#N/A</v>
      </c>
      <c r="B111" s="3" t="e">
        <f>IF($A111&lt;&gt;"",IF(VLOOKUP($A111,貼り付け用!$A$1:$BA$300,COLUMN(),FALSE)=0,"",VLOOKUP($A111,貼り付け用!$A$1:$BA$300,COLUMN(),FALSE)),"")</f>
        <v>#N/A</v>
      </c>
      <c r="C111" s="3" t="e">
        <f>IF($A111&lt;&gt;"",IF(VLOOKUP($A111,貼り付け用!$A$1:$BA$300,COLUMN(),FALSE)=0,"",VLOOKUP($A111,貼り付け用!$A$1:$BA$300,COLUMN(),FALSE)),"")</f>
        <v>#N/A</v>
      </c>
      <c r="D111" s="3" t="e">
        <f>IF($A111&lt;&gt;"",IF(VLOOKUP($A111,貼り付け用!$A$1:$BA$300,COLUMN(),FALSE)=0,"",VLOOKUP($A111,貼り付け用!$A$1:$BA$300,COLUMN(),FALSE)),"")</f>
        <v>#N/A</v>
      </c>
      <c r="E111" s="3" t="e">
        <f>IF($A111&lt;&gt;"",IF(VLOOKUP($A111,貼り付け用!$A$1:$BA$300,COLUMN(),FALSE)=0,"",VLOOKUP($A111,貼り付け用!$A$1:$BA$300,COLUMN(),FALSE)),"")</f>
        <v>#N/A</v>
      </c>
      <c r="F111" s="3" t="e">
        <f>IF($A111&lt;&gt;"",IF(VLOOKUP($A111,貼り付け用!$A$1:$BA$300,COLUMN(),FALSE)=0,"",VLOOKUP($A111,貼り付け用!$A$1:$BA$300,COLUMN(),FALSE)),"")</f>
        <v>#N/A</v>
      </c>
      <c r="G111" s="3" t="e">
        <f>IF($A111&lt;&gt;"",IF(VLOOKUP($A111,貼り付け用!$A$1:$BA$300,COLUMN(),FALSE)=0,"",VLOOKUP($A111,貼り付け用!$A$1:$BA$300,COLUMN(),FALSE)),"")</f>
        <v>#N/A</v>
      </c>
      <c r="H111" s="3" t="e">
        <f>IF($A111&lt;&gt;"",IF(VLOOKUP($A111,貼り付け用!$A$1:$BA$300,COLUMN(),FALSE)=0,"",VLOOKUP($A111,貼り付け用!$A$1:$BA$300,COLUMN(),FALSE)),"")</f>
        <v>#N/A</v>
      </c>
      <c r="I111" s="3" t="e">
        <f>IF($A111&lt;&gt;"",IF(VLOOKUP($A111,貼り付け用!$A$1:$BA$300,COLUMN(),FALSE)=0,"",VLOOKUP($A111,貼り付け用!$A$1:$BA$300,COLUMN(),FALSE)),"")</f>
        <v>#N/A</v>
      </c>
      <c r="J111" s="3" t="e">
        <f>IF($A111&lt;&gt;"",IF(VLOOKUP($A111,貼り付け用!$A$1:$BA$300,COLUMN(),FALSE)=0,"",VLOOKUP($A111,貼り付け用!$A$1:$BA$300,COLUMN(),FALSE)),"")</f>
        <v>#N/A</v>
      </c>
      <c r="K111" s="3" t="e">
        <f>IF($A111&lt;&gt;"",IF(VLOOKUP($A111,貼り付け用!$A$1:$BA$300,COLUMN(),FALSE)=0,"",VLOOKUP($A111,貼り付け用!$A$1:$BA$300,COLUMN(),FALSE)),"")</f>
        <v>#N/A</v>
      </c>
      <c r="L111" s="3" t="e">
        <f>IF($A111&lt;&gt;"",
IF(COLUMN(貼り付け用!L111)&gt;MATCH("おやつ",貼り付け用!$3:$3,0),"",
IF(VLOOKUP($A111,貼り付け用!$A$1:$BA$300,COLUMN(),FALSE)=0,"",VLOOKUP($A111,貼り付け用!$A$1:$BA$300,COLUMN(),FALSE))),"")</f>
        <v>#N/A</v>
      </c>
      <c r="M111" s="3" t="e">
        <f>IF($A111&lt;&gt;"",
IF(COLUMN(貼り付け用!M111)&gt;MATCH("おやつ",貼り付け用!$3:$3,0),"",
IF(VLOOKUP($A111,貼り付け用!$A$1:$BA$300,COLUMN(),FALSE)=0,"",VLOOKUP($A111,貼り付け用!$A$1:$BA$300,COLUMN(),FALSE))),"")</f>
        <v>#N/A</v>
      </c>
      <c r="N111" s="3" t="e">
        <f>IF($A111&lt;&gt;"",
IF(COLUMN(貼り付け用!N111)&gt;MATCH("おやつ",貼り付け用!$3:$3,0),"",
IF(VLOOKUP($A111,貼り付け用!$A$1:$BA$300,COLUMN(),FALSE)=0,"",VLOOKUP($A111,貼り付け用!$A$1:$BA$300,COLUMN(),FALSE))),"")</f>
        <v>#N/A</v>
      </c>
      <c r="O111" s="3" t="e">
        <f>IF($A111&lt;&gt;"",
IF(COLUMN(貼り付け用!O111)&gt;MATCH("おやつ",貼り付け用!$3:$3,0),"",
IF(VLOOKUP($A111,貼り付け用!$A$1:$BA$300,COLUMN(),FALSE)=0,"",VLOOKUP($A111,貼り付け用!$A$1:$BA$300,COLUMN(),FALSE))),"")</f>
        <v>#N/A</v>
      </c>
      <c r="P111" s="3" t="e">
        <f>IF($A111&lt;&gt;"",
IF(COLUMN(貼り付け用!P111)&gt;MATCH("おやつ",貼り付け用!$3:$3,0),"",
IF(VLOOKUP($A111,貼り付け用!$A$1:$BA$300,COLUMN(),FALSE)=0,"",VLOOKUP($A111,貼り付け用!$A$1:$BA$300,COLUMN(),FALSE))),"")</f>
        <v>#N/A</v>
      </c>
      <c r="Q111" s="3" t="e">
        <f>IF($A111&lt;&gt;"",
IF(COLUMN(貼り付け用!Q111)&gt;MATCH("おやつ",貼り付け用!$3:$3,0),"",
IF(VLOOKUP($A111,貼り付け用!$A$1:$BA$300,COLUMN(),FALSE)=0,"",VLOOKUP($A111,貼り付け用!$A$1:$BA$300,COLUMN(),FALSE))),"")</f>
        <v>#N/A</v>
      </c>
      <c r="R111" s="3" t="e">
        <f>IF($A111&lt;&gt;"",
IF(COLUMN(貼り付け用!R111)&gt;MATCH("おやつ",貼り付け用!$3:$3,0),"",
IF(VLOOKUP($A111,貼り付け用!$A$1:$BA$300,COLUMN(),FALSE)=0,"",VLOOKUP($A111,貼り付け用!$A$1:$BA$300,COLUMN(),FALSE))),"")</f>
        <v>#N/A</v>
      </c>
      <c r="S111" s="3" t="e">
        <f>IF($A111&lt;&gt;"",
IF(COLUMN(貼り付け用!S111)&gt;MATCH("おやつ",貼り付け用!$3:$3,0),"",
IF(VLOOKUP($A111,貼り付け用!$A$1:$BA$300,COLUMN(),FALSE)=0,"",VLOOKUP($A111,貼り付け用!$A$1:$BA$300,COLUMN(),FALSE))),"")</f>
        <v>#N/A</v>
      </c>
      <c r="T111" s="3" t="e">
        <f>IF(COLUMN(貼り付け用!T111)&gt;MATCH("おやつ",貼り付け用!$3:$3,0),"",
IF(VLOOKUP($A111,貼り付け用!$A$1:$BA$300,COLUMN(),FALSE)=0,"",VLOOKUP($A111,貼り付け用!$A$1:$BA$300,COLUMN(),FALSE)))</f>
        <v>#N/A</v>
      </c>
      <c r="U111" s="21"/>
      <c r="V111" s="55" t="e">
        <f>IF(A111&lt;&gt;"",
IF(VLOOKUP($A111,貼り付け用!$A$1:$BA$300,MATCH("おやつ",貼り付け用!$3:$3,0)+1,FALSE)=0,"",VLOOKUP($A111,貼り付け用!$A$1:$BA$300,MATCH("おやつ",貼り付け用!$3:$3,0)+1,FALSE)),"")</f>
        <v>#N/A</v>
      </c>
      <c r="W111" s="14" t="e">
        <f>IF(A111&lt;&gt;"",
IF(VLOOKUP($A111,貼り付け用!$A$1:$BA$300,MATCH("おやつ",貼り付け用!$3:$3,0)+2,FALSE)=0,"",VLOOKUP($A111,貼り付け用!$A$1:$BA$300,MATCH("おやつ",貼り付け用!$3:$3,0)+2,FALSE)),"")</f>
        <v>#N/A</v>
      </c>
    </row>
    <row r="112" spans="1:23">
      <c r="A112" s="4" t="e">
        <f>IF(貼り付け用!$A$6&lt;&gt;"",
IF(ROW(A111)+1&gt;=MATCH("*10000*", 貼り付け用!$A:$A, 0),
IF(COUNTIF(A110,"*10000*"),"10001",
IF(COUNTIF(A110,"*10001*"),"10002",
IF(COUNTIF(A110,"*10002*"),"",
IF(COUNTIF(A110,""),"","10000")))),
IF(貼り付け用!A112&lt;&gt;"",貼り付け用!A112,"")),
IF(ROW(A112)+1&gt;=MATCH("*10000*", 貼り付け用!$A:$A, 0),
IF(COUNTIF(A110,"*10000*"),"10001",
IF(COUNTIF(A110,"*10001*"),"10002",
IF(COUNTIF(A110,"*10002*"),"",
IF(COUNTIF(A110,""),"","10000")))),
IF(貼り付け用!A113&lt;&gt;"",貼り付け用!A113,"")))</f>
        <v>#N/A</v>
      </c>
      <c r="B112" s="14" t="e">
        <f>IF($A112&lt;&gt;"",IF(VLOOKUP($A112,貼り付け用!$A$1:$BA$300,COLUMN(),FALSE)=0,"",VLOOKUP($A112,貼り付け用!$A$1:$BA$300,COLUMN(),FALSE)),"")</f>
        <v>#N/A</v>
      </c>
      <c r="C112" s="14" t="e">
        <f>IF($A112&lt;&gt;"",IF(VLOOKUP($A112,貼り付け用!$A$1:$BA$300,COLUMN(),FALSE)=0,"",VLOOKUP($A112,貼り付け用!$A$1:$BA$300,COLUMN(),FALSE)),"")</f>
        <v>#N/A</v>
      </c>
      <c r="D112" s="14" t="e">
        <f>IF($A112&lt;&gt;"",IF(VLOOKUP($A112,貼り付け用!$A$1:$BA$300,COLUMN(),FALSE)=0,"",VLOOKUP($A112,貼り付け用!$A$1:$BA$300,COLUMN(),FALSE)),"")</f>
        <v>#N/A</v>
      </c>
      <c r="E112" s="14" t="e">
        <f>IF($A112&lt;&gt;"",IF(VLOOKUP($A112,貼り付け用!$A$1:$BA$300,COLUMN(),FALSE)=0,"",VLOOKUP($A112,貼り付け用!$A$1:$BA$300,COLUMN(),FALSE)),"")</f>
        <v>#N/A</v>
      </c>
      <c r="F112" s="14" t="e">
        <f>IF($A112&lt;&gt;"",IF(VLOOKUP($A112,貼り付け用!$A$1:$BA$300,COLUMN(),FALSE)=0,"",VLOOKUP($A112,貼り付け用!$A$1:$BA$300,COLUMN(),FALSE)),"")</f>
        <v>#N/A</v>
      </c>
      <c r="G112" s="14" t="e">
        <f>IF($A112&lt;&gt;"",IF(VLOOKUP($A112,貼り付け用!$A$1:$BA$300,COLUMN(),FALSE)=0,"",VLOOKUP($A112,貼り付け用!$A$1:$BA$300,COLUMN(),FALSE)),"")</f>
        <v>#N/A</v>
      </c>
      <c r="H112" s="14" t="e">
        <f>IF($A112&lt;&gt;"",IF(VLOOKUP($A112,貼り付け用!$A$1:$BA$300,COLUMN(),FALSE)=0,"",VLOOKUP($A112,貼り付け用!$A$1:$BA$300,COLUMN(),FALSE)),"")</f>
        <v>#N/A</v>
      </c>
      <c r="I112" s="14" t="e">
        <f>IF($A112&lt;&gt;"",IF(VLOOKUP($A112,貼り付け用!$A$1:$BA$300,COLUMN(),FALSE)=0,"",VLOOKUP($A112,貼り付け用!$A$1:$BA$300,COLUMN(),FALSE)),"")</f>
        <v>#N/A</v>
      </c>
      <c r="J112" s="14" t="e">
        <f>IF($A112&lt;&gt;"",IF(VLOOKUP($A112,貼り付け用!$A$1:$BA$300,COLUMN(),FALSE)=0,"",VLOOKUP($A112,貼り付け用!$A$1:$BA$300,COLUMN(),FALSE)),"")</f>
        <v>#N/A</v>
      </c>
      <c r="K112" s="14" t="e">
        <f>IF($A112&lt;&gt;"",IF(VLOOKUP($A112,貼り付け用!$A$1:$BA$300,COLUMN(),FALSE)=0,"",VLOOKUP($A112,貼り付け用!$A$1:$BA$300,COLUMN(),FALSE)),"")</f>
        <v>#N/A</v>
      </c>
      <c r="L112" s="14" t="e">
        <f>IF($A112&lt;&gt;"",
IF(COLUMN(貼り付け用!L112)&gt;MATCH("おやつ",貼り付け用!$3:$3,0),"",
IF(VLOOKUP($A112,貼り付け用!$A$1:$BA$300,COLUMN(),FALSE)=0,"",VLOOKUP($A112,貼り付け用!$A$1:$BA$300,COLUMN(),FALSE))),"")</f>
        <v>#N/A</v>
      </c>
      <c r="M112" s="14" t="e">
        <f>IF($A112&lt;&gt;"",
IF(COLUMN(貼り付け用!M112)&gt;MATCH("おやつ",貼り付け用!$3:$3,0),"",
IF(VLOOKUP($A112,貼り付け用!$A$1:$BA$300,COLUMN(),FALSE)=0,"",VLOOKUP($A112,貼り付け用!$A$1:$BA$300,COLUMN(),FALSE))),"")</f>
        <v>#N/A</v>
      </c>
      <c r="N112" s="14" t="e">
        <f>IF($A112&lt;&gt;"",
IF(COLUMN(貼り付け用!N112)&gt;MATCH("おやつ",貼り付け用!$3:$3,0),"",
IF(VLOOKUP($A112,貼り付け用!$A$1:$BA$300,COLUMN(),FALSE)=0,"",VLOOKUP($A112,貼り付け用!$A$1:$BA$300,COLUMN(),FALSE))),"")</f>
        <v>#N/A</v>
      </c>
      <c r="O112" s="14" t="e">
        <f>IF($A112&lt;&gt;"",
IF(COLUMN(貼り付け用!O112)&gt;MATCH("おやつ",貼り付け用!$3:$3,0),"",
IF(VLOOKUP($A112,貼り付け用!$A$1:$BA$300,COLUMN(),FALSE)=0,"",VLOOKUP($A112,貼り付け用!$A$1:$BA$300,COLUMN(),FALSE))),"")</f>
        <v>#N/A</v>
      </c>
      <c r="P112" s="14" t="e">
        <f>IF($A112&lt;&gt;"",
IF(COLUMN(貼り付け用!P112)&gt;MATCH("おやつ",貼り付け用!$3:$3,0),"",
IF(VLOOKUP($A112,貼り付け用!$A$1:$BA$300,COLUMN(),FALSE)=0,"",VLOOKUP($A112,貼り付け用!$A$1:$BA$300,COLUMN(),FALSE))),"")</f>
        <v>#N/A</v>
      </c>
      <c r="Q112" s="14" t="e">
        <f>IF($A112&lt;&gt;"",
IF(COLUMN(貼り付け用!Q112)&gt;MATCH("おやつ",貼り付け用!$3:$3,0),"",
IF(VLOOKUP($A112,貼り付け用!$A$1:$BA$300,COLUMN(),FALSE)=0,"",VLOOKUP($A112,貼り付け用!$A$1:$BA$300,COLUMN(),FALSE))),"")</f>
        <v>#N/A</v>
      </c>
      <c r="R112" s="14" t="e">
        <f>IF($A112&lt;&gt;"",
IF(COLUMN(貼り付け用!R112)&gt;MATCH("おやつ",貼り付け用!$3:$3,0),"",
IF(VLOOKUP($A112,貼り付け用!$A$1:$BA$300,COLUMN(),FALSE)=0,"",VLOOKUP($A112,貼り付け用!$A$1:$BA$300,COLUMN(),FALSE))),"")</f>
        <v>#N/A</v>
      </c>
      <c r="S112" s="14" t="e">
        <f>IF($A112&lt;&gt;"",
IF(COLUMN(貼り付け用!S112)&gt;MATCH("おやつ",貼り付け用!$3:$3,0),"",
IF(VLOOKUP($A112,貼り付け用!$A$1:$BA$300,COLUMN(),FALSE)=0,"",VLOOKUP($A112,貼り付け用!$A$1:$BA$300,COLUMN(),FALSE))),"")</f>
        <v>#N/A</v>
      </c>
      <c r="T112" s="14" t="e">
        <f>IF(COLUMN(貼り付け用!T112)&gt;MATCH("おやつ",貼り付け用!$3:$3,0),"",
IF(VLOOKUP($A112,貼り付け用!$A$1:$BA$300,COLUMN(),FALSE)=0,"",VLOOKUP($A112,貼り付け用!$A$1:$BA$300,COLUMN(),FALSE)))</f>
        <v>#N/A</v>
      </c>
      <c r="U112" s="11"/>
      <c r="V112" s="55" t="e">
        <f>IF(A112&lt;&gt;"",
IF(VLOOKUP($A112,貼り付け用!$A$1:$BA$300,MATCH("おやつ",貼り付け用!$3:$3,0)+1,FALSE)=0,"",VLOOKUP($A112,貼り付け用!$A$1:$BA$300,MATCH("おやつ",貼り付け用!$3:$3,0)+1,FALSE)),"")</f>
        <v>#N/A</v>
      </c>
      <c r="W112" s="14" t="e">
        <f>IF(A112&lt;&gt;"",
IF(VLOOKUP($A112,貼り付け用!$A$1:$BA$300,MATCH("おやつ",貼り付け用!$3:$3,0)+2,FALSE)=0,"",VLOOKUP($A112,貼り付け用!$A$1:$BA$300,MATCH("おやつ",貼り付け用!$3:$3,0)+2,FALSE)),"")</f>
        <v>#N/A</v>
      </c>
    </row>
    <row r="113" spans="1:23">
      <c r="A113" s="8" t="e">
        <f>IF(貼り付け用!$A$6&lt;&gt;"",
IF(ROW(A112)+1&gt;=MATCH("*10000*", 貼り付け用!$A:$A, 0),"",
IF(貼り付け用!A113&lt;&gt;"",貼り付け用!A113,"")),
IF(ROW(A113)+1&gt;=MATCH("*10000*", 貼り付け用!$A:$A, 0),"",
IF(貼り付け用!A114&lt;&gt;"",貼り付け用!A114,"")))</f>
        <v>#N/A</v>
      </c>
      <c r="B113" s="3" t="e">
        <f>IF($A113&lt;&gt;"",IF(VLOOKUP($A113,貼り付け用!$A$1:$BA$300,COLUMN(),FALSE)=0,"",VLOOKUP($A113,貼り付け用!$A$1:$BA$300,COLUMN(),FALSE)),"")</f>
        <v>#N/A</v>
      </c>
      <c r="C113" s="3" t="e">
        <f>IF($A113&lt;&gt;"",IF(VLOOKUP($A113,貼り付け用!$A$1:$BA$300,COLUMN(),FALSE)=0,"",VLOOKUP($A113,貼り付け用!$A$1:$BA$300,COLUMN(),FALSE)),"")</f>
        <v>#N/A</v>
      </c>
      <c r="D113" s="3" t="e">
        <f>IF($A113&lt;&gt;"",IF(VLOOKUP($A113,貼り付け用!$A$1:$BA$300,COLUMN(),FALSE)=0,"",VLOOKUP($A113,貼り付け用!$A$1:$BA$300,COLUMN(),FALSE)),"")</f>
        <v>#N/A</v>
      </c>
      <c r="E113" s="3" t="e">
        <f>IF($A113&lt;&gt;"",IF(VLOOKUP($A113,貼り付け用!$A$1:$BA$300,COLUMN(),FALSE)=0,"",VLOOKUP($A113,貼り付け用!$A$1:$BA$300,COLUMN(),FALSE)),"")</f>
        <v>#N/A</v>
      </c>
      <c r="F113" s="3" t="e">
        <f>IF($A113&lt;&gt;"",IF(VLOOKUP($A113,貼り付け用!$A$1:$BA$300,COLUMN(),FALSE)=0,"",VLOOKUP($A113,貼り付け用!$A$1:$BA$300,COLUMN(),FALSE)),"")</f>
        <v>#N/A</v>
      </c>
      <c r="G113" s="3" t="e">
        <f>IF($A113&lt;&gt;"",IF(VLOOKUP($A113,貼り付け用!$A$1:$BA$300,COLUMN(),FALSE)=0,"",VLOOKUP($A113,貼り付け用!$A$1:$BA$300,COLUMN(),FALSE)),"")</f>
        <v>#N/A</v>
      </c>
      <c r="H113" s="3" t="e">
        <f>IF($A113&lt;&gt;"",IF(VLOOKUP($A113,貼り付け用!$A$1:$BA$300,COLUMN(),FALSE)=0,"",VLOOKUP($A113,貼り付け用!$A$1:$BA$300,COLUMN(),FALSE)),"")</f>
        <v>#N/A</v>
      </c>
      <c r="I113" s="3" t="e">
        <f>IF($A113&lt;&gt;"",IF(VLOOKUP($A113,貼り付け用!$A$1:$BA$300,COLUMN(),FALSE)=0,"",VLOOKUP($A113,貼り付け用!$A$1:$BA$300,COLUMN(),FALSE)),"")</f>
        <v>#N/A</v>
      </c>
      <c r="J113" s="3" t="e">
        <f>IF($A113&lt;&gt;"",IF(VLOOKUP($A113,貼り付け用!$A$1:$BA$300,COLUMN(),FALSE)=0,"",VLOOKUP($A113,貼り付け用!$A$1:$BA$300,COLUMN(),FALSE)),"")</f>
        <v>#N/A</v>
      </c>
      <c r="K113" s="3" t="e">
        <f>IF($A113&lt;&gt;"",IF(VLOOKUP($A113,貼り付け用!$A$1:$BA$300,COLUMN(),FALSE)=0,"",VLOOKUP($A113,貼り付け用!$A$1:$BA$300,COLUMN(),FALSE)),"")</f>
        <v>#N/A</v>
      </c>
      <c r="L113" s="3" t="e">
        <f>IF($A113&lt;&gt;"",
IF(COLUMN(貼り付け用!L113)&gt;MATCH("おやつ",貼り付け用!$3:$3,0),"",
IF(VLOOKUP($A113,貼り付け用!$A$1:$BA$300,COLUMN(),FALSE)=0,"",VLOOKUP($A113,貼り付け用!$A$1:$BA$300,COLUMN(),FALSE))),"")</f>
        <v>#N/A</v>
      </c>
      <c r="M113" s="3" t="e">
        <f>IF($A113&lt;&gt;"",
IF(COLUMN(貼り付け用!M113)&gt;MATCH("おやつ",貼り付け用!$3:$3,0),"",
IF(VLOOKUP($A113,貼り付け用!$A$1:$BA$300,COLUMN(),FALSE)=0,"",VLOOKUP($A113,貼り付け用!$A$1:$BA$300,COLUMN(),FALSE))),"")</f>
        <v>#N/A</v>
      </c>
      <c r="N113" s="3" t="e">
        <f>IF($A113&lt;&gt;"",
IF(COLUMN(貼り付け用!N113)&gt;MATCH("おやつ",貼り付け用!$3:$3,0),"",
IF(VLOOKUP($A113,貼り付け用!$A$1:$BA$300,COLUMN(),FALSE)=0,"",VLOOKUP($A113,貼り付け用!$A$1:$BA$300,COLUMN(),FALSE))),"")</f>
        <v>#N/A</v>
      </c>
      <c r="O113" s="3" t="e">
        <f>IF($A113&lt;&gt;"",
IF(COLUMN(貼り付け用!O113)&gt;MATCH("おやつ",貼り付け用!$3:$3,0),"",
IF(VLOOKUP($A113,貼り付け用!$A$1:$BA$300,COLUMN(),FALSE)=0,"",VLOOKUP($A113,貼り付け用!$A$1:$BA$300,COLUMN(),FALSE))),"")</f>
        <v>#N/A</v>
      </c>
      <c r="P113" s="3" t="e">
        <f>IF($A113&lt;&gt;"",
IF(COLUMN(貼り付け用!P113)&gt;MATCH("おやつ",貼り付け用!$3:$3,0),"",
IF(VLOOKUP($A113,貼り付け用!$A$1:$BA$300,COLUMN(),FALSE)=0,"",VLOOKUP($A113,貼り付け用!$A$1:$BA$300,COLUMN(),FALSE))),"")</f>
        <v>#N/A</v>
      </c>
      <c r="Q113" s="3" t="e">
        <f>IF($A113&lt;&gt;"",
IF(COLUMN(貼り付け用!Q113)&gt;MATCH("おやつ",貼り付け用!$3:$3,0),"",
IF(VLOOKUP($A113,貼り付け用!$A$1:$BA$300,COLUMN(),FALSE)=0,"",VLOOKUP($A113,貼り付け用!$A$1:$BA$300,COLUMN(),FALSE))),"")</f>
        <v>#N/A</v>
      </c>
      <c r="R113" s="3" t="e">
        <f>IF($A113&lt;&gt;"",
IF(COLUMN(貼り付け用!R113)&gt;MATCH("おやつ",貼り付け用!$3:$3,0),"",
IF(VLOOKUP($A113,貼り付け用!$A$1:$BA$300,COLUMN(),FALSE)=0,"",VLOOKUP($A113,貼り付け用!$A$1:$BA$300,COLUMN(),FALSE))),"")</f>
        <v>#N/A</v>
      </c>
      <c r="S113" s="3" t="e">
        <f>IF($A113&lt;&gt;"",
IF(COLUMN(貼り付け用!S113)&gt;MATCH("おやつ",貼り付け用!$3:$3,0),"",
IF(VLOOKUP($A113,貼り付け用!$A$1:$BA$300,COLUMN(),FALSE)=0,"",VLOOKUP($A113,貼り付け用!$A$1:$BA$300,COLUMN(),FALSE))),"")</f>
        <v>#N/A</v>
      </c>
      <c r="T113" s="3" t="e">
        <f>IF(COLUMN(貼り付け用!T113)&gt;MATCH("おやつ",貼り付け用!$3:$3,0),"",
IF(VLOOKUP($A113,貼り付け用!$A$1:$BA$300,COLUMN(),FALSE)=0,"",VLOOKUP($A113,貼り付け用!$A$1:$BA$300,COLUMN(),FALSE)))</f>
        <v>#N/A</v>
      </c>
      <c r="U113" s="21"/>
      <c r="V113" s="55" t="e">
        <f>IF(A113&lt;&gt;"",
IF(VLOOKUP($A113,貼り付け用!$A$1:$BA$300,MATCH("おやつ",貼り付け用!$3:$3,0)+1,FALSE)=0,"",VLOOKUP($A113,貼り付け用!$A$1:$BA$300,MATCH("おやつ",貼り付け用!$3:$3,0)+1,FALSE)),"")</f>
        <v>#N/A</v>
      </c>
      <c r="W113" s="14" t="e">
        <f>IF(A113&lt;&gt;"",
IF(VLOOKUP($A113,貼り付け用!$A$1:$BA$300,MATCH("おやつ",貼り付け用!$3:$3,0)+2,FALSE)=0,"",VLOOKUP($A113,貼り付け用!$A$1:$BA$300,MATCH("おやつ",貼り付け用!$3:$3,0)+2,FALSE)),"")</f>
        <v>#N/A</v>
      </c>
    </row>
    <row r="114" spans="1:23">
      <c r="A114" s="4" t="e">
        <f>IF(貼り付け用!$A$6&lt;&gt;"",
IF(ROW(A113)+1&gt;=MATCH("*10000*", 貼り付け用!$A:$A, 0),
IF(COUNTIF(A112,"*10000*"),"10001",
IF(COUNTIF(A112,"*10001*"),"10002",
IF(COUNTIF(A112,"*10002*"),"",
IF(COUNTIF(A112,""),"","10000")))),
IF(貼り付け用!A114&lt;&gt;"",貼り付け用!A114,"")),
IF(ROW(A114)+1&gt;=MATCH("*10000*", 貼り付け用!$A:$A, 0),
IF(COUNTIF(A112,"*10000*"),"10001",
IF(COUNTIF(A112,"*10001*"),"10002",
IF(COUNTIF(A112,"*10002*"),"",
IF(COUNTIF(A112,""),"","10000")))),
IF(貼り付け用!A115&lt;&gt;"",貼り付け用!A115,"")))</f>
        <v>#N/A</v>
      </c>
      <c r="B114" s="14" t="e">
        <f>IF($A114&lt;&gt;"",IF(VLOOKUP($A114,貼り付け用!$A$1:$BA$300,COLUMN(),FALSE)=0,"",VLOOKUP($A114,貼り付け用!$A$1:$BA$300,COLUMN(),FALSE)),"")</f>
        <v>#N/A</v>
      </c>
      <c r="C114" s="14" t="e">
        <f>IF($A114&lt;&gt;"",IF(VLOOKUP($A114,貼り付け用!$A$1:$BA$300,COLUMN(),FALSE)=0,"",VLOOKUP($A114,貼り付け用!$A$1:$BA$300,COLUMN(),FALSE)),"")</f>
        <v>#N/A</v>
      </c>
      <c r="D114" s="14" t="e">
        <f>IF($A114&lt;&gt;"",IF(VLOOKUP($A114,貼り付け用!$A$1:$BA$300,COLUMN(),FALSE)=0,"",VLOOKUP($A114,貼り付け用!$A$1:$BA$300,COLUMN(),FALSE)),"")</f>
        <v>#N/A</v>
      </c>
      <c r="E114" s="14" t="e">
        <f>IF($A114&lt;&gt;"",IF(VLOOKUP($A114,貼り付け用!$A$1:$BA$300,COLUMN(),FALSE)=0,"",VLOOKUP($A114,貼り付け用!$A$1:$BA$300,COLUMN(),FALSE)),"")</f>
        <v>#N/A</v>
      </c>
      <c r="F114" s="14" t="e">
        <f>IF($A114&lt;&gt;"",IF(VLOOKUP($A114,貼り付け用!$A$1:$BA$300,COLUMN(),FALSE)=0,"",VLOOKUP($A114,貼り付け用!$A$1:$BA$300,COLUMN(),FALSE)),"")</f>
        <v>#N/A</v>
      </c>
      <c r="G114" s="14" t="e">
        <f>IF($A114&lt;&gt;"",IF(VLOOKUP($A114,貼り付け用!$A$1:$BA$300,COLUMN(),FALSE)=0,"",VLOOKUP($A114,貼り付け用!$A$1:$BA$300,COLUMN(),FALSE)),"")</f>
        <v>#N/A</v>
      </c>
      <c r="H114" s="14" t="e">
        <f>IF($A114&lt;&gt;"",IF(VLOOKUP($A114,貼り付け用!$A$1:$BA$300,COLUMN(),FALSE)=0,"",VLOOKUP($A114,貼り付け用!$A$1:$BA$300,COLUMN(),FALSE)),"")</f>
        <v>#N/A</v>
      </c>
      <c r="I114" s="14" t="e">
        <f>IF($A114&lt;&gt;"",IF(VLOOKUP($A114,貼り付け用!$A$1:$BA$300,COLUMN(),FALSE)=0,"",VLOOKUP($A114,貼り付け用!$A$1:$BA$300,COLUMN(),FALSE)),"")</f>
        <v>#N/A</v>
      </c>
      <c r="J114" s="14" t="e">
        <f>IF($A114&lt;&gt;"",IF(VLOOKUP($A114,貼り付け用!$A$1:$BA$300,COLUMN(),FALSE)=0,"",VLOOKUP($A114,貼り付け用!$A$1:$BA$300,COLUMN(),FALSE)),"")</f>
        <v>#N/A</v>
      </c>
      <c r="K114" s="14" t="e">
        <f>IF($A114&lt;&gt;"",IF(VLOOKUP($A114,貼り付け用!$A$1:$BA$300,COLUMN(),FALSE)=0,"",VLOOKUP($A114,貼り付け用!$A$1:$BA$300,COLUMN(),FALSE)),"")</f>
        <v>#N/A</v>
      </c>
      <c r="L114" s="14" t="e">
        <f>IF($A114&lt;&gt;"",
IF(COLUMN(貼り付け用!L114)&gt;MATCH("おやつ",貼り付け用!$3:$3,0),"",
IF(VLOOKUP($A114,貼り付け用!$A$1:$BA$300,COLUMN(),FALSE)=0,"",VLOOKUP($A114,貼り付け用!$A$1:$BA$300,COLUMN(),FALSE))),"")</f>
        <v>#N/A</v>
      </c>
      <c r="M114" s="14" t="e">
        <f>IF($A114&lt;&gt;"",
IF(COLUMN(貼り付け用!M114)&gt;MATCH("おやつ",貼り付け用!$3:$3,0),"",
IF(VLOOKUP($A114,貼り付け用!$A$1:$BA$300,COLUMN(),FALSE)=0,"",VLOOKUP($A114,貼り付け用!$A$1:$BA$300,COLUMN(),FALSE))),"")</f>
        <v>#N/A</v>
      </c>
      <c r="N114" s="14" t="e">
        <f>IF($A114&lt;&gt;"",
IF(COLUMN(貼り付け用!N114)&gt;MATCH("おやつ",貼り付け用!$3:$3,0),"",
IF(VLOOKUP($A114,貼り付け用!$A$1:$BA$300,COLUMN(),FALSE)=0,"",VLOOKUP($A114,貼り付け用!$A$1:$BA$300,COLUMN(),FALSE))),"")</f>
        <v>#N/A</v>
      </c>
      <c r="O114" s="14" t="e">
        <f>IF($A114&lt;&gt;"",
IF(COLUMN(貼り付け用!O114)&gt;MATCH("おやつ",貼り付け用!$3:$3,0),"",
IF(VLOOKUP($A114,貼り付け用!$A$1:$BA$300,COLUMN(),FALSE)=0,"",VLOOKUP($A114,貼り付け用!$A$1:$BA$300,COLUMN(),FALSE))),"")</f>
        <v>#N/A</v>
      </c>
      <c r="P114" s="14" t="e">
        <f>IF($A114&lt;&gt;"",
IF(COLUMN(貼り付け用!P114)&gt;MATCH("おやつ",貼り付け用!$3:$3,0),"",
IF(VLOOKUP($A114,貼り付け用!$A$1:$BA$300,COLUMN(),FALSE)=0,"",VLOOKUP($A114,貼り付け用!$A$1:$BA$300,COLUMN(),FALSE))),"")</f>
        <v>#N/A</v>
      </c>
      <c r="Q114" s="14" t="e">
        <f>IF($A114&lt;&gt;"",
IF(COLUMN(貼り付け用!Q114)&gt;MATCH("おやつ",貼り付け用!$3:$3,0),"",
IF(VLOOKUP($A114,貼り付け用!$A$1:$BA$300,COLUMN(),FALSE)=0,"",VLOOKUP($A114,貼り付け用!$A$1:$BA$300,COLUMN(),FALSE))),"")</f>
        <v>#N/A</v>
      </c>
      <c r="R114" s="14" t="e">
        <f>IF($A114&lt;&gt;"",
IF(COLUMN(貼り付け用!R114)&gt;MATCH("おやつ",貼り付け用!$3:$3,0),"",
IF(VLOOKUP($A114,貼り付け用!$A$1:$BA$300,COLUMN(),FALSE)=0,"",VLOOKUP($A114,貼り付け用!$A$1:$BA$300,COLUMN(),FALSE))),"")</f>
        <v>#N/A</v>
      </c>
      <c r="S114" s="14" t="e">
        <f>IF($A114&lt;&gt;"",
IF(COLUMN(貼り付け用!S114)&gt;MATCH("おやつ",貼り付け用!$3:$3,0),"",
IF(VLOOKUP($A114,貼り付け用!$A$1:$BA$300,COLUMN(),FALSE)=0,"",VLOOKUP($A114,貼り付け用!$A$1:$BA$300,COLUMN(),FALSE))),"")</f>
        <v>#N/A</v>
      </c>
      <c r="T114" s="14" t="e">
        <f>IF(COLUMN(貼り付け用!T114)&gt;MATCH("おやつ",貼り付け用!$3:$3,0),"",
IF(VLOOKUP($A114,貼り付け用!$A$1:$BA$300,COLUMN(),FALSE)=0,"",VLOOKUP($A114,貼り付け用!$A$1:$BA$300,COLUMN(),FALSE)))</f>
        <v>#N/A</v>
      </c>
      <c r="U114" s="11"/>
      <c r="V114" s="55" t="e">
        <f>IF(A114&lt;&gt;"",
IF(VLOOKUP($A114,貼り付け用!$A$1:$BA$300,MATCH("おやつ",貼り付け用!$3:$3,0)+1,FALSE)=0,"",VLOOKUP($A114,貼り付け用!$A$1:$BA$300,MATCH("おやつ",貼り付け用!$3:$3,0)+1,FALSE)),"")</f>
        <v>#N/A</v>
      </c>
      <c r="W114" s="14" t="e">
        <f>IF(A114&lt;&gt;"",
IF(VLOOKUP($A114,貼り付け用!$A$1:$BA$300,MATCH("おやつ",貼り付け用!$3:$3,0)+2,FALSE)=0,"",VLOOKUP($A114,貼り付け用!$A$1:$BA$300,MATCH("おやつ",貼り付け用!$3:$3,0)+2,FALSE)),"")</f>
        <v>#N/A</v>
      </c>
    </row>
    <row r="115" spans="1:23">
      <c r="A115" s="8" t="e">
        <f>IF(貼り付け用!$A$6&lt;&gt;"",
IF(ROW(A114)+1&gt;=MATCH("*10000*", 貼り付け用!$A:$A, 0),"",
IF(貼り付け用!A115&lt;&gt;"",貼り付け用!A115,"")),
IF(ROW(A115)+1&gt;=MATCH("*10000*", 貼り付け用!$A:$A, 0),"",
IF(貼り付け用!A116&lt;&gt;"",貼り付け用!A116,"")))</f>
        <v>#N/A</v>
      </c>
      <c r="B115" s="3" t="e">
        <f>IF($A115&lt;&gt;"",IF(VLOOKUP($A115,貼り付け用!$A$1:$BA$300,COLUMN(),FALSE)=0,"",VLOOKUP($A115,貼り付け用!$A$1:$BA$300,COLUMN(),FALSE)),"")</f>
        <v>#N/A</v>
      </c>
      <c r="C115" s="3" t="e">
        <f>IF($A115&lt;&gt;"",IF(VLOOKUP($A115,貼り付け用!$A$1:$BA$300,COLUMN(),FALSE)=0,"",VLOOKUP($A115,貼り付け用!$A$1:$BA$300,COLUMN(),FALSE)),"")</f>
        <v>#N/A</v>
      </c>
      <c r="D115" s="3" t="e">
        <f>IF($A115&lt;&gt;"",IF(VLOOKUP($A115,貼り付け用!$A$1:$BA$300,COLUMN(),FALSE)=0,"",VLOOKUP($A115,貼り付け用!$A$1:$BA$300,COLUMN(),FALSE)),"")</f>
        <v>#N/A</v>
      </c>
      <c r="E115" s="3" t="e">
        <f>IF($A115&lt;&gt;"",IF(VLOOKUP($A115,貼り付け用!$A$1:$BA$300,COLUMN(),FALSE)=0,"",VLOOKUP($A115,貼り付け用!$A$1:$BA$300,COLUMN(),FALSE)),"")</f>
        <v>#N/A</v>
      </c>
      <c r="F115" s="3" t="e">
        <f>IF($A115&lt;&gt;"",IF(VLOOKUP($A115,貼り付け用!$A$1:$BA$300,COLUMN(),FALSE)=0,"",VLOOKUP($A115,貼り付け用!$A$1:$BA$300,COLUMN(),FALSE)),"")</f>
        <v>#N/A</v>
      </c>
      <c r="G115" s="3" t="e">
        <f>IF($A115&lt;&gt;"",IF(VLOOKUP($A115,貼り付け用!$A$1:$BA$300,COLUMN(),FALSE)=0,"",VLOOKUP($A115,貼り付け用!$A$1:$BA$300,COLUMN(),FALSE)),"")</f>
        <v>#N/A</v>
      </c>
      <c r="H115" s="3" t="e">
        <f>IF($A115&lt;&gt;"",IF(VLOOKUP($A115,貼り付け用!$A$1:$BA$300,COLUMN(),FALSE)=0,"",VLOOKUP($A115,貼り付け用!$A$1:$BA$300,COLUMN(),FALSE)),"")</f>
        <v>#N/A</v>
      </c>
      <c r="I115" s="3" t="e">
        <f>IF($A115&lt;&gt;"",IF(VLOOKUP($A115,貼り付け用!$A$1:$BA$300,COLUMN(),FALSE)=0,"",VLOOKUP($A115,貼り付け用!$A$1:$BA$300,COLUMN(),FALSE)),"")</f>
        <v>#N/A</v>
      </c>
      <c r="J115" s="3" t="e">
        <f>IF($A115&lt;&gt;"",IF(VLOOKUP($A115,貼り付け用!$A$1:$BA$300,COLUMN(),FALSE)=0,"",VLOOKUP($A115,貼り付け用!$A$1:$BA$300,COLUMN(),FALSE)),"")</f>
        <v>#N/A</v>
      </c>
      <c r="K115" s="3" t="e">
        <f>IF($A115&lt;&gt;"",IF(VLOOKUP($A115,貼り付け用!$A$1:$BA$300,COLUMN(),FALSE)=0,"",VLOOKUP($A115,貼り付け用!$A$1:$BA$300,COLUMN(),FALSE)),"")</f>
        <v>#N/A</v>
      </c>
      <c r="L115" s="3" t="e">
        <f>IF($A115&lt;&gt;"",
IF(COLUMN(貼り付け用!L115)&gt;MATCH("おやつ",貼り付け用!$3:$3,0),"",
IF(VLOOKUP($A115,貼り付け用!$A$1:$BA$300,COLUMN(),FALSE)=0,"",VLOOKUP($A115,貼り付け用!$A$1:$BA$300,COLUMN(),FALSE))),"")</f>
        <v>#N/A</v>
      </c>
      <c r="M115" s="3" t="e">
        <f>IF($A115&lt;&gt;"",
IF(COLUMN(貼り付け用!M115)&gt;MATCH("おやつ",貼り付け用!$3:$3,0),"",
IF(VLOOKUP($A115,貼り付け用!$A$1:$BA$300,COLUMN(),FALSE)=0,"",VLOOKUP($A115,貼り付け用!$A$1:$BA$300,COLUMN(),FALSE))),"")</f>
        <v>#N/A</v>
      </c>
      <c r="N115" s="3" t="e">
        <f>IF($A115&lt;&gt;"",
IF(COLUMN(貼り付け用!N115)&gt;MATCH("おやつ",貼り付け用!$3:$3,0),"",
IF(VLOOKUP($A115,貼り付け用!$A$1:$BA$300,COLUMN(),FALSE)=0,"",VLOOKUP($A115,貼り付け用!$A$1:$BA$300,COLUMN(),FALSE))),"")</f>
        <v>#N/A</v>
      </c>
      <c r="O115" s="3" t="e">
        <f>IF($A115&lt;&gt;"",
IF(COLUMN(貼り付け用!O115)&gt;MATCH("おやつ",貼り付け用!$3:$3,0),"",
IF(VLOOKUP($A115,貼り付け用!$A$1:$BA$300,COLUMN(),FALSE)=0,"",VLOOKUP($A115,貼り付け用!$A$1:$BA$300,COLUMN(),FALSE))),"")</f>
        <v>#N/A</v>
      </c>
      <c r="P115" s="3" t="e">
        <f>IF($A115&lt;&gt;"",
IF(COLUMN(貼り付け用!P115)&gt;MATCH("おやつ",貼り付け用!$3:$3,0),"",
IF(VLOOKUP($A115,貼り付け用!$A$1:$BA$300,COLUMN(),FALSE)=0,"",VLOOKUP($A115,貼り付け用!$A$1:$BA$300,COLUMN(),FALSE))),"")</f>
        <v>#N/A</v>
      </c>
      <c r="Q115" s="3" t="e">
        <f>IF($A115&lt;&gt;"",
IF(COLUMN(貼り付け用!Q115)&gt;MATCH("おやつ",貼り付け用!$3:$3,0),"",
IF(VLOOKUP($A115,貼り付け用!$A$1:$BA$300,COLUMN(),FALSE)=0,"",VLOOKUP($A115,貼り付け用!$A$1:$BA$300,COLUMN(),FALSE))),"")</f>
        <v>#N/A</v>
      </c>
      <c r="R115" s="3" t="e">
        <f>IF($A115&lt;&gt;"",
IF(COLUMN(貼り付け用!R115)&gt;MATCH("おやつ",貼り付け用!$3:$3,0),"",
IF(VLOOKUP($A115,貼り付け用!$A$1:$BA$300,COLUMN(),FALSE)=0,"",VLOOKUP($A115,貼り付け用!$A$1:$BA$300,COLUMN(),FALSE))),"")</f>
        <v>#N/A</v>
      </c>
      <c r="S115" s="3" t="e">
        <f>IF($A115&lt;&gt;"",
IF(COLUMN(貼り付け用!S115)&gt;MATCH("おやつ",貼り付け用!$3:$3,0),"",
IF(VLOOKUP($A115,貼り付け用!$A$1:$BA$300,COLUMN(),FALSE)=0,"",VLOOKUP($A115,貼り付け用!$A$1:$BA$300,COLUMN(),FALSE))),"")</f>
        <v>#N/A</v>
      </c>
      <c r="T115" s="3" t="e">
        <f>IF(COLUMN(貼り付け用!T115)&gt;MATCH("おやつ",貼り付け用!$3:$3,0),"",
IF(VLOOKUP($A115,貼り付け用!$A$1:$BA$300,COLUMN(),FALSE)=0,"",VLOOKUP($A115,貼り付け用!$A$1:$BA$300,COLUMN(),FALSE)))</f>
        <v>#N/A</v>
      </c>
      <c r="U115" s="21"/>
      <c r="V115" s="55" t="e">
        <f>IF(A115&lt;&gt;"",
IF(VLOOKUP($A115,貼り付け用!$A$1:$BA$300,MATCH("おやつ",貼り付け用!$3:$3,0)+1,FALSE)=0,"",VLOOKUP($A115,貼り付け用!$A$1:$BA$300,MATCH("おやつ",貼り付け用!$3:$3,0)+1,FALSE)),"")</f>
        <v>#N/A</v>
      </c>
      <c r="W115" s="14" t="e">
        <f>IF(A115&lt;&gt;"",
IF(VLOOKUP($A115,貼り付け用!$A$1:$BA$300,MATCH("おやつ",貼り付け用!$3:$3,0)+2,FALSE)=0,"",VLOOKUP($A115,貼り付け用!$A$1:$BA$300,MATCH("おやつ",貼り付け用!$3:$3,0)+2,FALSE)),"")</f>
        <v>#N/A</v>
      </c>
    </row>
    <row r="116" spans="1:23">
      <c r="A116" s="4" t="e">
        <f>IF(貼り付け用!$A$6&lt;&gt;"",
IF(ROW(A115)+1&gt;=MATCH("*10000*", 貼り付け用!$A:$A, 0),
IF(COUNTIF(A114,"*10000*"),"10001",
IF(COUNTIF(A114,"*10001*"),"10002",
IF(COUNTIF(A114,"*10002*"),"",
IF(COUNTIF(A114,""),"","10000")))),
IF(貼り付け用!A116&lt;&gt;"",貼り付け用!A116,"")),
IF(ROW(A116)+1&gt;=MATCH("*10000*", 貼り付け用!$A:$A, 0),
IF(COUNTIF(A114,"*10000*"),"10001",
IF(COUNTIF(A114,"*10001*"),"10002",
IF(COUNTIF(A114,"*10002*"),"",
IF(COUNTIF(A114,""),"","10000")))),
IF(貼り付け用!A117&lt;&gt;"",貼り付け用!A117,"")))</f>
        <v>#N/A</v>
      </c>
      <c r="B116" s="14" t="e">
        <f>IF($A116&lt;&gt;"",IF(VLOOKUP($A116,貼り付け用!$A$1:$BA$300,COLUMN(),FALSE)=0,"",VLOOKUP($A116,貼り付け用!$A$1:$BA$300,COLUMN(),FALSE)),"")</f>
        <v>#N/A</v>
      </c>
      <c r="C116" s="14" t="e">
        <f>IF($A116&lt;&gt;"",IF(VLOOKUP($A116,貼り付け用!$A$1:$BA$300,COLUMN(),FALSE)=0,"",VLOOKUP($A116,貼り付け用!$A$1:$BA$300,COLUMN(),FALSE)),"")</f>
        <v>#N/A</v>
      </c>
      <c r="D116" s="14" t="e">
        <f>IF($A116&lt;&gt;"",IF(VLOOKUP($A116,貼り付け用!$A$1:$BA$300,COLUMN(),FALSE)=0,"",VLOOKUP($A116,貼り付け用!$A$1:$BA$300,COLUMN(),FALSE)),"")</f>
        <v>#N/A</v>
      </c>
      <c r="E116" s="14" t="e">
        <f>IF($A116&lt;&gt;"",IF(VLOOKUP($A116,貼り付け用!$A$1:$BA$300,COLUMN(),FALSE)=0,"",VLOOKUP($A116,貼り付け用!$A$1:$BA$300,COLUMN(),FALSE)),"")</f>
        <v>#N/A</v>
      </c>
      <c r="F116" s="14" t="e">
        <f>IF($A116&lt;&gt;"",IF(VLOOKUP($A116,貼り付け用!$A$1:$BA$300,COLUMN(),FALSE)=0,"",VLOOKUP($A116,貼り付け用!$A$1:$BA$300,COLUMN(),FALSE)),"")</f>
        <v>#N/A</v>
      </c>
      <c r="G116" s="14" t="e">
        <f>IF($A116&lt;&gt;"",IF(VLOOKUP($A116,貼り付け用!$A$1:$BA$300,COLUMN(),FALSE)=0,"",VLOOKUP($A116,貼り付け用!$A$1:$BA$300,COLUMN(),FALSE)),"")</f>
        <v>#N/A</v>
      </c>
      <c r="H116" s="14" t="e">
        <f>IF($A116&lt;&gt;"",IF(VLOOKUP($A116,貼り付け用!$A$1:$BA$300,COLUMN(),FALSE)=0,"",VLOOKUP($A116,貼り付け用!$A$1:$BA$300,COLUMN(),FALSE)),"")</f>
        <v>#N/A</v>
      </c>
      <c r="I116" s="14" t="e">
        <f>IF($A116&lt;&gt;"",IF(VLOOKUP($A116,貼り付け用!$A$1:$BA$300,COLUMN(),FALSE)=0,"",VLOOKUP($A116,貼り付け用!$A$1:$BA$300,COLUMN(),FALSE)),"")</f>
        <v>#N/A</v>
      </c>
      <c r="J116" s="14" t="e">
        <f>IF($A116&lt;&gt;"",IF(VLOOKUP($A116,貼り付け用!$A$1:$BA$300,COLUMN(),FALSE)=0,"",VLOOKUP($A116,貼り付け用!$A$1:$BA$300,COLUMN(),FALSE)),"")</f>
        <v>#N/A</v>
      </c>
      <c r="K116" s="14" t="e">
        <f>IF($A116&lt;&gt;"",IF(VLOOKUP($A116,貼り付け用!$A$1:$BA$300,COLUMN(),FALSE)=0,"",VLOOKUP($A116,貼り付け用!$A$1:$BA$300,COLUMN(),FALSE)),"")</f>
        <v>#N/A</v>
      </c>
      <c r="L116" s="14" t="e">
        <f>IF($A116&lt;&gt;"",
IF(COLUMN(貼り付け用!L116)&gt;MATCH("おやつ",貼り付け用!$3:$3,0),"",
IF(VLOOKUP($A116,貼り付け用!$A$1:$BA$300,COLUMN(),FALSE)=0,"",VLOOKUP($A116,貼り付け用!$A$1:$BA$300,COLUMN(),FALSE))),"")</f>
        <v>#N/A</v>
      </c>
      <c r="M116" s="14" t="e">
        <f>IF($A116&lt;&gt;"",
IF(COLUMN(貼り付け用!M116)&gt;MATCH("おやつ",貼り付け用!$3:$3,0),"",
IF(VLOOKUP($A116,貼り付け用!$A$1:$BA$300,COLUMN(),FALSE)=0,"",VLOOKUP($A116,貼り付け用!$A$1:$BA$300,COLUMN(),FALSE))),"")</f>
        <v>#N/A</v>
      </c>
      <c r="N116" s="14" t="e">
        <f>IF($A116&lt;&gt;"",
IF(COLUMN(貼り付け用!N116)&gt;MATCH("おやつ",貼り付け用!$3:$3,0),"",
IF(VLOOKUP($A116,貼り付け用!$A$1:$BA$300,COLUMN(),FALSE)=0,"",VLOOKUP($A116,貼り付け用!$A$1:$BA$300,COLUMN(),FALSE))),"")</f>
        <v>#N/A</v>
      </c>
      <c r="O116" s="14" t="e">
        <f>IF($A116&lt;&gt;"",
IF(COLUMN(貼り付け用!O116)&gt;MATCH("おやつ",貼り付け用!$3:$3,0),"",
IF(VLOOKUP($A116,貼り付け用!$A$1:$BA$300,COLUMN(),FALSE)=0,"",VLOOKUP($A116,貼り付け用!$A$1:$BA$300,COLUMN(),FALSE))),"")</f>
        <v>#N/A</v>
      </c>
      <c r="P116" s="14" t="e">
        <f>IF($A116&lt;&gt;"",
IF(COLUMN(貼り付け用!P116)&gt;MATCH("おやつ",貼り付け用!$3:$3,0),"",
IF(VLOOKUP($A116,貼り付け用!$A$1:$BA$300,COLUMN(),FALSE)=0,"",VLOOKUP($A116,貼り付け用!$A$1:$BA$300,COLUMN(),FALSE))),"")</f>
        <v>#N/A</v>
      </c>
      <c r="Q116" s="14" t="e">
        <f>IF($A116&lt;&gt;"",
IF(COLUMN(貼り付け用!Q116)&gt;MATCH("おやつ",貼り付け用!$3:$3,0),"",
IF(VLOOKUP($A116,貼り付け用!$A$1:$BA$300,COLUMN(),FALSE)=0,"",VLOOKUP($A116,貼り付け用!$A$1:$BA$300,COLUMN(),FALSE))),"")</f>
        <v>#N/A</v>
      </c>
      <c r="R116" s="14" t="e">
        <f>IF($A116&lt;&gt;"",
IF(COLUMN(貼り付け用!R116)&gt;MATCH("おやつ",貼り付け用!$3:$3,0),"",
IF(VLOOKUP($A116,貼り付け用!$A$1:$BA$300,COLUMN(),FALSE)=0,"",VLOOKUP($A116,貼り付け用!$A$1:$BA$300,COLUMN(),FALSE))),"")</f>
        <v>#N/A</v>
      </c>
      <c r="S116" s="14" t="e">
        <f>IF($A116&lt;&gt;"",
IF(COLUMN(貼り付け用!S116)&gt;MATCH("おやつ",貼り付け用!$3:$3,0),"",
IF(VLOOKUP($A116,貼り付け用!$A$1:$BA$300,COLUMN(),FALSE)=0,"",VLOOKUP($A116,貼り付け用!$A$1:$BA$300,COLUMN(),FALSE))),"")</f>
        <v>#N/A</v>
      </c>
      <c r="T116" s="14" t="e">
        <f>IF(COLUMN(貼り付け用!T116)&gt;MATCH("おやつ",貼り付け用!$3:$3,0),"",
IF(VLOOKUP($A116,貼り付け用!$A$1:$BA$300,COLUMN(),FALSE)=0,"",VLOOKUP($A116,貼り付け用!$A$1:$BA$300,COLUMN(),FALSE)))</f>
        <v>#N/A</v>
      </c>
      <c r="U116" s="11"/>
      <c r="V116" s="55" t="e">
        <f>IF(A116&lt;&gt;"",
IF(VLOOKUP($A116,貼り付け用!$A$1:$BA$300,MATCH("おやつ",貼り付け用!$3:$3,0)+1,FALSE)=0,"",VLOOKUP($A116,貼り付け用!$A$1:$BA$300,MATCH("おやつ",貼り付け用!$3:$3,0)+1,FALSE)),"")</f>
        <v>#N/A</v>
      </c>
      <c r="W116" s="14" t="e">
        <f>IF(A116&lt;&gt;"",
IF(VLOOKUP($A116,貼り付け用!$A$1:$BA$300,MATCH("おやつ",貼り付け用!$3:$3,0)+2,FALSE)=0,"",VLOOKUP($A116,貼り付け用!$A$1:$BA$300,MATCH("おやつ",貼り付け用!$3:$3,0)+2,FALSE)),"")</f>
        <v>#N/A</v>
      </c>
    </row>
    <row r="117" spans="1:23">
      <c r="A117" s="8" t="e">
        <f>IF(貼り付け用!$A$6&lt;&gt;"",
IF(ROW(A116)+1&gt;=MATCH("*10000*", 貼り付け用!$A:$A, 0),"",
IF(貼り付け用!A117&lt;&gt;"",貼り付け用!A117,"")),
IF(ROW(A117)+1&gt;=MATCH("*10000*", 貼り付け用!$A:$A, 0),"",
IF(貼り付け用!A118&lt;&gt;"",貼り付け用!A118,"")))</f>
        <v>#N/A</v>
      </c>
      <c r="B117" s="3" t="e">
        <f>IF($A117&lt;&gt;"",IF(VLOOKUP($A117,貼り付け用!$A$1:$BA$300,COLUMN(),FALSE)=0,"",VLOOKUP($A117,貼り付け用!$A$1:$BA$300,COLUMN(),FALSE)),"")</f>
        <v>#N/A</v>
      </c>
      <c r="C117" s="3" t="e">
        <f>IF($A117&lt;&gt;"",IF(VLOOKUP($A117,貼り付け用!$A$1:$BA$300,COLUMN(),FALSE)=0,"",VLOOKUP($A117,貼り付け用!$A$1:$BA$300,COLUMN(),FALSE)),"")</f>
        <v>#N/A</v>
      </c>
      <c r="D117" s="3" t="e">
        <f>IF($A117&lt;&gt;"",IF(VLOOKUP($A117,貼り付け用!$A$1:$BA$300,COLUMN(),FALSE)=0,"",VLOOKUP($A117,貼り付け用!$A$1:$BA$300,COLUMN(),FALSE)),"")</f>
        <v>#N/A</v>
      </c>
      <c r="E117" s="3" t="e">
        <f>IF($A117&lt;&gt;"",IF(VLOOKUP($A117,貼り付け用!$A$1:$BA$300,COLUMN(),FALSE)=0,"",VLOOKUP($A117,貼り付け用!$A$1:$BA$300,COLUMN(),FALSE)),"")</f>
        <v>#N/A</v>
      </c>
      <c r="F117" s="3" t="e">
        <f>IF($A117&lt;&gt;"",IF(VLOOKUP($A117,貼り付け用!$A$1:$BA$300,COLUMN(),FALSE)=0,"",VLOOKUP($A117,貼り付け用!$A$1:$BA$300,COLUMN(),FALSE)),"")</f>
        <v>#N/A</v>
      </c>
      <c r="G117" s="3" t="e">
        <f>IF($A117&lt;&gt;"",IF(VLOOKUP($A117,貼り付け用!$A$1:$BA$300,COLUMN(),FALSE)=0,"",VLOOKUP($A117,貼り付け用!$A$1:$BA$300,COLUMN(),FALSE)),"")</f>
        <v>#N/A</v>
      </c>
      <c r="H117" s="3" t="e">
        <f>IF($A117&lt;&gt;"",IF(VLOOKUP($A117,貼り付け用!$A$1:$BA$300,COLUMN(),FALSE)=0,"",VLOOKUP($A117,貼り付け用!$A$1:$BA$300,COLUMN(),FALSE)),"")</f>
        <v>#N/A</v>
      </c>
      <c r="I117" s="3" t="e">
        <f>IF($A117&lt;&gt;"",IF(VLOOKUP($A117,貼り付け用!$A$1:$BA$300,COLUMN(),FALSE)=0,"",VLOOKUP($A117,貼り付け用!$A$1:$BA$300,COLUMN(),FALSE)),"")</f>
        <v>#N/A</v>
      </c>
      <c r="J117" s="3" t="e">
        <f>IF($A117&lt;&gt;"",IF(VLOOKUP($A117,貼り付け用!$A$1:$BA$300,COLUMN(),FALSE)=0,"",VLOOKUP($A117,貼り付け用!$A$1:$BA$300,COLUMN(),FALSE)),"")</f>
        <v>#N/A</v>
      </c>
      <c r="K117" s="3" t="e">
        <f>IF($A117&lt;&gt;"",IF(VLOOKUP($A117,貼り付け用!$A$1:$BA$300,COLUMN(),FALSE)=0,"",VLOOKUP($A117,貼り付け用!$A$1:$BA$300,COLUMN(),FALSE)),"")</f>
        <v>#N/A</v>
      </c>
      <c r="L117" s="3" t="e">
        <f>IF($A117&lt;&gt;"",
IF(COLUMN(貼り付け用!L117)&gt;MATCH("おやつ",貼り付け用!$3:$3,0),"",
IF(VLOOKUP($A117,貼り付け用!$A$1:$BA$300,COLUMN(),FALSE)=0,"",VLOOKUP($A117,貼り付け用!$A$1:$BA$300,COLUMN(),FALSE))),"")</f>
        <v>#N/A</v>
      </c>
      <c r="M117" s="3" t="e">
        <f>IF($A117&lt;&gt;"",
IF(COLUMN(貼り付け用!M117)&gt;MATCH("おやつ",貼り付け用!$3:$3,0),"",
IF(VLOOKUP($A117,貼り付け用!$A$1:$BA$300,COLUMN(),FALSE)=0,"",VLOOKUP($A117,貼り付け用!$A$1:$BA$300,COLUMN(),FALSE))),"")</f>
        <v>#N/A</v>
      </c>
      <c r="N117" s="3" t="e">
        <f>IF($A117&lt;&gt;"",
IF(COLUMN(貼り付け用!N117)&gt;MATCH("おやつ",貼り付け用!$3:$3,0),"",
IF(VLOOKUP($A117,貼り付け用!$A$1:$BA$300,COLUMN(),FALSE)=0,"",VLOOKUP($A117,貼り付け用!$A$1:$BA$300,COLUMN(),FALSE))),"")</f>
        <v>#N/A</v>
      </c>
      <c r="O117" s="3" t="e">
        <f>IF($A117&lt;&gt;"",
IF(COLUMN(貼り付け用!O117)&gt;MATCH("おやつ",貼り付け用!$3:$3,0),"",
IF(VLOOKUP($A117,貼り付け用!$A$1:$BA$300,COLUMN(),FALSE)=0,"",VLOOKUP($A117,貼り付け用!$A$1:$BA$300,COLUMN(),FALSE))),"")</f>
        <v>#N/A</v>
      </c>
      <c r="P117" s="3" t="e">
        <f>IF($A117&lt;&gt;"",
IF(COLUMN(貼り付け用!P117)&gt;MATCH("おやつ",貼り付け用!$3:$3,0),"",
IF(VLOOKUP($A117,貼り付け用!$A$1:$BA$300,COLUMN(),FALSE)=0,"",VLOOKUP($A117,貼り付け用!$A$1:$BA$300,COLUMN(),FALSE))),"")</f>
        <v>#N/A</v>
      </c>
      <c r="Q117" s="3" t="e">
        <f>IF($A117&lt;&gt;"",
IF(COLUMN(貼り付け用!Q117)&gt;MATCH("おやつ",貼り付け用!$3:$3,0),"",
IF(VLOOKUP($A117,貼り付け用!$A$1:$BA$300,COLUMN(),FALSE)=0,"",VLOOKUP($A117,貼り付け用!$A$1:$BA$300,COLUMN(),FALSE))),"")</f>
        <v>#N/A</v>
      </c>
      <c r="R117" s="3" t="e">
        <f>IF($A117&lt;&gt;"",
IF(COLUMN(貼り付け用!R117)&gt;MATCH("おやつ",貼り付け用!$3:$3,0),"",
IF(VLOOKUP($A117,貼り付け用!$A$1:$BA$300,COLUMN(),FALSE)=0,"",VLOOKUP($A117,貼り付け用!$A$1:$BA$300,COLUMN(),FALSE))),"")</f>
        <v>#N/A</v>
      </c>
      <c r="S117" s="3" t="e">
        <f>IF($A117&lt;&gt;"",
IF(COLUMN(貼り付け用!S117)&gt;MATCH("おやつ",貼り付け用!$3:$3,0),"",
IF(VLOOKUP($A117,貼り付け用!$A$1:$BA$300,COLUMN(),FALSE)=0,"",VLOOKUP($A117,貼り付け用!$A$1:$BA$300,COLUMN(),FALSE))),"")</f>
        <v>#N/A</v>
      </c>
      <c r="T117" s="3" t="e">
        <f>IF(COLUMN(貼り付け用!T117)&gt;MATCH("おやつ",貼り付け用!$3:$3,0),"",
IF(VLOOKUP($A117,貼り付け用!$A$1:$BA$300,COLUMN(),FALSE)=0,"",VLOOKUP($A117,貼り付け用!$A$1:$BA$300,COLUMN(),FALSE)))</f>
        <v>#N/A</v>
      </c>
      <c r="U117" s="21"/>
      <c r="V117" s="55" t="e">
        <f>IF(A117&lt;&gt;"",
IF(VLOOKUP($A117,貼り付け用!$A$1:$BA$300,MATCH("おやつ",貼り付け用!$3:$3,0)+1,FALSE)=0,"",VLOOKUP($A117,貼り付け用!$A$1:$BA$300,MATCH("おやつ",貼り付け用!$3:$3,0)+1,FALSE)),"")</f>
        <v>#N/A</v>
      </c>
      <c r="W117" s="14" t="e">
        <f>IF(A117&lt;&gt;"",
IF(VLOOKUP($A117,貼り付け用!$A$1:$BA$300,MATCH("おやつ",貼り付け用!$3:$3,0)+2,FALSE)=0,"",VLOOKUP($A117,貼り付け用!$A$1:$BA$300,MATCH("おやつ",貼り付け用!$3:$3,0)+2,FALSE)),"")</f>
        <v>#N/A</v>
      </c>
    </row>
    <row r="118" spans="1:23">
      <c r="A118" s="4" t="e">
        <f>IF(貼り付け用!$A$6&lt;&gt;"",
IF(ROW(A117)+1&gt;=MATCH("*10000*", 貼り付け用!$A:$A, 0),
IF(COUNTIF(A116,"*10000*"),"10001",
IF(COUNTIF(A116,"*10001*"),"10002",
IF(COUNTIF(A116,"*10002*"),"",
IF(COUNTIF(A116,""),"","10000")))),
IF(貼り付け用!A118&lt;&gt;"",貼り付け用!A118,"")),
IF(ROW(A118)+1&gt;=MATCH("*10000*", 貼り付け用!$A:$A, 0),
IF(COUNTIF(A116,"*10000*"),"10001",
IF(COUNTIF(A116,"*10001*"),"10002",
IF(COUNTIF(A116,"*10002*"),"",
IF(COUNTIF(A116,""),"","10000")))),
IF(貼り付け用!A119&lt;&gt;"",貼り付け用!A119,"")))</f>
        <v>#N/A</v>
      </c>
      <c r="B118" s="14" t="e">
        <f>IF($A118&lt;&gt;"",IF(VLOOKUP($A118,貼り付け用!$A$1:$BA$300,COLUMN(),FALSE)=0,"",VLOOKUP($A118,貼り付け用!$A$1:$BA$300,COLUMN(),FALSE)),"")</f>
        <v>#N/A</v>
      </c>
      <c r="C118" s="14" t="e">
        <f>IF($A118&lt;&gt;"",IF(VLOOKUP($A118,貼り付け用!$A$1:$BA$300,COLUMN(),FALSE)=0,"",VLOOKUP($A118,貼り付け用!$A$1:$BA$300,COLUMN(),FALSE)),"")</f>
        <v>#N/A</v>
      </c>
      <c r="D118" s="14" t="e">
        <f>IF($A118&lt;&gt;"",IF(VLOOKUP($A118,貼り付け用!$A$1:$BA$300,COLUMN(),FALSE)=0,"",VLOOKUP($A118,貼り付け用!$A$1:$BA$300,COLUMN(),FALSE)),"")</f>
        <v>#N/A</v>
      </c>
      <c r="E118" s="14" t="e">
        <f>IF($A118&lt;&gt;"",IF(VLOOKUP($A118,貼り付け用!$A$1:$BA$300,COLUMN(),FALSE)=0,"",VLOOKUP($A118,貼り付け用!$A$1:$BA$300,COLUMN(),FALSE)),"")</f>
        <v>#N/A</v>
      </c>
      <c r="F118" s="14" t="e">
        <f>IF($A118&lt;&gt;"",IF(VLOOKUP($A118,貼り付け用!$A$1:$BA$300,COLUMN(),FALSE)=0,"",VLOOKUP($A118,貼り付け用!$A$1:$BA$300,COLUMN(),FALSE)),"")</f>
        <v>#N/A</v>
      </c>
      <c r="G118" s="14" t="e">
        <f>IF($A118&lt;&gt;"",IF(VLOOKUP($A118,貼り付け用!$A$1:$BA$300,COLUMN(),FALSE)=0,"",VLOOKUP($A118,貼り付け用!$A$1:$BA$300,COLUMN(),FALSE)),"")</f>
        <v>#N/A</v>
      </c>
      <c r="H118" s="14" t="e">
        <f>IF($A118&lt;&gt;"",IF(VLOOKUP($A118,貼り付け用!$A$1:$BA$300,COLUMN(),FALSE)=0,"",VLOOKUP($A118,貼り付け用!$A$1:$BA$300,COLUMN(),FALSE)),"")</f>
        <v>#N/A</v>
      </c>
      <c r="I118" s="14" t="e">
        <f>IF($A118&lt;&gt;"",IF(VLOOKUP($A118,貼り付け用!$A$1:$BA$300,COLUMN(),FALSE)=0,"",VLOOKUP($A118,貼り付け用!$A$1:$BA$300,COLUMN(),FALSE)),"")</f>
        <v>#N/A</v>
      </c>
      <c r="J118" s="14" t="e">
        <f>IF($A118&lt;&gt;"",IF(VLOOKUP($A118,貼り付け用!$A$1:$BA$300,COLUMN(),FALSE)=0,"",VLOOKUP($A118,貼り付け用!$A$1:$BA$300,COLUMN(),FALSE)),"")</f>
        <v>#N/A</v>
      </c>
      <c r="K118" s="14" t="e">
        <f>IF($A118&lt;&gt;"",IF(VLOOKUP($A118,貼り付け用!$A$1:$BA$300,COLUMN(),FALSE)=0,"",VLOOKUP($A118,貼り付け用!$A$1:$BA$300,COLUMN(),FALSE)),"")</f>
        <v>#N/A</v>
      </c>
      <c r="L118" s="14" t="e">
        <f>IF($A118&lt;&gt;"",
IF(COLUMN(貼り付け用!L118)&gt;MATCH("おやつ",貼り付け用!$3:$3,0),"",
IF(VLOOKUP($A118,貼り付け用!$A$1:$BA$300,COLUMN(),FALSE)=0,"",VLOOKUP($A118,貼り付け用!$A$1:$BA$300,COLUMN(),FALSE))),"")</f>
        <v>#N/A</v>
      </c>
      <c r="M118" s="14" t="e">
        <f>IF($A118&lt;&gt;"",
IF(COLUMN(貼り付け用!M118)&gt;MATCH("おやつ",貼り付け用!$3:$3,0),"",
IF(VLOOKUP($A118,貼り付け用!$A$1:$BA$300,COLUMN(),FALSE)=0,"",VLOOKUP($A118,貼り付け用!$A$1:$BA$300,COLUMN(),FALSE))),"")</f>
        <v>#N/A</v>
      </c>
      <c r="N118" s="14" t="e">
        <f>IF($A118&lt;&gt;"",
IF(COLUMN(貼り付け用!N118)&gt;MATCH("おやつ",貼り付け用!$3:$3,0),"",
IF(VLOOKUP($A118,貼り付け用!$A$1:$BA$300,COLUMN(),FALSE)=0,"",VLOOKUP($A118,貼り付け用!$A$1:$BA$300,COLUMN(),FALSE))),"")</f>
        <v>#N/A</v>
      </c>
      <c r="O118" s="14" t="e">
        <f>IF($A118&lt;&gt;"",
IF(COLUMN(貼り付け用!O118)&gt;MATCH("おやつ",貼り付け用!$3:$3,0),"",
IF(VLOOKUP($A118,貼り付け用!$A$1:$BA$300,COLUMN(),FALSE)=0,"",VLOOKUP($A118,貼り付け用!$A$1:$BA$300,COLUMN(),FALSE))),"")</f>
        <v>#N/A</v>
      </c>
      <c r="P118" s="14" t="e">
        <f>IF($A118&lt;&gt;"",
IF(COLUMN(貼り付け用!P118)&gt;MATCH("おやつ",貼り付け用!$3:$3,0),"",
IF(VLOOKUP($A118,貼り付け用!$A$1:$BA$300,COLUMN(),FALSE)=0,"",VLOOKUP($A118,貼り付け用!$A$1:$BA$300,COLUMN(),FALSE))),"")</f>
        <v>#N/A</v>
      </c>
      <c r="Q118" s="14" t="e">
        <f>IF($A118&lt;&gt;"",
IF(COLUMN(貼り付け用!Q118)&gt;MATCH("おやつ",貼り付け用!$3:$3,0),"",
IF(VLOOKUP($A118,貼り付け用!$A$1:$BA$300,COLUMN(),FALSE)=0,"",VLOOKUP($A118,貼り付け用!$A$1:$BA$300,COLUMN(),FALSE))),"")</f>
        <v>#N/A</v>
      </c>
      <c r="R118" s="14" t="e">
        <f>IF($A118&lt;&gt;"",
IF(COLUMN(貼り付け用!R118)&gt;MATCH("おやつ",貼り付け用!$3:$3,0),"",
IF(VLOOKUP($A118,貼り付け用!$A$1:$BA$300,COLUMN(),FALSE)=0,"",VLOOKUP($A118,貼り付け用!$A$1:$BA$300,COLUMN(),FALSE))),"")</f>
        <v>#N/A</v>
      </c>
      <c r="S118" s="14" t="e">
        <f>IF($A118&lt;&gt;"",
IF(COLUMN(貼り付け用!S118)&gt;MATCH("おやつ",貼り付け用!$3:$3,0),"",
IF(VLOOKUP($A118,貼り付け用!$A$1:$BA$300,COLUMN(),FALSE)=0,"",VLOOKUP($A118,貼り付け用!$A$1:$BA$300,COLUMN(),FALSE))),"")</f>
        <v>#N/A</v>
      </c>
      <c r="T118" s="14" t="e">
        <f>IF(COLUMN(貼り付け用!T118)&gt;MATCH("おやつ",貼り付け用!$3:$3,0),"",
IF(VLOOKUP($A118,貼り付け用!$A$1:$BA$300,COLUMN(),FALSE)=0,"",VLOOKUP($A118,貼り付け用!$A$1:$BA$300,COLUMN(),FALSE)))</f>
        <v>#N/A</v>
      </c>
      <c r="U118" s="11"/>
      <c r="V118" s="55" t="e">
        <f>IF(A118&lt;&gt;"",
IF(VLOOKUP($A118,貼り付け用!$A$1:$BA$300,MATCH("おやつ",貼り付け用!$3:$3,0)+1,FALSE)=0,"",VLOOKUP($A118,貼り付け用!$A$1:$BA$300,MATCH("おやつ",貼り付け用!$3:$3,0)+1,FALSE)),"")</f>
        <v>#N/A</v>
      </c>
      <c r="W118" s="14" t="e">
        <f>IF(A118&lt;&gt;"",
IF(VLOOKUP($A118,貼り付け用!$A$1:$BA$300,MATCH("おやつ",貼り付け用!$3:$3,0)+2,FALSE)=0,"",VLOOKUP($A118,貼り付け用!$A$1:$BA$300,MATCH("おやつ",貼り付け用!$3:$3,0)+2,FALSE)),"")</f>
        <v>#N/A</v>
      </c>
    </row>
    <row r="119" spans="1:23">
      <c r="A119" s="8" t="e">
        <f>IF(貼り付け用!$A$6&lt;&gt;"",
IF(ROW(A118)+1&gt;=MATCH("*10000*", 貼り付け用!$A:$A, 0),"",
IF(貼り付け用!A119&lt;&gt;"",貼り付け用!A119,"")),
IF(ROW(A119)+1&gt;=MATCH("*10000*", 貼り付け用!$A:$A, 0),"",
IF(貼り付け用!A120&lt;&gt;"",貼り付け用!A120,"")))</f>
        <v>#N/A</v>
      </c>
      <c r="B119" s="3" t="e">
        <f>IF($A119&lt;&gt;"",IF(VLOOKUP($A119,貼り付け用!$A$1:$BA$300,COLUMN(),FALSE)=0,"",VLOOKUP($A119,貼り付け用!$A$1:$BA$300,COLUMN(),FALSE)),"")</f>
        <v>#N/A</v>
      </c>
      <c r="C119" s="3" t="e">
        <f>IF($A119&lt;&gt;"",IF(VLOOKUP($A119,貼り付け用!$A$1:$BA$300,COLUMN(),FALSE)=0,"",VLOOKUP($A119,貼り付け用!$A$1:$BA$300,COLUMN(),FALSE)),"")</f>
        <v>#N/A</v>
      </c>
      <c r="D119" s="3" t="e">
        <f>IF($A119&lt;&gt;"",IF(VLOOKUP($A119,貼り付け用!$A$1:$BA$300,COLUMN(),FALSE)=0,"",VLOOKUP($A119,貼り付け用!$A$1:$BA$300,COLUMN(),FALSE)),"")</f>
        <v>#N/A</v>
      </c>
      <c r="E119" s="3" t="e">
        <f>IF($A119&lt;&gt;"",IF(VLOOKUP($A119,貼り付け用!$A$1:$BA$300,COLUMN(),FALSE)=0,"",VLOOKUP($A119,貼り付け用!$A$1:$BA$300,COLUMN(),FALSE)),"")</f>
        <v>#N/A</v>
      </c>
      <c r="F119" s="3" t="e">
        <f>IF($A119&lt;&gt;"",IF(VLOOKUP($A119,貼り付け用!$A$1:$BA$300,COLUMN(),FALSE)=0,"",VLOOKUP($A119,貼り付け用!$A$1:$BA$300,COLUMN(),FALSE)),"")</f>
        <v>#N/A</v>
      </c>
      <c r="G119" s="3" t="e">
        <f>IF($A119&lt;&gt;"",IF(VLOOKUP($A119,貼り付け用!$A$1:$BA$300,COLUMN(),FALSE)=0,"",VLOOKUP($A119,貼り付け用!$A$1:$BA$300,COLUMN(),FALSE)),"")</f>
        <v>#N/A</v>
      </c>
      <c r="H119" s="3" t="e">
        <f>IF($A119&lt;&gt;"",IF(VLOOKUP($A119,貼り付け用!$A$1:$BA$300,COLUMN(),FALSE)=0,"",VLOOKUP($A119,貼り付け用!$A$1:$BA$300,COLUMN(),FALSE)),"")</f>
        <v>#N/A</v>
      </c>
      <c r="I119" s="3" t="e">
        <f>IF($A119&lt;&gt;"",IF(VLOOKUP($A119,貼り付け用!$A$1:$BA$300,COLUMN(),FALSE)=0,"",VLOOKUP($A119,貼り付け用!$A$1:$BA$300,COLUMN(),FALSE)),"")</f>
        <v>#N/A</v>
      </c>
      <c r="J119" s="3" t="e">
        <f>IF($A119&lt;&gt;"",IF(VLOOKUP($A119,貼り付け用!$A$1:$BA$300,COLUMN(),FALSE)=0,"",VLOOKUP($A119,貼り付け用!$A$1:$BA$300,COLUMN(),FALSE)),"")</f>
        <v>#N/A</v>
      </c>
      <c r="K119" s="3" t="e">
        <f>IF($A119&lt;&gt;"",IF(VLOOKUP($A119,貼り付け用!$A$1:$BA$300,COLUMN(),FALSE)=0,"",VLOOKUP($A119,貼り付け用!$A$1:$BA$300,COLUMN(),FALSE)),"")</f>
        <v>#N/A</v>
      </c>
      <c r="L119" s="3" t="e">
        <f>IF($A119&lt;&gt;"",
IF(COLUMN(貼り付け用!L119)&gt;MATCH("おやつ",貼り付け用!$3:$3,0),"",
IF(VLOOKUP($A119,貼り付け用!$A$1:$BA$300,COLUMN(),FALSE)=0,"",VLOOKUP($A119,貼り付け用!$A$1:$BA$300,COLUMN(),FALSE))),"")</f>
        <v>#N/A</v>
      </c>
      <c r="M119" s="3" t="e">
        <f>IF($A119&lt;&gt;"",
IF(COLUMN(貼り付け用!M119)&gt;MATCH("おやつ",貼り付け用!$3:$3,0),"",
IF(VLOOKUP($A119,貼り付け用!$A$1:$BA$300,COLUMN(),FALSE)=0,"",VLOOKUP($A119,貼り付け用!$A$1:$BA$300,COLUMN(),FALSE))),"")</f>
        <v>#N/A</v>
      </c>
      <c r="N119" s="3" t="e">
        <f>IF($A119&lt;&gt;"",
IF(COLUMN(貼り付け用!N119)&gt;MATCH("おやつ",貼り付け用!$3:$3,0),"",
IF(VLOOKUP($A119,貼り付け用!$A$1:$BA$300,COLUMN(),FALSE)=0,"",VLOOKUP($A119,貼り付け用!$A$1:$BA$300,COLUMN(),FALSE))),"")</f>
        <v>#N/A</v>
      </c>
      <c r="O119" s="3" t="e">
        <f>IF($A119&lt;&gt;"",
IF(COLUMN(貼り付け用!O119)&gt;MATCH("おやつ",貼り付け用!$3:$3,0),"",
IF(VLOOKUP($A119,貼り付け用!$A$1:$BA$300,COLUMN(),FALSE)=0,"",VLOOKUP($A119,貼り付け用!$A$1:$BA$300,COLUMN(),FALSE))),"")</f>
        <v>#N/A</v>
      </c>
      <c r="P119" s="3" t="e">
        <f>IF($A119&lt;&gt;"",
IF(COLUMN(貼り付け用!P119)&gt;MATCH("おやつ",貼り付け用!$3:$3,0),"",
IF(VLOOKUP($A119,貼り付け用!$A$1:$BA$300,COLUMN(),FALSE)=0,"",VLOOKUP($A119,貼り付け用!$A$1:$BA$300,COLUMN(),FALSE))),"")</f>
        <v>#N/A</v>
      </c>
      <c r="Q119" s="3" t="e">
        <f>IF($A119&lt;&gt;"",
IF(COLUMN(貼り付け用!Q119)&gt;MATCH("おやつ",貼り付け用!$3:$3,0),"",
IF(VLOOKUP($A119,貼り付け用!$A$1:$BA$300,COLUMN(),FALSE)=0,"",VLOOKUP($A119,貼り付け用!$A$1:$BA$300,COLUMN(),FALSE))),"")</f>
        <v>#N/A</v>
      </c>
      <c r="R119" s="3" t="e">
        <f>IF($A119&lt;&gt;"",
IF(COLUMN(貼り付け用!R119)&gt;MATCH("おやつ",貼り付け用!$3:$3,0),"",
IF(VLOOKUP($A119,貼り付け用!$A$1:$BA$300,COLUMN(),FALSE)=0,"",VLOOKUP($A119,貼り付け用!$A$1:$BA$300,COLUMN(),FALSE))),"")</f>
        <v>#N/A</v>
      </c>
      <c r="S119" s="3" t="e">
        <f>IF($A119&lt;&gt;"",
IF(COLUMN(貼り付け用!S119)&gt;MATCH("おやつ",貼り付け用!$3:$3,0),"",
IF(VLOOKUP($A119,貼り付け用!$A$1:$BA$300,COLUMN(),FALSE)=0,"",VLOOKUP($A119,貼り付け用!$A$1:$BA$300,COLUMN(),FALSE))),"")</f>
        <v>#N/A</v>
      </c>
      <c r="T119" s="3" t="e">
        <f>IF(COLUMN(貼り付け用!T119)&gt;MATCH("おやつ",貼り付け用!$3:$3,0),"",
IF(VLOOKUP($A119,貼り付け用!$A$1:$BA$300,COLUMN(),FALSE)=0,"",VLOOKUP($A119,貼り付け用!$A$1:$BA$300,COLUMN(),FALSE)))</f>
        <v>#N/A</v>
      </c>
      <c r="U119" s="21"/>
      <c r="V119" s="55" t="e">
        <f>IF(A119&lt;&gt;"",
IF(VLOOKUP($A119,貼り付け用!$A$1:$BA$300,MATCH("おやつ",貼り付け用!$3:$3,0)+1,FALSE)=0,"",VLOOKUP($A119,貼り付け用!$A$1:$BA$300,MATCH("おやつ",貼り付け用!$3:$3,0)+1,FALSE)),"")</f>
        <v>#N/A</v>
      </c>
      <c r="W119" s="14" t="e">
        <f>IF(A119&lt;&gt;"",
IF(VLOOKUP($A119,貼り付け用!$A$1:$BA$300,MATCH("おやつ",貼り付け用!$3:$3,0)+2,FALSE)=0,"",VLOOKUP($A119,貼り付け用!$A$1:$BA$300,MATCH("おやつ",貼り付け用!$3:$3,0)+2,FALSE)),"")</f>
        <v>#N/A</v>
      </c>
    </row>
    <row r="120" spans="1:23">
      <c r="A120" s="4" t="e">
        <f>IF(貼り付け用!$A$6&lt;&gt;"",
IF(ROW(A119)+1&gt;=MATCH("*10000*", 貼り付け用!$A:$A, 0),
IF(COUNTIF(A118,"*10000*"),"10001",
IF(COUNTIF(A118,"*10001*"),"10002",
IF(COUNTIF(A118,"*10002*"),"",
IF(COUNTIF(A118,""),"","10000")))),
IF(貼り付け用!A120&lt;&gt;"",貼り付け用!A120,"")),
IF(ROW(A120)+1&gt;=MATCH("*10000*", 貼り付け用!$A:$A, 0),
IF(COUNTIF(A118,"*10000*"),"10001",
IF(COUNTIF(A118,"*10001*"),"10002",
IF(COUNTIF(A118,"*10002*"),"",
IF(COUNTIF(A118,""),"","10000")))),
IF(貼り付け用!A121&lt;&gt;"",貼り付け用!A121,"")))</f>
        <v>#N/A</v>
      </c>
      <c r="B120" s="14" t="e">
        <f>IF($A120&lt;&gt;"",IF(VLOOKUP($A120,貼り付け用!$A$1:$BA$300,COLUMN(),FALSE)=0,"",VLOOKUP($A120,貼り付け用!$A$1:$BA$300,COLUMN(),FALSE)),"")</f>
        <v>#N/A</v>
      </c>
      <c r="C120" s="14" t="e">
        <f>IF($A120&lt;&gt;"",IF(VLOOKUP($A120,貼り付け用!$A$1:$BA$300,COLUMN(),FALSE)=0,"",VLOOKUP($A120,貼り付け用!$A$1:$BA$300,COLUMN(),FALSE)),"")</f>
        <v>#N/A</v>
      </c>
      <c r="D120" s="14" t="e">
        <f>IF($A120&lt;&gt;"",IF(VLOOKUP($A120,貼り付け用!$A$1:$BA$300,COLUMN(),FALSE)=0,"",VLOOKUP($A120,貼り付け用!$A$1:$BA$300,COLUMN(),FALSE)),"")</f>
        <v>#N/A</v>
      </c>
      <c r="E120" s="14" t="e">
        <f>IF($A120&lt;&gt;"",IF(VLOOKUP($A120,貼り付け用!$A$1:$BA$300,COLUMN(),FALSE)=0,"",VLOOKUP($A120,貼り付け用!$A$1:$BA$300,COLUMN(),FALSE)),"")</f>
        <v>#N/A</v>
      </c>
      <c r="F120" s="14" t="e">
        <f>IF($A120&lt;&gt;"",IF(VLOOKUP($A120,貼り付け用!$A$1:$BA$300,COLUMN(),FALSE)=0,"",VLOOKUP($A120,貼り付け用!$A$1:$BA$300,COLUMN(),FALSE)),"")</f>
        <v>#N/A</v>
      </c>
      <c r="G120" s="14" t="e">
        <f>IF($A120&lt;&gt;"",IF(VLOOKUP($A120,貼り付け用!$A$1:$BA$300,COLUMN(),FALSE)=0,"",VLOOKUP($A120,貼り付け用!$A$1:$BA$300,COLUMN(),FALSE)),"")</f>
        <v>#N/A</v>
      </c>
      <c r="H120" s="14" t="e">
        <f>IF($A120&lt;&gt;"",IF(VLOOKUP($A120,貼り付け用!$A$1:$BA$300,COLUMN(),FALSE)=0,"",VLOOKUP($A120,貼り付け用!$A$1:$BA$300,COLUMN(),FALSE)),"")</f>
        <v>#N/A</v>
      </c>
      <c r="I120" s="14" t="e">
        <f>IF($A120&lt;&gt;"",IF(VLOOKUP($A120,貼り付け用!$A$1:$BA$300,COLUMN(),FALSE)=0,"",VLOOKUP($A120,貼り付け用!$A$1:$BA$300,COLUMN(),FALSE)),"")</f>
        <v>#N/A</v>
      </c>
      <c r="J120" s="14" t="e">
        <f>IF($A120&lt;&gt;"",IF(VLOOKUP($A120,貼り付け用!$A$1:$BA$300,COLUMN(),FALSE)=0,"",VLOOKUP($A120,貼り付け用!$A$1:$BA$300,COLUMN(),FALSE)),"")</f>
        <v>#N/A</v>
      </c>
      <c r="K120" s="14" t="e">
        <f>IF($A120&lt;&gt;"",IF(VLOOKUP($A120,貼り付け用!$A$1:$BA$300,COLUMN(),FALSE)=0,"",VLOOKUP($A120,貼り付け用!$A$1:$BA$300,COLUMN(),FALSE)),"")</f>
        <v>#N/A</v>
      </c>
      <c r="L120" s="14" t="e">
        <f>IF($A120&lt;&gt;"",
IF(COLUMN(貼り付け用!L120)&gt;MATCH("おやつ",貼り付け用!$3:$3,0),"",
IF(VLOOKUP($A120,貼り付け用!$A$1:$BA$300,COLUMN(),FALSE)=0,"",VLOOKUP($A120,貼り付け用!$A$1:$BA$300,COLUMN(),FALSE))),"")</f>
        <v>#N/A</v>
      </c>
      <c r="M120" s="14" t="e">
        <f>IF($A120&lt;&gt;"",
IF(COLUMN(貼り付け用!M120)&gt;MATCH("おやつ",貼り付け用!$3:$3,0),"",
IF(VLOOKUP($A120,貼り付け用!$A$1:$BA$300,COLUMN(),FALSE)=0,"",VLOOKUP($A120,貼り付け用!$A$1:$BA$300,COLUMN(),FALSE))),"")</f>
        <v>#N/A</v>
      </c>
      <c r="N120" s="14" t="e">
        <f>IF($A120&lt;&gt;"",
IF(COLUMN(貼り付け用!N120)&gt;MATCH("おやつ",貼り付け用!$3:$3,0),"",
IF(VLOOKUP($A120,貼り付け用!$A$1:$BA$300,COLUMN(),FALSE)=0,"",VLOOKUP($A120,貼り付け用!$A$1:$BA$300,COLUMN(),FALSE))),"")</f>
        <v>#N/A</v>
      </c>
      <c r="O120" s="14" t="e">
        <f>IF($A120&lt;&gt;"",
IF(COLUMN(貼り付け用!O120)&gt;MATCH("おやつ",貼り付け用!$3:$3,0),"",
IF(VLOOKUP($A120,貼り付け用!$A$1:$BA$300,COLUMN(),FALSE)=0,"",VLOOKUP($A120,貼り付け用!$A$1:$BA$300,COLUMN(),FALSE))),"")</f>
        <v>#N/A</v>
      </c>
      <c r="P120" s="14" t="e">
        <f>IF($A120&lt;&gt;"",
IF(COLUMN(貼り付け用!P120)&gt;MATCH("おやつ",貼り付け用!$3:$3,0),"",
IF(VLOOKUP($A120,貼り付け用!$A$1:$BA$300,COLUMN(),FALSE)=0,"",VLOOKUP($A120,貼り付け用!$A$1:$BA$300,COLUMN(),FALSE))),"")</f>
        <v>#N/A</v>
      </c>
      <c r="Q120" s="14" t="e">
        <f>IF($A120&lt;&gt;"",
IF(COLUMN(貼り付け用!Q120)&gt;MATCH("おやつ",貼り付け用!$3:$3,0),"",
IF(VLOOKUP($A120,貼り付け用!$A$1:$BA$300,COLUMN(),FALSE)=0,"",VLOOKUP($A120,貼り付け用!$A$1:$BA$300,COLUMN(),FALSE))),"")</f>
        <v>#N/A</v>
      </c>
      <c r="R120" s="14" t="e">
        <f>IF($A120&lt;&gt;"",
IF(COLUMN(貼り付け用!R120)&gt;MATCH("おやつ",貼り付け用!$3:$3,0),"",
IF(VLOOKUP($A120,貼り付け用!$A$1:$BA$300,COLUMN(),FALSE)=0,"",VLOOKUP($A120,貼り付け用!$A$1:$BA$300,COLUMN(),FALSE))),"")</f>
        <v>#N/A</v>
      </c>
      <c r="S120" s="14" t="e">
        <f>IF($A120&lt;&gt;"",
IF(COLUMN(貼り付け用!S120)&gt;MATCH("おやつ",貼り付け用!$3:$3,0),"",
IF(VLOOKUP($A120,貼り付け用!$A$1:$BA$300,COLUMN(),FALSE)=0,"",VLOOKUP($A120,貼り付け用!$A$1:$BA$300,COLUMN(),FALSE))),"")</f>
        <v>#N/A</v>
      </c>
      <c r="T120" s="14" t="e">
        <f>IF(COLUMN(貼り付け用!T120)&gt;MATCH("おやつ",貼り付け用!$3:$3,0),"",
IF(VLOOKUP($A120,貼り付け用!$A$1:$BA$300,COLUMN(),FALSE)=0,"",VLOOKUP($A120,貼り付け用!$A$1:$BA$300,COLUMN(),FALSE)))</f>
        <v>#N/A</v>
      </c>
      <c r="U120" s="11"/>
      <c r="V120" s="55" t="e">
        <f>IF(A120&lt;&gt;"",
IF(VLOOKUP($A120,貼り付け用!$A$1:$BA$300,MATCH("おやつ",貼り付け用!$3:$3,0)+1,FALSE)=0,"",VLOOKUP($A120,貼り付け用!$A$1:$BA$300,MATCH("おやつ",貼り付け用!$3:$3,0)+1,FALSE)),"")</f>
        <v>#N/A</v>
      </c>
      <c r="W120" s="14" t="e">
        <f>IF(A120&lt;&gt;"",
IF(VLOOKUP($A120,貼り付け用!$A$1:$BA$300,MATCH("おやつ",貼り付け用!$3:$3,0)+2,FALSE)=0,"",VLOOKUP($A120,貼り付け用!$A$1:$BA$300,MATCH("おやつ",貼り付け用!$3:$3,0)+2,FALSE)),"")</f>
        <v>#N/A</v>
      </c>
    </row>
    <row r="121" spans="1:23">
      <c r="A121" s="8" t="e">
        <f>IF(貼り付け用!$A$6&lt;&gt;"",
IF(ROW(A120)+1&gt;=MATCH("*10000*", 貼り付け用!$A:$A, 0),"",
IF(貼り付け用!A121&lt;&gt;"",貼り付け用!A121,"")),
IF(ROW(A121)+1&gt;=MATCH("*10000*", 貼り付け用!$A:$A, 0),"",
IF(貼り付け用!A122&lt;&gt;"",貼り付け用!A122,"")))</f>
        <v>#N/A</v>
      </c>
      <c r="B121" s="3" t="e">
        <f>IF($A121&lt;&gt;"",IF(VLOOKUP($A121,貼り付け用!$A$1:$BA$300,COLUMN(),FALSE)=0,"",VLOOKUP($A121,貼り付け用!$A$1:$BA$300,COLUMN(),FALSE)),"")</f>
        <v>#N/A</v>
      </c>
      <c r="C121" s="3" t="e">
        <f>IF($A121&lt;&gt;"",IF(VLOOKUP($A121,貼り付け用!$A$1:$BA$300,COLUMN(),FALSE)=0,"",VLOOKUP($A121,貼り付け用!$A$1:$BA$300,COLUMN(),FALSE)),"")</f>
        <v>#N/A</v>
      </c>
      <c r="D121" s="3" t="e">
        <f>IF($A121&lt;&gt;"",IF(VLOOKUP($A121,貼り付け用!$A$1:$BA$300,COLUMN(),FALSE)=0,"",VLOOKUP($A121,貼り付け用!$A$1:$BA$300,COLUMN(),FALSE)),"")</f>
        <v>#N/A</v>
      </c>
      <c r="E121" s="3" t="e">
        <f>IF($A121&lt;&gt;"",IF(VLOOKUP($A121,貼り付け用!$A$1:$BA$300,COLUMN(),FALSE)=0,"",VLOOKUP($A121,貼り付け用!$A$1:$BA$300,COLUMN(),FALSE)),"")</f>
        <v>#N/A</v>
      </c>
      <c r="F121" s="3" t="e">
        <f>IF($A121&lt;&gt;"",IF(VLOOKUP($A121,貼り付け用!$A$1:$BA$300,COLUMN(),FALSE)=0,"",VLOOKUP($A121,貼り付け用!$A$1:$BA$300,COLUMN(),FALSE)),"")</f>
        <v>#N/A</v>
      </c>
      <c r="G121" s="3" t="e">
        <f>IF($A121&lt;&gt;"",IF(VLOOKUP($A121,貼り付け用!$A$1:$BA$300,COLUMN(),FALSE)=0,"",VLOOKUP($A121,貼り付け用!$A$1:$BA$300,COLUMN(),FALSE)),"")</f>
        <v>#N/A</v>
      </c>
      <c r="H121" s="3" t="e">
        <f>IF($A121&lt;&gt;"",IF(VLOOKUP($A121,貼り付け用!$A$1:$BA$300,COLUMN(),FALSE)=0,"",VLOOKUP($A121,貼り付け用!$A$1:$BA$300,COLUMN(),FALSE)),"")</f>
        <v>#N/A</v>
      </c>
      <c r="I121" s="3" t="e">
        <f>IF($A121&lt;&gt;"",IF(VLOOKUP($A121,貼り付け用!$A$1:$BA$300,COLUMN(),FALSE)=0,"",VLOOKUP($A121,貼り付け用!$A$1:$BA$300,COLUMN(),FALSE)),"")</f>
        <v>#N/A</v>
      </c>
      <c r="J121" s="3" t="e">
        <f>IF($A121&lt;&gt;"",IF(VLOOKUP($A121,貼り付け用!$A$1:$BA$300,COLUMN(),FALSE)=0,"",VLOOKUP($A121,貼り付け用!$A$1:$BA$300,COLUMN(),FALSE)),"")</f>
        <v>#N/A</v>
      </c>
      <c r="K121" s="3" t="e">
        <f>IF($A121&lt;&gt;"",IF(VLOOKUP($A121,貼り付け用!$A$1:$BA$300,COLUMN(),FALSE)=0,"",VLOOKUP($A121,貼り付け用!$A$1:$BA$300,COLUMN(),FALSE)),"")</f>
        <v>#N/A</v>
      </c>
      <c r="L121" s="3" t="e">
        <f>IF($A121&lt;&gt;"",
IF(COLUMN(貼り付け用!L121)&gt;MATCH("おやつ",貼り付け用!$3:$3,0),"",
IF(VLOOKUP($A121,貼り付け用!$A$1:$BA$300,COLUMN(),FALSE)=0,"",VLOOKUP($A121,貼り付け用!$A$1:$BA$300,COLUMN(),FALSE))),"")</f>
        <v>#N/A</v>
      </c>
      <c r="M121" s="3" t="e">
        <f>IF($A121&lt;&gt;"",
IF(COLUMN(貼り付け用!M121)&gt;MATCH("おやつ",貼り付け用!$3:$3,0),"",
IF(VLOOKUP($A121,貼り付け用!$A$1:$BA$300,COLUMN(),FALSE)=0,"",VLOOKUP($A121,貼り付け用!$A$1:$BA$300,COLUMN(),FALSE))),"")</f>
        <v>#N/A</v>
      </c>
      <c r="N121" s="3" t="e">
        <f>IF($A121&lt;&gt;"",
IF(COLUMN(貼り付け用!N121)&gt;MATCH("おやつ",貼り付け用!$3:$3,0),"",
IF(VLOOKUP($A121,貼り付け用!$A$1:$BA$300,COLUMN(),FALSE)=0,"",VLOOKUP($A121,貼り付け用!$A$1:$BA$300,COLUMN(),FALSE))),"")</f>
        <v>#N/A</v>
      </c>
      <c r="O121" s="3" t="e">
        <f>IF($A121&lt;&gt;"",
IF(COLUMN(貼り付け用!O121)&gt;MATCH("おやつ",貼り付け用!$3:$3,0),"",
IF(VLOOKUP($A121,貼り付け用!$A$1:$BA$300,COLUMN(),FALSE)=0,"",VLOOKUP($A121,貼り付け用!$A$1:$BA$300,COLUMN(),FALSE))),"")</f>
        <v>#N/A</v>
      </c>
      <c r="P121" s="3" t="e">
        <f>IF($A121&lt;&gt;"",
IF(COLUMN(貼り付け用!P121)&gt;MATCH("おやつ",貼り付け用!$3:$3,0),"",
IF(VLOOKUP($A121,貼り付け用!$A$1:$BA$300,COLUMN(),FALSE)=0,"",VLOOKUP($A121,貼り付け用!$A$1:$BA$300,COLUMN(),FALSE))),"")</f>
        <v>#N/A</v>
      </c>
      <c r="Q121" s="3" t="e">
        <f>IF($A121&lt;&gt;"",
IF(COLUMN(貼り付け用!Q121)&gt;MATCH("おやつ",貼り付け用!$3:$3,0),"",
IF(VLOOKUP($A121,貼り付け用!$A$1:$BA$300,COLUMN(),FALSE)=0,"",VLOOKUP($A121,貼り付け用!$A$1:$BA$300,COLUMN(),FALSE))),"")</f>
        <v>#N/A</v>
      </c>
      <c r="R121" s="3" t="e">
        <f>IF($A121&lt;&gt;"",
IF(COLUMN(貼り付け用!R121)&gt;MATCH("おやつ",貼り付け用!$3:$3,0),"",
IF(VLOOKUP($A121,貼り付け用!$A$1:$BA$300,COLUMN(),FALSE)=0,"",VLOOKUP($A121,貼り付け用!$A$1:$BA$300,COLUMN(),FALSE))),"")</f>
        <v>#N/A</v>
      </c>
      <c r="S121" s="3" t="e">
        <f>IF($A121&lt;&gt;"",
IF(COLUMN(貼り付け用!S121)&gt;MATCH("おやつ",貼り付け用!$3:$3,0),"",
IF(VLOOKUP($A121,貼り付け用!$A$1:$BA$300,COLUMN(),FALSE)=0,"",VLOOKUP($A121,貼り付け用!$A$1:$BA$300,COLUMN(),FALSE))),"")</f>
        <v>#N/A</v>
      </c>
      <c r="T121" s="3" t="e">
        <f>IF(COLUMN(貼り付け用!T121)&gt;MATCH("おやつ",貼り付け用!$3:$3,0),"",
IF(VLOOKUP($A121,貼り付け用!$A$1:$BA$300,COLUMN(),FALSE)=0,"",VLOOKUP($A121,貼り付け用!$A$1:$BA$300,COLUMN(),FALSE)))</f>
        <v>#N/A</v>
      </c>
      <c r="U121" s="21"/>
      <c r="V121" s="55" t="e">
        <f>IF(A121&lt;&gt;"",
IF(VLOOKUP($A121,貼り付け用!$A$1:$BA$300,MATCH("おやつ",貼り付け用!$3:$3,0)+1,FALSE)=0,"",VLOOKUP($A121,貼り付け用!$A$1:$BA$300,MATCH("おやつ",貼り付け用!$3:$3,0)+1,FALSE)),"")</f>
        <v>#N/A</v>
      </c>
      <c r="W121" s="14" t="e">
        <f>IF(A121&lt;&gt;"",
IF(VLOOKUP($A121,貼り付け用!$A$1:$BA$300,MATCH("おやつ",貼り付け用!$3:$3,0)+2,FALSE)=0,"",VLOOKUP($A121,貼り付け用!$A$1:$BA$300,MATCH("おやつ",貼り付け用!$3:$3,0)+2,FALSE)),"")</f>
        <v>#N/A</v>
      </c>
    </row>
    <row r="122" spans="1:23">
      <c r="A122" s="4" t="e">
        <f>IF(貼り付け用!$A$6&lt;&gt;"",
IF(ROW(A121)+1&gt;=MATCH("*10000*", 貼り付け用!$A:$A, 0),
IF(COUNTIF(A120,"*10000*"),"10001",
IF(COUNTIF(A120,"*10001*"),"10002",
IF(COUNTIF(A120,"*10002*"),"",
IF(COUNTIF(A120,""),"","10000")))),
IF(貼り付け用!A122&lt;&gt;"",貼り付け用!A122,"")),
IF(ROW(A122)+1&gt;=MATCH("*10000*", 貼り付け用!$A:$A, 0),
IF(COUNTIF(A120,"*10000*"),"10001",
IF(COUNTIF(A120,"*10001*"),"10002",
IF(COUNTIF(A120,"*10002*"),"",
IF(COUNTIF(A120,""),"","10000")))),
IF(貼り付け用!A123&lt;&gt;"",貼り付け用!A123,"")))</f>
        <v>#N/A</v>
      </c>
      <c r="B122" s="14" t="e">
        <f>IF($A122&lt;&gt;"",IF(VLOOKUP($A122,貼り付け用!$A$1:$BA$300,COLUMN(),FALSE)=0,"",VLOOKUP($A122,貼り付け用!$A$1:$BA$300,COLUMN(),FALSE)),"")</f>
        <v>#N/A</v>
      </c>
      <c r="C122" s="14" t="e">
        <f>IF($A122&lt;&gt;"",IF(VLOOKUP($A122,貼り付け用!$A$1:$BA$300,COLUMN(),FALSE)=0,"",VLOOKUP($A122,貼り付け用!$A$1:$BA$300,COLUMN(),FALSE)),"")</f>
        <v>#N/A</v>
      </c>
      <c r="D122" s="14" t="e">
        <f>IF($A122&lt;&gt;"",IF(VLOOKUP($A122,貼り付け用!$A$1:$BA$300,COLUMN(),FALSE)=0,"",VLOOKUP($A122,貼り付け用!$A$1:$BA$300,COLUMN(),FALSE)),"")</f>
        <v>#N/A</v>
      </c>
      <c r="E122" s="14" t="e">
        <f>IF($A122&lt;&gt;"",IF(VLOOKUP($A122,貼り付け用!$A$1:$BA$300,COLUMN(),FALSE)=0,"",VLOOKUP($A122,貼り付け用!$A$1:$BA$300,COLUMN(),FALSE)),"")</f>
        <v>#N/A</v>
      </c>
      <c r="F122" s="14" t="e">
        <f>IF($A122&lt;&gt;"",IF(VLOOKUP($A122,貼り付け用!$A$1:$BA$300,COLUMN(),FALSE)=0,"",VLOOKUP($A122,貼り付け用!$A$1:$BA$300,COLUMN(),FALSE)),"")</f>
        <v>#N/A</v>
      </c>
      <c r="G122" s="14" t="e">
        <f>IF($A122&lt;&gt;"",IF(VLOOKUP($A122,貼り付け用!$A$1:$BA$300,COLUMN(),FALSE)=0,"",VLOOKUP($A122,貼り付け用!$A$1:$BA$300,COLUMN(),FALSE)),"")</f>
        <v>#N/A</v>
      </c>
      <c r="H122" s="14" t="e">
        <f>IF($A122&lt;&gt;"",IF(VLOOKUP($A122,貼り付け用!$A$1:$BA$300,COLUMN(),FALSE)=0,"",VLOOKUP($A122,貼り付け用!$A$1:$BA$300,COLUMN(),FALSE)),"")</f>
        <v>#N/A</v>
      </c>
      <c r="I122" s="14" t="e">
        <f>IF($A122&lt;&gt;"",IF(VLOOKUP($A122,貼り付け用!$A$1:$BA$300,COLUMN(),FALSE)=0,"",VLOOKUP($A122,貼り付け用!$A$1:$BA$300,COLUMN(),FALSE)),"")</f>
        <v>#N/A</v>
      </c>
      <c r="J122" s="14" t="e">
        <f>IF($A122&lt;&gt;"",IF(VLOOKUP($A122,貼り付け用!$A$1:$BA$300,COLUMN(),FALSE)=0,"",VLOOKUP($A122,貼り付け用!$A$1:$BA$300,COLUMN(),FALSE)),"")</f>
        <v>#N/A</v>
      </c>
      <c r="K122" s="14" t="e">
        <f>IF($A122&lt;&gt;"",IF(VLOOKUP($A122,貼り付け用!$A$1:$BA$300,COLUMN(),FALSE)=0,"",VLOOKUP($A122,貼り付け用!$A$1:$BA$300,COLUMN(),FALSE)),"")</f>
        <v>#N/A</v>
      </c>
      <c r="L122" s="14" t="e">
        <f>IF($A122&lt;&gt;"",
IF(COLUMN(貼り付け用!L122)&gt;MATCH("おやつ",貼り付け用!$3:$3,0),"",
IF(VLOOKUP($A122,貼り付け用!$A$1:$BA$300,COLUMN(),FALSE)=0,"",VLOOKUP($A122,貼り付け用!$A$1:$BA$300,COLUMN(),FALSE))),"")</f>
        <v>#N/A</v>
      </c>
      <c r="M122" s="14" t="e">
        <f>IF($A122&lt;&gt;"",
IF(COLUMN(貼り付け用!M122)&gt;MATCH("おやつ",貼り付け用!$3:$3,0),"",
IF(VLOOKUP($A122,貼り付け用!$A$1:$BA$300,COLUMN(),FALSE)=0,"",VLOOKUP($A122,貼り付け用!$A$1:$BA$300,COLUMN(),FALSE))),"")</f>
        <v>#N/A</v>
      </c>
      <c r="N122" s="14" t="e">
        <f>IF($A122&lt;&gt;"",
IF(COLUMN(貼り付け用!N122)&gt;MATCH("おやつ",貼り付け用!$3:$3,0),"",
IF(VLOOKUP($A122,貼り付け用!$A$1:$BA$300,COLUMN(),FALSE)=0,"",VLOOKUP($A122,貼り付け用!$A$1:$BA$300,COLUMN(),FALSE))),"")</f>
        <v>#N/A</v>
      </c>
      <c r="O122" s="14" t="e">
        <f>IF($A122&lt;&gt;"",
IF(COLUMN(貼り付け用!O122)&gt;MATCH("おやつ",貼り付け用!$3:$3,0),"",
IF(VLOOKUP($A122,貼り付け用!$A$1:$BA$300,COLUMN(),FALSE)=0,"",VLOOKUP($A122,貼り付け用!$A$1:$BA$300,COLUMN(),FALSE))),"")</f>
        <v>#N/A</v>
      </c>
      <c r="P122" s="14" t="e">
        <f>IF($A122&lt;&gt;"",
IF(COLUMN(貼り付け用!P122)&gt;MATCH("おやつ",貼り付け用!$3:$3,0),"",
IF(VLOOKUP($A122,貼り付け用!$A$1:$BA$300,COLUMN(),FALSE)=0,"",VLOOKUP($A122,貼り付け用!$A$1:$BA$300,COLUMN(),FALSE))),"")</f>
        <v>#N/A</v>
      </c>
      <c r="Q122" s="14" t="e">
        <f>IF($A122&lt;&gt;"",
IF(COLUMN(貼り付け用!Q122)&gt;MATCH("おやつ",貼り付け用!$3:$3,0),"",
IF(VLOOKUP($A122,貼り付け用!$A$1:$BA$300,COLUMN(),FALSE)=0,"",VLOOKUP($A122,貼り付け用!$A$1:$BA$300,COLUMN(),FALSE))),"")</f>
        <v>#N/A</v>
      </c>
      <c r="R122" s="14" t="e">
        <f>IF($A122&lt;&gt;"",
IF(COLUMN(貼り付け用!R122)&gt;MATCH("おやつ",貼り付け用!$3:$3,0),"",
IF(VLOOKUP($A122,貼り付け用!$A$1:$BA$300,COLUMN(),FALSE)=0,"",VLOOKUP($A122,貼り付け用!$A$1:$BA$300,COLUMN(),FALSE))),"")</f>
        <v>#N/A</v>
      </c>
      <c r="S122" s="14" t="e">
        <f>IF($A122&lt;&gt;"",
IF(COLUMN(貼り付け用!S122)&gt;MATCH("おやつ",貼り付け用!$3:$3,0),"",
IF(VLOOKUP($A122,貼り付け用!$A$1:$BA$300,COLUMN(),FALSE)=0,"",VLOOKUP($A122,貼り付け用!$A$1:$BA$300,COLUMN(),FALSE))),"")</f>
        <v>#N/A</v>
      </c>
      <c r="T122" s="14" t="e">
        <f>IF(COLUMN(貼り付け用!T122)&gt;MATCH("おやつ",貼り付け用!$3:$3,0),"",
IF(VLOOKUP($A122,貼り付け用!$A$1:$BA$300,COLUMN(),FALSE)=0,"",VLOOKUP($A122,貼り付け用!$A$1:$BA$300,COLUMN(),FALSE)))</f>
        <v>#N/A</v>
      </c>
      <c r="U122" s="11"/>
      <c r="V122" s="55" t="e">
        <f>IF(A122&lt;&gt;"",
IF(VLOOKUP($A122,貼り付け用!$A$1:$BA$300,MATCH("おやつ",貼り付け用!$3:$3,0)+1,FALSE)=0,"",VLOOKUP($A122,貼り付け用!$A$1:$BA$300,MATCH("おやつ",貼り付け用!$3:$3,0)+1,FALSE)),"")</f>
        <v>#N/A</v>
      </c>
      <c r="W122" s="14" t="e">
        <f>IF(A122&lt;&gt;"",
IF(VLOOKUP($A122,貼り付け用!$A$1:$BA$300,MATCH("おやつ",貼り付け用!$3:$3,0)+2,FALSE)=0,"",VLOOKUP($A122,貼り付け用!$A$1:$BA$300,MATCH("おやつ",貼り付け用!$3:$3,0)+2,FALSE)),"")</f>
        <v>#N/A</v>
      </c>
    </row>
    <row r="123" spans="1:23">
      <c r="A123" s="8" t="e">
        <f>IF(貼り付け用!$A$6&lt;&gt;"",
IF(ROW(A122)+1&gt;=MATCH("*10000*", 貼り付け用!$A:$A, 0),"",
IF(貼り付け用!A123&lt;&gt;"",貼り付け用!A123,"")),
IF(ROW(A123)+1&gt;=MATCH("*10000*", 貼り付け用!$A:$A, 0),"",
IF(貼り付け用!A124&lt;&gt;"",貼り付け用!A124,"")))</f>
        <v>#N/A</v>
      </c>
      <c r="B123" s="3" t="e">
        <f>IF($A123&lt;&gt;"",IF(VLOOKUP($A123,貼り付け用!$A$1:$BA$300,COLUMN(),FALSE)=0,"",VLOOKUP($A123,貼り付け用!$A$1:$BA$300,COLUMN(),FALSE)),"")</f>
        <v>#N/A</v>
      </c>
      <c r="C123" s="3" t="e">
        <f>IF($A123&lt;&gt;"",IF(VLOOKUP($A123,貼り付け用!$A$1:$BA$300,COLUMN(),FALSE)=0,"",VLOOKUP($A123,貼り付け用!$A$1:$BA$300,COLUMN(),FALSE)),"")</f>
        <v>#N/A</v>
      </c>
      <c r="D123" s="3" t="e">
        <f>IF($A123&lt;&gt;"",IF(VLOOKUP($A123,貼り付け用!$A$1:$BA$300,COLUMN(),FALSE)=0,"",VLOOKUP($A123,貼り付け用!$A$1:$BA$300,COLUMN(),FALSE)),"")</f>
        <v>#N/A</v>
      </c>
      <c r="E123" s="3" t="e">
        <f>IF($A123&lt;&gt;"",IF(VLOOKUP($A123,貼り付け用!$A$1:$BA$300,COLUMN(),FALSE)=0,"",VLOOKUP($A123,貼り付け用!$A$1:$BA$300,COLUMN(),FALSE)),"")</f>
        <v>#N/A</v>
      </c>
      <c r="F123" s="3" t="e">
        <f>IF($A123&lt;&gt;"",IF(VLOOKUP($A123,貼り付け用!$A$1:$BA$300,COLUMN(),FALSE)=0,"",VLOOKUP($A123,貼り付け用!$A$1:$BA$300,COLUMN(),FALSE)),"")</f>
        <v>#N/A</v>
      </c>
      <c r="G123" s="3" t="e">
        <f>IF($A123&lt;&gt;"",IF(VLOOKUP($A123,貼り付け用!$A$1:$BA$300,COLUMN(),FALSE)=0,"",VLOOKUP($A123,貼り付け用!$A$1:$BA$300,COLUMN(),FALSE)),"")</f>
        <v>#N/A</v>
      </c>
      <c r="H123" s="3" t="e">
        <f>IF($A123&lt;&gt;"",IF(VLOOKUP($A123,貼り付け用!$A$1:$BA$300,COLUMN(),FALSE)=0,"",VLOOKUP($A123,貼り付け用!$A$1:$BA$300,COLUMN(),FALSE)),"")</f>
        <v>#N/A</v>
      </c>
      <c r="I123" s="3" t="e">
        <f>IF($A123&lt;&gt;"",IF(VLOOKUP($A123,貼り付け用!$A$1:$BA$300,COLUMN(),FALSE)=0,"",VLOOKUP($A123,貼り付け用!$A$1:$BA$300,COLUMN(),FALSE)),"")</f>
        <v>#N/A</v>
      </c>
      <c r="J123" s="3" t="e">
        <f>IF($A123&lt;&gt;"",IF(VLOOKUP($A123,貼り付け用!$A$1:$BA$300,COLUMN(),FALSE)=0,"",VLOOKUP($A123,貼り付け用!$A$1:$BA$300,COLUMN(),FALSE)),"")</f>
        <v>#N/A</v>
      </c>
      <c r="K123" s="3" t="e">
        <f>IF($A123&lt;&gt;"",IF(VLOOKUP($A123,貼り付け用!$A$1:$BA$300,COLUMN(),FALSE)=0,"",VLOOKUP($A123,貼り付け用!$A$1:$BA$300,COLUMN(),FALSE)),"")</f>
        <v>#N/A</v>
      </c>
      <c r="L123" s="3" t="e">
        <f>IF($A123&lt;&gt;"",
IF(COLUMN(貼り付け用!L123)&gt;MATCH("おやつ",貼り付け用!$3:$3,0),"",
IF(VLOOKUP($A123,貼り付け用!$A$1:$BA$300,COLUMN(),FALSE)=0,"",VLOOKUP($A123,貼り付け用!$A$1:$BA$300,COLUMN(),FALSE))),"")</f>
        <v>#N/A</v>
      </c>
      <c r="M123" s="3" t="e">
        <f>IF($A123&lt;&gt;"",
IF(COLUMN(貼り付け用!M123)&gt;MATCH("おやつ",貼り付け用!$3:$3,0),"",
IF(VLOOKUP($A123,貼り付け用!$A$1:$BA$300,COLUMN(),FALSE)=0,"",VLOOKUP($A123,貼り付け用!$A$1:$BA$300,COLUMN(),FALSE))),"")</f>
        <v>#N/A</v>
      </c>
      <c r="N123" s="3" t="e">
        <f>IF($A123&lt;&gt;"",
IF(COLUMN(貼り付け用!N123)&gt;MATCH("おやつ",貼り付け用!$3:$3,0),"",
IF(VLOOKUP($A123,貼り付け用!$A$1:$BA$300,COLUMN(),FALSE)=0,"",VLOOKUP($A123,貼り付け用!$A$1:$BA$300,COLUMN(),FALSE))),"")</f>
        <v>#N/A</v>
      </c>
      <c r="O123" s="3" t="e">
        <f>IF($A123&lt;&gt;"",
IF(COLUMN(貼り付け用!O123)&gt;MATCH("おやつ",貼り付け用!$3:$3,0),"",
IF(VLOOKUP($A123,貼り付け用!$A$1:$BA$300,COLUMN(),FALSE)=0,"",VLOOKUP($A123,貼り付け用!$A$1:$BA$300,COLUMN(),FALSE))),"")</f>
        <v>#N/A</v>
      </c>
      <c r="P123" s="3" t="e">
        <f>IF($A123&lt;&gt;"",
IF(COLUMN(貼り付け用!P123)&gt;MATCH("おやつ",貼り付け用!$3:$3,0),"",
IF(VLOOKUP($A123,貼り付け用!$A$1:$BA$300,COLUMN(),FALSE)=0,"",VLOOKUP($A123,貼り付け用!$A$1:$BA$300,COLUMN(),FALSE))),"")</f>
        <v>#N/A</v>
      </c>
      <c r="Q123" s="3" t="e">
        <f>IF($A123&lt;&gt;"",
IF(COLUMN(貼り付け用!Q123)&gt;MATCH("おやつ",貼り付け用!$3:$3,0),"",
IF(VLOOKUP($A123,貼り付け用!$A$1:$BA$300,COLUMN(),FALSE)=0,"",VLOOKUP($A123,貼り付け用!$A$1:$BA$300,COLUMN(),FALSE))),"")</f>
        <v>#N/A</v>
      </c>
      <c r="R123" s="3" t="e">
        <f>IF($A123&lt;&gt;"",
IF(COLUMN(貼り付け用!R123)&gt;MATCH("おやつ",貼り付け用!$3:$3,0),"",
IF(VLOOKUP($A123,貼り付け用!$A$1:$BA$300,COLUMN(),FALSE)=0,"",VLOOKUP($A123,貼り付け用!$A$1:$BA$300,COLUMN(),FALSE))),"")</f>
        <v>#N/A</v>
      </c>
      <c r="S123" s="3" t="e">
        <f>IF($A123&lt;&gt;"",
IF(COLUMN(貼り付け用!S123)&gt;MATCH("おやつ",貼り付け用!$3:$3,0),"",
IF(VLOOKUP($A123,貼り付け用!$A$1:$BA$300,COLUMN(),FALSE)=0,"",VLOOKUP($A123,貼り付け用!$A$1:$BA$300,COLUMN(),FALSE))),"")</f>
        <v>#N/A</v>
      </c>
      <c r="T123" s="3" t="e">
        <f>IF(COLUMN(貼り付け用!T123)&gt;MATCH("おやつ",貼り付け用!$3:$3,0),"",
IF(VLOOKUP($A123,貼り付け用!$A$1:$BA$300,COLUMN(),FALSE)=0,"",VLOOKUP($A123,貼り付け用!$A$1:$BA$300,COLUMN(),FALSE)))</f>
        <v>#N/A</v>
      </c>
      <c r="U123" s="21"/>
      <c r="V123" s="55" t="e">
        <f>IF(A123&lt;&gt;"",
IF(VLOOKUP($A123,貼り付け用!$A$1:$BA$300,MATCH("おやつ",貼り付け用!$3:$3,0)+1,FALSE)=0,"",VLOOKUP($A123,貼り付け用!$A$1:$BA$300,MATCH("おやつ",貼り付け用!$3:$3,0)+1,FALSE)),"")</f>
        <v>#N/A</v>
      </c>
      <c r="W123" s="14" t="e">
        <f>IF(A123&lt;&gt;"",
IF(VLOOKUP($A123,貼り付け用!$A$1:$BA$300,MATCH("おやつ",貼り付け用!$3:$3,0)+2,FALSE)=0,"",VLOOKUP($A123,貼り付け用!$A$1:$BA$300,MATCH("おやつ",貼り付け用!$3:$3,0)+2,FALSE)),"")</f>
        <v>#N/A</v>
      </c>
    </row>
    <row r="124" spans="1:23">
      <c r="A124" s="4" t="e">
        <f>IF(貼り付け用!$A$6&lt;&gt;"",
IF(ROW(A123)+1&gt;=MATCH("*10000*", 貼り付け用!$A:$A, 0),
IF(COUNTIF(A122,"*10000*"),"10001",
IF(COUNTIF(A122,"*10001*"),"10002",
IF(COUNTIF(A122,"*10002*"),"",
IF(COUNTIF(A122,""),"","10000")))),
IF(貼り付け用!A124&lt;&gt;"",貼り付け用!A124,"")),
IF(ROW(A124)+1&gt;=MATCH("*10000*", 貼り付け用!$A:$A, 0),
IF(COUNTIF(A122,"*10000*"),"10001",
IF(COUNTIF(A122,"*10001*"),"10002",
IF(COUNTIF(A122,"*10002*"),"",
IF(COUNTIF(A122,""),"","10000")))),
IF(貼り付け用!A125&lt;&gt;"",貼り付け用!A125,"")))</f>
        <v>#N/A</v>
      </c>
      <c r="B124" s="14" t="e">
        <f>IF($A124&lt;&gt;"",IF(VLOOKUP($A124,貼り付け用!$A$1:$BA$300,COLUMN(),FALSE)=0,"",VLOOKUP($A124,貼り付け用!$A$1:$BA$300,COLUMN(),FALSE)),"")</f>
        <v>#N/A</v>
      </c>
      <c r="C124" s="14" t="e">
        <f>IF($A124&lt;&gt;"",IF(VLOOKUP($A124,貼り付け用!$A$1:$BA$300,COLUMN(),FALSE)=0,"",VLOOKUP($A124,貼り付け用!$A$1:$BA$300,COLUMN(),FALSE)),"")</f>
        <v>#N/A</v>
      </c>
      <c r="D124" s="14" t="e">
        <f>IF($A124&lt;&gt;"",IF(VLOOKUP($A124,貼り付け用!$A$1:$BA$300,COLUMN(),FALSE)=0,"",VLOOKUP($A124,貼り付け用!$A$1:$BA$300,COLUMN(),FALSE)),"")</f>
        <v>#N/A</v>
      </c>
      <c r="E124" s="14" t="e">
        <f>IF($A124&lt;&gt;"",IF(VLOOKUP($A124,貼り付け用!$A$1:$BA$300,COLUMN(),FALSE)=0,"",VLOOKUP($A124,貼り付け用!$A$1:$BA$300,COLUMN(),FALSE)),"")</f>
        <v>#N/A</v>
      </c>
      <c r="F124" s="14" t="e">
        <f>IF($A124&lt;&gt;"",IF(VLOOKUP($A124,貼り付け用!$A$1:$BA$300,COLUMN(),FALSE)=0,"",VLOOKUP($A124,貼り付け用!$A$1:$BA$300,COLUMN(),FALSE)),"")</f>
        <v>#N/A</v>
      </c>
      <c r="G124" s="14" t="e">
        <f>IF($A124&lt;&gt;"",IF(VLOOKUP($A124,貼り付け用!$A$1:$BA$300,COLUMN(),FALSE)=0,"",VLOOKUP($A124,貼り付け用!$A$1:$BA$300,COLUMN(),FALSE)),"")</f>
        <v>#N/A</v>
      </c>
      <c r="H124" s="14" t="e">
        <f>IF($A124&lt;&gt;"",IF(VLOOKUP($A124,貼り付け用!$A$1:$BA$300,COLUMN(),FALSE)=0,"",VLOOKUP($A124,貼り付け用!$A$1:$BA$300,COLUMN(),FALSE)),"")</f>
        <v>#N/A</v>
      </c>
      <c r="I124" s="14" t="e">
        <f>IF($A124&lt;&gt;"",IF(VLOOKUP($A124,貼り付け用!$A$1:$BA$300,COLUMN(),FALSE)=0,"",VLOOKUP($A124,貼り付け用!$A$1:$BA$300,COLUMN(),FALSE)),"")</f>
        <v>#N/A</v>
      </c>
      <c r="J124" s="14" t="e">
        <f>IF($A124&lt;&gt;"",IF(VLOOKUP($A124,貼り付け用!$A$1:$BA$300,COLUMN(),FALSE)=0,"",VLOOKUP($A124,貼り付け用!$A$1:$BA$300,COLUMN(),FALSE)),"")</f>
        <v>#N/A</v>
      </c>
      <c r="K124" s="14" t="e">
        <f>IF($A124&lt;&gt;"",IF(VLOOKUP($A124,貼り付け用!$A$1:$BA$300,COLUMN(),FALSE)=0,"",VLOOKUP($A124,貼り付け用!$A$1:$BA$300,COLUMN(),FALSE)),"")</f>
        <v>#N/A</v>
      </c>
      <c r="L124" s="14" t="e">
        <f>IF($A124&lt;&gt;"",
IF(COLUMN(貼り付け用!L124)&gt;MATCH("おやつ",貼り付け用!$3:$3,0),"",
IF(VLOOKUP($A124,貼り付け用!$A$1:$BA$300,COLUMN(),FALSE)=0,"",VLOOKUP($A124,貼り付け用!$A$1:$BA$300,COLUMN(),FALSE))),"")</f>
        <v>#N/A</v>
      </c>
      <c r="M124" s="14" t="e">
        <f>IF($A124&lt;&gt;"",
IF(COLUMN(貼り付け用!M124)&gt;MATCH("おやつ",貼り付け用!$3:$3,0),"",
IF(VLOOKUP($A124,貼り付け用!$A$1:$BA$300,COLUMN(),FALSE)=0,"",VLOOKUP($A124,貼り付け用!$A$1:$BA$300,COLUMN(),FALSE))),"")</f>
        <v>#N/A</v>
      </c>
      <c r="N124" s="14" t="e">
        <f>IF($A124&lt;&gt;"",
IF(COLUMN(貼り付け用!N124)&gt;MATCH("おやつ",貼り付け用!$3:$3,0),"",
IF(VLOOKUP($A124,貼り付け用!$A$1:$BA$300,COLUMN(),FALSE)=0,"",VLOOKUP($A124,貼り付け用!$A$1:$BA$300,COLUMN(),FALSE))),"")</f>
        <v>#N/A</v>
      </c>
      <c r="O124" s="14" t="e">
        <f>IF($A124&lt;&gt;"",
IF(COLUMN(貼り付け用!O124)&gt;MATCH("おやつ",貼り付け用!$3:$3,0),"",
IF(VLOOKUP($A124,貼り付け用!$A$1:$BA$300,COLUMN(),FALSE)=0,"",VLOOKUP($A124,貼り付け用!$A$1:$BA$300,COLUMN(),FALSE))),"")</f>
        <v>#N/A</v>
      </c>
      <c r="P124" s="14" t="e">
        <f>IF($A124&lt;&gt;"",
IF(COLUMN(貼り付け用!P124)&gt;MATCH("おやつ",貼り付け用!$3:$3,0),"",
IF(VLOOKUP($A124,貼り付け用!$A$1:$BA$300,COLUMN(),FALSE)=0,"",VLOOKUP($A124,貼り付け用!$A$1:$BA$300,COLUMN(),FALSE))),"")</f>
        <v>#N/A</v>
      </c>
      <c r="Q124" s="14" t="e">
        <f>IF($A124&lt;&gt;"",
IF(COLUMN(貼り付け用!Q124)&gt;MATCH("おやつ",貼り付け用!$3:$3,0),"",
IF(VLOOKUP($A124,貼り付け用!$A$1:$BA$300,COLUMN(),FALSE)=0,"",VLOOKUP($A124,貼り付け用!$A$1:$BA$300,COLUMN(),FALSE))),"")</f>
        <v>#N/A</v>
      </c>
      <c r="R124" s="14" t="e">
        <f>IF($A124&lt;&gt;"",
IF(COLUMN(貼り付け用!R124)&gt;MATCH("おやつ",貼り付け用!$3:$3,0),"",
IF(VLOOKUP($A124,貼り付け用!$A$1:$BA$300,COLUMN(),FALSE)=0,"",VLOOKUP($A124,貼り付け用!$A$1:$BA$300,COLUMN(),FALSE))),"")</f>
        <v>#N/A</v>
      </c>
      <c r="S124" s="14" t="e">
        <f>IF($A124&lt;&gt;"",
IF(COLUMN(貼り付け用!S124)&gt;MATCH("おやつ",貼り付け用!$3:$3,0),"",
IF(VLOOKUP($A124,貼り付け用!$A$1:$BA$300,COLUMN(),FALSE)=0,"",VLOOKUP($A124,貼り付け用!$A$1:$BA$300,COLUMN(),FALSE))),"")</f>
        <v>#N/A</v>
      </c>
      <c r="T124" s="14" t="e">
        <f>IF(COLUMN(貼り付け用!T124)&gt;MATCH("おやつ",貼り付け用!$3:$3,0),"",
IF(VLOOKUP($A124,貼り付け用!$A$1:$BA$300,COLUMN(),FALSE)=0,"",VLOOKUP($A124,貼り付け用!$A$1:$BA$300,COLUMN(),FALSE)))</f>
        <v>#N/A</v>
      </c>
      <c r="U124" s="11"/>
      <c r="V124" s="55" t="e">
        <f>IF(A124&lt;&gt;"",
IF(VLOOKUP($A124,貼り付け用!$A$1:$BA$300,MATCH("おやつ",貼り付け用!$3:$3,0)+1,FALSE)=0,"",VLOOKUP($A124,貼り付け用!$A$1:$BA$300,MATCH("おやつ",貼り付け用!$3:$3,0)+1,FALSE)),"")</f>
        <v>#N/A</v>
      </c>
      <c r="W124" s="14" t="e">
        <f>IF(A124&lt;&gt;"",
IF(VLOOKUP($A124,貼り付け用!$A$1:$BA$300,MATCH("おやつ",貼り付け用!$3:$3,0)+2,FALSE)=0,"",VLOOKUP($A124,貼り付け用!$A$1:$BA$300,MATCH("おやつ",貼り付け用!$3:$3,0)+2,FALSE)),"")</f>
        <v>#N/A</v>
      </c>
    </row>
    <row r="125" spans="1:23">
      <c r="A125" s="8" t="e">
        <f>IF(貼り付け用!$A$6&lt;&gt;"",
IF(ROW(A124)+1&gt;=MATCH("*10000*", 貼り付け用!$A:$A, 0),"",
IF(貼り付け用!A125&lt;&gt;"",貼り付け用!A125,"")),
IF(ROW(A125)+1&gt;=MATCH("*10000*", 貼り付け用!$A:$A, 0),"",
IF(貼り付け用!A126&lt;&gt;"",貼り付け用!A126,"")))</f>
        <v>#N/A</v>
      </c>
      <c r="B125" s="3" t="e">
        <f>IF($A125&lt;&gt;"",IF(VLOOKUP($A125,貼り付け用!$A$1:$BA$300,COLUMN(),FALSE)=0,"",VLOOKUP($A125,貼り付け用!$A$1:$BA$300,COLUMN(),FALSE)),"")</f>
        <v>#N/A</v>
      </c>
      <c r="C125" s="3" t="e">
        <f>IF($A125&lt;&gt;"",IF(VLOOKUP($A125,貼り付け用!$A$1:$BA$300,COLUMN(),FALSE)=0,"",VLOOKUP($A125,貼り付け用!$A$1:$BA$300,COLUMN(),FALSE)),"")</f>
        <v>#N/A</v>
      </c>
      <c r="D125" s="3" t="e">
        <f>IF($A125&lt;&gt;"",IF(VLOOKUP($A125,貼り付け用!$A$1:$BA$300,COLUMN(),FALSE)=0,"",VLOOKUP($A125,貼り付け用!$A$1:$BA$300,COLUMN(),FALSE)),"")</f>
        <v>#N/A</v>
      </c>
      <c r="E125" s="3" t="e">
        <f>IF($A125&lt;&gt;"",IF(VLOOKUP($A125,貼り付け用!$A$1:$BA$300,COLUMN(),FALSE)=0,"",VLOOKUP($A125,貼り付け用!$A$1:$BA$300,COLUMN(),FALSE)),"")</f>
        <v>#N/A</v>
      </c>
      <c r="F125" s="3" t="e">
        <f>IF($A125&lt;&gt;"",IF(VLOOKUP($A125,貼り付け用!$A$1:$BA$300,COLUMN(),FALSE)=0,"",VLOOKUP($A125,貼り付け用!$A$1:$BA$300,COLUMN(),FALSE)),"")</f>
        <v>#N/A</v>
      </c>
      <c r="G125" s="3" t="e">
        <f>IF($A125&lt;&gt;"",IF(VLOOKUP($A125,貼り付け用!$A$1:$BA$300,COLUMN(),FALSE)=0,"",VLOOKUP($A125,貼り付け用!$A$1:$BA$300,COLUMN(),FALSE)),"")</f>
        <v>#N/A</v>
      </c>
      <c r="H125" s="3" t="e">
        <f>IF($A125&lt;&gt;"",IF(VLOOKUP($A125,貼り付け用!$A$1:$BA$300,COLUMN(),FALSE)=0,"",VLOOKUP($A125,貼り付け用!$A$1:$BA$300,COLUMN(),FALSE)),"")</f>
        <v>#N/A</v>
      </c>
      <c r="I125" s="3" t="e">
        <f>IF($A125&lt;&gt;"",IF(VLOOKUP($A125,貼り付け用!$A$1:$BA$300,COLUMN(),FALSE)=0,"",VLOOKUP($A125,貼り付け用!$A$1:$BA$300,COLUMN(),FALSE)),"")</f>
        <v>#N/A</v>
      </c>
      <c r="J125" s="3" t="e">
        <f>IF($A125&lt;&gt;"",IF(VLOOKUP($A125,貼り付け用!$A$1:$BA$300,COLUMN(),FALSE)=0,"",VLOOKUP($A125,貼り付け用!$A$1:$BA$300,COLUMN(),FALSE)),"")</f>
        <v>#N/A</v>
      </c>
      <c r="K125" s="3" t="e">
        <f>IF($A125&lt;&gt;"",IF(VLOOKUP($A125,貼り付け用!$A$1:$BA$300,COLUMN(),FALSE)=0,"",VLOOKUP($A125,貼り付け用!$A$1:$BA$300,COLUMN(),FALSE)),"")</f>
        <v>#N/A</v>
      </c>
      <c r="L125" s="3" t="e">
        <f>IF($A125&lt;&gt;"",
IF(COLUMN(貼り付け用!L125)&gt;MATCH("おやつ",貼り付け用!$3:$3,0),"",
IF(VLOOKUP($A125,貼り付け用!$A$1:$BA$300,COLUMN(),FALSE)=0,"",VLOOKUP($A125,貼り付け用!$A$1:$BA$300,COLUMN(),FALSE))),"")</f>
        <v>#N/A</v>
      </c>
      <c r="M125" s="3" t="e">
        <f>IF($A125&lt;&gt;"",
IF(COLUMN(貼り付け用!M125)&gt;MATCH("おやつ",貼り付け用!$3:$3,0),"",
IF(VLOOKUP($A125,貼り付け用!$A$1:$BA$300,COLUMN(),FALSE)=0,"",VLOOKUP($A125,貼り付け用!$A$1:$BA$300,COLUMN(),FALSE))),"")</f>
        <v>#N/A</v>
      </c>
      <c r="N125" s="3" t="e">
        <f>IF($A125&lt;&gt;"",
IF(COLUMN(貼り付け用!N125)&gt;MATCH("おやつ",貼り付け用!$3:$3,0),"",
IF(VLOOKUP($A125,貼り付け用!$A$1:$BA$300,COLUMN(),FALSE)=0,"",VLOOKUP($A125,貼り付け用!$A$1:$BA$300,COLUMN(),FALSE))),"")</f>
        <v>#N/A</v>
      </c>
      <c r="O125" s="3" t="e">
        <f>IF($A125&lt;&gt;"",
IF(COLUMN(貼り付け用!O125)&gt;MATCH("おやつ",貼り付け用!$3:$3,0),"",
IF(VLOOKUP($A125,貼り付け用!$A$1:$BA$300,COLUMN(),FALSE)=0,"",VLOOKUP($A125,貼り付け用!$A$1:$BA$300,COLUMN(),FALSE))),"")</f>
        <v>#N/A</v>
      </c>
      <c r="P125" s="3" t="e">
        <f>IF($A125&lt;&gt;"",
IF(COLUMN(貼り付け用!P125)&gt;MATCH("おやつ",貼り付け用!$3:$3,0),"",
IF(VLOOKUP($A125,貼り付け用!$A$1:$BA$300,COLUMN(),FALSE)=0,"",VLOOKUP($A125,貼り付け用!$A$1:$BA$300,COLUMN(),FALSE))),"")</f>
        <v>#N/A</v>
      </c>
      <c r="Q125" s="3" t="e">
        <f>IF($A125&lt;&gt;"",
IF(COLUMN(貼り付け用!Q125)&gt;MATCH("おやつ",貼り付け用!$3:$3,0),"",
IF(VLOOKUP($A125,貼り付け用!$A$1:$BA$300,COLUMN(),FALSE)=0,"",VLOOKUP($A125,貼り付け用!$A$1:$BA$300,COLUMN(),FALSE))),"")</f>
        <v>#N/A</v>
      </c>
      <c r="R125" s="3" t="e">
        <f>IF($A125&lt;&gt;"",
IF(COLUMN(貼り付け用!R125)&gt;MATCH("おやつ",貼り付け用!$3:$3,0),"",
IF(VLOOKUP($A125,貼り付け用!$A$1:$BA$300,COLUMN(),FALSE)=0,"",VLOOKUP($A125,貼り付け用!$A$1:$BA$300,COLUMN(),FALSE))),"")</f>
        <v>#N/A</v>
      </c>
      <c r="S125" s="3" t="e">
        <f>IF($A125&lt;&gt;"",
IF(COLUMN(貼り付け用!S125)&gt;MATCH("おやつ",貼り付け用!$3:$3,0),"",
IF(VLOOKUP($A125,貼り付け用!$A$1:$BA$300,COLUMN(),FALSE)=0,"",VLOOKUP($A125,貼り付け用!$A$1:$BA$300,COLUMN(),FALSE))),"")</f>
        <v>#N/A</v>
      </c>
      <c r="T125" s="3" t="e">
        <f>IF(COLUMN(貼り付け用!T125)&gt;MATCH("おやつ",貼り付け用!$3:$3,0),"",
IF(VLOOKUP($A125,貼り付け用!$A$1:$BA$300,COLUMN(),FALSE)=0,"",VLOOKUP($A125,貼り付け用!$A$1:$BA$300,COLUMN(),FALSE)))</f>
        <v>#N/A</v>
      </c>
      <c r="U125" s="21"/>
      <c r="V125" s="55" t="e">
        <f>IF(A125&lt;&gt;"",
IF(VLOOKUP($A125,貼り付け用!$A$1:$BA$300,MATCH("おやつ",貼り付け用!$3:$3,0)+1,FALSE)=0,"",VLOOKUP($A125,貼り付け用!$A$1:$BA$300,MATCH("おやつ",貼り付け用!$3:$3,0)+1,FALSE)),"")</f>
        <v>#N/A</v>
      </c>
      <c r="W125" s="14" t="e">
        <f>IF(A125&lt;&gt;"",
IF(VLOOKUP($A125,貼り付け用!$A$1:$BA$300,MATCH("おやつ",貼り付け用!$3:$3,0)+2,FALSE)=0,"",VLOOKUP($A125,貼り付け用!$A$1:$BA$300,MATCH("おやつ",貼り付け用!$3:$3,0)+2,FALSE)),"")</f>
        <v>#N/A</v>
      </c>
    </row>
    <row r="126" spans="1:23">
      <c r="A126" s="4" t="e">
        <f>IF(貼り付け用!$A$6&lt;&gt;"",
IF(ROW(A125)+1&gt;=MATCH("*10000*", 貼り付け用!$A:$A, 0),
IF(COUNTIF(A124,"*10000*"),"10001",
IF(COUNTIF(A124,"*10001*"),"10002",
IF(COUNTIF(A124,"*10002*"),"",
IF(COUNTIF(A124,""),"","10000")))),
IF(貼り付け用!A126&lt;&gt;"",貼り付け用!A126,"")),
IF(ROW(A126)+1&gt;=MATCH("*10000*", 貼り付け用!$A:$A, 0),
IF(COUNTIF(A124,"*10000*"),"10001",
IF(COUNTIF(A124,"*10001*"),"10002",
IF(COUNTIF(A124,"*10002*"),"",
IF(COUNTIF(A124,""),"","10000")))),
IF(貼り付け用!A127&lt;&gt;"",貼り付け用!A127,"")))</f>
        <v>#N/A</v>
      </c>
      <c r="B126" s="14" t="e">
        <f>IF($A126&lt;&gt;"",IF(VLOOKUP($A126,貼り付け用!$A$1:$BA$300,COLUMN(),FALSE)=0,"",VLOOKUP($A126,貼り付け用!$A$1:$BA$300,COLUMN(),FALSE)),"")</f>
        <v>#N/A</v>
      </c>
      <c r="C126" s="14" t="e">
        <f>IF($A126&lt;&gt;"",IF(VLOOKUP($A126,貼り付け用!$A$1:$BA$300,COLUMN(),FALSE)=0,"",VLOOKUP($A126,貼り付け用!$A$1:$BA$300,COLUMN(),FALSE)),"")</f>
        <v>#N/A</v>
      </c>
      <c r="D126" s="14" t="e">
        <f>IF($A126&lt;&gt;"",IF(VLOOKUP($A126,貼り付け用!$A$1:$BA$300,COLUMN(),FALSE)=0,"",VLOOKUP($A126,貼り付け用!$A$1:$BA$300,COLUMN(),FALSE)),"")</f>
        <v>#N/A</v>
      </c>
      <c r="E126" s="14" t="e">
        <f>IF($A126&lt;&gt;"",IF(VLOOKUP($A126,貼り付け用!$A$1:$BA$300,COLUMN(),FALSE)=0,"",VLOOKUP($A126,貼り付け用!$A$1:$BA$300,COLUMN(),FALSE)),"")</f>
        <v>#N/A</v>
      </c>
      <c r="F126" s="14" t="e">
        <f>IF($A126&lt;&gt;"",IF(VLOOKUP($A126,貼り付け用!$A$1:$BA$300,COLUMN(),FALSE)=0,"",VLOOKUP($A126,貼り付け用!$A$1:$BA$300,COLUMN(),FALSE)),"")</f>
        <v>#N/A</v>
      </c>
      <c r="G126" s="14" t="e">
        <f>IF($A126&lt;&gt;"",IF(VLOOKUP($A126,貼り付け用!$A$1:$BA$300,COLUMN(),FALSE)=0,"",VLOOKUP($A126,貼り付け用!$A$1:$BA$300,COLUMN(),FALSE)),"")</f>
        <v>#N/A</v>
      </c>
      <c r="H126" s="14" t="e">
        <f>IF($A126&lt;&gt;"",IF(VLOOKUP($A126,貼り付け用!$A$1:$BA$300,COLUMN(),FALSE)=0,"",VLOOKUP($A126,貼り付け用!$A$1:$BA$300,COLUMN(),FALSE)),"")</f>
        <v>#N/A</v>
      </c>
      <c r="I126" s="14" t="e">
        <f>IF($A126&lt;&gt;"",IF(VLOOKUP($A126,貼り付け用!$A$1:$BA$300,COLUMN(),FALSE)=0,"",VLOOKUP($A126,貼り付け用!$A$1:$BA$300,COLUMN(),FALSE)),"")</f>
        <v>#N/A</v>
      </c>
      <c r="J126" s="14" t="e">
        <f>IF($A126&lt;&gt;"",IF(VLOOKUP($A126,貼り付け用!$A$1:$BA$300,COLUMN(),FALSE)=0,"",VLOOKUP($A126,貼り付け用!$A$1:$BA$300,COLUMN(),FALSE)),"")</f>
        <v>#N/A</v>
      </c>
      <c r="K126" s="14" t="e">
        <f>IF($A126&lt;&gt;"",IF(VLOOKUP($A126,貼り付け用!$A$1:$BA$300,COLUMN(),FALSE)=0,"",VLOOKUP($A126,貼り付け用!$A$1:$BA$300,COLUMN(),FALSE)),"")</f>
        <v>#N/A</v>
      </c>
      <c r="L126" s="14" t="e">
        <f>IF($A126&lt;&gt;"",
IF(COLUMN(貼り付け用!L126)&gt;MATCH("おやつ",貼り付け用!$3:$3,0),"",
IF(VLOOKUP($A126,貼り付け用!$A$1:$BA$300,COLUMN(),FALSE)=0,"",VLOOKUP($A126,貼り付け用!$A$1:$BA$300,COLUMN(),FALSE))),"")</f>
        <v>#N/A</v>
      </c>
      <c r="M126" s="14" t="e">
        <f>IF($A126&lt;&gt;"",
IF(COLUMN(貼り付け用!M126)&gt;MATCH("おやつ",貼り付け用!$3:$3,0),"",
IF(VLOOKUP($A126,貼り付け用!$A$1:$BA$300,COLUMN(),FALSE)=0,"",VLOOKUP($A126,貼り付け用!$A$1:$BA$300,COLUMN(),FALSE))),"")</f>
        <v>#N/A</v>
      </c>
      <c r="N126" s="14" t="e">
        <f>IF($A126&lt;&gt;"",
IF(COLUMN(貼り付け用!N126)&gt;MATCH("おやつ",貼り付け用!$3:$3,0),"",
IF(VLOOKUP($A126,貼り付け用!$A$1:$BA$300,COLUMN(),FALSE)=0,"",VLOOKUP($A126,貼り付け用!$A$1:$BA$300,COLUMN(),FALSE))),"")</f>
        <v>#N/A</v>
      </c>
      <c r="O126" s="14" t="e">
        <f>IF($A126&lt;&gt;"",
IF(COLUMN(貼り付け用!O126)&gt;MATCH("おやつ",貼り付け用!$3:$3,0),"",
IF(VLOOKUP($A126,貼り付け用!$A$1:$BA$300,COLUMN(),FALSE)=0,"",VLOOKUP($A126,貼り付け用!$A$1:$BA$300,COLUMN(),FALSE))),"")</f>
        <v>#N/A</v>
      </c>
      <c r="P126" s="14" t="e">
        <f>IF($A126&lt;&gt;"",
IF(COLUMN(貼り付け用!P126)&gt;MATCH("おやつ",貼り付け用!$3:$3,0),"",
IF(VLOOKUP($A126,貼り付け用!$A$1:$BA$300,COLUMN(),FALSE)=0,"",VLOOKUP($A126,貼り付け用!$A$1:$BA$300,COLUMN(),FALSE))),"")</f>
        <v>#N/A</v>
      </c>
      <c r="Q126" s="14" t="e">
        <f>IF($A126&lt;&gt;"",
IF(COLUMN(貼り付け用!Q126)&gt;MATCH("おやつ",貼り付け用!$3:$3,0),"",
IF(VLOOKUP($A126,貼り付け用!$A$1:$BA$300,COLUMN(),FALSE)=0,"",VLOOKUP($A126,貼り付け用!$A$1:$BA$300,COLUMN(),FALSE))),"")</f>
        <v>#N/A</v>
      </c>
      <c r="R126" s="14" t="e">
        <f>IF($A126&lt;&gt;"",
IF(COLUMN(貼り付け用!R126)&gt;MATCH("おやつ",貼り付け用!$3:$3,0),"",
IF(VLOOKUP($A126,貼り付け用!$A$1:$BA$300,COLUMN(),FALSE)=0,"",VLOOKUP($A126,貼り付け用!$A$1:$BA$300,COLUMN(),FALSE))),"")</f>
        <v>#N/A</v>
      </c>
      <c r="S126" s="14" t="e">
        <f>IF($A126&lt;&gt;"",
IF(COLUMN(貼り付け用!S126)&gt;MATCH("おやつ",貼り付け用!$3:$3,0),"",
IF(VLOOKUP($A126,貼り付け用!$A$1:$BA$300,COLUMN(),FALSE)=0,"",VLOOKUP($A126,貼り付け用!$A$1:$BA$300,COLUMN(),FALSE))),"")</f>
        <v>#N/A</v>
      </c>
      <c r="T126" s="14" t="e">
        <f>IF(COLUMN(貼り付け用!T126)&gt;MATCH("おやつ",貼り付け用!$3:$3,0),"",
IF(VLOOKUP($A126,貼り付け用!$A$1:$BA$300,COLUMN(),FALSE)=0,"",VLOOKUP($A126,貼り付け用!$A$1:$BA$300,COLUMN(),FALSE)))</f>
        <v>#N/A</v>
      </c>
      <c r="U126" s="11"/>
      <c r="V126" s="55" t="e">
        <f>IF(A126&lt;&gt;"",
IF(VLOOKUP($A126,貼り付け用!$A$1:$BA$300,MATCH("おやつ",貼り付け用!$3:$3,0)+1,FALSE)=0,"",VLOOKUP($A126,貼り付け用!$A$1:$BA$300,MATCH("おやつ",貼り付け用!$3:$3,0)+1,FALSE)),"")</f>
        <v>#N/A</v>
      </c>
      <c r="W126" s="14" t="e">
        <f>IF(A126&lt;&gt;"",
IF(VLOOKUP($A126,貼り付け用!$A$1:$BA$300,MATCH("おやつ",貼り付け用!$3:$3,0)+2,FALSE)=0,"",VLOOKUP($A126,貼り付け用!$A$1:$BA$300,MATCH("おやつ",貼り付け用!$3:$3,0)+2,FALSE)),"")</f>
        <v>#N/A</v>
      </c>
    </row>
    <row r="127" spans="1:23">
      <c r="A127" s="8" t="e">
        <f>IF(貼り付け用!$A$6&lt;&gt;"",
IF(ROW(A126)+1&gt;=MATCH("*10000*", 貼り付け用!$A:$A, 0),"",
IF(貼り付け用!A127&lt;&gt;"",貼り付け用!A127,"")),
IF(ROW(A127)+1&gt;=MATCH("*10000*", 貼り付け用!$A:$A, 0),"",
IF(貼り付け用!A128&lt;&gt;"",貼り付け用!A128,"")))</f>
        <v>#N/A</v>
      </c>
      <c r="B127" s="3" t="e">
        <f>IF($A127&lt;&gt;"",IF(VLOOKUP($A127,貼り付け用!$A$1:$BA$300,COLUMN(),FALSE)=0,"",VLOOKUP($A127,貼り付け用!$A$1:$BA$300,COLUMN(),FALSE)),"")</f>
        <v>#N/A</v>
      </c>
      <c r="C127" s="3" t="e">
        <f>IF($A127&lt;&gt;"",IF(VLOOKUP($A127,貼り付け用!$A$1:$BA$300,COLUMN(),FALSE)=0,"",VLOOKUP($A127,貼り付け用!$A$1:$BA$300,COLUMN(),FALSE)),"")</f>
        <v>#N/A</v>
      </c>
      <c r="D127" s="3" t="e">
        <f>IF($A127&lt;&gt;"",IF(VLOOKUP($A127,貼り付け用!$A$1:$BA$300,COLUMN(),FALSE)=0,"",VLOOKUP($A127,貼り付け用!$A$1:$BA$300,COLUMN(),FALSE)),"")</f>
        <v>#N/A</v>
      </c>
      <c r="E127" s="3" t="e">
        <f>IF($A127&lt;&gt;"",IF(VLOOKUP($A127,貼り付け用!$A$1:$BA$300,COLUMN(),FALSE)=0,"",VLOOKUP($A127,貼り付け用!$A$1:$BA$300,COLUMN(),FALSE)),"")</f>
        <v>#N/A</v>
      </c>
      <c r="F127" s="3" t="e">
        <f>IF($A127&lt;&gt;"",IF(VLOOKUP($A127,貼り付け用!$A$1:$BA$300,COLUMN(),FALSE)=0,"",VLOOKUP($A127,貼り付け用!$A$1:$BA$300,COLUMN(),FALSE)),"")</f>
        <v>#N/A</v>
      </c>
      <c r="G127" s="3" t="e">
        <f>IF($A127&lt;&gt;"",IF(VLOOKUP($A127,貼り付け用!$A$1:$BA$300,COLUMN(),FALSE)=0,"",VLOOKUP($A127,貼り付け用!$A$1:$BA$300,COLUMN(),FALSE)),"")</f>
        <v>#N/A</v>
      </c>
      <c r="H127" s="3" t="e">
        <f>IF($A127&lt;&gt;"",IF(VLOOKUP($A127,貼り付け用!$A$1:$BA$300,COLUMN(),FALSE)=0,"",VLOOKUP($A127,貼り付け用!$A$1:$BA$300,COLUMN(),FALSE)),"")</f>
        <v>#N/A</v>
      </c>
      <c r="I127" s="3" t="e">
        <f>IF($A127&lt;&gt;"",IF(VLOOKUP($A127,貼り付け用!$A$1:$BA$300,COLUMN(),FALSE)=0,"",VLOOKUP($A127,貼り付け用!$A$1:$BA$300,COLUMN(),FALSE)),"")</f>
        <v>#N/A</v>
      </c>
      <c r="J127" s="3" t="e">
        <f>IF($A127&lt;&gt;"",IF(VLOOKUP($A127,貼り付け用!$A$1:$BA$300,COLUMN(),FALSE)=0,"",VLOOKUP($A127,貼り付け用!$A$1:$BA$300,COLUMN(),FALSE)),"")</f>
        <v>#N/A</v>
      </c>
      <c r="K127" s="3" t="e">
        <f>IF($A127&lt;&gt;"",IF(VLOOKUP($A127,貼り付け用!$A$1:$BA$300,COLUMN(),FALSE)=0,"",VLOOKUP($A127,貼り付け用!$A$1:$BA$300,COLUMN(),FALSE)),"")</f>
        <v>#N/A</v>
      </c>
      <c r="L127" s="3" t="e">
        <f>IF($A127&lt;&gt;"",
IF(COLUMN(貼り付け用!L127)&gt;MATCH("おやつ",貼り付け用!$3:$3,0),"",
IF(VLOOKUP($A127,貼り付け用!$A$1:$BA$300,COLUMN(),FALSE)=0,"",VLOOKUP($A127,貼り付け用!$A$1:$BA$300,COLUMN(),FALSE))),"")</f>
        <v>#N/A</v>
      </c>
      <c r="M127" s="3" t="e">
        <f>IF($A127&lt;&gt;"",
IF(COLUMN(貼り付け用!M127)&gt;MATCH("おやつ",貼り付け用!$3:$3,0),"",
IF(VLOOKUP($A127,貼り付け用!$A$1:$BA$300,COLUMN(),FALSE)=0,"",VLOOKUP($A127,貼り付け用!$A$1:$BA$300,COLUMN(),FALSE))),"")</f>
        <v>#N/A</v>
      </c>
      <c r="N127" s="3" t="e">
        <f>IF($A127&lt;&gt;"",
IF(COLUMN(貼り付け用!N127)&gt;MATCH("おやつ",貼り付け用!$3:$3,0),"",
IF(VLOOKUP($A127,貼り付け用!$A$1:$BA$300,COLUMN(),FALSE)=0,"",VLOOKUP($A127,貼り付け用!$A$1:$BA$300,COLUMN(),FALSE))),"")</f>
        <v>#N/A</v>
      </c>
      <c r="O127" s="3" t="e">
        <f>IF($A127&lt;&gt;"",
IF(COLUMN(貼り付け用!O127)&gt;MATCH("おやつ",貼り付け用!$3:$3,0),"",
IF(VLOOKUP($A127,貼り付け用!$A$1:$BA$300,COLUMN(),FALSE)=0,"",VLOOKUP($A127,貼り付け用!$A$1:$BA$300,COLUMN(),FALSE))),"")</f>
        <v>#N/A</v>
      </c>
      <c r="P127" s="3" t="e">
        <f>IF($A127&lt;&gt;"",
IF(COLUMN(貼り付け用!P127)&gt;MATCH("おやつ",貼り付け用!$3:$3,0),"",
IF(VLOOKUP($A127,貼り付け用!$A$1:$BA$300,COLUMN(),FALSE)=0,"",VLOOKUP($A127,貼り付け用!$A$1:$BA$300,COLUMN(),FALSE))),"")</f>
        <v>#N/A</v>
      </c>
      <c r="Q127" s="3" t="e">
        <f>IF($A127&lt;&gt;"",
IF(COLUMN(貼り付け用!Q127)&gt;MATCH("おやつ",貼り付け用!$3:$3,0),"",
IF(VLOOKUP($A127,貼り付け用!$A$1:$BA$300,COLUMN(),FALSE)=0,"",VLOOKUP($A127,貼り付け用!$A$1:$BA$300,COLUMN(),FALSE))),"")</f>
        <v>#N/A</v>
      </c>
      <c r="R127" s="3" t="e">
        <f>IF($A127&lt;&gt;"",
IF(COLUMN(貼り付け用!R127)&gt;MATCH("おやつ",貼り付け用!$3:$3,0),"",
IF(VLOOKUP($A127,貼り付け用!$A$1:$BA$300,COLUMN(),FALSE)=0,"",VLOOKUP($A127,貼り付け用!$A$1:$BA$300,COLUMN(),FALSE))),"")</f>
        <v>#N/A</v>
      </c>
      <c r="S127" s="3" t="e">
        <f>IF($A127&lt;&gt;"",
IF(COLUMN(貼り付け用!S127)&gt;MATCH("おやつ",貼り付け用!$3:$3,0),"",
IF(VLOOKUP($A127,貼り付け用!$A$1:$BA$300,COLUMN(),FALSE)=0,"",VLOOKUP($A127,貼り付け用!$A$1:$BA$300,COLUMN(),FALSE))),"")</f>
        <v>#N/A</v>
      </c>
      <c r="T127" s="3" t="e">
        <f>IF(COLUMN(貼り付け用!T127)&gt;MATCH("おやつ",貼り付け用!$3:$3,0),"",
IF(VLOOKUP($A127,貼り付け用!$A$1:$BA$300,COLUMN(),FALSE)=0,"",VLOOKUP($A127,貼り付け用!$A$1:$BA$300,COLUMN(),FALSE)))</f>
        <v>#N/A</v>
      </c>
      <c r="U127" s="21"/>
      <c r="V127" s="55" t="e">
        <f>IF(A127&lt;&gt;"",
IF(VLOOKUP($A127,貼り付け用!$A$1:$BA$300,MATCH("おやつ",貼り付け用!$3:$3,0)+1,FALSE)=0,"",VLOOKUP($A127,貼り付け用!$A$1:$BA$300,MATCH("おやつ",貼り付け用!$3:$3,0)+1,FALSE)),"")</f>
        <v>#N/A</v>
      </c>
      <c r="W127" s="14" t="e">
        <f>IF(A127&lt;&gt;"",
IF(VLOOKUP($A127,貼り付け用!$A$1:$BA$300,MATCH("おやつ",貼り付け用!$3:$3,0)+2,FALSE)=0,"",VLOOKUP($A127,貼り付け用!$A$1:$BA$300,MATCH("おやつ",貼り付け用!$3:$3,0)+2,FALSE)),"")</f>
        <v>#N/A</v>
      </c>
    </row>
    <row r="128" spans="1:23">
      <c r="A128" s="4" t="e">
        <f>IF(貼り付け用!$A$6&lt;&gt;"",
IF(ROW(A127)+1&gt;=MATCH("*10000*", 貼り付け用!$A:$A, 0),
IF(COUNTIF(A126,"*10000*"),"10001",
IF(COUNTIF(A126,"*10001*"),"10002",
IF(COUNTIF(A126,"*10002*"),"",
IF(COUNTIF(A126,""),"","10000")))),
IF(貼り付け用!A128&lt;&gt;"",貼り付け用!A128,"")),
IF(ROW(A128)+1&gt;=MATCH("*10000*", 貼り付け用!$A:$A, 0),
IF(COUNTIF(A126,"*10000*"),"10001",
IF(COUNTIF(A126,"*10001*"),"10002",
IF(COUNTIF(A126,"*10002*"),"",
IF(COUNTIF(A126,""),"","10000")))),
IF(貼り付け用!A129&lt;&gt;"",貼り付け用!A129,"")))</f>
        <v>#N/A</v>
      </c>
      <c r="B128" s="14" t="e">
        <f>IF($A128&lt;&gt;"",IF(VLOOKUP($A128,貼り付け用!$A$1:$BA$300,COLUMN(),FALSE)=0,"",VLOOKUP($A128,貼り付け用!$A$1:$BA$300,COLUMN(),FALSE)),"")</f>
        <v>#N/A</v>
      </c>
      <c r="C128" s="14" t="e">
        <f>IF($A128&lt;&gt;"",IF(VLOOKUP($A128,貼り付け用!$A$1:$BA$300,COLUMN(),FALSE)=0,"",VLOOKUP($A128,貼り付け用!$A$1:$BA$300,COLUMN(),FALSE)),"")</f>
        <v>#N/A</v>
      </c>
      <c r="D128" s="14" t="e">
        <f>IF($A128&lt;&gt;"",IF(VLOOKUP($A128,貼り付け用!$A$1:$BA$300,COLUMN(),FALSE)=0,"",VLOOKUP($A128,貼り付け用!$A$1:$BA$300,COLUMN(),FALSE)),"")</f>
        <v>#N/A</v>
      </c>
      <c r="E128" s="14" t="e">
        <f>IF($A128&lt;&gt;"",IF(VLOOKUP($A128,貼り付け用!$A$1:$BA$300,COLUMN(),FALSE)=0,"",VLOOKUP($A128,貼り付け用!$A$1:$BA$300,COLUMN(),FALSE)),"")</f>
        <v>#N/A</v>
      </c>
      <c r="F128" s="14" t="e">
        <f>IF($A128&lt;&gt;"",IF(VLOOKUP($A128,貼り付け用!$A$1:$BA$300,COLUMN(),FALSE)=0,"",VLOOKUP($A128,貼り付け用!$A$1:$BA$300,COLUMN(),FALSE)),"")</f>
        <v>#N/A</v>
      </c>
      <c r="G128" s="14" t="e">
        <f>IF($A128&lt;&gt;"",IF(VLOOKUP($A128,貼り付け用!$A$1:$BA$300,COLUMN(),FALSE)=0,"",VLOOKUP($A128,貼り付け用!$A$1:$BA$300,COLUMN(),FALSE)),"")</f>
        <v>#N/A</v>
      </c>
      <c r="H128" s="14" t="e">
        <f>IF($A128&lt;&gt;"",IF(VLOOKUP($A128,貼り付け用!$A$1:$BA$300,COLUMN(),FALSE)=0,"",VLOOKUP($A128,貼り付け用!$A$1:$BA$300,COLUMN(),FALSE)),"")</f>
        <v>#N/A</v>
      </c>
      <c r="I128" s="14" t="e">
        <f>IF($A128&lt;&gt;"",IF(VLOOKUP($A128,貼り付け用!$A$1:$BA$300,COLUMN(),FALSE)=0,"",VLOOKUP($A128,貼り付け用!$A$1:$BA$300,COLUMN(),FALSE)),"")</f>
        <v>#N/A</v>
      </c>
      <c r="J128" s="14" t="e">
        <f>IF($A128&lt;&gt;"",IF(VLOOKUP($A128,貼り付け用!$A$1:$BA$300,COLUMN(),FALSE)=0,"",VLOOKUP($A128,貼り付け用!$A$1:$BA$300,COLUMN(),FALSE)),"")</f>
        <v>#N/A</v>
      </c>
      <c r="K128" s="14" t="e">
        <f>IF($A128&lt;&gt;"",IF(VLOOKUP($A128,貼り付け用!$A$1:$BA$300,COLUMN(),FALSE)=0,"",VLOOKUP($A128,貼り付け用!$A$1:$BA$300,COLUMN(),FALSE)),"")</f>
        <v>#N/A</v>
      </c>
      <c r="L128" s="14" t="e">
        <f>IF($A128&lt;&gt;"",
IF(COLUMN(貼り付け用!L128)&gt;MATCH("おやつ",貼り付け用!$3:$3,0),"",
IF(VLOOKUP($A128,貼り付け用!$A$1:$BA$300,COLUMN(),FALSE)=0,"",VLOOKUP($A128,貼り付け用!$A$1:$BA$300,COLUMN(),FALSE))),"")</f>
        <v>#N/A</v>
      </c>
      <c r="M128" s="14" t="e">
        <f>IF($A128&lt;&gt;"",
IF(COLUMN(貼り付け用!M128)&gt;MATCH("おやつ",貼り付け用!$3:$3,0),"",
IF(VLOOKUP($A128,貼り付け用!$A$1:$BA$300,COLUMN(),FALSE)=0,"",VLOOKUP($A128,貼り付け用!$A$1:$BA$300,COLUMN(),FALSE))),"")</f>
        <v>#N/A</v>
      </c>
      <c r="N128" s="14" t="e">
        <f>IF($A128&lt;&gt;"",
IF(COLUMN(貼り付け用!N128)&gt;MATCH("おやつ",貼り付け用!$3:$3,0),"",
IF(VLOOKUP($A128,貼り付け用!$A$1:$BA$300,COLUMN(),FALSE)=0,"",VLOOKUP($A128,貼り付け用!$A$1:$BA$300,COLUMN(),FALSE))),"")</f>
        <v>#N/A</v>
      </c>
      <c r="O128" s="14" t="e">
        <f>IF($A128&lt;&gt;"",
IF(COLUMN(貼り付け用!O128)&gt;MATCH("おやつ",貼り付け用!$3:$3,0),"",
IF(VLOOKUP($A128,貼り付け用!$A$1:$BA$300,COLUMN(),FALSE)=0,"",VLOOKUP($A128,貼り付け用!$A$1:$BA$300,COLUMN(),FALSE))),"")</f>
        <v>#N/A</v>
      </c>
      <c r="P128" s="14" t="e">
        <f>IF($A128&lt;&gt;"",
IF(COLUMN(貼り付け用!P128)&gt;MATCH("おやつ",貼り付け用!$3:$3,0),"",
IF(VLOOKUP($A128,貼り付け用!$A$1:$BA$300,COLUMN(),FALSE)=0,"",VLOOKUP($A128,貼り付け用!$A$1:$BA$300,COLUMN(),FALSE))),"")</f>
        <v>#N/A</v>
      </c>
      <c r="Q128" s="14" t="e">
        <f>IF($A128&lt;&gt;"",
IF(COLUMN(貼り付け用!Q128)&gt;MATCH("おやつ",貼り付け用!$3:$3,0),"",
IF(VLOOKUP($A128,貼り付け用!$A$1:$BA$300,COLUMN(),FALSE)=0,"",VLOOKUP($A128,貼り付け用!$A$1:$BA$300,COLUMN(),FALSE))),"")</f>
        <v>#N/A</v>
      </c>
      <c r="R128" s="14" t="e">
        <f>IF($A128&lt;&gt;"",
IF(COLUMN(貼り付け用!R128)&gt;MATCH("おやつ",貼り付け用!$3:$3,0),"",
IF(VLOOKUP($A128,貼り付け用!$A$1:$BA$300,COLUMN(),FALSE)=0,"",VLOOKUP($A128,貼り付け用!$A$1:$BA$300,COLUMN(),FALSE))),"")</f>
        <v>#N/A</v>
      </c>
      <c r="S128" s="14" t="e">
        <f>IF($A128&lt;&gt;"",
IF(COLUMN(貼り付け用!S128)&gt;MATCH("おやつ",貼り付け用!$3:$3,0),"",
IF(VLOOKUP($A128,貼り付け用!$A$1:$BA$300,COLUMN(),FALSE)=0,"",VLOOKUP($A128,貼り付け用!$A$1:$BA$300,COLUMN(),FALSE))),"")</f>
        <v>#N/A</v>
      </c>
      <c r="T128" s="14" t="e">
        <f>IF(COLUMN(貼り付け用!T128)&gt;MATCH("おやつ",貼り付け用!$3:$3,0),"",
IF(VLOOKUP($A128,貼り付け用!$A$1:$BA$300,COLUMN(),FALSE)=0,"",VLOOKUP($A128,貼り付け用!$A$1:$BA$300,COLUMN(),FALSE)))</f>
        <v>#N/A</v>
      </c>
      <c r="U128" s="11"/>
      <c r="V128" s="55" t="e">
        <f>IF(A128&lt;&gt;"",
IF(VLOOKUP($A128,貼り付け用!$A$1:$BA$300,MATCH("おやつ",貼り付け用!$3:$3,0)+1,FALSE)=0,"",VLOOKUP($A128,貼り付け用!$A$1:$BA$300,MATCH("おやつ",貼り付け用!$3:$3,0)+1,FALSE)),"")</f>
        <v>#N/A</v>
      </c>
      <c r="W128" s="14" t="e">
        <f>IF(A128&lt;&gt;"",
IF(VLOOKUP($A128,貼り付け用!$A$1:$BA$300,MATCH("おやつ",貼り付け用!$3:$3,0)+2,FALSE)=0,"",VLOOKUP($A128,貼り付け用!$A$1:$BA$300,MATCH("おやつ",貼り付け用!$3:$3,0)+2,FALSE)),"")</f>
        <v>#N/A</v>
      </c>
    </row>
    <row r="129" spans="1:23">
      <c r="A129" s="8" t="e">
        <f>IF(貼り付け用!$A$6&lt;&gt;"",
IF(ROW(A128)+1&gt;=MATCH("*10000*", 貼り付け用!$A:$A, 0),"",
IF(貼り付け用!A129&lt;&gt;"",貼り付け用!A129,"")),
IF(ROW(A129)+1&gt;=MATCH("*10000*", 貼り付け用!$A:$A, 0),"",
IF(貼り付け用!A130&lt;&gt;"",貼り付け用!A130,"")))</f>
        <v>#N/A</v>
      </c>
      <c r="B129" s="3" t="e">
        <f>IF($A129&lt;&gt;"",IF(VLOOKUP($A129,貼り付け用!$A$1:$BA$300,COLUMN(),FALSE)=0,"",VLOOKUP($A129,貼り付け用!$A$1:$BA$300,COLUMN(),FALSE)),"")</f>
        <v>#N/A</v>
      </c>
      <c r="C129" s="3" t="e">
        <f>IF($A129&lt;&gt;"",IF(VLOOKUP($A129,貼り付け用!$A$1:$BA$300,COLUMN(),FALSE)=0,"",VLOOKUP($A129,貼り付け用!$A$1:$BA$300,COLUMN(),FALSE)),"")</f>
        <v>#N/A</v>
      </c>
      <c r="D129" s="3" t="e">
        <f>IF($A129&lt;&gt;"",IF(VLOOKUP($A129,貼り付け用!$A$1:$BA$300,COLUMN(),FALSE)=0,"",VLOOKUP($A129,貼り付け用!$A$1:$BA$300,COLUMN(),FALSE)),"")</f>
        <v>#N/A</v>
      </c>
      <c r="E129" s="3" t="e">
        <f>IF($A129&lt;&gt;"",IF(VLOOKUP($A129,貼り付け用!$A$1:$BA$300,COLUMN(),FALSE)=0,"",VLOOKUP($A129,貼り付け用!$A$1:$BA$300,COLUMN(),FALSE)),"")</f>
        <v>#N/A</v>
      </c>
      <c r="F129" s="3" t="e">
        <f>IF($A129&lt;&gt;"",IF(VLOOKUP($A129,貼り付け用!$A$1:$BA$300,COLUMN(),FALSE)=0,"",VLOOKUP($A129,貼り付け用!$A$1:$BA$300,COLUMN(),FALSE)),"")</f>
        <v>#N/A</v>
      </c>
      <c r="G129" s="3" t="e">
        <f>IF($A129&lt;&gt;"",IF(VLOOKUP($A129,貼り付け用!$A$1:$BA$300,COLUMN(),FALSE)=0,"",VLOOKUP($A129,貼り付け用!$A$1:$BA$300,COLUMN(),FALSE)),"")</f>
        <v>#N/A</v>
      </c>
      <c r="H129" s="3" t="e">
        <f>IF($A129&lt;&gt;"",IF(VLOOKUP($A129,貼り付け用!$A$1:$BA$300,COLUMN(),FALSE)=0,"",VLOOKUP($A129,貼り付け用!$A$1:$BA$300,COLUMN(),FALSE)),"")</f>
        <v>#N/A</v>
      </c>
      <c r="I129" s="3" t="e">
        <f>IF($A129&lt;&gt;"",IF(VLOOKUP($A129,貼り付け用!$A$1:$BA$300,COLUMN(),FALSE)=0,"",VLOOKUP($A129,貼り付け用!$A$1:$BA$300,COLUMN(),FALSE)),"")</f>
        <v>#N/A</v>
      </c>
      <c r="J129" s="3" t="e">
        <f>IF($A129&lt;&gt;"",IF(VLOOKUP($A129,貼り付け用!$A$1:$BA$300,COLUMN(),FALSE)=0,"",VLOOKUP($A129,貼り付け用!$A$1:$BA$300,COLUMN(),FALSE)),"")</f>
        <v>#N/A</v>
      </c>
      <c r="K129" s="3" t="e">
        <f>IF($A129&lt;&gt;"",IF(VLOOKUP($A129,貼り付け用!$A$1:$BA$300,COLUMN(),FALSE)=0,"",VLOOKUP($A129,貼り付け用!$A$1:$BA$300,COLUMN(),FALSE)),"")</f>
        <v>#N/A</v>
      </c>
      <c r="L129" s="3" t="e">
        <f>IF($A129&lt;&gt;"",
IF(COLUMN(貼り付け用!L129)&gt;MATCH("おやつ",貼り付け用!$3:$3,0),"",
IF(VLOOKUP($A129,貼り付け用!$A$1:$BA$300,COLUMN(),FALSE)=0,"",VLOOKUP($A129,貼り付け用!$A$1:$BA$300,COLUMN(),FALSE))),"")</f>
        <v>#N/A</v>
      </c>
      <c r="M129" s="3" t="e">
        <f>IF($A129&lt;&gt;"",
IF(COLUMN(貼り付け用!M129)&gt;MATCH("おやつ",貼り付け用!$3:$3,0),"",
IF(VLOOKUP($A129,貼り付け用!$A$1:$BA$300,COLUMN(),FALSE)=0,"",VLOOKUP($A129,貼り付け用!$A$1:$BA$300,COLUMN(),FALSE))),"")</f>
        <v>#N/A</v>
      </c>
      <c r="N129" s="3" t="e">
        <f>IF($A129&lt;&gt;"",
IF(COLUMN(貼り付け用!N129)&gt;MATCH("おやつ",貼り付け用!$3:$3,0),"",
IF(VLOOKUP($A129,貼り付け用!$A$1:$BA$300,COLUMN(),FALSE)=0,"",VLOOKUP($A129,貼り付け用!$A$1:$BA$300,COLUMN(),FALSE))),"")</f>
        <v>#N/A</v>
      </c>
      <c r="O129" s="3" t="e">
        <f>IF($A129&lt;&gt;"",
IF(COLUMN(貼り付け用!O129)&gt;MATCH("おやつ",貼り付け用!$3:$3,0),"",
IF(VLOOKUP($A129,貼り付け用!$A$1:$BA$300,COLUMN(),FALSE)=0,"",VLOOKUP($A129,貼り付け用!$A$1:$BA$300,COLUMN(),FALSE))),"")</f>
        <v>#N/A</v>
      </c>
      <c r="P129" s="3" t="e">
        <f>IF($A129&lt;&gt;"",
IF(COLUMN(貼り付け用!P129)&gt;MATCH("おやつ",貼り付け用!$3:$3,0),"",
IF(VLOOKUP($A129,貼り付け用!$A$1:$BA$300,COLUMN(),FALSE)=0,"",VLOOKUP($A129,貼り付け用!$A$1:$BA$300,COLUMN(),FALSE))),"")</f>
        <v>#N/A</v>
      </c>
      <c r="Q129" s="3" t="e">
        <f>IF($A129&lt;&gt;"",
IF(COLUMN(貼り付け用!Q129)&gt;MATCH("おやつ",貼り付け用!$3:$3,0),"",
IF(VLOOKUP($A129,貼り付け用!$A$1:$BA$300,COLUMN(),FALSE)=0,"",VLOOKUP($A129,貼り付け用!$A$1:$BA$300,COLUMN(),FALSE))),"")</f>
        <v>#N/A</v>
      </c>
      <c r="R129" s="3" t="e">
        <f>IF($A129&lt;&gt;"",
IF(COLUMN(貼り付け用!R129)&gt;MATCH("おやつ",貼り付け用!$3:$3,0),"",
IF(VLOOKUP($A129,貼り付け用!$A$1:$BA$300,COLUMN(),FALSE)=0,"",VLOOKUP($A129,貼り付け用!$A$1:$BA$300,COLUMN(),FALSE))),"")</f>
        <v>#N/A</v>
      </c>
      <c r="S129" s="3" t="e">
        <f>IF($A129&lt;&gt;"",
IF(COLUMN(貼り付け用!S129)&gt;MATCH("おやつ",貼り付け用!$3:$3,0),"",
IF(VLOOKUP($A129,貼り付け用!$A$1:$BA$300,COLUMN(),FALSE)=0,"",VLOOKUP($A129,貼り付け用!$A$1:$BA$300,COLUMN(),FALSE))),"")</f>
        <v>#N/A</v>
      </c>
      <c r="T129" s="3" t="e">
        <f>IF(COLUMN(貼り付け用!T129)&gt;MATCH("おやつ",貼り付け用!$3:$3,0),"",
IF(VLOOKUP($A129,貼り付け用!$A$1:$BA$300,COLUMN(),FALSE)=0,"",VLOOKUP($A129,貼り付け用!$A$1:$BA$300,COLUMN(),FALSE)))</f>
        <v>#N/A</v>
      </c>
      <c r="U129" s="21"/>
      <c r="V129" s="55" t="e">
        <f>IF(A129&lt;&gt;"",
IF(VLOOKUP($A129,貼り付け用!$A$1:$BA$300,MATCH("おやつ",貼り付け用!$3:$3,0)+1,FALSE)=0,"",VLOOKUP($A129,貼り付け用!$A$1:$BA$300,MATCH("おやつ",貼り付け用!$3:$3,0)+1,FALSE)),"")</f>
        <v>#N/A</v>
      </c>
      <c r="W129" s="14" t="e">
        <f>IF(A129&lt;&gt;"",
IF(VLOOKUP($A129,貼り付け用!$A$1:$BA$300,MATCH("おやつ",貼り付け用!$3:$3,0)+2,FALSE)=0,"",VLOOKUP($A129,貼り付け用!$A$1:$BA$300,MATCH("おやつ",貼り付け用!$3:$3,0)+2,FALSE)),"")</f>
        <v>#N/A</v>
      </c>
    </row>
    <row r="130" spans="1:23">
      <c r="A130" s="4" t="e">
        <f>IF(貼り付け用!$A$6&lt;&gt;"",
IF(ROW(A129)+1&gt;=MATCH("*10000*", 貼り付け用!$A:$A, 0),
IF(COUNTIF(A128,"*10000*"),"10001",
IF(COUNTIF(A128,"*10001*"),"10002",
IF(COUNTIF(A128,"*10002*"),"",
IF(COUNTIF(A128,""),"","10000")))),
IF(貼り付け用!A130&lt;&gt;"",貼り付け用!A130,"")),
IF(ROW(A130)+1&gt;=MATCH("*10000*", 貼り付け用!$A:$A, 0),
IF(COUNTIF(A128,"*10000*"),"10001",
IF(COUNTIF(A128,"*10001*"),"10002",
IF(COUNTIF(A128,"*10002*"),"",
IF(COUNTIF(A128,""),"","10000")))),
IF(貼り付け用!A131&lt;&gt;"",貼り付け用!A131,"")))</f>
        <v>#N/A</v>
      </c>
      <c r="B130" s="14" t="e">
        <f>IF($A130&lt;&gt;"",IF(VLOOKUP($A130,貼り付け用!$A$1:$BA$300,COLUMN(),FALSE)=0,"",VLOOKUP($A130,貼り付け用!$A$1:$BA$300,COLUMN(),FALSE)),"")</f>
        <v>#N/A</v>
      </c>
      <c r="C130" s="14" t="e">
        <f>IF($A130&lt;&gt;"",IF(VLOOKUP($A130,貼り付け用!$A$1:$BA$300,COLUMN(),FALSE)=0,"",VLOOKUP($A130,貼り付け用!$A$1:$BA$300,COLUMN(),FALSE)),"")</f>
        <v>#N/A</v>
      </c>
      <c r="D130" s="14" t="e">
        <f>IF($A130&lt;&gt;"",IF(VLOOKUP($A130,貼り付け用!$A$1:$BA$300,COLUMN(),FALSE)=0,"",VLOOKUP($A130,貼り付け用!$A$1:$BA$300,COLUMN(),FALSE)),"")</f>
        <v>#N/A</v>
      </c>
      <c r="E130" s="14" t="e">
        <f>IF($A130&lt;&gt;"",IF(VLOOKUP($A130,貼り付け用!$A$1:$BA$300,COLUMN(),FALSE)=0,"",VLOOKUP($A130,貼り付け用!$A$1:$BA$300,COLUMN(),FALSE)),"")</f>
        <v>#N/A</v>
      </c>
      <c r="F130" s="14" t="e">
        <f>IF($A130&lt;&gt;"",IF(VLOOKUP($A130,貼り付け用!$A$1:$BA$300,COLUMN(),FALSE)=0,"",VLOOKUP($A130,貼り付け用!$A$1:$BA$300,COLUMN(),FALSE)),"")</f>
        <v>#N/A</v>
      </c>
      <c r="G130" s="14" t="e">
        <f>IF($A130&lt;&gt;"",IF(VLOOKUP($A130,貼り付け用!$A$1:$BA$300,COLUMN(),FALSE)=0,"",VLOOKUP($A130,貼り付け用!$A$1:$BA$300,COLUMN(),FALSE)),"")</f>
        <v>#N/A</v>
      </c>
      <c r="H130" s="14" t="e">
        <f>IF($A130&lt;&gt;"",IF(VLOOKUP($A130,貼り付け用!$A$1:$BA$300,COLUMN(),FALSE)=0,"",VLOOKUP($A130,貼り付け用!$A$1:$BA$300,COLUMN(),FALSE)),"")</f>
        <v>#N/A</v>
      </c>
      <c r="I130" s="14" t="e">
        <f>IF($A130&lt;&gt;"",IF(VLOOKUP($A130,貼り付け用!$A$1:$BA$300,COLUMN(),FALSE)=0,"",VLOOKUP($A130,貼り付け用!$A$1:$BA$300,COLUMN(),FALSE)),"")</f>
        <v>#N/A</v>
      </c>
      <c r="J130" s="14" t="e">
        <f>IF($A130&lt;&gt;"",IF(VLOOKUP($A130,貼り付け用!$A$1:$BA$300,COLUMN(),FALSE)=0,"",VLOOKUP($A130,貼り付け用!$A$1:$BA$300,COLUMN(),FALSE)),"")</f>
        <v>#N/A</v>
      </c>
      <c r="K130" s="14" t="e">
        <f>IF($A130&lt;&gt;"",IF(VLOOKUP($A130,貼り付け用!$A$1:$BA$300,COLUMN(),FALSE)=0,"",VLOOKUP($A130,貼り付け用!$A$1:$BA$300,COLUMN(),FALSE)),"")</f>
        <v>#N/A</v>
      </c>
      <c r="L130" s="14" t="e">
        <f>IF($A130&lt;&gt;"",
IF(COLUMN(貼り付け用!L130)&gt;MATCH("おやつ",貼り付け用!$3:$3,0),"",
IF(VLOOKUP($A130,貼り付け用!$A$1:$BA$300,COLUMN(),FALSE)=0,"",VLOOKUP($A130,貼り付け用!$A$1:$BA$300,COLUMN(),FALSE))),"")</f>
        <v>#N/A</v>
      </c>
      <c r="M130" s="14" t="e">
        <f>IF($A130&lt;&gt;"",
IF(COLUMN(貼り付け用!M130)&gt;MATCH("おやつ",貼り付け用!$3:$3,0),"",
IF(VLOOKUP($A130,貼り付け用!$A$1:$BA$300,COLUMN(),FALSE)=0,"",VLOOKUP($A130,貼り付け用!$A$1:$BA$300,COLUMN(),FALSE))),"")</f>
        <v>#N/A</v>
      </c>
      <c r="N130" s="14" t="e">
        <f>IF($A130&lt;&gt;"",
IF(COLUMN(貼り付け用!N130)&gt;MATCH("おやつ",貼り付け用!$3:$3,0),"",
IF(VLOOKUP($A130,貼り付け用!$A$1:$BA$300,COLUMN(),FALSE)=0,"",VLOOKUP($A130,貼り付け用!$A$1:$BA$300,COLUMN(),FALSE))),"")</f>
        <v>#N/A</v>
      </c>
      <c r="O130" s="14" t="e">
        <f>IF($A130&lt;&gt;"",
IF(COLUMN(貼り付け用!O130)&gt;MATCH("おやつ",貼り付け用!$3:$3,0),"",
IF(VLOOKUP($A130,貼り付け用!$A$1:$BA$300,COLUMN(),FALSE)=0,"",VLOOKUP($A130,貼り付け用!$A$1:$BA$300,COLUMN(),FALSE))),"")</f>
        <v>#N/A</v>
      </c>
      <c r="P130" s="14" t="e">
        <f>IF($A130&lt;&gt;"",
IF(COLUMN(貼り付け用!P130)&gt;MATCH("おやつ",貼り付け用!$3:$3,0),"",
IF(VLOOKUP($A130,貼り付け用!$A$1:$BA$300,COLUMN(),FALSE)=0,"",VLOOKUP($A130,貼り付け用!$A$1:$BA$300,COLUMN(),FALSE))),"")</f>
        <v>#N/A</v>
      </c>
      <c r="Q130" s="14" t="e">
        <f>IF($A130&lt;&gt;"",
IF(COLUMN(貼り付け用!Q130)&gt;MATCH("おやつ",貼り付け用!$3:$3,0),"",
IF(VLOOKUP($A130,貼り付け用!$A$1:$BA$300,COLUMN(),FALSE)=0,"",VLOOKUP($A130,貼り付け用!$A$1:$BA$300,COLUMN(),FALSE))),"")</f>
        <v>#N/A</v>
      </c>
      <c r="R130" s="14" t="e">
        <f>IF($A130&lt;&gt;"",
IF(COLUMN(貼り付け用!R130)&gt;MATCH("おやつ",貼り付け用!$3:$3,0),"",
IF(VLOOKUP($A130,貼り付け用!$A$1:$BA$300,COLUMN(),FALSE)=0,"",VLOOKUP($A130,貼り付け用!$A$1:$BA$300,COLUMN(),FALSE))),"")</f>
        <v>#N/A</v>
      </c>
      <c r="S130" s="14" t="e">
        <f>IF($A130&lt;&gt;"",
IF(COLUMN(貼り付け用!S130)&gt;MATCH("おやつ",貼り付け用!$3:$3,0),"",
IF(VLOOKUP($A130,貼り付け用!$A$1:$BA$300,COLUMN(),FALSE)=0,"",VLOOKUP($A130,貼り付け用!$A$1:$BA$300,COLUMN(),FALSE))),"")</f>
        <v>#N/A</v>
      </c>
      <c r="T130" s="14" t="e">
        <f>IF(COLUMN(貼り付け用!T130)&gt;MATCH("おやつ",貼り付け用!$3:$3,0),"",
IF(VLOOKUP($A130,貼り付け用!$A$1:$BA$300,COLUMN(),FALSE)=0,"",VLOOKUP($A130,貼り付け用!$A$1:$BA$300,COLUMN(),FALSE)))</f>
        <v>#N/A</v>
      </c>
      <c r="U130" s="11"/>
      <c r="V130" s="55" t="e">
        <f>IF(A130&lt;&gt;"",
IF(VLOOKUP($A130,貼り付け用!$A$1:$BA$300,MATCH("おやつ",貼り付け用!$3:$3,0)+1,FALSE)=0,"",VLOOKUP($A130,貼り付け用!$A$1:$BA$300,MATCH("おやつ",貼り付け用!$3:$3,0)+1,FALSE)),"")</f>
        <v>#N/A</v>
      </c>
      <c r="W130" s="14" t="e">
        <f>IF(A130&lt;&gt;"",
IF(VLOOKUP($A130,貼り付け用!$A$1:$BA$300,MATCH("おやつ",貼り付け用!$3:$3,0)+2,FALSE)=0,"",VLOOKUP($A130,貼り付け用!$A$1:$BA$300,MATCH("おやつ",貼り付け用!$3:$3,0)+2,FALSE)),"")</f>
        <v>#N/A</v>
      </c>
    </row>
    <row r="131" spans="1:23">
      <c r="A131" s="8" t="e">
        <f>IF(貼り付け用!$A$6&lt;&gt;"",
IF(ROW(A130)+1&gt;=MATCH("*10000*", 貼り付け用!$A:$A, 0),"",
IF(貼り付け用!A131&lt;&gt;"",貼り付け用!A131,"")),
IF(ROW(A131)+1&gt;=MATCH("*10000*", 貼り付け用!$A:$A, 0),"",
IF(貼り付け用!A132&lt;&gt;"",貼り付け用!A132,"")))</f>
        <v>#N/A</v>
      </c>
      <c r="B131" s="3" t="e">
        <f>IF($A131&lt;&gt;"",IF(VLOOKUP($A131,貼り付け用!$A$1:$BA$300,COLUMN(),FALSE)=0,"",VLOOKUP($A131,貼り付け用!$A$1:$BA$300,COLUMN(),FALSE)),"")</f>
        <v>#N/A</v>
      </c>
      <c r="C131" s="3" t="e">
        <f>IF($A131&lt;&gt;"",IF(VLOOKUP($A131,貼り付け用!$A$1:$BA$300,COLUMN(),FALSE)=0,"",VLOOKUP($A131,貼り付け用!$A$1:$BA$300,COLUMN(),FALSE)),"")</f>
        <v>#N/A</v>
      </c>
      <c r="D131" s="3" t="e">
        <f>IF($A131&lt;&gt;"",IF(VLOOKUP($A131,貼り付け用!$A$1:$BA$300,COLUMN(),FALSE)=0,"",VLOOKUP($A131,貼り付け用!$A$1:$BA$300,COLUMN(),FALSE)),"")</f>
        <v>#N/A</v>
      </c>
      <c r="E131" s="3" t="e">
        <f>IF($A131&lt;&gt;"",IF(VLOOKUP($A131,貼り付け用!$A$1:$BA$300,COLUMN(),FALSE)=0,"",VLOOKUP($A131,貼り付け用!$A$1:$BA$300,COLUMN(),FALSE)),"")</f>
        <v>#N/A</v>
      </c>
      <c r="F131" s="3" t="e">
        <f>IF($A131&lt;&gt;"",IF(VLOOKUP($A131,貼り付け用!$A$1:$BA$300,COLUMN(),FALSE)=0,"",VLOOKUP($A131,貼り付け用!$A$1:$BA$300,COLUMN(),FALSE)),"")</f>
        <v>#N/A</v>
      </c>
      <c r="G131" s="3" t="e">
        <f>IF($A131&lt;&gt;"",IF(VLOOKUP($A131,貼り付け用!$A$1:$BA$300,COLUMN(),FALSE)=0,"",VLOOKUP($A131,貼り付け用!$A$1:$BA$300,COLUMN(),FALSE)),"")</f>
        <v>#N/A</v>
      </c>
      <c r="H131" s="3" t="e">
        <f>IF($A131&lt;&gt;"",IF(VLOOKUP($A131,貼り付け用!$A$1:$BA$300,COLUMN(),FALSE)=0,"",VLOOKUP($A131,貼り付け用!$A$1:$BA$300,COLUMN(),FALSE)),"")</f>
        <v>#N/A</v>
      </c>
      <c r="I131" s="3" t="e">
        <f>IF($A131&lt;&gt;"",IF(VLOOKUP($A131,貼り付け用!$A$1:$BA$300,COLUMN(),FALSE)=0,"",VLOOKUP($A131,貼り付け用!$A$1:$BA$300,COLUMN(),FALSE)),"")</f>
        <v>#N/A</v>
      </c>
      <c r="J131" s="3" t="e">
        <f>IF($A131&lt;&gt;"",IF(VLOOKUP($A131,貼り付け用!$A$1:$BA$300,COLUMN(),FALSE)=0,"",VLOOKUP($A131,貼り付け用!$A$1:$BA$300,COLUMN(),FALSE)),"")</f>
        <v>#N/A</v>
      </c>
      <c r="K131" s="3" t="e">
        <f>IF($A131&lt;&gt;"",IF(VLOOKUP($A131,貼り付け用!$A$1:$BA$300,COLUMN(),FALSE)=0,"",VLOOKUP($A131,貼り付け用!$A$1:$BA$300,COLUMN(),FALSE)),"")</f>
        <v>#N/A</v>
      </c>
      <c r="L131" s="3" t="e">
        <f>IF($A131&lt;&gt;"",
IF(COLUMN(貼り付け用!L131)&gt;MATCH("おやつ",貼り付け用!$3:$3,0),"",
IF(VLOOKUP($A131,貼り付け用!$A$1:$BA$300,COLUMN(),FALSE)=0,"",VLOOKUP($A131,貼り付け用!$A$1:$BA$300,COLUMN(),FALSE))),"")</f>
        <v>#N/A</v>
      </c>
      <c r="M131" s="3" t="e">
        <f>IF($A131&lt;&gt;"",
IF(COLUMN(貼り付け用!M131)&gt;MATCH("おやつ",貼り付け用!$3:$3,0),"",
IF(VLOOKUP($A131,貼り付け用!$A$1:$BA$300,COLUMN(),FALSE)=0,"",VLOOKUP($A131,貼り付け用!$A$1:$BA$300,COLUMN(),FALSE))),"")</f>
        <v>#N/A</v>
      </c>
      <c r="N131" s="3" t="e">
        <f>IF($A131&lt;&gt;"",
IF(COLUMN(貼り付け用!N131)&gt;MATCH("おやつ",貼り付け用!$3:$3,0),"",
IF(VLOOKUP($A131,貼り付け用!$A$1:$BA$300,COLUMN(),FALSE)=0,"",VLOOKUP($A131,貼り付け用!$A$1:$BA$300,COLUMN(),FALSE))),"")</f>
        <v>#N/A</v>
      </c>
      <c r="O131" s="3" t="e">
        <f>IF($A131&lt;&gt;"",
IF(COLUMN(貼り付け用!O131)&gt;MATCH("おやつ",貼り付け用!$3:$3,0),"",
IF(VLOOKUP($A131,貼り付け用!$A$1:$BA$300,COLUMN(),FALSE)=0,"",VLOOKUP($A131,貼り付け用!$A$1:$BA$300,COLUMN(),FALSE))),"")</f>
        <v>#N/A</v>
      </c>
      <c r="P131" s="3" t="e">
        <f>IF($A131&lt;&gt;"",
IF(COLUMN(貼り付け用!P131)&gt;MATCH("おやつ",貼り付け用!$3:$3,0),"",
IF(VLOOKUP($A131,貼り付け用!$A$1:$BA$300,COLUMN(),FALSE)=0,"",VLOOKUP($A131,貼り付け用!$A$1:$BA$300,COLUMN(),FALSE))),"")</f>
        <v>#N/A</v>
      </c>
      <c r="Q131" s="3" t="e">
        <f>IF($A131&lt;&gt;"",
IF(COLUMN(貼り付け用!Q131)&gt;MATCH("おやつ",貼り付け用!$3:$3,0),"",
IF(VLOOKUP($A131,貼り付け用!$A$1:$BA$300,COLUMN(),FALSE)=0,"",VLOOKUP($A131,貼り付け用!$A$1:$BA$300,COLUMN(),FALSE))),"")</f>
        <v>#N/A</v>
      </c>
      <c r="R131" s="3" t="e">
        <f>IF($A131&lt;&gt;"",
IF(COLUMN(貼り付け用!R131)&gt;MATCH("おやつ",貼り付け用!$3:$3,0),"",
IF(VLOOKUP($A131,貼り付け用!$A$1:$BA$300,COLUMN(),FALSE)=0,"",VLOOKUP($A131,貼り付け用!$A$1:$BA$300,COLUMN(),FALSE))),"")</f>
        <v>#N/A</v>
      </c>
      <c r="S131" s="3" t="e">
        <f>IF($A131&lt;&gt;"",
IF(COLUMN(貼り付け用!S131)&gt;MATCH("おやつ",貼り付け用!$3:$3,0),"",
IF(VLOOKUP($A131,貼り付け用!$A$1:$BA$300,COLUMN(),FALSE)=0,"",VLOOKUP($A131,貼り付け用!$A$1:$BA$300,COLUMN(),FALSE))),"")</f>
        <v>#N/A</v>
      </c>
      <c r="T131" s="3" t="e">
        <f>IF(COLUMN(貼り付け用!T131)&gt;MATCH("おやつ",貼り付け用!$3:$3,0),"",
IF(VLOOKUP($A131,貼り付け用!$A$1:$BA$300,COLUMN(),FALSE)=0,"",VLOOKUP($A131,貼り付け用!$A$1:$BA$300,COLUMN(),FALSE)))</f>
        <v>#N/A</v>
      </c>
      <c r="U131" s="21"/>
      <c r="V131" s="55" t="e">
        <f>IF(A131&lt;&gt;"",
IF(VLOOKUP($A131,貼り付け用!$A$1:$BA$300,MATCH("おやつ",貼り付け用!$3:$3,0)+1,FALSE)=0,"",VLOOKUP($A131,貼り付け用!$A$1:$BA$300,MATCH("おやつ",貼り付け用!$3:$3,0)+1,FALSE)),"")</f>
        <v>#N/A</v>
      </c>
      <c r="W131" s="14" t="e">
        <f>IF(A131&lt;&gt;"",
IF(VLOOKUP($A131,貼り付け用!$A$1:$BA$300,MATCH("おやつ",貼り付け用!$3:$3,0)+2,FALSE)=0,"",VLOOKUP($A131,貼り付け用!$A$1:$BA$300,MATCH("おやつ",貼り付け用!$3:$3,0)+2,FALSE)),"")</f>
        <v>#N/A</v>
      </c>
    </row>
    <row r="132" spans="1:23">
      <c r="A132" s="4" t="e">
        <f>IF(貼り付け用!$A$6&lt;&gt;"",
IF(ROW(A131)+1&gt;=MATCH("*10000*", 貼り付け用!$A:$A, 0),
IF(COUNTIF(A130,"*10000*"),"10001",
IF(COUNTIF(A130,"*10001*"),"10002",
IF(COUNTIF(A130,"*10002*"),"",
IF(COUNTIF(A130,""),"","10000")))),
IF(貼り付け用!A132&lt;&gt;"",貼り付け用!A132,"")),
IF(ROW(A132)+1&gt;=MATCH("*10000*", 貼り付け用!$A:$A, 0),
IF(COUNTIF(A130,"*10000*"),"10001",
IF(COUNTIF(A130,"*10001*"),"10002",
IF(COUNTIF(A130,"*10002*"),"",
IF(COUNTIF(A130,""),"","10000")))),
IF(貼り付け用!A133&lt;&gt;"",貼り付け用!A133,"")))</f>
        <v>#N/A</v>
      </c>
      <c r="B132" s="14" t="e">
        <f>IF($A132&lt;&gt;"",IF(VLOOKUP($A132,貼り付け用!$A$1:$BA$300,COLUMN(),FALSE)=0,"",VLOOKUP($A132,貼り付け用!$A$1:$BA$300,COLUMN(),FALSE)),"")</f>
        <v>#N/A</v>
      </c>
      <c r="C132" s="14" t="e">
        <f>IF($A132&lt;&gt;"",IF(VLOOKUP($A132,貼り付け用!$A$1:$BA$300,COLUMN(),FALSE)=0,"",VLOOKUP($A132,貼り付け用!$A$1:$BA$300,COLUMN(),FALSE)),"")</f>
        <v>#N/A</v>
      </c>
      <c r="D132" s="14" t="e">
        <f>IF($A132&lt;&gt;"",IF(VLOOKUP($A132,貼り付け用!$A$1:$BA$300,COLUMN(),FALSE)=0,"",VLOOKUP($A132,貼り付け用!$A$1:$BA$300,COLUMN(),FALSE)),"")</f>
        <v>#N/A</v>
      </c>
      <c r="E132" s="14" t="e">
        <f>IF($A132&lt;&gt;"",IF(VLOOKUP($A132,貼り付け用!$A$1:$BA$300,COLUMN(),FALSE)=0,"",VLOOKUP($A132,貼り付け用!$A$1:$BA$300,COLUMN(),FALSE)),"")</f>
        <v>#N/A</v>
      </c>
      <c r="F132" s="14" t="e">
        <f>IF($A132&lt;&gt;"",IF(VLOOKUP($A132,貼り付け用!$A$1:$BA$300,COLUMN(),FALSE)=0,"",VLOOKUP($A132,貼り付け用!$A$1:$BA$300,COLUMN(),FALSE)),"")</f>
        <v>#N/A</v>
      </c>
      <c r="G132" s="14" t="e">
        <f>IF($A132&lt;&gt;"",IF(VLOOKUP($A132,貼り付け用!$A$1:$BA$300,COLUMN(),FALSE)=0,"",VLOOKUP($A132,貼り付け用!$A$1:$BA$300,COLUMN(),FALSE)),"")</f>
        <v>#N/A</v>
      </c>
      <c r="H132" s="14" t="e">
        <f>IF($A132&lt;&gt;"",IF(VLOOKUP($A132,貼り付け用!$A$1:$BA$300,COLUMN(),FALSE)=0,"",VLOOKUP($A132,貼り付け用!$A$1:$BA$300,COLUMN(),FALSE)),"")</f>
        <v>#N/A</v>
      </c>
      <c r="I132" s="14" t="e">
        <f>IF($A132&lt;&gt;"",IF(VLOOKUP($A132,貼り付け用!$A$1:$BA$300,COLUMN(),FALSE)=0,"",VLOOKUP($A132,貼り付け用!$A$1:$BA$300,COLUMN(),FALSE)),"")</f>
        <v>#N/A</v>
      </c>
      <c r="J132" s="14" t="e">
        <f>IF($A132&lt;&gt;"",IF(VLOOKUP($A132,貼り付け用!$A$1:$BA$300,COLUMN(),FALSE)=0,"",VLOOKUP($A132,貼り付け用!$A$1:$BA$300,COLUMN(),FALSE)),"")</f>
        <v>#N/A</v>
      </c>
      <c r="K132" s="14" t="e">
        <f>IF($A132&lt;&gt;"",IF(VLOOKUP($A132,貼り付け用!$A$1:$BA$300,COLUMN(),FALSE)=0,"",VLOOKUP($A132,貼り付け用!$A$1:$BA$300,COLUMN(),FALSE)),"")</f>
        <v>#N/A</v>
      </c>
      <c r="L132" s="14" t="e">
        <f>IF($A132&lt;&gt;"",
IF(COLUMN(貼り付け用!L132)&gt;MATCH("おやつ",貼り付け用!$3:$3,0),"",
IF(VLOOKUP($A132,貼り付け用!$A$1:$BA$300,COLUMN(),FALSE)=0,"",VLOOKUP($A132,貼り付け用!$A$1:$BA$300,COLUMN(),FALSE))),"")</f>
        <v>#N/A</v>
      </c>
      <c r="M132" s="14" t="e">
        <f>IF($A132&lt;&gt;"",
IF(COLUMN(貼り付け用!M132)&gt;MATCH("おやつ",貼り付け用!$3:$3,0),"",
IF(VLOOKUP($A132,貼り付け用!$A$1:$BA$300,COLUMN(),FALSE)=0,"",VLOOKUP($A132,貼り付け用!$A$1:$BA$300,COLUMN(),FALSE))),"")</f>
        <v>#N/A</v>
      </c>
      <c r="N132" s="14" t="e">
        <f>IF($A132&lt;&gt;"",
IF(COLUMN(貼り付け用!N132)&gt;MATCH("おやつ",貼り付け用!$3:$3,0),"",
IF(VLOOKUP($A132,貼り付け用!$A$1:$BA$300,COLUMN(),FALSE)=0,"",VLOOKUP($A132,貼り付け用!$A$1:$BA$300,COLUMN(),FALSE))),"")</f>
        <v>#N/A</v>
      </c>
      <c r="O132" s="14" t="e">
        <f>IF($A132&lt;&gt;"",
IF(COLUMN(貼り付け用!O132)&gt;MATCH("おやつ",貼り付け用!$3:$3,0),"",
IF(VLOOKUP($A132,貼り付け用!$A$1:$BA$300,COLUMN(),FALSE)=0,"",VLOOKUP($A132,貼り付け用!$A$1:$BA$300,COLUMN(),FALSE))),"")</f>
        <v>#N/A</v>
      </c>
      <c r="P132" s="14" t="e">
        <f>IF($A132&lt;&gt;"",
IF(COLUMN(貼り付け用!P132)&gt;MATCH("おやつ",貼り付け用!$3:$3,0),"",
IF(VLOOKUP($A132,貼り付け用!$A$1:$BA$300,COLUMN(),FALSE)=0,"",VLOOKUP($A132,貼り付け用!$A$1:$BA$300,COLUMN(),FALSE))),"")</f>
        <v>#N/A</v>
      </c>
      <c r="Q132" s="14" t="e">
        <f>IF($A132&lt;&gt;"",
IF(COLUMN(貼り付け用!Q132)&gt;MATCH("おやつ",貼り付け用!$3:$3,0),"",
IF(VLOOKUP($A132,貼り付け用!$A$1:$BA$300,COLUMN(),FALSE)=0,"",VLOOKUP($A132,貼り付け用!$A$1:$BA$300,COLUMN(),FALSE))),"")</f>
        <v>#N/A</v>
      </c>
      <c r="R132" s="14" t="e">
        <f>IF($A132&lt;&gt;"",
IF(COLUMN(貼り付け用!R132)&gt;MATCH("おやつ",貼り付け用!$3:$3,0),"",
IF(VLOOKUP($A132,貼り付け用!$A$1:$BA$300,COLUMN(),FALSE)=0,"",VLOOKUP($A132,貼り付け用!$A$1:$BA$300,COLUMN(),FALSE))),"")</f>
        <v>#N/A</v>
      </c>
      <c r="S132" s="14" t="e">
        <f>IF($A132&lt;&gt;"",
IF(COLUMN(貼り付け用!S132)&gt;MATCH("おやつ",貼り付け用!$3:$3,0),"",
IF(VLOOKUP($A132,貼り付け用!$A$1:$BA$300,COLUMN(),FALSE)=0,"",VLOOKUP($A132,貼り付け用!$A$1:$BA$300,COLUMN(),FALSE))),"")</f>
        <v>#N/A</v>
      </c>
      <c r="T132" s="14" t="e">
        <f>IF(COLUMN(貼り付け用!T132)&gt;MATCH("おやつ",貼り付け用!$3:$3,0),"",
IF(VLOOKUP($A132,貼り付け用!$A$1:$BA$300,COLUMN(),FALSE)=0,"",VLOOKUP($A132,貼り付け用!$A$1:$BA$300,COLUMN(),FALSE)))</f>
        <v>#N/A</v>
      </c>
      <c r="U132" s="11"/>
      <c r="V132" s="55" t="e">
        <f>IF(A132&lt;&gt;"",
IF(VLOOKUP($A132,貼り付け用!$A$1:$BA$300,MATCH("おやつ",貼り付け用!$3:$3,0)+1,FALSE)=0,"",VLOOKUP($A132,貼り付け用!$A$1:$BA$300,MATCH("おやつ",貼り付け用!$3:$3,0)+1,FALSE)),"")</f>
        <v>#N/A</v>
      </c>
      <c r="W132" s="14" t="e">
        <f>IF(A132&lt;&gt;"",
IF(VLOOKUP($A132,貼り付け用!$A$1:$BA$300,MATCH("おやつ",貼り付け用!$3:$3,0)+2,FALSE)=0,"",VLOOKUP($A132,貼り付け用!$A$1:$BA$300,MATCH("おやつ",貼り付け用!$3:$3,0)+2,FALSE)),"")</f>
        <v>#N/A</v>
      </c>
    </row>
    <row r="133" spans="1:23">
      <c r="A133" s="8" t="e">
        <f>IF(貼り付け用!$A$6&lt;&gt;"",
IF(ROW(A132)+1&gt;=MATCH("*10000*", 貼り付け用!$A:$A, 0),"",
IF(貼り付け用!A133&lt;&gt;"",貼り付け用!A133,"")),
IF(ROW(A133)+1&gt;=MATCH("*10000*", 貼り付け用!$A:$A, 0),"",
IF(貼り付け用!A134&lt;&gt;"",貼り付け用!A134,"")))</f>
        <v>#N/A</v>
      </c>
      <c r="B133" s="3" t="e">
        <f>IF($A133&lt;&gt;"",IF(VLOOKUP($A133,貼り付け用!$A$1:$BA$300,COLUMN(),FALSE)=0,"",VLOOKUP($A133,貼り付け用!$A$1:$BA$300,COLUMN(),FALSE)),"")</f>
        <v>#N/A</v>
      </c>
      <c r="C133" s="3" t="e">
        <f>IF($A133&lt;&gt;"",IF(VLOOKUP($A133,貼り付け用!$A$1:$BA$300,COLUMN(),FALSE)=0,"",VLOOKUP($A133,貼り付け用!$A$1:$BA$300,COLUMN(),FALSE)),"")</f>
        <v>#N/A</v>
      </c>
      <c r="D133" s="3" t="e">
        <f>IF($A133&lt;&gt;"",IF(VLOOKUP($A133,貼り付け用!$A$1:$BA$300,COLUMN(),FALSE)=0,"",VLOOKUP($A133,貼り付け用!$A$1:$BA$300,COLUMN(),FALSE)),"")</f>
        <v>#N/A</v>
      </c>
      <c r="E133" s="3" t="e">
        <f>IF($A133&lt;&gt;"",IF(VLOOKUP($A133,貼り付け用!$A$1:$BA$300,COLUMN(),FALSE)=0,"",VLOOKUP($A133,貼り付け用!$A$1:$BA$300,COLUMN(),FALSE)),"")</f>
        <v>#N/A</v>
      </c>
      <c r="F133" s="3" t="e">
        <f>IF($A133&lt;&gt;"",IF(VLOOKUP($A133,貼り付け用!$A$1:$BA$300,COLUMN(),FALSE)=0,"",VLOOKUP($A133,貼り付け用!$A$1:$BA$300,COLUMN(),FALSE)),"")</f>
        <v>#N/A</v>
      </c>
      <c r="G133" s="3" t="e">
        <f>IF($A133&lt;&gt;"",IF(VLOOKUP($A133,貼り付け用!$A$1:$BA$300,COLUMN(),FALSE)=0,"",VLOOKUP($A133,貼り付け用!$A$1:$BA$300,COLUMN(),FALSE)),"")</f>
        <v>#N/A</v>
      </c>
      <c r="H133" s="3" t="e">
        <f>IF($A133&lt;&gt;"",IF(VLOOKUP($A133,貼り付け用!$A$1:$BA$300,COLUMN(),FALSE)=0,"",VLOOKUP($A133,貼り付け用!$A$1:$BA$300,COLUMN(),FALSE)),"")</f>
        <v>#N/A</v>
      </c>
      <c r="I133" s="3" t="e">
        <f>IF($A133&lt;&gt;"",IF(VLOOKUP($A133,貼り付け用!$A$1:$BA$300,COLUMN(),FALSE)=0,"",VLOOKUP($A133,貼り付け用!$A$1:$BA$300,COLUMN(),FALSE)),"")</f>
        <v>#N/A</v>
      </c>
      <c r="J133" s="3" t="e">
        <f>IF($A133&lt;&gt;"",IF(VLOOKUP($A133,貼り付け用!$A$1:$BA$300,COLUMN(),FALSE)=0,"",VLOOKUP($A133,貼り付け用!$A$1:$BA$300,COLUMN(),FALSE)),"")</f>
        <v>#N/A</v>
      </c>
      <c r="K133" s="3" t="e">
        <f>IF($A133&lt;&gt;"",IF(VLOOKUP($A133,貼り付け用!$A$1:$BA$300,COLUMN(),FALSE)=0,"",VLOOKUP($A133,貼り付け用!$A$1:$BA$300,COLUMN(),FALSE)),"")</f>
        <v>#N/A</v>
      </c>
      <c r="L133" s="3" t="e">
        <f>IF($A133&lt;&gt;"",
IF(COLUMN(貼り付け用!L133)&gt;MATCH("おやつ",貼り付け用!$3:$3,0),"",
IF(VLOOKUP($A133,貼り付け用!$A$1:$BA$300,COLUMN(),FALSE)=0,"",VLOOKUP($A133,貼り付け用!$A$1:$BA$300,COLUMN(),FALSE))),"")</f>
        <v>#N/A</v>
      </c>
      <c r="M133" s="3" t="e">
        <f>IF($A133&lt;&gt;"",
IF(COLUMN(貼り付け用!M133)&gt;MATCH("おやつ",貼り付け用!$3:$3,0),"",
IF(VLOOKUP($A133,貼り付け用!$A$1:$BA$300,COLUMN(),FALSE)=0,"",VLOOKUP($A133,貼り付け用!$A$1:$BA$300,COLUMN(),FALSE))),"")</f>
        <v>#N/A</v>
      </c>
      <c r="N133" s="3" t="e">
        <f>IF($A133&lt;&gt;"",
IF(COLUMN(貼り付け用!N133)&gt;MATCH("おやつ",貼り付け用!$3:$3,0),"",
IF(VLOOKUP($A133,貼り付け用!$A$1:$BA$300,COLUMN(),FALSE)=0,"",VLOOKUP($A133,貼り付け用!$A$1:$BA$300,COLUMN(),FALSE))),"")</f>
        <v>#N/A</v>
      </c>
      <c r="O133" s="3" t="e">
        <f>IF($A133&lt;&gt;"",
IF(COLUMN(貼り付け用!O133)&gt;MATCH("おやつ",貼り付け用!$3:$3,0),"",
IF(VLOOKUP($A133,貼り付け用!$A$1:$BA$300,COLUMN(),FALSE)=0,"",VLOOKUP($A133,貼り付け用!$A$1:$BA$300,COLUMN(),FALSE))),"")</f>
        <v>#N/A</v>
      </c>
      <c r="P133" s="3" t="e">
        <f>IF($A133&lt;&gt;"",
IF(COLUMN(貼り付け用!P133)&gt;MATCH("おやつ",貼り付け用!$3:$3,0),"",
IF(VLOOKUP($A133,貼り付け用!$A$1:$BA$300,COLUMN(),FALSE)=0,"",VLOOKUP($A133,貼り付け用!$A$1:$BA$300,COLUMN(),FALSE))),"")</f>
        <v>#N/A</v>
      </c>
      <c r="Q133" s="3" t="e">
        <f>IF($A133&lt;&gt;"",
IF(COLUMN(貼り付け用!Q133)&gt;MATCH("おやつ",貼り付け用!$3:$3,0),"",
IF(VLOOKUP($A133,貼り付け用!$A$1:$BA$300,COLUMN(),FALSE)=0,"",VLOOKUP($A133,貼り付け用!$A$1:$BA$300,COLUMN(),FALSE))),"")</f>
        <v>#N/A</v>
      </c>
      <c r="R133" s="3" t="e">
        <f>IF($A133&lt;&gt;"",
IF(COLUMN(貼り付け用!R133)&gt;MATCH("おやつ",貼り付け用!$3:$3,0),"",
IF(VLOOKUP($A133,貼り付け用!$A$1:$BA$300,COLUMN(),FALSE)=0,"",VLOOKUP($A133,貼り付け用!$A$1:$BA$300,COLUMN(),FALSE))),"")</f>
        <v>#N/A</v>
      </c>
      <c r="S133" s="3" t="e">
        <f>IF($A133&lt;&gt;"",
IF(COLUMN(貼り付け用!S133)&gt;MATCH("おやつ",貼り付け用!$3:$3,0),"",
IF(VLOOKUP($A133,貼り付け用!$A$1:$BA$300,COLUMN(),FALSE)=0,"",VLOOKUP($A133,貼り付け用!$A$1:$BA$300,COLUMN(),FALSE))),"")</f>
        <v>#N/A</v>
      </c>
      <c r="T133" s="3" t="e">
        <f>IF(COLUMN(貼り付け用!T133)&gt;MATCH("おやつ",貼り付け用!$3:$3,0),"",
IF(VLOOKUP($A133,貼り付け用!$A$1:$BA$300,COLUMN(),FALSE)=0,"",VLOOKUP($A133,貼り付け用!$A$1:$BA$300,COLUMN(),FALSE)))</f>
        <v>#N/A</v>
      </c>
      <c r="U133" s="21"/>
      <c r="V133" s="55" t="e">
        <f>IF(A133&lt;&gt;"",
IF(VLOOKUP($A133,貼り付け用!$A$1:$BA$300,MATCH("おやつ",貼り付け用!$3:$3,0)+1,FALSE)=0,"",VLOOKUP($A133,貼り付け用!$A$1:$BA$300,MATCH("おやつ",貼り付け用!$3:$3,0)+1,FALSE)),"")</f>
        <v>#N/A</v>
      </c>
      <c r="W133" s="14" t="e">
        <f>IF(A133&lt;&gt;"",
IF(VLOOKUP($A133,貼り付け用!$A$1:$BA$300,MATCH("おやつ",貼り付け用!$3:$3,0)+2,FALSE)=0,"",VLOOKUP($A133,貼り付け用!$A$1:$BA$300,MATCH("おやつ",貼り付け用!$3:$3,0)+2,FALSE)),"")</f>
        <v>#N/A</v>
      </c>
    </row>
    <row r="134" spans="1:23">
      <c r="A134" s="4" t="e">
        <f>IF(貼り付け用!$A$6&lt;&gt;"",
IF(ROW(A133)+1&gt;=MATCH("*10000*", 貼り付け用!$A:$A, 0),
IF(COUNTIF(A132,"*10000*"),"10001",
IF(COUNTIF(A132,"*10001*"),"10002",
IF(COUNTIF(A132,"*10002*"),"",
IF(COUNTIF(A132,""),"","10000")))),
IF(貼り付け用!A134&lt;&gt;"",貼り付け用!A134,"")),
IF(ROW(A134)+1&gt;=MATCH("*10000*", 貼り付け用!$A:$A, 0),
IF(COUNTIF(A132,"*10000*"),"10001",
IF(COUNTIF(A132,"*10001*"),"10002",
IF(COUNTIF(A132,"*10002*"),"",
IF(COUNTIF(A132,""),"","10000")))),
IF(貼り付け用!A135&lt;&gt;"",貼り付け用!A135,"")))</f>
        <v>#N/A</v>
      </c>
      <c r="B134" s="14" t="e">
        <f>IF($A134&lt;&gt;"",IF(VLOOKUP($A134,貼り付け用!$A$1:$BA$300,COLUMN(),FALSE)=0,"",VLOOKUP($A134,貼り付け用!$A$1:$BA$300,COLUMN(),FALSE)),"")</f>
        <v>#N/A</v>
      </c>
      <c r="C134" s="14" t="e">
        <f>IF($A134&lt;&gt;"",IF(VLOOKUP($A134,貼り付け用!$A$1:$BA$300,COLUMN(),FALSE)=0,"",VLOOKUP($A134,貼り付け用!$A$1:$BA$300,COLUMN(),FALSE)),"")</f>
        <v>#N/A</v>
      </c>
      <c r="D134" s="14" t="e">
        <f>IF($A134&lt;&gt;"",IF(VLOOKUP($A134,貼り付け用!$A$1:$BA$300,COLUMN(),FALSE)=0,"",VLOOKUP($A134,貼り付け用!$A$1:$BA$300,COLUMN(),FALSE)),"")</f>
        <v>#N/A</v>
      </c>
      <c r="E134" s="14" t="e">
        <f>IF($A134&lt;&gt;"",IF(VLOOKUP($A134,貼り付け用!$A$1:$BA$300,COLUMN(),FALSE)=0,"",VLOOKUP($A134,貼り付け用!$A$1:$BA$300,COLUMN(),FALSE)),"")</f>
        <v>#N/A</v>
      </c>
      <c r="F134" s="14" t="e">
        <f>IF($A134&lt;&gt;"",IF(VLOOKUP($A134,貼り付け用!$A$1:$BA$300,COLUMN(),FALSE)=0,"",VLOOKUP($A134,貼り付け用!$A$1:$BA$300,COLUMN(),FALSE)),"")</f>
        <v>#N/A</v>
      </c>
      <c r="G134" s="14" t="e">
        <f>IF($A134&lt;&gt;"",IF(VLOOKUP($A134,貼り付け用!$A$1:$BA$300,COLUMN(),FALSE)=0,"",VLOOKUP($A134,貼り付け用!$A$1:$BA$300,COLUMN(),FALSE)),"")</f>
        <v>#N/A</v>
      </c>
      <c r="H134" s="14" t="e">
        <f>IF($A134&lt;&gt;"",IF(VLOOKUP($A134,貼り付け用!$A$1:$BA$300,COLUMN(),FALSE)=0,"",VLOOKUP($A134,貼り付け用!$A$1:$BA$300,COLUMN(),FALSE)),"")</f>
        <v>#N/A</v>
      </c>
      <c r="I134" s="14" t="e">
        <f>IF($A134&lt;&gt;"",IF(VLOOKUP($A134,貼り付け用!$A$1:$BA$300,COLUMN(),FALSE)=0,"",VLOOKUP($A134,貼り付け用!$A$1:$BA$300,COLUMN(),FALSE)),"")</f>
        <v>#N/A</v>
      </c>
      <c r="J134" s="14" t="e">
        <f>IF($A134&lt;&gt;"",IF(VLOOKUP($A134,貼り付け用!$A$1:$BA$300,COLUMN(),FALSE)=0,"",VLOOKUP($A134,貼り付け用!$A$1:$BA$300,COLUMN(),FALSE)),"")</f>
        <v>#N/A</v>
      </c>
      <c r="K134" s="14" t="e">
        <f>IF($A134&lt;&gt;"",IF(VLOOKUP($A134,貼り付け用!$A$1:$BA$300,COLUMN(),FALSE)=0,"",VLOOKUP($A134,貼り付け用!$A$1:$BA$300,COLUMN(),FALSE)),"")</f>
        <v>#N/A</v>
      </c>
      <c r="L134" s="14" t="e">
        <f>IF($A134&lt;&gt;"",
IF(COLUMN(貼り付け用!L134)&gt;MATCH("おやつ",貼り付け用!$3:$3,0),"",
IF(VLOOKUP($A134,貼り付け用!$A$1:$BA$300,COLUMN(),FALSE)=0,"",VLOOKUP($A134,貼り付け用!$A$1:$BA$300,COLUMN(),FALSE))),"")</f>
        <v>#N/A</v>
      </c>
      <c r="M134" s="14" t="e">
        <f>IF($A134&lt;&gt;"",
IF(COLUMN(貼り付け用!M134)&gt;MATCH("おやつ",貼り付け用!$3:$3,0),"",
IF(VLOOKUP($A134,貼り付け用!$A$1:$BA$300,COLUMN(),FALSE)=0,"",VLOOKUP($A134,貼り付け用!$A$1:$BA$300,COLUMN(),FALSE))),"")</f>
        <v>#N/A</v>
      </c>
      <c r="N134" s="14" t="e">
        <f>IF($A134&lt;&gt;"",
IF(COLUMN(貼り付け用!N134)&gt;MATCH("おやつ",貼り付け用!$3:$3,0),"",
IF(VLOOKUP($A134,貼り付け用!$A$1:$BA$300,COLUMN(),FALSE)=0,"",VLOOKUP($A134,貼り付け用!$A$1:$BA$300,COLUMN(),FALSE))),"")</f>
        <v>#N/A</v>
      </c>
      <c r="O134" s="14" t="e">
        <f>IF($A134&lt;&gt;"",
IF(COLUMN(貼り付け用!O134)&gt;MATCH("おやつ",貼り付け用!$3:$3,0),"",
IF(VLOOKUP($A134,貼り付け用!$A$1:$BA$300,COLUMN(),FALSE)=0,"",VLOOKUP($A134,貼り付け用!$A$1:$BA$300,COLUMN(),FALSE))),"")</f>
        <v>#N/A</v>
      </c>
      <c r="P134" s="14" t="e">
        <f>IF($A134&lt;&gt;"",
IF(COLUMN(貼り付け用!P134)&gt;MATCH("おやつ",貼り付け用!$3:$3,0),"",
IF(VLOOKUP($A134,貼り付け用!$A$1:$BA$300,COLUMN(),FALSE)=0,"",VLOOKUP($A134,貼り付け用!$A$1:$BA$300,COLUMN(),FALSE))),"")</f>
        <v>#N/A</v>
      </c>
      <c r="Q134" s="14" t="e">
        <f>IF($A134&lt;&gt;"",
IF(COLUMN(貼り付け用!Q134)&gt;MATCH("おやつ",貼り付け用!$3:$3,0),"",
IF(VLOOKUP($A134,貼り付け用!$A$1:$BA$300,COLUMN(),FALSE)=0,"",VLOOKUP($A134,貼り付け用!$A$1:$BA$300,COLUMN(),FALSE))),"")</f>
        <v>#N/A</v>
      </c>
      <c r="R134" s="14" t="e">
        <f>IF($A134&lt;&gt;"",
IF(COLUMN(貼り付け用!R134)&gt;MATCH("おやつ",貼り付け用!$3:$3,0),"",
IF(VLOOKUP($A134,貼り付け用!$A$1:$BA$300,COLUMN(),FALSE)=0,"",VLOOKUP($A134,貼り付け用!$A$1:$BA$300,COLUMN(),FALSE))),"")</f>
        <v>#N/A</v>
      </c>
      <c r="S134" s="14" t="e">
        <f>IF($A134&lt;&gt;"",
IF(COLUMN(貼り付け用!S134)&gt;MATCH("おやつ",貼り付け用!$3:$3,0),"",
IF(VLOOKUP($A134,貼り付け用!$A$1:$BA$300,COLUMN(),FALSE)=0,"",VLOOKUP($A134,貼り付け用!$A$1:$BA$300,COLUMN(),FALSE))),"")</f>
        <v>#N/A</v>
      </c>
      <c r="T134" s="14" t="e">
        <f>IF(COLUMN(貼り付け用!T134)&gt;MATCH("おやつ",貼り付け用!$3:$3,0),"",
IF(VLOOKUP($A134,貼り付け用!$A$1:$BA$300,COLUMN(),FALSE)=0,"",VLOOKUP($A134,貼り付け用!$A$1:$BA$300,COLUMN(),FALSE)))</f>
        <v>#N/A</v>
      </c>
      <c r="U134" s="11"/>
      <c r="V134" s="55" t="e">
        <f>IF(A134&lt;&gt;"",
IF(VLOOKUP($A134,貼り付け用!$A$1:$BA$300,MATCH("おやつ",貼り付け用!$3:$3,0)+1,FALSE)=0,"",VLOOKUP($A134,貼り付け用!$A$1:$BA$300,MATCH("おやつ",貼り付け用!$3:$3,0)+1,FALSE)),"")</f>
        <v>#N/A</v>
      </c>
      <c r="W134" s="14" t="e">
        <f>IF(A134&lt;&gt;"",
IF(VLOOKUP($A134,貼り付け用!$A$1:$BA$300,MATCH("おやつ",貼り付け用!$3:$3,0)+2,FALSE)=0,"",VLOOKUP($A134,貼り付け用!$A$1:$BA$300,MATCH("おやつ",貼り付け用!$3:$3,0)+2,FALSE)),"")</f>
        <v>#N/A</v>
      </c>
    </row>
    <row r="135" spans="1:23">
      <c r="A135" s="8" t="e">
        <f>IF(貼り付け用!$A$6&lt;&gt;"",
IF(ROW(A134)+1&gt;=MATCH("*10000*", 貼り付け用!$A:$A, 0),"",
IF(貼り付け用!A135&lt;&gt;"",貼り付け用!A135,"")),
IF(ROW(A135)+1&gt;=MATCH("*10000*", 貼り付け用!$A:$A, 0),"",
IF(貼り付け用!A136&lt;&gt;"",貼り付け用!A136,"")))</f>
        <v>#N/A</v>
      </c>
      <c r="B135" s="3" t="e">
        <f>IF($A135&lt;&gt;"",IF(VLOOKUP($A135,貼り付け用!$A$1:$BA$300,COLUMN(),FALSE)=0,"",VLOOKUP($A135,貼り付け用!$A$1:$BA$300,COLUMN(),FALSE)),"")</f>
        <v>#N/A</v>
      </c>
      <c r="C135" s="3" t="e">
        <f>IF($A135&lt;&gt;"",IF(VLOOKUP($A135,貼り付け用!$A$1:$BA$300,COLUMN(),FALSE)=0,"",VLOOKUP($A135,貼り付け用!$A$1:$BA$300,COLUMN(),FALSE)),"")</f>
        <v>#N/A</v>
      </c>
      <c r="D135" s="3" t="e">
        <f>IF($A135&lt;&gt;"",IF(VLOOKUP($A135,貼り付け用!$A$1:$BA$300,COLUMN(),FALSE)=0,"",VLOOKUP($A135,貼り付け用!$A$1:$BA$300,COLUMN(),FALSE)),"")</f>
        <v>#N/A</v>
      </c>
      <c r="E135" s="3" t="e">
        <f>IF($A135&lt;&gt;"",IF(VLOOKUP($A135,貼り付け用!$A$1:$BA$300,COLUMN(),FALSE)=0,"",VLOOKUP($A135,貼り付け用!$A$1:$BA$300,COLUMN(),FALSE)),"")</f>
        <v>#N/A</v>
      </c>
      <c r="F135" s="3" t="e">
        <f>IF($A135&lt;&gt;"",IF(VLOOKUP($A135,貼り付け用!$A$1:$BA$300,COLUMN(),FALSE)=0,"",VLOOKUP($A135,貼り付け用!$A$1:$BA$300,COLUMN(),FALSE)),"")</f>
        <v>#N/A</v>
      </c>
      <c r="G135" s="3" t="e">
        <f>IF($A135&lt;&gt;"",IF(VLOOKUP($A135,貼り付け用!$A$1:$BA$300,COLUMN(),FALSE)=0,"",VLOOKUP($A135,貼り付け用!$A$1:$BA$300,COLUMN(),FALSE)),"")</f>
        <v>#N/A</v>
      </c>
      <c r="H135" s="3" t="e">
        <f>IF($A135&lt;&gt;"",IF(VLOOKUP($A135,貼り付け用!$A$1:$BA$300,COLUMN(),FALSE)=0,"",VLOOKUP($A135,貼り付け用!$A$1:$BA$300,COLUMN(),FALSE)),"")</f>
        <v>#N/A</v>
      </c>
      <c r="I135" s="3" t="e">
        <f>IF($A135&lt;&gt;"",IF(VLOOKUP($A135,貼り付け用!$A$1:$BA$300,COLUMN(),FALSE)=0,"",VLOOKUP($A135,貼り付け用!$A$1:$BA$300,COLUMN(),FALSE)),"")</f>
        <v>#N/A</v>
      </c>
      <c r="J135" s="3" t="e">
        <f>IF($A135&lt;&gt;"",IF(VLOOKUP($A135,貼り付け用!$A$1:$BA$300,COLUMN(),FALSE)=0,"",VLOOKUP($A135,貼り付け用!$A$1:$BA$300,COLUMN(),FALSE)),"")</f>
        <v>#N/A</v>
      </c>
      <c r="K135" s="3" t="e">
        <f>IF($A135&lt;&gt;"",IF(VLOOKUP($A135,貼り付け用!$A$1:$BA$300,COLUMN(),FALSE)=0,"",VLOOKUP($A135,貼り付け用!$A$1:$BA$300,COLUMN(),FALSE)),"")</f>
        <v>#N/A</v>
      </c>
      <c r="L135" s="3" t="e">
        <f>IF($A135&lt;&gt;"",
IF(COLUMN(貼り付け用!L135)&gt;MATCH("おやつ",貼り付け用!$3:$3,0),"",
IF(VLOOKUP($A135,貼り付け用!$A$1:$BA$300,COLUMN(),FALSE)=0,"",VLOOKUP($A135,貼り付け用!$A$1:$BA$300,COLUMN(),FALSE))),"")</f>
        <v>#N/A</v>
      </c>
      <c r="M135" s="3" t="e">
        <f>IF($A135&lt;&gt;"",
IF(COLUMN(貼り付け用!M135)&gt;MATCH("おやつ",貼り付け用!$3:$3,0),"",
IF(VLOOKUP($A135,貼り付け用!$A$1:$BA$300,COLUMN(),FALSE)=0,"",VLOOKUP($A135,貼り付け用!$A$1:$BA$300,COLUMN(),FALSE))),"")</f>
        <v>#N/A</v>
      </c>
      <c r="N135" s="3" t="e">
        <f>IF($A135&lt;&gt;"",
IF(COLUMN(貼り付け用!N135)&gt;MATCH("おやつ",貼り付け用!$3:$3,0),"",
IF(VLOOKUP($A135,貼り付け用!$A$1:$BA$300,COLUMN(),FALSE)=0,"",VLOOKUP($A135,貼り付け用!$A$1:$BA$300,COLUMN(),FALSE))),"")</f>
        <v>#N/A</v>
      </c>
      <c r="O135" s="3" t="e">
        <f>IF($A135&lt;&gt;"",
IF(COLUMN(貼り付け用!O135)&gt;MATCH("おやつ",貼り付け用!$3:$3,0),"",
IF(VLOOKUP($A135,貼り付け用!$A$1:$BA$300,COLUMN(),FALSE)=0,"",VLOOKUP($A135,貼り付け用!$A$1:$BA$300,COLUMN(),FALSE))),"")</f>
        <v>#N/A</v>
      </c>
      <c r="P135" s="3" t="e">
        <f>IF($A135&lt;&gt;"",
IF(COLUMN(貼り付け用!P135)&gt;MATCH("おやつ",貼り付け用!$3:$3,0),"",
IF(VLOOKUP($A135,貼り付け用!$A$1:$BA$300,COLUMN(),FALSE)=0,"",VLOOKUP($A135,貼り付け用!$A$1:$BA$300,COLUMN(),FALSE))),"")</f>
        <v>#N/A</v>
      </c>
      <c r="Q135" s="3" t="e">
        <f>IF($A135&lt;&gt;"",
IF(COLUMN(貼り付け用!Q135)&gt;MATCH("おやつ",貼り付け用!$3:$3,0),"",
IF(VLOOKUP($A135,貼り付け用!$A$1:$BA$300,COLUMN(),FALSE)=0,"",VLOOKUP($A135,貼り付け用!$A$1:$BA$300,COLUMN(),FALSE))),"")</f>
        <v>#N/A</v>
      </c>
      <c r="R135" s="3" t="e">
        <f>IF($A135&lt;&gt;"",
IF(COLUMN(貼り付け用!R135)&gt;MATCH("おやつ",貼り付け用!$3:$3,0),"",
IF(VLOOKUP($A135,貼り付け用!$A$1:$BA$300,COLUMN(),FALSE)=0,"",VLOOKUP($A135,貼り付け用!$A$1:$BA$300,COLUMN(),FALSE))),"")</f>
        <v>#N/A</v>
      </c>
      <c r="S135" s="3" t="e">
        <f>IF($A135&lt;&gt;"",
IF(COLUMN(貼り付け用!S135)&gt;MATCH("おやつ",貼り付け用!$3:$3,0),"",
IF(VLOOKUP($A135,貼り付け用!$A$1:$BA$300,COLUMN(),FALSE)=0,"",VLOOKUP($A135,貼り付け用!$A$1:$BA$300,COLUMN(),FALSE))),"")</f>
        <v>#N/A</v>
      </c>
      <c r="T135" s="3" t="e">
        <f>IF(COLUMN(貼り付け用!T135)&gt;MATCH("おやつ",貼り付け用!$3:$3,0),"",
IF(VLOOKUP($A135,貼り付け用!$A$1:$BA$300,COLUMN(),FALSE)=0,"",VLOOKUP($A135,貼り付け用!$A$1:$BA$300,COLUMN(),FALSE)))</f>
        <v>#N/A</v>
      </c>
      <c r="U135" s="21"/>
      <c r="V135" s="55" t="e">
        <f>IF(A135&lt;&gt;"",
IF(VLOOKUP($A135,貼り付け用!$A$1:$BA$300,MATCH("おやつ",貼り付け用!$3:$3,0)+1,FALSE)=0,"",VLOOKUP($A135,貼り付け用!$A$1:$BA$300,MATCH("おやつ",貼り付け用!$3:$3,0)+1,FALSE)),"")</f>
        <v>#N/A</v>
      </c>
      <c r="W135" s="14" t="e">
        <f>IF(A135&lt;&gt;"",
IF(VLOOKUP($A135,貼り付け用!$A$1:$BA$300,MATCH("おやつ",貼り付け用!$3:$3,0)+2,FALSE)=0,"",VLOOKUP($A135,貼り付け用!$A$1:$BA$300,MATCH("おやつ",貼り付け用!$3:$3,0)+2,FALSE)),"")</f>
        <v>#N/A</v>
      </c>
    </row>
    <row r="136" spans="1:23">
      <c r="A136" s="4" t="e">
        <f>IF(貼り付け用!$A$6&lt;&gt;"",
IF(ROW(A135)+1&gt;=MATCH("*10000*", 貼り付け用!$A:$A, 0),
IF(COUNTIF(A134,"*10000*"),"10001",
IF(COUNTIF(A134,"*10001*"),"10002",
IF(COUNTIF(A134,"*10002*"),"",
IF(COUNTIF(A134,""),"","10000")))),
IF(貼り付け用!A136&lt;&gt;"",貼り付け用!A136,"")),
IF(ROW(A136)+1&gt;=MATCH("*10000*", 貼り付け用!$A:$A, 0),
IF(COUNTIF(A134,"*10000*"),"10001",
IF(COUNTIF(A134,"*10001*"),"10002",
IF(COUNTIF(A134,"*10002*"),"",
IF(COUNTIF(A134,""),"","10000")))),
IF(貼り付け用!A137&lt;&gt;"",貼り付け用!A137,"")))</f>
        <v>#N/A</v>
      </c>
      <c r="B136" s="14" t="e">
        <f>IF($A136&lt;&gt;"",IF(VLOOKUP($A136,貼り付け用!$A$1:$BA$300,COLUMN(),FALSE)=0,"",VLOOKUP($A136,貼り付け用!$A$1:$BA$300,COLUMN(),FALSE)),"")</f>
        <v>#N/A</v>
      </c>
      <c r="C136" s="14" t="e">
        <f>IF($A136&lt;&gt;"",IF(VLOOKUP($A136,貼り付け用!$A$1:$BA$300,COLUMN(),FALSE)=0,"",VLOOKUP($A136,貼り付け用!$A$1:$BA$300,COLUMN(),FALSE)),"")</f>
        <v>#N/A</v>
      </c>
      <c r="D136" s="14" t="e">
        <f>IF($A136&lt;&gt;"",IF(VLOOKUP($A136,貼り付け用!$A$1:$BA$300,COLUMN(),FALSE)=0,"",VLOOKUP($A136,貼り付け用!$A$1:$BA$300,COLUMN(),FALSE)),"")</f>
        <v>#N/A</v>
      </c>
      <c r="E136" s="14" t="e">
        <f>IF($A136&lt;&gt;"",IF(VLOOKUP($A136,貼り付け用!$A$1:$BA$300,COLUMN(),FALSE)=0,"",VLOOKUP($A136,貼り付け用!$A$1:$BA$300,COLUMN(),FALSE)),"")</f>
        <v>#N/A</v>
      </c>
      <c r="F136" s="14" t="e">
        <f>IF($A136&lt;&gt;"",IF(VLOOKUP($A136,貼り付け用!$A$1:$BA$300,COLUMN(),FALSE)=0,"",VLOOKUP($A136,貼り付け用!$A$1:$BA$300,COLUMN(),FALSE)),"")</f>
        <v>#N/A</v>
      </c>
      <c r="G136" s="14" t="e">
        <f>IF($A136&lt;&gt;"",IF(VLOOKUP($A136,貼り付け用!$A$1:$BA$300,COLUMN(),FALSE)=0,"",VLOOKUP($A136,貼り付け用!$A$1:$BA$300,COLUMN(),FALSE)),"")</f>
        <v>#N/A</v>
      </c>
      <c r="H136" s="14" t="e">
        <f>IF($A136&lt;&gt;"",IF(VLOOKUP($A136,貼り付け用!$A$1:$BA$300,COLUMN(),FALSE)=0,"",VLOOKUP($A136,貼り付け用!$A$1:$BA$300,COLUMN(),FALSE)),"")</f>
        <v>#N/A</v>
      </c>
      <c r="I136" s="14" t="e">
        <f>IF($A136&lt;&gt;"",IF(VLOOKUP($A136,貼り付け用!$A$1:$BA$300,COLUMN(),FALSE)=0,"",VLOOKUP($A136,貼り付け用!$A$1:$BA$300,COLUMN(),FALSE)),"")</f>
        <v>#N/A</v>
      </c>
      <c r="J136" s="14" t="e">
        <f>IF($A136&lt;&gt;"",IF(VLOOKUP($A136,貼り付け用!$A$1:$BA$300,COLUMN(),FALSE)=0,"",VLOOKUP($A136,貼り付け用!$A$1:$BA$300,COLUMN(),FALSE)),"")</f>
        <v>#N/A</v>
      </c>
      <c r="K136" s="14" t="e">
        <f>IF($A136&lt;&gt;"",IF(VLOOKUP($A136,貼り付け用!$A$1:$BA$300,COLUMN(),FALSE)=0,"",VLOOKUP($A136,貼り付け用!$A$1:$BA$300,COLUMN(),FALSE)),"")</f>
        <v>#N/A</v>
      </c>
      <c r="L136" s="14" t="e">
        <f>IF($A136&lt;&gt;"",
IF(COLUMN(貼り付け用!L136)&gt;MATCH("おやつ",貼り付け用!$3:$3,0),"",
IF(VLOOKUP($A136,貼り付け用!$A$1:$BA$300,COLUMN(),FALSE)=0,"",VLOOKUP($A136,貼り付け用!$A$1:$BA$300,COLUMN(),FALSE))),"")</f>
        <v>#N/A</v>
      </c>
      <c r="M136" s="14" t="e">
        <f>IF($A136&lt;&gt;"",
IF(COLUMN(貼り付け用!M136)&gt;MATCH("おやつ",貼り付け用!$3:$3,0),"",
IF(VLOOKUP($A136,貼り付け用!$A$1:$BA$300,COLUMN(),FALSE)=0,"",VLOOKUP($A136,貼り付け用!$A$1:$BA$300,COLUMN(),FALSE))),"")</f>
        <v>#N/A</v>
      </c>
      <c r="N136" s="14" t="e">
        <f>IF($A136&lt;&gt;"",
IF(COLUMN(貼り付け用!N136)&gt;MATCH("おやつ",貼り付け用!$3:$3,0),"",
IF(VLOOKUP($A136,貼り付け用!$A$1:$BA$300,COLUMN(),FALSE)=0,"",VLOOKUP($A136,貼り付け用!$A$1:$BA$300,COLUMN(),FALSE))),"")</f>
        <v>#N/A</v>
      </c>
      <c r="O136" s="14" t="e">
        <f>IF($A136&lt;&gt;"",
IF(COLUMN(貼り付け用!O136)&gt;MATCH("おやつ",貼り付け用!$3:$3,0),"",
IF(VLOOKUP($A136,貼り付け用!$A$1:$BA$300,COLUMN(),FALSE)=0,"",VLOOKUP($A136,貼り付け用!$A$1:$BA$300,COLUMN(),FALSE))),"")</f>
        <v>#N/A</v>
      </c>
      <c r="P136" s="14" t="e">
        <f>IF($A136&lt;&gt;"",
IF(COLUMN(貼り付け用!P136)&gt;MATCH("おやつ",貼り付け用!$3:$3,0),"",
IF(VLOOKUP($A136,貼り付け用!$A$1:$BA$300,COLUMN(),FALSE)=0,"",VLOOKUP($A136,貼り付け用!$A$1:$BA$300,COLUMN(),FALSE))),"")</f>
        <v>#N/A</v>
      </c>
      <c r="Q136" s="14" t="e">
        <f>IF($A136&lt;&gt;"",
IF(COLUMN(貼り付け用!Q136)&gt;MATCH("おやつ",貼り付け用!$3:$3,0),"",
IF(VLOOKUP($A136,貼り付け用!$A$1:$BA$300,COLUMN(),FALSE)=0,"",VLOOKUP($A136,貼り付け用!$A$1:$BA$300,COLUMN(),FALSE))),"")</f>
        <v>#N/A</v>
      </c>
      <c r="R136" s="14" t="e">
        <f>IF($A136&lt;&gt;"",
IF(COLUMN(貼り付け用!R136)&gt;MATCH("おやつ",貼り付け用!$3:$3,0),"",
IF(VLOOKUP($A136,貼り付け用!$A$1:$BA$300,COLUMN(),FALSE)=0,"",VLOOKUP($A136,貼り付け用!$A$1:$BA$300,COLUMN(),FALSE))),"")</f>
        <v>#N/A</v>
      </c>
      <c r="S136" s="14" t="e">
        <f>IF($A136&lt;&gt;"",
IF(COLUMN(貼り付け用!S136)&gt;MATCH("おやつ",貼り付け用!$3:$3,0),"",
IF(VLOOKUP($A136,貼り付け用!$A$1:$BA$300,COLUMN(),FALSE)=0,"",VLOOKUP($A136,貼り付け用!$A$1:$BA$300,COLUMN(),FALSE))),"")</f>
        <v>#N/A</v>
      </c>
      <c r="T136" s="14" t="e">
        <f>IF(COLUMN(貼り付け用!T136)&gt;MATCH("おやつ",貼り付け用!$3:$3,0),"",
IF(VLOOKUP($A136,貼り付け用!$A$1:$BA$300,COLUMN(),FALSE)=0,"",VLOOKUP($A136,貼り付け用!$A$1:$BA$300,COLUMN(),FALSE)))</f>
        <v>#N/A</v>
      </c>
      <c r="U136" s="11"/>
      <c r="V136" s="55" t="e">
        <f>IF(A136&lt;&gt;"",
IF(VLOOKUP($A136,貼り付け用!$A$1:$BA$300,MATCH("おやつ",貼り付け用!$3:$3,0)+1,FALSE)=0,"",VLOOKUP($A136,貼り付け用!$A$1:$BA$300,MATCH("おやつ",貼り付け用!$3:$3,0)+1,FALSE)),"")</f>
        <v>#N/A</v>
      </c>
      <c r="W136" s="14" t="e">
        <f>IF(A136&lt;&gt;"",
IF(VLOOKUP($A136,貼り付け用!$A$1:$BA$300,MATCH("おやつ",貼り付け用!$3:$3,0)+2,FALSE)=0,"",VLOOKUP($A136,貼り付け用!$A$1:$BA$300,MATCH("おやつ",貼り付け用!$3:$3,0)+2,FALSE)),"")</f>
        <v>#N/A</v>
      </c>
    </row>
    <row r="137" spans="1:23">
      <c r="A137" s="8" t="e">
        <f>IF(貼り付け用!$A$6&lt;&gt;"",
IF(ROW(A136)+1&gt;=MATCH("*10000*", 貼り付け用!$A:$A, 0),"",
IF(貼り付け用!A137&lt;&gt;"",貼り付け用!A137,"")),
IF(ROW(A137)+1&gt;=MATCH("*10000*", 貼り付け用!$A:$A, 0),"",
IF(貼り付け用!A138&lt;&gt;"",貼り付け用!A138,"")))</f>
        <v>#N/A</v>
      </c>
      <c r="B137" s="3" t="e">
        <f>IF($A137&lt;&gt;"",IF(VLOOKUP($A137,貼り付け用!$A$1:$BA$300,COLUMN(),FALSE)=0,"",VLOOKUP($A137,貼り付け用!$A$1:$BA$300,COLUMN(),FALSE)),"")</f>
        <v>#N/A</v>
      </c>
      <c r="C137" s="3" t="e">
        <f>IF($A137&lt;&gt;"",IF(VLOOKUP($A137,貼り付け用!$A$1:$BA$300,COLUMN(),FALSE)=0,"",VLOOKUP($A137,貼り付け用!$A$1:$BA$300,COLUMN(),FALSE)),"")</f>
        <v>#N/A</v>
      </c>
      <c r="D137" s="3" t="e">
        <f>IF($A137&lt;&gt;"",IF(VLOOKUP($A137,貼り付け用!$A$1:$BA$300,COLUMN(),FALSE)=0,"",VLOOKUP($A137,貼り付け用!$A$1:$BA$300,COLUMN(),FALSE)),"")</f>
        <v>#N/A</v>
      </c>
      <c r="E137" s="3" t="e">
        <f>IF($A137&lt;&gt;"",IF(VLOOKUP($A137,貼り付け用!$A$1:$BA$300,COLUMN(),FALSE)=0,"",VLOOKUP($A137,貼り付け用!$A$1:$BA$300,COLUMN(),FALSE)),"")</f>
        <v>#N/A</v>
      </c>
      <c r="F137" s="3" t="e">
        <f>IF($A137&lt;&gt;"",IF(VLOOKUP($A137,貼り付け用!$A$1:$BA$300,COLUMN(),FALSE)=0,"",VLOOKUP($A137,貼り付け用!$A$1:$BA$300,COLUMN(),FALSE)),"")</f>
        <v>#N/A</v>
      </c>
      <c r="G137" s="3" t="e">
        <f>IF($A137&lt;&gt;"",IF(VLOOKUP($A137,貼り付け用!$A$1:$BA$300,COLUMN(),FALSE)=0,"",VLOOKUP($A137,貼り付け用!$A$1:$BA$300,COLUMN(),FALSE)),"")</f>
        <v>#N/A</v>
      </c>
      <c r="H137" s="3" t="e">
        <f>IF($A137&lt;&gt;"",IF(VLOOKUP($A137,貼り付け用!$A$1:$BA$300,COLUMN(),FALSE)=0,"",VLOOKUP($A137,貼り付け用!$A$1:$BA$300,COLUMN(),FALSE)),"")</f>
        <v>#N/A</v>
      </c>
      <c r="I137" s="3" t="e">
        <f>IF($A137&lt;&gt;"",IF(VLOOKUP($A137,貼り付け用!$A$1:$BA$300,COLUMN(),FALSE)=0,"",VLOOKUP($A137,貼り付け用!$A$1:$BA$300,COLUMN(),FALSE)),"")</f>
        <v>#N/A</v>
      </c>
      <c r="J137" s="3" t="e">
        <f>IF($A137&lt;&gt;"",IF(VLOOKUP($A137,貼り付け用!$A$1:$BA$300,COLUMN(),FALSE)=0,"",VLOOKUP($A137,貼り付け用!$A$1:$BA$300,COLUMN(),FALSE)),"")</f>
        <v>#N/A</v>
      </c>
      <c r="K137" s="3" t="e">
        <f>IF($A137&lt;&gt;"",IF(VLOOKUP($A137,貼り付け用!$A$1:$BA$300,COLUMN(),FALSE)=0,"",VLOOKUP($A137,貼り付け用!$A$1:$BA$300,COLUMN(),FALSE)),"")</f>
        <v>#N/A</v>
      </c>
      <c r="L137" s="3" t="e">
        <f>IF($A137&lt;&gt;"",
IF(COLUMN(貼り付け用!L137)&gt;MATCH("おやつ",貼り付け用!$3:$3,0),"",
IF(VLOOKUP($A137,貼り付け用!$A$1:$BA$300,COLUMN(),FALSE)=0,"",VLOOKUP($A137,貼り付け用!$A$1:$BA$300,COLUMN(),FALSE))),"")</f>
        <v>#N/A</v>
      </c>
      <c r="M137" s="3" t="e">
        <f>IF($A137&lt;&gt;"",
IF(COLUMN(貼り付け用!M137)&gt;MATCH("おやつ",貼り付け用!$3:$3,0),"",
IF(VLOOKUP($A137,貼り付け用!$A$1:$BA$300,COLUMN(),FALSE)=0,"",VLOOKUP($A137,貼り付け用!$A$1:$BA$300,COLUMN(),FALSE))),"")</f>
        <v>#N/A</v>
      </c>
      <c r="N137" s="3" t="e">
        <f>IF($A137&lt;&gt;"",
IF(COLUMN(貼り付け用!N137)&gt;MATCH("おやつ",貼り付け用!$3:$3,0),"",
IF(VLOOKUP($A137,貼り付け用!$A$1:$BA$300,COLUMN(),FALSE)=0,"",VLOOKUP($A137,貼り付け用!$A$1:$BA$300,COLUMN(),FALSE))),"")</f>
        <v>#N/A</v>
      </c>
      <c r="O137" s="3" t="e">
        <f>IF($A137&lt;&gt;"",
IF(COLUMN(貼り付け用!O137)&gt;MATCH("おやつ",貼り付け用!$3:$3,0),"",
IF(VLOOKUP($A137,貼り付け用!$A$1:$BA$300,COLUMN(),FALSE)=0,"",VLOOKUP($A137,貼り付け用!$A$1:$BA$300,COLUMN(),FALSE))),"")</f>
        <v>#N/A</v>
      </c>
      <c r="P137" s="3" t="e">
        <f>IF($A137&lt;&gt;"",
IF(COLUMN(貼り付け用!P137)&gt;MATCH("おやつ",貼り付け用!$3:$3,0),"",
IF(VLOOKUP($A137,貼り付け用!$A$1:$BA$300,COLUMN(),FALSE)=0,"",VLOOKUP($A137,貼り付け用!$A$1:$BA$300,COLUMN(),FALSE))),"")</f>
        <v>#N/A</v>
      </c>
      <c r="Q137" s="3" t="e">
        <f>IF($A137&lt;&gt;"",
IF(COLUMN(貼り付け用!Q137)&gt;MATCH("おやつ",貼り付け用!$3:$3,0),"",
IF(VLOOKUP($A137,貼り付け用!$A$1:$BA$300,COLUMN(),FALSE)=0,"",VLOOKUP($A137,貼り付け用!$A$1:$BA$300,COLUMN(),FALSE))),"")</f>
        <v>#N/A</v>
      </c>
      <c r="R137" s="3" t="e">
        <f>IF($A137&lt;&gt;"",
IF(COLUMN(貼り付け用!R137)&gt;MATCH("おやつ",貼り付け用!$3:$3,0),"",
IF(VLOOKUP($A137,貼り付け用!$A$1:$BA$300,COLUMN(),FALSE)=0,"",VLOOKUP($A137,貼り付け用!$A$1:$BA$300,COLUMN(),FALSE))),"")</f>
        <v>#N/A</v>
      </c>
      <c r="S137" s="3" t="e">
        <f>IF($A137&lt;&gt;"",
IF(COLUMN(貼り付け用!S137)&gt;MATCH("おやつ",貼り付け用!$3:$3,0),"",
IF(VLOOKUP($A137,貼り付け用!$A$1:$BA$300,COLUMN(),FALSE)=0,"",VLOOKUP($A137,貼り付け用!$A$1:$BA$300,COLUMN(),FALSE))),"")</f>
        <v>#N/A</v>
      </c>
      <c r="T137" s="3" t="e">
        <f>IF(COLUMN(貼り付け用!T137)&gt;MATCH("おやつ",貼り付け用!$3:$3,0),"",
IF(VLOOKUP($A137,貼り付け用!$A$1:$BA$300,COLUMN(),FALSE)=0,"",VLOOKUP($A137,貼り付け用!$A$1:$BA$300,COLUMN(),FALSE)))</f>
        <v>#N/A</v>
      </c>
      <c r="U137" s="21"/>
      <c r="V137" s="55" t="e">
        <f>IF(A137&lt;&gt;"",
IF(VLOOKUP($A137,貼り付け用!$A$1:$BA$300,MATCH("おやつ",貼り付け用!$3:$3,0)+1,FALSE)=0,"",VLOOKUP($A137,貼り付け用!$A$1:$BA$300,MATCH("おやつ",貼り付け用!$3:$3,0)+1,FALSE)),"")</f>
        <v>#N/A</v>
      </c>
      <c r="W137" s="14" t="e">
        <f>IF(A137&lt;&gt;"",
IF(VLOOKUP($A137,貼り付け用!$A$1:$BA$300,MATCH("おやつ",貼り付け用!$3:$3,0)+2,FALSE)=0,"",VLOOKUP($A137,貼り付け用!$A$1:$BA$300,MATCH("おやつ",貼り付け用!$3:$3,0)+2,FALSE)),"")</f>
        <v>#N/A</v>
      </c>
    </row>
    <row r="138" spans="1:23">
      <c r="A138" s="4" t="e">
        <f>IF(貼り付け用!$A$6&lt;&gt;"",
IF(ROW(A137)+1&gt;=MATCH("*10000*", 貼り付け用!$A:$A, 0),
IF(COUNTIF(A136,"*10000*"),"10001",
IF(COUNTIF(A136,"*10001*"),"10002",
IF(COUNTIF(A136,"*10002*"),"",
IF(COUNTIF(A136,""),"","10000")))),
IF(貼り付け用!A138&lt;&gt;"",貼り付け用!A138,"")),
IF(ROW(A138)+1&gt;=MATCH("*10000*", 貼り付け用!$A:$A, 0),
IF(COUNTIF(A136,"*10000*"),"10001",
IF(COUNTIF(A136,"*10001*"),"10002",
IF(COUNTIF(A136,"*10002*"),"",
IF(COUNTIF(A136,""),"","10000")))),
IF(貼り付け用!A139&lt;&gt;"",貼り付け用!A139,"")))</f>
        <v>#N/A</v>
      </c>
      <c r="B138" s="14" t="e">
        <f>IF($A138&lt;&gt;"",IF(VLOOKUP($A138,貼り付け用!$A$1:$BA$300,COLUMN(),FALSE)=0,"",VLOOKUP($A138,貼り付け用!$A$1:$BA$300,COLUMN(),FALSE)),"")</f>
        <v>#N/A</v>
      </c>
      <c r="C138" s="14" t="e">
        <f>IF($A138&lt;&gt;"",IF(VLOOKUP($A138,貼り付け用!$A$1:$BA$300,COLUMN(),FALSE)=0,"",VLOOKUP($A138,貼り付け用!$A$1:$BA$300,COLUMN(),FALSE)),"")</f>
        <v>#N/A</v>
      </c>
      <c r="D138" s="14" t="e">
        <f>IF($A138&lt;&gt;"",IF(VLOOKUP($A138,貼り付け用!$A$1:$BA$300,COLUMN(),FALSE)=0,"",VLOOKUP($A138,貼り付け用!$A$1:$BA$300,COLUMN(),FALSE)),"")</f>
        <v>#N/A</v>
      </c>
      <c r="E138" s="14" t="e">
        <f>IF($A138&lt;&gt;"",IF(VLOOKUP($A138,貼り付け用!$A$1:$BA$300,COLUMN(),FALSE)=0,"",VLOOKUP($A138,貼り付け用!$A$1:$BA$300,COLUMN(),FALSE)),"")</f>
        <v>#N/A</v>
      </c>
      <c r="F138" s="14" t="e">
        <f>IF($A138&lt;&gt;"",IF(VLOOKUP($A138,貼り付け用!$A$1:$BA$300,COLUMN(),FALSE)=0,"",VLOOKUP($A138,貼り付け用!$A$1:$BA$300,COLUMN(),FALSE)),"")</f>
        <v>#N/A</v>
      </c>
      <c r="G138" s="14" t="e">
        <f>IF($A138&lt;&gt;"",IF(VLOOKUP($A138,貼り付け用!$A$1:$BA$300,COLUMN(),FALSE)=0,"",VLOOKUP($A138,貼り付け用!$A$1:$BA$300,COLUMN(),FALSE)),"")</f>
        <v>#N/A</v>
      </c>
      <c r="H138" s="14" t="e">
        <f>IF($A138&lt;&gt;"",IF(VLOOKUP($A138,貼り付け用!$A$1:$BA$300,COLUMN(),FALSE)=0,"",VLOOKUP($A138,貼り付け用!$A$1:$BA$300,COLUMN(),FALSE)),"")</f>
        <v>#N/A</v>
      </c>
      <c r="I138" s="14" t="e">
        <f>IF($A138&lt;&gt;"",IF(VLOOKUP($A138,貼り付け用!$A$1:$BA$300,COLUMN(),FALSE)=0,"",VLOOKUP($A138,貼り付け用!$A$1:$BA$300,COLUMN(),FALSE)),"")</f>
        <v>#N/A</v>
      </c>
      <c r="J138" s="14" t="e">
        <f>IF($A138&lt;&gt;"",IF(VLOOKUP($A138,貼り付け用!$A$1:$BA$300,COLUMN(),FALSE)=0,"",VLOOKUP($A138,貼り付け用!$A$1:$BA$300,COLUMN(),FALSE)),"")</f>
        <v>#N/A</v>
      </c>
      <c r="K138" s="14" t="e">
        <f>IF($A138&lt;&gt;"",IF(VLOOKUP($A138,貼り付け用!$A$1:$BA$300,COLUMN(),FALSE)=0,"",VLOOKUP($A138,貼り付け用!$A$1:$BA$300,COLUMN(),FALSE)),"")</f>
        <v>#N/A</v>
      </c>
      <c r="L138" s="14" t="e">
        <f>IF($A138&lt;&gt;"",
IF(COLUMN(貼り付け用!L138)&gt;MATCH("おやつ",貼り付け用!$3:$3,0),"",
IF(VLOOKUP($A138,貼り付け用!$A$1:$BA$300,COLUMN(),FALSE)=0,"",VLOOKUP($A138,貼り付け用!$A$1:$BA$300,COLUMN(),FALSE))),"")</f>
        <v>#N/A</v>
      </c>
      <c r="M138" s="14" t="e">
        <f>IF($A138&lt;&gt;"",
IF(COLUMN(貼り付け用!M138)&gt;MATCH("おやつ",貼り付け用!$3:$3,0),"",
IF(VLOOKUP($A138,貼り付け用!$A$1:$BA$300,COLUMN(),FALSE)=0,"",VLOOKUP($A138,貼り付け用!$A$1:$BA$300,COLUMN(),FALSE))),"")</f>
        <v>#N/A</v>
      </c>
      <c r="N138" s="14" t="e">
        <f>IF($A138&lt;&gt;"",
IF(COLUMN(貼り付け用!N138)&gt;MATCH("おやつ",貼り付け用!$3:$3,0),"",
IF(VLOOKUP($A138,貼り付け用!$A$1:$BA$300,COLUMN(),FALSE)=0,"",VLOOKUP($A138,貼り付け用!$A$1:$BA$300,COLUMN(),FALSE))),"")</f>
        <v>#N/A</v>
      </c>
      <c r="O138" s="14" t="e">
        <f>IF($A138&lt;&gt;"",
IF(COLUMN(貼り付け用!O138)&gt;MATCH("おやつ",貼り付け用!$3:$3,0),"",
IF(VLOOKUP($A138,貼り付け用!$A$1:$BA$300,COLUMN(),FALSE)=0,"",VLOOKUP($A138,貼り付け用!$A$1:$BA$300,COLUMN(),FALSE))),"")</f>
        <v>#N/A</v>
      </c>
      <c r="P138" s="14" t="e">
        <f>IF($A138&lt;&gt;"",
IF(COLUMN(貼り付け用!P138)&gt;MATCH("おやつ",貼り付け用!$3:$3,0),"",
IF(VLOOKUP($A138,貼り付け用!$A$1:$BA$300,COLUMN(),FALSE)=0,"",VLOOKUP($A138,貼り付け用!$A$1:$BA$300,COLUMN(),FALSE))),"")</f>
        <v>#N/A</v>
      </c>
      <c r="Q138" s="14" t="e">
        <f>IF($A138&lt;&gt;"",
IF(COLUMN(貼り付け用!Q138)&gt;MATCH("おやつ",貼り付け用!$3:$3,0),"",
IF(VLOOKUP($A138,貼り付け用!$A$1:$BA$300,COLUMN(),FALSE)=0,"",VLOOKUP($A138,貼り付け用!$A$1:$BA$300,COLUMN(),FALSE))),"")</f>
        <v>#N/A</v>
      </c>
      <c r="R138" s="14" t="e">
        <f>IF($A138&lt;&gt;"",
IF(COLUMN(貼り付け用!R138)&gt;MATCH("おやつ",貼り付け用!$3:$3,0),"",
IF(VLOOKUP($A138,貼り付け用!$A$1:$BA$300,COLUMN(),FALSE)=0,"",VLOOKUP($A138,貼り付け用!$A$1:$BA$300,COLUMN(),FALSE))),"")</f>
        <v>#N/A</v>
      </c>
      <c r="S138" s="14" t="e">
        <f>IF($A138&lt;&gt;"",
IF(COLUMN(貼り付け用!S138)&gt;MATCH("おやつ",貼り付け用!$3:$3,0),"",
IF(VLOOKUP($A138,貼り付け用!$A$1:$BA$300,COLUMN(),FALSE)=0,"",VLOOKUP($A138,貼り付け用!$A$1:$BA$300,COLUMN(),FALSE))),"")</f>
        <v>#N/A</v>
      </c>
      <c r="T138" s="14" t="e">
        <f>IF(COLUMN(貼り付け用!T138)&gt;MATCH("おやつ",貼り付け用!$3:$3,0),"",
IF(VLOOKUP($A138,貼り付け用!$A$1:$BA$300,COLUMN(),FALSE)=0,"",VLOOKUP($A138,貼り付け用!$A$1:$BA$300,COLUMN(),FALSE)))</f>
        <v>#N/A</v>
      </c>
      <c r="U138" s="11"/>
      <c r="V138" s="55" t="e">
        <f>IF(A138&lt;&gt;"",
IF(VLOOKUP($A138,貼り付け用!$A$1:$BA$300,MATCH("おやつ",貼り付け用!$3:$3,0)+1,FALSE)=0,"",VLOOKUP($A138,貼り付け用!$A$1:$BA$300,MATCH("おやつ",貼り付け用!$3:$3,0)+1,FALSE)),"")</f>
        <v>#N/A</v>
      </c>
      <c r="W138" s="14" t="e">
        <f>IF(A138&lt;&gt;"",
IF(VLOOKUP($A138,貼り付け用!$A$1:$BA$300,MATCH("おやつ",貼り付け用!$3:$3,0)+2,FALSE)=0,"",VLOOKUP($A138,貼り付け用!$A$1:$BA$300,MATCH("おやつ",貼り付け用!$3:$3,0)+2,FALSE)),"")</f>
        <v>#N/A</v>
      </c>
    </row>
    <row r="139" spans="1:23">
      <c r="A139" s="8" t="e">
        <f>IF(貼り付け用!$A$6&lt;&gt;"",
IF(ROW(A138)+1&gt;=MATCH("*10000*", 貼り付け用!$A:$A, 0),"",
IF(貼り付け用!A139&lt;&gt;"",貼り付け用!A139,"")),
IF(ROW(A139)+1&gt;=MATCH("*10000*", 貼り付け用!$A:$A, 0),"",
IF(貼り付け用!A140&lt;&gt;"",貼り付け用!A140,"")))</f>
        <v>#N/A</v>
      </c>
      <c r="B139" s="3" t="e">
        <f>IF($A139&lt;&gt;"",IF(VLOOKUP($A139,貼り付け用!$A$1:$BA$300,COLUMN(),FALSE)=0,"",VLOOKUP($A139,貼り付け用!$A$1:$BA$300,COLUMN(),FALSE)),"")</f>
        <v>#N/A</v>
      </c>
      <c r="C139" s="3" t="e">
        <f>IF($A139&lt;&gt;"",IF(VLOOKUP($A139,貼り付け用!$A$1:$BA$300,COLUMN(),FALSE)=0,"",VLOOKUP($A139,貼り付け用!$A$1:$BA$300,COLUMN(),FALSE)),"")</f>
        <v>#N/A</v>
      </c>
      <c r="D139" s="3" t="e">
        <f>IF($A139&lt;&gt;"",IF(VLOOKUP($A139,貼り付け用!$A$1:$BA$300,COLUMN(),FALSE)=0,"",VLOOKUP($A139,貼り付け用!$A$1:$BA$300,COLUMN(),FALSE)),"")</f>
        <v>#N/A</v>
      </c>
      <c r="E139" s="3" t="e">
        <f>IF($A139&lt;&gt;"",IF(VLOOKUP($A139,貼り付け用!$A$1:$BA$300,COLUMN(),FALSE)=0,"",VLOOKUP($A139,貼り付け用!$A$1:$BA$300,COLUMN(),FALSE)),"")</f>
        <v>#N/A</v>
      </c>
      <c r="F139" s="3" t="e">
        <f>IF($A139&lt;&gt;"",IF(VLOOKUP($A139,貼り付け用!$A$1:$BA$300,COLUMN(),FALSE)=0,"",VLOOKUP($A139,貼り付け用!$A$1:$BA$300,COLUMN(),FALSE)),"")</f>
        <v>#N/A</v>
      </c>
      <c r="G139" s="3" t="e">
        <f>IF($A139&lt;&gt;"",IF(VLOOKUP($A139,貼り付け用!$A$1:$BA$300,COLUMN(),FALSE)=0,"",VLOOKUP($A139,貼り付け用!$A$1:$BA$300,COLUMN(),FALSE)),"")</f>
        <v>#N/A</v>
      </c>
      <c r="H139" s="3" t="e">
        <f>IF($A139&lt;&gt;"",IF(VLOOKUP($A139,貼り付け用!$A$1:$BA$300,COLUMN(),FALSE)=0,"",VLOOKUP($A139,貼り付け用!$A$1:$BA$300,COLUMN(),FALSE)),"")</f>
        <v>#N/A</v>
      </c>
      <c r="I139" s="3" t="e">
        <f>IF($A139&lt;&gt;"",IF(VLOOKUP($A139,貼り付け用!$A$1:$BA$300,COLUMN(),FALSE)=0,"",VLOOKUP($A139,貼り付け用!$A$1:$BA$300,COLUMN(),FALSE)),"")</f>
        <v>#N/A</v>
      </c>
      <c r="J139" s="3" t="e">
        <f>IF($A139&lt;&gt;"",IF(VLOOKUP($A139,貼り付け用!$A$1:$BA$300,COLUMN(),FALSE)=0,"",VLOOKUP($A139,貼り付け用!$A$1:$BA$300,COLUMN(),FALSE)),"")</f>
        <v>#N/A</v>
      </c>
      <c r="K139" s="3" t="e">
        <f>IF($A139&lt;&gt;"",IF(VLOOKUP($A139,貼り付け用!$A$1:$BA$300,COLUMN(),FALSE)=0,"",VLOOKUP($A139,貼り付け用!$A$1:$BA$300,COLUMN(),FALSE)),"")</f>
        <v>#N/A</v>
      </c>
      <c r="L139" s="3" t="e">
        <f>IF($A139&lt;&gt;"",
IF(COLUMN(貼り付け用!L139)&gt;MATCH("おやつ",貼り付け用!$3:$3,0),"",
IF(VLOOKUP($A139,貼り付け用!$A$1:$BA$300,COLUMN(),FALSE)=0,"",VLOOKUP($A139,貼り付け用!$A$1:$BA$300,COLUMN(),FALSE))),"")</f>
        <v>#N/A</v>
      </c>
      <c r="M139" s="3" t="e">
        <f>IF($A139&lt;&gt;"",
IF(COLUMN(貼り付け用!M139)&gt;MATCH("おやつ",貼り付け用!$3:$3,0),"",
IF(VLOOKUP($A139,貼り付け用!$A$1:$BA$300,COLUMN(),FALSE)=0,"",VLOOKUP($A139,貼り付け用!$A$1:$BA$300,COLUMN(),FALSE))),"")</f>
        <v>#N/A</v>
      </c>
      <c r="N139" s="3" t="e">
        <f>IF($A139&lt;&gt;"",
IF(COLUMN(貼り付け用!N139)&gt;MATCH("おやつ",貼り付け用!$3:$3,0),"",
IF(VLOOKUP($A139,貼り付け用!$A$1:$BA$300,COLUMN(),FALSE)=0,"",VLOOKUP($A139,貼り付け用!$A$1:$BA$300,COLUMN(),FALSE))),"")</f>
        <v>#N/A</v>
      </c>
      <c r="O139" s="3" t="e">
        <f>IF($A139&lt;&gt;"",
IF(COLUMN(貼り付け用!O139)&gt;MATCH("おやつ",貼り付け用!$3:$3,0),"",
IF(VLOOKUP($A139,貼り付け用!$A$1:$BA$300,COLUMN(),FALSE)=0,"",VLOOKUP($A139,貼り付け用!$A$1:$BA$300,COLUMN(),FALSE))),"")</f>
        <v>#N/A</v>
      </c>
      <c r="P139" s="3" t="e">
        <f>IF($A139&lt;&gt;"",
IF(COLUMN(貼り付け用!P139)&gt;MATCH("おやつ",貼り付け用!$3:$3,0),"",
IF(VLOOKUP($A139,貼り付け用!$A$1:$BA$300,COLUMN(),FALSE)=0,"",VLOOKUP($A139,貼り付け用!$A$1:$BA$300,COLUMN(),FALSE))),"")</f>
        <v>#N/A</v>
      </c>
      <c r="Q139" s="3" t="e">
        <f>IF($A139&lt;&gt;"",
IF(COLUMN(貼り付け用!Q139)&gt;MATCH("おやつ",貼り付け用!$3:$3,0),"",
IF(VLOOKUP($A139,貼り付け用!$A$1:$BA$300,COLUMN(),FALSE)=0,"",VLOOKUP($A139,貼り付け用!$A$1:$BA$300,COLUMN(),FALSE))),"")</f>
        <v>#N/A</v>
      </c>
      <c r="R139" s="3" t="e">
        <f>IF($A139&lt;&gt;"",
IF(COLUMN(貼り付け用!R139)&gt;MATCH("おやつ",貼り付け用!$3:$3,0),"",
IF(VLOOKUP($A139,貼り付け用!$A$1:$BA$300,COLUMN(),FALSE)=0,"",VLOOKUP($A139,貼り付け用!$A$1:$BA$300,COLUMN(),FALSE))),"")</f>
        <v>#N/A</v>
      </c>
      <c r="S139" s="3" t="e">
        <f>IF($A139&lt;&gt;"",
IF(COLUMN(貼り付け用!S139)&gt;MATCH("おやつ",貼り付け用!$3:$3,0),"",
IF(VLOOKUP($A139,貼り付け用!$A$1:$BA$300,COLUMN(),FALSE)=0,"",VLOOKUP($A139,貼り付け用!$A$1:$BA$300,COLUMN(),FALSE))),"")</f>
        <v>#N/A</v>
      </c>
      <c r="T139" s="3" t="e">
        <f>IF(COLUMN(貼り付け用!T139)&gt;MATCH("おやつ",貼り付け用!$3:$3,0),"",
IF(VLOOKUP($A139,貼り付け用!$A$1:$BA$300,COLUMN(),FALSE)=0,"",VLOOKUP($A139,貼り付け用!$A$1:$BA$300,COLUMN(),FALSE)))</f>
        <v>#N/A</v>
      </c>
      <c r="U139" s="21"/>
      <c r="V139" s="55" t="e">
        <f>IF(A139&lt;&gt;"",
IF(VLOOKUP($A139,貼り付け用!$A$1:$BA$300,MATCH("おやつ",貼り付け用!$3:$3,0)+1,FALSE)=0,"",VLOOKUP($A139,貼り付け用!$A$1:$BA$300,MATCH("おやつ",貼り付け用!$3:$3,0)+1,FALSE)),"")</f>
        <v>#N/A</v>
      </c>
      <c r="W139" s="14" t="e">
        <f>IF(A139&lt;&gt;"",
IF(VLOOKUP($A139,貼り付け用!$A$1:$BA$300,MATCH("おやつ",貼り付け用!$3:$3,0)+2,FALSE)=0,"",VLOOKUP($A139,貼り付け用!$A$1:$BA$300,MATCH("おやつ",貼り付け用!$3:$3,0)+2,FALSE)),"")</f>
        <v>#N/A</v>
      </c>
    </row>
    <row r="140" spans="1:23">
      <c r="A140" s="4" t="e">
        <f>IF(貼り付け用!$A$6&lt;&gt;"",
IF(ROW(A139)+1&gt;=MATCH("*10000*", 貼り付け用!$A:$A, 0),
IF(COUNTIF(A138,"*10000*"),"10001",
IF(COUNTIF(A138,"*10001*"),"10002",
IF(COUNTIF(A138,"*10002*"),"",
IF(COUNTIF(A138,""),"","10000")))),
IF(貼り付け用!A140&lt;&gt;"",貼り付け用!A140,"")),
IF(ROW(A140)+1&gt;=MATCH("*10000*", 貼り付け用!$A:$A, 0),
IF(COUNTIF(A138,"*10000*"),"10001",
IF(COUNTIF(A138,"*10001*"),"10002",
IF(COUNTIF(A138,"*10002*"),"",
IF(COUNTIF(A138,""),"","10000")))),
IF(貼り付け用!A141&lt;&gt;"",貼り付け用!A141,"")))</f>
        <v>#N/A</v>
      </c>
      <c r="B140" s="14" t="e">
        <f>IF($A140&lt;&gt;"",IF(VLOOKUP($A140,貼り付け用!$A$1:$BA$300,COLUMN(),FALSE)=0,"",VLOOKUP($A140,貼り付け用!$A$1:$BA$300,COLUMN(),FALSE)),"")</f>
        <v>#N/A</v>
      </c>
      <c r="C140" s="14" t="e">
        <f>IF($A140&lt;&gt;"",IF(VLOOKUP($A140,貼り付け用!$A$1:$BA$300,COLUMN(),FALSE)=0,"",VLOOKUP($A140,貼り付け用!$A$1:$BA$300,COLUMN(),FALSE)),"")</f>
        <v>#N/A</v>
      </c>
      <c r="D140" s="14" t="e">
        <f>IF($A140&lt;&gt;"",IF(VLOOKUP($A140,貼り付け用!$A$1:$BA$300,COLUMN(),FALSE)=0,"",VLOOKUP($A140,貼り付け用!$A$1:$BA$300,COLUMN(),FALSE)),"")</f>
        <v>#N/A</v>
      </c>
      <c r="E140" s="14" t="e">
        <f>IF($A140&lt;&gt;"",IF(VLOOKUP($A140,貼り付け用!$A$1:$BA$300,COLUMN(),FALSE)=0,"",VLOOKUP($A140,貼り付け用!$A$1:$BA$300,COLUMN(),FALSE)),"")</f>
        <v>#N/A</v>
      </c>
      <c r="F140" s="14" t="e">
        <f>IF($A140&lt;&gt;"",IF(VLOOKUP($A140,貼り付け用!$A$1:$BA$300,COLUMN(),FALSE)=0,"",VLOOKUP($A140,貼り付け用!$A$1:$BA$300,COLUMN(),FALSE)),"")</f>
        <v>#N/A</v>
      </c>
      <c r="G140" s="14" t="e">
        <f>IF($A140&lt;&gt;"",IF(VLOOKUP($A140,貼り付け用!$A$1:$BA$300,COLUMN(),FALSE)=0,"",VLOOKUP($A140,貼り付け用!$A$1:$BA$300,COLUMN(),FALSE)),"")</f>
        <v>#N/A</v>
      </c>
      <c r="H140" s="14" t="e">
        <f>IF($A140&lt;&gt;"",IF(VLOOKUP($A140,貼り付け用!$A$1:$BA$300,COLUMN(),FALSE)=0,"",VLOOKUP($A140,貼り付け用!$A$1:$BA$300,COLUMN(),FALSE)),"")</f>
        <v>#N/A</v>
      </c>
      <c r="I140" s="14" t="e">
        <f>IF($A140&lt;&gt;"",IF(VLOOKUP($A140,貼り付け用!$A$1:$BA$300,COLUMN(),FALSE)=0,"",VLOOKUP($A140,貼り付け用!$A$1:$BA$300,COLUMN(),FALSE)),"")</f>
        <v>#N/A</v>
      </c>
      <c r="J140" s="14" t="e">
        <f>IF($A140&lt;&gt;"",IF(VLOOKUP($A140,貼り付け用!$A$1:$BA$300,COLUMN(),FALSE)=0,"",VLOOKUP($A140,貼り付け用!$A$1:$BA$300,COLUMN(),FALSE)),"")</f>
        <v>#N/A</v>
      </c>
      <c r="K140" s="14" t="e">
        <f>IF($A140&lt;&gt;"",IF(VLOOKUP($A140,貼り付け用!$A$1:$BA$300,COLUMN(),FALSE)=0,"",VLOOKUP($A140,貼り付け用!$A$1:$BA$300,COLUMN(),FALSE)),"")</f>
        <v>#N/A</v>
      </c>
      <c r="L140" s="14" t="e">
        <f>IF($A140&lt;&gt;"",
IF(COLUMN(貼り付け用!L140)&gt;MATCH("おやつ",貼り付け用!$3:$3,0),"",
IF(VLOOKUP($A140,貼り付け用!$A$1:$BA$300,COLUMN(),FALSE)=0,"",VLOOKUP($A140,貼り付け用!$A$1:$BA$300,COLUMN(),FALSE))),"")</f>
        <v>#N/A</v>
      </c>
      <c r="M140" s="14" t="e">
        <f>IF($A140&lt;&gt;"",
IF(COLUMN(貼り付け用!M140)&gt;MATCH("おやつ",貼り付け用!$3:$3,0),"",
IF(VLOOKUP($A140,貼り付け用!$A$1:$BA$300,COLUMN(),FALSE)=0,"",VLOOKUP($A140,貼り付け用!$A$1:$BA$300,COLUMN(),FALSE))),"")</f>
        <v>#N/A</v>
      </c>
      <c r="N140" s="14" t="e">
        <f>IF($A140&lt;&gt;"",
IF(COLUMN(貼り付け用!N140)&gt;MATCH("おやつ",貼り付け用!$3:$3,0),"",
IF(VLOOKUP($A140,貼り付け用!$A$1:$BA$300,COLUMN(),FALSE)=0,"",VLOOKUP($A140,貼り付け用!$A$1:$BA$300,COLUMN(),FALSE))),"")</f>
        <v>#N/A</v>
      </c>
      <c r="O140" s="14" t="e">
        <f>IF($A140&lt;&gt;"",
IF(COLUMN(貼り付け用!O140)&gt;MATCH("おやつ",貼り付け用!$3:$3,0),"",
IF(VLOOKUP($A140,貼り付け用!$A$1:$BA$300,COLUMN(),FALSE)=0,"",VLOOKUP($A140,貼り付け用!$A$1:$BA$300,COLUMN(),FALSE))),"")</f>
        <v>#N/A</v>
      </c>
      <c r="P140" s="14" t="e">
        <f>IF($A140&lt;&gt;"",
IF(COLUMN(貼り付け用!P140)&gt;MATCH("おやつ",貼り付け用!$3:$3,0),"",
IF(VLOOKUP($A140,貼り付け用!$A$1:$BA$300,COLUMN(),FALSE)=0,"",VLOOKUP($A140,貼り付け用!$A$1:$BA$300,COLUMN(),FALSE))),"")</f>
        <v>#N/A</v>
      </c>
      <c r="Q140" s="14" t="e">
        <f>IF($A140&lt;&gt;"",
IF(COLUMN(貼り付け用!Q140)&gt;MATCH("おやつ",貼り付け用!$3:$3,0),"",
IF(VLOOKUP($A140,貼り付け用!$A$1:$BA$300,COLUMN(),FALSE)=0,"",VLOOKUP($A140,貼り付け用!$A$1:$BA$300,COLUMN(),FALSE))),"")</f>
        <v>#N/A</v>
      </c>
      <c r="R140" s="14" t="e">
        <f>IF($A140&lt;&gt;"",
IF(COLUMN(貼り付け用!R140)&gt;MATCH("おやつ",貼り付け用!$3:$3,0),"",
IF(VLOOKUP($A140,貼り付け用!$A$1:$BA$300,COLUMN(),FALSE)=0,"",VLOOKUP($A140,貼り付け用!$A$1:$BA$300,COLUMN(),FALSE))),"")</f>
        <v>#N/A</v>
      </c>
      <c r="S140" s="14" t="e">
        <f>IF($A140&lt;&gt;"",
IF(COLUMN(貼り付け用!S140)&gt;MATCH("おやつ",貼り付け用!$3:$3,0),"",
IF(VLOOKUP($A140,貼り付け用!$A$1:$BA$300,COLUMN(),FALSE)=0,"",VLOOKUP($A140,貼り付け用!$A$1:$BA$300,COLUMN(),FALSE))),"")</f>
        <v>#N/A</v>
      </c>
      <c r="T140" s="14" t="e">
        <f>IF(COLUMN(貼り付け用!T140)&gt;MATCH("おやつ",貼り付け用!$3:$3,0),"",
IF(VLOOKUP($A140,貼り付け用!$A$1:$BA$300,COLUMN(),FALSE)=0,"",VLOOKUP($A140,貼り付け用!$A$1:$BA$300,COLUMN(),FALSE)))</f>
        <v>#N/A</v>
      </c>
      <c r="U140" s="11"/>
      <c r="V140" s="55" t="e">
        <f>IF(A140&lt;&gt;"",
IF(VLOOKUP($A140,貼り付け用!$A$1:$BA$300,MATCH("おやつ",貼り付け用!$3:$3,0)+1,FALSE)=0,"",VLOOKUP($A140,貼り付け用!$A$1:$BA$300,MATCH("おやつ",貼り付け用!$3:$3,0)+1,FALSE)),"")</f>
        <v>#N/A</v>
      </c>
      <c r="W140" s="14" t="e">
        <f>IF(A140&lt;&gt;"",
IF(VLOOKUP($A140,貼り付け用!$A$1:$BA$300,MATCH("おやつ",貼り付け用!$3:$3,0)+2,FALSE)=0,"",VLOOKUP($A140,貼り付け用!$A$1:$BA$300,MATCH("おやつ",貼り付け用!$3:$3,0)+2,FALSE)),"")</f>
        <v>#N/A</v>
      </c>
    </row>
    <row r="141" spans="1:23">
      <c r="A141" s="8" t="e">
        <f>IF(貼り付け用!$A$6&lt;&gt;"",
IF(ROW(A140)+1&gt;=MATCH("*10000*", 貼り付け用!$A:$A, 0),"",
IF(貼り付け用!A141&lt;&gt;"",貼り付け用!A141,"")),
IF(ROW(A141)+1&gt;=MATCH("*10000*", 貼り付け用!$A:$A, 0),"",
IF(貼り付け用!A142&lt;&gt;"",貼り付け用!A142,"")))</f>
        <v>#N/A</v>
      </c>
      <c r="B141" s="3" t="e">
        <f>IF($A141&lt;&gt;"",IF(VLOOKUP($A141,貼り付け用!$A$1:$BA$300,COLUMN(),FALSE)=0,"",VLOOKUP($A141,貼り付け用!$A$1:$BA$300,COLUMN(),FALSE)),"")</f>
        <v>#N/A</v>
      </c>
      <c r="C141" s="3" t="e">
        <f>IF($A141&lt;&gt;"",IF(VLOOKUP($A141,貼り付け用!$A$1:$BA$300,COLUMN(),FALSE)=0,"",VLOOKUP($A141,貼り付け用!$A$1:$BA$300,COLUMN(),FALSE)),"")</f>
        <v>#N/A</v>
      </c>
      <c r="D141" s="3" t="e">
        <f>IF($A141&lt;&gt;"",IF(VLOOKUP($A141,貼り付け用!$A$1:$BA$300,COLUMN(),FALSE)=0,"",VLOOKUP($A141,貼り付け用!$A$1:$BA$300,COLUMN(),FALSE)),"")</f>
        <v>#N/A</v>
      </c>
      <c r="E141" s="3" t="e">
        <f>IF($A141&lt;&gt;"",IF(VLOOKUP($A141,貼り付け用!$A$1:$BA$300,COLUMN(),FALSE)=0,"",VLOOKUP($A141,貼り付け用!$A$1:$BA$300,COLUMN(),FALSE)),"")</f>
        <v>#N/A</v>
      </c>
      <c r="F141" s="3" t="e">
        <f>IF($A141&lt;&gt;"",IF(VLOOKUP($A141,貼り付け用!$A$1:$BA$300,COLUMN(),FALSE)=0,"",VLOOKUP($A141,貼り付け用!$A$1:$BA$300,COLUMN(),FALSE)),"")</f>
        <v>#N/A</v>
      </c>
      <c r="G141" s="3" t="e">
        <f>IF($A141&lt;&gt;"",IF(VLOOKUP($A141,貼り付け用!$A$1:$BA$300,COLUMN(),FALSE)=0,"",VLOOKUP($A141,貼り付け用!$A$1:$BA$300,COLUMN(),FALSE)),"")</f>
        <v>#N/A</v>
      </c>
      <c r="H141" s="3" t="e">
        <f>IF($A141&lt;&gt;"",IF(VLOOKUP($A141,貼り付け用!$A$1:$BA$300,COLUMN(),FALSE)=0,"",VLOOKUP($A141,貼り付け用!$A$1:$BA$300,COLUMN(),FALSE)),"")</f>
        <v>#N/A</v>
      </c>
      <c r="I141" s="3" t="e">
        <f>IF($A141&lt;&gt;"",IF(VLOOKUP($A141,貼り付け用!$A$1:$BA$300,COLUMN(),FALSE)=0,"",VLOOKUP($A141,貼り付け用!$A$1:$BA$300,COLUMN(),FALSE)),"")</f>
        <v>#N/A</v>
      </c>
      <c r="J141" s="3" t="e">
        <f>IF($A141&lt;&gt;"",IF(VLOOKUP($A141,貼り付け用!$A$1:$BA$300,COLUMN(),FALSE)=0,"",VLOOKUP($A141,貼り付け用!$A$1:$BA$300,COLUMN(),FALSE)),"")</f>
        <v>#N/A</v>
      </c>
      <c r="K141" s="3" t="e">
        <f>IF($A141&lt;&gt;"",IF(VLOOKUP($A141,貼り付け用!$A$1:$BA$300,COLUMN(),FALSE)=0,"",VLOOKUP($A141,貼り付け用!$A$1:$BA$300,COLUMN(),FALSE)),"")</f>
        <v>#N/A</v>
      </c>
      <c r="L141" s="3" t="e">
        <f>IF($A141&lt;&gt;"",
IF(COLUMN(貼り付け用!L141)&gt;MATCH("おやつ",貼り付け用!$3:$3,0),"",
IF(VLOOKUP($A141,貼り付け用!$A$1:$BA$300,COLUMN(),FALSE)=0,"",VLOOKUP($A141,貼り付け用!$A$1:$BA$300,COLUMN(),FALSE))),"")</f>
        <v>#N/A</v>
      </c>
      <c r="M141" s="3" t="e">
        <f>IF($A141&lt;&gt;"",
IF(COLUMN(貼り付け用!M141)&gt;MATCH("おやつ",貼り付け用!$3:$3,0),"",
IF(VLOOKUP($A141,貼り付け用!$A$1:$BA$300,COLUMN(),FALSE)=0,"",VLOOKUP($A141,貼り付け用!$A$1:$BA$300,COLUMN(),FALSE))),"")</f>
        <v>#N/A</v>
      </c>
      <c r="N141" s="3" t="e">
        <f>IF($A141&lt;&gt;"",
IF(COLUMN(貼り付け用!N141)&gt;MATCH("おやつ",貼り付け用!$3:$3,0),"",
IF(VLOOKUP($A141,貼り付け用!$A$1:$BA$300,COLUMN(),FALSE)=0,"",VLOOKUP($A141,貼り付け用!$A$1:$BA$300,COLUMN(),FALSE))),"")</f>
        <v>#N/A</v>
      </c>
      <c r="O141" s="3" t="e">
        <f>IF($A141&lt;&gt;"",
IF(COLUMN(貼り付け用!O141)&gt;MATCH("おやつ",貼り付け用!$3:$3,0),"",
IF(VLOOKUP($A141,貼り付け用!$A$1:$BA$300,COLUMN(),FALSE)=0,"",VLOOKUP($A141,貼り付け用!$A$1:$BA$300,COLUMN(),FALSE))),"")</f>
        <v>#N/A</v>
      </c>
      <c r="P141" s="3" t="e">
        <f>IF($A141&lt;&gt;"",
IF(COLUMN(貼り付け用!P141)&gt;MATCH("おやつ",貼り付け用!$3:$3,0),"",
IF(VLOOKUP($A141,貼り付け用!$A$1:$BA$300,COLUMN(),FALSE)=0,"",VLOOKUP($A141,貼り付け用!$A$1:$BA$300,COLUMN(),FALSE))),"")</f>
        <v>#N/A</v>
      </c>
      <c r="Q141" s="3" t="e">
        <f>IF($A141&lt;&gt;"",
IF(COLUMN(貼り付け用!Q141)&gt;MATCH("おやつ",貼り付け用!$3:$3,0),"",
IF(VLOOKUP($A141,貼り付け用!$A$1:$BA$300,COLUMN(),FALSE)=0,"",VLOOKUP($A141,貼り付け用!$A$1:$BA$300,COLUMN(),FALSE))),"")</f>
        <v>#N/A</v>
      </c>
      <c r="R141" s="3" t="e">
        <f>IF($A141&lt;&gt;"",
IF(COLUMN(貼り付け用!R141)&gt;MATCH("おやつ",貼り付け用!$3:$3,0),"",
IF(VLOOKUP($A141,貼り付け用!$A$1:$BA$300,COLUMN(),FALSE)=0,"",VLOOKUP($A141,貼り付け用!$A$1:$BA$300,COLUMN(),FALSE))),"")</f>
        <v>#N/A</v>
      </c>
      <c r="S141" s="3" t="e">
        <f>IF($A141&lt;&gt;"",
IF(COLUMN(貼り付け用!S141)&gt;MATCH("おやつ",貼り付け用!$3:$3,0),"",
IF(VLOOKUP($A141,貼り付け用!$A$1:$BA$300,COLUMN(),FALSE)=0,"",VLOOKUP($A141,貼り付け用!$A$1:$BA$300,COLUMN(),FALSE))),"")</f>
        <v>#N/A</v>
      </c>
      <c r="T141" s="3" t="e">
        <f>IF(COLUMN(貼り付け用!T141)&gt;MATCH("おやつ",貼り付け用!$3:$3,0),"",
IF(VLOOKUP($A141,貼り付け用!$A$1:$BA$300,COLUMN(),FALSE)=0,"",VLOOKUP($A141,貼り付け用!$A$1:$BA$300,COLUMN(),FALSE)))</f>
        <v>#N/A</v>
      </c>
      <c r="U141" s="21"/>
      <c r="V141" s="55" t="e">
        <f>IF(A141&lt;&gt;"",
IF(VLOOKUP($A141,貼り付け用!$A$1:$BA$300,MATCH("おやつ",貼り付け用!$3:$3,0)+1,FALSE)=0,"",VLOOKUP($A141,貼り付け用!$A$1:$BA$300,MATCH("おやつ",貼り付け用!$3:$3,0)+1,FALSE)),"")</f>
        <v>#N/A</v>
      </c>
      <c r="W141" s="14" t="e">
        <f>IF(A141&lt;&gt;"",
IF(VLOOKUP($A141,貼り付け用!$A$1:$BA$300,MATCH("おやつ",貼り付け用!$3:$3,0)+2,FALSE)=0,"",VLOOKUP($A141,貼り付け用!$A$1:$BA$300,MATCH("おやつ",貼り付け用!$3:$3,0)+2,FALSE)),"")</f>
        <v>#N/A</v>
      </c>
    </row>
    <row r="142" spans="1:23">
      <c r="A142" s="4" t="e">
        <f>IF(貼り付け用!$A$6&lt;&gt;"",
IF(ROW(A141)+1&gt;=MATCH("*10000*", 貼り付け用!$A:$A, 0),
IF(COUNTIF(A140,"*10000*"),"10001",
IF(COUNTIF(A140,"*10001*"),"10002",
IF(COUNTIF(A140,"*10002*"),"",
IF(COUNTIF(A140,""),"","10000")))),
IF(貼り付け用!A142&lt;&gt;"",貼り付け用!A142,"")),
IF(ROW(A142)+1&gt;=MATCH("*10000*", 貼り付け用!$A:$A, 0),
IF(COUNTIF(A140,"*10000*"),"10001",
IF(COUNTIF(A140,"*10001*"),"10002",
IF(COUNTIF(A140,"*10002*"),"",
IF(COUNTIF(A140,""),"","10000")))),
IF(貼り付け用!A143&lt;&gt;"",貼り付け用!A143,"")))</f>
        <v>#N/A</v>
      </c>
      <c r="B142" s="14" t="e">
        <f>IF($A142&lt;&gt;"",IF(VLOOKUP($A142,貼り付け用!$A$1:$BA$300,COLUMN(),FALSE)=0,"",VLOOKUP($A142,貼り付け用!$A$1:$BA$300,COLUMN(),FALSE)),"")</f>
        <v>#N/A</v>
      </c>
      <c r="C142" s="14" t="e">
        <f>IF($A142&lt;&gt;"",IF(VLOOKUP($A142,貼り付け用!$A$1:$BA$300,COLUMN(),FALSE)=0,"",VLOOKUP($A142,貼り付け用!$A$1:$BA$300,COLUMN(),FALSE)),"")</f>
        <v>#N/A</v>
      </c>
      <c r="D142" s="14" t="e">
        <f>IF($A142&lt;&gt;"",IF(VLOOKUP($A142,貼り付け用!$A$1:$BA$300,COLUMN(),FALSE)=0,"",VLOOKUP($A142,貼り付け用!$A$1:$BA$300,COLUMN(),FALSE)),"")</f>
        <v>#N/A</v>
      </c>
      <c r="E142" s="14" t="e">
        <f>IF($A142&lt;&gt;"",IF(VLOOKUP($A142,貼り付け用!$A$1:$BA$300,COLUMN(),FALSE)=0,"",VLOOKUP($A142,貼り付け用!$A$1:$BA$300,COLUMN(),FALSE)),"")</f>
        <v>#N/A</v>
      </c>
      <c r="F142" s="14" t="e">
        <f>IF($A142&lt;&gt;"",IF(VLOOKUP($A142,貼り付け用!$A$1:$BA$300,COLUMN(),FALSE)=0,"",VLOOKUP($A142,貼り付け用!$A$1:$BA$300,COLUMN(),FALSE)),"")</f>
        <v>#N/A</v>
      </c>
      <c r="G142" s="14" t="e">
        <f>IF($A142&lt;&gt;"",IF(VLOOKUP($A142,貼り付け用!$A$1:$BA$300,COLUMN(),FALSE)=0,"",VLOOKUP($A142,貼り付け用!$A$1:$BA$300,COLUMN(),FALSE)),"")</f>
        <v>#N/A</v>
      </c>
      <c r="H142" s="14" t="e">
        <f>IF($A142&lt;&gt;"",IF(VLOOKUP($A142,貼り付け用!$A$1:$BA$300,COLUMN(),FALSE)=0,"",VLOOKUP($A142,貼り付け用!$A$1:$BA$300,COLUMN(),FALSE)),"")</f>
        <v>#N/A</v>
      </c>
      <c r="I142" s="14" t="e">
        <f>IF($A142&lt;&gt;"",IF(VLOOKUP($A142,貼り付け用!$A$1:$BA$300,COLUMN(),FALSE)=0,"",VLOOKUP($A142,貼り付け用!$A$1:$BA$300,COLUMN(),FALSE)),"")</f>
        <v>#N/A</v>
      </c>
      <c r="J142" s="14" t="e">
        <f>IF($A142&lt;&gt;"",IF(VLOOKUP($A142,貼り付け用!$A$1:$BA$300,COLUMN(),FALSE)=0,"",VLOOKUP($A142,貼り付け用!$A$1:$BA$300,COLUMN(),FALSE)),"")</f>
        <v>#N/A</v>
      </c>
      <c r="K142" s="14" t="e">
        <f>IF($A142&lt;&gt;"",IF(VLOOKUP($A142,貼り付け用!$A$1:$BA$300,COLUMN(),FALSE)=0,"",VLOOKUP($A142,貼り付け用!$A$1:$BA$300,COLUMN(),FALSE)),"")</f>
        <v>#N/A</v>
      </c>
      <c r="L142" s="14" t="e">
        <f>IF($A142&lt;&gt;"",
IF(COLUMN(貼り付け用!L142)&gt;MATCH("おやつ",貼り付け用!$3:$3,0),"",
IF(VLOOKUP($A142,貼り付け用!$A$1:$BA$300,COLUMN(),FALSE)=0,"",VLOOKUP($A142,貼り付け用!$A$1:$BA$300,COLUMN(),FALSE))),"")</f>
        <v>#N/A</v>
      </c>
      <c r="M142" s="14" t="e">
        <f>IF($A142&lt;&gt;"",
IF(COLUMN(貼り付け用!M142)&gt;MATCH("おやつ",貼り付け用!$3:$3,0),"",
IF(VLOOKUP($A142,貼り付け用!$A$1:$BA$300,COLUMN(),FALSE)=0,"",VLOOKUP($A142,貼り付け用!$A$1:$BA$300,COLUMN(),FALSE))),"")</f>
        <v>#N/A</v>
      </c>
      <c r="N142" s="14" t="e">
        <f>IF($A142&lt;&gt;"",
IF(COLUMN(貼り付け用!N142)&gt;MATCH("おやつ",貼り付け用!$3:$3,0),"",
IF(VLOOKUP($A142,貼り付け用!$A$1:$BA$300,COLUMN(),FALSE)=0,"",VLOOKUP($A142,貼り付け用!$A$1:$BA$300,COLUMN(),FALSE))),"")</f>
        <v>#N/A</v>
      </c>
      <c r="O142" s="14" t="e">
        <f>IF($A142&lt;&gt;"",
IF(COLUMN(貼り付け用!O142)&gt;MATCH("おやつ",貼り付け用!$3:$3,0),"",
IF(VLOOKUP($A142,貼り付け用!$A$1:$BA$300,COLUMN(),FALSE)=0,"",VLOOKUP($A142,貼り付け用!$A$1:$BA$300,COLUMN(),FALSE))),"")</f>
        <v>#N/A</v>
      </c>
      <c r="P142" s="14" t="e">
        <f>IF($A142&lt;&gt;"",
IF(COLUMN(貼り付け用!P142)&gt;MATCH("おやつ",貼り付け用!$3:$3,0),"",
IF(VLOOKUP($A142,貼り付け用!$A$1:$BA$300,COLUMN(),FALSE)=0,"",VLOOKUP($A142,貼り付け用!$A$1:$BA$300,COLUMN(),FALSE))),"")</f>
        <v>#N/A</v>
      </c>
      <c r="Q142" s="14" t="e">
        <f>IF($A142&lt;&gt;"",
IF(COLUMN(貼り付け用!Q142)&gt;MATCH("おやつ",貼り付け用!$3:$3,0),"",
IF(VLOOKUP($A142,貼り付け用!$A$1:$BA$300,COLUMN(),FALSE)=0,"",VLOOKUP($A142,貼り付け用!$A$1:$BA$300,COLUMN(),FALSE))),"")</f>
        <v>#N/A</v>
      </c>
      <c r="R142" s="14" t="e">
        <f>IF($A142&lt;&gt;"",
IF(COLUMN(貼り付け用!R142)&gt;MATCH("おやつ",貼り付け用!$3:$3,0),"",
IF(VLOOKUP($A142,貼り付け用!$A$1:$BA$300,COLUMN(),FALSE)=0,"",VLOOKUP($A142,貼り付け用!$A$1:$BA$300,COLUMN(),FALSE))),"")</f>
        <v>#N/A</v>
      </c>
      <c r="S142" s="14" t="e">
        <f>IF($A142&lt;&gt;"",
IF(COLUMN(貼り付け用!S142)&gt;MATCH("おやつ",貼り付け用!$3:$3,0),"",
IF(VLOOKUP($A142,貼り付け用!$A$1:$BA$300,COLUMN(),FALSE)=0,"",VLOOKUP($A142,貼り付け用!$A$1:$BA$300,COLUMN(),FALSE))),"")</f>
        <v>#N/A</v>
      </c>
      <c r="T142" s="14" t="e">
        <f>IF(COLUMN(貼り付け用!T142)&gt;MATCH("おやつ",貼り付け用!$3:$3,0),"",
IF(VLOOKUP($A142,貼り付け用!$A$1:$BA$300,COLUMN(),FALSE)=0,"",VLOOKUP($A142,貼り付け用!$A$1:$BA$300,COLUMN(),FALSE)))</f>
        <v>#N/A</v>
      </c>
      <c r="U142" s="11"/>
      <c r="V142" s="55" t="e">
        <f>IF(A142&lt;&gt;"",
IF(VLOOKUP($A142,貼り付け用!$A$1:$BA$300,MATCH("おやつ",貼り付け用!$3:$3,0)+1,FALSE)=0,"",VLOOKUP($A142,貼り付け用!$A$1:$BA$300,MATCH("おやつ",貼り付け用!$3:$3,0)+1,FALSE)),"")</f>
        <v>#N/A</v>
      </c>
      <c r="W142" s="14" t="e">
        <f>IF(A142&lt;&gt;"",
IF(VLOOKUP($A142,貼り付け用!$A$1:$BA$300,MATCH("おやつ",貼り付け用!$3:$3,0)+2,FALSE)=0,"",VLOOKUP($A142,貼り付け用!$A$1:$BA$300,MATCH("おやつ",貼り付け用!$3:$3,0)+2,FALSE)),"")</f>
        <v>#N/A</v>
      </c>
    </row>
    <row r="143" spans="1:23">
      <c r="A143" s="8" t="e">
        <f>IF(貼り付け用!$A$6&lt;&gt;"",
IF(ROW(A142)+1&gt;=MATCH("*10000*", 貼り付け用!$A:$A, 0),"",
IF(貼り付け用!A143&lt;&gt;"",貼り付け用!A143,"")),
IF(ROW(A143)+1&gt;=MATCH("*10000*", 貼り付け用!$A:$A, 0),"",
IF(貼り付け用!A144&lt;&gt;"",貼り付け用!A144,"")))</f>
        <v>#N/A</v>
      </c>
      <c r="B143" s="3" t="e">
        <f>IF($A143&lt;&gt;"",IF(VLOOKUP($A143,貼り付け用!$A$1:$BA$300,COLUMN(),FALSE)=0,"",VLOOKUP($A143,貼り付け用!$A$1:$BA$300,COLUMN(),FALSE)),"")</f>
        <v>#N/A</v>
      </c>
      <c r="C143" s="3" t="e">
        <f>IF($A143&lt;&gt;"",IF(VLOOKUP($A143,貼り付け用!$A$1:$BA$300,COLUMN(),FALSE)=0,"",VLOOKUP($A143,貼り付け用!$A$1:$BA$300,COLUMN(),FALSE)),"")</f>
        <v>#N/A</v>
      </c>
      <c r="D143" s="3" t="e">
        <f>IF($A143&lt;&gt;"",IF(VLOOKUP($A143,貼り付け用!$A$1:$BA$300,COLUMN(),FALSE)=0,"",VLOOKUP($A143,貼り付け用!$A$1:$BA$300,COLUMN(),FALSE)),"")</f>
        <v>#N/A</v>
      </c>
      <c r="E143" s="3" t="e">
        <f>IF($A143&lt;&gt;"",IF(VLOOKUP($A143,貼り付け用!$A$1:$BA$300,COLUMN(),FALSE)=0,"",VLOOKUP($A143,貼り付け用!$A$1:$BA$300,COLUMN(),FALSE)),"")</f>
        <v>#N/A</v>
      </c>
      <c r="F143" s="3" t="e">
        <f>IF($A143&lt;&gt;"",IF(VLOOKUP($A143,貼り付け用!$A$1:$BA$300,COLUMN(),FALSE)=0,"",VLOOKUP($A143,貼り付け用!$A$1:$BA$300,COLUMN(),FALSE)),"")</f>
        <v>#N/A</v>
      </c>
      <c r="G143" s="3" t="e">
        <f>IF($A143&lt;&gt;"",IF(VLOOKUP($A143,貼り付け用!$A$1:$BA$300,COLUMN(),FALSE)=0,"",VLOOKUP($A143,貼り付け用!$A$1:$BA$300,COLUMN(),FALSE)),"")</f>
        <v>#N/A</v>
      </c>
      <c r="H143" s="3" t="e">
        <f>IF($A143&lt;&gt;"",IF(VLOOKUP($A143,貼り付け用!$A$1:$BA$300,COLUMN(),FALSE)=0,"",VLOOKUP($A143,貼り付け用!$A$1:$BA$300,COLUMN(),FALSE)),"")</f>
        <v>#N/A</v>
      </c>
      <c r="I143" s="3" t="e">
        <f>IF($A143&lt;&gt;"",IF(VLOOKUP($A143,貼り付け用!$A$1:$BA$300,COLUMN(),FALSE)=0,"",VLOOKUP($A143,貼り付け用!$A$1:$BA$300,COLUMN(),FALSE)),"")</f>
        <v>#N/A</v>
      </c>
      <c r="J143" s="3" t="e">
        <f>IF($A143&lt;&gt;"",IF(VLOOKUP($A143,貼り付け用!$A$1:$BA$300,COLUMN(),FALSE)=0,"",VLOOKUP($A143,貼り付け用!$A$1:$BA$300,COLUMN(),FALSE)),"")</f>
        <v>#N/A</v>
      </c>
      <c r="K143" s="3" t="e">
        <f>IF($A143&lt;&gt;"",IF(VLOOKUP($A143,貼り付け用!$A$1:$BA$300,COLUMN(),FALSE)=0,"",VLOOKUP($A143,貼り付け用!$A$1:$BA$300,COLUMN(),FALSE)),"")</f>
        <v>#N/A</v>
      </c>
      <c r="L143" s="3" t="e">
        <f>IF($A143&lt;&gt;"",
IF(COLUMN(貼り付け用!L143)&gt;MATCH("おやつ",貼り付け用!$3:$3,0),"",
IF(VLOOKUP($A143,貼り付け用!$A$1:$BA$300,COLUMN(),FALSE)=0,"",VLOOKUP($A143,貼り付け用!$A$1:$BA$300,COLUMN(),FALSE))),"")</f>
        <v>#N/A</v>
      </c>
      <c r="M143" s="3" t="e">
        <f>IF($A143&lt;&gt;"",
IF(COLUMN(貼り付け用!M143)&gt;MATCH("おやつ",貼り付け用!$3:$3,0),"",
IF(VLOOKUP($A143,貼り付け用!$A$1:$BA$300,COLUMN(),FALSE)=0,"",VLOOKUP($A143,貼り付け用!$A$1:$BA$300,COLUMN(),FALSE))),"")</f>
        <v>#N/A</v>
      </c>
      <c r="N143" s="3" t="e">
        <f>IF($A143&lt;&gt;"",
IF(COLUMN(貼り付け用!N143)&gt;MATCH("おやつ",貼り付け用!$3:$3,0),"",
IF(VLOOKUP($A143,貼り付け用!$A$1:$BA$300,COLUMN(),FALSE)=0,"",VLOOKUP($A143,貼り付け用!$A$1:$BA$300,COLUMN(),FALSE))),"")</f>
        <v>#N/A</v>
      </c>
      <c r="O143" s="3" t="e">
        <f>IF($A143&lt;&gt;"",
IF(COLUMN(貼り付け用!O143)&gt;MATCH("おやつ",貼り付け用!$3:$3,0),"",
IF(VLOOKUP($A143,貼り付け用!$A$1:$BA$300,COLUMN(),FALSE)=0,"",VLOOKUP($A143,貼り付け用!$A$1:$BA$300,COLUMN(),FALSE))),"")</f>
        <v>#N/A</v>
      </c>
      <c r="P143" s="3" t="e">
        <f>IF($A143&lt;&gt;"",
IF(COLUMN(貼り付け用!P143)&gt;MATCH("おやつ",貼り付け用!$3:$3,0),"",
IF(VLOOKUP($A143,貼り付け用!$A$1:$BA$300,COLUMN(),FALSE)=0,"",VLOOKUP($A143,貼り付け用!$A$1:$BA$300,COLUMN(),FALSE))),"")</f>
        <v>#N/A</v>
      </c>
      <c r="Q143" s="3" t="e">
        <f>IF($A143&lt;&gt;"",
IF(COLUMN(貼り付け用!Q143)&gt;MATCH("おやつ",貼り付け用!$3:$3,0),"",
IF(VLOOKUP($A143,貼り付け用!$A$1:$BA$300,COLUMN(),FALSE)=0,"",VLOOKUP($A143,貼り付け用!$A$1:$BA$300,COLUMN(),FALSE))),"")</f>
        <v>#N/A</v>
      </c>
      <c r="R143" s="3" t="e">
        <f>IF($A143&lt;&gt;"",
IF(COLUMN(貼り付け用!R143)&gt;MATCH("おやつ",貼り付け用!$3:$3,0),"",
IF(VLOOKUP($A143,貼り付け用!$A$1:$BA$300,COLUMN(),FALSE)=0,"",VLOOKUP($A143,貼り付け用!$A$1:$BA$300,COLUMN(),FALSE))),"")</f>
        <v>#N/A</v>
      </c>
      <c r="S143" s="3" t="e">
        <f>IF($A143&lt;&gt;"",
IF(COLUMN(貼り付け用!S143)&gt;MATCH("おやつ",貼り付け用!$3:$3,0),"",
IF(VLOOKUP($A143,貼り付け用!$A$1:$BA$300,COLUMN(),FALSE)=0,"",VLOOKUP($A143,貼り付け用!$A$1:$BA$300,COLUMN(),FALSE))),"")</f>
        <v>#N/A</v>
      </c>
      <c r="T143" s="3" t="e">
        <f>IF(COLUMN(貼り付け用!T143)&gt;MATCH("おやつ",貼り付け用!$3:$3,0),"",
IF(VLOOKUP($A143,貼り付け用!$A$1:$BA$300,COLUMN(),FALSE)=0,"",VLOOKUP($A143,貼り付け用!$A$1:$BA$300,COLUMN(),FALSE)))</f>
        <v>#N/A</v>
      </c>
      <c r="U143" s="21"/>
      <c r="V143" s="55" t="e">
        <f>IF(A143&lt;&gt;"",
IF(VLOOKUP($A143,貼り付け用!$A$1:$BA$300,MATCH("おやつ",貼り付け用!$3:$3,0)+1,FALSE)=0,"",VLOOKUP($A143,貼り付け用!$A$1:$BA$300,MATCH("おやつ",貼り付け用!$3:$3,0)+1,FALSE)),"")</f>
        <v>#N/A</v>
      </c>
      <c r="W143" s="14" t="e">
        <f>IF(A143&lt;&gt;"",
IF(VLOOKUP($A143,貼り付け用!$A$1:$BA$300,MATCH("おやつ",貼り付け用!$3:$3,0)+2,FALSE)=0,"",VLOOKUP($A143,貼り付け用!$A$1:$BA$300,MATCH("おやつ",貼り付け用!$3:$3,0)+2,FALSE)),"")</f>
        <v>#N/A</v>
      </c>
    </row>
    <row r="144" spans="1:23">
      <c r="A144" s="4" t="e">
        <f>IF(貼り付け用!$A$6&lt;&gt;"",
IF(ROW(A143)+1&gt;=MATCH("*10000*", 貼り付け用!$A:$A, 0),
IF(COUNTIF(A142,"*10000*"),"10001",
IF(COUNTIF(A142,"*10001*"),"10002",
IF(COUNTIF(A142,"*10002*"),"",
IF(COUNTIF(A142,""),"","10000")))),
IF(貼り付け用!A144&lt;&gt;"",貼り付け用!A144,"")),
IF(ROW(A144)+1&gt;=MATCH("*10000*", 貼り付け用!$A:$A, 0),
IF(COUNTIF(A142,"*10000*"),"10001",
IF(COUNTIF(A142,"*10001*"),"10002",
IF(COUNTIF(A142,"*10002*"),"",
IF(COUNTIF(A142,""),"","10000")))),
IF(貼り付け用!A145&lt;&gt;"",貼り付け用!A145,"")))</f>
        <v>#N/A</v>
      </c>
      <c r="B144" s="14" t="e">
        <f>IF($A144&lt;&gt;"",IF(VLOOKUP($A144,貼り付け用!$A$1:$BA$300,COLUMN(),FALSE)=0,"",VLOOKUP($A144,貼り付け用!$A$1:$BA$300,COLUMN(),FALSE)),"")</f>
        <v>#N/A</v>
      </c>
      <c r="C144" s="14" t="e">
        <f>IF($A144&lt;&gt;"",IF(VLOOKUP($A144,貼り付け用!$A$1:$BA$300,COLUMN(),FALSE)=0,"",VLOOKUP($A144,貼り付け用!$A$1:$BA$300,COLUMN(),FALSE)),"")</f>
        <v>#N/A</v>
      </c>
      <c r="D144" s="14" t="e">
        <f>IF($A144&lt;&gt;"",IF(VLOOKUP($A144,貼り付け用!$A$1:$BA$300,COLUMN(),FALSE)=0,"",VLOOKUP($A144,貼り付け用!$A$1:$BA$300,COLUMN(),FALSE)),"")</f>
        <v>#N/A</v>
      </c>
      <c r="E144" s="14" t="e">
        <f>IF($A144&lt;&gt;"",IF(VLOOKUP($A144,貼り付け用!$A$1:$BA$300,COLUMN(),FALSE)=0,"",VLOOKUP($A144,貼り付け用!$A$1:$BA$300,COLUMN(),FALSE)),"")</f>
        <v>#N/A</v>
      </c>
      <c r="F144" s="14" t="e">
        <f>IF($A144&lt;&gt;"",IF(VLOOKUP($A144,貼り付け用!$A$1:$BA$300,COLUMN(),FALSE)=0,"",VLOOKUP($A144,貼り付け用!$A$1:$BA$300,COLUMN(),FALSE)),"")</f>
        <v>#N/A</v>
      </c>
      <c r="G144" s="14" t="e">
        <f>IF($A144&lt;&gt;"",IF(VLOOKUP($A144,貼り付け用!$A$1:$BA$300,COLUMN(),FALSE)=0,"",VLOOKUP($A144,貼り付け用!$A$1:$BA$300,COLUMN(),FALSE)),"")</f>
        <v>#N/A</v>
      </c>
      <c r="H144" s="14" t="e">
        <f>IF($A144&lt;&gt;"",IF(VLOOKUP($A144,貼り付け用!$A$1:$BA$300,COLUMN(),FALSE)=0,"",VLOOKUP($A144,貼り付け用!$A$1:$BA$300,COLUMN(),FALSE)),"")</f>
        <v>#N/A</v>
      </c>
      <c r="I144" s="14" t="e">
        <f>IF($A144&lt;&gt;"",IF(VLOOKUP($A144,貼り付け用!$A$1:$BA$300,COLUMN(),FALSE)=0,"",VLOOKUP($A144,貼り付け用!$A$1:$BA$300,COLUMN(),FALSE)),"")</f>
        <v>#N/A</v>
      </c>
      <c r="J144" s="14" t="e">
        <f>IF($A144&lt;&gt;"",IF(VLOOKUP($A144,貼り付け用!$A$1:$BA$300,COLUMN(),FALSE)=0,"",VLOOKUP($A144,貼り付け用!$A$1:$BA$300,COLUMN(),FALSE)),"")</f>
        <v>#N/A</v>
      </c>
      <c r="K144" s="14" t="e">
        <f>IF($A144&lt;&gt;"",IF(VLOOKUP($A144,貼り付け用!$A$1:$BA$300,COLUMN(),FALSE)=0,"",VLOOKUP($A144,貼り付け用!$A$1:$BA$300,COLUMN(),FALSE)),"")</f>
        <v>#N/A</v>
      </c>
      <c r="L144" s="14" t="e">
        <f>IF($A144&lt;&gt;"",
IF(COLUMN(貼り付け用!L144)&gt;MATCH("おやつ",貼り付け用!$3:$3,0),"",
IF(VLOOKUP($A144,貼り付け用!$A$1:$BA$300,COLUMN(),FALSE)=0,"",VLOOKUP($A144,貼り付け用!$A$1:$BA$300,COLUMN(),FALSE))),"")</f>
        <v>#N/A</v>
      </c>
      <c r="M144" s="14" t="e">
        <f>IF($A144&lt;&gt;"",
IF(COLUMN(貼り付け用!M144)&gt;MATCH("おやつ",貼り付け用!$3:$3,0),"",
IF(VLOOKUP($A144,貼り付け用!$A$1:$BA$300,COLUMN(),FALSE)=0,"",VLOOKUP($A144,貼り付け用!$A$1:$BA$300,COLUMN(),FALSE))),"")</f>
        <v>#N/A</v>
      </c>
      <c r="N144" s="14" t="e">
        <f>IF($A144&lt;&gt;"",
IF(COLUMN(貼り付け用!N144)&gt;MATCH("おやつ",貼り付け用!$3:$3,0),"",
IF(VLOOKUP($A144,貼り付け用!$A$1:$BA$300,COLUMN(),FALSE)=0,"",VLOOKUP($A144,貼り付け用!$A$1:$BA$300,COLUMN(),FALSE))),"")</f>
        <v>#N/A</v>
      </c>
      <c r="O144" s="14" t="e">
        <f>IF($A144&lt;&gt;"",
IF(COLUMN(貼り付け用!O144)&gt;MATCH("おやつ",貼り付け用!$3:$3,0),"",
IF(VLOOKUP($A144,貼り付け用!$A$1:$BA$300,COLUMN(),FALSE)=0,"",VLOOKUP($A144,貼り付け用!$A$1:$BA$300,COLUMN(),FALSE))),"")</f>
        <v>#N/A</v>
      </c>
      <c r="P144" s="14" t="e">
        <f>IF($A144&lt;&gt;"",
IF(COLUMN(貼り付け用!P144)&gt;MATCH("おやつ",貼り付け用!$3:$3,0),"",
IF(VLOOKUP($A144,貼り付け用!$A$1:$BA$300,COLUMN(),FALSE)=0,"",VLOOKUP($A144,貼り付け用!$A$1:$BA$300,COLUMN(),FALSE))),"")</f>
        <v>#N/A</v>
      </c>
      <c r="Q144" s="14" t="e">
        <f>IF($A144&lt;&gt;"",
IF(COLUMN(貼り付け用!Q144)&gt;MATCH("おやつ",貼り付け用!$3:$3,0),"",
IF(VLOOKUP($A144,貼り付け用!$A$1:$BA$300,COLUMN(),FALSE)=0,"",VLOOKUP($A144,貼り付け用!$A$1:$BA$300,COLUMN(),FALSE))),"")</f>
        <v>#N/A</v>
      </c>
      <c r="R144" s="14" t="e">
        <f>IF($A144&lt;&gt;"",
IF(COLUMN(貼り付け用!R144)&gt;MATCH("おやつ",貼り付け用!$3:$3,0),"",
IF(VLOOKUP($A144,貼り付け用!$A$1:$BA$300,COLUMN(),FALSE)=0,"",VLOOKUP($A144,貼り付け用!$A$1:$BA$300,COLUMN(),FALSE))),"")</f>
        <v>#N/A</v>
      </c>
      <c r="S144" s="14" t="e">
        <f>IF($A144&lt;&gt;"",
IF(COLUMN(貼り付け用!S144)&gt;MATCH("おやつ",貼り付け用!$3:$3,0),"",
IF(VLOOKUP($A144,貼り付け用!$A$1:$BA$300,COLUMN(),FALSE)=0,"",VLOOKUP($A144,貼り付け用!$A$1:$BA$300,COLUMN(),FALSE))),"")</f>
        <v>#N/A</v>
      </c>
      <c r="T144" s="14" t="e">
        <f>IF(COLUMN(貼り付け用!T144)&gt;MATCH("おやつ",貼り付け用!$3:$3,0),"",
IF(VLOOKUP($A144,貼り付け用!$A$1:$BA$300,COLUMN(),FALSE)=0,"",VLOOKUP($A144,貼り付け用!$A$1:$BA$300,COLUMN(),FALSE)))</f>
        <v>#N/A</v>
      </c>
      <c r="U144" s="11"/>
      <c r="V144" s="55" t="e">
        <f>IF(A144&lt;&gt;"",
IF(VLOOKUP($A144,貼り付け用!$A$1:$BA$300,MATCH("おやつ",貼り付け用!$3:$3,0)+1,FALSE)=0,"",VLOOKUP($A144,貼り付け用!$A$1:$BA$300,MATCH("おやつ",貼り付け用!$3:$3,0)+1,FALSE)),"")</f>
        <v>#N/A</v>
      </c>
      <c r="W144" s="14" t="e">
        <f>IF(A144&lt;&gt;"",
IF(VLOOKUP($A144,貼り付け用!$A$1:$BA$300,MATCH("おやつ",貼り付け用!$3:$3,0)+2,FALSE)=0,"",VLOOKUP($A144,貼り付け用!$A$1:$BA$300,MATCH("おやつ",貼り付け用!$3:$3,0)+2,FALSE)),"")</f>
        <v>#N/A</v>
      </c>
    </row>
    <row r="145" spans="1:23">
      <c r="A145" s="8" t="e">
        <f>IF(貼り付け用!$A$6&lt;&gt;"",
IF(ROW(A144)+1&gt;=MATCH("*10000*", 貼り付け用!$A:$A, 0),"",
IF(貼り付け用!A145&lt;&gt;"",貼り付け用!A145,"")),
IF(ROW(A145)+1&gt;=MATCH("*10000*", 貼り付け用!$A:$A, 0),"",
IF(貼り付け用!A146&lt;&gt;"",貼り付け用!A146,"")))</f>
        <v>#N/A</v>
      </c>
      <c r="B145" s="3" t="e">
        <f>IF($A145&lt;&gt;"",IF(VLOOKUP($A145,貼り付け用!$A$1:$BA$300,COLUMN(),FALSE)=0,"",VLOOKUP($A145,貼り付け用!$A$1:$BA$300,COLUMN(),FALSE)),"")</f>
        <v>#N/A</v>
      </c>
      <c r="C145" s="3" t="e">
        <f>IF($A145&lt;&gt;"",IF(VLOOKUP($A145,貼り付け用!$A$1:$BA$300,COLUMN(),FALSE)=0,"",VLOOKUP($A145,貼り付け用!$A$1:$BA$300,COLUMN(),FALSE)),"")</f>
        <v>#N/A</v>
      </c>
      <c r="D145" s="3" t="e">
        <f>IF($A145&lt;&gt;"",IF(VLOOKUP($A145,貼り付け用!$A$1:$BA$300,COLUMN(),FALSE)=0,"",VLOOKUP($A145,貼り付け用!$A$1:$BA$300,COLUMN(),FALSE)),"")</f>
        <v>#N/A</v>
      </c>
      <c r="E145" s="3" t="e">
        <f>IF($A145&lt;&gt;"",IF(VLOOKUP($A145,貼り付け用!$A$1:$BA$300,COLUMN(),FALSE)=0,"",VLOOKUP($A145,貼り付け用!$A$1:$BA$300,COLUMN(),FALSE)),"")</f>
        <v>#N/A</v>
      </c>
      <c r="F145" s="3" t="e">
        <f>IF($A145&lt;&gt;"",IF(VLOOKUP($A145,貼り付け用!$A$1:$BA$300,COLUMN(),FALSE)=0,"",VLOOKUP($A145,貼り付け用!$A$1:$BA$300,COLUMN(),FALSE)),"")</f>
        <v>#N/A</v>
      </c>
      <c r="G145" s="3" t="e">
        <f>IF($A145&lt;&gt;"",IF(VLOOKUP($A145,貼り付け用!$A$1:$BA$300,COLUMN(),FALSE)=0,"",VLOOKUP($A145,貼り付け用!$A$1:$BA$300,COLUMN(),FALSE)),"")</f>
        <v>#N/A</v>
      </c>
      <c r="H145" s="3" t="e">
        <f>IF($A145&lt;&gt;"",IF(VLOOKUP($A145,貼り付け用!$A$1:$BA$300,COLUMN(),FALSE)=0,"",VLOOKUP($A145,貼り付け用!$A$1:$BA$300,COLUMN(),FALSE)),"")</f>
        <v>#N/A</v>
      </c>
      <c r="I145" s="3" t="e">
        <f>IF($A145&lt;&gt;"",IF(VLOOKUP($A145,貼り付け用!$A$1:$BA$300,COLUMN(),FALSE)=0,"",VLOOKUP($A145,貼り付け用!$A$1:$BA$300,COLUMN(),FALSE)),"")</f>
        <v>#N/A</v>
      </c>
      <c r="J145" s="3" t="e">
        <f>IF($A145&lt;&gt;"",IF(VLOOKUP($A145,貼り付け用!$A$1:$BA$300,COLUMN(),FALSE)=0,"",VLOOKUP($A145,貼り付け用!$A$1:$BA$300,COLUMN(),FALSE)),"")</f>
        <v>#N/A</v>
      </c>
      <c r="K145" s="3" t="e">
        <f>IF($A145&lt;&gt;"",IF(VLOOKUP($A145,貼り付け用!$A$1:$BA$300,COLUMN(),FALSE)=0,"",VLOOKUP($A145,貼り付け用!$A$1:$BA$300,COLUMN(),FALSE)),"")</f>
        <v>#N/A</v>
      </c>
      <c r="L145" s="3" t="e">
        <f>IF($A145&lt;&gt;"",
IF(COLUMN(貼り付け用!L145)&gt;MATCH("おやつ",貼り付け用!$3:$3,0),"",
IF(VLOOKUP($A145,貼り付け用!$A$1:$BA$300,COLUMN(),FALSE)=0,"",VLOOKUP($A145,貼り付け用!$A$1:$BA$300,COLUMN(),FALSE))),"")</f>
        <v>#N/A</v>
      </c>
      <c r="M145" s="3" t="e">
        <f>IF($A145&lt;&gt;"",
IF(COLUMN(貼り付け用!M145)&gt;MATCH("おやつ",貼り付け用!$3:$3,0),"",
IF(VLOOKUP($A145,貼り付け用!$A$1:$BA$300,COLUMN(),FALSE)=0,"",VLOOKUP($A145,貼り付け用!$A$1:$BA$300,COLUMN(),FALSE))),"")</f>
        <v>#N/A</v>
      </c>
      <c r="N145" s="3" t="e">
        <f>IF($A145&lt;&gt;"",
IF(COLUMN(貼り付け用!N145)&gt;MATCH("おやつ",貼り付け用!$3:$3,0),"",
IF(VLOOKUP($A145,貼り付け用!$A$1:$BA$300,COLUMN(),FALSE)=0,"",VLOOKUP($A145,貼り付け用!$A$1:$BA$300,COLUMN(),FALSE))),"")</f>
        <v>#N/A</v>
      </c>
      <c r="O145" s="3" t="e">
        <f>IF($A145&lt;&gt;"",
IF(COLUMN(貼り付け用!O145)&gt;MATCH("おやつ",貼り付け用!$3:$3,0),"",
IF(VLOOKUP($A145,貼り付け用!$A$1:$BA$300,COLUMN(),FALSE)=0,"",VLOOKUP($A145,貼り付け用!$A$1:$BA$300,COLUMN(),FALSE))),"")</f>
        <v>#N/A</v>
      </c>
      <c r="P145" s="3" t="e">
        <f>IF($A145&lt;&gt;"",
IF(COLUMN(貼り付け用!P145)&gt;MATCH("おやつ",貼り付け用!$3:$3,0),"",
IF(VLOOKUP($A145,貼り付け用!$A$1:$BA$300,COLUMN(),FALSE)=0,"",VLOOKUP($A145,貼り付け用!$A$1:$BA$300,COLUMN(),FALSE))),"")</f>
        <v>#N/A</v>
      </c>
      <c r="Q145" s="3" t="e">
        <f>IF($A145&lt;&gt;"",
IF(COLUMN(貼り付け用!Q145)&gt;MATCH("おやつ",貼り付け用!$3:$3,0),"",
IF(VLOOKUP($A145,貼り付け用!$A$1:$BA$300,COLUMN(),FALSE)=0,"",VLOOKUP($A145,貼り付け用!$A$1:$BA$300,COLUMN(),FALSE))),"")</f>
        <v>#N/A</v>
      </c>
      <c r="R145" s="3" t="e">
        <f>IF($A145&lt;&gt;"",
IF(COLUMN(貼り付け用!R145)&gt;MATCH("おやつ",貼り付け用!$3:$3,0),"",
IF(VLOOKUP($A145,貼り付け用!$A$1:$BA$300,COLUMN(),FALSE)=0,"",VLOOKUP($A145,貼り付け用!$A$1:$BA$300,COLUMN(),FALSE))),"")</f>
        <v>#N/A</v>
      </c>
      <c r="S145" s="3" t="e">
        <f>IF($A145&lt;&gt;"",
IF(COLUMN(貼り付け用!S145)&gt;MATCH("おやつ",貼り付け用!$3:$3,0),"",
IF(VLOOKUP($A145,貼り付け用!$A$1:$BA$300,COLUMN(),FALSE)=0,"",VLOOKUP($A145,貼り付け用!$A$1:$BA$300,COLUMN(),FALSE))),"")</f>
        <v>#N/A</v>
      </c>
      <c r="T145" s="3" t="e">
        <f>IF(COLUMN(貼り付け用!T145)&gt;MATCH("おやつ",貼り付け用!$3:$3,0),"",
IF(VLOOKUP($A145,貼り付け用!$A$1:$BA$300,COLUMN(),FALSE)=0,"",VLOOKUP($A145,貼り付け用!$A$1:$BA$300,COLUMN(),FALSE)))</f>
        <v>#N/A</v>
      </c>
      <c r="U145" s="21"/>
      <c r="V145" s="55" t="e">
        <f>IF(A145&lt;&gt;"",
IF(VLOOKUP($A145,貼り付け用!$A$1:$BA$300,MATCH("おやつ",貼り付け用!$3:$3,0)+1,FALSE)=0,"",VLOOKUP($A145,貼り付け用!$A$1:$BA$300,MATCH("おやつ",貼り付け用!$3:$3,0)+1,FALSE)),"")</f>
        <v>#N/A</v>
      </c>
      <c r="W145" s="14" t="e">
        <f>IF(A145&lt;&gt;"",
IF(VLOOKUP($A145,貼り付け用!$A$1:$BA$300,MATCH("おやつ",貼り付け用!$3:$3,0)+2,FALSE)=0,"",VLOOKUP($A145,貼り付け用!$A$1:$BA$300,MATCH("おやつ",貼り付け用!$3:$3,0)+2,FALSE)),"")</f>
        <v>#N/A</v>
      </c>
    </row>
    <row r="146" spans="1:23">
      <c r="A146" s="5" t="e">
        <f t="array" ref="A146">IF(INDEX(貼り付け用!A:A, MATCH("*【合計】*", 貼り付け用!A:A, 0)-1)&lt;&gt;0,
INDEX(貼り付け用!A:A, MATCH("*【合計】*", 貼り付け用!A:A, 0)-1),"")</f>
        <v>#N/A</v>
      </c>
      <c r="B146" s="14" t="e">
        <f t="array" ref="B146">IF(INDEX(貼り付け用!B:B, MATCH("*【合計】*", 貼り付け用!$A:$A, 0)-1)&lt;&gt;0,
INDEX(貼り付け用!B:B, MATCH("*【合計】*", 貼り付け用!$A:$A, 0)-1),"")</f>
        <v>#N/A</v>
      </c>
      <c r="C146" s="14" t="e">
        <f t="array" ref="C146">IF(INDEX(貼り付け用!C:C, MATCH("*【合計】*", 貼り付け用!$A:$A, 0)-1)&lt;&gt;0,
INDEX(貼り付け用!C:C, MATCH("*【合計】*", 貼り付け用!$A:$A, 0)-1),"")</f>
        <v>#N/A</v>
      </c>
      <c r="D146" s="14" t="e">
        <f t="array" ref="D146">IF(INDEX(貼り付け用!D:D, MATCH("*【合計】*", 貼り付け用!$A:$A, 0)-1)&lt;&gt;0,
INDEX(貼り付け用!D:D, MATCH("*【合計】*", 貼り付け用!$A:$A, 0)-1),"")</f>
        <v>#N/A</v>
      </c>
      <c r="E146" s="14" t="e">
        <f t="array" ref="E146">IF(INDEX(貼り付け用!E:E, MATCH("*【合計】*", 貼り付け用!$A:$A, 0)-1)&lt;&gt;0,
INDEX(貼り付け用!E:E, MATCH("*【合計】*", 貼り付け用!$A:$A, 0)-1),"")</f>
        <v>#N/A</v>
      </c>
      <c r="F146" s="14" t="e">
        <f t="array" ref="F146">IF(INDEX(貼り付け用!F:F, MATCH("*【合計】*", 貼り付け用!$A:$A, 0)-1)&lt;&gt;0,
INDEX(貼り付け用!F:F, MATCH("*【合計】*", 貼り付け用!$A:$A, 0)-1),"")</f>
        <v>#N/A</v>
      </c>
      <c r="G146" s="14" t="e">
        <f t="array" ref="G146">IF(INDEX(貼り付け用!G:G, MATCH("*【合計】*", 貼り付け用!$A:$A, 0)-1)&lt;&gt;0,
INDEX(貼り付け用!G:G, MATCH("*【合計】*", 貼り付け用!$A:$A, 0)-1),"")</f>
        <v>#N/A</v>
      </c>
      <c r="H146" s="14" t="e">
        <f t="array" ref="H146">IF(INDEX(貼り付け用!H:H, MATCH("*【合計】*", 貼り付け用!$A:$A, 0)-1)&lt;&gt;0,
INDEX(貼り付け用!H:H, MATCH("*【合計】*", 貼り付け用!$A:$A, 0)-1),"")</f>
        <v>#N/A</v>
      </c>
      <c r="I146" s="14" t="e">
        <f t="array" ref="I146">IF(INDEX(貼り付け用!I:I, MATCH("*【合計】*", 貼り付け用!$A:$A, 0)-1)&lt;&gt;0,
INDEX(貼り付け用!I:I, MATCH("*【合計】*", 貼り付け用!$A:$A, 0)-1),"")</f>
        <v>#N/A</v>
      </c>
      <c r="J146" s="14" t="e">
        <f t="array" ref="J146">IF(INDEX(貼り付け用!J:J, MATCH("*【合計】*", 貼り付け用!$A:$A, 0)-1)&lt;&gt;0,
INDEX(貼り付け用!J:J, MATCH("*【合計】*", 貼り付け用!$A:$A, 0)-1),"")</f>
        <v>#N/A</v>
      </c>
      <c r="K146" s="14" t="e">
        <f t="array" ref="K146">IF(INDEX(貼り付け用!K:K, MATCH("*【合計】*", 貼り付け用!$A:$A, 0)-1)&lt;&gt;0,
INDEX(貼り付け用!K:K, MATCH("*【合計】*", 貼り付け用!$A:$A, 0)-1),"")</f>
        <v>#N/A</v>
      </c>
      <c r="L146" s="14" t="e">
        <f t="array" ref="L146">IF(INDEX(貼り付け用!L:L, MATCH("*【合計】*", 貼り付け用!$A:$A, 0)-1)&lt;&gt;0,
INDEX(貼り付け用!L:L, MATCH("*【合計】*", 貼り付け用!$A:$A, 0)-1),"")</f>
        <v>#N/A</v>
      </c>
      <c r="M146" s="14" t="e">
        <f t="array" ref="M146">IF(INDEX(貼り付け用!M:M, MATCH("*【合計】*", 貼り付け用!$A:$A, 0)-1)&lt;&gt;0,
INDEX(貼り付け用!M:M, MATCH("*【合計】*", 貼り付け用!$A:$A, 0)-1),"")</f>
        <v>#N/A</v>
      </c>
      <c r="N146" s="14" t="e">
        <f t="array" ref="N146">IF(INDEX(貼り付け用!N:N, MATCH("*【合計】*", 貼り付け用!$A:$A, 0)-1)&lt;&gt;0,
INDEX(貼り付け用!N:N, MATCH("*【合計】*", 貼り付け用!$A:$A, 0)-1),"")</f>
        <v>#N/A</v>
      </c>
      <c r="O146" s="14" t="e">
        <f t="array" ref="O146">IF(INDEX(貼り付け用!O:O, MATCH("*【合計】*", 貼り付け用!$A:$A, 0)-1)&lt;&gt;0,
INDEX(貼り付け用!O:O, MATCH("*【合計】*", 貼り付け用!$A:$A, 0)-1),"")</f>
        <v>#N/A</v>
      </c>
      <c r="P146" s="14" t="e">
        <f t="array" ref="P146">IF(INDEX(貼り付け用!P:P, MATCH("*【合計】*", 貼り付け用!$A:$A, 0)-1)&lt;&gt;0,
INDEX(貼り付け用!P:P, MATCH("*【合計】*", 貼り付け用!$A:$A, 0)-1),"")</f>
        <v>#N/A</v>
      </c>
      <c r="Q146" s="14" t="e">
        <f t="array" ref="Q146">IF(INDEX(貼り付け用!Q:Q, MATCH("*【合計】*", 貼り付け用!$A:$A, 0)-1)&lt;&gt;0,
INDEX(貼り付け用!Q:Q, MATCH("*【合計】*", 貼り付け用!$A:$A, 0)-1),"")</f>
        <v>#N/A</v>
      </c>
      <c r="R146" s="14" t="e">
        <f t="array" ref="R146">IF(INDEX(貼り付け用!R:R, MATCH("*【合計】*", 貼り付け用!$A:$A, 0)-1)&lt;&gt;0,
INDEX(貼り付け用!R:R, MATCH("*【合計】*", 貼り付け用!$A:$A, 0)-1),"")</f>
        <v>#N/A</v>
      </c>
      <c r="S146" s="14" t="e">
        <f t="array" ref="S146">IF(INDEX(貼り付け用!S:S, MATCH("*【合計】*", 貼り付け用!$A:$A, 0)-1)&lt;&gt;0,
INDEX(貼り付け用!S:S, MATCH("*【合計】*", 貼り付け用!$A:$A, 0)-1),"")</f>
        <v>#N/A</v>
      </c>
      <c r="T146" s="14" t="e">
        <f t="array" ref="T146">IF(INDEX(貼り付け用!T:T, MATCH("*【合計】*", 貼り付け用!$A:$A, 0)-1)&lt;&gt;0,
INDEX(貼り付け用!T:T, MATCH("*【合計】*", 貼り付け用!$A:$A, 0)-1),"")</f>
        <v>#N/A</v>
      </c>
      <c r="U146" s="11"/>
      <c r="V146" s="48" t="e">
        <f t="array" ref="V146">IF(INDEX(貼り付け用!U:U, MATCH("*【合計】*", 貼り付け用!$A:$A, 0)-1)&lt;&gt;0,
INDEX(貼り付け用!U:U, MATCH("*【合計】*", 貼り付け用!$A:$A, 0)-1),"")</f>
        <v>#N/A</v>
      </c>
      <c r="W146" s="12" t="e">
        <f t="array" ref="W146">IF(INDEX(貼り付け用!V:V, MATCH("*【合計】*", 貼り付け用!$A:$A, 0)-1)&lt;&gt;0,
INDEX(貼り付け用!V:V, MATCH("*【合計】*", 貼り付け用!$A:$A, 0)-1),"")</f>
        <v>#N/A</v>
      </c>
    </row>
    <row r="147" spans="1:23">
      <c r="A147" s="7" t="e">
        <f>IF(INDEX(貼り付け用!A:A, MATCH("*【合計】*", 貼り付け用!A:A, 0))&lt;&gt;0,
INDEX(貼り付け用!A:A, MATCH("*【合計】*", 貼り付け用!A:A, 0)),"")</f>
        <v>#N/A</v>
      </c>
      <c r="B147" s="3" t="e">
        <f>IF(INDEX(貼り付け用!B:B, MATCH("*【合計】*", 貼り付け用!$A:$A, 0))&lt;&gt;0,
INDEX(貼り付け用!B:B, MATCH("*【合計】*", 貼り付け用!$A:$A, 0)),"")</f>
        <v>#N/A</v>
      </c>
      <c r="C147" s="3" t="e">
        <f>IF(INDEX(貼り付け用!C:C, MATCH("*【合計】*", 貼り付け用!$A:$A, 0))&lt;&gt;0,
INDEX(貼り付け用!C:C, MATCH("*【合計】*", 貼り付け用!$A:$A, 0)),"")</f>
        <v>#N/A</v>
      </c>
      <c r="D147" s="3" t="e">
        <f>IF(INDEX(貼り付け用!D:D, MATCH("*【合計】*", 貼り付け用!$A:$A, 0))&lt;&gt;0,
INDEX(貼り付け用!D:D, MATCH("*【合計】*", 貼り付け用!$A:$A, 0)),"")</f>
        <v>#N/A</v>
      </c>
      <c r="E147" s="3" t="e">
        <f>IF(INDEX(貼り付け用!E:E, MATCH("*【合計】*", 貼り付け用!$A:$A, 0))&lt;&gt;0,
INDEX(貼り付け用!E:E, MATCH("*【合計】*", 貼り付け用!$A:$A, 0)),"")</f>
        <v>#N/A</v>
      </c>
      <c r="F147" s="3" t="e">
        <f>IF(INDEX(貼り付け用!F:F, MATCH("*【合計】*", 貼り付け用!$A:$A, 0))&lt;&gt;0,
INDEX(貼り付け用!F:F, MATCH("*【合計】*", 貼り付け用!$A:$A, 0)),"")</f>
        <v>#N/A</v>
      </c>
      <c r="G147" s="3" t="e">
        <f>IF(INDEX(貼り付け用!G:G, MATCH("*【合計】*", 貼り付け用!$A:$A, 0))&lt;&gt;0,
INDEX(貼り付け用!G:G, MATCH("*【合計】*", 貼り付け用!$A:$A, 0)),"")</f>
        <v>#N/A</v>
      </c>
      <c r="H147" s="3" t="e">
        <f>IF(INDEX(貼り付け用!H:H, MATCH("*【合計】*", 貼り付け用!$A:$A, 0))&lt;&gt;0,
INDEX(貼り付け用!H:H, MATCH("*【合計】*", 貼り付け用!$A:$A, 0)),"")</f>
        <v>#N/A</v>
      </c>
      <c r="I147" s="3" t="e">
        <f>IF(INDEX(貼り付け用!I:I, MATCH("*【合計】*", 貼り付け用!$A:$A, 0))&lt;&gt;0,
INDEX(貼り付け用!I:I, MATCH("*【合計】*", 貼り付け用!$A:$A, 0)),"")</f>
        <v>#N/A</v>
      </c>
      <c r="J147" s="3" t="e">
        <f>IF(INDEX(貼り付け用!J:J, MATCH("*【合計】*", 貼り付け用!$A:$A, 0))&lt;&gt;0,
INDEX(貼り付け用!J:J, MATCH("*【合計】*", 貼り付け用!$A:$A, 0)),"")</f>
        <v>#N/A</v>
      </c>
      <c r="K147" s="3" t="e">
        <f>IF(INDEX(貼り付け用!K:K, MATCH("*【合計】*", 貼り付け用!$A:$A, 0))&lt;&gt;0,
INDEX(貼り付け用!K:K, MATCH("*【合計】*", 貼り付け用!$A:$A, 0)),"")</f>
        <v>#N/A</v>
      </c>
      <c r="L147" s="3" t="e">
        <f>IF(INDEX(貼り付け用!L:L, MATCH("*【合計】*", 貼り付け用!$A:$A, 0))&lt;&gt;0,
INDEX(貼り付け用!L:L, MATCH("*【合計】*", 貼り付け用!$A:$A, 0)),"")</f>
        <v>#N/A</v>
      </c>
      <c r="M147" s="3" t="e">
        <f>IF(INDEX(貼り付け用!M:M, MATCH("*【合計】*", 貼り付け用!$A:$A, 0))&lt;&gt;0,
INDEX(貼り付け用!M:M, MATCH("*【合計】*", 貼り付け用!$A:$A, 0)),"")</f>
        <v>#N/A</v>
      </c>
      <c r="N147" s="3" t="e">
        <f>IF(INDEX(貼り付け用!N:N, MATCH("*【合計】*", 貼り付け用!$A:$A, 0))&lt;&gt;0,
INDEX(貼り付け用!N:N, MATCH("*【合計】*", 貼り付け用!$A:$A, 0)),"")</f>
        <v>#N/A</v>
      </c>
      <c r="O147" s="3" t="e">
        <f>IF(INDEX(貼り付け用!O:O, MATCH("*【合計】*", 貼り付け用!$A:$A, 0))&lt;&gt;0,
INDEX(貼り付け用!O:O, MATCH("*【合計】*", 貼り付け用!$A:$A, 0)),"")</f>
        <v>#N/A</v>
      </c>
      <c r="P147" s="3" t="e">
        <f>IF(INDEX(貼り付け用!P:P, MATCH("*【合計】*", 貼り付け用!$A:$A, 0))&lt;&gt;0,
INDEX(貼り付け用!P:P, MATCH("*【合計】*", 貼り付け用!$A:$A, 0)),"")</f>
        <v>#N/A</v>
      </c>
      <c r="Q147" s="3" t="e">
        <f>IF(INDEX(貼り付け用!Q:Q, MATCH("*【合計】*", 貼り付け用!$A:$A, 0))&lt;&gt;0,
INDEX(貼り付け用!Q:Q, MATCH("*【合計】*", 貼り付け用!$A:$A, 0)),"")</f>
        <v>#N/A</v>
      </c>
      <c r="R147" s="3" t="e">
        <f>IF(INDEX(貼り付け用!R:R, MATCH("*【合計】*", 貼り付け用!$A:$A, 0))&lt;&gt;0,
INDEX(貼り付け用!R:R, MATCH("*【合計】*", 貼り付け用!$A:$A, 0)),"")</f>
        <v>#N/A</v>
      </c>
      <c r="S147" s="3" t="e">
        <f>IF(INDEX(貼り付け用!S:S, MATCH("*【合計】*", 貼り付け用!$A:$A, 0))&lt;&gt;0,
INDEX(貼り付け用!S:S, MATCH("*【合計】*", 貼り付け用!$A:$A, 0)),"")</f>
        <v>#N/A</v>
      </c>
      <c r="T147" s="3" t="e">
        <f>IF(INDEX(貼り付け用!T:T, MATCH("*【合計】*", 貼り付け用!$A:$A, 0))&lt;&gt;0,
INDEX(貼り付け用!T:T, MATCH("*【合計】*", 貼り付け用!$A:$A, 0)),"")</f>
        <v>#N/A</v>
      </c>
      <c r="U147" s="17"/>
      <c r="V147" s="49" t="e">
        <f>IF(INDEX(貼り付け用!U:U, MATCH("*【合計】*", 貼り付け用!$A:$A, 0))&lt;&gt;0,
INDEX(貼り付け用!U:U, MATCH("*【合計】*", 貼り付け用!$A:$A, 0)),"")</f>
        <v>#N/A</v>
      </c>
      <c r="W147" s="18" t="e">
        <f>IF(INDEX(貼り付け用!V:V, MATCH("*【合計】*", 貼り付け用!$A:$A, 0))&lt;&gt;0,
INDEX(貼り付け用!V:V, MATCH("*【合計】*", 貼り付け用!$A:$A, 0)),"")</f>
        <v>#N/A</v>
      </c>
    </row>
  </sheetData>
  <phoneticPr fontId="1"/>
  <pageMargins left="0.7" right="0.7" top="0.75" bottom="0.75" header="0.3" footer="0.3"/>
  <pageSetup paperSize="9" scale="26" orientation="portrait" horizontalDpi="1200" verticalDpi="120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pageSetUpPr fitToPage="1"/>
  </sheetPr>
  <dimension ref="A1:AP154"/>
  <sheetViews>
    <sheetView tabSelected="1" zoomScale="40" zoomScaleNormal="40" workbookViewId="0">
      <pane xSplit="1" ySplit="5" topLeftCell="B6" activePane="bottomRight" state="frozen"/>
      <selection activeCell="T1" sqref="T1:T15"/>
      <selection pane="topRight" activeCell="T1" sqref="T1:T15"/>
      <selection pane="bottomLeft" activeCell="T1" sqref="T1:T15"/>
      <selection pane="bottomRight" activeCell="A4" sqref="A4"/>
    </sheetView>
  </sheetViews>
  <sheetFormatPr defaultRowHeight="16.2" customHeight="1"/>
  <cols>
    <col min="1" max="1" width="26.69921875" style="83" customWidth="1"/>
    <col min="2" max="2" width="10.59765625" style="146" customWidth="1"/>
    <col min="3" max="3" width="5.09765625" style="146" customWidth="1"/>
    <col min="4" max="4" width="10.59765625" style="146" customWidth="1"/>
    <col min="5" max="5" width="5.09765625" style="146" customWidth="1"/>
    <col min="6" max="6" width="10.8984375" style="146" customWidth="1"/>
    <col min="7" max="7" width="5.09765625" style="146" customWidth="1"/>
    <col min="8" max="8" width="10.59765625" style="146" customWidth="1"/>
    <col min="9" max="9" width="5.09765625" style="146" customWidth="1"/>
    <col min="10" max="10" width="10.59765625" style="146" customWidth="1"/>
    <col min="11" max="11" width="5.09765625" style="146" customWidth="1"/>
    <col min="12" max="12" width="10.59765625" style="146" customWidth="1"/>
    <col min="13" max="13" width="5.09765625" style="146" customWidth="1"/>
    <col min="14" max="14" width="10.59765625" style="146" customWidth="1"/>
    <col min="15" max="15" width="5.09765625" style="146" customWidth="1"/>
    <col min="16" max="16" width="10.59765625" style="146" customWidth="1"/>
    <col min="17" max="17" width="5.09765625" style="146" customWidth="1"/>
    <col min="18" max="18" width="10.59765625" style="146" customWidth="1"/>
    <col min="19" max="19" width="5.09765625" style="146" customWidth="1"/>
    <col min="20" max="20" width="10.59765625" style="146" customWidth="1"/>
    <col min="21" max="21" width="5.09765625" style="146" customWidth="1"/>
    <col min="22" max="22" width="10.59765625" style="147" customWidth="1"/>
    <col min="23" max="23" width="5.09765625" style="146" customWidth="1"/>
    <col min="24" max="24" width="10.59765625" style="147" customWidth="1"/>
    <col min="25" max="25" width="5.09765625" style="146" customWidth="1"/>
    <col min="26" max="26" width="10.59765625" style="147" customWidth="1"/>
    <col min="27" max="27" width="5.09765625" style="146" customWidth="1"/>
    <col min="28" max="28" width="10.59765625" style="147" customWidth="1"/>
    <col min="29" max="29" width="5.09765625" style="146" customWidth="1"/>
    <col min="30" max="30" width="10.59765625" style="147" customWidth="1"/>
    <col min="31" max="31" width="5.09765625" style="146" customWidth="1"/>
    <col min="32" max="32" width="10.59765625" style="147" customWidth="1"/>
    <col min="33" max="33" width="5.09765625" style="146" customWidth="1"/>
    <col min="34" max="34" width="10.59765625" style="147" customWidth="1"/>
    <col min="35" max="35" width="5.09765625" style="146" customWidth="1"/>
    <col min="36" max="36" width="10.59765625" style="147" customWidth="1"/>
    <col min="37" max="37" width="5.09765625" style="146" customWidth="1"/>
    <col min="38" max="38" width="11.3984375" style="147" customWidth="1"/>
    <col min="39" max="39" width="32.796875" style="83" customWidth="1"/>
    <col min="40" max="40" width="27.69921875" style="83" customWidth="1"/>
    <col min="41" max="73" width="8.796875" style="58" customWidth="1"/>
    <col min="74" max="16384" width="8.796875" style="58"/>
  </cols>
  <sheetData>
    <row r="1" spans="1:42" s="80" customFormat="1" ht="19.8" customHeight="1" thickTop="1">
      <c r="B1" s="142"/>
      <c r="C1" s="142"/>
      <c r="D1" s="142"/>
      <c r="E1" s="142"/>
      <c r="F1" s="142"/>
      <c r="G1" s="142"/>
      <c r="H1" s="142"/>
      <c r="I1" s="142"/>
      <c r="J1" s="142"/>
      <c r="K1" s="142"/>
      <c r="L1" s="142"/>
      <c r="M1" s="142"/>
      <c r="N1" s="142"/>
      <c r="O1" s="142"/>
      <c r="P1" s="142"/>
      <c r="Q1" s="142"/>
      <c r="R1" s="142"/>
      <c r="S1" s="142"/>
      <c r="T1" s="142"/>
      <c r="U1" s="142"/>
      <c r="V1" s="142"/>
      <c r="W1" s="142"/>
      <c r="X1" s="142"/>
      <c r="Y1" s="142"/>
      <c r="Z1" s="142"/>
      <c r="AA1" s="142"/>
      <c r="AB1" s="142"/>
      <c r="AC1" s="142"/>
      <c r="AD1" s="142"/>
      <c r="AE1" s="142"/>
      <c r="AF1" s="142"/>
      <c r="AG1" s="142"/>
      <c r="AH1" s="142"/>
      <c r="AI1" s="142"/>
      <c r="AJ1" s="142"/>
      <c r="AK1" s="143"/>
      <c r="AL1" s="144"/>
      <c r="AM1" s="131" t="s">
        <v>166</v>
      </c>
      <c r="AN1" s="133"/>
      <c r="AP1" s="80" t="b">
        <v>0</v>
      </c>
    </row>
    <row r="2" spans="1:42" s="80" customFormat="1" ht="19.8" customHeight="1" thickBot="1">
      <c r="A2" s="80" t="str">
        <f>貼り付け用!A2&amp;"　"&amp;貼り付け用!B2&amp;"　"&amp;貼り付け用!C2</f>
        <v>　　</v>
      </c>
      <c r="B2" s="142"/>
      <c r="C2" s="142"/>
      <c r="D2" s="142"/>
      <c r="E2" s="142"/>
      <c r="F2" s="142"/>
      <c r="G2" s="142"/>
      <c r="H2" s="142"/>
      <c r="I2" s="142"/>
      <c r="J2" s="142"/>
      <c r="K2" s="142"/>
      <c r="L2" s="142"/>
      <c r="M2" s="142"/>
      <c r="N2" s="142"/>
      <c r="O2" s="142"/>
      <c r="P2" s="142" t="s">
        <v>43</v>
      </c>
      <c r="Q2" s="142"/>
      <c r="R2" s="142"/>
      <c r="S2" s="142"/>
      <c r="T2" s="142" t="s">
        <v>44</v>
      </c>
      <c r="U2" s="142"/>
      <c r="V2" s="142"/>
      <c r="W2" s="142"/>
      <c r="X2" s="142" t="s">
        <v>43</v>
      </c>
      <c r="Y2" s="142"/>
      <c r="Z2" s="142"/>
      <c r="AA2" s="142"/>
      <c r="AB2" s="142" t="s">
        <v>45</v>
      </c>
      <c r="AC2" s="142"/>
      <c r="AD2" s="142"/>
      <c r="AE2" s="142"/>
      <c r="AF2" s="142"/>
      <c r="AG2" s="142"/>
      <c r="AI2" s="142"/>
      <c r="AJ2" s="142"/>
      <c r="AK2" s="142"/>
      <c r="AL2" s="142" t="s">
        <v>46</v>
      </c>
      <c r="AM2" s="80" t="str">
        <f>貼り付け用!T2&amp;"　"&amp;貼り付け用!U2&amp;"　"&amp;貼り付け用!V2&amp;"　"&amp;貼り付け用!W2</f>
        <v>　　　</v>
      </c>
      <c r="AN2" s="134"/>
    </row>
    <row r="3" spans="1:42" s="80" customFormat="1" ht="16.2" customHeight="1" thickTop="1">
      <c r="A3" s="81"/>
      <c r="B3" s="168" t="s">
        <v>4</v>
      </c>
      <c r="C3" s="127" t="s">
        <v>4</v>
      </c>
      <c r="D3" s="127" t="s">
        <v>4</v>
      </c>
      <c r="E3" s="130" t="s">
        <v>4</v>
      </c>
      <c r="F3" s="145" t="s">
        <v>9</v>
      </c>
      <c r="G3" s="127" t="s">
        <v>9</v>
      </c>
      <c r="H3" s="127" t="s">
        <v>9</v>
      </c>
      <c r="I3" s="127" t="s">
        <v>9</v>
      </c>
      <c r="J3" s="127" t="s">
        <v>9</v>
      </c>
      <c r="K3" s="130" t="s">
        <v>9</v>
      </c>
      <c r="L3" s="128" t="s">
        <v>0</v>
      </c>
      <c r="M3" s="127" t="s">
        <v>0</v>
      </c>
      <c r="N3" s="127" t="s">
        <v>0</v>
      </c>
      <c r="O3" s="127" t="s">
        <v>0</v>
      </c>
      <c r="P3" s="127" t="s">
        <v>0</v>
      </c>
      <c r="Q3" s="127" t="s">
        <v>0</v>
      </c>
      <c r="R3" s="127" t="s">
        <v>0</v>
      </c>
      <c r="S3" s="127" t="s">
        <v>0</v>
      </c>
      <c r="T3" s="127" t="s">
        <v>0</v>
      </c>
      <c r="U3" s="130" t="s">
        <v>0</v>
      </c>
      <c r="V3" s="129">
        <f>数出表_Excel!L3</f>
        <v>0</v>
      </c>
      <c r="W3" s="137">
        <f>IF(V3&lt;&gt;"",V3,"")</f>
        <v>0</v>
      </c>
      <c r="X3" s="129">
        <f>数出表_Excel!M3</f>
        <v>0</v>
      </c>
      <c r="Y3" s="137">
        <f>IF(X3&lt;&gt;"",X3,"")</f>
        <v>0</v>
      </c>
      <c r="Z3" s="129">
        <f>数出表_Excel!N3</f>
        <v>0</v>
      </c>
      <c r="AA3" s="137">
        <f>IF(Z3&lt;&gt;"",Z3,"")</f>
        <v>0</v>
      </c>
      <c r="AB3" s="129">
        <f>数出表_Excel!O3</f>
        <v>0</v>
      </c>
      <c r="AC3" s="137">
        <f>IF(AB3&lt;&gt;"",AB3,"")</f>
        <v>0</v>
      </c>
      <c r="AD3" s="129">
        <f>数出表_Excel!P3</f>
        <v>0</v>
      </c>
      <c r="AE3" s="137">
        <f>IF(AD3&lt;&gt;"",AD3,"")</f>
        <v>0</v>
      </c>
      <c r="AF3" s="129">
        <f>数出表_Excel!Q3</f>
        <v>0</v>
      </c>
      <c r="AG3" s="137">
        <f>IF(AF3&lt;&gt;"",AF3,"")</f>
        <v>0</v>
      </c>
      <c r="AH3" s="129">
        <f>数出表_Excel!R3</f>
        <v>0</v>
      </c>
      <c r="AI3" s="137">
        <f>IF(AH3&lt;&gt;"",AH3,"")</f>
        <v>0</v>
      </c>
      <c r="AJ3" s="129">
        <f>数出表_Excel!S3</f>
        <v>0</v>
      </c>
      <c r="AK3" s="137">
        <f>IF(AJ3&lt;&gt;"",AJ3,"")</f>
        <v>0</v>
      </c>
      <c r="AL3" s="174" t="s">
        <v>47</v>
      </c>
      <c r="AM3" s="86"/>
      <c r="AN3" s="132"/>
    </row>
    <row r="4" spans="1:42" s="80" customFormat="1" ht="16.2" customHeight="1">
      <c r="A4" s="138" t="s">
        <v>48</v>
      </c>
      <c r="B4" s="129" t="s">
        <v>49</v>
      </c>
      <c r="C4" s="137" t="s">
        <v>49</v>
      </c>
      <c r="D4" s="129" t="s">
        <v>49</v>
      </c>
      <c r="E4" s="137" t="s">
        <v>49</v>
      </c>
      <c r="F4" s="129" t="s">
        <v>49</v>
      </c>
      <c r="G4" s="137" t="s">
        <v>49</v>
      </c>
      <c r="H4" s="129" t="s">
        <v>50</v>
      </c>
      <c r="I4" s="137" t="s">
        <v>50</v>
      </c>
      <c r="J4" s="129" t="s">
        <v>51</v>
      </c>
      <c r="K4" s="137" t="s">
        <v>51</v>
      </c>
      <c r="L4" s="129" t="s">
        <v>49</v>
      </c>
      <c r="M4" s="137" t="s">
        <v>49</v>
      </c>
      <c r="N4" s="129" t="s">
        <v>49</v>
      </c>
      <c r="O4" s="137" t="s">
        <v>49</v>
      </c>
      <c r="P4" s="129" t="s">
        <v>50</v>
      </c>
      <c r="Q4" s="137" t="s">
        <v>50</v>
      </c>
      <c r="R4" s="129" t="s">
        <v>50</v>
      </c>
      <c r="S4" s="137" t="s">
        <v>50</v>
      </c>
      <c r="T4" s="129" t="s">
        <v>51</v>
      </c>
      <c r="U4" s="170" t="s">
        <v>51</v>
      </c>
      <c r="V4" s="171"/>
      <c r="W4" s="88"/>
      <c r="X4" s="173" t="e">
        <f>IF(V3&lt;&gt;"",IF(AND(COUNTIF(貼り付け用!$L$3:$Z$3,"*"&amp;SUBSTITUTE(V3,"　","")&amp;"*"),LEN(SUBSTITUTE(V3,"　",""))&gt;2),
LEN(SUBSTITUTE(V3,"　","")),
IF(AND(COUNTIF(貼り付け用!$L$3:$Z$3,"*"&amp;LEFT(SUBSTITUTE(V3,"　",""),LEN(SUBSTITUTE(V3,"　",""))-1)&amp;"*"),LEN(LEFT(SUBSTITUTE(V3,"　",""),LEN(SUBSTITUTE(V3,"　",""))-1))&gt;2),
LEN(LEFT(SUBSTITUTE(V3,"　",""),LEN(SUBSTITUTE(V3,"　",""))-1)),
IF(AND(COUNTIF(貼り付け用!$L$3:$Z$3,"*"&amp;LEFT(SUBSTITUTE(V3,"　",""),LEN(SUBSTITUTE(V3,"　",""))-2)&amp;"*"),LEN(LEFT(SUBSTITUTE(V3,"　",""),LEN(SUBSTITUTE(V3,"　",""))-2))&gt;2),
LEN(LEFT(SUBSTITUTE(V3,"　",""),LEN(SUBSTITUTE(V3,"　",""))-2)),
IF(AND(COUNTIF(貼り付け用!$L$3:$Z$3,"*"&amp;LEFT(SUBSTITUTE(V3,"　",""),LEN(SUBSTITUTE(V3,"　",""))-3)&amp;"*"),LEN(LEFT(SUBSTITUTE(V3,"　",""),LEN(SUBSTITUTE(V3,"　",""))-3))&gt;2),
LEN(LEFT(SUBSTITUTE(V3,"　",""),LEN(SUBSTITUTE(V3,"　",""))-3)),
IF(AND(COUNTIF(貼り付け用!$L$3:$Z$3,"*"&amp;LEFT(SUBSTITUTE(V3,"　",""),LEN(SUBSTITUTE(V3,"　",""))-4)&amp;"*"),LEN(LEFT(SUBSTITUTE(V3,"　",""),LEN(SUBSTITUTE(V3,"　",""))-4))&gt;2),
LEN(LEFT(SUBSTITUTE(V3,"　",""),LEN(SUBSTITUTE(V3,"　",""))-4)),
10))))),"")</f>
        <v>#VALUE!</v>
      </c>
      <c r="Y4" s="88"/>
      <c r="Z4" s="173" t="e">
        <f>IF(X3&lt;&gt;"",IF(AND(COUNTIF(貼り付け用!$L$3:$Z$3,"*"&amp;SUBSTITUTE(X3,"　","")&amp;"*"),LEN(SUBSTITUTE(X3,"　",""))&gt;2),
LEN(SUBSTITUTE(X3,"　","")),
IF(AND(COUNTIF(貼り付け用!$L$3:$Z$3,"*"&amp;LEFT(SUBSTITUTE(X3,"　",""),LEN(SUBSTITUTE(X3,"　",""))-1)&amp;"*"),LEN(LEFT(SUBSTITUTE(X3,"　",""),LEN(SUBSTITUTE(X3,"　",""))-1))&gt;2),
LEN(LEFT(SUBSTITUTE(X3,"　",""),LEN(SUBSTITUTE(X3,"　",""))-1)),
IF(AND(COUNTIF(貼り付け用!$L$3:$Z$3,"*"&amp;LEFT(SUBSTITUTE(X3,"　",""),LEN(SUBSTITUTE(X3,"　",""))-2)&amp;"*"),LEN(LEFT(SUBSTITUTE(X3,"　",""),LEN(SUBSTITUTE(X3,"　",""))-2))&gt;2),
LEN(LEFT(SUBSTITUTE(X3,"　",""),LEN(SUBSTITUTE(X3,"　",""))-2)),
IF(AND(COUNTIF(貼り付け用!$L$3:$Z$3,"*"&amp;LEFT(SUBSTITUTE(X3,"　",""),LEN(SUBSTITUTE(X3,"　",""))-3)&amp;"*"),LEN(LEFT(SUBSTITUTE(X3,"　",""),LEN(SUBSTITUTE(X3,"　",""))-3))&gt;2),
LEN(LEFT(SUBSTITUTE(X3,"　",""),LEN(SUBSTITUTE(X3,"　",""))-3)),
IF(AND(COUNTIF(貼り付け用!$L$3:$Z$3,"*"&amp;LEFT(SUBSTITUTE(X3,"　",""),LEN(SUBSTITUTE(X3,"　",""))-4)&amp;"*"),LEN(LEFT(SUBSTITUTE(X3,"　",""),LEN(SUBSTITUTE(X3,"　",""))-4))&gt;2),
LEN(LEFT(SUBSTITUTE(X3,"　",""),LEN(SUBSTITUTE(X3,"　",""))-4)),
10))))),"")</f>
        <v>#VALUE!</v>
      </c>
      <c r="AA4" s="88"/>
      <c r="AB4" s="173" t="e">
        <f>IF(Z3&lt;&gt;"",IF(AND(COUNTIF(貼り付け用!$L$3:$Z$3,"*"&amp;SUBSTITUTE(Z3,"　","")&amp;"*"),LEN(SUBSTITUTE(Z3,"　",""))&gt;2),
LEN(SUBSTITUTE(Z3,"　","")),
IF(AND(COUNTIF(貼り付け用!$L$3:$Z$3,"*"&amp;LEFT(SUBSTITUTE(Z3,"　",""),LEN(SUBSTITUTE(Z3,"　",""))-1)&amp;"*"),LEN(LEFT(SUBSTITUTE(Z3,"　",""),LEN(SUBSTITUTE(Z3,"　",""))-1))&gt;2),
LEN(LEFT(SUBSTITUTE(Z3,"　",""),LEN(SUBSTITUTE(Z3,"　",""))-1)),
IF(AND(COUNTIF(貼り付け用!$L$3:$Z$3,"*"&amp;LEFT(SUBSTITUTE(Z3,"　",""),LEN(SUBSTITUTE(Z3,"　",""))-2)&amp;"*"),LEN(LEFT(SUBSTITUTE(Z3,"　",""),LEN(SUBSTITUTE(Z3,"　",""))-2))&gt;2),
LEN(LEFT(SUBSTITUTE(Z3,"　",""),LEN(SUBSTITUTE(Z3,"　",""))-2)),
IF(AND(COUNTIF(貼り付け用!$L$3:$Z$3,"*"&amp;LEFT(SUBSTITUTE(Z3,"　",""),LEN(SUBSTITUTE(Z3,"　",""))-3)&amp;"*"),LEN(LEFT(SUBSTITUTE(Z3,"　",""),LEN(SUBSTITUTE(Z3,"　",""))-3))&gt;2),
LEN(LEFT(SUBSTITUTE(Z3,"　",""),LEN(SUBSTITUTE(Z3,"　",""))-3)),
IF(AND(COUNTIF(貼り付け用!$L$3:$Z$3,"*"&amp;LEFT(SUBSTITUTE(Z3,"　",""),LEN(SUBSTITUTE(Z3,"　",""))-4)&amp;"*"),LEN(LEFT(SUBSTITUTE(Z3,"　",""),LEN(SUBSTITUTE(Z3,"　",""))-4))&gt;2),
LEN(LEFT(SUBSTITUTE(Z3,"　",""),LEN(SUBSTITUTE(Z3,"　",""))-4)),
10))))),"")</f>
        <v>#VALUE!</v>
      </c>
      <c r="AC4" s="88"/>
      <c r="AD4" s="173" t="e">
        <f>IF(AB3&lt;&gt;"",IF(AND(COUNTIF(貼り付け用!$L$3:$Z$3,"*"&amp;SUBSTITUTE(AB3,"　","")&amp;"*"),LEN(SUBSTITUTE(AB3,"　",""))&gt;2),
LEN(SUBSTITUTE(AB3,"　","")),
IF(AND(COUNTIF(貼り付け用!$L$3:$Z$3,"*"&amp;LEFT(SUBSTITUTE(AB3,"　",""),LEN(SUBSTITUTE(AB3,"　",""))-1)&amp;"*"),LEN(LEFT(SUBSTITUTE(AB3,"　",""),LEN(SUBSTITUTE(AB3,"　",""))-1))&gt;2),
LEN(LEFT(SUBSTITUTE(AB3,"　",""),LEN(SUBSTITUTE(AB3,"　",""))-1)),
IF(AND(COUNTIF(貼り付け用!$L$3:$Z$3,"*"&amp;LEFT(SUBSTITUTE(AB3,"　",""),LEN(SUBSTITUTE(AB3,"　",""))-2)&amp;"*"),LEN(LEFT(SUBSTITUTE(AB3,"　",""),LEN(SUBSTITUTE(AB3,"　",""))-2))&gt;2),
LEN(LEFT(SUBSTITUTE(AB3,"　",""),LEN(SUBSTITUTE(AB3,"　",""))-2)),
IF(AND(COUNTIF(貼り付け用!$L$3:$Z$3,"*"&amp;LEFT(SUBSTITUTE(AB3,"　",""),LEN(SUBSTITUTE(AB3,"　",""))-3)&amp;"*"),LEN(LEFT(SUBSTITUTE(AB3,"　",""),LEN(SUBSTITUTE(AB3,"　",""))-3))&gt;2),
LEN(LEFT(SUBSTITUTE(AB3,"　",""),LEN(SUBSTITUTE(AB3,"　",""))-3)),
IF(AND(COUNTIF(貼り付け用!$L$3:$Z$3,"*"&amp;LEFT(SUBSTITUTE(AB3,"　",""),LEN(SUBSTITUTE(AB3,"　",""))-4)&amp;"*"),LEN(LEFT(SUBSTITUTE(AB3,"　",""),LEN(SUBSTITUTE(AB3,"　",""))-4))&gt;2),
LEN(LEFT(SUBSTITUTE(AB3,"　",""),LEN(SUBSTITUTE(AB3,"　",""))-4)),
10))))),"")</f>
        <v>#VALUE!</v>
      </c>
      <c r="AE4" s="88"/>
      <c r="AF4" s="173" t="e">
        <f>IF(AD3&lt;&gt;"",IF(AND(COUNTIF(貼り付け用!$L$3:$Z$3,"*"&amp;SUBSTITUTE(AD3,"　","")&amp;"*"),LEN(SUBSTITUTE(AD3,"　",""))&gt;2),
LEN(SUBSTITUTE(AD3,"　","")),
IF(AND(COUNTIF(貼り付け用!$L$3:$Z$3,"*"&amp;LEFT(SUBSTITUTE(AD3,"　",""),LEN(SUBSTITUTE(AD3,"　",""))-1)&amp;"*"),LEN(LEFT(SUBSTITUTE(AD3,"　",""),LEN(SUBSTITUTE(AD3,"　",""))-1))&gt;2),
LEN(LEFT(SUBSTITUTE(AD3,"　",""),LEN(SUBSTITUTE(AD3,"　",""))-1)),
IF(AND(COUNTIF(貼り付け用!$L$3:$Z$3,"*"&amp;LEFT(SUBSTITUTE(AD3,"　",""),LEN(SUBSTITUTE(AD3,"　",""))-2)&amp;"*"),LEN(LEFT(SUBSTITUTE(AD3,"　",""),LEN(SUBSTITUTE(AD3,"　",""))-2))&gt;2),
LEN(LEFT(SUBSTITUTE(AD3,"　",""),LEN(SUBSTITUTE(AD3,"　",""))-2)),
IF(AND(COUNTIF(貼り付け用!$L$3:$Z$3,"*"&amp;LEFT(SUBSTITUTE(AD3,"　",""),LEN(SUBSTITUTE(AD3,"　",""))-3)&amp;"*"),LEN(LEFT(SUBSTITUTE(AD3,"　",""),LEN(SUBSTITUTE(AD3,"　",""))-3))&gt;2),
LEN(LEFT(SUBSTITUTE(AD3,"　",""),LEN(SUBSTITUTE(AD3,"　",""))-3)),
IF(AND(COUNTIF(貼り付け用!$L$3:$Z$3,"*"&amp;LEFT(SUBSTITUTE(AD3,"　",""),LEN(SUBSTITUTE(AD3,"　",""))-4)&amp;"*"),LEN(LEFT(SUBSTITUTE(AD3,"　",""),LEN(SUBSTITUTE(AD3,"　",""))-4))&gt;2),
LEN(LEFT(SUBSTITUTE(AD3,"　",""),LEN(SUBSTITUTE(AD3,"　",""))-4)),
10))))),"")</f>
        <v>#VALUE!</v>
      </c>
      <c r="AG4" s="88"/>
      <c r="AH4" s="173" t="e">
        <f>IF(AF3&lt;&gt;"",IF(AND(COUNTIF(貼り付け用!$L$3:$Z$3,"*"&amp;SUBSTITUTE(AF3,"　","")&amp;"*"),LEN(SUBSTITUTE(AF3,"　",""))&gt;2),
LEN(SUBSTITUTE(AF3,"　","")),
IF(AND(COUNTIF(貼り付け用!$L$3:$Z$3,"*"&amp;LEFT(SUBSTITUTE(AF3,"　",""),LEN(SUBSTITUTE(AF3,"　",""))-1)&amp;"*"),LEN(LEFT(SUBSTITUTE(AF3,"　",""),LEN(SUBSTITUTE(AF3,"　",""))-1))&gt;2),
LEN(LEFT(SUBSTITUTE(AF3,"　",""),LEN(SUBSTITUTE(AF3,"　",""))-1)),
IF(AND(COUNTIF(貼り付け用!$L$3:$Z$3,"*"&amp;LEFT(SUBSTITUTE(AF3,"　",""),LEN(SUBSTITUTE(AF3,"　",""))-2)&amp;"*"),LEN(LEFT(SUBSTITUTE(AF3,"　",""),LEN(SUBSTITUTE(AF3,"　",""))-2))&gt;2),
LEN(LEFT(SUBSTITUTE(AF3,"　",""),LEN(SUBSTITUTE(AF3,"　",""))-2)),
IF(AND(COUNTIF(貼り付け用!$L$3:$Z$3,"*"&amp;LEFT(SUBSTITUTE(AF3,"　",""),LEN(SUBSTITUTE(AF3,"　",""))-3)&amp;"*"),LEN(LEFT(SUBSTITUTE(AF3,"　",""),LEN(SUBSTITUTE(AF3,"　",""))-3))&gt;2),
LEN(LEFT(SUBSTITUTE(AF3,"　",""),LEN(SUBSTITUTE(AF3,"　",""))-3)),
IF(AND(COUNTIF(貼り付け用!$L$3:$Z$3,"*"&amp;LEFT(SUBSTITUTE(AF3,"　",""),LEN(SUBSTITUTE(AF3,"　",""))-4)&amp;"*"),LEN(LEFT(SUBSTITUTE(AF3,"　",""),LEN(SUBSTITUTE(AF3,"　",""))-4))&gt;2),
LEN(LEFT(SUBSTITUTE(AF3,"　",""),LEN(SUBSTITUTE(AF3,"　",""))-4)),
10))))),"")</f>
        <v>#VALUE!</v>
      </c>
      <c r="AI4" s="88"/>
      <c r="AJ4" s="173" t="e">
        <f>IF(AH3&lt;&gt;"",IF(AND(COUNTIF(貼り付け用!$L$3:$Z$3,"*"&amp;SUBSTITUTE(AH3,"　","")&amp;"*"),LEN(SUBSTITUTE(AH3,"　",""))&gt;2),
LEN(SUBSTITUTE(AH3,"　","")),
IF(AND(COUNTIF(貼り付け用!$L$3:$Z$3,"*"&amp;LEFT(SUBSTITUTE(AH3,"　",""),LEN(SUBSTITUTE(AH3,"　",""))-1)&amp;"*"),LEN(LEFT(SUBSTITUTE(AH3,"　",""),LEN(SUBSTITUTE(AH3,"　",""))-1))&gt;2),
LEN(LEFT(SUBSTITUTE(AH3,"　",""),LEN(SUBSTITUTE(AH3,"　",""))-1)),
IF(AND(COUNTIF(貼り付け用!$L$3:$Z$3,"*"&amp;LEFT(SUBSTITUTE(AH3,"　",""),LEN(SUBSTITUTE(AH3,"　",""))-2)&amp;"*"),LEN(LEFT(SUBSTITUTE(AH3,"　",""),LEN(SUBSTITUTE(AH3,"　",""))-2))&gt;2),
LEN(LEFT(SUBSTITUTE(AH3,"　",""),LEN(SUBSTITUTE(AH3,"　",""))-2)),
IF(AND(COUNTIF(貼り付け用!$L$3:$Z$3,"*"&amp;LEFT(SUBSTITUTE(AH3,"　",""),LEN(SUBSTITUTE(AH3,"　",""))-3)&amp;"*"),LEN(LEFT(SUBSTITUTE(AH3,"　",""),LEN(SUBSTITUTE(AH3,"　",""))-3))&gt;2),
LEN(LEFT(SUBSTITUTE(AH3,"　",""),LEN(SUBSTITUTE(AH3,"　",""))-3)),
IF(AND(COUNTIF(貼り付け用!$L$3:$Z$3,"*"&amp;LEFT(SUBSTITUTE(AH3,"　",""),LEN(SUBSTITUTE(AH3,"　",""))-4)&amp;"*"),LEN(LEFT(SUBSTITUTE(AH3,"　",""),LEN(SUBSTITUTE(AH3,"　",""))-4))&gt;2),
LEN(LEFT(SUBSTITUTE(AH3,"　",""),LEN(SUBSTITUTE(AH3,"　",""))-4)),
10))))),"")</f>
        <v>#VALUE!</v>
      </c>
      <c r="AK4" s="88"/>
      <c r="AL4" s="175"/>
      <c r="AN4" s="132"/>
    </row>
    <row r="5" spans="1:42" ht="16.2" customHeight="1">
      <c r="A5" s="139"/>
      <c r="B5" s="62">
        <v>100</v>
      </c>
      <c r="C5" s="169">
        <v>100</v>
      </c>
      <c r="D5" s="62">
        <v>150</v>
      </c>
      <c r="E5" s="169">
        <v>150</v>
      </c>
      <c r="F5" s="62">
        <v>120</v>
      </c>
      <c r="G5" s="169">
        <v>120</v>
      </c>
      <c r="H5" s="62" t="s">
        <v>55</v>
      </c>
      <c r="I5" s="169" t="s">
        <v>55</v>
      </c>
      <c r="J5" s="62"/>
      <c r="K5" s="169"/>
      <c r="L5" s="62">
        <v>120</v>
      </c>
      <c r="M5" s="169">
        <v>120</v>
      </c>
      <c r="N5" s="62">
        <v>100</v>
      </c>
      <c r="O5" s="169">
        <v>100</v>
      </c>
      <c r="P5" s="62" t="s">
        <v>55</v>
      </c>
      <c r="Q5" s="169" t="s">
        <v>55</v>
      </c>
      <c r="R5" s="62" t="s">
        <v>56</v>
      </c>
      <c r="S5" s="169" t="s">
        <v>56</v>
      </c>
      <c r="T5" s="62"/>
      <c r="U5" s="169"/>
      <c r="V5" s="62"/>
      <c r="W5" s="172"/>
      <c r="X5" s="62"/>
      <c r="Y5" s="172"/>
      <c r="Z5" s="62"/>
      <c r="AA5" s="172"/>
      <c r="AB5" s="62"/>
      <c r="AC5" s="172"/>
      <c r="AD5" s="62"/>
      <c r="AE5" s="172"/>
      <c r="AF5" s="62"/>
      <c r="AG5" s="172"/>
      <c r="AH5" s="62"/>
      <c r="AI5" s="172"/>
      <c r="AJ5" s="62"/>
      <c r="AK5" s="172"/>
      <c r="AL5" s="63"/>
      <c r="AM5" s="93"/>
      <c r="AN5" s="94"/>
    </row>
    <row r="6" spans="1:42" ht="16.2" customHeight="1">
      <c r="A6" s="198" t="e">
        <f t="array" aca="1" ref="A6" ca="1">INDEX(
INDIRECT("貼り付け用!A"&amp;MATCH("園名",貼り付け用!$A1:$A200,0)+1&amp;":A300"),
MATCH(1,(ISNUMBER(--INDIRECT("貼り付け用!A"&amp;MATCH("園名",貼り付け用!$A1:$A200,0)+1&amp;":A300")))*(INDIRECT("貼り付け用!A"&amp;MATCH("園名",貼り付け用!$A1:$A200,0)+1&amp;":A300")&lt;&gt;""),0))</f>
        <v>#N/A</v>
      </c>
      <c r="B6" s="182" t="str">
        <f ca="1">IFERROR(VALUE(IF(VLOOKUP($A6,数出表_Excel!$A$6:$T$150,COLUMN()/2+1,FALSE)=0,"",VLOOKUP($A6,数出表_Excel!$A$6:$T$150,COLUMN()/2+1,FALSE))),"")</f>
        <v/>
      </c>
      <c r="C6" s="75"/>
      <c r="D6" s="182" t="str">
        <f ca="1">IFERROR(VALUE(IF(VLOOKUP($A6,数出表_Excel!$A$6:$T$150,COLUMN()/2+1,FALSE)=0,"",VLOOKUP($A6,数出表_Excel!$A$6:$T$150,COLUMN()/2+1,FALSE))),"")</f>
        <v/>
      </c>
      <c r="E6" s="75"/>
      <c r="F6" s="182" t="str">
        <f ca="1">IFERROR(VALUE(IF(VLOOKUP($A6,数出表_Excel!$A$6:$T$150,COLUMN()/2+1,FALSE)=0,"",VLOOKUP($A6,数出表_Excel!$A$6:$T$150,COLUMN()/2+1,FALSE))),"")</f>
        <v/>
      </c>
      <c r="G6" s="75"/>
      <c r="H6" s="182" t="str">
        <f ca="1">IFERROR(VALUE(IF(VLOOKUP($A6,数出表_Excel!$A$6:$T$150,COLUMN()/2+1,FALSE)=0,"",VLOOKUP($A6,数出表_Excel!$A$6:$T$150,COLUMN()/2+1,FALSE))),"")</f>
        <v/>
      </c>
      <c r="I6" s="75"/>
      <c r="J6" s="182" t="str">
        <f ca="1">IFERROR(VALUE(IF(VLOOKUP($A6,数出表_Excel!$A$6:$T$150,COLUMN()/2+1,FALSE)=0,"",VLOOKUP($A6,数出表_Excel!$A$6:$T$150,COLUMN()/2+1,FALSE))),"")</f>
        <v/>
      </c>
      <c r="K6" s="75"/>
      <c r="L6" s="182" t="str">
        <f ca="1">IFERROR(VALUE(IF(VLOOKUP($A6,数出表_Excel!$A$6:$T$150,COLUMN()/2+1,FALSE)=0,"",VLOOKUP($A6,数出表_Excel!$A$6:$T$150,COLUMN()/2+1,FALSE))),"")</f>
        <v/>
      </c>
      <c r="M6" s="75"/>
      <c r="N6" s="182" t="str">
        <f ca="1">IFERROR(VALUE(IF(VLOOKUP($A6,数出表_Excel!$A$6:$T$150,COLUMN()/2+1,FALSE)=0,"",VLOOKUP($A6,数出表_Excel!$A$6:$T$150,COLUMN()/2+1,FALSE))),"")</f>
        <v/>
      </c>
      <c r="O6" s="75"/>
      <c r="P6" s="182" t="str">
        <f ca="1">IFERROR(VALUE(IF(VLOOKUP($A6,数出表_Excel!$A$6:$T$150,COLUMN()/2+1,FALSE)=0,"",VLOOKUP($A6,数出表_Excel!$A$6:$T$150,COLUMN()/2+1,FALSE))),"")</f>
        <v/>
      </c>
      <c r="Q6" s="75"/>
      <c r="R6" s="182" t="str">
        <f ca="1">IFERROR(VALUE(IF(VLOOKUP($A6,数出表_Excel!$A$6:$T$150,COLUMN()/2+1,FALSE)=0,"",VLOOKUP($A6,数出表_Excel!$A$6:$T$150,COLUMN()/2+1,FALSE))),"")</f>
        <v/>
      </c>
      <c r="S6" s="75"/>
      <c r="T6" s="182" t="str">
        <f ca="1">IFERROR(VALUE(IF(VLOOKUP($A6,数出表_Excel!$A$6:$T$150,COLUMN()/2+1,FALSE)=0,"",VLOOKUP($A6,数出表_Excel!$A$6:$T$150,COLUMN()/2+1,FALSE))),"")</f>
        <v/>
      </c>
      <c r="U6" s="75"/>
      <c r="V6" s="182" t="str">
        <f ca="1">IFERROR(VALUE(IF(VLOOKUP($A6,数出表_Excel!$A$6:$T$150,COLUMN()/2+1,FALSE)=0,"",VLOOKUP($A6,数出表_Excel!$A$6:$T$150,COLUMN()/2+1,FALSE))),"")</f>
        <v/>
      </c>
      <c r="W6" s="75"/>
      <c r="X6" s="182" t="str">
        <f ca="1">IFERROR(VALUE(IF(VLOOKUP($A6,数出表_Excel!$A$6:$T$150,COLUMN()/2+1,FALSE)=0,"",VLOOKUP($A6,数出表_Excel!$A$6:$T$150,COLUMN()/2+1,FALSE))),"")</f>
        <v/>
      </c>
      <c r="Y6" s="75"/>
      <c r="Z6" s="182" t="str">
        <f ca="1">IFERROR(VALUE(IF(VLOOKUP($A6,数出表_Excel!$A$6:$T$150,COLUMN()/2+1,FALSE)=0,"",VLOOKUP($A6,数出表_Excel!$A$6:$T$150,COLUMN()/2+1,FALSE))),"")</f>
        <v/>
      </c>
      <c r="AA6" s="75"/>
      <c r="AB6" s="182" t="str">
        <f ca="1">IFERROR(VALUE(IF(VLOOKUP($A6,数出表_Excel!$A$6:$T$150,COLUMN()/2+1,FALSE)=0,"",VLOOKUP($A6,数出表_Excel!$A$6:$T$150,COLUMN()/2+1,FALSE))),"")</f>
        <v/>
      </c>
      <c r="AC6" s="75"/>
      <c r="AD6" s="182" t="str">
        <f ca="1">IFERROR(VALUE(IF(VLOOKUP($A6,数出表_Excel!$A$6:$T$150,COLUMN()/2+1,FALSE)=0,"",VLOOKUP($A6,数出表_Excel!$A$6:$T$150,COLUMN()/2+1,FALSE))),"")</f>
        <v/>
      </c>
      <c r="AE6" s="75"/>
      <c r="AF6" s="182" t="str">
        <f ca="1">IFERROR(VALUE(IF(VLOOKUP($A6,数出表_Excel!$A$6:$T$150,COLUMN()/2+1,FALSE)=0,"",VLOOKUP($A6,数出表_Excel!$A$6:$T$150,COLUMN()/2+1,FALSE))),"")</f>
        <v/>
      </c>
      <c r="AG6" s="75"/>
      <c r="AH6" s="182" t="str">
        <f ca="1">IFERROR(VALUE(IF(VLOOKUP($A6,数出表_Excel!$A$6:$T$150,COLUMN()/2+1,FALSE)=0,"",VLOOKUP($A6,数出表_Excel!$A$6:$T$150,COLUMN()/2+1,FALSE))),"")</f>
        <v/>
      </c>
      <c r="AI6" s="75"/>
      <c r="AJ6" s="182" t="str">
        <f ca="1">IFERROR(VALUE(IF(VLOOKUP($A6,数出表_Excel!$A$6:$T$150,COLUMN()/2+1,FALSE)=0,"",VLOOKUP($A6,数出表_Excel!$A$6:$T$150,COLUMN()/2+1,FALSE))),"")</f>
        <v/>
      </c>
      <c r="AK6" s="75"/>
      <c r="AL6" s="61" t="e">
        <f ca="1">IF(A6&lt;&gt;"",
IF(VLOOKUP($A6,数出表_Excel!$A$6:$T$150,COLUMN()/2+1,FALSE)=0,"",VLOOKUP($A6,数出表_Excel!$A$6:$T$150,COLUMN()/2+1,FALSE)),"")</f>
        <v>#N/A</v>
      </c>
      <c r="AM6" s="89" t="e">
        <f ca="1">数出表_Excel!V6</f>
        <v>#N/A</v>
      </c>
      <c r="AN6" s="90" t="e">
        <f ca="1">数出表_Excel!W6</f>
        <v>#N/A</v>
      </c>
    </row>
    <row r="7" spans="1:42" ht="16.2" customHeight="1">
      <c r="A7" s="199" t="e">
        <f t="array" aca="1" ref="A7" ca="1">INDEX(
INDIRECT("貼り付け用!A"&amp;MATCH("園名",貼り付け用!$A1:$A200,0)+1&amp;":A300"),
MATCH(1,(ISNUMBER(--INDIRECT("貼り付け用!A"&amp;MATCH("園名",貼り付け用!$A1:$A200,0)+1&amp;":A300")))*(INDIRECT("貼り付け用!A"&amp;MATCH("園名",貼り付け用!$A1:$A200,0)+1&amp;":A300")&lt;&gt;""),0)+1)</f>
        <v>#N/A</v>
      </c>
      <c r="B7" s="148" t="str">
        <f ca="1">IFERROR(VALUE(IF(VLOOKUP($A7,数出表_Excel!$A$6:$T$150,COLUMN()/2+1,FALSE)=0,"",VLOOKUP($A7,数出表_Excel!$A$6:$T$150,COLUMN()/2+1,FALSE))),"")</f>
        <v/>
      </c>
      <c r="C7" s="76"/>
      <c r="D7" s="148" t="str">
        <f ca="1">IFERROR(VALUE(IF(VLOOKUP($A7,数出表_Excel!$A$6:$T$150,COLUMN()/2+1,FALSE)=0,"",VLOOKUP($A7,数出表_Excel!$A$6:$T$150,COLUMN()/2+1,FALSE))),"")</f>
        <v/>
      </c>
      <c r="E7" s="76"/>
      <c r="F7" s="148" t="str">
        <f ca="1">IFERROR(VALUE(IF(VLOOKUP($A7,数出表_Excel!$A$6:$T$150,COLUMN()/2+1,FALSE)=0,"",VLOOKUP($A7,数出表_Excel!$A$6:$T$150,COLUMN()/2+1,FALSE))),"")</f>
        <v/>
      </c>
      <c r="G7" s="76"/>
      <c r="H7" s="148" t="str">
        <f ca="1">IFERROR(VALUE(IF(VLOOKUP($A7,数出表_Excel!$A$6:$T$150,COLUMN()/2+1,FALSE)=0,"",VLOOKUP($A7,数出表_Excel!$A$6:$T$150,COLUMN()/2+1,FALSE))),"")</f>
        <v/>
      </c>
      <c r="I7" s="76"/>
      <c r="J7" s="148" t="str">
        <f ca="1">IFERROR(VALUE(IF(VLOOKUP($A7,数出表_Excel!$A$6:$T$150,COLUMN()/2+1,FALSE)=0,"",VLOOKUP($A7,数出表_Excel!$A$6:$T$150,COLUMN()/2+1,FALSE))),"")</f>
        <v/>
      </c>
      <c r="K7" s="76"/>
      <c r="L7" s="148" t="str">
        <f ca="1">IFERROR(VALUE(IF(VLOOKUP($A7,数出表_Excel!$A$6:$T$150,COLUMN()/2+1,FALSE)=0,"",VLOOKUP($A7,数出表_Excel!$A$6:$T$150,COLUMN()/2+1,FALSE))),"")</f>
        <v/>
      </c>
      <c r="M7" s="76"/>
      <c r="N7" s="148" t="str">
        <f ca="1">IFERROR(VALUE(IF(VLOOKUP($A7,数出表_Excel!$A$6:$T$150,COLUMN()/2+1,FALSE)=0,"",VLOOKUP($A7,数出表_Excel!$A$6:$T$150,COLUMN()/2+1,FALSE))),"")</f>
        <v/>
      </c>
      <c r="O7" s="76"/>
      <c r="P7" s="148" t="str">
        <f ca="1">IFERROR(VALUE(IF(VLOOKUP($A7,数出表_Excel!$A$6:$T$150,COLUMN()/2+1,FALSE)=0,"",VLOOKUP($A7,数出表_Excel!$A$6:$T$150,COLUMN()/2+1,FALSE))),"")</f>
        <v/>
      </c>
      <c r="Q7" s="76"/>
      <c r="R7" s="148" t="str">
        <f ca="1">IFERROR(VALUE(IF(VLOOKUP($A7,数出表_Excel!$A$6:$T$150,COLUMN()/2+1,FALSE)=0,"",VLOOKUP($A7,数出表_Excel!$A$6:$T$150,COLUMN()/2+1,FALSE))),"")</f>
        <v/>
      </c>
      <c r="S7" s="76"/>
      <c r="T7" s="148" t="str">
        <f ca="1">IFERROR(VALUE(IF(VLOOKUP($A7,数出表_Excel!$A$6:$T$150,COLUMN()/2+1,FALSE)=0,"",VLOOKUP($A7,数出表_Excel!$A$6:$T$150,COLUMN()/2+1,FALSE))),"")</f>
        <v/>
      </c>
      <c r="U7" s="76"/>
      <c r="V7" s="148" t="str">
        <f ca="1">IFERROR(VALUE(IF(VLOOKUP($A7,数出表_Excel!$A$6:$T$150,COLUMN()/2+1,FALSE)=0,"",VLOOKUP($A7,数出表_Excel!$A$6:$T$150,COLUMN()/2+1,FALSE))),"")</f>
        <v/>
      </c>
      <c r="W7" s="76"/>
      <c r="X7" s="148" t="str">
        <f ca="1">IFERROR(VALUE(IF(VLOOKUP($A7,数出表_Excel!$A$6:$T$150,COLUMN()/2+1,FALSE)=0,"",VLOOKUP($A7,数出表_Excel!$A$6:$T$150,COLUMN()/2+1,FALSE))),"")</f>
        <v/>
      </c>
      <c r="Y7" s="76"/>
      <c r="Z7" s="148" t="str">
        <f ca="1">IFERROR(VALUE(IF(VLOOKUP($A7,数出表_Excel!$A$6:$T$150,COLUMN()/2+1,FALSE)=0,"",VLOOKUP($A7,数出表_Excel!$A$6:$T$150,COLUMN()/2+1,FALSE))),"")</f>
        <v/>
      </c>
      <c r="AA7" s="76"/>
      <c r="AB7" s="148" t="str">
        <f ca="1">IFERROR(VALUE(IF(VLOOKUP($A7,数出表_Excel!$A$6:$T$150,COLUMN()/2+1,FALSE)=0,"",VLOOKUP($A7,数出表_Excel!$A$6:$T$150,COLUMN()/2+1,FALSE))),"")</f>
        <v/>
      </c>
      <c r="AC7" s="76"/>
      <c r="AD7" s="148" t="str">
        <f ca="1">IFERROR(VALUE(IF(VLOOKUP($A7,数出表_Excel!$A$6:$T$150,COLUMN()/2+1,FALSE)=0,"",VLOOKUP($A7,数出表_Excel!$A$6:$T$150,COLUMN()/2+1,FALSE))),"")</f>
        <v/>
      </c>
      <c r="AE7" s="76"/>
      <c r="AF7" s="148" t="str">
        <f ca="1">IFERROR(VALUE(IF(VLOOKUP($A7,数出表_Excel!$A$6:$T$150,COLUMN()/2+1,FALSE)=0,"",VLOOKUP($A7,数出表_Excel!$A$6:$T$150,COLUMN()/2+1,FALSE))),"")</f>
        <v/>
      </c>
      <c r="AG7" s="76"/>
      <c r="AH7" s="148" t="str">
        <f ca="1">IFERROR(VALUE(IF(VLOOKUP($A7,数出表_Excel!$A$6:$T$150,COLUMN()/2+1,FALSE)=0,"",VLOOKUP($A7,数出表_Excel!$A$6:$T$150,COLUMN()/2+1,FALSE))),"")</f>
        <v/>
      </c>
      <c r="AI7" s="76"/>
      <c r="AJ7" s="148" t="str">
        <f ca="1">IFERROR(VALUE(IF(VLOOKUP($A7,数出表_Excel!$A$6:$T$150,COLUMN()/2+1,FALSE)=0,"",VLOOKUP($A7,数出表_Excel!$A$6:$T$150,COLUMN()/2+1,FALSE))),"")</f>
        <v/>
      </c>
      <c r="AK7" s="76"/>
      <c r="AL7" s="63" t="e">
        <f ca="1">IF(A7&lt;&gt;"",
IF(VLOOKUP($A7,数出表_Excel!$A$6:$T$150,COLUMN()/2+1,FALSE)=0,"",VLOOKUP($A7,数出表_Excel!$A$6:$T$150,COLUMN()/2+1,FALSE)),"")</f>
        <v>#N/A</v>
      </c>
      <c r="AM7" s="91" t="e">
        <f ca="1">数出表_Excel!V7</f>
        <v>#N/A</v>
      </c>
      <c r="AN7" s="92" t="e">
        <f ca="1">数出表_Excel!W7</f>
        <v>#N/A</v>
      </c>
    </row>
    <row r="8" spans="1:42" ht="16.2" customHeight="1">
      <c r="A8" s="81" t="e">
        <f t="array" aca="1" ref="A8" ca="1">IF(OR(COUNTIF(A6,"*10002*"),COUNTIF(A6,"")),"",INDEX(貼り付け用!$A1:$A200,MATCH(A6,貼り付け用!$A1:$A200,0)+2,0))</f>
        <v>#N/A</v>
      </c>
      <c r="B8" s="182" t="str">
        <f ca="1">IFERROR(VALUE(IF(VLOOKUP($A8,数出表_Excel!$A$6:$T$150,COLUMN()/2+1,FALSE)=0,"",VLOOKUP($A8,数出表_Excel!$A$6:$T$150,COLUMN()/2+1,FALSE))),"")</f>
        <v/>
      </c>
      <c r="C8" s="75"/>
      <c r="D8" s="182" t="str">
        <f ca="1">IFERROR(VALUE(IF(VLOOKUP($A8,数出表_Excel!$A$6:$T$150,COLUMN()/2+1,FALSE)=0,"",VLOOKUP($A8,数出表_Excel!$A$6:$T$150,COLUMN()/2+1,FALSE))),"")</f>
        <v/>
      </c>
      <c r="E8" s="75"/>
      <c r="F8" s="182" t="str">
        <f ca="1">IFERROR(VALUE(IF(VLOOKUP($A8,数出表_Excel!$A$6:$T$150,COLUMN()/2+1,FALSE)=0,"",VLOOKUP($A8,数出表_Excel!$A$6:$T$150,COLUMN()/2+1,FALSE))),"")</f>
        <v/>
      </c>
      <c r="G8" s="75"/>
      <c r="H8" s="182" t="str">
        <f ca="1">IFERROR(VALUE(IF(VLOOKUP($A8,数出表_Excel!$A$6:$T$150,COLUMN()/2+1,FALSE)=0,"",VLOOKUP($A8,数出表_Excel!$A$6:$T$150,COLUMN()/2+1,FALSE))),"")</f>
        <v/>
      </c>
      <c r="I8" s="75"/>
      <c r="J8" s="182" t="str">
        <f ca="1">IFERROR(VALUE(IF(VLOOKUP($A8,数出表_Excel!$A$6:$T$150,COLUMN()/2+1,FALSE)=0,"",VLOOKUP($A8,数出表_Excel!$A$6:$T$150,COLUMN()/2+1,FALSE))),"")</f>
        <v/>
      </c>
      <c r="K8" s="75"/>
      <c r="L8" s="182" t="str">
        <f ca="1">IFERROR(VALUE(IF(VLOOKUP($A8,数出表_Excel!$A$6:$T$150,COLUMN()/2+1,FALSE)=0,"",VLOOKUP($A8,数出表_Excel!$A$6:$T$150,COLUMN()/2+1,FALSE))),"")</f>
        <v/>
      </c>
      <c r="M8" s="75"/>
      <c r="N8" s="182" t="str">
        <f ca="1">IFERROR(VALUE(IF(VLOOKUP($A8,数出表_Excel!$A$6:$T$150,COLUMN()/2+1,FALSE)=0,"",VLOOKUP($A8,数出表_Excel!$A$6:$T$150,COLUMN()/2+1,FALSE))),"")</f>
        <v/>
      </c>
      <c r="O8" s="75"/>
      <c r="P8" s="182" t="str">
        <f ca="1">IFERROR(VALUE(IF(VLOOKUP($A8,数出表_Excel!$A$6:$T$150,COLUMN()/2+1,FALSE)=0,"",VLOOKUP($A8,数出表_Excel!$A$6:$T$150,COLUMN()/2+1,FALSE))),"")</f>
        <v/>
      </c>
      <c r="Q8" s="75"/>
      <c r="R8" s="182" t="str">
        <f ca="1">IFERROR(VALUE(IF(VLOOKUP($A8,数出表_Excel!$A$6:$T$150,COLUMN()/2+1,FALSE)=0,"",VLOOKUP($A8,数出表_Excel!$A$6:$T$150,COLUMN()/2+1,FALSE))),"")</f>
        <v/>
      </c>
      <c r="S8" s="75"/>
      <c r="T8" s="182" t="str">
        <f ca="1">IFERROR(VALUE(IF(VLOOKUP($A8,数出表_Excel!$A$6:$T$150,COLUMN()/2+1,FALSE)=0,"",VLOOKUP($A8,数出表_Excel!$A$6:$T$150,COLUMN()/2+1,FALSE))),"")</f>
        <v/>
      </c>
      <c r="U8" s="75"/>
      <c r="V8" s="182" t="str">
        <f ca="1">IFERROR(VALUE(IF(VLOOKUP($A8,数出表_Excel!$A$6:$T$150,COLUMN()/2+1,FALSE)=0,"",VLOOKUP($A8,数出表_Excel!$A$6:$T$150,COLUMN()/2+1,FALSE))),"")</f>
        <v/>
      </c>
      <c r="W8" s="75"/>
      <c r="X8" s="182" t="str">
        <f ca="1">IFERROR(VALUE(IF(VLOOKUP($A8,数出表_Excel!$A$6:$T$150,COLUMN()/2+1,FALSE)=0,"",VLOOKUP($A8,数出表_Excel!$A$6:$T$150,COLUMN()/2+1,FALSE))),"")</f>
        <v/>
      </c>
      <c r="Y8" s="75"/>
      <c r="Z8" s="182" t="str">
        <f ca="1">IFERROR(VALUE(IF(VLOOKUP($A8,数出表_Excel!$A$6:$T$150,COLUMN()/2+1,FALSE)=0,"",VLOOKUP($A8,数出表_Excel!$A$6:$T$150,COLUMN()/2+1,FALSE))),"")</f>
        <v/>
      </c>
      <c r="AA8" s="75"/>
      <c r="AB8" s="182" t="str">
        <f ca="1">IFERROR(VALUE(IF(VLOOKUP($A8,数出表_Excel!$A$6:$T$150,COLUMN()/2+1,FALSE)=0,"",VLOOKUP($A8,数出表_Excel!$A$6:$T$150,COLUMN()/2+1,FALSE))),"")</f>
        <v/>
      </c>
      <c r="AC8" s="75"/>
      <c r="AD8" s="182" t="str">
        <f ca="1">IFERROR(VALUE(IF(VLOOKUP($A8,数出表_Excel!$A$6:$T$150,COLUMN()/2+1,FALSE)=0,"",VLOOKUP($A8,数出表_Excel!$A$6:$T$150,COLUMN()/2+1,FALSE))),"")</f>
        <v/>
      </c>
      <c r="AE8" s="75"/>
      <c r="AF8" s="182" t="str">
        <f ca="1">IFERROR(VALUE(IF(VLOOKUP($A8,数出表_Excel!$A$6:$T$150,COLUMN()/2+1,FALSE)=0,"",VLOOKUP($A8,数出表_Excel!$A$6:$T$150,COLUMN()/2+1,FALSE))),"")</f>
        <v/>
      </c>
      <c r="AG8" s="75"/>
      <c r="AH8" s="182" t="str">
        <f ca="1">IFERROR(VALUE(IF(VLOOKUP($A8,数出表_Excel!$A$6:$T$150,COLUMN()/2+1,FALSE)=0,"",VLOOKUP($A8,数出表_Excel!$A$6:$T$150,COLUMN()/2+1,FALSE))),"")</f>
        <v/>
      </c>
      <c r="AI8" s="75"/>
      <c r="AJ8" s="182" t="str">
        <f ca="1">IFERROR(VALUE(IF(VLOOKUP($A8,数出表_Excel!$A$6:$T$150,COLUMN()/2+1,FALSE)=0,"",VLOOKUP($A8,数出表_Excel!$A$6:$T$150,COLUMN()/2+1,FALSE))),"")</f>
        <v/>
      </c>
      <c r="AK8" s="75"/>
      <c r="AL8" s="61" t="e">
        <f ca="1">IF(A8&lt;&gt;"",
IF(VLOOKUP($A8,数出表_Excel!$A$6:$T$150,COLUMN()/2+1,FALSE)=0,"",VLOOKUP($A8,数出表_Excel!$A$6:$T$150,COLUMN()/2+1,FALSE)),"")</f>
        <v>#N/A</v>
      </c>
      <c r="AM8" s="89" t="e">
        <f ca="1">数出表_Excel!V8</f>
        <v>#N/A</v>
      </c>
      <c r="AN8" s="90" t="e">
        <f ca="1">数出表_Excel!W8</f>
        <v>#N/A</v>
      </c>
    </row>
    <row r="9" spans="1:42" ht="16.2" customHeight="1">
      <c r="A9" s="82" t="e">
        <f t="array" aca="1" ref="A9" ca="1">IF(OR(COUNTIF(A7,"*1000*"),COUNTIF(A7,"")),"",INDEX(貼り付け用!$A1:$A200,MATCH(A7,貼り付け用!$A1:$A200,0)+2,0))</f>
        <v>#N/A</v>
      </c>
      <c r="B9" s="148" t="str">
        <f ca="1">IFERROR(VALUE(IF(VLOOKUP($A9,数出表_Excel!$A$6:$T$150,COLUMN()/2+1,FALSE)=0,"",VLOOKUP($A9,数出表_Excel!$A$6:$T$150,COLUMN()/2+1,FALSE))),"")</f>
        <v/>
      </c>
      <c r="C9" s="76"/>
      <c r="D9" s="148" t="str">
        <f ca="1">IFERROR(VALUE(IF(VLOOKUP($A9,数出表_Excel!$A$6:$T$150,COLUMN()/2+1,FALSE)=0,"",VLOOKUP($A9,数出表_Excel!$A$6:$T$150,COLUMN()/2+1,FALSE))),"")</f>
        <v/>
      </c>
      <c r="E9" s="76"/>
      <c r="F9" s="148" t="str">
        <f ca="1">IFERROR(VALUE(IF(VLOOKUP($A9,数出表_Excel!$A$6:$T$150,COLUMN()/2+1,FALSE)=0,"",VLOOKUP($A9,数出表_Excel!$A$6:$T$150,COLUMN()/2+1,FALSE))),"")</f>
        <v/>
      </c>
      <c r="G9" s="76"/>
      <c r="H9" s="148" t="str">
        <f ca="1">IFERROR(VALUE(IF(VLOOKUP($A9,数出表_Excel!$A$6:$T$150,COLUMN()/2+1,FALSE)=0,"",VLOOKUP($A9,数出表_Excel!$A$6:$T$150,COLUMN()/2+1,FALSE))),"")</f>
        <v/>
      </c>
      <c r="I9" s="76"/>
      <c r="J9" s="148" t="str">
        <f ca="1">IFERROR(VALUE(IF(VLOOKUP($A9,数出表_Excel!$A$6:$T$150,COLUMN()/2+1,FALSE)=0,"",VLOOKUP($A9,数出表_Excel!$A$6:$T$150,COLUMN()/2+1,FALSE))),"")</f>
        <v/>
      </c>
      <c r="K9" s="76"/>
      <c r="L9" s="148" t="str">
        <f ca="1">IFERROR(VALUE(IF(VLOOKUP($A9,数出表_Excel!$A$6:$T$150,COLUMN()/2+1,FALSE)=0,"",VLOOKUP($A9,数出表_Excel!$A$6:$T$150,COLUMN()/2+1,FALSE))),"")</f>
        <v/>
      </c>
      <c r="M9" s="76"/>
      <c r="N9" s="148" t="str">
        <f ca="1">IFERROR(VALUE(IF(VLOOKUP($A9,数出表_Excel!$A$6:$T$150,COLUMN()/2+1,FALSE)=0,"",VLOOKUP($A9,数出表_Excel!$A$6:$T$150,COLUMN()/2+1,FALSE))),"")</f>
        <v/>
      </c>
      <c r="O9" s="76"/>
      <c r="P9" s="148" t="str">
        <f ca="1">IFERROR(VALUE(IF(VLOOKUP($A9,数出表_Excel!$A$6:$T$150,COLUMN()/2+1,FALSE)=0,"",VLOOKUP($A9,数出表_Excel!$A$6:$T$150,COLUMN()/2+1,FALSE))),"")</f>
        <v/>
      </c>
      <c r="Q9" s="76"/>
      <c r="R9" s="148" t="str">
        <f ca="1">IFERROR(VALUE(IF(VLOOKUP($A9,数出表_Excel!$A$6:$T$150,COLUMN()/2+1,FALSE)=0,"",VLOOKUP($A9,数出表_Excel!$A$6:$T$150,COLUMN()/2+1,FALSE))),"")</f>
        <v/>
      </c>
      <c r="S9" s="76"/>
      <c r="T9" s="148" t="str">
        <f ca="1">IFERROR(VALUE(IF(VLOOKUP($A9,数出表_Excel!$A$6:$T$150,COLUMN()/2+1,FALSE)=0,"",VLOOKUP($A9,数出表_Excel!$A$6:$T$150,COLUMN()/2+1,FALSE))),"")</f>
        <v/>
      </c>
      <c r="U9" s="76"/>
      <c r="V9" s="148" t="str">
        <f ca="1">IFERROR(VALUE(IF(VLOOKUP($A9,数出表_Excel!$A$6:$T$150,COLUMN()/2+1,FALSE)=0,"",VLOOKUP($A9,数出表_Excel!$A$6:$T$150,COLUMN()/2+1,FALSE))),"")</f>
        <v/>
      </c>
      <c r="W9" s="76"/>
      <c r="X9" s="148" t="str">
        <f ca="1">IFERROR(VALUE(IF(VLOOKUP($A9,数出表_Excel!$A$6:$T$150,COLUMN()/2+1,FALSE)=0,"",VLOOKUP($A9,数出表_Excel!$A$6:$T$150,COLUMN()/2+1,FALSE))),"")</f>
        <v/>
      </c>
      <c r="Y9" s="76"/>
      <c r="Z9" s="148" t="str">
        <f ca="1">IFERROR(VALUE(IF(VLOOKUP($A9,数出表_Excel!$A$6:$T$150,COLUMN()/2+1,FALSE)=0,"",VLOOKUP($A9,数出表_Excel!$A$6:$T$150,COLUMN()/2+1,FALSE))),"")</f>
        <v/>
      </c>
      <c r="AA9" s="76"/>
      <c r="AB9" s="148" t="str">
        <f ca="1">IFERROR(VALUE(IF(VLOOKUP($A9,数出表_Excel!$A$6:$T$150,COLUMN()/2+1,FALSE)=0,"",VLOOKUP($A9,数出表_Excel!$A$6:$T$150,COLUMN()/2+1,FALSE))),"")</f>
        <v/>
      </c>
      <c r="AC9" s="76"/>
      <c r="AD9" s="148" t="str">
        <f ca="1">IFERROR(VALUE(IF(VLOOKUP($A9,数出表_Excel!$A$6:$T$150,COLUMN()/2+1,FALSE)=0,"",VLOOKUP($A9,数出表_Excel!$A$6:$T$150,COLUMN()/2+1,FALSE))),"")</f>
        <v/>
      </c>
      <c r="AE9" s="76"/>
      <c r="AF9" s="148" t="str">
        <f ca="1">IFERROR(VALUE(IF(VLOOKUP($A9,数出表_Excel!$A$6:$T$150,COLUMN()/2+1,FALSE)=0,"",VLOOKUP($A9,数出表_Excel!$A$6:$T$150,COLUMN()/2+1,FALSE))),"")</f>
        <v/>
      </c>
      <c r="AG9" s="76"/>
      <c r="AH9" s="148" t="str">
        <f ca="1">IFERROR(VALUE(IF(VLOOKUP($A9,数出表_Excel!$A$6:$T$150,COLUMN()/2+1,FALSE)=0,"",VLOOKUP($A9,数出表_Excel!$A$6:$T$150,COLUMN()/2+1,FALSE))),"")</f>
        <v/>
      </c>
      <c r="AI9" s="76"/>
      <c r="AJ9" s="148" t="str">
        <f ca="1">IFERROR(VALUE(IF(VLOOKUP($A9,数出表_Excel!$A$6:$T$150,COLUMN()/2+1,FALSE)=0,"",VLOOKUP($A9,数出表_Excel!$A$6:$T$150,COLUMN()/2+1,FALSE))),"")</f>
        <v/>
      </c>
      <c r="AK9" s="76"/>
      <c r="AL9" s="63" t="e">
        <f ca="1">IF(A9&lt;&gt;"",
IF(VLOOKUP($A9,数出表_Excel!$A$6:$T$150,COLUMN()/2+1,FALSE)=0,"",VLOOKUP($A9,数出表_Excel!$A$6:$T$150,COLUMN()/2+1,FALSE)),"")</f>
        <v>#N/A</v>
      </c>
      <c r="AM9" s="91" t="e">
        <f ca="1">数出表_Excel!V9</f>
        <v>#N/A</v>
      </c>
      <c r="AN9" s="92" t="e">
        <f ca="1">数出表_Excel!W9</f>
        <v>#N/A</v>
      </c>
    </row>
    <row r="10" spans="1:42" ht="16.2" customHeight="1">
      <c r="A10" s="81" t="e">
        <f t="array" aca="1" ref="A10" ca="1">IF(OR(COUNTIF(A8,"*10002*"),COUNTIF(A8,"")),"",INDEX(貼り付け用!$A1:$A200,MATCH(A8,貼り付け用!$A1:$A200,0)+2,0))</f>
        <v>#N/A</v>
      </c>
      <c r="B10" s="182" t="str">
        <f ca="1">IFERROR(VALUE(IF(VLOOKUP($A10,数出表_Excel!$A$6:$T$150,COLUMN()/2+1,FALSE)=0,"",VLOOKUP($A10,数出表_Excel!$A$6:$T$150,COLUMN()/2+1,FALSE))),"")</f>
        <v/>
      </c>
      <c r="C10" s="75"/>
      <c r="D10" s="182" t="str">
        <f ca="1">IFERROR(VALUE(IF(VLOOKUP($A10,数出表_Excel!$A$6:$T$150,COLUMN()/2+1,FALSE)=0,"",VLOOKUP($A10,数出表_Excel!$A$6:$T$150,COLUMN()/2+1,FALSE))),"")</f>
        <v/>
      </c>
      <c r="E10" s="75"/>
      <c r="F10" s="182" t="str">
        <f ca="1">IFERROR(VALUE(IF(VLOOKUP($A10,数出表_Excel!$A$6:$T$150,COLUMN()/2+1,FALSE)=0,"",VLOOKUP($A10,数出表_Excel!$A$6:$T$150,COLUMN()/2+1,FALSE))),"")</f>
        <v/>
      </c>
      <c r="G10" s="75"/>
      <c r="H10" s="182" t="str">
        <f ca="1">IFERROR(VALUE(IF(VLOOKUP($A10,数出表_Excel!$A$6:$T$150,COLUMN()/2+1,FALSE)=0,"",VLOOKUP($A10,数出表_Excel!$A$6:$T$150,COLUMN()/2+1,FALSE))),"")</f>
        <v/>
      </c>
      <c r="I10" s="75"/>
      <c r="J10" s="182" t="str">
        <f ca="1">IFERROR(VALUE(IF(VLOOKUP($A10,数出表_Excel!$A$6:$T$150,COLUMN()/2+1,FALSE)=0,"",VLOOKUP($A10,数出表_Excel!$A$6:$T$150,COLUMN()/2+1,FALSE))),"")</f>
        <v/>
      </c>
      <c r="K10" s="75"/>
      <c r="L10" s="182" t="str">
        <f ca="1">IFERROR(VALUE(IF(VLOOKUP($A10,数出表_Excel!$A$6:$T$150,COLUMN()/2+1,FALSE)=0,"",VLOOKUP($A10,数出表_Excel!$A$6:$T$150,COLUMN()/2+1,FALSE))),"")</f>
        <v/>
      </c>
      <c r="M10" s="75"/>
      <c r="N10" s="182" t="str">
        <f ca="1">IFERROR(VALUE(IF(VLOOKUP($A10,数出表_Excel!$A$6:$T$150,COLUMN()/2+1,FALSE)=0,"",VLOOKUP($A10,数出表_Excel!$A$6:$T$150,COLUMN()/2+1,FALSE))),"")</f>
        <v/>
      </c>
      <c r="O10" s="75"/>
      <c r="P10" s="182" t="str">
        <f ca="1">IFERROR(VALUE(IF(VLOOKUP($A10,数出表_Excel!$A$6:$T$150,COLUMN()/2+1,FALSE)=0,"",VLOOKUP($A10,数出表_Excel!$A$6:$T$150,COLUMN()/2+1,FALSE))),"")</f>
        <v/>
      </c>
      <c r="Q10" s="75"/>
      <c r="R10" s="182" t="str">
        <f ca="1">IFERROR(VALUE(IF(VLOOKUP($A10,数出表_Excel!$A$6:$T$150,COLUMN()/2+1,FALSE)=0,"",VLOOKUP($A10,数出表_Excel!$A$6:$T$150,COLUMN()/2+1,FALSE))),"")</f>
        <v/>
      </c>
      <c r="S10" s="75"/>
      <c r="T10" s="182" t="str">
        <f ca="1">IFERROR(VALUE(IF(VLOOKUP($A10,数出表_Excel!$A$6:$T$150,COLUMN()/2+1,FALSE)=0,"",VLOOKUP($A10,数出表_Excel!$A$6:$T$150,COLUMN()/2+1,FALSE))),"")</f>
        <v/>
      </c>
      <c r="U10" s="75"/>
      <c r="V10" s="182" t="str">
        <f ca="1">IFERROR(VALUE(IF(VLOOKUP($A10,数出表_Excel!$A$6:$T$150,COLUMN()/2+1,FALSE)=0,"",VLOOKUP($A10,数出表_Excel!$A$6:$T$150,COLUMN()/2+1,FALSE))),"")</f>
        <v/>
      </c>
      <c r="W10" s="75"/>
      <c r="X10" s="182" t="str">
        <f ca="1">IFERROR(VALUE(IF(VLOOKUP($A10,数出表_Excel!$A$6:$T$150,COLUMN()/2+1,FALSE)=0,"",VLOOKUP($A10,数出表_Excel!$A$6:$T$150,COLUMN()/2+1,FALSE))),"")</f>
        <v/>
      </c>
      <c r="Y10" s="75"/>
      <c r="Z10" s="182" t="str">
        <f ca="1">IFERROR(VALUE(IF(VLOOKUP($A10,数出表_Excel!$A$6:$T$150,COLUMN()/2+1,FALSE)=0,"",VLOOKUP($A10,数出表_Excel!$A$6:$T$150,COLUMN()/2+1,FALSE))),"")</f>
        <v/>
      </c>
      <c r="AA10" s="75"/>
      <c r="AB10" s="182" t="str">
        <f ca="1">IFERROR(VALUE(IF(VLOOKUP($A10,数出表_Excel!$A$6:$T$150,COLUMN()/2+1,FALSE)=0,"",VLOOKUP($A10,数出表_Excel!$A$6:$T$150,COLUMN()/2+1,FALSE))),"")</f>
        <v/>
      </c>
      <c r="AC10" s="75"/>
      <c r="AD10" s="182" t="str">
        <f ca="1">IFERROR(VALUE(IF(VLOOKUP($A10,数出表_Excel!$A$6:$T$150,COLUMN()/2+1,FALSE)=0,"",VLOOKUP($A10,数出表_Excel!$A$6:$T$150,COLUMN()/2+1,FALSE))),"")</f>
        <v/>
      </c>
      <c r="AE10" s="75"/>
      <c r="AF10" s="182" t="str">
        <f ca="1">IFERROR(VALUE(IF(VLOOKUP($A10,数出表_Excel!$A$6:$T$150,COLUMN()/2+1,FALSE)=0,"",VLOOKUP($A10,数出表_Excel!$A$6:$T$150,COLUMN()/2+1,FALSE))),"")</f>
        <v/>
      </c>
      <c r="AG10" s="75"/>
      <c r="AH10" s="182" t="str">
        <f ca="1">IFERROR(VALUE(IF(VLOOKUP($A10,数出表_Excel!$A$6:$T$150,COLUMN()/2+1,FALSE)=0,"",VLOOKUP($A10,数出表_Excel!$A$6:$T$150,COLUMN()/2+1,FALSE))),"")</f>
        <v/>
      </c>
      <c r="AI10" s="75"/>
      <c r="AJ10" s="182" t="str">
        <f ca="1">IFERROR(VALUE(IF(VLOOKUP($A10,数出表_Excel!$A$6:$T$150,COLUMN()/2+1,FALSE)=0,"",VLOOKUP($A10,数出表_Excel!$A$6:$T$150,COLUMN()/2+1,FALSE))),"")</f>
        <v/>
      </c>
      <c r="AK10" s="75"/>
      <c r="AL10" s="61" t="e">
        <f ca="1">IF(A10&lt;&gt;"",
IF(VLOOKUP($A10,数出表_Excel!$A$6:$T$150,COLUMN()/2+1,FALSE)=0,"",VLOOKUP($A10,数出表_Excel!$A$6:$T$150,COLUMN()/2+1,FALSE)),"")</f>
        <v>#N/A</v>
      </c>
      <c r="AM10" s="89" t="e">
        <f ca="1">数出表_Excel!V10</f>
        <v>#N/A</v>
      </c>
      <c r="AN10" s="90" t="e">
        <f ca="1">数出表_Excel!W10</f>
        <v>#N/A</v>
      </c>
    </row>
    <row r="11" spans="1:42" ht="16.2" customHeight="1">
      <c r="A11" s="82" t="e">
        <f t="array" aca="1" ref="A11" ca="1">IF(OR(COUNTIF(A9,"*1000*"),COUNTIF(A9,"")),"",INDEX(貼り付け用!$A1:$A200,MATCH(A9,貼り付け用!$A1:$A200,0)+2,0))</f>
        <v>#N/A</v>
      </c>
      <c r="B11" s="148" t="str">
        <f ca="1">IFERROR(VALUE(IF(VLOOKUP($A11,数出表_Excel!$A$6:$T$150,COLUMN()/2+1,FALSE)=0,"",VLOOKUP($A11,数出表_Excel!$A$6:$T$150,COLUMN()/2+1,FALSE))),"")</f>
        <v/>
      </c>
      <c r="C11" s="76"/>
      <c r="D11" s="148" t="str">
        <f ca="1">IFERROR(VALUE(IF(VLOOKUP($A11,数出表_Excel!$A$6:$T$150,COLUMN()/2+1,FALSE)=0,"",VLOOKUP($A11,数出表_Excel!$A$6:$T$150,COLUMN()/2+1,FALSE))),"")</f>
        <v/>
      </c>
      <c r="E11" s="76"/>
      <c r="F11" s="148" t="str">
        <f ca="1">IFERROR(VALUE(IF(VLOOKUP($A11,数出表_Excel!$A$6:$T$150,COLUMN()/2+1,FALSE)=0,"",VLOOKUP($A11,数出表_Excel!$A$6:$T$150,COLUMN()/2+1,FALSE))),"")</f>
        <v/>
      </c>
      <c r="G11" s="76"/>
      <c r="H11" s="148" t="str">
        <f ca="1">IFERROR(VALUE(IF(VLOOKUP($A11,数出表_Excel!$A$6:$T$150,COLUMN()/2+1,FALSE)=0,"",VLOOKUP($A11,数出表_Excel!$A$6:$T$150,COLUMN()/2+1,FALSE))),"")</f>
        <v/>
      </c>
      <c r="I11" s="76"/>
      <c r="J11" s="148" t="str">
        <f ca="1">IFERROR(VALUE(IF(VLOOKUP($A11,数出表_Excel!$A$6:$T$150,COLUMN()/2+1,FALSE)=0,"",VLOOKUP($A11,数出表_Excel!$A$6:$T$150,COLUMN()/2+1,FALSE))),"")</f>
        <v/>
      </c>
      <c r="K11" s="76"/>
      <c r="L11" s="148" t="str">
        <f ca="1">IFERROR(VALUE(IF(VLOOKUP($A11,数出表_Excel!$A$6:$T$150,COLUMN()/2+1,FALSE)=0,"",VLOOKUP($A11,数出表_Excel!$A$6:$T$150,COLUMN()/2+1,FALSE))),"")</f>
        <v/>
      </c>
      <c r="M11" s="76"/>
      <c r="N11" s="148" t="str">
        <f ca="1">IFERROR(VALUE(IF(VLOOKUP($A11,数出表_Excel!$A$6:$T$150,COLUMN()/2+1,FALSE)=0,"",VLOOKUP($A11,数出表_Excel!$A$6:$T$150,COLUMN()/2+1,FALSE))),"")</f>
        <v/>
      </c>
      <c r="O11" s="76"/>
      <c r="P11" s="148" t="str">
        <f ca="1">IFERROR(VALUE(IF(VLOOKUP($A11,数出表_Excel!$A$6:$T$150,COLUMN()/2+1,FALSE)=0,"",VLOOKUP($A11,数出表_Excel!$A$6:$T$150,COLUMN()/2+1,FALSE))),"")</f>
        <v/>
      </c>
      <c r="Q11" s="76"/>
      <c r="R11" s="148" t="str">
        <f ca="1">IFERROR(VALUE(IF(VLOOKUP($A11,数出表_Excel!$A$6:$T$150,COLUMN()/2+1,FALSE)=0,"",VLOOKUP($A11,数出表_Excel!$A$6:$T$150,COLUMN()/2+1,FALSE))),"")</f>
        <v/>
      </c>
      <c r="S11" s="76"/>
      <c r="T11" s="148" t="str">
        <f ca="1">IFERROR(VALUE(IF(VLOOKUP($A11,数出表_Excel!$A$6:$T$150,COLUMN()/2+1,FALSE)=0,"",VLOOKUP($A11,数出表_Excel!$A$6:$T$150,COLUMN()/2+1,FALSE))),"")</f>
        <v/>
      </c>
      <c r="U11" s="76"/>
      <c r="V11" s="148" t="str">
        <f ca="1">IFERROR(VALUE(IF(VLOOKUP($A11,数出表_Excel!$A$6:$T$150,COLUMN()/2+1,FALSE)=0,"",VLOOKUP($A11,数出表_Excel!$A$6:$T$150,COLUMN()/2+1,FALSE))),"")</f>
        <v/>
      </c>
      <c r="W11" s="76"/>
      <c r="X11" s="148" t="str">
        <f ca="1">IFERROR(VALUE(IF(VLOOKUP($A11,数出表_Excel!$A$6:$T$150,COLUMN()/2+1,FALSE)=0,"",VLOOKUP($A11,数出表_Excel!$A$6:$T$150,COLUMN()/2+1,FALSE))),"")</f>
        <v/>
      </c>
      <c r="Y11" s="76"/>
      <c r="Z11" s="148" t="str">
        <f ca="1">IFERROR(VALUE(IF(VLOOKUP($A11,数出表_Excel!$A$6:$T$150,COLUMN()/2+1,FALSE)=0,"",VLOOKUP($A11,数出表_Excel!$A$6:$T$150,COLUMN()/2+1,FALSE))),"")</f>
        <v/>
      </c>
      <c r="AA11" s="76"/>
      <c r="AB11" s="148" t="str">
        <f ca="1">IFERROR(VALUE(IF(VLOOKUP($A11,数出表_Excel!$A$6:$T$150,COLUMN()/2+1,FALSE)=0,"",VLOOKUP($A11,数出表_Excel!$A$6:$T$150,COLUMN()/2+1,FALSE))),"")</f>
        <v/>
      </c>
      <c r="AC11" s="76"/>
      <c r="AD11" s="148" t="str">
        <f ca="1">IFERROR(VALUE(IF(VLOOKUP($A11,数出表_Excel!$A$6:$T$150,COLUMN()/2+1,FALSE)=0,"",VLOOKUP($A11,数出表_Excel!$A$6:$T$150,COLUMN()/2+1,FALSE))),"")</f>
        <v/>
      </c>
      <c r="AE11" s="76"/>
      <c r="AF11" s="148" t="str">
        <f ca="1">IFERROR(VALUE(IF(VLOOKUP($A11,数出表_Excel!$A$6:$T$150,COLUMN()/2+1,FALSE)=0,"",VLOOKUP($A11,数出表_Excel!$A$6:$T$150,COLUMN()/2+1,FALSE))),"")</f>
        <v/>
      </c>
      <c r="AG11" s="76"/>
      <c r="AH11" s="148" t="str">
        <f ca="1">IFERROR(VALUE(IF(VLOOKUP($A11,数出表_Excel!$A$6:$T$150,COLUMN()/2+1,FALSE)=0,"",VLOOKUP($A11,数出表_Excel!$A$6:$T$150,COLUMN()/2+1,FALSE))),"")</f>
        <v/>
      </c>
      <c r="AI11" s="76"/>
      <c r="AJ11" s="148" t="str">
        <f ca="1">IFERROR(VALUE(IF(VLOOKUP($A11,数出表_Excel!$A$6:$T$150,COLUMN()/2+1,FALSE)=0,"",VLOOKUP($A11,数出表_Excel!$A$6:$T$150,COLUMN()/2+1,FALSE))),"")</f>
        <v/>
      </c>
      <c r="AK11" s="76"/>
      <c r="AL11" s="63" t="e">
        <f ca="1">IF(A11&lt;&gt;"",
IF(VLOOKUP($A11,数出表_Excel!$A$6:$T$150,COLUMN()/2+1,FALSE)=0,"",VLOOKUP($A11,数出表_Excel!$A$6:$T$150,COLUMN()/2+1,FALSE)),"")</f>
        <v>#N/A</v>
      </c>
      <c r="AM11" s="91" t="e">
        <f ca="1">数出表_Excel!V11</f>
        <v>#N/A</v>
      </c>
      <c r="AN11" s="92" t="e">
        <f ca="1">数出表_Excel!W11</f>
        <v>#N/A</v>
      </c>
    </row>
    <row r="12" spans="1:42" ht="16.2" customHeight="1">
      <c r="A12" s="81" t="e">
        <f t="array" aca="1" ref="A12" ca="1">IF(OR(COUNTIF(A10,"*10002*"),COUNTIF(A10,"")),"",INDEX(貼り付け用!$A1:$A200,MATCH(A10,貼り付け用!$A1:$A200,0)+2,0))</f>
        <v>#N/A</v>
      </c>
      <c r="B12" s="182" t="str">
        <f ca="1">IFERROR(VALUE(IF(VLOOKUP($A12,数出表_Excel!$A$6:$T$150,COLUMN()/2+1,FALSE)=0,"",VLOOKUP($A12,数出表_Excel!$A$6:$T$150,COLUMN()/2+1,FALSE))),"")</f>
        <v/>
      </c>
      <c r="C12" s="75"/>
      <c r="D12" s="182" t="str">
        <f ca="1">IFERROR(VALUE(IF(VLOOKUP($A12,数出表_Excel!$A$6:$T$150,COLUMN()/2+1,FALSE)=0,"",VLOOKUP($A12,数出表_Excel!$A$6:$T$150,COLUMN()/2+1,FALSE))),"")</f>
        <v/>
      </c>
      <c r="E12" s="75"/>
      <c r="F12" s="182" t="str">
        <f ca="1">IFERROR(VALUE(IF(VLOOKUP($A12,数出表_Excel!$A$6:$T$150,COLUMN()/2+1,FALSE)=0,"",VLOOKUP($A12,数出表_Excel!$A$6:$T$150,COLUMN()/2+1,FALSE))),"")</f>
        <v/>
      </c>
      <c r="G12" s="75"/>
      <c r="H12" s="182" t="str">
        <f ca="1">IFERROR(VALUE(IF(VLOOKUP($A12,数出表_Excel!$A$6:$T$150,COLUMN()/2+1,FALSE)=0,"",VLOOKUP($A12,数出表_Excel!$A$6:$T$150,COLUMN()/2+1,FALSE))),"")</f>
        <v/>
      </c>
      <c r="I12" s="75"/>
      <c r="J12" s="182" t="str">
        <f ca="1">IFERROR(VALUE(IF(VLOOKUP($A12,数出表_Excel!$A$6:$T$150,COLUMN()/2+1,FALSE)=0,"",VLOOKUP($A12,数出表_Excel!$A$6:$T$150,COLUMN()/2+1,FALSE))),"")</f>
        <v/>
      </c>
      <c r="K12" s="75"/>
      <c r="L12" s="182" t="str">
        <f ca="1">IFERROR(VALUE(IF(VLOOKUP($A12,数出表_Excel!$A$6:$T$150,COLUMN()/2+1,FALSE)=0,"",VLOOKUP($A12,数出表_Excel!$A$6:$T$150,COLUMN()/2+1,FALSE))),"")</f>
        <v/>
      </c>
      <c r="M12" s="75"/>
      <c r="N12" s="182" t="str">
        <f ca="1">IFERROR(VALUE(IF(VLOOKUP($A12,数出表_Excel!$A$6:$T$150,COLUMN()/2+1,FALSE)=0,"",VLOOKUP($A12,数出表_Excel!$A$6:$T$150,COLUMN()/2+1,FALSE))),"")</f>
        <v/>
      </c>
      <c r="O12" s="75"/>
      <c r="P12" s="182" t="str">
        <f ca="1">IFERROR(VALUE(IF(VLOOKUP($A12,数出表_Excel!$A$6:$T$150,COLUMN()/2+1,FALSE)=0,"",VLOOKUP($A12,数出表_Excel!$A$6:$T$150,COLUMN()/2+1,FALSE))),"")</f>
        <v/>
      </c>
      <c r="Q12" s="75"/>
      <c r="R12" s="182" t="str">
        <f ca="1">IFERROR(VALUE(IF(VLOOKUP($A12,数出表_Excel!$A$6:$T$150,COLUMN()/2+1,FALSE)=0,"",VLOOKUP($A12,数出表_Excel!$A$6:$T$150,COLUMN()/2+1,FALSE))),"")</f>
        <v/>
      </c>
      <c r="S12" s="75"/>
      <c r="T12" s="182" t="str">
        <f ca="1">IFERROR(VALUE(IF(VLOOKUP($A12,数出表_Excel!$A$6:$T$150,COLUMN()/2+1,FALSE)=0,"",VLOOKUP($A12,数出表_Excel!$A$6:$T$150,COLUMN()/2+1,FALSE))),"")</f>
        <v/>
      </c>
      <c r="U12" s="75"/>
      <c r="V12" s="182" t="str">
        <f ca="1">IFERROR(VALUE(IF(VLOOKUP($A12,数出表_Excel!$A$6:$T$150,COLUMN()/2+1,FALSE)=0,"",VLOOKUP($A12,数出表_Excel!$A$6:$T$150,COLUMN()/2+1,FALSE))),"")</f>
        <v/>
      </c>
      <c r="W12" s="75"/>
      <c r="X12" s="182" t="str">
        <f ca="1">IFERROR(VALUE(IF(VLOOKUP($A12,数出表_Excel!$A$6:$T$150,COLUMN()/2+1,FALSE)=0,"",VLOOKUP($A12,数出表_Excel!$A$6:$T$150,COLUMN()/2+1,FALSE))),"")</f>
        <v/>
      </c>
      <c r="Y12" s="75"/>
      <c r="Z12" s="182" t="str">
        <f ca="1">IFERROR(VALUE(IF(VLOOKUP($A12,数出表_Excel!$A$6:$T$150,COLUMN()/2+1,FALSE)=0,"",VLOOKUP($A12,数出表_Excel!$A$6:$T$150,COLUMN()/2+1,FALSE))),"")</f>
        <v/>
      </c>
      <c r="AA12" s="75"/>
      <c r="AB12" s="182" t="str">
        <f ca="1">IFERROR(VALUE(IF(VLOOKUP($A12,数出表_Excel!$A$6:$T$150,COLUMN()/2+1,FALSE)=0,"",VLOOKUP($A12,数出表_Excel!$A$6:$T$150,COLUMN()/2+1,FALSE))),"")</f>
        <v/>
      </c>
      <c r="AC12" s="75"/>
      <c r="AD12" s="182" t="str">
        <f ca="1">IFERROR(VALUE(IF(VLOOKUP($A12,数出表_Excel!$A$6:$T$150,COLUMN()/2+1,FALSE)=0,"",VLOOKUP($A12,数出表_Excel!$A$6:$T$150,COLUMN()/2+1,FALSE))),"")</f>
        <v/>
      </c>
      <c r="AE12" s="75"/>
      <c r="AF12" s="182" t="str">
        <f ca="1">IFERROR(VALUE(IF(VLOOKUP($A12,数出表_Excel!$A$6:$T$150,COLUMN()/2+1,FALSE)=0,"",VLOOKUP($A12,数出表_Excel!$A$6:$T$150,COLUMN()/2+1,FALSE))),"")</f>
        <v/>
      </c>
      <c r="AG12" s="75"/>
      <c r="AH12" s="182" t="str">
        <f ca="1">IFERROR(VALUE(IF(VLOOKUP($A12,数出表_Excel!$A$6:$T$150,COLUMN()/2+1,FALSE)=0,"",VLOOKUP($A12,数出表_Excel!$A$6:$T$150,COLUMN()/2+1,FALSE))),"")</f>
        <v/>
      </c>
      <c r="AI12" s="75"/>
      <c r="AJ12" s="182" t="str">
        <f ca="1">IFERROR(VALUE(IF(VLOOKUP($A12,数出表_Excel!$A$6:$T$150,COLUMN()/2+1,FALSE)=0,"",VLOOKUP($A12,数出表_Excel!$A$6:$T$150,COLUMN()/2+1,FALSE))),"")</f>
        <v/>
      </c>
      <c r="AK12" s="75"/>
      <c r="AL12" s="61" t="e">
        <f ca="1">IF(A12&lt;&gt;"",
IF(VLOOKUP($A12,数出表_Excel!$A$6:$T$150,COLUMN()/2+1,FALSE)=0,"",VLOOKUP($A12,数出表_Excel!$A$6:$T$150,COLUMN()/2+1,FALSE)),"")</f>
        <v>#N/A</v>
      </c>
      <c r="AM12" s="89" t="e">
        <f ca="1">数出表_Excel!V12</f>
        <v>#N/A</v>
      </c>
      <c r="AN12" s="90" t="e">
        <f ca="1">数出表_Excel!W12</f>
        <v>#N/A</v>
      </c>
    </row>
    <row r="13" spans="1:42" ht="16.2" customHeight="1">
      <c r="A13" s="82" t="e">
        <f t="array" aca="1" ref="A13" ca="1">IF(OR(COUNTIF(A11,"*1000*"),COUNTIF(A11,"")),"",INDEX(貼り付け用!$A1:$A200,MATCH(A11,貼り付け用!$A1:$A200,0)+2,0))</f>
        <v>#N/A</v>
      </c>
      <c r="B13" s="148" t="str">
        <f ca="1">IFERROR(VALUE(IF(VLOOKUP($A13,数出表_Excel!$A$6:$T$150,COLUMN()/2+1,FALSE)=0,"",VLOOKUP($A13,数出表_Excel!$A$6:$T$150,COLUMN()/2+1,FALSE))),"")</f>
        <v/>
      </c>
      <c r="C13" s="76"/>
      <c r="D13" s="148" t="str">
        <f ca="1">IFERROR(VALUE(IF(VLOOKUP($A13,数出表_Excel!$A$6:$T$150,COLUMN()/2+1,FALSE)=0,"",VLOOKUP($A13,数出表_Excel!$A$6:$T$150,COLUMN()/2+1,FALSE))),"")</f>
        <v/>
      </c>
      <c r="E13" s="76"/>
      <c r="F13" s="148" t="str">
        <f ca="1">IFERROR(VALUE(IF(VLOOKUP($A13,数出表_Excel!$A$6:$T$150,COLUMN()/2+1,FALSE)=0,"",VLOOKUP($A13,数出表_Excel!$A$6:$T$150,COLUMN()/2+1,FALSE))),"")</f>
        <v/>
      </c>
      <c r="G13" s="76"/>
      <c r="H13" s="148" t="str">
        <f ca="1">IFERROR(VALUE(IF(VLOOKUP($A13,数出表_Excel!$A$6:$T$150,COLUMN()/2+1,FALSE)=0,"",VLOOKUP($A13,数出表_Excel!$A$6:$T$150,COLUMN()/2+1,FALSE))),"")</f>
        <v/>
      </c>
      <c r="I13" s="76"/>
      <c r="J13" s="148" t="str">
        <f ca="1">IFERROR(VALUE(IF(VLOOKUP($A13,数出表_Excel!$A$6:$T$150,COLUMN()/2+1,FALSE)=0,"",VLOOKUP($A13,数出表_Excel!$A$6:$T$150,COLUMN()/2+1,FALSE))),"")</f>
        <v/>
      </c>
      <c r="K13" s="76"/>
      <c r="L13" s="148" t="str">
        <f ca="1">IFERROR(VALUE(IF(VLOOKUP($A13,数出表_Excel!$A$6:$T$150,COLUMN()/2+1,FALSE)=0,"",VLOOKUP($A13,数出表_Excel!$A$6:$T$150,COLUMN()/2+1,FALSE))),"")</f>
        <v/>
      </c>
      <c r="M13" s="76"/>
      <c r="N13" s="148" t="str">
        <f ca="1">IFERROR(VALUE(IF(VLOOKUP($A13,数出表_Excel!$A$6:$T$150,COLUMN()/2+1,FALSE)=0,"",VLOOKUP($A13,数出表_Excel!$A$6:$T$150,COLUMN()/2+1,FALSE))),"")</f>
        <v/>
      </c>
      <c r="O13" s="76"/>
      <c r="P13" s="148" t="str">
        <f ca="1">IFERROR(VALUE(IF(VLOOKUP($A13,数出表_Excel!$A$6:$T$150,COLUMN()/2+1,FALSE)=0,"",VLOOKUP($A13,数出表_Excel!$A$6:$T$150,COLUMN()/2+1,FALSE))),"")</f>
        <v/>
      </c>
      <c r="Q13" s="76"/>
      <c r="R13" s="148" t="str">
        <f ca="1">IFERROR(VALUE(IF(VLOOKUP($A13,数出表_Excel!$A$6:$T$150,COLUMN()/2+1,FALSE)=0,"",VLOOKUP($A13,数出表_Excel!$A$6:$T$150,COLUMN()/2+1,FALSE))),"")</f>
        <v/>
      </c>
      <c r="S13" s="76"/>
      <c r="T13" s="148" t="str">
        <f ca="1">IFERROR(VALUE(IF(VLOOKUP($A13,数出表_Excel!$A$6:$T$150,COLUMN()/2+1,FALSE)=0,"",VLOOKUP($A13,数出表_Excel!$A$6:$T$150,COLUMN()/2+1,FALSE))),"")</f>
        <v/>
      </c>
      <c r="U13" s="76"/>
      <c r="V13" s="148" t="str">
        <f ca="1">IFERROR(VALUE(IF(VLOOKUP($A13,数出表_Excel!$A$6:$T$150,COLUMN()/2+1,FALSE)=0,"",VLOOKUP($A13,数出表_Excel!$A$6:$T$150,COLUMN()/2+1,FALSE))),"")</f>
        <v/>
      </c>
      <c r="W13" s="76"/>
      <c r="X13" s="148" t="str">
        <f ca="1">IFERROR(VALUE(IF(VLOOKUP($A13,数出表_Excel!$A$6:$T$150,COLUMN()/2+1,FALSE)=0,"",VLOOKUP($A13,数出表_Excel!$A$6:$T$150,COLUMN()/2+1,FALSE))),"")</f>
        <v/>
      </c>
      <c r="Y13" s="76"/>
      <c r="Z13" s="148" t="str">
        <f ca="1">IFERROR(VALUE(IF(VLOOKUP($A13,数出表_Excel!$A$6:$T$150,COLUMN()/2+1,FALSE)=0,"",VLOOKUP($A13,数出表_Excel!$A$6:$T$150,COLUMN()/2+1,FALSE))),"")</f>
        <v/>
      </c>
      <c r="AA13" s="76"/>
      <c r="AB13" s="148" t="str">
        <f ca="1">IFERROR(VALUE(IF(VLOOKUP($A13,数出表_Excel!$A$6:$T$150,COLUMN()/2+1,FALSE)=0,"",VLOOKUP($A13,数出表_Excel!$A$6:$T$150,COLUMN()/2+1,FALSE))),"")</f>
        <v/>
      </c>
      <c r="AC13" s="76"/>
      <c r="AD13" s="148" t="str">
        <f ca="1">IFERROR(VALUE(IF(VLOOKUP($A13,数出表_Excel!$A$6:$T$150,COLUMN()/2+1,FALSE)=0,"",VLOOKUP($A13,数出表_Excel!$A$6:$T$150,COLUMN()/2+1,FALSE))),"")</f>
        <v/>
      </c>
      <c r="AE13" s="76"/>
      <c r="AF13" s="148" t="str">
        <f ca="1">IFERROR(VALUE(IF(VLOOKUP($A13,数出表_Excel!$A$6:$T$150,COLUMN()/2+1,FALSE)=0,"",VLOOKUP($A13,数出表_Excel!$A$6:$T$150,COLUMN()/2+1,FALSE))),"")</f>
        <v/>
      </c>
      <c r="AG13" s="76"/>
      <c r="AH13" s="148" t="str">
        <f ca="1">IFERROR(VALUE(IF(VLOOKUP($A13,数出表_Excel!$A$6:$T$150,COLUMN()/2+1,FALSE)=0,"",VLOOKUP($A13,数出表_Excel!$A$6:$T$150,COLUMN()/2+1,FALSE))),"")</f>
        <v/>
      </c>
      <c r="AI13" s="76"/>
      <c r="AJ13" s="148" t="str">
        <f ca="1">IFERROR(VALUE(IF(VLOOKUP($A13,数出表_Excel!$A$6:$T$150,COLUMN()/2+1,FALSE)=0,"",VLOOKUP($A13,数出表_Excel!$A$6:$T$150,COLUMN()/2+1,FALSE))),"")</f>
        <v/>
      </c>
      <c r="AK13" s="76"/>
      <c r="AL13" s="63" t="e">
        <f ca="1">IF(A13&lt;&gt;"",
IF(VLOOKUP($A13,数出表_Excel!$A$6:$T$150,COLUMN()/2+1,FALSE)=0,"",VLOOKUP($A13,数出表_Excel!$A$6:$T$150,COLUMN()/2+1,FALSE)),"")</f>
        <v>#N/A</v>
      </c>
      <c r="AM13" s="91" t="e">
        <f ca="1">数出表_Excel!V13</f>
        <v>#N/A</v>
      </c>
      <c r="AN13" s="92" t="e">
        <f ca="1">数出表_Excel!W13</f>
        <v>#N/A</v>
      </c>
    </row>
    <row r="14" spans="1:42" ht="16.2" customHeight="1">
      <c r="A14" s="81" t="e">
        <f t="array" aca="1" ref="A14" ca="1">IF(OR(COUNTIF(A12,"*10002*"),COUNTIF(A12,"")),"",INDEX(貼り付け用!$A1:$A200,MATCH(A12,貼り付け用!$A1:$A200,0)+2,0))</f>
        <v>#N/A</v>
      </c>
      <c r="B14" s="182" t="str">
        <f ca="1">IFERROR(VALUE(IF(VLOOKUP($A14,数出表_Excel!$A$6:$T$150,COLUMN()/2+1,FALSE)=0,"",VLOOKUP($A14,数出表_Excel!$A$6:$T$150,COLUMN()/2+1,FALSE))),"")</f>
        <v/>
      </c>
      <c r="C14" s="75"/>
      <c r="D14" s="182" t="str">
        <f ca="1">IFERROR(VALUE(IF(VLOOKUP($A14,数出表_Excel!$A$6:$T$150,COLUMN()/2+1,FALSE)=0,"",VLOOKUP($A14,数出表_Excel!$A$6:$T$150,COLUMN()/2+1,FALSE))),"")</f>
        <v/>
      </c>
      <c r="E14" s="75"/>
      <c r="F14" s="182" t="str">
        <f ca="1">IFERROR(VALUE(IF(VLOOKUP($A14,数出表_Excel!$A$6:$T$150,COLUMN()/2+1,FALSE)=0,"",VLOOKUP($A14,数出表_Excel!$A$6:$T$150,COLUMN()/2+1,FALSE))),"")</f>
        <v/>
      </c>
      <c r="G14" s="75"/>
      <c r="H14" s="182" t="str">
        <f ca="1">IFERROR(VALUE(IF(VLOOKUP($A14,数出表_Excel!$A$6:$T$150,COLUMN()/2+1,FALSE)=0,"",VLOOKUP($A14,数出表_Excel!$A$6:$T$150,COLUMN()/2+1,FALSE))),"")</f>
        <v/>
      </c>
      <c r="I14" s="75"/>
      <c r="J14" s="182" t="str">
        <f ca="1">IFERROR(VALUE(IF(VLOOKUP($A14,数出表_Excel!$A$6:$T$150,COLUMN()/2+1,FALSE)=0,"",VLOOKUP($A14,数出表_Excel!$A$6:$T$150,COLUMN()/2+1,FALSE))),"")</f>
        <v/>
      </c>
      <c r="K14" s="75"/>
      <c r="L14" s="182" t="str">
        <f ca="1">IFERROR(VALUE(IF(VLOOKUP($A14,数出表_Excel!$A$6:$T$150,COLUMN()/2+1,FALSE)=0,"",VLOOKUP($A14,数出表_Excel!$A$6:$T$150,COLUMN()/2+1,FALSE))),"")</f>
        <v/>
      </c>
      <c r="M14" s="75"/>
      <c r="N14" s="182" t="str">
        <f ca="1">IFERROR(VALUE(IF(VLOOKUP($A14,数出表_Excel!$A$6:$T$150,COLUMN()/2+1,FALSE)=0,"",VLOOKUP($A14,数出表_Excel!$A$6:$T$150,COLUMN()/2+1,FALSE))),"")</f>
        <v/>
      </c>
      <c r="O14" s="75"/>
      <c r="P14" s="182" t="str">
        <f ca="1">IFERROR(VALUE(IF(VLOOKUP($A14,数出表_Excel!$A$6:$T$150,COLUMN()/2+1,FALSE)=0,"",VLOOKUP($A14,数出表_Excel!$A$6:$T$150,COLUMN()/2+1,FALSE))),"")</f>
        <v/>
      </c>
      <c r="Q14" s="75"/>
      <c r="R14" s="182" t="str">
        <f ca="1">IFERROR(VALUE(IF(VLOOKUP($A14,数出表_Excel!$A$6:$T$150,COLUMN()/2+1,FALSE)=0,"",VLOOKUP($A14,数出表_Excel!$A$6:$T$150,COLUMN()/2+1,FALSE))),"")</f>
        <v/>
      </c>
      <c r="S14" s="75"/>
      <c r="T14" s="182" t="str">
        <f ca="1">IFERROR(VALUE(IF(VLOOKUP($A14,数出表_Excel!$A$6:$T$150,COLUMN()/2+1,FALSE)=0,"",VLOOKUP($A14,数出表_Excel!$A$6:$T$150,COLUMN()/2+1,FALSE))),"")</f>
        <v/>
      </c>
      <c r="U14" s="75"/>
      <c r="V14" s="182" t="str">
        <f ca="1">IFERROR(VALUE(IF(VLOOKUP($A14,数出表_Excel!$A$6:$T$150,COLUMN()/2+1,FALSE)=0,"",VLOOKUP($A14,数出表_Excel!$A$6:$T$150,COLUMN()/2+1,FALSE))),"")</f>
        <v/>
      </c>
      <c r="W14" s="75"/>
      <c r="X14" s="182" t="str">
        <f ca="1">IFERROR(VALUE(IF(VLOOKUP($A14,数出表_Excel!$A$6:$T$150,COLUMN()/2+1,FALSE)=0,"",VLOOKUP($A14,数出表_Excel!$A$6:$T$150,COLUMN()/2+1,FALSE))),"")</f>
        <v/>
      </c>
      <c r="Y14" s="75"/>
      <c r="Z14" s="182" t="str">
        <f ca="1">IFERROR(VALUE(IF(VLOOKUP($A14,数出表_Excel!$A$6:$T$150,COLUMN()/2+1,FALSE)=0,"",VLOOKUP($A14,数出表_Excel!$A$6:$T$150,COLUMN()/2+1,FALSE))),"")</f>
        <v/>
      </c>
      <c r="AA14" s="75"/>
      <c r="AB14" s="182" t="str">
        <f ca="1">IFERROR(VALUE(IF(VLOOKUP($A14,数出表_Excel!$A$6:$T$150,COLUMN()/2+1,FALSE)=0,"",VLOOKUP($A14,数出表_Excel!$A$6:$T$150,COLUMN()/2+1,FALSE))),"")</f>
        <v/>
      </c>
      <c r="AC14" s="75"/>
      <c r="AD14" s="182" t="str">
        <f ca="1">IFERROR(VALUE(IF(VLOOKUP($A14,数出表_Excel!$A$6:$T$150,COLUMN()/2+1,FALSE)=0,"",VLOOKUP($A14,数出表_Excel!$A$6:$T$150,COLUMN()/2+1,FALSE))),"")</f>
        <v/>
      </c>
      <c r="AE14" s="75"/>
      <c r="AF14" s="182" t="str">
        <f ca="1">IFERROR(VALUE(IF(VLOOKUP($A14,数出表_Excel!$A$6:$T$150,COLUMN()/2+1,FALSE)=0,"",VLOOKUP($A14,数出表_Excel!$A$6:$T$150,COLUMN()/2+1,FALSE))),"")</f>
        <v/>
      </c>
      <c r="AG14" s="75"/>
      <c r="AH14" s="182" t="str">
        <f ca="1">IFERROR(VALUE(IF(VLOOKUP($A14,数出表_Excel!$A$6:$T$150,COLUMN()/2+1,FALSE)=0,"",VLOOKUP($A14,数出表_Excel!$A$6:$T$150,COLUMN()/2+1,FALSE))),"")</f>
        <v/>
      </c>
      <c r="AI14" s="75"/>
      <c r="AJ14" s="182" t="str">
        <f ca="1">IFERROR(VALUE(IF(VLOOKUP($A14,数出表_Excel!$A$6:$T$150,COLUMN()/2+1,FALSE)=0,"",VLOOKUP($A14,数出表_Excel!$A$6:$T$150,COLUMN()/2+1,FALSE))),"")</f>
        <v/>
      </c>
      <c r="AK14" s="75"/>
      <c r="AL14" s="61" t="e">
        <f ca="1">IF(A14&lt;&gt;"",
IF(VLOOKUP($A14,数出表_Excel!$A$6:$T$150,COLUMN()/2+1,FALSE)=0,"",VLOOKUP($A14,数出表_Excel!$A$6:$T$150,COLUMN()/2+1,FALSE)),"")</f>
        <v>#N/A</v>
      </c>
      <c r="AM14" s="89" t="e">
        <f ca="1">数出表_Excel!V14</f>
        <v>#N/A</v>
      </c>
      <c r="AN14" s="90" t="e">
        <f ca="1">数出表_Excel!W14</f>
        <v>#N/A</v>
      </c>
    </row>
    <row r="15" spans="1:42" ht="16.2" customHeight="1">
      <c r="A15" s="82" t="e">
        <f t="array" aca="1" ref="A15" ca="1">IF(OR(COUNTIF(A13,"*1000*"),COUNTIF(A13,"")),"",INDEX(貼り付け用!$A1:$A200,MATCH(A13,貼り付け用!$A1:$A200,0)+2,0))</f>
        <v>#N/A</v>
      </c>
      <c r="B15" s="148" t="str">
        <f ca="1">IFERROR(VALUE(IF(VLOOKUP($A15,数出表_Excel!$A$6:$T$150,COLUMN()/2+1,FALSE)=0,"",VLOOKUP($A15,数出表_Excel!$A$6:$T$150,COLUMN()/2+1,FALSE))),"")</f>
        <v/>
      </c>
      <c r="C15" s="76"/>
      <c r="D15" s="148" t="str">
        <f ca="1">IFERROR(VALUE(IF(VLOOKUP($A15,数出表_Excel!$A$6:$T$150,COLUMN()/2+1,FALSE)=0,"",VLOOKUP($A15,数出表_Excel!$A$6:$T$150,COLUMN()/2+1,FALSE))),"")</f>
        <v/>
      </c>
      <c r="E15" s="76"/>
      <c r="F15" s="148" t="str">
        <f ca="1">IFERROR(VALUE(IF(VLOOKUP($A15,数出表_Excel!$A$6:$T$150,COLUMN()/2+1,FALSE)=0,"",VLOOKUP($A15,数出表_Excel!$A$6:$T$150,COLUMN()/2+1,FALSE))),"")</f>
        <v/>
      </c>
      <c r="G15" s="76"/>
      <c r="H15" s="148" t="str">
        <f ca="1">IFERROR(VALUE(IF(VLOOKUP($A15,数出表_Excel!$A$6:$T$150,COLUMN()/2+1,FALSE)=0,"",VLOOKUP($A15,数出表_Excel!$A$6:$T$150,COLUMN()/2+1,FALSE))),"")</f>
        <v/>
      </c>
      <c r="I15" s="76"/>
      <c r="J15" s="148" t="str">
        <f ca="1">IFERROR(VALUE(IF(VLOOKUP($A15,数出表_Excel!$A$6:$T$150,COLUMN()/2+1,FALSE)=0,"",VLOOKUP($A15,数出表_Excel!$A$6:$T$150,COLUMN()/2+1,FALSE))),"")</f>
        <v/>
      </c>
      <c r="K15" s="76"/>
      <c r="L15" s="148" t="str">
        <f ca="1">IFERROR(VALUE(IF(VLOOKUP($A15,数出表_Excel!$A$6:$T$150,COLUMN()/2+1,FALSE)=0,"",VLOOKUP($A15,数出表_Excel!$A$6:$T$150,COLUMN()/2+1,FALSE))),"")</f>
        <v/>
      </c>
      <c r="M15" s="76"/>
      <c r="N15" s="148" t="str">
        <f ca="1">IFERROR(VALUE(IF(VLOOKUP($A15,数出表_Excel!$A$6:$T$150,COLUMN()/2+1,FALSE)=0,"",VLOOKUP($A15,数出表_Excel!$A$6:$T$150,COLUMN()/2+1,FALSE))),"")</f>
        <v/>
      </c>
      <c r="O15" s="76"/>
      <c r="P15" s="148" t="str">
        <f ca="1">IFERROR(VALUE(IF(VLOOKUP($A15,数出表_Excel!$A$6:$T$150,COLUMN()/2+1,FALSE)=0,"",VLOOKUP($A15,数出表_Excel!$A$6:$T$150,COLUMN()/2+1,FALSE))),"")</f>
        <v/>
      </c>
      <c r="Q15" s="76"/>
      <c r="R15" s="148" t="str">
        <f ca="1">IFERROR(VALUE(IF(VLOOKUP($A15,数出表_Excel!$A$6:$T$150,COLUMN()/2+1,FALSE)=0,"",VLOOKUP($A15,数出表_Excel!$A$6:$T$150,COLUMN()/2+1,FALSE))),"")</f>
        <v/>
      </c>
      <c r="S15" s="76"/>
      <c r="T15" s="148" t="str">
        <f ca="1">IFERROR(VALUE(IF(VLOOKUP($A15,数出表_Excel!$A$6:$T$150,COLUMN()/2+1,FALSE)=0,"",VLOOKUP($A15,数出表_Excel!$A$6:$T$150,COLUMN()/2+1,FALSE))),"")</f>
        <v/>
      </c>
      <c r="U15" s="76"/>
      <c r="V15" s="148" t="str">
        <f ca="1">IFERROR(VALUE(IF(VLOOKUP($A15,数出表_Excel!$A$6:$T$150,COLUMN()/2+1,FALSE)=0,"",VLOOKUP($A15,数出表_Excel!$A$6:$T$150,COLUMN()/2+1,FALSE))),"")</f>
        <v/>
      </c>
      <c r="W15" s="76"/>
      <c r="X15" s="148" t="str">
        <f ca="1">IFERROR(VALUE(IF(VLOOKUP($A15,数出表_Excel!$A$6:$T$150,COLUMN()/2+1,FALSE)=0,"",VLOOKUP($A15,数出表_Excel!$A$6:$T$150,COLUMN()/2+1,FALSE))),"")</f>
        <v/>
      </c>
      <c r="Y15" s="76"/>
      <c r="Z15" s="148" t="str">
        <f ca="1">IFERROR(VALUE(IF(VLOOKUP($A15,数出表_Excel!$A$6:$T$150,COLUMN()/2+1,FALSE)=0,"",VLOOKUP($A15,数出表_Excel!$A$6:$T$150,COLUMN()/2+1,FALSE))),"")</f>
        <v/>
      </c>
      <c r="AA15" s="76"/>
      <c r="AB15" s="148" t="str">
        <f ca="1">IFERROR(VALUE(IF(VLOOKUP($A15,数出表_Excel!$A$6:$T$150,COLUMN()/2+1,FALSE)=0,"",VLOOKUP($A15,数出表_Excel!$A$6:$T$150,COLUMN()/2+1,FALSE))),"")</f>
        <v/>
      </c>
      <c r="AC15" s="76"/>
      <c r="AD15" s="148" t="str">
        <f ca="1">IFERROR(VALUE(IF(VLOOKUP($A15,数出表_Excel!$A$6:$T$150,COLUMN()/2+1,FALSE)=0,"",VLOOKUP($A15,数出表_Excel!$A$6:$T$150,COLUMN()/2+1,FALSE))),"")</f>
        <v/>
      </c>
      <c r="AE15" s="76"/>
      <c r="AF15" s="148" t="str">
        <f ca="1">IFERROR(VALUE(IF(VLOOKUP($A15,数出表_Excel!$A$6:$T$150,COLUMN()/2+1,FALSE)=0,"",VLOOKUP($A15,数出表_Excel!$A$6:$T$150,COLUMN()/2+1,FALSE))),"")</f>
        <v/>
      </c>
      <c r="AG15" s="76"/>
      <c r="AH15" s="148" t="str">
        <f ca="1">IFERROR(VALUE(IF(VLOOKUP($A15,数出表_Excel!$A$6:$T$150,COLUMN()/2+1,FALSE)=0,"",VLOOKUP($A15,数出表_Excel!$A$6:$T$150,COLUMN()/2+1,FALSE))),"")</f>
        <v/>
      </c>
      <c r="AI15" s="76"/>
      <c r="AJ15" s="148" t="str">
        <f ca="1">IFERROR(VALUE(IF(VLOOKUP($A15,数出表_Excel!$A$6:$T$150,COLUMN()/2+1,FALSE)=0,"",VLOOKUP($A15,数出表_Excel!$A$6:$T$150,COLUMN()/2+1,FALSE))),"")</f>
        <v/>
      </c>
      <c r="AK15" s="76"/>
      <c r="AL15" s="63" t="e">
        <f ca="1">IF(A15&lt;&gt;"",
IF(VLOOKUP($A15,数出表_Excel!$A$6:$T$150,COLUMN()/2+1,FALSE)=0,"",VLOOKUP($A15,数出表_Excel!$A$6:$T$150,COLUMN()/2+1,FALSE)),"")</f>
        <v>#N/A</v>
      </c>
      <c r="AM15" s="91" t="e">
        <f ca="1">数出表_Excel!V15</f>
        <v>#N/A</v>
      </c>
      <c r="AN15" s="92" t="e">
        <f ca="1">数出表_Excel!W15</f>
        <v>#N/A</v>
      </c>
    </row>
    <row r="16" spans="1:42" ht="16.2" customHeight="1">
      <c r="A16" s="81" t="e">
        <f t="array" aca="1" ref="A16" ca="1">IF(OR(COUNTIF(A14,"*10002*"),COUNTIF(A14,"")),"",INDEX(貼り付け用!$A1:$A200,MATCH(A14,貼り付け用!$A1:$A200,0)+2,0))</f>
        <v>#N/A</v>
      </c>
      <c r="B16" s="182" t="str">
        <f ca="1">IFERROR(VALUE(IF(VLOOKUP($A16,数出表_Excel!$A$6:$T$150,COLUMN()/2+1,FALSE)=0,"",VLOOKUP($A16,数出表_Excel!$A$6:$T$150,COLUMN()/2+1,FALSE))),"")</f>
        <v/>
      </c>
      <c r="C16" s="75"/>
      <c r="D16" s="182" t="str">
        <f ca="1">IFERROR(VALUE(IF(VLOOKUP($A16,数出表_Excel!$A$6:$T$150,COLUMN()/2+1,FALSE)=0,"",VLOOKUP($A16,数出表_Excel!$A$6:$T$150,COLUMN()/2+1,FALSE))),"")</f>
        <v/>
      </c>
      <c r="E16" s="75"/>
      <c r="F16" s="182" t="str">
        <f ca="1">IFERROR(VALUE(IF(VLOOKUP($A16,数出表_Excel!$A$6:$T$150,COLUMN()/2+1,FALSE)=0,"",VLOOKUP($A16,数出表_Excel!$A$6:$T$150,COLUMN()/2+1,FALSE))),"")</f>
        <v/>
      </c>
      <c r="G16" s="75"/>
      <c r="H16" s="182" t="str">
        <f ca="1">IFERROR(VALUE(IF(VLOOKUP($A16,数出表_Excel!$A$6:$T$150,COLUMN()/2+1,FALSE)=0,"",VLOOKUP($A16,数出表_Excel!$A$6:$T$150,COLUMN()/2+1,FALSE))),"")</f>
        <v/>
      </c>
      <c r="I16" s="75"/>
      <c r="J16" s="182" t="str">
        <f ca="1">IFERROR(VALUE(IF(VLOOKUP($A16,数出表_Excel!$A$6:$T$150,COLUMN()/2+1,FALSE)=0,"",VLOOKUP($A16,数出表_Excel!$A$6:$T$150,COLUMN()/2+1,FALSE))),"")</f>
        <v/>
      </c>
      <c r="K16" s="75"/>
      <c r="L16" s="182" t="str">
        <f ca="1">IFERROR(VALUE(IF(VLOOKUP($A16,数出表_Excel!$A$6:$T$150,COLUMN()/2+1,FALSE)=0,"",VLOOKUP($A16,数出表_Excel!$A$6:$T$150,COLUMN()/2+1,FALSE))),"")</f>
        <v/>
      </c>
      <c r="M16" s="75"/>
      <c r="N16" s="182" t="str">
        <f ca="1">IFERROR(VALUE(IF(VLOOKUP($A16,数出表_Excel!$A$6:$T$150,COLUMN()/2+1,FALSE)=0,"",VLOOKUP($A16,数出表_Excel!$A$6:$T$150,COLUMN()/2+1,FALSE))),"")</f>
        <v/>
      </c>
      <c r="O16" s="75"/>
      <c r="P16" s="182" t="str">
        <f ca="1">IFERROR(VALUE(IF(VLOOKUP($A16,数出表_Excel!$A$6:$T$150,COLUMN()/2+1,FALSE)=0,"",VLOOKUP($A16,数出表_Excel!$A$6:$T$150,COLUMN()/2+1,FALSE))),"")</f>
        <v/>
      </c>
      <c r="Q16" s="75"/>
      <c r="R16" s="182" t="str">
        <f ca="1">IFERROR(VALUE(IF(VLOOKUP($A16,数出表_Excel!$A$6:$T$150,COLUMN()/2+1,FALSE)=0,"",VLOOKUP($A16,数出表_Excel!$A$6:$T$150,COLUMN()/2+1,FALSE))),"")</f>
        <v/>
      </c>
      <c r="S16" s="75"/>
      <c r="T16" s="182" t="str">
        <f ca="1">IFERROR(VALUE(IF(VLOOKUP($A16,数出表_Excel!$A$6:$T$150,COLUMN()/2+1,FALSE)=0,"",VLOOKUP($A16,数出表_Excel!$A$6:$T$150,COLUMN()/2+1,FALSE))),"")</f>
        <v/>
      </c>
      <c r="U16" s="75"/>
      <c r="V16" s="182" t="str">
        <f ca="1">IFERROR(VALUE(IF(VLOOKUP($A16,数出表_Excel!$A$6:$T$150,COLUMN()/2+1,FALSE)=0,"",VLOOKUP($A16,数出表_Excel!$A$6:$T$150,COLUMN()/2+1,FALSE))),"")</f>
        <v/>
      </c>
      <c r="W16" s="75"/>
      <c r="X16" s="182" t="str">
        <f ca="1">IFERROR(VALUE(IF(VLOOKUP($A16,数出表_Excel!$A$6:$T$150,COLUMN()/2+1,FALSE)=0,"",VLOOKUP($A16,数出表_Excel!$A$6:$T$150,COLUMN()/2+1,FALSE))),"")</f>
        <v/>
      </c>
      <c r="Y16" s="75"/>
      <c r="Z16" s="182" t="str">
        <f ca="1">IFERROR(VALUE(IF(VLOOKUP($A16,数出表_Excel!$A$6:$T$150,COLUMN()/2+1,FALSE)=0,"",VLOOKUP($A16,数出表_Excel!$A$6:$T$150,COLUMN()/2+1,FALSE))),"")</f>
        <v/>
      </c>
      <c r="AA16" s="75"/>
      <c r="AB16" s="182" t="str">
        <f ca="1">IFERROR(VALUE(IF(VLOOKUP($A16,数出表_Excel!$A$6:$T$150,COLUMN()/2+1,FALSE)=0,"",VLOOKUP($A16,数出表_Excel!$A$6:$T$150,COLUMN()/2+1,FALSE))),"")</f>
        <v/>
      </c>
      <c r="AC16" s="75"/>
      <c r="AD16" s="182" t="str">
        <f ca="1">IFERROR(VALUE(IF(VLOOKUP($A16,数出表_Excel!$A$6:$T$150,COLUMN()/2+1,FALSE)=0,"",VLOOKUP($A16,数出表_Excel!$A$6:$T$150,COLUMN()/2+1,FALSE))),"")</f>
        <v/>
      </c>
      <c r="AE16" s="75"/>
      <c r="AF16" s="182" t="str">
        <f ca="1">IFERROR(VALUE(IF(VLOOKUP($A16,数出表_Excel!$A$6:$T$150,COLUMN()/2+1,FALSE)=0,"",VLOOKUP($A16,数出表_Excel!$A$6:$T$150,COLUMN()/2+1,FALSE))),"")</f>
        <v/>
      </c>
      <c r="AG16" s="75"/>
      <c r="AH16" s="182" t="str">
        <f ca="1">IFERROR(VALUE(IF(VLOOKUP($A16,数出表_Excel!$A$6:$T$150,COLUMN()/2+1,FALSE)=0,"",VLOOKUP($A16,数出表_Excel!$A$6:$T$150,COLUMN()/2+1,FALSE))),"")</f>
        <v/>
      </c>
      <c r="AI16" s="75"/>
      <c r="AJ16" s="182" t="str">
        <f ca="1">IFERROR(VALUE(IF(VLOOKUP($A16,数出表_Excel!$A$6:$T$150,COLUMN()/2+1,FALSE)=0,"",VLOOKUP($A16,数出表_Excel!$A$6:$T$150,COLUMN()/2+1,FALSE))),"")</f>
        <v/>
      </c>
      <c r="AK16" s="75"/>
      <c r="AL16" s="61" t="e">
        <f ca="1">IF(A16&lt;&gt;"",
IF(VLOOKUP($A16,数出表_Excel!$A$6:$T$150,COLUMN()/2+1,FALSE)=0,"",VLOOKUP($A16,数出表_Excel!$A$6:$T$150,COLUMN()/2+1,FALSE)),"")</f>
        <v>#N/A</v>
      </c>
      <c r="AM16" s="89" t="e">
        <f ca="1">数出表_Excel!V16</f>
        <v>#N/A</v>
      </c>
      <c r="AN16" s="90" t="e">
        <f ca="1">数出表_Excel!W16</f>
        <v>#N/A</v>
      </c>
    </row>
    <row r="17" spans="1:40" ht="16.2" customHeight="1">
      <c r="A17" s="82" t="e">
        <f t="array" aca="1" ref="A17" ca="1">IF(OR(COUNTIF(A15,"*1000*"),COUNTIF(A15,"")),"",INDEX(貼り付け用!$A1:$A200,MATCH(A15,貼り付け用!$A1:$A200,0)+2,0))</f>
        <v>#N/A</v>
      </c>
      <c r="B17" s="148" t="str">
        <f ca="1">IFERROR(VALUE(IF(VLOOKUP($A17,数出表_Excel!$A$6:$T$150,COLUMN()/2+1,FALSE)=0,"",VLOOKUP($A17,数出表_Excel!$A$6:$T$150,COLUMN()/2+1,FALSE))),"")</f>
        <v/>
      </c>
      <c r="C17" s="76"/>
      <c r="D17" s="148" t="str">
        <f ca="1">IFERROR(VALUE(IF(VLOOKUP($A17,数出表_Excel!$A$6:$T$150,COLUMN()/2+1,FALSE)=0,"",VLOOKUP($A17,数出表_Excel!$A$6:$T$150,COLUMN()/2+1,FALSE))),"")</f>
        <v/>
      </c>
      <c r="E17" s="76"/>
      <c r="F17" s="148" t="str">
        <f ca="1">IFERROR(VALUE(IF(VLOOKUP($A17,数出表_Excel!$A$6:$T$150,COLUMN()/2+1,FALSE)=0,"",VLOOKUP($A17,数出表_Excel!$A$6:$T$150,COLUMN()/2+1,FALSE))),"")</f>
        <v/>
      </c>
      <c r="G17" s="76"/>
      <c r="H17" s="148" t="str">
        <f ca="1">IFERROR(VALUE(IF(VLOOKUP($A17,数出表_Excel!$A$6:$T$150,COLUMN()/2+1,FALSE)=0,"",VLOOKUP($A17,数出表_Excel!$A$6:$T$150,COLUMN()/2+1,FALSE))),"")</f>
        <v/>
      </c>
      <c r="I17" s="76"/>
      <c r="J17" s="148" t="str">
        <f ca="1">IFERROR(VALUE(IF(VLOOKUP($A17,数出表_Excel!$A$6:$T$150,COLUMN()/2+1,FALSE)=0,"",VLOOKUP($A17,数出表_Excel!$A$6:$T$150,COLUMN()/2+1,FALSE))),"")</f>
        <v/>
      </c>
      <c r="K17" s="76"/>
      <c r="L17" s="148" t="str">
        <f ca="1">IFERROR(VALUE(IF(VLOOKUP($A17,数出表_Excel!$A$6:$T$150,COLUMN()/2+1,FALSE)=0,"",VLOOKUP($A17,数出表_Excel!$A$6:$T$150,COLUMN()/2+1,FALSE))),"")</f>
        <v/>
      </c>
      <c r="M17" s="76"/>
      <c r="N17" s="148" t="str">
        <f ca="1">IFERROR(VALUE(IF(VLOOKUP($A17,数出表_Excel!$A$6:$T$150,COLUMN()/2+1,FALSE)=0,"",VLOOKUP($A17,数出表_Excel!$A$6:$T$150,COLUMN()/2+1,FALSE))),"")</f>
        <v/>
      </c>
      <c r="O17" s="76"/>
      <c r="P17" s="148" t="str">
        <f ca="1">IFERROR(VALUE(IF(VLOOKUP($A17,数出表_Excel!$A$6:$T$150,COLUMN()/2+1,FALSE)=0,"",VLOOKUP($A17,数出表_Excel!$A$6:$T$150,COLUMN()/2+1,FALSE))),"")</f>
        <v/>
      </c>
      <c r="Q17" s="76"/>
      <c r="R17" s="148" t="str">
        <f ca="1">IFERROR(VALUE(IF(VLOOKUP($A17,数出表_Excel!$A$6:$T$150,COLUMN()/2+1,FALSE)=0,"",VLOOKUP($A17,数出表_Excel!$A$6:$T$150,COLUMN()/2+1,FALSE))),"")</f>
        <v/>
      </c>
      <c r="S17" s="76"/>
      <c r="T17" s="148" t="str">
        <f ca="1">IFERROR(VALUE(IF(VLOOKUP($A17,数出表_Excel!$A$6:$T$150,COLUMN()/2+1,FALSE)=0,"",VLOOKUP($A17,数出表_Excel!$A$6:$T$150,COLUMN()/2+1,FALSE))),"")</f>
        <v/>
      </c>
      <c r="U17" s="76"/>
      <c r="V17" s="148" t="str">
        <f ca="1">IFERROR(VALUE(IF(VLOOKUP($A17,数出表_Excel!$A$6:$T$150,COLUMN()/2+1,FALSE)=0,"",VLOOKUP($A17,数出表_Excel!$A$6:$T$150,COLUMN()/2+1,FALSE))),"")</f>
        <v/>
      </c>
      <c r="W17" s="76"/>
      <c r="X17" s="148" t="str">
        <f ca="1">IFERROR(VALUE(IF(VLOOKUP($A17,数出表_Excel!$A$6:$T$150,COLUMN()/2+1,FALSE)=0,"",VLOOKUP($A17,数出表_Excel!$A$6:$T$150,COLUMN()/2+1,FALSE))),"")</f>
        <v/>
      </c>
      <c r="Y17" s="76"/>
      <c r="Z17" s="148" t="str">
        <f ca="1">IFERROR(VALUE(IF(VLOOKUP($A17,数出表_Excel!$A$6:$T$150,COLUMN()/2+1,FALSE)=0,"",VLOOKUP($A17,数出表_Excel!$A$6:$T$150,COLUMN()/2+1,FALSE))),"")</f>
        <v/>
      </c>
      <c r="AA17" s="76"/>
      <c r="AB17" s="148" t="str">
        <f ca="1">IFERROR(VALUE(IF(VLOOKUP($A17,数出表_Excel!$A$6:$T$150,COLUMN()/2+1,FALSE)=0,"",VLOOKUP($A17,数出表_Excel!$A$6:$T$150,COLUMN()/2+1,FALSE))),"")</f>
        <v/>
      </c>
      <c r="AC17" s="76"/>
      <c r="AD17" s="148" t="str">
        <f ca="1">IFERROR(VALUE(IF(VLOOKUP($A17,数出表_Excel!$A$6:$T$150,COLUMN()/2+1,FALSE)=0,"",VLOOKUP($A17,数出表_Excel!$A$6:$T$150,COLUMN()/2+1,FALSE))),"")</f>
        <v/>
      </c>
      <c r="AE17" s="76"/>
      <c r="AF17" s="148" t="str">
        <f ca="1">IFERROR(VALUE(IF(VLOOKUP($A17,数出表_Excel!$A$6:$T$150,COLUMN()/2+1,FALSE)=0,"",VLOOKUP($A17,数出表_Excel!$A$6:$T$150,COLUMN()/2+1,FALSE))),"")</f>
        <v/>
      </c>
      <c r="AG17" s="76"/>
      <c r="AH17" s="148" t="str">
        <f ca="1">IFERROR(VALUE(IF(VLOOKUP($A17,数出表_Excel!$A$6:$T$150,COLUMN()/2+1,FALSE)=0,"",VLOOKUP($A17,数出表_Excel!$A$6:$T$150,COLUMN()/2+1,FALSE))),"")</f>
        <v/>
      </c>
      <c r="AI17" s="76"/>
      <c r="AJ17" s="148" t="str">
        <f ca="1">IFERROR(VALUE(IF(VLOOKUP($A17,数出表_Excel!$A$6:$T$150,COLUMN()/2+1,FALSE)=0,"",VLOOKUP($A17,数出表_Excel!$A$6:$T$150,COLUMN()/2+1,FALSE))),"")</f>
        <v/>
      </c>
      <c r="AK17" s="76"/>
      <c r="AL17" s="63" t="e">
        <f ca="1">IF(A17&lt;&gt;"",
IF(VLOOKUP($A17,数出表_Excel!$A$6:$T$150,COLUMN()/2+1,FALSE)=0,"",VLOOKUP($A17,数出表_Excel!$A$6:$T$150,COLUMN()/2+1,FALSE)),"")</f>
        <v>#N/A</v>
      </c>
      <c r="AM17" s="91" t="e">
        <f ca="1">数出表_Excel!V17</f>
        <v>#N/A</v>
      </c>
      <c r="AN17" s="92" t="e">
        <f ca="1">数出表_Excel!W17</f>
        <v>#N/A</v>
      </c>
    </row>
    <row r="18" spans="1:40" ht="16.2" customHeight="1">
      <c r="A18" s="81" t="e">
        <f t="array" aca="1" ref="A18" ca="1">IF(OR(COUNTIF(A16,"*10002*"),COUNTIF(A16,"")),"",INDEX(貼り付け用!$A1:$A200,MATCH(A16,貼り付け用!$A1:$A200,0)+2,0))</f>
        <v>#N/A</v>
      </c>
      <c r="B18" s="182" t="str">
        <f ca="1">IFERROR(VALUE(IF(VLOOKUP($A18,数出表_Excel!$A$6:$T$150,COLUMN()/2+1,FALSE)=0,"",VLOOKUP($A18,数出表_Excel!$A$6:$T$150,COLUMN()/2+1,FALSE))),"")</f>
        <v/>
      </c>
      <c r="C18" s="75"/>
      <c r="D18" s="182" t="str">
        <f ca="1">IFERROR(VALUE(IF(VLOOKUP($A18,数出表_Excel!$A$6:$T$150,COLUMN()/2+1,FALSE)=0,"",VLOOKUP($A18,数出表_Excel!$A$6:$T$150,COLUMN()/2+1,FALSE))),"")</f>
        <v/>
      </c>
      <c r="E18" s="75"/>
      <c r="F18" s="182" t="str">
        <f ca="1">IFERROR(VALUE(IF(VLOOKUP($A18,数出表_Excel!$A$6:$T$150,COLUMN()/2+1,FALSE)=0,"",VLOOKUP($A18,数出表_Excel!$A$6:$T$150,COLUMN()/2+1,FALSE))),"")</f>
        <v/>
      </c>
      <c r="G18" s="75"/>
      <c r="H18" s="182" t="str">
        <f ca="1">IFERROR(VALUE(IF(VLOOKUP($A18,数出表_Excel!$A$6:$T$150,COLUMN()/2+1,FALSE)=0,"",VLOOKUP($A18,数出表_Excel!$A$6:$T$150,COLUMN()/2+1,FALSE))),"")</f>
        <v/>
      </c>
      <c r="I18" s="75"/>
      <c r="J18" s="182" t="str">
        <f ca="1">IFERROR(VALUE(IF(VLOOKUP($A18,数出表_Excel!$A$6:$T$150,COLUMN()/2+1,FALSE)=0,"",VLOOKUP($A18,数出表_Excel!$A$6:$T$150,COLUMN()/2+1,FALSE))),"")</f>
        <v/>
      </c>
      <c r="K18" s="75"/>
      <c r="L18" s="182" t="str">
        <f ca="1">IFERROR(VALUE(IF(VLOOKUP($A18,数出表_Excel!$A$6:$T$150,COLUMN()/2+1,FALSE)=0,"",VLOOKUP($A18,数出表_Excel!$A$6:$T$150,COLUMN()/2+1,FALSE))),"")</f>
        <v/>
      </c>
      <c r="M18" s="75"/>
      <c r="N18" s="182" t="str">
        <f ca="1">IFERROR(VALUE(IF(VLOOKUP($A18,数出表_Excel!$A$6:$T$150,COLUMN()/2+1,FALSE)=0,"",VLOOKUP($A18,数出表_Excel!$A$6:$T$150,COLUMN()/2+1,FALSE))),"")</f>
        <v/>
      </c>
      <c r="O18" s="75"/>
      <c r="P18" s="182" t="str">
        <f ca="1">IFERROR(VALUE(IF(VLOOKUP($A18,数出表_Excel!$A$6:$T$150,COLUMN()/2+1,FALSE)=0,"",VLOOKUP($A18,数出表_Excel!$A$6:$T$150,COLUMN()/2+1,FALSE))),"")</f>
        <v/>
      </c>
      <c r="Q18" s="75"/>
      <c r="R18" s="182" t="str">
        <f ca="1">IFERROR(VALUE(IF(VLOOKUP($A18,数出表_Excel!$A$6:$T$150,COLUMN()/2+1,FALSE)=0,"",VLOOKUP($A18,数出表_Excel!$A$6:$T$150,COLUMN()/2+1,FALSE))),"")</f>
        <v/>
      </c>
      <c r="S18" s="75"/>
      <c r="T18" s="182" t="str">
        <f ca="1">IFERROR(VALUE(IF(VLOOKUP($A18,数出表_Excel!$A$6:$T$150,COLUMN()/2+1,FALSE)=0,"",VLOOKUP($A18,数出表_Excel!$A$6:$T$150,COLUMN()/2+1,FALSE))),"")</f>
        <v/>
      </c>
      <c r="U18" s="75"/>
      <c r="V18" s="182" t="str">
        <f ca="1">IFERROR(VALUE(IF(VLOOKUP($A18,数出表_Excel!$A$6:$T$150,COLUMN()/2+1,FALSE)=0,"",VLOOKUP($A18,数出表_Excel!$A$6:$T$150,COLUMN()/2+1,FALSE))),"")</f>
        <v/>
      </c>
      <c r="W18" s="75"/>
      <c r="X18" s="182" t="str">
        <f ca="1">IFERROR(VALUE(IF(VLOOKUP($A18,数出表_Excel!$A$6:$T$150,COLUMN()/2+1,FALSE)=0,"",VLOOKUP($A18,数出表_Excel!$A$6:$T$150,COLUMN()/2+1,FALSE))),"")</f>
        <v/>
      </c>
      <c r="Y18" s="75"/>
      <c r="Z18" s="182" t="str">
        <f ca="1">IFERROR(VALUE(IF(VLOOKUP($A18,数出表_Excel!$A$6:$T$150,COLUMN()/2+1,FALSE)=0,"",VLOOKUP($A18,数出表_Excel!$A$6:$T$150,COLUMN()/2+1,FALSE))),"")</f>
        <v/>
      </c>
      <c r="AA18" s="75"/>
      <c r="AB18" s="182" t="str">
        <f ca="1">IFERROR(VALUE(IF(VLOOKUP($A18,数出表_Excel!$A$6:$T$150,COLUMN()/2+1,FALSE)=0,"",VLOOKUP($A18,数出表_Excel!$A$6:$T$150,COLUMN()/2+1,FALSE))),"")</f>
        <v/>
      </c>
      <c r="AC18" s="75"/>
      <c r="AD18" s="182" t="str">
        <f ca="1">IFERROR(VALUE(IF(VLOOKUP($A18,数出表_Excel!$A$6:$T$150,COLUMN()/2+1,FALSE)=0,"",VLOOKUP($A18,数出表_Excel!$A$6:$T$150,COLUMN()/2+1,FALSE))),"")</f>
        <v/>
      </c>
      <c r="AE18" s="75"/>
      <c r="AF18" s="182" t="str">
        <f ca="1">IFERROR(VALUE(IF(VLOOKUP($A18,数出表_Excel!$A$6:$T$150,COLUMN()/2+1,FALSE)=0,"",VLOOKUP($A18,数出表_Excel!$A$6:$T$150,COLUMN()/2+1,FALSE))),"")</f>
        <v/>
      </c>
      <c r="AG18" s="75"/>
      <c r="AH18" s="182" t="str">
        <f ca="1">IFERROR(VALUE(IF(VLOOKUP($A18,数出表_Excel!$A$6:$T$150,COLUMN()/2+1,FALSE)=0,"",VLOOKUP($A18,数出表_Excel!$A$6:$T$150,COLUMN()/2+1,FALSE))),"")</f>
        <v/>
      </c>
      <c r="AI18" s="75"/>
      <c r="AJ18" s="182" t="str">
        <f ca="1">IFERROR(VALUE(IF(VLOOKUP($A18,数出表_Excel!$A$6:$T$150,COLUMN()/2+1,FALSE)=0,"",VLOOKUP($A18,数出表_Excel!$A$6:$T$150,COLUMN()/2+1,FALSE))),"")</f>
        <v/>
      </c>
      <c r="AK18" s="75"/>
      <c r="AL18" s="61" t="e">
        <f ca="1">IF(A18&lt;&gt;"",
IF(VLOOKUP($A18,数出表_Excel!$A$6:$T$150,COLUMN()/2+1,FALSE)=0,"",VLOOKUP($A18,数出表_Excel!$A$6:$T$150,COLUMN()/2+1,FALSE)),"")</f>
        <v>#N/A</v>
      </c>
      <c r="AM18" s="89" t="e">
        <f ca="1">数出表_Excel!V18</f>
        <v>#N/A</v>
      </c>
      <c r="AN18" s="90" t="e">
        <f ca="1">数出表_Excel!W18</f>
        <v>#N/A</v>
      </c>
    </row>
    <row r="19" spans="1:40" ht="16.2" customHeight="1">
      <c r="A19" s="82" t="e">
        <f t="array" aca="1" ref="A19" ca="1">IF(OR(COUNTIF(A17,"*1000*"),COUNTIF(A17,"")),"",INDEX(貼り付け用!$A1:$A200,MATCH(A17,貼り付け用!$A1:$A200,0)+2,0))</f>
        <v>#N/A</v>
      </c>
      <c r="B19" s="148" t="str">
        <f ca="1">IFERROR(VALUE(IF(VLOOKUP($A19,数出表_Excel!$A$6:$T$150,COLUMN()/2+1,FALSE)=0,"",VLOOKUP($A19,数出表_Excel!$A$6:$T$150,COLUMN()/2+1,FALSE))),"")</f>
        <v/>
      </c>
      <c r="C19" s="76"/>
      <c r="D19" s="148" t="str">
        <f ca="1">IFERROR(VALUE(IF(VLOOKUP($A19,数出表_Excel!$A$6:$T$150,COLUMN()/2+1,FALSE)=0,"",VLOOKUP($A19,数出表_Excel!$A$6:$T$150,COLUMN()/2+1,FALSE))),"")</f>
        <v/>
      </c>
      <c r="E19" s="76"/>
      <c r="F19" s="148" t="str">
        <f ca="1">IFERROR(VALUE(IF(VLOOKUP($A19,数出表_Excel!$A$6:$T$150,COLUMN()/2+1,FALSE)=0,"",VLOOKUP($A19,数出表_Excel!$A$6:$T$150,COLUMN()/2+1,FALSE))),"")</f>
        <v/>
      </c>
      <c r="G19" s="76"/>
      <c r="H19" s="148" t="str">
        <f ca="1">IFERROR(VALUE(IF(VLOOKUP($A19,数出表_Excel!$A$6:$T$150,COLUMN()/2+1,FALSE)=0,"",VLOOKUP($A19,数出表_Excel!$A$6:$T$150,COLUMN()/2+1,FALSE))),"")</f>
        <v/>
      </c>
      <c r="I19" s="76"/>
      <c r="J19" s="148" t="str">
        <f ca="1">IFERROR(VALUE(IF(VLOOKUP($A19,数出表_Excel!$A$6:$T$150,COLUMN()/2+1,FALSE)=0,"",VLOOKUP($A19,数出表_Excel!$A$6:$T$150,COLUMN()/2+1,FALSE))),"")</f>
        <v/>
      </c>
      <c r="K19" s="76"/>
      <c r="L19" s="148" t="str">
        <f ca="1">IFERROR(VALUE(IF(VLOOKUP($A19,数出表_Excel!$A$6:$T$150,COLUMN()/2+1,FALSE)=0,"",VLOOKUP($A19,数出表_Excel!$A$6:$T$150,COLUMN()/2+1,FALSE))),"")</f>
        <v/>
      </c>
      <c r="M19" s="76"/>
      <c r="N19" s="148" t="str">
        <f ca="1">IFERROR(VALUE(IF(VLOOKUP($A19,数出表_Excel!$A$6:$T$150,COLUMN()/2+1,FALSE)=0,"",VLOOKUP($A19,数出表_Excel!$A$6:$T$150,COLUMN()/2+1,FALSE))),"")</f>
        <v/>
      </c>
      <c r="O19" s="76"/>
      <c r="P19" s="148" t="str">
        <f ca="1">IFERROR(VALUE(IF(VLOOKUP($A19,数出表_Excel!$A$6:$T$150,COLUMN()/2+1,FALSE)=0,"",VLOOKUP($A19,数出表_Excel!$A$6:$T$150,COLUMN()/2+1,FALSE))),"")</f>
        <v/>
      </c>
      <c r="Q19" s="76"/>
      <c r="R19" s="148" t="str">
        <f ca="1">IFERROR(VALUE(IF(VLOOKUP($A19,数出表_Excel!$A$6:$T$150,COLUMN()/2+1,FALSE)=0,"",VLOOKUP($A19,数出表_Excel!$A$6:$T$150,COLUMN()/2+1,FALSE))),"")</f>
        <v/>
      </c>
      <c r="S19" s="76"/>
      <c r="T19" s="148" t="str">
        <f ca="1">IFERROR(VALUE(IF(VLOOKUP($A19,数出表_Excel!$A$6:$T$150,COLUMN()/2+1,FALSE)=0,"",VLOOKUP($A19,数出表_Excel!$A$6:$T$150,COLUMN()/2+1,FALSE))),"")</f>
        <v/>
      </c>
      <c r="U19" s="76"/>
      <c r="V19" s="148" t="str">
        <f ca="1">IFERROR(VALUE(IF(VLOOKUP($A19,数出表_Excel!$A$6:$T$150,COLUMN()/2+1,FALSE)=0,"",VLOOKUP($A19,数出表_Excel!$A$6:$T$150,COLUMN()/2+1,FALSE))),"")</f>
        <v/>
      </c>
      <c r="W19" s="76"/>
      <c r="X19" s="148" t="str">
        <f ca="1">IFERROR(VALUE(IF(VLOOKUP($A19,数出表_Excel!$A$6:$T$150,COLUMN()/2+1,FALSE)=0,"",VLOOKUP($A19,数出表_Excel!$A$6:$T$150,COLUMN()/2+1,FALSE))),"")</f>
        <v/>
      </c>
      <c r="Y19" s="76"/>
      <c r="Z19" s="148" t="str">
        <f ca="1">IFERROR(VALUE(IF(VLOOKUP($A19,数出表_Excel!$A$6:$T$150,COLUMN()/2+1,FALSE)=0,"",VLOOKUP($A19,数出表_Excel!$A$6:$T$150,COLUMN()/2+1,FALSE))),"")</f>
        <v/>
      </c>
      <c r="AA19" s="76"/>
      <c r="AB19" s="148" t="str">
        <f ca="1">IFERROR(VALUE(IF(VLOOKUP($A19,数出表_Excel!$A$6:$T$150,COLUMN()/2+1,FALSE)=0,"",VLOOKUP($A19,数出表_Excel!$A$6:$T$150,COLUMN()/2+1,FALSE))),"")</f>
        <v/>
      </c>
      <c r="AC19" s="76"/>
      <c r="AD19" s="148" t="str">
        <f ca="1">IFERROR(VALUE(IF(VLOOKUP($A19,数出表_Excel!$A$6:$T$150,COLUMN()/2+1,FALSE)=0,"",VLOOKUP($A19,数出表_Excel!$A$6:$T$150,COLUMN()/2+1,FALSE))),"")</f>
        <v/>
      </c>
      <c r="AE19" s="76"/>
      <c r="AF19" s="148" t="str">
        <f ca="1">IFERROR(VALUE(IF(VLOOKUP($A19,数出表_Excel!$A$6:$T$150,COLUMN()/2+1,FALSE)=0,"",VLOOKUP($A19,数出表_Excel!$A$6:$T$150,COLUMN()/2+1,FALSE))),"")</f>
        <v/>
      </c>
      <c r="AG19" s="76"/>
      <c r="AH19" s="148" t="str">
        <f ca="1">IFERROR(VALUE(IF(VLOOKUP($A19,数出表_Excel!$A$6:$T$150,COLUMN()/2+1,FALSE)=0,"",VLOOKUP($A19,数出表_Excel!$A$6:$T$150,COLUMN()/2+1,FALSE))),"")</f>
        <v/>
      </c>
      <c r="AI19" s="76"/>
      <c r="AJ19" s="148" t="str">
        <f ca="1">IFERROR(VALUE(IF(VLOOKUP($A19,数出表_Excel!$A$6:$T$150,COLUMN()/2+1,FALSE)=0,"",VLOOKUP($A19,数出表_Excel!$A$6:$T$150,COLUMN()/2+1,FALSE))),"")</f>
        <v/>
      </c>
      <c r="AK19" s="76"/>
      <c r="AL19" s="63" t="e">
        <f ca="1">IF(A19&lt;&gt;"",
IF(VLOOKUP($A19,数出表_Excel!$A$6:$T$150,COLUMN()/2+1,FALSE)=0,"",VLOOKUP($A19,数出表_Excel!$A$6:$T$150,COLUMN()/2+1,FALSE)),"")</f>
        <v>#N/A</v>
      </c>
      <c r="AM19" s="91" t="e">
        <f ca="1">数出表_Excel!V19</f>
        <v>#N/A</v>
      </c>
      <c r="AN19" s="92" t="e">
        <f ca="1">数出表_Excel!W19</f>
        <v>#N/A</v>
      </c>
    </row>
    <row r="20" spans="1:40" ht="16.2" customHeight="1">
      <c r="A20" s="81" t="e">
        <f t="array" aca="1" ref="A20" ca="1">IF(OR(COUNTIF(A18,"*10002*"),COUNTIF(A18,"")),"",INDEX(貼り付け用!$A1:$A200,MATCH(A18,貼り付け用!$A1:$A200,0)+2,0))</f>
        <v>#N/A</v>
      </c>
      <c r="B20" s="182" t="str">
        <f ca="1">IFERROR(VALUE(IF(VLOOKUP($A20,数出表_Excel!$A$6:$T$150,COLUMN()/2+1,FALSE)=0,"",VLOOKUP($A20,数出表_Excel!$A$6:$T$150,COLUMN()/2+1,FALSE))),"")</f>
        <v/>
      </c>
      <c r="C20" s="75"/>
      <c r="D20" s="182" t="str">
        <f ca="1">IFERROR(VALUE(IF(VLOOKUP($A20,数出表_Excel!$A$6:$T$150,COLUMN()/2+1,FALSE)=0,"",VLOOKUP($A20,数出表_Excel!$A$6:$T$150,COLUMN()/2+1,FALSE))),"")</f>
        <v/>
      </c>
      <c r="E20" s="75"/>
      <c r="F20" s="182" t="str">
        <f ca="1">IFERROR(VALUE(IF(VLOOKUP($A20,数出表_Excel!$A$6:$T$150,COLUMN()/2+1,FALSE)=0,"",VLOOKUP($A20,数出表_Excel!$A$6:$T$150,COLUMN()/2+1,FALSE))),"")</f>
        <v/>
      </c>
      <c r="G20" s="75"/>
      <c r="H20" s="182" t="str">
        <f ca="1">IFERROR(VALUE(IF(VLOOKUP($A20,数出表_Excel!$A$6:$T$150,COLUMN()/2+1,FALSE)=0,"",VLOOKUP($A20,数出表_Excel!$A$6:$T$150,COLUMN()/2+1,FALSE))),"")</f>
        <v/>
      </c>
      <c r="I20" s="75"/>
      <c r="J20" s="182" t="str">
        <f ca="1">IFERROR(VALUE(IF(VLOOKUP($A20,数出表_Excel!$A$6:$T$150,COLUMN()/2+1,FALSE)=0,"",VLOOKUP($A20,数出表_Excel!$A$6:$T$150,COLUMN()/2+1,FALSE))),"")</f>
        <v/>
      </c>
      <c r="K20" s="75"/>
      <c r="L20" s="182" t="str">
        <f ca="1">IFERROR(VALUE(IF(VLOOKUP($A20,数出表_Excel!$A$6:$T$150,COLUMN()/2+1,FALSE)=0,"",VLOOKUP($A20,数出表_Excel!$A$6:$T$150,COLUMN()/2+1,FALSE))),"")</f>
        <v/>
      </c>
      <c r="M20" s="75"/>
      <c r="N20" s="182" t="str">
        <f ca="1">IFERROR(VALUE(IF(VLOOKUP($A20,数出表_Excel!$A$6:$T$150,COLUMN()/2+1,FALSE)=0,"",VLOOKUP($A20,数出表_Excel!$A$6:$T$150,COLUMN()/2+1,FALSE))),"")</f>
        <v/>
      </c>
      <c r="O20" s="75"/>
      <c r="P20" s="182" t="str">
        <f ca="1">IFERROR(VALUE(IF(VLOOKUP($A20,数出表_Excel!$A$6:$T$150,COLUMN()/2+1,FALSE)=0,"",VLOOKUP($A20,数出表_Excel!$A$6:$T$150,COLUMN()/2+1,FALSE))),"")</f>
        <v/>
      </c>
      <c r="Q20" s="75"/>
      <c r="R20" s="182" t="str">
        <f ca="1">IFERROR(VALUE(IF(VLOOKUP($A20,数出表_Excel!$A$6:$T$150,COLUMN()/2+1,FALSE)=0,"",VLOOKUP($A20,数出表_Excel!$A$6:$T$150,COLUMN()/2+1,FALSE))),"")</f>
        <v/>
      </c>
      <c r="S20" s="75"/>
      <c r="T20" s="182" t="str">
        <f ca="1">IFERROR(VALUE(IF(VLOOKUP($A20,数出表_Excel!$A$6:$T$150,COLUMN()/2+1,FALSE)=0,"",VLOOKUP($A20,数出表_Excel!$A$6:$T$150,COLUMN()/2+1,FALSE))),"")</f>
        <v/>
      </c>
      <c r="U20" s="75"/>
      <c r="V20" s="182" t="str">
        <f ca="1">IFERROR(VALUE(IF(VLOOKUP($A20,数出表_Excel!$A$6:$T$150,COLUMN()/2+1,FALSE)=0,"",VLOOKUP($A20,数出表_Excel!$A$6:$T$150,COLUMN()/2+1,FALSE))),"")</f>
        <v/>
      </c>
      <c r="W20" s="75"/>
      <c r="X20" s="182" t="str">
        <f ca="1">IFERROR(VALUE(IF(VLOOKUP($A20,数出表_Excel!$A$6:$T$150,COLUMN()/2+1,FALSE)=0,"",VLOOKUP($A20,数出表_Excel!$A$6:$T$150,COLUMN()/2+1,FALSE))),"")</f>
        <v/>
      </c>
      <c r="Y20" s="75"/>
      <c r="Z20" s="182" t="str">
        <f ca="1">IFERROR(VALUE(IF(VLOOKUP($A20,数出表_Excel!$A$6:$T$150,COLUMN()/2+1,FALSE)=0,"",VLOOKUP($A20,数出表_Excel!$A$6:$T$150,COLUMN()/2+1,FALSE))),"")</f>
        <v/>
      </c>
      <c r="AA20" s="75"/>
      <c r="AB20" s="182" t="str">
        <f ca="1">IFERROR(VALUE(IF(VLOOKUP($A20,数出表_Excel!$A$6:$T$150,COLUMN()/2+1,FALSE)=0,"",VLOOKUP($A20,数出表_Excel!$A$6:$T$150,COLUMN()/2+1,FALSE))),"")</f>
        <v/>
      </c>
      <c r="AC20" s="75"/>
      <c r="AD20" s="182" t="str">
        <f ca="1">IFERROR(VALUE(IF(VLOOKUP($A20,数出表_Excel!$A$6:$T$150,COLUMN()/2+1,FALSE)=0,"",VLOOKUP($A20,数出表_Excel!$A$6:$T$150,COLUMN()/2+1,FALSE))),"")</f>
        <v/>
      </c>
      <c r="AE20" s="75"/>
      <c r="AF20" s="182" t="str">
        <f ca="1">IFERROR(VALUE(IF(VLOOKUP($A20,数出表_Excel!$A$6:$T$150,COLUMN()/2+1,FALSE)=0,"",VLOOKUP($A20,数出表_Excel!$A$6:$T$150,COLUMN()/2+1,FALSE))),"")</f>
        <v/>
      </c>
      <c r="AG20" s="75"/>
      <c r="AH20" s="182" t="str">
        <f ca="1">IFERROR(VALUE(IF(VLOOKUP($A20,数出表_Excel!$A$6:$T$150,COLUMN()/2+1,FALSE)=0,"",VLOOKUP($A20,数出表_Excel!$A$6:$T$150,COLUMN()/2+1,FALSE))),"")</f>
        <v/>
      </c>
      <c r="AI20" s="75"/>
      <c r="AJ20" s="182" t="str">
        <f ca="1">IFERROR(VALUE(IF(VLOOKUP($A20,数出表_Excel!$A$6:$T$150,COLUMN()/2+1,FALSE)=0,"",VLOOKUP($A20,数出表_Excel!$A$6:$T$150,COLUMN()/2+1,FALSE))),"")</f>
        <v/>
      </c>
      <c r="AK20" s="75"/>
      <c r="AL20" s="61" t="e">
        <f ca="1">IF(A20&lt;&gt;"",
IF(VLOOKUP($A20,数出表_Excel!$A$6:$T$150,COLUMN()/2+1,FALSE)=0,"",VLOOKUP($A20,数出表_Excel!$A$6:$T$150,COLUMN()/2+1,FALSE)),"")</f>
        <v>#N/A</v>
      </c>
      <c r="AM20" s="89" t="e">
        <f ca="1">数出表_Excel!V20</f>
        <v>#N/A</v>
      </c>
      <c r="AN20" s="90" t="e">
        <f ca="1">数出表_Excel!W20</f>
        <v>#N/A</v>
      </c>
    </row>
    <row r="21" spans="1:40" ht="16.2" customHeight="1">
      <c r="A21" s="82" t="e">
        <f t="array" aca="1" ref="A21" ca="1">IF(OR(COUNTIF(A19,"*1000*"),COUNTIF(A19,"")),"",INDEX(貼り付け用!$A1:$A200,MATCH(A19,貼り付け用!$A1:$A200,0)+2,0))</f>
        <v>#N/A</v>
      </c>
      <c r="B21" s="148" t="str">
        <f ca="1">IFERROR(VALUE(IF(VLOOKUP($A21,数出表_Excel!$A$6:$T$150,COLUMN()/2+1,FALSE)=0,"",VLOOKUP($A21,数出表_Excel!$A$6:$T$150,COLUMN()/2+1,FALSE))),"")</f>
        <v/>
      </c>
      <c r="C21" s="76"/>
      <c r="D21" s="148" t="str">
        <f ca="1">IFERROR(VALUE(IF(VLOOKUP($A21,数出表_Excel!$A$6:$T$150,COLUMN()/2+1,FALSE)=0,"",VLOOKUP($A21,数出表_Excel!$A$6:$T$150,COLUMN()/2+1,FALSE))),"")</f>
        <v/>
      </c>
      <c r="E21" s="76"/>
      <c r="F21" s="148" t="str">
        <f ca="1">IFERROR(VALUE(IF(VLOOKUP($A21,数出表_Excel!$A$6:$T$150,COLUMN()/2+1,FALSE)=0,"",VLOOKUP($A21,数出表_Excel!$A$6:$T$150,COLUMN()/2+1,FALSE))),"")</f>
        <v/>
      </c>
      <c r="G21" s="76"/>
      <c r="H21" s="148" t="str">
        <f ca="1">IFERROR(VALUE(IF(VLOOKUP($A21,数出表_Excel!$A$6:$T$150,COLUMN()/2+1,FALSE)=0,"",VLOOKUP($A21,数出表_Excel!$A$6:$T$150,COLUMN()/2+1,FALSE))),"")</f>
        <v/>
      </c>
      <c r="I21" s="76"/>
      <c r="J21" s="148" t="str">
        <f ca="1">IFERROR(VALUE(IF(VLOOKUP($A21,数出表_Excel!$A$6:$T$150,COLUMN()/2+1,FALSE)=0,"",VLOOKUP($A21,数出表_Excel!$A$6:$T$150,COLUMN()/2+1,FALSE))),"")</f>
        <v/>
      </c>
      <c r="K21" s="76"/>
      <c r="L21" s="148" t="str">
        <f ca="1">IFERROR(VALUE(IF(VLOOKUP($A21,数出表_Excel!$A$6:$T$150,COLUMN()/2+1,FALSE)=0,"",VLOOKUP($A21,数出表_Excel!$A$6:$T$150,COLUMN()/2+1,FALSE))),"")</f>
        <v/>
      </c>
      <c r="M21" s="76"/>
      <c r="N21" s="148" t="str">
        <f ca="1">IFERROR(VALUE(IF(VLOOKUP($A21,数出表_Excel!$A$6:$T$150,COLUMN()/2+1,FALSE)=0,"",VLOOKUP($A21,数出表_Excel!$A$6:$T$150,COLUMN()/2+1,FALSE))),"")</f>
        <v/>
      </c>
      <c r="O21" s="76"/>
      <c r="P21" s="148" t="str">
        <f ca="1">IFERROR(VALUE(IF(VLOOKUP($A21,数出表_Excel!$A$6:$T$150,COLUMN()/2+1,FALSE)=0,"",VLOOKUP($A21,数出表_Excel!$A$6:$T$150,COLUMN()/2+1,FALSE))),"")</f>
        <v/>
      </c>
      <c r="Q21" s="76"/>
      <c r="R21" s="148" t="str">
        <f ca="1">IFERROR(VALUE(IF(VLOOKUP($A21,数出表_Excel!$A$6:$T$150,COLUMN()/2+1,FALSE)=0,"",VLOOKUP($A21,数出表_Excel!$A$6:$T$150,COLUMN()/2+1,FALSE))),"")</f>
        <v/>
      </c>
      <c r="S21" s="76"/>
      <c r="T21" s="148" t="str">
        <f ca="1">IFERROR(VALUE(IF(VLOOKUP($A21,数出表_Excel!$A$6:$T$150,COLUMN()/2+1,FALSE)=0,"",VLOOKUP($A21,数出表_Excel!$A$6:$T$150,COLUMN()/2+1,FALSE))),"")</f>
        <v/>
      </c>
      <c r="U21" s="76"/>
      <c r="V21" s="148" t="str">
        <f ca="1">IFERROR(VALUE(IF(VLOOKUP($A21,数出表_Excel!$A$6:$T$150,COLUMN()/2+1,FALSE)=0,"",VLOOKUP($A21,数出表_Excel!$A$6:$T$150,COLUMN()/2+1,FALSE))),"")</f>
        <v/>
      </c>
      <c r="W21" s="76"/>
      <c r="X21" s="148" t="str">
        <f ca="1">IFERROR(VALUE(IF(VLOOKUP($A21,数出表_Excel!$A$6:$T$150,COLUMN()/2+1,FALSE)=0,"",VLOOKUP($A21,数出表_Excel!$A$6:$T$150,COLUMN()/2+1,FALSE))),"")</f>
        <v/>
      </c>
      <c r="Y21" s="76"/>
      <c r="Z21" s="148" t="str">
        <f ca="1">IFERROR(VALUE(IF(VLOOKUP($A21,数出表_Excel!$A$6:$T$150,COLUMN()/2+1,FALSE)=0,"",VLOOKUP($A21,数出表_Excel!$A$6:$T$150,COLUMN()/2+1,FALSE))),"")</f>
        <v/>
      </c>
      <c r="AA21" s="76"/>
      <c r="AB21" s="148" t="str">
        <f ca="1">IFERROR(VALUE(IF(VLOOKUP($A21,数出表_Excel!$A$6:$T$150,COLUMN()/2+1,FALSE)=0,"",VLOOKUP($A21,数出表_Excel!$A$6:$T$150,COLUMN()/2+1,FALSE))),"")</f>
        <v/>
      </c>
      <c r="AC21" s="76"/>
      <c r="AD21" s="148" t="str">
        <f ca="1">IFERROR(VALUE(IF(VLOOKUP($A21,数出表_Excel!$A$6:$T$150,COLUMN()/2+1,FALSE)=0,"",VLOOKUP($A21,数出表_Excel!$A$6:$T$150,COLUMN()/2+1,FALSE))),"")</f>
        <v/>
      </c>
      <c r="AE21" s="76"/>
      <c r="AF21" s="148" t="str">
        <f ca="1">IFERROR(VALUE(IF(VLOOKUP($A21,数出表_Excel!$A$6:$T$150,COLUMN()/2+1,FALSE)=0,"",VLOOKUP($A21,数出表_Excel!$A$6:$T$150,COLUMN()/2+1,FALSE))),"")</f>
        <v/>
      </c>
      <c r="AG21" s="76"/>
      <c r="AH21" s="148" t="str">
        <f ca="1">IFERROR(VALUE(IF(VLOOKUP($A21,数出表_Excel!$A$6:$T$150,COLUMN()/2+1,FALSE)=0,"",VLOOKUP($A21,数出表_Excel!$A$6:$T$150,COLUMN()/2+1,FALSE))),"")</f>
        <v/>
      </c>
      <c r="AI21" s="76"/>
      <c r="AJ21" s="148" t="str">
        <f ca="1">IFERROR(VALUE(IF(VLOOKUP($A21,数出表_Excel!$A$6:$T$150,COLUMN()/2+1,FALSE)=0,"",VLOOKUP($A21,数出表_Excel!$A$6:$T$150,COLUMN()/2+1,FALSE))),"")</f>
        <v/>
      </c>
      <c r="AK21" s="76"/>
      <c r="AL21" s="63" t="e">
        <f ca="1">IF(A21&lt;&gt;"",
IF(VLOOKUP($A21,数出表_Excel!$A$6:$T$150,COLUMN()/2+1,FALSE)=0,"",VLOOKUP($A21,数出表_Excel!$A$6:$T$150,COLUMN()/2+1,FALSE)),"")</f>
        <v>#N/A</v>
      </c>
      <c r="AM21" s="91" t="e">
        <f ca="1">数出表_Excel!V21</f>
        <v>#N/A</v>
      </c>
      <c r="AN21" s="92" t="e">
        <f ca="1">数出表_Excel!W21</f>
        <v>#N/A</v>
      </c>
    </row>
    <row r="22" spans="1:40" ht="16.2" customHeight="1">
      <c r="A22" s="81" t="e">
        <f t="array" aca="1" ref="A22" ca="1">IF(OR(COUNTIF(A20,"*10002*"),COUNTIF(A20,"")),"",INDEX(貼り付け用!$A1:$A200,MATCH(A20,貼り付け用!$A1:$A200,0)+2,0))</f>
        <v>#N/A</v>
      </c>
      <c r="B22" s="182" t="str">
        <f ca="1">IFERROR(VALUE(IF(VLOOKUP($A22,数出表_Excel!$A$6:$T$150,COLUMN()/2+1,FALSE)=0,"",VLOOKUP($A22,数出表_Excel!$A$6:$T$150,COLUMN()/2+1,FALSE))),"")</f>
        <v/>
      </c>
      <c r="C22" s="75"/>
      <c r="D22" s="182" t="str">
        <f ca="1">IFERROR(VALUE(IF(VLOOKUP($A22,数出表_Excel!$A$6:$T$150,COLUMN()/2+1,FALSE)=0,"",VLOOKUP($A22,数出表_Excel!$A$6:$T$150,COLUMN()/2+1,FALSE))),"")</f>
        <v/>
      </c>
      <c r="E22" s="75"/>
      <c r="F22" s="182" t="str">
        <f ca="1">IFERROR(VALUE(IF(VLOOKUP($A22,数出表_Excel!$A$6:$T$150,COLUMN()/2+1,FALSE)=0,"",VLOOKUP($A22,数出表_Excel!$A$6:$T$150,COLUMN()/2+1,FALSE))),"")</f>
        <v/>
      </c>
      <c r="G22" s="75"/>
      <c r="H22" s="182" t="str">
        <f ca="1">IFERROR(VALUE(IF(VLOOKUP($A22,数出表_Excel!$A$6:$T$150,COLUMN()/2+1,FALSE)=0,"",VLOOKUP($A22,数出表_Excel!$A$6:$T$150,COLUMN()/2+1,FALSE))),"")</f>
        <v/>
      </c>
      <c r="I22" s="75"/>
      <c r="J22" s="182" t="str">
        <f ca="1">IFERROR(VALUE(IF(VLOOKUP($A22,数出表_Excel!$A$6:$T$150,COLUMN()/2+1,FALSE)=0,"",VLOOKUP($A22,数出表_Excel!$A$6:$T$150,COLUMN()/2+1,FALSE))),"")</f>
        <v/>
      </c>
      <c r="K22" s="75"/>
      <c r="L22" s="182" t="str">
        <f ca="1">IFERROR(VALUE(IF(VLOOKUP($A22,数出表_Excel!$A$6:$T$150,COLUMN()/2+1,FALSE)=0,"",VLOOKUP($A22,数出表_Excel!$A$6:$T$150,COLUMN()/2+1,FALSE))),"")</f>
        <v/>
      </c>
      <c r="M22" s="75"/>
      <c r="N22" s="182" t="str">
        <f ca="1">IFERROR(VALUE(IF(VLOOKUP($A22,数出表_Excel!$A$6:$T$150,COLUMN()/2+1,FALSE)=0,"",VLOOKUP($A22,数出表_Excel!$A$6:$T$150,COLUMN()/2+1,FALSE))),"")</f>
        <v/>
      </c>
      <c r="O22" s="75"/>
      <c r="P22" s="182" t="str">
        <f ca="1">IFERROR(VALUE(IF(VLOOKUP($A22,数出表_Excel!$A$6:$T$150,COLUMN()/2+1,FALSE)=0,"",VLOOKUP($A22,数出表_Excel!$A$6:$T$150,COLUMN()/2+1,FALSE))),"")</f>
        <v/>
      </c>
      <c r="Q22" s="75"/>
      <c r="R22" s="182" t="str">
        <f ca="1">IFERROR(VALUE(IF(VLOOKUP($A22,数出表_Excel!$A$6:$T$150,COLUMN()/2+1,FALSE)=0,"",VLOOKUP($A22,数出表_Excel!$A$6:$T$150,COLUMN()/2+1,FALSE))),"")</f>
        <v/>
      </c>
      <c r="S22" s="75"/>
      <c r="T22" s="182" t="str">
        <f ca="1">IFERROR(VALUE(IF(VLOOKUP($A22,数出表_Excel!$A$6:$T$150,COLUMN()/2+1,FALSE)=0,"",VLOOKUP($A22,数出表_Excel!$A$6:$T$150,COLUMN()/2+1,FALSE))),"")</f>
        <v/>
      </c>
      <c r="U22" s="75"/>
      <c r="V22" s="182" t="str">
        <f ca="1">IFERROR(VALUE(IF(VLOOKUP($A22,数出表_Excel!$A$6:$T$150,COLUMN()/2+1,FALSE)=0,"",VLOOKUP($A22,数出表_Excel!$A$6:$T$150,COLUMN()/2+1,FALSE))),"")</f>
        <v/>
      </c>
      <c r="W22" s="75"/>
      <c r="X22" s="182" t="str">
        <f ca="1">IFERROR(VALUE(IF(VLOOKUP($A22,数出表_Excel!$A$6:$T$150,COLUMN()/2+1,FALSE)=0,"",VLOOKUP($A22,数出表_Excel!$A$6:$T$150,COLUMN()/2+1,FALSE))),"")</f>
        <v/>
      </c>
      <c r="Y22" s="75"/>
      <c r="Z22" s="182" t="str">
        <f ca="1">IFERROR(VALUE(IF(VLOOKUP($A22,数出表_Excel!$A$6:$T$150,COLUMN()/2+1,FALSE)=0,"",VLOOKUP($A22,数出表_Excel!$A$6:$T$150,COLUMN()/2+1,FALSE))),"")</f>
        <v/>
      </c>
      <c r="AA22" s="75"/>
      <c r="AB22" s="182" t="str">
        <f ca="1">IFERROR(VALUE(IF(VLOOKUP($A22,数出表_Excel!$A$6:$T$150,COLUMN()/2+1,FALSE)=0,"",VLOOKUP($A22,数出表_Excel!$A$6:$T$150,COLUMN()/2+1,FALSE))),"")</f>
        <v/>
      </c>
      <c r="AC22" s="75"/>
      <c r="AD22" s="182" t="str">
        <f ca="1">IFERROR(VALUE(IF(VLOOKUP($A22,数出表_Excel!$A$6:$T$150,COLUMN()/2+1,FALSE)=0,"",VLOOKUP($A22,数出表_Excel!$A$6:$T$150,COLUMN()/2+1,FALSE))),"")</f>
        <v/>
      </c>
      <c r="AE22" s="75"/>
      <c r="AF22" s="182" t="str">
        <f ca="1">IFERROR(VALUE(IF(VLOOKUP($A22,数出表_Excel!$A$6:$T$150,COLUMN()/2+1,FALSE)=0,"",VLOOKUP($A22,数出表_Excel!$A$6:$T$150,COLUMN()/2+1,FALSE))),"")</f>
        <v/>
      </c>
      <c r="AG22" s="75"/>
      <c r="AH22" s="182" t="str">
        <f ca="1">IFERROR(VALUE(IF(VLOOKUP($A22,数出表_Excel!$A$6:$T$150,COLUMN()/2+1,FALSE)=0,"",VLOOKUP($A22,数出表_Excel!$A$6:$T$150,COLUMN()/2+1,FALSE))),"")</f>
        <v/>
      </c>
      <c r="AI22" s="75"/>
      <c r="AJ22" s="182" t="str">
        <f ca="1">IFERROR(VALUE(IF(VLOOKUP($A22,数出表_Excel!$A$6:$T$150,COLUMN()/2+1,FALSE)=0,"",VLOOKUP($A22,数出表_Excel!$A$6:$T$150,COLUMN()/2+1,FALSE))),"")</f>
        <v/>
      </c>
      <c r="AK22" s="75"/>
      <c r="AL22" s="61" t="e">
        <f ca="1">IF(A22&lt;&gt;"",
IF(VLOOKUP($A22,数出表_Excel!$A$6:$T$150,COLUMN()/2+1,FALSE)=0,"",VLOOKUP($A22,数出表_Excel!$A$6:$T$150,COLUMN()/2+1,FALSE)),"")</f>
        <v>#N/A</v>
      </c>
      <c r="AM22" s="89" t="e">
        <f ca="1">数出表_Excel!V22</f>
        <v>#N/A</v>
      </c>
      <c r="AN22" s="90" t="e">
        <f ca="1">数出表_Excel!W22</f>
        <v>#N/A</v>
      </c>
    </row>
    <row r="23" spans="1:40" ht="16.2" customHeight="1">
      <c r="A23" s="82" t="e">
        <f t="array" aca="1" ref="A23" ca="1">IF(OR(COUNTIF(A21,"*1000*"),COUNTIF(A21,"")),"",INDEX(貼り付け用!$A1:$A200,MATCH(A21,貼り付け用!$A1:$A200,0)+2,0))</f>
        <v>#N/A</v>
      </c>
      <c r="B23" s="148" t="str">
        <f ca="1">IFERROR(VALUE(IF(VLOOKUP($A23,数出表_Excel!$A$6:$T$150,COLUMN()/2+1,FALSE)=0,"",VLOOKUP($A23,数出表_Excel!$A$6:$T$150,COLUMN()/2+1,FALSE))),"")</f>
        <v/>
      </c>
      <c r="C23" s="76"/>
      <c r="D23" s="148" t="str">
        <f ca="1">IFERROR(VALUE(IF(VLOOKUP($A23,数出表_Excel!$A$6:$T$150,COLUMN()/2+1,FALSE)=0,"",VLOOKUP($A23,数出表_Excel!$A$6:$T$150,COLUMN()/2+1,FALSE))),"")</f>
        <v/>
      </c>
      <c r="E23" s="76"/>
      <c r="F23" s="148" t="str">
        <f ca="1">IFERROR(VALUE(IF(VLOOKUP($A23,数出表_Excel!$A$6:$T$150,COLUMN()/2+1,FALSE)=0,"",VLOOKUP($A23,数出表_Excel!$A$6:$T$150,COLUMN()/2+1,FALSE))),"")</f>
        <v/>
      </c>
      <c r="G23" s="76"/>
      <c r="H23" s="148" t="str">
        <f ca="1">IFERROR(VALUE(IF(VLOOKUP($A23,数出表_Excel!$A$6:$T$150,COLUMN()/2+1,FALSE)=0,"",VLOOKUP($A23,数出表_Excel!$A$6:$T$150,COLUMN()/2+1,FALSE))),"")</f>
        <v/>
      </c>
      <c r="I23" s="76"/>
      <c r="J23" s="148" t="str">
        <f ca="1">IFERROR(VALUE(IF(VLOOKUP($A23,数出表_Excel!$A$6:$T$150,COLUMN()/2+1,FALSE)=0,"",VLOOKUP($A23,数出表_Excel!$A$6:$T$150,COLUMN()/2+1,FALSE))),"")</f>
        <v/>
      </c>
      <c r="K23" s="76"/>
      <c r="L23" s="148" t="str">
        <f ca="1">IFERROR(VALUE(IF(VLOOKUP($A23,数出表_Excel!$A$6:$T$150,COLUMN()/2+1,FALSE)=0,"",VLOOKUP($A23,数出表_Excel!$A$6:$T$150,COLUMN()/2+1,FALSE))),"")</f>
        <v/>
      </c>
      <c r="M23" s="76"/>
      <c r="N23" s="148" t="str">
        <f ca="1">IFERROR(VALUE(IF(VLOOKUP($A23,数出表_Excel!$A$6:$T$150,COLUMN()/2+1,FALSE)=0,"",VLOOKUP($A23,数出表_Excel!$A$6:$T$150,COLUMN()/2+1,FALSE))),"")</f>
        <v/>
      </c>
      <c r="O23" s="76"/>
      <c r="P23" s="148" t="str">
        <f ca="1">IFERROR(VALUE(IF(VLOOKUP($A23,数出表_Excel!$A$6:$T$150,COLUMN()/2+1,FALSE)=0,"",VLOOKUP($A23,数出表_Excel!$A$6:$T$150,COLUMN()/2+1,FALSE))),"")</f>
        <v/>
      </c>
      <c r="Q23" s="76"/>
      <c r="R23" s="148" t="str">
        <f ca="1">IFERROR(VALUE(IF(VLOOKUP($A23,数出表_Excel!$A$6:$T$150,COLUMN()/2+1,FALSE)=0,"",VLOOKUP($A23,数出表_Excel!$A$6:$T$150,COLUMN()/2+1,FALSE))),"")</f>
        <v/>
      </c>
      <c r="S23" s="76"/>
      <c r="T23" s="148" t="str">
        <f ca="1">IFERROR(VALUE(IF(VLOOKUP($A23,数出表_Excel!$A$6:$T$150,COLUMN()/2+1,FALSE)=0,"",VLOOKUP($A23,数出表_Excel!$A$6:$T$150,COLUMN()/2+1,FALSE))),"")</f>
        <v/>
      </c>
      <c r="U23" s="76"/>
      <c r="V23" s="148" t="str">
        <f ca="1">IFERROR(VALUE(IF(VLOOKUP($A23,数出表_Excel!$A$6:$T$150,COLUMN()/2+1,FALSE)=0,"",VLOOKUP($A23,数出表_Excel!$A$6:$T$150,COLUMN()/2+1,FALSE))),"")</f>
        <v/>
      </c>
      <c r="W23" s="76"/>
      <c r="X23" s="148" t="str">
        <f ca="1">IFERROR(VALUE(IF(VLOOKUP($A23,数出表_Excel!$A$6:$T$150,COLUMN()/2+1,FALSE)=0,"",VLOOKUP($A23,数出表_Excel!$A$6:$T$150,COLUMN()/2+1,FALSE))),"")</f>
        <v/>
      </c>
      <c r="Y23" s="76"/>
      <c r="Z23" s="148" t="str">
        <f ca="1">IFERROR(VALUE(IF(VLOOKUP($A23,数出表_Excel!$A$6:$T$150,COLUMN()/2+1,FALSE)=0,"",VLOOKUP($A23,数出表_Excel!$A$6:$T$150,COLUMN()/2+1,FALSE))),"")</f>
        <v/>
      </c>
      <c r="AA23" s="76"/>
      <c r="AB23" s="148" t="str">
        <f ca="1">IFERROR(VALUE(IF(VLOOKUP($A23,数出表_Excel!$A$6:$T$150,COLUMN()/2+1,FALSE)=0,"",VLOOKUP($A23,数出表_Excel!$A$6:$T$150,COLUMN()/2+1,FALSE))),"")</f>
        <v/>
      </c>
      <c r="AC23" s="76"/>
      <c r="AD23" s="148" t="str">
        <f ca="1">IFERROR(VALUE(IF(VLOOKUP($A23,数出表_Excel!$A$6:$T$150,COLUMN()/2+1,FALSE)=0,"",VLOOKUP($A23,数出表_Excel!$A$6:$T$150,COLUMN()/2+1,FALSE))),"")</f>
        <v/>
      </c>
      <c r="AE23" s="76"/>
      <c r="AF23" s="148" t="str">
        <f ca="1">IFERROR(VALUE(IF(VLOOKUP($A23,数出表_Excel!$A$6:$T$150,COLUMN()/2+1,FALSE)=0,"",VLOOKUP($A23,数出表_Excel!$A$6:$T$150,COLUMN()/2+1,FALSE))),"")</f>
        <v/>
      </c>
      <c r="AG23" s="76"/>
      <c r="AH23" s="148" t="str">
        <f ca="1">IFERROR(VALUE(IF(VLOOKUP($A23,数出表_Excel!$A$6:$T$150,COLUMN()/2+1,FALSE)=0,"",VLOOKUP($A23,数出表_Excel!$A$6:$T$150,COLUMN()/2+1,FALSE))),"")</f>
        <v/>
      </c>
      <c r="AI23" s="76"/>
      <c r="AJ23" s="148" t="str">
        <f ca="1">IFERROR(VALUE(IF(VLOOKUP($A23,数出表_Excel!$A$6:$T$150,COLUMN()/2+1,FALSE)=0,"",VLOOKUP($A23,数出表_Excel!$A$6:$T$150,COLUMN()/2+1,FALSE))),"")</f>
        <v/>
      </c>
      <c r="AK23" s="76"/>
      <c r="AL23" s="63" t="e">
        <f ca="1">IF(A23&lt;&gt;"",
IF(VLOOKUP($A23,数出表_Excel!$A$6:$T$150,COLUMN()/2+1,FALSE)=0,"",VLOOKUP($A23,数出表_Excel!$A$6:$T$150,COLUMN()/2+1,FALSE)),"")</f>
        <v>#N/A</v>
      </c>
      <c r="AM23" s="91" t="e">
        <f ca="1">数出表_Excel!V23</f>
        <v>#N/A</v>
      </c>
      <c r="AN23" s="92" t="e">
        <f ca="1">数出表_Excel!W23</f>
        <v>#N/A</v>
      </c>
    </row>
    <row r="24" spans="1:40" ht="16.2" customHeight="1">
      <c r="A24" s="81" t="e">
        <f t="array" aca="1" ref="A24" ca="1">IF(OR(COUNTIF(A22,"*10002*"),COUNTIF(A22,"")),"",INDEX(貼り付け用!$A1:$A200,MATCH(A22,貼り付け用!$A1:$A200,0)+2,0))</f>
        <v>#N/A</v>
      </c>
      <c r="B24" s="182" t="str">
        <f ca="1">IFERROR(VALUE(IF(VLOOKUP($A24,数出表_Excel!$A$6:$T$150,COLUMN()/2+1,FALSE)=0,"",VLOOKUP($A24,数出表_Excel!$A$6:$T$150,COLUMN()/2+1,FALSE))),"")</f>
        <v/>
      </c>
      <c r="C24" s="75"/>
      <c r="D24" s="182" t="str">
        <f ca="1">IFERROR(VALUE(IF(VLOOKUP($A24,数出表_Excel!$A$6:$T$150,COLUMN()/2+1,FALSE)=0,"",VLOOKUP($A24,数出表_Excel!$A$6:$T$150,COLUMN()/2+1,FALSE))),"")</f>
        <v/>
      </c>
      <c r="E24" s="75"/>
      <c r="F24" s="182" t="str">
        <f ca="1">IFERROR(VALUE(IF(VLOOKUP($A24,数出表_Excel!$A$6:$T$150,COLUMN()/2+1,FALSE)=0,"",VLOOKUP($A24,数出表_Excel!$A$6:$T$150,COLUMN()/2+1,FALSE))),"")</f>
        <v/>
      </c>
      <c r="G24" s="75"/>
      <c r="H24" s="182" t="str">
        <f ca="1">IFERROR(VALUE(IF(VLOOKUP($A24,数出表_Excel!$A$6:$T$150,COLUMN()/2+1,FALSE)=0,"",VLOOKUP($A24,数出表_Excel!$A$6:$T$150,COLUMN()/2+1,FALSE))),"")</f>
        <v/>
      </c>
      <c r="I24" s="75"/>
      <c r="J24" s="182" t="str">
        <f ca="1">IFERROR(VALUE(IF(VLOOKUP($A24,数出表_Excel!$A$6:$T$150,COLUMN()/2+1,FALSE)=0,"",VLOOKUP($A24,数出表_Excel!$A$6:$T$150,COLUMN()/2+1,FALSE))),"")</f>
        <v/>
      </c>
      <c r="K24" s="75"/>
      <c r="L24" s="182" t="str">
        <f ca="1">IFERROR(VALUE(IF(VLOOKUP($A24,数出表_Excel!$A$6:$T$150,COLUMN()/2+1,FALSE)=0,"",VLOOKUP($A24,数出表_Excel!$A$6:$T$150,COLUMN()/2+1,FALSE))),"")</f>
        <v/>
      </c>
      <c r="M24" s="75"/>
      <c r="N24" s="182" t="str">
        <f ca="1">IFERROR(VALUE(IF(VLOOKUP($A24,数出表_Excel!$A$6:$T$150,COLUMN()/2+1,FALSE)=0,"",VLOOKUP($A24,数出表_Excel!$A$6:$T$150,COLUMN()/2+1,FALSE))),"")</f>
        <v/>
      </c>
      <c r="O24" s="75"/>
      <c r="P24" s="182" t="str">
        <f ca="1">IFERROR(VALUE(IF(VLOOKUP($A24,数出表_Excel!$A$6:$T$150,COLUMN()/2+1,FALSE)=0,"",VLOOKUP($A24,数出表_Excel!$A$6:$T$150,COLUMN()/2+1,FALSE))),"")</f>
        <v/>
      </c>
      <c r="Q24" s="75"/>
      <c r="R24" s="182" t="str">
        <f ca="1">IFERROR(VALUE(IF(VLOOKUP($A24,数出表_Excel!$A$6:$T$150,COLUMN()/2+1,FALSE)=0,"",VLOOKUP($A24,数出表_Excel!$A$6:$T$150,COLUMN()/2+1,FALSE))),"")</f>
        <v/>
      </c>
      <c r="S24" s="75"/>
      <c r="T24" s="182" t="str">
        <f ca="1">IFERROR(VALUE(IF(VLOOKUP($A24,数出表_Excel!$A$6:$T$150,COLUMN()/2+1,FALSE)=0,"",VLOOKUP($A24,数出表_Excel!$A$6:$T$150,COLUMN()/2+1,FALSE))),"")</f>
        <v/>
      </c>
      <c r="U24" s="75"/>
      <c r="V24" s="182" t="str">
        <f ca="1">IFERROR(VALUE(IF(VLOOKUP($A24,数出表_Excel!$A$6:$T$150,COLUMN()/2+1,FALSE)=0,"",VLOOKUP($A24,数出表_Excel!$A$6:$T$150,COLUMN()/2+1,FALSE))),"")</f>
        <v/>
      </c>
      <c r="W24" s="75"/>
      <c r="X24" s="182" t="str">
        <f ca="1">IFERROR(VALUE(IF(VLOOKUP($A24,数出表_Excel!$A$6:$T$150,COLUMN()/2+1,FALSE)=0,"",VLOOKUP($A24,数出表_Excel!$A$6:$T$150,COLUMN()/2+1,FALSE))),"")</f>
        <v/>
      </c>
      <c r="Y24" s="75"/>
      <c r="Z24" s="182" t="str">
        <f ca="1">IFERROR(VALUE(IF(VLOOKUP($A24,数出表_Excel!$A$6:$T$150,COLUMN()/2+1,FALSE)=0,"",VLOOKUP($A24,数出表_Excel!$A$6:$T$150,COLUMN()/2+1,FALSE))),"")</f>
        <v/>
      </c>
      <c r="AA24" s="75"/>
      <c r="AB24" s="182" t="str">
        <f ca="1">IFERROR(VALUE(IF(VLOOKUP($A24,数出表_Excel!$A$6:$T$150,COLUMN()/2+1,FALSE)=0,"",VLOOKUP($A24,数出表_Excel!$A$6:$T$150,COLUMN()/2+1,FALSE))),"")</f>
        <v/>
      </c>
      <c r="AC24" s="75"/>
      <c r="AD24" s="182" t="str">
        <f ca="1">IFERROR(VALUE(IF(VLOOKUP($A24,数出表_Excel!$A$6:$T$150,COLUMN()/2+1,FALSE)=0,"",VLOOKUP($A24,数出表_Excel!$A$6:$T$150,COLUMN()/2+1,FALSE))),"")</f>
        <v/>
      </c>
      <c r="AE24" s="75"/>
      <c r="AF24" s="182" t="str">
        <f ca="1">IFERROR(VALUE(IF(VLOOKUP($A24,数出表_Excel!$A$6:$T$150,COLUMN()/2+1,FALSE)=0,"",VLOOKUP($A24,数出表_Excel!$A$6:$T$150,COLUMN()/2+1,FALSE))),"")</f>
        <v/>
      </c>
      <c r="AG24" s="75"/>
      <c r="AH24" s="182" t="str">
        <f ca="1">IFERROR(VALUE(IF(VLOOKUP($A24,数出表_Excel!$A$6:$T$150,COLUMN()/2+1,FALSE)=0,"",VLOOKUP($A24,数出表_Excel!$A$6:$T$150,COLUMN()/2+1,FALSE))),"")</f>
        <v/>
      </c>
      <c r="AI24" s="75"/>
      <c r="AJ24" s="182" t="str">
        <f ca="1">IFERROR(VALUE(IF(VLOOKUP($A24,数出表_Excel!$A$6:$T$150,COLUMN()/2+1,FALSE)=0,"",VLOOKUP($A24,数出表_Excel!$A$6:$T$150,COLUMN()/2+1,FALSE))),"")</f>
        <v/>
      </c>
      <c r="AK24" s="75"/>
      <c r="AL24" s="61" t="e">
        <f ca="1">IF(A24&lt;&gt;"",
IF(VLOOKUP($A24,数出表_Excel!$A$6:$T$150,COLUMN()/2+1,FALSE)=0,"",VLOOKUP($A24,数出表_Excel!$A$6:$T$150,COLUMN()/2+1,FALSE)),"")</f>
        <v>#N/A</v>
      </c>
      <c r="AM24" s="89" t="e">
        <f ca="1">数出表_Excel!V24</f>
        <v>#N/A</v>
      </c>
      <c r="AN24" s="90" t="e">
        <f ca="1">数出表_Excel!W24</f>
        <v>#N/A</v>
      </c>
    </row>
    <row r="25" spans="1:40" ht="16.2" customHeight="1">
      <c r="A25" s="82" t="e">
        <f t="array" aca="1" ref="A25" ca="1">IF(OR(COUNTIF(A23,"*1000*"),COUNTIF(A23,"")),"",INDEX(貼り付け用!$A1:$A200,MATCH(A23,貼り付け用!$A1:$A200,0)+2,0))</f>
        <v>#N/A</v>
      </c>
      <c r="B25" s="148" t="str">
        <f ca="1">IFERROR(VALUE(IF(VLOOKUP($A25,数出表_Excel!$A$6:$T$150,COLUMN()/2+1,FALSE)=0,"",VLOOKUP($A25,数出表_Excel!$A$6:$T$150,COLUMN()/2+1,FALSE))),"")</f>
        <v/>
      </c>
      <c r="C25" s="76"/>
      <c r="D25" s="148" t="str">
        <f ca="1">IFERROR(VALUE(IF(VLOOKUP($A25,数出表_Excel!$A$6:$T$150,COLUMN()/2+1,FALSE)=0,"",VLOOKUP($A25,数出表_Excel!$A$6:$T$150,COLUMN()/2+1,FALSE))),"")</f>
        <v/>
      </c>
      <c r="E25" s="76"/>
      <c r="F25" s="148" t="str">
        <f ca="1">IFERROR(VALUE(IF(VLOOKUP($A25,数出表_Excel!$A$6:$T$150,COLUMN()/2+1,FALSE)=0,"",VLOOKUP($A25,数出表_Excel!$A$6:$T$150,COLUMN()/2+1,FALSE))),"")</f>
        <v/>
      </c>
      <c r="G25" s="76"/>
      <c r="H25" s="148" t="str">
        <f ca="1">IFERROR(VALUE(IF(VLOOKUP($A25,数出表_Excel!$A$6:$T$150,COLUMN()/2+1,FALSE)=0,"",VLOOKUP($A25,数出表_Excel!$A$6:$T$150,COLUMN()/2+1,FALSE))),"")</f>
        <v/>
      </c>
      <c r="I25" s="76"/>
      <c r="J25" s="148" t="str">
        <f ca="1">IFERROR(VALUE(IF(VLOOKUP($A25,数出表_Excel!$A$6:$T$150,COLUMN()/2+1,FALSE)=0,"",VLOOKUP($A25,数出表_Excel!$A$6:$T$150,COLUMN()/2+1,FALSE))),"")</f>
        <v/>
      </c>
      <c r="K25" s="76"/>
      <c r="L25" s="148" t="str">
        <f ca="1">IFERROR(VALUE(IF(VLOOKUP($A25,数出表_Excel!$A$6:$T$150,COLUMN()/2+1,FALSE)=0,"",VLOOKUP($A25,数出表_Excel!$A$6:$T$150,COLUMN()/2+1,FALSE))),"")</f>
        <v/>
      </c>
      <c r="M25" s="76"/>
      <c r="N25" s="148" t="str">
        <f ca="1">IFERROR(VALUE(IF(VLOOKUP($A25,数出表_Excel!$A$6:$T$150,COLUMN()/2+1,FALSE)=0,"",VLOOKUP($A25,数出表_Excel!$A$6:$T$150,COLUMN()/2+1,FALSE))),"")</f>
        <v/>
      </c>
      <c r="O25" s="76"/>
      <c r="P25" s="148" t="str">
        <f ca="1">IFERROR(VALUE(IF(VLOOKUP($A25,数出表_Excel!$A$6:$T$150,COLUMN()/2+1,FALSE)=0,"",VLOOKUP($A25,数出表_Excel!$A$6:$T$150,COLUMN()/2+1,FALSE))),"")</f>
        <v/>
      </c>
      <c r="Q25" s="76"/>
      <c r="R25" s="148" t="str">
        <f ca="1">IFERROR(VALUE(IF(VLOOKUP($A25,数出表_Excel!$A$6:$T$150,COLUMN()/2+1,FALSE)=0,"",VLOOKUP($A25,数出表_Excel!$A$6:$T$150,COLUMN()/2+1,FALSE))),"")</f>
        <v/>
      </c>
      <c r="S25" s="76"/>
      <c r="T25" s="148" t="str">
        <f ca="1">IFERROR(VALUE(IF(VLOOKUP($A25,数出表_Excel!$A$6:$T$150,COLUMN()/2+1,FALSE)=0,"",VLOOKUP($A25,数出表_Excel!$A$6:$T$150,COLUMN()/2+1,FALSE))),"")</f>
        <v/>
      </c>
      <c r="U25" s="76"/>
      <c r="V25" s="148" t="str">
        <f ca="1">IFERROR(VALUE(IF(VLOOKUP($A25,数出表_Excel!$A$6:$T$150,COLUMN()/2+1,FALSE)=0,"",VLOOKUP($A25,数出表_Excel!$A$6:$T$150,COLUMN()/2+1,FALSE))),"")</f>
        <v/>
      </c>
      <c r="W25" s="76"/>
      <c r="X25" s="148" t="str">
        <f ca="1">IFERROR(VALUE(IF(VLOOKUP($A25,数出表_Excel!$A$6:$T$150,COLUMN()/2+1,FALSE)=0,"",VLOOKUP($A25,数出表_Excel!$A$6:$T$150,COLUMN()/2+1,FALSE))),"")</f>
        <v/>
      </c>
      <c r="Y25" s="76"/>
      <c r="Z25" s="148" t="str">
        <f ca="1">IFERROR(VALUE(IF(VLOOKUP($A25,数出表_Excel!$A$6:$T$150,COLUMN()/2+1,FALSE)=0,"",VLOOKUP($A25,数出表_Excel!$A$6:$T$150,COLUMN()/2+1,FALSE))),"")</f>
        <v/>
      </c>
      <c r="AA25" s="76"/>
      <c r="AB25" s="148" t="str">
        <f ca="1">IFERROR(VALUE(IF(VLOOKUP($A25,数出表_Excel!$A$6:$T$150,COLUMN()/2+1,FALSE)=0,"",VLOOKUP($A25,数出表_Excel!$A$6:$T$150,COLUMN()/2+1,FALSE))),"")</f>
        <v/>
      </c>
      <c r="AC25" s="76"/>
      <c r="AD25" s="148" t="str">
        <f ca="1">IFERROR(VALUE(IF(VLOOKUP($A25,数出表_Excel!$A$6:$T$150,COLUMN()/2+1,FALSE)=0,"",VLOOKUP($A25,数出表_Excel!$A$6:$T$150,COLUMN()/2+1,FALSE))),"")</f>
        <v/>
      </c>
      <c r="AE25" s="76"/>
      <c r="AF25" s="148" t="str">
        <f ca="1">IFERROR(VALUE(IF(VLOOKUP($A25,数出表_Excel!$A$6:$T$150,COLUMN()/2+1,FALSE)=0,"",VLOOKUP($A25,数出表_Excel!$A$6:$T$150,COLUMN()/2+1,FALSE))),"")</f>
        <v/>
      </c>
      <c r="AG25" s="76"/>
      <c r="AH25" s="148" t="str">
        <f ca="1">IFERROR(VALUE(IF(VLOOKUP($A25,数出表_Excel!$A$6:$T$150,COLUMN()/2+1,FALSE)=0,"",VLOOKUP($A25,数出表_Excel!$A$6:$T$150,COLUMN()/2+1,FALSE))),"")</f>
        <v/>
      </c>
      <c r="AI25" s="76"/>
      <c r="AJ25" s="148" t="str">
        <f ca="1">IFERROR(VALUE(IF(VLOOKUP($A25,数出表_Excel!$A$6:$T$150,COLUMN()/2+1,FALSE)=0,"",VLOOKUP($A25,数出表_Excel!$A$6:$T$150,COLUMN()/2+1,FALSE))),"")</f>
        <v/>
      </c>
      <c r="AK25" s="76"/>
      <c r="AL25" s="63" t="e">
        <f ca="1">IF(A25&lt;&gt;"",
IF(VLOOKUP($A25,数出表_Excel!$A$6:$T$150,COLUMN()/2+1,FALSE)=0,"",VLOOKUP($A25,数出表_Excel!$A$6:$T$150,COLUMN()/2+1,FALSE)),"")</f>
        <v>#N/A</v>
      </c>
      <c r="AM25" s="91" t="e">
        <f ca="1">数出表_Excel!V25</f>
        <v>#N/A</v>
      </c>
      <c r="AN25" s="92" t="e">
        <f ca="1">数出表_Excel!W25</f>
        <v>#N/A</v>
      </c>
    </row>
    <row r="26" spans="1:40" ht="16.2" customHeight="1">
      <c r="A26" s="81" t="e">
        <f t="array" aca="1" ref="A26" ca="1">IF(OR(COUNTIF(A24,"*10002*"),COUNTIF(A24,"")),"",INDEX(貼り付け用!$A1:$A200,MATCH(A24,貼り付け用!$A1:$A200,0)+2,0))</f>
        <v>#N/A</v>
      </c>
      <c r="B26" s="182" t="str">
        <f ca="1">IFERROR(VALUE(IF(VLOOKUP($A26,数出表_Excel!$A$6:$T$150,COLUMN()/2+1,FALSE)=0,"",VLOOKUP($A26,数出表_Excel!$A$6:$T$150,COLUMN()/2+1,FALSE))),"")</f>
        <v/>
      </c>
      <c r="C26" s="75"/>
      <c r="D26" s="182" t="str">
        <f ca="1">IFERROR(VALUE(IF(VLOOKUP($A26,数出表_Excel!$A$6:$T$150,COLUMN()/2+1,FALSE)=0,"",VLOOKUP($A26,数出表_Excel!$A$6:$T$150,COLUMN()/2+1,FALSE))),"")</f>
        <v/>
      </c>
      <c r="E26" s="75"/>
      <c r="F26" s="182" t="str">
        <f ca="1">IFERROR(VALUE(IF(VLOOKUP($A26,数出表_Excel!$A$6:$T$150,COLUMN()/2+1,FALSE)=0,"",VLOOKUP($A26,数出表_Excel!$A$6:$T$150,COLUMN()/2+1,FALSE))),"")</f>
        <v/>
      </c>
      <c r="G26" s="75"/>
      <c r="H26" s="182" t="str">
        <f ca="1">IFERROR(VALUE(IF(VLOOKUP($A26,数出表_Excel!$A$6:$T$150,COLUMN()/2+1,FALSE)=0,"",VLOOKUP($A26,数出表_Excel!$A$6:$T$150,COLUMN()/2+1,FALSE))),"")</f>
        <v/>
      </c>
      <c r="I26" s="75"/>
      <c r="J26" s="182" t="str">
        <f ca="1">IFERROR(VALUE(IF(VLOOKUP($A26,数出表_Excel!$A$6:$T$150,COLUMN()/2+1,FALSE)=0,"",VLOOKUP($A26,数出表_Excel!$A$6:$T$150,COLUMN()/2+1,FALSE))),"")</f>
        <v/>
      </c>
      <c r="K26" s="75"/>
      <c r="L26" s="182" t="str">
        <f ca="1">IFERROR(VALUE(IF(VLOOKUP($A26,数出表_Excel!$A$6:$T$150,COLUMN()/2+1,FALSE)=0,"",VLOOKUP($A26,数出表_Excel!$A$6:$T$150,COLUMN()/2+1,FALSE))),"")</f>
        <v/>
      </c>
      <c r="M26" s="75"/>
      <c r="N26" s="182" t="str">
        <f ca="1">IFERROR(VALUE(IF(VLOOKUP($A26,数出表_Excel!$A$6:$T$150,COLUMN()/2+1,FALSE)=0,"",VLOOKUP($A26,数出表_Excel!$A$6:$T$150,COLUMN()/2+1,FALSE))),"")</f>
        <v/>
      </c>
      <c r="O26" s="75"/>
      <c r="P26" s="182" t="str">
        <f ca="1">IFERROR(VALUE(IF(VLOOKUP($A26,数出表_Excel!$A$6:$T$150,COLUMN()/2+1,FALSE)=0,"",VLOOKUP($A26,数出表_Excel!$A$6:$T$150,COLUMN()/2+1,FALSE))),"")</f>
        <v/>
      </c>
      <c r="Q26" s="75"/>
      <c r="R26" s="182" t="str">
        <f ca="1">IFERROR(VALUE(IF(VLOOKUP($A26,数出表_Excel!$A$6:$T$150,COLUMN()/2+1,FALSE)=0,"",VLOOKUP($A26,数出表_Excel!$A$6:$T$150,COLUMN()/2+1,FALSE))),"")</f>
        <v/>
      </c>
      <c r="S26" s="75"/>
      <c r="T26" s="182" t="str">
        <f ca="1">IFERROR(VALUE(IF(VLOOKUP($A26,数出表_Excel!$A$6:$T$150,COLUMN()/2+1,FALSE)=0,"",VLOOKUP($A26,数出表_Excel!$A$6:$T$150,COLUMN()/2+1,FALSE))),"")</f>
        <v/>
      </c>
      <c r="U26" s="75"/>
      <c r="V26" s="182" t="str">
        <f ca="1">IFERROR(VALUE(IF(VLOOKUP($A26,数出表_Excel!$A$6:$T$150,COLUMN()/2+1,FALSE)=0,"",VLOOKUP($A26,数出表_Excel!$A$6:$T$150,COLUMN()/2+1,FALSE))),"")</f>
        <v/>
      </c>
      <c r="W26" s="75"/>
      <c r="X26" s="182" t="str">
        <f ca="1">IFERROR(VALUE(IF(VLOOKUP($A26,数出表_Excel!$A$6:$T$150,COLUMN()/2+1,FALSE)=0,"",VLOOKUP($A26,数出表_Excel!$A$6:$T$150,COLUMN()/2+1,FALSE))),"")</f>
        <v/>
      </c>
      <c r="Y26" s="75"/>
      <c r="Z26" s="182" t="str">
        <f ca="1">IFERROR(VALUE(IF(VLOOKUP($A26,数出表_Excel!$A$6:$T$150,COLUMN()/2+1,FALSE)=0,"",VLOOKUP($A26,数出表_Excel!$A$6:$T$150,COLUMN()/2+1,FALSE))),"")</f>
        <v/>
      </c>
      <c r="AA26" s="75"/>
      <c r="AB26" s="182" t="str">
        <f ca="1">IFERROR(VALUE(IF(VLOOKUP($A26,数出表_Excel!$A$6:$T$150,COLUMN()/2+1,FALSE)=0,"",VLOOKUP($A26,数出表_Excel!$A$6:$T$150,COLUMN()/2+1,FALSE))),"")</f>
        <v/>
      </c>
      <c r="AC26" s="75"/>
      <c r="AD26" s="182" t="str">
        <f ca="1">IFERROR(VALUE(IF(VLOOKUP($A26,数出表_Excel!$A$6:$T$150,COLUMN()/2+1,FALSE)=0,"",VLOOKUP($A26,数出表_Excel!$A$6:$T$150,COLUMN()/2+1,FALSE))),"")</f>
        <v/>
      </c>
      <c r="AE26" s="75"/>
      <c r="AF26" s="182" t="str">
        <f ca="1">IFERROR(VALUE(IF(VLOOKUP($A26,数出表_Excel!$A$6:$T$150,COLUMN()/2+1,FALSE)=0,"",VLOOKUP($A26,数出表_Excel!$A$6:$T$150,COLUMN()/2+1,FALSE))),"")</f>
        <v/>
      </c>
      <c r="AG26" s="75"/>
      <c r="AH26" s="182" t="str">
        <f ca="1">IFERROR(VALUE(IF(VLOOKUP($A26,数出表_Excel!$A$6:$T$150,COLUMN()/2+1,FALSE)=0,"",VLOOKUP($A26,数出表_Excel!$A$6:$T$150,COLUMN()/2+1,FALSE))),"")</f>
        <v/>
      </c>
      <c r="AI26" s="75"/>
      <c r="AJ26" s="182" t="str">
        <f ca="1">IFERROR(VALUE(IF(VLOOKUP($A26,数出表_Excel!$A$6:$T$150,COLUMN()/2+1,FALSE)=0,"",VLOOKUP($A26,数出表_Excel!$A$6:$T$150,COLUMN()/2+1,FALSE))),"")</f>
        <v/>
      </c>
      <c r="AK26" s="75"/>
      <c r="AL26" s="61" t="e">
        <f ca="1">IF(A26&lt;&gt;"",
IF(VLOOKUP($A26,数出表_Excel!$A$6:$T$150,COLUMN()/2+1,FALSE)=0,"",VLOOKUP($A26,数出表_Excel!$A$6:$T$150,COLUMN()/2+1,FALSE)),"")</f>
        <v>#N/A</v>
      </c>
      <c r="AM26" s="89" t="e">
        <f ca="1">数出表_Excel!V26</f>
        <v>#N/A</v>
      </c>
      <c r="AN26" s="90" t="e">
        <f ca="1">数出表_Excel!W26</f>
        <v>#N/A</v>
      </c>
    </row>
    <row r="27" spans="1:40" ht="16.2" customHeight="1">
      <c r="A27" s="82" t="e">
        <f t="array" aca="1" ref="A27" ca="1">IF(OR(COUNTIF(A25,"*1000*"),COUNTIF(A25,"")),"",INDEX(貼り付け用!$A1:$A200,MATCH(A25,貼り付け用!$A1:$A200,0)+2,0))</f>
        <v>#N/A</v>
      </c>
      <c r="B27" s="148" t="str">
        <f ca="1">IFERROR(VALUE(IF(VLOOKUP($A27,数出表_Excel!$A$6:$T$150,COLUMN()/2+1,FALSE)=0,"",VLOOKUP($A27,数出表_Excel!$A$6:$T$150,COLUMN()/2+1,FALSE))),"")</f>
        <v/>
      </c>
      <c r="C27" s="76"/>
      <c r="D27" s="148" t="str">
        <f ca="1">IFERROR(VALUE(IF(VLOOKUP($A27,数出表_Excel!$A$6:$T$150,COLUMN()/2+1,FALSE)=0,"",VLOOKUP($A27,数出表_Excel!$A$6:$T$150,COLUMN()/2+1,FALSE))),"")</f>
        <v/>
      </c>
      <c r="E27" s="76"/>
      <c r="F27" s="148" t="str">
        <f ca="1">IFERROR(VALUE(IF(VLOOKUP($A27,数出表_Excel!$A$6:$T$150,COLUMN()/2+1,FALSE)=0,"",VLOOKUP($A27,数出表_Excel!$A$6:$T$150,COLUMN()/2+1,FALSE))),"")</f>
        <v/>
      </c>
      <c r="G27" s="76"/>
      <c r="H27" s="148" t="str">
        <f ca="1">IFERROR(VALUE(IF(VLOOKUP($A27,数出表_Excel!$A$6:$T$150,COLUMN()/2+1,FALSE)=0,"",VLOOKUP($A27,数出表_Excel!$A$6:$T$150,COLUMN()/2+1,FALSE))),"")</f>
        <v/>
      </c>
      <c r="I27" s="76"/>
      <c r="J27" s="148" t="str">
        <f ca="1">IFERROR(VALUE(IF(VLOOKUP($A27,数出表_Excel!$A$6:$T$150,COLUMN()/2+1,FALSE)=0,"",VLOOKUP($A27,数出表_Excel!$A$6:$T$150,COLUMN()/2+1,FALSE))),"")</f>
        <v/>
      </c>
      <c r="K27" s="76"/>
      <c r="L27" s="148" t="str">
        <f ca="1">IFERROR(VALUE(IF(VLOOKUP($A27,数出表_Excel!$A$6:$T$150,COLUMN()/2+1,FALSE)=0,"",VLOOKUP($A27,数出表_Excel!$A$6:$T$150,COLUMN()/2+1,FALSE))),"")</f>
        <v/>
      </c>
      <c r="M27" s="76"/>
      <c r="N27" s="148" t="str">
        <f ca="1">IFERROR(VALUE(IF(VLOOKUP($A27,数出表_Excel!$A$6:$T$150,COLUMN()/2+1,FALSE)=0,"",VLOOKUP($A27,数出表_Excel!$A$6:$T$150,COLUMN()/2+1,FALSE))),"")</f>
        <v/>
      </c>
      <c r="O27" s="76"/>
      <c r="P27" s="148" t="str">
        <f ca="1">IFERROR(VALUE(IF(VLOOKUP($A27,数出表_Excel!$A$6:$T$150,COLUMN()/2+1,FALSE)=0,"",VLOOKUP($A27,数出表_Excel!$A$6:$T$150,COLUMN()/2+1,FALSE))),"")</f>
        <v/>
      </c>
      <c r="Q27" s="76"/>
      <c r="R27" s="148" t="str">
        <f ca="1">IFERROR(VALUE(IF(VLOOKUP($A27,数出表_Excel!$A$6:$T$150,COLUMN()/2+1,FALSE)=0,"",VLOOKUP($A27,数出表_Excel!$A$6:$T$150,COLUMN()/2+1,FALSE))),"")</f>
        <v/>
      </c>
      <c r="S27" s="76"/>
      <c r="T27" s="148" t="str">
        <f ca="1">IFERROR(VALUE(IF(VLOOKUP($A27,数出表_Excel!$A$6:$T$150,COLUMN()/2+1,FALSE)=0,"",VLOOKUP($A27,数出表_Excel!$A$6:$T$150,COLUMN()/2+1,FALSE))),"")</f>
        <v/>
      </c>
      <c r="U27" s="76"/>
      <c r="V27" s="148" t="str">
        <f ca="1">IFERROR(VALUE(IF(VLOOKUP($A27,数出表_Excel!$A$6:$T$150,COLUMN()/2+1,FALSE)=0,"",VLOOKUP($A27,数出表_Excel!$A$6:$T$150,COLUMN()/2+1,FALSE))),"")</f>
        <v/>
      </c>
      <c r="W27" s="76"/>
      <c r="X27" s="148" t="str">
        <f ca="1">IFERROR(VALUE(IF(VLOOKUP($A27,数出表_Excel!$A$6:$T$150,COLUMN()/2+1,FALSE)=0,"",VLOOKUP($A27,数出表_Excel!$A$6:$T$150,COLUMN()/2+1,FALSE))),"")</f>
        <v/>
      </c>
      <c r="Y27" s="76"/>
      <c r="Z27" s="148" t="str">
        <f ca="1">IFERROR(VALUE(IF(VLOOKUP($A27,数出表_Excel!$A$6:$T$150,COLUMN()/2+1,FALSE)=0,"",VLOOKUP($A27,数出表_Excel!$A$6:$T$150,COLUMN()/2+1,FALSE))),"")</f>
        <v/>
      </c>
      <c r="AA27" s="76"/>
      <c r="AB27" s="148" t="str">
        <f ca="1">IFERROR(VALUE(IF(VLOOKUP($A27,数出表_Excel!$A$6:$T$150,COLUMN()/2+1,FALSE)=0,"",VLOOKUP($A27,数出表_Excel!$A$6:$T$150,COLUMN()/2+1,FALSE))),"")</f>
        <v/>
      </c>
      <c r="AC27" s="76"/>
      <c r="AD27" s="148" t="str">
        <f ca="1">IFERROR(VALUE(IF(VLOOKUP($A27,数出表_Excel!$A$6:$T$150,COLUMN()/2+1,FALSE)=0,"",VLOOKUP($A27,数出表_Excel!$A$6:$T$150,COLUMN()/2+1,FALSE))),"")</f>
        <v/>
      </c>
      <c r="AE27" s="76"/>
      <c r="AF27" s="148" t="str">
        <f ca="1">IFERROR(VALUE(IF(VLOOKUP($A27,数出表_Excel!$A$6:$T$150,COLUMN()/2+1,FALSE)=0,"",VLOOKUP($A27,数出表_Excel!$A$6:$T$150,COLUMN()/2+1,FALSE))),"")</f>
        <v/>
      </c>
      <c r="AG27" s="76"/>
      <c r="AH27" s="148" t="str">
        <f ca="1">IFERROR(VALUE(IF(VLOOKUP($A27,数出表_Excel!$A$6:$T$150,COLUMN()/2+1,FALSE)=0,"",VLOOKUP($A27,数出表_Excel!$A$6:$T$150,COLUMN()/2+1,FALSE))),"")</f>
        <v/>
      </c>
      <c r="AI27" s="76"/>
      <c r="AJ27" s="148" t="str">
        <f ca="1">IFERROR(VALUE(IF(VLOOKUP($A27,数出表_Excel!$A$6:$T$150,COLUMN()/2+1,FALSE)=0,"",VLOOKUP($A27,数出表_Excel!$A$6:$T$150,COLUMN()/2+1,FALSE))),"")</f>
        <v/>
      </c>
      <c r="AK27" s="76"/>
      <c r="AL27" s="63" t="e">
        <f ca="1">IF(A27&lt;&gt;"",
IF(VLOOKUP($A27,数出表_Excel!$A$6:$T$150,COLUMN()/2+1,FALSE)=0,"",VLOOKUP($A27,数出表_Excel!$A$6:$T$150,COLUMN()/2+1,FALSE)),"")</f>
        <v>#N/A</v>
      </c>
      <c r="AM27" s="91" t="e">
        <f ca="1">数出表_Excel!V27</f>
        <v>#N/A</v>
      </c>
      <c r="AN27" s="92" t="e">
        <f ca="1">数出表_Excel!W27</f>
        <v>#N/A</v>
      </c>
    </row>
    <row r="28" spans="1:40" ht="16.2" customHeight="1">
      <c r="A28" s="81" t="e">
        <f t="array" aca="1" ref="A28" ca="1">IF(OR(COUNTIF(A26,"*10002*"),COUNTIF(A26,"")),"",INDEX(貼り付け用!$A1:$A200,MATCH(A26,貼り付け用!$A1:$A200,0)+2,0))</f>
        <v>#N/A</v>
      </c>
      <c r="B28" s="182" t="str">
        <f ca="1">IFERROR(VALUE(IF(VLOOKUP($A28,数出表_Excel!$A$6:$T$150,COLUMN()/2+1,FALSE)=0,"",VLOOKUP($A28,数出表_Excel!$A$6:$T$150,COLUMN()/2+1,FALSE))),"")</f>
        <v/>
      </c>
      <c r="C28" s="75"/>
      <c r="D28" s="182" t="str">
        <f ca="1">IFERROR(VALUE(IF(VLOOKUP($A28,数出表_Excel!$A$6:$T$150,COLUMN()/2+1,FALSE)=0,"",VLOOKUP($A28,数出表_Excel!$A$6:$T$150,COLUMN()/2+1,FALSE))),"")</f>
        <v/>
      </c>
      <c r="E28" s="75"/>
      <c r="F28" s="182" t="str">
        <f ca="1">IFERROR(VALUE(IF(VLOOKUP($A28,数出表_Excel!$A$6:$T$150,COLUMN()/2+1,FALSE)=0,"",VLOOKUP($A28,数出表_Excel!$A$6:$T$150,COLUMN()/2+1,FALSE))),"")</f>
        <v/>
      </c>
      <c r="G28" s="75"/>
      <c r="H28" s="182" t="str">
        <f ca="1">IFERROR(VALUE(IF(VLOOKUP($A28,数出表_Excel!$A$6:$T$150,COLUMN()/2+1,FALSE)=0,"",VLOOKUP($A28,数出表_Excel!$A$6:$T$150,COLUMN()/2+1,FALSE))),"")</f>
        <v/>
      </c>
      <c r="I28" s="75"/>
      <c r="J28" s="182" t="str">
        <f ca="1">IFERROR(VALUE(IF(VLOOKUP($A28,数出表_Excel!$A$6:$T$150,COLUMN()/2+1,FALSE)=0,"",VLOOKUP($A28,数出表_Excel!$A$6:$T$150,COLUMN()/2+1,FALSE))),"")</f>
        <v/>
      </c>
      <c r="K28" s="75"/>
      <c r="L28" s="182" t="str">
        <f ca="1">IFERROR(VALUE(IF(VLOOKUP($A28,数出表_Excel!$A$6:$T$150,COLUMN()/2+1,FALSE)=0,"",VLOOKUP($A28,数出表_Excel!$A$6:$T$150,COLUMN()/2+1,FALSE))),"")</f>
        <v/>
      </c>
      <c r="M28" s="75"/>
      <c r="N28" s="182" t="str">
        <f ca="1">IFERROR(VALUE(IF(VLOOKUP($A28,数出表_Excel!$A$6:$T$150,COLUMN()/2+1,FALSE)=0,"",VLOOKUP($A28,数出表_Excel!$A$6:$T$150,COLUMN()/2+1,FALSE))),"")</f>
        <v/>
      </c>
      <c r="O28" s="75"/>
      <c r="P28" s="182" t="str">
        <f ca="1">IFERROR(VALUE(IF(VLOOKUP($A28,数出表_Excel!$A$6:$T$150,COLUMN()/2+1,FALSE)=0,"",VLOOKUP($A28,数出表_Excel!$A$6:$T$150,COLUMN()/2+1,FALSE))),"")</f>
        <v/>
      </c>
      <c r="Q28" s="75"/>
      <c r="R28" s="182" t="str">
        <f ca="1">IFERROR(VALUE(IF(VLOOKUP($A28,数出表_Excel!$A$6:$T$150,COLUMN()/2+1,FALSE)=0,"",VLOOKUP($A28,数出表_Excel!$A$6:$T$150,COLUMN()/2+1,FALSE))),"")</f>
        <v/>
      </c>
      <c r="S28" s="75"/>
      <c r="T28" s="182" t="str">
        <f ca="1">IFERROR(VALUE(IF(VLOOKUP($A28,数出表_Excel!$A$6:$T$150,COLUMN()/2+1,FALSE)=0,"",VLOOKUP($A28,数出表_Excel!$A$6:$T$150,COLUMN()/2+1,FALSE))),"")</f>
        <v/>
      </c>
      <c r="U28" s="75"/>
      <c r="V28" s="182" t="str">
        <f ca="1">IFERROR(VALUE(IF(VLOOKUP($A28,数出表_Excel!$A$6:$T$150,COLUMN()/2+1,FALSE)=0,"",VLOOKUP($A28,数出表_Excel!$A$6:$T$150,COLUMN()/2+1,FALSE))),"")</f>
        <v/>
      </c>
      <c r="W28" s="75"/>
      <c r="X28" s="182" t="str">
        <f ca="1">IFERROR(VALUE(IF(VLOOKUP($A28,数出表_Excel!$A$6:$T$150,COLUMN()/2+1,FALSE)=0,"",VLOOKUP($A28,数出表_Excel!$A$6:$T$150,COLUMN()/2+1,FALSE))),"")</f>
        <v/>
      </c>
      <c r="Y28" s="75"/>
      <c r="Z28" s="182" t="str">
        <f ca="1">IFERROR(VALUE(IF(VLOOKUP($A28,数出表_Excel!$A$6:$T$150,COLUMN()/2+1,FALSE)=0,"",VLOOKUP($A28,数出表_Excel!$A$6:$T$150,COLUMN()/2+1,FALSE))),"")</f>
        <v/>
      </c>
      <c r="AA28" s="75"/>
      <c r="AB28" s="182" t="str">
        <f ca="1">IFERROR(VALUE(IF(VLOOKUP($A28,数出表_Excel!$A$6:$T$150,COLUMN()/2+1,FALSE)=0,"",VLOOKUP($A28,数出表_Excel!$A$6:$T$150,COLUMN()/2+1,FALSE))),"")</f>
        <v/>
      </c>
      <c r="AC28" s="75"/>
      <c r="AD28" s="182" t="str">
        <f ca="1">IFERROR(VALUE(IF(VLOOKUP($A28,数出表_Excel!$A$6:$T$150,COLUMN()/2+1,FALSE)=0,"",VLOOKUP($A28,数出表_Excel!$A$6:$T$150,COLUMN()/2+1,FALSE))),"")</f>
        <v/>
      </c>
      <c r="AE28" s="75"/>
      <c r="AF28" s="182" t="str">
        <f ca="1">IFERROR(VALUE(IF(VLOOKUP($A28,数出表_Excel!$A$6:$T$150,COLUMN()/2+1,FALSE)=0,"",VLOOKUP($A28,数出表_Excel!$A$6:$T$150,COLUMN()/2+1,FALSE))),"")</f>
        <v/>
      </c>
      <c r="AG28" s="75"/>
      <c r="AH28" s="182" t="str">
        <f ca="1">IFERROR(VALUE(IF(VLOOKUP($A28,数出表_Excel!$A$6:$T$150,COLUMN()/2+1,FALSE)=0,"",VLOOKUP($A28,数出表_Excel!$A$6:$T$150,COLUMN()/2+1,FALSE))),"")</f>
        <v/>
      </c>
      <c r="AI28" s="75"/>
      <c r="AJ28" s="182" t="str">
        <f ca="1">IFERROR(VALUE(IF(VLOOKUP($A28,数出表_Excel!$A$6:$T$150,COLUMN()/2+1,FALSE)=0,"",VLOOKUP($A28,数出表_Excel!$A$6:$T$150,COLUMN()/2+1,FALSE))),"")</f>
        <v/>
      </c>
      <c r="AK28" s="75"/>
      <c r="AL28" s="61" t="e">
        <f ca="1">IF(A28&lt;&gt;"",
IF(VLOOKUP($A28,数出表_Excel!$A$6:$T$150,COLUMN()/2+1,FALSE)=0,"",VLOOKUP($A28,数出表_Excel!$A$6:$T$150,COLUMN()/2+1,FALSE)),"")</f>
        <v>#N/A</v>
      </c>
      <c r="AM28" s="89" t="e">
        <f ca="1">数出表_Excel!V28</f>
        <v>#N/A</v>
      </c>
      <c r="AN28" s="90" t="e">
        <f ca="1">数出表_Excel!W28</f>
        <v>#N/A</v>
      </c>
    </row>
    <row r="29" spans="1:40" ht="16.2" customHeight="1">
      <c r="A29" s="82" t="e">
        <f t="array" aca="1" ref="A29" ca="1">IF(OR(COUNTIF(A27,"*1000*"),COUNTIF(A27,"")),"",INDEX(貼り付け用!$A1:$A200,MATCH(A27,貼り付け用!$A1:$A200,0)+2,0))</f>
        <v>#N/A</v>
      </c>
      <c r="B29" s="148" t="str">
        <f ca="1">IFERROR(VALUE(IF(VLOOKUP($A29,数出表_Excel!$A$6:$T$150,COLUMN()/2+1,FALSE)=0,"",VLOOKUP($A29,数出表_Excel!$A$6:$T$150,COLUMN()/2+1,FALSE))),"")</f>
        <v/>
      </c>
      <c r="C29" s="76"/>
      <c r="D29" s="148" t="str">
        <f ca="1">IFERROR(VALUE(IF(VLOOKUP($A29,数出表_Excel!$A$6:$T$150,COLUMN()/2+1,FALSE)=0,"",VLOOKUP($A29,数出表_Excel!$A$6:$T$150,COLUMN()/2+1,FALSE))),"")</f>
        <v/>
      </c>
      <c r="E29" s="76"/>
      <c r="F29" s="148" t="str">
        <f ca="1">IFERROR(VALUE(IF(VLOOKUP($A29,数出表_Excel!$A$6:$T$150,COLUMN()/2+1,FALSE)=0,"",VLOOKUP($A29,数出表_Excel!$A$6:$T$150,COLUMN()/2+1,FALSE))),"")</f>
        <v/>
      </c>
      <c r="G29" s="76"/>
      <c r="H29" s="148" t="str">
        <f ca="1">IFERROR(VALUE(IF(VLOOKUP($A29,数出表_Excel!$A$6:$T$150,COLUMN()/2+1,FALSE)=0,"",VLOOKUP($A29,数出表_Excel!$A$6:$T$150,COLUMN()/2+1,FALSE))),"")</f>
        <v/>
      </c>
      <c r="I29" s="76"/>
      <c r="J29" s="148" t="str">
        <f ca="1">IFERROR(VALUE(IF(VLOOKUP($A29,数出表_Excel!$A$6:$T$150,COLUMN()/2+1,FALSE)=0,"",VLOOKUP($A29,数出表_Excel!$A$6:$T$150,COLUMN()/2+1,FALSE))),"")</f>
        <v/>
      </c>
      <c r="K29" s="76"/>
      <c r="L29" s="148" t="str">
        <f ca="1">IFERROR(VALUE(IF(VLOOKUP($A29,数出表_Excel!$A$6:$T$150,COLUMN()/2+1,FALSE)=0,"",VLOOKUP($A29,数出表_Excel!$A$6:$T$150,COLUMN()/2+1,FALSE))),"")</f>
        <v/>
      </c>
      <c r="M29" s="76"/>
      <c r="N29" s="148" t="str">
        <f ca="1">IFERROR(VALUE(IF(VLOOKUP($A29,数出表_Excel!$A$6:$T$150,COLUMN()/2+1,FALSE)=0,"",VLOOKUP($A29,数出表_Excel!$A$6:$T$150,COLUMN()/2+1,FALSE))),"")</f>
        <v/>
      </c>
      <c r="O29" s="76"/>
      <c r="P29" s="148" t="str">
        <f ca="1">IFERROR(VALUE(IF(VLOOKUP($A29,数出表_Excel!$A$6:$T$150,COLUMN()/2+1,FALSE)=0,"",VLOOKUP($A29,数出表_Excel!$A$6:$T$150,COLUMN()/2+1,FALSE))),"")</f>
        <v/>
      </c>
      <c r="Q29" s="76"/>
      <c r="R29" s="148" t="str">
        <f ca="1">IFERROR(VALUE(IF(VLOOKUP($A29,数出表_Excel!$A$6:$T$150,COLUMN()/2+1,FALSE)=0,"",VLOOKUP($A29,数出表_Excel!$A$6:$T$150,COLUMN()/2+1,FALSE))),"")</f>
        <v/>
      </c>
      <c r="S29" s="76"/>
      <c r="T29" s="148" t="str">
        <f ca="1">IFERROR(VALUE(IF(VLOOKUP($A29,数出表_Excel!$A$6:$T$150,COLUMN()/2+1,FALSE)=0,"",VLOOKUP($A29,数出表_Excel!$A$6:$T$150,COLUMN()/2+1,FALSE))),"")</f>
        <v/>
      </c>
      <c r="U29" s="76"/>
      <c r="V29" s="148" t="str">
        <f ca="1">IFERROR(VALUE(IF(VLOOKUP($A29,数出表_Excel!$A$6:$T$150,COLUMN()/2+1,FALSE)=0,"",VLOOKUP($A29,数出表_Excel!$A$6:$T$150,COLUMN()/2+1,FALSE))),"")</f>
        <v/>
      </c>
      <c r="W29" s="76"/>
      <c r="X29" s="148" t="str">
        <f ca="1">IFERROR(VALUE(IF(VLOOKUP($A29,数出表_Excel!$A$6:$T$150,COLUMN()/2+1,FALSE)=0,"",VLOOKUP($A29,数出表_Excel!$A$6:$T$150,COLUMN()/2+1,FALSE))),"")</f>
        <v/>
      </c>
      <c r="Y29" s="76"/>
      <c r="Z29" s="148" t="str">
        <f ca="1">IFERROR(VALUE(IF(VLOOKUP($A29,数出表_Excel!$A$6:$T$150,COLUMN()/2+1,FALSE)=0,"",VLOOKUP($A29,数出表_Excel!$A$6:$T$150,COLUMN()/2+1,FALSE))),"")</f>
        <v/>
      </c>
      <c r="AA29" s="76"/>
      <c r="AB29" s="148" t="str">
        <f ca="1">IFERROR(VALUE(IF(VLOOKUP($A29,数出表_Excel!$A$6:$T$150,COLUMN()/2+1,FALSE)=0,"",VLOOKUP($A29,数出表_Excel!$A$6:$T$150,COLUMN()/2+1,FALSE))),"")</f>
        <v/>
      </c>
      <c r="AC29" s="76"/>
      <c r="AD29" s="148" t="str">
        <f ca="1">IFERROR(VALUE(IF(VLOOKUP($A29,数出表_Excel!$A$6:$T$150,COLUMN()/2+1,FALSE)=0,"",VLOOKUP($A29,数出表_Excel!$A$6:$T$150,COLUMN()/2+1,FALSE))),"")</f>
        <v/>
      </c>
      <c r="AE29" s="76"/>
      <c r="AF29" s="148" t="str">
        <f ca="1">IFERROR(VALUE(IF(VLOOKUP($A29,数出表_Excel!$A$6:$T$150,COLUMN()/2+1,FALSE)=0,"",VLOOKUP($A29,数出表_Excel!$A$6:$T$150,COLUMN()/2+1,FALSE))),"")</f>
        <v/>
      </c>
      <c r="AG29" s="76"/>
      <c r="AH29" s="148" t="str">
        <f ca="1">IFERROR(VALUE(IF(VLOOKUP($A29,数出表_Excel!$A$6:$T$150,COLUMN()/2+1,FALSE)=0,"",VLOOKUP($A29,数出表_Excel!$A$6:$T$150,COLUMN()/2+1,FALSE))),"")</f>
        <v/>
      </c>
      <c r="AI29" s="76"/>
      <c r="AJ29" s="148" t="str">
        <f ca="1">IFERROR(VALUE(IF(VLOOKUP($A29,数出表_Excel!$A$6:$T$150,COLUMN()/2+1,FALSE)=0,"",VLOOKUP($A29,数出表_Excel!$A$6:$T$150,COLUMN()/2+1,FALSE))),"")</f>
        <v/>
      </c>
      <c r="AK29" s="76"/>
      <c r="AL29" s="63" t="e">
        <f ca="1">IF(A29&lt;&gt;"",
IF(VLOOKUP($A29,数出表_Excel!$A$6:$T$150,COLUMN()/2+1,FALSE)=0,"",VLOOKUP($A29,数出表_Excel!$A$6:$T$150,COLUMN()/2+1,FALSE)),"")</f>
        <v>#N/A</v>
      </c>
      <c r="AM29" s="91" t="e">
        <f ca="1">数出表_Excel!V29</f>
        <v>#N/A</v>
      </c>
      <c r="AN29" s="92" t="e">
        <f ca="1">数出表_Excel!W29</f>
        <v>#N/A</v>
      </c>
    </row>
    <row r="30" spans="1:40" ht="16.2" customHeight="1">
      <c r="A30" s="81" t="e">
        <f t="array" aca="1" ref="A30" ca="1">IF(OR(COUNTIF(A28,"*10002*"),COUNTIF(A28,"")),"",INDEX(貼り付け用!$A1:$A200,MATCH(A28,貼り付け用!$A1:$A200,0)+2,0))</f>
        <v>#N/A</v>
      </c>
      <c r="B30" s="182" t="str">
        <f ca="1">IFERROR(VALUE(IF(VLOOKUP($A30,数出表_Excel!$A$6:$T$150,COLUMN()/2+1,FALSE)=0,"",VLOOKUP($A30,数出表_Excel!$A$6:$T$150,COLUMN()/2+1,FALSE))),"")</f>
        <v/>
      </c>
      <c r="C30" s="75"/>
      <c r="D30" s="182" t="str">
        <f ca="1">IFERROR(VALUE(IF(VLOOKUP($A30,数出表_Excel!$A$6:$T$150,COLUMN()/2+1,FALSE)=0,"",VLOOKUP($A30,数出表_Excel!$A$6:$T$150,COLUMN()/2+1,FALSE))),"")</f>
        <v/>
      </c>
      <c r="E30" s="75"/>
      <c r="F30" s="182" t="str">
        <f ca="1">IFERROR(VALUE(IF(VLOOKUP($A30,数出表_Excel!$A$6:$T$150,COLUMN()/2+1,FALSE)=0,"",VLOOKUP($A30,数出表_Excel!$A$6:$T$150,COLUMN()/2+1,FALSE))),"")</f>
        <v/>
      </c>
      <c r="G30" s="75"/>
      <c r="H30" s="182" t="str">
        <f ca="1">IFERROR(VALUE(IF(VLOOKUP($A30,数出表_Excel!$A$6:$T$150,COLUMN()/2+1,FALSE)=0,"",VLOOKUP($A30,数出表_Excel!$A$6:$T$150,COLUMN()/2+1,FALSE))),"")</f>
        <v/>
      </c>
      <c r="I30" s="75"/>
      <c r="J30" s="182" t="str">
        <f ca="1">IFERROR(VALUE(IF(VLOOKUP($A30,数出表_Excel!$A$6:$T$150,COLUMN()/2+1,FALSE)=0,"",VLOOKUP($A30,数出表_Excel!$A$6:$T$150,COLUMN()/2+1,FALSE))),"")</f>
        <v/>
      </c>
      <c r="K30" s="75"/>
      <c r="L30" s="182" t="str">
        <f ca="1">IFERROR(VALUE(IF(VLOOKUP($A30,数出表_Excel!$A$6:$T$150,COLUMN()/2+1,FALSE)=0,"",VLOOKUP($A30,数出表_Excel!$A$6:$T$150,COLUMN()/2+1,FALSE))),"")</f>
        <v/>
      </c>
      <c r="M30" s="75"/>
      <c r="N30" s="182" t="str">
        <f ca="1">IFERROR(VALUE(IF(VLOOKUP($A30,数出表_Excel!$A$6:$T$150,COLUMN()/2+1,FALSE)=0,"",VLOOKUP($A30,数出表_Excel!$A$6:$T$150,COLUMN()/2+1,FALSE))),"")</f>
        <v/>
      </c>
      <c r="O30" s="75"/>
      <c r="P30" s="182" t="str">
        <f ca="1">IFERROR(VALUE(IF(VLOOKUP($A30,数出表_Excel!$A$6:$T$150,COLUMN()/2+1,FALSE)=0,"",VLOOKUP($A30,数出表_Excel!$A$6:$T$150,COLUMN()/2+1,FALSE))),"")</f>
        <v/>
      </c>
      <c r="Q30" s="75"/>
      <c r="R30" s="182" t="str">
        <f ca="1">IFERROR(VALUE(IF(VLOOKUP($A30,数出表_Excel!$A$6:$T$150,COLUMN()/2+1,FALSE)=0,"",VLOOKUP($A30,数出表_Excel!$A$6:$T$150,COLUMN()/2+1,FALSE))),"")</f>
        <v/>
      </c>
      <c r="S30" s="75"/>
      <c r="T30" s="182" t="str">
        <f ca="1">IFERROR(VALUE(IF(VLOOKUP($A30,数出表_Excel!$A$6:$T$150,COLUMN()/2+1,FALSE)=0,"",VLOOKUP($A30,数出表_Excel!$A$6:$T$150,COLUMN()/2+1,FALSE))),"")</f>
        <v/>
      </c>
      <c r="U30" s="75"/>
      <c r="V30" s="182" t="str">
        <f ca="1">IFERROR(VALUE(IF(VLOOKUP($A30,数出表_Excel!$A$6:$T$150,COLUMN()/2+1,FALSE)=0,"",VLOOKUP($A30,数出表_Excel!$A$6:$T$150,COLUMN()/2+1,FALSE))),"")</f>
        <v/>
      </c>
      <c r="W30" s="75"/>
      <c r="X30" s="182" t="str">
        <f ca="1">IFERROR(VALUE(IF(VLOOKUP($A30,数出表_Excel!$A$6:$T$150,COLUMN()/2+1,FALSE)=0,"",VLOOKUP($A30,数出表_Excel!$A$6:$T$150,COLUMN()/2+1,FALSE))),"")</f>
        <v/>
      </c>
      <c r="Y30" s="75"/>
      <c r="Z30" s="182" t="str">
        <f ca="1">IFERROR(VALUE(IF(VLOOKUP($A30,数出表_Excel!$A$6:$T$150,COLUMN()/2+1,FALSE)=0,"",VLOOKUP($A30,数出表_Excel!$A$6:$T$150,COLUMN()/2+1,FALSE))),"")</f>
        <v/>
      </c>
      <c r="AA30" s="75"/>
      <c r="AB30" s="182" t="str">
        <f ca="1">IFERROR(VALUE(IF(VLOOKUP($A30,数出表_Excel!$A$6:$T$150,COLUMN()/2+1,FALSE)=0,"",VLOOKUP($A30,数出表_Excel!$A$6:$T$150,COLUMN()/2+1,FALSE))),"")</f>
        <v/>
      </c>
      <c r="AC30" s="75"/>
      <c r="AD30" s="182" t="str">
        <f ca="1">IFERROR(VALUE(IF(VLOOKUP($A30,数出表_Excel!$A$6:$T$150,COLUMN()/2+1,FALSE)=0,"",VLOOKUP($A30,数出表_Excel!$A$6:$T$150,COLUMN()/2+1,FALSE))),"")</f>
        <v/>
      </c>
      <c r="AE30" s="75"/>
      <c r="AF30" s="182" t="str">
        <f ca="1">IFERROR(VALUE(IF(VLOOKUP($A30,数出表_Excel!$A$6:$T$150,COLUMN()/2+1,FALSE)=0,"",VLOOKUP($A30,数出表_Excel!$A$6:$T$150,COLUMN()/2+1,FALSE))),"")</f>
        <v/>
      </c>
      <c r="AG30" s="75"/>
      <c r="AH30" s="182" t="str">
        <f ca="1">IFERROR(VALUE(IF(VLOOKUP($A30,数出表_Excel!$A$6:$T$150,COLUMN()/2+1,FALSE)=0,"",VLOOKUP($A30,数出表_Excel!$A$6:$T$150,COLUMN()/2+1,FALSE))),"")</f>
        <v/>
      </c>
      <c r="AI30" s="75"/>
      <c r="AJ30" s="182" t="str">
        <f ca="1">IFERROR(VALUE(IF(VLOOKUP($A30,数出表_Excel!$A$6:$T$150,COLUMN()/2+1,FALSE)=0,"",VLOOKUP($A30,数出表_Excel!$A$6:$T$150,COLUMN()/2+1,FALSE))),"")</f>
        <v/>
      </c>
      <c r="AK30" s="75"/>
      <c r="AL30" s="61" t="e">
        <f ca="1">IF(A30&lt;&gt;"",
IF(VLOOKUP($A30,数出表_Excel!$A$6:$T$150,COLUMN()/2+1,FALSE)=0,"",VLOOKUP($A30,数出表_Excel!$A$6:$T$150,COLUMN()/2+1,FALSE)),"")</f>
        <v>#N/A</v>
      </c>
      <c r="AM30" s="89" t="e">
        <f ca="1">数出表_Excel!V30</f>
        <v>#N/A</v>
      </c>
      <c r="AN30" s="90" t="e">
        <f ca="1">数出表_Excel!W30</f>
        <v>#N/A</v>
      </c>
    </row>
    <row r="31" spans="1:40" ht="16.2" customHeight="1">
      <c r="A31" s="82" t="e">
        <f t="array" aca="1" ref="A31" ca="1">IF(OR(COUNTIF(A29,"*1000*"),COUNTIF(A29,"")),"",INDEX(貼り付け用!$A1:$A200,MATCH(A29,貼り付け用!$A1:$A200,0)+2,0))</f>
        <v>#N/A</v>
      </c>
      <c r="B31" s="148" t="str">
        <f ca="1">IFERROR(VALUE(IF(VLOOKUP($A31,数出表_Excel!$A$6:$T$150,COLUMN()/2+1,FALSE)=0,"",VLOOKUP($A31,数出表_Excel!$A$6:$T$150,COLUMN()/2+1,FALSE))),"")</f>
        <v/>
      </c>
      <c r="C31" s="76"/>
      <c r="D31" s="148" t="str">
        <f ca="1">IFERROR(VALUE(IF(VLOOKUP($A31,数出表_Excel!$A$6:$T$150,COLUMN()/2+1,FALSE)=0,"",VLOOKUP($A31,数出表_Excel!$A$6:$T$150,COLUMN()/2+1,FALSE))),"")</f>
        <v/>
      </c>
      <c r="E31" s="76"/>
      <c r="F31" s="148" t="str">
        <f ca="1">IFERROR(VALUE(IF(VLOOKUP($A31,数出表_Excel!$A$6:$T$150,COLUMN()/2+1,FALSE)=0,"",VLOOKUP($A31,数出表_Excel!$A$6:$T$150,COLUMN()/2+1,FALSE))),"")</f>
        <v/>
      </c>
      <c r="G31" s="76"/>
      <c r="H31" s="148" t="str">
        <f ca="1">IFERROR(VALUE(IF(VLOOKUP($A31,数出表_Excel!$A$6:$T$150,COLUMN()/2+1,FALSE)=0,"",VLOOKUP($A31,数出表_Excel!$A$6:$T$150,COLUMN()/2+1,FALSE))),"")</f>
        <v/>
      </c>
      <c r="I31" s="76"/>
      <c r="J31" s="148" t="str">
        <f ca="1">IFERROR(VALUE(IF(VLOOKUP($A31,数出表_Excel!$A$6:$T$150,COLUMN()/2+1,FALSE)=0,"",VLOOKUP($A31,数出表_Excel!$A$6:$T$150,COLUMN()/2+1,FALSE))),"")</f>
        <v/>
      </c>
      <c r="K31" s="76"/>
      <c r="L31" s="148" t="str">
        <f ca="1">IFERROR(VALUE(IF(VLOOKUP($A31,数出表_Excel!$A$6:$T$150,COLUMN()/2+1,FALSE)=0,"",VLOOKUP($A31,数出表_Excel!$A$6:$T$150,COLUMN()/2+1,FALSE))),"")</f>
        <v/>
      </c>
      <c r="M31" s="76"/>
      <c r="N31" s="148" t="str">
        <f ca="1">IFERROR(VALUE(IF(VLOOKUP($A31,数出表_Excel!$A$6:$T$150,COLUMN()/2+1,FALSE)=0,"",VLOOKUP($A31,数出表_Excel!$A$6:$T$150,COLUMN()/2+1,FALSE))),"")</f>
        <v/>
      </c>
      <c r="O31" s="76"/>
      <c r="P31" s="148" t="str">
        <f ca="1">IFERROR(VALUE(IF(VLOOKUP($A31,数出表_Excel!$A$6:$T$150,COLUMN()/2+1,FALSE)=0,"",VLOOKUP($A31,数出表_Excel!$A$6:$T$150,COLUMN()/2+1,FALSE))),"")</f>
        <v/>
      </c>
      <c r="Q31" s="76"/>
      <c r="R31" s="148" t="str">
        <f ca="1">IFERROR(VALUE(IF(VLOOKUP($A31,数出表_Excel!$A$6:$T$150,COLUMN()/2+1,FALSE)=0,"",VLOOKUP($A31,数出表_Excel!$A$6:$T$150,COLUMN()/2+1,FALSE))),"")</f>
        <v/>
      </c>
      <c r="S31" s="76"/>
      <c r="T31" s="148" t="str">
        <f ca="1">IFERROR(VALUE(IF(VLOOKUP($A31,数出表_Excel!$A$6:$T$150,COLUMN()/2+1,FALSE)=0,"",VLOOKUP($A31,数出表_Excel!$A$6:$T$150,COLUMN()/2+1,FALSE))),"")</f>
        <v/>
      </c>
      <c r="U31" s="76"/>
      <c r="V31" s="148" t="str">
        <f ca="1">IFERROR(VALUE(IF(VLOOKUP($A31,数出表_Excel!$A$6:$T$150,COLUMN()/2+1,FALSE)=0,"",VLOOKUP($A31,数出表_Excel!$A$6:$T$150,COLUMN()/2+1,FALSE))),"")</f>
        <v/>
      </c>
      <c r="W31" s="76"/>
      <c r="X31" s="148" t="str">
        <f ca="1">IFERROR(VALUE(IF(VLOOKUP($A31,数出表_Excel!$A$6:$T$150,COLUMN()/2+1,FALSE)=0,"",VLOOKUP($A31,数出表_Excel!$A$6:$T$150,COLUMN()/2+1,FALSE))),"")</f>
        <v/>
      </c>
      <c r="Y31" s="76"/>
      <c r="Z31" s="148" t="str">
        <f ca="1">IFERROR(VALUE(IF(VLOOKUP($A31,数出表_Excel!$A$6:$T$150,COLUMN()/2+1,FALSE)=0,"",VLOOKUP($A31,数出表_Excel!$A$6:$T$150,COLUMN()/2+1,FALSE))),"")</f>
        <v/>
      </c>
      <c r="AA31" s="76"/>
      <c r="AB31" s="148" t="str">
        <f ca="1">IFERROR(VALUE(IF(VLOOKUP($A31,数出表_Excel!$A$6:$T$150,COLUMN()/2+1,FALSE)=0,"",VLOOKUP($A31,数出表_Excel!$A$6:$T$150,COLUMN()/2+1,FALSE))),"")</f>
        <v/>
      </c>
      <c r="AC31" s="76"/>
      <c r="AD31" s="148" t="str">
        <f ca="1">IFERROR(VALUE(IF(VLOOKUP($A31,数出表_Excel!$A$6:$T$150,COLUMN()/2+1,FALSE)=0,"",VLOOKUP($A31,数出表_Excel!$A$6:$T$150,COLUMN()/2+1,FALSE))),"")</f>
        <v/>
      </c>
      <c r="AE31" s="76"/>
      <c r="AF31" s="148" t="str">
        <f ca="1">IFERROR(VALUE(IF(VLOOKUP($A31,数出表_Excel!$A$6:$T$150,COLUMN()/2+1,FALSE)=0,"",VLOOKUP($A31,数出表_Excel!$A$6:$T$150,COLUMN()/2+1,FALSE))),"")</f>
        <v/>
      </c>
      <c r="AG31" s="76"/>
      <c r="AH31" s="148" t="str">
        <f ca="1">IFERROR(VALUE(IF(VLOOKUP($A31,数出表_Excel!$A$6:$T$150,COLUMN()/2+1,FALSE)=0,"",VLOOKUP($A31,数出表_Excel!$A$6:$T$150,COLUMN()/2+1,FALSE))),"")</f>
        <v/>
      </c>
      <c r="AI31" s="76"/>
      <c r="AJ31" s="148" t="str">
        <f ca="1">IFERROR(VALUE(IF(VLOOKUP($A31,数出表_Excel!$A$6:$T$150,COLUMN()/2+1,FALSE)=0,"",VLOOKUP($A31,数出表_Excel!$A$6:$T$150,COLUMN()/2+1,FALSE))),"")</f>
        <v/>
      </c>
      <c r="AK31" s="76"/>
      <c r="AL31" s="63" t="e">
        <f ca="1">IF(A31&lt;&gt;"",
IF(VLOOKUP($A31,数出表_Excel!$A$6:$T$150,COLUMN()/2+1,FALSE)=0,"",VLOOKUP($A31,数出表_Excel!$A$6:$T$150,COLUMN()/2+1,FALSE)),"")</f>
        <v>#N/A</v>
      </c>
      <c r="AM31" s="91" t="e">
        <f ca="1">数出表_Excel!V31</f>
        <v>#N/A</v>
      </c>
      <c r="AN31" s="92" t="e">
        <f ca="1">数出表_Excel!W31</f>
        <v>#N/A</v>
      </c>
    </row>
    <row r="32" spans="1:40" ht="16.2" customHeight="1">
      <c r="A32" s="81" t="e">
        <f t="array" aca="1" ref="A32" ca="1">IF(OR(COUNTIF(A30,"*10002*"),COUNTIF(A30,"")),"",INDEX(貼り付け用!$A1:$A200,MATCH(A30,貼り付け用!$A1:$A200,0)+2,0))</f>
        <v>#N/A</v>
      </c>
      <c r="B32" s="182" t="str">
        <f ca="1">IFERROR(VALUE(IF(VLOOKUP($A32,数出表_Excel!$A$6:$T$150,COLUMN()/2+1,FALSE)=0,"",VLOOKUP($A32,数出表_Excel!$A$6:$T$150,COLUMN()/2+1,FALSE))),"")</f>
        <v/>
      </c>
      <c r="C32" s="75"/>
      <c r="D32" s="182" t="str">
        <f ca="1">IFERROR(VALUE(IF(VLOOKUP($A32,数出表_Excel!$A$6:$T$150,COLUMN()/2+1,FALSE)=0,"",VLOOKUP($A32,数出表_Excel!$A$6:$T$150,COLUMN()/2+1,FALSE))),"")</f>
        <v/>
      </c>
      <c r="E32" s="75"/>
      <c r="F32" s="182" t="str">
        <f ca="1">IFERROR(VALUE(IF(VLOOKUP($A32,数出表_Excel!$A$6:$T$150,COLUMN()/2+1,FALSE)=0,"",VLOOKUP($A32,数出表_Excel!$A$6:$T$150,COLUMN()/2+1,FALSE))),"")</f>
        <v/>
      </c>
      <c r="G32" s="75"/>
      <c r="H32" s="182" t="str">
        <f ca="1">IFERROR(VALUE(IF(VLOOKUP($A32,数出表_Excel!$A$6:$T$150,COLUMN()/2+1,FALSE)=0,"",VLOOKUP($A32,数出表_Excel!$A$6:$T$150,COLUMN()/2+1,FALSE))),"")</f>
        <v/>
      </c>
      <c r="I32" s="75"/>
      <c r="J32" s="182" t="str">
        <f ca="1">IFERROR(VALUE(IF(VLOOKUP($A32,数出表_Excel!$A$6:$T$150,COLUMN()/2+1,FALSE)=0,"",VLOOKUP($A32,数出表_Excel!$A$6:$T$150,COLUMN()/2+1,FALSE))),"")</f>
        <v/>
      </c>
      <c r="K32" s="75"/>
      <c r="L32" s="182" t="str">
        <f ca="1">IFERROR(VALUE(IF(VLOOKUP($A32,数出表_Excel!$A$6:$T$150,COLUMN()/2+1,FALSE)=0,"",VLOOKUP($A32,数出表_Excel!$A$6:$T$150,COLUMN()/2+1,FALSE))),"")</f>
        <v/>
      </c>
      <c r="M32" s="75"/>
      <c r="N32" s="182" t="str">
        <f ca="1">IFERROR(VALUE(IF(VLOOKUP($A32,数出表_Excel!$A$6:$T$150,COLUMN()/2+1,FALSE)=0,"",VLOOKUP($A32,数出表_Excel!$A$6:$T$150,COLUMN()/2+1,FALSE))),"")</f>
        <v/>
      </c>
      <c r="O32" s="75"/>
      <c r="P32" s="182" t="str">
        <f ca="1">IFERROR(VALUE(IF(VLOOKUP($A32,数出表_Excel!$A$6:$T$150,COLUMN()/2+1,FALSE)=0,"",VLOOKUP($A32,数出表_Excel!$A$6:$T$150,COLUMN()/2+1,FALSE))),"")</f>
        <v/>
      </c>
      <c r="Q32" s="75"/>
      <c r="R32" s="182" t="str">
        <f ca="1">IFERROR(VALUE(IF(VLOOKUP($A32,数出表_Excel!$A$6:$T$150,COLUMN()/2+1,FALSE)=0,"",VLOOKUP($A32,数出表_Excel!$A$6:$T$150,COLUMN()/2+1,FALSE))),"")</f>
        <v/>
      </c>
      <c r="S32" s="75"/>
      <c r="T32" s="182" t="str">
        <f ca="1">IFERROR(VALUE(IF(VLOOKUP($A32,数出表_Excel!$A$6:$T$150,COLUMN()/2+1,FALSE)=0,"",VLOOKUP($A32,数出表_Excel!$A$6:$T$150,COLUMN()/2+1,FALSE))),"")</f>
        <v/>
      </c>
      <c r="U32" s="75"/>
      <c r="V32" s="182" t="str">
        <f ca="1">IFERROR(VALUE(IF(VLOOKUP($A32,数出表_Excel!$A$6:$T$150,COLUMN()/2+1,FALSE)=0,"",VLOOKUP($A32,数出表_Excel!$A$6:$T$150,COLUMN()/2+1,FALSE))),"")</f>
        <v/>
      </c>
      <c r="W32" s="75"/>
      <c r="X32" s="182" t="str">
        <f ca="1">IFERROR(VALUE(IF(VLOOKUP($A32,数出表_Excel!$A$6:$T$150,COLUMN()/2+1,FALSE)=0,"",VLOOKUP($A32,数出表_Excel!$A$6:$T$150,COLUMN()/2+1,FALSE))),"")</f>
        <v/>
      </c>
      <c r="Y32" s="75"/>
      <c r="Z32" s="182" t="str">
        <f ca="1">IFERROR(VALUE(IF(VLOOKUP($A32,数出表_Excel!$A$6:$T$150,COLUMN()/2+1,FALSE)=0,"",VLOOKUP($A32,数出表_Excel!$A$6:$T$150,COLUMN()/2+1,FALSE))),"")</f>
        <v/>
      </c>
      <c r="AA32" s="75"/>
      <c r="AB32" s="182" t="str">
        <f ca="1">IFERROR(VALUE(IF(VLOOKUP($A32,数出表_Excel!$A$6:$T$150,COLUMN()/2+1,FALSE)=0,"",VLOOKUP($A32,数出表_Excel!$A$6:$T$150,COLUMN()/2+1,FALSE))),"")</f>
        <v/>
      </c>
      <c r="AC32" s="75"/>
      <c r="AD32" s="182" t="str">
        <f ca="1">IFERROR(VALUE(IF(VLOOKUP($A32,数出表_Excel!$A$6:$T$150,COLUMN()/2+1,FALSE)=0,"",VLOOKUP($A32,数出表_Excel!$A$6:$T$150,COLUMN()/2+1,FALSE))),"")</f>
        <v/>
      </c>
      <c r="AE32" s="75"/>
      <c r="AF32" s="182" t="str">
        <f ca="1">IFERROR(VALUE(IF(VLOOKUP($A32,数出表_Excel!$A$6:$T$150,COLUMN()/2+1,FALSE)=0,"",VLOOKUP($A32,数出表_Excel!$A$6:$T$150,COLUMN()/2+1,FALSE))),"")</f>
        <v/>
      </c>
      <c r="AG32" s="75"/>
      <c r="AH32" s="182" t="str">
        <f ca="1">IFERROR(VALUE(IF(VLOOKUP($A32,数出表_Excel!$A$6:$T$150,COLUMN()/2+1,FALSE)=0,"",VLOOKUP($A32,数出表_Excel!$A$6:$T$150,COLUMN()/2+1,FALSE))),"")</f>
        <v/>
      </c>
      <c r="AI32" s="75"/>
      <c r="AJ32" s="182" t="str">
        <f ca="1">IFERROR(VALUE(IF(VLOOKUP($A32,数出表_Excel!$A$6:$T$150,COLUMN()/2+1,FALSE)=0,"",VLOOKUP($A32,数出表_Excel!$A$6:$T$150,COLUMN()/2+1,FALSE))),"")</f>
        <v/>
      </c>
      <c r="AK32" s="75"/>
      <c r="AL32" s="61" t="e">
        <f ca="1">IF(A32&lt;&gt;"",
IF(VLOOKUP($A32,数出表_Excel!$A$6:$T$150,COLUMN()/2+1,FALSE)=0,"",VLOOKUP($A32,数出表_Excel!$A$6:$T$150,COLUMN()/2+1,FALSE)),"")</f>
        <v>#N/A</v>
      </c>
      <c r="AM32" s="89" t="e">
        <f ca="1">数出表_Excel!V32</f>
        <v>#N/A</v>
      </c>
      <c r="AN32" s="90" t="e">
        <f ca="1">数出表_Excel!W32</f>
        <v>#N/A</v>
      </c>
    </row>
    <row r="33" spans="1:40" ht="16.2" customHeight="1">
      <c r="A33" s="82" t="e">
        <f t="array" aca="1" ref="A33" ca="1">IF(OR(COUNTIF(A31,"*1000*"),COUNTIF(A31,"")),"",INDEX(貼り付け用!$A1:$A200,MATCH(A31,貼り付け用!$A1:$A200,0)+2,0))</f>
        <v>#N/A</v>
      </c>
      <c r="B33" s="148" t="str">
        <f ca="1">IFERROR(VALUE(IF(VLOOKUP($A33,数出表_Excel!$A$6:$T$150,COLUMN()/2+1,FALSE)=0,"",VLOOKUP($A33,数出表_Excel!$A$6:$T$150,COLUMN()/2+1,FALSE))),"")</f>
        <v/>
      </c>
      <c r="C33" s="76"/>
      <c r="D33" s="148" t="str">
        <f ca="1">IFERROR(VALUE(IF(VLOOKUP($A33,数出表_Excel!$A$6:$T$150,COLUMN()/2+1,FALSE)=0,"",VLOOKUP($A33,数出表_Excel!$A$6:$T$150,COLUMN()/2+1,FALSE))),"")</f>
        <v/>
      </c>
      <c r="E33" s="76"/>
      <c r="F33" s="148" t="str">
        <f ca="1">IFERROR(VALUE(IF(VLOOKUP($A33,数出表_Excel!$A$6:$T$150,COLUMN()/2+1,FALSE)=0,"",VLOOKUP($A33,数出表_Excel!$A$6:$T$150,COLUMN()/2+1,FALSE))),"")</f>
        <v/>
      </c>
      <c r="G33" s="76"/>
      <c r="H33" s="148" t="str">
        <f ca="1">IFERROR(VALUE(IF(VLOOKUP($A33,数出表_Excel!$A$6:$T$150,COLUMN()/2+1,FALSE)=0,"",VLOOKUP($A33,数出表_Excel!$A$6:$T$150,COLUMN()/2+1,FALSE))),"")</f>
        <v/>
      </c>
      <c r="I33" s="76"/>
      <c r="J33" s="148" t="str">
        <f ca="1">IFERROR(VALUE(IF(VLOOKUP($A33,数出表_Excel!$A$6:$T$150,COLUMN()/2+1,FALSE)=0,"",VLOOKUP($A33,数出表_Excel!$A$6:$T$150,COLUMN()/2+1,FALSE))),"")</f>
        <v/>
      </c>
      <c r="K33" s="76"/>
      <c r="L33" s="148" t="str">
        <f ca="1">IFERROR(VALUE(IF(VLOOKUP($A33,数出表_Excel!$A$6:$T$150,COLUMN()/2+1,FALSE)=0,"",VLOOKUP($A33,数出表_Excel!$A$6:$T$150,COLUMN()/2+1,FALSE))),"")</f>
        <v/>
      </c>
      <c r="M33" s="76"/>
      <c r="N33" s="148" t="str">
        <f ca="1">IFERROR(VALUE(IF(VLOOKUP($A33,数出表_Excel!$A$6:$T$150,COLUMN()/2+1,FALSE)=0,"",VLOOKUP($A33,数出表_Excel!$A$6:$T$150,COLUMN()/2+1,FALSE))),"")</f>
        <v/>
      </c>
      <c r="O33" s="76"/>
      <c r="P33" s="148" t="str">
        <f ca="1">IFERROR(VALUE(IF(VLOOKUP($A33,数出表_Excel!$A$6:$T$150,COLUMN()/2+1,FALSE)=0,"",VLOOKUP($A33,数出表_Excel!$A$6:$T$150,COLUMN()/2+1,FALSE))),"")</f>
        <v/>
      </c>
      <c r="Q33" s="76"/>
      <c r="R33" s="148" t="str">
        <f ca="1">IFERROR(VALUE(IF(VLOOKUP($A33,数出表_Excel!$A$6:$T$150,COLUMN()/2+1,FALSE)=0,"",VLOOKUP($A33,数出表_Excel!$A$6:$T$150,COLUMN()/2+1,FALSE))),"")</f>
        <v/>
      </c>
      <c r="S33" s="76"/>
      <c r="T33" s="148" t="str">
        <f ca="1">IFERROR(VALUE(IF(VLOOKUP($A33,数出表_Excel!$A$6:$T$150,COLUMN()/2+1,FALSE)=0,"",VLOOKUP($A33,数出表_Excel!$A$6:$T$150,COLUMN()/2+1,FALSE))),"")</f>
        <v/>
      </c>
      <c r="U33" s="76"/>
      <c r="V33" s="148" t="str">
        <f ca="1">IFERROR(VALUE(IF(VLOOKUP($A33,数出表_Excel!$A$6:$T$150,COLUMN()/2+1,FALSE)=0,"",VLOOKUP($A33,数出表_Excel!$A$6:$T$150,COLUMN()/2+1,FALSE))),"")</f>
        <v/>
      </c>
      <c r="W33" s="76"/>
      <c r="X33" s="148" t="str">
        <f ca="1">IFERROR(VALUE(IF(VLOOKUP($A33,数出表_Excel!$A$6:$T$150,COLUMN()/2+1,FALSE)=0,"",VLOOKUP($A33,数出表_Excel!$A$6:$T$150,COLUMN()/2+1,FALSE))),"")</f>
        <v/>
      </c>
      <c r="Y33" s="76"/>
      <c r="Z33" s="148" t="str">
        <f ca="1">IFERROR(VALUE(IF(VLOOKUP($A33,数出表_Excel!$A$6:$T$150,COLUMN()/2+1,FALSE)=0,"",VLOOKUP($A33,数出表_Excel!$A$6:$T$150,COLUMN()/2+1,FALSE))),"")</f>
        <v/>
      </c>
      <c r="AA33" s="76"/>
      <c r="AB33" s="148" t="str">
        <f ca="1">IFERROR(VALUE(IF(VLOOKUP($A33,数出表_Excel!$A$6:$T$150,COLUMN()/2+1,FALSE)=0,"",VLOOKUP($A33,数出表_Excel!$A$6:$T$150,COLUMN()/2+1,FALSE))),"")</f>
        <v/>
      </c>
      <c r="AC33" s="76"/>
      <c r="AD33" s="148" t="str">
        <f ca="1">IFERROR(VALUE(IF(VLOOKUP($A33,数出表_Excel!$A$6:$T$150,COLUMN()/2+1,FALSE)=0,"",VLOOKUP($A33,数出表_Excel!$A$6:$T$150,COLUMN()/2+1,FALSE))),"")</f>
        <v/>
      </c>
      <c r="AE33" s="76"/>
      <c r="AF33" s="148" t="str">
        <f ca="1">IFERROR(VALUE(IF(VLOOKUP($A33,数出表_Excel!$A$6:$T$150,COLUMN()/2+1,FALSE)=0,"",VLOOKUP($A33,数出表_Excel!$A$6:$T$150,COLUMN()/2+1,FALSE))),"")</f>
        <v/>
      </c>
      <c r="AG33" s="76"/>
      <c r="AH33" s="148" t="str">
        <f ca="1">IFERROR(VALUE(IF(VLOOKUP($A33,数出表_Excel!$A$6:$T$150,COLUMN()/2+1,FALSE)=0,"",VLOOKUP($A33,数出表_Excel!$A$6:$T$150,COLUMN()/2+1,FALSE))),"")</f>
        <v/>
      </c>
      <c r="AI33" s="76"/>
      <c r="AJ33" s="148" t="str">
        <f ca="1">IFERROR(VALUE(IF(VLOOKUP($A33,数出表_Excel!$A$6:$T$150,COLUMN()/2+1,FALSE)=0,"",VLOOKUP($A33,数出表_Excel!$A$6:$T$150,COLUMN()/2+1,FALSE))),"")</f>
        <v/>
      </c>
      <c r="AK33" s="76"/>
      <c r="AL33" s="63" t="e">
        <f ca="1">IF(A33&lt;&gt;"",
IF(VLOOKUP($A33,数出表_Excel!$A$6:$T$150,COLUMN()/2+1,FALSE)=0,"",VLOOKUP($A33,数出表_Excel!$A$6:$T$150,COLUMN()/2+1,FALSE)),"")</f>
        <v>#N/A</v>
      </c>
      <c r="AM33" s="91" t="e">
        <f ca="1">数出表_Excel!V33</f>
        <v>#N/A</v>
      </c>
      <c r="AN33" s="92" t="e">
        <f ca="1">数出表_Excel!W33</f>
        <v>#N/A</v>
      </c>
    </row>
    <row r="34" spans="1:40" ht="16.2" customHeight="1">
      <c r="A34" s="81" t="e">
        <f t="array" aca="1" ref="A34" ca="1">IF(OR(COUNTIF(A32,"*10002*"),COUNTIF(A32,"")),"",INDEX(貼り付け用!$A1:$A200,MATCH(A32,貼り付け用!$A1:$A200,0)+2,0))</f>
        <v>#N/A</v>
      </c>
      <c r="B34" s="182" t="str">
        <f ca="1">IFERROR(VALUE(IF(VLOOKUP($A34,数出表_Excel!$A$6:$T$150,COLUMN()/2+1,FALSE)=0,"",VLOOKUP($A34,数出表_Excel!$A$6:$T$150,COLUMN()/2+1,FALSE))),"")</f>
        <v/>
      </c>
      <c r="C34" s="75"/>
      <c r="D34" s="182" t="str">
        <f ca="1">IFERROR(VALUE(IF(VLOOKUP($A34,数出表_Excel!$A$6:$T$150,COLUMN()/2+1,FALSE)=0,"",VLOOKUP($A34,数出表_Excel!$A$6:$T$150,COLUMN()/2+1,FALSE))),"")</f>
        <v/>
      </c>
      <c r="E34" s="75"/>
      <c r="F34" s="182" t="str">
        <f ca="1">IFERROR(VALUE(IF(VLOOKUP($A34,数出表_Excel!$A$6:$T$150,COLUMN()/2+1,FALSE)=0,"",VLOOKUP($A34,数出表_Excel!$A$6:$T$150,COLUMN()/2+1,FALSE))),"")</f>
        <v/>
      </c>
      <c r="G34" s="75"/>
      <c r="H34" s="182" t="str">
        <f ca="1">IFERROR(VALUE(IF(VLOOKUP($A34,数出表_Excel!$A$6:$T$150,COLUMN()/2+1,FALSE)=0,"",VLOOKUP($A34,数出表_Excel!$A$6:$T$150,COLUMN()/2+1,FALSE))),"")</f>
        <v/>
      </c>
      <c r="I34" s="75"/>
      <c r="J34" s="182" t="str">
        <f ca="1">IFERROR(VALUE(IF(VLOOKUP($A34,数出表_Excel!$A$6:$T$150,COLUMN()/2+1,FALSE)=0,"",VLOOKUP($A34,数出表_Excel!$A$6:$T$150,COLUMN()/2+1,FALSE))),"")</f>
        <v/>
      </c>
      <c r="K34" s="75"/>
      <c r="L34" s="182" t="str">
        <f ca="1">IFERROR(VALUE(IF(VLOOKUP($A34,数出表_Excel!$A$6:$T$150,COLUMN()/2+1,FALSE)=0,"",VLOOKUP($A34,数出表_Excel!$A$6:$T$150,COLUMN()/2+1,FALSE))),"")</f>
        <v/>
      </c>
      <c r="M34" s="75"/>
      <c r="N34" s="182" t="str">
        <f ca="1">IFERROR(VALUE(IF(VLOOKUP($A34,数出表_Excel!$A$6:$T$150,COLUMN()/2+1,FALSE)=0,"",VLOOKUP($A34,数出表_Excel!$A$6:$T$150,COLUMN()/2+1,FALSE))),"")</f>
        <v/>
      </c>
      <c r="O34" s="75"/>
      <c r="P34" s="182" t="str">
        <f ca="1">IFERROR(VALUE(IF(VLOOKUP($A34,数出表_Excel!$A$6:$T$150,COLUMN()/2+1,FALSE)=0,"",VLOOKUP($A34,数出表_Excel!$A$6:$T$150,COLUMN()/2+1,FALSE))),"")</f>
        <v/>
      </c>
      <c r="Q34" s="75"/>
      <c r="R34" s="182" t="str">
        <f ca="1">IFERROR(VALUE(IF(VLOOKUP($A34,数出表_Excel!$A$6:$T$150,COLUMN()/2+1,FALSE)=0,"",VLOOKUP($A34,数出表_Excel!$A$6:$T$150,COLUMN()/2+1,FALSE))),"")</f>
        <v/>
      </c>
      <c r="S34" s="75"/>
      <c r="T34" s="182" t="str">
        <f ca="1">IFERROR(VALUE(IF(VLOOKUP($A34,数出表_Excel!$A$6:$T$150,COLUMN()/2+1,FALSE)=0,"",VLOOKUP($A34,数出表_Excel!$A$6:$T$150,COLUMN()/2+1,FALSE))),"")</f>
        <v/>
      </c>
      <c r="U34" s="75"/>
      <c r="V34" s="182" t="str">
        <f ca="1">IFERROR(VALUE(IF(VLOOKUP($A34,数出表_Excel!$A$6:$T$150,COLUMN()/2+1,FALSE)=0,"",VLOOKUP($A34,数出表_Excel!$A$6:$T$150,COLUMN()/2+1,FALSE))),"")</f>
        <v/>
      </c>
      <c r="W34" s="75"/>
      <c r="X34" s="182" t="str">
        <f ca="1">IFERROR(VALUE(IF(VLOOKUP($A34,数出表_Excel!$A$6:$T$150,COLUMN()/2+1,FALSE)=0,"",VLOOKUP($A34,数出表_Excel!$A$6:$T$150,COLUMN()/2+1,FALSE))),"")</f>
        <v/>
      </c>
      <c r="Y34" s="75"/>
      <c r="Z34" s="182" t="str">
        <f ca="1">IFERROR(VALUE(IF(VLOOKUP($A34,数出表_Excel!$A$6:$T$150,COLUMN()/2+1,FALSE)=0,"",VLOOKUP($A34,数出表_Excel!$A$6:$T$150,COLUMN()/2+1,FALSE))),"")</f>
        <v/>
      </c>
      <c r="AA34" s="75"/>
      <c r="AB34" s="182" t="str">
        <f ca="1">IFERROR(VALUE(IF(VLOOKUP($A34,数出表_Excel!$A$6:$T$150,COLUMN()/2+1,FALSE)=0,"",VLOOKUP($A34,数出表_Excel!$A$6:$T$150,COLUMN()/2+1,FALSE))),"")</f>
        <v/>
      </c>
      <c r="AC34" s="75"/>
      <c r="AD34" s="182" t="str">
        <f ca="1">IFERROR(VALUE(IF(VLOOKUP($A34,数出表_Excel!$A$6:$T$150,COLUMN()/2+1,FALSE)=0,"",VLOOKUP($A34,数出表_Excel!$A$6:$T$150,COLUMN()/2+1,FALSE))),"")</f>
        <v/>
      </c>
      <c r="AE34" s="75"/>
      <c r="AF34" s="182" t="str">
        <f ca="1">IFERROR(VALUE(IF(VLOOKUP($A34,数出表_Excel!$A$6:$T$150,COLUMN()/2+1,FALSE)=0,"",VLOOKUP($A34,数出表_Excel!$A$6:$T$150,COLUMN()/2+1,FALSE))),"")</f>
        <v/>
      </c>
      <c r="AG34" s="75"/>
      <c r="AH34" s="182" t="str">
        <f ca="1">IFERROR(VALUE(IF(VLOOKUP($A34,数出表_Excel!$A$6:$T$150,COLUMN()/2+1,FALSE)=0,"",VLOOKUP($A34,数出表_Excel!$A$6:$T$150,COLUMN()/2+1,FALSE))),"")</f>
        <v/>
      </c>
      <c r="AI34" s="75"/>
      <c r="AJ34" s="182" t="str">
        <f ca="1">IFERROR(VALUE(IF(VLOOKUP($A34,数出表_Excel!$A$6:$T$150,COLUMN()/2+1,FALSE)=0,"",VLOOKUP($A34,数出表_Excel!$A$6:$T$150,COLUMN()/2+1,FALSE))),"")</f>
        <v/>
      </c>
      <c r="AK34" s="75"/>
      <c r="AL34" s="61" t="e">
        <f ca="1">IF(A34&lt;&gt;"",
IF(VLOOKUP($A34,数出表_Excel!$A$6:$T$150,COLUMN()/2+1,FALSE)=0,"",VLOOKUP($A34,数出表_Excel!$A$6:$T$150,COLUMN()/2+1,FALSE)),"")</f>
        <v>#N/A</v>
      </c>
      <c r="AM34" s="89" t="e">
        <f ca="1">数出表_Excel!V34</f>
        <v>#N/A</v>
      </c>
      <c r="AN34" s="90" t="e">
        <f ca="1">数出表_Excel!W34</f>
        <v>#N/A</v>
      </c>
    </row>
    <row r="35" spans="1:40" ht="16.2" customHeight="1">
      <c r="A35" s="82" t="e">
        <f t="array" aca="1" ref="A35" ca="1">IF(OR(COUNTIF(A33,"*1000*"),COUNTIF(A33,"")),"",INDEX(貼り付け用!$A1:$A200,MATCH(A33,貼り付け用!$A1:$A200,0)+2,0))</f>
        <v>#N/A</v>
      </c>
      <c r="B35" s="148" t="str">
        <f ca="1">IFERROR(VALUE(IF(VLOOKUP($A35,数出表_Excel!$A$6:$T$150,COLUMN()/2+1,FALSE)=0,"",VLOOKUP($A35,数出表_Excel!$A$6:$T$150,COLUMN()/2+1,FALSE))),"")</f>
        <v/>
      </c>
      <c r="C35" s="76"/>
      <c r="D35" s="148" t="str">
        <f ca="1">IFERROR(VALUE(IF(VLOOKUP($A35,数出表_Excel!$A$6:$T$150,COLUMN()/2+1,FALSE)=0,"",VLOOKUP($A35,数出表_Excel!$A$6:$T$150,COLUMN()/2+1,FALSE))),"")</f>
        <v/>
      </c>
      <c r="E35" s="76"/>
      <c r="F35" s="148" t="str">
        <f ca="1">IFERROR(VALUE(IF(VLOOKUP($A35,数出表_Excel!$A$6:$T$150,COLUMN()/2+1,FALSE)=0,"",VLOOKUP($A35,数出表_Excel!$A$6:$T$150,COLUMN()/2+1,FALSE))),"")</f>
        <v/>
      </c>
      <c r="G35" s="76"/>
      <c r="H35" s="148" t="str">
        <f ca="1">IFERROR(VALUE(IF(VLOOKUP($A35,数出表_Excel!$A$6:$T$150,COLUMN()/2+1,FALSE)=0,"",VLOOKUP($A35,数出表_Excel!$A$6:$T$150,COLUMN()/2+1,FALSE))),"")</f>
        <v/>
      </c>
      <c r="I35" s="76"/>
      <c r="J35" s="148" t="str">
        <f ca="1">IFERROR(VALUE(IF(VLOOKUP($A35,数出表_Excel!$A$6:$T$150,COLUMN()/2+1,FALSE)=0,"",VLOOKUP($A35,数出表_Excel!$A$6:$T$150,COLUMN()/2+1,FALSE))),"")</f>
        <v/>
      </c>
      <c r="K35" s="76"/>
      <c r="L35" s="148" t="str">
        <f ca="1">IFERROR(VALUE(IF(VLOOKUP($A35,数出表_Excel!$A$6:$T$150,COLUMN()/2+1,FALSE)=0,"",VLOOKUP($A35,数出表_Excel!$A$6:$T$150,COLUMN()/2+1,FALSE))),"")</f>
        <v/>
      </c>
      <c r="M35" s="76"/>
      <c r="N35" s="148" t="str">
        <f ca="1">IFERROR(VALUE(IF(VLOOKUP($A35,数出表_Excel!$A$6:$T$150,COLUMN()/2+1,FALSE)=0,"",VLOOKUP($A35,数出表_Excel!$A$6:$T$150,COLUMN()/2+1,FALSE))),"")</f>
        <v/>
      </c>
      <c r="O35" s="76"/>
      <c r="P35" s="148" t="str">
        <f ca="1">IFERROR(VALUE(IF(VLOOKUP($A35,数出表_Excel!$A$6:$T$150,COLUMN()/2+1,FALSE)=0,"",VLOOKUP($A35,数出表_Excel!$A$6:$T$150,COLUMN()/2+1,FALSE))),"")</f>
        <v/>
      </c>
      <c r="Q35" s="76"/>
      <c r="R35" s="148" t="str">
        <f ca="1">IFERROR(VALUE(IF(VLOOKUP($A35,数出表_Excel!$A$6:$T$150,COLUMN()/2+1,FALSE)=0,"",VLOOKUP($A35,数出表_Excel!$A$6:$T$150,COLUMN()/2+1,FALSE))),"")</f>
        <v/>
      </c>
      <c r="S35" s="76"/>
      <c r="T35" s="148" t="str">
        <f ca="1">IFERROR(VALUE(IF(VLOOKUP($A35,数出表_Excel!$A$6:$T$150,COLUMN()/2+1,FALSE)=0,"",VLOOKUP($A35,数出表_Excel!$A$6:$T$150,COLUMN()/2+1,FALSE))),"")</f>
        <v/>
      </c>
      <c r="U35" s="76"/>
      <c r="V35" s="148" t="str">
        <f ca="1">IFERROR(VALUE(IF(VLOOKUP($A35,数出表_Excel!$A$6:$T$150,COLUMN()/2+1,FALSE)=0,"",VLOOKUP($A35,数出表_Excel!$A$6:$T$150,COLUMN()/2+1,FALSE))),"")</f>
        <v/>
      </c>
      <c r="W35" s="76"/>
      <c r="X35" s="148" t="str">
        <f ca="1">IFERROR(VALUE(IF(VLOOKUP($A35,数出表_Excel!$A$6:$T$150,COLUMN()/2+1,FALSE)=0,"",VLOOKUP($A35,数出表_Excel!$A$6:$T$150,COLUMN()/2+1,FALSE))),"")</f>
        <v/>
      </c>
      <c r="Y35" s="76"/>
      <c r="Z35" s="148" t="str">
        <f ca="1">IFERROR(VALUE(IF(VLOOKUP($A35,数出表_Excel!$A$6:$T$150,COLUMN()/2+1,FALSE)=0,"",VLOOKUP($A35,数出表_Excel!$A$6:$T$150,COLUMN()/2+1,FALSE))),"")</f>
        <v/>
      </c>
      <c r="AA35" s="76"/>
      <c r="AB35" s="148" t="str">
        <f ca="1">IFERROR(VALUE(IF(VLOOKUP($A35,数出表_Excel!$A$6:$T$150,COLUMN()/2+1,FALSE)=0,"",VLOOKUP($A35,数出表_Excel!$A$6:$T$150,COLUMN()/2+1,FALSE))),"")</f>
        <v/>
      </c>
      <c r="AC35" s="76"/>
      <c r="AD35" s="148" t="str">
        <f ca="1">IFERROR(VALUE(IF(VLOOKUP($A35,数出表_Excel!$A$6:$T$150,COLUMN()/2+1,FALSE)=0,"",VLOOKUP($A35,数出表_Excel!$A$6:$T$150,COLUMN()/2+1,FALSE))),"")</f>
        <v/>
      </c>
      <c r="AE35" s="76"/>
      <c r="AF35" s="148" t="str">
        <f ca="1">IFERROR(VALUE(IF(VLOOKUP($A35,数出表_Excel!$A$6:$T$150,COLUMN()/2+1,FALSE)=0,"",VLOOKUP($A35,数出表_Excel!$A$6:$T$150,COLUMN()/2+1,FALSE))),"")</f>
        <v/>
      </c>
      <c r="AG35" s="76"/>
      <c r="AH35" s="148" t="str">
        <f ca="1">IFERROR(VALUE(IF(VLOOKUP($A35,数出表_Excel!$A$6:$T$150,COLUMN()/2+1,FALSE)=0,"",VLOOKUP($A35,数出表_Excel!$A$6:$T$150,COLUMN()/2+1,FALSE))),"")</f>
        <v/>
      </c>
      <c r="AI35" s="76"/>
      <c r="AJ35" s="148" t="str">
        <f ca="1">IFERROR(VALUE(IF(VLOOKUP($A35,数出表_Excel!$A$6:$T$150,COLUMN()/2+1,FALSE)=0,"",VLOOKUP($A35,数出表_Excel!$A$6:$T$150,COLUMN()/2+1,FALSE))),"")</f>
        <v/>
      </c>
      <c r="AK35" s="76"/>
      <c r="AL35" s="63" t="e">
        <f ca="1">IF(A35&lt;&gt;"",
IF(VLOOKUP($A35,数出表_Excel!$A$6:$T$150,COLUMN()/2+1,FALSE)=0,"",VLOOKUP($A35,数出表_Excel!$A$6:$T$150,COLUMN()/2+1,FALSE)),"")</f>
        <v>#N/A</v>
      </c>
      <c r="AM35" s="91" t="e">
        <f ca="1">数出表_Excel!V35</f>
        <v>#N/A</v>
      </c>
      <c r="AN35" s="92" t="e">
        <f ca="1">数出表_Excel!W35</f>
        <v>#N/A</v>
      </c>
    </row>
    <row r="36" spans="1:40" ht="16.2" customHeight="1">
      <c r="A36" s="81" t="e">
        <f t="array" aca="1" ref="A36" ca="1">IF(OR(COUNTIF(A34,"*10002*"),COUNTIF(A34,"")),"",INDEX(貼り付け用!$A1:$A200,MATCH(A34,貼り付け用!$A1:$A200,0)+2,0))</f>
        <v>#N/A</v>
      </c>
      <c r="B36" s="182" t="str">
        <f ca="1">IFERROR(VALUE(IF(VLOOKUP($A36,数出表_Excel!$A$6:$T$150,COLUMN()/2+1,FALSE)=0,"",VLOOKUP($A36,数出表_Excel!$A$6:$T$150,COLUMN()/2+1,FALSE))),"")</f>
        <v/>
      </c>
      <c r="C36" s="75"/>
      <c r="D36" s="182" t="str">
        <f ca="1">IFERROR(VALUE(IF(VLOOKUP($A36,数出表_Excel!$A$6:$T$150,COLUMN()/2+1,FALSE)=0,"",VLOOKUP($A36,数出表_Excel!$A$6:$T$150,COLUMN()/2+1,FALSE))),"")</f>
        <v/>
      </c>
      <c r="E36" s="75"/>
      <c r="F36" s="182" t="str">
        <f ca="1">IFERROR(VALUE(IF(VLOOKUP($A36,数出表_Excel!$A$6:$T$150,COLUMN()/2+1,FALSE)=0,"",VLOOKUP($A36,数出表_Excel!$A$6:$T$150,COLUMN()/2+1,FALSE))),"")</f>
        <v/>
      </c>
      <c r="G36" s="75"/>
      <c r="H36" s="182" t="str">
        <f ca="1">IFERROR(VALUE(IF(VLOOKUP($A36,数出表_Excel!$A$6:$T$150,COLUMN()/2+1,FALSE)=0,"",VLOOKUP($A36,数出表_Excel!$A$6:$T$150,COLUMN()/2+1,FALSE))),"")</f>
        <v/>
      </c>
      <c r="I36" s="75"/>
      <c r="J36" s="182" t="str">
        <f ca="1">IFERROR(VALUE(IF(VLOOKUP($A36,数出表_Excel!$A$6:$T$150,COLUMN()/2+1,FALSE)=0,"",VLOOKUP($A36,数出表_Excel!$A$6:$T$150,COLUMN()/2+1,FALSE))),"")</f>
        <v/>
      </c>
      <c r="K36" s="75"/>
      <c r="L36" s="182" t="str">
        <f ca="1">IFERROR(VALUE(IF(VLOOKUP($A36,数出表_Excel!$A$6:$T$150,COLUMN()/2+1,FALSE)=0,"",VLOOKUP($A36,数出表_Excel!$A$6:$T$150,COLUMN()/2+1,FALSE))),"")</f>
        <v/>
      </c>
      <c r="M36" s="75"/>
      <c r="N36" s="182" t="str">
        <f ca="1">IFERROR(VALUE(IF(VLOOKUP($A36,数出表_Excel!$A$6:$T$150,COLUMN()/2+1,FALSE)=0,"",VLOOKUP($A36,数出表_Excel!$A$6:$T$150,COLUMN()/2+1,FALSE))),"")</f>
        <v/>
      </c>
      <c r="O36" s="75"/>
      <c r="P36" s="182" t="str">
        <f ca="1">IFERROR(VALUE(IF(VLOOKUP($A36,数出表_Excel!$A$6:$T$150,COLUMN()/2+1,FALSE)=0,"",VLOOKUP($A36,数出表_Excel!$A$6:$T$150,COLUMN()/2+1,FALSE))),"")</f>
        <v/>
      </c>
      <c r="Q36" s="75"/>
      <c r="R36" s="182" t="str">
        <f ca="1">IFERROR(VALUE(IF(VLOOKUP($A36,数出表_Excel!$A$6:$T$150,COLUMN()/2+1,FALSE)=0,"",VLOOKUP($A36,数出表_Excel!$A$6:$T$150,COLUMN()/2+1,FALSE))),"")</f>
        <v/>
      </c>
      <c r="S36" s="75"/>
      <c r="T36" s="182" t="str">
        <f ca="1">IFERROR(VALUE(IF(VLOOKUP($A36,数出表_Excel!$A$6:$T$150,COLUMN()/2+1,FALSE)=0,"",VLOOKUP($A36,数出表_Excel!$A$6:$T$150,COLUMN()/2+1,FALSE))),"")</f>
        <v/>
      </c>
      <c r="U36" s="75"/>
      <c r="V36" s="182" t="str">
        <f ca="1">IFERROR(VALUE(IF(VLOOKUP($A36,数出表_Excel!$A$6:$T$150,COLUMN()/2+1,FALSE)=0,"",VLOOKUP($A36,数出表_Excel!$A$6:$T$150,COLUMN()/2+1,FALSE))),"")</f>
        <v/>
      </c>
      <c r="W36" s="75"/>
      <c r="X36" s="182" t="str">
        <f ca="1">IFERROR(VALUE(IF(VLOOKUP($A36,数出表_Excel!$A$6:$T$150,COLUMN()/2+1,FALSE)=0,"",VLOOKUP($A36,数出表_Excel!$A$6:$T$150,COLUMN()/2+1,FALSE))),"")</f>
        <v/>
      </c>
      <c r="Y36" s="75"/>
      <c r="Z36" s="182" t="str">
        <f ca="1">IFERROR(VALUE(IF(VLOOKUP($A36,数出表_Excel!$A$6:$T$150,COLUMN()/2+1,FALSE)=0,"",VLOOKUP($A36,数出表_Excel!$A$6:$T$150,COLUMN()/2+1,FALSE))),"")</f>
        <v/>
      </c>
      <c r="AA36" s="75"/>
      <c r="AB36" s="182" t="str">
        <f ca="1">IFERROR(VALUE(IF(VLOOKUP($A36,数出表_Excel!$A$6:$T$150,COLUMN()/2+1,FALSE)=0,"",VLOOKUP($A36,数出表_Excel!$A$6:$T$150,COLUMN()/2+1,FALSE))),"")</f>
        <v/>
      </c>
      <c r="AC36" s="75"/>
      <c r="AD36" s="182" t="str">
        <f ca="1">IFERROR(VALUE(IF(VLOOKUP($A36,数出表_Excel!$A$6:$T$150,COLUMN()/2+1,FALSE)=0,"",VLOOKUP($A36,数出表_Excel!$A$6:$T$150,COLUMN()/2+1,FALSE))),"")</f>
        <v/>
      </c>
      <c r="AE36" s="75"/>
      <c r="AF36" s="182" t="str">
        <f ca="1">IFERROR(VALUE(IF(VLOOKUP($A36,数出表_Excel!$A$6:$T$150,COLUMN()/2+1,FALSE)=0,"",VLOOKUP($A36,数出表_Excel!$A$6:$T$150,COLUMN()/2+1,FALSE))),"")</f>
        <v/>
      </c>
      <c r="AG36" s="75"/>
      <c r="AH36" s="182" t="str">
        <f ca="1">IFERROR(VALUE(IF(VLOOKUP($A36,数出表_Excel!$A$6:$T$150,COLUMN()/2+1,FALSE)=0,"",VLOOKUP($A36,数出表_Excel!$A$6:$T$150,COLUMN()/2+1,FALSE))),"")</f>
        <v/>
      </c>
      <c r="AI36" s="75"/>
      <c r="AJ36" s="182" t="str">
        <f ca="1">IFERROR(VALUE(IF(VLOOKUP($A36,数出表_Excel!$A$6:$T$150,COLUMN()/2+1,FALSE)=0,"",VLOOKUP($A36,数出表_Excel!$A$6:$T$150,COLUMN()/2+1,FALSE))),"")</f>
        <v/>
      </c>
      <c r="AK36" s="75"/>
      <c r="AL36" s="61" t="e">
        <f ca="1">IF(A36&lt;&gt;"",
IF(VLOOKUP($A36,数出表_Excel!$A$6:$T$150,COLUMN()/2+1,FALSE)=0,"",VLOOKUP($A36,数出表_Excel!$A$6:$T$150,COLUMN()/2+1,FALSE)),"")</f>
        <v>#N/A</v>
      </c>
      <c r="AM36" s="89" t="e">
        <f ca="1">数出表_Excel!V36</f>
        <v>#N/A</v>
      </c>
      <c r="AN36" s="90" t="e">
        <f ca="1">数出表_Excel!W36</f>
        <v>#N/A</v>
      </c>
    </row>
    <row r="37" spans="1:40" ht="16.2" customHeight="1">
      <c r="A37" s="82" t="e">
        <f t="array" aca="1" ref="A37" ca="1">IF(OR(COUNTIF(A35,"*1000*"),COUNTIF(A35,"")),"",INDEX(貼り付け用!$A1:$A200,MATCH(A35,貼り付け用!$A1:$A200,0)+2,0))</f>
        <v>#N/A</v>
      </c>
      <c r="B37" s="148" t="str">
        <f ca="1">IFERROR(VALUE(IF(VLOOKUP($A37,数出表_Excel!$A$6:$T$150,COLUMN()/2+1,FALSE)=0,"",VLOOKUP($A37,数出表_Excel!$A$6:$T$150,COLUMN()/2+1,FALSE))),"")</f>
        <v/>
      </c>
      <c r="C37" s="76"/>
      <c r="D37" s="148" t="str">
        <f ca="1">IFERROR(VALUE(IF(VLOOKUP($A37,数出表_Excel!$A$6:$T$150,COLUMN()/2+1,FALSE)=0,"",VLOOKUP($A37,数出表_Excel!$A$6:$T$150,COLUMN()/2+1,FALSE))),"")</f>
        <v/>
      </c>
      <c r="E37" s="76"/>
      <c r="F37" s="148" t="str">
        <f ca="1">IFERROR(VALUE(IF(VLOOKUP($A37,数出表_Excel!$A$6:$T$150,COLUMN()/2+1,FALSE)=0,"",VLOOKUP($A37,数出表_Excel!$A$6:$T$150,COLUMN()/2+1,FALSE))),"")</f>
        <v/>
      </c>
      <c r="G37" s="76"/>
      <c r="H37" s="148" t="str">
        <f ca="1">IFERROR(VALUE(IF(VLOOKUP($A37,数出表_Excel!$A$6:$T$150,COLUMN()/2+1,FALSE)=0,"",VLOOKUP($A37,数出表_Excel!$A$6:$T$150,COLUMN()/2+1,FALSE))),"")</f>
        <v/>
      </c>
      <c r="I37" s="76"/>
      <c r="J37" s="148" t="str">
        <f ca="1">IFERROR(VALUE(IF(VLOOKUP($A37,数出表_Excel!$A$6:$T$150,COLUMN()/2+1,FALSE)=0,"",VLOOKUP($A37,数出表_Excel!$A$6:$T$150,COLUMN()/2+1,FALSE))),"")</f>
        <v/>
      </c>
      <c r="K37" s="76"/>
      <c r="L37" s="148" t="str">
        <f ca="1">IFERROR(VALUE(IF(VLOOKUP($A37,数出表_Excel!$A$6:$T$150,COLUMN()/2+1,FALSE)=0,"",VLOOKUP($A37,数出表_Excel!$A$6:$T$150,COLUMN()/2+1,FALSE))),"")</f>
        <v/>
      </c>
      <c r="M37" s="76"/>
      <c r="N37" s="148" t="str">
        <f ca="1">IFERROR(VALUE(IF(VLOOKUP($A37,数出表_Excel!$A$6:$T$150,COLUMN()/2+1,FALSE)=0,"",VLOOKUP($A37,数出表_Excel!$A$6:$T$150,COLUMN()/2+1,FALSE))),"")</f>
        <v/>
      </c>
      <c r="O37" s="76"/>
      <c r="P37" s="148" t="str">
        <f ca="1">IFERROR(VALUE(IF(VLOOKUP($A37,数出表_Excel!$A$6:$T$150,COLUMN()/2+1,FALSE)=0,"",VLOOKUP($A37,数出表_Excel!$A$6:$T$150,COLUMN()/2+1,FALSE))),"")</f>
        <v/>
      </c>
      <c r="Q37" s="76"/>
      <c r="R37" s="148" t="str">
        <f ca="1">IFERROR(VALUE(IF(VLOOKUP($A37,数出表_Excel!$A$6:$T$150,COLUMN()/2+1,FALSE)=0,"",VLOOKUP($A37,数出表_Excel!$A$6:$T$150,COLUMN()/2+1,FALSE))),"")</f>
        <v/>
      </c>
      <c r="S37" s="76"/>
      <c r="T37" s="148" t="str">
        <f ca="1">IFERROR(VALUE(IF(VLOOKUP($A37,数出表_Excel!$A$6:$T$150,COLUMN()/2+1,FALSE)=0,"",VLOOKUP($A37,数出表_Excel!$A$6:$T$150,COLUMN()/2+1,FALSE))),"")</f>
        <v/>
      </c>
      <c r="U37" s="76"/>
      <c r="V37" s="148" t="str">
        <f ca="1">IFERROR(VALUE(IF(VLOOKUP($A37,数出表_Excel!$A$6:$T$150,COLUMN()/2+1,FALSE)=0,"",VLOOKUP($A37,数出表_Excel!$A$6:$T$150,COLUMN()/2+1,FALSE))),"")</f>
        <v/>
      </c>
      <c r="W37" s="76"/>
      <c r="X37" s="148" t="str">
        <f ca="1">IFERROR(VALUE(IF(VLOOKUP($A37,数出表_Excel!$A$6:$T$150,COLUMN()/2+1,FALSE)=0,"",VLOOKUP($A37,数出表_Excel!$A$6:$T$150,COLUMN()/2+1,FALSE))),"")</f>
        <v/>
      </c>
      <c r="Y37" s="76"/>
      <c r="Z37" s="148" t="str">
        <f ca="1">IFERROR(VALUE(IF(VLOOKUP($A37,数出表_Excel!$A$6:$T$150,COLUMN()/2+1,FALSE)=0,"",VLOOKUP($A37,数出表_Excel!$A$6:$T$150,COLUMN()/2+1,FALSE))),"")</f>
        <v/>
      </c>
      <c r="AA37" s="76"/>
      <c r="AB37" s="148" t="str">
        <f ca="1">IFERROR(VALUE(IF(VLOOKUP($A37,数出表_Excel!$A$6:$T$150,COLUMN()/2+1,FALSE)=0,"",VLOOKUP($A37,数出表_Excel!$A$6:$T$150,COLUMN()/2+1,FALSE))),"")</f>
        <v/>
      </c>
      <c r="AC37" s="76"/>
      <c r="AD37" s="148" t="str">
        <f ca="1">IFERROR(VALUE(IF(VLOOKUP($A37,数出表_Excel!$A$6:$T$150,COLUMN()/2+1,FALSE)=0,"",VLOOKUP($A37,数出表_Excel!$A$6:$T$150,COLUMN()/2+1,FALSE))),"")</f>
        <v/>
      </c>
      <c r="AE37" s="76"/>
      <c r="AF37" s="148" t="str">
        <f ca="1">IFERROR(VALUE(IF(VLOOKUP($A37,数出表_Excel!$A$6:$T$150,COLUMN()/2+1,FALSE)=0,"",VLOOKUP($A37,数出表_Excel!$A$6:$T$150,COLUMN()/2+1,FALSE))),"")</f>
        <v/>
      </c>
      <c r="AG37" s="76"/>
      <c r="AH37" s="148" t="str">
        <f ca="1">IFERROR(VALUE(IF(VLOOKUP($A37,数出表_Excel!$A$6:$T$150,COLUMN()/2+1,FALSE)=0,"",VLOOKUP($A37,数出表_Excel!$A$6:$T$150,COLUMN()/2+1,FALSE))),"")</f>
        <v/>
      </c>
      <c r="AI37" s="76"/>
      <c r="AJ37" s="148" t="str">
        <f ca="1">IFERROR(VALUE(IF(VLOOKUP($A37,数出表_Excel!$A$6:$T$150,COLUMN()/2+1,FALSE)=0,"",VLOOKUP($A37,数出表_Excel!$A$6:$T$150,COLUMN()/2+1,FALSE))),"")</f>
        <v/>
      </c>
      <c r="AK37" s="76"/>
      <c r="AL37" s="63" t="e">
        <f ca="1">IF(A37&lt;&gt;"",
IF(VLOOKUP($A37,数出表_Excel!$A$6:$T$150,COLUMN()/2+1,FALSE)=0,"",VLOOKUP($A37,数出表_Excel!$A$6:$T$150,COLUMN()/2+1,FALSE)),"")</f>
        <v>#N/A</v>
      </c>
      <c r="AM37" s="91" t="e">
        <f ca="1">数出表_Excel!V37</f>
        <v>#N/A</v>
      </c>
      <c r="AN37" s="92" t="e">
        <f ca="1">数出表_Excel!W37</f>
        <v>#N/A</v>
      </c>
    </row>
    <row r="38" spans="1:40" ht="16.2" customHeight="1">
      <c r="A38" s="81" t="e">
        <f t="array" aca="1" ref="A38" ca="1">IF(OR(COUNTIF(A36,"*10002*"),COUNTIF(A36,"")),"",INDEX(貼り付け用!$A1:$A200,MATCH(A36,貼り付け用!$A1:$A200,0)+2,0))</f>
        <v>#N/A</v>
      </c>
      <c r="B38" s="182" t="str">
        <f ca="1">IFERROR(VALUE(IF(VLOOKUP($A38,数出表_Excel!$A$6:$T$150,COLUMN()/2+1,FALSE)=0,"",VLOOKUP($A38,数出表_Excel!$A$6:$T$150,COLUMN()/2+1,FALSE))),"")</f>
        <v/>
      </c>
      <c r="C38" s="75"/>
      <c r="D38" s="182" t="str">
        <f ca="1">IFERROR(VALUE(IF(VLOOKUP($A38,数出表_Excel!$A$6:$T$150,COLUMN()/2+1,FALSE)=0,"",VLOOKUP($A38,数出表_Excel!$A$6:$T$150,COLUMN()/2+1,FALSE))),"")</f>
        <v/>
      </c>
      <c r="E38" s="75"/>
      <c r="F38" s="182" t="str">
        <f ca="1">IFERROR(VALUE(IF(VLOOKUP($A38,数出表_Excel!$A$6:$T$150,COLUMN()/2+1,FALSE)=0,"",VLOOKUP($A38,数出表_Excel!$A$6:$T$150,COLUMN()/2+1,FALSE))),"")</f>
        <v/>
      </c>
      <c r="G38" s="75"/>
      <c r="H38" s="182" t="str">
        <f ca="1">IFERROR(VALUE(IF(VLOOKUP($A38,数出表_Excel!$A$6:$T$150,COLUMN()/2+1,FALSE)=0,"",VLOOKUP($A38,数出表_Excel!$A$6:$T$150,COLUMN()/2+1,FALSE))),"")</f>
        <v/>
      </c>
      <c r="I38" s="75"/>
      <c r="J38" s="182" t="str">
        <f ca="1">IFERROR(VALUE(IF(VLOOKUP($A38,数出表_Excel!$A$6:$T$150,COLUMN()/2+1,FALSE)=0,"",VLOOKUP($A38,数出表_Excel!$A$6:$T$150,COLUMN()/2+1,FALSE))),"")</f>
        <v/>
      </c>
      <c r="K38" s="75"/>
      <c r="L38" s="182" t="str">
        <f ca="1">IFERROR(VALUE(IF(VLOOKUP($A38,数出表_Excel!$A$6:$T$150,COLUMN()/2+1,FALSE)=0,"",VLOOKUP($A38,数出表_Excel!$A$6:$T$150,COLUMN()/2+1,FALSE))),"")</f>
        <v/>
      </c>
      <c r="M38" s="75"/>
      <c r="N38" s="182" t="str">
        <f ca="1">IFERROR(VALUE(IF(VLOOKUP($A38,数出表_Excel!$A$6:$T$150,COLUMN()/2+1,FALSE)=0,"",VLOOKUP($A38,数出表_Excel!$A$6:$T$150,COLUMN()/2+1,FALSE))),"")</f>
        <v/>
      </c>
      <c r="O38" s="75"/>
      <c r="P38" s="182" t="str">
        <f ca="1">IFERROR(VALUE(IF(VLOOKUP($A38,数出表_Excel!$A$6:$T$150,COLUMN()/2+1,FALSE)=0,"",VLOOKUP($A38,数出表_Excel!$A$6:$T$150,COLUMN()/2+1,FALSE))),"")</f>
        <v/>
      </c>
      <c r="Q38" s="75"/>
      <c r="R38" s="182" t="str">
        <f ca="1">IFERROR(VALUE(IF(VLOOKUP($A38,数出表_Excel!$A$6:$T$150,COLUMN()/2+1,FALSE)=0,"",VLOOKUP($A38,数出表_Excel!$A$6:$T$150,COLUMN()/2+1,FALSE))),"")</f>
        <v/>
      </c>
      <c r="S38" s="75"/>
      <c r="T38" s="182" t="str">
        <f ca="1">IFERROR(VALUE(IF(VLOOKUP($A38,数出表_Excel!$A$6:$T$150,COLUMN()/2+1,FALSE)=0,"",VLOOKUP($A38,数出表_Excel!$A$6:$T$150,COLUMN()/2+1,FALSE))),"")</f>
        <v/>
      </c>
      <c r="U38" s="75"/>
      <c r="V38" s="182" t="str">
        <f ca="1">IFERROR(VALUE(IF(VLOOKUP($A38,数出表_Excel!$A$6:$T$150,COLUMN()/2+1,FALSE)=0,"",VLOOKUP($A38,数出表_Excel!$A$6:$T$150,COLUMN()/2+1,FALSE))),"")</f>
        <v/>
      </c>
      <c r="W38" s="75"/>
      <c r="X38" s="182" t="str">
        <f ca="1">IFERROR(VALUE(IF(VLOOKUP($A38,数出表_Excel!$A$6:$T$150,COLUMN()/2+1,FALSE)=0,"",VLOOKUP($A38,数出表_Excel!$A$6:$T$150,COLUMN()/2+1,FALSE))),"")</f>
        <v/>
      </c>
      <c r="Y38" s="75"/>
      <c r="Z38" s="182" t="str">
        <f ca="1">IFERROR(VALUE(IF(VLOOKUP($A38,数出表_Excel!$A$6:$T$150,COLUMN()/2+1,FALSE)=0,"",VLOOKUP($A38,数出表_Excel!$A$6:$T$150,COLUMN()/2+1,FALSE))),"")</f>
        <v/>
      </c>
      <c r="AA38" s="75"/>
      <c r="AB38" s="182" t="str">
        <f ca="1">IFERROR(VALUE(IF(VLOOKUP($A38,数出表_Excel!$A$6:$T$150,COLUMN()/2+1,FALSE)=0,"",VLOOKUP($A38,数出表_Excel!$A$6:$T$150,COLUMN()/2+1,FALSE))),"")</f>
        <v/>
      </c>
      <c r="AC38" s="75"/>
      <c r="AD38" s="182" t="str">
        <f ca="1">IFERROR(VALUE(IF(VLOOKUP($A38,数出表_Excel!$A$6:$T$150,COLUMN()/2+1,FALSE)=0,"",VLOOKUP($A38,数出表_Excel!$A$6:$T$150,COLUMN()/2+1,FALSE))),"")</f>
        <v/>
      </c>
      <c r="AE38" s="75"/>
      <c r="AF38" s="182" t="str">
        <f ca="1">IFERROR(VALUE(IF(VLOOKUP($A38,数出表_Excel!$A$6:$T$150,COLUMN()/2+1,FALSE)=0,"",VLOOKUP($A38,数出表_Excel!$A$6:$T$150,COLUMN()/2+1,FALSE))),"")</f>
        <v/>
      </c>
      <c r="AG38" s="75"/>
      <c r="AH38" s="182" t="str">
        <f ca="1">IFERROR(VALUE(IF(VLOOKUP($A38,数出表_Excel!$A$6:$T$150,COLUMN()/2+1,FALSE)=0,"",VLOOKUP($A38,数出表_Excel!$A$6:$T$150,COLUMN()/2+1,FALSE))),"")</f>
        <v/>
      </c>
      <c r="AI38" s="75"/>
      <c r="AJ38" s="182" t="str">
        <f ca="1">IFERROR(VALUE(IF(VLOOKUP($A38,数出表_Excel!$A$6:$T$150,COLUMN()/2+1,FALSE)=0,"",VLOOKUP($A38,数出表_Excel!$A$6:$T$150,COLUMN()/2+1,FALSE))),"")</f>
        <v/>
      </c>
      <c r="AK38" s="75"/>
      <c r="AL38" s="61" t="e">
        <f ca="1">IF(A38&lt;&gt;"",
IF(VLOOKUP($A38,数出表_Excel!$A$6:$T$150,COLUMN()/2+1,FALSE)=0,"",VLOOKUP($A38,数出表_Excel!$A$6:$T$150,COLUMN()/2+1,FALSE)),"")</f>
        <v>#N/A</v>
      </c>
      <c r="AM38" s="89" t="e">
        <f ca="1">数出表_Excel!V38</f>
        <v>#N/A</v>
      </c>
      <c r="AN38" s="90" t="e">
        <f ca="1">数出表_Excel!W38</f>
        <v>#N/A</v>
      </c>
    </row>
    <row r="39" spans="1:40" ht="16.2" customHeight="1">
      <c r="A39" s="82" t="e">
        <f t="array" aca="1" ref="A39" ca="1">IF(OR(COUNTIF(A37,"*1000*"),COUNTIF(A37,"")),"",INDEX(貼り付け用!$A1:$A200,MATCH(A37,貼り付け用!$A1:$A200,0)+2,0))</f>
        <v>#N/A</v>
      </c>
      <c r="B39" s="148" t="str">
        <f ca="1">IFERROR(VALUE(IF(VLOOKUP($A39,数出表_Excel!$A$6:$T$150,COLUMN()/2+1,FALSE)=0,"",VLOOKUP($A39,数出表_Excel!$A$6:$T$150,COLUMN()/2+1,FALSE))),"")</f>
        <v/>
      </c>
      <c r="C39" s="76"/>
      <c r="D39" s="148" t="str">
        <f ca="1">IFERROR(VALUE(IF(VLOOKUP($A39,数出表_Excel!$A$6:$T$150,COLUMN()/2+1,FALSE)=0,"",VLOOKUP($A39,数出表_Excel!$A$6:$T$150,COLUMN()/2+1,FALSE))),"")</f>
        <v/>
      </c>
      <c r="E39" s="76"/>
      <c r="F39" s="148" t="str">
        <f ca="1">IFERROR(VALUE(IF(VLOOKUP($A39,数出表_Excel!$A$6:$T$150,COLUMN()/2+1,FALSE)=0,"",VLOOKUP($A39,数出表_Excel!$A$6:$T$150,COLUMN()/2+1,FALSE))),"")</f>
        <v/>
      </c>
      <c r="G39" s="76"/>
      <c r="H39" s="148" t="str">
        <f ca="1">IFERROR(VALUE(IF(VLOOKUP($A39,数出表_Excel!$A$6:$T$150,COLUMN()/2+1,FALSE)=0,"",VLOOKUP($A39,数出表_Excel!$A$6:$T$150,COLUMN()/2+1,FALSE))),"")</f>
        <v/>
      </c>
      <c r="I39" s="76"/>
      <c r="J39" s="148" t="str">
        <f ca="1">IFERROR(VALUE(IF(VLOOKUP($A39,数出表_Excel!$A$6:$T$150,COLUMN()/2+1,FALSE)=0,"",VLOOKUP($A39,数出表_Excel!$A$6:$T$150,COLUMN()/2+1,FALSE))),"")</f>
        <v/>
      </c>
      <c r="K39" s="76"/>
      <c r="L39" s="148" t="str">
        <f ca="1">IFERROR(VALUE(IF(VLOOKUP($A39,数出表_Excel!$A$6:$T$150,COLUMN()/2+1,FALSE)=0,"",VLOOKUP($A39,数出表_Excel!$A$6:$T$150,COLUMN()/2+1,FALSE))),"")</f>
        <v/>
      </c>
      <c r="M39" s="76"/>
      <c r="N39" s="148" t="str">
        <f ca="1">IFERROR(VALUE(IF(VLOOKUP($A39,数出表_Excel!$A$6:$T$150,COLUMN()/2+1,FALSE)=0,"",VLOOKUP($A39,数出表_Excel!$A$6:$T$150,COLUMN()/2+1,FALSE))),"")</f>
        <v/>
      </c>
      <c r="O39" s="76"/>
      <c r="P39" s="148" t="str">
        <f ca="1">IFERROR(VALUE(IF(VLOOKUP($A39,数出表_Excel!$A$6:$T$150,COLUMN()/2+1,FALSE)=0,"",VLOOKUP($A39,数出表_Excel!$A$6:$T$150,COLUMN()/2+1,FALSE))),"")</f>
        <v/>
      </c>
      <c r="Q39" s="76"/>
      <c r="R39" s="148" t="str">
        <f ca="1">IFERROR(VALUE(IF(VLOOKUP($A39,数出表_Excel!$A$6:$T$150,COLUMN()/2+1,FALSE)=0,"",VLOOKUP($A39,数出表_Excel!$A$6:$T$150,COLUMN()/2+1,FALSE))),"")</f>
        <v/>
      </c>
      <c r="S39" s="76"/>
      <c r="T39" s="148" t="str">
        <f ca="1">IFERROR(VALUE(IF(VLOOKUP($A39,数出表_Excel!$A$6:$T$150,COLUMN()/2+1,FALSE)=0,"",VLOOKUP($A39,数出表_Excel!$A$6:$T$150,COLUMN()/2+1,FALSE))),"")</f>
        <v/>
      </c>
      <c r="U39" s="76"/>
      <c r="V39" s="148" t="str">
        <f ca="1">IFERROR(VALUE(IF(VLOOKUP($A39,数出表_Excel!$A$6:$T$150,COLUMN()/2+1,FALSE)=0,"",VLOOKUP($A39,数出表_Excel!$A$6:$T$150,COLUMN()/2+1,FALSE))),"")</f>
        <v/>
      </c>
      <c r="W39" s="76"/>
      <c r="X39" s="148" t="str">
        <f ca="1">IFERROR(VALUE(IF(VLOOKUP($A39,数出表_Excel!$A$6:$T$150,COLUMN()/2+1,FALSE)=0,"",VLOOKUP($A39,数出表_Excel!$A$6:$T$150,COLUMN()/2+1,FALSE))),"")</f>
        <v/>
      </c>
      <c r="Y39" s="76"/>
      <c r="Z39" s="148" t="str">
        <f ca="1">IFERROR(VALUE(IF(VLOOKUP($A39,数出表_Excel!$A$6:$T$150,COLUMN()/2+1,FALSE)=0,"",VLOOKUP($A39,数出表_Excel!$A$6:$T$150,COLUMN()/2+1,FALSE))),"")</f>
        <v/>
      </c>
      <c r="AA39" s="76"/>
      <c r="AB39" s="148" t="str">
        <f ca="1">IFERROR(VALUE(IF(VLOOKUP($A39,数出表_Excel!$A$6:$T$150,COLUMN()/2+1,FALSE)=0,"",VLOOKUP($A39,数出表_Excel!$A$6:$T$150,COLUMN()/2+1,FALSE))),"")</f>
        <v/>
      </c>
      <c r="AC39" s="76"/>
      <c r="AD39" s="148" t="str">
        <f ca="1">IFERROR(VALUE(IF(VLOOKUP($A39,数出表_Excel!$A$6:$T$150,COLUMN()/2+1,FALSE)=0,"",VLOOKUP($A39,数出表_Excel!$A$6:$T$150,COLUMN()/2+1,FALSE))),"")</f>
        <v/>
      </c>
      <c r="AE39" s="76"/>
      <c r="AF39" s="148" t="str">
        <f ca="1">IFERROR(VALUE(IF(VLOOKUP($A39,数出表_Excel!$A$6:$T$150,COLUMN()/2+1,FALSE)=0,"",VLOOKUP($A39,数出表_Excel!$A$6:$T$150,COLUMN()/2+1,FALSE))),"")</f>
        <v/>
      </c>
      <c r="AG39" s="76"/>
      <c r="AH39" s="148" t="str">
        <f ca="1">IFERROR(VALUE(IF(VLOOKUP($A39,数出表_Excel!$A$6:$T$150,COLUMN()/2+1,FALSE)=0,"",VLOOKUP($A39,数出表_Excel!$A$6:$T$150,COLUMN()/2+1,FALSE))),"")</f>
        <v/>
      </c>
      <c r="AI39" s="76"/>
      <c r="AJ39" s="148" t="str">
        <f ca="1">IFERROR(VALUE(IF(VLOOKUP($A39,数出表_Excel!$A$6:$T$150,COLUMN()/2+1,FALSE)=0,"",VLOOKUP($A39,数出表_Excel!$A$6:$T$150,COLUMN()/2+1,FALSE))),"")</f>
        <v/>
      </c>
      <c r="AK39" s="76"/>
      <c r="AL39" s="63" t="e">
        <f ca="1">IF(A39&lt;&gt;"",
IF(VLOOKUP($A39,数出表_Excel!$A$6:$T$150,COLUMN()/2+1,FALSE)=0,"",VLOOKUP($A39,数出表_Excel!$A$6:$T$150,COLUMN()/2+1,FALSE)),"")</f>
        <v>#N/A</v>
      </c>
      <c r="AM39" s="91" t="e">
        <f ca="1">数出表_Excel!V39</f>
        <v>#N/A</v>
      </c>
      <c r="AN39" s="92" t="e">
        <f ca="1">数出表_Excel!W39</f>
        <v>#N/A</v>
      </c>
    </row>
    <row r="40" spans="1:40" ht="16.2" customHeight="1">
      <c r="A40" s="81" t="e">
        <f t="array" aca="1" ref="A40" ca="1">IF(OR(COUNTIF(A38,"*10002*"),COUNTIF(A38,"")),"",INDEX(貼り付け用!$A1:$A200,MATCH(A38,貼り付け用!$A1:$A200,0)+2,0))</f>
        <v>#N/A</v>
      </c>
      <c r="B40" s="182" t="str">
        <f ca="1">IFERROR(VALUE(IF(VLOOKUP($A40,数出表_Excel!$A$6:$T$150,COLUMN()/2+1,FALSE)=0,"",VLOOKUP($A40,数出表_Excel!$A$6:$T$150,COLUMN()/2+1,FALSE))),"")</f>
        <v/>
      </c>
      <c r="C40" s="75"/>
      <c r="D40" s="182" t="str">
        <f ca="1">IFERROR(VALUE(IF(VLOOKUP($A40,数出表_Excel!$A$6:$T$150,COLUMN()/2+1,FALSE)=0,"",VLOOKUP($A40,数出表_Excel!$A$6:$T$150,COLUMN()/2+1,FALSE))),"")</f>
        <v/>
      </c>
      <c r="E40" s="75"/>
      <c r="F40" s="182" t="str">
        <f ca="1">IFERROR(VALUE(IF(VLOOKUP($A40,数出表_Excel!$A$6:$T$150,COLUMN()/2+1,FALSE)=0,"",VLOOKUP($A40,数出表_Excel!$A$6:$T$150,COLUMN()/2+1,FALSE))),"")</f>
        <v/>
      </c>
      <c r="G40" s="75"/>
      <c r="H40" s="182" t="str">
        <f ca="1">IFERROR(VALUE(IF(VLOOKUP($A40,数出表_Excel!$A$6:$T$150,COLUMN()/2+1,FALSE)=0,"",VLOOKUP($A40,数出表_Excel!$A$6:$T$150,COLUMN()/2+1,FALSE))),"")</f>
        <v/>
      </c>
      <c r="I40" s="75"/>
      <c r="J40" s="182" t="str">
        <f ca="1">IFERROR(VALUE(IF(VLOOKUP($A40,数出表_Excel!$A$6:$T$150,COLUMN()/2+1,FALSE)=0,"",VLOOKUP($A40,数出表_Excel!$A$6:$T$150,COLUMN()/2+1,FALSE))),"")</f>
        <v/>
      </c>
      <c r="K40" s="75"/>
      <c r="L40" s="182" t="str">
        <f ca="1">IFERROR(VALUE(IF(VLOOKUP($A40,数出表_Excel!$A$6:$T$150,COLUMN()/2+1,FALSE)=0,"",VLOOKUP($A40,数出表_Excel!$A$6:$T$150,COLUMN()/2+1,FALSE))),"")</f>
        <v/>
      </c>
      <c r="M40" s="75"/>
      <c r="N40" s="182" t="str">
        <f ca="1">IFERROR(VALUE(IF(VLOOKUP($A40,数出表_Excel!$A$6:$T$150,COLUMN()/2+1,FALSE)=0,"",VLOOKUP($A40,数出表_Excel!$A$6:$T$150,COLUMN()/2+1,FALSE))),"")</f>
        <v/>
      </c>
      <c r="O40" s="75"/>
      <c r="P40" s="182" t="str">
        <f ca="1">IFERROR(VALUE(IF(VLOOKUP($A40,数出表_Excel!$A$6:$T$150,COLUMN()/2+1,FALSE)=0,"",VLOOKUP($A40,数出表_Excel!$A$6:$T$150,COLUMN()/2+1,FALSE))),"")</f>
        <v/>
      </c>
      <c r="Q40" s="75"/>
      <c r="R40" s="182" t="str">
        <f ca="1">IFERROR(VALUE(IF(VLOOKUP($A40,数出表_Excel!$A$6:$T$150,COLUMN()/2+1,FALSE)=0,"",VLOOKUP($A40,数出表_Excel!$A$6:$T$150,COLUMN()/2+1,FALSE))),"")</f>
        <v/>
      </c>
      <c r="S40" s="75"/>
      <c r="T40" s="182" t="str">
        <f ca="1">IFERROR(VALUE(IF(VLOOKUP($A40,数出表_Excel!$A$6:$T$150,COLUMN()/2+1,FALSE)=0,"",VLOOKUP($A40,数出表_Excel!$A$6:$T$150,COLUMN()/2+1,FALSE))),"")</f>
        <v/>
      </c>
      <c r="U40" s="75"/>
      <c r="V40" s="182" t="str">
        <f ca="1">IFERROR(VALUE(IF(VLOOKUP($A40,数出表_Excel!$A$6:$T$150,COLUMN()/2+1,FALSE)=0,"",VLOOKUP($A40,数出表_Excel!$A$6:$T$150,COLUMN()/2+1,FALSE))),"")</f>
        <v/>
      </c>
      <c r="W40" s="75"/>
      <c r="X40" s="182" t="str">
        <f ca="1">IFERROR(VALUE(IF(VLOOKUP($A40,数出表_Excel!$A$6:$T$150,COLUMN()/2+1,FALSE)=0,"",VLOOKUP($A40,数出表_Excel!$A$6:$T$150,COLUMN()/2+1,FALSE))),"")</f>
        <v/>
      </c>
      <c r="Y40" s="75"/>
      <c r="Z40" s="182" t="str">
        <f ca="1">IFERROR(VALUE(IF(VLOOKUP($A40,数出表_Excel!$A$6:$T$150,COLUMN()/2+1,FALSE)=0,"",VLOOKUP($A40,数出表_Excel!$A$6:$T$150,COLUMN()/2+1,FALSE))),"")</f>
        <v/>
      </c>
      <c r="AA40" s="75"/>
      <c r="AB40" s="182" t="str">
        <f ca="1">IFERROR(VALUE(IF(VLOOKUP($A40,数出表_Excel!$A$6:$T$150,COLUMN()/2+1,FALSE)=0,"",VLOOKUP($A40,数出表_Excel!$A$6:$T$150,COLUMN()/2+1,FALSE))),"")</f>
        <v/>
      </c>
      <c r="AC40" s="75"/>
      <c r="AD40" s="182" t="str">
        <f ca="1">IFERROR(VALUE(IF(VLOOKUP($A40,数出表_Excel!$A$6:$T$150,COLUMN()/2+1,FALSE)=0,"",VLOOKUP($A40,数出表_Excel!$A$6:$T$150,COLUMN()/2+1,FALSE))),"")</f>
        <v/>
      </c>
      <c r="AE40" s="75"/>
      <c r="AF40" s="182" t="str">
        <f ca="1">IFERROR(VALUE(IF(VLOOKUP($A40,数出表_Excel!$A$6:$T$150,COLUMN()/2+1,FALSE)=0,"",VLOOKUP($A40,数出表_Excel!$A$6:$T$150,COLUMN()/2+1,FALSE))),"")</f>
        <v/>
      </c>
      <c r="AG40" s="75"/>
      <c r="AH40" s="182" t="str">
        <f ca="1">IFERROR(VALUE(IF(VLOOKUP($A40,数出表_Excel!$A$6:$T$150,COLUMN()/2+1,FALSE)=0,"",VLOOKUP($A40,数出表_Excel!$A$6:$T$150,COLUMN()/2+1,FALSE))),"")</f>
        <v/>
      </c>
      <c r="AI40" s="75"/>
      <c r="AJ40" s="182" t="str">
        <f ca="1">IFERROR(VALUE(IF(VLOOKUP($A40,数出表_Excel!$A$6:$T$150,COLUMN()/2+1,FALSE)=0,"",VLOOKUP($A40,数出表_Excel!$A$6:$T$150,COLUMN()/2+1,FALSE))),"")</f>
        <v/>
      </c>
      <c r="AK40" s="75"/>
      <c r="AL40" s="61" t="e">
        <f ca="1">IF(A40&lt;&gt;"",
IF(VLOOKUP($A40,数出表_Excel!$A$6:$T$150,COLUMN()/2+1,FALSE)=0,"",VLOOKUP($A40,数出表_Excel!$A$6:$T$150,COLUMN()/2+1,FALSE)),"")</f>
        <v>#N/A</v>
      </c>
      <c r="AM40" s="89" t="e">
        <f>数出表_Excel!V40</f>
        <v>#N/A</v>
      </c>
      <c r="AN40" s="90" t="e">
        <f>数出表_Excel!W40</f>
        <v>#N/A</v>
      </c>
    </row>
    <row r="41" spans="1:40" ht="16.2" customHeight="1">
      <c r="A41" s="82" t="e">
        <f t="array" aca="1" ref="A41" ca="1">IF(OR(COUNTIF(A39,"*1000*"),COUNTIF(A39,"")),"",INDEX(貼り付け用!$A1:$A200,MATCH(A39,貼り付け用!$A1:$A200,0)+2,0))</f>
        <v>#N/A</v>
      </c>
      <c r="B41" s="148" t="str">
        <f ca="1">IFERROR(VALUE(IF(VLOOKUP($A41,数出表_Excel!$A$6:$T$150,COLUMN()/2+1,FALSE)=0,"",VLOOKUP($A41,数出表_Excel!$A$6:$T$150,COLUMN()/2+1,FALSE))),"")</f>
        <v/>
      </c>
      <c r="C41" s="76"/>
      <c r="D41" s="148" t="str">
        <f ca="1">IFERROR(VALUE(IF(VLOOKUP($A41,数出表_Excel!$A$6:$T$150,COLUMN()/2+1,FALSE)=0,"",VLOOKUP($A41,数出表_Excel!$A$6:$T$150,COLUMN()/2+1,FALSE))),"")</f>
        <v/>
      </c>
      <c r="E41" s="76"/>
      <c r="F41" s="148" t="str">
        <f ca="1">IFERROR(VALUE(IF(VLOOKUP($A41,数出表_Excel!$A$6:$T$150,COLUMN()/2+1,FALSE)=0,"",VLOOKUP($A41,数出表_Excel!$A$6:$T$150,COLUMN()/2+1,FALSE))),"")</f>
        <v/>
      </c>
      <c r="G41" s="76"/>
      <c r="H41" s="148" t="str">
        <f ca="1">IFERROR(VALUE(IF(VLOOKUP($A41,数出表_Excel!$A$6:$T$150,COLUMN()/2+1,FALSE)=0,"",VLOOKUP($A41,数出表_Excel!$A$6:$T$150,COLUMN()/2+1,FALSE))),"")</f>
        <v/>
      </c>
      <c r="I41" s="76"/>
      <c r="J41" s="148" t="str">
        <f ca="1">IFERROR(VALUE(IF(VLOOKUP($A41,数出表_Excel!$A$6:$T$150,COLUMN()/2+1,FALSE)=0,"",VLOOKUP($A41,数出表_Excel!$A$6:$T$150,COLUMN()/2+1,FALSE))),"")</f>
        <v/>
      </c>
      <c r="K41" s="76"/>
      <c r="L41" s="148" t="str">
        <f ca="1">IFERROR(VALUE(IF(VLOOKUP($A41,数出表_Excel!$A$6:$T$150,COLUMN()/2+1,FALSE)=0,"",VLOOKUP($A41,数出表_Excel!$A$6:$T$150,COLUMN()/2+1,FALSE))),"")</f>
        <v/>
      </c>
      <c r="M41" s="76"/>
      <c r="N41" s="148" t="str">
        <f ca="1">IFERROR(VALUE(IF(VLOOKUP($A41,数出表_Excel!$A$6:$T$150,COLUMN()/2+1,FALSE)=0,"",VLOOKUP($A41,数出表_Excel!$A$6:$T$150,COLUMN()/2+1,FALSE))),"")</f>
        <v/>
      </c>
      <c r="O41" s="76"/>
      <c r="P41" s="148" t="str">
        <f ca="1">IFERROR(VALUE(IF(VLOOKUP($A41,数出表_Excel!$A$6:$T$150,COLUMN()/2+1,FALSE)=0,"",VLOOKUP($A41,数出表_Excel!$A$6:$T$150,COLUMN()/2+1,FALSE))),"")</f>
        <v/>
      </c>
      <c r="Q41" s="76"/>
      <c r="R41" s="148" t="str">
        <f ca="1">IFERROR(VALUE(IF(VLOOKUP($A41,数出表_Excel!$A$6:$T$150,COLUMN()/2+1,FALSE)=0,"",VLOOKUP($A41,数出表_Excel!$A$6:$T$150,COLUMN()/2+1,FALSE))),"")</f>
        <v/>
      </c>
      <c r="S41" s="76"/>
      <c r="T41" s="148" t="str">
        <f ca="1">IFERROR(VALUE(IF(VLOOKUP($A41,数出表_Excel!$A$6:$T$150,COLUMN()/2+1,FALSE)=0,"",VLOOKUP($A41,数出表_Excel!$A$6:$T$150,COLUMN()/2+1,FALSE))),"")</f>
        <v/>
      </c>
      <c r="U41" s="76"/>
      <c r="V41" s="148" t="str">
        <f ca="1">IFERROR(VALUE(IF(VLOOKUP($A41,数出表_Excel!$A$6:$T$150,COLUMN()/2+1,FALSE)=0,"",VLOOKUP($A41,数出表_Excel!$A$6:$T$150,COLUMN()/2+1,FALSE))),"")</f>
        <v/>
      </c>
      <c r="W41" s="76"/>
      <c r="X41" s="148" t="str">
        <f ca="1">IFERROR(VALUE(IF(VLOOKUP($A41,数出表_Excel!$A$6:$T$150,COLUMN()/2+1,FALSE)=0,"",VLOOKUP($A41,数出表_Excel!$A$6:$T$150,COLUMN()/2+1,FALSE))),"")</f>
        <v/>
      </c>
      <c r="Y41" s="76"/>
      <c r="Z41" s="148" t="str">
        <f ca="1">IFERROR(VALUE(IF(VLOOKUP($A41,数出表_Excel!$A$6:$T$150,COLUMN()/2+1,FALSE)=0,"",VLOOKUP($A41,数出表_Excel!$A$6:$T$150,COLUMN()/2+1,FALSE))),"")</f>
        <v/>
      </c>
      <c r="AA41" s="76"/>
      <c r="AB41" s="148" t="str">
        <f ca="1">IFERROR(VALUE(IF(VLOOKUP($A41,数出表_Excel!$A$6:$T$150,COLUMN()/2+1,FALSE)=0,"",VLOOKUP($A41,数出表_Excel!$A$6:$T$150,COLUMN()/2+1,FALSE))),"")</f>
        <v/>
      </c>
      <c r="AC41" s="76"/>
      <c r="AD41" s="148" t="str">
        <f ca="1">IFERROR(VALUE(IF(VLOOKUP($A41,数出表_Excel!$A$6:$T$150,COLUMN()/2+1,FALSE)=0,"",VLOOKUP($A41,数出表_Excel!$A$6:$T$150,COLUMN()/2+1,FALSE))),"")</f>
        <v/>
      </c>
      <c r="AE41" s="76"/>
      <c r="AF41" s="148" t="str">
        <f ca="1">IFERROR(VALUE(IF(VLOOKUP($A41,数出表_Excel!$A$6:$T$150,COLUMN()/2+1,FALSE)=0,"",VLOOKUP($A41,数出表_Excel!$A$6:$T$150,COLUMN()/2+1,FALSE))),"")</f>
        <v/>
      </c>
      <c r="AG41" s="76"/>
      <c r="AH41" s="148" t="str">
        <f ca="1">IFERROR(VALUE(IF(VLOOKUP($A41,数出表_Excel!$A$6:$T$150,COLUMN()/2+1,FALSE)=0,"",VLOOKUP($A41,数出表_Excel!$A$6:$T$150,COLUMN()/2+1,FALSE))),"")</f>
        <v/>
      </c>
      <c r="AI41" s="76"/>
      <c r="AJ41" s="148" t="str">
        <f ca="1">IFERROR(VALUE(IF(VLOOKUP($A41,数出表_Excel!$A$6:$T$150,COLUMN()/2+1,FALSE)=0,"",VLOOKUP($A41,数出表_Excel!$A$6:$T$150,COLUMN()/2+1,FALSE))),"")</f>
        <v/>
      </c>
      <c r="AK41" s="76"/>
      <c r="AL41" s="63" t="e">
        <f ca="1">IF(A41&lt;&gt;"",
IF(VLOOKUP($A41,数出表_Excel!$A$6:$T$150,COLUMN()/2+1,FALSE)=0,"",VLOOKUP($A41,数出表_Excel!$A$6:$T$150,COLUMN()/2+1,FALSE)),"")</f>
        <v>#N/A</v>
      </c>
      <c r="AM41" s="91" t="e">
        <f>数出表_Excel!V41</f>
        <v>#N/A</v>
      </c>
      <c r="AN41" s="92" t="e">
        <f>数出表_Excel!W41</f>
        <v>#N/A</v>
      </c>
    </row>
    <row r="42" spans="1:40" ht="16.2" customHeight="1">
      <c r="A42" s="81" t="e">
        <f t="array" aca="1" ref="A42" ca="1">IF(OR(COUNTIF(A40,"*10002*"),COUNTIF(A40,"")),"",INDEX(貼り付け用!$A1:$A200,MATCH(A40,貼り付け用!$A1:$A200,0)+2,0))</f>
        <v>#N/A</v>
      </c>
      <c r="B42" s="182" t="str">
        <f ca="1">IFERROR(VALUE(IF(VLOOKUP($A42,数出表_Excel!$A$6:$T$150,COLUMN()/2+1,FALSE)=0,"",VLOOKUP($A42,数出表_Excel!$A$6:$T$150,COLUMN()/2+1,FALSE))),"")</f>
        <v/>
      </c>
      <c r="C42" s="75"/>
      <c r="D42" s="182" t="str">
        <f ca="1">IFERROR(VALUE(IF(VLOOKUP($A42,数出表_Excel!$A$6:$T$150,COLUMN()/2+1,FALSE)=0,"",VLOOKUP($A42,数出表_Excel!$A$6:$T$150,COLUMN()/2+1,FALSE))),"")</f>
        <v/>
      </c>
      <c r="E42" s="75"/>
      <c r="F42" s="182" t="str">
        <f ca="1">IFERROR(VALUE(IF(VLOOKUP($A42,数出表_Excel!$A$6:$T$150,COLUMN()/2+1,FALSE)=0,"",VLOOKUP($A42,数出表_Excel!$A$6:$T$150,COLUMN()/2+1,FALSE))),"")</f>
        <v/>
      </c>
      <c r="G42" s="75"/>
      <c r="H42" s="182" t="str">
        <f ca="1">IFERROR(VALUE(IF(VLOOKUP($A42,数出表_Excel!$A$6:$T$150,COLUMN()/2+1,FALSE)=0,"",VLOOKUP($A42,数出表_Excel!$A$6:$T$150,COLUMN()/2+1,FALSE))),"")</f>
        <v/>
      </c>
      <c r="I42" s="75"/>
      <c r="J42" s="182" t="str">
        <f ca="1">IFERROR(VALUE(IF(VLOOKUP($A42,数出表_Excel!$A$6:$T$150,COLUMN()/2+1,FALSE)=0,"",VLOOKUP($A42,数出表_Excel!$A$6:$T$150,COLUMN()/2+1,FALSE))),"")</f>
        <v/>
      </c>
      <c r="K42" s="75"/>
      <c r="L42" s="182" t="str">
        <f ca="1">IFERROR(VALUE(IF(VLOOKUP($A42,数出表_Excel!$A$6:$T$150,COLUMN()/2+1,FALSE)=0,"",VLOOKUP($A42,数出表_Excel!$A$6:$T$150,COLUMN()/2+1,FALSE))),"")</f>
        <v/>
      </c>
      <c r="M42" s="75"/>
      <c r="N42" s="182" t="str">
        <f ca="1">IFERROR(VALUE(IF(VLOOKUP($A42,数出表_Excel!$A$6:$T$150,COLUMN()/2+1,FALSE)=0,"",VLOOKUP($A42,数出表_Excel!$A$6:$T$150,COLUMN()/2+1,FALSE))),"")</f>
        <v/>
      </c>
      <c r="O42" s="75"/>
      <c r="P42" s="182" t="str">
        <f ca="1">IFERROR(VALUE(IF(VLOOKUP($A42,数出表_Excel!$A$6:$T$150,COLUMN()/2+1,FALSE)=0,"",VLOOKUP($A42,数出表_Excel!$A$6:$T$150,COLUMN()/2+1,FALSE))),"")</f>
        <v/>
      </c>
      <c r="Q42" s="75"/>
      <c r="R42" s="182" t="str">
        <f ca="1">IFERROR(VALUE(IF(VLOOKUP($A42,数出表_Excel!$A$6:$T$150,COLUMN()/2+1,FALSE)=0,"",VLOOKUP($A42,数出表_Excel!$A$6:$T$150,COLUMN()/2+1,FALSE))),"")</f>
        <v/>
      </c>
      <c r="S42" s="75"/>
      <c r="T42" s="182" t="str">
        <f ca="1">IFERROR(VALUE(IF(VLOOKUP($A42,数出表_Excel!$A$6:$T$150,COLUMN()/2+1,FALSE)=0,"",VLOOKUP($A42,数出表_Excel!$A$6:$T$150,COLUMN()/2+1,FALSE))),"")</f>
        <v/>
      </c>
      <c r="U42" s="75"/>
      <c r="V42" s="182" t="str">
        <f ca="1">IFERROR(VALUE(IF(VLOOKUP($A42,数出表_Excel!$A$6:$T$150,COLUMN()/2+1,FALSE)=0,"",VLOOKUP($A42,数出表_Excel!$A$6:$T$150,COLUMN()/2+1,FALSE))),"")</f>
        <v/>
      </c>
      <c r="W42" s="75"/>
      <c r="X42" s="182" t="str">
        <f ca="1">IFERROR(VALUE(IF(VLOOKUP($A42,数出表_Excel!$A$6:$T$150,COLUMN()/2+1,FALSE)=0,"",VLOOKUP($A42,数出表_Excel!$A$6:$T$150,COLUMN()/2+1,FALSE))),"")</f>
        <v/>
      </c>
      <c r="Y42" s="75"/>
      <c r="Z42" s="182" t="str">
        <f ca="1">IFERROR(VALUE(IF(VLOOKUP($A42,数出表_Excel!$A$6:$T$150,COLUMN()/2+1,FALSE)=0,"",VLOOKUP($A42,数出表_Excel!$A$6:$T$150,COLUMN()/2+1,FALSE))),"")</f>
        <v/>
      </c>
      <c r="AA42" s="75"/>
      <c r="AB42" s="182" t="str">
        <f ca="1">IFERROR(VALUE(IF(VLOOKUP($A42,数出表_Excel!$A$6:$T$150,COLUMN()/2+1,FALSE)=0,"",VLOOKUP($A42,数出表_Excel!$A$6:$T$150,COLUMN()/2+1,FALSE))),"")</f>
        <v/>
      </c>
      <c r="AC42" s="75"/>
      <c r="AD42" s="182" t="str">
        <f ca="1">IFERROR(VALUE(IF(VLOOKUP($A42,数出表_Excel!$A$6:$T$150,COLUMN()/2+1,FALSE)=0,"",VLOOKUP($A42,数出表_Excel!$A$6:$T$150,COLUMN()/2+1,FALSE))),"")</f>
        <v/>
      </c>
      <c r="AE42" s="75"/>
      <c r="AF42" s="182" t="str">
        <f ca="1">IFERROR(VALUE(IF(VLOOKUP($A42,数出表_Excel!$A$6:$T$150,COLUMN()/2+1,FALSE)=0,"",VLOOKUP($A42,数出表_Excel!$A$6:$T$150,COLUMN()/2+1,FALSE))),"")</f>
        <v/>
      </c>
      <c r="AG42" s="75"/>
      <c r="AH42" s="182" t="str">
        <f ca="1">IFERROR(VALUE(IF(VLOOKUP($A42,数出表_Excel!$A$6:$T$150,COLUMN()/2+1,FALSE)=0,"",VLOOKUP($A42,数出表_Excel!$A$6:$T$150,COLUMN()/2+1,FALSE))),"")</f>
        <v/>
      </c>
      <c r="AI42" s="75"/>
      <c r="AJ42" s="182" t="str">
        <f ca="1">IFERROR(VALUE(IF(VLOOKUP($A42,数出表_Excel!$A$6:$T$150,COLUMN()/2+1,FALSE)=0,"",VLOOKUP($A42,数出表_Excel!$A$6:$T$150,COLUMN()/2+1,FALSE))),"")</f>
        <v/>
      </c>
      <c r="AK42" s="75"/>
      <c r="AL42" s="61" t="e">
        <f ca="1">IF(A42&lt;&gt;"",
IF(VLOOKUP($A42,数出表_Excel!$A$6:$T$150,COLUMN()/2+1,FALSE)=0,"",VLOOKUP($A42,数出表_Excel!$A$6:$T$150,COLUMN()/2+1,FALSE)),"")</f>
        <v>#N/A</v>
      </c>
      <c r="AM42" s="89" t="e">
        <f>数出表_Excel!V42</f>
        <v>#N/A</v>
      </c>
      <c r="AN42" s="90" t="e">
        <f>数出表_Excel!W42</f>
        <v>#N/A</v>
      </c>
    </row>
    <row r="43" spans="1:40" ht="16.2" customHeight="1">
      <c r="A43" s="82" t="e">
        <f t="array" aca="1" ref="A43" ca="1">IF(OR(COUNTIF(A41,"*1000*"),COUNTIF(A41,"")),"",INDEX(貼り付け用!$A1:$A200,MATCH(A41,貼り付け用!$A1:$A200,0)+2,0))</f>
        <v>#N/A</v>
      </c>
      <c r="B43" s="148" t="str">
        <f ca="1">IFERROR(VALUE(IF(VLOOKUP($A43,数出表_Excel!$A$6:$T$150,COLUMN()/2+1,FALSE)=0,"",VLOOKUP($A43,数出表_Excel!$A$6:$T$150,COLUMN()/2+1,FALSE))),"")</f>
        <v/>
      </c>
      <c r="C43" s="76"/>
      <c r="D43" s="148" t="str">
        <f ca="1">IFERROR(VALUE(IF(VLOOKUP($A43,数出表_Excel!$A$6:$T$150,COLUMN()/2+1,FALSE)=0,"",VLOOKUP($A43,数出表_Excel!$A$6:$T$150,COLUMN()/2+1,FALSE))),"")</f>
        <v/>
      </c>
      <c r="E43" s="76"/>
      <c r="F43" s="148" t="str">
        <f ca="1">IFERROR(VALUE(IF(VLOOKUP($A43,数出表_Excel!$A$6:$T$150,COLUMN()/2+1,FALSE)=0,"",VLOOKUP($A43,数出表_Excel!$A$6:$T$150,COLUMN()/2+1,FALSE))),"")</f>
        <v/>
      </c>
      <c r="G43" s="76"/>
      <c r="H43" s="148" t="str">
        <f ca="1">IFERROR(VALUE(IF(VLOOKUP($A43,数出表_Excel!$A$6:$T$150,COLUMN()/2+1,FALSE)=0,"",VLOOKUP($A43,数出表_Excel!$A$6:$T$150,COLUMN()/2+1,FALSE))),"")</f>
        <v/>
      </c>
      <c r="I43" s="76"/>
      <c r="J43" s="148" t="str">
        <f ca="1">IFERROR(VALUE(IF(VLOOKUP($A43,数出表_Excel!$A$6:$T$150,COLUMN()/2+1,FALSE)=0,"",VLOOKUP($A43,数出表_Excel!$A$6:$T$150,COLUMN()/2+1,FALSE))),"")</f>
        <v/>
      </c>
      <c r="K43" s="76"/>
      <c r="L43" s="148" t="str">
        <f ca="1">IFERROR(VALUE(IF(VLOOKUP($A43,数出表_Excel!$A$6:$T$150,COLUMN()/2+1,FALSE)=0,"",VLOOKUP($A43,数出表_Excel!$A$6:$T$150,COLUMN()/2+1,FALSE))),"")</f>
        <v/>
      </c>
      <c r="M43" s="76"/>
      <c r="N43" s="148" t="str">
        <f ca="1">IFERROR(VALUE(IF(VLOOKUP($A43,数出表_Excel!$A$6:$T$150,COLUMN()/2+1,FALSE)=0,"",VLOOKUP($A43,数出表_Excel!$A$6:$T$150,COLUMN()/2+1,FALSE))),"")</f>
        <v/>
      </c>
      <c r="O43" s="76"/>
      <c r="P43" s="148" t="str">
        <f ca="1">IFERROR(VALUE(IF(VLOOKUP($A43,数出表_Excel!$A$6:$T$150,COLUMN()/2+1,FALSE)=0,"",VLOOKUP($A43,数出表_Excel!$A$6:$T$150,COLUMN()/2+1,FALSE))),"")</f>
        <v/>
      </c>
      <c r="Q43" s="76"/>
      <c r="R43" s="148" t="str">
        <f ca="1">IFERROR(VALUE(IF(VLOOKUP($A43,数出表_Excel!$A$6:$T$150,COLUMN()/2+1,FALSE)=0,"",VLOOKUP($A43,数出表_Excel!$A$6:$T$150,COLUMN()/2+1,FALSE))),"")</f>
        <v/>
      </c>
      <c r="S43" s="76"/>
      <c r="T43" s="148" t="str">
        <f ca="1">IFERROR(VALUE(IF(VLOOKUP($A43,数出表_Excel!$A$6:$T$150,COLUMN()/2+1,FALSE)=0,"",VLOOKUP($A43,数出表_Excel!$A$6:$T$150,COLUMN()/2+1,FALSE))),"")</f>
        <v/>
      </c>
      <c r="U43" s="76"/>
      <c r="V43" s="148" t="str">
        <f ca="1">IFERROR(VALUE(IF(VLOOKUP($A43,数出表_Excel!$A$6:$T$150,COLUMN()/2+1,FALSE)=0,"",VLOOKUP($A43,数出表_Excel!$A$6:$T$150,COLUMN()/2+1,FALSE))),"")</f>
        <v/>
      </c>
      <c r="W43" s="76"/>
      <c r="X43" s="148" t="str">
        <f ca="1">IFERROR(VALUE(IF(VLOOKUP($A43,数出表_Excel!$A$6:$T$150,COLUMN()/2+1,FALSE)=0,"",VLOOKUP($A43,数出表_Excel!$A$6:$T$150,COLUMN()/2+1,FALSE))),"")</f>
        <v/>
      </c>
      <c r="Y43" s="76"/>
      <c r="Z43" s="148" t="str">
        <f ca="1">IFERROR(VALUE(IF(VLOOKUP($A43,数出表_Excel!$A$6:$T$150,COLUMN()/2+1,FALSE)=0,"",VLOOKUP($A43,数出表_Excel!$A$6:$T$150,COLUMN()/2+1,FALSE))),"")</f>
        <v/>
      </c>
      <c r="AA43" s="76"/>
      <c r="AB43" s="148" t="str">
        <f ca="1">IFERROR(VALUE(IF(VLOOKUP($A43,数出表_Excel!$A$6:$T$150,COLUMN()/2+1,FALSE)=0,"",VLOOKUP($A43,数出表_Excel!$A$6:$T$150,COLUMN()/2+1,FALSE))),"")</f>
        <v/>
      </c>
      <c r="AC43" s="76"/>
      <c r="AD43" s="148" t="str">
        <f ca="1">IFERROR(VALUE(IF(VLOOKUP($A43,数出表_Excel!$A$6:$T$150,COLUMN()/2+1,FALSE)=0,"",VLOOKUP($A43,数出表_Excel!$A$6:$T$150,COLUMN()/2+1,FALSE))),"")</f>
        <v/>
      </c>
      <c r="AE43" s="76"/>
      <c r="AF43" s="148" t="str">
        <f ca="1">IFERROR(VALUE(IF(VLOOKUP($A43,数出表_Excel!$A$6:$T$150,COLUMN()/2+1,FALSE)=0,"",VLOOKUP($A43,数出表_Excel!$A$6:$T$150,COLUMN()/2+1,FALSE))),"")</f>
        <v/>
      </c>
      <c r="AG43" s="76"/>
      <c r="AH43" s="148" t="str">
        <f ca="1">IFERROR(VALUE(IF(VLOOKUP($A43,数出表_Excel!$A$6:$T$150,COLUMN()/2+1,FALSE)=0,"",VLOOKUP($A43,数出表_Excel!$A$6:$T$150,COLUMN()/2+1,FALSE))),"")</f>
        <v/>
      </c>
      <c r="AI43" s="76"/>
      <c r="AJ43" s="148" t="str">
        <f ca="1">IFERROR(VALUE(IF(VLOOKUP($A43,数出表_Excel!$A$6:$T$150,COLUMN()/2+1,FALSE)=0,"",VLOOKUP($A43,数出表_Excel!$A$6:$T$150,COLUMN()/2+1,FALSE))),"")</f>
        <v/>
      </c>
      <c r="AK43" s="76"/>
      <c r="AL43" s="63" t="e">
        <f ca="1">IF(A43&lt;&gt;"",
IF(VLOOKUP($A43,数出表_Excel!$A$6:$T$150,COLUMN()/2+1,FALSE)=0,"",VLOOKUP($A43,数出表_Excel!$A$6:$T$150,COLUMN()/2+1,FALSE)),"")</f>
        <v>#N/A</v>
      </c>
      <c r="AM43" s="91" t="e">
        <f>数出表_Excel!V43</f>
        <v>#N/A</v>
      </c>
      <c r="AN43" s="92" t="e">
        <f>数出表_Excel!W43</f>
        <v>#N/A</v>
      </c>
    </row>
    <row r="44" spans="1:40" ht="16.2" customHeight="1">
      <c r="A44" s="81" t="e">
        <f t="array" aca="1" ref="A44" ca="1">IF(OR(COUNTIF(A42,"*10002*"),COUNTIF(A42,"")),"",INDEX(貼り付け用!$A1:$A200,MATCH(A42,貼り付け用!$A1:$A200,0)+2,0))</f>
        <v>#N/A</v>
      </c>
      <c r="B44" s="182" t="str">
        <f ca="1">IFERROR(VALUE(IF(VLOOKUP($A44,数出表_Excel!$A$6:$T$150,COLUMN()/2+1,FALSE)=0,"",VLOOKUP($A44,数出表_Excel!$A$6:$T$150,COLUMN()/2+1,FALSE))),"")</f>
        <v/>
      </c>
      <c r="C44" s="75"/>
      <c r="D44" s="182" t="str">
        <f ca="1">IFERROR(VALUE(IF(VLOOKUP($A44,数出表_Excel!$A$6:$T$150,COLUMN()/2+1,FALSE)=0,"",VLOOKUP($A44,数出表_Excel!$A$6:$T$150,COLUMN()/2+1,FALSE))),"")</f>
        <v/>
      </c>
      <c r="E44" s="75"/>
      <c r="F44" s="182" t="str">
        <f ca="1">IFERROR(VALUE(IF(VLOOKUP($A44,数出表_Excel!$A$6:$T$150,COLUMN()/2+1,FALSE)=0,"",VLOOKUP($A44,数出表_Excel!$A$6:$T$150,COLUMN()/2+1,FALSE))),"")</f>
        <v/>
      </c>
      <c r="G44" s="75"/>
      <c r="H44" s="182" t="str">
        <f ca="1">IFERROR(VALUE(IF(VLOOKUP($A44,数出表_Excel!$A$6:$T$150,COLUMN()/2+1,FALSE)=0,"",VLOOKUP($A44,数出表_Excel!$A$6:$T$150,COLUMN()/2+1,FALSE))),"")</f>
        <v/>
      </c>
      <c r="I44" s="75"/>
      <c r="J44" s="182" t="str">
        <f ca="1">IFERROR(VALUE(IF(VLOOKUP($A44,数出表_Excel!$A$6:$T$150,COLUMN()/2+1,FALSE)=0,"",VLOOKUP($A44,数出表_Excel!$A$6:$T$150,COLUMN()/2+1,FALSE))),"")</f>
        <v/>
      </c>
      <c r="K44" s="75"/>
      <c r="L44" s="182" t="str">
        <f ca="1">IFERROR(VALUE(IF(VLOOKUP($A44,数出表_Excel!$A$6:$T$150,COLUMN()/2+1,FALSE)=0,"",VLOOKUP($A44,数出表_Excel!$A$6:$T$150,COLUMN()/2+1,FALSE))),"")</f>
        <v/>
      </c>
      <c r="M44" s="75"/>
      <c r="N44" s="182" t="str">
        <f ca="1">IFERROR(VALUE(IF(VLOOKUP($A44,数出表_Excel!$A$6:$T$150,COLUMN()/2+1,FALSE)=0,"",VLOOKUP($A44,数出表_Excel!$A$6:$T$150,COLUMN()/2+1,FALSE))),"")</f>
        <v/>
      </c>
      <c r="O44" s="75"/>
      <c r="P44" s="182" t="str">
        <f ca="1">IFERROR(VALUE(IF(VLOOKUP($A44,数出表_Excel!$A$6:$T$150,COLUMN()/2+1,FALSE)=0,"",VLOOKUP($A44,数出表_Excel!$A$6:$T$150,COLUMN()/2+1,FALSE))),"")</f>
        <v/>
      </c>
      <c r="Q44" s="75"/>
      <c r="R44" s="182" t="str">
        <f ca="1">IFERROR(VALUE(IF(VLOOKUP($A44,数出表_Excel!$A$6:$T$150,COLUMN()/2+1,FALSE)=0,"",VLOOKUP($A44,数出表_Excel!$A$6:$T$150,COLUMN()/2+1,FALSE))),"")</f>
        <v/>
      </c>
      <c r="S44" s="75"/>
      <c r="T44" s="182" t="str">
        <f ca="1">IFERROR(VALUE(IF(VLOOKUP($A44,数出表_Excel!$A$6:$T$150,COLUMN()/2+1,FALSE)=0,"",VLOOKUP($A44,数出表_Excel!$A$6:$T$150,COLUMN()/2+1,FALSE))),"")</f>
        <v/>
      </c>
      <c r="U44" s="75"/>
      <c r="V44" s="182" t="str">
        <f ca="1">IFERROR(VALUE(IF(VLOOKUP($A44,数出表_Excel!$A$6:$T$150,COLUMN()/2+1,FALSE)=0,"",VLOOKUP($A44,数出表_Excel!$A$6:$T$150,COLUMN()/2+1,FALSE))),"")</f>
        <v/>
      </c>
      <c r="W44" s="75"/>
      <c r="X44" s="182" t="str">
        <f ca="1">IFERROR(VALUE(IF(VLOOKUP($A44,数出表_Excel!$A$6:$T$150,COLUMN()/2+1,FALSE)=0,"",VLOOKUP($A44,数出表_Excel!$A$6:$T$150,COLUMN()/2+1,FALSE))),"")</f>
        <v/>
      </c>
      <c r="Y44" s="75"/>
      <c r="Z44" s="182" t="str">
        <f ca="1">IFERROR(VALUE(IF(VLOOKUP($A44,数出表_Excel!$A$6:$T$150,COLUMN()/2+1,FALSE)=0,"",VLOOKUP($A44,数出表_Excel!$A$6:$T$150,COLUMN()/2+1,FALSE))),"")</f>
        <v/>
      </c>
      <c r="AA44" s="75"/>
      <c r="AB44" s="182" t="str">
        <f ca="1">IFERROR(VALUE(IF(VLOOKUP($A44,数出表_Excel!$A$6:$T$150,COLUMN()/2+1,FALSE)=0,"",VLOOKUP($A44,数出表_Excel!$A$6:$T$150,COLUMN()/2+1,FALSE))),"")</f>
        <v/>
      </c>
      <c r="AC44" s="75"/>
      <c r="AD44" s="182" t="str">
        <f ca="1">IFERROR(VALUE(IF(VLOOKUP($A44,数出表_Excel!$A$6:$T$150,COLUMN()/2+1,FALSE)=0,"",VLOOKUP($A44,数出表_Excel!$A$6:$T$150,COLUMN()/2+1,FALSE))),"")</f>
        <v/>
      </c>
      <c r="AE44" s="75"/>
      <c r="AF44" s="182" t="str">
        <f ca="1">IFERROR(VALUE(IF(VLOOKUP($A44,数出表_Excel!$A$6:$T$150,COLUMN()/2+1,FALSE)=0,"",VLOOKUP($A44,数出表_Excel!$A$6:$T$150,COLUMN()/2+1,FALSE))),"")</f>
        <v/>
      </c>
      <c r="AG44" s="75"/>
      <c r="AH44" s="182" t="str">
        <f ca="1">IFERROR(VALUE(IF(VLOOKUP($A44,数出表_Excel!$A$6:$T$150,COLUMN()/2+1,FALSE)=0,"",VLOOKUP($A44,数出表_Excel!$A$6:$T$150,COLUMN()/2+1,FALSE))),"")</f>
        <v/>
      </c>
      <c r="AI44" s="75"/>
      <c r="AJ44" s="182" t="str">
        <f ca="1">IFERROR(VALUE(IF(VLOOKUP($A44,数出表_Excel!$A$6:$T$150,COLUMN()/2+1,FALSE)=0,"",VLOOKUP($A44,数出表_Excel!$A$6:$T$150,COLUMN()/2+1,FALSE))),"")</f>
        <v/>
      </c>
      <c r="AK44" s="75"/>
      <c r="AL44" s="61" t="e">
        <f ca="1">IF(A44&lt;&gt;"",
IF(VLOOKUP($A44,数出表_Excel!$A$6:$T$150,COLUMN()/2+1,FALSE)=0,"",VLOOKUP($A44,数出表_Excel!$A$6:$T$150,COLUMN()/2+1,FALSE)),"")</f>
        <v>#N/A</v>
      </c>
      <c r="AM44" s="89" t="e">
        <f>数出表_Excel!V44</f>
        <v>#N/A</v>
      </c>
      <c r="AN44" s="90" t="e">
        <f>数出表_Excel!W44</f>
        <v>#N/A</v>
      </c>
    </row>
    <row r="45" spans="1:40" ht="16.2" customHeight="1">
      <c r="A45" s="82" t="e">
        <f t="array" aca="1" ref="A45" ca="1">IF(OR(COUNTIF(A43,"*1000*"),COUNTIF(A43,"")),"",INDEX(貼り付け用!$A1:$A200,MATCH(A43,貼り付け用!$A1:$A200,0)+2,0))</f>
        <v>#N/A</v>
      </c>
      <c r="B45" s="148" t="str">
        <f ca="1">IFERROR(VALUE(IF(VLOOKUP($A45,数出表_Excel!$A$6:$T$150,COLUMN()/2+1,FALSE)=0,"",VLOOKUP($A45,数出表_Excel!$A$6:$T$150,COLUMN()/2+1,FALSE))),"")</f>
        <v/>
      </c>
      <c r="C45" s="76"/>
      <c r="D45" s="148" t="str">
        <f ca="1">IFERROR(VALUE(IF(VLOOKUP($A45,数出表_Excel!$A$6:$T$150,COLUMN()/2+1,FALSE)=0,"",VLOOKUP($A45,数出表_Excel!$A$6:$T$150,COLUMN()/2+1,FALSE))),"")</f>
        <v/>
      </c>
      <c r="E45" s="76"/>
      <c r="F45" s="148" t="str">
        <f ca="1">IFERROR(VALUE(IF(VLOOKUP($A45,数出表_Excel!$A$6:$T$150,COLUMN()/2+1,FALSE)=0,"",VLOOKUP($A45,数出表_Excel!$A$6:$T$150,COLUMN()/2+1,FALSE))),"")</f>
        <v/>
      </c>
      <c r="G45" s="76"/>
      <c r="H45" s="148" t="str">
        <f ca="1">IFERROR(VALUE(IF(VLOOKUP($A45,数出表_Excel!$A$6:$T$150,COLUMN()/2+1,FALSE)=0,"",VLOOKUP($A45,数出表_Excel!$A$6:$T$150,COLUMN()/2+1,FALSE))),"")</f>
        <v/>
      </c>
      <c r="I45" s="76"/>
      <c r="J45" s="148" t="str">
        <f ca="1">IFERROR(VALUE(IF(VLOOKUP($A45,数出表_Excel!$A$6:$T$150,COLUMN()/2+1,FALSE)=0,"",VLOOKUP($A45,数出表_Excel!$A$6:$T$150,COLUMN()/2+1,FALSE))),"")</f>
        <v/>
      </c>
      <c r="K45" s="76"/>
      <c r="L45" s="148" t="str">
        <f ca="1">IFERROR(VALUE(IF(VLOOKUP($A45,数出表_Excel!$A$6:$T$150,COLUMN()/2+1,FALSE)=0,"",VLOOKUP($A45,数出表_Excel!$A$6:$T$150,COLUMN()/2+1,FALSE))),"")</f>
        <v/>
      </c>
      <c r="M45" s="76"/>
      <c r="N45" s="148" t="str">
        <f ca="1">IFERROR(VALUE(IF(VLOOKUP($A45,数出表_Excel!$A$6:$T$150,COLUMN()/2+1,FALSE)=0,"",VLOOKUP($A45,数出表_Excel!$A$6:$T$150,COLUMN()/2+1,FALSE))),"")</f>
        <v/>
      </c>
      <c r="O45" s="76"/>
      <c r="P45" s="148" t="str">
        <f ca="1">IFERROR(VALUE(IF(VLOOKUP($A45,数出表_Excel!$A$6:$T$150,COLUMN()/2+1,FALSE)=0,"",VLOOKUP($A45,数出表_Excel!$A$6:$T$150,COLUMN()/2+1,FALSE))),"")</f>
        <v/>
      </c>
      <c r="Q45" s="76"/>
      <c r="R45" s="148" t="str">
        <f ca="1">IFERROR(VALUE(IF(VLOOKUP($A45,数出表_Excel!$A$6:$T$150,COLUMN()/2+1,FALSE)=0,"",VLOOKUP($A45,数出表_Excel!$A$6:$T$150,COLUMN()/2+1,FALSE))),"")</f>
        <v/>
      </c>
      <c r="S45" s="76"/>
      <c r="T45" s="148" t="str">
        <f ca="1">IFERROR(VALUE(IF(VLOOKUP($A45,数出表_Excel!$A$6:$T$150,COLUMN()/2+1,FALSE)=0,"",VLOOKUP($A45,数出表_Excel!$A$6:$T$150,COLUMN()/2+1,FALSE))),"")</f>
        <v/>
      </c>
      <c r="U45" s="76"/>
      <c r="V45" s="148" t="str">
        <f ca="1">IFERROR(VALUE(IF(VLOOKUP($A45,数出表_Excel!$A$6:$T$150,COLUMN()/2+1,FALSE)=0,"",VLOOKUP($A45,数出表_Excel!$A$6:$T$150,COLUMN()/2+1,FALSE))),"")</f>
        <v/>
      </c>
      <c r="W45" s="76"/>
      <c r="X45" s="148" t="str">
        <f ca="1">IFERROR(VALUE(IF(VLOOKUP($A45,数出表_Excel!$A$6:$T$150,COLUMN()/2+1,FALSE)=0,"",VLOOKUP($A45,数出表_Excel!$A$6:$T$150,COLUMN()/2+1,FALSE))),"")</f>
        <v/>
      </c>
      <c r="Y45" s="76"/>
      <c r="Z45" s="148" t="str">
        <f ca="1">IFERROR(VALUE(IF(VLOOKUP($A45,数出表_Excel!$A$6:$T$150,COLUMN()/2+1,FALSE)=0,"",VLOOKUP($A45,数出表_Excel!$A$6:$T$150,COLUMN()/2+1,FALSE))),"")</f>
        <v/>
      </c>
      <c r="AA45" s="76"/>
      <c r="AB45" s="148" t="str">
        <f ca="1">IFERROR(VALUE(IF(VLOOKUP($A45,数出表_Excel!$A$6:$T$150,COLUMN()/2+1,FALSE)=0,"",VLOOKUP($A45,数出表_Excel!$A$6:$T$150,COLUMN()/2+1,FALSE))),"")</f>
        <v/>
      </c>
      <c r="AC45" s="76"/>
      <c r="AD45" s="148" t="str">
        <f ca="1">IFERROR(VALUE(IF(VLOOKUP($A45,数出表_Excel!$A$6:$T$150,COLUMN()/2+1,FALSE)=0,"",VLOOKUP($A45,数出表_Excel!$A$6:$T$150,COLUMN()/2+1,FALSE))),"")</f>
        <v/>
      </c>
      <c r="AE45" s="76"/>
      <c r="AF45" s="148" t="str">
        <f ca="1">IFERROR(VALUE(IF(VLOOKUP($A45,数出表_Excel!$A$6:$T$150,COLUMN()/2+1,FALSE)=0,"",VLOOKUP($A45,数出表_Excel!$A$6:$T$150,COLUMN()/2+1,FALSE))),"")</f>
        <v/>
      </c>
      <c r="AG45" s="76"/>
      <c r="AH45" s="148" t="str">
        <f ca="1">IFERROR(VALUE(IF(VLOOKUP($A45,数出表_Excel!$A$6:$T$150,COLUMN()/2+1,FALSE)=0,"",VLOOKUP($A45,数出表_Excel!$A$6:$T$150,COLUMN()/2+1,FALSE))),"")</f>
        <v/>
      </c>
      <c r="AI45" s="76"/>
      <c r="AJ45" s="148" t="str">
        <f ca="1">IFERROR(VALUE(IF(VLOOKUP($A45,数出表_Excel!$A$6:$T$150,COLUMN()/2+1,FALSE)=0,"",VLOOKUP($A45,数出表_Excel!$A$6:$T$150,COLUMN()/2+1,FALSE))),"")</f>
        <v/>
      </c>
      <c r="AK45" s="76"/>
      <c r="AL45" s="63" t="e">
        <f ca="1">IF(A45&lt;&gt;"",
IF(VLOOKUP($A45,数出表_Excel!$A$6:$T$150,COLUMN()/2+1,FALSE)=0,"",VLOOKUP($A45,数出表_Excel!$A$6:$T$150,COLUMN()/2+1,FALSE)),"")</f>
        <v>#N/A</v>
      </c>
      <c r="AM45" s="91" t="e">
        <f>数出表_Excel!V45</f>
        <v>#N/A</v>
      </c>
      <c r="AN45" s="92" t="e">
        <f>数出表_Excel!W45</f>
        <v>#N/A</v>
      </c>
    </row>
    <row r="46" spans="1:40" ht="16.2" customHeight="1">
      <c r="A46" s="81" t="e">
        <f t="array" aca="1" ref="A46" ca="1">IF(OR(COUNTIF(A44,"*10002*"),COUNTIF(A44,"")),"",INDEX(貼り付け用!$A1:$A200,MATCH(A44,貼り付け用!$A1:$A200,0)+2,0))</f>
        <v>#N/A</v>
      </c>
      <c r="B46" s="182" t="str">
        <f ca="1">IFERROR(VALUE(IF(VLOOKUP($A46,数出表_Excel!$A$6:$T$150,COLUMN()/2+1,FALSE)=0,"",VLOOKUP($A46,数出表_Excel!$A$6:$T$150,COLUMN()/2+1,FALSE))),"")</f>
        <v/>
      </c>
      <c r="C46" s="75"/>
      <c r="D46" s="182" t="str">
        <f ca="1">IFERROR(VALUE(IF(VLOOKUP($A46,数出表_Excel!$A$6:$T$150,COLUMN()/2+1,FALSE)=0,"",VLOOKUP($A46,数出表_Excel!$A$6:$T$150,COLUMN()/2+1,FALSE))),"")</f>
        <v/>
      </c>
      <c r="E46" s="75"/>
      <c r="F46" s="182" t="str">
        <f ca="1">IFERROR(VALUE(IF(VLOOKUP($A46,数出表_Excel!$A$6:$T$150,COLUMN()/2+1,FALSE)=0,"",VLOOKUP($A46,数出表_Excel!$A$6:$T$150,COLUMN()/2+1,FALSE))),"")</f>
        <v/>
      </c>
      <c r="G46" s="75"/>
      <c r="H46" s="182" t="str">
        <f ca="1">IFERROR(VALUE(IF(VLOOKUP($A46,数出表_Excel!$A$6:$T$150,COLUMN()/2+1,FALSE)=0,"",VLOOKUP($A46,数出表_Excel!$A$6:$T$150,COLUMN()/2+1,FALSE))),"")</f>
        <v/>
      </c>
      <c r="I46" s="75"/>
      <c r="J46" s="182" t="str">
        <f ca="1">IFERROR(VALUE(IF(VLOOKUP($A46,数出表_Excel!$A$6:$T$150,COLUMN()/2+1,FALSE)=0,"",VLOOKUP($A46,数出表_Excel!$A$6:$T$150,COLUMN()/2+1,FALSE))),"")</f>
        <v/>
      </c>
      <c r="K46" s="75"/>
      <c r="L46" s="182" t="str">
        <f ca="1">IFERROR(VALUE(IF(VLOOKUP($A46,数出表_Excel!$A$6:$T$150,COLUMN()/2+1,FALSE)=0,"",VLOOKUP($A46,数出表_Excel!$A$6:$T$150,COLUMN()/2+1,FALSE))),"")</f>
        <v/>
      </c>
      <c r="M46" s="75"/>
      <c r="N46" s="182" t="str">
        <f ca="1">IFERROR(VALUE(IF(VLOOKUP($A46,数出表_Excel!$A$6:$T$150,COLUMN()/2+1,FALSE)=0,"",VLOOKUP($A46,数出表_Excel!$A$6:$T$150,COLUMN()/2+1,FALSE))),"")</f>
        <v/>
      </c>
      <c r="O46" s="75"/>
      <c r="P46" s="182" t="str">
        <f ca="1">IFERROR(VALUE(IF(VLOOKUP($A46,数出表_Excel!$A$6:$T$150,COLUMN()/2+1,FALSE)=0,"",VLOOKUP($A46,数出表_Excel!$A$6:$T$150,COLUMN()/2+1,FALSE))),"")</f>
        <v/>
      </c>
      <c r="Q46" s="75"/>
      <c r="R46" s="182" t="str">
        <f ca="1">IFERROR(VALUE(IF(VLOOKUP($A46,数出表_Excel!$A$6:$T$150,COLUMN()/2+1,FALSE)=0,"",VLOOKUP($A46,数出表_Excel!$A$6:$T$150,COLUMN()/2+1,FALSE))),"")</f>
        <v/>
      </c>
      <c r="S46" s="75"/>
      <c r="T46" s="182" t="str">
        <f ca="1">IFERROR(VALUE(IF(VLOOKUP($A46,数出表_Excel!$A$6:$T$150,COLUMN()/2+1,FALSE)=0,"",VLOOKUP($A46,数出表_Excel!$A$6:$T$150,COLUMN()/2+1,FALSE))),"")</f>
        <v/>
      </c>
      <c r="U46" s="75"/>
      <c r="V46" s="182" t="str">
        <f ca="1">IFERROR(VALUE(IF(VLOOKUP($A46,数出表_Excel!$A$6:$T$150,COLUMN()/2+1,FALSE)=0,"",VLOOKUP($A46,数出表_Excel!$A$6:$T$150,COLUMN()/2+1,FALSE))),"")</f>
        <v/>
      </c>
      <c r="W46" s="75"/>
      <c r="X46" s="182" t="str">
        <f ca="1">IFERROR(VALUE(IF(VLOOKUP($A46,数出表_Excel!$A$6:$T$150,COLUMN()/2+1,FALSE)=0,"",VLOOKUP($A46,数出表_Excel!$A$6:$T$150,COLUMN()/2+1,FALSE))),"")</f>
        <v/>
      </c>
      <c r="Y46" s="75"/>
      <c r="Z46" s="182" t="str">
        <f ca="1">IFERROR(VALUE(IF(VLOOKUP($A46,数出表_Excel!$A$6:$T$150,COLUMN()/2+1,FALSE)=0,"",VLOOKUP($A46,数出表_Excel!$A$6:$T$150,COLUMN()/2+1,FALSE))),"")</f>
        <v/>
      </c>
      <c r="AA46" s="75"/>
      <c r="AB46" s="182" t="str">
        <f ca="1">IFERROR(VALUE(IF(VLOOKUP($A46,数出表_Excel!$A$6:$T$150,COLUMN()/2+1,FALSE)=0,"",VLOOKUP($A46,数出表_Excel!$A$6:$T$150,COLUMN()/2+1,FALSE))),"")</f>
        <v/>
      </c>
      <c r="AC46" s="75"/>
      <c r="AD46" s="182" t="str">
        <f ca="1">IFERROR(VALUE(IF(VLOOKUP($A46,数出表_Excel!$A$6:$T$150,COLUMN()/2+1,FALSE)=0,"",VLOOKUP($A46,数出表_Excel!$A$6:$T$150,COLUMN()/2+1,FALSE))),"")</f>
        <v/>
      </c>
      <c r="AE46" s="75"/>
      <c r="AF46" s="182" t="str">
        <f ca="1">IFERROR(VALUE(IF(VLOOKUP($A46,数出表_Excel!$A$6:$T$150,COLUMN()/2+1,FALSE)=0,"",VLOOKUP($A46,数出表_Excel!$A$6:$T$150,COLUMN()/2+1,FALSE))),"")</f>
        <v/>
      </c>
      <c r="AG46" s="75"/>
      <c r="AH46" s="182" t="str">
        <f ca="1">IFERROR(VALUE(IF(VLOOKUP($A46,数出表_Excel!$A$6:$T$150,COLUMN()/2+1,FALSE)=0,"",VLOOKUP($A46,数出表_Excel!$A$6:$T$150,COLUMN()/2+1,FALSE))),"")</f>
        <v/>
      </c>
      <c r="AI46" s="75"/>
      <c r="AJ46" s="182" t="str">
        <f ca="1">IFERROR(VALUE(IF(VLOOKUP($A46,数出表_Excel!$A$6:$T$150,COLUMN()/2+1,FALSE)=0,"",VLOOKUP($A46,数出表_Excel!$A$6:$T$150,COLUMN()/2+1,FALSE))),"")</f>
        <v/>
      </c>
      <c r="AK46" s="75"/>
      <c r="AL46" s="61" t="e">
        <f ca="1">IF(A46&lt;&gt;"",
IF(VLOOKUP($A46,数出表_Excel!$A$6:$T$150,COLUMN()/2+1,FALSE)=0,"",VLOOKUP($A46,数出表_Excel!$A$6:$T$150,COLUMN()/2+1,FALSE)),"")</f>
        <v>#N/A</v>
      </c>
      <c r="AM46" s="89" t="e">
        <f>数出表_Excel!V46</f>
        <v>#N/A</v>
      </c>
      <c r="AN46" s="90" t="e">
        <f>数出表_Excel!W46</f>
        <v>#N/A</v>
      </c>
    </row>
    <row r="47" spans="1:40" ht="16.2" customHeight="1">
      <c r="A47" s="82" t="e">
        <f t="array" aca="1" ref="A47" ca="1">IF(OR(COUNTIF(A45,"*1000*"),COUNTIF(A45,"")),"",INDEX(貼り付け用!$A1:$A200,MATCH(A45,貼り付け用!$A1:$A200,0)+2,0))</f>
        <v>#N/A</v>
      </c>
      <c r="B47" s="148" t="str">
        <f ca="1">IFERROR(VALUE(IF(VLOOKUP($A47,数出表_Excel!$A$6:$T$150,COLUMN()/2+1,FALSE)=0,"",VLOOKUP($A47,数出表_Excel!$A$6:$T$150,COLUMN()/2+1,FALSE))),"")</f>
        <v/>
      </c>
      <c r="C47" s="76"/>
      <c r="D47" s="148" t="str">
        <f ca="1">IFERROR(VALUE(IF(VLOOKUP($A47,数出表_Excel!$A$6:$T$150,COLUMN()/2+1,FALSE)=0,"",VLOOKUP($A47,数出表_Excel!$A$6:$T$150,COLUMN()/2+1,FALSE))),"")</f>
        <v/>
      </c>
      <c r="E47" s="76"/>
      <c r="F47" s="148" t="str">
        <f ca="1">IFERROR(VALUE(IF(VLOOKUP($A47,数出表_Excel!$A$6:$T$150,COLUMN()/2+1,FALSE)=0,"",VLOOKUP($A47,数出表_Excel!$A$6:$T$150,COLUMN()/2+1,FALSE))),"")</f>
        <v/>
      </c>
      <c r="G47" s="76"/>
      <c r="H47" s="148" t="str">
        <f ca="1">IFERROR(VALUE(IF(VLOOKUP($A47,数出表_Excel!$A$6:$T$150,COLUMN()/2+1,FALSE)=0,"",VLOOKUP($A47,数出表_Excel!$A$6:$T$150,COLUMN()/2+1,FALSE))),"")</f>
        <v/>
      </c>
      <c r="I47" s="76"/>
      <c r="J47" s="148" t="str">
        <f ca="1">IFERROR(VALUE(IF(VLOOKUP($A47,数出表_Excel!$A$6:$T$150,COLUMN()/2+1,FALSE)=0,"",VLOOKUP($A47,数出表_Excel!$A$6:$T$150,COLUMN()/2+1,FALSE))),"")</f>
        <v/>
      </c>
      <c r="K47" s="76"/>
      <c r="L47" s="148" t="str">
        <f ca="1">IFERROR(VALUE(IF(VLOOKUP($A47,数出表_Excel!$A$6:$T$150,COLUMN()/2+1,FALSE)=0,"",VLOOKUP($A47,数出表_Excel!$A$6:$T$150,COLUMN()/2+1,FALSE))),"")</f>
        <v/>
      </c>
      <c r="M47" s="76"/>
      <c r="N47" s="148" t="str">
        <f ca="1">IFERROR(VALUE(IF(VLOOKUP($A47,数出表_Excel!$A$6:$T$150,COLUMN()/2+1,FALSE)=0,"",VLOOKUP($A47,数出表_Excel!$A$6:$T$150,COLUMN()/2+1,FALSE))),"")</f>
        <v/>
      </c>
      <c r="O47" s="76"/>
      <c r="P47" s="148" t="str">
        <f ca="1">IFERROR(VALUE(IF(VLOOKUP($A47,数出表_Excel!$A$6:$T$150,COLUMN()/2+1,FALSE)=0,"",VLOOKUP($A47,数出表_Excel!$A$6:$T$150,COLUMN()/2+1,FALSE))),"")</f>
        <v/>
      </c>
      <c r="Q47" s="76"/>
      <c r="R47" s="148" t="str">
        <f ca="1">IFERROR(VALUE(IF(VLOOKUP($A47,数出表_Excel!$A$6:$T$150,COLUMN()/2+1,FALSE)=0,"",VLOOKUP($A47,数出表_Excel!$A$6:$T$150,COLUMN()/2+1,FALSE))),"")</f>
        <v/>
      </c>
      <c r="S47" s="76"/>
      <c r="T47" s="148" t="str">
        <f ca="1">IFERROR(VALUE(IF(VLOOKUP($A47,数出表_Excel!$A$6:$T$150,COLUMN()/2+1,FALSE)=0,"",VLOOKUP($A47,数出表_Excel!$A$6:$T$150,COLUMN()/2+1,FALSE))),"")</f>
        <v/>
      </c>
      <c r="U47" s="76"/>
      <c r="V47" s="148" t="str">
        <f ca="1">IFERROR(VALUE(IF(VLOOKUP($A47,数出表_Excel!$A$6:$T$150,COLUMN()/2+1,FALSE)=0,"",VLOOKUP($A47,数出表_Excel!$A$6:$T$150,COLUMN()/2+1,FALSE))),"")</f>
        <v/>
      </c>
      <c r="W47" s="76"/>
      <c r="X47" s="148" t="str">
        <f ca="1">IFERROR(VALUE(IF(VLOOKUP($A47,数出表_Excel!$A$6:$T$150,COLUMN()/2+1,FALSE)=0,"",VLOOKUP($A47,数出表_Excel!$A$6:$T$150,COLUMN()/2+1,FALSE))),"")</f>
        <v/>
      </c>
      <c r="Y47" s="76"/>
      <c r="Z47" s="148" t="str">
        <f ca="1">IFERROR(VALUE(IF(VLOOKUP($A47,数出表_Excel!$A$6:$T$150,COLUMN()/2+1,FALSE)=0,"",VLOOKUP($A47,数出表_Excel!$A$6:$T$150,COLUMN()/2+1,FALSE))),"")</f>
        <v/>
      </c>
      <c r="AA47" s="76"/>
      <c r="AB47" s="148" t="str">
        <f ca="1">IFERROR(VALUE(IF(VLOOKUP($A47,数出表_Excel!$A$6:$T$150,COLUMN()/2+1,FALSE)=0,"",VLOOKUP($A47,数出表_Excel!$A$6:$T$150,COLUMN()/2+1,FALSE))),"")</f>
        <v/>
      </c>
      <c r="AC47" s="76"/>
      <c r="AD47" s="148" t="str">
        <f ca="1">IFERROR(VALUE(IF(VLOOKUP($A47,数出表_Excel!$A$6:$T$150,COLUMN()/2+1,FALSE)=0,"",VLOOKUP($A47,数出表_Excel!$A$6:$T$150,COLUMN()/2+1,FALSE))),"")</f>
        <v/>
      </c>
      <c r="AE47" s="76"/>
      <c r="AF47" s="148" t="str">
        <f ca="1">IFERROR(VALUE(IF(VLOOKUP($A47,数出表_Excel!$A$6:$T$150,COLUMN()/2+1,FALSE)=0,"",VLOOKUP($A47,数出表_Excel!$A$6:$T$150,COLUMN()/2+1,FALSE))),"")</f>
        <v/>
      </c>
      <c r="AG47" s="76"/>
      <c r="AH47" s="148" t="str">
        <f ca="1">IFERROR(VALUE(IF(VLOOKUP($A47,数出表_Excel!$A$6:$T$150,COLUMN()/2+1,FALSE)=0,"",VLOOKUP($A47,数出表_Excel!$A$6:$T$150,COLUMN()/2+1,FALSE))),"")</f>
        <v/>
      </c>
      <c r="AI47" s="76"/>
      <c r="AJ47" s="148" t="str">
        <f ca="1">IFERROR(VALUE(IF(VLOOKUP($A47,数出表_Excel!$A$6:$T$150,COLUMN()/2+1,FALSE)=0,"",VLOOKUP($A47,数出表_Excel!$A$6:$T$150,COLUMN()/2+1,FALSE))),"")</f>
        <v/>
      </c>
      <c r="AK47" s="76"/>
      <c r="AL47" s="63" t="e">
        <f ca="1">IF(A47&lt;&gt;"",
IF(VLOOKUP($A47,数出表_Excel!$A$6:$T$150,COLUMN()/2+1,FALSE)=0,"",VLOOKUP($A47,数出表_Excel!$A$6:$T$150,COLUMN()/2+1,FALSE)),"")</f>
        <v>#N/A</v>
      </c>
      <c r="AM47" s="91" t="e">
        <f>数出表_Excel!V47</f>
        <v>#N/A</v>
      </c>
      <c r="AN47" s="92" t="e">
        <f>数出表_Excel!W47</f>
        <v>#N/A</v>
      </c>
    </row>
    <row r="48" spans="1:40" ht="16.2" customHeight="1">
      <c r="A48" s="81" t="e">
        <f t="array" aca="1" ref="A48" ca="1">IF(OR(COUNTIF(A46,"*10002*"),COUNTIF(A46,"")),"",INDEX(貼り付け用!$A1:$A200,MATCH(A46,貼り付け用!$A1:$A200,0)+2,0))</f>
        <v>#N/A</v>
      </c>
      <c r="B48" s="182" t="str">
        <f ca="1">IFERROR(VALUE(IF(VLOOKUP($A48,数出表_Excel!$A$6:$T$150,COLUMN()/2+1,FALSE)=0,"",VLOOKUP($A48,数出表_Excel!$A$6:$T$150,COLUMN()/2+1,FALSE))),"")</f>
        <v/>
      </c>
      <c r="C48" s="75"/>
      <c r="D48" s="182" t="str">
        <f ca="1">IFERROR(VALUE(IF(VLOOKUP($A48,数出表_Excel!$A$6:$T$150,COLUMN()/2+1,FALSE)=0,"",VLOOKUP($A48,数出表_Excel!$A$6:$T$150,COLUMN()/2+1,FALSE))),"")</f>
        <v/>
      </c>
      <c r="E48" s="75"/>
      <c r="F48" s="182" t="str">
        <f ca="1">IFERROR(VALUE(IF(VLOOKUP($A48,数出表_Excel!$A$6:$T$150,COLUMN()/2+1,FALSE)=0,"",VLOOKUP($A48,数出表_Excel!$A$6:$T$150,COLUMN()/2+1,FALSE))),"")</f>
        <v/>
      </c>
      <c r="G48" s="75"/>
      <c r="H48" s="182" t="str">
        <f ca="1">IFERROR(VALUE(IF(VLOOKUP($A48,数出表_Excel!$A$6:$T$150,COLUMN()/2+1,FALSE)=0,"",VLOOKUP($A48,数出表_Excel!$A$6:$T$150,COLUMN()/2+1,FALSE))),"")</f>
        <v/>
      </c>
      <c r="I48" s="75"/>
      <c r="J48" s="182" t="str">
        <f ca="1">IFERROR(VALUE(IF(VLOOKUP($A48,数出表_Excel!$A$6:$T$150,COLUMN()/2+1,FALSE)=0,"",VLOOKUP($A48,数出表_Excel!$A$6:$T$150,COLUMN()/2+1,FALSE))),"")</f>
        <v/>
      </c>
      <c r="K48" s="75"/>
      <c r="L48" s="182" t="str">
        <f ca="1">IFERROR(VALUE(IF(VLOOKUP($A48,数出表_Excel!$A$6:$T$150,COLUMN()/2+1,FALSE)=0,"",VLOOKUP($A48,数出表_Excel!$A$6:$T$150,COLUMN()/2+1,FALSE))),"")</f>
        <v/>
      </c>
      <c r="M48" s="75"/>
      <c r="N48" s="182" t="str">
        <f ca="1">IFERROR(VALUE(IF(VLOOKUP($A48,数出表_Excel!$A$6:$T$150,COLUMN()/2+1,FALSE)=0,"",VLOOKUP($A48,数出表_Excel!$A$6:$T$150,COLUMN()/2+1,FALSE))),"")</f>
        <v/>
      </c>
      <c r="O48" s="75"/>
      <c r="P48" s="182" t="str">
        <f ca="1">IFERROR(VALUE(IF(VLOOKUP($A48,数出表_Excel!$A$6:$T$150,COLUMN()/2+1,FALSE)=0,"",VLOOKUP($A48,数出表_Excel!$A$6:$T$150,COLUMN()/2+1,FALSE))),"")</f>
        <v/>
      </c>
      <c r="Q48" s="75"/>
      <c r="R48" s="182" t="str">
        <f ca="1">IFERROR(VALUE(IF(VLOOKUP($A48,数出表_Excel!$A$6:$T$150,COLUMN()/2+1,FALSE)=0,"",VLOOKUP($A48,数出表_Excel!$A$6:$T$150,COLUMN()/2+1,FALSE))),"")</f>
        <v/>
      </c>
      <c r="S48" s="75"/>
      <c r="T48" s="182" t="str">
        <f ca="1">IFERROR(VALUE(IF(VLOOKUP($A48,数出表_Excel!$A$6:$T$150,COLUMN()/2+1,FALSE)=0,"",VLOOKUP($A48,数出表_Excel!$A$6:$T$150,COLUMN()/2+1,FALSE))),"")</f>
        <v/>
      </c>
      <c r="U48" s="75"/>
      <c r="V48" s="182" t="str">
        <f ca="1">IFERROR(VALUE(IF(VLOOKUP($A48,数出表_Excel!$A$6:$T$150,COLUMN()/2+1,FALSE)=0,"",VLOOKUP($A48,数出表_Excel!$A$6:$T$150,COLUMN()/2+1,FALSE))),"")</f>
        <v/>
      </c>
      <c r="W48" s="75"/>
      <c r="X48" s="182" t="str">
        <f ca="1">IFERROR(VALUE(IF(VLOOKUP($A48,数出表_Excel!$A$6:$T$150,COLUMN()/2+1,FALSE)=0,"",VLOOKUP($A48,数出表_Excel!$A$6:$T$150,COLUMN()/2+1,FALSE))),"")</f>
        <v/>
      </c>
      <c r="Y48" s="75"/>
      <c r="Z48" s="182" t="str">
        <f ca="1">IFERROR(VALUE(IF(VLOOKUP($A48,数出表_Excel!$A$6:$T$150,COLUMN()/2+1,FALSE)=0,"",VLOOKUP($A48,数出表_Excel!$A$6:$T$150,COLUMN()/2+1,FALSE))),"")</f>
        <v/>
      </c>
      <c r="AA48" s="75"/>
      <c r="AB48" s="182" t="str">
        <f ca="1">IFERROR(VALUE(IF(VLOOKUP($A48,数出表_Excel!$A$6:$T$150,COLUMN()/2+1,FALSE)=0,"",VLOOKUP($A48,数出表_Excel!$A$6:$T$150,COLUMN()/2+1,FALSE))),"")</f>
        <v/>
      </c>
      <c r="AC48" s="75"/>
      <c r="AD48" s="182" t="str">
        <f ca="1">IFERROR(VALUE(IF(VLOOKUP($A48,数出表_Excel!$A$6:$T$150,COLUMN()/2+1,FALSE)=0,"",VLOOKUP($A48,数出表_Excel!$A$6:$T$150,COLUMN()/2+1,FALSE))),"")</f>
        <v/>
      </c>
      <c r="AE48" s="75"/>
      <c r="AF48" s="182" t="str">
        <f ca="1">IFERROR(VALUE(IF(VLOOKUP($A48,数出表_Excel!$A$6:$T$150,COLUMN()/2+1,FALSE)=0,"",VLOOKUP($A48,数出表_Excel!$A$6:$T$150,COLUMN()/2+1,FALSE))),"")</f>
        <v/>
      </c>
      <c r="AG48" s="75"/>
      <c r="AH48" s="182" t="str">
        <f ca="1">IFERROR(VALUE(IF(VLOOKUP($A48,数出表_Excel!$A$6:$T$150,COLUMN()/2+1,FALSE)=0,"",VLOOKUP($A48,数出表_Excel!$A$6:$T$150,COLUMN()/2+1,FALSE))),"")</f>
        <v/>
      </c>
      <c r="AI48" s="75"/>
      <c r="AJ48" s="182" t="str">
        <f ca="1">IFERROR(VALUE(IF(VLOOKUP($A48,数出表_Excel!$A$6:$T$150,COLUMN()/2+1,FALSE)=0,"",VLOOKUP($A48,数出表_Excel!$A$6:$T$150,COLUMN()/2+1,FALSE))),"")</f>
        <v/>
      </c>
      <c r="AK48" s="75"/>
      <c r="AL48" s="61" t="e">
        <f ca="1">IF(A48&lt;&gt;"",
IF(VLOOKUP($A48,数出表_Excel!$A$6:$T$150,COLUMN()/2+1,FALSE)=0,"",VLOOKUP($A48,数出表_Excel!$A$6:$T$150,COLUMN()/2+1,FALSE)),"")</f>
        <v>#N/A</v>
      </c>
      <c r="AM48" s="89" t="e">
        <f>数出表_Excel!V48</f>
        <v>#N/A</v>
      </c>
      <c r="AN48" s="90" t="e">
        <f>数出表_Excel!W48</f>
        <v>#N/A</v>
      </c>
    </row>
    <row r="49" spans="1:40" ht="16.2" customHeight="1">
      <c r="A49" s="82" t="e">
        <f t="array" aca="1" ref="A49" ca="1">IF(OR(COUNTIF(A47,"*1000*"),COUNTIF(A47,"")),"",INDEX(貼り付け用!$A1:$A200,MATCH(A47,貼り付け用!$A1:$A200,0)+2,0))</f>
        <v>#N/A</v>
      </c>
      <c r="B49" s="148" t="str">
        <f ca="1">IFERROR(VALUE(IF(VLOOKUP($A49,数出表_Excel!$A$6:$T$150,COLUMN()/2+1,FALSE)=0,"",VLOOKUP($A49,数出表_Excel!$A$6:$T$150,COLUMN()/2+1,FALSE))),"")</f>
        <v/>
      </c>
      <c r="C49" s="76"/>
      <c r="D49" s="148" t="str">
        <f ca="1">IFERROR(VALUE(IF(VLOOKUP($A49,数出表_Excel!$A$6:$T$150,COLUMN()/2+1,FALSE)=0,"",VLOOKUP($A49,数出表_Excel!$A$6:$T$150,COLUMN()/2+1,FALSE))),"")</f>
        <v/>
      </c>
      <c r="E49" s="76"/>
      <c r="F49" s="148" t="str">
        <f ca="1">IFERROR(VALUE(IF(VLOOKUP($A49,数出表_Excel!$A$6:$T$150,COLUMN()/2+1,FALSE)=0,"",VLOOKUP($A49,数出表_Excel!$A$6:$T$150,COLUMN()/2+1,FALSE))),"")</f>
        <v/>
      </c>
      <c r="G49" s="76"/>
      <c r="H49" s="148" t="str">
        <f ca="1">IFERROR(VALUE(IF(VLOOKUP($A49,数出表_Excel!$A$6:$T$150,COLUMN()/2+1,FALSE)=0,"",VLOOKUP($A49,数出表_Excel!$A$6:$T$150,COLUMN()/2+1,FALSE))),"")</f>
        <v/>
      </c>
      <c r="I49" s="76"/>
      <c r="J49" s="148" t="str">
        <f ca="1">IFERROR(VALUE(IF(VLOOKUP($A49,数出表_Excel!$A$6:$T$150,COLUMN()/2+1,FALSE)=0,"",VLOOKUP($A49,数出表_Excel!$A$6:$T$150,COLUMN()/2+1,FALSE))),"")</f>
        <v/>
      </c>
      <c r="K49" s="76"/>
      <c r="L49" s="148" t="str">
        <f ca="1">IFERROR(VALUE(IF(VLOOKUP($A49,数出表_Excel!$A$6:$T$150,COLUMN()/2+1,FALSE)=0,"",VLOOKUP($A49,数出表_Excel!$A$6:$T$150,COLUMN()/2+1,FALSE))),"")</f>
        <v/>
      </c>
      <c r="M49" s="76"/>
      <c r="N49" s="148" t="str">
        <f ca="1">IFERROR(VALUE(IF(VLOOKUP($A49,数出表_Excel!$A$6:$T$150,COLUMN()/2+1,FALSE)=0,"",VLOOKUP($A49,数出表_Excel!$A$6:$T$150,COLUMN()/2+1,FALSE))),"")</f>
        <v/>
      </c>
      <c r="O49" s="76"/>
      <c r="P49" s="148" t="str">
        <f ca="1">IFERROR(VALUE(IF(VLOOKUP($A49,数出表_Excel!$A$6:$T$150,COLUMN()/2+1,FALSE)=0,"",VLOOKUP($A49,数出表_Excel!$A$6:$T$150,COLUMN()/2+1,FALSE))),"")</f>
        <v/>
      </c>
      <c r="Q49" s="76"/>
      <c r="R49" s="148" t="str">
        <f ca="1">IFERROR(VALUE(IF(VLOOKUP($A49,数出表_Excel!$A$6:$T$150,COLUMN()/2+1,FALSE)=0,"",VLOOKUP($A49,数出表_Excel!$A$6:$T$150,COLUMN()/2+1,FALSE))),"")</f>
        <v/>
      </c>
      <c r="S49" s="76"/>
      <c r="T49" s="148" t="str">
        <f ca="1">IFERROR(VALUE(IF(VLOOKUP($A49,数出表_Excel!$A$6:$T$150,COLUMN()/2+1,FALSE)=0,"",VLOOKUP($A49,数出表_Excel!$A$6:$T$150,COLUMN()/2+1,FALSE))),"")</f>
        <v/>
      </c>
      <c r="U49" s="76"/>
      <c r="V49" s="148" t="str">
        <f ca="1">IFERROR(VALUE(IF(VLOOKUP($A49,数出表_Excel!$A$6:$T$150,COLUMN()/2+1,FALSE)=0,"",VLOOKUP($A49,数出表_Excel!$A$6:$T$150,COLUMN()/2+1,FALSE))),"")</f>
        <v/>
      </c>
      <c r="W49" s="76"/>
      <c r="X49" s="148" t="str">
        <f ca="1">IFERROR(VALUE(IF(VLOOKUP($A49,数出表_Excel!$A$6:$T$150,COLUMN()/2+1,FALSE)=0,"",VLOOKUP($A49,数出表_Excel!$A$6:$T$150,COLUMN()/2+1,FALSE))),"")</f>
        <v/>
      </c>
      <c r="Y49" s="76"/>
      <c r="Z49" s="148" t="str">
        <f ca="1">IFERROR(VALUE(IF(VLOOKUP($A49,数出表_Excel!$A$6:$T$150,COLUMN()/2+1,FALSE)=0,"",VLOOKUP($A49,数出表_Excel!$A$6:$T$150,COLUMN()/2+1,FALSE))),"")</f>
        <v/>
      </c>
      <c r="AA49" s="76"/>
      <c r="AB49" s="148" t="str">
        <f ca="1">IFERROR(VALUE(IF(VLOOKUP($A49,数出表_Excel!$A$6:$T$150,COLUMN()/2+1,FALSE)=0,"",VLOOKUP($A49,数出表_Excel!$A$6:$T$150,COLUMN()/2+1,FALSE))),"")</f>
        <v/>
      </c>
      <c r="AC49" s="76"/>
      <c r="AD49" s="148" t="str">
        <f ca="1">IFERROR(VALUE(IF(VLOOKUP($A49,数出表_Excel!$A$6:$T$150,COLUMN()/2+1,FALSE)=0,"",VLOOKUP($A49,数出表_Excel!$A$6:$T$150,COLUMN()/2+1,FALSE))),"")</f>
        <v/>
      </c>
      <c r="AE49" s="76"/>
      <c r="AF49" s="148" t="str">
        <f ca="1">IFERROR(VALUE(IF(VLOOKUP($A49,数出表_Excel!$A$6:$T$150,COLUMN()/2+1,FALSE)=0,"",VLOOKUP($A49,数出表_Excel!$A$6:$T$150,COLUMN()/2+1,FALSE))),"")</f>
        <v/>
      </c>
      <c r="AG49" s="76"/>
      <c r="AH49" s="148" t="str">
        <f ca="1">IFERROR(VALUE(IF(VLOOKUP($A49,数出表_Excel!$A$6:$T$150,COLUMN()/2+1,FALSE)=0,"",VLOOKUP($A49,数出表_Excel!$A$6:$T$150,COLUMN()/2+1,FALSE))),"")</f>
        <v/>
      </c>
      <c r="AI49" s="76"/>
      <c r="AJ49" s="148" t="str">
        <f ca="1">IFERROR(VALUE(IF(VLOOKUP($A49,数出表_Excel!$A$6:$T$150,COLUMN()/2+1,FALSE)=0,"",VLOOKUP($A49,数出表_Excel!$A$6:$T$150,COLUMN()/2+1,FALSE))),"")</f>
        <v/>
      </c>
      <c r="AK49" s="76"/>
      <c r="AL49" s="63" t="e">
        <f ca="1">IF(A49&lt;&gt;"",
IF(VLOOKUP($A49,数出表_Excel!$A$6:$T$150,COLUMN()/2+1,FALSE)=0,"",VLOOKUP($A49,数出表_Excel!$A$6:$T$150,COLUMN()/2+1,FALSE)),"")</f>
        <v>#N/A</v>
      </c>
      <c r="AM49" s="91" t="e">
        <f>数出表_Excel!V49</f>
        <v>#N/A</v>
      </c>
      <c r="AN49" s="92" t="e">
        <f>数出表_Excel!W49</f>
        <v>#N/A</v>
      </c>
    </row>
    <row r="50" spans="1:40" ht="16.2" customHeight="1">
      <c r="A50" s="81" t="e">
        <f t="array" aca="1" ref="A50" ca="1">IF(OR(COUNTIF(A48,"*10002*"),COUNTIF(A48,"")),"",INDEX(貼り付け用!$A1:$A200,MATCH(A48,貼り付け用!$A1:$A200,0)+2,0))</f>
        <v>#N/A</v>
      </c>
      <c r="B50" s="182" t="str">
        <f ca="1">IFERROR(VALUE(IF(VLOOKUP($A50,数出表_Excel!$A$6:$T$150,COLUMN()/2+1,FALSE)=0,"",VLOOKUP($A50,数出表_Excel!$A$6:$T$150,COLUMN()/2+1,FALSE))),"")</f>
        <v/>
      </c>
      <c r="C50" s="75"/>
      <c r="D50" s="182" t="str">
        <f ca="1">IFERROR(VALUE(IF(VLOOKUP($A50,数出表_Excel!$A$6:$T$150,COLUMN()/2+1,FALSE)=0,"",VLOOKUP($A50,数出表_Excel!$A$6:$T$150,COLUMN()/2+1,FALSE))),"")</f>
        <v/>
      </c>
      <c r="E50" s="75"/>
      <c r="F50" s="182" t="str">
        <f ca="1">IFERROR(VALUE(IF(VLOOKUP($A50,数出表_Excel!$A$6:$T$150,COLUMN()/2+1,FALSE)=0,"",VLOOKUP($A50,数出表_Excel!$A$6:$T$150,COLUMN()/2+1,FALSE))),"")</f>
        <v/>
      </c>
      <c r="G50" s="75"/>
      <c r="H50" s="182" t="str">
        <f ca="1">IFERROR(VALUE(IF(VLOOKUP($A50,数出表_Excel!$A$6:$T$150,COLUMN()/2+1,FALSE)=0,"",VLOOKUP($A50,数出表_Excel!$A$6:$T$150,COLUMN()/2+1,FALSE))),"")</f>
        <v/>
      </c>
      <c r="I50" s="75"/>
      <c r="J50" s="182" t="str">
        <f ca="1">IFERROR(VALUE(IF(VLOOKUP($A50,数出表_Excel!$A$6:$T$150,COLUMN()/2+1,FALSE)=0,"",VLOOKUP($A50,数出表_Excel!$A$6:$T$150,COLUMN()/2+1,FALSE))),"")</f>
        <v/>
      </c>
      <c r="K50" s="75"/>
      <c r="L50" s="182" t="str">
        <f ca="1">IFERROR(VALUE(IF(VLOOKUP($A50,数出表_Excel!$A$6:$T$150,COLUMN()/2+1,FALSE)=0,"",VLOOKUP($A50,数出表_Excel!$A$6:$T$150,COLUMN()/2+1,FALSE))),"")</f>
        <v/>
      </c>
      <c r="M50" s="75"/>
      <c r="N50" s="182" t="str">
        <f ca="1">IFERROR(VALUE(IF(VLOOKUP($A50,数出表_Excel!$A$6:$T$150,COLUMN()/2+1,FALSE)=0,"",VLOOKUP($A50,数出表_Excel!$A$6:$T$150,COLUMN()/2+1,FALSE))),"")</f>
        <v/>
      </c>
      <c r="O50" s="75"/>
      <c r="P50" s="182" t="str">
        <f ca="1">IFERROR(VALUE(IF(VLOOKUP($A50,数出表_Excel!$A$6:$T$150,COLUMN()/2+1,FALSE)=0,"",VLOOKUP($A50,数出表_Excel!$A$6:$T$150,COLUMN()/2+1,FALSE))),"")</f>
        <v/>
      </c>
      <c r="Q50" s="75"/>
      <c r="R50" s="182" t="str">
        <f ca="1">IFERROR(VALUE(IF(VLOOKUP($A50,数出表_Excel!$A$6:$T$150,COLUMN()/2+1,FALSE)=0,"",VLOOKUP($A50,数出表_Excel!$A$6:$T$150,COLUMN()/2+1,FALSE))),"")</f>
        <v/>
      </c>
      <c r="S50" s="75"/>
      <c r="T50" s="182" t="str">
        <f ca="1">IFERROR(VALUE(IF(VLOOKUP($A50,数出表_Excel!$A$6:$T$150,COLUMN()/2+1,FALSE)=0,"",VLOOKUP($A50,数出表_Excel!$A$6:$T$150,COLUMN()/2+1,FALSE))),"")</f>
        <v/>
      </c>
      <c r="U50" s="75"/>
      <c r="V50" s="182" t="str">
        <f ca="1">IFERROR(VALUE(IF(VLOOKUP($A50,数出表_Excel!$A$6:$T$150,COLUMN()/2+1,FALSE)=0,"",VLOOKUP($A50,数出表_Excel!$A$6:$T$150,COLUMN()/2+1,FALSE))),"")</f>
        <v/>
      </c>
      <c r="W50" s="75"/>
      <c r="X50" s="182" t="str">
        <f ca="1">IFERROR(VALUE(IF(VLOOKUP($A50,数出表_Excel!$A$6:$T$150,COLUMN()/2+1,FALSE)=0,"",VLOOKUP($A50,数出表_Excel!$A$6:$T$150,COLUMN()/2+1,FALSE))),"")</f>
        <v/>
      </c>
      <c r="Y50" s="75"/>
      <c r="Z50" s="182" t="str">
        <f ca="1">IFERROR(VALUE(IF(VLOOKUP($A50,数出表_Excel!$A$6:$T$150,COLUMN()/2+1,FALSE)=0,"",VLOOKUP($A50,数出表_Excel!$A$6:$T$150,COLUMN()/2+1,FALSE))),"")</f>
        <v/>
      </c>
      <c r="AA50" s="75"/>
      <c r="AB50" s="182" t="str">
        <f ca="1">IFERROR(VALUE(IF(VLOOKUP($A50,数出表_Excel!$A$6:$T$150,COLUMN()/2+1,FALSE)=0,"",VLOOKUP($A50,数出表_Excel!$A$6:$T$150,COLUMN()/2+1,FALSE))),"")</f>
        <v/>
      </c>
      <c r="AC50" s="75"/>
      <c r="AD50" s="182" t="str">
        <f ca="1">IFERROR(VALUE(IF(VLOOKUP($A50,数出表_Excel!$A$6:$T$150,COLUMN()/2+1,FALSE)=0,"",VLOOKUP($A50,数出表_Excel!$A$6:$T$150,COLUMN()/2+1,FALSE))),"")</f>
        <v/>
      </c>
      <c r="AE50" s="75"/>
      <c r="AF50" s="182" t="str">
        <f ca="1">IFERROR(VALUE(IF(VLOOKUP($A50,数出表_Excel!$A$6:$T$150,COLUMN()/2+1,FALSE)=0,"",VLOOKUP($A50,数出表_Excel!$A$6:$T$150,COLUMN()/2+1,FALSE))),"")</f>
        <v/>
      </c>
      <c r="AG50" s="75"/>
      <c r="AH50" s="182" t="str">
        <f ca="1">IFERROR(VALUE(IF(VLOOKUP($A50,数出表_Excel!$A$6:$T$150,COLUMN()/2+1,FALSE)=0,"",VLOOKUP($A50,数出表_Excel!$A$6:$T$150,COLUMN()/2+1,FALSE))),"")</f>
        <v/>
      </c>
      <c r="AI50" s="75"/>
      <c r="AJ50" s="182" t="str">
        <f ca="1">IFERROR(VALUE(IF(VLOOKUP($A50,数出表_Excel!$A$6:$T$150,COLUMN()/2+1,FALSE)=0,"",VLOOKUP($A50,数出表_Excel!$A$6:$T$150,COLUMN()/2+1,FALSE))),"")</f>
        <v/>
      </c>
      <c r="AK50" s="75"/>
      <c r="AL50" s="61" t="e">
        <f ca="1">IF(A50&lt;&gt;"",
IF(VLOOKUP($A50,数出表_Excel!$A$6:$T$150,COLUMN()/2+1,FALSE)=0,"",VLOOKUP($A50,数出表_Excel!$A$6:$T$150,COLUMN()/2+1,FALSE)),"")</f>
        <v>#N/A</v>
      </c>
      <c r="AM50" s="89" t="e">
        <f>数出表_Excel!V50</f>
        <v>#N/A</v>
      </c>
      <c r="AN50" s="90" t="e">
        <f>数出表_Excel!W50</f>
        <v>#N/A</v>
      </c>
    </row>
    <row r="51" spans="1:40" ht="16.2" customHeight="1">
      <c r="A51" s="82" t="e">
        <f t="array" aca="1" ref="A51" ca="1">IF(OR(COUNTIF(A49,"*1000*"),COUNTIF(A49,"")),"",INDEX(貼り付け用!$A1:$A200,MATCH(A49,貼り付け用!$A1:$A200,0)+2,0))</f>
        <v>#N/A</v>
      </c>
      <c r="B51" s="148" t="str">
        <f ca="1">IFERROR(VALUE(IF(VLOOKUP($A51,数出表_Excel!$A$6:$T$150,COLUMN()/2+1,FALSE)=0,"",VLOOKUP($A51,数出表_Excel!$A$6:$T$150,COLUMN()/2+1,FALSE))),"")</f>
        <v/>
      </c>
      <c r="C51" s="76"/>
      <c r="D51" s="148" t="str">
        <f ca="1">IFERROR(VALUE(IF(VLOOKUP($A51,数出表_Excel!$A$6:$T$150,COLUMN()/2+1,FALSE)=0,"",VLOOKUP($A51,数出表_Excel!$A$6:$T$150,COLUMN()/2+1,FALSE))),"")</f>
        <v/>
      </c>
      <c r="E51" s="76"/>
      <c r="F51" s="148" t="str">
        <f ca="1">IFERROR(VALUE(IF(VLOOKUP($A51,数出表_Excel!$A$6:$T$150,COLUMN()/2+1,FALSE)=0,"",VLOOKUP($A51,数出表_Excel!$A$6:$T$150,COLUMN()/2+1,FALSE))),"")</f>
        <v/>
      </c>
      <c r="G51" s="76"/>
      <c r="H51" s="148" t="str">
        <f ca="1">IFERROR(VALUE(IF(VLOOKUP($A51,数出表_Excel!$A$6:$T$150,COLUMN()/2+1,FALSE)=0,"",VLOOKUP($A51,数出表_Excel!$A$6:$T$150,COLUMN()/2+1,FALSE))),"")</f>
        <v/>
      </c>
      <c r="I51" s="76"/>
      <c r="J51" s="148" t="str">
        <f ca="1">IFERROR(VALUE(IF(VLOOKUP($A51,数出表_Excel!$A$6:$T$150,COLUMN()/2+1,FALSE)=0,"",VLOOKUP($A51,数出表_Excel!$A$6:$T$150,COLUMN()/2+1,FALSE))),"")</f>
        <v/>
      </c>
      <c r="K51" s="76"/>
      <c r="L51" s="148" t="str">
        <f ca="1">IFERROR(VALUE(IF(VLOOKUP($A51,数出表_Excel!$A$6:$T$150,COLUMN()/2+1,FALSE)=0,"",VLOOKUP($A51,数出表_Excel!$A$6:$T$150,COLUMN()/2+1,FALSE))),"")</f>
        <v/>
      </c>
      <c r="M51" s="76"/>
      <c r="N51" s="148" t="str">
        <f ca="1">IFERROR(VALUE(IF(VLOOKUP($A51,数出表_Excel!$A$6:$T$150,COLUMN()/2+1,FALSE)=0,"",VLOOKUP($A51,数出表_Excel!$A$6:$T$150,COLUMN()/2+1,FALSE))),"")</f>
        <v/>
      </c>
      <c r="O51" s="76"/>
      <c r="P51" s="148" t="str">
        <f ca="1">IFERROR(VALUE(IF(VLOOKUP($A51,数出表_Excel!$A$6:$T$150,COLUMN()/2+1,FALSE)=0,"",VLOOKUP($A51,数出表_Excel!$A$6:$T$150,COLUMN()/2+1,FALSE))),"")</f>
        <v/>
      </c>
      <c r="Q51" s="76"/>
      <c r="R51" s="148" t="str">
        <f ca="1">IFERROR(VALUE(IF(VLOOKUP($A51,数出表_Excel!$A$6:$T$150,COLUMN()/2+1,FALSE)=0,"",VLOOKUP($A51,数出表_Excel!$A$6:$T$150,COLUMN()/2+1,FALSE))),"")</f>
        <v/>
      </c>
      <c r="S51" s="76"/>
      <c r="T51" s="148" t="str">
        <f ca="1">IFERROR(VALUE(IF(VLOOKUP($A51,数出表_Excel!$A$6:$T$150,COLUMN()/2+1,FALSE)=0,"",VLOOKUP($A51,数出表_Excel!$A$6:$T$150,COLUMN()/2+1,FALSE))),"")</f>
        <v/>
      </c>
      <c r="U51" s="76"/>
      <c r="V51" s="148" t="str">
        <f ca="1">IFERROR(VALUE(IF(VLOOKUP($A51,数出表_Excel!$A$6:$T$150,COLUMN()/2+1,FALSE)=0,"",VLOOKUP($A51,数出表_Excel!$A$6:$T$150,COLUMN()/2+1,FALSE))),"")</f>
        <v/>
      </c>
      <c r="W51" s="76"/>
      <c r="X51" s="148" t="str">
        <f ca="1">IFERROR(VALUE(IF(VLOOKUP($A51,数出表_Excel!$A$6:$T$150,COLUMN()/2+1,FALSE)=0,"",VLOOKUP($A51,数出表_Excel!$A$6:$T$150,COLUMN()/2+1,FALSE))),"")</f>
        <v/>
      </c>
      <c r="Y51" s="76"/>
      <c r="Z51" s="148" t="str">
        <f ca="1">IFERROR(VALUE(IF(VLOOKUP($A51,数出表_Excel!$A$6:$T$150,COLUMN()/2+1,FALSE)=0,"",VLOOKUP($A51,数出表_Excel!$A$6:$T$150,COLUMN()/2+1,FALSE))),"")</f>
        <v/>
      </c>
      <c r="AA51" s="76"/>
      <c r="AB51" s="148" t="str">
        <f ca="1">IFERROR(VALUE(IF(VLOOKUP($A51,数出表_Excel!$A$6:$T$150,COLUMN()/2+1,FALSE)=0,"",VLOOKUP($A51,数出表_Excel!$A$6:$T$150,COLUMN()/2+1,FALSE))),"")</f>
        <v/>
      </c>
      <c r="AC51" s="76"/>
      <c r="AD51" s="148" t="str">
        <f ca="1">IFERROR(VALUE(IF(VLOOKUP($A51,数出表_Excel!$A$6:$T$150,COLUMN()/2+1,FALSE)=0,"",VLOOKUP($A51,数出表_Excel!$A$6:$T$150,COLUMN()/2+1,FALSE))),"")</f>
        <v/>
      </c>
      <c r="AE51" s="76"/>
      <c r="AF51" s="148" t="str">
        <f ca="1">IFERROR(VALUE(IF(VLOOKUP($A51,数出表_Excel!$A$6:$T$150,COLUMN()/2+1,FALSE)=0,"",VLOOKUP($A51,数出表_Excel!$A$6:$T$150,COLUMN()/2+1,FALSE))),"")</f>
        <v/>
      </c>
      <c r="AG51" s="76"/>
      <c r="AH51" s="148" t="str">
        <f ca="1">IFERROR(VALUE(IF(VLOOKUP($A51,数出表_Excel!$A$6:$T$150,COLUMN()/2+1,FALSE)=0,"",VLOOKUP($A51,数出表_Excel!$A$6:$T$150,COLUMN()/2+1,FALSE))),"")</f>
        <v/>
      </c>
      <c r="AI51" s="76"/>
      <c r="AJ51" s="148" t="str">
        <f ca="1">IFERROR(VALUE(IF(VLOOKUP($A51,数出表_Excel!$A$6:$T$150,COLUMN()/2+1,FALSE)=0,"",VLOOKUP($A51,数出表_Excel!$A$6:$T$150,COLUMN()/2+1,FALSE))),"")</f>
        <v/>
      </c>
      <c r="AK51" s="76"/>
      <c r="AL51" s="63" t="e">
        <f ca="1">IF(A51&lt;&gt;"",
IF(VLOOKUP($A51,数出表_Excel!$A$6:$T$150,COLUMN()/2+1,FALSE)=0,"",VLOOKUP($A51,数出表_Excel!$A$6:$T$150,COLUMN()/2+1,FALSE)),"")</f>
        <v>#N/A</v>
      </c>
      <c r="AM51" s="91" t="e">
        <f>数出表_Excel!V51</f>
        <v>#N/A</v>
      </c>
      <c r="AN51" s="92" t="e">
        <f>数出表_Excel!W51</f>
        <v>#N/A</v>
      </c>
    </row>
    <row r="52" spans="1:40" ht="16.2" customHeight="1">
      <c r="A52" s="81" t="e">
        <f t="array" aca="1" ref="A52" ca="1">IF(OR(COUNTIF(A50,"*10002*"),COUNTIF(A50,"")),"",INDEX(貼り付け用!$A1:$A200,MATCH(A50,貼り付け用!$A1:$A200,0)+2,0))</f>
        <v>#N/A</v>
      </c>
      <c r="B52" s="182" t="str">
        <f ca="1">IFERROR(VALUE(IF(VLOOKUP($A52,数出表_Excel!$A$6:$T$150,COLUMN()/2+1,FALSE)=0,"",VLOOKUP($A52,数出表_Excel!$A$6:$T$150,COLUMN()/2+1,FALSE))),"")</f>
        <v/>
      </c>
      <c r="C52" s="75"/>
      <c r="D52" s="182" t="str">
        <f ca="1">IFERROR(VALUE(IF(VLOOKUP($A52,数出表_Excel!$A$6:$T$150,COLUMN()/2+1,FALSE)=0,"",VLOOKUP($A52,数出表_Excel!$A$6:$T$150,COLUMN()/2+1,FALSE))),"")</f>
        <v/>
      </c>
      <c r="E52" s="75"/>
      <c r="F52" s="182" t="str">
        <f ca="1">IFERROR(VALUE(IF(VLOOKUP($A52,数出表_Excel!$A$6:$T$150,COLUMN()/2+1,FALSE)=0,"",VLOOKUP($A52,数出表_Excel!$A$6:$T$150,COLUMN()/2+1,FALSE))),"")</f>
        <v/>
      </c>
      <c r="G52" s="75"/>
      <c r="H52" s="182" t="str">
        <f ca="1">IFERROR(VALUE(IF(VLOOKUP($A52,数出表_Excel!$A$6:$T$150,COLUMN()/2+1,FALSE)=0,"",VLOOKUP($A52,数出表_Excel!$A$6:$T$150,COLUMN()/2+1,FALSE))),"")</f>
        <v/>
      </c>
      <c r="I52" s="75"/>
      <c r="J52" s="182" t="str">
        <f ca="1">IFERROR(VALUE(IF(VLOOKUP($A52,数出表_Excel!$A$6:$T$150,COLUMN()/2+1,FALSE)=0,"",VLOOKUP($A52,数出表_Excel!$A$6:$T$150,COLUMN()/2+1,FALSE))),"")</f>
        <v/>
      </c>
      <c r="K52" s="75"/>
      <c r="L52" s="182" t="str">
        <f ca="1">IFERROR(VALUE(IF(VLOOKUP($A52,数出表_Excel!$A$6:$T$150,COLUMN()/2+1,FALSE)=0,"",VLOOKUP($A52,数出表_Excel!$A$6:$T$150,COLUMN()/2+1,FALSE))),"")</f>
        <v/>
      </c>
      <c r="M52" s="75"/>
      <c r="N52" s="182" t="str">
        <f ca="1">IFERROR(VALUE(IF(VLOOKUP($A52,数出表_Excel!$A$6:$T$150,COLUMN()/2+1,FALSE)=0,"",VLOOKUP($A52,数出表_Excel!$A$6:$T$150,COLUMN()/2+1,FALSE))),"")</f>
        <v/>
      </c>
      <c r="O52" s="75"/>
      <c r="P52" s="182" t="str">
        <f ca="1">IFERROR(VALUE(IF(VLOOKUP($A52,数出表_Excel!$A$6:$T$150,COLUMN()/2+1,FALSE)=0,"",VLOOKUP($A52,数出表_Excel!$A$6:$T$150,COLUMN()/2+1,FALSE))),"")</f>
        <v/>
      </c>
      <c r="Q52" s="75"/>
      <c r="R52" s="182" t="str">
        <f ca="1">IFERROR(VALUE(IF(VLOOKUP($A52,数出表_Excel!$A$6:$T$150,COLUMN()/2+1,FALSE)=0,"",VLOOKUP($A52,数出表_Excel!$A$6:$T$150,COLUMN()/2+1,FALSE))),"")</f>
        <v/>
      </c>
      <c r="S52" s="75"/>
      <c r="T52" s="182" t="str">
        <f ca="1">IFERROR(VALUE(IF(VLOOKUP($A52,数出表_Excel!$A$6:$T$150,COLUMN()/2+1,FALSE)=0,"",VLOOKUP($A52,数出表_Excel!$A$6:$T$150,COLUMN()/2+1,FALSE))),"")</f>
        <v/>
      </c>
      <c r="U52" s="75"/>
      <c r="V52" s="182" t="str">
        <f ca="1">IFERROR(VALUE(IF(VLOOKUP($A52,数出表_Excel!$A$6:$T$150,COLUMN()/2+1,FALSE)=0,"",VLOOKUP($A52,数出表_Excel!$A$6:$T$150,COLUMN()/2+1,FALSE))),"")</f>
        <v/>
      </c>
      <c r="W52" s="75"/>
      <c r="X52" s="182" t="str">
        <f ca="1">IFERROR(VALUE(IF(VLOOKUP($A52,数出表_Excel!$A$6:$T$150,COLUMN()/2+1,FALSE)=0,"",VLOOKUP($A52,数出表_Excel!$A$6:$T$150,COLUMN()/2+1,FALSE))),"")</f>
        <v/>
      </c>
      <c r="Y52" s="75"/>
      <c r="Z52" s="182" t="str">
        <f ca="1">IFERROR(VALUE(IF(VLOOKUP($A52,数出表_Excel!$A$6:$T$150,COLUMN()/2+1,FALSE)=0,"",VLOOKUP($A52,数出表_Excel!$A$6:$T$150,COLUMN()/2+1,FALSE))),"")</f>
        <v/>
      </c>
      <c r="AA52" s="75"/>
      <c r="AB52" s="182" t="str">
        <f ca="1">IFERROR(VALUE(IF(VLOOKUP($A52,数出表_Excel!$A$6:$T$150,COLUMN()/2+1,FALSE)=0,"",VLOOKUP($A52,数出表_Excel!$A$6:$T$150,COLUMN()/2+1,FALSE))),"")</f>
        <v/>
      </c>
      <c r="AC52" s="75"/>
      <c r="AD52" s="182" t="str">
        <f ca="1">IFERROR(VALUE(IF(VLOOKUP($A52,数出表_Excel!$A$6:$T$150,COLUMN()/2+1,FALSE)=0,"",VLOOKUP($A52,数出表_Excel!$A$6:$T$150,COLUMN()/2+1,FALSE))),"")</f>
        <v/>
      </c>
      <c r="AE52" s="75"/>
      <c r="AF52" s="182" t="str">
        <f ca="1">IFERROR(VALUE(IF(VLOOKUP($A52,数出表_Excel!$A$6:$T$150,COLUMN()/2+1,FALSE)=0,"",VLOOKUP($A52,数出表_Excel!$A$6:$T$150,COLUMN()/2+1,FALSE))),"")</f>
        <v/>
      </c>
      <c r="AG52" s="75"/>
      <c r="AH52" s="182" t="str">
        <f ca="1">IFERROR(VALUE(IF(VLOOKUP($A52,数出表_Excel!$A$6:$T$150,COLUMN()/2+1,FALSE)=0,"",VLOOKUP($A52,数出表_Excel!$A$6:$T$150,COLUMN()/2+1,FALSE))),"")</f>
        <v/>
      </c>
      <c r="AI52" s="75"/>
      <c r="AJ52" s="182" t="str">
        <f ca="1">IFERROR(VALUE(IF(VLOOKUP($A52,数出表_Excel!$A$6:$T$150,COLUMN()/2+1,FALSE)=0,"",VLOOKUP($A52,数出表_Excel!$A$6:$T$150,COLUMN()/2+1,FALSE))),"")</f>
        <v/>
      </c>
      <c r="AK52" s="75"/>
      <c r="AL52" s="61" t="e">
        <f ca="1">IF(A52&lt;&gt;"",
IF(VLOOKUP($A52,数出表_Excel!$A$6:$T$150,COLUMN()/2+1,FALSE)=0,"",VLOOKUP($A52,数出表_Excel!$A$6:$T$150,COLUMN()/2+1,FALSE)),"")</f>
        <v>#N/A</v>
      </c>
      <c r="AM52" s="89" t="e">
        <f>数出表_Excel!V52</f>
        <v>#N/A</v>
      </c>
      <c r="AN52" s="90" t="e">
        <f>数出表_Excel!W52</f>
        <v>#N/A</v>
      </c>
    </row>
    <row r="53" spans="1:40" ht="16.2" customHeight="1">
      <c r="A53" s="82" t="e">
        <f t="array" aca="1" ref="A53" ca="1">IF(OR(COUNTIF(A51,"*1000*"),COUNTIF(A51,"")),"",INDEX(貼り付け用!$A1:$A200,MATCH(A51,貼り付け用!$A1:$A200,0)+2,0))</f>
        <v>#N/A</v>
      </c>
      <c r="B53" s="148" t="str">
        <f ca="1">IFERROR(VALUE(IF(VLOOKUP($A53,数出表_Excel!$A$6:$T$150,COLUMN()/2+1,FALSE)=0,"",VLOOKUP($A53,数出表_Excel!$A$6:$T$150,COLUMN()/2+1,FALSE))),"")</f>
        <v/>
      </c>
      <c r="C53" s="76"/>
      <c r="D53" s="148" t="str">
        <f ca="1">IFERROR(VALUE(IF(VLOOKUP($A53,数出表_Excel!$A$6:$T$150,COLUMN()/2+1,FALSE)=0,"",VLOOKUP($A53,数出表_Excel!$A$6:$T$150,COLUMN()/2+1,FALSE))),"")</f>
        <v/>
      </c>
      <c r="E53" s="76"/>
      <c r="F53" s="148" t="str">
        <f ca="1">IFERROR(VALUE(IF(VLOOKUP($A53,数出表_Excel!$A$6:$T$150,COLUMN()/2+1,FALSE)=0,"",VLOOKUP($A53,数出表_Excel!$A$6:$T$150,COLUMN()/2+1,FALSE))),"")</f>
        <v/>
      </c>
      <c r="G53" s="76"/>
      <c r="H53" s="148" t="str">
        <f ca="1">IFERROR(VALUE(IF(VLOOKUP($A53,数出表_Excel!$A$6:$T$150,COLUMN()/2+1,FALSE)=0,"",VLOOKUP($A53,数出表_Excel!$A$6:$T$150,COLUMN()/2+1,FALSE))),"")</f>
        <v/>
      </c>
      <c r="I53" s="76"/>
      <c r="J53" s="148" t="str">
        <f ca="1">IFERROR(VALUE(IF(VLOOKUP($A53,数出表_Excel!$A$6:$T$150,COLUMN()/2+1,FALSE)=0,"",VLOOKUP($A53,数出表_Excel!$A$6:$T$150,COLUMN()/2+1,FALSE))),"")</f>
        <v/>
      </c>
      <c r="K53" s="76"/>
      <c r="L53" s="148" t="str">
        <f ca="1">IFERROR(VALUE(IF(VLOOKUP($A53,数出表_Excel!$A$6:$T$150,COLUMN()/2+1,FALSE)=0,"",VLOOKUP($A53,数出表_Excel!$A$6:$T$150,COLUMN()/2+1,FALSE))),"")</f>
        <v/>
      </c>
      <c r="M53" s="76"/>
      <c r="N53" s="148" t="str">
        <f ca="1">IFERROR(VALUE(IF(VLOOKUP($A53,数出表_Excel!$A$6:$T$150,COLUMN()/2+1,FALSE)=0,"",VLOOKUP($A53,数出表_Excel!$A$6:$T$150,COLUMN()/2+1,FALSE))),"")</f>
        <v/>
      </c>
      <c r="O53" s="76"/>
      <c r="P53" s="148" t="str">
        <f ca="1">IFERROR(VALUE(IF(VLOOKUP($A53,数出表_Excel!$A$6:$T$150,COLUMN()/2+1,FALSE)=0,"",VLOOKUP($A53,数出表_Excel!$A$6:$T$150,COLUMN()/2+1,FALSE))),"")</f>
        <v/>
      </c>
      <c r="Q53" s="76"/>
      <c r="R53" s="148" t="str">
        <f ca="1">IFERROR(VALUE(IF(VLOOKUP($A53,数出表_Excel!$A$6:$T$150,COLUMN()/2+1,FALSE)=0,"",VLOOKUP($A53,数出表_Excel!$A$6:$T$150,COLUMN()/2+1,FALSE))),"")</f>
        <v/>
      </c>
      <c r="S53" s="76"/>
      <c r="T53" s="148" t="str">
        <f ca="1">IFERROR(VALUE(IF(VLOOKUP($A53,数出表_Excel!$A$6:$T$150,COLUMN()/2+1,FALSE)=0,"",VLOOKUP($A53,数出表_Excel!$A$6:$T$150,COLUMN()/2+1,FALSE))),"")</f>
        <v/>
      </c>
      <c r="U53" s="76"/>
      <c r="V53" s="148" t="str">
        <f ca="1">IFERROR(VALUE(IF(VLOOKUP($A53,数出表_Excel!$A$6:$T$150,COLUMN()/2+1,FALSE)=0,"",VLOOKUP($A53,数出表_Excel!$A$6:$T$150,COLUMN()/2+1,FALSE))),"")</f>
        <v/>
      </c>
      <c r="W53" s="76"/>
      <c r="X53" s="148" t="str">
        <f ca="1">IFERROR(VALUE(IF(VLOOKUP($A53,数出表_Excel!$A$6:$T$150,COLUMN()/2+1,FALSE)=0,"",VLOOKUP($A53,数出表_Excel!$A$6:$T$150,COLUMN()/2+1,FALSE))),"")</f>
        <v/>
      </c>
      <c r="Y53" s="76"/>
      <c r="Z53" s="148" t="str">
        <f ca="1">IFERROR(VALUE(IF(VLOOKUP($A53,数出表_Excel!$A$6:$T$150,COLUMN()/2+1,FALSE)=0,"",VLOOKUP($A53,数出表_Excel!$A$6:$T$150,COLUMN()/2+1,FALSE))),"")</f>
        <v/>
      </c>
      <c r="AA53" s="76"/>
      <c r="AB53" s="148" t="str">
        <f ca="1">IFERROR(VALUE(IF(VLOOKUP($A53,数出表_Excel!$A$6:$T$150,COLUMN()/2+1,FALSE)=0,"",VLOOKUP($A53,数出表_Excel!$A$6:$T$150,COLUMN()/2+1,FALSE))),"")</f>
        <v/>
      </c>
      <c r="AC53" s="76"/>
      <c r="AD53" s="148" t="str">
        <f ca="1">IFERROR(VALUE(IF(VLOOKUP($A53,数出表_Excel!$A$6:$T$150,COLUMN()/2+1,FALSE)=0,"",VLOOKUP($A53,数出表_Excel!$A$6:$T$150,COLUMN()/2+1,FALSE))),"")</f>
        <v/>
      </c>
      <c r="AE53" s="76"/>
      <c r="AF53" s="148" t="str">
        <f ca="1">IFERROR(VALUE(IF(VLOOKUP($A53,数出表_Excel!$A$6:$T$150,COLUMN()/2+1,FALSE)=0,"",VLOOKUP($A53,数出表_Excel!$A$6:$T$150,COLUMN()/2+1,FALSE))),"")</f>
        <v/>
      </c>
      <c r="AG53" s="76"/>
      <c r="AH53" s="148" t="str">
        <f ca="1">IFERROR(VALUE(IF(VLOOKUP($A53,数出表_Excel!$A$6:$T$150,COLUMN()/2+1,FALSE)=0,"",VLOOKUP($A53,数出表_Excel!$A$6:$T$150,COLUMN()/2+1,FALSE))),"")</f>
        <v/>
      </c>
      <c r="AI53" s="76"/>
      <c r="AJ53" s="148" t="str">
        <f ca="1">IFERROR(VALUE(IF(VLOOKUP($A53,数出表_Excel!$A$6:$T$150,COLUMN()/2+1,FALSE)=0,"",VLOOKUP($A53,数出表_Excel!$A$6:$T$150,COLUMN()/2+1,FALSE))),"")</f>
        <v/>
      </c>
      <c r="AK53" s="76"/>
      <c r="AL53" s="63" t="e">
        <f ca="1">IF(A53&lt;&gt;"",
IF(VLOOKUP($A53,数出表_Excel!$A$6:$T$150,COLUMN()/2+1,FALSE)=0,"",VLOOKUP($A53,数出表_Excel!$A$6:$T$150,COLUMN()/2+1,FALSE)),"")</f>
        <v>#N/A</v>
      </c>
      <c r="AM53" s="91" t="e">
        <f>数出表_Excel!V53</f>
        <v>#N/A</v>
      </c>
      <c r="AN53" s="92" t="e">
        <f>数出表_Excel!W53</f>
        <v>#N/A</v>
      </c>
    </row>
    <row r="54" spans="1:40" ht="16.2" customHeight="1">
      <c r="A54" s="81" t="e">
        <f t="array" aca="1" ref="A54" ca="1">IF(OR(COUNTIF(A52,"*10002*"),COUNTIF(A52,"")),"",INDEX(貼り付け用!$A1:$A200,MATCH(A52,貼り付け用!$A1:$A200,0)+2,0))</f>
        <v>#N/A</v>
      </c>
      <c r="B54" s="182" t="str">
        <f ca="1">IFERROR(VALUE(IF(VLOOKUP($A54,数出表_Excel!$A$6:$T$150,COLUMN()/2+1,FALSE)=0,"",VLOOKUP($A54,数出表_Excel!$A$6:$T$150,COLUMN()/2+1,FALSE))),"")</f>
        <v/>
      </c>
      <c r="C54" s="75"/>
      <c r="D54" s="182" t="str">
        <f ca="1">IFERROR(VALUE(IF(VLOOKUP($A54,数出表_Excel!$A$6:$T$150,COLUMN()/2+1,FALSE)=0,"",VLOOKUP($A54,数出表_Excel!$A$6:$T$150,COLUMN()/2+1,FALSE))),"")</f>
        <v/>
      </c>
      <c r="E54" s="75"/>
      <c r="F54" s="182" t="str">
        <f ca="1">IFERROR(VALUE(IF(VLOOKUP($A54,数出表_Excel!$A$6:$T$150,COLUMN()/2+1,FALSE)=0,"",VLOOKUP($A54,数出表_Excel!$A$6:$T$150,COLUMN()/2+1,FALSE))),"")</f>
        <v/>
      </c>
      <c r="G54" s="75"/>
      <c r="H54" s="182" t="str">
        <f ca="1">IFERROR(VALUE(IF(VLOOKUP($A54,数出表_Excel!$A$6:$T$150,COLUMN()/2+1,FALSE)=0,"",VLOOKUP($A54,数出表_Excel!$A$6:$T$150,COLUMN()/2+1,FALSE))),"")</f>
        <v/>
      </c>
      <c r="I54" s="75"/>
      <c r="J54" s="182" t="str">
        <f ca="1">IFERROR(VALUE(IF(VLOOKUP($A54,数出表_Excel!$A$6:$T$150,COLUMN()/2+1,FALSE)=0,"",VLOOKUP($A54,数出表_Excel!$A$6:$T$150,COLUMN()/2+1,FALSE))),"")</f>
        <v/>
      </c>
      <c r="K54" s="75"/>
      <c r="L54" s="182" t="str">
        <f ca="1">IFERROR(VALUE(IF(VLOOKUP($A54,数出表_Excel!$A$6:$T$150,COLUMN()/2+1,FALSE)=0,"",VLOOKUP($A54,数出表_Excel!$A$6:$T$150,COLUMN()/2+1,FALSE))),"")</f>
        <v/>
      </c>
      <c r="M54" s="75"/>
      <c r="N54" s="182" t="str">
        <f ca="1">IFERROR(VALUE(IF(VLOOKUP($A54,数出表_Excel!$A$6:$T$150,COLUMN()/2+1,FALSE)=0,"",VLOOKUP($A54,数出表_Excel!$A$6:$T$150,COLUMN()/2+1,FALSE))),"")</f>
        <v/>
      </c>
      <c r="O54" s="75"/>
      <c r="P54" s="182" t="str">
        <f ca="1">IFERROR(VALUE(IF(VLOOKUP($A54,数出表_Excel!$A$6:$T$150,COLUMN()/2+1,FALSE)=0,"",VLOOKUP($A54,数出表_Excel!$A$6:$T$150,COLUMN()/2+1,FALSE))),"")</f>
        <v/>
      </c>
      <c r="Q54" s="75"/>
      <c r="R54" s="182" t="str">
        <f ca="1">IFERROR(VALUE(IF(VLOOKUP($A54,数出表_Excel!$A$6:$T$150,COLUMN()/2+1,FALSE)=0,"",VLOOKUP($A54,数出表_Excel!$A$6:$T$150,COLUMN()/2+1,FALSE))),"")</f>
        <v/>
      </c>
      <c r="S54" s="75"/>
      <c r="T54" s="182" t="str">
        <f ca="1">IFERROR(VALUE(IF(VLOOKUP($A54,数出表_Excel!$A$6:$T$150,COLUMN()/2+1,FALSE)=0,"",VLOOKUP($A54,数出表_Excel!$A$6:$T$150,COLUMN()/2+1,FALSE))),"")</f>
        <v/>
      </c>
      <c r="U54" s="75"/>
      <c r="V54" s="182" t="str">
        <f ca="1">IFERROR(VALUE(IF(VLOOKUP($A54,数出表_Excel!$A$6:$T$150,COLUMN()/2+1,FALSE)=0,"",VLOOKUP($A54,数出表_Excel!$A$6:$T$150,COLUMN()/2+1,FALSE))),"")</f>
        <v/>
      </c>
      <c r="W54" s="75"/>
      <c r="X54" s="182" t="str">
        <f ca="1">IFERROR(VALUE(IF(VLOOKUP($A54,数出表_Excel!$A$6:$T$150,COLUMN()/2+1,FALSE)=0,"",VLOOKUP($A54,数出表_Excel!$A$6:$T$150,COLUMN()/2+1,FALSE))),"")</f>
        <v/>
      </c>
      <c r="Y54" s="75"/>
      <c r="Z54" s="182" t="str">
        <f ca="1">IFERROR(VALUE(IF(VLOOKUP($A54,数出表_Excel!$A$6:$T$150,COLUMN()/2+1,FALSE)=0,"",VLOOKUP($A54,数出表_Excel!$A$6:$T$150,COLUMN()/2+1,FALSE))),"")</f>
        <v/>
      </c>
      <c r="AA54" s="75"/>
      <c r="AB54" s="182" t="str">
        <f ca="1">IFERROR(VALUE(IF(VLOOKUP($A54,数出表_Excel!$A$6:$T$150,COLUMN()/2+1,FALSE)=0,"",VLOOKUP($A54,数出表_Excel!$A$6:$T$150,COLUMN()/2+1,FALSE))),"")</f>
        <v/>
      </c>
      <c r="AC54" s="75"/>
      <c r="AD54" s="182" t="str">
        <f ca="1">IFERROR(VALUE(IF(VLOOKUP($A54,数出表_Excel!$A$6:$T$150,COLUMN()/2+1,FALSE)=0,"",VLOOKUP($A54,数出表_Excel!$A$6:$T$150,COLUMN()/2+1,FALSE))),"")</f>
        <v/>
      </c>
      <c r="AE54" s="75"/>
      <c r="AF54" s="182" t="str">
        <f ca="1">IFERROR(VALUE(IF(VLOOKUP($A54,数出表_Excel!$A$6:$T$150,COLUMN()/2+1,FALSE)=0,"",VLOOKUP($A54,数出表_Excel!$A$6:$T$150,COLUMN()/2+1,FALSE))),"")</f>
        <v/>
      </c>
      <c r="AG54" s="75"/>
      <c r="AH54" s="182" t="str">
        <f ca="1">IFERROR(VALUE(IF(VLOOKUP($A54,数出表_Excel!$A$6:$T$150,COLUMN()/2+1,FALSE)=0,"",VLOOKUP($A54,数出表_Excel!$A$6:$T$150,COLUMN()/2+1,FALSE))),"")</f>
        <v/>
      </c>
      <c r="AI54" s="75"/>
      <c r="AJ54" s="182" t="str">
        <f ca="1">IFERROR(VALUE(IF(VLOOKUP($A54,数出表_Excel!$A$6:$T$150,COLUMN()/2+1,FALSE)=0,"",VLOOKUP($A54,数出表_Excel!$A$6:$T$150,COLUMN()/2+1,FALSE))),"")</f>
        <v/>
      </c>
      <c r="AK54" s="75"/>
      <c r="AL54" s="61" t="e">
        <f ca="1">IF(A54&lt;&gt;"",
IF(VLOOKUP($A54,数出表_Excel!$A$6:$T$150,COLUMN()/2+1,FALSE)=0,"",VLOOKUP($A54,数出表_Excel!$A$6:$T$150,COLUMN()/2+1,FALSE)),"")</f>
        <v>#N/A</v>
      </c>
      <c r="AM54" s="89" t="e">
        <f>数出表_Excel!V54</f>
        <v>#N/A</v>
      </c>
      <c r="AN54" s="90" t="e">
        <f>数出表_Excel!W54</f>
        <v>#N/A</v>
      </c>
    </row>
    <row r="55" spans="1:40" ht="16.2" customHeight="1">
      <c r="A55" s="82" t="e">
        <f t="array" aca="1" ref="A55" ca="1">IF(OR(COUNTIF(A53,"*1000*"),COUNTIF(A53,"")),"",INDEX(貼り付け用!$A1:$A200,MATCH(A53,貼り付け用!$A1:$A200,0)+2,0))</f>
        <v>#N/A</v>
      </c>
      <c r="B55" s="148" t="str">
        <f ca="1">IFERROR(VALUE(IF(VLOOKUP($A55,数出表_Excel!$A$6:$T$150,COLUMN()/2+1,FALSE)=0,"",VLOOKUP($A55,数出表_Excel!$A$6:$T$150,COLUMN()/2+1,FALSE))),"")</f>
        <v/>
      </c>
      <c r="C55" s="76"/>
      <c r="D55" s="148" t="str">
        <f ca="1">IFERROR(VALUE(IF(VLOOKUP($A55,数出表_Excel!$A$6:$T$150,COLUMN()/2+1,FALSE)=0,"",VLOOKUP($A55,数出表_Excel!$A$6:$T$150,COLUMN()/2+1,FALSE))),"")</f>
        <v/>
      </c>
      <c r="E55" s="76"/>
      <c r="F55" s="148" t="str">
        <f ca="1">IFERROR(VALUE(IF(VLOOKUP($A55,数出表_Excel!$A$6:$T$150,COLUMN()/2+1,FALSE)=0,"",VLOOKUP($A55,数出表_Excel!$A$6:$T$150,COLUMN()/2+1,FALSE))),"")</f>
        <v/>
      </c>
      <c r="G55" s="76"/>
      <c r="H55" s="148" t="str">
        <f ca="1">IFERROR(VALUE(IF(VLOOKUP($A55,数出表_Excel!$A$6:$T$150,COLUMN()/2+1,FALSE)=0,"",VLOOKUP($A55,数出表_Excel!$A$6:$T$150,COLUMN()/2+1,FALSE))),"")</f>
        <v/>
      </c>
      <c r="I55" s="76"/>
      <c r="J55" s="148" t="str">
        <f ca="1">IFERROR(VALUE(IF(VLOOKUP($A55,数出表_Excel!$A$6:$T$150,COLUMN()/2+1,FALSE)=0,"",VLOOKUP($A55,数出表_Excel!$A$6:$T$150,COLUMN()/2+1,FALSE))),"")</f>
        <v/>
      </c>
      <c r="K55" s="76"/>
      <c r="L55" s="148" t="str">
        <f ca="1">IFERROR(VALUE(IF(VLOOKUP($A55,数出表_Excel!$A$6:$T$150,COLUMN()/2+1,FALSE)=0,"",VLOOKUP($A55,数出表_Excel!$A$6:$T$150,COLUMN()/2+1,FALSE))),"")</f>
        <v/>
      </c>
      <c r="M55" s="76"/>
      <c r="N55" s="148" t="str">
        <f ca="1">IFERROR(VALUE(IF(VLOOKUP($A55,数出表_Excel!$A$6:$T$150,COLUMN()/2+1,FALSE)=0,"",VLOOKUP($A55,数出表_Excel!$A$6:$T$150,COLUMN()/2+1,FALSE))),"")</f>
        <v/>
      </c>
      <c r="O55" s="76"/>
      <c r="P55" s="148" t="str">
        <f ca="1">IFERROR(VALUE(IF(VLOOKUP($A55,数出表_Excel!$A$6:$T$150,COLUMN()/2+1,FALSE)=0,"",VLOOKUP($A55,数出表_Excel!$A$6:$T$150,COLUMN()/2+1,FALSE))),"")</f>
        <v/>
      </c>
      <c r="Q55" s="76"/>
      <c r="R55" s="148" t="str">
        <f ca="1">IFERROR(VALUE(IF(VLOOKUP($A55,数出表_Excel!$A$6:$T$150,COLUMN()/2+1,FALSE)=0,"",VLOOKUP($A55,数出表_Excel!$A$6:$T$150,COLUMN()/2+1,FALSE))),"")</f>
        <v/>
      </c>
      <c r="S55" s="76"/>
      <c r="T55" s="148" t="str">
        <f ca="1">IFERROR(VALUE(IF(VLOOKUP($A55,数出表_Excel!$A$6:$T$150,COLUMN()/2+1,FALSE)=0,"",VLOOKUP($A55,数出表_Excel!$A$6:$T$150,COLUMN()/2+1,FALSE))),"")</f>
        <v/>
      </c>
      <c r="U55" s="76"/>
      <c r="V55" s="148" t="str">
        <f ca="1">IFERROR(VALUE(IF(VLOOKUP($A55,数出表_Excel!$A$6:$T$150,COLUMN()/2+1,FALSE)=0,"",VLOOKUP($A55,数出表_Excel!$A$6:$T$150,COLUMN()/2+1,FALSE))),"")</f>
        <v/>
      </c>
      <c r="W55" s="76"/>
      <c r="X55" s="148" t="str">
        <f ca="1">IFERROR(VALUE(IF(VLOOKUP($A55,数出表_Excel!$A$6:$T$150,COLUMN()/2+1,FALSE)=0,"",VLOOKUP($A55,数出表_Excel!$A$6:$T$150,COLUMN()/2+1,FALSE))),"")</f>
        <v/>
      </c>
      <c r="Y55" s="76"/>
      <c r="Z55" s="148" t="str">
        <f ca="1">IFERROR(VALUE(IF(VLOOKUP($A55,数出表_Excel!$A$6:$T$150,COLUMN()/2+1,FALSE)=0,"",VLOOKUP($A55,数出表_Excel!$A$6:$T$150,COLUMN()/2+1,FALSE))),"")</f>
        <v/>
      </c>
      <c r="AA55" s="76"/>
      <c r="AB55" s="148" t="str">
        <f ca="1">IFERROR(VALUE(IF(VLOOKUP($A55,数出表_Excel!$A$6:$T$150,COLUMN()/2+1,FALSE)=0,"",VLOOKUP($A55,数出表_Excel!$A$6:$T$150,COLUMN()/2+1,FALSE))),"")</f>
        <v/>
      </c>
      <c r="AC55" s="76"/>
      <c r="AD55" s="148" t="str">
        <f ca="1">IFERROR(VALUE(IF(VLOOKUP($A55,数出表_Excel!$A$6:$T$150,COLUMN()/2+1,FALSE)=0,"",VLOOKUP($A55,数出表_Excel!$A$6:$T$150,COLUMN()/2+1,FALSE))),"")</f>
        <v/>
      </c>
      <c r="AE55" s="76"/>
      <c r="AF55" s="148" t="str">
        <f ca="1">IFERROR(VALUE(IF(VLOOKUP($A55,数出表_Excel!$A$6:$T$150,COLUMN()/2+1,FALSE)=0,"",VLOOKUP($A55,数出表_Excel!$A$6:$T$150,COLUMN()/2+1,FALSE))),"")</f>
        <v/>
      </c>
      <c r="AG55" s="76"/>
      <c r="AH55" s="148" t="str">
        <f ca="1">IFERROR(VALUE(IF(VLOOKUP($A55,数出表_Excel!$A$6:$T$150,COLUMN()/2+1,FALSE)=0,"",VLOOKUP($A55,数出表_Excel!$A$6:$T$150,COLUMN()/2+1,FALSE))),"")</f>
        <v/>
      </c>
      <c r="AI55" s="76"/>
      <c r="AJ55" s="148" t="str">
        <f ca="1">IFERROR(VALUE(IF(VLOOKUP($A55,数出表_Excel!$A$6:$T$150,COLUMN()/2+1,FALSE)=0,"",VLOOKUP($A55,数出表_Excel!$A$6:$T$150,COLUMN()/2+1,FALSE))),"")</f>
        <v/>
      </c>
      <c r="AK55" s="76"/>
      <c r="AL55" s="63" t="e">
        <f ca="1">IF(A55&lt;&gt;"",
IF(VLOOKUP($A55,数出表_Excel!$A$6:$T$150,COLUMN()/2+1,FALSE)=0,"",VLOOKUP($A55,数出表_Excel!$A$6:$T$150,COLUMN()/2+1,FALSE)),"")</f>
        <v>#N/A</v>
      </c>
      <c r="AM55" s="91" t="e">
        <f>数出表_Excel!V55</f>
        <v>#N/A</v>
      </c>
      <c r="AN55" s="92" t="e">
        <f>数出表_Excel!W55</f>
        <v>#N/A</v>
      </c>
    </row>
    <row r="56" spans="1:40" ht="16.2" customHeight="1">
      <c r="A56" s="81" t="e">
        <f t="array" aca="1" ref="A56" ca="1">IF(OR(COUNTIF(A54,"*10002*"),COUNTIF(A54,"")),"",INDEX(貼り付け用!$A1:$A200,MATCH(A54,貼り付け用!$A1:$A200,0)+2,0))</f>
        <v>#N/A</v>
      </c>
      <c r="B56" s="182" t="str">
        <f ca="1">IFERROR(VALUE(IF(VLOOKUP($A56,数出表_Excel!$A$6:$T$150,COLUMN()/2+1,FALSE)=0,"",VLOOKUP($A56,数出表_Excel!$A$6:$T$150,COLUMN()/2+1,FALSE))),"")</f>
        <v/>
      </c>
      <c r="C56" s="75"/>
      <c r="D56" s="182" t="str">
        <f ca="1">IFERROR(VALUE(IF(VLOOKUP($A56,数出表_Excel!$A$6:$T$150,COLUMN()/2+1,FALSE)=0,"",VLOOKUP($A56,数出表_Excel!$A$6:$T$150,COLUMN()/2+1,FALSE))),"")</f>
        <v/>
      </c>
      <c r="E56" s="75"/>
      <c r="F56" s="182" t="str">
        <f ca="1">IFERROR(VALUE(IF(VLOOKUP($A56,数出表_Excel!$A$6:$T$150,COLUMN()/2+1,FALSE)=0,"",VLOOKUP($A56,数出表_Excel!$A$6:$T$150,COLUMN()/2+1,FALSE))),"")</f>
        <v/>
      </c>
      <c r="G56" s="75"/>
      <c r="H56" s="182" t="str">
        <f ca="1">IFERROR(VALUE(IF(VLOOKUP($A56,数出表_Excel!$A$6:$T$150,COLUMN()/2+1,FALSE)=0,"",VLOOKUP($A56,数出表_Excel!$A$6:$T$150,COLUMN()/2+1,FALSE))),"")</f>
        <v/>
      </c>
      <c r="I56" s="75"/>
      <c r="J56" s="182" t="str">
        <f ca="1">IFERROR(VALUE(IF(VLOOKUP($A56,数出表_Excel!$A$6:$T$150,COLUMN()/2+1,FALSE)=0,"",VLOOKUP($A56,数出表_Excel!$A$6:$T$150,COLUMN()/2+1,FALSE))),"")</f>
        <v/>
      </c>
      <c r="K56" s="75"/>
      <c r="L56" s="182" t="str">
        <f ca="1">IFERROR(VALUE(IF(VLOOKUP($A56,数出表_Excel!$A$6:$T$150,COLUMN()/2+1,FALSE)=0,"",VLOOKUP($A56,数出表_Excel!$A$6:$T$150,COLUMN()/2+1,FALSE))),"")</f>
        <v/>
      </c>
      <c r="M56" s="75"/>
      <c r="N56" s="182" t="str">
        <f ca="1">IFERROR(VALUE(IF(VLOOKUP($A56,数出表_Excel!$A$6:$T$150,COLUMN()/2+1,FALSE)=0,"",VLOOKUP($A56,数出表_Excel!$A$6:$T$150,COLUMN()/2+1,FALSE))),"")</f>
        <v/>
      </c>
      <c r="O56" s="75"/>
      <c r="P56" s="182" t="str">
        <f ca="1">IFERROR(VALUE(IF(VLOOKUP($A56,数出表_Excel!$A$6:$T$150,COLUMN()/2+1,FALSE)=0,"",VLOOKUP($A56,数出表_Excel!$A$6:$T$150,COLUMN()/2+1,FALSE))),"")</f>
        <v/>
      </c>
      <c r="Q56" s="75"/>
      <c r="R56" s="182" t="str">
        <f ca="1">IFERROR(VALUE(IF(VLOOKUP($A56,数出表_Excel!$A$6:$T$150,COLUMN()/2+1,FALSE)=0,"",VLOOKUP($A56,数出表_Excel!$A$6:$T$150,COLUMN()/2+1,FALSE))),"")</f>
        <v/>
      </c>
      <c r="S56" s="75"/>
      <c r="T56" s="182" t="str">
        <f ca="1">IFERROR(VALUE(IF(VLOOKUP($A56,数出表_Excel!$A$6:$T$150,COLUMN()/2+1,FALSE)=0,"",VLOOKUP($A56,数出表_Excel!$A$6:$T$150,COLUMN()/2+1,FALSE))),"")</f>
        <v/>
      </c>
      <c r="U56" s="75"/>
      <c r="V56" s="182" t="str">
        <f ca="1">IFERROR(VALUE(IF(VLOOKUP($A56,数出表_Excel!$A$6:$T$150,COLUMN()/2+1,FALSE)=0,"",VLOOKUP($A56,数出表_Excel!$A$6:$T$150,COLUMN()/2+1,FALSE))),"")</f>
        <v/>
      </c>
      <c r="W56" s="75"/>
      <c r="X56" s="182" t="str">
        <f ca="1">IFERROR(VALUE(IF(VLOOKUP($A56,数出表_Excel!$A$6:$T$150,COLUMN()/2+1,FALSE)=0,"",VLOOKUP($A56,数出表_Excel!$A$6:$T$150,COLUMN()/2+1,FALSE))),"")</f>
        <v/>
      </c>
      <c r="Y56" s="75"/>
      <c r="Z56" s="182" t="str">
        <f ca="1">IFERROR(VALUE(IF(VLOOKUP($A56,数出表_Excel!$A$6:$T$150,COLUMN()/2+1,FALSE)=0,"",VLOOKUP($A56,数出表_Excel!$A$6:$T$150,COLUMN()/2+1,FALSE))),"")</f>
        <v/>
      </c>
      <c r="AA56" s="75"/>
      <c r="AB56" s="182" t="str">
        <f ca="1">IFERROR(VALUE(IF(VLOOKUP($A56,数出表_Excel!$A$6:$T$150,COLUMN()/2+1,FALSE)=0,"",VLOOKUP($A56,数出表_Excel!$A$6:$T$150,COLUMN()/2+1,FALSE))),"")</f>
        <v/>
      </c>
      <c r="AC56" s="75"/>
      <c r="AD56" s="182" t="str">
        <f ca="1">IFERROR(VALUE(IF(VLOOKUP($A56,数出表_Excel!$A$6:$T$150,COLUMN()/2+1,FALSE)=0,"",VLOOKUP($A56,数出表_Excel!$A$6:$T$150,COLUMN()/2+1,FALSE))),"")</f>
        <v/>
      </c>
      <c r="AE56" s="75"/>
      <c r="AF56" s="182" t="str">
        <f ca="1">IFERROR(VALUE(IF(VLOOKUP($A56,数出表_Excel!$A$6:$T$150,COLUMN()/2+1,FALSE)=0,"",VLOOKUP($A56,数出表_Excel!$A$6:$T$150,COLUMN()/2+1,FALSE))),"")</f>
        <v/>
      </c>
      <c r="AG56" s="75"/>
      <c r="AH56" s="182" t="str">
        <f ca="1">IFERROR(VALUE(IF(VLOOKUP($A56,数出表_Excel!$A$6:$T$150,COLUMN()/2+1,FALSE)=0,"",VLOOKUP($A56,数出表_Excel!$A$6:$T$150,COLUMN()/2+1,FALSE))),"")</f>
        <v/>
      </c>
      <c r="AI56" s="75"/>
      <c r="AJ56" s="182" t="str">
        <f ca="1">IFERROR(VALUE(IF(VLOOKUP($A56,数出表_Excel!$A$6:$T$150,COLUMN()/2+1,FALSE)=0,"",VLOOKUP($A56,数出表_Excel!$A$6:$T$150,COLUMN()/2+1,FALSE))),"")</f>
        <v/>
      </c>
      <c r="AK56" s="75"/>
      <c r="AL56" s="61" t="e">
        <f ca="1">IF(A56&lt;&gt;"",
IF(VLOOKUP($A56,数出表_Excel!$A$6:$T$150,COLUMN()/2+1,FALSE)=0,"",VLOOKUP($A56,数出表_Excel!$A$6:$T$150,COLUMN()/2+1,FALSE)),"")</f>
        <v>#N/A</v>
      </c>
      <c r="AM56" s="89" t="e">
        <f>数出表_Excel!V56</f>
        <v>#N/A</v>
      </c>
      <c r="AN56" s="90" t="e">
        <f>数出表_Excel!W56</f>
        <v>#N/A</v>
      </c>
    </row>
    <row r="57" spans="1:40" ht="16.2" customHeight="1">
      <c r="A57" s="82" t="e">
        <f t="array" aca="1" ref="A57" ca="1">IF(OR(COUNTIF(A55,"*1000*"),COUNTIF(A55,"")),"",INDEX(貼り付け用!$A1:$A200,MATCH(A55,貼り付け用!$A1:$A200,0)+2,0))</f>
        <v>#N/A</v>
      </c>
      <c r="B57" s="148" t="str">
        <f ca="1">IFERROR(VALUE(IF(VLOOKUP($A57,数出表_Excel!$A$6:$T$150,COLUMN()/2+1,FALSE)=0,"",VLOOKUP($A57,数出表_Excel!$A$6:$T$150,COLUMN()/2+1,FALSE))),"")</f>
        <v/>
      </c>
      <c r="C57" s="76"/>
      <c r="D57" s="148" t="str">
        <f ca="1">IFERROR(VALUE(IF(VLOOKUP($A57,数出表_Excel!$A$6:$T$150,COLUMN()/2+1,FALSE)=0,"",VLOOKUP($A57,数出表_Excel!$A$6:$T$150,COLUMN()/2+1,FALSE))),"")</f>
        <v/>
      </c>
      <c r="E57" s="76"/>
      <c r="F57" s="148" t="str">
        <f ca="1">IFERROR(VALUE(IF(VLOOKUP($A57,数出表_Excel!$A$6:$T$150,COLUMN()/2+1,FALSE)=0,"",VLOOKUP($A57,数出表_Excel!$A$6:$T$150,COLUMN()/2+1,FALSE))),"")</f>
        <v/>
      </c>
      <c r="G57" s="76"/>
      <c r="H57" s="148" t="str">
        <f ca="1">IFERROR(VALUE(IF(VLOOKUP($A57,数出表_Excel!$A$6:$T$150,COLUMN()/2+1,FALSE)=0,"",VLOOKUP($A57,数出表_Excel!$A$6:$T$150,COLUMN()/2+1,FALSE))),"")</f>
        <v/>
      </c>
      <c r="I57" s="76"/>
      <c r="J57" s="148" t="str">
        <f ca="1">IFERROR(VALUE(IF(VLOOKUP($A57,数出表_Excel!$A$6:$T$150,COLUMN()/2+1,FALSE)=0,"",VLOOKUP($A57,数出表_Excel!$A$6:$T$150,COLUMN()/2+1,FALSE))),"")</f>
        <v/>
      </c>
      <c r="K57" s="76"/>
      <c r="L57" s="148" t="str">
        <f ca="1">IFERROR(VALUE(IF(VLOOKUP($A57,数出表_Excel!$A$6:$T$150,COLUMN()/2+1,FALSE)=0,"",VLOOKUP($A57,数出表_Excel!$A$6:$T$150,COLUMN()/2+1,FALSE))),"")</f>
        <v/>
      </c>
      <c r="M57" s="76"/>
      <c r="N57" s="148" t="str">
        <f ca="1">IFERROR(VALUE(IF(VLOOKUP($A57,数出表_Excel!$A$6:$T$150,COLUMN()/2+1,FALSE)=0,"",VLOOKUP($A57,数出表_Excel!$A$6:$T$150,COLUMN()/2+1,FALSE))),"")</f>
        <v/>
      </c>
      <c r="O57" s="76"/>
      <c r="P57" s="148" t="str">
        <f ca="1">IFERROR(VALUE(IF(VLOOKUP($A57,数出表_Excel!$A$6:$T$150,COLUMN()/2+1,FALSE)=0,"",VLOOKUP($A57,数出表_Excel!$A$6:$T$150,COLUMN()/2+1,FALSE))),"")</f>
        <v/>
      </c>
      <c r="Q57" s="76"/>
      <c r="R57" s="148" t="str">
        <f ca="1">IFERROR(VALUE(IF(VLOOKUP($A57,数出表_Excel!$A$6:$T$150,COLUMN()/2+1,FALSE)=0,"",VLOOKUP($A57,数出表_Excel!$A$6:$T$150,COLUMN()/2+1,FALSE))),"")</f>
        <v/>
      </c>
      <c r="S57" s="76"/>
      <c r="T57" s="148" t="str">
        <f ca="1">IFERROR(VALUE(IF(VLOOKUP($A57,数出表_Excel!$A$6:$T$150,COLUMN()/2+1,FALSE)=0,"",VLOOKUP($A57,数出表_Excel!$A$6:$T$150,COLUMN()/2+1,FALSE))),"")</f>
        <v/>
      </c>
      <c r="U57" s="76"/>
      <c r="V57" s="148" t="str">
        <f ca="1">IFERROR(VALUE(IF(VLOOKUP($A57,数出表_Excel!$A$6:$T$150,COLUMN()/2+1,FALSE)=0,"",VLOOKUP($A57,数出表_Excel!$A$6:$T$150,COLUMN()/2+1,FALSE))),"")</f>
        <v/>
      </c>
      <c r="W57" s="76"/>
      <c r="X57" s="148" t="str">
        <f ca="1">IFERROR(VALUE(IF(VLOOKUP($A57,数出表_Excel!$A$6:$T$150,COLUMN()/2+1,FALSE)=0,"",VLOOKUP($A57,数出表_Excel!$A$6:$T$150,COLUMN()/2+1,FALSE))),"")</f>
        <v/>
      </c>
      <c r="Y57" s="76"/>
      <c r="Z57" s="148" t="str">
        <f ca="1">IFERROR(VALUE(IF(VLOOKUP($A57,数出表_Excel!$A$6:$T$150,COLUMN()/2+1,FALSE)=0,"",VLOOKUP($A57,数出表_Excel!$A$6:$T$150,COLUMN()/2+1,FALSE))),"")</f>
        <v/>
      </c>
      <c r="AA57" s="76"/>
      <c r="AB57" s="148" t="str">
        <f ca="1">IFERROR(VALUE(IF(VLOOKUP($A57,数出表_Excel!$A$6:$T$150,COLUMN()/2+1,FALSE)=0,"",VLOOKUP($A57,数出表_Excel!$A$6:$T$150,COLUMN()/2+1,FALSE))),"")</f>
        <v/>
      </c>
      <c r="AC57" s="76"/>
      <c r="AD57" s="148" t="str">
        <f ca="1">IFERROR(VALUE(IF(VLOOKUP($A57,数出表_Excel!$A$6:$T$150,COLUMN()/2+1,FALSE)=0,"",VLOOKUP($A57,数出表_Excel!$A$6:$T$150,COLUMN()/2+1,FALSE))),"")</f>
        <v/>
      </c>
      <c r="AE57" s="76"/>
      <c r="AF57" s="148" t="str">
        <f ca="1">IFERROR(VALUE(IF(VLOOKUP($A57,数出表_Excel!$A$6:$T$150,COLUMN()/2+1,FALSE)=0,"",VLOOKUP($A57,数出表_Excel!$A$6:$T$150,COLUMN()/2+1,FALSE))),"")</f>
        <v/>
      </c>
      <c r="AG57" s="76"/>
      <c r="AH57" s="148" t="str">
        <f ca="1">IFERROR(VALUE(IF(VLOOKUP($A57,数出表_Excel!$A$6:$T$150,COLUMN()/2+1,FALSE)=0,"",VLOOKUP($A57,数出表_Excel!$A$6:$T$150,COLUMN()/2+1,FALSE))),"")</f>
        <v/>
      </c>
      <c r="AI57" s="76"/>
      <c r="AJ57" s="148" t="str">
        <f ca="1">IFERROR(VALUE(IF(VLOOKUP($A57,数出表_Excel!$A$6:$T$150,COLUMN()/2+1,FALSE)=0,"",VLOOKUP($A57,数出表_Excel!$A$6:$T$150,COLUMN()/2+1,FALSE))),"")</f>
        <v/>
      </c>
      <c r="AK57" s="76"/>
      <c r="AL57" s="63" t="e">
        <f ca="1">IF(A57&lt;&gt;"",
IF(VLOOKUP($A57,数出表_Excel!$A$6:$T$150,COLUMN()/2+1,FALSE)=0,"",VLOOKUP($A57,数出表_Excel!$A$6:$T$150,COLUMN()/2+1,FALSE)),"")</f>
        <v>#N/A</v>
      </c>
      <c r="AM57" s="91" t="e">
        <f>数出表_Excel!V57</f>
        <v>#N/A</v>
      </c>
      <c r="AN57" s="92" t="e">
        <f>数出表_Excel!W57</f>
        <v>#N/A</v>
      </c>
    </row>
    <row r="58" spans="1:40" ht="16.2" customHeight="1">
      <c r="A58" s="81" t="e">
        <f t="array" aca="1" ref="A58" ca="1">IF(OR(COUNTIF(A56,"*10002*"),COUNTIF(A56,"")),"",INDEX(貼り付け用!$A1:$A200,MATCH(A56,貼り付け用!$A1:$A200,0)+2,0))</f>
        <v>#N/A</v>
      </c>
      <c r="B58" s="182" t="str">
        <f ca="1">IFERROR(VALUE(IF(VLOOKUP($A58,数出表_Excel!$A$6:$T$150,COLUMN()/2+1,FALSE)=0,"",VLOOKUP($A58,数出表_Excel!$A$6:$T$150,COLUMN()/2+1,FALSE))),"")</f>
        <v/>
      </c>
      <c r="C58" s="75"/>
      <c r="D58" s="182" t="str">
        <f ca="1">IFERROR(VALUE(IF(VLOOKUP($A58,数出表_Excel!$A$6:$T$150,COLUMN()/2+1,FALSE)=0,"",VLOOKUP($A58,数出表_Excel!$A$6:$T$150,COLUMN()/2+1,FALSE))),"")</f>
        <v/>
      </c>
      <c r="E58" s="75"/>
      <c r="F58" s="182" t="str">
        <f ca="1">IFERROR(VALUE(IF(VLOOKUP($A58,数出表_Excel!$A$6:$T$150,COLUMN()/2+1,FALSE)=0,"",VLOOKUP($A58,数出表_Excel!$A$6:$T$150,COLUMN()/2+1,FALSE))),"")</f>
        <v/>
      </c>
      <c r="G58" s="75"/>
      <c r="H58" s="182" t="str">
        <f ca="1">IFERROR(VALUE(IF(VLOOKUP($A58,数出表_Excel!$A$6:$T$150,COLUMN()/2+1,FALSE)=0,"",VLOOKUP($A58,数出表_Excel!$A$6:$T$150,COLUMN()/2+1,FALSE))),"")</f>
        <v/>
      </c>
      <c r="I58" s="75"/>
      <c r="J58" s="182" t="str">
        <f ca="1">IFERROR(VALUE(IF(VLOOKUP($A58,数出表_Excel!$A$6:$T$150,COLUMN()/2+1,FALSE)=0,"",VLOOKUP($A58,数出表_Excel!$A$6:$T$150,COLUMN()/2+1,FALSE))),"")</f>
        <v/>
      </c>
      <c r="K58" s="75"/>
      <c r="L58" s="182" t="str">
        <f ca="1">IFERROR(VALUE(IF(VLOOKUP($A58,数出表_Excel!$A$6:$T$150,COLUMN()/2+1,FALSE)=0,"",VLOOKUP($A58,数出表_Excel!$A$6:$T$150,COLUMN()/2+1,FALSE))),"")</f>
        <v/>
      </c>
      <c r="M58" s="75"/>
      <c r="N58" s="182" t="str">
        <f ca="1">IFERROR(VALUE(IF(VLOOKUP($A58,数出表_Excel!$A$6:$T$150,COLUMN()/2+1,FALSE)=0,"",VLOOKUP($A58,数出表_Excel!$A$6:$T$150,COLUMN()/2+1,FALSE))),"")</f>
        <v/>
      </c>
      <c r="O58" s="75"/>
      <c r="P58" s="182" t="str">
        <f ca="1">IFERROR(VALUE(IF(VLOOKUP($A58,数出表_Excel!$A$6:$T$150,COLUMN()/2+1,FALSE)=0,"",VLOOKUP($A58,数出表_Excel!$A$6:$T$150,COLUMN()/2+1,FALSE))),"")</f>
        <v/>
      </c>
      <c r="Q58" s="75"/>
      <c r="R58" s="182" t="str">
        <f ca="1">IFERROR(VALUE(IF(VLOOKUP($A58,数出表_Excel!$A$6:$T$150,COLUMN()/2+1,FALSE)=0,"",VLOOKUP($A58,数出表_Excel!$A$6:$T$150,COLUMN()/2+1,FALSE))),"")</f>
        <v/>
      </c>
      <c r="S58" s="75"/>
      <c r="T58" s="182" t="str">
        <f ca="1">IFERROR(VALUE(IF(VLOOKUP($A58,数出表_Excel!$A$6:$T$150,COLUMN()/2+1,FALSE)=0,"",VLOOKUP($A58,数出表_Excel!$A$6:$T$150,COLUMN()/2+1,FALSE))),"")</f>
        <v/>
      </c>
      <c r="U58" s="75"/>
      <c r="V58" s="182" t="str">
        <f ca="1">IFERROR(VALUE(IF(VLOOKUP($A58,数出表_Excel!$A$6:$T$150,COLUMN()/2+1,FALSE)=0,"",VLOOKUP($A58,数出表_Excel!$A$6:$T$150,COLUMN()/2+1,FALSE))),"")</f>
        <v/>
      </c>
      <c r="W58" s="75"/>
      <c r="X58" s="182" t="str">
        <f ca="1">IFERROR(VALUE(IF(VLOOKUP($A58,数出表_Excel!$A$6:$T$150,COLUMN()/2+1,FALSE)=0,"",VLOOKUP($A58,数出表_Excel!$A$6:$T$150,COLUMN()/2+1,FALSE))),"")</f>
        <v/>
      </c>
      <c r="Y58" s="75"/>
      <c r="Z58" s="182" t="str">
        <f ca="1">IFERROR(VALUE(IF(VLOOKUP($A58,数出表_Excel!$A$6:$T$150,COLUMN()/2+1,FALSE)=0,"",VLOOKUP($A58,数出表_Excel!$A$6:$T$150,COLUMN()/2+1,FALSE))),"")</f>
        <v/>
      </c>
      <c r="AA58" s="75"/>
      <c r="AB58" s="182" t="str">
        <f ca="1">IFERROR(VALUE(IF(VLOOKUP($A58,数出表_Excel!$A$6:$T$150,COLUMN()/2+1,FALSE)=0,"",VLOOKUP($A58,数出表_Excel!$A$6:$T$150,COLUMN()/2+1,FALSE))),"")</f>
        <v/>
      </c>
      <c r="AC58" s="75"/>
      <c r="AD58" s="182" t="str">
        <f ca="1">IFERROR(VALUE(IF(VLOOKUP($A58,数出表_Excel!$A$6:$T$150,COLUMN()/2+1,FALSE)=0,"",VLOOKUP($A58,数出表_Excel!$A$6:$T$150,COLUMN()/2+1,FALSE))),"")</f>
        <v/>
      </c>
      <c r="AE58" s="75"/>
      <c r="AF58" s="182" t="str">
        <f ca="1">IFERROR(VALUE(IF(VLOOKUP($A58,数出表_Excel!$A$6:$T$150,COLUMN()/2+1,FALSE)=0,"",VLOOKUP($A58,数出表_Excel!$A$6:$T$150,COLUMN()/2+1,FALSE))),"")</f>
        <v/>
      </c>
      <c r="AG58" s="75"/>
      <c r="AH58" s="182" t="str">
        <f ca="1">IFERROR(VALUE(IF(VLOOKUP($A58,数出表_Excel!$A$6:$T$150,COLUMN()/2+1,FALSE)=0,"",VLOOKUP($A58,数出表_Excel!$A$6:$T$150,COLUMN()/2+1,FALSE))),"")</f>
        <v/>
      </c>
      <c r="AI58" s="75"/>
      <c r="AJ58" s="182" t="str">
        <f ca="1">IFERROR(VALUE(IF(VLOOKUP($A58,数出表_Excel!$A$6:$T$150,COLUMN()/2+1,FALSE)=0,"",VLOOKUP($A58,数出表_Excel!$A$6:$T$150,COLUMN()/2+1,FALSE))),"")</f>
        <v/>
      </c>
      <c r="AK58" s="75"/>
      <c r="AL58" s="61" t="e">
        <f ca="1">IF(A58&lt;&gt;"",
IF(VLOOKUP($A58,数出表_Excel!$A$6:$T$150,COLUMN()/2+1,FALSE)=0,"",VLOOKUP($A58,数出表_Excel!$A$6:$T$150,COLUMN()/2+1,FALSE)),"")</f>
        <v>#N/A</v>
      </c>
      <c r="AM58" s="89" t="e">
        <f>数出表_Excel!V58</f>
        <v>#N/A</v>
      </c>
      <c r="AN58" s="90" t="e">
        <f>数出表_Excel!W58</f>
        <v>#N/A</v>
      </c>
    </row>
    <row r="59" spans="1:40" ht="16.2" customHeight="1">
      <c r="A59" s="82" t="e">
        <f t="array" aca="1" ref="A59" ca="1">IF(OR(COUNTIF(A57,"*1000*"),COUNTIF(A57,"")),"",INDEX(貼り付け用!$A1:$A200,MATCH(A57,貼り付け用!$A1:$A200,0)+2,0))</f>
        <v>#N/A</v>
      </c>
      <c r="B59" s="148" t="str">
        <f ca="1">IFERROR(VALUE(IF(VLOOKUP($A59,数出表_Excel!$A$6:$T$150,COLUMN()/2+1,FALSE)=0,"",VLOOKUP($A59,数出表_Excel!$A$6:$T$150,COLUMN()/2+1,FALSE))),"")</f>
        <v/>
      </c>
      <c r="C59" s="76"/>
      <c r="D59" s="148" t="str">
        <f ca="1">IFERROR(VALUE(IF(VLOOKUP($A59,数出表_Excel!$A$6:$T$150,COLUMN()/2+1,FALSE)=0,"",VLOOKUP($A59,数出表_Excel!$A$6:$T$150,COLUMN()/2+1,FALSE))),"")</f>
        <v/>
      </c>
      <c r="E59" s="76"/>
      <c r="F59" s="148" t="str">
        <f ca="1">IFERROR(VALUE(IF(VLOOKUP($A59,数出表_Excel!$A$6:$T$150,COLUMN()/2+1,FALSE)=0,"",VLOOKUP($A59,数出表_Excel!$A$6:$T$150,COLUMN()/2+1,FALSE))),"")</f>
        <v/>
      </c>
      <c r="G59" s="76"/>
      <c r="H59" s="148" t="str">
        <f ca="1">IFERROR(VALUE(IF(VLOOKUP($A59,数出表_Excel!$A$6:$T$150,COLUMN()/2+1,FALSE)=0,"",VLOOKUP($A59,数出表_Excel!$A$6:$T$150,COLUMN()/2+1,FALSE))),"")</f>
        <v/>
      </c>
      <c r="I59" s="76"/>
      <c r="J59" s="148" t="str">
        <f ca="1">IFERROR(VALUE(IF(VLOOKUP($A59,数出表_Excel!$A$6:$T$150,COLUMN()/2+1,FALSE)=0,"",VLOOKUP($A59,数出表_Excel!$A$6:$T$150,COLUMN()/2+1,FALSE))),"")</f>
        <v/>
      </c>
      <c r="K59" s="76"/>
      <c r="L59" s="148" t="str">
        <f ca="1">IFERROR(VALUE(IF(VLOOKUP($A59,数出表_Excel!$A$6:$T$150,COLUMN()/2+1,FALSE)=0,"",VLOOKUP($A59,数出表_Excel!$A$6:$T$150,COLUMN()/2+1,FALSE))),"")</f>
        <v/>
      </c>
      <c r="M59" s="76"/>
      <c r="N59" s="148" t="str">
        <f ca="1">IFERROR(VALUE(IF(VLOOKUP($A59,数出表_Excel!$A$6:$T$150,COLUMN()/2+1,FALSE)=0,"",VLOOKUP($A59,数出表_Excel!$A$6:$T$150,COLUMN()/2+1,FALSE))),"")</f>
        <v/>
      </c>
      <c r="O59" s="76"/>
      <c r="P59" s="148" t="str">
        <f ca="1">IFERROR(VALUE(IF(VLOOKUP($A59,数出表_Excel!$A$6:$T$150,COLUMN()/2+1,FALSE)=0,"",VLOOKUP($A59,数出表_Excel!$A$6:$T$150,COLUMN()/2+1,FALSE))),"")</f>
        <v/>
      </c>
      <c r="Q59" s="76"/>
      <c r="R59" s="148" t="str">
        <f ca="1">IFERROR(VALUE(IF(VLOOKUP($A59,数出表_Excel!$A$6:$T$150,COLUMN()/2+1,FALSE)=0,"",VLOOKUP($A59,数出表_Excel!$A$6:$T$150,COLUMN()/2+1,FALSE))),"")</f>
        <v/>
      </c>
      <c r="S59" s="76"/>
      <c r="T59" s="148" t="str">
        <f ca="1">IFERROR(VALUE(IF(VLOOKUP($A59,数出表_Excel!$A$6:$T$150,COLUMN()/2+1,FALSE)=0,"",VLOOKUP($A59,数出表_Excel!$A$6:$T$150,COLUMN()/2+1,FALSE))),"")</f>
        <v/>
      </c>
      <c r="U59" s="76"/>
      <c r="V59" s="148" t="str">
        <f ca="1">IFERROR(VALUE(IF(VLOOKUP($A59,数出表_Excel!$A$6:$T$150,COLUMN()/2+1,FALSE)=0,"",VLOOKUP($A59,数出表_Excel!$A$6:$T$150,COLUMN()/2+1,FALSE))),"")</f>
        <v/>
      </c>
      <c r="W59" s="76"/>
      <c r="X59" s="148" t="str">
        <f ca="1">IFERROR(VALUE(IF(VLOOKUP($A59,数出表_Excel!$A$6:$T$150,COLUMN()/2+1,FALSE)=0,"",VLOOKUP($A59,数出表_Excel!$A$6:$T$150,COLUMN()/2+1,FALSE))),"")</f>
        <v/>
      </c>
      <c r="Y59" s="76"/>
      <c r="Z59" s="148" t="str">
        <f ca="1">IFERROR(VALUE(IF(VLOOKUP($A59,数出表_Excel!$A$6:$T$150,COLUMN()/2+1,FALSE)=0,"",VLOOKUP($A59,数出表_Excel!$A$6:$T$150,COLUMN()/2+1,FALSE))),"")</f>
        <v/>
      </c>
      <c r="AA59" s="76"/>
      <c r="AB59" s="148" t="str">
        <f ca="1">IFERROR(VALUE(IF(VLOOKUP($A59,数出表_Excel!$A$6:$T$150,COLUMN()/2+1,FALSE)=0,"",VLOOKUP($A59,数出表_Excel!$A$6:$T$150,COLUMN()/2+1,FALSE))),"")</f>
        <v/>
      </c>
      <c r="AC59" s="76"/>
      <c r="AD59" s="148" t="str">
        <f ca="1">IFERROR(VALUE(IF(VLOOKUP($A59,数出表_Excel!$A$6:$T$150,COLUMN()/2+1,FALSE)=0,"",VLOOKUP($A59,数出表_Excel!$A$6:$T$150,COLUMN()/2+1,FALSE))),"")</f>
        <v/>
      </c>
      <c r="AE59" s="76"/>
      <c r="AF59" s="148" t="str">
        <f ca="1">IFERROR(VALUE(IF(VLOOKUP($A59,数出表_Excel!$A$6:$T$150,COLUMN()/2+1,FALSE)=0,"",VLOOKUP($A59,数出表_Excel!$A$6:$T$150,COLUMN()/2+1,FALSE))),"")</f>
        <v/>
      </c>
      <c r="AG59" s="76"/>
      <c r="AH59" s="148" t="str">
        <f ca="1">IFERROR(VALUE(IF(VLOOKUP($A59,数出表_Excel!$A$6:$T$150,COLUMN()/2+1,FALSE)=0,"",VLOOKUP($A59,数出表_Excel!$A$6:$T$150,COLUMN()/2+1,FALSE))),"")</f>
        <v/>
      </c>
      <c r="AI59" s="76"/>
      <c r="AJ59" s="148" t="str">
        <f ca="1">IFERROR(VALUE(IF(VLOOKUP($A59,数出表_Excel!$A$6:$T$150,COLUMN()/2+1,FALSE)=0,"",VLOOKUP($A59,数出表_Excel!$A$6:$T$150,COLUMN()/2+1,FALSE))),"")</f>
        <v/>
      </c>
      <c r="AK59" s="76"/>
      <c r="AL59" s="63" t="e">
        <f ca="1">IF(A59&lt;&gt;"",
IF(VLOOKUP($A59,数出表_Excel!$A$6:$T$150,COLUMN()/2+1,FALSE)=0,"",VLOOKUP($A59,数出表_Excel!$A$6:$T$150,COLUMN()/2+1,FALSE)),"")</f>
        <v>#N/A</v>
      </c>
      <c r="AM59" s="91" t="e">
        <f>数出表_Excel!V59</f>
        <v>#N/A</v>
      </c>
      <c r="AN59" s="92" t="e">
        <f>数出表_Excel!W59</f>
        <v>#N/A</v>
      </c>
    </row>
    <row r="60" spans="1:40" ht="16.2" customHeight="1">
      <c r="A60" s="81" t="e">
        <f t="array" aca="1" ref="A60" ca="1">IF(OR(COUNTIF(A58,"*10002*"),COUNTIF(A58,"")),"",INDEX(貼り付け用!$A1:$A200,MATCH(A58,貼り付け用!$A1:$A200,0)+2,0))</f>
        <v>#N/A</v>
      </c>
      <c r="B60" s="182" t="str">
        <f ca="1">IFERROR(VALUE(IF(VLOOKUP($A60,数出表_Excel!$A$6:$T$150,COLUMN()/2+1,FALSE)=0,"",VLOOKUP($A60,数出表_Excel!$A$6:$T$150,COLUMN()/2+1,FALSE))),"")</f>
        <v/>
      </c>
      <c r="C60" s="75"/>
      <c r="D60" s="182" t="str">
        <f ca="1">IFERROR(VALUE(IF(VLOOKUP($A60,数出表_Excel!$A$6:$T$150,COLUMN()/2+1,FALSE)=0,"",VLOOKUP($A60,数出表_Excel!$A$6:$T$150,COLUMN()/2+1,FALSE))),"")</f>
        <v/>
      </c>
      <c r="E60" s="75"/>
      <c r="F60" s="182" t="str">
        <f ca="1">IFERROR(VALUE(IF(VLOOKUP($A60,数出表_Excel!$A$6:$T$150,COLUMN()/2+1,FALSE)=0,"",VLOOKUP($A60,数出表_Excel!$A$6:$T$150,COLUMN()/2+1,FALSE))),"")</f>
        <v/>
      </c>
      <c r="G60" s="75"/>
      <c r="H60" s="182" t="str">
        <f ca="1">IFERROR(VALUE(IF(VLOOKUP($A60,数出表_Excel!$A$6:$T$150,COLUMN()/2+1,FALSE)=0,"",VLOOKUP($A60,数出表_Excel!$A$6:$T$150,COLUMN()/2+1,FALSE))),"")</f>
        <v/>
      </c>
      <c r="I60" s="75"/>
      <c r="J60" s="182" t="str">
        <f ca="1">IFERROR(VALUE(IF(VLOOKUP($A60,数出表_Excel!$A$6:$T$150,COLUMN()/2+1,FALSE)=0,"",VLOOKUP($A60,数出表_Excel!$A$6:$T$150,COLUMN()/2+1,FALSE))),"")</f>
        <v/>
      </c>
      <c r="K60" s="75"/>
      <c r="L60" s="182" t="str">
        <f ca="1">IFERROR(VALUE(IF(VLOOKUP($A60,数出表_Excel!$A$6:$T$150,COLUMN()/2+1,FALSE)=0,"",VLOOKUP($A60,数出表_Excel!$A$6:$T$150,COLUMN()/2+1,FALSE))),"")</f>
        <v/>
      </c>
      <c r="M60" s="75"/>
      <c r="N60" s="182" t="str">
        <f ca="1">IFERROR(VALUE(IF(VLOOKUP($A60,数出表_Excel!$A$6:$T$150,COLUMN()/2+1,FALSE)=0,"",VLOOKUP($A60,数出表_Excel!$A$6:$T$150,COLUMN()/2+1,FALSE))),"")</f>
        <v/>
      </c>
      <c r="O60" s="75"/>
      <c r="P60" s="182" t="str">
        <f ca="1">IFERROR(VALUE(IF(VLOOKUP($A60,数出表_Excel!$A$6:$T$150,COLUMN()/2+1,FALSE)=0,"",VLOOKUP($A60,数出表_Excel!$A$6:$T$150,COLUMN()/2+1,FALSE))),"")</f>
        <v/>
      </c>
      <c r="Q60" s="75"/>
      <c r="R60" s="182" t="str">
        <f ca="1">IFERROR(VALUE(IF(VLOOKUP($A60,数出表_Excel!$A$6:$T$150,COLUMN()/2+1,FALSE)=0,"",VLOOKUP($A60,数出表_Excel!$A$6:$T$150,COLUMN()/2+1,FALSE))),"")</f>
        <v/>
      </c>
      <c r="S60" s="75"/>
      <c r="T60" s="182" t="str">
        <f ca="1">IFERROR(VALUE(IF(VLOOKUP($A60,数出表_Excel!$A$6:$T$150,COLUMN()/2+1,FALSE)=0,"",VLOOKUP($A60,数出表_Excel!$A$6:$T$150,COLUMN()/2+1,FALSE))),"")</f>
        <v/>
      </c>
      <c r="U60" s="75"/>
      <c r="V60" s="182" t="str">
        <f ca="1">IFERROR(VALUE(IF(VLOOKUP($A60,数出表_Excel!$A$6:$T$150,COLUMN()/2+1,FALSE)=0,"",VLOOKUP($A60,数出表_Excel!$A$6:$T$150,COLUMN()/2+1,FALSE))),"")</f>
        <v/>
      </c>
      <c r="W60" s="75"/>
      <c r="X60" s="182" t="str">
        <f ca="1">IFERROR(VALUE(IF(VLOOKUP($A60,数出表_Excel!$A$6:$T$150,COLUMN()/2+1,FALSE)=0,"",VLOOKUP($A60,数出表_Excel!$A$6:$T$150,COLUMN()/2+1,FALSE))),"")</f>
        <v/>
      </c>
      <c r="Y60" s="75"/>
      <c r="Z60" s="182" t="str">
        <f ca="1">IFERROR(VALUE(IF(VLOOKUP($A60,数出表_Excel!$A$6:$T$150,COLUMN()/2+1,FALSE)=0,"",VLOOKUP($A60,数出表_Excel!$A$6:$T$150,COLUMN()/2+1,FALSE))),"")</f>
        <v/>
      </c>
      <c r="AA60" s="75"/>
      <c r="AB60" s="182" t="str">
        <f ca="1">IFERROR(VALUE(IF(VLOOKUP($A60,数出表_Excel!$A$6:$T$150,COLUMN()/2+1,FALSE)=0,"",VLOOKUP($A60,数出表_Excel!$A$6:$T$150,COLUMN()/2+1,FALSE))),"")</f>
        <v/>
      </c>
      <c r="AC60" s="75"/>
      <c r="AD60" s="182" t="str">
        <f ca="1">IFERROR(VALUE(IF(VLOOKUP($A60,数出表_Excel!$A$6:$T$150,COLUMN()/2+1,FALSE)=0,"",VLOOKUP($A60,数出表_Excel!$A$6:$T$150,COLUMN()/2+1,FALSE))),"")</f>
        <v/>
      </c>
      <c r="AE60" s="75"/>
      <c r="AF60" s="182" t="str">
        <f ca="1">IFERROR(VALUE(IF(VLOOKUP($A60,数出表_Excel!$A$6:$T$150,COLUMN()/2+1,FALSE)=0,"",VLOOKUP($A60,数出表_Excel!$A$6:$T$150,COLUMN()/2+1,FALSE))),"")</f>
        <v/>
      </c>
      <c r="AG60" s="75"/>
      <c r="AH60" s="182" t="str">
        <f ca="1">IFERROR(VALUE(IF(VLOOKUP($A60,数出表_Excel!$A$6:$T$150,COLUMN()/2+1,FALSE)=0,"",VLOOKUP($A60,数出表_Excel!$A$6:$T$150,COLUMN()/2+1,FALSE))),"")</f>
        <v/>
      </c>
      <c r="AI60" s="75"/>
      <c r="AJ60" s="182" t="str">
        <f ca="1">IFERROR(VALUE(IF(VLOOKUP($A60,数出表_Excel!$A$6:$T$150,COLUMN()/2+1,FALSE)=0,"",VLOOKUP($A60,数出表_Excel!$A$6:$T$150,COLUMN()/2+1,FALSE))),"")</f>
        <v/>
      </c>
      <c r="AK60" s="75"/>
      <c r="AL60" s="61" t="e">
        <f ca="1">IF(A60&lt;&gt;"",
IF(VLOOKUP($A60,数出表_Excel!$A$6:$T$150,COLUMN()/2+1,FALSE)=0,"",VLOOKUP($A60,数出表_Excel!$A$6:$T$150,COLUMN()/2+1,FALSE)),"")</f>
        <v>#N/A</v>
      </c>
      <c r="AM60" s="89" t="e">
        <f>数出表_Excel!V60</f>
        <v>#N/A</v>
      </c>
      <c r="AN60" s="90" t="e">
        <f>数出表_Excel!W60</f>
        <v>#N/A</v>
      </c>
    </row>
    <row r="61" spans="1:40" ht="16.2" customHeight="1">
      <c r="A61" s="82" t="e">
        <f t="array" aca="1" ref="A61" ca="1">IF(OR(COUNTIF(A59,"*1000*"),COUNTIF(A59,"")),"",INDEX(貼り付け用!$A1:$A200,MATCH(A59,貼り付け用!$A1:$A200,0)+2,0))</f>
        <v>#N/A</v>
      </c>
      <c r="B61" s="148" t="str">
        <f ca="1">IFERROR(VALUE(IF(VLOOKUP($A61,数出表_Excel!$A$6:$T$150,COLUMN()/2+1,FALSE)=0,"",VLOOKUP($A61,数出表_Excel!$A$6:$T$150,COLUMN()/2+1,FALSE))),"")</f>
        <v/>
      </c>
      <c r="C61" s="76"/>
      <c r="D61" s="148" t="str">
        <f ca="1">IFERROR(VALUE(IF(VLOOKUP($A61,数出表_Excel!$A$6:$T$150,COLUMN()/2+1,FALSE)=0,"",VLOOKUP($A61,数出表_Excel!$A$6:$T$150,COLUMN()/2+1,FALSE))),"")</f>
        <v/>
      </c>
      <c r="E61" s="76"/>
      <c r="F61" s="148" t="str">
        <f ca="1">IFERROR(VALUE(IF(VLOOKUP($A61,数出表_Excel!$A$6:$T$150,COLUMN()/2+1,FALSE)=0,"",VLOOKUP($A61,数出表_Excel!$A$6:$T$150,COLUMN()/2+1,FALSE))),"")</f>
        <v/>
      </c>
      <c r="G61" s="76"/>
      <c r="H61" s="148" t="str">
        <f ca="1">IFERROR(VALUE(IF(VLOOKUP($A61,数出表_Excel!$A$6:$T$150,COLUMN()/2+1,FALSE)=0,"",VLOOKUP($A61,数出表_Excel!$A$6:$T$150,COLUMN()/2+1,FALSE))),"")</f>
        <v/>
      </c>
      <c r="I61" s="76"/>
      <c r="J61" s="148" t="str">
        <f ca="1">IFERROR(VALUE(IF(VLOOKUP($A61,数出表_Excel!$A$6:$T$150,COLUMN()/2+1,FALSE)=0,"",VLOOKUP($A61,数出表_Excel!$A$6:$T$150,COLUMN()/2+1,FALSE))),"")</f>
        <v/>
      </c>
      <c r="K61" s="76"/>
      <c r="L61" s="148" t="str">
        <f ca="1">IFERROR(VALUE(IF(VLOOKUP($A61,数出表_Excel!$A$6:$T$150,COLUMN()/2+1,FALSE)=0,"",VLOOKUP($A61,数出表_Excel!$A$6:$T$150,COLUMN()/2+1,FALSE))),"")</f>
        <v/>
      </c>
      <c r="M61" s="76"/>
      <c r="N61" s="148" t="str">
        <f ca="1">IFERROR(VALUE(IF(VLOOKUP($A61,数出表_Excel!$A$6:$T$150,COLUMN()/2+1,FALSE)=0,"",VLOOKUP($A61,数出表_Excel!$A$6:$T$150,COLUMN()/2+1,FALSE))),"")</f>
        <v/>
      </c>
      <c r="O61" s="76"/>
      <c r="P61" s="148" t="str">
        <f ca="1">IFERROR(VALUE(IF(VLOOKUP($A61,数出表_Excel!$A$6:$T$150,COLUMN()/2+1,FALSE)=0,"",VLOOKUP($A61,数出表_Excel!$A$6:$T$150,COLUMN()/2+1,FALSE))),"")</f>
        <v/>
      </c>
      <c r="Q61" s="76"/>
      <c r="R61" s="148" t="str">
        <f ca="1">IFERROR(VALUE(IF(VLOOKUP($A61,数出表_Excel!$A$6:$T$150,COLUMN()/2+1,FALSE)=0,"",VLOOKUP($A61,数出表_Excel!$A$6:$T$150,COLUMN()/2+1,FALSE))),"")</f>
        <v/>
      </c>
      <c r="S61" s="76"/>
      <c r="T61" s="148" t="str">
        <f ca="1">IFERROR(VALUE(IF(VLOOKUP($A61,数出表_Excel!$A$6:$T$150,COLUMN()/2+1,FALSE)=0,"",VLOOKUP($A61,数出表_Excel!$A$6:$T$150,COLUMN()/2+1,FALSE))),"")</f>
        <v/>
      </c>
      <c r="U61" s="76"/>
      <c r="V61" s="148" t="str">
        <f ca="1">IFERROR(VALUE(IF(VLOOKUP($A61,数出表_Excel!$A$6:$T$150,COLUMN()/2+1,FALSE)=0,"",VLOOKUP($A61,数出表_Excel!$A$6:$T$150,COLUMN()/2+1,FALSE))),"")</f>
        <v/>
      </c>
      <c r="W61" s="76"/>
      <c r="X61" s="148" t="str">
        <f ca="1">IFERROR(VALUE(IF(VLOOKUP($A61,数出表_Excel!$A$6:$T$150,COLUMN()/2+1,FALSE)=0,"",VLOOKUP($A61,数出表_Excel!$A$6:$T$150,COLUMN()/2+1,FALSE))),"")</f>
        <v/>
      </c>
      <c r="Y61" s="76"/>
      <c r="Z61" s="148" t="str">
        <f ca="1">IFERROR(VALUE(IF(VLOOKUP($A61,数出表_Excel!$A$6:$T$150,COLUMN()/2+1,FALSE)=0,"",VLOOKUP($A61,数出表_Excel!$A$6:$T$150,COLUMN()/2+1,FALSE))),"")</f>
        <v/>
      </c>
      <c r="AA61" s="76"/>
      <c r="AB61" s="148" t="str">
        <f ca="1">IFERROR(VALUE(IF(VLOOKUP($A61,数出表_Excel!$A$6:$T$150,COLUMN()/2+1,FALSE)=0,"",VLOOKUP($A61,数出表_Excel!$A$6:$T$150,COLUMN()/2+1,FALSE))),"")</f>
        <v/>
      </c>
      <c r="AC61" s="76"/>
      <c r="AD61" s="148" t="str">
        <f ca="1">IFERROR(VALUE(IF(VLOOKUP($A61,数出表_Excel!$A$6:$T$150,COLUMN()/2+1,FALSE)=0,"",VLOOKUP($A61,数出表_Excel!$A$6:$T$150,COLUMN()/2+1,FALSE))),"")</f>
        <v/>
      </c>
      <c r="AE61" s="76"/>
      <c r="AF61" s="148" t="str">
        <f ca="1">IFERROR(VALUE(IF(VLOOKUP($A61,数出表_Excel!$A$6:$T$150,COLUMN()/2+1,FALSE)=0,"",VLOOKUP($A61,数出表_Excel!$A$6:$T$150,COLUMN()/2+1,FALSE))),"")</f>
        <v/>
      </c>
      <c r="AG61" s="76"/>
      <c r="AH61" s="148" t="str">
        <f ca="1">IFERROR(VALUE(IF(VLOOKUP($A61,数出表_Excel!$A$6:$T$150,COLUMN()/2+1,FALSE)=0,"",VLOOKUP($A61,数出表_Excel!$A$6:$T$150,COLUMN()/2+1,FALSE))),"")</f>
        <v/>
      </c>
      <c r="AI61" s="76"/>
      <c r="AJ61" s="148" t="str">
        <f ca="1">IFERROR(VALUE(IF(VLOOKUP($A61,数出表_Excel!$A$6:$T$150,COLUMN()/2+1,FALSE)=0,"",VLOOKUP($A61,数出表_Excel!$A$6:$T$150,COLUMN()/2+1,FALSE))),"")</f>
        <v/>
      </c>
      <c r="AK61" s="76"/>
      <c r="AL61" s="63" t="e">
        <f ca="1">IF(A61&lt;&gt;"",
IF(VLOOKUP($A61,数出表_Excel!$A$6:$T$150,COLUMN()/2+1,FALSE)=0,"",VLOOKUP($A61,数出表_Excel!$A$6:$T$150,COLUMN()/2+1,FALSE)),"")</f>
        <v>#N/A</v>
      </c>
      <c r="AM61" s="91" t="e">
        <f>数出表_Excel!V61</f>
        <v>#N/A</v>
      </c>
      <c r="AN61" s="92" t="e">
        <f>数出表_Excel!W61</f>
        <v>#N/A</v>
      </c>
    </row>
    <row r="62" spans="1:40" ht="16.2" customHeight="1">
      <c r="A62" s="81" t="e">
        <f t="array" aca="1" ref="A62" ca="1">IF(OR(COUNTIF(A60,"*10002*"),COUNTIF(A60,"")),"",INDEX(貼り付け用!$A1:$A200,MATCH(A60,貼り付け用!$A1:$A200,0)+2,0))</f>
        <v>#N/A</v>
      </c>
      <c r="B62" s="182" t="str">
        <f ca="1">IFERROR(VALUE(IF(VLOOKUP($A62,数出表_Excel!$A$6:$T$150,COLUMN()/2+1,FALSE)=0,"",VLOOKUP($A62,数出表_Excel!$A$6:$T$150,COLUMN()/2+1,FALSE))),"")</f>
        <v/>
      </c>
      <c r="C62" s="75"/>
      <c r="D62" s="182" t="str">
        <f ca="1">IFERROR(VALUE(IF(VLOOKUP($A62,数出表_Excel!$A$6:$T$150,COLUMN()/2+1,FALSE)=0,"",VLOOKUP($A62,数出表_Excel!$A$6:$T$150,COLUMN()/2+1,FALSE))),"")</f>
        <v/>
      </c>
      <c r="E62" s="75"/>
      <c r="F62" s="182" t="str">
        <f ca="1">IFERROR(VALUE(IF(VLOOKUP($A62,数出表_Excel!$A$6:$T$150,COLUMN()/2+1,FALSE)=0,"",VLOOKUP($A62,数出表_Excel!$A$6:$T$150,COLUMN()/2+1,FALSE))),"")</f>
        <v/>
      </c>
      <c r="G62" s="75"/>
      <c r="H62" s="182" t="str">
        <f ca="1">IFERROR(VALUE(IF(VLOOKUP($A62,数出表_Excel!$A$6:$T$150,COLUMN()/2+1,FALSE)=0,"",VLOOKUP($A62,数出表_Excel!$A$6:$T$150,COLUMN()/2+1,FALSE))),"")</f>
        <v/>
      </c>
      <c r="I62" s="75"/>
      <c r="J62" s="182" t="str">
        <f ca="1">IFERROR(VALUE(IF(VLOOKUP($A62,数出表_Excel!$A$6:$T$150,COLUMN()/2+1,FALSE)=0,"",VLOOKUP($A62,数出表_Excel!$A$6:$T$150,COLUMN()/2+1,FALSE))),"")</f>
        <v/>
      </c>
      <c r="K62" s="75"/>
      <c r="L62" s="182" t="str">
        <f ca="1">IFERROR(VALUE(IF(VLOOKUP($A62,数出表_Excel!$A$6:$T$150,COLUMN()/2+1,FALSE)=0,"",VLOOKUP($A62,数出表_Excel!$A$6:$T$150,COLUMN()/2+1,FALSE))),"")</f>
        <v/>
      </c>
      <c r="M62" s="75"/>
      <c r="N62" s="182" t="str">
        <f ca="1">IFERROR(VALUE(IF(VLOOKUP($A62,数出表_Excel!$A$6:$T$150,COLUMN()/2+1,FALSE)=0,"",VLOOKUP($A62,数出表_Excel!$A$6:$T$150,COLUMN()/2+1,FALSE))),"")</f>
        <v/>
      </c>
      <c r="O62" s="75"/>
      <c r="P62" s="182" t="str">
        <f ca="1">IFERROR(VALUE(IF(VLOOKUP($A62,数出表_Excel!$A$6:$T$150,COLUMN()/2+1,FALSE)=0,"",VLOOKUP($A62,数出表_Excel!$A$6:$T$150,COLUMN()/2+1,FALSE))),"")</f>
        <v/>
      </c>
      <c r="Q62" s="75"/>
      <c r="R62" s="182" t="str">
        <f ca="1">IFERROR(VALUE(IF(VLOOKUP($A62,数出表_Excel!$A$6:$T$150,COLUMN()/2+1,FALSE)=0,"",VLOOKUP($A62,数出表_Excel!$A$6:$T$150,COLUMN()/2+1,FALSE))),"")</f>
        <v/>
      </c>
      <c r="S62" s="75"/>
      <c r="T62" s="182" t="str">
        <f ca="1">IFERROR(VALUE(IF(VLOOKUP($A62,数出表_Excel!$A$6:$T$150,COLUMN()/2+1,FALSE)=0,"",VLOOKUP($A62,数出表_Excel!$A$6:$T$150,COLUMN()/2+1,FALSE))),"")</f>
        <v/>
      </c>
      <c r="U62" s="75"/>
      <c r="V62" s="182" t="str">
        <f ca="1">IFERROR(VALUE(IF(VLOOKUP($A62,数出表_Excel!$A$6:$T$150,COLUMN()/2+1,FALSE)=0,"",VLOOKUP($A62,数出表_Excel!$A$6:$T$150,COLUMN()/2+1,FALSE))),"")</f>
        <v/>
      </c>
      <c r="W62" s="75"/>
      <c r="X62" s="182" t="str">
        <f ca="1">IFERROR(VALUE(IF(VLOOKUP($A62,数出表_Excel!$A$6:$T$150,COLUMN()/2+1,FALSE)=0,"",VLOOKUP($A62,数出表_Excel!$A$6:$T$150,COLUMN()/2+1,FALSE))),"")</f>
        <v/>
      </c>
      <c r="Y62" s="75"/>
      <c r="Z62" s="182" t="str">
        <f ca="1">IFERROR(VALUE(IF(VLOOKUP($A62,数出表_Excel!$A$6:$T$150,COLUMN()/2+1,FALSE)=0,"",VLOOKUP($A62,数出表_Excel!$A$6:$T$150,COLUMN()/2+1,FALSE))),"")</f>
        <v/>
      </c>
      <c r="AA62" s="75"/>
      <c r="AB62" s="182" t="str">
        <f ca="1">IFERROR(VALUE(IF(VLOOKUP($A62,数出表_Excel!$A$6:$T$150,COLUMN()/2+1,FALSE)=0,"",VLOOKUP($A62,数出表_Excel!$A$6:$T$150,COLUMN()/2+1,FALSE))),"")</f>
        <v/>
      </c>
      <c r="AC62" s="75"/>
      <c r="AD62" s="182" t="str">
        <f ca="1">IFERROR(VALUE(IF(VLOOKUP($A62,数出表_Excel!$A$6:$T$150,COLUMN()/2+1,FALSE)=0,"",VLOOKUP($A62,数出表_Excel!$A$6:$T$150,COLUMN()/2+1,FALSE))),"")</f>
        <v/>
      </c>
      <c r="AE62" s="75"/>
      <c r="AF62" s="182" t="str">
        <f ca="1">IFERROR(VALUE(IF(VLOOKUP($A62,数出表_Excel!$A$6:$T$150,COLUMN()/2+1,FALSE)=0,"",VLOOKUP($A62,数出表_Excel!$A$6:$T$150,COLUMN()/2+1,FALSE))),"")</f>
        <v/>
      </c>
      <c r="AG62" s="75"/>
      <c r="AH62" s="182" t="str">
        <f ca="1">IFERROR(VALUE(IF(VLOOKUP($A62,数出表_Excel!$A$6:$T$150,COLUMN()/2+1,FALSE)=0,"",VLOOKUP($A62,数出表_Excel!$A$6:$T$150,COLUMN()/2+1,FALSE))),"")</f>
        <v/>
      </c>
      <c r="AI62" s="75"/>
      <c r="AJ62" s="182" t="str">
        <f ca="1">IFERROR(VALUE(IF(VLOOKUP($A62,数出表_Excel!$A$6:$T$150,COLUMN()/2+1,FALSE)=0,"",VLOOKUP($A62,数出表_Excel!$A$6:$T$150,COLUMN()/2+1,FALSE))),"")</f>
        <v/>
      </c>
      <c r="AK62" s="75"/>
      <c r="AL62" s="61" t="e">
        <f ca="1">IF(A62&lt;&gt;"",
IF(VLOOKUP($A62,数出表_Excel!$A$6:$T$150,COLUMN()/2+1,FALSE)=0,"",VLOOKUP($A62,数出表_Excel!$A$6:$T$150,COLUMN()/2+1,FALSE)),"")</f>
        <v>#N/A</v>
      </c>
      <c r="AM62" s="89" t="e">
        <f>数出表_Excel!V62</f>
        <v>#N/A</v>
      </c>
      <c r="AN62" s="90" t="e">
        <f>数出表_Excel!W62</f>
        <v>#N/A</v>
      </c>
    </row>
    <row r="63" spans="1:40" ht="16.2" customHeight="1">
      <c r="A63" s="82" t="e">
        <f t="array" aca="1" ref="A63" ca="1">IF(OR(COUNTIF(A61,"*1000*"),COUNTIF(A61,"")),"",INDEX(貼り付け用!$A1:$A200,MATCH(A61,貼り付け用!$A1:$A200,0)+2,0))</f>
        <v>#N/A</v>
      </c>
      <c r="B63" s="148" t="str">
        <f ca="1">IFERROR(VALUE(IF(VLOOKUP($A63,数出表_Excel!$A$6:$T$150,COLUMN()/2+1,FALSE)=0,"",VLOOKUP($A63,数出表_Excel!$A$6:$T$150,COLUMN()/2+1,FALSE))),"")</f>
        <v/>
      </c>
      <c r="C63" s="76"/>
      <c r="D63" s="148" t="str">
        <f ca="1">IFERROR(VALUE(IF(VLOOKUP($A63,数出表_Excel!$A$6:$T$150,COLUMN()/2+1,FALSE)=0,"",VLOOKUP($A63,数出表_Excel!$A$6:$T$150,COLUMN()/2+1,FALSE))),"")</f>
        <v/>
      </c>
      <c r="E63" s="76"/>
      <c r="F63" s="148" t="str">
        <f ca="1">IFERROR(VALUE(IF(VLOOKUP($A63,数出表_Excel!$A$6:$T$150,COLUMN()/2+1,FALSE)=0,"",VLOOKUP($A63,数出表_Excel!$A$6:$T$150,COLUMN()/2+1,FALSE))),"")</f>
        <v/>
      </c>
      <c r="G63" s="76"/>
      <c r="H63" s="148" t="str">
        <f ca="1">IFERROR(VALUE(IF(VLOOKUP($A63,数出表_Excel!$A$6:$T$150,COLUMN()/2+1,FALSE)=0,"",VLOOKUP($A63,数出表_Excel!$A$6:$T$150,COLUMN()/2+1,FALSE))),"")</f>
        <v/>
      </c>
      <c r="I63" s="76"/>
      <c r="J63" s="148" t="str">
        <f ca="1">IFERROR(VALUE(IF(VLOOKUP($A63,数出表_Excel!$A$6:$T$150,COLUMN()/2+1,FALSE)=0,"",VLOOKUP($A63,数出表_Excel!$A$6:$T$150,COLUMN()/2+1,FALSE))),"")</f>
        <v/>
      </c>
      <c r="K63" s="76"/>
      <c r="L63" s="148" t="str">
        <f ca="1">IFERROR(VALUE(IF(VLOOKUP($A63,数出表_Excel!$A$6:$T$150,COLUMN()/2+1,FALSE)=0,"",VLOOKUP($A63,数出表_Excel!$A$6:$T$150,COLUMN()/2+1,FALSE))),"")</f>
        <v/>
      </c>
      <c r="M63" s="76"/>
      <c r="N63" s="148" t="str">
        <f ca="1">IFERROR(VALUE(IF(VLOOKUP($A63,数出表_Excel!$A$6:$T$150,COLUMN()/2+1,FALSE)=0,"",VLOOKUP($A63,数出表_Excel!$A$6:$T$150,COLUMN()/2+1,FALSE))),"")</f>
        <v/>
      </c>
      <c r="O63" s="76"/>
      <c r="P63" s="148" t="str">
        <f ca="1">IFERROR(VALUE(IF(VLOOKUP($A63,数出表_Excel!$A$6:$T$150,COLUMN()/2+1,FALSE)=0,"",VLOOKUP($A63,数出表_Excel!$A$6:$T$150,COLUMN()/2+1,FALSE))),"")</f>
        <v/>
      </c>
      <c r="Q63" s="76"/>
      <c r="R63" s="148" t="str">
        <f ca="1">IFERROR(VALUE(IF(VLOOKUP($A63,数出表_Excel!$A$6:$T$150,COLUMN()/2+1,FALSE)=0,"",VLOOKUP($A63,数出表_Excel!$A$6:$T$150,COLUMN()/2+1,FALSE))),"")</f>
        <v/>
      </c>
      <c r="S63" s="76"/>
      <c r="T63" s="148" t="str">
        <f ca="1">IFERROR(VALUE(IF(VLOOKUP($A63,数出表_Excel!$A$6:$T$150,COLUMN()/2+1,FALSE)=0,"",VLOOKUP($A63,数出表_Excel!$A$6:$T$150,COLUMN()/2+1,FALSE))),"")</f>
        <v/>
      </c>
      <c r="U63" s="76"/>
      <c r="V63" s="148" t="str">
        <f ca="1">IFERROR(VALUE(IF(VLOOKUP($A63,数出表_Excel!$A$6:$T$150,COLUMN()/2+1,FALSE)=0,"",VLOOKUP($A63,数出表_Excel!$A$6:$T$150,COLUMN()/2+1,FALSE))),"")</f>
        <v/>
      </c>
      <c r="W63" s="76"/>
      <c r="X63" s="148" t="str">
        <f ca="1">IFERROR(VALUE(IF(VLOOKUP($A63,数出表_Excel!$A$6:$T$150,COLUMN()/2+1,FALSE)=0,"",VLOOKUP($A63,数出表_Excel!$A$6:$T$150,COLUMN()/2+1,FALSE))),"")</f>
        <v/>
      </c>
      <c r="Y63" s="76"/>
      <c r="Z63" s="148" t="str">
        <f ca="1">IFERROR(VALUE(IF(VLOOKUP($A63,数出表_Excel!$A$6:$T$150,COLUMN()/2+1,FALSE)=0,"",VLOOKUP($A63,数出表_Excel!$A$6:$T$150,COLUMN()/2+1,FALSE))),"")</f>
        <v/>
      </c>
      <c r="AA63" s="76"/>
      <c r="AB63" s="148" t="str">
        <f ca="1">IFERROR(VALUE(IF(VLOOKUP($A63,数出表_Excel!$A$6:$T$150,COLUMN()/2+1,FALSE)=0,"",VLOOKUP($A63,数出表_Excel!$A$6:$T$150,COLUMN()/2+1,FALSE))),"")</f>
        <v/>
      </c>
      <c r="AC63" s="76"/>
      <c r="AD63" s="148" t="str">
        <f ca="1">IFERROR(VALUE(IF(VLOOKUP($A63,数出表_Excel!$A$6:$T$150,COLUMN()/2+1,FALSE)=0,"",VLOOKUP($A63,数出表_Excel!$A$6:$T$150,COLUMN()/2+1,FALSE))),"")</f>
        <v/>
      </c>
      <c r="AE63" s="76"/>
      <c r="AF63" s="148" t="str">
        <f ca="1">IFERROR(VALUE(IF(VLOOKUP($A63,数出表_Excel!$A$6:$T$150,COLUMN()/2+1,FALSE)=0,"",VLOOKUP($A63,数出表_Excel!$A$6:$T$150,COLUMN()/2+1,FALSE))),"")</f>
        <v/>
      </c>
      <c r="AG63" s="76"/>
      <c r="AH63" s="148" t="str">
        <f ca="1">IFERROR(VALUE(IF(VLOOKUP($A63,数出表_Excel!$A$6:$T$150,COLUMN()/2+1,FALSE)=0,"",VLOOKUP($A63,数出表_Excel!$A$6:$T$150,COLUMN()/2+1,FALSE))),"")</f>
        <v/>
      </c>
      <c r="AI63" s="76"/>
      <c r="AJ63" s="148" t="str">
        <f ca="1">IFERROR(VALUE(IF(VLOOKUP($A63,数出表_Excel!$A$6:$T$150,COLUMN()/2+1,FALSE)=0,"",VLOOKUP($A63,数出表_Excel!$A$6:$T$150,COLUMN()/2+1,FALSE))),"")</f>
        <v/>
      </c>
      <c r="AK63" s="76"/>
      <c r="AL63" s="63" t="e">
        <f ca="1">IF(A63&lt;&gt;"",
IF(VLOOKUP($A63,数出表_Excel!$A$6:$T$150,COLUMN()/2+1,FALSE)=0,"",VLOOKUP($A63,数出表_Excel!$A$6:$T$150,COLUMN()/2+1,FALSE)),"")</f>
        <v>#N/A</v>
      </c>
      <c r="AM63" s="91" t="e">
        <f>数出表_Excel!V63</f>
        <v>#N/A</v>
      </c>
      <c r="AN63" s="92" t="e">
        <f>数出表_Excel!W63</f>
        <v>#N/A</v>
      </c>
    </row>
    <row r="64" spans="1:40" ht="16.2" customHeight="1">
      <c r="A64" s="81" t="e">
        <f t="array" aca="1" ref="A64" ca="1">IF(OR(COUNTIF(A62,"*10002*"),COUNTIF(A62,"")),"",INDEX(貼り付け用!$A1:$A200,MATCH(A62,貼り付け用!$A1:$A200,0)+2,0))</f>
        <v>#N/A</v>
      </c>
      <c r="B64" s="182" t="str">
        <f ca="1">IFERROR(VALUE(IF(VLOOKUP($A64,数出表_Excel!$A$6:$T$150,COLUMN()/2+1,FALSE)=0,"",VLOOKUP($A64,数出表_Excel!$A$6:$T$150,COLUMN()/2+1,FALSE))),"")</f>
        <v/>
      </c>
      <c r="C64" s="75"/>
      <c r="D64" s="182" t="str">
        <f ca="1">IFERROR(VALUE(IF(VLOOKUP($A64,数出表_Excel!$A$6:$T$150,COLUMN()/2+1,FALSE)=0,"",VLOOKUP($A64,数出表_Excel!$A$6:$T$150,COLUMN()/2+1,FALSE))),"")</f>
        <v/>
      </c>
      <c r="E64" s="75"/>
      <c r="F64" s="182" t="str">
        <f ca="1">IFERROR(VALUE(IF(VLOOKUP($A64,数出表_Excel!$A$6:$T$150,COLUMN()/2+1,FALSE)=0,"",VLOOKUP($A64,数出表_Excel!$A$6:$T$150,COLUMN()/2+1,FALSE))),"")</f>
        <v/>
      </c>
      <c r="G64" s="75"/>
      <c r="H64" s="182" t="str">
        <f ca="1">IFERROR(VALUE(IF(VLOOKUP($A64,数出表_Excel!$A$6:$T$150,COLUMN()/2+1,FALSE)=0,"",VLOOKUP($A64,数出表_Excel!$A$6:$T$150,COLUMN()/2+1,FALSE))),"")</f>
        <v/>
      </c>
      <c r="I64" s="75"/>
      <c r="J64" s="182" t="str">
        <f ca="1">IFERROR(VALUE(IF(VLOOKUP($A64,数出表_Excel!$A$6:$T$150,COLUMN()/2+1,FALSE)=0,"",VLOOKUP($A64,数出表_Excel!$A$6:$T$150,COLUMN()/2+1,FALSE))),"")</f>
        <v/>
      </c>
      <c r="K64" s="75"/>
      <c r="L64" s="182" t="str">
        <f ca="1">IFERROR(VALUE(IF(VLOOKUP($A64,数出表_Excel!$A$6:$T$150,COLUMN()/2+1,FALSE)=0,"",VLOOKUP($A64,数出表_Excel!$A$6:$T$150,COLUMN()/2+1,FALSE))),"")</f>
        <v/>
      </c>
      <c r="M64" s="75"/>
      <c r="N64" s="182" t="str">
        <f ca="1">IFERROR(VALUE(IF(VLOOKUP($A64,数出表_Excel!$A$6:$T$150,COLUMN()/2+1,FALSE)=0,"",VLOOKUP($A64,数出表_Excel!$A$6:$T$150,COLUMN()/2+1,FALSE))),"")</f>
        <v/>
      </c>
      <c r="O64" s="75"/>
      <c r="P64" s="182" t="str">
        <f ca="1">IFERROR(VALUE(IF(VLOOKUP($A64,数出表_Excel!$A$6:$T$150,COLUMN()/2+1,FALSE)=0,"",VLOOKUP($A64,数出表_Excel!$A$6:$T$150,COLUMN()/2+1,FALSE))),"")</f>
        <v/>
      </c>
      <c r="Q64" s="75"/>
      <c r="R64" s="182" t="str">
        <f ca="1">IFERROR(VALUE(IF(VLOOKUP($A64,数出表_Excel!$A$6:$T$150,COLUMN()/2+1,FALSE)=0,"",VLOOKUP($A64,数出表_Excel!$A$6:$T$150,COLUMN()/2+1,FALSE))),"")</f>
        <v/>
      </c>
      <c r="S64" s="75"/>
      <c r="T64" s="182" t="str">
        <f ca="1">IFERROR(VALUE(IF(VLOOKUP($A64,数出表_Excel!$A$6:$T$150,COLUMN()/2+1,FALSE)=0,"",VLOOKUP($A64,数出表_Excel!$A$6:$T$150,COLUMN()/2+1,FALSE))),"")</f>
        <v/>
      </c>
      <c r="U64" s="75"/>
      <c r="V64" s="182" t="str">
        <f ca="1">IFERROR(VALUE(IF(VLOOKUP($A64,数出表_Excel!$A$6:$T$150,COLUMN()/2+1,FALSE)=0,"",VLOOKUP($A64,数出表_Excel!$A$6:$T$150,COLUMN()/2+1,FALSE))),"")</f>
        <v/>
      </c>
      <c r="W64" s="75"/>
      <c r="X64" s="182" t="str">
        <f ca="1">IFERROR(VALUE(IF(VLOOKUP($A64,数出表_Excel!$A$6:$T$150,COLUMN()/2+1,FALSE)=0,"",VLOOKUP($A64,数出表_Excel!$A$6:$T$150,COLUMN()/2+1,FALSE))),"")</f>
        <v/>
      </c>
      <c r="Y64" s="75"/>
      <c r="Z64" s="182" t="str">
        <f ca="1">IFERROR(VALUE(IF(VLOOKUP($A64,数出表_Excel!$A$6:$T$150,COLUMN()/2+1,FALSE)=0,"",VLOOKUP($A64,数出表_Excel!$A$6:$T$150,COLUMN()/2+1,FALSE))),"")</f>
        <v/>
      </c>
      <c r="AA64" s="75"/>
      <c r="AB64" s="182" t="str">
        <f ca="1">IFERROR(VALUE(IF(VLOOKUP($A64,数出表_Excel!$A$6:$T$150,COLUMN()/2+1,FALSE)=0,"",VLOOKUP($A64,数出表_Excel!$A$6:$T$150,COLUMN()/2+1,FALSE))),"")</f>
        <v/>
      </c>
      <c r="AC64" s="75"/>
      <c r="AD64" s="182" t="str">
        <f ca="1">IFERROR(VALUE(IF(VLOOKUP($A64,数出表_Excel!$A$6:$T$150,COLUMN()/2+1,FALSE)=0,"",VLOOKUP($A64,数出表_Excel!$A$6:$T$150,COLUMN()/2+1,FALSE))),"")</f>
        <v/>
      </c>
      <c r="AE64" s="75"/>
      <c r="AF64" s="182" t="str">
        <f ca="1">IFERROR(VALUE(IF(VLOOKUP($A64,数出表_Excel!$A$6:$T$150,COLUMN()/2+1,FALSE)=0,"",VLOOKUP($A64,数出表_Excel!$A$6:$T$150,COLUMN()/2+1,FALSE))),"")</f>
        <v/>
      </c>
      <c r="AG64" s="75"/>
      <c r="AH64" s="182" t="str">
        <f ca="1">IFERROR(VALUE(IF(VLOOKUP($A64,数出表_Excel!$A$6:$T$150,COLUMN()/2+1,FALSE)=0,"",VLOOKUP($A64,数出表_Excel!$A$6:$T$150,COLUMN()/2+1,FALSE))),"")</f>
        <v/>
      </c>
      <c r="AI64" s="75"/>
      <c r="AJ64" s="182" t="str">
        <f ca="1">IFERROR(VALUE(IF(VLOOKUP($A64,数出表_Excel!$A$6:$T$150,COLUMN()/2+1,FALSE)=0,"",VLOOKUP($A64,数出表_Excel!$A$6:$T$150,COLUMN()/2+1,FALSE))),"")</f>
        <v/>
      </c>
      <c r="AK64" s="75"/>
      <c r="AL64" s="61" t="e">
        <f ca="1">IF(A64&lt;&gt;"",
IF(VLOOKUP($A64,数出表_Excel!$A$6:$T$150,COLUMN()/2+1,FALSE)=0,"",VLOOKUP($A64,数出表_Excel!$A$6:$T$150,COLUMN()/2+1,FALSE)),"")</f>
        <v>#N/A</v>
      </c>
      <c r="AM64" s="89" t="e">
        <f>数出表_Excel!V64</f>
        <v>#N/A</v>
      </c>
      <c r="AN64" s="90" t="e">
        <f>数出表_Excel!W64</f>
        <v>#N/A</v>
      </c>
    </row>
    <row r="65" spans="1:40" ht="16.2" customHeight="1">
      <c r="A65" s="82" t="e">
        <f t="array" aca="1" ref="A65" ca="1">IF(OR(COUNTIF(A63,"*1000*"),COUNTIF(A63,"")),"",INDEX(貼り付け用!$A1:$A200,MATCH(A63,貼り付け用!$A1:$A200,0)+2,0))</f>
        <v>#N/A</v>
      </c>
      <c r="B65" s="148" t="str">
        <f ca="1">IFERROR(VALUE(IF(VLOOKUP($A65,数出表_Excel!$A$6:$T$150,COLUMN()/2+1,FALSE)=0,"",VLOOKUP($A65,数出表_Excel!$A$6:$T$150,COLUMN()/2+1,FALSE))),"")</f>
        <v/>
      </c>
      <c r="C65" s="76"/>
      <c r="D65" s="148" t="str">
        <f ca="1">IFERROR(VALUE(IF(VLOOKUP($A65,数出表_Excel!$A$6:$T$150,COLUMN()/2+1,FALSE)=0,"",VLOOKUP($A65,数出表_Excel!$A$6:$T$150,COLUMN()/2+1,FALSE))),"")</f>
        <v/>
      </c>
      <c r="E65" s="76"/>
      <c r="F65" s="148" t="str">
        <f ca="1">IFERROR(VALUE(IF(VLOOKUP($A65,数出表_Excel!$A$6:$T$150,COLUMN()/2+1,FALSE)=0,"",VLOOKUP($A65,数出表_Excel!$A$6:$T$150,COLUMN()/2+1,FALSE))),"")</f>
        <v/>
      </c>
      <c r="G65" s="76"/>
      <c r="H65" s="148" t="str">
        <f ca="1">IFERROR(VALUE(IF(VLOOKUP($A65,数出表_Excel!$A$6:$T$150,COLUMN()/2+1,FALSE)=0,"",VLOOKUP($A65,数出表_Excel!$A$6:$T$150,COLUMN()/2+1,FALSE))),"")</f>
        <v/>
      </c>
      <c r="I65" s="76"/>
      <c r="J65" s="148" t="str">
        <f ca="1">IFERROR(VALUE(IF(VLOOKUP($A65,数出表_Excel!$A$6:$T$150,COLUMN()/2+1,FALSE)=0,"",VLOOKUP($A65,数出表_Excel!$A$6:$T$150,COLUMN()/2+1,FALSE))),"")</f>
        <v/>
      </c>
      <c r="K65" s="76"/>
      <c r="L65" s="148" t="str">
        <f ca="1">IFERROR(VALUE(IF(VLOOKUP($A65,数出表_Excel!$A$6:$T$150,COLUMN()/2+1,FALSE)=0,"",VLOOKUP($A65,数出表_Excel!$A$6:$T$150,COLUMN()/2+1,FALSE))),"")</f>
        <v/>
      </c>
      <c r="M65" s="76"/>
      <c r="N65" s="148" t="str">
        <f ca="1">IFERROR(VALUE(IF(VLOOKUP($A65,数出表_Excel!$A$6:$T$150,COLUMN()/2+1,FALSE)=0,"",VLOOKUP($A65,数出表_Excel!$A$6:$T$150,COLUMN()/2+1,FALSE))),"")</f>
        <v/>
      </c>
      <c r="O65" s="76"/>
      <c r="P65" s="148" t="str">
        <f ca="1">IFERROR(VALUE(IF(VLOOKUP($A65,数出表_Excel!$A$6:$T$150,COLUMN()/2+1,FALSE)=0,"",VLOOKUP($A65,数出表_Excel!$A$6:$T$150,COLUMN()/2+1,FALSE))),"")</f>
        <v/>
      </c>
      <c r="Q65" s="76"/>
      <c r="R65" s="148" t="str">
        <f ca="1">IFERROR(VALUE(IF(VLOOKUP($A65,数出表_Excel!$A$6:$T$150,COLUMN()/2+1,FALSE)=0,"",VLOOKUP($A65,数出表_Excel!$A$6:$T$150,COLUMN()/2+1,FALSE))),"")</f>
        <v/>
      </c>
      <c r="S65" s="76"/>
      <c r="T65" s="148" t="str">
        <f ca="1">IFERROR(VALUE(IF(VLOOKUP($A65,数出表_Excel!$A$6:$T$150,COLUMN()/2+1,FALSE)=0,"",VLOOKUP($A65,数出表_Excel!$A$6:$T$150,COLUMN()/2+1,FALSE))),"")</f>
        <v/>
      </c>
      <c r="U65" s="76"/>
      <c r="V65" s="148" t="str">
        <f ca="1">IFERROR(VALUE(IF(VLOOKUP($A65,数出表_Excel!$A$6:$T$150,COLUMN()/2+1,FALSE)=0,"",VLOOKUP($A65,数出表_Excel!$A$6:$T$150,COLUMN()/2+1,FALSE))),"")</f>
        <v/>
      </c>
      <c r="W65" s="76"/>
      <c r="X65" s="148" t="str">
        <f ca="1">IFERROR(VALUE(IF(VLOOKUP($A65,数出表_Excel!$A$6:$T$150,COLUMN()/2+1,FALSE)=0,"",VLOOKUP($A65,数出表_Excel!$A$6:$T$150,COLUMN()/2+1,FALSE))),"")</f>
        <v/>
      </c>
      <c r="Y65" s="76"/>
      <c r="Z65" s="148" t="str">
        <f ca="1">IFERROR(VALUE(IF(VLOOKUP($A65,数出表_Excel!$A$6:$T$150,COLUMN()/2+1,FALSE)=0,"",VLOOKUP($A65,数出表_Excel!$A$6:$T$150,COLUMN()/2+1,FALSE))),"")</f>
        <v/>
      </c>
      <c r="AA65" s="76"/>
      <c r="AB65" s="148" t="str">
        <f ca="1">IFERROR(VALUE(IF(VLOOKUP($A65,数出表_Excel!$A$6:$T$150,COLUMN()/2+1,FALSE)=0,"",VLOOKUP($A65,数出表_Excel!$A$6:$T$150,COLUMN()/2+1,FALSE))),"")</f>
        <v/>
      </c>
      <c r="AC65" s="76"/>
      <c r="AD65" s="148" t="str">
        <f ca="1">IFERROR(VALUE(IF(VLOOKUP($A65,数出表_Excel!$A$6:$T$150,COLUMN()/2+1,FALSE)=0,"",VLOOKUP($A65,数出表_Excel!$A$6:$T$150,COLUMN()/2+1,FALSE))),"")</f>
        <v/>
      </c>
      <c r="AE65" s="76"/>
      <c r="AF65" s="148" t="str">
        <f ca="1">IFERROR(VALUE(IF(VLOOKUP($A65,数出表_Excel!$A$6:$T$150,COLUMN()/2+1,FALSE)=0,"",VLOOKUP($A65,数出表_Excel!$A$6:$T$150,COLUMN()/2+1,FALSE))),"")</f>
        <v/>
      </c>
      <c r="AG65" s="76"/>
      <c r="AH65" s="148" t="str">
        <f ca="1">IFERROR(VALUE(IF(VLOOKUP($A65,数出表_Excel!$A$6:$T$150,COLUMN()/2+1,FALSE)=0,"",VLOOKUP($A65,数出表_Excel!$A$6:$T$150,COLUMN()/2+1,FALSE))),"")</f>
        <v/>
      </c>
      <c r="AI65" s="76"/>
      <c r="AJ65" s="148" t="str">
        <f ca="1">IFERROR(VALUE(IF(VLOOKUP($A65,数出表_Excel!$A$6:$T$150,COLUMN()/2+1,FALSE)=0,"",VLOOKUP($A65,数出表_Excel!$A$6:$T$150,COLUMN()/2+1,FALSE))),"")</f>
        <v/>
      </c>
      <c r="AK65" s="76"/>
      <c r="AL65" s="63" t="e">
        <f ca="1">IF(A65&lt;&gt;"",
IF(VLOOKUP($A65,数出表_Excel!$A$6:$T$150,COLUMN()/2+1,FALSE)=0,"",VLOOKUP($A65,数出表_Excel!$A$6:$T$150,COLUMN()/2+1,FALSE)),"")</f>
        <v>#N/A</v>
      </c>
      <c r="AM65" s="91" t="e">
        <f>数出表_Excel!V65</f>
        <v>#N/A</v>
      </c>
      <c r="AN65" s="92" t="e">
        <f>数出表_Excel!W65</f>
        <v>#N/A</v>
      </c>
    </row>
    <row r="66" spans="1:40" ht="16.2" customHeight="1">
      <c r="A66" s="81" t="e">
        <f t="array" aca="1" ref="A66" ca="1">IF(OR(COUNTIF(A64,"*10002*"),COUNTIF(A64,"")),"",INDEX(貼り付け用!$A1:$A200,MATCH(A64,貼り付け用!$A1:$A200,0)+2,0))</f>
        <v>#N/A</v>
      </c>
      <c r="B66" s="182" t="str">
        <f ca="1">IFERROR(VALUE(IF(VLOOKUP($A66,数出表_Excel!$A$6:$T$150,COLUMN()/2+1,FALSE)=0,"",VLOOKUP($A66,数出表_Excel!$A$6:$T$150,COLUMN()/2+1,FALSE))),"")</f>
        <v/>
      </c>
      <c r="C66" s="75"/>
      <c r="D66" s="182" t="str">
        <f ca="1">IFERROR(VALUE(IF(VLOOKUP($A66,数出表_Excel!$A$6:$T$150,COLUMN()/2+1,FALSE)=0,"",VLOOKUP($A66,数出表_Excel!$A$6:$T$150,COLUMN()/2+1,FALSE))),"")</f>
        <v/>
      </c>
      <c r="E66" s="75"/>
      <c r="F66" s="182" t="str">
        <f ca="1">IFERROR(VALUE(IF(VLOOKUP($A66,数出表_Excel!$A$6:$T$150,COLUMN()/2+1,FALSE)=0,"",VLOOKUP($A66,数出表_Excel!$A$6:$T$150,COLUMN()/2+1,FALSE))),"")</f>
        <v/>
      </c>
      <c r="G66" s="75"/>
      <c r="H66" s="182" t="str">
        <f ca="1">IFERROR(VALUE(IF(VLOOKUP($A66,数出表_Excel!$A$6:$T$150,COLUMN()/2+1,FALSE)=0,"",VLOOKUP($A66,数出表_Excel!$A$6:$T$150,COLUMN()/2+1,FALSE))),"")</f>
        <v/>
      </c>
      <c r="I66" s="75"/>
      <c r="J66" s="182" t="str">
        <f ca="1">IFERROR(VALUE(IF(VLOOKUP($A66,数出表_Excel!$A$6:$T$150,COLUMN()/2+1,FALSE)=0,"",VLOOKUP($A66,数出表_Excel!$A$6:$T$150,COLUMN()/2+1,FALSE))),"")</f>
        <v/>
      </c>
      <c r="K66" s="75"/>
      <c r="L66" s="182" t="str">
        <f ca="1">IFERROR(VALUE(IF(VLOOKUP($A66,数出表_Excel!$A$6:$T$150,COLUMN()/2+1,FALSE)=0,"",VLOOKUP($A66,数出表_Excel!$A$6:$T$150,COLUMN()/2+1,FALSE))),"")</f>
        <v/>
      </c>
      <c r="M66" s="75"/>
      <c r="N66" s="182" t="str">
        <f ca="1">IFERROR(VALUE(IF(VLOOKUP($A66,数出表_Excel!$A$6:$T$150,COLUMN()/2+1,FALSE)=0,"",VLOOKUP($A66,数出表_Excel!$A$6:$T$150,COLUMN()/2+1,FALSE))),"")</f>
        <v/>
      </c>
      <c r="O66" s="75"/>
      <c r="P66" s="182" t="str">
        <f ca="1">IFERROR(VALUE(IF(VLOOKUP($A66,数出表_Excel!$A$6:$T$150,COLUMN()/2+1,FALSE)=0,"",VLOOKUP($A66,数出表_Excel!$A$6:$T$150,COLUMN()/2+1,FALSE))),"")</f>
        <v/>
      </c>
      <c r="Q66" s="75"/>
      <c r="R66" s="182" t="str">
        <f ca="1">IFERROR(VALUE(IF(VLOOKUP($A66,数出表_Excel!$A$6:$T$150,COLUMN()/2+1,FALSE)=0,"",VLOOKUP($A66,数出表_Excel!$A$6:$T$150,COLUMN()/2+1,FALSE))),"")</f>
        <v/>
      </c>
      <c r="S66" s="75"/>
      <c r="T66" s="182" t="str">
        <f ca="1">IFERROR(VALUE(IF(VLOOKUP($A66,数出表_Excel!$A$6:$T$150,COLUMN()/2+1,FALSE)=0,"",VLOOKUP($A66,数出表_Excel!$A$6:$T$150,COLUMN()/2+1,FALSE))),"")</f>
        <v/>
      </c>
      <c r="U66" s="75"/>
      <c r="V66" s="182" t="str">
        <f ca="1">IFERROR(VALUE(IF(VLOOKUP($A66,数出表_Excel!$A$6:$T$150,COLUMN()/2+1,FALSE)=0,"",VLOOKUP($A66,数出表_Excel!$A$6:$T$150,COLUMN()/2+1,FALSE))),"")</f>
        <v/>
      </c>
      <c r="W66" s="75"/>
      <c r="X66" s="182" t="str">
        <f ca="1">IFERROR(VALUE(IF(VLOOKUP($A66,数出表_Excel!$A$6:$T$150,COLUMN()/2+1,FALSE)=0,"",VLOOKUP($A66,数出表_Excel!$A$6:$T$150,COLUMN()/2+1,FALSE))),"")</f>
        <v/>
      </c>
      <c r="Y66" s="75"/>
      <c r="Z66" s="182" t="str">
        <f ca="1">IFERROR(VALUE(IF(VLOOKUP($A66,数出表_Excel!$A$6:$T$150,COLUMN()/2+1,FALSE)=0,"",VLOOKUP($A66,数出表_Excel!$A$6:$T$150,COLUMN()/2+1,FALSE))),"")</f>
        <v/>
      </c>
      <c r="AA66" s="75"/>
      <c r="AB66" s="182" t="str">
        <f ca="1">IFERROR(VALUE(IF(VLOOKUP($A66,数出表_Excel!$A$6:$T$150,COLUMN()/2+1,FALSE)=0,"",VLOOKUP($A66,数出表_Excel!$A$6:$T$150,COLUMN()/2+1,FALSE))),"")</f>
        <v/>
      </c>
      <c r="AC66" s="75"/>
      <c r="AD66" s="182" t="str">
        <f ca="1">IFERROR(VALUE(IF(VLOOKUP($A66,数出表_Excel!$A$6:$T$150,COLUMN()/2+1,FALSE)=0,"",VLOOKUP($A66,数出表_Excel!$A$6:$T$150,COLUMN()/2+1,FALSE))),"")</f>
        <v/>
      </c>
      <c r="AE66" s="75"/>
      <c r="AF66" s="182" t="str">
        <f ca="1">IFERROR(VALUE(IF(VLOOKUP($A66,数出表_Excel!$A$6:$T$150,COLUMN()/2+1,FALSE)=0,"",VLOOKUP($A66,数出表_Excel!$A$6:$T$150,COLUMN()/2+1,FALSE))),"")</f>
        <v/>
      </c>
      <c r="AG66" s="75"/>
      <c r="AH66" s="182" t="str">
        <f ca="1">IFERROR(VALUE(IF(VLOOKUP($A66,数出表_Excel!$A$6:$T$150,COLUMN()/2+1,FALSE)=0,"",VLOOKUP($A66,数出表_Excel!$A$6:$T$150,COLUMN()/2+1,FALSE))),"")</f>
        <v/>
      </c>
      <c r="AI66" s="75"/>
      <c r="AJ66" s="182" t="str">
        <f ca="1">IFERROR(VALUE(IF(VLOOKUP($A66,数出表_Excel!$A$6:$T$150,COLUMN()/2+1,FALSE)=0,"",VLOOKUP($A66,数出表_Excel!$A$6:$T$150,COLUMN()/2+1,FALSE))),"")</f>
        <v/>
      </c>
      <c r="AK66" s="75"/>
      <c r="AL66" s="61" t="e">
        <f ca="1">IF(A66&lt;&gt;"",
IF(VLOOKUP($A66,数出表_Excel!$A$6:$T$150,COLUMN()/2+1,FALSE)=0,"",VLOOKUP($A66,数出表_Excel!$A$6:$T$150,COLUMN()/2+1,FALSE)),"")</f>
        <v>#N/A</v>
      </c>
      <c r="AM66" s="89" t="e">
        <f>数出表_Excel!V66</f>
        <v>#N/A</v>
      </c>
      <c r="AN66" s="90" t="e">
        <f>数出表_Excel!W66</f>
        <v>#N/A</v>
      </c>
    </row>
    <row r="67" spans="1:40" ht="16.2" customHeight="1">
      <c r="A67" s="82" t="e">
        <f t="array" aca="1" ref="A67" ca="1">IF(OR(COUNTIF(A65,"*1000*"),COUNTIF(A65,"")),"",INDEX(貼り付け用!$A1:$A200,MATCH(A65,貼り付け用!$A1:$A200,0)+2,0))</f>
        <v>#N/A</v>
      </c>
      <c r="B67" s="148" t="str">
        <f ca="1">IFERROR(VALUE(IF(VLOOKUP($A67,数出表_Excel!$A$6:$T$150,COLUMN()/2+1,FALSE)=0,"",VLOOKUP($A67,数出表_Excel!$A$6:$T$150,COLUMN()/2+1,FALSE))),"")</f>
        <v/>
      </c>
      <c r="C67" s="76"/>
      <c r="D67" s="148" t="str">
        <f ca="1">IFERROR(VALUE(IF(VLOOKUP($A67,数出表_Excel!$A$6:$T$150,COLUMN()/2+1,FALSE)=0,"",VLOOKUP($A67,数出表_Excel!$A$6:$T$150,COLUMN()/2+1,FALSE))),"")</f>
        <v/>
      </c>
      <c r="E67" s="76"/>
      <c r="F67" s="148" t="str">
        <f ca="1">IFERROR(VALUE(IF(VLOOKUP($A67,数出表_Excel!$A$6:$T$150,COLUMN()/2+1,FALSE)=0,"",VLOOKUP($A67,数出表_Excel!$A$6:$T$150,COLUMN()/2+1,FALSE))),"")</f>
        <v/>
      </c>
      <c r="G67" s="76"/>
      <c r="H67" s="148" t="str">
        <f ca="1">IFERROR(VALUE(IF(VLOOKUP($A67,数出表_Excel!$A$6:$T$150,COLUMN()/2+1,FALSE)=0,"",VLOOKUP($A67,数出表_Excel!$A$6:$T$150,COLUMN()/2+1,FALSE))),"")</f>
        <v/>
      </c>
      <c r="I67" s="76"/>
      <c r="J67" s="148" t="str">
        <f ca="1">IFERROR(VALUE(IF(VLOOKUP($A67,数出表_Excel!$A$6:$T$150,COLUMN()/2+1,FALSE)=0,"",VLOOKUP($A67,数出表_Excel!$A$6:$T$150,COLUMN()/2+1,FALSE))),"")</f>
        <v/>
      </c>
      <c r="K67" s="76"/>
      <c r="L67" s="148" t="str">
        <f ca="1">IFERROR(VALUE(IF(VLOOKUP($A67,数出表_Excel!$A$6:$T$150,COLUMN()/2+1,FALSE)=0,"",VLOOKUP($A67,数出表_Excel!$A$6:$T$150,COLUMN()/2+1,FALSE))),"")</f>
        <v/>
      </c>
      <c r="M67" s="76"/>
      <c r="N67" s="148" t="str">
        <f ca="1">IFERROR(VALUE(IF(VLOOKUP($A67,数出表_Excel!$A$6:$T$150,COLUMN()/2+1,FALSE)=0,"",VLOOKUP($A67,数出表_Excel!$A$6:$T$150,COLUMN()/2+1,FALSE))),"")</f>
        <v/>
      </c>
      <c r="O67" s="76"/>
      <c r="P67" s="148" t="str">
        <f ca="1">IFERROR(VALUE(IF(VLOOKUP($A67,数出表_Excel!$A$6:$T$150,COLUMN()/2+1,FALSE)=0,"",VLOOKUP($A67,数出表_Excel!$A$6:$T$150,COLUMN()/2+1,FALSE))),"")</f>
        <v/>
      </c>
      <c r="Q67" s="76"/>
      <c r="R67" s="148" t="str">
        <f ca="1">IFERROR(VALUE(IF(VLOOKUP($A67,数出表_Excel!$A$6:$T$150,COLUMN()/2+1,FALSE)=0,"",VLOOKUP($A67,数出表_Excel!$A$6:$T$150,COLUMN()/2+1,FALSE))),"")</f>
        <v/>
      </c>
      <c r="S67" s="76"/>
      <c r="T67" s="148" t="str">
        <f ca="1">IFERROR(VALUE(IF(VLOOKUP($A67,数出表_Excel!$A$6:$T$150,COLUMN()/2+1,FALSE)=0,"",VLOOKUP($A67,数出表_Excel!$A$6:$T$150,COLUMN()/2+1,FALSE))),"")</f>
        <v/>
      </c>
      <c r="U67" s="76"/>
      <c r="V67" s="148" t="str">
        <f ca="1">IFERROR(VALUE(IF(VLOOKUP($A67,数出表_Excel!$A$6:$T$150,COLUMN()/2+1,FALSE)=0,"",VLOOKUP($A67,数出表_Excel!$A$6:$T$150,COLUMN()/2+1,FALSE))),"")</f>
        <v/>
      </c>
      <c r="W67" s="76"/>
      <c r="X67" s="148" t="str">
        <f ca="1">IFERROR(VALUE(IF(VLOOKUP($A67,数出表_Excel!$A$6:$T$150,COLUMN()/2+1,FALSE)=0,"",VLOOKUP($A67,数出表_Excel!$A$6:$T$150,COLUMN()/2+1,FALSE))),"")</f>
        <v/>
      </c>
      <c r="Y67" s="76"/>
      <c r="Z67" s="148" t="str">
        <f ca="1">IFERROR(VALUE(IF(VLOOKUP($A67,数出表_Excel!$A$6:$T$150,COLUMN()/2+1,FALSE)=0,"",VLOOKUP($A67,数出表_Excel!$A$6:$T$150,COLUMN()/2+1,FALSE))),"")</f>
        <v/>
      </c>
      <c r="AA67" s="76"/>
      <c r="AB67" s="148" t="str">
        <f ca="1">IFERROR(VALUE(IF(VLOOKUP($A67,数出表_Excel!$A$6:$T$150,COLUMN()/2+1,FALSE)=0,"",VLOOKUP($A67,数出表_Excel!$A$6:$T$150,COLUMN()/2+1,FALSE))),"")</f>
        <v/>
      </c>
      <c r="AC67" s="76"/>
      <c r="AD67" s="148" t="str">
        <f ca="1">IFERROR(VALUE(IF(VLOOKUP($A67,数出表_Excel!$A$6:$T$150,COLUMN()/2+1,FALSE)=0,"",VLOOKUP($A67,数出表_Excel!$A$6:$T$150,COLUMN()/2+1,FALSE))),"")</f>
        <v/>
      </c>
      <c r="AE67" s="76"/>
      <c r="AF67" s="148" t="str">
        <f ca="1">IFERROR(VALUE(IF(VLOOKUP($A67,数出表_Excel!$A$6:$T$150,COLUMN()/2+1,FALSE)=0,"",VLOOKUP($A67,数出表_Excel!$A$6:$T$150,COLUMN()/2+1,FALSE))),"")</f>
        <v/>
      </c>
      <c r="AG67" s="76"/>
      <c r="AH67" s="148" t="str">
        <f ca="1">IFERROR(VALUE(IF(VLOOKUP($A67,数出表_Excel!$A$6:$T$150,COLUMN()/2+1,FALSE)=0,"",VLOOKUP($A67,数出表_Excel!$A$6:$T$150,COLUMN()/2+1,FALSE))),"")</f>
        <v/>
      </c>
      <c r="AI67" s="76"/>
      <c r="AJ67" s="148" t="str">
        <f ca="1">IFERROR(VALUE(IF(VLOOKUP($A67,数出表_Excel!$A$6:$T$150,COLUMN()/2+1,FALSE)=0,"",VLOOKUP($A67,数出表_Excel!$A$6:$T$150,COLUMN()/2+1,FALSE))),"")</f>
        <v/>
      </c>
      <c r="AK67" s="76"/>
      <c r="AL67" s="63" t="e">
        <f ca="1">IF(A67&lt;&gt;"",
IF(VLOOKUP($A67,数出表_Excel!$A$6:$T$150,COLUMN()/2+1,FALSE)=0,"",VLOOKUP($A67,数出表_Excel!$A$6:$T$150,COLUMN()/2+1,FALSE)),"")</f>
        <v>#N/A</v>
      </c>
      <c r="AM67" s="91" t="e">
        <f>数出表_Excel!V67</f>
        <v>#N/A</v>
      </c>
      <c r="AN67" s="92" t="e">
        <f>数出表_Excel!W67</f>
        <v>#N/A</v>
      </c>
    </row>
    <row r="68" spans="1:40" ht="16.2" customHeight="1">
      <c r="A68" s="81" t="e">
        <f t="array" aca="1" ref="A68" ca="1">IF(OR(COUNTIF(A66,"*10002*"),COUNTIF(A66,"")),"",INDEX(貼り付け用!$A1:$A200,MATCH(A66,貼り付け用!$A1:$A200,0)+2,0))</f>
        <v>#N/A</v>
      </c>
      <c r="B68" s="182" t="str">
        <f ca="1">IFERROR(VALUE(IF(VLOOKUP($A68,数出表_Excel!$A$6:$T$150,COLUMN()/2+1,FALSE)=0,"",VLOOKUP($A68,数出表_Excel!$A$6:$T$150,COLUMN()/2+1,FALSE))),"")</f>
        <v/>
      </c>
      <c r="C68" s="75"/>
      <c r="D68" s="182" t="str">
        <f ca="1">IFERROR(VALUE(IF(VLOOKUP($A68,数出表_Excel!$A$6:$T$150,COLUMN()/2+1,FALSE)=0,"",VLOOKUP($A68,数出表_Excel!$A$6:$T$150,COLUMN()/2+1,FALSE))),"")</f>
        <v/>
      </c>
      <c r="E68" s="75"/>
      <c r="F68" s="182" t="str">
        <f ca="1">IFERROR(VALUE(IF(VLOOKUP($A68,数出表_Excel!$A$6:$T$150,COLUMN()/2+1,FALSE)=0,"",VLOOKUP($A68,数出表_Excel!$A$6:$T$150,COLUMN()/2+1,FALSE))),"")</f>
        <v/>
      </c>
      <c r="G68" s="75"/>
      <c r="H68" s="182" t="str">
        <f ca="1">IFERROR(VALUE(IF(VLOOKUP($A68,数出表_Excel!$A$6:$T$150,COLUMN()/2+1,FALSE)=0,"",VLOOKUP($A68,数出表_Excel!$A$6:$T$150,COLUMN()/2+1,FALSE))),"")</f>
        <v/>
      </c>
      <c r="I68" s="75"/>
      <c r="J68" s="182" t="str">
        <f ca="1">IFERROR(VALUE(IF(VLOOKUP($A68,数出表_Excel!$A$6:$T$150,COLUMN()/2+1,FALSE)=0,"",VLOOKUP($A68,数出表_Excel!$A$6:$T$150,COLUMN()/2+1,FALSE))),"")</f>
        <v/>
      </c>
      <c r="K68" s="75"/>
      <c r="L68" s="182" t="str">
        <f ca="1">IFERROR(VALUE(IF(VLOOKUP($A68,数出表_Excel!$A$6:$T$150,COLUMN()/2+1,FALSE)=0,"",VLOOKUP($A68,数出表_Excel!$A$6:$T$150,COLUMN()/2+1,FALSE))),"")</f>
        <v/>
      </c>
      <c r="M68" s="75"/>
      <c r="N68" s="182" t="str">
        <f ca="1">IFERROR(VALUE(IF(VLOOKUP($A68,数出表_Excel!$A$6:$T$150,COLUMN()/2+1,FALSE)=0,"",VLOOKUP($A68,数出表_Excel!$A$6:$T$150,COLUMN()/2+1,FALSE))),"")</f>
        <v/>
      </c>
      <c r="O68" s="75"/>
      <c r="P68" s="182" t="str">
        <f ca="1">IFERROR(VALUE(IF(VLOOKUP($A68,数出表_Excel!$A$6:$T$150,COLUMN()/2+1,FALSE)=0,"",VLOOKUP($A68,数出表_Excel!$A$6:$T$150,COLUMN()/2+1,FALSE))),"")</f>
        <v/>
      </c>
      <c r="Q68" s="75"/>
      <c r="R68" s="182" t="str">
        <f ca="1">IFERROR(VALUE(IF(VLOOKUP($A68,数出表_Excel!$A$6:$T$150,COLUMN()/2+1,FALSE)=0,"",VLOOKUP($A68,数出表_Excel!$A$6:$T$150,COLUMN()/2+1,FALSE))),"")</f>
        <v/>
      </c>
      <c r="S68" s="75"/>
      <c r="T68" s="182" t="str">
        <f ca="1">IFERROR(VALUE(IF(VLOOKUP($A68,数出表_Excel!$A$6:$T$150,COLUMN()/2+1,FALSE)=0,"",VLOOKUP($A68,数出表_Excel!$A$6:$T$150,COLUMN()/2+1,FALSE))),"")</f>
        <v/>
      </c>
      <c r="U68" s="75"/>
      <c r="V68" s="182" t="str">
        <f ca="1">IFERROR(VALUE(IF(VLOOKUP($A68,数出表_Excel!$A$6:$T$150,COLUMN()/2+1,FALSE)=0,"",VLOOKUP($A68,数出表_Excel!$A$6:$T$150,COLUMN()/2+1,FALSE))),"")</f>
        <v/>
      </c>
      <c r="W68" s="75"/>
      <c r="X68" s="182" t="str">
        <f ca="1">IFERROR(VALUE(IF(VLOOKUP($A68,数出表_Excel!$A$6:$T$150,COLUMN()/2+1,FALSE)=0,"",VLOOKUP($A68,数出表_Excel!$A$6:$T$150,COLUMN()/2+1,FALSE))),"")</f>
        <v/>
      </c>
      <c r="Y68" s="75"/>
      <c r="Z68" s="182" t="str">
        <f ca="1">IFERROR(VALUE(IF(VLOOKUP($A68,数出表_Excel!$A$6:$T$150,COLUMN()/2+1,FALSE)=0,"",VLOOKUP($A68,数出表_Excel!$A$6:$T$150,COLUMN()/2+1,FALSE))),"")</f>
        <v/>
      </c>
      <c r="AA68" s="75"/>
      <c r="AB68" s="182" t="str">
        <f ca="1">IFERROR(VALUE(IF(VLOOKUP($A68,数出表_Excel!$A$6:$T$150,COLUMN()/2+1,FALSE)=0,"",VLOOKUP($A68,数出表_Excel!$A$6:$T$150,COLUMN()/2+1,FALSE))),"")</f>
        <v/>
      </c>
      <c r="AC68" s="75"/>
      <c r="AD68" s="182" t="str">
        <f ca="1">IFERROR(VALUE(IF(VLOOKUP($A68,数出表_Excel!$A$6:$T$150,COLUMN()/2+1,FALSE)=0,"",VLOOKUP($A68,数出表_Excel!$A$6:$T$150,COLUMN()/2+1,FALSE))),"")</f>
        <v/>
      </c>
      <c r="AE68" s="75"/>
      <c r="AF68" s="182" t="str">
        <f ca="1">IFERROR(VALUE(IF(VLOOKUP($A68,数出表_Excel!$A$6:$T$150,COLUMN()/2+1,FALSE)=0,"",VLOOKUP($A68,数出表_Excel!$A$6:$T$150,COLUMN()/2+1,FALSE))),"")</f>
        <v/>
      </c>
      <c r="AG68" s="75"/>
      <c r="AH68" s="182" t="str">
        <f ca="1">IFERROR(VALUE(IF(VLOOKUP($A68,数出表_Excel!$A$6:$T$150,COLUMN()/2+1,FALSE)=0,"",VLOOKUP($A68,数出表_Excel!$A$6:$T$150,COLUMN()/2+1,FALSE))),"")</f>
        <v/>
      </c>
      <c r="AI68" s="75"/>
      <c r="AJ68" s="182" t="str">
        <f ca="1">IFERROR(VALUE(IF(VLOOKUP($A68,数出表_Excel!$A$6:$T$150,COLUMN()/2+1,FALSE)=0,"",VLOOKUP($A68,数出表_Excel!$A$6:$T$150,COLUMN()/2+1,FALSE))),"")</f>
        <v/>
      </c>
      <c r="AK68" s="75"/>
      <c r="AL68" s="61" t="e">
        <f ca="1">IF(A68&lt;&gt;"",
IF(VLOOKUP($A68,数出表_Excel!$A$6:$T$150,COLUMN()/2+1,FALSE)=0,"",VLOOKUP($A68,数出表_Excel!$A$6:$T$150,COLUMN()/2+1,FALSE)),"")</f>
        <v>#N/A</v>
      </c>
      <c r="AM68" s="89" t="e">
        <f>数出表_Excel!V68</f>
        <v>#N/A</v>
      </c>
      <c r="AN68" s="90" t="e">
        <f>数出表_Excel!W68</f>
        <v>#N/A</v>
      </c>
    </row>
    <row r="69" spans="1:40" ht="16.2" customHeight="1">
      <c r="A69" s="82" t="e">
        <f t="array" aca="1" ref="A69" ca="1">IF(OR(COUNTIF(A67,"*1000*"),COUNTIF(A67,"")),"",INDEX(貼り付け用!$A1:$A200,MATCH(A67,貼り付け用!$A1:$A200,0)+2,0))</f>
        <v>#N/A</v>
      </c>
      <c r="B69" s="148" t="str">
        <f ca="1">IFERROR(VALUE(IF(VLOOKUP($A69,数出表_Excel!$A$6:$T$150,COLUMN()/2+1,FALSE)=0,"",VLOOKUP($A69,数出表_Excel!$A$6:$T$150,COLUMN()/2+1,FALSE))),"")</f>
        <v/>
      </c>
      <c r="C69" s="76"/>
      <c r="D69" s="148" t="str">
        <f ca="1">IFERROR(VALUE(IF(VLOOKUP($A69,数出表_Excel!$A$6:$T$150,COLUMN()/2+1,FALSE)=0,"",VLOOKUP($A69,数出表_Excel!$A$6:$T$150,COLUMN()/2+1,FALSE))),"")</f>
        <v/>
      </c>
      <c r="E69" s="76"/>
      <c r="F69" s="148" t="str">
        <f ca="1">IFERROR(VALUE(IF(VLOOKUP($A69,数出表_Excel!$A$6:$T$150,COLUMN()/2+1,FALSE)=0,"",VLOOKUP($A69,数出表_Excel!$A$6:$T$150,COLUMN()/2+1,FALSE))),"")</f>
        <v/>
      </c>
      <c r="G69" s="76"/>
      <c r="H69" s="148" t="str">
        <f ca="1">IFERROR(VALUE(IF(VLOOKUP($A69,数出表_Excel!$A$6:$T$150,COLUMN()/2+1,FALSE)=0,"",VLOOKUP($A69,数出表_Excel!$A$6:$T$150,COLUMN()/2+1,FALSE))),"")</f>
        <v/>
      </c>
      <c r="I69" s="76"/>
      <c r="J69" s="148" t="str">
        <f ca="1">IFERROR(VALUE(IF(VLOOKUP($A69,数出表_Excel!$A$6:$T$150,COLUMN()/2+1,FALSE)=0,"",VLOOKUP($A69,数出表_Excel!$A$6:$T$150,COLUMN()/2+1,FALSE))),"")</f>
        <v/>
      </c>
      <c r="K69" s="76"/>
      <c r="L69" s="148" t="str">
        <f ca="1">IFERROR(VALUE(IF(VLOOKUP($A69,数出表_Excel!$A$6:$T$150,COLUMN()/2+1,FALSE)=0,"",VLOOKUP($A69,数出表_Excel!$A$6:$T$150,COLUMN()/2+1,FALSE))),"")</f>
        <v/>
      </c>
      <c r="M69" s="76"/>
      <c r="N69" s="148" t="str">
        <f ca="1">IFERROR(VALUE(IF(VLOOKUP($A69,数出表_Excel!$A$6:$T$150,COLUMN()/2+1,FALSE)=0,"",VLOOKUP($A69,数出表_Excel!$A$6:$T$150,COLUMN()/2+1,FALSE))),"")</f>
        <v/>
      </c>
      <c r="O69" s="76"/>
      <c r="P69" s="148" t="str">
        <f ca="1">IFERROR(VALUE(IF(VLOOKUP($A69,数出表_Excel!$A$6:$T$150,COLUMN()/2+1,FALSE)=0,"",VLOOKUP($A69,数出表_Excel!$A$6:$T$150,COLUMN()/2+1,FALSE))),"")</f>
        <v/>
      </c>
      <c r="Q69" s="76"/>
      <c r="R69" s="148" t="str">
        <f ca="1">IFERROR(VALUE(IF(VLOOKUP($A69,数出表_Excel!$A$6:$T$150,COLUMN()/2+1,FALSE)=0,"",VLOOKUP($A69,数出表_Excel!$A$6:$T$150,COLUMN()/2+1,FALSE))),"")</f>
        <v/>
      </c>
      <c r="S69" s="76"/>
      <c r="T69" s="148" t="str">
        <f ca="1">IFERROR(VALUE(IF(VLOOKUP($A69,数出表_Excel!$A$6:$T$150,COLUMN()/2+1,FALSE)=0,"",VLOOKUP($A69,数出表_Excel!$A$6:$T$150,COLUMN()/2+1,FALSE))),"")</f>
        <v/>
      </c>
      <c r="U69" s="76"/>
      <c r="V69" s="148" t="str">
        <f ca="1">IFERROR(VALUE(IF(VLOOKUP($A69,数出表_Excel!$A$6:$T$150,COLUMN()/2+1,FALSE)=0,"",VLOOKUP($A69,数出表_Excel!$A$6:$T$150,COLUMN()/2+1,FALSE))),"")</f>
        <v/>
      </c>
      <c r="W69" s="76"/>
      <c r="X69" s="148" t="str">
        <f ca="1">IFERROR(VALUE(IF(VLOOKUP($A69,数出表_Excel!$A$6:$T$150,COLUMN()/2+1,FALSE)=0,"",VLOOKUP($A69,数出表_Excel!$A$6:$T$150,COLUMN()/2+1,FALSE))),"")</f>
        <v/>
      </c>
      <c r="Y69" s="76"/>
      <c r="Z69" s="148" t="str">
        <f ca="1">IFERROR(VALUE(IF(VLOOKUP($A69,数出表_Excel!$A$6:$T$150,COLUMN()/2+1,FALSE)=0,"",VLOOKUP($A69,数出表_Excel!$A$6:$T$150,COLUMN()/2+1,FALSE))),"")</f>
        <v/>
      </c>
      <c r="AA69" s="76"/>
      <c r="AB69" s="148" t="str">
        <f ca="1">IFERROR(VALUE(IF(VLOOKUP($A69,数出表_Excel!$A$6:$T$150,COLUMN()/2+1,FALSE)=0,"",VLOOKUP($A69,数出表_Excel!$A$6:$T$150,COLUMN()/2+1,FALSE))),"")</f>
        <v/>
      </c>
      <c r="AC69" s="76"/>
      <c r="AD69" s="148" t="str">
        <f ca="1">IFERROR(VALUE(IF(VLOOKUP($A69,数出表_Excel!$A$6:$T$150,COLUMN()/2+1,FALSE)=0,"",VLOOKUP($A69,数出表_Excel!$A$6:$T$150,COLUMN()/2+1,FALSE))),"")</f>
        <v/>
      </c>
      <c r="AE69" s="76"/>
      <c r="AF69" s="148" t="str">
        <f ca="1">IFERROR(VALUE(IF(VLOOKUP($A69,数出表_Excel!$A$6:$T$150,COLUMN()/2+1,FALSE)=0,"",VLOOKUP($A69,数出表_Excel!$A$6:$T$150,COLUMN()/2+1,FALSE))),"")</f>
        <v/>
      </c>
      <c r="AG69" s="76"/>
      <c r="AH69" s="148" t="str">
        <f ca="1">IFERROR(VALUE(IF(VLOOKUP($A69,数出表_Excel!$A$6:$T$150,COLUMN()/2+1,FALSE)=0,"",VLOOKUP($A69,数出表_Excel!$A$6:$T$150,COLUMN()/2+1,FALSE))),"")</f>
        <v/>
      </c>
      <c r="AI69" s="76"/>
      <c r="AJ69" s="148" t="str">
        <f ca="1">IFERROR(VALUE(IF(VLOOKUP($A69,数出表_Excel!$A$6:$T$150,COLUMN()/2+1,FALSE)=0,"",VLOOKUP($A69,数出表_Excel!$A$6:$T$150,COLUMN()/2+1,FALSE))),"")</f>
        <v/>
      </c>
      <c r="AK69" s="76"/>
      <c r="AL69" s="63" t="e">
        <f ca="1">IF(A69&lt;&gt;"",
IF(VLOOKUP($A69,数出表_Excel!$A$6:$T$150,COLUMN()/2+1,FALSE)=0,"",VLOOKUP($A69,数出表_Excel!$A$6:$T$150,COLUMN()/2+1,FALSE)),"")</f>
        <v>#N/A</v>
      </c>
      <c r="AM69" s="91" t="e">
        <f>数出表_Excel!V69</f>
        <v>#N/A</v>
      </c>
      <c r="AN69" s="92" t="e">
        <f>数出表_Excel!W69</f>
        <v>#N/A</v>
      </c>
    </row>
    <row r="70" spans="1:40" ht="16.2" customHeight="1">
      <c r="A70" s="81" t="e">
        <f t="array" aca="1" ref="A70" ca="1">IF(OR(COUNTIF(A68,"*10002*"),COUNTIF(A68,"")),"",INDEX(貼り付け用!$A1:$A200,MATCH(A68,貼り付け用!$A1:$A200,0)+2,0))</f>
        <v>#N/A</v>
      </c>
      <c r="B70" s="182" t="str">
        <f ca="1">IFERROR(VALUE(IF(VLOOKUP($A70,数出表_Excel!$A$6:$T$150,COLUMN()/2+1,FALSE)=0,"",VLOOKUP($A70,数出表_Excel!$A$6:$T$150,COLUMN()/2+1,FALSE))),"")</f>
        <v/>
      </c>
      <c r="C70" s="75"/>
      <c r="D70" s="182" t="str">
        <f ca="1">IFERROR(VALUE(IF(VLOOKUP($A70,数出表_Excel!$A$6:$T$150,COLUMN()/2+1,FALSE)=0,"",VLOOKUP($A70,数出表_Excel!$A$6:$T$150,COLUMN()/2+1,FALSE))),"")</f>
        <v/>
      </c>
      <c r="E70" s="75"/>
      <c r="F70" s="182" t="str">
        <f ca="1">IFERROR(VALUE(IF(VLOOKUP($A70,数出表_Excel!$A$6:$T$150,COLUMN()/2+1,FALSE)=0,"",VLOOKUP($A70,数出表_Excel!$A$6:$T$150,COLUMN()/2+1,FALSE))),"")</f>
        <v/>
      </c>
      <c r="G70" s="75"/>
      <c r="H70" s="182" t="str">
        <f ca="1">IFERROR(VALUE(IF(VLOOKUP($A70,数出表_Excel!$A$6:$T$150,COLUMN()/2+1,FALSE)=0,"",VLOOKUP($A70,数出表_Excel!$A$6:$T$150,COLUMN()/2+1,FALSE))),"")</f>
        <v/>
      </c>
      <c r="I70" s="75"/>
      <c r="J70" s="182" t="str">
        <f ca="1">IFERROR(VALUE(IF(VLOOKUP($A70,数出表_Excel!$A$6:$T$150,COLUMN()/2+1,FALSE)=0,"",VLOOKUP($A70,数出表_Excel!$A$6:$T$150,COLUMN()/2+1,FALSE))),"")</f>
        <v/>
      </c>
      <c r="K70" s="75"/>
      <c r="L70" s="182" t="str">
        <f ca="1">IFERROR(VALUE(IF(VLOOKUP($A70,数出表_Excel!$A$6:$T$150,COLUMN()/2+1,FALSE)=0,"",VLOOKUP($A70,数出表_Excel!$A$6:$T$150,COLUMN()/2+1,FALSE))),"")</f>
        <v/>
      </c>
      <c r="M70" s="75"/>
      <c r="N70" s="182" t="str">
        <f ca="1">IFERROR(VALUE(IF(VLOOKUP($A70,数出表_Excel!$A$6:$T$150,COLUMN()/2+1,FALSE)=0,"",VLOOKUP($A70,数出表_Excel!$A$6:$T$150,COLUMN()/2+1,FALSE))),"")</f>
        <v/>
      </c>
      <c r="O70" s="75"/>
      <c r="P70" s="182" t="str">
        <f ca="1">IFERROR(VALUE(IF(VLOOKUP($A70,数出表_Excel!$A$6:$T$150,COLUMN()/2+1,FALSE)=0,"",VLOOKUP($A70,数出表_Excel!$A$6:$T$150,COLUMN()/2+1,FALSE))),"")</f>
        <v/>
      </c>
      <c r="Q70" s="75"/>
      <c r="R70" s="182" t="str">
        <f ca="1">IFERROR(VALUE(IF(VLOOKUP($A70,数出表_Excel!$A$6:$T$150,COLUMN()/2+1,FALSE)=0,"",VLOOKUP($A70,数出表_Excel!$A$6:$T$150,COLUMN()/2+1,FALSE))),"")</f>
        <v/>
      </c>
      <c r="S70" s="75"/>
      <c r="T70" s="182" t="str">
        <f ca="1">IFERROR(VALUE(IF(VLOOKUP($A70,数出表_Excel!$A$6:$T$150,COLUMN()/2+1,FALSE)=0,"",VLOOKUP($A70,数出表_Excel!$A$6:$T$150,COLUMN()/2+1,FALSE))),"")</f>
        <v/>
      </c>
      <c r="U70" s="75"/>
      <c r="V70" s="182" t="str">
        <f ca="1">IFERROR(VALUE(IF(VLOOKUP($A70,数出表_Excel!$A$6:$T$150,COLUMN()/2+1,FALSE)=0,"",VLOOKUP($A70,数出表_Excel!$A$6:$T$150,COLUMN()/2+1,FALSE))),"")</f>
        <v/>
      </c>
      <c r="W70" s="75"/>
      <c r="X70" s="182" t="str">
        <f ca="1">IFERROR(VALUE(IF(VLOOKUP($A70,数出表_Excel!$A$6:$T$150,COLUMN()/2+1,FALSE)=0,"",VLOOKUP($A70,数出表_Excel!$A$6:$T$150,COLUMN()/2+1,FALSE))),"")</f>
        <v/>
      </c>
      <c r="Y70" s="75"/>
      <c r="Z70" s="182" t="str">
        <f ca="1">IFERROR(VALUE(IF(VLOOKUP($A70,数出表_Excel!$A$6:$T$150,COLUMN()/2+1,FALSE)=0,"",VLOOKUP($A70,数出表_Excel!$A$6:$T$150,COLUMN()/2+1,FALSE))),"")</f>
        <v/>
      </c>
      <c r="AA70" s="75"/>
      <c r="AB70" s="182" t="str">
        <f ca="1">IFERROR(VALUE(IF(VLOOKUP($A70,数出表_Excel!$A$6:$T$150,COLUMN()/2+1,FALSE)=0,"",VLOOKUP($A70,数出表_Excel!$A$6:$T$150,COLUMN()/2+1,FALSE))),"")</f>
        <v/>
      </c>
      <c r="AC70" s="75"/>
      <c r="AD70" s="182" t="str">
        <f ca="1">IFERROR(VALUE(IF(VLOOKUP($A70,数出表_Excel!$A$6:$T$150,COLUMN()/2+1,FALSE)=0,"",VLOOKUP($A70,数出表_Excel!$A$6:$T$150,COLUMN()/2+1,FALSE))),"")</f>
        <v/>
      </c>
      <c r="AE70" s="75"/>
      <c r="AF70" s="182" t="str">
        <f ca="1">IFERROR(VALUE(IF(VLOOKUP($A70,数出表_Excel!$A$6:$T$150,COLUMN()/2+1,FALSE)=0,"",VLOOKUP($A70,数出表_Excel!$A$6:$T$150,COLUMN()/2+1,FALSE))),"")</f>
        <v/>
      </c>
      <c r="AG70" s="75"/>
      <c r="AH70" s="182" t="str">
        <f ca="1">IFERROR(VALUE(IF(VLOOKUP($A70,数出表_Excel!$A$6:$T$150,COLUMN()/2+1,FALSE)=0,"",VLOOKUP($A70,数出表_Excel!$A$6:$T$150,COLUMN()/2+1,FALSE))),"")</f>
        <v/>
      </c>
      <c r="AI70" s="75"/>
      <c r="AJ70" s="182" t="str">
        <f ca="1">IFERROR(VALUE(IF(VLOOKUP($A70,数出表_Excel!$A$6:$T$150,COLUMN()/2+1,FALSE)=0,"",VLOOKUP($A70,数出表_Excel!$A$6:$T$150,COLUMN()/2+1,FALSE))),"")</f>
        <v/>
      </c>
      <c r="AK70" s="75"/>
      <c r="AL70" s="61" t="e">
        <f ca="1">IF(A70&lt;&gt;"",
IF(VLOOKUP($A70,数出表_Excel!$A$6:$T$150,COLUMN()/2+1,FALSE)=0,"",VLOOKUP($A70,数出表_Excel!$A$6:$T$150,COLUMN()/2+1,FALSE)),"")</f>
        <v>#N/A</v>
      </c>
      <c r="AM70" s="89" t="e">
        <f>数出表_Excel!V70</f>
        <v>#N/A</v>
      </c>
      <c r="AN70" s="90" t="e">
        <f>数出表_Excel!W70</f>
        <v>#N/A</v>
      </c>
    </row>
    <row r="71" spans="1:40" ht="16.2" customHeight="1">
      <c r="A71" s="82" t="e">
        <f t="array" aca="1" ref="A71" ca="1">IF(OR(COUNTIF(A69,"*1000*"),COUNTIF(A69,"")),"",INDEX(貼り付け用!$A1:$A200,MATCH(A69,貼り付け用!$A1:$A200,0)+2,0))</f>
        <v>#N/A</v>
      </c>
      <c r="B71" s="148" t="str">
        <f ca="1">IFERROR(VALUE(IF(VLOOKUP($A71,数出表_Excel!$A$6:$T$150,COLUMN()/2+1,FALSE)=0,"",VLOOKUP($A71,数出表_Excel!$A$6:$T$150,COLUMN()/2+1,FALSE))),"")</f>
        <v/>
      </c>
      <c r="C71" s="76"/>
      <c r="D71" s="148" t="str">
        <f ca="1">IFERROR(VALUE(IF(VLOOKUP($A71,数出表_Excel!$A$6:$T$150,COLUMN()/2+1,FALSE)=0,"",VLOOKUP($A71,数出表_Excel!$A$6:$T$150,COLUMN()/2+1,FALSE))),"")</f>
        <v/>
      </c>
      <c r="E71" s="76"/>
      <c r="F71" s="148" t="str">
        <f ca="1">IFERROR(VALUE(IF(VLOOKUP($A71,数出表_Excel!$A$6:$T$150,COLUMN()/2+1,FALSE)=0,"",VLOOKUP($A71,数出表_Excel!$A$6:$T$150,COLUMN()/2+1,FALSE))),"")</f>
        <v/>
      </c>
      <c r="G71" s="76"/>
      <c r="H71" s="148" t="str">
        <f ca="1">IFERROR(VALUE(IF(VLOOKUP($A71,数出表_Excel!$A$6:$T$150,COLUMN()/2+1,FALSE)=0,"",VLOOKUP($A71,数出表_Excel!$A$6:$T$150,COLUMN()/2+1,FALSE))),"")</f>
        <v/>
      </c>
      <c r="I71" s="76"/>
      <c r="J71" s="148" t="str">
        <f ca="1">IFERROR(VALUE(IF(VLOOKUP($A71,数出表_Excel!$A$6:$T$150,COLUMN()/2+1,FALSE)=0,"",VLOOKUP($A71,数出表_Excel!$A$6:$T$150,COLUMN()/2+1,FALSE))),"")</f>
        <v/>
      </c>
      <c r="K71" s="76"/>
      <c r="L71" s="148" t="str">
        <f ca="1">IFERROR(VALUE(IF(VLOOKUP($A71,数出表_Excel!$A$6:$T$150,COLUMN()/2+1,FALSE)=0,"",VLOOKUP($A71,数出表_Excel!$A$6:$T$150,COLUMN()/2+1,FALSE))),"")</f>
        <v/>
      </c>
      <c r="M71" s="76"/>
      <c r="N71" s="148" t="str">
        <f ca="1">IFERROR(VALUE(IF(VLOOKUP($A71,数出表_Excel!$A$6:$T$150,COLUMN()/2+1,FALSE)=0,"",VLOOKUP($A71,数出表_Excel!$A$6:$T$150,COLUMN()/2+1,FALSE))),"")</f>
        <v/>
      </c>
      <c r="O71" s="76"/>
      <c r="P71" s="148" t="str">
        <f ca="1">IFERROR(VALUE(IF(VLOOKUP($A71,数出表_Excel!$A$6:$T$150,COLUMN()/2+1,FALSE)=0,"",VLOOKUP($A71,数出表_Excel!$A$6:$T$150,COLUMN()/2+1,FALSE))),"")</f>
        <v/>
      </c>
      <c r="Q71" s="76"/>
      <c r="R71" s="148" t="str">
        <f ca="1">IFERROR(VALUE(IF(VLOOKUP($A71,数出表_Excel!$A$6:$T$150,COLUMN()/2+1,FALSE)=0,"",VLOOKUP($A71,数出表_Excel!$A$6:$T$150,COLUMN()/2+1,FALSE))),"")</f>
        <v/>
      </c>
      <c r="S71" s="76"/>
      <c r="T71" s="148" t="str">
        <f ca="1">IFERROR(VALUE(IF(VLOOKUP($A71,数出表_Excel!$A$6:$T$150,COLUMN()/2+1,FALSE)=0,"",VLOOKUP($A71,数出表_Excel!$A$6:$T$150,COLUMN()/2+1,FALSE))),"")</f>
        <v/>
      </c>
      <c r="U71" s="76"/>
      <c r="V71" s="148" t="str">
        <f ca="1">IFERROR(VALUE(IF(VLOOKUP($A71,数出表_Excel!$A$6:$T$150,COLUMN()/2+1,FALSE)=0,"",VLOOKUP($A71,数出表_Excel!$A$6:$T$150,COLUMN()/2+1,FALSE))),"")</f>
        <v/>
      </c>
      <c r="W71" s="76"/>
      <c r="X71" s="148" t="str">
        <f ca="1">IFERROR(VALUE(IF(VLOOKUP($A71,数出表_Excel!$A$6:$T$150,COLUMN()/2+1,FALSE)=0,"",VLOOKUP($A71,数出表_Excel!$A$6:$T$150,COLUMN()/2+1,FALSE))),"")</f>
        <v/>
      </c>
      <c r="Y71" s="76"/>
      <c r="Z71" s="148" t="str">
        <f ca="1">IFERROR(VALUE(IF(VLOOKUP($A71,数出表_Excel!$A$6:$T$150,COLUMN()/2+1,FALSE)=0,"",VLOOKUP($A71,数出表_Excel!$A$6:$T$150,COLUMN()/2+1,FALSE))),"")</f>
        <v/>
      </c>
      <c r="AA71" s="76"/>
      <c r="AB71" s="148" t="str">
        <f ca="1">IFERROR(VALUE(IF(VLOOKUP($A71,数出表_Excel!$A$6:$T$150,COLUMN()/2+1,FALSE)=0,"",VLOOKUP($A71,数出表_Excel!$A$6:$T$150,COLUMN()/2+1,FALSE))),"")</f>
        <v/>
      </c>
      <c r="AC71" s="76"/>
      <c r="AD71" s="148" t="str">
        <f ca="1">IFERROR(VALUE(IF(VLOOKUP($A71,数出表_Excel!$A$6:$T$150,COLUMN()/2+1,FALSE)=0,"",VLOOKUP($A71,数出表_Excel!$A$6:$T$150,COLUMN()/2+1,FALSE))),"")</f>
        <v/>
      </c>
      <c r="AE71" s="76"/>
      <c r="AF71" s="148" t="str">
        <f ca="1">IFERROR(VALUE(IF(VLOOKUP($A71,数出表_Excel!$A$6:$T$150,COLUMN()/2+1,FALSE)=0,"",VLOOKUP($A71,数出表_Excel!$A$6:$T$150,COLUMN()/2+1,FALSE))),"")</f>
        <v/>
      </c>
      <c r="AG71" s="76"/>
      <c r="AH71" s="148" t="str">
        <f ca="1">IFERROR(VALUE(IF(VLOOKUP($A71,数出表_Excel!$A$6:$T$150,COLUMN()/2+1,FALSE)=0,"",VLOOKUP($A71,数出表_Excel!$A$6:$T$150,COLUMN()/2+1,FALSE))),"")</f>
        <v/>
      </c>
      <c r="AI71" s="76"/>
      <c r="AJ71" s="148" t="str">
        <f ca="1">IFERROR(VALUE(IF(VLOOKUP($A71,数出表_Excel!$A$6:$T$150,COLUMN()/2+1,FALSE)=0,"",VLOOKUP($A71,数出表_Excel!$A$6:$T$150,COLUMN()/2+1,FALSE))),"")</f>
        <v/>
      </c>
      <c r="AK71" s="76"/>
      <c r="AL71" s="63" t="e">
        <f ca="1">IF(A71&lt;&gt;"",
IF(VLOOKUP($A71,数出表_Excel!$A$6:$T$150,COLUMN()/2+1,FALSE)=0,"",VLOOKUP($A71,数出表_Excel!$A$6:$T$150,COLUMN()/2+1,FALSE)),"")</f>
        <v>#N/A</v>
      </c>
      <c r="AM71" s="91" t="e">
        <f>数出表_Excel!V71</f>
        <v>#N/A</v>
      </c>
      <c r="AN71" s="92" t="e">
        <f>数出表_Excel!W71</f>
        <v>#N/A</v>
      </c>
    </row>
    <row r="72" spans="1:40" ht="16.2" customHeight="1">
      <c r="A72" s="81" t="e">
        <f t="array" aca="1" ref="A72" ca="1">IF(OR(COUNTIF(A70,"*10002*"),COUNTIF(A70,"")),"",INDEX(貼り付け用!$A1:$A200,MATCH(A70,貼り付け用!$A1:$A200,0)+2,0))</f>
        <v>#N/A</v>
      </c>
      <c r="B72" s="182" t="str">
        <f ca="1">IFERROR(VALUE(IF(VLOOKUP($A72,数出表_Excel!$A$6:$T$150,COLUMN()/2+1,FALSE)=0,"",VLOOKUP($A72,数出表_Excel!$A$6:$T$150,COLUMN()/2+1,FALSE))),"")</f>
        <v/>
      </c>
      <c r="C72" s="75"/>
      <c r="D72" s="182" t="str">
        <f ca="1">IFERROR(VALUE(IF(VLOOKUP($A72,数出表_Excel!$A$6:$T$150,COLUMN()/2+1,FALSE)=0,"",VLOOKUP($A72,数出表_Excel!$A$6:$T$150,COLUMN()/2+1,FALSE))),"")</f>
        <v/>
      </c>
      <c r="E72" s="75"/>
      <c r="F72" s="182" t="str">
        <f ca="1">IFERROR(VALUE(IF(VLOOKUP($A72,数出表_Excel!$A$6:$T$150,COLUMN()/2+1,FALSE)=0,"",VLOOKUP($A72,数出表_Excel!$A$6:$T$150,COLUMN()/2+1,FALSE))),"")</f>
        <v/>
      </c>
      <c r="G72" s="75"/>
      <c r="H72" s="182" t="str">
        <f ca="1">IFERROR(VALUE(IF(VLOOKUP($A72,数出表_Excel!$A$6:$T$150,COLUMN()/2+1,FALSE)=0,"",VLOOKUP($A72,数出表_Excel!$A$6:$T$150,COLUMN()/2+1,FALSE))),"")</f>
        <v/>
      </c>
      <c r="I72" s="75"/>
      <c r="J72" s="182" t="str">
        <f ca="1">IFERROR(VALUE(IF(VLOOKUP($A72,数出表_Excel!$A$6:$T$150,COLUMN()/2+1,FALSE)=0,"",VLOOKUP($A72,数出表_Excel!$A$6:$T$150,COLUMN()/2+1,FALSE))),"")</f>
        <v/>
      </c>
      <c r="K72" s="75"/>
      <c r="L72" s="182" t="str">
        <f ca="1">IFERROR(VALUE(IF(VLOOKUP($A72,数出表_Excel!$A$6:$T$150,COLUMN()/2+1,FALSE)=0,"",VLOOKUP($A72,数出表_Excel!$A$6:$T$150,COLUMN()/2+1,FALSE))),"")</f>
        <v/>
      </c>
      <c r="M72" s="75"/>
      <c r="N72" s="182" t="str">
        <f ca="1">IFERROR(VALUE(IF(VLOOKUP($A72,数出表_Excel!$A$6:$T$150,COLUMN()/2+1,FALSE)=0,"",VLOOKUP($A72,数出表_Excel!$A$6:$T$150,COLUMN()/2+1,FALSE))),"")</f>
        <v/>
      </c>
      <c r="O72" s="75"/>
      <c r="P72" s="182" t="str">
        <f ca="1">IFERROR(VALUE(IF(VLOOKUP($A72,数出表_Excel!$A$6:$T$150,COLUMN()/2+1,FALSE)=0,"",VLOOKUP($A72,数出表_Excel!$A$6:$T$150,COLUMN()/2+1,FALSE))),"")</f>
        <v/>
      </c>
      <c r="Q72" s="75"/>
      <c r="R72" s="182" t="str">
        <f ca="1">IFERROR(VALUE(IF(VLOOKUP($A72,数出表_Excel!$A$6:$T$150,COLUMN()/2+1,FALSE)=0,"",VLOOKUP($A72,数出表_Excel!$A$6:$T$150,COLUMN()/2+1,FALSE))),"")</f>
        <v/>
      </c>
      <c r="S72" s="75"/>
      <c r="T72" s="182" t="str">
        <f ca="1">IFERROR(VALUE(IF(VLOOKUP($A72,数出表_Excel!$A$6:$T$150,COLUMN()/2+1,FALSE)=0,"",VLOOKUP($A72,数出表_Excel!$A$6:$T$150,COLUMN()/2+1,FALSE))),"")</f>
        <v/>
      </c>
      <c r="U72" s="75"/>
      <c r="V72" s="182" t="str">
        <f ca="1">IFERROR(VALUE(IF(VLOOKUP($A72,数出表_Excel!$A$6:$T$150,COLUMN()/2+1,FALSE)=0,"",VLOOKUP($A72,数出表_Excel!$A$6:$T$150,COLUMN()/2+1,FALSE))),"")</f>
        <v/>
      </c>
      <c r="W72" s="75"/>
      <c r="X72" s="182" t="str">
        <f ca="1">IFERROR(VALUE(IF(VLOOKUP($A72,数出表_Excel!$A$6:$T$150,COLUMN()/2+1,FALSE)=0,"",VLOOKUP($A72,数出表_Excel!$A$6:$T$150,COLUMN()/2+1,FALSE))),"")</f>
        <v/>
      </c>
      <c r="Y72" s="75"/>
      <c r="Z72" s="182" t="str">
        <f ca="1">IFERROR(VALUE(IF(VLOOKUP($A72,数出表_Excel!$A$6:$T$150,COLUMN()/2+1,FALSE)=0,"",VLOOKUP($A72,数出表_Excel!$A$6:$T$150,COLUMN()/2+1,FALSE))),"")</f>
        <v/>
      </c>
      <c r="AA72" s="75"/>
      <c r="AB72" s="182" t="str">
        <f ca="1">IFERROR(VALUE(IF(VLOOKUP($A72,数出表_Excel!$A$6:$T$150,COLUMN()/2+1,FALSE)=0,"",VLOOKUP($A72,数出表_Excel!$A$6:$T$150,COLUMN()/2+1,FALSE))),"")</f>
        <v/>
      </c>
      <c r="AC72" s="75"/>
      <c r="AD72" s="182" t="str">
        <f ca="1">IFERROR(VALUE(IF(VLOOKUP($A72,数出表_Excel!$A$6:$T$150,COLUMN()/2+1,FALSE)=0,"",VLOOKUP($A72,数出表_Excel!$A$6:$T$150,COLUMN()/2+1,FALSE))),"")</f>
        <v/>
      </c>
      <c r="AE72" s="75"/>
      <c r="AF72" s="182" t="str">
        <f ca="1">IFERROR(VALUE(IF(VLOOKUP($A72,数出表_Excel!$A$6:$T$150,COLUMN()/2+1,FALSE)=0,"",VLOOKUP($A72,数出表_Excel!$A$6:$T$150,COLUMN()/2+1,FALSE))),"")</f>
        <v/>
      </c>
      <c r="AG72" s="75"/>
      <c r="AH72" s="182" t="str">
        <f ca="1">IFERROR(VALUE(IF(VLOOKUP($A72,数出表_Excel!$A$6:$T$150,COLUMN()/2+1,FALSE)=0,"",VLOOKUP($A72,数出表_Excel!$A$6:$T$150,COLUMN()/2+1,FALSE))),"")</f>
        <v/>
      </c>
      <c r="AI72" s="75"/>
      <c r="AJ72" s="182" t="str">
        <f ca="1">IFERROR(VALUE(IF(VLOOKUP($A72,数出表_Excel!$A$6:$T$150,COLUMN()/2+1,FALSE)=0,"",VLOOKUP($A72,数出表_Excel!$A$6:$T$150,COLUMN()/2+1,FALSE))),"")</f>
        <v/>
      </c>
      <c r="AK72" s="75"/>
      <c r="AL72" s="61" t="e">
        <f ca="1">IF(A72&lt;&gt;"",
IF(VLOOKUP($A72,数出表_Excel!$A$6:$T$150,COLUMN()/2+1,FALSE)=0,"",VLOOKUP($A72,数出表_Excel!$A$6:$T$150,COLUMN()/2+1,FALSE)),"")</f>
        <v>#N/A</v>
      </c>
      <c r="AM72" s="89" t="e">
        <f>数出表_Excel!V72</f>
        <v>#N/A</v>
      </c>
      <c r="AN72" s="90" t="e">
        <f>数出表_Excel!W72</f>
        <v>#N/A</v>
      </c>
    </row>
    <row r="73" spans="1:40" ht="16.2" customHeight="1">
      <c r="A73" s="82" t="e">
        <f t="array" aca="1" ref="A73" ca="1">IF(OR(COUNTIF(A71,"*1000*"),COUNTIF(A71,"")),"",INDEX(貼り付け用!$A1:$A200,MATCH(A71,貼り付け用!$A1:$A200,0)+2,0))</f>
        <v>#N/A</v>
      </c>
      <c r="B73" s="148" t="str">
        <f ca="1">IFERROR(VALUE(IF(VLOOKUP($A73,数出表_Excel!$A$6:$T$150,COLUMN()/2+1,FALSE)=0,"",VLOOKUP($A73,数出表_Excel!$A$6:$T$150,COLUMN()/2+1,FALSE))),"")</f>
        <v/>
      </c>
      <c r="C73" s="76"/>
      <c r="D73" s="148" t="str">
        <f ca="1">IFERROR(VALUE(IF(VLOOKUP($A73,数出表_Excel!$A$6:$T$150,COLUMN()/2+1,FALSE)=0,"",VLOOKUP($A73,数出表_Excel!$A$6:$T$150,COLUMN()/2+1,FALSE))),"")</f>
        <v/>
      </c>
      <c r="E73" s="76"/>
      <c r="F73" s="148" t="str">
        <f ca="1">IFERROR(VALUE(IF(VLOOKUP($A73,数出表_Excel!$A$6:$T$150,COLUMN()/2+1,FALSE)=0,"",VLOOKUP($A73,数出表_Excel!$A$6:$T$150,COLUMN()/2+1,FALSE))),"")</f>
        <v/>
      </c>
      <c r="G73" s="76"/>
      <c r="H73" s="148" t="str">
        <f ca="1">IFERROR(VALUE(IF(VLOOKUP($A73,数出表_Excel!$A$6:$T$150,COLUMN()/2+1,FALSE)=0,"",VLOOKUP($A73,数出表_Excel!$A$6:$T$150,COLUMN()/2+1,FALSE))),"")</f>
        <v/>
      </c>
      <c r="I73" s="76"/>
      <c r="J73" s="148" t="str">
        <f ca="1">IFERROR(VALUE(IF(VLOOKUP($A73,数出表_Excel!$A$6:$T$150,COLUMN()/2+1,FALSE)=0,"",VLOOKUP($A73,数出表_Excel!$A$6:$T$150,COLUMN()/2+1,FALSE))),"")</f>
        <v/>
      </c>
      <c r="K73" s="76"/>
      <c r="L73" s="148" t="str">
        <f ca="1">IFERROR(VALUE(IF(VLOOKUP($A73,数出表_Excel!$A$6:$T$150,COLUMN()/2+1,FALSE)=0,"",VLOOKUP($A73,数出表_Excel!$A$6:$T$150,COLUMN()/2+1,FALSE))),"")</f>
        <v/>
      </c>
      <c r="M73" s="76"/>
      <c r="N73" s="148" t="str">
        <f ca="1">IFERROR(VALUE(IF(VLOOKUP($A73,数出表_Excel!$A$6:$T$150,COLUMN()/2+1,FALSE)=0,"",VLOOKUP($A73,数出表_Excel!$A$6:$T$150,COLUMN()/2+1,FALSE))),"")</f>
        <v/>
      </c>
      <c r="O73" s="76"/>
      <c r="P73" s="148" t="str">
        <f ca="1">IFERROR(VALUE(IF(VLOOKUP($A73,数出表_Excel!$A$6:$T$150,COLUMN()/2+1,FALSE)=0,"",VLOOKUP($A73,数出表_Excel!$A$6:$T$150,COLUMN()/2+1,FALSE))),"")</f>
        <v/>
      </c>
      <c r="Q73" s="76"/>
      <c r="R73" s="148" t="str">
        <f ca="1">IFERROR(VALUE(IF(VLOOKUP($A73,数出表_Excel!$A$6:$T$150,COLUMN()/2+1,FALSE)=0,"",VLOOKUP($A73,数出表_Excel!$A$6:$T$150,COLUMN()/2+1,FALSE))),"")</f>
        <v/>
      </c>
      <c r="S73" s="76"/>
      <c r="T73" s="148" t="str">
        <f ca="1">IFERROR(VALUE(IF(VLOOKUP($A73,数出表_Excel!$A$6:$T$150,COLUMN()/2+1,FALSE)=0,"",VLOOKUP($A73,数出表_Excel!$A$6:$T$150,COLUMN()/2+1,FALSE))),"")</f>
        <v/>
      </c>
      <c r="U73" s="76"/>
      <c r="V73" s="148" t="str">
        <f ca="1">IFERROR(VALUE(IF(VLOOKUP($A73,数出表_Excel!$A$6:$T$150,COLUMN()/2+1,FALSE)=0,"",VLOOKUP($A73,数出表_Excel!$A$6:$T$150,COLUMN()/2+1,FALSE))),"")</f>
        <v/>
      </c>
      <c r="W73" s="76"/>
      <c r="X73" s="148" t="str">
        <f ca="1">IFERROR(VALUE(IF(VLOOKUP($A73,数出表_Excel!$A$6:$T$150,COLUMN()/2+1,FALSE)=0,"",VLOOKUP($A73,数出表_Excel!$A$6:$T$150,COLUMN()/2+1,FALSE))),"")</f>
        <v/>
      </c>
      <c r="Y73" s="76"/>
      <c r="Z73" s="148" t="str">
        <f ca="1">IFERROR(VALUE(IF(VLOOKUP($A73,数出表_Excel!$A$6:$T$150,COLUMN()/2+1,FALSE)=0,"",VLOOKUP($A73,数出表_Excel!$A$6:$T$150,COLUMN()/2+1,FALSE))),"")</f>
        <v/>
      </c>
      <c r="AA73" s="76"/>
      <c r="AB73" s="148" t="str">
        <f ca="1">IFERROR(VALUE(IF(VLOOKUP($A73,数出表_Excel!$A$6:$T$150,COLUMN()/2+1,FALSE)=0,"",VLOOKUP($A73,数出表_Excel!$A$6:$T$150,COLUMN()/2+1,FALSE))),"")</f>
        <v/>
      </c>
      <c r="AC73" s="76"/>
      <c r="AD73" s="148" t="str">
        <f ca="1">IFERROR(VALUE(IF(VLOOKUP($A73,数出表_Excel!$A$6:$T$150,COLUMN()/2+1,FALSE)=0,"",VLOOKUP($A73,数出表_Excel!$A$6:$T$150,COLUMN()/2+1,FALSE))),"")</f>
        <v/>
      </c>
      <c r="AE73" s="76"/>
      <c r="AF73" s="148" t="str">
        <f ca="1">IFERROR(VALUE(IF(VLOOKUP($A73,数出表_Excel!$A$6:$T$150,COLUMN()/2+1,FALSE)=0,"",VLOOKUP($A73,数出表_Excel!$A$6:$T$150,COLUMN()/2+1,FALSE))),"")</f>
        <v/>
      </c>
      <c r="AG73" s="76"/>
      <c r="AH73" s="148" t="str">
        <f ca="1">IFERROR(VALUE(IF(VLOOKUP($A73,数出表_Excel!$A$6:$T$150,COLUMN()/2+1,FALSE)=0,"",VLOOKUP($A73,数出表_Excel!$A$6:$T$150,COLUMN()/2+1,FALSE))),"")</f>
        <v/>
      </c>
      <c r="AI73" s="76"/>
      <c r="AJ73" s="148" t="str">
        <f ca="1">IFERROR(VALUE(IF(VLOOKUP($A73,数出表_Excel!$A$6:$T$150,COLUMN()/2+1,FALSE)=0,"",VLOOKUP($A73,数出表_Excel!$A$6:$T$150,COLUMN()/2+1,FALSE))),"")</f>
        <v/>
      </c>
      <c r="AK73" s="76"/>
      <c r="AL73" s="63" t="e">
        <f ca="1">IF(A73&lt;&gt;"",
IF(VLOOKUP($A73,数出表_Excel!$A$6:$T$150,COLUMN()/2+1,FALSE)=0,"",VLOOKUP($A73,数出表_Excel!$A$6:$T$150,COLUMN()/2+1,FALSE)),"")</f>
        <v>#N/A</v>
      </c>
      <c r="AM73" s="91" t="e">
        <f>数出表_Excel!V73</f>
        <v>#N/A</v>
      </c>
      <c r="AN73" s="92" t="e">
        <f>数出表_Excel!W73</f>
        <v>#N/A</v>
      </c>
    </row>
    <row r="74" spans="1:40" ht="16.2" customHeight="1">
      <c r="A74" s="81" t="e">
        <f t="array" aca="1" ref="A74" ca="1">IF(OR(COUNTIF(A72,"*10002*"),COUNTIF(A72,"")),"",INDEX(貼り付け用!$A1:$A200,MATCH(A72,貼り付け用!$A1:$A200,0)+2,0))</f>
        <v>#N/A</v>
      </c>
      <c r="B74" s="182" t="str">
        <f ca="1">IFERROR(VALUE(IF(VLOOKUP($A74,数出表_Excel!$A$6:$T$150,COLUMN()/2+1,FALSE)=0,"",VLOOKUP($A74,数出表_Excel!$A$6:$T$150,COLUMN()/2+1,FALSE))),"")</f>
        <v/>
      </c>
      <c r="C74" s="75"/>
      <c r="D74" s="182" t="str">
        <f ca="1">IFERROR(VALUE(IF(VLOOKUP($A74,数出表_Excel!$A$6:$T$150,COLUMN()/2+1,FALSE)=0,"",VLOOKUP($A74,数出表_Excel!$A$6:$T$150,COLUMN()/2+1,FALSE))),"")</f>
        <v/>
      </c>
      <c r="E74" s="75"/>
      <c r="F74" s="182" t="str">
        <f ca="1">IFERROR(VALUE(IF(VLOOKUP($A74,数出表_Excel!$A$6:$T$150,COLUMN()/2+1,FALSE)=0,"",VLOOKUP($A74,数出表_Excel!$A$6:$T$150,COLUMN()/2+1,FALSE))),"")</f>
        <v/>
      </c>
      <c r="G74" s="75"/>
      <c r="H74" s="182" t="str">
        <f ca="1">IFERROR(VALUE(IF(VLOOKUP($A74,数出表_Excel!$A$6:$T$150,COLUMN()/2+1,FALSE)=0,"",VLOOKUP($A74,数出表_Excel!$A$6:$T$150,COLUMN()/2+1,FALSE))),"")</f>
        <v/>
      </c>
      <c r="I74" s="75"/>
      <c r="J74" s="182" t="str">
        <f ca="1">IFERROR(VALUE(IF(VLOOKUP($A74,数出表_Excel!$A$6:$T$150,COLUMN()/2+1,FALSE)=0,"",VLOOKUP($A74,数出表_Excel!$A$6:$T$150,COLUMN()/2+1,FALSE))),"")</f>
        <v/>
      </c>
      <c r="K74" s="75"/>
      <c r="L74" s="182" t="str">
        <f ca="1">IFERROR(VALUE(IF(VLOOKUP($A74,数出表_Excel!$A$6:$T$150,COLUMN()/2+1,FALSE)=0,"",VLOOKUP($A74,数出表_Excel!$A$6:$T$150,COLUMN()/2+1,FALSE))),"")</f>
        <v/>
      </c>
      <c r="M74" s="75"/>
      <c r="N74" s="182" t="str">
        <f ca="1">IFERROR(VALUE(IF(VLOOKUP($A74,数出表_Excel!$A$6:$T$150,COLUMN()/2+1,FALSE)=0,"",VLOOKUP($A74,数出表_Excel!$A$6:$T$150,COLUMN()/2+1,FALSE))),"")</f>
        <v/>
      </c>
      <c r="O74" s="75"/>
      <c r="P74" s="182" t="str">
        <f ca="1">IFERROR(VALUE(IF(VLOOKUP($A74,数出表_Excel!$A$6:$T$150,COLUMN()/2+1,FALSE)=0,"",VLOOKUP($A74,数出表_Excel!$A$6:$T$150,COLUMN()/2+1,FALSE))),"")</f>
        <v/>
      </c>
      <c r="Q74" s="75"/>
      <c r="R74" s="182" t="str">
        <f ca="1">IFERROR(VALUE(IF(VLOOKUP($A74,数出表_Excel!$A$6:$T$150,COLUMN()/2+1,FALSE)=0,"",VLOOKUP($A74,数出表_Excel!$A$6:$T$150,COLUMN()/2+1,FALSE))),"")</f>
        <v/>
      </c>
      <c r="S74" s="75"/>
      <c r="T74" s="182" t="str">
        <f ca="1">IFERROR(VALUE(IF(VLOOKUP($A74,数出表_Excel!$A$6:$T$150,COLUMN()/2+1,FALSE)=0,"",VLOOKUP($A74,数出表_Excel!$A$6:$T$150,COLUMN()/2+1,FALSE))),"")</f>
        <v/>
      </c>
      <c r="U74" s="75"/>
      <c r="V74" s="182" t="str">
        <f ca="1">IFERROR(VALUE(IF(VLOOKUP($A74,数出表_Excel!$A$6:$T$150,COLUMN()/2+1,FALSE)=0,"",VLOOKUP($A74,数出表_Excel!$A$6:$T$150,COLUMN()/2+1,FALSE))),"")</f>
        <v/>
      </c>
      <c r="W74" s="75"/>
      <c r="X74" s="182" t="str">
        <f ca="1">IFERROR(VALUE(IF(VLOOKUP($A74,数出表_Excel!$A$6:$T$150,COLUMN()/2+1,FALSE)=0,"",VLOOKUP($A74,数出表_Excel!$A$6:$T$150,COLUMN()/2+1,FALSE))),"")</f>
        <v/>
      </c>
      <c r="Y74" s="75"/>
      <c r="Z74" s="182" t="str">
        <f ca="1">IFERROR(VALUE(IF(VLOOKUP($A74,数出表_Excel!$A$6:$T$150,COLUMN()/2+1,FALSE)=0,"",VLOOKUP($A74,数出表_Excel!$A$6:$T$150,COLUMN()/2+1,FALSE))),"")</f>
        <v/>
      </c>
      <c r="AA74" s="75"/>
      <c r="AB74" s="182" t="str">
        <f ca="1">IFERROR(VALUE(IF(VLOOKUP($A74,数出表_Excel!$A$6:$T$150,COLUMN()/2+1,FALSE)=0,"",VLOOKUP($A74,数出表_Excel!$A$6:$T$150,COLUMN()/2+1,FALSE))),"")</f>
        <v/>
      </c>
      <c r="AC74" s="75"/>
      <c r="AD74" s="182" t="str">
        <f ca="1">IFERROR(VALUE(IF(VLOOKUP($A74,数出表_Excel!$A$6:$T$150,COLUMN()/2+1,FALSE)=0,"",VLOOKUP($A74,数出表_Excel!$A$6:$T$150,COLUMN()/2+1,FALSE))),"")</f>
        <v/>
      </c>
      <c r="AE74" s="75"/>
      <c r="AF74" s="182" t="str">
        <f ca="1">IFERROR(VALUE(IF(VLOOKUP($A74,数出表_Excel!$A$6:$T$150,COLUMN()/2+1,FALSE)=0,"",VLOOKUP($A74,数出表_Excel!$A$6:$T$150,COLUMN()/2+1,FALSE))),"")</f>
        <v/>
      </c>
      <c r="AG74" s="75"/>
      <c r="AH74" s="182" t="str">
        <f ca="1">IFERROR(VALUE(IF(VLOOKUP($A74,数出表_Excel!$A$6:$T$150,COLUMN()/2+1,FALSE)=0,"",VLOOKUP($A74,数出表_Excel!$A$6:$T$150,COLUMN()/2+1,FALSE))),"")</f>
        <v/>
      </c>
      <c r="AI74" s="75"/>
      <c r="AJ74" s="182" t="str">
        <f ca="1">IFERROR(VALUE(IF(VLOOKUP($A74,数出表_Excel!$A$6:$T$150,COLUMN()/2+1,FALSE)=0,"",VLOOKUP($A74,数出表_Excel!$A$6:$T$150,COLUMN()/2+1,FALSE))),"")</f>
        <v/>
      </c>
      <c r="AK74" s="75"/>
      <c r="AL74" s="61" t="e">
        <f ca="1">IF(A74&lt;&gt;"",
IF(VLOOKUP($A74,数出表_Excel!$A$6:$T$150,COLUMN()/2+1,FALSE)=0,"",VLOOKUP($A74,数出表_Excel!$A$6:$T$150,COLUMN()/2+1,FALSE)),"")</f>
        <v>#N/A</v>
      </c>
      <c r="AM74" s="89" t="e">
        <f>数出表_Excel!V74</f>
        <v>#N/A</v>
      </c>
      <c r="AN74" s="90" t="e">
        <f>数出表_Excel!W74</f>
        <v>#N/A</v>
      </c>
    </row>
    <row r="75" spans="1:40" ht="16.2" customHeight="1">
      <c r="A75" s="82" t="e">
        <f t="array" aca="1" ref="A75" ca="1">IF(OR(COUNTIF(A73,"*1000*"),COUNTIF(A73,"")),"",INDEX(貼り付け用!$A1:$A200,MATCH(A73,貼り付け用!$A1:$A200,0)+2,0))</f>
        <v>#N/A</v>
      </c>
      <c r="B75" s="148" t="str">
        <f ca="1">IFERROR(VALUE(IF(VLOOKUP($A75,数出表_Excel!$A$6:$T$150,COLUMN()/2+1,FALSE)=0,"",VLOOKUP($A75,数出表_Excel!$A$6:$T$150,COLUMN()/2+1,FALSE))),"")</f>
        <v/>
      </c>
      <c r="C75" s="76"/>
      <c r="D75" s="148" t="str">
        <f ca="1">IFERROR(VALUE(IF(VLOOKUP($A75,数出表_Excel!$A$6:$T$150,COLUMN()/2+1,FALSE)=0,"",VLOOKUP($A75,数出表_Excel!$A$6:$T$150,COLUMN()/2+1,FALSE))),"")</f>
        <v/>
      </c>
      <c r="E75" s="76"/>
      <c r="F75" s="148" t="str">
        <f ca="1">IFERROR(VALUE(IF(VLOOKUP($A75,数出表_Excel!$A$6:$T$150,COLUMN()/2+1,FALSE)=0,"",VLOOKUP($A75,数出表_Excel!$A$6:$T$150,COLUMN()/2+1,FALSE))),"")</f>
        <v/>
      </c>
      <c r="G75" s="76"/>
      <c r="H75" s="148" t="str">
        <f ca="1">IFERROR(VALUE(IF(VLOOKUP($A75,数出表_Excel!$A$6:$T$150,COLUMN()/2+1,FALSE)=0,"",VLOOKUP($A75,数出表_Excel!$A$6:$T$150,COLUMN()/2+1,FALSE))),"")</f>
        <v/>
      </c>
      <c r="I75" s="76"/>
      <c r="J75" s="148" t="str">
        <f ca="1">IFERROR(VALUE(IF(VLOOKUP($A75,数出表_Excel!$A$6:$T$150,COLUMN()/2+1,FALSE)=0,"",VLOOKUP($A75,数出表_Excel!$A$6:$T$150,COLUMN()/2+1,FALSE))),"")</f>
        <v/>
      </c>
      <c r="K75" s="76"/>
      <c r="L75" s="148" t="str">
        <f ca="1">IFERROR(VALUE(IF(VLOOKUP($A75,数出表_Excel!$A$6:$T$150,COLUMN()/2+1,FALSE)=0,"",VLOOKUP($A75,数出表_Excel!$A$6:$T$150,COLUMN()/2+1,FALSE))),"")</f>
        <v/>
      </c>
      <c r="M75" s="76"/>
      <c r="N75" s="148" t="str">
        <f ca="1">IFERROR(VALUE(IF(VLOOKUP($A75,数出表_Excel!$A$6:$T$150,COLUMN()/2+1,FALSE)=0,"",VLOOKUP($A75,数出表_Excel!$A$6:$T$150,COLUMN()/2+1,FALSE))),"")</f>
        <v/>
      </c>
      <c r="O75" s="76"/>
      <c r="P75" s="148" t="str">
        <f ca="1">IFERROR(VALUE(IF(VLOOKUP($A75,数出表_Excel!$A$6:$T$150,COLUMN()/2+1,FALSE)=0,"",VLOOKUP($A75,数出表_Excel!$A$6:$T$150,COLUMN()/2+1,FALSE))),"")</f>
        <v/>
      </c>
      <c r="Q75" s="76"/>
      <c r="R75" s="148" t="str">
        <f ca="1">IFERROR(VALUE(IF(VLOOKUP($A75,数出表_Excel!$A$6:$T$150,COLUMN()/2+1,FALSE)=0,"",VLOOKUP($A75,数出表_Excel!$A$6:$T$150,COLUMN()/2+1,FALSE))),"")</f>
        <v/>
      </c>
      <c r="S75" s="76"/>
      <c r="T75" s="148" t="str">
        <f ca="1">IFERROR(VALUE(IF(VLOOKUP($A75,数出表_Excel!$A$6:$T$150,COLUMN()/2+1,FALSE)=0,"",VLOOKUP($A75,数出表_Excel!$A$6:$T$150,COLUMN()/2+1,FALSE))),"")</f>
        <v/>
      </c>
      <c r="U75" s="76"/>
      <c r="V75" s="148" t="str">
        <f ca="1">IFERROR(VALUE(IF(VLOOKUP($A75,数出表_Excel!$A$6:$T$150,COLUMN()/2+1,FALSE)=0,"",VLOOKUP($A75,数出表_Excel!$A$6:$T$150,COLUMN()/2+1,FALSE))),"")</f>
        <v/>
      </c>
      <c r="W75" s="76"/>
      <c r="X75" s="148" t="str">
        <f ca="1">IFERROR(VALUE(IF(VLOOKUP($A75,数出表_Excel!$A$6:$T$150,COLUMN()/2+1,FALSE)=0,"",VLOOKUP($A75,数出表_Excel!$A$6:$T$150,COLUMN()/2+1,FALSE))),"")</f>
        <v/>
      </c>
      <c r="Y75" s="76"/>
      <c r="Z75" s="148" t="str">
        <f ca="1">IFERROR(VALUE(IF(VLOOKUP($A75,数出表_Excel!$A$6:$T$150,COLUMN()/2+1,FALSE)=0,"",VLOOKUP($A75,数出表_Excel!$A$6:$T$150,COLUMN()/2+1,FALSE))),"")</f>
        <v/>
      </c>
      <c r="AA75" s="76"/>
      <c r="AB75" s="148" t="str">
        <f ca="1">IFERROR(VALUE(IF(VLOOKUP($A75,数出表_Excel!$A$6:$T$150,COLUMN()/2+1,FALSE)=0,"",VLOOKUP($A75,数出表_Excel!$A$6:$T$150,COLUMN()/2+1,FALSE))),"")</f>
        <v/>
      </c>
      <c r="AC75" s="76"/>
      <c r="AD75" s="148" t="str">
        <f ca="1">IFERROR(VALUE(IF(VLOOKUP($A75,数出表_Excel!$A$6:$T$150,COLUMN()/2+1,FALSE)=0,"",VLOOKUP($A75,数出表_Excel!$A$6:$T$150,COLUMN()/2+1,FALSE))),"")</f>
        <v/>
      </c>
      <c r="AE75" s="76"/>
      <c r="AF75" s="148" t="str">
        <f ca="1">IFERROR(VALUE(IF(VLOOKUP($A75,数出表_Excel!$A$6:$T$150,COLUMN()/2+1,FALSE)=0,"",VLOOKUP($A75,数出表_Excel!$A$6:$T$150,COLUMN()/2+1,FALSE))),"")</f>
        <v/>
      </c>
      <c r="AG75" s="76"/>
      <c r="AH75" s="148" t="str">
        <f ca="1">IFERROR(VALUE(IF(VLOOKUP($A75,数出表_Excel!$A$6:$T$150,COLUMN()/2+1,FALSE)=0,"",VLOOKUP($A75,数出表_Excel!$A$6:$T$150,COLUMN()/2+1,FALSE))),"")</f>
        <v/>
      </c>
      <c r="AI75" s="76"/>
      <c r="AJ75" s="148" t="str">
        <f ca="1">IFERROR(VALUE(IF(VLOOKUP($A75,数出表_Excel!$A$6:$T$150,COLUMN()/2+1,FALSE)=0,"",VLOOKUP($A75,数出表_Excel!$A$6:$T$150,COLUMN()/2+1,FALSE))),"")</f>
        <v/>
      </c>
      <c r="AK75" s="76"/>
      <c r="AL75" s="63" t="e">
        <f ca="1">IF(A75&lt;&gt;"",
IF(VLOOKUP($A75,数出表_Excel!$A$6:$T$150,COLUMN()/2+1,FALSE)=0,"",VLOOKUP($A75,数出表_Excel!$A$6:$T$150,COLUMN()/2+1,FALSE)),"")</f>
        <v>#N/A</v>
      </c>
      <c r="AM75" s="91" t="e">
        <f>数出表_Excel!V75</f>
        <v>#N/A</v>
      </c>
      <c r="AN75" s="92" t="e">
        <f>数出表_Excel!W75</f>
        <v>#N/A</v>
      </c>
    </row>
    <row r="76" spans="1:40" ht="16.2" customHeight="1">
      <c r="A76" s="81" t="e">
        <f t="array" aca="1" ref="A76" ca="1">IF(OR(COUNTIF(A74,"*10002*"),COUNTIF(A74,"")),"",INDEX(貼り付け用!$A1:$A200,MATCH(A74,貼り付け用!$A1:$A200,0)+2,0))</f>
        <v>#N/A</v>
      </c>
      <c r="B76" s="182" t="str">
        <f ca="1">IFERROR(VALUE(IF(VLOOKUP($A76,数出表_Excel!$A$6:$T$150,COLUMN()/2+1,FALSE)=0,"",VLOOKUP($A76,数出表_Excel!$A$6:$T$150,COLUMN()/2+1,FALSE))),"")</f>
        <v/>
      </c>
      <c r="C76" s="75"/>
      <c r="D76" s="182" t="str">
        <f ca="1">IFERROR(VALUE(IF(VLOOKUP($A76,数出表_Excel!$A$6:$T$150,COLUMN()/2+1,FALSE)=0,"",VLOOKUP($A76,数出表_Excel!$A$6:$T$150,COLUMN()/2+1,FALSE))),"")</f>
        <v/>
      </c>
      <c r="E76" s="75"/>
      <c r="F76" s="182" t="str">
        <f ca="1">IFERROR(VALUE(IF(VLOOKUP($A76,数出表_Excel!$A$6:$T$150,COLUMN()/2+1,FALSE)=0,"",VLOOKUP($A76,数出表_Excel!$A$6:$T$150,COLUMN()/2+1,FALSE))),"")</f>
        <v/>
      </c>
      <c r="G76" s="75"/>
      <c r="H76" s="182" t="str">
        <f ca="1">IFERROR(VALUE(IF(VLOOKUP($A76,数出表_Excel!$A$6:$T$150,COLUMN()/2+1,FALSE)=0,"",VLOOKUP($A76,数出表_Excel!$A$6:$T$150,COLUMN()/2+1,FALSE))),"")</f>
        <v/>
      </c>
      <c r="I76" s="75"/>
      <c r="J76" s="182" t="str">
        <f ca="1">IFERROR(VALUE(IF(VLOOKUP($A76,数出表_Excel!$A$6:$T$150,COLUMN()/2+1,FALSE)=0,"",VLOOKUP($A76,数出表_Excel!$A$6:$T$150,COLUMN()/2+1,FALSE))),"")</f>
        <v/>
      </c>
      <c r="K76" s="75"/>
      <c r="L76" s="182" t="str">
        <f ca="1">IFERROR(VALUE(IF(VLOOKUP($A76,数出表_Excel!$A$6:$T$150,COLUMN()/2+1,FALSE)=0,"",VLOOKUP($A76,数出表_Excel!$A$6:$T$150,COLUMN()/2+1,FALSE))),"")</f>
        <v/>
      </c>
      <c r="M76" s="75"/>
      <c r="N76" s="182" t="str">
        <f ca="1">IFERROR(VALUE(IF(VLOOKUP($A76,数出表_Excel!$A$6:$T$150,COLUMN()/2+1,FALSE)=0,"",VLOOKUP($A76,数出表_Excel!$A$6:$T$150,COLUMN()/2+1,FALSE))),"")</f>
        <v/>
      </c>
      <c r="O76" s="75"/>
      <c r="P76" s="182" t="str">
        <f ca="1">IFERROR(VALUE(IF(VLOOKUP($A76,数出表_Excel!$A$6:$T$150,COLUMN()/2+1,FALSE)=0,"",VLOOKUP($A76,数出表_Excel!$A$6:$T$150,COLUMN()/2+1,FALSE))),"")</f>
        <v/>
      </c>
      <c r="Q76" s="75"/>
      <c r="R76" s="182" t="str">
        <f ca="1">IFERROR(VALUE(IF(VLOOKUP($A76,数出表_Excel!$A$6:$T$150,COLUMN()/2+1,FALSE)=0,"",VLOOKUP($A76,数出表_Excel!$A$6:$T$150,COLUMN()/2+1,FALSE))),"")</f>
        <v/>
      </c>
      <c r="S76" s="75"/>
      <c r="T76" s="182" t="str">
        <f ca="1">IFERROR(VALUE(IF(VLOOKUP($A76,数出表_Excel!$A$6:$T$150,COLUMN()/2+1,FALSE)=0,"",VLOOKUP($A76,数出表_Excel!$A$6:$T$150,COLUMN()/2+1,FALSE))),"")</f>
        <v/>
      </c>
      <c r="U76" s="75"/>
      <c r="V76" s="182" t="str">
        <f ca="1">IFERROR(VALUE(IF(VLOOKUP($A76,数出表_Excel!$A$6:$T$150,COLUMN()/2+1,FALSE)=0,"",VLOOKUP($A76,数出表_Excel!$A$6:$T$150,COLUMN()/2+1,FALSE))),"")</f>
        <v/>
      </c>
      <c r="W76" s="75"/>
      <c r="X76" s="182" t="str">
        <f ca="1">IFERROR(VALUE(IF(VLOOKUP($A76,数出表_Excel!$A$6:$T$150,COLUMN()/2+1,FALSE)=0,"",VLOOKUP($A76,数出表_Excel!$A$6:$T$150,COLUMN()/2+1,FALSE))),"")</f>
        <v/>
      </c>
      <c r="Y76" s="75"/>
      <c r="Z76" s="182" t="str">
        <f ca="1">IFERROR(VALUE(IF(VLOOKUP($A76,数出表_Excel!$A$6:$T$150,COLUMN()/2+1,FALSE)=0,"",VLOOKUP($A76,数出表_Excel!$A$6:$T$150,COLUMN()/2+1,FALSE))),"")</f>
        <v/>
      </c>
      <c r="AA76" s="75"/>
      <c r="AB76" s="182" t="str">
        <f ca="1">IFERROR(VALUE(IF(VLOOKUP($A76,数出表_Excel!$A$6:$T$150,COLUMN()/2+1,FALSE)=0,"",VLOOKUP($A76,数出表_Excel!$A$6:$T$150,COLUMN()/2+1,FALSE))),"")</f>
        <v/>
      </c>
      <c r="AC76" s="75"/>
      <c r="AD76" s="182" t="str">
        <f ca="1">IFERROR(VALUE(IF(VLOOKUP($A76,数出表_Excel!$A$6:$T$150,COLUMN()/2+1,FALSE)=0,"",VLOOKUP($A76,数出表_Excel!$A$6:$T$150,COLUMN()/2+1,FALSE))),"")</f>
        <v/>
      </c>
      <c r="AE76" s="75"/>
      <c r="AF76" s="182" t="str">
        <f ca="1">IFERROR(VALUE(IF(VLOOKUP($A76,数出表_Excel!$A$6:$T$150,COLUMN()/2+1,FALSE)=0,"",VLOOKUP($A76,数出表_Excel!$A$6:$T$150,COLUMN()/2+1,FALSE))),"")</f>
        <v/>
      </c>
      <c r="AG76" s="75"/>
      <c r="AH76" s="182" t="str">
        <f ca="1">IFERROR(VALUE(IF(VLOOKUP($A76,数出表_Excel!$A$6:$T$150,COLUMN()/2+1,FALSE)=0,"",VLOOKUP($A76,数出表_Excel!$A$6:$T$150,COLUMN()/2+1,FALSE))),"")</f>
        <v/>
      </c>
      <c r="AI76" s="75"/>
      <c r="AJ76" s="182" t="str">
        <f ca="1">IFERROR(VALUE(IF(VLOOKUP($A76,数出表_Excel!$A$6:$T$150,COLUMN()/2+1,FALSE)=0,"",VLOOKUP($A76,数出表_Excel!$A$6:$T$150,COLUMN()/2+1,FALSE))),"")</f>
        <v/>
      </c>
      <c r="AK76" s="75"/>
      <c r="AL76" s="61" t="e">
        <f ca="1">IF(A76&lt;&gt;"",
IF(VLOOKUP($A76,数出表_Excel!$A$6:$T$150,COLUMN()/2+1,FALSE)=0,"",VLOOKUP($A76,数出表_Excel!$A$6:$T$150,COLUMN()/2+1,FALSE)),"")</f>
        <v>#N/A</v>
      </c>
      <c r="AM76" s="89" t="e">
        <f>数出表_Excel!V76</f>
        <v>#N/A</v>
      </c>
      <c r="AN76" s="90" t="e">
        <f>数出表_Excel!W76</f>
        <v>#N/A</v>
      </c>
    </row>
    <row r="77" spans="1:40" ht="16.2" customHeight="1">
      <c r="A77" s="82" t="e">
        <f t="array" aca="1" ref="A77" ca="1">IF(OR(COUNTIF(A75,"*1000*"),COUNTIF(A75,"")),"",INDEX(貼り付け用!$A1:$A200,MATCH(A75,貼り付け用!$A1:$A200,0)+2,0))</f>
        <v>#N/A</v>
      </c>
      <c r="B77" s="148" t="str">
        <f ca="1">IFERROR(VALUE(IF(VLOOKUP($A77,数出表_Excel!$A$6:$T$150,COLUMN()/2+1,FALSE)=0,"",VLOOKUP($A77,数出表_Excel!$A$6:$T$150,COLUMN()/2+1,FALSE))),"")</f>
        <v/>
      </c>
      <c r="C77" s="76"/>
      <c r="D77" s="148" t="str">
        <f ca="1">IFERROR(VALUE(IF(VLOOKUP($A77,数出表_Excel!$A$6:$T$150,COLUMN()/2+1,FALSE)=0,"",VLOOKUP($A77,数出表_Excel!$A$6:$T$150,COLUMN()/2+1,FALSE))),"")</f>
        <v/>
      </c>
      <c r="E77" s="76"/>
      <c r="F77" s="148" t="str">
        <f ca="1">IFERROR(VALUE(IF(VLOOKUP($A77,数出表_Excel!$A$6:$T$150,COLUMN()/2+1,FALSE)=0,"",VLOOKUP($A77,数出表_Excel!$A$6:$T$150,COLUMN()/2+1,FALSE))),"")</f>
        <v/>
      </c>
      <c r="G77" s="76"/>
      <c r="H77" s="148" t="str">
        <f ca="1">IFERROR(VALUE(IF(VLOOKUP($A77,数出表_Excel!$A$6:$T$150,COLUMN()/2+1,FALSE)=0,"",VLOOKUP($A77,数出表_Excel!$A$6:$T$150,COLUMN()/2+1,FALSE))),"")</f>
        <v/>
      </c>
      <c r="I77" s="76"/>
      <c r="J77" s="148" t="str">
        <f ca="1">IFERROR(VALUE(IF(VLOOKUP($A77,数出表_Excel!$A$6:$T$150,COLUMN()/2+1,FALSE)=0,"",VLOOKUP($A77,数出表_Excel!$A$6:$T$150,COLUMN()/2+1,FALSE))),"")</f>
        <v/>
      </c>
      <c r="K77" s="76"/>
      <c r="L77" s="148" t="str">
        <f ca="1">IFERROR(VALUE(IF(VLOOKUP($A77,数出表_Excel!$A$6:$T$150,COLUMN()/2+1,FALSE)=0,"",VLOOKUP($A77,数出表_Excel!$A$6:$T$150,COLUMN()/2+1,FALSE))),"")</f>
        <v/>
      </c>
      <c r="M77" s="76"/>
      <c r="N77" s="148" t="str">
        <f ca="1">IFERROR(VALUE(IF(VLOOKUP($A77,数出表_Excel!$A$6:$T$150,COLUMN()/2+1,FALSE)=0,"",VLOOKUP($A77,数出表_Excel!$A$6:$T$150,COLUMN()/2+1,FALSE))),"")</f>
        <v/>
      </c>
      <c r="O77" s="76"/>
      <c r="P77" s="148" t="str">
        <f ca="1">IFERROR(VALUE(IF(VLOOKUP($A77,数出表_Excel!$A$6:$T$150,COLUMN()/2+1,FALSE)=0,"",VLOOKUP($A77,数出表_Excel!$A$6:$T$150,COLUMN()/2+1,FALSE))),"")</f>
        <v/>
      </c>
      <c r="Q77" s="76"/>
      <c r="R77" s="148" t="str">
        <f ca="1">IFERROR(VALUE(IF(VLOOKUP($A77,数出表_Excel!$A$6:$T$150,COLUMN()/2+1,FALSE)=0,"",VLOOKUP($A77,数出表_Excel!$A$6:$T$150,COLUMN()/2+1,FALSE))),"")</f>
        <v/>
      </c>
      <c r="S77" s="76"/>
      <c r="T77" s="148" t="str">
        <f ca="1">IFERROR(VALUE(IF(VLOOKUP($A77,数出表_Excel!$A$6:$T$150,COLUMN()/2+1,FALSE)=0,"",VLOOKUP($A77,数出表_Excel!$A$6:$T$150,COLUMN()/2+1,FALSE))),"")</f>
        <v/>
      </c>
      <c r="U77" s="76"/>
      <c r="V77" s="148" t="str">
        <f ca="1">IFERROR(VALUE(IF(VLOOKUP($A77,数出表_Excel!$A$6:$T$150,COLUMN()/2+1,FALSE)=0,"",VLOOKUP($A77,数出表_Excel!$A$6:$T$150,COLUMN()/2+1,FALSE))),"")</f>
        <v/>
      </c>
      <c r="W77" s="76"/>
      <c r="X77" s="148" t="str">
        <f ca="1">IFERROR(VALUE(IF(VLOOKUP($A77,数出表_Excel!$A$6:$T$150,COLUMN()/2+1,FALSE)=0,"",VLOOKUP($A77,数出表_Excel!$A$6:$T$150,COLUMN()/2+1,FALSE))),"")</f>
        <v/>
      </c>
      <c r="Y77" s="76"/>
      <c r="Z77" s="148" t="str">
        <f ca="1">IFERROR(VALUE(IF(VLOOKUP($A77,数出表_Excel!$A$6:$T$150,COLUMN()/2+1,FALSE)=0,"",VLOOKUP($A77,数出表_Excel!$A$6:$T$150,COLUMN()/2+1,FALSE))),"")</f>
        <v/>
      </c>
      <c r="AA77" s="76"/>
      <c r="AB77" s="148" t="str">
        <f ca="1">IFERROR(VALUE(IF(VLOOKUP($A77,数出表_Excel!$A$6:$T$150,COLUMN()/2+1,FALSE)=0,"",VLOOKUP($A77,数出表_Excel!$A$6:$T$150,COLUMN()/2+1,FALSE))),"")</f>
        <v/>
      </c>
      <c r="AC77" s="76"/>
      <c r="AD77" s="148" t="str">
        <f ca="1">IFERROR(VALUE(IF(VLOOKUP($A77,数出表_Excel!$A$6:$T$150,COLUMN()/2+1,FALSE)=0,"",VLOOKUP($A77,数出表_Excel!$A$6:$T$150,COLUMN()/2+1,FALSE))),"")</f>
        <v/>
      </c>
      <c r="AE77" s="76"/>
      <c r="AF77" s="148" t="str">
        <f ca="1">IFERROR(VALUE(IF(VLOOKUP($A77,数出表_Excel!$A$6:$T$150,COLUMN()/2+1,FALSE)=0,"",VLOOKUP($A77,数出表_Excel!$A$6:$T$150,COLUMN()/2+1,FALSE))),"")</f>
        <v/>
      </c>
      <c r="AG77" s="76"/>
      <c r="AH77" s="148" t="str">
        <f ca="1">IFERROR(VALUE(IF(VLOOKUP($A77,数出表_Excel!$A$6:$T$150,COLUMN()/2+1,FALSE)=0,"",VLOOKUP($A77,数出表_Excel!$A$6:$T$150,COLUMN()/2+1,FALSE))),"")</f>
        <v/>
      </c>
      <c r="AI77" s="76"/>
      <c r="AJ77" s="148" t="str">
        <f ca="1">IFERROR(VALUE(IF(VLOOKUP($A77,数出表_Excel!$A$6:$T$150,COLUMN()/2+1,FALSE)=0,"",VLOOKUP($A77,数出表_Excel!$A$6:$T$150,COLUMN()/2+1,FALSE))),"")</f>
        <v/>
      </c>
      <c r="AK77" s="76"/>
      <c r="AL77" s="63" t="e">
        <f ca="1">IF(A77&lt;&gt;"",
IF(VLOOKUP($A77,数出表_Excel!$A$6:$T$150,COLUMN()/2+1,FALSE)=0,"",VLOOKUP($A77,数出表_Excel!$A$6:$T$150,COLUMN()/2+1,FALSE)),"")</f>
        <v>#N/A</v>
      </c>
      <c r="AM77" s="91" t="e">
        <f>数出表_Excel!V77</f>
        <v>#N/A</v>
      </c>
      <c r="AN77" s="92" t="e">
        <f>数出表_Excel!W77</f>
        <v>#N/A</v>
      </c>
    </row>
    <row r="78" spans="1:40" ht="16.2" customHeight="1">
      <c r="A78" s="81" t="e">
        <f t="array" aca="1" ref="A78" ca="1">IF(OR(COUNTIF(A76,"*10002*"),COUNTIF(A76,"")),"",INDEX(貼り付け用!$A1:$A200,MATCH(A76,貼り付け用!$A1:$A200,0)+2,0))</f>
        <v>#N/A</v>
      </c>
      <c r="B78" s="182" t="str">
        <f ca="1">IFERROR(VALUE(IF(VLOOKUP($A78,数出表_Excel!$A$6:$T$150,COLUMN()/2+1,FALSE)=0,"",VLOOKUP($A78,数出表_Excel!$A$6:$T$150,COLUMN()/2+1,FALSE))),"")</f>
        <v/>
      </c>
      <c r="C78" s="75"/>
      <c r="D78" s="182" t="str">
        <f ca="1">IFERROR(VALUE(IF(VLOOKUP($A78,数出表_Excel!$A$6:$T$150,COLUMN()/2+1,FALSE)=0,"",VLOOKUP($A78,数出表_Excel!$A$6:$T$150,COLUMN()/2+1,FALSE))),"")</f>
        <v/>
      </c>
      <c r="E78" s="75"/>
      <c r="F78" s="182" t="str">
        <f ca="1">IFERROR(VALUE(IF(VLOOKUP($A78,数出表_Excel!$A$6:$T$150,COLUMN()/2+1,FALSE)=0,"",VLOOKUP($A78,数出表_Excel!$A$6:$T$150,COLUMN()/2+1,FALSE))),"")</f>
        <v/>
      </c>
      <c r="G78" s="75"/>
      <c r="H78" s="182" t="str">
        <f ca="1">IFERROR(VALUE(IF(VLOOKUP($A78,数出表_Excel!$A$6:$T$150,COLUMN()/2+1,FALSE)=0,"",VLOOKUP($A78,数出表_Excel!$A$6:$T$150,COLUMN()/2+1,FALSE))),"")</f>
        <v/>
      </c>
      <c r="I78" s="75"/>
      <c r="J78" s="182" t="str">
        <f ca="1">IFERROR(VALUE(IF(VLOOKUP($A78,数出表_Excel!$A$6:$T$150,COLUMN()/2+1,FALSE)=0,"",VLOOKUP($A78,数出表_Excel!$A$6:$T$150,COLUMN()/2+1,FALSE))),"")</f>
        <v/>
      </c>
      <c r="K78" s="75"/>
      <c r="L78" s="182" t="str">
        <f ca="1">IFERROR(VALUE(IF(VLOOKUP($A78,数出表_Excel!$A$6:$T$150,COLUMN()/2+1,FALSE)=0,"",VLOOKUP($A78,数出表_Excel!$A$6:$T$150,COLUMN()/2+1,FALSE))),"")</f>
        <v/>
      </c>
      <c r="M78" s="75"/>
      <c r="N78" s="182" t="str">
        <f ca="1">IFERROR(VALUE(IF(VLOOKUP($A78,数出表_Excel!$A$6:$T$150,COLUMN()/2+1,FALSE)=0,"",VLOOKUP($A78,数出表_Excel!$A$6:$T$150,COLUMN()/2+1,FALSE))),"")</f>
        <v/>
      </c>
      <c r="O78" s="75"/>
      <c r="P78" s="182" t="str">
        <f ca="1">IFERROR(VALUE(IF(VLOOKUP($A78,数出表_Excel!$A$6:$T$150,COLUMN()/2+1,FALSE)=0,"",VLOOKUP($A78,数出表_Excel!$A$6:$T$150,COLUMN()/2+1,FALSE))),"")</f>
        <v/>
      </c>
      <c r="Q78" s="75"/>
      <c r="R78" s="182" t="str">
        <f ca="1">IFERROR(VALUE(IF(VLOOKUP($A78,数出表_Excel!$A$6:$T$150,COLUMN()/2+1,FALSE)=0,"",VLOOKUP($A78,数出表_Excel!$A$6:$T$150,COLUMN()/2+1,FALSE))),"")</f>
        <v/>
      </c>
      <c r="S78" s="75"/>
      <c r="T78" s="182" t="str">
        <f ca="1">IFERROR(VALUE(IF(VLOOKUP($A78,数出表_Excel!$A$6:$T$150,COLUMN()/2+1,FALSE)=0,"",VLOOKUP($A78,数出表_Excel!$A$6:$T$150,COLUMN()/2+1,FALSE))),"")</f>
        <v/>
      </c>
      <c r="U78" s="75"/>
      <c r="V78" s="182" t="str">
        <f ca="1">IFERROR(VALUE(IF(VLOOKUP($A78,数出表_Excel!$A$6:$T$150,COLUMN()/2+1,FALSE)=0,"",VLOOKUP($A78,数出表_Excel!$A$6:$T$150,COLUMN()/2+1,FALSE))),"")</f>
        <v/>
      </c>
      <c r="W78" s="75"/>
      <c r="X78" s="182" t="str">
        <f ca="1">IFERROR(VALUE(IF(VLOOKUP($A78,数出表_Excel!$A$6:$T$150,COLUMN()/2+1,FALSE)=0,"",VLOOKUP($A78,数出表_Excel!$A$6:$T$150,COLUMN()/2+1,FALSE))),"")</f>
        <v/>
      </c>
      <c r="Y78" s="75"/>
      <c r="Z78" s="182" t="str">
        <f ca="1">IFERROR(VALUE(IF(VLOOKUP($A78,数出表_Excel!$A$6:$T$150,COLUMN()/2+1,FALSE)=0,"",VLOOKUP($A78,数出表_Excel!$A$6:$T$150,COLUMN()/2+1,FALSE))),"")</f>
        <v/>
      </c>
      <c r="AA78" s="75"/>
      <c r="AB78" s="182" t="str">
        <f ca="1">IFERROR(VALUE(IF(VLOOKUP($A78,数出表_Excel!$A$6:$T$150,COLUMN()/2+1,FALSE)=0,"",VLOOKUP($A78,数出表_Excel!$A$6:$T$150,COLUMN()/2+1,FALSE))),"")</f>
        <v/>
      </c>
      <c r="AC78" s="75"/>
      <c r="AD78" s="182" t="str">
        <f ca="1">IFERROR(VALUE(IF(VLOOKUP($A78,数出表_Excel!$A$6:$T$150,COLUMN()/2+1,FALSE)=0,"",VLOOKUP($A78,数出表_Excel!$A$6:$T$150,COLUMN()/2+1,FALSE))),"")</f>
        <v/>
      </c>
      <c r="AE78" s="75"/>
      <c r="AF78" s="182" t="str">
        <f ca="1">IFERROR(VALUE(IF(VLOOKUP($A78,数出表_Excel!$A$6:$T$150,COLUMN()/2+1,FALSE)=0,"",VLOOKUP($A78,数出表_Excel!$A$6:$T$150,COLUMN()/2+1,FALSE))),"")</f>
        <v/>
      </c>
      <c r="AG78" s="75"/>
      <c r="AH78" s="182" t="str">
        <f ca="1">IFERROR(VALUE(IF(VLOOKUP($A78,数出表_Excel!$A$6:$T$150,COLUMN()/2+1,FALSE)=0,"",VLOOKUP($A78,数出表_Excel!$A$6:$T$150,COLUMN()/2+1,FALSE))),"")</f>
        <v/>
      </c>
      <c r="AI78" s="75"/>
      <c r="AJ78" s="182" t="str">
        <f ca="1">IFERROR(VALUE(IF(VLOOKUP($A78,数出表_Excel!$A$6:$T$150,COLUMN()/2+1,FALSE)=0,"",VLOOKUP($A78,数出表_Excel!$A$6:$T$150,COLUMN()/2+1,FALSE))),"")</f>
        <v/>
      </c>
      <c r="AK78" s="75"/>
      <c r="AL78" s="61" t="e">
        <f ca="1">IF(A78&lt;&gt;"",
IF(VLOOKUP($A78,数出表_Excel!$A$6:$T$150,COLUMN()/2+1,FALSE)=0,"",VLOOKUP($A78,数出表_Excel!$A$6:$T$150,COLUMN()/2+1,FALSE)),"")</f>
        <v>#N/A</v>
      </c>
      <c r="AM78" s="89" t="e">
        <f>数出表_Excel!V78</f>
        <v>#N/A</v>
      </c>
      <c r="AN78" s="90" t="e">
        <f>数出表_Excel!W78</f>
        <v>#N/A</v>
      </c>
    </row>
    <row r="79" spans="1:40" ht="16.2" customHeight="1">
      <c r="A79" s="82" t="e">
        <f t="array" aca="1" ref="A79" ca="1">IF(OR(COUNTIF(A77,"*1000*"),COUNTIF(A77,"")),"",INDEX(貼り付け用!$A1:$A200,MATCH(A77,貼り付け用!$A1:$A200,0)+2,0))</f>
        <v>#N/A</v>
      </c>
      <c r="B79" s="148" t="str">
        <f ca="1">IFERROR(VALUE(IF(VLOOKUP($A79,数出表_Excel!$A$6:$T$150,COLUMN()/2+1,FALSE)=0,"",VLOOKUP($A79,数出表_Excel!$A$6:$T$150,COLUMN()/2+1,FALSE))),"")</f>
        <v/>
      </c>
      <c r="C79" s="76"/>
      <c r="D79" s="148" t="str">
        <f ca="1">IFERROR(VALUE(IF(VLOOKUP($A79,数出表_Excel!$A$6:$T$150,COLUMN()/2+1,FALSE)=0,"",VLOOKUP($A79,数出表_Excel!$A$6:$T$150,COLUMN()/2+1,FALSE))),"")</f>
        <v/>
      </c>
      <c r="E79" s="76"/>
      <c r="F79" s="148" t="str">
        <f ca="1">IFERROR(VALUE(IF(VLOOKUP($A79,数出表_Excel!$A$6:$T$150,COLUMN()/2+1,FALSE)=0,"",VLOOKUP($A79,数出表_Excel!$A$6:$T$150,COLUMN()/2+1,FALSE))),"")</f>
        <v/>
      </c>
      <c r="G79" s="76"/>
      <c r="H79" s="148" t="str">
        <f ca="1">IFERROR(VALUE(IF(VLOOKUP($A79,数出表_Excel!$A$6:$T$150,COLUMN()/2+1,FALSE)=0,"",VLOOKUP($A79,数出表_Excel!$A$6:$T$150,COLUMN()/2+1,FALSE))),"")</f>
        <v/>
      </c>
      <c r="I79" s="76"/>
      <c r="J79" s="148" t="str">
        <f ca="1">IFERROR(VALUE(IF(VLOOKUP($A79,数出表_Excel!$A$6:$T$150,COLUMN()/2+1,FALSE)=0,"",VLOOKUP($A79,数出表_Excel!$A$6:$T$150,COLUMN()/2+1,FALSE))),"")</f>
        <v/>
      </c>
      <c r="K79" s="76"/>
      <c r="L79" s="148" t="str">
        <f ca="1">IFERROR(VALUE(IF(VLOOKUP($A79,数出表_Excel!$A$6:$T$150,COLUMN()/2+1,FALSE)=0,"",VLOOKUP($A79,数出表_Excel!$A$6:$T$150,COLUMN()/2+1,FALSE))),"")</f>
        <v/>
      </c>
      <c r="M79" s="76"/>
      <c r="N79" s="148" t="str">
        <f ca="1">IFERROR(VALUE(IF(VLOOKUP($A79,数出表_Excel!$A$6:$T$150,COLUMN()/2+1,FALSE)=0,"",VLOOKUP($A79,数出表_Excel!$A$6:$T$150,COLUMN()/2+1,FALSE))),"")</f>
        <v/>
      </c>
      <c r="O79" s="76"/>
      <c r="P79" s="148" t="str">
        <f ca="1">IFERROR(VALUE(IF(VLOOKUP($A79,数出表_Excel!$A$6:$T$150,COLUMN()/2+1,FALSE)=0,"",VLOOKUP($A79,数出表_Excel!$A$6:$T$150,COLUMN()/2+1,FALSE))),"")</f>
        <v/>
      </c>
      <c r="Q79" s="76"/>
      <c r="R79" s="148" t="str">
        <f ca="1">IFERROR(VALUE(IF(VLOOKUP($A79,数出表_Excel!$A$6:$T$150,COLUMN()/2+1,FALSE)=0,"",VLOOKUP($A79,数出表_Excel!$A$6:$T$150,COLUMN()/2+1,FALSE))),"")</f>
        <v/>
      </c>
      <c r="S79" s="76"/>
      <c r="T79" s="148" t="str">
        <f ca="1">IFERROR(VALUE(IF(VLOOKUP($A79,数出表_Excel!$A$6:$T$150,COLUMN()/2+1,FALSE)=0,"",VLOOKUP($A79,数出表_Excel!$A$6:$T$150,COLUMN()/2+1,FALSE))),"")</f>
        <v/>
      </c>
      <c r="U79" s="76"/>
      <c r="V79" s="148" t="str">
        <f ca="1">IFERROR(VALUE(IF(VLOOKUP($A79,数出表_Excel!$A$6:$T$150,COLUMN()/2+1,FALSE)=0,"",VLOOKUP($A79,数出表_Excel!$A$6:$T$150,COLUMN()/2+1,FALSE))),"")</f>
        <v/>
      </c>
      <c r="W79" s="76"/>
      <c r="X79" s="148" t="str">
        <f ca="1">IFERROR(VALUE(IF(VLOOKUP($A79,数出表_Excel!$A$6:$T$150,COLUMN()/2+1,FALSE)=0,"",VLOOKUP($A79,数出表_Excel!$A$6:$T$150,COLUMN()/2+1,FALSE))),"")</f>
        <v/>
      </c>
      <c r="Y79" s="76"/>
      <c r="Z79" s="148" t="str">
        <f ca="1">IFERROR(VALUE(IF(VLOOKUP($A79,数出表_Excel!$A$6:$T$150,COLUMN()/2+1,FALSE)=0,"",VLOOKUP($A79,数出表_Excel!$A$6:$T$150,COLUMN()/2+1,FALSE))),"")</f>
        <v/>
      </c>
      <c r="AA79" s="76"/>
      <c r="AB79" s="148" t="str">
        <f ca="1">IFERROR(VALUE(IF(VLOOKUP($A79,数出表_Excel!$A$6:$T$150,COLUMN()/2+1,FALSE)=0,"",VLOOKUP($A79,数出表_Excel!$A$6:$T$150,COLUMN()/2+1,FALSE))),"")</f>
        <v/>
      </c>
      <c r="AC79" s="76"/>
      <c r="AD79" s="148" t="str">
        <f ca="1">IFERROR(VALUE(IF(VLOOKUP($A79,数出表_Excel!$A$6:$T$150,COLUMN()/2+1,FALSE)=0,"",VLOOKUP($A79,数出表_Excel!$A$6:$T$150,COLUMN()/2+1,FALSE))),"")</f>
        <v/>
      </c>
      <c r="AE79" s="76"/>
      <c r="AF79" s="148" t="str">
        <f ca="1">IFERROR(VALUE(IF(VLOOKUP($A79,数出表_Excel!$A$6:$T$150,COLUMN()/2+1,FALSE)=0,"",VLOOKUP($A79,数出表_Excel!$A$6:$T$150,COLUMN()/2+1,FALSE))),"")</f>
        <v/>
      </c>
      <c r="AG79" s="76"/>
      <c r="AH79" s="148" t="str">
        <f ca="1">IFERROR(VALUE(IF(VLOOKUP($A79,数出表_Excel!$A$6:$T$150,COLUMN()/2+1,FALSE)=0,"",VLOOKUP($A79,数出表_Excel!$A$6:$T$150,COLUMN()/2+1,FALSE))),"")</f>
        <v/>
      </c>
      <c r="AI79" s="76"/>
      <c r="AJ79" s="148" t="str">
        <f ca="1">IFERROR(VALUE(IF(VLOOKUP($A79,数出表_Excel!$A$6:$T$150,COLUMN()/2+1,FALSE)=0,"",VLOOKUP($A79,数出表_Excel!$A$6:$T$150,COLUMN()/2+1,FALSE))),"")</f>
        <v/>
      </c>
      <c r="AK79" s="76"/>
      <c r="AL79" s="63" t="e">
        <f ca="1">IF(A79&lt;&gt;"",
IF(VLOOKUP($A79,数出表_Excel!$A$6:$T$150,COLUMN()/2+1,FALSE)=0,"",VLOOKUP($A79,数出表_Excel!$A$6:$T$150,COLUMN()/2+1,FALSE)),"")</f>
        <v>#N/A</v>
      </c>
      <c r="AM79" s="91" t="e">
        <f>数出表_Excel!V79</f>
        <v>#N/A</v>
      </c>
      <c r="AN79" s="92" t="e">
        <f>数出表_Excel!W79</f>
        <v>#N/A</v>
      </c>
    </row>
    <row r="80" spans="1:40" ht="16.2" customHeight="1">
      <c r="A80" s="81" t="e">
        <f t="array" aca="1" ref="A80" ca="1">IF(OR(COUNTIF(A78,"*10002*"),COUNTIF(A78,"")),"",INDEX(貼り付け用!$A1:$A200,MATCH(A78,貼り付け用!$A1:$A200,0)+2,0))</f>
        <v>#N/A</v>
      </c>
      <c r="B80" s="182" t="str">
        <f ca="1">IFERROR(VALUE(IF(VLOOKUP($A80,数出表_Excel!$A$6:$T$150,COLUMN()/2+1,FALSE)=0,"",VLOOKUP($A80,数出表_Excel!$A$6:$T$150,COLUMN()/2+1,FALSE))),"")</f>
        <v/>
      </c>
      <c r="C80" s="75"/>
      <c r="D80" s="182" t="str">
        <f ca="1">IFERROR(VALUE(IF(VLOOKUP($A80,数出表_Excel!$A$6:$T$150,COLUMN()/2+1,FALSE)=0,"",VLOOKUP($A80,数出表_Excel!$A$6:$T$150,COLUMN()/2+1,FALSE))),"")</f>
        <v/>
      </c>
      <c r="E80" s="75"/>
      <c r="F80" s="182" t="str">
        <f ca="1">IFERROR(VALUE(IF(VLOOKUP($A80,数出表_Excel!$A$6:$T$150,COLUMN()/2+1,FALSE)=0,"",VLOOKUP($A80,数出表_Excel!$A$6:$T$150,COLUMN()/2+1,FALSE))),"")</f>
        <v/>
      </c>
      <c r="G80" s="75"/>
      <c r="H80" s="182" t="str">
        <f ca="1">IFERROR(VALUE(IF(VLOOKUP($A80,数出表_Excel!$A$6:$T$150,COLUMN()/2+1,FALSE)=0,"",VLOOKUP($A80,数出表_Excel!$A$6:$T$150,COLUMN()/2+1,FALSE))),"")</f>
        <v/>
      </c>
      <c r="I80" s="75"/>
      <c r="J80" s="182" t="str">
        <f ca="1">IFERROR(VALUE(IF(VLOOKUP($A80,数出表_Excel!$A$6:$T$150,COLUMN()/2+1,FALSE)=0,"",VLOOKUP($A80,数出表_Excel!$A$6:$T$150,COLUMN()/2+1,FALSE))),"")</f>
        <v/>
      </c>
      <c r="K80" s="75"/>
      <c r="L80" s="182" t="str">
        <f ca="1">IFERROR(VALUE(IF(VLOOKUP($A80,数出表_Excel!$A$6:$T$150,COLUMN()/2+1,FALSE)=0,"",VLOOKUP($A80,数出表_Excel!$A$6:$T$150,COLUMN()/2+1,FALSE))),"")</f>
        <v/>
      </c>
      <c r="M80" s="75"/>
      <c r="N80" s="182" t="str">
        <f ca="1">IFERROR(VALUE(IF(VLOOKUP($A80,数出表_Excel!$A$6:$T$150,COLUMN()/2+1,FALSE)=0,"",VLOOKUP($A80,数出表_Excel!$A$6:$T$150,COLUMN()/2+1,FALSE))),"")</f>
        <v/>
      </c>
      <c r="O80" s="75"/>
      <c r="P80" s="182" t="str">
        <f ca="1">IFERROR(VALUE(IF(VLOOKUP($A80,数出表_Excel!$A$6:$T$150,COLUMN()/2+1,FALSE)=0,"",VLOOKUP($A80,数出表_Excel!$A$6:$T$150,COLUMN()/2+1,FALSE))),"")</f>
        <v/>
      </c>
      <c r="Q80" s="75"/>
      <c r="R80" s="182" t="str">
        <f ca="1">IFERROR(VALUE(IF(VLOOKUP($A80,数出表_Excel!$A$6:$T$150,COLUMN()/2+1,FALSE)=0,"",VLOOKUP($A80,数出表_Excel!$A$6:$T$150,COLUMN()/2+1,FALSE))),"")</f>
        <v/>
      </c>
      <c r="S80" s="75"/>
      <c r="T80" s="182" t="str">
        <f ca="1">IFERROR(VALUE(IF(VLOOKUP($A80,数出表_Excel!$A$6:$T$150,COLUMN()/2+1,FALSE)=0,"",VLOOKUP($A80,数出表_Excel!$A$6:$T$150,COLUMN()/2+1,FALSE))),"")</f>
        <v/>
      </c>
      <c r="U80" s="75"/>
      <c r="V80" s="182" t="str">
        <f ca="1">IFERROR(VALUE(IF(VLOOKUP($A80,数出表_Excel!$A$6:$T$150,COLUMN()/2+1,FALSE)=0,"",VLOOKUP($A80,数出表_Excel!$A$6:$T$150,COLUMN()/2+1,FALSE))),"")</f>
        <v/>
      </c>
      <c r="W80" s="75"/>
      <c r="X80" s="182" t="str">
        <f ca="1">IFERROR(VALUE(IF(VLOOKUP($A80,数出表_Excel!$A$6:$T$150,COLUMN()/2+1,FALSE)=0,"",VLOOKUP($A80,数出表_Excel!$A$6:$T$150,COLUMN()/2+1,FALSE))),"")</f>
        <v/>
      </c>
      <c r="Y80" s="75"/>
      <c r="Z80" s="182" t="str">
        <f ca="1">IFERROR(VALUE(IF(VLOOKUP($A80,数出表_Excel!$A$6:$T$150,COLUMN()/2+1,FALSE)=0,"",VLOOKUP($A80,数出表_Excel!$A$6:$T$150,COLUMN()/2+1,FALSE))),"")</f>
        <v/>
      </c>
      <c r="AA80" s="75"/>
      <c r="AB80" s="182" t="str">
        <f ca="1">IFERROR(VALUE(IF(VLOOKUP($A80,数出表_Excel!$A$6:$T$150,COLUMN()/2+1,FALSE)=0,"",VLOOKUP($A80,数出表_Excel!$A$6:$T$150,COLUMN()/2+1,FALSE))),"")</f>
        <v/>
      </c>
      <c r="AC80" s="75"/>
      <c r="AD80" s="182" t="str">
        <f ca="1">IFERROR(VALUE(IF(VLOOKUP($A80,数出表_Excel!$A$6:$T$150,COLUMN()/2+1,FALSE)=0,"",VLOOKUP($A80,数出表_Excel!$A$6:$T$150,COLUMN()/2+1,FALSE))),"")</f>
        <v/>
      </c>
      <c r="AE80" s="75"/>
      <c r="AF80" s="182" t="str">
        <f ca="1">IFERROR(VALUE(IF(VLOOKUP($A80,数出表_Excel!$A$6:$T$150,COLUMN()/2+1,FALSE)=0,"",VLOOKUP($A80,数出表_Excel!$A$6:$T$150,COLUMN()/2+1,FALSE))),"")</f>
        <v/>
      </c>
      <c r="AG80" s="75"/>
      <c r="AH80" s="182" t="str">
        <f ca="1">IFERROR(VALUE(IF(VLOOKUP($A80,数出表_Excel!$A$6:$T$150,COLUMN()/2+1,FALSE)=0,"",VLOOKUP($A80,数出表_Excel!$A$6:$T$150,COLUMN()/2+1,FALSE))),"")</f>
        <v/>
      </c>
      <c r="AI80" s="75"/>
      <c r="AJ80" s="182" t="str">
        <f ca="1">IFERROR(VALUE(IF(VLOOKUP($A80,数出表_Excel!$A$6:$T$150,COLUMN()/2+1,FALSE)=0,"",VLOOKUP($A80,数出表_Excel!$A$6:$T$150,COLUMN()/2+1,FALSE))),"")</f>
        <v/>
      </c>
      <c r="AK80" s="75"/>
      <c r="AL80" s="61" t="e">
        <f ca="1">IF(A80&lt;&gt;"",
IF(VLOOKUP($A80,数出表_Excel!$A$6:$T$150,COLUMN()/2+1,FALSE)=0,"",VLOOKUP($A80,数出表_Excel!$A$6:$T$150,COLUMN()/2+1,FALSE)),"")</f>
        <v>#N/A</v>
      </c>
      <c r="AM80" s="89" t="e">
        <f>数出表_Excel!V80</f>
        <v>#N/A</v>
      </c>
      <c r="AN80" s="90" t="e">
        <f>数出表_Excel!W80</f>
        <v>#N/A</v>
      </c>
    </row>
    <row r="81" spans="1:40" ht="16.2" customHeight="1">
      <c r="A81" s="82" t="e">
        <f t="array" aca="1" ref="A81" ca="1">IF(OR(COUNTIF(A79,"*1000*"),COUNTIF(A79,"")),"",INDEX(貼り付け用!$A1:$A200,MATCH(A79,貼り付け用!$A1:$A200,0)+2,0))</f>
        <v>#N/A</v>
      </c>
      <c r="B81" s="148" t="str">
        <f ca="1">IFERROR(VALUE(IF(VLOOKUP($A81,数出表_Excel!$A$6:$T$150,COLUMN()/2+1,FALSE)=0,"",VLOOKUP($A81,数出表_Excel!$A$6:$T$150,COLUMN()/2+1,FALSE))),"")</f>
        <v/>
      </c>
      <c r="C81" s="76"/>
      <c r="D81" s="148" t="str">
        <f ca="1">IFERROR(VALUE(IF(VLOOKUP($A81,数出表_Excel!$A$6:$T$150,COLUMN()/2+1,FALSE)=0,"",VLOOKUP($A81,数出表_Excel!$A$6:$T$150,COLUMN()/2+1,FALSE))),"")</f>
        <v/>
      </c>
      <c r="E81" s="76"/>
      <c r="F81" s="148" t="str">
        <f ca="1">IFERROR(VALUE(IF(VLOOKUP($A81,数出表_Excel!$A$6:$T$150,COLUMN()/2+1,FALSE)=0,"",VLOOKUP($A81,数出表_Excel!$A$6:$T$150,COLUMN()/2+1,FALSE))),"")</f>
        <v/>
      </c>
      <c r="G81" s="76"/>
      <c r="H81" s="148" t="str">
        <f ca="1">IFERROR(VALUE(IF(VLOOKUP($A81,数出表_Excel!$A$6:$T$150,COLUMN()/2+1,FALSE)=0,"",VLOOKUP($A81,数出表_Excel!$A$6:$T$150,COLUMN()/2+1,FALSE))),"")</f>
        <v/>
      </c>
      <c r="I81" s="76"/>
      <c r="J81" s="148" t="str">
        <f ca="1">IFERROR(VALUE(IF(VLOOKUP($A81,数出表_Excel!$A$6:$T$150,COLUMN()/2+1,FALSE)=0,"",VLOOKUP($A81,数出表_Excel!$A$6:$T$150,COLUMN()/2+1,FALSE))),"")</f>
        <v/>
      </c>
      <c r="K81" s="76"/>
      <c r="L81" s="148" t="str">
        <f ca="1">IFERROR(VALUE(IF(VLOOKUP($A81,数出表_Excel!$A$6:$T$150,COLUMN()/2+1,FALSE)=0,"",VLOOKUP($A81,数出表_Excel!$A$6:$T$150,COLUMN()/2+1,FALSE))),"")</f>
        <v/>
      </c>
      <c r="M81" s="76"/>
      <c r="N81" s="148" t="str">
        <f ca="1">IFERROR(VALUE(IF(VLOOKUP($A81,数出表_Excel!$A$6:$T$150,COLUMN()/2+1,FALSE)=0,"",VLOOKUP($A81,数出表_Excel!$A$6:$T$150,COLUMN()/2+1,FALSE))),"")</f>
        <v/>
      </c>
      <c r="O81" s="76"/>
      <c r="P81" s="148" t="str">
        <f ca="1">IFERROR(VALUE(IF(VLOOKUP($A81,数出表_Excel!$A$6:$T$150,COLUMN()/2+1,FALSE)=0,"",VLOOKUP($A81,数出表_Excel!$A$6:$T$150,COLUMN()/2+1,FALSE))),"")</f>
        <v/>
      </c>
      <c r="Q81" s="76"/>
      <c r="R81" s="148" t="str">
        <f ca="1">IFERROR(VALUE(IF(VLOOKUP($A81,数出表_Excel!$A$6:$T$150,COLUMN()/2+1,FALSE)=0,"",VLOOKUP($A81,数出表_Excel!$A$6:$T$150,COLUMN()/2+1,FALSE))),"")</f>
        <v/>
      </c>
      <c r="S81" s="76"/>
      <c r="T81" s="148" t="str">
        <f ca="1">IFERROR(VALUE(IF(VLOOKUP($A81,数出表_Excel!$A$6:$T$150,COLUMN()/2+1,FALSE)=0,"",VLOOKUP($A81,数出表_Excel!$A$6:$T$150,COLUMN()/2+1,FALSE))),"")</f>
        <v/>
      </c>
      <c r="U81" s="76"/>
      <c r="V81" s="148" t="str">
        <f ca="1">IFERROR(VALUE(IF(VLOOKUP($A81,数出表_Excel!$A$6:$T$150,COLUMN()/2+1,FALSE)=0,"",VLOOKUP($A81,数出表_Excel!$A$6:$T$150,COLUMN()/2+1,FALSE))),"")</f>
        <v/>
      </c>
      <c r="W81" s="76"/>
      <c r="X81" s="148" t="str">
        <f ca="1">IFERROR(VALUE(IF(VLOOKUP($A81,数出表_Excel!$A$6:$T$150,COLUMN()/2+1,FALSE)=0,"",VLOOKUP($A81,数出表_Excel!$A$6:$T$150,COLUMN()/2+1,FALSE))),"")</f>
        <v/>
      </c>
      <c r="Y81" s="76"/>
      <c r="Z81" s="148" t="str">
        <f ca="1">IFERROR(VALUE(IF(VLOOKUP($A81,数出表_Excel!$A$6:$T$150,COLUMN()/2+1,FALSE)=0,"",VLOOKUP($A81,数出表_Excel!$A$6:$T$150,COLUMN()/2+1,FALSE))),"")</f>
        <v/>
      </c>
      <c r="AA81" s="76"/>
      <c r="AB81" s="148" t="str">
        <f ca="1">IFERROR(VALUE(IF(VLOOKUP($A81,数出表_Excel!$A$6:$T$150,COLUMN()/2+1,FALSE)=0,"",VLOOKUP($A81,数出表_Excel!$A$6:$T$150,COLUMN()/2+1,FALSE))),"")</f>
        <v/>
      </c>
      <c r="AC81" s="76"/>
      <c r="AD81" s="148" t="str">
        <f ca="1">IFERROR(VALUE(IF(VLOOKUP($A81,数出表_Excel!$A$6:$T$150,COLUMN()/2+1,FALSE)=0,"",VLOOKUP($A81,数出表_Excel!$A$6:$T$150,COLUMN()/2+1,FALSE))),"")</f>
        <v/>
      </c>
      <c r="AE81" s="76"/>
      <c r="AF81" s="148" t="str">
        <f ca="1">IFERROR(VALUE(IF(VLOOKUP($A81,数出表_Excel!$A$6:$T$150,COLUMN()/2+1,FALSE)=0,"",VLOOKUP($A81,数出表_Excel!$A$6:$T$150,COLUMN()/2+1,FALSE))),"")</f>
        <v/>
      </c>
      <c r="AG81" s="76"/>
      <c r="AH81" s="148" t="str">
        <f ca="1">IFERROR(VALUE(IF(VLOOKUP($A81,数出表_Excel!$A$6:$T$150,COLUMN()/2+1,FALSE)=0,"",VLOOKUP($A81,数出表_Excel!$A$6:$T$150,COLUMN()/2+1,FALSE))),"")</f>
        <v/>
      </c>
      <c r="AI81" s="76"/>
      <c r="AJ81" s="148" t="str">
        <f ca="1">IFERROR(VALUE(IF(VLOOKUP($A81,数出表_Excel!$A$6:$T$150,COLUMN()/2+1,FALSE)=0,"",VLOOKUP($A81,数出表_Excel!$A$6:$T$150,COLUMN()/2+1,FALSE))),"")</f>
        <v/>
      </c>
      <c r="AK81" s="76"/>
      <c r="AL81" s="63" t="e">
        <f ca="1">IF(A81&lt;&gt;"",
IF(VLOOKUP($A81,数出表_Excel!$A$6:$T$150,COLUMN()/2+1,FALSE)=0,"",VLOOKUP($A81,数出表_Excel!$A$6:$T$150,COLUMN()/2+1,FALSE)),"")</f>
        <v>#N/A</v>
      </c>
      <c r="AM81" s="91" t="e">
        <f>数出表_Excel!V81</f>
        <v>#N/A</v>
      </c>
      <c r="AN81" s="92" t="e">
        <f>数出表_Excel!W81</f>
        <v>#N/A</v>
      </c>
    </row>
    <row r="82" spans="1:40" ht="16.2" customHeight="1">
      <c r="A82" s="81" t="e">
        <f t="array" aca="1" ref="A82" ca="1">IF(OR(COUNTIF(A80,"*10002*"),COUNTIF(A80,"")),"",INDEX(貼り付け用!$A1:$A200,MATCH(A80,貼り付け用!$A1:$A200,0)+2,0))</f>
        <v>#N/A</v>
      </c>
      <c r="B82" s="182" t="str">
        <f ca="1">IFERROR(VALUE(IF(VLOOKUP($A82,数出表_Excel!$A$6:$T$150,COLUMN()/2+1,FALSE)=0,"",VLOOKUP($A82,数出表_Excel!$A$6:$T$150,COLUMN()/2+1,FALSE))),"")</f>
        <v/>
      </c>
      <c r="C82" s="75"/>
      <c r="D82" s="182" t="str">
        <f ca="1">IFERROR(VALUE(IF(VLOOKUP($A82,数出表_Excel!$A$6:$T$150,COLUMN()/2+1,FALSE)=0,"",VLOOKUP($A82,数出表_Excel!$A$6:$T$150,COLUMN()/2+1,FALSE))),"")</f>
        <v/>
      </c>
      <c r="E82" s="75"/>
      <c r="F82" s="182" t="str">
        <f ca="1">IFERROR(VALUE(IF(VLOOKUP($A82,数出表_Excel!$A$6:$T$150,COLUMN()/2+1,FALSE)=0,"",VLOOKUP($A82,数出表_Excel!$A$6:$T$150,COLUMN()/2+1,FALSE))),"")</f>
        <v/>
      </c>
      <c r="G82" s="75"/>
      <c r="H82" s="182" t="str">
        <f ca="1">IFERROR(VALUE(IF(VLOOKUP($A82,数出表_Excel!$A$6:$T$150,COLUMN()/2+1,FALSE)=0,"",VLOOKUP($A82,数出表_Excel!$A$6:$T$150,COLUMN()/2+1,FALSE))),"")</f>
        <v/>
      </c>
      <c r="I82" s="75"/>
      <c r="J82" s="182" t="str">
        <f ca="1">IFERROR(VALUE(IF(VLOOKUP($A82,数出表_Excel!$A$6:$T$150,COLUMN()/2+1,FALSE)=0,"",VLOOKUP($A82,数出表_Excel!$A$6:$T$150,COLUMN()/2+1,FALSE))),"")</f>
        <v/>
      </c>
      <c r="K82" s="75"/>
      <c r="L82" s="182" t="str">
        <f ca="1">IFERROR(VALUE(IF(VLOOKUP($A82,数出表_Excel!$A$6:$T$150,COLUMN()/2+1,FALSE)=0,"",VLOOKUP($A82,数出表_Excel!$A$6:$T$150,COLUMN()/2+1,FALSE))),"")</f>
        <v/>
      </c>
      <c r="M82" s="75"/>
      <c r="N82" s="182" t="str">
        <f ca="1">IFERROR(VALUE(IF(VLOOKUP($A82,数出表_Excel!$A$6:$T$150,COLUMN()/2+1,FALSE)=0,"",VLOOKUP($A82,数出表_Excel!$A$6:$T$150,COLUMN()/2+1,FALSE))),"")</f>
        <v/>
      </c>
      <c r="O82" s="75"/>
      <c r="P82" s="182" t="str">
        <f ca="1">IFERROR(VALUE(IF(VLOOKUP($A82,数出表_Excel!$A$6:$T$150,COLUMN()/2+1,FALSE)=0,"",VLOOKUP($A82,数出表_Excel!$A$6:$T$150,COLUMN()/2+1,FALSE))),"")</f>
        <v/>
      </c>
      <c r="Q82" s="75"/>
      <c r="R82" s="182" t="str">
        <f ca="1">IFERROR(VALUE(IF(VLOOKUP($A82,数出表_Excel!$A$6:$T$150,COLUMN()/2+1,FALSE)=0,"",VLOOKUP($A82,数出表_Excel!$A$6:$T$150,COLUMN()/2+1,FALSE))),"")</f>
        <v/>
      </c>
      <c r="S82" s="75"/>
      <c r="T82" s="182" t="str">
        <f ca="1">IFERROR(VALUE(IF(VLOOKUP($A82,数出表_Excel!$A$6:$T$150,COLUMN()/2+1,FALSE)=0,"",VLOOKUP($A82,数出表_Excel!$A$6:$T$150,COLUMN()/2+1,FALSE))),"")</f>
        <v/>
      </c>
      <c r="U82" s="75"/>
      <c r="V82" s="182" t="str">
        <f ca="1">IFERROR(VALUE(IF(VLOOKUP($A82,数出表_Excel!$A$6:$T$150,COLUMN()/2+1,FALSE)=0,"",VLOOKUP($A82,数出表_Excel!$A$6:$T$150,COLUMN()/2+1,FALSE))),"")</f>
        <v/>
      </c>
      <c r="W82" s="75"/>
      <c r="X82" s="182" t="str">
        <f ca="1">IFERROR(VALUE(IF(VLOOKUP($A82,数出表_Excel!$A$6:$T$150,COLUMN()/2+1,FALSE)=0,"",VLOOKUP($A82,数出表_Excel!$A$6:$T$150,COLUMN()/2+1,FALSE))),"")</f>
        <v/>
      </c>
      <c r="Y82" s="75"/>
      <c r="Z82" s="182" t="str">
        <f ca="1">IFERROR(VALUE(IF(VLOOKUP($A82,数出表_Excel!$A$6:$T$150,COLUMN()/2+1,FALSE)=0,"",VLOOKUP($A82,数出表_Excel!$A$6:$T$150,COLUMN()/2+1,FALSE))),"")</f>
        <v/>
      </c>
      <c r="AA82" s="75"/>
      <c r="AB82" s="182" t="str">
        <f ca="1">IFERROR(VALUE(IF(VLOOKUP($A82,数出表_Excel!$A$6:$T$150,COLUMN()/2+1,FALSE)=0,"",VLOOKUP($A82,数出表_Excel!$A$6:$T$150,COLUMN()/2+1,FALSE))),"")</f>
        <v/>
      </c>
      <c r="AC82" s="75"/>
      <c r="AD82" s="182" t="str">
        <f ca="1">IFERROR(VALUE(IF(VLOOKUP($A82,数出表_Excel!$A$6:$T$150,COLUMN()/2+1,FALSE)=0,"",VLOOKUP($A82,数出表_Excel!$A$6:$T$150,COLUMN()/2+1,FALSE))),"")</f>
        <v/>
      </c>
      <c r="AE82" s="75"/>
      <c r="AF82" s="182" t="str">
        <f ca="1">IFERROR(VALUE(IF(VLOOKUP($A82,数出表_Excel!$A$6:$T$150,COLUMN()/2+1,FALSE)=0,"",VLOOKUP($A82,数出表_Excel!$A$6:$T$150,COLUMN()/2+1,FALSE))),"")</f>
        <v/>
      </c>
      <c r="AG82" s="75"/>
      <c r="AH82" s="182" t="str">
        <f ca="1">IFERROR(VALUE(IF(VLOOKUP($A82,数出表_Excel!$A$6:$T$150,COLUMN()/2+1,FALSE)=0,"",VLOOKUP($A82,数出表_Excel!$A$6:$T$150,COLUMN()/2+1,FALSE))),"")</f>
        <v/>
      </c>
      <c r="AI82" s="75"/>
      <c r="AJ82" s="182" t="str">
        <f ca="1">IFERROR(VALUE(IF(VLOOKUP($A82,数出表_Excel!$A$6:$T$150,COLUMN()/2+1,FALSE)=0,"",VLOOKUP($A82,数出表_Excel!$A$6:$T$150,COLUMN()/2+1,FALSE))),"")</f>
        <v/>
      </c>
      <c r="AK82" s="75"/>
      <c r="AL82" s="61" t="e">
        <f ca="1">IF(A82&lt;&gt;"",
IF(VLOOKUP($A82,数出表_Excel!$A$6:$T$150,COLUMN()/2+1,FALSE)=0,"",VLOOKUP($A82,数出表_Excel!$A$6:$T$150,COLUMN()/2+1,FALSE)),"")</f>
        <v>#N/A</v>
      </c>
      <c r="AM82" s="89" t="e">
        <f>数出表_Excel!V82</f>
        <v>#N/A</v>
      </c>
      <c r="AN82" s="90" t="e">
        <f>数出表_Excel!W82</f>
        <v>#N/A</v>
      </c>
    </row>
    <row r="83" spans="1:40" ht="16.2" customHeight="1">
      <c r="A83" s="82" t="e">
        <f t="array" aca="1" ref="A83" ca="1">IF(OR(COUNTIF(A81,"*1000*"),COUNTIF(A81,"")),"",INDEX(貼り付け用!$A1:$A200,MATCH(A81,貼り付け用!$A1:$A200,0)+2,0))</f>
        <v>#N/A</v>
      </c>
      <c r="B83" s="148" t="str">
        <f ca="1">IFERROR(VALUE(IF(VLOOKUP($A83,数出表_Excel!$A$6:$T$150,COLUMN()/2+1,FALSE)=0,"",VLOOKUP($A83,数出表_Excel!$A$6:$T$150,COLUMN()/2+1,FALSE))),"")</f>
        <v/>
      </c>
      <c r="C83" s="76"/>
      <c r="D83" s="148" t="str">
        <f ca="1">IFERROR(VALUE(IF(VLOOKUP($A83,数出表_Excel!$A$6:$T$150,COLUMN()/2+1,FALSE)=0,"",VLOOKUP($A83,数出表_Excel!$A$6:$T$150,COLUMN()/2+1,FALSE))),"")</f>
        <v/>
      </c>
      <c r="E83" s="76"/>
      <c r="F83" s="148" t="str">
        <f ca="1">IFERROR(VALUE(IF(VLOOKUP($A83,数出表_Excel!$A$6:$T$150,COLUMN()/2+1,FALSE)=0,"",VLOOKUP($A83,数出表_Excel!$A$6:$T$150,COLUMN()/2+1,FALSE))),"")</f>
        <v/>
      </c>
      <c r="G83" s="76"/>
      <c r="H83" s="148" t="str">
        <f ca="1">IFERROR(VALUE(IF(VLOOKUP($A83,数出表_Excel!$A$6:$T$150,COLUMN()/2+1,FALSE)=0,"",VLOOKUP($A83,数出表_Excel!$A$6:$T$150,COLUMN()/2+1,FALSE))),"")</f>
        <v/>
      </c>
      <c r="I83" s="76"/>
      <c r="J83" s="148" t="str">
        <f ca="1">IFERROR(VALUE(IF(VLOOKUP($A83,数出表_Excel!$A$6:$T$150,COLUMN()/2+1,FALSE)=0,"",VLOOKUP($A83,数出表_Excel!$A$6:$T$150,COLUMN()/2+1,FALSE))),"")</f>
        <v/>
      </c>
      <c r="K83" s="76"/>
      <c r="L83" s="148" t="str">
        <f ca="1">IFERROR(VALUE(IF(VLOOKUP($A83,数出表_Excel!$A$6:$T$150,COLUMN()/2+1,FALSE)=0,"",VLOOKUP($A83,数出表_Excel!$A$6:$T$150,COLUMN()/2+1,FALSE))),"")</f>
        <v/>
      </c>
      <c r="M83" s="76"/>
      <c r="N83" s="148" t="str">
        <f ca="1">IFERROR(VALUE(IF(VLOOKUP($A83,数出表_Excel!$A$6:$T$150,COLUMN()/2+1,FALSE)=0,"",VLOOKUP($A83,数出表_Excel!$A$6:$T$150,COLUMN()/2+1,FALSE))),"")</f>
        <v/>
      </c>
      <c r="O83" s="76"/>
      <c r="P83" s="148" t="str">
        <f ca="1">IFERROR(VALUE(IF(VLOOKUP($A83,数出表_Excel!$A$6:$T$150,COLUMN()/2+1,FALSE)=0,"",VLOOKUP($A83,数出表_Excel!$A$6:$T$150,COLUMN()/2+1,FALSE))),"")</f>
        <v/>
      </c>
      <c r="Q83" s="76"/>
      <c r="R83" s="148" t="str">
        <f ca="1">IFERROR(VALUE(IF(VLOOKUP($A83,数出表_Excel!$A$6:$T$150,COLUMN()/2+1,FALSE)=0,"",VLOOKUP($A83,数出表_Excel!$A$6:$T$150,COLUMN()/2+1,FALSE))),"")</f>
        <v/>
      </c>
      <c r="S83" s="76"/>
      <c r="T83" s="148" t="str">
        <f ca="1">IFERROR(VALUE(IF(VLOOKUP($A83,数出表_Excel!$A$6:$T$150,COLUMN()/2+1,FALSE)=0,"",VLOOKUP($A83,数出表_Excel!$A$6:$T$150,COLUMN()/2+1,FALSE))),"")</f>
        <v/>
      </c>
      <c r="U83" s="76"/>
      <c r="V83" s="148" t="str">
        <f ca="1">IFERROR(VALUE(IF(VLOOKUP($A83,数出表_Excel!$A$6:$T$150,COLUMN()/2+1,FALSE)=0,"",VLOOKUP($A83,数出表_Excel!$A$6:$T$150,COLUMN()/2+1,FALSE))),"")</f>
        <v/>
      </c>
      <c r="W83" s="76"/>
      <c r="X83" s="148" t="str">
        <f ca="1">IFERROR(VALUE(IF(VLOOKUP($A83,数出表_Excel!$A$6:$T$150,COLUMN()/2+1,FALSE)=0,"",VLOOKUP($A83,数出表_Excel!$A$6:$T$150,COLUMN()/2+1,FALSE))),"")</f>
        <v/>
      </c>
      <c r="Y83" s="76"/>
      <c r="Z83" s="148" t="str">
        <f ca="1">IFERROR(VALUE(IF(VLOOKUP($A83,数出表_Excel!$A$6:$T$150,COLUMN()/2+1,FALSE)=0,"",VLOOKUP($A83,数出表_Excel!$A$6:$T$150,COLUMN()/2+1,FALSE))),"")</f>
        <v/>
      </c>
      <c r="AA83" s="76"/>
      <c r="AB83" s="148" t="str">
        <f ca="1">IFERROR(VALUE(IF(VLOOKUP($A83,数出表_Excel!$A$6:$T$150,COLUMN()/2+1,FALSE)=0,"",VLOOKUP($A83,数出表_Excel!$A$6:$T$150,COLUMN()/2+1,FALSE))),"")</f>
        <v/>
      </c>
      <c r="AC83" s="76"/>
      <c r="AD83" s="148" t="str">
        <f ca="1">IFERROR(VALUE(IF(VLOOKUP($A83,数出表_Excel!$A$6:$T$150,COLUMN()/2+1,FALSE)=0,"",VLOOKUP($A83,数出表_Excel!$A$6:$T$150,COLUMN()/2+1,FALSE))),"")</f>
        <v/>
      </c>
      <c r="AE83" s="76"/>
      <c r="AF83" s="148" t="str">
        <f ca="1">IFERROR(VALUE(IF(VLOOKUP($A83,数出表_Excel!$A$6:$T$150,COLUMN()/2+1,FALSE)=0,"",VLOOKUP($A83,数出表_Excel!$A$6:$T$150,COLUMN()/2+1,FALSE))),"")</f>
        <v/>
      </c>
      <c r="AG83" s="76"/>
      <c r="AH83" s="148" t="str">
        <f ca="1">IFERROR(VALUE(IF(VLOOKUP($A83,数出表_Excel!$A$6:$T$150,COLUMN()/2+1,FALSE)=0,"",VLOOKUP($A83,数出表_Excel!$A$6:$T$150,COLUMN()/2+1,FALSE))),"")</f>
        <v/>
      </c>
      <c r="AI83" s="76"/>
      <c r="AJ83" s="148" t="str">
        <f ca="1">IFERROR(VALUE(IF(VLOOKUP($A83,数出表_Excel!$A$6:$T$150,COLUMN()/2+1,FALSE)=0,"",VLOOKUP($A83,数出表_Excel!$A$6:$T$150,COLUMN()/2+1,FALSE))),"")</f>
        <v/>
      </c>
      <c r="AK83" s="76"/>
      <c r="AL83" s="63" t="e">
        <f ca="1">IF(A83&lt;&gt;"",
IF(VLOOKUP($A83,数出表_Excel!$A$6:$T$150,COLUMN()/2+1,FALSE)=0,"",VLOOKUP($A83,数出表_Excel!$A$6:$T$150,COLUMN()/2+1,FALSE)),"")</f>
        <v>#N/A</v>
      </c>
      <c r="AM83" s="91" t="e">
        <f>数出表_Excel!V83</f>
        <v>#N/A</v>
      </c>
      <c r="AN83" s="92" t="e">
        <f>数出表_Excel!W83</f>
        <v>#N/A</v>
      </c>
    </row>
    <row r="84" spans="1:40" ht="16.2" customHeight="1">
      <c r="A84" s="81" t="e">
        <f t="array" aca="1" ref="A84" ca="1">IF(OR(COUNTIF(A82,"*10002*"),COUNTIF(A82,"")),"",INDEX(貼り付け用!$A1:$A200,MATCH(A82,貼り付け用!$A1:$A200,0)+2,0))</f>
        <v>#N/A</v>
      </c>
      <c r="B84" s="182" t="str">
        <f ca="1">IFERROR(VALUE(IF(VLOOKUP($A84,数出表_Excel!$A$6:$T$150,COLUMN()/2+1,FALSE)=0,"",VLOOKUP($A84,数出表_Excel!$A$6:$T$150,COLUMN()/2+1,FALSE))),"")</f>
        <v/>
      </c>
      <c r="C84" s="75"/>
      <c r="D84" s="182" t="str">
        <f ca="1">IFERROR(VALUE(IF(VLOOKUP($A84,数出表_Excel!$A$6:$T$150,COLUMN()/2+1,FALSE)=0,"",VLOOKUP($A84,数出表_Excel!$A$6:$T$150,COLUMN()/2+1,FALSE))),"")</f>
        <v/>
      </c>
      <c r="E84" s="75"/>
      <c r="F84" s="182" t="str">
        <f ca="1">IFERROR(VALUE(IF(VLOOKUP($A84,数出表_Excel!$A$6:$T$150,COLUMN()/2+1,FALSE)=0,"",VLOOKUP($A84,数出表_Excel!$A$6:$T$150,COLUMN()/2+1,FALSE))),"")</f>
        <v/>
      </c>
      <c r="G84" s="75"/>
      <c r="H84" s="182" t="str">
        <f ca="1">IFERROR(VALUE(IF(VLOOKUP($A84,数出表_Excel!$A$6:$T$150,COLUMN()/2+1,FALSE)=0,"",VLOOKUP($A84,数出表_Excel!$A$6:$T$150,COLUMN()/2+1,FALSE))),"")</f>
        <v/>
      </c>
      <c r="I84" s="75"/>
      <c r="J84" s="182" t="str">
        <f ca="1">IFERROR(VALUE(IF(VLOOKUP($A84,数出表_Excel!$A$6:$T$150,COLUMN()/2+1,FALSE)=0,"",VLOOKUP($A84,数出表_Excel!$A$6:$T$150,COLUMN()/2+1,FALSE))),"")</f>
        <v/>
      </c>
      <c r="K84" s="75"/>
      <c r="L84" s="182" t="str">
        <f ca="1">IFERROR(VALUE(IF(VLOOKUP($A84,数出表_Excel!$A$6:$T$150,COLUMN()/2+1,FALSE)=0,"",VLOOKUP($A84,数出表_Excel!$A$6:$T$150,COLUMN()/2+1,FALSE))),"")</f>
        <v/>
      </c>
      <c r="M84" s="75"/>
      <c r="N84" s="182" t="str">
        <f ca="1">IFERROR(VALUE(IF(VLOOKUP($A84,数出表_Excel!$A$6:$T$150,COLUMN()/2+1,FALSE)=0,"",VLOOKUP($A84,数出表_Excel!$A$6:$T$150,COLUMN()/2+1,FALSE))),"")</f>
        <v/>
      </c>
      <c r="O84" s="75"/>
      <c r="P84" s="182" t="str">
        <f ca="1">IFERROR(VALUE(IF(VLOOKUP($A84,数出表_Excel!$A$6:$T$150,COLUMN()/2+1,FALSE)=0,"",VLOOKUP($A84,数出表_Excel!$A$6:$T$150,COLUMN()/2+1,FALSE))),"")</f>
        <v/>
      </c>
      <c r="Q84" s="75"/>
      <c r="R84" s="182" t="str">
        <f ca="1">IFERROR(VALUE(IF(VLOOKUP($A84,数出表_Excel!$A$6:$T$150,COLUMN()/2+1,FALSE)=0,"",VLOOKUP($A84,数出表_Excel!$A$6:$T$150,COLUMN()/2+1,FALSE))),"")</f>
        <v/>
      </c>
      <c r="S84" s="75"/>
      <c r="T84" s="182" t="str">
        <f ca="1">IFERROR(VALUE(IF(VLOOKUP($A84,数出表_Excel!$A$6:$T$150,COLUMN()/2+1,FALSE)=0,"",VLOOKUP($A84,数出表_Excel!$A$6:$T$150,COLUMN()/2+1,FALSE))),"")</f>
        <v/>
      </c>
      <c r="U84" s="75"/>
      <c r="V84" s="182" t="str">
        <f ca="1">IFERROR(VALUE(IF(VLOOKUP($A84,数出表_Excel!$A$6:$T$150,COLUMN()/2+1,FALSE)=0,"",VLOOKUP($A84,数出表_Excel!$A$6:$T$150,COLUMN()/2+1,FALSE))),"")</f>
        <v/>
      </c>
      <c r="W84" s="75"/>
      <c r="X84" s="182" t="str">
        <f ca="1">IFERROR(VALUE(IF(VLOOKUP($A84,数出表_Excel!$A$6:$T$150,COLUMN()/2+1,FALSE)=0,"",VLOOKUP($A84,数出表_Excel!$A$6:$T$150,COLUMN()/2+1,FALSE))),"")</f>
        <v/>
      </c>
      <c r="Y84" s="75"/>
      <c r="Z84" s="182" t="str">
        <f ca="1">IFERROR(VALUE(IF(VLOOKUP($A84,数出表_Excel!$A$6:$T$150,COLUMN()/2+1,FALSE)=0,"",VLOOKUP($A84,数出表_Excel!$A$6:$T$150,COLUMN()/2+1,FALSE))),"")</f>
        <v/>
      </c>
      <c r="AA84" s="75"/>
      <c r="AB84" s="182" t="str">
        <f ca="1">IFERROR(VALUE(IF(VLOOKUP($A84,数出表_Excel!$A$6:$T$150,COLUMN()/2+1,FALSE)=0,"",VLOOKUP($A84,数出表_Excel!$A$6:$T$150,COLUMN()/2+1,FALSE))),"")</f>
        <v/>
      </c>
      <c r="AC84" s="75"/>
      <c r="AD84" s="182" t="str">
        <f ca="1">IFERROR(VALUE(IF(VLOOKUP($A84,数出表_Excel!$A$6:$T$150,COLUMN()/2+1,FALSE)=0,"",VLOOKUP($A84,数出表_Excel!$A$6:$T$150,COLUMN()/2+1,FALSE))),"")</f>
        <v/>
      </c>
      <c r="AE84" s="75"/>
      <c r="AF84" s="182" t="str">
        <f ca="1">IFERROR(VALUE(IF(VLOOKUP($A84,数出表_Excel!$A$6:$T$150,COLUMN()/2+1,FALSE)=0,"",VLOOKUP($A84,数出表_Excel!$A$6:$T$150,COLUMN()/2+1,FALSE))),"")</f>
        <v/>
      </c>
      <c r="AG84" s="75"/>
      <c r="AH84" s="182" t="str">
        <f ca="1">IFERROR(VALUE(IF(VLOOKUP($A84,数出表_Excel!$A$6:$T$150,COLUMN()/2+1,FALSE)=0,"",VLOOKUP($A84,数出表_Excel!$A$6:$T$150,COLUMN()/2+1,FALSE))),"")</f>
        <v/>
      </c>
      <c r="AI84" s="75"/>
      <c r="AJ84" s="182" t="str">
        <f ca="1">IFERROR(VALUE(IF(VLOOKUP($A84,数出表_Excel!$A$6:$T$150,COLUMN()/2+1,FALSE)=0,"",VLOOKUP($A84,数出表_Excel!$A$6:$T$150,COLUMN()/2+1,FALSE))),"")</f>
        <v/>
      </c>
      <c r="AK84" s="75"/>
      <c r="AL84" s="61" t="e">
        <f ca="1">IF(A84&lt;&gt;"",
IF(VLOOKUP($A84,数出表_Excel!$A$6:$T$150,COLUMN()/2+1,FALSE)=0,"",VLOOKUP($A84,数出表_Excel!$A$6:$T$150,COLUMN()/2+1,FALSE)),"")</f>
        <v>#N/A</v>
      </c>
      <c r="AM84" s="89" t="e">
        <f>数出表_Excel!V84</f>
        <v>#N/A</v>
      </c>
      <c r="AN84" s="90" t="e">
        <f>数出表_Excel!W84</f>
        <v>#N/A</v>
      </c>
    </row>
    <row r="85" spans="1:40" ht="16.2" customHeight="1">
      <c r="A85" s="82" t="e">
        <f t="array" aca="1" ref="A85" ca="1">IF(OR(COUNTIF(A83,"*1000*"),COUNTIF(A83,"")),"",INDEX(貼り付け用!$A1:$A200,MATCH(A83,貼り付け用!$A1:$A200,0)+2,0))</f>
        <v>#N/A</v>
      </c>
      <c r="B85" s="148" t="str">
        <f ca="1">IFERROR(VALUE(IF(VLOOKUP($A85,数出表_Excel!$A$6:$T$150,COLUMN()/2+1,FALSE)=0,"",VLOOKUP($A85,数出表_Excel!$A$6:$T$150,COLUMN()/2+1,FALSE))),"")</f>
        <v/>
      </c>
      <c r="C85" s="76"/>
      <c r="D85" s="148" t="str">
        <f ca="1">IFERROR(VALUE(IF(VLOOKUP($A85,数出表_Excel!$A$6:$T$150,COLUMN()/2+1,FALSE)=0,"",VLOOKUP($A85,数出表_Excel!$A$6:$T$150,COLUMN()/2+1,FALSE))),"")</f>
        <v/>
      </c>
      <c r="E85" s="76"/>
      <c r="F85" s="148" t="str">
        <f ca="1">IFERROR(VALUE(IF(VLOOKUP($A85,数出表_Excel!$A$6:$T$150,COLUMN()/2+1,FALSE)=0,"",VLOOKUP($A85,数出表_Excel!$A$6:$T$150,COLUMN()/2+1,FALSE))),"")</f>
        <v/>
      </c>
      <c r="G85" s="76"/>
      <c r="H85" s="148" t="str">
        <f ca="1">IFERROR(VALUE(IF(VLOOKUP($A85,数出表_Excel!$A$6:$T$150,COLUMN()/2+1,FALSE)=0,"",VLOOKUP($A85,数出表_Excel!$A$6:$T$150,COLUMN()/2+1,FALSE))),"")</f>
        <v/>
      </c>
      <c r="I85" s="76"/>
      <c r="J85" s="148" t="str">
        <f ca="1">IFERROR(VALUE(IF(VLOOKUP($A85,数出表_Excel!$A$6:$T$150,COLUMN()/2+1,FALSE)=0,"",VLOOKUP($A85,数出表_Excel!$A$6:$T$150,COLUMN()/2+1,FALSE))),"")</f>
        <v/>
      </c>
      <c r="K85" s="76"/>
      <c r="L85" s="148" t="str">
        <f ca="1">IFERROR(VALUE(IF(VLOOKUP($A85,数出表_Excel!$A$6:$T$150,COLUMN()/2+1,FALSE)=0,"",VLOOKUP($A85,数出表_Excel!$A$6:$T$150,COLUMN()/2+1,FALSE))),"")</f>
        <v/>
      </c>
      <c r="M85" s="76"/>
      <c r="N85" s="148" t="str">
        <f ca="1">IFERROR(VALUE(IF(VLOOKUP($A85,数出表_Excel!$A$6:$T$150,COLUMN()/2+1,FALSE)=0,"",VLOOKUP($A85,数出表_Excel!$A$6:$T$150,COLUMN()/2+1,FALSE))),"")</f>
        <v/>
      </c>
      <c r="O85" s="76"/>
      <c r="P85" s="148" t="str">
        <f ca="1">IFERROR(VALUE(IF(VLOOKUP($A85,数出表_Excel!$A$6:$T$150,COLUMN()/2+1,FALSE)=0,"",VLOOKUP($A85,数出表_Excel!$A$6:$T$150,COLUMN()/2+1,FALSE))),"")</f>
        <v/>
      </c>
      <c r="Q85" s="76"/>
      <c r="R85" s="148" t="str">
        <f ca="1">IFERROR(VALUE(IF(VLOOKUP($A85,数出表_Excel!$A$6:$T$150,COLUMN()/2+1,FALSE)=0,"",VLOOKUP($A85,数出表_Excel!$A$6:$T$150,COLUMN()/2+1,FALSE))),"")</f>
        <v/>
      </c>
      <c r="S85" s="76"/>
      <c r="T85" s="148" t="str">
        <f ca="1">IFERROR(VALUE(IF(VLOOKUP($A85,数出表_Excel!$A$6:$T$150,COLUMN()/2+1,FALSE)=0,"",VLOOKUP($A85,数出表_Excel!$A$6:$T$150,COLUMN()/2+1,FALSE))),"")</f>
        <v/>
      </c>
      <c r="U85" s="76"/>
      <c r="V85" s="148" t="str">
        <f ca="1">IFERROR(VALUE(IF(VLOOKUP($A85,数出表_Excel!$A$6:$T$150,COLUMN()/2+1,FALSE)=0,"",VLOOKUP($A85,数出表_Excel!$A$6:$T$150,COLUMN()/2+1,FALSE))),"")</f>
        <v/>
      </c>
      <c r="W85" s="76"/>
      <c r="X85" s="148" t="str">
        <f ca="1">IFERROR(VALUE(IF(VLOOKUP($A85,数出表_Excel!$A$6:$T$150,COLUMN()/2+1,FALSE)=0,"",VLOOKUP($A85,数出表_Excel!$A$6:$T$150,COLUMN()/2+1,FALSE))),"")</f>
        <v/>
      </c>
      <c r="Y85" s="76"/>
      <c r="Z85" s="148" t="str">
        <f ca="1">IFERROR(VALUE(IF(VLOOKUP($A85,数出表_Excel!$A$6:$T$150,COLUMN()/2+1,FALSE)=0,"",VLOOKUP($A85,数出表_Excel!$A$6:$T$150,COLUMN()/2+1,FALSE))),"")</f>
        <v/>
      </c>
      <c r="AA85" s="76"/>
      <c r="AB85" s="148" t="str">
        <f ca="1">IFERROR(VALUE(IF(VLOOKUP($A85,数出表_Excel!$A$6:$T$150,COLUMN()/2+1,FALSE)=0,"",VLOOKUP($A85,数出表_Excel!$A$6:$T$150,COLUMN()/2+1,FALSE))),"")</f>
        <v/>
      </c>
      <c r="AC85" s="76"/>
      <c r="AD85" s="148" t="str">
        <f ca="1">IFERROR(VALUE(IF(VLOOKUP($A85,数出表_Excel!$A$6:$T$150,COLUMN()/2+1,FALSE)=0,"",VLOOKUP($A85,数出表_Excel!$A$6:$T$150,COLUMN()/2+1,FALSE))),"")</f>
        <v/>
      </c>
      <c r="AE85" s="76"/>
      <c r="AF85" s="148" t="str">
        <f ca="1">IFERROR(VALUE(IF(VLOOKUP($A85,数出表_Excel!$A$6:$T$150,COLUMN()/2+1,FALSE)=0,"",VLOOKUP($A85,数出表_Excel!$A$6:$T$150,COLUMN()/2+1,FALSE))),"")</f>
        <v/>
      </c>
      <c r="AG85" s="76"/>
      <c r="AH85" s="148" t="str">
        <f ca="1">IFERROR(VALUE(IF(VLOOKUP($A85,数出表_Excel!$A$6:$T$150,COLUMN()/2+1,FALSE)=0,"",VLOOKUP($A85,数出表_Excel!$A$6:$T$150,COLUMN()/2+1,FALSE))),"")</f>
        <v/>
      </c>
      <c r="AI85" s="76"/>
      <c r="AJ85" s="148" t="str">
        <f ca="1">IFERROR(VALUE(IF(VLOOKUP($A85,数出表_Excel!$A$6:$T$150,COLUMN()/2+1,FALSE)=0,"",VLOOKUP($A85,数出表_Excel!$A$6:$T$150,COLUMN()/2+1,FALSE))),"")</f>
        <v/>
      </c>
      <c r="AK85" s="76"/>
      <c r="AL85" s="63" t="e">
        <f ca="1">IF(A85&lt;&gt;"",
IF(VLOOKUP($A85,数出表_Excel!$A$6:$T$150,COLUMN()/2+1,FALSE)=0,"",VLOOKUP($A85,数出表_Excel!$A$6:$T$150,COLUMN()/2+1,FALSE)),"")</f>
        <v>#N/A</v>
      </c>
      <c r="AM85" s="91" t="e">
        <f>数出表_Excel!V85</f>
        <v>#N/A</v>
      </c>
      <c r="AN85" s="92" t="e">
        <f>数出表_Excel!W85</f>
        <v>#N/A</v>
      </c>
    </row>
    <row r="86" spans="1:40" ht="16.2" customHeight="1">
      <c r="A86" s="81" t="e">
        <f t="array" aca="1" ref="A86" ca="1">IF(OR(COUNTIF(A84,"*10002*"),COUNTIF(A84,"")),"",INDEX(貼り付け用!$A1:$A200,MATCH(A84,貼り付け用!$A1:$A200,0)+2,0))</f>
        <v>#N/A</v>
      </c>
      <c r="B86" s="182" t="str">
        <f ca="1">IFERROR(VALUE(IF(VLOOKUP($A86,数出表_Excel!$A$6:$T$150,COLUMN()/2+1,FALSE)=0,"",VLOOKUP($A86,数出表_Excel!$A$6:$T$150,COLUMN()/2+1,FALSE))),"")</f>
        <v/>
      </c>
      <c r="C86" s="75"/>
      <c r="D86" s="182" t="str">
        <f ca="1">IFERROR(VALUE(IF(VLOOKUP($A86,数出表_Excel!$A$6:$T$150,COLUMN()/2+1,FALSE)=0,"",VLOOKUP($A86,数出表_Excel!$A$6:$T$150,COLUMN()/2+1,FALSE))),"")</f>
        <v/>
      </c>
      <c r="E86" s="75"/>
      <c r="F86" s="182" t="str">
        <f ca="1">IFERROR(VALUE(IF(VLOOKUP($A86,数出表_Excel!$A$6:$T$150,COLUMN()/2+1,FALSE)=0,"",VLOOKUP($A86,数出表_Excel!$A$6:$T$150,COLUMN()/2+1,FALSE))),"")</f>
        <v/>
      </c>
      <c r="G86" s="75"/>
      <c r="H86" s="182" t="str">
        <f ca="1">IFERROR(VALUE(IF(VLOOKUP($A86,数出表_Excel!$A$6:$T$150,COLUMN()/2+1,FALSE)=0,"",VLOOKUP($A86,数出表_Excel!$A$6:$T$150,COLUMN()/2+1,FALSE))),"")</f>
        <v/>
      </c>
      <c r="I86" s="75"/>
      <c r="J86" s="182" t="str">
        <f ca="1">IFERROR(VALUE(IF(VLOOKUP($A86,数出表_Excel!$A$6:$T$150,COLUMN()/2+1,FALSE)=0,"",VLOOKUP($A86,数出表_Excel!$A$6:$T$150,COLUMN()/2+1,FALSE))),"")</f>
        <v/>
      </c>
      <c r="K86" s="75"/>
      <c r="L86" s="182" t="str">
        <f ca="1">IFERROR(VALUE(IF(VLOOKUP($A86,数出表_Excel!$A$6:$T$150,COLUMN()/2+1,FALSE)=0,"",VLOOKUP($A86,数出表_Excel!$A$6:$T$150,COLUMN()/2+1,FALSE))),"")</f>
        <v/>
      </c>
      <c r="M86" s="75"/>
      <c r="N86" s="182" t="str">
        <f ca="1">IFERROR(VALUE(IF(VLOOKUP($A86,数出表_Excel!$A$6:$T$150,COLUMN()/2+1,FALSE)=0,"",VLOOKUP($A86,数出表_Excel!$A$6:$T$150,COLUMN()/2+1,FALSE))),"")</f>
        <v/>
      </c>
      <c r="O86" s="75"/>
      <c r="P86" s="182" t="str">
        <f ca="1">IFERROR(VALUE(IF(VLOOKUP($A86,数出表_Excel!$A$6:$T$150,COLUMN()/2+1,FALSE)=0,"",VLOOKUP($A86,数出表_Excel!$A$6:$T$150,COLUMN()/2+1,FALSE))),"")</f>
        <v/>
      </c>
      <c r="Q86" s="75"/>
      <c r="R86" s="182" t="str">
        <f ca="1">IFERROR(VALUE(IF(VLOOKUP($A86,数出表_Excel!$A$6:$T$150,COLUMN()/2+1,FALSE)=0,"",VLOOKUP($A86,数出表_Excel!$A$6:$T$150,COLUMN()/2+1,FALSE))),"")</f>
        <v/>
      </c>
      <c r="S86" s="75"/>
      <c r="T86" s="182" t="str">
        <f ca="1">IFERROR(VALUE(IF(VLOOKUP($A86,数出表_Excel!$A$6:$T$150,COLUMN()/2+1,FALSE)=0,"",VLOOKUP($A86,数出表_Excel!$A$6:$T$150,COLUMN()/2+1,FALSE))),"")</f>
        <v/>
      </c>
      <c r="U86" s="75"/>
      <c r="V86" s="182" t="str">
        <f ca="1">IFERROR(VALUE(IF(VLOOKUP($A86,数出表_Excel!$A$6:$T$150,COLUMN()/2+1,FALSE)=0,"",VLOOKUP($A86,数出表_Excel!$A$6:$T$150,COLUMN()/2+1,FALSE))),"")</f>
        <v/>
      </c>
      <c r="W86" s="75"/>
      <c r="X86" s="182" t="str">
        <f ca="1">IFERROR(VALUE(IF(VLOOKUP($A86,数出表_Excel!$A$6:$T$150,COLUMN()/2+1,FALSE)=0,"",VLOOKUP($A86,数出表_Excel!$A$6:$T$150,COLUMN()/2+1,FALSE))),"")</f>
        <v/>
      </c>
      <c r="Y86" s="75"/>
      <c r="Z86" s="182" t="str">
        <f ca="1">IFERROR(VALUE(IF(VLOOKUP($A86,数出表_Excel!$A$6:$T$150,COLUMN()/2+1,FALSE)=0,"",VLOOKUP($A86,数出表_Excel!$A$6:$T$150,COLUMN()/2+1,FALSE))),"")</f>
        <v/>
      </c>
      <c r="AA86" s="75"/>
      <c r="AB86" s="182" t="str">
        <f ca="1">IFERROR(VALUE(IF(VLOOKUP($A86,数出表_Excel!$A$6:$T$150,COLUMN()/2+1,FALSE)=0,"",VLOOKUP($A86,数出表_Excel!$A$6:$T$150,COLUMN()/2+1,FALSE))),"")</f>
        <v/>
      </c>
      <c r="AC86" s="75"/>
      <c r="AD86" s="182" t="str">
        <f ca="1">IFERROR(VALUE(IF(VLOOKUP($A86,数出表_Excel!$A$6:$T$150,COLUMN()/2+1,FALSE)=0,"",VLOOKUP($A86,数出表_Excel!$A$6:$T$150,COLUMN()/2+1,FALSE))),"")</f>
        <v/>
      </c>
      <c r="AE86" s="75"/>
      <c r="AF86" s="182" t="str">
        <f ca="1">IFERROR(VALUE(IF(VLOOKUP($A86,数出表_Excel!$A$6:$T$150,COLUMN()/2+1,FALSE)=0,"",VLOOKUP($A86,数出表_Excel!$A$6:$T$150,COLUMN()/2+1,FALSE))),"")</f>
        <v/>
      </c>
      <c r="AG86" s="75"/>
      <c r="AH86" s="182" t="str">
        <f ca="1">IFERROR(VALUE(IF(VLOOKUP($A86,数出表_Excel!$A$6:$T$150,COLUMN()/2+1,FALSE)=0,"",VLOOKUP($A86,数出表_Excel!$A$6:$T$150,COLUMN()/2+1,FALSE))),"")</f>
        <v/>
      </c>
      <c r="AI86" s="75"/>
      <c r="AJ86" s="182" t="str">
        <f ca="1">IFERROR(VALUE(IF(VLOOKUP($A86,数出表_Excel!$A$6:$T$150,COLUMN()/2+1,FALSE)=0,"",VLOOKUP($A86,数出表_Excel!$A$6:$T$150,COLUMN()/2+1,FALSE))),"")</f>
        <v/>
      </c>
      <c r="AK86" s="75"/>
      <c r="AL86" s="61" t="e">
        <f ca="1">IF(A86&lt;&gt;"",
IF(VLOOKUP($A86,数出表_Excel!$A$6:$T$150,COLUMN()/2+1,FALSE)=0,"",VLOOKUP($A86,数出表_Excel!$A$6:$T$150,COLUMN()/2+1,FALSE)),"")</f>
        <v>#N/A</v>
      </c>
      <c r="AM86" s="89" t="e">
        <f>数出表_Excel!V86</f>
        <v>#N/A</v>
      </c>
      <c r="AN86" s="90" t="e">
        <f>数出表_Excel!W86</f>
        <v>#N/A</v>
      </c>
    </row>
    <row r="87" spans="1:40" ht="16.2" customHeight="1">
      <c r="A87" s="82" t="e">
        <f t="array" aca="1" ref="A87" ca="1">IF(OR(COUNTIF(A85,"*1000*"),COUNTIF(A85,"")),"",INDEX(貼り付け用!$A1:$A200,MATCH(A85,貼り付け用!$A1:$A200,0)+2,0))</f>
        <v>#N/A</v>
      </c>
      <c r="B87" s="148" t="str">
        <f ca="1">IFERROR(VALUE(IF(VLOOKUP($A87,数出表_Excel!$A$6:$T$150,COLUMN()/2+1,FALSE)=0,"",VLOOKUP($A87,数出表_Excel!$A$6:$T$150,COLUMN()/2+1,FALSE))),"")</f>
        <v/>
      </c>
      <c r="C87" s="76"/>
      <c r="D87" s="148" t="str">
        <f ca="1">IFERROR(VALUE(IF(VLOOKUP($A87,数出表_Excel!$A$6:$T$150,COLUMN()/2+1,FALSE)=0,"",VLOOKUP($A87,数出表_Excel!$A$6:$T$150,COLUMN()/2+1,FALSE))),"")</f>
        <v/>
      </c>
      <c r="E87" s="76"/>
      <c r="F87" s="148" t="str">
        <f ca="1">IFERROR(VALUE(IF(VLOOKUP($A87,数出表_Excel!$A$6:$T$150,COLUMN()/2+1,FALSE)=0,"",VLOOKUP($A87,数出表_Excel!$A$6:$T$150,COLUMN()/2+1,FALSE))),"")</f>
        <v/>
      </c>
      <c r="G87" s="76"/>
      <c r="H87" s="148" t="str">
        <f ca="1">IFERROR(VALUE(IF(VLOOKUP($A87,数出表_Excel!$A$6:$T$150,COLUMN()/2+1,FALSE)=0,"",VLOOKUP($A87,数出表_Excel!$A$6:$T$150,COLUMN()/2+1,FALSE))),"")</f>
        <v/>
      </c>
      <c r="I87" s="76"/>
      <c r="J87" s="148" t="str">
        <f ca="1">IFERROR(VALUE(IF(VLOOKUP($A87,数出表_Excel!$A$6:$T$150,COLUMN()/2+1,FALSE)=0,"",VLOOKUP($A87,数出表_Excel!$A$6:$T$150,COLUMN()/2+1,FALSE))),"")</f>
        <v/>
      </c>
      <c r="K87" s="76"/>
      <c r="L87" s="148" t="str">
        <f ca="1">IFERROR(VALUE(IF(VLOOKUP($A87,数出表_Excel!$A$6:$T$150,COLUMN()/2+1,FALSE)=0,"",VLOOKUP($A87,数出表_Excel!$A$6:$T$150,COLUMN()/2+1,FALSE))),"")</f>
        <v/>
      </c>
      <c r="M87" s="76"/>
      <c r="N87" s="148" t="str">
        <f ca="1">IFERROR(VALUE(IF(VLOOKUP($A87,数出表_Excel!$A$6:$T$150,COLUMN()/2+1,FALSE)=0,"",VLOOKUP($A87,数出表_Excel!$A$6:$T$150,COLUMN()/2+1,FALSE))),"")</f>
        <v/>
      </c>
      <c r="O87" s="76"/>
      <c r="P87" s="148" t="str">
        <f ca="1">IFERROR(VALUE(IF(VLOOKUP($A87,数出表_Excel!$A$6:$T$150,COLUMN()/2+1,FALSE)=0,"",VLOOKUP($A87,数出表_Excel!$A$6:$T$150,COLUMN()/2+1,FALSE))),"")</f>
        <v/>
      </c>
      <c r="Q87" s="76"/>
      <c r="R87" s="148" t="str">
        <f ca="1">IFERROR(VALUE(IF(VLOOKUP($A87,数出表_Excel!$A$6:$T$150,COLUMN()/2+1,FALSE)=0,"",VLOOKUP($A87,数出表_Excel!$A$6:$T$150,COLUMN()/2+1,FALSE))),"")</f>
        <v/>
      </c>
      <c r="S87" s="76"/>
      <c r="T87" s="148" t="str">
        <f ca="1">IFERROR(VALUE(IF(VLOOKUP($A87,数出表_Excel!$A$6:$T$150,COLUMN()/2+1,FALSE)=0,"",VLOOKUP($A87,数出表_Excel!$A$6:$T$150,COLUMN()/2+1,FALSE))),"")</f>
        <v/>
      </c>
      <c r="U87" s="76"/>
      <c r="V87" s="148" t="str">
        <f ca="1">IFERROR(VALUE(IF(VLOOKUP($A87,数出表_Excel!$A$6:$T$150,COLUMN()/2+1,FALSE)=0,"",VLOOKUP($A87,数出表_Excel!$A$6:$T$150,COLUMN()/2+1,FALSE))),"")</f>
        <v/>
      </c>
      <c r="W87" s="76"/>
      <c r="X87" s="148" t="str">
        <f ca="1">IFERROR(VALUE(IF(VLOOKUP($A87,数出表_Excel!$A$6:$T$150,COLUMN()/2+1,FALSE)=0,"",VLOOKUP($A87,数出表_Excel!$A$6:$T$150,COLUMN()/2+1,FALSE))),"")</f>
        <v/>
      </c>
      <c r="Y87" s="76"/>
      <c r="Z87" s="148" t="str">
        <f ca="1">IFERROR(VALUE(IF(VLOOKUP($A87,数出表_Excel!$A$6:$T$150,COLUMN()/2+1,FALSE)=0,"",VLOOKUP($A87,数出表_Excel!$A$6:$T$150,COLUMN()/2+1,FALSE))),"")</f>
        <v/>
      </c>
      <c r="AA87" s="76"/>
      <c r="AB87" s="148" t="str">
        <f ca="1">IFERROR(VALUE(IF(VLOOKUP($A87,数出表_Excel!$A$6:$T$150,COLUMN()/2+1,FALSE)=0,"",VLOOKUP($A87,数出表_Excel!$A$6:$T$150,COLUMN()/2+1,FALSE))),"")</f>
        <v/>
      </c>
      <c r="AC87" s="76"/>
      <c r="AD87" s="148" t="str">
        <f ca="1">IFERROR(VALUE(IF(VLOOKUP($A87,数出表_Excel!$A$6:$T$150,COLUMN()/2+1,FALSE)=0,"",VLOOKUP($A87,数出表_Excel!$A$6:$T$150,COLUMN()/2+1,FALSE))),"")</f>
        <v/>
      </c>
      <c r="AE87" s="76"/>
      <c r="AF87" s="148" t="str">
        <f ca="1">IFERROR(VALUE(IF(VLOOKUP($A87,数出表_Excel!$A$6:$T$150,COLUMN()/2+1,FALSE)=0,"",VLOOKUP($A87,数出表_Excel!$A$6:$T$150,COLUMN()/2+1,FALSE))),"")</f>
        <v/>
      </c>
      <c r="AG87" s="76"/>
      <c r="AH87" s="148" t="str">
        <f ca="1">IFERROR(VALUE(IF(VLOOKUP($A87,数出表_Excel!$A$6:$T$150,COLUMN()/2+1,FALSE)=0,"",VLOOKUP($A87,数出表_Excel!$A$6:$T$150,COLUMN()/2+1,FALSE))),"")</f>
        <v/>
      </c>
      <c r="AI87" s="76"/>
      <c r="AJ87" s="148" t="str">
        <f ca="1">IFERROR(VALUE(IF(VLOOKUP($A87,数出表_Excel!$A$6:$T$150,COLUMN()/2+1,FALSE)=0,"",VLOOKUP($A87,数出表_Excel!$A$6:$T$150,COLUMN()/2+1,FALSE))),"")</f>
        <v/>
      </c>
      <c r="AK87" s="76"/>
      <c r="AL87" s="63" t="e">
        <f ca="1">IF(A87&lt;&gt;"",
IF(VLOOKUP($A87,数出表_Excel!$A$6:$T$150,COLUMN()/2+1,FALSE)=0,"",VLOOKUP($A87,数出表_Excel!$A$6:$T$150,COLUMN()/2+1,FALSE)),"")</f>
        <v>#N/A</v>
      </c>
      <c r="AM87" s="91" t="e">
        <f>数出表_Excel!V87</f>
        <v>#N/A</v>
      </c>
      <c r="AN87" s="92" t="e">
        <f>数出表_Excel!W87</f>
        <v>#N/A</v>
      </c>
    </row>
    <row r="88" spans="1:40" ht="16.2" customHeight="1">
      <c r="A88" s="81" t="e">
        <f t="array" aca="1" ref="A88" ca="1">IF(OR(COUNTIF(A86,"*10002*"),COUNTIF(A86,"")),"",INDEX(貼り付け用!$A1:$A200,MATCH(A86,貼り付け用!$A1:$A200,0)+2,0))</f>
        <v>#N/A</v>
      </c>
      <c r="B88" s="182" t="str">
        <f ca="1">IFERROR(VALUE(IF(VLOOKUP($A88,数出表_Excel!$A$6:$T$150,COLUMN()/2+1,FALSE)=0,"",VLOOKUP($A88,数出表_Excel!$A$6:$T$150,COLUMN()/2+1,FALSE))),"")</f>
        <v/>
      </c>
      <c r="C88" s="75"/>
      <c r="D88" s="182" t="str">
        <f ca="1">IFERROR(VALUE(IF(VLOOKUP($A88,数出表_Excel!$A$6:$T$150,COLUMN()/2+1,FALSE)=0,"",VLOOKUP($A88,数出表_Excel!$A$6:$T$150,COLUMN()/2+1,FALSE))),"")</f>
        <v/>
      </c>
      <c r="E88" s="75"/>
      <c r="F88" s="182" t="str">
        <f ca="1">IFERROR(VALUE(IF(VLOOKUP($A88,数出表_Excel!$A$6:$T$150,COLUMN()/2+1,FALSE)=0,"",VLOOKUP($A88,数出表_Excel!$A$6:$T$150,COLUMN()/2+1,FALSE))),"")</f>
        <v/>
      </c>
      <c r="G88" s="75"/>
      <c r="H88" s="182" t="str">
        <f ca="1">IFERROR(VALUE(IF(VLOOKUP($A88,数出表_Excel!$A$6:$T$150,COLUMN()/2+1,FALSE)=0,"",VLOOKUP($A88,数出表_Excel!$A$6:$T$150,COLUMN()/2+1,FALSE))),"")</f>
        <v/>
      </c>
      <c r="I88" s="75"/>
      <c r="J88" s="182" t="str">
        <f ca="1">IFERROR(VALUE(IF(VLOOKUP($A88,数出表_Excel!$A$6:$T$150,COLUMN()/2+1,FALSE)=0,"",VLOOKUP($A88,数出表_Excel!$A$6:$T$150,COLUMN()/2+1,FALSE))),"")</f>
        <v/>
      </c>
      <c r="K88" s="75"/>
      <c r="L88" s="182" t="str">
        <f ca="1">IFERROR(VALUE(IF(VLOOKUP($A88,数出表_Excel!$A$6:$T$150,COLUMN()/2+1,FALSE)=0,"",VLOOKUP($A88,数出表_Excel!$A$6:$T$150,COLUMN()/2+1,FALSE))),"")</f>
        <v/>
      </c>
      <c r="M88" s="75"/>
      <c r="N88" s="182" t="str">
        <f ca="1">IFERROR(VALUE(IF(VLOOKUP($A88,数出表_Excel!$A$6:$T$150,COLUMN()/2+1,FALSE)=0,"",VLOOKUP($A88,数出表_Excel!$A$6:$T$150,COLUMN()/2+1,FALSE))),"")</f>
        <v/>
      </c>
      <c r="O88" s="75"/>
      <c r="P88" s="182" t="str">
        <f ca="1">IFERROR(VALUE(IF(VLOOKUP($A88,数出表_Excel!$A$6:$T$150,COLUMN()/2+1,FALSE)=0,"",VLOOKUP($A88,数出表_Excel!$A$6:$T$150,COLUMN()/2+1,FALSE))),"")</f>
        <v/>
      </c>
      <c r="Q88" s="75"/>
      <c r="R88" s="182" t="str">
        <f ca="1">IFERROR(VALUE(IF(VLOOKUP($A88,数出表_Excel!$A$6:$T$150,COLUMN()/2+1,FALSE)=0,"",VLOOKUP($A88,数出表_Excel!$A$6:$T$150,COLUMN()/2+1,FALSE))),"")</f>
        <v/>
      </c>
      <c r="S88" s="75"/>
      <c r="T88" s="182" t="str">
        <f ca="1">IFERROR(VALUE(IF(VLOOKUP($A88,数出表_Excel!$A$6:$T$150,COLUMN()/2+1,FALSE)=0,"",VLOOKUP($A88,数出表_Excel!$A$6:$T$150,COLUMN()/2+1,FALSE))),"")</f>
        <v/>
      </c>
      <c r="U88" s="75"/>
      <c r="V88" s="182" t="str">
        <f ca="1">IFERROR(VALUE(IF(VLOOKUP($A88,数出表_Excel!$A$6:$T$150,COLUMN()/2+1,FALSE)=0,"",VLOOKUP($A88,数出表_Excel!$A$6:$T$150,COLUMN()/2+1,FALSE))),"")</f>
        <v/>
      </c>
      <c r="W88" s="75"/>
      <c r="X88" s="182" t="str">
        <f ca="1">IFERROR(VALUE(IF(VLOOKUP($A88,数出表_Excel!$A$6:$T$150,COLUMN()/2+1,FALSE)=0,"",VLOOKUP($A88,数出表_Excel!$A$6:$T$150,COLUMN()/2+1,FALSE))),"")</f>
        <v/>
      </c>
      <c r="Y88" s="75"/>
      <c r="Z88" s="182" t="str">
        <f ca="1">IFERROR(VALUE(IF(VLOOKUP($A88,数出表_Excel!$A$6:$T$150,COLUMN()/2+1,FALSE)=0,"",VLOOKUP($A88,数出表_Excel!$A$6:$T$150,COLUMN()/2+1,FALSE))),"")</f>
        <v/>
      </c>
      <c r="AA88" s="75"/>
      <c r="AB88" s="182" t="str">
        <f ca="1">IFERROR(VALUE(IF(VLOOKUP($A88,数出表_Excel!$A$6:$T$150,COLUMN()/2+1,FALSE)=0,"",VLOOKUP($A88,数出表_Excel!$A$6:$T$150,COLUMN()/2+1,FALSE))),"")</f>
        <v/>
      </c>
      <c r="AC88" s="75"/>
      <c r="AD88" s="182" t="str">
        <f ca="1">IFERROR(VALUE(IF(VLOOKUP($A88,数出表_Excel!$A$6:$T$150,COLUMN()/2+1,FALSE)=0,"",VLOOKUP($A88,数出表_Excel!$A$6:$T$150,COLUMN()/2+1,FALSE))),"")</f>
        <v/>
      </c>
      <c r="AE88" s="75"/>
      <c r="AF88" s="182" t="str">
        <f ca="1">IFERROR(VALUE(IF(VLOOKUP($A88,数出表_Excel!$A$6:$T$150,COLUMN()/2+1,FALSE)=0,"",VLOOKUP($A88,数出表_Excel!$A$6:$T$150,COLUMN()/2+1,FALSE))),"")</f>
        <v/>
      </c>
      <c r="AG88" s="75"/>
      <c r="AH88" s="182" t="str">
        <f ca="1">IFERROR(VALUE(IF(VLOOKUP($A88,数出表_Excel!$A$6:$T$150,COLUMN()/2+1,FALSE)=0,"",VLOOKUP($A88,数出表_Excel!$A$6:$T$150,COLUMN()/2+1,FALSE))),"")</f>
        <v/>
      </c>
      <c r="AI88" s="75"/>
      <c r="AJ88" s="182" t="str">
        <f ca="1">IFERROR(VALUE(IF(VLOOKUP($A88,数出表_Excel!$A$6:$T$150,COLUMN()/2+1,FALSE)=0,"",VLOOKUP($A88,数出表_Excel!$A$6:$T$150,COLUMN()/2+1,FALSE))),"")</f>
        <v/>
      </c>
      <c r="AK88" s="75"/>
      <c r="AL88" s="61" t="e">
        <f ca="1">IF(A88&lt;&gt;"",
IF(VLOOKUP($A88,数出表_Excel!$A$6:$T$150,COLUMN()/2+1,FALSE)=0,"",VLOOKUP($A88,数出表_Excel!$A$6:$T$150,COLUMN()/2+1,FALSE)),"")</f>
        <v>#N/A</v>
      </c>
      <c r="AM88" s="89" t="e">
        <f>数出表_Excel!V88</f>
        <v>#N/A</v>
      </c>
      <c r="AN88" s="90" t="e">
        <f>数出表_Excel!W88</f>
        <v>#N/A</v>
      </c>
    </row>
    <row r="89" spans="1:40" ht="16.2" customHeight="1">
      <c r="A89" s="82" t="e">
        <f t="array" aca="1" ref="A89" ca="1">IF(OR(COUNTIF(A87,"*1000*"),COUNTIF(A87,"")),"",INDEX(貼り付け用!$A1:$A200,MATCH(A87,貼り付け用!$A1:$A200,0)+2,0))</f>
        <v>#N/A</v>
      </c>
      <c r="B89" s="148" t="str">
        <f ca="1">IFERROR(VALUE(IF(VLOOKUP($A89,数出表_Excel!$A$6:$T$150,COLUMN()/2+1,FALSE)=0,"",VLOOKUP($A89,数出表_Excel!$A$6:$T$150,COLUMN()/2+1,FALSE))),"")</f>
        <v/>
      </c>
      <c r="C89" s="76"/>
      <c r="D89" s="148" t="str">
        <f ca="1">IFERROR(VALUE(IF(VLOOKUP($A89,数出表_Excel!$A$6:$T$150,COLUMN()/2+1,FALSE)=0,"",VLOOKUP($A89,数出表_Excel!$A$6:$T$150,COLUMN()/2+1,FALSE))),"")</f>
        <v/>
      </c>
      <c r="E89" s="76"/>
      <c r="F89" s="148" t="str">
        <f ca="1">IFERROR(VALUE(IF(VLOOKUP($A89,数出表_Excel!$A$6:$T$150,COLUMN()/2+1,FALSE)=0,"",VLOOKUP($A89,数出表_Excel!$A$6:$T$150,COLUMN()/2+1,FALSE))),"")</f>
        <v/>
      </c>
      <c r="G89" s="76"/>
      <c r="H89" s="148" t="str">
        <f ca="1">IFERROR(VALUE(IF(VLOOKUP($A89,数出表_Excel!$A$6:$T$150,COLUMN()/2+1,FALSE)=0,"",VLOOKUP($A89,数出表_Excel!$A$6:$T$150,COLUMN()/2+1,FALSE))),"")</f>
        <v/>
      </c>
      <c r="I89" s="76"/>
      <c r="J89" s="148" t="str">
        <f ca="1">IFERROR(VALUE(IF(VLOOKUP($A89,数出表_Excel!$A$6:$T$150,COLUMN()/2+1,FALSE)=0,"",VLOOKUP($A89,数出表_Excel!$A$6:$T$150,COLUMN()/2+1,FALSE))),"")</f>
        <v/>
      </c>
      <c r="K89" s="76"/>
      <c r="L89" s="148" t="str">
        <f ca="1">IFERROR(VALUE(IF(VLOOKUP($A89,数出表_Excel!$A$6:$T$150,COLUMN()/2+1,FALSE)=0,"",VLOOKUP($A89,数出表_Excel!$A$6:$T$150,COLUMN()/2+1,FALSE))),"")</f>
        <v/>
      </c>
      <c r="M89" s="76"/>
      <c r="N89" s="148" t="str">
        <f ca="1">IFERROR(VALUE(IF(VLOOKUP($A89,数出表_Excel!$A$6:$T$150,COLUMN()/2+1,FALSE)=0,"",VLOOKUP($A89,数出表_Excel!$A$6:$T$150,COLUMN()/2+1,FALSE))),"")</f>
        <v/>
      </c>
      <c r="O89" s="76"/>
      <c r="P89" s="148" t="str">
        <f ca="1">IFERROR(VALUE(IF(VLOOKUP($A89,数出表_Excel!$A$6:$T$150,COLUMN()/2+1,FALSE)=0,"",VLOOKUP($A89,数出表_Excel!$A$6:$T$150,COLUMN()/2+1,FALSE))),"")</f>
        <v/>
      </c>
      <c r="Q89" s="76"/>
      <c r="R89" s="148" t="str">
        <f ca="1">IFERROR(VALUE(IF(VLOOKUP($A89,数出表_Excel!$A$6:$T$150,COLUMN()/2+1,FALSE)=0,"",VLOOKUP($A89,数出表_Excel!$A$6:$T$150,COLUMN()/2+1,FALSE))),"")</f>
        <v/>
      </c>
      <c r="S89" s="76"/>
      <c r="T89" s="148" t="str">
        <f ca="1">IFERROR(VALUE(IF(VLOOKUP($A89,数出表_Excel!$A$6:$T$150,COLUMN()/2+1,FALSE)=0,"",VLOOKUP($A89,数出表_Excel!$A$6:$T$150,COLUMN()/2+1,FALSE))),"")</f>
        <v/>
      </c>
      <c r="U89" s="76"/>
      <c r="V89" s="148" t="str">
        <f ca="1">IFERROR(VALUE(IF(VLOOKUP($A89,数出表_Excel!$A$6:$T$150,COLUMN()/2+1,FALSE)=0,"",VLOOKUP($A89,数出表_Excel!$A$6:$T$150,COLUMN()/2+1,FALSE))),"")</f>
        <v/>
      </c>
      <c r="W89" s="76"/>
      <c r="X89" s="148" t="str">
        <f ca="1">IFERROR(VALUE(IF(VLOOKUP($A89,数出表_Excel!$A$6:$T$150,COLUMN()/2+1,FALSE)=0,"",VLOOKUP($A89,数出表_Excel!$A$6:$T$150,COLUMN()/2+1,FALSE))),"")</f>
        <v/>
      </c>
      <c r="Y89" s="76"/>
      <c r="Z89" s="148" t="str">
        <f ca="1">IFERROR(VALUE(IF(VLOOKUP($A89,数出表_Excel!$A$6:$T$150,COLUMN()/2+1,FALSE)=0,"",VLOOKUP($A89,数出表_Excel!$A$6:$T$150,COLUMN()/2+1,FALSE))),"")</f>
        <v/>
      </c>
      <c r="AA89" s="76"/>
      <c r="AB89" s="148" t="str">
        <f ca="1">IFERROR(VALUE(IF(VLOOKUP($A89,数出表_Excel!$A$6:$T$150,COLUMN()/2+1,FALSE)=0,"",VLOOKUP($A89,数出表_Excel!$A$6:$T$150,COLUMN()/2+1,FALSE))),"")</f>
        <v/>
      </c>
      <c r="AC89" s="76"/>
      <c r="AD89" s="148" t="str">
        <f ca="1">IFERROR(VALUE(IF(VLOOKUP($A89,数出表_Excel!$A$6:$T$150,COLUMN()/2+1,FALSE)=0,"",VLOOKUP($A89,数出表_Excel!$A$6:$T$150,COLUMN()/2+1,FALSE))),"")</f>
        <v/>
      </c>
      <c r="AE89" s="76"/>
      <c r="AF89" s="148" t="str">
        <f ca="1">IFERROR(VALUE(IF(VLOOKUP($A89,数出表_Excel!$A$6:$T$150,COLUMN()/2+1,FALSE)=0,"",VLOOKUP($A89,数出表_Excel!$A$6:$T$150,COLUMN()/2+1,FALSE))),"")</f>
        <v/>
      </c>
      <c r="AG89" s="76"/>
      <c r="AH89" s="148" t="str">
        <f ca="1">IFERROR(VALUE(IF(VLOOKUP($A89,数出表_Excel!$A$6:$T$150,COLUMN()/2+1,FALSE)=0,"",VLOOKUP($A89,数出表_Excel!$A$6:$T$150,COLUMN()/2+1,FALSE))),"")</f>
        <v/>
      </c>
      <c r="AI89" s="76"/>
      <c r="AJ89" s="148" t="str">
        <f ca="1">IFERROR(VALUE(IF(VLOOKUP($A89,数出表_Excel!$A$6:$T$150,COLUMN()/2+1,FALSE)=0,"",VLOOKUP($A89,数出表_Excel!$A$6:$T$150,COLUMN()/2+1,FALSE))),"")</f>
        <v/>
      </c>
      <c r="AK89" s="76"/>
      <c r="AL89" s="63" t="e">
        <f ca="1">IF(A89&lt;&gt;"",
IF(VLOOKUP($A89,数出表_Excel!$A$6:$T$150,COLUMN()/2+1,FALSE)=0,"",VLOOKUP($A89,数出表_Excel!$A$6:$T$150,COLUMN()/2+1,FALSE)),"")</f>
        <v>#N/A</v>
      </c>
      <c r="AM89" s="91" t="e">
        <f>数出表_Excel!V89</f>
        <v>#N/A</v>
      </c>
      <c r="AN89" s="92" t="e">
        <f>数出表_Excel!W89</f>
        <v>#N/A</v>
      </c>
    </row>
    <row r="90" spans="1:40" ht="16.2" customHeight="1">
      <c r="A90" s="81" t="e">
        <f t="array" aca="1" ref="A90" ca="1">IF(OR(COUNTIF(A88,"*10002*"),COUNTIF(A88,"")),"",INDEX(貼り付け用!$A1:$A200,MATCH(A88,貼り付け用!$A1:$A200,0)+2,0))</f>
        <v>#N/A</v>
      </c>
      <c r="B90" s="182" t="str">
        <f ca="1">IFERROR(VALUE(IF(VLOOKUP($A90,数出表_Excel!$A$6:$T$150,COLUMN()/2+1,FALSE)=0,"",VLOOKUP($A90,数出表_Excel!$A$6:$T$150,COLUMN()/2+1,FALSE))),"")</f>
        <v/>
      </c>
      <c r="C90" s="75"/>
      <c r="D90" s="182" t="str">
        <f ca="1">IFERROR(VALUE(IF(VLOOKUP($A90,数出表_Excel!$A$6:$T$150,COLUMN()/2+1,FALSE)=0,"",VLOOKUP($A90,数出表_Excel!$A$6:$T$150,COLUMN()/2+1,FALSE))),"")</f>
        <v/>
      </c>
      <c r="E90" s="75"/>
      <c r="F90" s="182" t="str">
        <f ca="1">IFERROR(VALUE(IF(VLOOKUP($A90,数出表_Excel!$A$6:$T$150,COLUMN()/2+1,FALSE)=0,"",VLOOKUP($A90,数出表_Excel!$A$6:$T$150,COLUMN()/2+1,FALSE))),"")</f>
        <v/>
      </c>
      <c r="G90" s="75"/>
      <c r="H90" s="182" t="str">
        <f ca="1">IFERROR(VALUE(IF(VLOOKUP($A90,数出表_Excel!$A$6:$T$150,COLUMN()/2+1,FALSE)=0,"",VLOOKUP($A90,数出表_Excel!$A$6:$T$150,COLUMN()/2+1,FALSE))),"")</f>
        <v/>
      </c>
      <c r="I90" s="75"/>
      <c r="J90" s="182" t="str">
        <f ca="1">IFERROR(VALUE(IF(VLOOKUP($A90,数出表_Excel!$A$6:$T$150,COLUMN()/2+1,FALSE)=0,"",VLOOKUP($A90,数出表_Excel!$A$6:$T$150,COLUMN()/2+1,FALSE))),"")</f>
        <v/>
      </c>
      <c r="K90" s="75"/>
      <c r="L90" s="182" t="str">
        <f ca="1">IFERROR(VALUE(IF(VLOOKUP($A90,数出表_Excel!$A$6:$T$150,COLUMN()/2+1,FALSE)=0,"",VLOOKUP($A90,数出表_Excel!$A$6:$T$150,COLUMN()/2+1,FALSE))),"")</f>
        <v/>
      </c>
      <c r="M90" s="75"/>
      <c r="N90" s="182" t="str">
        <f ca="1">IFERROR(VALUE(IF(VLOOKUP($A90,数出表_Excel!$A$6:$T$150,COLUMN()/2+1,FALSE)=0,"",VLOOKUP($A90,数出表_Excel!$A$6:$T$150,COLUMN()/2+1,FALSE))),"")</f>
        <v/>
      </c>
      <c r="O90" s="75"/>
      <c r="P90" s="182" t="str">
        <f ca="1">IFERROR(VALUE(IF(VLOOKUP($A90,数出表_Excel!$A$6:$T$150,COLUMN()/2+1,FALSE)=0,"",VLOOKUP($A90,数出表_Excel!$A$6:$T$150,COLUMN()/2+1,FALSE))),"")</f>
        <v/>
      </c>
      <c r="Q90" s="75"/>
      <c r="R90" s="182" t="str">
        <f ca="1">IFERROR(VALUE(IF(VLOOKUP($A90,数出表_Excel!$A$6:$T$150,COLUMN()/2+1,FALSE)=0,"",VLOOKUP($A90,数出表_Excel!$A$6:$T$150,COLUMN()/2+1,FALSE))),"")</f>
        <v/>
      </c>
      <c r="S90" s="75"/>
      <c r="T90" s="182" t="str">
        <f ca="1">IFERROR(VALUE(IF(VLOOKUP($A90,数出表_Excel!$A$6:$T$150,COLUMN()/2+1,FALSE)=0,"",VLOOKUP($A90,数出表_Excel!$A$6:$T$150,COLUMN()/2+1,FALSE))),"")</f>
        <v/>
      </c>
      <c r="U90" s="75"/>
      <c r="V90" s="182" t="str">
        <f ca="1">IFERROR(VALUE(IF(VLOOKUP($A90,数出表_Excel!$A$6:$T$150,COLUMN()/2+1,FALSE)=0,"",VLOOKUP($A90,数出表_Excel!$A$6:$T$150,COLUMN()/2+1,FALSE))),"")</f>
        <v/>
      </c>
      <c r="W90" s="75"/>
      <c r="X90" s="182" t="str">
        <f ca="1">IFERROR(VALUE(IF(VLOOKUP($A90,数出表_Excel!$A$6:$T$150,COLUMN()/2+1,FALSE)=0,"",VLOOKUP($A90,数出表_Excel!$A$6:$T$150,COLUMN()/2+1,FALSE))),"")</f>
        <v/>
      </c>
      <c r="Y90" s="75"/>
      <c r="Z90" s="182" t="str">
        <f ca="1">IFERROR(VALUE(IF(VLOOKUP($A90,数出表_Excel!$A$6:$T$150,COLUMN()/2+1,FALSE)=0,"",VLOOKUP($A90,数出表_Excel!$A$6:$T$150,COLUMN()/2+1,FALSE))),"")</f>
        <v/>
      </c>
      <c r="AA90" s="75"/>
      <c r="AB90" s="182" t="str">
        <f ca="1">IFERROR(VALUE(IF(VLOOKUP($A90,数出表_Excel!$A$6:$T$150,COLUMN()/2+1,FALSE)=0,"",VLOOKUP($A90,数出表_Excel!$A$6:$T$150,COLUMN()/2+1,FALSE))),"")</f>
        <v/>
      </c>
      <c r="AC90" s="75"/>
      <c r="AD90" s="182" t="str">
        <f ca="1">IFERROR(VALUE(IF(VLOOKUP($A90,数出表_Excel!$A$6:$T$150,COLUMN()/2+1,FALSE)=0,"",VLOOKUP($A90,数出表_Excel!$A$6:$T$150,COLUMN()/2+1,FALSE))),"")</f>
        <v/>
      </c>
      <c r="AE90" s="75"/>
      <c r="AF90" s="182" t="str">
        <f ca="1">IFERROR(VALUE(IF(VLOOKUP($A90,数出表_Excel!$A$6:$T$150,COLUMN()/2+1,FALSE)=0,"",VLOOKUP($A90,数出表_Excel!$A$6:$T$150,COLUMN()/2+1,FALSE))),"")</f>
        <v/>
      </c>
      <c r="AG90" s="75"/>
      <c r="AH90" s="182" t="str">
        <f ca="1">IFERROR(VALUE(IF(VLOOKUP($A90,数出表_Excel!$A$6:$T$150,COLUMN()/2+1,FALSE)=0,"",VLOOKUP($A90,数出表_Excel!$A$6:$T$150,COLUMN()/2+1,FALSE))),"")</f>
        <v/>
      </c>
      <c r="AI90" s="75"/>
      <c r="AJ90" s="182" t="str">
        <f ca="1">IFERROR(VALUE(IF(VLOOKUP($A90,数出表_Excel!$A$6:$T$150,COLUMN()/2+1,FALSE)=0,"",VLOOKUP($A90,数出表_Excel!$A$6:$T$150,COLUMN()/2+1,FALSE))),"")</f>
        <v/>
      </c>
      <c r="AK90" s="75"/>
      <c r="AL90" s="61" t="e">
        <f ca="1">IF(A90&lt;&gt;"",
IF(VLOOKUP($A90,数出表_Excel!$A$6:$T$150,COLUMN()/2+1,FALSE)=0,"",VLOOKUP($A90,数出表_Excel!$A$6:$T$150,COLUMN()/2+1,FALSE)),"")</f>
        <v>#N/A</v>
      </c>
      <c r="AM90" s="89" t="e">
        <f>数出表_Excel!V90</f>
        <v>#N/A</v>
      </c>
      <c r="AN90" s="90" t="e">
        <f>数出表_Excel!W90</f>
        <v>#N/A</v>
      </c>
    </row>
    <row r="91" spans="1:40" ht="16.2" customHeight="1">
      <c r="A91" s="82" t="e">
        <f t="array" aca="1" ref="A91" ca="1">IF(OR(COUNTIF(A89,"*1000*"),COUNTIF(A89,"")),"",INDEX(貼り付け用!$A1:$A200,MATCH(A89,貼り付け用!$A1:$A200,0)+2,0))</f>
        <v>#N/A</v>
      </c>
      <c r="B91" s="148" t="str">
        <f ca="1">IFERROR(VALUE(IF(VLOOKUP($A91,数出表_Excel!$A$6:$T$150,COLUMN()/2+1,FALSE)=0,"",VLOOKUP($A91,数出表_Excel!$A$6:$T$150,COLUMN()/2+1,FALSE))),"")</f>
        <v/>
      </c>
      <c r="C91" s="76"/>
      <c r="D91" s="148" t="str">
        <f ca="1">IFERROR(VALUE(IF(VLOOKUP($A91,数出表_Excel!$A$6:$T$150,COLUMN()/2+1,FALSE)=0,"",VLOOKUP($A91,数出表_Excel!$A$6:$T$150,COLUMN()/2+1,FALSE))),"")</f>
        <v/>
      </c>
      <c r="E91" s="76"/>
      <c r="F91" s="148" t="str">
        <f ca="1">IFERROR(VALUE(IF(VLOOKUP($A91,数出表_Excel!$A$6:$T$150,COLUMN()/2+1,FALSE)=0,"",VLOOKUP($A91,数出表_Excel!$A$6:$T$150,COLUMN()/2+1,FALSE))),"")</f>
        <v/>
      </c>
      <c r="G91" s="76"/>
      <c r="H91" s="148" t="str">
        <f ca="1">IFERROR(VALUE(IF(VLOOKUP($A91,数出表_Excel!$A$6:$T$150,COLUMN()/2+1,FALSE)=0,"",VLOOKUP($A91,数出表_Excel!$A$6:$T$150,COLUMN()/2+1,FALSE))),"")</f>
        <v/>
      </c>
      <c r="I91" s="76"/>
      <c r="J91" s="148" t="str">
        <f ca="1">IFERROR(VALUE(IF(VLOOKUP($A91,数出表_Excel!$A$6:$T$150,COLUMN()/2+1,FALSE)=0,"",VLOOKUP($A91,数出表_Excel!$A$6:$T$150,COLUMN()/2+1,FALSE))),"")</f>
        <v/>
      </c>
      <c r="K91" s="76"/>
      <c r="L91" s="148" t="str">
        <f ca="1">IFERROR(VALUE(IF(VLOOKUP($A91,数出表_Excel!$A$6:$T$150,COLUMN()/2+1,FALSE)=0,"",VLOOKUP($A91,数出表_Excel!$A$6:$T$150,COLUMN()/2+1,FALSE))),"")</f>
        <v/>
      </c>
      <c r="M91" s="76"/>
      <c r="N91" s="148" t="str">
        <f ca="1">IFERROR(VALUE(IF(VLOOKUP($A91,数出表_Excel!$A$6:$T$150,COLUMN()/2+1,FALSE)=0,"",VLOOKUP($A91,数出表_Excel!$A$6:$T$150,COLUMN()/2+1,FALSE))),"")</f>
        <v/>
      </c>
      <c r="O91" s="76"/>
      <c r="P91" s="148" t="str">
        <f ca="1">IFERROR(VALUE(IF(VLOOKUP($A91,数出表_Excel!$A$6:$T$150,COLUMN()/2+1,FALSE)=0,"",VLOOKUP($A91,数出表_Excel!$A$6:$T$150,COLUMN()/2+1,FALSE))),"")</f>
        <v/>
      </c>
      <c r="Q91" s="76"/>
      <c r="R91" s="148" t="str">
        <f ca="1">IFERROR(VALUE(IF(VLOOKUP($A91,数出表_Excel!$A$6:$T$150,COLUMN()/2+1,FALSE)=0,"",VLOOKUP($A91,数出表_Excel!$A$6:$T$150,COLUMN()/2+1,FALSE))),"")</f>
        <v/>
      </c>
      <c r="S91" s="76"/>
      <c r="T91" s="148" t="str">
        <f ca="1">IFERROR(VALUE(IF(VLOOKUP($A91,数出表_Excel!$A$6:$T$150,COLUMN()/2+1,FALSE)=0,"",VLOOKUP($A91,数出表_Excel!$A$6:$T$150,COLUMN()/2+1,FALSE))),"")</f>
        <v/>
      </c>
      <c r="U91" s="76"/>
      <c r="V91" s="148" t="str">
        <f ca="1">IFERROR(VALUE(IF(VLOOKUP($A91,数出表_Excel!$A$6:$T$150,COLUMN()/2+1,FALSE)=0,"",VLOOKUP($A91,数出表_Excel!$A$6:$T$150,COLUMN()/2+1,FALSE))),"")</f>
        <v/>
      </c>
      <c r="W91" s="76"/>
      <c r="X91" s="148" t="str">
        <f ca="1">IFERROR(VALUE(IF(VLOOKUP($A91,数出表_Excel!$A$6:$T$150,COLUMN()/2+1,FALSE)=0,"",VLOOKUP($A91,数出表_Excel!$A$6:$T$150,COLUMN()/2+1,FALSE))),"")</f>
        <v/>
      </c>
      <c r="Y91" s="76"/>
      <c r="Z91" s="148" t="str">
        <f ca="1">IFERROR(VALUE(IF(VLOOKUP($A91,数出表_Excel!$A$6:$T$150,COLUMN()/2+1,FALSE)=0,"",VLOOKUP($A91,数出表_Excel!$A$6:$T$150,COLUMN()/2+1,FALSE))),"")</f>
        <v/>
      </c>
      <c r="AA91" s="76"/>
      <c r="AB91" s="148" t="str">
        <f ca="1">IFERROR(VALUE(IF(VLOOKUP($A91,数出表_Excel!$A$6:$T$150,COLUMN()/2+1,FALSE)=0,"",VLOOKUP($A91,数出表_Excel!$A$6:$T$150,COLUMN()/2+1,FALSE))),"")</f>
        <v/>
      </c>
      <c r="AC91" s="76"/>
      <c r="AD91" s="148" t="str">
        <f ca="1">IFERROR(VALUE(IF(VLOOKUP($A91,数出表_Excel!$A$6:$T$150,COLUMN()/2+1,FALSE)=0,"",VLOOKUP($A91,数出表_Excel!$A$6:$T$150,COLUMN()/2+1,FALSE))),"")</f>
        <v/>
      </c>
      <c r="AE91" s="76"/>
      <c r="AF91" s="148" t="str">
        <f ca="1">IFERROR(VALUE(IF(VLOOKUP($A91,数出表_Excel!$A$6:$T$150,COLUMN()/2+1,FALSE)=0,"",VLOOKUP($A91,数出表_Excel!$A$6:$T$150,COLUMN()/2+1,FALSE))),"")</f>
        <v/>
      </c>
      <c r="AG91" s="76"/>
      <c r="AH91" s="148" t="str">
        <f ca="1">IFERROR(VALUE(IF(VLOOKUP($A91,数出表_Excel!$A$6:$T$150,COLUMN()/2+1,FALSE)=0,"",VLOOKUP($A91,数出表_Excel!$A$6:$T$150,COLUMN()/2+1,FALSE))),"")</f>
        <v/>
      </c>
      <c r="AI91" s="76"/>
      <c r="AJ91" s="148" t="str">
        <f ca="1">IFERROR(VALUE(IF(VLOOKUP($A91,数出表_Excel!$A$6:$T$150,COLUMN()/2+1,FALSE)=0,"",VLOOKUP($A91,数出表_Excel!$A$6:$T$150,COLUMN()/2+1,FALSE))),"")</f>
        <v/>
      </c>
      <c r="AK91" s="76"/>
      <c r="AL91" s="63" t="e">
        <f ca="1">IF(A91&lt;&gt;"",
IF(VLOOKUP($A91,数出表_Excel!$A$6:$T$150,COLUMN()/2+1,FALSE)=0,"",VLOOKUP($A91,数出表_Excel!$A$6:$T$150,COLUMN()/2+1,FALSE)),"")</f>
        <v>#N/A</v>
      </c>
      <c r="AM91" s="91" t="e">
        <f>数出表_Excel!V91</f>
        <v>#N/A</v>
      </c>
      <c r="AN91" s="92" t="e">
        <f>数出表_Excel!W91</f>
        <v>#N/A</v>
      </c>
    </row>
    <row r="92" spans="1:40" ht="16.2" customHeight="1">
      <c r="A92" s="81" t="e">
        <f t="array" aca="1" ref="A92" ca="1">IF(OR(COUNTIF(A90,"*10002*"),COUNTIF(A90,"")),"",INDEX(貼り付け用!$A1:$A200,MATCH(A90,貼り付け用!$A1:$A200,0)+2,0))</f>
        <v>#N/A</v>
      </c>
      <c r="B92" s="182" t="str">
        <f ca="1">IFERROR(VALUE(IF(VLOOKUP($A92,数出表_Excel!$A$6:$T$150,COLUMN()/2+1,FALSE)=0,"",VLOOKUP($A92,数出表_Excel!$A$6:$T$150,COLUMN()/2+1,FALSE))),"")</f>
        <v/>
      </c>
      <c r="C92" s="75"/>
      <c r="D92" s="182" t="str">
        <f ca="1">IFERROR(VALUE(IF(VLOOKUP($A92,数出表_Excel!$A$6:$T$150,COLUMN()/2+1,FALSE)=0,"",VLOOKUP($A92,数出表_Excel!$A$6:$T$150,COLUMN()/2+1,FALSE))),"")</f>
        <v/>
      </c>
      <c r="E92" s="75"/>
      <c r="F92" s="182" t="str">
        <f ca="1">IFERROR(VALUE(IF(VLOOKUP($A92,数出表_Excel!$A$6:$T$150,COLUMN()/2+1,FALSE)=0,"",VLOOKUP($A92,数出表_Excel!$A$6:$T$150,COLUMN()/2+1,FALSE))),"")</f>
        <v/>
      </c>
      <c r="G92" s="75"/>
      <c r="H92" s="182" t="str">
        <f ca="1">IFERROR(VALUE(IF(VLOOKUP($A92,数出表_Excel!$A$6:$T$150,COLUMN()/2+1,FALSE)=0,"",VLOOKUP($A92,数出表_Excel!$A$6:$T$150,COLUMN()/2+1,FALSE))),"")</f>
        <v/>
      </c>
      <c r="I92" s="75"/>
      <c r="J92" s="182" t="str">
        <f ca="1">IFERROR(VALUE(IF(VLOOKUP($A92,数出表_Excel!$A$6:$T$150,COLUMN()/2+1,FALSE)=0,"",VLOOKUP($A92,数出表_Excel!$A$6:$T$150,COLUMN()/2+1,FALSE))),"")</f>
        <v/>
      </c>
      <c r="K92" s="75"/>
      <c r="L92" s="182" t="str">
        <f ca="1">IFERROR(VALUE(IF(VLOOKUP($A92,数出表_Excel!$A$6:$T$150,COLUMN()/2+1,FALSE)=0,"",VLOOKUP($A92,数出表_Excel!$A$6:$T$150,COLUMN()/2+1,FALSE))),"")</f>
        <v/>
      </c>
      <c r="M92" s="75"/>
      <c r="N92" s="182" t="str">
        <f ca="1">IFERROR(VALUE(IF(VLOOKUP($A92,数出表_Excel!$A$6:$T$150,COLUMN()/2+1,FALSE)=0,"",VLOOKUP($A92,数出表_Excel!$A$6:$T$150,COLUMN()/2+1,FALSE))),"")</f>
        <v/>
      </c>
      <c r="O92" s="75"/>
      <c r="P92" s="182" t="str">
        <f ca="1">IFERROR(VALUE(IF(VLOOKUP($A92,数出表_Excel!$A$6:$T$150,COLUMN()/2+1,FALSE)=0,"",VLOOKUP($A92,数出表_Excel!$A$6:$T$150,COLUMN()/2+1,FALSE))),"")</f>
        <v/>
      </c>
      <c r="Q92" s="75"/>
      <c r="R92" s="182" t="str">
        <f ca="1">IFERROR(VALUE(IF(VLOOKUP($A92,数出表_Excel!$A$6:$T$150,COLUMN()/2+1,FALSE)=0,"",VLOOKUP($A92,数出表_Excel!$A$6:$T$150,COLUMN()/2+1,FALSE))),"")</f>
        <v/>
      </c>
      <c r="S92" s="75"/>
      <c r="T92" s="182" t="str">
        <f ca="1">IFERROR(VALUE(IF(VLOOKUP($A92,数出表_Excel!$A$6:$T$150,COLUMN()/2+1,FALSE)=0,"",VLOOKUP($A92,数出表_Excel!$A$6:$T$150,COLUMN()/2+1,FALSE))),"")</f>
        <v/>
      </c>
      <c r="U92" s="75"/>
      <c r="V92" s="182" t="str">
        <f ca="1">IFERROR(VALUE(IF(VLOOKUP($A92,数出表_Excel!$A$6:$T$150,COLUMN()/2+1,FALSE)=0,"",VLOOKUP($A92,数出表_Excel!$A$6:$T$150,COLUMN()/2+1,FALSE))),"")</f>
        <v/>
      </c>
      <c r="W92" s="75"/>
      <c r="X92" s="182" t="str">
        <f ca="1">IFERROR(VALUE(IF(VLOOKUP($A92,数出表_Excel!$A$6:$T$150,COLUMN()/2+1,FALSE)=0,"",VLOOKUP($A92,数出表_Excel!$A$6:$T$150,COLUMN()/2+1,FALSE))),"")</f>
        <v/>
      </c>
      <c r="Y92" s="75"/>
      <c r="Z92" s="182" t="str">
        <f ca="1">IFERROR(VALUE(IF(VLOOKUP($A92,数出表_Excel!$A$6:$T$150,COLUMN()/2+1,FALSE)=0,"",VLOOKUP($A92,数出表_Excel!$A$6:$T$150,COLUMN()/2+1,FALSE))),"")</f>
        <v/>
      </c>
      <c r="AA92" s="75"/>
      <c r="AB92" s="182" t="str">
        <f ca="1">IFERROR(VALUE(IF(VLOOKUP($A92,数出表_Excel!$A$6:$T$150,COLUMN()/2+1,FALSE)=0,"",VLOOKUP($A92,数出表_Excel!$A$6:$T$150,COLUMN()/2+1,FALSE))),"")</f>
        <v/>
      </c>
      <c r="AC92" s="75"/>
      <c r="AD92" s="182" t="str">
        <f ca="1">IFERROR(VALUE(IF(VLOOKUP($A92,数出表_Excel!$A$6:$T$150,COLUMN()/2+1,FALSE)=0,"",VLOOKUP($A92,数出表_Excel!$A$6:$T$150,COLUMN()/2+1,FALSE))),"")</f>
        <v/>
      </c>
      <c r="AE92" s="75"/>
      <c r="AF92" s="182" t="str">
        <f ca="1">IFERROR(VALUE(IF(VLOOKUP($A92,数出表_Excel!$A$6:$T$150,COLUMN()/2+1,FALSE)=0,"",VLOOKUP($A92,数出表_Excel!$A$6:$T$150,COLUMN()/2+1,FALSE))),"")</f>
        <v/>
      </c>
      <c r="AG92" s="75"/>
      <c r="AH92" s="182" t="str">
        <f ca="1">IFERROR(VALUE(IF(VLOOKUP($A92,数出表_Excel!$A$6:$T$150,COLUMN()/2+1,FALSE)=0,"",VLOOKUP($A92,数出表_Excel!$A$6:$T$150,COLUMN()/2+1,FALSE))),"")</f>
        <v/>
      </c>
      <c r="AI92" s="75"/>
      <c r="AJ92" s="182" t="str">
        <f ca="1">IFERROR(VALUE(IF(VLOOKUP($A92,数出表_Excel!$A$6:$T$150,COLUMN()/2+1,FALSE)=0,"",VLOOKUP($A92,数出表_Excel!$A$6:$T$150,COLUMN()/2+1,FALSE))),"")</f>
        <v/>
      </c>
      <c r="AK92" s="75"/>
      <c r="AL92" s="61" t="e">
        <f ca="1">IF(A92&lt;&gt;"",
IF(VLOOKUP($A92,数出表_Excel!$A$6:$T$150,COLUMN()/2+1,FALSE)=0,"",VLOOKUP($A92,数出表_Excel!$A$6:$T$150,COLUMN()/2+1,FALSE)),"")</f>
        <v>#N/A</v>
      </c>
      <c r="AM92" s="89" t="e">
        <f>数出表_Excel!V92</f>
        <v>#N/A</v>
      </c>
      <c r="AN92" s="90" t="e">
        <f>数出表_Excel!W92</f>
        <v>#N/A</v>
      </c>
    </row>
    <row r="93" spans="1:40" ht="16.2" customHeight="1">
      <c r="A93" s="82" t="e">
        <f t="array" aca="1" ref="A93" ca="1">IF(OR(COUNTIF(A91,"*1000*"),COUNTIF(A91,"")),"",INDEX(貼り付け用!$A1:$A200,MATCH(A91,貼り付け用!$A1:$A200,0)+2,0))</f>
        <v>#N/A</v>
      </c>
      <c r="B93" s="148" t="str">
        <f ca="1">IFERROR(VALUE(IF(VLOOKUP($A93,数出表_Excel!$A$6:$T$150,COLUMN()/2+1,FALSE)=0,"",VLOOKUP($A93,数出表_Excel!$A$6:$T$150,COLUMN()/2+1,FALSE))),"")</f>
        <v/>
      </c>
      <c r="C93" s="76"/>
      <c r="D93" s="148" t="str">
        <f ca="1">IFERROR(VALUE(IF(VLOOKUP($A93,数出表_Excel!$A$6:$T$150,COLUMN()/2+1,FALSE)=0,"",VLOOKUP($A93,数出表_Excel!$A$6:$T$150,COLUMN()/2+1,FALSE))),"")</f>
        <v/>
      </c>
      <c r="E93" s="76"/>
      <c r="F93" s="148" t="str">
        <f ca="1">IFERROR(VALUE(IF(VLOOKUP($A93,数出表_Excel!$A$6:$T$150,COLUMN()/2+1,FALSE)=0,"",VLOOKUP($A93,数出表_Excel!$A$6:$T$150,COLUMN()/2+1,FALSE))),"")</f>
        <v/>
      </c>
      <c r="G93" s="76"/>
      <c r="H93" s="148" t="str">
        <f ca="1">IFERROR(VALUE(IF(VLOOKUP($A93,数出表_Excel!$A$6:$T$150,COLUMN()/2+1,FALSE)=0,"",VLOOKUP($A93,数出表_Excel!$A$6:$T$150,COLUMN()/2+1,FALSE))),"")</f>
        <v/>
      </c>
      <c r="I93" s="76"/>
      <c r="J93" s="148" t="str">
        <f ca="1">IFERROR(VALUE(IF(VLOOKUP($A93,数出表_Excel!$A$6:$T$150,COLUMN()/2+1,FALSE)=0,"",VLOOKUP($A93,数出表_Excel!$A$6:$T$150,COLUMN()/2+1,FALSE))),"")</f>
        <v/>
      </c>
      <c r="K93" s="76"/>
      <c r="L93" s="148" t="str">
        <f ca="1">IFERROR(VALUE(IF(VLOOKUP($A93,数出表_Excel!$A$6:$T$150,COLUMN()/2+1,FALSE)=0,"",VLOOKUP($A93,数出表_Excel!$A$6:$T$150,COLUMN()/2+1,FALSE))),"")</f>
        <v/>
      </c>
      <c r="M93" s="76"/>
      <c r="N93" s="148" t="str">
        <f ca="1">IFERROR(VALUE(IF(VLOOKUP($A93,数出表_Excel!$A$6:$T$150,COLUMN()/2+1,FALSE)=0,"",VLOOKUP($A93,数出表_Excel!$A$6:$T$150,COLUMN()/2+1,FALSE))),"")</f>
        <v/>
      </c>
      <c r="O93" s="76"/>
      <c r="P93" s="148" t="str">
        <f ca="1">IFERROR(VALUE(IF(VLOOKUP($A93,数出表_Excel!$A$6:$T$150,COLUMN()/2+1,FALSE)=0,"",VLOOKUP($A93,数出表_Excel!$A$6:$T$150,COLUMN()/2+1,FALSE))),"")</f>
        <v/>
      </c>
      <c r="Q93" s="76"/>
      <c r="R93" s="148" t="str">
        <f ca="1">IFERROR(VALUE(IF(VLOOKUP($A93,数出表_Excel!$A$6:$T$150,COLUMN()/2+1,FALSE)=0,"",VLOOKUP($A93,数出表_Excel!$A$6:$T$150,COLUMN()/2+1,FALSE))),"")</f>
        <v/>
      </c>
      <c r="S93" s="76"/>
      <c r="T93" s="148" t="str">
        <f ca="1">IFERROR(VALUE(IF(VLOOKUP($A93,数出表_Excel!$A$6:$T$150,COLUMN()/2+1,FALSE)=0,"",VLOOKUP($A93,数出表_Excel!$A$6:$T$150,COLUMN()/2+1,FALSE))),"")</f>
        <v/>
      </c>
      <c r="U93" s="76"/>
      <c r="V93" s="148" t="str">
        <f ca="1">IFERROR(VALUE(IF(VLOOKUP($A93,数出表_Excel!$A$6:$T$150,COLUMN()/2+1,FALSE)=0,"",VLOOKUP($A93,数出表_Excel!$A$6:$T$150,COLUMN()/2+1,FALSE))),"")</f>
        <v/>
      </c>
      <c r="W93" s="76"/>
      <c r="X93" s="148" t="str">
        <f ca="1">IFERROR(VALUE(IF(VLOOKUP($A93,数出表_Excel!$A$6:$T$150,COLUMN()/2+1,FALSE)=0,"",VLOOKUP($A93,数出表_Excel!$A$6:$T$150,COLUMN()/2+1,FALSE))),"")</f>
        <v/>
      </c>
      <c r="Y93" s="76"/>
      <c r="Z93" s="148" t="str">
        <f ca="1">IFERROR(VALUE(IF(VLOOKUP($A93,数出表_Excel!$A$6:$T$150,COLUMN()/2+1,FALSE)=0,"",VLOOKUP($A93,数出表_Excel!$A$6:$T$150,COLUMN()/2+1,FALSE))),"")</f>
        <v/>
      </c>
      <c r="AA93" s="76"/>
      <c r="AB93" s="148" t="str">
        <f ca="1">IFERROR(VALUE(IF(VLOOKUP($A93,数出表_Excel!$A$6:$T$150,COLUMN()/2+1,FALSE)=0,"",VLOOKUP($A93,数出表_Excel!$A$6:$T$150,COLUMN()/2+1,FALSE))),"")</f>
        <v/>
      </c>
      <c r="AC93" s="76"/>
      <c r="AD93" s="148" t="str">
        <f ca="1">IFERROR(VALUE(IF(VLOOKUP($A93,数出表_Excel!$A$6:$T$150,COLUMN()/2+1,FALSE)=0,"",VLOOKUP($A93,数出表_Excel!$A$6:$T$150,COLUMN()/2+1,FALSE))),"")</f>
        <v/>
      </c>
      <c r="AE93" s="76"/>
      <c r="AF93" s="148" t="str">
        <f ca="1">IFERROR(VALUE(IF(VLOOKUP($A93,数出表_Excel!$A$6:$T$150,COLUMN()/2+1,FALSE)=0,"",VLOOKUP($A93,数出表_Excel!$A$6:$T$150,COLUMN()/2+1,FALSE))),"")</f>
        <v/>
      </c>
      <c r="AG93" s="76"/>
      <c r="AH93" s="148" t="str">
        <f ca="1">IFERROR(VALUE(IF(VLOOKUP($A93,数出表_Excel!$A$6:$T$150,COLUMN()/2+1,FALSE)=0,"",VLOOKUP($A93,数出表_Excel!$A$6:$T$150,COLUMN()/2+1,FALSE))),"")</f>
        <v/>
      </c>
      <c r="AI93" s="76"/>
      <c r="AJ93" s="148" t="str">
        <f ca="1">IFERROR(VALUE(IF(VLOOKUP($A93,数出表_Excel!$A$6:$T$150,COLUMN()/2+1,FALSE)=0,"",VLOOKUP($A93,数出表_Excel!$A$6:$T$150,COLUMN()/2+1,FALSE))),"")</f>
        <v/>
      </c>
      <c r="AK93" s="76"/>
      <c r="AL93" s="63" t="e">
        <f ca="1">IF(A93&lt;&gt;"",
IF(VLOOKUP($A93,数出表_Excel!$A$6:$T$150,COLUMN()/2+1,FALSE)=0,"",VLOOKUP($A93,数出表_Excel!$A$6:$T$150,COLUMN()/2+1,FALSE)),"")</f>
        <v>#N/A</v>
      </c>
      <c r="AM93" s="91" t="e">
        <f>数出表_Excel!V93</f>
        <v>#N/A</v>
      </c>
      <c r="AN93" s="92" t="e">
        <f>数出表_Excel!W93</f>
        <v>#N/A</v>
      </c>
    </row>
    <row r="94" spans="1:40" ht="16.2" customHeight="1">
      <c r="A94" s="81" t="e">
        <f t="array" aca="1" ref="A94" ca="1">IF(OR(COUNTIF(A92,"*10002*"),COUNTIF(A92,"")),"",INDEX(貼り付け用!$A1:$A200,MATCH(A92,貼り付け用!$A1:$A200,0)+2,0))</f>
        <v>#N/A</v>
      </c>
      <c r="B94" s="182" t="str">
        <f ca="1">IFERROR(VALUE(IF(VLOOKUP($A94,数出表_Excel!$A$6:$T$150,COLUMN()/2+1,FALSE)=0,"",VLOOKUP($A94,数出表_Excel!$A$6:$T$150,COLUMN()/2+1,FALSE))),"")</f>
        <v/>
      </c>
      <c r="C94" s="75"/>
      <c r="D94" s="182" t="str">
        <f ca="1">IFERROR(VALUE(IF(VLOOKUP($A94,数出表_Excel!$A$6:$T$150,COLUMN()/2+1,FALSE)=0,"",VLOOKUP($A94,数出表_Excel!$A$6:$T$150,COLUMN()/2+1,FALSE))),"")</f>
        <v/>
      </c>
      <c r="E94" s="75"/>
      <c r="F94" s="182" t="str">
        <f ca="1">IFERROR(VALUE(IF(VLOOKUP($A94,数出表_Excel!$A$6:$T$150,COLUMN()/2+1,FALSE)=0,"",VLOOKUP($A94,数出表_Excel!$A$6:$T$150,COLUMN()/2+1,FALSE))),"")</f>
        <v/>
      </c>
      <c r="G94" s="75"/>
      <c r="H94" s="182" t="str">
        <f ca="1">IFERROR(VALUE(IF(VLOOKUP($A94,数出表_Excel!$A$6:$T$150,COLUMN()/2+1,FALSE)=0,"",VLOOKUP($A94,数出表_Excel!$A$6:$T$150,COLUMN()/2+1,FALSE))),"")</f>
        <v/>
      </c>
      <c r="I94" s="75"/>
      <c r="J94" s="182" t="str">
        <f ca="1">IFERROR(VALUE(IF(VLOOKUP($A94,数出表_Excel!$A$6:$T$150,COLUMN()/2+1,FALSE)=0,"",VLOOKUP($A94,数出表_Excel!$A$6:$T$150,COLUMN()/2+1,FALSE))),"")</f>
        <v/>
      </c>
      <c r="K94" s="75"/>
      <c r="L94" s="182" t="str">
        <f ca="1">IFERROR(VALUE(IF(VLOOKUP($A94,数出表_Excel!$A$6:$T$150,COLUMN()/2+1,FALSE)=0,"",VLOOKUP($A94,数出表_Excel!$A$6:$T$150,COLUMN()/2+1,FALSE))),"")</f>
        <v/>
      </c>
      <c r="M94" s="75"/>
      <c r="N94" s="182" t="str">
        <f ca="1">IFERROR(VALUE(IF(VLOOKUP($A94,数出表_Excel!$A$6:$T$150,COLUMN()/2+1,FALSE)=0,"",VLOOKUP($A94,数出表_Excel!$A$6:$T$150,COLUMN()/2+1,FALSE))),"")</f>
        <v/>
      </c>
      <c r="O94" s="75"/>
      <c r="P94" s="182" t="str">
        <f ca="1">IFERROR(VALUE(IF(VLOOKUP($A94,数出表_Excel!$A$6:$T$150,COLUMN()/2+1,FALSE)=0,"",VLOOKUP($A94,数出表_Excel!$A$6:$T$150,COLUMN()/2+1,FALSE))),"")</f>
        <v/>
      </c>
      <c r="Q94" s="75"/>
      <c r="R94" s="182" t="str">
        <f ca="1">IFERROR(VALUE(IF(VLOOKUP($A94,数出表_Excel!$A$6:$T$150,COLUMN()/2+1,FALSE)=0,"",VLOOKUP($A94,数出表_Excel!$A$6:$T$150,COLUMN()/2+1,FALSE))),"")</f>
        <v/>
      </c>
      <c r="S94" s="75"/>
      <c r="T94" s="182" t="str">
        <f ca="1">IFERROR(VALUE(IF(VLOOKUP($A94,数出表_Excel!$A$6:$T$150,COLUMN()/2+1,FALSE)=0,"",VLOOKUP($A94,数出表_Excel!$A$6:$T$150,COLUMN()/2+1,FALSE))),"")</f>
        <v/>
      </c>
      <c r="U94" s="75"/>
      <c r="V94" s="182" t="str">
        <f ca="1">IFERROR(VALUE(IF(VLOOKUP($A94,数出表_Excel!$A$6:$T$150,COLUMN()/2+1,FALSE)=0,"",VLOOKUP($A94,数出表_Excel!$A$6:$T$150,COLUMN()/2+1,FALSE))),"")</f>
        <v/>
      </c>
      <c r="W94" s="75"/>
      <c r="X94" s="182" t="str">
        <f ca="1">IFERROR(VALUE(IF(VLOOKUP($A94,数出表_Excel!$A$6:$T$150,COLUMN()/2+1,FALSE)=0,"",VLOOKUP($A94,数出表_Excel!$A$6:$T$150,COLUMN()/2+1,FALSE))),"")</f>
        <v/>
      </c>
      <c r="Y94" s="75"/>
      <c r="Z94" s="182" t="str">
        <f ca="1">IFERROR(VALUE(IF(VLOOKUP($A94,数出表_Excel!$A$6:$T$150,COLUMN()/2+1,FALSE)=0,"",VLOOKUP($A94,数出表_Excel!$A$6:$T$150,COLUMN()/2+1,FALSE))),"")</f>
        <v/>
      </c>
      <c r="AA94" s="75"/>
      <c r="AB94" s="182" t="str">
        <f ca="1">IFERROR(VALUE(IF(VLOOKUP($A94,数出表_Excel!$A$6:$T$150,COLUMN()/2+1,FALSE)=0,"",VLOOKUP($A94,数出表_Excel!$A$6:$T$150,COLUMN()/2+1,FALSE))),"")</f>
        <v/>
      </c>
      <c r="AC94" s="75"/>
      <c r="AD94" s="182" t="str">
        <f ca="1">IFERROR(VALUE(IF(VLOOKUP($A94,数出表_Excel!$A$6:$T$150,COLUMN()/2+1,FALSE)=0,"",VLOOKUP($A94,数出表_Excel!$A$6:$T$150,COLUMN()/2+1,FALSE))),"")</f>
        <v/>
      </c>
      <c r="AE94" s="75"/>
      <c r="AF94" s="182" t="str">
        <f ca="1">IFERROR(VALUE(IF(VLOOKUP($A94,数出表_Excel!$A$6:$T$150,COLUMN()/2+1,FALSE)=0,"",VLOOKUP($A94,数出表_Excel!$A$6:$T$150,COLUMN()/2+1,FALSE))),"")</f>
        <v/>
      </c>
      <c r="AG94" s="75"/>
      <c r="AH94" s="182" t="str">
        <f ca="1">IFERROR(VALUE(IF(VLOOKUP($A94,数出表_Excel!$A$6:$T$150,COLUMN()/2+1,FALSE)=0,"",VLOOKUP($A94,数出表_Excel!$A$6:$T$150,COLUMN()/2+1,FALSE))),"")</f>
        <v/>
      </c>
      <c r="AI94" s="75"/>
      <c r="AJ94" s="182" t="str">
        <f ca="1">IFERROR(VALUE(IF(VLOOKUP($A94,数出表_Excel!$A$6:$T$150,COLUMN()/2+1,FALSE)=0,"",VLOOKUP($A94,数出表_Excel!$A$6:$T$150,COLUMN()/2+1,FALSE))),"")</f>
        <v/>
      </c>
      <c r="AK94" s="75"/>
      <c r="AL94" s="61" t="e">
        <f ca="1">IF(A94&lt;&gt;"",
IF(VLOOKUP($A94,数出表_Excel!$A$6:$T$150,COLUMN()/2+1,FALSE)=0,"",VLOOKUP($A94,数出表_Excel!$A$6:$T$150,COLUMN()/2+1,FALSE)),"")</f>
        <v>#N/A</v>
      </c>
      <c r="AM94" s="89" t="e">
        <f>数出表_Excel!V94</f>
        <v>#N/A</v>
      </c>
      <c r="AN94" s="90" t="e">
        <f>数出表_Excel!W94</f>
        <v>#N/A</v>
      </c>
    </row>
    <row r="95" spans="1:40" ht="16.2" customHeight="1">
      <c r="A95" s="82" t="e">
        <f t="array" aca="1" ref="A95" ca="1">IF(OR(COUNTIF(A93,"*1000*"),COUNTIF(A93,"")),"",INDEX(貼り付け用!$A1:$A200,MATCH(A93,貼り付け用!$A1:$A200,0)+2,0))</f>
        <v>#N/A</v>
      </c>
      <c r="B95" s="148" t="str">
        <f ca="1">IFERROR(VALUE(IF(VLOOKUP($A95,数出表_Excel!$A$6:$T$150,COLUMN()/2+1,FALSE)=0,"",VLOOKUP($A95,数出表_Excel!$A$6:$T$150,COLUMN()/2+1,FALSE))),"")</f>
        <v/>
      </c>
      <c r="C95" s="76"/>
      <c r="D95" s="148" t="str">
        <f ca="1">IFERROR(VALUE(IF(VLOOKUP($A95,数出表_Excel!$A$6:$T$150,COLUMN()/2+1,FALSE)=0,"",VLOOKUP($A95,数出表_Excel!$A$6:$T$150,COLUMN()/2+1,FALSE))),"")</f>
        <v/>
      </c>
      <c r="E95" s="76"/>
      <c r="F95" s="148" t="str">
        <f ca="1">IFERROR(VALUE(IF(VLOOKUP($A95,数出表_Excel!$A$6:$T$150,COLUMN()/2+1,FALSE)=0,"",VLOOKUP($A95,数出表_Excel!$A$6:$T$150,COLUMN()/2+1,FALSE))),"")</f>
        <v/>
      </c>
      <c r="G95" s="76"/>
      <c r="H95" s="148" t="str">
        <f ca="1">IFERROR(VALUE(IF(VLOOKUP($A95,数出表_Excel!$A$6:$T$150,COLUMN()/2+1,FALSE)=0,"",VLOOKUP($A95,数出表_Excel!$A$6:$T$150,COLUMN()/2+1,FALSE))),"")</f>
        <v/>
      </c>
      <c r="I95" s="76"/>
      <c r="J95" s="148" t="str">
        <f ca="1">IFERROR(VALUE(IF(VLOOKUP($A95,数出表_Excel!$A$6:$T$150,COLUMN()/2+1,FALSE)=0,"",VLOOKUP($A95,数出表_Excel!$A$6:$T$150,COLUMN()/2+1,FALSE))),"")</f>
        <v/>
      </c>
      <c r="K95" s="76"/>
      <c r="L95" s="148" t="str">
        <f ca="1">IFERROR(VALUE(IF(VLOOKUP($A95,数出表_Excel!$A$6:$T$150,COLUMN()/2+1,FALSE)=0,"",VLOOKUP($A95,数出表_Excel!$A$6:$T$150,COLUMN()/2+1,FALSE))),"")</f>
        <v/>
      </c>
      <c r="M95" s="76"/>
      <c r="N95" s="148" t="str">
        <f ca="1">IFERROR(VALUE(IF(VLOOKUP($A95,数出表_Excel!$A$6:$T$150,COLUMN()/2+1,FALSE)=0,"",VLOOKUP($A95,数出表_Excel!$A$6:$T$150,COLUMN()/2+1,FALSE))),"")</f>
        <v/>
      </c>
      <c r="O95" s="76"/>
      <c r="P95" s="148" t="str">
        <f ca="1">IFERROR(VALUE(IF(VLOOKUP($A95,数出表_Excel!$A$6:$T$150,COLUMN()/2+1,FALSE)=0,"",VLOOKUP($A95,数出表_Excel!$A$6:$T$150,COLUMN()/2+1,FALSE))),"")</f>
        <v/>
      </c>
      <c r="Q95" s="76"/>
      <c r="R95" s="148" t="str">
        <f ca="1">IFERROR(VALUE(IF(VLOOKUP($A95,数出表_Excel!$A$6:$T$150,COLUMN()/2+1,FALSE)=0,"",VLOOKUP($A95,数出表_Excel!$A$6:$T$150,COLUMN()/2+1,FALSE))),"")</f>
        <v/>
      </c>
      <c r="S95" s="76"/>
      <c r="T95" s="148" t="str">
        <f ca="1">IFERROR(VALUE(IF(VLOOKUP($A95,数出表_Excel!$A$6:$T$150,COLUMN()/2+1,FALSE)=0,"",VLOOKUP($A95,数出表_Excel!$A$6:$T$150,COLUMN()/2+1,FALSE))),"")</f>
        <v/>
      </c>
      <c r="U95" s="76"/>
      <c r="V95" s="148" t="str">
        <f ca="1">IFERROR(VALUE(IF(VLOOKUP($A95,数出表_Excel!$A$6:$T$150,COLUMN()/2+1,FALSE)=0,"",VLOOKUP($A95,数出表_Excel!$A$6:$T$150,COLUMN()/2+1,FALSE))),"")</f>
        <v/>
      </c>
      <c r="W95" s="76"/>
      <c r="X95" s="148" t="str">
        <f ca="1">IFERROR(VALUE(IF(VLOOKUP($A95,数出表_Excel!$A$6:$T$150,COLUMN()/2+1,FALSE)=0,"",VLOOKUP($A95,数出表_Excel!$A$6:$T$150,COLUMN()/2+1,FALSE))),"")</f>
        <v/>
      </c>
      <c r="Y95" s="76"/>
      <c r="Z95" s="148" t="str">
        <f ca="1">IFERROR(VALUE(IF(VLOOKUP($A95,数出表_Excel!$A$6:$T$150,COLUMN()/2+1,FALSE)=0,"",VLOOKUP($A95,数出表_Excel!$A$6:$T$150,COLUMN()/2+1,FALSE))),"")</f>
        <v/>
      </c>
      <c r="AA95" s="76"/>
      <c r="AB95" s="148" t="str">
        <f ca="1">IFERROR(VALUE(IF(VLOOKUP($A95,数出表_Excel!$A$6:$T$150,COLUMN()/2+1,FALSE)=0,"",VLOOKUP($A95,数出表_Excel!$A$6:$T$150,COLUMN()/2+1,FALSE))),"")</f>
        <v/>
      </c>
      <c r="AC95" s="76"/>
      <c r="AD95" s="148" t="str">
        <f ca="1">IFERROR(VALUE(IF(VLOOKUP($A95,数出表_Excel!$A$6:$T$150,COLUMN()/2+1,FALSE)=0,"",VLOOKUP($A95,数出表_Excel!$A$6:$T$150,COLUMN()/2+1,FALSE))),"")</f>
        <v/>
      </c>
      <c r="AE95" s="76"/>
      <c r="AF95" s="148" t="str">
        <f ca="1">IFERROR(VALUE(IF(VLOOKUP($A95,数出表_Excel!$A$6:$T$150,COLUMN()/2+1,FALSE)=0,"",VLOOKUP($A95,数出表_Excel!$A$6:$T$150,COLUMN()/2+1,FALSE))),"")</f>
        <v/>
      </c>
      <c r="AG95" s="76"/>
      <c r="AH95" s="148" t="str">
        <f ca="1">IFERROR(VALUE(IF(VLOOKUP($A95,数出表_Excel!$A$6:$T$150,COLUMN()/2+1,FALSE)=0,"",VLOOKUP($A95,数出表_Excel!$A$6:$T$150,COLUMN()/2+1,FALSE))),"")</f>
        <v/>
      </c>
      <c r="AI95" s="76"/>
      <c r="AJ95" s="148" t="str">
        <f ca="1">IFERROR(VALUE(IF(VLOOKUP($A95,数出表_Excel!$A$6:$T$150,COLUMN()/2+1,FALSE)=0,"",VLOOKUP($A95,数出表_Excel!$A$6:$T$150,COLUMN()/2+1,FALSE))),"")</f>
        <v/>
      </c>
      <c r="AK95" s="76"/>
      <c r="AL95" s="63" t="e">
        <f ca="1">IF(A95&lt;&gt;"",
IF(VLOOKUP($A95,数出表_Excel!$A$6:$T$150,COLUMN()/2+1,FALSE)=0,"",VLOOKUP($A95,数出表_Excel!$A$6:$T$150,COLUMN()/2+1,FALSE)),"")</f>
        <v>#N/A</v>
      </c>
      <c r="AM95" s="91" t="e">
        <f>数出表_Excel!V95</f>
        <v>#N/A</v>
      </c>
      <c r="AN95" s="92" t="e">
        <f>数出表_Excel!W95</f>
        <v>#N/A</v>
      </c>
    </row>
    <row r="96" spans="1:40" ht="16.2" customHeight="1">
      <c r="A96" s="81" t="e">
        <f t="array" aca="1" ref="A96" ca="1">IF(OR(COUNTIF(A94,"*10002*"),COUNTIF(A94,"")),"",INDEX(貼り付け用!$A1:$A200,MATCH(A94,貼り付け用!$A1:$A200,0)+2,0))</f>
        <v>#N/A</v>
      </c>
      <c r="B96" s="182" t="str">
        <f ca="1">IFERROR(VALUE(IF(VLOOKUP($A96,数出表_Excel!$A$6:$T$150,COLUMN()/2+1,FALSE)=0,"",VLOOKUP($A96,数出表_Excel!$A$6:$T$150,COLUMN()/2+1,FALSE))),"")</f>
        <v/>
      </c>
      <c r="C96" s="75"/>
      <c r="D96" s="182" t="str">
        <f ca="1">IFERROR(VALUE(IF(VLOOKUP($A96,数出表_Excel!$A$6:$T$150,COLUMN()/2+1,FALSE)=0,"",VLOOKUP($A96,数出表_Excel!$A$6:$T$150,COLUMN()/2+1,FALSE))),"")</f>
        <v/>
      </c>
      <c r="E96" s="75"/>
      <c r="F96" s="182" t="str">
        <f ca="1">IFERROR(VALUE(IF(VLOOKUP($A96,数出表_Excel!$A$6:$T$150,COLUMN()/2+1,FALSE)=0,"",VLOOKUP($A96,数出表_Excel!$A$6:$T$150,COLUMN()/2+1,FALSE))),"")</f>
        <v/>
      </c>
      <c r="G96" s="75"/>
      <c r="H96" s="182" t="str">
        <f ca="1">IFERROR(VALUE(IF(VLOOKUP($A96,数出表_Excel!$A$6:$T$150,COLUMN()/2+1,FALSE)=0,"",VLOOKUP($A96,数出表_Excel!$A$6:$T$150,COLUMN()/2+1,FALSE))),"")</f>
        <v/>
      </c>
      <c r="I96" s="75"/>
      <c r="J96" s="182" t="str">
        <f ca="1">IFERROR(VALUE(IF(VLOOKUP($A96,数出表_Excel!$A$6:$T$150,COLUMN()/2+1,FALSE)=0,"",VLOOKUP($A96,数出表_Excel!$A$6:$T$150,COLUMN()/2+1,FALSE))),"")</f>
        <v/>
      </c>
      <c r="K96" s="75"/>
      <c r="L96" s="182" t="str">
        <f ca="1">IFERROR(VALUE(IF(VLOOKUP($A96,数出表_Excel!$A$6:$T$150,COLUMN()/2+1,FALSE)=0,"",VLOOKUP($A96,数出表_Excel!$A$6:$T$150,COLUMN()/2+1,FALSE))),"")</f>
        <v/>
      </c>
      <c r="M96" s="75"/>
      <c r="N96" s="182" t="str">
        <f ca="1">IFERROR(VALUE(IF(VLOOKUP($A96,数出表_Excel!$A$6:$T$150,COLUMN()/2+1,FALSE)=0,"",VLOOKUP($A96,数出表_Excel!$A$6:$T$150,COLUMN()/2+1,FALSE))),"")</f>
        <v/>
      </c>
      <c r="O96" s="75"/>
      <c r="P96" s="182" t="str">
        <f ca="1">IFERROR(VALUE(IF(VLOOKUP($A96,数出表_Excel!$A$6:$T$150,COLUMN()/2+1,FALSE)=0,"",VLOOKUP($A96,数出表_Excel!$A$6:$T$150,COLUMN()/2+1,FALSE))),"")</f>
        <v/>
      </c>
      <c r="Q96" s="75"/>
      <c r="R96" s="182" t="str">
        <f ca="1">IFERROR(VALUE(IF(VLOOKUP($A96,数出表_Excel!$A$6:$T$150,COLUMN()/2+1,FALSE)=0,"",VLOOKUP($A96,数出表_Excel!$A$6:$T$150,COLUMN()/2+1,FALSE))),"")</f>
        <v/>
      </c>
      <c r="S96" s="75"/>
      <c r="T96" s="182" t="str">
        <f ca="1">IFERROR(VALUE(IF(VLOOKUP($A96,数出表_Excel!$A$6:$T$150,COLUMN()/2+1,FALSE)=0,"",VLOOKUP($A96,数出表_Excel!$A$6:$T$150,COLUMN()/2+1,FALSE))),"")</f>
        <v/>
      </c>
      <c r="U96" s="75"/>
      <c r="V96" s="182" t="str">
        <f ca="1">IFERROR(VALUE(IF(VLOOKUP($A96,数出表_Excel!$A$6:$T$150,COLUMN()/2+1,FALSE)=0,"",VLOOKUP($A96,数出表_Excel!$A$6:$T$150,COLUMN()/2+1,FALSE))),"")</f>
        <v/>
      </c>
      <c r="W96" s="75"/>
      <c r="X96" s="182" t="str">
        <f ca="1">IFERROR(VALUE(IF(VLOOKUP($A96,数出表_Excel!$A$6:$T$150,COLUMN()/2+1,FALSE)=0,"",VLOOKUP($A96,数出表_Excel!$A$6:$T$150,COLUMN()/2+1,FALSE))),"")</f>
        <v/>
      </c>
      <c r="Y96" s="75"/>
      <c r="Z96" s="182" t="str">
        <f ca="1">IFERROR(VALUE(IF(VLOOKUP($A96,数出表_Excel!$A$6:$T$150,COLUMN()/2+1,FALSE)=0,"",VLOOKUP($A96,数出表_Excel!$A$6:$T$150,COLUMN()/2+1,FALSE))),"")</f>
        <v/>
      </c>
      <c r="AA96" s="75"/>
      <c r="AB96" s="182" t="str">
        <f ca="1">IFERROR(VALUE(IF(VLOOKUP($A96,数出表_Excel!$A$6:$T$150,COLUMN()/2+1,FALSE)=0,"",VLOOKUP($A96,数出表_Excel!$A$6:$T$150,COLUMN()/2+1,FALSE))),"")</f>
        <v/>
      </c>
      <c r="AC96" s="75"/>
      <c r="AD96" s="182" t="str">
        <f ca="1">IFERROR(VALUE(IF(VLOOKUP($A96,数出表_Excel!$A$6:$T$150,COLUMN()/2+1,FALSE)=0,"",VLOOKUP($A96,数出表_Excel!$A$6:$T$150,COLUMN()/2+1,FALSE))),"")</f>
        <v/>
      </c>
      <c r="AE96" s="75"/>
      <c r="AF96" s="182" t="str">
        <f ca="1">IFERROR(VALUE(IF(VLOOKUP($A96,数出表_Excel!$A$6:$T$150,COLUMN()/2+1,FALSE)=0,"",VLOOKUP($A96,数出表_Excel!$A$6:$T$150,COLUMN()/2+1,FALSE))),"")</f>
        <v/>
      </c>
      <c r="AG96" s="75"/>
      <c r="AH96" s="182" t="str">
        <f ca="1">IFERROR(VALUE(IF(VLOOKUP($A96,数出表_Excel!$A$6:$T$150,COLUMN()/2+1,FALSE)=0,"",VLOOKUP($A96,数出表_Excel!$A$6:$T$150,COLUMN()/2+1,FALSE))),"")</f>
        <v/>
      </c>
      <c r="AI96" s="75"/>
      <c r="AJ96" s="182" t="str">
        <f ca="1">IFERROR(VALUE(IF(VLOOKUP($A96,数出表_Excel!$A$6:$T$150,COLUMN()/2+1,FALSE)=0,"",VLOOKUP($A96,数出表_Excel!$A$6:$T$150,COLUMN()/2+1,FALSE))),"")</f>
        <v/>
      </c>
      <c r="AK96" s="75"/>
      <c r="AL96" s="61" t="e">
        <f ca="1">IF(A96&lt;&gt;"",
IF(VLOOKUP($A96,数出表_Excel!$A$6:$T$150,COLUMN()/2+1,FALSE)=0,"",VLOOKUP($A96,数出表_Excel!$A$6:$T$150,COLUMN()/2+1,FALSE)),"")</f>
        <v>#N/A</v>
      </c>
      <c r="AM96" s="89" t="e">
        <f>数出表_Excel!V96</f>
        <v>#N/A</v>
      </c>
      <c r="AN96" s="90" t="e">
        <f>数出表_Excel!W96</f>
        <v>#N/A</v>
      </c>
    </row>
    <row r="97" spans="1:40" ht="16.2" customHeight="1">
      <c r="A97" s="82" t="e">
        <f t="array" aca="1" ref="A97" ca="1">IF(OR(COUNTIF(A95,"*1000*"),COUNTIF(A95,"")),"",INDEX(貼り付け用!$A1:$A200,MATCH(A95,貼り付け用!$A1:$A200,0)+2,0))</f>
        <v>#N/A</v>
      </c>
      <c r="B97" s="148" t="str">
        <f ca="1">IFERROR(VALUE(IF(VLOOKUP($A97,数出表_Excel!$A$6:$T$150,COLUMN()/2+1,FALSE)=0,"",VLOOKUP($A97,数出表_Excel!$A$6:$T$150,COLUMN()/2+1,FALSE))),"")</f>
        <v/>
      </c>
      <c r="C97" s="76"/>
      <c r="D97" s="148" t="str">
        <f ca="1">IFERROR(VALUE(IF(VLOOKUP($A97,数出表_Excel!$A$6:$T$150,COLUMN()/2+1,FALSE)=0,"",VLOOKUP($A97,数出表_Excel!$A$6:$T$150,COLUMN()/2+1,FALSE))),"")</f>
        <v/>
      </c>
      <c r="E97" s="76"/>
      <c r="F97" s="148" t="str">
        <f ca="1">IFERROR(VALUE(IF(VLOOKUP($A97,数出表_Excel!$A$6:$T$150,COLUMN()/2+1,FALSE)=0,"",VLOOKUP($A97,数出表_Excel!$A$6:$T$150,COLUMN()/2+1,FALSE))),"")</f>
        <v/>
      </c>
      <c r="G97" s="76"/>
      <c r="H97" s="148" t="str">
        <f ca="1">IFERROR(VALUE(IF(VLOOKUP($A97,数出表_Excel!$A$6:$T$150,COLUMN()/2+1,FALSE)=0,"",VLOOKUP($A97,数出表_Excel!$A$6:$T$150,COLUMN()/2+1,FALSE))),"")</f>
        <v/>
      </c>
      <c r="I97" s="76"/>
      <c r="J97" s="148" t="str">
        <f ca="1">IFERROR(VALUE(IF(VLOOKUP($A97,数出表_Excel!$A$6:$T$150,COLUMN()/2+1,FALSE)=0,"",VLOOKUP($A97,数出表_Excel!$A$6:$T$150,COLUMN()/2+1,FALSE))),"")</f>
        <v/>
      </c>
      <c r="K97" s="76"/>
      <c r="L97" s="148" t="str">
        <f ca="1">IFERROR(VALUE(IF(VLOOKUP($A97,数出表_Excel!$A$6:$T$150,COLUMN()/2+1,FALSE)=0,"",VLOOKUP($A97,数出表_Excel!$A$6:$T$150,COLUMN()/2+1,FALSE))),"")</f>
        <v/>
      </c>
      <c r="M97" s="76"/>
      <c r="N97" s="148" t="str">
        <f ca="1">IFERROR(VALUE(IF(VLOOKUP($A97,数出表_Excel!$A$6:$T$150,COLUMN()/2+1,FALSE)=0,"",VLOOKUP($A97,数出表_Excel!$A$6:$T$150,COLUMN()/2+1,FALSE))),"")</f>
        <v/>
      </c>
      <c r="O97" s="76"/>
      <c r="P97" s="148" t="str">
        <f ca="1">IFERROR(VALUE(IF(VLOOKUP($A97,数出表_Excel!$A$6:$T$150,COLUMN()/2+1,FALSE)=0,"",VLOOKUP($A97,数出表_Excel!$A$6:$T$150,COLUMN()/2+1,FALSE))),"")</f>
        <v/>
      </c>
      <c r="Q97" s="76"/>
      <c r="R97" s="148" t="str">
        <f ca="1">IFERROR(VALUE(IF(VLOOKUP($A97,数出表_Excel!$A$6:$T$150,COLUMN()/2+1,FALSE)=0,"",VLOOKUP($A97,数出表_Excel!$A$6:$T$150,COLUMN()/2+1,FALSE))),"")</f>
        <v/>
      </c>
      <c r="S97" s="76"/>
      <c r="T97" s="148" t="str">
        <f ca="1">IFERROR(VALUE(IF(VLOOKUP($A97,数出表_Excel!$A$6:$T$150,COLUMN()/2+1,FALSE)=0,"",VLOOKUP($A97,数出表_Excel!$A$6:$T$150,COLUMN()/2+1,FALSE))),"")</f>
        <v/>
      </c>
      <c r="U97" s="76"/>
      <c r="V97" s="148" t="str">
        <f ca="1">IFERROR(VALUE(IF(VLOOKUP($A97,数出表_Excel!$A$6:$T$150,COLUMN()/2+1,FALSE)=0,"",VLOOKUP($A97,数出表_Excel!$A$6:$T$150,COLUMN()/2+1,FALSE))),"")</f>
        <v/>
      </c>
      <c r="W97" s="76"/>
      <c r="X97" s="148" t="str">
        <f ca="1">IFERROR(VALUE(IF(VLOOKUP($A97,数出表_Excel!$A$6:$T$150,COLUMN()/2+1,FALSE)=0,"",VLOOKUP($A97,数出表_Excel!$A$6:$T$150,COLUMN()/2+1,FALSE))),"")</f>
        <v/>
      </c>
      <c r="Y97" s="76"/>
      <c r="Z97" s="148" t="str">
        <f ca="1">IFERROR(VALUE(IF(VLOOKUP($A97,数出表_Excel!$A$6:$T$150,COLUMN()/2+1,FALSE)=0,"",VLOOKUP($A97,数出表_Excel!$A$6:$T$150,COLUMN()/2+1,FALSE))),"")</f>
        <v/>
      </c>
      <c r="AA97" s="76"/>
      <c r="AB97" s="148" t="str">
        <f ca="1">IFERROR(VALUE(IF(VLOOKUP($A97,数出表_Excel!$A$6:$T$150,COLUMN()/2+1,FALSE)=0,"",VLOOKUP($A97,数出表_Excel!$A$6:$T$150,COLUMN()/2+1,FALSE))),"")</f>
        <v/>
      </c>
      <c r="AC97" s="76"/>
      <c r="AD97" s="148" t="str">
        <f ca="1">IFERROR(VALUE(IF(VLOOKUP($A97,数出表_Excel!$A$6:$T$150,COLUMN()/2+1,FALSE)=0,"",VLOOKUP($A97,数出表_Excel!$A$6:$T$150,COLUMN()/2+1,FALSE))),"")</f>
        <v/>
      </c>
      <c r="AE97" s="76"/>
      <c r="AF97" s="148" t="str">
        <f ca="1">IFERROR(VALUE(IF(VLOOKUP($A97,数出表_Excel!$A$6:$T$150,COLUMN()/2+1,FALSE)=0,"",VLOOKUP($A97,数出表_Excel!$A$6:$T$150,COLUMN()/2+1,FALSE))),"")</f>
        <v/>
      </c>
      <c r="AG97" s="76"/>
      <c r="AH97" s="148" t="str">
        <f ca="1">IFERROR(VALUE(IF(VLOOKUP($A97,数出表_Excel!$A$6:$T$150,COLUMN()/2+1,FALSE)=0,"",VLOOKUP($A97,数出表_Excel!$A$6:$T$150,COLUMN()/2+1,FALSE))),"")</f>
        <v/>
      </c>
      <c r="AI97" s="76"/>
      <c r="AJ97" s="148" t="str">
        <f ca="1">IFERROR(VALUE(IF(VLOOKUP($A97,数出表_Excel!$A$6:$T$150,COLUMN()/2+1,FALSE)=0,"",VLOOKUP($A97,数出表_Excel!$A$6:$T$150,COLUMN()/2+1,FALSE))),"")</f>
        <v/>
      </c>
      <c r="AK97" s="76"/>
      <c r="AL97" s="63" t="e">
        <f ca="1">IF(A97&lt;&gt;"",
IF(VLOOKUP($A97,数出表_Excel!$A$6:$T$150,COLUMN()/2+1,FALSE)=0,"",VLOOKUP($A97,数出表_Excel!$A$6:$T$150,COLUMN()/2+1,FALSE)),"")</f>
        <v>#N/A</v>
      </c>
      <c r="AM97" s="91" t="e">
        <f>数出表_Excel!V97</f>
        <v>#N/A</v>
      </c>
      <c r="AN97" s="92" t="e">
        <f>数出表_Excel!W97</f>
        <v>#N/A</v>
      </c>
    </row>
    <row r="98" spans="1:40" ht="16.2" customHeight="1">
      <c r="A98" s="81" t="e">
        <f t="array" aca="1" ref="A98" ca="1">IF(OR(COUNTIF(A96,"*10002*"),COUNTIF(A96,"")),"",INDEX(貼り付け用!$A1:$A200,MATCH(A96,貼り付け用!$A1:$A200,0)+2,0))</f>
        <v>#N/A</v>
      </c>
      <c r="B98" s="182" t="str">
        <f ca="1">IFERROR(VALUE(IF(VLOOKUP($A98,数出表_Excel!$A$6:$T$150,COLUMN()/2+1,FALSE)=0,"",VLOOKUP($A98,数出表_Excel!$A$6:$T$150,COLUMN()/2+1,FALSE))),"")</f>
        <v/>
      </c>
      <c r="C98" s="75"/>
      <c r="D98" s="182" t="str">
        <f ca="1">IFERROR(VALUE(IF(VLOOKUP($A98,数出表_Excel!$A$6:$T$150,COLUMN()/2+1,FALSE)=0,"",VLOOKUP($A98,数出表_Excel!$A$6:$T$150,COLUMN()/2+1,FALSE))),"")</f>
        <v/>
      </c>
      <c r="E98" s="75"/>
      <c r="F98" s="182" t="str">
        <f ca="1">IFERROR(VALUE(IF(VLOOKUP($A98,数出表_Excel!$A$6:$T$150,COLUMN()/2+1,FALSE)=0,"",VLOOKUP($A98,数出表_Excel!$A$6:$T$150,COLUMN()/2+1,FALSE))),"")</f>
        <v/>
      </c>
      <c r="G98" s="75"/>
      <c r="H98" s="182" t="str">
        <f ca="1">IFERROR(VALUE(IF(VLOOKUP($A98,数出表_Excel!$A$6:$T$150,COLUMN()/2+1,FALSE)=0,"",VLOOKUP($A98,数出表_Excel!$A$6:$T$150,COLUMN()/2+1,FALSE))),"")</f>
        <v/>
      </c>
      <c r="I98" s="75"/>
      <c r="J98" s="182" t="str">
        <f ca="1">IFERROR(VALUE(IF(VLOOKUP($A98,数出表_Excel!$A$6:$T$150,COLUMN()/2+1,FALSE)=0,"",VLOOKUP($A98,数出表_Excel!$A$6:$T$150,COLUMN()/2+1,FALSE))),"")</f>
        <v/>
      </c>
      <c r="K98" s="75"/>
      <c r="L98" s="182" t="str">
        <f ca="1">IFERROR(VALUE(IF(VLOOKUP($A98,数出表_Excel!$A$6:$T$150,COLUMN()/2+1,FALSE)=0,"",VLOOKUP($A98,数出表_Excel!$A$6:$T$150,COLUMN()/2+1,FALSE))),"")</f>
        <v/>
      </c>
      <c r="M98" s="75"/>
      <c r="N98" s="182" t="str">
        <f ca="1">IFERROR(VALUE(IF(VLOOKUP($A98,数出表_Excel!$A$6:$T$150,COLUMN()/2+1,FALSE)=0,"",VLOOKUP($A98,数出表_Excel!$A$6:$T$150,COLUMN()/2+1,FALSE))),"")</f>
        <v/>
      </c>
      <c r="O98" s="75"/>
      <c r="P98" s="182" t="str">
        <f ca="1">IFERROR(VALUE(IF(VLOOKUP($A98,数出表_Excel!$A$6:$T$150,COLUMN()/2+1,FALSE)=0,"",VLOOKUP($A98,数出表_Excel!$A$6:$T$150,COLUMN()/2+1,FALSE))),"")</f>
        <v/>
      </c>
      <c r="Q98" s="75"/>
      <c r="R98" s="182" t="str">
        <f ca="1">IFERROR(VALUE(IF(VLOOKUP($A98,数出表_Excel!$A$6:$T$150,COLUMN()/2+1,FALSE)=0,"",VLOOKUP($A98,数出表_Excel!$A$6:$T$150,COLUMN()/2+1,FALSE))),"")</f>
        <v/>
      </c>
      <c r="S98" s="75"/>
      <c r="T98" s="182" t="str">
        <f ca="1">IFERROR(VALUE(IF(VLOOKUP($A98,数出表_Excel!$A$6:$T$150,COLUMN()/2+1,FALSE)=0,"",VLOOKUP($A98,数出表_Excel!$A$6:$T$150,COLUMN()/2+1,FALSE))),"")</f>
        <v/>
      </c>
      <c r="U98" s="75"/>
      <c r="V98" s="182" t="str">
        <f ca="1">IFERROR(VALUE(IF(VLOOKUP($A98,数出表_Excel!$A$6:$T$150,COLUMN()/2+1,FALSE)=0,"",VLOOKUP($A98,数出表_Excel!$A$6:$T$150,COLUMN()/2+1,FALSE))),"")</f>
        <v/>
      </c>
      <c r="W98" s="75"/>
      <c r="X98" s="182" t="str">
        <f ca="1">IFERROR(VALUE(IF(VLOOKUP($A98,数出表_Excel!$A$6:$T$150,COLUMN()/2+1,FALSE)=0,"",VLOOKUP($A98,数出表_Excel!$A$6:$T$150,COLUMN()/2+1,FALSE))),"")</f>
        <v/>
      </c>
      <c r="Y98" s="75"/>
      <c r="Z98" s="182" t="str">
        <f ca="1">IFERROR(VALUE(IF(VLOOKUP($A98,数出表_Excel!$A$6:$T$150,COLUMN()/2+1,FALSE)=0,"",VLOOKUP($A98,数出表_Excel!$A$6:$T$150,COLUMN()/2+1,FALSE))),"")</f>
        <v/>
      </c>
      <c r="AA98" s="75"/>
      <c r="AB98" s="182" t="str">
        <f ca="1">IFERROR(VALUE(IF(VLOOKUP($A98,数出表_Excel!$A$6:$T$150,COLUMN()/2+1,FALSE)=0,"",VLOOKUP($A98,数出表_Excel!$A$6:$T$150,COLUMN()/2+1,FALSE))),"")</f>
        <v/>
      </c>
      <c r="AC98" s="75"/>
      <c r="AD98" s="182" t="str">
        <f ca="1">IFERROR(VALUE(IF(VLOOKUP($A98,数出表_Excel!$A$6:$T$150,COLUMN()/2+1,FALSE)=0,"",VLOOKUP($A98,数出表_Excel!$A$6:$T$150,COLUMN()/2+1,FALSE))),"")</f>
        <v/>
      </c>
      <c r="AE98" s="75"/>
      <c r="AF98" s="182" t="str">
        <f ca="1">IFERROR(VALUE(IF(VLOOKUP($A98,数出表_Excel!$A$6:$T$150,COLUMN()/2+1,FALSE)=0,"",VLOOKUP($A98,数出表_Excel!$A$6:$T$150,COLUMN()/2+1,FALSE))),"")</f>
        <v/>
      </c>
      <c r="AG98" s="75"/>
      <c r="AH98" s="182" t="str">
        <f ca="1">IFERROR(VALUE(IF(VLOOKUP($A98,数出表_Excel!$A$6:$T$150,COLUMN()/2+1,FALSE)=0,"",VLOOKUP($A98,数出表_Excel!$A$6:$T$150,COLUMN()/2+1,FALSE))),"")</f>
        <v/>
      </c>
      <c r="AI98" s="75"/>
      <c r="AJ98" s="182" t="str">
        <f ca="1">IFERROR(VALUE(IF(VLOOKUP($A98,数出表_Excel!$A$6:$T$150,COLUMN()/2+1,FALSE)=0,"",VLOOKUP($A98,数出表_Excel!$A$6:$T$150,COLUMN()/2+1,FALSE))),"")</f>
        <v/>
      </c>
      <c r="AK98" s="75"/>
      <c r="AL98" s="61" t="e">
        <f ca="1">IF(A98&lt;&gt;"",
IF(VLOOKUP($A98,数出表_Excel!$A$6:$T$150,COLUMN()/2+1,FALSE)=0,"",VLOOKUP($A98,数出表_Excel!$A$6:$T$150,COLUMN()/2+1,FALSE)),"")</f>
        <v>#N/A</v>
      </c>
      <c r="AM98" s="89" t="e">
        <f>数出表_Excel!V98</f>
        <v>#N/A</v>
      </c>
      <c r="AN98" s="90" t="e">
        <f>数出表_Excel!W98</f>
        <v>#N/A</v>
      </c>
    </row>
    <row r="99" spans="1:40" ht="16.2" customHeight="1">
      <c r="A99" s="82" t="e">
        <f t="array" aca="1" ref="A99" ca="1">IF(OR(COUNTIF(A97,"*1000*"),COUNTIF(A97,"")),"",INDEX(貼り付け用!$A1:$A200,MATCH(A97,貼り付け用!$A1:$A200,0)+2,0))</f>
        <v>#N/A</v>
      </c>
      <c r="B99" s="148" t="str">
        <f ca="1">IFERROR(VALUE(IF(VLOOKUP($A99,数出表_Excel!$A$6:$T$150,COLUMN()/2+1,FALSE)=0,"",VLOOKUP($A99,数出表_Excel!$A$6:$T$150,COLUMN()/2+1,FALSE))),"")</f>
        <v/>
      </c>
      <c r="C99" s="76"/>
      <c r="D99" s="148" t="str">
        <f ca="1">IFERROR(VALUE(IF(VLOOKUP($A99,数出表_Excel!$A$6:$T$150,COLUMN()/2+1,FALSE)=0,"",VLOOKUP($A99,数出表_Excel!$A$6:$T$150,COLUMN()/2+1,FALSE))),"")</f>
        <v/>
      </c>
      <c r="E99" s="76"/>
      <c r="F99" s="148" t="str">
        <f ca="1">IFERROR(VALUE(IF(VLOOKUP($A99,数出表_Excel!$A$6:$T$150,COLUMN()/2+1,FALSE)=0,"",VLOOKUP($A99,数出表_Excel!$A$6:$T$150,COLUMN()/2+1,FALSE))),"")</f>
        <v/>
      </c>
      <c r="G99" s="76"/>
      <c r="H99" s="148" t="str">
        <f ca="1">IFERROR(VALUE(IF(VLOOKUP($A99,数出表_Excel!$A$6:$T$150,COLUMN()/2+1,FALSE)=0,"",VLOOKUP($A99,数出表_Excel!$A$6:$T$150,COLUMN()/2+1,FALSE))),"")</f>
        <v/>
      </c>
      <c r="I99" s="76"/>
      <c r="J99" s="148" t="str">
        <f ca="1">IFERROR(VALUE(IF(VLOOKUP($A99,数出表_Excel!$A$6:$T$150,COLUMN()/2+1,FALSE)=0,"",VLOOKUP($A99,数出表_Excel!$A$6:$T$150,COLUMN()/2+1,FALSE))),"")</f>
        <v/>
      </c>
      <c r="K99" s="76"/>
      <c r="L99" s="148" t="str">
        <f ca="1">IFERROR(VALUE(IF(VLOOKUP($A99,数出表_Excel!$A$6:$T$150,COLUMN()/2+1,FALSE)=0,"",VLOOKUP($A99,数出表_Excel!$A$6:$T$150,COLUMN()/2+1,FALSE))),"")</f>
        <v/>
      </c>
      <c r="M99" s="76"/>
      <c r="N99" s="148" t="str">
        <f ca="1">IFERROR(VALUE(IF(VLOOKUP($A99,数出表_Excel!$A$6:$T$150,COLUMN()/2+1,FALSE)=0,"",VLOOKUP($A99,数出表_Excel!$A$6:$T$150,COLUMN()/2+1,FALSE))),"")</f>
        <v/>
      </c>
      <c r="O99" s="76"/>
      <c r="P99" s="148" t="str">
        <f ca="1">IFERROR(VALUE(IF(VLOOKUP($A99,数出表_Excel!$A$6:$T$150,COLUMN()/2+1,FALSE)=0,"",VLOOKUP($A99,数出表_Excel!$A$6:$T$150,COLUMN()/2+1,FALSE))),"")</f>
        <v/>
      </c>
      <c r="Q99" s="76"/>
      <c r="R99" s="148" t="str">
        <f ca="1">IFERROR(VALUE(IF(VLOOKUP($A99,数出表_Excel!$A$6:$T$150,COLUMN()/2+1,FALSE)=0,"",VLOOKUP($A99,数出表_Excel!$A$6:$T$150,COLUMN()/2+1,FALSE))),"")</f>
        <v/>
      </c>
      <c r="S99" s="76"/>
      <c r="T99" s="148" t="str">
        <f ca="1">IFERROR(VALUE(IF(VLOOKUP($A99,数出表_Excel!$A$6:$T$150,COLUMN()/2+1,FALSE)=0,"",VLOOKUP($A99,数出表_Excel!$A$6:$T$150,COLUMN()/2+1,FALSE))),"")</f>
        <v/>
      </c>
      <c r="U99" s="76"/>
      <c r="V99" s="148" t="str">
        <f ca="1">IFERROR(VALUE(IF(VLOOKUP($A99,数出表_Excel!$A$6:$T$150,COLUMN()/2+1,FALSE)=0,"",VLOOKUP($A99,数出表_Excel!$A$6:$T$150,COLUMN()/2+1,FALSE))),"")</f>
        <v/>
      </c>
      <c r="W99" s="76"/>
      <c r="X99" s="148" t="str">
        <f ca="1">IFERROR(VALUE(IF(VLOOKUP($A99,数出表_Excel!$A$6:$T$150,COLUMN()/2+1,FALSE)=0,"",VLOOKUP($A99,数出表_Excel!$A$6:$T$150,COLUMN()/2+1,FALSE))),"")</f>
        <v/>
      </c>
      <c r="Y99" s="76"/>
      <c r="Z99" s="148" t="str">
        <f ca="1">IFERROR(VALUE(IF(VLOOKUP($A99,数出表_Excel!$A$6:$T$150,COLUMN()/2+1,FALSE)=0,"",VLOOKUP($A99,数出表_Excel!$A$6:$T$150,COLUMN()/2+1,FALSE))),"")</f>
        <v/>
      </c>
      <c r="AA99" s="76"/>
      <c r="AB99" s="148" t="str">
        <f ca="1">IFERROR(VALUE(IF(VLOOKUP($A99,数出表_Excel!$A$6:$T$150,COLUMN()/2+1,FALSE)=0,"",VLOOKUP($A99,数出表_Excel!$A$6:$T$150,COLUMN()/2+1,FALSE))),"")</f>
        <v/>
      </c>
      <c r="AC99" s="76"/>
      <c r="AD99" s="148" t="str">
        <f ca="1">IFERROR(VALUE(IF(VLOOKUP($A99,数出表_Excel!$A$6:$T$150,COLUMN()/2+1,FALSE)=0,"",VLOOKUP($A99,数出表_Excel!$A$6:$T$150,COLUMN()/2+1,FALSE))),"")</f>
        <v/>
      </c>
      <c r="AE99" s="76"/>
      <c r="AF99" s="148" t="str">
        <f ca="1">IFERROR(VALUE(IF(VLOOKUP($A99,数出表_Excel!$A$6:$T$150,COLUMN()/2+1,FALSE)=0,"",VLOOKUP($A99,数出表_Excel!$A$6:$T$150,COLUMN()/2+1,FALSE))),"")</f>
        <v/>
      </c>
      <c r="AG99" s="76"/>
      <c r="AH99" s="148" t="str">
        <f ca="1">IFERROR(VALUE(IF(VLOOKUP($A99,数出表_Excel!$A$6:$T$150,COLUMN()/2+1,FALSE)=0,"",VLOOKUP($A99,数出表_Excel!$A$6:$T$150,COLUMN()/2+1,FALSE))),"")</f>
        <v/>
      </c>
      <c r="AI99" s="76"/>
      <c r="AJ99" s="148" t="str">
        <f ca="1">IFERROR(VALUE(IF(VLOOKUP($A99,数出表_Excel!$A$6:$T$150,COLUMN()/2+1,FALSE)=0,"",VLOOKUP($A99,数出表_Excel!$A$6:$T$150,COLUMN()/2+1,FALSE))),"")</f>
        <v/>
      </c>
      <c r="AK99" s="76"/>
      <c r="AL99" s="63" t="e">
        <f ca="1">IF(A99&lt;&gt;"",
IF(VLOOKUP($A99,数出表_Excel!$A$6:$T$150,COLUMN()/2+1,FALSE)=0,"",VLOOKUP($A99,数出表_Excel!$A$6:$T$150,COLUMN()/2+1,FALSE)),"")</f>
        <v>#N/A</v>
      </c>
      <c r="AM99" s="91" t="e">
        <f>数出表_Excel!V99</f>
        <v>#N/A</v>
      </c>
      <c r="AN99" s="92" t="e">
        <f>数出表_Excel!W99</f>
        <v>#N/A</v>
      </c>
    </row>
    <row r="100" spans="1:40" ht="16.2" customHeight="1">
      <c r="A100" s="81" t="e">
        <f t="array" aca="1" ref="A100" ca="1">IF(OR(COUNTIF(A98,"*10002*"),COUNTIF(A98,"")),"",INDEX(貼り付け用!$A1:$A200,MATCH(A98,貼り付け用!$A1:$A200,0)+2,0))</f>
        <v>#N/A</v>
      </c>
      <c r="B100" s="182" t="str">
        <f ca="1">IFERROR(VALUE(IF(VLOOKUP($A100,数出表_Excel!$A$6:$T$150,COLUMN()/2+1,FALSE)=0,"",VLOOKUP($A100,数出表_Excel!$A$6:$T$150,COLUMN()/2+1,FALSE))),"")</f>
        <v/>
      </c>
      <c r="C100" s="75"/>
      <c r="D100" s="182" t="str">
        <f ca="1">IFERROR(VALUE(IF(VLOOKUP($A100,数出表_Excel!$A$6:$T$150,COLUMN()/2+1,FALSE)=0,"",VLOOKUP($A100,数出表_Excel!$A$6:$T$150,COLUMN()/2+1,FALSE))),"")</f>
        <v/>
      </c>
      <c r="E100" s="75"/>
      <c r="F100" s="182" t="str">
        <f ca="1">IFERROR(VALUE(IF(VLOOKUP($A100,数出表_Excel!$A$6:$T$150,COLUMN()/2+1,FALSE)=0,"",VLOOKUP($A100,数出表_Excel!$A$6:$T$150,COLUMN()/2+1,FALSE))),"")</f>
        <v/>
      </c>
      <c r="G100" s="75"/>
      <c r="H100" s="182" t="str">
        <f ca="1">IFERROR(VALUE(IF(VLOOKUP($A100,数出表_Excel!$A$6:$T$150,COLUMN()/2+1,FALSE)=0,"",VLOOKUP($A100,数出表_Excel!$A$6:$T$150,COLUMN()/2+1,FALSE))),"")</f>
        <v/>
      </c>
      <c r="I100" s="75"/>
      <c r="J100" s="182" t="str">
        <f ca="1">IFERROR(VALUE(IF(VLOOKUP($A100,数出表_Excel!$A$6:$T$150,COLUMN()/2+1,FALSE)=0,"",VLOOKUP($A100,数出表_Excel!$A$6:$T$150,COLUMN()/2+1,FALSE))),"")</f>
        <v/>
      </c>
      <c r="K100" s="75"/>
      <c r="L100" s="182" t="str">
        <f ca="1">IFERROR(VALUE(IF(VLOOKUP($A100,数出表_Excel!$A$6:$T$150,COLUMN()/2+1,FALSE)=0,"",VLOOKUP($A100,数出表_Excel!$A$6:$T$150,COLUMN()/2+1,FALSE))),"")</f>
        <v/>
      </c>
      <c r="M100" s="75"/>
      <c r="N100" s="182" t="str">
        <f ca="1">IFERROR(VALUE(IF(VLOOKUP($A100,数出表_Excel!$A$6:$T$150,COLUMN()/2+1,FALSE)=0,"",VLOOKUP($A100,数出表_Excel!$A$6:$T$150,COLUMN()/2+1,FALSE))),"")</f>
        <v/>
      </c>
      <c r="O100" s="75"/>
      <c r="P100" s="182" t="str">
        <f ca="1">IFERROR(VALUE(IF(VLOOKUP($A100,数出表_Excel!$A$6:$T$150,COLUMN()/2+1,FALSE)=0,"",VLOOKUP($A100,数出表_Excel!$A$6:$T$150,COLUMN()/2+1,FALSE))),"")</f>
        <v/>
      </c>
      <c r="Q100" s="75"/>
      <c r="R100" s="182" t="str">
        <f ca="1">IFERROR(VALUE(IF(VLOOKUP($A100,数出表_Excel!$A$6:$T$150,COLUMN()/2+1,FALSE)=0,"",VLOOKUP($A100,数出表_Excel!$A$6:$T$150,COLUMN()/2+1,FALSE))),"")</f>
        <v/>
      </c>
      <c r="S100" s="75"/>
      <c r="T100" s="182" t="str">
        <f ca="1">IFERROR(VALUE(IF(VLOOKUP($A100,数出表_Excel!$A$6:$T$150,COLUMN()/2+1,FALSE)=0,"",VLOOKUP($A100,数出表_Excel!$A$6:$T$150,COLUMN()/2+1,FALSE))),"")</f>
        <v/>
      </c>
      <c r="U100" s="75"/>
      <c r="V100" s="182" t="str">
        <f ca="1">IFERROR(VALUE(IF(VLOOKUP($A100,数出表_Excel!$A$6:$T$150,COLUMN()/2+1,FALSE)=0,"",VLOOKUP($A100,数出表_Excel!$A$6:$T$150,COLUMN()/2+1,FALSE))),"")</f>
        <v/>
      </c>
      <c r="W100" s="75"/>
      <c r="X100" s="182" t="str">
        <f ca="1">IFERROR(VALUE(IF(VLOOKUP($A100,数出表_Excel!$A$6:$T$150,COLUMN()/2+1,FALSE)=0,"",VLOOKUP($A100,数出表_Excel!$A$6:$T$150,COLUMN()/2+1,FALSE))),"")</f>
        <v/>
      </c>
      <c r="Y100" s="75"/>
      <c r="Z100" s="182" t="str">
        <f ca="1">IFERROR(VALUE(IF(VLOOKUP($A100,数出表_Excel!$A$6:$T$150,COLUMN()/2+1,FALSE)=0,"",VLOOKUP($A100,数出表_Excel!$A$6:$T$150,COLUMN()/2+1,FALSE))),"")</f>
        <v/>
      </c>
      <c r="AA100" s="75"/>
      <c r="AB100" s="182" t="str">
        <f ca="1">IFERROR(VALUE(IF(VLOOKUP($A100,数出表_Excel!$A$6:$T$150,COLUMN()/2+1,FALSE)=0,"",VLOOKUP($A100,数出表_Excel!$A$6:$T$150,COLUMN()/2+1,FALSE))),"")</f>
        <v/>
      </c>
      <c r="AC100" s="75"/>
      <c r="AD100" s="182" t="str">
        <f ca="1">IFERROR(VALUE(IF(VLOOKUP($A100,数出表_Excel!$A$6:$T$150,COLUMN()/2+1,FALSE)=0,"",VLOOKUP($A100,数出表_Excel!$A$6:$T$150,COLUMN()/2+1,FALSE))),"")</f>
        <v/>
      </c>
      <c r="AE100" s="75"/>
      <c r="AF100" s="182" t="str">
        <f ca="1">IFERROR(VALUE(IF(VLOOKUP($A100,数出表_Excel!$A$6:$T$150,COLUMN()/2+1,FALSE)=0,"",VLOOKUP($A100,数出表_Excel!$A$6:$T$150,COLUMN()/2+1,FALSE))),"")</f>
        <v/>
      </c>
      <c r="AG100" s="75"/>
      <c r="AH100" s="182" t="str">
        <f ca="1">IFERROR(VALUE(IF(VLOOKUP($A100,数出表_Excel!$A$6:$T$150,COLUMN()/2+1,FALSE)=0,"",VLOOKUP($A100,数出表_Excel!$A$6:$T$150,COLUMN()/2+1,FALSE))),"")</f>
        <v/>
      </c>
      <c r="AI100" s="75"/>
      <c r="AJ100" s="182" t="str">
        <f ca="1">IFERROR(VALUE(IF(VLOOKUP($A100,数出表_Excel!$A$6:$T$150,COLUMN()/2+1,FALSE)=0,"",VLOOKUP($A100,数出表_Excel!$A$6:$T$150,COLUMN()/2+1,FALSE))),"")</f>
        <v/>
      </c>
      <c r="AK100" s="75"/>
      <c r="AL100" s="61" t="e">
        <f ca="1">IF(A100&lt;&gt;"",
IF(VLOOKUP($A100,数出表_Excel!$A$6:$T$150,COLUMN()/2+1,FALSE)=0,"",VLOOKUP($A100,数出表_Excel!$A$6:$T$150,COLUMN()/2+1,FALSE)),"")</f>
        <v>#N/A</v>
      </c>
      <c r="AM100" s="89" t="e">
        <f>数出表_Excel!V100</f>
        <v>#N/A</v>
      </c>
      <c r="AN100" s="90" t="e">
        <f>数出表_Excel!W100</f>
        <v>#N/A</v>
      </c>
    </row>
    <row r="101" spans="1:40" ht="16.2" customHeight="1">
      <c r="A101" s="82" t="e">
        <f t="array" aca="1" ref="A101" ca="1">IF(OR(COUNTIF(A99,"*1000*"),COUNTIF(A99,"")),"",INDEX(貼り付け用!$A1:$A200,MATCH(A99,貼り付け用!$A1:$A200,0)+2,0))</f>
        <v>#N/A</v>
      </c>
      <c r="B101" s="148" t="str">
        <f ca="1">IFERROR(VALUE(IF(VLOOKUP($A101,数出表_Excel!$A$6:$T$150,COLUMN()/2+1,FALSE)=0,"",VLOOKUP($A101,数出表_Excel!$A$6:$T$150,COLUMN()/2+1,FALSE))),"")</f>
        <v/>
      </c>
      <c r="C101" s="76"/>
      <c r="D101" s="148" t="str">
        <f ca="1">IFERROR(VALUE(IF(VLOOKUP($A101,数出表_Excel!$A$6:$T$150,COLUMN()/2+1,FALSE)=0,"",VLOOKUP($A101,数出表_Excel!$A$6:$T$150,COLUMN()/2+1,FALSE))),"")</f>
        <v/>
      </c>
      <c r="E101" s="76"/>
      <c r="F101" s="148" t="str">
        <f ca="1">IFERROR(VALUE(IF(VLOOKUP($A101,数出表_Excel!$A$6:$T$150,COLUMN()/2+1,FALSE)=0,"",VLOOKUP($A101,数出表_Excel!$A$6:$T$150,COLUMN()/2+1,FALSE))),"")</f>
        <v/>
      </c>
      <c r="G101" s="76"/>
      <c r="H101" s="148" t="str">
        <f ca="1">IFERROR(VALUE(IF(VLOOKUP($A101,数出表_Excel!$A$6:$T$150,COLUMN()/2+1,FALSE)=0,"",VLOOKUP($A101,数出表_Excel!$A$6:$T$150,COLUMN()/2+1,FALSE))),"")</f>
        <v/>
      </c>
      <c r="I101" s="76"/>
      <c r="J101" s="148" t="str">
        <f ca="1">IFERROR(VALUE(IF(VLOOKUP($A101,数出表_Excel!$A$6:$T$150,COLUMN()/2+1,FALSE)=0,"",VLOOKUP($A101,数出表_Excel!$A$6:$T$150,COLUMN()/2+1,FALSE))),"")</f>
        <v/>
      </c>
      <c r="K101" s="76"/>
      <c r="L101" s="148" t="str">
        <f ca="1">IFERROR(VALUE(IF(VLOOKUP($A101,数出表_Excel!$A$6:$T$150,COLUMN()/2+1,FALSE)=0,"",VLOOKUP($A101,数出表_Excel!$A$6:$T$150,COLUMN()/2+1,FALSE))),"")</f>
        <v/>
      </c>
      <c r="M101" s="76"/>
      <c r="N101" s="148" t="str">
        <f ca="1">IFERROR(VALUE(IF(VLOOKUP($A101,数出表_Excel!$A$6:$T$150,COLUMN()/2+1,FALSE)=0,"",VLOOKUP($A101,数出表_Excel!$A$6:$T$150,COLUMN()/2+1,FALSE))),"")</f>
        <v/>
      </c>
      <c r="O101" s="76"/>
      <c r="P101" s="148" t="str">
        <f ca="1">IFERROR(VALUE(IF(VLOOKUP($A101,数出表_Excel!$A$6:$T$150,COLUMN()/2+1,FALSE)=0,"",VLOOKUP($A101,数出表_Excel!$A$6:$T$150,COLUMN()/2+1,FALSE))),"")</f>
        <v/>
      </c>
      <c r="Q101" s="76"/>
      <c r="R101" s="148" t="str">
        <f ca="1">IFERROR(VALUE(IF(VLOOKUP($A101,数出表_Excel!$A$6:$T$150,COLUMN()/2+1,FALSE)=0,"",VLOOKUP($A101,数出表_Excel!$A$6:$T$150,COLUMN()/2+1,FALSE))),"")</f>
        <v/>
      </c>
      <c r="S101" s="76"/>
      <c r="T101" s="148" t="str">
        <f ca="1">IFERROR(VALUE(IF(VLOOKUP($A101,数出表_Excel!$A$6:$T$150,COLUMN()/2+1,FALSE)=0,"",VLOOKUP($A101,数出表_Excel!$A$6:$T$150,COLUMN()/2+1,FALSE))),"")</f>
        <v/>
      </c>
      <c r="U101" s="76"/>
      <c r="V101" s="148" t="str">
        <f ca="1">IFERROR(VALUE(IF(VLOOKUP($A101,数出表_Excel!$A$6:$T$150,COLUMN()/2+1,FALSE)=0,"",VLOOKUP($A101,数出表_Excel!$A$6:$T$150,COLUMN()/2+1,FALSE))),"")</f>
        <v/>
      </c>
      <c r="W101" s="76"/>
      <c r="X101" s="148" t="str">
        <f ca="1">IFERROR(VALUE(IF(VLOOKUP($A101,数出表_Excel!$A$6:$T$150,COLUMN()/2+1,FALSE)=0,"",VLOOKUP($A101,数出表_Excel!$A$6:$T$150,COLUMN()/2+1,FALSE))),"")</f>
        <v/>
      </c>
      <c r="Y101" s="76"/>
      <c r="Z101" s="148" t="str">
        <f ca="1">IFERROR(VALUE(IF(VLOOKUP($A101,数出表_Excel!$A$6:$T$150,COLUMN()/2+1,FALSE)=0,"",VLOOKUP($A101,数出表_Excel!$A$6:$T$150,COLUMN()/2+1,FALSE))),"")</f>
        <v/>
      </c>
      <c r="AA101" s="76"/>
      <c r="AB101" s="148" t="str">
        <f ca="1">IFERROR(VALUE(IF(VLOOKUP($A101,数出表_Excel!$A$6:$T$150,COLUMN()/2+1,FALSE)=0,"",VLOOKUP($A101,数出表_Excel!$A$6:$T$150,COLUMN()/2+1,FALSE))),"")</f>
        <v/>
      </c>
      <c r="AC101" s="76"/>
      <c r="AD101" s="148" t="str">
        <f ca="1">IFERROR(VALUE(IF(VLOOKUP($A101,数出表_Excel!$A$6:$T$150,COLUMN()/2+1,FALSE)=0,"",VLOOKUP($A101,数出表_Excel!$A$6:$T$150,COLUMN()/2+1,FALSE))),"")</f>
        <v/>
      </c>
      <c r="AE101" s="76"/>
      <c r="AF101" s="148" t="str">
        <f ca="1">IFERROR(VALUE(IF(VLOOKUP($A101,数出表_Excel!$A$6:$T$150,COLUMN()/2+1,FALSE)=0,"",VLOOKUP($A101,数出表_Excel!$A$6:$T$150,COLUMN()/2+1,FALSE))),"")</f>
        <v/>
      </c>
      <c r="AG101" s="76"/>
      <c r="AH101" s="148" t="str">
        <f ca="1">IFERROR(VALUE(IF(VLOOKUP($A101,数出表_Excel!$A$6:$T$150,COLUMN()/2+1,FALSE)=0,"",VLOOKUP($A101,数出表_Excel!$A$6:$T$150,COLUMN()/2+1,FALSE))),"")</f>
        <v/>
      </c>
      <c r="AI101" s="76"/>
      <c r="AJ101" s="148" t="str">
        <f ca="1">IFERROR(VALUE(IF(VLOOKUP($A101,数出表_Excel!$A$6:$T$150,COLUMN()/2+1,FALSE)=0,"",VLOOKUP($A101,数出表_Excel!$A$6:$T$150,COLUMN()/2+1,FALSE))),"")</f>
        <v/>
      </c>
      <c r="AK101" s="76"/>
      <c r="AL101" s="63" t="e">
        <f ca="1">IF(A101&lt;&gt;"",
IF(VLOOKUP($A101,数出表_Excel!$A$6:$T$150,COLUMN()/2+1,FALSE)=0,"",VLOOKUP($A101,数出表_Excel!$A$6:$T$150,COLUMN()/2+1,FALSE)),"")</f>
        <v>#N/A</v>
      </c>
      <c r="AM101" s="91" t="e">
        <f>数出表_Excel!V101</f>
        <v>#N/A</v>
      </c>
      <c r="AN101" s="92" t="e">
        <f>数出表_Excel!W101</f>
        <v>#N/A</v>
      </c>
    </row>
    <row r="102" spans="1:40" ht="16.2" customHeight="1">
      <c r="A102" s="81" t="e">
        <f t="array" aca="1" ref="A102" ca="1">IF(OR(COUNTIF(A100,"*10002*"),COUNTIF(A100,"")),"",INDEX(貼り付け用!$A1:$A200,MATCH(A100,貼り付け用!$A1:$A200,0)+2,0))</f>
        <v>#N/A</v>
      </c>
      <c r="B102" s="182" t="str">
        <f ca="1">IFERROR(VALUE(IF(VLOOKUP($A102,数出表_Excel!$A$6:$T$150,COLUMN()/2+1,FALSE)=0,"",VLOOKUP($A102,数出表_Excel!$A$6:$T$150,COLUMN()/2+1,FALSE))),"")</f>
        <v/>
      </c>
      <c r="C102" s="75"/>
      <c r="D102" s="182" t="str">
        <f ca="1">IFERROR(VALUE(IF(VLOOKUP($A102,数出表_Excel!$A$6:$T$150,COLUMN()/2+1,FALSE)=0,"",VLOOKUP($A102,数出表_Excel!$A$6:$T$150,COLUMN()/2+1,FALSE))),"")</f>
        <v/>
      </c>
      <c r="E102" s="75"/>
      <c r="F102" s="182" t="str">
        <f ca="1">IFERROR(VALUE(IF(VLOOKUP($A102,数出表_Excel!$A$6:$T$150,COLUMN()/2+1,FALSE)=0,"",VLOOKUP($A102,数出表_Excel!$A$6:$T$150,COLUMN()/2+1,FALSE))),"")</f>
        <v/>
      </c>
      <c r="G102" s="75"/>
      <c r="H102" s="182" t="str">
        <f ca="1">IFERROR(VALUE(IF(VLOOKUP($A102,数出表_Excel!$A$6:$T$150,COLUMN()/2+1,FALSE)=0,"",VLOOKUP($A102,数出表_Excel!$A$6:$T$150,COLUMN()/2+1,FALSE))),"")</f>
        <v/>
      </c>
      <c r="I102" s="75"/>
      <c r="J102" s="182" t="str">
        <f ca="1">IFERROR(VALUE(IF(VLOOKUP($A102,数出表_Excel!$A$6:$T$150,COLUMN()/2+1,FALSE)=0,"",VLOOKUP($A102,数出表_Excel!$A$6:$T$150,COLUMN()/2+1,FALSE))),"")</f>
        <v/>
      </c>
      <c r="K102" s="75"/>
      <c r="L102" s="182" t="str">
        <f ca="1">IFERROR(VALUE(IF(VLOOKUP($A102,数出表_Excel!$A$6:$T$150,COLUMN()/2+1,FALSE)=0,"",VLOOKUP($A102,数出表_Excel!$A$6:$T$150,COLUMN()/2+1,FALSE))),"")</f>
        <v/>
      </c>
      <c r="M102" s="75"/>
      <c r="N102" s="182" t="str">
        <f ca="1">IFERROR(VALUE(IF(VLOOKUP($A102,数出表_Excel!$A$6:$T$150,COLUMN()/2+1,FALSE)=0,"",VLOOKUP($A102,数出表_Excel!$A$6:$T$150,COLUMN()/2+1,FALSE))),"")</f>
        <v/>
      </c>
      <c r="O102" s="75"/>
      <c r="P102" s="182" t="str">
        <f ca="1">IFERROR(VALUE(IF(VLOOKUP($A102,数出表_Excel!$A$6:$T$150,COLUMN()/2+1,FALSE)=0,"",VLOOKUP($A102,数出表_Excel!$A$6:$T$150,COLUMN()/2+1,FALSE))),"")</f>
        <v/>
      </c>
      <c r="Q102" s="75"/>
      <c r="R102" s="182" t="str">
        <f ca="1">IFERROR(VALUE(IF(VLOOKUP($A102,数出表_Excel!$A$6:$T$150,COLUMN()/2+1,FALSE)=0,"",VLOOKUP($A102,数出表_Excel!$A$6:$T$150,COLUMN()/2+1,FALSE))),"")</f>
        <v/>
      </c>
      <c r="S102" s="75"/>
      <c r="T102" s="182" t="str">
        <f ca="1">IFERROR(VALUE(IF(VLOOKUP($A102,数出表_Excel!$A$6:$T$150,COLUMN()/2+1,FALSE)=0,"",VLOOKUP($A102,数出表_Excel!$A$6:$T$150,COLUMN()/2+1,FALSE))),"")</f>
        <v/>
      </c>
      <c r="U102" s="75"/>
      <c r="V102" s="182" t="str">
        <f ca="1">IFERROR(VALUE(IF(VLOOKUP($A102,数出表_Excel!$A$6:$T$150,COLUMN()/2+1,FALSE)=0,"",VLOOKUP($A102,数出表_Excel!$A$6:$T$150,COLUMN()/2+1,FALSE))),"")</f>
        <v/>
      </c>
      <c r="W102" s="75"/>
      <c r="X102" s="182" t="str">
        <f ca="1">IFERROR(VALUE(IF(VLOOKUP($A102,数出表_Excel!$A$6:$T$150,COLUMN()/2+1,FALSE)=0,"",VLOOKUP($A102,数出表_Excel!$A$6:$T$150,COLUMN()/2+1,FALSE))),"")</f>
        <v/>
      </c>
      <c r="Y102" s="75"/>
      <c r="Z102" s="182" t="str">
        <f ca="1">IFERROR(VALUE(IF(VLOOKUP($A102,数出表_Excel!$A$6:$T$150,COLUMN()/2+1,FALSE)=0,"",VLOOKUP($A102,数出表_Excel!$A$6:$T$150,COLUMN()/2+1,FALSE))),"")</f>
        <v/>
      </c>
      <c r="AA102" s="75"/>
      <c r="AB102" s="182" t="str">
        <f ca="1">IFERROR(VALUE(IF(VLOOKUP($A102,数出表_Excel!$A$6:$T$150,COLUMN()/2+1,FALSE)=0,"",VLOOKUP($A102,数出表_Excel!$A$6:$T$150,COLUMN()/2+1,FALSE))),"")</f>
        <v/>
      </c>
      <c r="AC102" s="75"/>
      <c r="AD102" s="182" t="str">
        <f ca="1">IFERROR(VALUE(IF(VLOOKUP($A102,数出表_Excel!$A$6:$T$150,COLUMN()/2+1,FALSE)=0,"",VLOOKUP($A102,数出表_Excel!$A$6:$T$150,COLUMN()/2+1,FALSE))),"")</f>
        <v/>
      </c>
      <c r="AE102" s="75"/>
      <c r="AF102" s="182" t="str">
        <f ca="1">IFERROR(VALUE(IF(VLOOKUP($A102,数出表_Excel!$A$6:$T$150,COLUMN()/2+1,FALSE)=0,"",VLOOKUP($A102,数出表_Excel!$A$6:$T$150,COLUMN()/2+1,FALSE))),"")</f>
        <v/>
      </c>
      <c r="AG102" s="75"/>
      <c r="AH102" s="182" t="str">
        <f ca="1">IFERROR(VALUE(IF(VLOOKUP($A102,数出表_Excel!$A$6:$T$150,COLUMN()/2+1,FALSE)=0,"",VLOOKUP($A102,数出表_Excel!$A$6:$T$150,COLUMN()/2+1,FALSE))),"")</f>
        <v/>
      </c>
      <c r="AI102" s="75"/>
      <c r="AJ102" s="182" t="str">
        <f ca="1">IFERROR(VALUE(IF(VLOOKUP($A102,数出表_Excel!$A$6:$T$150,COLUMN()/2+1,FALSE)=0,"",VLOOKUP($A102,数出表_Excel!$A$6:$T$150,COLUMN()/2+1,FALSE))),"")</f>
        <v/>
      </c>
      <c r="AK102" s="75"/>
      <c r="AL102" s="61" t="e">
        <f ca="1">IF(A102&lt;&gt;"",
IF(VLOOKUP($A102,数出表_Excel!$A$6:$T$150,COLUMN()/2+1,FALSE)=0,"",VLOOKUP($A102,数出表_Excel!$A$6:$T$150,COLUMN()/2+1,FALSE)),"")</f>
        <v>#N/A</v>
      </c>
      <c r="AM102" s="89" t="e">
        <f>数出表_Excel!V102</f>
        <v>#N/A</v>
      </c>
      <c r="AN102" s="90" t="e">
        <f>数出表_Excel!W102</f>
        <v>#N/A</v>
      </c>
    </row>
    <row r="103" spans="1:40" ht="16.2" customHeight="1">
      <c r="A103" s="82" t="e">
        <f t="array" aca="1" ref="A103" ca="1">IF(OR(COUNTIF(A101,"*1000*"),COUNTIF(A101,"")),"",INDEX(貼り付け用!$A1:$A200,MATCH(A101,貼り付け用!$A1:$A200,0)+2,0))</f>
        <v>#N/A</v>
      </c>
      <c r="B103" s="148" t="str">
        <f ca="1">IFERROR(VALUE(IF(VLOOKUP($A103,数出表_Excel!$A$6:$T$150,COLUMN()/2+1,FALSE)=0,"",VLOOKUP($A103,数出表_Excel!$A$6:$T$150,COLUMN()/2+1,FALSE))),"")</f>
        <v/>
      </c>
      <c r="C103" s="76"/>
      <c r="D103" s="148" t="str">
        <f ca="1">IFERROR(VALUE(IF(VLOOKUP($A103,数出表_Excel!$A$6:$T$150,COLUMN()/2+1,FALSE)=0,"",VLOOKUP($A103,数出表_Excel!$A$6:$T$150,COLUMN()/2+1,FALSE))),"")</f>
        <v/>
      </c>
      <c r="E103" s="76"/>
      <c r="F103" s="148" t="str">
        <f ca="1">IFERROR(VALUE(IF(VLOOKUP($A103,数出表_Excel!$A$6:$T$150,COLUMN()/2+1,FALSE)=0,"",VLOOKUP($A103,数出表_Excel!$A$6:$T$150,COLUMN()/2+1,FALSE))),"")</f>
        <v/>
      </c>
      <c r="G103" s="76"/>
      <c r="H103" s="148" t="str">
        <f ca="1">IFERROR(VALUE(IF(VLOOKUP($A103,数出表_Excel!$A$6:$T$150,COLUMN()/2+1,FALSE)=0,"",VLOOKUP($A103,数出表_Excel!$A$6:$T$150,COLUMN()/2+1,FALSE))),"")</f>
        <v/>
      </c>
      <c r="I103" s="76"/>
      <c r="J103" s="148" t="str">
        <f ca="1">IFERROR(VALUE(IF(VLOOKUP($A103,数出表_Excel!$A$6:$T$150,COLUMN()/2+1,FALSE)=0,"",VLOOKUP($A103,数出表_Excel!$A$6:$T$150,COLUMN()/2+1,FALSE))),"")</f>
        <v/>
      </c>
      <c r="K103" s="76"/>
      <c r="L103" s="148" t="str">
        <f ca="1">IFERROR(VALUE(IF(VLOOKUP($A103,数出表_Excel!$A$6:$T$150,COLUMN()/2+1,FALSE)=0,"",VLOOKUP($A103,数出表_Excel!$A$6:$T$150,COLUMN()/2+1,FALSE))),"")</f>
        <v/>
      </c>
      <c r="M103" s="76"/>
      <c r="N103" s="148" t="str">
        <f ca="1">IFERROR(VALUE(IF(VLOOKUP($A103,数出表_Excel!$A$6:$T$150,COLUMN()/2+1,FALSE)=0,"",VLOOKUP($A103,数出表_Excel!$A$6:$T$150,COLUMN()/2+1,FALSE))),"")</f>
        <v/>
      </c>
      <c r="O103" s="76"/>
      <c r="P103" s="148" t="str">
        <f ca="1">IFERROR(VALUE(IF(VLOOKUP($A103,数出表_Excel!$A$6:$T$150,COLUMN()/2+1,FALSE)=0,"",VLOOKUP($A103,数出表_Excel!$A$6:$T$150,COLUMN()/2+1,FALSE))),"")</f>
        <v/>
      </c>
      <c r="Q103" s="76"/>
      <c r="R103" s="148" t="str">
        <f ca="1">IFERROR(VALUE(IF(VLOOKUP($A103,数出表_Excel!$A$6:$T$150,COLUMN()/2+1,FALSE)=0,"",VLOOKUP($A103,数出表_Excel!$A$6:$T$150,COLUMN()/2+1,FALSE))),"")</f>
        <v/>
      </c>
      <c r="S103" s="76"/>
      <c r="T103" s="148" t="str">
        <f ca="1">IFERROR(VALUE(IF(VLOOKUP($A103,数出表_Excel!$A$6:$T$150,COLUMN()/2+1,FALSE)=0,"",VLOOKUP($A103,数出表_Excel!$A$6:$T$150,COLUMN()/2+1,FALSE))),"")</f>
        <v/>
      </c>
      <c r="U103" s="76"/>
      <c r="V103" s="148" t="str">
        <f ca="1">IFERROR(VALUE(IF(VLOOKUP($A103,数出表_Excel!$A$6:$T$150,COLUMN()/2+1,FALSE)=0,"",VLOOKUP($A103,数出表_Excel!$A$6:$T$150,COLUMN()/2+1,FALSE))),"")</f>
        <v/>
      </c>
      <c r="W103" s="76"/>
      <c r="X103" s="148" t="str">
        <f ca="1">IFERROR(VALUE(IF(VLOOKUP($A103,数出表_Excel!$A$6:$T$150,COLUMN()/2+1,FALSE)=0,"",VLOOKUP($A103,数出表_Excel!$A$6:$T$150,COLUMN()/2+1,FALSE))),"")</f>
        <v/>
      </c>
      <c r="Y103" s="76"/>
      <c r="Z103" s="148" t="str">
        <f ca="1">IFERROR(VALUE(IF(VLOOKUP($A103,数出表_Excel!$A$6:$T$150,COLUMN()/2+1,FALSE)=0,"",VLOOKUP($A103,数出表_Excel!$A$6:$T$150,COLUMN()/2+1,FALSE))),"")</f>
        <v/>
      </c>
      <c r="AA103" s="76"/>
      <c r="AB103" s="148" t="str">
        <f ca="1">IFERROR(VALUE(IF(VLOOKUP($A103,数出表_Excel!$A$6:$T$150,COLUMN()/2+1,FALSE)=0,"",VLOOKUP($A103,数出表_Excel!$A$6:$T$150,COLUMN()/2+1,FALSE))),"")</f>
        <v/>
      </c>
      <c r="AC103" s="76"/>
      <c r="AD103" s="148" t="str">
        <f ca="1">IFERROR(VALUE(IF(VLOOKUP($A103,数出表_Excel!$A$6:$T$150,COLUMN()/2+1,FALSE)=0,"",VLOOKUP($A103,数出表_Excel!$A$6:$T$150,COLUMN()/2+1,FALSE))),"")</f>
        <v/>
      </c>
      <c r="AE103" s="76"/>
      <c r="AF103" s="148" t="str">
        <f ca="1">IFERROR(VALUE(IF(VLOOKUP($A103,数出表_Excel!$A$6:$T$150,COLUMN()/2+1,FALSE)=0,"",VLOOKUP($A103,数出表_Excel!$A$6:$T$150,COLUMN()/2+1,FALSE))),"")</f>
        <v/>
      </c>
      <c r="AG103" s="76"/>
      <c r="AH103" s="148" t="str">
        <f ca="1">IFERROR(VALUE(IF(VLOOKUP($A103,数出表_Excel!$A$6:$T$150,COLUMN()/2+1,FALSE)=0,"",VLOOKUP($A103,数出表_Excel!$A$6:$T$150,COLUMN()/2+1,FALSE))),"")</f>
        <v/>
      </c>
      <c r="AI103" s="76"/>
      <c r="AJ103" s="148" t="str">
        <f ca="1">IFERROR(VALUE(IF(VLOOKUP($A103,数出表_Excel!$A$6:$T$150,COLUMN()/2+1,FALSE)=0,"",VLOOKUP($A103,数出表_Excel!$A$6:$T$150,COLUMN()/2+1,FALSE))),"")</f>
        <v/>
      </c>
      <c r="AK103" s="76"/>
      <c r="AL103" s="63" t="e">
        <f ca="1">IF(A103&lt;&gt;"",
IF(VLOOKUP($A103,数出表_Excel!$A$6:$T$150,COLUMN()/2+1,FALSE)=0,"",VLOOKUP($A103,数出表_Excel!$A$6:$T$150,COLUMN()/2+1,FALSE)),"")</f>
        <v>#N/A</v>
      </c>
      <c r="AM103" s="91" t="e">
        <f>数出表_Excel!V103</f>
        <v>#N/A</v>
      </c>
      <c r="AN103" s="92" t="e">
        <f>数出表_Excel!W103</f>
        <v>#N/A</v>
      </c>
    </row>
    <row r="104" spans="1:40" ht="16.2" customHeight="1">
      <c r="A104" s="81" t="e">
        <f t="array" aca="1" ref="A104" ca="1">IF(OR(COUNTIF(A102,"*10002*"),COUNTIF(A102,"")),"",INDEX(貼り付け用!$A1:$A200,MATCH(A102,貼り付け用!$A1:$A200,0)+2,0))</f>
        <v>#N/A</v>
      </c>
      <c r="B104" s="182" t="str">
        <f ca="1">IFERROR(VALUE(IF(VLOOKUP($A104,数出表_Excel!$A$6:$T$150,COLUMN()/2+1,FALSE)=0,"",VLOOKUP($A104,数出表_Excel!$A$6:$T$150,COLUMN()/2+1,FALSE))),"")</f>
        <v/>
      </c>
      <c r="C104" s="75"/>
      <c r="D104" s="182" t="str">
        <f ca="1">IFERROR(VALUE(IF(VLOOKUP($A104,数出表_Excel!$A$6:$T$150,COLUMN()/2+1,FALSE)=0,"",VLOOKUP($A104,数出表_Excel!$A$6:$T$150,COLUMN()/2+1,FALSE))),"")</f>
        <v/>
      </c>
      <c r="E104" s="75"/>
      <c r="F104" s="182" t="str">
        <f ca="1">IFERROR(VALUE(IF(VLOOKUP($A104,数出表_Excel!$A$6:$T$150,COLUMN()/2+1,FALSE)=0,"",VLOOKUP($A104,数出表_Excel!$A$6:$T$150,COLUMN()/2+1,FALSE))),"")</f>
        <v/>
      </c>
      <c r="G104" s="75"/>
      <c r="H104" s="182" t="str">
        <f ca="1">IFERROR(VALUE(IF(VLOOKUP($A104,数出表_Excel!$A$6:$T$150,COLUMN()/2+1,FALSE)=0,"",VLOOKUP($A104,数出表_Excel!$A$6:$T$150,COLUMN()/2+1,FALSE))),"")</f>
        <v/>
      </c>
      <c r="I104" s="75"/>
      <c r="J104" s="182" t="str">
        <f ca="1">IFERROR(VALUE(IF(VLOOKUP($A104,数出表_Excel!$A$6:$T$150,COLUMN()/2+1,FALSE)=0,"",VLOOKUP($A104,数出表_Excel!$A$6:$T$150,COLUMN()/2+1,FALSE))),"")</f>
        <v/>
      </c>
      <c r="K104" s="75"/>
      <c r="L104" s="182" t="str">
        <f ca="1">IFERROR(VALUE(IF(VLOOKUP($A104,数出表_Excel!$A$6:$T$150,COLUMN()/2+1,FALSE)=0,"",VLOOKUP($A104,数出表_Excel!$A$6:$T$150,COLUMN()/2+1,FALSE))),"")</f>
        <v/>
      </c>
      <c r="M104" s="75"/>
      <c r="N104" s="182" t="str">
        <f ca="1">IFERROR(VALUE(IF(VLOOKUP($A104,数出表_Excel!$A$6:$T$150,COLUMN()/2+1,FALSE)=0,"",VLOOKUP($A104,数出表_Excel!$A$6:$T$150,COLUMN()/2+1,FALSE))),"")</f>
        <v/>
      </c>
      <c r="O104" s="75"/>
      <c r="P104" s="182" t="str">
        <f ca="1">IFERROR(VALUE(IF(VLOOKUP($A104,数出表_Excel!$A$6:$T$150,COLUMN()/2+1,FALSE)=0,"",VLOOKUP($A104,数出表_Excel!$A$6:$T$150,COLUMN()/2+1,FALSE))),"")</f>
        <v/>
      </c>
      <c r="Q104" s="75"/>
      <c r="R104" s="182" t="str">
        <f ca="1">IFERROR(VALUE(IF(VLOOKUP($A104,数出表_Excel!$A$6:$T$150,COLUMN()/2+1,FALSE)=0,"",VLOOKUP($A104,数出表_Excel!$A$6:$T$150,COLUMN()/2+1,FALSE))),"")</f>
        <v/>
      </c>
      <c r="S104" s="75"/>
      <c r="T104" s="182" t="str">
        <f ca="1">IFERROR(VALUE(IF(VLOOKUP($A104,数出表_Excel!$A$6:$T$150,COLUMN()/2+1,FALSE)=0,"",VLOOKUP($A104,数出表_Excel!$A$6:$T$150,COLUMN()/2+1,FALSE))),"")</f>
        <v/>
      </c>
      <c r="U104" s="75"/>
      <c r="V104" s="182" t="str">
        <f ca="1">IFERROR(VALUE(IF(VLOOKUP($A104,数出表_Excel!$A$6:$T$150,COLUMN()/2+1,FALSE)=0,"",VLOOKUP($A104,数出表_Excel!$A$6:$T$150,COLUMN()/2+1,FALSE))),"")</f>
        <v/>
      </c>
      <c r="W104" s="75"/>
      <c r="X104" s="182" t="str">
        <f ca="1">IFERROR(VALUE(IF(VLOOKUP($A104,数出表_Excel!$A$6:$T$150,COLUMN()/2+1,FALSE)=0,"",VLOOKUP($A104,数出表_Excel!$A$6:$T$150,COLUMN()/2+1,FALSE))),"")</f>
        <v/>
      </c>
      <c r="Y104" s="75"/>
      <c r="Z104" s="182" t="str">
        <f ca="1">IFERROR(VALUE(IF(VLOOKUP($A104,数出表_Excel!$A$6:$T$150,COLUMN()/2+1,FALSE)=0,"",VLOOKUP($A104,数出表_Excel!$A$6:$T$150,COLUMN()/2+1,FALSE))),"")</f>
        <v/>
      </c>
      <c r="AA104" s="75"/>
      <c r="AB104" s="182" t="str">
        <f ca="1">IFERROR(VALUE(IF(VLOOKUP($A104,数出表_Excel!$A$6:$T$150,COLUMN()/2+1,FALSE)=0,"",VLOOKUP($A104,数出表_Excel!$A$6:$T$150,COLUMN()/2+1,FALSE))),"")</f>
        <v/>
      </c>
      <c r="AC104" s="75"/>
      <c r="AD104" s="182" t="str">
        <f ca="1">IFERROR(VALUE(IF(VLOOKUP($A104,数出表_Excel!$A$6:$T$150,COLUMN()/2+1,FALSE)=0,"",VLOOKUP($A104,数出表_Excel!$A$6:$T$150,COLUMN()/2+1,FALSE))),"")</f>
        <v/>
      </c>
      <c r="AE104" s="75"/>
      <c r="AF104" s="182" t="str">
        <f ca="1">IFERROR(VALUE(IF(VLOOKUP($A104,数出表_Excel!$A$6:$T$150,COLUMN()/2+1,FALSE)=0,"",VLOOKUP($A104,数出表_Excel!$A$6:$T$150,COLUMN()/2+1,FALSE))),"")</f>
        <v/>
      </c>
      <c r="AG104" s="75"/>
      <c r="AH104" s="182" t="str">
        <f ca="1">IFERROR(VALUE(IF(VLOOKUP($A104,数出表_Excel!$A$6:$T$150,COLUMN()/2+1,FALSE)=0,"",VLOOKUP($A104,数出表_Excel!$A$6:$T$150,COLUMN()/2+1,FALSE))),"")</f>
        <v/>
      </c>
      <c r="AI104" s="75"/>
      <c r="AJ104" s="182" t="str">
        <f ca="1">IFERROR(VALUE(IF(VLOOKUP($A104,数出表_Excel!$A$6:$T$150,COLUMN()/2+1,FALSE)=0,"",VLOOKUP($A104,数出表_Excel!$A$6:$T$150,COLUMN()/2+1,FALSE))),"")</f>
        <v/>
      </c>
      <c r="AK104" s="75"/>
      <c r="AL104" s="61" t="e">
        <f ca="1">IF(A104&lt;&gt;"",
IF(VLOOKUP($A104,数出表_Excel!$A$6:$T$150,COLUMN()/2+1,FALSE)=0,"",VLOOKUP($A104,数出表_Excel!$A$6:$T$150,COLUMN()/2+1,FALSE)),"")</f>
        <v>#N/A</v>
      </c>
      <c r="AM104" s="89" t="e">
        <f>数出表_Excel!V104</f>
        <v>#N/A</v>
      </c>
      <c r="AN104" s="90" t="e">
        <f>数出表_Excel!W104</f>
        <v>#N/A</v>
      </c>
    </row>
    <row r="105" spans="1:40" ht="16.2" customHeight="1">
      <c r="A105" s="82" t="e">
        <f t="array" aca="1" ref="A105" ca="1">IF(OR(COUNTIF(A103,"*1000*"),COUNTIF(A103,"")),"",INDEX(貼り付け用!$A1:$A200,MATCH(A103,貼り付け用!$A1:$A200,0)+2,0))</f>
        <v>#N/A</v>
      </c>
      <c r="B105" s="148" t="str">
        <f ca="1">IFERROR(VALUE(IF(VLOOKUP($A105,数出表_Excel!$A$6:$T$150,COLUMN()/2+1,FALSE)=0,"",VLOOKUP($A105,数出表_Excel!$A$6:$T$150,COLUMN()/2+1,FALSE))),"")</f>
        <v/>
      </c>
      <c r="C105" s="76"/>
      <c r="D105" s="148" t="str">
        <f ca="1">IFERROR(VALUE(IF(VLOOKUP($A105,数出表_Excel!$A$6:$T$150,COLUMN()/2+1,FALSE)=0,"",VLOOKUP($A105,数出表_Excel!$A$6:$T$150,COLUMN()/2+1,FALSE))),"")</f>
        <v/>
      </c>
      <c r="E105" s="76"/>
      <c r="F105" s="148" t="str">
        <f ca="1">IFERROR(VALUE(IF(VLOOKUP($A105,数出表_Excel!$A$6:$T$150,COLUMN()/2+1,FALSE)=0,"",VLOOKUP($A105,数出表_Excel!$A$6:$T$150,COLUMN()/2+1,FALSE))),"")</f>
        <v/>
      </c>
      <c r="G105" s="76"/>
      <c r="H105" s="148" t="str">
        <f ca="1">IFERROR(VALUE(IF(VLOOKUP($A105,数出表_Excel!$A$6:$T$150,COLUMN()/2+1,FALSE)=0,"",VLOOKUP($A105,数出表_Excel!$A$6:$T$150,COLUMN()/2+1,FALSE))),"")</f>
        <v/>
      </c>
      <c r="I105" s="76"/>
      <c r="J105" s="148" t="str">
        <f ca="1">IFERROR(VALUE(IF(VLOOKUP($A105,数出表_Excel!$A$6:$T$150,COLUMN()/2+1,FALSE)=0,"",VLOOKUP($A105,数出表_Excel!$A$6:$T$150,COLUMN()/2+1,FALSE))),"")</f>
        <v/>
      </c>
      <c r="K105" s="76"/>
      <c r="L105" s="148" t="str">
        <f ca="1">IFERROR(VALUE(IF(VLOOKUP($A105,数出表_Excel!$A$6:$T$150,COLUMN()/2+1,FALSE)=0,"",VLOOKUP($A105,数出表_Excel!$A$6:$T$150,COLUMN()/2+1,FALSE))),"")</f>
        <v/>
      </c>
      <c r="M105" s="76"/>
      <c r="N105" s="148" t="str">
        <f ca="1">IFERROR(VALUE(IF(VLOOKUP($A105,数出表_Excel!$A$6:$T$150,COLUMN()/2+1,FALSE)=0,"",VLOOKUP($A105,数出表_Excel!$A$6:$T$150,COLUMN()/2+1,FALSE))),"")</f>
        <v/>
      </c>
      <c r="O105" s="76"/>
      <c r="P105" s="148" t="str">
        <f ca="1">IFERROR(VALUE(IF(VLOOKUP($A105,数出表_Excel!$A$6:$T$150,COLUMN()/2+1,FALSE)=0,"",VLOOKUP($A105,数出表_Excel!$A$6:$T$150,COLUMN()/2+1,FALSE))),"")</f>
        <v/>
      </c>
      <c r="Q105" s="76"/>
      <c r="R105" s="148" t="str">
        <f ca="1">IFERROR(VALUE(IF(VLOOKUP($A105,数出表_Excel!$A$6:$T$150,COLUMN()/2+1,FALSE)=0,"",VLOOKUP($A105,数出表_Excel!$A$6:$T$150,COLUMN()/2+1,FALSE))),"")</f>
        <v/>
      </c>
      <c r="S105" s="76"/>
      <c r="T105" s="148" t="str">
        <f ca="1">IFERROR(VALUE(IF(VLOOKUP($A105,数出表_Excel!$A$6:$T$150,COLUMN()/2+1,FALSE)=0,"",VLOOKUP($A105,数出表_Excel!$A$6:$T$150,COLUMN()/2+1,FALSE))),"")</f>
        <v/>
      </c>
      <c r="U105" s="76"/>
      <c r="V105" s="148" t="str">
        <f ca="1">IFERROR(VALUE(IF(VLOOKUP($A105,数出表_Excel!$A$6:$T$150,COLUMN()/2+1,FALSE)=0,"",VLOOKUP($A105,数出表_Excel!$A$6:$T$150,COLUMN()/2+1,FALSE))),"")</f>
        <v/>
      </c>
      <c r="W105" s="76"/>
      <c r="X105" s="148" t="str">
        <f ca="1">IFERROR(VALUE(IF(VLOOKUP($A105,数出表_Excel!$A$6:$T$150,COLUMN()/2+1,FALSE)=0,"",VLOOKUP($A105,数出表_Excel!$A$6:$T$150,COLUMN()/2+1,FALSE))),"")</f>
        <v/>
      </c>
      <c r="Y105" s="76"/>
      <c r="Z105" s="148" t="str">
        <f ca="1">IFERROR(VALUE(IF(VLOOKUP($A105,数出表_Excel!$A$6:$T$150,COLUMN()/2+1,FALSE)=0,"",VLOOKUP($A105,数出表_Excel!$A$6:$T$150,COLUMN()/2+1,FALSE))),"")</f>
        <v/>
      </c>
      <c r="AA105" s="76"/>
      <c r="AB105" s="148" t="str">
        <f ca="1">IFERROR(VALUE(IF(VLOOKUP($A105,数出表_Excel!$A$6:$T$150,COLUMN()/2+1,FALSE)=0,"",VLOOKUP($A105,数出表_Excel!$A$6:$T$150,COLUMN()/2+1,FALSE))),"")</f>
        <v/>
      </c>
      <c r="AC105" s="76"/>
      <c r="AD105" s="148" t="str">
        <f ca="1">IFERROR(VALUE(IF(VLOOKUP($A105,数出表_Excel!$A$6:$T$150,COLUMN()/2+1,FALSE)=0,"",VLOOKUP($A105,数出表_Excel!$A$6:$T$150,COLUMN()/2+1,FALSE))),"")</f>
        <v/>
      </c>
      <c r="AE105" s="76"/>
      <c r="AF105" s="148" t="str">
        <f ca="1">IFERROR(VALUE(IF(VLOOKUP($A105,数出表_Excel!$A$6:$T$150,COLUMN()/2+1,FALSE)=0,"",VLOOKUP($A105,数出表_Excel!$A$6:$T$150,COLUMN()/2+1,FALSE))),"")</f>
        <v/>
      </c>
      <c r="AG105" s="76"/>
      <c r="AH105" s="148" t="str">
        <f ca="1">IFERROR(VALUE(IF(VLOOKUP($A105,数出表_Excel!$A$6:$T$150,COLUMN()/2+1,FALSE)=0,"",VLOOKUP($A105,数出表_Excel!$A$6:$T$150,COLUMN()/2+1,FALSE))),"")</f>
        <v/>
      </c>
      <c r="AI105" s="76"/>
      <c r="AJ105" s="148" t="str">
        <f ca="1">IFERROR(VALUE(IF(VLOOKUP($A105,数出表_Excel!$A$6:$T$150,COLUMN()/2+1,FALSE)=0,"",VLOOKUP($A105,数出表_Excel!$A$6:$T$150,COLUMN()/2+1,FALSE))),"")</f>
        <v/>
      </c>
      <c r="AK105" s="76"/>
      <c r="AL105" s="63" t="e">
        <f ca="1">IF(A105&lt;&gt;"",
IF(VLOOKUP($A105,数出表_Excel!$A$6:$T$150,COLUMN()/2+1,FALSE)=0,"",VLOOKUP($A105,数出表_Excel!$A$6:$T$150,COLUMN()/2+1,FALSE)),"")</f>
        <v>#N/A</v>
      </c>
      <c r="AM105" s="91" t="e">
        <f>数出表_Excel!V105</f>
        <v>#N/A</v>
      </c>
      <c r="AN105" s="92" t="e">
        <f>数出表_Excel!W105</f>
        <v>#N/A</v>
      </c>
    </row>
    <row r="106" spans="1:40" ht="16.2" customHeight="1">
      <c r="A106" s="81" t="e">
        <f t="array" aca="1" ref="A106" ca="1">IF(OR(COUNTIF(A104,"*10002*"),COUNTIF(A104,"")),"",INDEX(貼り付け用!$A1:$A200,MATCH(A104,貼り付け用!$A1:$A200,0)+2,0))</f>
        <v>#N/A</v>
      </c>
      <c r="B106" s="182" t="str">
        <f ca="1">IFERROR(VALUE(IF(VLOOKUP($A106,数出表_Excel!$A$6:$T$150,COLUMN()/2+1,FALSE)=0,"",VLOOKUP($A106,数出表_Excel!$A$6:$T$150,COLUMN()/2+1,FALSE))),"")</f>
        <v/>
      </c>
      <c r="C106" s="75"/>
      <c r="D106" s="182" t="str">
        <f ca="1">IFERROR(VALUE(IF(VLOOKUP($A106,数出表_Excel!$A$6:$T$150,COLUMN()/2+1,FALSE)=0,"",VLOOKUP($A106,数出表_Excel!$A$6:$T$150,COLUMN()/2+1,FALSE))),"")</f>
        <v/>
      </c>
      <c r="E106" s="75"/>
      <c r="F106" s="182" t="str">
        <f ca="1">IFERROR(VALUE(IF(VLOOKUP($A106,数出表_Excel!$A$6:$T$150,COLUMN()/2+1,FALSE)=0,"",VLOOKUP($A106,数出表_Excel!$A$6:$T$150,COLUMN()/2+1,FALSE))),"")</f>
        <v/>
      </c>
      <c r="G106" s="75"/>
      <c r="H106" s="182" t="str">
        <f ca="1">IFERROR(VALUE(IF(VLOOKUP($A106,数出表_Excel!$A$6:$T$150,COLUMN()/2+1,FALSE)=0,"",VLOOKUP($A106,数出表_Excel!$A$6:$T$150,COLUMN()/2+1,FALSE))),"")</f>
        <v/>
      </c>
      <c r="I106" s="75"/>
      <c r="J106" s="182" t="str">
        <f ca="1">IFERROR(VALUE(IF(VLOOKUP($A106,数出表_Excel!$A$6:$T$150,COLUMN()/2+1,FALSE)=0,"",VLOOKUP($A106,数出表_Excel!$A$6:$T$150,COLUMN()/2+1,FALSE))),"")</f>
        <v/>
      </c>
      <c r="K106" s="75"/>
      <c r="L106" s="182" t="str">
        <f ca="1">IFERROR(VALUE(IF(VLOOKUP($A106,数出表_Excel!$A$6:$T$150,COLUMN()/2+1,FALSE)=0,"",VLOOKUP($A106,数出表_Excel!$A$6:$T$150,COLUMN()/2+1,FALSE))),"")</f>
        <v/>
      </c>
      <c r="M106" s="75"/>
      <c r="N106" s="182" t="str">
        <f ca="1">IFERROR(VALUE(IF(VLOOKUP($A106,数出表_Excel!$A$6:$T$150,COLUMN()/2+1,FALSE)=0,"",VLOOKUP($A106,数出表_Excel!$A$6:$T$150,COLUMN()/2+1,FALSE))),"")</f>
        <v/>
      </c>
      <c r="O106" s="75"/>
      <c r="P106" s="182" t="str">
        <f ca="1">IFERROR(VALUE(IF(VLOOKUP($A106,数出表_Excel!$A$6:$T$150,COLUMN()/2+1,FALSE)=0,"",VLOOKUP($A106,数出表_Excel!$A$6:$T$150,COLUMN()/2+1,FALSE))),"")</f>
        <v/>
      </c>
      <c r="Q106" s="75"/>
      <c r="R106" s="182" t="str">
        <f ca="1">IFERROR(VALUE(IF(VLOOKUP($A106,数出表_Excel!$A$6:$T$150,COLUMN()/2+1,FALSE)=0,"",VLOOKUP($A106,数出表_Excel!$A$6:$T$150,COLUMN()/2+1,FALSE))),"")</f>
        <v/>
      </c>
      <c r="S106" s="75"/>
      <c r="T106" s="182" t="str">
        <f ca="1">IFERROR(VALUE(IF(VLOOKUP($A106,数出表_Excel!$A$6:$T$150,COLUMN()/2+1,FALSE)=0,"",VLOOKUP($A106,数出表_Excel!$A$6:$T$150,COLUMN()/2+1,FALSE))),"")</f>
        <v/>
      </c>
      <c r="U106" s="75"/>
      <c r="V106" s="182" t="str">
        <f ca="1">IFERROR(VALUE(IF(VLOOKUP($A106,数出表_Excel!$A$6:$T$150,COLUMN()/2+1,FALSE)=0,"",VLOOKUP($A106,数出表_Excel!$A$6:$T$150,COLUMN()/2+1,FALSE))),"")</f>
        <v/>
      </c>
      <c r="W106" s="75"/>
      <c r="X106" s="182" t="str">
        <f ca="1">IFERROR(VALUE(IF(VLOOKUP($A106,数出表_Excel!$A$6:$T$150,COLUMN()/2+1,FALSE)=0,"",VLOOKUP($A106,数出表_Excel!$A$6:$T$150,COLUMN()/2+1,FALSE))),"")</f>
        <v/>
      </c>
      <c r="Y106" s="75"/>
      <c r="Z106" s="182" t="str">
        <f ca="1">IFERROR(VALUE(IF(VLOOKUP($A106,数出表_Excel!$A$6:$T$150,COLUMN()/2+1,FALSE)=0,"",VLOOKUP($A106,数出表_Excel!$A$6:$T$150,COLUMN()/2+1,FALSE))),"")</f>
        <v/>
      </c>
      <c r="AA106" s="75"/>
      <c r="AB106" s="182" t="str">
        <f ca="1">IFERROR(VALUE(IF(VLOOKUP($A106,数出表_Excel!$A$6:$T$150,COLUMN()/2+1,FALSE)=0,"",VLOOKUP($A106,数出表_Excel!$A$6:$T$150,COLUMN()/2+1,FALSE))),"")</f>
        <v/>
      </c>
      <c r="AC106" s="75"/>
      <c r="AD106" s="182" t="str">
        <f ca="1">IFERROR(VALUE(IF(VLOOKUP($A106,数出表_Excel!$A$6:$T$150,COLUMN()/2+1,FALSE)=0,"",VLOOKUP($A106,数出表_Excel!$A$6:$T$150,COLUMN()/2+1,FALSE))),"")</f>
        <v/>
      </c>
      <c r="AE106" s="75"/>
      <c r="AF106" s="182" t="str">
        <f ca="1">IFERROR(VALUE(IF(VLOOKUP($A106,数出表_Excel!$A$6:$T$150,COLUMN()/2+1,FALSE)=0,"",VLOOKUP($A106,数出表_Excel!$A$6:$T$150,COLUMN()/2+1,FALSE))),"")</f>
        <v/>
      </c>
      <c r="AG106" s="75"/>
      <c r="AH106" s="182" t="str">
        <f ca="1">IFERROR(VALUE(IF(VLOOKUP($A106,数出表_Excel!$A$6:$T$150,COLUMN()/2+1,FALSE)=0,"",VLOOKUP($A106,数出表_Excel!$A$6:$T$150,COLUMN()/2+1,FALSE))),"")</f>
        <v/>
      </c>
      <c r="AI106" s="75"/>
      <c r="AJ106" s="182" t="str">
        <f ca="1">IFERROR(VALUE(IF(VLOOKUP($A106,数出表_Excel!$A$6:$T$150,COLUMN()/2+1,FALSE)=0,"",VLOOKUP($A106,数出表_Excel!$A$6:$T$150,COLUMN()/2+1,FALSE))),"")</f>
        <v/>
      </c>
      <c r="AK106" s="75"/>
      <c r="AL106" s="61" t="e">
        <f ca="1">IF(A106&lt;&gt;"",
IF(VLOOKUP($A106,数出表_Excel!$A$6:$T$150,COLUMN()/2+1,FALSE)=0,"",VLOOKUP($A106,数出表_Excel!$A$6:$T$150,COLUMN()/2+1,FALSE)),"")</f>
        <v>#N/A</v>
      </c>
      <c r="AM106" s="89" t="e">
        <f>数出表_Excel!V106</f>
        <v>#N/A</v>
      </c>
      <c r="AN106" s="90" t="e">
        <f>数出表_Excel!W106</f>
        <v>#N/A</v>
      </c>
    </row>
    <row r="107" spans="1:40" ht="16.2" customHeight="1">
      <c r="A107" s="82" t="e">
        <f t="array" aca="1" ref="A107" ca="1">IF(OR(COUNTIF(A105,"*1000*"),COUNTIF(A105,"")),"",INDEX(貼り付け用!$A1:$A200,MATCH(A105,貼り付け用!$A1:$A200,0)+2,0))</f>
        <v>#N/A</v>
      </c>
      <c r="B107" s="148" t="str">
        <f ca="1">IFERROR(VALUE(IF(VLOOKUP($A107,数出表_Excel!$A$6:$T$150,COLUMN()/2+1,FALSE)=0,"",VLOOKUP($A107,数出表_Excel!$A$6:$T$150,COLUMN()/2+1,FALSE))),"")</f>
        <v/>
      </c>
      <c r="C107" s="76"/>
      <c r="D107" s="148" t="str">
        <f ca="1">IFERROR(VALUE(IF(VLOOKUP($A107,数出表_Excel!$A$6:$T$150,COLUMN()/2+1,FALSE)=0,"",VLOOKUP($A107,数出表_Excel!$A$6:$T$150,COLUMN()/2+1,FALSE))),"")</f>
        <v/>
      </c>
      <c r="E107" s="76"/>
      <c r="F107" s="148" t="str">
        <f ca="1">IFERROR(VALUE(IF(VLOOKUP($A107,数出表_Excel!$A$6:$T$150,COLUMN()/2+1,FALSE)=0,"",VLOOKUP($A107,数出表_Excel!$A$6:$T$150,COLUMN()/2+1,FALSE))),"")</f>
        <v/>
      </c>
      <c r="G107" s="76"/>
      <c r="H107" s="148" t="str">
        <f ca="1">IFERROR(VALUE(IF(VLOOKUP($A107,数出表_Excel!$A$6:$T$150,COLUMN()/2+1,FALSE)=0,"",VLOOKUP($A107,数出表_Excel!$A$6:$T$150,COLUMN()/2+1,FALSE))),"")</f>
        <v/>
      </c>
      <c r="I107" s="76"/>
      <c r="J107" s="148" t="str">
        <f ca="1">IFERROR(VALUE(IF(VLOOKUP($A107,数出表_Excel!$A$6:$T$150,COLUMN()/2+1,FALSE)=0,"",VLOOKUP($A107,数出表_Excel!$A$6:$T$150,COLUMN()/2+1,FALSE))),"")</f>
        <v/>
      </c>
      <c r="K107" s="76"/>
      <c r="L107" s="148" t="str">
        <f ca="1">IFERROR(VALUE(IF(VLOOKUP($A107,数出表_Excel!$A$6:$T$150,COLUMN()/2+1,FALSE)=0,"",VLOOKUP($A107,数出表_Excel!$A$6:$T$150,COLUMN()/2+1,FALSE))),"")</f>
        <v/>
      </c>
      <c r="M107" s="76"/>
      <c r="N107" s="148" t="str">
        <f ca="1">IFERROR(VALUE(IF(VLOOKUP($A107,数出表_Excel!$A$6:$T$150,COLUMN()/2+1,FALSE)=0,"",VLOOKUP($A107,数出表_Excel!$A$6:$T$150,COLUMN()/2+1,FALSE))),"")</f>
        <v/>
      </c>
      <c r="O107" s="76"/>
      <c r="P107" s="148" t="str">
        <f ca="1">IFERROR(VALUE(IF(VLOOKUP($A107,数出表_Excel!$A$6:$T$150,COLUMN()/2+1,FALSE)=0,"",VLOOKUP($A107,数出表_Excel!$A$6:$T$150,COLUMN()/2+1,FALSE))),"")</f>
        <v/>
      </c>
      <c r="Q107" s="76"/>
      <c r="R107" s="148" t="str">
        <f ca="1">IFERROR(VALUE(IF(VLOOKUP($A107,数出表_Excel!$A$6:$T$150,COLUMN()/2+1,FALSE)=0,"",VLOOKUP($A107,数出表_Excel!$A$6:$T$150,COLUMN()/2+1,FALSE))),"")</f>
        <v/>
      </c>
      <c r="S107" s="76"/>
      <c r="T107" s="148" t="str">
        <f ca="1">IFERROR(VALUE(IF(VLOOKUP($A107,数出表_Excel!$A$6:$T$150,COLUMN()/2+1,FALSE)=0,"",VLOOKUP($A107,数出表_Excel!$A$6:$T$150,COLUMN()/2+1,FALSE))),"")</f>
        <v/>
      </c>
      <c r="U107" s="76"/>
      <c r="V107" s="148" t="str">
        <f ca="1">IFERROR(VALUE(IF(VLOOKUP($A107,数出表_Excel!$A$6:$T$150,COLUMN()/2+1,FALSE)=0,"",VLOOKUP($A107,数出表_Excel!$A$6:$T$150,COLUMN()/2+1,FALSE))),"")</f>
        <v/>
      </c>
      <c r="W107" s="76"/>
      <c r="X107" s="148" t="str">
        <f ca="1">IFERROR(VALUE(IF(VLOOKUP($A107,数出表_Excel!$A$6:$T$150,COLUMN()/2+1,FALSE)=0,"",VLOOKUP($A107,数出表_Excel!$A$6:$T$150,COLUMN()/2+1,FALSE))),"")</f>
        <v/>
      </c>
      <c r="Y107" s="76"/>
      <c r="Z107" s="148" t="str">
        <f ca="1">IFERROR(VALUE(IF(VLOOKUP($A107,数出表_Excel!$A$6:$T$150,COLUMN()/2+1,FALSE)=0,"",VLOOKUP($A107,数出表_Excel!$A$6:$T$150,COLUMN()/2+1,FALSE))),"")</f>
        <v/>
      </c>
      <c r="AA107" s="76"/>
      <c r="AB107" s="148" t="str">
        <f ca="1">IFERROR(VALUE(IF(VLOOKUP($A107,数出表_Excel!$A$6:$T$150,COLUMN()/2+1,FALSE)=0,"",VLOOKUP($A107,数出表_Excel!$A$6:$T$150,COLUMN()/2+1,FALSE))),"")</f>
        <v/>
      </c>
      <c r="AC107" s="76"/>
      <c r="AD107" s="148" t="str">
        <f ca="1">IFERROR(VALUE(IF(VLOOKUP($A107,数出表_Excel!$A$6:$T$150,COLUMN()/2+1,FALSE)=0,"",VLOOKUP($A107,数出表_Excel!$A$6:$T$150,COLUMN()/2+1,FALSE))),"")</f>
        <v/>
      </c>
      <c r="AE107" s="76"/>
      <c r="AF107" s="148" t="str">
        <f ca="1">IFERROR(VALUE(IF(VLOOKUP($A107,数出表_Excel!$A$6:$T$150,COLUMN()/2+1,FALSE)=0,"",VLOOKUP($A107,数出表_Excel!$A$6:$T$150,COLUMN()/2+1,FALSE))),"")</f>
        <v/>
      </c>
      <c r="AG107" s="76"/>
      <c r="AH107" s="148" t="str">
        <f ca="1">IFERROR(VALUE(IF(VLOOKUP($A107,数出表_Excel!$A$6:$T$150,COLUMN()/2+1,FALSE)=0,"",VLOOKUP($A107,数出表_Excel!$A$6:$T$150,COLUMN()/2+1,FALSE))),"")</f>
        <v/>
      </c>
      <c r="AI107" s="76"/>
      <c r="AJ107" s="148" t="str">
        <f ca="1">IFERROR(VALUE(IF(VLOOKUP($A107,数出表_Excel!$A$6:$T$150,COLUMN()/2+1,FALSE)=0,"",VLOOKUP($A107,数出表_Excel!$A$6:$T$150,COLUMN()/2+1,FALSE))),"")</f>
        <v/>
      </c>
      <c r="AK107" s="76"/>
      <c r="AL107" s="63" t="e">
        <f ca="1">IF(A107&lt;&gt;"",
IF(VLOOKUP($A107,数出表_Excel!$A$6:$T$150,COLUMN()/2+1,FALSE)=0,"",VLOOKUP($A107,数出表_Excel!$A$6:$T$150,COLUMN()/2+1,FALSE)),"")</f>
        <v>#N/A</v>
      </c>
      <c r="AM107" s="91" t="e">
        <f>数出表_Excel!V107</f>
        <v>#N/A</v>
      </c>
      <c r="AN107" s="92" t="e">
        <f>数出表_Excel!W107</f>
        <v>#N/A</v>
      </c>
    </row>
    <row r="108" spans="1:40" ht="16.2" customHeight="1">
      <c r="A108" s="81" t="e">
        <f t="array" aca="1" ref="A108" ca="1">IF(OR(COUNTIF(A106,"*10002*"),COUNTIF(A106,"")),"",INDEX(貼り付け用!$A1:$A200,MATCH(A106,貼り付け用!$A1:$A200,0)+2,0))</f>
        <v>#N/A</v>
      </c>
      <c r="B108" s="182" t="str">
        <f ca="1">IFERROR(VALUE(IF(VLOOKUP($A108,数出表_Excel!$A$6:$T$150,COLUMN()/2+1,FALSE)=0,"",VLOOKUP($A108,数出表_Excel!$A$6:$T$150,COLUMN()/2+1,FALSE))),"")</f>
        <v/>
      </c>
      <c r="C108" s="75"/>
      <c r="D108" s="182" t="str">
        <f ca="1">IFERROR(VALUE(IF(VLOOKUP($A108,数出表_Excel!$A$6:$T$150,COLUMN()/2+1,FALSE)=0,"",VLOOKUP($A108,数出表_Excel!$A$6:$T$150,COLUMN()/2+1,FALSE))),"")</f>
        <v/>
      </c>
      <c r="E108" s="75"/>
      <c r="F108" s="182" t="str">
        <f ca="1">IFERROR(VALUE(IF(VLOOKUP($A108,数出表_Excel!$A$6:$T$150,COLUMN()/2+1,FALSE)=0,"",VLOOKUP($A108,数出表_Excel!$A$6:$T$150,COLUMN()/2+1,FALSE))),"")</f>
        <v/>
      </c>
      <c r="G108" s="75"/>
      <c r="H108" s="182" t="str">
        <f ca="1">IFERROR(VALUE(IF(VLOOKUP($A108,数出表_Excel!$A$6:$T$150,COLUMN()/2+1,FALSE)=0,"",VLOOKUP($A108,数出表_Excel!$A$6:$T$150,COLUMN()/2+1,FALSE))),"")</f>
        <v/>
      </c>
      <c r="I108" s="75"/>
      <c r="J108" s="182" t="str">
        <f ca="1">IFERROR(VALUE(IF(VLOOKUP($A108,数出表_Excel!$A$6:$T$150,COLUMN()/2+1,FALSE)=0,"",VLOOKUP($A108,数出表_Excel!$A$6:$T$150,COLUMN()/2+1,FALSE))),"")</f>
        <v/>
      </c>
      <c r="K108" s="75"/>
      <c r="L108" s="182" t="str">
        <f ca="1">IFERROR(VALUE(IF(VLOOKUP($A108,数出表_Excel!$A$6:$T$150,COLUMN()/2+1,FALSE)=0,"",VLOOKUP($A108,数出表_Excel!$A$6:$T$150,COLUMN()/2+1,FALSE))),"")</f>
        <v/>
      </c>
      <c r="M108" s="75"/>
      <c r="N108" s="182" t="str">
        <f ca="1">IFERROR(VALUE(IF(VLOOKUP($A108,数出表_Excel!$A$6:$T$150,COLUMN()/2+1,FALSE)=0,"",VLOOKUP($A108,数出表_Excel!$A$6:$T$150,COLUMN()/2+1,FALSE))),"")</f>
        <v/>
      </c>
      <c r="O108" s="75"/>
      <c r="P108" s="182" t="str">
        <f ca="1">IFERROR(VALUE(IF(VLOOKUP($A108,数出表_Excel!$A$6:$T$150,COLUMN()/2+1,FALSE)=0,"",VLOOKUP($A108,数出表_Excel!$A$6:$T$150,COLUMN()/2+1,FALSE))),"")</f>
        <v/>
      </c>
      <c r="Q108" s="75"/>
      <c r="R108" s="182" t="str">
        <f ca="1">IFERROR(VALUE(IF(VLOOKUP($A108,数出表_Excel!$A$6:$T$150,COLUMN()/2+1,FALSE)=0,"",VLOOKUP($A108,数出表_Excel!$A$6:$T$150,COLUMN()/2+1,FALSE))),"")</f>
        <v/>
      </c>
      <c r="S108" s="75"/>
      <c r="T108" s="182" t="str">
        <f ca="1">IFERROR(VALUE(IF(VLOOKUP($A108,数出表_Excel!$A$6:$T$150,COLUMN()/2+1,FALSE)=0,"",VLOOKUP($A108,数出表_Excel!$A$6:$T$150,COLUMN()/2+1,FALSE))),"")</f>
        <v/>
      </c>
      <c r="U108" s="75"/>
      <c r="V108" s="182" t="str">
        <f ca="1">IFERROR(VALUE(IF(VLOOKUP($A108,数出表_Excel!$A$6:$T$150,COLUMN()/2+1,FALSE)=0,"",VLOOKUP($A108,数出表_Excel!$A$6:$T$150,COLUMN()/2+1,FALSE))),"")</f>
        <v/>
      </c>
      <c r="W108" s="75"/>
      <c r="X108" s="182" t="str">
        <f ca="1">IFERROR(VALUE(IF(VLOOKUP($A108,数出表_Excel!$A$6:$T$150,COLUMN()/2+1,FALSE)=0,"",VLOOKUP($A108,数出表_Excel!$A$6:$T$150,COLUMN()/2+1,FALSE))),"")</f>
        <v/>
      </c>
      <c r="Y108" s="75"/>
      <c r="Z108" s="182" t="str">
        <f ca="1">IFERROR(VALUE(IF(VLOOKUP($A108,数出表_Excel!$A$6:$T$150,COLUMN()/2+1,FALSE)=0,"",VLOOKUP($A108,数出表_Excel!$A$6:$T$150,COLUMN()/2+1,FALSE))),"")</f>
        <v/>
      </c>
      <c r="AA108" s="75"/>
      <c r="AB108" s="182" t="str">
        <f ca="1">IFERROR(VALUE(IF(VLOOKUP($A108,数出表_Excel!$A$6:$T$150,COLUMN()/2+1,FALSE)=0,"",VLOOKUP($A108,数出表_Excel!$A$6:$T$150,COLUMN()/2+1,FALSE))),"")</f>
        <v/>
      </c>
      <c r="AC108" s="75"/>
      <c r="AD108" s="182" t="str">
        <f ca="1">IFERROR(VALUE(IF(VLOOKUP($A108,数出表_Excel!$A$6:$T$150,COLUMN()/2+1,FALSE)=0,"",VLOOKUP($A108,数出表_Excel!$A$6:$T$150,COLUMN()/2+1,FALSE))),"")</f>
        <v/>
      </c>
      <c r="AE108" s="75"/>
      <c r="AF108" s="182" t="str">
        <f ca="1">IFERROR(VALUE(IF(VLOOKUP($A108,数出表_Excel!$A$6:$T$150,COLUMN()/2+1,FALSE)=0,"",VLOOKUP($A108,数出表_Excel!$A$6:$T$150,COLUMN()/2+1,FALSE))),"")</f>
        <v/>
      </c>
      <c r="AG108" s="75"/>
      <c r="AH108" s="182" t="str">
        <f ca="1">IFERROR(VALUE(IF(VLOOKUP($A108,数出表_Excel!$A$6:$T$150,COLUMN()/2+1,FALSE)=0,"",VLOOKUP($A108,数出表_Excel!$A$6:$T$150,COLUMN()/2+1,FALSE))),"")</f>
        <v/>
      </c>
      <c r="AI108" s="75"/>
      <c r="AJ108" s="182" t="str">
        <f ca="1">IFERROR(VALUE(IF(VLOOKUP($A108,数出表_Excel!$A$6:$T$150,COLUMN()/2+1,FALSE)=0,"",VLOOKUP($A108,数出表_Excel!$A$6:$T$150,COLUMN()/2+1,FALSE))),"")</f>
        <v/>
      </c>
      <c r="AK108" s="75"/>
      <c r="AL108" s="61" t="e">
        <f ca="1">IF(A108&lt;&gt;"",
IF(VLOOKUP($A108,数出表_Excel!$A$6:$T$150,COLUMN()/2+1,FALSE)=0,"",VLOOKUP($A108,数出表_Excel!$A$6:$T$150,COLUMN()/2+1,FALSE)),"")</f>
        <v>#N/A</v>
      </c>
      <c r="AM108" s="89" t="e">
        <f>数出表_Excel!V108</f>
        <v>#N/A</v>
      </c>
      <c r="AN108" s="90" t="e">
        <f>数出表_Excel!W108</f>
        <v>#N/A</v>
      </c>
    </row>
    <row r="109" spans="1:40" ht="16.2" customHeight="1">
      <c r="A109" s="82" t="e">
        <f t="array" aca="1" ref="A109" ca="1">IF(OR(COUNTIF(A107,"*1000*"),COUNTIF(A107,"")),"",INDEX(貼り付け用!$A1:$A200,MATCH(A107,貼り付け用!$A1:$A200,0)+2,0))</f>
        <v>#N/A</v>
      </c>
      <c r="B109" s="148" t="str">
        <f ca="1">IFERROR(VALUE(IF(VLOOKUP($A109,数出表_Excel!$A$6:$T$150,COLUMN()/2+1,FALSE)=0,"",VLOOKUP($A109,数出表_Excel!$A$6:$T$150,COLUMN()/2+1,FALSE))),"")</f>
        <v/>
      </c>
      <c r="C109" s="76"/>
      <c r="D109" s="148" t="str">
        <f ca="1">IFERROR(VALUE(IF(VLOOKUP($A109,数出表_Excel!$A$6:$T$150,COLUMN()/2+1,FALSE)=0,"",VLOOKUP($A109,数出表_Excel!$A$6:$T$150,COLUMN()/2+1,FALSE))),"")</f>
        <v/>
      </c>
      <c r="E109" s="76"/>
      <c r="F109" s="148" t="str">
        <f ca="1">IFERROR(VALUE(IF(VLOOKUP($A109,数出表_Excel!$A$6:$T$150,COLUMN()/2+1,FALSE)=0,"",VLOOKUP($A109,数出表_Excel!$A$6:$T$150,COLUMN()/2+1,FALSE))),"")</f>
        <v/>
      </c>
      <c r="G109" s="76"/>
      <c r="H109" s="148" t="str">
        <f ca="1">IFERROR(VALUE(IF(VLOOKUP($A109,数出表_Excel!$A$6:$T$150,COLUMN()/2+1,FALSE)=0,"",VLOOKUP($A109,数出表_Excel!$A$6:$T$150,COLUMN()/2+1,FALSE))),"")</f>
        <v/>
      </c>
      <c r="I109" s="76"/>
      <c r="J109" s="148" t="str">
        <f ca="1">IFERROR(VALUE(IF(VLOOKUP($A109,数出表_Excel!$A$6:$T$150,COLUMN()/2+1,FALSE)=0,"",VLOOKUP($A109,数出表_Excel!$A$6:$T$150,COLUMN()/2+1,FALSE))),"")</f>
        <v/>
      </c>
      <c r="K109" s="76"/>
      <c r="L109" s="148" t="str">
        <f ca="1">IFERROR(VALUE(IF(VLOOKUP($A109,数出表_Excel!$A$6:$T$150,COLUMN()/2+1,FALSE)=0,"",VLOOKUP($A109,数出表_Excel!$A$6:$T$150,COLUMN()/2+1,FALSE))),"")</f>
        <v/>
      </c>
      <c r="M109" s="76"/>
      <c r="N109" s="148" t="str">
        <f ca="1">IFERROR(VALUE(IF(VLOOKUP($A109,数出表_Excel!$A$6:$T$150,COLUMN()/2+1,FALSE)=0,"",VLOOKUP($A109,数出表_Excel!$A$6:$T$150,COLUMN()/2+1,FALSE))),"")</f>
        <v/>
      </c>
      <c r="O109" s="76"/>
      <c r="P109" s="148" t="str">
        <f ca="1">IFERROR(VALUE(IF(VLOOKUP($A109,数出表_Excel!$A$6:$T$150,COLUMN()/2+1,FALSE)=0,"",VLOOKUP($A109,数出表_Excel!$A$6:$T$150,COLUMN()/2+1,FALSE))),"")</f>
        <v/>
      </c>
      <c r="Q109" s="76"/>
      <c r="R109" s="148" t="str">
        <f ca="1">IFERROR(VALUE(IF(VLOOKUP($A109,数出表_Excel!$A$6:$T$150,COLUMN()/2+1,FALSE)=0,"",VLOOKUP($A109,数出表_Excel!$A$6:$T$150,COLUMN()/2+1,FALSE))),"")</f>
        <v/>
      </c>
      <c r="S109" s="76"/>
      <c r="T109" s="148" t="str">
        <f ca="1">IFERROR(VALUE(IF(VLOOKUP($A109,数出表_Excel!$A$6:$T$150,COLUMN()/2+1,FALSE)=0,"",VLOOKUP($A109,数出表_Excel!$A$6:$T$150,COLUMN()/2+1,FALSE))),"")</f>
        <v/>
      </c>
      <c r="U109" s="76"/>
      <c r="V109" s="148" t="str">
        <f ca="1">IFERROR(VALUE(IF(VLOOKUP($A109,数出表_Excel!$A$6:$T$150,COLUMN()/2+1,FALSE)=0,"",VLOOKUP($A109,数出表_Excel!$A$6:$T$150,COLUMN()/2+1,FALSE))),"")</f>
        <v/>
      </c>
      <c r="W109" s="76"/>
      <c r="X109" s="148" t="str">
        <f ca="1">IFERROR(VALUE(IF(VLOOKUP($A109,数出表_Excel!$A$6:$T$150,COLUMN()/2+1,FALSE)=0,"",VLOOKUP($A109,数出表_Excel!$A$6:$T$150,COLUMN()/2+1,FALSE))),"")</f>
        <v/>
      </c>
      <c r="Y109" s="76"/>
      <c r="Z109" s="148" t="str">
        <f ca="1">IFERROR(VALUE(IF(VLOOKUP($A109,数出表_Excel!$A$6:$T$150,COLUMN()/2+1,FALSE)=0,"",VLOOKUP($A109,数出表_Excel!$A$6:$T$150,COLUMN()/2+1,FALSE))),"")</f>
        <v/>
      </c>
      <c r="AA109" s="76"/>
      <c r="AB109" s="148" t="str">
        <f ca="1">IFERROR(VALUE(IF(VLOOKUP($A109,数出表_Excel!$A$6:$T$150,COLUMN()/2+1,FALSE)=0,"",VLOOKUP($A109,数出表_Excel!$A$6:$T$150,COLUMN()/2+1,FALSE))),"")</f>
        <v/>
      </c>
      <c r="AC109" s="76"/>
      <c r="AD109" s="148" t="str">
        <f ca="1">IFERROR(VALUE(IF(VLOOKUP($A109,数出表_Excel!$A$6:$T$150,COLUMN()/2+1,FALSE)=0,"",VLOOKUP($A109,数出表_Excel!$A$6:$T$150,COLUMN()/2+1,FALSE))),"")</f>
        <v/>
      </c>
      <c r="AE109" s="76"/>
      <c r="AF109" s="148" t="str">
        <f ca="1">IFERROR(VALUE(IF(VLOOKUP($A109,数出表_Excel!$A$6:$T$150,COLUMN()/2+1,FALSE)=0,"",VLOOKUP($A109,数出表_Excel!$A$6:$T$150,COLUMN()/2+1,FALSE))),"")</f>
        <v/>
      </c>
      <c r="AG109" s="76"/>
      <c r="AH109" s="148" t="str">
        <f ca="1">IFERROR(VALUE(IF(VLOOKUP($A109,数出表_Excel!$A$6:$T$150,COLUMN()/2+1,FALSE)=0,"",VLOOKUP($A109,数出表_Excel!$A$6:$T$150,COLUMN()/2+1,FALSE))),"")</f>
        <v/>
      </c>
      <c r="AI109" s="76"/>
      <c r="AJ109" s="148" t="str">
        <f ca="1">IFERROR(VALUE(IF(VLOOKUP($A109,数出表_Excel!$A$6:$T$150,COLUMN()/2+1,FALSE)=0,"",VLOOKUP($A109,数出表_Excel!$A$6:$T$150,COLUMN()/2+1,FALSE))),"")</f>
        <v/>
      </c>
      <c r="AK109" s="76"/>
      <c r="AL109" s="63" t="e">
        <f ca="1">IF(A109&lt;&gt;"",
IF(VLOOKUP($A109,数出表_Excel!$A$6:$T$150,COLUMN()/2+1,FALSE)=0,"",VLOOKUP($A109,数出表_Excel!$A$6:$T$150,COLUMN()/2+1,FALSE)),"")</f>
        <v>#N/A</v>
      </c>
      <c r="AM109" s="91" t="e">
        <f>数出表_Excel!V109</f>
        <v>#N/A</v>
      </c>
      <c r="AN109" s="92" t="e">
        <f>数出表_Excel!W109</f>
        <v>#N/A</v>
      </c>
    </row>
    <row r="110" spans="1:40" ht="16.2" customHeight="1">
      <c r="A110" s="81" t="e">
        <f t="array" aca="1" ref="A110" ca="1">IF(OR(COUNTIF(A108,"*10002*"),COUNTIF(A108,"")),"",INDEX(貼り付け用!$A1:$A200,MATCH(A108,貼り付け用!$A1:$A200,0)+2,0))</f>
        <v>#N/A</v>
      </c>
      <c r="B110" s="182" t="str">
        <f ca="1">IFERROR(VALUE(IF(VLOOKUP($A110,数出表_Excel!$A$6:$T$150,COLUMN()/2+1,FALSE)=0,"",VLOOKUP($A110,数出表_Excel!$A$6:$T$150,COLUMN()/2+1,FALSE))),"")</f>
        <v/>
      </c>
      <c r="C110" s="75"/>
      <c r="D110" s="182" t="str">
        <f ca="1">IFERROR(VALUE(IF(VLOOKUP($A110,数出表_Excel!$A$6:$T$150,COLUMN()/2+1,FALSE)=0,"",VLOOKUP($A110,数出表_Excel!$A$6:$T$150,COLUMN()/2+1,FALSE))),"")</f>
        <v/>
      </c>
      <c r="E110" s="75"/>
      <c r="F110" s="182" t="str">
        <f ca="1">IFERROR(VALUE(IF(VLOOKUP($A110,数出表_Excel!$A$6:$T$150,COLUMN()/2+1,FALSE)=0,"",VLOOKUP($A110,数出表_Excel!$A$6:$T$150,COLUMN()/2+1,FALSE))),"")</f>
        <v/>
      </c>
      <c r="G110" s="75"/>
      <c r="H110" s="182" t="str">
        <f ca="1">IFERROR(VALUE(IF(VLOOKUP($A110,数出表_Excel!$A$6:$T$150,COLUMN()/2+1,FALSE)=0,"",VLOOKUP($A110,数出表_Excel!$A$6:$T$150,COLUMN()/2+1,FALSE))),"")</f>
        <v/>
      </c>
      <c r="I110" s="75"/>
      <c r="J110" s="182" t="str">
        <f ca="1">IFERROR(VALUE(IF(VLOOKUP($A110,数出表_Excel!$A$6:$T$150,COLUMN()/2+1,FALSE)=0,"",VLOOKUP($A110,数出表_Excel!$A$6:$T$150,COLUMN()/2+1,FALSE))),"")</f>
        <v/>
      </c>
      <c r="K110" s="75"/>
      <c r="L110" s="182" t="str">
        <f ca="1">IFERROR(VALUE(IF(VLOOKUP($A110,数出表_Excel!$A$6:$T$150,COLUMN()/2+1,FALSE)=0,"",VLOOKUP($A110,数出表_Excel!$A$6:$T$150,COLUMN()/2+1,FALSE))),"")</f>
        <v/>
      </c>
      <c r="M110" s="75"/>
      <c r="N110" s="182" t="str">
        <f ca="1">IFERROR(VALUE(IF(VLOOKUP($A110,数出表_Excel!$A$6:$T$150,COLUMN()/2+1,FALSE)=0,"",VLOOKUP($A110,数出表_Excel!$A$6:$T$150,COLUMN()/2+1,FALSE))),"")</f>
        <v/>
      </c>
      <c r="O110" s="75"/>
      <c r="P110" s="182" t="str">
        <f ca="1">IFERROR(VALUE(IF(VLOOKUP($A110,数出表_Excel!$A$6:$T$150,COLUMN()/2+1,FALSE)=0,"",VLOOKUP($A110,数出表_Excel!$A$6:$T$150,COLUMN()/2+1,FALSE))),"")</f>
        <v/>
      </c>
      <c r="Q110" s="75"/>
      <c r="R110" s="182" t="str">
        <f ca="1">IFERROR(VALUE(IF(VLOOKUP($A110,数出表_Excel!$A$6:$T$150,COLUMN()/2+1,FALSE)=0,"",VLOOKUP($A110,数出表_Excel!$A$6:$T$150,COLUMN()/2+1,FALSE))),"")</f>
        <v/>
      </c>
      <c r="S110" s="75"/>
      <c r="T110" s="182" t="str">
        <f ca="1">IFERROR(VALUE(IF(VLOOKUP($A110,数出表_Excel!$A$6:$T$150,COLUMN()/2+1,FALSE)=0,"",VLOOKUP($A110,数出表_Excel!$A$6:$T$150,COLUMN()/2+1,FALSE))),"")</f>
        <v/>
      </c>
      <c r="U110" s="75"/>
      <c r="V110" s="182" t="str">
        <f ca="1">IFERROR(VALUE(IF(VLOOKUP($A110,数出表_Excel!$A$6:$T$150,COLUMN()/2+1,FALSE)=0,"",VLOOKUP($A110,数出表_Excel!$A$6:$T$150,COLUMN()/2+1,FALSE))),"")</f>
        <v/>
      </c>
      <c r="W110" s="75"/>
      <c r="X110" s="182" t="str">
        <f ca="1">IFERROR(VALUE(IF(VLOOKUP($A110,数出表_Excel!$A$6:$T$150,COLUMN()/2+1,FALSE)=0,"",VLOOKUP($A110,数出表_Excel!$A$6:$T$150,COLUMN()/2+1,FALSE))),"")</f>
        <v/>
      </c>
      <c r="Y110" s="75"/>
      <c r="Z110" s="182" t="str">
        <f ca="1">IFERROR(VALUE(IF(VLOOKUP($A110,数出表_Excel!$A$6:$T$150,COLUMN()/2+1,FALSE)=0,"",VLOOKUP($A110,数出表_Excel!$A$6:$T$150,COLUMN()/2+1,FALSE))),"")</f>
        <v/>
      </c>
      <c r="AA110" s="75"/>
      <c r="AB110" s="182" t="str">
        <f ca="1">IFERROR(VALUE(IF(VLOOKUP($A110,数出表_Excel!$A$6:$T$150,COLUMN()/2+1,FALSE)=0,"",VLOOKUP($A110,数出表_Excel!$A$6:$T$150,COLUMN()/2+1,FALSE))),"")</f>
        <v/>
      </c>
      <c r="AC110" s="75"/>
      <c r="AD110" s="182" t="str">
        <f ca="1">IFERROR(VALUE(IF(VLOOKUP($A110,数出表_Excel!$A$6:$T$150,COLUMN()/2+1,FALSE)=0,"",VLOOKUP($A110,数出表_Excel!$A$6:$T$150,COLUMN()/2+1,FALSE))),"")</f>
        <v/>
      </c>
      <c r="AE110" s="75"/>
      <c r="AF110" s="182" t="str">
        <f ca="1">IFERROR(VALUE(IF(VLOOKUP($A110,数出表_Excel!$A$6:$T$150,COLUMN()/2+1,FALSE)=0,"",VLOOKUP($A110,数出表_Excel!$A$6:$T$150,COLUMN()/2+1,FALSE))),"")</f>
        <v/>
      </c>
      <c r="AG110" s="75"/>
      <c r="AH110" s="182" t="str">
        <f ca="1">IFERROR(VALUE(IF(VLOOKUP($A110,数出表_Excel!$A$6:$T$150,COLUMN()/2+1,FALSE)=0,"",VLOOKUP($A110,数出表_Excel!$A$6:$T$150,COLUMN()/2+1,FALSE))),"")</f>
        <v/>
      </c>
      <c r="AI110" s="75"/>
      <c r="AJ110" s="182" t="str">
        <f ca="1">IFERROR(VALUE(IF(VLOOKUP($A110,数出表_Excel!$A$6:$T$150,COLUMN()/2+1,FALSE)=0,"",VLOOKUP($A110,数出表_Excel!$A$6:$T$150,COLUMN()/2+1,FALSE))),"")</f>
        <v/>
      </c>
      <c r="AK110" s="75"/>
      <c r="AL110" s="61" t="e">
        <f ca="1">IF(A110&lt;&gt;"",
IF(VLOOKUP($A110,数出表_Excel!$A$6:$T$150,COLUMN()/2+1,FALSE)=0,"",VLOOKUP($A110,数出表_Excel!$A$6:$T$150,COLUMN()/2+1,FALSE)),"")</f>
        <v>#N/A</v>
      </c>
      <c r="AM110" s="89" t="e">
        <f>数出表_Excel!V110</f>
        <v>#N/A</v>
      </c>
      <c r="AN110" s="90" t="e">
        <f>数出表_Excel!W110</f>
        <v>#N/A</v>
      </c>
    </row>
    <row r="111" spans="1:40" ht="16.2" customHeight="1">
      <c r="A111" s="82" t="e">
        <f t="array" aca="1" ref="A111" ca="1">IF(OR(COUNTIF(A109,"*1000*"),COUNTIF(A109,"")),"",INDEX(貼り付け用!$A1:$A200,MATCH(A109,貼り付け用!$A1:$A200,0)+2,0))</f>
        <v>#N/A</v>
      </c>
      <c r="B111" s="148" t="str">
        <f ca="1">IFERROR(VALUE(IF(VLOOKUP($A111,数出表_Excel!$A$6:$T$150,COLUMN()/2+1,FALSE)=0,"",VLOOKUP($A111,数出表_Excel!$A$6:$T$150,COLUMN()/2+1,FALSE))),"")</f>
        <v/>
      </c>
      <c r="C111" s="76"/>
      <c r="D111" s="148" t="str">
        <f ca="1">IFERROR(VALUE(IF(VLOOKUP($A111,数出表_Excel!$A$6:$T$150,COLUMN()/2+1,FALSE)=0,"",VLOOKUP($A111,数出表_Excel!$A$6:$T$150,COLUMN()/2+1,FALSE))),"")</f>
        <v/>
      </c>
      <c r="E111" s="76"/>
      <c r="F111" s="148" t="str">
        <f ca="1">IFERROR(VALUE(IF(VLOOKUP($A111,数出表_Excel!$A$6:$T$150,COLUMN()/2+1,FALSE)=0,"",VLOOKUP($A111,数出表_Excel!$A$6:$T$150,COLUMN()/2+1,FALSE))),"")</f>
        <v/>
      </c>
      <c r="G111" s="76"/>
      <c r="H111" s="148" t="str">
        <f ca="1">IFERROR(VALUE(IF(VLOOKUP($A111,数出表_Excel!$A$6:$T$150,COLUMN()/2+1,FALSE)=0,"",VLOOKUP($A111,数出表_Excel!$A$6:$T$150,COLUMN()/2+1,FALSE))),"")</f>
        <v/>
      </c>
      <c r="I111" s="76"/>
      <c r="J111" s="148" t="str">
        <f ca="1">IFERROR(VALUE(IF(VLOOKUP($A111,数出表_Excel!$A$6:$T$150,COLUMN()/2+1,FALSE)=0,"",VLOOKUP($A111,数出表_Excel!$A$6:$T$150,COLUMN()/2+1,FALSE))),"")</f>
        <v/>
      </c>
      <c r="K111" s="76"/>
      <c r="L111" s="148" t="str">
        <f ca="1">IFERROR(VALUE(IF(VLOOKUP($A111,数出表_Excel!$A$6:$T$150,COLUMN()/2+1,FALSE)=0,"",VLOOKUP($A111,数出表_Excel!$A$6:$T$150,COLUMN()/2+1,FALSE))),"")</f>
        <v/>
      </c>
      <c r="M111" s="76"/>
      <c r="N111" s="148" t="str">
        <f ca="1">IFERROR(VALUE(IF(VLOOKUP($A111,数出表_Excel!$A$6:$T$150,COLUMN()/2+1,FALSE)=0,"",VLOOKUP($A111,数出表_Excel!$A$6:$T$150,COLUMN()/2+1,FALSE))),"")</f>
        <v/>
      </c>
      <c r="O111" s="76"/>
      <c r="P111" s="148" t="str">
        <f ca="1">IFERROR(VALUE(IF(VLOOKUP($A111,数出表_Excel!$A$6:$T$150,COLUMN()/2+1,FALSE)=0,"",VLOOKUP($A111,数出表_Excel!$A$6:$T$150,COLUMN()/2+1,FALSE))),"")</f>
        <v/>
      </c>
      <c r="Q111" s="76"/>
      <c r="R111" s="148" t="str">
        <f ca="1">IFERROR(VALUE(IF(VLOOKUP($A111,数出表_Excel!$A$6:$T$150,COLUMN()/2+1,FALSE)=0,"",VLOOKUP($A111,数出表_Excel!$A$6:$T$150,COLUMN()/2+1,FALSE))),"")</f>
        <v/>
      </c>
      <c r="S111" s="76"/>
      <c r="T111" s="148" t="str">
        <f ca="1">IFERROR(VALUE(IF(VLOOKUP($A111,数出表_Excel!$A$6:$T$150,COLUMN()/2+1,FALSE)=0,"",VLOOKUP($A111,数出表_Excel!$A$6:$T$150,COLUMN()/2+1,FALSE))),"")</f>
        <v/>
      </c>
      <c r="U111" s="76"/>
      <c r="V111" s="148" t="str">
        <f ca="1">IFERROR(VALUE(IF(VLOOKUP($A111,数出表_Excel!$A$6:$T$150,COLUMN()/2+1,FALSE)=0,"",VLOOKUP($A111,数出表_Excel!$A$6:$T$150,COLUMN()/2+1,FALSE))),"")</f>
        <v/>
      </c>
      <c r="W111" s="76"/>
      <c r="X111" s="148" t="str">
        <f ca="1">IFERROR(VALUE(IF(VLOOKUP($A111,数出表_Excel!$A$6:$T$150,COLUMN()/2+1,FALSE)=0,"",VLOOKUP($A111,数出表_Excel!$A$6:$T$150,COLUMN()/2+1,FALSE))),"")</f>
        <v/>
      </c>
      <c r="Y111" s="76"/>
      <c r="Z111" s="148" t="str">
        <f ca="1">IFERROR(VALUE(IF(VLOOKUP($A111,数出表_Excel!$A$6:$T$150,COLUMN()/2+1,FALSE)=0,"",VLOOKUP($A111,数出表_Excel!$A$6:$T$150,COLUMN()/2+1,FALSE))),"")</f>
        <v/>
      </c>
      <c r="AA111" s="76"/>
      <c r="AB111" s="148" t="str">
        <f ca="1">IFERROR(VALUE(IF(VLOOKUP($A111,数出表_Excel!$A$6:$T$150,COLUMN()/2+1,FALSE)=0,"",VLOOKUP($A111,数出表_Excel!$A$6:$T$150,COLUMN()/2+1,FALSE))),"")</f>
        <v/>
      </c>
      <c r="AC111" s="76"/>
      <c r="AD111" s="148" t="str">
        <f ca="1">IFERROR(VALUE(IF(VLOOKUP($A111,数出表_Excel!$A$6:$T$150,COLUMN()/2+1,FALSE)=0,"",VLOOKUP($A111,数出表_Excel!$A$6:$T$150,COLUMN()/2+1,FALSE))),"")</f>
        <v/>
      </c>
      <c r="AE111" s="76"/>
      <c r="AF111" s="148" t="str">
        <f ca="1">IFERROR(VALUE(IF(VLOOKUP($A111,数出表_Excel!$A$6:$T$150,COLUMN()/2+1,FALSE)=0,"",VLOOKUP($A111,数出表_Excel!$A$6:$T$150,COLUMN()/2+1,FALSE))),"")</f>
        <v/>
      </c>
      <c r="AG111" s="76"/>
      <c r="AH111" s="148" t="str">
        <f ca="1">IFERROR(VALUE(IF(VLOOKUP($A111,数出表_Excel!$A$6:$T$150,COLUMN()/2+1,FALSE)=0,"",VLOOKUP($A111,数出表_Excel!$A$6:$T$150,COLUMN()/2+1,FALSE))),"")</f>
        <v/>
      </c>
      <c r="AI111" s="76"/>
      <c r="AJ111" s="148" t="str">
        <f ca="1">IFERROR(VALUE(IF(VLOOKUP($A111,数出表_Excel!$A$6:$T$150,COLUMN()/2+1,FALSE)=0,"",VLOOKUP($A111,数出表_Excel!$A$6:$T$150,COLUMN()/2+1,FALSE))),"")</f>
        <v/>
      </c>
      <c r="AK111" s="76"/>
      <c r="AL111" s="63" t="e">
        <f ca="1">IF(A111&lt;&gt;"",
IF(VLOOKUP($A111,数出表_Excel!$A$6:$T$150,COLUMN()/2+1,FALSE)=0,"",VLOOKUP($A111,数出表_Excel!$A$6:$T$150,COLUMN()/2+1,FALSE)),"")</f>
        <v>#N/A</v>
      </c>
      <c r="AM111" s="91" t="e">
        <f>数出表_Excel!V111</f>
        <v>#N/A</v>
      </c>
      <c r="AN111" s="92" t="e">
        <f>数出表_Excel!W111</f>
        <v>#N/A</v>
      </c>
    </row>
    <row r="112" spans="1:40" ht="16.2" customHeight="1">
      <c r="A112" s="81" t="e">
        <f t="array" aca="1" ref="A112" ca="1">IF(OR(COUNTIF(A110,"*10002*"),COUNTIF(A110,"")),"",INDEX(貼り付け用!$A1:$A200,MATCH(A110,貼り付け用!$A1:$A200,0)+2,0))</f>
        <v>#N/A</v>
      </c>
      <c r="B112" s="182" t="str">
        <f ca="1">IFERROR(VALUE(IF(VLOOKUP($A112,数出表_Excel!$A$6:$T$150,COLUMN()/2+1,FALSE)=0,"",VLOOKUP($A112,数出表_Excel!$A$6:$T$150,COLUMN()/2+1,FALSE))),"")</f>
        <v/>
      </c>
      <c r="C112" s="75"/>
      <c r="D112" s="182" t="str">
        <f ca="1">IFERROR(VALUE(IF(VLOOKUP($A112,数出表_Excel!$A$6:$T$150,COLUMN()/2+1,FALSE)=0,"",VLOOKUP($A112,数出表_Excel!$A$6:$T$150,COLUMN()/2+1,FALSE))),"")</f>
        <v/>
      </c>
      <c r="E112" s="75"/>
      <c r="F112" s="182" t="str">
        <f ca="1">IFERROR(VALUE(IF(VLOOKUP($A112,数出表_Excel!$A$6:$T$150,COLUMN()/2+1,FALSE)=0,"",VLOOKUP($A112,数出表_Excel!$A$6:$T$150,COLUMN()/2+1,FALSE))),"")</f>
        <v/>
      </c>
      <c r="G112" s="75"/>
      <c r="H112" s="182" t="str">
        <f ca="1">IFERROR(VALUE(IF(VLOOKUP($A112,数出表_Excel!$A$6:$T$150,COLUMN()/2+1,FALSE)=0,"",VLOOKUP($A112,数出表_Excel!$A$6:$T$150,COLUMN()/2+1,FALSE))),"")</f>
        <v/>
      </c>
      <c r="I112" s="75"/>
      <c r="J112" s="182" t="str">
        <f ca="1">IFERROR(VALUE(IF(VLOOKUP($A112,数出表_Excel!$A$6:$T$150,COLUMN()/2+1,FALSE)=0,"",VLOOKUP($A112,数出表_Excel!$A$6:$T$150,COLUMN()/2+1,FALSE))),"")</f>
        <v/>
      </c>
      <c r="K112" s="75"/>
      <c r="L112" s="182" t="str">
        <f ca="1">IFERROR(VALUE(IF(VLOOKUP($A112,数出表_Excel!$A$6:$T$150,COLUMN()/2+1,FALSE)=0,"",VLOOKUP($A112,数出表_Excel!$A$6:$T$150,COLUMN()/2+1,FALSE))),"")</f>
        <v/>
      </c>
      <c r="M112" s="75"/>
      <c r="N112" s="182" t="str">
        <f ca="1">IFERROR(VALUE(IF(VLOOKUP($A112,数出表_Excel!$A$6:$T$150,COLUMN()/2+1,FALSE)=0,"",VLOOKUP($A112,数出表_Excel!$A$6:$T$150,COLUMN()/2+1,FALSE))),"")</f>
        <v/>
      </c>
      <c r="O112" s="75"/>
      <c r="P112" s="182" t="str">
        <f ca="1">IFERROR(VALUE(IF(VLOOKUP($A112,数出表_Excel!$A$6:$T$150,COLUMN()/2+1,FALSE)=0,"",VLOOKUP($A112,数出表_Excel!$A$6:$T$150,COLUMN()/2+1,FALSE))),"")</f>
        <v/>
      </c>
      <c r="Q112" s="75"/>
      <c r="R112" s="182" t="str">
        <f ca="1">IFERROR(VALUE(IF(VLOOKUP($A112,数出表_Excel!$A$6:$T$150,COLUMN()/2+1,FALSE)=0,"",VLOOKUP($A112,数出表_Excel!$A$6:$T$150,COLUMN()/2+1,FALSE))),"")</f>
        <v/>
      </c>
      <c r="S112" s="75"/>
      <c r="T112" s="182" t="str">
        <f ca="1">IFERROR(VALUE(IF(VLOOKUP($A112,数出表_Excel!$A$6:$T$150,COLUMN()/2+1,FALSE)=0,"",VLOOKUP($A112,数出表_Excel!$A$6:$T$150,COLUMN()/2+1,FALSE))),"")</f>
        <v/>
      </c>
      <c r="U112" s="75"/>
      <c r="V112" s="182" t="str">
        <f ca="1">IFERROR(VALUE(IF(VLOOKUP($A112,数出表_Excel!$A$6:$T$150,COLUMN()/2+1,FALSE)=0,"",VLOOKUP($A112,数出表_Excel!$A$6:$T$150,COLUMN()/2+1,FALSE))),"")</f>
        <v/>
      </c>
      <c r="W112" s="75"/>
      <c r="X112" s="182" t="str">
        <f ca="1">IFERROR(VALUE(IF(VLOOKUP($A112,数出表_Excel!$A$6:$T$150,COLUMN()/2+1,FALSE)=0,"",VLOOKUP($A112,数出表_Excel!$A$6:$T$150,COLUMN()/2+1,FALSE))),"")</f>
        <v/>
      </c>
      <c r="Y112" s="75"/>
      <c r="Z112" s="182" t="str">
        <f ca="1">IFERROR(VALUE(IF(VLOOKUP($A112,数出表_Excel!$A$6:$T$150,COLUMN()/2+1,FALSE)=0,"",VLOOKUP($A112,数出表_Excel!$A$6:$T$150,COLUMN()/2+1,FALSE))),"")</f>
        <v/>
      </c>
      <c r="AA112" s="75"/>
      <c r="AB112" s="182" t="str">
        <f ca="1">IFERROR(VALUE(IF(VLOOKUP($A112,数出表_Excel!$A$6:$T$150,COLUMN()/2+1,FALSE)=0,"",VLOOKUP($A112,数出表_Excel!$A$6:$T$150,COLUMN()/2+1,FALSE))),"")</f>
        <v/>
      </c>
      <c r="AC112" s="75"/>
      <c r="AD112" s="182" t="str">
        <f ca="1">IFERROR(VALUE(IF(VLOOKUP($A112,数出表_Excel!$A$6:$T$150,COLUMN()/2+1,FALSE)=0,"",VLOOKUP($A112,数出表_Excel!$A$6:$T$150,COLUMN()/2+1,FALSE))),"")</f>
        <v/>
      </c>
      <c r="AE112" s="75"/>
      <c r="AF112" s="182" t="str">
        <f ca="1">IFERROR(VALUE(IF(VLOOKUP($A112,数出表_Excel!$A$6:$T$150,COLUMN()/2+1,FALSE)=0,"",VLOOKUP($A112,数出表_Excel!$A$6:$T$150,COLUMN()/2+1,FALSE))),"")</f>
        <v/>
      </c>
      <c r="AG112" s="75"/>
      <c r="AH112" s="182" t="str">
        <f ca="1">IFERROR(VALUE(IF(VLOOKUP($A112,数出表_Excel!$A$6:$T$150,COLUMN()/2+1,FALSE)=0,"",VLOOKUP($A112,数出表_Excel!$A$6:$T$150,COLUMN()/2+1,FALSE))),"")</f>
        <v/>
      </c>
      <c r="AI112" s="75"/>
      <c r="AJ112" s="182" t="str">
        <f ca="1">IFERROR(VALUE(IF(VLOOKUP($A112,数出表_Excel!$A$6:$T$150,COLUMN()/2+1,FALSE)=0,"",VLOOKUP($A112,数出表_Excel!$A$6:$T$150,COLUMN()/2+1,FALSE))),"")</f>
        <v/>
      </c>
      <c r="AK112" s="75"/>
      <c r="AL112" s="61" t="e">
        <f ca="1">IF(A112&lt;&gt;"",
IF(VLOOKUP($A112,数出表_Excel!$A$6:$T$150,COLUMN()/2+1,FALSE)=0,"",VLOOKUP($A112,数出表_Excel!$A$6:$T$150,COLUMN()/2+1,FALSE)),"")</f>
        <v>#N/A</v>
      </c>
      <c r="AM112" s="89" t="e">
        <f>数出表_Excel!V112</f>
        <v>#N/A</v>
      </c>
      <c r="AN112" s="90" t="e">
        <f>数出表_Excel!W112</f>
        <v>#N/A</v>
      </c>
    </row>
    <row r="113" spans="1:40" ht="16.2" customHeight="1">
      <c r="A113" s="82" t="e">
        <f t="array" aca="1" ref="A113" ca="1">IF(OR(COUNTIF(A111,"*1000*"),COUNTIF(A111,"")),"",INDEX(貼り付け用!$A1:$A200,MATCH(A111,貼り付け用!$A1:$A200,0)+2,0))</f>
        <v>#N/A</v>
      </c>
      <c r="B113" s="148" t="str">
        <f ca="1">IFERROR(VALUE(IF(VLOOKUP($A113,数出表_Excel!$A$6:$T$150,COLUMN()/2+1,FALSE)=0,"",VLOOKUP($A113,数出表_Excel!$A$6:$T$150,COLUMN()/2+1,FALSE))),"")</f>
        <v/>
      </c>
      <c r="C113" s="76"/>
      <c r="D113" s="148" t="str">
        <f ca="1">IFERROR(VALUE(IF(VLOOKUP($A113,数出表_Excel!$A$6:$T$150,COLUMN()/2+1,FALSE)=0,"",VLOOKUP($A113,数出表_Excel!$A$6:$T$150,COLUMN()/2+1,FALSE))),"")</f>
        <v/>
      </c>
      <c r="E113" s="76"/>
      <c r="F113" s="148" t="str">
        <f ca="1">IFERROR(VALUE(IF(VLOOKUP($A113,数出表_Excel!$A$6:$T$150,COLUMN()/2+1,FALSE)=0,"",VLOOKUP($A113,数出表_Excel!$A$6:$T$150,COLUMN()/2+1,FALSE))),"")</f>
        <v/>
      </c>
      <c r="G113" s="76"/>
      <c r="H113" s="148" t="str">
        <f ca="1">IFERROR(VALUE(IF(VLOOKUP($A113,数出表_Excel!$A$6:$T$150,COLUMN()/2+1,FALSE)=0,"",VLOOKUP($A113,数出表_Excel!$A$6:$T$150,COLUMN()/2+1,FALSE))),"")</f>
        <v/>
      </c>
      <c r="I113" s="76"/>
      <c r="J113" s="148" t="str">
        <f ca="1">IFERROR(VALUE(IF(VLOOKUP($A113,数出表_Excel!$A$6:$T$150,COLUMN()/2+1,FALSE)=0,"",VLOOKUP($A113,数出表_Excel!$A$6:$T$150,COLUMN()/2+1,FALSE))),"")</f>
        <v/>
      </c>
      <c r="K113" s="76"/>
      <c r="L113" s="148" t="str">
        <f ca="1">IFERROR(VALUE(IF(VLOOKUP($A113,数出表_Excel!$A$6:$T$150,COLUMN()/2+1,FALSE)=0,"",VLOOKUP($A113,数出表_Excel!$A$6:$T$150,COLUMN()/2+1,FALSE))),"")</f>
        <v/>
      </c>
      <c r="M113" s="76"/>
      <c r="N113" s="148" t="str">
        <f ca="1">IFERROR(VALUE(IF(VLOOKUP($A113,数出表_Excel!$A$6:$T$150,COLUMN()/2+1,FALSE)=0,"",VLOOKUP($A113,数出表_Excel!$A$6:$T$150,COLUMN()/2+1,FALSE))),"")</f>
        <v/>
      </c>
      <c r="O113" s="76"/>
      <c r="P113" s="148" t="str">
        <f ca="1">IFERROR(VALUE(IF(VLOOKUP($A113,数出表_Excel!$A$6:$T$150,COLUMN()/2+1,FALSE)=0,"",VLOOKUP($A113,数出表_Excel!$A$6:$T$150,COLUMN()/2+1,FALSE))),"")</f>
        <v/>
      </c>
      <c r="Q113" s="76"/>
      <c r="R113" s="148" t="str">
        <f ca="1">IFERROR(VALUE(IF(VLOOKUP($A113,数出表_Excel!$A$6:$T$150,COLUMN()/2+1,FALSE)=0,"",VLOOKUP($A113,数出表_Excel!$A$6:$T$150,COLUMN()/2+1,FALSE))),"")</f>
        <v/>
      </c>
      <c r="S113" s="76"/>
      <c r="T113" s="148" t="str">
        <f ca="1">IFERROR(VALUE(IF(VLOOKUP($A113,数出表_Excel!$A$6:$T$150,COLUMN()/2+1,FALSE)=0,"",VLOOKUP($A113,数出表_Excel!$A$6:$T$150,COLUMN()/2+1,FALSE))),"")</f>
        <v/>
      </c>
      <c r="U113" s="76"/>
      <c r="V113" s="148" t="str">
        <f ca="1">IFERROR(VALUE(IF(VLOOKUP($A113,数出表_Excel!$A$6:$T$150,COLUMN()/2+1,FALSE)=0,"",VLOOKUP($A113,数出表_Excel!$A$6:$T$150,COLUMN()/2+1,FALSE))),"")</f>
        <v/>
      </c>
      <c r="W113" s="76"/>
      <c r="X113" s="148" t="str">
        <f ca="1">IFERROR(VALUE(IF(VLOOKUP($A113,数出表_Excel!$A$6:$T$150,COLUMN()/2+1,FALSE)=0,"",VLOOKUP($A113,数出表_Excel!$A$6:$T$150,COLUMN()/2+1,FALSE))),"")</f>
        <v/>
      </c>
      <c r="Y113" s="76"/>
      <c r="Z113" s="148" t="str">
        <f ca="1">IFERROR(VALUE(IF(VLOOKUP($A113,数出表_Excel!$A$6:$T$150,COLUMN()/2+1,FALSE)=0,"",VLOOKUP($A113,数出表_Excel!$A$6:$T$150,COLUMN()/2+1,FALSE))),"")</f>
        <v/>
      </c>
      <c r="AA113" s="76"/>
      <c r="AB113" s="148" t="str">
        <f ca="1">IFERROR(VALUE(IF(VLOOKUP($A113,数出表_Excel!$A$6:$T$150,COLUMN()/2+1,FALSE)=0,"",VLOOKUP($A113,数出表_Excel!$A$6:$T$150,COLUMN()/2+1,FALSE))),"")</f>
        <v/>
      </c>
      <c r="AC113" s="76"/>
      <c r="AD113" s="148" t="str">
        <f ca="1">IFERROR(VALUE(IF(VLOOKUP($A113,数出表_Excel!$A$6:$T$150,COLUMN()/2+1,FALSE)=0,"",VLOOKUP($A113,数出表_Excel!$A$6:$T$150,COLUMN()/2+1,FALSE))),"")</f>
        <v/>
      </c>
      <c r="AE113" s="76"/>
      <c r="AF113" s="148" t="str">
        <f ca="1">IFERROR(VALUE(IF(VLOOKUP($A113,数出表_Excel!$A$6:$T$150,COLUMN()/2+1,FALSE)=0,"",VLOOKUP($A113,数出表_Excel!$A$6:$T$150,COLUMN()/2+1,FALSE))),"")</f>
        <v/>
      </c>
      <c r="AG113" s="76"/>
      <c r="AH113" s="148" t="str">
        <f ca="1">IFERROR(VALUE(IF(VLOOKUP($A113,数出表_Excel!$A$6:$T$150,COLUMN()/2+1,FALSE)=0,"",VLOOKUP($A113,数出表_Excel!$A$6:$T$150,COLUMN()/2+1,FALSE))),"")</f>
        <v/>
      </c>
      <c r="AI113" s="76"/>
      <c r="AJ113" s="148" t="str">
        <f ca="1">IFERROR(VALUE(IF(VLOOKUP($A113,数出表_Excel!$A$6:$T$150,COLUMN()/2+1,FALSE)=0,"",VLOOKUP($A113,数出表_Excel!$A$6:$T$150,COLUMN()/2+1,FALSE))),"")</f>
        <v/>
      </c>
      <c r="AK113" s="76"/>
      <c r="AL113" s="63" t="e">
        <f ca="1">IF(A113&lt;&gt;"",
IF(VLOOKUP($A113,数出表_Excel!$A$6:$T$150,COLUMN()/2+1,FALSE)=0,"",VLOOKUP($A113,数出表_Excel!$A$6:$T$150,COLUMN()/2+1,FALSE)),"")</f>
        <v>#N/A</v>
      </c>
      <c r="AM113" s="91" t="e">
        <f>数出表_Excel!V113</f>
        <v>#N/A</v>
      </c>
      <c r="AN113" s="92" t="e">
        <f>数出表_Excel!W113</f>
        <v>#N/A</v>
      </c>
    </row>
    <row r="114" spans="1:40" ht="16.2" customHeight="1">
      <c r="A114" s="81" t="e">
        <f t="array" aca="1" ref="A114" ca="1">IF(OR(COUNTIF(A112,"*10002*"),COUNTIF(A112,"")),"",INDEX(貼り付け用!$A1:$A200,MATCH(A112,貼り付け用!$A1:$A200,0)+2,0))</f>
        <v>#N/A</v>
      </c>
      <c r="B114" s="182" t="str">
        <f ca="1">IFERROR(VALUE(IF(VLOOKUP($A114,数出表_Excel!$A$6:$T$150,COLUMN()/2+1,FALSE)=0,"",VLOOKUP($A114,数出表_Excel!$A$6:$T$150,COLUMN()/2+1,FALSE))),"")</f>
        <v/>
      </c>
      <c r="C114" s="75"/>
      <c r="D114" s="182" t="str">
        <f ca="1">IFERROR(VALUE(IF(VLOOKUP($A114,数出表_Excel!$A$6:$T$150,COLUMN()/2+1,FALSE)=0,"",VLOOKUP($A114,数出表_Excel!$A$6:$T$150,COLUMN()/2+1,FALSE))),"")</f>
        <v/>
      </c>
      <c r="E114" s="75"/>
      <c r="F114" s="182" t="str">
        <f ca="1">IFERROR(VALUE(IF(VLOOKUP($A114,数出表_Excel!$A$6:$T$150,COLUMN()/2+1,FALSE)=0,"",VLOOKUP($A114,数出表_Excel!$A$6:$T$150,COLUMN()/2+1,FALSE))),"")</f>
        <v/>
      </c>
      <c r="G114" s="75"/>
      <c r="H114" s="182" t="str">
        <f ca="1">IFERROR(VALUE(IF(VLOOKUP($A114,数出表_Excel!$A$6:$T$150,COLUMN()/2+1,FALSE)=0,"",VLOOKUP($A114,数出表_Excel!$A$6:$T$150,COLUMN()/2+1,FALSE))),"")</f>
        <v/>
      </c>
      <c r="I114" s="75"/>
      <c r="J114" s="182" t="str">
        <f ca="1">IFERROR(VALUE(IF(VLOOKUP($A114,数出表_Excel!$A$6:$T$150,COLUMN()/2+1,FALSE)=0,"",VLOOKUP($A114,数出表_Excel!$A$6:$T$150,COLUMN()/2+1,FALSE))),"")</f>
        <v/>
      </c>
      <c r="K114" s="75"/>
      <c r="L114" s="182" t="str">
        <f ca="1">IFERROR(VALUE(IF(VLOOKUP($A114,数出表_Excel!$A$6:$T$150,COLUMN()/2+1,FALSE)=0,"",VLOOKUP($A114,数出表_Excel!$A$6:$T$150,COLUMN()/2+1,FALSE))),"")</f>
        <v/>
      </c>
      <c r="M114" s="75"/>
      <c r="N114" s="182" t="str">
        <f ca="1">IFERROR(VALUE(IF(VLOOKUP($A114,数出表_Excel!$A$6:$T$150,COLUMN()/2+1,FALSE)=0,"",VLOOKUP($A114,数出表_Excel!$A$6:$T$150,COLUMN()/2+1,FALSE))),"")</f>
        <v/>
      </c>
      <c r="O114" s="75"/>
      <c r="P114" s="182" t="str">
        <f ca="1">IFERROR(VALUE(IF(VLOOKUP($A114,数出表_Excel!$A$6:$T$150,COLUMN()/2+1,FALSE)=0,"",VLOOKUP($A114,数出表_Excel!$A$6:$T$150,COLUMN()/2+1,FALSE))),"")</f>
        <v/>
      </c>
      <c r="Q114" s="75"/>
      <c r="R114" s="182" t="str">
        <f ca="1">IFERROR(VALUE(IF(VLOOKUP($A114,数出表_Excel!$A$6:$T$150,COLUMN()/2+1,FALSE)=0,"",VLOOKUP($A114,数出表_Excel!$A$6:$T$150,COLUMN()/2+1,FALSE))),"")</f>
        <v/>
      </c>
      <c r="S114" s="75"/>
      <c r="T114" s="182" t="str">
        <f ca="1">IFERROR(VALUE(IF(VLOOKUP($A114,数出表_Excel!$A$6:$T$150,COLUMN()/2+1,FALSE)=0,"",VLOOKUP($A114,数出表_Excel!$A$6:$T$150,COLUMN()/2+1,FALSE))),"")</f>
        <v/>
      </c>
      <c r="U114" s="75"/>
      <c r="V114" s="182" t="str">
        <f ca="1">IFERROR(VALUE(IF(VLOOKUP($A114,数出表_Excel!$A$6:$T$150,COLUMN()/2+1,FALSE)=0,"",VLOOKUP($A114,数出表_Excel!$A$6:$T$150,COLUMN()/2+1,FALSE))),"")</f>
        <v/>
      </c>
      <c r="W114" s="75"/>
      <c r="X114" s="182" t="str">
        <f ca="1">IFERROR(VALUE(IF(VLOOKUP($A114,数出表_Excel!$A$6:$T$150,COLUMN()/2+1,FALSE)=0,"",VLOOKUP($A114,数出表_Excel!$A$6:$T$150,COLUMN()/2+1,FALSE))),"")</f>
        <v/>
      </c>
      <c r="Y114" s="75"/>
      <c r="Z114" s="182" t="str">
        <f ca="1">IFERROR(VALUE(IF(VLOOKUP($A114,数出表_Excel!$A$6:$T$150,COLUMN()/2+1,FALSE)=0,"",VLOOKUP($A114,数出表_Excel!$A$6:$T$150,COLUMN()/2+1,FALSE))),"")</f>
        <v/>
      </c>
      <c r="AA114" s="75"/>
      <c r="AB114" s="182" t="str">
        <f ca="1">IFERROR(VALUE(IF(VLOOKUP($A114,数出表_Excel!$A$6:$T$150,COLUMN()/2+1,FALSE)=0,"",VLOOKUP($A114,数出表_Excel!$A$6:$T$150,COLUMN()/2+1,FALSE))),"")</f>
        <v/>
      </c>
      <c r="AC114" s="75"/>
      <c r="AD114" s="182" t="str">
        <f ca="1">IFERROR(VALUE(IF(VLOOKUP($A114,数出表_Excel!$A$6:$T$150,COLUMN()/2+1,FALSE)=0,"",VLOOKUP($A114,数出表_Excel!$A$6:$T$150,COLUMN()/2+1,FALSE))),"")</f>
        <v/>
      </c>
      <c r="AE114" s="75"/>
      <c r="AF114" s="182" t="str">
        <f ca="1">IFERROR(VALUE(IF(VLOOKUP($A114,数出表_Excel!$A$6:$T$150,COLUMN()/2+1,FALSE)=0,"",VLOOKUP($A114,数出表_Excel!$A$6:$T$150,COLUMN()/2+1,FALSE))),"")</f>
        <v/>
      </c>
      <c r="AG114" s="75"/>
      <c r="AH114" s="182" t="str">
        <f ca="1">IFERROR(VALUE(IF(VLOOKUP($A114,数出表_Excel!$A$6:$T$150,COLUMN()/2+1,FALSE)=0,"",VLOOKUP($A114,数出表_Excel!$A$6:$T$150,COLUMN()/2+1,FALSE))),"")</f>
        <v/>
      </c>
      <c r="AI114" s="75"/>
      <c r="AJ114" s="182" t="str">
        <f ca="1">IFERROR(VALUE(IF(VLOOKUP($A114,数出表_Excel!$A$6:$T$150,COLUMN()/2+1,FALSE)=0,"",VLOOKUP($A114,数出表_Excel!$A$6:$T$150,COLUMN()/2+1,FALSE))),"")</f>
        <v/>
      </c>
      <c r="AK114" s="75"/>
      <c r="AL114" s="61" t="e">
        <f ca="1">IF(A114&lt;&gt;"",
IF(VLOOKUP($A114,数出表_Excel!$A$6:$T$150,COLUMN()/2+1,FALSE)=0,"",VLOOKUP($A114,数出表_Excel!$A$6:$T$150,COLUMN()/2+1,FALSE)),"")</f>
        <v>#N/A</v>
      </c>
      <c r="AM114" s="89" t="e">
        <f>数出表_Excel!V114</f>
        <v>#N/A</v>
      </c>
      <c r="AN114" s="90" t="e">
        <f>数出表_Excel!W114</f>
        <v>#N/A</v>
      </c>
    </row>
    <row r="115" spans="1:40" ht="16.2" customHeight="1">
      <c r="A115" s="82" t="e">
        <f t="array" aca="1" ref="A115" ca="1">IF(OR(COUNTIF(A113,"*1000*"),COUNTIF(A113,"")),"",INDEX(貼り付け用!$A1:$A200,MATCH(A113,貼り付け用!$A1:$A200,0)+2,0))</f>
        <v>#N/A</v>
      </c>
      <c r="B115" s="148" t="str">
        <f ca="1">IFERROR(VALUE(IF(VLOOKUP($A115,数出表_Excel!$A$6:$T$150,COLUMN()/2+1,FALSE)=0,"",VLOOKUP($A115,数出表_Excel!$A$6:$T$150,COLUMN()/2+1,FALSE))),"")</f>
        <v/>
      </c>
      <c r="C115" s="76"/>
      <c r="D115" s="148" t="str">
        <f ca="1">IFERROR(VALUE(IF(VLOOKUP($A115,数出表_Excel!$A$6:$T$150,COLUMN()/2+1,FALSE)=0,"",VLOOKUP($A115,数出表_Excel!$A$6:$T$150,COLUMN()/2+1,FALSE))),"")</f>
        <v/>
      </c>
      <c r="E115" s="76"/>
      <c r="F115" s="148" t="str">
        <f ca="1">IFERROR(VALUE(IF(VLOOKUP($A115,数出表_Excel!$A$6:$T$150,COLUMN()/2+1,FALSE)=0,"",VLOOKUP($A115,数出表_Excel!$A$6:$T$150,COLUMN()/2+1,FALSE))),"")</f>
        <v/>
      </c>
      <c r="G115" s="76"/>
      <c r="H115" s="148" t="str">
        <f ca="1">IFERROR(VALUE(IF(VLOOKUP($A115,数出表_Excel!$A$6:$T$150,COLUMN()/2+1,FALSE)=0,"",VLOOKUP($A115,数出表_Excel!$A$6:$T$150,COLUMN()/2+1,FALSE))),"")</f>
        <v/>
      </c>
      <c r="I115" s="76"/>
      <c r="J115" s="148" t="str">
        <f ca="1">IFERROR(VALUE(IF(VLOOKUP($A115,数出表_Excel!$A$6:$T$150,COLUMN()/2+1,FALSE)=0,"",VLOOKUP($A115,数出表_Excel!$A$6:$T$150,COLUMN()/2+1,FALSE))),"")</f>
        <v/>
      </c>
      <c r="K115" s="76"/>
      <c r="L115" s="148" t="str">
        <f ca="1">IFERROR(VALUE(IF(VLOOKUP($A115,数出表_Excel!$A$6:$T$150,COLUMN()/2+1,FALSE)=0,"",VLOOKUP($A115,数出表_Excel!$A$6:$T$150,COLUMN()/2+1,FALSE))),"")</f>
        <v/>
      </c>
      <c r="M115" s="76"/>
      <c r="N115" s="148" t="str">
        <f ca="1">IFERROR(VALUE(IF(VLOOKUP($A115,数出表_Excel!$A$6:$T$150,COLUMN()/2+1,FALSE)=0,"",VLOOKUP($A115,数出表_Excel!$A$6:$T$150,COLUMN()/2+1,FALSE))),"")</f>
        <v/>
      </c>
      <c r="O115" s="76"/>
      <c r="P115" s="148" t="str">
        <f ca="1">IFERROR(VALUE(IF(VLOOKUP($A115,数出表_Excel!$A$6:$T$150,COLUMN()/2+1,FALSE)=0,"",VLOOKUP($A115,数出表_Excel!$A$6:$T$150,COLUMN()/2+1,FALSE))),"")</f>
        <v/>
      </c>
      <c r="Q115" s="76"/>
      <c r="R115" s="148" t="str">
        <f ca="1">IFERROR(VALUE(IF(VLOOKUP($A115,数出表_Excel!$A$6:$T$150,COLUMN()/2+1,FALSE)=0,"",VLOOKUP($A115,数出表_Excel!$A$6:$T$150,COLUMN()/2+1,FALSE))),"")</f>
        <v/>
      </c>
      <c r="S115" s="76"/>
      <c r="T115" s="148" t="str">
        <f ca="1">IFERROR(VALUE(IF(VLOOKUP($A115,数出表_Excel!$A$6:$T$150,COLUMN()/2+1,FALSE)=0,"",VLOOKUP($A115,数出表_Excel!$A$6:$T$150,COLUMN()/2+1,FALSE))),"")</f>
        <v/>
      </c>
      <c r="U115" s="76"/>
      <c r="V115" s="148" t="str">
        <f ca="1">IFERROR(VALUE(IF(VLOOKUP($A115,数出表_Excel!$A$6:$T$150,COLUMN()/2+1,FALSE)=0,"",VLOOKUP($A115,数出表_Excel!$A$6:$T$150,COLUMN()/2+1,FALSE))),"")</f>
        <v/>
      </c>
      <c r="W115" s="76"/>
      <c r="X115" s="148" t="str">
        <f ca="1">IFERROR(VALUE(IF(VLOOKUP($A115,数出表_Excel!$A$6:$T$150,COLUMN()/2+1,FALSE)=0,"",VLOOKUP($A115,数出表_Excel!$A$6:$T$150,COLUMN()/2+1,FALSE))),"")</f>
        <v/>
      </c>
      <c r="Y115" s="76"/>
      <c r="Z115" s="148" t="str">
        <f ca="1">IFERROR(VALUE(IF(VLOOKUP($A115,数出表_Excel!$A$6:$T$150,COLUMN()/2+1,FALSE)=0,"",VLOOKUP($A115,数出表_Excel!$A$6:$T$150,COLUMN()/2+1,FALSE))),"")</f>
        <v/>
      </c>
      <c r="AA115" s="76"/>
      <c r="AB115" s="148" t="str">
        <f ca="1">IFERROR(VALUE(IF(VLOOKUP($A115,数出表_Excel!$A$6:$T$150,COLUMN()/2+1,FALSE)=0,"",VLOOKUP($A115,数出表_Excel!$A$6:$T$150,COLUMN()/2+1,FALSE))),"")</f>
        <v/>
      </c>
      <c r="AC115" s="76"/>
      <c r="AD115" s="148" t="str">
        <f ca="1">IFERROR(VALUE(IF(VLOOKUP($A115,数出表_Excel!$A$6:$T$150,COLUMN()/2+1,FALSE)=0,"",VLOOKUP($A115,数出表_Excel!$A$6:$T$150,COLUMN()/2+1,FALSE))),"")</f>
        <v/>
      </c>
      <c r="AE115" s="76"/>
      <c r="AF115" s="148" t="str">
        <f ca="1">IFERROR(VALUE(IF(VLOOKUP($A115,数出表_Excel!$A$6:$T$150,COLUMN()/2+1,FALSE)=0,"",VLOOKUP($A115,数出表_Excel!$A$6:$T$150,COLUMN()/2+1,FALSE))),"")</f>
        <v/>
      </c>
      <c r="AG115" s="76"/>
      <c r="AH115" s="148" t="str">
        <f ca="1">IFERROR(VALUE(IF(VLOOKUP($A115,数出表_Excel!$A$6:$T$150,COLUMN()/2+1,FALSE)=0,"",VLOOKUP($A115,数出表_Excel!$A$6:$T$150,COLUMN()/2+1,FALSE))),"")</f>
        <v/>
      </c>
      <c r="AI115" s="76"/>
      <c r="AJ115" s="148" t="str">
        <f ca="1">IFERROR(VALUE(IF(VLOOKUP($A115,数出表_Excel!$A$6:$T$150,COLUMN()/2+1,FALSE)=0,"",VLOOKUP($A115,数出表_Excel!$A$6:$T$150,COLUMN()/2+1,FALSE))),"")</f>
        <v/>
      </c>
      <c r="AK115" s="76"/>
      <c r="AL115" s="63" t="e">
        <f ca="1">IF(A115&lt;&gt;"",
IF(VLOOKUP($A115,数出表_Excel!$A$6:$T$150,COLUMN()/2+1,FALSE)=0,"",VLOOKUP($A115,数出表_Excel!$A$6:$T$150,COLUMN()/2+1,FALSE)),"")</f>
        <v>#N/A</v>
      </c>
      <c r="AM115" s="91" t="e">
        <f>数出表_Excel!V115</f>
        <v>#N/A</v>
      </c>
      <c r="AN115" s="92" t="e">
        <f>数出表_Excel!W115</f>
        <v>#N/A</v>
      </c>
    </row>
    <row r="116" spans="1:40" ht="16.2" customHeight="1">
      <c r="A116" s="81" t="e">
        <f t="array" aca="1" ref="A116" ca="1">IF(OR(COUNTIF(A114,"*10002*"),COUNTIF(A114,"")),"",INDEX(貼り付け用!$A1:$A200,MATCH(A114,貼り付け用!$A1:$A200,0)+2,0))</f>
        <v>#N/A</v>
      </c>
      <c r="B116" s="182" t="str">
        <f ca="1">IFERROR(VALUE(IF(VLOOKUP($A116,数出表_Excel!$A$6:$T$150,COLUMN()/2+1,FALSE)=0,"",VLOOKUP($A116,数出表_Excel!$A$6:$T$150,COLUMN()/2+1,FALSE))),"")</f>
        <v/>
      </c>
      <c r="C116" s="75"/>
      <c r="D116" s="182" t="str">
        <f ca="1">IFERROR(VALUE(IF(VLOOKUP($A116,数出表_Excel!$A$6:$T$150,COLUMN()/2+1,FALSE)=0,"",VLOOKUP($A116,数出表_Excel!$A$6:$T$150,COLUMN()/2+1,FALSE))),"")</f>
        <v/>
      </c>
      <c r="E116" s="75"/>
      <c r="F116" s="182" t="str">
        <f ca="1">IFERROR(VALUE(IF(VLOOKUP($A116,数出表_Excel!$A$6:$T$150,COLUMN()/2+1,FALSE)=0,"",VLOOKUP($A116,数出表_Excel!$A$6:$T$150,COLUMN()/2+1,FALSE))),"")</f>
        <v/>
      </c>
      <c r="G116" s="75"/>
      <c r="H116" s="182" t="str">
        <f ca="1">IFERROR(VALUE(IF(VLOOKUP($A116,数出表_Excel!$A$6:$T$150,COLUMN()/2+1,FALSE)=0,"",VLOOKUP($A116,数出表_Excel!$A$6:$T$150,COLUMN()/2+1,FALSE))),"")</f>
        <v/>
      </c>
      <c r="I116" s="75"/>
      <c r="J116" s="182" t="str">
        <f ca="1">IFERROR(VALUE(IF(VLOOKUP($A116,数出表_Excel!$A$6:$T$150,COLUMN()/2+1,FALSE)=0,"",VLOOKUP($A116,数出表_Excel!$A$6:$T$150,COLUMN()/2+1,FALSE))),"")</f>
        <v/>
      </c>
      <c r="K116" s="75"/>
      <c r="L116" s="182" t="str">
        <f ca="1">IFERROR(VALUE(IF(VLOOKUP($A116,数出表_Excel!$A$6:$T$150,COLUMN()/2+1,FALSE)=0,"",VLOOKUP($A116,数出表_Excel!$A$6:$T$150,COLUMN()/2+1,FALSE))),"")</f>
        <v/>
      </c>
      <c r="M116" s="75"/>
      <c r="N116" s="182" t="str">
        <f ca="1">IFERROR(VALUE(IF(VLOOKUP($A116,数出表_Excel!$A$6:$T$150,COLUMN()/2+1,FALSE)=0,"",VLOOKUP($A116,数出表_Excel!$A$6:$T$150,COLUMN()/2+1,FALSE))),"")</f>
        <v/>
      </c>
      <c r="O116" s="75"/>
      <c r="P116" s="182" t="str">
        <f ca="1">IFERROR(VALUE(IF(VLOOKUP($A116,数出表_Excel!$A$6:$T$150,COLUMN()/2+1,FALSE)=0,"",VLOOKUP($A116,数出表_Excel!$A$6:$T$150,COLUMN()/2+1,FALSE))),"")</f>
        <v/>
      </c>
      <c r="Q116" s="75"/>
      <c r="R116" s="182" t="str">
        <f ca="1">IFERROR(VALUE(IF(VLOOKUP($A116,数出表_Excel!$A$6:$T$150,COLUMN()/2+1,FALSE)=0,"",VLOOKUP($A116,数出表_Excel!$A$6:$T$150,COLUMN()/2+1,FALSE))),"")</f>
        <v/>
      </c>
      <c r="S116" s="75"/>
      <c r="T116" s="182" t="str">
        <f ca="1">IFERROR(VALUE(IF(VLOOKUP($A116,数出表_Excel!$A$6:$T$150,COLUMN()/2+1,FALSE)=0,"",VLOOKUP($A116,数出表_Excel!$A$6:$T$150,COLUMN()/2+1,FALSE))),"")</f>
        <v/>
      </c>
      <c r="U116" s="75"/>
      <c r="V116" s="182" t="str">
        <f ca="1">IFERROR(VALUE(IF(VLOOKUP($A116,数出表_Excel!$A$6:$T$150,COLUMN()/2+1,FALSE)=0,"",VLOOKUP($A116,数出表_Excel!$A$6:$T$150,COLUMN()/2+1,FALSE))),"")</f>
        <v/>
      </c>
      <c r="W116" s="75"/>
      <c r="X116" s="182" t="str">
        <f ca="1">IFERROR(VALUE(IF(VLOOKUP($A116,数出表_Excel!$A$6:$T$150,COLUMN()/2+1,FALSE)=0,"",VLOOKUP($A116,数出表_Excel!$A$6:$T$150,COLUMN()/2+1,FALSE))),"")</f>
        <v/>
      </c>
      <c r="Y116" s="75"/>
      <c r="Z116" s="182" t="str">
        <f ca="1">IFERROR(VALUE(IF(VLOOKUP($A116,数出表_Excel!$A$6:$T$150,COLUMN()/2+1,FALSE)=0,"",VLOOKUP($A116,数出表_Excel!$A$6:$T$150,COLUMN()/2+1,FALSE))),"")</f>
        <v/>
      </c>
      <c r="AA116" s="75"/>
      <c r="AB116" s="182" t="str">
        <f ca="1">IFERROR(VALUE(IF(VLOOKUP($A116,数出表_Excel!$A$6:$T$150,COLUMN()/2+1,FALSE)=0,"",VLOOKUP($A116,数出表_Excel!$A$6:$T$150,COLUMN()/2+1,FALSE))),"")</f>
        <v/>
      </c>
      <c r="AC116" s="75"/>
      <c r="AD116" s="182" t="str">
        <f ca="1">IFERROR(VALUE(IF(VLOOKUP($A116,数出表_Excel!$A$6:$T$150,COLUMN()/2+1,FALSE)=0,"",VLOOKUP($A116,数出表_Excel!$A$6:$T$150,COLUMN()/2+1,FALSE))),"")</f>
        <v/>
      </c>
      <c r="AE116" s="75"/>
      <c r="AF116" s="182" t="str">
        <f ca="1">IFERROR(VALUE(IF(VLOOKUP($A116,数出表_Excel!$A$6:$T$150,COLUMN()/2+1,FALSE)=0,"",VLOOKUP($A116,数出表_Excel!$A$6:$T$150,COLUMN()/2+1,FALSE))),"")</f>
        <v/>
      </c>
      <c r="AG116" s="75"/>
      <c r="AH116" s="182" t="str">
        <f ca="1">IFERROR(VALUE(IF(VLOOKUP($A116,数出表_Excel!$A$6:$T$150,COLUMN()/2+1,FALSE)=0,"",VLOOKUP($A116,数出表_Excel!$A$6:$T$150,COLUMN()/2+1,FALSE))),"")</f>
        <v/>
      </c>
      <c r="AI116" s="75"/>
      <c r="AJ116" s="182" t="str">
        <f ca="1">IFERROR(VALUE(IF(VLOOKUP($A116,数出表_Excel!$A$6:$T$150,COLUMN()/2+1,FALSE)=0,"",VLOOKUP($A116,数出表_Excel!$A$6:$T$150,COLUMN()/2+1,FALSE))),"")</f>
        <v/>
      </c>
      <c r="AK116" s="75"/>
      <c r="AL116" s="61" t="e">
        <f ca="1">IF(A116&lt;&gt;"",
IF(VLOOKUP($A116,数出表_Excel!$A$6:$T$150,COLUMN()/2+1,FALSE)=0,"",VLOOKUP($A116,数出表_Excel!$A$6:$T$150,COLUMN()/2+1,FALSE)),"")</f>
        <v>#N/A</v>
      </c>
      <c r="AM116" s="89" t="e">
        <f>数出表_Excel!V116</f>
        <v>#N/A</v>
      </c>
      <c r="AN116" s="90" t="e">
        <f>数出表_Excel!W116</f>
        <v>#N/A</v>
      </c>
    </row>
    <row r="117" spans="1:40" ht="16.2" customHeight="1">
      <c r="A117" s="82" t="e">
        <f t="array" aca="1" ref="A117" ca="1">IF(OR(COUNTIF(A115,"*1000*"),COUNTIF(A115,"")),"",INDEX(貼り付け用!$A1:$A200,MATCH(A115,貼り付け用!$A1:$A200,0)+2,0))</f>
        <v>#N/A</v>
      </c>
      <c r="B117" s="148" t="str">
        <f ca="1">IFERROR(VALUE(IF(VLOOKUP($A117,数出表_Excel!$A$6:$T$150,COLUMN()/2+1,FALSE)=0,"",VLOOKUP($A117,数出表_Excel!$A$6:$T$150,COLUMN()/2+1,FALSE))),"")</f>
        <v/>
      </c>
      <c r="C117" s="76"/>
      <c r="D117" s="148" t="str">
        <f ca="1">IFERROR(VALUE(IF(VLOOKUP($A117,数出表_Excel!$A$6:$T$150,COLUMN()/2+1,FALSE)=0,"",VLOOKUP($A117,数出表_Excel!$A$6:$T$150,COLUMN()/2+1,FALSE))),"")</f>
        <v/>
      </c>
      <c r="E117" s="76"/>
      <c r="F117" s="148" t="str">
        <f ca="1">IFERROR(VALUE(IF(VLOOKUP($A117,数出表_Excel!$A$6:$T$150,COLUMN()/2+1,FALSE)=0,"",VLOOKUP($A117,数出表_Excel!$A$6:$T$150,COLUMN()/2+1,FALSE))),"")</f>
        <v/>
      </c>
      <c r="G117" s="76"/>
      <c r="H117" s="148" t="str">
        <f ca="1">IFERROR(VALUE(IF(VLOOKUP($A117,数出表_Excel!$A$6:$T$150,COLUMN()/2+1,FALSE)=0,"",VLOOKUP($A117,数出表_Excel!$A$6:$T$150,COLUMN()/2+1,FALSE))),"")</f>
        <v/>
      </c>
      <c r="I117" s="76"/>
      <c r="J117" s="148" t="str">
        <f ca="1">IFERROR(VALUE(IF(VLOOKUP($A117,数出表_Excel!$A$6:$T$150,COLUMN()/2+1,FALSE)=0,"",VLOOKUP($A117,数出表_Excel!$A$6:$T$150,COLUMN()/2+1,FALSE))),"")</f>
        <v/>
      </c>
      <c r="K117" s="76"/>
      <c r="L117" s="148" t="str">
        <f ca="1">IFERROR(VALUE(IF(VLOOKUP($A117,数出表_Excel!$A$6:$T$150,COLUMN()/2+1,FALSE)=0,"",VLOOKUP($A117,数出表_Excel!$A$6:$T$150,COLUMN()/2+1,FALSE))),"")</f>
        <v/>
      </c>
      <c r="M117" s="76"/>
      <c r="N117" s="148" t="str">
        <f ca="1">IFERROR(VALUE(IF(VLOOKUP($A117,数出表_Excel!$A$6:$T$150,COLUMN()/2+1,FALSE)=0,"",VLOOKUP($A117,数出表_Excel!$A$6:$T$150,COLUMN()/2+1,FALSE))),"")</f>
        <v/>
      </c>
      <c r="O117" s="76"/>
      <c r="P117" s="148" t="str">
        <f ca="1">IFERROR(VALUE(IF(VLOOKUP($A117,数出表_Excel!$A$6:$T$150,COLUMN()/2+1,FALSE)=0,"",VLOOKUP($A117,数出表_Excel!$A$6:$T$150,COLUMN()/2+1,FALSE))),"")</f>
        <v/>
      </c>
      <c r="Q117" s="76"/>
      <c r="R117" s="148" t="str">
        <f ca="1">IFERROR(VALUE(IF(VLOOKUP($A117,数出表_Excel!$A$6:$T$150,COLUMN()/2+1,FALSE)=0,"",VLOOKUP($A117,数出表_Excel!$A$6:$T$150,COLUMN()/2+1,FALSE))),"")</f>
        <v/>
      </c>
      <c r="S117" s="76"/>
      <c r="T117" s="148" t="str">
        <f ca="1">IFERROR(VALUE(IF(VLOOKUP($A117,数出表_Excel!$A$6:$T$150,COLUMN()/2+1,FALSE)=0,"",VLOOKUP($A117,数出表_Excel!$A$6:$T$150,COLUMN()/2+1,FALSE))),"")</f>
        <v/>
      </c>
      <c r="U117" s="76"/>
      <c r="V117" s="148" t="str">
        <f ca="1">IFERROR(VALUE(IF(VLOOKUP($A117,数出表_Excel!$A$6:$T$150,COLUMN()/2+1,FALSE)=0,"",VLOOKUP($A117,数出表_Excel!$A$6:$T$150,COLUMN()/2+1,FALSE))),"")</f>
        <v/>
      </c>
      <c r="W117" s="76"/>
      <c r="X117" s="148" t="str">
        <f ca="1">IFERROR(VALUE(IF(VLOOKUP($A117,数出表_Excel!$A$6:$T$150,COLUMN()/2+1,FALSE)=0,"",VLOOKUP($A117,数出表_Excel!$A$6:$T$150,COLUMN()/2+1,FALSE))),"")</f>
        <v/>
      </c>
      <c r="Y117" s="76"/>
      <c r="Z117" s="148" t="str">
        <f ca="1">IFERROR(VALUE(IF(VLOOKUP($A117,数出表_Excel!$A$6:$T$150,COLUMN()/2+1,FALSE)=0,"",VLOOKUP($A117,数出表_Excel!$A$6:$T$150,COLUMN()/2+1,FALSE))),"")</f>
        <v/>
      </c>
      <c r="AA117" s="76"/>
      <c r="AB117" s="148" t="str">
        <f ca="1">IFERROR(VALUE(IF(VLOOKUP($A117,数出表_Excel!$A$6:$T$150,COLUMN()/2+1,FALSE)=0,"",VLOOKUP($A117,数出表_Excel!$A$6:$T$150,COLUMN()/2+1,FALSE))),"")</f>
        <v/>
      </c>
      <c r="AC117" s="76"/>
      <c r="AD117" s="148" t="str">
        <f ca="1">IFERROR(VALUE(IF(VLOOKUP($A117,数出表_Excel!$A$6:$T$150,COLUMN()/2+1,FALSE)=0,"",VLOOKUP($A117,数出表_Excel!$A$6:$T$150,COLUMN()/2+1,FALSE))),"")</f>
        <v/>
      </c>
      <c r="AE117" s="76"/>
      <c r="AF117" s="148" t="str">
        <f ca="1">IFERROR(VALUE(IF(VLOOKUP($A117,数出表_Excel!$A$6:$T$150,COLUMN()/2+1,FALSE)=0,"",VLOOKUP($A117,数出表_Excel!$A$6:$T$150,COLUMN()/2+1,FALSE))),"")</f>
        <v/>
      </c>
      <c r="AG117" s="76"/>
      <c r="AH117" s="148" t="str">
        <f ca="1">IFERROR(VALUE(IF(VLOOKUP($A117,数出表_Excel!$A$6:$T$150,COLUMN()/2+1,FALSE)=0,"",VLOOKUP($A117,数出表_Excel!$A$6:$T$150,COLUMN()/2+1,FALSE))),"")</f>
        <v/>
      </c>
      <c r="AI117" s="76"/>
      <c r="AJ117" s="148" t="str">
        <f ca="1">IFERROR(VALUE(IF(VLOOKUP($A117,数出表_Excel!$A$6:$T$150,COLUMN()/2+1,FALSE)=0,"",VLOOKUP($A117,数出表_Excel!$A$6:$T$150,COLUMN()/2+1,FALSE))),"")</f>
        <v/>
      </c>
      <c r="AK117" s="76"/>
      <c r="AL117" s="63" t="e">
        <f ca="1">IF(A117&lt;&gt;"",
IF(VLOOKUP($A117,数出表_Excel!$A$6:$T$150,COLUMN()/2+1,FALSE)=0,"",VLOOKUP($A117,数出表_Excel!$A$6:$T$150,COLUMN()/2+1,FALSE)),"")</f>
        <v>#N/A</v>
      </c>
      <c r="AM117" s="91" t="e">
        <f>数出表_Excel!V117</f>
        <v>#N/A</v>
      </c>
      <c r="AN117" s="92" t="e">
        <f>数出表_Excel!W117</f>
        <v>#N/A</v>
      </c>
    </row>
    <row r="118" spans="1:40" ht="16.2" customHeight="1">
      <c r="A118" s="81" t="e">
        <f t="array" aca="1" ref="A118" ca="1">IF(OR(COUNTIF(A116,"*10002*"),COUNTIF(A116,"")),"",INDEX(貼り付け用!$A1:$A200,MATCH(A116,貼り付け用!$A1:$A200,0)+2,0))</f>
        <v>#N/A</v>
      </c>
      <c r="B118" s="182" t="str">
        <f ca="1">IFERROR(VALUE(IF(VLOOKUP($A118,数出表_Excel!$A$6:$T$150,COLUMN()/2+1,FALSE)=0,"",VLOOKUP($A118,数出表_Excel!$A$6:$T$150,COLUMN()/2+1,FALSE))),"")</f>
        <v/>
      </c>
      <c r="C118" s="75"/>
      <c r="D118" s="182" t="str">
        <f ca="1">IFERROR(VALUE(IF(VLOOKUP($A118,数出表_Excel!$A$6:$T$150,COLUMN()/2+1,FALSE)=0,"",VLOOKUP($A118,数出表_Excel!$A$6:$T$150,COLUMN()/2+1,FALSE))),"")</f>
        <v/>
      </c>
      <c r="E118" s="75"/>
      <c r="F118" s="182" t="str">
        <f ca="1">IFERROR(VALUE(IF(VLOOKUP($A118,数出表_Excel!$A$6:$T$150,COLUMN()/2+1,FALSE)=0,"",VLOOKUP($A118,数出表_Excel!$A$6:$T$150,COLUMN()/2+1,FALSE))),"")</f>
        <v/>
      </c>
      <c r="G118" s="75"/>
      <c r="H118" s="182" t="str">
        <f ca="1">IFERROR(VALUE(IF(VLOOKUP($A118,数出表_Excel!$A$6:$T$150,COLUMN()/2+1,FALSE)=0,"",VLOOKUP($A118,数出表_Excel!$A$6:$T$150,COLUMN()/2+1,FALSE))),"")</f>
        <v/>
      </c>
      <c r="I118" s="75"/>
      <c r="J118" s="182" t="str">
        <f ca="1">IFERROR(VALUE(IF(VLOOKUP($A118,数出表_Excel!$A$6:$T$150,COLUMN()/2+1,FALSE)=0,"",VLOOKUP($A118,数出表_Excel!$A$6:$T$150,COLUMN()/2+1,FALSE))),"")</f>
        <v/>
      </c>
      <c r="K118" s="75"/>
      <c r="L118" s="182" t="str">
        <f ca="1">IFERROR(VALUE(IF(VLOOKUP($A118,数出表_Excel!$A$6:$T$150,COLUMN()/2+1,FALSE)=0,"",VLOOKUP($A118,数出表_Excel!$A$6:$T$150,COLUMN()/2+1,FALSE))),"")</f>
        <v/>
      </c>
      <c r="M118" s="75"/>
      <c r="N118" s="182" t="str">
        <f ca="1">IFERROR(VALUE(IF(VLOOKUP($A118,数出表_Excel!$A$6:$T$150,COLUMN()/2+1,FALSE)=0,"",VLOOKUP($A118,数出表_Excel!$A$6:$T$150,COLUMN()/2+1,FALSE))),"")</f>
        <v/>
      </c>
      <c r="O118" s="75"/>
      <c r="P118" s="182" t="str">
        <f ca="1">IFERROR(VALUE(IF(VLOOKUP($A118,数出表_Excel!$A$6:$T$150,COLUMN()/2+1,FALSE)=0,"",VLOOKUP($A118,数出表_Excel!$A$6:$T$150,COLUMN()/2+1,FALSE))),"")</f>
        <v/>
      </c>
      <c r="Q118" s="75"/>
      <c r="R118" s="182" t="str">
        <f ca="1">IFERROR(VALUE(IF(VLOOKUP($A118,数出表_Excel!$A$6:$T$150,COLUMN()/2+1,FALSE)=0,"",VLOOKUP($A118,数出表_Excel!$A$6:$T$150,COLUMN()/2+1,FALSE))),"")</f>
        <v/>
      </c>
      <c r="S118" s="75"/>
      <c r="T118" s="182" t="str">
        <f ca="1">IFERROR(VALUE(IF(VLOOKUP($A118,数出表_Excel!$A$6:$T$150,COLUMN()/2+1,FALSE)=0,"",VLOOKUP($A118,数出表_Excel!$A$6:$T$150,COLUMN()/2+1,FALSE))),"")</f>
        <v/>
      </c>
      <c r="U118" s="75"/>
      <c r="V118" s="182" t="str">
        <f ca="1">IFERROR(VALUE(IF(VLOOKUP($A118,数出表_Excel!$A$6:$T$150,COLUMN()/2+1,FALSE)=0,"",VLOOKUP($A118,数出表_Excel!$A$6:$T$150,COLUMN()/2+1,FALSE))),"")</f>
        <v/>
      </c>
      <c r="W118" s="75"/>
      <c r="X118" s="182" t="str">
        <f ca="1">IFERROR(VALUE(IF(VLOOKUP($A118,数出表_Excel!$A$6:$T$150,COLUMN()/2+1,FALSE)=0,"",VLOOKUP($A118,数出表_Excel!$A$6:$T$150,COLUMN()/2+1,FALSE))),"")</f>
        <v/>
      </c>
      <c r="Y118" s="75"/>
      <c r="Z118" s="182" t="str">
        <f ca="1">IFERROR(VALUE(IF(VLOOKUP($A118,数出表_Excel!$A$6:$T$150,COLUMN()/2+1,FALSE)=0,"",VLOOKUP($A118,数出表_Excel!$A$6:$T$150,COLUMN()/2+1,FALSE))),"")</f>
        <v/>
      </c>
      <c r="AA118" s="75"/>
      <c r="AB118" s="182" t="str">
        <f ca="1">IFERROR(VALUE(IF(VLOOKUP($A118,数出表_Excel!$A$6:$T$150,COLUMN()/2+1,FALSE)=0,"",VLOOKUP($A118,数出表_Excel!$A$6:$T$150,COLUMN()/2+1,FALSE))),"")</f>
        <v/>
      </c>
      <c r="AC118" s="75"/>
      <c r="AD118" s="182" t="str">
        <f ca="1">IFERROR(VALUE(IF(VLOOKUP($A118,数出表_Excel!$A$6:$T$150,COLUMN()/2+1,FALSE)=0,"",VLOOKUP($A118,数出表_Excel!$A$6:$T$150,COLUMN()/2+1,FALSE))),"")</f>
        <v/>
      </c>
      <c r="AE118" s="75"/>
      <c r="AF118" s="182" t="str">
        <f ca="1">IFERROR(VALUE(IF(VLOOKUP($A118,数出表_Excel!$A$6:$T$150,COLUMN()/2+1,FALSE)=0,"",VLOOKUP($A118,数出表_Excel!$A$6:$T$150,COLUMN()/2+1,FALSE))),"")</f>
        <v/>
      </c>
      <c r="AG118" s="75"/>
      <c r="AH118" s="182" t="str">
        <f ca="1">IFERROR(VALUE(IF(VLOOKUP($A118,数出表_Excel!$A$6:$T$150,COLUMN()/2+1,FALSE)=0,"",VLOOKUP($A118,数出表_Excel!$A$6:$T$150,COLUMN()/2+1,FALSE))),"")</f>
        <v/>
      </c>
      <c r="AI118" s="75"/>
      <c r="AJ118" s="182" t="str">
        <f ca="1">IFERROR(VALUE(IF(VLOOKUP($A118,数出表_Excel!$A$6:$T$150,COLUMN()/2+1,FALSE)=0,"",VLOOKUP($A118,数出表_Excel!$A$6:$T$150,COLUMN()/2+1,FALSE))),"")</f>
        <v/>
      </c>
      <c r="AK118" s="75"/>
      <c r="AL118" s="61" t="e">
        <f ca="1">IF(A118&lt;&gt;"",
IF(VLOOKUP($A118,数出表_Excel!$A$6:$T$150,COLUMN()/2+1,FALSE)=0,"",VLOOKUP($A118,数出表_Excel!$A$6:$T$150,COLUMN()/2+1,FALSE)),"")</f>
        <v>#N/A</v>
      </c>
      <c r="AM118" s="89" t="e">
        <f>数出表_Excel!V118</f>
        <v>#N/A</v>
      </c>
      <c r="AN118" s="90" t="e">
        <f>数出表_Excel!W118</f>
        <v>#N/A</v>
      </c>
    </row>
    <row r="119" spans="1:40" ht="16.2" customHeight="1">
      <c r="A119" s="82" t="e">
        <f t="array" aca="1" ref="A119" ca="1">IF(OR(COUNTIF(A117,"*1000*"),COUNTIF(A117,"")),"",INDEX(貼り付け用!$A1:$A200,MATCH(A117,貼り付け用!$A1:$A200,0)+2,0))</f>
        <v>#N/A</v>
      </c>
      <c r="B119" s="148" t="str">
        <f ca="1">IFERROR(VALUE(IF(VLOOKUP($A119,数出表_Excel!$A$6:$T$150,COLUMN()/2+1,FALSE)=0,"",VLOOKUP($A119,数出表_Excel!$A$6:$T$150,COLUMN()/2+1,FALSE))),"")</f>
        <v/>
      </c>
      <c r="C119" s="76"/>
      <c r="D119" s="148" t="str">
        <f ca="1">IFERROR(VALUE(IF(VLOOKUP($A119,数出表_Excel!$A$6:$T$150,COLUMN()/2+1,FALSE)=0,"",VLOOKUP($A119,数出表_Excel!$A$6:$T$150,COLUMN()/2+1,FALSE))),"")</f>
        <v/>
      </c>
      <c r="E119" s="76"/>
      <c r="F119" s="148" t="str">
        <f ca="1">IFERROR(VALUE(IF(VLOOKUP($A119,数出表_Excel!$A$6:$T$150,COLUMN()/2+1,FALSE)=0,"",VLOOKUP($A119,数出表_Excel!$A$6:$T$150,COLUMN()/2+1,FALSE))),"")</f>
        <v/>
      </c>
      <c r="G119" s="76"/>
      <c r="H119" s="148" t="str">
        <f ca="1">IFERROR(VALUE(IF(VLOOKUP($A119,数出表_Excel!$A$6:$T$150,COLUMN()/2+1,FALSE)=0,"",VLOOKUP($A119,数出表_Excel!$A$6:$T$150,COLUMN()/2+1,FALSE))),"")</f>
        <v/>
      </c>
      <c r="I119" s="76"/>
      <c r="J119" s="148" t="str">
        <f ca="1">IFERROR(VALUE(IF(VLOOKUP($A119,数出表_Excel!$A$6:$T$150,COLUMN()/2+1,FALSE)=0,"",VLOOKUP($A119,数出表_Excel!$A$6:$T$150,COLUMN()/2+1,FALSE))),"")</f>
        <v/>
      </c>
      <c r="K119" s="76"/>
      <c r="L119" s="148" t="str">
        <f ca="1">IFERROR(VALUE(IF(VLOOKUP($A119,数出表_Excel!$A$6:$T$150,COLUMN()/2+1,FALSE)=0,"",VLOOKUP($A119,数出表_Excel!$A$6:$T$150,COLUMN()/2+1,FALSE))),"")</f>
        <v/>
      </c>
      <c r="M119" s="76"/>
      <c r="N119" s="148" t="str">
        <f ca="1">IFERROR(VALUE(IF(VLOOKUP($A119,数出表_Excel!$A$6:$T$150,COLUMN()/2+1,FALSE)=0,"",VLOOKUP($A119,数出表_Excel!$A$6:$T$150,COLUMN()/2+1,FALSE))),"")</f>
        <v/>
      </c>
      <c r="O119" s="76"/>
      <c r="P119" s="148" t="str">
        <f ca="1">IFERROR(VALUE(IF(VLOOKUP($A119,数出表_Excel!$A$6:$T$150,COLUMN()/2+1,FALSE)=0,"",VLOOKUP($A119,数出表_Excel!$A$6:$T$150,COLUMN()/2+1,FALSE))),"")</f>
        <v/>
      </c>
      <c r="Q119" s="76"/>
      <c r="R119" s="148" t="str">
        <f ca="1">IFERROR(VALUE(IF(VLOOKUP($A119,数出表_Excel!$A$6:$T$150,COLUMN()/2+1,FALSE)=0,"",VLOOKUP($A119,数出表_Excel!$A$6:$T$150,COLUMN()/2+1,FALSE))),"")</f>
        <v/>
      </c>
      <c r="S119" s="76"/>
      <c r="T119" s="148" t="str">
        <f ca="1">IFERROR(VALUE(IF(VLOOKUP($A119,数出表_Excel!$A$6:$T$150,COLUMN()/2+1,FALSE)=0,"",VLOOKUP($A119,数出表_Excel!$A$6:$T$150,COLUMN()/2+1,FALSE))),"")</f>
        <v/>
      </c>
      <c r="U119" s="76"/>
      <c r="V119" s="148" t="str">
        <f ca="1">IFERROR(VALUE(IF(VLOOKUP($A119,数出表_Excel!$A$6:$T$150,COLUMN()/2+1,FALSE)=0,"",VLOOKUP($A119,数出表_Excel!$A$6:$T$150,COLUMN()/2+1,FALSE))),"")</f>
        <v/>
      </c>
      <c r="W119" s="76"/>
      <c r="X119" s="148" t="str">
        <f ca="1">IFERROR(VALUE(IF(VLOOKUP($A119,数出表_Excel!$A$6:$T$150,COLUMN()/2+1,FALSE)=0,"",VLOOKUP($A119,数出表_Excel!$A$6:$T$150,COLUMN()/2+1,FALSE))),"")</f>
        <v/>
      </c>
      <c r="Y119" s="76"/>
      <c r="Z119" s="148" t="str">
        <f ca="1">IFERROR(VALUE(IF(VLOOKUP($A119,数出表_Excel!$A$6:$T$150,COLUMN()/2+1,FALSE)=0,"",VLOOKUP($A119,数出表_Excel!$A$6:$T$150,COLUMN()/2+1,FALSE))),"")</f>
        <v/>
      </c>
      <c r="AA119" s="76"/>
      <c r="AB119" s="148" t="str">
        <f ca="1">IFERROR(VALUE(IF(VLOOKUP($A119,数出表_Excel!$A$6:$T$150,COLUMN()/2+1,FALSE)=0,"",VLOOKUP($A119,数出表_Excel!$A$6:$T$150,COLUMN()/2+1,FALSE))),"")</f>
        <v/>
      </c>
      <c r="AC119" s="76"/>
      <c r="AD119" s="148" t="str">
        <f ca="1">IFERROR(VALUE(IF(VLOOKUP($A119,数出表_Excel!$A$6:$T$150,COLUMN()/2+1,FALSE)=0,"",VLOOKUP($A119,数出表_Excel!$A$6:$T$150,COLUMN()/2+1,FALSE))),"")</f>
        <v/>
      </c>
      <c r="AE119" s="76"/>
      <c r="AF119" s="148" t="str">
        <f ca="1">IFERROR(VALUE(IF(VLOOKUP($A119,数出表_Excel!$A$6:$T$150,COLUMN()/2+1,FALSE)=0,"",VLOOKUP($A119,数出表_Excel!$A$6:$T$150,COLUMN()/2+1,FALSE))),"")</f>
        <v/>
      </c>
      <c r="AG119" s="76"/>
      <c r="AH119" s="148" t="str">
        <f ca="1">IFERROR(VALUE(IF(VLOOKUP($A119,数出表_Excel!$A$6:$T$150,COLUMN()/2+1,FALSE)=0,"",VLOOKUP($A119,数出表_Excel!$A$6:$T$150,COLUMN()/2+1,FALSE))),"")</f>
        <v/>
      </c>
      <c r="AI119" s="76"/>
      <c r="AJ119" s="148" t="str">
        <f ca="1">IFERROR(VALUE(IF(VLOOKUP($A119,数出表_Excel!$A$6:$T$150,COLUMN()/2+1,FALSE)=0,"",VLOOKUP($A119,数出表_Excel!$A$6:$T$150,COLUMN()/2+1,FALSE))),"")</f>
        <v/>
      </c>
      <c r="AK119" s="76"/>
      <c r="AL119" s="63" t="e">
        <f ca="1">IF(A119&lt;&gt;"",
IF(VLOOKUP($A119,数出表_Excel!$A$6:$T$150,COLUMN()/2+1,FALSE)=0,"",VLOOKUP($A119,数出表_Excel!$A$6:$T$150,COLUMN()/2+1,FALSE)),"")</f>
        <v>#N/A</v>
      </c>
      <c r="AM119" s="91" t="e">
        <f>数出表_Excel!V119</f>
        <v>#N/A</v>
      </c>
      <c r="AN119" s="92" t="e">
        <f>数出表_Excel!W119</f>
        <v>#N/A</v>
      </c>
    </row>
    <row r="120" spans="1:40" ht="16.2" customHeight="1">
      <c r="A120" s="81" t="e">
        <f t="array" aca="1" ref="A120" ca="1">IF(OR(COUNTIF(A118,"*10002*"),COUNTIF(A118,"")),"",INDEX(貼り付け用!$A1:$A200,MATCH(A118,貼り付け用!$A1:$A200,0)+2,0))</f>
        <v>#N/A</v>
      </c>
      <c r="B120" s="182" t="str">
        <f ca="1">IFERROR(VALUE(IF(VLOOKUP($A120,数出表_Excel!$A$6:$T$150,COLUMN()/2+1,FALSE)=0,"",VLOOKUP($A120,数出表_Excel!$A$6:$T$150,COLUMN()/2+1,FALSE))),"")</f>
        <v/>
      </c>
      <c r="C120" s="75"/>
      <c r="D120" s="182" t="str">
        <f ca="1">IFERROR(VALUE(IF(VLOOKUP($A120,数出表_Excel!$A$6:$T$150,COLUMN()/2+1,FALSE)=0,"",VLOOKUP($A120,数出表_Excel!$A$6:$T$150,COLUMN()/2+1,FALSE))),"")</f>
        <v/>
      </c>
      <c r="E120" s="75"/>
      <c r="F120" s="182" t="str">
        <f ca="1">IFERROR(VALUE(IF(VLOOKUP($A120,数出表_Excel!$A$6:$T$150,COLUMN()/2+1,FALSE)=0,"",VLOOKUP($A120,数出表_Excel!$A$6:$T$150,COLUMN()/2+1,FALSE))),"")</f>
        <v/>
      </c>
      <c r="G120" s="75"/>
      <c r="H120" s="182" t="str">
        <f ca="1">IFERROR(VALUE(IF(VLOOKUP($A120,数出表_Excel!$A$6:$T$150,COLUMN()/2+1,FALSE)=0,"",VLOOKUP($A120,数出表_Excel!$A$6:$T$150,COLUMN()/2+1,FALSE))),"")</f>
        <v/>
      </c>
      <c r="I120" s="75"/>
      <c r="J120" s="182" t="str">
        <f ca="1">IFERROR(VALUE(IF(VLOOKUP($A120,数出表_Excel!$A$6:$T$150,COLUMN()/2+1,FALSE)=0,"",VLOOKUP($A120,数出表_Excel!$A$6:$T$150,COLUMN()/2+1,FALSE))),"")</f>
        <v/>
      </c>
      <c r="K120" s="75"/>
      <c r="L120" s="182" t="str">
        <f ca="1">IFERROR(VALUE(IF(VLOOKUP($A120,数出表_Excel!$A$6:$T$150,COLUMN()/2+1,FALSE)=0,"",VLOOKUP($A120,数出表_Excel!$A$6:$T$150,COLUMN()/2+1,FALSE))),"")</f>
        <v/>
      </c>
      <c r="M120" s="75"/>
      <c r="N120" s="182" t="str">
        <f ca="1">IFERROR(VALUE(IF(VLOOKUP($A120,数出表_Excel!$A$6:$T$150,COLUMN()/2+1,FALSE)=0,"",VLOOKUP($A120,数出表_Excel!$A$6:$T$150,COLUMN()/2+1,FALSE))),"")</f>
        <v/>
      </c>
      <c r="O120" s="75"/>
      <c r="P120" s="182" t="str">
        <f ca="1">IFERROR(VALUE(IF(VLOOKUP($A120,数出表_Excel!$A$6:$T$150,COLUMN()/2+1,FALSE)=0,"",VLOOKUP($A120,数出表_Excel!$A$6:$T$150,COLUMN()/2+1,FALSE))),"")</f>
        <v/>
      </c>
      <c r="Q120" s="75"/>
      <c r="R120" s="182" t="str">
        <f ca="1">IFERROR(VALUE(IF(VLOOKUP($A120,数出表_Excel!$A$6:$T$150,COLUMN()/2+1,FALSE)=0,"",VLOOKUP($A120,数出表_Excel!$A$6:$T$150,COLUMN()/2+1,FALSE))),"")</f>
        <v/>
      </c>
      <c r="S120" s="75"/>
      <c r="T120" s="182" t="str">
        <f ca="1">IFERROR(VALUE(IF(VLOOKUP($A120,数出表_Excel!$A$6:$T$150,COLUMN()/2+1,FALSE)=0,"",VLOOKUP($A120,数出表_Excel!$A$6:$T$150,COLUMN()/2+1,FALSE))),"")</f>
        <v/>
      </c>
      <c r="U120" s="75"/>
      <c r="V120" s="182" t="str">
        <f ca="1">IFERROR(VALUE(IF(VLOOKUP($A120,数出表_Excel!$A$6:$T$150,COLUMN()/2+1,FALSE)=0,"",VLOOKUP($A120,数出表_Excel!$A$6:$T$150,COLUMN()/2+1,FALSE))),"")</f>
        <v/>
      </c>
      <c r="W120" s="75"/>
      <c r="X120" s="182" t="str">
        <f ca="1">IFERROR(VALUE(IF(VLOOKUP($A120,数出表_Excel!$A$6:$T$150,COLUMN()/2+1,FALSE)=0,"",VLOOKUP($A120,数出表_Excel!$A$6:$T$150,COLUMN()/2+1,FALSE))),"")</f>
        <v/>
      </c>
      <c r="Y120" s="75"/>
      <c r="Z120" s="182" t="str">
        <f ca="1">IFERROR(VALUE(IF(VLOOKUP($A120,数出表_Excel!$A$6:$T$150,COLUMN()/2+1,FALSE)=0,"",VLOOKUP($A120,数出表_Excel!$A$6:$T$150,COLUMN()/2+1,FALSE))),"")</f>
        <v/>
      </c>
      <c r="AA120" s="75"/>
      <c r="AB120" s="182" t="str">
        <f ca="1">IFERROR(VALUE(IF(VLOOKUP($A120,数出表_Excel!$A$6:$T$150,COLUMN()/2+1,FALSE)=0,"",VLOOKUP($A120,数出表_Excel!$A$6:$T$150,COLUMN()/2+1,FALSE))),"")</f>
        <v/>
      </c>
      <c r="AC120" s="75"/>
      <c r="AD120" s="182" t="str">
        <f ca="1">IFERROR(VALUE(IF(VLOOKUP($A120,数出表_Excel!$A$6:$T$150,COLUMN()/2+1,FALSE)=0,"",VLOOKUP($A120,数出表_Excel!$A$6:$T$150,COLUMN()/2+1,FALSE))),"")</f>
        <v/>
      </c>
      <c r="AE120" s="75"/>
      <c r="AF120" s="182" t="str">
        <f ca="1">IFERROR(VALUE(IF(VLOOKUP($A120,数出表_Excel!$A$6:$T$150,COLUMN()/2+1,FALSE)=0,"",VLOOKUP($A120,数出表_Excel!$A$6:$T$150,COLUMN()/2+1,FALSE))),"")</f>
        <v/>
      </c>
      <c r="AG120" s="75"/>
      <c r="AH120" s="182" t="str">
        <f ca="1">IFERROR(VALUE(IF(VLOOKUP($A120,数出表_Excel!$A$6:$T$150,COLUMN()/2+1,FALSE)=0,"",VLOOKUP($A120,数出表_Excel!$A$6:$T$150,COLUMN()/2+1,FALSE))),"")</f>
        <v/>
      </c>
      <c r="AI120" s="75"/>
      <c r="AJ120" s="182" t="str">
        <f ca="1">IFERROR(VALUE(IF(VLOOKUP($A120,数出表_Excel!$A$6:$T$150,COLUMN()/2+1,FALSE)=0,"",VLOOKUP($A120,数出表_Excel!$A$6:$T$150,COLUMN()/2+1,FALSE))),"")</f>
        <v/>
      </c>
      <c r="AK120" s="75"/>
      <c r="AL120" s="61" t="e">
        <f ca="1">IF(A120&lt;&gt;"",
IF(VLOOKUP($A120,数出表_Excel!$A$6:$T$150,COLUMN()/2+1,FALSE)=0,"",VLOOKUP($A120,数出表_Excel!$A$6:$T$150,COLUMN()/2+1,FALSE)),"")</f>
        <v>#N/A</v>
      </c>
      <c r="AM120" s="89" t="e">
        <f>数出表_Excel!V120</f>
        <v>#N/A</v>
      </c>
      <c r="AN120" s="90" t="e">
        <f>数出表_Excel!W120</f>
        <v>#N/A</v>
      </c>
    </row>
    <row r="121" spans="1:40" ht="16.2" customHeight="1">
      <c r="A121" s="82" t="e">
        <f t="array" aca="1" ref="A121" ca="1">IF(OR(COUNTIF(A119,"*1000*"),COUNTIF(A119,"")),"",INDEX(貼り付け用!$A1:$A200,MATCH(A119,貼り付け用!$A1:$A200,0)+2,0))</f>
        <v>#N/A</v>
      </c>
      <c r="B121" s="148" t="str">
        <f ca="1">IFERROR(VALUE(IF(VLOOKUP($A121,数出表_Excel!$A$6:$T$150,COLUMN()/2+1,FALSE)=0,"",VLOOKUP($A121,数出表_Excel!$A$6:$T$150,COLUMN()/2+1,FALSE))),"")</f>
        <v/>
      </c>
      <c r="C121" s="76"/>
      <c r="D121" s="148" t="str">
        <f ca="1">IFERROR(VALUE(IF(VLOOKUP($A121,数出表_Excel!$A$6:$T$150,COLUMN()/2+1,FALSE)=0,"",VLOOKUP($A121,数出表_Excel!$A$6:$T$150,COLUMN()/2+1,FALSE))),"")</f>
        <v/>
      </c>
      <c r="E121" s="76"/>
      <c r="F121" s="148" t="str">
        <f ca="1">IFERROR(VALUE(IF(VLOOKUP($A121,数出表_Excel!$A$6:$T$150,COLUMN()/2+1,FALSE)=0,"",VLOOKUP($A121,数出表_Excel!$A$6:$T$150,COLUMN()/2+1,FALSE))),"")</f>
        <v/>
      </c>
      <c r="G121" s="76"/>
      <c r="H121" s="148" t="str">
        <f ca="1">IFERROR(VALUE(IF(VLOOKUP($A121,数出表_Excel!$A$6:$T$150,COLUMN()/2+1,FALSE)=0,"",VLOOKUP($A121,数出表_Excel!$A$6:$T$150,COLUMN()/2+1,FALSE))),"")</f>
        <v/>
      </c>
      <c r="I121" s="76"/>
      <c r="J121" s="148" t="str">
        <f ca="1">IFERROR(VALUE(IF(VLOOKUP($A121,数出表_Excel!$A$6:$T$150,COLUMN()/2+1,FALSE)=0,"",VLOOKUP($A121,数出表_Excel!$A$6:$T$150,COLUMN()/2+1,FALSE))),"")</f>
        <v/>
      </c>
      <c r="K121" s="76"/>
      <c r="L121" s="148" t="str">
        <f ca="1">IFERROR(VALUE(IF(VLOOKUP($A121,数出表_Excel!$A$6:$T$150,COLUMN()/2+1,FALSE)=0,"",VLOOKUP($A121,数出表_Excel!$A$6:$T$150,COLUMN()/2+1,FALSE))),"")</f>
        <v/>
      </c>
      <c r="M121" s="76"/>
      <c r="N121" s="148" t="str">
        <f ca="1">IFERROR(VALUE(IF(VLOOKUP($A121,数出表_Excel!$A$6:$T$150,COLUMN()/2+1,FALSE)=0,"",VLOOKUP($A121,数出表_Excel!$A$6:$T$150,COLUMN()/2+1,FALSE))),"")</f>
        <v/>
      </c>
      <c r="O121" s="76"/>
      <c r="P121" s="148" t="str">
        <f ca="1">IFERROR(VALUE(IF(VLOOKUP($A121,数出表_Excel!$A$6:$T$150,COLUMN()/2+1,FALSE)=0,"",VLOOKUP($A121,数出表_Excel!$A$6:$T$150,COLUMN()/2+1,FALSE))),"")</f>
        <v/>
      </c>
      <c r="Q121" s="76"/>
      <c r="R121" s="148" t="str">
        <f ca="1">IFERROR(VALUE(IF(VLOOKUP($A121,数出表_Excel!$A$6:$T$150,COLUMN()/2+1,FALSE)=0,"",VLOOKUP($A121,数出表_Excel!$A$6:$T$150,COLUMN()/2+1,FALSE))),"")</f>
        <v/>
      </c>
      <c r="S121" s="76"/>
      <c r="T121" s="148" t="str">
        <f ca="1">IFERROR(VALUE(IF(VLOOKUP($A121,数出表_Excel!$A$6:$T$150,COLUMN()/2+1,FALSE)=0,"",VLOOKUP($A121,数出表_Excel!$A$6:$T$150,COLUMN()/2+1,FALSE))),"")</f>
        <v/>
      </c>
      <c r="U121" s="76"/>
      <c r="V121" s="148" t="str">
        <f ca="1">IFERROR(VALUE(IF(VLOOKUP($A121,数出表_Excel!$A$6:$T$150,COLUMN()/2+1,FALSE)=0,"",VLOOKUP($A121,数出表_Excel!$A$6:$T$150,COLUMN()/2+1,FALSE))),"")</f>
        <v/>
      </c>
      <c r="W121" s="76"/>
      <c r="X121" s="148" t="str">
        <f ca="1">IFERROR(VALUE(IF(VLOOKUP($A121,数出表_Excel!$A$6:$T$150,COLUMN()/2+1,FALSE)=0,"",VLOOKUP($A121,数出表_Excel!$A$6:$T$150,COLUMN()/2+1,FALSE))),"")</f>
        <v/>
      </c>
      <c r="Y121" s="76"/>
      <c r="Z121" s="148" t="str">
        <f ca="1">IFERROR(VALUE(IF(VLOOKUP($A121,数出表_Excel!$A$6:$T$150,COLUMN()/2+1,FALSE)=0,"",VLOOKUP($A121,数出表_Excel!$A$6:$T$150,COLUMN()/2+1,FALSE))),"")</f>
        <v/>
      </c>
      <c r="AA121" s="76"/>
      <c r="AB121" s="148" t="str">
        <f ca="1">IFERROR(VALUE(IF(VLOOKUP($A121,数出表_Excel!$A$6:$T$150,COLUMN()/2+1,FALSE)=0,"",VLOOKUP($A121,数出表_Excel!$A$6:$T$150,COLUMN()/2+1,FALSE))),"")</f>
        <v/>
      </c>
      <c r="AC121" s="76"/>
      <c r="AD121" s="148" t="str">
        <f ca="1">IFERROR(VALUE(IF(VLOOKUP($A121,数出表_Excel!$A$6:$T$150,COLUMN()/2+1,FALSE)=0,"",VLOOKUP($A121,数出表_Excel!$A$6:$T$150,COLUMN()/2+1,FALSE))),"")</f>
        <v/>
      </c>
      <c r="AE121" s="76"/>
      <c r="AF121" s="148" t="str">
        <f ca="1">IFERROR(VALUE(IF(VLOOKUP($A121,数出表_Excel!$A$6:$T$150,COLUMN()/2+1,FALSE)=0,"",VLOOKUP($A121,数出表_Excel!$A$6:$T$150,COLUMN()/2+1,FALSE))),"")</f>
        <v/>
      </c>
      <c r="AG121" s="76"/>
      <c r="AH121" s="148" t="str">
        <f ca="1">IFERROR(VALUE(IF(VLOOKUP($A121,数出表_Excel!$A$6:$T$150,COLUMN()/2+1,FALSE)=0,"",VLOOKUP($A121,数出表_Excel!$A$6:$T$150,COLUMN()/2+1,FALSE))),"")</f>
        <v/>
      </c>
      <c r="AI121" s="76"/>
      <c r="AJ121" s="148" t="str">
        <f ca="1">IFERROR(VALUE(IF(VLOOKUP($A121,数出表_Excel!$A$6:$T$150,COLUMN()/2+1,FALSE)=0,"",VLOOKUP($A121,数出表_Excel!$A$6:$T$150,COLUMN()/2+1,FALSE))),"")</f>
        <v/>
      </c>
      <c r="AK121" s="76"/>
      <c r="AL121" s="63" t="e">
        <f ca="1">IF(A121&lt;&gt;"",
IF(VLOOKUP($A121,数出表_Excel!$A$6:$T$150,COLUMN()/2+1,FALSE)=0,"",VLOOKUP($A121,数出表_Excel!$A$6:$T$150,COLUMN()/2+1,FALSE)),"")</f>
        <v>#N/A</v>
      </c>
      <c r="AM121" s="91" t="e">
        <f>数出表_Excel!V121</f>
        <v>#N/A</v>
      </c>
      <c r="AN121" s="92" t="e">
        <f>数出表_Excel!W121</f>
        <v>#N/A</v>
      </c>
    </row>
    <row r="122" spans="1:40" ht="16.2" customHeight="1">
      <c r="A122" s="81" t="e">
        <f t="array" aca="1" ref="A122" ca="1">IF(OR(COUNTIF(A120,"*10002*"),COUNTIF(A120,"")),"",INDEX(貼り付け用!$A1:$A200,MATCH(A120,貼り付け用!$A1:$A200,0)+2,0))</f>
        <v>#N/A</v>
      </c>
      <c r="B122" s="182" t="str">
        <f ca="1">IFERROR(VALUE(IF(VLOOKUP($A122,数出表_Excel!$A$6:$T$150,COLUMN()/2+1,FALSE)=0,"",VLOOKUP($A122,数出表_Excel!$A$6:$T$150,COLUMN()/2+1,FALSE))),"")</f>
        <v/>
      </c>
      <c r="C122" s="75"/>
      <c r="D122" s="182" t="str">
        <f ca="1">IFERROR(VALUE(IF(VLOOKUP($A122,数出表_Excel!$A$6:$T$150,COLUMN()/2+1,FALSE)=0,"",VLOOKUP($A122,数出表_Excel!$A$6:$T$150,COLUMN()/2+1,FALSE))),"")</f>
        <v/>
      </c>
      <c r="E122" s="75"/>
      <c r="F122" s="182" t="str">
        <f ca="1">IFERROR(VALUE(IF(VLOOKUP($A122,数出表_Excel!$A$6:$T$150,COLUMN()/2+1,FALSE)=0,"",VLOOKUP($A122,数出表_Excel!$A$6:$T$150,COLUMN()/2+1,FALSE))),"")</f>
        <v/>
      </c>
      <c r="G122" s="75"/>
      <c r="H122" s="182" t="str">
        <f ca="1">IFERROR(VALUE(IF(VLOOKUP($A122,数出表_Excel!$A$6:$T$150,COLUMN()/2+1,FALSE)=0,"",VLOOKUP($A122,数出表_Excel!$A$6:$T$150,COLUMN()/2+1,FALSE))),"")</f>
        <v/>
      </c>
      <c r="I122" s="75"/>
      <c r="J122" s="182" t="str">
        <f ca="1">IFERROR(VALUE(IF(VLOOKUP($A122,数出表_Excel!$A$6:$T$150,COLUMN()/2+1,FALSE)=0,"",VLOOKUP($A122,数出表_Excel!$A$6:$T$150,COLUMN()/2+1,FALSE))),"")</f>
        <v/>
      </c>
      <c r="K122" s="75"/>
      <c r="L122" s="182" t="str">
        <f ca="1">IFERROR(VALUE(IF(VLOOKUP($A122,数出表_Excel!$A$6:$T$150,COLUMN()/2+1,FALSE)=0,"",VLOOKUP($A122,数出表_Excel!$A$6:$T$150,COLUMN()/2+1,FALSE))),"")</f>
        <v/>
      </c>
      <c r="M122" s="75"/>
      <c r="N122" s="182" t="str">
        <f ca="1">IFERROR(VALUE(IF(VLOOKUP($A122,数出表_Excel!$A$6:$T$150,COLUMN()/2+1,FALSE)=0,"",VLOOKUP($A122,数出表_Excel!$A$6:$T$150,COLUMN()/2+1,FALSE))),"")</f>
        <v/>
      </c>
      <c r="O122" s="75"/>
      <c r="P122" s="182" t="str">
        <f ca="1">IFERROR(VALUE(IF(VLOOKUP($A122,数出表_Excel!$A$6:$T$150,COLUMN()/2+1,FALSE)=0,"",VLOOKUP($A122,数出表_Excel!$A$6:$T$150,COLUMN()/2+1,FALSE))),"")</f>
        <v/>
      </c>
      <c r="Q122" s="75"/>
      <c r="R122" s="182" t="str">
        <f ca="1">IFERROR(VALUE(IF(VLOOKUP($A122,数出表_Excel!$A$6:$T$150,COLUMN()/2+1,FALSE)=0,"",VLOOKUP($A122,数出表_Excel!$A$6:$T$150,COLUMN()/2+1,FALSE))),"")</f>
        <v/>
      </c>
      <c r="S122" s="75"/>
      <c r="T122" s="182" t="str">
        <f ca="1">IFERROR(VALUE(IF(VLOOKUP($A122,数出表_Excel!$A$6:$T$150,COLUMN()/2+1,FALSE)=0,"",VLOOKUP($A122,数出表_Excel!$A$6:$T$150,COLUMN()/2+1,FALSE))),"")</f>
        <v/>
      </c>
      <c r="U122" s="75"/>
      <c r="V122" s="182" t="str">
        <f ca="1">IFERROR(VALUE(IF(VLOOKUP($A122,数出表_Excel!$A$6:$T$150,COLUMN()/2+1,FALSE)=0,"",VLOOKUP($A122,数出表_Excel!$A$6:$T$150,COLUMN()/2+1,FALSE))),"")</f>
        <v/>
      </c>
      <c r="W122" s="75"/>
      <c r="X122" s="182" t="str">
        <f ca="1">IFERROR(VALUE(IF(VLOOKUP($A122,数出表_Excel!$A$6:$T$150,COLUMN()/2+1,FALSE)=0,"",VLOOKUP($A122,数出表_Excel!$A$6:$T$150,COLUMN()/2+1,FALSE))),"")</f>
        <v/>
      </c>
      <c r="Y122" s="75"/>
      <c r="Z122" s="182" t="str">
        <f ca="1">IFERROR(VALUE(IF(VLOOKUP($A122,数出表_Excel!$A$6:$T$150,COLUMN()/2+1,FALSE)=0,"",VLOOKUP($A122,数出表_Excel!$A$6:$T$150,COLUMN()/2+1,FALSE))),"")</f>
        <v/>
      </c>
      <c r="AA122" s="75"/>
      <c r="AB122" s="182" t="str">
        <f ca="1">IFERROR(VALUE(IF(VLOOKUP($A122,数出表_Excel!$A$6:$T$150,COLUMN()/2+1,FALSE)=0,"",VLOOKUP($A122,数出表_Excel!$A$6:$T$150,COLUMN()/2+1,FALSE))),"")</f>
        <v/>
      </c>
      <c r="AC122" s="75"/>
      <c r="AD122" s="182" t="str">
        <f ca="1">IFERROR(VALUE(IF(VLOOKUP($A122,数出表_Excel!$A$6:$T$150,COLUMN()/2+1,FALSE)=0,"",VLOOKUP($A122,数出表_Excel!$A$6:$T$150,COLUMN()/2+1,FALSE))),"")</f>
        <v/>
      </c>
      <c r="AE122" s="75"/>
      <c r="AF122" s="182" t="str">
        <f ca="1">IFERROR(VALUE(IF(VLOOKUP($A122,数出表_Excel!$A$6:$T$150,COLUMN()/2+1,FALSE)=0,"",VLOOKUP($A122,数出表_Excel!$A$6:$T$150,COLUMN()/2+1,FALSE))),"")</f>
        <v/>
      </c>
      <c r="AG122" s="75"/>
      <c r="AH122" s="182" t="str">
        <f ca="1">IFERROR(VALUE(IF(VLOOKUP($A122,数出表_Excel!$A$6:$T$150,COLUMN()/2+1,FALSE)=0,"",VLOOKUP($A122,数出表_Excel!$A$6:$T$150,COLUMN()/2+1,FALSE))),"")</f>
        <v/>
      </c>
      <c r="AI122" s="75"/>
      <c r="AJ122" s="182" t="str">
        <f ca="1">IFERROR(VALUE(IF(VLOOKUP($A122,数出表_Excel!$A$6:$T$150,COLUMN()/2+1,FALSE)=0,"",VLOOKUP($A122,数出表_Excel!$A$6:$T$150,COLUMN()/2+1,FALSE))),"")</f>
        <v/>
      </c>
      <c r="AK122" s="75"/>
      <c r="AL122" s="61" t="e">
        <f ca="1">IF(A122&lt;&gt;"",
IF(VLOOKUP($A122,数出表_Excel!$A$6:$T$150,COLUMN()/2+1,FALSE)=0,"",VLOOKUP($A122,数出表_Excel!$A$6:$T$150,COLUMN()/2+1,FALSE)),"")</f>
        <v>#N/A</v>
      </c>
      <c r="AM122" s="89" t="e">
        <f>数出表_Excel!V122</f>
        <v>#N/A</v>
      </c>
      <c r="AN122" s="90" t="e">
        <f>数出表_Excel!W122</f>
        <v>#N/A</v>
      </c>
    </row>
    <row r="123" spans="1:40" ht="16.2" customHeight="1">
      <c r="A123" s="82" t="e">
        <f t="array" aca="1" ref="A123" ca="1">IF(OR(COUNTIF(A121,"*1000*"),COUNTIF(A121,"")),"",INDEX(貼り付け用!$A1:$A200,MATCH(A121,貼り付け用!$A1:$A200,0)+2,0))</f>
        <v>#N/A</v>
      </c>
      <c r="B123" s="148" t="str">
        <f ca="1">IFERROR(VALUE(IF(VLOOKUP($A123,数出表_Excel!$A$6:$T$150,COLUMN()/2+1,FALSE)=0,"",VLOOKUP($A123,数出表_Excel!$A$6:$T$150,COLUMN()/2+1,FALSE))),"")</f>
        <v/>
      </c>
      <c r="C123" s="76"/>
      <c r="D123" s="148" t="str">
        <f ca="1">IFERROR(VALUE(IF(VLOOKUP($A123,数出表_Excel!$A$6:$T$150,COLUMN()/2+1,FALSE)=0,"",VLOOKUP($A123,数出表_Excel!$A$6:$T$150,COLUMN()/2+1,FALSE))),"")</f>
        <v/>
      </c>
      <c r="E123" s="76"/>
      <c r="F123" s="148" t="str">
        <f ca="1">IFERROR(VALUE(IF(VLOOKUP($A123,数出表_Excel!$A$6:$T$150,COLUMN()/2+1,FALSE)=0,"",VLOOKUP($A123,数出表_Excel!$A$6:$T$150,COLUMN()/2+1,FALSE))),"")</f>
        <v/>
      </c>
      <c r="G123" s="76"/>
      <c r="H123" s="148" t="str">
        <f ca="1">IFERROR(VALUE(IF(VLOOKUP($A123,数出表_Excel!$A$6:$T$150,COLUMN()/2+1,FALSE)=0,"",VLOOKUP($A123,数出表_Excel!$A$6:$T$150,COLUMN()/2+1,FALSE))),"")</f>
        <v/>
      </c>
      <c r="I123" s="76"/>
      <c r="J123" s="148" t="str">
        <f ca="1">IFERROR(VALUE(IF(VLOOKUP($A123,数出表_Excel!$A$6:$T$150,COLUMN()/2+1,FALSE)=0,"",VLOOKUP($A123,数出表_Excel!$A$6:$T$150,COLUMN()/2+1,FALSE))),"")</f>
        <v/>
      </c>
      <c r="K123" s="76"/>
      <c r="L123" s="148" t="str">
        <f ca="1">IFERROR(VALUE(IF(VLOOKUP($A123,数出表_Excel!$A$6:$T$150,COLUMN()/2+1,FALSE)=0,"",VLOOKUP($A123,数出表_Excel!$A$6:$T$150,COLUMN()/2+1,FALSE))),"")</f>
        <v/>
      </c>
      <c r="M123" s="76"/>
      <c r="N123" s="148" t="str">
        <f ca="1">IFERROR(VALUE(IF(VLOOKUP($A123,数出表_Excel!$A$6:$T$150,COLUMN()/2+1,FALSE)=0,"",VLOOKUP($A123,数出表_Excel!$A$6:$T$150,COLUMN()/2+1,FALSE))),"")</f>
        <v/>
      </c>
      <c r="O123" s="76"/>
      <c r="P123" s="148" t="str">
        <f ca="1">IFERROR(VALUE(IF(VLOOKUP($A123,数出表_Excel!$A$6:$T$150,COLUMN()/2+1,FALSE)=0,"",VLOOKUP($A123,数出表_Excel!$A$6:$T$150,COLUMN()/2+1,FALSE))),"")</f>
        <v/>
      </c>
      <c r="Q123" s="76"/>
      <c r="R123" s="148" t="str">
        <f ca="1">IFERROR(VALUE(IF(VLOOKUP($A123,数出表_Excel!$A$6:$T$150,COLUMN()/2+1,FALSE)=0,"",VLOOKUP($A123,数出表_Excel!$A$6:$T$150,COLUMN()/2+1,FALSE))),"")</f>
        <v/>
      </c>
      <c r="S123" s="76"/>
      <c r="T123" s="148" t="str">
        <f ca="1">IFERROR(VALUE(IF(VLOOKUP($A123,数出表_Excel!$A$6:$T$150,COLUMN()/2+1,FALSE)=0,"",VLOOKUP($A123,数出表_Excel!$A$6:$T$150,COLUMN()/2+1,FALSE))),"")</f>
        <v/>
      </c>
      <c r="U123" s="76"/>
      <c r="V123" s="148" t="str">
        <f ca="1">IFERROR(VALUE(IF(VLOOKUP($A123,数出表_Excel!$A$6:$T$150,COLUMN()/2+1,FALSE)=0,"",VLOOKUP($A123,数出表_Excel!$A$6:$T$150,COLUMN()/2+1,FALSE))),"")</f>
        <v/>
      </c>
      <c r="W123" s="76"/>
      <c r="X123" s="148" t="str">
        <f ca="1">IFERROR(VALUE(IF(VLOOKUP($A123,数出表_Excel!$A$6:$T$150,COLUMN()/2+1,FALSE)=0,"",VLOOKUP($A123,数出表_Excel!$A$6:$T$150,COLUMN()/2+1,FALSE))),"")</f>
        <v/>
      </c>
      <c r="Y123" s="76"/>
      <c r="Z123" s="148" t="str">
        <f ca="1">IFERROR(VALUE(IF(VLOOKUP($A123,数出表_Excel!$A$6:$T$150,COLUMN()/2+1,FALSE)=0,"",VLOOKUP($A123,数出表_Excel!$A$6:$T$150,COLUMN()/2+1,FALSE))),"")</f>
        <v/>
      </c>
      <c r="AA123" s="76"/>
      <c r="AB123" s="148" t="str">
        <f ca="1">IFERROR(VALUE(IF(VLOOKUP($A123,数出表_Excel!$A$6:$T$150,COLUMN()/2+1,FALSE)=0,"",VLOOKUP($A123,数出表_Excel!$A$6:$T$150,COLUMN()/2+1,FALSE))),"")</f>
        <v/>
      </c>
      <c r="AC123" s="76"/>
      <c r="AD123" s="148" t="str">
        <f ca="1">IFERROR(VALUE(IF(VLOOKUP($A123,数出表_Excel!$A$6:$T$150,COLUMN()/2+1,FALSE)=0,"",VLOOKUP($A123,数出表_Excel!$A$6:$T$150,COLUMN()/2+1,FALSE))),"")</f>
        <v/>
      </c>
      <c r="AE123" s="76"/>
      <c r="AF123" s="148" t="str">
        <f ca="1">IFERROR(VALUE(IF(VLOOKUP($A123,数出表_Excel!$A$6:$T$150,COLUMN()/2+1,FALSE)=0,"",VLOOKUP($A123,数出表_Excel!$A$6:$T$150,COLUMN()/2+1,FALSE))),"")</f>
        <v/>
      </c>
      <c r="AG123" s="76"/>
      <c r="AH123" s="148" t="str">
        <f ca="1">IFERROR(VALUE(IF(VLOOKUP($A123,数出表_Excel!$A$6:$T$150,COLUMN()/2+1,FALSE)=0,"",VLOOKUP($A123,数出表_Excel!$A$6:$T$150,COLUMN()/2+1,FALSE))),"")</f>
        <v/>
      </c>
      <c r="AI123" s="76"/>
      <c r="AJ123" s="148" t="str">
        <f ca="1">IFERROR(VALUE(IF(VLOOKUP($A123,数出表_Excel!$A$6:$T$150,COLUMN()/2+1,FALSE)=0,"",VLOOKUP($A123,数出表_Excel!$A$6:$T$150,COLUMN()/2+1,FALSE))),"")</f>
        <v/>
      </c>
      <c r="AK123" s="76"/>
      <c r="AL123" s="63" t="e">
        <f ca="1">IF(A123&lt;&gt;"",
IF(VLOOKUP($A123,数出表_Excel!$A$6:$T$150,COLUMN()/2+1,FALSE)=0,"",VLOOKUP($A123,数出表_Excel!$A$6:$T$150,COLUMN()/2+1,FALSE)),"")</f>
        <v>#N/A</v>
      </c>
      <c r="AM123" s="91" t="e">
        <f>数出表_Excel!V123</f>
        <v>#N/A</v>
      </c>
      <c r="AN123" s="92" t="e">
        <f>数出表_Excel!W123</f>
        <v>#N/A</v>
      </c>
    </row>
    <row r="124" spans="1:40" ht="16.2" customHeight="1">
      <c r="A124" s="81" t="e">
        <f t="array" aca="1" ref="A124" ca="1">IF(OR(COUNTIF(A122,"*10002*"),COUNTIF(A122,"")),"",INDEX(貼り付け用!$A1:$A200,MATCH(A122,貼り付け用!$A1:$A200,0)+2,0))</f>
        <v>#N/A</v>
      </c>
      <c r="B124" s="182" t="str">
        <f ca="1">IFERROR(VALUE(IF(VLOOKUP($A124,数出表_Excel!$A$6:$T$150,COLUMN()/2+1,FALSE)=0,"",VLOOKUP($A124,数出表_Excel!$A$6:$T$150,COLUMN()/2+1,FALSE))),"")</f>
        <v/>
      </c>
      <c r="C124" s="75"/>
      <c r="D124" s="182" t="str">
        <f ca="1">IFERROR(VALUE(IF(VLOOKUP($A124,数出表_Excel!$A$6:$T$150,COLUMN()/2+1,FALSE)=0,"",VLOOKUP($A124,数出表_Excel!$A$6:$T$150,COLUMN()/2+1,FALSE))),"")</f>
        <v/>
      </c>
      <c r="E124" s="75"/>
      <c r="F124" s="182" t="str">
        <f ca="1">IFERROR(VALUE(IF(VLOOKUP($A124,数出表_Excel!$A$6:$T$150,COLUMN()/2+1,FALSE)=0,"",VLOOKUP($A124,数出表_Excel!$A$6:$T$150,COLUMN()/2+1,FALSE))),"")</f>
        <v/>
      </c>
      <c r="G124" s="75"/>
      <c r="H124" s="182" t="str">
        <f ca="1">IFERROR(VALUE(IF(VLOOKUP($A124,数出表_Excel!$A$6:$T$150,COLUMN()/2+1,FALSE)=0,"",VLOOKUP($A124,数出表_Excel!$A$6:$T$150,COLUMN()/2+1,FALSE))),"")</f>
        <v/>
      </c>
      <c r="I124" s="75"/>
      <c r="J124" s="182" t="str">
        <f ca="1">IFERROR(VALUE(IF(VLOOKUP($A124,数出表_Excel!$A$6:$T$150,COLUMN()/2+1,FALSE)=0,"",VLOOKUP($A124,数出表_Excel!$A$6:$T$150,COLUMN()/2+1,FALSE))),"")</f>
        <v/>
      </c>
      <c r="K124" s="75"/>
      <c r="L124" s="182" t="str">
        <f ca="1">IFERROR(VALUE(IF(VLOOKUP($A124,数出表_Excel!$A$6:$T$150,COLUMN()/2+1,FALSE)=0,"",VLOOKUP($A124,数出表_Excel!$A$6:$T$150,COLUMN()/2+1,FALSE))),"")</f>
        <v/>
      </c>
      <c r="M124" s="75"/>
      <c r="N124" s="182" t="str">
        <f ca="1">IFERROR(VALUE(IF(VLOOKUP($A124,数出表_Excel!$A$6:$T$150,COLUMN()/2+1,FALSE)=0,"",VLOOKUP($A124,数出表_Excel!$A$6:$T$150,COLUMN()/2+1,FALSE))),"")</f>
        <v/>
      </c>
      <c r="O124" s="75"/>
      <c r="P124" s="182" t="str">
        <f ca="1">IFERROR(VALUE(IF(VLOOKUP($A124,数出表_Excel!$A$6:$T$150,COLUMN()/2+1,FALSE)=0,"",VLOOKUP($A124,数出表_Excel!$A$6:$T$150,COLUMN()/2+1,FALSE))),"")</f>
        <v/>
      </c>
      <c r="Q124" s="75"/>
      <c r="R124" s="182" t="str">
        <f ca="1">IFERROR(VALUE(IF(VLOOKUP($A124,数出表_Excel!$A$6:$T$150,COLUMN()/2+1,FALSE)=0,"",VLOOKUP($A124,数出表_Excel!$A$6:$T$150,COLUMN()/2+1,FALSE))),"")</f>
        <v/>
      </c>
      <c r="S124" s="75"/>
      <c r="T124" s="182" t="str">
        <f ca="1">IFERROR(VALUE(IF(VLOOKUP($A124,数出表_Excel!$A$6:$T$150,COLUMN()/2+1,FALSE)=0,"",VLOOKUP($A124,数出表_Excel!$A$6:$T$150,COLUMN()/2+1,FALSE))),"")</f>
        <v/>
      </c>
      <c r="U124" s="75"/>
      <c r="V124" s="182" t="str">
        <f ca="1">IFERROR(VALUE(IF(VLOOKUP($A124,数出表_Excel!$A$6:$T$150,COLUMN()/2+1,FALSE)=0,"",VLOOKUP($A124,数出表_Excel!$A$6:$T$150,COLUMN()/2+1,FALSE))),"")</f>
        <v/>
      </c>
      <c r="W124" s="75"/>
      <c r="X124" s="182" t="str">
        <f ca="1">IFERROR(VALUE(IF(VLOOKUP($A124,数出表_Excel!$A$6:$T$150,COLUMN()/2+1,FALSE)=0,"",VLOOKUP($A124,数出表_Excel!$A$6:$T$150,COLUMN()/2+1,FALSE))),"")</f>
        <v/>
      </c>
      <c r="Y124" s="75"/>
      <c r="Z124" s="182" t="str">
        <f ca="1">IFERROR(VALUE(IF(VLOOKUP($A124,数出表_Excel!$A$6:$T$150,COLUMN()/2+1,FALSE)=0,"",VLOOKUP($A124,数出表_Excel!$A$6:$T$150,COLUMN()/2+1,FALSE))),"")</f>
        <v/>
      </c>
      <c r="AA124" s="75"/>
      <c r="AB124" s="182" t="str">
        <f ca="1">IFERROR(VALUE(IF(VLOOKUP($A124,数出表_Excel!$A$6:$T$150,COLUMN()/2+1,FALSE)=0,"",VLOOKUP($A124,数出表_Excel!$A$6:$T$150,COLUMN()/2+1,FALSE))),"")</f>
        <v/>
      </c>
      <c r="AC124" s="75"/>
      <c r="AD124" s="182" t="str">
        <f ca="1">IFERROR(VALUE(IF(VLOOKUP($A124,数出表_Excel!$A$6:$T$150,COLUMN()/2+1,FALSE)=0,"",VLOOKUP($A124,数出表_Excel!$A$6:$T$150,COLUMN()/2+1,FALSE))),"")</f>
        <v/>
      </c>
      <c r="AE124" s="75"/>
      <c r="AF124" s="182" t="str">
        <f ca="1">IFERROR(VALUE(IF(VLOOKUP($A124,数出表_Excel!$A$6:$T$150,COLUMN()/2+1,FALSE)=0,"",VLOOKUP($A124,数出表_Excel!$A$6:$T$150,COLUMN()/2+1,FALSE))),"")</f>
        <v/>
      </c>
      <c r="AG124" s="75"/>
      <c r="AH124" s="182" t="str">
        <f ca="1">IFERROR(VALUE(IF(VLOOKUP($A124,数出表_Excel!$A$6:$T$150,COLUMN()/2+1,FALSE)=0,"",VLOOKUP($A124,数出表_Excel!$A$6:$T$150,COLUMN()/2+1,FALSE))),"")</f>
        <v/>
      </c>
      <c r="AI124" s="75"/>
      <c r="AJ124" s="182" t="str">
        <f ca="1">IFERROR(VALUE(IF(VLOOKUP($A124,数出表_Excel!$A$6:$T$150,COLUMN()/2+1,FALSE)=0,"",VLOOKUP($A124,数出表_Excel!$A$6:$T$150,COLUMN()/2+1,FALSE))),"")</f>
        <v/>
      </c>
      <c r="AK124" s="75"/>
      <c r="AL124" s="61" t="e">
        <f ca="1">IF(A124&lt;&gt;"",
IF(VLOOKUP($A124,数出表_Excel!$A$6:$T$150,COLUMN()/2+1,FALSE)=0,"",VLOOKUP($A124,数出表_Excel!$A$6:$T$150,COLUMN()/2+1,FALSE)),"")</f>
        <v>#N/A</v>
      </c>
      <c r="AM124" s="89" t="e">
        <f>数出表_Excel!V124</f>
        <v>#N/A</v>
      </c>
      <c r="AN124" s="90" t="e">
        <f>数出表_Excel!W124</f>
        <v>#N/A</v>
      </c>
    </row>
    <row r="125" spans="1:40" ht="16.2" customHeight="1">
      <c r="A125" s="82" t="e">
        <f t="array" aca="1" ref="A125" ca="1">IF(OR(COUNTIF(A123,"*1000*"),COUNTIF(A123,"")),"",INDEX(貼り付け用!$A1:$A200,MATCH(A123,貼り付け用!$A1:$A200,0)+2,0))</f>
        <v>#N/A</v>
      </c>
      <c r="B125" s="148" t="str">
        <f ca="1">IFERROR(VALUE(IF(VLOOKUP($A125,数出表_Excel!$A$6:$T$150,COLUMN()/2+1,FALSE)=0,"",VLOOKUP($A125,数出表_Excel!$A$6:$T$150,COLUMN()/2+1,FALSE))),"")</f>
        <v/>
      </c>
      <c r="C125" s="76"/>
      <c r="D125" s="148" t="str">
        <f ca="1">IFERROR(VALUE(IF(VLOOKUP($A125,数出表_Excel!$A$6:$T$150,COLUMN()/2+1,FALSE)=0,"",VLOOKUP($A125,数出表_Excel!$A$6:$T$150,COLUMN()/2+1,FALSE))),"")</f>
        <v/>
      </c>
      <c r="E125" s="76"/>
      <c r="F125" s="148" t="str">
        <f ca="1">IFERROR(VALUE(IF(VLOOKUP($A125,数出表_Excel!$A$6:$T$150,COLUMN()/2+1,FALSE)=0,"",VLOOKUP($A125,数出表_Excel!$A$6:$T$150,COLUMN()/2+1,FALSE))),"")</f>
        <v/>
      </c>
      <c r="G125" s="76"/>
      <c r="H125" s="148" t="str">
        <f ca="1">IFERROR(VALUE(IF(VLOOKUP($A125,数出表_Excel!$A$6:$T$150,COLUMN()/2+1,FALSE)=0,"",VLOOKUP($A125,数出表_Excel!$A$6:$T$150,COLUMN()/2+1,FALSE))),"")</f>
        <v/>
      </c>
      <c r="I125" s="76"/>
      <c r="J125" s="148" t="str">
        <f ca="1">IFERROR(VALUE(IF(VLOOKUP($A125,数出表_Excel!$A$6:$T$150,COLUMN()/2+1,FALSE)=0,"",VLOOKUP($A125,数出表_Excel!$A$6:$T$150,COLUMN()/2+1,FALSE))),"")</f>
        <v/>
      </c>
      <c r="K125" s="76"/>
      <c r="L125" s="148" t="str">
        <f ca="1">IFERROR(VALUE(IF(VLOOKUP($A125,数出表_Excel!$A$6:$T$150,COLUMN()/2+1,FALSE)=0,"",VLOOKUP($A125,数出表_Excel!$A$6:$T$150,COLUMN()/2+1,FALSE))),"")</f>
        <v/>
      </c>
      <c r="M125" s="76"/>
      <c r="N125" s="148" t="str">
        <f ca="1">IFERROR(VALUE(IF(VLOOKUP($A125,数出表_Excel!$A$6:$T$150,COLUMN()/2+1,FALSE)=0,"",VLOOKUP($A125,数出表_Excel!$A$6:$T$150,COLUMN()/2+1,FALSE))),"")</f>
        <v/>
      </c>
      <c r="O125" s="76"/>
      <c r="P125" s="148" t="str">
        <f ca="1">IFERROR(VALUE(IF(VLOOKUP($A125,数出表_Excel!$A$6:$T$150,COLUMN()/2+1,FALSE)=0,"",VLOOKUP($A125,数出表_Excel!$A$6:$T$150,COLUMN()/2+1,FALSE))),"")</f>
        <v/>
      </c>
      <c r="Q125" s="76"/>
      <c r="R125" s="148" t="str">
        <f ca="1">IFERROR(VALUE(IF(VLOOKUP($A125,数出表_Excel!$A$6:$T$150,COLUMN()/2+1,FALSE)=0,"",VLOOKUP($A125,数出表_Excel!$A$6:$T$150,COLUMN()/2+1,FALSE))),"")</f>
        <v/>
      </c>
      <c r="S125" s="76"/>
      <c r="T125" s="148" t="str">
        <f ca="1">IFERROR(VALUE(IF(VLOOKUP($A125,数出表_Excel!$A$6:$T$150,COLUMN()/2+1,FALSE)=0,"",VLOOKUP($A125,数出表_Excel!$A$6:$T$150,COLUMN()/2+1,FALSE))),"")</f>
        <v/>
      </c>
      <c r="U125" s="76"/>
      <c r="V125" s="148" t="str">
        <f ca="1">IFERROR(VALUE(IF(VLOOKUP($A125,数出表_Excel!$A$6:$T$150,COLUMN()/2+1,FALSE)=0,"",VLOOKUP($A125,数出表_Excel!$A$6:$T$150,COLUMN()/2+1,FALSE))),"")</f>
        <v/>
      </c>
      <c r="W125" s="76"/>
      <c r="X125" s="148" t="str">
        <f ca="1">IFERROR(VALUE(IF(VLOOKUP($A125,数出表_Excel!$A$6:$T$150,COLUMN()/2+1,FALSE)=0,"",VLOOKUP($A125,数出表_Excel!$A$6:$T$150,COLUMN()/2+1,FALSE))),"")</f>
        <v/>
      </c>
      <c r="Y125" s="76"/>
      <c r="Z125" s="148" t="str">
        <f ca="1">IFERROR(VALUE(IF(VLOOKUP($A125,数出表_Excel!$A$6:$T$150,COLUMN()/2+1,FALSE)=0,"",VLOOKUP($A125,数出表_Excel!$A$6:$T$150,COLUMN()/2+1,FALSE))),"")</f>
        <v/>
      </c>
      <c r="AA125" s="76"/>
      <c r="AB125" s="148" t="str">
        <f ca="1">IFERROR(VALUE(IF(VLOOKUP($A125,数出表_Excel!$A$6:$T$150,COLUMN()/2+1,FALSE)=0,"",VLOOKUP($A125,数出表_Excel!$A$6:$T$150,COLUMN()/2+1,FALSE))),"")</f>
        <v/>
      </c>
      <c r="AC125" s="76"/>
      <c r="AD125" s="148" t="str">
        <f ca="1">IFERROR(VALUE(IF(VLOOKUP($A125,数出表_Excel!$A$6:$T$150,COLUMN()/2+1,FALSE)=0,"",VLOOKUP($A125,数出表_Excel!$A$6:$T$150,COLUMN()/2+1,FALSE))),"")</f>
        <v/>
      </c>
      <c r="AE125" s="76"/>
      <c r="AF125" s="148" t="str">
        <f ca="1">IFERROR(VALUE(IF(VLOOKUP($A125,数出表_Excel!$A$6:$T$150,COLUMN()/2+1,FALSE)=0,"",VLOOKUP($A125,数出表_Excel!$A$6:$T$150,COLUMN()/2+1,FALSE))),"")</f>
        <v/>
      </c>
      <c r="AG125" s="76"/>
      <c r="AH125" s="148" t="str">
        <f ca="1">IFERROR(VALUE(IF(VLOOKUP($A125,数出表_Excel!$A$6:$T$150,COLUMN()/2+1,FALSE)=0,"",VLOOKUP($A125,数出表_Excel!$A$6:$T$150,COLUMN()/2+1,FALSE))),"")</f>
        <v/>
      </c>
      <c r="AI125" s="76"/>
      <c r="AJ125" s="148" t="str">
        <f ca="1">IFERROR(VALUE(IF(VLOOKUP($A125,数出表_Excel!$A$6:$T$150,COLUMN()/2+1,FALSE)=0,"",VLOOKUP($A125,数出表_Excel!$A$6:$T$150,COLUMN()/2+1,FALSE))),"")</f>
        <v/>
      </c>
      <c r="AK125" s="76"/>
      <c r="AL125" s="63" t="e">
        <f ca="1">IF(A125&lt;&gt;"",
IF(VLOOKUP($A125,数出表_Excel!$A$6:$T$150,COLUMN()/2+1,FALSE)=0,"",VLOOKUP($A125,数出表_Excel!$A$6:$T$150,COLUMN()/2+1,FALSE)),"")</f>
        <v>#N/A</v>
      </c>
      <c r="AM125" s="91" t="e">
        <f>数出表_Excel!V125</f>
        <v>#N/A</v>
      </c>
      <c r="AN125" s="92" t="e">
        <f>数出表_Excel!W125</f>
        <v>#N/A</v>
      </c>
    </row>
    <row r="126" spans="1:40" ht="16.2" customHeight="1">
      <c r="A126" s="81" t="e">
        <f t="array" aca="1" ref="A126" ca="1">IF(OR(COUNTIF(A124,"*10002*"),COUNTIF(A124,"")),"",INDEX(貼り付け用!$A1:$A200,MATCH(A124,貼り付け用!$A1:$A200,0)+2,0))</f>
        <v>#N/A</v>
      </c>
      <c r="B126" s="182" t="str">
        <f ca="1">IFERROR(VALUE(IF(VLOOKUP($A126,数出表_Excel!$A$6:$T$150,COLUMN()/2+1,FALSE)=0,"",VLOOKUP($A126,数出表_Excel!$A$6:$T$150,COLUMN()/2+1,FALSE))),"")</f>
        <v/>
      </c>
      <c r="C126" s="75"/>
      <c r="D126" s="182" t="str">
        <f ca="1">IFERROR(VALUE(IF(VLOOKUP($A126,数出表_Excel!$A$6:$T$150,COLUMN()/2+1,FALSE)=0,"",VLOOKUP($A126,数出表_Excel!$A$6:$T$150,COLUMN()/2+1,FALSE))),"")</f>
        <v/>
      </c>
      <c r="E126" s="75"/>
      <c r="F126" s="182" t="str">
        <f ca="1">IFERROR(VALUE(IF(VLOOKUP($A126,数出表_Excel!$A$6:$T$150,COLUMN()/2+1,FALSE)=0,"",VLOOKUP($A126,数出表_Excel!$A$6:$T$150,COLUMN()/2+1,FALSE))),"")</f>
        <v/>
      </c>
      <c r="G126" s="75"/>
      <c r="H126" s="182" t="str">
        <f ca="1">IFERROR(VALUE(IF(VLOOKUP($A126,数出表_Excel!$A$6:$T$150,COLUMN()/2+1,FALSE)=0,"",VLOOKUP($A126,数出表_Excel!$A$6:$T$150,COLUMN()/2+1,FALSE))),"")</f>
        <v/>
      </c>
      <c r="I126" s="75"/>
      <c r="J126" s="182" t="str">
        <f ca="1">IFERROR(VALUE(IF(VLOOKUP($A126,数出表_Excel!$A$6:$T$150,COLUMN()/2+1,FALSE)=0,"",VLOOKUP($A126,数出表_Excel!$A$6:$T$150,COLUMN()/2+1,FALSE))),"")</f>
        <v/>
      </c>
      <c r="K126" s="75"/>
      <c r="L126" s="182" t="str">
        <f ca="1">IFERROR(VALUE(IF(VLOOKUP($A126,数出表_Excel!$A$6:$T$150,COLUMN()/2+1,FALSE)=0,"",VLOOKUP($A126,数出表_Excel!$A$6:$T$150,COLUMN()/2+1,FALSE))),"")</f>
        <v/>
      </c>
      <c r="M126" s="75"/>
      <c r="N126" s="182" t="str">
        <f ca="1">IFERROR(VALUE(IF(VLOOKUP($A126,数出表_Excel!$A$6:$T$150,COLUMN()/2+1,FALSE)=0,"",VLOOKUP($A126,数出表_Excel!$A$6:$T$150,COLUMN()/2+1,FALSE))),"")</f>
        <v/>
      </c>
      <c r="O126" s="75"/>
      <c r="P126" s="182" t="str">
        <f ca="1">IFERROR(VALUE(IF(VLOOKUP($A126,数出表_Excel!$A$6:$T$150,COLUMN()/2+1,FALSE)=0,"",VLOOKUP($A126,数出表_Excel!$A$6:$T$150,COLUMN()/2+1,FALSE))),"")</f>
        <v/>
      </c>
      <c r="Q126" s="75"/>
      <c r="R126" s="182" t="str">
        <f ca="1">IFERROR(VALUE(IF(VLOOKUP($A126,数出表_Excel!$A$6:$T$150,COLUMN()/2+1,FALSE)=0,"",VLOOKUP($A126,数出表_Excel!$A$6:$T$150,COLUMN()/2+1,FALSE))),"")</f>
        <v/>
      </c>
      <c r="S126" s="75"/>
      <c r="T126" s="182" t="str">
        <f ca="1">IFERROR(VALUE(IF(VLOOKUP($A126,数出表_Excel!$A$6:$T$150,COLUMN()/2+1,FALSE)=0,"",VLOOKUP($A126,数出表_Excel!$A$6:$T$150,COLUMN()/2+1,FALSE))),"")</f>
        <v/>
      </c>
      <c r="U126" s="75"/>
      <c r="V126" s="182" t="str">
        <f ca="1">IFERROR(VALUE(IF(VLOOKUP($A126,数出表_Excel!$A$6:$T$150,COLUMN()/2+1,FALSE)=0,"",VLOOKUP($A126,数出表_Excel!$A$6:$T$150,COLUMN()/2+1,FALSE))),"")</f>
        <v/>
      </c>
      <c r="W126" s="75"/>
      <c r="X126" s="182" t="str">
        <f ca="1">IFERROR(VALUE(IF(VLOOKUP($A126,数出表_Excel!$A$6:$T$150,COLUMN()/2+1,FALSE)=0,"",VLOOKUP($A126,数出表_Excel!$A$6:$T$150,COLUMN()/2+1,FALSE))),"")</f>
        <v/>
      </c>
      <c r="Y126" s="75"/>
      <c r="Z126" s="182" t="str">
        <f ca="1">IFERROR(VALUE(IF(VLOOKUP($A126,数出表_Excel!$A$6:$T$150,COLUMN()/2+1,FALSE)=0,"",VLOOKUP($A126,数出表_Excel!$A$6:$T$150,COLUMN()/2+1,FALSE))),"")</f>
        <v/>
      </c>
      <c r="AA126" s="75"/>
      <c r="AB126" s="182" t="str">
        <f ca="1">IFERROR(VALUE(IF(VLOOKUP($A126,数出表_Excel!$A$6:$T$150,COLUMN()/2+1,FALSE)=0,"",VLOOKUP($A126,数出表_Excel!$A$6:$T$150,COLUMN()/2+1,FALSE))),"")</f>
        <v/>
      </c>
      <c r="AC126" s="75"/>
      <c r="AD126" s="182" t="str">
        <f ca="1">IFERROR(VALUE(IF(VLOOKUP($A126,数出表_Excel!$A$6:$T$150,COLUMN()/2+1,FALSE)=0,"",VLOOKUP($A126,数出表_Excel!$A$6:$T$150,COLUMN()/2+1,FALSE))),"")</f>
        <v/>
      </c>
      <c r="AE126" s="75"/>
      <c r="AF126" s="182" t="str">
        <f ca="1">IFERROR(VALUE(IF(VLOOKUP($A126,数出表_Excel!$A$6:$T$150,COLUMN()/2+1,FALSE)=0,"",VLOOKUP($A126,数出表_Excel!$A$6:$T$150,COLUMN()/2+1,FALSE))),"")</f>
        <v/>
      </c>
      <c r="AG126" s="75"/>
      <c r="AH126" s="182" t="str">
        <f ca="1">IFERROR(VALUE(IF(VLOOKUP($A126,数出表_Excel!$A$6:$T$150,COLUMN()/2+1,FALSE)=0,"",VLOOKUP($A126,数出表_Excel!$A$6:$T$150,COLUMN()/2+1,FALSE))),"")</f>
        <v/>
      </c>
      <c r="AI126" s="75"/>
      <c r="AJ126" s="182" t="str">
        <f ca="1">IFERROR(VALUE(IF(VLOOKUP($A126,数出表_Excel!$A$6:$T$150,COLUMN()/2+1,FALSE)=0,"",VLOOKUP($A126,数出表_Excel!$A$6:$T$150,COLUMN()/2+1,FALSE))),"")</f>
        <v/>
      </c>
      <c r="AK126" s="75"/>
      <c r="AL126" s="61" t="e">
        <f ca="1">IF(A126&lt;&gt;"",
IF(VLOOKUP($A126,数出表_Excel!$A$6:$T$150,COLUMN()/2+1,FALSE)=0,"",VLOOKUP($A126,数出表_Excel!$A$6:$T$150,COLUMN()/2+1,FALSE)),"")</f>
        <v>#N/A</v>
      </c>
      <c r="AM126" s="89" t="e">
        <f>数出表_Excel!V126</f>
        <v>#N/A</v>
      </c>
      <c r="AN126" s="90" t="e">
        <f>数出表_Excel!W126</f>
        <v>#N/A</v>
      </c>
    </row>
    <row r="127" spans="1:40" ht="16.2" customHeight="1">
      <c r="A127" s="82" t="e">
        <f t="array" aca="1" ref="A127" ca="1">IF(OR(COUNTIF(A125,"*1000*"),COUNTIF(A125,"")),"",INDEX(貼り付け用!$A1:$A200,MATCH(A125,貼り付け用!$A1:$A200,0)+2,0))</f>
        <v>#N/A</v>
      </c>
      <c r="B127" s="148" t="str">
        <f ca="1">IFERROR(VALUE(IF(VLOOKUP($A127,数出表_Excel!$A$6:$T$150,COLUMN()/2+1,FALSE)=0,"",VLOOKUP($A127,数出表_Excel!$A$6:$T$150,COLUMN()/2+1,FALSE))),"")</f>
        <v/>
      </c>
      <c r="C127" s="76"/>
      <c r="D127" s="148" t="str">
        <f ca="1">IFERROR(VALUE(IF(VLOOKUP($A127,数出表_Excel!$A$6:$T$150,COLUMN()/2+1,FALSE)=0,"",VLOOKUP($A127,数出表_Excel!$A$6:$T$150,COLUMN()/2+1,FALSE))),"")</f>
        <v/>
      </c>
      <c r="E127" s="76"/>
      <c r="F127" s="148" t="str">
        <f ca="1">IFERROR(VALUE(IF(VLOOKUP($A127,数出表_Excel!$A$6:$T$150,COLUMN()/2+1,FALSE)=0,"",VLOOKUP($A127,数出表_Excel!$A$6:$T$150,COLUMN()/2+1,FALSE))),"")</f>
        <v/>
      </c>
      <c r="G127" s="76"/>
      <c r="H127" s="148" t="str">
        <f ca="1">IFERROR(VALUE(IF(VLOOKUP($A127,数出表_Excel!$A$6:$T$150,COLUMN()/2+1,FALSE)=0,"",VLOOKUP($A127,数出表_Excel!$A$6:$T$150,COLUMN()/2+1,FALSE))),"")</f>
        <v/>
      </c>
      <c r="I127" s="76"/>
      <c r="J127" s="148" t="str">
        <f ca="1">IFERROR(VALUE(IF(VLOOKUP($A127,数出表_Excel!$A$6:$T$150,COLUMN()/2+1,FALSE)=0,"",VLOOKUP($A127,数出表_Excel!$A$6:$T$150,COLUMN()/2+1,FALSE))),"")</f>
        <v/>
      </c>
      <c r="K127" s="76"/>
      <c r="L127" s="148" t="str">
        <f ca="1">IFERROR(VALUE(IF(VLOOKUP($A127,数出表_Excel!$A$6:$T$150,COLUMN()/2+1,FALSE)=0,"",VLOOKUP($A127,数出表_Excel!$A$6:$T$150,COLUMN()/2+1,FALSE))),"")</f>
        <v/>
      </c>
      <c r="M127" s="76"/>
      <c r="N127" s="148" t="str">
        <f ca="1">IFERROR(VALUE(IF(VLOOKUP($A127,数出表_Excel!$A$6:$T$150,COLUMN()/2+1,FALSE)=0,"",VLOOKUP($A127,数出表_Excel!$A$6:$T$150,COLUMN()/2+1,FALSE))),"")</f>
        <v/>
      </c>
      <c r="O127" s="76"/>
      <c r="P127" s="148" t="str">
        <f ca="1">IFERROR(VALUE(IF(VLOOKUP($A127,数出表_Excel!$A$6:$T$150,COLUMN()/2+1,FALSE)=0,"",VLOOKUP($A127,数出表_Excel!$A$6:$T$150,COLUMN()/2+1,FALSE))),"")</f>
        <v/>
      </c>
      <c r="Q127" s="76"/>
      <c r="R127" s="148" t="str">
        <f ca="1">IFERROR(VALUE(IF(VLOOKUP($A127,数出表_Excel!$A$6:$T$150,COLUMN()/2+1,FALSE)=0,"",VLOOKUP($A127,数出表_Excel!$A$6:$T$150,COLUMN()/2+1,FALSE))),"")</f>
        <v/>
      </c>
      <c r="S127" s="76"/>
      <c r="T127" s="148" t="str">
        <f ca="1">IFERROR(VALUE(IF(VLOOKUP($A127,数出表_Excel!$A$6:$T$150,COLUMN()/2+1,FALSE)=0,"",VLOOKUP($A127,数出表_Excel!$A$6:$T$150,COLUMN()/2+1,FALSE))),"")</f>
        <v/>
      </c>
      <c r="U127" s="76"/>
      <c r="V127" s="148" t="str">
        <f ca="1">IFERROR(VALUE(IF(VLOOKUP($A127,数出表_Excel!$A$6:$T$150,COLUMN()/2+1,FALSE)=0,"",VLOOKUP($A127,数出表_Excel!$A$6:$T$150,COLUMN()/2+1,FALSE))),"")</f>
        <v/>
      </c>
      <c r="W127" s="76"/>
      <c r="X127" s="148" t="str">
        <f ca="1">IFERROR(VALUE(IF(VLOOKUP($A127,数出表_Excel!$A$6:$T$150,COLUMN()/2+1,FALSE)=0,"",VLOOKUP($A127,数出表_Excel!$A$6:$T$150,COLUMN()/2+1,FALSE))),"")</f>
        <v/>
      </c>
      <c r="Y127" s="76"/>
      <c r="Z127" s="148" t="str">
        <f ca="1">IFERROR(VALUE(IF(VLOOKUP($A127,数出表_Excel!$A$6:$T$150,COLUMN()/2+1,FALSE)=0,"",VLOOKUP($A127,数出表_Excel!$A$6:$T$150,COLUMN()/2+1,FALSE))),"")</f>
        <v/>
      </c>
      <c r="AA127" s="76"/>
      <c r="AB127" s="148" t="str">
        <f ca="1">IFERROR(VALUE(IF(VLOOKUP($A127,数出表_Excel!$A$6:$T$150,COLUMN()/2+1,FALSE)=0,"",VLOOKUP($A127,数出表_Excel!$A$6:$T$150,COLUMN()/2+1,FALSE))),"")</f>
        <v/>
      </c>
      <c r="AC127" s="76"/>
      <c r="AD127" s="148" t="str">
        <f ca="1">IFERROR(VALUE(IF(VLOOKUP($A127,数出表_Excel!$A$6:$T$150,COLUMN()/2+1,FALSE)=0,"",VLOOKUP($A127,数出表_Excel!$A$6:$T$150,COLUMN()/2+1,FALSE))),"")</f>
        <v/>
      </c>
      <c r="AE127" s="76"/>
      <c r="AF127" s="148" t="str">
        <f ca="1">IFERROR(VALUE(IF(VLOOKUP($A127,数出表_Excel!$A$6:$T$150,COLUMN()/2+1,FALSE)=0,"",VLOOKUP($A127,数出表_Excel!$A$6:$T$150,COLUMN()/2+1,FALSE))),"")</f>
        <v/>
      </c>
      <c r="AG127" s="76"/>
      <c r="AH127" s="148" t="str">
        <f ca="1">IFERROR(VALUE(IF(VLOOKUP($A127,数出表_Excel!$A$6:$T$150,COLUMN()/2+1,FALSE)=0,"",VLOOKUP($A127,数出表_Excel!$A$6:$T$150,COLUMN()/2+1,FALSE))),"")</f>
        <v/>
      </c>
      <c r="AI127" s="76"/>
      <c r="AJ127" s="148" t="str">
        <f ca="1">IFERROR(VALUE(IF(VLOOKUP($A127,数出表_Excel!$A$6:$T$150,COLUMN()/2+1,FALSE)=0,"",VLOOKUP($A127,数出表_Excel!$A$6:$T$150,COLUMN()/2+1,FALSE))),"")</f>
        <v/>
      </c>
      <c r="AK127" s="76"/>
      <c r="AL127" s="63" t="e">
        <f ca="1">IF(A127&lt;&gt;"",
IF(VLOOKUP($A127,数出表_Excel!$A$6:$T$150,COLUMN()/2+1,FALSE)=0,"",VLOOKUP($A127,数出表_Excel!$A$6:$T$150,COLUMN()/2+1,FALSE)),"")</f>
        <v>#N/A</v>
      </c>
      <c r="AM127" s="91" t="e">
        <f>数出表_Excel!V127</f>
        <v>#N/A</v>
      </c>
      <c r="AN127" s="92" t="e">
        <f>数出表_Excel!W127</f>
        <v>#N/A</v>
      </c>
    </row>
    <row r="128" spans="1:40" ht="16.2" customHeight="1">
      <c r="A128" s="81" t="e">
        <f t="array" aca="1" ref="A128" ca="1">IF(OR(COUNTIF(A126,"*10002*"),COUNTIF(A126,"")),"",INDEX(貼り付け用!$A1:$A200,MATCH(A126,貼り付け用!$A1:$A200,0)+2,0))</f>
        <v>#N/A</v>
      </c>
      <c r="B128" s="182" t="str">
        <f ca="1">IFERROR(VALUE(IF(VLOOKUP($A128,数出表_Excel!$A$6:$T$150,COLUMN()/2+1,FALSE)=0,"",VLOOKUP($A128,数出表_Excel!$A$6:$T$150,COLUMN()/2+1,FALSE))),"")</f>
        <v/>
      </c>
      <c r="C128" s="75"/>
      <c r="D128" s="182" t="str">
        <f ca="1">IFERROR(VALUE(IF(VLOOKUP($A128,数出表_Excel!$A$6:$T$150,COLUMN()/2+1,FALSE)=0,"",VLOOKUP($A128,数出表_Excel!$A$6:$T$150,COLUMN()/2+1,FALSE))),"")</f>
        <v/>
      </c>
      <c r="E128" s="75"/>
      <c r="F128" s="182" t="str">
        <f ca="1">IFERROR(VALUE(IF(VLOOKUP($A128,数出表_Excel!$A$6:$T$150,COLUMN()/2+1,FALSE)=0,"",VLOOKUP($A128,数出表_Excel!$A$6:$T$150,COLUMN()/2+1,FALSE))),"")</f>
        <v/>
      </c>
      <c r="G128" s="75"/>
      <c r="H128" s="182" t="str">
        <f ca="1">IFERROR(VALUE(IF(VLOOKUP($A128,数出表_Excel!$A$6:$T$150,COLUMN()/2+1,FALSE)=0,"",VLOOKUP($A128,数出表_Excel!$A$6:$T$150,COLUMN()/2+1,FALSE))),"")</f>
        <v/>
      </c>
      <c r="I128" s="75"/>
      <c r="J128" s="182" t="str">
        <f ca="1">IFERROR(VALUE(IF(VLOOKUP($A128,数出表_Excel!$A$6:$T$150,COLUMN()/2+1,FALSE)=0,"",VLOOKUP($A128,数出表_Excel!$A$6:$T$150,COLUMN()/2+1,FALSE))),"")</f>
        <v/>
      </c>
      <c r="K128" s="75"/>
      <c r="L128" s="182" t="str">
        <f ca="1">IFERROR(VALUE(IF(VLOOKUP($A128,数出表_Excel!$A$6:$T$150,COLUMN()/2+1,FALSE)=0,"",VLOOKUP($A128,数出表_Excel!$A$6:$T$150,COLUMN()/2+1,FALSE))),"")</f>
        <v/>
      </c>
      <c r="M128" s="75"/>
      <c r="N128" s="182" t="str">
        <f ca="1">IFERROR(VALUE(IF(VLOOKUP($A128,数出表_Excel!$A$6:$T$150,COLUMN()/2+1,FALSE)=0,"",VLOOKUP($A128,数出表_Excel!$A$6:$T$150,COLUMN()/2+1,FALSE))),"")</f>
        <v/>
      </c>
      <c r="O128" s="75"/>
      <c r="P128" s="182" t="str">
        <f ca="1">IFERROR(VALUE(IF(VLOOKUP($A128,数出表_Excel!$A$6:$T$150,COLUMN()/2+1,FALSE)=0,"",VLOOKUP($A128,数出表_Excel!$A$6:$T$150,COLUMN()/2+1,FALSE))),"")</f>
        <v/>
      </c>
      <c r="Q128" s="75"/>
      <c r="R128" s="182" t="str">
        <f ca="1">IFERROR(VALUE(IF(VLOOKUP($A128,数出表_Excel!$A$6:$T$150,COLUMN()/2+1,FALSE)=0,"",VLOOKUP($A128,数出表_Excel!$A$6:$T$150,COLUMN()/2+1,FALSE))),"")</f>
        <v/>
      </c>
      <c r="S128" s="75"/>
      <c r="T128" s="182" t="str">
        <f ca="1">IFERROR(VALUE(IF(VLOOKUP($A128,数出表_Excel!$A$6:$T$150,COLUMN()/2+1,FALSE)=0,"",VLOOKUP($A128,数出表_Excel!$A$6:$T$150,COLUMN()/2+1,FALSE))),"")</f>
        <v/>
      </c>
      <c r="U128" s="75"/>
      <c r="V128" s="182" t="str">
        <f ca="1">IFERROR(VALUE(IF(VLOOKUP($A128,数出表_Excel!$A$6:$T$150,COLUMN()/2+1,FALSE)=0,"",VLOOKUP($A128,数出表_Excel!$A$6:$T$150,COLUMN()/2+1,FALSE))),"")</f>
        <v/>
      </c>
      <c r="W128" s="75"/>
      <c r="X128" s="182" t="str">
        <f ca="1">IFERROR(VALUE(IF(VLOOKUP($A128,数出表_Excel!$A$6:$T$150,COLUMN()/2+1,FALSE)=0,"",VLOOKUP($A128,数出表_Excel!$A$6:$T$150,COLUMN()/2+1,FALSE))),"")</f>
        <v/>
      </c>
      <c r="Y128" s="75"/>
      <c r="Z128" s="182" t="str">
        <f ca="1">IFERROR(VALUE(IF(VLOOKUP($A128,数出表_Excel!$A$6:$T$150,COLUMN()/2+1,FALSE)=0,"",VLOOKUP($A128,数出表_Excel!$A$6:$T$150,COLUMN()/2+1,FALSE))),"")</f>
        <v/>
      </c>
      <c r="AA128" s="75"/>
      <c r="AB128" s="182" t="str">
        <f ca="1">IFERROR(VALUE(IF(VLOOKUP($A128,数出表_Excel!$A$6:$T$150,COLUMN()/2+1,FALSE)=0,"",VLOOKUP($A128,数出表_Excel!$A$6:$T$150,COLUMN()/2+1,FALSE))),"")</f>
        <v/>
      </c>
      <c r="AC128" s="75"/>
      <c r="AD128" s="182" t="str">
        <f ca="1">IFERROR(VALUE(IF(VLOOKUP($A128,数出表_Excel!$A$6:$T$150,COLUMN()/2+1,FALSE)=0,"",VLOOKUP($A128,数出表_Excel!$A$6:$T$150,COLUMN()/2+1,FALSE))),"")</f>
        <v/>
      </c>
      <c r="AE128" s="75"/>
      <c r="AF128" s="182" t="str">
        <f ca="1">IFERROR(VALUE(IF(VLOOKUP($A128,数出表_Excel!$A$6:$T$150,COLUMN()/2+1,FALSE)=0,"",VLOOKUP($A128,数出表_Excel!$A$6:$T$150,COLUMN()/2+1,FALSE))),"")</f>
        <v/>
      </c>
      <c r="AG128" s="75"/>
      <c r="AH128" s="182" t="str">
        <f ca="1">IFERROR(VALUE(IF(VLOOKUP($A128,数出表_Excel!$A$6:$T$150,COLUMN()/2+1,FALSE)=0,"",VLOOKUP($A128,数出表_Excel!$A$6:$T$150,COLUMN()/2+1,FALSE))),"")</f>
        <v/>
      </c>
      <c r="AI128" s="75"/>
      <c r="AJ128" s="182" t="str">
        <f ca="1">IFERROR(VALUE(IF(VLOOKUP($A128,数出表_Excel!$A$6:$T$150,COLUMN()/2+1,FALSE)=0,"",VLOOKUP($A128,数出表_Excel!$A$6:$T$150,COLUMN()/2+1,FALSE))),"")</f>
        <v/>
      </c>
      <c r="AK128" s="75"/>
      <c r="AL128" s="61" t="e">
        <f ca="1">IF(A128&lt;&gt;"",
IF(VLOOKUP($A128,数出表_Excel!$A$6:$T$150,COLUMN()/2+1,FALSE)=0,"",VLOOKUP($A128,数出表_Excel!$A$6:$T$150,COLUMN()/2+1,FALSE)),"")</f>
        <v>#N/A</v>
      </c>
      <c r="AM128" s="89" t="e">
        <f>数出表_Excel!V128</f>
        <v>#N/A</v>
      </c>
      <c r="AN128" s="90" t="e">
        <f>数出表_Excel!W128</f>
        <v>#N/A</v>
      </c>
    </row>
    <row r="129" spans="1:40" ht="16.2" customHeight="1">
      <c r="A129" s="82" t="e">
        <f t="array" aca="1" ref="A129" ca="1">IF(OR(COUNTIF(A127,"*1000*"),COUNTIF(A127,"")),"",INDEX(貼り付け用!$A1:$A200,MATCH(A127,貼り付け用!$A1:$A200,0)+2,0))</f>
        <v>#N/A</v>
      </c>
      <c r="B129" s="148" t="str">
        <f ca="1">IFERROR(VALUE(IF(VLOOKUP($A129,数出表_Excel!$A$6:$T$150,COLUMN()/2+1,FALSE)=0,"",VLOOKUP($A129,数出表_Excel!$A$6:$T$150,COLUMN()/2+1,FALSE))),"")</f>
        <v/>
      </c>
      <c r="C129" s="76"/>
      <c r="D129" s="148" t="str">
        <f ca="1">IFERROR(VALUE(IF(VLOOKUP($A129,数出表_Excel!$A$6:$T$150,COLUMN()/2+1,FALSE)=0,"",VLOOKUP($A129,数出表_Excel!$A$6:$T$150,COLUMN()/2+1,FALSE))),"")</f>
        <v/>
      </c>
      <c r="E129" s="76"/>
      <c r="F129" s="148" t="str">
        <f ca="1">IFERROR(VALUE(IF(VLOOKUP($A129,数出表_Excel!$A$6:$T$150,COLUMN()/2+1,FALSE)=0,"",VLOOKUP($A129,数出表_Excel!$A$6:$T$150,COLUMN()/2+1,FALSE))),"")</f>
        <v/>
      </c>
      <c r="G129" s="76"/>
      <c r="H129" s="148" t="str">
        <f ca="1">IFERROR(VALUE(IF(VLOOKUP($A129,数出表_Excel!$A$6:$T$150,COLUMN()/2+1,FALSE)=0,"",VLOOKUP($A129,数出表_Excel!$A$6:$T$150,COLUMN()/2+1,FALSE))),"")</f>
        <v/>
      </c>
      <c r="I129" s="76"/>
      <c r="J129" s="148" t="str">
        <f ca="1">IFERROR(VALUE(IF(VLOOKUP($A129,数出表_Excel!$A$6:$T$150,COLUMN()/2+1,FALSE)=0,"",VLOOKUP($A129,数出表_Excel!$A$6:$T$150,COLUMN()/2+1,FALSE))),"")</f>
        <v/>
      </c>
      <c r="K129" s="76"/>
      <c r="L129" s="148" t="str">
        <f ca="1">IFERROR(VALUE(IF(VLOOKUP($A129,数出表_Excel!$A$6:$T$150,COLUMN()/2+1,FALSE)=0,"",VLOOKUP($A129,数出表_Excel!$A$6:$T$150,COLUMN()/2+1,FALSE))),"")</f>
        <v/>
      </c>
      <c r="M129" s="76"/>
      <c r="N129" s="148" t="str">
        <f ca="1">IFERROR(VALUE(IF(VLOOKUP($A129,数出表_Excel!$A$6:$T$150,COLUMN()/2+1,FALSE)=0,"",VLOOKUP($A129,数出表_Excel!$A$6:$T$150,COLUMN()/2+1,FALSE))),"")</f>
        <v/>
      </c>
      <c r="O129" s="76"/>
      <c r="P129" s="148" t="str">
        <f ca="1">IFERROR(VALUE(IF(VLOOKUP($A129,数出表_Excel!$A$6:$T$150,COLUMN()/2+1,FALSE)=0,"",VLOOKUP($A129,数出表_Excel!$A$6:$T$150,COLUMN()/2+1,FALSE))),"")</f>
        <v/>
      </c>
      <c r="Q129" s="76"/>
      <c r="R129" s="148" t="str">
        <f ca="1">IFERROR(VALUE(IF(VLOOKUP($A129,数出表_Excel!$A$6:$T$150,COLUMN()/2+1,FALSE)=0,"",VLOOKUP($A129,数出表_Excel!$A$6:$T$150,COLUMN()/2+1,FALSE))),"")</f>
        <v/>
      </c>
      <c r="S129" s="76"/>
      <c r="T129" s="148" t="str">
        <f ca="1">IFERROR(VALUE(IF(VLOOKUP($A129,数出表_Excel!$A$6:$T$150,COLUMN()/2+1,FALSE)=0,"",VLOOKUP($A129,数出表_Excel!$A$6:$T$150,COLUMN()/2+1,FALSE))),"")</f>
        <v/>
      </c>
      <c r="U129" s="76"/>
      <c r="V129" s="148" t="str">
        <f ca="1">IFERROR(VALUE(IF(VLOOKUP($A129,数出表_Excel!$A$6:$T$150,COLUMN()/2+1,FALSE)=0,"",VLOOKUP($A129,数出表_Excel!$A$6:$T$150,COLUMN()/2+1,FALSE))),"")</f>
        <v/>
      </c>
      <c r="W129" s="76"/>
      <c r="X129" s="148" t="str">
        <f ca="1">IFERROR(VALUE(IF(VLOOKUP($A129,数出表_Excel!$A$6:$T$150,COLUMN()/2+1,FALSE)=0,"",VLOOKUP($A129,数出表_Excel!$A$6:$T$150,COLUMN()/2+1,FALSE))),"")</f>
        <v/>
      </c>
      <c r="Y129" s="76"/>
      <c r="Z129" s="148" t="str">
        <f ca="1">IFERROR(VALUE(IF(VLOOKUP($A129,数出表_Excel!$A$6:$T$150,COLUMN()/2+1,FALSE)=0,"",VLOOKUP($A129,数出表_Excel!$A$6:$T$150,COLUMN()/2+1,FALSE))),"")</f>
        <v/>
      </c>
      <c r="AA129" s="76"/>
      <c r="AB129" s="148" t="str">
        <f ca="1">IFERROR(VALUE(IF(VLOOKUP($A129,数出表_Excel!$A$6:$T$150,COLUMN()/2+1,FALSE)=0,"",VLOOKUP($A129,数出表_Excel!$A$6:$T$150,COLUMN()/2+1,FALSE))),"")</f>
        <v/>
      </c>
      <c r="AC129" s="76"/>
      <c r="AD129" s="148" t="str">
        <f ca="1">IFERROR(VALUE(IF(VLOOKUP($A129,数出表_Excel!$A$6:$T$150,COLUMN()/2+1,FALSE)=0,"",VLOOKUP($A129,数出表_Excel!$A$6:$T$150,COLUMN()/2+1,FALSE))),"")</f>
        <v/>
      </c>
      <c r="AE129" s="76"/>
      <c r="AF129" s="148" t="str">
        <f ca="1">IFERROR(VALUE(IF(VLOOKUP($A129,数出表_Excel!$A$6:$T$150,COLUMN()/2+1,FALSE)=0,"",VLOOKUP($A129,数出表_Excel!$A$6:$T$150,COLUMN()/2+1,FALSE))),"")</f>
        <v/>
      </c>
      <c r="AG129" s="76"/>
      <c r="AH129" s="148" t="str">
        <f ca="1">IFERROR(VALUE(IF(VLOOKUP($A129,数出表_Excel!$A$6:$T$150,COLUMN()/2+1,FALSE)=0,"",VLOOKUP($A129,数出表_Excel!$A$6:$T$150,COLUMN()/2+1,FALSE))),"")</f>
        <v/>
      </c>
      <c r="AI129" s="76"/>
      <c r="AJ129" s="148" t="str">
        <f ca="1">IFERROR(VALUE(IF(VLOOKUP($A129,数出表_Excel!$A$6:$T$150,COLUMN()/2+1,FALSE)=0,"",VLOOKUP($A129,数出表_Excel!$A$6:$T$150,COLUMN()/2+1,FALSE))),"")</f>
        <v/>
      </c>
      <c r="AK129" s="76"/>
      <c r="AL129" s="63" t="e">
        <f ca="1">IF(A129&lt;&gt;"",
IF(VLOOKUP($A129,数出表_Excel!$A$6:$T$150,COLUMN()/2+1,FALSE)=0,"",VLOOKUP($A129,数出表_Excel!$A$6:$T$150,COLUMN()/2+1,FALSE)),"")</f>
        <v>#N/A</v>
      </c>
      <c r="AM129" s="91" t="e">
        <f>数出表_Excel!V129</f>
        <v>#N/A</v>
      </c>
      <c r="AN129" s="92" t="e">
        <f>数出表_Excel!W129</f>
        <v>#N/A</v>
      </c>
    </row>
    <row r="130" spans="1:40" ht="16.2" customHeight="1">
      <c r="A130" s="81" t="e">
        <f t="array" aca="1" ref="A130" ca="1">IF(OR(COUNTIF(A128,"*10002*"),COUNTIF(A128,"")),"",INDEX(貼り付け用!$A1:$A200,MATCH(A128,貼り付け用!$A1:$A200,0)+2,0))</f>
        <v>#N/A</v>
      </c>
      <c r="B130" s="182" t="str">
        <f ca="1">IFERROR(VALUE(IF(VLOOKUP($A130,数出表_Excel!$A$6:$T$150,COLUMN()/2+1,FALSE)=0,"",VLOOKUP($A130,数出表_Excel!$A$6:$T$150,COLUMN()/2+1,FALSE))),"")</f>
        <v/>
      </c>
      <c r="C130" s="75"/>
      <c r="D130" s="182" t="str">
        <f ca="1">IFERROR(VALUE(IF(VLOOKUP($A130,数出表_Excel!$A$6:$T$150,COLUMN()/2+1,FALSE)=0,"",VLOOKUP($A130,数出表_Excel!$A$6:$T$150,COLUMN()/2+1,FALSE))),"")</f>
        <v/>
      </c>
      <c r="E130" s="75"/>
      <c r="F130" s="182" t="str">
        <f ca="1">IFERROR(VALUE(IF(VLOOKUP($A130,数出表_Excel!$A$6:$T$150,COLUMN()/2+1,FALSE)=0,"",VLOOKUP($A130,数出表_Excel!$A$6:$T$150,COLUMN()/2+1,FALSE))),"")</f>
        <v/>
      </c>
      <c r="G130" s="75"/>
      <c r="H130" s="182" t="str">
        <f ca="1">IFERROR(VALUE(IF(VLOOKUP($A130,数出表_Excel!$A$6:$T$150,COLUMN()/2+1,FALSE)=0,"",VLOOKUP($A130,数出表_Excel!$A$6:$T$150,COLUMN()/2+1,FALSE))),"")</f>
        <v/>
      </c>
      <c r="I130" s="75"/>
      <c r="J130" s="182" t="str">
        <f ca="1">IFERROR(VALUE(IF(VLOOKUP($A130,数出表_Excel!$A$6:$T$150,COLUMN()/2+1,FALSE)=0,"",VLOOKUP($A130,数出表_Excel!$A$6:$T$150,COLUMN()/2+1,FALSE))),"")</f>
        <v/>
      </c>
      <c r="K130" s="75"/>
      <c r="L130" s="182" t="str">
        <f ca="1">IFERROR(VALUE(IF(VLOOKUP($A130,数出表_Excel!$A$6:$T$150,COLUMN()/2+1,FALSE)=0,"",VLOOKUP($A130,数出表_Excel!$A$6:$T$150,COLUMN()/2+1,FALSE))),"")</f>
        <v/>
      </c>
      <c r="M130" s="75"/>
      <c r="N130" s="182" t="str">
        <f ca="1">IFERROR(VALUE(IF(VLOOKUP($A130,数出表_Excel!$A$6:$T$150,COLUMN()/2+1,FALSE)=0,"",VLOOKUP($A130,数出表_Excel!$A$6:$T$150,COLUMN()/2+1,FALSE))),"")</f>
        <v/>
      </c>
      <c r="O130" s="75"/>
      <c r="P130" s="182" t="str">
        <f ca="1">IFERROR(VALUE(IF(VLOOKUP($A130,数出表_Excel!$A$6:$T$150,COLUMN()/2+1,FALSE)=0,"",VLOOKUP($A130,数出表_Excel!$A$6:$T$150,COLUMN()/2+1,FALSE))),"")</f>
        <v/>
      </c>
      <c r="Q130" s="75"/>
      <c r="R130" s="182" t="str">
        <f ca="1">IFERROR(VALUE(IF(VLOOKUP($A130,数出表_Excel!$A$6:$T$150,COLUMN()/2+1,FALSE)=0,"",VLOOKUP($A130,数出表_Excel!$A$6:$T$150,COLUMN()/2+1,FALSE))),"")</f>
        <v/>
      </c>
      <c r="S130" s="75"/>
      <c r="T130" s="182" t="str">
        <f ca="1">IFERROR(VALUE(IF(VLOOKUP($A130,数出表_Excel!$A$6:$T$150,COLUMN()/2+1,FALSE)=0,"",VLOOKUP($A130,数出表_Excel!$A$6:$T$150,COLUMN()/2+1,FALSE))),"")</f>
        <v/>
      </c>
      <c r="U130" s="75"/>
      <c r="V130" s="182" t="str">
        <f ca="1">IFERROR(VALUE(IF(VLOOKUP($A130,数出表_Excel!$A$6:$T$150,COLUMN()/2+1,FALSE)=0,"",VLOOKUP($A130,数出表_Excel!$A$6:$T$150,COLUMN()/2+1,FALSE))),"")</f>
        <v/>
      </c>
      <c r="W130" s="75"/>
      <c r="X130" s="182" t="str">
        <f ca="1">IFERROR(VALUE(IF(VLOOKUP($A130,数出表_Excel!$A$6:$T$150,COLUMN()/2+1,FALSE)=0,"",VLOOKUP($A130,数出表_Excel!$A$6:$T$150,COLUMN()/2+1,FALSE))),"")</f>
        <v/>
      </c>
      <c r="Y130" s="75"/>
      <c r="Z130" s="182" t="str">
        <f ca="1">IFERROR(VALUE(IF(VLOOKUP($A130,数出表_Excel!$A$6:$T$150,COLUMN()/2+1,FALSE)=0,"",VLOOKUP($A130,数出表_Excel!$A$6:$T$150,COLUMN()/2+1,FALSE))),"")</f>
        <v/>
      </c>
      <c r="AA130" s="75"/>
      <c r="AB130" s="182" t="str">
        <f ca="1">IFERROR(VALUE(IF(VLOOKUP($A130,数出表_Excel!$A$6:$T$150,COLUMN()/2+1,FALSE)=0,"",VLOOKUP($A130,数出表_Excel!$A$6:$T$150,COLUMN()/2+1,FALSE))),"")</f>
        <v/>
      </c>
      <c r="AC130" s="75"/>
      <c r="AD130" s="182" t="str">
        <f ca="1">IFERROR(VALUE(IF(VLOOKUP($A130,数出表_Excel!$A$6:$T$150,COLUMN()/2+1,FALSE)=0,"",VLOOKUP($A130,数出表_Excel!$A$6:$T$150,COLUMN()/2+1,FALSE))),"")</f>
        <v/>
      </c>
      <c r="AE130" s="75"/>
      <c r="AF130" s="182" t="str">
        <f ca="1">IFERROR(VALUE(IF(VLOOKUP($A130,数出表_Excel!$A$6:$T$150,COLUMN()/2+1,FALSE)=0,"",VLOOKUP($A130,数出表_Excel!$A$6:$T$150,COLUMN()/2+1,FALSE))),"")</f>
        <v/>
      </c>
      <c r="AG130" s="75"/>
      <c r="AH130" s="182" t="str">
        <f ca="1">IFERROR(VALUE(IF(VLOOKUP($A130,数出表_Excel!$A$6:$T$150,COLUMN()/2+1,FALSE)=0,"",VLOOKUP($A130,数出表_Excel!$A$6:$T$150,COLUMN()/2+1,FALSE))),"")</f>
        <v/>
      </c>
      <c r="AI130" s="75"/>
      <c r="AJ130" s="182" t="str">
        <f ca="1">IFERROR(VALUE(IF(VLOOKUP($A130,数出表_Excel!$A$6:$T$150,COLUMN()/2+1,FALSE)=0,"",VLOOKUP($A130,数出表_Excel!$A$6:$T$150,COLUMN()/2+1,FALSE))),"")</f>
        <v/>
      </c>
      <c r="AK130" s="75"/>
      <c r="AL130" s="61" t="e">
        <f ca="1">IF(A130&lt;&gt;"",
IF(VLOOKUP($A130,数出表_Excel!$A$6:$T$150,COLUMN()/2+1,FALSE)=0,"",VLOOKUP($A130,数出表_Excel!$A$6:$T$150,COLUMN()/2+1,FALSE)),"")</f>
        <v>#N/A</v>
      </c>
      <c r="AM130" s="89" t="e">
        <f>数出表_Excel!V130</f>
        <v>#N/A</v>
      </c>
      <c r="AN130" s="90" t="e">
        <f>数出表_Excel!W130</f>
        <v>#N/A</v>
      </c>
    </row>
    <row r="131" spans="1:40" ht="16.2" customHeight="1">
      <c r="A131" s="82" t="e">
        <f t="array" aca="1" ref="A131" ca="1">IF(OR(COUNTIF(A129,"*1000*"),COUNTIF(A129,"")),"",INDEX(貼り付け用!$A1:$A200,MATCH(A129,貼り付け用!$A1:$A200,0)+2,0))</f>
        <v>#N/A</v>
      </c>
      <c r="B131" s="148" t="str">
        <f ca="1">IFERROR(VALUE(IF(VLOOKUP($A131,数出表_Excel!$A$6:$T$150,COLUMN()/2+1,FALSE)=0,"",VLOOKUP($A131,数出表_Excel!$A$6:$T$150,COLUMN()/2+1,FALSE))),"")</f>
        <v/>
      </c>
      <c r="C131" s="76"/>
      <c r="D131" s="148" t="str">
        <f ca="1">IFERROR(VALUE(IF(VLOOKUP($A131,数出表_Excel!$A$6:$T$150,COLUMN()/2+1,FALSE)=0,"",VLOOKUP($A131,数出表_Excel!$A$6:$T$150,COLUMN()/2+1,FALSE))),"")</f>
        <v/>
      </c>
      <c r="E131" s="76"/>
      <c r="F131" s="148" t="str">
        <f ca="1">IFERROR(VALUE(IF(VLOOKUP($A131,数出表_Excel!$A$6:$T$150,COLUMN()/2+1,FALSE)=0,"",VLOOKUP($A131,数出表_Excel!$A$6:$T$150,COLUMN()/2+1,FALSE))),"")</f>
        <v/>
      </c>
      <c r="G131" s="76"/>
      <c r="H131" s="148" t="str">
        <f ca="1">IFERROR(VALUE(IF(VLOOKUP($A131,数出表_Excel!$A$6:$T$150,COLUMN()/2+1,FALSE)=0,"",VLOOKUP($A131,数出表_Excel!$A$6:$T$150,COLUMN()/2+1,FALSE))),"")</f>
        <v/>
      </c>
      <c r="I131" s="76"/>
      <c r="J131" s="148" t="str">
        <f ca="1">IFERROR(VALUE(IF(VLOOKUP($A131,数出表_Excel!$A$6:$T$150,COLUMN()/2+1,FALSE)=0,"",VLOOKUP($A131,数出表_Excel!$A$6:$T$150,COLUMN()/2+1,FALSE))),"")</f>
        <v/>
      </c>
      <c r="K131" s="76"/>
      <c r="L131" s="148" t="str">
        <f ca="1">IFERROR(VALUE(IF(VLOOKUP($A131,数出表_Excel!$A$6:$T$150,COLUMN()/2+1,FALSE)=0,"",VLOOKUP($A131,数出表_Excel!$A$6:$T$150,COLUMN()/2+1,FALSE))),"")</f>
        <v/>
      </c>
      <c r="M131" s="76"/>
      <c r="N131" s="148" t="str">
        <f ca="1">IFERROR(VALUE(IF(VLOOKUP($A131,数出表_Excel!$A$6:$T$150,COLUMN()/2+1,FALSE)=0,"",VLOOKUP($A131,数出表_Excel!$A$6:$T$150,COLUMN()/2+1,FALSE))),"")</f>
        <v/>
      </c>
      <c r="O131" s="76"/>
      <c r="P131" s="148" t="str">
        <f ca="1">IFERROR(VALUE(IF(VLOOKUP($A131,数出表_Excel!$A$6:$T$150,COLUMN()/2+1,FALSE)=0,"",VLOOKUP($A131,数出表_Excel!$A$6:$T$150,COLUMN()/2+1,FALSE))),"")</f>
        <v/>
      </c>
      <c r="Q131" s="76"/>
      <c r="R131" s="148" t="str">
        <f ca="1">IFERROR(VALUE(IF(VLOOKUP($A131,数出表_Excel!$A$6:$T$150,COLUMN()/2+1,FALSE)=0,"",VLOOKUP($A131,数出表_Excel!$A$6:$T$150,COLUMN()/2+1,FALSE))),"")</f>
        <v/>
      </c>
      <c r="S131" s="76"/>
      <c r="T131" s="148" t="str">
        <f ca="1">IFERROR(VALUE(IF(VLOOKUP($A131,数出表_Excel!$A$6:$T$150,COLUMN()/2+1,FALSE)=0,"",VLOOKUP($A131,数出表_Excel!$A$6:$T$150,COLUMN()/2+1,FALSE))),"")</f>
        <v/>
      </c>
      <c r="U131" s="76"/>
      <c r="V131" s="148" t="str">
        <f ca="1">IFERROR(VALUE(IF(VLOOKUP($A131,数出表_Excel!$A$6:$T$150,COLUMN()/2+1,FALSE)=0,"",VLOOKUP($A131,数出表_Excel!$A$6:$T$150,COLUMN()/2+1,FALSE))),"")</f>
        <v/>
      </c>
      <c r="W131" s="76"/>
      <c r="X131" s="148" t="str">
        <f ca="1">IFERROR(VALUE(IF(VLOOKUP($A131,数出表_Excel!$A$6:$T$150,COLUMN()/2+1,FALSE)=0,"",VLOOKUP($A131,数出表_Excel!$A$6:$T$150,COLUMN()/2+1,FALSE))),"")</f>
        <v/>
      </c>
      <c r="Y131" s="76"/>
      <c r="Z131" s="148" t="str">
        <f ca="1">IFERROR(VALUE(IF(VLOOKUP($A131,数出表_Excel!$A$6:$T$150,COLUMN()/2+1,FALSE)=0,"",VLOOKUP($A131,数出表_Excel!$A$6:$T$150,COLUMN()/2+1,FALSE))),"")</f>
        <v/>
      </c>
      <c r="AA131" s="76"/>
      <c r="AB131" s="148" t="str">
        <f ca="1">IFERROR(VALUE(IF(VLOOKUP($A131,数出表_Excel!$A$6:$T$150,COLUMN()/2+1,FALSE)=0,"",VLOOKUP($A131,数出表_Excel!$A$6:$T$150,COLUMN()/2+1,FALSE))),"")</f>
        <v/>
      </c>
      <c r="AC131" s="76"/>
      <c r="AD131" s="148" t="str">
        <f ca="1">IFERROR(VALUE(IF(VLOOKUP($A131,数出表_Excel!$A$6:$T$150,COLUMN()/2+1,FALSE)=0,"",VLOOKUP($A131,数出表_Excel!$A$6:$T$150,COLUMN()/2+1,FALSE))),"")</f>
        <v/>
      </c>
      <c r="AE131" s="76"/>
      <c r="AF131" s="148" t="str">
        <f ca="1">IFERROR(VALUE(IF(VLOOKUP($A131,数出表_Excel!$A$6:$T$150,COLUMN()/2+1,FALSE)=0,"",VLOOKUP($A131,数出表_Excel!$A$6:$T$150,COLUMN()/2+1,FALSE))),"")</f>
        <v/>
      </c>
      <c r="AG131" s="76"/>
      <c r="AH131" s="148" t="str">
        <f ca="1">IFERROR(VALUE(IF(VLOOKUP($A131,数出表_Excel!$A$6:$T$150,COLUMN()/2+1,FALSE)=0,"",VLOOKUP($A131,数出表_Excel!$A$6:$T$150,COLUMN()/2+1,FALSE))),"")</f>
        <v/>
      </c>
      <c r="AI131" s="76"/>
      <c r="AJ131" s="148" t="str">
        <f ca="1">IFERROR(VALUE(IF(VLOOKUP($A131,数出表_Excel!$A$6:$T$150,COLUMN()/2+1,FALSE)=0,"",VLOOKUP($A131,数出表_Excel!$A$6:$T$150,COLUMN()/2+1,FALSE))),"")</f>
        <v/>
      </c>
      <c r="AK131" s="76"/>
      <c r="AL131" s="63" t="e">
        <f ca="1">IF(A131&lt;&gt;"",
IF(VLOOKUP($A131,数出表_Excel!$A$6:$T$150,COLUMN()/2+1,FALSE)=0,"",VLOOKUP($A131,数出表_Excel!$A$6:$T$150,COLUMN()/2+1,FALSE)),"")</f>
        <v>#N/A</v>
      </c>
      <c r="AM131" s="91" t="e">
        <f>数出表_Excel!V131</f>
        <v>#N/A</v>
      </c>
      <c r="AN131" s="92" t="e">
        <f>数出表_Excel!W131</f>
        <v>#N/A</v>
      </c>
    </row>
    <row r="132" spans="1:40" ht="16.2" customHeight="1">
      <c r="A132" s="81" t="e">
        <f t="array" aca="1" ref="A132" ca="1">IF(OR(COUNTIF(A130,"*10002*"),COUNTIF(A130,"")),"",INDEX(貼り付け用!$A1:$A200,MATCH(A130,貼り付け用!$A1:$A200,0)+2,0))</f>
        <v>#N/A</v>
      </c>
      <c r="B132" s="182" t="str">
        <f ca="1">IFERROR(VALUE(IF(VLOOKUP($A132,数出表_Excel!$A$6:$T$150,COLUMN()/2+1,FALSE)=0,"",VLOOKUP($A132,数出表_Excel!$A$6:$T$150,COLUMN()/2+1,FALSE))),"")</f>
        <v/>
      </c>
      <c r="C132" s="75"/>
      <c r="D132" s="182" t="str">
        <f ca="1">IFERROR(VALUE(IF(VLOOKUP($A132,数出表_Excel!$A$6:$T$150,COLUMN()/2+1,FALSE)=0,"",VLOOKUP($A132,数出表_Excel!$A$6:$T$150,COLUMN()/2+1,FALSE))),"")</f>
        <v/>
      </c>
      <c r="E132" s="75"/>
      <c r="F132" s="182" t="str">
        <f ca="1">IFERROR(VALUE(IF(VLOOKUP($A132,数出表_Excel!$A$6:$T$150,COLUMN()/2+1,FALSE)=0,"",VLOOKUP($A132,数出表_Excel!$A$6:$T$150,COLUMN()/2+1,FALSE))),"")</f>
        <v/>
      </c>
      <c r="G132" s="75"/>
      <c r="H132" s="182" t="str">
        <f ca="1">IFERROR(VALUE(IF(VLOOKUP($A132,数出表_Excel!$A$6:$T$150,COLUMN()/2+1,FALSE)=0,"",VLOOKUP($A132,数出表_Excel!$A$6:$T$150,COLUMN()/2+1,FALSE))),"")</f>
        <v/>
      </c>
      <c r="I132" s="75"/>
      <c r="J132" s="182" t="str">
        <f ca="1">IFERROR(VALUE(IF(VLOOKUP($A132,数出表_Excel!$A$6:$T$150,COLUMN()/2+1,FALSE)=0,"",VLOOKUP($A132,数出表_Excel!$A$6:$T$150,COLUMN()/2+1,FALSE))),"")</f>
        <v/>
      </c>
      <c r="K132" s="75"/>
      <c r="L132" s="182" t="str">
        <f ca="1">IFERROR(VALUE(IF(VLOOKUP($A132,数出表_Excel!$A$6:$T$150,COLUMN()/2+1,FALSE)=0,"",VLOOKUP($A132,数出表_Excel!$A$6:$T$150,COLUMN()/2+1,FALSE))),"")</f>
        <v/>
      </c>
      <c r="M132" s="75"/>
      <c r="N132" s="182" t="str">
        <f ca="1">IFERROR(VALUE(IF(VLOOKUP($A132,数出表_Excel!$A$6:$T$150,COLUMN()/2+1,FALSE)=0,"",VLOOKUP($A132,数出表_Excel!$A$6:$T$150,COLUMN()/2+1,FALSE))),"")</f>
        <v/>
      </c>
      <c r="O132" s="75"/>
      <c r="P132" s="182" t="str">
        <f ca="1">IFERROR(VALUE(IF(VLOOKUP($A132,数出表_Excel!$A$6:$T$150,COLUMN()/2+1,FALSE)=0,"",VLOOKUP($A132,数出表_Excel!$A$6:$T$150,COLUMN()/2+1,FALSE))),"")</f>
        <v/>
      </c>
      <c r="Q132" s="75"/>
      <c r="R132" s="182" t="str">
        <f ca="1">IFERROR(VALUE(IF(VLOOKUP($A132,数出表_Excel!$A$6:$T$150,COLUMN()/2+1,FALSE)=0,"",VLOOKUP($A132,数出表_Excel!$A$6:$T$150,COLUMN()/2+1,FALSE))),"")</f>
        <v/>
      </c>
      <c r="S132" s="75"/>
      <c r="T132" s="182" t="str">
        <f ca="1">IFERROR(VALUE(IF(VLOOKUP($A132,数出表_Excel!$A$6:$T$150,COLUMN()/2+1,FALSE)=0,"",VLOOKUP($A132,数出表_Excel!$A$6:$T$150,COLUMN()/2+1,FALSE))),"")</f>
        <v/>
      </c>
      <c r="U132" s="75"/>
      <c r="V132" s="182" t="str">
        <f ca="1">IFERROR(VALUE(IF(VLOOKUP($A132,数出表_Excel!$A$6:$T$150,COLUMN()/2+1,FALSE)=0,"",VLOOKUP($A132,数出表_Excel!$A$6:$T$150,COLUMN()/2+1,FALSE))),"")</f>
        <v/>
      </c>
      <c r="W132" s="75"/>
      <c r="X132" s="182" t="str">
        <f ca="1">IFERROR(VALUE(IF(VLOOKUP($A132,数出表_Excel!$A$6:$T$150,COLUMN()/2+1,FALSE)=0,"",VLOOKUP($A132,数出表_Excel!$A$6:$T$150,COLUMN()/2+1,FALSE))),"")</f>
        <v/>
      </c>
      <c r="Y132" s="75"/>
      <c r="Z132" s="182" t="str">
        <f ca="1">IFERROR(VALUE(IF(VLOOKUP($A132,数出表_Excel!$A$6:$T$150,COLUMN()/2+1,FALSE)=0,"",VLOOKUP($A132,数出表_Excel!$A$6:$T$150,COLUMN()/2+1,FALSE))),"")</f>
        <v/>
      </c>
      <c r="AA132" s="75"/>
      <c r="AB132" s="182" t="str">
        <f ca="1">IFERROR(VALUE(IF(VLOOKUP($A132,数出表_Excel!$A$6:$T$150,COLUMN()/2+1,FALSE)=0,"",VLOOKUP($A132,数出表_Excel!$A$6:$T$150,COLUMN()/2+1,FALSE))),"")</f>
        <v/>
      </c>
      <c r="AC132" s="75"/>
      <c r="AD132" s="182" t="str">
        <f ca="1">IFERROR(VALUE(IF(VLOOKUP($A132,数出表_Excel!$A$6:$T$150,COLUMN()/2+1,FALSE)=0,"",VLOOKUP($A132,数出表_Excel!$A$6:$T$150,COLUMN()/2+1,FALSE))),"")</f>
        <v/>
      </c>
      <c r="AE132" s="75"/>
      <c r="AF132" s="182" t="str">
        <f ca="1">IFERROR(VALUE(IF(VLOOKUP($A132,数出表_Excel!$A$6:$T$150,COLUMN()/2+1,FALSE)=0,"",VLOOKUP($A132,数出表_Excel!$A$6:$T$150,COLUMN()/2+1,FALSE))),"")</f>
        <v/>
      </c>
      <c r="AG132" s="75"/>
      <c r="AH132" s="182" t="str">
        <f ca="1">IFERROR(VALUE(IF(VLOOKUP($A132,数出表_Excel!$A$6:$T$150,COLUMN()/2+1,FALSE)=0,"",VLOOKUP($A132,数出表_Excel!$A$6:$T$150,COLUMN()/2+1,FALSE))),"")</f>
        <v/>
      </c>
      <c r="AI132" s="75"/>
      <c r="AJ132" s="182" t="str">
        <f ca="1">IFERROR(VALUE(IF(VLOOKUP($A132,数出表_Excel!$A$6:$T$150,COLUMN()/2+1,FALSE)=0,"",VLOOKUP($A132,数出表_Excel!$A$6:$T$150,COLUMN()/2+1,FALSE))),"")</f>
        <v/>
      </c>
      <c r="AK132" s="75"/>
      <c r="AL132" s="61" t="e">
        <f ca="1">IF(A132&lt;&gt;"",
IF(VLOOKUP($A132,数出表_Excel!$A$6:$T$150,COLUMN()/2+1,FALSE)=0,"",VLOOKUP($A132,数出表_Excel!$A$6:$T$150,COLUMN()/2+1,FALSE)),"")</f>
        <v>#N/A</v>
      </c>
      <c r="AM132" s="89" t="e">
        <f>数出表_Excel!V132</f>
        <v>#N/A</v>
      </c>
      <c r="AN132" s="90" t="e">
        <f>数出表_Excel!W132</f>
        <v>#N/A</v>
      </c>
    </row>
    <row r="133" spans="1:40" ht="16.2" customHeight="1">
      <c r="A133" s="82" t="e">
        <f t="array" aca="1" ref="A133" ca="1">IF(OR(COUNTIF(A131,"*1000*"),COUNTIF(A131,"")),"",INDEX(貼り付け用!$A1:$A200,MATCH(A131,貼り付け用!$A1:$A200,0)+2,0))</f>
        <v>#N/A</v>
      </c>
      <c r="B133" s="148" t="str">
        <f ca="1">IFERROR(VALUE(IF(VLOOKUP($A133,数出表_Excel!$A$6:$T$150,COLUMN()/2+1,FALSE)=0,"",VLOOKUP($A133,数出表_Excel!$A$6:$T$150,COLUMN()/2+1,FALSE))),"")</f>
        <v/>
      </c>
      <c r="C133" s="76"/>
      <c r="D133" s="148" t="str">
        <f ca="1">IFERROR(VALUE(IF(VLOOKUP($A133,数出表_Excel!$A$6:$T$150,COLUMN()/2+1,FALSE)=0,"",VLOOKUP($A133,数出表_Excel!$A$6:$T$150,COLUMN()/2+1,FALSE))),"")</f>
        <v/>
      </c>
      <c r="E133" s="76"/>
      <c r="F133" s="148" t="str">
        <f ca="1">IFERROR(VALUE(IF(VLOOKUP($A133,数出表_Excel!$A$6:$T$150,COLUMN()/2+1,FALSE)=0,"",VLOOKUP($A133,数出表_Excel!$A$6:$T$150,COLUMN()/2+1,FALSE))),"")</f>
        <v/>
      </c>
      <c r="G133" s="76"/>
      <c r="H133" s="148" t="str">
        <f ca="1">IFERROR(VALUE(IF(VLOOKUP($A133,数出表_Excel!$A$6:$T$150,COLUMN()/2+1,FALSE)=0,"",VLOOKUP($A133,数出表_Excel!$A$6:$T$150,COLUMN()/2+1,FALSE))),"")</f>
        <v/>
      </c>
      <c r="I133" s="76"/>
      <c r="J133" s="148" t="str">
        <f ca="1">IFERROR(VALUE(IF(VLOOKUP($A133,数出表_Excel!$A$6:$T$150,COLUMN()/2+1,FALSE)=0,"",VLOOKUP($A133,数出表_Excel!$A$6:$T$150,COLUMN()/2+1,FALSE))),"")</f>
        <v/>
      </c>
      <c r="K133" s="76"/>
      <c r="L133" s="148" t="str">
        <f ca="1">IFERROR(VALUE(IF(VLOOKUP($A133,数出表_Excel!$A$6:$T$150,COLUMN()/2+1,FALSE)=0,"",VLOOKUP($A133,数出表_Excel!$A$6:$T$150,COLUMN()/2+1,FALSE))),"")</f>
        <v/>
      </c>
      <c r="M133" s="76"/>
      <c r="N133" s="148" t="str">
        <f ca="1">IFERROR(VALUE(IF(VLOOKUP($A133,数出表_Excel!$A$6:$T$150,COLUMN()/2+1,FALSE)=0,"",VLOOKUP($A133,数出表_Excel!$A$6:$T$150,COLUMN()/2+1,FALSE))),"")</f>
        <v/>
      </c>
      <c r="O133" s="76"/>
      <c r="P133" s="148" t="str">
        <f ca="1">IFERROR(VALUE(IF(VLOOKUP($A133,数出表_Excel!$A$6:$T$150,COLUMN()/2+1,FALSE)=0,"",VLOOKUP($A133,数出表_Excel!$A$6:$T$150,COLUMN()/2+1,FALSE))),"")</f>
        <v/>
      </c>
      <c r="Q133" s="76"/>
      <c r="R133" s="148" t="str">
        <f ca="1">IFERROR(VALUE(IF(VLOOKUP($A133,数出表_Excel!$A$6:$T$150,COLUMN()/2+1,FALSE)=0,"",VLOOKUP($A133,数出表_Excel!$A$6:$T$150,COLUMN()/2+1,FALSE))),"")</f>
        <v/>
      </c>
      <c r="S133" s="76"/>
      <c r="T133" s="148" t="str">
        <f ca="1">IFERROR(VALUE(IF(VLOOKUP($A133,数出表_Excel!$A$6:$T$150,COLUMN()/2+1,FALSE)=0,"",VLOOKUP($A133,数出表_Excel!$A$6:$T$150,COLUMN()/2+1,FALSE))),"")</f>
        <v/>
      </c>
      <c r="U133" s="76"/>
      <c r="V133" s="148" t="str">
        <f ca="1">IFERROR(VALUE(IF(VLOOKUP($A133,数出表_Excel!$A$6:$T$150,COLUMN()/2+1,FALSE)=0,"",VLOOKUP($A133,数出表_Excel!$A$6:$T$150,COLUMN()/2+1,FALSE))),"")</f>
        <v/>
      </c>
      <c r="W133" s="76"/>
      <c r="X133" s="148" t="str">
        <f ca="1">IFERROR(VALUE(IF(VLOOKUP($A133,数出表_Excel!$A$6:$T$150,COLUMN()/2+1,FALSE)=0,"",VLOOKUP($A133,数出表_Excel!$A$6:$T$150,COLUMN()/2+1,FALSE))),"")</f>
        <v/>
      </c>
      <c r="Y133" s="76"/>
      <c r="Z133" s="148" t="str">
        <f ca="1">IFERROR(VALUE(IF(VLOOKUP($A133,数出表_Excel!$A$6:$T$150,COLUMN()/2+1,FALSE)=0,"",VLOOKUP($A133,数出表_Excel!$A$6:$T$150,COLUMN()/2+1,FALSE))),"")</f>
        <v/>
      </c>
      <c r="AA133" s="76"/>
      <c r="AB133" s="148" t="str">
        <f ca="1">IFERROR(VALUE(IF(VLOOKUP($A133,数出表_Excel!$A$6:$T$150,COLUMN()/2+1,FALSE)=0,"",VLOOKUP($A133,数出表_Excel!$A$6:$T$150,COLUMN()/2+1,FALSE))),"")</f>
        <v/>
      </c>
      <c r="AC133" s="76"/>
      <c r="AD133" s="148" t="str">
        <f ca="1">IFERROR(VALUE(IF(VLOOKUP($A133,数出表_Excel!$A$6:$T$150,COLUMN()/2+1,FALSE)=0,"",VLOOKUP($A133,数出表_Excel!$A$6:$T$150,COLUMN()/2+1,FALSE))),"")</f>
        <v/>
      </c>
      <c r="AE133" s="76"/>
      <c r="AF133" s="148" t="str">
        <f ca="1">IFERROR(VALUE(IF(VLOOKUP($A133,数出表_Excel!$A$6:$T$150,COLUMN()/2+1,FALSE)=0,"",VLOOKUP($A133,数出表_Excel!$A$6:$T$150,COLUMN()/2+1,FALSE))),"")</f>
        <v/>
      </c>
      <c r="AG133" s="76"/>
      <c r="AH133" s="148" t="str">
        <f ca="1">IFERROR(VALUE(IF(VLOOKUP($A133,数出表_Excel!$A$6:$T$150,COLUMN()/2+1,FALSE)=0,"",VLOOKUP($A133,数出表_Excel!$A$6:$T$150,COLUMN()/2+1,FALSE))),"")</f>
        <v/>
      </c>
      <c r="AI133" s="76"/>
      <c r="AJ133" s="148" t="str">
        <f ca="1">IFERROR(VALUE(IF(VLOOKUP($A133,数出表_Excel!$A$6:$T$150,COLUMN()/2+1,FALSE)=0,"",VLOOKUP($A133,数出表_Excel!$A$6:$T$150,COLUMN()/2+1,FALSE))),"")</f>
        <v/>
      </c>
      <c r="AK133" s="76"/>
      <c r="AL133" s="63" t="e">
        <f ca="1">IF(A133&lt;&gt;"",
IF(VLOOKUP($A133,数出表_Excel!$A$6:$T$150,COLUMN()/2+1,FALSE)=0,"",VLOOKUP($A133,数出表_Excel!$A$6:$T$150,COLUMN()/2+1,FALSE)),"")</f>
        <v>#N/A</v>
      </c>
      <c r="AM133" s="91" t="e">
        <f>数出表_Excel!V133</f>
        <v>#N/A</v>
      </c>
      <c r="AN133" s="92" t="e">
        <f>数出表_Excel!W133</f>
        <v>#N/A</v>
      </c>
    </row>
    <row r="134" spans="1:40" ht="16.2" customHeight="1">
      <c r="A134" s="81" t="e">
        <f t="array" aca="1" ref="A134" ca="1">IF(OR(COUNTIF(A132,"*10002*"),COUNTIF(A132,"")),"",INDEX(貼り付け用!$A1:$A200,MATCH(A132,貼り付け用!$A1:$A200,0)+2,0))</f>
        <v>#N/A</v>
      </c>
      <c r="B134" s="182" t="str">
        <f ca="1">IFERROR(VALUE(IF(VLOOKUP($A134,数出表_Excel!$A$6:$T$150,COLUMN()/2+1,FALSE)=0,"",VLOOKUP($A134,数出表_Excel!$A$6:$T$150,COLUMN()/2+1,FALSE))),"")</f>
        <v/>
      </c>
      <c r="C134" s="75"/>
      <c r="D134" s="182" t="str">
        <f ca="1">IFERROR(VALUE(IF(VLOOKUP($A134,数出表_Excel!$A$6:$T$150,COLUMN()/2+1,FALSE)=0,"",VLOOKUP($A134,数出表_Excel!$A$6:$T$150,COLUMN()/2+1,FALSE))),"")</f>
        <v/>
      </c>
      <c r="E134" s="75"/>
      <c r="F134" s="182" t="str">
        <f ca="1">IFERROR(VALUE(IF(VLOOKUP($A134,数出表_Excel!$A$6:$T$150,COLUMN()/2+1,FALSE)=0,"",VLOOKUP($A134,数出表_Excel!$A$6:$T$150,COLUMN()/2+1,FALSE))),"")</f>
        <v/>
      </c>
      <c r="G134" s="75"/>
      <c r="H134" s="182" t="str">
        <f ca="1">IFERROR(VALUE(IF(VLOOKUP($A134,数出表_Excel!$A$6:$T$150,COLUMN()/2+1,FALSE)=0,"",VLOOKUP($A134,数出表_Excel!$A$6:$T$150,COLUMN()/2+1,FALSE))),"")</f>
        <v/>
      </c>
      <c r="I134" s="75"/>
      <c r="J134" s="182" t="str">
        <f ca="1">IFERROR(VALUE(IF(VLOOKUP($A134,数出表_Excel!$A$6:$T$150,COLUMN()/2+1,FALSE)=0,"",VLOOKUP($A134,数出表_Excel!$A$6:$T$150,COLUMN()/2+1,FALSE))),"")</f>
        <v/>
      </c>
      <c r="K134" s="75"/>
      <c r="L134" s="182" t="str">
        <f ca="1">IFERROR(VALUE(IF(VLOOKUP($A134,数出表_Excel!$A$6:$T$150,COLUMN()/2+1,FALSE)=0,"",VLOOKUP($A134,数出表_Excel!$A$6:$T$150,COLUMN()/2+1,FALSE))),"")</f>
        <v/>
      </c>
      <c r="M134" s="75"/>
      <c r="N134" s="182" t="str">
        <f ca="1">IFERROR(VALUE(IF(VLOOKUP($A134,数出表_Excel!$A$6:$T$150,COLUMN()/2+1,FALSE)=0,"",VLOOKUP($A134,数出表_Excel!$A$6:$T$150,COLUMN()/2+1,FALSE))),"")</f>
        <v/>
      </c>
      <c r="O134" s="75"/>
      <c r="P134" s="182" t="str">
        <f ca="1">IFERROR(VALUE(IF(VLOOKUP($A134,数出表_Excel!$A$6:$T$150,COLUMN()/2+1,FALSE)=0,"",VLOOKUP($A134,数出表_Excel!$A$6:$T$150,COLUMN()/2+1,FALSE))),"")</f>
        <v/>
      </c>
      <c r="Q134" s="75"/>
      <c r="R134" s="182" t="str">
        <f ca="1">IFERROR(VALUE(IF(VLOOKUP($A134,数出表_Excel!$A$6:$T$150,COLUMN()/2+1,FALSE)=0,"",VLOOKUP($A134,数出表_Excel!$A$6:$T$150,COLUMN()/2+1,FALSE))),"")</f>
        <v/>
      </c>
      <c r="S134" s="75"/>
      <c r="T134" s="182" t="str">
        <f ca="1">IFERROR(VALUE(IF(VLOOKUP($A134,数出表_Excel!$A$6:$T$150,COLUMN()/2+1,FALSE)=0,"",VLOOKUP($A134,数出表_Excel!$A$6:$T$150,COLUMN()/2+1,FALSE))),"")</f>
        <v/>
      </c>
      <c r="U134" s="75"/>
      <c r="V134" s="182" t="str">
        <f ca="1">IFERROR(VALUE(IF(VLOOKUP($A134,数出表_Excel!$A$6:$T$150,COLUMN()/2+1,FALSE)=0,"",VLOOKUP($A134,数出表_Excel!$A$6:$T$150,COLUMN()/2+1,FALSE))),"")</f>
        <v/>
      </c>
      <c r="W134" s="75"/>
      <c r="X134" s="182" t="str">
        <f ca="1">IFERROR(VALUE(IF(VLOOKUP($A134,数出表_Excel!$A$6:$T$150,COLUMN()/2+1,FALSE)=0,"",VLOOKUP($A134,数出表_Excel!$A$6:$T$150,COLUMN()/2+1,FALSE))),"")</f>
        <v/>
      </c>
      <c r="Y134" s="75"/>
      <c r="Z134" s="182" t="str">
        <f ca="1">IFERROR(VALUE(IF(VLOOKUP($A134,数出表_Excel!$A$6:$T$150,COLUMN()/2+1,FALSE)=0,"",VLOOKUP($A134,数出表_Excel!$A$6:$T$150,COLUMN()/2+1,FALSE))),"")</f>
        <v/>
      </c>
      <c r="AA134" s="75"/>
      <c r="AB134" s="182" t="str">
        <f ca="1">IFERROR(VALUE(IF(VLOOKUP($A134,数出表_Excel!$A$6:$T$150,COLUMN()/2+1,FALSE)=0,"",VLOOKUP($A134,数出表_Excel!$A$6:$T$150,COLUMN()/2+1,FALSE))),"")</f>
        <v/>
      </c>
      <c r="AC134" s="75"/>
      <c r="AD134" s="182" t="str">
        <f ca="1">IFERROR(VALUE(IF(VLOOKUP($A134,数出表_Excel!$A$6:$T$150,COLUMN()/2+1,FALSE)=0,"",VLOOKUP($A134,数出表_Excel!$A$6:$T$150,COLUMN()/2+1,FALSE))),"")</f>
        <v/>
      </c>
      <c r="AE134" s="75"/>
      <c r="AF134" s="182" t="str">
        <f ca="1">IFERROR(VALUE(IF(VLOOKUP($A134,数出表_Excel!$A$6:$T$150,COLUMN()/2+1,FALSE)=0,"",VLOOKUP($A134,数出表_Excel!$A$6:$T$150,COLUMN()/2+1,FALSE))),"")</f>
        <v/>
      </c>
      <c r="AG134" s="75"/>
      <c r="AH134" s="182" t="str">
        <f ca="1">IFERROR(VALUE(IF(VLOOKUP($A134,数出表_Excel!$A$6:$T$150,COLUMN()/2+1,FALSE)=0,"",VLOOKUP($A134,数出表_Excel!$A$6:$T$150,COLUMN()/2+1,FALSE))),"")</f>
        <v/>
      </c>
      <c r="AI134" s="75"/>
      <c r="AJ134" s="182" t="str">
        <f ca="1">IFERROR(VALUE(IF(VLOOKUP($A134,数出表_Excel!$A$6:$T$150,COLUMN()/2+1,FALSE)=0,"",VLOOKUP($A134,数出表_Excel!$A$6:$T$150,COLUMN()/2+1,FALSE))),"")</f>
        <v/>
      </c>
      <c r="AK134" s="75"/>
      <c r="AL134" s="61" t="e">
        <f ca="1">IF(A134&lt;&gt;"",
IF(VLOOKUP($A134,数出表_Excel!$A$6:$T$150,COLUMN()/2+1,FALSE)=0,"",VLOOKUP($A134,数出表_Excel!$A$6:$T$150,COLUMN()/2+1,FALSE)),"")</f>
        <v>#N/A</v>
      </c>
      <c r="AM134" s="89" t="e">
        <f>数出表_Excel!V134</f>
        <v>#N/A</v>
      </c>
      <c r="AN134" s="90" t="e">
        <f>数出表_Excel!W134</f>
        <v>#N/A</v>
      </c>
    </row>
    <row r="135" spans="1:40" ht="16.2" customHeight="1">
      <c r="A135" s="82" t="e">
        <f t="array" aca="1" ref="A135" ca="1">IF(OR(COUNTIF(A133,"*1000*"),COUNTIF(A133,"")),"",INDEX(貼り付け用!$A1:$A200,MATCH(A133,貼り付け用!$A1:$A200,0)+2,0))</f>
        <v>#N/A</v>
      </c>
      <c r="B135" s="148" t="str">
        <f ca="1">IFERROR(VALUE(IF(VLOOKUP($A135,数出表_Excel!$A$6:$T$150,COLUMN()/2+1,FALSE)=0,"",VLOOKUP($A135,数出表_Excel!$A$6:$T$150,COLUMN()/2+1,FALSE))),"")</f>
        <v/>
      </c>
      <c r="C135" s="76"/>
      <c r="D135" s="148" t="str">
        <f ca="1">IFERROR(VALUE(IF(VLOOKUP($A135,数出表_Excel!$A$6:$T$150,COLUMN()/2+1,FALSE)=0,"",VLOOKUP($A135,数出表_Excel!$A$6:$T$150,COLUMN()/2+1,FALSE))),"")</f>
        <v/>
      </c>
      <c r="E135" s="76"/>
      <c r="F135" s="148" t="str">
        <f ca="1">IFERROR(VALUE(IF(VLOOKUP($A135,数出表_Excel!$A$6:$T$150,COLUMN()/2+1,FALSE)=0,"",VLOOKUP($A135,数出表_Excel!$A$6:$T$150,COLUMN()/2+1,FALSE))),"")</f>
        <v/>
      </c>
      <c r="G135" s="76"/>
      <c r="H135" s="148" t="str">
        <f ca="1">IFERROR(VALUE(IF(VLOOKUP($A135,数出表_Excel!$A$6:$T$150,COLUMN()/2+1,FALSE)=0,"",VLOOKUP($A135,数出表_Excel!$A$6:$T$150,COLUMN()/2+1,FALSE))),"")</f>
        <v/>
      </c>
      <c r="I135" s="76"/>
      <c r="J135" s="148" t="str">
        <f ca="1">IFERROR(VALUE(IF(VLOOKUP($A135,数出表_Excel!$A$6:$T$150,COLUMN()/2+1,FALSE)=0,"",VLOOKUP($A135,数出表_Excel!$A$6:$T$150,COLUMN()/2+1,FALSE))),"")</f>
        <v/>
      </c>
      <c r="K135" s="76"/>
      <c r="L135" s="148" t="str">
        <f ca="1">IFERROR(VALUE(IF(VLOOKUP($A135,数出表_Excel!$A$6:$T$150,COLUMN()/2+1,FALSE)=0,"",VLOOKUP($A135,数出表_Excel!$A$6:$T$150,COLUMN()/2+1,FALSE))),"")</f>
        <v/>
      </c>
      <c r="M135" s="76"/>
      <c r="N135" s="148" t="str">
        <f ca="1">IFERROR(VALUE(IF(VLOOKUP($A135,数出表_Excel!$A$6:$T$150,COLUMN()/2+1,FALSE)=0,"",VLOOKUP($A135,数出表_Excel!$A$6:$T$150,COLUMN()/2+1,FALSE))),"")</f>
        <v/>
      </c>
      <c r="O135" s="76"/>
      <c r="P135" s="148" t="str">
        <f ca="1">IFERROR(VALUE(IF(VLOOKUP($A135,数出表_Excel!$A$6:$T$150,COLUMN()/2+1,FALSE)=0,"",VLOOKUP($A135,数出表_Excel!$A$6:$T$150,COLUMN()/2+1,FALSE))),"")</f>
        <v/>
      </c>
      <c r="Q135" s="76"/>
      <c r="R135" s="148" t="str">
        <f ca="1">IFERROR(VALUE(IF(VLOOKUP($A135,数出表_Excel!$A$6:$T$150,COLUMN()/2+1,FALSE)=0,"",VLOOKUP($A135,数出表_Excel!$A$6:$T$150,COLUMN()/2+1,FALSE))),"")</f>
        <v/>
      </c>
      <c r="S135" s="76"/>
      <c r="T135" s="148" t="str">
        <f ca="1">IFERROR(VALUE(IF(VLOOKUP($A135,数出表_Excel!$A$6:$T$150,COLUMN()/2+1,FALSE)=0,"",VLOOKUP($A135,数出表_Excel!$A$6:$T$150,COLUMN()/2+1,FALSE))),"")</f>
        <v/>
      </c>
      <c r="U135" s="76"/>
      <c r="V135" s="148" t="str">
        <f ca="1">IFERROR(VALUE(IF(VLOOKUP($A135,数出表_Excel!$A$6:$T$150,COLUMN()/2+1,FALSE)=0,"",VLOOKUP($A135,数出表_Excel!$A$6:$T$150,COLUMN()/2+1,FALSE))),"")</f>
        <v/>
      </c>
      <c r="W135" s="76"/>
      <c r="X135" s="148" t="str">
        <f ca="1">IFERROR(VALUE(IF(VLOOKUP($A135,数出表_Excel!$A$6:$T$150,COLUMN()/2+1,FALSE)=0,"",VLOOKUP($A135,数出表_Excel!$A$6:$T$150,COLUMN()/2+1,FALSE))),"")</f>
        <v/>
      </c>
      <c r="Y135" s="76"/>
      <c r="Z135" s="148" t="str">
        <f ca="1">IFERROR(VALUE(IF(VLOOKUP($A135,数出表_Excel!$A$6:$T$150,COLUMN()/2+1,FALSE)=0,"",VLOOKUP($A135,数出表_Excel!$A$6:$T$150,COLUMN()/2+1,FALSE))),"")</f>
        <v/>
      </c>
      <c r="AA135" s="76"/>
      <c r="AB135" s="148" t="str">
        <f ca="1">IFERROR(VALUE(IF(VLOOKUP($A135,数出表_Excel!$A$6:$T$150,COLUMN()/2+1,FALSE)=0,"",VLOOKUP($A135,数出表_Excel!$A$6:$T$150,COLUMN()/2+1,FALSE))),"")</f>
        <v/>
      </c>
      <c r="AC135" s="76"/>
      <c r="AD135" s="148" t="str">
        <f ca="1">IFERROR(VALUE(IF(VLOOKUP($A135,数出表_Excel!$A$6:$T$150,COLUMN()/2+1,FALSE)=0,"",VLOOKUP($A135,数出表_Excel!$A$6:$T$150,COLUMN()/2+1,FALSE))),"")</f>
        <v/>
      </c>
      <c r="AE135" s="76"/>
      <c r="AF135" s="148" t="str">
        <f ca="1">IFERROR(VALUE(IF(VLOOKUP($A135,数出表_Excel!$A$6:$T$150,COLUMN()/2+1,FALSE)=0,"",VLOOKUP($A135,数出表_Excel!$A$6:$T$150,COLUMN()/2+1,FALSE))),"")</f>
        <v/>
      </c>
      <c r="AG135" s="76"/>
      <c r="AH135" s="148" t="str">
        <f ca="1">IFERROR(VALUE(IF(VLOOKUP($A135,数出表_Excel!$A$6:$T$150,COLUMN()/2+1,FALSE)=0,"",VLOOKUP($A135,数出表_Excel!$A$6:$T$150,COLUMN()/2+1,FALSE))),"")</f>
        <v/>
      </c>
      <c r="AI135" s="76"/>
      <c r="AJ135" s="148" t="str">
        <f ca="1">IFERROR(VALUE(IF(VLOOKUP($A135,数出表_Excel!$A$6:$T$150,COLUMN()/2+1,FALSE)=0,"",VLOOKUP($A135,数出表_Excel!$A$6:$T$150,COLUMN()/2+1,FALSE))),"")</f>
        <v/>
      </c>
      <c r="AK135" s="76"/>
      <c r="AL135" s="63" t="e">
        <f ca="1">IF(A135&lt;&gt;"",
IF(VLOOKUP($A135,数出表_Excel!$A$6:$T$150,COLUMN()/2+1,FALSE)=0,"",VLOOKUP($A135,数出表_Excel!$A$6:$T$150,COLUMN()/2+1,FALSE)),"")</f>
        <v>#N/A</v>
      </c>
      <c r="AM135" s="91" t="e">
        <f>数出表_Excel!V135</f>
        <v>#N/A</v>
      </c>
      <c r="AN135" s="92" t="e">
        <f>数出表_Excel!W135</f>
        <v>#N/A</v>
      </c>
    </row>
    <row r="136" spans="1:40" ht="16.2" customHeight="1">
      <c r="A136" s="81" t="e">
        <f t="array" aca="1" ref="A136" ca="1">IF(OR(COUNTIF(A134,"*10002*"),COUNTIF(A134,"")),"",INDEX(貼り付け用!$A1:$A200,MATCH(A134,貼り付け用!$A1:$A200,0)+2,0))</f>
        <v>#N/A</v>
      </c>
      <c r="B136" s="182" t="str">
        <f ca="1">IFERROR(VALUE(IF(VLOOKUP($A136,数出表_Excel!$A$6:$T$150,COLUMN()/2+1,FALSE)=0,"",VLOOKUP($A136,数出表_Excel!$A$6:$T$150,COLUMN()/2+1,FALSE))),"")</f>
        <v/>
      </c>
      <c r="C136" s="75"/>
      <c r="D136" s="182" t="str">
        <f ca="1">IFERROR(VALUE(IF(VLOOKUP($A136,数出表_Excel!$A$6:$T$150,COLUMN()/2+1,FALSE)=0,"",VLOOKUP($A136,数出表_Excel!$A$6:$T$150,COLUMN()/2+1,FALSE))),"")</f>
        <v/>
      </c>
      <c r="E136" s="75"/>
      <c r="F136" s="182" t="str">
        <f ca="1">IFERROR(VALUE(IF(VLOOKUP($A136,数出表_Excel!$A$6:$T$150,COLUMN()/2+1,FALSE)=0,"",VLOOKUP($A136,数出表_Excel!$A$6:$T$150,COLUMN()/2+1,FALSE))),"")</f>
        <v/>
      </c>
      <c r="G136" s="75"/>
      <c r="H136" s="182" t="str">
        <f ca="1">IFERROR(VALUE(IF(VLOOKUP($A136,数出表_Excel!$A$6:$T$150,COLUMN()/2+1,FALSE)=0,"",VLOOKUP($A136,数出表_Excel!$A$6:$T$150,COLUMN()/2+1,FALSE))),"")</f>
        <v/>
      </c>
      <c r="I136" s="75"/>
      <c r="J136" s="182" t="str">
        <f ca="1">IFERROR(VALUE(IF(VLOOKUP($A136,数出表_Excel!$A$6:$T$150,COLUMN()/2+1,FALSE)=0,"",VLOOKUP($A136,数出表_Excel!$A$6:$T$150,COLUMN()/2+1,FALSE))),"")</f>
        <v/>
      </c>
      <c r="K136" s="75"/>
      <c r="L136" s="182" t="str">
        <f ca="1">IFERROR(VALUE(IF(VLOOKUP($A136,数出表_Excel!$A$6:$T$150,COLUMN()/2+1,FALSE)=0,"",VLOOKUP($A136,数出表_Excel!$A$6:$T$150,COLUMN()/2+1,FALSE))),"")</f>
        <v/>
      </c>
      <c r="M136" s="75"/>
      <c r="N136" s="182" t="str">
        <f ca="1">IFERROR(VALUE(IF(VLOOKUP($A136,数出表_Excel!$A$6:$T$150,COLUMN()/2+1,FALSE)=0,"",VLOOKUP($A136,数出表_Excel!$A$6:$T$150,COLUMN()/2+1,FALSE))),"")</f>
        <v/>
      </c>
      <c r="O136" s="75"/>
      <c r="P136" s="182" t="str">
        <f ca="1">IFERROR(VALUE(IF(VLOOKUP($A136,数出表_Excel!$A$6:$T$150,COLUMN()/2+1,FALSE)=0,"",VLOOKUP($A136,数出表_Excel!$A$6:$T$150,COLUMN()/2+1,FALSE))),"")</f>
        <v/>
      </c>
      <c r="Q136" s="75"/>
      <c r="R136" s="182" t="str">
        <f ca="1">IFERROR(VALUE(IF(VLOOKUP($A136,数出表_Excel!$A$6:$T$150,COLUMN()/2+1,FALSE)=0,"",VLOOKUP($A136,数出表_Excel!$A$6:$T$150,COLUMN()/2+1,FALSE))),"")</f>
        <v/>
      </c>
      <c r="S136" s="75"/>
      <c r="T136" s="182" t="str">
        <f ca="1">IFERROR(VALUE(IF(VLOOKUP($A136,数出表_Excel!$A$6:$T$150,COLUMN()/2+1,FALSE)=0,"",VLOOKUP($A136,数出表_Excel!$A$6:$T$150,COLUMN()/2+1,FALSE))),"")</f>
        <v/>
      </c>
      <c r="U136" s="75"/>
      <c r="V136" s="182" t="str">
        <f ca="1">IFERROR(VALUE(IF(VLOOKUP($A136,数出表_Excel!$A$6:$T$150,COLUMN()/2+1,FALSE)=0,"",VLOOKUP($A136,数出表_Excel!$A$6:$T$150,COLUMN()/2+1,FALSE))),"")</f>
        <v/>
      </c>
      <c r="W136" s="75"/>
      <c r="X136" s="182" t="str">
        <f ca="1">IFERROR(VALUE(IF(VLOOKUP($A136,数出表_Excel!$A$6:$T$150,COLUMN()/2+1,FALSE)=0,"",VLOOKUP($A136,数出表_Excel!$A$6:$T$150,COLUMN()/2+1,FALSE))),"")</f>
        <v/>
      </c>
      <c r="Y136" s="75"/>
      <c r="Z136" s="182" t="str">
        <f ca="1">IFERROR(VALUE(IF(VLOOKUP($A136,数出表_Excel!$A$6:$T$150,COLUMN()/2+1,FALSE)=0,"",VLOOKUP($A136,数出表_Excel!$A$6:$T$150,COLUMN()/2+1,FALSE))),"")</f>
        <v/>
      </c>
      <c r="AA136" s="75"/>
      <c r="AB136" s="182" t="str">
        <f ca="1">IFERROR(VALUE(IF(VLOOKUP($A136,数出表_Excel!$A$6:$T$150,COLUMN()/2+1,FALSE)=0,"",VLOOKUP($A136,数出表_Excel!$A$6:$T$150,COLUMN()/2+1,FALSE))),"")</f>
        <v/>
      </c>
      <c r="AC136" s="75"/>
      <c r="AD136" s="182" t="str">
        <f ca="1">IFERROR(VALUE(IF(VLOOKUP($A136,数出表_Excel!$A$6:$T$150,COLUMN()/2+1,FALSE)=0,"",VLOOKUP($A136,数出表_Excel!$A$6:$T$150,COLUMN()/2+1,FALSE))),"")</f>
        <v/>
      </c>
      <c r="AE136" s="75"/>
      <c r="AF136" s="182" t="str">
        <f ca="1">IFERROR(VALUE(IF(VLOOKUP($A136,数出表_Excel!$A$6:$T$150,COLUMN()/2+1,FALSE)=0,"",VLOOKUP($A136,数出表_Excel!$A$6:$T$150,COLUMN()/2+1,FALSE))),"")</f>
        <v/>
      </c>
      <c r="AG136" s="75"/>
      <c r="AH136" s="182" t="str">
        <f ca="1">IFERROR(VALUE(IF(VLOOKUP($A136,数出表_Excel!$A$6:$T$150,COLUMN()/2+1,FALSE)=0,"",VLOOKUP($A136,数出表_Excel!$A$6:$T$150,COLUMN()/2+1,FALSE))),"")</f>
        <v/>
      </c>
      <c r="AI136" s="75"/>
      <c r="AJ136" s="182" t="str">
        <f ca="1">IFERROR(VALUE(IF(VLOOKUP($A136,数出表_Excel!$A$6:$T$150,COLUMN()/2+1,FALSE)=0,"",VLOOKUP($A136,数出表_Excel!$A$6:$T$150,COLUMN()/2+1,FALSE))),"")</f>
        <v/>
      </c>
      <c r="AK136" s="75"/>
      <c r="AL136" s="61" t="e">
        <f ca="1">IF(A136&lt;&gt;"",
IF(VLOOKUP($A136,数出表_Excel!$A$6:$T$150,COLUMN()/2+1,FALSE)=0,"",VLOOKUP($A136,数出表_Excel!$A$6:$T$150,COLUMN()/2+1,FALSE)),"")</f>
        <v>#N/A</v>
      </c>
      <c r="AM136" s="89" t="e">
        <f>数出表_Excel!V136</f>
        <v>#N/A</v>
      </c>
      <c r="AN136" s="90" t="e">
        <f>数出表_Excel!W136</f>
        <v>#N/A</v>
      </c>
    </row>
    <row r="137" spans="1:40" ht="16.2" customHeight="1">
      <c r="A137" s="82" t="e">
        <f t="array" aca="1" ref="A137" ca="1">IF(OR(COUNTIF(A135,"*1000*"),COUNTIF(A135,"")),"",INDEX(貼り付け用!$A1:$A200,MATCH(A135,貼り付け用!$A1:$A200,0)+2,0))</f>
        <v>#N/A</v>
      </c>
      <c r="B137" s="148" t="str">
        <f ca="1">IFERROR(VALUE(IF(VLOOKUP($A137,数出表_Excel!$A$6:$T$150,COLUMN()/2+1,FALSE)=0,"",VLOOKUP($A137,数出表_Excel!$A$6:$T$150,COLUMN()/2+1,FALSE))),"")</f>
        <v/>
      </c>
      <c r="C137" s="76"/>
      <c r="D137" s="148" t="str">
        <f ca="1">IFERROR(VALUE(IF(VLOOKUP($A137,数出表_Excel!$A$6:$T$150,COLUMN()/2+1,FALSE)=0,"",VLOOKUP($A137,数出表_Excel!$A$6:$T$150,COLUMN()/2+1,FALSE))),"")</f>
        <v/>
      </c>
      <c r="E137" s="76"/>
      <c r="F137" s="148" t="str">
        <f ca="1">IFERROR(VALUE(IF(VLOOKUP($A137,数出表_Excel!$A$6:$T$150,COLUMN()/2+1,FALSE)=0,"",VLOOKUP($A137,数出表_Excel!$A$6:$T$150,COLUMN()/2+1,FALSE))),"")</f>
        <v/>
      </c>
      <c r="G137" s="76"/>
      <c r="H137" s="148" t="str">
        <f ca="1">IFERROR(VALUE(IF(VLOOKUP($A137,数出表_Excel!$A$6:$T$150,COLUMN()/2+1,FALSE)=0,"",VLOOKUP($A137,数出表_Excel!$A$6:$T$150,COLUMN()/2+1,FALSE))),"")</f>
        <v/>
      </c>
      <c r="I137" s="76"/>
      <c r="J137" s="148" t="str">
        <f ca="1">IFERROR(VALUE(IF(VLOOKUP($A137,数出表_Excel!$A$6:$T$150,COLUMN()/2+1,FALSE)=0,"",VLOOKUP($A137,数出表_Excel!$A$6:$T$150,COLUMN()/2+1,FALSE))),"")</f>
        <v/>
      </c>
      <c r="K137" s="76"/>
      <c r="L137" s="148" t="str">
        <f ca="1">IFERROR(VALUE(IF(VLOOKUP($A137,数出表_Excel!$A$6:$T$150,COLUMN()/2+1,FALSE)=0,"",VLOOKUP($A137,数出表_Excel!$A$6:$T$150,COLUMN()/2+1,FALSE))),"")</f>
        <v/>
      </c>
      <c r="M137" s="76"/>
      <c r="N137" s="148" t="str">
        <f ca="1">IFERROR(VALUE(IF(VLOOKUP($A137,数出表_Excel!$A$6:$T$150,COLUMN()/2+1,FALSE)=0,"",VLOOKUP($A137,数出表_Excel!$A$6:$T$150,COLUMN()/2+1,FALSE))),"")</f>
        <v/>
      </c>
      <c r="O137" s="76"/>
      <c r="P137" s="148" t="str">
        <f ca="1">IFERROR(VALUE(IF(VLOOKUP($A137,数出表_Excel!$A$6:$T$150,COLUMN()/2+1,FALSE)=0,"",VLOOKUP($A137,数出表_Excel!$A$6:$T$150,COLUMN()/2+1,FALSE))),"")</f>
        <v/>
      </c>
      <c r="Q137" s="76"/>
      <c r="R137" s="148" t="str">
        <f ca="1">IFERROR(VALUE(IF(VLOOKUP($A137,数出表_Excel!$A$6:$T$150,COLUMN()/2+1,FALSE)=0,"",VLOOKUP($A137,数出表_Excel!$A$6:$T$150,COLUMN()/2+1,FALSE))),"")</f>
        <v/>
      </c>
      <c r="S137" s="76"/>
      <c r="T137" s="148" t="str">
        <f ca="1">IFERROR(VALUE(IF(VLOOKUP($A137,数出表_Excel!$A$6:$T$150,COLUMN()/2+1,FALSE)=0,"",VLOOKUP($A137,数出表_Excel!$A$6:$T$150,COLUMN()/2+1,FALSE))),"")</f>
        <v/>
      </c>
      <c r="U137" s="76"/>
      <c r="V137" s="148" t="str">
        <f ca="1">IFERROR(VALUE(IF(VLOOKUP($A137,数出表_Excel!$A$6:$T$150,COLUMN()/2+1,FALSE)=0,"",VLOOKUP($A137,数出表_Excel!$A$6:$T$150,COLUMN()/2+1,FALSE))),"")</f>
        <v/>
      </c>
      <c r="W137" s="76"/>
      <c r="X137" s="148" t="str">
        <f ca="1">IFERROR(VALUE(IF(VLOOKUP($A137,数出表_Excel!$A$6:$T$150,COLUMN()/2+1,FALSE)=0,"",VLOOKUP($A137,数出表_Excel!$A$6:$T$150,COLUMN()/2+1,FALSE))),"")</f>
        <v/>
      </c>
      <c r="Y137" s="76"/>
      <c r="Z137" s="148" t="str">
        <f ca="1">IFERROR(VALUE(IF(VLOOKUP($A137,数出表_Excel!$A$6:$T$150,COLUMN()/2+1,FALSE)=0,"",VLOOKUP($A137,数出表_Excel!$A$6:$T$150,COLUMN()/2+1,FALSE))),"")</f>
        <v/>
      </c>
      <c r="AA137" s="76"/>
      <c r="AB137" s="148" t="str">
        <f ca="1">IFERROR(VALUE(IF(VLOOKUP($A137,数出表_Excel!$A$6:$T$150,COLUMN()/2+1,FALSE)=0,"",VLOOKUP($A137,数出表_Excel!$A$6:$T$150,COLUMN()/2+1,FALSE))),"")</f>
        <v/>
      </c>
      <c r="AC137" s="76"/>
      <c r="AD137" s="148" t="str">
        <f ca="1">IFERROR(VALUE(IF(VLOOKUP($A137,数出表_Excel!$A$6:$T$150,COLUMN()/2+1,FALSE)=0,"",VLOOKUP($A137,数出表_Excel!$A$6:$T$150,COLUMN()/2+1,FALSE))),"")</f>
        <v/>
      </c>
      <c r="AE137" s="76"/>
      <c r="AF137" s="148" t="str">
        <f ca="1">IFERROR(VALUE(IF(VLOOKUP($A137,数出表_Excel!$A$6:$T$150,COLUMN()/2+1,FALSE)=0,"",VLOOKUP($A137,数出表_Excel!$A$6:$T$150,COLUMN()/2+1,FALSE))),"")</f>
        <v/>
      </c>
      <c r="AG137" s="76"/>
      <c r="AH137" s="148" t="str">
        <f ca="1">IFERROR(VALUE(IF(VLOOKUP($A137,数出表_Excel!$A$6:$T$150,COLUMN()/2+1,FALSE)=0,"",VLOOKUP($A137,数出表_Excel!$A$6:$T$150,COLUMN()/2+1,FALSE))),"")</f>
        <v/>
      </c>
      <c r="AI137" s="76"/>
      <c r="AJ137" s="148" t="str">
        <f ca="1">IFERROR(VALUE(IF(VLOOKUP($A137,数出表_Excel!$A$6:$T$150,COLUMN()/2+1,FALSE)=0,"",VLOOKUP($A137,数出表_Excel!$A$6:$T$150,COLUMN()/2+1,FALSE))),"")</f>
        <v/>
      </c>
      <c r="AK137" s="76"/>
      <c r="AL137" s="63" t="e">
        <f ca="1">IF(A137&lt;&gt;"",
IF(VLOOKUP($A137,数出表_Excel!$A$6:$T$150,COLUMN()/2+1,FALSE)=0,"",VLOOKUP($A137,数出表_Excel!$A$6:$T$150,COLUMN()/2+1,FALSE)),"")</f>
        <v>#N/A</v>
      </c>
      <c r="AM137" s="91" t="e">
        <f>数出表_Excel!V137</f>
        <v>#N/A</v>
      </c>
      <c r="AN137" s="92" t="e">
        <f>数出表_Excel!W137</f>
        <v>#N/A</v>
      </c>
    </row>
    <row r="138" spans="1:40" ht="16.2" customHeight="1">
      <c r="A138" s="81" t="e">
        <f t="array" aca="1" ref="A138" ca="1">IF(OR(COUNTIF(A136,"*10002*"),COUNTIF(A136,"")),"",INDEX(貼り付け用!$A1:$A200,MATCH(A136,貼り付け用!$A1:$A200,0)+2,0))</f>
        <v>#N/A</v>
      </c>
      <c r="B138" s="182" t="str">
        <f ca="1">IFERROR(VALUE(IF(VLOOKUP($A138,数出表_Excel!$A$6:$T$150,COLUMN()/2+1,FALSE)=0,"",VLOOKUP($A138,数出表_Excel!$A$6:$T$150,COLUMN()/2+1,FALSE))),"")</f>
        <v/>
      </c>
      <c r="C138" s="75"/>
      <c r="D138" s="182" t="str">
        <f ca="1">IFERROR(VALUE(IF(VLOOKUP($A138,数出表_Excel!$A$6:$T$150,COLUMN()/2+1,FALSE)=0,"",VLOOKUP($A138,数出表_Excel!$A$6:$T$150,COLUMN()/2+1,FALSE))),"")</f>
        <v/>
      </c>
      <c r="E138" s="75"/>
      <c r="F138" s="182" t="str">
        <f ca="1">IFERROR(VALUE(IF(VLOOKUP($A138,数出表_Excel!$A$6:$T$150,COLUMN()/2+1,FALSE)=0,"",VLOOKUP($A138,数出表_Excel!$A$6:$T$150,COLUMN()/2+1,FALSE))),"")</f>
        <v/>
      </c>
      <c r="G138" s="75"/>
      <c r="H138" s="182" t="str">
        <f ca="1">IFERROR(VALUE(IF(VLOOKUP($A138,数出表_Excel!$A$6:$T$150,COLUMN()/2+1,FALSE)=0,"",VLOOKUP($A138,数出表_Excel!$A$6:$T$150,COLUMN()/2+1,FALSE))),"")</f>
        <v/>
      </c>
      <c r="I138" s="75"/>
      <c r="J138" s="182" t="str">
        <f ca="1">IFERROR(VALUE(IF(VLOOKUP($A138,数出表_Excel!$A$6:$T$150,COLUMN()/2+1,FALSE)=0,"",VLOOKUP($A138,数出表_Excel!$A$6:$T$150,COLUMN()/2+1,FALSE))),"")</f>
        <v/>
      </c>
      <c r="K138" s="75"/>
      <c r="L138" s="182" t="str">
        <f ca="1">IFERROR(VALUE(IF(VLOOKUP($A138,数出表_Excel!$A$6:$T$150,COLUMN()/2+1,FALSE)=0,"",VLOOKUP($A138,数出表_Excel!$A$6:$T$150,COLUMN()/2+1,FALSE))),"")</f>
        <v/>
      </c>
      <c r="M138" s="75"/>
      <c r="N138" s="182" t="str">
        <f ca="1">IFERROR(VALUE(IF(VLOOKUP($A138,数出表_Excel!$A$6:$T$150,COLUMN()/2+1,FALSE)=0,"",VLOOKUP($A138,数出表_Excel!$A$6:$T$150,COLUMN()/2+1,FALSE))),"")</f>
        <v/>
      </c>
      <c r="O138" s="75"/>
      <c r="P138" s="182" t="str">
        <f ca="1">IFERROR(VALUE(IF(VLOOKUP($A138,数出表_Excel!$A$6:$T$150,COLUMN()/2+1,FALSE)=0,"",VLOOKUP($A138,数出表_Excel!$A$6:$T$150,COLUMN()/2+1,FALSE))),"")</f>
        <v/>
      </c>
      <c r="Q138" s="75"/>
      <c r="R138" s="182" t="str">
        <f ca="1">IFERROR(VALUE(IF(VLOOKUP($A138,数出表_Excel!$A$6:$T$150,COLUMN()/2+1,FALSE)=0,"",VLOOKUP($A138,数出表_Excel!$A$6:$T$150,COLUMN()/2+1,FALSE))),"")</f>
        <v/>
      </c>
      <c r="S138" s="75"/>
      <c r="T138" s="182" t="str">
        <f ca="1">IFERROR(VALUE(IF(VLOOKUP($A138,数出表_Excel!$A$6:$T$150,COLUMN()/2+1,FALSE)=0,"",VLOOKUP($A138,数出表_Excel!$A$6:$T$150,COLUMN()/2+1,FALSE))),"")</f>
        <v/>
      </c>
      <c r="U138" s="75"/>
      <c r="V138" s="182" t="str">
        <f ca="1">IFERROR(VALUE(IF(VLOOKUP($A138,数出表_Excel!$A$6:$T$150,COLUMN()/2+1,FALSE)=0,"",VLOOKUP($A138,数出表_Excel!$A$6:$T$150,COLUMN()/2+1,FALSE))),"")</f>
        <v/>
      </c>
      <c r="W138" s="75"/>
      <c r="X138" s="182" t="str">
        <f ca="1">IFERROR(VALUE(IF(VLOOKUP($A138,数出表_Excel!$A$6:$T$150,COLUMN()/2+1,FALSE)=0,"",VLOOKUP($A138,数出表_Excel!$A$6:$T$150,COLUMN()/2+1,FALSE))),"")</f>
        <v/>
      </c>
      <c r="Y138" s="75"/>
      <c r="Z138" s="182" t="str">
        <f ca="1">IFERROR(VALUE(IF(VLOOKUP($A138,数出表_Excel!$A$6:$T$150,COLUMN()/2+1,FALSE)=0,"",VLOOKUP($A138,数出表_Excel!$A$6:$T$150,COLUMN()/2+1,FALSE))),"")</f>
        <v/>
      </c>
      <c r="AA138" s="75"/>
      <c r="AB138" s="182" t="str">
        <f ca="1">IFERROR(VALUE(IF(VLOOKUP($A138,数出表_Excel!$A$6:$T$150,COLUMN()/2+1,FALSE)=0,"",VLOOKUP($A138,数出表_Excel!$A$6:$T$150,COLUMN()/2+1,FALSE))),"")</f>
        <v/>
      </c>
      <c r="AC138" s="75"/>
      <c r="AD138" s="182" t="str">
        <f ca="1">IFERROR(VALUE(IF(VLOOKUP($A138,数出表_Excel!$A$6:$T$150,COLUMN()/2+1,FALSE)=0,"",VLOOKUP($A138,数出表_Excel!$A$6:$T$150,COLUMN()/2+1,FALSE))),"")</f>
        <v/>
      </c>
      <c r="AE138" s="75"/>
      <c r="AF138" s="182" t="str">
        <f ca="1">IFERROR(VALUE(IF(VLOOKUP($A138,数出表_Excel!$A$6:$T$150,COLUMN()/2+1,FALSE)=0,"",VLOOKUP($A138,数出表_Excel!$A$6:$T$150,COLUMN()/2+1,FALSE))),"")</f>
        <v/>
      </c>
      <c r="AG138" s="75"/>
      <c r="AH138" s="182" t="str">
        <f ca="1">IFERROR(VALUE(IF(VLOOKUP($A138,数出表_Excel!$A$6:$T$150,COLUMN()/2+1,FALSE)=0,"",VLOOKUP($A138,数出表_Excel!$A$6:$T$150,COLUMN()/2+1,FALSE))),"")</f>
        <v/>
      </c>
      <c r="AI138" s="75"/>
      <c r="AJ138" s="182" t="str">
        <f ca="1">IFERROR(VALUE(IF(VLOOKUP($A138,数出表_Excel!$A$6:$T$150,COLUMN()/2+1,FALSE)=0,"",VLOOKUP($A138,数出表_Excel!$A$6:$T$150,COLUMN()/2+1,FALSE))),"")</f>
        <v/>
      </c>
      <c r="AK138" s="75"/>
      <c r="AL138" s="61" t="e">
        <f ca="1">IF(A138&lt;&gt;"",
IF(VLOOKUP($A138,数出表_Excel!$A$6:$T$150,COLUMN()/2+1,FALSE)=0,"",VLOOKUP($A138,数出表_Excel!$A$6:$T$150,COLUMN()/2+1,FALSE)),"")</f>
        <v>#N/A</v>
      </c>
      <c r="AM138" s="89" t="e">
        <f>数出表_Excel!V138</f>
        <v>#N/A</v>
      </c>
      <c r="AN138" s="90" t="e">
        <f>数出表_Excel!W138</f>
        <v>#N/A</v>
      </c>
    </row>
    <row r="139" spans="1:40" ht="16.2" customHeight="1">
      <c r="A139" s="82" t="e">
        <f t="array" aca="1" ref="A139" ca="1">IF(OR(COUNTIF(A137,"*1000*"),COUNTIF(A137,"")),"",INDEX(貼り付け用!$A1:$A200,MATCH(A137,貼り付け用!$A1:$A200,0)+2,0))</f>
        <v>#N/A</v>
      </c>
      <c r="B139" s="148" t="str">
        <f ca="1">IFERROR(VALUE(IF(VLOOKUP($A139,数出表_Excel!$A$6:$T$150,COLUMN()/2+1,FALSE)=0,"",VLOOKUP($A139,数出表_Excel!$A$6:$T$150,COLUMN()/2+1,FALSE))),"")</f>
        <v/>
      </c>
      <c r="C139" s="76"/>
      <c r="D139" s="148" t="str">
        <f ca="1">IFERROR(VALUE(IF(VLOOKUP($A139,数出表_Excel!$A$6:$T$150,COLUMN()/2+1,FALSE)=0,"",VLOOKUP($A139,数出表_Excel!$A$6:$T$150,COLUMN()/2+1,FALSE))),"")</f>
        <v/>
      </c>
      <c r="E139" s="76"/>
      <c r="F139" s="148" t="str">
        <f ca="1">IFERROR(VALUE(IF(VLOOKUP($A139,数出表_Excel!$A$6:$T$150,COLUMN()/2+1,FALSE)=0,"",VLOOKUP($A139,数出表_Excel!$A$6:$T$150,COLUMN()/2+1,FALSE))),"")</f>
        <v/>
      </c>
      <c r="G139" s="76"/>
      <c r="H139" s="148" t="str">
        <f ca="1">IFERROR(VALUE(IF(VLOOKUP($A139,数出表_Excel!$A$6:$T$150,COLUMN()/2+1,FALSE)=0,"",VLOOKUP($A139,数出表_Excel!$A$6:$T$150,COLUMN()/2+1,FALSE))),"")</f>
        <v/>
      </c>
      <c r="I139" s="76"/>
      <c r="J139" s="148" t="str">
        <f ca="1">IFERROR(VALUE(IF(VLOOKUP($A139,数出表_Excel!$A$6:$T$150,COLUMN()/2+1,FALSE)=0,"",VLOOKUP($A139,数出表_Excel!$A$6:$T$150,COLUMN()/2+1,FALSE))),"")</f>
        <v/>
      </c>
      <c r="K139" s="76"/>
      <c r="L139" s="148" t="str">
        <f ca="1">IFERROR(VALUE(IF(VLOOKUP($A139,数出表_Excel!$A$6:$T$150,COLUMN()/2+1,FALSE)=0,"",VLOOKUP($A139,数出表_Excel!$A$6:$T$150,COLUMN()/2+1,FALSE))),"")</f>
        <v/>
      </c>
      <c r="M139" s="76"/>
      <c r="N139" s="148" t="str">
        <f ca="1">IFERROR(VALUE(IF(VLOOKUP($A139,数出表_Excel!$A$6:$T$150,COLUMN()/2+1,FALSE)=0,"",VLOOKUP($A139,数出表_Excel!$A$6:$T$150,COLUMN()/2+1,FALSE))),"")</f>
        <v/>
      </c>
      <c r="O139" s="76"/>
      <c r="P139" s="148" t="str">
        <f ca="1">IFERROR(VALUE(IF(VLOOKUP($A139,数出表_Excel!$A$6:$T$150,COLUMN()/2+1,FALSE)=0,"",VLOOKUP($A139,数出表_Excel!$A$6:$T$150,COLUMN()/2+1,FALSE))),"")</f>
        <v/>
      </c>
      <c r="Q139" s="76"/>
      <c r="R139" s="148" t="str">
        <f ca="1">IFERROR(VALUE(IF(VLOOKUP($A139,数出表_Excel!$A$6:$T$150,COLUMN()/2+1,FALSE)=0,"",VLOOKUP($A139,数出表_Excel!$A$6:$T$150,COLUMN()/2+1,FALSE))),"")</f>
        <v/>
      </c>
      <c r="S139" s="76"/>
      <c r="T139" s="148" t="str">
        <f ca="1">IFERROR(VALUE(IF(VLOOKUP($A139,数出表_Excel!$A$6:$T$150,COLUMN()/2+1,FALSE)=0,"",VLOOKUP($A139,数出表_Excel!$A$6:$T$150,COLUMN()/2+1,FALSE))),"")</f>
        <v/>
      </c>
      <c r="U139" s="76"/>
      <c r="V139" s="148" t="str">
        <f ca="1">IFERROR(VALUE(IF(VLOOKUP($A139,数出表_Excel!$A$6:$T$150,COLUMN()/2+1,FALSE)=0,"",VLOOKUP($A139,数出表_Excel!$A$6:$T$150,COLUMN()/2+1,FALSE))),"")</f>
        <v/>
      </c>
      <c r="W139" s="76"/>
      <c r="X139" s="148" t="str">
        <f ca="1">IFERROR(VALUE(IF(VLOOKUP($A139,数出表_Excel!$A$6:$T$150,COLUMN()/2+1,FALSE)=0,"",VLOOKUP($A139,数出表_Excel!$A$6:$T$150,COLUMN()/2+1,FALSE))),"")</f>
        <v/>
      </c>
      <c r="Y139" s="76"/>
      <c r="Z139" s="148" t="str">
        <f ca="1">IFERROR(VALUE(IF(VLOOKUP($A139,数出表_Excel!$A$6:$T$150,COLUMN()/2+1,FALSE)=0,"",VLOOKUP($A139,数出表_Excel!$A$6:$T$150,COLUMN()/2+1,FALSE))),"")</f>
        <v/>
      </c>
      <c r="AA139" s="76"/>
      <c r="AB139" s="148" t="str">
        <f ca="1">IFERROR(VALUE(IF(VLOOKUP($A139,数出表_Excel!$A$6:$T$150,COLUMN()/2+1,FALSE)=0,"",VLOOKUP($A139,数出表_Excel!$A$6:$T$150,COLUMN()/2+1,FALSE))),"")</f>
        <v/>
      </c>
      <c r="AC139" s="76"/>
      <c r="AD139" s="148" t="str">
        <f ca="1">IFERROR(VALUE(IF(VLOOKUP($A139,数出表_Excel!$A$6:$T$150,COLUMN()/2+1,FALSE)=0,"",VLOOKUP($A139,数出表_Excel!$A$6:$T$150,COLUMN()/2+1,FALSE))),"")</f>
        <v/>
      </c>
      <c r="AE139" s="76"/>
      <c r="AF139" s="148" t="str">
        <f ca="1">IFERROR(VALUE(IF(VLOOKUP($A139,数出表_Excel!$A$6:$T$150,COLUMN()/2+1,FALSE)=0,"",VLOOKUP($A139,数出表_Excel!$A$6:$T$150,COLUMN()/2+1,FALSE))),"")</f>
        <v/>
      </c>
      <c r="AG139" s="76"/>
      <c r="AH139" s="148" t="str">
        <f ca="1">IFERROR(VALUE(IF(VLOOKUP($A139,数出表_Excel!$A$6:$T$150,COLUMN()/2+1,FALSE)=0,"",VLOOKUP($A139,数出表_Excel!$A$6:$T$150,COLUMN()/2+1,FALSE))),"")</f>
        <v/>
      </c>
      <c r="AI139" s="76"/>
      <c r="AJ139" s="148" t="str">
        <f ca="1">IFERROR(VALUE(IF(VLOOKUP($A139,数出表_Excel!$A$6:$T$150,COLUMN()/2+1,FALSE)=0,"",VLOOKUP($A139,数出表_Excel!$A$6:$T$150,COLUMN()/2+1,FALSE))),"")</f>
        <v/>
      </c>
      <c r="AK139" s="76"/>
      <c r="AL139" s="63" t="e">
        <f ca="1">IF(A139&lt;&gt;"",
IF(VLOOKUP($A139,数出表_Excel!$A$6:$T$150,COLUMN()/2+1,FALSE)=0,"",VLOOKUP($A139,数出表_Excel!$A$6:$T$150,COLUMN()/2+1,FALSE)),"")</f>
        <v>#N/A</v>
      </c>
      <c r="AM139" s="91" t="e">
        <f>数出表_Excel!V139</f>
        <v>#N/A</v>
      </c>
      <c r="AN139" s="92" t="e">
        <f>数出表_Excel!W139</f>
        <v>#N/A</v>
      </c>
    </row>
    <row r="140" spans="1:40" ht="16.2" customHeight="1">
      <c r="A140" s="81" t="e">
        <f t="array" aca="1" ref="A140" ca="1">IF(OR(COUNTIF(A138,"*10002*"),COUNTIF(A138,"")),"",INDEX(貼り付け用!$A1:$A200,MATCH(A138,貼り付け用!$A1:$A200,0)+2,0))</f>
        <v>#N/A</v>
      </c>
      <c r="B140" s="182" t="str">
        <f ca="1">IFERROR(VALUE(IF(VLOOKUP($A140,数出表_Excel!$A$6:$T$150,COLUMN()/2+1,FALSE)=0,"",VLOOKUP($A140,数出表_Excel!$A$6:$T$150,COLUMN()/2+1,FALSE))),"")</f>
        <v/>
      </c>
      <c r="C140" s="75"/>
      <c r="D140" s="182" t="str">
        <f ca="1">IFERROR(VALUE(IF(VLOOKUP($A140,数出表_Excel!$A$6:$T$150,COLUMN()/2+1,FALSE)=0,"",VLOOKUP($A140,数出表_Excel!$A$6:$T$150,COLUMN()/2+1,FALSE))),"")</f>
        <v/>
      </c>
      <c r="E140" s="75"/>
      <c r="F140" s="182" t="str">
        <f ca="1">IFERROR(VALUE(IF(VLOOKUP($A140,数出表_Excel!$A$6:$T$150,COLUMN()/2+1,FALSE)=0,"",VLOOKUP($A140,数出表_Excel!$A$6:$T$150,COLUMN()/2+1,FALSE))),"")</f>
        <v/>
      </c>
      <c r="G140" s="75"/>
      <c r="H140" s="182" t="str">
        <f ca="1">IFERROR(VALUE(IF(VLOOKUP($A140,数出表_Excel!$A$6:$T$150,COLUMN()/2+1,FALSE)=0,"",VLOOKUP($A140,数出表_Excel!$A$6:$T$150,COLUMN()/2+1,FALSE))),"")</f>
        <v/>
      </c>
      <c r="I140" s="75"/>
      <c r="J140" s="182" t="str">
        <f ca="1">IFERROR(VALUE(IF(VLOOKUP($A140,数出表_Excel!$A$6:$T$150,COLUMN()/2+1,FALSE)=0,"",VLOOKUP($A140,数出表_Excel!$A$6:$T$150,COLUMN()/2+1,FALSE))),"")</f>
        <v/>
      </c>
      <c r="K140" s="75"/>
      <c r="L140" s="182" t="str">
        <f ca="1">IFERROR(VALUE(IF(VLOOKUP($A140,数出表_Excel!$A$6:$T$150,COLUMN()/2+1,FALSE)=0,"",VLOOKUP($A140,数出表_Excel!$A$6:$T$150,COLUMN()/2+1,FALSE))),"")</f>
        <v/>
      </c>
      <c r="M140" s="75"/>
      <c r="N140" s="182" t="str">
        <f ca="1">IFERROR(VALUE(IF(VLOOKUP($A140,数出表_Excel!$A$6:$T$150,COLUMN()/2+1,FALSE)=0,"",VLOOKUP($A140,数出表_Excel!$A$6:$T$150,COLUMN()/2+1,FALSE))),"")</f>
        <v/>
      </c>
      <c r="O140" s="75"/>
      <c r="P140" s="182" t="str">
        <f ca="1">IFERROR(VALUE(IF(VLOOKUP($A140,数出表_Excel!$A$6:$T$150,COLUMN()/2+1,FALSE)=0,"",VLOOKUP($A140,数出表_Excel!$A$6:$T$150,COLUMN()/2+1,FALSE))),"")</f>
        <v/>
      </c>
      <c r="Q140" s="75"/>
      <c r="R140" s="182" t="str">
        <f ca="1">IFERROR(VALUE(IF(VLOOKUP($A140,数出表_Excel!$A$6:$T$150,COLUMN()/2+1,FALSE)=0,"",VLOOKUP($A140,数出表_Excel!$A$6:$T$150,COLUMN()/2+1,FALSE))),"")</f>
        <v/>
      </c>
      <c r="S140" s="75"/>
      <c r="T140" s="182" t="str">
        <f ca="1">IFERROR(VALUE(IF(VLOOKUP($A140,数出表_Excel!$A$6:$T$150,COLUMN()/2+1,FALSE)=0,"",VLOOKUP($A140,数出表_Excel!$A$6:$T$150,COLUMN()/2+1,FALSE))),"")</f>
        <v/>
      </c>
      <c r="U140" s="75"/>
      <c r="V140" s="182" t="str">
        <f ca="1">IFERROR(VALUE(IF(VLOOKUP($A140,数出表_Excel!$A$6:$T$150,COLUMN()/2+1,FALSE)=0,"",VLOOKUP($A140,数出表_Excel!$A$6:$T$150,COLUMN()/2+1,FALSE))),"")</f>
        <v/>
      </c>
      <c r="W140" s="75"/>
      <c r="X140" s="182" t="str">
        <f ca="1">IFERROR(VALUE(IF(VLOOKUP($A140,数出表_Excel!$A$6:$T$150,COLUMN()/2+1,FALSE)=0,"",VLOOKUP($A140,数出表_Excel!$A$6:$T$150,COLUMN()/2+1,FALSE))),"")</f>
        <v/>
      </c>
      <c r="Y140" s="75"/>
      <c r="Z140" s="182" t="str">
        <f ca="1">IFERROR(VALUE(IF(VLOOKUP($A140,数出表_Excel!$A$6:$T$150,COLUMN()/2+1,FALSE)=0,"",VLOOKUP($A140,数出表_Excel!$A$6:$T$150,COLUMN()/2+1,FALSE))),"")</f>
        <v/>
      </c>
      <c r="AA140" s="75"/>
      <c r="AB140" s="182" t="str">
        <f ca="1">IFERROR(VALUE(IF(VLOOKUP($A140,数出表_Excel!$A$6:$T$150,COLUMN()/2+1,FALSE)=0,"",VLOOKUP($A140,数出表_Excel!$A$6:$T$150,COLUMN()/2+1,FALSE))),"")</f>
        <v/>
      </c>
      <c r="AC140" s="75"/>
      <c r="AD140" s="182" t="str">
        <f ca="1">IFERROR(VALUE(IF(VLOOKUP($A140,数出表_Excel!$A$6:$T$150,COLUMN()/2+1,FALSE)=0,"",VLOOKUP($A140,数出表_Excel!$A$6:$T$150,COLUMN()/2+1,FALSE))),"")</f>
        <v/>
      </c>
      <c r="AE140" s="75"/>
      <c r="AF140" s="182" t="str">
        <f ca="1">IFERROR(VALUE(IF(VLOOKUP($A140,数出表_Excel!$A$6:$T$150,COLUMN()/2+1,FALSE)=0,"",VLOOKUP($A140,数出表_Excel!$A$6:$T$150,COLUMN()/2+1,FALSE))),"")</f>
        <v/>
      </c>
      <c r="AG140" s="75"/>
      <c r="AH140" s="182" t="str">
        <f ca="1">IFERROR(VALUE(IF(VLOOKUP($A140,数出表_Excel!$A$6:$T$150,COLUMN()/2+1,FALSE)=0,"",VLOOKUP($A140,数出表_Excel!$A$6:$T$150,COLUMN()/2+1,FALSE))),"")</f>
        <v/>
      </c>
      <c r="AI140" s="75"/>
      <c r="AJ140" s="182" t="str">
        <f ca="1">IFERROR(VALUE(IF(VLOOKUP($A140,数出表_Excel!$A$6:$T$150,COLUMN()/2+1,FALSE)=0,"",VLOOKUP($A140,数出表_Excel!$A$6:$T$150,COLUMN()/2+1,FALSE))),"")</f>
        <v/>
      </c>
      <c r="AK140" s="75"/>
      <c r="AL140" s="61" t="e">
        <f ca="1">IF(A140&lt;&gt;"",
IF(VLOOKUP($A140,数出表_Excel!$A$6:$T$150,COLUMN()/2+1,FALSE)=0,"",VLOOKUP($A140,数出表_Excel!$A$6:$T$150,COLUMN()/2+1,FALSE)),"")</f>
        <v>#N/A</v>
      </c>
      <c r="AM140" s="89" t="e">
        <f>数出表_Excel!V140</f>
        <v>#N/A</v>
      </c>
      <c r="AN140" s="90" t="e">
        <f>数出表_Excel!W140</f>
        <v>#N/A</v>
      </c>
    </row>
    <row r="141" spans="1:40" ht="16.2" customHeight="1">
      <c r="A141" s="82" t="e">
        <f t="array" aca="1" ref="A141" ca="1">IF(OR(COUNTIF(A139,"*1000*"),COUNTIF(A139,"")),"",INDEX(貼り付け用!$A1:$A200,MATCH(A139,貼り付け用!$A1:$A200,0)+2,0))</f>
        <v>#N/A</v>
      </c>
      <c r="B141" s="148" t="str">
        <f ca="1">IFERROR(VALUE(IF(VLOOKUP($A141,数出表_Excel!$A$6:$T$150,COLUMN()/2+1,FALSE)=0,"",VLOOKUP($A141,数出表_Excel!$A$6:$T$150,COLUMN()/2+1,FALSE))),"")</f>
        <v/>
      </c>
      <c r="C141" s="76"/>
      <c r="D141" s="148" t="str">
        <f ca="1">IFERROR(VALUE(IF(VLOOKUP($A141,数出表_Excel!$A$6:$T$150,COLUMN()/2+1,FALSE)=0,"",VLOOKUP($A141,数出表_Excel!$A$6:$T$150,COLUMN()/2+1,FALSE))),"")</f>
        <v/>
      </c>
      <c r="E141" s="76"/>
      <c r="F141" s="148" t="str">
        <f ca="1">IFERROR(VALUE(IF(VLOOKUP($A141,数出表_Excel!$A$6:$T$150,COLUMN()/2+1,FALSE)=0,"",VLOOKUP($A141,数出表_Excel!$A$6:$T$150,COLUMN()/2+1,FALSE))),"")</f>
        <v/>
      </c>
      <c r="G141" s="76"/>
      <c r="H141" s="148" t="str">
        <f ca="1">IFERROR(VALUE(IF(VLOOKUP($A141,数出表_Excel!$A$6:$T$150,COLUMN()/2+1,FALSE)=0,"",VLOOKUP($A141,数出表_Excel!$A$6:$T$150,COLUMN()/2+1,FALSE))),"")</f>
        <v/>
      </c>
      <c r="I141" s="76"/>
      <c r="J141" s="148" t="str">
        <f ca="1">IFERROR(VALUE(IF(VLOOKUP($A141,数出表_Excel!$A$6:$T$150,COLUMN()/2+1,FALSE)=0,"",VLOOKUP($A141,数出表_Excel!$A$6:$T$150,COLUMN()/2+1,FALSE))),"")</f>
        <v/>
      </c>
      <c r="K141" s="76"/>
      <c r="L141" s="148" t="str">
        <f ca="1">IFERROR(VALUE(IF(VLOOKUP($A141,数出表_Excel!$A$6:$T$150,COLUMN()/2+1,FALSE)=0,"",VLOOKUP($A141,数出表_Excel!$A$6:$T$150,COLUMN()/2+1,FALSE))),"")</f>
        <v/>
      </c>
      <c r="M141" s="76"/>
      <c r="N141" s="148" t="str">
        <f ca="1">IFERROR(VALUE(IF(VLOOKUP($A141,数出表_Excel!$A$6:$T$150,COLUMN()/2+1,FALSE)=0,"",VLOOKUP($A141,数出表_Excel!$A$6:$T$150,COLUMN()/2+1,FALSE))),"")</f>
        <v/>
      </c>
      <c r="O141" s="76"/>
      <c r="P141" s="148" t="str">
        <f ca="1">IFERROR(VALUE(IF(VLOOKUP($A141,数出表_Excel!$A$6:$T$150,COLUMN()/2+1,FALSE)=0,"",VLOOKUP($A141,数出表_Excel!$A$6:$T$150,COLUMN()/2+1,FALSE))),"")</f>
        <v/>
      </c>
      <c r="Q141" s="76"/>
      <c r="R141" s="148" t="str">
        <f ca="1">IFERROR(VALUE(IF(VLOOKUP($A141,数出表_Excel!$A$6:$T$150,COLUMN()/2+1,FALSE)=0,"",VLOOKUP($A141,数出表_Excel!$A$6:$T$150,COLUMN()/2+1,FALSE))),"")</f>
        <v/>
      </c>
      <c r="S141" s="76"/>
      <c r="T141" s="148" t="str">
        <f ca="1">IFERROR(VALUE(IF(VLOOKUP($A141,数出表_Excel!$A$6:$T$150,COLUMN()/2+1,FALSE)=0,"",VLOOKUP($A141,数出表_Excel!$A$6:$T$150,COLUMN()/2+1,FALSE))),"")</f>
        <v/>
      </c>
      <c r="U141" s="76"/>
      <c r="V141" s="148" t="str">
        <f ca="1">IFERROR(VALUE(IF(VLOOKUP($A141,数出表_Excel!$A$6:$T$150,COLUMN()/2+1,FALSE)=0,"",VLOOKUP($A141,数出表_Excel!$A$6:$T$150,COLUMN()/2+1,FALSE))),"")</f>
        <v/>
      </c>
      <c r="W141" s="76"/>
      <c r="X141" s="148" t="str">
        <f ca="1">IFERROR(VALUE(IF(VLOOKUP($A141,数出表_Excel!$A$6:$T$150,COLUMN()/2+1,FALSE)=0,"",VLOOKUP($A141,数出表_Excel!$A$6:$T$150,COLUMN()/2+1,FALSE))),"")</f>
        <v/>
      </c>
      <c r="Y141" s="76"/>
      <c r="Z141" s="148" t="str">
        <f ca="1">IFERROR(VALUE(IF(VLOOKUP($A141,数出表_Excel!$A$6:$T$150,COLUMN()/2+1,FALSE)=0,"",VLOOKUP($A141,数出表_Excel!$A$6:$T$150,COLUMN()/2+1,FALSE))),"")</f>
        <v/>
      </c>
      <c r="AA141" s="76"/>
      <c r="AB141" s="148" t="str">
        <f ca="1">IFERROR(VALUE(IF(VLOOKUP($A141,数出表_Excel!$A$6:$T$150,COLUMN()/2+1,FALSE)=0,"",VLOOKUP($A141,数出表_Excel!$A$6:$T$150,COLUMN()/2+1,FALSE))),"")</f>
        <v/>
      </c>
      <c r="AC141" s="76"/>
      <c r="AD141" s="148" t="str">
        <f ca="1">IFERROR(VALUE(IF(VLOOKUP($A141,数出表_Excel!$A$6:$T$150,COLUMN()/2+1,FALSE)=0,"",VLOOKUP($A141,数出表_Excel!$A$6:$T$150,COLUMN()/2+1,FALSE))),"")</f>
        <v/>
      </c>
      <c r="AE141" s="76"/>
      <c r="AF141" s="148" t="str">
        <f ca="1">IFERROR(VALUE(IF(VLOOKUP($A141,数出表_Excel!$A$6:$T$150,COLUMN()/2+1,FALSE)=0,"",VLOOKUP($A141,数出表_Excel!$A$6:$T$150,COLUMN()/2+1,FALSE))),"")</f>
        <v/>
      </c>
      <c r="AG141" s="76"/>
      <c r="AH141" s="148" t="str">
        <f ca="1">IFERROR(VALUE(IF(VLOOKUP($A141,数出表_Excel!$A$6:$T$150,COLUMN()/2+1,FALSE)=0,"",VLOOKUP($A141,数出表_Excel!$A$6:$T$150,COLUMN()/2+1,FALSE))),"")</f>
        <v/>
      </c>
      <c r="AI141" s="76"/>
      <c r="AJ141" s="148" t="str">
        <f ca="1">IFERROR(VALUE(IF(VLOOKUP($A141,数出表_Excel!$A$6:$T$150,COLUMN()/2+1,FALSE)=0,"",VLOOKUP($A141,数出表_Excel!$A$6:$T$150,COLUMN()/2+1,FALSE))),"")</f>
        <v/>
      </c>
      <c r="AK141" s="76"/>
      <c r="AL141" s="63" t="e">
        <f ca="1">IF(A141&lt;&gt;"",
IF(VLOOKUP($A141,数出表_Excel!$A$6:$T$150,COLUMN()/2+1,FALSE)=0,"",VLOOKUP($A141,数出表_Excel!$A$6:$T$150,COLUMN()/2+1,FALSE)),"")</f>
        <v>#N/A</v>
      </c>
      <c r="AM141" s="91" t="e">
        <f>数出表_Excel!V141</f>
        <v>#N/A</v>
      </c>
      <c r="AN141" s="92" t="e">
        <f>数出表_Excel!W141</f>
        <v>#N/A</v>
      </c>
    </row>
    <row r="142" spans="1:40" ht="16.2" customHeight="1">
      <c r="A142" s="81" t="e">
        <f t="array" aca="1" ref="A142" ca="1">IF(OR(COUNTIF(A140,"*10002*"),COUNTIF(A140,"")),"",INDEX(貼り付け用!$A1:$A200,MATCH(A140,貼り付け用!$A1:$A200,0)+2,0))</f>
        <v>#N/A</v>
      </c>
      <c r="B142" s="182" t="str">
        <f ca="1">IFERROR(VALUE(IF(VLOOKUP($A142,数出表_Excel!$A$6:$T$150,COLUMN()/2+1,FALSE)=0,"",VLOOKUP($A142,数出表_Excel!$A$6:$T$150,COLUMN()/2+1,FALSE))),"")</f>
        <v/>
      </c>
      <c r="C142" s="75"/>
      <c r="D142" s="182" t="str">
        <f ca="1">IFERROR(VALUE(IF(VLOOKUP($A142,数出表_Excel!$A$6:$T$150,COLUMN()/2+1,FALSE)=0,"",VLOOKUP($A142,数出表_Excel!$A$6:$T$150,COLUMN()/2+1,FALSE))),"")</f>
        <v/>
      </c>
      <c r="E142" s="75"/>
      <c r="F142" s="182" t="str">
        <f ca="1">IFERROR(VALUE(IF(VLOOKUP($A142,数出表_Excel!$A$6:$T$150,COLUMN()/2+1,FALSE)=0,"",VLOOKUP($A142,数出表_Excel!$A$6:$T$150,COLUMN()/2+1,FALSE))),"")</f>
        <v/>
      </c>
      <c r="G142" s="75"/>
      <c r="H142" s="182" t="str">
        <f ca="1">IFERROR(VALUE(IF(VLOOKUP($A142,数出表_Excel!$A$6:$T$150,COLUMN()/2+1,FALSE)=0,"",VLOOKUP($A142,数出表_Excel!$A$6:$T$150,COLUMN()/2+1,FALSE))),"")</f>
        <v/>
      </c>
      <c r="I142" s="75"/>
      <c r="J142" s="182" t="str">
        <f ca="1">IFERROR(VALUE(IF(VLOOKUP($A142,数出表_Excel!$A$6:$T$150,COLUMN()/2+1,FALSE)=0,"",VLOOKUP($A142,数出表_Excel!$A$6:$T$150,COLUMN()/2+1,FALSE))),"")</f>
        <v/>
      </c>
      <c r="K142" s="75"/>
      <c r="L142" s="182" t="str">
        <f ca="1">IFERROR(VALUE(IF(VLOOKUP($A142,数出表_Excel!$A$6:$T$150,COLUMN()/2+1,FALSE)=0,"",VLOOKUP($A142,数出表_Excel!$A$6:$T$150,COLUMN()/2+1,FALSE))),"")</f>
        <v/>
      </c>
      <c r="M142" s="75"/>
      <c r="N142" s="182" t="str">
        <f ca="1">IFERROR(VALUE(IF(VLOOKUP($A142,数出表_Excel!$A$6:$T$150,COLUMN()/2+1,FALSE)=0,"",VLOOKUP($A142,数出表_Excel!$A$6:$T$150,COLUMN()/2+1,FALSE))),"")</f>
        <v/>
      </c>
      <c r="O142" s="75"/>
      <c r="P142" s="182" t="str">
        <f ca="1">IFERROR(VALUE(IF(VLOOKUP($A142,数出表_Excel!$A$6:$T$150,COLUMN()/2+1,FALSE)=0,"",VLOOKUP($A142,数出表_Excel!$A$6:$T$150,COLUMN()/2+1,FALSE))),"")</f>
        <v/>
      </c>
      <c r="Q142" s="75"/>
      <c r="R142" s="182" t="str">
        <f ca="1">IFERROR(VALUE(IF(VLOOKUP($A142,数出表_Excel!$A$6:$T$150,COLUMN()/2+1,FALSE)=0,"",VLOOKUP($A142,数出表_Excel!$A$6:$T$150,COLUMN()/2+1,FALSE))),"")</f>
        <v/>
      </c>
      <c r="S142" s="75"/>
      <c r="T142" s="182" t="str">
        <f ca="1">IFERROR(VALUE(IF(VLOOKUP($A142,数出表_Excel!$A$6:$T$150,COLUMN()/2+1,FALSE)=0,"",VLOOKUP($A142,数出表_Excel!$A$6:$T$150,COLUMN()/2+1,FALSE))),"")</f>
        <v/>
      </c>
      <c r="U142" s="75"/>
      <c r="V142" s="182" t="str">
        <f ca="1">IFERROR(VALUE(IF(VLOOKUP($A142,数出表_Excel!$A$6:$T$150,COLUMN()/2+1,FALSE)=0,"",VLOOKUP($A142,数出表_Excel!$A$6:$T$150,COLUMN()/2+1,FALSE))),"")</f>
        <v/>
      </c>
      <c r="W142" s="75"/>
      <c r="X142" s="182" t="str">
        <f ca="1">IFERROR(VALUE(IF(VLOOKUP($A142,数出表_Excel!$A$6:$T$150,COLUMN()/2+1,FALSE)=0,"",VLOOKUP($A142,数出表_Excel!$A$6:$T$150,COLUMN()/2+1,FALSE))),"")</f>
        <v/>
      </c>
      <c r="Y142" s="75"/>
      <c r="Z142" s="182" t="str">
        <f ca="1">IFERROR(VALUE(IF(VLOOKUP($A142,数出表_Excel!$A$6:$T$150,COLUMN()/2+1,FALSE)=0,"",VLOOKUP($A142,数出表_Excel!$A$6:$T$150,COLUMN()/2+1,FALSE))),"")</f>
        <v/>
      </c>
      <c r="AA142" s="75"/>
      <c r="AB142" s="182" t="str">
        <f ca="1">IFERROR(VALUE(IF(VLOOKUP($A142,数出表_Excel!$A$6:$T$150,COLUMN()/2+1,FALSE)=0,"",VLOOKUP($A142,数出表_Excel!$A$6:$T$150,COLUMN()/2+1,FALSE))),"")</f>
        <v/>
      </c>
      <c r="AC142" s="75"/>
      <c r="AD142" s="182" t="str">
        <f ca="1">IFERROR(VALUE(IF(VLOOKUP($A142,数出表_Excel!$A$6:$T$150,COLUMN()/2+1,FALSE)=0,"",VLOOKUP($A142,数出表_Excel!$A$6:$T$150,COLUMN()/2+1,FALSE))),"")</f>
        <v/>
      </c>
      <c r="AE142" s="75"/>
      <c r="AF142" s="182" t="str">
        <f ca="1">IFERROR(VALUE(IF(VLOOKUP($A142,数出表_Excel!$A$6:$T$150,COLUMN()/2+1,FALSE)=0,"",VLOOKUP($A142,数出表_Excel!$A$6:$T$150,COLUMN()/2+1,FALSE))),"")</f>
        <v/>
      </c>
      <c r="AG142" s="75"/>
      <c r="AH142" s="182" t="str">
        <f ca="1">IFERROR(VALUE(IF(VLOOKUP($A142,数出表_Excel!$A$6:$T$150,COLUMN()/2+1,FALSE)=0,"",VLOOKUP($A142,数出表_Excel!$A$6:$T$150,COLUMN()/2+1,FALSE))),"")</f>
        <v/>
      </c>
      <c r="AI142" s="75"/>
      <c r="AJ142" s="182" t="str">
        <f ca="1">IFERROR(VALUE(IF(VLOOKUP($A142,数出表_Excel!$A$6:$T$150,COLUMN()/2+1,FALSE)=0,"",VLOOKUP($A142,数出表_Excel!$A$6:$T$150,COLUMN()/2+1,FALSE))),"")</f>
        <v/>
      </c>
      <c r="AK142" s="75"/>
      <c r="AL142" s="61" t="e">
        <f ca="1">IF(A142&lt;&gt;"",
IF(VLOOKUP($A142,数出表_Excel!$A$6:$T$150,COLUMN()/2+1,FALSE)=0,"",VLOOKUP($A142,数出表_Excel!$A$6:$T$150,COLUMN()/2+1,FALSE)),"")</f>
        <v>#N/A</v>
      </c>
      <c r="AM142" s="89" t="e">
        <f>数出表_Excel!V142</f>
        <v>#N/A</v>
      </c>
      <c r="AN142" s="90" t="e">
        <f>数出表_Excel!W142</f>
        <v>#N/A</v>
      </c>
    </row>
    <row r="143" spans="1:40" ht="16.2" customHeight="1">
      <c r="A143" s="82" t="e">
        <f t="array" aca="1" ref="A143" ca="1">IF(OR(COUNTIF(A141,"*1000*"),COUNTIF(A141,"")),"",INDEX(貼り付け用!$A1:$A200,MATCH(A141,貼り付け用!$A1:$A200,0)+2,0))</f>
        <v>#N/A</v>
      </c>
      <c r="B143" s="148" t="str">
        <f ca="1">IFERROR(VALUE(IF(VLOOKUP($A143,数出表_Excel!$A$6:$T$150,COLUMN()/2+1,FALSE)=0,"",VLOOKUP($A143,数出表_Excel!$A$6:$T$150,COLUMN()/2+1,FALSE))),"")</f>
        <v/>
      </c>
      <c r="C143" s="76"/>
      <c r="D143" s="148" t="str">
        <f ca="1">IFERROR(VALUE(IF(VLOOKUP($A143,数出表_Excel!$A$6:$T$150,COLUMN()/2+1,FALSE)=0,"",VLOOKUP($A143,数出表_Excel!$A$6:$T$150,COLUMN()/2+1,FALSE))),"")</f>
        <v/>
      </c>
      <c r="E143" s="76"/>
      <c r="F143" s="148" t="str">
        <f ca="1">IFERROR(VALUE(IF(VLOOKUP($A143,数出表_Excel!$A$6:$T$150,COLUMN()/2+1,FALSE)=0,"",VLOOKUP($A143,数出表_Excel!$A$6:$T$150,COLUMN()/2+1,FALSE))),"")</f>
        <v/>
      </c>
      <c r="G143" s="76"/>
      <c r="H143" s="148" t="str">
        <f ca="1">IFERROR(VALUE(IF(VLOOKUP($A143,数出表_Excel!$A$6:$T$150,COLUMN()/2+1,FALSE)=0,"",VLOOKUP($A143,数出表_Excel!$A$6:$T$150,COLUMN()/2+1,FALSE))),"")</f>
        <v/>
      </c>
      <c r="I143" s="76"/>
      <c r="J143" s="148" t="str">
        <f ca="1">IFERROR(VALUE(IF(VLOOKUP($A143,数出表_Excel!$A$6:$T$150,COLUMN()/2+1,FALSE)=0,"",VLOOKUP($A143,数出表_Excel!$A$6:$T$150,COLUMN()/2+1,FALSE))),"")</f>
        <v/>
      </c>
      <c r="K143" s="76"/>
      <c r="L143" s="148" t="str">
        <f ca="1">IFERROR(VALUE(IF(VLOOKUP($A143,数出表_Excel!$A$6:$T$150,COLUMN()/2+1,FALSE)=0,"",VLOOKUP($A143,数出表_Excel!$A$6:$T$150,COLUMN()/2+1,FALSE))),"")</f>
        <v/>
      </c>
      <c r="M143" s="76"/>
      <c r="N143" s="148" t="str">
        <f ca="1">IFERROR(VALUE(IF(VLOOKUP($A143,数出表_Excel!$A$6:$T$150,COLUMN()/2+1,FALSE)=0,"",VLOOKUP($A143,数出表_Excel!$A$6:$T$150,COLUMN()/2+1,FALSE))),"")</f>
        <v/>
      </c>
      <c r="O143" s="76"/>
      <c r="P143" s="148" t="str">
        <f ca="1">IFERROR(VALUE(IF(VLOOKUP($A143,数出表_Excel!$A$6:$T$150,COLUMN()/2+1,FALSE)=0,"",VLOOKUP($A143,数出表_Excel!$A$6:$T$150,COLUMN()/2+1,FALSE))),"")</f>
        <v/>
      </c>
      <c r="Q143" s="76"/>
      <c r="R143" s="148" t="str">
        <f ca="1">IFERROR(VALUE(IF(VLOOKUP($A143,数出表_Excel!$A$6:$T$150,COLUMN()/2+1,FALSE)=0,"",VLOOKUP($A143,数出表_Excel!$A$6:$T$150,COLUMN()/2+1,FALSE))),"")</f>
        <v/>
      </c>
      <c r="S143" s="76"/>
      <c r="T143" s="148" t="str">
        <f ca="1">IFERROR(VALUE(IF(VLOOKUP($A143,数出表_Excel!$A$6:$T$150,COLUMN()/2+1,FALSE)=0,"",VLOOKUP($A143,数出表_Excel!$A$6:$T$150,COLUMN()/2+1,FALSE))),"")</f>
        <v/>
      </c>
      <c r="U143" s="76"/>
      <c r="V143" s="148" t="str">
        <f ca="1">IFERROR(VALUE(IF(VLOOKUP($A143,数出表_Excel!$A$6:$T$150,COLUMN()/2+1,FALSE)=0,"",VLOOKUP($A143,数出表_Excel!$A$6:$T$150,COLUMN()/2+1,FALSE))),"")</f>
        <v/>
      </c>
      <c r="W143" s="76"/>
      <c r="X143" s="148" t="str">
        <f ca="1">IFERROR(VALUE(IF(VLOOKUP($A143,数出表_Excel!$A$6:$T$150,COLUMN()/2+1,FALSE)=0,"",VLOOKUP($A143,数出表_Excel!$A$6:$T$150,COLUMN()/2+1,FALSE))),"")</f>
        <v/>
      </c>
      <c r="Y143" s="76"/>
      <c r="Z143" s="148" t="str">
        <f ca="1">IFERROR(VALUE(IF(VLOOKUP($A143,数出表_Excel!$A$6:$T$150,COLUMN()/2+1,FALSE)=0,"",VLOOKUP($A143,数出表_Excel!$A$6:$T$150,COLUMN()/2+1,FALSE))),"")</f>
        <v/>
      </c>
      <c r="AA143" s="76"/>
      <c r="AB143" s="148" t="str">
        <f ca="1">IFERROR(VALUE(IF(VLOOKUP($A143,数出表_Excel!$A$6:$T$150,COLUMN()/2+1,FALSE)=0,"",VLOOKUP($A143,数出表_Excel!$A$6:$T$150,COLUMN()/2+1,FALSE))),"")</f>
        <v/>
      </c>
      <c r="AC143" s="76"/>
      <c r="AD143" s="148" t="str">
        <f ca="1">IFERROR(VALUE(IF(VLOOKUP($A143,数出表_Excel!$A$6:$T$150,COLUMN()/2+1,FALSE)=0,"",VLOOKUP($A143,数出表_Excel!$A$6:$T$150,COLUMN()/2+1,FALSE))),"")</f>
        <v/>
      </c>
      <c r="AE143" s="76"/>
      <c r="AF143" s="148" t="str">
        <f ca="1">IFERROR(VALUE(IF(VLOOKUP($A143,数出表_Excel!$A$6:$T$150,COLUMN()/2+1,FALSE)=0,"",VLOOKUP($A143,数出表_Excel!$A$6:$T$150,COLUMN()/2+1,FALSE))),"")</f>
        <v/>
      </c>
      <c r="AG143" s="76"/>
      <c r="AH143" s="148" t="str">
        <f ca="1">IFERROR(VALUE(IF(VLOOKUP($A143,数出表_Excel!$A$6:$T$150,COLUMN()/2+1,FALSE)=0,"",VLOOKUP($A143,数出表_Excel!$A$6:$T$150,COLUMN()/2+1,FALSE))),"")</f>
        <v/>
      </c>
      <c r="AI143" s="76"/>
      <c r="AJ143" s="148" t="str">
        <f ca="1">IFERROR(VALUE(IF(VLOOKUP($A143,数出表_Excel!$A$6:$T$150,COLUMN()/2+1,FALSE)=0,"",VLOOKUP($A143,数出表_Excel!$A$6:$T$150,COLUMN()/2+1,FALSE))),"")</f>
        <v/>
      </c>
      <c r="AK143" s="76"/>
      <c r="AL143" s="63" t="e">
        <f ca="1">IF(A143&lt;&gt;"",
IF(VLOOKUP($A143,数出表_Excel!$A$6:$T$150,COLUMN()/2+1,FALSE)=0,"",VLOOKUP($A143,数出表_Excel!$A$6:$T$150,COLUMN()/2+1,FALSE)),"")</f>
        <v>#N/A</v>
      </c>
      <c r="AM143" s="91" t="e">
        <f>数出表_Excel!V143</f>
        <v>#N/A</v>
      </c>
      <c r="AN143" s="92" t="e">
        <f>数出表_Excel!W143</f>
        <v>#N/A</v>
      </c>
    </row>
    <row r="144" spans="1:40" ht="16.2" customHeight="1">
      <c r="A144" s="81" t="e">
        <f t="array" aca="1" ref="A144" ca="1">IF(OR(COUNTIF(A142,"*10002*"),COUNTIF(A142,"")),"",INDEX(貼り付け用!$A1:$A200,MATCH(A142,貼り付け用!$A1:$A200,0)+2,0))</f>
        <v>#N/A</v>
      </c>
      <c r="B144" s="182" t="str">
        <f ca="1">IFERROR(VALUE(IF(VLOOKUP($A144,数出表_Excel!$A$6:$T$150,COLUMN()/2+1,FALSE)=0,"",VLOOKUP($A144,数出表_Excel!$A$6:$T$150,COLUMN()/2+1,FALSE))),"")</f>
        <v/>
      </c>
      <c r="C144" s="75"/>
      <c r="D144" s="182" t="str">
        <f ca="1">IFERROR(VALUE(IF(VLOOKUP($A144,数出表_Excel!$A$6:$T$150,COLUMN()/2+1,FALSE)=0,"",VLOOKUP($A144,数出表_Excel!$A$6:$T$150,COLUMN()/2+1,FALSE))),"")</f>
        <v/>
      </c>
      <c r="E144" s="75"/>
      <c r="F144" s="182" t="str">
        <f ca="1">IFERROR(VALUE(IF(VLOOKUP($A144,数出表_Excel!$A$6:$T$150,COLUMN()/2+1,FALSE)=0,"",VLOOKUP($A144,数出表_Excel!$A$6:$T$150,COLUMN()/2+1,FALSE))),"")</f>
        <v/>
      </c>
      <c r="G144" s="75"/>
      <c r="H144" s="182" t="str">
        <f ca="1">IFERROR(VALUE(IF(VLOOKUP($A144,数出表_Excel!$A$6:$T$150,COLUMN()/2+1,FALSE)=0,"",VLOOKUP($A144,数出表_Excel!$A$6:$T$150,COLUMN()/2+1,FALSE))),"")</f>
        <v/>
      </c>
      <c r="I144" s="75"/>
      <c r="J144" s="182" t="str">
        <f ca="1">IFERROR(VALUE(IF(VLOOKUP($A144,数出表_Excel!$A$6:$T$150,COLUMN()/2+1,FALSE)=0,"",VLOOKUP($A144,数出表_Excel!$A$6:$T$150,COLUMN()/2+1,FALSE))),"")</f>
        <v/>
      </c>
      <c r="K144" s="75"/>
      <c r="L144" s="182" t="str">
        <f ca="1">IFERROR(VALUE(IF(VLOOKUP($A144,数出表_Excel!$A$6:$T$150,COLUMN()/2+1,FALSE)=0,"",VLOOKUP($A144,数出表_Excel!$A$6:$T$150,COLUMN()/2+1,FALSE))),"")</f>
        <v/>
      </c>
      <c r="M144" s="75"/>
      <c r="N144" s="182" t="str">
        <f ca="1">IFERROR(VALUE(IF(VLOOKUP($A144,数出表_Excel!$A$6:$T$150,COLUMN()/2+1,FALSE)=0,"",VLOOKUP($A144,数出表_Excel!$A$6:$T$150,COLUMN()/2+1,FALSE))),"")</f>
        <v/>
      </c>
      <c r="O144" s="75"/>
      <c r="P144" s="182" t="str">
        <f ca="1">IFERROR(VALUE(IF(VLOOKUP($A144,数出表_Excel!$A$6:$T$150,COLUMN()/2+1,FALSE)=0,"",VLOOKUP($A144,数出表_Excel!$A$6:$T$150,COLUMN()/2+1,FALSE))),"")</f>
        <v/>
      </c>
      <c r="Q144" s="75"/>
      <c r="R144" s="182" t="str">
        <f ca="1">IFERROR(VALUE(IF(VLOOKUP($A144,数出表_Excel!$A$6:$T$150,COLUMN()/2+1,FALSE)=0,"",VLOOKUP($A144,数出表_Excel!$A$6:$T$150,COLUMN()/2+1,FALSE))),"")</f>
        <v/>
      </c>
      <c r="S144" s="75"/>
      <c r="T144" s="182" t="str">
        <f ca="1">IFERROR(VALUE(IF(VLOOKUP($A144,数出表_Excel!$A$6:$T$150,COLUMN()/2+1,FALSE)=0,"",VLOOKUP($A144,数出表_Excel!$A$6:$T$150,COLUMN()/2+1,FALSE))),"")</f>
        <v/>
      </c>
      <c r="U144" s="75"/>
      <c r="V144" s="182" t="str">
        <f ca="1">IFERROR(VALUE(IF(VLOOKUP($A144,数出表_Excel!$A$6:$T$150,COLUMN()/2+1,FALSE)=0,"",VLOOKUP($A144,数出表_Excel!$A$6:$T$150,COLUMN()/2+1,FALSE))),"")</f>
        <v/>
      </c>
      <c r="W144" s="75"/>
      <c r="X144" s="182" t="str">
        <f ca="1">IFERROR(VALUE(IF(VLOOKUP($A144,数出表_Excel!$A$6:$T$150,COLUMN()/2+1,FALSE)=0,"",VLOOKUP($A144,数出表_Excel!$A$6:$T$150,COLUMN()/2+1,FALSE))),"")</f>
        <v/>
      </c>
      <c r="Y144" s="75"/>
      <c r="Z144" s="182" t="str">
        <f ca="1">IFERROR(VALUE(IF(VLOOKUP($A144,数出表_Excel!$A$6:$T$150,COLUMN()/2+1,FALSE)=0,"",VLOOKUP($A144,数出表_Excel!$A$6:$T$150,COLUMN()/2+1,FALSE))),"")</f>
        <v/>
      </c>
      <c r="AA144" s="75"/>
      <c r="AB144" s="182" t="str">
        <f ca="1">IFERROR(VALUE(IF(VLOOKUP($A144,数出表_Excel!$A$6:$T$150,COLUMN()/2+1,FALSE)=0,"",VLOOKUP($A144,数出表_Excel!$A$6:$T$150,COLUMN()/2+1,FALSE))),"")</f>
        <v/>
      </c>
      <c r="AC144" s="75"/>
      <c r="AD144" s="182" t="str">
        <f ca="1">IFERROR(VALUE(IF(VLOOKUP($A144,数出表_Excel!$A$6:$T$150,COLUMN()/2+1,FALSE)=0,"",VLOOKUP($A144,数出表_Excel!$A$6:$T$150,COLUMN()/2+1,FALSE))),"")</f>
        <v/>
      </c>
      <c r="AE144" s="75"/>
      <c r="AF144" s="182" t="str">
        <f ca="1">IFERROR(VALUE(IF(VLOOKUP($A144,数出表_Excel!$A$6:$T$150,COLUMN()/2+1,FALSE)=0,"",VLOOKUP($A144,数出表_Excel!$A$6:$T$150,COLUMN()/2+1,FALSE))),"")</f>
        <v/>
      </c>
      <c r="AG144" s="75"/>
      <c r="AH144" s="182" t="str">
        <f ca="1">IFERROR(VALUE(IF(VLOOKUP($A144,数出表_Excel!$A$6:$T$150,COLUMN()/2+1,FALSE)=0,"",VLOOKUP($A144,数出表_Excel!$A$6:$T$150,COLUMN()/2+1,FALSE))),"")</f>
        <v/>
      </c>
      <c r="AI144" s="75"/>
      <c r="AJ144" s="182" t="str">
        <f ca="1">IFERROR(VALUE(IF(VLOOKUP($A144,数出表_Excel!$A$6:$T$150,COLUMN()/2+1,FALSE)=0,"",VLOOKUP($A144,数出表_Excel!$A$6:$T$150,COLUMN()/2+1,FALSE))),"")</f>
        <v/>
      </c>
      <c r="AK144" s="75"/>
      <c r="AL144" s="61" t="e">
        <f ca="1">IF(A144&lt;&gt;"",
IF(VLOOKUP($A144,数出表_Excel!$A$6:$T$150,COLUMN()/2+1,FALSE)=0,"",VLOOKUP($A144,数出表_Excel!$A$6:$T$150,COLUMN()/2+1,FALSE)),"")</f>
        <v>#N/A</v>
      </c>
      <c r="AM144" s="89" t="e">
        <f>数出表_Excel!V144</f>
        <v>#N/A</v>
      </c>
      <c r="AN144" s="90" t="e">
        <f>数出表_Excel!W144</f>
        <v>#N/A</v>
      </c>
    </row>
    <row r="145" spans="1:40" ht="16.2" customHeight="1">
      <c r="A145" s="82" t="e">
        <f t="array" aca="1" ref="A145" ca="1">IF(OR(COUNTIF(A143,"*1000*"),COUNTIF(A143,"")),"",INDEX(貼り付け用!$A1:$A200,MATCH(A143,貼り付け用!$A1:$A200,0)+2,0))</f>
        <v>#N/A</v>
      </c>
      <c r="B145" s="148" t="str">
        <f ca="1">IFERROR(VALUE(IF(VLOOKUP($A145,数出表_Excel!$A$6:$T$150,COLUMN()/2+1,FALSE)=0,"",VLOOKUP($A145,数出表_Excel!$A$6:$T$150,COLUMN()/2+1,FALSE))),"")</f>
        <v/>
      </c>
      <c r="C145" s="76"/>
      <c r="D145" s="148" t="str">
        <f ca="1">IFERROR(VALUE(IF(VLOOKUP($A145,数出表_Excel!$A$6:$T$150,COLUMN()/2+1,FALSE)=0,"",VLOOKUP($A145,数出表_Excel!$A$6:$T$150,COLUMN()/2+1,FALSE))),"")</f>
        <v/>
      </c>
      <c r="E145" s="76"/>
      <c r="F145" s="148" t="str">
        <f ca="1">IFERROR(VALUE(IF(VLOOKUP($A145,数出表_Excel!$A$6:$T$150,COLUMN()/2+1,FALSE)=0,"",VLOOKUP($A145,数出表_Excel!$A$6:$T$150,COLUMN()/2+1,FALSE))),"")</f>
        <v/>
      </c>
      <c r="G145" s="76"/>
      <c r="H145" s="148" t="str">
        <f ca="1">IFERROR(VALUE(IF(VLOOKUP($A145,数出表_Excel!$A$6:$T$150,COLUMN()/2+1,FALSE)=0,"",VLOOKUP($A145,数出表_Excel!$A$6:$T$150,COLUMN()/2+1,FALSE))),"")</f>
        <v/>
      </c>
      <c r="I145" s="76"/>
      <c r="J145" s="148" t="str">
        <f ca="1">IFERROR(VALUE(IF(VLOOKUP($A145,数出表_Excel!$A$6:$T$150,COLUMN()/2+1,FALSE)=0,"",VLOOKUP($A145,数出表_Excel!$A$6:$T$150,COLUMN()/2+1,FALSE))),"")</f>
        <v/>
      </c>
      <c r="K145" s="76"/>
      <c r="L145" s="148" t="str">
        <f ca="1">IFERROR(VALUE(IF(VLOOKUP($A145,数出表_Excel!$A$6:$T$150,COLUMN()/2+1,FALSE)=0,"",VLOOKUP($A145,数出表_Excel!$A$6:$T$150,COLUMN()/2+1,FALSE))),"")</f>
        <v/>
      </c>
      <c r="M145" s="76"/>
      <c r="N145" s="148" t="str">
        <f ca="1">IFERROR(VALUE(IF(VLOOKUP($A145,数出表_Excel!$A$6:$T$150,COLUMN()/2+1,FALSE)=0,"",VLOOKUP($A145,数出表_Excel!$A$6:$T$150,COLUMN()/2+1,FALSE))),"")</f>
        <v/>
      </c>
      <c r="O145" s="76"/>
      <c r="P145" s="148" t="str">
        <f ca="1">IFERROR(VALUE(IF(VLOOKUP($A145,数出表_Excel!$A$6:$T$150,COLUMN()/2+1,FALSE)=0,"",VLOOKUP($A145,数出表_Excel!$A$6:$T$150,COLUMN()/2+1,FALSE))),"")</f>
        <v/>
      </c>
      <c r="Q145" s="76"/>
      <c r="R145" s="148" t="str">
        <f ca="1">IFERROR(VALUE(IF(VLOOKUP($A145,数出表_Excel!$A$6:$T$150,COLUMN()/2+1,FALSE)=0,"",VLOOKUP($A145,数出表_Excel!$A$6:$T$150,COLUMN()/2+1,FALSE))),"")</f>
        <v/>
      </c>
      <c r="S145" s="76"/>
      <c r="T145" s="148" t="str">
        <f ca="1">IFERROR(VALUE(IF(VLOOKUP($A145,数出表_Excel!$A$6:$T$150,COLUMN()/2+1,FALSE)=0,"",VLOOKUP($A145,数出表_Excel!$A$6:$T$150,COLUMN()/2+1,FALSE))),"")</f>
        <v/>
      </c>
      <c r="U145" s="76"/>
      <c r="V145" s="148" t="str">
        <f ca="1">IFERROR(VALUE(IF(VLOOKUP($A145,数出表_Excel!$A$6:$T$150,COLUMN()/2+1,FALSE)=0,"",VLOOKUP($A145,数出表_Excel!$A$6:$T$150,COLUMN()/2+1,FALSE))),"")</f>
        <v/>
      </c>
      <c r="W145" s="76"/>
      <c r="X145" s="148" t="str">
        <f ca="1">IFERROR(VALUE(IF(VLOOKUP($A145,数出表_Excel!$A$6:$T$150,COLUMN()/2+1,FALSE)=0,"",VLOOKUP($A145,数出表_Excel!$A$6:$T$150,COLUMN()/2+1,FALSE))),"")</f>
        <v/>
      </c>
      <c r="Y145" s="76"/>
      <c r="Z145" s="148" t="str">
        <f ca="1">IFERROR(VALUE(IF(VLOOKUP($A145,数出表_Excel!$A$6:$T$150,COLUMN()/2+1,FALSE)=0,"",VLOOKUP($A145,数出表_Excel!$A$6:$T$150,COLUMN()/2+1,FALSE))),"")</f>
        <v/>
      </c>
      <c r="AA145" s="76"/>
      <c r="AB145" s="148" t="str">
        <f ca="1">IFERROR(VALUE(IF(VLOOKUP($A145,数出表_Excel!$A$6:$T$150,COLUMN()/2+1,FALSE)=0,"",VLOOKUP($A145,数出表_Excel!$A$6:$T$150,COLUMN()/2+1,FALSE))),"")</f>
        <v/>
      </c>
      <c r="AC145" s="76"/>
      <c r="AD145" s="148" t="str">
        <f ca="1">IFERROR(VALUE(IF(VLOOKUP($A145,数出表_Excel!$A$6:$T$150,COLUMN()/2+1,FALSE)=0,"",VLOOKUP($A145,数出表_Excel!$A$6:$T$150,COLUMN()/2+1,FALSE))),"")</f>
        <v/>
      </c>
      <c r="AE145" s="76"/>
      <c r="AF145" s="148" t="str">
        <f ca="1">IFERROR(VALUE(IF(VLOOKUP($A145,数出表_Excel!$A$6:$T$150,COLUMN()/2+1,FALSE)=0,"",VLOOKUP($A145,数出表_Excel!$A$6:$T$150,COLUMN()/2+1,FALSE))),"")</f>
        <v/>
      </c>
      <c r="AG145" s="76"/>
      <c r="AH145" s="148" t="str">
        <f ca="1">IFERROR(VALUE(IF(VLOOKUP($A145,数出表_Excel!$A$6:$T$150,COLUMN()/2+1,FALSE)=0,"",VLOOKUP($A145,数出表_Excel!$A$6:$T$150,COLUMN()/2+1,FALSE))),"")</f>
        <v/>
      </c>
      <c r="AI145" s="76"/>
      <c r="AJ145" s="148" t="str">
        <f ca="1">IFERROR(VALUE(IF(VLOOKUP($A145,数出表_Excel!$A$6:$T$150,COLUMN()/2+1,FALSE)=0,"",VLOOKUP($A145,数出表_Excel!$A$6:$T$150,COLUMN()/2+1,FALSE))),"")</f>
        <v/>
      </c>
      <c r="AK145" s="76"/>
      <c r="AL145" s="63" t="e">
        <f ca="1">IF(A145&lt;&gt;"",
IF(VLOOKUP($A145,数出表_Excel!$A$6:$T$150,COLUMN()/2+1,FALSE)=0,"",VLOOKUP($A145,数出表_Excel!$A$6:$T$150,COLUMN()/2+1,FALSE)),"")</f>
        <v>#N/A</v>
      </c>
      <c r="AM145" s="91" t="e">
        <f>数出表_Excel!V145</f>
        <v>#N/A</v>
      </c>
      <c r="AN145" s="92" t="e">
        <f>数出表_Excel!W145</f>
        <v>#N/A</v>
      </c>
    </row>
    <row r="146" spans="1:40" ht="16.2" customHeight="1">
      <c r="A146" s="81" t="e">
        <f>数出表_Excel!A146</f>
        <v>#N/A</v>
      </c>
      <c r="B146" s="149" t="str">
        <f t="array" aca="1" ref="B146" ca="1">IF(SUMPRODUCT((IF(B6:B145="",0,B6:B145)) * (MOD(ROW(B6:B145),2)=0) * (ISNUMBER(B6:B145)))=0,"",
SUMPRODUCT((IF(B6:B145="",0,B6:B145)) * (MOD(ROW(B6:B145),2)=0) * (ISNUMBER(B6:B145))))</f>
        <v/>
      </c>
      <c r="C146" s="74"/>
      <c r="D146" s="149" t="str">
        <f t="array" aca="1" ref="D146" ca="1">IF(SUMPRODUCT((IF(D6:D145="",0,D6:D145)) * (MOD(ROW(D6:D145),2)=0) * (ISNUMBER(D6:D145)))=0,"",
SUMPRODUCT((IF(D6:D145="",0,D6:D145)) * (MOD(ROW(D6:D145),2)=0) * (ISNUMBER(D6:D145))))</f>
        <v/>
      </c>
      <c r="E146" s="77"/>
      <c r="F146" s="159" t="str">
        <f t="array" aca="1" ref="F146" ca="1">IF(SUMPRODUCT((IF(F6:F145="",0,F6:F145)) * (MOD(ROW(F6:F145),2)=0) * (ISNUMBER(F6:F145)))=0,"",
SUMPRODUCT((IF(F6:F145="",0,F6:F145)) * (MOD(ROW(F6:F145),2)=0) * (ISNUMBER(F6:F145))))</f>
        <v/>
      </c>
      <c r="G146" s="74"/>
      <c r="H146" s="149" t="str">
        <f t="array" aca="1" ref="H146" ca="1">IF(SUMPRODUCT((IF(H6:H145="",0,H6:H145)) * (MOD(ROW(H6:H145),2)=0) * (ISNUMBER(H6:H145)))=0,"",
SUMPRODUCT((IF(H6:H145="",0,H6:H145)) * (MOD(ROW(H6:H145),2)=0) * (ISNUMBER(H6:H145))))</f>
        <v/>
      </c>
      <c r="I146" s="77"/>
      <c r="J146" s="159" t="str">
        <f t="array" aca="1" ref="J146" ca="1">IF(SUMPRODUCT((IF(J6:J145="",0,J6:J145)) * (MOD(ROW(J6:J145),2)=0) * (ISNUMBER(J6:J145)))=0,"",
SUMPRODUCT((IF(J6:J145="",0,J6:J145)) * (MOD(ROW(J6:J145),2)=0) * (ISNUMBER(J6:J145))))</f>
        <v/>
      </c>
      <c r="K146" s="74"/>
      <c r="L146" s="149" t="str">
        <f t="array" aca="1" ref="L146" ca="1">IF(SUMPRODUCT((IF(L6:L145="",0,L6:L145)) * (MOD(ROW(L6:L145),2)=0) * (ISNUMBER(L6:L145)))=0,"",
SUMPRODUCT((IF(L6:L145="",0,L6:L145)) * (MOD(ROW(L6:L145),2)=0) * (ISNUMBER(L6:L145))))</f>
        <v/>
      </c>
      <c r="M146" s="77"/>
      <c r="N146" s="159" t="str">
        <f t="array" aca="1" ref="N146" ca="1">IF(SUMPRODUCT((IF(N6:N145="",0,N6:N145)) * (MOD(ROW(N6:N145),2)=0) * (ISNUMBER(N6:N145)))=0,"",
SUMPRODUCT((IF(N6:N145="",0,N6:N145)) * (MOD(ROW(N6:N145),2)=0) * (ISNUMBER(N6:N145))))</f>
        <v/>
      </c>
      <c r="O146" s="74"/>
      <c r="P146" s="149" t="str">
        <f t="array" aca="1" ref="P146" ca="1">IF(SUMPRODUCT((IF(P6:P145="",0,P6:P145)) * (MOD(ROW(P6:P145),2)=0) * (ISNUMBER(P6:P145)))=0,"",
SUMPRODUCT((IF(P6:P145="",0,P6:P145)) * (MOD(ROW(P6:P145),2)=0) * (ISNUMBER(P6:P145))))</f>
        <v/>
      </c>
      <c r="Q146" s="77"/>
      <c r="R146" s="159" t="str">
        <f t="array" aca="1" ref="R146" ca="1">IF(SUMPRODUCT((IF(R6:R145="",0,R6:R145)) * (MOD(ROW(R6:R145),2)=0) * (ISNUMBER(R6:R145)))=0,"",
SUMPRODUCT((IF(R6:R145="",0,R6:R145)) * (MOD(ROW(R6:R145),2)=0) * (ISNUMBER(R6:R145))))</f>
        <v/>
      </c>
      <c r="S146" s="74"/>
      <c r="T146" s="149" t="str">
        <f t="array" aca="1" ref="T146" ca="1">IF(SUMPRODUCT((IF(T6:T145="",0,T6:T145)) * (MOD(ROW(T6:T145),2)=0) * (ISNUMBER(T6:T145)))=0,"",
SUMPRODUCT((IF(T6:T145="",0,T6:T145)) * (MOD(ROW(T6:T145),2)=0) * (ISNUMBER(T6:T145))))</f>
        <v/>
      </c>
      <c r="U146" s="77"/>
      <c r="V146" s="159" t="str">
        <f t="array" aca="1" ref="V146" ca="1">IF(SUMPRODUCT((IF(V6:V145="",0,V6:V145)) * (MOD(ROW(V6:V145),2)=0) * (ISNUMBER(V6:V145)))=0,"",
SUMPRODUCT((IF(V6:V145="",0,V6:V145)) * (MOD(ROW(V6:V145),2)=0) * (ISNUMBER(V6:V145))))</f>
        <v/>
      </c>
      <c r="W146" s="74"/>
      <c r="X146" s="149" t="str">
        <f t="array" aca="1" ref="X146" ca="1">IF(SUMPRODUCT((IF(X6:X145="",0,X6:X145)) * (MOD(ROW(X6:X145),2)=0) * (ISNUMBER(X6:X145)))=0,"",
SUMPRODUCT((IF(X6:X145="",0,X6:X145)) * (MOD(ROW(X6:X145),2)=0) * (ISNUMBER(X6:X145))))</f>
        <v/>
      </c>
      <c r="Y146" s="77"/>
      <c r="Z146" s="159" t="str">
        <f t="array" aca="1" ref="Z146" ca="1">IF(SUMPRODUCT((IF(Z6:Z145="",0,Z6:Z145)) * (MOD(ROW(Z6:Z145),2)=0) * (ISNUMBER(Z6:Z145)))=0,"",
SUMPRODUCT((IF(Z6:Z145="",0,Z6:Z145)) * (MOD(ROW(Z6:Z145),2)=0) * (ISNUMBER(Z6:Z145))))</f>
        <v/>
      </c>
      <c r="AA146" s="77"/>
      <c r="AB146" s="149" t="str">
        <f t="array" aca="1" ref="AB146" ca="1">IF(SUMPRODUCT((IF(AB6:AB145="",0,AB6:AB145)) * (MOD(ROW(AB6:AB145),2)=0) * (ISNUMBER(AB6:AB145)))=0,"",
SUMPRODUCT((IF(AB6:AB145="",0,AB6:AB145)) * (MOD(ROW(AB6:AB145),2)=0) * (ISNUMBER(AB6:AB145))))</f>
        <v/>
      </c>
      <c r="AC146" s="77"/>
      <c r="AD146" s="149" t="str">
        <f t="array" aca="1" ref="AD146" ca="1">IF(SUMPRODUCT((IF(AD6:AD145="",0,AD6:AD145)) * (MOD(ROW(AD6:AD145),2)=0) * (ISNUMBER(AD6:AD145)))=0,"",
SUMPRODUCT((IF(AD6:AD145="",0,AD6:AD145)) * (MOD(ROW(AD6:AD145),2)=0) * (ISNUMBER(AD6:AD145))))</f>
        <v/>
      </c>
      <c r="AE146" s="77"/>
      <c r="AF146" s="149" t="str">
        <f t="array" aca="1" ref="AF146" ca="1">IF(SUMPRODUCT((IF(AF6:AF145="",0,AF6:AF145)) * (MOD(ROW(AF6:AF145),2)=0) * (ISNUMBER(AF6:AF145)))=0,"",
SUMPRODUCT((IF(AF6:AF145="",0,AF6:AF145)) * (MOD(ROW(AF6:AF145),2)=0) * (ISNUMBER(AF6:AF145))))</f>
        <v/>
      </c>
      <c r="AG146" s="77"/>
      <c r="AH146" s="149" t="str">
        <f t="array" aca="1" ref="AH146" ca="1">IF(SUMPRODUCT((IF(AH6:AH145="",0,AH6:AH145)) * (MOD(ROW(AH6:AH145),2)=0) * (ISNUMBER(AH6:AH145)))=0,"",
SUMPRODUCT((IF(AH6:AH145="",0,AH6:AH145)) * (MOD(ROW(AH6:AH145),2)=0) * (ISNUMBER(AH6:AH145))))</f>
        <v/>
      </c>
      <c r="AI146" s="77"/>
      <c r="AJ146" s="149" t="str">
        <f t="array" aca="1" ref="AJ146" ca="1">IF(SUMPRODUCT((IF(AJ6:AJ145="",0,AJ6:AJ145)) * (MOD(ROW(AJ6:AJ145),2)=0) * (ISNUMBER(AJ6:AJ145)))=0,"",
SUMPRODUCT((IF(AJ6:AJ145="",0,AJ6:AJ145)) * (MOD(ROW(AJ6:AJ145),2)=0) * (ISNUMBER(AJ6:AJ145))))</f>
        <v/>
      </c>
      <c r="AK146" s="77"/>
      <c r="AL146" s="61" t="e">
        <f>数出表_Excel!T146</f>
        <v>#N/A</v>
      </c>
      <c r="AM146" s="86" t="e">
        <f>数出表_Excel!V146</f>
        <v>#N/A</v>
      </c>
      <c r="AN146" s="87" t="e">
        <f>数出表_Excel!W146</f>
        <v>#N/A</v>
      </c>
    </row>
    <row r="147" spans="1:40" ht="16.2" customHeight="1">
      <c r="A147" s="82" t="e">
        <f>数出表_Excel!A147</f>
        <v>#N/A</v>
      </c>
      <c r="B147" s="148" t="str">
        <f t="array" aca="1" ref="B147" ca="1">IF(SUMPRODUCT((IF(B6:B145="",0,B6:B145)) * (MOD(ROW(B6:B145),2)=1) * (ISNUMBER(B6:B145)))=0,"",
SUMPRODUCT((IF(B6:B145="",0,B6:B145)) * (MOD(ROW(B6:B145),2)=1) * (ISNUMBER(B6:B145))))</f>
        <v/>
      </c>
      <c r="C147" s="60"/>
      <c r="D147" s="148" t="str">
        <f t="array" aca="1" ref="D147" ca="1">IF(SUMPRODUCT((IF(D6:D145="",0,D6:D145)) * (MOD(ROW(D6:D145),2)=1) * (ISNUMBER(D6:D145)))=0,"",
SUMPRODUCT((IF(D6:D145="",0,D6:D145)) * (MOD(ROW(D6:D145),2)=1) * (ISNUMBER(D6:D145))))</f>
        <v/>
      </c>
      <c r="E147" s="76"/>
      <c r="F147" s="158" t="str">
        <f t="array" aca="1" ref="F147" ca="1">IF(SUMPRODUCT((IF(F6:F145="",0,F6:F145)) * (MOD(ROW(F6:F145),2)=1) * (ISNUMBER(F6:F145)))=0,"",
SUMPRODUCT((IF(F6:F145="",0,F6:F145)) * (MOD(ROW(F6:F145),2)=1) * (ISNUMBER(F6:F145))))</f>
        <v/>
      </c>
      <c r="G147" s="60"/>
      <c r="H147" s="148" t="str">
        <f t="array" aca="1" ref="H147" ca="1">IF(SUMPRODUCT((IF(H6:H145="",0,H6:H145)) * (MOD(ROW(H6:H145),2)=1) * (ISNUMBER(H6:H145)))=0,"",
SUMPRODUCT((IF(H6:H145="",0,H6:H145)) * (MOD(ROW(H6:H145),2)=1) * (ISNUMBER(H6:H145))))</f>
        <v/>
      </c>
      <c r="I147" s="76"/>
      <c r="J147" s="158" t="str">
        <f t="array" aca="1" ref="J147" ca="1">IF(SUMPRODUCT((IF(J6:J145="",0,J6:J145)) * (MOD(ROW(J6:J145),2)=1) * (ISNUMBER(J6:J145)))=0,"",
SUMPRODUCT((IF(J6:J145="",0,J6:J145)) * (MOD(ROW(J6:J145),2)=1) * (ISNUMBER(J6:J145))))</f>
        <v/>
      </c>
      <c r="K147" s="60"/>
      <c r="L147" s="148" t="str">
        <f t="array" aca="1" ref="L147" ca="1">IF(SUMPRODUCT((IF(L6:L145="",0,L6:L145)) * (MOD(ROW(L6:L145),2)=1) * (ISNUMBER(L6:L145)))=0,"",
SUMPRODUCT((IF(L6:L145="",0,L6:L145)) * (MOD(ROW(L6:L145),2)=1) * (ISNUMBER(L6:L145))))</f>
        <v/>
      </c>
      <c r="M147" s="76"/>
      <c r="N147" s="158" t="str">
        <f t="array" aca="1" ref="N147" ca="1">IF(SUMPRODUCT((IF(N6:N145="",0,N6:N145)) * (MOD(ROW(N6:N145),2)=1) * (ISNUMBER(N6:N145)))=0,"",
SUMPRODUCT((IF(N6:N145="",0,N6:N145)) * (MOD(ROW(N6:N145),2)=1) * (ISNUMBER(N6:N145))))</f>
        <v/>
      </c>
      <c r="O147" s="60"/>
      <c r="P147" s="148" t="str">
        <f t="array" aca="1" ref="P147" ca="1">IF(SUMPRODUCT((IF(P6:P145="",0,P6:P145)) * (MOD(ROW(P6:P145),2)=1) * (ISNUMBER(P6:P145)))=0,"",
SUMPRODUCT((IF(P6:P145="",0,P6:P145)) * (MOD(ROW(P6:P145),2)=1) * (ISNUMBER(P6:P145))))</f>
        <v/>
      </c>
      <c r="Q147" s="76"/>
      <c r="R147" s="158" t="str">
        <f t="array" aca="1" ref="R147" ca="1">IF(SUMPRODUCT((IF(R6:R145="",0,R6:R145)) * (MOD(ROW(R6:R145),2)=1) * (ISNUMBER(R6:R145)))=0,"",
SUMPRODUCT((IF(R6:R145="",0,R6:R145)) * (MOD(ROW(R6:R145),2)=1) * (ISNUMBER(R6:R145))))</f>
        <v/>
      </c>
      <c r="S147" s="60"/>
      <c r="T147" s="148" t="str">
        <f t="array" aca="1" ref="T147" ca="1">IF(SUMPRODUCT((IF(T6:T145="",0,T6:T145)) * (MOD(ROW(T6:T145),2)=1) * (ISNUMBER(T6:T145)))=0,"",
SUMPRODUCT((IF(T6:T145="",0,T6:T145)) * (MOD(ROW(T6:T145),2)=1) * (ISNUMBER(T6:T145))))</f>
        <v/>
      </c>
      <c r="U147" s="76"/>
      <c r="V147" s="158" t="str">
        <f t="array" aca="1" ref="V147" ca="1">IF(SUMPRODUCT((IF(V6:V145="",0,V6:V145)) * (MOD(ROW(V6:V145),2)=1) * (ISNUMBER(V6:V145)))=0,"",
SUMPRODUCT((IF(V6:V145="",0,V6:V145)) * (MOD(ROW(V6:V145),2)=1) * (ISNUMBER(V6:V145))))</f>
        <v/>
      </c>
      <c r="W147" s="60"/>
      <c r="X147" s="148" t="str">
        <f t="array" aca="1" ref="X147" ca="1">IF(SUMPRODUCT((IF(X6:X145="",0,X6:X145)) * (MOD(ROW(X6:X145),2)=1) * (ISNUMBER(X6:X145)))=0,"",
SUMPRODUCT((IF(X6:X145="",0,X6:X145)) * (MOD(ROW(X6:X145),2)=1) * (ISNUMBER(X6:X145))))</f>
        <v/>
      </c>
      <c r="Y147" s="76"/>
      <c r="Z147" s="158" t="str">
        <f t="array" aca="1" ref="Z147" ca="1">IF(SUMPRODUCT((IF(Z6:Z145="",0,Z6:Z145)) * (MOD(ROW(Z6:Z145),2)=1) * (ISNUMBER(Z6:Z145)))=0,"",
SUMPRODUCT((IF(Z6:Z145="",0,Z6:Z145)) * (MOD(ROW(Z6:Z145),2)=1) * (ISNUMBER(Z6:Z145))))</f>
        <v/>
      </c>
      <c r="AA147" s="76"/>
      <c r="AB147" s="148" t="str">
        <f t="array" aca="1" ref="AB147" ca="1">IF(SUMPRODUCT((IF(AB6:AB145="",0,AB6:AB145)) * (MOD(ROW(AB6:AB145),2)=1) * (ISNUMBER(AB6:AB145)))=0,"",
SUMPRODUCT((IF(AB6:AB145="",0,AB6:AB145)) * (MOD(ROW(AB6:AB145),2)=1) * (ISNUMBER(AB6:AB145))))</f>
        <v/>
      </c>
      <c r="AC147" s="76"/>
      <c r="AD147" s="148" t="str">
        <f t="array" aca="1" ref="AD147" ca="1">IF(SUMPRODUCT((IF(AD6:AD145="",0,AD6:AD145)) * (MOD(ROW(AD6:AD145),2)=1) * (ISNUMBER(AD6:AD145)))=0,"",
SUMPRODUCT((IF(AD6:AD145="",0,AD6:AD145)) * (MOD(ROW(AD6:AD145),2)=1) * (ISNUMBER(AD6:AD145))))</f>
        <v/>
      </c>
      <c r="AE147" s="76"/>
      <c r="AF147" s="148" t="str">
        <f t="array" aca="1" ref="AF147" ca="1">IF(SUMPRODUCT((IF(AF6:AF145="",0,AF6:AF145)) * (MOD(ROW(AF6:AF145),2)=1) * (ISNUMBER(AF6:AF145)))=0,"",
SUMPRODUCT((IF(AF6:AF145="",0,AF6:AF145)) * (MOD(ROW(AF6:AF145),2)=1) * (ISNUMBER(AF6:AF145))))</f>
        <v/>
      </c>
      <c r="AG147" s="76"/>
      <c r="AH147" s="148" t="str">
        <f t="array" aca="1" ref="AH147" ca="1">IF(SUMPRODUCT((IF(AH6:AH145="",0,AH6:AH145)) * (MOD(ROW(AH6:AH145),2)=1) * (ISNUMBER(AH6:AH145)))=0,"",
SUMPRODUCT((IF(AH6:AH145="",0,AH6:AH145)) * (MOD(ROW(AH6:AH145),2)=1) * (ISNUMBER(AH6:AH145))))</f>
        <v/>
      </c>
      <c r="AI147" s="76"/>
      <c r="AJ147" s="148" t="str">
        <f t="array" aca="1" ref="AJ147" ca="1">IF(SUMPRODUCT((IF(AJ6:AJ145="",0,AJ6:AJ145)) * (MOD(ROW(AJ6:AJ145),2)=1) * (ISNUMBER(AJ6:AJ145)))=0,"",
SUMPRODUCT((IF(AJ6:AJ145="",0,AJ6:AJ145)) * (MOD(ROW(AJ6:AJ145),2)=1) * (ISNUMBER(AJ6:AJ145))))</f>
        <v/>
      </c>
      <c r="AK147" s="76"/>
      <c r="AL147" s="63" t="e">
        <f>数出表_Excel!T147</f>
        <v>#N/A</v>
      </c>
      <c r="AM147" s="93" t="e">
        <f>数出表_Excel!V147</f>
        <v>#N/A</v>
      </c>
      <c r="AN147" s="94" t="e">
        <f>数出表_Excel!W147</f>
        <v>#N/A</v>
      </c>
    </row>
    <row r="148" spans="1:40" ht="16.2" customHeight="1">
      <c r="B148" s="154"/>
      <c r="C148" s="162"/>
      <c r="D148" s="154"/>
      <c r="E148" s="151"/>
      <c r="F148" s="164"/>
      <c r="G148" s="162"/>
      <c r="H148" s="154"/>
      <c r="I148" s="151"/>
      <c r="J148" s="164"/>
      <c r="K148" s="162"/>
      <c r="L148" s="154"/>
      <c r="M148" s="151"/>
      <c r="N148" s="164"/>
      <c r="O148" s="162"/>
      <c r="P148" s="154"/>
      <c r="Q148" s="151"/>
      <c r="R148" s="164"/>
      <c r="S148" s="162"/>
      <c r="T148" s="154"/>
      <c r="U148" s="151"/>
      <c r="V148" s="160"/>
      <c r="W148" s="162"/>
      <c r="X148" s="150"/>
      <c r="Y148" s="151"/>
      <c r="Z148" s="160"/>
      <c r="AA148" s="151"/>
      <c r="AB148" s="150"/>
      <c r="AC148" s="151"/>
      <c r="AD148" s="150"/>
      <c r="AE148" s="151"/>
      <c r="AF148" s="150"/>
      <c r="AG148" s="151"/>
      <c r="AH148" s="150"/>
      <c r="AI148" s="151"/>
      <c r="AJ148" s="150"/>
      <c r="AK148" s="151"/>
      <c r="AL148" s="64"/>
    </row>
    <row r="149" spans="1:40" ht="23.4" customHeight="1">
      <c r="A149" s="84" t="s">
        <v>167</v>
      </c>
      <c r="B149" s="152"/>
      <c r="C149" s="157"/>
      <c r="D149" s="152"/>
      <c r="E149" s="153"/>
      <c r="F149" s="161" t="str">
        <f>IF(OR(F150&lt;&gt;"",F153&lt;&gt;""),F146-F150-F151-F152-F153,"")</f>
        <v/>
      </c>
      <c r="G149" s="163"/>
      <c r="H149" s="152" t="str">
        <f>IF(OR(H150&lt;&gt;"",H153&lt;&gt;""),H146-H150-H151-H152-H153,"")</f>
        <v/>
      </c>
      <c r="I149" s="165"/>
      <c r="J149" s="161" t="str">
        <f>IF(OR(J150&lt;&gt;"",J153&lt;&gt;""),J146-J150-J151-J152-J153,"")</f>
        <v/>
      </c>
      <c r="K149" s="157"/>
      <c r="L149" s="152" t="str">
        <f>IF(OR(L150&lt;&gt;"",L153&lt;&gt;""),L146-L150-L151-L152-L153,"")</f>
        <v/>
      </c>
      <c r="M149" s="165"/>
      <c r="N149" s="161" t="str">
        <f>IF(OR(N150&lt;&gt;"",N153&lt;&gt;""),N146-N150-N151-N152-N153,"")</f>
        <v/>
      </c>
      <c r="O149" s="163"/>
      <c r="P149" s="152" t="str">
        <f>IF(OR(P150&lt;&gt;"",P153&lt;&gt;""),P146-P150-P151-P152-P153,"")</f>
        <v/>
      </c>
      <c r="Q149" s="165"/>
      <c r="R149" s="161" t="str">
        <f>IF(OR(R150&lt;&gt;"",R153&lt;&gt;""),R146-R150-R151-R152-R153,"")</f>
        <v/>
      </c>
      <c r="S149" s="163"/>
      <c r="T149" s="152" t="str">
        <f>IF(OR(T150&lt;&gt;"",T153&lt;&gt;""),T146-T150-T151-T152-T153,"")</f>
        <v/>
      </c>
      <c r="U149" s="153"/>
      <c r="V149" s="161" t="str">
        <f>IF(OR(V150&lt;&gt;"",V153&lt;&gt;""),V146-V150-V151-V152-V153,"")</f>
        <v/>
      </c>
      <c r="W149" s="157"/>
      <c r="X149" s="152" t="str">
        <f>IF(OR(X150&lt;&gt;"",X153&lt;&gt;""),X146-X150-X151-X152-X153,"")</f>
        <v/>
      </c>
      <c r="Y149" s="153"/>
      <c r="Z149" s="161" t="str">
        <f>IF(OR(Z150&lt;&gt;"",Z153&lt;&gt;""),Z146-Z150-Z151-Z152-Z153,"")</f>
        <v/>
      </c>
      <c r="AA149" s="153"/>
      <c r="AB149" s="152" t="str">
        <f>IF(OR(AB150&lt;&gt;"",AB153&lt;&gt;""),AB146-AB150-AB151-AB152-AB153,"")</f>
        <v/>
      </c>
      <c r="AC149" s="153"/>
      <c r="AD149" s="152" t="str">
        <f>IF(OR(AD150&lt;&gt;"",AD153&lt;&gt;""),AD146-AD150-AD151-AD152-AD153,"")</f>
        <v/>
      </c>
      <c r="AE149" s="153"/>
      <c r="AF149" s="152" t="str">
        <f>IF(OR(AF150&lt;&gt;"",AF153&lt;&gt;""),AF146-AF150-AF151-AF152-AF153,"")</f>
        <v/>
      </c>
      <c r="AG149" s="153"/>
      <c r="AH149" s="152" t="str">
        <f>IF(OR(AH150&lt;&gt;"",AH153&lt;&gt;""),AH146-AH150-AH151-AH152-AH153,"")</f>
        <v/>
      </c>
      <c r="AI149" s="153"/>
      <c r="AJ149" s="152" t="str">
        <f>IF(OR(AJ150&lt;&gt;"",AJ153&lt;&gt;""),AJ146-AJ150-AJ151-AJ152-AJ153,"")</f>
        <v/>
      </c>
      <c r="AK149" s="153"/>
      <c r="AL149" s="73" t="str">
        <f>IF(OR(AL150&lt;&gt;"",AL153&lt;&gt;""),AL146-AL150-AL151-AL152-AL153,"")</f>
        <v/>
      </c>
    </row>
    <row r="150" spans="1:40" ht="16.2" customHeight="1">
      <c r="A150" s="140" t="s">
        <v>168</v>
      </c>
      <c r="B150" s="155"/>
      <c r="C150" s="200">
        <f>SUM(C6:C145)</f>
        <v>0</v>
      </c>
      <c r="D150" s="155"/>
      <c r="E150" s="203">
        <f>SUM(E6:E145)</f>
        <v>0</v>
      </c>
      <c r="F150" s="66"/>
      <c r="G150" s="200">
        <f>SUM(G6:G145)</f>
        <v>0</v>
      </c>
      <c r="H150" s="65"/>
      <c r="I150" s="203">
        <f>SUM(I6:I145)</f>
        <v>0</v>
      </c>
      <c r="J150" s="66"/>
      <c r="K150" s="200">
        <f>SUM(K6:K145)</f>
        <v>0</v>
      </c>
      <c r="L150" s="65"/>
      <c r="M150" s="203">
        <f>SUM(M6:M145)</f>
        <v>0</v>
      </c>
      <c r="N150" s="166"/>
      <c r="O150" s="200">
        <f>SUM(O6:O145)</f>
        <v>0</v>
      </c>
      <c r="P150" s="65"/>
      <c r="Q150" s="203">
        <f>SUM(Q6:Q145)</f>
        <v>0</v>
      </c>
      <c r="R150" s="66"/>
      <c r="S150" s="200">
        <f>SUM(S6:S145)</f>
        <v>0</v>
      </c>
      <c r="T150" s="65"/>
      <c r="U150" s="203">
        <f>SUM(U6:U145)</f>
        <v>0</v>
      </c>
      <c r="V150" s="66"/>
      <c r="W150" s="200">
        <f>SUM(W6:W145)</f>
        <v>0</v>
      </c>
      <c r="X150" s="65"/>
      <c r="Y150" s="203">
        <f>SUM(Y6:Y145)</f>
        <v>0</v>
      </c>
      <c r="Z150" s="66"/>
      <c r="AA150" s="203">
        <f>SUM(AA6:AA145)</f>
        <v>0</v>
      </c>
      <c r="AB150" s="65"/>
      <c r="AC150" s="203">
        <f>SUM(AC6:AC145)</f>
        <v>0</v>
      </c>
      <c r="AD150" s="65"/>
      <c r="AE150" s="203">
        <f>SUM(AE6:AE145)</f>
        <v>0</v>
      </c>
      <c r="AF150" s="67"/>
      <c r="AG150" s="203">
        <f>SUM(AG6:AG145)</f>
        <v>0</v>
      </c>
      <c r="AH150" s="67"/>
      <c r="AI150" s="203">
        <f>SUM(AI6:AI145)</f>
        <v>0</v>
      </c>
      <c r="AJ150" s="67"/>
      <c r="AK150" s="203">
        <f>SUM(AK6:AK145)</f>
        <v>0</v>
      </c>
      <c r="AL150" s="68"/>
      <c r="AM150" s="95"/>
      <c r="AN150" s="96"/>
    </row>
    <row r="151" spans="1:40" ht="16.2" customHeight="1">
      <c r="A151" s="140" t="s">
        <v>169</v>
      </c>
      <c r="B151" s="155"/>
      <c r="C151" s="201"/>
      <c r="D151" s="155"/>
      <c r="E151" s="204"/>
      <c r="F151" s="66"/>
      <c r="G151" s="201"/>
      <c r="H151" s="65"/>
      <c r="I151" s="204"/>
      <c r="J151" s="66"/>
      <c r="K151" s="201"/>
      <c r="L151" s="65"/>
      <c r="M151" s="204"/>
      <c r="N151" s="166"/>
      <c r="O151" s="201"/>
      <c r="P151" s="65"/>
      <c r="Q151" s="204"/>
      <c r="R151" s="66"/>
      <c r="S151" s="201"/>
      <c r="T151" s="65"/>
      <c r="U151" s="204"/>
      <c r="V151" s="66"/>
      <c r="W151" s="201"/>
      <c r="X151" s="65"/>
      <c r="Y151" s="204"/>
      <c r="Z151" s="66"/>
      <c r="AA151" s="204"/>
      <c r="AB151" s="65"/>
      <c r="AC151" s="204"/>
      <c r="AD151" s="65"/>
      <c r="AE151" s="204"/>
      <c r="AF151" s="67"/>
      <c r="AG151" s="204"/>
      <c r="AH151" s="67"/>
      <c r="AI151" s="204"/>
      <c r="AJ151" s="67"/>
      <c r="AK151" s="204"/>
      <c r="AL151" s="68"/>
      <c r="AM151" s="95"/>
      <c r="AN151" s="96"/>
    </row>
    <row r="152" spans="1:40" ht="16.2" customHeight="1">
      <c r="A152" s="140" t="s">
        <v>170</v>
      </c>
      <c r="B152" s="155"/>
      <c r="C152" s="201"/>
      <c r="D152" s="155"/>
      <c r="E152" s="204"/>
      <c r="F152" s="66"/>
      <c r="G152" s="201"/>
      <c r="H152" s="65"/>
      <c r="I152" s="204"/>
      <c r="J152" s="66"/>
      <c r="K152" s="201"/>
      <c r="L152" s="65"/>
      <c r="M152" s="204"/>
      <c r="N152" s="166"/>
      <c r="O152" s="201"/>
      <c r="P152" s="65"/>
      <c r="Q152" s="204"/>
      <c r="R152" s="66"/>
      <c r="S152" s="201"/>
      <c r="T152" s="65"/>
      <c r="U152" s="204"/>
      <c r="V152" s="66"/>
      <c r="W152" s="201"/>
      <c r="X152" s="65"/>
      <c r="Y152" s="204"/>
      <c r="Z152" s="66"/>
      <c r="AA152" s="204"/>
      <c r="AB152" s="65"/>
      <c r="AC152" s="204"/>
      <c r="AD152" s="65"/>
      <c r="AE152" s="204"/>
      <c r="AF152" s="67"/>
      <c r="AG152" s="204"/>
      <c r="AH152" s="67"/>
      <c r="AI152" s="204"/>
      <c r="AJ152" s="67"/>
      <c r="AK152" s="204"/>
      <c r="AL152" s="68"/>
    </row>
    <row r="153" spans="1:40" s="59" customFormat="1" ht="16.2" customHeight="1">
      <c r="A153" s="141" t="s">
        <v>171</v>
      </c>
      <c r="B153" s="156"/>
      <c r="C153" s="202"/>
      <c r="D153" s="156"/>
      <c r="E153" s="205"/>
      <c r="F153" s="70"/>
      <c r="G153" s="202"/>
      <c r="H153" s="69"/>
      <c r="I153" s="205"/>
      <c r="J153" s="70"/>
      <c r="K153" s="202"/>
      <c r="L153" s="69"/>
      <c r="M153" s="205"/>
      <c r="N153" s="167"/>
      <c r="O153" s="202"/>
      <c r="P153" s="69"/>
      <c r="Q153" s="205"/>
      <c r="R153" s="70"/>
      <c r="S153" s="202"/>
      <c r="T153" s="69"/>
      <c r="U153" s="205"/>
      <c r="V153" s="70"/>
      <c r="W153" s="202"/>
      <c r="X153" s="69"/>
      <c r="Y153" s="205"/>
      <c r="Z153" s="70"/>
      <c r="AA153" s="205"/>
      <c r="AB153" s="69"/>
      <c r="AC153" s="205"/>
      <c r="AD153" s="69"/>
      <c r="AE153" s="205"/>
      <c r="AF153" s="71"/>
      <c r="AG153" s="205"/>
      <c r="AH153" s="71"/>
      <c r="AI153" s="205"/>
      <c r="AJ153" s="71"/>
      <c r="AK153" s="205"/>
      <c r="AL153" s="72"/>
      <c r="AM153" s="97"/>
      <c r="AN153" s="97"/>
    </row>
    <row r="154" spans="1:40" ht="16.2" customHeight="1">
      <c r="A154" s="85" t="s">
        <v>172</v>
      </c>
    </row>
  </sheetData>
  <mergeCells count="18">
    <mergeCell ref="C150:C153"/>
    <mergeCell ref="W150:W153"/>
    <mergeCell ref="I150:I153"/>
    <mergeCell ref="AK150:AK153"/>
    <mergeCell ref="AI150:AI153"/>
    <mergeCell ref="AG150:AG153"/>
    <mergeCell ref="U150:U153"/>
    <mergeCell ref="E150:E153"/>
    <mergeCell ref="Y150:Y153"/>
    <mergeCell ref="AC150:AC153"/>
    <mergeCell ref="AA150:AA153"/>
    <mergeCell ref="AE150:AE153"/>
    <mergeCell ref="S150:S153"/>
    <mergeCell ref="G150:G153"/>
    <mergeCell ref="M150:M153"/>
    <mergeCell ref="K150:K153"/>
    <mergeCell ref="Q150:Q153"/>
    <mergeCell ref="O150:O153"/>
  </mergeCells>
  <phoneticPr fontId="1"/>
  <pageMargins left="0.7" right="0.7" top="0.75" bottom="0.75" header="0.3" footer="0.3"/>
  <pageSetup paperSize="8" scale="31" orientation="portrait" horizontalDpi="1200" verticalDpi="12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0" r:id="rId3" name="Button 2">
              <controlPr defaultSize="0" print="0" autoFill="0" autoPict="0" macro="[0]!ToggleColoring">
                <anchor moveWithCells="1" sizeWithCells="1">
                  <from>
                    <xdr:col>39</xdr:col>
                    <xdr:colOff>274320</xdr:colOff>
                    <xdr:row>0</xdr:row>
                    <xdr:rowOff>45720</xdr:rowOff>
                  </from>
                  <to>
                    <xdr:col>39</xdr:col>
                    <xdr:colOff>1828800</xdr:colOff>
                    <xdr:row>1</xdr:row>
                    <xdr:rowOff>198120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N10"/>
  <sheetViews>
    <sheetView zoomScaleNormal="100" workbookViewId="0">
      <selection activeCell="C9" sqref="C9"/>
    </sheetView>
  </sheetViews>
  <sheetFormatPr defaultRowHeight="18"/>
  <cols>
    <col min="1" max="1" width="23.8984375" style="180" customWidth="1"/>
    <col min="10" max="10" width="8.796875" style="57" customWidth="1"/>
  </cols>
  <sheetData>
    <row r="1" spans="1:14">
      <c r="A1"/>
    </row>
    <row r="2" spans="1:14">
      <c r="A2" t="str">
        <f>'数出表_Excel（アレルギー入力）'!H3&amp;" "&amp;'数出表_Excel（アレルギー入力）'!F4</f>
        <v>キャラ弁当 飯あり</v>
      </c>
      <c r="C2" t="e">
        <f ca="1">IF('数出表_Excel（アレルギー入力）'!F146&lt;&gt;"",'数出表_Excel（アレルギー入力）'!F146,0)
-IF(B10=2,C9,0)</f>
        <v>#N/A</v>
      </c>
      <c r="D2">
        <f>'数出表_Excel（アレルギー入力）'!G150</f>
        <v>0</v>
      </c>
      <c r="E2">
        <f>IF('数出表_Excel（アレルギー入力）'!F153&lt;&gt;"",'数出表_Excel（アレルギー入力）'!F153,0)</f>
        <v>0</v>
      </c>
      <c r="F2" t="e">
        <f ca="1">IF('数出表_Excel（アレルギー入力）'!F150=0,
IF(AND(K2&lt;&gt;0,K2&gt;-10,K2&lt;10),0,
IF(AND(L2&lt;&gt;0,L2&gt;-13,L2&lt;13),
K2+L2,K2)),'数出表_Excel（アレルギー入力）'!F150)</f>
        <v>#N/A</v>
      </c>
      <c r="G2" t="str">
        <f t="shared" ref="G2:H8" si="0">IF(AND(L2&lt;&gt;0,L2&gt;-10,L2&lt;10),0,
IF(AND(M2&lt;&gt;0,M2&gt;-13,M2&lt;13),
L2+M2,L2))</f>
        <v/>
      </c>
      <c r="H2" t="str">
        <f t="shared" si="0"/>
        <v/>
      </c>
      <c r="I2" t="str">
        <f t="shared" ref="I2:I8" si="1">IF(H2&lt;&gt;"",C2-D2-E2-K2-L2-M2,"")</f>
        <v/>
      </c>
      <c r="K2" t="e">
        <f ca="1">IF('数出表_Excel（アレルギー入力）'!F150=0,
C2-D2-E2,'数出表_Excel（アレルギー入力）'!F150)</f>
        <v>#N/A</v>
      </c>
      <c r="L2" t="str">
        <f>IF('数出表_Excel（アレルギー入力）'!F150=0,"",
IF('数出表_Excel（アレルギー入力）'!F151=0,C2-D2-E2-'数出表_Excel（アレルギー入力）'!F150,'数出表_Excel（アレルギー入力）'!F151))</f>
        <v/>
      </c>
      <c r="M2" t="str">
        <f>IF('数出表_Excel（アレルギー入力）'!F150=0,"",
IF('数出表_Excel（アレルギー入力）'!F151=0,"",
IF('数出表_Excel（アレルギー入力）'!F152=0,C2-D2-E2-'数出表_Excel（アレルギー入力）'!F150-'数出表_Excel（アレルギー入力）'!F151,'数出表_Excel（アレルギー入力）'!F152)))</f>
        <v/>
      </c>
      <c r="N2" t="str">
        <f t="shared" ref="N2:N8" si="2">IF(M2&lt;&gt;"",C2-D2-E2-K2-L2-M2,"")</f>
        <v/>
      </c>
    </row>
    <row r="3" spans="1:14">
      <c r="A3" t="str">
        <f>'数出表_Excel（アレルギー入力）'!H3&amp;" "&amp;'数出表_Excel（アレルギー入力）'!H4</f>
        <v>キャラ弁当 おにぎり</v>
      </c>
      <c r="C3" t="e">
        <f ca="1">IF('数出表_Excel（アレルギー入力）'!H146&lt;&gt;"",'数出表_Excel（アレルギー入力）'!H146,0)
-IF(B10=3,C9,0)</f>
        <v>#N/A</v>
      </c>
      <c r="D3">
        <f>'数出表_Excel（アレルギー入力）'!I150</f>
        <v>0</v>
      </c>
      <c r="E3">
        <f>IF('数出表_Excel（アレルギー入力）'!H153&lt;&gt;"",'数出表_Excel（アレルギー入力）'!H153,0)</f>
        <v>0</v>
      </c>
      <c r="F3" t="e">
        <f ca="1">IF('数出表_Excel（アレルギー入力）'!H150=0,
IF(AND(K3&lt;&gt;0,K3&gt;-10,K3&lt;10),0,
IF(AND(L3&lt;&gt;0,L3&gt;-13,L3&lt;13),
K3+L3,K3)),'数出表_Excel（アレルギー入力）'!H150)</f>
        <v>#N/A</v>
      </c>
      <c r="G3" t="str">
        <f t="shared" si="0"/>
        <v/>
      </c>
      <c r="H3" t="str">
        <f t="shared" si="0"/>
        <v/>
      </c>
      <c r="I3" t="str">
        <f t="shared" si="1"/>
        <v/>
      </c>
      <c r="K3" t="e">
        <f ca="1">IF('数出表_Excel（アレルギー入力）'!H150=0,
C3-D3-E3,'数出表_Excel（アレルギー入力）'!H150)</f>
        <v>#N/A</v>
      </c>
      <c r="L3" t="str">
        <f>IF('数出表_Excel（アレルギー入力）'!H150=0,"",
IF('数出表_Excel（アレルギー入力）'!H151=0,C3-D3-E3-'数出表_Excel（アレルギー入力）'!H150,'数出表_Excel（アレルギー入力）'!H151))</f>
        <v/>
      </c>
      <c r="M3" t="str">
        <f>IF('数出表_Excel（アレルギー入力）'!H150=0,"",
IF('数出表_Excel（アレルギー入力）'!H151=0,"",
IF('数出表_Excel（アレルギー入力）'!H152=0,C3-D3-E3-'数出表_Excel（アレルギー入力）'!H150-'数出表_Excel（アレルギー入力）'!H151,'数出表_Excel（アレルギー入力）'!H152)))</f>
        <v/>
      </c>
      <c r="N3" t="str">
        <f t="shared" si="2"/>
        <v/>
      </c>
    </row>
    <row r="4" spans="1:14">
      <c r="A4" t="str">
        <f>'数出表_Excel（アレルギー入力）'!H3&amp;" "&amp;'数出表_Excel（アレルギー入力）'!J4</f>
        <v>キャラ弁当 飯なし</v>
      </c>
      <c r="C4" t="e">
        <f ca="1">IF('数出表_Excel（アレルギー入力）'!J146&lt;&gt;"",'数出表_Excel（アレルギー入力）'!J146,0)
-IF(B10=4,C9,0)</f>
        <v>#N/A</v>
      </c>
      <c r="D4">
        <f>'数出表_Excel（アレルギー入力）'!K150</f>
        <v>0</v>
      </c>
      <c r="E4">
        <f>IF('数出表_Excel（アレルギー入力）'!J153&lt;&gt;"",'数出表_Excel（アレルギー入力）'!J153,0)</f>
        <v>0</v>
      </c>
      <c r="F4" t="e">
        <f ca="1">IF('数出表_Excel（アレルギー入力）'!J150=0,
IF(AND(K4&lt;&gt;0,K4&gt;-10,K4&lt;10),0,
IF(AND(L4&lt;&gt;0,L4&gt;-13,L4&lt;13),
K4+L4,K4)),'数出表_Excel（アレルギー入力）'!J150)</f>
        <v>#N/A</v>
      </c>
      <c r="G4" t="str">
        <f t="shared" si="0"/>
        <v/>
      </c>
      <c r="H4" t="str">
        <f t="shared" si="0"/>
        <v/>
      </c>
      <c r="I4" t="str">
        <f t="shared" si="1"/>
        <v/>
      </c>
      <c r="K4" t="e">
        <f ca="1">IF('数出表_Excel（アレルギー入力）'!J150=0,
C4-D4-E4,'数出表_Excel（アレルギー入力）'!J150)</f>
        <v>#N/A</v>
      </c>
      <c r="L4" t="str">
        <f>IF('数出表_Excel（アレルギー入力）'!J150=0,"",
IF('数出表_Excel（アレルギー入力）'!J151=0,C4-D4-E4-'数出表_Excel（アレルギー入力）'!J150,'数出表_Excel（アレルギー入力）'!J151))</f>
        <v/>
      </c>
      <c r="M4" t="str">
        <f>IF('数出表_Excel（アレルギー入力）'!J150=0,"",
IF('数出表_Excel（アレルギー入力）'!J151=0,"",
IF('数出表_Excel（アレルギー入力）'!J152=0,C4-D4-E4-'数出表_Excel（アレルギー入力）'!J150-'数出表_Excel（アレルギー入力）'!J151,'数出表_Excel（アレルギー入力）'!J152)))</f>
        <v/>
      </c>
      <c r="N4" t="str">
        <f t="shared" si="2"/>
        <v/>
      </c>
    </row>
    <row r="5" spans="1:14">
      <c r="A5" t="str">
        <f>'数出表_Excel（アレルギー入力）'!P3&amp;" "&amp;'数出表_Excel（アレルギー入力）'!L4</f>
        <v>赤 飯あり</v>
      </c>
      <c r="C5" t="e">
        <f ca="1">IF('数出表_Excel（アレルギー入力）'!L146&lt;&gt;"",'数出表_Excel（アレルギー入力）'!L146,0)
+IF('数出表_Excel（アレルギー入力）'!N146&lt;&gt;"",'数出表_Excel（アレルギー入力）'!N146,0)
-IF(B10=5,C9,0)</f>
        <v>#N/A</v>
      </c>
      <c r="D5">
        <f>'数出表_Excel（アレルギー入力）'!M150+'数出表_Excel（アレルギー入力）'!O150</f>
        <v>0</v>
      </c>
      <c r="E5">
        <f>IF('数出表_Excel（アレルギー入力）'!L153&lt;&gt;"",'数出表_Excel（アレルギー入力）'!L153,0)</f>
        <v>0</v>
      </c>
      <c r="F5" t="e">
        <f ca="1">IF('数出表_Excel（アレルギー入力）'!L150=0,
IF(AND(K5&lt;&gt;0,K5&gt;-10,K5&lt;10),0,
IF(AND(L5&lt;&gt;0,L5&gt;-13,L5&lt;13),
K5+L5,K5)),'数出表_Excel（アレルギー入力）'!L150)</f>
        <v>#N/A</v>
      </c>
      <c r="G5" t="str">
        <f t="shared" si="0"/>
        <v/>
      </c>
      <c r="H5" t="str">
        <f t="shared" si="0"/>
        <v/>
      </c>
      <c r="I5" t="str">
        <f t="shared" si="1"/>
        <v/>
      </c>
      <c r="K5" t="e">
        <f ca="1">IF('数出表_Excel（アレルギー入力）'!L150=0,
C5-D5-E5,'数出表_Excel（アレルギー入力）'!L150)</f>
        <v>#N/A</v>
      </c>
      <c r="L5" t="str">
        <f>IF('数出表_Excel（アレルギー入力）'!L150=0,"",
IF('数出表_Excel（アレルギー入力）'!L151=0,C5-D5-E5-'数出表_Excel（アレルギー入力）'!L150,'数出表_Excel（アレルギー入力）'!L151))</f>
        <v/>
      </c>
      <c r="M5" t="str">
        <f>IF('数出表_Excel（アレルギー入力）'!L150=0,"",
IF('数出表_Excel（アレルギー入力）'!L151=0,"",
IF('数出表_Excel（アレルギー入力）'!L152=0,C5-D5-E5-'数出表_Excel（アレルギー入力）'!L150-'数出表_Excel（アレルギー入力）'!L151,'数出表_Excel（アレルギー入力）'!L152)))</f>
        <v/>
      </c>
      <c r="N5" t="str">
        <f t="shared" si="2"/>
        <v/>
      </c>
    </row>
    <row r="6" spans="1:14">
      <c r="A6" t="str">
        <f>'数出表_Excel（アレルギー入力）'!P3&amp;" "&amp;'数出表_Excel（アレルギー入力）'!P4&amp;" "&amp;'数出表_Excel（アレルギー入力）'!P5</f>
        <v>赤 おにぎり 三角</v>
      </c>
      <c r="C6" t="e">
        <f ca="1">IF('数出表_Excel（アレルギー入力）'!P146&lt;&gt;"",'数出表_Excel（アレルギー入力）'!P146,0)
-IF(B10=6,C9,0)</f>
        <v>#N/A</v>
      </c>
      <c r="D6">
        <f>'数出表_Excel（アレルギー入力）'!Q150</f>
        <v>0</v>
      </c>
      <c r="E6">
        <f>IF('数出表_Excel（アレルギー入力）'!P153&lt;&gt;"",'数出表_Excel（アレルギー入力）'!P153,0)</f>
        <v>0</v>
      </c>
      <c r="F6" t="e">
        <f ca="1">IF('数出表_Excel（アレルギー入力）'!P150=0,
IF(AND(K6&lt;&gt;0,K6&gt;-10,K6&lt;10),0,
IF(AND(L6&lt;&gt;0,L6&gt;-13,L6&lt;13),
K6+L6,K6)),'数出表_Excel（アレルギー入力）'!P150)</f>
        <v>#N/A</v>
      </c>
      <c r="G6" t="str">
        <f t="shared" si="0"/>
        <v/>
      </c>
      <c r="H6" t="str">
        <f t="shared" si="0"/>
        <v/>
      </c>
      <c r="I6" t="str">
        <f t="shared" si="1"/>
        <v/>
      </c>
      <c r="K6" t="e">
        <f ca="1">IF('数出表_Excel（アレルギー入力）'!P150=0,
C6-D6-E6,'数出表_Excel（アレルギー入力）'!P150)</f>
        <v>#N/A</v>
      </c>
      <c r="L6" t="str">
        <f>IF('数出表_Excel（アレルギー入力）'!P150=0,"",
IF('数出表_Excel（アレルギー入力）'!P151=0,C6-D6-E6-'数出表_Excel（アレルギー入力）'!P150,'数出表_Excel（アレルギー入力）'!P151))</f>
        <v/>
      </c>
      <c r="M6" t="str">
        <f>IF('数出表_Excel（アレルギー入力）'!P150=0,"",
IF('数出表_Excel（アレルギー入力）'!P151=0,"",
IF('数出表_Excel（アレルギー入力）'!P152=0,C6-D6-E6-'数出表_Excel（アレルギー入力）'!P150-'数出表_Excel（アレルギー入力）'!P151,'数出表_Excel（アレルギー入力）'!P152)))</f>
        <v/>
      </c>
      <c r="N6" t="str">
        <f t="shared" si="2"/>
        <v/>
      </c>
    </row>
    <row r="7" spans="1:14">
      <c r="A7" t="str">
        <f>'数出表_Excel（アレルギー入力）'!P3&amp;" "&amp;'数出表_Excel（アレルギー入力）'!R4&amp;" "&amp;'数出表_Excel（アレルギー入力）'!R5</f>
        <v>赤 おにぎり 半俵</v>
      </c>
      <c r="C7" t="e">
        <f ca="1">IF('数出表_Excel（アレルギー入力）'!R146&lt;&gt;"",'数出表_Excel（アレルギー入力）'!R146,0)
-IF(B10=7,C9,0)</f>
        <v>#N/A</v>
      </c>
      <c r="D7">
        <f>'数出表_Excel（アレルギー入力）'!S150</f>
        <v>0</v>
      </c>
      <c r="E7">
        <f>IF('数出表_Excel（アレルギー入力）'!R153&lt;&gt;"",'数出表_Excel（アレルギー入力）'!R153,0)</f>
        <v>0</v>
      </c>
      <c r="F7" t="e">
        <f ca="1">IF('数出表_Excel（アレルギー入力）'!R150=0,
IF(AND(K7&lt;&gt;0,K7&gt;-10,K7&lt;10),0,
IF(AND(L7&lt;&gt;0,L7&gt;-13,L7&lt;13),
K7+L7,K7)),'数出表_Excel（アレルギー入力）'!R150)</f>
        <v>#N/A</v>
      </c>
      <c r="G7" t="str">
        <f t="shared" si="0"/>
        <v/>
      </c>
      <c r="H7" t="str">
        <f t="shared" si="0"/>
        <v/>
      </c>
      <c r="I7" t="str">
        <f t="shared" si="1"/>
        <v/>
      </c>
      <c r="K7" t="e">
        <f ca="1">IF('数出表_Excel（アレルギー入力）'!R150=0,
C7-D7-E7,'数出表_Excel（アレルギー入力）'!R150)</f>
        <v>#N/A</v>
      </c>
      <c r="L7" t="str">
        <f>IF('数出表_Excel（アレルギー入力）'!R150=0,"",
IF('数出表_Excel（アレルギー入力）'!R151=0,C7-D7-E7-'数出表_Excel（アレルギー入力）'!R150,'数出表_Excel（アレルギー入力）'!R151))</f>
        <v/>
      </c>
      <c r="M7" t="str">
        <f>IF('数出表_Excel（アレルギー入力）'!R150=0,"",
IF('数出表_Excel（アレルギー入力）'!R151=0,"",
IF('数出表_Excel（アレルギー入力）'!R152=0,C7-D7-E7-'数出表_Excel（アレルギー入力）'!R150-'数出表_Excel（アレルギー入力）'!R151,'数出表_Excel（アレルギー入力）'!R152)))</f>
        <v/>
      </c>
      <c r="N7" t="str">
        <f t="shared" si="2"/>
        <v/>
      </c>
    </row>
    <row r="8" spans="1:14">
      <c r="A8" t="str">
        <f>'数出表_Excel（アレルギー入力）'!P3&amp;" "&amp;'数出表_Excel（アレルギー入力）'!T4</f>
        <v>赤 飯なし</v>
      </c>
      <c r="C8" t="e">
        <f ca="1">IF('数出表_Excel（アレルギー入力）'!T146&lt;&gt;"",'数出表_Excel（アレルギー入力）'!T146,0)
-IF(B10=8,C9,0)</f>
        <v>#N/A</v>
      </c>
      <c r="D8">
        <f>'数出表_Excel（アレルギー入力）'!U150</f>
        <v>0</v>
      </c>
      <c r="E8">
        <f>IF('数出表_Excel（アレルギー入力）'!T153&lt;&gt;"",'数出表_Excel（アレルギー入力）'!T153,0)</f>
        <v>0</v>
      </c>
      <c r="F8" t="e">
        <f ca="1">IF('数出表_Excel（アレルギー入力）'!T150=0,
IF(AND(K8&lt;&gt;0,K8&gt;-10,K8&lt;10),0,
IF(AND(L8&lt;&gt;0,L8&gt;-13,L8&lt;13),
K8+L8,K8)),'数出表_Excel（アレルギー入力）'!T150)</f>
        <v>#N/A</v>
      </c>
      <c r="G8" t="str">
        <f t="shared" si="0"/>
        <v/>
      </c>
      <c r="H8" t="str">
        <f t="shared" si="0"/>
        <v/>
      </c>
      <c r="I8" t="str">
        <f t="shared" si="1"/>
        <v/>
      </c>
      <c r="K8" t="e">
        <f ca="1">IF('数出表_Excel（アレルギー入力）'!T150=0,
C8-D8-E8,'数出表_Excel（アレルギー入力）'!T150)</f>
        <v>#N/A</v>
      </c>
      <c r="L8" t="str">
        <f>IF('数出表_Excel（アレルギー入力）'!T150=0,"",
IF('数出表_Excel（アレルギー入力）'!T151=0,C8-D8-E8-'数出表_Excel（アレルギー入力）'!T150,'数出表_Excel（アレルギー入力）'!T151))</f>
        <v/>
      </c>
      <c r="M8" t="str">
        <f>IF('数出表_Excel（アレルギー入力）'!T150=0,"",
IF('数出表_Excel（アレルギー入力）'!T151=0,"",
IF('数出表_Excel（アレルギー入力）'!T152=0,C8-D8-E8-'数出表_Excel（アレルギー入力）'!T150-'数出表_Excel（アレルギー入力）'!T151,'数出表_Excel（アレルギー入力）'!T152)))</f>
        <v/>
      </c>
      <c r="N8" t="str">
        <f t="shared" si="2"/>
        <v/>
      </c>
    </row>
    <row r="9" spans="1:14">
      <c r="A9" t="str">
        <f ca="1">社食等の札!A1&amp;" "&amp;社食等の札!H1&amp;" "&amp;社食等の札!I1</f>
        <v xml:space="preserve">社食  </v>
      </c>
      <c r="C9" t="e">
        <f ca="1">社食等の札!E1</f>
        <v>#N/A</v>
      </c>
    </row>
    <row r="10" spans="1:14">
      <c r="A10" s="180" t="e">
        <f ca="1">OFFSET('数出表_Excel（アレルギー入力）'!A1,2,
MATCH(VALUE(C9),INDIRECT("'数出表_Excel（アレルギー入力）'!A"&amp;MATCH(SUBSTITUTE(SUBSTITUTE(A9," ",""),"　",""),'数出表_Excel（アレルギー入力）'!$A$1:$A$145,0)-1&amp;":AL"&amp;MATCH(SUBSTITUTE(SUBSTITUTE(A9," ",""),"　",""),'数出表_Excel（アレルギー入力）'!$A$1:$A$145,0)-1&amp;""),0))&amp;" "&amp;OFFSET('数出表_Excel（アレルギー入力）'!A1,3,
MATCH(VALUE(C9),INDIRECT("'数出表_Excel（アレルギー入力）'!A"&amp;MATCH(SUBSTITUTE(SUBSTITUTE(A9," ",""),"　",""),'数出表_Excel（アレルギー入力）'!$A$1:$A$145,0)-1&amp;":AL"&amp;MATCH(SUBSTITUTE(SUBSTITUTE(A9," ",""),"　",""),'数出表_Excel（アレルギー入力）'!$A$1:$A$145,0)-1&amp;""),0))</f>
        <v>#N/A</v>
      </c>
      <c r="B10" t="e">
        <f ca="1">MATCH(A10,A1:A8,0)</f>
        <v>#N/A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/>
  <dimension ref="A1:T64"/>
  <sheetViews>
    <sheetView workbookViewId="0">
      <selection activeCell="T1" sqref="T1:T15"/>
    </sheetView>
  </sheetViews>
  <sheetFormatPr defaultRowHeight="18"/>
  <cols>
    <col min="1" max="1" width="17.3984375" style="180" customWidth="1"/>
  </cols>
  <sheetData>
    <row r="1" spans="1:20">
      <c r="A1" s="57" t="str">
        <f t="array" aca="1" ref="A1" ca="1">IF(F1&lt;&gt;"",
IF(LEFT(INDIRECT("'数出表_Excel（アレルギー入力）'!A"&amp;MATCH(F1,INDIRECT("'数出表_Excel（アレルギー入力）'!"&amp;P1&amp;":"&amp;P1&amp;""),0)),2)="博多",
LEFT(INDIRECT("'数出表_Excel（アレルギー入力）'!A"&amp;MATCH(F1,INDIRECT("'数出表_Excel（アレルギー入力）'!"&amp;P1&amp;":"&amp;P1&amp;""),0)),FIND("週",INDIRECT("'数出表_Excel（アレルギー入力）'!A"&amp;MATCH(F1,INDIRECT("'数出表_Excel（アレルギー入力）'!"&amp;P1&amp;":"&amp;P1&amp;""),0)))-1),
INDIRECT("'数出表_Excel（アレルギー入力）'!A"&amp;MATCH(F1,INDIRECT("'数出表_Excel（アレルギー入力）'!"&amp;P1&amp;":"&amp;P1&amp;""),0))),"")</f>
        <v/>
      </c>
      <c r="B1" s="57">
        <f t="array" aca="1" ref="B1" ca="1">IF(OR(COUNTIF(INDIRECT("'数出表_Excel（アレルギー入力）'!"&amp;P1&amp;"3"),"*カレー*"),COUNTIF(INDIRECT("'数出表_Excel（アレルギー入力）'!"&amp;P1&amp;"3"),"*どん*"),COUNTIF(INDIRECT("'数出表_Excel（アレルギー入力）'!"&amp;P1&amp;"3"),"*配膳*")),"",
INDIRECT("'数出表_Excel（アレルギー入力）'!"&amp;P1&amp;"3"))</f>
        <v>0</v>
      </c>
      <c r="C1" s="57"/>
      <c r="D1" s="57"/>
      <c r="E1" s="57"/>
      <c r="F1" s="57" t="str">
        <f t="array" aca="1" ref="F1" ca="1">IFERROR(IF(B1&lt;&gt;"",
INDIRECT("'数出表_Excel（アレルギー入力）'!"&amp;P1&amp;O1&amp;""),""),"")</f>
        <v/>
      </c>
      <c r="G1" s="57"/>
      <c r="H1" s="57"/>
      <c r="I1" s="57"/>
      <c r="J1" s="57"/>
      <c r="K1" s="57"/>
      <c r="L1" s="57"/>
      <c r="M1" s="57"/>
      <c r="N1" s="57"/>
      <c r="O1">
        <f t="array" aca="1" ref="O1" ca="1">MIN(IF((MOD(ROW(INDIRECT("'数出表_Excel（アレルギー入力）'!"&amp;P1&amp;"6:"&amp;P1&amp;"145")),2)=1)*(ISNUMBER(INDIRECT("'数出表_Excel（アレルギー入力）'!"&amp;P1&amp;"6:"&amp;P1&amp;"145"))),ROW(INDIRECT("'数出表_Excel（アレルギー入力）'!"&amp;P1&amp;"6:"&amp;P1&amp;"145")),""))</f>
        <v>0</v>
      </c>
      <c r="P1" t="s">
        <v>173</v>
      </c>
      <c r="R1" s="178" t="str">
        <f t="array" aca="1" ref="R1" ca="1">IFERROR(INDEX($A:$A,SMALL(IF($A$1:$A$64&lt;&gt;"",ROW($A$1:$A$64)),ROW(A1))),"")</f>
        <v/>
      </c>
      <c r="S1" s="178" t="str">
        <f t="shared" ref="S1:S15" ca="1" si="0">IF(R1&lt;&gt;"",
VLOOKUP(R1,$A$1:$N$64,2,FALSE),"")</f>
        <v/>
      </c>
      <c r="T1" s="178" t="str">
        <f t="shared" ref="T1:T15" ca="1" si="1">IF(R1&lt;&gt;"",
VLOOKUP(R1,$A$1:$N$64,6,FALSE),"")</f>
        <v/>
      </c>
    </row>
    <row r="2" spans="1:20">
      <c r="A2" s="57" t="str">
        <f t="array" aca="1" ref="A2" ca="1">IF(F2&lt;&gt;"",
IF(LEFT(INDIRECT("'数出表_Excel（アレルギー入力）'!A"&amp;MATCH(F2,INDIRECT("'数出表_Excel（アレルギー入力）'!"&amp;P2&amp;":"&amp;P2&amp;""),0)),2)="博多",
LEFT(INDIRECT("'数出表_Excel（アレルギー入力）'!A"&amp;MATCH(F2,INDIRECT("'数出表_Excel（アレルギー入力）'!"&amp;P2&amp;":"&amp;P2&amp;""),0)),FIND("週",INDIRECT("'数出表_Excel（アレルギー入力）'!A"&amp;MATCH(F2,INDIRECT("'数出表_Excel（アレルギー入力）'!"&amp;P2&amp;":"&amp;P2&amp;""),0)))-1),
INDIRECT("'数出表_Excel（アレルギー入力）'!A"&amp;MATCH(F2,INDIRECT("'数出表_Excel（アレルギー入力）'!"&amp;P2&amp;":"&amp;P2&amp;""),0))),"")</f>
        <v/>
      </c>
      <c r="B2" s="57">
        <f t="array" aca="1" ref="B2" ca="1">IF(OR(COUNTIF(INDIRECT("'数出表_Excel（アレルギー入力）'!"&amp;P2&amp;"3"),"*カレー*"),COUNTIF(INDIRECT("'数出表_Excel（アレルギー入力）'!"&amp;P2&amp;"3"),"*どん*"),COUNTIF(INDIRECT("'数出表_Excel（アレルギー入力）'!"&amp;P2&amp;"3"),"*配膳*")),"",
INDIRECT("'数出表_Excel（アレルギー入力）'!"&amp;P2&amp;"3"))</f>
        <v>0</v>
      </c>
      <c r="C2" s="57"/>
      <c r="D2" s="57"/>
      <c r="E2" s="57"/>
      <c r="F2" s="57" t="str">
        <f t="array" aca="1" ref="F2" ca="1">IFERROR(IF(B2&lt;&gt;"",
INDIRECT("'数出表_Excel（アレルギー入力）'!"&amp;P2&amp;O2&amp;""),""),"")</f>
        <v/>
      </c>
      <c r="G2" s="57"/>
      <c r="H2" s="57"/>
      <c r="I2" s="57"/>
      <c r="J2" s="57"/>
      <c r="K2" s="57"/>
      <c r="L2" s="57"/>
      <c r="M2" s="57"/>
      <c r="N2" s="57"/>
      <c r="O2">
        <f t="array" aca="1" ref="O2" ca="1">MIN(IF((MOD(ROW(INDIRECT("'数出表_Excel（アレルギー入力）'!"&amp;P2&amp;"6:"&amp;P2&amp;"145")),2)=1)*(ISNUMBER(INDIRECT("'数出表_Excel（アレルギー入力）'!"&amp;P2&amp;"6:"&amp;P2&amp;"145"))),ROW(INDIRECT("'数出表_Excel（アレルギー入力）'!"&amp;P2&amp;"6:"&amp;P2&amp;"145")),""))</f>
        <v>0</v>
      </c>
      <c r="P2" t="s">
        <v>174</v>
      </c>
      <c r="R2" s="178" t="str">
        <f t="array" aca="1" ref="R2" ca="1">IFERROR(INDEX($A:$A,SMALL(IF($A$1:$A$64&lt;&gt;"",ROW($A$1:$A$64)),ROW(A2))),"")</f>
        <v/>
      </c>
      <c r="S2" s="178" t="str">
        <f t="shared" ca="1" si="0"/>
        <v/>
      </c>
      <c r="T2" s="178" t="str">
        <f t="shared" ca="1" si="1"/>
        <v/>
      </c>
    </row>
    <row r="3" spans="1:20">
      <c r="A3" s="57" t="str">
        <f t="array" aca="1" ref="A3" ca="1">IF(F3&lt;&gt;"",
IF(LEFT(INDIRECT("'数出表_Excel（アレルギー入力）'!A"&amp;MATCH(F3,INDIRECT("'数出表_Excel（アレルギー入力）'!"&amp;P3&amp;":"&amp;P3&amp;""),0)),2)="博多",
LEFT(INDIRECT("'数出表_Excel（アレルギー入力）'!A"&amp;MATCH(F3,INDIRECT("'数出表_Excel（アレルギー入力）'!"&amp;P3&amp;":"&amp;P3&amp;""),0)),FIND("週",INDIRECT("'数出表_Excel（アレルギー入力）'!A"&amp;MATCH(F3,INDIRECT("'数出表_Excel（アレルギー入力）'!"&amp;P3&amp;":"&amp;P3&amp;""),0)))-1),
INDIRECT("'数出表_Excel（アレルギー入力）'!A"&amp;MATCH(F3,INDIRECT("'数出表_Excel（アレルギー入力）'!"&amp;P3&amp;":"&amp;P3&amp;""),0))),"")</f>
        <v/>
      </c>
      <c r="B3" s="57">
        <f t="array" aca="1" ref="B3" ca="1">IF(OR(COUNTIF(INDIRECT("'数出表_Excel（アレルギー入力）'!"&amp;P3&amp;"3"),"*カレー*"),COUNTIF(INDIRECT("'数出表_Excel（アレルギー入力）'!"&amp;P3&amp;"3"),"*どん*"),COUNTIF(INDIRECT("'数出表_Excel（アレルギー入力）'!"&amp;P3&amp;"3"),"*配膳*")),"",
INDIRECT("'数出表_Excel（アレルギー入力）'!"&amp;P3&amp;"3"))</f>
        <v>0</v>
      </c>
      <c r="C3" s="57"/>
      <c r="D3" s="57"/>
      <c r="E3" s="57"/>
      <c r="F3" s="57" t="str">
        <f t="array" aca="1" ref="F3" ca="1">IFERROR(IF(B3&lt;&gt;"",
INDIRECT("'数出表_Excel（アレルギー入力）'!"&amp;P3&amp;O3&amp;""),""),"")</f>
        <v/>
      </c>
      <c r="G3" s="57"/>
      <c r="H3" s="57"/>
      <c r="I3" s="57"/>
      <c r="J3" s="57"/>
      <c r="K3" s="57"/>
      <c r="L3" s="57"/>
      <c r="M3" s="57"/>
      <c r="N3" s="57"/>
      <c r="O3">
        <f t="array" aca="1" ref="O3" ca="1">MIN(IF((MOD(ROW(INDIRECT("'数出表_Excel（アレルギー入力）'!"&amp;P3&amp;"6:"&amp;P3&amp;"145")),2)=1)*(ISNUMBER(INDIRECT("'数出表_Excel（アレルギー入力）'!"&amp;P3&amp;"6:"&amp;P3&amp;"145"))),ROW(INDIRECT("'数出表_Excel（アレルギー入力）'!"&amp;P3&amp;"6:"&amp;P3&amp;"145")),""))</f>
        <v>0</v>
      </c>
      <c r="P3" t="s">
        <v>175</v>
      </c>
      <c r="R3" s="178" t="str">
        <f t="array" aca="1" ref="R3" ca="1">IFERROR(INDEX($A:$A,SMALL(IF($A$1:$A$64&lt;&gt;"",ROW($A$1:$A$64)),ROW(A3))),"")</f>
        <v/>
      </c>
      <c r="S3" s="178" t="str">
        <f t="shared" ca="1" si="0"/>
        <v/>
      </c>
      <c r="T3" s="178" t="str">
        <f t="shared" ca="1" si="1"/>
        <v/>
      </c>
    </row>
    <row r="4" spans="1:20">
      <c r="A4" s="57" t="str">
        <f t="array" aca="1" ref="A4" ca="1">IF(F4&lt;&gt;"",
IF(LEFT(INDIRECT("'数出表_Excel（アレルギー入力）'!A"&amp;MATCH(F4,INDIRECT("'数出表_Excel（アレルギー入力）'!"&amp;P4&amp;":"&amp;P4&amp;""),0)),2)="博多",
LEFT(INDIRECT("'数出表_Excel（アレルギー入力）'!A"&amp;MATCH(F4,INDIRECT("'数出表_Excel（アレルギー入力）'!"&amp;P4&amp;":"&amp;P4&amp;""),0)),FIND("週",INDIRECT("'数出表_Excel（アレルギー入力）'!A"&amp;MATCH(F4,INDIRECT("'数出表_Excel（アレルギー入力）'!"&amp;P4&amp;":"&amp;P4&amp;""),0)))-1),
INDIRECT("'数出表_Excel（アレルギー入力）'!A"&amp;MATCH(F4,INDIRECT("'数出表_Excel（アレルギー入力）'!"&amp;P4&amp;":"&amp;P4&amp;""),0))),"")</f>
        <v/>
      </c>
      <c r="B4" s="57">
        <f t="array" aca="1" ref="B4" ca="1">IF(OR(COUNTIF(INDIRECT("'数出表_Excel（アレルギー入力）'!"&amp;P4&amp;"3"),"*カレー*"),COUNTIF(INDIRECT("'数出表_Excel（アレルギー入力）'!"&amp;P4&amp;"3"),"*どん*"),COUNTIF(INDIRECT("'数出表_Excel（アレルギー入力）'!"&amp;P4&amp;"3"),"*配膳*")),"",
INDIRECT("'数出表_Excel（アレルギー入力）'!"&amp;P4&amp;"3"))</f>
        <v>0</v>
      </c>
      <c r="C4" s="57"/>
      <c r="D4" s="57"/>
      <c r="E4" s="57"/>
      <c r="F4" s="57" t="str">
        <f t="array" aca="1" ref="F4" ca="1">IFERROR(IF(B4&lt;&gt;"",
INDIRECT("'数出表_Excel（アレルギー入力）'!"&amp;P4&amp;O4&amp;""),""),"")</f>
        <v/>
      </c>
      <c r="G4" s="57"/>
      <c r="H4" s="57"/>
      <c r="I4" s="57"/>
      <c r="J4" s="57"/>
      <c r="K4" s="57"/>
      <c r="L4" s="57"/>
      <c r="M4" s="57"/>
      <c r="N4" s="57"/>
      <c r="O4">
        <f t="array" aca="1" ref="O4" ca="1">MIN(IF((MOD(ROW(INDIRECT("'数出表_Excel（アレルギー入力）'!"&amp;P4&amp;"6:"&amp;P4&amp;"145")),2)=1)*(ISNUMBER(INDIRECT("'数出表_Excel（アレルギー入力）'!"&amp;P4&amp;"6:"&amp;P4&amp;"145"))),ROW(INDIRECT("'数出表_Excel（アレルギー入力）'!"&amp;P4&amp;"6:"&amp;P4&amp;"145")),""))</f>
        <v>0</v>
      </c>
      <c r="P4" t="s">
        <v>176</v>
      </c>
      <c r="R4" s="178" t="str">
        <f t="array" aca="1" ref="R4" ca="1">IFERROR(INDEX($A:$A,SMALL(IF($A$1:$A$64&lt;&gt;"",ROW($A$1:$A$64)),ROW(A4))),"")</f>
        <v/>
      </c>
      <c r="S4" s="178" t="str">
        <f t="shared" ca="1" si="0"/>
        <v/>
      </c>
      <c r="T4" s="178" t="str">
        <f t="shared" ca="1" si="1"/>
        <v/>
      </c>
    </row>
    <row r="5" spans="1:20">
      <c r="A5" s="57" t="str">
        <f t="array" aca="1" ref="A5" ca="1">IF(F5&lt;&gt;"",
IF(LEFT(INDIRECT("'数出表_Excel（アレルギー入力）'!A"&amp;MATCH(F5,INDIRECT("'数出表_Excel（アレルギー入力）'!"&amp;P5&amp;":"&amp;P5&amp;""),0)),2)="博多",
LEFT(INDIRECT("'数出表_Excel（アレルギー入力）'!A"&amp;MATCH(F5,INDIRECT("'数出表_Excel（アレルギー入力）'!"&amp;P5&amp;":"&amp;P5&amp;""),0)),FIND("週",INDIRECT("'数出表_Excel（アレルギー入力）'!A"&amp;MATCH(F5,INDIRECT("'数出表_Excel（アレルギー入力）'!"&amp;P5&amp;":"&amp;P5&amp;""),0)))-1),
INDIRECT("'数出表_Excel（アレルギー入力）'!A"&amp;MATCH(F5,INDIRECT("'数出表_Excel（アレルギー入力）'!"&amp;P5&amp;":"&amp;P5&amp;""),0))),"")</f>
        <v/>
      </c>
      <c r="B5" s="57">
        <f t="array" aca="1" ref="B5" ca="1">IF(OR(COUNTIF(INDIRECT("'数出表_Excel（アレルギー入力）'!"&amp;P5&amp;"3"),"*カレー*"),COUNTIF(INDIRECT("'数出表_Excel（アレルギー入力）'!"&amp;P5&amp;"3"),"*どん*"),COUNTIF(INDIRECT("'数出表_Excel（アレルギー入力）'!"&amp;P5&amp;"3"),"*配膳*")),"",
INDIRECT("'数出表_Excel（アレルギー入力）'!"&amp;P5&amp;"3"))</f>
        <v>0</v>
      </c>
      <c r="C5" s="57"/>
      <c r="D5" s="57"/>
      <c r="E5" s="57"/>
      <c r="F5" s="57" t="str">
        <f t="array" aca="1" ref="F5" ca="1">IFERROR(IF(B5&lt;&gt;"",
INDIRECT("'数出表_Excel（アレルギー入力）'!"&amp;P5&amp;O5&amp;""),""),"")</f>
        <v/>
      </c>
      <c r="G5" s="57"/>
      <c r="H5" s="57"/>
      <c r="I5" s="57"/>
      <c r="J5" s="57"/>
      <c r="K5" s="57"/>
      <c r="L5" s="57"/>
      <c r="M5" s="57"/>
      <c r="N5" s="57"/>
      <c r="O5">
        <f t="array" aca="1" ref="O5" ca="1">MIN(IF((MOD(ROW(INDIRECT("'数出表_Excel（アレルギー入力）'!"&amp;P5&amp;"6:"&amp;P5&amp;"145")),2)=1)*(ISNUMBER(INDIRECT("'数出表_Excel（アレルギー入力）'!"&amp;P5&amp;"6:"&amp;P5&amp;"145"))),ROW(INDIRECT("'数出表_Excel（アレルギー入力）'!"&amp;P5&amp;"6:"&amp;P5&amp;"145")),""))</f>
        <v>0</v>
      </c>
      <c r="P5" t="s">
        <v>177</v>
      </c>
      <c r="R5" s="178" t="str">
        <f t="array" aca="1" ref="R5" ca="1">IFERROR(INDEX($A:$A,SMALL(IF($A$1:$A$64&lt;&gt;"",ROW($A$1:$A$64)),ROW(A5))),"")</f>
        <v/>
      </c>
      <c r="S5" s="178" t="str">
        <f t="shared" ca="1" si="0"/>
        <v/>
      </c>
      <c r="T5" s="178" t="str">
        <f t="shared" ca="1" si="1"/>
        <v/>
      </c>
    </row>
    <row r="6" spans="1:20">
      <c r="A6" s="57" t="str">
        <f t="array" aca="1" ref="A6" ca="1">IF(F6&lt;&gt;"",
IF(LEFT(INDIRECT("'数出表_Excel（アレルギー入力）'!A"&amp;MATCH(F6,INDIRECT("'数出表_Excel（アレルギー入力）'!"&amp;P6&amp;":"&amp;P6&amp;""),0)),2)="博多",
LEFT(INDIRECT("'数出表_Excel（アレルギー入力）'!A"&amp;MATCH(F6,INDIRECT("'数出表_Excel（アレルギー入力）'!"&amp;P6&amp;":"&amp;P6&amp;""),0)),FIND("週",INDIRECT("'数出表_Excel（アレルギー入力）'!A"&amp;MATCH(F6,INDIRECT("'数出表_Excel（アレルギー入力）'!"&amp;P6&amp;":"&amp;P6&amp;""),0)))-1),
INDIRECT("'数出表_Excel（アレルギー入力）'!A"&amp;MATCH(F6,INDIRECT("'数出表_Excel（アレルギー入力）'!"&amp;P6&amp;":"&amp;P6&amp;""),0))),"")</f>
        <v/>
      </c>
      <c r="B6" s="57">
        <f t="array" aca="1" ref="B6" ca="1">IF(OR(COUNTIF(INDIRECT("'数出表_Excel（アレルギー入力）'!"&amp;P6&amp;"3"),"*カレー*"),COUNTIF(INDIRECT("'数出表_Excel（アレルギー入力）'!"&amp;P6&amp;"3"),"*どん*"),COUNTIF(INDIRECT("'数出表_Excel（アレルギー入力）'!"&amp;P6&amp;"3"),"*配膳*")),"",
INDIRECT("'数出表_Excel（アレルギー入力）'!"&amp;P6&amp;"3"))</f>
        <v>0</v>
      </c>
      <c r="C6" s="57"/>
      <c r="D6" s="57"/>
      <c r="E6" s="57"/>
      <c r="F6" s="57" t="str">
        <f t="array" aca="1" ref="F6" ca="1">IFERROR(IF(B6&lt;&gt;"",
INDIRECT("'数出表_Excel（アレルギー入力）'!"&amp;P6&amp;O6&amp;""),""),"")</f>
        <v/>
      </c>
      <c r="G6" s="57"/>
      <c r="H6" s="57"/>
      <c r="I6" s="57"/>
      <c r="J6" s="57"/>
      <c r="K6" s="57"/>
      <c r="L6" s="57"/>
      <c r="M6" s="57"/>
      <c r="N6" s="57"/>
      <c r="O6">
        <f t="array" aca="1" ref="O6" ca="1">MIN(IF((MOD(ROW(INDIRECT("'数出表_Excel（アレルギー入力）'!"&amp;P6&amp;"6:"&amp;P6&amp;"145")),2)=1)*(ISNUMBER(INDIRECT("'数出表_Excel（アレルギー入力）'!"&amp;P6&amp;"6:"&amp;P6&amp;"145"))),ROW(INDIRECT("'数出表_Excel（アレルギー入力）'!"&amp;P6&amp;"6:"&amp;P6&amp;"145")),""))</f>
        <v>0</v>
      </c>
      <c r="P6" t="s">
        <v>178</v>
      </c>
      <c r="R6" s="178" t="str">
        <f t="array" aca="1" ref="R6" ca="1">IFERROR(INDEX($A:$A,SMALL(IF($A$1:$A$64&lt;&gt;"",ROW($A$1:$A$64)),ROW(A6))),"")</f>
        <v/>
      </c>
      <c r="S6" s="178" t="str">
        <f t="shared" ca="1" si="0"/>
        <v/>
      </c>
      <c r="T6" s="178" t="str">
        <f t="shared" ca="1" si="1"/>
        <v/>
      </c>
    </row>
    <row r="7" spans="1:20">
      <c r="A7" s="57" t="str">
        <f t="array" aca="1" ref="A7" ca="1">IF(F7&lt;&gt;"",
IF(LEFT(INDIRECT("'数出表_Excel（アレルギー入力）'!A"&amp;MATCH(F7,INDIRECT("'数出表_Excel（アレルギー入力）'!"&amp;P7&amp;":"&amp;P7&amp;""),0)),2)="博多",
LEFT(INDIRECT("'数出表_Excel（アレルギー入力）'!A"&amp;MATCH(F7,INDIRECT("'数出表_Excel（アレルギー入力）'!"&amp;P7&amp;":"&amp;P7&amp;""),0)),FIND("週",INDIRECT("'数出表_Excel（アレルギー入力）'!A"&amp;MATCH(F7,INDIRECT("'数出表_Excel（アレルギー入力）'!"&amp;P7&amp;":"&amp;P7&amp;""),0)))-1),
INDIRECT("'数出表_Excel（アレルギー入力）'!A"&amp;MATCH(F7,INDIRECT("'数出表_Excel（アレルギー入力）'!"&amp;P7&amp;":"&amp;P7&amp;""),0))),"")</f>
        <v/>
      </c>
      <c r="B7" s="57">
        <f t="array" aca="1" ref="B7" ca="1">IF(OR(COUNTIF(INDIRECT("'数出表_Excel（アレルギー入力）'!"&amp;P7&amp;"3"),"*カレー*"),COUNTIF(INDIRECT("'数出表_Excel（アレルギー入力）'!"&amp;P7&amp;"3"),"*どん*"),COUNTIF(INDIRECT("'数出表_Excel（アレルギー入力）'!"&amp;P7&amp;"3"),"*配膳*")),"",
INDIRECT("'数出表_Excel（アレルギー入力）'!"&amp;P7&amp;"3"))</f>
        <v>0</v>
      </c>
      <c r="C7" s="57"/>
      <c r="D7" s="57"/>
      <c r="E7" s="57"/>
      <c r="F7" s="57" t="str">
        <f t="array" aca="1" ref="F7" ca="1">IFERROR(IF(B7&lt;&gt;"",
INDIRECT("'数出表_Excel（アレルギー入力）'!"&amp;P7&amp;O7&amp;""),""),"")</f>
        <v/>
      </c>
      <c r="G7" s="57"/>
      <c r="H7" s="57"/>
      <c r="I7" s="57"/>
      <c r="J7" s="57"/>
      <c r="K7" s="57"/>
      <c r="L7" s="57"/>
      <c r="M7" s="57"/>
      <c r="N7" s="57"/>
      <c r="O7">
        <f t="array" aca="1" ref="O7" ca="1">MIN(IF((MOD(ROW(INDIRECT("'数出表_Excel（アレルギー入力）'!"&amp;P7&amp;"6:"&amp;P7&amp;"145")),2)=1)*(ISNUMBER(INDIRECT("'数出表_Excel（アレルギー入力）'!"&amp;P7&amp;"6:"&amp;P7&amp;"145"))),ROW(INDIRECT("'数出表_Excel（アレルギー入力）'!"&amp;P7&amp;"6:"&amp;P7&amp;"145")),""))</f>
        <v>0</v>
      </c>
      <c r="P7" t="s">
        <v>179</v>
      </c>
      <c r="R7" s="178" t="str">
        <f t="array" aca="1" ref="R7" ca="1">IFERROR(INDEX($A:$A,SMALL(IF($A$1:$A$64&lt;&gt;"",ROW($A$1:$A$64)),ROW(A7))),"")</f>
        <v/>
      </c>
      <c r="S7" s="178" t="str">
        <f t="shared" ca="1" si="0"/>
        <v/>
      </c>
      <c r="T7" s="178" t="str">
        <f t="shared" ca="1" si="1"/>
        <v/>
      </c>
    </row>
    <row r="8" spans="1:20">
      <c r="A8" s="57" t="str">
        <f t="array" aca="1" ref="A8" ca="1">IF(F8&lt;&gt;"",
IF(LEFT(INDIRECT("'数出表_Excel（アレルギー入力）'!A"&amp;MATCH(F8,INDIRECT("'数出表_Excel（アレルギー入力）'!"&amp;P8&amp;":"&amp;P8&amp;""),0)),2)="博多",
LEFT(INDIRECT("'数出表_Excel（アレルギー入力）'!A"&amp;MATCH(F8,INDIRECT("'数出表_Excel（アレルギー入力）'!"&amp;P8&amp;":"&amp;P8&amp;""),0)),FIND("週",INDIRECT("'数出表_Excel（アレルギー入力）'!A"&amp;MATCH(F8,INDIRECT("'数出表_Excel（アレルギー入力）'!"&amp;P8&amp;":"&amp;P8&amp;""),0)))-1),
INDIRECT("'数出表_Excel（アレルギー入力）'!A"&amp;MATCH(F8,INDIRECT("'数出表_Excel（アレルギー入力）'!"&amp;P8&amp;":"&amp;P8&amp;""),0))),"")</f>
        <v/>
      </c>
      <c r="B8" s="57">
        <f t="array" aca="1" ref="B8" ca="1">IF(OR(COUNTIF(INDIRECT("'数出表_Excel（アレルギー入力）'!"&amp;P8&amp;"3"),"*カレー*"),COUNTIF(INDIRECT("'数出表_Excel（アレルギー入力）'!"&amp;P8&amp;"3"),"*どん*"),COUNTIF(INDIRECT("'数出表_Excel（アレルギー入力）'!"&amp;P8&amp;"3"),"*配膳*")),"",
INDIRECT("'数出表_Excel（アレルギー入力）'!"&amp;P8&amp;"3"))</f>
        <v>0</v>
      </c>
      <c r="C8" s="57"/>
      <c r="D8" s="57"/>
      <c r="E8" s="57"/>
      <c r="F8" s="57" t="str">
        <f t="array" aca="1" ref="F8" ca="1">IFERROR(IF(B8&lt;&gt;"",
INDIRECT("'数出表_Excel（アレルギー入力）'!"&amp;P8&amp;O8&amp;""),""),"")</f>
        <v/>
      </c>
      <c r="G8" s="57"/>
      <c r="H8" s="57"/>
      <c r="I8" s="57"/>
      <c r="J8" s="57"/>
      <c r="K8" s="57"/>
      <c r="L8" s="57"/>
      <c r="M8" s="57"/>
      <c r="N8" s="57"/>
      <c r="O8">
        <f t="array" aca="1" ref="O8" ca="1">MIN(IF((MOD(ROW(INDIRECT("'数出表_Excel（アレルギー入力）'!"&amp;P8&amp;"6:"&amp;P8&amp;"145")),2)=1)*(ISNUMBER(INDIRECT("'数出表_Excel（アレルギー入力）'!"&amp;P8&amp;"6:"&amp;P8&amp;"145"))),ROW(INDIRECT("'数出表_Excel（アレルギー入力）'!"&amp;P8&amp;"6:"&amp;P8&amp;"145")),""))</f>
        <v>0</v>
      </c>
      <c r="P8" t="s">
        <v>180</v>
      </c>
      <c r="R8" s="178" t="str">
        <f t="array" aca="1" ref="R8" ca="1">IFERROR(INDEX($A:$A,SMALL(IF($A$1:$A$64&lt;&gt;"",ROW($A$1:$A$64)),ROW(A8))),"")</f>
        <v/>
      </c>
      <c r="S8" s="178" t="str">
        <f t="shared" ca="1" si="0"/>
        <v/>
      </c>
      <c r="T8" s="178" t="str">
        <f t="shared" ca="1" si="1"/>
        <v/>
      </c>
    </row>
    <row r="9" spans="1:20">
      <c r="A9" s="78" t="str">
        <f t="array" aca="1" ref="A9" ca="1">IF(F9&lt;&gt;"",
IF(LEFT(INDIRECT("'数出表_Excel（アレルギー入力）'!A"&amp;MATCH(F9,INDIRECT("'数出表_Excel（アレルギー入力）'!"&amp;P9&amp;":"&amp;P9&amp;""),0)),2)="博多",
LEFT(INDIRECT("'数出表_Excel（アレルギー入力）'!A"&amp;MATCH(F9,INDIRECT("'数出表_Excel（アレルギー入力）'!"&amp;P9&amp;":"&amp;P9&amp;""),0)),FIND("週",INDIRECT("'数出表_Excel（アレルギー入力）'!A"&amp;MATCH(F9,INDIRECT("'数出表_Excel（アレルギー入力）'!"&amp;P9&amp;":"&amp;P9&amp;""),0)))-1),
INDIRECT("'数出表_Excel（アレルギー入力）'!A"&amp;MATCH(F9,INDIRECT("'数出表_Excel（アレルギー入力）'!"&amp;P9&amp;":"&amp;P9&amp;""),0))),"")</f>
        <v/>
      </c>
      <c r="B9" s="78" t="str">
        <f t="array" aca="1" ref="B9" ca="1">IF(AND(B1&lt;&gt;"",O9&lt;&gt;0),
IF(INDIRECT("'数出表_Excel（アレルギー入力）'!"&amp;P9&amp;"147")&lt;&gt;F1,B1,""),"")</f>
        <v/>
      </c>
      <c r="C9" s="78"/>
      <c r="D9" s="78"/>
      <c r="E9" s="78"/>
      <c r="F9" s="78" t="str">
        <f t="array" aca="1" ref="F9" ca="1">IF(B9&lt;&gt;"",INDIRECT("'数出表_Excel（アレルギー入力）'!"&amp;P9&amp;
MIN(IF((MOD(ROW(INDIRECT("'数出表_Excel（アレルギー入力）'!"&amp;P9&amp;O1+1&amp;":"&amp;P9&amp;"145")),2)=1)*(ISNUMBER(INDIRECT("'数出表_Excel（アレルギー入力）'!"&amp;P9&amp;O1+1&amp;":"&amp;P9&amp;"145"))),ROW(INDIRECT("'数出表_Excel（アレルギー入力）'!"&amp;P9&amp;O1+1&amp;":"&amp;P9&amp;"145")),""))
&amp;""),"")</f>
        <v/>
      </c>
      <c r="G9" s="78"/>
      <c r="H9" s="78"/>
      <c r="I9" s="78"/>
      <c r="J9" s="78"/>
      <c r="K9" s="78"/>
      <c r="L9" s="78"/>
      <c r="M9" s="78"/>
      <c r="N9" s="78"/>
      <c r="O9">
        <f t="array" aca="1" ref="O9" ca="1">IF(O1&lt;&gt;0,
MIN(IF((MOD(ROW(INDIRECT("'数出表_Excel（アレルギー入力）'!"&amp;P9&amp;O1+1&amp;":"&amp;P9&amp;"145")),2)=1)*(ISNUMBER(INDIRECT("'数出表_Excel（アレルギー入力）'!"&amp;P9&amp;O1+1&amp;":"&amp;P9&amp;"145"))),ROW(INDIRECT("'数出表_Excel（アレルギー入力）'!"&amp;P9&amp;O1+1&amp;":"&amp;P9&amp;"145")),"")),0)</f>
        <v>0</v>
      </c>
      <c r="P9" t="s">
        <v>173</v>
      </c>
      <c r="R9" s="178" t="str">
        <f t="array" aca="1" ref="R9" ca="1">IFERROR(INDEX($A:$A,SMALL(IF($A$1:$A$64&lt;&gt;"",ROW($A$1:$A$64)),ROW(A9))),"")</f>
        <v/>
      </c>
      <c r="S9" s="178" t="str">
        <f t="shared" ca="1" si="0"/>
        <v/>
      </c>
      <c r="T9" s="178" t="str">
        <f t="shared" ca="1" si="1"/>
        <v/>
      </c>
    </row>
    <row r="10" spans="1:20">
      <c r="A10" s="78" t="str">
        <f t="array" aca="1" ref="A10" ca="1">IF(F10&lt;&gt;"",
IF(LEFT(INDIRECT("'数出表_Excel（アレルギー入力）'!A"&amp;MATCH(F10,INDIRECT("'数出表_Excel（アレルギー入力）'!"&amp;P10&amp;":"&amp;P10&amp;""),0)),2)="博多",
LEFT(INDIRECT("'数出表_Excel（アレルギー入力）'!A"&amp;MATCH(F10,INDIRECT("'数出表_Excel（アレルギー入力）'!"&amp;P10&amp;":"&amp;P10&amp;""),0)),FIND("週",INDIRECT("'数出表_Excel（アレルギー入力）'!A"&amp;MATCH(F10,INDIRECT("'数出表_Excel（アレルギー入力）'!"&amp;P10&amp;":"&amp;P10&amp;""),0)))-1),
INDIRECT("'数出表_Excel（アレルギー入力）'!A"&amp;MATCH(F10,INDIRECT("'数出表_Excel（アレルギー入力）'!"&amp;P10&amp;":"&amp;P10&amp;""),0))),"")</f>
        <v/>
      </c>
      <c r="B10" s="78" t="str">
        <f t="array" aca="1" ref="B10" ca="1">IF(AND(B2&lt;&gt;"",O10&lt;&gt;0),
IF(INDIRECT("'数出表_Excel（アレルギー入力）'!"&amp;P10&amp;"147")&lt;&gt;F2,B2,""),"")</f>
        <v/>
      </c>
      <c r="C10" s="78"/>
      <c r="D10" s="78"/>
      <c r="E10" s="78"/>
      <c r="F10" s="78" t="str">
        <f t="array" aca="1" ref="F10" ca="1">IF(B10&lt;&gt;"",INDIRECT("'数出表_Excel（アレルギー入力）'!"&amp;P10&amp;
MIN(IF((MOD(ROW(INDIRECT("'数出表_Excel（アレルギー入力）'!"&amp;P10&amp;O2+1&amp;":"&amp;P10&amp;"145")),2)=1)*(ISNUMBER(INDIRECT("'数出表_Excel（アレルギー入力）'!"&amp;P10&amp;O2+1&amp;":"&amp;P10&amp;"145"))),ROW(INDIRECT("'数出表_Excel（アレルギー入力）'!"&amp;P10&amp;O2+1&amp;":"&amp;P10&amp;"145")),""))
&amp;""),"")</f>
        <v/>
      </c>
      <c r="G10" s="78"/>
      <c r="H10" s="78"/>
      <c r="I10" s="78"/>
      <c r="J10" s="78"/>
      <c r="K10" s="78"/>
      <c r="L10" s="78"/>
      <c r="M10" s="78"/>
      <c r="N10" s="78"/>
      <c r="O10">
        <f t="array" aca="1" ref="O10" ca="1">IF(O2&lt;&gt;0,
MIN(IF((MOD(ROW(INDIRECT("'数出表_Excel（アレルギー入力）'!"&amp;P10&amp;O2+1&amp;":"&amp;P10&amp;"145")),2)=1)*(ISNUMBER(INDIRECT("'数出表_Excel（アレルギー入力）'!"&amp;P10&amp;O2+1&amp;":"&amp;P10&amp;"145"))),ROW(INDIRECT("'数出表_Excel（アレルギー入力）'!"&amp;P10&amp;O2+1&amp;":"&amp;P10&amp;"145")),"")),0)</f>
        <v>0</v>
      </c>
      <c r="P10" t="s">
        <v>174</v>
      </c>
      <c r="R10" s="178" t="str">
        <f t="array" aca="1" ref="R10" ca="1">IFERROR(INDEX($A:$A,SMALL(IF($A$1:$A$64&lt;&gt;"",ROW($A$1:$A$64)),ROW(A10))),"")</f>
        <v/>
      </c>
      <c r="S10" s="178" t="str">
        <f t="shared" ca="1" si="0"/>
        <v/>
      </c>
      <c r="T10" s="178" t="str">
        <f t="shared" ca="1" si="1"/>
        <v/>
      </c>
    </row>
    <row r="11" spans="1:20">
      <c r="A11" s="78" t="str">
        <f t="array" aca="1" ref="A11" ca="1">IF(F11&lt;&gt;"",
IF(LEFT(INDIRECT("'数出表_Excel（アレルギー入力）'!A"&amp;MATCH(F11,INDIRECT("'数出表_Excel（アレルギー入力）'!"&amp;P11&amp;":"&amp;P11&amp;""),0)),2)="博多",
LEFT(INDIRECT("'数出表_Excel（アレルギー入力）'!A"&amp;MATCH(F11,INDIRECT("'数出表_Excel（アレルギー入力）'!"&amp;P11&amp;":"&amp;P11&amp;""),0)),FIND("週",INDIRECT("'数出表_Excel（アレルギー入力）'!A"&amp;MATCH(F11,INDIRECT("'数出表_Excel（アレルギー入力）'!"&amp;P11&amp;":"&amp;P11&amp;""),0)))-1),
INDIRECT("'数出表_Excel（アレルギー入力）'!A"&amp;MATCH(F11,INDIRECT("'数出表_Excel（アレルギー入力）'!"&amp;P11&amp;":"&amp;P11&amp;""),0))),"")</f>
        <v/>
      </c>
      <c r="B11" s="78" t="str">
        <f t="array" aca="1" ref="B11" ca="1">IF(AND(B3&lt;&gt;"",O11&lt;&gt;0),
IF(INDIRECT("'数出表_Excel（アレルギー入力）'!"&amp;P11&amp;"147")&lt;&gt;F3,B3,""),"")</f>
        <v/>
      </c>
      <c r="C11" s="78"/>
      <c r="D11" s="78"/>
      <c r="E11" s="78"/>
      <c r="F11" s="78" t="str">
        <f t="array" aca="1" ref="F11" ca="1">IF(B11&lt;&gt;"",INDIRECT("'数出表_Excel（アレルギー入力）'!"&amp;P11&amp;
MIN(IF((MOD(ROW(INDIRECT("'数出表_Excel（アレルギー入力）'!"&amp;P11&amp;O3+1&amp;":"&amp;P11&amp;"145")),2)=1)*(ISNUMBER(INDIRECT("'数出表_Excel（アレルギー入力）'!"&amp;P11&amp;O3+1&amp;":"&amp;P11&amp;"145"))),ROW(INDIRECT("'数出表_Excel（アレルギー入力）'!"&amp;P11&amp;O3+1&amp;":"&amp;P11&amp;"145")),""))
&amp;""),"")</f>
        <v/>
      </c>
      <c r="G11" s="78"/>
      <c r="H11" s="78"/>
      <c r="I11" s="78"/>
      <c r="J11" s="78"/>
      <c r="K11" s="78"/>
      <c r="L11" s="78"/>
      <c r="M11" s="78"/>
      <c r="N11" s="78"/>
      <c r="O11">
        <f t="array" aca="1" ref="O11" ca="1">IF(O3&lt;&gt;0,
MIN(IF((MOD(ROW(INDIRECT("'数出表_Excel（アレルギー入力）'!"&amp;P11&amp;O3+1&amp;":"&amp;P11&amp;"145")),2)=1)*(ISNUMBER(INDIRECT("'数出表_Excel（アレルギー入力）'!"&amp;P11&amp;O3+1&amp;":"&amp;P11&amp;"145"))),ROW(INDIRECT("'数出表_Excel（アレルギー入力）'!"&amp;P11&amp;O3+1&amp;":"&amp;P11&amp;"145")),"")),0)</f>
        <v>0</v>
      </c>
      <c r="P11" t="s">
        <v>175</v>
      </c>
      <c r="R11" s="178" t="str">
        <f t="array" aca="1" ref="R11" ca="1">IFERROR(INDEX($A:$A,SMALL(IF($A$1:$A$64&lt;&gt;"",ROW($A$1:$A$64)),ROW(A11))),"")</f>
        <v/>
      </c>
      <c r="S11" s="178" t="str">
        <f t="shared" ca="1" si="0"/>
        <v/>
      </c>
      <c r="T11" s="178" t="str">
        <f t="shared" ca="1" si="1"/>
        <v/>
      </c>
    </row>
    <row r="12" spans="1:20">
      <c r="A12" s="78" t="str">
        <f t="array" aca="1" ref="A12" ca="1">IF(F12&lt;&gt;"",
IF(LEFT(INDIRECT("'数出表_Excel（アレルギー入力）'!A"&amp;MATCH(F12,INDIRECT("'数出表_Excel（アレルギー入力）'!"&amp;P12&amp;":"&amp;P12&amp;""),0)),2)="博多",
LEFT(INDIRECT("'数出表_Excel（アレルギー入力）'!A"&amp;MATCH(F12,INDIRECT("'数出表_Excel（アレルギー入力）'!"&amp;P12&amp;":"&amp;P12&amp;""),0)),FIND("週",INDIRECT("'数出表_Excel（アレルギー入力）'!A"&amp;MATCH(F12,INDIRECT("'数出表_Excel（アレルギー入力）'!"&amp;P12&amp;":"&amp;P12&amp;""),0)))-1),
INDIRECT("'数出表_Excel（アレルギー入力）'!A"&amp;MATCH(F12,INDIRECT("'数出表_Excel（アレルギー入力）'!"&amp;P12&amp;":"&amp;P12&amp;""),0))),"")</f>
        <v/>
      </c>
      <c r="B12" s="78" t="str">
        <f t="array" aca="1" ref="B12" ca="1">IF(AND(B4&lt;&gt;"",O12&lt;&gt;0),
IF(INDIRECT("'数出表_Excel（アレルギー入力）'!"&amp;P12&amp;"147")&lt;&gt;F4,B4,""),"")</f>
        <v/>
      </c>
      <c r="C12" s="78"/>
      <c r="D12" s="78"/>
      <c r="E12" s="78"/>
      <c r="F12" s="78" t="str">
        <f t="array" aca="1" ref="F12" ca="1">IF(B12&lt;&gt;"",INDIRECT("'数出表_Excel（アレルギー入力）'!"&amp;P12&amp;
MIN(IF((MOD(ROW(INDIRECT("'数出表_Excel（アレルギー入力）'!"&amp;P12&amp;O4+1&amp;":"&amp;P12&amp;"145")),2)=1)*(ISNUMBER(INDIRECT("'数出表_Excel（アレルギー入力）'!"&amp;P12&amp;O4+1&amp;":"&amp;P12&amp;"145"))),ROW(INDIRECT("'数出表_Excel（アレルギー入力）'!"&amp;P12&amp;O4+1&amp;":"&amp;P12&amp;"145")),""))
&amp;""),"")</f>
        <v/>
      </c>
      <c r="G12" s="78"/>
      <c r="H12" s="78"/>
      <c r="I12" s="78"/>
      <c r="J12" s="78"/>
      <c r="K12" s="78"/>
      <c r="L12" s="78"/>
      <c r="M12" s="78"/>
      <c r="N12" s="78"/>
      <c r="O12">
        <f t="array" aca="1" ref="O12" ca="1">IF(O4&lt;&gt;0,
MIN(IF((MOD(ROW(INDIRECT("'数出表_Excel（アレルギー入力）'!"&amp;P12&amp;O4+1&amp;":"&amp;P12&amp;"145")),2)=1)*(ISNUMBER(INDIRECT("'数出表_Excel（アレルギー入力）'!"&amp;P12&amp;O4+1&amp;":"&amp;P12&amp;"145"))),ROW(INDIRECT("'数出表_Excel（アレルギー入力）'!"&amp;P12&amp;O4+1&amp;":"&amp;P12&amp;"145")),"")),0)</f>
        <v>0</v>
      </c>
      <c r="P12" t="s">
        <v>176</v>
      </c>
      <c r="R12" s="178" t="str">
        <f t="array" aca="1" ref="R12" ca="1">IFERROR(INDEX($A:$A,SMALL(IF($A$1:$A$64&lt;&gt;"",ROW($A$1:$A$64)),ROW(A12))),"")</f>
        <v/>
      </c>
      <c r="S12" s="178" t="str">
        <f t="shared" ca="1" si="0"/>
        <v/>
      </c>
      <c r="T12" s="178" t="str">
        <f t="shared" ca="1" si="1"/>
        <v/>
      </c>
    </row>
    <row r="13" spans="1:20">
      <c r="A13" s="78" t="str">
        <f t="array" aca="1" ref="A13" ca="1">IF(F13&lt;&gt;"",
IF(LEFT(INDIRECT("'数出表_Excel（アレルギー入力）'!A"&amp;MATCH(F13,INDIRECT("'数出表_Excel（アレルギー入力）'!"&amp;P13&amp;":"&amp;P13&amp;""),0)),2)="博多",
LEFT(INDIRECT("'数出表_Excel（アレルギー入力）'!A"&amp;MATCH(F13,INDIRECT("'数出表_Excel（アレルギー入力）'!"&amp;P13&amp;":"&amp;P13&amp;""),0)),FIND("週",INDIRECT("'数出表_Excel（アレルギー入力）'!A"&amp;MATCH(F13,INDIRECT("'数出表_Excel（アレルギー入力）'!"&amp;P13&amp;":"&amp;P13&amp;""),0)))-1),
INDIRECT("'数出表_Excel（アレルギー入力）'!A"&amp;MATCH(F13,INDIRECT("'数出表_Excel（アレルギー入力）'!"&amp;P13&amp;":"&amp;P13&amp;""),0))),"")</f>
        <v/>
      </c>
      <c r="B13" s="78" t="str">
        <f t="array" aca="1" ref="B13" ca="1">IF(AND(B5&lt;&gt;"",O13&lt;&gt;0),
IF(INDIRECT("'数出表_Excel（アレルギー入力）'!"&amp;P13&amp;"147")&lt;&gt;F5,B5,""),"")</f>
        <v/>
      </c>
      <c r="C13" s="78"/>
      <c r="D13" s="78"/>
      <c r="E13" s="78"/>
      <c r="F13" s="78" t="str">
        <f t="array" aca="1" ref="F13" ca="1">IF(B13&lt;&gt;"",INDIRECT("'数出表_Excel（アレルギー入力）'!"&amp;P13&amp;
MIN(IF((MOD(ROW(INDIRECT("'数出表_Excel（アレルギー入力）'!"&amp;P13&amp;O5+1&amp;":"&amp;P13&amp;"145")),2)=1)*(ISNUMBER(INDIRECT("'数出表_Excel（アレルギー入力）'!"&amp;P13&amp;O5+1&amp;":"&amp;P13&amp;"145"))),ROW(INDIRECT("'数出表_Excel（アレルギー入力）'!"&amp;P13&amp;O5+1&amp;":"&amp;P13&amp;"145")),""))
&amp;""),"")</f>
        <v/>
      </c>
      <c r="G13" s="78"/>
      <c r="H13" s="78"/>
      <c r="I13" s="78"/>
      <c r="J13" s="78"/>
      <c r="K13" s="78"/>
      <c r="L13" s="78"/>
      <c r="M13" s="78"/>
      <c r="N13" s="78"/>
      <c r="O13">
        <f t="array" aca="1" ref="O13" ca="1">IF(O5&lt;&gt;0,
MIN(IF((MOD(ROW(INDIRECT("'数出表_Excel（アレルギー入力）'!"&amp;P13&amp;O5+1&amp;":"&amp;P13&amp;"145")),2)=1)*(ISNUMBER(INDIRECT("'数出表_Excel（アレルギー入力）'!"&amp;P13&amp;O5+1&amp;":"&amp;P13&amp;"145"))),ROW(INDIRECT("'数出表_Excel（アレルギー入力）'!"&amp;P13&amp;O5+1&amp;":"&amp;P13&amp;"145")),"")),0)</f>
        <v>0</v>
      </c>
      <c r="P13" t="s">
        <v>177</v>
      </c>
      <c r="R13" s="178" t="str">
        <f t="array" aca="1" ref="R13" ca="1">IFERROR(INDEX($A:$A,SMALL(IF($A$1:$A$64&lt;&gt;"",ROW($A$1:$A$64)),ROW(A13))),"")</f>
        <v/>
      </c>
      <c r="S13" s="178" t="str">
        <f t="shared" ca="1" si="0"/>
        <v/>
      </c>
      <c r="T13" s="178" t="str">
        <f t="shared" ca="1" si="1"/>
        <v/>
      </c>
    </row>
    <row r="14" spans="1:20">
      <c r="A14" s="78" t="str">
        <f t="array" aca="1" ref="A14" ca="1">IF(F14&lt;&gt;"",
IF(LEFT(INDIRECT("'数出表_Excel（アレルギー入力）'!A"&amp;MATCH(F14,INDIRECT("'数出表_Excel（アレルギー入力）'!"&amp;P14&amp;":"&amp;P14&amp;""),0)),2)="博多",
LEFT(INDIRECT("'数出表_Excel（アレルギー入力）'!A"&amp;MATCH(F14,INDIRECT("'数出表_Excel（アレルギー入力）'!"&amp;P14&amp;":"&amp;P14&amp;""),0)),FIND("週",INDIRECT("'数出表_Excel（アレルギー入力）'!A"&amp;MATCH(F14,INDIRECT("'数出表_Excel（アレルギー入力）'!"&amp;P14&amp;":"&amp;P14&amp;""),0)))-1),
INDIRECT("'数出表_Excel（アレルギー入力）'!A"&amp;MATCH(F14,INDIRECT("'数出表_Excel（アレルギー入力）'!"&amp;P14&amp;":"&amp;P14&amp;""),0))),"")</f>
        <v/>
      </c>
      <c r="B14" s="78" t="str">
        <f t="array" aca="1" ref="B14" ca="1">IF(AND(B6&lt;&gt;"",O14&lt;&gt;0),
IF(INDIRECT("'数出表_Excel（アレルギー入力）'!"&amp;P14&amp;"147")&lt;&gt;F6,B6,""),"")</f>
        <v/>
      </c>
      <c r="C14" s="78"/>
      <c r="D14" s="78"/>
      <c r="E14" s="78"/>
      <c r="F14" s="78" t="str">
        <f t="array" aca="1" ref="F14" ca="1">IF(B14&lt;&gt;"",INDIRECT("'数出表_Excel（アレルギー入力）'!"&amp;P14&amp;
MIN(IF((MOD(ROW(INDIRECT("'数出表_Excel（アレルギー入力）'!"&amp;P14&amp;O6+1&amp;":"&amp;P14&amp;"145")),2)=1)*(ISNUMBER(INDIRECT("'数出表_Excel（アレルギー入力）'!"&amp;P14&amp;O6+1&amp;":"&amp;P14&amp;"145"))),ROW(INDIRECT("'数出表_Excel（アレルギー入力）'!"&amp;P14&amp;O6+1&amp;":"&amp;P14&amp;"145")),""))
&amp;""),"")</f>
        <v/>
      </c>
      <c r="G14" s="78"/>
      <c r="H14" s="78"/>
      <c r="I14" s="78"/>
      <c r="J14" s="78"/>
      <c r="K14" s="78"/>
      <c r="L14" s="78"/>
      <c r="M14" s="78"/>
      <c r="N14" s="78"/>
      <c r="O14">
        <f t="array" aca="1" ref="O14" ca="1">IF(O6&lt;&gt;0,
MIN(IF((MOD(ROW(INDIRECT("'数出表_Excel（アレルギー入力）'!"&amp;P14&amp;O6+1&amp;":"&amp;P14&amp;"145")),2)=1)*(ISNUMBER(INDIRECT("'数出表_Excel（アレルギー入力）'!"&amp;P14&amp;O6+1&amp;":"&amp;P14&amp;"145"))),ROW(INDIRECT("'数出表_Excel（アレルギー入力）'!"&amp;P14&amp;O6+1&amp;":"&amp;P14&amp;"145")),"")),0)</f>
        <v>0</v>
      </c>
      <c r="P14" t="s">
        <v>178</v>
      </c>
      <c r="R14" s="178" t="str">
        <f t="array" aca="1" ref="R14" ca="1">IFERROR(INDEX($A:$A,SMALL(IF($A$1:$A$64&lt;&gt;"",ROW($A$1:$A$64)),ROW(A14))),"")</f>
        <v/>
      </c>
      <c r="S14" s="178" t="str">
        <f t="shared" ca="1" si="0"/>
        <v/>
      </c>
      <c r="T14" s="178" t="str">
        <f t="shared" ca="1" si="1"/>
        <v/>
      </c>
    </row>
    <row r="15" spans="1:20">
      <c r="A15" s="78" t="str">
        <f t="array" aca="1" ref="A15" ca="1">IF(F15&lt;&gt;"",
IF(LEFT(INDIRECT("'数出表_Excel（アレルギー入力）'!A"&amp;MATCH(F15,INDIRECT("'数出表_Excel（アレルギー入力）'!"&amp;P15&amp;":"&amp;P15&amp;""),0)),2)="博多",
LEFT(INDIRECT("'数出表_Excel（アレルギー入力）'!A"&amp;MATCH(F15,INDIRECT("'数出表_Excel（アレルギー入力）'!"&amp;P15&amp;":"&amp;P15&amp;""),0)),FIND("週",INDIRECT("'数出表_Excel（アレルギー入力）'!A"&amp;MATCH(F15,INDIRECT("'数出表_Excel（アレルギー入力）'!"&amp;P15&amp;":"&amp;P15&amp;""),0)))-1),
INDIRECT("'数出表_Excel（アレルギー入力）'!A"&amp;MATCH(F15,INDIRECT("'数出表_Excel（アレルギー入力）'!"&amp;P15&amp;":"&amp;P15&amp;""),0))),"")</f>
        <v/>
      </c>
      <c r="B15" s="78" t="str">
        <f t="array" aca="1" ref="B15" ca="1">IF(AND(B7&lt;&gt;"",O15&lt;&gt;0),
IF(INDIRECT("'数出表_Excel（アレルギー入力）'!"&amp;P15&amp;"147")&lt;&gt;F7,B7,""),"")</f>
        <v/>
      </c>
      <c r="C15" s="78"/>
      <c r="D15" s="78"/>
      <c r="E15" s="78"/>
      <c r="F15" s="78" t="str">
        <f t="array" aca="1" ref="F15" ca="1">IF(B15&lt;&gt;"",INDIRECT("'数出表_Excel（アレルギー入力）'!"&amp;P15&amp;
MIN(IF((MOD(ROW(INDIRECT("'数出表_Excel（アレルギー入力）'!"&amp;P15&amp;O7+1&amp;":"&amp;P15&amp;"145")),2)=1)*(ISNUMBER(INDIRECT("'数出表_Excel（アレルギー入力）'!"&amp;P15&amp;O7+1&amp;":"&amp;P15&amp;"145"))),ROW(INDIRECT("'数出表_Excel（アレルギー入力）'!"&amp;P15&amp;O7+1&amp;":"&amp;P15&amp;"145")),""))
&amp;""),"")</f>
        <v/>
      </c>
      <c r="G15" s="78"/>
      <c r="H15" s="78"/>
      <c r="I15" s="78"/>
      <c r="J15" s="78"/>
      <c r="K15" s="78"/>
      <c r="L15" s="78"/>
      <c r="M15" s="78"/>
      <c r="N15" s="78"/>
      <c r="O15">
        <f t="array" aca="1" ref="O15" ca="1">IF(O7&lt;&gt;0,
MIN(IF((MOD(ROW(INDIRECT("'数出表_Excel（アレルギー入力）'!"&amp;P15&amp;O7+1&amp;":"&amp;P15&amp;"145")),2)=1)*(ISNUMBER(INDIRECT("'数出表_Excel（アレルギー入力）'!"&amp;P15&amp;O7+1&amp;":"&amp;P15&amp;"145"))),ROW(INDIRECT("'数出表_Excel（アレルギー入力）'!"&amp;P15&amp;O7+1&amp;":"&amp;P15&amp;"145")),"")),0)</f>
        <v>0</v>
      </c>
      <c r="P15" t="s">
        <v>179</v>
      </c>
      <c r="R15" s="178" t="str">
        <f t="array" aca="1" ref="R15" ca="1">IFERROR(INDEX($A:$A,SMALL(IF($A$1:$A$64&lt;&gt;"",ROW($A$1:$A$64)),ROW(A15))),"")</f>
        <v/>
      </c>
      <c r="S15" s="178" t="str">
        <f t="shared" ca="1" si="0"/>
        <v/>
      </c>
      <c r="T15" s="178" t="str">
        <f t="shared" ca="1" si="1"/>
        <v/>
      </c>
    </row>
    <row r="16" spans="1:20">
      <c r="A16" s="78" t="str">
        <f t="array" aca="1" ref="A16" ca="1">IF(F16&lt;&gt;"",
IF(LEFT(INDIRECT("'数出表_Excel（アレルギー入力）'!A"&amp;MATCH(F16,INDIRECT("'数出表_Excel（アレルギー入力）'!"&amp;P16&amp;":"&amp;P16&amp;""),0)),2)="博多",
LEFT(INDIRECT("'数出表_Excel（アレルギー入力）'!A"&amp;MATCH(F16,INDIRECT("'数出表_Excel（アレルギー入力）'!"&amp;P16&amp;":"&amp;P16&amp;""),0)),FIND("週",INDIRECT("'数出表_Excel（アレルギー入力）'!A"&amp;MATCH(F16,INDIRECT("'数出表_Excel（アレルギー入力）'!"&amp;P16&amp;":"&amp;P16&amp;""),0)))-1),
INDIRECT("'数出表_Excel（アレルギー入力）'!A"&amp;MATCH(F16,INDIRECT("'数出表_Excel（アレルギー入力）'!"&amp;P16&amp;":"&amp;P16&amp;""),0))),"")</f>
        <v/>
      </c>
      <c r="B16" s="78" t="str">
        <f t="array" aca="1" ref="B16" ca="1">IF(AND(B8&lt;&gt;"",O16&lt;&gt;0),
IF(INDIRECT("'数出表_Excel（アレルギー入力）'!"&amp;P16&amp;"147")&lt;&gt;F8,B8,""),"")</f>
        <v/>
      </c>
      <c r="C16" s="78"/>
      <c r="D16" s="78"/>
      <c r="E16" s="78"/>
      <c r="F16" s="78" t="str">
        <f t="array" aca="1" ref="F16" ca="1">IF(B16&lt;&gt;"",INDIRECT("'数出表_Excel（アレルギー入力）'!"&amp;P16&amp;
MIN(IF((MOD(ROW(INDIRECT("'数出表_Excel（アレルギー入力）'!"&amp;P16&amp;O8+1&amp;":"&amp;P16&amp;"145")),2)=1)*(ISNUMBER(INDIRECT("'数出表_Excel（アレルギー入力）'!"&amp;P16&amp;O8+1&amp;":"&amp;P16&amp;"145"))),ROW(INDIRECT("'数出表_Excel（アレルギー入力）'!"&amp;P16&amp;O8+1&amp;":"&amp;P16&amp;"145")),""))
&amp;""),"")</f>
        <v/>
      </c>
      <c r="G16" s="78"/>
      <c r="H16" s="78"/>
      <c r="I16" s="78"/>
      <c r="J16" s="78"/>
      <c r="K16" s="78"/>
      <c r="L16" s="78"/>
      <c r="M16" s="78"/>
      <c r="N16" s="78"/>
      <c r="O16">
        <f t="array" aca="1" ref="O16" ca="1">IF(O8&lt;&gt;0,
MIN(IF((MOD(ROW(INDIRECT("'数出表_Excel（アレルギー入力）'!"&amp;P16&amp;O8+1&amp;":"&amp;P16&amp;"145")),2)=1)*(ISNUMBER(INDIRECT("'数出表_Excel（アレルギー入力）'!"&amp;P16&amp;O8+1&amp;":"&amp;P16&amp;"145"))),ROW(INDIRECT("'数出表_Excel（アレルギー入力）'!"&amp;P16&amp;O8+1&amp;":"&amp;P16&amp;"145")),"")),0)</f>
        <v>0</v>
      </c>
      <c r="P16" t="s">
        <v>180</v>
      </c>
    </row>
    <row r="17" spans="1:16">
      <c r="A17" s="79" t="str">
        <f t="array" aca="1" ref="A17" ca="1">IF(F17&lt;&gt;"",
IF(LEFT(INDIRECT("'数出表_Excel（アレルギー入力）'!A"&amp;MATCH(F17,INDIRECT("'数出表_Excel（アレルギー入力）'!"&amp;P17&amp;":"&amp;P17&amp;""),0)),2)="博多",
LEFT(INDIRECT("'数出表_Excel（アレルギー入力）'!A"&amp;MATCH(F17,INDIRECT("'数出表_Excel（アレルギー入力）'!"&amp;P17&amp;":"&amp;P17&amp;""),0)),FIND("週",INDIRECT("'数出表_Excel（アレルギー入力）'!A"&amp;MATCH(F17,INDIRECT("'数出表_Excel（アレルギー入力）'!"&amp;P17&amp;":"&amp;P17&amp;""),0)))-1),
INDIRECT("'数出表_Excel（アレルギー入力）'!A"&amp;MATCH(F17,INDIRECT("'数出表_Excel（アレルギー入力）'!"&amp;P17&amp;":"&amp;P17&amp;""),0))),"")</f>
        <v/>
      </c>
      <c r="B17" s="79" t="str">
        <f t="array" aca="1" ref="B17" ca="1">IF(AND(B9&lt;&gt;"",O17&lt;&gt;0),
IF(INDIRECT("'数出表_Excel（アレルギー入力）'!"&amp;P17&amp;"147")&lt;&gt;F9,B9,""),"")</f>
        <v/>
      </c>
      <c r="C17" s="79"/>
      <c r="D17" s="79"/>
      <c r="E17" s="79"/>
      <c r="F17" s="79" t="str">
        <f t="array" aca="1" ref="F17" ca="1">IF(B17&lt;&gt;"",INDIRECT("'数出表_Excel（アレルギー入力）'!"&amp;P17&amp;
MIN(IF((MOD(ROW(INDIRECT("'数出表_Excel（アレルギー入力）'!"&amp;P17&amp;O9+1&amp;":"&amp;P17&amp;"145")),2)=1)*(ISNUMBER(INDIRECT("'数出表_Excel（アレルギー入力）'!"&amp;P17&amp;O9+1&amp;":"&amp;P17&amp;"145"))),ROW(INDIRECT("'数出表_Excel（アレルギー入力）'!"&amp;P17&amp;O9+1&amp;":"&amp;P17&amp;"145")),""))
&amp;""),"")</f>
        <v/>
      </c>
      <c r="G17" s="79"/>
      <c r="H17" s="79"/>
      <c r="I17" s="79"/>
      <c r="J17" s="79"/>
      <c r="K17" s="79"/>
      <c r="L17" s="79"/>
      <c r="M17" s="79"/>
      <c r="N17" s="79"/>
      <c r="O17">
        <f t="array" aca="1" ref="O17" ca="1">IF(O9&lt;&gt;0,
MIN(IF((MOD(ROW(INDIRECT("'数出表_Excel（アレルギー入力）'!"&amp;P17&amp;O9+1&amp;":"&amp;P17&amp;"145")),2)=1)*(ISNUMBER(INDIRECT("'数出表_Excel（アレルギー入力）'!"&amp;P17&amp;O9+1&amp;":"&amp;P17&amp;"145"))),ROW(INDIRECT("'数出表_Excel（アレルギー入力）'!"&amp;P17&amp;O9+1&amp;":"&amp;P17&amp;"145")),"")),0)</f>
        <v>0</v>
      </c>
      <c r="P17" t="s">
        <v>173</v>
      </c>
    </row>
    <row r="18" spans="1:16">
      <c r="A18" s="79" t="str">
        <f t="array" aca="1" ref="A18" ca="1">IF(F18&lt;&gt;"",
IF(LEFT(INDIRECT("'数出表_Excel（アレルギー入力）'!A"&amp;MATCH(F18,INDIRECT("'数出表_Excel（アレルギー入力）'!"&amp;P18&amp;":"&amp;P18&amp;""),0)),2)="博多",
LEFT(INDIRECT("'数出表_Excel（アレルギー入力）'!A"&amp;MATCH(F18,INDIRECT("'数出表_Excel（アレルギー入力）'!"&amp;P18&amp;":"&amp;P18&amp;""),0)),FIND("週",INDIRECT("'数出表_Excel（アレルギー入力）'!A"&amp;MATCH(F18,INDIRECT("'数出表_Excel（アレルギー入力）'!"&amp;P18&amp;":"&amp;P18&amp;""),0)))-1),
INDIRECT("'数出表_Excel（アレルギー入力）'!A"&amp;MATCH(F18,INDIRECT("'数出表_Excel（アレルギー入力）'!"&amp;P18&amp;":"&amp;P18&amp;""),0))),"")</f>
        <v/>
      </c>
      <c r="B18" s="79" t="str">
        <f t="array" aca="1" ref="B18" ca="1">IF(AND(B10&lt;&gt;"",O18&lt;&gt;0),
IF(INDIRECT("'数出表_Excel（アレルギー入力）'!"&amp;P18&amp;"147")&lt;&gt;F10,B10,""),"")</f>
        <v/>
      </c>
      <c r="C18" s="79"/>
      <c r="D18" s="79"/>
      <c r="E18" s="79"/>
      <c r="F18" s="79" t="str">
        <f t="array" aca="1" ref="F18" ca="1">IF(B18&lt;&gt;"",INDIRECT("'数出表_Excel（アレルギー入力）'!"&amp;P18&amp;
MIN(IF((MOD(ROW(INDIRECT("'数出表_Excel（アレルギー入力）'!"&amp;P18&amp;O10+1&amp;":"&amp;P18&amp;"145")),2)=1)*(ISNUMBER(INDIRECT("'数出表_Excel（アレルギー入力）'!"&amp;P18&amp;O10+1&amp;":"&amp;P18&amp;"145"))),ROW(INDIRECT("'数出表_Excel（アレルギー入力）'!"&amp;P18&amp;O10+1&amp;":"&amp;P18&amp;"145")),""))
&amp;""),"")</f>
        <v/>
      </c>
      <c r="G18" s="79"/>
      <c r="H18" s="79"/>
      <c r="I18" s="79"/>
      <c r="J18" s="79"/>
      <c r="K18" s="79"/>
      <c r="L18" s="79"/>
      <c r="M18" s="79"/>
      <c r="N18" s="79"/>
      <c r="O18">
        <f t="array" aca="1" ref="O18" ca="1">IF(O10&lt;&gt;0,
MIN(IF((MOD(ROW(INDIRECT("'数出表_Excel（アレルギー入力）'!"&amp;P18&amp;O10+1&amp;":"&amp;P18&amp;"145")),2)=1)*(ISNUMBER(INDIRECT("'数出表_Excel（アレルギー入力）'!"&amp;P18&amp;O10+1&amp;":"&amp;P18&amp;"145"))),ROW(INDIRECT("'数出表_Excel（アレルギー入力）'!"&amp;P18&amp;O10+1&amp;":"&amp;P18&amp;"145")),"")),0)</f>
        <v>0</v>
      </c>
      <c r="P18" t="s">
        <v>174</v>
      </c>
    </row>
    <row r="19" spans="1:16">
      <c r="A19" s="79" t="str">
        <f t="array" aca="1" ref="A19" ca="1">IF(F19&lt;&gt;"",
IF(LEFT(INDIRECT("'数出表_Excel（アレルギー入力）'!A"&amp;MATCH(F19,INDIRECT("'数出表_Excel（アレルギー入力）'!"&amp;P19&amp;":"&amp;P19&amp;""),0)),2)="博多",
LEFT(INDIRECT("'数出表_Excel（アレルギー入力）'!A"&amp;MATCH(F19,INDIRECT("'数出表_Excel（アレルギー入力）'!"&amp;P19&amp;":"&amp;P19&amp;""),0)),FIND("週",INDIRECT("'数出表_Excel（アレルギー入力）'!A"&amp;MATCH(F19,INDIRECT("'数出表_Excel（アレルギー入力）'!"&amp;P19&amp;":"&amp;P19&amp;""),0)))-1),
INDIRECT("'数出表_Excel（アレルギー入力）'!A"&amp;MATCH(F19,INDIRECT("'数出表_Excel（アレルギー入力）'!"&amp;P19&amp;":"&amp;P19&amp;""),0))),"")</f>
        <v/>
      </c>
      <c r="B19" s="79" t="str">
        <f t="array" aca="1" ref="B19" ca="1">IF(AND(B11&lt;&gt;"",O19&lt;&gt;0),
IF(INDIRECT("'数出表_Excel（アレルギー入力）'!"&amp;P19&amp;"147")&lt;&gt;F11,B11,""),"")</f>
        <v/>
      </c>
      <c r="C19" s="79"/>
      <c r="D19" s="79"/>
      <c r="E19" s="79"/>
      <c r="F19" s="79" t="str">
        <f t="array" aca="1" ref="F19" ca="1">IF(B19&lt;&gt;"",INDIRECT("'数出表_Excel（アレルギー入力）'!"&amp;P19&amp;
MIN(IF((MOD(ROW(INDIRECT("'数出表_Excel（アレルギー入力）'!"&amp;P19&amp;O11+1&amp;":"&amp;P19&amp;"145")),2)=1)*(ISNUMBER(INDIRECT("'数出表_Excel（アレルギー入力）'!"&amp;P19&amp;O11+1&amp;":"&amp;P19&amp;"145"))),ROW(INDIRECT("'数出表_Excel（アレルギー入力）'!"&amp;P19&amp;O11+1&amp;":"&amp;P19&amp;"145")),""))
&amp;""),"")</f>
        <v/>
      </c>
      <c r="G19" s="79"/>
      <c r="H19" s="79"/>
      <c r="I19" s="79"/>
      <c r="J19" s="79"/>
      <c r="K19" s="79"/>
      <c r="L19" s="79"/>
      <c r="M19" s="79"/>
      <c r="N19" s="79"/>
      <c r="O19">
        <f t="array" aca="1" ref="O19" ca="1">IF(O11&lt;&gt;0,
MIN(IF((MOD(ROW(INDIRECT("'数出表_Excel（アレルギー入力）'!"&amp;P19&amp;O11+1&amp;":"&amp;P19&amp;"145")),2)=1)*(ISNUMBER(INDIRECT("'数出表_Excel（アレルギー入力）'!"&amp;P19&amp;O11+1&amp;":"&amp;P19&amp;"145"))),ROW(INDIRECT("'数出表_Excel（アレルギー入力）'!"&amp;P19&amp;O11+1&amp;":"&amp;P19&amp;"145")),"")),0)</f>
        <v>0</v>
      </c>
      <c r="P19" t="s">
        <v>175</v>
      </c>
    </row>
    <row r="20" spans="1:16">
      <c r="A20" s="79" t="str">
        <f t="array" aca="1" ref="A20" ca="1">IF(F20&lt;&gt;"",
IF(LEFT(INDIRECT("'数出表_Excel（アレルギー入力）'!A"&amp;MATCH(F20,INDIRECT("'数出表_Excel（アレルギー入力）'!"&amp;P20&amp;":"&amp;P20&amp;""),0)),2)="博多",
LEFT(INDIRECT("'数出表_Excel（アレルギー入力）'!A"&amp;MATCH(F20,INDIRECT("'数出表_Excel（アレルギー入力）'!"&amp;P20&amp;":"&amp;P20&amp;""),0)),FIND("週",INDIRECT("'数出表_Excel（アレルギー入力）'!A"&amp;MATCH(F20,INDIRECT("'数出表_Excel（アレルギー入力）'!"&amp;P20&amp;":"&amp;P20&amp;""),0)))-1),
INDIRECT("'数出表_Excel（アレルギー入力）'!A"&amp;MATCH(F20,INDIRECT("'数出表_Excel（アレルギー入力）'!"&amp;P20&amp;":"&amp;P20&amp;""),0))),"")</f>
        <v/>
      </c>
      <c r="B20" s="79" t="str">
        <f t="array" aca="1" ref="B20" ca="1">IF(AND(B12&lt;&gt;"",O20&lt;&gt;0),
IF(INDIRECT("'数出表_Excel（アレルギー入力）'!"&amp;P20&amp;"147")&lt;&gt;F12,B12,""),"")</f>
        <v/>
      </c>
      <c r="C20" s="79"/>
      <c r="D20" s="79"/>
      <c r="E20" s="79"/>
      <c r="F20" s="79" t="str">
        <f t="array" aca="1" ref="F20" ca="1">IF(B20&lt;&gt;"",INDIRECT("'数出表_Excel（アレルギー入力）'!"&amp;P20&amp;
MIN(IF((MOD(ROW(INDIRECT("'数出表_Excel（アレルギー入力）'!"&amp;P20&amp;O12+1&amp;":"&amp;P20&amp;"145")),2)=1)*(ISNUMBER(INDIRECT("'数出表_Excel（アレルギー入力）'!"&amp;P20&amp;O12+1&amp;":"&amp;P20&amp;"145"))),ROW(INDIRECT("'数出表_Excel（アレルギー入力）'!"&amp;P20&amp;O12+1&amp;":"&amp;P20&amp;"145")),""))
&amp;""),"")</f>
        <v/>
      </c>
      <c r="G20" s="79"/>
      <c r="H20" s="79"/>
      <c r="I20" s="79"/>
      <c r="J20" s="79"/>
      <c r="K20" s="79"/>
      <c r="L20" s="79"/>
      <c r="M20" s="79"/>
      <c r="N20" s="79"/>
      <c r="O20">
        <f t="array" aca="1" ref="O20" ca="1">IF(O12&lt;&gt;0,
MIN(IF((MOD(ROW(INDIRECT("'数出表_Excel（アレルギー入力）'!"&amp;P20&amp;O12+1&amp;":"&amp;P20&amp;"145")),2)=1)*(ISNUMBER(INDIRECT("'数出表_Excel（アレルギー入力）'!"&amp;P20&amp;O12+1&amp;":"&amp;P20&amp;"145"))),ROW(INDIRECT("'数出表_Excel（アレルギー入力）'!"&amp;P20&amp;O12+1&amp;":"&amp;P20&amp;"145")),"")),0)</f>
        <v>0</v>
      </c>
      <c r="P20" t="s">
        <v>176</v>
      </c>
    </row>
    <row r="21" spans="1:16">
      <c r="A21" s="79" t="str">
        <f t="array" aca="1" ref="A21" ca="1">IF(F21&lt;&gt;"",
IF(LEFT(INDIRECT("'数出表_Excel（アレルギー入力）'!A"&amp;MATCH(F21,INDIRECT("'数出表_Excel（アレルギー入力）'!"&amp;P21&amp;":"&amp;P21&amp;""),0)),2)="博多",
LEFT(INDIRECT("'数出表_Excel（アレルギー入力）'!A"&amp;MATCH(F21,INDIRECT("'数出表_Excel（アレルギー入力）'!"&amp;P21&amp;":"&amp;P21&amp;""),0)),FIND("週",INDIRECT("'数出表_Excel（アレルギー入力）'!A"&amp;MATCH(F21,INDIRECT("'数出表_Excel（アレルギー入力）'!"&amp;P21&amp;":"&amp;P21&amp;""),0)))-1),
INDIRECT("'数出表_Excel（アレルギー入力）'!A"&amp;MATCH(F21,INDIRECT("'数出表_Excel（アレルギー入力）'!"&amp;P21&amp;":"&amp;P21&amp;""),0))),"")</f>
        <v/>
      </c>
      <c r="B21" s="79" t="str">
        <f t="array" aca="1" ref="B21" ca="1">IF(AND(B13&lt;&gt;"",O21&lt;&gt;0),
IF(INDIRECT("'数出表_Excel（アレルギー入力）'!"&amp;P21&amp;"147")&lt;&gt;F13,B13,""),"")</f>
        <v/>
      </c>
      <c r="C21" s="79"/>
      <c r="D21" s="79"/>
      <c r="E21" s="79"/>
      <c r="F21" s="79" t="str">
        <f t="array" aca="1" ref="F21" ca="1">IF(B21&lt;&gt;"",INDIRECT("'数出表_Excel（アレルギー入力）'!"&amp;P21&amp;
MIN(IF((MOD(ROW(INDIRECT("'数出表_Excel（アレルギー入力）'!"&amp;P21&amp;O13+1&amp;":"&amp;P21&amp;"145")),2)=1)*(ISNUMBER(INDIRECT("'数出表_Excel（アレルギー入力）'!"&amp;P21&amp;O13+1&amp;":"&amp;P21&amp;"145"))),ROW(INDIRECT("'数出表_Excel（アレルギー入力）'!"&amp;P21&amp;O13+1&amp;":"&amp;P21&amp;"145")),""))
&amp;""),"")</f>
        <v/>
      </c>
      <c r="G21" s="79"/>
      <c r="H21" s="79"/>
      <c r="I21" s="79"/>
      <c r="J21" s="79"/>
      <c r="K21" s="79"/>
      <c r="L21" s="79"/>
      <c r="M21" s="79"/>
      <c r="N21" s="79"/>
      <c r="O21">
        <f t="array" aca="1" ref="O21" ca="1">IF(O13&lt;&gt;0,
MIN(IF((MOD(ROW(INDIRECT("'数出表_Excel（アレルギー入力）'!"&amp;P21&amp;O13+1&amp;":"&amp;P21&amp;"145")),2)=1)*(ISNUMBER(INDIRECT("'数出表_Excel（アレルギー入力）'!"&amp;P21&amp;O13+1&amp;":"&amp;P21&amp;"145"))),ROW(INDIRECT("'数出表_Excel（アレルギー入力）'!"&amp;P21&amp;O13+1&amp;":"&amp;P21&amp;"145")),"")),0)</f>
        <v>0</v>
      </c>
      <c r="P21" t="s">
        <v>177</v>
      </c>
    </row>
    <row r="22" spans="1:16">
      <c r="A22" s="79" t="str">
        <f t="array" aca="1" ref="A22" ca="1">IF(F22&lt;&gt;"",
IF(LEFT(INDIRECT("'数出表_Excel（アレルギー入力）'!A"&amp;MATCH(F22,INDIRECT("'数出表_Excel（アレルギー入力）'!"&amp;P22&amp;":"&amp;P22&amp;""),0)),2)="博多",
LEFT(INDIRECT("'数出表_Excel（アレルギー入力）'!A"&amp;MATCH(F22,INDIRECT("'数出表_Excel（アレルギー入力）'!"&amp;P22&amp;":"&amp;P22&amp;""),0)),FIND("週",INDIRECT("'数出表_Excel（アレルギー入力）'!A"&amp;MATCH(F22,INDIRECT("'数出表_Excel（アレルギー入力）'!"&amp;P22&amp;":"&amp;P22&amp;""),0)))-1),
INDIRECT("'数出表_Excel（アレルギー入力）'!A"&amp;MATCH(F22,INDIRECT("'数出表_Excel（アレルギー入力）'!"&amp;P22&amp;":"&amp;P22&amp;""),0))),"")</f>
        <v/>
      </c>
      <c r="B22" s="79" t="str">
        <f t="array" aca="1" ref="B22" ca="1">IF(AND(B14&lt;&gt;"",O22&lt;&gt;0),
IF(INDIRECT("'数出表_Excel（アレルギー入力）'!"&amp;P22&amp;"147")&lt;&gt;F14,B14,""),"")</f>
        <v/>
      </c>
      <c r="C22" s="79"/>
      <c r="D22" s="79"/>
      <c r="E22" s="79"/>
      <c r="F22" s="79" t="str">
        <f t="array" aca="1" ref="F22" ca="1">IF(B22&lt;&gt;"",INDIRECT("'数出表_Excel（アレルギー入力）'!"&amp;P22&amp;
MIN(IF((MOD(ROW(INDIRECT("'数出表_Excel（アレルギー入力）'!"&amp;P22&amp;O14+1&amp;":"&amp;P22&amp;"145")),2)=1)*(ISNUMBER(INDIRECT("'数出表_Excel（アレルギー入力）'!"&amp;P22&amp;O14+1&amp;":"&amp;P22&amp;"145"))),ROW(INDIRECT("'数出表_Excel（アレルギー入力）'!"&amp;P22&amp;O14+1&amp;":"&amp;P22&amp;"145")),""))
&amp;""),"")</f>
        <v/>
      </c>
      <c r="G22" s="79"/>
      <c r="H22" s="79"/>
      <c r="I22" s="79"/>
      <c r="J22" s="79"/>
      <c r="K22" s="79"/>
      <c r="L22" s="79"/>
      <c r="M22" s="79"/>
      <c r="N22" s="79"/>
      <c r="O22">
        <f t="array" aca="1" ref="O22" ca="1">IF(O14&lt;&gt;0,
MIN(IF((MOD(ROW(INDIRECT("'数出表_Excel（アレルギー入力）'!"&amp;P22&amp;O14+1&amp;":"&amp;P22&amp;"145")),2)=1)*(ISNUMBER(INDIRECT("'数出表_Excel（アレルギー入力）'!"&amp;P22&amp;O14+1&amp;":"&amp;P22&amp;"145"))),ROW(INDIRECT("'数出表_Excel（アレルギー入力）'!"&amp;P22&amp;O14+1&amp;":"&amp;P22&amp;"145")),"")),0)</f>
        <v>0</v>
      </c>
      <c r="P22" t="s">
        <v>178</v>
      </c>
    </row>
    <row r="23" spans="1:16">
      <c r="A23" s="79" t="str">
        <f t="array" aca="1" ref="A23" ca="1">IF(F23&lt;&gt;"",
IF(LEFT(INDIRECT("'数出表_Excel（アレルギー入力）'!A"&amp;MATCH(F23,INDIRECT("'数出表_Excel（アレルギー入力）'!"&amp;P23&amp;":"&amp;P23&amp;""),0)),2)="博多",
LEFT(INDIRECT("'数出表_Excel（アレルギー入力）'!A"&amp;MATCH(F23,INDIRECT("'数出表_Excel（アレルギー入力）'!"&amp;P23&amp;":"&amp;P23&amp;""),0)),FIND("週",INDIRECT("'数出表_Excel（アレルギー入力）'!A"&amp;MATCH(F23,INDIRECT("'数出表_Excel（アレルギー入力）'!"&amp;P23&amp;":"&amp;P23&amp;""),0)))-1),
INDIRECT("'数出表_Excel（アレルギー入力）'!A"&amp;MATCH(F23,INDIRECT("'数出表_Excel（アレルギー入力）'!"&amp;P23&amp;":"&amp;P23&amp;""),0))),"")</f>
        <v/>
      </c>
      <c r="B23" s="79" t="str">
        <f t="array" aca="1" ref="B23" ca="1">IF(AND(B15&lt;&gt;"",O23&lt;&gt;0),
IF(INDIRECT("'数出表_Excel（アレルギー入力）'!"&amp;P23&amp;"147")&lt;&gt;F15,B15,""),"")</f>
        <v/>
      </c>
      <c r="C23" s="79"/>
      <c r="D23" s="79"/>
      <c r="E23" s="79"/>
      <c r="F23" s="79" t="str">
        <f t="array" aca="1" ref="F23" ca="1">IF(B23&lt;&gt;"",INDIRECT("'数出表_Excel（アレルギー入力）'!"&amp;P23&amp;
MIN(IF((MOD(ROW(INDIRECT("'数出表_Excel（アレルギー入力）'!"&amp;P23&amp;O15+1&amp;":"&amp;P23&amp;"145")),2)=1)*(ISNUMBER(INDIRECT("'数出表_Excel（アレルギー入力）'!"&amp;P23&amp;O15+1&amp;":"&amp;P23&amp;"145"))),ROW(INDIRECT("'数出表_Excel（アレルギー入力）'!"&amp;P23&amp;O15+1&amp;":"&amp;P23&amp;"145")),""))
&amp;""),"")</f>
        <v/>
      </c>
      <c r="G23" s="79"/>
      <c r="H23" s="79"/>
      <c r="I23" s="79"/>
      <c r="J23" s="79"/>
      <c r="K23" s="79"/>
      <c r="L23" s="79"/>
      <c r="M23" s="79"/>
      <c r="N23" s="79"/>
      <c r="O23">
        <f t="array" aca="1" ref="O23" ca="1">IF(O15&lt;&gt;0,
MIN(IF((MOD(ROW(INDIRECT("'数出表_Excel（アレルギー入力）'!"&amp;P23&amp;O15+1&amp;":"&amp;P23&amp;"145")),2)=1)*(ISNUMBER(INDIRECT("'数出表_Excel（アレルギー入力）'!"&amp;P23&amp;O15+1&amp;":"&amp;P23&amp;"145"))),ROW(INDIRECT("'数出表_Excel（アレルギー入力）'!"&amp;P23&amp;O15+1&amp;":"&amp;P23&amp;"145")),"")),0)</f>
        <v>0</v>
      </c>
      <c r="P23" t="s">
        <v>179</v>
      </c>
    </row>
    <row r="24" spans="1:16">
      <c r="A24" s="79" t="str">
        <f t="array" aca="1" ref="A24" ca="1">IF(F24&lt;&gt;"",
IF(LEFT(INDIRECT("'数出表_Excel（アレルギー入力）'!A"&amp;MATCH(F24,INDIRECT("'数出表_Excel（アレルギー入力）'!"&amp;P24&amp;":"&amp;P24&amp;""),0)),2)="博多",
LEFT(INDIRECT("'数出表_Excel（アレルギー入力）'!A"&amp;MATCH(F24,INDIRECT("'数出表_Excel（アレルギー入力）'!"&amp;P24&amp;":"&amp;P24&amp;""),0)),FIND("週",INDIRECT("'数出表_Excel（アレルギー入力）'!A"&amp;MATCH(F24,INDIRECT("'数出表_Excel（アレルギー入力）'!"&amp;P24&amp;":"&amp;P24&amp;""),0)))-1),
INDIRECT("'数出表_Excel（アレルギー入力）'!A"&amp;MATCH(F24,INDIRECT("'数出表_Excel（アレルギー入力）'!"&amp;P24&amp;":"&amp;P24&amp;""),0))),"")</f>
        <v/>
      </c>
      <c r="B24" s="79" t="str">
        <f t="array" aca="1" ref="B24" ca="1">IF(AND(B16&lt;&gt;"",O24&lt;&gt;0),
IF(INDIRECT("'数出表_Excel（アレルギー入力）'!"&amp;P24&amp;"147")&lt;&gt;F16,B16,""),"")</f>
        <v/>
      </c>
      <c r="C24" s="79"/>
      <c r="D24" s="79"/>
      <c r="E24" s="79"/>
      <c r="F24" s="79" t="str">
        <f t="array" aca="1" ref="F24" ca="1">IF(B24&lt;&gt;"",INDIRECT("'数出表_Excel（アレルギー入力）'!"&amp;P24&amp;
MIN(IF((MOD(ROW(INDIRECT("'数出表_Excel（アレルギー入力）'!"&amp;P24&amp;O16+1&amp;":"&amp;P24&amp;"145")),2)=1)*(ISNUMBER(INDIRECT("'数出表_Excel（アレルギー入力）'!"&amp;P24&amp;O16+1&amp;":"&amp;P24&amp;"145"))),ROW(INDIRECT("'数出表_Excel（アレルギー入力）'!"&amp;P24&amp;O16+1&amp;":"&amp;P24&amp;"145")),""))
&amp;""),"")</f>
        <v/>
      </c>
      <c r="G24" s="79"/>
      <c r="H24" s="79"/>
      <c r="I24" s="79"/>
      <c r="J24" s="79"/>
      <c r="K24" s="79"/>
      <c r="L24" s="79"/>
      <c r="M24" s="79"/>
      <c r="N24" s="79"/>
      <c r="O24">
        <f t="array" aca="1" ref="O24" ca="1">IF(O16&lt;&gt;0,
MIN(IF((MOD(ROW(INDIRECT("'数出表_Excel（アレルギー入力）'!"&amp;P24&amp;O16+1&amp;":"&amp;P24&amp;"145")),2)=1)*(ISNUMBER(INDIRECT("'数出表_Excel（アレルギー入力）'!"&amp;P24&amp;O16+1&amp;":"&amp;P24&amp;"145"))),ROW(INDIRECT("'数出表_Excel（アレルギー入力）'!"&amp;P24&amp;O16+1&amp;":"&amp;P24&amp;"145")),"")),0)</f>
        <v>0</v>
      </c>
      <c r="P24" t="s">
        <v>180</v>
      </c>
    </row>
    <row r="25" spans="1:16">
      <c r="A25" s="113" t="str">
        <f t="array" aca="1" ref="A25" ca="1">IF(F25&lt;&gt;"",
IF(LEFT(INDIRECT("'数出表_Excel（アレルギー入力）'!A"&amp;MATCH(F25,INDIRECT("'数出表_Excel（アレルギー入力）'!"&amp;P25&amp;":"&amp;P25&amp;""),0)),2)="博多",
LEFT(INDIRECT("'数出表_Excel（アレルギー入力）'!A"&amp;MATCH(F25,INDIRECT("'数出表_Excel（アレルギー入力）'!"&amp;P25&amp;":"&amp;P25&amp;""),0)),FIND("週",INDIRECT("'数出表_Excel（アレルギー入力）'!A"&amp;MATCH(F25,INDIRECT("'数出表_Excel（アレルギー入力）'!"&amp;P25&amp;":"&amp;P25&amp;""),0)))-1),
INDIRECT("'数出表_Excel（アレルギー入力）'!A"&amp;MATCH(F25,INDIRECT("'数出表_Excel（アレルギー入力）'!"&amp;P25&amp;":"&amp;P25&amp;""),0))),"")</f>
        <v/>
      </c>
      <c r="B25" s="113" t="str">
        <f t="array" aca="1" ref="B25" ca="1">IF(AND(B17&lt;&gt;"",O25&lt;&gt;0),
IF(INDIRECT("'数出表_Excel（アレルギー入力）'!"&amp;P25&amp;"147")&lt;&gt;F17,B17,""),"")</f>
        <v/>
      </c>
      <c r="C25" s="113"/>
      <c r="D25" s="113"/>
      <c r="E25" s="113"/>
      <c r="F25" s="113" t="str">
        <f t="array" aca="1" ref="F25" ca="1">IF(B25&lt;&gt;"",INDIRECT("'数出表_Excel（アレルギー入力）'!"&amp;P25&amp;
MIN(IF((MOD(ROW(INDIRECT("'数出表_Excel（アレルギー入力）'!"&amp;P25&amp;O17+1&amp;":"&amp;P25&amp;"145")),2)=1)*(ISNUMBER(INDIRECT("'数出表_Excel（アレルギー入力）'!"&amp;P25&amp;O17+1&amp;":"&amp;P25&amp;"145"))),ROW(INDIRECT("'数出表_Excel（アレルギー入力）'!"&amp;P25&amp;O17+1&amp;":"&amp;P25&amp;"145")),""))
&amp;""),"")</f>
        <v/>
      </c>
      <c r="G25" s="113"/>
      <c r="H25" s="113"/>
      <c r="I25" s="113"/>
      <c r="J25" s="113"/>
      <c r="K25" s="113"/>
      <c r="L25" s="113"/>
      <c r="M25" s="113"/>
      <c r="N25" s="113"/>
      <c r="O25">
        <f t="array" aca="1" ref="O25" ca="1">IF(O17&lt;&gt;0,
MIN(IF((MOD(ROW(INDIRECT("'数出表_Excel（アレルギー入力）'!"&amp;P25&amp;O17+1&amp;":"&amp;P25&amp;"145")),2)=1)*(ISNUMBER(INDIRECT("'数出表_Excel（アレルギー入力）'!"&amp;P25&amp;O17+1&amp;":"&amp;P25&amp;"145"))),ROW(INDIRECT("'数出表_Excel（アレルギー入力）'!"&amp;P25&amp;O17+1&amp;":"&amp;P25&amp;"145")),"")),0)</f>
        <v>0</v>
      </c>
      <c r="P25" t="s">
        <v>173</v>
      </c>
    </row>
    <row r="26" spans="1:16">
      <c r="A26" s="113" t="str">
        <f t="array" aca="1" ref="A26" ca="1">IF(F26&lt;&gt;"",
IF(LEFT(INDIRECT("'数出表_Excel（アレルギー入力）'!A"&amp;MATCH(F26,INDIRECT("'数出表_Excel（アレルギー入力）'!"&amp;P26&amp;":"&amp;P26&amp;""),0)),2)="博多",
LEFT(INDIRECT("'数出表_Excel（アレルギー入力）'!A"&amp;MATCH(F26,INDIRECT("'数出表_Excel（アレルギー入力）'!"&amp;P26&amp;":"&amp;P26&amp;""),0)),FIND("週",INDIRECT("'数出表_Excel（アレルギー入力）'!A"&amp;MATCH(F26,INDIRECT("'数出表_Excel（アレルギー入力）'!"&amp;P26&amp;":"&amp;P26&amp;""),0)))-1),
INDIRECT("'数出表_Excel（アレルギー入力）'!A"&amp;MATCH(F26,INDIRECT("'数出表_Excel（アレルギー入力）'!"&amp;P26&amp;":"&amp;P26&amp;""),0))),"")</f>
        <v/>
      </c>
      <c r="B26" s="113" t="str">
        <f t="array" aca="1" ref="B26" ca="1">IF(AND(B18&lt;&gt;"",O26&lt;&gt;0),
IF(INDIRECT("'数出表_Excel（アレルギー入力）'!"&amp;P26&amp;"147")&lt;&gt;F18,B18,""),"")</f>
        <v/>
      </c>
      <c r="C26" s="113"/>
      <c r="D26" s="113"/>
      <c r="E26" s="113"/>
      <c r="F26" s="113" t="str">
        <f t="array" aca="1" ref="F26" ca="1">IF(B26&lt;&gt;"",INDIRECT("'数出表_Excel（アレルギー入力）'!"&amp;P26&amp;
MIN(IF((MOD(ROW(INDIRECT("'数出表_Excel（アレルギー入力）'!"&amp;P26&amp;O18+1&amp;":"&amp;P26&amp;"145")),2)=1)*(ISNUMBER(INDIRECT("'数出表_Excel（アレルギー入力）'!"&amp;P26&amp;O18+1&amp;":"&amp;P26&amp;"145"))),ROW(INDIRECT("'数出表_Excel（アレルギー入力）'!"&amp;P26&amp;O18+1&amp;":"&amp;P26&amp;"145")),""))
&amp;""),"")</f>
        <v/>
      </c>
      <c r="G26" s="113"/>
      <c r="H26" s="113"/>
      <c r="I26" s="113"/>
      <c r="J26" s="113"/>
      <c r="K26" s="113"/>
      <c r="L26" s="113"/>
      <c r="M26" s="113"/>
      <c r="N26" s="113"/>
      <c r="O26">
        <f t="array" aca="1" ref="O26" ca="1">IF(O18&lt;&gt;0,
MIN(IF((MOD(ROW(INDIRECT("'数出表_Excel（アレルギー入力）'!"&amp;P26&amp;O18+1&amp;":"&amp;P26&amp;"145")),2)=1)*(ISNUMBER(INDIRECT("'数出表_Excel（アレルギー入力）'!"&amp;P26&amp;O18+1&amp;":"&amp;P26&amp;"145"))),ROW(INDIRECT("'数出表_Excel（アレルギー入力）'!"&amp;P26&amp;O18+1&amp;":"&amp;P26&amp;"145")),"")),0)</f>
        <v>0</v>
      </c>
      <c r="P26" t="s">
        <v>174</v>
      </c>
    </row>
    <row r="27" spans="1:16">
      <c r="A27" s="113" t="str">
        <f t="array" aca="1" ref="A27" ca="1">IF(F27&lt;&gt;"",
IF(LEFT(INDIRECT("'数出表_Excel（アレルギー入力）'!A"&amp;MATCH(F27,INDIRECT("'数出表_Excel（アレルギー入力）'!"&amp;P27&amp;":"&amp;P27&amp;""),0)),2)="博多",
LEFT(INDIRECT("'数出表_Excel（アレルギー入力）'!A"&amp;MATCH(F27,INDIRECT("'数出表_Excel（アレルギー入力）'!"&amp;P27&amp;":"&amp;P27&amp;""),0)),FIND("週",INDIRECT("'数出表_Excel（アレルギー入力）'!A"&amp;MATCH(F27,INDIRECT("'数出表_Excel（アレルギー入力）'!"&amp;P27&amp;":"&amp;P27&amp;""),0)))-1),
INDIRECT("'数出表_Excel（アレルギー入力）'!A"&amp;MATCH(F27,INDIRECT("'数出表_Excel（アレルギー入力）'!"&amp;P27&amp;":"&amp;P27&amp;""),0))),"")</f>
        <v/>
      </c>
      <c r="B27" s="113" t="str">
        <f t="array" aca="1" ref="B27" ca="1">IF(AND(B19&lt;&gt;"",O27&lt;&gt;0),
IF(INDIRECT("'数出表_Excel（アレルギー入力）'!"&amp;P27&amp;"147")&lt;&gt;F19,B19,""),"")</f>
        <v/>
      </c>
      <c r="C27" s="113"/>
      <c r="D27" s="113"/>
      <c r="E27" s="113"/>
      <c r="F27" s="113" t="str">
        <f t="array" aca="1" ref="F27" ca="1">IF(B27&lt;&gt;"",INDIRECT("'数出表_Excel（アレルギー入力）'!"&amp;P27&amp;
MIN(IF((MOD(ROW(INDIRECT("'数出表_Excel（アレルギー入力）'!"&amp;P27&amp;O19+1&amp;":"&amp;P27&amp;"145")),2)=1)*(ISNUMBER(INDIRECT("'数出表_Excel（アレルギー入力）'!"&amp;P27&amp;O19+1&amp;":"&amp;P27&amp;"145"))),ROW(INDIRECT("'数出表_Excel（アレルギー入力）'!"&amp;P27&amp;O19+1&amp;":"&amp;P27&amp;"145")),""))
&amp;""),"")</f>
        <v/>
      </c>
      <c r="G27" s="113"/>
      <c r="H27" s="113"/>
      <c r="I27" s="113"/>
      <c r="J27" s="113"/>
      <c r="K27" s="113"/>
      <c r="L27" s="113"/>
      <c r="M27" s="113"/>
      <c r="N27" s="113"/>
      <c r="O27">
        <f t="array" aca="1" ref="O27" ca="1">IF(O19&lt;&gt;0,
MIN(IF((MOD(ROW(INDIRECT("'数出表_Excel（アレルギー入力）'!"&amp;P27&amp;O19+1&amp;":"&amp;P27&amp;"145")),2)=1)*(ISNUMBER(INDIRECT("'数出表_Excel（アレルギー入力）'!"&amp;P27&amp;O19+1&amp;":"&amp;P27&amp;"145"))),ROW(INDIRECT("'数出表_Excel（アレルギー入力）'!"&amp;P27&amp;O19+1&amp;":"&amp;P27&amp;"145")),"")),0)</f>
        <v>0</v>
      </c>
      <c r="P27" t="s">
        <v>175</v>
      </c>
    </row>
    <row r="28" spans="1:16">
      <c r="A28" s="113" t="str">
        <f t="array" aca="1" ref="A28" ca="1">IF(F28&lt;&gt;"",
IF(LEFT(INDIRECT("'数出表_Excel（アレルギー入力）'!A"&amp;MATCH(F28,INDIRECT("'数出表_Excel（アレルギー入力）'!"&amp;P28&amp;":"&amp;P28&amp;""),0)),2)="博多",
LEFT(INDIRECT("'数出表_Excel（アレルギー入力）'!A"&amp;MATCH(F28,INDIRECT("'数出表_Excel（アレルギー入力）'!"&amp;P28&amp;":"&amp;P28&amp;""),0)),FIND("週",INDIRECT("'数出表_Excel（アレルギー入力）'!A"&amp;MATCH(F28,INDIRECT("'数出表_Excel（アレルギー入力）'!"&amp;P28&amp;":"&amp;P28&amp;""),0)))-1),
INDIRECT("'数出表_Excel（アレルギー入力）'!A"&amp;MATCH(F28,INDIRECT("'数出表_Excel（アレルギー入力）'!"&amp;P28&amp;":"&amp;P28&amp;""),0))),"")</f>
        <v/>
      </c>
      <c r="B28" s="113" t="str">
        <f t="array" aca="1" ref="B28" ca="1">IF(AND(B20&lt;&gt;"",O28&lt;&gt;0),
IF(INDIRECT("'数出表_Excel（アレルギー入力）'!"&amp;P28&amp;"147")&lt;&gt;F20,B20,""),"")</f>
        <v/>
      </c>
      <c r="C28" s="113"/>
      <c r="D28" s="113"/>
      <c r="E28" s="113"/>
      <c r="F28" s="113" t="str">
        <f t="array" aca="1" ref="F28" ca="1">IF(B28&lt;&gt;"",INDIRECT("'数出表_Excel（アレルギー入力）'!"&amp;P28&amp;
MIN(IF((MOD(ROW(INDIRECT("'数出表_Excel（アレルギー入力）'!"&amp;P28&amp;O20+1&amp;":"&amp;P28&amp;"145")),2)=1)*(ISNUMBER(INDIRECT("'数出表_Excel（アレルギー入力）'!"&amp;P28&amp;O20+1&amp;":"&amp;P28&amp;"145"))),ROW(INDIRECT("'数出表_Excel（アレルギー入力）'!"&amp;P28&amp;O20+1&amp;":"&amp;P28&amp;"145")),""))
&amp;""),"")</f>
        <v/>
      </c>
      <c r="G28" s="113"/>
      <c r="H28" s="113"/>
      <c r="I28" s="113"/>
      <c r="J28" s="113"/>
      <c r="K28" s="113"/>
      <c r="L28" s="113"/>
      <c r="M28" s="113"/>
      <c r="N28" s="113"/>
      <c r="O28">
        <f t="array" aca="1" ref="O28" ca="1">IF(O20&lt;&gt;0,
MIN(IF((MOD(ROW(INDIRECT("'数出表_Excel（アレルギー入力）'!"&amp;P28&amp;O20+1&amp;":"&amp;P28&amp;"145")),2)=1)*(ISNUMBER(INDIRECT("'数出表_Excel（アレルギー入力）'!"&amp;P28&amp;O20+1&amp;":"&amp;P28&amp;"145"))),ROW(INDIRECT("'数出表_Excel（アレルギー入力）'!"&amp;P28&amp;O20+1&amp;":"&amp;P28&amp;"145")),"")),0)</f>
        <v>0</v>
      </c>
      <c r="P28" t="s">
        <v>176</v>
      </c>
    </row>
    <row r="29" spans="1:16">
      <c r="A29" s="113" t="str">
        <f t="array" aca="1" ref="A29" ca="1">IF(F29&lt;&gt;"",
IF(LEFT(INDIRECT("'数出表_Excel（アレルギー入力）'!A"&amp;MATCH(F29,INDIRECT("'数出表_Excel（アレルギー入力）'!"&amp;P29&amp;":"&amp;P29&amp;""),0)),2)="博多",
LEFT(INDIRECT("'数出表_Excel（アレルギー入力）'!A"&amp;MATCH(F29,INDIRECT("'数出表_Excel（アレルギー入力）'!"&amp;P29&amp;":"&amp;P29&amp;""),0)),FIND("週",INDIRECT("'数出表_Excel（アレルギー入力）'!A"&amp;MATCH(F29,INDIRECT("'数出表_Excel（アレルギー入力）'!"&amp;P29&amp;":"&amp;P29&amp;""),0)))-1),
INDIRECT("'数出表_Excel（アレルギー入力）'!A"&amp;MATCH(F29,INDIRECT("'数出表_Excel（アレルギー入力）'!"&amp;P29&amp;":"&amp;P29&amp;""),0))),"")</f>
        <v/>
      </c>
      <c r="B29" s="113" t="str">
        <f t="array" aca="1" ref="B29" ca="1">IF(AND(B21&lt;&gt;"",O29&lt;&gt;0),
IF(INDIRECT("'数出表_Excel（アレルギー入力）'!"&amp;P29&amp;"147")&lt;&gt;F21,B21,""),"")</f>
        <v/>
      </c>
      <c r="C29" s="113"/>
      <c r="D29" s="113"/>
      <c r="E29" s="113"/>
      <c r="F29" s="113" t="str">
        <f t="array" aca="1" ref="F29" ca="1">IF(B29&lt;&gt;"",INDIRECT("'数出表_Excel（アレルギー入力）'!"&amp;P29&amp;
MIN(IF((MOD(ROW(INDIRECT("'数出表_Excel（アレルギー入力）'!"&amp;P29&amp;O21+1&amp;":"&amp;P29&amp;"145")),2)=1)*(ISNUMBER(INDIRECT("'数出表_Excel（アレルギー入力）'!"&amp;P29&amp;O21+1&amp;":"&amp;P29&amp;"145"))),ROW(INDIRECT("'数出表_Excel（アレルギー入力）'!"&amp;P29&amp;O21+1&amp;":"&amp;P29&amp;"145")),""))
&amp;""),"")</f>
        <v/>
      </c>
      <c r="G29" s="113"/>
      <c r="H29" s="113"/>
      <c r="I29" s="113"/>
      <c r="J29" s="113"/>
      <c r="K29" s="113"/>
      <c r="L29" s="113"/>
      <c r="M29" s="113"/>
      <c r="N29" s="113"/>
      <c r="O29">
        <f t="array" aca="1" ref="O29" ca="1">IF(O21&lt;&gt;0,
MIN(IF((MOD(ROW(INDIRECT("'数出表_Excel（アレルギー入力）'!"&amp;P29&amp;O21+1&amp;":"&amp;P29&amp;"145")),2)=1)*(ISNUMBER(INDIRECT("'数出表_Excel（アレルギー入力）'!"&amp;P29&amp;O21+1&amp;":"&amp;P29&amp;"145"))),ROW(INDIRECT("'数出表_Excel（アレルギー入力）'!"&amp;P29&amp;O21+1&amp;":"&amp;P29&amp;"145")),"")),0)</f>
        <v>0</v>
      </c>
      <c r="P29" t="s">
        <v>177</v>
      </c>
    </row>
    <row r="30" spans="1:16">
      <c r="A30" s="113" t="str">
        <f t="array" aca="1" ref="A30" ca="1">IF(F30&lt;&gt;"",
IF(LEFT(INDIRECT("'数出表_Excel（アレルギー入力）'!A"&amp;MATCH(F30,INDIRECT("'数出表_Excel（アレルギー入力）'!"&amp;P30&amp;":"&amp;P30&amp;""),0)),2)="博多",
LEFT(INDIRECT("'数出表_Excel（アレルギー入力）'!A"&amp;MATCH(F30,INDIRECT("'数出表_Excel（アレルギー入力）'!"&amp;P30&amp;":"&amp;P30&amp;""),0)),FIND("週",INDIRECT("'数出表_Excel（アレルギー入力）'!A"&amp;MATCH(F30,INDIRECT("'数出表_Excel（アレルギー入力）'!"&amp;P30&amp;":"&amp;P30&amp;""),0)))-1),
INDIRECT("'数出表_Excel（アレルギー入力）'!A"&amp;MATCH(F30,INDIRECT("'数出表_Excel（アレルギー入力）'!"&amp;P30&amp;":"&amp;P30&amp;""),0))),"")</f>
        <v/>
      </c>
      <c r="B30" s="113" t="str">
        <f t="array" aca="1" ref="B30" ca="1">IF(AND(B22&lt;&gt;"",O30&lt;&gt;0),
IF(INDIRECT("'数出表_Excel（アレルギー入力）'!"&amp;P30&amp;"147")&lt;&gt;F22,B22,""),"")</f>
        <v/>
      </c>
      <c r="C30" s="113"/>
      <c r="D30" s="113"/>
      <c r="E30" s="113"/>
      <c r="F30" s="113" t="str">
        <f t="array" aca="1" ref="F30" ca="1">IF(B30&lt;&gt;"",INDIRECT("'数出表_Excel（アレルギー入力）'!"&amp;P30&amp;
MIN(IF((MOD(ROW(INDIRECT("'数出表_Excel（アレルギー入力）'!"&amp;P30&amp;O22+1&amp;":"&amp;P30&amp;"145")),2)=1)*(ISNUMBER(INDIRECT("'数出表_Excel（アレルギー入力）'!"&amp;P30&amp;O22+1&amp;":"&amp;P30&amp;"145"))),ROW(INDIRECT("'数出表_Excel（アレルギー入力）'!"&amp;P30&amp;O22+1&amp;":"&amp;P30&amp;"145")),""))
&amp;""),"")</f>
        <v/>
      </c>
      <c r="G30" s="113"/>
      <c r="H30" s="113"/>
      <c r="I30" s="113"/>
      <c r="J30" s="113"/>
      <c r="K30" s="113"/>
      <c r="L30" s="113"/>
      <c r="M30" s="113"/>
      <c r="N30" s="113"/>
      <c r="O30">
        <f t="array" aca="1" ref="O30" ca="1">IF(O22&lt;&gt;0,
MIN(IF((MOD(ROW(INDIRECT("'数出表_Excel（アレルギー入力）'!"&amp;P30&amp;O22+1&amp;":"&amp;P30&amp;"145")),2)=1)*(ISNUMBER(INDIRECT("'数出表_Excel（アレルギー入力）'!"&amp;P30&amp;O22+1&amp;":"&amp;P30&amp;"145"))),ROW(INDIRECT("'数出表_Excel（アレルギー入力）'!"&amp;P30&amp;O22+1&amp;":"&amp;P30&amp;"145")),"")),0)</f>
        <v>0</v>
      </c>
      <c r="P30" t="s">
        <v>178</v>
      </c>
    </row>
    <row r="31" spans="1:16">
      <c r="A31" s="113" t="str">
        <f t="array" aca="1" ref="A31" ca="1">IF(F31&lt;&gt;"",
IF(LEFT(INDIRECT("'数出表_Excel（アレルギー入力）'!A"&amp;MATCH(F31,INDIRECT("'数出表_Excel（アレルギー入力）'!"&amp;P31&amp;":"&amp;P31&amp;""),0)),2)="博多",
LEFT(INDIRECT("'数出表_Excel（アレルギー入力）'!A"&amp;MATCH(F31,INDIRECT("'数出表_Excel（アレルギー入力）'!"&amp;P31&amp;":"&amp;P31&amp;""),0)),FIND("週",INDIRECT("'数出表_Excel（アレルギー入力）'!A"&amp;MATCH(F31,INDIRECT("'数出表_Excel（アレルギー入力）'!"&amp;P31&amp;":"&amp;P31&amp;""),0)))-1),
INDIRECT("'数出表_Excel（アレルギー入力）'!A"&amp;MATCH(F31,INDIRECT("'数出表_Excel（アレルギー入力）'!"&amp;P31&amp;":"&amp;P31&amp;""),0))),"")</f>
        <v/>
      </c>
      <c r="B31" s="113" t="str">
        <f t="array" aca="1" ref="B31" ca="1">IF(AND(B23&lt;&gt;"",O31&lt;&gt;0),
IF(INDIRECT("'数出表_Excel（アレルギー入力）'!"&amp;P31&amp;"147")&lt;&gt;F23,B23,""),"")</f>
        <v/>
      </c>
      <c r="C31" s="113"/>
      <c r="D31" s="113"/>
      <c r="E31" s="113"/>
      <c r="F31" s="113" t="str">
        <f t="array" aca="1" ref="F31" ca="1">IF(B31&lt;&gt;"",INDIRECT("'数出表_Excel（アレルギー入力）'!"&amp;P31&amp;
MIN(IF((MOD(ROW(INDIRECT("'数出表_Excel（アレルギー入力）'!"&amp;P31&amp;O23+1&amp;":"&amp;P31&amp;"145")),2)=1)*(ISNUMBER(INDIRECT("'数出表_Excel（アレルギー入力）'!"&amp;P31&amp;O23+1&amp;":"&amp;P31&amp;"145"))),ROW(INDIRECT("'数出表_Excel（アレルギー入力）'!"&amp;P31&amp;O23+1&amp;":"&amp;P31&amp;"145")),""))
&amp;""),"")</f>
        <v/>
      </c>
      <c r="G31" s="113"/>
      <c r="H31" s="113"/>
      <c r="I31" s="113"/>
      <c r="J31" s="113"/>
      <c r="K31" s="113"/>
      <c r="L31" s="113"/>
      <c r="M31" s="113"/>
      <c r="N31" s="113"/>
      <c r="O31">
        <f t="array" aca="1" ref="O31" ca="1">IF(O23&lt;&gt;0,
MIN(IF((MOD(ROW(INDIRECT("'数出表_Excel（アレルギー入力）'!"&amp;P31&amp;O23+1&amp;":"&amp;P31&amp;"145")),2)=1)*(ISNUMBER(INDIRECT("'数出表_Excel（アレルギー入力）'!"&amp;P31&amp;O23+1&amp;":"&amp;P31&amp;"145"))),ROW(INDIRECT("'数出表_Excel（アレルギー入力）'!"&amp;P31&amp;O23+1&amp;":"&amp;P31&amp;"145")),"")),0)</f>
        <v>0</v>
      </c>
      <c r="P31" t="s">
        <v>179</v>
      </c>
    </row>
    <row r="32" spans="1:16">
      <c r="A32" s="113" t="str">
        <f t="array" aca="1" ref="A32" ca="1">IF(F32&lt;&gt;"",
IF(LEFT(INDIRECT("'数出表_Excel（アレルギー入力）'!A"&amp;MATCH(F32,INDIRECT("'数出表_Excel（アレルギー入力）'!"&amp;P32&amp;":"&amp;P32&amp;""),0)),2)="博多",
LEFT(INDIRECT("'数出表_Excel（アレルギー入力）'!A"&amp;MATCH(F32,INDIRECT("'数出表_Excel（アレルギー入力）'!"&amp;P32&amp;":"&amp;P32&amp;""),0)),FIND("週",INDIRECT("'数出表_Excel（アレルギー入力）'!A"&amp;MATCH(F32,INDIRECT("'数出表_Excel（アレルギー入力）'!"&amp;P32&amp;":"&amp;P32&amp;""),0)))-1),
INDIRECT("'数出表_Excel（アレルギー入力）'!A"&amp;MATCH(F32,INDIRECT("'数出表_Excel（アレルギー入力）'!"&amp;P32&amp;":"&amp;P32&amp;""),0))),"")</f>
        <v/>
      </c>
      <c r="B32" s="113" t="str">
        <f t="array" aca="1" ref="B32" ca="1">IF(AND(B24&lt;&gt;"",O32&lt;&gt;0),
IF(INDIRECT("'数出表_Excel（アレルギー入力）'!"&amp;P32&amp;"147")&lt;&gt;F24,B24,""),"")</f>
        <v/>
      </c>
      <c r="C32" s="113"/>
      <c r="D32" s="113"/>
      <c r="E32" s="113"/>
      <c r="F32" s="113" t="str">
        <f t="array" aca="1" ref="F32" ca="1">IF(B32&lt;&gt;"",INDIRECT("'数出表_Excel（アレルギー入力）'!"&amp;P32&amp;
MIN(IF((MOD(ROW(INDIRECT("'数出表_Excel（アレルギー入力）'!"&amp;P32&amp;O24+1&amp;":"&amp;P32&amp;"145")),2)=1)*(ISNUMBER(INDIRECT("'数出表_Excel（アレルギー入力）'!"&amp;P32&amp;O24+1&amp;":"&amp;P32&amp;"145"))),ROW(INDIRECT("'数出表_Excel（アレルギー入力）'!"&amp;P32&amp;O24+1&amp;":"&amp;P32&amp;"145")),""))
&amp;""),"")</f>
        <v/>
      </c>
      <c r="G32" s="113"/>
      <c r="H32" s="113"/>
      <c r="I32" s="113"/>
      <c r="J32" s="113"/>
      <c r="K32" s="113"/>
      <c r="L32" s="113"/>
      <c r="M32" s="113"/>
      <c r="N32" s="113"/>
      <c r="O32">
        <f t="array" aca="1" ref="O32" ca="1">IF(O24&lt;&gt;0,
MIN(IF((MOD(ROW(INDIRECT("'数出表_Excel（アレルギー入力）'!"&amp;P32&amp;O24+1&amp;":"&amp;P32&amp;"145")),2)=1)*(ISNUMBER(INDIRECT("'数出表_Excel（アレルギー入力）'!"&amp;P32&amp;O24+1&amp;":"&amp;P32&amp;"145"))),ROW(INDIRECT("'数出表_Excel（アレルギー入力）'!"&amp;P32&amp;O24+1&amp;":"&amp;P32&amp;"145")),"")),0)</f>
        <v>0</v>
      </c>
      <c r="P32" t="s">
        <v>180</v>
      </c>
    </row>
    <row r="33" spans="1:16">
      <c r="A33" s="123" t="str">
        <f t="array" aca="1" ref="A33" ca="1">IF(F33&lt;&gt;"",
IF(LEFT(INDIRECT("'数出表_Excel（アレルギー入力）'!A"&amp;MATCH(F33,INDIRECT("'数出表_Excel（アレルギー入力）'!"&amp;P33&amp;":"&amp;P33&amp;""),0)),2)="博多",
LEFT(INDIRECT("'数出表_Excel（アレルギー入力）'!A"&amp;MATCH(F33,INDIRECT("'数出表_Excel（アレルギー入力）'!"&amp;P33&amp;":"&amp;P33&amp;""),0)),FIND("週",INDIRECT("'数出表_Excel（アレルギー入力）'!A"&amp;MATCH(F33,INDIRECT("'数出表_Excel（アレルギー入力）'!"&amp;P33&amp;":"&amp;P33&amp;""),0)))-1),
INDIRECT("'数出表_Excel（アレルギー入力）'!A"&amp;MATCH(F33,INDIRECT("'数出表_Excel（アレルギー入力）'!"&amp;P33&amp;":"&amp;P33&amp;""),0))),"")</f>
        <v/>
      </c>
      <c r="B33" s="123" t="str">
        <f t="array" aca="1" ref="B33" ca="1">IF(AND(B25&lt;&gt;"",O33&lt;&gt;0),
IF(INDIRECT("'数出表_Excel（アレルギー入力）'!"&amp;P33&amp;"147")&lt;&gt;F25,B25,""),"")</f>
        <v/>
      </c>
      <c r="C33" s="123"/>
      <c r="D33" s="123"/>
      <c r="E33" s="123"/>
      <c r="F33" s="123" t="str">
        <f t="array" aca="1" ref="F33" ca="1">IF(B33&lt;&gt;"",INDIRECT("'数出表_Excel（アレルギー入力）'!"&amp;P33&amp;
MIN(IF((MOD(ROW(INDIRECT("'数出表_Excel（アレルギー入力）'!"&amp;P33&amp;O25+1&amp;":"&amp;P33&amp;"145")),2)=1)*(ISNUMBER(INDIRECT("'数出表_Excel（アレルギー入力）'!"&amp;P33&amp;O25+1&amp;":"&amp;P33&amp;"145"))),ROW(INDIRECT("'数出表_Excel（アレルギー入力）'!"&amp;P33&amp;O25+1&amp;":"&amp;P33&amp;"145")),""))
&amp;""),"")</f>
        <v/>
      </c>
      <c r="G33" s="123"/>
      <c r="H33" s="123"/>
      <c r="I33" s="123"/>
      <c r="J33" s="123"/>
      <c r="K33" s="123"/>
      <c r="L33" s="123"/>
      <c r="M33" s="123"/>
      <c r="N33" s="123"/>
      <c r="O33">
        <f t="array" aca="1" ref="O33" ca="1">IF(O25&lt;&gt;0,
MIN(IF((MOD(ROW(INDIRECT("'数出表_Excel（アレルギー入力）'!"&amp;P33&amp;O25+1&amp;":"&amp;P33&amp;"145")),2)=1)*(ISNUMBER(INDIRECT("'数出表_Excel（アレルギー入力）'!"&amp;P33&amp;O25+1&amp;":"&amp;P33&amp;"145"))),ROW(INDIRECT("'数出表_Excel（アレルギー入力）'!"&amp;P33&amp;O25+1&amp;":"&amp;P33&amp;"145")),"")),0)</f>
        <v>0</v>
      </c>
      <c r="P33" t="s">
        <v>173</v>
      </c>
    </row>
    <row r="34" spans="1:16">
      <c r="A34" s="123" t="str">
        <f t="array" aca="1" ref="A34" ca="1">IF(F34&lt;&gt;"",
IF(LEFT(INDIRECT("'数出表_Excel（アレルギー入力）'!A"&amp;MATCH(F34,INDIRECT("'数出表_Excel（アレルギー入力）'!"&amp;P34&amp;":"&amp;P34&amp;""),0)),2)="博多",
LEFT(INDIRECT("'数出表_Excel（アレルギー入力）'!A"&amp;MATCH(F34,INDIRECT("'数出表_Excel（アレルギー入力）'!"&amp;P34&amp;":"&amp;P34&amp;""),0)),FIND("週",INDIRECT("'数出表_Excel（アレルギー入力）'!A"&amp;MATCH(F34,INDIRECT("'数出表_Excel（アレルギー入力）'!"&amp;P34&amp;":"&amp;P34&amp;""),0)))-1),
INDIRECT("'数出表_Excel（アレルギー入力）'!A"&amp;MATCH(F34,INDIRECT("'数出表_Excel（アレルギー入力）'!"&amp;P34&amp;":"&amp;P34&amp;""),0))),"")</f>
        <v/>
      </c>
      <c r="B34" s="123" t="str">
        <f t="array" aca="1" ref="B34" ca="1">IF(AND(B26&lt;&gt;"",O34&lt;&gt;0),
IF(INDIRECT("'数出表_Excel（アレルギー入力）'!"&amp;P34&amp;"147")&lt;&gt;F26,B26,""),"")</f>
        <v/>
      </c>
      <c r="C34" s="123"/>
      <c r="D34" s="123"/>
      <c r="E34" s="123"/>
      <c r="F34" s="123" t="str">
        <f t="array" aca="1" ref="F34" ca="1">IF(B34&lt;&gt;"",INDIRECT("'数出表_Excel（アレルギー入力）'!"&amp;P34&amp;
MIN(IF((MOD(ROW(INDIRECT("'数出表_Excel（アレルギー入力）'!"&amp;P34&amp;O26+1&amp;":"&amp;P34&amp;"145")),2)=1)*(ISNUMBER(INDIRECT("'数出表_Excel（アレルギー入力）'!"&amp;P34&amp;O26+1&amp;":"&amp;P34&amp;"145"))),ROW(INDIRECT("'数出表_Excel（アレルギー入力）'!"&amp;P34&amp;O26+1&amp;":"&amp;P34&amp;"145")),""))
&amp;""),"")</f>
        <v/>
      </c>
      <c r="G34" s="123"/>
      <c r="H34" s="123"/>
      <c r="I34" s="123"/>
      <c r="J34" s="123"/>
      <c r="K34" s="123"/>
      <c r="L34" s="123"/>
      <c r="M34" s="123"/>
      <c r="N34" s="123"/>
      <c r="O34">
        <f t="array" aca="1" ref="O34" ca="1">IF(O26&lt;&gt;0,
MIN(IF((MOD(ROW(INDIRECT("'数出表_Excel（アレルギー入力）'!"&amp;P34&amp;O26+1&amp;":"&amp;P34&amp;"145")),2)=1)*(ISNUMBER(INDIRECT("'数出表_Excel（アレルギー入力）'!"&amp;P34&amp;O26+1&amp;":"&amp;P34&amp;"145"))),ROW(INDIRECT("'数出表_Excel（アレルギー入力）'!"&amp;P34&amp;O26+1&amp;":"&amp;P34&amp;"145")),"")),0)</f>
        <v>0</v>
      </c>
      <c r="P34" t="s">
        <v>174</v>
      </c>
    </row>
    <row r="35" spans="1:16">
      <c r="A35" s="123" t="str">
        <f t="array" aca="1" ref="A35" ca="1">IF(F35&lt;&gt;"",
IF(LEFT(INDIRECT("'数出表_Excel（アレルギー入力）'!A"&amp;MATCH(F35,INDIRECT("'数出表_Excel（アレルギー入力）'!"&amp;P35&amp;":"&amp;P35&amp;""),0)),2)="博多",
LEFT(INDIRECT("'数出表_Excel（アレルギー入力）'!A"&amp;MATCH(F35,INDIRECT("'数出表_Excel（アレルギー入力）'!"&amp;P35&amp;":"&amp;P35&amp;""),0)),FIND("週",INDIRECT("'数出表_Excel（アレルギー入力）'!A"&amp;MATCH(F35,INDIRECT("'数出表_Excel（アレルギー入力）'!"&amp;P35&amp;":"&amp;P35&amp;""),0)))-1),
INDIRECT("'数出表_Excel（アレルギー入力）'!A"&amp;MATCH(F35,INDIRECT("'数出表_Excel（アレルギー入力）'!"&amp;P35&amp;":"&amp;P35&amp;""),0))),"")</f>
        <v/>
      </c>
      <c r="B35" s="123" t="str">
        <f t="array" aca="1" ref="B35" ca="1">IF(AND(B27&lt;&gt;"",O35&lt;&gt;0),
IF(INDIRECT("'数出表_Excel（アレルギー入力）'!"&amp;P35&amp;"147")&lt;&gt;F27,B27,""),"")</f>
        <v/>
      </c>
      <c r="C35" s="123"/>
      <c r="D35" s="123"/>
      <c r="E35" s="123"/>
      <c r="F35" s="123" t="str">
        <f t="array" aca="1" ref="F35" ca="1">IF(B35&lt;&gt;"",INDIRECT("'数出表_Excel（アレルギー入力）'!"&amp;P35&amp;
MIN(IF((MOD(ROW(INDIRECT("'数出表_Excel（アレルギー入力）'!"&amp;P35&amp;O27+1&amp;":"&amp;P35&amp;"145")),2)=1)*(ISNUMBER(INDIRECT("'数出表_Excel（アレルギー入力）'!"&amp;P35&amp;O27+1&amp;":"&amp;P35&amp;"145"))),ROW(INDIRECT("'数出表_Excel（アレルギー入力）'!"&amp;P35&amp;O27+1&amp;":"&amp;P35&amp;"145")),""))
&amp;""),"")</f>
        <v/>
      </c>
      <c r="G35" s="123"/>
      <c r="H35" s="123"/>
      <c r="I35" s="123"/>
      <c r="J35" s="123"/>
      <c r="K35" s="123"/>
      <c r="L35" s="123"/>
      <c r="M35" s="123"/>
      <c r="N35" s="123"/>
      <c r="O35">
        <f t="array" aca="1" ref="O35" ca="1">IF(O27&lt;&gt;0,
MIN(IF((MOD(ROW(INDIRECT("'数出表_Excel（アレルギー入力）'!"&amp;P35&amp;O27+1&amp;":"&amp;P35&amp;"145")),2)=1)*(ISNUMBER(INDIRECT("'数出表_Excel（アレルギー入力）'!"&amp;P35&amp;O27+1&amp;":"&amp;P35&amp;"145"))),ROW(INDIRECT("'数出表_Excel（アレルギー入力）'!"&amp;P35&amp;O27+1&amp;":"&amp;P35&amp;"145")),"")),0)</f>
        <v>0</v>
      </c>
      <c r="P35" t="s">
        <v>175</v>
      </c>
    </row>
    <row r="36" spans="1:16">
      <c r="A36" s="123" t="str">
        <f t="array" aca="1" ref="A36" ca="1">IF(F36&lt;&gt;"",
IF(LEFT(INDIRECT("'数出表_Excel（アレルギー入力）'!A"&amp;MATCH(F36,INDIRECT("'数出表_Excel（アレルギー入力）'!"&amp;P36&amp;":"&amp;P36&amp;""),0)),2)="博多",
LEFT(INDIRECT("'数出表_Excel（アレルギー入力）'!A"&amp;MATCH(F36,INDIRECT("'数出表_Excel（アレルギー入力）'!"&amp;P36&amp;":"&amp;P36&amp;""),0)),FIND("週",INDIRECT("'数出表_Excel（アレルギー入力）'!A"&amp;MATCH(F36,INDIRECT("'数出表_Excel（アレルギー入力）'!"&amp;P36&amp;":"&amp;P36&amp;""),0)))-1),
INDIRECT("'数出表_Excel（アレルギー入力）'!A"&amp;MATCH(F36,INDIRECT("'数出表_Excel（アレルギー入力）'!"&amp;P36&amp;":"&amp;P36&amp;""),0))),"")</f>
        <v/>
      </c>
      <c r="B36" s="123" t="str">
        <f t="array" aca="1" ref="B36" ca="1">IF(AND(B28&lt;&gt;"",O36&lt;&gt;0),
IF(INDIRECT("'数出表_Excel（アレルギー入力）'!"&amp;P36&amp;"147")&lt;&gt;F28,B28,""),"")</f>
        <v/>
      </c>
      <c r="C36" s="123"/>
      <c r="D36" s="123"/>
      <c r="E36" s="123"/>
      <c r="F36" s="123" t="str">
        <f t="array" aca="1" ref="F36" ca="1">IF(B36&lt;&gt;"",INDIRECT("'数出表_Excel（アレルギー入力）'!"&amp;P36&amp;
MIN(IF((MOD(ROW(INDIRECT("'数出表_Excel（アレルギー入力）'!"&amp;P36&amp;O28+1&amp;":"&amp;P36&amp;"145")),2)=1)*(ISNUMBER(INDIRECT("'数出表_Excel（アレルギー入力）'!"&amp;P36&amp;O28+1&amp;":"&amp;P36&amp;"145"))),ROW(INDIRECT("'数出表_Excel（アレルギー入力）'!"&amp;P36&amp;O28+1&amp;":"&amp;P36&amp;"145")),""))
&amp;""),"")</f>
        <v/>
      </c>
      <c r="G36" s="123"/>
      <c r="H36" s="123"/>
      <c r="I36" s="123"/>
      <c r="J36" s="123"/>
      <c r="K36" s="123"/>
      <c r="L36" s="123"/>
      <c r="M36" s="123"/>
      <c r="N36" s="123"/>
      <c r="O36">
        <f t="array" aca="1" ref="O36" ca="1">IF(O28&lt;&gt;0,
MIN(IF((MOD(ROW(INDIRECT("'数出表_Excel（アレルギー入力）'!"&amp;P36&amp;O28+1&amp;":"&amp;P36&amp;"145")),2)=1)*(ISNUMBER(INDIRECT("'数出表_Excel（アレルギー入力）'!"&amp;P36&amp;O28+1&amp;":"&amp;P36&amp;"145"))),ROW(INDIRECT("'数出表_Excel（アレルギー入力）'!"&amp;P36&amp;O28+1&amp;":"&amp;P36&amp;"145")),"")),0)</f>
        <v>0</v>
      </c>
      <c r="P36" t="s">
        <v>176</v>
      </c>
    </row>
    <row r="37" spans="1:16">
      <c r="A37" s="123" t="str">
        <f t="array" aca="1" ref="A37" ca="1">IF(F37&lt;&gt;"",
IF(LEFT(INDIRECT("'数出表_Excel（アレルギー入力）'!A"&amp;MATCH(F37,INDIRECT("'数出表_Excel（アレルギー入力）'!"&amp;P37&amp;":"&amp;P37&amp;""),0)),2)="博多",
LEFT(INDIRECT("'数出表_Excel（アレルギー入力）'!A"&amp;MATCH(F37,INDIRECT("'数出表_Excel（アレルギー入力）'!"&amp;P37&amp;":"&amp;P37&amp;""),0)),FIND("週",INDIRECT("'数出表_Excel（アレルギー入力）'!A"&amp;MATCH(F37,INDIRECT("'数出表_Excel（アレルギー入力）'!"&amp;P37&amp;":"&amp;P37&amp;""),0)))-1),
INDIRECT("'数出表_Excel（アレルギー入力）'!A"&amp;MATCH(F37,INDIRECT("'数出表_Excel（アレルギー入力）'!"&amp;P37&amp;":"&amp;P37&amp;""),0))),"")</f>
        <v/>
      </c>
      <c r="B37" s="123" t="str">
        <f t="array" aca="1" ref="B37" ca="1">IF(AND(B29&lt;&gt;"",O37&lt;&gt;0),
IF(INDIRECT("'数出表_Excel（アレルギー入力）'!"&amp;P37&amp;"147")&lt;&gt;F29,B29,""),"")</f>
        <v/>
      </c>
      <c r="C37" s="123"/>
      <c r="D37" s="123"/>
      <c r="E37" s="123"/>
      <c r="F37" s="123" t="str">
        <f t="array" aca="1" ref="F37" ca="1">IF(B37&lt;&gt;"",INDIRECT("'数出表_Excel（アレルギー入力）'!"&amp;P37&amp;
MIN(IF((MOD(ROW(INDIRECT("'数出表_Excel（アレルギー入力）'!"&amp;P37&amp;O29+1&amp;":"&amp;P37&amp;"145")),2)=1)*(ISNUMBER(INDIRECT("'数出表_Excel（アレルギー入力）'!"&amp;P37&amp;O29+1&amp;":"&amp;P37&amp;"145"))),ROW(INDIRECT("'数出表_Excel（アレルギー入力）'!"&amp;P37&amp;O29+1&amp;":"&amp;P37&amp;"145")),""))
&amp;""),"")</f>
        <v/>
      </c>
      <c r="G37" s="123"/>
      <c r="H37" s="123"/>
      <c r="I37" s="123"/>
      <c r="J37" s="123"/>
      <c r="K37" s="123"/>
      <c r="L37" s="123"/>
      <c r="M37" s="123"/>
      <c r="N37" s="123"/>
      <c r="O37">
        <f t="array" aca="1" ref="O37" ca="1">IF(O29&lt;&gt;0,
MIN(IF((MOD(ROW(INDIRECT("'数出表_Excel（アレルギー入力）'!"&amp;P37&amp;O29+1&amp;":"&amp;P37&amp;"145")),2)=1)*(ISNUMBER(INDIRECT("'数出表_Excel（アレルギー入力）'!"&amp;P37&amp;O29+1&amp;":"&amp;P37&amp;"145"))),ROW(INDIRECT("'数出表_Excel（アレルギー入力）'!"&amp;P37&amp;O29+1&amp;":"&amp;P37&amp;"145")),"")),0)</f>
        <v>0</v>
      </c>
      <c r="P37" t="s">
        <v>177</v>
      </c>
    </row>
    <row r="38" spans="1:16">
      <c r="A38" s="123" t="str">
        <f t="array" aca="1" ref="A38" ca="1">IF(F38&lt;&gt;"",
IF(LEFT(INDIRECT("'数出表_Excel（アレルギー入力）'!A"&amp;MATCH(F38,INDIRECT("'数出表_Excel（アレルギー入力）'!"&amp;P38&amp;":"&amp;P38&amp;""),0)),2)="博多",
LEFT(INDIRECT("'数出表_Excel（アレルギー入力）'!A"&amp;MATCH(F38,INDIRECT("'数出表_Excel（アレルギー入力）'!"&amp;P38&amp;":"&amp;P38&amp;""),0)),FIND("週",INDIRECT("'数出表_Excel（アレルギー入力）'!A"&amp;MATCH(F38,INDIRECT("'数出表_Excel（アレルギー入力）'!"&amp;P38&amp;":"&amp;P38&amp;""),0)))-1),
INDIRECT("'数出表_Excel（アレルギー入力）'!A"&amp;MATCH(F38,INDIRECT("'数出表_Excel（アレルギー入力）'!"&amp;P38&amp;":"&amp;P38&amp;""),0))),"")</f>
        <v/>
      </c>
      <c r="B38" s="123" t="str">
        <f t="array" aca="1" ref="B38" ca="1">IF(AND(B30&lt;&gt;"",O38&lt;&gt;0),
IF(INDIRECT("'数出表_Excel（アレルギー入力）'!"&amp;P38&amp;"147")&lt;&gt;F30,B30,""),"")</f>
        <v/>
      </c>
      <c r="C38" s="123"/>
      <c r="D38" s="123"/>
      <c r="E38" s="123"/>
      <c r="F38" s="123" t="str">
        <f t="array" aca="1" ref="F38" ca="1">IF(B38&lt;&gt;"",INDIRECT("'数出表_Excel（アレルギー入力）'!"&amp;P38&amp;
MIN(IF((MOD(ROW(INDIRECT("'数出表_Excel（アレルギー入力）'!"&amp;P38&amp;O30+1&amp;":"&amp;P38&amp;"145")),2)=1)*(ISNUMBER(INDIRECT("'数出表_Excel（アレルギー入力）'!"&amp;P38&amp;O30+1&amp;":"&amp;P38&amp;"145"))),ROW(INDIRECT("'数出表_Excel（アレルギー入力）'!"&amp;P38&amp;O30+1&amp;":"&amp;P38&amp;"145")),""))
&amp;""),"")</f>
        <v/>
      </c>
      <c r="G38" s="123"/>
      <c r="H38" s="123"/>
      <c r="I38" s="123"/>
      <c r="J38" s="123"/>
      <c r="K38" s="123"/>
      <c r="L38" s="123"/>
      <c r="M38" s="123"/>
      <c r="N38" s="123"/>
      <c r="O38">
        <f t="array" aca="1" ref="O38" ca="1">IF(O30&lt;&gt;0,
MIN(IF((MOD(ROW(INDIRECT("'数出表_Excel（アレルギー入力）'!"&amp;P38&amp;O30+1&amp;":"&amp;P38&amp;"145")),2)=1)*(ISNUMBER(INDIRECT("'数出表_Excel（アレルギー入力）'!"&amp;P38&amp;O30+1&amp;":"&amp;P38&amp;"145"))),ROW(INDIRECT("'数出表_Excel（アレルギー入力）'!"&amp;P38&amp;O30+1&amp;":"&amp;P38&amp;"145")),"")),0)</f>
        <v>0</v>
      </c>
      <c r="P38" t="s">
        <v>178</v>
      </c>
    </row>
    <row r="39" spans="1:16">
      <c r="A39" s="123" t="str">
        <f t="array" aca="1" ref="A39" ca="1">IF(F39&lt;&gt;"",
IF(LEFT(INDIRECT("'数出表_Excel（アレルギー入力）'!A"&amp;MATCH(F39,INDIRECT("'数出表_Excel（アレルギー入力）'!"&amp;P39&amp;":"&amp;P39&amp;""),0)),2)="博多",
LEFT(INDIRECT("'数出表_Excel（アレルギー入力）'!A"&amp;MATCH(F39,INDIRECT("'数出表_Excel（アレルギー入力）'!"&amp;P39&amp;":"&amp;P39&amp;""),0)),FIND("週",INDIRECT("'数出表_Excel（アレルギー入力）'!A"&amp;MATCH(F39,INDIRECT("'数出表_Excel（アレルギー入力）'!"&amp;P39&amp;":"&amp;P39&amp;""),0)))-1),
INDIRECT("'数出表_Excel（アレルギー入力）'!A"&amp;MATCH(F39,INDIRECT("'数出表_Excel（アレルギー入力）'!"&amp;P39&amp;":"&amp;P39&amp;""),0))),"")</f>
        <v/>
      </c>
      <c r="B39" s="123" t="str">
        <f t="array" aca="1" ref="B39" ca="1">IF(AND(B31&lt;&gt;"",O39&lt;&gt;0),
IF(INDIRECT("'数出表_Excel（アレルギー入力）'!"&amp;P39&amp;"147")&lt;&gt;F31,B31,""),"")</f>
        <v/>
      </c>
      <c r="C39" s="123"/>
      <c r="D39" s="123"/>
      <c r="E39" s="123"/>
      <c r="F39" s="123" t="str">
        <f t="array" aca="1" ref="F39" ca="1">IF(B39&lt;&gt;"",INDIRECT("'数出表_Excel（アレルギー入力）'!"&amp;P39&amp;
MIN(IF((MOD(ROW(INDIRECT("'数出表_Excel（アレルギー入力）'!"&amp;P39&amp;O31+1&amp;":"&amp;P39&amp;"145")),2)=1)*(ISNUMBER(INDIRECT("'数出表_Excel（アレルギー入力）'!"&amp;P39&amp;O31+1&amp;":"&amp;P39&amp;"145"))),ROW(INDIRECT("'数出表_Excel（アレルギー入力）'!"&amp;P39&amp;O31+1&amp;":"&amp;P39&amp;"145")),""))
&amp;""),"")</f>
        <v/>
      </c>
      <c r="G39" s="123"/>
      <c r="H39" s="123"/>
      <c r="I39" s="123"/>
      <c r="J39" s="123"/>
      <c r="K39" s="123"/>
      <c r="L39" s="123"/>
      <c r="M39" s="123"/>
      <c r="N39" s="123"/>
      <c r="O39">
        <f t="array" aca="1" ref="O39" ca="1">IF(O31&lt;&gt;0,
MIN(IF((MOD(ROW(INDIRECT("'数出表_Excel（アレルギー入力）'!"&amp;P39&amp;O31+1&amp;":"&amp;P39&amp;"145")),2)=1)*(ISNUMBER(INDIRECT("'数出表_Excel（アレルギー入力）'!"&amp;P39&amp;O31+1&amp;":"&amp;P39&amp;"145"))),ROW(INDIRECT("'数出表_Excel（アレルギー入力）'!"&amp;P39&amp;O31+1&amp;":"&amp;P39&amp;"145")),"")),0)</f>
        <v>0</v>
      </c>
      <c r="P39" t="s">
        <v>179</v>
      </c>
    </row>
    <row r="40" spans="1:16">
      <c r="A40" s="123" t="str">
        <f t="array" aca="1" ref="A40" ca="1">IF(F40&lt;&gt;"",
IF(LEFT(INDIRECT("'数出表_Excel（アレルギー入力）'!A"&amp;MATCH(F40,INDIRECT("'数出表_Excel（アレルギー入力）'!"&amp;P40&amp;":"&amp;P40&amp;""),0)),2)="博多",
LEFT(INDIRECT("'数出表_Excel（アレルギー入力）'!A"&amp;MATCH(F40,INDIRECT("'数出表_Excel（アレルギー入力）'!"&amp;P40&amp;":"&amp;P40&amp;""),0)),FIND("週",INDIRECT("'数出表_Excel（アレルギー入力）'!A"&amp;MATCH(F40,INDIRECT("'数出表_Excel（アレルギー入力）'!"&amp;P40&amp;":"&amp;P40&amp;""),0)))-1),
INDIRECT("'数出表_Excel（アレルギー入力）'!A"&amp;MATCH(F40,INDIRECT("'数出表_Excel（アレルギー入力）'!"&amp;P40&amp;":"&amp;P40&amp;""),0))),"")</f>
        <v/>
      </c>
      <c r="B40" s="123" t="str">
        <f t="array" aca="1" ref="B40" ca="1">IF(AND(B32&lt;&gt;"",O40&lt;&gt;0),
IF(INDIRECT("'数出表_Excel（アレルギー入力）'!"&amp;P40&amp;"147")&lt;&gt;F32,B32,""),"")</f>
        <v/>
      </c>
      <c r="C40" s="123"/>
      <c r="D40" s="123"/>
      <c r="E40" s="123"/>
      <c r="F40" s="123" t="str">
        <f t="array" aca="1" ref="F40" ca="1">IF(B40&lt;&gt;"",INDIRECT("'数出表_Excel（アレルギー入力）'!"&amp;P40&amp;
MIN(IF((MOD(ROW(INDIRECT("'数出表_Excel（アレルギー入力）'!"&amp;P40&amp;O32+1&amp;":"&amp;P40&amp;"145")),2)=1)*(ISNUMBER(INDIRECT("'数出表_Excel（アレルギー入力）'!"&amp;P40&amp;O32+1&amp;":"&amp;P40&amp;"145"))),ROW(INDIRECT("'数出表_Excel（アレルギー入力）'!"&amp;P40&amp;O32+1&amp;":"&amp;P40&amp;"145")),""))
&amp;""),"")</f>
        <v/>
      </c>
      <c r="G40" s="123"/>
      <c r="H40" s="123"/>
      <c r="I40" s="123"/>
      <c r="J40" s="123"/>
      <c r="K40" s="123"/>
      <c r="L40" s="123"/>
      <c r="M40" s="123"/>
      <c r="N40" s="123"/>
      <c r="O40">
        <f t="array" aca="1" ref="O40" ca="1">IF(O32&lt;&gt;0,
MIN(IF((MOD(ROW(INDIRECT("'数出表_Excel（アレルギー入力）'!"&amp;P40&amp;O32+1&amp;":"&amp;P40&amp;"145")),2)=1)*(ISNUMBER(INDIRECT("'数出表_Excel（アレルギー入力）'!"&amp;P40&amp;O32+1&amp;":"&amp;P40&amp;"145"))),ROW(INDIRECT("'数出表_Excel（アレルギー入力）'!"&amp;P40&amp;O32+1&amp;":"&amp;P40&amp;"145")),"")),0)</f>
        <v>0</v>
      </c>
      <c r="P40" t="s">
        <v>180</v>
      </c>
    </row>
    <row r="41" spans="1:16">
      <c r="A41" s="124" t="str">
        <f t="array" aca="1" ref="A41" ca="1">IF(F41&lt;&gt;"",
IF(LEFT(INDIRECT("'数出表_Excel（アレルギー入力）'!A"&amp;MATCH(F41,INDIRECT("'数出表_Excel（アレルギー入力）'!"&amp;P41&amp;":"&amp;P41&amp;""),0)),2)="博多",
LEFT(INDIRECT("'数出表_Excel（アレルギー入力）'!A"&amp;MATCH(F41,INDIRECT("'数出表_Excel（アレルギー入力）'!"&amp;P41&amp;":"&amp;P41&amp;""),0)),FIND("週",INDIRECT("'数出表_Excel（アレルギー入力）'!A"&amp;MATCH(F41,INDIRECT("'数出表_Excel（アレルギー入力）'!"&amp;P41&amp;":"&amp;P41&amp;""),0)))-1),
INDIRECT("'数出表_Excel（アレルギー入力）'!A"&amp;MATCH(F41,INDIRECT("'数出表_Excel（アレルギー入力）'!"&amp;P41&amp;":"&amp;P41&amp;""),0))),"")</f>
        <v/>
      </c>
      <c r="B41" s="124" t="str">
        <f t="array" aca="1" ref="B41" ca="1">IF(AND(B33&lt;&gt;"",O41&lt;&gt;0),
IF(INDIRECT("'数出表_Excel（アレルギー入力）'!"&amp;P41&amp;"147")&lt;&gt;F33,B33,""),"")</f>
        <v/>
      </c>
      <c r="C41" s="124"/>
      <c r="D41" s="124"/>
      <c r="E41" s="124"/>
      <c r="F41" s="124" t="str">
        <f t="array" aca="1" ref="F41" ca="1">IF(B41&lt;&gt;"",INDIRECT("'数出表_Excel（アレルギー入力）'!"&amp;P41&amp;
MIN(IF((MOD(ROW(INDIRECT("'数出表_Excel（アレルギー入力）'!"&amp;P41&amp;O33+1&amp;":"&amp;P41&amp;"145")),2)=1)*(ISNUMBER(INDIRECT("'数出表_Excel（アレルギー入力）'!"&amp;P41&amp;O33+1&amp;":"&amp;P41&amp;"145"))),ROW(INDIRECT("'数出表_Excel（アレルギー入力）'!"&amp;P41&amp;O33+1&amp;":"&amp;P41&amp;"145")),""))
&amp;""),"")</f>
        <v/>
      </c>
      <c r="G41" s="124"/>
      <c r="H41" s="124"/>
      <c r="I41" s="124"/>
      <c r="J41" s="124"/>
      <c r="K41" s="124"/>
      <c r="L41" s="124"/>
      <c r="M41" s="124"/>
      <c r="N41" s="124"/>
      <c r="O41">
        <f t="array" aca="1" ref="O41" ca="1">IF(O33&lt;&gt;0,
MIN(IF((MOD(ROW(INDIRECT("'数出表_Excel（アレルギー入力）'!"&amp;P41&amp;O33+1&amp;":"&amp;P41&amp;"145")),2)=1)*(ISNUMBER(INDIRECT("'数出表_Excel（アレルギー入力）'!"&amp;P41&amp;O33+1&amp;":"&amp;P41&amp;"145"))),ROW(INDIRECT("'数出表_Excel（アレルギー入力）'!"&amp;P41&amp;O33+1&amp;":"&amp;P41&amp;"145")),"")),0)</f>
        <v>0</v>
      </c>
      <c r="P41" t="s">
        <v>173</v>
      </c>
    </row>
    <row r="42" spans="1:16">
      <c r="A42" s="124" t="str">
        <f t="array" aca="1" ref="A42" ca="1">IF(F42&lt;&gt;"",
IF(LEFT(INDIRECT("'数出表_Excel（アレルギー入力）'!A"&amp;MATCH(F42,INDIRECT("'数出表_Excel（アレルギー入力）'!"&amp;P42&amp;":"&amp;P42&amp;""),0)),2)="博多",
LEFT(INDIRECT("'数出表_Excel（アレルギー入力）'!A"&amp;MATCH(F42,INDIRECT("'数出表_Excel（アレルギー入力）'!"&amp;P42&amp;":"&amp;P42&amp;""),0)),FIND("週",INDIRECT("'数出表_Excel（アレルギー入力）'!A"&amp;MATCH(F42,INDIRECT("'数出表_Excel（アレルギー入力）'!"&amp;P42&amp;":"&amp;P42&amp;""),0)))-1),
INDIRECT("'数出表_Excel（アレルギー入力）'!A"&amp;MATCH(F42,INDIRECT("'数出表_Excel（アレルギー入力）'!"&amp;P42&amp;":"&amp;P42&amp;""),0))),"")</f>
        <v/>
      </c>
      <c r="B42" s="124" t="str">
        <f t="array" aca="1" ref="B42" ca="1">IF(AND(B34&lt;&gt;"",O42&lt;&gt;0),
IF(INDIRECT("'数出表_Excel（アレルギー入力）'!"&amp;P42&amp;"147")&lt;&gt;F34,B34,""),"")</f>
        <v/>
      </c>
      <c r="C42" s="124"/>
      <c r="D42" s="124"/>
      <c r="E42" s="124"/>
      <c r="F42" s="124" t="str">
        <f t="array" aca="1" ref="F42" ca="1">IF(B42&lt;&gt;"",INDIRECT("'数出表_Excel（アレルギー入力）'!"&amp;P42&amp;
MIN(IF((MOD(ROW(INDIRECT("'数出表_Excel（アレルギー入力）'!"&amp;P42&amp;O34+1&amp;":"&amp;P42&amp;"145")),2)=1)*(ISNUMBER(INDIRECT("'数出表_Excel（アレルギー入力）'!"&amp;P42&amp;O34+1&amp;":"&amp;P42&amp;"145"))),ROW(INDIRECT("'数出表_Excel（アレルギー入力）'!"&amp;P42&amp;O34+1&amp;":"&amp;P42&amp;"145")),""))
&amp;""),"")</f>
        <v/>
      </c>
      <c r="G42" s="124"/>
      <c r="H42" s="124"/>
      <c r="I42" s="124"/>
      <c r="J42" s="124"/>
      <c r="K42" s="124"/>
      <c r="L42" s="124"/>
      <c r="M42" s="124"/>
      <c r="N42" s="124"/>
      <c r="O42">
        <f t="array" aca="1" ref="O42" ca="1">IF(O34&lt;&gt;0,
MIN(IF((MOD(ROW(INDIRECT("'数出表_Excel（アレルギー入力）'!"&amp;P42&amp;O34+1&amp;":"&amp;P42&amp;"145")),2)=1)*(ISNUMBER(INDIRECT("'数出表_Excel（アレルギー入力）'!"&amp;P42&amp;O34+1&amp;":"&amp;P42&amp;"145"))),ROW(INDIRECT("'数出表_Excel（アレルギー入力）'!"&amp;P42&amp;O34+1&amp;":"&amp;P42&amp;"145")),"")),0)</f>
        <v>0</v>
      </c>
      <c r="P42" t="s">
        <v>174</v>
      </c>
    </row>
    <row r="43" spans="1:16">
      <c r="A43" s="124" t="str">
        <f t="array" aca="1" ref="A43" ca="1">IF(F43&lt;&gt;"",
IF(LEFT(INDIRECT("'数出表_Excel（アレルギー入力）'!A"&amp;MATCH(F43,INDIRECT("'数出表_Excel（アレルギー入力）'!"&amp;P43&amp;":"&amp;P43&amp;""),0)),2)="博多",
LEFT(INDIRECT("'数出表_Excel（アレルギー入力）'!A"&amp;MATCH(F43,INDIRECT("'数出表_Excel（アレルギー入力）'!"&amp;P43&amp;":"&amp;P43&amp;""),0)),FIND("週",INDIRECT("'数出表_Excel（アレルギー入力）'!A"&amp;MATCH(F43,INDIRECT("'数出表_Excel（アレルギー入力）'!"&amp;P43&amp;":"&amp;P43&amp;""),0)))-1),
INDIRECT("'数出表_Excel（アレルギー入力）'!A"&amp;MATCH(F43,INDIRECT("'数出表_Excel（アレルギー入力）'!"&amp;P43&amp;":"&amp;P43&amp;""),0))),"")</f>
        <v/>
      </c>
      <c r="B43" s="124" t="str">
        <f t="array" aca="1" ref="B43" ca="1">IF(AND(B35&lt;&gt;"",O43&lt;&gt;0),
IF(INDIRECT("'数出表_Excel（アレルギー入力）'!"&amp;P43&amp;"147")&lt;&gt;F35,B35,""),"")</f>
        <v/>
      </c>
      <c r="C43" s="124"/>
      <c r="D43" s="124"/>
      <c r="E43" s="124"/>
      <c r="F43" s="124" t="str">
        <f t="array" aca="1" ref="F43" ca="1">IF(B43&lt;&gt;"",INDIRECT("'数出表_Excel（アレルギー入力）'!"&amp;P43&amp;
MIN(IF((MOD(ROW(INDIRECT("'数出表_Excel（アレルギー入力）'!"&amp;P43&amp;O35+1&amp;":"&amp;P43&amp;"145")),2)=1)*(ISNUMBER(INDIRECT("'数出表_Excel（アレルギー入力）'!"&amp;P43&amp;O35+1&amp;":"&amp;P43&amp;"145"))),ROW(INDIRECT("'数出表_Excel（アレルギー入力）'!"&amp;P43&amp;O35+1&amp;":"&amp;P43&amp;"145")),""))
&amp;""),"")</f>
        <v/>
      </c>
      <c r="G43" s="124"/>
      <c r="H43" s="124"/>
      <c r="I43" s="124"/>
      <c r="J43" s="124"/>
      <c r="K43" s="124"/>
      <c r="L43" s="124"/>
      <c r="M43" s="124"/>
      <c r="N43" s="124"/>
      <c r="O43">
        <f t="array" aca="1" ref="O43" ca="1">IF(O35&lt;&gt;0,
MIN(IF((MOD(ROW(INDIRECT("'数出表_Excel（アレルギー入力）'!"&amp;P43&amp;O35+1&amp;":"&amp;P43&amp;"145")),2)=1)*(ISNUMBER(INDIRECT("'数出表_Excel（アレルギー入力）'!"&amp;P43&amp;O35+1&amp;":"&amp;P43&amp;"145"))),ROW(INDIRECT("'数出表_Excel（アレルギー入力）'!"&amp;P43&amp;O35+1&amp;":"&amp;P43&amp;"145")),"")),0)</f>
        <v>0</v>
      </c>
      <c r="P43" t="s">
        <v>175</v>
      </c>
    </row>
    <row r="44" spans="1:16">
      <c r="A44" s="124" t="str">
        <f t="array" aca="1" ref="A44" ca="1">IF(F44&lt;&gt;"",
IF(LEFT(INDIRECT("'数出表_Excel（アレルギー入力）'!A"&amp;MATCH(F44,INDIRECT("'数出表_Excel（アレルギー入力）'!"&amp;P44&amp;":"&amp;P44&amp;""),0)),2)="博多",
LEFT(INDIRECT("'数出表_Excel（アレルギー入力）'!A"&amp;MATCH(F44,INDIRECT("'数出表_Excel（アレルギー入力）'!"&amp;P44&amp;":"&amp;P44&amp;""),0)),FIND("週",INDIRECT("'数出表_Excel（アレルギー入力）'!A"&amp;MATCH(F44,INDIRECT("'数出表_Excel（アレルギー入力）'!"&amp;P44&amp;":"&amp;P44&amp;""),0)))-1),
INDIRECT("'数出表_Excel（アレルギー入力）'!A"&amp;MATCH(F44,INDIRECT("'数出表_Excel（アレルギー入力）'!"&amp;P44&amp;":"&amp;P44&amp;""),0))),"")</f>
        <v/>
      </c>
      <c r="B44" s="124" t="str">
        <f t="array" aca="1" ref="B44" ca="1">IF(AND(B36&lt;&gt;"",O44&lt;&gt;0),
IF(INDIRECT("'数出表_Excel（アレルギー入力）'!"&amp;P44&amp;"147")&lt;&gt;F36,B36,""),"")</f>
        <v/>
      </c>
      <c r="C44" s="124"/>
      <c r="D44" s="124"/>
      <c r="E44" s="124"/>
      <c r="F44" s="124" t="str">
        <f t="array" aca="1" ref="F44" ca="1">IF(B44&lt;&gt;"",INDIRECT("'数出表_Excel（アレルギー入力）'!"&amp;P44&amp;
MIN(IF((MOD(ROW(INDIRECT("'数出表_Excel（アレルギー入力）'!"&amp;P44&amp;O36+1&amp;":"&amp;P44&amp;"145")),2)=1)*(ISNUMBER(INDIRECT("'数出表_Excel（アレルギー入力）'!"&amp;P44&amp;O36+1&amp;":"&amp;P44&amp;"145"))),ROW(INDIRECT("'数出表_Excel（アレルギー入力）'!"&amp;P44&amp;O36+1&amp;":"&amp;P44&amp;"145")),""))
&amp;""),"")</f>
        <v/>
      </c>
      <c r="G44" s="124"/>
      <c r="H44" s="124"/>
      <c r="I44" s="124"/>
      <c r="J44" s="124"/>
      <c r="K44" s="124"/>
      <c r="L44" s="124"/>
      <c r="M44" s="124"/>
      <c r="N44" s="124"/>
      <c r="O44">
        <f t="array" aca="1" ref="O44" ca="1">IF(O36&lt;&gt;0,
MIN(IF((MOD(ROW(INDIRECT("'数出表_Excel（アレルギー入力）'!"&amp;P44&amp;O36+1&amp;":"&amp;P44&amp;"145")),2)=1)*(ISNUMBER(INDIRECT("'数出表_Excel（アレルギー入力）'!"&amp;P44&amp;O36+1&amp;":"&amp;P44&amp;"145"))),ROW(INDIRECT("'数出表_Excel（アレルギー入力）'!"&amp;P44&amp;O36+1&amp;":"&amp;P44&amp;"145")),"")),0)</f>
        <v>0</v>
      </c>
      <c r="P44" t="s">
        <v>176</v>
      </c>
    </row>
    <row r="45" spans="1:16">
      <c r="A45" s="124" t="str">
        <f t="array" aca="1" ref="A45" ca="1">IF(F45&lt;&gt;"",
IF(LEFT(INDIRECT("'数出表_Excel（アレルギー入力）'!A"&amp;MATCH(F45,INDIRECT("'数出表_Excel（アレルギー入力）'!"&amp;P45&amp;":"&amp;P45&amp;""),0)),2)="博多",
LEFT(INDIRECT("'数出表_Excel（アレルギー入力）'!A"&amp;MATCH(F45,INDIRECT("'数出表_Excel（アレルギー入力）'!"&amp;P45&amp;":"&amp;P45&amp;""),0)),FIND("週",INDIRECT("'数出表_Excel（アレルギー入力）'!A"&amp;MATCH(F45,INDIRECT("'数出表_Excel（アレルギー入力）'!"&amp;P45&amp;":"&amp;P45&amp;""),0)))-1),
INDIRECT("'数出表_Excel（アレルギー入力）'!A"&amp;MATCH(F45,INDIRECT("'数出表_Excel（アレルギー入力）'!"&amp;P45&amp;":"&amp;P45&amp;""),0))),"")</f>
        <v/>
      </c>
      <c r="B45" s="124" t="str">
        <f t="array" aca="1" ref="B45" ca="1">IF(AND(B37&lt;&gt;"",O45&lt;&gt;0),
IF(INDIRECT("'数出表_Excel（アレルギー入力）'!"&amp;P45&amp;"147")&lt;&gt;F37,B37,""),"")</f>
        <v/>
      </c>
      <c r="C45" s="124"/>
      <c r="D45" s="124"/>
      <c r="E45" s="124"/>
      <c r="F45" s="124" t="str">
        <f t="array" aca="1" ref="F45" ca="1">IF(B45&lt;&gt;"",INDIRECT("'数出表_Excel（アレルギー入力）'!"&amp;P45&amp;
MIN(IF((MOD(ROW(INDIRECT("'数出表_Excel（アレルギー入力）'!"&amp;P45&amp;O37+1&amp;":"&amp;P45&amp;"145")),2)=1)*(ISNUMBER(INDIRECT("'数出表_Excel（アレルギー入力）'!"&amp;P45&amp;O37+1&amp;":"&amp;P45&amp;"145"))),ROW(INDIRECT("'数出表_Excel（アレルギー入力）'!"&amp;P45&amp;O37+1&amp;":"&amp;P45&amp;"145")),""))
&amp;""),"")</f>
        <v/>
      </c>
      <c r="G45" s="124"/>
      <c r="H45" s="124"/>
      <c r="I45" s="124"/>
      <c r="J45" s="124"/>
      <c r="K45" s="124"/>
      <c r="L45" s="124"/>
      <c r="M45" s="124"/>
      <c r="N45" s="124"/>
      <c r="O45">
        <f t="array" aca="1" ref="O45" ca="1">IF(O37&lt;&gt;0,
MIN(IF((MOD(ROW(INDIRECT("'数出表_Excel（アレルギー入力）'!"&amp;P45&amp;O37+1&amp;":"&amp;P45&amp;"145")),2)=1)*(ISNUMBER(INDIRECT("'数出表_Excel（アレルギー入力）'!"&amp;P45&amp;O37+1&amp;":"&amp;P45&amp;"145"))),ROW(INDIRECT("'数出表_Excel（アレルギー入力）'!"&amp;P45&amp;O37+1&amp;":"&amp;P45&amp;"145")),"")),0)</f>
        <v>0</v>
      </c>
      <c r="P45" t="s">
        <v>177</v>
      </c>
    </row>
    <row r="46" spans="1:16">
      <c r="A46" s="124" t="str">
        <f t="array" aca="1" ref="A46" ca="1">IF(F46&lt;&gt;"",
IF(LEFT(INDIRECT("'数出表_Excel（アレルギー入力）'!A"&amp;MATCH(F46,INDIRECT("'数出表_Excel（アレルギー入力）'!"&amp;P46&amp;":"&amp;P46&amp;""),0)),2)="博多",
LEFT(INDIRECT("'数出表_Excel（アレルギー入力）'!A"&amp;MATCH(F46,INDIRECT("'数出表_Excel（アレルギー入力）'!"&amp;P46&amp;":"&amp;P46&amp;""),0)),FIND("週",INDIRECT("'数出表_Excel（アレルギー入力）'!A"&amp;MATCH(F46,INDIRECT("'数出表_Excel（アレルギー入力）'!"&amp;P46&amp;":"&amp;P46&amp;""),0)))-1),
INDIRECT("'数出表_Excel（アレルギー入力）'!A"&amp;MATCH(F46,INDIRECT("'数出表_Excel（アレルギー入力）'!"&amp;P46&amp;":"&amp;P46&amp;""),0))),"")</f>
        <v/>
      </c>
      <c r="B46" s="124" t="str">
        <f t="array" aca="1" ref="B46" ca="1">IF(AND(B38&lt;&gt;"",O46&lt;&gt;0),
IF(INDIRECT("'数出表_Excel（アレルギー入力）'!"&amp;P46&amp;"147")&lt;&gt;F38,B38,""),"")</f>
        <v/>
      </c>
      <c r="C46" s="124"/>
      <c r="D46" s="124"/>
      <c r="E46" s="124"/>
      <c r="F46" s="124" t="str">
        <f t="array" aca="1" ref="F46" ca="1">IF(B46&lt;&gt;"",INDIRECT("'数出表_Excel（アレルギー入力）'!"&amp;P46&amp;
MIN(IF((MOD(ROW(INDIRECT("'数出表_Excel（アレルギー入力）'!"&amp;P46&amp;O38+1&amp;":"&amp;P46&amp;"145")),2)=1)*(ISNUMBER(INDIRECT("'数出表_Excel（アレルギー入力）'!"&amp;P46&amp;O38+1&amp;":"&amp;P46&amp;"145"))),ROW(INDIRECT("'数出表_Excel（アレルギー入力）'!"&amp;P46&amp;O38+1&amp;":"&amp;P46&amp;"145")),""))
&amp;""),"")</f>
        <v/>
      </c>
      <c r="G46" s="124"/>
      <c r="H46" s="124"/>
      <c r="I46" s="124"/>
      <c r="J46" s="124"/>
      <c r="K46" s="124"/>
      <c r="L46" s="124"/>
      <c r="M46" s="124"/>
      <c r="N46" s="124"/>
      <c r="O46">
        <f t="array" aca="1" ref="O46" ca="1">IF(O38&lt;&gt;0,
MIN(IF((MOD(ROW(INDIRECT("'数出表_Excel（アレルギー入力）'!"&amp;P46&amp;O38+1&amp;":"&amp;P46&amp;"145")),2)=1)*(ISNUMBER(INDIRECT("'数出表_Excel（アレルギー入力）'!"&amp;P46&amp;O38+1&amp;":"&amp;P46&amp;"145"))),ROW(INDIRECT("'数出表_Excel（アレルギー入力）'!"&amp;P46&amp;O38+1&amp;":"&amp;P46&amp;"145")),"")),0)</f>
        <v>0</v>
      </c>
      <c r="P46" t="s">
        <v>178</v>
      </c>
    </row>
    <row r="47" spans="1:16">
      <c r="A47" s="124" t="str">
        <f t="array" aca="1" ref="A47" ca="1">IF(F47&lt;&gt;"",
IF(LEFT(INDIRECT("'数出表_Excel（アレルギー入力）'!A"&amp;MATCH(F47,INDIRECT("'数出表_Excel（アレルギー入力）'!"&amp;P47&amp;":"&amp;P47&amp;""),0)),2)="博多",
LEFT(INDIRECT("'数出表_Excel（アレルギー入力）'!A"&amp;MATCH(F47,INDIRECT("'数出表_Excel（アレルギー入力）'!"&amp;P47&amp;":"&amp;P47&amp;""),0)),FIND("週",INDIRECT("'数出表_Excel（アレルギー入力）'!A"&amp;MATCH(F47,INDIRECT("'数出表_Excel（アレルギー入力）'!"&amp;P47&amp;":"&amp;P47&amp;""),0)))-1),
INDIRECT("'数出表_Excel（アレルギー入力）'!A"&amp;MATCH(F47,INDIRECT("'数出表_Excel（アレルギー入力）'!"&amp;P47&amp;":"&amp;P47&amp;""),0))),"")</f>
        <v/>
      </c>
      <c r="B47" s="124" t="str">
        <f t="array" aca="1" ref="B47" ca="1">IF(AND(B39&lt;&gt;"",O47&lt;&gt;0),
IF(INDIRECT("'数出表_Excel（アレルギー入力）'!"&amp;P47&amp;"147")&lt;&gt;F39,B39,""),"")</f>
        <v/>
      </c>
      <c r="C47" s="124"/>
      <c r="D47" s="124"/>
      <c r="E47" s="124"/>
      <c r="F47" s="124" t="str">
        <f t="array" aca="1" ref="F47" ca="1">IF(B47&lt;&gt;"",INDIRECT("'数出表_Excel（アレルギー入力）'!"&amp;P47&amp;
MIN(IF((MOD(ROW(INDIRECT("'数出表_Excel（アレルギー入力）'!"&amp;P47&amp;O39+1&amp;":"&amp;P47&amp;"145")),2)=1)*(ISNUMBER(INDIRECT("'数出表_Excel（アレルギー入力）'!"&amp;P47&amp;O39+1&amp;":"&amp;P47&amp;"145"))),ROW(INDIRECT("'数出表_Excel（アレルギー入力）'!"&amp;P47&amp;O39+1&amp;":"&amp;P47&amp;"145")),""))
&amp;""),"")</f>
        <v/>
      </c>
      <c r="G47" s="124"/>
      <c r="H47" s="124"/>
      <c r="I47" s="124"/>
      <c r="J47" s="124"/>
      <c r="K47" s="124"/>
      <c r="L47" s="124"/>
      <c r="M47" s="124"/>
      <c r="N47" s="124"/>
      <c r="O47">
        <f t="array" aca="1" ref="O47" ca="1">IF(O39&lt;&gt;0,
MIN(IF((MOD(ROW(INDIRECT("'数出表_Excel（アレルギー入力）'!"&amp;P47&amp;O39+1&amp;":"&amp;P47&amp;"145")),2)=1)*(ISNUMBER(INDIRECT("'数出表_Excel（アレルギー入力）'!"&amp;P47&amp;O39+1&amp;":"&amp;P47&amp;"145"))),ROW(INDIRECT("'数出表_Excel（アレルギー入力）'!"&amp;P47&amp;O39+1&amp;":"&amp;P47&amp;"145")),"")),0)</f>
        <v>0</v>
      </c>
      <c r="P47" t="s">
        <v>179</v>
      </c>
    </row>
    <row r="48" spans="1:16">
      <c r="A48" s="124" t="str">
        <f t="array" aca="1" ref="A48" ca="1">IF(F48&lt;&gt;"",
IF(LEFT(INDIRECT("'数出表_Excel（アレルギー入力）'!A"&amp;MATCH(F48,INDIRECT("'数出表_Excel（アレルギー入力）'!"&amp;P48&amp;":"&amp;P48&amp;""),0)),2)="博多",
LEFT(INDIRECT("'数出表_Excel（アレルギー入力）'!A"&amp;MATCH(F48,INDIRECT("'数出表_Excel（アレルギー入力）'!"&amp;P48&amp;":"&amp;P48&amp;""),0)),FIND("週",INDIRECT("'数出表_Excel（アレルギー入力）'!A"&amp;MATCH(F48,INDIRECT("'数出表_Excel（アレルギー入力）'!"&amp;P48&amp;":"&amp;P48&amp;""),0)))-1),
INDIRECT("'数出表_Excel（アレルギー入力）'!A"&amp;MATCH(F48,INDIRECT("'数出表_Excel（アレルギー入力）'!"&amp;P48&amp;":"&amp;P48&amp;""),0))),"")</f>
        <v/>
      </c>
      <c r="B48" s="124" t="str">
        <f t="array" aca="1" ref="B48" ca="1">IF(AND(B40&lt;&gt;"",O48&lt;&gt;0),
IF(INDIRECT("'数出表_Excel（アレルギー入力）'!"&amp;P48&amp;"147")&lt;&gt;F40,B40,""),"")</f>
        <v/>
      </c>
      <c r="C48" s="124"/>
      <c r="D48" s="124"/>
      <c r="E48" s="124"/>
      <c r="F48" s="124" t="str">
        <f t="array" aca="1" ref="F48" ca="1">IF(B48&lt;&gt;"",INDIRECT("'数出表_Excel（アレルギー入力）'!"&amp;P48&amp;
MIN(IF((MOD(ROW(INDIRECT("'数出表_Excel（アレルギー入力）'!"&amp;P48&amp;O40+1&amp;":"&amp;P48&amp;"145")),2)=1)*(ISNUMBER(INDIRECT("'数出表_Excel（アレルギー入力）'!"&amp;P48&amp;O40+1&amp;":"&amp;P48&amp;"145"))),ROW(INDIRECT("'数出表_Excel（アレルギー入力）'!"&amp;P48&amp;O40+1&amp;":"&amp;P48&amp;"145")),""))
&amp;""),"")</f>
        <v/>
      </c>
      <c r="G48" s="124"/>
      <c r="H48" s="124"/>
      <c r="I48" s="124"/>
      <c r="J48" s="124"/>
      <c r="K48" s="124"/>
      <c r="L48" s="124"/>
      <c r="M48" s="124"/>
      <c r="N48" s="124"/>
      <c r="O48">
        <f t="array" aca="1" ref="O48" ca="1">IF(O40&lt;&gt;0,
MIN(IF((MOD(ROW(INDIRECT("'数出表_Excel（アレルギー入力）'!"&amp;P48&amp;O40+1&amp;":"&amp;P48&amp;"145")),2)=1)*(ISNUMBER(INDIRECT("'数出表_Excel（アレルギー入力）'!"&amp;P48&amp;O40+1&amp;":"&amp;P48&amp;"145"))),ROW(INDIRECT("'数出表_Excel（アレルギー入力）'!"&amp;P48&amp;O40+1&amp;":"&amp;P48&amp;"145")),"")),0)</f>
        <v>0</v>
      </c>
      <c r="P48" t="s">
        <v>180</v>
      </c>
    </row>
    <row r="49" spans="1:16">
      <c r="A49" s="125" t="str">
        <f t="array" aca="1" ref="A49" ca="1">IF(F49&lt;&gt;"",
IF(LEFT(INDIRECT("'数出表_Excel（アレルギー入力）'!A"&amp;MATCH(F49,INDIRECT("'数出表_Excel（アレルギー入力）'!"&amp;P49&amp;":"&amp;P49&amp;""),0)),2)="博多",
LEFT(INDIRECT("'数出表_Excel（アレルギー入力）'!A"&amp;MATCH(F49,INDIRECT("'数出表_Excel（アレルギー入力）'!"&amp;P49&amp;":"&amp;P49&amp;""),0)),FIND("週",INDIRECT("'数出表_Excel（アレルギー入力）'!A"&amp;MATCH(F49,INDIRECT("'数出表_Excel（アレルギー入力）'!"&amp;P49&amp;":"&amp;P49&amp;""),0)))-1),
INDIRECT("'数出表_Excel（アレルギー入力）'!A"&amp;MATCH(F49,INDIRECT("'数出表_Excel（アレルギー入力）'!"&amp;P49&amp;":"&amp;P49&amp;""),0))),"")</f>
        <v/>
      </c>
      <c r="B49" s="125" t="str">
        <f t="array" aca="1" ref="B49" ca="1">IF(AND(B41&lt;&gt;"",O49&lt;&gt;0),
IF(INDIRECT("'数出表_Excel（アレルギー入力）'!"&amp;P49&amp;"147")&lt;&gt;F41,B41,""),"")</f>
        <v/>
      </c>
      <c r="C49" s="125"/>
      <c r="D49" s="125"/>
      <c r="E49" s="125"/>
      <c r="F49" s="125" t="str">
        <f t="array" aca="1" ref="F49" ca="1">IF(B49&lt;&gt;"",INDIRECT("'数出表_Excel（アレルギー入力）'!"&amp;P49&amp;
MIN(IF((MOD(ROW(INDIRECT("'数出表_Excel（アレルギー入力）'!"&amp;P49&amp;O41+1&amp;":"&amp;P49&amp;"145")),2)=1)*(ISNUMBER(INDIRECT("'数出表_Excel（アレルギー入力）'!"&amp;P49&amp;O41+1&amp;":"&amp;P49&amp;"145"))),ROW(INDIRECT("'数出表_Excel（アレルギー入力）'!"&amp;P49&amp;O41+1&amp;":"&amp;P49&amp;"145")),""))
&amp;""),"")</f>
        <v/>
      </c>
      <c r="G49" s="125"/>
      <c r="H49" s="125"/>
      <c r="I49" s="125"/>
      <c r="J49" s="125"/>
      <c r="K49" s="125"/>
      <c r="L49" s="125"/>
      <c r="M49" s="125"/>
      <c r="N49" s="125"/>
      <c r="O49">
        <f t="array" aca="1" ref="O49" ca="1">IF(O41&lt;&gt;0,
MIN(IF((MOD(ROW(INDIRECT("'数出表_Excel（アレルギー入力）'!"&amp;P49&amp;O41+1&amp;":"&amp;P49&amp;"145")),2)=1)*(ISNUMBER(INDIRECT("'数出表_Excel（アレルギー入力）'!"&amp;P49&amp;O41+1&amp;":"&amp;P49&amp;"145"))),ROW(INDIRECT("'数出表_Excel（アレルギー入力）'!"&amp;P49&amp;O41+1&amp;":"&amp;P49&amp;"145")),"")),0)</f>
        <v>0</v>
      </c>
      <c r="P49" t="s">
        <v>173</v>
      </c>
    </row>
    <row r="50" spans="1:16">
      <c r="A50" s="125" t="str">
        <f t="array" aca="1" ref="A50" ca="1">IF(F50&lt;&gt;"",
IF(LEFT(INDIRECT("'数出表_Excel（アレルギー入力）'!A"&amp;MATCH(F50,INDIRECT("'数出表_Excel（アレルギー入力）'!"&amp;P50&amp;":"&amp;P50&amp;""),0)),2)="博多",
LEFT(INDIRECT("'数出表_Excel（アレルギー入力）'!A"&amp;MATCH(F50,INDIRECT("'数出表_Excel（アレルギー入力）'!"&amp;P50&amp;":"&amp;P50&amp;""),0)),FIND("週",INDIRECT("'数出表_Excel（アレルギー入力）'!A"&amp;MATCH(F50,INDIRECT("'数出表_Excel（アレルギー入力）'!"&amp;P50&amp;":"&amp;P50&amp;""),0)))-1),
INDIRECT("'数出表_Excel（アレルギー入力）'!A"&amp;MATCH(F50,INDIRECT("'数出表_Excel（アレルギー入力）'!"&amp;P50&amp;":"&amp;P50&amp;""),0))),"")</f>
        <v/>
      </c>
      <c r="B50" s="125" t="str">
        <f t="array" aca="1" ref="B50" ca="1">IF(AND(B42&lt;&gt;"",O50&lt;&gt;0),
IF(INDIRECT("'数出表_Excel（アレルギー入力）'!"&amp;P50&amp;"147")&lt;&gt;F42,B42,""),"")</f>
        <v/>
      </c>
      <c r="C50" s="125"/>
      <c r="D50" s="125"/>
      <c r="E50" s="125"/>
      <c r="F50" s="125" t="str">
        <f t="array" aca="1" ref="F50" ca="1">IF(B50&lt;&gt;"",INDIRECT("'数出表_Excel（アレルギー入力）'!"&amp;P50&amp;
MIN(IF((MOD(ROW(INDIRECT("'数出表_Excel（アレルギー入力）'!"&amp;P50&amp;O42+1&amp;":"&amp;P50&amp;"145")),2)=1)*(ISNUMBER(INDIRECT("'数出表_Excel（アレルギー入力）'!"&amp;P50&amp;O42+1&amp;":"&amp;P50&amp;"145"))),ROW(INDIRECT("'数出表_Excel（アレルギー入力）'!"&amp;P50&amp;O42+1&amp;":"&amp;P50&amp;"145")),""))
&amp;""),"")</f>
        <v/>
      </c>
      <c r="G50" s="125"/>
      <c r="H50" s="125"/>
      <c r="I50" s="125"/>
      <c r="J50" s="125"/>
      <c r="K50" s="125"/>
      <c r="L50" s="125"/>
      <c r="M50" s="125"/>
      <c r="N50" s="125"/>
      <c r="O50">
        <f t="array" aca="1" ref="O50" ca="1">IF(O42&lt;&gt;0,
MIN(IF((MOD(ROW(INDIRECT("'数出表_Excel（アレルギー入力）'!"&amp;P50&amp;O42+1&amp;":"&amp;P50&amp;"145")),2)=1)*(ISNUMBER(INDIRECT("'数出表_Excel（アレルギー入力）'!"&amp;P50&amp;O42+1&amp;":"&amp;P50&amp;"145"))),ROW(INDIRECT("'数出表_Excel（アレルギー入力）'!"&amp;P50&amp;O42+1&amp;":"&amp;P50&amp;"145")),"")),0)</f>
        <v>0</v>
      </c>
      <c r="P50" t="s">
        <v>174</v>
      </c>
    </row>
    <row r="51" spans="1:16">
      <c r="A51" s="125" t="str">
        <f t="array" aca="1" ref="A51" ca="1">IF(F51&lt;&gt;"",
IF(LEFT(INDIRECT("'数出表_Excel（アレルギー入力）'!A"&amp;MATCH(F51,INDIRECT("'数出表_Excel（アレルギー入力）'!"&amp;P51&amp;":"&amp;P51&amp;""),0)),2)="博多",
LEFT(INDIRECT("'数出表_Excel（アレルギー入力）'!A"&amp;MATCH(F51,INDIRECT("'数出表_Excel（アレルギー入力）'!"&amp;P51&amp;":"&amp;P51&amp;""),0)),FIND("週",INDIRECT("'数出表_Excel（アレルギー入力）'!A"&amp;MATCH(F51,INDIRECT("'数出表_Excel（アレルギー入力）'!"&amp;P51&amp;":"&amp;P51&amp;""),0)))-1),
INDIRECT("'数出表_Excel（アレルギー入力）'!A"&amp;MATCH(F51,INDIRECT("'数出表_Excel（アレルギー入力）'!"&amp;P51&amp;":"&amp;P51&amp;""),0))),"")</f>
        <v/>
      </c>
      <c r="B51" s="125" t="str">
        <f t="array" aca="1" ref="B51" ca="1">IF(AND(B43&lt;&gt;"",O51&lt;&gt;0),
IF(INDIRECT("'数出表_Excel（アレルギー入力）'!"&amp;P51&amp;"147")&lt;&gt;F43,B43,""),"")</f>
        <v/>
      </c>
      <c r="C51" s="125"/>
      <c r="D51" s="125"/>
      <c r="E51" s="125"/>
      <c r="F51" s="125" t="str">
        <f t="array" aca="1" ref="F51" ca="1">IF(B51&lt;&gt;"",INDIRECT("'数出表_Excel（アレルギー入力）'!"&amp;P51&amp;
MIN(IF((MOD(ROW(INDIRECT("'数出表_Excel（アレルギー入力）'!"&amp;P51&amp;O43+1&amp;":"&amp;P51&amp;"145")),2)=1)*(ISNUMBER(INDIRECT("'数出表_Excel（アレルギー入力）'!"&amp;P51&amp;O43+1&amp;":"&amp;P51&amp;"145"))),ROW(INDIRECT("'数出表_Excel（アレルギー入力）'!"&amp;P51&amp;O43+1&amp;":"&amp;P51&amp;"145")),""))
&amp;""),"")</f>
        <v/>
      </c>
      <c r="G51" s="125"/>
      <c r="H51" s="125"/>
      <c r="I51" s="125"/>
      <c r="J51" s="125"/>
      <c r="K51" s="125"/>
      <c r="L51" s="125"/>
      <c r="M51" s="125"/>
      <c r="N51" s="125"/>
      <c r="O51">
        <f t="array" aca="1" ref="O51" ca="1">IF(O43&lt;&gt;0,
MIN(IF((MOD(ROW(INDIRECT("'数出表_Excel（アレルギー入力）'!"&amp;P51&amp;O43+1&amp;":"&amp;P51&amp;"145")),2)=1)*(ISNUMBER(INDIRECT("'数出表_Excel（アレルギー入力）'!"&amp;P51&amp;O43+1&amp;":"&amp;P51&amp;"145"))),ROW(INDIRECT("'数出表_Excel（アレルギー入力）'!"&amp;P51&amp;O43+1&amp;":"&amp;P51&amp;"145")),"")),0)</f>
        <v>0</v>
      </c>
      <c r="P51" t="s">
        <v>175</v>
      </c>
    </row>
    <row r="52" spans="1:16">
      <c r="A52" s="125" t="str">
        <f t="array" aca="1" ref="A52" ca="1">IF(F52&lt;&gt;"",
IF(LEFT(INDIRECT("'数出表_Excel（アレルギー入力）'!A"&amp;MATCH(F52,INDIRECT("'数出表_Excel（アレルギー入力）'!"&amp;P52&amp;":"&amp;P52&amp;""),0)),2)="博多",
LEFT(INDIRECT("'数出表_Excel（アレルギー入力）'!A"&amp;MATCH(F52,INDIRECT("'数出表_Excel（アレルギー入力）'!"&amp;P52&amp;":"&amp;P52&amp;""),0)),FIND("週",INDIRECT("'数出表_Excel（アレルギー入力）'!A"&amp;MATCH(F52,INDIRECT("'数出表_Excel（アレルギー入力）'!"&amp;P52&amp;":"&amp;P52&amp;""),0)))-1),
INDIRECT("'数出表_Excel（アレルギー入力）'!A"&amp;MATCH(F52,INDIRECT("'数出表_Excel（アレルギー入力）'!"&amp;P52&amp;":"&amp;P52&amp;""),0))),"")</f>
        <v/>
      </c>
      <c r="B52" s="125" t="str">
        <f t="array" aca="1" ref="B52" ca="1">IF(AND(B44&lt;&gt;"",O52&lt;&gt;0),
IF(INDIRECT("'数出表_Excel（アレルギー入力）'!"&amp;P52&amp;"147")&lt;&gt;F44,B44,""),"")</f>
        <v/>
      </c>
      <c r="C52" s="125"/>
      <c r="D52" s="125"/>
      <c r="E52" s="125"/>
      <c r="F52" s="125" t="str">
        <f t="array" aca="1" ref="F52" ca="1">IF(B52&lt;&gt;"",INDIRECT("'数出表_Excel（アレルギー入力）'!"&amp;P52&amp;
MIN(IF((MOD(ROW(INDIRECT("'数出表_Excel（アレルギー入力）'!"&amp;P52&amp;O44+1&amp;":"&amp;P52&amp;"145")),2)=1)*(ISNUMBER(INDIRECT("'数出表_Excel（アレルギー入力）'!"&amp;P52&amp;O44+1&amp;":"&amp;P52&amp;"145"))),ROW(INDIRECT("'数出表_Excel（アレルギー入力）'!"&amp;P52&amp;O44+1&amp;":"&amp;P52&amp;"145")),""))
&amp;""),"")</f>
        <v/>
      </c>
      <c r="G52" s="125"/>
      <c r="H52" s="125"/>
      <c r="I52" s="125"/>
      <c r="J52" s="125"/>
      <c r="K52" s="125"/>
      <c r="L52" s="125"/>
      <c r="M52" s="125"/>
      <c r="N52" s="125"/>
      <c r="O52">
        <f t="array" aca="1" ref="O52" ca="1">IF(O44&lt;&gt;0,
MIN(IF((MOD(ROW(INDIRECT("'数出表_Excel（アレルギー入力）'!"&amp;P52&amp;O44+1&amp;":"&amp;P52&amp;"145")),2)=1)*(ISNUMBER(INDIRECT("'数出表_Excel（アレルギー入力）'!"&amp;P52&amp;O44+1&amp;":"&amp;P52&amp;"145"))),ROW(INDIRECT("'数出表_Excel（アレルギー入力）'!"&amp;P52&amp;O44+1&amp;":"&amp;P52&amp;"145")),"")),0)</f>
        <v>0</v>
      </c>
      <c r="P52" t="s">
        <v>176</v>
      </c>
    </row>
    <row r="53" spans="1:16">
      <c r="A53" s="125" t="str">
        <f t="array" aca="1" ref="A53" ca="1">IF(F53&lt;&gt;"",
IF(LEFT(INDIRECT("'数出表_Excel（アレルギー入力）'!A"&amp;MATCH(F53,INDIRECT("'数出表_Excel（アレルギー入力）'!"&amp;P53&amp;":"&amp;P53&amp;""),0)),2)="博多",
LEFT(INDIRECT("'数出表_Excel（アレルギー入力）'!A"&amp;MATCH(F53,INDIRECT("'数出表_Excel（アレルギー入力）'!"&amp;P53&amp;":"&amp;P53&amp;""),0)),FIND("週",INDIRECT("'数出表_Excel（アレルギー入力）'!A"&amp;MATCH(F53,INDIRECT("'数出表_Excel（アレルギー入力）'!"&amp;P53&amp;":"&amp;P53&amp;""),0)))-1),
INDIRECT("'数出表_Excel（アレルギー入力）'!A"&amp;MATCH(F53,INDIRECT("'数出表_Excel（アレルギー入力）'!"&amp;P53&amp;":"&amp;P53&amp;""),0))),"")</f>
        <v/>
      </c>
      <c r="B53" s="125" t="str">
        <f t="array" aca="1" ref="B53" ca="1">IF(AND(B45&lt;&gt;"",O53&lt;&gt;0),
IF(INDIRECT("'数出表_Excel（アレルギー入力）'!"&amp;P53&amp;"147")&lt;&gt;F45,B45,""),"")</f>
        <v/>
      </c>
      <c r="C53" s="125"/>
      <c r="D53" s="125"/>
      <c r="E53" s="125"/>
      <c r="F53" s="125" t="str">
        <f t="array" aca="1" ref="F53" ca="1">IF(B53&lt;&gt;"",INDIRECT("'数出表_Excel（アレルギー入力）'!"&amp;P53&amp;
MIN(IF((MOD(ROW(INDIRECT("'数出表_Excel（アレルギー入力）'!"&amp;P53&amp;O45+1&amp;":"&amp;P53&amp;"145")),2)=1)*(ISNUMBER(INDIRECT("'数出表_Excel（アレルギー入力）'!"&amp;P53&amp;O45+1&amp;":"&amp;P53&amp;"145"))),ROW(INDIRECT("'数出表_Excel（アレルギー入力）'!"&amp;P53&amp;O45+1&amp;":"&amp;P53&amp;"145")),""))
&amp;""),"")</f>
        <v/>
      </c>
      <c r="G53" s="125"/>
      <c r="H53" s="125"/>
      <c r="I53" s="125"/>
      <c r="J53" s="125"/>
      <c r="K53" s="125"/>
      <c r="L53" s="125"/>
      <c r="M53" s="125"/>
      <c r="N53" s="125"/>
      <c r="O53">
        <f t="array" aca="1" ref="O53" ca="1">IF(O45&lt;&gt;0,
MIN(IF((MOD(ROW(INDIRECT("'数出表_Excel（アレルギー入力）'!"&amp;P53&amp;O45+1&amp;":"&amp;P53&amp;"145")),2)=1)*(ISNUMBER(INDIRECT("'数出表_Excel（アレルギー入力）'!"&amp;P53&amp;O45+1&amp;":"&amp;P53&amp;"145"))),ROW(INDIRECT("'数出表_Excel（アレルギー入力）'!"&amp;P53&amp;O45+1&amp;":"&amp;P53&amp;"145")),"")),0)</f>
        <v>0</v>
      </c>
      <c r="P53" t="s">
        <v>177</v>
      </c>
    </row>
    <row r="54" spans="1:16">
      <c r="A54" s="125" t="str">
        <f t="array" aca="1" ref="A54" ca="1">IF(F54&lt;&gt;"",
IF(LEFT(INDIRECT("'数出表_Excel（アレルギー入力）'!A"&amp;MATCH(F54,INDIRECT("'数出表_Excel（アレルギー入力）'!"&amp;P54&amp;":"&amp;P54&amp;""),0)),2)="博多",
LEFT(INDIRECT("'数出表_Excel（アレルギー入力）'!A"&amp;MATCH(F54,INDIRECT("'数出表_Excel（アレルギー入力）'!"&amp;P54&amp;":"&amp;P54&amp;""),0)),FIND("週",INDIRECT("'数出表_Excel（アレルギー入力）'!A"&amp;MATCH(F54,INDIRECT("'数出表_Excel（アレルギー入力）'!"&amp;P54&amp;":"&amp;P54&amp;""),0)))-1),
INDIRECT("'数出表_Excel（アレルギー入力）'!A"&amp;MATCH(F54,INDIRECT("'数出表_Excel（アレルギー入力）'!"&amp;P54&amp;":"&amp;P54&amp;""),0))),"")</f>
        <v/>
      </c>
      <c r="B54" s="125" t="str">
        <f t="array" aca="1" ref="B54" ca="1">IF(AND(B46&lt;&gt;"",O54&lt;&gt;0),
IF(INDIRECT("'数出表_Excel（アレルギー入力）'!"&amp;P54&amp;"147")&lt;&gt;F46,B46,""),"")</f>
        <v/>
      </c>
      <c r="C54" s="125"/>
      <c r="D54" s="125"/>
      <c r="E54" s="125"/>
      <c r="F54" s="125" t="str">
        <f t="array" aca="1" ref="F54" ca="1">IF(B54&lt;&gt;"",INDIRECT("'数出表_Excel（アレルギー入力）'!"&amp;P54&amp;
MIN(IF((MOD(ROW(INDIRECT("'数出表_Excel（アレルギー入力）'!"&amp;P54&amp;O46+1&amp;":"&amp;P54&amp;"145")),2)=1)*(ISNUMBER(INDIRECT("'数出表_Excel（アレルギー入力）'!"&amp;P54&amp;O46+1&amp;":"&amp;P54&amp;"145"))),ROW(INDIRECT("'数出表_Excel（アレルギー入力）'!"&amp;P54&amp;O46+1&amp;":"&amp;P54&amp;"145")),""))
&amp;""),"")</f>
        <v/>
      </c>
      <c r="G54" s="125"/>
      <c r="H54" s="125"/>
      <c r="I54" s="125"/>
      <c r="J54" s="125"/>
      <c r="K54" s="125"/>
      <c r="L54" s="125"/>
      <c r="M54" s="125"/>
      <c r="N54" s="125"/>
      <c r="O54">
        <f t="array" aca="1" ref="O54" ca="1">IF(O46&lt;&gt;0,
MIN(IF((MOD(ROW(INDIRECT("'数出表_Excel（アレルギー入力）'!"&amp;P54&amp;O46+1&amp;":"&amp;P54&amp;"145")),2)=1)*(ISNUMBER(INDIRECT("'数出表_Excel（アレルギー入力）'!"&amp;P54&amp;O46+1&amp;":"&amp;P54&amp;"145"))),ROW(INDIRECT("'数出表_Excel（アレルギー入力）'!"&amp;P54&amp;O46+1&amp;":"&amp;P54&amp;"145")),"")),0)</f>
        <v>0</v>
      </c>
      <c r="P54" t="s">
        <v>178</v>
      </c>
    </row>
    <row r="55" spans="1:16">
      <c r="A55" s="125" t="str">
        <f t="array" aca="1" ref="A55" ca="1">IF(F55&lt;&gt;"",
IF(LEFT(INDIRECT("'数出表_Excel（アレルギー入力）'!A"&amp;MATCH(F55,INDIRECT("'数出表_Excel（アレルギー入力）'!"&amp;P55&amp;":"&amp;P55&amp;""),0)),2)="博多",
LEFT(INDIRECT("'数出表_Excel（アレルギー入力）'!A"&amp;MATCH(F55,INDIRECT("'数出表_Excel（アレルギー入力）'!"&amp;P55&amp;":"&amp;P55&amp;""),0)),FIND("週",INDIRECT("'数出表_Excel（アレルギー入力）'!A"&amp;MATCH(F55,INDIRECT("'数出表_Excel（アレルギー入力）'!"&amp;P55&amp;":"&amp;P55&amp;""),0)))-1),
INDIRECT("'数出表_Excel（アレルギー入力）'!A"&amp;MATCH(F55,INDIRECT("'数出表_Excel（アレルギー入力）'!"&amp;P55&amp;":"&amp;P55&amp;""),0))),"")</f>
        <v/>
      </c>
      <c r="B55" s="125" t="str">
        <f t="array" aca="1" ref="B55" ca="1">IF(AND(B47&lt;&gt;"",O55&lt;&gt;0),
IF(INDIRECT("'数出表_Excel（アレルギー入力）'!"&amp;P55&amp;"147")&lt;&gt;F47,B47,""),"")</f>
        <v/>
      </c>
      <c r="C55" s="125"/>
      <c r="D55" s="125"/>
      <c r="E55" s="125"/>
      <c r="F55" s="125" t="str">
        <f t="array" aca="1" ref="F55" ca="1">IF(B55&lt;&gt;"",INDIRECT("'数出表_Excel（アレルギー入力）'!"&amp;P55&amp;
MIN(IF((MOD(ROW(INDIRECT("'数出表_Excel（アレルギー入力）'!"&amp;P55&amp;O47+1&amp;":"&amp;P55&amp;"145")),2)=1)*(ISNUMBER(INDIRECT("'数出表_Excel（アレルギー入力）'!"&amp;P55&amp;O47+1&amp;":"&amp;P55&amp;"145"))),ROW(INDIRECT("'数出表_Excel（アレルギー入力）'!"&amp;P55&amp;O47+1&amp;":"&amp;P55&amp;"145")),""))
&amp;""),"")</f>
        <v/>
      </c>
      <c r="G55" s="125"/>
      <c r="H55" s="125"/>
      <c r="I55" s="125"/>
      <c r="J55" s="125"/>
      <c r="K55" s="125"/>
      <c r="L55" s="125"/>
      <c r="M55" s="125"/>
      <c r="N55" s="125"/>
      <c r="O55">
        <f t="array" aca="1" ref="O55" ca="1">IF(O47&lt;&gt;0,
MIN(IF((MOD(ROW(INDIRECT("'数出表_Excel（アレルギー入力）'!"&amp;P55&amp;O47+1&amp;":"&amp;P55&amp;"145")),2)=1)*(ISNUMBER(INDIRECT("'数出表_Excel（アレルギー入力）'!"&amp;P55&amp;O47+1&amp;":"&amp;P55&amp;"145"))),ROW(INDIRECT("'数出表_Excel（アレルギー入力）'!"&amp;P55&amp;O47+1&amp;":"&amp;P55&amp;"145")),"")),0)</f>
        <v>0</v>
      </c>
      <c r="P55" t="s">
        <v>179</v>
      </c>
    </row>
    <row r="56" spans="1:16">
      <c r="A56" s="125" t="str">
        <f t="array" aca="1" ref="A56" ca="1">IF(F56&lt;&gt;"",
IF(LEFT(INDIRECT("'数出表_Excel（アレルギー入力）'!A"&amp;MATCH(F56,INDIRECT("'数出表_Excel（アレルギー入力）'!"&amp;P56&amp;":"&amp;P56&amp;""),0)),2)="博多",
LEFT(INDIRECT("'数出表_Excel（アレルギー入力）'!A"&amp;MATCH(F56,INDIRECT("'数出表_Excel（アレルギー入力）'!"&amp;P56&amp;":"&amp;P56&amp;""),0)),FIND("週",INDIRECT("'数出表_Excel（アレルギー入力）'!A"&amp;MATCH(F56,INDIRECT("'数出表_Excel（アレルギー入力）'!"&amp;P56&amp;":"&amp;P56&amp;""),0)))-1),
INDIRECT("'数出表_Excel（アレルギー入力）'!A"&amp;MATCH(F56,INDIRECT("'数出表_Excel（アレルギー入力）'!"&amp;P56&amp;":"&amp;P56&amp;""),0))),"")</f>
        <v/>
      </c>
      <c r="B56" s="125" t="str">
        <f t="array" aca="1" ref="B56" ca="1">IF(AND(B48&lt;&gt;"",O56&lt;&gt;0),
IF(INDIRECT("'数出表_Excel（アレルギー入力）'!"&amp;P56&amp;"147")&lt;&gt;F48,B48,""),"")</f>
        <v/>
      </c>
      <c r="C56" s="125"/>
      <c r="D56" s="125"/>
      <c r="E56" s="125"/>
      <c r="F56" s="125" t="str">
        <f t="array" aca="1" ref="F56" ca="1">IF(B56&lt;&gt;"",INDIRECT("'数出表_Excel（アレルギー入力）'!"&amp;P56&amp;
MIN(IF((MOD(ROW(INDIRECT("'数出表_Excel（アレルギー入力）'!"&amp;P56&amp;O48+1&amp;":"&amp;P56&amp;"145")),2)=1)*(ISNUMBER(INDIRECT("'数出表_Excel（アレルギー入力）'!"&amp;P56&amp;O48+1&amp;":"&amp;P56&amp;"145"))),ROW(INDIRECT("'数出表_Excel（アレルギー入力）'!"&amp;P56&amp;O48+1&amp;":"&amp;P56&amp;"145")),""))
&amp;""),"")</f>
        <v/>
      </c>
      <c r="G56" s="125"/>
      <c r="H56" s="125"/>
      <c r="I56" s="125"/>
      <c r="J56" s="125"/>
      <c r="K56" s="125"/>
      <c r="L56" s="125"/>
      <c r="M56" s="125"/>
      <c r="N56" s="125"/>
      <c r="O56">
        <f t="array" aca="1" ref="O56" ca="1">IF(O48&lt;&gt;0,
MIN(IF((MOD(ROW(INDIRECT("'数出表_Excel（アレルギー入力）'!"&amp;P56&amp;O48+1&amp;":"&amp;P56&amp;"145")),2)=1)*(ISNUMBER(INDIRECT("'数出表_Excel（アレルギー入力）'!"&amp;P56&amp;O48+1&amp;":"&amp;P56&amp;"145"))),ROW(INDIRECT("'数出表_Excel（アレルギー入力）'!"&amp;P56&amp;O48+1&amp;":"&amp;P56&amp;"145")),"")),0)</f>
        <v>0</v>
      </c>
      <c r="P56" t="s">
        <v>180</v>
      </c>
    </row>
    <row r="57" spans="1:16">
      <c r="A57" s="113" t="str">
        <f t="array" aca="1" ref="A57" ca="1">IF(F57&lt;&gt;"",
IF(LEFT(INDIRECT("'数出表_Excel（アレルギー入力）'!A"&amp;MATCH(F57,INDIRECT("'数出表_Excel（アレルギー入力）'!"&amp;P57&amp;":"&amp;P57&amp;""),0)),2)="博多",
LEFT(INDIRECT("'数出表_Excel（アレルギー入力）'!A"&amp;MATCH(F57,INDIRECT("'数出表_Excel（アレルギー入力）'!"&amp;P57&amp;":"&amp;P57&amp;""),0)),FIND("週",INDIRECT("'数出表_Excel（アレルギー入力）'!A"&amp;MATCH(F57,INDIRECT("'数出表_Excel（アレルギー入力）'!"&amp;P57&amp;":"&amp;P57&amp;""),0)))-1),
INDIRECT("'数出表_Excel（アレルギー入力）'!A"&amp;MATCH(F57,INDIRECT("'数出表_Excel（アレルギー入力）'!"&amp;P57&amp;":"&amp;P57&amp;""),0))),"")</f>
        <v/>
      </c>
      <c r="B57" s="113" t="str">
        <f t="array" aca="1" ref="B57" ca="1">IF(AND(B49&lt;&gt;"",O57&lt;&gt;0),
IF(INDIRECT("'数出表_Excel（アレルギー入力）'!"&amp;P57&amp;"147")&lt;&gt;F49,B49,""),"")</f>
        <v/>
      </c>
      <c r="C57" s="113"/>
      <c r="D57" s="113"/>
      <c r="E57" s="113"/>
      <c r="F57" s="113" t="str">
        <f t="array" aca="1" ref="F57" ca="1">IF(B57&lt;&gt;"",INDIRECT("'数出表_Excel（アレルギー入力）'!"&amp;P57&amp;
MIN(IF((MOD(ROW(INDIRECT("'数出表_Excel（アレルギー入力）'!"&amp;P57&amp;O49+1&amp;":"&amp;P57&amp;"145")),2)=1)*(ISNUMBER(INDIRECT("'数出表_Excel（アレルギー入力）'!"&amp;P57&amp;O49+1&amp;":"&amp;P57&amp;"145"))),ROW(INDIRECT("'数出表_Excel（アレルギー入力）'!"&amp;P57&amp;O49+1&amp;":"&amp;P57&amp;"145")),""))
&amp;""),"")</f>
        <v/>
      </c>
      <c r="G57" s="113"/>
      <c r="H57" s="113"/>
      <c r="I57" s="113"/>
      <c r="J57" s="113"/>
      <c r="K57" s="113"/>
      <c r="L57" s="113"/>
      <c r="M57" s="113"/>
      <c r="N57" s="113"/>
      <c r="O57">
        <f t="array" aca="1" ref="O57" ca="1">IF(O49&lt;&gt;0,
MIN(IF((MOD(ROW(INDIRECT("'数出表_Excel（アレルギー入力）'!"&amp;P57&amp;O49+1&amp;":"&amp;P57&amp;"145")),2)=1)*(ISNUMBER(INDIRECT("'数出表_Excel（アレルギー入力）'!"&amp;P57&amp;O49+1&amp;":"&amp;P57&amp;"145"))),ROW(INDIRECT("'数出表_Excel（アレルギー入力）'!"&amp;P57&amp;O49+1&amp;":"&amp;P57&amp;"145")),"")),0)</f>
        <v>0</v>
      </c>
      <c r="P57" t="s">
        <v>173</v>
      </c>
    </row>
    <row r="58" spans="1:16">
      <c r="A58" s="113" t="str">
        <f t="array" aca="1" ref="A58" ca="1">IF(F58&lt;&gt;"",
IF(LEFT(INDIRECT("'数出表_Excel（アレルギー入力）'!A"&amp;MATCH(F58,INDIRECT("'数出表_Excel（アレルギー入力）'!"&amp;P58&amp;":"&amp;P58&amp;""),0)),2)="博多",
LEFT(INDIRECT("'数出表_Excel（アレルギー入力）'!A"&amp;MATCH(F58,INDIRECT("'数出表_Excel（アレルギー入力）'!"&amp;P58&amp;":"&amp;P58&amp;""),0)),FIND("週",INDIRECT("'数出表_Excel（アレルギー入力）'!A"&amp;MATCH(F58,INDIRECT("'数出表_Excel（アレルギー入力）'!"&amp;P58&amp;":"&amp;P58&amp;""),0)))-1),
INDIRECT("'数出表_Excel（アレルギー入力）'!A"&amp;MATCH(F58,INDIRECT("'数出表_Excel（アレルギー入力）'!"&amp;P58&amp;":"&amp;P58&amp;""),0))),"")</f>
        <v/>
      </c>
      <c r="B58" s="113" t="str">
        <f t="array" aca="1" ref="B58" ca="1">IF(AND(B50&lt;&gt;"",O58&lt;&gt;0),
IF(INDIRECT("'数出表_Excel（アレルギー入力）'!"&amp;P58&amp;"147")&lt;&gt;F50,B50,""),"")</f>
        <v/>
      </c>
      <c r="C58" s="113"/>
      <c r="D58" s="113"/>
      <c r="E58" s="113"/>
      <c r="F58" s="113" t="str">
        <f t="array" aca="1" ref="F58" ca="1">IF(B58&lt;&gt;"",INDIRECT("'数出表_Excel（アレルギー入力）'!"&amp;P58&amp;
MIN(IF((MOD(ROW(INDIRECT("'数出表_Excel（アレルギー入力）'!"&amp;P58&amp;O50+1&amp;":"&amp;P58&amp;"145")),2)=1)*(ISNUMBER(INDIRECT("'数出表_Excel（アレルギー入力）'!"&amp;P58&amp;O50+1&amp;":"&amp;P58&amp;"145"))),ROW(INDIRECT("'数出表_Excel（アレルギー入力）'!"&amp;P58&amp;O50+1&amp;":"&amp;P58&amp;"145")),""))
&amp;""),"")</f>
        <v/>
      </c>
      <c r="G58" s="113"/>
      <c r="H58" s="113"/>
      <c r="I58" s="113"/>
      <c r="J58" s="113"/>
      <c r="K58" s="113"/>
      <c r="L58" s="113"/>
      <c r="M58" s="113"/>
      <c r="N58" s="113"/>
      <c r="O58">
        <f t="array" aca="1" ref="O58" ca="1">IF(O50&lt;&gt;0,
MIN(IF((MOD(ROW(INDIRECT("'数出表_Excel（アレルギー入力）'!"&amp;P58&amp;O50+1&amp;":"&amp;P58&amp;"145")),2)=1)*(ISNUMBER(INDIRECT("'数出表_Excel（アレルギー入力）'!"&amp;P58&amp;O50+1&amp;":"&amp;P58&amp;"145"))),ROW(INDIRECT("'数出表_Excel（アレルギー入力）'!"&amp;P58&amp;O50+1&amp;":"&amp;P58&amp;"145")),"")),0)</f>
        <v>0</v>
      </c>
      <c r="P58" t="s">
        <v>174</v>
      </c>
    </row>
    <row r="59" spans="1:16">
      <c r="A59" s="113" t="str">
        <f t="array" aca="1" ref="A59" ca="1">IF(F59&lt;&gt;"",
IF(LEFT(INDIRECT("'数出表_Excel（アレルギー入力）'!A"&amp;MATCH(F59,INDIRECT("'数出表_Excel（アレルギー入力）'!"&amp;P59&amp;":"&amp;P59&amp;""),0)),2)="博多",
LEFT(INDIRECT("'数出表_Excel（アレルギー入力）'!A"&amp;MATCH(F59,INDIRECT("'数出表_Excel（アレルギー入力）'!"&amp;P59&amp;":"&amp;P59&amp;""),0)),FIND("週",INDIRECT("'数出表_Excel（アレルギー入力）'!A"&amp;MATCH(F59,INDIRECT("'数出表_Excel（アレルギー入力）'!"&amp;P59&amp;":"&amp;P59&amp;""),0)))-1),
INDIRECT("'数出表_Excel（アレルギー入力）'!A"&amp;MATCH(F59,INDIRECT("'数出表_Excel（アレルギー入力）'!"&amp;P59&amp;":"&amp;P59&amp;""),0))),"")</f>
        <v/>
      </c>
      <c r="B59" s="113" t="str">
        <f t="array" aca="1" ref="B59" ca="1">IF(AND(B51&lt;&gt;"",O59&lt;&gt;0),
IF(INDIRECT("'数出表_Excel（アレルギー入力）'!"&amp;P59&amp;"147")&lt;&gt;F51,B51,""),"")</f>
        <v/>
      </c>
      <c r="C59" s="113"/>
      <c r="D59" s="113"/>
      <c r="E59" s="113"/>
      <c r="F59" s="113" t="str">
        <f t="array" aca="1" ref="F59" ca="1">IF(B59&lt;&gt;"",INDIRECT("'数出表_Excel（アレルギー入力）'!"&amp;P59&amp;
MIN(IF((MOD(ROW(INDIRECT("'数出表_Excel（アレルギー入力）'!"&amp;P59&amp;O51+1&amp;":"&amp;P59&amp;"145")),2)=1)*(ISNUMBER(INDIRECT("'数出表_Excel（アレルギー入力）'!"&amp;P59&amp;O51+1&amp;":"&amp;P59&amp;"145"))),ROW(INDIRECT("'数出表_Excel（アレルギー入力）'!"&amp;P59&amp;O51+1&amp;":"&amp;P59&amp;"145")),""))
&amp;""),"")</f>
        <v/>
      </c>
      <c r="G59" s="113"/>
      <c r="H59" s="113"/>
      <c r="I59" s="113"/>
      <c r="J59" s="113"/>
      <c r="K59" s="113"/>
      <c r="L59" s="113"/>
      <c r="M59" s="113"/>
      <c r="N59" s="113"/>
      <c r="O59">
        <f t="array" aca="1" ref="O59" ca="1">IF(O51&lt;&gt;0,
MIN(IF((MOD(ROW(INDIRECT("'数出表_Excel（アレルギー入力）'!"&amp;P59&amp;O51+1&amp;":"&amp;P59&amp;"145")),2)=1)*(ISNUMBER(INDIRECT("'数出表_Excel（アレルギー入力）'!"&amp;P59&amp;O51+1&amp;":"&amp;P59&amp;"145"))),ROW(INDIRECT("'数出表_Excel（アレルギー入力）'!"&amp;P59&amp;O51+1&amp;":"&amp;P59&amp;"145")),"")),0)</f>
        <v>0</v>
      </c>
      <c r="P59" t="s">
        <v>175</v>
      </c>
    </row>
    <row r="60" spans="1:16">
      <c r="A60" s="113" t="str">
        <f t="array" aca="1" ref="A60" ca="1">IF(F60&lt;&gt;"",
IF(LEFT(INDIRECT("'数出表_Excel（アレルギー入力）'!A"&amp;MATCH(F60,INDIRECT("'数出表_Excel（アレルギー入力）'!"&amp;P60&amp;":"&amp;P60&amp;""),0)),2)="博多",
LEFT(INDIRECT("'数出表_Excel（アレルギー入力）'!A"&amp;MATCH(F60,INDIRECT("'数出表_Excel（アレルギー入力）'!"&amp;P60&amp;":"&amp;P60&amp;""),0)),FIND("週",INDIRECT("'数出表_Excel（アレルギー入力）'!A"&amp;MATCH(F60,INDIRECT("'数出表_Excel（アレルギー入力）'!"&amp;P60&amp;":"&amp;P60&amp;""),0)))-1),
INDIRECT("'数出表_Excel（アレルギー入力）'!A"&amp;MATCH(F60,INDIRECT("'数出表_Excel（アレルギー入力）'!"&amp;P60&amp;":"&amp;P60&amp;""),0))),"")</f>
        <v/>
      </c>
      <c r="B60" s="113" t="str">
        <f t="array" aca="1" ref="B60" ca="1">IF(AND(B52&lt;&gt;"",O60&lt;&gt;0),
IF(INDIRECT("'数出表_Excel（アレルギー入力）'!"&amp;P60&amp;"147")&lt;&gt;F52,B52,""),"")</f>
        <v/>
      </c>
      <c r="C60" s="113"/>
      <c r="D60" s="113"/>
      <c r="E60" s="113"/>
      <c r="F60" s="113" t="str">
        <f t="array" aca="1" ref="F60" ca="1">IF(B60&lt;&gt;"",INDIRECT("'数出表_Excel（アレルギー入力）'!"&amp;P60&amp;
MIN(IF((MOD(ROW(INDIRECT("'数出表_Excel（アレルギー入力）'!"&amp;P60&amp;O52+1&amp;":"&amp;P60&amp;"145")),2)=1)*(ISNUMBER(INDIRECT("'数出表_Excel（アレルギー入力）'!"&amp;P60&amp;O52+1&amp;":"&amp;P60&amp;"145"))),ROW(INDIRECT("'数出表_Excel（アレルギー入力）'!"&amp;P60&amp;O52+1&amp;":"&amp;P60&amp;"145")),""))
&amp;""),"")</f>
        <v/>
      </c>
      <c r="G60" s="113"/>
      <c r="H60" s="113"/>
      <c r="I60" s="113"/>
      <c r="J60" s="113"/>
      <c r="K60" s="113"/>
      <c r="L60" s="113"/>
      <c r="M60" s="113"/>
      <c r="N60" s="113"/>
      <c r="O60">
        <f t="array" aca="1" ref="O60" ca="1">IF(O52&lt;&gt;0,
MIN(IF((MOD(ROW(INDIRECT("'数出表_Excel（アレルギー入力）'!"&amp;P60&amp;O52+1&amp;":"&amp;P60&amp;"145")),2)=1)*(ISNUMBER(INDIRECT("'数出表_Excel（アレルギー入力）'!"&amp;P60&amp;O52+1&amp;":"&amp;P60&amp;"145"))),ROW(INDIRECT("'数出表_Excel（アレルギー入力）'!"&amp;P60&amp;O52+1&amp;":"&amp;P60&amp;"145")),"")),0)</f>
        <v>0</v>
      </c>
      <c r="P60" t="s">
        <v>176</v>
      </c>
    </row>
    <row r="61" spans="1:16">
      <c r="A61" s="113" t="str">
        <f t="array" aca="1" ref="A61" ca="1">IF(F61&lt;&gt;"",
IF(LEFT(INDIRECT("'数出表_Excel（アレルギー入力）'!A"&amp;MATCH(F61,INDIRECT("'数出表_Excel（アレルギー入力）'!"&amp;P61&amp;":"&amp;P61&amp;""),0)),2)="博多",
LEFT(INDIRECT("'数出表_Excel（アレルギー入力）'!A"&amp;MATCH(F61,INDIRECT("'数出表_Excel（アレルギー入力）'!"&amp;P61&amp;":"&amp;P61&amp;""),0)),FIND("週",INDIRECT("'数出表_Excel（アレルギー入力）'!A"&amp;MATCH(F61,INDIRECT("'数出表_Excel（アレルギー入力）'!"&amp;P61&amp;":"&amp;P61&amp;""),0)))-1),
INDIRECT("'数出表_Excel（アレルギー入力）'!A"&amp;MATCH(F61,INDIRECT("'数出表_Excel（アレルギー入力）'!"&amp;P61&amp;":"&amp;P61&amp;""),0))),"")</f>
        <v/>
      </c>
      <c r="B61" s="113" t="str">
        <f t="array" aca="1" ref="B61" ca="1">IF(AND(B53&lt;&gt;"",O61&lt;&gt;0),
IF(INDIRECT("'数出表_Excel（アレルギー入力）'!"&amp;P61&amp;"147")&lt;&gt;F53,B53,""),"")</f>
        <v/>
      </c>
      <c r="C61" s="113"/>
      <c r="D61" s="113"/>
      <c r="E61" s="113"/>
      <c r="F61" s="113" t="str">
        <f t="array" aca="1" ref="F61" ca="1">IF(B61&lt;&gt;"",INDIRECT("'数出表_Excel（アレルギー入力）'!"&amp;P61&amp;
MIN(IF((MOD(ROW(INDIRECT("'数出表_Excel（アレルギー入力）'!"&amp;P61&amp;O53+1&amp;":"&amp;P61&amp;"145")),2)=1)*(ISNUMBER(INDIRECT("'数出表_Excel（アレルギー入力）'!"&amp;P61&amp;O53+1&amp;":"&amp;P61&amp;"145"))),ROW(INDIRECT("'数出表_Excel（アレルギー入力）'!"&amp;P61&amp;O53+1&amp;":"&amp;P61&amp;"145")),""))
&amp;""),"")</f>
        <v/>
      </c>
      <c r="G61" s="113"/>
      <c r="H61" s="113"/>
      <c r="I61" s="113"/>
      <c r="J61" s="113"/>
      <c r="K61" s="113"/>
      <c r="L61" s="113"/>
      <c r="M61" s="113"/>
      <c r="N61" s="113"/>
      <c r="O61">
        <f t="array" aca="1" ref="O61" ca="1">IF(O53&lt;&gt;0,
MIN(IF((MOD(ROW(INDIRECT("'数出表_Excel（アレルギー入力）'!"&amp;P61&amp;O53+1&amp;":"&amp;P61&amp;"145")),2)=1)*(ISNUMBER(INDIRECT("'数出表_Excel（アレルギー入力）'!"&amp;P61&amp;O53+1&amp;":"&amp;P61&amp;"145"))),ROW(INDIRECT("'数出表_Excel（アレルギー入力）'!"&amp;P61&amp;O53+1&amp;":"&amp;P61&amp;"145")),"")),0)</f>
        <v>0</v>
      </c>
      <c r="P61" t="s">
        <v>177</v>
      </c>
    </row>
    <row r="62" spans="1:16">
      <c r="A62" s="113" t="str">
        <f t="array" aca="1" ref="A62" ca="1">IF(F62&lt;&gt;"",
IF(LEFT(INDIRECT("'数出表_Excel（アレルギー入力）'!A"&amp;MATCH(F62,INDIRECT("'数出表_Excel（アレルギー入力）'!"&amp;P62&amp;":"&amp;P62&amp;""),0)),2)="博多",
LEFT(INDIRECT("'数出表_Excel（アレルギー入力）'!A"&amp;MATCH(F62,INDIRECT("'数出表_Excel（アレルギー入力）'!"&amp;P62&amp;":"&amp;P62&amp;""),0)),FIND("週",INDIRECT("'数出表_Excel（アレルギー入力）'!A"&amp;MATCH(F62,INDIRECT("'数出表_Excel（アレルギー入力）'!"&amp;P62&amp;":"&amp;P62&amp;""),0)))-1),
INDIRECT("'数出表_Excel（アレルギー入力）'!A"&amp;MATCH(F62,INDIRECT("'数出表_Excel（アレルギー入力）'!"&amp;P62&amp;":"&amp;P62&amp;""),0))),"")</f>
        <v/>
      </c>
      <c r="B62" s="113" t="str">
        <f t="array" aca="1" ref="B62" ca="1">IF(AND(B54&lt;&gt;"",O62&lt;&gt;0),
IF(INDIRECT("'数出表_Excel（アレルギー入力）'!"&amp;P62&amp;"147")&lt;&gt;F54,B54,""),"")</f>
        <v/>
      </c>
      <c r="C62" s="113"/>
      <c r="D62" s="113"/>
      <c r="E62" s="113"/>
      <c r="F62" s="113" t="str">
        <f t="array" aca="1" ref="F62" ca="1">IF(B62&lt;&gt;"",INDIRECT("'数出表_Excel（アレルギー入力）'!"&amp;P62&amp;
MIN(IF((MOD(ROW(INDIRECT("'数出表_Excel（アレルギー入力）'!"&amp;P62&amp;O54+1&amp;":"&amp;P62&amp;"145")),2)=1)*(ISNUMBER(INDIRECT("'数出表_Excel（アレルギー入力）'!"&amp;P62&amp;O54+1&amp;":"&amp;P62&amp;"145"))),ROW(INDIRECT("'数出表_Excel（アレルギー入力）'!"&amp;P62&amp;O54+1&amp;":"&amp;P62&amp;"145")),""))
&amp;""),"")</f>
        <v/>
      </c>
      <c r="G62" s="113"/>
      <c r="H62" s="113"/>
      <c r="I62" s="113"/>
      <c r="J62" s="113"/>
      <c r="K62" s="113"/>
      <c r="L62" s="113"/>
      <c r="M62" s="113"/>
      <c r="N62" s="113"/>
      <c r="O62">
        <f t="array" aca="1" ref="O62" ca="1">IF(O54&lt;&gt;0,
MIN(IF((MOD(ROW(INDIRECT("'数出表_Excel（アレルギー入力）'!"&amp;P62&amp;O54+1&amp;":"&amp;P62&amp;"145")),2)=1)*(ISNUMBER(INDIRECT("'数出表_Excel（アレルギー入力）'!"&amp;P62&amp;O54+1&amp;":"&amp;P62&amp;"145"))),ROW(INDIRECT("'数出表_Excel（アレルギー入力）'!"&amp;P62&amp;O54+1&amp;":"&amp;P62&amp;"145")),"")),0)</f>
        <v>0</v>
      </c>
      <c r="P62" t="s">
        <v>178</v>
      </c>
    </row>
    <row r="63" spans="1:16">
      <c r="A63" s="113" t="str">
        <f t="array" aca="1" ref="A63" ca="1">IF(F63&lt;&gt;"",
IF(LEFT(INDIRECT("'数出表_Excel（アレルギー入力）'!A"&amp;MATCH(F63,INDIRECT("'数出表_Excel（アレルギー入力）'!"&amp;P63&amp;":"&amp;P63&amp;""),0)),2)="博多",
LEFT(INDIRECT("'数出表_Excel（アレルギー入力）'!A"&amp;MATCH(F63,INDIRECT("'数出表_Excel（アレルギー入力）'!"&amp;P63&amp;":"&amp;P63&amp;""),0)),FIND("週",INDIRECT("'数出表_Excel（アレルギー入力）'!A"&amp;MATCH(F63,INDIRECT("'数出表_Excel（アレルギー入力）'!"&amp;P63&amp;":"&amp;P63&amp;""),0)))-1),
INDIRECT("'数出表_Excel（アレルギー入力）'!A"&amp;MATCH(F63,INDIRECT("'数出表_Excel（アレルギー入力）'!"&amp;P63&amp;":"&amp;P63&amp;""),0))),"")</f>
        <v/>
      </c>
      <c r="B63" s="113" t="str">
        <f t="array" aca="1" ref="B63" ca="1">IF(AND(B55&lt;&gt;"",O63&lt;&gt;0),
IF(INDIRECT("'数出表_Excel（アレルギー入力）'!"&amp;P63&amp;"147")&lt;&gt;F55,B55,""),"")</f>
        <v/>
      </c>
      <c r="C63" s="113"/>
      <c r="D63" s="113"/>
      <c r="E63" s="113"/>
      <c r="F63" s="113" t="str">
        <f t="array" aca="1" ref="F63" ca="1">IF(B63&lt;&gt;"",INDIRECT("'数出表_Excel（アレルギー入力）'!"&amp;P63&amp;
MIN(IF((MOD(ROW(INDIRECT("'数出表_Excel（アレルギー入力）'!"&amp;P63&amp;O55+1&amp;":"&amp;P63&amp;"145")),2)=1)*(ISNUMBER(INDIRECT("'数出表_Excel（アレルギー入力）'!"&amp;P63&amp;O55+1&amp;":"&amp;P63&amp;"145"))),ROW(INDIRECT("'数出表_Excel（アレルギー入力）'!"&amp;P63&amp;O55+1&amp;":"&amp;P63&amp;"145")),""))
&amp;""),"")</f>
        <v/>
      </c>
      <c r="G63" s="113"/>
      <c r="H63" s="113"/>
      <c r="I63" s="113"/>
      <c r="J63" s="113"/>
      <c r="K63" s="113"/>
      <c r="L63" s="113"/>
      <c r="M63" s="113"/>
      <c r="N63" s="113"/>
      <c r="O63">
        <f t="array" aca="1" ref="O63" ca="1">IF(O55&lt;&gt;0,
MIN(IF((MOD(ROW(INDIRECT("'数出表_Excel（アレルギー入力）'!"&amp;P63&amp;O55+1&amp;":"&amp;P63&amp;"145")),2)=1)*(ISNUMBER(INDIRECT("'数出表_Excel（アレルギー入力）'!"&amp;P63&amp;O55+1&amp;":"&amp;P63&amp;"145"))),ROW(INDIRECT("'数出表_Excel（アレルギー入力）'!"&amp;P63&amp;O55+1&amp;":"&amp;P63&amp;"145")),"")),0)</f>
        <v>0</v>
      </c>
      <c r="P63" t="s">
        <v>179</v>
      </c>
    </row>
    <row r="64" spans="1:16">
      <c r="A64" s="113" t="str">
        <f t="array" aca="1" ref="A64" ca="1">IF(F64&lt;&gt;"",
IF(LEFT(INDIRECT("'数出表_Excel（アレルギー入力）'!A"&amp;MATCH(F64,INDIRECT("'数出表_Excel（アレルギー入力）'!"&amp;P64&amp;":"&amp;P64&amp;""),0)),2)="博多",
LEFT(INDIRECT("'数出表_Excel（アレルギー入力）'!A"&amp;MATCH(F64,INDIRECT("'数出表_Excel（アレルギー入力）'!"&amp;P64&amp;":"&amp;P64&amp;""),0)),FIND("週",INDIRECT("'数出表_Excel（アレルギー入力）'!A"&amp;MATCH(F64,INDIRECT("'数出表_Excel（アレルギー入力）'!"&amp;P64&amp;":"&amp;P64&amp;""),0)))-1),
INDIRECT("'数出表_Excel（アレルギー入力）'!A"&amp;MATCH(F64,INDIRECT("'数出表_Excel（アレルギー入力）'!"&amp;P64&amp;":"&amp;P64&amp;""),0))),"")</f>
        <v/>
      </c>
      <c r="B64" s="113" t="str">
        <f t="array" aca="1" ref="B64" ca="1">IF(AND(B56&lt;&gt;"",O64&lt;&gt;0),
IF(INDIRECT("'数出表_Excel（アレルギー入力）'!"&amp;P64&amp;"147")&lt;&gt;F56,B56,""),"")</f>
        <v/>
      </c>
      <c r="C64" s="113"/>
      <c r="D64" s="113"/>
      <c r="E64" s="113"/>
      <c r="F64" s="113" t="str">
        <f t="array" aca="1" ref="F64" ca="1">IF(B64&lt;&gt;"",INDIRECT("'数出表_Excel（アレルギー入力）'!"&amp;P64&amp;
MIN(IF((MOD(ROW(INDIRECT("'数出表_Excel（アレルギー入力）'!"&amp;P64&amp;O56+1&amp;":"&amp;P64&amp;"145")),2)=1)*(ISNUMBER(INDIRECT("'数出表_Excel（アレルギー入力）'!"&amp;P64&amp;O56+1&amp;":"&amp;P64&amp;"145"))),ROW(INDIRECT("'数出表_Excel（アレルギー入力）'!"&amp;P64&amp;O56+1&amp;":"&amp;P64&amp;"145")),""))
&amp;""),"")</f>
        <v/>
      </c>
      <c r="G64" s="113"/>
      <c r="H64" s="113"/>
      <c r="I64" s="113"/>
      <c r="J64" s="113"/>
      <c r="K64" s="113"/>
      <c r="L64" s="113"/>
      <c r="M64" s="113"/>
      <c r="N64" s="113"/>
      <c r="O64">
        <f t="array" aca="1" ref="O64" ca="1">IF(O56&lt;&gt;0,
MIN(IF((MOD(ROW(INDIRECT("'数出表_Excel（アレルギー入力）'!"&amp;P64&amp;O56+1&amp;":"&amp;P64&amp;"145")),2)=1)*(ISNUMBER(INDIRECT("'数出表_Excel（アレルギー入力）'!"&amp;P64&amp;O56+1&amp;":"&amp;P64&amp;"145"))),ROW(INDIRECT("'数出表_Excel（アレルギー入力）'!"&amp;P64&amp;O56+1&amp;":"&amp;P64&amp;"145")),"")),0)</f>
        <v>0</v>
      </c>
      <c r="P64" t="s">
        <v>180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J8"/>
  <sheetViews>
    <sheetView workbookViewId="0">
      <selection activeCell="T1" sqref="T1:T15"/>
    </sheetView>
  </sheetViews>
  <sheetFormatPr defaultRowHeight="18"/>
  <cols>
    <col min="1" max="1" width="15.8984375" style="180" customWidth="1"/>
  </cols>
  <sheetData>
    <row r="1" spans="1:10">
      <c r="A1" t="s">
        <v>37</v>
      </c>
      <c r="E1" t="e">
        <f t="array" aca="1" ref="E1" ca="1">INDIRECT("数出表_Excel!"&amp;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
&amp;MATCH("社食",数出表_Excel!$A:$A,0)-1&amp;"")</f>
        <v>#N/A</v>
      </c>
      <c r="I1" t="str">
        <f ca="1">IFERROR(
INDEX('数出表_Excel（アレルギー入力）'!$4:$4,
1,
MATCH(E1,INDIRECT("'数出表_Excel（アレルギー入力）'!"&amp;_xlfn.XMATCH(A1,'数出表_Excel（アレルギー入力）'!A:A,0)-1&amp;":"&amp;_xlfn.XMATCH(A1,'数出表_Excel（アレルギー入力）'!A:A,0)-1&amp;""),0)),
"")</f>
        <v/>
      </c>
      <c r="J1" t="str">
        <f ca="1">IFERROR(MOD(E1,G1),"")</f>
        <v/>
      </c>
    </row>
    <row r="2" spans="1:10">
      <c r="A2" t="s">
        <v>37</v>
      </c>
      <c r="E2" t="e">
        <f t="array" aca="1" ref="E2" ca="1">INDIRECT("数出表_Excel!"&amp;
IF(COUNTIF(A1,"*合計*"),"",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""))
&amp;MATCH("社食",数出表_Excel!$A:$A,0)&amp;"")-E5</f>
        <v>#N/A</v>
      </c>
      <c r="I2" t="str">
        <f ca="1">IFERROR(
INDEX('数出表_Excel（アレルギー入力）'!$4:$4,
1,
MATCH(E1,INDIRECT("'数出表_Excel（アレルギー入力）'!"&amp;_xlfn.XMATCH(A1,'数出表_Excel（アレルギー入力）'!A:A,0)-1&amp;":"&amp;_xlfn.XMATCH(A1,'数出表_Excel（アレルギー入力）'!A:A,0)-1&amp;""),0)),
"")</f>
        <v/>
      </c>
      <c r="J2" t="str">
        <f ca="1">IFERROR(MOD(E2,G2),"")</f>
        <v/>
      </c>
    </row>
    <row r="3" spans="1:10">
      <c r="A3" t="s">
        <v>181</v>
      </c>
      <c r="B3" t="e">
        <f t="array" aca="1" ref="B3" ca="1">IF(INDIRECT("数出表_Excel!V"&amp;MATCH("はたなか",数出表_Excel!$A:$A,0)-1&amp;"")="",
INDIRECT("数出表_Excel!W"&amp;MATCH("はたなか",数出表_Excel!$A:$A,0)-1&amp;""),
INDIRECT("数出表_Excel!V"&amp;MATCH("はたなか",数出表_Excel!$A:$A,0)-1&amp;""))</f>
        <v>#N/A</v>
      </c>
      <c r="E3" t="e">
        <f ca="1">MID(B3,FIND("電子",B3)+2,LEN(B3)-FIND("電子",B3)+1)</f>
        <v>#N/A</v>
      </c>
    </row>
    <row r="4" spans="1:10">
      <c r="A4" t="s">
        <v>182</v>
      </c>
      <c r="E4" t="e">
        <f ca="1">MID(B3,FIND("新日本",B3)+3,FIND("ニシム",B3)-1-(FIND("新日本",B3)+3))</f>
        <v>#N/A</v>
      </c>
    </row>
    <row r="5" spans="1:10">
      <c r="A5" t="s">
        <v>183</v>
      </c>
      <c r="E5">
        <v>2</v>
      </c>
    </row>
    <row r="6" spans="1:10">
      <c r="A6" t="s">
        <v>184</v>
      </c>
      <c r="B6" t="str">
        <f>""</f>
        <v/>
      </c>
      <c r="C6" t="e">
        <f ca="1">ROUND(E6/H6,0)</f>
        <v>#N/A</v>
      </c>
      <c r="D6" t="e">
        <f ca="1">IF(E6&gt;H6*C6,
"+"&amp;(E6-H6*C6),E6-H6*C6)</f>
        <v>#N/A</v>
      </c>
      <c r="E6" t="e">
        <f ca="1">(IF('数出表_Excel（アレルギー入力）'!B147&lt;&gt;"",'数出表_Excel（アレルギー入力）'!B147,0)
+IF('数出表_Excel（アレルギー入力）'!D147&lt;&gt;"",'数出表_Excel（アレルギー入力）'!D147,0)
+IF('数出表_Excel（アレルギー入力）'!F147&lt;&gt;"",'数出表_Excel（アレルギー入力）'!F147,0)
+IF('数出表_Excel（アレルギー入力）'!H147&lt;&gt;"",'数出表_Excel（アレルギー入力）'!H147,0)
+IF('数出表_Excel（アレルギー入力）'!J147&lt;&gt;"",'数出表_Excel（アレルギー入力）'!J147,0)
+IF('数出表_Excel（アレルギー入力）'!L147&lt;&gt;"",'数出表_Excel（アレルギー入力）'!L147,0)
+IF('数出表_Excel（アレルギー入力）'!N147&lt;&gt;"",'数出表_Excel（アレルギー入力）'!N147,0)
+IF('数出表_Excel（アレルギー入力）'!P147&lt;&gt;"",'数出表_Excel（アレルギー入力）'!P147,0)
+IF('数出表_Excel（アレルギー入力）'!R147&lt;&gt;"",'数出表_Excel（アレルギー入力）'!R147,0)
+IF('数出表_Excel（アレルギー入力）'!T147&lt;&gt;"",'数出表_Excel（アレルギー入力）'!T147,0))-E2-E3-E4-E5</f>
        <v>#N/A</v>
      </c>
      <c r="G6">
        <v>12</v>
      </c>
      <c r="H6">
        <v>30</v>
      </c>
    </row>
    <row r="7" spans="1:10">
      <c r="A7" t="str">
        <f ca="1">IF(E7&lt;&gt;"","社食","")</f>
        <v/>
      </c>
      <c r="E7" t="str">
        <f t="array" aca="1" ref="E7" ca="1">IFERROR(IF(
OR(INDIRECT("数出表_Excel!"&amp;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0)+1,4),"1","")&amp;"3")="",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0)+1,4),"1","")&amp;"3"),"*配膳*"),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0)+1,4),"1","")&amp;"3"),"*カレー*"),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0)+1,4),"1","")&amp;"3"),"*どん*")),
"",
IFERROR(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
&amp;MATCH(A1,数出表_Excel!A:A,0)-1&amp;""),"")),"")</f>
        <v/>
      </c>
      <c r="G7" t="str">
        <f ca="1">IFERROR(IF(A7&lt;&gt;"",
IF(OR(COUNTIF(H7,"*キャラ*"),COUNTIF(H7,"*赤*")),24,
VLOOKUP(H7,#REF!,6,FALSE)),""),"")</f>
        <v/>
      </c>
      <c r="H7" t="str">
        <f t="array" aca="1" ref="H7" ca="1">IF(A7&lt;&gt;"",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0)+1,4),"1","")&amp;"3"),"")</f>
        <v/>
      </c>
      <c r="J7" t="str">
        <f ca="1">IFERROR(MOD(E7,G7),"")</f>
        <v/>
      </c>
    </row>
    <row r="8" spans="1:10">
      <c r="A8" t="str">
        <f ca="1">IF(F8&lt;&gt;"","社食","")</f>
        <v/>
      </c>
      <c r="F8" t="str">
        <f t="array" aca="1" ref="F8" ca="1">IFERROR(IF(
OR(INDIRECT("数出表_Excel!"&amp;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0)+1,4),"1","")&amp;"3")="",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0)+1,4),"1","")&amp;"3"),"*配膳*"),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0)+1,4),"1","")&amp;"3"),"*カレー*"),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0)+1,4),"1","")&amp;"3"),"*どん*")),
"",
IFERROR(
INDIRECT("数出表_Excel!"&amp;
SUBSTITUTE(ADDRESS(1,
MATCH(TRUE, INDEX(TRIM(INDIRECT("数出表_Excel!"&amp;SUBSTITUTE(SUBSTITUTE(ADDRESS(1,MATCH(TRUE, INDEX(TRIM(INDIRECT("数出表_Excel!B"&amp;MATCH(A1,数出表_Excel!A:A,0)&amp;":U"&amp;MATCH(A1,数出表_Excel!A:A,0)&amp;""))&lt;&gt;"",0), 0)+1+1),1,""),"$","")&amp;MATCH(A1,数出表_Excel!A:A,0)&amp;":U"&amp;MATCH(A1,数出表_Excel!A:A,0)&amp;""))&lt;&gt;"",0), 0)
+MATCH(TRUE, INDEX(TRIM(INDIRECT("数出表_Excel!B"&amp;MATCH(A1,数出表_Excel!A:A,0)&amp;":U"&amp;MATCH(A1,数出表_Excel!A:A,0)&amp;""))&lt;&gt;"",0), 0)+1,4),"1","")
&amp;MATCH(A1,数出表_Excel!A:A,0)&amp;""),"")),"")</f>
        <v/>
      </c>
      <c r="G8" t="str">
        <f ca="1">IFERROR(IF(A8&lt;&gt;"",
IF(OR(COUNTIF(H8,"*キャラ*"),COUNTIF(H8,"*赤*")),24,
VLOOKUP(H8,#REF!,6,FALSE)),""),"")</f>
        <v/>
      </c>
      <c r="H8" t="str">
        <f t="array" aca="1" ref="H8" ca="1">IF(A8&lt;&gt;"",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0)+1,4),"1","")&amp;"3"),"")</f>
        <v/>
      </c>
      <c r="J8" t="str">
        <f ca="1">IFERROR(MOD(E8,G8),"")</f>
        <v/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"/>
  <dimension ref="A1:BB374"/>
  <sheetViews>
    <sheetView topLeftCell="T1" zoomScale="40" zoomScaleNormal="40" zoomScalePageLayoutView="55" workbookViewId="0">
      <selection activeCell="AW27" sqref="AW27"/>
    </sheetView>
  </sheetViews>
  <sheetFormatPr defaultRowHeight="22.2"/>
  <cols>
    <col min="1" max="1" width="7.19921875" style="100" customWidth="1"/>
    <col min="2" max="2" width="14.09765625" style="176" customWidth="1"/>
    <col min="3" max="3" width="31.69921875" style="100" customWidth="1"/>
    <col min="4" max="4" width="37.8984375" style="100" customWidth="1"/>
    <col min="5" max="5" width="5.09765625" style="100" customWidth="1"/>
    <col min="6" max="7" width="11.69921875" style="100" customWidth="1"/>
    <col min="8" max="9" width="8.796875" style="176" customWidth="1"/>
    <col min="10" max="10" width="6.796875" style="176" customWidth="1"/>
    <col min="11" max="18" width="8.796875" style="176" customWidth="1"/>
    <col min="19" max="19" width="36.3984375" style="100" customWidth="1"/>
    <col min="20" max="20" width="38" style="176" customWidth="1"/>
    <col min="21" max="21" width="8.796875" style="183" customWidth="1"/>
    <col min="22" max="22" width="17.69921875" style="176" customWidth="1"/>
    <col min="23" max="29" width="8.796875" style="176" customWidth="1"/>
    <col min="30" max="30" width="8.19921875" style="176" customWidth="1"/>
    <col min="31" max="31" width="8" style="176" customWidth="1"/>
    <col min="32" max="32" width="20.296875" style="176" customWidth="1"/>
    <col min="33" max="33" width="17.59765625" style="176" customWidth="1"/>
    <col min="34" max="34" width="8.796875" style="183" customWidth="1"/>
    <col min="35" max="46" width="8.796875" style="176" customWidth="1"/>
    <col min="47" max="47" width="11.59765625" style="176" customWidth="1"/>
    <col min="48" max="69" width="8.796875" style="176" customWidth="1"/>
    <col min="70" max="16384" width="8.796875" style="176"/>
  </cols>
  <sheetData>
    <row r="1" spans="1:54" ht="18" customHeight="1">
      <c r="A1" s="45">
        <v>7</v>
      </c>
      <c r="B1" s="45" t="str">
        <f>IF(COUNTIF(C1,"*雙葉*"),
IF(COUNTIF(C1,"*先生*"),"雙葉先生","雙葉"),
IF(COUNTIF(C1,"*社食*"),"社食'",
IF(LEFT(C1,2)="博多",
IF(COUNTIF(C1,"*別注*"),
IFERROR(TRIM(LEFT(C1,FIND("幼",C1)-1)),TRIM(C1)),
IF(IFERROR(TRIM(LEFT(#REF!,FIND("幼",#REF!)-1)),TRIM(#REF!))=IFERROR(TRIM(LEFT(C1,FIND("幼",C1)-1)),TRIM(C1)),
IFERROR(TRIM(LEFT(C1,FIND("幼",C1)-1)),TRIM(C1))&amp;"'",IFERROR(TRIM(LEFT(C1,FIND("幼",C1)-1)),TRIM(C1)))),
IF(LEFT(C1,3)="奈良屋",
IF(TRIM(LEFT(#REF!,FIND("幼",#REF!)-1))=TRIM(LEFT(C1,FIND("幼",C1)-1)),
"奈良屋'","奈良屋"),""))))</f>
        <v/>
      </c>
      <c r="C1" s="45" t="str">
        <f>IF(OR(クライアント抽出!B1&lt;&gt;"",クライアント抽出!E1&lt;&gt;""),クライアント抽出!A1,"")</f>
        <v/>
      </c>
      <c r="D1" s="45" t="str">
        <f t="array" aca="1" ref="D1" ca="1">IF(C1&lt;&gt;"",INDIRECT("クライアント抽出!"&amp;E1&amp;MATCH(C1,クライアント抽出!A:A,0)&amp;""),"")</f>
        <v/>
      </c>
      <c r="E1" s="45" t="str">
        <f>IF(H1&lt;&gt;0,
IFERROR(
SUBSTITUTE(ADDRESS(1,
MATCH(VALUE(H1),クライアント抽出!A1:G1,0)+8,4),"1",""),
""),
IFERROR(
SUBSTITUTE(ADDRESS(1,
MATCH(VALUE(I1),クライアント抽出!A1:G1,0)+8,4),"1",""),
""))</f>
        <v/>
      </c>
      <c r="F1" s="184" t="str">
        <f ca="1">IF(D1&lt;&gt;"",
IF(COUNTIF(C1,"*雙葉*"),
IF(ROUND((H1-M1)
/IF(COUNTIF(D1,"*キャラ*"),
VLOOKUP("*キャラ*",商品マスタ!$D:$E,2,FALSE),
IF(COUNTIF(D1,"*赤*"),
VLOOKUP("*赤*",商品マスタ!$D:$E,2,FALSE),
VLOOKUP("*"&amp;D1&amp;"*",商品マスタ!$D:$E,2,FALSE))),0)&lt;=0,1,
ROUND((H1-M1)
/IF(COUNTIF(D1,"*キャラ*"),
VLOOKUP("*キャラ*",商品マスタ!$D:$E,2,FALSE),
IF(COUNTIF(D1,"*赤*"),
VLOOKUP("*赤*",商品マスタ!$D:$E,2,FALSE),
VLOOKUP("*"&amp;D1&amp;"*",商品マスタ!$D:$E,2,FALSE))),0)),
IF(OR(COUNTIF(D1,"*キャラ*"),COUNTIF(D1,"*赤*")),"",
IF(VLOOKUP("*"&amp;D1&amp;"*",商品マスタ!$D:$E,2,FALSE)=0,"",
IF(ROUND((H1-M1)
/VLOOKUP("*"&amp;D1&amp;"*",商品マスタ!$D:$E,2,FALSE),0)&lt;=0,1,
ROUND((H1-M1)
/VLOOKUP("*"&amp;D1&amp;"*",商品マスタ!$D:$E,2,FALSE),0))))),"")</f>
        <v/>
      </c>
      <c r="G1" s="45" t="str">
        <f ca="1">IF(F1&lt;&gt;"",
IF(VALUE(H1-M1)&gt;VALUE(IF(COUNTIF(D1,"*キャラ*"),
VLOOKUP("*キャラ*",商品マスタ!$D:$E,2,FALSE),
IF(COUNTIF(D1,"*赤*"),
VLOOKUP("*赤*",商品マスタ!$D:$E,2,FALSE),
VLOOKUP("*"&amp;D1&amp;"*",商品マスタ!$D:$E,2,FALSE)))*F1),
"+"&amp;(H1-M1)-IF(COUNTIF(D1,"*キャラ*"),
VLOOKUP("*キャラ*",商品マスタ!$D:$E,2,FALSE),
IF(COUNTIF(D1,"*赤*"),
VLOOKUP("*赤*",商品マスタ!$D:$E,2,FALSE),
VLOOKUP("*"&amp;D1&amp;"*",商品マスタ!$D:$E,2,FALSE)))*F1,
(H1-M1)-IF(COUNTIF(D1,"*キャラ*"),
VLOOKUP("*キャラ*",商品マスタ!$D:$E,2,FALSE),
IF(COUNTIF(D1,"*赤*"),
VLOOKUP("*赤*",商品マスタ!$D:$E,2,FALSE),
VLOOKUP("*"&amp;D1&amp;"*",商品マスタ!$D:$E,2,FALSE)))*F1),"")</f>
        <v/>
      </c>
      <c r="H1" s="99" t="str">
        <f>IF(C1&lt;&gt;"",
クライアント抽出!B1,"")</f>
        <v/>
      </c>
      <c r="I1" s="45" t="str">
        <f t="array" aca="1" ref="I1" ca="1">IF(C1&lt;&gt;"",
IF(O1=1,
IF(SUMPRODUCT(COUNTIF(クライアント抽出!P1:U1,クライアント抽出!P1:U1))&gt;COUNTA(クライアント抽出!P1:U1),
IFERROR(INDIRECT("数出表_Excel!"&amp;INDEX(_xlfn.UNIQUE(_xlfn._xlws.FILTER(クライアント抽出!P1:U1,COUNTIF(クライアント抽出!P1:U1,クライアント抽出!P1:U1)&gt;1)),1)&amp;L1&amp;""),
クライアント抽出!E1),0),クライアント抽出!E1),"")</f>
        <v/>
      </c>
      <c r="J1" s="45" t="str">
        <f>IF(C1&lt;&gt;"",
VLOOKUP(
"*"&amp;LEFT(IF(COUNTIF(D1,"*学食*"),"キャラ弁（学食）",
IF(COUNTIF(D1,"*赤*"),"赤",
IF(COUNTIF(D1,"*キャラ弁当*"),"キャラ弁当",D1))),4)&amp;"*",注文弁当の抽出!$F$1:$G$15,2,FALSE),"")</f>
        <v/>
      </c>
      <c r="K1" s="45" t="str">
        <f ca="1">IF(クライアント抽出!P1&lt;&gt;"",SUBSTITUTE(ADDRESS(1,(CODE(クライアント抽出!P1)-64)*2-1,4),"1",""),"")</f>
        <v/>
      </c>
      <c r="L1" s="45" t="str">
        <f>IF(C1&lt;&gt;"",クライアント抽出!I1,"")</f>
        <v/>
      </c>
      <c r="M1" s="45">
        <f t="array" aca="1" ref="M1" ca="1">IF(C1&lt;&gt;"",
IF(K1&lt;&gt;"",INDIRECT("'数出表_Excel（アレルギー入力）'!"&amp;K1&amp;L1-1&amp;""),),)</f>
        <v>0</v>
      </c>
      <c r="N1" s="45" t="str">
        <f>IF(C1&lt;&gt;"",IF(OR(COUNTIF('盛付札（関数）'!D1,"*赤*"),COUNTIF('盛付札（関数）'!D1,"*キャラ*")),1,
VALUE(VLOOKUP("*"&amp;D1&amp;"*",商品マスタ!D:H,5,FALSE))),"")</f>
        <v/>
      </c>
      <c r="O1" s="45">
        <f ca="1">IF(LEN(クライアント抽出!V1)-LEN(SUBSTITUTE(クライアント抽出!V1,",",""))&lt;&gt;1,
IF(AND(クライアント抽出!P1&lt;&gt;"",クライアント抽出!S1&lt;&gt;""),
IF(クライアント抽出!P1&lt;&gt;クライアント抽出!S1,1,0),0),0)</f>
        <v>0</v>
      </c>
      <c r="P1" s="45">
        <f t="shared" ref="P1:P64" si="0">IF(COUNTIF(Q1,"TRUE"),
IF(OR(COUNTIF(B1,"*'*"),H1=0),0,ROW()),0)</f>
        <v>0</v>
      </c>
      <c r="Q1" s="45" t="b">
        <f t="shared" ref="Q1:Q64" si="1">IF(C1&lt;&gt;"",
IF(OR(N1=1,COUNTIF(D1,"*朝食*"),COUNTIF(D1,"*夕食*")),TRUE,FALSE),FALSE)</f>
        <v>0</v>
      </c>
      <c r="R1" s="122" t="str">
        <f t="array" aca="1" ref="R1" ca="1">IFERROR(SMALL(IF(P$1:P$311&lt;&gt;0,P$1:P$311),ROW(A1)),"")</f>
        <v/>
      </c>
      <c r="S1" s="122" t="str">
        <f t="array" aca="1" ref="S1" ca="1">IF($R1&lt;&gt;"",
SUBSTITUTE(SUBSTITUTE(INDIRECT("C"&amp;$R1&amp;"")," 週3ｺｰｽ","")," 週5ｺｰｽ",""),"")</f>
        <v/>
      </c>
      <c r="T1" s="122" t="str">
        <f t="array" aca="1" ref="T1" ca="1">IF(IF($R1&lt;&gt;"",
INDIRECT(""&amp;IF(COLUMN(D1)&lt;=26,CHAR(COLUMN(D1)+64),CHAR(INT((COLUMN(D1)-1)/26)+64)&amp;CHAR(MOD(COLUMN(D1)-1,26)+65))&amp;$R1&amp;""),"")=0,"",
IF($R1&lt;&gt;"",
INDIRECT(""&amp;IF(COLUMN(D1)&lt;=26,CHAR(COLUMN(D1)+64),CHAR(INT((COLUMN(D1)-1)/26)+64)&amp;CHAR(MOD(COLUMN(D1)-1,26)+65))&amp;$R1&amp;""),""))</f>
        <v/>
      </c>
      <c r="U1" s="185" t="str">
        <f t="array" aca="1" ref="U1" ca="1">IF($R1&lt;&gt;"",
INDIRECT("F"&amp;$R1&amp;""),"")</f>
        <v/>
      </c>
      <c r="V1" s="122" t="str">
        <f t="array" aca="1" ref="V1" ca="1">IF($R1&lt;&gt;"",
INDIRECT("G"&amp;$R1&amp;""),"")</f>
        <v/>
      </c>
      <c r="W1" s="122" t="str">
        <f t="array" aca="1" ref="W1" ca="1">IF($R1&lt;&gt;"",
IF(AND(COUNTIF(INDIRECT("B"&amp;R1&amp;""),"*雙葉*"),COUNTIF($B$71:$B$210,"*雙葉*")&gt;=1),
IF(COUNTIF(INDIRECT("B"&amp;R1&amp;""),"*雙葉先生*"),INDIRECT("H"&amp;R1&amp;""),INDIRECT("H"&amp;R1&amp;"")+INDIRECT("H"&amp;MATCH("雙葉'",INDIRECT("B"&amp;R1+3&amp;":B210"),0)+2+R1&amp;"")),
IF(AND(LEFT(INDIRECT("B"&amp;R1&amp;""),2)="博多",COUNTIF(B:B,"*博多*")&gt;=2),
INDIRECT("H"&amp;R1&amp;"")+INDIRECT("H"&amp;MATCH("*"&amp;INDIRECT("B"&amp;R1&amp;"")&amp;"*",INDIRECT("B"&amp;R1+1&amp;":B210"),0)+R1&amp;""),
IF(AND(LEFT(INDIRECT("B"&amp;R1&amp;""),3)="奈良屋",COUNTIF(B:B,"*奈良屋*")&gt;=2),
INDIRECT("H"&amp;R1&amp;"")+INDIRECT("H"&amp;MATCH("*"&amp;INDIRECT("B"&amp;R1&amp;"")&amp;"*",INDIRECT("B"&amp;R1+1&amp;":B210"),0)+R1&amp;"")
+INDIRECT("H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,
INDIRECT("H"&amp;R1&amp;"")))),"")</f>
        <v/>
      </c>
      <c r="X1" s="122" t="str">
        <f t="array" aca="1" ref="X1" ca="1">IF($R1&lt;&gt;"",
INDIRECT(""&amp;IF(COLUMN(I1)&lt;=26,CHAR(COLUMN(I1)+64),CHAR(INT((COLUMN(I1)-1)/26)+64)&amp;CHAR(MOD(COLUMN(I1)-1,26)+65))&amp;$R1&amp;""),"")</f>
        <v/>
      </c>
      <c r="Y1" s="122" t="str">
        <f t="array" aca="1" ref="Y1" ca="1">IF($R1&lt;&gt;"",
INDIRECT(""&amp;IF(COLUMN(J1)&lt;=26,CHAR(COLUMN(J1)+64),CHAR(INT((COLUMN(J1)-1)/26)+64)&amp;CHAR(MOD(COLUMN(J1)-1,26)+65))&amp;$R1&amp;""),"")</f>
        <v/>
      </c>
      <c r="Z1" s="122" t="str">
        <f t="shared" ref="Z1:Z64" ca="1" si="2">IF(R1&lt;&gt;"",
IFERROR(INT(W1/Y1),""),"")</f>
        <v/>
      </c>
      <c r="AA1" s="122" t="str">
        <f t="shared" ref="AA1:AA64" ca="1" si="3">IFERROR(MOD(W1,Y1),"")</f>
        <v/>
      </c>
      <c r="AB1" s="122" t="str">
        <f t="array" aca="1" ref="AB1" ca="1">IF($R1&lt;&gt;"",
IF(AND(COUNTIF(INDIRECT("B"&amp;R1&amp;""),"*雙葉*"),COUNTIF(INDIRECT("B"&amp;R1&amp;""),"&lt;&gt;*先生*"),COUNTIF(B:B,"*雙葉*")&gt;=2),
INDIRECT("M"&amp;R1&amp;"")+INDIRECT("M"&amp;MATCH("雙葉'",INDIRECT("B"&amp;R1+1&amp;":B210"),0)+R1&amp;""),
IF(AND(LEFT(INDIRECT("B"&amp;R1&amp;""),2)="博多",COUNTIF(B:B,"*博多*")&gt;=2),
INDIRECT("M"&amp;R1&amp;"")+INDIRECT("M"&amp;MATCH("*"&amp;INDIRECT("B"&amp;R1&amp;"")&amp;"*",INDIRECT("B"&amp;R1+1&amp;":B210"),0)+R1&amp;""),
IF(AND(LEFT(INDIRECT("B"&amp;R1&amp;""),3)="奈良屋",COUNTIF(B:B,"*奈良屋*")&gt;=2),
INDIRECT("M"&amp;R1&amp;"")+INDIRECT("M"&amp;MATCH("*"&amp;INDIRECT("B"&amp;R1&amp;"")&amp;"*",INDIRECT("B"&amp;R1+1&amp;":B210"),0)+R1&amp;"")
+INDIRECT("M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,
INDIRECT("M"&amp;R1&amp;"")))),"")</f>
        <v/>
      </c>
      <c r="AC1" s="122" t="str">
        <f t="shared" ref="AC1:AC64" ca="1" si="4">IF(S1&lt;&gt;"",INDEX(A:A, MATCH("*"&amp;LEFT(S1,4)&amp;"*", C:C, 0)),"")</f>
        <v/>
      </c>
      <c r="AD1" s="176" t="str">
        <f t="shared" ref="AD1:AD64" ca="1" si="5">IFERROR(INDEX(AC:AC,MATCH(SMALL($AU:$AU,ROW()),$AU:$AU,0)),"")</f>
        <v/>
      </c>
      <c r="AE1" s="176" t="str">
        <f t="shared" ref="AE1:AE64" ca="1" si="6">IFERROR(INDEX(R:R,MATCH(SMALL($AU:$AU,ROW()),$AU:$AU,0)),"")</f>
        <v/>
      </c>
      <c r="AF1" s="176" t="str">
        <f t="shared" ref="AF1:AF64" ca="1" si="7">IFERROR(INDEX(S:S,MATCH(SMALL($AU:$AU,ROW()),$AU:$AU,0)),"")</f>
        <v/>
      </c>
      <c r="AG1" s="176" t="str">
        <f t="shared" ref="AG1:AG64" ca="1" si="8">IFERROR(INDEX(T:T,MATCH(SMALL($AU:$AU,ROW()),$AU:$AU,0)),"")</f>
        <v/>
      </c>
      <c r="AH1" s="183" t="str">
        <f t="shared" ref="AH1:AH64" ca="1" si="9">IFERROR(INDEX(U:U,MATCH(SMALL($AU:$AU,ROW()),$AU:$AU,0)),"")</f>
        <v/>
      </c>
      <c r="AI1" s="176" t="str">
        <f t="shared" ref="AI1:AI64" ca="1" si="10">IFERROR(INDEX(V:V,MATCH(SMALL($AU:$AU,ROW()),$AU:$AU,0)),"")</f>
        <v/>
      </c>
      <c r="AJ1" s="176" t="str">
        <f t="shared" ref="AJ1:AJ64" ca="1" si="11">IFERROR(INDEX(W:W,MATCH(SMALL($AU:$AU,ROW()),$AU:$AU,0)),"")</f>
        <v/>
      </c>
      <c r="AK1" s="176" t="str">
        <f t="shared" ref="AK1:AK64" ca="1" si="12">IFERROR(INDEX(X:X,MATCH(SMALL($AU:$AU,ROW()),$AU:$AU,0)),"")</f>
        <v/>
      </c>
      <c r="AL1" s="176" t="str">
        <f t="shared" ref="AL1:AL64" ca="1" si="13">IFERROR(INDEX(Y:Y,MATCH(SMALL($AU:$AU,ROW()),$AU:$AU,0)),"")</f>
        <v/>
      </c>
      <c r="AM1" s="176" t="str">
        <f t="shared" ref="AM1:AM64" ca="1" si="14">IFERROR(INDEX(Z:Z,MATCH(SMALL($AU:$AU,ROW()),$AU:$AU,0)),"")</f>
        <v/>
      </c>
      <c r="AN1" s="176" t="str">
        <f t="shared" ref="AN1:AN64" ca="1" si="15">IFERROR(INDEX(AA:AA,MATCH(SMALL($AU:$AU,ROW()),$AU:$AU,0)),"")</f>
        <v/>
      </c>
      <c r="AO1" s="176" t="str">
        <f t="shared" ref="AO1:AO64" ca="1" si="16">IFERROR(INDEX(AB:AB,MATCH(SMALL($AU:$AU,ROW()),$AU:$AU,0)),"")</f>
        <v/>
      </c>
      <c r="AP1" s="176" t="str">
        <f t="shared" ref="AP1:AP64" ca="1" si="17">IFERROR(INDEX(AC:AC,MATCH(SMALL($AU:$AU,ROW()),$AU:$AU,0)),"")</f>
        <v/>
      </c>
      <c r="AU1" s="176" t="str">
        <f t="shared" ref="AU1:AU64" ca="1" si="18">IFERROR(IF(R1&gt;=219, 1000000+R1, AC1*1000+R1),"")</f>
        <v/>
      </c>
      <c r="AW1" s="106" t="str">
        <f ca="1">IF(AF1&lt;&gt;"",OFFSET('数出表_Excel（アレルギー入力）'!$A$1,MATCH(AF1,'数出表_Excel（アレルギー入力）'!A:A,0)-2,0),"")</f>
        <v/>
      </c>
      <c r="AX1" s="106" t="str">
        <f ca="1">IF(AW1&lt;&gt;"",
OFFSET(得意先マスタ!$A$1,MATCH(AW1,得意先マスタ!A:A,0)-1,24),"")</f>
        <v/>
      </c>
      <c r="AY1" s="57" t="e">
        <f ca="1">IF(AX1&lt;&gt;0,
IF(COUNTIF(AX1,"*.*"),LEFT(AX1, FIND(".", AX1) - 1),VALUE(AX1)),0)</f>
        <v>#VALUE!</v>
      </c>
      <c r="AZ1" s="57">
        <f ca="1">IF(AX1&lt;&gt;0,
IF(COUNTIF(AX1,"*.*"),
IF(COUNTIF(AX1,"*.*")=1,MID(AX1, FIND(".", AX1) + 1,LEN(AX1) - FIND(".", AX1)),
MID(AX1, FIND(".", AX1) + 1, FIND(".", AX1, FIND(".", AX1) + 1) - FIND(".", AX1) - 1)),0),0)</f>
        <v>0</v>
      </c>
      <c r="BA1" s="57">
        <f ca="1">IF(AX1&lt;&gt;0,
IF(COUNTIF(AX1,"*.*"),
IF(COUNTIF(AX1,"*.*")=1,"",RIGHT(AX1, LEN(AX1) - FIND(".", AX1, FIND(".", AX1) + 1))),0),0)</f>
        <v>0</v>
      </c>
      <c r="BB1" s="176">
        <f ca="1">IFERROR(SUM(AY1:BA1),0)</f>
        <v>0</v>
      </c>
    </row>
    <row r="2" spans="1:54" ht="18" customHeight="1">
      <c r="A2" s="101">
        <f t="shared" ref="A2:A33" si="19">A1+2</f>
        <v>9</v>
      </c>
      <c r="B2" s="45" t="str">
        <f t="shared" ref="B2:B33" si="20">IF(COUNTIF(C2,"*雙葉*"),
IF(COUNTIF(C2,"*先生*"),"雙葉先生","雙葉"),
IF(COUNTIF(C2,"*社食*"),"社食'",
IF(LEFT(C2,2)="博多",
IF(COUNTIF(C2,"*別注*"),
IFERROR(TRIM(LEFT(C2,FIND("週",C2)-1)),TRIM(C2)),
IF(IFERROR(TRIM(LEFT(C1,FIND("週",C1)-1)),TRIM(C1))=IFERROR(TRIM(LEFT(C2,FIND("週",C2)-1)),TRIM(C2)),
IFERROR(TRIM(LEFT(C2,FIND("週",C2)-1)),TRIM(C2))&amp;"'",IFERROR(TRIM(LEFT(C2,FIND("週",C2)-1)),TRIM(C2)))),
IF(LEFT(C2,3)="奈良屋",
IF(IFERROR(TRIM(LEFT(C1,FIND("幼",C1)-1)),TRIM(C1))=IFERROR(TRIM(LEFT(C2,FIND("幼",C2)-1)),TRIM(C2)),
"奈良屋'","奈良屋"),""))))</f>
        <v/>
      </c>
      <c r="C2" s="45" t="str">
        <f>IF(OR(クライアント抽出!B2&lt;&gt;"",クライアント抽出!E2&lt;&gt;""),クライアント抽出!A2,"")</f>
        <v/>
      </c>
      <c r="D2" s="45" t="str">
        <f t="array" aca="1" ref="D2" ca="1">IF(C2&lt;&gt;"",INDIRECT("クライアント抽出!"&amp;E2&amp;MATCH(C2,クライアント抽出!A:A,0)&amp;""),"")</f>
        <v/>
      </c>
      <c r="E2" s="45" t="str">
        <f>IF(H2&lt;&gt;0,
IFERROR(
SUBSTITUTE(ADDRESS(1,
MATCH(VALUE(H2),クライアント抽出!A2:G2,0)+8,4),"1",""),
""),
IFERROR(
SUBSTITUTE(ADDRESS(1,
MATCH(VALUE(I2),クライアント抽出!A2:G2,0)+8,4),"1",""),
""))</f>
        <v/>
      </c>
      <c r="F2" s="184" t="str">
        <f ca="1">IF(D2&lt;&gt;"",
IF(COUNTIF(C2,"*雙葉*"),
IF(ROUND((H2-M2)
/IF(COUNTIF(D2,"*キャラ*"),
VLOOKUP("*キャラ*",商品マスタ!$D:$E,2,FALSE),
IF(COUNTIF(D2,"*赤*"),
VLOOKUP("*赤*",商品マスタ!$D:$E,2,FALSE),
VLOOKUP("*"&amp;D2&amp;"*",商品マスタ!$D:$E,2,FALSE))),0)&lt;=0,1,
ROUND((H2-M2)
/IF(COUNTIF(D2,"*キャラ*"),
VLOOKUP("*キャラ*",商品マスタ!$D:$E,2,FALSE),
IF(COUNTIF(D2,"*赤*"),
VLOOKUP("*赤*",商品マスタ!$D:$E,2,FALSE),
VLOOKUP("*"&amp;D2&amp;"*",商品マスタ!$D:$E,2,FALSE))),0)),
IF(OR(COUNTIF(D2,"*キャラ*"),COUNTIF(D2,"*赤*")),"",
IF(VLOOKUP("*"&amp;D2&amp;"*",商品マスタ!$D:$E,2,FALSE)=0,"",
IF(ROUND((H2-M2)
/VLOOKUP("*"&amp;D2&amp;"*",商品マスタ!$D:$E,2,FALSE),0)&lt;=0,1,
ROUND((H2-M2)
/VLOOKUP("*"&amp;D2&amp;"*",商品マスタ!$D:$E,2,FALSE),0))))),"")</f>
        <v/>
      </c>
      <c r="G2" s="45" t="str">
        <f ca="1">IF(F2&lt;&gt;"",
IF(VALUE(H2-M2)&gt;VALUE(IF(COUNTIF(D2,"*キャラ*"),
VLOOKUP("*キャラ*",商品マスタ!$D:$E,2,FALSE),
IF(COUNTIF(D2,"*赤*"),
VLOOKUP("*赤*",商品マスタ!$D:$E,2,FALSE),
VLOOKUP("*"&amp;D2&amp;"*",商品マスタ!$D:$E,2,FALSE)))*F2),
"+"&amp;(H2-M2)-IF(COUNTIF(D2,"*キャラ*"),
VLOOKUP("*キャラ*",商品マスタ!$D:$E,2,FALSE),
IF(COUNTIF(D2,"*赤*"),
VLOOKUP("*赤*",商品マスタ!$D:$E,2,FALSE),
VLOOKUP("*"&amp;D2&amp;"*",商品マスタ!$D:$E,2,FALSE)))*F2,
(H2-M2)-IF(COUNTIF(D2,"*キャラ*"),
VLOOKUP("*キャラ*",商品マスタ!$D:$E,2,FALSE),
IF(COUNTIF(D2,"*赤*"),
VLOOKUP("*赤*",商品マスタ!$D:$E,2,FALSE),
VLOOKUP("*"&amp;D2&amp;"*",商品マスタ!$D:$E,2,FALSE)))*F2),"")</f>
        <v/>
      </c>
      <c r="H2" s="99" t="str">
        <f>IF(C2&lt;&gt;"",
クライアント抽出!B2,"")</f>
        <v/>
      </c>
      <c r="I2" s="45" t="str">
        <f t="array" aca="1" ref="I2" ca="1">IF(C2&lt;&gt;"",
IF(O2=1,
IF(SUMPRODUCT(COUNTIF(クライアント抽出!P2:U2,クライアント抽出!P2:U2))&gt;COUNTA(クライアント抽出!P2:U2),
IFERROR(INDIRECT("数出表_Excel!"&amp;INDEX(_xlfn.UNIQUE(_xlfn._xlws.FILTER(クライアント抽出!P2:U2,COUNTIF(クライアント抽出!P2:U2,クライアント抽出!P2:U2)&gt;1)),1)&amp;L2&amp;""),
クライアント抽出!E2),0),クライアント抽出!E2),"")</f>
        <v/>
      </c>
      <c r="J2" s="45" t="str">
        <f>IF(C2&lt;&gt;"",
VLOOKUP(
"*"&amp;LEFT(IF(COUNTIF(D2,"*学食*"),"キャラ弁（学食）",
IF(COUNTIF(D2,"*赤*"),"赤",
IF(COUNTIF(D2,"*キャラ弁当*"),"キャラ弁当",D2))),4)&amp;"*",注文弁当の抽出!$F$1:$G$15,2,FALSE),"")</f>
        <v/>
      </c>
      <c r="K2" s="45" t="str">
        <f ca="1">IF(クライアント抽出!P2&lt;&gt;"",SUBSTITUTE(ADDRESS(1,(CODE(クライアント抽出!P2)-64)*2-1,4),"1",""),"")</f>
        <v/>
      </c>
      <c r="L2" s="45" t="str">
        <f>IF(C2&lt;&gt;"",クライアント抽出!I2,"")</f>
        <v/>
      </c>
      <c r="M2" s="45">
        <f t="array" aca="1" ref="M2" ca="1">IF(C2&lt;&gt;"",
IF(K2&lt;&gt;"",INDIRECT("'数出表_Excel（アレルギー入力）'!"&amp;K2&amp;L2-1&amp;""),),)</f>
        <v>0</v>
      </c>
      <c r="N2" s="45" t="str">
        <f>IF(C2&lt;&gt;"",IF(OR(COUNTIF('盛付札（関数）'!D2,"*赤*"),COUNTIF('盛付札（関数）'!D2,"*キャラ*")),1,
VALUE(VLOOKUP("*"&amp;D2&amp;"*",商品マスタ!D:H,5,FALSE))),"")</f>
        <v/>
      </c>
      <c r="O2" s="45">
        <f ca="1">IF(LEN(クライアント抽出!V2)-LEN(SUBSTITUTE(クライアント抽出!V2,",",""))&lt;&gt;1,
IF(AND(クライアント抽出!P2&lt;&gt;"",クライアント抽出!S2&lt;&gt;""),
IF(クライアント抽出!P2&lt;&gt;クライアント抽出!S2,1,0),0),0)</f>
        <v>0</v>
      </c>
      <c r="P2" s="45">
        <f t="shared" si="0"/>
        <v>0</v>
      </c>
      <c r="Q2" s="45" t="b">
        <f t="shared" si="1"/>
        <v>0</v>
      </c>
      <c r="R2" s="122" t="str">
        <f t="array" aca="1" ref="R2" ca="1">IFERROR(SMALL(IF(P$1:P$311&lt;&gt;0,P$1:P$311),ROW(A2)),"")</f>
        <v/>
      </c>
      <c r="S2" s="122" t="str">
        <f t="array" aca="1" ref="S2" ca="1">IF($R2&lt;&gt;"",
SUBSTITUTE(SUBSTITUTE(INDIRECT("C"&amp;$R2&amp;"")," 週3ｺｰｽ","")," 週5ｺｰｽ",""),"")</f>
        <v/>
      </c>
      <c r="T2" s="122" t="str">
        <f t="array" aca="1" ref="T2" ca="1">IF(IF($R2&lt;&gt;"",
INDIRECT(""&amp;IF(COLUMN(D2)&lt;=26,CHAR(COLUMN(D2)+64),CHAR(INT((COLUMN(D2)-1)/26)+64)&amp;CHAR(MOD(COLUMN(D2)-1,26)+65))&amp;$R2&amp;""),"")=0,"",
IF($R2&lt;&gt;"",
INDIRECT(""&amp;IF(COLUMN(D2)&lt;=26,CHAR(COLUMN(D2)+64),CHAR(INT((COLUMN(D2)-1)/26)+64)&amp;CHAR(MOD(COLUMN(D2)-1,26)+65))&amp;$R2&amp;""),""))</f>
        <v/>
      </c>
      <c r="U2" s="185" t="str">
        <f t="array" aca="1" ref="U2" ca="1">IF($R2&lt;&gt;"",
INDIRECT("F"&amp;$R2&amp;""),"")</f>
        <v/>
      </c>
      <c r="V2" s="122" t="str">
        <f t="array" aca="1" ref="V2" ca="1">IF($R2&lt;&gt;"",
INDIRECT("G"&amp;$R2&amp;""),"")</f>
        <v/>
      </c>
      <c r="W2" s="122" t="str" cm="1">
        <f t="array" aca="1" ref="W2" ca="1">IF($R2&lt;&gt;"",
IF(AND(COUNTIF(INDIRECT("B"&amp;R2&amp;""),"*雙葉*"),COUNTIF($B$71:$B$210,"*雙葉*")&gt;=1),
IF(OR(COUNTIF(INDIRECT("B"&amp;R2&amp;""),"*雙葉先生*"),COUNTIF(INDIRECT("B"&amp;R2-1&amp;""),"*雙葉*")),INDIRECT("H"&amp;R2&amp;""),INDIRECT("H"&amp;R2&amp;"")+INDIRECT("H"&amp;MATCH("雙葉'",INDIRECT("B"&amp;R2+3&amp;":B210"),0)+2+R2&amp;"")),
IF(AND(LEFT(INDIRECT("B"&amp;R2&amp;""),2)="博多",COUNTIF(B:B,"*博多*")&gt;=2),
INDIRECT("H"&amp;R2&amp;"")+IFERROR(INDIRECT("H"&amp;MATCH("*"&amp;INDIRECT("B"&amp;R2&amp;"")&amp;"*",INDIRECT("B"&amp;R2+1&amp;":B210"),0)+R2&amp;""),0),
IF(AND(LEFT(INDIRECT("B"&amp;R2&amp;""),3)="奈良屋",COUNTIF(B:B,"*奈良屋*")&gt;=2),
INDIRECT("H"&amp;R2&amp;"")
+INDIRECT("H"&amp;MATCH("*"&amp;INDIRECT("B"&amp;R2&amp;"")&amp;"*",INDIRECT("B"&amp;R2+1&amp;":B210"),0)+R2&amp;"")
+INDIRECT("H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
+INDIRECT("H"&amp;MATCH("*"&amp;INDIRECT("B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&amp;"*",INDIRECT("B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+1&amp;":B210"),0)+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,
INDIRECT("H"&amp;R2&amp;"")))),"")</f>
        <v/>
      </c>
      <c r="X2" s="122" t="str">
        <f t="array" aca="1" ref="X2" ca="1">IF($R2&lt;&gt;"",
INDIRECT(""&amp;IF(COLUMN(I2)&lt;=26,CHAR(COLUMN(I2)+64),CHAR(INT((COLUMN(I2)-1)/26)+64)&amp;CHAR(MOD(COLUMN(I2)-1,26)+65))&amp;$R2&amp;""),"")</f>
        <v/>
      </c>
      <c r="Y2" s="122" t="str">
        <f t="array" aca="1" ref="Y2" ca="1">IF($R2&lt;&gt;"",
INDIRECT(""&amp;IF(COLUMN(J2)&lt;=26,CHAR(COLUMN(J2)+64),CHAR(INT((COLUMN(J2)-1)/26)+64)&amp;CHAR(MOD(COLUMN(J2)-1,26)+65))&amp;$R2&amp;""),"")</f>
        <v/>
      </c>
      <c r="Z2" s="122" t="str">
        <f t="shared" ca="1" si="2"/>
        <v/>
      </c>
      <c r="AA2" s="122" t="str">
        <f t="shared" ca="1" si="3"/>
        <v/>
      </c>
      <c r="AB2" s="122" t="str">
        <f t="array" aca="1" ref="AB2" ca="1">IF($R2&lt;&gt;"",
IF(AND(COUNTIF(INDIRECT("B"&amp;R2&amp;""),"*雙葉*"),COUNTIF(INDIRECT("B"&amp;R2&amp;""),"&lt;&gt;*先生*"),COUNTIF(B:B,"*雙葉*")&gt;=2),
INDIRECT("M"&amp;R2&amp;"")+INDIRECT("M"&amp;MATCH("雙葉'",INDIRECT("B"&amp;R2+1&amp;":B210"),0)+R2&amp;""),
IF(AND(LEFT(INDIRECT("B"&amp;R2&amp;""),2)="博多",COUNTIF(B:B,"*博多*")&gt;=2),
INDIRECT("M"&amp;R2&amp;"")+INDIRECT("M"&amp;MATCH("*"&amp;INDIRECT("B"&amp;R2&amp;"")&amp;"*",INDIRECT("B"&amp;R2+1&amp;":B210"),0)+R2&amp;""),
IF(AND(LEFT(INDIRECT("B"&amp;R2&amp;""),3)="奈良屋",COUNTIF(B:B,"*奈良屋*")&gt;=2),
INDIRECT("M"&amp;R2&amp;"")+INDIRECT("M"&amp;MATCH("*"&amp;INDIRECT("B"&amp;R2&amp;"")&amp;"*",INDIRECT("B"&amp;R2+1&amp;":B210"),0)+R2&amp;"")
+INDIRECT("M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,
INDIRECT("M"&amp;R2&amp;"")))),"")</f>
        <v/>
      </c>
      <c r="AC2" s="122" t="str">
        <f t="shared" ca="1" si="4"/>
        <v/>
      </c>
      <c r="AD2" s="176" t="str">
        <f t="shared" ca="1" si="5"/>
        <v/>
      </c>
      <c r="AE2" s="176" t="str">
        <f t="shared" ca="1" si="6"/>
        <v/>
      </c>
      <c r="AF2" s="176" t="str">
        <f t="shared" ca="1" si="7"/>
        <v/>
      </c>
      <c r="AG2" s="176" t="str">
        <f t="shared" ca="1" si="8"/>
        <v/>
      </c>
      <c r="AH2" s="183" t="str">
        <f t="shared" ca="1" si="9"/>
        <v/>
      </c>
      <c r="AI2" s="176" t="str">
        <f t="shared" ca="1" si="10"/>
        <v/>
      </c>
      <c r="AJ2" s="176" t="str">
        <f t="shared" ca="1" si="11"/>
        <v/>
      </c>
      <c r="AK2" s="176" t="str">
        <f t="shared" ca="1" si="12"/>
        <v/>
      </c>
      <c r="AL2" s="176" t="str">
        <f t="shared" ca="1" si="13"/>
        <v/>
      </c>
      <c r="AM2" s="176" t="str">
        <f t="shared" ca="1" si="14"/>
        <v/>
      </c>
      <c r="AN2" s="176" t="str">
        <f t="shared" ca="1" si="15"/>
        <v/>
      </c>
      <c r="AO2" s="176" t="str">
        <f t="shared" ca="1" si="16"/>
        <v/>
      </c>
      <c r="AP2" s="176" t="str">
        <f t="shared" ca="1" si="17"/>
        <v/>
      </c>
      <c r="AU2" s="176" t="str">
        <f t="shared" ca="1" si="18"/>
        <v/>
      </c>
      <c r="AW2" s="106" t="str">
        <f ca="1">IFERROR(IF(AF2&lt;&gt;"",OFFSET('数出表_Excel（アレルギー入力）'!$A$1,MATCH(AF2,'数出表_Excel（アレルギー入力）'!A:A,0)-2,0),""),"")</f>
        <v/>
      </c>
      <c r="AX2" s="106" t="str">
        <f ca="1">IF(AW2&lt;&gt;"",
OFFSET(得意先マスタ!$A$1,MATCH(AW2,得意先マスタ!A:A,0)-1,24),"")</f>
        <v/>
      </c>
      <c r="AY2" s="57">
        <f t="shared" ref="AY2:AY65" ca="1" si="21">IF(AND(AX2&lt;&gt;0,AX2&lt;&gt;""),
IF(AW2=AW1,0,IF(COUNTIF(AX2,"*.*"),LEFT(AX2, FIND(".", AX2) - 1),VALUE(AX2))),0)</f>
        <v>0</v>
      </c>
      <c r="AZ2" s="57">
        <f t="shared" ref="AZ2:AZ18" ca="1" si="22">IF(AX2&lt;&gt;0,
IF(COUNTIF(AX2,"*.*"),
IF(COUNTIF(AX2,"*.*")=1,MID(AX2, FIND(".", AX2) + 1,LEN(AX2) - FIND(".", AX2)),
MID(AX2, FIND(".", AX2) + 1, FIND(".", AX2, FIND(".", AX2) + 1) - FIND(".", AX2) - 1)),0),0)</f>
        <v>0</v>
      </c>
      <c r="BA2" s="57">
        <f t="shared" ref="BA2:BA18" ca="1" si="23">IF(AX2&lt;&gt;0,
IF(COUNTIF(AX2,"*.*"),
IF(COUNTIF(AX2,"*.*")=1,"",RIGHT(AX2, LEN(AX2) - FIND(".", AX2, FIND(".", AX2) + 1))),0),0)</f>
        <v>0</v>
      </c>
      <c r="BB2" s="176">
        <f t="shared" ref="BB2:BB65" ca="1" si="24">IFERROR(SUM(AY2:BA2),0)</f>
        <v>0</v>
      </c>
    </row>
    <row r="3" spans="1:54" ht="22.2" customHeight="1">
      <c r="A3" s="101">
        <f t="shared" si="19"/>
        <v>11</v>
      </c>
      <c r="B3" s="45" t="str">
        <f t="shared" si="20"/>
        <v/>
      </c>
      <c r="C3" s="45" t="str">
        <f>IF(OR(クライアント抽出!B3&lt;&gt;"",クライアント抽出!E3&lt;&gt;""),クライアント抽出!A3,"")</f>
        <v/>
      </c>
      <c r="D3" s="45" t="str">
        <f t="array" aca="1" ref="D3" ca="1">IF(C3&lt;&gt;"",INDIRECT("クライアント抽出!"&amp;E3&amp;MATCH(C3,クライアント抽出!A:A,0)&amp;""),"")</f>
        <v/>
      </c>
      <c r="E3" s="45" t="str">
        <f>IF(H3&lt;&gt;0,
IFERROR(
SUBSTITUTE(ADDRESS(1,
MATCH(VALUE(H3),クライアント抽出!A3:G3,0)+8,4),"1",""),
""),
IFERROR(
SUBSTITUTE(ADDRESS(1,
MATCH(VALUE(I3),クライアント抽出!A3:G3,0)+8,4),"1",""),
""))</f>
        <v/>
      </c>
      <c r="F3" s="184" t="str">
        <f ca="1">IF(D3&lt;&gt;"",
IF(COUNTIF(C3,"*雙葉*"),
IF(ROUND((H3-M3)
/IF(COUNTIF(D3,"*キャラ*"),
VLOOKUP("*キャラ*",商品マスタ!$D:$E,2,FALSE),
IF(COUNTIF(D3,"*赤*"),
VLOOKUP("*赤*",商品マスタ!$D:$E,2,FALSE),
VLOOKUP("*"&amp;D3&amp;"*",商品マスタ!$D:$E,2,FALSE))),0)&lt;=0,1,
ROUND((H3-M3)
/IF(COUNTIF(D3,"*キャラ*"),
VLOOKUP("*キャラ*",商品マスタ!$D:$E,2,FALSE),
IF(COUNTIF(D3,"*赤*"),
VLOOKUP("*赤*",商品マスタ!$D:$E,2,FALSE),
VLOOKUP("*"&amp;D3&amp;"*",商品マスタ!$D:$E,2,FALSE))),0)),
IF(OR(COUNTIF(D3,"*キャラ*"),COUNTIF(D3,"*赤*")),"",
IF(VLOOKUP("*"&amp;D3&amp;"*",商品マスタ!$D:$E,2,FALSE)=0,"",
IF(ROUND((H3-M3)
/VLOOKUP("*"&amp;D3&amp;"*",商品マスタ!$D:$E,2,FALSE),0)&lt;=0,1,
ROUND((H3-M3)
/VLOOKUP("*"&amp;D3&amp;"*",商品マスタ!$D:$E,2,FALSE),0))))),"")</f>
        <v/>
      </c>
      <c r="G3" s="45" t="str">
        <f ca="1">IF(F3&lt;&gt;"",
IF(VALUE(H3-M3)&gt;VALUE(IF(COUNTIF(D3,"*キャラ*"),
VLOOKUP("*キャラ*",商品マスタ!$D:$E,2,FALSE),
IF(COUNTIF(D3,"*赤*"),
VLOOKUP("*赤*",商品マスタ!$D:$E,2,FALSE),
VLOOKUP("*"&amp;D3&amp;"*",商品マスタ!$D:$E,2,FALSE)))*F3),
"+"&amp;(H3-M3)-IF(COUNTIF(D3,"*キャラ*"),
VLOOKUP("*キャラ*",商品マスタ!$D:$E,2,FALSE),
IF(COUNTIF(D3,"*赤*"),
VLOOKUP("*赤*",商品マスタ!$D:$E,2,FALSE),
VLOOKUP("*"&amp;D3&amp;"*",商品マスタ!$D:$E,2,FALSE)))*F3,
(H3-M3)-IF(COUNTIF(D3,"*キャラ*"),
VLOOKUP("*キャラ*",商品マスタ!$D:$E,2,FALSE),
IF(COUNTIF(D3,"*赤*"),
VLOOKUP("*赤*",商品マスタ!$D:$E,2,FALSE),
VLOOKUP("*"&amp;D3&amp;"*",商品マスタ!$D:$E,2,FALSE)))*F3),"")</f>
        <v/>
      </c>
      <c r="H3" s="99" t="str">
        <f>IF(C3&lt;&gt;"",
クライアント抽出!B3,"")</f>
        <v/>
      </c>
      <c r="I3" s="45" t="str">
        <f t="array" aca="1" ref="I3" ca="1">IF(C3&lt;&gt;"",
IF(O3=1,
IF(SUMPRODUCT(COUNTIF(クライアント抽出!P3:U3,クライアント抽出!P3:U3))&gt;COUNTA(クライアント抽出!P3:U3),
IFERROR(INDIRECT("数出表_Excel!"&amp;INDEX(_xlfn.UNIQUE(_xlfn._xlws.FILTER(クライアント抽出!P3:U3,COUNTIF(クライアント抽出!P3:U3,クライアント抽出!P3:U3)&gt;1)),1)&amp;L3&amp;""),
クライアント抽出!E3),0),クライアント抽出!E3),"")</f>
        <v/>
      </c>
      <c r="J3" s="45" t="str">
        <f>IF(C3&lt;&gt;"",
VLOOKUP(
"*"&amp;LEFT(IF(COUNTIF(D3,"*学食*"),"キャラ弁（学食）",
IF(COUNTIF(D3,"*赤*"),"赤",
IF(COUNTIF(D3,"*キャラ弁当*"),"キャラ弁当",D3))),4)&amp;"*",注文弁当の抽出!$F$1:$G$15,2,FALSE),"")</f>
        <v/>
      </c>
      <c r="K3" s="45" t="str">
        <f ca="1">IF(クライアント抽出!P3&lt;&gt;"",SUBSTITUTE(ADDRESS(1,(CODE(クライアント抽出!P3)-64)*2-1,4),"1",""),"")</f>
        <v/>
      </c>
      <c r="L3" s="45" t="str">
        <f>IF(C3&lt;&gt;"",クライアント抽出!I3,"")</f>
        <v/>
      </c>
      <c r="M3" s="45">
        <f t="array" aca="1" ref="M3" ca="1">IF(C3&lt;&gt;"",
IF(K3&lt;&gt;"",INDIRECT("'数出表_Excel（アレルギー入力）'!"&amp;K3&amp;L3-1&amp;""),),)</f>
        <v>0</v>
      </c>
      <c r="N3" s="45" t="str">
        <f>IF(C3&lt;&gt;"",IF(OR(COUNTIF('盛付札（関数）'!D3,"*赤*"),COUNTIF('盛付札（関数）'!D3,"*キャラ*")),1,
VALUE(VLOOKUP("*"&amp;D3&amp;"*",商品マスタ!D:H,5,FALSE))),"")</f>
        <v/>
      </c>
      <c r="O3" s="45">
        <f ca="1">IF(LEN(クライアント抽出!V3)-LEN(SUBSTITUTE(クライアント抽出!V3,",",""))&lt;&gt;1,
IF(AND(クライアント抽出!P3&lt;&gt;"",クライアント抽出!S3&lt;&gt;""),
IF(クライアント抽出!P3&lt;&gt;クライアント抽出!S3,1,0),0),0)</f>
        <v>0</v>
      </c>
      <c r="P3" s="45">
        <f t="shared" si="0"/>
        <v>0</v>
      </c>
      <c r="Q3" s="45" t="b">
        <f t="shared" si="1"/>
        <v>0</v>
      </c>
      <c r="R3" s="122" t="str">
        <f t="array" aca="1" ref="R3" ca="1">IFERROR(SMALL(IF(P$1:P$311&lt;&gt;0,P$1:P$311),ROW(A3)),"")</f>
        <v/>
      </c>
      <c r="S3" s="122" t="str">
        <f t="array" aca="1" ref="S3" ca="1">IF($R3&lt;&gt;"",
SUBSTITUTE(SUBSTITUTE(INDIRECT("C"&amp;$R3&amp;"")," 週3ｺｰｽ","")," 週5ｺｰｽ",""),"")</f>
        <v/>
      </c>
      <c r="T3" s="122" t="str">
        <f t="array" aca="1" ref="T3" ca="1">IF(IF($R3&lt;&gt;"",
INDIRECT(""&amp;IF(COLUMN(D3)&lt;=26,CHAR(COLUMN(D3)+64),CHAR(INT((COLUMN(D3)-1)/26)+64)&amp;CHAR(MOD(COLUMN(D3)-1,26)+65))&amp;$R3&amp;""),"")=0,"",
IF($R3&lt;&gt;"",
INDIRECT(""&amp;IF(COLUMN(D3)&lt;=26,CHAR(COLUMN(D3)+64),CHAR(INT((COLUMN(D3)-1)/26)+64)&amp;CHAR(MOD(COLUMN(D3)-1,26)+65))&amp;$R3&amp;""),""))</f>
        <v/>
      </c>
      <c r="U3" s="185" t="str">
        <f t="array" aca="1" ref="U3" ca="1">IF($R3&lt;&gt;"",
INDIRECT("F"&amp;$R3&amp;""),"")</f>
        <v/>
      </c>
      <c r="V3" s="122" t="str">
        <f t="array" aca="1" ref="V3" ca="1">IF($R3&lt;&gt;"",
INDIRECT("G"&amp;$R3&amp;""),"")</f>
        <v/>
      </c>
      <c r="W3" s="122" t="str" cm="1">
        <f t="array" aca="1" ref="W3" ca="1">IF($R3&lt;&gt;"",
IF(AND(COUNTIF(INDIRECT("B"&amp;R3&amp;""),"*雙葉*"),COUNTIF($B$71:$B$210,"*雙葉*")&gt;=1),
IF(OR(COUNTIF(INDIRECT("B"&amp;R3&amp;""),"*雙葉先生*"),COUNTIF(INDIRECT("B"&amp;R3-1&amp;""),"*雙葉*")),INDIRECT("H"&amp;R3&amp;""),INDIRECT("H"&amp;R3&amp;"")+INDIRECT("H"&amp;MATCH("雙葉'",INDIRECT("B"&amp;R3+3&amp;":B210"),0)+2+R3&amp;"")),
IF(AND(LEFT(INDIRECT("B"&amp;R3&amp;""),2)="博多",COUNTIF(B:B,"*博多*")&gt;=2),
INDIRECT("H"&amp;R3&amp;"")+IFERROR(INDIRECT("H"&amp;MATCH("*"&amp;INDIRECT("B"&amp;R3&amp;"")&amp;"*",INDIRECT("B"&amp;R3+1&amp;":B210"),0)+R3&amp;""),0),
IF(AND(LEFT(INDIRECT("B"&amp;R3&amp;""),3)="奈良屋",COUNTIF(B:B,"*奈良屋*")&gt;=2),
INDIRECT("H"&amp;R3&amp;"")
+INDIRECT("H"&amp;MATCH("*"&amp;INDIRECT("B"&amp;R3&amp;"")&amp;"*",INDIRECT("B"&amp;R3+1&amp;":B210"),0)+R3&amp;"")
+INDIRECT("H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
+INDIRECT("H"&amp;MATCH("*"&amp;INDIRECT("B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&amp;"*",INDIRECT("B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+1&amp;":B210"),0)+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,
INDIRECT("H"&amp;R3&amp;"")))),"")</f>
        <v/>
      </c>
      <c r="X3" s="122" t="str">
        <f t="array" aca="1" ref="X3" ca="1">IF($R3&lt;&gt;"",
INDIRECT(""&amp;IF(COLUMN(I3)&lt;=26,CHAR(COLUMN(I3)+64),CHAR(INT((COLUMN(I3)-1)/26)+64)&amp;CHAR(MOD(COLUMN(I3)-1,26)+65))&amp;$R3&amp;""),"")</f>
        <v/>
      </c>
      <c r="Y3" s="122" t="str">
        <f t="array" aca="1" ref="Y3" ca="1">IF($R3&lt;&gt;"",
INDIRECT(""&amp;IF(COLUMN(J3)&lt;=26,CHAR(COLUMN(J3)+64),CHAR(INT((COLUMN(J3)-1)/26)+64)&amp;CHAR(MOD(COLUMN(J3)-1,26)+65))&amp;$R3&amp;""),"")</f>
        <v/>
      </c>
      <c r="Z3" s="122" t="str">
        <f t="shared" ca="1" si="2"/>
        <v/>
      </c>
      <c r="AA3" s="122" t="str">
        <f t="shared" ca="1" si="3"/>
        <v/>
      </c>
      <c r="AB3" s="122" t="str">
        <f t="array" aca="1" ref="AB3" ca="1">IF($R3&lt;&gt;"",
IF(AND(COUNTIF(INDIRECT("B"&amp;R3&amp;""),"*雙葉*"),COUNTIF(INDIRECT("B"&amp;R3&amp;""),"&lt;&gt;*先生*"),COUNTIF(B:B,"*雙葉*")&gt;=2),
INDIRECT("M"&amp;R3&amp;"")+INDIRECT("M"&amp;MATCH("雙葉'",INDIRECT("B"&amp;R3+1&amp;":B210"),0)+R3&amp;""),
IF(AND(LEFT(INDIRECT("B"&amp;R3&amp;""),2)="博多",COUNTIF(B:B,"*博多*")&gt;=2),
INDIRECT("M"&amp;R3&amp;"")+INDIRECT("M"&amp;MATCH("*"&amp;INDIRECT("B"&amp;R3&amp;"")&amp;"*",INDIRECT("B"&amp;R3+1&amp;":B210"),0)+R3&amp;""),
IF(AND(LEFT(INDIRECT("B"&amp;R3&amp;""),3)="奈良屋",COUNTIF(B:B,"*奈良屋*")&gt;=2),
INDIRECT("M"&amp;R3&amp;"")+INDIRECT("M"&amp;MATCH("*"&amp;INDIRECT("B"&amp;R3&amp;"")&amp;"*",INDIRECT("B"&amp;R3+1&amp;":B210"),0)+R3&amp;"")
+INDIRECT("M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,
INDIRECT("M"&amp;R3&amp;"")))),"")</f>
        <v/>
      </c>
      <c r="AC3" s="122" t="str">
        <f t="shared" ca="1" si="4"/>
        <v/>
      </c>
      <c r="AD3" s="176" t="str">
        <f t="shared" ca="1" si="5"/>
        <v/>
      </c>
      <c r="AE3" s="176" t="str">
        <f t="shared" ca="1" si="6"/>
        <v/>
      </c>
      <c r="AF3" s="176" t="str">
        <f t="shared" ca="1" si="7"/>
        <v/>
      </c>
      <c r="AG3" s="176" t="str">
        <f t="shared" ca="1" si="8"/>
        <v/>
      </c>
      <c r="AH3" s="183" t="str">
        <f t="shared" ca="1" si="9"/>
        <v/>
      </c>
      <c r="AI3" s="176" t="str">
        <f t="shared" ca="1" si="10"/>
        <v/>
      </c>
      <c r="AJ3" s="176" t="str">
        <f t="shared" ca="1" si="11"/>
        <v/>
      </c>
      <c r="AK3" s="176" t="str">
        <f t="shared" ca="1" si="12"/>
        <v/>
      </c>
      <c r="AL3" s="176" t="str">
        <f t="shared" ca="1" si="13"/>
        <v/>
      </c>
      <c r="AM3" s="176" t="str">
        <f t="shared" ca="1" si="14"/>
        <v/>
      </c>
      <c r="AN3" s="176" t="str">
        <f t="shared" ca="1" si="15"/>
        <v/>
      </c>
      <c r="AO3" s="176" t="str">
        <f t="shared" ca="1" si="16"/>
        <v/>
      </c>
      <c r="AP3" s="176" t="str">
        <f t="shared" ca="1" si="17"/>
        <v/>
      </c>
      <c r="AU3" s="176" t="str">
        <f t="shared" ca="1" si="18"/>
        <v/>
      </c>
      <c r="AW3" s="106" t="str">
        <f ca="1">IFERROR(IF(AF3&lt;&gt;"",OFFSET('数出表_Excel（アレルギー入力）'!$A$1,MATCH(AF3,'数出表_Excel（アレルギー入力）'!A:A,0)-2,0),""),"")</f>
        <v/>
      </c>
      <c r="AX3" s="106" t="str">
        <f ca="1">IF(AW3&lt;&gt;"",
OFFSET(得意先マスタ!$A$1,MATCH(AW3,得意先マスタ!A:A,0)-1,24),"")</f>
        <v/>
      </c>
      <c r="AY3" s="57">
        <f t="shared" ca="1" si="21"/>
        <v>0</v>
      </c>
      <c r="AZ3" s="57">
        <f t="shared" ca="1" si="22"/>
        <v>0</v>
      </c>
      <c r="BA3" s="57">
        <f t="shared" ca="1" si="23"/>
        <v>0</v>
      </c>
      <c r="BB3" s="176">
        <f t="shared" ca="1" si="24"/>
        <v>0</v>
      </c>
    </row>
    <row r="4" spans="1:54" ht="18" customHeight="1">
      <c r="A4" s="101">
        <f t="shared" si="19"/>
        <v>13</v>
      </c>
      <c r="B4" s="45" t="str">
        <f t="shared" si="20"/>
        <v/>
      </c>
      <c r="C4" s="45" t="str">
        <f>IF(OR(クライアント抽出!B4&lt;&gt;"",クライアント抽出!E4&lt;&gt;""),クライアント抽出!A4,"")</f>
        <v/>
      </c>
      <c r="D4" s="45" t="str">
        <f t="array" aca="1" ref="D4" ca="1">IF(C4&lt;&gt;"",INDIRECT("クライアント抽出!"&amp;E4&amp;MATCH(C4,クライアント抽出!A:A,0)&amp;""),"")</f>
        <v/>
      </c>
      <c r="E4" s="45" t="str">
        <f>IF(H4&lt;&gt;0,
IFERROR(
SUBSTITUTE(ADDRESS(1,
MATCH(VALUE(H4),クライアント抽出!A4:G4,0)+8,4),"1",""),
""),
IFERROR(
SUBSTITUTE(ADDRESS(1,
MATCH(VALUE(I4),クライアント抽出!A4:G4,0)+8,4),"1",""),
""))</f>
        <v/>
      </c>
      <c r="F4" s="184" t="str">
        <f ca="1">IF(D4&lt;&gt;"",
IF(COUNTIF(C4,"*雙葉*"),
IF(ROUND((H4-M4)
/IF(COUNTIF(D4,"*キャラ*"),
VLOOKUP("*キャラ*",商品マスタ!$D:$E,2,FALSE),
IF(COUNTIF(D4,"*赤*"),
VLOOKUP("*赤*",商品マスタ!$D:$E,2,FALSE),
VLOOKUP("*"&amp;D4&amp;"*",商品マスタ!$D:$E,2,FALSE))),0)&lt;=0,1,
ROUND((H4-M4)
/IF(COUNTIF(D4,"*キャラ*"),
VLOOKUP("*キャラ*",商品マスタ!$D:$E,2,FALSE),
IF(COUNTIF(D4,"*赤*"),
VLOOKUP("*赤*",商品マスタ!$D:$E,2,FALSE),
VLOOKUP("*"&amp;D4&amp;"*",商品マスタ!$D:$E,2,FALSE))),0)),
IF(OR(COUNTIF(D4,"*キャラ*"),COUNTIF(D4,"*赤*")),"",
IF(VLOOKUP("*"&amp;D4&amp;"*",商品マスタ!$D:$E,2,FALSE)=0,"",
IF(ROUND((H4-M4)
/VLOOKUP("*"&amp;D4&amp;"*",商品マスタ!$D:$E,2,FALSE),0)&lt;=0,1,
ROUND((H4-M4)
/VLOOKUP("*"&amp;D4&amp;"*",商品マスタ!$D:$E,2,FALSE),0))))),"")</f>
        <v/>
      </c>
      <c r="G4" s="45" t="str">
        <f ca="1">IF(F4&lt;&gt;"",
IF(VALUE(H4-M4)&gt;VALUE(IF(COUNTIF(D4,"*キャラ*"),
VLOOKUP("*キャラ*",商品マスタ!$D:$E,2,FALSE),
IF(COUNTIF(D4,"*赤*"),
VLOOKUP("*赤*",商品マスタ!$D:$E,2,FALSE),
VLOOKUP("*"&amp;D4&amp;"*",商品マスタ!$D:$E,2,FALSE)))*F4),
"+"&amp;(H4-M4)-IF(COUNTIF(D4,"*キャラ*"),
VLOOKUP("*キャラ*",商品マスタ!$D:$E,2,FALSE),
IF(COUNTIF(D4,"*赤*"),
VLOOKUP("*赤*",商品マスタ!$D:$E,2,FALSE),
VLOOKUP("*"&amp;D4&amp;"*",商品マスタ!$D:$E,2,FALSE)))*F4,
(H4-M4)-IF(COUNTIF(D4,"*キャラ*"),
VLOOKUP("*キャラ*",商品マスタ!$D:$E,2,FALSE),
IF(COUNTIF(D4,"*赤*"),
VLOOKUP("*赤*",商品マスタ!$D:$E,2,FALSE),
VLOOKUP("*"&amp;D4&amp;"*",商品マスタ!$D:$E,2,FALSE)))*F4),"")</f>
        <v/>
      </c>
      <c r="H4" s="99" t="str">
        <f>IF(C4&lt;&gt;"",
クライアント抽出!B4,"")</f>
        <v/>
      </c>
      <c r="I4" s="45" t="str">
        <f t="array" aca="1" ref="I4" ca="1">IF(C4&lt;&gt;"",
IF(O4=1,
IF(SUMPRODUCT(COUNTIF(クライアント抽出!P4:U4,クライアント抽出!P4:U4))&gt;COUNTA(クライアント抽出!P4:U4),
IFERROR(INDIRECT("数出表_Excel!"&amp;INDEX(_xlfn.UNIQUE(_xlfn._xlws.FILTER(クライアント抽出!P4:U4,COUNTIF(クライアント抽出!P4:U4,クライアント抽出!P4:U4)&gt;1)),1)&amp;L4&amp;""),
クライアント抽出!E4),0),クライアント抽出!E4),"")</f>
        <v/>
      </c>
      <c r="J4" s="45" t="str">
        <f>IF(C4&lt;&gt;"",
VLOOKUP(
"*"&amp;LEFT(IF(COUNTIF(D4,"*学食*"),"キャラ弁（学食）",
IF(COUNTIF(D4,"*赤*"),"赤",
IF(COUNTIF(D4,"*キャラ弁当*"),"キャラ弁当",D4))),4)&amp;"*",注文弁当の抽出!$F$1:$G$15,2,FALSE),"")</f>
        <v/>
      </c>
      <c r="K4" s="45" t="str">
        <f ca="1">IF(クライアント抽出!P4&lt;&gt;"",SUBSTITUTE(ADDRESS(1,(CODE(クライアント抽出!P4)-64)*2-1,4),"1",""),"")</f>
        <v/>
      </c>
      <c r="L4" s="45" t="str">
        <f>IF(C4&lt;&gt;"",クライアント抽出!I4,"")</f>
        <v/>
      </c>
      <c r="M4" s="45">
        <f t="array" aca="1" ref="M4" ca="1">IF(C4&lt;&gt;"",
IF(K4&lt;&gt;"",INDIRECT("'数出表_Excel（アレルギー入力）'!"&amp;K4&amp;L4-1&amp;""),),)</f>
        <v>0</v>
      </c>
      <c r="N4" s="45" t="str">
        <f>IF(C4&lt;&gt;"",IF(OR(COUNTIF('盛付札（関数）'!D4,"*赤*"),COUNTIF('盛付札（関数）'!D4,"*キャラ*")),1,
VALUE(VLOOKUP("*"&amp;D4&amp;"*",商品マスタ!D:H,5,FALSE))),"")</f>
        <v/>
      </c>
      <c r="O4" s="45">
        <f ca="1">IF(LEN(クライアント抽出!V4)-LEN(SUBSTITUTE(クライアント抽出!V4,",",""))&lt;&gt;1,
IF(AND(クライアント抽出!P4&lt;&gt;"",クライアント抽出!S4&lt;&gt;""),
IF(クライアント抽出!P4&lt;&gt;クライアント抽出!S4,1,0),0),0)</f>
        <v>0</v>
      </c>
      <c r="P4" s="45">
        <f>IF(COUNTIF(Q4,"TRUE"),
IF(OR(COUNTIF(B4,"*'*"),H4=0),0,ROW()),0)</f>
        <v>0</v>
      </c>
      <c r="Q4" s="45" t="b">
        <f>IF(C4&lt;&gt;"",
IF(OR(N4=1,COUNTIF(D4,"*朝食*"),COUNTIF(D4,"*夕食*")),TRUE,FALSE),FALSE)</f>
        <v>0</v>
      </c>
      <c r="R4" s="122" t="str" cm="1">
        <f t="array" aca="1" ref="R4" ca="1">IFERROR(SMALL(IF(P$1:P$311&lt;&gt;0,P$1:P$311),ROW(A4)),"")</f>
        <v/>
      </c>
      <c r="S4" s="122" t="str">
        <f t="array" aca="1" ref="S4" ca="1">IF($R4&lt;&gt;"",
SUBSTITUTE(SUBSTITUTE(INDIRECT("C"&amp;$R4&amp;"")," 週3ｺｰｽ","")," 週5ｺｰｽ",""),"")</f>
        <v/>
      </c>
      <c r="T4" s="122" t="str">
        <f t="array" aca="1" ref="T4" ca="1">IF(IF($R4&lt;&gt;"",
INDIRECT(""&amp;IF(COLUMN(D4)&lt;=26,CHAR(COLUMN(D4)+64),CHAR(INT((COLUMN(D4)-1)/26)+64)&amp;CHAR(MOD(COLUMN(D4)-1,26)+65))&amp;$R4&amp;""),"")=0,"",
IF($R4&lt;&gt;"",
INDIRECT(""&amp;IF(COLUMN(D4)&lt;=26,CHAR(COLUMN(D4)+64),CHAR(INT((COLUMN(D4)-1)/26)+64)&amp;CHAR(MOD(COLUMN(D4)-1,26)+65))&amp;$R4&amp;""),""))</f>
        <v/>
      </c>
      <c r="U4" s="185" t="str">
        <f t="array" aca="1" ref="U4" ca="1">IF($R4&lt;&gt;"",
INDIRECT("F"&amp;$R4&amp;""),"")</f>
        <v/>
      </c>
      <c r="V4" s="122" t="str">
        <f t="array" aca="1" ref="V4" ca="1">IF($R4&lt;&gt;"",
INDIRECT("G"&amp;$R4&amp;""),"")</f>
        <v/>
      </c>
      <c r="W4" s="122" t="str" cm="1">
        <f t="array" aca="1" ref="W4" ca="1">IF($R4&lt;&gt;"",
IF(AND(COUNTIF(INDIRECT("B"&amp;R4&amp;""),"*雙葉*"),COUNTIF($B$71:$B$210,"*雙葉*")&gt;=1),
IF(OR(COUNTIF(INDIRECT("B"&amp;R4&amp;""),"*雙葉先生*"),COUNTIF(INDIRECT("B"&amp;R4-1&amp;""),"*雙葉*")),INDIRECT("H"&amp;R4&amp;""),INDIRECT("H"&amp;R4&amp;"")+INDIRECT("H"&amp;MATCH("雙葉'",INDIRECT("B"&amp;R4+3&amp;":B210"),0)+2+R4&amp;"")),
IF(AND(LEFT(INDIRECT("B"&amp;R4&amp;""),2)="博多",COUNTIF(B:B,"*博多*")&gt;=2),
INDIRECT("H"&amp;R4&amp;"")+IFERROR(INDIRECT("H"&amp;MATCH("*"&amp;INDIRECT("B"&amp;R4&amp;"")&amp;"*",INDIRECT("B"&amp;R4+1&amp;":B210"),0)+R4&amp;""),0),
IF(AND(LEFT(INDIRECT("B"&amp;R4&amp;""),3)="奈良屋",COUNTIF(B:B,"*奈良屋*")&gt;=2),
INDIRECT("H"&amp;R4&amp;"")
+INDIRECT("H"&amp;MATCH("*"&amp;INDIRECT("B"&amp;R4&amp;"")&amp;"*",INDIRECT("B"&amp;R4+1&amp;":B210"),0)+R4&amp;"")
+INDIRECT("H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
+INDIRECT("H"&amp;MATCH("*"&amp;INDIRECT("B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&amp;"*",INDIRECT("B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+1&amp;":B210"),0)+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,
INDIRECT("H"&amp;R4&amp;"")))),"")</f>
        <v/>
      </c>
      <c r="X4" s="122" t="str">
        <f t="array" aca="1" ref="X4" ca="1">IF($R4&lt;&gt;"",
INDIRECT(""&amp;IF(COLUMN(I4)&lt;=26,CHAR(COLUMN(I4)+64),CHAR(INT((COLUMN(I4)-1)/26)+64)&amp;CHAR(MOD(COLUMN(I4)-1,26)+65))&amp;$R4&amp;""),"")</f>
        <v/>
      </c>
      <c r="Y4" s="122" t="str">
        <f t="array" aca="1" ref="Y4" ca="1">IF($R4&lt;&gt;"",
INDIRECT(""&amp;IF(COLUMN(J4)&lt;=26,CHAR(COLUMN(J4)+64),CHAR(INT((COLUMN(J4)-1)/26)+64)&amp;CHAR(MOD(COLUMN(J4)-1,26)+65))&amp;$R4&amp;""),"")</f>
        <v/>
      </c>
      <c r="Z4" s="122" t="str">
        <f t="shared" ca="1" si="2"/>
        <v/>
      </c>
      <c r="AA4" s="122" t="str">
        <f t="shared" ca="1" si="3"/>
        <v/>
      </c>
      <c r="AB4" s="122" t="str">
        <f t="array" aca="1" ref="AB4" ca="1">IF($R4&lt;&gt;"",
IF(AND(COUNTIF(INDIRECT("B"&amp;R4&amp;""),"*雙葉*"),COUNTIF(INDIRECT("B"&amp;R4&amp;""),"&lt;&gt;*先生*"),COUNTIF(B:B,"*雙葉*")&gt;=2),
INDIRECT("M"&amp;R4&amp;"")+INDIRECT("M"&amp;MATCH("雙葉'",INDIRECT("B"&amp;R4+1&amp;":B210"),0)+R4&amp;""),
IF(AND(LEFT(INDIRECT("B"&amp;R4&amp;""),2)="博多",COUNTIF(B:B,"*博多*")&gt;=2),
INDIRECT("M"&amp;R4&amp;"")+INDIRECT("M"&amp;MATCH("*"&amp;INDIRECT("B"&amp;R4&amp;"")&amp;"*",INDIRECT("B"&amp;R4+1&amp;":B210"),0)+R4&amp;""),
IF(AND(LEFT(INDIRECT("B"&amp;R4&amp;""),3)="奈良屋",COUNTIF(B:B,"*奈良屋*")&gt;=2),
INDIRECT("M"&amp;R4&amp;"")+INDIRECT("M"&amp;MATCH("*"&amp;INDIRECT("B"&amp;R4&amp;"")&amp;"*",INDIRECT("B"&amp;R4+1&amp;":B210"),0)+R4&amp;"")
+INDIRECT("M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,
INDIRECT("M"&amp;R4&amp;"")))),"")</f>
        <v/>
      </c>
      <c r="AC4" s="122" t="str">
        <f t="shared" ca="1" si="4"/>
        <v/>
      </c>
      <c r="AD4" s="176" t="str">
        <f t="shared" ca="1" si="5"/>
        <v/>
      </c>
      <c r="AE4" s="176" t="str">
        <f t="shared" ca="1" si="6"/>
        <v/>
      </c>
      <c r="AF4" s="176" t="str">
        <f t="shared" ca="1" si="7"/>
        <v/>
      </c>
      <c r="AG4" s="176" t="str">
        <f t="shared" ca="1" si="8"/>
        <v/>
      </c>
      <c r="AH4" s="183" t="str">
        <f t="shared" ca="1" si="9"/>
        <v/>
      </c>
      <c r="AI4" s="176" t="str">
        <f t="shared" ca="1" si="10"/>
        <v/>
      </c>
      <c r="AJ4" s="176" t="str">
        <f t="shared" ca="1" si="11"/>
        <v/>
      </c>
      <c r="AK4" s="176" t="str">
        <f t="shared" ca="1" si="12"/>
        <v/>
      </c>
      <c r="AL4" s="176" t="str">
        <f t="shared" ca="1" si="13"/>
        <v/>
      </c>
      <c r="AM4" s="176" t="str">
        <f t="shared" ca="1" si="14"/>
        <v/>
      </c>
      <c r="AN4" s="176" t="str">
        <f t="shared" ca="1" si="15"/>
        <v/>
      </c>
      <c r="AO4" s="176" t="str">
        <f t="shared" ca="1" si="16"/>
        <v/>
      </c>
      <c r="AP4" s="176" t="str">
        <f t="shared" ca="1" si="17"/>
        <v/>
      </c>
      <c r="AU4" s="176" t="str">
        <f t="shared" ca="1" si="18"/>
        <v/>
      </c>
      <c r="AW4" s="106" t="str">
        <f ca="1">IFERROR(IF(AF4&lt;&gt;"",OFFSET('数出表_Excel（アレルギー入力）'!$A$1,MATCH(AF4,'数出表_Excel（アレルギー入力）'!A:A,0)-2,0),""),"")</f>
        <v/>
      </c>
      <c r="AX4" s="106" t="str">
        <f ca="1">IF(AW4&lt;&gt;"",
OFFSET(得意先マスタ!$A$1,MATCH(AW4,得意先マスタ!A:A,0)-1,24),"")</f>
        <v/>
      </c>
      <c r="AY4" s="57">
        <f t="shared" ca="1" si="21"/>
        <v>0</v>
      </c>
      <c r="AZ4" s="57">
        <f t="shared" ca="1" si="22"/>
        <v>0</v>
      </c>
      <c r="BA4" s="57">
        <f t="shared" ca="1" si="23"/>
        <v>0</v>
      </c>
      <c r="BB4" s="176">
        <f t="shared" ca="1" si="24"/>
        <v>0</v>
      </c>
    </row>
    <row r="5" spans="1:54" ht="18" customHeight="1">
      <c r="A5" s="101">
        <f t="shared" si="19"/>
        <v>15</v>
      </c>
      <c r="B5" s="45" t="str">
        <f t="shared" si="20"/>
        <v/>
      </c>
      <c r="C5" s="45" t="str">
        <f>IF(OR(クライアント抽出!B5&lt;&gt;"",クライアント抽出!E5&lt;&gt;""),クライアント抽出!A5,"")</f>
        <v/>
      </c>
      <c r="D5" s="45" t="str">
        <f t="array" aca="1" ref="D5" ca="1">IF(C5&lt;&gt;"",INDIRECT("クライアント抽出!"&amp;E5&amp;MATCH(C5,クライアント抽出!A:A,0)&amp;""),"")</f>
        <v/>
      </c>
      <c r="E5" s="45" t="str">
        <f>IF(H5&lt;&gt;0,
IFERROR(
SUBSTITUTE(ADDRESS(1,
MATCH(VALUE(H5),クライアント抽出!A5:G5,0)+8,4),"1",""),
""),
IFERROR(
SUBSTITUTE(ADDRESS(1,
MATCH(VALUE(I5),クライアント抽出!A5:G5,0)+8,4),"1",""),
""))</f>
        <v/>
      </c>
      <c r="F5" s="184" t="str">
        <f ca="1">IF(D5&lt;&gt;"",
IF(COUNTIF(C5,"*雙葉*"),
IF(ROUND((H5-M5)
/IF(COUNTIF(D5,"*キャラ*"),
VLOOKUP("*キャラ*",商品マスタ!$D:$E,2,FALSE),
IF(COUNTIF(D5,"*赤*"),
VLOOKUP("*赤*",商品マスタ!$D:$E,2,FALSE),
VLOOKUP("*"&amp;D5&amp;"*",商品マスタ!$D:$E,2,FALSE))),0)&lt;=0,1,
ROUND((H5-M5)
/IF(COUNTIF(D5,"*キャラ*"),
VLOOKUP("*キャラ*",商品マスタ!$D:$E,2,FALSE),
IF(COUNTIF(D5,"*赤*"),
VLOOKUP("*赤*",商品マスタ!$D:$E,2,FALSE),
VLOOKUP("*"&amp;D5&amp;"*",商品マスタ!$D:$E,2,FALSE))),0)),
IF(OR(COUNTIF(D5,"*キャラ*"),COUNTIF(D5,"*赤*")),"",
IF(VLOOKUP("*"&amp;D5&amp;"*",商品マスタ!$D:$E,2,FALSE)=0,"",
IF(ROUND((H5-M5)
/VLOOKUP("*"&amp;D5&amp;"*",商品マスタ!$D:$E,2,FALSE),0)&lt;=0,1,
ROUND((H5-M5)
/VLOOKUP("*"&amp;D5&amp;"*",商品マスタ!$D:$E,2,FALSE),0))))),"")</f>
        <v/>
      </c>
      <c r="G5" s="45" t="str">
        <f ca="1">IF(F5&lt;&gt;"",
IF(VALUE(H5-M5)&gt;VALUE(IF(COUNTIF(D5,"*キャラ*"),
VLOOKUP("*キャラ*",商品マスタ!$D:$E,2,FALSE),
IF(COUNTIF(D5,"*赤*"),
VLOOKUP("*赤*",商品マスタ!$D:$E,2,FALSE),
VLOOKUP("*"&amp;D5&amp;"*",商品マスタ!$D:$E,2,FALSE)))*F5),
"+"&amp;(H5-M5)-IF(COUNTIF(D5,"*キャラ*"),
VLOOKUP("*キャラ*",商品マスタ!$D:$E,2,FALSE),
IF(COUNTIF(D5,"*赤*"),
VLOOKUP("*赤*",商品マスタ!$D:$E,2,FALSE),
VLOOKUP("*"&amp;D5&amp;"*",商品マスタ!$D:$E,2,FALSE)))*F5,
(H5-M5)-IF(COUNTIF(D5,"*キャラ*"),
VLOOKUP("*キャラ*",商品マスタ!$D:$E,2,FALSE),
IF(COUNTIF(D5,"*赤*"),
VLOOKUP("*赤*",商品マスタ!$D:$E,2,FALSE),
VLOOKUP("*"&amp;D5&amp;"*",商品マスタ!$D:$E,2,FALSE)))*F5),"")</f>
        <v/>
      </c>
      <c r="H5" s="99" t="str">
        <f>IF(C5&lt;&gt;"",
クライアント抽出!B5,"")</f>
        <v/>
      </c>
      <c r="I5" s="45" t="str">
        <f t="array" aca="1" ref="I5" ca="1">IF(C5&lt;&gt;"",
IF(O5=1,
IF(SUMPRODUCT(COUNTIF(クライアント抽出!P5:U5,クライアント抽出!P5:U5))&gt;COUNTA(クライアント抽出!P5:U5),
IFERROR(INDIRECT("数出表_Excel!"&amp;INDEX(_xlfn.UNIQUE(_xlfn._xlws.FILTER(クライアント抽出!P5:U5,COUNTIF(クライアント抽出!P5:U5,クライアント抽出!P5:U5)&gt;1)),1)&amp;L5&amp;""),
クライアント抽出!E5),0),クライアント抽出!E5),"")</f>
        <v/>
      </c>
      <c r="J5" s="45" t="str">
        <f>IF(C5&lt;&gt;"",
VLOOKUP(
"*"&amp;LEFT(IF(COUNTIF(D5,"*学食*"),"キャラ弁（学食）",
IF(COUNTIF(D5,"*赤*"),"赤",
IF(COUNTIF(D5,"*キャラ弁当*"),"キャラ弁当",D5))),4)&amp;"*",注文弁当の抽出!$F$1:$G$15,2,FALSE),"")</f>
        <v/>
      </c>
      <c r="K5" s="45" t="str">
        <f ca="1">IF(クライアント抽出!P5&lt;&gt;"",SUBSTITUTE(ADDRESS(1,(CODE(クライアント抽出!P5)-64)*2-1,4),"1",""),"")</f>
        <v/>
      </c>
      <c r="L5" s="45" t="str">
        <f>IF(C5&lt;&gt;"",クライアント抽出!I5,"")</f>
        <v/>
      </c>
      <c r="M5" s="45">
        <f t="array" aca="1" ref="M5" ca="1">IF(C5&lt;&gt;"",
IF(K5&lt;&gt;"",INDIRECT("'数出表_Excel（アレルギー入力）'!"&amp;K5&amp;L5-1&amp;""),),)</f>
        <v>0</v>
      </c>
      <c r="N5" s="45" t="str">
        <f>IF(C5&lt;&gt;"",IF(OR(COUNTIF('盛付札（関数）'!D5,"*赤*"),COUNTIF('盛付札（関数）'!D5,"*キャラ*")),1,
VALUE(VLOOKUP("*"&amp;D5&amp;"*",商品マスタ!D:H,5,FALSE))),"")</f>
        <v/>
      </c>
      <c r="O5" s="45">
        <f ca="1">IF(LEN(クライアント抽出!V5)-LEN(SUBSTITUTE(クライアント抽出!V5,",",""))&lt;&gt;1,
IF(AND(クライアント抽出!P5&lt;&gt;"",クライアント抽出!S5&lt;&gt;""),
IF(クライアント抽出!P5&lt;&gt;クライアント抽出!S5,1,0),0),0)</f>
        <v>0</v>
      </c>
      <c r="P5" s="45">
        <f t="shared" si="0"/>
        <v>0</v>
      </c>
      <c r="Q5" s="45" t="b">
        <f t="shared" si="1"/>
        <v>0</v>
      </c>
      <c r="R5" s="122" t="str">
        <f t="array" aca="1" ref="R5" ca="1">IFERROR(SMALL(IF(P$1:P$311&lt;&gt;0,P$1:P$311),ROW(A5)),"")</f>
        <v/>
      </c>
      <c r="S5" s="122" t="str">
        <f t="array" aca="1" ref="S5" ca="1">IF($R5&lt;&gt;"",
SUBSTITUTE(SUBSTITUTE(INDIRECT("C"&amp;$R5&amp;"")," 週3ｺｰｽ","")," 週5ｺｰｽ",""),"")</f>
        <v/>
      </c>
      <c r="T5" s="122" t="str">
        <f t="array" aca="1" ref="T5" ca="1">IF(IF($R5&lt;&gt;"",
INDIRECT(""&amp;IF(COLUMN(D5)&lt;=26,CHAR(COLUMN(D5)+64),CHAR(INT((COLUMN(D5)-1)/26)+64)&amp;CHAR(MOD(COLUMN(D5)-1,26)+65))&amp;$R5&amp;""),"")=0,"",
IF($R5&lt;&gt;"",
INDIRECT(""&amp;IF(COLUMN(D5)&lt;=26,CHAR(COLUMN(D5)+64),CHAR(INT((COLUMN(D5)-1)/26)+64)&amp;CHAR(MOD(COLUMN(D5)-1,26)+65))&amp;$R5&amp;""),""))</f>
        <v/>
      </c>
      <c r="U5" s="185" t="str">
        <f t="array" aca="1" ref="U5" ca="1">IF($R5&lt;&gt;"",
INDIRECT("F"&amp;$R5&amp;""),"")</f>
        <v/>
      </c>
      <c r="V5" s="122" t="str">
        <f t="array" aca="1" ref="V5" ca="1">IF($R5&lt;&gt;"",
INDIRECT("G"&amp;$R5&amp;""),"")</f>
        <v/>
      </c>
      <c r="W5" s="122" t="str" cm="1">
        <f t="array" aca="1" ref="W5" ca="1">IF($R5&lt;&gt;"",
IF(AND(COUNTIF(INDIRECT("B"&amp;R5&amp;""),"*雙葉*"),COUNTIF($B$71:$B$210,"*雙葉*")&gt;=1),
IF(OR(COUNTIF(INDIRECT("B"&amp;R5&amp;""),"*雙葉先生*"),COUNTIF(INDIRECT("B"&amp;R5-1&amp;""),"*雙葉*")),INDIRECT("H"&amp;R5&amp;""),INDIRECT("H"&amp;R5&amp;"")+INDIRECT("H"&amp;MATCH("雙葉'",INDIRECT("B"&amp;R5+3&amp;":B210"),0)+2+R5&amp;"")),
IF(AND(LEFT(INDIRECT("B"&amp;R5&amp;""),2)="博多",COUNTIF(B:B,"*博多*")&gt;=2),
INDIRECT("H"&amp;R5&amp;"")+IFERROR(INDIRECT("H"&amp;MATCH("*"&amp;INDIRECT("B"&amp;R5&amp;"")&amp;"*",INDIRECT("B"&amp;R5+1&amp;":B210"),0)+R5&amp;""),0),
IF(AND(LEFT(INDIRECT("B"&amp;R5&amp;""),3)="奈良屋",COUNTIF(B:B,"*奈良屋*")&gt;=2),
INDIRECT("H"&amp;R5&amp;"")
+INDIRECT("H"&amp;MATCH("*"&amp;INDIRECT("B"&amp;R5&amp;"")&amp;"*",INDIRECT("B"&amp;R5+1&amp;":B210"),0)+R5&amp;"")
+INDIRECT("H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
+INDIRECT("H"&amp;MATCH("*"&amp;INDIRECT("B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&amp;"*",INDIRECT("B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+1&amp;":B210"),0)+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,
INDIRECT("H"&amp;R5&amp;"")))),"")</f>
        <v/>
      </c>
      <c r="X5" s="122" t="str">
        <f t="array" aca="1" ref="X5" ca="1">IF($R5&lt;&gt;"",
INDIRECT(""&amp;IF(COLUMN(I5)&lt;=26,CHAR(COLUMN(I5)+64),CHAR(INT((COLUMN(I5)-1)/26)+64)&amp;CHAR(MOD(COLUMN(I5)-1,26)+65))&amp;$R5&amp;""),"")</f>
        <v/>
      </c>
      <c r="Y5" s="122" t="str">
        <f t="array" aca="1" ref="Y5" ca="1">IF($R5&lt;&gt;"",
INDIRECT(""&amp;IF(COLUMN(J5)&lt;=26,CHAR(COLUMN(J5)+64),CHAR(INT((COLUMN(J5)-1)/26)+64)&amp;CHAR(MOD(COLUMN(J5)-1,26)+65))&amp;$R5&amp;""),"")</f>
        <v/>
      </c>
      <c r="Z5" s="122" t="str">
        <f t="shared" ca="1" si="2"/>
        <v/>
      </c>
      <c r="AA5" s="122" t="str">
        <f t="shared" ca="1" si="3"/>
        <v/>
      </c>
      <c r="AB5" s="122" t="str">
        <f t="array" aca="1" ref="AB5" ca="1">IF($R5&lt;&gt;"",
IF(AND(COUNTIF(INDIRECT("B"&amp;R5&amp;""),"*雙葉*"),COUNTIF(INDIRECT("B"&amp;R5&amp;""),"&lt;&gt;*先生*"),COUNTIF(B:B,"*雙葉*")&gt;=2),
INDIRECT("M"&amp;R5&amp;"")+INDIRECT("M"&amp;MATCH("雙葉'",INDIRECT("B"&amp;R5+1&amp;":B210"),0)+R5&amp;""),
IF(AND(LEFT(INDIRECT("B"&amp;R5&amp;""),2)="博多",COUNTIF(B:B,"*博多*")&gt;=2),
INDIRECT("M"&amp;R5&amp;"")+INDIRECT("M"&amp;MATCH("*"&amp;INDIRECT("B"&amp;R5&amp;"")&amp;"*",INDIRECT("B"&amp;R5+1&amp;":B210"),0)+R5&amp;""),
IF(AND(LEFT(INDIRECT("B"&amp;R5&amp;""),3)="奈良屋",COUNTIF(B:B,"*奈良屋*")&gt;=2),
INDIRECT("M"&amp;R5&amp;"")+INDIRECT("M"&amp;MATCH("*"&amp;INDIRECT("B"&amp;R5&amp;"")&amp;"*",INDIRECT("B"&amp;R5+1&amp;":B210"),0)+R5&amp;"")
+INDIRECT("M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,
INDIRECT("M"&amp;R5&amp;"")))),"")</f>
        <v/>
      </c>
      <c r="AC5" s="122" t="str">
        <f t="shared" ca="1" si="4"/>
        <v/>
      </c>
      <c r="AD5" s="176" t="str">
        <f t="shared" ca="1" si="5"/>
        <v/>
      </c>
      <c r="AE5" s="176" t="str">
        <f t="shared" ca="1" si="6"/>
        <v/>
      </c>
      <c r="AF5" s="176" t="str">
        <f t="shared" ca="1" si="7"/>
        <v/>
      </c>
      <c r="AG5" s="176" t="str">
        <f t="shared" ca="1" si="8"/>
        <v/>
      </c>
      <c r="AH5" s="183" t="str">
        <f t="shared" ca="1" si="9"/>
        <v/>
      </c>
      <c r="AI5" s="176" t="str">
        <f t="shared" ca="1" si="10"/>
        <v/>
      </c>
      <c r="AJ5" s="176" t="str">
        <f t="shared" ca="1" si="11"/>
        <v/>
      </c>
      <c r="AK5" s="176" t="str">
        <f t="shared" ca="1" si="12"/>
        <v/>
      </c>
      <c r="AL5" s="176" t="str">
        <f t="shared" ca="1" si="13"/>
        <v/>
      </c>
      <c r="AM5" s="176" t="str">
        <f t="shared" ca="1" si="14"/>
        <v/>
      </c>
      <c r="AN5" s="176" t="str">
        <f t="shared" ca="1" si="15"/>
        <v/>
      </c>
      <c r="AO5" s="176" t="str">
        <f t="shared" ca="1" si="16"/>
        <v/>
      </c>
      <c r="AP5" s="176" t="str">
        <f t="shared" ca="1" si="17"/>
        <v/>
      </c>
      <c r="AU5" s="176" t="str">
        <f t="shared" ca="1" si="18"/>
        <v/>
      </c>
      <c r="AW5" s="106" t="str">
        <f ca="1">IFERROR(IF(AF5&lt;&gt;"",OFFSET('数出表_Excel（アレルギー入力）'!$A$1,MATCH(AF5,'数出表_Excel（アレルギー入力）'!A:A,0)-2,0),""),"")</f>
        <v/>
      </c>
      <c r="AX5" s="106" t="str">
        <f ca="1">IF(AW5&lt;&gt;"",
OFFSET(得意先マスタ!$A$1,MATCH(AW5,得意先マスタ!A:A,0)-1,24),"")</f>
        <v/>
      </c>
      <c r="AY5" s="57">
        <f t="shared" ca="1" si="21"/>
        <v>0</v>
      </c>
      <c r="AZ5" s="57">
        <f t="shared" ca="1" si="22"/>
        <v>0</v>
      </c>
      <c r="BA5" s="57">
        <f t="shared" ca="1" si="23"/>
        <v>0</v>
      </c>
      <c r="BB5" s="176">
        <f t="shared" ca="1" si="24"/>
        <v>0</v>
      </c>
    </row>
    <row r="6" spans="1:54" ht="22.2" customHeight="1">
      <c r="A6" s="101">
        <f t="shared" si="19"/>
        <v>17</v>
      </c>
      <c r="B6" s="45" t="str">
        <f t="shared" si="20"/>
        <v/>
      </c>
      <c r="C6" s="45" t="str">
        <f>IF(OR(クライアント抽出!B6&lt;&gt;"",クライアント抽出!E6&lt;&gt;""),クライアント抽出!A6,"")</f>
        <v/>
      </c>
      <c r="D6" s="45" t="str">
        <f t="array" aca="1" ref="D6" ca="1">IF(C6&lt;&gt;"",INDIRECT("クライアント抽出!"&amp;E6&amp;MATCH(C6,クライアント抽出!A:A,0)&amp;""),"")</f>
        <v/>
      </c>
      <c r="E6" s="45" t="str">
        <f>IF(H6&lt;&gt;0,
IFERROR(
SUBSTITUTE(ADDRESS(1,
MATCH(VALUE(H6),クライアント抽出!A6:G6,0)+8,4),"1",""),
""),
IFERROR(
SUBSTITUTE(ADDRESS(1,
MATCH(VALUE(I6),クライアント抽出!A6:G6,0)+8,4),"1",""),
""))</f>
        <v/>
      </c>
      <c r="F6" s="184" t="str">
        <f ca="1">IF(D6&lt;&gt;"",
IF(COUNTIF(C6,"*雙葉*"),
IF(ROUND((H6-M6)
/IF(COUNTIF(D6,"*キャラ*"),
VLOOKUP("*キャラ*",商品マスタ!$D:$E,2,FALSE),
IF(COUNTIF(D6,"*赤*"),
VLOOKUP("*赤*",商品マスタ!$D:$E,2,FALSE),
VLOOKUP("*"&amp;D6&amp;"*",商品マスタ!$D:$E,2,FALSE))),0)&lt;=0,1,
ROUND((H6-M6)
/IF(COUNTIF(D6,"*キャラ*"),
VLOOKUP("*キャラ*",商品マスタ!$D:$E,2,FALSE),
IF(COUNTIF(D6,"*赤*"),
VLOOKUP("*赤*",商品マスタ!$D:$E,2,FALSE),
VLOOKUP("*"&amp;D6&amp;"*",商品マスタ!$D:$E,2,FALSE))),0)),
IF(OR(COUNTIF(D6,"*キャラ*"),COUNTIF(D6,"*赤*")),"",
IF(VLOOKUP("*"&amp;D6&amp;"*",商品マスタ!$D:$E,2,FALSE)=0,"",
IF(ROUND((H6-M6)
/VLOOKUP("*"&amp;D6&amp;"*",商品マスタ!$D:$E,2,FALSE),0)&lt;=0,1,
ROUND((H6-M6)
/VLOOKUP("*"&amp;D6&amp;"*",商品マスタ!$D:$E,2,FALSE),0))))),"")</f>
        <v/>
      </c>
      <c r="G6" s="45" t="str">
        <f ca="1">IF(F6&lt;&gt;"",
IF(VALUE(H6-M6)&gt;VALUE(IF(COUNTIF(D6,"*キャラ*"),
VLOOKUP("*キャラ*",商品マスタ!$D:$E,2,FALSE),
IF(COUNTIF(D6,"*赤*"),
VLOOKUP("*赤*",商品マスタ!$D:$E,2,FALSE),
VLOOKUP("*"&amp;D6&amp;"*",商品マスタ!$D:$E,2,FALSE)))*F6),
"+"&amp;(H6-M6)-IF(COUNTIF(D6,"*キャラ*"),
VLOOKUP("*キャラ*",商品マスタ!$D:$E,2,FALSE),
IF(COUNTIF(D6,"*赤*"),
VLOOKUP("*赤*",商品マスタ!$D:$E,2,FALSE),
VLOOKUP("*"&amp;D6&amp;"*",商品マスタ!$D:$E,2,FALSE)))*F6,
(H6-M6)-IF(COUNTIF(D6,"*キャラ*"),
VLOOKUP("*キャラ*",商品マスタ!$D:$E,2,FALSE),
IF(COUNTIF(D6,"*赤*"),
VLOOKUP("*赤*",商品マスタ!$D:$E,2,FALSE),
VLOOKUP("*"&amp;D6&amp;"*",商品マスタ!$D:$E,2,FALSE)))*F6),"")</f>
        <v/>
      </c>
      <c r="H6" s="99" t="str">
        <f>IF(C6&lt;&gt;"",
クライアント抽出!B6,"")</f>
        <v/>
      </c>
      <c r="I6" s="45" t="str">
        <f t="array" aca="1" ref="I6" ca="1">IF(C6&lt;&gt;"",
IF(O6=1,
IF(SUMPRODUCT(COUNTIF(クライアント抽出!P6:U6,クライアント抽出!P6:U6))&gt;COUNTA(クライアント抽出!P6:U6),
IFERROR(INDIRECT("数出表_Excel!"&amp;INDEX(_xlfn.UNIQUE(_xlfn._xlws.FILTER(クライアント抽出!P6:U6,COUNTIF(クライアント抽出!P6:U6,クライアント抽出!P6:U6)&gt;1)),1)&amp;L6&amp;""),
クライアント抽出!E6),0),クライアント抽出!E6),"")</f>
        <v/>
      </c>
      <c r="J6" s="45" t="str">
        <f>IF(C6&lt;&gt;"",
VLOOKUP(
"*"&amp;LEFT(IF(COUNTIF(D6,"*学食*"),"キャラ弁（学食）",
IF(COUNTIF(D6,"*赤*"),"赤",
IF(COUNTIF(D6,"*キャラ弁当*"),"キャラ弁当",D6))),4)&amp;"*",注文弁当の抽出!$F$1:$G$15,2,FALSE),"")</f>
        <v/>
      </c>
      <c r="K6" s="45" t="str">
        <f ca="1">IF(クライアント抽出!P6&lt;&gt;"",SUBSTITUTE(ADDRESS(1,(CODE(クライアント抽出!P6)-64)*2-1,4),"1",""),"")</f>
        <v/>
      </c>
      <c r="L6" s="45" t="str">
        <f>IF(C6&lt;&gt;"",クライアント抽出!I6,"")</f>
        <v/>
      </c>
      <c r="M6" s="45">
        <f t="array" aca="1" ref="M6" ca="1">IF(C6&lt;&gt;"",
IF(K6&lt;&gt;"",INDIRECT("'数出表_Excel（アレルギー入力）'!"&amp;K6&amp;L6-1&amp;""),),)</f>
        <v>0</v>
      </c>
      <c r="N6" s="45" t="str">
        <f>IF(C6&lt;&gt;"",IF(OR(COUNTIF('盛付札（関数）'!D6,"*赤*"),COUNTIF('盛付札（関数）'!D6,"*キャラ*")),1,
VALUE(VLOOKUP("*"&amp;D6&amp;"*",商品マスタ!D:H,5,FALSE))),"")</f>
        <v/>
      </c>
      <c r="O6" s="45">
        <f ca="1">IF(LEN(クライアント抽出!V6)-LEN(SUBSTITUTE(クライアント抽出!V6,",",""))&lt;&gt;1,
IF(AND(クライアント抽出!P6&lt;&gt;"",クライアント抽出!S6&lt;&gt;""),
IF(クライアント抽出!P6&lt;&gt;クライアント抽出!S6,1,0),0),0)</f>
        <v>0</v>
      </c>
      <c r="P6" s="45">
        <f t="shared" si="0"/>
        <v>0</v>
      </c>
      <c r="Q6" s="45" t="b">
        <f t="shared" si="1"/>
        <v>0</v>
      </c>
      <c r="R6" s="122" t="str">
        <f t="array" aca="1" ref="R6" ca="1">IFERROR(SMALL(IF(P$1:P$311&lt;&gt;0,P$1:P$311),ROW(A6)),"")</f>
        <v/>
      </c>
      <c r="S6" s="122" t="str">
        <f t="array" aca="1" ref="S6" ca="1">IF($R6&lt;&gt;"",
SUBSTITUTE(SUBSTITUTE(INDIRECT("C"&amp;$R6&amp;"")," 週3ｺｰｽ","")," 週5ｺｰｽ",""),"")</f>
        <v/>
      </c>
      <c r="T6" s="122" t="str">
        <f t="array" aca="1" ref="T6" ca="1">IF(IF($R6&lt;&gt;"",
INDIRECT(""&amp;IF(COLUMN(D6)&lt;=26,CHAR(COLUMN(D6)+64),CHAR(INT((COLUMN(D6)-1)/26)+64)&amp;CHAR(MOD(COLUMN(D6)-1,26)+65))&amp;$R6&amp;""),"")=0,"",
IF($R6&lt;&gt;"",
INDIRECT(""&amp;IF(COLUMN(D6)&lt;=26,CHAR(COLUMN(D6)+64),CHAR(INT((COLUMN(D6)-1)/26)+64)&amp;CHAR(MOD(COLUMN(D6)-1,26)+65))&amp;$R6&amp;""),""))</f>
        <v/>
      </c>
      <c r="U6" s="185" t="str">
        <f t="array" aca="1" ref="U6" ca="1">IF($R6&lt;&gt;"",
INDIRECT("F"&amp;$R6&amp;""),"")</f>
        <v/>
      </c>
      <c r="V6" s="122" t="str">
        <f t="array" aca="1" ref="V6" ca="1">IF($R6&lt;&gt;"",
INDIRECT("G"&amp;$R6&amp;""),"")</f>
        <v/>
      </c>
      <c r="W6" s="122" t="str" cm="1">
        <f t="array" aca="1" ref="W6" ca="1">IF($R6&lt;&gt;"",
IF(AND(COUNTIF(INDIRECT("B"&amp;R6&amp;""),"*雙葉*"),COUNTIF($B$71:$B$210,"*雙葉*")&gt;=1),
IF(OR(COUNTIF(INDIRECT("B"&amp;R6&amp;""),"*雙葉先生*"),COUNTIF(INDIRECT("B"&amp;R6-1&amp;""),"*雙葉*")),INDIRECT("H"&amp;R6&amp;""),INDIRECT("H"&amp;R6&amp;"")+INDIRECT("H"&amp;MATCH("雙葉'",INDIRECT("B"&amp;R6+3&amp;":B210"),0)+2+R6&amp;"")),
IF(AND(LEFT(INDIRECT("B"&amp;R6&amp;""),2)="博多",COUNTIF(B:B,"*博多*")&gt;=2),
INDIRECT("H"&amp;R6&amp;"")+IFERROR(INDIRECT("H"&amp;MATCH("*"&amp;INDIRECT("B"&amp;R6&amp;"")&amp;"*",INDIRECT("B"&amp;R6+1&amp;":B210"),0)+R6&amp;""),0),
IF(AND(LEFT(INDIRECT("B"&amp;R6&amp;""),3)="奈良屋",COUNTIF(B:B,"*奈良屋*")&gt;=2),
INDIRECT("H"&amp;R6&amp;"")
+INDIRECT("H"&amp;MATCH("*"&amp;INDIRECT("B"&amp;R6&amp;"")&amp;"*",INDIRECT("B"&amp;R6+1&amp;":B210"),0)+R6&amp;"")
+INDIRECT("H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
+INDIRECT("H"&amp;MATCH("*"&amp;INDIRECT("B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&amp;"*",INDIRECT("B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+1&amp;":B210"),0)+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,
INDIRECT("H"&amp;R6&amp;"")))),"")</f>
        <v/>
      </c>
      <c r="X6" s="122" t="str">
        <f t="array" aca="1" ref="X6" ca="1">IF($R6&lt;&gt;"",
INDIRECT(""&amp;IF(COLUMN(I6)&lt;=26,CHAR(COLUMN(I6)+64),CHAR(INT((COLUMN(I6)-1)/26)+64)&amp;CHAR(MOD(COLUMN(I6)-1,26)+65))&amp;$R6&amp;""),"")</f>
        <v/>
      </c>
      <c r="Y6" s="122" t="str">
        <f t="array" aca="1" ref="Y6" ca="1">IF($R6&lt;&gt;"",
INDIRECT(""&amp;IF(COLUMN(J6)&lt;=26,CHAR(COLUMN(J6)+64),CHAR(INT((COLUMN(J6)-1)/26)+64)&amp;CHAR(MOD(COLUMN(J6)-1,26)+65))&amp;$R6&amp;""),"")</f>
        <v/>
      </c>
      <c r="Z6" s="122" t="str">
        <f t="shared" ca="1" si="2"/>
        <v/>
      </c>
      <c r="AA6" s="122" t="str">
        <f t="shared" ca="1" si="3"/>
        <v/>
      </c>
      <c r="AB6" s="122" t="str">
        <f t="array" aca="1" ref="AB6" ca="1">IF($R6&lt;&gt;"",
IF(AND(COUNTIF(INDIRECT("B"&amp;R6&amp;""),"*雙葉*"),COUNTIF(INDIRECT("B"&amp;R6&amp;""),"&lt;&gt;*先生*"),COUNTIF(B:B,"*雙葉*")&gt;=2),
INDIRECT("M"&amp;R6&amp;"")+INDIRECT("M"&amp;MATCH("雙葉'",INDIRECT("B"&amp;R6+1&amp;":B210"),0)+R6&amp;""),
IF(AND(LEFT(INDIRECT("B"&amp;R6&amp;""),2)="博多",COUNTIF(B:B,"*博多*")&gt;=2),
INDIRECT("M"&amp;R6&amp;"")+INDIRECT("M"&amp;MATCH("*"&amp;INDIRECT("B"&amp;R6&amp;"")&amp;"*",INDIRECT("B"&amp;R6+1&amp;":B210"),0)+R6&amp;""),
IF(AND(LEFT(INDIRECT("B"&amp;R6&amp;""),3)="奈良屋",COUNTIF(B:B,"*奈良屋*")&gt;=2),
INDIRECT("M"&amp;R6&amp;"")+INDIRECT("M"&amp;MATCH("*"&amp;INDIRECT("B"&amp;R6&amp;"")&amp;"*",INDIRECT("B"&amp;R6+1&amp;":B210"),0)+R6&amp;"")
+INDIRECT("M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,
INDIRECT("M"&amp;R6&amp;"")))),"")</f>
        <v/>
      </c>
      <c r="AC6" s="122" t="str">
        <f t="shared" ca="1" si="4"/>
        <v/>
      </c>
      <c r="AD6" s="176" t="str">
        <f t="shared" ca="1" si="5"/>
        <v/>
      </c>
      <c r="AE6" s="176" t="str">
        <f t="shared" ca="1" si="6"/>
        <v/>
      </c>
      <c r="AF6" s="176" t="str">
        <f t="shared" ca="1" si="7"/>
        <v/>
      </c>
      <c r="AG6" s="176" t="str">
        <f t="shared" ca="1" si="8"/>
        <v/>
      </c>
      <c r="AH6" s="183" t="str">
        <f t="shared" ca="1" si="9"/>
        <v/>
      </c>
      <c r="AI6" s="176" t="str">
        <f t="shared" ca="1" si="10"/>
        <v/>
      </c>
      <c r="AJ6" s="176" t="str">
        <f t="shared" ca="1" si="11"/>
        <v/>
      </c>
      <c r="AK6" s="176" t="str">
        <f t="shared" ca="1" si="12"/>
        <v/>
      </c>
      <c r="AL6" s="176" t="str">
        <f t="shared" ca="1" si="13"/>
        <v/>
      </c>
      <c r="AM6" s="176" t="str">
        <f t="shared" ca="1" si="14"/>
        <v/>
      </c>
      <c r="AN6" s="176" t="str">
        <f t="shared" ca="1" si="15"/>
        <v/>
      </c>
      <c r="AO6" s="176" t="str">
        <f t="shared" ca="1" si="16"/>
        <v/>
      </c>
      <c r="AP6" s="176" t="str">
        <f t="shared" ca="1" si="17"/>
        <v/>
      </c>
      <c r="AU6" s="176" t="str">
        <f t="shared" ca="1" si="18"/>
        <v/>
      </c>
      <c r="AW6" s="106" t="str">
        <f ca="1">IFERROR(IF(AF6&lt;&gt;"",OFFSET('数出表_Excel（アレルギー入力）'!$A$1,MATCH(AF6,'数出表_Excel（アレルギー入力）'!A:A,0)-2,0),""),"")</f>
        <v/>
      </c>
      <c r="AX6" s="106" t="str">
        <f ca="1">IF(AW6&lt;&gt;"",
OFFSET(得意先マスタ!$A$1,MATCH(AW6,得意先マスタ!A:A,0)-1,24),"")</f>
        <v/>
      </c>
      <c r="AY6" s="57">
        <f t="shared" ca="1" si="21"/>
        <v>0</v>
      </c>
      <c r="AZ6" s="57">
        <f t="shared" ca="1" si="22"/>
        <v>0</v>
      </c>
      <c r="BA6" s="57">
        <f t="shared" ca="1" si="23"/>
        <v>0</v>
      </c>
      <c r="BB6" s="176">
        <f t="shared" ca="1" si="24"/>
        <v>0</v>
      </c>
    </row>
    <row r="7" spans="1:54" ht="21" customHeight="1">
      <c r="A7" s="101">
        <f t="shared" si="19"/>
        <v>19</v>
      </c>
      <c r="B7" s="45" t="str">
        <f t="shared" si="20"/>
        <v/>
      </c>
      <c r="C7" s="45" t="str">
        <f>IF(OR(クライアント抽出!B7&lt;&gt;"",クライアント抽出!E7&lt;&gt;""),クライアント抽出!A7,"")</f>
        <v/>
      </c>
      <c r="D7" s="45" t="str">
        <f t="array" aca="1" ref="D7" ca="1">IF(C7&lt;&gt;"",INDIRECT("クライアント抽出!"&amp;E7&amp;MATCH(C7,クライアント抽出!A:A,0)&amp;""),"")</f>
        <v/>
      </c>
      <c r="E7" s="45" t="str">
        <f>IF(H7&lt;&gt;0,
IFERROR(
SUBSTITUTE(ADDRESS(1,
MATCH(VALUE(H7),クライアント抽出!A7:G7,0)+8,4),"1",""),
""),
IFERROR(
SUBSTITUTE(ADDRESS(1,
MATCH(VALUE(I7),クライアント抽出!A7:G7,0)+8,4),"1",""),
""))</f>
        <v/>
      </c>
      <c r="F7" s="184" t="str">
        <f ca="1">IF(D7&lt;&gt;"",
IF(COUNTIF(C7,"*雙葉*"),
IF(ROUND((H7-M7)
/IF(COUNTIF(D7,"*キャラ*"),
VLOOKUP("*キャラ*",商品マスタ!$D:$E,2,FALSE),
IF(COUNTIF(D7,"*赤*"),
VLOOKUP("*赤*",商品マスタ!$D:$E,2,FALSE),
VLOOKUP("*"&amp;D7&amp;"*",商品マスタ!$D:$E,2,FALSE))),0)&lt;=0,1,
ROUND((H7-M7)
/IF(COUNTIF(D7,"*キャラ*"),
VLOOKUP("*キャラ*",商品マスタ!$D:$E,2,FALSE),
IF(COUNTIF(D7,"*赤*"),
VLOOKUP("*赤*",商品マスタ!$D:$E,2,FALSE),
VLOOKUP("*"&amp;D7&amp;"*",商品マスタ!$D:$E,2,FALSE))),0)),
IF(OR(COUNTIF(D7,"*キャラ*"),COUNTIF(D7,"*赤*")),"",
IF(VLOOKUP("*"&amp;D7&amp;"*",商品マスタ!$D:$E,2,FALSE)=0,"",
IF(ROUND((H7-M7)
/VLOOKUP("*"&amp;D7&amp;"*",商品マスタ!$D:$E,2,FALSE),0)&lt;=0,1,
ROUND((H7-M7)
/VLOOKUP("*"&amp;D7&amp;"*",商品マスタ!$D:$E,2,FALSE),0))))),"")</f>
        <v/>
      </c>
      <c r="G7" s="45" t="str">
        <f ca="1">IF(F7&lt;&gt;"",
IF(VALUE(H7-M7)&gt;VALUE(IF(COUNTIF(D7,"*キャラ*"),
VLOOKUP("*キャラ*",商品マスタ!$D:$E,2,FALSE),
IF(COUNTIF(D7,"*赤*"),
VLOOKUP("*赤*",商品マスタ!$D:$E,2,FALSE),
VLOOKUP("*"&amp;D7&amp;"*",商品マスタ!$D:$E,2,FALSE)))*F7),
"+"&amp;(H7-M7)-IF(COUNTIF(D7,"*キャラ*"),
VLOOKUP("*キャラ*",商品マスタ!$D:$E,2,FALSE),
IF(COUNTIF(D7,"*赤*"),
VLOOKUP("*赤*",商品マスタ!$D:$E,2,FALSE),
VLOOKUP("*"&amp;D7&amp;"*",商品マスタ!$D:$E,2,FALSE)))*F7,
(H7-M7)-IF(COUNTIF(D7,"*キャラ*"),
VLOOKUP("*キャラ*",商品マスタ!$D:$E,2,FALSE),
IF(COUNTIF(D7,"*赤*"),
VLOOKUP("*赤*",商品マスタ!$D:$E,2,FALSE),
VLOOKUP("*"&amp;D7&amp;"*",商品マスタ!$D:$E,2,FALSE)))*F7),"")</f>
        <v/>
      </c>
      <c r="H7" s="99" t="str">
        <f>IF(C7&lt;&gt;"",
クライアント抽出!B7,"")</f>
        <v/>
      </c>
      <c r="I7" s="45" t="str">
        <f t="array" aca="1" ref="I7" ca="1">IF(C7&lt;&gt;"",
IF(O7=1,
IF(SUMPRODUCT(COUNTIF(クライアント抽出!P7:U7,クライアント抽出!P7:U7))&gt;COUNTA(クライアント抽出!P7:U7),
IFERROR(INDIRECT("数出表_Excel!"&amp;INDEX(_xlfn.UNIQUE(_xlfn._xlws.FILTER(クライアント抽出!P7:U7,COUNTIF(クライアント抽出!P7:U7,クライアント抽出!P7:U7)&gt;1)),1)&amp;L7&amp;""),
クライアント抽出!E7),0),クライアント抽出!E7),"")</f>
        <v/>
      </c>
      <c r="J7" s="45" t="str">
        <f>IF(C7&lt;&gt;"",
VLOOKUP(
"*"&amp;LEFT(IF(COUNTIF(D7,"*学食*"),"キャラ弁（学食）",
IF(COUNTIF(D7,"*赤*"),"赤",
IF(COUNTIF(D7,"*キャラ弁当*"),"キャラ弁当",D7))),4)&amp;"*",注文弁当の抽出!$F$1:$G$15,2,FALSE),"")</f>
        <v/>
      </c>
      <c r="K7" s="45" t="str">
        <f ca="1">IF(クライアント抽出!P7&lt;&gt;"",SUBSTITUTE(ADDRESS(1,(CODE(クライアント抽出!P7)-64)*2-1,4),"1",""),"")</f>
        <v/>
      </c>
      <c r="L7" s="45" t="str">
        <f>IF(C7&lt;&gt;"",クライアント抽出!I7,"")</f>
        <v/>
      </c>
      <c r="M7" s="45">
        <f t="array" aca="1" ref="M7" ca="1">IF(C7&lt;&gt;"",
IF(K7&lt;&gt;"",INDIRECT("'数出表_Excel（アレルギー入力）'!"&amp;K7&amp;L7-1&amp;""),),)</f>
        <v>0</v>
      </c>
      <c r="N7" s="45" t="str">
        <f>IF(C7&lt;&gt;"",IF(OR(COUNTIF('盛付札（関数）'!D7,"*赤*"),COUNTIF('盛付札（関数）'!D7,"*キャラ*")),1,
VALUE(VLOOKUP("*"&amp;D7&amp;"*",商品マスタ!D:H,5,FALSE))),"")</f>
        <v/>
      </c>
      <c r="O7" s="45">
        <f ca="1">IF(LEN(クライアント抽出!V7)-LEN(SUBSTITUTE(クライアント抽出!V7,",",""))&lt;&gt;1,
IF(AND(クライアント抽出!P7&lt;&gt;"",クライアント抽出!S7&lt;&gt;""),
IF(クライアント抽出!P7&lt;&gt;クライアント抽出!S7,1,0),0),0)</f>
        <v>0</v>
      </c>
      <c r="P7" s="45">
        <f t="shared" si="0"/>
        <v>0</v>
      </c>
      <c r="Q7" s="45" t="b">
        <f t="shared" si="1"/>
        <v>0</v>
      </c>
      <c r="R7" s="122" t="str">
        <f t="array" aca="1" ref="R7" ca="1">IFERROR(SMALL(IF(P$1:P$311&lt;&gt;0,P$1:P$311),ROW(A7)),"")</f>
        <v/>
      </c>
      <c r="S7" s="122" t="str">
        <f t="array" aca="1" ref="S7" ca="1">IF($R7&lt;&gt;"",
SUBSTITUTE(SUBSTITUTE(INDIRECT("C"&amp;$R7&amp;"")," 週3ｺｰｽ","")," 週5ｺｰｽ",""),"")</f>
        <v/>
      </c>
      <c r="T7" s="122" t="str">
        <f t="array" aca="1" ref="T7" ca="1">IF(IF($R7&lt;&gt;"",
INDIRECT(""&amp;IF(COLUMN(D7)&lt;=26,CHAR(COLUMN(D7)+64),CHAR(INT((COLUMN(D7)-1)/26)+64)&amp;CHAR(MOD(COLUMN(D7)-1,26)+65))&amp;$R7&amp;""),"")=0,"",
IF($R7&lt;&gt;"",
INDIRECT(""&amp;IF(COLUMN(D7)&lt;=26,CHAR(COLUMN(D7)+64),CHAR(INT((COLUMN(D7)-1)/26)+64)&amp;CHAR(MOD(COLUMN(D7)-1,26)+65))&amp;$R7&amp;""),""))</f>
        <v/>
      </c>
      <c r="U7" s="185" t="str">
        <f t="array" aca="1" ref="U7" ca="1">IF($R7&lt;&gt;"",
INDIRECT("F"&amp;$R7&amp;""),"")</f>
        <v/>
      </c>
      <c r="V7" s="122" t="str">
        <f t="array" aca="1" ref="V7" ca="1">IF($R7&lt;&gt;"",
INDIRECT("G"&amp;$R7&amp;""),"")</f>
        <v/>
      </c>
      <c r="W7" s="122" t="str" cm="1">
        <f t="array" aca="1" ref="W7" ca="1">IF($R7&lt;&gt;"",
IF(AND(COUNTIF(INDIRECT("B"&amp;R7&amp;""),"*雙葉*"),COUNTIF($B$71:$B$210,"*雙葉*")&gt;=1),
IF(OR(COUNTIF(INDIRECT("B"&amp;R7&amp;""),"*雙葉先生*"),COUNTIF(INDIRECT("B"&amp;R7-1&amp;""),"*雙葉*")),INDIRECT("H"&amp;R7&amp;""),INDIRECT("H"&amp;R7&amp;"")+INDIRECT("H"&amp;MATCH("雙葉'",INDIRECT("B"&amp;R7+3&amp;":B210"),0)+2+R7&amp;"")),
IF(AND(LEFT(INDIRECT("B"&amp;R7&amp;""),2)="博多",COUNTIF(B:B,"*博多*")&gt;=2),
INDIRECT("H"&amp;R7&amp;"")+IFERROR(INDIRECT("H"&amp;MATCH("*"&amp;INDIRECT("B"&amp;R7&amp;"")&amp;"*",INDIRECT("B"&amp;R7+1&amp;":B210"),0)+R7&amp;""),0),
IF(AND(LEFT(INDIRECT("B"&amp;R7&amp;""),3)="奈良屋",COUNTIF(B:B,"*奈良屋*")&gt;=2),
INDIRECT("H"&amp;R7&amp;"")
+INDIRECT("H"&amp;MATCH("*"&amp;INDIRECT("B"&amp;R7&amp;"")&amp;"*",INDIRECT("B"&amp;R7+1&amp;":B210"),0)+R7&amp;"")
+INDIRECT("H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
+INDIRECT("H"&amp;MATCH("*"&amp;INDIRECT("B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&amp;"*",INDIRECT("B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+1&amp;":B210"),0)+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,
INDIRECT("H"&amp;R7&amp;"")))),"")</f>
        <v/>
      </c>
      <c r="X7" s="122" t="str">
        <f t="array" aca="1" ref="X7" ca="1">IF($R7&lt;&gt;"",
INDIRECT(""&amp;IF(COLUMN(I7)&lt;=26,CHAR(COLUMN(I7)+64),CHAR(INT((COLUMN(I7)-1)/26)+64)&amp;CHAR(MOD(COLUMN(I7)-1,26)+65))&amp;$R7&amp;""),"")</f>
        <v/>
      </c>
      <c r="Y7" s="122" t="str">
        <f t="array" aca="1" ref="Y7" ca="1">IF($R7&lt;&gt;"",
INDIRECT(""&amp;IF(COLUMN(J7)&lt;=26,CHAR(COLUMN(J7)+64),CHAR(INT((COLUMN(J7)-1)/26)+64)&amp;CHAR(MOD(COLUMN(J7)-1,26)+65))&amp;$R7&amp;""),"")</f>
        <v/>
      </c>
      <c r="Z7" s="122" t="str">
        <f t="shared" ca="1" si="2"/>
        <v/>
      </c>
      <c r="AA7" s="122" t="str">
        <f t="shared" ca="1" si="3"/>
        <v/>
      </c>
      <c r="AB7" s="122" t="str">
        <f t="array" aca="1" ref="AB7" ca="1">IF($R7&lt;&gt;"",
IF(AND(COUNTIF(INDIRECT("B"&amp;R7&amp;""),"*雙葉*"),COUNTIF(INDIRECT("B"&amp;R7&amp;""),"&lt;&gt;*先生*"),COUNTIF(B:B,"*雙葉*")&gt;=2),
INDIRECT("M"&amp;R7&amp;"")+INDIRECT("M"&amp;MATCH("雙葉'",INDIRECT("B"&amp;R7+1&amp;":B210"),0)+R7&amp;""),
IF(AND(LEFT(INDIRECT("B"&amp;R7&amp;""),2)="博多",COUNTIF(B:B,"*博多*")&gt;=2),
INDIRECT("M"&amp;R7&amp;"")+INDIRECT("M"&amp;MATCH("*"&amp;INDIRECT("B"&amp;R7&amp;"")&amp;"*",INDIRECT("B"&amp;R7+1&amp;":B210"),0)+R7&amp;""),
IF(AND(LEFT(INDIRECT("B"&amp;R7&amp;""),3)="奈良屋",COUNTIF(B:B,"*奈良屋*")&gt;=2),
INDIRECT("M"&amp;R7&amp;"")+INDIRECT("M"&amp;MATCH("*"&amp;INDIRECT("B"&amp;R7&amp;"")&amp;"*",INDIRECT("B"&amp;R7+1&amp;":B210"),0)+R7&amp;"")
+INDIRECT("M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,
INDIRECT("M"&amp;R7&amp;"")))),"")</f>
        <v/>
      </c>
      <c r="AC7" s="122" t="str">
        <f t="shared" ca="1" si="4"/>
        <v/>
      </c>
      <c r="AD7" s="176" t="str">
        <f t="shared" ca="1" si="5"/>
        <v/>
      </c>
      <c r="AE7" s="176" t="str">
        <f t="shared" ca="1" si="6"/>
        <v/>
      </c>
      <c r="AF7" s="176" t="str">
        <f t="shared" ca="1" si="7"/>
        <v/>
      </c>
      <c r="AG7" s="176" t="str">
        <f t="shared" ca="1" si="8"/>
        <v/>
      </c>
      <c r="AH7" s="183" t="str">
        <f t="shared" ca="1" si="9"/>
        <v/>
      </c>
      <c r="AI7" s="176" t="str">
        <f t="shared" ca="1" si="10"/>
        <v/>
      </c>
      <c r="AJ7" s="176" t="str">
        <f t="shared" ca="1" si="11"/>
        <v/>
      </c>
      <c r="AK7" s="176" t="str">
        <f t="shared" ca="1" si="12"/>
        <v/>
      </c>
      <c r="AL7" s="176" t="str">
        <f t="shared" ca="1" si="13"/>
        <v/>
      </c>
      <c r="AM7" s="176" t="str">
        <f t="shared" ca="1" si="14"/>
        <v/>
      </c>
      <c r="AN7" s="176" t="str">
        <f t="shared" ca="1" si="15"/>
        <v/>
      </c>
      <c r="AO7" s="176" t="str">
        <f t="shared" ca="1" si="16"/>
        <v/>
      </c>
      <c r="AP7" s="176" t="str">
        <f t="shared" ca="1" si="17"/>
        <v/>
      </c>
      <c r="AU7" s="176" t="str">
        <f t="shared" ca="1" si="18"/>
        <v/>
      </c>
      <c r="AW7" s="106" t="str">
        <f ca="1">IFERROR(IF(AF7&lt;&gt;"",OFFSET('数出表_Excel（アレルギー入力）'!$A$1,MATCH(AF7,'数出表_Excel（アレルギー入力）'!A:A,0)-2,0),""),"")</f>
        <v/>
      </c>
      <c r="AX7" s="106" t="str">
        <f ca="1">IF(AW7&lt;&gt;"",
OFFSET(得意先マスタ!$A$1,MATCH(AW7,得意先マスタ!A:A,0)-1,24),"")</f>
        <v/>
      </c>
      <c r="AY7" s="57">
        <f t="shared" ca="1" si="21"/>
        <v>0</v>
      </c>
      <c r="AZ7" s="57">
        <f t="shared" ca="1" si="22"/>
        <v>0</v>
      </c>
      <c r="BA7" s="57">
        <f t="shared" ca="1" si="23"/>
        <v>0</v>
      </c>
      <c r="BB7" s="176">
        <f t="shared" ca="1" si="24"/>
        <v>0</v>
      </c>
    </row>
    <row r="8" spans="1:54" ht="18" customHeight="1">
      <c r="A8" s="101">
        <f t="shared" si="19"/>
        <v>21</v>
      </c>
      <c r="B8" s="45" t="str">
        <f t="shared" si="20"/>
        <v/>
      </c>
      <c r="C8" s="45" t="str">
        <f>IF(OR(クライアント抽出!B8&lt;&gt;"",クライアント抽出!E8&lt;&gt;""),クライアント抽出!A8,"")</f>
        <v/>
      </c>
      <c r="D8" s="45" t="str">
        <f t="array" aca="1" ref="D8" ca="1">IF(C8&lt;&gt;"",INDIRECT("クライアント抽出!"&amp;E8&amp;MATCH(C8,クライアント抽出!A:A,0)&amp;""),"")</f>
        <v/>
      </c>
      <c r="E8" s="45" t="str">
        <f>IF(H8&lt;&gt;0,
IFERROR(
SUBSTITUTE(ADDRESS(1,
MATCH(VALUE(H8),クライアント抽出!A8:G8,0)+8,4),"1",""),
""),
IFERROR(
SUBSTITUTE(ADDRESS(1,
MATCH(VALUE(I8),クライアント抽出!A8:G8,0)+8,4),"1",""),
""))</f>
        <v/>
      </c>
      <c r="F8" s="184" t="str">
        <f ca="1">IF(D8&lt;&gt;"",
IF(COUNTIF(C8,"*雙葉*"),
IF(ROUND((H8-M8)
/IF(COUNTIF(D8,"*キャラ*"),
VLOOKUP("*キャラ*",商品マスタ!$D:$E,2,FALSE),
IF(COUNTIF(D8,"*赤*"),
VLOOKUP("*赤*",商品マスタ!$D:$E,2,FALSE),
VLOOKUP("*"&amp;D8&amp;"*",商品マスタ!$D:$E,2,FALSE))),0)&lt;=0,1,
ROUND((H8-M8)
/IF(COUNTIF(D8,"*キャラ*"),
VLOOKUP("*キャラ*",商品マスタ!$D:$E,2,FALSE),
IF(COUNTIF(D8,"*赤*"),
VLOOKUP("*赤*",商品マスタ!$D:$E,2,FALSE),
VLOOKUP("*"&amp;D8&amp;"*",商品マスタ!$D:$E,2,FALSE))),0)),
IF(OR(COUNTIF(D8,"*キャラ*"),COUNTIF(D8,"*赤*")),"",
IF(VLOOKUP("*"&amp;D8&amp;"*",商品マスタ!$D:$E,2,FALSE)=0,"",
IF(ROUND((H8-M8)
/VLOOKUP("*"&amp;D8&amp;"*",商品マスタ!$D:$E,2,FALSE),0)&lt;=0,1,
ROUND((H8-M8)
/VLOOKUP("*"&amp;D8&amp;"*",商品マスタ!$D:$E,2,FALSE),0))))),"")</f>
        <v/>
      </c>
      <c r="G8" s="45" t="str">
        <f ca="1">IF(F8&lt;&gt;"",
IF(VALUE(H8-M8)&gt;VALUE(IF(COUNTIF(D8,"*キャラ*"),
VLOOKUP("*キャラ*",商品マスタ!$D:$E,2,FALSE),
IF(COUNTIF(D8,"*赤*"),
VLOOKUP("*赤*",商品マスタ!$D:$E,2,FALSE),
VLOOKUP("*"&amp;D8&amp;"*",商品マスタ!$D:$E,2,FALSE)))*F8),
"+"&amp;(H8-M8)-IF(COUNTIF(D8,"*キャラ*"),
VLOOKUP("*キャラ*",商品マスタ!$D:$E,2,FALSE),
IF(COUNTIF(D8,"*赤*"),
VLOOKUP("*赤*",商品マスタ!$D:$E,2,FALSE),
VLOOKUP("*"&amp;D8&amp;"*",商品マスタ!$D:$E,2,FALSE)))*F8,
(H8-M8)-IF(COUNTIF(D8,"*キャラ*"),
VLOOKUP("*キャラ*",商品マスタ!$D:$E,2,FALSE),
IF(COUNTIF(D8,"*赤*"),
VLOOKUP("*赤*",商品マスタ!$D:$E,2,FALSE),
VLOOKUP("*"&amp;D8&amp;"*",商品マスタ!$D:$E,2,FALSE)))*F8),"")</f>
        <v/>
      </c>
      <c r="H8" s="99" t="str">
        <f>IF(C8&lt;&gt;"",
クライアント抽出!B8,"")</f>
        <v/>
      </c>
      <c r="I8" s="45" t="str">
        <f t="array" aca="1" ref="I8" ca="1">IF(C8&lt;&gt;"",
IF(O8=1,
IF(SUMPRODUCT(COUNTIF(クライアント抽出!P8:U8,クライアント抽出!P8:U8))&gt;COUNTA(クライアント抽出!P8:U8),
IFERROR(INDIRECT("数出表_Excel!"&amp;INDEX(_xlfn.UNIQUE(_xlfn._xlws.FILTER(クライアント抽出!P8:U8,COUNTIF(クライアント抽出!P8:U8,クライアント抽出!P8:U8)&gt;1)),1)&amp;L8&amp;""),
クライアント抽出!E8),0),クライアント抽出!E8),"")</f>
        <v/>
      </c>
      <c r="J8" s="45" t="str">
        <f>IF(C8&lt;&gt;"",
VLOOKUP(
"*"&amp;LEFT(IF(COUNTIF(D8,"*学食*"),"キャラ弁（学食）",
IF(COUNTIF(D8,"*赤*"),"赤",
IF(COUNTIF(D8,"*キャラ弁当*"),"キャラ弁当",D8))),4)&amp;"*",注文弁当の抽出!$F$1:$G$15,2,FALSE),"")</f>
        <v/>
      </c>
      <c r="K8" s="45" t="str">
        <f ca="1">IF(クライアント抽出!P8&lt;&gt;"",SUBSTITUTE(ADDRESS(1,(CODE(クライアント抽出!P8)-64)*2-1,4),"1",""),"")</f>
        <v/>
      </c>
      <c r="L8" s="45" t="str">
        <f>IF(C8&lt;&gt;"",クライアント抽出!I8,"")</f>
        <v/>
      </c>
      <c r="M8" s="45">
        <f t="array" aca="1" ref="M8" ca="1">IF(C8&lt;&gt;"",
IF(K8&lt;&gt;"",INDIRECT("'数出表_Excel（アレルギー入力）'!"&amp;K8&amp;L8-1&amp;""),),)</f>
        <v>0</v>
      </c>
      <c r="N8" s="45" t="str">
        <f>IF(C8&lt;&gt;"",IF(OR(COUNTIF('盛付札（関数）'!D8,"*赤*"),COUNTIF('盛付札（関数）'!D8,"*キャラ*")),1,
VALUE(VLOOKUP("*"&amp;D8&amp;"*",商品マスタ!D:H,5,FALSE))),"")</f>
        <v/>
      </c>
      <c r="O8" s="45">
        <f ca="1">IF(LEN(クライアント抽出!V8)-LEN(SUBSTITUTE(クライアント抽出!V8,",",""))&lt;&gt;1,
IF(AND(クライアント抽出!P8&lt;&gt;"",クライアント抽出!S8&lt;&gt;""),
IF(クライアント抽出!P8&lt;&gt;クライアント抽出!S8,1,0),0),0)</f>
        <v>0</v>
      </c>
      <c r="P8" s="45">
        <f t="shared" si="0"/>
        <v>0</v>
      </c>
      <c r="Q8" s="45" t="b">
        <f t="shared" si="1"/>
        <v>0</v>
      </c>
      <c r="R8" s="122" t="str">
        <f t="array" aca="1" ref="R8" ca="1">IFERROR(SMALL(IF(P$1:P$311&lt;&gt;0,P$1:P$311),ROW(A8)),"")</f>
        <v/>
      </c>
      <c r="S8" s="122" t="str">
        <f t="array" aca="1" ref="S8" ca="1">IF($R8&lt;&gt;"",
SUBSTITUTE(SUBSTITUTE(INDIRECT("C"&amp;$R8&amp;"")," 週3ｺｰｽ","")," 週5ｺｰｽ",""),"")</f>
        <v/>
      </c>
      <c r="T8" s="122" t="str">
        <f t="array" aca="1" ref="T8" ca="1">IF(IF($R8&lt;&gt;"",
INDIRECT(""&amp;IF(COLUMN(D8)&lt;=26,CHAR(COLUMN(D8)+64),CHAR(INT((COLUMN(D8)-1)/26)+64)&amp;CHAR(MOD(COLUMN(D8)-1,26)+65))&amp;$R8&amp;""),"")=0,"",
IF($R8&lt;&gt;"",
INDIRECT(""&amp;IF(COLUMN(D8)&lt;=26,CHAR(COLUMN(D8)+64),CHAR(INT((COLUMN(D8)-1)/26)+64)&amp;CHAR(MOD(COLUMN(D8)-1,26)+65))&amp;$R8&amp;""),""))</f>
        <v/>
      </c>
      <c r="U8" s="185" t="str">
        <f t="array" aca="1" ref="U8" ca="1">IF($R8&lt;&gt;"",
INDIRECT("F"&amp;$R8&amp;""),"")</f>
        <v/>
      </c>
      <c r="V8" s="122" t="str">
        <f t="array" aca="1" ref="V8" ca="1">IF($R8&lt;&gt;"",
INDIRECT("G"&amp;$R8&amp;""),"")</f>
        <v/>
      </c>
      <c r="W8" s="122" t="str" cm="1">
        <f t="array" aca="1" ref="W8" ca="1">IF($R8&lt;&gt;"",
IF(AND(COUNTIF(INDIRECT("B"&amp;R8&amp;""),"*雙葉*"),COUNTIF($B$71:$B$210,"*雙葉*")&gt;=1),
IF(OR(COUNTIF(INDIRECT("B"&amp;R8&amp;""),"*雙葉先生*"),COUNTIF(INDIRECT("B"&amp;R8-1&amp;""),"*雙葉*")),INDIRECT("H"&amp;R8&amp;""),INDIRECT("H"&amp;R8&amp;"")+INDIRECT("H"&amp;MATCH("雙葉'",INDIRECT("B"&amp;R8+3&amp;":B210"),0)+2+R8&amp;"")),
IF(AND(LEFT(INDIRECT("B"&amp;R8&amp;""),2)="博多",COUNTIF(B:B,"*博多*")&gt;=2),
INDIRECT("H"&amp;R8&amp;"")+IFERROR(INDIRECT("H"&amp;MATCH("*"&amp;INDIRECT("B"&amp;R8&amp;"")&amp;"*",INDIRECT("B"&amp;R8+1&amp;":B210"),0)+R8&amp;""),0),
IF(AND(LEFT(INDIRECT("B"&amp;R8&amp;""),3)="奈良屋",COUNTIF(B:B,"*奈良屋*")&gt;=2),
INDIRECT("H"&amp;R8&amp;"")
+INDIRECT("H"&amp;MATCH("*"&amp;INDIRECT("B"&amp;R8&amp;"")&amp;"*",INDIRECT("B"&amp;R8+1&amp;":B210"),0)+R8&amp;"")
+INDIRECT("H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
+INDIRECT("H"&amp;MATCH("*"&amp;INDIRECT("B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&amp;"*",INDIRECT("B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+1&amp;":B210"),0)+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,
INDIRECT("H"&amp;R8&amp;"")))),"")</f>
        <v/>
      </c>
      <c r="X8" s="122" t="str">
        <f t="array" aca="1" ref="X8" ca="1">IF($R8&lt;&gt;"",
INDIRECT(""&amp;IF(COLUMN(I8)&lt;=26,CHAR(COLUMN(I8)+64),CHAR(INT((COLUMN(I8)-1)/26)+64)&amp;CHAR(MOD(COLUMN(I8)-1,26)+65))&amp;$R8&amp;""),"")</f>
        <v/>
      </c>
      <c r="Y8" s="122" t="str">
        <f t="array" aca="1" ref="Y8" ca="1">IF($R8&lt;&gt;"",
INDIRECT(""&amp;IF(COLUMN(J8)&lt;=26,CHAR(COLUMN(J8)+64),CHAR(INT((COLUMN(J8)-1)/26)+64)&amp;CHAR(MOD(COLUMN(J8)-1,26)+65))&amp;$R8&amp;""),"")</f>
        <v/>
      </c>
      <c r="Z8" s="122" t="str">
        <f t="shared" ca="1" si="2"/>
        <v/>
      </c>
      <c r="AA8" s="122" t="str">
        <f t="shared" ca="1" si="3"/>
        <v/>
      </c>
      <c r="AB8" s="122" t="str">
        <f t="array" aca="1" ref="AB8" ca="1">IF($R8&lt;&gt;"",
IF(AND(COUNTIF(INDIRECT("B"&amp;R8&amp;""),"*雙葉*"),COUNTIF(INDIRECT("B"&amp;R8&amp;""),"&lt;&gt;*先生*"),COUNTIF(B:B,"*雙葉*")&gt;=2),
INDIRECT("M"&amp;R8&amp;"")+INDIRECT("M"&amp;MATCH("雙葉'",INDIRECT("B"&amp;R8+1&amp;":B210"),0)+R8&amp;""),
IF(AND(LEFT(INDIRECT("B"&amp;R8&amp;""),2)="博多",COUNTIF(B:B,"*博多*")&gt;=2),
INDIRECT("M"&amp;R8&amp;"")+INDIRECT("M"&amp;MATCH("*"&amp;INDIRECT("B"&amp;R8&amp;"")&amp;"*",INDIRECT("B"&amp;R8+1&amp;":B210"),0)+R8&amp;""),
IF(AND(LEFT(INDIRECT("B"&amp;R8&amp;""),3)="奈良屋",COUNTIF(B:B,"*奈良屋*")&gt;=2),
INDIRECT("M"&amp;R8&amp;"")+INDIRECT("M"&amp;MATCH("*"&amp;INDIRECT("B"&amp;R8&amp;"")&amp;"*",INDIRECT("B"&amp;R8+1&amp;":B210"),0)+R8&amp;"")
+INDIRECT("M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,
INDIRECT("M"&amp;R8&amp;"")))),"")</f>
        <v/>
      </c>
      <c r="AC8" s="122" t="str">
        <f t="shared" ca="1" si="4"/>
        <v/>
      </c>
      <c r="AD8" s="176" t="str">
        <f t="shared" ca="1" si="5"/>
        <v/>
      </c>
      <c r="AE8" s="176" t="str">
        <f t="shared" ca="1" si="6"/>
        <v/>
      </c>
      <c r="AF8" s="176" t="str">
        <f t="shared" ca="1" si="7"/>
        <v/>
      </c>
      <c r="AG8" s="176" t="str">
        <f t="shared" ca="1" si="8"/>
        <v/>
      </c>
      <c r="AH8" s="183" t="str">
        <f t="shared" ca="1" si="9"/>
        <v/>
      </c>
      <c r="AI8" s="176" t="str">
        <f t="shared" ca="1" si="10"/>
        <v/>
      </c>
      <c r="AJ8" s="176" t="str">
        <f t="shared" ca="1" si="11"/>
        <v/>
      </c>
      <c r="AK8" s="176" t="str">
        <f t="shared" ca="1" si="12"/>
        <v/>
      </c>
      <c r="AL8" s="176" t="str">
        <f t="shared" ca="1" si="13"/>
        <v/>
      </c>
      <c r="AM8" s="176" t="str">
        <f t="shared" ca="1" si="14"/>
        <v/>
      </c>
      <c r="AN8" s="176" t="str">
        <f t="shared" ca="1" si="15"/>
        <v/>
      </c>
      <c r="AO8" s="176" t="str">
        <f t="shared" ca="1" si="16"/>
        <v/>
      </c>
      <c r="AP8" s="176" t="str">
        <f t="shared" ca="1" si="17"/>
        <v/>
      </c>
      <c r="AU8" s="176" t="str">
        <f t="shared" ca="1" si="18"/>
        <v/>
      </c>
      <c r="AW8" s="106" t="str">
        <f ca="1">IFERROR(IF(AF8&lt;&gt;"",OFFSET('数出表_Excel（アレルギー入力）'!$A$1,MATCH(AF8,'数出表_Excel（アレルギー入力）'!A:A,0)-2,0),""),"")</f>
        <v/>
      </c>
      <c r="AX8" s="106" t="str">
        <f ca="1">IF(AW8&lt;&gt;"",
OFFSET(得意先マスタ!$A$1,MATCH(AW8,得意先マスタ!A:A,0)-1,24),"")</f>
        <v/>
      </c>
      <c r="AY8" s="57">
        <f t="shared" ca="1" si="21"/>
        <v>0</v>
      </c>
      <c r="AZ8" s="57">
        <f t="shared" ca="1" si="22"/>
        <v>0</v>
      </c>
      <c r="BA8" s="57">
        <f t="shared" ca="1" si="23"/>
        <v>0</v>
      </c>
      <c r="BB8" s="176">
        <f t="shared" ca="1" si="24"/>
        <v>0</v>
      </c>
    </row>
    <row r="9" spans="1:54" ht="18" customHeight="1">
      <c r="A9" s="101">
        <f t="shared" si="19"/>
        <v>23</v>
      </c>
      <c r="B9" s="45" t="str">
        <f t="shared" si="20"/>
        <v/>
      </c>
      <c r="C9" s="45" t="str">
        <f>IF(OR(クライアント抽出!B9&lt;&gt;"",クライアント抽出!E9&lt;&gt;""),クライアント抽出!A9,"")</f>
        <v/>
      </c>
      <c r="D9" s="45" t="str">
        <f t="array" aca="1" ref="D9" ca="1">IF(C9&lt;&gt;"",INDIRECT("クライアント抽出!"&amp;E9&amp;MATCH(C9,クライアント抽出!A:A,0)&amp;""),"")</f>
        <v/>
      </c>
      <c r="E9" s="45" t="str">
        <f>IF(H9&lt;&gt;0,
IFERROR(
SUBSTITUTE(ADDRESS(1,
MATCH(VALUE(H9),クライアント抽出!A9:G9,0)+8,4),"1",""),
""),
IFERROR(
SUBSTITUTE(ADDRESS(1,
MATCH(VALUE(I9),クライアント抽出!A9:G9,0)+8,4),"1",""),
""))</f>
        <v/>
      </c>
      <c r="F9" s="184" t="str">
        <f ca="1">IF(D9&lt;&gt;"",
IF(COUNTIF(C9,"*雙葉*"),
IF(ROUND((H9-M9)
/IF(COUNTIF(D9,"*キャラ*"),
VLOOKUP("*キャラ*",商品マスタ!$D:$E,2,FALSE),
IF(COUNTIF(D9,"*赤*"),
VLOOKUP("*赤*",商品マスタ!$D:$E,2,FALSE),
VLOOKUP("*"&amp;D9&amp;"*",商品マスタ!$D:$E,2,FALSE))),0)&lt;=0,1,
ROUND((H9-M9)
/IF(COUNTIF(D9,"*キャラ*"),
VLOOKUP("*キャラ*",商品マスタ!$D:$E,2,FALSE),
IF(COUNTIF(D9,"*赤*"),
VLOOKUP("*赤*",商品マスタ!$D:$E,2,FALSE),
VLOOKUP("*"&amp;D9&amp;"*",商品マスタ!$D:$E,2,FALSE))),0)),
IF(OR(COUNTIF(D9,"*キャラ*"),COUNTIF(D9,"*赤*")),"",
IF(VLOOKUP("*"&amp;D9&amp;"*",商品マスタ!$D:$E,2,FALSE)=0,"",
IF(ROUND((H9-M9)
/VLOOKUP("*"&amp;D9&amp;"*",商品マスタ!$D:$E,2,FALSE),0)&lt;=0,1,
ROUND((H9-M9)
/VLOOKUP("*"&amp;D9&amp;"*",商品マスタ!$D:$E,2,FALSE),0))))),"")</f>
        <v/>
      </c>
      <c r="G9" s="45" t="str">
        <f ca="1">IF(F9&lt;&gt;"",
IF(VALUE(H9-M9)&gt;VALUE(IF(COUNTIF(D9,"*キャラ*"),
VLOOKUP("*キャラ*",商品マスタ!$D:$E,2,FALSE),
IF(COUNTIF(D9,"*赤*"),
VLOOKUP("*赤*",商品マスタ!$D:$E,2,FALSE),
VLOOKUP("*"&amp;D9&amp;"*",商品マスタ!$D:$E,2,FALSE)))*F9),
"+"&amp;(H9-M9)-IF(COUNTIF(D9,"*キャラ*"),
VLOOKUP("*キャラ*",商品マスタ!$D:$E,2,FALSE),
IF(COUNTIF(D9,"*赤*"),
VLOOKUP("*赤*",商品マスタ!$D:$E,2,FALSE),
VLOOKUP("*"&amp;D9&amp;"*",商品マスタ!$D:$E,2,FALSE)))*F9,
(H9-M9)-IF(COUNTIF(D9,"*キャラ*"),
VLOOKUP("*キャラ*",商品マスタ!$D:$E,2,FALSE),
IF(COUNTIF(D9,"*赤*"),
VLOOKUP("*赤*",商品マスタ!$D:$E,2,FALSE),
VLOOKUP("*"&amp;D9&amp;"*",商品マスタ!$D:$E,2,FALSE)))*F9),"")</f>
        <v/>
      </c>
      <c r="H9" s="99" t="str">
        <f>IF(C9&lt;&gt;"",
クライアント抽出!B9,"")</f>
        <v/>
      </c>
      <c r="I9" s="45" t="str">
        <f t="array" aca="1" ref="I9" ca="1">IF(C9&lt;&gt;"",
IF(O9=1,
IF(SUMPRODUCT(COUNTIF(クライアント抽出!P9:U9,クライアント抽出!P9:U9))&gt;COUNTA(クライアント抽出!P9:U9),
IFERROR(INDIRECT("数出表_Excel!"&amp;INDEX(_xlfn.UNIQUE(_xlfn._xlws.FILTER(クライアント抽出!P9:U9,COUNTIF(クライアント抽出!P9:U9,クライアント抽出!P9:U9)&gt;1)),1)&amp;L9&amp;""),
クライアント抽出!E9),0),クライアント抽出!E9),"")</f>
        <v/>
      </c>
      <c r="J9" s="45" t="str">
        <f>IF(C9&lt;&gt;"",
VLOOKUP(
"*"&amp;LEFT(IF(COUNTIF(D9,"*学食*"),"キャラ弁（学食）",
IF(COUNTIF(D9,"*赤*"),"赤",
IF(COUNTIF(D9,"*キャラ弁当*"),"キャラ弁当",D9))),4)&amp;"*",注文弁当の抽出!$F$1:$G$15,2,FALSE),"")</f>
        <v/>
      </c>
      <c r="K9" s="45" t="str">
        <f ca="1">IF(クライアント抽出!P9&lt;&gt;"",SUBSTITUTE(ADDRESS(1,(CODE(クライアント抽出!P9)-64)*2-1,4),"1",""),"")</f>
        <v/>
      </c>
      <c r="L9" s="45" t="str">
        <f>IF(C9&lt;&gt;"",クライアント抽出!I9,"")</f>
        <v/>
      </c>
      <c r="M9" s="45">
        <f t="array" aca="1" ref="M9" ca="1">IF(C9&lt;&gt;"",
IF(K9&lt;&gt;"",INDIRECT("'数出表_Excel（アレルギー入力）'!"&amp;K9&amp;L9-1&amp;""),),)</f>
        <v>0</v>
      </c>
      <c r="N9" s="45" t="str">
        <f>IF(C9&lt;&gt;"",IF(OR(COUNTIF('盛付札（関数）'!D9,"*赤*"),COUNTIF('盛付札（関数）'!D9,"*キャラ*")),1,
VALUE(VLOOKUP("*"&amp;D9&amp;"*",商品マスタ!D:H,5,FALSE))),"")</f>
        <v/>
      </c>
      <c r="O9" s="45">
        <f ca="1">IF(LEN(クライアント抽出!V9)-LEN(SUBSTITUTE(クライアント抽出!V9,",",""))&lt;&gt;1,
IF(AND(クライアント抽出!P9&lt;&gt;"",クライアント抽出!S9&lt;&gt;""),
IF(クライアント抽出!P9&lt;&gt;クライアント抽出!S9,1,0),0),0)</f>
        <v>0</v>
      </c>
      <c r="P9" s="45">
        <f t="shared" si="0"/>
        <v>0</v>
      </c>
      <c r="Q9" s="45" t="b">
        <f t="shared" si="1"/>
        <v>0</v>
      </c>
      <c r="R9" s="122" t="str">
        <f t="array" aca="1" ref="R9" ca="1">IFERROR(SMALL(IF(P$1:P$311&lt;&gt;0,P$1:P$311),ROW(A9)),"")</f>
        <v/>
      </c>
      <c r="S9" s="122" t="str">
        <f t="array" aca="1" ref="S9" ca="1">IF($R9&lt;&gt;"",
SUBSTITUTE(SUBSTITUTE(INDIRECT("C"&amp;$R9&amp;"")," 週3ｺｰｽ","")," 週5ｺｰｽ",""),"")</f>
        <v/>
      </c>
      <c r="T9" s="122" t="str">
        <f t="array" aca="1" ref="T9" ca="1">IF(IF($R9&lt;&gt;"",
INDIRECT(""&amp;IF(COLUMN(D9)&lt;=26,CHAR(COLUMN(D9)+64),CHAR(INT((COLUMN(D9)-1)/26)+64)&amp;CHAR(MOD(COLUMN(D9)-1,26)+65))&amp;$R9&amp;""),"")=0,"",
IF($R9&lt;&gt;"",
INDIRECT(""&amp;IF(COLUMN(D9)&lt;=26,CHAR(COLUMN(D9)+64),CHAR(INT((COLUMN(D9)-1)/26)+64)&amp;CHAR(MOD(COLUMN(D9)-1,26)+65))&amp;$R9&amp;""),""))</f>
        <v/>
      </c>
      <c r="U9" s="185" t="str">
        <f t="array" aca="1" ref="U9" ca="1">IF($R9&lt;&gt;"",
INDIRECT("F"&amp;$R9&amp;""),"")</f>
        <v/>
      </c>
      <c r="V9" s="122" t="str">
        <f t="array" aca="1" ref="V9" ca="1">IF($R9&lt;&gt;"",
INDIRECT("G"&amp;$R9&amp;""),"")</f>
        <v/>
      </c>
      <c r="W9" s="122" t="str" cm="1">
        <f t="array" aca="1" ref="W9" ca="1">IF($R9&lt;&gt;"",
IF(AND(COUNTIF(INDIRECT("B"&amp;R9&amp;""),"*雙葉*"),COUNTIF($B$71:$B$210,"*雙葉*")&gt;=1),
IF(OR(COUNTIF(INDIRECT("B"&amp;R9&amp;""),"*雙葉先生*"),COUNTIF(INDIRECT("B"&amp;R9-1&amp;""),"*雙葉*")),INDIRECT("H"&amp;R9&amp;""),INDIRECT("H"&amp;R9&amp;"")+INDIRECT("H"&amp;MATCH("雙葉'",INDIRECT("B"&amp;R9+3&amp;":B210"),0)+2+R9&amp;"")),
IF(AND(LEFT(INDIRECT("B"&amp;R9&amp;""),2)="博多",COUNTIF(B:B,"*博多*")&gt;=2),
INDIRECT("H"&amp;R9&amp;"")+IFERROR(INDIRECT("H"&amp;MATCH("*"&amp;INDIRECT("B"&amp;R9&amp;"")&amp;"*",INDIRECT("B"&amp;R9+1&amp;":B210"),0)+R9&amp;""),0),
IF(AND(LEFT(INDIRECT("B"&amp;R9&amp;""),3)="奈良屋",COUNTIF(B:B,"*奈良屋*")&gt;=2),
INDIRECT("H"&amp;R9&amp;"")
+INDIRECT("H"&amp;MATCH("*"&amp;INDIRECT("B"&amp;R9&amp;"")&amp;"*",INDIRECT("B"&amp;R9+1&amp;":B210"),0)+R9&amp;"")
+INDIRECT("H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
+INDIRECT("H"&amp;MATCH("*"&amp;INDIRECT("B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&amp;"*",INDIRECT("B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+1&amp;":B210"),0)+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,
INDIRECT("H"&amp;R9&amp;"")))),"")</f>
        <v/>
      </c>
      <c r="X9" s="122" t="str">
        <f t="array" aca="1" ref="X9" ca="1">IF($R9&lt;&gt;"",
INDIRECT(""&amp;IF(COLUMN(I9)&lt;=26,CHAR(COLUMN(I9)+64),CHAR(INT((COLUMN(I9)-1)/26)+64)&amp;CHAR(MOD(COLUMN(I9)-1,26)+65))&amp;$R9&amp;""),"")</f>
        <v/>
      </c>
      <c r="Y9" s="122" t="str">
        <f t="array" aca="1" ref="Y9" ca="1">IF($R9&lt;&gt;"",
INDIRECT(""&amp;IF(COLUMN(J9)&lt;=26,CHAR(COLUMN(J9)+64),CHAR(INT((COLUMN(J9)-1)/26)+64)&amp;CHAR(MOD(COLUMN(J9)-1,26)+65))&amp;$R9&amp;""),"")</f>
        <v/>
      </c>
      <c r="Z9" s="122" t="str">
        <f t="shared" ca="1" si="2"/>
        <v/>
      </c>
      <c r="AA9" s="122" t="str">
        <f t="shared" ca="1" si="3"/>
        <v/>
      </c>
      <c r="AB9" s="122" t="str">
        <f t="array" aca="1" ref="AB9" ca="1">IF($R9&lt;&gt;"",
IF(AND(COUNTIF(INDIRECT("B"&amp;R9&amp;""),"*雙葉*"),COUNTIF(INDIRECT("B"&amp;R9&amp;""),"&lt;&gt;*先生*"),COUNTIF(B:B,"*雙葉*")&gt;=2),
INDIRECT("M"&amp;R9&amp;"")+INDIRECT("M"&amp;MATCH("雙葉'",INDIRECT("B"&amp;R9+1&amp;":B210"),0)+R9&amp;""),
IF(AND(LEFT(INDIRECT("B"&amp;R9&amp;""),2)="博多",COUNTIF(B:B,"*博多*")&gt;=2),
INDIRECT("M"&amp;R9&amp;"")+INDIRECT("M"&amp;MATCH("*"&amp;INDIRECT("B"&amp;R9&amp;"")&amp;"*",INDIRECT("B"&amp;R9+1&amp;":B210"),0)+R9&amp;""),
IF(AND(LEFT(INDIRECT("B"&amp;R9&amp;""),3)="奈良屋",COUNTIF(B:B,"*奈良屋*")&gt;=2),
INDIRECT("M"&amp;R9&amp;"")+INDIRECT("M"&amp;MATCH("*"&amp;INDIRECT("B"&amp;R9&amp;"")&amp;"*",INDIRECT("B"&amp;R9+1&amp;":B210"),0)+R9&amp;"")
+INDIRECT("M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,
INDIRECT("M"&amp;R9&amp;"")))),"")</f>
        <v/>
      </c>
      <c r="AC9" s="122" t="str">
        <f t="shared" ca="1" si="4"/>
        <v/>
      </c>
      <c r="AD9" s="176" t="str">
        <f t="shared" ca="1" si="5"/>
        <v/>
      </c>
      <c r="AE9" s="176" t="str">
        <f t="shared" ca="1" si="6"/>
        <v/>
      </c>
      <c r="AF9" s="176" t="str">
        <f t="shared" ca="1" si="7"/>
        <v/>
      </c>
      <c r="AG9" s="176" t="str">
        <f t="shared" ca="1" si="8"/>
        <v/>
      </c>
      <c r="AH9" s="183" t="str">
        <f t="shared" ca="1" si="9"/>
        <v/>
      </c>
      <c r="AI9" s="176" t="str">
        <f t="shared" ca="1" si="10"/>
        <v/>
      </c>
      <c r="AJ9" s="176" t="str">
        <f t="shared" ca="1" si="11"/>
        <v/>
      </c>
      <c r="AK9" s="176" t="str">
        <f t="shared" ca="1" si="12"/>
        <v/>
      </c>
      <c r="AL9" s="176" t="str">
        <f t="shared" ca="1" si="13"/>
        <v/>
      </c>
      <c r="AM9" s="176" t="str">
        <f t="shared" ca="1" si="14"/>
        <v/>
      </c>
      <c r="AN9" s="176" t="str">
        <f t="shared" ca="1" si="15"/>
        <v/>
      </c>
      <c r="AO9" s="176" t="str">
        <f t="shared" ca="1" si="16"/>
        <v/>
      </c>
      <c r="AP9" s="176" t="str">
        <f t="shared" ca="1" si="17"/>
        <v/>
      </c>
      <c r="AU9" s="176" t="str">
        <f t="shared" ca="1" si="18"/>
        <v/>
      </c>
      <c r="AW9" s="106" t="str">
        <f ca="1">IFERROR(IF(AF9&lt;&gt;"",OFFSET('数出表_Excel（アレルギー入力）'!$A$1,MATCH(AF9,'数出表_Excel（アレルギー入力）'!A:A,0)-2,0),""),"")</f>
        <v/>
      </c>
      <c r="AX9" s="106" t="str">
        <f ca="1">IF(AW9&lt;&gt;"",
OFFSET(得意先マスタ!$A$1,MATCH(AW9,得意先マスタ!A:A,0)-1,24),"")</f>
        <v/>
      </c>
      <c r="AY9" s="57">
        <f t="shared" ca="1" si="21"/>
        <v>0</v>
      </c>
      <c r="AZ9" s="57">
        <f t="shared" ca="1" si="22"/>
        <v>0</v>
      </c>
      <c r="BA9" s="57">
        <f t="shared" ca="1" si="23"/>
        <v>0</v>
      </c>
      <c r="BB9" s="176">
        <f t="shared" ca="1" si="24"/>
        <v>0</v>
      </c>
    </row>
    <row r="10" spans="1:54" ht="22.2" customHeight="1">
      <c r="A10" s="101">
        <f t="shared" si="19"/>
        <v>25</v>
      </c>
      <c r="B10" s="45" t="str">
        <f t="shared" si="20"/>
        <v/>
      </c>
      <c r="C10" s="45" t="str">
        <f>IF(OR(クライアント抽出!B10&lt;&gt;"",クライアント抽出!E10&lt;&gt;""),クライアント抽出!A10,"")</f>
        <v/>
      </c>
      <c r="D10" s="45" t="str">
        <f t="array" aca="1" ref="D10" ca="1">IF(C10&lt;&gt;"",INDIRECT("クライアント抽出!"&amp;E10&amp;MATCH(C10,クライアント抽出!A:A,0)&amp;""),"")</f>
        <v/>
      </c>
      <c r="E10" s="45" t="str">
        <f>IF(H10&lt;&gt;0,
IFERROR(
SUBSTITUTE(ADDRESS(1,
MATCH(VALUE(H10),クライアント抽出!A10:G10,0)+8,4),"1",""),
""),
IFERROR(
SUBSTITUTE(ADDRESS(1,
MATCH(VALUE(I10),クライアント抽出!A10:G10,0)+8,4),"1",""),
""))</f>
        <v/>
      </c>
      <c r="F10" s="184" t="str">
        <f ca="1">IF(D10&lt;&gt;"",
IF(COUNTIF(C10,"*雙葉*"),
IF(ROUND((H10-M10)
/IF(COUNTIF(D10,"*キャラ*"),
VLOOKUP("*キャラ*",商品マスタ!$D:$E,2,FALSE),
IF(COUNTIF(D10,"*赤*"),
VLOOKUP("*赤*",商品マスタ!$D:$E,2,FALSE),
VLOOKUP("*"&amp;D10&amp;"*",商品マスタ!$D:$E,2,FALSE))),0)&lt;=0,1,
ROUND((H10-M10)
/IF(COUNTIF(D10,"*キャラ*"),
VLOOKUP("*キャラ*",商品マスタ!$D:$E,2,FALSE),
IF(COUNTIF(D10,"*赤*"),
VLOOKUP("*赤*",商品マスタ!$D:$E,2,FALSE),
VLOOKUP("*"&amp;D10&amp;"*",商品マスタ!$D:$E,2,FALSE))),0)),
IF(OR(COUNTIF(D10,"*キャラ*"),COUNTIF(D10,"*赤*")),"",
IF(VLOOKUP("*"&amp;D10&amp;"*",商品マスタ!$D:$E,2,FALSE)=0,"",
IF(ROUND((H10-M10)
/VLOOKUP("*"&amp;D10&amp;"*",商品マスタ!$D:$E,2,FALSE),0)&lt;=0,1,
ROUND((H10-M10)
/VLOOKUP("*"&amp;D10&amp;"*",商品マスタ!$D:$E,2,FALSE),0))))),"")</f>
        <v/>
      </c>
      <c r="G10" s="45" t="str">
        <f ca="1">IF(F10&lt;&gt;"",
IF(VALUE(H10-M10)&gt;VALUE(IF(COUNTIF(D10,"*キャラ*"),
VLOOKUP("*キャラ*",商品マスタ!$D:$E,2,FALSE),
IF(COUNTIF(D10,"*赤*"),
VLOOKUP("*赤*",商品マスタ!$D:$E,2,FALSE),
VLOOKUP("*"&amp;D10&amp;"*",商品マスタ!$D:$E,2,FALSE)))*F10),
"+"&amp;(H10-M10)-IF(COUNTIF(D10,"*キャラ*"),
VLOOKUP("*キャラ*",商品マスタ!$D:$E,2,FALSE),
IF(COUNTIF(D10,"*赤*"),
VLOOKUP("*赤*",商品マスタ!$D:$E,2,FALSE),
VLOOKUP("*"&amp;D10&amp;"*",商品マスタ!$D:$E,2,FALSE)))*F10,
(H10-M10)-IF(COUNTIF(D10,"*キャラ*"),
VLOOKUP("*キャラ*",商品マスタ!$D:$E,2,FALSE),
IF(COUNTIF(D10,"*赤*"),
VLOOKUP("*赤*",商品マスタ!$D:$E,2,FALSE),
VLOOKUP("*"&amp;D10&amp;"*",商品マスタ!$D:$E,2,FALSE)))*F10),"")</f>
        <v/>
      </c>
      <c r="H10" s="99" t="str">
        <f>IF(C10&lt;&gt;"",
クライアント抽出!B10,"")</f>
        <v/>
      </c>
      <c r="I10" s="45" t="str">
        <f t="array" aca="1" ref="I10" ca="1">IF(C10&lt;&gt;"",
IF(O10=1,
IF(SUMPRODUCT(COUNTIF(クライアント抽出!P10:U10,クライアント抽出!P10:U10))&gt;COUNTA(クライアント抽出!P10:U10),
IFERROR(INDIRECT("数出表_Excel!"&amp;INDEX(_xlfn.UNIQUE(_xlfn._xlws.FILTER(クライアント抽出!P10:U10,COUNTIF(クライアント抽出!P10:U10,クライアント抽出!P10:U10)&gt;1)),1)&amp;L10&amp;""),
クライアント抽出!E10),0),クライアント抽出!E10),"")</f>
        <v/>
      </c>
      <c r="J10" s="45" t="str">
        <f>IF(C10&lt;&gt;"",
VLOOKUP(
"*"&amp;LEFT(IF(COUNTIF(D10,"*学食*"),"キャラ弁（学食）",
IF(COUNTIF(D10,"*赤*"),"赤",
IF(COUNTIF(D10,"*キャラ弁当*"),"キャラ弁当",D10))),4)&amp;"*",注文弁当の抽出!$F$1:$G$15,2,FALSE),"")</f>
        <v/>
      </c>
      <c r="K10" s="45" t="str">
        <f ca="1">IF(クライアント抽出!P10&lt;&gt;"",SUBSTITUTE(ADDRESS(1,(CODE(クライアント抽出!P10)-64)*2-1,4),"1",""),"")</f>
        <v/>
      </c>
      <c r="L10" s="45" t="str">
        <f>IF(C10&lt;&gt;"",クライアント抽出!I10,"")</f>
        <v/>
      </c>
      <c r="M10" s="45">
        <f t="array" aca="1" ref="M10" ca="1">IF(C10&lt;&gt;"",
IF(K10&lt;&gt;"",INDIRECT("'数出表_Excel（アレルギー入力）'!"&amp;K10&amp;L10-1&amp;""),),)</f>
        <v>0</v>
      </c>
      <c r="N10" s="45" t="str">
        <f>IF(C10&lt;&gt;"",IF(OR(COUNTIF('盛付札（関数）'!D10,"*赤*"),COUNTIF('盛付札（関数）'!D10,"*キャラ*")),1,
VALUE(VLOOKUP("*"&amp;D10&amp;"*",商品マスタ!D:H,5,FALSE))),"")</f>
        <v/>
      </c>
      <c r="O10" s="45">
        <f ca="1">IF(LEN(クライアント抽出!V10)-LEN(SUBSTITUTE(クライアント抽出!V10,",",""))&lt;&gt;1,
IF(AND(クライアント抽出!P10&lt;&gt;"",クライアント抽出!S10&lt;&gt;""),
IF(クライアント抽出!P10&lt;&gt;クライアント抽出!S10,1,0),0),0)</f>
        <v>0</v>
      </c>
      <c r="P10" s="45">
        <f t="shared" si="0"/>
        <v>0</v>
      </c>
      <c r="Q10" s="45" t="b">
        <f t="shared" si="1"/>
        <v>0</v>
      </c>
      <c r="R10" s="122" t="str">
        <f t="array" aca="1" ref="R10" ca="1">IFERROR(SMALL(IF(P$1:P$311&lt;&gt;0,P$1:P$311),ROW(A10)),"")</f>
        <v/>
      </c>
      <c r="S10" s="122" t="str">
        <f t="array" aca="1" ref="S10" ca="1">IF($R10&lt;&gt;"",
SUBSTITUTE(SUBSTITUTE(INDIRECT("C"&amp;$R10&amp;"")," 週3ｺｰｽ","")," 週5ｺｰｽ",""),"")</f>
        <v/>
      </c>
      <c r="T10" s="122" t="str">
        <f t="array" aca="1" ref="T10" ca="1">IF(IF($R10&lt;&gt;"",
INDIRECT(""&amp;IF(COLUMN(D10)&lt;=26,CHAR(COLUMN(D10)+64),CHAR(INT((COLUMN(D10)-1)/26)+64)&amp;CHAR(MOD(COLUMN(D10)-1,26)+65))&amp;$R10&amp;""),"")=0,"",
IF($R10&lt;&gt;"",
INDIRECT(""&amp;IF(COLUMN(D10)&lt;=26,CHAR(COLUMN(D10)+64),CHAR(INT((COLUMN(D10)-1)/26)+64)&amp;CHAR(MOD(COLUMN(D10)-1,26)+65))&amp;$R10&amp;""),""))</f>
        <v/>
      </c>
      <c r="U10" s="185" t="str">
        <f t="array" aca="1" ref="U10" ca="1">IF($R10&lt;&gt;"",
INDIRECT("F"&amp;$R10&amp;""),"")</f>
        <v/>
      </c>
      <c r="V10" s="122" t="str">
        <f t="array" aca="1" ref="V10" ca="1">IF($R10&lt;&gt;"",
INDIRECT("G"&amp;$R10&amp;""),"")</f>
        <v/>
      </c>
      <c r="W10" s="122" t="str" cm="1">
        <f t="array" aca="1" ref="W10" ca="1">IF($R10&lt;&gt;"",
IF(AND(COUNTIF(INDIRECT("B"&amp;R10&amp;""),"*雙葉*"),COUNTIF($B$71:$B$210,"*雙葉*")&gt;=1),
IF(OR(COUNTIF(INDIRECT("B"&amp;R10&amp;""),"*雙葉先生*"),COUNTIF(INDIRECT("B"&amp;R10-1&amp;""),"*雙葉*")),INDIRECT("H"&amp;R10&amp;""),INDIRECT("H"&amp;R10&amp;"")+INDIRECT("H"&amp;MATCH("雙葉'",INDIRECT("B"&amp;R10+3&amp;":B210"),0)+2+R10&amp;"")),
IF(AND(LEFT(INDIRECT("B"&amp;R10&amp;""),2)="博多",COUNTIF(B:B,"*博多*")&gt;=2),
INDIRECT("H"&amp;R10&amp;"")+IFERROR(INDIRECT("H"&amp;MATCH("*"&amp;INDIRECT("B"&amp;R10&amp;"")&amp;"*",INDIRECT("B"&amp;R10+1&amp;":B210"),0)+R10&amp;""),0),
IF(AND(LEFT(INDIRECT("B"&amp;R10&amp;""),3)="奈良屋",COUNTIF(B:B,"*奈良屋*")&gt;=2),
INDIRECT("H"&amp;R10&amp;"")
+INDIRECT("H"&amp;MATCH("*"&amp;INDIRECT("B"&amp;R10&amp;"")&amp;"*",INDIRECT("B"&amp;R10+1&amp;":B210"),0)+R10&amp;"")
+INDIRECT("H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
+INDIRECT("H"&amp;MATCH("*"&amp;INDIRECT("B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&amp;"*",INDIRECT("B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+1&amp;":B210"),0)+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,
INDIRECT("H"&amp;R10&amp;"")))),"")</f>
        <v/>
      </c>
      <c r="X10" s="122" t="str">
        <f t="array" aca="1" ref="X10" ca="1">IF($R10&lt;&gt;"",
INDIRECT(""&amp;IF(COLUMN(I10)&lt;=26,CHAR(COLUMN(I10)+64),CHAR(INT((COLUMN(I10)-1)/26)+64)&amp;CHAR(MOD(COLUMN(I10)-1,26)+65))&amp;$R10&amp;""),"")</f>
        <v/>
      </c>
      <c r="Y10" s="122" t="str">
        <f t="array" aca="1" ref="Y10" ca="1">IF($R10&lt;&gt;"",
INDIRECT(""&amp;IF(COLUMN(J10)&lt;=26,CHAR(COLUMN(J10)+64),CHAR(INT((COLUMN(J10)-1)/26)+64)&amp;CHAR(MOD(COLUMN(J10)-1,26)+65))&amp;$R10&amp;""),"")</f>
        <v/>
      </c>
      <c r="Z10" s="122" t="str">
        <f t="shared" ca="1" si="2"/>
        <v/>
      </c>
      <c r="AA10" s="122" t="str">
        <f t="shared" ca="1" si="3"/>
        <v/>
      </c>
      <c r="AB10" s="122" t="str">
        <f t="array" aca="1" ref="AB10" ca="1">IF($R10&lt;&gt;"",
IF(AND(COUNTIF(INDIRECT("B"&amp;R10&amp;""),"*雙葉*"),COUNTIF(INDIRECT("B"&amp;R10&amp;""),"&lt;&gt;*先生*"),COUNTIF(B:B,"*雙葉*")&gt;=2),
INDIRECT("M"&amp;R10&amp;"")+INDIRECT("M"&amp;MATCH("雙葉'",INDIRECT("B"&amp;R10+1&amp;":B210"),0)+R10&amp;""),
IF(AND(LEFT(INDIRECT("B"&amp;R10&amp;""),2)="博多",COUNTIF(B:B,"*博多*")&gt;=2),
INDIRECT("M"&amp;R10&amp;"")+INDIRECT("M"&amp;MATCH("*"&amp;INDIRECT("B"&amp;R10&amp;"")&amp;"*",INDIRECT("B"&amp;R10+1&amp;":B210"),0)+R10&amp;""),
IF(AND(LEFT(INDIRECT("B"&amp;R10&amp;""),3)="奈良屋",COUNTIF(B:B,"*奈良屋*")&gt;=2),
INDIRECT("M"&amp;R10&amp;"")+INDIRECT("M"&amp;MATCH("*"&amp;INDIRECT("B"&amp;R10&amp;"")&amp;"*",INDIRECT("B"&amp;R10+1&amp;":B210"),0)+R10&amp;"")
+INDIRECT("M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,
INDIRECT("M"&amp;R10&amp;"")))),"")</f>
        <v/>
      </c>
      <c r="AC10" s="122" t="str">
        <f t="shared" ca="1" si="4"/>
        <v/>
      </c>
      <c r="AD10" s="176" t="str">
        <f t="shared" ca="1" si="5"/>
        <v/>
      </c>
      <c r="AE10" s="176" t="str">
        <f t="shared" ca="1" si="6"/>
        <v/>
      </c>
      <c r="AF10" s="176" t="str">
        <f t="shared" ca="1" si="7"/>
        <v/>
      </c>
      <c r="AG10" s="176" t="str">
        <f t="shared" ca="1" si="8"/>
        <v/>
      </c>
      <c r="AH10" s="183" t="str">
        <f t="shared" ca="1" si="9"/>
        <v/>
      </c>
      <c r="AI10" s="176" t="str">
        <f t="shared" ca="1" si="10"/>
        <v/>
      </c>
      <c r="AJ10" s="176" t="str">
        <f t="shared" ca="1" si="11"/>
        <v/>
      </c>
      <c r="AK10" s="176" t="str">
        <f t="shared" ca="1" si="12"/>
        <v/>
      </c>
      <c r="AL10" s="176" t="str">
        <f t="shared" ca="1" si="13"/>
        <v/>
      </c>
      <c r="AM10" s="176" t="str">
        <f t="shared" ca="1" si="14"/>
        <v/>
      </c>
      <c r="AN10" s="176" t="str">
        <f t="shared" ca="1" si="15"/>
        <v/>
      </c>
      <c r="AO10" s="176" t="str">
        <f t="shared" ca="1" si="16"/>
        <v/>
      </c>
      <c r="AP10" s="176" t="str">
        <f t="shared" ca="1" si="17"/>
        <v/>
      </c>
      <c r="AU10" s="176" t="str">
        <f t="shared" ca="1" si="18"/>
        <v/>
      </c>
      <c r="AW10" s="106" t="str">
        <f ca="1">IFERROR(IF(AF10&lt;&gt;"",OFFSET('数出表_Excel（アレルギー入力）'!$A$1,MATCH(AF10,'数出表_Excel（アレルギー入力）'!A:A,0)-2,0),""),"")</f>
        <v/>
      </c>
      <c r="AX10" s="106" t="str">
        <f ca="1">IF(AW10&lt;&gt;"",
OFFSET(得意先マスタ!$A$1,MATCH(AW10,得意先マスタ!A:A,0)-1,24),"")</f>
        <v/>
      </c>
      <c r="AY10" s="57">
        <f t="shared" ca="1" si="21"/>
        <v>0</v>
      </c>
      <c r="AZ10" s="57">
        <f t="shared" ca="1" si="22"/>
        <v>0</v>
      </c>
      <c r="BA10" s="57">
        <f t="shared" ca="1" si="23"/>
        <v>0</v>
      </c>
      <c r="BB10" s="176">
        <f t="shared" ca="1" si="24"/>
        <v>0</v>
      </c>
    </row>
    <row r="11" spans="1:54" ht="18" customHeight="1">
      <c r="A11" s="101">
        <f t="shared" si="19"/>
        <v>27</v>
      </c>
      <c r="B11" s="45" t="str">
        <f t="shared" si="20"/>
        <v/>
      </c>
      <c r="C11" s="45" t="str">
        <f>IF(OR(クライアント抽出!B11&lt;&gt;"",クライアント抽出!E11&lt;&gt;""),クライアント抽出!A11,"")</f>
        <v/>
      </c>
      <c r="D11" s="45" t="str">
        <f t="array" aca="1" ref="D11" ca="1">IF(C11&lt;&gt;"",INDIRECT("クライアント抽出!"&amp;E11&amp;MATCH(C11,クライアント抽出!A:A,0)&amp;""),"")</f>
        <v/>
      </c>
      <c r="E11" s="45" t="str">
        <f>IF(H11&lt;&gt;0,
IFERROR(
SUBSTITUTE(ADDRESS(1,
MATCH(VALUE(H11),クライアント抽出!A11:G11,0)+8,4),"1",""),
""),
IFERROR(
SUBSTITUTE(ADDRESS(1,
MATCH(VALUE(I11),クライアント抽出!A11:G11,0)+8,4),"1",""),
""))</f>
        <v/>
      </c>
      <c r="F11" s="184" t="str">
        <f ca="1">IF(D11&lt;&gt;"",
IF(COUNTIF(C11,"*雙葉*"),
IF(ROUND((H11-M11)
/IF(COUNTIF(D11,"*キャラ*"),
VLOOKUP("*キャラ*",商品マスタ!$D:$E,2,FALSE),
IF(COUNTIF(D11,"*赤*"),
VLOOKUP("*赤*",商品マスタ!$D:$E,2,FALSE),
VLOOKUP("*"&amp;D11&amp;"*",商品マスタ!$D:$E,2,FALSE))),0)&lt;=0,1,
ROUND((H11-M11)
/IF(COUNTIF(D11,"*キャラ*"),
VLOOKUP("*キャラ*",商品マスタ!$D:$E,2,FALSE),
IF(COUNTIF(D11,"*赤*"),
VLOOKUP("*赤*",商品マスタ!$D:$E,2,FALSE),
VLOOKUP("*"&amp;D11&amp;"*",商品マスタ!$D:$E,2,FALSE))),0)),
IF(OR(COUNTIF(D11,"*キャラ*"),COUNTIF(D11,"*赤*")),"",
IF(VLOOKUP("*"&amp;D11&amp;"*",商品マスタ!$D:$E,2,FALSE)=0,"",
IF(ROUND((H11-M11)
/VLOOKUP("*"&amp;D11&amp;"*",商品マスタ!$D:$E,2,FALSE),0)&lt;=0,1,
ROUND((H11-M11)
/VLOOKUP("*"&amp;D11&amp;"*",商品マスタ!$D:$E,2,FALSE),0))))),"")</f>
        <v/>
      </c>
      <c r="G11" s="45" t="str">
        <f ca="1">IF(F11&lt;&gt;"",
IF(VALUE(H11-M11)&gt;VALUE(IF(COUNTIF(D11,"*キャラ*"),
VLOOKUP("*キャラ*",商品マスタ!$D:$E,2,FALSE),
IF(COUNTIF(D11,"*赤*"),
VLOOKUP("*赤*",商品マスタ!$D:$E,2,FALSE),
VLOOKUP("*"&amp;D11&amp;"*",商品マスタ!$D:$E,2,FALSE)))*F11),
"+"&amp;(H11-M11)-IF(COUNTIF(D11,"*キャラ*"),
VLOOKUP("*キャラ*",商品マスタ!$D:$E,2,FALSE),
IF(COUNTIF(D11,"*赤*"),
VLOOKUP("*赤*",商品マスタ!$D:$E,2,FALSE),
VLOOKUP("*"&amp;D11&amp;"*",商品マスタ!$D:$E,2,FALSE)))*F11,
(H11-M11)-IF(COUNTIF(D11,"*キャラ*"),
VLOOKUP("*キャラ*",商品マスタ!$D:$E,2,FALSE),
IF(COUNTIF(D11,"*赤*"),
VLOOKUP("*赤*",商品マスタ!$D:$E,2,FALSE),
VLOOKUP("*"&amp;D11&amp;"*",商品マスタ!$D:$E,2,FALSE)))*F11),"")</f>
        <v/>
      </c>
      <c r="H11" s="99" t="str">
        <f>IF(C11&lt;&gt;"",
クライアント抽出!B11,"")</f>
        <v/>
      </c>
      <c r="I11" s="45" t="str">
        <f t="array" aca="1" ref="I11" ca="1">IF(C11&lt;&gt;"",
IF(O11=1,
IF(SUMPRODUCT(COUNTIF(クライアント抽出!P11:U11,クライアント抽出!P11:U11))&gt;COUNTA(クライアント抽出!P11:U11),
IFERROR(INDIRECT("数出表_Excel!"&amp;INDEX(_xlfn.UNIQUE(_xlfn._xlws.FILTER(クライアント抽出!P11:U11,COUNTIF(クライアント抽出!P11:U11,クライアント抽出!P11:U11)&gt;1)),1)&amp;L11&amp;""),
クライアント抽出!E11),0),クライアント抽出!E11),"")</f>
        <v/>
      </c>
      <c r="J11" s="45" t="str">
        <f>IF(C11&lt;&gt;"",
VLOOKUP(
"*"&amp;LEFT(IF(COUNTIF(D11,"*学食*"),"キャラ弁（学食）",
IF(COUNTIF(D11,"*赤*"),"赤",
IF(COUNTIF(D11,"*キャラ弁当*"),"キャラ弁当",D11))),4)&amp;"*",注文弁当の抽出!$F$1:$G$15,2,FALSE),"")</f>
        <v/>
      </c>
      <c r="K11" s="45" t="str">
        <f ca="1">IF(クライアント抽出!P11&lt;&gt;"",SUBSTITUTE(ADDRESS(1,(CODE(クライアント抽出!P11)-64)*2-1,4),"1",""),"")</f>
        <v/>
      </c>
      <c r="L11" s="45" t="str">
        <f>IF(C11&lt;&gt;"",クライアント抽出!I11,"")</f>
        <v/>
      </c>
      <c r="M11" s="45">
        <f t="array" aca="1" ref="M11" ca="1">IF(C11&lt;&gt;"",
IF(K11&lt;&gt;"",INDIRECT("'数出表_Excel（アレルギー入力）'!"&amp;K11&amp;L11-1&amp;""),),)</f>
        <v>0</v>
      </c>
      <c r="N11" s="45" t="str">
        <f>IF(C11&lt;&gt;"",IF(OR(COUNTIF('盛付札（関数）'!D11,"*赤*"),COUNTIF('盛付札（関数）'!D11,"*キャラ*")),1,
VALUE(VLOOKUP("*"&amp;D11&amp;"*",商品マスタ!D:H,5,FALSE))),"")</f>
        <v/>
      </c>
      <c r="O11" s="45">
        <f ca="1">IF(LEN(クライアント抽出!V11)-LEN(SUBSTITUTE(クライアント抽出!V11,",",""))&lt;&gt;1,
IF(AND(クライアント抽出!P11&lt;&gt;"",クライアント抽出!S11&lt;&gt;""),
IF(クライアント抽出!P11&lt;&gt;クライアント抽出!S11,1,0),0),0)</f>
        <v>0</v>
      </c>
      <c r="P11" s="45">
        <f t="shared" si="0"/>
        <v>0</v>
      </c>
      <c r="Q11" s="45" t="b">
        <f t="shared" si="1"/>
        <v>0</v>
      </c>
      <c r="R11" s="122" t="str">
        <f t="array" aca="1" ref="R11" ca="1">IFERROR(SMALL(IF(P$1:P$311&lt;&gt;0,P$1:P$311),ROW(A11)),"")</f>
        <v/>
      </c>
      <c r="S11" s="122" t="str">
        <f t="array" aca="1" ref="S11" ca="1">IF($R11&lt;&gt;"",
SUBSTITUTE(SUBSTITUTE(INDIRECT("C"&amp;$R11&amp;"")," 週3ｺｰｽ","")," 週5ｺｰｽ",""),"")</f>
        <v/>
      </c>
      <c r="T11" s="122" t="str">
        <f t="array" aca="1" ref="T11" ca="1">IF(IF($R11&lt;&gt;"",
INDIRECT(""&amp;IF(COLUMN(D11)&lt;=26,CHAR(COLUMN(D11)+64),CHAR(INT((COLUMN(D11)-1)/26)+64)&amp;CHAR(MOD(COLUMN(D11)-1,26)+65))&amp;$R11&amp;""),"")=0,"",
IF($R11&lt;&gt;"",
INDIRECT(""&amp;IF(COLUMN(D11)&lt;=26,CHAR(COLUMN(D11)+64),CHAR(INT((COLUMN(D11)-1)/26)+64)&amp;CHAR(MOD(COLUMN(D11)-1,26)+65))&amp;$R11&amp;""),""))</f>
        <v/>
      </c>
      <c r="U11" s="185" t="str">
        <f t="array" aca="1" ref="U11" ca="1">IF($R11&lt;&gt;"",
INDIRECT("F"&amp;$R11&amp;""),"")</f>
        <v/>
      </c>
      <c r="V11" s="122" t="str">
        <f t="array" aca="1" ref="V11" ca="1">IF($R11&lt;&gt;"",
INDIRECT("G"&amp;$R11&amp;""),"")</f>
        <v/>
      </c>
      <c r="W11" s="122" t="str" cm="1">
        <f t="array" aca="1" ref="W11" ca="1">IF($R11&lt;&gt;"",
IF(AND(COUNTIF(INDIRECT("B"&amp;R11&amp;""),"*雙葉*"),COUNTIF($B$71:$B$210,"*雙葉*")&gt;=1),
IF(OR(COUNTIF(INDIRECT("B"&amp;R11&amp;""),"*雙葉先生*"),COUNTIF(INDIRECT("B"&amp;R11-1&amp;""),"*雙葉*")),INDIRECT("H"&amp;R11&amp;""),INDIRECT("H"&amp;R11&amp;"")+INDIRECT("H"&amp;MATCH("雙葉'",INDIRECT("B"&amp;R11+3&amp;":B210"),0)+2+R11&amp;"")),
IF(AND(LEFT(INDIRECT("B"&amp;R11&amp;""),2)="博多",COUNTIF(B:B,"*博多*")&gt;=2),
INDIRECT("H"&amp;R11&amp;"")+IFERROR(INDIRECT("H"&amp;MATCH("*"&amp;INDIRECT("B"&amp;R11&amp;"")&amp;"*",INDIRECT("B"&amp;R11+1&amp;":B210"),0)+R11&amp;""),0),
IF(AND(LEFT(INDIRECT("B"&amp;R11&amp;""),3)="奈良屋",COUNTIF(B:B,"*奈良屋*")&gt;=2),
INDIRECT("H"&amp;R11&amp;"")
+INDIRECT("H"&amp;MATCH("*"&amp;INDIRECT("B"&amp;R11&amp;"")&amp;"*",INDIRECT("B"&amp;R11+1&amp;":B210"),0)+R11&amp;"")
+INDIRECT("H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
+INDIRECT("H"&amp;MATCH("*"&amp;INDIRECT("B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&amp;"*",INDIRECT("B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+1&amp;":B210"),0)+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,
INDIRECT("H"&amp;R11&amp;"")))),"")</f>
        <v/>
      </c>
      <c r="X11" s="122" t="str">
        <f t="array" aca="1" ref="X11" ca="1">IF($R11&lt;&gt;"",
INDIRECT(""&amp;IF(COLUMN(I11)&lt;=26,CHAR(COLUMN(I11)+64),CHAR(INT((COLUMN(I11)-1)/26)+64)&amp;CHAR(MOD(COLUMN(I11)-1,26)+65))&amp;$R11&amp;""),"")</f>
        <v/>
      </c>
      <c r="Y11" s="122" t="str">
        <f t="array" aca="1" ref="Y11" ca="1">IF($R11&lt;&gt;"",
INDIRECT(""&amp;IF(COLUMN(J11)&lt;=26,CHAR(COLUMN(J11)+64),CHAR(INT((COLUMN(J11)-1)/26)+64)&amp;CHAR(MOD(COLUMN(J11)-1,26)+65))&amp;$R11&amp;""),"")</f>
        <v/>
      </c>
      <c r="Z11" s="122" t="str">
        <f t="shared" ca="1" si="2"/>
        <v/>
      </c>
      <c r="AA11" s="122" t="str">
        <f t="shared" ca="1" si="3"/>
        <v/>
      </c>
      <c r="AB11" s="122" t="str">
        <f t="array" aca="1" ref="AB11" ca="1">IF($R11&lt;&gt;"",
IF(AND(COUNTIF(INDIRECT("B"&amp;R11&amp;""),"*雙葉*"),COUNTIF(INDIRECT("B"&amp;R11&amp;""),"&lt;&gt;*先生*"),COUNTIF(B:B,"*雙葉*")&gt;=2),
INDIRECT("M"&amp;R11&amp;"")+INDIRECT("M"&amp;MATCH("雙葉'",INDIRECT("B"&amp;R11+1&amp;":B210"),0)+R11&amp;""),
IF(AND(LEFT(INDIRECT("B"&amp;R11&amp;""),2)="博多",COUNTIF(B:B,"*博多*")&gt;=2),
INDIRECT("M"&amp;R11&amp;"")+INDIRECT("M"&amp;MATCH("*"&amp;INDIRECT("B"&amp;R11&amp;"")&amp;"*",INDIRECT("B"&amp;R11+1&amp;":B210"),0)+R11&amp;""),
IF(AND(LEFT(INDIRECT("B"&amp;R11&amp;""),3)="奈良屋",COUNTIF(B:B,"*奈良屋*")&gt;=2),
INDIRECT("M"&amp;R11&amp;"")+INDIRECT("M"&amp;MATCH("*"&amp;INDIRECT("B"&amp;R11&amp;"")&amp;"*",INDIRECT("B"&amp;R11+1&amp;":B210"),0)+R11&amp;"")
+INDIRECT("M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,
INDIRECT("M"&amp;R11&amp;"")))),"")</f>
        <v/>
      </c>
      <c r="AC11" s="122" t="str">
        <f t="shared" ca="1" si="4"/>
        <v/>
      </c>
      <c r="AD11" s="176" t="str">
        <f t="shared" ca="1" si="5"/>
        <v/>
      </c>
      <c r="AE11" s="176" t="str">
        <f t="shared" ca="1" si="6"/>
        <v/>
      </c>
      <c r="AF11" s="176" t="str">
        <f t="shared" ca="1" si="7"/>
        <v/>
      </c>
      <c r="AG11" s="176" t="str">
        <f t="shared" ca="1" si="8"/>
        <v/>
      </c>
      <c r="AH11" s="183" t="str">
        <f t="shared" ca="1" si="9"/>
        <v/>
      </c>
      <c r="AI11" s="176" t="str">
        <f t="shared" ca="1" si="10"/>
        <v/>
      </c>
      <c r="AJ11" s="176" t="str">
        <f t="shared" ca="1" si="11"/>
        <v/>
      </c>
      <c r="AK11" s="176" t="str">
        <f t="shared" ca="1" si="12"/>
        <v/>
      </c>
      <c r="AL11" s="176" t="str">
        <f t="shared" ca="1" si="13"/>
        <v/>
      </c>
      <c r="AM11" s="176" t="str">
        <f t="shared" ca="1" si="14"/>
        <v/>
      </c>
      <c r="AN11" s="176" t="str">
        <f t="shared" ca="1" si="15"/>
        <v/>
      </c>
      <c r="AO11" s="176" t="str">
        <f t="shared" ca="1" si="16"/>
        <v/>
      </c>
      <c r="AP11" s="176" t="str">
        <f t="shared" ca="1" si="17"/>
        <v/>
      </c>
      <c r="AU11" s="176" t="str">
        <f t="shared" ca="1" si="18"/>
        <v/>
      </c>
      <c r="AW11" s="106" t="str">
        <f ca="1">IFERROR(IF(AF11&lt;&gt;"",OFFSET('数出表_Excel（アレルギー入力）'!$A$1,MATCH(AF11,'数出表_Excel（アレルギー入力）'!A:A,0)-2,0),""),"")</f>
        <v/>
      </c>
      <c r="AX11" s="106" t="str">
        <f ca="1">IF(AW11&lt;&gt;"",
OFFSET(得意先マスタ!$A$1,MATCH(AW11,得意先マスタ!A:A,0)-1,24),"")</f>
        <v/>
      </c>
      <c r="AY11" s="57">
        <f t="shared" ca="1" si="21"/>
        <v>0</v>
      </c>
      <c r="AZ11" s="57">
        <f t="shared" ca="1" si="22"/>
        <v>0</v>
      </c>
      <c r="BA11" s="57">
        <f t="shared" ca="1" si="23"/>
        <v>0</v>
      </c>
      <c r="BB11" s="176">
        <f t="shared" ca="1" si="24"/>
        <v>0</v>
      </c>
    </row>
    <row r="12" spans="1:54" ht="18" customHeight="1">
      <c r="A12" s="101">
        <f t="shared" si="19"/>
        <v>29</v>
      </c>
      <c r="B12" s="45" t="str">
        <f t="shared" si="20"/>
        <v/>
      </c>
      <c r="C12" s="45" t="str">
        <f>IF(OR(クライアント抽出!B12&lt;&gt;"",クライアント抽出!E12&lt;&gt;""),クライアント抽出!A12,"")</f>
        <v/>
      </c>
      <c r="D12" s="45" t="str">
        <f t="array" aca="1" ref="D12" ca="1">IF(C12&lt;&gt;"",INDIRECT("クライアント抽出!"&amp;E12&amp;MATCH(C12,クライアント抽出!A:A,0)&amp;""),"")</f>
        <v/>
      </c>
      <c r="E12" s="45" t="str">
        <f>IF(H12&lt;&gt;0,
IFERROR(
SUBSTITUTE(ADDRESS(1,
MATCH(VALUE(H12),クライアント抽出!A12:G12,0)+8,4),"1",""),
""),
IFERROR(
SUBSTITUTE(ADDRESS(1,
MATCH(VALUE(I12),クライアント抽出!A12:G12,0)+8,4),"1",""),
""))</f>
        <v/>
      </c>
      <c r="F12" s="184" t="str">
        <f ca="1">IF(D12&lt;&gt;"",
IF(COUNTIF(C12,"*雙葉*"),
IF(ROUND((H12-M12)
/IF(COUNTIF(D12,"*キャラ*"),
VLOOKUP("*キャラ*",商品マスタ!$D:$E,2,FALSE),
IF(COUNTIF(D12,"*赤*"),
VLOOKUP("*赤*",商品マスタ!$D:$E,2,FALSE),
VLOOKUP("*"&amp;D12&amp;"*",商品マスタ!$D:$E,2,FALSE))),0)&lt;=0,1,
ROUND((H12-M12)
/IF(COUNTIF(D12,"*キャラ*"),
VLOOKUP("*キャラ*",商品マスタ!$D:$E,2,FALSE),
IF(COUNTIF(D12,"*赤*"),
VLOOKUP("*赤*",商品マスタ!$D:$E,2,FALSE),
VLOOKUP("*"&amp;D12&amp;"*",商品マスタ!$D:$E,2,FALSE))),0)),
IF(OR(COUNTIF(D12,"*キャラ*"),COUNTIF(D12,"*赤*")),"",
IF(VLOOKUP("*"&amp;D12&amp;"*",商品マスタ!$D:$E,2,FALSE)=0,"",
IF(ROUND((H12-M12)
/VLOOKUP("*"&amp;D12&amp;"*",商品マスタ!$D:$E,2,FALSE),0)&lt;=0,1,
ROUND((H12-M12)
/VLOOKUP("*"&amp;D12&amp;"*",商品マスタ!$D:$E,2,FALSE),0))))),"")</f>
        <v/>
      </c>
      <c r="G12" s="45" t="str">
        <f ca="1">IF(F12&lt;&gt;"",
IF(VALUE(H12-M12)&gt;VALUE(IF(COUNTIF(D12,"*キャラ*"),
VLOOKUP("*キャラ*",商品マスタ!$D:$E,2,FALSE),
IF(COUNTIF(D12,"*赤*"),
VLOOKUP("*赤*",商品マスタ!$D:$E,2,FALSE),
VLOOKUP("*"&amp;D12&amp;"*",商品マスタ!$D:$E,2,FALSE)))*F12),
"+"&amp;(H12-M12)-IF(COUNTIF(D12,"*キャラ*"),
VLOOKUP("*キャラ*",商品マスタ!$D:$E,2,FALSE),
IF(COUNTIF(D12,"*赤*"),
VLOOKUP("*赤*",商品マスタ!$D:$E,2,FALSE),
VLOOKUP("*"&amp;D12&amp;"*",商品マスタ!$D:$E,2,FALSE)))*F12,
(H12-M12)-IF(COUNTIF(D12,"*キャラ*"),
VLOOKUP("*キャラ*",商品マスタ!$D:$E,2,FALSE),
IF(COUNTIF(D12,"*赤*"),
VLOOKUP("*赤*",商品マスタ!$D:$E,2,FALSE),
VLOOKUP("*"&amp;D12&amp;"*",商品マスタ!$D:$E,2,FALSE)))*F12),"")</f>
        <v/>
      </c>
      <c r="H12" s="99" t="str">
        <f>IF(C12&lt;&gt;"",
クライアント抽出!B12,"")</f>
        <v/>
      </c>
      <c r="I12" s="45" t="str">
        <f t="array" aca="1" ref="I12" ca="1">IF(C12&lt;&gt;"",
IF(O12=1,
IF(SUMPRODUCT(COUNTIF(クライアント抽出!P12:U12,クライアント抽出!P12:U12))&gt;COUNTA(クライアント抽出!P12:U12),
IFERROR(INDIRECT("数出表_Excel!"&amp;INDEX(_xlfn.UNIQUE(_xlfn._xlws.FILTER(クライアント抽出!P12:U12,COUNTIF(クライアント抽出!P12:U12,クライアント抽出!P12:U12)&gt;1)),1)&amp;L12&amp;""),
クライアント抽出!E12),0),クライアント抽出!E12),"")</f>
        <v/>
      </c>
      <c r="J12" s="45" t="str">
        <f>IF(C12&lt;&gt;"",
VLOOKUP(
"*"&amp;LEFT(IF(COUNTIF(D12,"*学食*"),"キャラ弁（学食）",
IF(COUNTIF(D12,"*赤*"),"赤",
IF(COUNTIF(D12,"*キャラ弁当*"),"キャラ弁当",D12))),4)&amp;"*",注文弁当の抽出!$F$1:$G$15,2,FALSE),"")</f>
        <v/>
      </c>
      <c r="K12" s="45" t="str">
        <f ca="1">IF(クライアント抽出!P12&lt;&gt;"",SUBSTITUTE(ADDRESS(1,(CODE(クライアント抽出!P12)-64)*2-1,4),"1",""),"")</f>
        <v/>
      </c>
      <c r="L12" s="45" t="str">
        <f>IF(C12&lt;&gt;"",クライアント抽出!I12,"")</f>
        <v/>
      </c>
      <c r="M12" s="45">
        <f t="array" aca="1" ref="M12" ca="1">IF(C12&lt;&gt;"",
IF(K12&lt;&gt;"",INDIRECT("'数出表_Excel（アレルギー入力）'!"&amp;K12&amp;L12-1&amp;""),),)</f>
        <v>0</v>
      </c>
      <c r="N12" s="45" t="str">
        <f>IF(C12&lt;&gt;"",IF(OR(COUNTIF('盛付札（関数）'!D12,"*赤*"),COUNTIF('盛付札（関数）'!D12,"*キャラ*")),1,
VALUE(VLOOKUP("*"&amp;D12&amp;"*",商品マスタ!D:H,5,FALSE))),"")</f>
        <v/>
      </c>
      <c r="O12" s="45">
        <f ca="1">IF(LEN(クライアント抽出!V12)-LEN(SUBSTITUTE(クライアント抽出!V12,",",""))&lt;&gt;1,
IF(AND(クライアント抽出!P12&lt;&gt;"",クライアント抽出!S12&lt;&gt;""),
IF(クライアント抽出!P12&lt;&gt;クライアント抽出!S12,1,0),0),0)</f>
        <v>0</v>
      </c>
      <c r="P12" s="45">
        <f t="shared" si="0"/>
        <v>0</v>
      </c>
      <c r="Q12" s="45" t="b">
        <f t="shared" si="1"/>
        <v>0</v>
      </c>
      <c r="R12" s="122" t="str">
        <f t="array" aca="1" ref="R12" ca="1">IFERROR(SMALL(IF(P$1:P$311&lt;&gt;0,P$1:P$311),ROW(A12)),"")</f>
        <v/>
      </c>
      <c r="S12" s="122" t="str">
        <f t="array" aca="1" ref="S12" ca="1">IF($R12&lt;&gt;"",
SUBSTITUTE(SUBSTITUTE(INDIRECT("C"&amp;$R12&amp;"")," 週3ｺｰｽ","")," 週5ｺｰｽ",""),"")</f>
        <v/>
      </c>
      <c r="T12" s="122" t="str">
        <f t="array" aca="1" ref="T12" ca="1">IF(IF($R12&lt;&gt;"",
INDIRECT(""&amp;IF(COLUMN(D12)&lt;=26,CHAR(COLUMN(D12)+64),CHAR(INT((COLUMN(D12)-1)/26)+64)&amp;CHAR(MOD(COLUMN(D12)-1,26)+65))&amp;$R12&amp;""),"")=0,"",
IF($R12&lt;&gt;"",
INDIRECT(""&amp;IF(COLUMN(D12)&lt;=26,CHAR(COLUMN(D12)+64),CHAR(INT((COLUMN(D12)-1)/26)+64)&amp;CHAR(MOD(COLUMN(D12)-1,26)+65))&amp;$R12&amp;""),""))</f>
        <v/>
      </c>
      <c r="U12" s="185" t="str">
        <f t="array" aca="1" ref="U12" ca="1">IF($R12&lt;&gt;"",
INDIRECT("F"&amp;$R12&amp;""),"")</f>
        <v/>
      </c>
      <c r="V12" s="122" t="str">
        <f t="array" aca="1" ref="V12" ca="1">IF($R12&lt;&gt;"",
INDIRECT("G"&amp;$R12&amp;""),"")</f>
        <v/>
      </c>
      <c r="W12" s="122" t="str" cm="1">
        <f t="array" aca="1" ref="W12" ca="1">IF($R12&lt;&gt;"",
IF(AND(COUNTIF(INDIRECT("B"&amp;R12&amp;""),"*雙葉*"),COUNTIF($B$71:$B$210,"*雙葉*")&gt;=1),
IF(OR(COUNTIF(INDIRECT("B"&amp;R12&amp;""),"*雙葉先生*"),COUNTIF(INDIRECT("B"&amp;R12-1&amp;""),"*雙葉*")),INDIRECT("H"&amp;R12&amp;""),INDIRECT("H"&amp;R12&amp;"")+INDIRECT("H"&amp;MATCH("雙葉'",INDIRECT("B"&amp;R12+3&amp;":B210"),0)+2+R12&amp;"")),
IF(AND(LEFT(INDIRECT("B"&amp;R12&amp;""),2)="博多",COUNTIF(B:B,"*博多*")&gt;=2),
INDIRECT("H"&amp;R12&amp;"")+IFERROR(INDIRECT("H"&amp;MATCH("*"&amp;INDIRECT("B"&amp;R12&amp;"")&amp;"*",INDIRECT("B"&amp;R12+1&amp;":B210"),0)+R12&amp;""),0),
IF(AND(LEFT(INDIRECT("B"&amp;R12&amp;""),3)="奈良屋",COUNTIF(B:B,"*奈良屋*")&gt;=2),
INDIRECT("H"&amp;R12&amp;"")
+INDIRECT("H"&amp;MATCH("*"&amp;INDIRECT("B"&amp;R12&amp;"")&amp;"*",INDIRECT("B"&amp;R12+1&amp;":B210"),0)+R12&amp;"")
+INDIRECT("H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
+INDIRECT("H"&amp;MATCH("*"&amp;INDIRECT("B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&amp;"*",INDIRECT("B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+1&amp;":B210"),0)+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,
INDIRECT("H"&amp;R12&amp;"")))),"")</f>
        <v/>
      </c>
      <c r="X12" s="122" t="str">
        <f t="array" aca="1" ref="X12" ca="1">IF($R12&lt;&gt;"",
INDIRECT(""&amp;IF(COLUMN(I12)&lt;=26,CHAR(COLUMN(I12)+64),CHAR(INT((COLUMN(I12)-1)/26)+64)&amp;CHAR(MOD(COLUMN(I12)-1,26)+65))&amp;$R12&amp;""),"")</f>
        <v/>
      </c>
      <c r="Y12" s="122" t="str">
        <f t="array" aca="1" ref="Y12" ca="1">IF($R12&lt;&gt;"",
INDIRECT(""&amp;IF(COLUMN(J12)&lt;=26,CHAR(COLUMN(J12)+64),CHAR(INT((COLUMN(J12)-1)/26)+64)&amp;CHAR(MOD(COLUMN(J12)-1,26)+65))&amp;$R12&amp;""),"")</f>
        <v/>
      </c>
      <c r="Z12" s="122" t="str">
        <f t="shared" ca="1" si="2"/>
        <v/>
      </c>
      <c r="AA12" s="122" t="str">
        <f t="shared" ca="1" si="3"/>
        <v/>
      </c>
      <c r="AB12" s="122" t="str">
        <f t="array" aca="1" ref="AB12" ca="1">IF($R12&lt;&gt;"",
IF(AND(COUNTIF(INDIRECT("B"&amp;R12&amp;""),"*雙葉*"),COUNTIF(INDIRECT("B"&amp;R12&amp;""),"&lt;&gt;*先生*"),COUNTIF(B:B,"*雙葉*")&gt;=2),
INDIRECT("M"&amp;R12&amp;"")+INDIRECT("M"&amp;MATCH("雙葉'",INDIRECT("B"&amp;R12+1&amp;":B210"),0)+R12&amp;""),
IF(AND(LEFT(INDIRECT("B"&amp;R12&amp;""),2)="博多",COUNTIF(B:B,"*博多*")&gt;=2),
INDIRECT("M"&amp;R12&amp;"")+INDIRECT("M"&amp;MATCH("*"&amp;INDIRECT("B"&amp;R12&amp;"")&amp;"*",INDIRECT("B"&amp;R12+1&amp;":B210"),0)+R12&amp;""),
IF(AND(LEFT(INDIRECT("B"&amp;R12&amp;""),3)="奈良屋",COUNTIF(B:B,"*奈良屋*")&gt;=2),
INDIRECT("M"&amp;R12&amp;"")+INDIRECT("M"&amp;MATCH("*"&amp;INDIRECT("B"&amp;R12&amp;"")&amp;"*",INDIRECT("B"&amp;R12+1&amp;":B210"),0)+R12&amp;"")
+INDIRECT("M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,
INDIRECT("M"&amp;R12&amp;"")))),"")</f>
        <v/>
      </c>
      <c r="AC12" s="122" t="str">
        <f t="shared" ca="1" si="4"/>
        <v/>
      </c>
      <c r="AD12" s="176" t="str">
        <f t="shared" ca="1" si="5"/>
        <v/>
      </c>
      <c r="AE12" s="176" t="str">
        <f t="shared" ca="1" si="6"/>
        <v/>
      </c>
      <c r="AF12" s="176" t="str">
        <f t="shared" ca="1" si="7"/>
        <v/>
      </c>
      <c r="AG12" s="176" t="str">
        <f t="shared" ca="1" si="8"/>
        <v/>
      </c>
      <c r="AH12" s="183" t="str">
        <f t="shared" ca="1" si="9"/>
        <v/>
      </c>
      <c r="AI12" s="176" t="str">
        <f t="shared" ca="1" si="10"/>
        <v/>
      </c>
      <c r="AJ12" s="176" t="str">
        <f t="shared" ca="1" si="11"/>
        <v/>
      </c>
      <c r="AK12" s="176" t="str">
        <f t="shared" ca="1" si="12"/>
        <v/>
      </c>
      <c r="AL12" s="176" t="str">
        <f t="shared" ca="1" si="13"/>
        <v/>
      </c>
      <c r="AM12" s="176" t="str">
        <f t="shared" ca="1" si="14"/>
        <v/>
      </c>
      <c r="AN12" s="176" t="str">
        <f t="shared" ca="1" si="15"/>
        <v/>
      </c>
      <c r="AO12" s="176" t="str">
        <f t="shared" ca="1" si="16"/>
        <v/>
      </c>
      <c r="AP12" s="176" t="str">
        <f t="shared" ca="1" si="17"/>
        <v/>
      </c>
      <c r="AU12" s="176" t="str">
        <f t="shared" ca="1" si="18"/>
        <v/>
      </c>
      <c r="AW12" s="106" t="str">
        <f ca="1">IFERROR(IF(AF12&lt;&gt;"",OFFSET('数出表_Excel（アレルギー入力）'!$A$1,MATCH(AF12,'数出表_Excel（アレルギー入力）'!A:A,0)-2,0),""),"")</f>
        <v/>
      </c>
      <c r="AX12" s="106" t="str">
        <f ca="1">IF(AW12&lt;&gt;"",
OFFSET(得意先マスタ!$A$1,MATCH(AW12,得意先マスタ!A:A,0)-1,24),"")</f>
        <v/>
      </c>
      <c r="AY12" s="57">
        <f t="shared" ca="1" si="21"/>
        <v>0</v>
      </c>
      <c r="AZ12" s="57">
        <f t="shared" ca="1" si="22"/>
        <v>0</v>
      </c>
      <c r="BA12" s="57">
        <f t="shared" ca="1" si="23"/>
        <v>0</v>
      </c>
      <c r="BB12" s="176">
        <f t="shared" ca="1" si="24"/>
        <v>0</v>
      </c>
    </row>
    <row r="13" spans="1:54" ht="22.2" customHeight="1">
      <c r="A13" s="101">
        <f t="shared" si="19"/>
        <v>31</v>
      </c>
      <c r="B13" s="45" t="str">
        <f t="shared" si="20"/>
        <v/>
      </c>
      <c r="C13" s="45" t="str">
        <f>IF(OR(クライアント抽出!B13&lt;&gt;"",クライアント抽出!E13&lt;&gt;""),クライアント抽出!A13,"")</f>
        <v/>
      </c>
      <c r="D13" s="45" t="str">
        <f t="array" aca="1" ref="D13" ca="1">IF(C13&lt;&gt;"",INDIRECT("クライアント抽出!"&amp;E13&amp;MATCH(C13,クライアント抽出!A:A,0)&amp;""),"")</f>
        <v/>
      </c>
      <c r="E13" s="45" t="str">
        <f>IF(H13&lt;&gt;0,
IFERROR(
SUBSTITUTE(ADDRESS(1,
MATCH(VALUE(H13),クライアント抽出!A13:G13,0)+8,4),"1",""),
""),
IFERROR(
SUBSTITUTE(ADDRESS(1,
MATCH(VALUE(I13),クライアント抽出!A13:G13,0)+8,4),"1",""),
""))</f>
        <v/>
      </c>
      <c r="F13" s="184" t="str">
        <f ca="1">IF(D13&lt;&gt;"",
IF(COUNTIF(C13,"*雙葉*"),
IF(ROUND((H13-M13)
/IF(COUNTIF(D13,"*キャラ*"),
VLOOKUP("*キャラ*",商品マスタ!$D:$E,2,FALSE),
IF(COUNTIF(D13,"*赤*"),
VLOOKUP("*赤*",商品マスタ!$D:$E,2,FALSE),
VLOOKUP("*"&amp;D13&amp;"*",商品マスタ!$D:$E,2,FALSE))),0)&lt;=0,1,
ROUND((H13-M13)
/IF(COUNTIF(D13,"*キャラ*"),
VLOOKUP("*キャラ*",商品マスタ!$D:$E,2,FALSE),
IF(COUNTIF(D13,"*赤*"),
VLOOKUP("*赤*",商品マスタ!$D:$E,2,FALSE),
VLOOKUP("*"&amp;D13&amp;"*",商品マスタ!$D:$E,2,FALSE))),0)),
IF(OR(COUNTIF(D13,"*キャラ*"),COUNTIF(D13,"*赤*")),"",
IF(VLOOKUP("*"&amp;D13&amp;"*",商品マスタ!$D:$E,2,FALSE)=0,"",
IF(ROUND((H13-M13)
/VLOOKUP("*"&amp;D13&amp;"*",商品マスタ!$D:$E,2,FALSE),0)&lt;=0,1,
ROUND((H13-M13)
/VLOOKUP("*"&amp;D13&amp;"*",商品マスタ!$D:$E,2,FALSE),0))))),"")</f>
        <v/>
      </c>
      <c r="G13" s="45" t="str">
        <f ca="1">IF(F13&lt;&gt;"",
IF(VALUE(H13-M13)&gt;VALUE(IF(COUNTIF(D13,"*キャラ*"),
VLOOKUP("*キャラ*",商品マスタ!$D:$E,2,FALSE),
IF(COUNTIF(D13,"*赤*"),
VLOOKUP("*赤*",商品マスタ!$D:$E,2,FALSE),
VLOOKUP("*"&amp;D13&amp;"*",商品マスタ!$D:$E,2,FALSE)))*F13),
"+"&amp;(H13-M13)-IF(COUNTIF(D13,"*キャラ*"),
VLOOKUP("*キャラ*",商品マスタ!$D:$E,2,FALSE),
IF(COUNTIF(D13,"*赤*"),
VLOOKUP("*赤*",商品マスタ!$D:$E,2,FALSE),
VLOOKUP("*"&amp;D13&amp;"*",商品マスタ!$D:$E,2,FALSE)))*F13,
(H13-M13)-IF(COUNTIF(D13,"*キャラ*"),
VLOOKUP("*キャラ*",商品マスタ!$D:$E,2,FALSE),
IF(COUNTIF(D13,"*赤*"),
VLOOKUP("*赤*",商品マスタ!$D:$E,2,FALSE),
VLOOKUP("*"&amp;D13&amp;"*",商品マスタ!$D:$E,2,FALSE)))*F13),"")</f>
        <v/>
      </c>
      <c r="H13" s="99" t="str">
        <f>IF(C13&lt;&gt;"",
クライアント抽出!B13,"")</f>
        <v/>
      </c>
      <c r="I13" s="45" t="str">
        <f t="array" aca="1" ref="I13" ca="1">IF(C13&lt;&gt;"",
IF(O13=1,
IF(SUMPRODUCT(COUNTIF(クライアント抽出!P13:U13,クライアント抽出!P13:U13))&gt;COUNTA(クライアント抽出!P13:U13),
IFERROR(INDIRECT("数出表_Excel!"&amp;INDEX(_xlfn.UNIQUE(_xlfn._xlws.FILTER(クライアント抽出!P13:U13,COUNTIF(クライアント抽出!P13:U13,クライアント抽出!P13:U13)&gt;1)),1)&amp;L13&amp;""),
クライアント抽出!E13),0),クライアント抽出!E13),"")</f>
        <v/>
      </c>
      <c r="J13" s="45" t="str">
        <f>IF(C13&lt;&gt;"",
VLOOKUP(
"*"&amp;LEFT(IF(COUNTIF(D13,"*学食*"),"キャラ弁（学食）",
IF(COUNTIF(D13,"*赤*"),"赤",
IF(COUNTIF(D13,"*キャラ弁当*"),"キャラ弁当",D13))),4)&amp;"*",注文弁当の抽出!$F$1:$G$15,2,FALSE),"")</f>
        <v/>
      </c>
      <c r="K13" s="45" t="str">
        <f ca="1">IF(クライアント抽出!P13&lt;&gt;"",SUBSTITUTE(ADDRESS(1,(CODE(クライアント抽出!P13)-64)*2-1,4),"1",""),"")</f>
        <v/>
      </c>
      <c r="L13" s="45" t="str">
        <f>IF(C13&lt;&gt;"",クライアント抽出!I13,"")</f>
        <v/>
      </c>
      <c r="M13" s="45">
        <f t="array" aca="1" ref="M13" ca="1">IF(C13&lt;&gt;"",
IF(K13&lt;&gt;"",INDIRECT("'数出表_Excel（アレルギー入力）'!"&amp;K13&amp;L13-1&amp;""),),)</f>
        <v>0</v>
      </c>
      <c r="N13" s="45" t="str">
        <f>IF(C13&lt;&gt;"",IF(OR(COUNTIF('盛付札（関数）'!D13,"*赤*"),COUNTIF('盛付札（関数）'!D13,"*キャラ*")),1,
VALUE(VLOOKUP("*"&amp;D13&amp;"*",商品マスタ!D:H,5,FALSE))),"")</f>
        <v/>
      </c>
      <c r="O13" s="45">
        <f ca="1">IF(LEN(クライアント抽出!V13)-LEN(SUBSTITUTE(クライアント抽出!V13,",",""))&lt;&gt;1,
IF(AND(クライアント抽出!P13&lt;&gt;"",クライアント抽出!S13&lt;&gt;""),
IF(クライアント抽出!P13&lt;&gt;クライアント抽出!S13,1,0),0),0)</f>
        <v>0</v>
      </c>
      <c r="P13" s="45">
        <f t="shared" si="0"/>
        <v>0</v>
      </c>
      <c r="Q13" s="45" t="b">
        <f t="shared" si="1"/>
        <v>0</v>
      </c>
      <c r="R13" s="122" t="str">
        <f t="array" aca="1" ref="R13" ca="1">IFERROR(SMALL(IF(P$1:P$311&lt;&gt;0,P$1:P$311),ROW(A13)),"")</f>
        <v/>
      </c>
      <c r="S13" s="122" t="str">
        <f t="array" aca="1" ref="S13" ca="1">IF($R13&lt;&gt;"",
SUBSTITUTE(SUBSTITUTE(INDIRECT("C"&amp;$R13&amp;"")," 週3ｺｰｽ","")," 週5ｺｰｽ",""),"")</f>
        <v/>
      </c>
      <c r="T13" s="122" t="str">
        <f t="array" aca="1" ref="T13" ca="1">IF(IF($R13&lt;&gt;"",
INDIRECT(""&amp;IF(COLUMN(D13)&lt;=26,CHAR(COLUMN(D13)+64),CHAR(INT((COLUMN(D13)-1)/26)+64)&amp;CHAR(MOD(COLUMN(D13)-1,26)+65))&amp;$R13&amp;""),"")=0,"",
IF($R13&lt;&gt;"",
INDIRECT(""&amp;IF(COLUMN(D13)&lt;=26,CHAR(COLUMN(D13)+64),CHAR(INT((COLUMN(D13)-1)/26)+64)&amp;CHAR(MOD(COLUMN(D13)-1,26)+65))&amp;$R13&amp;""),""))</f>
        <v/>
      </c>
      <c r="U13" s="185" t="str">
        <f t="array" aca="1" ref="U13" ca="1">IF($R13&lt;&gt;"",
INDIRECT("F"&amp;$R13&amp;""),"")</f>
        <v/>
      </c>
      <c r="V13" s="122" t="str">
        <f t="array" aca="1" ref="V13" ca="1">IF($R13&lt;&gt;"",
INDIRECT("G"&amp;$R13&amp;""),"")</f>
        <v/>
      </c>
      <c r="W13" s="122" t="str" cm="1">
        <f t="array" aca="1" ref="W13" ca="1">IF($R13&lt;&gt;"",
IF(AND(COUNTIF(INDIRECT("B"&amp;R13&amp;""),"*雙葉*"),COUNTIF($B$71:$B$210,"*雙葉*")&gt;=1),
IF(OR(COUNTIF(INDIRECT("B"&amp;R13&amp;""),"*雙葉先生*"),COUNTIF(INDIRECT("B"&amp;R13-1&amp;""),"*雙葉*")),INDIRECT("H"&amp;R13&amp;""),INDIRECT("H"&amp;R13&amp;"")+INDIRECT("H"&amp;MATCH("雙葉'",INDIRECT("B"&amp;R13+3&amp;":B210"),0)+2+R13&amp;"")),
IF(AND(LEFT(INDIRECT("B"&amp;R13&amp;""),2)="博多",COUNTIF(B:B,"*博多*")&gt;=2),
INDIRECT("H"&amp;R13&amp;"")+IFERROR(INDIRECT("H"&amp;MATCH("*"&amp;INDIRECT("B"&amp;R13&amp;"")&amp;"*",INDIRECT("B"&amp;R13+1&amp;":B210"),0)+R13&amp;""),0),
IF(AND(LEFT(INDIRECT("B"&amp;R13&amp;""),3)="奈良屋",COUNTIF(B:B,"*奈良屋*")&gt;=2),
INDIRECT("H"&amp;R13&amp;"")
+INDIRECT("H"&amp;MATCH("*"&amp;INDIRECT("B"&amp;R13&amp;"")&amp;"*",INDIRECT("B"&amp;R13+1&amp;":B210"),0)+R13&amp;"")
+INDIRECT("H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
+INDIRECT("H"&amp;MATCH("*"&amp;INDIRECT("B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&amp;"*",INDIRECT("B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+1&amp;":B210"),0)+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,
INDIRECT("H"&amp;R13&amp;"")))),"")</f>
        <v/>
      </c>
      <c r="X13" s="122" t="str">
        <f t="array" aca="1" ref="X13" ca="1">IF($R13&lt;&gt;"",
INDIRECT(""&amp;IF(COLUMN(I13)&lt;=26,CHAR(COLUMN(I13)+64),CHAR(INT((COLUMN(I13)-1)/26)+64)&amp;CHAR(MOD(COLUMN(I13)-1,26)+65))&amp;$R13&amp;""),"")</f>
        <v/>
      </c>
      <c r="Y13" s="122" t="str">
        <f t="array" aca="1" ref="Y13" ca="1">IF($R13&lt;&gt;"",
INDIRECT(""&amp;IF(COLUMN(J13)&lt;=26,CHAR(COLUMN(J13)+64),CHAR(INT((COLUMN(J13)-1)/26)+64)&amp;CHAR(MOD(COLUMN(J13)-1,26)+65))&amp;$R13&amp;""),"")</f>
        <v/>
      </c>
      <c r="Z13" s="122" t="str">
        <f t="shared" ca="1" si="2"/>
        <v/>
      </c>
      <c r="AA13" s="122" t="str">
        <f t="shared" ca="1" si="3"/>
        <v/>
      </c>
      <c r="AB13" s="122" t="str">
        <f t="array" aca="1" ref="AB13" ca="1">IF($R13&lt;&gt;"",
IF(AND(COUNTIF(INDIRECT("B"&amp;R13&amp;""),"*雙葉*"),COUNTIF(INDIRECT("B"&amp;R13&amp;""),"&lt;&gt;*先生*"),COUNTIF(B:B,"*雙葉*")&gt;=2),
INDIRECT("M"&amp;R13&amp;"")+INDIRECT("M"&amp;MATCH("雙葉'",INDIRECT("B"&amp;R13+1&amp;":B210"),0)+R13&amp;""),
IF(AND(LEFT(INDIRECT("B"&amp;R13&amp;""),2)="博多",COUNTIF(B:B,"*博多*")&gt;=2),
INDIRECT("M"&amp;R13&amp;"")+INDIRECT("M"&amp;MATCH("*"&amp;INDIRECT("B"&amp;R13&amp;"")&amp;"*",INDIRECT("B"&amp;R13+1&amp;":B210"),0)+R13&amp;""),
IF(AND(LEFT(INDIRECT("B"&amp;R13&amp;""),3)="奈良屋",COUNTIF(B:B,"*奈良屋*")&gt;=2),
INDIRECT("M"&amp;R13&amp;"")+INDIRECT("M"&amp;MATCH("*"&amp;INDIRECT("B"&amp;R13&amp;"")&amp;"*",INDIRECT("B"&amp;R13+1&amp;":B210"),0)+R13&amp;"")
+INDIRECT("M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,
INDIRECT("M"&amp;R13&amp;"")))),"")</f>
        <v/>
      </c>
      <c r="AC13" s="122" t="str">
        <f t="shared" ca="1" si="4"/>
        <v/>
      </c>
      <c r="AD13" s="176" t="str">
        <f t="shared" ca="1" si="5"/>
        <v/>
      </c>
      <c r="AE13" s="176" t="str">
        <f t="shared" ca="1" si="6"/>
        <v/>
      </c>
      <c r="AF13" s="176" t="str">
        <f t="shared" ca="1" si="7"/>
        <v/>
      </c>
      <c r="AG13" s="176" t="str">
        <f t="shared" ca="1" si="8"/>
        <v/>
      </c>
      <c r="AH13" s="183" t="str">
        <f t="shared" ca="1" si="9"/>
        <v/>
      </c>
      <c r="AI13" s="176" t="str">
        <f t="shared" ca="1" si="10"/>
        <v/>
      </c>
      <c r="AJ13" s="176" t="str">
        <f t="shared" ca="1" si="11"/>
        <v/>
      </c>
      <c r="AK13" s="176" t="str">
        <f t="shared" ca="1" si="12"/>
        <v/>
      </c>
      <c r="AL13" s="176" t="str">
        <f t="shared" ca="1" si="13"/>
        <v/>
      </c>
      <c r="AM13" s="176" t="str">
        <f t="shared" ca="1" si="14"/>
        <v/>
      </c>
      <c r="AN13" s="176" t="str">
        <f t="shared" ca="1" si="15"/>
        <v/>
      </c>
      <c r="AO13" s="176" t="str">
        <f t="shared" ca="1" si="16"/>
        <v/>
      </c>
      <c r="AP13" s="176" t="str">
        <f t="shared" ca="1" si="17"/>
        <v/>
      </c>
      <c r="AU13" s="176" t="str">
        <f t="shared" ca="1" si="18"/>
        <v/>
      </c>
      <c r="AW13" s="106" t="str">
        <f ca="1">IFERROR(IF(AF13&lt;&gt;"",OFFSET('数出表_Excel（アレルギー入力）'!$A$1,MATCH(AF13,'数出表_Excel（アレルギー入力）'!A:A,0)-2,0),""),"")</f>
        <v/>
      </c>
      <c r="AX13" s="106" t="str">
        <f ca="1">IF(AW13&lt;&gt;"",
OFFSET(得意先マスタ!$A$1,MATCH(AW13,得意先マスタ!A:A,0)-1,24),"")</f>
        <v/>
      </c>
      <c r="AY13" s="57">
        <f t="shared" ca="1" si="21"/>
        <v>0</v>
      </c>
      <c r="AZ13" s="57">
        <f t="shared" ca="1" si="22"/>
        <v>0</v>
      </c>
      <c r="BA13" s="57">
        <f t="shared" ca="1" si="23"/>
        <v>0</v>
      </c>
      <c r="BB13" s="176">
        <f t="shared" ca="1" si="24"/>
        <v>0</v>
      </c>
    </row>
    <row r="14" spans="1:54" ht="21" customHeight="1">
      <c r="A14" s="101">
        <f t="shared" si="19"/>
        <v>33</v>
      </c>
      <c r="B14" s="45" t="str">
        <f t="shared" si="20"/>
        <v/>
      </c>
      <c r="C14" s="45" t="str">
        <f>IF(OR(クライアント抽出!B14&lt;&gt;"",クライアント抽出!E14&lt;&gt;""),クライアント抽出!A14,"")</f>
        <v/>
      </c>
      <c r="D14" s="45" t="str">
        <f t="array" aca="1" ref="D14" ca="1">IF(C14&lt;&gt;"",INDIRECT("クライアント抽出!"&amp;E14&amp;MATCH(C14,クライアント抽出!A:A,0)&amp;""),"")</f>
        <v/>
      </c>
      <c r="E14" s="45" t="str">
        <f>IF(H14&lt;&gt;0,
IFERROR(
SUBSTITUTE(ADDRESS(1,
MATCH(VALUE(H14),クライアント抽出!A14:G14,0)+8,4),"1",""),
""),
IFERROR(
SUBSTITUTE(ADDRESS(1,
MATCH(VALUE(I14),クライアント抽出!A14:G14,0)+8,4),"1",""),
""))</f>
        <v/>
      </c>
      <c r="F14" s="184" t="str">
        <f ca="1">IF(D14&lt;&gt;"",
IF(COUNTIF(C14,"*雙葉*"),
IF(ROUND((H14-M14)
/IF(COUNTIF(D14,"*キャラ*"),
VLOOKUP("*キャラ*",商品マスタ!$D:$E,2,FALSE),
IF(COUNTIF(D14,"*赤*"),
VLOOKUP("*赤*",商品マスタ!$D:$E,2,FALSE),
VLOOKUP("*"&amp;D14&amp;"*",商品マスタ!$D:$E,2,FALSE))),0)&lt;=0,1,
ROUND((H14-M14)
/IF(COUNTIF(D14,"*キャラ*"),
VLOOKUP("*キャラ*",商品マスタ!$D:$E,2,FALSE),
IF(COUNTIF(D14,"*赤*"),
VLOOKUP("*赤*",商品マスタ!$D:$E,2,FALSE),
VLOOKUP("*"&amp;D14&amp;"*",商品マスタ!$D:$E,2,FALSE))),0)),
IF(OR(COUNTIF(D14,"*キャラ*"),COUNTIF(D14,"*赤*")),"",
IF(VLOOKUP("*"&amp;D14&amp;"*",商品マスタ!$D:$E,2,FALSE)=0,"",
IF(ROUND((H14-M14)
/VLOOKUP("*"&amp;D14&amp;"*",商品マスタ!$D:$E,2,FALSE),0)&lt;=0,1,
ROUND((H14-M14)
/VLOOKUP("*"&amp;D14&amp;"*",商品マスタ!$D:$E,2,FALSE),0))))),"")</f>
        <v/>
      </c>
      <c r="G14" s="45" t="str">
        <f ca="1">IF(F14&lt;&gt;"",
IF(VALUE(H14-M14)&gt;VALUE(IF(COUNTIF(D14,"*キャラ*"),
VLOOKUP("*キャラ*",商品マスタ!$D:$E,2,FALSE),
IF(COUNTIF(D14,"*赤*"),
VLOOKUP("*赤*",商品マスタ!$D:$E,2,FALSE),
VLOOKUP("*"&amp;D14&amp;"*",商品マスタ!$D:$E,2,FALSE)))*F14),
"+"&amp;(H14-M14)-IF(COUNTIF(D14,"*キャラ*"),
VLOOKUP("*キャラ*",商品マスタ!$D:$E,2,FALSE),
IF(COUNTIF(D14,"*赤*"),
VLOOKUP("*赤*",商品マスタ!$D:$E,2,FALSE),
VLOOKUP("*"&amp;D14&amp;"*",商品マスタ!$D:$E,2,FALSE)))*F14,
(H14-M14)-IF(COUNTIF(D14,"*キャラ*"),
VLOOKUP("*キャラ*",商品マスタ!$D:$E,2,FALSE),
IF(COUNTIF(D14,"*赤*"),
VLOOKUP("*赤*",商品マスタ!$D:$E,2,FALSE),
VLOOKUP("*"&amp;D14&amp;"*",商品マスタ!$D:$E,2,FALSE)))*F14),"")</f>
        <v/>
      </c>
      <c r="H14" s="99" t="str">
        <f>IF(C14&lt;&gt;"",
クライアント抽出!B14,"")</f>
        <v/>
      </c>
      <c r="I14" s="45" t="str">
        <f t="array" aca="1" ref="I14" ca="1">IF(C14&lt;&gt;"",
IF(O14=1,
IF(SUMPRODUCT(COUNTIF(クライアント抽出!P14:U14,クライアント抽出!P14:U14))&gt;COUNTA(クライアント抽出!P14:U14),
IFERROR(INDIRECT("数出表_Excel!"&amp;INDEX(_xlfn.UNIQUE(_xlfn._xlws.FILTER(クライアント抽出!P14:U14,COUNTIF(クライアント抽出!P14:U14,クライアント抽出!P14:U14)&gt;1)),1)&amp;L14&amp;""),
クライアント抽出!E14),0),クライアント抽出!E14),"")</f>
        <v/>
      </c>
      <c r="J14" s="45" t="str">
        <f>IF(C14&lt;&gt;"",
VLOOKUP(
"*"&amp;LEFT(IF(COUNTIF(D14,"*学食*"),"キャラ弁（学食）",
IF(COUNTIF(D14,"*赤*"),"赤",
IF(COUNTIF(D14,"*キャラ弁当*"),"キャラ弁当",D14))),4)&amp;"*",注文弁当の抽出!$F$1:$G$15,2,FALSE),"")</f>
        <v/>
      </c>
      <c r="K14" s="45" t="str">
        <f ca="1">IF(クライアント抽出!P14&lt;&gt;"",SUBSTITUTE(ADDRESS(1,(CODE(クライアント抽出!P14)-64)*2-1,4),"1",""),"")</f>
        <v/>
      </c>
      <c r="L14" s="45" t="str">
        <f>IF(C14&lt;&gt;"",クライアント抽出!I14,"")</f>
        <v/>
      </c>
      <c r="M14" s="45">
        <f t="array" aca="1" ref="M14" ca="1">IF(C14&lt;&gt;"",
IF(K14&lt;&gt;"",INDIRECT("'数出表_Excel（アレルギー入力）'!"&amp;K14&amp;L14-1&amp;""),),)</f>
        <v>0</v>
      </c>
      <c r="N14" s="45" t="str">
        <f>IF(C14&lt;&gt;"",IF(OR(COUNTIF('盛付札（関数）'!D14,"*赤*"),COUNTIF('盛付札（関数）'!D14,"*キャラ*")),1,
VALUE(VLOOKUP("*"&amp;D14&amp;"*",商品マスタ!D:H,5,FALSE))),"")</f>
        <v/>
      </c>
      <c r="O14" s="45">
        <f ca="1">IF(LEN(クライアント抽出!V14)-LEN(SUBSTITUTE(クライアント抽出!V14,",",""))&lt;&gt;1,
IF(AND(クライアント抽出!P14&lt;&gt;"",クライアント抽出!S14&lt;&gt;""),
IF(クライアント抽出!P14&lt;&gt;クライアント抽出!S14,1,0),0),0)</f>
        <v>0</v>
      </c>
      <c r="P14" s="45">
        <f t="shared" si="0"/>
        <v>0</v>
      </c>
      <c r="Q14" s="45" t="b">
        <f t="shared" si="1"/>
        <v>0</v>
      </c>
      <c r="R14" s="122" t="str">
        <f t="array" aca="1" ref="R14" ca="1">IFERROR(SMALL(IF(P$1:P$311&lt;&gt;0,P$1:P$311),ROW(A14)),"")</f>
        <v/>
      </c>
      <c r="S14" s="122" t="str">
        <f t="array" aca="1" ref="S14" ca="1">IF($R14&lt;&gt;"",
SUBSTITUTE(SUBSTITUTE(INDIRECT("C"&amp;$R14&amp;"")," 週3ｺｰｽ","")," 週5ｺｰｽ",""),"")</f>
        <v/>
      </c>
      <c r="T14" s="122" t="str">
        <f t="array" aca="1" ref="T14" ca="1">IF(IF($R14&lt;&gt;"",
INDIRECT(""&amp;IF(COLUMN(D14)&lt;=26,CHAR(COLUMN(D14)+64),CHAR(INT((COLUMN(D14)-1)/26)+64)&amp;CHAR(MOD(COLUMN(D14)-1,26)+65))&amp;$R14&amp;""),"")=0,"",
IF($R14&lt;&gt;"",
INDIRECT(""&amp;IF(COLUMN(D14)&lt;=26,CHAR(COLUMN(D14)+64),CHAR(INT((COLUMN(D14)-1)/26)+64)&amp;CHAR(MOD(COLUMN(D14)-1,26)+65))&amp;$R14&amp;""),""))</f>
        <v/>
      </c>
      <c r="U14" s="185" t="str">
        <f t="array" aca="1" ref="U14" ca="1">IF($R14&lt;&gt;"",
INDIRECT("F"&amp;$R14&amp;""),"")</f>
        <v/>
      </c>
      <c r="V14" s="122" t="str">
        <f t="array" aca="1" ref="V14" ca="1">IF($R14&lt;&gt;"",
INDIRECT("G"&amp;$R14&amp;""),"")</f>
        <v/>
      </c>
      <c r="W14" s="122" t="str" cm="1">
        <f t="array" aca="1" ref="W14" ca="1">IF($R14&lt;&gt;"",
IF(AND(COUNTIF(INDIRECT("B"&amp;R14&amp;""),"*雙葉*"),COUNTIF($B$71:$B$210,"*雙葉*")&gt;=1),
IF(OR(COUNTIF(INDIRECT("B"&amp;R14&amp;""),"*雙葉先生*"),COUNTIF(INDIRECT("B"&amp;R14-1&amp;""),"*雙葉*")),INDIRECT("H"&amp;R14&amp;""),INDIRECT("H"&amp;R14&amp;"")+INDIRECT("H"&amp;MATCH("雙葉'",INDIRECT("B"&amp;R14+3&amp;":B210"),0)+2+R14&amp;"")),
IF(AND(LEFT(INDIRECT("B"&amp;R14&amp;""),2)="博多",COUNTIF(B:B,"*博多*")&gt;=2),
INDIRECT("H"&amp;R14&amp;"")+IFERROR(INDIRECT("H"&amp;MATCH("*"&amp;INDIRECT("B"&amp;R14&amp;"")&amp;"*",INDIRECT("B"&amp;R14+1&amp;":B210"),0)+R14&amp;""),0),
IF(AND(LEFT(INDIRECT("B"&amp;R14&amp;""),3)="奈良屋",COUNTIF(B:B,"*奈良屋*")&gt;=2),
INDIRECT("H"&amp;R14&amp;"")
+INDIRECT("H"&amp;MATCH("*"&amp;INDIRECT("B"&amp;R14&amp;"")&amp;"*",INDIRECT("B"&amp;R14+1&amp;":B210"),0)+R14&amp;"")
+INDIRECT("H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
+INDIRECT("H"&amp;MATCH("*"&amp;INDIRECT("B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&amp;"*",INDIRECT("B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+1&amp;":B210"),0)+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,
INDIRECT("H"&amp;R14&amp;"")))),"")</f>
        <v/>
      </c>
      <c r="X14" s="122" t="str">
        <f t="array" aca="1" ref="X14" ca="1">IF($R14&lt;&gt;"",
INDIRECT(""&amp;IF(COLUMN(I14)&lt;=26,CHAR(COLUMN(I14)+64),CHAR(INT((COLUMN(I14)-1)/26)+64)&amp;CHAR(MOD(COLUMN(I14)-1,26)+65))&amp;$R14&amp;""),"")</f>
        <v/>
      </c>
      <c r="Y14" s="122" t="str">
        <f t="array" aca="1" ref="Y14" ca="1">IF($R14&lt;&gt;"",
INDIRECT(""&amp;IF(COLUMN(J14)&lt;=26,CHAR(COLUMN(J14)+64),CHAR(INT((COLUMN(J14)-1)/26)+64)&amp;CHAR(MOD(COLUMN(J14)-1,26)+65))&amp;$R14&amp;""),"")</f>
        <v/>
      </c>
      <c r="Z14" s="122" t="str">
        <f t="shared" ca="1" si="2"/>
        <v/>
      </c>
      <c r="AA14" s="122" t="str">
        <f t="shared" ca="1" si="3"/>
        <v/>
      </c>
      <c r="AB14" s="122" t="str">
        <f t="array" aca="1" ref="AB14" ca="1">IF($R14&lt;&gt;"",
IF(AND(COUNTIF(INDIRECT("B"&amp;R14&amp;""),"*雙葉*"),COUNTIF(INDIRECT("B"&amp;R14&amp;""),"&lt;&gt;*先生*"),COUNTIF(B:B,"*雙葉*")&gt;=2),
INDIRECT("M"&amp;R14&amp;"")+INDIRECT("M"&amp;MATCH("雙葉'",INDIRECT("B"&amp;R14+1&amp;":B210"),0)+R14&amp;""),
IF(AND(LEFT(INDIRECT("B"&amp;R14&amp;""),2)="博多",COUNTIF(B:B,"*博多*")&gt;=2),
INDIRECT("M"&amp;R14&amp;"")+INDIRECT("M"&amp;MATCH("*"&amp;INDIRECT("B"&amp;R14&amp;"")&amp;"*",INDIRECT("B"&amp;R14+1&amp;":B210"),0)+R14&amp;""),
IF(AND(LEFT(INDIRECT("B"&amp;R14&amp;""),3)="奈良屋",COUNTIF(B:B,"*奈良屋*")&gt;=2),
INDIRECT("M"&amp;R14&amp;"")+INDIRECT("M"&amp;MATCH("*"&amp;INDIRECT("B"&amp;R14&amp;"")&amp;"*",INDIRECT("B"&amp;R14+1&amp;":B210"),0)+R14&amp;"")
+INDIRECT("M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,
INDIRECT("M"&amp;R14&amp;"")))),"")</f>
        <v/>
      </c>
      <c r="AC14" s="122" t="str">
        <f t="shared" ca="1" si="4"/>
        <v/>
      </c>
      <c r="AD14" s="176" t="str">
        <f t="shared" ca="1" si="5"/>
        <v/>
      </c>
      <c r="AE14" s="176" t="str">
        <f t="shared" ca="1" si="6"/>
        <v/>
      </c>
      <c r="AF14" s="176" t="str">
        <f t="shared" ca="1" si="7"/>
        <v/>
      </c>
      <c r="AG14" s="176" t="str">
        <f t="shared" ca="1" si="8"/>
        <v/>
      </c>
      <c r="AH14" s="183" t="str">
        <f t="shared" ca="1" si="9"/>
        <v/>
      </c>
      <c r="AI14" s="176" t="str">
        <f t="shared" ca="1" si="10"/>
        <v/>
      </c>
      <c r="AJ14" s="176" t="str">
        <f t="shared" ca="1" si="11"/>
        <v/>
      </c>
      <c r="AK14" s="176" t="str">
        <f t="shared" ca="1" si="12"/>
        <v/>
      </c>
      <c r="AL14" s="176" t="str">
        <f t="shared" ca="1" si="13"/>
        <v/>
      </c>
      <c r="AM14" s="176" t="str">
        <f t="shared" ca="1" si="14"/>
        <v/>
      </c>
      <c r="AN14" s="176" t="str">
        <f t="shared" ca="1" si="15"/>
        <v/>
      </c>
      <c r="AO14" s="176" t="str">
        <f t="shared" ca="1" si="16"/>
        <v/>
      </c>
      <c r="AP14" s="176" t="str">
        <f t="shared" ca="1" si="17"/>
        <v/>
      </c>
      <c r="AU14" s="176" t="str">
        <f t="shared" ca="1" si="18"/>
        <v/>
      </c>
      <c r="AW14" s="106" t="str">
        <f ca="1">IFERROR(IF(AF14&lt;&gt;"",OFFSET('数出表_Excel（アレルギー入力）'!$A$1,MATCH(AF14,'数出表_Excel（アレルギー入力）'!A:A,0)-2,0),""),"")</f>
        <v/>
      </c>
      <c r="AX14" s="106" t="str">
        <f ca="1">IF(AW14&lt;&gt;"",
OFFSET(得意先マスタ!$A$1,MATCH(AW14,得意先マスタ!A:A,0)-1,24),"")</f>
        <v/>
      </c>
      <c r="AY14" s="57">
        <f t="shared" ca="1" si="21"/>
        <v>0</v>
      </c>
      <c r="AZ14" s="57">
        <f t="shared" ca="1" si="22"/>
        <v>0</v>
      </c>
      <c r="BA14" s="57">
        <f t="shared" ca="1" si="23"/>
        <v>0</v>
      </c>
      <c r="BB14" s="176">
        <f t="shared" ca="1" si="24"/>
        <v>0</v>
      </c>
    </row>
    <row r="15" spans="1:54" ht="18" customHeight="1">
      <c r="A15" s="101">
        <f t="shared" si="19"/>
        <v>35</v>
      </c>
      <c r="B15" s="45" t="str">
        <f t="shared" si="20"/>
        <v/>
      </c>
      <c r="C15" s="45" t="str">
        <f>IF(OR(クライアント抽出!B15&lt;&gt;"",クライアント抽出!E15&lt;&gt;""),クライアント抽出!A15,"")</f>
        <v/>
      </c>
      <c r="D15" s="45" t="str">
        <f t="array" aca="1" ref="D15" ca="1">IF(C15&lt;&gt;"",INDIRECT("クライアント抽出!"&amp;E15&amp;MATCH(C15,クライアント抽出!A:A,0)&amp;""),"")</f>
        <v/>
      </c>
      <c r="E15" s="45" t="str">
        <f>IF(H15&lt;&gt;0,
IFERROR(
SUBSTITUTE(ADDRESS(1,
MATCH(VALUE(H15),クライアント抽出!A15:G15,0)+8,4),"1",""),
""),
IFERROR(
SUBSTITUTE(ADDRESS(1,
MATCH(VALUE(I15),クライアント抽出!A15:G15,0)+8,4),"1",""),
""))</f>
        <v/>
      </c>
      <c r="F15" s="184" t="str">
        <f ca="1">IF(D15&lt;&gt;"",
IF(COUNTIF(C15,"*雙葉*"),
IF(ROUND((H15-M15)
/IF(COUNTIF(D15,"*キャラ*"),
VLOOKUP("*キャラ*",商品マスタ!$D:$E,2,FALSE),
IF(COUNTIF(D15,"*赤*"),
VLOOKUP("*赤*",商品マスタ!$D:$E,2,FALSE),
VLOOKUP("*"&amp;D15&amp;"*",商品マスタ!$D:$E,2,FALSE))),0)&lt;=0,1,
ROUND((H15-M15)
/IF(COUNTIF(D15,"*キャラ*"),
VLOOKUP("*キャラ*",商品マスタ!$D:$E,2,FALSE),
IF(COUNTIF(D15,"*赤*"),
VLOOKUP("*赤*",商品マスタ!$D:$E,2,FALSE),
VLOOKUP("*"&amp;D15&amp;"*",商品マスタ!$D:$E,2,FALSE))),0)),
IF(OR(COUNTIF(D15,"*キャラ*"),COUNTIF(D15,"*赤*")),"",
IF(VLOOKUP("*"&amp;D15&amp;"*",商品マスタ!$D:$E,2,FALSE)=0,"",
IF(ROUND((H15-M15)
/VLOOKUP("*"&amp;D15&amp;"*",商品マスタ!$D:$E,2,FALSE),0)&lt;=0,1,
ROUND((H15-M15)
/VLOOKUP("*"&amp;D15&amp;"*",商品マスタ!$D:$E,2,FALSE),0))))),"")</f>
        <v/>
      </c>
      <c r="G15" s="45" t="str">
        <f ca="1">IF(F15&lt;&gt;"",
IF(VALUE(H15-M15)&gt;VALUE(IF(COUNTIF(D15,"*キャラ*"),
VLOOKUP("*キャラ*",商品マスタ!$D:$E,2,FALSE),
IF(COUNTIF(D15,"*赤*"),
VLOOKUP("*赤*",商品マスタ!$D:$E,2,FALSE),
VLOOKUP("*"&amp;D15&amp;"*",商品マスタ!$D:$E,2,FALSE)))*F15),
"+"&amp;(H15-M15)-IF(COUNTIF(D15,"*キャラ*"),
VLOOKUP("*キャラ*",商品マスタ!$D:$E,2,FALSE),
IF(COUNTIF(D15,"*赤*"),
VLOOKUP("*赤*",商品マスタ!$D:$E,2,FALSE),
VLOOKUP("*"&amp;D15&amp;"*",商品マスタ!$D:$E,2,FALSE)))*F15,
(H15-M15)-IF(COUNTIF(D15,"*キャラ*"),
VLOOKUP("*キャラ*",商品マスタ!$D:$E,2,FALSE),
IF(COUNTIF(D15,"*赤*"),
VLOOKUP("*赤*",商品マスタ!$D:$E,2,FALSE),
VLOOKUP("*"&amp;D15&amp;"*",商品マスタ!$D:$E,2,FALSE)))*F15),"")</f>
        <v/>
      </c>
      <c r="H15" s="99" t="str">
        <f>IF(C15&lt;&gt;"",
クライアント抽出!B15,"")</f>
        <v/>
      </c>
      <c r="I15" s="45" t="str">
        <f t="array" aca="1" ref="I15" ca="1">IF(C15&lt;&gt;"",
IF(O15=1,
IF(SUMPRODUCT(COUNTIF(クライアント抽出!P15:U15,クライアント抽出!P15:U15))&gt;COUNTA(クライアント抽出!P15:U15),
IFERROR(INDIRECT("数出表_Excel!"&amp;INDEX(_xlfn.UNIQUE(_xlfn._xlws.FILTER(クライアント抽出!P15:U15,COUNTIF(クライアント抽出!P15:U15,クライアント抽出!P15:U15)&gt;1)),1)&amp;L15&amp;""),
クライアント抽出!E15),0),クライアント抽出!E15),"")</f>
        <v/>
      </c>
      <c r="J15" s="45" t="str">
        <f>IF(C15&lt;&gt;"",
VLOOKUP(
"*"&amp;LEFT(IF(COUNTIF(D15,"*学食*"),"キャラ弁（学食）",
IF(COUNTIF(D15,"*赤*"),"赤",
IF(COUNTIF(D15,"*キャラ弁当*"),"キャラ弁当",D15))),4)&amp;"*",注文弁当の抽出!$F$1:$G$15,2,FALSE),"")</f>
        <v/>
      </c>
      <c r="K15" s="45" t="str">
        <f ca="1">IF(クライアント抽出!P15&lt;&gt;"",SUBSTITUTE(ADDRESS(1,(CODE(クライアント抽出!P15)-64)*2-1,4),"1",""),"")</f>
        <v/>
      </c>
      <c r="L15" s="45" t="str">
        <f>IF(C15&lt;&gt;"",クライアント抽出!I15,"")</f>
        <v/>
      </c>
      <c r="M15" s="45">
        <f t="array" aca="1" ref="M15" ca="1">IF(C15&lt;&gt;"",
IF(K15&lt;&gt;"",INDIRECT("'数出表_Excel（アレルギー入力）'!"&amp;K15&amp;L15-1&amp;""),),)</f>
        <v>0</v>
      </c>
      <c r="N15" s="45" t="str">
        <f>IF(C15&lt;&gt;"",IF(OR(COUNTIF('盛付札（関数）'!D15,"*赤*"),COUNTIF('盛付札（関数）'!D15,"*キャラ*")),1,
VALUE(VLOOKUP("*"&amp;D15&amp;"*",商品マスタ!D:H,5,FALSE))),"")</f>
        <v/>
      </c>
      <c r="O15" s="45">
        <f ca="1">IF(LEN(クライアント抽出!V15)-LEN(SUBSTITUTE(クライアント抽出!V15,",",""))&lt;&gt;1,
IF(AND(クライアント抽出!P15&lt;&gt;"",クライアント抽出!S15&lt;&gt;""),
IF(クライアント抽出!P15&lt;&gt;クライアント抽出!S15,1,0),0),0)</f>
        <v>0</v>
      </c>
      <c r="P15" s="45">
        <f t="shared" si="0"/>
        <v>0</v>
      </c>
      <c r="Q15" s="45" t="b">
        <f t="shared" si="1"/>
        <v>0</v>
      </c>
      <c r="R15" s="122" t="str">
        <f t="array" aca="1" ref="R15" ca="1">IFERROR(SMALL(IF(P$1:P$311&lt;&gt;0,P$1:P$311),ROW(A15)),"")</f>
        <v/>
      </c>
      <c r="S15" s="122" t="str">
        <f t="array" aca="1" ref="S15" ca="1">IF($R15&lt;&gt;"",
SUBSTITUTE(SUBSTITUTE(INDIRECT("C"&amp;$R15&amp;"")," 週3ｺｰｽ","")," 週5ｺｰｽ",""),"")</f>
        <v/>
      </c>
      <c r="T15" s="122" t="str">
        <f t="array" aca="1" ref="T15" ca="1">IF(IF($R15&lt;&gt;"",
INDIRECT(""&amp;IF(COLUMN(D15)&lt;=26,CHAR(COLUMN(D15)+64),CHAR(INT((COLUMN(D15)-1)/26)+64)&amp;CHAR(MOD(COLUMN(D15)-1,26)+65))&amp;$R15&amp;""),"")=0,"",
IF($R15&lt;&gt;"",
INDIRECT(""&amp;IF(COLUMN(D15)&lt;=26,CHAR(COLUMN(D15)+64),CHAR(INT((COLUMN(D15)-1)/26)+64)&amp;CHAR(MOD(COLUMN(D15)-1,26)+65))&amp;$R15&amp;""),""))</f>
        <v/>
      </c>
      <c r="U15" s="185" t="str">
        <f t="array" aca="1" ref="U15" ca="1">IF($R15&lt;&gt;"",
INDIRECT("F"&amp;$R15&amp;""),"")</f>
        <v/>
      </c>
      <c r="V15" s="122" t="str">
        <f t="array" aca="1" ref="V15" ca="1">IF($R15&lt;&gt;"",
INDIRECT("G"&amp;$R15&amp;""),"")</f>
        <v/>
      </c>
      <c r="W15" s="122" t="str" cm="1">
        <f t="array" aca="1" ref="W15" ca="1">IF($R15&lt;&gt;"",
IF(AND(COUNTIF(INDIRECT("B"&amp;R15&amp;""),"*雙葉*"),COUNTIF($B$71:$B$210,"*雙葉*")&gt;=1),
IF(OR(COUNTIF(INDIRECT("B"&amp;R15&amp;""),"*雙葉先生*"),COUNTIF(INDIRECT("B"&amp;R15-1&amp;""),"*雙葉*")),INDIRECT("H"&amp;R15&amp;""),INDIRECT("H"&amp;R15&amp;"")+INDIRECT("H"&amp;MATCH("雙葉'",INDIRECT("B"&amp;R15+3&amp;":B210"),0)+2+R15&amp;"")),
IF(AND(LEFT(INDIRECT("B"&amp;R15&amp;""),2)="博多",COUNTIF(B:B,"*博多*")&gt;=2),
INDIRECT("H"&amp;R15&amp;"")+IFERROR(INDIRECT("H"&amp;MATCH("*"&amp;INDIRECT("B"&amp;R15&amp;"")&amp;"*",INDIRECT("B"&amp;R15+1&amp;":B210"),0)+R15&amp;""),0),
IF(AND(LEFT(INDIRECT("B"&amp;R15&amp;""),3)="奈良屋",COUNTIF(B:B,"*奈良屋*")&gt;=2),
INDIRECT("H"&amp;R15&amp;"")
+INDIRECT("H"&amp;MATCH("*"&amp;INDIRECT("B"&amp;R15&amp;"")&amp;"*",INDIRECT("B"&amp;R15+1&amp;":B210"),0)+R15&amp;"")
+INDIRECT("H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
+INDIRECT("H"&amp;MATCH("*"&amp;INDIRECT("B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&amp;"*",INDIRECT("B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+1&amp;":B210"),0)+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,
INDIRECT("H"&amp;R15&amp;"")))),"")</f>
        <v/>
      </c>
      <c r="X15" s="122" t="str">
        <f t="array" aca="1" ref="X15" ca="1">IF($R15&lt;&gt;"",
INDIRECT(""&amp;IF(COLUMN(I15)&lt;=26,CHAR(COLUMN(I15)+64),CHAR(INT((COLUMN(I15)-1)/26)+64)&amp;CHAR(MOD(COLUMN(I15)-1,26)+65))&amp;$R15&amp;""),"")</f>
        <v/>
      </c>
      <c r="Y15" s="122" t="str">
        <f t="array" aca="1" ref="Y15" ca="1">IF($R15&lt;&gt;"",
INDIRECT(""&amp;IF(COLUMN(J15)&lt;=26,CHAR(COLUMN(J15)+64),CHAR(INT((COLUMN(J15)-1)/26)+64)&amp;CHAR(MOD(COLUMN(J15)-1,26)+65))&amp;$R15&amp;""),"")</f>
        <v/>
      </c>
      <c r="Z15" s="122" t="str">
        <f t="shared" ca="1" si="2"/>
        <v/>
      </c>
      <c r="AA15" s="122" t="str">
        <f t="shared" ca="1" si="3"/>
        <v/>
      </c>
      <c r="AB15" s="122" t="str">
        <f t="array" aca="1" ref="AB15" ca="1">IF($R15&lt;&gt;"",
IF(AND(COUNTIF(INDIRECT("B"&amp;R15&amp;""),"*雙葉*"),COUNTIF(INDIRECT("B"&amp;R15&amp;""),"&lt;&gt;*先生*"),COUNTIF(B:B,"*雙葉*")&gt;=2),
INDIRECT("M"&amp;R15&amp;"")+INDIRECT("M"&amp;MATCH("雙葉'",INDIRECT("B"&amp;R15+1&amp;":B210"),0)+R15&amp;""),
IF(AND(LEFT(INDIRECT("B"&amp;R15&amp;""),2)="博多",COUNTIF(B:B,"*博多*")&gt;=2),
INDIRECT("M"&amp;R15&amp;"")+INDIRECT("M"&amp;MATCH("*"&amp;INDIRECT("B"&amp;R15&amp;"")&amp;"*",INDIRECT("B"&amp;R15+1&amp;":B210"),0)+R15&amp;""),
IF(AND(LEFT(INDIRECT("B"&amp;R15&amp;""),3)="奈良屋",COUNTIF(B:B,"*奈良屋*")&gt;=2),
INDIRECT("M"&amp;R15&amp;"")+INDIRECT("M"&amp;MATCH("*"&amp;INDIRECT("B"&amp;R15&amp;"")&amp;"*",INDIRECT("B"&amp;R15+1&amp;":B210"),0)+R15&amp;"")
+INDIRECT("M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,
INDIRECT("M"&amp;R15&amp;"")))),"")</f>
        <v/>
      </c>
      <c r="AC15" s="122" t="str">
        <f t="shared" ca="1" si="4"/>
        <v/>
      </c>
      <c r="AD15" s="176" t="str">
        <f t="shared" ca="1" si="5"/>
        <v/>
      </c>
      <c r="AE15" s="176" t="str">
        <f t="shared" ca="1" si="6"/>
        <v/>
      </c>
      <c r="AF15" s="176" t="str">
        <f t="shared" ca="1" si="7"/>
        <v/>
      </c>
      <c r="AG15" s="176" t="str">
        <f t="shared" ca="1" si="8"/>
        <v/>
      </c>
      <c r="AH15" s="183" t="str">
        <f t="shared" ca="1" si="9"/>
        <v/>
      </c>
      <c r="AI15" s="176" t="str">
        <f t="shared" ca="1" si="10"/>
        <v/>
      </c>
      <c r="AJ15" s="176" t="str">
        <f t="shared" ca="1" si="11"/>
        <v/>
      </c>
      <c r="AK15" s="176" t="str">
        <f t="shared" ca="1" si="12"/>
        <v/>
      </c>
      <c r="AL15" s="176" t="str">
        <f t="shared" ca="1" si="13"/>
        <v/>
      </c>
      <c r="AM15" s="176" t="str">
        <f t="shared" ca="1" si="14"/>
        <v/>
      </c>
      <c r="AN15" s="176" t="str">
        <f t="shared" ca="1" si="15"/>
        <v/>
      </c>
      <c r="AO15" s="176" t="str">
        <f t="shared" ca="1" si="16"/>
        <v/>
      </c>
      <c r="AP15" s="176" t="str">
        <f t="shared" ca="1" si="17"/>
        <v/>
      </c>
      <c r="AU15" s="176" t="str">
        <f t="shared" ca="1" si="18"/>
        <v/>
      </c>
      <c r="AW15" s="106" t="str">
        <f ca="1">IFERROR(IF(AF15&lt;&gt;"",OFFSET('数出表_Excel（アレルギー入力）'!$A$1,MATCH(AF15,'数出表_Excel（アレルギー入力）'!A:A,0)-2,0),""),"")</f>
        <v/>
      </c>
      <c r="AX15" s="106" t="str">
        <f ca="1">IF(AW15&lt;&gt;"",
OFFSET(得意先マスタ!$A$1,MATCH(AW15,得意先マスタ!A:A,0)-1,24),"")</f>
        <v/>
      </c>
      <c r="AY15" s="57">
        <f t="shared" ca="1" si="21"/>
        <v>0</v>
      </c>
      <c r="AZ15" s="57">
        <f t="shared" ca="1" si="22"/>
        <v>0</v>
      </c>
      <c r="BA15" s="57">
        <f t="shared" ca="1" si="23"/>
        <v>0</v>
      </c>
      <c r="BB15" s="176">
        <f t="shared" ca="1" si="24"/>
        <v>0</v>
      </c>
    </row>
    <row r="16" spans="1:54" ht="18" customHeight="1">
      <c r="A16" s="101">
        <f t="shared" si="19"/>
        <v>37</v>
      </c>
      <c r="B16" s="45" t="str">
        <f t="shared" si="20"/>
        <v/>
      </c>
      <c r="C16" s="45" t="str">
        <f>IF(OR(クライアント抽出!B16&lt;&gt;"",クライアント抽出!E16&lt;&gt;""),クライアント抽出!A16,"")</f>
        <v/>
      </c>
      <c r="D16" s="45" t="str">
        <f t="array" aca="1" ref="D16" ca="1">IF(C16&lt;&gt;"",INDIRECT("クライアント抽出!"&amp;E16&amp;MATCH(C16,クライアント抽出!A:A,0)&amp;""),"")</f>
        <v/>
      </c>
      <c r="E16" s="45" t="str">
        <f>IF(H16&lt;&gt;0,
IFERROR(
SUBSTITUTE(ADDRESS(1,
MATCH(VALUE(H16),クライアント抽出!A16:G16,0)+8,4),"1",""),
""),
IFERROR(
SUBSTITUTE(ADDRESS(1,
MATCH(VALUE(I16),クライアント抽出!A16:G16,0)+8,4),"1",""),
""))</f>
        <v/>
      </c>
      <c r="F16" s="184" t="str">
        <f ca="1">IF(D16&lt;&gt;"",
IF(COUNTIF(C16,"*雙葉*"),
IF(ROUND((H16-M16)
/IF(COUNTIF(D16,"*キャラ*"),
VLOOKUP("*キャラ*",商品マスタ!$D:$E,2,FALSE),
IF(COUNTIF(D16,"*赤*"),
VLOOKUP("*赤*",商品マスタ!$D:$E,2,FALSE),
VLOOKUP("*"&amp;D16&amp;"*",商品マスタ!$D:$E,2,FALSE))),0)&lt;=0,1,
ROUND((H16-M16)
/IF(COUNTIF(D16,"*キャラ*"),
VLOOKUP("*キャラ*",商品マスタ!$D:$E,2,FALSE),
IF(COUNTIF(D16,"*赤*"),
VLOOKUP("*赤*",商品マスタ!$D:$E,2,FALSE),
VLOOKUP("*"&amp;D16&amp;"*",商品マスタ!$D:$E,2,FALSE))),0)),
IF(OR(COUNTIF(D16,"*キャラ*"),COUNTIF(D16,"*赤*")),"",
IF(VLOOKUP("*"&amp;D16&amp;"*",商品マスタ!$D:$E,2,FALSE)=0,"",
IF(ROUND((H16-M16)
/VLOOKUP("*"&amp;D16&amp;"*",商品マスタ!$D:$E,2,FALSE),0)&lt;=0,1,
ROUND((H16-M16)
/VLOOKUP("*"&amp;D16&amp;"*",商品マスタ!$D:$E,2,FALSE),0))))),"")</f>
        <v/>
      </c>
      <c r="G16" s="45" t="str">
        <f ca="1">IF(F16&lt;&gt;"",
IF(VALUE(H16-M16)&gt;VALUE(IF(COUNTIF(D16,"*キャラ*"),
VLOOKUP("*キャラ*",商品マスタ!$D:$E,2,FALSE),
IF(COUNTIF(D16,"*赤*"),
VLOOKUP("*赤*",商品マスタ!$D:$E,2,FALSE),
VLOOKUP("*"&amp;D16&amp;"*",商品マスタ!$D:$E,2,FALSE)))*F16),
"+"&amp;(H16-M16)-IF(COUNTIF(D16,"*キャラ*"),
VLOOKUP("*キャラ*",商品マスタ!$D:$E,2,FALSE),
IF(COUNTIF(D16,"*赤*"),
VLOOKUP("*赤*",商品マスタ!$D:$E,2,FALSE),
VLOOKUP("*"&amp;D16&amp;"*",商品マスタ!$D:$E,2,FALSE)))*F16,
(H16-M16)-IF(COUNTIF(D16,"*キャラ*"),
VLOOKUP("*キャラ*",商品マスタ!$D:$E,2,FALSE),
IF(COUNTIF(D16,"*赤*"),
VLOOKUP("*赤*",商品マスタ!$D:$E,2,FALSE),
VLOOKUP("*"&amp;D16&amp;"*",商品マスタ!$D:$E,2,FALSE)))*F16),"")</f>
        <v/>
      </c>
      <c r="H16" s="99" t="str">
        <f>IF(C16&lt;&gt;"",
クライアント抽出!B16,"")</f>
        <v/>
      </c>
      <c r="I16" s="45" t="str">
        <f t="array" aca="1" ref="I16" ca="1">IF(C16&lt;&gt;"",
IF(O16=1,
IF(SUMPRODUCT(COUNTIF(クライアント抽出!P16:U16,クライアント抽出!P16:U16))&gt;COUNTA(クライアント抽出!P16:U16),
IFERROR(INDIRECT("数出表_Excel!"&amp;INDEX(_xlfn.UNIQUE(_xlfn._xlws.FILTER(クライアント抽出!P16:U16,COUNTIF(クライアント抽出!P16:U16,クライアント抽出!P16:U16)&gt;1)),1)&amp;L16&amp;""),
クライアント抽出!E16),0),クライアント抽出!E16),"")</f>
        <v/>
      </c>
      <c r="J16" s="45" t="str">
        <f>IF(C16&lt;&gt;"",
VLOOKUP(
"*"&amp;LEFT(IF(COUNTIF(D16,"*学食*"),"キャラ弁（学食）",
IF(COUNTIF(D16,"*赤*"),"赤",
IF(COUNTIF(D16,"*キャラ弁当*"),"キャラ弁当",D16))),4)&amp;"*",注文弁当の抽出!$F$1:$G$15,2,FALSE),"")</f>
        <v/>
      </c>
      <c r="K16" s="45" t="str">
        <f ca="1">IF(クライアント抽出!P16&lt;&gt;"",SUBSTITUTE(ADDRESS(1,(CODE(クライアント抽出!P16)-64)*2-1,4),"1",""),"")</f>
        <v/>
      </c>
      <c r="L16" s="45" t="str">
        <f>IF(C16&lt;&gt;"",クライアント抽出!I16,"")</f>
        <v/>
      </c>
      <c r="M16" s="45">
        <f t="array" aca="1" ref="M16" ca="1">IF(C16&lt;&gt;"",
IF(K16&lt;&gt;"",INDIRECT("'数出表_Excel（アレルギー入力）'!"&amp;K16&amp;L16-1&amp;""),),)</f>
        <v>0</v>
      </c>
      <c r="N16" s="45" t="str">
        <f>IF(C16&lt;&gt;"",IF(OR(COUNTIF('盛付札（関数）'!D16,"*赤*"),COUNTIF('盛付札（関数）'!D16,"*キャラ*")),1,
VALUE(VLOOKUP("*"&amp;D16&amp;"*",商品マスタ!D:H,5,FALSE))),"")</f>
        <v/>
      </c>
      <c r="O16" s="45">
        <f ca="1">IF(LEN(クライアント抽出!V16)-LEN(SUBSTITUTE(クライアント抽出!V16,",",""))&lt;&gt;1,
IF(AND(クライアント抽出!P16&lt;&gt;"",クライアント抽出!S16&lt;&gt;""),
IF(クライアント抽出!P16&lt;&gt;クライアント抽出!S16,1,0),0),0)</f>
        <v>0</v>
      </c>
      <c r="P16" s="45">
        <f t="shared" si="0"/>
        <v>0</v>
      </c>
      <c r="Q16" s="45" t="b">
        <f t="shared" si="1"/>
        <v>0</v>
      </c>
      <c r="R16" s="122" t="str">
        <f t="array" aca="1" ref="R16" ca="1">IFERROR(SMALL(IF(P$1:P$311&lt;&gt;0,P$1:P$311),ROW(A16)),"")</f>
        <v/>
      </c>
      <c r="S16" s="122" t="str">
        <f t="array" aca="1" ref="S16" ca="1">IF($R16&lt;&gt;"",
SUBSTITUTE(SUBSTITUTE(INDIRECT("C"&amp;$R16&amp;"")," 週3ｺｰｽ","")," 週5ｺｰｽ",""),"")</f>
        <v/>
      </c>
      <c r="T16" s="122" t="str">
        <f t="array" aca="1" ref="T16" ca="1">IF(IF($R16&lt;&gt;"",
INDIRECT(""&amp;IF(COLUMN(D16)&lt;=26,CHAR(COLUMN(D16)+64),CHAR(INT((COLUMN(D16)-1)/26)+64)&amp;CHAR(MOD(COLUMN(D16)-1,26)+65))&amp;$R16&amp;""),"")=0,"",
IF($R16&lt;&gt;"",
INDIRECT(""&amp;IF(COLUMN(D16)&lt;=26,CHAR(COLUMN(D16)+64),CHAR(INT((COLUMN(D16)-1)/26)+64)&amp;CHAR(MOD(COLUMN(D16)-1,26)+65))&amp;$R16&amp;""),""))</f>
        <v/>
      </c>
      <c r="U16" s="185" t="str">
        <f t="array" aca="1" ref="U16" ca="1">IF($R16&lt;&gt;"",
INDIRECT("F"&amp;$R16&amp;""),"")</f>
        <v/>
      </c>
      <c r="V16" s="122" t="str">
        <f t="array" aca="1" ref="V16" ca="1">IF($R16&lt;&gt;"",
INDIRECT("G"&amp;$R16&amp;""),"")</f>
        <v/>
      </c>
      <c r="W16" s="122" t="str" cm="1">
        <f t="array" aca="1" ref="W16" ca="1">IF($R16&lt;&gt;"",
IF(AND(COUNTIF(INDIRECT("B"&amp;R16&amp;""),"*雙葉*"),COUNTIF($B$71:$B$210,"*雙葉*")&gt;=1),
IF(OR(COUNTIF(INDIRECT("B"&amp;R16&amp;""),"*雙葉先生*"),COUNTIF(INDIRECT("B"&amp;R16-1&amp;""),"*雙葉*")),INDIRECT("H"&amp;R16&amp;""),INDIRECT("H"&amp;R16&amp;"")+INDIRECT("H"&amp;MATCH("雙葉'",INDIRECT("B"&amp;R16+3&amp;":B210"),0)+2+R16&amp;"")),
IF(AND(LEFT(INDIRECT("B"&amp;R16&amp;""),2)="博多",COUNTIF(B:B,"*博多*")&gt;=2),
INDIRECT("H"&amp;R16&amp;"")+IFERROR(INDIRECT("H"&amp;MATCH("*"&amp;INDIRECT("B"&amp;R16&amp;"")&amp;"*",INDIRECT("B"&amp;R16+1&amp;":B210"),0)+R16&amp;""),0),
IF(AND(LEFT(INDIRECT("B"&amp;R16&amp;""),3)="奈良屋",COUNTIF(B:B,"*奈良屋*")&gt;=2),
INDIRECT("H"&amp;R16&amp;"")
+INDIRECT("H"&amp;MATCH("*"&amp;INDIRECT("B"&amp;R16&amp;"")&amp;"*",INDIRECT("B"&amp;R16+1&amp;":B210"),0)+R16&amp;"")
+INDIRECT("H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
+INDIRECT("H"&amp;MATCH("*"&amp;INDIRECT("B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&amp;"*",INDIRECT("B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+1&amp;":B210"),0)+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,
INDIRECT("H"&amp;R16&amp;"")))),"")</f>
        <v/>
      </c>
      <c r="X16" s="122" t="str">
        <f t="array" aca="1" ref="X16" ca="1">IF($R16&lt;&gt;"",
INDIRECT(""&amp;IF(COLUMN(I16)&lt;=26,CHAR(COLUMN(I16)+64),CHAR(INT((COLUMN(I16)-1)/26)+64)&amp;CHAR(MOD(COLUMN(I16)-1,26)+65))&amp;$R16&amp;""),"")</f>
        <v/>
      </c>
      <c r="Y16" s="122" t="str">
        <f t="array" aca="1" ref="Y16" ca="1">IF($R16&lt;&gt;"",
INDIRECT(""&amp;IF(COLUMN(J16)&lt;=26,CHAR(COLUMN(J16)+64),CHAR(INT((COLUMN(J16)-1)/26)+64)&amp;CHAR(MOD(COLUMN(J16)-1,26)+65))&amp;$R16&amp;""),"")</f>
        <v/>
      </c>
      <c r="Z16" s="122" t="str">
        <f t="shared" ca="1" si="2"/>
        <v/>
      </c>
      <c r="AA16" s="122" t="str">
        <f t="shared" ca="1" si="3"/>
        <v/>
      </c>
      <c r="AB16" s="122" t="str">
        <f t="array" aca="1" ref="AB16" ca="1">IF($R16&lt;&gt;"",
IF(AND(COUNTIF(INDIRECT("B"&amp;R16&amp;""),"*雙葉*"),COUNTIF(INDIRECT("B"&amp;R16&amp;""),"&lt;&gt;*先生*"),COUNTIF(B:B,"*雙葉*")&gt;=2),
INDIRECT("M"&amp;R16&amp;"")+INDIRECT("M"&amp;MATCH("雙葉'",INDIRECT("B"&amp;R16+1&amp;":B210"),0)+R16&amp;""),
IF(AND(LEFT(INDIRECT("B"&amp;R16&amp;""),2)="博多",COUNTIF(B:B,"*博多*")&gt;=2),
INDIRECT("M"&amp;R16&amp;"")+INDIRECT("M"&amp;MATCH("*"&amp;INDIRECT("B"&amp;R16&amp;"")&amp;"*",INDIRECT("B"&amp;R16+1&amp;":B210"),0)+R16&amp;""),
IF(AND(LEFT(INDIRECT("B"&amp;R16&amp;""),3)="奈良屋",COUNTIF(B:B,"*奈良屋*")&gt;=2),
INDIRECT("M"&amp;R16&amp;"")+INDIRECT("M"&amp;MATCH("*"&amp;INDIRECT("B"&amp;R16&amp;"")&amp;"*",INDIRECT("B"&amp;R16+1&amp;":B210"),0)+R16&amp;"")
+INDIRECT("M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,
INDIRECT("M"&amp;R16&amp;"")))),"")</f>
        <v/>
      </c>
      <c r="AC16" s="122" t="str">
        <f t="shared" ca="1" si="4"/>
        <v/>
      </c>
      <c r="AD16" s="176" t="str">
        <f t="shared" ca="1" si="5"/>
        <v/>
      </c>
      <c r="AE16" s="176" t="str">
        <f t="shared" ca="1" si="6"/>
        <v/>
      </c>
      <c r="AF16" s="176" t="str">
        <f t="shared" ca="1" si="7"/>
        <v/>
      </c>
      <c r="AG16" s="176" t="str">
        <f t="shared" ca="1" si="8"/>
        <v/>
      </c>
      <c r="AH16" s="183" t="str">
        <f t="shared" ca="1" si="9"/>
        <v/>
      </c>
      <c r="AI16" s="176" t="str">
        <f t="shared" ca="1" si="10"/>
        <v/>
      </c>
      <c r="AJ16" s="176" t="str">
        <f t="shared" ca="1" si="11"/>
        <v/>
      </c>
      <c r="AK16" s="176" t="str">
        <f t="shared" ca="1" si="12"/>
        <v/>
      </c>
      <c r="AL16" s="176" t="str">
        <f t="shared" ca="1" si="13"/>
        <v/>
      </c>
      <c r="AM16" s="176" t="str">
        <f t="shared" ca="1" si="14"/>
        <v/>
      </c>
      <c r="AN16" s="176" t="str">
        <f t="shared" ca="1" si="15"/>
        <v/>
      </c>
      <c r="AO16" s="176" t="str">
        <f t="shared" ca="1" si="16"/>
        <v/>
      </c>
      <c r="AP16" s="176" t="str">
        <f t="shared" ca="1" si="17"/>
        <v/>
      </c>
      <c r="AU16" s="176" t="str">
        <f t="shared" ca="1" si="18"/>
        <v/>
      </c>
      <c r="AW16" s="106" t="str">
        <f ca="1">IFERROR(IF(AF16&lt;&gt;"",OFFSET('数出表_Excel（アレルギー入力）'!$A$1,MATCH(AF16,'数出表_Excel（アレルギー入力）'!A:A,0)-2,0),""),"")</f>
        <v/>
      </c>
      <c r="AX16" s="106" t="str">
        <f ca="1">IF(AW16&lt;&gt;"",
OFFSET(得意先マスタ!$A$1,MATCH(AW16,得意先マスタ!A:A,0)-1,24),"")</f>
        <v/>
      </c>
      <c r="AY16" s="57">
        <f t="shared" ca="1" si="21"/>
        <v>0</v>
      </c>
      <c r="AZ16" s="57">
        <f t="shared" ca="1" si="22"/>
        <v>0</v>
      </c>
      <c r="BA16" s="57">
        <f t="shared" ca="1" si="23"/>
        <v>0</v>
      </c>
      <c r="BB16" s="176">
        <f t="shared" ca="1" si="24"/>
        <v>0</v>
      </c>
    </row>
    <row r="17" spans="1:54" ht="22.2" customHeight="1">
      <c r="A17" s="101">
        <f t="shared" si="19"/>
        <v>39</v>
      </c>
      <c r="B17" s="45" t="str">
        <f t="shared" si="20"/>
        <v/>
      </c>
      <c r="C17" s="45" t="str">
        <f>IF(OR(クライアント抽出!B17&lt;&gt;"",クライアント抽出!E17&lt;&gt;""),クライアント抽出!A17,"")</f>
        <v/>
      </c>
      <c r="D17" s="45" t="str">
        <f t="array" aca="1" ref="D17" ca="1">IF(C17&lt;&gt;"",INDIRECT("クライアント抽出!"&amp;E17&amp;MATCH(C17,クライアント抽出!A:A,0)&amp;""),"")</f>
        <v/>
      </c>
      <c r="E17" s="45" t="str">
        <f>IF(H17&lt;&gt;0,
IFERROR(
SUBSTITUTE(ADDRESS(1,
MATCH(VALUE(H17),クライアント抽出!A17:G17,0)+8,4),"1",""),
""),
IFERROR(
SUBSTITUTE(ADDRESS(1,
MATCH(VALUE(I17),クライアント抽出!A17:G17,0)+8,4),"1",""),
""))</f>
        <v/>
      </c>
      <c r="F17" s="184" t="str">
        <f ca="1">IF(D17&lt;&gt;"",
IF(COUNTIF(C17,"*雙葉*"),
IF(ROUND((H17-M17)
/IF(COUNTIF(D17,"*キャラ*"),
VLOOKUP("*キャラ*",商品マスタ!$D:$E,2,FALSE),
IF(COUNTIF(D17,"*赤*"),
VLOOKUP("*赤*",商品マスタ!$D:$E,2,FALSE),
VLOOKUP("*"&amp;D17&amp;"*",商品マスタ!$D:$E,2,FALSE))),0)&lt;=0,1,
ROUND((H17-M17)
/IF(COUNTIF(D17,"*キャラ*"),
VLOOKUP("*キャラ*",商品マスタ!$D:$E,2,FALSE),
IF(COUNTIF(D17,"*赤*"),
VLOOKUP("*赤*",商品マスタ!$D:$E,2,FALSE),
VLOOKUP("*"&amp;D17&amp;"*",商品マスタ!$D:$E,2,FALSE))),0)),
IF(OR(COUNTIF(D17,"*キャラ*"),COUNTIF(D17,"*赤*")),"",
IF(VLOOKUP("*"&amp;D17&amp;"*",商品マスタ!$D:$E,2,FALSE)=0,"",
IF(ROUND((H17-M17)
/VLOOKUP("*"&amp;D17&amp;"*",商品マスタ!$D:$E,2,FALSE),0)&lt;=0,1,
ROUND((H17-M17)
/VLOOKUP("*"&amp;D17&amp;"*",商品マスタ!$D:$E,2,FALSE),0))))),"")</f>
        <v/>
      </c>
      <c r="G17" s="45" t="str">
        <f ca="1">IF(F17&lt;&gt;"",
IF(VALUE(H17-M17)&gt;VALUE(IF(COUNTIF(D17,"*キャラ*"),
VLOOKUP("*キャラ*",商品マスタ!$D:$E,2,FALSE),
IF(COUNTIF(D17,"*赤*"),
VLOOKUP("*赤*",商品マスタ!$D:$E,2,FALSE),
VLOOKUP("*"&amp;D17&amp;"*",商品マスタ!$D:$E,2,FALSE)))*F17),
"+"&amp;(H17-M17)-IF(COUNTIF(D17,"*キャラ*"),
VLOOKUP("*キャラ*",商品マスタ!$D:$E,2,FALSE),
IF(COUNTIF(D17,"*赤*"),
VLOOKUP("*赤*",商品マスタ!$D:$E,2,FALSE),
VLOOKUP("*"&amp;D17&amp;"*",商品マスタ!$D:$E,2,FALSE)))*F17,
(H17-M17)-IF(COUNTIF(D17,"*キャラ*"),
VLOOKUP("*キャラ*",商品マスタ!$D:$E,2,FALSE),
IF(COUNTIF(D17,"*赤*"),
VLOOKUP("*赤*",商品マスタ!$D:$E,2,FALSE),
VLOOKUP("*"&amp;D17&amp;"*",商品マスタ!$D:$E,2,FALSE)))*F17),"")</f>
        <v/>
      </c>
      <c r="H17" s="99" t="str">
        <f>IF(C17&lt;&gt;"",
クライアント抽出!B17,"")</f>
        <v/>
      </c>
      <c r="I17" s="45" t="str">
        <f t="array" aca="1" ref="I17" ca="1">IF(C17&lt;&gt;"",
IF(O17=1,
IF(SUMPRODUCT(COUNTIF(クライアント抽出!P17:U17,クライアント抽出!P17:U17))&gt;COUNTA(クライアント抽出!P17:U17),
IFERROR(INDIRECT("数出表_Excel!"&amp;INDEX(_xlfn.UNIQUE(_xlfn._xlws.FILTER(クライアント抽出!P17:U17,COUNTIF(クライアント抽出!P17:U17,クライアント抽出!P17:U17)&gt;1)),1)&amp;L17&amp;""),
クライアント抽出!E17),0),クライアント抽出!E17),"")</f>
        <v/>
      </c>
      <c r="J17" s="45" t="str">
        <f>IF(C17&lt;&gt;"",
VLOOKUP(
"*"&amp;LEFT(IF(COUNTIF(D17,"*学食*"),"キャラ弁（学食）",
IF(COUNTIF(D17,"*赤*"),"赤",
IF(COUNTIF(D17,"*キャラ弁当*"),"キャラ弁当",D17))),4)&amp;"*",注文弁当の抽出!$F$1:$G$15,2,FALSE),"")</f>
        <v/>
      </c>
      <c r="K17" s="45" t="str">
        <f ca="1">IF(クライアント抽出!P17&lt;&gt;"",SUBSTITUTE(ADDRESS(1,(CODE(クライアント抽出!P17)-64)*2-1,4),"1",""),"")</f>
        <v/>
      </c>
      <c r="L17" s="45" t="str">
        <f>IF(C17&lt;&gt;"",クライアント抽出!I17,"")</f>
        <v/>
      </c>
      <c r="M17" s="45">
        <f t="array" aca="1" ref="M17" ca="1">IF(C17&lt;&gt;"",
IF(K17&lt;&gt;"",INDIRECT("'数出表_Excel（アレルギー入力）'!"&amp;K17&amp;L17-1&amp;""),),)</f>
        <v>0</v>
      </c>
      <c r="N17" s="45" t="str">
        <f>IF(C17&lt;&gt;"",IF(OR(COUNTIF('盛付札（関数）'!D17,"*赤*"),COUNTIF('盛付札（関数）'!D17,"*キャラ*")),1,
VALUE(VLOOKUP("*"&amp;D17&amp;"*",商品マスタ!D:H,5,FALSE))),"")</f>
        <v/>
      </c>
      <c r="O17" s="45">
        <f ca="1">IF(LEN(クライアント抽出!V17)-LEN(SUBSTITUTE(クライアント抽出!V17,",",""))&lt;&gt;1,
IF(AND(クライアント抽出!P17&lt;&gt;"",クライアント抽出!S17&lt;&gt;""),
IF(クライアント抽出!P17&lt;&gt;クライアント抽出!S17,1,0),0),0)</f>
        <v>0</v>
      </c>
      <c r="P17" s="45">
        <f t="shared" si="0"/>
        <v>0</v>
      </c>
      <c r="Q17" s="45" t="b">
        <f t="shared" si="1"/>
        <v>0</v>
      </c>
      <c r="R17" s="122" t="str">
        <f t="array" aca="1" ref="R17" ca="1">IFERROR(SMALL(IF(P$1:P$311&lt;&gt;0,P$1:P$311),ROW(A17)),"")</f>
        <v/>
      </c>
      <c r="S17" s="122" t="str">
        <f t="array" aca="1" ref="S17" ca="1">IF($R17&lt;&gt;"",
SUBSTITUTE(SUBSTITUTE(INDIRECT("C"&amp;$R17&amp;"")," 週3ｺｰｽ","")," 週5ｺｰｽ",""),"")</f>
        <v/>
      </c>
      <c r="T17" s="122" t="str">
        <f t="array" aca="1" ref="T17" ca="1">IF(IF($R17&lt;&gt;"",
INDIRECT(""&amp;IF(COLUMN(D17)&lt;=26,CHAR(COLUMN(D17)+64),CHAR(INT((COLUMN(D17)-1)/26)+64)&amp;CHAR(MOD(COLUMN(D17)-1,26)+65))&amp;$R17&amp;""),"")=0,"",
IF($R17&lt;&gt;"",
INDIRECT(""&amp;IF(COLUMN(D17)&lt;=26,CHAR(COLUMN(D17)+64),CHAR(INT((COLUMN(D17)-1)/26)+64)&amp;CHAR(MOD(COLUMN(D17)-1,26)+65))&amp;$R17&amp;""),""))</f>
        <v/>
      </c>
      <c r="U17" s="185" t="str">
        <f t="array" aca="1" ref="U17" ca="1">IF($R17&lt;&gt;"",
INDIRECT("F"&amp;$R17&amp;""),"")</f>
        <v/>
      </c>
      <c r="V17" s="122" t="str">
        <f t="array" aca="1" ref="V17" ca="1">IF($R17&lt;&gt;"",
INDIRECT("G"&amp;$R17&amp;""),"")</f>
        <v/>
      </c>
      <c r="W17" s="122" t="str" cm="1">
        <f t="array" aca="1" ref="W17" ca="1">IF($R17&lt;&gt;"",
IF(AND(COUNTIF(INDIRECT("B"&amp;R17&amp;""),"*雙葉*"),COUNTIF($B$71:$B$210,"*雙葉*")&gt;=1),
IF(OR(COUNTIF(INDIRECT("B"&amp;R17&amp;""),"*雙葉先生*"),COUNTIF(INDIRECT("B"&amp;R17-1&amp;""),"*雙葉*")),INDIRECT("H"&amp;R17&amp;""),INDIRECT("H"&amp;R17&amp;"")+INDIRECT("H"&amp;MATCH("雙葉'",INDIRECT("B"&amp;R17+3&amp;":B210"),0)+2+R17&amp;"")),
IF(AND(LEFT(INDIRECT("B"&amp;R17&amp;""),2)="博多",COUNTIF(B:B,"*博多*")&gt;=2),
INDIRECT("H"&amp;R17&amp;"")+IFERROR(INDIRECT("H"&amp;MATCH("*"&amp;INDIRECT("B"&amp;R17&amp;"")&amp;"*",INDIRECT("B"&amp;R17+1&amp;":B210"),0)+R17&amp;""),0),
IF(AND(LEFT(INDIRECT("B"&amp;R17&amp;""),3)="奈良屋",COUNTIF(B:B,"*奈良屋*")&gt;=2),
INDIRECT("H"&amp;R17&amp;"")
+INDIRECT("H"&amp;MATCH("*"&amp;INDIRECT("B"&amp;R17&amp;"")&amp;"*",INDIRECT("B"&amp;R17+1&amp;":B210"),0)+R17&amp;"")
+INDIRECT("H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
+INDIRECT("H"&amp;MATCH("*"&amp;INDIRECT("B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&amp;"*",INDIRECT("B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+1&amp;":B210"),0)+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,
INDIRECT("H"&amp;R17&amp;"")))),"")</f>
        <v/>
      </c>
      <c r="X17" s="122" t="str">
        <f t="array" aca="1" ref="X17" ca="1">IF($R17&lt;&gt;"",
INDIRECT(""&amp;IF(COLUMN(I17)&lt;=26,CHAR(COLUMN(I17)+64),CHAR(INT((COLUMN(I17)-1)/26)+64)&amp;CHAR(MOD(COLUMN(I17)-1,26)+65))&amp;$R17&amp;""),"")</f>
        <v/>
      </c>
      <c r="Y17" s="122" t="str">
        <f t="array" aca="1" ref="Y17" ca="1">IF($R17&lt;&gt;"",
INDIRECT(""&amp;IF(COLUMN(J17)&lt;=26,CHAR(COLUMN(J17)+64),CHAR(INT((COLUMN(J17)-1)/26)+64)&amp;CHAR(MOD(COLUMN(J17)-1,26)+65))&amp;$R17&amp;""),"")</f>
        <v/>
      </c>
      <c r="Z17" s="122" t="str">
        <f t="shared" ca="1" si="2"/>
        <v/>
      </c>
      <c r="AA17" s="122" t="str">
        <f t="shared" ca="1" si="3"/>
        <v/>
      </c>
      <c r="AB17" s="122" t="str">
        <f t="array" aca="1" ref="AB17" ca="1">IF($R17&lt;&gt;"",
IF(AND(COUNTIF(INDIRECT("B"&amp;R17&amp;""),"*雙葉*"),COUNTIF(INDIRECT("B"&amp;R17&amp;""),"&lt;&gt;*先生*"),COUNTIF(B:B,"*雙葉*")&gt;=2),
INDIRECT("M"&amp;R17&amp;"")+INDIRECT("M"&amp;MATCH("雙葉'",INDIRECT("B"&amp;R17+1&amp;":B210"),0)+R17&amp;""),
IF(AND(LEFT(INDIRECT("B"&amp;R17&amp;""),2)="博多",COUNTIF(B:B,"*博多*")&gt;=2),
INDIRECT("M"&amp;R17&amp;"")+INDIRECT("M"&amp;MATCH("*"&amp;INDIRECT("B"&amp;R17&amp;"")&amp;"*",INDIRECT("B"&amp;R17+1&amp;":B210"),0)+R17&amp;""),
IF(AND(LEFT(INDIRECT("B"&amp;R17&amp;""),3)="奈良屋",COUNTIF(B:B,"*奈良屋*")&gt;=2),
INDIRECT("M"&amp;R17&amp;"")+INDIRECT("M"&amp;MATCH("*"&amp;INDIRECT("B"&amp;R17&amp;"")&amp;"*",INDIRECT("B"&amp;R17+1&amp;":B210"),0)+R17&amp;"")
+INDIRECT("M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,
INDIRECT("M"&amp;R17&amp;"")))),"")</f>
        <v/>
      </c>
      <c r="AC17" s="122" t="str">
        <f t="shared" ca="1" si="4"/>
        <v/>
      </c>
      <c r="AD17" s="176" t="str">
        <f t="shared" ca="1" si="5"/>
        <v/>
      </c>
      <c r="AE17" s="176" t="str">
        <f t="shared" ca="1" si="6"/>
        <v/>
      </c>
      <c r="AF17" s="176" t="str">
        <f t="shared" ca="1" si="7"/>
        <v/>
      </c>
      <c r="AG17" s="176" t="str">
        <f t="shared" ca="1" si="8"/>
        <v/>
      </c>
      <c r="AH17" s="183" t="str">
        <f t="shared" ca="1" si="9"/>
        <v/>
      </c>
      <c r="AI17" s="176" t="str">
        <f t="shared" ca="1" si="10"/>
        <v/>
      </c>
      <c r="AJ17" s="176" t="str">
        <f t="shared" ca="1" si="11"/>
        <v/>
      </c>
      <c r="AK17" s="176" t="str">
        <f t="shared" ca="1" si="12"/>
        <v/>
      </c>
      <c r="AL17" s="176" t="str">
        <f t="shared" ca="1" si="13"/>
        <v/>
      </c>
      <c r="AM17" s="176" t="str">
        <f t="shared" ca="1" si="14"/>
        <v/>
      </c>
      <c r="AN17" s="176" t="str">
        <f t="shared" ca="1" si="15"/>
        <v/>
      </c>
      <c r="AO17" s="176" t="str">
        <f t="shared" ca="1" si="16"/>
        <v/>
      </c>
      <c r="AP17" s="176" t="str">
        <f t="shared" ca="1" si="17"/>
        <v/>
      </c>
      <c r="AU17" s="176" t="str">
        <f t="shared" ca="1" si="18"/>
        <v/>
      </c>
      <c r="AW17" s="106" t="str">
        <f ca="1">IFERROR(IF(AF17&lt;&gt;"",OFFSET('数出表_Excel（アレルギー入力）'!$A$1,MATCH(AF17,'数出表_Excel（アレルギー入力）'!A:A,0)-2,0),""),"")</f>
        <v/>
      </c>
      <c r="AX17" s="106" t="str">
        <f ca="1">IF(AW17&lt;&gt;"",
OFFSET(得意先マスタ!$A$1,MATCH(AW17,得意先マスタ!A:A,0)-1,24),"")</f>
        <v/>
      </c>
      <c r="AY17" s="57">
        <f t="shared" ca="1" si="21"/>
        <v>0</v>
      </c>
      <c r="AZ17" s="57">
        <f t="shared" ca="1" si="22"/>
        <v>0</v>
      </c>
      <c r="BA17" s="57">
        <f t="shared" ca="1" si="23"/>
        <v>0</v>
      </c>
      <c r="BB17" s="176">
        <f t="shared" ca="1" si="24"/>
        <v>0</v>
      </c>
    </row>
    <row r="18" spans="1:54" ht="18" customHeight="1">
      <c r="A18" s="101">
        <f t="shared" si="19"/>
        <v>41</v>
      </c>
      <c r="B18" s="45" t="str">
        <f t="shared" si="20"/>
        <v/>
      </c>
      <c r="C18" s="45" t="str">
        <f>IF(OR(クライアント抽出!B18&lt;&gt;"",クライアント抽出!E18&lt;&gt;""),クライアント抽出!A18,"")</f>
        <v/>
      </c>
      <c r="D18" s="45" t="str">
        <f t="array" aca="1" ref="D18" ca="1">IF(C18&lt;&gt;"",INDIRECT("クライアント抽出!"&amp;E18&amp;MATCH(C18,クライアント抽出!A:A,0)&amp;""),"")</f>
        <v/>
      </c>
      <c r="E18" s="45" t="str">
        <f>IF(H18&lt;&gt;0,
IFERROR(
SUBSTITUTE(ADDRESS(1,
MATCH(VALUE(H18),クライアント抽出!A18:G18,0)+8,4),"1",""),
""),
IFERROR(
SUBSTITUTE(ADDRESS(1,
MATCH(VALUE(I18),クライアント抽出!A18:G18,0)+8,4),"1",""),
""))</f>
        <v/>
      </c>
      <c r="F18" s="184" t="str">
        <f ca="1">IF(D18&lt;&gt;"",
IF(COUNTIF(C18,"*雙葉*"),
IF(ROUND((H18-M18)
/IF(COUNTIF(D18,"*キャラ*"),
VLOOKUP("*キャラ*",商品マスタ!$D:$E,2,FALSE),
IF(COUNTIF(D18,"*赤*"),
VLOOKUP("*赤*",商品マスタ!$D:$E,2,FALSE),
VLOOKUP("*"&amp;D18&amp;"*",商品マスタ!$D:$E,2,FALSE))),0)&lt;=0,1,
ROUND((H18-M18)
/IF(COUNTIF(D18,"*キャラ*"),
VLOOKUP("*キャラ*",商品マスタ!$D:$E,2,FALSE),
IF(COUNTIF(D18,"*赤*"),
VLOOKUP("*赤*",商品マスタ!$D:$E,2,FALSE),
VLOOKUP("*"&amp;D18&amp;"*",商品マスタ!$D:$E,2,FALSE))),0)),
IF(OR(COUNTIF(D18,"*キャラ*"),COUNTIF(D18,"*赤*")),"",
IF(VLOOKUP("*"&amp;D18&amp;"*",商品マスタ!$D:$E,2,FALSE)=0,"",
IF(ROUND((H18-M18)
/VLOOKUP("*"&amp;D18&amp;"*",商品マスタ!$D:$E,2,FALSE),0)&lt;=0,1,
ROUND((H18-M18)
/VLOOKUP("*"&amp;D18&amp;"*",商品マスタ!$D:$E,2,FALSE),0))))),"")</f>
        <v/>
      </c>
      <c r="G18" s="45" t="str">
        <f ca="1">IF(F18&lt;&gt;"",
IF(VALUE(H18-M18)&gt;VALUE(IF(COUNTIF(D18,"*キャラ*"),
VLOOKUP("*キャラ*",商品マスタ!$D:$E,2,FALSE),
IF(COUNTIF(D18,"*赤*"),
VLOOKUP("*赤*",商品マスタ!$D:$E,2,FALSE),
VLOOKUP("*"&amp;D18&amp;"*",商品マスタ!$D:$E,2,FALSE)))*F18),
"+"&amp;(H18-M18)-IF(COUNTIF(D18,"*キャラ*"),
VLOOKUP("*キャラ*",商品マスタ!$D:$E,2,FALSE),
IF(COUNTIF(D18,"*赤*"),
VLOOKUP("*赤*",商品マスタ!$D:$E,2,FALSE),
VLOOKUP("*"&amp;D18&amp;"*",商品マスタ!$D:$E,2,FALSE)))*F18,
(H18-M18)-IF(COUNTIF(D18,"*キャラ*"),
VLOOKUP("*キャラ*",商品マスタ!$D:$E,2,FALSE),
IF(COUNTIF(D18,"*赤*"),
VLOOKUP("*赤*",商品マスタ!$D:$E,2,FALSE),
VLOOKUP("*"&amp;D18&amp;"*",商品マスタ!$D:$E,2,FALSE)))*F18),"")</f>
        <v/>
      </c>
      <c r="H18" s="99" t="str">
        <f>IF(C18&lt;&gt;"",
クライアント抽出!B18,"")</f>
        <v/>
      </c>
      <c r="I18" s="45" t="str">
        <f t="array" aca="1" ref="I18" ca="1">IF(C18&lt;&gt;"",
IF(O18=1,
IF(SUMPRODUCT(COUNTIF(クライアント抽出!P18:U18,クライアント抽出!P18:U18))&gt;COUNTA(クライアント抽出!P18:U18),
IFERROR(INDIRECT("数出表_Excel!"&amp;INDEX(_xlfn.UNIQUE(_xlfn._xlws.FILTER(クライアント抽出!P18:U18,COUNTIF(クライアント抽出!P18:U18,クライアント抽出!P18:U18)&gt;1)),1)&amp;L18&amp;""),
クライアント抽出!E18),0),クライアント抽出!E18),"")</f>
        <v/>
      </c>
      <c r="J18" s="45" t="str">
        <f>IF(C18&lt;&gt;"",
VLOOKUP(
"*"&amp;LEFT(IF(COUNTIF(D18,"*学食*"),"キャラ弁（学食）",
IF(COUNTIF(D18,"*赤*"),"赤",
IF(COUNTIF(D18,"*キャラ弁当*"),"キャラ弁当",D18))),4)&amp;"*",注文弁当の抽出!$F$1:$G$15,2,FALSE),"")</f>
        <v/>
      </c>
      <c r="K18" s="45" t="str">
        <f ca="1">IF(クライアント抽出!P18&lt;&gt;"",SUBSTITUTE(ADDRESS(1,(CODE(クライアント抽出!P18)-64)*2-1,4),"1",""),"")</f>
        <v/>
      </c>
      <c r="L18" s="45" t="str">
        <f>IF(C18&lt;&gt;"",クライアント抽出!I18,"")</f>
        <v/>
      </c>
      <c r="M18" s="45">
        <f t="array" aca="1" ref="M18" ca="1">IF(C18&lt;&gt;"",
IF(K18&lt;&gt;"",INDIRECT("'数出表_Excel（アレルギー入力）'!"&amp;K18&amp;L18-1&amp;""),),)</f>
        <v>0</v>
      </c>
      <c r="N18" s="45" t="str">
        <f>IF(C18&lt;&gt;"",IF(OR(COUNTIF('盛付札（関数）'!D18,"*赤*"),COUNTIF('盛付札（関数）'!D18,"*キャラ*")),1,
VALUE(VLOOKUP("*"&amp;D18&amp;"*",商品マスタ!D:H,5,FALSE))),"")</f>
        <v/>
      </c>
      <c r="O18" s="45">
        <f ca="1">IF(LEN(クライアント抽出!V18)-LEN(SUBSTITUTE(クライアント抽出!V18,",",""))&lt;&gt;1,
IF(AND(クライアント抽出!P18&lt;&gt;"",クライアント抽出!S18&lt;&gt;""),
IF(クライアント抽出!P18&lt;&gt;クライアント抽出!S18,1,0),0),0)</f>
        <v>0</v>
      </c>
      <c r="P18" s="45">
        <f t="shared" si="0"/>
        <v>0</v>
      </c>
      <c r="Q18" s="45" t="b">
        <f t="shared" si="1"/>
        <v>0</v>
      </c>
      <c r="R18" s="122" t="str">
        <f t="array" aca="1" ref="R18" ca="1">IFERROR(SMALL(IF(P$1:P$311&lt;&gt;0,P$1:P$311),ROW(A18)),"")</f>
        <v/>
      </c>
      <c r="S18" s="122" t="str">
        <f t="array" aca="1" ref="S18" ca="1">IF($R18&lt;&gt;"",
SUBSTITUTE(SUBSTITUTE(INDIRECT("C"&amp;$R18&amp;"")," 週3ｺｰｽ","")," 週5ｺｰｽ",""),"")</f>
        <v/>
      </c>
      <c r="T18" s="122" t="str">
        <f t="array" aca="1" ref="T18" ca="1">IF(IF($R18&lt;&gt;"",
INDIRECT(""&amp;IF(COLUMN(D18)&lt;=26,CHAR(COLUMN(D18)+64),CHAR(INT((COLUMN(D18)-1)/26)+64)&amp;CHAR(MOD(COLUMN(D18)-1,26)+65))&amp;$R18&amp;""),"")=0,"",
IF($R18&lt;&gt;"",
INDIRECT(""&amp;IF(COLUMN(D18)&lt;=26,CHAR(COLUMN(D18)+64),CHAR(INT((COLUMN(D18)-1)/26)+64)&amp;CHAR(MOD(COLUMN(D18)-1,26)+65))&amp;$R18&amp;""),""))</f>
        <v/>
      </c>
      <c r="U18" s="185" t="str">
        <f t="array" aca="1" ref="U18" ca="1">IF($R18&lt;&gt;"",
INDIRECT("F"&amp;$R18&amp;""),"")</f>
        <v/>
      </c>
      <c r="V18" s="122" t="str">
        <f t="array" aca="1" ref="V18" ca="1">IF($R18&lt;&gt;"",
INDIRECT("G"&amp;$R18&amp;""),"")</f>
        <v/>
      </c>
      <c r="W18" s="122" t="str" cm="1">
        <f t="array" aca="1" ref="W18" ca="1">IF($R18&lt;&gt;"",
IF(AND(COUNTIF(INDIRECT("B"&amp;R18&amp;""),"*雙葉*"),COUNTIF($B$71:$B$210,"*雙葉*")&gt;=1),
IF(OR(COUNTIF(INDIRECT("B"&amp;R18&amp;""),"*雙葉先生*"),COUNTIF(INDIRECT("B"&amp;R18-1&amp;""),"*雙葉*")),INDIRECT("H"&amp;R18&amp;""),INDIRECT("H"&amp;R18&amp;"")+INDIRECT("H"&amp;MATCH("雙葉'",INDIRECT("B"&amp;R18+3&amp;":B210"),0)+2+R18&amp;"")),
IF(AND(LEFT(INDIRECT("B"&amp;R18&amp;""),2)="博多",COUNTIF(B:B,"*博多*")&gt;=2),
INDIRECT("H"&amp;R18&amp;"")+IFERROR(INDIRECT("H"&amp;MATCH("*"&amp;INDIRECT("B"&amp;R18&amp;"")&amp;"*",INDIRECT("B"&amp;R18+1&amp;":B210"),0)+R18&amp;""),0),
IF(AND(LEFT(INDIRECT("B"&amp;R18&amp;""),3)="奈良屋",COUNTIF(B:B,"*奈良屋*")&gt;=2),
INDIRECT("H"&amp;R18&amp;"")
+INDIRECT("H"&amp;MATCH("*"&amp;INDIRECT("B"&amp;R18&amp;"")&amp;"*",INDIRECT("B"&amp;R18+1&amp;":B210"),0)+R18&amp;"")
+INDIRECT("H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
+INDIRECT("H"&amp;MATCH("*"&amp;INDIRECT("B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&amp;"*",INDIRECT("B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+1&amp;":B210"),0)+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,
INDIRECT("H"&amp;R18&amp;"")))),"")</f>
        <v/>
      </c>
      <c r="X18" s="122" t="str">
        <f t="array" aca="1" ref="X18" ca="1">IF($R18&lt;&gt;"",
INDIRECT(""&amp;IF(COLUMN(I18)&lt;=26,CHAR(COLUMN(I18)+64),CHAR(INT((COLUMN(I18)-1)/26)+64)&amp;CHAR(MOD(COLUMN(I18)-1,26)+65))&amp;$R18&amp;""),"")</f>
        <v/>
      </c>
      <c r="Y18" s="122" t="str">
        <f t="array" aca="1" ref="Y18" ca="1">IF($R18&lt;&gt;"",
INDIRECT(""&amp;IF(COLUMN(J18)&lt;=26,CHAR(COLUMN(J18)+64),CHAR(INT((COLUMN(J18)-1)/26)+64)&amp;CHAR(MOD(COLUMN(J18)-1,26)+65))&amp;$R18&amp;""),"")</f>
        <v/>
      </c>
      <c r="Z18" s="122" t="str">
        <f t="shared" ca="1" si="2"/>
        <v/>
      </c>
      <c r="AA18" s="122" t="str">
        <f t="shared" ca="1" si="3"/>
        <v/>
      </c>
      <c r="AB18" s="122" t="str">
        <f t="array" aca="1" ref="AB18" ca="1">IF($R18&lt;&gt;"",
IF(AND(COUNTIF(INDIRECT("B"&amp;R18&amp;""),"*雙葉*"),COUNTIF(INDIRECT("B"&amp;R18&amp;""),"&lt;&gt;*先生*"),COUNTIF(B:B,"*雙葉*")&gt;=2),
INDIRECT("M"&amp;R18&amp;"")+INDIRECT("M"&amp;MATCH("雙葉'",INDIRECT("B"&amp;R18+1&amp;":B210"),0)+R18&amp;""),
IF(AND(LEFT(INDIRECT("B"&amp;R18&amp;""),2)="博多",COUNTIF(B:B,"*博多*")&gt;=2),
INDIRECT("M"&amp;R18&amp;"")+INDIRECT("M"&amp;MATCH("*"&amp;INDIRECT("B"&amp;R18&amp;"")&amp;"*",INDIRECT("B"&amp;R18+1&amp;":B210"),0)+R18&amp;""),
IF(AND(LEFT(INDIRECT("B"&amp;R18&amp;""),3)="奈良屋",COUNTIF(B:B,"*奈良屋*")&gt;=2),
INDIRECT("M"&amp;R18&amp;"")+INDIRECT("M"&amp;MATCH("*"&amp;INDIRECT("B"&amp;R18&amp;"")&amp;"*",INDIRECT("B"&amp;R18+1&amp;":B210"),0)+R18&amp;"")
+INDIRECT("M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,
INDIRECT("M"&amp;R18&amp;"")))),"")</f>
        <v/>
      </c>
      <c r="AC18" s="122" t="str">
        <f t="shared" ca="1" si="4"/>
        <v/>
      </c>
      <c r="AD18" s="176" t="str">
        <f t="shared" ca="1" si="5"/>
        <v/>
      </c>
      <c r="AE18" s="176" t="str">
        <f t="shared" ca="1" si="6"/>
        <v/>
      </c>
      <c r="AF18" s="176" t="str">
        <f t="shared" ca="1" si="7"/>
        <v/>
      </c>
      <c r="AG18" s="176" t="str">
        <f t="shared" ca="1" si="8"/>
        <v/>
      </c>
      <c r="AH18" s="183" t="str">
        <f t="shared" ca="1" si="9"/>
        <v/>
      </c>
      <c r="AI18" s="176" t="str">
        <f t="shared" ca="1" si="10"/>
        <v/>
      </c>
      <c r="AJ18" s="176" t="str">
        <f t="shared" ca="1" si="11"/>
        <v/>
      </c>
      <c r="AK18" s="176" t="str">
        <f t="shared" ca="1" si="12"/>
        <v/>
      </c>
      <c r="AL18" s="176" t="str">
        <f t="shared" ca="1" si="13"/>
        <v/>
      </c>
      <c r="AM18" s="176" t="str">
        <f t="shared" ca="1" si="14"/>
        <v/>
      </c>
      <c r="AN18" s="176" t="str">
        <f t="shared" ca="1" si="15"/>
        <v/>
      </c>
      <c r="AO18" s="176" t="str">
        <f t="shared" ca="1" si="16"/>
        <v/>
      </c>
      <c r="AP18" s="176" t="str">
        <f t="shared" ca="1" si="17"/>
        <v/>
      </c>
      <c r="AU18" s="176" t="str">
        <f t="shared" ca="1" si="18"/>
        <v/>
      </c>
      <c r="AW18" s="106" t="str">
        <f ca="1">IFERROR(IF(AF18&lt;&gt;"",OFFSET('数出表_Excel（アレルギー入力）'!$A$1,MATCH(AF18,'数出表_Excel（アレルギー入力）'!A:A,0)-2,0),""),"")</f>
        <v/>
      </c>
      <c r="AX18" s="106" t="str">
        <f ca="1">IF(AW18&lt;&gt;"",
OFFSET(得意先マスタ!$A$1,MATCH(AW18,得意先マスタ!A:A,0)-1,24),"")</f>
        <v/>
      </c>
      <c r="AY18" s="57">
        <f t="shared" ca="1" si="21"/>
        <v>0</v>
      </c>
      <c r="AZ18" s="57">
        <f t="shared" ca="1" si="22"/>
        <v>0</v>
      </c>
      <c r="BA18" s="57">
        <f t="shared" ca="1" si="23"/>
        <v>0</v>
      </c>
      <c r="BB18" s="176">
        <f t="shared" ca="1" si="24"/>
        <v>0</v>
      </c>
    </row>
    <row r="19" spans="1:54" ht="18" customHeight="1">
      <c r="A19" s="101">
        <f t="shared" si="19"/>
        <v>43</v>
      </c>
      <c r="B19" s="45" t="str">
        <f t="shared" si="20"/>
        <v/>
      </c>
      <c r="C19" s="45" t="str">
        <f>IF(OR(クライアント抽出!B19&lt;&gt;"",クライアント抽出!E19&lt;&gt;""),クライアント抽出!A19,"")</f>
        <v/>
      </c>
      <c r="D19" s="45" t="str">
        <f t="array" aca="1" ref="D19" ca="1">IF(C19&lt;&gt;"",INDIRECT("クライアント抽出!"&amp;E19&amp;MATCH(C19,クライアント抽出!A:A,0)&amp;""),"")</f>
        <v/>
      </c>
      <c r="E19" s="45" t="str">
        <f>IF(H19&lt;&gt;0,
IFERROR(
SUBSTITUTE(ADDRESS(1,
MATCH(VALUE(H19),クライアント抽出!A19:G19,0)+8,4),"1",""),
""),
IFERROR(
SUBSTITUTE(ADDRESS(1,
MATCH(VALUE(I19),クライアント抽出!A19:G19,0)+8,4),"1",""),
""))</f>
        <v/>
      </c>
      <c r="F19" s="184" t="str">
        <f ca="1">IF(D19&lt;&gt;"",
IF(COUNTIF(C19,"*雙葉*"),
IF(ROUND((H19-M19)
/IF(COUNTIF(D19,"*キャラ*"),
VLOOKUP("*キャラ*",商品マスタ!$D:$E,2,FALSE),
IF(COUNTIF(D19,"*赤*"),
VLOOKUP("*赤*",商品マスタ!$D:$E,2,FALSE),
VLOOKUP("*"&amp;D19&amp;"*",商品マスタ!$D:$E,2,FALSE))),0)&lt;=0,1,
ROUND((H19-M19)
/IF(COUNTIF(D19,"*キャラ*"),
VLOOKUP("*キャラ*",商品マスタ!$D:$E,2,FALSE),
IF(COUNTIF(D19,"*赤*"),
VLOOKUP("*赤*",商品マスタ!$D:$E,2,FALSE),
VLOOKUP("*"&amp;D19&amp;"*",商品マスタ!$D:$E,2,FALSE))),0)),
IF(OR(COUNTIF(D19,"*キャラ*"),COUNTIF(D19,"*赤*")),"",
IF(VLOOKUP("*"&amp;D19&amp;"*",商品マスタ!$D:$E,2,FALSE)=0,"",
IF(ROUND((H19-M19)
/VLOOKUP("*"&amp;D19&amp;"*",商品マスタ!$D:$E,2,FALSE),0)&lt;=0,1,
ROUND((H19-M19)
/VLOOKUP("*"&amp;D19&amp;"*",商品マスタ!$D:$E,2,FALSE),0))))),"")</f>
        <v/>
      </c>
      <c r="G19" s="45" t="str">
        <f ca="1">IF(F19&lt;&gt;"",
IF(VALUE(H19-M19)&gt;VALUE(IF(COUNTIF(D19,"*キャラ*"),
VLOOKUP("*キャラ*",商品マスタ!$D:$E,2,FALSE),
IF(COUNTIF(D19,"*赤*"),
VLOOKUP("*赤*",商品マスタ!$D:$E,2,FALSE),
VLOOKUP("*"&amp;D19&amp;"*",商品マスタ!$D:$E,2,FALSE)))*F19),
"+"&amp;(H19-M19)-IF(COUNTIF(D19,"*キャラ*"),
VLOOKUP("*キャラ*",商品マスタ!$D:$E,2,FALSE),
IF(COUNTIF(D19,"*赤*"),
VLOOKUP("*赤*",商品マスタ!$D:$E,2,FALSE),
VLOOKUP("*"&amp;D19&amp;"*",商品マスタ!$D:$E,2,FALSE)))*F19,
(H19-M19)-IF(COUNTIF(D19,"*キャラ*"),
VLOOKUP("*キャラ*",商品マスタ!$D:$E,2,FALSE),
IF(COUNTIF(D19,"*赤*"),
VLOOKUP("*赤*",商品マスタ!$D:$E,2,FALSE),
VLOOKUP("*"&amp;D19&amp;"*",商品マスタ!$D:$E,2,FALSE)))*F19),"")</f>
        <v/>
      </c>
      <c r="H19" s="99" t="str">
        <f>IF(C19&lt;&gt;"",
クライアント抽出!B19,"")</f>
        <v/>
      </c>
      <c r="I19" s="45" t="str">
        <f t="array" aca="1" ref="I19" ca="1">IF(C19&lt;&gt;"",
IF(O19=1,
IF(SUMPRODUCT(COUNTIF(クライアント抽出!P19:U19,クライアント抽出!P19:U19))&gt;COUNTA(クライアント抽出!P19:U19),
IFERROR(INDIRECT("数出表_Excel!"&amp;INDEX(_xlfn.UNIQUE(_xlfn._xlws.FILTER(クライアント抽出!P19:U19,COUNTIF(クライアント抽出!P19:U19,クライアント抽出!P19:U19)&gt;1)),1)&amp;L19&amp;""),
クライアント抽出!E19),0),クライアント抽出!E19),"")</f>
        <v/>
      </c>
      <c r="J19" s="45" t="str">
        <f>IF(C19&lt;&gt;"",
VLOOKUP(
"*"&amp;LEFT(IF(COUNTIF(D19,"*学食*"),"キャラ弁（学食）",
IF(COUNTIF(D19,"*赤*"),"赤",
IF(COUNTIF(D19,"*キャラ弁当*"),"キャラ弁当",D19))),4)&amp;"*",注文弁当の抽出!$F$1:$G$15,2,FALSE),"")</f>
        <v/>
      </c>
      <c r="K19" s="45" t="str">
        <f ca="1">IF(クライアント抽出!P19&lt;&gt;"",SUBSTITUTE(ADDRESS(1,(CODE(クライアント抽出!P19)-64)*2-1,4),"1",""),"")</f>
        <v/>
      </c>
      <c r="L19" s="45" t="str">
        <f>IF(C19&lt;&gt;"",クライアント抽出!I19,"")</f>
        <v/>
      </c>
      <c r="M19" s="45">
        <f t="array" aca="1" ref="M19" ca="1">IF(C19&lt;&gt;"",
IF(K19&lt;&gt;"",INDIRECT("'数出表_Excel（アレルギー入力）'!"&amp;K19&amp;L19-1&amp;""),),)</f>
        <v>0</v>
      </c>
      <c r="N19" s="45" t="str">
        <f>IF(C19&lt;&gt;"",IF(OR(COUNTIF('盛付札（関数）'!D19,"*赤*"),COUNTIF('盛付札（関数）'!D19,"*キャラ*")),1,
VALUE(VLOOKUP("*"&amp;D19&amp;"*",商品マスタ!D:H,5,FALSE))),"")</f>
        <v/>
      </c>
      <c r="O19" s="45">
        <f ca="1">IF(LEN(クライアント抽出!V19)-LEN(SUBSTITUTE(クライアント抽出!V19,",",""))&lt;&gt;1,
IF(AND(クライアント抽出!P19&lt;&gt;"",クライアント抽出!S19&lt;&gt;""),
IF(クライアント抽出!P19&lt;&gt;クライアント抽出!S19,1,0),0),0)</f>
        <v>0</v>
      </c>
      <c r="P19" s="45">
        <f t="shared" si="0"/>
        <v>0</v>
      </c>
      <c r="Q19" s="45" t="b">
        <f t="shared" si="1"/>
        <v>0</v>
      </c>
      <c r="R19" s="122" t="str">
        <f t="array" aca="1" ref="R19" ca="1">IFERROR(SMALL(IF(P$1:P$311&lt;&gt;0,P$1:P$311),ROW(A19)),"")</f>
        <v/>
      </c>
      <c r="S19" s="122" t="str">
        <f t="array" aca="1" ref="S19" ca="1">IF($R19&lt;&gt;"",
SUBSTITUTE(SUBSTITUTE(INDIRECT("C"&amp;$R19&amp;"")," 週3ｺｰｽ","")," 週5ｺｰｽ",""),"")</f>
        <v/>
      </c>
      <c r="T19" s="122" t="str">
        <f t="array" aca="1" ref="T19" ca="1">IF(IF($R19&lt;&gt;"",
INDIRECT(""&amp;IF(COLUMN(D19)&lt;=26,CHAR(COLUMN(D19)+64),CHAR(INT((COLUMN(D19)-1)/26)+64)&amp;CHAR(MOD(COLUMN(D19)-1,26)+65))&amp;$R19&amp;""),"")=0,"",
IF($R19&lt;&gt;"",
INDIRECT(""&amp;IF(COLUMN(D19)&lt;=26,CHAR(COLUMN(D19)+64),CHAR(INT((COLUMN(D19)-1)/26)+64)&amp;CHAR(MOD(COLUMN(D19)-1,26)+65))&amp;$R19&amp;""),""))</f>
        <v/>
      </c>
      <c r="U19" s="185" t="str">
        <f t="array" aca="1" ref="U19" ca="1">IF($R19&lt;&gt;"",
INDIRECT("F"&amp;$R19&amp;""),"")</f>
        <v/>
      </c>
      <c r="V19" s="122" t="str">
        <f t="array" aca="1" ref="V19" ca="1">IF($R19&lt;&gt;"",
INDIRECT("G"&amp;$R19&amp;""),"")</f>
        <v/>
      </c>
      <c r="W19" s="122" t="str" cm="1">
        <f t="array" aca="1" ref="W19" ca="1">IF($R19&lt;&gt;"",
IF(AND(COUNTIF(INDIRECT("B"&amp;R19&amp;""),"*雙葉*"),COUNTIF($B$71:$B$210,"*雙葉*")&gt;=1),
IF(OR(COUNTIF(INDIRECT("B"&amp;R19&amp;""),"*雙葉先生*"),COUNTIF(INDIRECT("B"&amp;R19-1&amp;""),"*雙葉*")),INDIRECT("H"&amp;R19&amp;""),INDIRECT("H"&amp;R19&amp;"")+INDIRECT("H"&amp;MATCH("雙葉'",INDIRECT("B"&amp;R19+3&amp;":B210"),0)+2+R19&amp;"")),
IF(AND(LEFT(INDIRECT("B"&amp;R19&amp;""),2)="博多",COUNTIF(B:B,"*博多*")&gt;=2),
INDIRECT("H"&amp;R19&amp;"")+IFERROR(INDIRECT("H"&amp;MATCH("*"&amp;INDIRECT("B"&amp;R19&amp;"")&amp;"*",INDIRECT("B"&amp;R19+1&amp;":B210"),0)+R19&amp;""),0),
IF(AND(LEFT(INDIRECT("B"&amp;R19&amp;""),3)="奈良屋",COUNTIF(B:B,"*奈良屋*")&gt;=2),
INDIRECT("H"&amp;R19&amp;"")
+INDIRECT("H"&amp;MATCH("*"&amp;INDIRECT("B"&amp;R19&amp;"")&amp;"*",INDIRECT("B"&amp;R19+1&amp;":B210"),0)+R19&amp;"")
+INDIRECT("H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
+INDIRECT("H"&amp;MATCH("*"&amp;INDIRECT("B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&amp;"*",INDIRECT("B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+1&amp;":B210"),0)+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,
INDIRECT("H"&amp;R19&amp;"")))),"")</f>
        <v/>
      </c>
      <c r="X19" s="122" t="str">
        <f t="array" aca="1" ref="X19" ca="1">IF($R19&lt;&gt;"",
INDIRECT(""&amp;IF(COLUMN(I19)&lt;=26,CHAR(COLUMN(I19)+64),CHAR(INT((COLUMN(I19)-1)/26)+64)&amp;CHAR(MOD(COLUMN(I19)-1,26)+65))&amp;$R19&amp;""),"")</f>
        <v/>
      </c>
      <c r="Y19" s="122" t="str">
        <f t="array" aca="1" ref="Y19" ca="1">IF($R19&lt;&gt;"",
INDIRECT(""&amp;IF(COLUMN(J19)&lt;=26,CHAR(COLUMN(J19)+64),CHAR(INT((COLUMN(J19)-1)/26)+64)&amp;CHAR(MOD(COLUMN(J19)-1,26)+65))&amp;$R19&amp;""),"")</f>
        <v/>
      </c>
      <c r="Z19" s="122" t="str">
        <f t="shared" ca="1" si="2"/>
        <v/>
      </c>
      <c r="AA19" s="122" t="str">
        <f t="shared" ca="1" si="3"/>
        <v/>
      </c>
      <c r="AB19" s="122" t="str">
        <f t="array" aca="1" ref="AB19" ca="1">IF($R19&lt;&gt;"",
IF(AND(COUNTIF(INDIRECT("B"&amp;R19&amp;""),"*雙葉*"),COUNTIF(INDIRECT("B"&amp;R19&amp;""),"&lt;&gt;*先生*"),COUNTIF(B:B,"*雙葉*")&gt;=2),
INDIRECT("M"&amp;R19&amp;"")+INDIRECT("M"&amp;MATCH("雙葉'",INDIRECT("B"&amp;R19+1&amp;":B210"),0)+R19&amp;""),
IF(AND(LEFT(INDIRECT("B"&amp;R19&amp;""),2)="博多",COUNTIF(B:B,"*博多*")&gt;=2),
INDIRECT("M"&amp;R19&amp;"")+INDIRECT("M"&amp;MATCH("*"&amp;INDIRECT("B"&amp;R19&amp;"")&amp;"*",INDIRECT("B"&amp;R19+1&amp;":B210"),0)+R19&amp;""),
IF(AND(LEFT(INDIRECT("B"&amp;R19&amp;""),3)="奈良屋",COUNTIF(B:B,"*奈良屋*")&gt;=2),
INDIRECT("M"&amp;R19&amp;"")+INDIRECT("M"&amp;MATCH("*"&amp;INDIRECT("B"&amp;R19&amp;"")&amp;"*",INDIRECT("B"&amp;R19+1&amp;":B210"),0)+R19&amp;"")
+INDIRECT("M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,
INDIRECT("M"&amp;R19&amp;"")))),"")</f>
        <v/>
      </c>
      <c r="AC19" s="122" t="str">
        <f t="shared" ca="1" si="4"/>
        <v/>
      </c>
      <c r="AD19" s="176" t="str">
        <f t="shared" ca="1" si="5"/>
        <v/>
      </c>
      <c r="AE19" s="176" t="str">
        <f t="shared" ca="1" si="6"/>
        <v/>
      </c>
      <c r="AF19" s="176" t="str">
        <f t="shared" ca="1" si="7"/>
        <v/>
      </c>
      <c r="AG19" s="176" t="str">
        <f t="shared" ca="1" si="8"/>
        <v/>
      </c>
      <c r="AH19" s="183" t="str">
        <f t="shared" ca="1" si="9"/>
        <v/>
      </c>
      <c r="AI19" s="176" t="str">
        <f t="shared" ca="1" si="10"/>
        <v/>
      </c>
      <c r="AJ19" s="176" t="str">
        <f t="shared" ca="1" si="11"/>
        <v/>
      </c>
      <c r="AK19" s="176" t="str">
        <f t="shared" ca="1" si="12"/>
        <v/>
      </c>
      <c r="AL19" s="176" t="str">
        <f t="shared" ca="1" si="13"/>
        <v/>
      </c>
      <c r="AM19" s="176" t="str">
        <f t="shared" ca="1" si="14"/>
        <v/>
      </c>
      <c r="AN19" s="176" t="str">
        <f t="shared" ca="1" si="15"/>
        <v/>
      </c>
      <c r="AO19" s="176" t="str">
        <f t="shared" ca="1" si="16"/>
        <v/>
      </c>
      <c r="AP19" s="176" t="str">
        <f t="shared" ca="1" si="17"/>
        <v/>
      </c>
      <c r="AU19" s="176" t="str">
        <f t="shared" ca="1" si="18"/>
        <v/>
      </c>
      <c r="AW19" s="106" t="str">
        <f ca="1">IFERROR(IF(AF19&lt;&gt;"",OFFSET('数出表_Excel（アレルギー入力）'!$A$1,MATCH(AF19,'数出表_Excel（アレルギー入力）'!A:A,0)-2,0),""),"")</f>
        <v/>
      </c>
      <c r="AX19" s="106" t="str">
        <f ca="1">IF(AW19&lt;&gt;"",
OFFSET(得意先マスタ!$A$1,MATCH(AW19,得意先マスタ!A:A,0)-1,24),"")</f>
        <v/>
      </c>
      <c r="AY19" s="57">
        <f t="shared" ca="1" si="21"/>
        <v>0</v>
      </c>
      <c r="AZ19" s="57">
        <f t="shared" ref="AZ2:AZ25" ca="1" si="25">IF(AX19&lt;&gt;0,
IF(AW19=AW20,
0,IF(COUNTIF(AX19,"*.*"),
IF(COUNTIF(AX19,"*.*")=1,MID(AX19, FIND(".", AX19) + 1,LEN(AX19) - FIND(".", AX19)),
MID(AX19, FIND(".", AX19) + 1, FIND(".", AX19, FIND(".", AX19) + 1) - FIND(".", AX19) - 1)),0)),0)</f>
        <v>0</v>
      </c>
      <c r="BA19" s="57">
        <f t="shared" ref="BA2:BA25" ca="1" si="26">IF(AX19&lt;&gt;0,
IF(AW19=AW21,0,IF(COUNTIF(AX19,"*.*"),
IF(COUNTIF(AX19,"*.*")=1,"",RIGHT(AX19, LEN(AX19) - FIND(".", AX19, FIND(".", AX19) + 1))),0)),0)</f>
        <v>0</v>
      </c>
      <c r="BB19" s="176">
        <f t="shared" ca="1" si="24"/>
        <v>0</v>
      </c>
    </row>
    <row r="20" spans="1:54" ht="22.2" customHeight="1">
      <c r="A20" s="101">
        <f t="shared" si="19"/>
        <v>45</v>
      </c>
      <c r="B20" s="45" t="str">
        <f t="shared" si="20"/>
        <v/>
      </c>
      <c r="C20" s="45" t="str">
        <f>IF(OR(クライアント抽出!B20&lt;&gt;"",クライアント抽出!E20&lt;&gt;""),クライアント抽出!A20,"")</f>
        <v/>
      </c>
      <c r="D20" s="45" t="str">
        <f t="array" aca="1" ref="D20" ca="1">IF(C20&lt;&gt;"",INDIRECT("クライアント抽出!"&amp;E20&amp;MATCH(C20,クライアント抽出!A:A,0)&amp;""),"")</f>
        <v/>
      </c>
      <c r="E20" s="45" t="str">
        <f>IF(H20&lt;&gt;0,
IFERROR(
SUBSTITUTE(ADDRESS(1,
MATCH(VALUE(H20),クライアント抽出!A20:G20,0)+8,4),"1",""),
""),
IFERROR(
SUBSTITUTE(ADDRESS(1,
MATCH(VALUE(I20),クライアント抽出!A20:G20,0)+8,4),"1",""),
""))</f>
        <v/>
      </c>
      <c r="F20" s="184" t="str">
        <f ca="1">IF(D20&lt;&gt;"",
IF(COUNTIF(C20,"*雙葉*"),
IF(ROUND((H20-M20)
/IF(COUNTIF(D20,"*キャラ*"),
VLOOKUP("*キャラ*",商品マスタ!$D:$E,2,FALSE),
IF(COUNTIF(D20,"*赤*"),
VLOOKUP("*赤*",商品マスタ!$D:$E,2,FALSE),
VLOOKUP("*"&amp;D20&amp;"*",商品マスタ!$D:$E,2,FALSE))),0)&lt;=0,1,
ROUND((H20-M20)
/IF(COUNTIF(D20,"*キャラ*"),
VLOOKUP("*キャラ*",商品マスタ!$D:$E,2,FALSE),
IF(COUNTIF(D20,"*赤*"),
VLOOKUP("*赤*",商品マスタ!$D:$E,2,FALSE),
VLOOKUP("*"&amp;D20&amp;"*",商品マスタ!$D:$E,2,FALSE))),0)),
IF(OR(COUNTIF(D20,"*キャラ*"),COUNTIF(D20,"*赤*")),"",
IF(VLOOKUP("*"&amp;D20&amp;"*",商品マスタ!$D:$E,2,FALSE)=0,"",
IF(ROUND((H20-M20)
/VLOOKUP("*"&amp;D20&amp;"*",商品マスタ!$D:$E,2,FALSE),0)&lt;=0,1,
ROUND((H20-M20)
/VLOOKUP("*"&amp;D20&amp;"*",商品マスタ!$D:$E,2,FALSE),0))))),"")</f>
        <v/>
      </c>
      <c r="G20" s="45" t="str">
        <f ca="1">IF(F20&lt;&gt;"",
IF(VALUE(H20-M20)&gt;VALUE(IF(COUNTIF(D20,"*キャラ*"),
VLOOKUP("*キャラ*",商品マスタ!$D:$E,2,FALSE),
IF(COUNTIF(D20,"*赤*"),
VLOOKUP("*赤*",商品マスタ!$D:$E,2,FALSE),
VLOOKUP("*"&amp;D20&amp;"*",商品マスタ!$D:$E,2,FALSE)))*F20),
"+"&amp;(H20-M20)-IF(COUNTIF(D20,"*キャラ*"),
VLOOKUP("*キャラ*",商品マスタ!$D:$E,2,FALSE),
IF(COUNTIF(D20,"*赤*"),
VLOOKUP("*赤*",商品マスタ!$D:$E,2,FALSE),
VLOOKUP("*"&amp;D20&amp;"*",商品マスタ!$D:$E,2,FALSE)))*F20,
(H20-M20)-IF(COUNTIF(D20,"*キャラ*"),
VLOOKUP("*キャラ*",商品マスタ!$D:$E,2,FALSE),
IF(COUNTIF(D20,"*赤*"),
VLOOKUP("*赤*",商品マスタ!$D:$E,2,FALSE),
VLOOKUP("*"&amp;D20&amp;"*",商品マスタ!$D:$E,2,FALSE)))*F20),"")</f>
        <v/>
      </c>
      <c r="H20" s="99" t="str">
        <f>IF(C20&lt;&gt;"",
クライアント抽出!B20,"")</f>
        <v/>
      </c>
      <c r="I20" s="45" t="str">
        <f t="array" aca="1" ref="I20" ca="1">IF(C20&lt;&gt;"",
IF(O20=1,
IF(SUMPRODUCT(COUNTIF(クライアント抽出!P20:U20,クライアント抽出!P20:U20))&gt;COUNTA(クライアント抽出!P20:U20),
IFERROR(INDIRECT("数出表_Excel!"&amp;INDEX(_xlfn.UNIQUE(_xlfn._xlws.FILTER(クライアント抽出!P20:U20,COUNTIF(クライアント抽出!P20:U20,クライアント抽出!P20:U20)&gt;1)),1)&amp;L20&amp;""),
クライアント抽出!E20),0),クライアント抽出!E20),"")</f>
        <v/>
      </c>
      <c r="J20" s="45" t="str">
        <f>IF(C20&lt;&gt;"",
VLOOKUP(
"*"&amp;LEFT(IF(COUNTIF(D20,"*学食*"),"キャラ弁（学食）",
IF(COUNTIF(D20,"*赤*"),"赤",
IF(COUNTIF(D20,"*キャラ弁当*"),"キャラ弁当",D20))),4)&amp;"*",注文弁当の抽出!$F$1:$G$15,2,FALSE),"")</f>
        <v/>
      </c>
      <c r="K20" s="45" t="str">
        <f ca="1">IF(クライアント抽出!P20&lt;&gt;"",SUBSTITUTE(ADDRESS(1,(CODE(クライアント抽出!P20)-64)*2-1,4),"1",""),"")</f>
        <v/>
      </c>
      <c r="L20" s="45" t="str">
        <f>IF(C20&lt;&gt;"",クライアント抽出!I20,"")</f>
        <v/>
      </c>
      <c r="M20" s="45">
        <f t="array" aca="1" ref="M20" ca="1">IF(C20&lt;&gt;"",
IF(K20&lt;&gt;"",INDIRECT("'数出表_Excel（アレルギー入力）'!"&amp;K20&amp;L20-1&amp;""),),)</f>
        <v>0</v>
      </c>
      <c r="N20" s="45" t="str">
        <f>IF(C20&lt;&gt;"",IF(OR(COUNTIF('盛付札（関数）'!D20,"*赤*"),COUNTIF('盛付札（関数）'!D20,"*キャラ*")),1,
VALUE(VLOOKUP("*"&amp;D20&amp;"*",商品マスタ!D:H,5,FALSE))),"")</f>
        <v/>
      </c>
      <c r="O20" s="45">
        <f ca="1">IF(LEN(クライアント抽出!V20)-LEN(SUBSTITUTE(クライアント抽出!V20,",",""))&lt;&gt;1,
IF(AND(クライアント抽出!P20&lt;&gt;"",クライアント抽出!S20&lt;&gt;""),
IF(クライアント抽出!P20&lt;&gt;クライアント抽出!S20,1,0),0),0)</f>
        <v>0</v>
      </c>
      <c r="P20" s="45">
        <f t="shared" si="0"/>
        <v>0</v>
      </c>
      <c r="Q20" s="45" t="b">
        <f t="shared" si="1"/>
        <v>0</v>
      </c>
      <c r="R20" s="122" t="str">
        <f t="array" aca="1" ref="R20" ca="1">IFERROR(SMALL(IF(P$1:P$311&lt;&gt;0,P$1:P$311),ROW(A20)),"")</f>
        <v/>
      </c>
      <c r="S20" s="122" t="str">
        <f t="array" aca="1" ref="S20" ca="1">IF($R20&lt;&gt;"",
SUBSTITUTE(SUBSTITUTE(INDIRECT("C"&amp;$R20&amp;"")," 週3ｺｰｽ","")," 週5ｺｰｽ",""),"")</f>
        <v/>
      </c>
      <c r="T20" s="122" t="str">
        <f t="array" aca="1" ref="T20" ca="1">IF(IF($R20&lt;&gt;"",
INDIRECT(""&amp;IF(COLUMN(D20)&lt;=26,CHAR(COLUMN(D20)+64),CHAR(INT((COLUMN(D20)-1)/26)+64)&amp;CHAR(MOD(COLUMN(D20)-1,26)+65))&amp;$R20&amp;""),"")=0,"",
IF($R20&lt;&gt;"",
INDIRECT(""&amp;IF(COLUMN(D20)&lt;=26,CHAR(COLUMN(D20)+64),CHAR(INT((COLUMN(D20)-1)/26)+64)&amp;CHAR(MOD(COLUMN(D20)-1,26)+65))&amp;$R20&amp;""),""))</f>
        <v/>
      </c>
      <c r="U20" s="185" t="str">
        <f t="array" aca="1" ref="U20" ca="1">IF($R20&lt;&gt;"",
INDIRECT("F"&amp;$R20&amp;""),"")</f>
        <v/>
      </c>
      <c r="V20" s="122" t="str">
        <f t="array" aca="1" ref="V20" ca="1">IF($R20&lt;&gt;"",
INDIRECT("G"&amp;$R20&amp;""),"")</f>
        <v/>
      </c>
      <c r="W20" s="122" t="str" cm="1">
        <f t="array" aca="1" ref="W20" ca="1">IF($R20&lt;&gt;"",
IF(AND(COUNTIF(INDIRECT("B"&amp;R20&amp;""),"*雙葉*"),COUNTIF($B$71:$B$210,"*雙葉*")&gt;=1),
IF(OR(COUNTIF(INDIRECT("B"&amp;R20&amp;""),"*雙葉先生*"),COUNTIF(INDIRECT("B"&amp;R20-1&amp;""),"*雙葉*")),INDIRECT("H"&amp;R20&amp;""),INDIRECT("H"&amp;R20&amp;"")+INDIRECT("H"&amp;MATCH("雙葉'",INDIRECT("B"&amp;R20+3&amp;":B210"),0)+2+R20&amp;"")),
IF(AND(LEFT(INDIRECT("B"&amp;R20&amp;""),2)="博多",COUNTIF(B:B,"*博多*")&gt;=2),
INDIRECT("H"&amp;R20&amp;"")+IFERROR(INDIRECT("H"&amp;MATCH("*"&amp;INDIRECT("B"&amp;R20&amp;"")&amp;"*",INDIRECT("B"&amp;R20+1&amp;":B210"),0)+R20&amp;""),0),
IF(AND(LEFT(INDIRECT("B"&amp;R20&amp;""),3)="奈良屋",COUNTIF(B:B,"*奈良屋*")&gt;=2),
INDIRECT("H"&amp;R20&amp;"")
+INDIRECT("H"&amp;MATCH("*"&amp;INDIRECT("B"&amp;R20&amp;"")&amp;"*",INDIRECT("B"&amp;R20+1&amp;":B210"),0)+R20&amp;"")
+INDIRECT("H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
+INDIRECT("H"&amp;MATCH("*"&amp;INDIRECT("B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&amp;"*",INDIRECT("B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+1&amp;":B210"),0)+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,
INDIRECT("H"&amp;R20&amp;"")))),"")</f>
        <v/>
      </c>
      <c r="X20" s="122" t="str">
        <f t="array" aca="1" ref="X20" ca="1">IF($R20&lt;&gt;"",
INDIRECT(""&amp;IF(COLUMN(I20)&lt;=26,CHAR(COLUMN(I20)+64),CHAR(INT((COLUMN(I20)-1)/26)+64)&amp;CHAR(MOD(COLUMN(I20)-1,26)+65))&amp;$R20&amp;""),"")</f>
        <v/>
      </c>
      <c r="Y20" s="122" t="str">
        <f t="array" aca="1" ref="Y20" ca="1">IF($R20&lt;&gt;"",
INDIRECT(""&amp;IF(COLUMN(J20)&lt;=26,CHAR(COLUMN(J20)+64),CHAR(INT((COLUMN(J20)-1)/26)+64)&amp;CHAR(MOD(COLUMN(J20)-1,26)+65))&amp;$R20&amp;""),"")</f>
        <v/>
      </c>
      <c r="Z20" s="122" t="str">
        <f t="shared" ca="1" si="2"/>
        <v/>
      </c>
      <c r="AA20" s="122" t="str">
        <f t="shared" ca="1" si="3"/>
        <v/>
      </c>
      <c r="AB20" s="122" t="str">
        <f t="array" aca="1" ref="AB20" ca="1">IF($R20&lt;&gt;"",
IF(AND(COUNTIF(INDIRECT("B"&amp;R20&amp;""),"*雙葉*"),COUNTIF(INDIRECT("B"&amp;R20&amp;""),"&lt;&gt;*先生*"),COUNTIF(B:B,"*雙葉*")&gt;=2),
INDIRECT("M"&amp;R20&amp;"")+INDIRECT("M"&amp;MATCH("雙葉'",INDIRECT("B"&amp;R20+1&amp;":B210"),0)+R20&amp;""),
IF(AND(LEFT(INDIRECT("B"&amp;R20&amp;""),2)="博多",COUNTIF(B:B,"*博多*")&gt;=2),
INDIRECT("M"&amp;R20&amp;"")+INDIRECT("M"&amp;MATCH("*"&amp;INDIRECT("B"&amp;R20&amp;"")&amp;"*",INDIRECT("B"&amp;R20+1&amp;":B210"),0)+R20&amp;""),
IF(AND(LEFT(INDIRECT("B"&amp;R20&amp;""),3)="奈良屋",COUNTIF(B:B,"*奈良屋*")&gt;=2),
INDIRECT("M"&amp;R20&amp;"")+INDIRECT("M"&amp;MATCH("*"&amp;INDIRECT("B"&amp;R20&amp;"")&amp;"*",INDIRECT("B"&amp;R20+1&amp;":B210"),0)+R20&amp;"")
+INDIRECT("M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,
INDIRECT("M"&amp;R20&amp;"")))),"")</f>
        <v/>
      </c>
      <c r="AC20" s="122" t="str">
        <f t="shared" ca="1" si="4"/>
        <v/>
      </c>
      <c r="AD20" s="176" t="str">
        <f t="shared" ca="1" si="5"/>
        <v/>
      </c>
      <c r="AE20" s="176" t="str">
        <f t="shared" ca="1" si="6"/>
        <v/>
      </c>
      <c r="AF20" s="176" t="str">
        <f t="shared" ca="1" si="7"/>
        <v/>
      </c>
      <c r="AG20" s="176" t="str">
        <f t="shared" ca="1" si="8"/>
        <v/>
      </c>
      <c r="AH20" s="183" t="str">
        <f t="shared" ca="1" si="9"/>
        <v/>
      </c>
      <c r="AI20" s="176" t="str">
        <f t="shared" ca="1" si="10"/>
        <v/>
      </c>
      <c r="AJ20" s="176" t="str">
        <f t="shared" ca="1" si="11"/>
        <v/>
      </c>
      <c r="AK20" s="176" t="str">
        <f t="shared" ca="1" si="12"/>
        <v/>
      </c>
      <c r="AL20" s="176" t="str">
        <f t="shared" ca="1" si="13"/>
        <v/>
      </c>
      <c r="AM20" s="176" t="str">
        <f t="shared" ca="1" si="14"/>
        <v/>
      </c>
      <c r="AN20" s="176" t="str">
        <f t="shared" ca="1" si="15"/>
        <v/>
      </c>
      <c r="AO20" s="176" t="str">
        <f t="shared" ca="1" si="16"/>
        <v/>
      </c>
      <c r="AP20" s="176" t="str">
        <f t="shared" ca="1" si="17"/>
        <v/>
      </c>
      <c r="AU20" s="176" t="str">
        <f t="shared" ca="1" si="18"/>
        <v/>
      </c>
      <c r="AW20" s="106" t="str">
        <f ca="1">IFERROR(IF(AF20&lt;&gt;"",OFFSET('数出表_Excel（アレルギー入力）'!$A$1,MATCH(AF20,'数出表_Excel（アレルギー入力）'!A:A,0)-2,0),""),"")</f>
        <v/>
      </c>
      <c r="AX20" s="106" t="str">
        <f ca="1">IF(AW20&lt;&gt;"",
OFFSET(得意先マスタ!$A$1,MATCH(AW20,得意先マスタ!A:A,0)-1,24),"")</f>
        <v/>
      </c>
      <c r="AY20" s="57">
        <f t="shared" ca="1" si="21"/>
        <v>0</v>
      </c>
      <c r="AZ20" s="57">
        <f t="shared" ca="1" si="25"/>
        <v>0</v>
      </c>
      <c r="BA20" s="57">
        <f t="shared" ca="1" si="26"/>
        <v>0</v>
      </c>
      <c r="BB20" s="176">
        <f t="shared" ca="1" si="24"/>
        <v>0</v>
      </c>
    </row>
    <row r="21" spans="1:54" ht="21" customHeight="1">
      <c r="A21" s="101">
        <f t="shared" si="19"/>
        <v>47</v>
      </c>
      <c r="B21" s="45" t="str">
        <f t="shared" si="20"/>
        <v/>
      </c>
      <c r="C21" s="45" t="str">
        <f>IF(OR(クライアント抽出!B21&lt;&gt;"",クライアント抽出!E21&lt;&gt;""),クライアント抽出!A21,"")</f>
        <v/>
      </c>
      <c r="D21" s="45" t="str">
        <f t="array" aca="1" ref="D21" ca="1">IF(C21&lt;&gt;"",INDIRECT("クライアント抽出!"&amp;E21&amp;MATCH(C21,クライアント抽出!A:A,0)&amp;""),"")</f>
        <v/>
      </c>
      <c r="E21" s="45" t="str">
        <f>IF(H21&lt;&gt;0,
IFERROR(
SUBSTITUTE(ADDRESS(1,
MATCH(VALUE(H21),クライアント抽出!A21:G21,0)+8,4),"1",""),
""),
IFERROR(
SUBSTITUTE(ADDRESS(1,
MATCH(VALUE(I21),クライアント抽出!A21:G21,0)+8,4),"1",""),
""))</f>
        <v/>
      </c>
      <c r="F21" s="184" t="str">
        <f ca="1">IF(D21&lt;&gt;"",
IF(COUNTIF(C21,"*雙葉*"),
IF(ROUND((H21-M21)
/IF(COUNTIF(D21,"*キャラ*"),
VLOOKUP("*キャラ*",商品マスタ!$D:$E,2,FALSE),
IF(COUNTIF(D21,"*赤*"),
VLOOKUP("*赤*",商品マスタ!$D:$E,2,FALSE),
VLOOKUP("*"&amp;D21&amp;"*",商品マスタ!$D:$E,2,FALSE))),0)&lt;=0,1,
ROUND((H21-M21)
/IF(COUNTIF(D21,"*キャラ*"),
VLOOKUP("*キャラ*",商品マスタ!$D:$E,2,FALSE),
IF(COUNTIF(D21,"*赤*"),
VLOOKUP("*赤*",商品マスタ!$D:$E,2,FALSE),
VLOOKUP("*"&amp;D21&amp;"*",商品マスタ!$D:$E,2,FALSE))),0)),
IF(OR(COUNTIF(D21,"*キャラ*"),COUNTIF(D21,"*赤*")),"",
IF(VLOOKUP("*"&amp;D21&amp;"*",商品マスタ!$D:$E,2,FALSE)=0,"",
IF(ROUND((H21-M21)
/VLOOKUP("*"&amp;D21&amp;"*",商品マスタ!$D:$E,2,FALSE),0)&lt;=0,1,
ROUND((H21-M21)
/VLOOKUP("*"&amp;D21&amp;"*",商品マスタ!$D:$E,2,FALSE),0))))),"")</f>
        <v/>
      </c>
      <c r="G21" s="45" t="str">
        <f ca="1">IF(F21&lt;&gt;"",
IF(VALUE(H21-M21)&gt;VALUE(IF(COUNTIF(D21,"*キャラ*"),
VLOOKUP("*キャラ*",商品マスタ!$D:$E,2,FALSE),
IF(COUNTIF(D21,"*赤*"),
VLOOKUP("*赤*",商品マスタ!$D:$E,2,FALSE),
VLOOKUP("*"&amp;D21&amp;"*",商品マスタ!$D:$E,2,FALSE)))*F21),
"+"&amp;(H21-M21)-IF(COUNTIF(D21,"*キャラ*"),
VLOOKUP("*キャラ*",商品マスタ!$D:$E,2,FALSE),
IF(COUNTIF(D21,"*赤*"),
VLOOKUP("*赤*",商品マスタ!$D:$E,2,FALSE),
VLOOKUP("*"&amp;D21&amp;"*",商品マスタ!$D:$E,2,FALSE)))*F21,
(H21-M21)-IF(COUNTIF(D21,"*キャラ*"),
VLOOKUP("*キャラ*",商品マスタ!$D:$E,2,FALSE),
IF(COUNTIF(D21,"*赤*"),
VLOOKUP("*赤*",商品マスタ!$D:$E,2,FALSE),
VLOOKUP("*"&amp;D21&amp;"*",商品マスタ!$D:$E,2,FALSE)))*F21),"")</f>
        <v/>
      </c>
      <c r="H21" s="99" t="str">
        <f>IF(C21&lt;&gt;"",
クライアント抽出!B21,"")</f>
        <v/>
      </c>
      <c r="I21" s="45" t="str">
        <f t="array" aca="1" ref="I21" ca="1">IF(C21&lt;&gt;"",
IF(O21=1,
IF(SUMPRODUCT(COUNTIF(クライアント抽出!P21:U21,クライアント抽出!P21:U21))&gt;COUNTA(クライアント抽出!P21:U21),
IFERROR(INDIRECT("数出表_Excel!"&amp;INDEX(_xlfn.UNIQUE(_xlfn._xlws.FILTER(クライアント抽出!P21:U21,COUNTIF(クライアント抽出!P21:U21,クライアント抽出!P21:U21)&gt;1)),1)&amp;L21&amp;""),
クライアント抽出!E21),0),クライアント抽出!E21),"")</f>
        <v/>
      </c>
      <c r="J21" s="45" t="str">
        <f>IF(C21&lt;&gt;"",
VLOOKUP(
"*"&amp;LEFT(IF(COUNTIF(D21,"*学食*"),"キャラ弁（学食）",
IF(COUNTIF(D21,"*赤*"),"赤",
IF(COUNTIF(D21,"*キャラ弁当*"),"キャラ弁当",D21))),4)&amp;"*",注文弁当の抽出!$F$1:$G$15,2,FALSE),"")</f>
        <v/>
      </c>
      <c r="K21" s="45" t="str">
        <f ca="1">IF(クライアント抽出!P21&lt;&gt;"",SUBSTITUTE(ADDRESS(1,(CODE(クライアント抽出!P21)-64)*2-1,4),"1",""),"")</f>
        <v/>
      </c>
      <c r="L21" s="45" t="str">
        <f>IF(C21&lt;&gt;"",クライアント抽出!I21,"")</f>
        <v/>
      </c>
      <c r="M21" s="45">
        <f t="array" aca="1" ref="M21" ca="1">IF(C21&lt;&gt;"",
IF(K21&lt;&gt;"",INDIRECT("'数出表_Excel（アレルギー入力）'!"&amp;K21&amp;L21-1&amp;""),),)</f>
        <v>0</v>
      </c>
      <c r="N21" s="45" t="str">
        <f>IF(C21&lt;&gt;"",IF(OR(COUNTIF('盛付札（関数）'!D21,"*赤*"),COUNTIF('盛付札（関数）'!D21,"*キャラ*")),1,
VALUE(VLOOKUP("*"&amp;D21&amp;"*",商品マスタ!D:H,5,FALSE))),"")</f>
        <v/>
      </c>
      <c r="O21" s="45">
        <f ca="1">IF(LEN(クライアント抽出!V21)-LEN(SUBSTITUTE(クライアント抽出!V21,",",""))&lt;&gt;1,
IF(AND(クライアント抽出!P21&lt;&gt;"",クライアント抽出!S21&lt;&gt;""),
IF(クライアント抽出!P21&lt;&gt;クライアント抽出!S21,1,0),0),0)</f>
        <v>0</v>
      </c>
      <c r="P21" s="45">
        <f t="shared" si="0"/>
        <v>0</v>
      </c>
      <c r="Q21" s="45" t="b">
        <f t="shared" si="1"/>
        <v>0</v>
      </c>
      <c r="R21" s="122" t="str">
        <f t="array" aca="1" ref="R21" ca="1">IFERROR(SMALL(IF(P$1:P$311&lt;&gt;0,P$1:P$311),ROW(A21)),"")</f>
        <v/>
      </c>
      <c r="S21" s="122" t="str">
        <f t="array" aca="1" ref="S21" ca="1">IF($R21&lt;&gt;"",
SUBSTITUTE(SUBSTITUTE(INDIRECT("C"&amp;$R21&amp;"")," 週3ｺｰｽ","")," 週5ｺｰｽ",""),"")</f>
        <v/>
      </c>
      <c r="T21" s="122" t="str">
        <f t="array" aca="1" ref="T21" ca="1">IF(IF($R21&lt;&gt;"",
INDIRECT(""&amp;IF(COLUMN(D21)&lt;=26,CHAR(COLUMN(D21)+64),CHAR(INT((COLUMN(D21)-1)/26)+64)&amp;CHAR(MOD(COLUMN(D21)-1,26)+65))&amp;$R21&amp;""),"")=0,"",
IF($R21&lt;&gt;"",
INDIRECT(""&amp;IF(COLUMN(D21)&lt;=26,CHAR(COLUMN(D21)+64),CHAR(INT((COLUMN(D21)-1)/26)+64)&amp;CHAR(MOD(COLUMN(D21)-1,26)+65))&amp;$R21&amp;""),""))</f>
        <v/>
      </c>
      <c r="U21" s="185" t="str">
        <f t="array" aca="1" ref="U21" ca="1">IF($R21&lt;&gt;"",
INDIRECT("F"&amp;$R21&amp;""),"")</f>
        <v/>
      </c>
      <c r="V21" s="122" t="str">
        <f t="array" aca="1" ref="V21" ca="1">IF($R21&lt;&gt;"",
INDIRECT("G"&amp;$R21&amp;""),"")</f>
        <v/>
      </c>
      <c r="W21" s="122" t="str" cm="1">
        <f t="array" aca="1" ref="W21" ca="1">IF($R21&lt;&gt;"",
IF(AND(COUNTIF(INDIRECT("B"&amp;R21&amp;""),"*雙葉*"),COUNTIF($B$71:$B$210,"*雙葉*")&gt;=1),
IF(OR(COUNTIF(INDIRECT("B"&amp;R21&amp;""),"*雙葉先生*"),COUNTIF(INDIRECT("B"&amp;R21-1&amp;""),"*雙葉*")),INDIRECT("H"&amp;R21&amp;""),INDIRECT("H"&amp;R21&amp;"")+INDIRECT("H"&amp;MATCH("雙葉'",INDIRECT("B"&amp;R21+3&amp;":B210"),0)+2+R21&amp;"")),
IF(AND(LEFT(INDIRECT("B"&amp;R21&amp;""),2)="博多",COUNTIF(B:B,"*博多*")&gt;=2),
INDIRECT("H"&amp;R21&amp;"")+IFERROR(INDIRECT("H"&amp;MATCH("*"&amp;INDIRECT("B"&amp;R21&amp;"")&amp;"*",INDIRECT("B"&amp;R21+1&amp;":B210"),0)+R21&amp;""),0),
IF(AND(LEFT(INDIRECT("B"&amp;R21&amp;""),3)="奈良屋",COUNTIF(B:B,"*奈良屋*")&gt;=2),
INDIRECT("H"&amp;R21&amp;"")
+INDIRECT("H"&amp;MATCH("*"&amp;INDIRECT("B"&amp;R21&amp;"")&amp;"*",INDIRECT("B"&amp;R21+1&amp;":B210"),0)+R21&amp;"")
+INDIRECT("H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
+INDIRECT("H"&amp;MATCH("*"&amp;INDIRECT("B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&amp;"*",INDIRECT("B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+1&amp;":B210"),0)+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,
INDIRECT("H"&amp;R21&amp;"")))),"")</f>
        <v/>
      </c>
      <c r="X21" s="122" t="str">
        <f t="array" aca="1" ref="X21" ca="1">IF($R21&lt;&gt;"",
INDIRECT(""&amp;IF(COLUMN(I21)&lt;=26,CHAR(COLUMN(I21)+64),CHAR(INT((COLUMN(I21)-1)/26)+64)&amp;CHAR(MOD(COLUMN(I21)-1,26)+65))&amp;$R21&amp;""),"")</f>
        <v/>
      </c>
      <c r="Y21" s="122" t="str">
        <f t="array" aca="1" ref="Y21" ca="1">IF($R21&lt;&gt;"",
INDIRECT(""&amp;IF(COLUMN(J21)&lt;=26,CHAR(COLUMN(J21)+64),CHAR(INT((COLUMN(J21)-1)/26)+64)&amp;CHAR(MOD(COLUMN(J21)-1,26)+65))&amp;$R21&amp;""),"")</f>
        <v/>
      </c>
      <c r="Z21" s="122" t="str">
        <f t="shared" ca="1" si="2"/>
        <v/>
      </c>
      <c r="AA21" s="122" t="str">
        <f t="shared" ca="1" si="3"/>
        <v/>
      </c>
      <c r="AB21" s="122" t="str">
        <f t="array" aca="1" ref="AB21" ca="1">IF($R21&lt;&gt;"",
IF(AND(COUNTIF(INDIRECT("B"&amp;R21&amp;""),"*雙葉*"),COUNTIF(INDIRECT("B"&amp;R21&amp;""),"&lt;&gt;*先生*"),COUNTIF(B:B,"*雙葉*")&gt;=2),
INDIRECT("M"&amp;R21&amp;"")+INDIRECT("M"&amp;MATCH("雙葉'",INDIRECT("B"&amp;R21+1&amp;":B210"),0)+R21&amp;""),
IF(AND(LEFT(INDIRECT("B"&amp;R21&amp;""),2)="博多",COUNTIF(B:B,"*博多*")&gt;=2),
INDIRECT("M"&amp;R21&amp;"")+INDIRECT("M"&amp;MATCH("*"&amp;INDIRECT("B"&amp;R21&amp;"")&amp;"*",INDIRECT("B"&amp;R21+1&amp;":B210"),0)+R21&amp;""),
IF(AND(LEFT(INDIRECT("B"&amp;R21&amp;""),3)="奈良屋",COUNTIF(B:B,"*奈良屋*")&gt;=2),
INDIRECT("M"&amp;R21&amp;"")+INDIRECT("M"&amp;MATCH("*"&amp;INDIRECT("B"&amp;R21&amp;"")&amp;"*",INDIRECT("B"&amp;R21+1&amp;":B210"),0)+R21&amp;"")
+INDIRECT("M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,
INDIRECT("M"&amp;R21&amp;"")))),"")</f>
        <v/>
      </c>
      <c r="AC21" s="122" t="str">
        <f t="shared" ca="1" si="4"/>
        <v/>
      </c>
      <c r="AD21" s="176" t="str">
        <f t="shared" ca="1" si="5"/>
        <v/>
      </c>
      <c r="AE21" s="176" t="str">
        <f t="shared" ca="1" si="6"/>
        <v/>
      </c>
      <c r="AF21" s="176" t="str">
        <f t="shared" ca="1" si="7"/>
        <v/>
      </c>
      <c r="AG21" s="176" t="str">
        <f t="shared" ca="1" si="8"/>
        <v/>
      </c>
      <c r="AH21" s="183" t="str">
        <f t="shared" ca="1" si="9"/>
        <v/>
      </c>
      <c r="AI21" s="176" t="str">
        <f t="shared" ca="1" si="10"/>
        <v/>
      </c>
      <c r="AJ21" s="176" t="str">
        <f t="shared" ca="1" si="11"/>
        <v/>
      </c>
      <c r="AK21" s="176" t="str">
        <f t="shared" ca="1" si="12"/>
        <v/>
      </c>
      <c r="AL21" s="176" t="str">
        <f t="shared" ca="1" si="13"/>
        <v/>
      </c>
      <c r="AM21" s="176" t="str">
        <f t="shared" ca="1" si="14"/>
        <v/>
      </c>
      <c r="AN21" s="176" t="str">
        <f t="shared" ca="1" si="15"/>
        <v/>
      </c>
      <c r="AO21" s="176" t="str">
        <f t="shared" ca="1" si="16"/>
        <v/>
      </c>
      <c r="AP21" s="176" t="str">
        <f t="shared" ca="1" si="17"/>
        <v/>
      </c>
      <c r="AU21" s="176" t="str">
        <f t="shared" ca="1" si="18"/>
        <v/>
      </c>
      <c r="AW21" s="106" t="str">
        <f ca="1">IFERROR(IF(AF21&lt;&gt;"",OFFSET('数出表_Excel（アレルギー入力）'!$A$1,MATCH(AF21,'数出表_Excel（アレルギー入力）'!A:A,0)-2,0),""),"")</f>
        <v/>
      </c>
      <c r="AX21" s="106" t="str">
        <f ca="1">IF(AW21&lt;&gt;"",
OFFSET(得意先マスタ!$A$1,MATCH(AW21,得意先マスタ!A:A,0)-1,24),"")</f>
        <v/>
      </c>
      <c r="AY21" s="57">
        <f t="shared" ca="1" si="21"/>
        <v>0</v>
      </c>
      <c r="AZ21" s="57">
        <f t="shared" ca="1" si="25"/>
        <v>0</v>
      </c>
      <c r="BA21" s="57">
        <f t="shared" ca="1" si="26"/>
        <v>0</v>
      </c>
      <c r="BB21" s="176">
        <f t="shared" ca="1" si="24"/>
        <v>0</v>
      </c>
    </row>
    <row r="22" spans="1:54" ht="18" customHeight="1">
      <c r="A22" s="101">
        <f t="shared" si="19"/>
        <v>49</v>
      </c>
      <c r="B22" s="45" t="str">
        <f t="shared" si="20"/>
        <v/>
      </c>
      <c r="C22" s="45" t="str">
        <f>IF(OR(クライアント抽出!B22&lt;&gt;"",クライアント抽出!E22&lt;&gt;""),クライアント抽出!A22,"")</f>
        <v/>
      </c>
      <c r="D22" s="45" t="str">
        <f t="array" aca="1" ref="D22" ca="1">IF(C22&lt;&gt;"",INDIRECT("クライアント抽出!"&amp;E22&amp;MATCH(C22,クライアント抽出!A:A,0)&amp;""),"")</f>
        <v/>
      </c>
      <c r="E22" s="45" t="str">
        <f>IF(H22&lt;&gt;0,
IFERROR(
SUBSTITUTE(ADDRESS(1,
MATCH(VALUE(H22),クライアント抽出!A22:G22,0)+8,4),"1",""),
""),
IFERROR(
SUBSTITUTE(ADDRESS(1,
MATCH(VALUE(I22),クライアント抽出!A22:G22,0)+8,4),"1",""),
""))</f>
        <v/>
      </c>
      <c r="F22" s="184" t="str">
        <f ca="1">IF(D22&lt;&gt;"",
IF(COUNTIF(C22,"*雙葉*"),
IF(ROUND((H22-M22)
/IF(COUNTIF(D22,"*キャラ*"),
VLOOKUP("*キャラ*",商品マスタ!$D:$E,2,FALSE),
IF(COUNTIF(D22,"*赤*"),
VLOOKUP("*赤*",商品マスタ!$D:$E,2,FALSE),
VLOOKUP("*"&amp;D22&amp;"*",商品マスタ!$D:$E,2,FALSE))),0)&lt;=0,1,
ROUND((H22-M22)
/IF(COUNTIF(D22,"*キャラ*"),
VLOOKUP("*キャラ*",商品マスタ!$D:$E,2,FALSE),
IF(COUNTIF(D22,"*赤*"),
VLOOKUP("*赤*",商品マスタ!$D:$E,2,FALSE),
VLOOKUP("*"&amp;D22&amp;"*",商品マスタ!$D:$E,2,FALSE))),0)),
IF(OR(COUNTIF(D22,"*キャラ*"),COUNTIF(D22,"*赤*")),"",
IF(VLOOKUP("*"&amp;D22&amp;"*",商品マスタ!$D:$E,2,FALSE)=0,"",
IF(ROUND((H22-M22)
/VLOOKUP("*"&amp;D22&amp;"*",商品マスタ!$D:$E,2,FALSE),0)&lt;=0,1,
ROUND((H22-M22)
/VLOOKUP("*"&amp;D22&amp;"*",商品マスタ!$D:$E,2,FALSE),0))))),"")</f>
        <v/>
      </c>
      <c r="G22" s="45" t="str">
        <f ca="1">IF(F22&lt;&gt;"",
IF(VALUE(H22-M22)&gt;VALUE(IF(COUNTIF(D22,"*キャラ*"),
VLOOKUP("*キャラ*",商品マスタ!$D:$E,2,FALSE),
IF(COUNTIF(D22,"*赤*"),
VLOOKUP("*赤*",商品マスタ!$D:$E,2,FALSE),
VLOOKUP("*"&amp;D22&amp;"*",商品マスタ!$D:$E,2,FALSE)))*F22),
"+"&amp;(H22-M22)-IF(COUNTIF(D22,"*キャラ*"),
VLOOKUP("*キャラ*",商品マスタ!$D:$E,2,FALSE),
IF(COUNTIF(D22,"*赤*"),
VLOOKUP("*赤*",商品マスタ!$D:$E,2,FALSE),
VLOOKUP("*"&amp;D22&amp;"*",商品マスタ!$D:$E,2,FALSE)))*F22,
(H22-M22)-IF(COUNTIF(D22,"*キャラ*"),
VLOOKUP("*キャラ*",商品マスタ!$D:$E,2,FALSE),
IF(COUNTIF(D22,"*赤*"),
VLOOKUP("*赤*",商品マスタ!$D:$E,2,FALSE),
VLOOKUP("*"&amp;D22&amp;"*",商品マスタ!$D:$E,2,FALSE)))*F22),"")</f>
        <v/>
      </c>
      <c r="H22" s="99" t="str">
        <f>IF(C22&lt;&gt;"",
クライアント抽出!B22,"")</f>
        <v/>
      </c>
      <c r="I22" s="45" t="str">
        <f t="array" aca="1" ref="I22" ca="1">IF(C22&lt;&gt;"",
IF(O22=1,
IF(SUMPRODUCT(COUNTIF(クライアント抽出!P22:U22,クライアント抽出!P22:U22))&gt;COUNTA(クライアント抽出!P22:U22),
IFERROR(INDIRECT("数出表_Excel!"&amp;INDEX(_xlfn.UNIQUE(_xlfn._xlws.FILTER(クライアント抽出!P22:U22,COUNTIF(クライアント抽出!P22:U22,クライアント抽出!P22:U22)&gt;1)),1)&amp;L22&amp;""),
クライアント抽出!E22),0),クライアント抽出!E22),"")</f>
        <v/>
      </c>
      <c r="J22" s="45" t="str">
        <f>IF(C22&lt;&gt;"",
VLOOKUP(
"*"&amp;LEFT(IF(COUNTIF(D22,"*学食*"),"キャラ弁（学食）",
IF(COUNTIF(D22,"*赤*"),"赤",
IF(COUNTIF(D22,"*キャラ弁当*"),"キャラ弁当",D22))),4)&amp;"*",注文弁当の抽出!$F$1:$G$15,2,FALSE),"")</f>
        <v/>
      </c>
      <c r="K22" s="45" t="str">
        <f ca="1">IF(クライアント抽出!P22&lt;&gt;"",SUBSTITUTE(ADDRESS(1,(CODE(クライアント抽出!P22)-64)*2-1,4),"1",""),"")</f>
        <v/>
      </c>
      <c r="L22" s="45" t="str">
        <f>IF(C22&lt;&gt;"",クライアント抽出!I22,"")</f>
        <v/>
      </c>
      <c r="M22" s="45">
        <f t="array" aca="1" ref="M22" ca="1">IF(C22&lt;&gt;"",
IF(K22&lt;&gt;"",INDIRECT("'数出表_Excel（アレルギー入力）'!"&amp;K22&amp;L22-1&amp;""),),)</f>
        <v>0</v>
      </c>
      <c r="N22" s="45" t="str">
        <f>IF(C22&lt;&gt;"",IF(OR(COUNTIF('盛付札（関数）'!D22,"*赤*"),COUNTIF('盛付札（関数）'!D22,"*キャラ*")),1,
VALUE(VLOOKUP("*"&amp;D22&amp;"*",商品マスタ!D:H,5,FALSE))),"")</f>
        <v/>
      </c>
      <c r="O22" s="45">
        <f ca="1">IF(LEN(クライアント抽出!V22)-LEN(SUBSTITUTE(クライアント抽出!V22,",",""))&lt;&gt;1,
IF(AND(クライアント抽出!P22&lt;&gt;"",クライアント抽出!S22&lt;&gt;""),
IF(クライアント抽出!P22&lt;&gt;クライアント抽出!S22,1,0),0),0)</f>
        <v>0</v>
      </c>
      <c r="P22" s="45">
        <f t="shared" si="0"/>
        <v>0</v>
      </c>
      <c r="Q22" s="45" t="b">
        <f t="shared" si="1"/>
        <v>0</v>
      </c>
      <c r="R22" s="122" t="str">
        <f t="array" aca="1" ref="R22" ca="1">IFERROR(SMALL(IF(P$1:P$311&lt;&gt;0,P$1:P$311),ROW(A22)),"")</f>
        <v/>
      </c>
      <c r="S22" s="122" t="str">
        <f t="array" aca="1" ref="S22" ca="1">IF($R22&lt;&gt;"",
SUBSTITUTE(SUBSTITUTE(INDIRECT("C"&amp;$R22&amp;"")," 週3ｺｰｽ","")," 週5ｺｰｽ",""),"")</f>
        <v/>
      </c>
      <c r="T22" s="122" t="str">
        <f t="array" aca="1" ref="T22" ca="1">IF(IF($R22&lt;&gt;"",
INDIRECT(""&amp;IF(COLUMN(D22)&lt;=26,CHAR(COLUMN(D22)+64),CHAR(INT((COLUMN(D22)-1)/26)+64)&amp;CHAR(MOD(COLUMN(D22)-1,26)+65))&amp;$R22&amp;""),"")=0,"",
IF($R22&lt;&gt;"",
INDIRECT(""&amp;IF(COLUMN(D22)&lt;=26,CHAR(COLUMN(D22)+64),CHAR(INT((COLUMN(D22)-1)/26)+64)&amp;CHAR(MOD(COLUMN(D22)-1,26)+65))&amp;$R22&amp;""),""))</f>
        <v/>
      </c>
      <c r="U22" s="185" t="str">
        <f t="array" aca="1" ref="U22" ca="1">IF($R22&lt;&gt;"",
INDIRECT("F"&amp;$R22&amp;""),"")</f>
        <v/>
      </c>
      <c r="V22" s="122" t="str">
        <f t="array" aca="1" ref="V22" ca="1">IF($R22&lt;&gt;"",
INDIRECT("G"&amp;$R22&amp;""),"")</f>
        <v/>
      </c>
      <c r="W22" s="122" t="str" cm="1">
        <f t="array" aca="1" ref="W22" ca="1">IF($R22&lt;&gt;"",
IF(AND(COUNTIF(INDIRECT("B"&amp;R22&amp;""),"*雙葉*"),COUNTIF($B$71:$B$210,"*雙葉*")&gt;=1),
IF(OR(COUNTIF(INDIRECT("B"&amp;R22&amp;""),"*雙葉先生*"),COUNTIF(INDIRECT("B"&amp;R22-1&amp;""),"*雙葉*")),INDIRECT("H"&amp;R22&amp;""),INDIRECT("H"&amp;R22&amp;"")+INDIRECT("H"&amp;MATCH("雙葉'",INDIRECT("B"&amp;R22+3&amp;":B210"),0)+2+R22&amp;"")),
IF(AND(LEFT(INDIRECT("B"&amp;R22&amp;""),2)="博多",COUNTIF(B:B,"*博多*")&gt;=2),
INDIRECT("H"&amp;R22&amp;"")+IFERROR(INDIRECT("H"&amp;MATCH("*"&amp;INDIRECT("B"&amp;R22&amp;"")&amp;"*",INDIRECT("B"&amp;R22+1&amp;":B210"),0)+R22&amp;""),0),
IF(AND(LEFT(INDIRECT("B"&amp;R22&amp;""),3)="奈良屋",COUNTIF(B:B,"*奈良屋*")&gt;=2),
INDIRECT("H"&amp;R22&amp;"")
+INDIRECT("H"&amp;MATCH("*"&amp;INDIRECT("B"&amp;R22&amp;"")&amp;"*",INDIRECT("B"&amp;R22+1&amp;":B210"),0)+R22&amp;"")
+INDIRECT("H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
+INDIRECT("H"&amp;MATCH("*"&amp;INDIRECT("B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&amp;"*",INDIRECT("B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+1&amp;":B210"),0)+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,
INDIRECT("H"&amp;R22&amp;"")))),"")</f>
        <v/>
      </c>
      <c r="X22" s="122" t="str">
        <f t="array" aca="1" ref="X22" ca="1">IF($R22&lt;&gt;"",
INDIRECT(""&amp;IF(COLUMN(I22)&lt;=26,CHAR(COLUMN(I22)+64),CHAR(INT((COLUMN(I22)-1)/26)+64)&amp;CHAR(MOD(COLUMN(I22)-1,26)+65))&amp;$R22&amp;""),"")</f>
        <v/>
      </c>
      <c r="Y22" s="122" t="str">
        <f t="array" aca="1" ref="Y22" ca="1">IF($R22&lt;&gt;"",
INDIRECT(""&amp;IF(COLUMN(J22)&lt;=26,CHAR(COLUMN(J22)+64),CHAR(INT((COLUMN(J22)-1)/26)+64)&amp;CHAR(MOD(COLUMN(J22)-1,26)+65))&amp;$R22&amp;""),"")</f>
        <v/>
      </c>
      <c r="Z22" s="122" t="str">
        <f t="shared" ca="1" si="2"/>
        <v/>
      </c>
      <c r="AA22" s="122" t="str">
        <f t="shared" ca="1" si="3"/>
        <v/>
      </c>
      <c r="AB22" s="122" t="str">
        <f t="array" aca="1" ref="AB22" ca="1">IF($R22&lt;&gt;"",
IF(AND(COUNTIF(INDIRECT("B"&amp;R22&amp;""),"*雙葉*"),COUNTIF(INDIRECT("B"&amp;R22&amp;""),"&lt;&gt;*先生*"),COUNTIF(B:B,"*雙葉*")&gt;=2),
INDIRECT("M"&amp;R22&amp;"")+INDIRECT("M"&amp;MATCH("雙葉'",INDIRECT("B"&amp;R22+1&amp;":B210"),0)+R22&amp;""),
IF(AND(LEFT(INDIRECT("B"&amp;R22&amp;""),2)="博多",COUNTIF(B:B,"*博多*")&gt;=2),
INDIRECT("M"&amp;R22&amp;"")+INDIRECT("M"&amp;MATCH("*"&amp;INDIRECT("B"&amp;R22&amp;"")&amp;"*",INDIRECT("B"&amp;R22+1&amp;":B210"),0)+R22&amp;""),
IF(AND(LEFT(INDIRECT("B"&amp;R22&amp;""),3)="奈良屋",COUNTIF(B:B,"*奈良屋*")&gt;=2),
INDIRECT("M"&amp;R22&amp;"")+INDIRECT("M"&amp;MATCH("*"&amp;INDIRECT("B"&amp;R22&amp;"")&amp;"*",INDIRECT("B"&amp;R22+1&amp;":B210"),0)+R22&amp;"")
+INDIRECT("M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,
INDIRECT("M"&amp;R22&amp;"")))),"")</f>
        <v/>
      </c>
      <c r="AC22" s="122" t="str">
        <f t="shared" ca="1" si="4"/>
        <v/>
      </c>
      <c r="AD22" s="176" t="str">
        <f t="shared" ca="1" si="5"/>
        <v/>
      </c>
      <c r="AE22" s="176" t="str">
        <f t="shared" ca="1" si="6"/>
        <v/>
      </c>
      <c r="AF22" s="176" t="str">
        <f t="shared" ca="1" si="7"/>
        <v/>
      </c>
      <c r="AG22" s="176" t="str">
        <f t="shared" ca="1" si="8"/>
        <v/>
      </c>
      <c r="AH22" s="183" t="str">
        <f t="shared" ca="1" si="9"/>
        <v/>
      </c>
      <c r="AI22" s="176" t="str">
        <f t="shared" ca="1" si="10"/>
        <v/>
      </c>
      <c r="AJ22" s="176" t="str">
        <f t="shared" ca="1" si="11"/>
        <v/>
      </c>
      <c r="AK22" s="176" t="str">
        <f t="shared" ca="1" si="12"/>
        <v/>
      </c>
      <c r="AL22" s="176" t="str">
        <f t="shared" ca="1" si="13"/>
        <v/>
      </c>
      <c r="AM22" s="176" t="str">
        <f t="shared" ca="1" si="14"/>
        <v/>
      </c>
      <c r="AN22" s="176" t="str">
        <f t="shared" ca="1" si="15"/>
        <v/>
      </c>
      <c r="AO22" s="176" t="str">
        <f t="shared" ca="1" si="16"/>
        <v/>
      </c>
      <c r="AP22" s="176" t="str">
        <f t="shared" ca="1" si="17"/>
        <v/>
      </c>
      <c r="AU22" s="176" t="str">
        <f t="shared" ca="1" si="18"/>
        <v/>
      </c>
      <c r="AW22" s="106" t="str">
        <f ca="1">IFERROR(IF(AF22&lt;&gt;"",OFFSET('数出表_Excel（アレルギー入力）'!$A$1,MATCH(AF22,'数出表_Excel（アレルギー入力）'!A:A,0)-2,0),""),"")</f>
        <v/>
      </c>
      <c r="AX22" s="106" t="str">
        <f ca="1">IF(AW22&lt;&gt;"",
OFFSET(得意先マスタ!$A$1,MATCH(AW22,得意先マスタ!A:A,0)-1,24),"")</f>
        <v/>
      </c>
      <c r="AY22" s="57">
        <f t="shared" ca="1" si="21"/>
        <v>0</v>
      </c>
      <c r="AZ22" s="57">
        <f t="shared" ca="1" si="25"/>
        <v>0</v>
      </c>
      <c r="BA22" s="57">
        <f t="shared" ca="1" si="26"/>
        <v>0</v>
      </c>
      <c r="BB22" s="176">
        <f t="shared" ca="1" si="24"/>
        <v>0</v>
      </c>
    </row>
    <row r="23" spans="1:54" ht="18" customHeight="1">
      <c r="A23" s="101">
        <f t="shared" si="19"/>
        <v>51</v>
      </c>
      <c r="B23" s="45" t="str">
        <f t="shared" si="20"/>
        <v/>
      </c>
      <c r="C23" s="45" t="str">
        <f>IF(OR(クライアント抽出!B23&lt;&gt;"",クライアント抽出!E23&lt;&gt;""),クライアント抽出!A23,"")</f>
        <v/>
      </c>
      <c r="D23" s="45" t="str">
        <f t="array" aca="1" ref="D23" ca="1">IF(C23&lt;&gt;"",INDIRECT("クライアント抽出!"&amp;E23&amp;MATCH(C23,クライアント抽出!A:A,0)&amp;""),"")</f>
        <v/>
      </c>
      <c r="E23" s="45" t="str">
        <f>IF(H23&lt;&gt;0,
IFERROR(
SUBSTITUTE(ADDRESS(1,
MATCH(VALUE(H23),クライアント抽出!A23:G23,0)+8,4),"1",""),
""),
IFERROR(
SUBSTITUTE(ADDRESS(1,
MATCH(VALUE(I23),クライアント抽出!A23:G23,0)+8,4),"1",""),
""))</f>
        <v/>
      </c>
      <c r="F23" s="184" t="str">
        <f ca="1">IF(D23&lt;&gt;"",
IF(COUNTIF(C23,"*雙葉*"),
IF(ROUND((H23-M23)
/IF(COUNTIF(D23,"*キャラ*"),
VLOOKUP("*キャラ*",商品マスタ!$D:$E,2,FALSE),
IF(COUNTIF(D23,"*赤*"),
VLOOKUP("*赤*",商品マスタ!$D:$E,2,FALSE),
VLOOKUP("*"&amp;D23&amp;"*",商品マスタ!$D:$E,2,FALSE))),0)&lt;=0,1,
ROUND((H23-M23)
/IF(COUNTIF(D23,"*キャラ*"),
VLOOKUP("*キャラ*",商品マスタ!$D:$E,2,FALSE),
IF(COUNTIF(D23,"*赤*"),
VLOOKUP("*赤*",商品マスタ!$D:$E,2,FALSE),
VLOOKUP("*"&amp;D23&amp;"*",商品マスタ!$D:$E,2,FALSE))),0)),
IF(OR(COUNTIF(D23,"*キャラ*"),COUNTIF(D23,"*赤*")),"",
IF(VLOOKUP("*"&amp;D23&amp;"*",商品マスタ!$D:$E,2,FALSE)=0,"",
IF(ROUND((H23-M23)
/VLOOKUP("*"&amp;D23&amp;"*",商品マスタ!$D:$E,2,FALSE),0)&lt;=0,1,
ROUND((H23-M23)
/VLOOKUP("*"&amp;D23&amp;"*",商品マスタ!$D:$E,2,FALSE),0))))),"")</f>
        <v/>
      </c>
      <c r="G23" s="45" t="str">
        <f ca="1">IF(F23&lt;&gt;"",
IF(VALUE(H23-M23)&gt;VALUE(IF(COUNTIF(D23,"*キャラ*"),
VLOOKUP("*キャラ*",商品マスタ!$D:$E,2,FALSE),
IF(COUNTIF(D23,"*赤*"),
VLOOKUP("*赤*",商品マスタ!$D:$E,2,FALSE),
VLOOKUP("*"&amp;D23&amp;"*",商品マスタ!$D:$E,2,FALSE)))*F23),
"+"&amp;(H23-M23)-IF(COUNTIF(D23,"*キャラ*"),
VLOOKUP("*キャラ*",商品マスタ!$D:$E,2,FALSE),
IF(COUNTIF(D23,"*赤*"),
VLOOKUP("*赤*",商品マスタ!$D:$E,2,FALSE),
VLOOKUP("*"&amp;D23&amp;"*",商品マスタ!$D:$E,2,FALSE)))*F23,
(H23-M23)-IF(COUNTIF(D23,"*キャラ*"),
VLOOKUP("*キャラ*",商品マスタ!$D:$E,2,FALSE),
IF(COUNTIF(D23,"*赤*"),
VLOOKUP("*赤*",商品マスタ!$D:$E,2,FALSE),
VLOOKUP("*"&amp;D23&amp;"*",商品マスタ!$D:$E,2,FALSE)))*F23),"")</f>
        <v/>
      </c>
      <c r="H23" s="99" t="str">
        <f>IF(C23&lt;&gt;"",
クライアント抽出!B23,"")</f>
        <v/>
      </c>
      <c r="I23" s="45" t="str">
        <f t="array" aca="1" ref="I23" ca="1">IF(C23&lt;&gt;"",
IF(O23=1,
IF(SUMPRODUCT(COUNTIF(クライアント抽出!P23:U23,クライアント抽出!P23:U23))&gt;COUNTA(クライアント抽出!P23:U23),
IFERROR(INDIRECT("数出表_Excel!"&amp;INDEX(_xlfn.UNIQUE(_xlfn._xlws.FILTER(クライアント抽出!P23:U23,COUNTIF(クライアント抽出!P23:U23,クライアント抽出!P23:U23)&gt;1)),1)&amp;L23&amp;""),
クライアント抽出!E23),0),クライアント抽出!E23),"")</f>
        <v/>
      </c>
      <c r="J23" s="45" t="str">
        <f>IF(C23&lt;&gt;"",
VLOOKUP(
"*"&amp;LEFT(IF(COUNTIF(D23,"*学食*"),"キャラ弁（学食）",
IF(COUNTIF(D23,"*赤*"),"赤",
IF(COUNTIF(D23,"*キャラ弁当*"),"キャラ弁当",D23))),4)&amp;"*",注文弁当の抽出!$F$1:$G$15,2,FALSE),"")</f>
        <v/>
      </c>
      <c r="K23" s="45" t="str">
        <f ca="1">IF(クライアント抽出!P23&lt;&gt;"",SUBSTITUTE(ADDRESS(1,(CODE(クライアント抽出!P23)-64)*2-1,4),"1",""),"")</f>
        <v/>
      </c>
      <c r="L23" s="45" t="str">
        <f>IF(C23&lt;&gt;"",クライアント抽出!I23,"")</f>
        <v/>
      </c>
      <c r="M23" s="45">
        <f t="array" aca="1" ref="M23" ca="1">IF(C23&lt;&gt;"",
IF(K23&lt;&gt;"",INDIRECT("'数出表_Excel（アレルギー入力）'!"&amp;K23&amp;L23-1&amp;""),),)</f>
        <v>0</v>
      </c>
      <c r="N23" s="45" t="str">
        <f>IF(C23&lt;&gt;"",IF(OR(COUNTIF('盛付札（関数）'!D23,"*赤*"),COUNTIF('盛付札（関数）'!D23,"*キャラ*")),1,
VALUE(VLOOKUP("*"&amp;D23&amp;"*",商品マスタ!D:H,5,FALSE))),"")</f>
        <v/>
      </c>
      <c r="O23" s="45">
        <f ca="1">IF(LEN(クライアント抽出!V23)-LEN(SUBSTITUTE(クライアント抽出!V23,",",""))&lt;&gt;1,
IF(AND(クライアント抽出!P23&lt;&gt;"",クライアント抽出!S23&lt;&gt;""),
IF(クライアント抽出!P23&lt;&gt;クライアント抽出!S23,1,0),0),0)</f>
        <v>0</v>
      </c>
      <c r="P23" s="45">
        <f t="shared" si="0"/>
        <v>0</v>
      </c>
      <c r="Q23" s="45" t="b">
        <f t="shared" si="1"/>
        <v>0</v>
      </c>
      <c r="R23" s="122" t="str">
        <f t="array" aca="1" ref="R23" ca="1">IFERROR(SMALL(IF(P$1:P$311&lt;&gt;0,P$1:P$311),ROW(A23)),"")</f>
        <v/>
      </c>
      <c r="S23" s="122" t="str">
        <f t="array" aca="1" ref="S23" ca="1">IF($R23&lt;&gt;"",
SUBSTITUTE(SUBSTITUTE(INDIRECT("C"&amp;$R23&amp;"")," 週3ｺｰｽ","")," 週5ｺｰｽ",""),"")</f>
        <v/>
      </c>
      <c r="T23" s="122" t="str">
        <f t="array" aca="1" ref="T23" ca="1">IF(IF($R23&lt;&gt;"",
INDIRECT(""&amp;IF(COLUMN(D23)&lt;=26,CHAR(COLUMN(D23)+64),CHAR(INT((COLUMN(D23)-1)/26)+64)&amp;CHAR(MOD(COLUMN(D23)-1,26)+65))&amp;$R23&amp;""),"")=0,"",
IF($R23&lt;&gt;"",
INDIRECT(""&amp;IF(COLUMN(D23)&lt;=26,CHAR(COLUMN(D23)+64),CHAR(INT((COLUMN(D23)-1)/26)+64)&amp;CHAR(MOD(COLUMN(D23)-1,26)+65))&amp;$R23&amp;""),""))</f>
        <v/>
      </c>
      <c r="U23" s="185" t="str">
        <f t="array" aca="1" ref="U23" ca="1">IF($R23&lt;&gt;"",
INDIRECT("F"&amp;$R23&amp;""),"")</f>
        <v/>
      </c>
      <c r="V23" s="122" t="str">
        <f t="array" aca="1" ref="V23" ca="1">IF($R23&lt;&gt;"",
INDIRECT("G"&amp;$R23&amp;""),"")</f>
        <v/>
      </c>
      <c r="W23" s="122" t="str" cm="1">
        <f t="array" aca="1" ref="W23" ca="1">IF($R23&lt;&gt;"",
IF(AND(COUNTIF(INDIRECT("B"&amp;R23&amp;""),"*雙葉*"),COUNTIF($B$71:$B$210,"*雙葉*")&gt;=1),
IF(OR(COUNTIF(INDIRECT("B"&amp;R23&amp;""),"*雙葉先生*"),COUNTIF(INDIRECT("B"&amp;R23-1&amp;""),"*雙葉*")),INDIRECT("H"&amp;R23&amp;""),INDIRECT("H"&amp;R23&amp;"")+INDIRECT("H"&amp;MATCH("雙葉'",INDIRECT("B"&amp;R23+3&amp;":B210"),0)+2+R23&amp;"")),
IF(AND(LEFT(INDIRECT("B"&amp;R23&amp;""),2)="博多",COUNTIF(B:B,"*博多*")&gt;=2),
INDIRECT("H"&amp;R23&amp;"")+IFERROR(INDIRECT("H"&amp;MATCH("*"&amp;INDIRECT("B"&amp;R23&amp;"")&amp;"*",INDIRECT("B"&amp;R23+1&amp;":B210"),0)+R23&amp;""),0),
IF(AND(LEFT(INDIRECT("B"&amp;R23&amp;""),3)="奈良屋",COUNTIF(B:B,"*奈良屋*")&gt;=2),
INDIRECT("H"&amp;R23&amp;"")
+INDIRECT("H"&amp;MATCH("*"&amp;INDIRECT("B"&amp;R23&amp;"")&amp;"*",INDIRECT("B"&amp;R23+1&amp;":B210"),0)+R23&amp;"")
+INDIRECT("H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
+INDIRECT("H"&amp;MATCH("*"&amp;INDIRECT("B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&amp;"*",INDIRECT("B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+1&amp;":B210"),0)+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,
INDIRECT("H"&amp;R23&amp;"")))),"")</f>
        <v/>
      </c>
      <c r="X23" s="122" t="str">
        <f t="array" aca="1" ref="X23" ca="1">IF($R23&lt;&gt;"",
INDIRECT(""&amp;IF(COLUMN(I23)&lt;=26,CHAR(COLUMN(I23)+64),CHAR(INT((COLUMN(I23)-1)/26)+64)&amp;CHAR(MOD(COLUMN(I23)-1,26)+65))&amp;$R23&amp;""),"")</f>
        <v/>
      </c>
      <c r="Y23" s="122" t="str">
        <f t="array" aca="1" ref="Y23" ca="1">IF($R23&lt;&gt;"",
INDIRECT(""&amp;IF(COLUMN(J23)&lt;=26,CHAR(COLUMN(J23)+64),CHAR(INT((COLUMN(J23)-1)/26)+64)&amp;CHAR(MOD(COLUMN(J23)-1,26)+65))&amp;$R23&amp;""),"")</f>
        <v/>
      </c>
      <c r="Z23" s="122" t="str">
        <f t="shared" ca="1" si="2"/>
        <v/>
      </c>
      <c r="AA23" s="122" t="str">
        <f t="shared" ca="1" si="3"/>
        <v/>
      </c>
      <c r="AB23" s="122" t="str">
        <f t="array" aca="1" ref="AB23" ca="1">IF($R23&lt;&gt;"",
IF(AND(COUNTIF(INDIRECT("B"&amp;R23&amp;""),"*雙葉*"),COUNTIF(INDIRECT("B"&amp;R23&amp;""),"&lt;&gt;*先生*"),COUNTIF(B:B,"*雙葉*")&gt;=2),
INDIRECT("M"&amp;R23&amp;"")+INDIRECT("M"&amp;MATCH("雙葉'",INDIRECT("B"&amp;R23+1&amp;":B210"),0)+R23&amp;""),
IF(AND(LEFT(INDIRECT("B"&amp;R23&amp;""),2)="博多",COUNTIF(B:B,"*博多*")&gt;=2),
INDIRECT("M"&amp;R23&amp;"")+INDIRECT("M"&amp;MATCH("*"&amp;INDIRECT("B"&amp;R23&amp;"")&amp;"*",INDIRECT("B"&amp;R23+1&amp;":B210"),0)+R23&amp;""),
IF(AND(LEFT(INDIRECT("B"&amp;R23&amp;""),3)="奈良屋",COUNTIF(B:B,"*奈良屋*")&gt;=2),
INDIRECT("M"&amp;R23&amp;"")+INDIRECT("M"&amp;MATCH("*"&amp;INDIRECT("B"&amp;R23&amp;"")&amp;"*",INDIRECT("B"&amp;R23+1&amp;":B210"),0)+R23&amp;"")
+INDIRECT("M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,
INDIRECT("M"&amp;R23&amp;"")))),"")</f>
        <v/>
      </c>
      <c r="AC23" s="122" t="str">
        <f t="shared" ca="1" si="4"/>
        <v/>
      </c>
      <c r="AD23" s="176" t="str">
        <f t="shared" ca="1" si="5"/>
        <v/>
      </c>
      <c r="AE23" s="176" t="str">
        <f t="shared" ca="1" si="6"/>
        <v/>
      </c>
      <c r="AF23" s="176" t="str">
        <f t="shared" ca="1" si="7"/>
        <v/>
      </c>
      <c r="AG23" s="176" t="str">
        <f t="shared" ca="1" si="8"/>
        <v/>
      </c>
      <c r="AH23" s="183" t="str">
        <f t="shared" ca="1" si="9"/>
        <v/>
      </c>
      <c r="AI23" s="176" t="str">
        <f t="shared" ca="1" si="10"/>
        <v/>
      </c>
      <c r="AJ23" s="176" t="str">
        <f t="shared" ca="1" si="11"/>
        <v/>
      </c>
      <c r="AK23" s="176" t="str">
        <f t="shared" ca="1" si="12"/>
        <v/>
      </c>
      <c r="AL23" s="176" t="str">
        <f t="shared" ca="1" si="13"/>
        <v/>
      </c>
      <c r="AM23" s="176" t="str">
        <f t="shared" ca="1" si="14"/>
        <v/>
      </c>
      <c r="AN23" s="176" t="str">
        <f t="shared" ca="1" si="15"/>
        <v/>
      </c>
      <c r="AO23" s="176" t="str">
        <f t="shared" ca="1" si="16"/>
        <v/>
      </c>
      <c r="AP23" s="176" t="str">
        <f t="shared" ca="1" si="17"/>
        <v/>
      </c>
      <c r="AU23" s="176" t="str">
        <f t="shared" ca="1" si="18"/>
        <v/>
      </c>
      <c r="AW23" s="106" t="str">
        <f ca="1">IFERROR(IF(AF23&lt;&gt;"",OFFSET('数出表_Excel（アレルギー入力）'!$A$1,MATCH(AF23,'数出表_Excel（アレルギー入力）'!A:A,0)-2,0),""),"")</f>
        <v/>
      </c>
      <c r="AX23" s="106" t="str">
        <f ca="1">IF(AW23&lt;&gt;"",
OFFSET(得意先マスタ!$A$1,MATCH(AW23,得意先マスタ!A:A,0)-1,24),"")</f>
        <v/>
      </c>
      <c r="AY23" s="57">
        <f t="shared" ca="1" si="21"/>
        <v>0</v>
      </c>
      <c r="AZ23" s="57">
        <f t="shared" ca="1" si="25"/>
        <v>0</v>
      </c>
      <c r="BA23" s="57">
        <f t="shared" ca="1" si="26"/>
        <v>0</v>
      </c>
      <c r="BB23" s="176">
        <f t="shared" ca="1" si="24"/>
        <v>0</v>
      </c>
    </row>
    <row r="24" spans="1:54" ht="22.2" customHeight="1">
      <c r="A24" s="101">
        <f t="shared" si="19"/>
        <v>53</v>
      </c>
      <c r="B24" s="45" t="str">
        <f t="shared" si="20"/>
        <v/>
      </c>
      <c r="C24" s="45" t="str">
        <f>IF(OR(クライアント抽出!B24&lt;&gt;"",クライアント抽出!E24&lt;&gt;""),クライアント抽出!A24,"")</f>
        <v/>
      </c>
      <c r="D24" s="45" t="str">
        <f t="array" aca="1" ref="D24" ca="1">IF(C24&lt;&gt;"",INDIRECT("クライアント抽出!"&amp;E24&amp;MATCH(C24,クライアント抽出!A:A,0)&amp;""),"")</f>
        <v/>
      </c>
      <c r="E24" s="45" t="str">
        <f>IF(H24&lt;&gt;0,
IFERROR(
SUBSTITUTE(ADDRESS(1,
MATCH(VALUE(H24),クライアント抽出!A24:G24,0)+8,4),"1",""),
""),
IFERROR(
SUBSTITUTE(ADDRESS(1,
MATCH(VALUE(I24),クライアント抽出!A24:G24,0)+8,4),"1",""),
""))</f>
        <v/>
      </c>
      <c r="F24" s="184" t="str">
        <f ca="1">IF(D24&lt;&gt;"",
IF(COUNTIF(C24,"*雙葉*"),
IF(ROUND((H24-M24)
/IF(COUNTIF(D24,"*キャラ*"),
VLOOKUP("*キャラ*",商品マスタ!$D:$E,2,FALSE),
IF(COUNTIF(D24,"*赤*"),
VLOOKUP("*赤*",商品マスタ!$D:$E,2,FALSE),
VLOOKUP("*"&amp;D24&amp;"*",商品マスタ!$D:$E,2,FALSE))),0)&lt;=0,1,
ROUND((H24-M24)
/IF(COUNTIF(D24,"*キャラ*"),
VLOOKUP("*キャラ*",商品マスタ!$D:$E,2,FALSE),
IF(COUNTIF(D24,"*赤*"),
VLOOKUP("*赤*",商品マスタ!$D:$E,2,FALSE),
VLOOKUP("*"&amp;D24&amp;"*",商品マスタ!$D:$E,2,FALSE))),0)),
IF(OR(COUNTIF(D24,"*キャラ*"),COUNTIF(D24,"*赤*")),"",
IF(VLOOKUP("*"&amp;D24&amp;"*",商品マスタ!$D:$E,2,FALSE)=0,"",
IF(ROUND((H24-M24)
/VLOOKUP("*"&amp;D24&amp;"*",商品マスタ!$D:$E,2,FALSE),0)&lt;=0,1,
ROUND((H24-M24)
/VLOOKUP("*"&amp;D24&amp;"*",商品マスタ!$D:$E,2,FALSE),0))))),"")</f>
        <v/>
      </c>
      <c r="G24" s="45" t="str">
        <f ca="1">IF(F24&lt;&gt;"",
IF(VALUE(H24-M24)&gt;VALUE(IF(COUNTIF(D24,"*キャラ*"),
VLOOKUP("*キャラ*",商品マスタ!$D:$E,2,FALSE),
IF(COUNTIF(D24,"*赤*"),
VLOOKUP("*赤*",商品マスタ!$D:$E,2,FALSE),
VLOOKUP("*"&amp;D24&amp;"*",商品マスタ!$D:$E,2,FALSE)))*F24),
"+"&amp;(H24-M24)-IF(COUNTIF(D24,"*キャラ*"),
VLOOKUP("*キャラ*",商品マスタ!$D:$E,2,FALSE),
IF(COUNTIF(D24,"*赤*"),
VLOOKUP("*赤*",商品マスタ!$D:$E,2,FALSE),
VLOOKUP("*"&amp;D24&amp;"*",商品マスタ!$D:$E,2,FALSE)))*F24,
(H24-M24)-IF(COUNTIF(D24,"*キャラ*"),
VLOOKUP("*キャラ*",商品マスタ!$D:$E,2,FALSE),
IF(COUNTIF(D24,"*赤*"),
VLOOKUP("*赤*",商品マスタ!$D:$E,2,FALSE),
VLOOKUP("*"&amp;D24&amp;"*",商品マスタ!$D:$E,2,FALSE)))*F24),"")</f>
        <v/>
      </c>
      <c r="H24" s="99" t="str">
        <f>IF(C24&lt;&gt;"",
クライアント抽出!B24,"")</f>
        <v/>
      </c>
      <c r="I24" s="45" t="str">
        <f t="array" aca="1" ref="I24" ca="1">IF(C24&lt;&gt;"",
IF(O24=1,
IF(SUMPRODUCT(COUNTIF(クライアント抽出!P24:U24,クライアント抽出!P24:U24))&gt;COUNTA(クライアント抽出!P24:U24),
IFERROR(INDIRECT("数出表_Excel!"&amp;INDEX(_xlfn.UNIQUE(_xlfn._xlws.FILTER(クライアント抽出!P24:U24,COUNTIF(クライアント抽出!P24:U24,クライアント抽出!P24:U24)&gt;1)),1)&amp;L24&amp;""),
クライアント抽出!E24),0),クライアント抽出!E24),"")</f>
        <v/>
      </c>
      <c r="J24" s="45" t="str">
        <f>IF(C24&lt;&gt;"",
VLOOKUP(
"*"&amp;LEFT(IF(COUNTIF(D24,"*学食*"),"キャラ弁（学食）",
IF(COUNTIF(D24,"*赤*"),"赤",
IF(COUNTIF(D24,"*キャラ弁当*"),"キャラ弁当",D24))),4)&amp;"*",注文弁当の抽出!$F$1:$G$15,2,FALSE),"")</f>
        <v/>
      </c>
      <c r="K24" s="45" t="str">
        <f ca="1">IF(クライアント抽出!P24&lt;&gt;"",SUBSTITUTE(ADDRESS(1,(CODE(クライアント抽出!P24)-64)*2-1,4),"1",""),"")</f>
        <v/>
      </c>
      <c r="L24" s="45" t="str">
        <f>IF(C24&lt;&gt;"",クライアント抽出!I24,"")</f>
        <v/>
      </c>
      <c r="M24" s="45">
        <f t="array" aca="1" ref="M24" ca="1">IF(C24&lt;&gt;"",
IF(K24&lt;&gt;"",INDIRECT("'数出表_Excel（アレルギー入力）'!"&amp;K24&amp;L24-1&amp;""),),)</f>
        <v>0</v>
      </c>
      <c r="N24" s="45" t="str">
        <f>IF(C24&lt;&gt;"",IF(OR(COUNTIF('盛付札（関数）'!D24,"*赤*"),COUNTIF('盛付札（関数）'!D24,"*キャラ*")),1,
VALUE(VLOOKUP("*"&amp;D24&amp;"*",商品マスタ!D:H,5,FALSE))),"")</f>
        <v/>
      </c>
      <c r="O24" s="45">
        <f ca="1">IF(LEN(クライアント抽出!V24)-LEN(SUBSTITUTE(クライアント抽出!V24,",",""))&lt;&gt;1,
IF(AND(クライアント抽出!P24&lt;&gt;"",クライアント抽出!S24&lt;&gt;""),
IF(クライアント抽出!P24&lt;&gt;クライアント抽出!S24,1,0),0),0)</f>
        <v>0</v>
      </c>
      <c r="P24" s="45">
        <f t="shared" si="0"/>
        <v>0</v>
      </c>
      <c r="Q24" s="45" t="b">
        <f t="shared" si="1"/>
        <v>0</v>
      </c>
      <c r="R24" s="122" t="str">
        <f t="array" aca="1" ref="R24" ca="1">IFERROR(SMALL(IF(P$1:P$311&lt;&gt;0,P$1:P$311),ROW(A24)),"")</f>
        <v/>
      </c>
      <c r="S24" s="122" t="str">
        <f t="array" aca="1" ref="S24" ca="1">IF($R24&lt;&gt;"",
SUBSTITUTE(SUBSTITUTE(INDIRECT("C"&amp;$R24&amp;"")," 週3ｺｰｽ","")," 週5ｺｰｽ",""),"")</f>
        <v/>
      </c>
      <c r="T24" s="122" t="str">
        <f t="array" aca="1" ref="T24" ca="1">IF(IF($R24&lt;&gt;"",
INDIRECT(""&amp;IF(COLUMN(D24)&lt;=26,CHAR(COLUMN(D24)+64),CHAR(INT((COLUMN(D24)-1)/26)+64)&amp;CHAR(MOD(COLUMN(D24)-1,26)+65))&amp;$R24&amp;""),"")=0,"",
IF($R24&lt;&gt;"",
INDIRECT(""&amp;IF(COLUMN(D24)&lt;=26,CHAR(COLUMN(D24)+64),CHAR(INT((COLUMN(D24)-1)/26)+64)&amp;CHAR(MOD(COLUMN(D24)-1,26)+65))&amp;$R24&amp;""),""))</f>
        <v/>
      </c>
      <c r="U24" s="185" t="str">
        <f t="array" aca="1" ref="U24" ca="1">IF($R24&lt;&gt;"",
INDIRECT("F"&amp;$R24&amp;""),"")</f>
        <v/>
      </c>
      <c r="V24" s="122" t="str">
        <f t="array" aca="1" ref="V24" ca="1">IF($R24&lt;&gt;"",
INDIRECT("G"&amp;$R24&amp;""),"")</f>
        <v/>
      </c>
      <c r="W24" s="122" t="str" cm="1">
        <f t="array" aca="1" ref="W24" ca="1">IF($R24&lt;&gt;"",
IF(AND(COUNTIF(INDIRECT("B"&amp;R24&amp;""),"*雙葉*"),COUNTIF($B$71:$B$210,"*雙葉*")&gt;=1),
IF(OR(COUNTIF(INDIRECT("B"&amp;R24&amp;""),"*雙葉先生*"),COUNTIF(INDIRECT("B"&amp;R24-1&amp;""),"*雙葉*")),INDIRECT("H"&amp;R24&amp;""),INDIRECT("H"&amp;R24&amp;"")+INDIRECT("H"&amp;MATCH("雙葉'",INDIRECT("B"&amp;R24+3&amp;":B210"),0)+2+R24&amp;"")),
IF(AND(LEFT(INDIRECT("B"&amp;R24&amp;""),2)="博多",COUNTIF(B:B,"*博多*")&gt;=2),
INDIRECT("H"&amp;R24&amp;"")+IFERROR(INDIRECT("H"&amp;MATCH("*"&amp;INDIRECT("B"&amp;R24&amp;"")&amp;"*",INDIRECT("B"&amp;R24+1&amp;":B210"),0)+R24&amp;""),0),
IF(AND(LEFT(INDIRECT("B"&amp;R24&amp;""),3)="奈良屋",COUNTIF(B:B,"*奈良屋*")&gt;=2),
INDIRECT("H"&amp;R24&amp;"")
+INDIRECT("H"&amp;MATCH("*"&amp;INDIRECT("B"&amp;R24&amp;"")&amp;"*",INDIRECT("B"&amp;R24+1&amp;":B210"),0)+R24&amp;"")
+INDIRECT("H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
+INDIRECT("H"&amp;MATCH("*"&amp;INDIRECT("B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&amp;"*",INDIRECT("B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+1&amp;":B210"),0)+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,
INDIRECT("H"&amp;R24&amp;"")))),"")</f>
        <v/>
      </c>
      <c r="X24" s="122" t="str">
        <f t="array" aca="1" ref="X24" ca="1">IF($R24&lt;&gt;"",
INDIRECT(""&amp;IF(COLUMN(I24)&lt;=26,CHAR(COLUMN(I24)+64),CHAR(INT((COLUMN(I24)-1)/26)+64)&amp;CHAR(MOD(COLUMN(I24)-1,26)+65))&amp;$R24&amp;""),"")</f>
        <v/>
      </c>
      <c r="Y24" s="122" t="str">
        <f t="array" aca="1" ref="Y24" ca="1">IF($R24&lt;&gt;"",
INDIRECT(""&amp;IF(COLUMN(J24)&lt;=26,CHAR(COLUMN(J24)+64),CHAR(INT((COLUMN(J24)-1)/26)+64)&amp;CHAR(MOD(COLUMN(J24)-1,26)+65))&amp;$R24&amp;""),"")</f>
        <v/>
      </c>
      <c r="Z24" s="122" t="str">
        <f t="shared" ca="1" si="2"/>
        <v/>
      </c>
      <c r="AA24" s="122" t="str">
        <f t="shared" ca="1" si="3"/>
        <v/>
      </c>
      <c r="AB24" s="122" t="str">
        <f t="array" aca="1" ref="AB24" ca="1">IF($R24&lt;&gt;"",
IF(AND(COUNTIF(INDIRECT("B"&amp;R24&amp;""),"*雙葉*"),COUNTIF(INDIRECT("B"&amp;R24&amp;""),"&lt;&gt;*先生*"),COUNTIF(B:B,"*雙葉*")&gt;=2),
INDIRECT("M"&amp;R24&amp;"")+INDIRECT("M"&amp;MATCH("雙葉'",INDIRECT("B"&amp;R24+1&amp;":B210"),0)+R24&amp;""),
IF(AND(LEFT(INDIRECT("B"&amp;R24&amp;""),2)="博多",COUNTIF(B:B,"*博多*")&gt;=2),
INDIRECT("M"&amp;R24&amp;"")+INDIRECT("M"&amp;MATCH("*"&amp;INDIRECT("B"&amp;R24&amp;"")&amp;"*",INDIRECT("B"&amp;R24+1&amp;":B210"),0)+R24&amp;""),
IF(AND(LEFT(INDIRECT("B"&amp;R24&amp;""),3)="奈良屋",COUNTIF(B:B,"*奈良屋*")&gt;=2),
INDIRECT("M"&amp;R24&amp;"")+INDIRECT("M"&amp;MATCH("*"&amp;INDIRECT("B"&amp;R24&amp;"")&amp;"*",INDIRECT("B"&amp;R24+1&amp;":B210"),0)+R24&amp;"")
+INDIRECT("M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,
INDIRECT("M"&amp;R24&amp;"")))),"")</f>
        <v/>
      </c>
      <c r="AC24" s="122" t="str">
        <f t="shared" ca="1" si="4"/>
        <v/>
      </c>
      <c r="AD24" s="176" t="str">
        <f t="shared" ca="1" si="5"/>
        <v/>
      </c>
      <c r="AE24" s="176" t="str">
        <f t="shared" ca="1" si="6"/>
        <v/>
      </c>
      <c r="AF24" s="176" t="str">
        <f t="shared" ca="1" si="7"/>
        <v/>
      </c>
      <c r="AG24" s="176" t="str">
        <f t="shared" ca="1" si="8"/>
        <v/>
      </c>
      <c r="AH24" s="183" t="str">
        <f t="shared" ca="1" si="9"/>
        <v/>
      </c>
      <c r="AI24" s="176" t="str">
        <f t="shared" ca="1" si="10"/>
        <v/>
      </c>
      <c r="AJ24" s="176" t="str">
        <f t="shared" ca="1" si="11"/>
        <v/>
      </c>
      <c r="AK24" s="176" t="str">
        <f t="shared" ca="1" si="12"/>
        <v/>
      </c>
      <c r="AL24" s="176" t="str">
        <f t="shared" ca="1" si="13"/>
        <v/>
      </c>
      <c r="AM24" s="176" t="str">
        <f t="shared" ca="1" si="14"/>
        <v/>
      </c>
      <c r="AN24" s="176" t="str">
        <f t="shared" ca="1" si="15"/>
        <v/>
      </c>
      <c r="AO24" s="176" t="str">
        <f t="shared" ca="1" si="16"/>
        <v/>
      </c>
      <c r="AP24" s="176" t="str">
        <f t="shared" ca="1" si="17"/>
        <v/>
      </c>
      <c r="AU24" s="176" t="str">
        <f t="shared" ca="1" si="18"/>
        <v/>
      </c>
      <c r="AW24" s="106" t="str">
        <f ca="1">IFERROR(IF(AF24&lt;&gt;"",OFFSET('数出表_Excel（アレルギー入力）'!$A$1,MATCH(AF24,'数出表_Excel（アレルギー入力）'!A:A,0)-2,0),""),"")</f>
        <v/>
      </c>
      <c r="AX24" s="106" t="str">
        <f ca="1">IF(AW24&lt;&gt;"",
OFFSET(得意先マスタ!$A$1,MATCH(AW24,得意先マスタ!A:A,0)-1,24),"")</f>
        <v/>
      </c>
      <c r="AY24" s="57">
        <f t="shared" ca="1" si="21"/>
        <v>0</v>
      </c>
      <c r="AZ24" s="57">
        <f t="shared" ca="1" si="25"/>
        <v>0</v>
      </c>
      <c r="BA24" s="57">
        <f t="shared" ca="1" si="26"/>
        <v>0</v>
      </c>
      <c r="BB24" s="176">
        <f t="shared" ca="1" si="24"/>
        <v>0</v>
      </c>
    </row>
    <row r="25" spans="1:54" ht="18" customHeight="1">
      <c r="A25" s="101">
        <f t="shared" si="19"/>
        <v>55</v>
      </c>
      <c r="B25" s="45" t="str">
        <f t="shared" si="20"/>
        <v/>
      </c>
      <c r="C25" s="45" t="str">
        <f>IF(OR(クライアント抽出!B25&lt;&gt;"",クライアント抽出!E25&lt;&gt;""),クライアント抽出!A25,"")</f>
        <v/>
      </c>
      <c r="D25" s="45" t="str">
        <f t="array" aca="1" ref="D25" ca="1">IF(C25&lt;&gt;"",INDIRECT("クライアント抽出!"&amp;E25&amp;MATCH(C25,クライアント抽出!A:A,0)&amp;""),"")</f>
        <v/>
      </c>
      <c r="E25" s="45" t="str">
        <f>IF(H25&lt;&gt;0,
IFERROR(
SUBSTITUTE(ADDRESS(1,
MATCH(VALUE(H25),クライアント抽出!A25:G25,0)+8,4),"1",""),
""),
IFERROR(
SUBSTITUTE(ADDRESS(1,
MATCH(VALUE(I25),クライアント抽出!A25:G25,0)+8,4),"1",""),
""))</f>
        <v/>
      </c>
      <c r="F25" s="184" t="str">
        <f ca="1">IF(D25&lt;&gt;"",
IF(COUNTIF(C25,"*雙葉*"),
IF(ROUND((H25-M25)
/IF(COUNTIF(D25,"*キャラ*"),
VLOOKUP("*キャラ*",商品マスタ!$D:$E,2,FALSE),
IF(COUNTIF(D25,"*赤*"),
VLOOKUP("*赤*",商品マスタ!$D:$E,2,FALSE),
VLOOKUP("*"&amp;D25&amp;"*",商品マスタ!$D:$E,2,FALSE))),0)&lt;=0,1,
ROUND((H25-M25)
/IF(COUNTIF(D25,"*キャラ*"),
VLOOKUP("*キャラ*",商品マスタ!$D:$E,2,FALSE),
IF(COUNTIF(D25,"*赤*"),
VLOOKUP("*赤*",商品マスタ!$D:$E,2,FALSE),
VLOOKUP("*"&amp;D25&amp;"*",商品マスタ!$D:$E,2,FALSE))),0)),
IF(OR(COUNTIF(D25,"*キャラ*"),COUNTIF(D25,"*赤*")),"",
IF(VLOOKUP("*"&amp;D25&amp;"*",商品マスタ!$D:$E,2,FALSE)=0,"",
IF(ROUND((H25-M25)
/VLOOKUP("*"&amp;D25&amp;"*",商品マスタ!$D:$E,2,FALSE),0)&lt;=0,1,
ROUND((H25-M25)
/VLOOKUP("*"&amp;D25&amp;"*",商品マスタ!$D:$E,2,FALSE),0))))),"")</f>
        <v/>
      </c>
      <c r="G25" s="45" t="str">
        <f ca="1">IF(F25&lt;&gt;"",
IF(VALUE(H25-M25)&gt;VALUE(IF(COUNTIF(D25,"*キャラ*"),
VLOOKUP("*キャラ*",商品マスタ!$D:$E,2,FALSE),
IF(COUNTIF(D25,"*赤*"),
VLOOKUP("*赤*",商品マスタ!$D:$E,2,FALSE),
VLOOKUP("*"&amp;D25&amp;"*",商品マスタ!$D:$E,2,FALSE)))*F25),
"+"&amp;(H25-M25)-IF(COUNTIF(D25,"*キャラ*"),
VLOOKUP("*キャラ*",商品マスタ!$D:$E,2,FALSE),
IF(COUNTIF(D25,"*赤*"),
VLOOKUP("*赤*",商品マスタ!$D:$E,2,FALSE),
VLOOKUP("*"&amp;D25&amp;"*",商品マスタ!$D:$E,2,FALSE)))*F25,
(H25-M25)-IF(COUNTIF(D25,"*キャラ*"),
VLOOKUP("*キャラ*",商品マスタ!$D:$E,2,FALSE),
IF(COUNTIF(D25,"*赤*"),
VLOOKUP("*赤*",商品マスタ!$D:$E,2,FALSE),
VLOOKUP("*"&amp;D25&amp;"*",商品マスタ!$D:$E,2,FALSE)))*F25),"")</f>
        <v/>
      </c>
      <c r="H25" s="99" t="str">
        <f>IF(C25&lt;&gt;"",
クライアント抽出!B25,"")</f>
        <v/>
      </c>
      <c r="I25" s="45" t="str">
        <f t="array" aca="1" ref="I25" ca="1">IF(C25&lt;&gt;"",
IF(O25=1,
IF(SUMPRODUCT(COUNTIF(クライアント抽出!P25:U25,クライアント抽出!P25:U25))&gt;COUNTA(クライアント抽出!P25:U25),
IFERROR(INDIRECT("数出表_Excel!"&amp;INDEX(_xlfn.UNIQUE(_xlfn._xlws.FILTER(クライアント抽出!P25:U25,COUNTIF(クライアント抽出!P25:U25,クライアント抽出!P25:U25)&gt;1)),1)&amp;L25&amp;""),
クライアント抽出!E25),0),クライアント抽出!E25),"")</f>
        <v/>
      </c>
      <c r="J25" s="45" t="str">
        <f>IF(C25&lt;&gt;"",
VLOOKUP(
"*"&amp;LEFT(IF(COUNTIF(D25,"*学食*"),"キャラ弁（学食）",
IF(COUNTIF(D25,"*赤*"),"赤",
IF(COUNTIF(D25,"*キャラ弁当*"),"キャラ弁当",D25))),4)&amp;"*",注文弁当の抽出!$F$1:$G$15,2,FALSE),"")</f>
        <v/>
      </c>
      <c r="K25" s="45" t="str">
        <f ca="1">IF(クライアント抽出!P25&lt;&gt;"",SUBSTITUTE(ADDRESS(1,(CODE(クライアント抽出!P25)-64)*2-1,4),"1",""),"")</f>
        <v/>
      </c>
      <c r="L25" s="45" t="str">
        <f>IF(C25&lt;&gt;"",クライアント抽出!I25,"")</f>
        <v/>
      </c>
      <c r="M25" s="45">
        <f t="array" aca="1" ref="M25" ca="1">IF(C25&lt;&gt;"",
IF(K25&lt;&gt;"",INDIRECT("'数出表_Excel（アレルギー入力）'!"&amp;K25&amp;L25-1&amp;""),),)</f>
        <v>0</v>
      </c>
      <c r="N25" s="45" t="str">
        <f>IF(C25&lt;&gt;"",IF(OR(COUNTIF('盛付札（関数）'!D25,"*赤*"),COUNTIF('盛付札（関数）'!D25,"*キャラ*")),1,
VALUE(VLOOKUP("*"&amp;D25&amp;"*",商品マスタ!D:H,5,FALSE))),"")</f>
        <v/>
      </c>
      <c r="O25" s="45">
        <f ca="1">IF(LEN(クライアント抽出!V25)-LEN(SUBSTITUTE(クライアント抽出!V25,",",""))&lt;&gt;1,
IF(AND(クライアント抽出!P25&lt;&gt;"",クライアント抽出!S25&lt;&gt;""),
IF(クライアント抽出!P25&lt;&gt;クライアント抽出!S25,1,0),0),0)</f>
        <v>0</v>
      </c>
      <c r="P25" s="45">
        <f t="shared" si="0"/>
        <v>0</v>
      </c>
      <c r="Q25" s="45" t="b">
        <f t="shared" si="1"/>
        <v>0</v>
      </c>
      <c r="R25" s="122" t="str">
        <f t="array" aca="1" ref="R25" ca="1">IFERROR(SMALL(IF(P$1:P$311&lt;&gt;0,P$1:P$311),ROW(A25)),"")</f>
        <v/>
      </c>
      <c r="S25" s="122" t="str">
        <f t="array" aca="1" ref="S25" ca="1">IF($R25&lt;&gt;"",
SUBSTITUTE(SUBSTITUTE(INDIRECT("C"&amp;$R25&amp;"")," 週3ｺｰｽ","")," 週5ｺｰｽ",""),"")</f>
        <v/>
      </c>
      <c r="T25" s="122" t="str">
        <f t="array" aca="1" ref="T25" ca="1">IF(IF($R25&lt;&gt;"",
INDIRECT(""&amp;IF(COLUMN(D25)&lt;=26,CHAR(COLUMN(D25)+64),CHAR(INT((COLUMN(D25)-1)/26)+64)&amp;CHAR(MOD(COLUMN(D25)-1,26)+65))&amp;$R25&amp;""),"")=0,"",
IF($R25&lt;&gt;"",
INDIRECT(""&amp;IF(COLUMN(D25)&lt;=26,CHAR(COLUMN(D25)+64),CHAR(INT((COLUMN(D25)-1)/26)+64)&amp;CHAR(MOD(COLUMN(D25)-1,26)+65))&amp;$R25&amp;""),""))</f>
        <v/>
      </c>
      <c r="U25" s="185" t="str">
        <f t="array" aca="1" ref="U25" ca="1">IF($R25&lt;&gt;"",
INDIRECT("F"&amp;$R25&amp;""),"")</f>
        <v/>
      </c>
      <c r="V25" s="122" t="str">
        <f t="array" aca="1" ref="V25" ca="1">IF($R25&lt;&gt;"",
INDIRECT("G"&amp;$R25&amp;""),"")</f>
        <v/>
      </c>
      <c r="W25" s="122" t="str" cm="1">
        <f t="array" aca="1" ref="W25" ca="1">IF($R25&lt;&gt;"",
IF(AND(COUNTIF(INDIRECT("B"&amp;R25&amp;""),"*雙葉*"),COUNTIF($B$71:$B$210,"*雙葉*")&gt;=1),
IF(OR(COUNTIF(INDIRECT("B"&amp;R25&amp;""),"*雙葉先生*"),COUNTIF(INDIRECT("B"&amp;R25-1&amp;""),"*雙葉*")),INDIRECT("H"&amp;R25&amp;""),INDIRECT("H"&amp;R25&amp;"")+INDIRECT("H"&amp;MATCH("雙葉'",INDIRECT("B"&amp;R25+3&amp;":B210"),0)+2+R25&amp;"")),
IF(AND(LEFT(INDIRECT("B"&amp;R25&amp;""),2)="博多",COUNTIF(B:B,"*博多*")&gt;=2),
INDIRECT("H"&amp;R25&amp;"")+IFERROR(INDIRECT("H"&amp;MATCH("*"&amp;INDIRECT("B"&amp;R25&amp;"")&amp;"*",INDIRECT("B"&amp;R25+1&amp;":B210"),0)+R25&amp;""),0),
IF(AND(LEFT(INDIRECT("B"&amp;R25&amp;""),3)="奈良屋",COUNTIF(B:B,"*奈良屋*")&gt;=2),
INDIRECT("H"&amp;R25&amp;"")
+INDIRECT("H"&amp;MATCH("*"&amp;INDIRECT("B"&amp;R25&amp;"")&amp;"*",INDIRECT("B"&amp;R25+1&amp;":B210"),0)+R25&amp;"")
+INDIRECT("H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
+INDIRECT("H"&amp;MATCH("*"&amp;INDIRECT("B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&amp;"*",INDIRECT("B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+1&amp;":B210"),0)+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,
INDIRECT("H"&amp;R25&amp;"")))),"")</f>
        <v/>
      </c>
      <c r="X25" s="122" t="str">
        <f t="array" aca="1" ref="X25" ca="1">IF($R25&lt;&gt;"",
INDIRECT(""&amp;IF(COLUMN(I25)&lt;=26,CHAR(COLUMN(I25)+64),CHAR(INT((COLUMN(I25)-1)/26)+64)&amp;CHAR(MOD(COLUMN(I25)-1,26)+65))&amp;$R25&amp;""),"")</f>
        <v/>
      </c>
      <c r="Y25" s="122" t="str">
        <f t="array" aca="1" ref="Y25" ca="1">IF($R25&lt;&gt;"",
INDIRECT(""&amp;IF(COLUMN(J25)&lt;=26,CHAR(COLUMN(J25)+64),CHAR(INT((COLUMN(J25)-1)/26)+64)&amp;CHAR(MOD(COLUMN(J25)-1,26)+65))&amp;$R25&amp;""),"")</f>
        <v/>
      </c>
      <c r="Z25" s="122" t="str">
        <f t="shared" ca="1" si="2"/>
        <v/>
      </c>
      <c r="AA25" s="122" t="str">
        <f t="shared" ca="1" si="3"/>
        <v/>
      </c>
      <c r="AB25" s="122" t="str">
        <f t="array" aca="1" ref="AB25" ca="1">IF($R25&lt;&gt;"",
IF(AND(COUNTIF(INDIRECT("B"&amp;R25&amp;""),"*雙葉*"),COUNTIF(INDIRECT("B"&amp;R25&amp;""),"&lt;&gt;*先生*"),COUNTIF(B:B,"*雙葉*")&gt;=2),
INDIRECT("M"&amp;R25&amp;"")+INDIRECT("M"&amp;MATCH("雙葉'",INDIRECT("B"&amp;R25+1&amp;":B210"),0)+R25&amp;""),
IF(AND(LEFT(INDIRECT("B"&amp;R25&amp;""),2)="博多",COUNTIF(B:B,"*博多*")&gt;=2),
INDIRECT("M"&amp;R25&amp;"")+INDIRECT("M"&amp;MATCH("*"&amp;INDIRECT("B"&amp;R25&amp;"")&amp;"*",INDIRECT("B"&amp;R25+1&amp;":B210"),0)+R25&amp;""),
IF(AND(LEFT(INDIRECT("B"&amp;R25&amp;""),3)="奈良屋",COUNTIF(B:B,"*奈良屋*")&gt;=2),
INDIRECT("M"&amp;R25&amp;"")+INDIRECT("M"&amp;MATCH("*"&amp;INDIRECT("B"&amp;R25&amp;"")&amp;"*",INDIRECT("B"&amp;R25+1&amp;":B210"),0)+R25&amp;"")
+INDIRECT("M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,
INDIRECT("M"&amp;R25&amp;"")))),"")</f>
        <v/>
      </c>
      <c r="AC25" s="122" t="str">
        <f t="shared" ca="1" si="4"/>
        <v/>
      </c>
      <c r="AD25" s="176" t="str">
        <f t="shared" ca="1" si="5"/>
        <v/>
      </c>
      <c r="AE25" s="176" t="str">
        <f t="shared" ca="1" si="6"/>
        <v/>
      </c>
      <c r="AF25" s="176" t="str">
        <f t="shared" ca="1" si="7"/>
        <v/>
      </c>
      <c r="AG25" s="176" t="str">
        <f t="shared" ca="1" si="8"/>
        <v/>
      </c>
      <c r="AH25" s="183" t="str">
        <f t="shared" ca="1" si="9"/>
        <v/>
      </c>
      <c r="AI25" s="176" t="str">
        <f t="shared" ca="1" si="10"/>
        <v/>
      </c>
      <c r="AJ25" s="176" t="str">
        <f t="shared" ca="1" si="11"/>
        <v/>
      </c>
      <c r="AK25" s="176" t="str">
        <f t="shared" ca="1" si="12"/>
        <v/>
      </c>
      <c r="AL25" s="176" t="str">
        <f t="shared" ca="1" si="13"/>
        <v/>
      </c>
      <c r="AM25" s="176" t="str">
        <f t="shared" ca="1" si="14"/>
        <v/>
      </c>
      <c r="AN25" s="176" t="str">
        <f t="shared" ca="1" si="15"/>
        <v/>
      </c>
      <c r="AO25" s="176" t="str">
        <f t="shared" ca="1" si="16"/>
        <v/>
      </c>
      <c r="AP25" s="176" t="str">
        <f t="shared" ca="1" si="17"/>
        <v/>
      </c>
      <c r="AU25" s="176" t="str">
        <f t="shared" ca="1" si="18"/>
        <v/>
      </c>
      <c r="AW25" s="106" t="str">
        <f ca="1">IFERROR(IF(AF25&lt;&gt;"",OFFSET('数出表_Excel（アレルギー入力）'!$A$1,MATCH(AF25,'数出表_Excel（アレルギー入力）'!A:A,0)-2,0),""),"")</f>
        <v/>
      </c>
      <c r="AX25" s="106" t="str">
        <f ca="1">IF(AW25&lt;&gt;"",
OFFSET(得意先マスタ!$A$1,MATCH(AW25,得意先マスタ!A:A,0)-1,24),"")</f>
        <v/>
      </c>
      <c r="AY25" s="57">
        <f t="shared" ca="1" si="21"/>
        <v>0</v>
      </c>
      <c r="AZ25" s="57">
        <f t="shared" ca="1" si="25"/>
        <v>0</v>
      </c>
      <c r="BA25" s="57">
        <f t="shared" ca="1" si="26"/>
        <v>0</v>
      </c>
      <c r="BB25" s="176">
        <f t="shared" ca="1" si="24"/>
        <v>0</v>
      </c>
    </row>
    <row r="26" spans="1:54" ht="18" customHeight="1">
      <c r="A26" s="101">
        <f t="shared" si="19"/>
        <v>57</v>
      </c>
      <c r="B26" s="45" t="str">
        <f t="shared" si="20"/>
        <v/>
      </c>
      <c r="C26" s="45" t="str">
        <f>IF(OR(クライアント抽出!B26&lt;&gt;"",クライアント抽出!E26&lt;&gt;""),クライアント抽出!A26,"")</f>
        <v/>
      </c>
      <c r="D26" s="45" t="str">
        <f t="array" aca="1" ref="D26" ca="1">IF(C26&lt;&gt;"",INDIRECT("クライアント抽出!"&amp;E26&amp;MATCH(C26,クライアント抽出!A:A,0)&amp;""),"")</f>
        <v/>
      </c>
      <c r="E26" s="45" t="str">
        <f>IF(H26&lt;&gt;0,
IFERROR(
SUBSTITUTE(ADDRESS(1,
MATCH(VALUE(H26),クライアント抽出!A26:G26,0)+8,4),"1",""),
""),
IFERROR(
SUBSTITUTE(ADDRESS(1,
MATCH(VALUE(I26),クライアント抽出!A26:G26,0)+8,4),"1",""),
""))</f>
        <v/>
      </c>
      <c r="F26" s="184" t="str">
        <f ca="1">IF(D26&lt;&gt;"",
IF(COUNTIF(C26,"*雙葉*"),
IF(ROUND((H26-M26)
/IF(COUNTIF(D26,"*キャラ*"),
VLOOKUP("*キャラ*",商品マスタ!$D:$E,2,FALSE),
IF(COUNTIF(D26,"*赤*"),
VLOOKUP("*赤*",商品マスタ!$D:$E,2,FALSE),
VLOOKUP("*"&amp;D26&amp;"*",商品マスタ!$D:$E,2,FALSE))),0)&lt;=0,1,
ROUND((H26-M26)
/IF(COUNTIF(D26,"*キャラ*"),
VLOOKUP("*キャラ*",商品マスタ!$D:$E,2,FALSE),
IF(COUNTIF(D26,"*赤*"),
VLOOKUP("*赤*",商品マスタ!$D:$E,2,FALSE),
VLOOKUP("*"&amp;D26&amp;"*",商品マスタ!$D:$E,2,FALSE))),0)),
IF(OR(COUNTIF(D26,"*キャラ*"),COUNTIF(D26,"*赤*")),"",
IF(VLOOKUP("*"&amp;D26&amp;"*",商品マスタ!$D:$E,2,FALSE)=0,"",
IF(ROUND((H26-M26)
/VLOOKUP("*"&amp;D26&amp;"*",商品マスタ!$D:$E,2,FALSE),0)&lt;=0,1,
ROUND((H26-M26)
/VLOOKUP("*"&amp;D26&amp;"*",商品マスタ!$D:$E,2,FALSE),0))))),"")</f>
        <v/>
      </c>
      <c r="G26" s="45" t="str">
        <f ca="1">IF(F26&lt;&gt;"",
IF(VALUE(H26-M26)&gt;VALUE(IF(COUNTIF(D26,"*キャラ*"),
VLOOKUP("*キャラ*",商品マスタ!$D:$E,2,FALSE),
IF(COUNTIF(D26,"*赤*"),
VLOOKUP("*赤*",商品マスタ!$D:$E,2,FALSE),
VLOOKUP("*"&amp;D26&amp;"*",商品マスタ!$D:$E,2,FALSE)))*F26),
"+"&amp;(H26-M26)-IF(COUNTIF(D26,"*キャラ*"),
VLOOKUP("*キャラ*",商品マスタ!$D:$E,2,FALSE),
IF(COUNTIF(D26,"*赤*"),
VLOOKUP("*赤*",商品マスタ!$D:$E,2,FALSE),
VLOOKUP("*"&amp;D26&amp;"*",商品マスタ!$D:$E,2,FALSE)))*F26,
(H26-M26)-IF(COUNTIF(D26,"*キャラ*"),
VLOOKUP("*キャラ*",商品マスタ!$D:$E,2,FALSE),
IF(COUNTIF(D26,"*赤*"),
VLOOKUP("*赤*",商品マスタ!$D:$E,2,FALSE),
VLOOKUP("*"&amp;D26&amp;"*",商品マスタ!$D:$E,2,FALSE)))*F26),"")</f>
        <v/>
      </c>
      <c r="H26" s="99" t="str">
        <f>IF(C26&lt;&gt;"",
クライアント抽出!B26,"")</f>
        <v/>
      </c>
      <c r="I26" s="45" t="str">
        <f t="array" aca="1" ref="I26" ca="1">IF(C26&lt;&gt;"",
IF(O26=1,
IF(SUMPRODUCT(COUNTIF(クライアント抽出!P26:U26,クライアント抽出!P26:U26))&gt;COUNTA(クライアント抽出!P26:U26),
IFERROR(INDIRECT("数出表_Excel!"&amp;INDEX(_xlfn.UNIQUE(_xlfn._xlws.FILTER(クライアント抽出!P26:U26,COUNTIF(クライアント抽出!P26:U26,クライアント抽出!P26:U26)&gt;1)),1)&amp;L26&amp;""),
クライアント抽出!E26),0),クライアント抽出!E26),"")</f>
        <v/>
      </c>
      <c r="J26" s="45" t="str">
        <f>IF(C26&lt;&gt;"",
VLOOKUP(
"*"&amp;LEFT(IF(COUNTIF(D26,"*学食*"),"キャラ弁（学食）",
IF(COUNTIF(D26,"*赤*"),"赤",
IF(COUNTIF(D26,"*キャラ弁当*"),"キャラ弁当",D26))),4)&amp;"*",注文弁当の抽出!$F$1:$G$15,2,FALSE),"")</f>
        <v/>
      </c>
      <c r="K26" s="45" t="str">
        <f ca="1">IF(クライアント抽出!P26&lt;&gt;"",SUBSTITUTE(ADDRESS(1,(CODE(クライアント抽出!P26)-64)*2-1,4),"1",""),"")</f>
        <v/>
      </c>
      <c r="L26" s="45" t="str">
        <f>IF(C26&lt;&gt;"",クライアント抽出!I26,"")</f>
        <v/>
      </c>
      <c r="M26" s="45">
        <f t="array" aca="1" ref="M26" ca="1">IF(C26&lt;&gt;"",
IF(K26&lt;&gt;"",INDIRECT("'数出表_Excel（アレルギー入力）'!"&amp;K26&amp;L26-1&amp;""),),)</f>
        <v>0</v>
      </c>
      <c r="N26" s="45" t="str">
        <f>IF(C26&lt;&gt;"",IF(OR(COUNTIF('盛付札（関数）'!D26,"*赤*"),COUNTIF('盛付札（関数）'!D26,"*キャラ*")),1,
VALUE(VLOOKUP("*"&amp;D26&amp;"*",商品マスタ!D:H,5,FALSE))),"")</f>
        <v/>
      </c>
      <c r="O26" s="45">
        <f ca="1">IF(LEN(クライアント抽出!V26)-LEN(SUBSTITUTE(クライアント抽出!V26,",",""))&lt;&gt;1,
IF(AND(クライアント抽出!P26&lt;&gt;"",クライアント抽出!S26&lt;&gt;""),
IF(クライアント抽出!P26&lt;&gt;クライアント抽出!S26,1,0),0),0)</f>
        <v>0</v>
      </c>
      <c r="P26" s="45">
        <f t="shared" si="0"/>
        <v>0</v>
      </c>
      <c r="Q26" s="45" t="b">
        <f t="shared" si="1"/>
        <v>0</v>
      </c>
      <c r="R26" s="122" t="str">
        <f t="array" aca="1" ref="R26" ca="1">IFERROR(SMALL(IF(P$1:P$311&lt;&gt;0,P$1:P$311),ROW(A26)),"")</f>
        <v/>
      </c>
      <c r="S26" s="122" t="str">
        <f t="array" aca="1" ref="S26" ca="1">IF($R26&lt;&gt;"",
SUBSTITUTE(SUBSTITUTE(INDIRECT("C"&amp;$R26&amp;"")," 週3ｺｰｽ","")," 週5ｺｰｽ",""),"")</f>
        <v/>
      </c>
      <c r="T26" s="122" t="str">
        <f t="array" aca="1" ref="T26" ca="1">IF(IF($R26&lt;&gt;"",
INDIRECT(""&amp;IF(COLUMN(D26)&lt;=26,CHAR(COLUMN(D26)+64),CHAR(INT((COLUMN(D26)-1)/26)+64)&amp;CHAR(MOD(COLUMN(D26)-1,26)+65))&amp;$R26&amp;""),"")=0,"",
IF($R26&lt;&gt;"",
INDIRECT(""&amp;IF(COLUMN(D26)&lt;=26,CHAR(COLUMN(D26)+64),CHAR(INT((COLUMN(D26)-1)/26)+64)&amp;CHAR(MOD(COLUMN(D26)-1,26)+65))&amp;$R26&amp;""),""))</f>
        <v/>
      </c>
      <c r="U26" s="185" t="str">
        <f t="array" aca="1" ref="U26" ca="1">IF($R26&lt;&gt;"",
INDIRECT("F"&amp;$R26&amp;""),"")</f>
        <v/>
      </c>
      <c r="V26" s="122" t="str">
        <f t="array" aca="1" ref="V26" ca="1">IF($R26&lt;&gt;"",
INDIRECT("G"&amp;$R26&amp;""),"")</f>
        <v/>
      </c>
      <c r="W26" s="122" t="str" cm="1">
        <f t="array" aca="1" ref="W26" ca="1">IF($R26&lt;&gt;"",
IF(AND(COUNTIF(INDIRECT("B"&amp;R26&amp;""),"*雙葉*"),COUNTIF($B$71:$B$210,"*雙葉*")&gt;=1),
IF(OR(COUNTIF(INDIRECT("B"&amp;R26&amp;""),"*雙葉先生*"),COUNTIF(INDIRECT("B"&amp;R26-1&amp;""),"*雙葉*")),INDIRECT("H"&amp;R26&amp;""),INDIRECT("H"&amp;R26&amp;"")+INDIRECT("H"&amp;MATCH("雙葉'",INDIRECT("B"&amp;R26+3&amp;":B210"),0)+2+R26&amp;"")),
IF(AND(LEFT(INDIRECT("B"&amp;R26&amp;""),2)="博多",COUNTIF(B:B,"*博多*")&gt;=2),
INDIRECT("H"&amp;R26&amp;"")+IFERROR(INDIRECT("H"&amp;MATCH("*"&amp;INDIRECT("B"&amp;R26&amp;"")&amp;"*",INDIRECT("B"&amp;R26+1&amp;":B210"),0)+R26&amp;""),0),
IF(AND(LEFT(INDIRECT("B"&amp;R26&amp;""),3)="奈良屋",COUNTIF(B:B,"*奈良屋*")&gt;=2),
INDIRECT("H"&amp;R26&amp;"")
+INDIRECT("H"&amp;MATCH("*"&amp;INDIRECT("B"&amp;R26&amp;"")&amp;"*",INDIRECT("B"&amp;R26+1&amp;":B210"),0)+R26&amp;"")
+INDIRECT("H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
+INDIRECT("H"&amp;MATCH("*"&amp;INDIRECT("B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&amp;"*",INDIRECT("B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+1&amp;":B210"),0)+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,
INDIRECT("H"&amp;R26&amp;"")))),"")</f>
        <v/>
      </c>
      <c r="X26" s="122" t="str">
        <f t="array" aca="1" ref="X26" ca="1">IF($R26&lt;&gt;"",
INDIRECT(""&amp;IF(COLUMN(I26)&lt;=26,CHAR(COLUMN(I26)+64),CHAR(INT((COLUMN(I26)-1)/26)+64)&amp;CHAR(MOD(COLUMN(I26)-1,26)+65))&amp;$R26&amp;""),"")</f>
        <v/>
      </c>
      <c r="Y26" s="122" t="str">
        <f t="array" aca="1" ref="Y26" ca="1">IF($R26&lt;&gt;"",
INDIRECT(""&amp;IF(COLUMN(J26)&lt;=26,CHAR(COLUMN(J26)+64),CHAR(INT((COLUMN(J26)-1)/26)+64)&amp;CHAR(MOD(COLUMN(J26)-1,26)+65))&amp;$R26&amp;""),"")</f>
        <v/>
      </c>
      <c r="Z26" s="122" t="str">
        <f t="shared" ca="1" si="2"/>
        <v/>
      </c>
      <c r="AA26" s="122" t="str">
        <f t="shared" ca="1" si="3"/>
        <v/>
      </c>
      <c r="AB26" s="122" t="str">
        <f t="array" aca="1" ref="AB26" ca="1">IF($R26&lt;&gt;"",
IF(AND(COUNTIF(INDIRECT("B"&amp;R26&amp;""),"*雙葉*"),COUNTIF(INDIRECT("B"&amp;R26&amp;""),"&lt;&gt;*先生*"),COUNTIF(B:B,"*雙葉*")&gt;=2),
INDIRECT("M"&amp;R26&amp;"")+INDIRECT("M"&amp;MATCH("雙葉'",INDIRECT("B"&amp;R26+1&amp;":B210"),0)+R26&amp;""),
IF(AND(LEFT(INDIRECT("B"&amp;R26&amp;""),2)="博多",COUNTIF(B:B,"*博多*")&gt;=2),
INDIRECT("M"&amp;R26&amp;"")+INDIRECT("M"&amp;MATCH("*"&amp;INDIRECT("B"&amp;R26&amp;"")&amp;"*",INDIRECT("B"&amp;R26+1&amp;":B210"),0)+R26&amp;""),
IF(AND(LEFT(INDIRECT("B"&amp;R26&amp;""),3)="奈良屋",COUNTIF(B:B,"*奈良屋*")&gt;=2),
INDIRECT("M"&amp;R26&amp;"")+INDIRECT("M"&amp;MATCH("*"&amp;INDIRECT("B"&amp;R26&amp;"")&amp;"*",INDIRECT("B"&amp;R26+1&amp;":B210"),0)+R26&amp;"")
+INDIRECT("M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,
INDIRECT("M"&amp;R26&amp;"")))),"")</f>
        <v/>
      </c>
      <c r="AC26" s="122" t="str">
        <f t="shared" ca="1" si="4"/>
        <v/>
      </c>
      <c r="AD26" s="176" t="str">
        <f t="shared" ca="1" si="5"/>
        <v/>
      </c>
      <c r="AE26" s="176" t="str">
        <f t="shared" ca="1" si="6"/>
        <v/>
      </c>
      <c r="AF26" s="176" t="str">
        <f t="shared" ca="1" si="7"/>
        <v/>
      </c>
      <c r="AG26" s="176" t="str">
        <f t="shared" ca="1" si="8"/>
        <v/>
      </c>
      <c r="AH26" s="183" t="str">
        <f t="shared" ca="1" si="9"/>
        <v/>
      </c>
      <c r="AI26" s="176" t="str">
        <f t="shared" ca="1" si="10"/>
        <v/>
      </c>
      <c r="AJ26" s="176" t="str">
        <f t="shared" ca="1" si="11"/>
        <v/>
      </c>
      <c r="AK26" s="176" t="str">
        <f t="shared" ca="1" si="12"/>
        <v/>
      </c>
      <c r="AL26" s="176" t="str">
        <f t="shared" ca="1" si="13"/>
        <v/>
      </c>
      <c r="AM26" s="176" t="str">
        <f t="shared" ca="1" si="14"/>
        <v/>
      </c>
      <c r="AN26" s="176" t="str">
        <f t="shared" ca="1" si="15"/>
        <v/>
      </c>
      <c r="AO26" s="176" t="str">
        <f t="shared" ca="1" si="16"/>
        <v/>
      </c>
      <c r="AP26" s="176" t="str">
        <f t="shared" ca="1" si="17"/>
        <v/>
      </c>
      <c r="AU26" s="176" t="str">
        <f t="shared" ca="1" si="18"/>
        <v/>
      </c>
      <c r="AW26" s="106" t="str">
        <f ca="1">IFERROR(IF(AF26&lt;&gt;"",OFFSET('数出表_Excel（アレルギー入力）'!$A$1,MATCH(AF26,'数出表_Excel（アレルギー入力）'!A:A,0)-2,0),""),"")</f>
        <v/>
      </c>
      <c r="AX26" s="106" t="str">
        <f ca="1">IF(AW26&lt;&gt;"",
OFFSET(得意先マスタ!$A$1,MATCH(AW26,得意先マスタ!A:A,0)-1,24),"")</f>
        <v/>
      </c>
      <c r="AY26" s="57">
        <f t="shared" ca="1" si="21"/>
        <v>0</v>
      </c>
      <c r="AZ26" s="57">
        <f ca="1">IF(AX26&lt;&gt;0,
IF(AW26=AW27,
0,IF(COUNTIF(AX26,"*.*"),
IF(COUNTIF(AX26,"*.*")=1,MID(AX26, FIND(".", AX26) + 1,LEN(AX26) - FIND(".", AX26)),
MID(AX26, FIND(".", AX26) + 1, FIND(".", AX26, FIND(".", AX26) + 1) - FIND(".", AX26) - 1)),0)),0)</f>
        <v>0</v>
      </c>
      <c r="BA26" s="57">
        <f ca="1">IF(AX26&lt;&gt;0,
IF(AW26=AW28,0,IF(COUNTIF(AX26,"*.*"),
IF(COUNTIF(AX26,"*.*")=1,"",RIGHT(AX26, LEN(AX26) - FIND(".", AX26, FIND(".", AX26) + 1))),0)),0)</f>
        <v>0</v>
      </c>
      <c r="BB26" s="176">
        <f t="shared" ca="1" si="24"/>
        <v>0</v>
      </c>
    </row>
    <row r="27" spans="1:54" ht="22.2" customHeight="1">
      <c r="A27" s="101">
        <f t="shared" si="19"/>
        <v>59</v>
      </c>
      <c r="B27" s="45" t="str">
        <f t="shared" si="20"/>
        <v/>
      </c>
      <c r="C27" s="45" t="str">
        <f>IF(OR(クライアント抽出!B27&lt;&gt;"",クライアント抽出!E27&lt;&gt;""),クライアント抽出!A27,"")</f>
        <v/>
      </c>
      <c r="D27" s="45" t="str">
        <f t="array" aca="1" ref="D27" ca="1">IF(C27&lt;&gt;"",INDIRECT("クライアント抽出!"&amp;E27&amp;MATCH(C27,クライアント抽出!A:A,0)&amp;""),"")</f>
        <v/>
      </c>
      <c r="E27" s="45" t="str">
        <f>IF(H27&lt;&gt;0,
IFERROR(
SUBSTITUTE(ADDRESS(1,
MATCH(VALUE(H27),クライアント抽出!A27:G27,0)+8,4),"1",""),
""),
IFERROR(
SUBSTITUTE(ADDRESS(1,
MATCH(VALUE(I27),クライアント抽出!A27:G27,0)+8,4),"1",""),
""))</f>
        <v/>
      </c>
      <c r="F27" s="184" t="str">
        <f ca="1">IF(D27&lt;&gt;"",
IF(COUNTIF(C27,"*雙葉*"),
IF(ROUND((H27-M27)
/IF(COUNTIF(D27,"*キャラ*"),
VLOOKUP("*キャラ*",商品マスタ!$D:$E,2,FALSE),
IF(COUNTIF(D27,"*赤*"),
VLOOKUP("*赤*",商品マスタ!$D:$E,2,FALSE),
VLOOKUP("*"&amp;D27&amp;"*",商品マスタ!$D:$E,2,FALSE))),0)&lt;=0,1,
ROUND((H27-M27)
/IF(COUNTIF(D27,"*キャラ*"),
VLOOKUP("*キャラ*",商品マスタ!$D:$E,2,FALSE),
IF(COUNTIF(D27,"*赤*"),
VLOOKUP("*赤*",商品マスタ!$D:$E,2,FALSE),
VLOOKUP("*"&amp;D27&amp;"*",商品マスタ!$D:$E,2,FALSE))),0)),
IF(OR(COUNTIF(D27,"*キャラ*"),COUNTIF(D27,"*赤*")),"",
IF(VLOOKUP("*"&amp;D27&amp;"*",商品マスタ!$D:$E,2,FALSE)=0,"",
IF(ROUND((H27-M27)
/VLOOKUP("*"&amp;D27&amp;"*",商品マスタ!$D:$E,2,FALSE),0)&lt;=0,1,
ROUND((H27-M27)
/VLOOKUP("*"&amp;D27&amp;"*",商品マスタ!$D:$E,2,FALSE),0))))),"")</f>
        <v/>
      </c>
      <c r="G27" s="45" t="str">
        <f ca="1">IF(F27&lt;&gt;"",
IF(VALUE(H27-M27)&gt;VALUE(IF(COUNTIF(D27,"*キャラ*"),
VLOOKUP("*キャラ*",商品マスタ!$D:$E,2,FALSE),
IF(COUNTIF(D27,"*赤*"),
VLOOKUP("*赤*",商品マスタ!$D:$E,2,FALSE),
VLOOKUP("*"&amp;D27&amp;"*",商品マスタ!$D:$E,2,FALSE)))*F27),
"+"&amp;(H27-M27)-IF(COUNTIF(D27,"*キャラ*"),
VLOOKUP("*キャラ*",商品マスタ!$D:$E,2,FALSE),
IF(COUNTIF(D27,"*赤*"),
VLOOKUP("*赤*",商品マスタ!$D:$E,2,FALSE),
VLOOKUP("*"&amp;D27&amp;"*",商品マスタ!$D:$E,2,FALSE)))*F27,
(H27-M27)-IF(COUNTIF(D27,"*キャラ*"),
VLOOKUP("*キャラ*",商品マスタ!$D:$E,2,FALSE),
IF(COUNTIF(D27,"*赤*"),
VLOOKUP("*赤*",商品マスタ!$D:$E,2,FALSE),
VLOOKUP("*"&amp;D27&amp;"*",商品マスタ!$D:$E,2,FALSE)))*F27),"")</f>
        <v/>
      </c>
      <c r="H27" s="99" t="str">
        <f>IF(C27&lt;&gt;"",
クライアント抽出!B27,"")</f>
        <v/>
      </c>
      <c r="I27" s="45" t="str">
        <f t="array" aca="1" ref="I27" ca="1">IF(C27&lt;&gt;"",
IF(O27=1,
IF(SUMPRODUCT(COUNTIF(クライアント抽出!P27:U27,クライアント抽出!P27:U27))&gt;COUNTA(クライアント抽出!P27:U27),
IFERROR(INDIRECT("数出表_Excel!"&amp;INDEX(_xlfn.UNIQUE(_xlfn._xlws.FILTER(クライアント抽出!P27:U27,COUNTIF(クライアント抽出!P27:U27,クライアント抽出!P27:U27)&gt;1)),1)&amp;L27&amp;""),
クライアント抽出!E27),0),クライアント抽出!E27),"")</f>
        <v/>
      </c>
      <c r="J27" s="45" t="str">
        <f>IF(C27&lt;&gt;"",
VLOOKUP(
"*"&amp;LEFT(IF(COUNTIF(D27,"*学食*"),"キャラ弁（学食）",
IF(COUNTIF(D27,"*赤*"),"赤",
IF(COUNTIF(D27,"*キャラ弁当*"),"キャラ弁当",D27))),4)&amp;"*",注文弁当の抽出!$F$1:$G$15,2,FALSE),"")</f>
        <v/>
      </c>
      <c r="K27" s="45" t="str">
        <f ca="1">IF(クライアント抽出!P27&lt;&gt;"",SUBSTITUTE(ADDRESS(1,(CODE(クライアント抽出!P27)-64)*2-1,4),"1",""),"")</f>
        <v/>
      </c>
      <c r="L27" s="45" t="str">
        <f>IF(C27&lt;&gt;"",クライアント抽出!I27,"")</f>
        <v/>
      </c>
      <c r="M27" s="45">
        <f t="array" aca="1" ref="M27" ca="1">IF(C27&lt;&gt;"",
IF(K27&lt;&gt;"",INDIRECT("'数出表_Excel（アレルギー入力）'!"&amp;K27&amp;L27-1&amp;""),),)</f>
        <v>0</v>
      </c>
      <c r="N27" s="45" t="str">
        <f>IF(C27&lt;&gt;"",IF(OR(COUNTIF('盛付札（関数）'!D27,"*赤*"),COUNTIF('盛付札（関数）'!D27,"*キャラ*")),1,
VALUE(VLOOKUP("*"&amp;D27&amp;"*",商品マスタ!D:H,5,FALSE))),"")</f>
        <v/>
      </c>
      <c r="O27" s="45">
        <f ca="1">IF(LEN(クライアント抽出!V27)-LEN(SUBSTITUTE(クライアント抽出!V27,",",""))&lt;&gt;1,
IF(AND(クライアント抽出!P27&lt;&gt;"",クライアント抽出!S27&lt;&gt;""),
IF(クライアント抽出!P27&lt;&gt;クライアント抽出!S27,1,0),0),0)</f>
        <v>0</v>
      </c>
      <c r="P27" s="45">
        <f t="shared" si="0"/>
        <v>0</v>
      </c>
      <c r="Q27" s="45" t="b">
        <f t="shared" si="1"/>
        <v>0</v>
      </c>
      <c r="R27" s="122" t="str">
        <f t="array" aca="1" ref="R27" ca="1">IFERROR(SMALL(IF(P$1:P$311&lt;&gt;0,P$1:P$311),ROW(A27)),"")</f>
        <v/>
      </c>
      <c r="S27" s="122" t="str">
        <f t="array" aca="1" ref="S27" ca="1">IF($R27&lt;&gt;"",
SUBSTITUTE(SUBSTITUTE(INDIRECT("C"&amp;$R27&amp;"")," 週3ｺｰｽ","")," 週5ｺｰｽ",""),"")</f>
        <v/>
      </c>
      <c r="T27" s="122" t="str">
        <f t="array" aca="1" ref="T27" ca="1">IF(IF($R27&lt;&gt;"",
INDIRECT(""&amp;IF(COLUMN(D27)&lt;=26,CHAR(COLUMN(D27)+64),CHAR(INT((COLUMN(D27)-1)/26)+64)&amp;CHAR(MOD(COLUMN(D27)-1,26)+65))&amp;$R27&amp;""),"")=0,"",
IF($R27&lt;&gt;"",
INDIRECT(""&amp;IF(COLUMN(D27)&lt;=26,CHAR(COLUMN(D27)+64),CHAR(INT((COLUMN(D27)-1)/26)+64)&amp;CHAR(MOD(COLUMN(D27)-1,26)+65))&amp;$R27&amp;""),""))</f>
        <v/>
      </c>
      <c r="U27" s="185" t="str">
        <f t="array" aca="1" ref="U27" ca="1">IF($R27&lt;&gt;"",
INDIRECT("F"&amp;$R27&amp;""),"")</f>
        <v/>
      </c>
      <c r="V27" s="122" t="str">
        <f t="array" aca="1" ref="V27" ca="1">IF($R27&lt;&gt;"",
INDIRECT("G"&amp;$R27&amp;""),"")</f>
        <v/>
      </c>
      <c r="W27" s="122" t="str" cm="1">
        <f t="array" aca="1" ref="W27" ca="1">IF($R27&lt;&gt;"",
IF(AND(COUNTIF(INDIRECT("B"&amp;R27&amp;""),"*雙葉*"),COUNTIF($B$71:$B$210,"*雙葉*")&gt;=1),
IF(OR(COUNTIF(INDIRECT("B"&amp;R27&amp;""),"*雙葉先生*"),COUNTIF(INDIRECT("B"&amp;R27-1&amp;""),"*雙葉*")),INDIRECT("H"&amp;R27&amp;""),INDIRECT("H"&amp;R27&amp;"")+INDIRECT("H"&amp;MATCH("雙葉'",INDIRECT("B"&amp;R27+3&amp;":B210"),0)+2+R27&amp;"")),
IF(AND(LEFT(INDIRECT("B"&amp;R27&amp;""),2)="博多",COUNTIF(B:B,"*博多*")&gt;=2),
INDIRECT("H"&amp;R27&amp;"")+IFERROR(INDIRECT("H"&amp;MATCH("*"&amp;INDIRECT("B"&amp;R27&amp;"")&amp;"*",INDIRECT("B"&amp;R27+1&amp;":B210"),0)+R27&amp;""),0),
IF(AND(LEFT(INDIRECT("B"&amp;R27&amp;""),3)="奈良屋",COUNTIF(B:B,"*奈良屋*")&gt;=2),
INDIRECT("H"&amp;R27&amp;"")
+INDIRECT("H"&amp;MATCH("*"&amp;INDIRECT("B"&amp;R27&amp;"")&amp;"*",INDIRECT("B"&amp;R27+1&amp;":B210"),0)+R27&amp;"")
+INDIRECT("H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
+INDIRECT("H"&amp;MATCH("*"&amp;INDIRECT("B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&amp;"*",INDIRECT("B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+1&amp;":B210"),0)+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,
INDIRECT("H"&amp;R27&amp;"")))),"")</f>
        <v/>
      </c>
      <c r="X27" s="122" t="str">
        <f t="array" aca="1" ref="X27" ca="1">IF($R27&lt;&gt;"",
INDIRECT(""&amp;IF(COLUMN(I27)&lt;=26,CHAR(COLUMN(I27)+64),CHAR(INT((COLUMN(I27)-1)/26)+64)&amp;CHAR(MOD(COLUMN(I27)-1,26)+65))&amp;$R27&amp;""),"")</f>
        <v/>
      </c>
      <c r="Y27" s="122" t="str">
        <f t="array" aca="1" ref="Y27" ca="1">IF($R27&lt;&gt;"",
INDIRECT(""&amp;IF(COLUMN(J27)&lt;=26,CHAR(COLUMN(J27)+64),CHAR(INT((COLUMN(J27)-1)/26)+64)&amp;CHAR(MOD(COLUMN(J27)-1,26)+65))&amp;$R27&amp;""),"")</f>
        <v/>
      </c>
      <c r="Z27" s="122" t="str">
        <f t="shared" ca="1" si="2"/>
        <v/>
      </c>
      <c r="AA27" s="122" t="str">
        <f t="shared" ca="1" si="3"/>
        <v/>
      </c>
      <c r="AB27" s="122" t="str">
        <f t="array" aca="1" ref="AB27" ca="1">IF($R27&lt;&gt;"",
IF(AND(COUNTIF(INDIRECT("B"&amp;R27&amp;""),"*雙葉*"),COUNTIF(INDIRECT("B"&amp;R27&amp;""),"&lt;&gt;*先生*"),COUNTIF(B:B,"*雙葉*")&gt;=2),
INDIRECT("M"&amp;R27&amp;"")+INDIRECT("M"&amp;MATCH("雙葉'",INDIRECT("B"&amp;R27+1&amp;":B210"),0)+R27&amp;""),
IF(AND(LEFT(INDIRECT("B"&amp;R27&amp;""),2)="博多",COUNTIF(B:B,"*博多*")&gt;=2),
INDIRECT("M"&amp;R27&amp;"")+INDIRECT("M"&amp;MATCH("*"&amp;INDIRECT("B"&amp;R27&amp;"")&amp;"*",INDIRECT("B"&amp;R27+1&amp;":B210"),0)+R27&amp;""),
IF(AND(LEFT(INDIRECT("B"&amp;R27&amp;""),3)="奈良屋",COUNTIF(B:B,"*奈良屋*")&gt;=2),
INDIRECT("M"&amp;R27&amp;"")+INDIRECT("M"&amp;MATCH("*"&amp;INDIRECT("B"&amp;R27&amp;"")&amp;"*",INDIRECT("B"&amp;R27+1&amp;":B210"),0)+R27&amp;"")
+INDIRECT("M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,
INDIRECT("M"&amp;R27&amp;"")))),"")</f>
        <v/>
      </c>
      <c r="AC27" s="122" t="str">
        <f t="shared" ca="1" si="4"/>
        <v/>
      </c>
      <c r="AD27" s="176" t="str">
        <f t="shared" ca="1" si="5"/>
        <v/>
      </c>
      <c r="AE27" s="176" t="str">
        <f t="shared" ca="1" si="6"/>
        <v/>
      </c>
      <c r="AF27" s="176" t="str">
        <f t="shared" ca="1" si="7"/>
        <v/>
      </c>
      <c r="AG27" s="176" t="str">
        <f t="shared" ca="1" si="8"/>
        <v/>
      </c>
      <c r="AH27" s="183" t="str">
        <f t="shared" ca="1" si="9"/>
        <v/>
      </c>
      <c r="AI27" s="176" t="str">
        <f t="shared" ca="1" si="10"/>
        <v/>
      </c>
      <c r="AJ27" s="176" t="str">
        <f t="shared" ca="1" si="11"/>
        <v/>
      </c>
      <c r="AK27" s="176" t="str">
        <f t="shared" ca="1" si="12"/>
        <v/>
      </c>
      <c r="AL27" s="176" t="str">
        <f t="shared" ca="1" si="13"/>
        <v/>
      </c>
      <c r="AM27" s="176" t="str">
        <f t="shared" ca="1" si="14"/>
        <v/>
      </c>
      <c r="AN27" s="176" t="str">
        <f t="shared" ca="1" si="15"/>
        <v/>
      </c>
      <c r="AO27" s="176" t="str">
        <f t="shared" ca="1" si="16"/>
        <v/>
      </c>
      <c r="AP27" s="176" t="str">
        <f t="shared" ca="1" si="17"/>
        <v/>
      </c>
      <c r="AU27" s="176" t="str">
        <f t="shared" ca="1" si="18"/>
        <v/>
      </c>
      <c r="AW27" s="106" t="str">
        <f ca="1">IFERROR(IF(AF27&lt;&gt;"",OFFSET('数出表_Excel（アレルギー入力）'!$A$1,MATCH(AF27,'数出表_Excel（アレルギー入力）'!A:A,0)-2,0),""),"")</f>
        <v/>
      </c>
      <c r="AX27" s="106" t="str">
        <f ca="1">IF(AW27&lt;&gt;"",
OFFSET(得意先マスタ!$A$1,MATCH(AW27,得意先マスタ!A:A,0)-1,24),"")</f>
        <v/>
      </c>
      <c r="AY27" s="57">
        <f ca="1">IF(AND(AX27&lt;&gt;0,AX27&lt;&gt;""),
IF(AW27=AW26,0,IF(COUNTIF(AX27,"*.*"),LEFT(AX27, FIND(".", AX27) - 1),VALUE(AX27))),0)</f>
        <v>0</v>
      </c>
      <c r="AZ27" s="57">
        <f t="shared" ref="AZ27:AZ33" ca="1" si="27">IF(AX27&lt;&gt;0,
IF(AW27=AW28,
0,IF(COUNTIF(AX27,"*.*"),
IF(COUNTIF(AX27,"*.*")=1,MID(AX27, FIND(".", AX27) + 1,LEN(AX27) - FIND(".", AX27)),
MID(AX27, FIND(".", AX27) + 1, FIND(".", AX27, FIND(".", AX27) + 1) - FIND(".", AX27) - 1)),0)),0)</f>
        <v>0</v>
      </c>
      <c r="BA27" s="57">
        <f t="shared" ref="BA27:BA33" ca="1" si="28">IF(AX27&lt;&gt;0,
IF(AW27=AW29,0,IF(COUNTIF(AX27,"*.*"),
IF(COUNTIF(AX27,"*.*")=1,"",RIGHT(AX27, LEN(AX27) - FIND(".", AX27, FIND(".", AX27) + 1))),0)),0)</f>
        <v>0</v>
      </c>
      <c r="BB27" s="176">
        <f t="shared" ca="1" si="24"/>
        <v>0</v>
      </c>
    </row>
    <row r="28" spans="1:54" ht="21" customHeight="1">
      <c r="A28" s="101">
        <f t="shared" si="19"/>
        <v>61</v>
      </c>
      <c r="B28" s="45" t="str">
        <f t="shared" si="20"/>
        <v/>
      </c>
      <c r="C28" s="45" t="str">
        <f>IF(OR(クライアント抽出!B28&lt;&gt;"",クライアント抽出!E28&lt;&gt;""),クライアント抽出!A28,"")</f>
        <v/>
      </c>
      <c r="D28" s="45" t="str">
        <f t="array" aca="1" ref="D28" ca="1">IF(C28&lt;&gt;"",INDIRECT("クライアント抽出!"&amp;E28&amp;MATCH(C28,クライアント抽出!A:A,0)&amp;""),"")</f>
        <v/>
      </c>
      <c r="E28" s="45" t="str">
        <f>IF(H28&lt;&gt;0,
IFERROR(
SUBSTITUTE(ADDRESS(1,
MATCH(VALUE(H28),クライアント抽出!A28:G28,0)+8,4),"1",""),
""),
IFERROR(
SUBSTITUTE(ADDRESS(1,
MATCH(VALUE(I28),クライアント抽出!A28:G28,0)+8,4),"1",""),
""))</f>
        <v/>
      </c>
      <c r="F28" s="184" t="str">
        <f ca="1">IF(D28&lt;&gt;"",
IF(COUNTIF(C28,"*雙葉*"),
IF(ROUND((H28-M28)
/IF(COUNTIF(D28,"*キャラ*"),
VLOOKUP("*キャラ*",商品マスタ!$D:$E,2,FALSE),
IF(COUNTIF(D28,"*赤*"),
VLOOKUP("*赤*",商品マスタ!$D:$E,2,FALSE),
VLOOKUP("*"&amp;D28&amp;"*",商品マスタ!$D:$E,2,FALSE))),0)&lt;=0,1,
ROUND((H28-M28)
/IF(COUNTIF(D28,"*キャラ*"),
VLOOKUP("*キャラ*",商品マスタ!$D:$E,2,FALSE),
IF(COUNTIF(D28,"*赤*"),
VLOOKUP("*赤*",商品マスタ!$D:$E,2,FALSE),
VLOOKUP("*"&amp;D28&amp;"*",商品マスタ!$D:$E,2,FALSE))),0)),
IF(OR(COUNTIF(D28,"*キャラ*"),COUNTIF(D28,"*赤*")),"",
IF(VLOOKUP("*"&amp;D28&amp;"*",商品マスタ!$D:$E,2,FALSE)=0,"",
IF(ROUND((H28-M28)
/VLOOKUP("*"&amp;D28&amp;"*",商品マスタ!$D:$E,2,FALSE),0)&lt;=0,1,
ROUND((H28-M28)
/VLOOKUP("*"&amp;D28&amp;"*",商品マスタ!$D:$E,2,FALSE),0))))),"")</f>
        <v/>
      </c>
      <c r="G28" s="45" t="str">
        <f ca="1">IF(F28&lt;&gt;"",
IF(VALUE(H28-M28)&gt;VALUE(IF(COUNTIF(D28,"*キャラ*"),
VLOOKUP("*キャラ*",商品マスタ!$D:$E,2,FALSE),
IF(COUNTIF(D28,"*赤*"),
VLOOKUP("*赤*",商品マスタ!$D:$E,2,FALSE),
VLOOKUP("*"&amp;D28&amp;"*",商品マスタ!$D:$E,2,FALSE)))*F28),
"+"&amp;(H28-M28)-IF(COUNTIF(D28,"*キャラ*"),
VLOOKUP("*キャラ*",商品マスタ!$D:$E,2,FALSE),
IF(COUNTIF(D28,"*赤*"),
VLOOKUP("*赤*",商品マスタ!$D:$E,2,FALSE),
VLOOKUP("*"&amp;D28&amp;"*",商品マスタ!$D:$E,2,FALSE)))*F28,
(H28-M28)-IF(COUNTIF(D28,"*キャラ*"),
VLOOKUP("*キャラ*",商品マスタ!$D:$E,2,FALSE),
IF(COUNTIF(D28,"*赤*"),
VLOOKUP("*赤*",商品マスタ!$D:$E,2,FALSE),
VLOOKUP("*"&amp;D28&amp;"*",商品マスタ!$D:$E,2,FALSE)))*F28),"")</f>
        <v/>
      </c>
      <c r="H28" s="99" t="str">
        <f>IF(C28&lt;&gt;"",
クライアント抽出!B28,"")</f>
        <v/>
      </c>
      <c r="I28" s="45" t="str">
        <f t="array" aca="1" ref="I28" ca="1">IF(C28&lt;&gt;"",
IF(O28=1,
IF(SUMPRODUCT(COUNTIF(クライアント抽出!P28:U28,クライアント抽出!P28:U28))&gt;COUNTA(クライアント抽出!P28:U28),
IFERROR(INDIRECT("数出表_Excel!"&amp;INDEX(_xlfn.UNIQUE(_xlfn._xlws.FILTER(クライアント抽出!P28:U28,COUNTIF(クライアント抽出!P28:U28,クライアント抽出!P28:U28)&gt;1)),1)&amp;L28&amp;""),
クライアント抽出!E28),0),クライアント抽出!E28),"")</f>
        <v/>
      </c>
      <c r="J28" s="45" t="str">
        <f>IF(C28&lt;&gt;"",
VLOOKUP(
"*"&amp;LEFT(IF(COUNTIF(D28,"*学食*"),"キャラ弁（学食）",
IF(COUNTIF(D28,"*赤*"),"赤",
IF(COUNTIF(D28,"*キャラ弁当*"),"キャラ弁当",D28))),4)&amp;"*",注文弁当の抽出!$F$1:$G$15,2,FALSE),"")</f>
        <v/>
      </c>
      <c r="K28" s="45" t="str">
        <f ca="1">IF(クライアント抽出!P28&lt;&gt;"",SUBSTITUTE(ADDRESS(1,(CODE(クライアント抽出!P28)-64)*2-1,4),"1",""),"")</f>
        <v/>
      </c>
      <c r="L28" s="45" t="str">
        <f>IF(C28&lt;&gt;"",クライアント抽出!I28,"")</f>
        <v/>
      </c>
      <c r="M28" s="45">
        <f t="array" aca="1" ref="M28" ca="1">IF(C28&lt;&gt;"",
IF(K28&lt;&gt;"",INDIRECT("'数出表_Excel（アレルギー入力）'!"&amp;K28&amp;L28-1&amp;""),),)</f>
        <v>0</v>
      </c>
      <c r="N28" s="45" t="str">
        <f>IF(C28&lt;&gt;"",IF(OR(COUNTIF('盛付札（関数）'!D28,"*赤*"),COUNTIF('盛付札（関数）'!D28,"*キャラ*")),1,
VALUE(VLOOKUP("*"&amp;D28&amp;"*",商品マスタ!D:H,5,FALSE))),"")</f>
        <v/>
      </c>
      <c r="O28" s="45">
        <f ca="1">IF(LEN(クライアント抽出!V28)-LEN(SUBSTITUTE(クライアント抽出!V28,",",""))&lt;&gt;1,
IF(AND(クライアント抽出!P28&lt;&gt;"",クライアント抽出!S28&lt;&gt;""),
IF(クライアント抽出!P28&lt;&gt;クライアント抽出!S28,1,0),0),0)</f>
        <v>0</v>
      </c>
      <c r="P28" s="45">
        <f t="shared" si="0"/>
        <v>0</v>
      </c>
      <c r="Q28" s="45" t="b">
        <f t="shared" si="1"/>
        <v>0</v>
      </c>
      <c r="R28" s="122" t="str">
        <f t="array" aca="1" ref="R28" ca="1">IFERROR(SMALL(IF(P$1:P$311&lt;&gt;0,P$1:P$311),ROW(A28)),"")</f>
        <v/>
      </c>
      <c r="S28" s="122" t="str">
        <f t="array" aca="1" ref="S28" ca="1">IF($R28&lt;&gt;"",
SUBSTITUTE(SUBSTITUTE(INDIRECT("C"&amp;$R28&amp;"")," 週3ｺｰｽ","")," 週5ｺｰｽ",""),"")</f>
        <v/>
      </c>
      <c r="T28" s="122" t="str">
        <f t="array" aca="1" ref="T28" ca="1">IF(IF($R28&lt;&gt;"",
INDIRECT(""&amp;IF(COLUMN(D28)&lt;=26,CHAR(COLUMN(D28)+64),CHAR(INT((COLUMN(D28)-1)/26)+64)&amp;CHAR(MOD(COLUMN(D28)-1,26)+65))&amp;$R28&amp;""),"")=0,"",
IF($R28&lt;&gt;"",
INDIRECT(""&amp;IF(COLUMN(D28)&lt;=26,CHAR(COLUMN(D28)+64),CHAR(INT((COLUMN(D28)-1)/26)+64)&amp;CHAR(MOD(COLUMN(D28)-1,26)+65))&amp;$R28&amp;""),""))</f>
        <v/>
      </c>
      <c r="U28" s="185" t="str">
        <f t="array" aca="1" ref="U28" ca="1">IF($R28&lt;&gt;"",
INDIRECT("F"&amp;$R28&amp;""),"")</f>
        <v/>
      </c>
      <c r="V28" s="122" t="str">
        <f t="array" aca="1" ref="V28" ca="1">IF($R28&lt;&gt;"",
INDIRECT("G"&amp;$R28&amp;""),"")</f>
        <v/>
      </c>
      <c r="W28" s="122" t="str" cm="1">
        <f t="array" aca="1" ref="W28" ca="1">IF($R28&lt;&gt;"",
IF(AND(COUNTIF(INDIRECT("B"&amp;R28&amp;""),"*雙葉*"),COUNTIF($B$71:$B$210,"*雙葉*")&gt;=1),
IF(OR(COUNTIF(INDIRECT("B"&amp;R28&amp;""),"*雙葉先生*"),COUNTIF(INDIRECT("B"&amp;R28-1&amp;""),"*雙葉*")),INDIRECT("H"&amp;R28&amp;""),INDIRECT("H"&amp;R28&amp;"")+INDIRECT("H"&amp;MATCH("雙葉'",INDIRECT("B"&amp;R28+3&amp;":B210"),0)+2+R28&amp;"")),
IF(AND(LEFT(INDIRECT("B"&amp;R28&amp;""),2)="博多",COUNTIF(B:B,"*博多*")&gt;=2),
INDIRECT("H"&amp;R28&amp;"")+IFERROR(INDIRECT("H"&amp;MATCH("*"&amp;INDIRECT("B"&amp;R28&amp;"")&amp;"*",INDIRECT("B"&amp;R28+1&amp;":B210"),0)+R28&amp;""),0),
IF(AND(LEFT(INDIRECT("B"&amp;R28&amp;""),3)="奈良屋",COUNTIF(B:B,"*奈良屋*")&gt;=2),
INDIRECT("H"&amp;R28&amp;"")
+INDIRECT("H"&amp;MATCH("*"&amp;INDIRECT("B"&amp;R28&amp;"")&amp;"*",INDIRECT("B"&amp;R28+1&amp;":B210"),0)+R28&amp;"")
+INDIRECT("H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
+INDIRECT("H"&amp;MATCH("*"&amp;INDIRECT("B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&amp;"*",INDIRECT("B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+1&amp;":B210"),0)+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,
INDIRECT("H"&amp;R28&amp;"")))),"")</f>
        <v/>
      </c>
      <c r="X28" s="122" t="str">
        <f t="array" aca="1" ref="X28" ca="1">IF($R28&lt;&gt;"",
INDIRECT(""&amp;IF(COLUMN(I28)&lt;=26,CHAR(COLUMN(I28)+64),CHAR(INT((COLUMN(I28)-1)/26)+64)&amp;CHAR(MOD(COLUMN(I28)-1,26)+65))&amp;$R28&amp;""),"")</f>
        <v/>
      </c>
      <c r="Y28" s="122" t="str">
        <f t="array" aca="1" ref="Y28" ca="1">IF($R28&lt;&gt;"",
INDIRECT(""&amp;IF(COLUMN(J28)&lt;=26,CHAR(COLUMN(J28)+64),CHAR(INT((COLUMN(J28)-1)/26)+64)&amp;CHAR(MOD(COLUMN(J28)-1,26)+65))&amp;$R28&amp;""),"")</f>
        <v/>
      </c>
      <c r="Z28" s="122" t="str">
        <f t="shared" ca="1" si="2"/>
        <v/>
      </c>
      <c r="AA28" s="122" t="str">
        <f t="shared" ca="1" si="3"/>
        <v/>
      </c>
      <c r="AB28" s="122" t="str">
        <f t="array" aca="1" ref="AB28" ca="1">IF($R28&lt;&gt;"",
IF(AND(COUNTIF(INDIRECT("B"&amp;R28&amp;""),"*雙葉*"),COUNTIF(INDIRECT("B"&amp;R28&amp;""),"&lt;&gt;*先生*"),COUNTIF(B:B,"*雙葉*")&gt;=2),
INDIRECT("M"&amp;R28&amp;"")+INDIRECT("M"&amp;MATCH("雙葉'",INDIRECT("B"&amp;R28+1&amp;":B210"),0)+R28&amp;""),
IF(AND(LEFT(INDIRECT("B"&amp;R28&amp;""),2)="博多",COUNTIF(B:B,"*博多*")&gt;=2),
INDIRECT("M"&amp;R28&amp;"")+INDIRECT("M"&amp;MATCH("*"&amp;INDIRECT("B"&amp;R28&amp;"")&amp;"*",INDIRECT("B"&amp;R28+1&amp;":B210"),0)+R28&amp;""),
IF(AND(LEFT(INDIRECT("B"&amp;R28&amp;""),3)="奈良屋",COUNTIF(B:B,"*奈良屋*")&gt;=2),
INDIRECT("M"&amp;R28&amp;"")+INDIRECT("M"&amp;MATCH("*"&amp;INDIRECT("B"&amp;R28&amp;"")&amp;"*",INDIRECT("B"&amp;R28+1&amp;":B210"),0)+R28&amp;"")
+INDIRECT("M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,
INDIRECT("M"&amp;R28&amp;"")))),"")</f>
        <v/>
      </c>
      <c r="AC28" s="122" t="str">
        <f t="shared" ca="1" si="4"/>
        <v/>
      </c>
      <c r="AD28" s="176" t="str">
        <f t="shared" ca="1" si="5"/>
        <v/>
      </c>
      <c r="AE28" s="176" t="str">
        <f t="shared" ca="1" si="6"/>
        <v/>
      </c>
      <c r="AF28" s="176" t="str">
        <f t="shared" ca="1" si="7"/>
        <v/>
      </c>
      <c r="AG28" s="176" t="str">
        <f t="shared" ca="1" si="8"/>
        <v/>
      </c>
      <c r="AH28" s="183" t="str">
        <f t="shared" ca="1" si="9"/>
        <v/>
      </c>
      <c r="AI28" s="176" t="str">
        <f t="shared" ca="1" si="10"/>
        <v/>
      </c>
      <c r="AJ28" s="176" t="str">
        <f t="shared" ca="1" si="11"/>
        <v/>
      </c>
      <c r="AK28" s="176" t="str">
        <f t="shared" ca="1" si="12"/>
        <v/>
      </c>
      <c r="AL28" s="176" t="str">
        <f t="shared" ca="1" si="13"/>
        <v/>
      </c>
      <c r="AM28" s="176" t="str">
        <f t="shared" ca="1" si="14"/>
        <v/>
      </c>
      <c r="AN28" s="176" t="str">
        <f t="shared" ca="1" si="15"/>
        <v/>
      </c>
      <c r="AO28" s="176" t="str">
        <f t="shared" ca="1" si="16"/>
        <v/>
      </c>
      <c r="AP28" s="176" t="str">
        <f t="shared" ca="1" si="17"/>
        <v/>
      </c>
      <c r="AU28" s="176" t="str">
        <f t="shared" ca="1" si="18"/>
        <v/>
      </c>
      <c r="AW28" s="106" t="str">
        <f ca="1">IFERROR(IF(AF28&lt;&gt;"",OFFSET('数出表_Excel（アレルギー入力）'!$A$1,MATCH(AF28,'数出表_Excel（アレルギー入力）'!A:A,0)-2,0),""),"")</f>
        <v/>
      </c>
      <c r="AX28" s="106" t="str">
        <f ca="1">IF(AW28&lt;&gt;"",
OFFSET(得意先マスタ!$A$1,MATCH(AW28,得意先マスタ!A:A,0)-1,24),"")</f>
        <v/>
      </c>
      <c r="AY28" s="57">
        <f t="shared" ca="1" si="21"/>
        <v>0</v>
      </c>
      <c r="AZ28" s="57">
        <f t="shared" ref="AZ28:AZ70" ca="1" si="29">IF(AX28&lt;&gt;0,
IF(AW28=AW29,
0,IF(COUNTIF(AX28,"*.*"),
IF(COUNTIF(AX28,"*.*")=1,MID(AX28, FIND(".", AX28) + 1,LEN(AX28) - FIND(".", AX28)),
MID(AX28, FIND(".", AX28) + 1, FIND(".", AX28, FIND(".", AX28) + 1) - FIND(".", AX28) - 1)),0)),0)</f>
        <v>0</v>
      </c>
      <c r="BA28" s="57">
        <f t="shared" ref="BA28:BA70" ca="1" si="30">IF(AX28&lt;&gt;0,
IF(AW28=AW30,0,IF(COUNTIF(AX28,"*.*"),
IF(COUNTIF(AX28,"*.*")=1,"",RIGHT(AX28, LEN(AX28) - FIND(".", AX28, FIND(".", AX28) + 1))),0)),0)</f>
        <v>0</v>
      </c>
      <c r="BB28" s="176">
        <f t="shared" ca="1" si="24"/>
        <v>0</v>
      </c>
    </row>
    <row r="29" spans="1:54" ht="18" customHeight="1">
      <c r="A29" s="101">
        <f t="shared" si="19"/>
        <v>63</v>
      </c>
      <c r="B29" s="45" t="str">
        <f t="shared" si="20"/>
        <v/>
      </c>
      <c r="C29" s="45" t="str">
        <f>IF(OR(クライアント抽出!B29&lt;&gt;"",クライアント抽出!E29&lt;&gt;""),クライアント抽出!A29,"")</f>
        <v/>
      </c>
      <c r="D29" s="45" t="str">
        <f t="array" aca="1" ref="D29" ca="1">IF(C29&lt;&gt;"",INDIRECT("クライアント抽出!"&amp;E29&amp;MATCH(C29,クライアント抽出!A:A,0)&amp;""),"")</f>
        <v/>
      </c>
      <c r="E29" s="45" t="str">
        <f>IF(H29&lt;&gt;0,
IFERROR(
SUBSTITUTE(ADDRESS(1,
MATCH(VALUE(H29),クライアント抽出!A29:G29,0)+8,4),"1",""),
""),
IFERROR(
SUBSTITUTE(ADDRESS(1,
MATCH(VALUE(I29),クライアント抽出!A29:G29,0)+8,4),"1",""),
""))</f>
        <v/>
      </c>
      <c r="F29" s="184" t="str">
        <f ca="1">IF(D29&lt;&gt;"",
IF(COUNTIF(C29,"*雙葉*"),
IF(ROUND((H29-M29)
/IF(COUNTIF(D29,"*キャラ*"),
VLOOKUP("*キャラ*",商品マスタ!$D:$E,2,FALSE),
IF(COUNTIF(D29,"*赤*"),
VLOOKUP("*赤*",商品マスタ!$D:$E,2,FALSE),
VLOOKUP("*"&amp;D29&amp;"*",商品マスタ!$D:$E,2,FALSE))),0)&lt;=0,1,
ROUND((H29-M29)
/IF(COUNTIF(D29,"*キャラ*"),
VLOOKUP("*キャラ*",商品マスタ!$D:$E,2,FALSE),
IF(COUNTIF(D29,"*赤*"),
VLOOKUP("*赤*",商品マスタ!$D:$E,2,FALSE),
VLOOKUP("*"&amp;D29&amp;"*",商品マスタ!$D:$E,2,FALSE))),0)),
IF(OR(COUNTIF(D29,"*キャラ*"),COUNTIF(D29,"*赤*")),"",
IF(VLOOKUP("*"&amp;D29&amp;"*",商品マスタ!$D:$E,2,FALSE)=0,"",
IF(ROUND((H29-M29)
/VLOOKUP("*"&amp;D29&amp;"*",商品マスタ!$D:$E,2,FALSE),0)&lt;=0,1,
ROUND((H29-M29)
/VLOOKUP("*"&amp;D29&amp;"*",商品マスタ!$D:$E,2,FALSE),0))))),"")</f>
        <v/>
      </c>
      <c r="G29" s="45" t="str">
        <f ca="1">IF(F29&lt;&gt;"",
IF(VALUE(H29-M29)&gt;VALUE(IF(COUNTIF(D29,"*キャラ*"),
VLOOKUP("*キャラ*",商品マスタ!$D:$E,2,FALSE),
IF(COUNTIF(D29,"*赤*"),
VLOOKUP("*赤*",商品マスタ!$D:$E,2,FALSE),
VLOOKUP("*"&amp;D29&amp;"*",商品マスタ!$D:$E,2,FALSE)))*F29),
"+"&amp;(H29-M29)-IF(COUNTIF(D29,"*キャラ*"),
VLOOKUP("*キャラ*",商品マスタ!$D:$E,2,FALSE),
IF(COUNTIF(D29,"*赤*"),
VLOOKUP("*赤*",商品マスタ!$D:$E,2,FALSE),
VLOOKUP("*"&amp;D29&amp;"*",商品マスタ!$D:$E,2,FALSE)))*F29,
(H29-M29)-IF(COUNTIF(D29,"*キャラ*"),
VLOOKUP("*キャラ*",商品マスタ!$D:$E,2,FALSE),
IF(COUNTIF(D29,"*赤*"),
VLOOKUP("*赤*",商品マスタ!$D:$E,2,FALSE),
VLOOKUP("*"&amp;D29&amp;"*",商品マスタ!$D:$E,2,FALSE)))*F29),"")</f>
        <v/>
      </c>
      <c r="H29" s="99" t="str">
        <f>IF(C29&lt;&gt;"",
クライアント抽出!B29,"")</f>
        <v/>
      </c>
      <c r="I29" s="45" t="str">
        <f t="array" aca="1" ref="I29" ca="1">IF(C29&lt;&gt;"",
IF(O29=1,
IF(SUMPRODUCT(COUNTIF(クライアント抽出!P29:U29,クライアント抽出!P29:U29))&gt;COUNTA(クライアント抽出!P29:U29),
IFERROR(INDIRECT("数出表_Excel!"&amp;INDEX(_xlfn.UNIQUE(_xlfn._xlws.FILTER(クライアント抽出!P29:U29,COUNTIF(クライアント抽出!P29:U29,クライアント抽出!P29:U29)&gt;1)),1)&amp;L29&amp;""),
クライアント抽出!E29),0),クライアント抽出!E29),"")</f>
        <v/>
      </c>
      <c r="J29" s="45" t="str">
        <f>IF(C29&lt;&gt;"",
VLOOKUP(
"*"&amp;LEFT(IF(COUNTIF(D29,"*学食*"),"キャラ弁（学食）",
IF(COUNTIF(D29,"*赤*"),"赤",
IF(COUNTIF(D29,"*キャラ弁当*"),"キャラ弁当",D29))),4)&amp;"*",注文弁当の抽出!$F$1:$G$15,2,FALSE),"")</f>
        <v/>
      </c>
      <c r="K29" s="45" t="str">
        <f ca="1">IF(クライアント抽出!P29&lt;&gt;"",SUBSTITUTE(ADDRESS(1,(CODE(クライアント抽出!P29)-64)*2-1,4),"1",""),"")</f>
        <v/>
      </c>
      <c r="L29" s="45" t="str">
        <f>IF(C29&lt;&gt;"",クライアント抽出!I29,"")</f>
        <v/>
      </c>
      <c r="M29" s="45">
        <f t="array" aca="1" ref="M29" ca="1">IF(C29&lt;&gt;"",
IF(K29&lt;&gt;"",INDIRECT("'数出表_Excel（アレルギー入力）'!"&amp;K29&amp;L29-1&amp;""),),)</f>
        <v>0</v>
      </c>
      <c r="N29" s="45" t="str">
        <f>IF(C29&lt;&gt;"",IF(OR(COUNTIF('盛付札（関数）'!D29,"*赤*"),COUNTIF('盛付札（関数）'!D29,"*キャラ*")),1,
VALUE(VLOOKUP("*"&amp;D29&amp;"*",商品マスタ!D:H,5,FALSE))),"")</f>
        <v/>
      </c>
      <c r="O29" s="45">
        <f ca="1">IF(LEN(クライアント抽出!V29)-LEN(SUBSTITUTE(クライアント抽出!V29,",",""))&lt;&gt;1,
IF(AND(クライアント抽出!P29&lt;&gt;"",クライアント抽出!S29&lt;&gt;""),
IF(クライアント抽出!P29&lt;&gt;クライアント抽出!S29,1,0),0),0)</f>
        <v>0</v>
      </c>
      <c r="P29" s="45">
        <f t="shared" si="0"/>
        <v>0</v>
      </c>
      <c r="Q29" s="45" t="b">
        <f t="shared" si="1"/>
        <v>0</v>
      </c>
      <c r="R29" s="122" t="str">
        <f t="array" aca="1" ref="R29" ca="1">IFERROR(SMALL(IF(P$1:P$311&lt;&gt;0,P$1:P$311),ROW(A29)),"")</f>
        <v/>
      </c>
      <c r="S29" s="122" t="str">
        <f t="array" aca="1" ref="S29" ca="1">IF($R29&lt;&gt;"",
SUBSTITUTE(SUBSTITUTE(INDIRECT("C"&amp;$R29&amp;"")," 週3ｺｰｽ","")," 週5ｺｰｽ",""),"")</f>
        <v/>
      </c>
      <c r="T29" s="122" t="str">
        <f t="array" aca="1" ref="T29" ca="1">IF(IF($R29&lt;&gt;"",
INDIRECT(""&amp;IF(COLUMN(D29)&lt;=26,CHAR(COLUMN(D29)+64),CHAR(INT((COLUMN(D29)-1)/26)+64)&amp;CHAR(MOD(COLUMN(D29)-1,26)+65))&amp;$R29&amp;""),"")=0,"",
IF($R29&lt;&gt;"",
INDIRECT(""&amp;IF(COLUMN(D29)&lt;=26,CHAR(COLUMN(D29)+64),CHAR(INT((COLUMN(D29)-1)/26)+64)&amp;CHAR(MOD(COLUMN(D29)-1,26)+65))&amp;$R29&amp;""),""))</f>
        <v/>
      </c>
      <c r="U29" s="185" t="str" cm="1">
        <f t="array" aca="1" ref="U29" ca="1">IF($R29&lt;&gt;"",
INDIRECT("F"&amp;$R29&amp;""),"")</f>
        <v/>
      </c>
      <c r="V29" s="122" t="str">
        <f t="array" aca="1" ref="V29" ca="1">IF($R29&lt;&gt;"",
INDIRECT("G"&amp;$R29&amp;""),"")</f>
        <v/>
      </c>
      <c r="W29" s="122" t="str" cm="1">
        <f t="array" aca="1" ref="W29" ca="1">IF($R29&lt;&gt;"",
IF(AND(COUNTIF(INDIRECT("B"&amp;R29&amp;""),"*雙葉*"),COUNTIF($B$71:$B$210,"*雙葉*")&gt;=1),
IF(OR(COUNTIF(INDIRECT("B"&amp;R29&amp;""),"*雙葉先生*"),COUNTIF(INDIRECT("B"&amp;R29-1&amp;""),"*雙葉*")),INDIRECT("H"&amp;R29&amp;""),INDIRECT("H"&amp;R29&amp;"")+INDIRECT("H"&amp;MATCH("雙葉'",INDIRECT("B"&amp;R29+3&amp;":B210"),0)+2+R29&amp;"")),
IF(AND(LEFT(INDIRECT("B"&amp;R29&amp;""),2)="博多",COUNTIF(B:B,"*博多*")&gt;=2),
INDIRECT("H"&amp;R29&amp;"")+IFERROR(INDIRECT("H"&amp;MATCH("*"&amp;INDIRECT("B"&amp;R29&amp;"")&amp;"*",INDIRECT("B"&amp;R29+1&amp;":B210"),0)+R29&amp;""),0),
IF(AND(LEFT(INDIRECT("B"&amp;R29&amp;""),3)="奈良屋",COUNTIF(B:B,"*奈良屋*")&gt;=2),
INDIRECT("H"&amp;R29&amp;"")
+INDIRECT("H"&amp;MATCH("*"&amp;INDIRECT("B"&amp;R29&amp;"")&amp;"*",INDIRECT("B"&amp;R29+1&amp;":B210"),0)+R29&amp;"")
+INDIRECT("H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
+INDIRECT("H"&amp;MATCH("*"&amp;INDIRECT("B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&amp;"*",INDIRECT("B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+1&amp;":B210"),0)+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,
INDIRECT("H"&amp;R29&amp;"")))),"")</f>
        <v/>
      </c>
      <c r="X29" s="122" t="str">
        <f t="array" aca="1" ref="X29" ca="1">IF($R29&lt;&gt;"",
INDIRECT(""&amp;IF(COLUMN(I29)&lt;=26,CHAR(COLUMN(I29)+64),CHAR(INT((COLUMN(I29)-1)/26)+64)&amp;CHAR(MOD(COLUMN(I29)-1,26)+65))&amp;$R29&amp;""),"")</f>
        <v/>
      </c>
      <c r="Y29" s="122" t="str">
        <f t="array" aca="1" ref="Y29" ca="1">IF($R29&lt;&gt;"",
INDIRECT(""&amp;IF(COLUMN(J29)&lt;=26,CHAR(COLUMN(J29)+64),CHAR(INT((COLUMN(J29)-1)/26)+64)&amp;CHAR(MOD(COLUMN(J29)-1,26)+65))&amp;$R29&amp;""),"")</f>
        <v/>
      </c>
      <c r="Z29" s="122" t="str">
        <f t="shared" ca="1" si="2"/>
        <v/>
      </c>
      <c r="AA29" s="122" t="str">
        <f t="shared" ca="1" si="3"/>
        <v/>
      </c>
      <c r="AB29" s="122" t="str">
        <f t="array" aca="1" ref="AB29" ca="1">IF($R29&lt;&gt;"",
IF(AND(COUNTIF(INDIRECT("B"&amp;R29&amp;""),"*雙葉*"),COUNTIF(INDIRECT("B"&amp;R29&amp;""),"&lt;&gt;*先生*"),COUNTIF(B:B,"*雙葉*")&gt;=2),
INDIRECT("M"&amp;R29&amp;"")+INDIRECT("M"&amp;MATCH("雙葉'",INDIRECT("B"&amp;R29+1&amp;":B210"),0)+R29&amp;""),
IF(AND(LEFT(INDIRECT("B"&amp;R29&amp;""),2)="博多",COUNTIF(B:B,"*博多*")&gt;=2),
INDIRECT("M"&amp;R29&amp;"")+INDIRECT("M"&amp;MATCH("*"&amp;INDIRECT("B"&amp;R29&amp;"")&amp;"*",INDIRECT("B"&amp;R29+1&amp;":B210"),0)+R29&amp;""),
IF(AND(LEFT(INDIRECT("B"&amp;R29&amp;""),3)="奈良屋",COUNTIF(B:B,"*奈良屋*")&gt;=2),
INDIRECT("M"&amp;R29&amp;"")+INDIRECT("M"&amp;MATCH("*"&amp;INDIRECT("B"&amp;R29&amp;"")&amp;"*",INDIRECT("B"&amp;R29+1&amp;":B210"),0)+R29&amp;"")
+INDIRECT("M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,
INDIRECT("M"&amp;R29&amp;"")))),"")</f>
        <v/>
      </c>
      <c r="AC29" s="122" t="str">
        <f t="shared" ca="1" si="4"/>
        <v/>
      </c>
      <c r="AD29" s="176" t="str">
        <f t="shared" ca="1" si="5"/>
        <v/>
      </c>
      <c r="AE29" s="176" t="str">
        <f t="shared" ca="1" si="6"/>
        <v/>
      </c>
      <c r="AF29" s="176" t="str">
        <f t="shared" ca="1" si="7"/>
        <v/>
      </c>
      <c r="AG29" s="176" t="str">
        <f t="shared" ca="1" si="8"/>
        <v/>
      </c>
      <c r="AH29" s="183" t="str">
        <f t="shared" ca="1" si="9"/>
        <v/>
      </c>
      <c r="AI29" s="176" t="str">
        <f t="shared" ca="1" si="10"/>
        <v/>
      </c>
      <c r="AJ29" s="176" t="str">
        <f t="shared" ca="1" si="11"/>
        <v/>
      </c>
      <c r="AK29" s="176" t="str">
        <f t="shared" ca="1" si="12"/>
        <v/>
      </c>
      <c r="AL29" s="176" t="str">
        <f t="shared" ca="1" si="13"/>
        <v/>
      </c>
      <c r="AM29" s="176" t="str">
        <f t="shared" ca="1" si="14"/>
        <v/>
      </c>
      <c r="AN29" s="176" t="str">
        <f t="shared" ca="1" si="15"/>
        <v/>
      </c>
      <c r="AO29" s="176" t="str">
        <f t="shared" ca="1" si="16"/>
        <v/>
      </c>
      <c r="AP29" s="176" t="str">
        <f t="shared" ca="1" si="17"/>
        <v/>
      </c>
      <c r="AU29" s="176" t="str">
        <f t="shared" ca="1" si="18"/>
        <v/>
      </c>
      <c r="AW29" s="106" t="str">
        <f ca="1">IFERROR(IF(AF29&lt;&gt;"",OFFSET('数出表_Excel（アレルギー入力）'!$A$1,MATCH(AF29,'数出表_Excel（アレルギー入力）'!A:A,0)-2,0),""),"")</f>
        <v/>
      </c>
      <c r="AX29" s="106" t="str">
        <f ca="1">IF(AW29&lt;&gt;"",
OFFSET(得意先マスタ!$A$1,MATCH(AW29,得意先マスタ!A:A,0)-1,24),"")</f>
        <v/>
      </c>
      <c r="AY29" s="57">
        <f t="shared" ca="1" si="21"/>
        <v>0</v>
      </c>
      <c r="AZ29" s="57">
        <f t="shared" ca="1" si="29"/>
        <v>0</v>
      </c>
      <c r="BA29" s="57">
        <f t="shared" ca="1" si="30"/>
        <v>0</v>
      </c>
      <c r="BB29" s="176">
        <f t="shared" ca="1" si="24"/>
        <v>0</v>
      </c>
    </row>
    <row r="30" spans="1:54" ht="18" customHeight="1">
      <c r="A30" s="101">
        <f t="shared" si="19"/>
        <v>65</v>
      </c>
      <c r="B30" s="45" t="str">
        <f t="shared" si="20"/>
        <v/>
      </c>
      <c r="C30" s="45" t="str">
        <f>IF(OR(クライアント抽出!B30&lt;&gt;"",クライアント抽出!E30&lt;&gt;""),クライアント抽出!A30,"")</f>
        <v/>
      </c>
      <c r="D30" s="45" t="str">
        <f t="array" aca="1" ref="D30" ca="1">IF(C30&lt;&gt;"",INDIRECT("クライアント抽出!"&amp;E30&amp;MATCH(C30,クライアント抽出!A:A,0)&amp;""),"")</f>
        <v/>
      </c>
      <c r="E30" s="45" t="str">
        <f>IF(H30&lt;&gt;0,
IFERROR(
SUBSTITUTE(ADDRESS(1,
MATCH(VALUE(H30),クライアント抽出!A30:G30,0)+8,4),"1",""),
""),
IFERROR(
SUBSTITUTE(ADDRESS(1,
MATCH(VALUE(I30),クライアント抽出!A30:G30,0)+8,4),"1",""),
""))</f>
        <v/>
      </c>
      <c r="F30" s="184" t="str">
        <f ca="1">IF(D30&lt;&gt;"",
IF(COUNTIF(C30,"*雙葉*"),
IF(ROUND((H30-M30)
/IF(COUNTIF(D30,"*キャラ*"),
VLOOKUP("*キャラ*",商品マスタ!$D:$E,2,FALSE),
IF(COUNTIF(D30,"*赤*"),
VLOOKUP("*赤*",商品マスタ!$D:$E,2,FALSE),
VLOOKUP("*"&amp;D30&amp;"*",商品マスタ!$D:$E,2,FALSE))),0)&lt;=0,1,
ROUND((H30-M30)
/IF(COUNTIF(D30,"*キャラ*"),
VLOOKUP("*キャラ*",商品マスタ!$D:$E,2,FALSE),
IF(COUNTIF(D30,"*赤*"),
VLOOKUP("*赤*",商品マスタ!$D:$E,2,FALSE),
VLOOKUP("*"&amp;D30&amp;"*",商品マスタ!$D:$E,2,FALSE))),0)),
IF(OR(COUNTIF(D30,"*キャラ*"),COUNTIF(D30,"*赤*")),"",
IF(VLOOKUP("*"&amp;D30&amp;"*",商品マスタ!$D:$E,2,FALSE)=0,"",
IF(ROUND((H30-M30)
/VLOOKUP("*"&amp;D30&amp;"*",商品マスタ!$D:$E,2,FALSE),0)&lt;=0,1,
ROUND((H30-M30)
/VLOOKUP("*"&amp;D30&amp;"*",商品マスタ!$D:$E,2,FALSE),0))))),"")</f>
        <v/>
      </c>
      <c r="G30" s="45" t="str">
        <f ca="1">IF(F30&lt;&gt;"",
IF(VALUE(H30-M30)&gt;VALUE(IF(COUNTIF(D30,"*キャラ*"),
VLOOKUP("*キャラ*",商品マスタ!$D:$E,2,FALSE),
IF(COUNTIF(D30,"*赤*"),
VLOOKUP("*赤*",商品マスタ!$D:$E,2,FALSE),
VLOOKUP("*"&amp;D30&amp;"*",商品マスタ!$D:$E,2,FALSE)))*F30),
"+"&amp;(H30-M30)-IF(COUNTIF(D30,"*キャラ*"),
VLOOKUP("*キャラ*",商品マスタ!$D:$E,2,FALSE),
IF(COUNTIF(D30,"*赤*"),
VLOOKUP("*赤*",商品マスタ!$D:$E,2,FALSE),
VLOOKUP("*"&amp;D30&amp;"*",商品マスタ!$D:$E,2,FALSE)))*F30,
(H30-M30)-IF(COUNTIF(D30,"*キャラ*"),
VLOOKUP("*キャラ*",商品マスタ!$D:$E,2,FALSE),
IF(COUNTIF(D30,"*赤*"),
VLOOKUP("*赤*",商品マスタ!$D:$E,2,FALSE),
VLOOKUP("*"&amp;D30&amp;"*",商品マスタ!$D:$E,2,FALSE)))*F30),"")</f>
        <v/>
      </c>
      <c r="H30" s="99" t="str">
        <f>IF(C30&lt;&gt;"",
クライアント抽出!B30,"")</f>
        <v/>
      </c>
      <c r="I30" s="45" t="str">
        <f t="array" aca="1" ref="I30" ca="1">IF(C30&lt;&gt;"",
IF(O30=1,
IF(SUMPRODUCT(COUNTIF(クライアント抽出!P30:U30,クライアント抽出!P30:U30))&gt;COUNTA(クライアント抽出!P30:U30),
IFERROR(INDIRECT("数出表_Excel!"&amp;INDEX(_xlfn.UNIQUE(_xlfn._xlws.FILTER(クライアント抽出!P30:U30,COUNTIF(クライアント抽出!P30:U30,クライアント抽出!P30:U30)&gt;1)),1)&amp;L30&amp;""),
クライアント抽出!E30),0),クライアント抽出!E30),"")</f>
        <v/>
      </c>
      <c r="J30" s="45" t="str">
        <f>IF(C30&lt;&gt;"",
VLOOKUP(
"*"&amp;LEFT(IF(COUNTIF(D30,"*学食*"),"キャラ弁（学食）",
IF(COUNTIF(D30,"*赤*"),"赤",
IF(COUNTIF(D30,"*キャラ弁当*"),"キャラ弁当",D30))),4)&amp;"*",注文弁当の抽出!$F$1:$G$15,2,FALSE),"")</f>
        <v/>
      </c>
      <c r="K30" s="45" t="str">
        <f ca="1">IF(クライアント抽出!P30&lt;&gt;"",SUBSTITUTE(ADDRESS(1,(CODE(クライアント抽出!P30)-64)*2-1,4),"1",""),"")</f>
        <v/>
      </c>
      <c r="L30" s="45" t="str">
        <f>IF(C30&lt;&gt;"",クライアント抽出!I30,"")</f>
        <v/>
      </c>
      <c r="M30" s="45">
        <f t="array" aca="1" ref="M30" ca="1">IF(C30&lt;&gt;"",
IF(K30&lt;&gt;"",INDIRECT("'数出表_Excel（アレルギー入力）'!"&amp;K30&amp;L30-1&amp;""),),)</f>
        <v>0</v>
      </c>
      <c r="N30" s="45" t="str">
        <f>IF(C30&lt;&gt;"",IF(OR(COUNTIF('盛付札（関数）'!D30,"*赤*"),COUNTIF('盛付札（関数）'!D30,"*キャラ*")),1,
VALUE(VLOOKUP("*"&amp;D30&amp;"*",商品マスタ!D:H,5,FALSE))),"")</f>
        <v/>
      </c>
      <c r="O30" s="45">
        <f ca="1">IF(LEN(クライアント抽出!V30)-LEN(SUBSTITUTE(クライアント抽出!V30,",",""))&lt;&gt;1,
IF(AND(クライアント抽出!P30&lt;&gt;"",クライアント抽出!S30&lt;&gt;""),
IF(クライアント抽出!P30&lt;&gt;クライアント抽出!S30,1,0),0),0)</f>
        <v>0</v>
      </c>
      <c r="P30" s="45">
        <f t="shared" si="0"/>
        <v>0</v>
      </c>
      <c r="Q30" s="45" t="b">
        <f t="shared" si="1"/>
        <v>0</v>
      </c>
      <c r="R30" s="122" t="str">
        <f t="array" aca="1" ref="R30" ca="1">IFERROR(SMALL(IF(P$1:P$311&lt;&gt;0,P$1:P$311),ROW(A30)),"")</f>
        <v/>
      </c>
      <c r="S30" s="122" t="str">
        <f t="array" aca="1" ref="S30" ca="1">IF($R30&lt;&gt;"",
SUBSTITUTE(SUBSTITUTE(INDIRECT("C"&amp;$R30&amp;"")," 週3ｺｰｽ","")," 週5ｺｰｽ",""),"")</f>
        <v/>
      </c>
      <c r="T30" s="122" t="str">
        <f t="array" aca="1" ref="T30" ca="1">IF(IF($R30&lt;&gt;"",
INDIRECT(""&amp;IF(COLUMN(D30)&lt;=26,CHAR(COLUMN(D30)+64),CHAR(INT((COLUMN(D30)-1)/26)+64)&amp;CHAR(MOD(COLUMN(D30)-1,26)+65))&amp;$R30&amp;""),"")=0,"",
IF($R30&lt;&gt;"",
INDIRECT(""&amp;IF(COLUMN(D30)&lt;=26,CHAR(COLUMN(D30)+64),CHAR(INT((COLUMN(D30)-1)/26)+64)&amp;CHAR(MOD(COLUMN(D30)-1,26)+65))&amp;$R30&amp;""),""))</f>
        <v/>
      </c>
      <c r="U30" s="185" t="str">
        <f t="array" aca="1" ref="U30" ca="1">IF($R30&lt;&gt;"",
INDIRECT("F"&amp;$R30&amp;""),"")</f>
        <v/>
      </c>
      <c r="V30" s="122" t="str">
        <f t="array" aca="1" ref="V30" ca="1">IF($R30&lt;&gt;"",
INDIRECT("G"&amp;$R30&amp;""),"")</f>
        <v/>
      </c>
      <c r="W30" s="122" t="str" cm="1">
        <f t="array" aca="1" ref="W30" ca="1">IF($R30&lt;&gt;"",
IF(AND(COUNTIF(INDIRECT("B"&amp;R30&amp;""),"*雙葉*"),COUNTIF($B$71:$B$210,"*雙葉*")&gt;=1),
IF(OR(COUNTIF(INDIRECT("B"&amp;R30&amp;""),"*雙葉先生*"),COUNTIF(INDIRECT("B"&amp;R30-1&amp;""),"*雙葉*")),INDIRECT("H"&amp;R30&amp;""),INDIRECT("H"&amp;R30&amp;"")+INDIRECT("H"&amp;MATCH("雙葉'",INDIRECT("B"&amp;R30+3&amp;":B210"),0)+2+R30&amp;"")),
IF(AND(LEFT(INDIRECT("B"&amp;R30&amp;""),2)="博多",COUNTIF(B:B,"*博多*")&gt;=2),
INDIRECT("H"&amp;R30&amp;"")+IFERROR(INDIRECT("H"&amp;MATCH("*"&amp;INDIRECT("B"&amp;R30&amp;"")&amp;"*",INDIRECT("B"&amp;R30+1&amp;":B210"),0)+R30&amp;""),0),
IF(AND(LEFT(INDIRECT("B"&amp;R30&amp;""),3)="奈良屋",COUNTIF(B:B,"*奈良屋*")&gt;=2),
INDIRECT("H"&amp;R30&amp;"")
+INDIRECT("H"&amp;MATCH("*"&amp;INDIRECT("B"&amp;R30&amp;"")&amp;"*",INDIRECT("B"&amp;R30+1&amp;":B210"),0)+R30&amp;"")
+INDIRECT("H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
+INDIRECT("H"&amp;MATCH("*"&amp;INDIRECT("B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&amp;"*",INDIRECT("B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+1&amp;":B210"),0)+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,
INDIRECT("H"&amp;R30&amp;"")))),"")</f>
        <v/>
      </c>
      <c r="X30" s="122" t="str">
        <f t="array" aca="1" ref="X30" ca="1">IF($R30&lt;&gt;"",
INDIRECT(""&amp;IF(COLUMN(I30)&lt;=26,CHAR(COLUMN(I30)+64),CHAR(INT((COLUMN(I30)-1)/26)+64)&amp;CHAR(MOD(COLUMN(I30)-1,26)+65))&amp;$R30&amp;""),"")</f>
        <v/>
      </c>
      <c r="Y30" s="122" t="str">
        <f t="array" aca="1" ref="Y30" ca="1">IF($R30&lt;&gt;"",
INDIRECT(""&amp;IF(COLUMN(J30)&lt;=26,CHAR(COLUMN(J30)+64),CHAR(INT((COLUMN(J30)-1)/26)+64)&amp;CHAR(MOD(COLUMN(J30)-1,26)+65))&amp;$R30&amp;""),"")</f>
        <v/>
      </c>
      <c r="Z30" s="122" t="str">
        <f t="shared" ca="1" si="2"/>
        <v/>
      </c>
      <c r="AA30" s="122" t="str">
        <f t="shared" ca="1" si="3"/>
        <v/>
      </c>
      <c r="AB30" s="122" t="str">
        <f t="array" aca="1" ref="AB30" ca="1">IF($R30&lt;&gt;"",
IF(AND(COUNTIF(INDIRECT("B"&amp;R30&amp;""),"*雙葉*"),COUNTIF(INDIRECT("B"&amp;R30&amp;""),"&lt;&gt;*先生*"),COUNTIF(B:B,"*雙葉*")&gt;=2),
INDIRECT("M"&amp;R30&amp;"")+INDIRECT("M"&amp;MATCH("雙葉'",INDIRECT("B"&amp;R30+1&amp;":B210"),0)+R30&amp;""),
IF(AND(LEFT(INDIRECT("B"&amp;R30&amp;""),2)="博多",COUNTIF(B:B,"*博多*")&gt;=2),
INDIRECT("M"&amp;R30&amp;"")+INDIRECT("M"&amp;MATCH("*"&amp;INDIRECT("B"&amp;R30&amp;"")&amp;"*",INDIRECT("B"&amp;R30+1&amp;":B210"),0)+R30&amp;""),
IF(AND(LEFT(INDIRECT("B"&amp;R30&amp;""),3)="奈良屋",COUNTIF(B:B,"*奈良屋*")&gt;=2),
INDIRECT("M"&amp;R30&amp;"")+INDIRECT("M"&amp;MATCH("*"&amp;INDIRECT("B"&amp;R30&amp;"")&amp;"*",INDIRECT("B"&amp;R30+1&amp;":B210"),0)+R30&amp;"")
+INDIRECT("M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,
INDIRECT("M"&amp;R30&amp;"")))),"")</f>
        <v/>
      </c>
      <c r="AC30" s="122" t="str">
        <f t="shared" ca="1" si="4"/>
        <v/>
      </c>
      <c r="AD30" s="176" t="str">
        <f t="shared" ca="1" si="5"/>
        <v/>
      </c>
      <c r="AE30" s="176" t="str">
        <f t="shared" ca="1" si="6"/>
        <v/>
      </c>
      <c r="AF30" s="176" t="str">
        <f t="shared" ca="1" si="7"/>
        <v/>
      </c>
      <c r="AG30" s="176" t="str">
        <f t="shared" ca="1" si="8"/>
        <v/>
      </c>
      <c r="AH30" s="183" t="str">
        <f t="shared" ca="1" si="9"/>
        <v/>
      </c>
      <c r="AI30" s="176" t="str">
        <f t="shared" ca="1" si="10"/>
        <v/>
      </c>
      <c r="AJ30" s="176" t="str">
        <f t="shared" ca="1" si="11"/>
        <v/>
      </c>
      <c r="AK30" s="176" t="str">
        <f t="shared" ca="1" si="12"/>
        <v/>
      </c>
      <c r="AL30" s="176" t="str">
        <f t="shared" ca="1" si="13"/>
        <v/>
      </c>
      <c r="AM30" s="176" t="str">
        <f t="shared" ca="1" si="14"/>
        <v/>
      </c>
      <c r="AN30" s="176" t="str">
        <f t="shared" ca="1" si="15"/>
        <v/>
      </c>
      <c r="AO30" s="176" t="str">
        <f t="shared" ca="1" si="16"/>
        <v/>
      </c>
      <c r="AP30" s="176" t="str">
        <f t="shared" ca="1" si="17"/>
        <v/>
      </c>
      <c r="AU30" s="176" t="str">
        <f t="shared" ca="1" si="18"/>
        <v/>
      </c>
      <c r="AW30" s="106" t="str">
        <f ca="1">IFERROR(IF(AF30&lt;&gt;"",OFFSET('数出表_Excel（アレルギー入力）'!$A$1,MATCH(AF30,'数出表_Excel（アレルギー入力）'!A:A,0)-2,0),""),"")</f>
        <v/>
      </c>
      <c r="AX30" s="106" t="str">
        <f ca="1">IF(AW30&lt;&gt;"",
OFFSET(得意先マスタ!$A$1,MATCH(AW30,得意先マスタ!A:A,0)-1,24),"")</f>
        <v/>
      </c>
      <c r="AY30" s="57">
        <f t="shared" ca="1" si="21"/>
        <v>0</v>
      </c>
      <c r="AZ30" s="57">
        <f t="shared" ca="1" si="29"/>
        <v>0</v>
      </c>
      <c r="BA30" s="57">
        <f t="shared" ca="1" si="30"/>
        <v>0</v>
      </c>
      <c r="BB30" s="176">
        <f t="shared" ca="1" si="24"/>
        <v>0</v>
      </c>
    </row>
    <row r="31" spans="1:54" ht="22.2" customHeight="1">
      <c r="A31" s="101">
        <f t="shared" si="19"/>
        <v>67</v>
      </c>
      <c r="B31" s="45" t="str">
        <f t="shared" si="20"/>
        <v/>
      </c>
      <c r="C31" s="45" t="str">
        <f>IF(OR(クライアント抽出!B31&lt;&gt;"",クライアント抽出!E31&lt;&gt;""),クライアント抽出!A31,"")</f>
        <v/>
      </c>
      <c r="D31" s="45" t="str">
        <f t="array" aca="1" ref="D31" ca="1">IF(C31&lt;&gt;"",INDIRECT("クライアント抽出!"&amp;E31&amp;MATCH(C31,クライアント抽出!A:A,0)&amp;""),"")</f>
        <v/>
      </c>
      <c r="E31" s="45" t="str">
        <f>IF(H31&lt;&gt;0,
IFERROR(
SUBSTITUTE(ADDRESS(1,
MATCH(VALUE(H31),クライアント抽出!A31:G31,0)+8,4),"1",""),
""),
IFERROR(
SUBSTITUTE(ADDRESS(1,
MATCH(VALUE(I31),クライアント抽出!A31:G31,0)+8,4),"1",""),
""))</f>
        <v/>
      </c>
      <c r="F31" s="184" t="str">
        <f ca="1">IF(D31&lt;&gt;"",
IF(COUNTIF(C31,"*雙葉*"),
IF(ROUND((H31-M31)
/IF(COUNTIF(D31,"*キャラ*"),
VLOOKUP("*キャラ*",商品マスタ!$D:$E,2,FALSE),
IF(COUNTIF(D31,"*赤*"),
VLOOKUP("*赤*",商品マスタ!$D:$E,2,FALSE),
VLOOKUP("*"&amp;D31&amp;"*",商品マスタ!$D:$E,2,FALSE))),0)&lt;=0,1,
ROUND((H31-M31)
/IF(COUNTIF(D31,"*キャラ*"),
VLOOKUP("*キャラ*",商品マスタ!$D:$E,2,FALSE),
IF(COUNTIF(D31,"*赤*"),
VLOOKUP("*赤*",商品マスタ!$D:$E,2,FALSE),
VLOOKUP("*"&amp;D31&amp;"*",商品マスタ!$D:$E,2,FALSE))),0)),
IF(OR(COUNTIF(D31,"*キャラ*"),COUNTIF(D31,"*赤*")),"",
IF(VLOOKUP("*"&amp;D31&amp;"*",商品マスタ!$D:$E,2,FALSE)=0,"",
IF(ROUND((H31-M31)
/VLOOKUP("*"&amp;D31&amp;"*",商品マスタ!$D:$E,2,FALSE),0)&lt;=0,1,
ROUND((H31-M31)
/VLOOKUP("*"&amp;D31&amp;"*",商品マスタ!$D:$E,2,FALSE),0))))),"")</f>
        <v/>
      </c>
      <c r="G31" s="45" t="str">
        <f ca="1">IF(F31&lt;&gt;"",
IF(VALUE(H31-M31)&gt;VALUE(IF(COUNTIF(D31,"*キャラ*"),
VLOOKUP("*キャラ*",商品マスタ!$D:$E,2,FALSE),
IF(COUNTIF(D31,"*赤*"),
VLOOKUP("*赤*",商品マスタ!$D:$E,2,FALSE),
VLOOKUP("*"&amp;D31&amp;"*",商品マスタ!$D:$E,2,FALSE)))*F31),
"+"&amp;(H31-M31)-IF(COUNTIF(D31,"*キャラ*"),
VLOOKUP("*キャラ*",商品マスタ!$D:$E,2,FALSE),
IF(COUNTIF(D31,"*赤*"),
VLOOKUP("*赤*",商品マスタ!$D:$E,2,FALSE),
VLOOKUP("*"&amp;D31&amp;"*",商品マスタ!$D:$E,2,FALSE)))*F31,
(H31-M31)-IF(COUNTIF(D31,"*キャラ*"),
VLOOKUP("*キャラ*",商品マスタ!$D:$E,2,FALSE),
IF(COUNTIF(D31,"*赤*"),
VLOOKUP("*赤*",商品マスタ!$D:$E,2,FALSE),
VLOOKUP("*"&amp;D31&amp;"*",商品マスタ!$D:$E,2,FALSE)))*F31),"")</f>
        <v/>
      </c>
      <c r="H31" s="99" t="str">
        <f>IF(C31&lt;&gt;"",
クライアント抽出!B31,"")</f>
        <v/>
      </c>
      <c r="I31" s="45" t="str">
        <f t="array" aca="1" ref="I31" ca="1">IF(C31&lt;&gt;"",
IF(O31=1,
IF(SUMPRODUCT(COUNTIF(クライアント抽出!P31:U31,クライアント抽出!P31:U31))&gt;COUNTA(クライアント抽出!P31:U31),
IFERROR(INDIRECT("数出表_Excel!"&amp;INDEX(_xlfn.UNIQUE(_xlfn._xlws.FILTER(クライアント抽出!P31:U31,COUNTIF(クライアント抽出!P31:U31,クライアント抽出!P31:U31)&gt;1)),1)&amp;L31&amp;""),
クライアント抽出!E31),0),クライアント抽出!E31),"")</f>
        <v/>
      </c>
      <c r="J31" s="45" t="str">
        <f>IF(C31&lt;&gt;"",
VLOOKUP(
"*"&amp;LEFT(IF(COUNTIF(D31,"*学食*"),"キャラ弁（学食）",
IF(COUNTIF(D31,"*赤*"),"赤",
IF(COUNTIF(D31,"*キャラ弁当*"),"キャラ弁当",D31))),4)&amp;"*",注文弁当の抽出!$F$1:$G$15,2,FALSE),"")</f>
        <v/>
      </c>
      <c r="K31" s="45" t="str">
        <f ca="1">IF(クライアント抽出!P31&lt;&gt;"",SUBSTITUTE(ADDRESS(1,(CODE(クライアント抽出!P31)-64)*2-1,4),"1",""),"")</f>
        <v/>
      </c>
      <c r="L31" s="45" t="str">
        <f>IF(C31&lt;&gt;"",クライアント抽出!I31,"")</f>
        <v/>
      </c>
      <c r="M31" s="45">
        <f t="array" aca="1" ref="M31" ca="1">IF(C31&lt;&gt;"",
IF(K31&lt;&gt;"",INDIRECT("'数出表_Excel（アレルギー入力）'!"&amp;K31&amp;L31-1&amp;""),),)</f>
        <v>0</v>
      </c>
      <c r="N31" s="45" t="str">
        <f>IF(C31&lt;&gt;"",IF(OR(COUNTIF('盛付札（関数）'!D31,"*赤*"),COUNTIF('盛付札（関数）'!D31,"*キャラ*")),1,
VALUE(VLOOKUP("*"&amp;D31&amp;"*",商品マスタ!D:H,5,FALSE))),"")</f>
        <v/>
      </c>
      <c r="O31" s="45">
        <f ca="1">IF(LEN(クライアント抽出!V31)-LEN(SUBSTITUTE(クライアント抽出!V31,",",""))&lt;&gt;1,
IF(AND(クライアント抽出!P31&lt;&gt;"",クライアント抽出!S31&lt;&gt;""),
IF(クライアント抽出!P31&lt;&gt;クライアント抽出!S31,1,0),0),0)</f>
        <v>0</v>
      </c>
      <c r="P31" s="45">
        <f t="shared" si="0"/>
        <v>0</v>
      </c>
      <c r="Q31" s="45" t="b">
        <f t="shared" si="1"/>
        <v>0</v>
      </c>
      <c r="R31" s="122" t="str">
        <f t="array" aca="1" ref="R31" ca="1">IFERROR(SMALL(IF(P$1:P$311&lt;&gt;0,P$1:P$311),ROW(A31)),"")</f>
        <v/>
      </c>
      <c r="S31" s="122" t="str">
        <f t="array" aca="1" ref="S31" ca="1">IF($R31&lt;&gt;"",
SUBSTITUTE(SUBSTITUTE(INDIRECT("C"&amp;$R31&amp;"")," 週3ｺｰｽ","")," 週5ｺｰｽ",""),"")</f>
        <v/>
      </c>
      <c r="T31" s="122" t="str">
        <f t="array" aca="1" ref="T31" ca="1">IF(IF($R31&lt;&gt;"",
INDIRECT(""&amp;IF(COLUMN(D31)&lt;=26,CHAR(COLUMN(D31)+64),CHAR(INT((COLUMN(D31)-1)/26)+64)&amp;CHAR(MOD(COLUMN(D31)-1,26)+65))&amp;$R31&amp;""),"")=0,"",
IF($R31&lt;&gt;"",
INDIRECT(""&amp;IF(COLUMN(D31)&lt;=26,CHAR(COLUMN(D31)+64),CHAR(INT((COLUMN(D31)-1)/26)+64)&amp;CHAR(MOD(COLUMN(D31)-1,26)+65))&amp;$R31&amp;""),""))</f>
        <v/>
      </c>
      <c r="U31" s="185" t="str">
        <f t="array" aca="1" ref="U31" ca="1">IF($R31&lt;&gt;"",
INDIRECT("F"&amp;$R31&amp;""),"")</f>
        <v/>
      </c>
      <c r="V31" s="122" t="str">
        <f t="array" aca="1" ref="V31" ca="1">IF($R31&lt;&gt;"",
INDIRECT("G"&amp;$R31&amp;""),"")</f>
        <v/>
      </c>
      <c r="W31" s="122" t="str" cm="1">
        <f t="array" aca="1" ref="W31" ca="1">IF($R31&lt;&gt;"",
IF(AND(COUNTIF(INDIRECT("B"&amp;R31&amp;""),"*雙葉*"),COUNTIF($B$71:$B$210,"*雙葉*")&gt;=1),
IF(OR(COUNTIF(INDIRECT("B"&amp;R31&amp;""),"*雙葉先生*"),COUNTIF(INDIRECT("B"&amp;R31-1&amp;""),"*雙葉*")),INDIRECT("H"&amp;R31&amp;""),INDIRECT("H"&amp;R31&amp;"")+INDIRECT("H"&amp;MATCH("雙葉'",INDIRECT("B"&amp;R31+3&amp;":B210"),0)+2+R31&amp;"")),
IF(AND(LEFT(INDIRECT("B"&amp;R31&amp;""),2)="博多",COUNTIF(B:B,"*博多*")&gt;=2),
INDIRECT("H"&amp;R31&amp;"")+IFERROR(INDIRECT("H"&amp;MATCH("*"&amp;INDIRECT("B"&amp;R31&amp;"")&amp;"*",INDIRECT("B"&amp;R31+1&amp;":B210"),0)+R31&amp;""),0),
IF(AND(LEFT(INDIRECT("B"&amp;R31&amp;""),3)="奈良屋",COUNTIF(B:B,"*奈良屋*")&gt;=2),
INDIRECT("H"&amp;R31&amp;"")
+INDIRECT("H"&amp;MATCH("*"&amp;INDIRECT("B"&amp;R31&amp;"")&amp;"*",INDIRECT("B"&amp;R31+1&amp;":B210"),0)+R31&amp;"")
+INDIRECT("H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
+INDIRECT("H"&amp;MATCH("*"&amp;INDIRECT("B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&amp;"*",INDIRECT("B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+1&amp;":B210"),0)+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,
INDIRECT("H"&amp;R31&amp;"")))),"")</f>
        <v/>
      </c>
      <c r="X31" s="122" t="str">
        <f t="array" aca="1" ref="X31" ca="1">IF($R31&lt;&gt;"",
INDIRECT(""&amp;IF(COLUMN(I31)&lt;=26,CHAR(COLUMN(I31)+64),CHAR(INT((COLUMN(I31)-1)/26)+64)&amp;CHAR(MOD(COLUMN(I31)-1,26)+65))&amp;$R31&amp;""),"")</f>
        <v/>
      </c>
      <c r="Y31" s="122" t="str">
        <f t="array" aca="1" ref="Y31" ca="1">IF($R31&lt;&gt;"",
INDIRECT(""&amp;IF(COLUMN(J31)&lt;=26,CHAR(COLUMN(J31)+64),CHAR(INT((COLUMN(J31)-1)/26)+64)&amp;CHAR(MOD(COLUMN(J31)-1,26)+65))&amp;$R31&amp;""),"")</f>
        <v/>
      </c>
      <c r="Z31" s="122" t="str">
        <f t="shared" ca="1" si="2"/>
        <v/>
      </c>
      <c r="AA31" s="122" t="str">
        <f t="shared" ca="1" si="3"/>
        <v/>
      </c>
      <c r="AB31" s="122" t="str">
        <f t="array" aca="1" ref="AB31" ca="1">IF($R31&lt;&gt;"",
IF(AND(COUNTIF(INDIRECT("B"&amp;R31&amp;""),"*雙葉*"),COUNTIF(INDIRECT("B"&amp;R31&amp;""),"&lt;&gt;*先生*"),COUNTIF(B:B,"*雙葉*")&gt;=2),
INDIRECT("M"&amp;R31&amp;"")+INDIRECT("M"&amp;MATCH("雙葉'",INDIRECT("B"&amp;R31+1&amp;":B210"),0)+R31&amp;""),
IF(AND(LEFT(INDIRECT("B"&amp;R31&amp;""),2)="博多",COUNTIF(B:B,"*博多*")&gt;=2),
INDIRECT("M"&amp;R31&amp;"")+INDIRECT("M"&amp;MATCH("*"&amp;INDIRECT("B"&amp;R31&amp;"")&amp;"*",INDIRECT("B"&amp;R31+1&amp;":B210"),0)+R31&amp;""),
IF(AND(LEFT(INDIRECT("B"&amp;R31&amp;""),3)="奈良屋",COUNTIF(B:B,"*奈良屋*")&gt;=2),
INDIRECT("M"&amp;R31&amp;"")+INDIRECT("M"&amp;MATCH("*"&amp;INDIRECT("B"&amp;R31&amp;"")&amp;"*",INDIRECT("B"&amp;R31+1&amp;":B210"),0)+R31&amp;"")
+INDIRECT("M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,
INDIRECT("M"&amp;R31&amp;"")))),"")</f>
        <v/>
      </c>
      <c r="AC31" s="122" t="str">
        <f t="shared" ca="1" si="4"/>
        <v/>
      </c>
      <c r="AD31" s="176" t="str">
        <f t="shared" ca="1" si="5"/>
        <v/>
      </c>
      <c r="AE31" s="176" t="str">
        <f t="shared" ca="1" si="6"/>
        <v/>
      </c>
      <c r="AF31" s="176" t="str">
        <f t="shared" ca="1" si="7"/>
        <v/>
      </c>
      <c r="AG31" s="176" t="str">
        <f t="shared" ca="1" si="8"/>
        <v/>
      </c>
      <c r="AH31" s="183" t="str">
        <f t="shared" ca="1" si="9"/>
        <v/>
      </c>
      <c r="AI31" s="176" t="str">
        <f t="shared" ca="1" si="10"/>
        <v/>
      </c>
      <c r="AJ31" s="176" t="str">
        <f t="shared" ca="1" si="11"/>
        <v/>
      </c>
      <c r="AK31" s="176" t="str">
        <f t="shared" ca="1" si="12"/>
        <v/>
      </c>
      <c r="AL31" s="176" t="str">
        <f t="shared" ca="1" si="13"/>
        <v/>
      </c>
      <c r="AM31" s="176" t="str">
        <f t="shared" ca="1" si="14"/>
        <v/>
      </c>
      <c r="AN31" s="176" t="str">
        <f t="shared" ca="1" si="15"/>
        <v/>
      </c>
      <c r="AO31" s="176" t="str">
        <f t="shared" ca="1" si="16"/>
        <v/>
      </c>
      <c r="AP31" s="176" t="str">
        <f t="shared" ca="1" si="17"/>
        <v/>
      </c>
      <c r="AU31" s="176" t="str">
        <f t="shared" ca="1" si="18"/>
        <v/>
      </c>
      <c r="AW31" s="106" t="str">
        <f ca="1">IFERROR(IF(AF31&lt;&gt;"",OFFSET('数出表_Excel（アレルギー入力）'!$A$1,MATCH(AF31,'数出表_Excel（アレルギー入力）'!A:A,0)-2,0),""),"")</f>
        <v/>
      </c>
      <c r="AX31" s="106" t="str">
        <f ca="1">IF(AW31&lt;&gt;"",
OFFSET(得意先マスタ!$A$1,MATCH(AW31,得意先マスタ!A:A,0)-1,24),"")</f>
        <v/>
      </c>
      <c r="AY31" s="57">
        <f t="shared" ca="1" si="21"/>
        <v>0</v>
      </c>
      <c r="AZ31" s="57">
        <f t="shared" ca="1" si="29"/>
        <v>0</v>
      </c>
      <c r="BA31" s="57">
        <f t="shared" ca="1" si="30"/>
        <v>0</v>
      </c>
      <c r="BB31" s="176">
        <f t="shared" ca="1" si="24"/>
        <v>0</v>
      </c>
    </row>
    <row r="32" spans="1:54" ht="18" customHeight="1">
      <c r="A32" s="101">
        <f t="shared" si="19"/>
        <v>69</v>
      </c>
      <c r="B32" s="45" t="str">
        <f t="shared" si="20"/>
        <v/>
      </c>
      <c r="C32" s="45" t="str">
        <f>IF(OR(クライアント抽出!B32&lt;&gt;"",クライアント抽出!E32&lt;&gt;""),クライアント抽出!A32,"")</f>
        <v/>
      </c>
      <c r="D32" s="45" t="str">
        <f t="array" aca="1" ref="D32" ca="1">IF(C32&lt;&gt;"",INDIRECT("クライアント抽出!"&amp;E32&amp;MATCH(C32,クライアント抽出!A:A,0)&amp;""),"")</f>
        <v/>
      </c>
      <c r="E32" s="45" t="str">
        <f>IF(H32&lt;&gt;0,
IFERROR(
SUBSTITUTE(ADDRESS(1,
MATCH(VALUE(H32),クライアント抽出!A32:G32,0)+8,4),"1",""),
""),
IFERROR(
SUBSTITUTE(ADDRESS(1,
MATCH(VALUE(I32),クライアント抽出!A32:G32,0)+8,4),"1",""),
""))</f>
        <v/>
      </c>
      <c r="F32" s="184" t="str">
        <f ca="1">IF(D32&lt;&gt;"",
IF(COUNTIF(C32,"*雙葉*"),
IF(ROUND((H32-M32)
/IF(COUNTIF(D32,"*キャラ*"),
VLOOKUP("*キャラ*",商品マスタ!$D:$E,2,FALSE),
IF(COUNTIF(D32,"*赤*"),
VLOOKUP("*赤*",商品マスタ!$D:$E,2,FALSE),
VLOOKUP("*"&amp;D32&amp;"*",商品マスタ!$D:$E,2,FALSE))),0)&lt;=0,1,
ROUND((H32-M32)
/IF(COUNTIF(D32,"*キャラ*"),
VLOOKUP("*キャラ*",商品マスタ!$D:$E,2,FALSE),
IF(COUNTIF(D32,"*赤*"),
VLOOKUP("*赤*",商品マスタ!$D:$E,2,FALSE),
VLOOKUP("*"&amp;D32&amp;"*",商品マスタ!$D:$E,2,FALSE))),0)),
IF(OR(COUNTIF(D32,"*キャラ*"),COUNTIF(D32,"*赤*")),"",
IF(VLOOKUP("*"&amp;D32&amp;"*",商品マスタ!$D:$E,2,FALSE)=0,"",
IF(ROUND((H32-M32)
/VLOOKUP("*"&amp;D32&amp;"*",商品マスタ!$D:$E,2,FALSE),0)&lt;=0,1,
ROUND((H32-M32)
/VLOOKUP("*"&amp;D32&amp;"*",商品マスタ!$D:$E,2,FALSE),0))))),"")</f>
        <v/>
      </c>
      <c r="G32" s="45" t="str">
        <f ca="1">IF(F32&lt;&gt;"",
IF(VALUE(H32-M32)&gt;VALUE(IF(COUNTIF(D32,"*キャラ*"),
VLOOKUP("*キャラ*",商品マスタ!$D:$E,2,FALSE),
IF(COUNTIF(D32,"*赤*"),
VLOOKUP("*赤*",商品マスタ!$D:$E,2,FALSE),
VLOOKUP("*"&amp;D32&amp;"*",商品マスタ!$D:$E,2,FALSE)))*F32),
"+"&amp;(H32-M32)-IF(COUNTIF(D32,"*キャラ*"),
VLOOKUP("*キャラ*",商品マスタ!$D:$E,2,FALSE),
IF(COUNTIF(D32,"*赤*"),
VLOOKUP("*赤*",商品マスタ!$D:$E,2,FALSE),
VLOOKUP("*"&amp;D32&amp;"*",商品マスタ!$D:$E,2,FALSE)))*F32,
(H32-M32)-IF(COUNTIF(D32,"*キャラ*"),
VLOOKUP("*キャラ*",商品マスタ!$D:$E,2,FALSE),
IF(COUNTIF(D32,"*赤*"),
VLOOKUP("*赤*",商品マスタ!$D:$E,2,FALSE),
VLOOKUP("*"&amp;D32&amp;"*",商品マスタ!$D:$E,2,FALSE)))*F32),"")</f>
        <v/>
      </c>
      <c r="H32" s="99" t="str">
        <f>IF(C32&lt;&gt;"",
クライアント抽出!B32,"")</f>
        <v/>
      </c>
      <c r="I32" s="45" t="str">
        <f t="array" aca="1" ref="I32" ca="1">IF(C32&lt;&gt;"",
IF(O32=1,
IF(SUMPRODUCT(COUNTIF(クライアント抽出!P32:U32,クライアント抽出!P32:U32))&gt;COUNTA(クライアント抽出!P32:U32),
IFERROR(INDIRECT("数出表_Excel!"&amp;INDEX(_xlfn.UNIQUE(_xlfn._xlws.FILTER(クライアント抽出!P32:U32,COUNTIF(クライアント抽出!P32:U32,クライアント抽出!P32:U32)&gt;1)),1)&amp;L32&amp;""),
クライアント抽出!E32),0),クライアント抽出!E32),"")</f>
        <v/>
      </c>
      <c r="J32" s="45" t="str">
        <f>IF(C32&lt;&gt;"",
VLOOKUP(
"*"&amp;LEFT(IF(COUNTIF(D32,"*学食*"),"キャラ弁（学食）",
IF(COUNTIF(D32,"*赤*"),"赤",
IF(COUNTIF(D32,"*キャラ弁当*"),"キャラ弁当",D32))),4)&amp;"*",注文弁当の抽出!$F$1:$G$15,2,FALSE),"")</f>
        <v/>
      </c>
      <c r="K32" s="45" t="str">
        <f ca="1">IF(クライアント抽出!P32&lt;&gt;"",SUBSTITUTE(ADDRESS(1,(CODE(クライアント抽出!P32)-64)*2-1,4),"1",""),"")</f>
        <v/>
      </c>
      <c r="L32" s="45" t="str">
        <f>IF(C32&lt;&gt;"",クライアント抽出!I32,"")</f>
        <v/>
      </c>
      <c r="M32" s="45">
        <f t="array" aca="1" ref="M32" ca="1">IF(C32&lt;&gt;"",
IF(K32&lt;&gt;"",INDIRECT("'数出表_Excel（アレルギー入力）'!"&amp;K32&amp;L32-1&amp;""),),)</f>
        <v>0</v>
      </c>
      <c r="N32" s="45" t="str">
        <f>IF(C32&lt;&gt;"",IF(OR(COUNTIF('盛付札（関数）'!D32,"*赤*"),COUNTIF('盛付札（関数）'!D32,"*キャラ*")),1,
VALUE(VLOOKUP("*"&amp;D32&amp;"*",商品マスタ!D:H,5,FALSE))),"")</f>
        <v/>
      </c>
      <c r="O32" s="45">
        <f ca="1">IF(LEN(クライアント抽出!V32)-LEN(SUBSTITUTE(クライアント抽出!V32,",",""))&lt;&gt;1,
IF(AND(クライアント抽出!P32&lt;&gt;"",クライアント抽出!S32&lt;&gt;""),
IF(クライアント抽出!P32&lt;&gt;クライアント抽出!S32,1,0),0),0)</f>
        <v>0</v>
      </c>
      <c r="P32" s="45">
        <f t="shared" si="0"/>
        <v>0</v>
      </c>
      <c r="Q32" s="45" t="b">
        <f t="shared" si="1"/>
        <v>0</v>
      </c>
      <c r="R32" s="122" t="str">
        <f t="array" aca="1" ref="R32" ca="1">IFERROR(SMALL(IF(P$1:P$311&lt;&gt;0,P$1:P$311),ROW(A32)),"")</f>
        <v/>
      </c>
      <c r="S32" s="122" t="str">
        <f t="array" aca="1" ref="S32" ca="1">IF($R32&lt;&gt;"",
SUBSTITUTE(SUBSTITUTE(INDIRECT("C"&amp;$R32&amp;"")," 週3ｺｰｽ","")," 週5ｺｰｽ",""),"")</f>
        <v/>
      </c>
      <c r="T32" s="122" t="str">
        <f t="array" aca="1" ref="T32" ca="1">IF(IF($R32&lt;&gt;"",
INDIRECT(""&amp;IF(COLUMN(D32)&lt;=26,CHAR(COLUMN(D32)+64),CHAR(INT((COLUMN(D32)-1)/26)+64)&amp;CHAR(MOD(COLUMN(D32)-1,26)+65))&amp;$R32&amp;""),"")=0,"",
IF($R32&lt;&gt;"",
INDIRECT(""&amp;IF(COLUMN(D32)&lt;=26,CHAR(COLUMN(D32)+64),CHAR(INT((COLUMN(D32)-1)/26)+64)&amp;CHAR(MOD(COLUMN(D32)-1,26)+65))&amp;$R32&amp;""),""))</f>
        <v/>
      </c>
      <c r="U32" s="185" t="str">
        <f t="array" aca="1" ref="U32" ca="1">IF($R32&lt;&gt;"",
INDIRECT("F"&amp;$R32&amp;""),"")</f>
        <v/>
      </c>
      <c r="V32" s="122" t="str">
        <f t="array" aca="1" ref="V32" ca="1">IF($R32&lt;&gt;"",
INDIRECT("G"&amp;$R32&amp;""),"")</f>
        <v/>
      </c>
      <c r="W32" s="122" t="str" cm="1">
        <f t="array" aca="1" ref="W32" ca="1">IF($R32&lt;&gt;"",
IF(AND(COUNTIF(INDIRECT("B"&amp;R32&amp;""),"*雙葉*"),COUNTIF($B$71:$B$210,"*雙葉*")&gt;=1),
IF(OR(COUNTIF(INDIRECT("B"&amp;R32&amp;""),"*雙葉先生*"),COUNTIF(INDIRECT("B"&amp;R32-1&amp;""),"*雙葉*")),INDIRECT("H"&amp;R32&amp;""),INDIRECT("H"&amp;R32&amp;"")+INDIRECT("H"&amp;MATCH("雙葉'",INDIRECT("B"&amp;R32+3&amp;":B210"),0)+2+R32&amp;"")),
IF(AND(LEFT(INDIRECT("B"&amp;R32&amp;""),2)="博多",COUNTIF(B:B,"*博多*")&gt;=2),
INDIRECT("H"&amp;R32&amp;"")+IFERROR(INDIRECT("H"&amp;MATCH("*"&amp;INDIRECT("B"&amp;R32&amp;"")&amp;"*",INDIRECT("B"&amp;R32+1&amp;":B210"),0)+R32&amp;""),0),
IF(AND(LEFT(INDIRECT("B"&amp;R32&amp;""),3)="奈良屋",COUNTIF(B:B,"*奈良屋*")&gt;=2),
INDIRECT("H"&amp;R32&amp;"")
+INDIRECT("H"&amp;MATCH("*"&amp;INDIRECT("B"&amp;R32&amp;"")&amp;"*",INDIRECT("B"&amp;R32+1&amp;":B210"),0)+R32&amp;"")
+INDIRECT("H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
+INDIRECT("H"&amp;MATCH("*"&amp;INDIRECT("B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&amp;"*",INDIRECT("B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+1&amp;":B210"),0)+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,
INDIRECT("H"&amp;R32&amp;"")))),"")</f>
        <v/>
      </c>
      <c r="X32" s="122" t="str">
        <f t="array" aca="1" ref="X32" ca="1">IF($R32&lt;&gt;"",
INDIRECT(""&amp;IF(COLUMN(I32)&lt;=26,CHAR(COLUMN(I32)+64),CHAR(INT((COLUMN(I32)-1)/26)+64)&amp;CHAR(MOD(COLUMN(I32)-1,26)+65))&amp;$R32&amp;""),"")</f>
        <v/>
      </c>
      <c r="Y32" s="122" t="str">
        <f t="array" aca="1" ref="Y32" ca="1">IF($R32&lt;&gt;"",
INDIRECT(""&amp;IF(COLUMN(J32)&lt;=26,CHAR(COLUMN(J32)+64),CHAR(INT((COLUMN(J32)-1)/26)+64)&amp;CHAR(MOD(COLUMN(J32)-1,26)+65))&amp;$R32&amp;""),"")</f>
        <v/>
      </c>
      <c r="Z32" s="122" t="str">
        <f t="shared" ca="1" si="2"/>
        <v/>
      </c>
      <c r="AA32" s="122" t="str">
        <f t="shared" ca="1" si="3"/>
        <v/>
      </c>
      <c r="AB32" s="122" t="str">
        <f t="array" aca="1" ref="AB32" ca="1">IF($R32&lt;&gt;"",
IF(AND(COUNTIF(INDIRECT("B"&amp;R32&amp;""),"*雙葉*"),COUNTIF(INDIRECT("B"&amp;R32&amp;""),"&lt;&gt;*先生*"),COUNTIF(B:B,"*雙葉*")&gt;=2),
INDIRECT("M"&amp;R32&amp;"")+INDIRECT("M"&amp;MATCH("雙葉'",INDIRECT("B"&amp;R32+1&amp;":B210"),0)+R32&amp;""),
IF(AND(LEFT(INDIRECT("B"&amp;R32&amp;""),2)="博多",COUNTIF(B:B,"*博多*")&gt;=2),
INDIRECT("M"&amp;R32&amp;"")+INDIRECT("M"&amp;MATCH("*"&amp;INDIRECT("B"&amp;R32&amp;"")&amp;"*",INDIRECT("B"&amp;R32+1&amp;":B210"),0)+R32&amp;""),
IF(AND(LEFT(INDIRECT("B"&amp;R32&amp;""),3)="奈良屋",COUNTIF(B:B,"*奈良屋*")&gt;=2),
INDIRECT("M"&amp;R32&amp;"")+INDIRECT("M"&amp;MATCH("*"&amp;INDIRECT("B"&amp;R32&amp;"")&amp;"*",INDIRECT("B"&amp;R32+1&amp;":B210"),0)+R32&amp;"")
+INDIRECT("M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,
INDIRECT("M"&amp;R32&amp;"")))),"")</f>
        <v/>
      </c>
      <c r="AC32" s="122" t="str">
        <f t="shared" ca="1" si="4"/>
        <v/>
      </c>
      <c r="AD32" s="176" t="str">
        <f t="shared" ca="1" si="5"/>
        <v/>
      </c>
      <c r="AE32" s="176" t="str">
        <f t="shared" ca="1" si="6"/>
        <v/>
      </c>
      <c r="AF32" s="176" t="str">
        <f t="shared" ca="1" si="7"/>
        <v/>
      </c>
      <c r="AG32" s="176" t="str">
        <f t="shared" ca="1" si="8"/>
        <v/>
      </c>
      <c r="AH32" s="183" t="str">
        <f t="shared" ca="1" si="9"/>
        <v/>
      </c>
      <c r="AI32" s="176" t="str">
        <f t="shared" ca="1" si="10"/>
        <v/>
      </c>
      <c r="AJ32" s="176" t="str">
        <f t="shared" ca="1" si="11"/>
        <v/>
      </c>
      <c r="AK32" s="176" t="str">
        <f t="shared" ca="1" si="12"/>
        <v/>
      </c>
      <c r="AL32" s="176" t="str">
        <f t="shared" ca="1" si="13"/>
        <v/>
      </c>
      <c r="AM32" s="176" t="str">
        <f t="shared" ca="1" si="14"/>
        <v/>
      </c>
      <c r="AN32" s="176" t="str">
        <f t="shared" ca="1" si="15"/>
        <v/>
      </c>
      <c r="AO32" s="176" t="str">
        <f t="shared" ca="1" si="16"/>
        <v/>
      </c>
      <c r="AP32" s="176" t="str">
        <f t="shared" ca="1" si="17"/>
        <v/>
      </c>
      <c r="AU32" s="176" t="str">
        <f t="shared" ca="1" si="18"/>
        <v/>
      </c>
      <c r="AW32" s="106" t="str">
        <f ca="1">IFERROR(IF(AF32&lt;&gt;"",OFFSET('数出表_Excel（アレルギー入力）'!$A$1,MATCH(AF32,'数出表_Excel（アレルギー入力）'!A:A,0)-2,0),""),"")</f>
        <v/>
      </c>
      <c r="AX32" s="106" t="str">
        <f ca="1">IF(AW32&lt;&gt;"",
OFFSET(得意先マスタ!$A$1,MATCH(AW32,得意先マスタ!A:A,0)-1,24),"")</f>
        <v/>
      </c>
      <c r="AY32" s="57">
        <f t="shared" ca="1" si="21"/>
        <v>0</v>
      </c>
      <c r="AZ32" s="57">
        <f t="shared" ca="1" si="29"/>
        <v>0</v>
      </c>
      <c r="BA32" s="57">
        <f t="shared" ca="1" si="30"/>
        <v>0</v>
      </c>
      <c r="BB32" s="176">
        <f t="shared" ca="1" si="24"/>
        <v>0</v>
      </c>
    </row>
    <row r="33" spans="1:54" ht="18" customHeight="1">
      <c r="A33" s="101">
        <f t="shared" si="19"/>
        <v>71</v>
      </c>
      <c r="B33" s="45" t="str">
        <f t="shared" si="20"/>
        <v/>
      </c>
      <c r="C33" s="45" t="str">
        <f>IF(OR(クライアント抽出!B33&lt;&gt;"",クライアント抽出!E33&lt;&gt;""),クライアント抽出!A33,"")</f>
        <v/>
      </c>
      <c r="D33" s="45" t="str">
        <f t="array" aca="1" ref="D33" ca="1">IF(C33&lt;&gt;"",INDIRECT("クライアント抽出!"&amp;E33&amp;MATCH(C33,クライアント抽出!A:A,0)&amp;""),"")</f>
        <v/>
      </c>
      <c r="E33" s="45" t="str">
        <f>IF(H33&lt;&gt;0,
IFERROR(
SUBSTITUTE(ADDRESS(1,
MATCH(VALUE(H33),クライアント抽出!A33:G33,0)+8,4),"1",""),
""),
IFERROR(
SUBSTITUTE(ADDRESS(1,
MATCH(VALUE(I33),クライアント抽出!A33:G33,0)+8,4),"1",""),
""))</f>
        <v/>
      </c>
      <c r="F33" s="184" t="str">
        <f ca="1">IF(D33&lt;&gt;"",
IF(COUNTIF(C33,"*雙葉*"),
IF(ROUND((H33-M33)
/IF(COUNTIF(D33,"*キャラ*"),
VLOOKUP("*キャラ*",商品マスタ!$D:$E,2,FALSE),
IF(COUNTIF(D33,"*赤*"),
VLOOKUP("*赤*",商品マスタ!$D:$E,2,FALSE),
VLOOKUP("*"&amp;D33&amp;"*",商品マスタ!$D:$E,2,FALSE))),0)&lt;=0,1,
ROUND((H33-M33)
/IF(COUNTIF(D33,"*キャラ*"),
VLOOKUP("*キャラ*",商品マスタ!$D:$E,2,FALSE),
IF(COUNTIF(D33,"*赤*"),
VLOOKUP("*赤*",商品マスタ!$D:$E,2,FALSE),
VLOOKUP("*"&amp;D33&amp;"*",商品マスタ!$D:$E,2,FALSE))),0)),
IF(OR(COUNTIF(D33,"*キャラ*"),COUNTIF(D33,"*赤*")),"",
IF(VLOOKUP("*"&amp;D33&amp;"*",商品マスタ!$D:$E,2,FALSE)=0,"",
IF(ROUND((H33-M33)
/VLOOKUP("*"&amp;D33&amp;"*",商品マスタ!$D:$E,2,FALSE),0)&lt;=0,1,
ROUND((H33-M33)
/VLOOKUP("*"&amp;D33&amp;"*",商品マスタ!$D:$E,2,FALSE),0))))),"")</f>
        <v/>
      </c>
      <c r="G33" s="45" t="str">
        <f ca="1">IF(F33&lt;&gt;"",
IF(VALUE(H33-M33)&gt;VALUE(IF(COUNTIF(D33,"*キャラ*"),
VLOOKUP("*キャラ*",商品マスタ!$D:$E,2,FALSE),
IF(COUNTIF(D33,"*赤*"),
VLOOKUP("*赤*",商品マスタ!$D:$E,2,FALSE),
VLOOKUP("*"&amp;D33&amp;"*",商品マスタ!$D:$E,2,FALSE)))*F33),
"+"&amp;(H33-M33)-IF(COUNTIF(D33,"*キャラ*"),
VLOOKUP("*キャラ*",商品マスタ!$D:$E,2,FALSE),
IF(COUNTIF(D33,"*赤*"),
VLOOKUP("*赤*",商品マスタ!$D:$E,2,FALSE),
VLOOKUP("*"&amp;D33&amp;"*",商品マスタ!$D:$E,2,FALSE)))*F33,
(H33-M33)-IF(COUNTIF(D33,"*キャラ*"),
VLOOKUP("*キャラ*",商品マスタ!$D:$E,2,FALSE),
IF(COUNTIF(D33,"*赤*"),
VLOOKUP("*赤*",商品マスタ!$D:$E,2,FALSE),
VLOOKUP("*"&amp;D33&amp;"*",商品マスタ!$D:$E,2,FALSE)))*F33),"")</f>
        <v/>
      </c>
      <c r="H33" s="99" t="str">
        <f>IF(C33&lt;&gt;"",
クライアント抽出!B33,"")</f>
        <v/>
      </c>
      <c r="I33" s="45" t="str">
        <f t="array" aca="1" ref="I33" ca="1">IF(C33&lt;&gt;"",
IF(O33=1,
IF(SUMPRODUCT(COUNTIF(クライアント抽出!P33:U33,クライアント抽出!P33:U33))&gt;COUNTA(クライアント抽出!P33:U33),
IFERROR(INDIRECT("数出表_Excel!"&amp;INDEX(_xlfn.UNIQUE(_xlfn._xlws.FILTER(クライアント抽出!P33:U33,COUNTIF(クライアント抽出!P33:U33,クライアント抽出!P33:U33)&gt;1)),1)&amp;L33&amp;""),
クライアント抽出!E33),0),クライアント抽出!E33),"")</f>
        <v/>
      </c>
      <c r="J33" s="45" t="str">
        <f>IF(C33&lt;&gt;"",
VLOOKUP(
"*"&amp;LEFT(IF(COUNTIF(D33,"*学食*"),"キャラ弁（学食）",
IF(COUNTIF(D33,"*赤*"),"赤",
IF(COUNTIF(D33,"*キャラ弁当*"),"キャラ弁当",D33))),4)&amp;"*",注文弁当の抽出!$F$1:$G$15,2,FALSE),"")</f>
        <v/>
      </c>
      <c r="K33" s="45" t="str">
        <f ca="1">IF(クライアント抽出!P33&lt;&gt;"",SUBSTITUTE(ADDRESS(1,(CODE(クライアント抽出!P33)-64)*2-1,4),"1",""),"")</f>
        <v/>
      </c>
      <c r="L33" s="45" t="str">
        <f>IF(C33&lt;&gt;"",クライアント抽出!I33,"")</f>
        <v/>
      </c>
      <c r="M33" s="45">
        <f t="array" aca="1" ref="M33" ca="1">IF(C33&lt;&gt;"",
IF(K33&lt;&gt;"",INDIRECT("'数出表_Excel（アレルギー入力）'!"&amp;K33&amp;L33-1&amp;""),),)</f>
        <v>0</v>
      </c>
      <c r="N33" s="45" t="str">
        <f>IF(C33&lt;&gt;"",IF(OR(COUNTIF('盛付札（関数）'!D33,"*赤*"),COUNTIF('盛付札（関数）'!D33,"*キャラ*")),1,
VALUE(VLOOKUP("*"&amp;D33&amp;"*",商品マスタ!D:H,5,FALSE))),"")</f>
        <v/>
      </c>
      <c r="O33" s="45">
        <f ca="1">IF(LEN(クライアント抽出!V33)-LEN(SUBSTITUTE(クライアント抽出!V33,",",""))&lt;&gt;1,
IF(AND(クライアント抽出!P33&lt;&gt;"",クライアント抽出!S33&lt;&gt;""),
IF(クライアント抽出!P33&lt;&gt;クライアント抽出!S33,1,0),0),0)</f>
        <v>0</v>
      </c>
      <c r="P33" s="45">
        <f t="shared" si="0"/>
        <v>0</v>
      </c>
      <c r="Q33" s="45" t="b">
        <f t="shared" si="1"/>
        <v>0</v>
      </c>
      <c r="R33" s="122" t="str">
        <f t="array" aca="1" ref="R33" ca="1">IFERROR(SMALL(IF(P$1:P$311&lt;&gt;0,P$1:P$311),ROW(A33)),"")</f>
        <v/>
      </c>
      <c r="S33" s="122" t="str">
        <f t="array" aca="1" ref="S33" ca="1">IF($R33&lt;&gt;"",
SUBSTITUTE(SUBSTITUTE(INDIRECT("C"&amp;$R33&amp;"")," 週3ｺｰｽ","")," 週5ｺｰｽ",""),"")</f>
        <v/>
      </c>
      <c r="T33" s="122" t="str">
        <f t="array" aca="1" ref="T33" ca="1">IF(IF($R33&lt;&gt;"",
INDIRECT(""&amp;IF(COLUMN(D33)&lt;=26,CHAR(COLUMN(D33)+64),CHAR(INT((COLUMN(D33)-1)/26)+64)&amp;CHAR(MOD(COLUMN(D33)-1,26)+65))&amp;$R33&amp;""),"")=0,"",
IF($R33&lt;&gt;"",
INDIRECT(""&amp;IF(COLUMN(D33)&lt;=26,CHAR(COLUMN(D33)+64),CHAR(INT((COLUMN(D33)-1)/26)+64)&amp;CHAR(MOD(COLUMN(D33)-1,26)+65))&amp;$R33&amp;""),""))</f>
        <v/>
      </c>
      <c r="U33" s="185" t="str">
        <f t="array" aca="1" ref="U33" ca="1">IF($R33&lt;&gt;"",
INDIRECT("F"&amp;$R33&amp;""),"")</f>
        <v/>
      </c>
      <c r="V33" s="122" t="str">
        <f t="array" aca="1" ref="V33" ca="1">IF($R33&lt;&gt;"",
INDIRECT("G"&amp;$R33&amp;""),"")</f>
        <v/>
      </c>
      <c r="W33" s="122" t="str" cm="1">
        <f t="array" aca="1" ref="W33" ca="1">IF($R33&lt;&gt;"",
IF(AND(COUNTIF(INDIRECT("B"&amp;R33&amp;""),"*雙葉*"),COUNTIF($B$71:$B$210,"*雙葉*")&gt;=1),
IF(OR(COUNTIF(INDIRECT("B"&amp;R33&amp;""),"*雙葉先生*"),COUNTIF(INDIRECT("B"&amp;R33-1&amp;""),"*雙葉*")),INDIRECT("H"&amp;R33&amp;""),INDIRECT("H"&amp;R33&amp;"")+INDIRECT("H"&amp;MATCH("雙葉'",INDIRECT("B"&amp;R33+3&amp;":B210"),0)+2+R33&amp;"")),
IF(AND(LEFT(INDIRECT("B"&amp;R33&amp;""),2)="博多",COUNTIF(B:B,"*博多*")&gt;=2),
INDIRECT("H"&amp;R33&amp;"")+IFERROR(INDIRECT("H"&amp;MATCH("*"&amp;INDIRECT("B"&amp;R33&amp;"")&amp;"*",INDIRECT("B"&amp;R33+1&amp;":B210"),0)+R33&amp;""),0),
IF(AND(LEFT(INDIRECT("B"&amp;R33&amp;""),3)="奈良屋",COUNTIF(B:B,"*奈良屋*")&gt;=2),
INDIRECT("H"&amp;R33&amp;"")
+INDIRECT("H"&amp;MATCH("*"&amp;INDIRECT("B"&amp;R33&amp;"")&amp;"*",INDIRECT("B"&amp;R33+1&amp;":B210"),0)+R33&amp;"")
+INDIRECT("H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
+INDIRECT("H"&amp;MATCH("*"&amp;INDIRECT("B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&amp;"*",INDIRECT("B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+1&amp;":B210"),0)+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,
INDIRECT("H"&amp;R33&amp;"")))),"")</f>
        <v/>
      </c>
      <c r="X33" s="122" t="str">
        <f t="array" aca="1" ref="X33" ca="1">IF($R33&lt;&gt;"",
INDIRECT(""&amp;IF(COLUMN(I33)&lt;=26,CHAR(COLUMN(I33)+64),CHAR(INT((COLUMN(I33)-1)/26)+64)&amp;CHAR(MOD(COLUMN(I33)-1,26)+65))&amp;$R33&amp;""),"")</f>
        <v/>
      </c>
      <c r="Y33" s="122" t="str">
        <f t="array" aca="1" ref="Y33" ca="1">IF($R33&lt;&gt;"",
INDIRECT(""&amp;IF(COLUMN(J33)&lt;=26,CHAR(COLUMN(J33)+64),CHAR(INT((COLUMN(J33)-1)/26)+64)&amp;CHAR(MOD(COLUMN(J33)-1,26)+65))&amp;$R33&amp;""),"")</f>
        <v/>
      </c>
      <c r="Z33" s="122" t="str">
        <f t="shared" ca="1" si="2"/>
        <v/>
      </c>
      <c r="AA33" s="122" t="str">
        <f t="shared" ca="1" si="3"/>
        <v/>
      </c>
      <c r="AB33" s="122" t="str">
        <f t="array" aca="1" ref="AB33" ca="1">IF($R33&lt;&gt;"",
IF(AND(COUNTIF(INDIRECT("B"&amp;R33&amp;""),"*雙葉*"),COUNTIF(INDIRECT("B"&amp;R33&amp;""),"&lt;&gt;*先生*"),COUNTIF(B:B,"*雙葉*")&gt;=2),
INDIRECT("M"&amp;R33&amp;"")+INDIRECT("M"&amp;MATCH("雙葉'",INDIRECT("B"&amp;R33+1&amp;":B210"),0)+R33&amp;""),
IF(AND(LEFT(INDIRECT("B"&amp;R33&amp;""),2)="博多",COUNTIF(B:B,"*博多*")&gt;=2),
INDIRECT("M"&amp;R33&amp;"")+INDIRECT("M"&amp;MATCH("*"&amp;INDIRECT("B"&amp;R33&amp;"")&amp;"*",INDIRECT("B"&amp;R33+1&amp;":B210"),0)+R33&amp;""),
IF(AND(LEFT(INDIRECT("B"&amp;R33&amp;""),3)="奈良屋",COUNTIF(B:B,"*奈良屋*")&gt;=2),
INDIRECT("M"&amp;R33&amp;"")+INDIRECT("M"&amp;MATCH("*"&amp;INDIRECT("B"&amp;R33&amp;"")&amp;"*",INDIRECT("B"&amp;R33+1&amp;":B210"),0)+R33&amp;"")
+INDIRECT("M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,
INDIRECT("M"&amp;R33&amp;"")))),"")</f>
        <v/>
      </c>
      <c r="AC33" s="122" t="str">
        <f t="shared" ca="1" si="4"/>
        <v/>
      </c>
      <c r="AD33" s="176" t="str">
        <f t="shared" ca="1" si="5"/>
        <v/>
      </c>
      <c r="AE33" s="176" t="str">
        <f t="shared" ca="1" si="6"/>
        <v/>
      </c>
      <c r="AF33" s="176" t="str">
        <f t="shared" ca="1" si="7"/>
        <v/>
      </c>
      <c r="AG33" s="176" t="str">
        <f t="shared" ca="1" si="8"/>
        <v/>
      </c>
      <c r="AH33" s="183" t="str">
        <f t="shared" ca="1" si="9"/>
        <v/>
      </c>
      <c r="AI33" s="176" t="str">
        <f t="shared" ca="1" si="10"/>
        <v/>
      </c>
      <c r="AJ33" s="176" t="str">
        <f t="shared" ca="1" si="11"/>
        <v/>
      </c>
      <c r="AK33" s="176" t="str">
        <f t="shared" ca="1" si="12"/>
        <v/>
      </c>
      <c r="AL33" s="176" t="str">
        <f t="shared" ca="1" si="13"/>
        <v/>
      </c>
      <c r="AM33" s="176" t="str">
        <f t="shared" ca="1" si="14"/>
        <v/>
      </c>
      <c r="AN33" s="176" t="str">
        <f t="shared" ca="1" si="15"/>
        <v/>
      </c>
      <c r="AO33" s="176" t="str">
        <f t="shared" ca="1" si="16"/>
        <v/>
      </c>
      <c r="AP33" s="176" t="str">
        <f t="shared" ca="1" si="17"/>
        <v/>
      </c>
      <c r="AU33" s="176" t="str">
        <f t="shared" ca="1" si="18"/>
        <v/>
      </c>
      <c r="AW33" s="106" t="str">
        <f ca="1">IFERROR(IF(AF33&lt;&gt;"",OFFSET('数出表_Excel（アレルギー入力）'!$A$1,MATCH(AF33,'数出表_Excel（アレルギー入力）'!A:A,0)-2,0),""),"")</f>
        <v/>
      </c>
      <c r="AX33" s="106" t="str">
        <f ca="1">IF(AW33&lt;&gt;"",
OFFSET(得意先マスタ!$A$1,MATCH(AW33,得意先マスタ!A:A,0)-1,24),"")</f>
        <v/>
      </c>
      <c r="AY33" s="57">
        <f t="shared" ca="1" si="21"/>
        <v>0</v>
      </c>
      <c r="AZ33" s="57">
        <f t="shared" ca="1" si="29"/>
        <v>0</v>
      </c>
      <c r="BA33" s="57">
        <f t="shared" ca="1" si="30"/>
        <v>0</v>
      </c>
      <c r="BB33" s="176">
        <f t="shared" ca="1" si="24"/>
        <v>0</v>
      </c>
    </row>
    <row r="34" spans="1:54" ht="22.2" customHeight="1">
      <c r="A34" s="101">
        <f t="shared" ref="A34:A70" si="31">A33+2</f>
        <v>73</v>
      </c>
      <c r="B34" s="45" t="str">
        <f t="shared" ref="B34:B65" si="32">IF(COUNTIF(C34,"*雙葉*"),
IF(COUNTIF(C34,"*先生*"),"雙葉先生","雙葉"),
IF(COUNTIF(C34,"*社食*"),"社食'",
IF(LEFT(C34,2)="博多",
IF(COUNTIF(C34,"*別注*"),
IFERROR(TRIM(LEFT(C34,FIND("週",C34)-1)),TRIM(C34)),
IF(IFERROR(TRIM(LEFT(C33,FIND("週",C33)-1)),TRIM(C33))=IFERROR(TRIM(LEFT(C34,FIND("週",C34)-1)),TRIM(C34)),
IFERROR(TRIM(LEFT(C34,FIND("週",C34)-1)),TRIM(C34))&amp;"'",IFERROR(TRIM(LEFT(C34,FIND("週",C34)-1)),TRIM(C34)))),
IF(LEFT(C34,3)="奈良屋",
IF(IFERROR(TRIM(LEFT(C33,FIND("幼",C33)-1)),TRIM(C33))=IFERROR(TRIM(LEFT(C34,FIND("幼",C34)-1)),TRIM(C34)),
"奈良屋'","奈良屋"),""))))</f>
        <v/>
      </c>
      <c r="C34" s="45" t="str">
        <f>IF(OR(クライアント抽出!B34&lt;&gt;"",クライアント抽出!E34&lt;&gt;""),クライアント抽出!A34,"")</f>
        <v/>
      </c>
      <c r="D34" s="45" t="str">
        <f t="array" aca="1" ref="D34" ca="1">IF(C34&lt;&gt;"",INDIRECT("クライアント抽出!"&amp;E34&amp;MATCH(C34,クライアント抽出!A:A,0)&amp;""),"")</f>
        <v/>
      </c>
      <c r="E34" s="45" t="str">
        <f>IF(H34&lt;&gt;0,
IFERROR(
SUBSTITUTE(ADDRESS(1,
MATCH(VALUE(H34),クライアント抽出!A34:G34,0)+8,4),"1",""),
""),
IFERROR(
SUBSTITUTE(ADDRESS(1,
MATCH(VALUE(I34),クライアント抽出!A34:G34,0)+8,4),"1",""),
""))</f>
        <v/>
      </c>
      <c r="F34" s="184" t="str">
        <f ca="1">IF(D34&lt;&gt;"",
IF(COUNTIF(C34,"*雙葉*"),
IF(ROUND((H34-M34)
/IF(COUNTIF(D34,"*キャラ*"),
VLOOKUP("*キャラ*",商品マスタ!$D:$E,2,FALSE),
IF(COUNTIF(D34,"*赤*"),
VLOOKUP("*赤*",商品マスタ!$D:$E,2,FALSE),
VLOOKUP("*"&amp;D34&amp;"*",商品マスタ!$D:$E,2,FALSE))),0)&lt;=0,1,
ROUND((H34-M34)
/IF(COUNTIF(D34,"*キャラ*"),
VLOOKUP("*キャラ*",商品マスタ!$D:$E,2,FALSE),
IF(COUNTIF(D34,"*赤*"),
VLOOKUP("*赤*",商品マスタ!$D:$E,2,FALSE),
VLOOKUP("*"&amp;D34&amp;"*",商品マスタ!$D:$E,2,FALSE))),0)),
IF(OR(COUNTIF(D34,"*キャラ*"),COUNTIF(D34,"*赤*")),"",
IF(VLOOKUP("*"&amp;D34&amp;"*",商品マスタ!$D:$E,2,FALSE)=0,"",
IF(ROUND((H34-M34)
/VLOOKUP("*"&amp;D34&amp;"*",商品マスタ!$D:$E,2,FALSE),0)&lt;=0,1,
ROUND((H34-M34)
/VLOOKUP("*"&amp;D34&amp;"*",商品マスタ!$D:$E,2,FALSE),0))))),"")</f>
        <v/>
      </c>
      <c r="G34" s="45" t="str">
        <f ca="1">IF(F34&lt;&gt;"",
IF(VALUE(H34-M34)&gt;VALUE(IF(COUNTIF(D34,"*キャラ*"),
VLOOKUP("*キャラ*",商品マスタ!$D:$E,2,FALSE),
IF(COUNTIF(D34,"*赤*"),
VLOOKUP("*赤*",商品マスタ!$D:$E,2,FALSE),
VLOOKUP("*"&amp;D34&amp;"*",商品マスタ!$D:$E,2,FALSE)))*F34),
"+"&amp;(H34-M34)-IF(COUNTIF(D34,"*キャラ*"),
VLOOKUP("*キャラ*",商品マスタ!$D:$E,2,FALSE),
IF(COUNTIF(D34,"*赤*"),
VLOOKUP("*赤*",商品マスタ!$D:$E,2,FALSE),
VLOOKUP("*"&amp;D34&amp;"*",商品マスタ!$D:$E,2,FALSE)))*F34,
(H34-M34)-IF(COUNTIF(D34,"*キャラ*"),
VLOOKUP("*キャラ*",商品マスタ!$D:$E,2,FALSE),
IF(COUNTIF(D34,"*赤*"),
VLOOKUP("*赤*",商品マスタ!$D:$E,2,FALSE),
VLOOKUP("*"&amp;D34&amp;"*",商品マスタ!$D:$E,2,FALSE)))*F34),"")</f>
        <v/>
      </c>
      <c r="H34" s="99" t="str">
        <f>IF(C34&lt;&gt;"",
クライアント抽出!B34,"")</f>
        <v/>
      </c>
      <c r="I34" s="45" t="str">
        <f t="array" aca="1" ref="I34" ca="1">IF(C34&lt;&gt;"",
IF(O34=1,
IF(SUMPRODUCT(COUNTIF(クライアント抽出!P34:U34,クライアント抽出!P34:U34))&gt;COUNTA(クライアント抽出!P34:U34),
IFERROR(INDIRECT("数出表_Excel!"&amp;INDEX(_xlfn.UNIQUE(_xlfn._xlws.FILTER(クライアント抽出!P34:U34,COUNTIF(クライアント抽出!P34:U34,クライアント抽出!P34:U34)&gt;1)),1)&amp;L34&amp;""),
クライアント抽出!E34),0),クライアント抽出!E34),"")</f>
        <v/>
      </c>
      <c r="J34" s="45" t="str">
        <f>IF(C34&lt;&gt;"",
VLOOKUP(
"*"&amp;LEFT(IF(COUNTIF(D34,"*学食*"),"キャラ弁（学食）",
IF(COUNTIF(D34,"*赤*"),"赤",
IF(COUNTIF(D34,"*キャラ弁当*"),"キャラ弁当",D34))),4)&amp;"*",注文弁当の抽出!$F$1:$G$15,2,FALSE),"")</f>
        <v/>
      </c>
      <c r="K34" s="45" t="str">
        <f ca="1">IF(クライアント抽出!P34&lt;&gt;"",SUBSTITUTE(ADDRESS(1,(CODE(クライアント抽出!P34)-64)*2-1,4),"1",""),"")</f>
        <v/>
      </c>
      <c r="L34" s="45" t="str">
        <f>IF(C34&lt;&gt;"",クライアント抽出!I34,"")</f>
        <v/>
      </c>
      <c r="M34" s="45">
        <f t="array" aca="1" ref="M34" ca="1">IF(C34&lt;&gt;"",
IF(K34&lt;&gt;"",INDIRECT("'数出表_Excel（アレルギー入力）'!"&amp;K34&amp;L34-1&amp;""),),)</f>
        <v>0</v>
      </c>
      <c r="N34" s="45" t="str">
        <f>IF(C34&lt;&gt;"",IF(OR(COUNTIF('盛付札（関数）'!D34,"*赤*"),COUNTIF('盛付札（関数）'!D34,"*キャラ*")),1,
VALUE(VLOOKUP("*"&amp;D34&amp;"*",商品マスタ!D:H,5,FALSE))),"")</f>
        <v/>
      </c>
      <c r="O34" s="45">
        <f ca="1">IF(LEN(クライアント抽出!V34)-LEN(SUBSTITUTE(クライアント抽出!V34,",",""))&lt;&gt;1,
IF(AND(クライアント抽出!P34&lt;&gt;"",クライアント抽出!S34&lt;&gt;""),
IF(クライアント抽出!P34&lt;&gt;クライアント抽出!S34,1,0),0),0)</f>
        <v>0</v>
      </c>
      <c r="P34" s="45">
        <f t="shared" si="0"/>
        <v>0</v>
      </c>
      <c r="Q34" s="45" t="b">
        <f t="shared" si="1"/>
        <v>0</v>
      </c>
      <c r="R34" s="122" t="str">
        <f t="array" aca="1" ref="R34" ca="1">IFERROR(SMALL(IF(P$1:P$311&lt;&gt;0,P$1:P$311),ROW(A34)),"")</f>
        <v/>
      </c>
      <c r="S34" s="122" t="str">
        <f t="array" aca="1" ref="S34" ca="1">IF($R34&lt;&gt;"",
SUBSTITUTE(SUBSTITUTE(INDIRECT("C"&amp;$R34&amp;"")," 週3ｺｰｽ","")," 週5ｺｰｽ",""),"")</f>
        <v/>
      </c>
      <c r="T34" s="122" t="str">
        <f t="array" aca="1" ref="T34" ca="1">IF(IF($R34&lt;&gt;"",
INDIRECT(""&amp;IF(COLUMN(D34)&lt;=26,CHAR(COLUMN(D34)+64),CHAR(INT((COLUMN(D34)-1)/26)+64)&amp;CHAR(MOD(COLUMN(D34)-1,26)+65))&amp;$R34&amp;""),"")=0,"",
IF($R34&lt;&gt;"",
INDIRECT(""&amp;IF(COLUMN(D34)&lt;=26,CHAR(COLUMN(D34)+64),CHAR(INT((COLUMN(D34)-1)/26)+64)&amp;CHAR(MOD(COLUMN(D34)-1,26)+65))&amp;$R34&amp;""),""))</f>
        <v/>
      </c>
      <c r="U34" s="185" t="str">
        <f t="array" aca="1" ref="U34" ca="1">IF($R34&lt;&gt;"",
INDIRECT("F"&amp;$R34&amp;""),"")</f>
        <v/>
      </c>
      <c r="V34" s="122" t="str">
        <f t="array" aca="1" ref="V34" ca="1">IF($R34&lt;&gt;"",
INDIRECT("G"&amp;$R34&amp;""),"")</f>
        <v/>
      </c>
      <c r="W34" s="122" t="str" cm="1">
        <f t="array" aca="1" ref="W34" ca="1">IF($R34&lt;&gt;"",
IF(AND(COUNTIF(INDIRECT("B"&amp;R34&amp;""),"*雙葉*"),COUNTIF($B$71:$B$210,"*雙葉*")&gt;=1),
IF(OR(COUNTIF(INDIRECT("B"&amp;R34&amp;""),"*雙葉先生*"),COUNTIF(INDIRECT("B"&amp;R34-1&amp;""),"*雙葉*")),INDIRECT("H"&amp;R34&amp;""),INDIRECT("H"&amp;R34&amp;"")+INDIRECT("H"&amp;MATCH("雙葉'",INDIRECT("B"&amp;R34+3&amp;":B210"),0)+2+R34&amp;"")),
IF(AND(LEFT(INDIRECT("B"&amp;R34&amp;""),2)="博多",COUNTIF(B:B,"*博多*")&gt;=2),
INDIRECT("H"&amp;R34&amp;"")+IFERROR(INDIRECT("H"&amp;MATCH("*"&amp;INDIRECT("B"&amp;R34&amp;"")&amp;"*",INDIRECT("B"&amp;R34+1&amp;":B210"),0)+R34&amp;""),0),
IF(AND(LEFT(INDIRECT("B"&amp;R34&amp;""),3)="奈良屋",COUNTIF(B:B,"*奈良屋*")&gt;=2),
INDIRECT("H"&amp;R34&amp;"")
+INDIRECT("H"&amp;MATCH("*"&amp;INDIRECT("B"&amp;R34&amp;"")&amp;"*",INDIRECT("B"&amp;R34+1&amp;":B210"),0)+R34&amp;"")
+INDIRECT("H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
+INDIRECT("H"&amp;MATCH("*"&amp;INDIRECT("B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&amp;"*",INDIRECT("B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+1&amp;":B210"),0)+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,
INDIRECT("H"&amp;R34&amp;"")))),"")</f>
        <v/>
      </c>
      <c r="X34" s="122" t="str">
        <f t="array" aca="1" ref="X34" ca="1">IF($R34&lt;&gt;"",
INDIRECT(""&amp;IF(COLUMN(I34)&lt;=26,CHAR(COLUMN(I34)+64),CHAR(INT((COLUMN(I34)-1)/26)+64)&amp;CHAR(MOD(COLUMN(I34)-1,26)+65))&amp;$R34&amp;""),"")</f>
        <v/>
      </c>
      <c r="Y34" s="122" t="str">
        <f t="array" aca="1" ref="Y34" ca="1">IF($R34&lt;&gt;"",
INDIRECT(""&amp;IF(COLUMN(J34)&lt;=26,CHAR(COLUMN(J34)+64),CHAR(INT((COLUMN(J34)-1)/26)+64)&amp;CHAR(MOD(COLUMN(J34)-1,26)+65))&amp;$R34&amp;""),"")</f>
        <v/>
      </c>
      <c r="Z34" s="122" t="str">
        <f t="shared" ca="1" si="2"/>
        <v/>
      </c>
      <c r="AA34" s="122" t="str">
        <f t="shared" ca="1" si="3"/>
        <v/>
      </c>
      <c r="AB34" s="122" t="str">
        <f t="array" aca="1" ref="AB34" ca="1">IF($R34&lt;&gt;"",
IF(AND(COUNTIF(INDIRECT("B"&amp;R34&amp;""),"*雙葉*"),COUNTIF(INDIRECT("B"&amp;R34&amp;""),"&lt;&gt;*先生*"),COUNTIF(B:B,"*雙葉*")&gt;=2),
INDIRECT("M"&amp;R34&amp;"")+INDIRECT("M"&amp;MATCH("雙葉'",INDIRECT("B"&amp;R34+1&amp;":B210"),0)+R34&amp;""),
IF(AND(LEFT(INDIRECT("B"&amp;R34&amp;""),2)="博多",COUNTIF(B:B,"*博多*")&gt;=2),
INDIRECT("M"&amp;R34&amp;"")+INDIRECT("M"&amp;MATCH("*"&amp;INDIRECT("B"&amp;R34&amp;"")&amp;"*",INDIRECT("B"&amp;R34+1&amp;":B210"),0)+R34&amp;""),
IF(AND(LEFT(INDIRECT("B"&amp;R34&amp;""),3)="奈良屋",COUNTIF(B:B,"*奈良屋*")&gt;=2),
INDIRECT("M"&amp;R34&amp;"")+INDIRECT("M"&amp;MATCH("*"&amp;INDIRECT("B"&amp;R34&amp;"")&amp;"*",INDIRECT("B"&amp;R34+1&amp;":B210"),0)+R34&amp;"")
+INDIRECT("M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,
INDIRECT("M"&amp;R34&amp;"")))),"")</f>
        <v/>
      </c>
      <c r="AC34" s="122" t="str">
        <f t="shared" ca="1" si="4"/>
        <v/>
      </c>
      <c r="AD34" s="176" t="str">
        <f t="shared" ca="1" si="5"/>
        <v/>
      </c>
      <c r="AE34" s="176" t="str">
        <f t="shared" ca="1" si="6"/>
        <v/>
      </c>
      <c r="AF34" s="176" t="str">
        <f t="shared" ca="1" si="7"/>
        <v/>
      </c>
      <c r="AG34" s="176" t="str">
        <f t="shared" ca="1" si="8"/>
        <v/>
      </c>
      <c r="AH34" s="183" t="str">
        <f t="shared" ca="1" si="9"/>
        <v/>
      </c>
      <c r="AI34" s="176" t="str">
        <f t="shared" ca="1" si="10"/>
        <v/>
      </c>
      <c r="AJ34" s="176" t="str">
        <f t="shared" ca="1" si="11"/>
        <v/>
      </c>
      <c r="AK34" s="176" t="str">
        <f t="shared" ca="1" si="12"/>
        <v/>
      </c>
      <c r="AL34" s="176" t="str">
        <f t="shared" ca="1" si="13"/>
        <v/>
      </c>
      <c r="AM34" s="176" t="str">
        <f t="shared" ca="1" si="14"/>
        <v/>
      </c>
      <c r="AN34" s="176" t="str">
        <f t="shared" ca="1" si="15"/>
        <v/>
      </c>
      <c r="AO34" s="176" t="str">
        <f t="shared" ca="1" si="16"/>
        <v/>
      </c>
      <c r="AP34" s="176" t="str">
        <f t="shared" ca="1" si="17"/>
        <v/>
      </c>
      <c r="AU34" s="176" t="str">
        <f t="shared" ca="1" si="18"/>
        <v/>
      </c>
      <c r="AW34" s="106" t="str">
        <f ca="1">IFERROR(IF(AF34&lt;&gt;"",OFFSET('数出表_Excel（アレルギー入力）'!$A$1,MATCH(AF34,'数出表_Excel（アレルギー入力）'!A:A,0)-2,0),""),"")</f>
        <v/>
      </c>
      <c r="AX34" s="106" t="str">
        <f ca="1">IF(AW34&lt;&gt;"",
OFFSET(得意先マスタ!$A$1,MATCH(AW34,得意先マスタ!A:A,0)-1,24),"")</f>
        <v/>
      </c>
      <c r="AY34" s="57">
        <f t="shared" ca="1" si="21"/>
        <v>0</v>
      </c>
      <c r="AZ34" s="57">
        <f t="shared" ca="1" si="29"/>
        <v>0</v>
      </c>
      <c r="BA34" s="57">
        <f t="shared" ca="1" si="30"/>
        <v>0</v>
      </c>
      <c r="BB34" s="176">
        <f t="shared" ca="1" si="24"/>
        <v>0</v>
      </c>
    </row>
    <row r="35" spans="1:54" ht="21" customHeight="1">
      <c r="A35" s="101">
        <f t="shared" si="31"/>
        <v>75</v>
      </c>
      <c r="B35" s="45" t="str">
        <f t="shared" si="32"/>
        <v/>
      </c>
      <c r="C35" s="45" t="str">
        <f>IF(OR(クライアント抽出!B35&lt;&gt;"",クライアント抽出!E35&lt;&gt;""),クライアント抽出!A35,"")</f>
        <v/>
      </c>
      <c r="D35" s="45" t="str">
        <f t="array" aca="1" ref="D35" ca="1">IF(C35&lt;&gt;"",INDIRECT("クライアント抽出!"&amp;E35&amp;MATCH(C35,クライアント抽出!A:A,0)&amp;""),"")</f>
        <v/>
      </c>
      <c r="E35" s="45" t="str">
        <f>IF(H35&lt;&gt;0,
IFERROR(
SUBSTITUTE(ADDRESS(1,
MATCH(VALUE(H35),クライアント抽出!A35:G35,0)+8,4),"1",""),
""),
IFERROR(
SUBSTITUTE(ADDRESS(1,
MATCH(VALUE(I35),クライアント抽出!A35:G35,0)+8,4),"1",""),
""))</f>
        <v/>
      </c>
      <c r="F35" s="184" t="str">
        <f ca="1">IF(D35&lt;&gt;"",
IF(COUNTIF(C35,"*雙葉*"),
IF(ROUND((H35-M35)
/IF(COUNTIF(D35,"*キャラ*"),
VLOOKUP("*キャラ*",商品マスタ!$D:$E,2,FALSE),
IF(COUNTIF(D35,"*赤*"),
VLOOKUP("*赤*",商品マスタ!$D:$E,2,FALSE),
VLOOKUP("*"&amp;D35&amp;"*",商品マスタ!$D:$E,2,FALSE))),0)&lt;=0,1,
ROUND((H35-M35)
/IF(COUNTIF(D35,"*キャラ*"),
VLOOKUP("*キャラ*",商品マスタ!$D:$E,2,FALSE),
IF(COUNTIF(D35,"*赤*"),
VLOOKUP("*赤*",商品マスタ!$D:$E,2,FALSE),
VLOOKUP("*"&amp;D35&amp;"*",商品マスタ!$D:$E,2,FALSE))),0)),
IF(OR(COUNTIF(D35,"*キャラ*"),COUNTIF(D35,"*赤*")),"",
IF(VLOOKUP("*"&amp;D35&amp;"*",商品マスタ!$D:$E,2,FALSE)=0,"",
IF(ROUND((H35-M35)
/VLOOKUP("*"&amp;D35&amp;"*",商品マスタ!$D:$E,2,FALSE),0)&lt;=0,1,
ROUND((H35-M35)
/VLOOKUP("*"&amp;D35&amp;"*",商品マスタ!$D:$E,2,FALSE),0))))),"")</f>
        <v/>
      </c>
      <c r="G35" s="45" t="str">
        <f ca="1">IF(F35&lt;&gt;"",
IF(VALUE(H35-M35)&gt;VALUE(IF(COUNTIF(D35,"*キャラ*"),
VLOOKUP("*キャラ*",商品マスタ!$D:$E,2,FALSE),
IF(COUNTIF(D35,"*赤*"),
VLOOKUP("*赤*",商品マスタ!$D:$E,2,FALSE),
VLOOKUP("*"&amp;D35&amp;"*",商品マスタ!$D:$E,2,FALSE)))*F35),
"+"&amp;(H35-M35)-IF(COUNTIF(D35,"*キャラ*"),
VLOOKUP("*キャラ*",商品マスタ!$D:$E,2,FALSE),
IF(COUNTIF(D35,"*赤*"),
VLOOKUP("*赤*",商品マスタ!$D:$E,2,FALSE),
VLOOKUP("*"&amp;D35&amp;"*",商品マスタ!$D:$E,2,FALSE)))*F35,
(H35-M35)-IF(COUNTIF(D35,"*キャラ*"),
VLOOKUP("*キャラ*",商品マスタ!$D:$E,2,FALSE),
IF(COUNTIF(D35,"*赤*"),
VLOOKUP("*赤*",商品マスタ!$D:$E,2,FALSE),
VLOOKUP("*"&amp;D35&amp;"*",商品マスタ!$D:$E,2,FALSE)))*F35),"")</f>
        <v/>
      </c>
      <c r="H35" s="99" t="str">
        <f>IF(C35&lt;&gt;"",
クライアント抽出!B35,"")</f>
        <v/>
      </c>
      <c r="I35" s="45" t="str">
        <f t="array" aca="1" ref="I35" ca="1">IF(C35&lt;&gt;"",
IF(O35=1,
IF(SUMPRODUCT(COUNTIF(クライアント抽出!P35:U35,クライアント抽出!P35:U35))&gt;COUNTA(クライアント抽出!P35:U35),
IFERROR(INDIRECT("数出表_Excel!"&amp;INDEX(_xlfn.UNIQUE(_xlfn._xlws.FILTER(クライアント抽出!P35:U35,COUNTIF(クライアント抽出!P35:U35,クライアント抽出!P35:U35)&gt;1)),1)&amp;L35&amp;""),
クライアント抽出!E35),0),クライアント抽出!E35),"")</f>
        <v/>
      </c>
      <c r="J35" s="45" t="str">
        <f>IF(C35&lt;&gt;"",
VLOOKUP(
"*"&amp;LEFT(IF(COUNTIF(D35,"*学食*"),"キャラ弁（学食）",
IF(COUNTIF(D35,"*赤*"),"赤",
IF(COUNTIF(D35,"*キャラ弁当*"),"キャラ弁当",D35))),4)&amp;"*",注文弁当の抽出!$F$1:$G$15,2,FALSE),"")</f>
        <v/>
      </c>
      <c r="K35" s="45" t="str">
        <f ca="1">IF(クライアント抽出!P35&lt;&gt;"",SUBSTITUTE(ADDRESS(1,(CODE(クライアント抽出!P35)-64)*2-1,4),"1",""),"")</f>
        <v/>
      </c>
      <c r="L35" s="45" t="str">
        <f>IF(C35&lt;&gt;"",クライアント抽出!I35,"")</f>
        <v/>
      </c>
      <c r="M35" s="45">
        <f t="array" aca="1" ref="M35" ca="1">IF(C35&lt;&gt;"",
IF(K35&lt;&gt;"",INDIRECT("'数出表_Excel（アレルギー入力）'!"&amp;K35&amp;L35-1&amp;""),),)</f>
        <v>0</v>
      </c>
      <c r="N35" s="45" t="str">
        <f>IF(C35&lt;&gt;"",IF(OR(COUNTIF('盛付札（関数）'!D35,"*赤*"),COUNTIF('盛付札（関数）'!D35,"*キャラ*")),1,
VALUE(VLOOKUP("*"&amp;D35&amp;"*",商品マスタ!D:H,5,FALSE))),"")</f>
        <v/>
      </c>
      <c r="O35" s="45">
        <f ca="1">IF(LEN(クライアント抽出!V35)-LEN(SUBSTITUTE(クライアント抽出!V35,",",""))&lt;&gt;1,
IF(AND(クライアント抽出!P35&lt;&gt;"",クライアント抽出!S35&lt;&gt;""),
IF(クライアント抽出!P35&lt;&gt;クライアント抽出!S35,1,0),0),0)</f>
        <v>0</v>
      </c>
      <c r="P35" s="45">
        <f t="shared" si="0"/>
        <v>0</v>
      </c>
      <c r="Q35" s="45" t="b">
        <f t="shared" si="1"/>
        <v>0</v>
      </c>
      <c r="R35" s="122" t="str">
        <f t="array" aca="1" ref="R35" ca="1">IFERROR(SMALL(IF(P$1:P$311&lt;&gt;0,P$1:P$311),ROW(A35)),"")</f>
        <v/>
      </c>
      <c r="S35" s="122" t="str">
        <f t="array" aca="1" ref="S35" ca="1">IF($R35&lt;&gt;"",
SUBSTITUTE(SUBSTITUTE(INDIRECT("C"&amp;$R35&amp;"")," 週3ｺｰｽ","")," 週5ｺｰｽ",""),"")</f>
        <v/>
      </c>
      <c r="T35" s="122" t="str">
        <f t="array" aca="1" ref="T35" ca="1">IF(IF($R35&lt;&gt;"",
INDIRECT(""&amp;IF(COLUMN(D35)&lt;=26,CHAR(COLUMN(D35)+64),CHAR(INT((COLUMN(D35)-1)/26)+64)&amp;CHAR(MOD(COLUMN(D35)-1,26)+65))&amp;$R35&amp;""),"")=0,"",
IF($R35&lt;&gt;"",
INDIRECT(""&amp;IF(COLUMN(D35)&lt;=26,CHAR(COLUMN(D35)+64),CHAR(INT((COLUMN(D35)-1)/26)+64)&amp;CHAR(MOD(COLUMN(D35)-1,26)+65))&amp;$R35&amp;""),""))</f>
        <v/>
      </c>
      <c r="U35" s="185" t="str">
        <f t="array" aca="1" ref="U35" ca="1">IF($R35&lt;&gt;"",
INDIRECT("F"&amp;$R35&amp;""),"")</f>
        <v/>
      </c>
      <c r="V35" s="122" t="str">
        <f t="array" aca="1" ref="V35" ca="1">IF($R35&lt;&gt;"",
INDIRECT("G"&amp;$R35&amp;""),"")</f>
        <v/>
      </c>
      <c r="W35" s="122" t="str" cm="1">
        <f t="array" aca="1" ref="W35" ca="1">IF($R35&lt;&gt;"",
IF(AND(COUNTIF(INDIRECT("B"&amp;R35&amp;""),"*雙葉*"),COUNTIF($B$71:$B$210,"*雙葉*")&gt;=1),
IF(OR(COUNTIF(INDIRECT("B"&amp;R35&amp;""),"*雙葉先生*"),COUNTIF(INDIRECT("B"&amp;R35-1&amp;""),"*雙葉*")),INDIRECT("H"&amp;R35&amp;""),INDIRECT("H"&amp;R35&amp;"")+INDIRECT("H"&amp;MATCH("雙葉'",INDIRECT("B"&amp;R35+3&amp;":B210"),0)+2+R35&amp;"")),
IF(AND(LEFT(INDIRECT("B"&amp;R35&amp;""),2)="博多",COUNTIF(B:B,"*博多*")&gt;=2),
INDIRECT("H"&amp;R35&amp;"")+IFERROR(INDIRECT("H"&amp;MATCH("*"&amp;INDIRECT("B"&amp;R35&amp;"")&amp;"*",INDIRECT("B"&amp;R35+1&amp;":B210"),0)+R35&amp;""),0),
IF(AND(LEFT(INDIRECT("B"&amp;R35&amp;""),3)="奈良屋",COUNTIF(B:B,"*奈良屋*")&gt;=2),
INDIRECT("H"&amp;R35&amp;"")
+INDIRECT("H"&amp;MATCH("*"&amp;INDIRECT("B"&amp;R35&amp;"")&amp;"*",INDIRECT("B"&amp;R35+1&amp;":B210"),0)+R35&amp;"")
+INDIRECT("H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
+INDIRECT("H"&amp;MATCH("*"&amp;INDIRECT("B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&amp;"*",INDIRECT("B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+1&amp;":B210"),0)+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,
INDIRECT("H"&amp;R35&amp;"")))),"")</f>
        <v/>
      </c>
      <c r="X35" s="122" t="str">
        <f t="array" aca="1" ref="X35" ca="1">IF($R35&lt;&gt;"",
INDIRECT(""&amp;IF(COLUMN(I35)&lt;=26,CHAR(COLUMN(I35)+64),CHAR(INT((COLUMN(I35)-1)/26)+64)&amp;CHAR(MOD(COLUMN(I35)-1,26)+65))&amp;$R35&amp;""),"")</f>
        <v/>
      </c>
      <c r="Y35" s="122" t="str">
        <f t="array" aca="1" ref="Y35" ca="1">IF($R35&lt;&gt;"",
INDIRECT(""&amp;IF(COLUMN(J35)&lt;=26,CHAR(COLUMN(J35)+64),CHAR(INT((COLUMN(J35)-1)/26)+64)&amp;CHAR(MOD(COLUMN(J35)-1,26)+65))&amp;$R35&amp;""),"")</f>
        <v/>
      </c>
      <c r="Z35" s="122" t="str">
        <f t="shared" ca="1" si="2"/>
        <v/>
      </c>
      <c r="AA35" s="122" t="str">
        <f t="shared" ca="1" si="3"/>
        <v/>
      </c>
      <c r="AB35" s="122" t="str">
        <f t="array" aca="1" ref="AB35" ca="1">IF($R35&lt;&gt;"",
IF(AND(COUNTIF(INDIRECT("B"&amp;R35&amp;""),"*雙葉*"),COUNTIF(INDIRECT("B"&amp;R35&amp;""),"&lt;&gt;*先生*"),COUNTIF(B:B,"*雙葉*")&gt;=2),
INDIRECT("M"&amp;R35&amp;"")+INDIRECT("M"&amp;MATCH("雙葉'",INDIRECT("B"&amp;R35+1&amp;":B210"),0)+R35&amp;""),
IF(AND(LEFT(INDIRECT("B"&amp;R35&amp;""),2)="博多",COUNTIF(B:B,"*博多*")&gt;=2),
INDIRECT("M"&amp;R35&amp;"")+INDIRECT("M"&amp;MATCH("*"&amp;INDIRECT("B"&amp;R35&amp;"")&amp;"*",INDIRECT("B"&amp;R35+1&amp;":B210"),0)+R35&amp;""),
IF(AND(LEFT(INDIRECT("B"&amp;R35&amp;""),3)="奈良屋",COUNTIF(B:B,"*奈良屋*")&gt;=2),
INDIRECT("M"&amp;R35&amp;"")+INDIRECT("M"&amp;MATCH("*"&amp;INDIRECT("B"&amp;R35&amp;"")&amp;"*",INDIRECT("B"&amp;R35+1&amp;":B210"),0)+R35&amp;"")
+INDIRECT("M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,
INDIRECT("M"&amp;R35&amp;"")))),"")</f>
        <v/>
      </c>
      <c r="AC35" s="122" t="str">
        <f t="shared" ca="1" si="4"/>
        <v/>
      </c>
      <c r="AD35" s="176" t="str">
        <f t="shared" ca="1" si="5"/>
        <v/>
      </c>
      <c r="AE35" s="176" t="str">
        <f t="shared" ca="1" si="6"/>
        <v/>
      </c>
      <c r="AF35" s="176" t="str">
        <f t="shared" ca="1" si="7"/>
        <v/>
      </c>
      <c r="AG35" s="176" t="str">
        <f t="shared" ca="1" si="8"/>
        <v/>
      </c>
      <c r="AH35" s="183" t="str">
        <f t="shared" ca="1" si="9"/>
        <v/>
      </c>
      <c r="AI35" s="176" t="str">
        <f t="shared" ca="1" si="10"/>
        <v/>
      </c>
      <c r="AJ35" s="176" t="str">
        <f t="shared" ca="1" si="11"/>
        <v/>
      </c>
      <c r="AK35" s="176" t="str">
        <f t="shared" ca="1" si="12"/>
        <v/>
      </c>
      <c r="AL35" s="176" t="str">
        <f t="shared" ca="1" si="13"/>
        <v/>
      </c>
      <c r="AM35" s="176" t="str">
        <f t="shared" ca="1" si="14"/>
        <v/>
      </c>
      <c r="AN35" s="176" t="str">
        <f t="shared" ca="1" si="15"/>
        <v/>
      </c>
      <c r="AO35" s="176" t="str">
        <f t="shared" ca="1" si="16"/>
        <v/>
      </c>
      <c r="AP35" s="176" t="str">
        <f t="shared" ca="1" si="17"/>
        <v/>
      </c>
      <c r="AU35" s="176" t="str">
        <f t="shared" ca="1" si="18"/>
        <v/>
      </c>
      <c r="AW35" s="106" t="str">
        <f ca="1">IFERROR(IF(AF35&lt;&gt;"",OFFSET('数出表_Excel（アレルギー入力）'!$A$1,MATCH(AF35,'数出表_Excel（アレルギー入力）'!A:A,0)-2,0),""),"")</f>
        <v/>
      </c>
      <c r="AX35" s="106" t="str">
        <f ca="1">IF(AW35&lt;&gt;"",
OFFSET(得意先マスタ!$A$1,MATCH(AW35,得意先マスタ!A:A,0)-1,24),"")</f>
        <v/>
      </c>
      <c r="AY35" s="57">
        <f t="shared" ca="1" si="21"/>
        <v>0</v>
      </c>
      <c r="AZ35" s="57">
        <f t="shared" ca="1" si="29"/>
        <v>0</v>
      </c>
      <c r="BA35" s="57">
        <f t="shared" ca="1" si="30"/>
        <v>0</v>
      </c>
      <c r="BB35" s="176">
        <f t="shared" ca="1" si="24"/>
        <v>0</v>
      </c>
    </row>
    <row r="36" spans="1:54" ht="19.2" customHeight="1">
      <c r="A36" s="101">
        <f t="shared" si="31"/>
        <v>77</v>
      </c>
      <c r="B36" s="45" t="str">
        <f t="shared" si="32"/>
        <v/>
      </c>
      <c r="C36" s="45" t="str">
        <f>IF(OR(クライアント抽出!B36&lt;&gt;"",クライアント抽出!E36&lt;&gt;""),クライアント抽出!A36,"")</f>
        <v/>
      </c>
      <c r="D36" s="45" t="str">
        <f t="array" aca="1" ref="D36" ca="1">IF(C36&lt;&gt;"",INDIRECT("クライアント抽出!"&amp;E36&amp;MATCH(C36,クライアント抽出!A:A,0)&amp;""),"")</f>
        <v/>
      </c>
      <c r="E36" s="45" t="str">
        <f>IF(H36&lt;&gt;0,
IFERROR(
SUBSTITUTE(ADDRESS(1,
MATCH(VALUE(H36),クライアント抽出!A36:G36,0)+8,4),"1",""),
""),
IFERROR(
SUBSTITUTE(ADDRESS(1,
MATCH(VALUE(I36),クライアント抽出!A36:G36,0)+8,4),"1",""),
""))</f>
        <v/>
      </c>
      <c r="F36" s="184" t="str">
        <f ca="1">IF(D36&lt;&gt;"",
IF(COUNTIF(C36,"*雙葉*"),
IF(ROUND((H36-M36)
/IF(COUNTIF(D36,"*キャラ*"),
VLOOKUP("*キャラ*",商品マスタ!$D:$E,2,FALSE),
IF(COUNTIF(D36,"*赤*"),
VLOOKUP("*赤*",商品マスタ!$D:$E,2,FALSE),
VLOOKUP("*"&amp;D36&amp;"*",商品マスタ!$D:$E,2,FALSE))),0)&lt;=0,1,
ROUND((H36-M36)
/IF(COUNTIF(D36,"*キャラ*"),
VLOOKUP("*キャラ*",商品マスタ!$D:$E,2,FALSE),
IF(COUNTIF(D36,"*赤*"),
VLOOKUP("*赤*",商品マスタ!$D:$E,2,FALSE),
VLOOKUP("*"&amp;D36&amp;"*",商品マスタ!$D:$E,2,FALSE))),0)),
IF(OR(COUNTIF(D36,"*キャラ*"),COUNTIF(D36,"*赤*")),"",
IF(VLOOKUP("*"&amp;D36&amp;"*",商品マスタ!$D:$E,2,FALSE)=0,"",
IF(ROUND((H36-M36)
/VLOOKUP("*"&amp;D36&amp;"*",商品マスタ!$D:$E,2,FALSE),0)&lt;=0,1,
ROUND((H36-M36)
/VLOOKUP("*"&amp;D36&amp;"*",商品マスタ!$D:$E,2,FALSE),0))))),"")</f>
        <v/>
      </c>
      <c r="G36" s="45" t="str">
        <f ca="1">IF(F36&lt;&gt;"",
IF(VALUE(H36-M36)&gt;VALUE(IF(COUNTIF(D36,"*キャラ*"),
VLOOKUP("*キャラ*",商品マスタ!$D:$E,2,FALSE),
IF(COUNTIF(D36,"*赤*"),
VLOOKUP("*赤*",商品マスタ!$D:$E,2,FALSE),
VLOOKUP("*"&amp;D36&amp;"*",商品マスタ!$D:$E,2,FALSE)))*F36),
"+"&amp;(H36-M36)-IF(COUNTIF(D36,"*キャラ*"),
VLOOKUP("*キャラ*",商品マスタ!$D:$E,2,FALSE),
IF(COUNTIF(D36,"*赤*"),
VLOOKUP("*赤*",商品マスタ!$D:$E,2,FALSE),
VLOOKUP("*"&amp;D36&amp;"*",商品マスタ!$D:$E,2,FALSE)))*F36,
(H36-M36)-IF(COUNTIF(D36,"*キャラ*"),
VLOOKUP("*キャラ*",商品マスタ!$D:$E,2,FALSE),
IF(COUNTIF(D36,"*赤*"),
VLOOKUP("*赤*",商品マスタ!$D:$E,2,FALSE),
VLOOKUP("*"&amp;D36&amp;"*",商品マスタ!$D:$E,2,FALSE)))*F36),"")</f>
        <v/>
      </c>
      <c r="H36" s="99" t="str">
        <f>IF(C36&lt;&gt;"",
クライアント抽出!B36,"")</f>
        <v/>
      </c>
      <c r="I36" s="45" t="str">
        <f t="array" aca="1" ref="I36" ca="1">IF(C36&lt;&gt;"",
IF(O36=1,
IF(SUMPRODUCT(COUNTIF(クライアント抽出!P36:U36,クライアント抽出!P36:U36))&gt;COUNTA(クライアント抽出!P36:U36),
IFERROR(INDIRECT("数出表_Excel!"&amp;INDEX(_xlfn.UNIQUE(_xlfn._xlws.FILTER(クライアント抽出!P36:U36,COUNTIF(クライアント抽出!P36:U36,クライアント抽出!P36:U36)&gt;1)),1)&amp;L36&amp;""),
クライアント抽出!E36),0),クライアント抽出!E36),"")</f>
        <v/>
      </c>
      <c r="J36" s="45" t="str">
        <f>IF(C36&lt;&gt;"",
VLOOKUP(
"*"&amp;LEFT(IF(COUNTIF(D36,"*学食*"),"キャラ弁（学食）",
IF(COUNTIF(D36,"*赤*"),"赤",
IF(COUNTIF(D36,"*キャラ弁当*"),"キャラ弁当",D36))),4)&amp;"*",注文弁当の抽出!$F$1:$G$15,2,FALSE),"")</f>
        <v/>
      </c>
      <c r="K36" s="45" t="str">
        <f ca="1">IF(クライアント抽出!P36&lt;&gt;"",SUBSTITUTE(ADDRESS(1,(CODE(クライアント抽出!P36)-64)*2-1,4),"1",""),"")</f>
        <v/>
      </c>
      <c r="L36" s="45" t="str">
        <f>IF(C36&lt;&gt;"",クライアント抽出!I36,"")</f>
        <v/>
      </c>
      <c r="M36" s="45">
        <f t="array" aca="1" ref="M36" ca="1">IF(C36&lt;&gt;"",
IF(K36&lt;&gt;"",INDIRECT("'数出表_Excel（アレルギー入力）'!"&amp;K36&amp;L36-1&amp;""),),)</f>
        <v>0</v>
      </c>
      <c r="N36" s="45" t="str">
        <f>IF(C36&lt;&gt;"",IF(OR(COUNTIF('盛付札（関数）'!D36,"*赤*"),COUNTIF('盛付札（関数）'!D36,"*キャラ*")),1,
VALUE(VLOOKUP("*"&amp;D36&amp;"*",商品マスタ!D:H,5,FALSE))),"")</f>
        <v/>
      </c>
      <c r="O36" s="45">
        <f ca="1">IF(LEN(クライアント抽出!V36)-LEN(SUBSTITUTE(クライアント抽出!V36,",",""))&lt;&gt;1,
IF(AND(クライアント抽出!P36&lt;&gt;"",クライアント抽出!S36&lt;&gt;""),
IF(クライアント抽出!P36&lt;&gt;クライアント抽出!S36,1,0),0),0)</f>
        <v>0</v>
      </c>
      <c r="P36" s="45">
        <f t="shared" si="0"/>
        <v>0</v>
      </c>
      <c r="Q36" s="45" t="b">
        <f t="shared" si="1"/>
        <v>0</v>
      </c>
      <c r="R36" s="122" t="str">
        <f t="array" aca="1" ref="R36" ca="1">IFERROR(SMALL(IF(P$1:P$311&lt;&gt;0,P$1:P$311),ROW(A36)),"")</f>
        <v/>
      </c>
      <c r="S36" s="122" t="str">
        <f t="array" aca="1" ref="S36" ca="1">IF($R36&lt;&gt;"",
SUBSTITUTE(SUBSTITUTE(INDIRECT("C"&amp;$R36&amp;"")," 週3ｺｰｽ","")," 週5ｺｰｽ",""),"")</f>
        <v/>
      </c>
      <c r="T36" s="122" t="str">
        <f t="array" aca="1" ref="T36" ca="1">IF(IF($R36&lt;&gt;"",
INDIRECT(""&amp;IF(COLUMN(D36)&lt;=26,CHAR(COLUMN(D36)+64),CHAR(INT((COLUMN(D36)-1)/26)+64)&amp;CHAR(MOD(COLUMN(D36)-1,26)+65))&amp;$R36&amp;""),"")=0,"",
IF($R36&lt;&gt;"",
INDIRECT(""&amp;IF(COLUMN(D36)&lt;=26,CHAR(COLUMN(D36)+64),CHAR(INT((COLUMN(D36)-1)/26)+64)&amp;CHAR(MOD(COLUMN(D36)-1,26)+65))&amp;$R36&amp;""),""))</f>
        <v/>
      </c>
      <c r="U36" s="185" t="str">
        <f t="array" aca="1" ref="U36" ca="1">IF($R36&lt;&gt;"",
INDIRECT("F"&amp;$R36&amp;""),"")</f>
        <v/>
      </c>
      <c r="V36" s="122" t="str">
        <f t="array" aca="1" ref="V36" ca="1">IF($R36&lt;&gt;"",
INDIRECT("G"&amp;$R36&amp;""),"")</f>
        <v/>
      </c>
      <c r="W36" s="122" t="str" cm="1">
        <f t="array" aca="1" ref="W36" ca="1">IF($R36&lt;&gt;"",
IF(AND(COUNTIF(INDIRECT("B"&amp;R36&amp;""),"*雙葉*"),COUNTIF($B$71:$B$210,"*雙葉*")&gt;=1),
IF(OR(COUNTIF(INDIRECT("B"&amp;R36&amp;""),"*雙葉先生*"),COUNTIF(INDIRECT("B"&amp;R36-1&amp;""),"*雙葉*")),INDIRECT("H"&amp;R36&amp;""),INDIRECT("H"&amp;R36&amp;"")+INDIRECT("H"&amp;MATCH("雙葉'",INDIRECT("B"&amp;R36+3&amp;":B210"),0)+2+R36&amp;"")),
IF(AND(LEFT(INDIRECT("B"&amp;R36&amp;""),2)="博多",COUNTIF(B:B,"*博多*")&gt;=2),
INDIRECT("H"&amp;R36&amp;"")+IFERROR(INDIRECT("H"&amp;MATCH("*"&amp;INDIRECT("B"&amp;R36&amp;"")&amp;"*",INDIRECT("B"&amp;R36+1&amp;":B210"),0)+R36&amp;""),0),
IF(AND(LEFT(INDIRECT("B"&amp;R36&amp;""),3)="奈良屋",COUNTIF(B:B,"*奈良屋*")&gt;=2),
INDIRECT("H"&amp;R36&amp;"")
+INDIRECT("H"&amp;MATCH("*"&amp;INDIRECT("B"&amp;R36&amp;"")&amp;"*",INDIRECT("B"&amp;R36+1&amp;":B210"),0)+R36&amp;"")
+INDIRECT("H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
+INDIRECT("H"&amp;MATCH("*"&amp;INDIRECT("B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&amp;"*",INDIRECT("B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+1&amp;":B210"),0)+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,
INDIRECT("H"&amp;R36&amp;"")))),"")</f>
        <v/>
      </c>
      <c r="X36" s="122" t="str">
        <f t="array" aca="1" ref="X36" ca="1">IF($R36&lt;&gt;"",
INDIRECT(""&amp;IF(COLUMN(I36)&lt;=26,CHAR(COLUMN(I36)+64),CHAR(INT((COLUMN(I36)-1)/26)+64)&amp;CHAR(MOD(COLUMN(I36)-1,26)+65))&amp;$R36&amp;""),"")</f>
        <v/>
      </c>
      <c r="Y36" s="122" t="str">
        <f t="array" aca="1" ref="Y36" ca="1">IF($R36&lt;&gt;"",
INDIRECT(""&amp;IF(COLUMN(J36)&lt;=26,CHAR(COLUMN(J36)+64),CHAR(INT((COLUMN(J36)-1)/26)+64)&amp;CHAR(MOD(COLUMN(J36)-1,26)+65))&amp;$R36&amp;""),"")</f>
        <v/>
      </c>
      <c r="Z36" s="122" t="str">
        <f t="shared" ca="1" si="2"/>
        <v/>
      </c>
      <c r="AA36" s="122" t="str">
        <f t="shared" ca="1" si="3"/>
        <v/>
      </c>
      <c r="AB36" s="122" t="str">
        <f t="array" aca="1" ref="AB36" ca="1">IF($R36&lt;&gt;"",
IF(AND(COUNTIF(INDIRECT("B"&amp;R36&amp;""),"*雙葉*"),COUNTIF(INDIRECT("B"&amp;R36&amp;""),"&lt;&gt;*先生*"),COUNTIF(B:B,"*雙葉*")&gt;=2),
INDIRECT("M"&amp;R36&amp;"")+INDIRECT("M"&amp;MATCH("雙葉'",INDIRECT("B"&amp;R36+1&amp;":B210"),0)+R36&amp;""),
IF(AND(LEFT(INDIRECT("B"&amp;R36&amp;""),2)="博多",COUNTIF(B:B,"*博多*")&gt;=2),
INDIRECT("M"&amp;R36&amp;"")+INDIRECT("M"&amp;MATCH("*"&amp;INDIRECT("B"&amp;R36&amp;"")&amp;"*",INDIRECT("B"&amp;R36+1&amp;":B210"),0)+R36&amp;""),
IF(AND(LEFT(INDIRECT("B"&amp;R36&amp;""),3)="奈良屋",COUNTIF(B:B,"*奈良屋*")&gt;=2),
INDIRECT("M"&amp;R36&amp;"")+INDIRECT("M"&amp;MATCH("*"&amp;INDIRECT("B"&amp;R36&amp;"")&amp;"*",INDIRECT("B"&amp;R36+1&amp;":B210"),0)+R36&amp;"")
+INDIRECT("M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,
INDIRECT("M"&amp;R36&amp;"")))),"")</f>
        <v/>
      </c>
      <c r="AC36" s="122" t="str">
        <f t="shared" ca="1" si="4"/>
        <v/>
      </c>
      <c r="AD36" s="176" t="str">
        <f t="shared" ca="1" si="5"/>
        <v/>
      </c>
      <c r="AE36" s="176" t="str">
        <f t="shared" ca="1" si="6"/>
        <v/>
      </c>
      <c r="AF36" s="176" t="str">
        <f t="shared" ca="1" si="7"/>
        <v/>
      </c>
      <c r="AG36" s="176" t="str">
        <f t="shared" ca="1" si="8"/>
        <v/>
      </c>
      <c r="AH36" s="183" t="str">
        <f t="shared" ca="1" si="9"/>
        <v/>
      </c>
      <c r="AI36" s="176" t="str">
        <f t="shared" ca="1" si="10"/>
        <v/>
      </c>
      <c r="AJ36" s="176" t="str">
        <f t="shared" ca="1" si="11"/>
        <v/>
      </c>
      <c r="AK36" s="176" t="str">
        <f t="shared" ca="1" si="12"/>
        <v/>
      </c>
      <c r="AL36" s="176" t="str">
        <f t="shared" ca="1" si="13"/>
        <v/>
      </c>
      <c r="AM36" s="176" t="str">
        <f t="shared" ca="1" si="14"/>
        <v/>
      </c>
      <c r="AN36" s="176" t="str">
        <f t="shared" ca="1" si="15"/>
        <v/>
      </c>
      <c r="AO36" s="176" t="str">
        <f t="shared" ca="1" si="16"/>
        <v/>
      </c>
      <c r="AP36" s="176" t="str">
        <f t="shared" ca="1" si="17"/>
        <v/>
      </c>
      <c r="AU36" s="176" t="str">
        <f t="shared" ca="1" si="18"/>
        <v/>
      </c>
      <c r="AW36" s="106" t="str">
        <f ca="1">IFERROR(IF(AF36&lt;&gt;"",OFFSET('数出表_Excel（アレルギー入力）'!$A$1,MATCH(AF36,'数出表_Excel（アレルギー入力）'!A:A,0)-2,0),""),"")</f>
        <v/>
      </c>
      <c r="AX36" s="106" t="str">
        <f ca="1">IF(AW36&lt;&gt;"",
OFFSET(得意先マスタ!$A$1,MATCH(AW36,得意先マスタ!A:A,0)-1,24),"")</f>
        <v/>
      </c>
      <c r="AY36" s="57">
        <f t="shared" ca="1" si="21"/>
        <v>0</v>
      </c>
      <c r="AZ36" s="57">
        <f t="shared" ca="1" si="29"/>
        <v>0</v>
      </c>
      <c r="BA36" s="57">
        <f t="shared" ca="1" si="30"/>
        <v>0</v>
      </c>
      <c r="BB36" s="176">
        <f t="shared" ca="1" si="24"/>
        <v>0</v>
      </c>
    </row>
    <row r="37" spans="1:54" ht="19.2" customHeight="1">
      <c r="A37" s="101">
        <f t="shared" si="31"/>
        <v>79</v>
      </c>
      <c r="B37" s="45" t="str">
        <f t="shared" si="32"/>
        <v/>
      </c>
      <c r="C37" s="45" t="str">
        <f>IF(OR(クライアント抽出!B37&lt;&gt;"",クライアント抽出!E37&lt;&gt;""),クライアント抽出!A37,"")</f>
        <v/>
      </c>
      <c r="D37" s="45" t="str">
        <f t="array" aca="1" ref="D37" ca="1">IF(C37&lt;&gt;"",INDIRECT("クライアント抽出!"&amp;E37&amp;MATCH(C37,クライアント抽出!A:A,0)&amp;""),"")</f>
        <v/>
      </c>
      <c r="E37" s="45" t="str">
        <f>IF(H37&lt;&gt;0,
IFERROR(
SUBSTITUTE(ADDRESS(1,
MATCH(VALUE(H37),クライアント抽出!A37:G37,0)+8,4),"1",""),
""),
IFERROR(
SUBSTITUTE(ADDRESS(1,
MATCH(VALUE(I37),クライアント抽出!A37:G37,0)+8,4),"1",""),
""))</f>
        <v/>
      </c>
      <c r="F37" s="184" t="str">
        <f ca="1">IF(D37&lt;&gt;"",
IF(COUNTIF(C37,"*雙葉*"),
IF(ROUND((H37-M37)
/IF(COUNTIF(D37,"*キャラ*"),
VLOOKUP("*キャラ*",商品マスタ!$D:$E,2,FALSE),
IF(COUNTIF(D37,"*赤*"),
VLOOKUP("*赤*",商品マスタ!$D:$E,2,FALSE),
VLOOKUP("*"&amp;D37&amp;"*",商品マスタ!$D:$E,2,FALSE))),0)&lt;=0,1,
ROUND((H37-M37)
/IF(COUNTIF(D37,"*キャラ*"),
VLOOKUP("*キャラ*",商品マスタ!$D:$E,2,FALSE),
IF(COUNTIF(D37,"*赤*"),
VLOOKUP("*赤*",商品マスタ!$D:$E,2,FALSE),
VLOOKUP("*"&amp;D37&amp;"*",商品マスタ!$D:$E,2,FALSE))),0)),
IF(OR(COUNTIF(D37,"*キャラ*"),COUNTIF(D37,"*赤*")),"",
IF(VLOOKUP("*"&amp;D37&amp;"*",商品マスタ!$D:$E,2,FALSE)=0,"",
IF(ROUND((H37-M37)
/VLOOKUP("*"&amp;D37&amp;"*",商品マスタ!$D:$E,2,FALSE),0)&lt;=0,1,
ROUND((H37-M37)
/VLOOKUP("*"&amp;D37&amp;"*",商品マスタ!$D:$E,2,FALSE),0))))),"")</f>
        <v/>
      </c>
      <c r="G37" s="45" t="str">
        <f ca="1">IF(F37&lt;&gt;"",
IF(VALUE(H37-M37)&gt;VALUE(IF(COUNTIF(D37,"*キャラ*"),
VLOOKUP("*キャラ*",商品マスタ!$D:$E,2,FALSE),
IF(COUNTIF(D37,"*赤*"),
VLOOKUP("*赤*",商品マスタ!$D:$E,2,FALSE),
VLOOKUP("*"&amp;D37&amp;"*",商品マスタ!$D:$E,2,FALSE)))*F37),
"+"&amp;(H37-M37)-IF(COUNTIF(D37,"*キャラ*"),
VLOOKUP("*キャラ*",商品マスタ!$D:$E,2,FALSE),
IF(COUNTIF(D37,"*赤*"),
VLOOKUP("*赤*",商品マスタ!$D:$E,2,FALSE),
VLOOKUP("*"&amp;D37&amp;"*",商品マスタ!$D:$E,2,FALSE)))*F37,
(H37-M37)-IF(COUNTIF(D37,"*キャラ*"),
VLOOKUP("*キャラ*",商品マスタ!$D:$E,2,FALSE),
IF(COUNTIF(D37,"*赤*"),
VLOOKUP("*赤*",商品マスタ!$D:$E,2,FALSE),
VLOOKUP("*"&amp;D37&amp;"*",商品マスタ!$D:$E,2,FALSE)))*F37),"")</f>
        <v/>
      </c>
      <c r="H37" s="99" t="str">
        <f>IF(C37&lt;&gt;"",
クライアント抽出!B37,"")</f>
        <v/>
      </c>
      <c r="I37" s="45" t="str">
        <f t="array" aca="1" ref="I37" ca="1">IF(C37&lt;&gt;"",
IF(O37=1,
IF(SUMPRODUCT(COUNTIF(クライアント抽出!P37:U37,クライアント抽出!P37:U37))&gt;COUNTA(クライアント抽出!P37:U37),
IFERROR(INDIRECT("数出表_Excel!"&amp;INDEX(_xlfn.UNIQUE(_xlfn._xlws.FILTER(クライアント抽出!P37:U37,COUNTIF(クライアント抽出!P37:U37,クライアント抽出!P37:U37)&gt;1)),1)&amp;L37&amp;""),
クライアント抽出!E37),0),クライアント抽出!E37),"")</f>
        <v/>
      </c>
      <c r="J37" s="45" t="str">
        <f>IF(C37&lt;&gt;"",
VLOOKUP(
"*"&amp;LEFT(IF(COUNTIF(D37,"*学食*"),"キャラ弁（学食）",
IF(COUNTIF(D37,"*赤*"),"赤",
IF(COUNTIF(D37,"*キャラ弁当*"),"キャラ弁当",D37))),4)&amp;"*",注文弁当の抽出!$F$1:$G$15,2,FALSE),"")</f>
        <v/>
      </c>
      <c r="K37" s="45" t="str">
        <f ca="1">IF(クライアント抽出!P37&lt;&gt;"",SUBSTITUTE(ADDRESS(1,(CODE(クライアント抽出!P37)-64)*2-1,4),"1",""),"")</f>
        <v/>
      </c>
      <c r="L37" s="45" t="str">
        <f>IF(C37&lt;&gt;"",クライアント抽出!I37,"")</f>
        <v/>
      </c>
      <c r="M37" s="45">
        <f t="array" aca="1" ref="M37" ca="1">IF(C37&lt;&gt;"",
IF(K37&lt;&gt;"",INDIRECT("'数出表_Excel（アレルギー入力）'!"&amp;K37&amp;L37-1&amp;""),),)</f>
        <v>0</v>
      </c>
      <c r="N37" s="45" t="str">
        <f>IF(C37&lt;&gt;"",IF(OR(COUNTIF('盛付札（関数）'!D37,"*赤*"),COUNTIF('盛付札（関数）'!D37,"*キャラ*")),1,
VALUE(VLOOKUP("*"&amp;D37&amp;"*",商品マスタ!D:H,5,FALSE))),"")</f>
        <v/>
      </c>
      <c r="O37" s="45">
        <f ca="1">IF(LEN(クライアント抽出!V37)-LEN(SUBSTITUTE(クライアント抽出!V37,",",""))&lt;&gt;1,
IF(AND(クライアント抽出!P37&lt;&gt;"",クライアント抽出!S37&lt;&gt;""),
IF(クライアント抽出!P37&lt;&gt;クライアント抽出!S37,1,0),0),0)</f>
        <v>0</v>
      </c>
      <c r="P37" s="45">
        <f t="shared" si="0"/>
        <v>0</v>
      </c>
      <c r="Q37" s="45" t="b">
        <f t="shared" si="1"/>
        <v>0</v>
      </c>
      <c r="R37" s="122" t="str">
        <f t="array" aca="1" ref="R37" ca="1">IFERROR(SMALL(IF(P$1:P$311&lt;&gt;0,P$1:P$311),ROW(A37)),"")</f>
        <v/>
      </c>
      <c r="S37" s="122" t="str">
        <f t="array" aca="1" ref="S37" ca="1">IF($R37&lt;&gt;"",
SUBSTITUTE(SUBSTITUTE(INDIRECT("C"&amp;$R37&amp;"")," 週3ｺｰｽ","")," 週5ｺｰｽ",""),"")</f>
        <v/>
      </c>
      <c r="T37" s="122" t="str">
        <f t="array" aca="1" ref="T37" ca="1">IF(IF($R37&lt;&gt;"",
INDIRECT(""&amp;IF(COLUMN(D37)&lt;=26,CHAR(COLUMN(D37)+64),CHAR(INT((COLUMN(D37)-1)/26)+64)&amp;CHAR(MOD(COLUMN(D37)-1,26)+65))&amp;$R37&amp;""),"")=0,"",
IF($R37&lt;&gt;"",
INDIRECT(""&amp;IF(COLUMN(D37)&lt;=26,CHAR(COLUMN(D37)+64),CHAR(INT((COLUMN(D37)-1)/26)+64)&amp;CHAR(MOD(COLUMN(D37)-1,26)+65))&amp;$R37&amp;""),""))</f>
        <v/>
      </c>
      <c r="U37" s="185" t="str">
        <f t="array" aca="1" ref="U37" ca="1">IF($R37&lt;&gt;"",
INDIRECT("F"&amp;$R37&amp;""),"")</f>
        <v/>
      </c>
      <c r="V37" s="122" t="str">
        <f t="array" aca="1" ref="V37" ca="1">IF($R37&lt;&gt;"",
INDIRECT("G"&amp;$R37&amp;""),"")</f>
        <v/>
      </c>
      <c r="W37" s="122" t="str" cm="1">
        <f t="array" aca="1" ref="W37" ca="1">IF($R37&lt;&gt;"",
IF(AND(COUNTIF(INDIRECT("B"&amp;R37&amp;""),"*雙葉*"),COUNTIF($B$71:$B$210,"*雙葉*")&gt;=1),
IF(OR(COUNTIF(INDIRECT("B"&amp;R37&amp;""),"*雙葉先生*"),COUNTIF(INDIRECT("B"&amp;R37-1&amp;""),"*雙葉*")),INDIRECT("H"&amp;R37&amp;""),INDIRECT("H"&amp;R37&amp;"")+INDIRECT("H"&amp;MATCH("雙葉'",INDIRECT("B"&amp;R37+3&amp;":B210"),0)+2+R37&amp;"")),
IF(AND(LEFT(INDIRECT("B"&amp;R37&amp;""),2)="博多",COUNTIF(B:B,"*博多*")&gt;=2),
INDIRECT("H"&amp;R37&amp;"")+IFERROR(INDIRECT("H"&amp;MATCH("*"&amp;INDIRECT("B"&amp;R37&amp;"")&amp;"*",INDIRECT("B"&amp;R37+1&amp;":B210"),0)+R37&amp;""),0),
IF(AND(LEFT(INDIRECT("B"&amp;R37&amp;""),3)="奈良屋",COUNTIF(B:B,"*奈良屋*")&gt;=2),
INDIRECT("H"&amp;R37&amp;"")
+INDIRECT("H"&amp;MATCH("*"&amp;INDIRECT("B"&amp;R37&amp;"")&amp;"*",INDIRECT("B"&amp;R37+1&amp;":B210"),0)+R37&amp;"")
+INDIRECT("H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
+INDIRECT("H"&amp;MATCH("*"&amp;INDIRECT("B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&amp;"*",INDIRECT("B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+1&amp;":B210"),0)+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,
INDIRECT("H"&amp;R37&amp;"")))),"")</f>
        <v/>
      </c>
      <c r="X37" s="122" t="str">
        <f t="array" aca="1" ref="X37" ca="1">IF($R37&lt;&gt;"",
INDIRECT(""&amp;IF(COLUMN(I37)&lt;=26,CHAR(COLUMN(I37)+64),CHAR(INT((COLUMN(I37)-1)/26)+64)&amp;CHAR(MOD(COLUMN(I37)-1,26)+65))&amp;$R37&amp;""),"")</f>
        <v/>
      </c>
      <c r="Y37" s="122" t="str">
        <f t="array" aca="1" ref="Y37" ca="1">IF($R37&lt;&gt;"",
INDIRECT(""&amp;IF(COLUMN(J37)&lt;=26,CHAR(COLUMN(J37)+64),CHAR(INT((COLUMN(J37)-1)/26)+64)&amp;CHAR(MOD(COLUMN(J37)-1,26)+65))&amp;$R37&amp;""),"")</f>
        <v/>
      </c>
      <c r="Z37" s="122" t="str">
        <f t="shared" ca="1" si="2"/>
        <v/>
      </c>
      <c r="AA37" s="122" t="str">
        <f t="shared" ca="1" si="3"/>
        <v/>
      </c>
      <c r="AB37" s="122" t="str">
        <f t="array" aca="1" ref="AB37" ca="1">IF($R37&lt;&gt;"",
IF(AND(COUNTIF(INDIRECT("B"&amp;R37&amp;""),"*雙葉*"),COUNTIF(INDIRECT("B"&amp;R37&amp;""),"&lt;&gt;*先生*"),COUNTIF(B:B,"*雙葉*")&gt;=2),
INDIRECT("M"&amp;R37&amp;"")+INDIRECT("M"&amp;MATCH("雙葉'",INDIRECT("B"&amp;R37+1&amp;":B210"),0)+R37&amp;""),
IF(AND(LEFT(INDIRECT("B"&amp;R37&amp;""),2)="博多",COUNTIF(B:B,"*博多*")&gt;=2),
INDIRECT("M"&amp;R37&amp;"")+INDIRECT("M"&amp;MATCH("*"&amp;INDIRECT("B"&amp;R37&amp;"")&amp;"*",INDIRECT("B"&amp;R37+1&amp;":B210"),0)+R37&amp;""),
IF(AND(LEFT(INDIRECT("B"&amp;R37&amp;""),3)="奈良屋",COUNTIF(B:B,"*奈良屋*")&gt;=2),
INDIRECT("M"&amp;R37&amp;"")+INDIRECT("M"&amp;MATCH("*"&amp;INDIRECT("B"&amp;R37&amp;"")&amp;"*",INDIRECT("B"&amp;R37+1&amp;":B210"),0)+R37&amp;"")
+INDIRECT("M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,
INDIRECT("M"&amp;R37&amp;"")))),"")</f>
        <v/>
      </c>
      <c r="AC37" s="122" t="str">
        <f t="shared" ca="1" si="4"/>
        <v/>
      </c>
      <c r="AD37" s="176" t="str">
        <f t="shared" ca="1" si="5"/>
        <v/>
      </c>
      <c r="AE37" s="176" t="str">
        <f t="shared" ca="1" si="6"/>
        <v/>
      </c>
      <c r="AF37" s="176" t="str">
        <f t="shared" ca="1" si="7"/>
        <v/>
      </c>
      <c r="AG37" s="176" t="str">
        <f t="shared" ca="1" si="8"/>
        <v/>
      </c>
      <c r="AH37" s="183" t="str">
        <f t="shared" ca="1" si="9"/>
        <v/>
      </c>
      <c r="AI37" s="176" t="str">
        <f t="shared" ca="1" si="10"/>
        <v/>
      </c>
      <c r="AJ37" s="176" t="str">
        <f t="shared" ca="1" si="11"/>
        <v/>
      </c>
      <c r="AK37" s="176" t="str">
        <f t="shared" ca="1" si="12"/>
        <v/>
      </c>
      <c r="AL37" s="176" t="str">
        <f t="shared" ca="1" si="13"/>
        <v/>
      </c>
      <c r="AM37" s="176" t="str">
        <f t="shared" ca="1" si="14"/>
        <v/>
      </c>
      <c r="AN37" s="176" t="str">
        <f t="shared" ca="1" si="15"/>
        <v/>
      </c>
      <c r="AO37" s="176" t="str">
        <f t="shared" ca="1" si="16"/>
        <v/>
      </c>
      <c r="AP37" s="176" t="str">
        <f t="shared" ca="1" si="17"/>
        <v/>
      </c>
      <c r="AU37" s="176" t="str">
        <f t="shared" ca="1" si="18"/>
        <v/>
      </c>
      <c r="AW37" s="106" t="str">
        <f ca="1">IFERROR(IF(AF37&lt;&gt;"",OFFSET('数出表_Excel（アレルギー入力）'!$A$1,MATCH(AF37,'数出表_Excel（アレルギー入力）'!A:A,0)-2,0),""),"")</f>
        <v/>
      </c>
      <c r="AX37" s="106" t="str">
        <f ca="1">IF(AW37&lt;&gt;"",
OFFSET(得意先マスタ!$A$1,MATCH(AW37,得意先マスタ!A:A,0)-1,24),"")</f>
        <v/>
      </c>
      <c r="AY37" s="57">
        <f t="shared" ca="1" si="21"/>
        <v>0</v>
      </c>
      <c r="AZ37" s="57">
        <f t="shared" ca="1" si="29"/>
        <v>0</v>
      </c>
      <c r="BA37" s="57">
        <f t="shared" ca="1" si="30"/>
        <v>0</v>
      </c>
      <c r="BB37" s="176">
        <f t="shared" ca="1" si="24"/>
        <v>0</v>
      </c>
    </row>
    <row r="38" spans="1:54" ht="22.2" customHeight="1">
      <c r="A38" s="101">
        <f t="shared" si="31"/>
        <v>81</v>
      </c>
      <c r="B38" s="45" t="str">
        <f t="shared" si="32"/>
        <v/>
      </c>
      <c r="C38" s="45" t="str">
        <f>IF(OR(クライアント抽出!B38&lt;&gt;"",クライアント抽出!E38&lt;&gt;""),クライアント抽出!A38,"")</f>
        <v/>
      </c>
      <c r="D38" s="45" t="str">
        <f t="array" aca="1" ref="D38" ca="1">IF(C38&lt;&gt;"",INDIRECT("クライアント抽出!"&amp;E38&amp;MATCH(C38,クライアント抽出!A:A,0)&amp;""),"")</f>
        <v/>
      </c>
      <c r="E38" s="45" t="str">
        <f>IF(H38&lt;&gt;0,
IFERROR(
SUBSTITUTE(ADDRESS(1,
MATCH(VALUE(H38),クライアント抽出!A38:G38,0)+8,4),"1",""),
""),
IFERROR(
SUBSTITUTE(ADDRESS(1,
MATCH(VALUE(I38),クライアント抽出!A38:G38,0)+8,4),"1",""),
""))</f>
        <v/>
      </c>
      <c r="F38" s="184" t="str">
        <f ca="1">IF(D38&lt;&gt;"",
IF(COUNTIF(C38,"*雙葉*"),
IF(ROUND((H38-M38)
/IF(COUNTIF(D38,"*キャラ*"),
VLOOKUP("*キャラ*",商品マスタ!$D:$E,2,FALSE),
IF(COUNTIF(D38,"*赤*"),
VLOOKUP("*赤*",商品マスタ!$D:$E,2,FALSE),
VLOOKUP("*"&amp;D38&amp;"*",商品マスタ!$D:$E,2,FALSE))),0)&lt;=0,1,
ROUND((H38-M38)
/IF(COUNTIF(D38,"*キャラ*"),
VLOOKUP("*キャラ*",商品マスタ!$D:$E,2,FALSE),
IF(COUNTIF(D38,"*赤*"),
VLOOKUP("*赤*",商品マスタ!$D:$E,2,FALSE),
VLOOKUP("*"&amp;D38&amp;"*",商品マスタ!$D:$E,2,FALSE))),0)),
IF(OR(COUNTIF(D38,"*キャラ*"),COUNTIF(D38,"*赤*")),"",
IF(VLOOKUP("*"&amp;D38&amp;"*",商品マスタ!$D:$E,2,FALSE)=0,"",
IF(ROUND((H38-M38)
/VLOOKUP("*"&amp;D38&amp;"*",商品マスタ!$D:$E,2,FALSE),0)&lt;=0,1,
ROUND((H38-M38)
/VLOOKUP("*"&amp;D38&amp;"*",商品マスタ!$D:$E,2,FALSE),0))))),"")</f>
        <v/>
      </c>
      <c r="G38" s="45" t="str">
        <f ca="1">IF(F38&lt;&gt;"",
IF(VALUE(H38-M38)&gt;VALUE(IF(COUNTIF(D38,"*キャラ*"),
VLOOKUP("*キャラ*",商品マスタ!$D:$E,2,FALSE),
IF(COUNTIF(D38,"*赤*"),
VLOOKUP("*赤*",商品マスタ!$D:$E,2,FALSE),
VLOOKUP("*"&amp;D38&amp;"*",商品マスタ!$D:$E,2,FALSE)))*F38),
"+"&amp;(H38-M38)-IF(COUNTIF(D38,"*キャラ*"),
VLOOKUP("*キャラ*",商品マスタ!$D:$E,2,FALSE),
IF(COUNTIF(D38,"*赤*"),
VLOOKUP("*赤*",商品マスタ!$D:$E,2,FALSE),
VLOOKUP("*"&amp;D38&amp;"*",商品マスタ!$D:$E,2,FALSE)))*F38,
(H38-M38)-IF(COUNTIF(D38,"*キャラ*"),
VLOOKUP("*キャラ*",商品マスタ!$D:$E,2,FALSE),
IF(COUNTIF(D38,"*赤*"),
VLOOKUP("*赤*",商品マスタ!$D:$E,2,FALSE),
VLOOKUP("*"&amp;D38&amp;"*",商品マスタ!$D:$E,2,FALSE)))*F38),"")</f>
        <v/>
      </c>
      <c r="H38" s="99" t="str">
        <f>IF(C38&lt;&gt;"",
クライアント抽出!B38,"")</f>
        <v/>
      </c>
      <c r="I38" s="45" t="str">
        <f t="array" aca="1" ref="I38" ca="1">IF(C38&lt;&gt;"",
IF(O38=1,
IF(SUMPRODUCT(COUNTIF(クライアント抽出!P38:U38,クライアント抽出!P38:U38))&gt;COUNTA(クライアント抽出!P38:U38),
IFERROR(INDIRECT("数出表_Excel!"&amp;INDEX(_xlfn.UNIQUE(_xlfn._xlws.FILTER(クライアント抽出!P38:U38,COUNTIF(クライアント抽出!P38:U38,クライアント抽出!P38:U38)&gt;1)),1)&amp;L38&amp;""),
クライアント抽出!E38),0),クライアント抽出!E38),"")</f>
        <v/>
      </c>
      <c r="J38" s="45" t="str">
        <f>IF(C38&lt;&gt;"",
VLOOKUP(
"*"&amp;LEFT(IF(COUNTIF(D38,"*学食*"),"キャラ弁（学食）",
IF(COUNTIF(D38,"*赤*"),"赤",
IF(COUNTIF(D38,"*キャラ弁当*"),"キャラ弁当",D38))),4)&amp;"*",注文弁当の抽出!$F$1:$G$15,2,FALSE),"")</f>
        <v/>
      </c>
      <c r="K38" s="45" t="str">
        <f ca="1">IF(クライアント抽出!P38&lt;&gt;"",SUBSTITUTE(ADDRESS(1,(CODE(クライアント抽出!P38)-64)*2-1,4),"1",""),"")</f>
        <v/>
      </c>
      <c r="L38" s="45" t="str">
        <f>IF(C38&lt;&gt;"",クライアント抽出!I38,"")</f>
        <v/>
      </c>
      <c r="M38" s="45">
        <f t="array" aca="1" ref="M38" ca="1">IF(C38&lt;&gt;"",
IF(K38&lt;&gt;"",INDIRECT("'数出表_Excel（アレルギー入力）'!"&amp;K38&amp;L38-1&amp;""),),)</f>
        <v>0</v>
      </c>
      <c r="N38" s="45" t="str">
        <f>IF(C38&lt;&gt;"",IF(OR(COUNTIF('盛付札（関数）'!D38,"*赤*"),COUNTIF('盛付札（関数）'!D38,"*キャラ*")),1,
VALUE(VLOOKUP("*"&amp;D38&amp;"*",商品マスタ!D:H,5,FALSE))),"")</f>
        <v/>
      </c>
      <c r="O38" s="45">
        <f ca="1">IF(LEN(クライアント抽出!V38)-LEN(SUBSTITUTE(クライアント抽出!V38,",",""))&lt;&gt;1,
IF(AND(クライアント抽出!P38&lt;&gt;"",クライアント抽出!S38&lt;&gt;""),
IF(クライアント抽出!P38&lt;&gt;クライアント抽出!S38,1,0),0),0)</f>
        <v>0</v>
      </c>
      <c r="P38" s="45">
        <f t="shared" si="0"/>
        <v>0</v>
      </c>
      <c r="Q38" s="45" t="b">
        <f t="shared" si="1"/>
        <v>0</v>
      </c>
      <c r="R38" s="122" t="str">
        <f t="array" aca="1" ref="R38" ca="1">IFERROR(SMALL(IF(P$1:P$311&lt;&gt;0,P$1:P$311),ROW(A38)),"")</f>
        <v/>
      </c>
      <c r="S38" s="122" t="str">
        <f t="array" aca="1" ref="S38" ca="1">IF($R38&lt;&gt;"",
SUBSTITUTE(SUBSTITUTE(INDIRECT("C"&amp;$R38&amp;"")," 週3ｺｰｽ","")," 週5ｺｰｽ",""),"")</f>
        <v/>
      </c>
      <c r="T38" s="122" t="str">
        <f t="array" aca="1" ref="T38" ca="1">IF(IF($R38&lt;&gt;"",
INDIRECT(""&amp;IF(COLUMN(D38)&lt;=26,CHAR(COLUMN(D38)+64),CHAR(INT((COLUMN(D38)-1)/26)+64)&amp;CHAR(MOD(COLUMN(D38)-1,26)+65))&amp;$R38&amp;""),"")=0,"",
IF($R38&lt;&gt;"",
INDIRECT(""&amp;IF(COLUMN(D38)&lt;=26,CHAR(COLUMN(D38)+64),CHAR(INT((COLUMN(D38)-1)/26)+64)&amp;CHAR(MOD(COLUMN(D38)-1,26)+65))&amp;$R38&amp;""),""))</f>
        <v/>
      </c>
      <c r="U38" s="185" t="str">
        <f t="array" aca="1" ref="U38" ca="1">IF($R38&lt;&gt;"",
INDIRECT("F"&amp;$R38&amp;""),"")</f>
        <v/>
      </c>
      <c r="V38" s="122" t="str">
        <f t="array" aca="1" ref="V38" ca="1">IF($R38&lt;&gt;"",
INDIRECT("G"&amp;$R38&amp;""),"")</f>
        <v/>
      </c>
      <c r="W38" s="122" t="str" cm="1">
        <f t="array" aca="1" ref="W38" ca="1">IF($R38&lt;&gt;"",
IF(AND(COUNTIF(INDIRECT("B"&amp;R38&amp;""),"*雙葉*"),COUNTIF($B$71:$B$210,"*雙葉*")&gt;=1),
IF(OR(COUNTIF(INDIRECT("B"&amp;R38&amp;""),"*雙葉先生*"),COUNTIF(INDIRECT("B"&amp;R38-1&amp;""),"*雙葉*")),INDIRECT("H"&amp;R38&amp;""),INDIRECT("H"&amp;R38&amp;"")+INDIRECT("H"&amp;MATCH("雙葉'",INDIRECT("B"&amp;R38+3&amp;":B210"),0)+2+R38&amp;"")),
IF(AND(LEFT(INDIRECT("B"&amp;R38&amp;""),2)="博多",COUNTIF(B:B,"*博多*")&gt;=2),
INDIRECT("H"&amp;R38&amp;"")+IFERROR(INDIRECT("H"&amp;MATCH("*"&amp;INDIRECT("B"&amp;R38&amp;"")&amp;"*",INDIRECT("B"&amp;R38+1&amp;":B210"),0)+R38&amp;""),0),
IF(AND(LEFT(INDIRECT("B"&amp;R38&amp;""),3)="奈良屋",COUNTIF(B:B,"*奈良屋*")&gt;=2),
INDIRECT("H"&amp;R38&amp;"")
+INDIRECT("H"&amp;MATCH("*"&amp;INDIRECT("B"&amp;R38&amp;"")&amp;"*",INDIRECT("B"&amp;R38+1&amp;":B210"),0)+R38&amp;"")
+INDIRECT("H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
+INDIRECT("H"&amp;MATCH("*"&amp;INDIRECT("B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&amp;"*",INDIRECT("B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+1&amp;":B210"),0)+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,
INDIRECT("H"&amp;R38&amp;"")))),"")</f>
        <v/>
      </c>
      <c r="X38" s="122" t="str">
        <f t="array" aca="1" ref="X38" ca="1">IF($R38&lt;&gt;"",
INDIRECT(""&amp;IF(COLUMN(I38)&lt;=26,CHAR(COLUMN(I38)+64),CHAR(INT((COLUMN(I38)-1)/26)+64)&amp;CHAR(MOD(COLUMN(I38)-1,26)+65))&amp;$R38&amp;""),"")</f>
        <v/>
      </c>
      <c r="Y38" s="122" t="str">
        <f t="array" aca="1" ref="Y38" ca="1">IF($R38&lt;&gt;"",
INDIRECT(""&amp;IF(COLUMN(J38)&lt;=26,CHAR(COLUMN(J38)+64),CHAR(INT((COLUMN(J38)-1)/26)+64)&amp;CHAR(MOD(COLUMN(J38)-1,26)+65))&amp;$R38&amp;""),"")</f>
        <v/>
      </c>
      <c r="Z38" s="122" t="str">
        <f t="shared" ca="1" si="2"/>
        <v/>
      </c>
      <c r="AA38" s="122" t="str">
        <f t="shared" ca="1" si="3"/>
        <v/>
      </c>
      <c r="AB38" s="122" t="str">
        <f t="array" aca="1" ref="AB38" ca="1">IF($R38&lt;&gt;"",
IF(AND(COUNTIF(INDIRECT("B"&amp;R38&amp;""),"*雙葉*"),COUNTIF(INDIRECT("B"&amp;R38&amp;""),"&lt;&gt;*先生*"),COUNTIF(B:B,"*雙葉*")&gt;=2),
INDIRECT("M"&amp;R38&amp;"")+INDIRECT("M"&amp;MATCH("雙葉'",INDIRECT("B"&amp;R38+1&amp;":B210"),0)+R38&amp;""),
IF(AND(LEFT(INDIRECT("B"&amp;R38&amp;""),2)="博多",COUNTIF(B:B,"*博多*")&gt;=2),
INDIRECT("M"&amp;R38&amp;"")+INDIRECT("M"&amp;MATCH("*"&amp;INDIRECT("B"&amp;R38&amp;"")&amp;"*",INDIRECT("B"&amp;R38+1&amp;":B210"),0)+R38&amp;""),
IF(AND(LEFT(INDIRECT("B"&amp;R38&amp;""),3)="奈良屋",COUNTIF(B:B,"*奈良屋*")&gt;=2),
INDIRECT("M"&amp;R38&amp;"")+INDIRECT("M"&amp;MATCH("*"&amp;INDIRECT("B"&amp;R38&amp;"")&amp;"*",INDIRECT("B"&amp;R38+1&amp;":B210"),0)+R38&amp;"")
+INDIRECT("M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,
INDIRECT("M"&amp;R38&amp;"")))),"")</f>
        <v/>
      </c>
      <c r="AC38" s="122" t="str">
        <f t="shared" ca="1" si="4"/>
        <v/>
      </c>
      <c r="AD38" s="176" t="str">
        <f t="shared" ca="1" si="5"/>
        <v/>
      </c>
      <c r="AE38" s="176" t="str">
        <f t="shared" ca="1" si="6"/>
        <v/>
      </c>
      <c r="AF38" s="176" t="str">
        <f t="shared" ca="1" si="7"/>
        <v/>
      </c>
      <c r="AG38" s="176" t="str">
        <f t="shared" ca="1" si="8"/>
        <v/>
      </c>
      <c r="AH38" s="183" t="str">
        <f t="shared" ca="1" si="9"/>
        <v/>
      </c>
      <c r="AI38" s="176" t="str">
        <f t="shared" ca="1" si="10"/>
        <v/>
      </c>
      <c r="AJ38" s="176" t="str">
        <f t="shared" ca="1" si="11"/>
        <v/>
      </c>
      <c r="AK38" s="176" t="str">
        <f t="shared" ca="1" si="12"/>
        <v/>
      </c>
      <c r="AL38" s="176" t="str">
        <f t="shared" ca="1" si="13"/>
        <v/>
      </c>
      <c r="AM38" s="176" t="str">
        <f t="shared" ca="1" si="14"/>
        <v/>
      </c>
      <c r="AN38" s="176" t="str">
        <f t="shared" ca="1" si="15"/>
        <v/>
      </c>
      <c r="AO38" s="176" t="str">
        <f t="shared" ca="1" si="16"/>
        <v/>
      </c>
      <c r="AP38" s="176" t="str">
        <f t="shared" ca="1" si="17"/>
        <v/>
      </c>
      <c r="AU38" s="176" t="str">
        <f t="shared" ca="1" si="18"/>
        <v/>
      </c>
      <c r="AW38" s="106" t="str">
        <f ca="1">IFERROR(IF(AF38&lt;&gt;"",OFFSET('数出表_Excel（アレルギー入力）'!$A$1,MATCH(AF38,'数出表_Excel（アレルギー入力）'!A:A,0)-2,0),""),"")</f>
        <v/>
      </c>
      <c r="AX38" s="106" t="str">
        <f ca="1">IF(AW38&lt;&gt;"",
OFFSET(得意先マスタ!$A$1,MATCH(AW38,得意先マスタ!A:A,0)-1,24),"")</f>
        <v/>
      </c>
      <c r="AY38" s="57">
        <f t="shared" ca="1" si="21"/>
        <v>0</v>
      </c>
      <c r="AZ38" s="57">
        <f t="shared" ca="1" si="29"/>
        <v>0</v>
      </c>
      <c r="BA38" s="57">
        <f t="shared" ca="1" si="30"/>
        <v>0</v>
      </c>
      <c r="BB38" s="176">
        <f t="shared" ca="1" si="24"/>
        <v>0</v>
      </c>
    </row>
    <row r="39" spans="1:54" ht="18" customHeight="1">
      <c r="A39" s="101">
        <f t="shared" si="31"/>
        <v>83</v>
      </c>
      <c r="B39" s="45" t="str">
        <f t="shared" si="32"/>
        <v/>
      </c>
      <c r="C39" s="45" t="str">
        <f>IF(OR(クライアント抽出!B39&lt;&gt;"",クライアント抽出!E39&lt;&gt;""),クライアント抽出!A39,"")</f>
        <v/>
      </c>
      <c r="D39" s="45" t="str">
        <f t="array" aca="1" ref="D39" ca="1">IF(C39&lt;&gt;"",INDIRECT("クライアント抽出!"&amp;E39&amp;MATCH(C39,クライアント抽出!A:A,0)&amp;""),"")</f>
        <v/>
      </c>
      <c r="E39" s="45" t="str">
        <f>IF(H39&lt;&gt;0,
IFERROR(
SUBSTITUTE(ADDRESS(1,
MATCH(VALUE(H39),クライアント抽出!A39:G39,0)+8,4),"1",""),
""),
IFERROR(
SUBSTITUTE(ADDRESS(1,
MATCH(VALUE(I39),クライアント抽出!A39:G39,0)+8,4),"1",""),
""))</f>
        <v/>
      </c>
      <c r="F39" s="184" t="str">
        <f ca="1">IF(D39&lt;&gt;"",
IF(COUNTIF(C39,"*雙葉*"),
IF(ROUND((H39-M39)
/IF(COUNTIF(D39,"*キャラ*"),
VLOOKUP("*キャラ*",商品マスタ!$D:$E,2,FALSE),
IF(COUNTIF(D39,"*赤*"),
VLOOKUP("*赤*",商品マスタ!$D:$E,2,FALSE),
VLOOKUP("*"&amp;D39&amp;"*",商品マスタ!$D:$E,2,FALSE))),0)&lt;=0,1,
ROUND((H39-M39)
/IF(COUNTIF(D39,"*キャラ*"),
VLOOKUP("*キャラ*",商品マスタ!$D:$E,2,FALSE),
IF(COUNTIF(D39,"*赤*"),
VLOOKUP("*赤*",商品マスタ!$D:$E,2,FALSE),
VLOOKUP("*"&amp;D39&amp;"*",商品マスタ!$D:$E,2,FALSE))),0)),
IF(OR(COUNTIF(D39,"*キャラ*"),COUNTIF(D39,"*赤*")),"",
IF(VLOOKUP("*"&amp;D39&amp;"*",商品マスタ!$D:$E,2,FALSE)=0,"",
IF(ROUND((H39-M39)
/VLOOKUP("*"&amp;D39&amp;"*",商品マスタ!$D:$E,2,FALSE),0)&lt;=0,1,
ROUND((H39-M39)
/VLOOKUP("*"&amp;D39&amp;"*",商品マスタ!$D:$E,2,FALSE),0))))),"")</f>
        <v/>
      </c>
      <c r="G39" s="45" t="str">
        <f ca="1">IF(F39&lt;&gt;"",
IF(VALUE(H39-M39)&gt;VALUE(IF(COUNTIF(D39,"*キャラ*"),
VLOOKUP("*キャラ*",商品マスタ!$D:$E,2,FALSE),
IF(COUNTIF(D39,"*赤*"),
VLOOKUP("*赤*",商品マスタ!$D:$E,2,FALSE),
VLOOKUP("*"&amp;D39&amp;"*",商品マスタ!$D:$E,2,FALSE)))*F39),
"+"&amp;(H39-M39)-IF(COUNTIF(D39,"*キャラ*"),
VLOOKUP("*キャラ*",商品マスタ!$D:$E,2,FALSE),
IF(COUNTIF(D39,"*赤*"),
VLOOKUP("*赤*",商品マスタ!$D:$E,2,FALSE),
VLOOKUP("*"&amp;D39&amp;"*",商品マスタ!$D:$E,2,FALSE)))*F39,
(H39-M39)-IF(COUNTIF(D39,"*キャラ*"),
VLOOKUP("*キャラ*",商品マスタ!$D:$E,2,FALSE),
IF(COUNTIF(D39,"*赤*"),
VLOOKUP("*赤*",商品マスタ!$D:$E,2,FALSE),
VLOOKUP("*"&amp;D39&amp;"*",商品マスタ!$D:$E,2,FALSE)))*F39),"")</f>
        <v/>
      </c>
      <c r="H39" s="99" t="str">
        <f>IF(C39&lt;&gt;"",
クライアント抽出!B39,"")</f>
        <v/>
      </c>
      <c r="I39" s="45" t="str">
        <f t="array" aca="1" ref="I39" ca="1">IF(C39&lt;&gt;"",
IF(O39=1,
IF(SUMPRODUCT(COUNTIF(クライアント抽出!P39:U39,クライアント抽出!P39:U39))&gt;COUNTA(クライアント抽出!P39:U39),
IFERROR(INDIRECT("数出表_Excel!"&amp;INDEX(_xlfn.UNIQUE(_xlfn._xlws.FILTER(クライアント抽出!P39:U39,COUNTIF(クライアント抽出!P39:U39,クライアント抽出!P39:U39)&gt;1)),1)&amp;L39&amp;""),
クライアント抽出!E39),0),クライアント抽出!E39),"")</f>
        <v/>
      </c>
      <c r="J39" s="45" t="str">
        <f>IF(C39&lt;&gt;"",
VLOOKUP(
"*"&amp;LEFT(IF(COUNTIF(D39,"*学食*"),"キャラ弁（学食）",
IF(COUNTIF(D39,"*赤*"),"赤",
IF(COUNTIF(D39,"*キャラ弁当*"),"キャラ弁当",D39))),4)&amp;"*",注文弁当の抽出!$F$1:$G$15,2,FALSE),"")</f>
        <v/>
      </c>
      <c r="K39" s="45" t="str">
        <f ca="1">IF(クライアント抽出!P39&lt;&gt;"",SUBSTITUTE(ADDRESS(1,(CODE(クライアント抽出!P39)-64)*2-1,4),"1",""),"")</f>
        <v/>
      </c>
      <c r="L39" s="45" t="str">
        <f>IF(C39&lt;&gt;"",クライアント抽出!I39,"")</f>
        <v/>
      </c>
      <c r="M39" s="45">
        <f t="array" aca="1" ref="M39" ca="1">IF(C39&lt;&gt;"",
IF(K39&lt;&gt;"",INDIRECT("'数出表_Excel（アレルギー入力）'!"&amp;K39&amp;L39-1&amp;""),),)</f>
        <v>0</v>
      </c>
      <c r="N39" s="45" t="str">
        <f>IF(C39&lt;&gt;"",IF(OR(COUNTIF('盛付札（関数）'!D39,"*赤*"),COUNTIF('盛付札（関数）'!D39,"*キャラ*")),1,
VALUE(VLOOKUP("*"&amp;D39&amp;"*",商品マスタ!D:H,5,FALSE))),"")</f>
        <v/>
      </c>
      <c r="O39" s="45">
        <f ca="1">IF(LEN(クライアント抽出!V39)-LEN(SUBSTITUTE(クライアント抽出!V39,",",""))&lt;&gt;1,
IF(AND(クライアント抽出!P39&lt;&gt;"",クライアント抽出!S39&lt;&gt;""),
IF(クライアント抽出!P39&lt;&gt;クライアント抽出!S39,1,0),0),0)</f>
        <v>0</v>
      </c>
      <c r="P39" s="45">
        <f t="shared" si="0"/>
        <v>0</v>
      </c>
      <c r="Q39" s="45" t="b">
        <f t="shared" si="1"/>
        <v>0</v>
      </c>
      <c r="R39" s="122" t="str">
        <f t="array" aca="1" ref="R39" ca="1">IFERROR(SMALL(IF(P$1:P$311&lt;&gt;0,P$1:P$311),ROW(A39)),"")</f>
        <v/>
      </c>
      <c r="S39" s="122" t="str">
        <f t="array" aca="1" ref="S39" ca="1">IF($R39&lt;&gt;"",
SUBSTITUTE(SUBSTITUTE(INDIRECT("C"&amp;$R39&amp;"")," 週3ｺｰｽ","")," 週5ｺｰｽ",""),"")</f>
        <v/>
      </c>
      <c r="T39" s="122" t="str">
        <f t="array" aca="1" ref="T39" ca="1">IF(IF($R39&lt;&gt;"",
INDIRECT(""&amp;IF(COLUMN(D39)&lt;=26,CHAR(COLUMN(D39)+64),CHAR(INT((COLUMN(D39)-1)/26)+64)&amp;CHAR(MOD(COLUMN(D39)-1,26)+65))&amp;$R39&amp;""),"")=0,"",
IF($R39&lt;&gt;"",
INDIRECT(""&amp;IF(COLUMN(D39)&lt;=26,CHAR(COLUMN(D39)+64),CHAR(INT((COLUMN(D39)-1)/26)+64)&amp;CHAR(MOD(COLUMN(D39)-1,26)+65))&amp;$R39&amp;""),""))</f>
        <v/>
      </c>
      <c r="U39" s="185" t="str">
        <f t="array" aca="1" ref="U39" ca="1">IF($R39&lt;&gt;"",
INDIRECT("F"&amp;$R39&amp;""),"")</f>
        <v/>
      </c>
      <c r="V39" s="122" t="str">
        <f t="array" aca="1" ref="V39" ca="1">IF($R39&lt;&gt;"",
INDIRECT("G"&amp;$R39&amp;""),"")</f>
        <v/>
      </c>
      <c r="W39" s="122" t="str" cm="1">
        <f t="array" aca="1" ref="W39" ca="1">IF($R39&lt;&gt;"",
IF(AND(COUNTIF(INDIRECT("B"&amp;R39&amp;""),"*雙葉*"),COUNTIF($B$71:$B$210,"*雙葉*")&gt;=1),
IF(OR(COUNTIF(INDIRECT("B"&amp;R39&amp;""),"*雙葉先生*"),COUNTIF(INDIRECT("B"&amp;R39-1&amp;""),"*雙葉*")),INDIRECT("H"&amp;R39&amp;""),INDIRECT("H"&amp;R39&amp;"")+INDIRECT("H"&amp;MATCH("雙葉'",INDIRECT("B"&amp;R39+3&amp;":B210"),0)+2+R39&amp;"")),
IF(AND(LEFT(INDIRECT("B"&amp;R39&amp;""),2)="博多",COUNTIF(B:B,"*博多*")&gt;=2),
INDIRECT("H"&amp;R39&amp;"")+IFERROR(INDIRECT("H"&amp;MATCH("*"&amp;INDIRECT("B"&amp;R39&amp;"")&amp;"*",INDIRECT("B"&amp;R39+1&amp;":B210"),0)+R39&amp;""),0),
IF(AND(LEFT(INDIRECT("B"&amp;R39&amp;""),3)="奈良屋",COUNTIF(B:B,"*奈良屋*")&gt;=2),
INDIRECT("H"&amp;R39&amp;"")
+INDIRECT("H"&amp;MATCH("*"&amp;INDIRECT("B"&amp;R39&amp;"")&amp;"*",INDIRECT("B"&amp;R39+1&amp;":B210"),0)+R39&amp;"")
+INDIRECT("H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
+INDIRECT("H"&amp;MATCH("*"&amp;INDIRECT("B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&amp;"*",INDIRECT("B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+1&amp;":B210"),0)+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,
INDIRECT("H"&amp;R39&amp;"")))),"")</f>
        <v/>
      </c>
      <c r="X39" s="122" t="str">
        <f t="array" aca="1" ref="X39" ca="1">IF($R39&lt;&gt;"",
INDIRECT(""&amp;IF(COLUMN(I39)&lt;=26,CHAR(COLUMN(I39)+64),CHAR(INT((COLUMN(I39)-1)/26)+64)&amp;CHAR(MOD(COLUMN(I39)-1,26)+65))&amp;$R39&amp;""),"")</f>
        <v/>
      </c>
      <c r="Y39" s="122" t="str">
        <f t="array" aca="1" ref="Y39" ca="1">IF($R39&lt;&gt;"",
INDIRECT(""&amp;IF(COLUMN(J39)&lt;=26,CHAR(COLUMN(J39)+64),CHAR(INT((COLUMN(J39)-1)/26)+64)&amp;CHAR(MOD(COLUMN(J39)-1,26)+65))&amp;$R39&amp;""),"")</f>
        <v/>
      </c>
      <c r="Z39" s="122" t="str">
        <f t="shared" ca="1" si="2"/>
        <v/>
      </c>
      <c r="AA39" s="122" t="str">
        <f t="shared" ca="1" si="3"/>
        <v/>
      </c>
      <c r="AB39" s="122" t="str">
        <f t="array" aca="1" ref="AB39" ca="1">IF($R39&lt;&gt;"",
IF(AND(COUNTIF(INDIRECT("B"&amp;R39&amp;""),"*雙葉*"),COUNTIF(INDIRECT("B"&amp;R39&amp;""),"&lt;&gt;*先生*"),COUNTIF(B:B,"*雙葉*")&gt;=2),
INDIRECT("M"&amp;R39&amp;"")+INDIRECT("M"&amp;MATCH("雙葉'",INDIRECT("B"&amp;R39+1&amp;":B210"),0)+R39&amp;""),
IF(AND(LEFT(INDIRECT("B"&amp;R39&amp;""),2)="博多",COUNTIF(B:B,"*博多*")&gt;=2),
INDIRECT("M"&amp;R39&amp;"")+INDIRECT("M"&amp;MATCH("*"&amp;INDIRECT("B"&amp;R39&amp;"")&amp;"*",INDIRECT("B"&amp;R39+1&amp;":B210"),0)+R39&amp;""),
IF(AND(LEFT(INDIRECT("B"&amp;R39&amp;""),3)="奈良屋",COUNTIF(B:B,"*奈良屋*")&gt;=2),
INDIRECT("M"&amp;R39&amp;"")+INDIRECT("M"&amp;MATCH("*"&amp;INDIRECT("B"&amp;R39&amp;"")&amp;"*",INDIRECT("B"&amp;R39+1&amp;":B210"),0)+R39&amp;"")
+INDIRECT("M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,
INDIRECT("M"&amp;R39&amp;"")))),"")</f>
        <v/>
      </c>
      <c r="AC39" s="122" t="str">
        <f t="shared" ca="1" si="4"/>
        <v/>
      </c>
      <c r="AD39" s="176" t="str">
        <f t="shared" ca="1" si="5"/>
        <v/>
      </c>
      <c r="AE39" s="176" t="str">
        <f t="shared" ca="1" si="6"/>
        <v/>
      </c>
      <c r="AF39" s="176" t="str">
        <f t="shared" ca="1" si="7"/>
        <v/>
      </c>
      <c r="AG39" s="176" t="str">
        <f t="shared" ca="1" si="8"/>
        <v/>
      </c>
      <c r="AH39" s="183" t="str">
        <f t="shared" ca="1" si="9"/>
        <v/>
      </c>
      <c r="AI39" s="176" t="str">
        <f t="shared" ca="1" si="10"/>
        <v/>
      </c>
      <c r="AJ39" s="176" t="str">
        <f t="shared" ca="1" si="11"/>
        <v/>
      </c>
      <c r="AK39" s="176" t="str">
        <f t="shared" ca="1" si="12"/>
        <v/>
      </c>
      <c r="AL39" s="176" t="str">
        <f t="shared" ca="1" si="13"/>
        <v/>
      </c>
      <c r="AM39" s="176" t="str">
        <f t="shared" ca="1" si="14"/>
        <v/>
      </c>
      <c r="AN39" s="176" t="str">
        <f t="shared" ca="1" si="15"/>
        <v/>
      </c>
      <c r="AO39" s="176" t="str">
        <f t="shared" ca="1" si="16"/>
        <v/>
      </c>
      <c r="AP39" s="176" t="str">
        <f t="shared" ca="1" si="17"/>
        <v/>
      </c>
      <c r="AU39" s="176" t="str">
        <f t="shared" ca="1" si="18"/>
        <v/>
      </c>
      <c r="AW39" s="106" t="str">
        <f ca="1">IFERROR(IF(AF39&lt;&gt;"",OFFSET('数出表_Excel（アレルギー入力）'!$A$1,MATCH(AF39,'数出表_Excel（アレルギー入力）'!A:A,0)-2,0),""),"")</f>
        <v/>
      </c>
      <c r="AX39" s="106" t="str">
        <f ca="1">IF(AW39&lt;&gt;"",
OFFSET(得意先マスタ!$A$1,MATCH(AW39,得意先マスタ!A:A,0)-1,24),"")</f>
        <v/>
      </c>
      <c r="AY39" s="57">
        <f t="shared" ca="1" si="21"/>
        <v>0</v>
      </c>
      <c r="AZ39" s="57">
        <f t="shared" ca="1" si="29"/>
        <v>0</v>
      </c>
      <c r="BA39" s="57">
        <f t="shared" ca="1" si="30"/>
        <v>0</v>
      </c>
      <c r="BB39" s="176">
        <f t="shared" ca="1" si="24"/>
        <v>0</v>
      </c>
    </row>
    <row r="40" spans="1:54" ht="18" customHeight="1">
      <c r="A40" s="101">
        <f t="shared" si="31"/>
        <v>85</v>
      </c>
      <c r="B40" s="45" t="str">
        <f t="shared" si="32"/>
        <v/>
      </c>
      <c r="C40" s="45" t="str">
        <f>IF(OR(クライアント抽出!B40&lt;&gt;"",クライアント抽出!E40&lt;&gt;""),クライアント抽出!A40,"")</f>
        <v/>
      </c>
      <c r="D40" s="45" t="str">
        <f t="array" aca="1" ref="D40" ca="1">IF(C40&lt;&gt;"",INDIRECT("クライアント抽出!"&amp;E40&amp;MATCH(C40,クライアント抽出!A:A,0)&amp;""),"")</f>
        <v/>
      </c>
      <c r="E40" s="45" t="str">
        <f>IF(H40&lt;&gt;0,
IFERROR(
SUBSTITUTE(ADDRESS(1,
MATCH(VALUE(H40),クライアント抽出!A40:G40,0)+8,4),"1",""),
""),
IFERROR(
SUBSTITUTE(ADDRESS(1,
MATCH(VALUE(I40),クライアント抽出!A40:G40,0)+8,4),"1",""),
""))</f>
        <v/>
      </c>
      <c r="F40" s="184" t="str">
        <f ca="1">IF(D40&lt;&gt;"",
IF(COUNTIF(C40,"*雙葉*"),
IF(ROUND((H40-M40)
/IF(COUNTIF(D40,"*キャラ*"),
VLOOKUP("*キャラ*",商品マスタ!$D:$E,2,FALSE),
IF(COUNTIF(D40,"*赤*"),
VLOOKUP("*赤*",商品マスタ!$D:$E,2,FALSE),
VLOOKUP("*"&amp;D40&amp;"*",商品マスタ!$D:$E,2,FALSE))),0)&lt;=0,1,
ROUND((H40-M40)
/IF(COUNTIF(D40,"*キャラ*"),
VLOOKUP("*キャラ*",商品マスタ!$D:$E,2,FALSE),
IF(COUNTIF(D40,"*赤*"),
VLOOKUP("*赤*",商品マスタ!$D:$E,2,FALSE),
VLOOKUP("*"&amp;D40&amp;"*",商品マスタ!$D:$E,2,FALSE))),0)),
IF(OR(COUNTIF(D40,"*キャラ*"),COUNTIF(D40,"*赤*")),"",
IF(VLOOKUP("*"&amp;D40&amp;"*",商品マスタ!$D:$E,2,FALSE)=0,"",
IF(ROUND((H40-M40)
/VLOOKUP("*"&amp;D40&amp;"*",商品マスタ!$D:$E,2,FALSE),0)&lt;=0,1,
ROUND((H40-M40)
/VLOOKUP("*"&amp;D40&amp;"*",商品マスタ!$D:$E,2,FALSE),0))))),"")</f>
        <v/>
      </c>
      <c r="G40" s="45" t="str">
        <f ca="1">IF(F40&lt;&gt;"",
IF(VALUE(H40-M40)&gt;VALUE(IF(COUNTIF(D40,"*キャラ*"),
VLOOKUP("*キャラ*",商品マスタ!$D:$E,2,FALSE),
IF(COUNTIF(D40,"*赤*"),
VLOOKUP("*赤*",商品マスタ!$D:$E,2,FALSE),
VLOOKUP("*"&amp;D40&amp;"*",商品マスタ!$D:$E,2,FALSE)))*F40),
"+"&amp;(H40-M40)-IF(COUNTIF(D40,"*キャラ*"),
VLOOKUP("*キャラ*",商品マスタ!$D:$E,2,FALSE),
IF(COUNTIF(D40,"*赤*"),
VLOOKUP("*赤*",商品マスタ!$D:$E,2,FALSE),
VLOOKUP("*"&amp;D40&amp;"*",商品マスタ!$D:$E,2,FALSE)))*F40,
(H40-M40)-IF(COUNTIF(D40,"*キャラ*"),
VLOOKUP("*キャラ*",商品マスタ!$D:$E,2,FALSE),
IF(COUNTIF(D40,"*赤*"),
VLOOKUP("*赤*",商品マスタ!$D:$E,2,FALSE),
VLOOKUP("*"&amp;D40&amp;"*",商品マスタ!$D:$E,2,FALSE)))*F40),"")</f>
        <v/>
      </c>
      <c r="H40" s="99" t="str">
        <f>IF(C40&lt;&gt;"",
クライアント抽出!B40,"")</f>
        <v/>
      </c>
      <c r="I40" s="45" t="str">
        <f t="array" aca="1" ref="I40" ca="1">IF(C40&lt;&gt;"",
IF(O40=1,
IF(SUMPRODUCT(COUNTIF(クライアント抽出!P40:U40,クライアント抽出!P40:U40))&gt;COUNTA(クライアント抽出!P40:U40),
IFERROR(INDIRECT("数出表_Excel!"&amp;INDEX(_xlfn.UNIQUE(_xlfn._xlws.FILTER(クライアント抽出!P40:U40,COUNTIF(クライアント抽出!P40:U40,クライアント抽出!P40:U40)&gt;1)),1)&amp;L40&amp;""),
クライアント抽出!E40),0),クライアント抽出!E40),"")</f>
        <v/>
      </c>
      <c r="J40" s="45" t="str">
        <f>IF(C40&lt;&gt;"",
VLOOKUP(
"*"&amp;LEFT(IF(COUNTIF(D40,"*学食*"),"キャラ弁（学食）",
IF(COUNTIF(D40,"*赤*"),"赤",
IF(COUNTIF(D40,"*キャラ弁当*"),"キャラ弁当",D40))),4)&amp;"*",注文弁当の抽出!$F$1:$G$15,2,FALSE),"")</f>
        <v/>
      </c>
      <c r="K40" s="45" t="str">
        <f ca="1">IF(クライアント抽出!P40&lt;&gt;"",SUBSTITUTE(ADDRESS(1,(CODE(クライアント抽出!P40)-64)*2-1,4),"1",""),"")</f>
        <v/>
      </c>
      <c r="L40" s="45" t="str">
        <f>IF(C40&lt;&gt;"",クライアント抽出!I40,"")</f>
        <v/>
      </c>
      <c r="M40" s="45">
        <f t="array" aca="1" ref="M40" ca="1">IF(C40&lt;&gt;"",
IF(K40&lt;&gt;"",INDIRECT("'数出表_Excel（アレルギー入力）'!"&amp;K40&amp;L40-1&amp;""),),)</f>
        <v>0</v>
      </c>
      <c r="N40" s="45" t="str">
        <f>IF(C40&lt;&gt;"",IF(OR(COUNTIF('盛付札（関数）'!D40,"*赤*"),COUNTIF('盛付札（関数）'!D40,"*キャラ*")),1,
VALUE(VLOOKUP("*"&amp;D40&amp;"*",商品マスタ!D:H,5,FALSE))),"")</f>
        <v/>
      </c>
      <c r="O40" s="45">
        <f ca="1">IF(LEN(クライアント抽出!V40)-LEN(SUBSTITUTE(クライアント抽出!V40,",",""))&lt;&gt;1,
IF(AND(クライアント抽出!P40&lt;&gt;"",クライアント抽出!S40&lt;&gt;""),
IF(クライアント抽出!P40&lt;&gt;クライアント抽出!S40,1,0),0),0)</f>
        <v>0</v>
      </c>
      <c r="P40" s="45">
        <f t="shared" si="0"/>
        <v>0</v>
      </c>
      <c r="Q40" s="45" t="b">
        <f t="shared" si="1"/>
        <v>0</v>
      </c>
      <c r="R40" s="122" t="str">
        <f t="array" aca="1" ref="R40" ca="1">IFERROR(SMALL(IF(P$1:P$311&lt;&gt;0,P$1:P$311),ROW(A40)),"")</f>
        <v/>
      </c>
      <c r="S40" s="122" t="str">
        <f t="array" aca="1" ref="S40" ca="1">IF($R40&lt;&gt;"",
SUBSTITUTE(SUBSTITUTE(INDIRECT("C"&amp;$R40&amp;"")," 週3ｺｰｽ","")," 週5ｺｰｽ",""),"")</f>
        <v/>
      </c>
      <c r="T40" s="122" t="str">
        <f t="array" aca="1" ref="T40" ca="1">IF(IF($R40&lt;&gt;"",
INDIRECT(""&amp;IF(COLUMN(D40)&lt;=26,CHAR(COLUMN(D40)+64),CHAR(INT((COLUMN(D40)-1)/26)+64)&amp;CHAR(MOD(COLUMN(D40)-1,26)+65))&amp;$R40&amp;""),"")=0,"",
IF($R40&lt;&gt;"",
INDIRECT(""&amp;IF(COLUMN(D40)&lt;=26,CHAR(COLUMN(D40)+64),CHAR(INT((COLUMN(D40)-1)/26)+64)&amp;CHAR(MOD(COLUMN(D40)-1,26)+65))&amp;$R40&amp;""),""))</f>
        <v/>
      </c>
      <c r="U40" s="185" t="str">
        <f t="array" aca="1" ref="U40" ca="1">IF($R40&lt;&gt;"",
INDIRECT("F"&amp;$R40&amp;""),"")</f>
        <v/>
      </c>
      <c r="V40" s="122" t="str">
        <f t="array" aca="1" ref="V40" ca="1">IF($R40&lt;&gt;"",
INDIRECT("G"&amp;$R40&amp;""),"")</f>
        <v/>
      </c>
      <c r="W40" s="122" t="str" cm="1">
        <f t="array" aca="1" ref="W40" ca="1">IF($R40&lt;&gt;"",
IF(AND(COUNTIF(INDIRECT("B"&amp;R40&amp;""),"*雙葉*"),COUNTIF($B$71:$B$210,"*雙葉*")&gt;=1),
IF(OR(COUNTIF(INDIRECT("B"&amp;R40&amp;""),"*雙葉先生*"),COUNTIF(INDIRECT("B"&amp;R40-1&amp;""),"*雙葉*")),INDIRECT("H"&amp;R40&amp;""),INDIRECT("H"&amp;R40&amp;"")+INDIRECT("H"&amp;MATCH("雙葉'",INDIRECT("B"&amp;R40+3&amp;":B210"),0)+2+R40&amp;"")),
IF(AND(LEFT(INDIRECT("B"&amp;R40&amp;""),2)="博多",COUNTIF(B:B,"*博多*")&gt;=2),
INDIRECT("H"&amp;R40&amp;"")+IFERROR(INDIRECT("H"&amp;MATCH("*"&amp;INDIRECT("B"&amp;R40&amp;"")&amp;"*",INDIRECT("B"&amp;R40+1&amp;":B210"),0)+R40&amp;""),0),
IF(AND(LEFT(INDIRECT("B"&amp;R40&amp;""),3)="奈良屋",COUNTIF(B:B,"*奈良屋*")&gt;=2),
INDIRECT("H"&amp;R40&amp;"")
+INDIRECT("H"&amp;MATCH("*"&amp;INDIRECT("B"&amp;R40&amp;"")&amp;"*",INDIRECT("B"&amp;R40+1&amp;":B210"),0)+R40&amp;"")
+INDIRECT("H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
+INDIRECT("H"&amp;MATCH("*"&amp;INDIRECT("B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&amp;"*",INDIRECT("B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+1&amp;":B210"),0)+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,
INDIRECT("H"&amp;R40&amp;"")))),"")</f>
        <v/>
      </c>
      <c r="X40" s="122" t="str">
        <f t="array" aca="1" ref="X40" ca="1">IF($R40&lt;&gt;"",
INDIRECT(""&amp;IF(COLUMN(I40)&lt;=26,CHAR(COLUMN(I40)+64),CHAR(INT((COLUMN(I40)-1)/26)+64)&amp;CHAR(MOD(COLUMN(I40)-1,26)+65))&amp;$R40&amp;""),"")</f>
        <v/>
      </c>
      <c r="Y40" s="122" t="str">
        <f t="array" aca="1" ref="Y40" ca="1">IF($R40&lt;&gt;"",
INDIRECT(""&amp;IF(COLUMN(J40)&lt;=26,CHAR(COLUMN(J40)+64),CHAR(INT((COLUMN(J40)-1)/26)+64)&amp;CHAR(MOD(COLUMN(J40)-1,26)+65))&amp;$R40&amp;""),"")</f>
        <v/>
      </c>
      <c r="Z40" s="122" t="str">
        <f t="shared" ca="1" si="2"/>
        <v/>
      </c>
      <c r="AA40" s="122" t="str">
        <f t="shared" ca="1" si="3"/>
        <v/>
      </c>
      <c r="AB40" s="122" t="str">
        <f t="array" aca="1" ref="AB40" ca="1">IF($R40&lt;&gt;"",
IF(AND(COUNTIF(INDIRECT("B"&amp;R40&amp;""),"*雙葉*"),COUNTIF(INDIRECT("B"&amp;R40&amp;""),"&lt;&gt;*先生*"),COUNTIF(B:B,"*雙葉*")&gt;=2),
INDIRECT("M"&amp;R40&amp;"")+INDIRECT("M"&amp;MATCH("雙葉'",INDIRECT("B"&amp;R40+1&amp;":B210"),0)+R40&amp;""),
IF(AND(LEFT(INDIRECT("B"&amp;R40&amp;""),2)="博多",COUNTIF(B:B,"*博多*")&gt;=2),
INDIRECT("M"&amp;R40&amp;"")+INDIRECT("M"&amp;MATCH("*"&amp;INDIRECT("B"&amp;R40&amp;"")&amp;"*",INDIRECT("B"&amp;R40+1&amp;":B210"),0)+R40&amp;""),
IF(AND(LEFT(INDIRECT("B"&amp;R40&amp;""),3)="奈良屋",COUNTIF(B:B,"*奈良屋*")&gt;=2),
INDIRECT("M"&amp;R40&amp;"")+INDIRECT("M"&amp;MATCH("*"&amp;INDIRECT("B"&amp;R40&amp;"")&amp;"*",INDIRECT("B"&amp;R40+1&amp;":B210"),0)+R40&amp;"")
+INDIRECT("M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,
INDIRECT("M"&amp;R40&amp;"")))),"")</f>
        <v/>
      </c>
      <c r="AC40" s="122" t="str">
        <f t="shared" ca="1" si="4"/>
        <v/>
      </c>
      <c r="AD40" s="176" t="str">
        <f t="shared" ca="1" si="5"/>
        <v/>
      </c>
      <c r="AE40" s="176" t="str">
        <f t="shared" ca="1" si="6"/>
        <v/>
      </c>
      <c r="AF40" s="176" t="str">
        <f t="shared" ca="1" si="7"/>
        <v/>
      </c>
      <c r="AG40" s="176" t="str">
        <f t="shared" ca="1" si="8"/>
        <v/>
      </c>
      <c r="AH40" s="183" t="str">
        <f t="shared" ca="1" si="9"/>
        <v/>
      </c>
      <c r="AI40" s="176" t="str">
        <f t="shared" ca="1" si="10"/>
        <v/>
      </c>
      <c r="AJ40" s="176" t="str">
        <f t="shared" ca="1" si="11"/>
        <v/>
      </c>
      <c r="AK40" s="176" t="str">
        <f t="shared" ca="1" si="12"/>
        <v/>
      </c>
      <c r="AL40" s="176" t="str">
        <f t="shared" ca="1" si="13"/>
        <v/>
      </c>
      <c r="AM40" s="176" t="str">
        <f t="shared" ca="1" si="14"/>
        <v/>
      </c>
      <c r="AN40" s="176" t="str">
        <f t="shared" ca="1" si="15"/>
        <v/>
      </c>
      <c r="AO40" s="176" t="str">
        <f t="shared" ca="1" si="16"/>
        <v/>
      </c>
      <c r="AP40" s="176" t="str">
        <f t="shared" ca="1" si="17"/>
        <v/>
      </c>
      <c r="AU40" s="176" t="str">
        <f t="shared" ca="1" si="18"/>
        <v/>
      </c>
      <c r="AW40" s="106" t="str">
        <f ca="1">IFERROR(IF(AF40&lt;&gt;"",OFFSET('数出表_Excel（アレルギー入力）'!$A$1,MATCH(AF40,'数出表_Excel（アレルギー入力）'!A:A,0)-2,0),""),"")</f>
        <v/>
      </c>
      <c r="AX40" s="106" t="str">
        <f ca="1">IF(AW40&lt;&gt;"",
OFFSET(得意先マスタ!$A$1,MATCH(AW40,得意先マスタ!A:A,0)-1,24),"")</f>
        <v/>
      </c>
      <c r="AY40" s="57">
        <f t="shared" ca="1" si="21"/>
        <v>0</v>
      </c>
      <c r="AZ40" s="57">
        <f t="shared" ca="1" si="29"/>
        <v>0</v>
      </c>
      <c r="BA40" s="57">
        <f t="shared" ca="1" si="30"/>
        <v>0</v>
      </c>
      <c r="BB40" s="176">
        <f t="shared" ca="1" si="24"/>
        <v>0</v>
      </c>
    </row>
    <row r="41" spans="1:54" ht="22.2" customHeight="1">
      <c r="A41" s="101">
        <f t="shared" si="31"/>
        <v>87</v>
      </c>
      <c r="B41" s="45" t="str">
        <f t="shared" si="32"/>
        <v/>
      </c>
      <c r="C41" s="45" t="str">
        <f>IF(OR(クライアント抽出!B41&lt;&gt;"",クライアント抽出!E41&lt;&gt;""),クライアント抽出!A41,"")</f>
        <v/>
      </c>
      <c r="D41" s="45" t="str">
        <f t="array" aca="1" ref="D41" ca="1">IF(C41&lt;&gt;"",INDIRECT("クライアント抽出!"&amp;E41&amp;MATCH(C41,クライアント抽出!A:A,0)&amp;""),"")</f>
        <v/>
      </c>
      <c r="E41" s="45" t="str">
        <f>IF(H41&lt;&gt;0,
IFERROR(
SUBSTITUTE(ADDRESS(1,
MATCH(VALUE(H41),クライアント抽出!A41:G41,0)+8,4),"1",""),
""),
IFERROR(
SUBSTITUTE(ADDRESS(1,
MATCH(VALUE(I41),クライアント抽出!A41:G41,0)+8,4),"1",""),
""))</f>
        <v/>
      </c>
      <c r="F41" s="184" t="str">
        <f ca="1">IF(D41&lt;&gt;"",
IF(COUNTIF(C41,"*雙葉*"),
IF(ROUND((H41-M41)
/IF(COUNTIF(D41,"*キャラ*"),
VLOOKUP("*キャラ*",商品マスタ!$D:$E,2,FALSE),
IF(COUNTIF(D41,"*赤*"),
VLOOKUP("*赤*",商品マスタ!$D:$E,2,FALSE),
VLOOKUP("*"&amp;D41&amp;"*",商品マスタ!$D:$E,2,FALSE))),0)&lt;=0,1,
ROUND((H41-M41)
/IF(COUNTIF(D41,"*キャラ*"),
VLOOKUP("*キャラ*",商品マスタ!$D:$E,2,FALSE),
IF(COUNTIF(D41,"*赤*"),
VLOOKUP("*赤*",商品マスタ!$D:$E,2,FALSE),
VLOOKUP("*"&amp;D41&amp;"*",商品マスタ!$D:$E,2,FALSE))),0)),
IF(OR(COUNTIF(D41,"*キャラ*"),COUNTIF(D41,"*赤*")),"",
IF(VLOOKUP("*"&amp;D41&amp;"*",商品マスタ!$D:$E,2,FALSE)=0,"",
IF(ROUND((H41-M41)
/VLOOKUP("*"&amp;D41&amp;"*",商品マスタ!$D:$E,2,FALSE),0)&lt;=0,1,
ROUND((H41-M41)
/VLOOKUP("*"&amp;D41&amp;"*",商品マスタ!$D:$E,2,FALSE),0))))),"")</f>
        <v/>
      </c>
      <c r="G41" s="45" t="str">
        <f ca="1">IF(F41&lt;&gt;"",
IF(VALUE(H41-M41)&gt;VALUE(IF(COUNTIF(D41,"*キャラ*"),
VLOOKUP("*キャラ*",商品マスタ!$D:$E,2,FALSE),
IF(COUNTIF(D41,"*赤*"),
VLOOKUP("*赤*",商品マスタ!$D:$E,2,FALSE),
VLOOKUP("*"&amp;D41&amp;"*",商品マスタ!$D:$E,2,FALSE)))*F41),
"+"&amp;(H41-M41)-IF(COUNTIF(D41,"*キャラ*"),
VLOOKUP("*キャラ*",商品マスタ!$D:$E,2,FALSE),
IF(COUNTIF(D41,"*赤*"),
VLOOKUP("*赤*",商品マスタ!$D:$E,2,FALSE),
VLOOKUP("*"&amp;D41&amp;"*",商品マスタ!$D:$E,2,FALSE)))*F41,
(H41-M41)-IF(COUNTIF(D41,"*キャラ*"),
VLOOKUP("*キャラ*",商品マスタ!$D:$E,2,FALSE),
IF(COUNTIF(D41,"*赤*"),
VLOOKUP("*赤*",商品マスタ!$D:$E,2,FALSE),
VLOOKUP("*"&amp;D41&amp;"*",商品マスタ!$D:$E,2,FALSE)))*F41),"")</f>
        <v/>
      </c>
      <c r="H41" s="99" t="str">
        <f>IF(C41&lt;&gt;"",
クライアント抽出!B41,"")</f>
        <v/>
      </c>
      <c r="I41" s="45" t="str">
        <f t="array" aca="1" ref="I41" ca="1">IF(C41&lt;&gt;"",
IF(O41=1,
IF(SUMPRODUCT(COUNTIF(クライアント抽出!P41:U41,クライアント抽出!P41:U41))&gt;COUNTA(クライアント抽出!P41:U41),
IFERROR(INDIRECT("数出表_Excel!"&amp;INDEX(_xlfn.UNIQUE(_xlfn._xlws.FILTER(クライアント抽出!P41:U41,COUNTIF(クライアント抽出!P41:U41,クライアント抽出!P41:U41)&gt;1)),1)&amp;L41&amp;""),
クライアント抽出!E41),0),クライアント抽出!E41),"")</f>
        <v/>
      </c>
      <c r="J41" s="45" t="str">
        <f>IF(C41&lt;&gt;"",
VLOOKUP(
"*"&amp;LEFT(IF(COUNTIF(D41,"*学食*"),"キャラ弁（学食）",
IF(COUNTIF(D41,"*赤*"),"赤",
IF(COUNTIF(D41,"*キャラ弁当*"),"キャラ弁当",D41))),4)&amp;"*",注文弁当の抽出!$F$1:$G$15,2,FALSE),"")</f>
        <v/>
      </c>
      <c r="K41" s="45" t="str">
        <f ca="1">IF(クライアント抽出!P41&lt;&gt;"",SUBSTITUTE(ADDRESS(1,(CODE(クライアント抽出!P41)-64)*2-1,4),"1",""),"")</f>
        <v/>
      </c>
      <c r="L41" s="45" t="str">
        <f>IF(C41&lt;&gt;"",クライアント抽出!I41,"")</f>
        <v/>
      </c>
      <c r="M41" s="45">
        <f t="array" aca="1" ref="M41" ca="1">IF(C41&lt;&gt;"",
IF(K41&lt;&gt;"",INDIRECT("'数出表_Excel（アレルギー入力）'!"&amp;K41&amp;L41-1&amp;""),),)</f>
        <v>0</v>
      </c>
      <c r="N41" s="45" t="str">
        <f>IF(C41&lt;&gt;"",IF(OR(COUNTIF('盛付札（関数）'!D41,"*赤*"),COUNTIF('盛付札（関数）'!D41,"*キャラ*")),1,
VALUE(VLOOKUP("*"&amp;D41&amp;"*",商品マスタ!D:H,5,FALSE))),"")</f>
        <v/>
      </c>
      <c r="O41" s="45">
        <f ca="1">IF(LEN(クライアント抽出!V41)-LEN(SUBSTITUTE(クライアント抽出!V41,",",""))&lt;&gt;1,
IF(AND(クライアント抽出!P41&lt;&gt;"",クライアント抽出!S41&lt;&gt;""),
IF(クライアント抽出!P41&lt;&gt;クライアント抽出!S41,1,0),0),0)</f>
        <v>0</v>
      </c>
      <c r="P41" s="45">
        <f t="shared" si="0"/>
        <v>0</v>
      </c>
      <c r="Q41" s="45" t="b">
        <f t="shared" si="1"/>
        <v>0</v>
      </c>
      <c r="R41" s="122" t="str">
        <f t="array" aca="1" ref="R41" ca="1">IFERROR(SMALL(IF(P$1:P$311&lt;&gt;0,P$1:P$311),ROW(A41)),"")</f>
        <v/>
      </c>
      <c r="S41" s="122" t="str">
        <f t="array" aca="1" ref="S41" ca="1">IF($R41&lt;&gt;"",
SUBSTITUTE(SUBSTITUTE(INDIRECT("C"&amp;$R41&amp;"")," 週3ｺｰｽ","")," 週5ｺｰｽ",""),"")</f>
        <v/>
      </c>
      <c r="T41" s="122" t="str">
        <f t="array" aca="1" ref="T41" ca="1">IF(IF($R41&lt;&gt;"",
INDIRECT(""&amp;IF(COLUMN(D41)&lt;=26,CHAR(COLUMN(D41)+64),CHAR(INT((COLUMN(D41)-1)/26)+64)&amp;CHAR(MOD(COLUMN(D41)-1,26)+65))&amp;$R41&amp;""),"")=0,"",
IF($R41&lt;&gt;"",
INDIRECT(""&amp;IF(COLUMN(D41)&lt;=26,CHAR(COLUMN(D41)+64),CHAR(INT((COLUMN(D41)-1)/26)+64)&amp;CHAR(MOD(COLUMN(D41)-1,26)+65))&amp;$R41&amp;""),""))</f>
        <v/>
      </c>
      <c r="U41" s="185" t="str">
        <f t="array" aca="1" ref="U41" ca="1">IF($R41&lt;&gt;"",
INDIRECT("F"&amp;$R41&amp;""),"")</f>
        <v/>
      </c>
      <c r="V41" s="122" t="str">
        <f t="array" aca="1" ref="V41" ca="1">IF($R41&lt;&gt;"",
INDIRECT("G"&amp;$R41&amp;""),"")</f>
        <v/>
      </c>
      <c r="W41" s="122" t="str" cm="1">
        <f t="array" aca="1" ref="W41" ca="1">IF($R41&lt;&gt;"",
IF(AND(COUNTIF(INDIRECT("B"&amp;R41&amp;""),"*雙葉*"),COUNTIF($B$71:$B$210,"*雙葉*")&gt;=1),
IF(OR(COUNTIF(INDIRECT("B"&amp;R41&amp;""),"*雙葉先生*"),COUNTIF(INDIRECT("B"&amp;R41-1&amp;""),"*雙葉*")),INDIRECT("H"&amp;R41&amp;""),INDIRECT("H"&amp;R41&amp;"")+INDIRECT("H"&amp;MATCH("雙葉'",INDIRECT("B"&amp;R41+3&amp;":B210"),0)+2+R41&amp;"")),
IF(AND(LEFT(INDIRECT("B"&amp;R41&amp;""),2)="博多",COUNTIF(B:B,"*博多*")&gt;=2),
INDIRECT("H"&amp;R41&amp;"")+IFERROR(INDIRECT("H"&amp;MATCH("*"&amp;INDIRECT("B"&amp;R41&amp;"")&amp;"*",INDIRECT("B"&amp;R41+1&amp;":B210"),0)+R41&amp;""),0),
IF(AND(LEFT(INDIRECT("B"&amp;R41&amp;""),3)="奈良屋",COUNTIF(B:B,"*奈良屋*")&gt;=2),
INDIRECT("H"&amp;R41&amp;"")
+INDIRECT("H"&amp;MATCH("*"&amp;INDIRECT("B"&amp;R41&amp;"")&amp;"*",INDIRECT("B"&amp;R41+1&amp;":B210"),0)+R41&amp;"")
+INDIRECT("H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
+INDIRECT("H"&amp;MATCH("*"&amp;INDIRECT("B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&amp;"*",INDIRECT("B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+1&amp;":B210"),0)+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,
INDIRECT("H"&amp;R41&amp;"")))),"")</f>
        <v/>
      </c>
      <c r="X41" s="122" t="str">
        <f t="array" aca="1" ref="X41" ca="1">IF($R41&lt;&gt;"",
INDIRECT(""&amp;IF(COLUMN(I41)&lt;=26,CHAR(COLUMN(I41)+64),CHAR(INT((COLUMN(I41)-1)/26)+64)&amp;CHAR(MOD(COLUMN(I41)-1,26)+65))&amp;$R41&amp;""),"")</f>
        <v/>
      </c>
      <c r="Y41" s="122" t="str">
        <f t="array" aca="1" ref="Y41" ca="1">IF($R41&lt;&gt;"",
INDIRECT(""&amp;IF(COLUMN(J41)&lt;=26,CHAR(COLUMN(J41)+64),CHAR(INT((COLUMN(J41)-1)/26)+64)&amp;CHAR(MOD(COLUMN(J41)-1,26)+65))&amp;$R41&amp;""),"")</f>
        <v/>
      </c>
      <c r="Z41" s="122" t="str">
        <f t="shared" ca="1" si="2"/>
        <v/>
      </c>
      <c r="AA41" s="122" t="str">
        <f t="shared" ca="1" si="3"/>
        <v/>
      </c>
      <c r="AB41" s="122" t="str">
        <f t="array" aca="1" ref="AB41" ca="1">IF($R41&lt;&gt;"",
IF(AND(COUNTIF(INDIRECT("B"&amp;R41&amp;""),"*雙葉*"),COUNTIF(INDIRECT("B"&amp;R41&amp;""),"&lt;&gt;*先生*"),COUNTIF(B:B,"*雙葉*")&gt;=2),
INDIRECT("M"&amp;R41&amp;"")+INDIRECT("M"&amp;MATCH("雙葉'",INDIRECT("B"&amp;R41+1&amp;":B210"),0)+R41&amp;""),
IF(AND(LEFT(INDIRECT("B"&amp;R41&amp;""),2)="博多",COUNTIF(B:B,"*博多*")&gt;=2),
INDIRECT("M"&amp;R41&amp;"")+INDIRECT("M"&amp;MATCH("*"&amp;INDIRECT("B"&amp;R41&amp;"")&amp;"*",INDIRECT("B"&amp;R41+1&amp;":B210"),0)+R41&amp;""),
IF(AND(LEFT(INDIRECT("B"&amp;R41&amp;""),3)="奈良屋",COUNTIF(B:B,"*奈良屋*")&gt;=2),
INDIRECT("M"&amp;R41&amp;"")+INDIRECT("M"&amp;MATCH("*"&amp;INDIRECT("B"&amp;R41&amp;"")&amp;"*",INDIRECT("B"&amp;R41+1&amp;":B210"),0)+R41&amp;"")
+INDIRECT("M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,
INDIRECT("M"&amp;R41&amp;"")))),"")</f>
        <v/>
      </c>
      <c r="AC41" s="122" t="str">
        <f t="shared" ca="1" si="4"/>
        <v/>
      </c>
      <c r="AD41" s="176" t="str">
        <f t="shared" ca="1" si="5"/>
        <v/>
      </c>
      <c r="AE41" s="176" t="str">
        <f t="shared" ca="1" si="6"/>
        <v/>
      </c>
      <c r="AF41" s="176" t="str">
        <f t="shared" ca="1" si="7"/>
        <v/>
      </c>
      <c r="AG41" s="176" t="str">
        <f t="shared" ca="1" si="8"/>
        <v/>
      </c>
      <c r="AH41" s="183" t="str">
        <f t="shared" ca="1" si="9"/>
        <v/>
      </c>
      <c r="AI41" s="176" t="str">
        <f t="shared" ca="1" si="10"/>
        <v/>
      </c>
      <c r="AJ41" s="176" t="str">
        <f t="shared" ca="1" si="11"/>
        <v/>
      </c>
      <c r="AK41" s="176" t="str">
        <f t="shared" ca="1" si="12"/>
        <v/>
      </c>
      <c r="AL41" s="176" t="str">
        <f t="shared" ca="1" si="13"/>
        <v/>
      </c>
      <c r="AM41" s="176" t="str">
        <f t="shared" ca="1" si="14"/>
        <v/>
      </c>
      <c r="AN41" s="176" t="str">
        <f t="shared" ca="1" si="15"/>
        <v/>
      </c>
      <c r="AO41" s="176" t="str">
        <f t="shared" ca="1" si="16"/>
        <v/>
      </c>
      <c r="AP41" s="176" t="str">
        <f t="shared" ca="1" si="17"/>
        <v/>
      </c>
      <c r="AU41" s="176" t="str">
        <f t="shared" ca="1" si="18"/>
        <v/>
      </c>
      <c r="AW41" s="106" t="str">
        <f ca="1">IFERROR(IF(AF41&lt;&gt;"",OFFSET('数出表_Excel（アレルギー入力）'!$A$1,MATCH(AF41,'数出表_Excel（アレルギー入力）'!A:A,0)-2,0),""),"")</f>
        <v/>
      </c>
      <c r="AX41" s="106" t="str">
        <f ca="1">IF(AW41&lt;&gt;"",
OFFSET(得意先マスタ!$A$1,MATCH(AW41,得意先マスタ!A:A,0)-1,24),"")</f>
        <v/>
      </c>
      <c r="AY41" s="57">
        <f t="shared" ca="1" si="21"/>
        <v>0</v>
      </c>
      <c r="AZ41" s="57">
        <f t="shared" ca="1" si="29"/>
        <v>0</v>
      </c>
      <c r="BA41" s="57">
        <f t="shared" ca="1" si="30"/>
        <v>0</v>
      </c>
      <c r="BB41" s="176">
        <f t="shared" ca="1" si="24"/>
        <v>0</v>
      </c>
    </row>
    <row r="42" spans="1:54" ht="21" customHeight="1">
      <c r="A42" s="101">
        <f t="shared" si="31"/>
        <v>89</v>
      </c>
      <c r="B42" s="45" t="str">
        <f t="shared" si="32"/>
        <v/>
      </c>
      <c r="C42" s="45" t="str">
        <f>IF(OR(クライアント抽出!B42&lt;&gt;"",クライアント抽出!E42&lt;&gt;""),クライアント抽出!A42,"")</f>
        <v/>
      </c>
      <c r="D42" s="45" t="str">
        <f t="array" aca="1" ref="D42" ca="1">IF(C42&lt;&gt;"",INDIRECT("クライアント抽出!"&amp;E42&amp;MATCH(C42,クライアント抽出!A:A,0)&amp;""),"")</f>
        <v/>
      </c>
      <c r="E42" s="45" t="str">
        <f>IF(H42&lt;&gt;0,
IFERROR(
SUBSTITUTE(ADDRESS(1,
MATCH(VALUE(H42),クライアント抽出!A42:G42,0)+8,4),"1",""),
""),
IFERROR(
SUBSTITUTE(ADDRESS(1,
MATCH(VALUE(I42),クライアント抽出!A42:G42,0)+8,4),"1",""),
""))</f>
        <v/>
      </c>
      <c r="F42" s="184" t="str">
        <f ca="1">IF(D42&lt;&gt;"",
IF(OR(COUNTIF(C42,"*雙葉*"),COUNTIF(C42,"*香蘭*")),
IF(ROUND((H42-M42)
/IF(COUNTIF(D42,"*キャラ*"),
VLOOKUP("*キャラ*",商品マスタ!$D:$E,2,FALSE),
IF(COUNTIF(D42,"*赤*"),
VLOOKUP("*赤*",商品マスタ!$D:$E,2,FALSE),
VLOOKUP("*"&amp;D42&amp;"*",商品マスタ!$D:$E,2,FALSE))),0)&lt;=0,1,
ROUND((H42-M42)
/IF(COUNTIF(D42,"*キャラ*"),
VLOOKUP("*キャラ*",商品マスタ!$D:$E,2,FALSE),
IF(COUNTIF(D42,"*赤*"),
VLOOKUP("*赤*",商品マスタ!$D:$E,2,FALSE),
VLOOKUP("*"&amp;D42&amp;"*",商品マスタ!$D:$E,2,FALSE))),0)),
IF(OR(COUNTIF(D42,"*キャラ*"),COUNTIF(D42,"*赤*")),"",
IF(VLOOKUP("*"&amp;D42&amp;"*",商品マスタ!$D:$E,2,FALSE)=0,"",
IF(ROUND((H42-M42)
/VLOOKUP("*"&amp;D42&amp;"*",商品マスタ!$D:$E,2,FALSE),0)&lt;=0,1,
ROUND((H42-M42)
/VLOOKUP("*"&amp;D42&amp;"*",商品マスタ!$D:$E,2,FALSE),0))))),"")</f>
        <v/>
      </c>
      <c r="G42" s="45" t="str">
        <f ca="1">IF(F42&lt;&gt;"",
IF(VALUE(H42-M42)&gt;VALUE(IF(COUNTIF(D42,"*キャラ*"),
VLOOKUP("*キャラ*",商品マスタ!$D:$E,2,FALSE),
IF(COUNTIF(D42,"*赤*"),
VLOOKUP("*赤*",商品マスタ!$D:$E,2,FALSE),
VLOOKUP("*"&amp;D42&amp;"*",商品マスタ!$D:$E,2,FALSE)))*F42),
"+"&amp;(H42-M42)-IF(COUNTIF(D42,"*キャラ*"),
VLOOKUP("*キャラ*",商品マスタ!$D:$E,2,FALSE),
IF(COUNTIF(D42,"*赤*"),
VLOOKUP("*赤*",商品マスタ!$D:$E,2,FALSE),
VLOOKUP("*"&amp;D42&amp;"*",商品マスタ!$D:$E,2,FALSE)))*F42,
(H42-M42)-IF(COUNTIF(D42,"*キャラ*"),
VLOOKUP("*キャラ*",商品マスタ!$D:$E,2,FALSE),
IF(COUNTIF(D42,"*赤*"),
VLOOKUP("*赤*",商品マスタ!$D:$E,2,FALSE),
VLOOKUP("*"&amp;D42&amp;"*",商品マスタ!$D:$E,2,FALSE)))*F42),"")</f>
        <v/>
      </c>
      <c r="H42" s="99" t="str">
        <f>IF(C42&lt;&gt;"",
クライアント抽出!B42,"")</f>
        <v/>
      </c>
      <c r="I42" s="45" t="str">
        <f t="array" aca="1" ref="I42" ca="1">IF(C42&lt;&gt;"",
IF(O42=1,
IF(SUMPRODUCT(COUNTIF(クライアント抽出!P42:U42,クライアント抽出!P42:U42))&gt;COUNTA(クライアント抽出!P42:U42),
IFERROR(INDIRECT("数出表_Excel!"&amp;INDEX(_xlfn.UNIQUE(_xlfn._xlws.FILTER(クライアント抽出!P42:U42,COUNTIF(クライアント抽出!P42:U42,クライアント抽出!P42:U42)&gt;1)),1)&amp;L42&amp;""),
クライアント抽出!E42),0),クライアント抽出!E42),"")</f>
        <v/>
      </c>
      <c r="J42" s="45" t="str">
        <f>IF(C42&lt;&gt;"",
VLOOKUP(
"*"&amp;LEFT(IF(COUNTIF(D42,"*学食*"),"キャラ弁（学食）",
IF(COUNTIF(D42,"*赤*"),"赤",
IF(COUNTIF(D42,"*キャラ弁当*"),"キャラ弁当",D42))),4)&amp;"*",注文弁当の抽出!$F$1:$G$15,2,FALSE),"")</f>
        <v/>
      </c>
      <c r="K42" s="45" t="str">
        <f ca="1">IF(クライアント抽出!P42&lt;&gt;"",SUBSTITUTE(ADDRESS(1,(CODE(クライアント抽出!P42)-64)*2-1,4),"1",""),"")</f>
        <v/>
      </c>
      <c r="L42" s="45" t="str">
        <f>IF(C42&lt;&gt;"",クライアント抽出!I42,"")</f>
        <v/>
      </c>
      <c r="M42" s="45">
        <f t="array" aca="1" ref="M42" ca="1">IF(C42&lt;&gt;"",
IF(K42&lt;&gt;"",INDIRECT("'数出表_Excel（アレルギー入力）'!"&amp;K42&amp;L42-1&amp;""),),)</f>
        <v>0</v>
      </c>
      <c r="N42" s="45" t="str">
        <f>IF(C42&lt;&gt;"",IF(OR(COUNTIF('盛付札（関数）'!D42,"*赤*"),COUNTIF('盛付札（関数）'!D42,"*キャラ*")),1,
VALUE(VLOOKUP("*"&amp;D42&amp;"*",商品マスタ!D:H,5,FALSE))),"")</f>
        <v/>
      </c>
      <c r="O42" s="45">
        <f ca="1">IF(LEN(クライアント抽出!V42)-LEN(SUBSTITUTE(クライアント抽出!V42,",",""))&lt;&gt;1,
IF(AND(クライアント抽出!P42&lt;&gt;"",クライアント抽出!S42&lt;&gt;""),
IF(クライアント抽出!P42&lt;&gt;クライアント抽出!S42,1,0),0),0)</f>
        <v>0</v>
      </c>
      <c r="P42" s="45">
        <f t="shared" si="0"/>
        <v>0</v>
      </c>
      <c r="Q42" s="45" t="b">
        <f t="shared" si="1"/>
        <v>0</v>
      </c>
      <c r="R42" s="122" t="str">
        <f t="array" aca="1" ref="R42" ca="1">IFERROR(SMALL(IF(P$1:P$311&lt;&gt;0,P$1:P$311),ROW(A42)),"")</f>
        <v/>
      </c>
      <c r="S42" s="122" t="str">
        <f t="array" aca="1" ref="S42" ca="1">IF($R42&lt;&gt;"",
SUBSTITUTE(SUBSTITUTE(INDIRECT("C"&amp;$R42&amp;"")," 週3ｺｰｽ","")," 週5ｺｰｽ",""),"")</f>
        <v/>
      </c>
      <c r="T42" s="122" t="str">
        <f t="array" aca="1" ref="T42" ca="1">IF(IF($R42&lt;&gt;"",
INDIRECT(""&amp;IF(COLUMN(D42)&lt;=26,CHAR(COLUMN(D42)+64),CHAR(INT((COLUMN(D42)-1)/26)+64)&amp;CHAR(MOD(COLUMN(D42)-1,26)+65))&amp;$R42&amp;""),"")=0,"",
IF($R42&lt;&gt;"",
INDIRECT(""&amp;IF(COLUMN(D42)&lt;=26,CHAR(COLUMN(D42)+64),CHAR(INT((COLUMN(D42)-1)/26)+64)&amp;CHAR(MOD(COLUMN(D42)-1,26)+65))&amp;$R42&amp;""),""))</f>
        <v/>
      </c>
      <c r="U42" s="185" t="str">
        <f t="array" aca="1" ref="U42" ca="1">IF($R42&lt;&gt;"",
INDIRECT("F"&amp;$R42&amp;""),"")</f>
        <v/>
      </c>
      <c r="V42" s="122" t="str">
        <f t="array" aca="1" ref="V42" ca="1">IF($R42&lt;&gt;"",
INDIRECT("G"&amp;$R42&amp;""),"")</f>
        <v/>
      </c>
      <c r="W42" s="122" t="str" cm="1">
        <f t="array" aca="1" ref="W42" ca="1">IF($R42&lt;&gt;"",
IF(AND(COUNTIF(INDIRECT("B"&amp;R42&amp;""),"*雙葉*"),COUNTIF($B$71:$B$210,"*雙葉*")&gt;=1),
IF(OR(COUNTIF(INDIRECT("B"&amp;R42&amp;""),"*雙葉先生*"),COUNTIF(INDIRECT("B"&amp;R42-1&amp;""),"*雙葉*")),INDIRECT("H"&amp;R42&amp;""),INDIRECT("H"&amp;R42&amp;"")+INDIRECT("H"&amp;MATCH("雙葉'",INDIRECT("B"&amp;R42+3&amp;":B210"),0)+2+R42&amp;"")),
IF(AND(LEFT(INDIRECT("B"&amp;R42&amp;""),2)="博多",COUNTIF(B:B,"*博多*")&gt;=2),
INDIRECT("H"&amp;R42&amp;"")+IFERROR(INDIRECT("H"&amp;MATCH("*"&amp;INDIRECT("B"&amp;R42&amp;"")&amp;"*",INDIRECT("B"&amp;R42+1&amp;":B210"),0)+R42&amp;""),0),
IF(AND(LEFT(INDIRECT("B"&amp;R42&amp;""),3)="奈良屋",COUNTIF(B:B,"*奈良屋*")&gt;=2),
INDIRECT("H"&amp;R42&amp;"")
+INDIRECT("H"&amp;MATCH("*"&amp;INDIRECT("B"&amp;R42&amp;"")&amp;"*",INDIRECT("B"&amp;R42+1&amp;":B210"),0)+R42&amp;"")
+INDIRECT("H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
+INDIRECT("H"&amp;MATCH("*"&amp;INDIRECT("B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&amp;"*",INDIRECT("B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+1&amp;":B210"),0)+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,
INDIRECT("H"&amp;R42&amp;"")))),"")</f>
        <v/>
      </c>
      <c r="X42" s="122" t="str">
        <f t="array" aca="1" ref="X42" ca="1">IF($R42&lt;&gt;"",
INDIRECT(""&amp;IF(COLUMN(I42)&lt;=26,CHAR(COLUMN(I42)+64),CHAR(INT((COLUMN(I42)-1)/26)+64)&amp;CHAR(MOD(COLUMN(I42)-1,26)+65))&amp;$R42&amp;""),"")</f>
        <v/>
      </c>
      <c r="Y42" s="122" t="str">
        <f t="array" aca="1" ref="Y42" ca="1">IF($R42&lt;&gt;"",
INDIRECT(""&amp;IF(COLUMN(J42)&lt;=26,CHAR(COLUMN(J42)+64),CHAR(INT((COLUMN(J42)-1)/26)+64)&amp;CHAR(MOD(COLUMN(J42)-1,26)+65))&amp;$R42&amp;""),"")</f>
        <v/>
      </c>
      <c r="Z42" s="122" t="str">
        <f t="shared" ca="1" si="2"/>
        <v/>
      </c>
      <c r="AA42" s="122" t="str">
        <f t="shared" ca="1" si="3"/>
        <v/>
      </c>
      <c r="AB42" s="122" t="str">
        <f t="array" aca="1" ref="AB42" ca="1">IF($R42&lt;&gt;"",
IF(AND(COUNTIF(INDIRECT("B"&amp;R42&amp;""),"*雙葉*"),COUNTIF(INDIRECT("B"&amp;R42&amp;""),"&lt;&gt;*先生*"),COUNTIF(B:B,"*雙葉*")&gt;=2),
INDIRECT("M"&amp;R42&amp;"")+INDIRECT("M"&amp;MATCH("雙葉'",INDIRECT("B"&amp;R42+1&amp;":B210"),0)+R42&amp;""),
IF(AND(LEFT(INDIRECT("B"&amp;R42&amp;""),2)="博多",COUNTIF(B:B,"*博多*")&gt;=2),
INDIRECT("M"&amp;R42&amp;"")+INDIRECT("M"&amp;MATCH("*"&amp;INDIRECT("B"&amp;R42&amp;"")&amp;"*",INDIRECT("B"&amp;R42+1&amp;":B210"),0)+R42&amp;""),
IF(AND(LEFT(INDIRECT("B"&amp;R42&amp;""),3)="奈良屋",COUNTIF(B:B,"*奈良屋*")&gt;=2),
INDIRECT("M"&amp;R42&amp;"")+INDIRECT("M"&amp;MATCH("*"&amp;INDIRECT("B"&amp;R42&amp;"")&amp;"*",INDIRECT("B"&amp;R42+1&amp;":B210"),0)+R42&amp;"")
+INDIRECT("M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,
INDIRECT("M"&amp;R42&amp;"")))),"")</f>
        <v/>
      </c>
      <c r="AC42" s="122" t="str">
        <f t="shared" ca="1" si="4"/>
        <v/>
      </c>
      <c r="AD42" s="176" t="str">
        <f t="shared" ca="1" si="5"/>
        <v/>
      </c>
      <c r="AE42" s="176" t="str">
        <f t="shared" ca="1" si="6"/>
        <v/>
      </c>
      <c r="AF42" s="176" t="str">
        <f t="shared" ca="1" si="7"/>
        <v/>
      </c>
      <c r="AG42" s="176" t="str">
        <f t="shared" ca="1" si="8"/>
        <v/>
      </c>
      <c r="AH42" s="183" t="str">
        <f t="shared" ca="1" si="9"/>
        <v/>
      </c>
      <c r="AI42" s="176" t="str">
        <f t="shared" ca="1" si="10"/>
        <v/>
      </c>
      <c r="AJ42" s="176" t="str">
        <f t="shared" ca="1" si="11"/>
        <v/>
      </c>
      <c r="AK42" s="176" t="str">
        <f t="shared" ca="1" si="12"/>
        <v/>
      </c>
      <c r="AL42" s="176" t="str">
        <f t="shared" ca="1" si="13"/>
        <v/>
      </c>
      <c r="AM42" s="176" t="str">
        <f t="shared" ca="1" si="14"/>
        <v/>
      </c>
      <c r="AN42" s="176" t="str">
        <f t="shared" ca="1" si="15"/>
        <v/>
      </c>
      <c r="AO42" s="176" t="str">
        <f t="shared" ca="1" si="16"/>
        <v/>
      </c>
      <c r="AP42" s="176" t="str">
        <f t="shared" ca="1" si="17"/>
        <v/>
      </c>
      <c r="AU42" s="176" t="str">
        <f t="shared" ca="1" si="18"/>
        <v/>
      </c>
      <c r="AW42" s="106" t="str">
        <f ca="1">IFERROR(IF(AF42&lt;&gt;"",OFFSET('数出表_Excel（アレルギー入力）'!$A$1,MATCH(AF42,'数出表_Excel（アレルギー入力）'!A:A,0)-2,0),""),"")</f>
        <v/>
      </c>
      <c r="AX42" s="106" t="str">
        <f ca="1">IF(AW42&lt;&gt;"",
OFFSET(得意先マスタ!$A$1,MATCH(AW42,得意先マスタ!A:A,0)-1,24),"")</f>
        <v/>
      </c>
      <c r="AY42" s="57">
        <f t="shared" ca="1" si="21"/>
        <v>0</v>
      </c>
      <c r="AZ42" s="57">
        <f t="shared" ca="1" si="29"/>
        <v>0</v>
      </c>
      <c r="BA42" s="57">
        <f ca="1">IF(AX42&lt;&gt;0,
IF(AW42=AW44,0,IF(COUNTIF(AX42,"*.*"),
IF(COUNTIF(AX42,"*.*")=1,"",RIGHT(AX42, LEN(AX42) - FIND(".", AX42, FIND(".", AX42) + 1))),0)),0)</f>
        <v>0</v>
      </c>
      <c r="BB42" s="176">
        <f t="shared" ca="1" si="24"/>
        <v>0</v>
      </c>
    </row>
    <row r="43" spans="1:54" ht="18" customHeight="1">
      <c r="A43" s="101">
        <f t="shared" si="31"/>
        <v>91</v>
      </c>
      <c r="B43" s="45" t="str">
        <f t="shared" si="32"/>
        <v/>
      </c>
      <c r="C43" s="45" t="str">
        <f>IF(OR(クライアント抽出!B43&lt;&gt;"",クライアント抽出!E43&lt;&gt;""),クライアント抽出!A43,"")</f>
        <v/>
      </c>
      <c r="D43" s="45" t="str">
        <f t="array" aca="1" ref="D43" ca="1">IF(C43&lt;&gt;"",INDIRECT("クライアント抽出!"&amp;E43&amp;MATCH(C43,クライアント抽出!A:A,0)&amp;""),"")</f>
        <v/>
      </c>
      <c r="E43" s="45" t="str">
        <f>IF(H43&lt;&gt;0,
IFERROR(
SUBSTITUTE(ADDRESS(1,
MATCH(VALUE(H43),クライアント抽出!A43:G43,0)+8,4),"1",""),
""),
IFERROR(
SUBSTITUTE(ADDRESS(1,
MATCH(VALUE(I43),クライアント抽出!A43:G43,0)+8,4),"1",""),
""))</f>
        <v/>
      </c>
      <c r="F43" s="184" t="str">
        <f ca="1">IF(D43&lt;&gt;"",
IF(COUNTIF(C43,"*雙葉*"),
IF(ROUND((H43-M43)
/IF(COUNTIF(D43,"*キャラ*"),
VLOOKUP("*キャラ*",商品マスタ!$D:$E,2,FALSE),
IF(COUNTIF(D43,"*赤*"),
VLOOKUP("*赤*",商品マスタ!$D:$E,2,FALSE),
VLOOKUP("*"&amp;D43&amp;"*",商品マスタ!$D:$E,2,FALSE))),0)&lt;=0,1,
ROUND((H43-M43)
/IF(COUNTIF(D43,"*キャラ*"),
VLOOKUP("*キャラ*",商品マスタ!$D:$E,2,FALSE),
IF(COUNTIF(D43,"*赤*"),
VLOOKUP("*赤*",商品マスタ!$D:$E,2,FALSE),
VLOOKUP("*"&amp;D43&amp;"*",商品マスタ!$D:$E,2,FALSE))),0)),
IF(OR(COUNTIF(D43,"*キャラ*"),COUNTIF(D43,"*赤*")),"",
IF(VLOOKUP("*"&amp;D43&amp;"*",商品マスタ!$D:$E,2,FALSE)=0,"",
IF(ROUND((H43-M43)
/VLOOKUP("*"&amp;D43&amp;"*",商品マスタ!$D:$E,2,FALSE),0)&lt;=0,1,
ROUND((H43-M43)
/VLOOKUP("*"&amp;D43&amp;"*",商品マスタ!$D:$E,2,FALSE),0))))),"")</f>
        <v/>
      </c>
      <c r="G43" s="45" t="str">
        <f ca="1">IF(F43&lt;&gt;"",
IF(VALUE(H43-M43)&gt;VALUE(IF(COUNTIF(D43,"*キャラ*"),
VLOOKUP("*キャラ*",商品マスタ!$D:$E,2,FALSE),
IF(COUNTIF(D43,"*赤*"),
VLOOKUP("*赤*",商品マスタ!$D:$E,2,FALSE),
VLOOKUP("*"&amp;D43&amp;"*",商品マスタ!$D:$E,2,FALSE)))*F43),
"+"&amp;(H43-M43)-IF(COUNTIF(D43,"*キャラ*"),
VLOOKUP("*キャラ*",商品マスタ!$D:$E,2,FALSE),
IF(COUNTIF(D43,"*赤*"),
VLOOKUP("*赤*",商品マスタ!$D:$E,2,FALSE),
VLOOKUP("*"&amp;D43&amp;"*",商品マスタ!$D:$E,2,FALSE)))*F43,
(H43-M43)-IF(COUNTIF(D43,"*キャラ*"),
VLOOKUP("*キャラ*",商品マスタ!$D:$E,2,FALSE),
IF(COUNTIF(D43,"*赤*"),
VLOOKUP("*赤*",商品マスタ!$D:$E,2,FALSE),
VLOOKUP("*"&amp;D43&amp;"*",商品マスタ!$D:$E,2,FALSE)))*F43),"")</f>
        <v/>
      </c>
      <c r="H43" s="99" t="str">
        <f>IF(C43&lt;&gt;"",
クライアント抽出!B43,"")</f>
        <v/>
      </c>
      <c r="I43" s="45" t="str">
        <f t="array" aca="1" ref="I43" ca="1">IF(C43&lt;&gt;"",
IF(O43=1,
IF(SUMPRODUCT(COUNTIF(クライアント抽出!P43:U43,クライアント抽出!P43:U43))&gt;COUNTA(クライアント抽出!P43:U43),
IFERROR(INDIRECT("数出表_Excel!"&amp;INDEX(_xlfn.UNIQUE(_xlfn._xlws.FILTER(クライアント抽出!P43:U43,COUNTIF(クライアント抽出!P43:U43,クライアント抽出!P43:U43)&gt;1)),1)&amp;L43&amp;""),
クライアント抽出!E43),0),クライアント抽出!E43),"")</f>
        <v/>
      </c>
      <c r="J43" s="45" t="str">
        <f>IF(C43&lt;&gt;"",
VLOOKUP(
"*"&amp;LEFT(IF(COUNTIF(D43,"*学食*"),"キャラ弁（学食）",
IF(COUNTIF(D43,"*赤*"),"赤",
IF(COUNTIF(D43,"*キャラ弁当*"),"キャラ弁当",D43))),4)&amp;"*",注文弁当の抽出!$F$1:$G$15,2,FALSE),"")</f>
        <v/>
      </c>
      <c r="K43" s="45" t="str">
        <f ca="1">IF(クライアント抽出!P43&lt;&gt;"",SUBSTITUTE(ADDRESS(1,(CODE(クライアント抽出!P43)-64)*2-1,4),"1",""),"")</f>
        <v/>
      </c>
      <c r="L43" s="45" t="str">
        <f>IF(C43&lt;&gt;"",クライアント抽出!I43,"")</f>
        <v/>
      </c>
      <c r="M43" s="45">
        <f t="array" aca="1" ref="M43" ca="1">IF(C43&lt;&gt;"",
IF(K43&lt;&gt;"",INDIRECT("'数出表_Excel（アレルギー入力）'!"&amp;K43&amp;L43-1&amp;""),),)</f>
        <v>0</v>
      </c>
      <c r="N43" s="45" t="str">
        <f>IF(C43&lt;&gt;"",IF(OR(COUNTIF('盛付札（関数）'!D43,"*赤*"),COUNTIF('盛付札（関数）'!D43,"*キャラ*")),1,
VALUE(VLOOKUP("*"&amp;D43&amp;"*",商品マスタ!D:H,5,FALSE))),"")</f>
        <v/>
      </c>
      <c r="O43" s="45">
        <f ca="1">IF(LEN(クライアント抽出!V43)-LEN(SUBSTITUTE(クライアント抽出!V43,",",""))&lt;&gt;1,
IF(AND(クライアント抽出!P43&lt;&gt;"",クライアント抽出!S43&lt;&gt;""),
IF(クライアント抽出!P43&lt;&gt;クライアント抽出!S43,1,0),0),0)</f>
        <v>0</v>
      </c>
      <c r="P43" s="45">
        <f t="shared" si="0"/>
        <v>0</v>
      </c>
      <c r="Q43" s="45" t="b">
        <f t="shared" si="1"/>
        <v>0</v>
      </c>
      <c r="R43" s="122" t="str">
        <f t="array" aca="1" ref="R43" ca="1">IFERROR(SMALL(IF(P$1:P$311&lt;&gt;0,P$1:P$311),ROW(A43)),"")</f>
        <v/>
      </c>
      <c r="S43" s="122" t="str">
        <f t="array" aca="1" ref="S43" ca="1">IF($R43&lt;&gt;"",
SUBSTITUTE(SUBSTITUTE(INDIRECT("C"&amp;$R43&amp;"")," 週3ｺｰｽ","")," 週5ｺｰｽ",""),"")</f>
        <v/>
      </c>
      <c r="T43" s="122" t="str">
        <f t="array" aca="1" ref="T43" ca="1">IF(IF($R43&lt;&gt;"",
INDIRECT(""&amp;IF(COLUMN(D43)&lt;=26,CHAR(COLUMN(D43)+64),CHAR(INT((COLUMN(D43)-1)/26)+64)&amp;CHAR(MOD(COLUMN(D43)-1,26)+65))&amp;$R43&amp;""),"")=0,"",
IF($R43&lt;&gt;"",
INDIRECT(""&amp;IF(COLUMN(D43)&lt;=26,CHAR(COLUMN(D43)+64),CHAR(INT((COLUMN(D43)-1)/26)+64)&amp;CHAR(MOD(COLUMN(D43)-1,26)+65))&amp;$R43&amp;""),""))</f>
        <v/>
      </c>
      <c r="U43" s="185" t="str">
        <f t="array" aca="1" ref="U43" ca="1">IF($R43&lt;&gt;"",
INDIRECT("F"&amp;$R43&amp;""),"")</f>
        <v/>
      </c>
      <c r="V43" s="122" t="str">
        <f t="array" aca="1" ref="V43" ca="1">IF($R43&lt;&gt;"",
INDIRECT("G"&amp;$R43&amp;""),"")</f>
        <v/>
      </c>
      <c r="W43" s="122" t="str" cm="1">
        <f t="array" aca="1" ref="W43" ca="1">IF($R43&lt;&gt;"",
IF(AND(COUNTIF(INDIRECT("B"&amp;R43&amp;""),"*雙葉*"),COUNTIF($B$71:$B$210,"*雙葉*")&gt;=1),
IF(OR(COUNTIF(INDIRECT("B"&amp;R43&amp;""),"*雙葉先生*"),COUNTIF(INDIRECT("B"&amp;R43-1&amp;""),"*雙葉*")),INDIRECT("H"&amp;R43&amp;""),INDIRECT("H"&amp;R43&amp;"")+INDIRECT("H"&amp;MATCH("雙葉'",INDIRECT("B"&amp;R43+3&amp;":B210"),0)+2+R43&amp;"")),
IF(AND(LEFT(INDIRECT("B"&amp;R43&amp;""),2)="博多",COUNTIF(B:B,"*博多*")&gt;=2),
INDIRECT("H"&amp;R43&amp;"")+IFERROR(INDIRECT("H"&amp;MATCH("*"&amp;INDIRECT("B"&amp;R43&amp;"")&amp;"*",INDIRECT("B"&amp;R43+1&amp;":B210"),0)+R43&amp;""),0),
IF(AND(LEFT(INDIRECT("B"&amp;R43&amp;""),3)="奈良屋",COUNTIF(B:B,"*奈良屋*")&gt;=2),
INDIRECT("H"&amp;R43&amp;"")
+INDIRECT("H"&amp;MATCH("*"&amp;INDIRECT("B"&amp;R43&amp;"")&amp;"*",INDIRECT("B"&amp;R43+1&amp;":B210"),0)+R43&amp;"")
+INDIRECT("H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
+INDIRECT("H"&amp;MATCH("*"&amp;INDIRECT("B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&amp;"*",INDIRECT("B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+1&amp;":B210"),0)+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,
INDIRECT("H"&amp;R43&amp;"")))),"")</f>
        <v/>
      </c>
      <c r="X43" s="122" t="str">
        <f t="array" aca="1" ref="X43" ca="1">IF($R43&lt;&gt;"",
INDIRECT(""&amp;IF(COLUMN(I43)&lt;=26,CHAR(COLUMN(I43)+64),CHAR(INT((COLUMN(I43)-1)/26)+64)&amp;CHAR(MOD(COLUMN(I43)-1,26)+65))&amp;$R43&amp;""),"")</f>
        <v/>
      </c>
      <c r="Y43" s="122" t="str">
        <f t="array" aca="1" ref="Y43" ca="1">IF($R43&lt;&gt;"",
INDIRECT(""&amp;IF(COLUMN(J43)&lt;=26,CHAR(COLUMN(J43)+64),CHAR(INT((COLUMN(J43)-1)/26)+64)&amp;CHAR(MOD(COLUMN(J43)-1,26)+65))&amp;$R43&amp;""),"")</f>
        <v/>
      </c>
      <c r="Z43" s="122" t="str">
        <f t="shared" ca="1" si="2"/>
        <v/>
      </c>
      <c r="AA43" s="122" t="str">
        <f t="shared" ca="1" si="3"/>
        <v/>
      </c>
      <c r="AB43" s="122" t="str">
        <f t="array" aca="1" ref="AB43" ca="1">IF($R43&lt;&gt;"",
IF(AND(COUNTIF(INDIRECT("B"&amp;R43&amp;""),"*雙葉*"),COUNTIF(INDIRECT("B"&amp;R43&amp;""),"&lt;&gt;*先生*"),COUNTIF(B:B,"*雙葉*")&gt;=2),
INDIRECT("M"&amp;R43&amp;"")+INDIRECT("M"&amp;MATCH("雙葉'",INDIRECT("B"&amp;R43+1&amp;":B210"),0)+R43&amp;""),
IF(AND(LEFT(INDIRECT("B"&amp;R43&amp;""),2)="博多",COUNTIF(B:B,"*博多*")&gt;=2),
INDIRECT("M"&amp;R43&amp;"")+INDIRECT("M"&amp;MATCH("*"&amp;INDIRECT("B"&amp;R43&amp;"")&amp;"*",INDIRECT("B"&amp;R43+1&amp;":B210"),0)+R43&amp;""),
IF(AND(LEFT(INDIRECT("B"&amp;R43&amp;""),3)="奈良屋",COUNTIF(B:B,"*奈良屋*")&gt;=2),
INDIRECT("M"&amp;R43&amp;"")+INDIRECT("M"&amp;MATCH("*"&amp;INDIRECT("B"&amp;R43&amp;"")&amp;"*",INDIRECT("B"&amp;R43+1&amp;":B210"),0)+R43&amp;"")
+INDIRECT("M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,
INDIRECT("M"&amp;R43&amp;"")))),"")</f>
        <v/>
      </c>
      <c r="AC43" s="122" t="str">
        <f t="shared" ca="1" si="4"/>
        <v/>
      </c>
      <c r="AD43" s="176" t="str">
        <f t="shared" ca="1" si="5"/>
        <v/>
      </c>
      <c r="AE43" s="176" t="str">
        <f t="shared" ca="1" si="6"/>
        <v/>
      </c>
      <c r="AF43" s="176" t="str">
        <f t="shared" ca="1" si="7"/>
        <v/>
      </c>
      <c r="AG43" s="176" t="str">
        <f t="shared" ca="1" si="8"/>
        <v/>
      </c>
      <c r="AH43" s="183" t="str">
        <f t="shared" ca="1" si="9"/>
        <v/>
      </c>
      <c r="AI43" s="176" t="str">
        <f t="shared" ca="1" si="10"/>
        <v/>
      </c>
      <c r="AJ43" s="176" t="str">
        <f t="shared" ca="1" si="11"/>
        <v/>
      </c>
      <c r="AK43" s="176" t="str">
        <f t="shared" ca="1" si="12"/>
        <v/>
      </c>
      <c r="AL43" s="176" t="str">
        <f t="shared" ca="1" si="13"/>
        <v/>
      </c>
      <c r="AM43" s="176" t="str">
        <f t="shared" ca="1" si="14"/>
        <v/>
      </c>
      <c r="AN43" s="176" t="str">
        <f t="shared" ca="1" si="15"/>
        <v/>
      </c>
      <c r="AO43" s="176" t="str">
        <f t="shared" ca="1" si="16"/>
        <v/>
      </c>
      <c r="AP43" s="176" t="str">
        <f t="shared" ca="1" si="17"/>
        <v/>
      </c>
      <c r="AU43" s="176" t="str">
        <f t="shared" ca="1" si="18"/>
        <v/>
      </c>
      <c r="AW43" s="106" t="str">
        <f ca="1">IFERROR(IF(AF43&lt;&gt;"",OFFSET('数出表_Excel（アレルギー入力）'!$A$1,MATCH(AF43,'数出表_Excel（アレルギー入力）'!A:A,0)-2,0),""),"")</f>
        <v/>
      </c>
      <c r="AX43" s="106" t="str">
        <f ca="1">IF(AW43&lt;&gt;"",
OFFSET(得意先マスタ!$A$1,MATCH(AW43,得意先マスタ!A:A,0)-1,24),"")</f>
        <v/>
      </c>
      <c r="AY43" s="57">
        <f t="shared" ca="1" si="21"/>
        <v>0</v>
      </c>
      <c r="AZ43" s="57">
        <f t="shared" ca="1" si="29"/>
        <v>0</v>
      </c>
      <c r="BA43" s="57">
        <f t="shared" ca="1" si="30"/>
        <v>0</v>
      </c>
      <c r="BB43" s="176">
        <f t="shared" ca="1" si="24"/>
        <v>0</v>
      </c>
    </row>
    <row r="44" spans="1:54" ht="18" customHeight="1">
      <c r="A44" s="101">
        <f t="shared" si="31"/>
        <v>93</v>
      </c>
      <c r="B44" s="45" t="str">
        <f t="shared" si="32"/>
        <v/>
      </c>
      <c r="C44" s="45" t="str">
        <f>IF(OR(クライアント抽出!B44&lt;&gt;"",クライアント抽出!E44&lt;&gt;""),クライアント抽出!A44,"")</f>
        <v/>
      </c>
      <c r="D44" s="45" t="str">
        <f t="array" aca="1" ref="D44" ca="1">IF(C44&lt;&gt;"",INDIRECT("クライアント抽出!"&amp;E44&amp;MATCH(C44,クライアント抽出!A:A,0)&amp;""),"")</f>
        <v/>
      </c>
      <c r="E44" s="45" t="str">
        <f>IF(H44&lt;&gt;0,
IFERROR(
SUBSTITUTE(ADDRESS(1,
MATCH(VALUE(H44),クライアント抽出!A44:G44,0)+8,4),"1",""),
""),
IFERROR(
SUBSTITUTE(ADDRESS(1,
MATCH(VALUE(I44),クライアント抽出!A44:G44,0)+8,4),"1",""),
""))</f>
        <v/>
      </c>
      <c r="F44" s="184" t="str">
        <f ca="1">IF(D44&lt;&gt;"",
IF(COUNTIF(C44,"*雙葉*"),
IF(ROUND((H44-M44)
/IF(COUNTIF(D44,"*キャラ*"),
VLOOKUP("*キャラ*",商品マスタ!$D:$E,2,FALSE),
IF(COUNTIF(D44,"*赤*"),
VLOOKUP("*赤*",商品マスタ!$D:$E,2,FALSE),
VLOOKUP("*"&amp;D44&amp;"*",商品マスタ!$D:$E,2,FALSE))),0)&lt;=0,1,
ROUND((H44-M44)
/IF(COUNTIF(D44,"*キャラ*"),
VLOOKUP("*キャラ*",商品マスタ!$D:$E,2,FALSE),
IF(COUNTIF(D44,"*赤*"),
VLOOKUP("*赤*",商品マスタ!$D:$E,2,FALSE),
VLOOKUP("*"&amp;D44&amp;"*",商品マスタ!$D:$E,2,FALSE))),0)),
IF(OR(COUNTIF(D44,"*キャラ*"),COUNTIF(D44,"*赤*")),"",
IF(VLOOKUP("*"&amp;D44&amp;"*",商品マスタ!$D:$E,2,FALSE)=0,"",
IF(ROUND((H44-M44)
/VLOOKUP("*"&amp;D44&amp;"*",商品マスタ!$D:$E,2,FALSE),0)&lt;=0,1,
ROUND((H44-M44)
/VLOOKUP("*"&amp;D44&amp;"*",商品マスタ!$D:$E,2,FALSE),0))))),"")</f>
        <v/>
      </c>
      <c r="G44" s="45" t="str">
        <f ca="1">IF(F44&lt;&gt;"",
IF(VALUE(H44-M44)&gt;VALUE(IF(COUNTIF(D44,"*キャラ*"),
VLOOKUP("*キャラ*",商品マスタ!$D:$E,2,FALSE),
IF(COUNTIF(D44,"*赤*"),
VLOOKUP("*赤*",商品マスタ!$D:$E,2,FALSE),
VLOOKUP("*"&amp;D44&amp;"*",商品マスタ!$D:$E,2,FALSE)))*F44),
"+"&amp;(H44-M44)-IF(COUNTIF(D44,"*キャラ*"),
VLOOKUP("*キャラ*",商品マスタ!$D:$E,2,FALSE),
IF(COUNTIF(D44,"*赤*"),
VLOOKUP("*赤*",商品マスタ!$D:$E,2,FALSE),
VLOOKUP("*"&amp;D44&amp;"*",商品マスタ!$D:$E,2,FALSE)))*F44,
(H44-M44)-IF(COUNTIF(D44,"*キャラ*"),
VLOOKUP("*キャラ*",商品マスタ!$D:$E,2,FALSE),
IF(COUNTIF(D44,"*赤*"),
VLOOKUP("*赤*",商品マスタ!$D:$E,2,FALSE),
VLOOKUP("*"&amp;D44&amp;"*",商品マスタ!$D:$E,2,FALSE)))*F44),"")</f>
        <v/>
      </c>
      <c r="H44" s="99" t="str">
        <f>IF(C44&lt;&gt;"",
クライアント抽出!B44,"")</f>
        <v/>
      </c>
      <c r="I44" s="45" t="str">
        <f t="array" aca="1" ref="I44" ca="1">IF(C44&lt;&gt;"",
IF(O44=1,
IF(SUMPRODUCT(COUNTIF(クライアント抽出!P44:U44,クライアント抽出!P44:U44))&gt;COUNTA(クライアント抽出!P44:U44),
IFERROR(INDIRECT("数出表_Excel!"&amp;INDEX(_xlfn.UNIQUE(_xlfn._xlws.FILTER(クライアント抽出!P44:U44,COUNTIF(クライアント抽出!P44:U44,クライアント抽出!P44:U44)&gt;1)),1)&amp;L44&amp;""),
クライアント抽出!E44),0),クライアント抽出!E44),"")</f>
        <v/>
      </c>
      <c r="J44" s="45" t="str">
        <f>IF(C44&lt;&gt;"",
VLOOKUP(
"*"&amp;LEFT(IF(COUNTIF(D44,"*学食*"),"キャラ弁（学食）",
IF(COUNTIF(D44,"*赤*"),"赤",
IF(COUNTIF(D44,"*キャラ弁当*"),"キャラ弁当",D44))),4)&amp;"*",注文弁当の抽出!$F$1:$G$15,2,FALSE),"")</f>
        <v/>
      </c>
      <c r="K44" s="45" t="str">
        <f ca="1">IF(クライアント抽出!P44&lt;&gt;"",SUBSTITUTE(ADDRESS(1,(CODE(クライアント抽出!P44)-64)*2-1,4),"1",""),"")</f>
        <v/>
      </c>
      <c r="L44" s="45" t="str">
        <f>IF(C44&lt;&gt;"",クライアント抽出!I44,"")</f>
        <v/>
      </c>
      <c r="M44" s="45">
        <f t="array" aca="1" ref="M44" ca="1">IF(C44&lt;&gt;"",
IF(K44&lt;&gt;"",INDIRECT("'数出表_Excel（アレルギー入力）'!"&amp;K44&amp;L44-1&amp;""),),)</f>
        <v>0</v>
      </c>
      <c r="N44" s="45" t="str">
        <f>IF(C44&lt;&gt;"",IF(OR(COUNTIF('盛付札（関数）'!D44,"*赤*"),COUNTIF('盛付札（関数）'!D44,"*キャラ*")),1,
VALUE(VLOOKUP("*"&amp;D44&amp;"*",商品マスタ!D:H,5,FALSE))),"")</f>
        <v/>
      </c>
      <c r="O44" s="45">
        <f ca="1">IF(LEN(クライアント抽出!V44)-LEN(SUBSTITUTE(クライアント抽出!V44,",",""))&lt;&gt;1,
IF(AND(クライアント抽出!P44&lt;&gt;"",クライアント抽出!S44&lt;&gt;""),
IF(クライアント抽出!P44&lt;&gt;クライアント抽出!S44,1,0),0),0)</f>
        <v>0</v>
      </c>
      <c r="P44" s="45">
        <f t="shared" si="0"/>
        <v>0</v>
      </c>
      <c r="Q44" s="45" t="b">
        <f t="shared" si="1"/>
        <v>0</v>
      </c>
      <c r="R44" s="122" t="str">
        <f t="array" aca="1" ref="R44" ca="1">IFERROR(SMALL(IF(P$1:P$311&lt;&gt;0,P$1:P$311),ROW(A44)),"")</f>
        <v/>
      </c>
      <c r="S44" s="122" t="str">
        <f t="array" aca="1" ref="S44" ca="1">IF($R44&lt;&gt;"",
SUBSTITUTE(SUBSTITUTE(INDIRECT("C"&amp;$R44&amp;"")," 週3ｺｰｽ","")," 週5ｺｰｽ",""),"")</f>
        <v/>
      </c>
      <c r="T44" s="122" t="str">
        <f t="array" aca="1" ref="T44" ca="1">IF(IF($R44&lt;&gt;"",
INDIRECT(""&amp;IF(COLUMN(D44)&lt;=26,CHAR(COLUMN(D44)+64),CHAR(INT((COLUMN(D44)-1)/26)+64)&amp;CHAR(MOD(COLUMN(D44)-1,26)+65))&amp;$R44&amp;""),"")=0,"",
IF($R44&lt;&gt;"",
INDIRECT(""&amp;IF(COLUMN(D44)&lt;=26,CHAR(COLUMN(D44)+64),CHAR(INT((COLUMN(D44)-1)/26)+64)&amp;CHAR(MOD(COLUMN(D44)-1,26)+65))&amp;$R44&amp;""),""))</f>
        <v/>
      </c>
      <c r="U44" s="185" t="str">
        <f t="array" aca="1" ref="U44" ca="1">IF($R44&lt;&gt;"",
INDIRECT("F"&amp;$R44&amp;""),"")</f>
        <v/>
      </c>
      <c r="V44" s="122" t="str">
        <f t="array" aca="1" ref="V44" ca="1">IF($R44&lt;&gt;"",
INDIRECT("G"&amp;$R44&amp;""),"")</f>
        <v/>
      </c>
      <c r="W44" s="122" t="str" cm="1">
        <f t="array" aca="1" ref="W44" ca="1">IF($R44&lt;&gt;"",
IF(AND(COUNTIF(INDIRECT("B"&amp;R44&amp;""),"*雙葉*"),COUNTIF($B$71:$B$210,"*雙葉*")&gt;=1),
IF(OR(COUNTIF(INDIRECT("B"&amp;R44&amp;""),"*雙葉先生*"),COUNTIF(INDIRECT("B"&amp;R44-1&amp;""),"*雙葉*")),INDIRECT("H"&amp;R44&amp;""),INDIRECT("H"&amp;R44&amp;"")+INDIRECT("H"&amp;MATCH("雙葉'",INDIRECT("B"&amp;R44+3&amp;":B210"),0)+2+R44&amp;"")),
IF(AND(LEFT(INDIRECT("B"&amp;R44&amp;""),2)="博多",COUNTIF(B:B,"*博多*")&gt;=2),
INDIRECT("H"&amp;R44&amp;"")+IFERROR(INDIRECT("H"&amp;MATCH("*"&amp;INDIRECT("B"&amp;R44&amp;"")&amp;"*",INDIRECT("B"&amp;R44+1&amp;":B210"),0)+R44&amp;""),0),
IF(AND(LEFT(INDIRECT("B"&amp;R44&amp;""),3)="奈良屋",COUNTIF(B:B,"*奈良屋*")&gt;=2),
INDIRECT("H"&amp;R44&amp;"")
+INDIRECT("H"&amp;MATCH("*"&amp;INDIRECT("B"&amp;R44&amp;"")&amp;"*",INDIRECT("B"&amp;R44+1&amp;":B210"),0)+R44&amp;"")
+INDIRECT("H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
+INDIRECT("H"&amp;MATCH("*"&amp;INDIRECT("B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&amp;"*",INDIRECT("B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+1&amp;":B210"),0)+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,
INDIRECT("H"&amp;R44&amp;"")))),"")</f>
        <v/>
      </c>
      <c r="X44" s="122" t="str">
        <f t="array" aca="1" ref="X44" ca="1">IF($R44&lt;&gt;"",
INDIRECT(""&amp;IF(COLUMN(I44)&lt;=26,CHAR(COLUMN(I44)+64),CHAR(INT((COLUMN(I44)-1)/26)+64)&amp;CHAR(MOD(COLUMN(I44)-1,26)+65))&amp;$R44&amp;""),"")</f>
        <v/>
      </c>
      <c r="Y44" s="122" t="str">
        <f t="array" aca="1" ref="Y44" ca="1">IF($R44&lt;&gt;"",
INDIRECT(""&amp;IF(COLUMN(J44)&lt;=26,CHAR(COLUMN(J44)+64),CHAR(INT((COLUMN(J44)-1)/26)+64)&amp;CHAR(MOD(COLUMN(J44)-1,26)+65))&amp;$R44&amp;""),"")</f>
        <v/>
      </c>
      <c r="Z44" s="122" t="str">
        <f t="shared" ca="1" si="2"/>
        <v/>
      </c>
      <c r="AA44" s="122" t="str">
        <f t="shared" ca="1" si="3"/>
        <v/>
      </c>
      <c r="AB44" s="122" t="str">
        <f t="array" aca="1" ref="AB44" ca="1">IF($R44&lt;&gt;"",
IF(AND(COUNTIF(INDIRECT("B"&amp;R44&amp;""),"*雙葉*"),COUNTIF(INDIRECT("B"&amp;R44&amp;""),"&lt;&gt;*先生*"),COUNTIF(B:B,"*雙葉*")&gt;=2),
INDIRECT("M"&amp;R44&amp;"")+INDIRECT("M"&amp;MATCH("雙葉'",INDIRECT("B"&amp;R44+1&amp;":B210"),0)+R44&amp;""),
IF(AND(LEFT(INDIRECT("B"&amp;R44&amp;""),2)="博多",COUNTIF(B:B,"*博多*")&gt;=2),
INDIRECT("M"&amp;R44&amp;"")+INDIRECT("M"&amp;MATCH("*"&amp;INDIRECT("B"&amp;R44&amp;"")&amp;"*",INDIRECT("B"&amp;R44+1&amp;":B210"),0)+R44&amp;""),
IF(AND(LEFT(INDIRECT("B"&amp;R44&amp;""),3)="奈良屋",COUNTIF(B:B,"*奈良屋*")&gt;=2),
INDIRECT("M"&amp;R44&amp;"")+INDIRECT("M"&amp;MATCH("*"&amp;INDIRECT("B"&amp;R44&amp;"")&amp;"*",INDIRECT("B"&amp;R44+1&amp;":B210"),0)+R44&amp;"")
+INDIRECT("M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,
INDIRECT("M"&amp;R44&amp;"")))),"")</f>
        <v/>
      </c>
      <c r="AC44" s="122" t="str">
        <f t="shared" ca="1" si="4"/>
        <v/>
      </c>
      <c r="AD44" s="176" t="str">
        <f t="shared" ca="1" si="5"/>
        <v/>
      </c>
      <c r="AE44" s="176" t="str">
        <f t="shared" ca="1" si="6"/>
        <v/>
      </c>
      <c r="AF44" s="176" t="str">
        <f t="shared" ca="1" si="7"/>
        <v/>
      </c>
      <c r="AG44" s="176" t="str">
        <f t="shared" ca="1" si="8"/>
        <v/>
      </c>
      <c r="AH44" s="183" t="str">
        <f t="shared" ca="1" si="9"/>
        <v/>
      </c>
      <c r="AI44" s="176" t="str">
        <f t="shared" ca="1" si="10"/>
        <v/>
      </c>
      <c r="AJ44" s="176" t="str">
        <f t="shared" ca="1" si="11"/>
        <v/>
      </c>
      <c r="AK44" s="176" t="str">
        <f t="shared" ca="1" si="12"/>
        <v/>
      </c>
      <c r="AL44" s="176" t="str">
        <f t="shared" ca="1" si="13"/>
        <v/>
      </c>
      <c r="AM44" s="176" t="str">
        <f t="shared" ca="1" si="14"/>
        <v/>
      </c>
      <c r="AN44" s="176" t="str">
        <f t="shared" ca="1" si="15"/>
        <v/>
      </c>
      <c r="AO44" s="176" t="str">
        <f t="shared" ca="1" si="16"/>
        <v/>
      </c>
      <c r="AP44" s="176" t="str">
        <f t="shared" ca="1" si="17"/>
        <v/>
      </c>
      <c r="AU44" s="176" t="str">
        <f t="shared" ca="1" si="18"/>
        <v/>
      </c>
      <c r="AW44" s="106" t="str">
        <f ca="1">IFERROR(IF(AF44&lt;&gt;"",OFFSET('数出表_Excel（アレルギー入力）'!$A$1,MATCH(AF44,'数出表_Excel（アレルギー入力）'!A:A,0)-2,0),""),"")</f>
        <v/>
      </c>
      <c r="AX44" s="106" t="str">
        <f ca="1">IF(AW44&lt;&gt;"",
OFFSET(得意先マスタ!$A$1,MATCH(AW44,得意先マスタ!A:A,0)-1,24),"")</f>
        <v/>
      </c>
      <c r="AY44" s="57">
        <f t="shared" ca="1" si="21"/>
        <v>0</v>
      </c>
      <c r="AZ44" s="57">
        <f t="shared" ca="1" si="29"/>
        <v>0</v>
      </c>
      <c r="BA44" s="57">
        <f t="shared" ca="1" si="30"/>
        <v>0</v>
      </c>
      <c r="BB44" s="176">
        <f t="shared" ca="1" si="24"/>
        <v>0</v>
      </c>
    </row>
    <row r="45" spans="1:54" ht="22.2" customHeight="1">
      <c r="A45" s="101">
        <f t="shared" si="31"/>
        <v>95</v>
      </c>
      <c r="B45" s="45" t="str">
        <f t="shared" si="32"/>
        <v/>
      </c>
      <c r="C45" s="45" t="str">
        <f>IF(OR(クライアント抽出!B45&lt;&gt;"",クライアント抽出!E45&lt;&gt;""),クライアント抽出!A45,"")</f>
        <v/>
      </c>
      <c r="D45" s="45" t="str">
        <f t="array" aca="1" ref="D45" ca="1">IF(C45&lt;&gt;"",INDIRECT("クライアント抽出!"&amp;E45&amp;MATCH(C45,クライアント抽出!A:A,0)&amp;""),"")</f>
        <v/>
      </c>
      <c r="E45" s="45" t="str">
        <f>IF(H45&lt;&gt;0,
IFERROR(
SUBSTITUTE(ADDRESS(1,
MATCH(VALUE(H45),クライアント抽出!A45:G45,0)+8,4),"1",""),
""),
IFERROR(
SUBSTITUTE(ADDRESS(1,
MATCH(VALUE(I45),クライアント抽出!A45:G45,0)+8,4),"1",""),
""))</f>
        <v/>
      </c>
      <c r="F45" s="184" t="str">
        <f ca="1">IF(D45&lt;&gt;"",
IF(COUNTIF(C45,"*雙葉*"),
IF(ROUND((H45-M45)
/IF(COUNTIF(D45,"*キャラ*"),
VLOOKUP("*キャラ*",商品マスタ!$D:$E,2,FALSE),
IF(COUNTIF(D45,"*赤*"),
VLOOKUP("*赤*",商品マスタ!$D:$E,2,FALSE),
VLOOKUP("*"&amp;D45&amp;"*",商品マスタ!$D:$E,2,FALSE))),0)&lt;=0,1,
ROUND((H45-M45)
/IF(COUNTIF(D45,"*キャラ*"),
VLOOKUP("*キャラ*",商品マスタ!$D:$E,2,FALSE),
IF(COUNTIF(D45,"*赤*"),
VLOOKUP("*赤*",商品マスタ!$D:$E,2,FALSE),
VLOOKUP("*"&amp;D45&amp;"*",商品マスタ!$D:$E,2,FALSE))),0)),
IF(OR(COUNTIF(D45,"*キャラ*"),COUNTIF(D45,"*赤*")),"",
IF(VLOOKUP("*"&amp;D45&amp;"*",商品マスタ!$D:$E,2,FALSE)=0,"",
IF(ROUND((H45-M45)
/VLOOKUP("*"&amp;D45&amp;"*",商品マスタ!$D:$E,2,FALSE),0)&lt;=0,1,
ROUND((H45-M45)
/VLOOKUP("*"&amp;D45&amp;"*",商品マスタ!$D:$E,2,FALSE),0))))),"")</f>
        <v/>
      </c>
      <c r="G45" s="45" t="str">
        <f ca="1">IF(F45&lt;&gt;"",
IF(VALUE(H45-M45)&gt;VALUE(IF(COUNTIF(D45,"*キャラ*"),
VLOOKUP("*キャラ*",商品マスタ!$D:$E,2,FALSE),
IF(COUNTIF(D45,"*赤*"),
VLOOKUP("*赤*",商品マスタ!$D:$E,2,FALSE),
VLOOKUP("*"&amp;D45&amp;"*",商品マスタ!$D:$E,2,FALSE)))*F45),
"+"&amp;(H45-M45)-IF(COUNTIF(D45,"*キャラ*"),
VLOOKUP("*キャラ*",商品マスタ!$D:$E,2,FALSE),
IF(COUNTIF(D45,"*赤*"),
VLOOKUP("*赤*",商品マスタ!$D:$E,2,FALSE),
VLOOKUP("*"&amp;D45&amp;"*",商品マスタ!$D:$E,2,FALSE)))*F45,
(H45-M45)-IF(COUNTIF(D45,"*キャラ*"),
VLOOKUP("*キャラ*",商品マスタ!$D:$E,2,FALSE),
IF(COUNTIF(D45,"*赤*"),
VLOOKUP("*赤*",商品マスタ!$D:$E,2,FALSE),
VLOOKUP("*"&amp;D45&amp;"*",商品マスタ!$D:$E,2,FALSE)))*F45),"")</f>
        <v/>
      </c>
      <c r="H45" s="99" t="str">
        <f>IF(C45&lt;&gt;"",
クライアント抽出!B45,"")</f>
        <v/>
      </c>
      <c r="I45" s="45" t="str">
        <f t="array" aca="1" ref="I45" ca="1">IF(C45&lt;&gt;"",
IF(O45=1,
IF(SUMPRODUCT(COUNTIF(クライアント抽出!P45:U45,クライアント抽出!P45:U45))&gt;COUNTA(クライアント抽出!P45:U45),
IFERROR(INDIRECT("数出表_Excel!"&amp;INDEX(_xlfn.UNIQUE(_xlfn._xlws.FILTER(クライアント抽出!P45:U45,COUNTIF(クライアント抽出!P45:U45,クライアント抽出!P45:U45)&gt;1)),1)&amp;L45&amp;""),
クライアント抽出!E45),0),クライアント抽出!E45),"")</f>
        <v/>
      </c>
      <c r="J45" s="45" t="str">
        <f>IF(C45&lt;&gt;"",
VLOOKUP(
"*"&amp;LEFT(IF(COUNTIF(D45,"*学食*"),"キャラ弁（学食）",
IF(COUNTIF(D45,"*赤*"),"赤",
IF(COUNTIF(D45,"*キャラ弁当*"),"キャラ弁当",D45))),4)&amp;"*",注文弁当の抽出!$F$1:$G$15,2,FALSE),"")</f>
        <v/>
      </c>
      <c r="K45" s="45" t="str">
        <f ca="1">IF(クライアント抽出!P45&lt;&gt;"",SUBSTITUTE(ADDRESS(1,(CODE(クライアント抽出!P45)-64)*2-1,4),"1",""),"")</f>
        <v/>
      </c>
      <c r="L45" s="45" t="str">
        <f>IF(C45&lt;&gt;"",クライアント抽出!I45,"")</f>
        <v/>
      </c>
      <c r="M45" s="45">
        <f t="array" aca="1" ref="M45" ca="1">IF(C45&lt;&gt;"",
IF(K45&lt;&gt;"",INDIRECT("'数出表_Excel（アレルギー入力）'!"&amp;K45&amp;L45-1&amp;""),),)</f>
        <v>0</v>
      </c>
      <c r="N45" s="45" t="str">
        <f>IF(C45&lt;&gt;"",IF(OR(COUNTIF('盛付札（関数）'!D45,"*赤*"),COUNTIF('盛付札（関数）'!D45,"*キャラ*")),1,
VALUE(VLOOKUP("*"&amp;D45&amp;"*",商品マスタ!D:H,5,FALSE))),"")</f>
        <v/>
      </c>
      <c r="O45" s="45">
        <f ca="1">IF(LEN(クライアント抽出!V45)-LEN(SUBSTITUTE(クライアント抽出!V45,",",""))&lt;&gt;1,
IF(AND(クライアント抽出!P45&lt;&gt;"",クライアント抽出!S45&lt;&gt;""),
IF(クライアント抽出!P45&lt;&gt;クライアント抽出!S45,1,0),0),0)</f>
        <v>0</v>
      </c>
      <c r="P45" s="45">
        <f t="shared" si="0"/>
        <v>0</v>
      </c>
      <c r="Q45" s="45" t="b">
        <f t="shared" si="1"/>
        <v>0</v>
      </c>
      <c r="R45" s="122" t="str">
        <f t="array" aca="1" ref="R45" ca="1">IFERROR(SMALL(IF(P$1:P$311&lt;&gt;0,P$1:P$311),ROW(A45)),"")</f>
        <v/>
      </c>
      <c r="S45" s="122" t="str">
        <f t="array" aca="1" ref="S45" ca="1">IF($R45&lt;&gt;"",
SUBSTITUTE(SUBSTITUTE(INDIRECT("C"&amp;$R45&amp;"")," 週3ｺｰｽ","")," 週5ｺｰｽ",""),"")</f>
        <v/>
      </c>
      <c r="T45" s="122" t="str">
        <f t="array" aca="1" ref="T45" ca="1">IF(IF($R45&lt;&gt;"",
INDIRECT(""&amp;IF(COLUMN(D45)&lt;=26,CHAR(COLUMN(D45)+64),CHAR(INT((COLUMN(D45)-1)/26)+64)&amp;CHAR(MOD(COLUMN(D45)-1,26)+65))&amp;$R45&amp;""),"")=0,"",
IF($R45&lt;&gt;"",
INDIRECT(""&amp;IF(COLUMN(D45)&lt;=26,CHAR(COLUMN(D45)+64),CHAR(INT((COLUMN(D45)-1)/26)+64)&amp;CHAR(MOD(COLUMN(D45)-1,26)+65))&amp;$R45&amp;""),""))</f>
        <v/>
      </c>
      <c r="U45" s="185" t="str">
        <f t="array" aca="1" ref="U45" ca="1">IF($R45&lt;&gt;"",
INDIRECT("F"&amp;$R45&amp;""),"")</f>
        <v/>
      </c>
      <c r="V45" s="122" t="str">
        <f t="array" aca="1" ref="V45" ca="1">IF($R45&lt;&gt;"",
INDIRECT("G"&amp;$R45&amp;""),"")</f>
        <v/>
      </c>
      <c r="W45" s="122" t="str" cm="1">
        <f t="array" aca="1" ref="W45" ca="1">IF($R45&lt;&gt;"",
IF(AND(COUNTIF(INDIRECT("B"&amp;R45&amp;""),"*雙葉*"),COUNTIF($B$71:$B$210,"*雙葉*")&gt;=1),
IF(OR(COUNTIF(INDIRECT("B"&amp;R45&amp;""),"*雙葉先生*"),COUNTIF(INDIRECT("B"&amp;R45-1&amp;""),"*雙葉*")),INDIRECT("H"&amp;R45&amp;""),INDIRECT("H"&amp;R45&amp;"")+INDIRECT("H"&amp;MATCH("雙葉'",INDIRECT("B"&amp;R45+3&amp;":B210"),0)+2+R45&amp;"")),
IF(AND(LEFT(INDIRECT("B"&amp;R45&amp;""),2)="博多",COUNTIF(B:B,"*博多*")&gt;=2),
INDIRECT("H"&amp;R45&amp;"")+IFERROR(INDIRECT("H"&amp;MATCH("*"&amp;INDIRECT("B"&amp;R45&amp;"")&amp;"*",INDIRECT("B"&amp;R45+1&amp;":B210"),0)+R45&amp;""),0),
IF(AND(LEFT(INDIRECT("B"&amp;R45&amp;""),3)="奈良屋",COUNTIF(B:B,"*奈良屋*")&gt;=2),
INDIRECT("H"&amp;R45&amp;"")
+INDIRECT("H"&amp;MATCH("*"&amp;INDIRECT("B"&amp;R45&amp;"")&amp;"*",INDIRECT("B"&amp;R45+1&amp;":B210"),0)+R45&amp;"")
+INDIRECT("H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
+INDIRECT("H"&amp;MATCH("*"&amp;INDIRECT("B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&amp;"*",INDIRECT("B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+1&amp;":B210"),0)+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,
INDIRECT("H"&amp;R45&amp;"")))),"")</f>
        <v/>
      </c>
      <c r="X45" s="122" t="str">
        <f t="array" aca="1" ref="X45" ca="1">IF($R45&lt;&gt;"",
INDIRECT(""&amp;IF(COLUMN(I45)&lt;=26,CHAR(COLUMN(I45)+64),CHAR(INT((COLUMN(I45)-1)/26)+64)&amp;CHAR(MOD(COLUMN(I45)-1,26)+65))&amp;$R45&amp;""),"")</f>
        <v/>
      </c>
      <c r="Y45" s="122" t="str">
        <f t="array" aca="1" ref="Y45" ca="1">IF($R45&lt;&gt;"",
INDIRECT(""&amp;IF(COLUMN(J45)&lt;=26,CHAR(COLUMN(J45)+64),CHAR(INT((COLUMN(J45)-1)/26)+64)&amp;CHAR(MOD(COLUMN(J45)-1,26)+65))&amp;$R45&amp;""),"")</f>
        <v/>
      </c>
      <c r="Z45" s="122" t="str">
        <f t="shared" ca="1" si="2"/>
        <v/>
      </c>
      <c r="AA45" s="122" t="str">
        <f t="shared" ca="1" si="3"/>
        <v/>
      </c>
      <c r="AB45" s="122" t="str">
        <f t="array" aca="1" ref="AB45" ca="1">IF($R45&lt;&gt;"",
IF(AND(COUNTIF(INDIRECT("B"&amp;R45&amp;""),"*雙葉*"),COUNTIF(INDIRECT("B"&amp;R45&amp;""),"&lt;&gt;*先生*"),COUNTIF(B:B,"*雙葉*")&gt;=2),
INDIRECT("M"&amp;R45&amp;"")+INDIRECT("M"&amp;MATCH("雙葉'",INDIRECT("B"&amp;R45+1&amp;":B210"),0)+R45&amp;""),
IF(AND(LEFT(INDIRECT("B"&amp;R45&amp;""),2)="博多",COUNTIF(B:B,"*博多*")&gt;=2),
INDIRECT("M"&amp;R45&amp;"")+INDIRECT("M"&amp;MATCH("*"&amp;INDIRECT("B"&amp;R45&amp;"")&amp;"*",INDIRECT("B"&amp;R45+1&amp;":B210"),0)+R45&amp;""),
IF(AND(LEFT(INDIRECT("B"&amp;R45&amp;""),3)="奈良屋",COUNTIF(B:B,"*奈良屋*")&gt;=2),
INDIRECT("M"&amp;R45&amp;"")+INDIRECT("M"&amp;MATCH("*"&amp;INDIRECT("B"&amp;R45&amp;"")&amp;"*",INDIRECT("B"&amp;R45+1&amp;":B210"),0)+R45&amp;"")
+INDIRECT("M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,
INDIRECT("M"&amp;R45&amp;"")))),"")</f>
        <v/>
      </c>
      <c r="AC45" s="122" t="str">
        <f t="shared" ca="1" si="4"/>
        <v/>
      </c>
      <c r="AD45" s="176" t="str">
        <f t="shared" ca="1" si="5"/>
        <v/>
      </c>
      <c r="AE45" s="176" t="str">
        <f t="shared" ca="1" si="6"/>
        <v/>
      </c>
      <c r="AF45" s="176" t="str">
        <f t="shared" ca="1" si="7"/>
        <v/>
      </c>
      <c r="AG45" s="176" t="str">
        <f t="shared" ca="1" si="8"/>
        <v/>
      </c>
      <c r="AH45" s="183" t="str">
        <f t="shared" ca="1" si="9"/>
        <v/>
      </c>
      <c r="AI45" s="176" t="str">
        <f t="shared" ca="1" si="10"/>
        <v/>
      </c>
      <c r="AJ45" s="176" t="str">
        <f t="shared" ca="1" si="11"/>
        <v/>
      </c>
      <c r="AK45" s="176" t="str">
        <f t="shared" ca="1" si="12"/>
        <v/>
      </c>
      <c r="AL45" s="176" t="str">
        <f t="shared" ca="1" si="13"/>
        <v/>
      </c>
      <c r="AM45" s="176" t="str">
        <f t="shared" ca="1" si="14"/>
        <v/>
      </c>
      <c r="AN45" s="176" t="str">
        <f t="shared" ca="1" si="15"/>
        <v/>
      </c>
      <c r="AO45" s="176" t="str">
        <f t="shared" ca="1" si="16"/>
        <v/>
      </c>
      <c r="AP45" s="176" t="str">
        <f t="shared" ca="1" si="17"/>
        <v/>
      </c>
      <c r="AU45" s="176" t="str">
        <f t="shared" ca="1" si="18"/>
        <v/>
      </c>
      <c r="AW45" s="106" t="str">
        <f ca="1">IFERROR(IF(AF45&lt;&gt;"",OFFSET('数出表_Excel（アレルギー入力）'!$A$1,MATCH(AF45,'数出表_Excel（アレルギー入力）'!A:A,0)-2,0),""),"")</f>
        <v/>
      </c>
      <c r="AX45" s="106" t="str">
        <f ca="1">IF(AW45&lt;&gt;"",
OFFSET(得意先マスタ!$A$1,MATCH(AW45,得意先マスタ!A:A,0)-1,24),"")</f>
        <v/>
      </c>
      <c r="AY45" s="57">
        <f t="shared" ca="1" si="21"/>
        <v>0</v>
      </c>
      <c r="AZ45" s="57">
        <f t="shared" ca="1" si="29"/>
        <v>0</v>
      </c>
      <c r="BA45" s="57">
        <f t="shared" ca="1" si="30"/>
        <v>0</v>
      </c>
      <c r="BB45" s="176">
        <f t="shared" ca="1" si="24"/>
        <v>0</v>
      </c>
    </row>
    <row r="46" spans="1:54" ht="18" customHeight="1">
      <c r="A46" s="101">
        <f t="shared" si="31"/>
        <v>97</v>
      </c>
      <c r="B46" s="45" t="str">
        <f t="shared" si="32"/>
        <v/>
      </c>
      <c r="C46" s="45" t="str">
        <f>IF(OR(クライアント抽出!B46&lt;&gt;"",クライアント抽出!E46&lt;&gt;""),クライアント抽出!A46,"")</f>
        <v/>
      </c>
      <c r="D46" s="45" t="str">
        <f t="array" aca="1" ref="D46" ca="1">IF(C46&lt;&gt;"",INDIRECT("クライアント抽出!"&amp;E46&amp;MATCH(C46,クライアント抽出!A:A,0)&amp;""),"")</f>
        <v/>
      </c>
      <c r="E46" s="45" t="str">
        <f>IF(H46&lt;&gt;0,
IFERROR(
SUBSTITUTE(ADDRESS(1,
MATCH(VALUE(H46),クライアント抽出!A46:G46,0)+8,4),"1",""),
""),
IFERROR(
SUBSTITUTE(ADDRESS(1,
MATCH(VALUE(I46),クライアント抽出!A46:G46,0)+8,4),"1",""),
""))</f>
        <v/>
      </c>
      <c r="F46" s="184" t="str">
        <f ca="1">IF(D46&lt;&gt;"",
IF(COUNTIF(C46,"*雙葉*"),
IF(ROUND((H46-M46)
/IF(COUNTIF(D46,"*キャラ*"),
VLOOKUP("*キャラ*",商品マスタ!$D:$E,2,FALSE),
IF(COUNTIF(D46,"*赤*"),
VLOOKUP("*赤*",商品マスタ!$D:$E,2,FALSE),
VLOOKUP("*"&amp;D46&amp;"*",商品マスタ!$D:$E,2,FALSE))),0)&lt;=0,1,
ROUND((H46-M46)
/IF(COUNTIF(D46,"*キャラ*"),
VLOOKUP("*キャラ*",商品マスタ!$D:$E,2,FALSE),
IF(COUNTIF(D46,"*赤*"),
VLOOKUP("*赤*",商品マスタ!$D:$E,2,FALSE),
VLOOKUP("*"&amp;D46&amp;"*",商品マスタ!$D:$E,2,FALSE))),0)),
IF(OR(COUNTIF(D46,"*キャラ*"),COUNTIF(D46,"*赤*")),"",
IF(VLOOKUP("*"&amp;D46&amp;"*",商品マスタ!$D:$E,2,FALSE)=0,"",
IF(ROUND((H46-M46)
/VLOOKUP("*"&amp;D46&amp;"*",商品マスタ!$D:$E,2,FALSE),0)&lt;=0,1,
ROUND((H46-M46)
/VLOOKUP("*"&amp;D46&amp;"*",商品マスタ!$D:$E,2,FALSE),0))))),"")</f>
        <v/>
      </c>
      <c r="G46" s="45" t="str">
        <f ca="1">IF(F46&lt;&gt;"",
IF(VALUE(H46-M46)&gt;VALUE(IF(COUNTIF(D46,"*キャラ*"),
VLOOKUP("*キャラ*",商品マスタ!$D:$E,2,FALSE),
IF(COUNTIF(D46,"*赤*"),
VLOOKUP("*赤*",商品マスタ!$D:$E,2,FALSE),
VLOOKUP("*"&amp;D46&amp;"*",商品マスタ!$D:$E,2,FALSE)))*F46),
"+"&amp;(H46-M46)-IF(COUNTIF(D46,"*キャラ*"),
VLOOKUP("*キャラ*",商品マスタ!$D:$E,2,FALSE),
IF(COUNTIF(D46,"*赤*"),
VLOOKUP("*赤*",商品マスタ!$D:$E,2,FALSE),
VLOOKUP("*"&amp;D46&amp;"*",商品マスタ!$D:$E,2,FALSE)))*F46,
(H46-M46)-IF(COUNTIF(D46,"*キャラ*"),
VLOOKUP("*キャラ*",商品マスタ!$D:$E,2,FALSE),
IF(COUNTIF(D46,"*赤*"),
VLOOKUP("*赤*",商品マスタ!$D:$E,2,FALSE),
VLOOKUP("*"&amp;D46&amp;"*",商品マスタ!$D:$E,2,FALSE)))*F46),"")</f>
        <v/>
      </c>
      <c r="H46" s="99" t="str">
        <f>IF(C46&lt;&gt;"",
クライアント抽出!B46,"")</f>
        <v/>
      </c>
      <c r="I46" s="45" t="str">
        <f t="array" aca="1" ref="I46" ca="1">IF(C46&lt;&gt;"",
IF(O46=1,
IF(SUMPRODUCT(COUNTIF(クライアント抽出!P46:U46,クライアント抽出!P46:U46))&gt;COUNTA(クライアント抽出!P46:U46),
IFERROR(INDIRECT("数出表_Excel!"&amp;INDEX(_xlfn.UNIQUE(_xlfn._xlws.FILTER(クライアント抽出!P46:U46,COUNTIF(クライアント抽出!P46:U46,クライアント抽出!P46:U46)&gt;1)),1)&amp;L46&amp;""),
クライアント抽出!E46),0),クライアント抽出!E46),"")</f>
        <v/>
      </c>
      <c r="J46" s="45" t="str">
        <f>IF(C46&lt;&gt;"",
VLOOKUP(
"*"&amp;LEFT(IF(COUNTIF(D46,"*学食*"),"キャラ弁（学食）",
IF(COUNTIF(D46,"*赤*"),"赤",
IF(COUNTIF(D46,"*キャラ弁当*"),"キャラ弁当",D46))),4)&amp;"*",注文弁当の抽出!$F$1:$G$15,2,FALSE),"")</f>
        <v/>
      </c>
      <c r="K46" s="45" t="str">
        <f ca="1">IF(クライアント抽出!P46&lt;&gt;"",SUBSTITUTE(ADDRESS(1,(CODE(クライアント抽出!P46)-64)*2-1,4),"1",""),"")</f>
        <v/>
      </c>
      <c r="L46" s="45" t="str">
        <f>IF(C46&lt;&gt;"",クライアント抽出!I46,"")</f>
        <v/>
      </c>
      <c r="M46" s="45">
        <f t="array" aca="1" ref="M46" ca="1">IF(C46&lt;&gt;"",
IF(K46&lt;&gt;"",INDIRECT("'数出表_Excel（アレルギー入力）'!"&amp;K46&amp;L46-1&amp;""),),)</f>
        <v>0</v>
      </c>
      <c r="N46" s="45" t="str">
        <f>IF(C46&lt;&gt;"",IF(OR(COUNTIF('盛付札（関数）'!D46,"*赤*"),COUNTIF('盛付札（関数）'!D46,"*キャラ*")),1,
VALUE(VLOOKUP("*"&amp;D46&amp;"*",商品マスタ!D:H,5,FALSE))),"")</f>
        <v/>
      </c>
      <c r="O46" s="45">
        <f ca="1">IF(LEN(クライアント抽出!V46)-LEN(SUBSTITUTE(クライアント抽出!V46,",",""))&lt;&gt;1,
IF(AND(クライアント抽出!P46&lt;&gt;"",クライアント抽出!S46&lt;&gt;""),
IF(クライアント抽出!P46&lt;&gt;クライアント抽出!S46,1,0),0),0)</f>
        <v>0</v>
      </c>
      <c r="P46" s="45">
        <f t="shared" si="0"/>
        <v>0</v>
      </c>
      <c r="Q46" s="45" t="b">
        <f t="shared" si="1"/>
        <v>0</v>
      </c>
      <c r="R46" s="122" t="str">
        <f t="array" aca="1" ref="R46" ca="1">IFERROR(SMALL(IF(P$1:P$311&lt;&gt;0,P$1:P$311),ROW(A46)),"")</f>
        <v/>
      </c>
      <c r="S46" s="122" t="str">
        <f t="array" aca="1" ref="S46" ca="1">IF($R46&lt;&gt;"",
SUBSTITUTE(SUBSTITUTE(INDIRECT("C"&amp;$R46&amp;"")," 週3ｺｰｽ","")," 週5ｺｰｽ",""),"")</f>
        <v/>
      </c>
      <c r="T46" s="122" t="str">
        <f t="array" aca="1" ref="T46" ca="1">IF(IF($R46&lt;&gt;"",
INDIRECT(""&amp;IF(COLUMN(D46)&lt;=26,CHAR(COLUMN(D46)+64),CHAR(INT((COLUMN(D46)-1)/26)+64)&amp;CHAR(MOD(COLUMN(D46)-1,26)+65))&amp;$R46&amp;""),"")=0,"",
IF($R46&lt;&gt;"",
INDIRECT(""&amp;IF(COLUMN(D46)&lt;=26,CHAR(COLUMN(D46)+64),CHAR(INT((COLUMN(D46)-1)/26)+64)&amp;CHAR(MOD(COLUMN(D46)-1,26)+65))&amp;$R46&amp;""),""))</f>
        <v/>
      </c>
      <c r="U46" s="185" t="str">
        <f t="array" aca="1" ref="U46" ca="1">IF($R46&lt;&gt;"",
INDIRECT("F"&amp;$R46&amp;""),"")</f>
        <v/>
      </c>
      <c r="V46" s="122" t="str">
        <f t="array" aca="1" ref="V46" ca="1">IF($R46&lt;&gt;"",
INDIRECT("G"&amp;$R46&amp;""),"")</f>
        <v/>
      </c>
      <c r="W46" s="122" t="str" cm="1">
        <f t="array" aca="1" ref="W46" ca="1">IF($R46&lt;&gt;"",
IF(AND(COUNTIF(INDIRECT("B"&amp;R46&amp;""),"*雙葉*"),COUNTIF($B$71:$B$210,"*雙葉*")&gt;=1),
IF(OR(COUNTIF(INDIRECT("B"&amp;R46&amp;""),"*雙葉先生*"),COUNTIF(INDIRECT("B"&amp;R46-1&amp;""),"*雙葉*")),INDIRECT("H"&amp;R46&amp;""),INDIRECT("H"&amp;R46&amp;"")+INDIRECT("H"&amp;MATCH("雙葉'",INDIRECT("B"&amp;R46+3&amp;":B210"),0)+2+R46&amp;"")),
IF(AND(LEFT(INDIRECT("B"&amp;R46&amp;""),2)="博多",COUNTIF(B:B,"*博多*")&gt;=2),
INDIRECT("H"&amp;R46&amp;"")+IFERROR(INDIRECT("H"&amp;MATCH("*"&amp;INDIRECT("B"&amp;R46&amp;"")&amp;"*",INDIRECT("B"&amp;R46+1&amp;":B210"),0)+R46&amp;""),0),
IF(AND(LEFT(INDIRECT("B"&amp;R46&amp;""),3)="奈良屋",COUNTIF(B:B,"*奈良屋*")&gt;=2),
INDIRECT("H"&amp;R46&amp;"")
+INDIRECT("H"&amp;MATCH("*"&amp;INDIRECT("B"&amp;R46&amp;"")&amp;"*",INDIRECT("B"&amp;R46+1&amp;":B210"),0)+R46&amp;"")
+INDIRECT("H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
+INDIRECT("H"&amp;MATCH("*"&amp;INDIRECT("B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&amp;"*",INDIRECT("B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+1&amp;":B210"),0)+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,
INDIRECT("H"&amp;R46&amp;"")))),"")</f>
        <v/>
      </c>
      <c r="X46" s="122" t="str">
        <f t="array" aca="1" ref="X46" ca="1">IF($R46&lt;&gt;"",
INDIRECT(""&amp;IF(COLUMN(I46)&lt;=26,CHAR(COLUMN(I46)+64),CHAR(INT((COLUMN(I46)-1)/26)+64)&amp;CHAR(MOD(COLUMN(I46)-1,26)+65))&amp;$R46&amp;""),"")</f>
        <v/>
      </c>
      <c r="Y46" s="122" t="str">
        <f t="array" aca="1" ref="Y46" ca="1">IF($R46&lt;&gt;"",
INDIRECT(""&amp;IF(COLUMN(J46)&lt;=26,CHAR(COLUMN(J46)+64),CHAR(INT((COLUMN(J46)-1)/26)+64)&amp;CHAR(MOD(COLUMN(J46)-1,26)+65))&amp;$R46&amp;""),"")</f>
        <v/>
      </c>
      <c r="Z46" s="122" t="str">
        <f t="shared" ca="1" si="2"/>
        <v/>
      </c>
      <c r="AA46" s="122" t="str">
        <f t="shared" ca="1" si="3"/>
        <v/>
      </c>
      <c r="AB46" s="122" t="str">
        <f t="array" aca="1" ref="AB46" ca="1">IF($R46&lt;&gt;"",
IF(AND(COUNTIF(INDIRECT("B"&amp;R46&amp;""),"*雙葉*"),COUNTIF(INDIRECT("B"&amp;R46&amp;""),"&lt;&gt;*先生*"),COUNTIF(B:B,"*雙葉*")&gt;=2),
INDIRECT("M"&amp;R46&amp;"")+INDIRECT("M"&amp;MATCH("雙葉'",INDIRECT("B"&amp;R46+1&amp;":B210"),0)+R46&amp;""),
IF(AND(LEFT(INDIRECT("B"&amp;R46&amp;""),2)="博多",COUNTIF(B:B,"*博多*")&gt;=2),
INDIRECT("M"&amp;R46&amp;"")+INDIRECT("M"&amp;MATCH("*"&amp;INDIRECT("B"&amp;R46&amp;"")&amp;"*",INDIRECT("B"&amp;R46+1&amp;":B210"),0)+R46&amp;""),
IF(AND(LEFT(INDIRECT("B"&amp;R46&amp;""),3)="奈良屋",COUNTIF(B:B,"*奈良屋*")&gt;=2),
INDIRECT("M"&amp;R46&amp;"")+INDIRECT("M"&amp;MATCH("*"&amp;INDIRECT("B"&amp;R46&amp;"")&amp;"*",INDIRECT("B"&amp;R46+1&amp;":B210"),0)+R46&amp;"")
+INDIRECT("M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,
INDIRECT("M"&amp;R46&amp;"")))),"")</f>
        <v/>
      </c>
      <c r="AC46" s="122" t="str">
        <f t="shared" ca="1" si="4"/>
        <v/>
      </c>
      <c r="AD46" s="176" t="str">
        <f t="shared" ca="1" si="5"/>
        <v/>
      </c>
      <c r="AE46" s="176" t="str">
        <f t="shared" ca="1" si="6"/>
        <v/>
      </c>
      <c r="AF46" s="176" t="str">
        <f t="shared" ca="1" si="7"/>
        <v/>
      </c>
      <c r="AG46" s="176" t="str">
        <f t="shared" ca="1" si="8"/>
        <v/>
      </c>
      <c r="AH46" s="183" t="str">
        <f t="shared" ca="1" si="9"/>
        <v/>
      </c>
      <c r="AI46" s="176" t="str">
        <f t="shared" ca="1" si="10"/>
        <v/>
      </c>
      <c r="AJ46" s="176" t="str">
        <f t="shared" ca="1" si="11"/>
        <v/>
      </c>
      <c r="AK46" s="176" t="str">
        <f t="shared" ca="1" si="12"/>
        <v/>
      </c>
      <c r="AL46" s="176" t="str">
        <f t="shared" ca="1" si="13"/>
        <v/>
      </c>
      <c r="AM46" s="176" t="str">
        <f t="shared" ca="1" si="14"/>
        <v/>
      </c>
      <c r="AN46" s="176" t="str">
        <f t="shared" ca="1" si="15"/>
        <v/>
      </c>
      <c r="AO46" s="176" t="str">
        <f t="shared" ca="1" si="16"/>
        <v/>
      </c>
      <c r="AP46" s="176" t="str">
        <f t="shared" ca="1" si="17"/>
        <v/>
      </c>
      <c r="AU46" s="176" t="str">
        <f t="shared" ca="1" si="18"/>
        <v/>
      </c>
      <c r="AW46" s="106" t="str">
        <f ca="1">IFERROR(IF(AF46&lt;&gt;"",OFFSET('数出表_Excel（アレルギー入力）'!$A$1,MATCH(AF46,'数出表_Excel（アレルギー入力）'!A:A,0)-2,0),""),"")</f>
        <v/>
      </c>
      <c r="AX46" s="106" t="str">
        <f ca="1">IF(AW46&lt;&gt;"",
OFFSET(得意先マスタ!$A$1,MATCH(AW46,得意先マスタ!A:A,0)-1,24),"")</f>
        <v/>
      </c>
      <c r="AY46" s="57">
        <f t="shared" ca="1" si="21"/>
        <v>0</v>
      </c>
      <c r="AZ46" s="57">
        <f t="shared" ca="1" si="29"/>
        <v>0</v>
      </c>
      <c r="BA46" s="57">
        <f t="shared" ca="1" si="30"/>
        <v>0</v>
      </c>
      <c r="BB46" s="176">
        <f t="shared" ca="1" si="24"/>
        <v>0</v>
      </c>
    </row>
    <row r="47" spans="1:54" ht="18" customHeight="1">
      <c r="A47" s="101">
        <f t="shared" si="31"/>
        <v>99</v>
      </c>
      <c r="B47" s="45" t="str">
        <f t="shared" si="32"/>
        <v/>
      </c>
      <c r="C47" s="45" t="str">
        <f>IF(OR(クライアント抽出!B47&lt;&gt;"",クライアント抽出!E47&lt;&gt;""),クライアント抽出!A47,"")</f>
        <v/>
      </c>
      <c r="D47" s="45" t="str">
        <f t="array" aca="1" ref="D47" ca="1">IF(C47&lt;&gt;"",INDIRECT("クライアント抽出!"&amp;E47&amp;MATCH(C47,クライアント抽出!A:A,0)&amp;""),"")</f>
        <v/>
      </c>
      <c r="E47" s="45" t="str">
        <f>IF(H47&lt;&gt;0,
IFERROR(
SUBSTITUTE(ADDRESS(1,
MATCH(VALUE(H47),クライアント抽出!A47:G47,0)+8,4),"1",""),
""),
IFERROR(
SUBSTITUTE(ADDRESS(1,
MATCH(VALUE(I47),クライアント抽出!A47:G47,0)+8,4),"1",""),
""))</f>
        <v/>
      </c>
      <c r="F47" s="184" t="str">
        <f ca="1">IF(D47&lt;&gt;"",
IF(COUNTIF(C47,"*雙葉*"),
IF(ROUND((H47-M47)
/IF(COUNTIF(D47,"*キャラ*"),
VLOOKUP("*キャラ*",商品マスタ!$D:$E,2,FALSE),
IF(COUNTIF(D47,"*赤*"),
VLOOKUP("*赤*",商品マスタ!$D:$E,2,FALSE),
VLOOKUP("*"&amp;D47&amp;"*",商品マスタ!$D:$E,2,FALSE))),0)&lt;=0,1,
ROUND((H47-M47)
/IF(COUNTIF(D47,"*キャラ*"),
VLOOKUP("*キャラ*",商品マスタ!$D:$E,2,FALSE),
IF(COUNTIF(D47,"*赤*"),
VLOOKUP("*赤*",商品マスタ!$D:$E,2,FALSE),
VLOOKUP("*"&amp;D47&amp;"*",商品マスタ!$D:$E,2,FALSE))),0)),
IF(OR(COUNTIF(D47,"*キャラ*"),COUNTIF(D47,"*赤*")),"",
IF(VLOOKUP("*"&amp;D47&amp;"*",商品マスタ!$D:$E,2,FALSE)=0,"",
IF(ROUND((H47-M47)
/VLOOKUP("*"&amp;D47&amp;"*",商品マスタ!$D:$E,2,FALSE),0)&lt;=0,1,
ROUND((H47-M47)
/VLOOKUP("*"&amp;D47&amp;"*",商品マスタ!$D:$E,2,FALSE),0))))),"")</f>
        <v/>
      </c>
      <c r="G47" s="45" t="str">
        <f ca="1">IF(F47&lt;&gt;"",
IF(VALUE(H47-M47)&gt;VALUE(IF(COUNTIF(D47,"*キャラ*"),
VLOOKUP("*キャラ*",商品マスタ!$D:$E,2,FALSE),
IF(COUNTIF(D47,"*赤*"),
VLOOKUP("*赤*",商品マスタ!$D:$E,2,FALSE),
VLOOKUP("*"&amp;D47&amp;"*",商品マスタ!$D:$E,2,FALSE)))*F47),
"+"&amp;(H47-M47)-IF(COUNTIF(D47,"*キャラ*"),
VLOOKUP("*キャラ*",商品マスタ!$D:$E,2,FALSE),
IF(COUNTIF(D47,"*赤*"),
VLOOKUP("*赤*",商品マスタ!$D:$E,2,FALSE),
VLOOKUP("*"&amp;D47&amp;"*",商品マスタ!$D:$E,2,FALSE)))*F47,
(H47-M47)-IF(COUNTIF(D47,"*キャラ*"),
VLOOKUP("*キャラ*",商品マスタ!$D:$E,2,FALSE),
IF(COUNTIF(D47,"*赤*"),
VLOOKUP("*赤*",商品マスタ!$D:$E,2,FALSE),
VLOOKUP("*"&amp;D47&amp;"*",商品マスタ!$D:$E,2,FALSE)))*F47),"")</f>
        <v/>
      </c>
      <c r="H47" s="99" t="str">
        <f>IF(C47&lt;&gt;"",
クライアント抽出!B47,"")</f>
        <v/>
      </c>
      <c r="I47" s="45" t="str">
        <f t="array" aca="1" ref="I47" ca="1">IF(C47&lt;&gt;"",
IF(O47=1,
IF(SUMPRODUCT(COUNTIF(クライアント抽出!P47:U47,クライアント抽出!P47:U47))&gt;COUNTA(クライアント抽出!P47:U47),
IFERROR(INDIRECT("数出表_Excel!"&amp;INDEX(_xlfn.UNIQUE(_xlfn._xlws.FILTER(クライアント抽出!P47:U47,COUNTIF(クライアント抽出!P47:U47,クライアント抽出!P47:U47)&gt;1)),1)&amp;L47&amp;""),
クライアント抽出!E47),0),クライアント抽出!E47),"")</f>
        <v/>
      </c>
      <c r="J47" s="45" t="str">
        <f>IF(C47&lt;&gt;"",
VLOOKUP(
"*"&amp;LEFT(IF(COUNTIF(D47,"*学食*"),"キャラ弁（学食）",
IF(COUNTIF(D47,"*赤*"),"赤",
IF(COUNTIF(D47,"*キャラ弁当*"),"キャラ弁当",D47))),4)&amp;"*",注文弁当の抽出!$F$1:$G$15,2,FALSE),"")</f>
        <v/>
      </c>
      <c r="K47" s="45" t="str">
        <f ca="1">IF(クライアント抽出!P47&lt;&gt;"",SUBSTITUTE(ADDRESS(1,(CODE(クライアント抽出!P47)-64)*2-1,4),"1",""),"")</f>
        <v/>
      </c>
      <c r="L47" s="45" t="str">
        <f>IF(C47&lt;&gt;"",クライアント抽出!I47,"")</f>
        <v/>
      </c>
      <c r="M47" s="45">
        <f t="array" aca="1" ref="M47" ca="1">IF(C47&lt;&gt;"",
IF(K47&lt;&gt;"",INDIRECT("'数出表_Excel（アレルギー入力）'!"&amp;K47&amp;L47-1&amp;""),),)</f>
        <v>0</v>
      </c>
      <c r="N47" s="45" t="str">
        <f>IF(C47&lt;&gt;"",IF(OR(COUNTIF('盛付札（関数）'!D47,"*赤*"),COUNTIF('盛付札（関数）'!D47,"*キャラ*")),1,
VALUE(VLOOKUP("*"&amp;D47&amp;"*",商品マスタ!D:H,5,FALSE))),"")</f>
        <v/>
      </c>
      <c r="O47" s="45">
        <f ca="1">IF(LEN(クライアント抽出!V47)-LEN(SUBSTITUTE(クライアント抽出!V47,",",""))&lt;&gt;1,
IF(AND(クライアント抽出!P47&lt;&gt;"",クライアント抽出!S47&lt;&gt;""),
IF(クライアント抽出!P47&lt;&gt;クライアント抽出!S47,1,0),0),0)</f>
        <v>0</v>
      </c>
      <c r="P47" s="45">
        <f t="shared" si="0"/>
        <v>0</v>
      </c>
      <c r="Q47" s="45" t="b">
        <f t="shared" si="1"/>
        <v>0</v>
      </c>
      <c r="R47" s="122" t="str">
        <f t="array" aca="1" ref="R47" ca="1">IFERROR(SMALL(IF(P$1:P$311&lt;&gt;0,P$1:P$311),ROW(A47)),"")</f>
        <v/>
      </c>
      <c r="S47" s="122" t="str">
        <f t="array" aca="1" ref="S47" ca="1">IF($R47&lt;&gt;"",
SUBSTITUTE(SUBSTITUTE(INDIRECT("C"&amp;$R47&amp;"")," 週3ｺｰｽ","")," 週5ｺｰｽ",""),"")</f>
        <v/>
      </c>
      <c r="T47" s="122" t="str">
        <f t="array" aca="1" ref="T47" ca="1">IF(IF($R47&lt;&gt;"",
INDIRECT(""&amp;IF(COLUMN(D47)&lt;=26,CHAR(COLUMN(D47)+64),CHAR(INT((COLUMN(D47)-1)/26)+64)&amp;CHAR(MOD(COLUMN(D47)-1,26)+65))&amp;$R47&amp;""),"")=0,"",
IF($R47&lt;&gt;"",
INDIRECT(""&amp;IF(COLUMN(D47)&lt;=26,CHAR(COLUMN(D47)+64),CHAR(INT((COLUMN(D47)-1)/26)+64)&amp;CHAR(MOD(COLUMN(D47)-1,26)+65))&amp;$R47&amp;""),""))</f>
        <v/>
      </c>
      <c r="U47" s="185" t="str">
        <f t="array" aca="1" ref="U47" ca="1">IF($R47&lt;&gt;"",
INDIRECT("F"&amp;$R47&amp;""),"")</f>
        <v/>
      </c>
      <c r="V47" s="122" t="str">
        <f t="array" aca="1" ref="V47" ca="1">IF($R47&lt;&gt;"",
INDIRECT("G"&amp;$R47&amp;""),"")</f>
        <v/>
      </c>
      <c r="W47" s="122" t="str" cm="1">
        <f t="array" aca="1" ref="W47" ca="1">IF($R47&lt;&gt;"",
IF(AND(COUNTIF(INDIRECT("B"&amp;R47&amp;""),"*雙葉*"),COUNTIF($B$71:$B$210,"*雙葉*")&gt;=1),
IF(OR(COUNTIF(INDIRECT("B"&amp;R47&amp;""),"*雙葉先生*"),COUNTIF(INDIRECT("B"&amp;R47-1&amp;""),"*雙葉*")),INDIRECT("H"&amp;R47&amp;""),INDIRECT("H"&amp;R47&amp;"")+INDIRECT("H"&amp;MATCH("雙葉'",INDIRECT("B"&amp;R47+3&amp;":B210"),0)+2+R47&amp;"")),
IF(AND(LEFT(INDIRECT("B"&amp;R47&amp;""),2)="博多",COUNTIF(B:B,"*博多*")&gt;=2),
INDIRECT("H"&amp;R47&amp;"")+IFERROR(INDIRECT("H"&amp;MATCH("*"&amp;INDIRECT("B"&amp;R47&amp;"")&amp;"*",INDIRECT("B"&amp;R47+1&amp;":B210"),0)+R47&amp;""),0),
IF(AND(LEFT(INDIRECT("B"&amp;R47&amp;""),3)="奈良屋",COUNTIF(B:B,"*奈良屋*")&gt;=2),
INDIRECT("H"&amp;R47&amp;"")
+INDIRECT("H"&amp;MATCH("*"&amp;INDIRECT("B"&amp;R47&amp;"")&amp;"*",INDIRECT("B"&amp;R47+1&amp;":B210"),0)+R47&amp;"")
+INDIRECT("H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
+INDIRECT("H"&amp;MATCH("*"&amp;INDIRECT("B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&amp;"*",INDIRECT("B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+1&amp;":B210"),0)+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,
INDIRECT("H"&amp;R47&amp;"")))),"")</f>
        <v/>
      </c>
      <c r="X47" s="122" t="str">
        <f t="array" aca="1" ref="X47" ca="1">IF($R47&lt;&gt;"",
INDIRECT(""&amp;IF(COLUMN(I47)&lt;=26,CHAR(COLUMN(I47)+64),CHAR(INT((COLUMN(I47)-1)/26)+64)&amp;CHAR(MOD(COLUMN(I47)-1,26)+65))&amp;$R47&amp;""),"")</f>
        <v/>
      </c>
      <c r="Y47" s="122" t="str">
        <f t="array" aca="1" ref="Y47" ca="1">IF($R47&lt;&gt;"",
INDIRECT(""&amp;IF(COLUMN(J47)&lt;=26,CHAR(COLUMN(J47)+64),CHAR(INT((COLUMN(J47)-1)/26)+64)&amp;CHAR(MOD(COLUMN(J47)-1,26)+65))&amp;$R47&amp;""),"")</f>
        <v/>
      </c>
      <c r="Z47" s="122" t="str">
        <f t="shared" ca="1" si="2"/>
        <v/>
      </c>
      <c r="AA47" s="122" t="str">
        <f t="shared" ca="1" si="3"/>
        <v/>
      </c>
      <c r="AB47" s="122" t="str">
        <f t="array" aca="1" ref="AB47" ca="1">IF($R47&lt;&gt;"",
IF(AND(COUNTIF(INDIRECT("B"&amp;R47&amp;""),"*雙葉*"),COUNTIF(INDIRECT("B"&amp;R47&amp;""),"&lt;&gt;*先生*"),COUNTIF(B:B,"*雙葉*")&gt;=2),
INDIRECT("M"&amp;R47&amp;"")+INDIRECT("M"&amp;MATCH("雙葉'",INDIRECT("B"&amp;R47+1&amp;":B210"),0)+R47&amp;""),
IF(AND(LEFT(INDIRECT("B"&amp;R47&amp;""),2)="博多",COUNTIF(B:B,"*博多*")&gt;=2),
INDIRECT("M"&amp;R47&amp;"")+INDIRECT("M"&amp;MATCH("*"&amp;INDIRECT("B"&amp;R47&amp;"")&amp;"*",INDIRECT("B"&amp;R47+1&amp;":B210"),0)+R47&amp;""),
IF(AND(LEFT(INDIRECT("B"&amp;R47&amp;""),3)="奈良屋",COUNTIF(B:B,"*奈良屋*")&gt;=2),
INDIRECT("M"&amp;R47&amp;"")+INDIRECT("M"&amp;MATCH("*"&amp;INDIRECT("B"&amp;R47&amp;"")&amp;"*",INDIRECT("B"&amp;R47+1&amp;":B210"),0)+R47&amp;"")
+INDIRECT("M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,
INDIRECT("M"&amp;R47&amp;"")))),"")</f>
        <v/>
      </c>
      <c r="AC47" s="122" t="str">
        <f t="shared" ca="1" si="4"/>
        <v/>
      </c>
      <c r="AD47" s="176" t="str">
        <f t="shared" ca="1" si="5"/>
        <v/>
      </c>
      <c r="AE47" s="176" t="str">
        <f t="shared" ca="1" si="6"/>
        <v/>
      </c>
      <c r="AF47" s="176" t="str">
        <f t="shared" ca="1" si="7"/>
        <v/>
      </c>
      <c r="AG47" s="176" t="str">
        <f t="shared" ca="1" si="8"/>
        <v/>
      </c>
      <c r="AH47" s="183" t="str">
        <f t="shared" ca="1" si="9"/>
        <v/>
      </c>
      <c r="AI47" s="176" t="str">
        <f t="shared" ca="1" si="10"/>
        <v/>
      </c>
      <c r="AJ47" s="176" t="str">
        <f t="shared" ca="1" si="11"/>
        <v/>
      </c>
      <c r="AK47" s="176" t="str">
        <f t="shared" ca="1" si="12"/>
        <v/>
      </c>
      <c r="AL47" s="176" t="str">
        <f t="shared" ca="1" si="13"/>
        <v/>
      </c>
      <c r="AM47" s="176" t="str">
        <f t="shared" ca="1" si="14"/>
        <v/>
      </c>
      <c r="AN47" s="176" t="str">
        <f t="shared" ca="1" si="15"/>
        <v/>
      </c>
      <c r="AO47" s="176" t="str">
        <f t="shared" ca="1" si="16"/>
        <v/>
      </c>
      <c r="AP47" s="176" t="str">
        <f t="shared" ca="1" si="17"/>
        <v/>
      </c>
      <c r="AU47" s="176" t="str">
        <f t="shared" ca="1" si="18"/>
        <v/>
      </c>
      <c r="AW47" s="106" t="str">
        <f ca="1">IFERROR(IF(AF47&lt;&gt;"",OFFSET('数出表_Excel（アレルギー入力）'!$A$1,MATCH(AF47,'数出表_Excel（アレルギー入力）'!A:A,0)-2,0),""),"")</f>
        <v/>
      </c>
      <c r="AX47" s="106" t="str">
        <f ca="1">IF(AW47&lt;&gt;"",
OFFSET(得意先マスタ!$A$1,MATCH(AW47,得意先マスタ!A:A,0)-1,24),"")</f>
        <v/>
      </c>
      <c r="AY47" s="57">
        <f t="shared" ca="1" si="21"/>
        <v>0</v>
      </c>
      <c r="AZ47" s="57">
        <f t="shared" ca="1" si="29"/>
        <v>0</v>
      </c>
      <c r="BA47" s="57">
        <f t="shared" ca="1" si="30"/>
        <v>0</v>
      </c>
      <c r="BB47" s="176">
        <f t="shared" ca="1" si="24"/>
        <v>0</v>
      </c>
    </row>
    <row r="48" spans="1:54" ht="22.2" customHeight="1">
      <c r="A48" s="101">
        <f t="shared" si="31"/>
        <v>101</v>
      </c>
      <c r="B48" s="45" t="str">
        <f t="shared" si="32"/>
        <v/>
      </c>
      <c r="C48" s="45" t="str">
        <f>IF(OR(クライアント抽出!B48&lt;&gt;"",クライアント抽出!E48&lt;&gt;""),クライアント抽出!A48,"")</f>
        <v/>
      </c>
      <c r="D48" s="45" t="str">
        <f t="array" aca="1" ref="D48" ca="1">IF(C48&lt;&gt;"",INDIRECT("クライアント抽出!"&amp;E48&amp;MATCH(C48,クライアント抽出!A:A,0)&amp;""),"")</f>
        <v/>
      </c>
      <c r="E48" s="45" t="str">
        <f>IF(H48&lt;&gt;0,
IFERROR(
SUBSTITUTE(ADDRESS(1,
MATCH(VALUE(H48),クライアント抽出!A48:G48,0)+8,4),"1",""),
""),
IFERROR(
SUBSTITUTE(ADDRESS(1,
MATCH(VALUE(I48),クライアント抽出!A48:G48,0)+8,4),"1",""),
""))</f>
        <v/>
      </c>
      <c r="F48" s="184" t="str">
        <f ca="1">IF(D48&lt;&gt;"",
IF(COUNTIF(C48,"*雙葉*"),
IF(ROUND((H48-M48)
/IF(COUNTIF(D48,"*キャラ*"),
VLOOKUP("*キャラ*",商品マスタ!$D:$E,2,FALSE),
IF(COUNTIF(D48,"*赤*"),
VLOOKUP("*赤*",商品マスタ!$D:$E,2,FALSE),
VLOOKUP("*"&amp;D48&amp;"*",商品マスタ!$D:$E,2,FALSE))),0)&lt;=0,1,
ROUND((H48-M48)
/IF(COUNTIF(D48,"*キャラ*"),
VLOOKUP("*キャラ*",商品マスタ!$D:$E,2,FALSE),
IF(COUNTIF(D48,"*赤*"),
VLOOKUP("*赤*",商品マスタ!$D:$E,2,FALSE),
VLOOKUP("*"&amp;D48&amp;"*",商品マスタ!$D:$E,2,FALSE))),0)),
IF(OR(COUNTIF(D48,"*キャラ*"),COUNTIF(D48,"*赤*")),"",
IF(VLOOKUP("*"&amp;D48&amp;"*",商品マスタ!$D:$E,2,FALSE)=0,"",
IF(ROUND((H48-M48)
/VLOOKUP("*"&amp;D48&amp;"*",商品マスタ!$D:$E,2,FALSE),0)&lt;=0,1,
ROUND((H48-M48)
/VLOOKUP("*"&amp;D48&amp;"*",商品マスタ!$D:$E,2,FALSE),0))))),"")</f>
        <v/>
      </c>
      <c r="G48" s="45" t="str">
        <f ca="1">IF(F48&lt;&gt;"",
IF(VALUE(H48-M48)&gt;VALUE(IF(COUNTIF(D48,"*キャラ*"),
VLOOKUP("*キャラ*",商品マスタ!$D:$E,2,FALSE),
IF(COUNTIF(D48,"*赤*"),
VLOOKUP("*赤*",商品マスタ!$D:$E,2,FALSE),
VLOOKUP("*"&amp;D48&amp;"*",商品マスタ!$D:$E,2,FALSE)))*F48),
"+"&amp;(H48-M48)-IF(COUNTIF(D48,"*キャラ*"),
VLOOKUP("*キャラ*",商品マスタ!$D:$E,2,FALSE),
IF(COUNTIF(D48,"*赤*"),
VLOOKUP("*赤*",商品マスタ!$D:$E,2,FALSE),
VLOOKUP("*"&amp;D48&amp;"*",商品マスタ!$D:$E,2,FALSE)))*F48,
(H48-M48)-IF(COUNTIF(D48,"*キャラ*"),
VLOOKUP("*キャラ*",商品マスタ!$D:$E,2,FALSE),
IF(COUNTIF(D48,"*赤*"),
VLOOKUP("*赤*",商品マスタ!$D:$E,2,FALSE),
VLOOKUP("*"&amp;D48&amp;"*",商品マスタ!$D:$E,2,FALSE)))*F48),"")</f>
        <v/>
      </c>
      <c r="H48" s="99" t="str">
        <f>IF(C48&lt;&gt;"",
クライアント抽出!B48,"")</f>
        <v/>
      </c>
      <c r="I48" s="45" t="str">
        <f t="array" aca="1" ref="I48" ca="1">IF(C48&lt;&gt;"",
IF(O48=1,
IF(SUMPRODUCT(COUNTIF(クライアント抽出!P48:U48,クライアント抽出!P48:U48))&gt;COUNTA(クライアント抽出!P48:U48),
IFERROR(INDIRECT("数出表_Excel!"&amp;INDEX(_xlfn.UNIQUE(_xlfn._xlws.FILTER(クライアント抽出!P48:U48,COUNTIF(クライアント抽出!P48:U48,クライアント抽出!P48:U48)&gt;1)),1)&amp;L48&amp;""),
クライアント抽出!E48),0),クライアント抽出!E48),"")</f>
        <v/>
      </c>
      <c r="J48" s="45" t="str">
        <f>IF(C48&lt;&gt;"",
VLOOKUP(
"*"&amp;LEFT(IF(COUNTIF(D48,"*学食*"),"キャラ弁（学食）",
IF(COUNTIF(D48,"*赤*"),"赤",
IF(COUNTIF(D48,"*キャラ弁当*"),"キャラ弁当",D48))),4)&amp;"*",注文弁当の抽出!$F$1:$G$15,2,FALSE),"")</f>
        <v/>
      </c>
      <c r="K48" s="45" t="str">
        <f ca="1">IF(クライアント抽出!P48&lt;&gt;"",SUBSTITUTE(ADDRESS(1,(CODE(クライアント抽出!P48)-64)*2-1,4),"1",""),"")</f>
        <v/>
      </c>
      <c r="L48" s="45" t="str">
        <f>IF(C48&lt;&gt;"",クライアント抽出!I48,"")</f>
        <v/>
      </c>
      <c r="M48" s="45">
        <f t="array" aca="1" ref="M48" ca="1">IF(C48&lt;&gt;"",
IF(K48&lt;&gt;"",INDIRECT("'数出表_Excel（アレルギー入力）'!"&amp;K48&amp;L48-1&amp;""),),)</f>
        <v>0</v>
      </c>
      <c r="N48" s="45" t="str">
        <f>IF(C48&lt;&gt;"",IF(OR(COUNTIF('盛付札（関数）'!D48,"*赤*"),COUNTIF('盛付札（関数）'!D48,"*キャラ*")),1,
VALUE(VLOOKUP("*"&amp;D48&amp;"*",商品マスタ!D:H,5,FALSE))),"")</f>
        <v/>
      </c>
      <c r="O48" s="45">
        <f ca="1">IF(LEN(クライアント抽出!V48)-LEN(SUBSTITUTE(クライアント抽出!V48,",",""))&lt;&gt;1,
IF(AND(クライアント抽出!P48&lt;&gt;"",クライアント抽出!S48&lt;&gt;""),
IF(クライアント抽出!P48&lt;&gt;クライアント抽出!S48,1,0),0),0)</f>
        <v>0</v>
      </c>
      <c r="P48" s="45">
        <f t="shared" si="0"/>
        <v>0</v>
      </c>
      <c r="Q48" s="45" t="b">
        <f t="shared" si="1"/>
        <v>0</v>
      </c>
      <c r="R48" s="122" t="str">
        <f t="array" aca="1" ref="R48" ca="1">IFERROR(SMALL(IF(P$1:P$311&lt;&gt;0,P$1:P$311),ROW(A48)),"")</f>
        <v/>
      </c>
      <c r="S48" s="122" t="str">
        <f t="array" aca="1" ref="S48" ca="1">IF($R48&lt;&gt;"",
SUBSTITUTE(SUBSTITUTE(INDIRECT("C"&amp;$R48&amp;"")," 週3ｺｰｽ","")," 週5ｺｰｽ",""),"")</f>
        <v/>
      </c>
      <c r="T48" s="122" t="str">
        <f t="array" aca="1" ref="T48" ca="1">IF(IF($R48&lt;&gt;"",
INDIRECT(""&amp;IF(COLUMN(D48)&lt;=26,CHAR(COLUMN(D48)+64),CHAR(INT((COLUMN(D48)-1)/26)+64)&amp;CHAR(MOD(COLUMN(D48)-1,26)+65))&amp;$R48&amp;""),"")=0,"",
IF($R48&lt;&gt;"",
INDIRECT(""&amp;IF(COLUMN(D48)&lt;=26,CHAR(COLUMN(D48)+64),CHAR(INT((COLUMN(D48)-1)/26)+64)&amp;CHAR(MOD(COLUMN(D48)-1,26)+65))&amp;$R48&amp;""),""))</f>
        <v/>
      </c>
      <c r="U48" s="185" t="str">
        <f t="array" aca="1" ref="U48" ca="1">IF($R48&lt;&gt;"",
INDIRECT("F"&amp;$R48&amp;""),"")</f>
        <v/>
      </c>
      <c r="V48" s="122" t="str">
        <f t="array" aca="1" ref="V48" ca="1">IF($R48&lt;&gt;"",
INDIRECT("G"&amp;$R48&amp;""),"")</f>
        <v/>
      </c>
      <c r="W48" s="122" t="str" cm="1">
        <f t="array" aca="1" ref="W48" ca="1">IF($R48&lt;&gt;"",
IF(AND(COUNTIF(INDIRECT("B"&amp;R48&amp;""),"*雙葉*"),COUNTIF($B$71:$B$210,"*雙葉*")&gt;=1),
IF(OR(COUNTIF(INDIRECT("B"&amp;R48&amp;""),"*雙葉先生*"),COUNTIF(INDIRECT("B"&amp;R48-1&amp;""),"*雙葉*")),INDIRECT("H"&amp;R48&amp;""),INDIRECT("H"&amp;R48&amp;"")+INDIRECT("H"&amp;MATCH("雙葉'",INDIRECT("B"&amp;R48+3&amp;":B210"),0)+2+R48&amp;"")),
IF(AND(LEFT(INDIRECT("B"&amp;R48&amp;""),2)="博多",COUNTIF(B:B,"*博多*")&gt;=2),
INDIRECT("H"&amp;R48&amp;"")+IFERROR(INDIRECT("H"&amp;MATCH("*"&amp;INDIRECT("B"&amp;R48&amp;"")&amp;"*",INDIRECT("B"&amp;R48+1&amp;":B210"),0)+R48&amp;""),0),
IF(AND(LEFT(INDIRECT("B"&amp;R48&amp;""),3)="奈良屋",COUNTIF(B:B,"*奈良屋*")&gt;=2),
INDIRECT("H"&amp;R48&amp;"")
+INDIRECT("H"&amp;MATCH("*"&amp;INDIRECT("B"&amp;R48&amp;"")&amp;"*",INDIRECT("B"&amp;R48+1&amp;":B210"),0)+R48&amp;"")
+INDIRECT("H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
+INDIRECT("H"&amp;MATCH("*"&amp;INDIRECT("B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&amp;"*",INDIRECT("B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+1&amp;":B210"),0)+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,
INDIRECT("H"&amp;R48&amp;"")))),"")</f>
        <v/>
      </c>
      <c r="X48" s="122" t="str">
        <f t="array" aca="1" ref="X48" ca="1">IF($R48&lt;&gt;"",
INDIRECT(""&amp;IF(COLUMN(I48)&lt;=26,CHAR(COLUMN(I48)+64),CHAR(INT((COLUMN(I48)-1)/26)+64)&amp;CHAR(MOD(COLUMN(I48)-1,26)+65))&amp;$R48&amp;""),"")</f>
        <v/>
      </c>
      <c r="Y48" s="122" t="str">
        <f t="array" aca="1" ref="Y48" ca="1">IF($R48&lt;&gt;"",
INDIRECT(""&amp;IF(COLUMN(J48)&lt;=26,CHAR(COLUMN(J48)+64),CHAR(INT((COLUMN(J48)-1)/26)+64)&amp;CHAR(MOD(COLUMN(J48)-1,26)+65))&amp;$R48&amp;""),"")</f>
        <v/>
      </c>
      <c r="Z48" s="122" t="str">
        <f t="shared" ca="1" si="2"/>
        <v/>
      </c>
      <c r="AA48" s="122" t="str">
        <f t="shared" ca="1" si="3"/>
        <v/>
      </c>
      <c r="AB48" s="122" t="str">
        <f t="array" aca="1" ref="AB48" ca="1">IF($R48&lt;&gt;"",
IF(AND(COUNTIF(INDIRECT("B"&amp;R48&amp;""),"*雙葉*"),COUNTIF(INDIRECT("B"&amp;R48&amp;""),"&lt;&gt;*先生*"),COUNTIF(B:B,"*雙葉*")&gt;=2),
INDIRECT("M"&amp;R48&amp;"")+INDIRECT("M"&amp;MATCH("雙葉'",INDIRECT("B"&amp;R48+1&amp;":B210"),0)+R48&amp;""),
IF(AND(LEFT(INDIRECT("B"&amp;R48&amp;""),2)="博多",COUNTIF(B:B,"*博多*")&gt;=2),
INDIRECT("M"&amp;R48&amp;"")+INDIRECT("M"&amp;MATCH("*"&amp;INDIRECT("B"&amp;R48&amp;"")&amp;"*",INDIRECT("B"&amp;R48+1&amp;":B210"),0)+R48&amp;""),
IF(AND(LEFT(INDIRECT("B"&amp;R48&amp;""),3)="奈良屋",COUNTIF(B:B,"*奈良屋*")&gt;=2),
INDIRECT("M"&amp;R48&amp;"")+INDIRECT("M"&amp;MATCH("*"&amp;INDIRECT("B"&amp;R48&amp;"")&amp;"*",INDIRECT("B"&amp;R48+1&amp;":B210"),0)+R48&amp;"")
+INDIRECT("M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,
INDIRECT("M"&amp;R48&amp;"")))),"")</f>
        <v/>
      </c>
      <c r="AC48" s="122" t="str">
        <f t="shared" ca="1" si="4"/>
        <v/>
      </c>
      <c r="AD48" s="176" t="str">
        <f t="shared" ca="1" si="5"/>
        <v/>
      </c>
      <c r="AE48" s="176" t="str">
        <f t="shared" ca="1" si="6"/>
        <v/>
      </c>
      <c r="AF48" s="176" t="str">
        <f t="shared" ca="1" si="7"/>
        <v/>
      </c>
      <c r="AG48" s="176" t="str">
        <f t="shared" ca="1" si="8"/>
        <v/>
      </c>
      <c r="AH48" s="183" t="str">
        <f t="shared" ca="1" si="9"/>
        <v/>
      </c>
      <c r="AI48" s="176" t="str">
        <f t="shared" ca="1" si="10"/>
        <v/>
      </c>
      <c r="AJ48" s="176" t="str">
        <f t="shared" ca="1" si="11"/>
        <v/>
      </c>
      <c r="AK48" s="176" t="str">
        <f t="shared" ca="1" si="12"/>
        <v/>
      </c>
      <c r="AL48" s="176" t="str">
        <f t="shared" ca="1" si="13"/>
        <v/>
      </c>
      <c r="AM48" s="176" t="str">
        <f t="shared" ca="1" si="14"/>
        <v/>
      </c>
      <c r="AN48" s="176" t="str">
        <f t="shared" ca="1" si="15"/>
        <v/>
      </c>
      <c r="AO48" s="176" t="str">
        <f t="shared" ca="1" si="16"/>
        <v/>
      </c>
      <c r="AP48" s="176" t="str">
        <f t="shared" ca="1" si="17"/>
        <v/>
      </c>
      <c r="AU48" s="176" t="str">
        <f t="shared" ca="1" si="18"/>
        <v/>
      </c>
      <c r="AW48" s="106" t="str">
        <f ca="1">IFERROR(IF(AF48&lt;&gt;"",OFFSET('数出表_Excel（アレルギー入力）'!$A$1,MATCH(AF48,'数出表_Excel（アレルギー入力）'!A:A,0)-2,0),""),"")</f>
        <v/>
      </c>
      <c r="AX48" s="106" t="str">
        <f ca="1">IF(AW48&lt;&gt;"",
OFFSET(得意先マスタ!$A$1,MATCH(AW48,得意先マスタ!A:A,0)-1,24),"")</f>
        <v/>
      </c>
      <c r="AY48" s="57">
        <f t="shared" ca="1" si="21"/>
        <v>0</v>
      </c>
      <c r="AZ48" s="57">
        <f t="shared" ca="1" si="29"/>
        <v>0</v>
      </c>
      <c r="BA48" s="57">
        <f t="shared" ca="1" si="30"/>
        <v>0</v>
      </c>
      <c r="BB48" s="176">
        <f t="shared" ca="1" si="24"/>
        <v>0</v>
      </c>
    </row>
    <row r="49" spans="1:54" ht="21" customHeight="1">
      <c r="A49" s="101">
        <f t="shared" si="31"/>
        <v>103</v>
      </c>
      <c r="B49" s="45" t="str">
        <f t="shared" si="32"/>
        <v/>
      </c>
      <c r="C49" s="45" t="str">
        <f>IF(OR(クライアント抽出!B49&lt;&gt;"",クライアント抽出!E49&lt;&gt;""),クライアント抽出!A49,"")</f>
        <v/>
      </c>
      <c r="D49" s="45" t="str">
        <f t="array" aca="1" ref="D49" ca="1">IF(C49&lt;&gt;"",INDIRECT("クライアント抽出!"&amp;E49&amp;MATCH(C49,クライアント抽出!A:A,0)&amp;""),"")</f>
        <v/>
      </c>
      <c r="E49" s="45" t="str">
        <f>IF(H49&lt;&gt;0,
IFERROR(
SUBSTITUTE(ADDRESS(1,
MATCH(VALUE(H49),クライアント抽出!A49:G49,0)+8,4),"1",""),
""),
IFERROR(
SUBSTITUTE(ADDRESS(1,
MATCH(VALUE(I49),クライアント抽出!A49:G49,0)+8,4),"1",""),
""))</f>
        <v/>
      </c>
      <c r="F49" s="184" t="str">
        <f ca="1">IF(D49&lt;&gt;"",
IF(COUNTIF(C49,"*雙葉*"),
IF(ROUND((H49-M49)
/IF(COUNTIF(D49,"*キャラ*"),
VLOOKUP("*キャラ*",商品マスタ!$D:$E,2,FALSE),
IF(COUNTIF(D49,"*赤*"),
VLOOKUP("*赤*",商品マスタ!$D:$E,2,FALSE),
VLOOKUP("*"&amp;D49&amp;"*",商品マスタ!$D:$E,2,FALSE))),0)&lt;=0,1,
ROUND((H49-M49)
/IF(COUNTIF(D49,"*キャラ*"),
VLOOKUP("*キャラ*",商品マスタ!$D:$E,2,FALSE),
IF(COUNTIF(D49,"*赤*"),
VLOOKUP("*赤*",商品マスタ!$D:$E,2,FALSE),
VLOOKUP("*"&amp;D49&amp;"*",商品マスタ!$D:$E,2,FALSE))),0)),
IF(OR(COUNTIF(D49,"*キャラ*"),COUNTIF(D49,"*赤*")),"",
IF(VLOOKUP("*"&amp;D49&amp;"*",商品マスタ!$D:$E,2,FALSE)=0,"",
IF(ROUND((H49-M49)
/VLOOKUP("*"&amp;D49&amp;"*",商品マスタ!$D:$E,2,FALSE),0)&lt;=0,1,
ROUND((H49-M49)
/VLOOKUP("*"&amp;D49&amp;"*",商品マスタ!$D:$E,2,FALSE),0))))),"")</f>
        <v/>
      </c>
      <c r="G49" s="45" t="str">
        <f ca="1">IF(F49&lt;&gt;"",
IF(VALUE(H49-M49)&gt;VALUE(IF(COUNTIF(D49,"*キャラ*"),
VLOOKUP("*キャラ*",商品マスタ!$D:$E,2,FALSE),
IF(COUNTIF(D49,"*赤*"),
VLOOKUP("*赤*",商品マスタ!$D:$E,2,FALSE),
VLOOKUP("*"&amp;D49&amp;"*",商品マスタ!$D:$E,2,FALSE)))*F49),
"+"&amp;(H49-M49)-IF(COUNTIF(D49,"*キャラ*"),
VLOOKUP("*キャラ*",商品マスタ!$D:$E,2,FALSE),
IF(COUNTIF(D49,"*赤*"),
VLOOKUP("*赤*",商品マスタ!$D:$E,2,FALSE),
VLOOKUP("*"&amp;D49&amp;"*",商品マスタ!$D:$E,2,FALSE)))*F49,
(H49-M49)-IF(COUNTIF(D49,"*キャラ*"),
VLOOKUP("*キャラ*",商品マスタ!$D:$E,2,FALSE),
IF(COUNTIF(D49,"*赤*"),
VLOOKUP("*赤*",商品マスタ!$D:$E,2,FALSE),
VLOOKUP("*"&amp;D49&amp;"*",商品マスタ!$D:$E,2,FALSE)))*F49),"")</f>
        <v/>
      </c>
      <c r="H49" s="99" t="str">
        <f>IF(C49&lt;&gt;"",
クライアント抽出!B49,"")</f>
        <v/>
      </c>
      <c r="I49" s="45" t="str">
        <f t="array" aca="1" ref="I49" ca="1">IF(C49&lt;&gt;"",
IF(O49=1,
IF(SUMPRODUCT(COUNTIF(クライアント抽出!P49:U49,クライアント抽出!P49:U49))&gt;COUNTA(クライアント抽出!P49:U49),
IFERROR(INDIRECT("数出表_Excel!"&amp;INDEX(_xlfn.UNIQUE(_xlfn._xlws.FILTER(クライアント抽出!P49:U49,COUNTIF(クライアント抽出!P49:U49,クライアント抽出!P49:U49)&gt;1)),1)&amp;L49&amp;""),
クライアント抽出!E49),0),クライアント抽出!E49),"")</f>
        <v/>
      </c>
      <c r="J49" s="45" t="str">
        <f>IF(C49&lt;&gt;"",
VLOOKUP(
"*"&amp;LEFT(IF(COUNTIF(D49,"*学食*"),"キャラ弁（学食）",
IF(COUNTIF(D49,"*赤*"),"赤",
IF(COUNTIF(D49,"*キャラ弁当*"),"キャラ弁当",D49))),4)&amp;"*",注文弁当の抽出!$F$1:$G$15,2,FALSE),"")</f>
        <v/>
      </c>
      <c r="K49" s="45" t="str">
        <f ca="1">IF(クライアント抽出!P49&lt;&gt;"",SUBSTITUTE(ADDRESS(1,(CODE(クライアント抽出!P49)-64)*2-1,4),"1",""),"")</f>
        <v/>
      </c>
      <c r="L49" s="45" t="str">
        <f>IF(C49&lt;&gt;"",クライアント抽出!I49,"")</f>
        <v/>
      </c>
      <c r="M49" s="45">
        <f t="array" aca="1" ref="M49" ca="1">IF(C49&lt;&gt;"",
IF(K49&lt;&gt;"",INDIRECT("'数出表_Excel（アレルギー入力）'!"&amp;K49&amp;L49-1&amp;""),),)</f>
        <v>0</v>
      </c>
      <c r="N49" s="45" t="str">
        <f>IF(C49&lt;&gt;"",IF(OR(COUNTIF('盛付札（関数）'!D49,"*赤*"),COUNTIF('盛付札（関数）'!D49,"*キャラ*")),1,
VALUE(VLOOKUP("*"&amp;D49&amp;"*",商品マスタ!D:H,5,FALSE))),"")</f>
        <v/>
      </c>
      <c r="O49" s="45">
        <f ca="1">IF(LEN(クライアント抽出!V49)-LEN(SUBSTITUTE(クライアント抽出!V49,",",""))&lt;&gt;1,
IF(AND(クライアント抽出!P49&lt;&gt;"",クライアント抽出!S49&lt;&gt;""),
IF(クライアント抽出!P49&lt;&gt;クライアント抽出!S49,1,0),0),0)</f>
        <v>0</v>
      </c>
      <c r="P49" s="45">
        <f t="shared" si="0"/>
        <v>0</v>
      </c>
      <c r="Q49" s="45" t="b">
        <f t="shared" si="1"/>
        <v>0</v>
      </c>
      <c r="R49" s="122" t="str">
        <f t="array" aca="1" ref="R49" ca="1">IFERROR(SMALL(IF(P$1:P$311&lt;&gt;0,P$1:P$311),ROW(A49)),"")</f>
        <v/>
      </c>
      <c r="S49" s="122" t="str">
        <f t="array" aca="1" ref="S49" ca="1">IF($R49&lt;&gt;"",
SUBSTITUTE(SUBSTITUTE(INDIRECT("C"&amp;$R49&amp;"")," 週3ｺｰｽ","")," 週5ｺｰｽ",""),"")</f>
        <v/>
      </c>
      <c r="T49" s="122" t="str">
        <f t="array" aca="1" ref="T49" ca="1">IF(IF($R49&lt;&gt;"",
INDIRECT(""&amp;IF(COLUMN(D49)&lt;=26,CHAR(COLUMN(D49)+64),CHAR(INT((COLUMN(D49)-1)/26)+64)&amp;CHAR(MOD(COLUMN(D49)-1,26)+65))&amp;$R49&amp;""),"")=0,"",
IF($R49&lt;&gt;"",
INDIRECT(""&amp;IF(COLUMN(D49)&lt;=26,CHAR(COLUMN(D49)+64),CHAR(INT((COLUMN(D49)-1)/26)+64)&amp;CHAR(MOD(COLUMN(D49)-1,26)+65))&amp;$R49&amp;""),""))</f>
        <v/>
      </c>
      <c r="U49" s="185" t="str">
        <f t="array" aca="1" ref="U49" ca="1">IF($R49&lt;&gt;"",
INDIRECT("F"&amp;$R49&amp;""),"")</f>
        <v/>
      </c>
      <c r="V49" s="122" t="str">
        <f t="array" aca="1" ref="V49" ca="1">IF($R49&lt;&gt;"",
INDIRECT("G"&amp;$R49&amp;""),"")</f>
        <v/>
      </c>
      <c r="W49" s="122" t="str" cm="1">
        <f t="array" aca="1" ref="W49" ca="1">IF($R49&lt;&gt;"",
IF(AND(COUNTIF(INDIRECT("B"&amp;R49&amp;""),"*雙葉*"),COUNTIF($B$71:$B$210,"*雙葉*")&gt;=1),
IF(OR(COUNTIF(INDIRECT("B"&amp;R49&amp;""),"*雙葉先生*"),COUNTIF(INDIRECT("B"&amp;R49-1&amp;""),"*雙葉*")),INDIRECT("H"&amp;R49&amp;""),INDIRECT("H"&amp;R49&amp;"")+INDIRECT("H"&amp;MATCH("雙葉'",INDIRECT("B"&amp;R49+3&amp;":B210"),0)+2+R49&amp;"")),
IF(AND(LEFT(INDIRECT("B"&amp;R49&amp;""),2)="博多",COUNTIF(B:B,"*博多*")&gt;=2),
INDIRECT("H"&amp;R49&amp;"")+IFERROR(INDIRECT("H"&amp;MATCH("*"&amp;INDIRECT("B"&amp;R49&amp;"")&amp;"*",INDIRECT("B"&amp;R49+1&amp;":B210"),0)+R49&amp;""),0),
IF(AND(LEFT(INDIRECT("B"&amp;R49&amp;""),3)="奈良屋",COUNTIF(B:B,"*奈良屋*")&gt;=2),
INDIRECT("H"&amp;R49&amp;"")
+INDIRECT("H"&amp;MATCH("*"&amp;INDIRECT("B"&amp;R49&amp;"")&amp;"*",INDIRECT("B"&amp;R49+1&amp;":B210"),0)+R49&amp;"")
+INDIRECT("H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
+INDIRECT("H"&amp;MATCH("*"&amp;INDIRECT("B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&amp;"*",INDIRECT("B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+1&amp;":B210"),0)+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,
INDIRECT("H"&amp;R49&amp;"")))),"")</f>
        <v/>
      </c>
      <c r="X49" s="122" t="str">
        <f t="array" aca="1" ref="X49" ca="1">IF($R49&lt;&gt;"",
INDIRECT(""&amp;IF(COLUMN(I49)&lt;=26,CHAR(COLUMN(I49)+64),CHAR(INT((COLUMN(I49)-1)/26)+64)&amp;CHAR(MOD(COLUMN(I49)-1,26)+65))&amp;$R49&amp;""),"")</f>
        <v/>
      </c>
      <c r="Y49" s="122" t="str">
        <f t="array" aca="1" ref="Y49" ca="1">IF($R49&lt;&gt;"",
INDIRECT(""&amp;IF(COLUMN(J49)&lt;=26,CHAR(COLUMN(J49)+64),CHAR(INT((COLUMN(J49)-1)/26)+64)&amp;CHAR(MOD(COLUMN(J49)-1,26)+65))&amp;$R49&amp;""),"")</f>
        <v/>
      </c>
      <c r="Z49" s="122" t="str">
        <f t="shared" ca="1" si="2"/>
        <v/>
      </c>
      <c r="AA49" s="122" t="str">
        <f t="shared" ca="1" si="3"/>
        <v/>
      </c>
      <c r="AB49" s="122" t="str">
        <f t="array" aca="1" ref="AB49" ca="1">IF($R49&lt;&gt;"",
IF(AND(COUNTIF(INDIRECT("B"&amp;R49&amp;""),"*雙葉*"),COUNTIF(INDIRECT("B"&amp;R49&amp;""),"&lt;&gt;*先生*"),COUNTIF(B:B,"*雙葉*")&gt;=2),
INDIRECT("M"&amp;R49&amp;"")+INDIRECT("M"&amp;MATCH("雙葉'",INDIRECT("B"&amp;R49+1&amp;":B210"),0)+R49&amp;""),
IF(AND(LEFT(INDIRECT("B"&amp;R49&amp;""),2)="博多",COUNTIF(B:B,"*博多*")&gt;=2),
INDIRECT("M"&amp;R49&amp;"")+INDIRECT("M"&amp;MATCH("*"&amp;INDIRECT("B"&amp;R49&amp;"")&amp;"*",INDIRECT("B"&amp;R49+1&amp;":B210"),0)+R49&amp;""),
IF(AND(LEFT(INDIRECT("B"&amp;R49&amp;""),3)="奈良屋",COUNTIF(B:B,"*奈良屋*")&gt;=2),
INDIRECT("M"&amp;R49&amp;"")+INDIRECT("M"&amp;MATCH("*"&amp;INDIRECT("B"&amp;R49&amp;"")&amp;"*",INDIRECT("B"&amp;R49+1&amp;":B210"),0)+R49&amp;"")
+INDIRECT("M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,
INDIRECT("M"&amp;R49&amp;"")))),"")</f>
        <v/>
      </c>
      <c r="AC49" s="122" t="str">
        <f t="shared" ca="1" si="4"/>
        <v/>
      </c>
      <c r="AD49" s="176" t="str">
        <f t="shared" ca="1" si="5"/>
        <v/>
      </c>
      <c r="AE49" s="176" t="str">
        <f t="shared" ca="1" si="6"/>
        <v/>
      </c>
      <c r="AF49" s="176" t="str">
        <f t="shared" ca="1" si="7"/>
        <v/>
      </c>
      <c r="AG49" s="176" t="str">
        <f t="shared" ca="1" si="8"/>
        <v/>
      </c>
      <c r="AH49" s="183" t="str">
        <f t="shared" ca="1" si="9"/>
        <v/>
      </c>
      <c r="AI49" s="176" t="str">
        <f t="shared" ca="1" si="10"/>
        <v/>
      </c>
      <c r="AJ49" s="176" t="str">
        <f t="shared" ca="1" si="11"/>
        <v/>
      </c>
      <c r="AK49" s="176" t="str">
        <f t="shared" ca="1" si="12"/>
        <v/>
      </c>
      <c r="AL49" s="176" t="str">
        <f t="shared" ca="1" si="13"/>
        <v/>
      </c>
      <c r="AM49" s="176" t="str">
        <f t="shared" ca="1" si="14"/>
        <v/>
      </c>
      <c r="AN49" s="176" t="str">
        <f t="shared" ca="1" si="15"/>
        <v/>
      </c>
      <c r="AO49" s="176" t="str">
        <f t="shared" ca="1" si="16"/>
        <v/>
      </c>
      <c r="AP49" s="176" t="str">
        <f t="shared" ca="1" si="17"/>
        <v/>
      </c>
      <c r="AU49" s="176" t="str">
        <f t="shared" ca="1" si="18"/>
        <v/>
      </c>
      <c r="AW49" s="106" t="str">
        <f ca="1">IFERROR(IF(AF49&lt;&gt;"",OFFSET('数出表_Excel（アレルギー入力）'!$A$1,MATCH(AF49,'数出表_Excel（アレルギー入力）'!A:A,0)-2,0),""),"")</f>
        <v/>
      </c>
      <c r="AX49" s="106" t="str">
        <f ca="1">IF(AW49&lt;&gt;"",
OFFSET(得意先マスタ!$A$1,MATCH(AW49,得意先マスタ!A:A,0)-1,24),"")</f>
        <v/>
      </c>
      <c r="AY49" s="57">
        <f t="shared" ca="1" si="21"/>
        <v>0</v>
      </c>
      <c r="AZ49" s="57">
        <f t="shared" ca="1" si="29"/>
        <v>0</v>
      </c>
      <c r="BA49" s="57">
        <f t="shared" ca="1" si="30"/>
        <v>0</v>
      </c>
      <c r="BB49" s="176">
        <f t="shared" ca="1" si="24"/>
        <v>0</v>
      </c>
    </row>
    <row r="50" spans="1:54" ht="18" customHeight="1">
      <c r="A50" s="101">
        <f t="shared" si="31"/>
        <v>105</v>
      </c>
      <c r="B50" s="45" t="str">
        <f t="shared" si="32"/>
        <v/>
      </c>
      <c r="C50" s="45" t="str">
        <f>IF(OR(クライアント抽出!B50&lt;&gt;"",クライアント抽出!E50&lt;&gt;""),クライアント抽出!A50,"")</f>
        <v/>
      </c>
      <c r="D50" s="45" t="str">
        <f t="array" aca="1" ref="D50" ca="1">IF(C50&lt;&gt;"",INDIRECT("クライアント抽出!"&amp;E50&amp;MATCH(C50,クライアント抽出!A:A,0)&amp;""),"")</f>
        <v/>
      </c>
      <c r="E50" s="45" t="str">
        <f>IF(H50&lt;&gt;0,
IFERROR(
SUBSTITUTE(ADDRESS(1,
MATCH(VALUE(H50),クライアント抽出!A50:G50,0)+8,4),"1",""),
""),
IFERROR(
SUBSTITUTE(ADDRESS(1,
MATCH(VALUE(I50),クライアント抽出!A50:G50,0)+8,4),"1",""),
""))</f>
        <v/>
      </c>
      <c r="F50" s="184" t="str">
        <f ca="1">IF(D50&lt;&gt;"",
IF(COUNTIF(C50,"*雙葉*"),
IF(ROUND((H50-M50)
/IF(COUNTIF(D50,"*キャラ*"),
VLOOKUP("*キャラ*",商品マスタ!$D:$E,2,FALSE),
IF(COUNTIF(D50,"*赤*"),
VLOOKUP("*赤*",商品マスタ!$D:$E,2,FALSE),
VLOOKUP("*"&amp;D50&amp;"*",商品マスタ!$D:$E,2,FALSE))),0)&lt;=0,1,
ROUND((H50-M50)
/IF(COUNTIF(D50,"*キャラ*"),
VLOOKUP("*キャラ*",商品マスタ!$D:$E,2,FALSE),
IF(COUNTIF(D50,"*赤*"),
VLOOKUP("*赤*",商品マスタ!$D:$E,2,FALSE),
VLOOKUP("*"&amp;D50&amp;"*",商品マスタ!$D:$E,2,FALSE))),0)),
IF(OR(COUNTIF(D50,"*キャラ*"),COUNTIF(D50,"*赤*")),"",
IF(VLOOKUP("*"&amp;D50&amp;"*",商品マスタ!$D:$E,2,FALSE)=0,"",
IF(ROUND((H50-M50)
/VLOOKUP("*"&amp;D50&amp;"*",商品マスタ!$D:$E,2,FALSE),0)&lt;=0,1,
ROUND((H50-M50)
/VLOOKUP("*"&amp;D50&amp;"*",商品マスタ!$D:$E,2,FALSE),0))))),"")</f>
        <v/>
      </c>
      <c r="G50" s="45" t="str">
        <f ca="1">IF(F50&lt;&gt;"",
IF(VALUE(H50-M50)&gt;VALUE(IF(COUNTIF(D50,"*キャラ*"),
VLOOKUP("*キャラ*",商品マスタ!$D:$E,2,FALSE),
IF(COUNTIF(D50,"*赤*"),
VLOOKUP("*赤*",商品マスタ!$D:$E,2,FALSE),
VLOOKUP("*"&amp;D50&amp;"*",商品マスタ!$D:$E,2,FALSE)))*F50),
"+"&amp;(H50-M50)-IF(COUNTIF(D50,"*キャラ*"),
VLOOKUP("*キャラ*",商品マスタ!$D:$E,2,FALSE),
IF(COUNTIF(D50,"*赤*"),
VLOOKUP("*赤*",商品マスタ!$D:$E,2,FALSE),
VLOOKUP("*"&amp;D50&amp;"*",商品マスタ!$D:$E,2,FALSE)))*F50,
(H50-M50)-IF(COUNTIF(D50,"*キャラ*"),
VLOOKUP("*キャラ*",商品マスタ!$D:$E,2,FALSE),
IF(COUNTIF(D50,"*赤*"),
VLOOKUP("*赤*",商品マスタ!$D:$E,2,FALSE),
VLOOKUP("*"&amp;D50&amp;"*",商品マスタ!$D:$E,2,FALSE)))*F50),"")</f>
        <v/>
      </c>
      <c r="H50" s="99" t="str">
        <f>IF(C50&lt;&gt;"",
クライアント抽出!B50,"")</f>
        <v/>
      </c>
      <c r="I50" s="45" t="str">
        <f t="array" aca="1" ref="I50" ca="1">IF(C50&lt;&gt;"",
IF(O50=1,
IF(SUMPRODUCT(COUNTIF(クライアント抽出!P50:U50,クライアント抽出!P50:U50))&gt;COUNTA(クライアント抽出!P50:U50),
IFERROR(INDIRECT("数出表_Excel!"&amp;INDEX(_xlfn.UNIQUE(_xlfn._xlws.FILTER(クライアント抽出!P50:U50,COUNTIF(クライアント抽出!P50:U50,クライアント抽出!P50:U50)&gt;1)),1)&amp;L50&amp;""),
クライアント抽出!E50),0),クライアント抽出!E50),"")</f>
        <v/>
      </c>
      <c r="J50" s="45" t="str">
        <f>IF(C50&lt;&gt;"",
VLOOKUP(
"*"&amp;LEFT(IF(COUNTIF(D50,"*学食*"),"キャラ弁（学食）",
IF(COUNTIF(D50,"*赤*"),"赤",
IF(COUNTIF(D50,"*キャラ弁当*"),"キャラ弁当",D50))),4)&amp;"*",注文弁当の抽出!$F$1:$G$15,2,FALSE),"")</f>
        <v/>
      </c>
      <c r="K50" s="45" t="str">
        <f ca="1">IF(クライアント抽出!P50&lt;&gt;"",SUBSTITUTE(ADDRESS(1,(CODE(クライアント抽出!P50)-64)*2-1,4),"1",""),"")</f>
        <v/>
      </c>
      <c r="L50" s="45" t="str">
        <f>IF(C50&lt;&gt;"",クライアント抽出!I50,"")</f>
        <v/>
      </c>
      <c r="M50" s="45">
        <f t="array" aca="1" ref="M50" ca="1">IF(C50&lt;&gt;"",
IF(K50&lt;&gt;"",INDIRECT("'数出表_Excel（アレルギー入力）'!"&amp;K50&amp;L50-1&amp;""),),)</f>
        <v>0</v>
      </c>
      <c r="N50" s="45" t="str">
        <f>IF(C50&lt;&gt;"",IF(OR(COUNTIF('盛付札（関数）'!D50,"*赤*"),COUNTIF('盛付札（関数）'!D50,"*キャラ*")),1,
VALUE(VLOOKUP("*"&amp;D50&amp;"*",商品マスタ!D:H,5,FALSE))),"")</f>
        <v/>
      </c>
      <c r="O50" s="45">
        <f ca="1">IF(LEN(クライアント抽出!V50)-LEN(SUBSTITUTE(クライアント抽出!V50,",",""))&lt;&gt;1,
IF(AND(クライアント抽出!P50&lt;&gt;"",クライアント抽出!S50&lt;&gt;""),
IF(クライアント抽出!P50&lt;&gt;クライアント抽出!S50,1,0),0),0)</f>
        <v>0</v>
      </c>
      <c r="P50" s="45">
        <f t="shared" si="0"/>
        <v>0</v>
      </c>
      <c r="Q50" s="45" t="b">
        <f t="shared" si="1"/>
        <v>0</v>
      </c>
      <c r="R50" s="122" t="str">
        <f t="array" aca="1" ref="R50" ca="1">IFERROR(SMALL(IF(P$1:P$311&lt;&gt;0,P$1:P$311),ROW(A50)),"")</f>
        <v/>
      </c>
      <c r="S50" s="122" t="str">
        <f t="array" aca="1" ref="S50" ca="1">IF($R50&lt;&gt;"",
SUBSTITUTE(SUBSTITUTE(INDIRECT("C"&amp;$R50&amp;"")," 週3ｺｰｽ","")," 週5ｺｰｽ",""),"")</f>
        <v/>
      </c>
      <c r="T50" s="122" t="str">
        <f t="array" aca="1" ref="T50" ca="1">IF(IF($R50&lt;&gt;"",
INDIRECT(""&amp;IF(COLUMN(D50)&lt;=26,CHAR(COLUMN(D50)+64),CHAR(INT((COLUMN(D50)-1)/26)+64)&amp;CHAR(MOD(COLUMN(D50)-1,26)+65))&amp;$R50&amp;""),"")=0,"",
IF($R50&lt;&gt;"",
INDIRECT(""&amp;IF(COLUMN(D50)&lt;=26,CHAR(COLUMN(D50)+64),CHAR(INT((COLUMN(D50)-1)/26)+64)&amp;CHAR(MOD(COLUMN(D50)-1,26)+65))&amp;$R50&amp;""),""))</f>
        <v/>
      </c>
      <c r="U50" s="185" t="str">
        <f t="array" aca="1" ref="U50" ca="1">IF($R50&lt;&gt;"",
INDIRECT("F"&amp;$R50&amp;""),"")</f>
        <v/>
      </c>
      <c r="V50" s="122" t="str">
        <f t="array" aca="1" ref="V50" ca="1">IF($R50&lt;&gt;"",
INDIRECT("G"&amp;$R50&amp;""),"")</f>
        <v/>
      </c>
      <c r="W50" s="122" t="str" cm="1">
        <f t="array" aca="1" ref="W50" ca="1">IF($R50&lt;&gt;"",
IF(AND(COUNTIF(INDIRECT("B"&amp;R50&amp;""),"*雙葉*"),COUNTIF($B$71:$B$210,"*雙葉*")&gt;=1),
IF(OR(COUNTIF(INDIRECT("B"&amp;R50&amp;""),"*雙葉先生*"),COUNTIF(INDIRECT("B"&amp;R50-1&amp;""),"*雙葉*")),INDIRECT("H"&amp;R50&amp;""),INDIRECT("H"&amp;R50&amp;"")+INDIRECT("H"&amp;MATCH("雙葉'",INDIRECT("B"&amp;R50+3&amp;":B210"),0)+2+R50&amp;"")),
IF(AND(LEFT(INDIRECT("B"&amp;R50&amp;""),2)="博多",COUNTIF(B:B,"*博多*")&gt;=2),
INDIRECT("H"&amp;R50&amp;"")+IFERROR(INDIRECT("H"&amp;MATCH("*"&amp;INDIRECT("B"&amp;R50&amp;"")&amp;"*",INDIRECT("B"&amp;R50+1&amp;":B210"),0)+R50&amp;""),0),
IF(AND(LEFT(INDIRECT("B"&amp;R50&amp;""),3)="奈良屋",COUNTIF(B:B,"*奈良屋*")&gt;=2),
INDIRECT("H"&amp;R50&amp;"")
+INDIRECT("H"&amp;MATCH("*"&amp;INDIRECT("B"&amp;R50&amp;"")&amp;"*",INDIRECT("B"&amp;R50+1&amp;":B210"),0)+R50&amp;"")
+INDIRECT("H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
+INDIRECT("H"&amp;MATCH("*"&amp;INDIRECT("B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&amp;"*",INDIRECT("B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+1&amp;":B210"),0)+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,
INDIRECT("H"&amp;R50&amp;"")))),"")</f>
        <v/>
      </c>
      <c r="X50" s="122" t="str">
        <f t="array" aca="1" ref="X50" ca="1">IF($R50&lt;&gt;"",
INDIRECT(""&amp;IF(COLUMN(I50)&lt;=26,CHAR(COLUMN(I50)+64),CHAR(INT((COLUMN(I50)-1)/26)+64)&amp;CHAR(MOD(COLUMN(I50)-1,26)+65))&amp;$R50&amp;""),"")</f>
        <v/>
      </c>
      <c r="Y50" s="122" t="str">
        <f t="array" aca="1" ref="Y50" ca="1">IF($R50&lt;&gt;"",
INDIRECT(""&amp;IF(COLUMN(J50)&lt;=26,CHAR(COLUMN(J50)+64),CHAR(INT((COLUMN(J50)-1)/26)+64)&amp;CHAR(MOD(COLUMN(J50)-1,26)+65))&amp;$R50&amp;""),"")</f>
        <v/>
      </c>
      <c r="Z50" s="122" t="str">
        <f t="shared" ca="1" si="2"/>
        <v/>
      </c>
      <c r="AA50" s="122" t="str">
        <f t="shared" ca="1" si="3"/>
        <v/>
      </c>
      <c r="AB50" s="122" t="str">
        <f t="array" aca="1" ref="AB50" ca="1">IF($R50&lt;&gt;"",
IF(AND(COUNTIF(INDIRECT("B"&amp;R50&amp;""),"*雙葉*"),COUNTIF(INDIRECT("B"&amp;R50&amp;""),"&lt;&gt;*先生*"),COUNTIF(B:B,"*雙葉*")&gt;=2),
INDIRECT("M"&amp;R50&amp;"")+INDIRECT("M"&amp;MATCH("雙葉'",INDIRECT("B"&amp;R50+1&amp;":B210"),0)+R50&amp;""),
IF(AND(LEFT(INDIRECT("B"&amp;R50&amp;""),2)="博多",COUNTIF(B:B,"*博多*")&gt;=2),
INDIRECT("M"&amp;R50&amp;"")+INDIRECT("M"&amp;MATCH("*"&amp;INDIRECT("B"&amp;R50&amp;"")&amp;"*",INDIRECT("B"&amp;R50+1&amp;":B210"),0)+R50&amp;""),
IF(AND(LEFT(INDIRECT("B"&amp;R50&amp;""),3)="奈良屋",COUNTIF(B:B,"*奈良屋*")&gt;=2),
INDIRECT("M"&amp;R50&amp;"")+INDIRECT("M"&amp;MATCH("*"&amp;INDIRECT("B"&amp;R50&amp;"")&amp;"*",INDIRECT("B"&amp;R50+1&amp;":B210"),0)+R50&amp;"")
+INDIRECT("M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,
INDIRECT("M"&amp;R50&amp;"")))),"")</f>
        <v/>
      </c>
      <c r="AC50" s="122" t="str">
        <f t="shared" ca="1" si="4"/>
        <v/>
      </c>
      <c r="AD50" s="176" t="str">
        <f t="shared" ca="1" si="5"/>
        <v/>
      </c>
      <c r="AE50" s="176" t="str">
        <f t="shared" ca="1" si="6"/>
        <v/>
      </c>
      <c r="AF50" s="176" t="str">
        <f t="shared" ca="1" si="7"/>
        <v/>
      </c>
      <c r="AG50" s="176" t="str">
        <f t="shared" ca="1" si="8"/>
        <v/>
      </c>
      <c r="AH50" s="183" t="str">
        <f t="shared" ca="1" si="9"/>
        <v/>
      </c>
      <c r="AI50" s="176" t="str">
        <f t="shared" ca="1" si="10"/>
        <v/>
      </c>
      <c r="AJ50" s="176" t="str">
        <f t="shared" ca="1" si="11"/>
        <v/>
      </c>
      <c r="AK50" s="176" t="str">
        <f t="shared" ca="1" si="12"/>
        <v/>
      </c>
      <c r="AL50" s="176" t="str">
        <f t="shared" ca="1" si="13"/>
        <v/>
      </c>
      <c r="AM50" s="176" t="str">
        <f t="shared" ca="1" si="14"/>
        <v/>
      </c>
      <c r="AN50" s="176" t="str">
        <f t="shared" ca="1" si="15"/>
        <v/>
      </c>
      <c r="AO50" s="176" t="str">
        <f t="shared" ca="1" si="16"/>
        <v/>
      </c>
      <c r="AP50" s="176" t="str">
        <f t="shared" ca="1" si="17"/>
        <v/>
      </c>
      <c r="AU50" s="176" t="str">
        <f t="shared" ca="1" si="18"/>
        <v/>
      </c>
      <c r="AW50" s="106" t="str">
        <f ca="1">IFERROR(IF(AF50&lt;&gt;"",OFFSET('数出表_Excel（アレルギー入力）'!$A$1,MATCH(AF50,'数出表_Excel（アレルギー入力）'!A:A,0)-2,0),""),"")</f>
        <v/>
      </c>
      <c r="AX50" s="106" t="str">
        <f ca="1">IF(AW50&lt;&gt;"",
OFFSET(得意先マスタ!$A$1,MATCH(AW50,得意先マスタ!A:A,0)-1,24),"")</f>
        <v/>
      </c>
      <c r="AY50" s="57">
        <f t="shared" ca="1" si="21"/>
        <v>0</v>
      </c>
      <c r="AZ50" s="57">
        <f t="shared" ca="1" si="29"/>
        <v>0</v>
      </c>
      <c r="BA50" s="57">
        <f t="shared" ca="1" si="30"/>
        <v>0</v>
      </c>
      <c r="BB50" s="176">
        <f t="shared" ca="1" si="24"/>
        <v>0</v>
      </c>
    </row>
    <row r="51" spans="1:54" ht="18" customHeight="1">
      <c r="A51" s="101">
        <f t="shared" si="31"/>
        <v>107</v>
      </c>
      <c r="B51" s="45" t="str">
        <f t="shared" si="32"/>
        <v/>
      </c>
      <c r="C51" s="45" t="str">
        <f>IF(OR(クライアント抽出!B51&lt;&gt;"",クライアント抽出!E51&lt;&gt;""),クライアント抽出!A51,"")</f>
        <v/>
      </c>
      <c r="D51" s="45" t="str">
        <f t="array" aca="1" ref="D51" ca="1">IF(C51&lt;&gt;"",INDIRECT("クライアント抽出!"&amp;E51&amp;MATCH(C51,クライアント抽出!A:A,0)&amp;""),"")</f>
        <v/>
      </c>
      <c r="E51" s="45" t="str">
        <f>IF(H51&lt;&gt;0,
IFERROR(
SUBSTITUTE(ADDRESS(1,
MATCH(VALUE(H51),クライアント抽出!A51:G51,0)+8,4),"1",""),
""),
IFERROR(
SUBSTITUTE(ADDRESS(1,
MATCH(VALUE(I51),クライアント抽出!A51:G51,0)+8,4),"1",""),
""))</f>
        <v/>
      </c>
      <c r="F51" s="184" t="str">
        <f ca="1">IF(D51&lt;&gt;"",
IF(COUNTIF(C51,"*雙葉*"),
IF(ROUND((H51-M51)
/IF(COUNTIF(D51,"*キャラ*"),
VLOOKUP("*キャラ*",商品マスタ!$D:$E,2,FALSE),
IF(COUNTIF(D51,"*赤*"),
VLOOKUP("*赤*",商品マスタ!$D:$E,2,FALSE),
VLOOKUP("*"&amp;D51&amp;"*",商品マスタ!$D:$E,2,FALSE))),0)&lt;=0,1,
ROUND((H51-M51)
/IF(COUNTIF(D51,"*キャラ*"),
VLOOKUP("*キャラ*",商品マスタ!$D:$E,2,FALSE),
IF(COUNTIF(D51,"*赤*"),
VLOOKUP("*赤*",商品マスタ!$D:$E,2,FALSE),
VLOOKUP("*"&amp;D51&amp;"*",商品マスタ!$D:$E,2,FALSE))),0)),
IF(OR(COUNTIF(D51,"*キャラ*"),COUNTIF(D51,"*赤*")),"",
IF(VLOOKUP("*"&amp;D51&amp;"*",商品マスタ!$D:$E,2,FALSE)=0,"",
IF(ROUND((H51-M51)
/VLOOKUP("*"&amp;D51&amp;"*",商品マスタ!$D:$E,2,FALSE),0)&lt;=0,1,
ROUND((H51-M51)
/VLOOKUP("*"&amp;D51&amp;"*",商品マスタ!$D:$E,2,FALSE),0))))),"")</f>
        <v/>
      </c>
      <c r="G51" s="45" t="str">
        <f ca="1">IF(F51&lt;&gt;"",
IF(VALUE(H51-M51)&gt;VALUE(IF(COUNTIF(D51,"*キャラ*"),
VLOOKUP("*キャラ*",商品マスタ!$D:$E,2,FALSE),
IF(COUNTIF(D51,"*赤*"),
VLOOKUP("*赤*",商品マスタ!$D:$E,2,FALSE),
VLOOKUP("*"&amp;D51&amp;"*",商品マスタ!$D:$E,2,FALSE)))*F51),
"+"&amp;(H51-M51)-IF(COUNTIF(D51,"*キャラ*"),
VLOOKUP("*キャラ*",商品マスタ!$D:$E,2,FALSE),
IF(COUNTIF(D51,"*赤*"),
VLOOKUP("*赤*",商品マスタ!$D:$E,2,FALSE),
VLOOKUP("*"&amp;D51&amp;"*",商品マスタ!$D:$E,2,FALSE)))*F51,
(H51-M51)-IF(COUNTIF(D51,"*キャラ*"),
VLOOKUP("*キャラ*",商品マスタ!$D:$E,2,FALSE),
IF(COUNTIF(D51,"*赤*"),
VLOOKUP("*赤*",商品マスタ!$D:$E,2,FALSE),
VLOOKUP("*"&amp;D51&amp;"*",商品マスタ!$D:$E,2,FALSE)))*F51),"")</f>
        <v/>
      </c>
      <c r="H51" s="99" t="str">
        <f>IF(C51&lt;&gt;"",
クライアント抽出!B51,"")</f>
        <v/>
      </c>
      <c r="I51" s="45" t="str">
        <f t="array" aca="1" ref="I51" ca="1">IF(C51&lt;&gt;"",
IF(O51=1,
IF(SUMPRODUCT(COUNTIF(クライアント抽出!P51:U51,クライアント抽出!P51:U51))&gt;COUNTA(クライアント抽出!P51:U51),
IFERROR(INDIRECT("数出表_Excel!"&amp;INDEX(_xlfn.UNIQUE(_xlfn._xlws.FILTER(クライアント抽出!P51:U51,COUNTIF(クライアント抽出!P51:U51,クライアント抽出!P51:U51)&gt;1)),1)&amp;L51&amp;""),
クライアント抽出!E51),0),クライアント抽出!E51),"")</f>
        <v/>
      </c>
      <c r="J51" s="45" t="str">
        <f>IF(C51&lt;&gt;"",
VLOOKUP(
"*"&amp;LEFT(IF(COUNTIF(D51,"*学食*"),"キャラ弁（学食）",
IF(COUNTIF(D51,"*赤*"),"赤",
IF(COUNTIF(D51,"*キャラ弁当*"),"キャラ弁当",D51))),4)&amp;"*",注文弁当の抽出!$F$1:$G$15,2,FALSE),"")</f>
        <v/>
      </c>
      <c r="K51" s="45" t="str">
        <f ca="1">IF(クライアント抽出!P51&lt;&gt;"",SUBSTITUTE(ADDRESS(1,(CODE(クライアント抽出!P51)-64)*2-1,4),"1",""),"")</f>
        <v/>
      </c>
      <c r="L51" s="45" t="str">
        <f>IF(C51&lt;&gt;"",クライアント抽出!I51,"")</f>
        <v/>
      </c>
      <c r="M51" s="45">
        <f t="array" aca="1" ref="M51" ca="1">IF(C51&lt;&gt;"",
IF(K51&lt;&gt;"",INDIRECT("'数出表_Excel（アレルギー入力）'!"&amp;K51&amp;L51-1&amp;""),),)</f>
        <v>0</v>
      </c>
      <c r="N51" s="45" t="str">
        <f>IF(C51&lt;&gt;"",IF(OR(COUNTIF('盛付札（関数）'!D51,"*赤*"),COUNTIF('盛付札（関数）'!D51,"*キャラ*")),1,
VALUE(VLOOKUP("*"&amp;D51&amp;"*",商品マスタ!D:H,5,FALSE))),"")</f>
        <v/>
      </c>
      <c r="O51" s="45">
        <f ca="1">IF(LEN(クライアント抽出!V51)-LEN(SUBSTITUTE(クライアント抽出!V51,",",""))&lt;&gt;1,
IF(AND(クライアント抽出!P51&lt;&gt;"",クライアント抽出!S51&lt;&gt;""),
IF(クライアント抽出!P51&lt;&gt;クライアント抽出!S51,1,0),0),0)</f>
        <v>0</v>
      </c>
      <c r="P51" s="45">
        <f t="shared" si="0"/>
        <v>0</v>
      </c>
      <c r="Q51" s="45" t="b">
        <f t="shared" si="1"/>
        <v>0</v>
      </c>
      <c r="R51" s="122" t="str">
        <f t="array" aca="1" ref="R51" ca="1">IFERROR(SMALL(IF(P$1:P$311&lt;&gt;0,P$1:P$311),ROW(A51)),"")</f>
        <v/>
      </c>
      <c r="S51" s="122" t="str">
        <f t="array" aca="1" ref="S51" ca="1">IF($R51&lt;&gt;"",
SUBSTITUTE(SUBSTITUTE(INDIRECT("C"&amp;$R51&amp;"")," 週3ｺｰｽ","")," 週5ｺｰｽ",""),"")</f>
        <v/>
      </c>
      <c r="T51" s="122" t="str">
        <f t="array" aca="1" ref="T51" ca="1">IF(IF($R51&lt;&gt;"",
INDIRECT(""&amp;IF(COLUMN(D51)&lt;=26,CHAR(COLUMN(D51)+64),CHAR(INT((COLUMN(D51)-1)/26)+64)&amp;CHAR(MOD(COLUMN(D51)-1,26)+65))&amp;$R51&amp;""),"")=0,"",
IF($R51&lt;&gt;"",
INDIRECT(""&amp;IF(COLUMN(D51)&lt;=26,CHAR(COLUMN(D51)+64),CHAR(INT((COLUMN(D51)-1)/26)+64)&amp;CHAR(MOD(COLUMN(D51)-1,26)+65))&amp;$R51&amp;""),""))</f>
        <v/>
      </c>
      <c r="U51" s="185" t="str">
        <f t="array" aca="1" ref="U51" ca="1">IF($R51&lt;&gt;"",
INDIRECT("F"&amp;$R51&amp;""),"")</f>
        <v/>
      </c>
      <c r="V51" s="122" t="str">
        <f t="array" aca="1" ref="V51" ca="1">IF($R51&lt;&gt;"",
INDIRECT("G"&amp;$R51&amp;""),"")</f>
        <v/>
      </c>
      <c r="W51" s="122" t="str" cm="1">
        <f t="array" aca="1" ref="W51" ca="1">IF($R51&lt;&gt;"",
IF(AND(COUNTIF(INDIRECT("B"&amp;R51&amp;""),"*雙葉*"),COUNTIF($B$71:$B$210,"*雙葉*")&gt;=1),
IF(OR(COUNTIF(INDIRECT("B"&amp;R51&amp;""),"*雙葉先生*"),COUNTIF(INDIRECT("B"&amp;R51-1&amp;""),"*雙葉*")),INDIRECT("H"&amp;R51&amp;""),INDIRECT("H"&amp;R51&amp;"")+INDIRECT("H"&amp;MATCH("雙葉'",INDIRECT("B"&amp;R51+3&amp;":B210"),0)+2+R51&amp;"")),
IF(AND(LEFT(INDIRECT("B"&amp;R51&amp;""),2)="博多",COUNTIF(B:B,"*博多*")&gt;=2),
INDIRECT("H"&amp;R51&amp;"")+IFERROR(INDIRECT("H"&amp;MATCH("*"&amp;INDIRECT("B"&amp;R51&amp;"")&amp;"*",INDIRECT("B"&amp;R51+1&amp;":B210"),0)+R51&amp;""),0),
IF(AND(LEFT(INDIRECT("B"&amp;R51&amp;""),3)="奈良屋",COUNTIF(B:B,"*奈良屋*")&gt;=2),
INDIRECT("H"&amp;R51&amp;"")
+INDIRECT("H"&amp;MATCH("*"&amp;INDIRECT("B"&amp;R51&amp;"")&amp;"*",INDIRECT("B"&amp;R51+1&amp;":B210"),0)+R51&amp;"")
+INDIRECT("H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
+INDIRECT("H"&amp;MATCH("*"&amp;INDIRECT("B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&amp;"*",INDIRECT("B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+1&amp;":B210"),0)+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,
INDIRECT("H"&amp;R51&amp;"")))),"")</f>
        <v/>
      </c>
      <c r="X51" s="122" t="str">
        <f t="array" aca="1" ref="X51" ca="1">IF($R51&lt;&gt;"",
INDIRECT(""&amp;IF(COLUMN(I51)&lt;=26,CHAR(COLUMN(I51)+64),CHAR(INT((COLUMN(I51)-1)/26)+64)&amp;CHAR(MOD(COLUMN(I51)-1,26)+65))&amp;$R51&amp;""),"")</f>
        <v/>
      </c>
      <c r="Y51" s="122" t="str">
        <f t="array" aca="1" ref="Y51" ca="1">IF($R51&lt;&gt;"",
INDIRECT(""&amp;IF(COLUMN(J51)&lt;=26,CHAR(COLUMN(J51)+64),CHAR(INT((COLUMN(J51)-1)/26)+64)&amp;CHAR(MOD(COLUMN(J51)-1,26)+65))&amp;$R51&amp;""),"")</f>
        <v/>
      </c>
      <c r="Z51" s="122" t="str">
        <f t="shared" ca="1" si="2"/>
        <v/>
      </c>
      <c r="AA51" s="122" t="str">
        <f t="shared" ca="1" si="3"/>
        <v/>
      </c>
      <c r="AB51" s="122" t="str">
        <f t="array" aca="1" ref="AB51" ca="1">IF($R51&lt;&gt;"",
IF(AND(COUNTIF(INDIRECT("B"&amp;R51&amp;""),"*雙葉*"),COUNTIF(INDIRECT("B"&amp;R51&amp;""),"&lt;&gt;*先生*"),COUNTIF(B:B,"*雙葉*")&gt;=2),
INDIRECT("M"&amp;R51&amp;"")+INDIRECT("M"&amp;MATCH("雙葉'",INDIRECT("B"&amp;R51+1&amp;":B210"),0)+R51&amp;""),
IF(AND(LEFT(INDIRECT("B"&amp;R51&amp;""),2)="博多",COUNTIF(B:B,"*博多*")&gt;=2),
INDIRECT("M"&amp;R51&amp;"")+INDIRECT("M"&amp;MATCH("*"&amp;INDIRECT("B"&amp;R51&amp;"")&amp;"*",INDIRECT("B"&amp;R51+1&amp;":B210"),0)+R51&amp;""),
IF(AND(LEFT(INDIRECT("B"&amp;R51&amp;""),3)="奈良屋",COUNTIF(B:B,"*奈良屋*")&gt;=2),
INDIRECT("M"&amp;R51&amp;"")+INDIRECT("M"&amp;MATCH("*"&amp;INDIRECT("B"&amp;R51&amp;"")&amp;"*",INDIRECT("B"&amp;R51+1&amp;":B210"),0)+R51&amp;"")
+INDIRECT("M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,
INDIRECT("M"&amp;R51&amp;"")))),"")</f>
        <v/>
      </c>
      <c r="AC51" s="122" t="str">
        <f t="shared" ca="1" si="4"/>
        <v/>
      </c>
      <c r="AD51" s="176" t="str">
        <f t="shared" ca="1" si="5"/>
        <v/>
      </c>
      <c r="AE51" s="176" t="str">
        <f t="shared" ca="1" si="6"/>
        <v/>
      </c>
      <c r="AF51" s="176" t="str">
        <f t="shared" ca="1" si="7"/>
        <v/>
      </c>
      <c r="AG51" s="176" t="str">
        <f t="shared" ca="1" si="8"/>
        <v/>
      </c>
      <c r="AH51" s="183" t="str">
        <f t="shared" ca="1" si="9"/>
        <v/>
      </c>
      <c r="AI51" s="176" t="str">
        <f t="shared" ca="1" si="10"/>
        <v/>
      </c>
      <c r="AJ51" s="176" t="str">
        <f t="shared" ca="1" si="11"/>
        <v/>
      </c>
      <c r="AK51" s="176" t="str">
        <f t="shared" ca="1" si="12"/>
        <v/>
      </c>
      <c r="AL51" s="176" t="str">
        <f t="shared" ca="1" si="13"/>
        <v/>
      </c>
      <c r="AM51" s="176" t="str">
        <f t="shared" ca="1" si="14"/>
        <v/>
      </c>
      <c r="AN51" s="176" t="str">
        <f t="shared" ca="1" si="15"/>
        <v/>
      </c>
      <c r="AO51" s="176" t="str">
        <f t="shared" ca="1" si="16"/>
        <v/>
      </c>
      <c r="AP51" s="176" t="str">
        <f t="shared" ca="1" si="17"/>
        <v/>
      </c>
      <c r="AU51" s="176" t="str">
        <f t="shared" ca="1" si="18"/>
        <v/>
      </c>
      <c r="AW51" s="106" t="str">
        <f ca="1">IFERROR(IF(AF51&lt;&gt;"",OFFSET('数出表_Excel（アレルギー入力）'!$A$1,MATCH(AF51,'数出表_Excel（アレルギー入力）'!A:A,0)-2,0),""),"")</f>
        <v/>
      </c>
      <c r="AX51" s="106" t="str">
        <f ca="1">IF(AW51&lt;&gt;"",
OFFSET(得意先マスタ!$A$1,MATCH(AW51,得意先マスタ!A:A,0)-1,24),"")</f>
        <v/>
      </c>
      <c r="AY51" s="57">
        <f t="shared" ca="1" si="21"/>
        <v>0</v>
      </c>
      <c r="AZ51" s="57">
        <f t="shared" ca="1" si="29"/>
        <v>0</v>
      </c>
      <c r="BA51" s="57">
        <f t="shared" ca="1" si="30"/>
        <v>0</v>
      </c>
      <c r="BB51" s="176">
        <f t="shared" ca="1" si="24"/>
        <v>0</v>
      </c>
    </row>
    <row r="52" spans="1:54" ht="22.2" customHeight="1">
      <c r="A52" s="101">
        <f t="shared" si="31"/>
        <v>109</v>
      </c>
      <c r="B52" s="45" t="str">
        <f t="shared" si="32"/>
        <v/>
      </c>
      <c r="C52" s="45" t="str">
        <f>IF(OR(クライアント抽出!B52&lt;&gt;"",クライアント抽出!E52&lt;&gt;""),クライアント抽出!A52,"")</f>
        <v/>
      </c>
      <c r="D52" s="45" t="str">
        <f t="array" aca="1" ref="D52" ca="1">IF(C52&lt;&gt;"",INDIRECT("クライアント抽出!"&amp;E52&amp;MATCH(C52,クライアント抽出!A:A,0)&amp;""),"")</f>
        <v/>
      </c>
      <c r="E52" s="45" t="str">
        <f>IF(H52&lt;&gt;0,
IFERROR(
SUBSTITUTE(ADDRESS(1,
MATCH(VALUE(H52),クライアント抽出!A52:G52,0)+8,4),"1",""),
""),
IFERROR(
SUBSTITUTE(ADDRESS(1,
MATCH(VALUE(I52),クライアント抽出!A52:G52,0)+8,4),"1",""),
""))</f>
        <v/>
      </c>
      <c r="F52" s="184" t="str">
        <f ca="1">IF(D52&lt;&gt;"",
IF(COUNTIF(C52,"*雙葉*"),
IF(ROUND((H52-M52)
/IF(COUNTIF(D52,"*キャラ*"),
VLOOKUP("*キャラ*",商品マスタ!$D:$E,2,FALSE),
IF(COUNTIF(D52,"*赤*"),
VLOOKUP("*赤*",商品マスタ!$D:$E,2,FALSE),
VLOOKUP("*"&amp;D52&amp;"*",商品マスタ!$D:$E,2,FALSE))),0)&lt;=0,1,
ROUND((H52-M52)
/IF(COUNTIF(D52,"*キャラ*"),
VLOOKUP("*キャラ*",商品マスタ!$D:$E,2,FALSE),
IF(COUNTIF(D52,"*赤*"),
VLOOKUP("*赤*",商品マスタ!$D:$E,2,FALSE),
VLOOKUP("*"&amp;D52&amp;"*",商品マスタ!$D:$E,2,FALSE))),0)),
IF(OR(COUNTIF(D52,"*キャラ*"),COUNTIF(D52,"*赤*")),"",
IF(VLOOKUP("*"&amp;D52&amp;"*",商品マスタ!$D:$E,2,FALSE)=0,"",
IF(ROUND((H52-M52)
/VLOOKUP("*"&amp;D52&amp;"*",商品マスタ!$D:$E,2,FALSE),0)&lt;=0,1,
ROUND((H52-M52)
/VLOOKUP("*"&amp;D52&amp;"*",商品マスタ!$D:$E,2,FALSE),0))))),"")</f>
        <v/>
      </c>
      <c r="G52" s="45" t="str">
        <f ca="1">IF(F52&lt;&gt;"",
IF(VALUE(H52-M52)&gt;VALUE(IF(COUNTIF(D52,"*キャラ*"),
VLOOKUP("*キャラ*",商品マスタ!$D:$E,2,FALSE),
IF(COUNTIF(D52,"*赤*"),
VLOOKUP("*赤*",商品マスタ!$D:$E,2,FALSE),
VLOOKUP("*"&amp;D52&amp;"*",商品マスタ!$D:$E,2,FALSE)))*F52),
"+"&amp;(H52-M52)-IF(COUNTIF(D52,"*キャラ*"),
VLOOKUP("*キャラ*",商品マスタ!$D:$E,2,FALSE),
IF(COUNTIF(D52,"*赤*"),
VLOOKUP("*赤*",商品マスタ!$D:$E,2,FALSE),
VLOOKUP("*"&amp;D52&amp;"*",商品マスタ!$D:$E,2,FALSE)))*F52,
(H52-M52)-IF(COUNTIF(D52,"*キャラ*"),
VLOOKUP("*キャラ*",商品マスタ!$D:$E,2,FALSE),
IF(COUNTIF(D52,"*赤*"),
VLOOKUP("*赤*",商品マスタ!$D:$E,2,FALSE),
VLOOKUP("*"&amp;D52&amp;"*",商品マスタ!$D:$E,2,FALSE)))*F52),"")</f>
        <v/>
      </c>
      <c r="H52" s="99" t="str">
        <f>IF(C52&lt;&gt;"",
クライアント抽出!B52,"")</f>
        <v/>
      </c>
      <c r="I52" s="45" t="str">
        <f t="array" aca="1" ref="I52" ca="1">IF(C52&lt;&gt;"",
IF(O52=1,
IF(SUMPRODUCT(COUNTIF(クライアント抽出!P52:U52,クライアント抽出!P52:U52))&gt;COUNTA(クライアント抽出!P52:U52),
IFERROR(INDIRECT("数出表_Excel!"&amp;INDEX(_xlfn.UNIQUE(_xlfn._xlws.FILTER(クライアント抽出!P52:U52,COUNTIF(クライアント抽出!P52:U52,クライアント抽出!P52:U52)&gt;1)),1)&amp;L52&amp;""),
クライアント抽出!E52),0),クライアント抽出!E52),"")</f>
        <v/>
      </c>
      <c r="J52" s="45" t="str">
        <f>IF(C52&lt;&gt;"",
VLOOKUP(
"*"&amp;LEFT(IF(COUNTIF(D52,"*学食*"),"キャラ弁（学食）",
IF(COUNTIF(D52,"*赤*"),"赤",
IF(COUNTIF(D52,"*キャラ弁当*"),"キャラ弁当",D52))),4)&amp;"*",注文弁当の抽出!$F$1:$G$15,2,FALSE),"")</f>
        <v/>
      </c>
      <c r="K52" s="45" t="str">
        <f ca="1">IF(クライアント抽出!P52&lt;&gt;"",SUBSTITUTE(ADDRESS(1,(CODE(クライアント抽出!P52)-64)*2-1,4),"1",""),"")</f>
        <v/>
      </c>
      <c r="L52" s="45" t="str">
        <f>IF(C52&lt;&gt;"",クライアント抽出!I52,"")</f>
        <v/>
      </c>
      <c r="M52" s="45">
        <f t="array" aca="1" ref="M52" ca="1">IF(C52&lt;&gt;"",
IF(K52&lt;&gt;"",INDIRECT("'数出表_Excel（アレルギー入力）'!"&amp;K52&amp;L52-1&amp;""),),)</f>
        <v>0</v>
      </c>
      <c r="N52" s="45" t="str">
        <f>IF(C52&lt;&gt;"",IF(OR(COUNTIF('盛付札（関数）'!D52,"*赤*"),COUNTIF('盛付札（関数）'!D52,"*キャラ*")),1,
VALUE(VLOOKUP("*"&amp;D52&amp;"*",商品マスタ!D:H,5,FALSE))),"")</f>
        <v/>
      </c>
      <c r="O52" s="45">
        <f ca="1">IF(LEN(クライアント抽出!V52)-LEN(SUBSTITUTE(クライアント抽出!V52,",",""))&lt;&gt;1,
IF(AND(クライアント抽出!P52&lt;&gt;"",クライアント抽出!S52&lt;&gt;""),
IF(クライアント抽出!P52&lt;&gt;クライアント抽出!S52,1,0),0),0)</f>
        <v>0</v>
      </c>
      <c r="P52" s="45">
        <f t="shared" si="0"/>
        <v>0</v>
      </c>
      <c r="Q52" s="45" t="b">
        <f t="shared" si="1"/>
        <v>0</v>
      </c>
      <c r="R52" s="122" t="str">
        <f t="array" aca="1" ref="R52" ca="1">IFERROR(SMALL(IF(P$1:P$311&lt;&gt;0,P$1:P$311),ROW(A52)),"")</f>
        <v/>
      </c>
      <c r="S52" s="122" t="str">
        <f t="array" aca="1" ref="S52" ca="1">IF($R52&lt;&gt;"",
SUBSTITUTE(SUBSTITUTE(INDIRECT("C"&amp;$R52&amp;"")," 週3ｺｰｽ","")," 週5ｺｰｽ",""),"")</f>
        <v/>
      </c>
      <c r="T52" s="122" t="str">
        <f t="array" aca="1" ref="T52" ca="1">IF(IF($R52&lt;&gt;"",
INDIRECT(""&amp;IF(COLUMN(D52)&lt;=26,CHAR(COLUMN(D52)+64),CHAR(INT((COLUMN(D52)-1)/26)+64)&amp;CHAR(MOD(COLUMN(D52)-1,26)+65))&amp;$R52&amp;""),"")=0,"",
IF($R52&lt;&gt;"",
INDIRECT(""&amp;IF(COLUMN(D52)&lt;=26,CHAR(COLUMN(D52)+64),CHAR(INT((COLUMN(D52)-1)/26)+64)&amp;CHAR(MOD(COLUMN(D52)-1,26)+65))&amp;$R52&amp;""),""))</f>
        <v/>
      </c>
      <c r="U52" s="185" t="str">
        <f t="array" aca="1" ref="U52" ca="1">IF($R52&lt;&gt;"",
INDIRECT("F"&amp;$R52&amp;""),"")</f>
        <v/>
      </c>
      <c r="V52" s="122" t="str">
        <f t="array" aca="1" ref="V52" ca="1">IF($R52&lt;&gt;"",
INDIRECT("G"&amp;$R52&amp;""),"")</f>
        <v/>
      </c>
      <c r="W52" s="122" t="str" cm="1">
        <f t="array" aca="1" ref="W52" ca="1">IF($R52&lt;&gt;"",
IF(AND(COUNTIF(INDIRECT("B"&amp;R52&amp;""),"*雙葉*"),COUNTIF($B$71:$B$210,"*雙葉*")&gt;=1),
IF(OR(COUNTIF(INDIRECT("B"&amp;R52&amp;""),"*雙葉先生*"),COUNTIF(INDIRECT("B"&amp;R52-1&amp;""),"*雙葉*")),INDIRECT("H"&amp;R52&amp;""),INDIRECT("H"&amp;R52&amp;"")+INDIRECT("H"&amp;MATCH("雙葉'",INDIRECT("B"&amp;R52+3&amp;":B210"),0)+2+R52&amp;"")),
IF(AND(LEFT(INDIRECT("B"&amp;R52&amp;""),2)="博多",COUNTIF(B:B,"*博多*")&gt;=2),
INDIRECT("H"&amp;R52&amp;"")+IFERROR(INDIRECT("H"&amp;MATCH("*"&amp;INDIRECT("B"&amp;R52&amp;"")&amp;"*",INDIRECT("B"&amp;R52+1&amp;":B210"),0)+R52&amp;""),0),
IF(AND(LEFT(INDIRECT("B"&amp;R52&amp;""),3)="奈良屋",COUNTIF(B:B,"*奈良屋*")&gt;=2),
INDIRECT("H"&amp;R52&amp;"")
+INDIRECT("H"&amp;MATCH("*"&amp;INDIRECT("B"&amp;R52&amp;"")&amp;"*",INDIRECT("B"&amp;R52+1&amp;":B210"),0)+R52&amp;"")
+INDIRECT("H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
+INDIRECT("H"&amp;MATCH("*"&amp;INDIRECT("B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&amp;"*",INDIRECT("B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+1&amp;":B210"),0)+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,
INDIRECT("H"&amp;R52&amp;"")))),"")</f>
        <v/>
      </c>
      <c r="X52" s="122" t="str">
        <f t="array" aca="1" ref="X52" ca="1">IF($R52&lt;&gt;"",
INDIRECT(""&amp;IF(COLUMN(I52)&lt;=26,CHAR(COLUMN(I52)+64),CHAR(INT((COLUMN(I52)-1)/26)+64)&amp;CHAR(MOD(COLUMN(I52)-1,26)+65))&amp;$R52&amp;""),"")</f>
        <v/>
      </c>
      <c r="Y52" s="122" t="str">
        <f t="array" aca="1" ref="Y52" ca="1">IF($R52&lt;&gt;"",
INDIRECT(""&amp;IF(COLUMN(J52)&lt;=26,CHAR(COLUMN(J52)+64),CHAR(INT((COLUMN(J52)-1)/26)+64)&amp;CHAR(MOD(COLUMN(J52)-1,26)+65))&amp;$R52&amp;""),"")</f>
        <v/>
      </c>
      <c r="Z52" s="122" t="str">
        <f t="shared" ca="1" si="2"/>
        <v/>
      </c>
      <c r="AA52" s="122" t="str">
        <f t="shared" ca="1" si="3"/>
        <v/>
      </c>
      <c r="AB52" s="122" t="str">
        <f t="array" aca="1" ref="AB52" ca="1">IF($R52&lt;&gt;"",
IF(AND(COUNTIF(INDIRECT("B"&amp;R52&amp;""),"*雙葉*"),COUNTIF(INDIRECT("B"&amp;R52&amp;""),"&lt;&gt;*先生*"),COUNTIF(B:B,"*雙葉*")&gt;=2),
INDIRECT("M"&amp;R52&amp;"")+INDIRECT("M"&amp;MATCH("雙葉'",INDIRECT("B"&amp;R52+1&amp;":B210"),0)+R52&amp;""),
IF(AND(LEFT(INDIRECT("B"&amp;R52&amp;""),2)="博多",COUNTIF(B:B,"*博多*")&gt;=2),
INDIRECT("M"&amp;R52&amp;"")+INDIRECT("M"&amp;MATCH("*"&amp;INDIRECT("B"&amp;R52&amp;"")&amp;"*",INDIRECT("B"&amp;R52+1&amp;":B210"),0)+R52&amp;""),
IF(AND(LEFT(INDIRECT("B"&amp;R52&amp;""),3)="奈良屋",COUNTIF(B:B,"*奈良屋*")&gt;=2),
INDIRECT("M"&amp;R52&amp;"")+INDIRECT("M"&amp;MATCH("*"&amp;INDIRECT("B"&amp;R52&amp;"")&amp;"*",INDIRECT("B"&amp;R52+1&amp;":B210"),0)+R52&amp;"")
+INDIRECT("M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,
INDIRECT("M"&amp;R52&amp;"")))),"")</f>
        <v/>
      </c>
      <c r="AC52" s="122" t="str">
        <f t="shared" ca="1" si="4"/>
        <v/>
      </c>
      <c r="AD52" s="176" t="str">
        <f t="shared" ca="1" si="5"/>
        <v/>
      </c>
      <c r="AE52" s="176" t="str">
        <f t="shared" ca="1" si="6"/>
        <v/>
      </c>
      <c r="AF52" s="176" t="str">
        <f t="shared" ca="1" si="7"/>
        <v/>
      </c>
      <c r="AG52" s="176" t="str">
        <f t="shared" ca="1" si="8"/>
        <v/>
      </c>
      <c r="AH52" s="183" t="str">
        <f t="shared" ca="1" si="9"/>
        <v/>
      </c>
      <c r="AI52" s="176" t="str">
        <f t="shared" ca="1" si="10"/>
        <v/>
      </c>
      <c r="AJ52" s="176" t="str">
        <f t="shared" ca="1" si="11"/>
        <v/>
      </c>
      <c r="AK52" s="176" t="str">
        <f t="shared" ca="1" si="12"/>
        <v/>
      </c>
      <c r="AL52" s="176" t="str">
        <f t="shared" ca="1" si="13"/>
        <v/>
      </c>
      <c r="AM52" s="176" t="str">
        <f t="shared" ca="1" si="14"/>
        <v/>
      </c>
      <c r="AN52" s="176" t="str">
        <f t="shared" ca="1" si="15"/>
        <v/>
      </c>
      <c r="AO52" s="176" t="str">
        <f t="shared" ca="1" si="16"/>
        <v/>
      </c>
      <c r="AP52" s="176" t="str">
        <f t="shared" ca="1" si="17"/>
        <v/>
      </c>
      <c r="AU52" s="176" t="str">
        <f t="shared" ca="1" si="18"/>
        <v/>
      </c>
      <c r="AW52" s="106" t="str">
        <f ca="1">IFERROR(IF(AF52&lt;&gt;"",OFFSET('数出表_Excel（アレルギー入力）'!$A$1,MATCH(AF52,'数出表_Excel（アレルギー入力）'!A:A,0)-2,0),""),"")</f>
        <v/>
      </c>
      <c r="AX52" s="106" t="str">
        <f ca="1">IF(AW52&lt;&gt;"",
OFFSET(得意先マスタ!$A$1,MATCH(AW52,得意先マスタ!A:A,0)-1,24),"")</f>
        <v/>
      </c>
      <c r="AY52" s="57">
        <f t="shared" ca="1" si="21"/>
        <v>0</v>
      </c>
      <c r="AZ52" s="57">
        <f t="shared" ca="1" si="29"/>
        <v>0</v>
      </c>
      <c r="BA52" s="57">
        <f t="shared" ca="1" si="30"/>
        <v>0</v>
      </c>
      <c r="BB52" s="176">
        <f t="shared" ca="1" si="24"/>
        <v>0</v>
      </c>
    </row>
    <row r="53" spans="1:54" ht="18" customHeight="1">
      <c r="A53" s="101">
        <f t="shared" si="31"/>
        <v>111</v>
      </c>
      <c r="B53" s="45" t="str">
        <f t="shared" si="32"/>
        <v/>
      </c>
      <c r="C53" s="45" t="str">
        <f>IF(OR(クライアント抽出!B53&lt;&gt;"",クライアント抽出!E53&lt;&gt;""),クライアント抽出!A53,"")</f>
        <v/>
      </c>
      <c r="D53" s="45" t="str">
        <f t="array" aca="1" ref="D53" ca="1">IF(C53&lt;&gt;"",INDIRECT("クライアント抽出!"&amp;E53&amp;MATCH(C53,クライアント抽出!A:A,0)&amp;""),"")</f>
        <v/>
      </c>
      <c r="E53" s="45" t="str">
        <f>IF(H53&lt;&gt;0,
IFERROR(
SUBSTITUTE(ADDRESS(1,
MATCH(VALUE(H53),クライアント抽出!A53:G53,0)+8,4),"1",""),
""),
IFERROR(
SUBSTITUTE(ADDRESS(1,
MATCH(VALUE(I53),クライアント抽出!A53:G53,0)+8,4),"1",""),
""))</f>
        <v/>
      </c>
      <c r="F53" s="184" t="str">
        <f ca="1">IF(D53&lt;&gt;"",
IF(COUNTIF(C53,"*雙葉*"),
IF(ROUND((H53-M53)
/IF(COUNTIF(D53,"*キャラ*"),
VLOOKUP("*キャラ*",商品マスタ!$D:$E,2,FALSE),
IF(COUNTIF(D53,"*赤*"),
VLOOKUP("*赤*",商品マスタ!$D:$E,2,FALSE),
VLOOKUP("*"&amp;D53&amp;"*",商品マスタ!$D:$E,2,FALSE))),0)&lt;=0,1,
ROUND((H53-M53)
/IF(COUNTIF(D53,"*キャラ*"),
VLOOKUP("*キャラ*",商品マスタ!$D:$E,2,FALSE),
IF(COUNTIF(D53,"*赤*"),
VLOOKUP("*赤*",商品マスタ!$D:$E,2,FALSE),
VLOOKUP("*"&amp;D53&amp;"*",商品マスタ!$D:$E,2,FALSE))),0)),
IF(OR(COUNTIF(D53,"*キャラ*"),COUNTIF(D53,"*赤*")),"",
IF(VLOOKUP("*"&amp;D53&amp;"*",商品マスタ!$D:$E,2,FALSE)=0,"",
IF(ROUND((H53-M53)
/VLOOKUP("*"&amp;D53&amp;"*",商品マスタ!$D:$E,2,FALSE),0)&lt;=0,1,
ROUND((H53-M53)
/VLOOKUP("*"&amp;D53&amp;"*",商品マスタ!$D:$E,2,FALSE),0))))),"")</f>
        <v/>
      </c>
      <c r="G53" s="45" t="str">
        <f ca="1">IF(F53&lt;&gt;"",
IF(VALUE(H53-M53)&gt;VALUE(IF(COUNTIF(D53,"*キャラ*"),
VLOOKUP("*キャラ*",商品マスタ!$D:$E,2,FALSE),
IF(COUNTIF(D53,"*赤*"),
VLOOKUP("*赤*",商品マスタ!$D:$E,2,FALSE),
VLOOKUP("*"&amp;D53&amp;"*",商品マスタ!$D:$E,2,FALSE)))*F53),
"+"&amp;(H53-M53)-IF(COUNTIF(D53,"*キャラ*"),
VLOOKUP("*キャラ*",商品マスタ!$D:$E,2,FALSE),
IF(COUNTIF(D53,"*赤*"),
VLOOKUP("*赤*",商品マスタ!$D:$E,2,FALSE),
VLOOKUP("*"&amp;D53&amp;"*",商品マスタ!$D:$E,2,FALSE)))*F53,
(H53-M53)-IF(COUNTIF(D53,"*キャラ*"),
VLOOKUP("*キャラ*",商品マスタ!$D:$E,2,FALSE),
IF(COUNTIF(D53,"*赤*"),
VLOOKUP("*赤*",商品マスタ!$D:$E,2,FALSE),
VLOOKUP("*"&amp;D53&amp;"*",商品マスタ!$D:$E,2,FALSE)))*F53),"")</f>
        <v/>
      </c>
      <c r="H53" s="99" t="str">
        <f>IF(C53&lt;&gt;"",
クライアント抽出!B53,"")</f>
        <v/>
      </c>
      <c r="I53" s="45" t="str">
        <f t="array" aca="1" ref="I53" ca="1">IF(C53&lt;&gt;"",
IF(O53=1,
IF(SUMPRODUCT(COUNTIF(クライアント抽出!P53:U53,クライアント抽出!P53:U53))&gt;COUNTA(クライアント抽出!P53:U53),
IFERROR(INDIRECT("数出表_Excel!"&amp;INDEX(_xlfn.UNIQUE(_xlfn._xlws.FILTER(クライアント抽出!P53:U53,COUNTIF(クライアント抽出!P53:U53,クライアント抽出!P53:U53)&gt;1)),1)&amp;L53&amp;""),
クライアント抽出!E53),0),クライアント抽出!E53),"")</f>
        <v/>
      </c>
      <c r="J53" s="45" t="str">
        <f>IF(C53&lt;&gt;"",
VLOOKUP(
"*"&amp;LEFT(IF(COUNTIF(D53,"*学食*"),"キャラ弁（学食）",
IF(COUNTIF(D53,"*赤*"),"赤",
IF(COUNTIF(D53,"*キャラ弁当*"),"キャラ弁当",D53))),4)&amp;"*",注文弁当の抽出!$F$1:$G$15,2,FALSE),"")</f>
        <v/>
      </c>
      <c r="K53" s="45" t="str">
        <f ca="1">IF(クライアント抽出!P53&lt;&gt;"",SUBSTITUTE(ADDRESS(1,(CODE(クライアント抽出!P53)-64)*2-1,4),"1",""),"")</f>
        <v/>
      </c>
      <c r="L53" s="45" t="str">
        <f>IF(C53&lt;&gt;"",クライアント抽出!I53,"")</f>
        <v/>
      </c>
      <c r="M53" s="45">
        <f t="array" aca="1" ref="M53" ca="1">IF(C53&lt;&gt;"",
IF(K53&lt;&gt;"",INDIRECT("'数出表_Excel（アレルギー入力）'!"&amp;K53&amp;L53-1&amp;""),),)</f>
        <v>0</v>
      </c>
      <c r="N53" s="45" t="str">
        <f>IF(C53&lt;&gt;"",IF(OR(COUNTIF('盛付札（関数）'!D53,"*赤*"),COUNTIF('盛付札（関数）'!D53,"*キャラ*")),1,
VALUE(VLOOKUP("*"&amp;D53&amp;"*",商品マスタ!D:H,5,FALSE))),"")</f>
        <v/>
      </c>
      <c r="O53" s="45">
        <f ca="1">IF(LEN(クライアント抽出!V53)-LEN(SUBSTITUTE(クライアント抽出!V53,",",""))&lt;&gt;1,
IF(AND(クライアント抽出!P53&lt;&gt;"",クライアント抽出!S53&lt;&gt;""),
IF(クライアント抽出!P53&lt;&gt;クライアント抽出!S53,1,0),0),0)</f>
        <v>0</v>
      </c>
      <c r="P53" s="45">
        <f t="shared" si="0"/>
        <v>0</v>
      </c>
      <c r="Q53" s="45" t="b">
        <f t="shared" si="1"/>
        <v>0</v>
      </c>
      <c r="R53" s="122" t="str">
        <f t="array" aca="1" ref="R53" ca="1">IFERROR(SMALL(IF(P$1:P$311&lt;&gt;0,P$1:P$311),ROW(A53)),"")</f>
        <v/>
      </c>
      <c r="S53" s="122" t="str">
        <f t="array" aca="1" ref="S53" ca="1">IF($R53&lt;&gt;"",
SUBSTITUTE(SUBSTITUTE(INDIRECT("C"&amp;$R53&amp;"")," 週3ｺｰｽ","")," 週5ｺｰｽ",""),"")</f>
        <v/>
      </c>
      <c r="T53" s="122" t="str">
        <f t="array" aca="1" ref="T53" ca="1">IF(IF($R53&lt;&gt;"",
INDIRECT(""&amp;IF(COLUMN(D53)&lt;=26,CHAR(COLUMN(D53)+64),CHAR(INT((COLUMN(D53)-1)/26)+64)&amp;CHAR(MOD(COLUMN(D53)-1,26)+65))&amp;$R53&amp;""),"")=0,"",
IF($R53&lt;&gt;"",
INDIRECT(""&amp;IF(COLUMN(D53)&lt;=26,CHAR(COLUMN(D53)+64),CHAR(INT((COLUMN(D53)-1)/26)+64)&amp;CHAR(MOD(COLUMN(D53)-1,26)+65))&amp;$R53&amp;""),""))</f>
        <v/>
      </c>
      <c r="U53" s="185" t="str">
        <f t="array" aca="1" ref="U53" ca="1">IF($R53&lt;&gt;"",
INDIRECT("F"&amp;$R53&amp;""),"")</f>
        <v/>
      </c>
      <c r="V53" s="122" t="str">
        <f t="array" aca="1" ref="V53" ca="1">IF($R53&lt;&gt;"",
INDIRECT("G"&amp;$R53&amp;""),"")</f>
        <v/>
      </c>
      <c r="W53" s="122" t="str" cm="1">
        <f t="array" aca="1" ref="W53" ca="1">IF($R53&lt;&gt;"",
IF(AND(COUNTIF(INDIRECT("B"&amp;R53&amp;""),"*雙葉*"),COUNTIF($B$71:$B$210,"*雙葉*")&gt;=1),
IF(OR(COUNTIF(INDIRECT("B"&amp;R53&amp;""),"*雙葉先生*"),COUNTIF(INDIRECT("B"&amp;R53-1&amp;""),"*雙葉*")),INDIRECT("H"&amp;R53&amp;""),INDIRECT("H"&amp;R53&amp;"")+INDIRECT("H"&amp;MATCH("雙葉'",INDIRECT("B"&amp;R53+3&amp;":B210"),0)+2+R53&amp;"")),
IF(AND(LEFT(INDIRECT("B"&amp;R53&amp;""),2)="博多",COUNTIF(B:B,"*博多*")&gt;=2),
INDIRECT("H"&amp;R53&amp;"")+IFERROR(INDIRECT("H"&amp;MATCH("*"&amp;INDIRECT("B"&amp;R53&amp;"")&amp;"*",INDIRECT("B"&amp;R53+1&amp;":B210"),0)+R53&amp;""),0),
IF(AND(LEFT(INDIRECT("B"&amp;R53&amp;""),3)="奈良屋",COUNTIF(B:B,"*奈良屋*")&gt;=2),
INDIRECT("H"&amp;R53&amp;"")
+INDIRECT("H"&amp;MATCH("*"&amp;INDIRECT("B"&amp;R53&amp;"")&amp;"*",INDIRECT("B"&amp;R53+1&amp;":B210"),0)+R53&amp;"")
+INDIRECT("H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
+INDIRECT("H"&amp;MATCH("*"&amp;INDIRECT("B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&amp;"*",INDIRECT("B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+1&amp;":B210"),0)+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,
INDIRECT("H"&amp;R53&amp;"")))),"")</f>
        <v/>
      </c>
      <c r="X53" s="122" t="str">
        <f t="array" aca="1" ref="X53" ca="1">IF($R53&lt;&gt;"",
INDIRECT(""&amp;IF(COLUMN(I53)&lt;=26,CHAR(COLUMN(I53)+64),CHAR(INT((COLUMN(I53)-1)/26)+64)&amp;CHAR(MOD(COLUMN(I53)-1,26)+65))&amp;$R53&amp;""),"")</f>
        <v/>
      </c>
      <c r="Y53" s="122" t="str">
        <f t="array" aca="1" ref="Y53" ca="1">IF($R53&lt;&gt;"",
INDIRECT(""&amp;IF(COLUMN(J53)&lt;=26,CHAR(COLUMN(J53)+64),CHAR(INT((COLUMN(J53)-1)/26)+64)&amp;CHAR(MOD(COLUMN(J53)-1,26)+65))&amp;$R53&amp;""),"")</f>
        <v/>
      </c>
      <c r="Z53" s="122" t="str">
        <f t="shared" ca="1" si="2"/>
        <v/>
      </c>
      <c r="AA53" s="122" t="str">
        <f t="shared" ca="1" si="3"/>
        <v/>
      </c>
      <c r="AB53" s="122" t="str">
        <f t="array" aca="1" ref="AB53" ca="1">IF($R53&lt;&gt;"",
IF(AND(COUNTIF(INDIRECT("B"&amp;R53&amp;""),"*雙葉*"),COUNTIF(INDIRECT("B"&amp;R53&amp;""),"&lt;&gt;*先生*"),COUNTIF(B:B,"*雙葉*")&gt;=2),
INDIRECT("M"&amp;R53&amp;"")+INDIRECT("M"&amp;MATCH("雙葉'",INDIRECT("B"&amp;R53+1&amp;":B210"),0)+R53&amp;""),
IF(AND(LEFT(INDIRECT("B"&amp;R53&amp;""),2)="博多",COUNTIF(B:B,"*博多*")&gt;=2),
INDIRECT("M"&amp;R53&amp;"")+INDIRECT("M"&amp;MATCH("*"&amp;INDIRECT("B"&amp;R53&amp;"")&amp;"*",INDIRECT("B"&amp;R53+1&amp;":B210"),0)+R53&amp;""),
IF(AND(LEFT(INDIRECT("B"&amp;R53&amp;""),3)="奈良屋",COUNTIF(B:B,"*奈良屋*")&gt;=2),
INDIRECT("M"&amp;R53&amp;"")+INDIRECT("M"&amp;MATCH("*"&amp;INDIRECT("B"&amp;R53&amp;"")&amp;"*",INDIRECT("B"&amp;R53+1&amp;":B210"),0)+R53&amp;"")
+INDIRECT("M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,
INDIRECT("M"&amp;R53&amp;"")))),"")</f>
        <v/>
      </c>
      <c r="AC53" s="122" t="str">
        <f t="shared" ca="1" si="4"/>
        <v/>
      </c>
      <c r="AD53" s="176" t="str">
        <f t="shared" ca="1" si="5"/>
        <v/>
      </c>
      <c r="AE53" s="176" t="str">
        <f t="shared" ca="1" si="6"/>
        <v/>
      </c>
      <c r="AF53" s="176" t="str">
        <f t="shared" ca="1" si="7"/>
        <v/>
      </c>
      <c r="AG53" s="176" t="str">
        <f t="shared" ca="1" si="8"/>
        <v/>
      </c>
      <c r="AH53" s="183" t="str">
        <f t="shared" ca="1" si="9"/>
        <v/>
      </c>
      <c r="AI53" s="176" t="str">
        <f t="shared" ca="1" si="10"/>
        <v/>
      </c>
      <c r="AJ53" s="176" t="str">
        <f t="shared" ca="1" si="11"/>
        <v/>
      </c>
      <c r="AK53" s="176" t="str">
        <f t="shared" ca="1" si="12"/>
        <v/>
      </c>
      <c r="AL53" s="176" t="str">
        <f t="shared" ca="1" si="13"/>
        <v/>
      </c>
      <c r="AM53" s="176" t="str">
        <f t="shared" ca="1" si="14"/>
        <v/>
      </c>
      <c r="AN53" s="176" t="str">
        <f t="shared" ca="1" si="15"/>
        <v/>
      </c>
      <c r="AO53" s="176" t="str">
        <f t="shared" ca="1" si="16"/>
        <v/>
      </c>
      <c r="AP53" s="176" t="str">
        <f t="shared" ca="1" si="17"/>
        <v/>
      </c>
      <c r="AU53" s="176" t="str">
        <f t="shared" ca="1" si="18"/>
        <v/>
      </c>
      <c r="AW53" s="106" t="str">
        <f ca="1">IFERROR(IF(AF53&lt;&gt;"",OFFSET('数出表_Excel（アレルギー入力）'!$A$1,MATCH(AF53,'数出表_Excel（アレルギー入力）'!A:A,0)-2,0),""),"")</f>
        <v/>
      </c>
      <c r="AX53" s="106" t="str">
        <f ca="1">IF(AW53&lt;&gt;"",
OFFSET(得意先マスタ!$A$1,MATCH(AW53,得意先マスタ!A:A,0)-1,24),"")</f>
        <v/>
      </c>
      <c r="AY53" s="57">
        <f t="shared" ca="1" si="21"/>
        <v>0</v>
      </c>
      <c r="AZ53" s="57">
        <f t="shared" ca="1" si="29"/>
        <v>0</v>
      </c>
      <c r="BA53" s="57">
        <f t="shared" ca="1" si="30"/>
        <v>0</v>
      </c>
      <c r="BB53" s="176">
        <f t="shared" ca="1" si="24"/>
        <v>0</v>
      </c>
    </row>
    <row r="54" spans="1:54" ht="18" customHeight="1">
      <c r="A54" s="101">
        <f t="shared" si="31"/>
        <v>113</v>
      </c>
      <c r="B54" s="45" t="str">
        <f t="shared" si="32"/>
        <v/>
      </c>
      <c r="C54" s="45" t="str">
        <f>IF(OR(クライアント抽出!B54&lt;&gt;"",クライアント抽出!E54&lt;&gt;""),クライアント抽出!A54,"")</f>
        <v/>
      </c>
      <c r="D54" s="45" t="str">
        <f t="array" aca="1" ref="D54" ca="1">IF(C54&lt;&gt;"",INDIRECT("クライアント抽出!"&amp;E54&amp;MATCH(C54,クライアント抽出!A:A,0)&amp;""),"")</f>
        <v/>
      </c>
      <c r="E54" s="45" t="str">
        <f>IF(H54&lt;&gt;0,
IFERROR(
SUBSTITUTE(ADDRESS(1,
MATCH(VALUE(H54),クライアント抽出!A54:G54,0)+8,4),"1",""),
""),
IFERROR(
SUBSTITUTE(ADDRESS(1,
MATCH(VALUE(I54),クライアント抽出!A54:G54,0)+8,4),"1",""),
""))</f>
        <v/>
      </c>
      <c r="F54" s="184" t="str">
        <f ca="1">IF(D54&lt;&gt;"",
IF(COUNTIF(C54,"*雙葉*"),
IF(ROUND((H54-M54)
/IF(COUNTIF(D54,"*キャラ*"),
VLOOKUP("*キャラ*",商品マスタ!$D:$E,2,FALSE),
IF(COUNTIF(D54,"*赤*"),
VLOOKUP("*赤*",商品マスタ!$D:$E,2,FALSE),
VLOOKUP("*"&amp;D54&amp;"*",商品マスタ!$D:$E,2,FALSE))),0)&lt;=0,1,
ROUND((H54-M54)
/IF(COUNTIF(D54,"*キャラ*"),
VLOOKUP("*キャラ*",商品マスタ!$D:$E,2,FALSE),
IF(COUNTIF(D54,"*赤*"),
VLOOKUP("*赤*",商品マスタ!$D:$E,2,FALSE),
VLOOKUP("*"&amp;D54&amp;"*",商品マスタ!$D:$E,2,FALSE))),0)),
IF(OR(COUNTIF(D54,"*キャラ*"),COUNTIF(D54,"*赤*")),"",
IF(VLOOKUP("*"&amp;D54&amp;"*",商品マスタ!$D:$E,2,FALSE)=0,"",
IF(ROUND((H54-M54)
/VLOOKUP("*"&amp;D54&amp;"*",商品マスタ!$D:$E,2,FALSE),0)&lt;=0,1,
ROUND((H54-M54)
/VLOOKUP("*"&amp;D54&amp;"*",商品マスタ!$D:$E,2,FALSE),0))))),"")</f>
        <v/>
      </c>
      <c r="G54" s="45" t="str">
        <f ca="1">IF(F54&lt;&gt;"",
IF(VALUE(H54-M54)&gt;VALUE(IF(COUNTIF(D54,"*キャラ*"),
VLOOKUP("*キャラ*",商品マスタ!$D:$E,2,FALSE),
IF(COUNTIF(D54,"*赤*"),
VLOOKUP("*赤*",商品マスタ!$D:$E,2,FALSE),
VLOOKUP("*"&amp;D54&amp;"*",商品マスタ!$D:$E,2,FALSE)))*F54),
"+"&amp;(H54-M54)-IF(COUNTIF(D54,"*キャラ*"),
VLOOKUP("*キャラ*",商品マスタ!$D:$E,2,FALSE),
IF(COUNTIF(D54,"*赤*"),
VLOOKUP("*赤*",商品マスタ!$D:$E,2,FALSE),
VLOOKUP("*"&amp;D54&amp;"*",商品マスタ!$D:$E,2,FALSE)))*F54,
(H54-M54)-IF(COUNTIF(D54,"*キャラ*"),
VLOOKUP("*キャラ*",商品マスタ!$D:$E,2,FALSE),
IF(COUNTIF(D54,"*赤*"),
VLOOKUP("*赤*",商品マスタ!$D:$E,2,FALSE),
VLOOKUP("*"&amp;D54&amp;"*",商品マスタ!$D:$E,2,FALSE)))*F54),"")</f>
        <v/>
      </c>
      <c r="H54" s="99" t="str">
        <f>IF(C54&lt;&gt;"",
クライアント抽出!B54,"")</f>
        <v/>
      </c>
      <c r="I54" s="45" t="str">
        <f t="array" aca="1" ref="I54" ca="1">IF(C54&lt;&gt;"",
IF(O54=1,
IF(SUMPRODUCT(COUNTIF(クライアント抽出!P54:U54,クライアント抽出!P54:U54))&gt;COUNTA(クライアント抽出!P54:U54),
IFERROR(INDIRECT("数出表_Excel!"&amp;INDEX(_xlfn.UNIQUE(_xlfn._xlws.FILTER(クライアント抽出!P54:U54,COUNTIF(クライアント抽出!P54:U54,クライアント抽出!P54:U54)&gt;1)),1)&amp;L54&amp;""),
クライアント抽出!E54),0),クライアント抽出!E54),"")</f>
        <v/>
      </c>
      <c r="J54" s="45" t="str">
        <f>IF(C54&lt;&gt;"",
VLOOKUP(
"*"&amp;LEFT(IF(COUNTIF(D54,"*学食*"),"キャラ弁（学食）",
IF(COUNTIF(D54,"*赤*"),"赤",
IF(COUNTIF(D54,"*キャラ弁当*"),"キャラ弁当",D54))),4)&amp;"*",注文弁当の抽出!$F$1:$G$15,2,FALSE),"")</f>
        <v/>
      </c>
      <c r="K54" s="45" t="str">
        <f ca="1">IF(クライアント抽出!P54&lt;&gt;"",SUBSTITUTE(ADDRESS(1,(CODE(クライアント抽出!P54)-64)*2-1,4),"1",""),"")</f>
        <v/>
      </c>
      <c r="L54" s="45" t="str">
        <f>IF(C54&lt;&gt;"",クライアント抽出!I54,"")</f>
        <v/>
      </c>
      <c r="M54" s="45">
        <f t="array" aca="1" ref="M54" ca="1">IF(C54&lt;&gt;"",
IF(K54&lt;&gt;"",INDIRECT("'数出表_Excel（アレルギー入力）'!"&amp;K54&amp;L54-1&amp;""),),)</f>
        <v>0</v>
      </c>
      <c r="N54" s="45" t="str">
        <f>IF(C54&lt;&gt;"",IF(OR(COUNTIF('盛付札（関数）'!D54,"*赤*"),COUNTIF('盛付札（関数）'!D54,"*キャラ*")),1,
VALUE(VLOOKUP("*"&amp;D54&amp;"*",商品マスタ!D:H,5,FALSE))),"")</f>
        <v/>
      </c>
      <c r="O54" s="45">
        <f ca="1">IF(LEN(クライアント抽出!V54)-LEN(SUBSTITUTE(クライアント抽出!V54,",",""))&lt;&gt;1,
IF(AND(クライアント抽出!P54&lt;&gt;"",クライアント抽出!S54&lt;&gt;""),
IF(クライアント抽出!P54&lt;&gt;クライアント抽出!S54,1,0),0),0)</f>
        <v>0</v>
      </c>
      <c r="P54" s="45">
        <f t="shared" si="0"/>
        <v>0</v>
      </c>
      <c r="Q54" s="45" t="b">
        <f t="shared" si="1"/>
        <v>0</v>
      </c>
      <c r="R54" s="122" t="str">
        <f t="array" aca="1" ref="R54" ca="1">IFERROR(SMALL(IF(P$1:P$311&lt;&gt;0,P$1:P$311),ROW(A54)),"")</f>
        <v/>
      </c>
      <c r="S54" s="122" t="str">
        <f t="array" aca="1" ref="S54" ca="1">IF($R54&lt;&gt;"",
SUBSTITUTE(SUBSTITUTE(INDIRECT("C"&amp;$R54&amp;"")," 週3ｺｰｽ","")," 週5ｺｰｽ",""),"")</f>
        <v/>
      </c>
      <c r="T54" s="122" t="str">
        <f t="array" aca="1" ref="T54" ca="1">IF(IF($R54&lt;&gt;"",
INDIRECT(""&amp;IF(COLUMN(D54)&lt;=26,CHAR(COLUMN(D54)+64),CHAR(INT((COLUMN(D54)-1)/26)+64)&amp;CHAR(MOD(COLUMN(D54)-1,26)+65))&amp;$R54&amp;""),"")=0,"",
IF($R54&lt;&gt;"",
INDIRECT(""&amp;IF(COLUMN(D54)&lt;=26,CHAR(COLUMN(D54)+64),CHAR(INT((COLUMN(D54)-1)/26)+64)&amp;CHAR(MOD(COLUMN(D54)-1,26)+65))&amp;$R54&amp;""),""))</f>
        <v/>
      </c>
      <c r="U54" s="185" t="str">
        <f t="array" aca="1" ref="U54" ca="1">IF($R54&lt;&gt;"",
INDIRECT("F"&amp;$R54&amp;""),"")</f>
        <v/>
      </c>
      <c r="V54" s="122" t="str">
        <f t="array" aca="1" ref="V54" ca="1">IF($R54&lt;&gt;"",
INDIRECT("G"&amp;$R54&amp;""),"")</f>
        <v/>
      </c>
      <c r="W54" s="122" t="str" cm="1">
        <f t="array" aca="1" ref="W54" ca="1">IF($R54&lt;&gt;"",
IF(AND(COUNTIF(INDIRECT("B"&amp;R54&amp;""),"*雙葉*"),COUNTIF($B$71:$B$210,"*雙葉*")&gt;=1),
IF(OR(COUNTIF(INDIRECT("B"&amp;R54&amp;""),"*雙葉先生*"),COUNTIF(INDIRECT("B"&amp;R54-1&amp;""),"*雙葉*")),INDIRECT("H"&amp;R54&amp;""),INDIRECT("H"&amp;R54&amp;"")+INDIRECT("H"&amp;MATCH("雙葉'",INDIRECT("B"&amp;R54+3&amp;":B210"),0)+2+R54&amp;"")),
IF(AND(LEFT(INDIRECT("B"&amp;R54&amp;""),2)="博多",COUNTIF(B:B,"*博多*")&gt;=2),
INDIRECT("H"&amp;R54&amp;"")+IFERROR(INDIRECT("H"&amp;MATCH("*"&amp;INDIRECT("B"&amp;R54&amp;"")&amp;"*",INDIRECT("B"&amp;R54+1&amp;":B210"),0)+R54&amp;""),0),
IF(AND(LEFT(INDIRECT("B"&amp;R54&amp;""),3)="奈良屋",COUNTIF(B:B,"*奈良屋*")&gt;=2),
INDIRECT("H"&amp;R54&amp;"")
+INDIRECT("H"&amp;MATCH("*"&amp;INDIRECT("B"&amp;R54&amp;"")&amp;"*",INDIRECT("B"&amp;R54+1&amp;":B210"),0)+R54&amp;"")
+INDIRECT("H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
+INDIRECT("H"&amp;MATCH("*"&amp;INDIRECT("B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&amp;"*",INDIRECT("B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+1&amp;":B210"),0)+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,
INDIRECT("H"&amp;R54&amp;"")))),"")</f>
        <v/>
      </c>
      <c r="X54" s="122" t="str">
        <f t="array" aca="1" ref="X54" ca="1">IF($R54&lt;&gt;"",
INDIRECT(""&amp;IF(COLUMN(I54)&lt;=26,CHAR(COLUMN(I54)+64),CHAR(INT((COLUMN(I54)-1)/26)+64)&amp;CHAR(MOD(COLUMN(I54)-1,26)+65))&amp;$R54&amp;""),"")</f>
        <v/>
      </c>
      <c r="Y54" s="122" t="str">
        <f t="array" aca="1" ref="Y54" ca="1">IF($R54&lt;&gt;"",
INDIRECT(""&amp;IF(COLUMN(J54)&lt;=26,CHAR(COLUMN(J54)+64),CHAR(INT((COLUMN(J54)-1)/26)+64)&amp;CHAR(MOD(COLUMN(J54)-1,26)+65))&amp;$R54&amp;""),"")</f>
        <v/>
      </c>
      <c r="Z54" s="122" t="str">
        <f t="shared" ca="1" si="2"/>
        <v/>
      </c>
      <c r="AA54" s="122" t="str">
        <f t="shared" ca="1" si="3"/>
        <v/>
      </c>
      <c r="AB54" s="122" t="str">
        <f t="array" aca="1" ref="AB54" ca="1">IF($R54&lt;&gt;"",
IF(AND(COUNTIF(INDIRECT("B"&amp;R54&amp;""),"*雙葉*"),COUNTIF(INDIRECT("B"&amp;R54&amp;""),"&lt;&gt;*先生*"),COUNTIF(B:B,"*雙葉*")&gt;=2),
INDIRECT("M"&amp;R54&amp;"")+INDIRECT("M"&amp;MATCH("雙葉'",INDIRECT("B"&amp;R54+1&amp;":B210"),0)+R54&amp;""),
IF(AND(LEFT(INDIRECT("B"&amp;R54&amp;""),2)="博多",COUNTIF(B:B,"*博多*")&gt;=2),
INDIRECT("M"&amp;R54&amp;"")+INDIRECT("M"&amp;MATCH("*"&amp;INDIRECT("B"&amp;R54&amp;"")&amp;"*",INDIRECT("B"&amp;R54+1&amp;":B210"),0)+R54&amp;""),
IF(AND(LEFT(INDIRECT("B"&amp;R54&amp;""),3)="奈良屋",COUNTIF(B:B,"*奈良屋*")&gt;=2),
INDIRECT("M"&amp;R54&amp;"")+INDIRECT("M"&amp;MATCH("*"&amp;INDIRECT("B"&amp;R54&amp;"")&amp;"*",INDIRECT("B"&amp;R54+1&amp;":B210"),0)+R54&amp;"")
+INDIRECT("M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,
INDIRECT("M"&amp;R54&amp;"")))),"")</f>
        <v/>
      </c>
      <c r="AC54" s="122" t="str">
        <f t="shared" ca="1" si="4"/>
        <v/>
      </c>
      <c r="AD54" s="176" t="str">
        <f t="shared" ca="1" si="5"/>
        <v/>
      </c>
      <c r="AE54" s="176" t="str">
        <f t="shared" ca="1" si="6"/>
        <v/>
      </c>
      <c r="AF54" s="176" t="str">
        <f t="shared" ca="1" si="7"/>
        <v/>
      </c>
      <c r="AG54" s="176" t="str">
        <f t="shared" ca="1" si="8"/>
        <v/>
      </c>
      <c r="AH54" s="183" t="str">
        <f t="shared" ca="1" si="9"/>
        <v/>
      </c>
      <c r="AI54" s="176" t="str">
        <f t="shared" ca="1" si="10"/>
        <v/>
      </c>
      <c r="AJ54" s="176" t="str">
        <f t="shared" ca="1" si="11"/>
        <v/>
      </c>
      <c r="AK54" s="176" t="str">
        <f t="shared" ca="1" si="12"/>
        <v/>
      </c>
      <c r="AL54" s="176" t="str">
        <f t="shared" ca="1" si="13"/>
        <v/>
      </c>
      <c r="AM54" s="176" t="str">
        <f t="shared" ca="1" si="14"/>
        <v/>
      </c>
      <c r="AN54" s="176" t="str">
        <f t="shared" ca="1" si="15"/>
        <v/>
      </c>
      <c r="AO54" s="176" t="str">
        <f t="shared" ca="1" si="16"/>
        <v/>
      </c>
      <c r="AP54" s="176" t="str">
        <f t="shared" ca="1" si="17"/>
        <v/>
      </c>
      <c r="AU54" s="176" t="str">
        <f t="shared" ca="1" si="18"/>
        <v/>
      </c>
      <c r="AW54" s="106" t="str">
        <f ca="1">IF(AF54&lt;&gt;"",OFFSET('数出表_Excel（アレルギー入力）'!$A$1,MATCH(AF54,'数出表_Excel（アレルギー入力）'!A:A,0)-2,0),"")</f>
        <v/>
      </c>
      <c r="AX54" s="106" t="str">
        <f ca="1">IF(AW54&lt;&gt;"",
OFFSET(得意先マスタ!$A$1,MATCH(AW54,得意先マスタ!A:A,0)-1,24),"")</f>
        <v/>
      </c>
      <c r="AY54" s="57">
        <f t="shared" ca="1" si="21"/>
        <v>0</v>
      </c>
      <c r="AZ54" s="57">
        <f t="shared" ca="1" si="29"/>
        <v>0</v>
      </c>
      <c r="BA54" s="57">
        <f t="shared" ca="1" si="30"/>
        <v>0</v>
      </c>
      <c r="BB54" s="176">
        <f t="shared" ca="1" si="24"/>
        <v>0</v>
      </c>
    </row>
    <row r="55" spans="1:54" ht="22.2" customHeight="1">
      <c r="A55" s="101">
        <f t="shared" si="31"/>
        <v>115</v>
      </c>
      <c r="B55" s="45" t="str">
        <f t="shared" si="32"/>
        <v/>
      </c>
      <c r="C55" s="45" t="str">
        <f>IF(OR(クライアント抽出!B55&lt;&gt;"",クライアント抽出!E55&lt;&gt;""),クライアント抽出!A55,"")</f>
        <v/>
      </c>
      <c r="D55" s="45" t="str">
        <f t="array" aca="1" ref="D55" ca="1">IF(C55&lt;&gt;"",INDIRECT("クライアント抽出!"&amp;E55&amp;MATCH(C55,クライアント抽出!A:A,0)&amp;""),"")</f>
        <v/>
      </c>
      <c r="E55" s="45" t="str">
        <f>IF(H55&lt;&gt;0,
IFERROR(
SUBSTITUTE(ADDRESS(1,
MATCH(VALUE(H55),クライアント抽出!A55:G55,0)+8,4),"1",""),
""),
IFERROR(
SUBSTITUTE(ADDRESS(1,
MATCH(VALUE(I55),クライアント抽出!A55:G55,0)+8,4),"1",""),
""))</f>
        <v/>
      </c>
      <c r="F55" s="184" t="str">
        <f ca="1">IF(D55&lt;&gt;"",
IF(COUNTIF(C55,"*雙葉*"),
IF(ROUND((H55-M55)
/IF(COUNTIF(D55,"*キャラ*"),
VLOOKUP("*キャラ*",商品マスタ!$D:$E,2,FALSE),
IF(COUNTIF(D55,"*赤*"),
VLOOKUP("*赤*",商品マスタ!$D:$E,2,FALSE),
VLOOKUP("*"&amp;D55&amp;"*",商品マスタ!$D:$E,2,FALSE))),0)&lt;=0,1,
ROUND((H55-M55)
/IF(COUNTIF(D55,"*キャラ*"),
VLOOKUP("*キャラ*",商品マスタ!$D:$E,2,FALSE),
IF(COUNTIF(D55,"*赤*"),
VLOOKUP("*赤*",商品マスタ!$D:$E,2,FALSE),
VLOOKUP("*"&amp;D55&amp;"*",商品マスタ!$D:$E,2,FALSE))),0)),
IF(OR(COUNTIF(D55,"*キャラ*"),COUNTIF(D55,"*赤*")),"",
IF(VLOOKUP("*"&amp;D55&amp;"*",商品マスタ!$D:$E,2,FALSE)=0,"",
IF(ROUND((H55-M55)
/VLOOKUP("*"&amp;D55&amp;"*",商品マスタ!$D:$E,2,FALSE),0)&lt;=0,1,
ROUND((H55-M55)
/VLOOKUP("*"&amp;D55&amp;"*",商品マスタ!$D:$E,2,FALSE),0))))),"")</f>
        <v/>
      </c>
      <c r="G55" s="45" t="str">
        <f ca="1">IF(F55&lt;&gt;"",
IF(VALUE(H55-M55)&gt;VALUE(IF(COUNTIF(D55,"*キャラ*"),
VLOOKUP("*キャラ*",商品マスタ!$D:$E,2,FALSE),
IF(COUNTIF(D55,"*赤*"),
VLOOKUP("*赤*",商品マスタ!$D:$E,2,FALSE),
VLOOKUP("*"&amp;D55&amp;"*",商品マスタ!$D:$E,2,FALSE)))*F55),
"+"&amp;(H55-M55)-IF(COUNTIF(D55,"*キャラ*"),
VLOOKUP("*キャラ*",商品マスタ!$D:$E,2,FALSE),
IF(COUNTIF(D55,"*赤*"),
VLOOKUP("*赤*",商品マスタ!$D:$E,2,FALSE),
VLOOKUP("*"&amp;D55&amp;"*",商品マスタ!$D:$E,2,FALSE)))*F55,
(H55-M55)-IF(COUNTIF(D55,"*キャラ*"),
VLOOKUP("*キャラ*",商品マスタ!$D:$E,2,FALSE),
IF(COUNTIF(D55,"*赤*"),
VLOOKUP("*赤*",商品マスタ!$D:$E,2,FALSE),
VLOOKUP("*"&amp;D55&amp;"*",商品マスタ!$D:$E,2,FALSE)))*F55),"")</f>
        <v/>
      </c>
      <c r="H55" s="99" t="str">
        <f>IF(C55&lt;&gt;"",
クライアント抽出!B55,"")</f>
        <v/>
      </c>
      <c r="I55" s="45" t="str">
        <f t="array" aca="1" ref="I55" ca="1">IF(C55&lt;&gt;"",
IF(O55=1,
IF(SUMPRODUCT(COUNTIF(クライアント抽出!P55:U55,クライアント抽出!P55:U55))&gt;COUNTA(クライアント抽出!P55:U55),
IFERROR(INDIRECT("数出表_Excel!"&amp;INDEX(_xlfn.UNIQUE(_xlfn._xlws.FILTER(クライアント抽出!P55:U55,COUNTIF(クライアント抽出!P55:U55,クライアント抽出!P55:U55)&gt;1)),1)&amp;L55&amp;""),
クライアント抽出!E55),0),クライアント抽出!E55),"")</f>
        <v/>
      </c>
      <c r="J55" s="45" t="str">
        <f>IF(C55&lt;&gt;"",
VLOOKUP(
"*"&amp;LEFT(IF(COUNTIF(D55,"*学食*"),"キャラ弁（学食）",
IF(COUNTIF(D55,"*赤*"),"赤",
IF(COUNTIF(D55,"*キャラ弁当*"),"キャラ弁当",D55))),4)&amp;"*",注文弁当の抽出!$F$1:$G$15,2,FALSE),"")</f>
        <v/>
      </c>
      <c r="K55" s="45" t="str">
        <f ca="1">IF(クライアント抽出!P55&lt;&gt;"",SUBSTITUTE(ADDRESS(1,(CODE(クライアント抽出!P55)-64)*2-1,4),"1",""),"")</f>
        <v/>
      </c>
      <c r="L55" s="45" t="str">
        <f>IF(C55&lt;&gt;"",クライアント抽出!I55,"")</f>
        <v/>
      </c>
      <c r="M55" s="45">
        <f t="array" aca="1" ref="M55" ca="1">IF(C55&lt;&gt;"",
IF(K55&lt;&gt;"",INDIRECT("'数出表_Excel（アレルギー入力）'!"&amp;K55&amp;L55-1&amp;""),),)</f>
        <v>0</v>
      </c>
      <c r="N55" s="45" t="str">
        <f>IF(C55&lt;&gt;"",IF(OR(COUNTIF('盛付札（関数）'!D55,"*赤*"),COUNTIF('盛付札（関数）'!D55,"*キャラ*")),1,
VALUE(VLOOKUP("*"&amp;D55&amp;"*",商品マスタ!D:H,5,FALSE))),"")</f>
        <v/>
      </c>
      <c r="O55" s="45">
        <f ca="1">IF(LEN(クライアント抽出!V55)-LEN(SUBSTITUTE(クライアント抽出!V55,",",""))&lt;&gt;1,
IF(AND(クライアント抽出!P55&lt;&gt;"",クライアント抽出!S55&lt;&gt;""),
IF(クライアント抽出!P55&lt;&gt;クライアント抽出!S55,1,0),0),0)</f>
        <v>0</v>
      </c>
      <c r="P55" s="45">
        <f t="shared" si="0"/>
        <v>0</v>
      </c>
      <c r="Q55" s="45" t="b">
        <f t="shared" si="1"/>
        <v>0</v>
      </c>
      <c r="R55" s="122" t="str">
        <f t="array" aca="1" ref="R55" ca="1">IFERROR(SMALL(IF(P$1:P$311&lt;&gt;0,P$1:P$311),ROW(A55)),"")</f>
        <v/>
      </c>
      <c r="S55" s="122" t="str">
        <f t="array" aca="1" ref="S55" ca="1">IF($R55&lt;&gt;"",
SUBSTITUTE(SUBSTITUTE(INDIRECT("C"&amp;$R55&amp;"")," 週3ｺｰｽ","")," 週5ｺｰｽ",""),"")</f>
        <v/>
      </c>
      <c r="T55" s="122" t="str">
        <f t="array" aca="1" ref="T55" ca="1">IF(IF($R55&lt;&gt;"",
INDIRECT(""&amp;IF(COLUMN(D55)&lt;=26,CHAR(COLUMN(D55)+64),CHAR(INT((COLUMN(D55)-1)/26)+64)&amp;CHAR(MOD(COLUMN(D55)-1,26)+65))&amp;$R55&amp;""),"")=0,"",
IF($R55&lt;&gt;"",
INDIRECT(""&amp;IF(COLUMN(D55)&lt;=26,CHAR(COLUMN(D55)+64),CHAR(INT((COLUMN(D55)-1)/26)+64)&amp;CHAR(MOD(COLUMN(D55)-1,26)+65))&amp;$R55&amp;""),""))</f>
        <v/>
      </c>
      <c r="U55" s="185" t="str">
        <f t="array" aca="1" ref="U55" ca="1">IF($R55&lt;&gt;"",
INDIRECT("F"&amp;$R55&amp;""),"")</f>
        <v/>
      </c>
      <c r="V55" s="122" t="str">
        <f t="array" aca="1" ref="V55" ca="1">IF($R55&lt;&gt;"",
INDIRECT("G"&amp;$R55&amp;""),"")</f>
        <v/>
      </c>
      <c r="W55" s="122" t="str" cm="1">
        <f t="array" aca="1" ref="W55" ca="1">IF($R55&lt;&gt;"",
IF(AND(COUNTIF(INDIRECT("B"&amp;R55&amp;""),"*雙葉*"),COUNTIF($B$71:$B$210,"*雙葉*")&gt;=1),
IF(OR(COUNTIF(INDIRECT("B"&amp;R55&amp;""),"*雙葉先生*"),COUNTIF(INDIRECT("B"&amp;R55-1&amp;""),"*雙葉*")),INDIRECT("H"&amp;R55&amp;""),INDIRECT("H"&amp;R55&amp;"")+INDIRECT("H"&amp;MATCH("雙葉'",INDIRECT("B"&amp;R55+3&amp;":B210"),0)+2+R55&amp;"")),
IF(AND(LEFT(INDIRECT("B"&amp;R55&amp;""),2)="博多",COUNTIF(B:B,"*博多*")&gt;=2),
INDIRECT("H"&amp;R55&amp;"")+IFERROR(INDIRECT("H"&amp;MATCH("*"&amp;INDIRECT("B"&amp;R55&amp;"")&amp;"*",INDIRECT("B"&amp;R55+1&amp;":B210"),0)+R55&amp;""),0),
IF(AND(LEFT(INDIRECT("B"&amp;R55&amp;""),3)="奈良屋",COUNTIF(B:B,"*奈良屋*")&gt;=2),
INDIRECT("H"&amp;R55&amp;"")
+INDIRECT("H"&amp;MATCH("*"&amp;INDIRECT("B"&amp;R55&amp;"")&amp;"*",INDIRECT("B"&amp;R55+1&amp;":B210"),0)+R55&amp;"")
+INDIRECT("H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
+INDIRECT("H"&amp;MATCH("*"&amp;INDIRECT("B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&amp;"*",INDIRECT("B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+1&amp;":B210"),0)+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,
INDIRECT("H"&amp;R55&amp;"")))),"")</f>
        <v/>
      </c>
      <c r="X55" s="122" t="str">
        <f t="array" aca="1" ref="X55" ca="1">IF($R55&lt;&gt;"",
INDIRECT(""&amp;IF(COLUMN(I55)&lt;=26,CHAR(COLUMN(I55)+64),CHAR(INT((COLUMN(I55)-1)/26)+64)&amp;CHAR(MOD(COLUMN(I55)-1,26)+65))&amp;$R55&amp;""),"")</f>
        <v/>
      </c>
      <c r="Y55" s="122" t="str">
        <f t="array" aca="1" ref="Y55" ca="1">IF($R55&lt;&gt;"",
INDIRECT(""&amp;IF(COLUMN(J55)&lt;=26,CHAR(COLUMN(J55)+64),CHAR(INT((COLUMN(J55)-1)/26)+64)&amp;CHAR(MOD(COLUMN(J55)-1,26)+65))&amp;$R55&amp;""),"")</f>
        <v/>
      </c>
      <c r="Z55" s="122" t="str">
        <f t="shared" ca="1" si="2"/>
        <v/>
      </c>
      <c r="AA55" s="122" t="str">
        <f t="shared" ca="1" si="3"/>
        <v/>
      </c>
      <c r="AB55" s="122" t="str">
        <f t="array" aca="1" ref="AB55" ca="1">IF($R55&lt;&gt;"",
IF(AND(COUNTIF(INDIRECT("B"&amp;R55&amp;""),"*雙葉*"),COUNTIF(INDIRECT("B"&amp;R55&amp;""),"&lt;&gt;*先生*"),COUNTIF(B:B,"*雙葉*")&gt;=2),
INDIRECT("M"&amp;R55&amp;"")+INDIRECT("M"&amp;MATCH("雙葉'",INDIRECT("B"&amp;R55+1&amp;":B210"),0)+R55&amp;""),
IF(AND(LEFT(INDIRECT("B"&amp;R55&amp;""),2)="博多",COUNTIF(B:B,"*博多*")&gt;=2),
INDIRECT("M"&amp;R55&amp;"")+INDIRECT("M"&amp;MATCH("*"&amp;INDIRECT("B"&amp;R55&amp;"")&amp;"*",INDIRECT("B"&amp;R55+1&amp;":B210"),0)+R55&amp;""),
IF(AND(LEFT(INDIRECT("B"&amp;R55&amp;""),3)="奈良屋",COUNTIF(B:B,"*奈良屋*")&gt;=2),
INDIRECT("M"&amp;R55&amp;"")+INDIRECT("M"&amp;MATCH("*"&amp;INDIRECT("B"&amp;R55&amp;"")&amp;"*",INDIRECT("B"&amp;R55+1&amp;":B210"),0)+R55&amp;"")
+INDIRECT("M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,
INDIRECT("M"&amp;R55&amp;"")))),"")</f>
        <v/>
      </c>
      <c r="AC55" s="122" t="str">
        <f t="shared" ca="1" si="4"/>
        <v/>
      </c>
      <c r="AD55" s="176" t="str">
        <f t="shared" ca="1" si="5"/>
        <v/>
      </c>
      <c r="AE55" s="176" t="str">
        <f t="shared" ca="1" si="6"/>
        <v/>
      </c>
      <c r="AF55" s="176" t="str">
        <f t="shared" ca="1" si="7"/>
        <v/>
      </c>
      <c r="AG55" s="176" t="str">
        <f t="shared" ca="1" si="8"/>
        <v/>
      </c>
      <c r="AH55" s="183" t="str">
        <f t="shared" ca="1" si="9"/>
        <v/>
      </c>
      <c r="AI55" s="176" t="str">
        <f t="shared" ca="1" si="10"/>
        <v/>
      </c>
      <c r="AJ55" s="176" t="str">
        <f t="shared" ca="1" si="11"/>
        <v/>
      </c>
      <c r="AK55" s="176" t="str">
        <f t="shared" ca="1" si="12"/>
        <v/>
      </c>
      <c r="AL55" s="176" t="str">
        <f t="shared" ca="1" si="13"/>
        <v/>
      </c>
      <c r="AM55" s="176" t="str">
        <f t="shared" ca="1" si="14"/>
        <v/>
      </c>
      <c r="AN55" s="176" t="str">
        <f t="shared" ca="1" si="15"/>
        <v/>
      </c>
      <c r="AO55" s="176" t="str">
        <f t="shared" ca="1" si="16"/>
        <v/>
      </c>
      <c r="AP55" s="176" t="str">
        <f t="shared" ca="1" si="17"/>
        <v/>
      </c>
      <c r="AU55" s="176" t="str">
        <f t="shared" ca="1" si="18"/>
        <v/>
      </c>
      <c r="AW55" s="106" t="str">
        <f ca="1">IF(AF55&lt;&gt;"",OFFSET('数出表_Excel（アレルギー入力）'!$A$1,MATCH(AF55,'数出表_Excel（アレルギー入力）'!A:A,0)-2,0),"")</f>
        <v/>
      </c>
      <c r="AX55" s="106" t="str">
        <f ca="1">IF(AW55&lt;&gt;"",
OFFSET(得意先マスタ!$A$1,MATCH(AW55,得意先マスタ!A:A,0)-1,24),"")</f>
        <v/>
      </c>
      <c r="AY55" s="57">
        <f t="shared" ca="1" si="21"/>
        <v>0</v>
      </c>
      <c r="AZ55" s="57">
        <f t="shared" ca="1" si="29"/>
        <v>0</v>
      </c>
      <c r="BA55" s="57">
        <f t="shared" ca="1" si="30"/>
        <v>0</v>
      </c>
      <c r="BB55" s="176">
        <f t="shared" ca="1" si="24"/>
        <v>0</v>
      </c>
    </row>
    <row r="56" spans="1:54" ht="21" customHeight="1">
      <c r="A56" s="101">
        <f t="shared" si="31"/>
        <v>117</v>
      </c>
      <c r="B56" s="45" t="str">
        <f t="shared" si="32"/>
        <v/>
      </c>
      <c r="C56" s="45" t="str">
        <f>IF(OR(クライアント抽出!B56&lt;&gt;"",クライアント抽出!E56&lt;&gt;""),クライアント抽出!A56,"")</f>
        <v/>
      </c>
      <c r="D56" s="45" t="str">
        <f t="array" aca="1" ref="D56" ca="1">IF(C56&lt;&gt;"",INDIRECT("クライアント抽出!"&amp;E56&amp;MATCH(C56,クライアント抽出!A:A,0)&amp;""),"")</f>
        <v/>
      </c>
      <c r="E56" s="45" t="str">
        <f>IF(H56&lt;&gt;0,
IFERROR(
SUBSTITUTE(ADDRESS(1,
MATCH(VALUE(H56),クライアント抽出!A56:G56,0)+8,4),"1",""),
""),
IFERROR(
SUBSTITUTE(ADDRESS(1,
MATCH(VALUE(I56),クライアント抽出!A56:G56,0)+8,4),"1",""),
""))</f>
        <v/>
      </c>
      <c r="F56" s="184" t="str">
        <f ca="1">IF(D56&lt;&gt;"",
IF(COUNTIF(C56,"*雙葉*"),
IF(ROUND((H56-M56)
/IF(COUNTIF(D56,"*キャラ*"),
VLOOKUP("*キャラ*",商品マスタ!$D:$E,2,FALSE),
IF(COUNTIF(D56,"*赤*"),
VLOOKUP("*赤*",商品マスタ!$D:$E,2,FALSE),
VLOOKUP("*"&amp;D56&amp;"*",商品マスタ!$D:$E,2,FALSE))),0)&lt;=0,1,
ROUND((H56-M56)
/IF(COUNTIF(D56,"*キャラ*"),
VLOOKUP("*キャラ*",商品マスタ!$D:$E,2,FALSE),
IF(COUNTIF(D56,"*赤*"),
VLOOKUP("*赤*",商品マスタ!$D:$E,2,FALSE),
VLOOKUP("*"&amp;D56&amp;"*",商品マスタ!$D:$E,2,FALSE))),0)),
IF(OR(COUNTIF(D56,"*キャラ*"),COUNTIF(D56,"*赤*")),"",
IF(VLOOKUP("*"&amp;D56&amp;"*",商品マスタ!$D:$E,2,FALSE)=0,"",
IF(ROUND((H56-M56)
/VLOOKUP("*"&amp;D56&amp;"*",商品マスタ!$D:$E,2,FALSE),0)&lt;=0,1,
ROUND((H56-M56)
/VLOOKUP("*"&amp;D56&amp;"*",商品マスタ!$D:$E,2,FALSE),0))))),"")</f>
        <v/>
      </c>
      <c r="G56" s="45" t="str">
        <f ca="1">IF(F56&lt;&gt;"",
IF(VALUE(H56-M56)&gt;VALUE(IF(COUNTIF(D56,"*キャラ*"),
VLOOKUP("*キャラ*",商品マスタ!$D:$E,2,FALSE),
IF(COUNTIF(D56,"*赤*"),
VLOOKUP("*赤*",商品マスタ!$D:$E,2,FALSE),
VLOOKUP("*"&amp;D56&amp;"*",商品マスタ!$D:$E,2,FALSE)))*F56),
"+"&amp;(H56-M56)-IF(COUNTIF(D56,"*キャラ*"),
VLOOKUP("*キャラ*",商品マスタ!$D:$E,2,FALSE),
IF(COUNTIF(D56,"*赤*"),
VLOOKUP("*赤*",商品マスタ!$D:$E,2,FALSE),
VLOOKUP("*"&amp;D56&amp;"*",商品マスタ!$D:$E,2,FALSE)))*F56,
(H56-M56)-IF(COUNTIF(D56,"*キャラ*"),
VLOOKUP("*キャラ*",商品マスタ!$D:$E,2,FALSE),
IF(COUNTIF(D56,"*赤*"),
VLOOKUP("*赤*",商品マスタ!$D:$E,2,FALSE),
VLOOKUP("*"&amp;D56&amp;"*",商品マスタ!$D:$E,2,FALSE)))*F56),"")</f>
        <v/>
      </c>
      <c r="H56" s="99" t="str">
        <f>IF(C56&lt;&gt;"",
クライアント抽出!B56,"")</f>
        <v/>
      </c>
      <c r="I56" s="45" t="str">
        <f t="array" aca="1" ref="I56" ca="1">IF(C56&lt;&gt;"",
IF(O56=1,
IF(SUMPRODUCT(COUNTIF(クライアント抽出!P56:U56,クライアント抽出!P56:U56))&gt;COUNTA(クライアント抽出!P56:U56),
IFERROR(INDIRECT("数出表_Excel!"&amp;INDEX(_xlfn.UNIQUE(_xlfn._xlws.FILTER(クライアント抽出!P56:U56,COUNTIF(クライアント抽出!P56:U56,クライアント抽出!P56:U56)&gt;1)),1)&amp;L56&amp;""),
クライアント抽出!E56),0),クライアント抽出!E56),"")</f>
        <v/>
      </c>
      <c r="J56" s="45" t="str">
        <f>IF(C56&lt;&gt;"",
VLOOKUP(
"*"&amp;LEFT(IF(COUNTIF(D56,"*学食*"),"キャラ弁（学食）",
IF(COUNTIF(D56,"*赤*"),"赤",
IF(COUNTIF(D56,"*キャラ弁当*"),"キャラ弁当",D56))),4)&amp;"*",注文弁当の抽出!$F$1:$G$15,2,FALSE),"")</f>
        <v/>
      </c>
      <c r="K56" s="45" t="str">
        <f ca="1">IF(クライアント抽出!P56&lt;&gt;"",SUBSTITUTE(ADDRESS(1,(CODE(クライアント抽出!P56)-64)*2-1,4),"1",""),"")</f>
        <v/>
      </c>
      <c r="L56" s="45" t="str">
        <f>IF(C56&lt;&gt;"",クライアント抽出!I56,"")</f>
        <v/>
      </c>
      <c r="M56" s="45">
        <f t="array" aca="1" ref="M56" ca="1">IF(C56&lt;&gt;"",
IF(K56&lt;&gt;"",INDIRECT("'数出表_Excel（アレルギー入力）'!"&amp;K56&amp;L56-1&amp;""),),)</f>
        <v>0</v>
      </c>
      <c r="N56" s="45" t="str">
        <f>IF(C56&lt;&gt;"",IF(OR(COUNTIF('盛付札（関数）'!D56,"*赤*"),COUNTIF('盛付札（関数）'!D56,"*キャラ*")),1,
VALUE(VLOOKUP("*"&amp;D56&amp;"*",商品マスタ!D:H,5,FALSE))),"")</f>
        <v/>
      </c>
      <c r="O56" s="45">
        <f ca="1">IF(LEN(クライアント抽出!V56)-LEN(SUBSTITUTE(クライアント抽出!V56,",",""))&lt;&gt;1,
IF(AND(クライアント抽出!P56&lt;&gt;"",クライアント抽出!S56&lt;&gt;""),
IF(クライアント抽出!P56&lt;&gt;クライアント抽出!S56,1,0),0),0)</f>
        <v>0</v>
      </c>
      <c r="P56" s="45">
        <f t="shared" si="0"/>
        <v>0</v>
      </c>
      <c r="Q56" s="45" t="b">
        <f t="shared" si="1"/>
        <v>0</v>
      </c>
      <c r="R56" s="122" t="str">
        <f t="array" aca="1" ref="R56" ca="1">IFERROR(SMALL(IF(P$1:P$311&lt;&gt;0,P$1:P$311),ROW(A56)),"")</f>
        <v/>
      </c>
      <c r="S56" s="122" t="str">
        <f t="array" aca="1" ref="S56" ca="1">IF($R56&lt;&gt;"",
SUBSTITUTE(SUBSTITUTE(INDIRECT("C"&amp;$R56&amp;"")," 週3ｺｰｽ","")," 週5ｺｰｽ",""),"")</f>
        <v/>
      </c>
      <c r="T56" s="122" t="str">
        <f t="array" aca="1" ref="T56" ca="1">IF(IF($R56&lt;&gt;"",
INDIRECT(""&amp;IF(COLUMN(D56)&lt;=26,CHAR(COLUMN(D56)+64),CHAR(INT((COLUMN(D56)-1)/26)+64)&amp;CHAR(MOD(COLUMN(D56)-1,26)+65))&amp;$R56&amp;""),"")=0,"",
IF($R56&lt;&gt;"",
INDIRECT(""&amp;IF(COLUMN(D56)&lt;=26,CHAR(COLUMN(D56)+64),CHAR(INT((COLUMN(D56)-1)/26)+64)&amp;CHAR(MOD(COLUMN(D56)-1,26)+65))&amp;$R56&amp;""),""))</f>
        <v/>
      </c>
      <c r="U56" s="185" t="str">
        <f t="array" aca="1" ref="U56" ca="1">IF($R56&lt;&gt;"",
INDIRECT("F"&amp;$R56&amp;""),"")</f>
        <v/>
      </c>
      <c r="V56" s="122" t="str">
        <f t="array" aca="1" ref="V56" ca="1">IF($R56&lt;&gt;"",
INDIRECT("G"&amp;$R56&amp;""),"")</f>
        <v/>
      </c>
      <c r="W56" s="122" t="str" cm="1">
        <f t="array" aca="1" ref="W56" ca="1">IF($R56&lt;&gt;"",
IF(AND(COUNTIF(INDIRECT("B"&amp;R56&amp;""),"*雙葉*"),COUNTIF($B$71:$B$210,"*雙葉*")&gt;=1),
IF(OR(COUNTIF(INDIRECT("B"&amp;R56&amp;""),"*雙葉先生*"),COUNTIF(INDIRECT("B"&amp;R56-1&amp;""),"*雙葉*")),INDIRECT("H"&amp;R56&amp;""),INDIRECT("H"&amp;R56&amp;"")+INDIRECT("H"&amp;MATCH("雙葉'",INDIRECT("B"&amp;R56+3&amp;":B210"),0)+2+R56&amp;"")),
IF(AND(LEFT(INDIRECT("B"&amp;R56&amp;""),2)="博多",COUNTIF(B:B,"*博多*")&gt;=2),
INDIRECT("H"&amp;R56&amp;"")+IFERROR(INDIRECT("H"&amp;MATCH("*"&amp;INDIRECT("B"&amp;R56&amp;"")&amp;"*",INDIRECT("B"&amp;R56+1&amp;":B210"),0)+R56&amp;""),0),
IF(AND(LEFT(INDIRECT("B"&amp;R56&amp;""),3)="奈良屋",COUNTIF(B:B,"*奈良屋*")&gt;=2),
INDIRECT("H"&amp;R56&amp;"")
+INDIRECT("H"&amp;MATCH("*"&amp;INDIRECT("B"&amp;R56&amp;"")&amp;"*",INDIRECT("B"&amp;R56+1&amp;":B210"),0)+R56&amp;"")
+INDIRECT("H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
+INDIRECT("H"&amp;MATCH("*"&amp;INDIRECT("B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&amp;"*",INDIRECT("B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+1&amp;":B210"),0)+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,
INDIRECT("H"&amp;R56&amp;"")))),"")</f>
        <v/>
      </c>
      <c r="X56" s="122" t="str">
        <f t="array" aca="1" ref="X56" ca="1">IF($R56&lt;&gt;"",
INDIRECT(""&amp;IF(COLUMN(I56)&lt;=26,CHAR(COLUMN(I56)+64),CHAR(INT((COLUMN(I56)-1)/26)+64)&amp;CHAR(MOD(COLUMN(I56)-1,26)+65))&amp;$R56&amp;""),"")</f>
        <v/>
      </c>
      <c r="Y56" s="122" t="str">
        <f t="array" aca="1" ref="Y56" ca="1">IF($R56&lt;&gt;"",
INDIRECT(""&amp;IF(COLUMN(J56)&lt;=26,CHAR(COLUMN(J56)+64),CHAR(INT((COLUMN(J56)-1)/26)+64)&amp;CHAR(MOD(COLUMN(J56)-1,26)+65))&amp;$R56&amp;""),"")</f>
        <v/>
      </c>
      <c r="Z56" s="122" t="str">
        <f t="shared" ca="1" si="2"/>
        <v/>
      </c>
      <c r="AA56" s="122" t="str">
        <f t="shared" ca="1" si="3"/>
        <v/>
      </c>
      <c r="AB56" s="122" t="str">
        <f t="array" aca="1" ref="AB56" ca="1">IF($R56&lt;&gt;"",
IF(AND(COUNTIF(INDIRECT("B"&amp;R56&amp;""),"*雙葉*"),COUNTIF(INDIRECT("B"&amp;R56&amp;""),"&lt;&gt;*先生*"),COUNTIF(B:B,"*雙葉*")&gt;=2),
INDIRECT("M"&amp;R56&amp;"")+INDIRECT("M"&amp;MATCH("雙葉'",INDIRECT("B"&amp;R56+1&amp;":B210"),0)+R56&amp;""),
IF(AND(LEFT(INDIRECT("B"&amp;R56&amp;""),2)="博多",COUNTIF(B:B,"*博多*")&gt;=2),
INDIRECT("M"&amp;R56&amp;"")+INDIRECT("M"&amp;MATCH("*"&amp;INDIRECT("B"&amp;R56&amp;"")&amp;"*",INDIRECT("B"&amp;R56+1&amp;":B210"),0)+R56&amp;""),
IF(AND(LEFT(INDIRECT("B"&amp;R56&amp;""),3)="奈良屋",COUNTIF(B:B,"*奈良屋*")&gt;=2),
INDIRECT("M"&amp;R56&amp;"")+INDIRECT("M"&amp;MATCH("*"&amp;INDIRECT("B"&amp;R56&amp;"")&amp;"*",INDIRECT("B"&amp;R56+1&amp;":B210"),0)+R56&amp;"")
+INDIRECT("M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,
INDIRECT("M"&amp;R56&amp;"")))),"")</f>
        <v/>
      </c>
      <c r="AC56" s="122" t="str">
        <f t="shared" ca="1" si="4"/>
        <v/>
      </c>
      <c r="AD56" s="176" t="str">
        <f t="shared" ca="1" si="5"/>
        <v/>
      </c>
      <c r="AE56" s="176" t="str">
        <f t="shared" ca="1" si="6"/>
        <v/>
      </c>
      <c r="AF56" s="176" t="str">
        <f t="shared" ca="1" si="7"/>
        <v/>
      </c>
      <c r="AG56" s="176" t="str">
        <f t="shared" ca="1" si="8"/>
        <v/>
      </c>
      <c r="AH56" s="183" t="str">
        <f t="shared" ca="1" si="9"/>
        <v/>
      </c>
      <c r="AI56" s="176" t="str">
        <f t="shared" ca="1" si="10"/>
        <v/>
      </c>
      <c r="AJ56" s="176" t="str">
        <f t="shared" ca="1" si="11"/>
        <v/>
      </c>
      <c r="AK56" s="176" t="str">
        <f t="shared" ca="1" si="12"/>
        <v/>
      </c>
      <c r="AL56" s="176" t="str">
        <f t="shared" ca="1" si="13"/>
        <v/>
      </c>
      <c r="AM56" s="176" t="str">
        <f t="shared" ca="1" si="14"/>
        <v/>
      </c>
      <c r="AN56" s="176" t="str">
        <f t="shared" ca="1" si="15"/>
        <v/>
      </c>
      <c r="AO56" s="176" t="str">
        <f t="shared" ca="1" si="16"/>
        <v/>
      </c>
      <c r="AP56" s="176" t="str">
        <f t="shared" ca="1" si="17"/>
        <v/>
      </c>
      <c r="AU56" s="176" t="str">
        <f t="shared" ca="1" si="18"/>
        <v/>
      </c>
      <c r="AW56" s="106" t="str">
        <f ca="1">IF(AF56&lt;&gt;"",OFFSET('数出表_Excel（アレルギー入力）'!$A$1,MATCH(AF56,'数出表_Excel（アレルギー入力）'!A:A,0)-2,0),"")</f>
        <v/>
      </c>
      <c r="AX56" s="106" t="str">
        <f ca="1">IF(AW56&lt;&gt;"",
OFFSET(得意先マスタ!$A$1,MATCH(AW56,得意先マスタ!A:A,0)-1,24),"")</f>
        <v/>
      </c>
      <c r="AY56" s="57">
        <f t="shared" ca="1" si="21"/>
        <v>0</v>
      </c>
      <c r="AZ56" s="57">
        <f t="shared" ca="1" si="29"/>
        <v>0</v>
      </c>
      <c r="BA56" s="57">
        <f t="shared" ca="1" si="30"/>
        <v>0</v>
      </c>
      <c r="BB56" s="176">
        <f t="shared" ca="1" si="24"/>
        <v>0</v>
      </c>
    </row>
    <row r="57" spans="1:54" ht="18" customHeight="1">
      <c r="A57" s="101">
        <f t="shared" si="31"/>
        <v>119</v>
      </c>
      <c r="B57" s="45" t="str">
        <f t="shared" si="32"/>
        <v/>
      </c>
      <c r="C57" s="45" t="str">
        <f>IF(OR(クライアント抽出!B57&lt;&gt;"",クライアント抽出!E57&lt;&gt;""),クライアント抽出!A57,"")</f>
        <v/>
      </c>
      <c r="D57" s="45" t="str">
        <f t="array" aca="1" ref="D57" ca="1">IF(C57&lt;&gt;"",INDIRECT("クライアント抽出!"&amp;E57&amp;MATCH(C57,クライアント抽出!A:A,0)&amp;""),"")</f>
        <v/>
      </c>
      <c r="E57" s="45" t="str">
        <f>IF(H57&lt;&gt;0,
IFERROR(
SUBSTITUTE(ADDRESS(1,
MATCH(VALUE(H57),クライアント抽出!A57:G57,0)+8,4),"1",""),
""),
IFERROR(
SUBSTITUTE(ADDRESS(1,
MATCH(VALUE(I57),クライアント抽出!A57:G57,0)+8,4),"1",""),
""))</f>
        <v/>
      </c>
      <c r="F57" s="184" t="str">
        <f ca="1">IF(D57&lt;&gt;"",
IF(COUNTIF(C57,"*雙葉*"),
IF(ROUND((H57-M57)
/IF(COUNTIF(D57,"*キャラ*"),
VLOOKUP("*キャラ*",商品マスタ!$D:$E,2,FALSE),
IF(COUNTIF(D57,"*赤*"),
VLOOKUP("*赤*",商品マスタ!$D:$E,2,FALSE),
VLOOKUP("*"&amp;D57&amp;"*",商品マスタ!$D:$E,2,FALSE))),0)&lt;=0,1,
ROUND((H57-M57)
/IF(COUNTIF(D57,"*キャラ*"),
VLOOKUP("*キャラ*",商品マスタ!$D:$E,2,FALSE),
IF(COUNTIF(D57,"*赤*"),
VLOOKUP("*赤*",商品マスタ!$D:$E,2,FALSE),
VLOOKUP("*"&amp;D57&amp;"*",商品マスタ!$D:$E,2,FALSE))),0)),
IF(OR(COUNTIF(D57,"*キャラ*"),COUNTIF(D57,"*赤*")),"",
IF(VLOOKUP("*"&amp;D57&amp;"*",商品マスタ!$D:$E,2,FALSE)=0,"",
IF(ROUND((H57-M57)
/VLOOKUP("*"&amp;D57&amp;"*",商品マスタ!$D:$E,2,FALSE),0)&lt;=0,1,
ROUND((H57-M57)
/VLOOKUP("*"&amp;D57&amp;"*",商品マスタ!$D:$E,2,FALSE),0))))),"")</f>
        <v/>
      </c>
      <c r="G57" s="45" t="str">
        <f ca="1">IF(F57&lt;&gt;"",
IF(VALUE(H57-M57)&gt;VALUE(IF(COUNTIF(D57,"*キャラ*"),
VLOOKUP("*キャラ*",商品マスタ!$D:$E,2,FALSE),
IF(COUNTIF(D57,"*赤*"),
VLOOKUP("*赤*",商品マスタ!$D:$E,2,FALSE),
VLOOKUP("*"&amp;D57&amp;"*",商品マスタ!$D:$E,2,FALSE)))*F57),
"+"&amp;(H57-M57)-IF(COUNTIF(D57,"*キャラ*"),
VLOOKUP("*キャラ*",商品マスタ!$D:$E,2,FALSE),
IF(COUNTIF(D57,"*赤*"),
VLOOKUP("*赤*",商品マスタ!$D:$E,2,FALSE),
VLOOKUP("*"&amp;D57&amp;"*",商品マスタ!$D:$E,2,FALSE)))*F57,
(H57-M57)-IF(COUNTIF(D57,"*キャラ*"),
VLOOKUP("*キャラ*",商品マスタ!$D:$E,2,FALSE),
IF(COUNTIF(D57,"*赤*"),
VLOOKUP("*赤*",商品マスタ!$D:$E,2,FALSE),
VLOOKUP("*"&amp;D57&amp;"*",商品マスタ!$D:$E,2,FALSE)))*F57),"")</f>
        <v/>
      </c>
      <c r="H57" s="99" t="str">
        <f>IF(C57&lt;&gt;"",
クライアント抽出!B57,"")</f>
        <v/>
      </c>
      <c r="I57" s="45" t="str">
        <f t="array" aca="1" ref="I57" ca="1">IF(C57&lt;&gt;"",
IF(O57=1,
IF(SUMPRODUCT(COUNTIF(クライアント抽出!P57:U57,クライアント抽出!P57:U57))&gt;COUNTA(クライアント抽出!P57:U57),
IFERROR(INDIRECT("数出表_Excel!"&amp;INDEX(_xlfn.UNIQUE(_xlfn._xlws.FILTER(クライアント抽出!P57:U57,COUNTIF(クライアント抽出!P57:U57,クライアント抽出!P57:U57)&gt;1)),1)&amp;L57&amp;""),
クライアント抽出!E57),0),クライアント抽出!E57),"")</f>
        <v/>
      </c>
      <c r="J57" s="45" t="str">
        <f>IF(C57&lt;&gt;"",
VLOOKUP(
"*"&amp;LEFT(IF(COUNTIF(D57,"*学食*"),"キャラ弁（学食）",
IF(COUNTIF(D57,"*赤*"),"赤",
IF(COUNTIF(D57,"*キャラ弁当*"),"キャラ弁当",D57))),4)&amp;"*",注文弁当の抽出!$F$1:$G$15,2,FALSE),"")</f>
        <v/>
      </c>
      <c r="K57" s="45" t="str">
        <f ca="1">IF(クライアント抽出!P57&lt;&gt;"",SUBSTITUTE(ADDRESS(1,(CODE(クライアント抽出!P57)-64)*2-1,4),"1",""),"")</f>
        <v/>
      </c>
      <c r="L57" s="45" t="str">
        <f>IF(C57&lt;&gt;"",クライアント抽出!I57,"")</f>
        <v/>
      </c>
      <c r="M57" s="45">
        <f t="array" aca="1" ref="M57" ca="1">IF(C57&lt;&gt;"",
IF(K57&lt;&gt;"",INDIRECT("'数出表_Excel（アレルギー入力）'!"&amp;K57&amp;L57-1&amp;""),),)</f>
        <v>0</v>
      </c>
      <c r="N57" s="45" t="str">
        <f>IF(C57&lt;&gt;"",IF(OR(COUNTIF('盛付札（関数）'!D57,"*赤*"),COUNTIF('盛付札（関数）'!D57,"*キャラ*")),1,
VALUE(VLOOKUP("*"&amp;D57&amp;"*",商品マスタ!D:H,5,FALSE))),"")</f>
        <v/>
      </c>
      <c r="O57" s="45">
        <f ca="1">IF(LEN(クライアント抽出!V57)-LEN(SUBSTITUTE(クライアント抽出!V57,",",""))&lt;&gt;1,
IF(AND(クライアント抽出!P57&lt;&gt;"",クライアント抽出!S57&lt;&gt;""),
IF(クライアント抽出!P57&lt;&gt;クライアント抽出!S57,1,0),0),0)</f>
        <v>0</v>
      </c>
      <c r="P57" s="45">
        <f t="shared" si="0"/>
        <v>0</v>
      </c>
      <c r="Q57" s="45" t="b">
        <f t="shared" si="1"/>
        <v>0</v>
      </c>
      <c r="R57" s="122" t="str">
        <f t="array" aca="1" ref="R57" ca="1">IFERROR(SMALL(IF(P$1:P$311&lt;&gt;0,P$1:P$311),ROW(A57)),"")</f>
        <v/>
      </c>
      <c r="S57" s="122" t="str">
        <f t="array" aca="1" ref="S57" ca="1">IF($R57&lt;&gt;"",
SUBSTITUTE(SUBSTITUTE(INDIRECT("C"&amp;$R57&amp;"")," 週3ｺｰｽ","")," 週5ｺｰｽ",""),"")</f>
        <v/>
      </c>
      <c r="T57" s="122" t="str">
        <f t="array" aca="1" ref="T57" ca="1">IF(IF($R57&lt;&gt;"",
INDIRECT(""&amp;IF(COLUMN(D57)&lt;=26,CHAR(COLUMN(D57)+64),CHAR(INT((COLUMN(D57)-1)/26)+64)&amp;CHAR(MOD(COLUMN(D57)-1,26)+65))&amp;$R57&amp;""),"")=0,"",
IF($R57&lt;&gt;"",
INDIRECT(""&amp;IF(COLUMN(D57)&lt;=26,CHAR(COLUMN(D57)+64),CHAR(INT((COLUMN(D57)-1)/26)+64)&amp;CHAR(MOD(COLUMN(D57)-1,26)+65))&amp;$R57&amp;""),""))</f>
        <v/>
      </c>
      <c r="U57" s="185" t="str">
        <f t="array" aca="1" ref="U57" ca="1">IF($R57&lt;&gt;"",
INDIRECT("F"&amp;$R57&amp;""),"")</f>
        <v/>
      </c>
      <c r="V57" s="122" t="str">
        <f t="array" aca="1" ref="V57" ca="1">IF($R57&lt;&gt;"",
INDIRECT("G"&amp;$R57&amp;""),"")</f>
        <v/>
      </c>
      <c r="W57" s="122" t="str" cm="1">
        <f t="array" aca="1" ref="W57" ca="1">IF($R57&lt;&gt;"",
IF(AND(COUNTIF(INDIRECT("B"&amp;R57&amp;""),"*雙葉*"),COUNTIF($B$71:$B$210,"*雙葉*")&gt;=1),
IF(OR(COUNTIF(INDIRECT("B"&amp;R57&amp;""),"*雙葉先生*"),COUNTIF(INDIRECT("B"&amp;R57-1&amp;""),"*雙葉*")),INDIRECT("H"&amp;R57&amp;""),INDIRECT("H"&amp;R57&amp;"")+INDIRECT("H"&amp;MATCH("雙葉'",INDIRECT("B"&amp;R57+3&amp;":B210"),0)+2+R57&amp;"")),
IF(AND(LEFT(INDIRECT("B"&amp;R57&amp;""),2)="博多",COUNTIF(B:B,"*博多*")&gt;=2),
INDIRECT("H"&amp;R57&amp;"")+IFERROR(INDIRECT("H"&amp;MATCH("*"&amp;INDIRECT("B"&amp;R57&amp;"")&amp;"*",INDIRECT("B"&amp;R57+1&amp;":B210"),0)+R57&amp;""),0),
IF(AND(LEFT(INDIRECT("B"&amp;R57&amp;""),3)="奈良屋",COUNTIF(B:B,"*奈良屋*")&gt;=2),
INDIRECT("H"&amp;R57&amp;"")
+INDIRECT("H"&amp;MATCH("*"&amp;INDIRECT("B"&amp;R57&amp;"")&amp;"*",INDIRECT("B"&amp;R57+1&amp;":B210"),0)+R57&amp;"")
+INDIRECT("H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
+INDIRECT("H"&amp;MATCH("*"&amp;INDIRECT("B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&amp;"*",INDIRECT("B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+1&amp;":B210"),0)+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,
INDIRECT("H"&amp;R57&amp;"")))),"")</f>
        <v/>
      </c>
      <c r="X57" s="122" t="str">
        <f t="array" aca="1" ref="X57" ca="1">IF($R57&lt;&gt;"",
INDIRECT(""&amp;IF(COLUMN(I57)&lt;=26,CHAR(COLUMN(I57)+64),CHAR(INT((COLUMN(I57)-1)/26)+64)&amp;CHAR(MOD(COLUMN(I57)-1,26)+65))&amp;$R57&amp;""),"")</f>
        <v/>
      </c>
      <c r="Y57" s="122" t="str">
        <f t="array" aca="1" ref="Y57" ca="1">IF($R57&lt;&gt;"",
INDIRECT(""&amp;IF(COLUMN(J57)&lt;=26,CHAR(COLUMN(J57)+64),CHAR(INT((COLUMN(J57)-1)/26)+64)&amp;CHAR(MOD(COLUMN(J57)-1,26)+65))&amp;$R57&amp;""),"")</f>
        <v/>
      </c>
      <c r="Z57" s="122" t="str">
        <f t="shared" ca="1" si="2"/>
        <v/>
      </c>
      <c r="AA57" s="122" t="str">
        <f t="shared" ca="1" si="3"/>
        <v/>
      </c>
      <c r="AB57" s="122" t="str">
        <f t="array" aca="1" ref="AB57" ca="1">IF($R57&lt;&gt;"",
IF(AND(COUNTIF(INDIRECT("B"&amp;R57&amp;""),"*雙葉*"),COUNTIF(INDIRECT("B"&amp;R57&amp;""),"&lt;&gt;*先生*"),COUNTIF(B:B,"*雙葉*")&gt;=2),
INDIRECT("M"&amp;R57&amp;"")+INDIRECT("M"&amp;MATCH("雙葉'",INDIRECT("B"&amp;R57+1&amp;":B210"),0)+R57&amp;""),
IF(AND(LEFT(INDIRECT("B"&amp;R57&amp;""),2)="博多",COUNTIF(B:B,"*博多*")&gt;=2),
INDIRECT("M"&amp;R57&amp;"")+INDIRECT("M"&amp;MATCH("*"&amp;INDIRECT("B"&amp;R57&amp;"")&amp;"*",INDIRECT("B"&amp;R57+1&amp;":B210"),0)+R57&amp;""),
IF(AND(LEFT(INDIRECT("B"&amp;R57&amp;""),3)="奈良屋",COUNTIF(B:B,"*奈良屋*")&gt;=2),
INDIRECT("M"&amp;R57&amp;"")+INDIRECT("M"&amp;MATCH("*"&amp;INDIRECT("B"&amp;R57&amp;"")&amp;"*",INDIRECT("B"&amp;R57+1&amp;":B210"),0)+R57&amp;"")
+INDIRECT("M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,
INDIRECT("M"&amp;R57&amp;"")))),"")</f>
        <v/>
      </c>
      <c r="AC57" s="122" t="str">
        <f t="shared" ca="1" si="4"/>
        <v/>
      </c>
      <c r="AD57" s="176" t="str">
        <f t="shared" ca="1" si="5"/>
        <v/>
      </c>
      <c r="AE57" s="176" t="str">
        <f t="shared" ca="1" si="6"/>
        <v/>
      </c>
      <c r="AF57" s="176" t="str">
        <f t="shared" ca="1" si="7"/>
        <v/>
      </c>
      <c r="AG57" s="176" t="str">
        <f t="shared" ca="1" si="8"/>
        <v/>
      </c>
      <c r="AH57" s="183" t="str">
        <f t="shared" ca="1" si="9"/>
        <v/>
      </c>
      <c r="AI57" s="176" t="str">
        <f t="shared" ca="1" si="10"/>
        <v/>
      </c>
      <c r="AJ57" s="176" t="str">
        <f t="shared" ca="1" si="11"/>
        <v/>
      </c>
      <c r="AK57" s="176" t="str">
        <f t="shared" ca="1" si="12"/>
        <v/>
      </c>
      <c r="AL57" s="176" t="str">
        <f t="shared" ca="1" si="13"/>
        <v/>
      </c>
      <c r="AM57" s="176" t="str">
        <f t="shared" ca="1" si="14"/>
        <v/>
      </c>
      <c r="AN57" s="176" t="str">
        <f t="shared" ca="1" si="15"/>
        <v/>
      </c>
      <c r="AO57" s="176" t="str">
        <f t="shared" ca="1" si="16"/>
        <v/>
      </c>
      <c r="AP57" s="176" t="str">
        <f t="shared" ca="1" si="17"/>
        <v/>
      </c>
      <c r="AU57" s="176" t="str">
        <f t="shared" ca="1" si="18"/>
        <v/>
      </c>
      <c r="AW57" s="106" t="str">
        <f ca="1">IF(AF57&lt;&gt;"",OFFSET('数出表_Excel（アレルギー入力）'!$A$1,MATCH(AF57,'数出表_Excel（アレルギー入力）'!A:A,0)-2,0),"")</f>
        <v/>
      </c>
      <c r="AX57" s="106" t="str">
        <f ca="1">IF(AW57&lt;&gt;"",
OFFSET(得意先マスタ!$A$1,MATCH(AW57,得意先マスタ!A:A,0)-1,24),"")</f>
        <v/>
      </c>
      <c r="AY57" s="57">
        <f t="shared" ca="1" si="21"/>
        <v>0</v>
      </c>
      <c r="AZ57" s="57">
        <f t="shared" ca="1" si="29"/>
        <v>0</v>
      </c>
      <c r="BA57" s="57">
        <f t="shared" ca="1" si="30"/>
        <v>0</v>
      </c>
      <c r="BB57" s="176">
        <f t="shared" ca="1" si="24"/>
        <v>0</v>
      </c>
    </row>
    <row r="58" spans="1:54" ht="18" customHeight="1">
      <c r="A58" s="101">
        <f t="shared" si="31"/>
        <v>121</v>
      </c>
      <c r="B58" s="45" t="str">
        <f t="shared" si="32"/>
        <v/>
      </c>
      <c r="C58" s="45" t="str">
        <f>IF(OR(クライアント抽出!B58&lt;&gt;"",クライアント抽出!E58&lt;&gt;""),クライアント抽出!A58,"")</f>
        <v/>
      </c>
      <c r="D58" s="45" t="str">
        <f t="array" aca="1" ref="D58" ca="1">IF(C58&lt;&gt;"",INDIRECT("クライアント抽出!"&amp;E58&amp;MATCH(C58,クライアント抽出!A:A,0)&amp;""),"")</f>
        <v/>
      </c>
      <c r="E58" s="45" t="str">
        <f>IF(H58&lt;&gt;0,
IFERROR(
SUBSTITUTE(ADDRESS(1,
MATCH(VALUE(H58),クライアント抽出!A58:G58,0)+8,4),"1",""),
""),
IFERROR(
SUBSTITUTE(ADDRESS(1,
MATCH(VALUE(I58),クライアント抽出!A58:G58,0)+8,4),"1",""),
""))</f>
        <v/>
      </c>
      <c r="F58" s="184" t="str">
        <f ca="1">IF(D58&lt;&gt;"",
IF(COUNTIF(C58,"*雙葉*"),
IF(ROUND((H58-M58)
/IF(COUNTIF(D58,"*キャラ*"),
VLOOKUP("*キャラ*",商品マスタ!$D:$E,2,FALSE),
IF(COUNTIF(D58,"*赤*"),
VLOOKUP("*赤*",商品マスタ!$D:$E,2,FALSE),
VLOOKUP("*"&amp;D58&amp;"*",商品マスタ!$D:$E,2,FALSE))),0)&lt;=0,1,
ROUND((H58-M58)
/IF(COUNTIF(D58,"*キャラ*"),
VLOOKUP("*キャラ*",商品マスタ!$D:$E,2,FALSE),
IF(COUNTIF(D58,"*赤*"),
VLOOKUP("*赤*",商品マスタ!$D:$E,2,FALSE),
VLOOKUP("*"&amp;D58&amp;"*",商品マスタ!$D:$E,2,FALSE))),0)),
IF(OR(COUNTIF(D58,"*キャラ*"),COUNTIF(D58,"*赤*")),"",
IF(VLOOKUP("*"&amp;D58&amp;"*",商品マスタ!$D:$E,2,FALSE)=0,"",
IF(ROUND((H58-M58)
/VLOOKUP("*"&amp;D58&amp;"*",商品マスタ!$D:$E,2,FALSE),0)&lt;=0,1,
ROUND((H58-M58)
/VLOOKUP("*"&amp;D58&amp;"*",商品マスタ!$D:$E,2,FALSE),0))))),"")</f>
        <v/>
      </c>
      <c r="G58" s="45" t="str">
        <f ca="1">IF(F58&lt;&gt;"",
IF(VALUE(H58-M58)&gt;VALUE(IF(COUNTIF(D58,"*キャラ*"),
VLOOKUP("*キャラ*",商品マスタ!$D:$E,2,FALSE),
IF(COUNTIF(D58,"*赤*"),
VLOOKUP("*赤*",商品マスタ!$D:$E,2,FALSE),
VLOOKUP("*"&amp;D58&amp;"*",商品マスタ!$D:$E,2,FALSE)))*F58),
"+"&amp;(H58-M58)-IF(COUNTIF(D58,"*キャラ*"),
VLOOKUP("*キャラ*",商品マスタ!$D:$E,2,FALSE),
IF(COUNTIF(D58,"*赤*"),
VLOOKUP("*赤*",商品マスタ!$D:$E,2,FALSE),
VLOOKUP("*"&amp;D58&amp;"*",商品マスタ!$D:$E,2,FALSE)))*F58,
(H58-M58)-IF(COUNTIF(D58,"*キャラ*"),
VLOOKUP("*キャラ*",商品マスタ!$D:$E,2,FALSE),
IF(COUNTIF(D58,"*赤*"),
VLOOKUP("*赤*",商品マスタ!$D:$E,2,FALSE),
VLOOKUP("*"&amp;D58&amp;"*",商品マスタ!$D:$E,2,FALSE)))*F58),"")</f>
        <v/>
      </c>
      <c r="H58" s="99" t="str">
        <f>IF(C58&lt;&gt;"",
クライアント抽出!B58,"")</f>
        <v/>
      </c>
      <c r="I58" s="45" t="str">
        <f t="array" aca="1" ref="I58" ca="1">IF(C58&lt;&gt;"",
IF(O58=1,
IF(SUMPRODUCT(COUNTIF(クライアント抽出!P58:U58,クライアント抽出!P58:U58))&gt;COUNTA(クライアント抽出!P58:U58),
IFERROR(INDIRECT("数出表_Excel!"&amp;INDEX(_xlfn.UNIQUE(_xlfn._xlws.FILTER(クライアント抽出!P58:U58,COUNTIF(クライアント抽出!P58:U58,クライアント抽出!P58:U58)&gt;1)),1)&amp;L58&amp;""),
クライアント抽出!E58),0),クライアント抽出!E58),"")</f>
        <v/>
      </c>
      <c r="J58" s="45" t="str">
        <f>IF(C58&lt;&gt;"",
VLOOKUP(
"*"&amp;LEFT(IF(COUNTIF(D58,"*学食*"),"キャラ弁（学食）",
IF(COUNTIF(D58,"*赤*"),"赤",
IF(COUNTIF(D58,"*キャラ弁当*"),"キャラ弁当",D58))),4)&amp;"*",注文弁当の抽出!$F$1:$G$15,2,FALSE),"")</f>
        <v/>
      </c>
      <c r="K58" s="45" t="str">
        <f ca="1">IF(クライアント抽出!P58&lt;&gt;"",SUBSTITUTE(ADDRESS(1,(CODE(クライアント抽出!P58)-64)*2-1,4),"1",""),"")</f>
        <v/>
      </c>
      <c r="L58" s="45" t="str">
        <f>IF(C58&lt;&gt;"",クライアント抽出!I58,"")</f>
        <v/>
      </c>
      <c r="M58" s="45">
        <f t="array" aca="1" ref="M58" ca="1">IF(C58&lt;&gt;"",
IF(K58&lt;&gt;"",INDIRECT("'数出表_Excel（アレルギー入力）'!"&amp;K58&amp;L58-1&amp;""),),)</f>
        <v>0</v>
      </c>
      <c r="N58" s="45" t="str">
        <f>IF(C58&lt;&gt;"",IF(OR(COUNTIF('盛付札（関数）'!D58,"*赤*"),COUNTIF('盛付札（関数）'!D58,"*キャラ*")),1,
VALUE(VLOOKUP("*"&amp;D58&amp;"*",商品マスタ!D:H,5,FALSE))),"")</f>
        <v/>
      </c>
      <c r="O58" s="45">
        <f ca="1">IF(LEN(クライアント抽出!V58)-LEN(SUBSTITUTE(クライアント抽出!V58,",",""))&lt;&gt;1,
IF(AND(クライアント抽出!P58&lt;&gt;"",クライアント抽出!S58&lt;&gt;""),
IF(クライアント抽出!P58&lt;&gt;クライアント抽出!S58,1,0),0),0)</f>
        <v>0</v>
      </c>
      <c r="P58" s="45">
        <f t="shared" si="0"/>
        <v>0</v>
      </c>
      <c r="Q58" s="45" t="b">
        <f t="shared" si="1"/>
        <v>0</v>
      </c>
      <c r="R58" s="122" t="str">
        <f t="array" aca="1" ref="R58" ca="1">IFERROR(SMALL(IF(P$1:P$311&lt;&gt;0,P$1:P$311),ROW(A58)),"")</f>
        <v/>
      </c>
      <c r="S58" s="122" t="str">
        <f t="array" aca="1" ref="S58" ca="1">IF($R58&lt;&gt;"",
SUBSTITUTE(SUBSTITUTE(INDIRECT("C"&amp;$R58&amp;"")," 週3ｺｰｽ","")," 週5ｺｰｽ",""),"")</f>
        <v/>
      </c>
      <c r="T58" s="122" t="str">
        <f t="array" aca="1" ref="T58" ca="1">IF(IF($R58&lt;&gt;"",
INDIRECT(""&amp;IF(COLUMN(D58)&lt;=26,CHAR(COLUMN(D58)+64),CHAR(INT((COLUMN(D58)-1)/26)+64)&amp;CHAR(MOD(COLUMN(D58)-1,26)+65))&amp;$R58&amp;""),"")=0,"",
IF($R58&lt;&gt;"",
INDIRECT(""&amp;IF(COLUMN(D58)&lt;=26,CHAR(COLUMN(D58)+64),CHAR(INT((COLUMN(D58)-1)/26)+64)&amp;CHAR(MOD(COLUMN(D58)-1,26)+65))&amp;$R58&amp;""),""))</f>
        <v/>
      </c>
      <c r="U58" s="185" t="str">
        <f t="array" aca="1" ref="U58" ca="1">IF($R58&lt;&gt;"",
INDIRECT("F"&amp;$R58&amp;""),"")</f>
        <v/>
      </c>
      <c r="V58" s="122" t="str">
        <f t="array" aca="1" ref="V58" ca="1">IF($R58&lt;&gt;"",
INDIRECT("G"&amp;$R58&amp;""),"")</f>
        <v/>
      </c>
      <c r="W58" s="122" t="str" cm="1">
        <f t="array" aca="1" ref="W58" ca="1">IF($R58&lt;&gt;"",
IF(AND(COUNTIF(INDIRECT("B"&amp;R58&amp;""),"*雙葉*"),COUNTIF($B$71:$B$210,"*雙葉*")&gt;=1),
IF(OR(COUNTIF(INDIRECT("B"&amp;R58&amp;""),"*雙葉先生*"),COUNTIF(INDIRECT("B"&amp;R58-1&amp;""),"*雙葉*")),INDIRECT("H"&amp;R58&amp;""),INDIRECT("H"&amp;R58&amp;"")+INDIRECT("H"&amp;MATCH("雙葉'",INDIRECT("B"&amp;R58+3&amp;":B210"),0)+2+R58&amp;"")),
IF(AND(LEFT(INDIRECT("B"&amp;R58&amp;""),2)="博多",COUNTIF(B:B,"*博多*")&gt;=2),
INDIRECT("H"&amp;R58&amp;"")+IFERROR(INDIRECT("H"&amp;MATCH("*"&amp;INDIRECT("B"&amp;R58&amp;"")&amp;"*",INDIRECT("B"&amp;R58+1&amp;":B210"),0)+R58&amp;""),0),
IF(AND(LEFT(INDIRECT("B"&amp;R58&amp;""),3)="奈良屋",COUNTIF(B:B,"*奈良屋*")&gt;=2),
INDIRECT("H"&amp;R58&amp;"")
+INDIRECT("H"&amp;MATCH("*"&amp;INDIRECT("B"&amp;R58&amp;"")&amp;"*",INDIRECT("B"&amp;R58+1&amp;":B210"),0)+R58&amp;"")
+INDIRECT("H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
+INDIRECT("H"&amp;MATCH("*"&amp;INDIRECT("B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&amp;"*",INDIRECT("B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+1&amp;":B210"),0)+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,
INDIRECT("H"&amp;R58&amp;"")))),"")</f>
        <v/>
      </c>
      <c r="X58" s="122" t="str">
        <f t="array" aca="1" ref="X58" ca="1">IF($R58&lt;&gt;"",
INDIRECT(""&amp;IF(COLUMN(I58)&lt;=26,CHAR(COLUMN(I58)+64),CHAR(INT((COLUMN(I58)-1)/26)+64)&amp;CHAR(MOD(COLUMN(I58)-1,26)+65))&amp;$R58&amp;""),"")</f>
        <v/>
      </c>
      <c r="Y58" s="122" t="str">
        <f t="array" aca="1" ref="Y58" ca="1">IF($R58&lt;&gt;"",
INDIRECT(""&amp;IF(COLUMN(J58)&lt;=26,CHAR(COLUMN(J58)+64),CHAR(INT((COLUMN(J58)-1)/26)+64)&amp;CHAR(MOD(COLUMN(J58)-1,26)+65))&amp;$R58&amp;""),"")</f>
        <v/>
      </c>
      <c r="Z58" s="122" t="str">
        <f t="shared" ca="1" si="2"/>
        <v/>
      </c>
      <c r="AA58" s="122" t="str">
        <f t="shared" ca="1" si="3"/>
        <v/>
      </c>
      <c r="AB58" s="122" t="str">
        <f t="array" aca="1" ref="AB58" ca="1">IF($R58&lt;&gt;"",
IF(AND(COUNTIF(INDIRECT("B"&amp;R58&amp;""),"*雙葉*"),COUNTIF(INDIRECT("B"&amp;R58&amp;""),"&lt;&gt;*先生*"),COUNTIF(B:B,"*雙葉*")&gt;=2),
INDIRECT("M"&amp;R58&amp;"")+INDIRECT("M"&amp;MATCH("雙葉'",INDIRECT("B"&amp;R58+1&amp;":B210"),0)+R58&amp;""),
IF(AND(LEFT(INDIRECT("B"&amp;R58&amp;""),2)="博多",COUNTIF(B:B,"*博多*")&gt;=2),
INDIRECT("M"&amp;R58&amp;"")+INDIRECT("M"&amp;MATCH("*"&amp;INDIRECT("B"&amp;R58&amp;"")&amp;"*",INDIRECT("B"&amp;R58+1&amp;":B210"),0)+R58&amp;""),
IF(AND(LEFT(INDIRECT("B"&amp;R58&amp;""),3)="奈良屋",COUNTIF(B:B,"*奈良屋*")&gt;=2),
INDIRECT("M"&amp;R58&amp;"")+INDIRECT("M"&amp;MATCH("*"&amp;INDIRECT("B"&amp;R58&amp;"")&amp;"*",INDIRECT("B"&amp;R58+1&amp;":B210"),0)+R58&amp;"")
+INDIRECT("M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,
INDIRECT("M"&amp;R58&amp;"")))),"")</f>
        <v/>
      </c>
      <c r="AC58" s="122" t="str">
        <f t="shared" ca="1" si="4"/>
        <v/>
      </c>
      <c r="AD58" s="176" t="str">
        <f t="shared" ca="1" si="5"/>
        <v/>
      </c>
      <c r="AE58" s="176" t="str">
        <f t="shared" ca="1" si="6"/>
        <v/>
      </c>
      <c r="AF58" s="176" t="str">
        <f t="shared" ca="1" si="7"/>
        <v/>
      </c>
      <c r="AG58" s="176" t="str">
        <f t="shared" ca="1" si="8"/>
        <v/>
      </c>
      <c r="AH58" s="183" t="str">
        <f t="shared" ca="1" si="9"/>
        <v/>
      </c>
      <c r="AI58" s="176" t="str">
        <f t="shared" ca="1" si="10"/>
        <v/>
      </c>
      <c r="AJ58" s="176" t="str">
        <f t="shared" ca="1" si="11"/>
        <v/>
      </c>
      <c r="AK58" s="176" t="str">
        <f t="shared" ca="1" si="12"/>
        <v/>
      </c>
      <c r="AL58" s="176" t="str">
        <f t="shared" ca="1" si="13"/>
        <v/>
      </c>
      <c r="AM58" s="176" t="str">
        <f t="shared" ca="1" si="14"/>
        <v/>
      </c>
      <c r="AN58" s="176" t="str">
        <f t="shared" ca="1" si="15"/>
        <v/>
      </c>
      <c r="AO58" s="176" t="str">
        <f t="shared" ca="1" si="16"/>
        <v/>
      </c>
      <c r="AP58" s="176" t="str">
        <f t="shared" ca="1" si="17"/>
        <v/>
      </c>
      <c r="AU58" s="176" t="str">
        <f t="shared" ca="1" si="18"/>
        <v/>
      </c>
      <c r="AW58" s="106" t="str">
        <f ca="1">IF(AF58&lt;&gt;"",OFFSET('数出表_Excel（アレルギー入力）'!$A$1,MATCH(AF58,'数出表_Excel（アレルギー入力）'!A:A,0)-2,0),"")</f>
        <v/>
      </c>
      <c r="AX58" s="106" t="str">
        <f ca="1">IF(AW58&lt;&gt;"",
OFFSET(得意先マスタ!$A$1,MATCH(AW58,得意先マスタ!A:A,0)-1,24),"")</f>
        <v/>
      </c>
      <c r="AY58" s="57">
        <f t="shared" ca="1" si="21"/>
        <v>0</v>
      </c>
      <c r="AZ58" s="57">
        <f t="shared" ca="1" si="29"/>
        <v>0</v>
      </c>
      <c r="BA58" s="57">
        <f t="shared" ca="1" si="30"/>
        <v>0</v>
      </c>
      <c r="BB58" s="176">
        <f t="shared" ca="1" si="24"/>
        <v>0</v>
      </c>
    </row>
    <row r="59" spans="1:54" ht="22.2" customHeight="1">
      <c r="A59" s="101">
        <f t="shared" si="31"/>
        <v>123</v>
      </c>
      <c r="B59" s="45" t="str">
        <f t="shared" si="32"/>
        <v/>
      </c>
      <c r="C59" s="45" t="str">
        <f>IF(OR(クライアント抽出!B59&lt;&gt;"",クライアント抽出!E59&lt;&gt;""),クライアント抽出!A59,"")</f>
        <v/>
      </c>
      <c r="D59" s="45" t="str">
        <f t="array" aca="1" ref="D59" ca="1">IF(C59&lt;&gt;"",INDIRECT("クライアント抽出!"&amp;E59&amp;MATCH(C59,クライアント抽出!A:A,0)&amp;""),"")</f>
        <v/>
      </c>
      <c r="E59" s="45" t="str">
        <f>IF(H59&lt;&gt;0,
IFERROR(
SUBSTITUTE(ADDRESS(1,
MATCH(VALUE(H59),クライアント抽出!A59:G59,0)+8,4),"1",""),
""),
IFERROR(
SUBSTITUTE(ADDRESS(1,
MATCH(VALUE(I59),クライアント抽出!A59:G59,0)+8,4),"1",""),
""))</f>
        <v/>
      </c>
      <c r="F59" s="184" t="str">
        <f ca="1">IF(D59&lt;&gt;"",
IF(COUNTIF(C59,"*雙葉*"),
IF(ROUND((H59-M59)
/IF(COUNTIF(D59,"*キャラ*"),
VLOOKUP("*キャラ*",商品マスタ!$D:$E,2,FALSE),
IF(COUNTIF(D59,"*赤*"),
VLOOKUP("*赤*",商品マスタ!$D:$E,2,FALSE),
VLOOKUP("*"&amp;D59&amp;"*",商品マスタ!$D:$E,2,FALSE))),0)&lt;=0,1,
ROUND((H59-M59)
/IF(COUNTIF(D59,"*キャラ*"),
VLOOKUP("*キャラ*",商品マスタ!$D:$E,2,FALSE),
IF(COUNTIF(D59,"*赤*"),
VLOOKUP("*赤*",商品マスタ!$D:$E,2,FALSE),
VLOOKUP("*"&amp;D59&amp;"*",商品マスタ!$D:$E,2,FALSE))),0)),
IF(OR(COUNTIF(D59,"*キャラ*"),COUNTIF(D59,"*赤*")),"",
IF(VLOOKUP("*"&amp;D59&amp;"*",商品マスタ!$D:$E,2,FALSE)=0,"",
IF(ROUND((H59-M59)
/VLOOKUP("*"&amp;D59&amp;"*",商品マスタ!$D:$E,2,FALSE),0)&lt;=0,1,
ROUND((H59-M59)
/VLOOKUP("*"&amp;D59&amp;"*",商品マスタ!$D:$E,2,FALSE),0))))),"")</f>
        <v/>
      </c>
      <c r="G59" s="45" t="str">
        <f ca="1">IF(F59&lt;&gt;"",
IF(VALUE(H59-M59)&gt;VALUE(IF(COUNTIF(D59,"*キャラ*"),
VLOOKUP("*キャラ*",商品マスタ!$D:$E,2,FALSE),
IF(COUNTIF(D59,"*赤*"),
VLOOKUP("*赤*",商品マスタ!$D:$E,2,FALSE),
VLOOKUP("*"&amp;D59&amp;"*",商品マスタ!$D:$E,2,FALSE)))*F59),
"+"&amp;(H59-M59)-IF(COUNTIF(D59,"*キャラ*"),
VLOOKUP("*キャラ*",商品マスタ!$D:$E,2,FALSE),
IF(COUNTIF(D59,"*赤*"),
VLOOKUP("*赤*",商品マスタ!$D:$E,2,FALSE),
VLOOKUP("*"&amp;D59&amp;"*",商品マスタ!$D:$E,2,FALSE)))*F59,
(H59-M59)-IF(COUNTIF(D59,"*キャラ*"),
VLOOKUP("*キャラ*",商品マスタ!$D:$E,2,FALSE),
IF(COUNTIF(D59,"*赤*"),
VLOOKUP("*赤*",商品マスタ!$D:$E,2,FALSE),
VLOOKUP("*"&amp;D59&amp;"*",商品マスタ!$D:$E,2,FALSE)))*F59),"")</f>
        <v/>
      </c>
      <c r="H59" s="99" t="str">
        <f>IF(C59&lt;&gt;"",
クライアント抽出!B59,"")</f>
        <v/>
      </c>
      <c r="I59" s="45" t="str">
        <f t="array" aca="1" ref="I59" ca="1">IF(C59&lt;&gt;"",
IF(O59=1,
IF(SUMPRODUCT(COUNTIF(クライアント抽出!P59:U59,クライアント抽出!P59:U59))&gt;COUNTA(クライアント抽出!P59:U59),
IFERROR(INDIRECT("数出表_Excel!"&amp;INDEX(_xlfn.UNIQUE(_xlfn._xlws.FILTER(クライアント抽出!P59:U59,COUNTIF(クライアント抽出!P59:U59,クライアント抽出!P59:U59)&gt;1)),1)&amp;L59&amp;""),
クライアント抽出!E59),0),クライアント抽出!E59),"")</f>
        <v/>
      </c>
      <c r="J59" s="45" t="str">
        <f>IF(C59&lt;&gt;"",
VLOOKUP(
"*"&amp;LEFT(IF(COUNTIF(D59,"*学食*"),"キャラ弁（学食）",
IF(COUNTIF(D59,"*赤*"),"赤",
IF(COUNTIF(D59,"*キャラ弁当*"),"キャラ弁当",D59))),4)&amp;"*",注文弁当の抽出!$F$1:$G$15,2,FALSE),"")</f>
        <v/>
      </c>
      <c r="K59" s="45" t="str">
        <f ca="1">IF(クライアント抽出!P59&lt;&gt;"",SUBSTITUTE(ADDRESS(1,(CODE(クライアント抽出!P59)-64)*2-1,4),"1",""),"")</f>
        <v/>
      </c>
      <c r="L59" s="45" t="str">
        <f>IF(C59&lt;&gt;"",クライアント抽出!I59,"")</f>
        <v/>
      </c>
      <c r="M59" s="45">
        <f t="array" aca="1" ref="M59" ca="1">IF(C59&lt;&gt;"",
IF(K59&lt;&gt;"",INDIRECT("'数出表_Excel（アレルギー入力）'!"&amp;K59&amp;L59-1&amp;""),),)</f>
        <v>0</v>
      </c>
      <c r="N59" s="45" t="str">
        <f>IF(C59&lt;&gt;"",IF(OR(COUNTIF('盛付札（関数）'!D59,"*赤*"),COUNTIF('盛付札（関数）'!D59,"*キャラ*")),1,
VALUE(VLOOKUP("*"&amp;D59&amp;"*",商品マスタ!D:H,5,FALSE))),"")</f>
        <v/>
      </c>
      <c r="O59" s="45">
        <f ca="1">IF(LEN(クライアント抽出!V59)-LEN(SUBSTITUTE(クライアント抽出!V59,",",""))&lt;&gt;1,
IF(AND(クライアント抽出!P59&lt;&gt;"",クライアント抽出!S59&lt;&gt;""),
IF(クライアント抽出!P59&lt;&gt;クライアント抽出!S59,1,0),0),0)</f>
        <v>0</v>
      </c>
      <c r="P59" s="45">
        <f t="shared" si="0"/>
        <v>0</v>
      </c>
      <c r="Q59" s="45" t="b">
        <f t="shared" si="1"/>
        <v>0</v>
      </c>
      <c r="R59" s="122" t="str">
        <f t="array" aca="1" ref="R59" ca="1">IFERROR(SMALL(IF(P$1:P$311&lt;&gt;0,P$1:P$311),ROW(A59)),"")</f>
        <v/>
      </c>
      <c r="S59" s="122" t="str">
        <f t="array" aca="1" ref="S59" ca="1">IF($R59&lt;&gt;"",
SUBSTITUTE(SUBSTITUTE(INDIRECT("C"&amp;$R59&amp;"")," 週3ｺｰｽ","")," 週5ｺｰｽ",""),"")</f>
        <v/>
      </c>
      <c r="T59" s="122" t="str">
        <f t="array" aca="1" ref="T59" ca="1">IF(IF($R59&lt;&gt;"",
INDIRECT(""&amp;IF(COLUMN(D59)&lt;=26,CHAR(COLUMN(D59)+64),CHAR(INT((COLUMN(D59)-1)/26)+64)&amp;CHAR(MOD(COLUMN(D59)-1,26)+65))&amp;$R59&amp;""),"")=0,"",
IF($R59&lt;&gt;"",
INDIRECT(""&amp;IF(COLUMN(D59)&lt;=26,CHAR(COLUMN(D59)+64),CHAR(INT((COLUMN(D59)-1)/26)+64)&amp;CHAR(MOD(COLUMN(D59)-1,26)+65))&amp;$R59&amp;""),""))</f>
        <v/>
      </c>
      <c r="U59" s="185" t="str">
        <f t="array" aca="1" ref="U59" ca="1">IF($R59&lt;&gt;"",
INDIRECT("F"&amp;$R59&amp;""),"")</f>
        <v/>
      </c>
      <c r="V59" s="122" t="str">
        <f t="array" aca="1" ref="V59" ca="1">IF($R59&lt;&gt;"",
INDIRECT("G"&amp;$R59&amp;""),"")</f>
        <v/>
      </c>
      <c r="W59" s="122" t="str" cm="1">
        <f t="array" aca="1" ref="W59" ca="1">IF($R59&lt;&gt;"",
IF(AND(COUNTIF(INDIRECT("B"&amp;R59&amp;""),"*雙葉*"),COUNTIF($B$71:$B$210,"*雙葉*")&gt;=1),
IF(OR(COUNTIF(INDIRECT("B"&amp;R59&amp;""),"*雙葉先生*"),COUNTIF(INDIRECT("B"&amp;R59-1&amp;""),"*雙葉*")),INDIRECT("H"&amp;R59&amp;""),INDIRECT("H"&amp;R59&amp;"")+INDIRECT("H"&amp;MATCH("雙葉'",INDIRECT("B"&amp;R59+3&amp;":B210"),0)+2+R59&amp;"")),
IF(AND(LEFT(INDIRECT("B"&amp;R59&amp;""),2)="博多",COUNTIF(B:B,"*博多*")&gt;=2),
INDIRECT("H"&amp;R59&amp;"")+IFERROR(INDIRECT("H"&amp;MATCH("*"&amp;INDIRECT("B"&amp;R59&amp;"")&amp;"*",INDIRECT("B"&amp;R59+1&amp;":B210"),0)+R59&amp;""),0),
IF(AND(LEFT(INDIRECT("B"&amp;R59&amp;""),3)="奈良屋",COUNTIF(B:B,"*奈良屋*")&gt;=2),
INDIRECT("H"&amp;R59&amp;"")
+INDIRECT("H"&amp;MATCH("*"&amp;INDIRECT("B"&amp;R59&amp;"")&amp;"*",INDIRECT("B"&amp;R59+1&amp;":B210"),0)+R59&amp;"")
+INDIRECT("H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
+INDIRECT("H"&amp;MATCH("*"&amp;INDIRECT("B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&amp;"*",INDIRECT("B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+1&amp;":B210"),0)+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,
INDIRECT("H"&amp;R59&amp;"")))),"")</f>
        <v/>
      </c>
      <c r="X59" s="122" t="str">
        <f t="array" aca="1" ref="X59" ca="1">IF($R59&lt;&gt;"",
INDIRECT(""&amp;IF(COLUMN(I59)&lt;=26,CHAR(COLUMN(I59)+64),CHAR(INT((COLUMN(I59)-1)/26)+64)&amp;CHAR(MOD(COLUMN(I59)-1,26)+65))&amp;$R59&amp;""),"")</f>
        <v/>
      </c>
      <c r="Y59" s="122" t="str">
        <f t="array" aca="1" ref="Y59" ca="1">IF($R59&lt;&gt;"",
INDIRECT(""&amp;IF(COLUMN(J59)&lt;=26,CHAR(COLUMN(J59)+64),CHAR(INT((COLUMN(J59)-1)/26)+64)&amp;CHAR(MOD(COLUMN(J59)-1,26)+65))&amp;$R59&amp;""),"")</f>
        <v/>
      </c>
      <c r="Z59" s="122" t="str">
        <f t="shared" ca="1" si="2"/>
        <v/>
      </c>
      <c r="AA59" s="122" t="str">
        <f t="shared" ca="1" si="3"/>
        <v/>
      </c>
      <c r="AB59" s="122" t="str">
        <f t="array" aca="1" ref="AB59" ca="1">IF($R59&lt;&gt;"",
IF(AND(COUNTIF(INDIRECT("B"&amp;R59&amp;""),"*雙葉*"),COUNTIF(INDIRECT("B"&amp;R59&amp;""),"&lt;&gt;*先生*"),COUNTIF(B:B,"*雙葉*")&gt;=2),
INDIRECT("M"&amp;R59&amp;"")+INDIRECT("M"&amp;MATCH("雙葉'",INDIRECT("B"&amp;R59+1&amp;":B210"),0)+R59&amp;""),
IF(AND(LEFT(INDIRECT("B"&amp;R59&amp;""),2)="博多",COUNTIF(B:B,"*博多*")&gt;=2),
INDIRECT("M"&amp;R59&amp;"")+INDIRECT("M"&amp;MATCH("*"&amp;INDIRECT("B"&amp;R59&amp;"")&amp;"*",INDIRECT("B"&amp;R59+1&amp;":B210"),0)+R59&amp;""),
IF(AND(LEFT(INDIRECT("B"&amp;R59&amp;""),3)="奈良屋",COUNTIF(B:B,"*奈良屋*")&gt;=2),
INDIRECT("M"&amp;R59&amp;"")+INDIRECT("M"&amp;MATCH("*"&amp;INDIRECT("B"&amp;R59&amp;"")&amp;"*",INDIRECT("B"&amp;R59+1&amp;":B210"),0)+R59&amp;"")
+INDIRECT("M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,
INDIRECT("M"&amp;R59&amp;"")))),"")</f>
        <v/>
      </c>
      <c r="AC59" s="122" t="str">
        <f t="shared" ca="1" si="4"/>
        <v/>
      </c>
      <c r="AD59" s="176" t="str">
        <f t="shared" ca="1" si="5"/>
        <v/>
      </c>
      <c r="AE59" s="176" t="str">
        <f t="shared" ca="1" si="6"/>
        <v/>
      </c>
      <c r="AF59" s="176" t="str">
        <f t="shared" ca="1" si="7"/>
        <v/>
      </c>
      <c r="AG59" s="176" t="str">
        <f t="shared" ca="1" si="8"/>
        <v/>
      </c>
      <c r="AH59" s="183" t="str">
        <f t="shared" ca="1" si="9"/>
        <v/>
      </c>
      <c r="AI59" s="176" t="str">
        <f t="shared" ca="1" si="10"/>
        <v/>
      </c>
      <c r="AJ59" s="176" t="str">
        <f t="shared" ca="1" si="11"/>
        <v/>
      </c>
      <c r="AK59" s="176" t="str">
        <f t="shared" ca="1" si="12"/>
        <v/>
      </c>
      <c r="AL59" s="176" t="str">
        <f t="shared" ca="1" si="13"/>
        <v/>
      </c>
      <c r="AM59" s="176" t="str">
        <f t="shared" ca="1" si="14"/>
        <v/>
      </c>
      <c r="AN59" s="176" t="str">
        <f t="shared" ca="1" si="15"/>
        <v/>
      </c>
      <c r="AO59" s="176" t="str">
        <f t="shared" ca="1" si="16"/>
        <v/>
      </c>
      <c r="AP59" s="176" t="str">
        <f t="shared" ca="1" si="17"/>
        <v/>
      </c>
      <c r="AU59" s="176" t="str">
        <f t="shared" ca="1" si="18"/>
        <v/>
      </c>
      <c r="AW59" s="106" t="str">
        <f ca="1">IF(AF59&lt;&gt;"",OFFSET('数出表_Excel（アレルギー入力）'!$A$1,MATCH(AF59,'数出表_Excel（アレルギー入力）'!A:A,0)-2,0),"")</f>
        <v/>
      </c>
      <c r="AX59" s="106" t="str">
        <f ca="1">IF(AW59&lt;&gt;"",
OFFSET(得意先マスタ!$A$1,MATCH(AW59,得意先マスタ!A:A,0)-1,24),"")</f>
        <v/>
      </c>
      <c r="AY59" s="57">
        <f t="shared" ca="1" si="21"/>
        <v>0</v>
      </c>
      <c r="AZ59" s="57">
        <f t="shared" ca="1" si="29"/>
        <v>0</v>
      </c>
      <c r="BA59" s="57">
        <f t="shared" ca="1" si="30"/>
        <v>0</v>
      </c>
      <c r="BB59" s="176">
        <f t="shared" ca="1" si="24"/>
        <v>0</v>
      </c>
    </row>
    <row r="60" spans="1:54" ht="18" customHeight="1">
      <c r="A60" s="101">
        <f t="shared" si="31"/>
        <v>125</v>
      </c>
      <c r="B60" s="45" t="str">
        <f t="shared" si="32"/>
        <v/>
      </c>
      <c r="C60" s="45" t="str">
        <f>IF(OR(クライアント抽出!B60&lt;&gt;"",クライアント抽出!E60&lt;&gt;""),クライアント抽出!A60,"")</f>
        <v/>
      </c>
      <c r="D60" s="45" t="str">
        <f t="array" aca="1" ref="D60" ca="1">IF(C60&lt;&gt;"",INDIRECT("クライアント抽出!"&amp;E60&amp;MATCH(C60,クライアント抽出!A:A,0)&amp;""),"")</f>
        <v/>
      </c>
      <c r="E60" s="45" t="str">
        <f>IF(H60&lt;&gt;0,
IFERROR(
SUBSTITUTE(ADDRESS(1,
MATCH(VALUE(H60),クライアント抽出!A60:G60,0)+8,4),"1",""),
""),
IFERROR(
SUBSTITUTE(ADDRESS(1,
MATCH(VALUE(I60),クライアント抽出!A60:G60,0)+8,4),"1",""),
""))</f>
        <v/>
      </c>
      <c r="F60" s="184" t="str">
        <f ca="1">IF(D60&lt;&gt;"",
IF(COUNTIF(C60,"*雙葉*"),
IF(ROUND((H60-M60)
/IF(COUNTIF(D60,"*キャラ*"),
VLOOKUP("*キャラ*",商品マスタ!$D:$E,2,FALSE),
IF(COUNTIF(D60,"*赤*"),
VLOOKUP("*赤*",商品マスタ!$D:$E,2,FALSE),
VLOOKUP("*"&amp;D60&amp;"*",商品マスタ!$D:$E,2,FALSE))),0)&lt;=0,1,
ROUND((H60-M60)
/IF(COUNTIF(D60,"*キャラ*"),
VLOOKUP("*キャラ*",商品マスタ!$D:$E,2,FALSE),
IF(COUNTIF(D60,"*赤*"),
VLOOKUP("*赤*",商品マスタ!$D:$E,2,FALSE),
VLOOKUP("*"&amp;D60&amp;"*",商品マスタ!$D:$E,2,FALSE))),0)),
IF(OR(COUNTIF(D60,"*キャラ*"),COUNTIF(D60,"*赤*")),"",
IF(VLOOKUP("*"&amp;D60&amp;"*",商品マスタ!$D:$E,2,FALSE)=0,"",
IF(ROUND((H60-M60)
/VLOOKUP("*"&amp;D60&amp;"*",商品マスタ!$D:$E,2,FALSE),0)&lt;=0,1,
ROUND((H60-M60)
/VLOOKUP("*"&amp;D60&amp;"*",商品マスタ!$D:$E,2,FALSE),0))))),"")</f>
        <v/>
      </c>
      <c r="G60" s="45" t="str">
        <f ca="1">IF(F60&lt;&gt;"",
IF(VALUE(H60-M60)&gt;VALUE(IF(COUNTIF(D60,"*キャラ*"),
VLOOKUP("*キャラ*",商品マスタ!$D:$E,2,FALSE),
IF(COUNTIF(D60,"*赤*"),
VLOOKUP("*赤*",商品マスタ!$D:$E,2,FALSE),
VLOOKUP("*"&amp;D60&amp;"*",商品マスタ!$D:$E,2,FALSE)))*F60),
"+"&amp;(H60-M60)-IF(COUNTIF(D60,"*キャラ*"),
VLOOKUP("*キャラ*",商品マスタ!$D:$E,2,FALSE),
IF(COUNTIF(D60,"*赤*"),
VLOOKUP("*赤*",商品マスタ!$D:$E,2,FALSE),
VLOOKUP("*"&amp;D60&amp;"*",商品マスタ!$D:$E,2,FALSE)))*F60,
(H60-M60)-IF(COUNTIF(D60,"*キャラ*"),
VLOOKUP("*キャラ*",商品マスタ!$D:$E,2,FALSE),
IF(COUNTIF(D60,"*赤*"),
VLOOKUP("*赤*",商品マスタ!$D:$E,2,FALSE),
VLOOKUP("*"&amp;D60&amp;"*",商品マスタ!$D:$E,2,FALSE)))*F60),"")</f>
        <v/>
      </c>
      <c r="H60" s="99" t="str">
        <f>IF(C60&lt;&gt;"",
クライアント抽出!B60,"")</f>
        <v/>
      </c>
      <c r="I60" s="45" t="str">
        <f t="array" aca="1" ref="I60" ca="1">IF(C60&lt;&gt;"",
IF(O60=1,
IF(SUMPRODUCT(COUNTIF(クライアント抽出!P60:U60,クライアント抽出!P60:U60))&gt;COUNTA(クライアント抽出!P60:U60),
IFERROR(INDIRECT("数出表_Excel!"&amp;INDEX(_xlfn.UNIQUE(_xlfn._xlws.FILTER(クライアント抽出!P60:U60,COUNTIF(クライアント抽出!P60:U60,クライアント抽出!P60:U60)&gt;1)),1)&amp;L60&amp;""),
クライアント抽出!E60),0),クライアント抽出!E60),"")</f>
        <v/>
      </c>
      <c r="J60" s="45" t="str">
        <f>IF(C60&lt;&gt;"",
VLOOKUP(
"*"&amp;LEFT(IF(COUNTIF(D60,"*学食*"),"キャラ弁（学食）",
IF(COUNTIF(D60,"*赤*"),"赤",
IF(COUNTIF(D60,"*キャラ弁当*"),"キャラ弁当",D60))),4)&amp;"*",注文弁当の抽出!$F$1:$G$15,2,FALSE),"")</f>
        <v/>
      </c>
      <c r="K60" s="45" t="str">
        <f ca="1">IF(クライアント抽出!P60&lt;&gt;"",SUBSTITUTE(ADDRESS(1,(CODE(クライアント抽出!P60)-64)*2-1,4),"1",""),"")</f>
        <v/>
      </c>
      <c r="L60" s="45" t="str">
        <f>IF(C60&lt;&gt;"",クライアント抽出!I60,"")</f>
        <v/>
      </c>
      <c r="M60" s="45">
        <f t="array" aca="1" ref="M60" ca="1">IF(C60&lt;&gt;"",
IF(K60&lt;&gt;"",INDIRECT("'数出表_Excel（アレルギー入力）'!"&amp;K60&amp;L60-1&amp;""),),)</f>
        <v>0</v>
      </c>
      <c r="N60" s="45" t="str">
        <f>IF(C60&lt;&gt;"",IF(OR(COUNTIF('盛付札（関数）'!D60,"*赤*"),COUNTIF('盛付札（関数）'!D60,"*キャラ*")),1,
VALUE(VLOOKUP("*"&amp;D60&amp;"*",商品マスタ!D:H,5,FALSE))),"")</f>
        <v/>
      </c>
      <c r="O60" s="45">
        <f ca="1">IF(LEN(クライアント抽出!V60)-LEN(SUBSTITUTE(クライアント抽出!V60,",",""))&lt;&gt;1,
IF(AND(クライアント抽出!P60&lt;&gt;"",クライアント抽出!S60&lt;&gt;""),
IF(クライアント抽出!P60&lt;&gt;クライアント抽出!S60,1,0),0),0)</f>
        <v>0</v>
      </c>
      <c r="P60" s="45">
        <f t="shared" si="0"/>
        <v>0</v>
      </c>
      <c r="Q60" s="45" t="b">
        <f t="shared" si="1"/>
        <v>0</v>
      </c>
      <c r="R60" s="122" t="str">
        <f t="array" aca="1" ref="R60" ca="1">IFERROR(SMALL(IF(P$1:P$311&lt;&gt;0,P$1:P$311),ROW(A60)),"")</f>
        <v/>
      </c>
      <c r="S60" s="122" t="str">
        <f t="array" aca="1" ref="S60" ca="1">IF($R60&lt;&gt;"",
SUBSTITUTE(SUBSTITUTE(INDIRECT("C"&amp;$R60&amp;"")," 週3ｺｰｽ","")," 週5ｺｰｽ",""),"")</f>
        <v/>
      </c>
      <c r="T60" s="122" t="str">
        <f t="array" aca="1" ref="T60" ca="1">IF(IF($R60&lt;&gt;"",
INDIRECT(""&amp;IF(COLUMN(D60)&lt;=26,CHAR(COLUMN(D60)+64),CHAR(INT((COLUMN(D60)-1)/26)+64)&amp;CHAR(MOD(COLUMN(D60)-1,26)+65))&amp;$R60&amp;""),"")=0,"",
IF($R60&lt;&gt;"",
INDIRECT(""&amp;IF(COLUMN(D60)&lt;=26,CHAR(COLUMN(D60)+64),CHAR(INT((COLUMN(D60)-1)/26)+64)&amp;CHAR(MOD(COLUMN(D60)-1,26)+65))&amp;$R60&amp;""),""))</f>
        <v/>
      </c>
      <c r="U60" s="185" t="str">
        <f t="array" aca="1" ref="U60" ca="1">IF($R60&lt;&gt;"",
INDIRECT("F"&amp;$R60&amp;""),"")</f>
        <v/>
      </c>
      <c r="V60" s="122" t="str">
        <f t="array" aca="1" ref="V60" ca="1">IF($R60&lt;&gt;"",
INDIRECT("G"&amp;$R60&amp;""),"")</f>
        <v/>
      </c>
      <c r="W60" s="122" t="str" cm="1">
        <f t="array" aca="1" ref="W60" ca="1">IF($R60&lt;&gt;"",
IF(AND(COUNTIF(INDIRECT("B"&amp;R60&amp;""),"*雙葉*"),COUNTIF($B$71:$B$210,"*雙葉*")&gt;=1),
IF(OR(COUNTIF(INDIRECT("B"&amp;R60&amp;""),"*雙葉先生*"),COUNTIF(INDIRECT("B"&amp;R60-1&amp;""),"*雙葉*")),INDIRECT("H"&amp;R60&amp;""),INDIRECT("H"&amp;R60&amp;"")+INDIRECT("H"&amp;MATCH("雙葉'",INDIRECT("B"&amp;R60+3&amp;":B210"),0)+2+R60&amp;"")),
IF(AND(LEFT(INDIRECT("B"&amp;R60&amp;""),2)="博多",COUNTIF(B:B,"*博多*")&gt;=2),
INDIRECT("H"&amp;R60&amp;"")+IFERROR(INDIRECT("H"&amp;MATCH("*"&amp;INDIRECT("B"&amp;R60&amp;"")&amp;"*",INDIRECT("B"&amp;R60+1&amp;":B210"),0)+R60&amp;""),0),
IF(AND(LEFT(INDIRECT("B"&amp;R60&amp;""),3)="奈良屋",COUNTIF(B:B,"*奈良屋*")&gt;=2),
INDIRECT("H"&amp;R60&amp;"")
+INDIRECT("H"&amp;MATCH("*"&amp;INDIRECT("B"&amp;R60&amp;"")&amp;"*",INDIRECT("B"&amp;R60+1&amp;":B210"),0)+R60&amp;"")
+INDIRECT("H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
+INDIRECT("H"&amp;MATCH("*"&amp;INDIRECT("B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&amp;"*",INDIRECT("B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+1&amp;":B210"),0)+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,
INDIRECT("H"&amp;R60&amp;"")))),"")</f>
        <v/>
      </c>
      <c r="X60" s="122" t="str">
        <f t="array" aca="1" ref="X60" ca="1">IF($R60&lt;&gt;"",
INDIRECT(""&amp;IF(COLUMN(I60)&lt;=26,CHAR(COLUMN(I60)+64),CHAR(INT((COLUMN(I60)-1)/26)+64)&amp;CHAR(MOD(COLUMN(I60)-1,26)+65))&amp;$R60&amp;""),"")</f>
        <v/>
      </c>
      <c r="Y60" s="122" t="str">
        <f t="array" aca="1" ref="Y60" ca="1">IF($R60&lt;&gt;"",
INDIRECT(""&amp;IF(COLUMN(J60)&lt;=26,CHAR(COLUMN(J60)+64),CHAR(INT((COLUMN(J60)-1)/26)+64)&amp;CHAR(MOD(COLUMN(J60)-1,26)+65))&amp;$R60&amp;""),"")</f>
        <v/>
      </c>
      <c r="Z60" s="122" t="str">
        <f t="shared" ca="1" si="2"/>
        <v/>
      </c>
      <c r="AA60" s="122" t="str">
        <f t="shared" ca="1" si="3"/>
        <v/>
      </c>
      <c r="AB60" s="122" t="str">
        <f t="array" aca="1" ref="AB60" ca="1">IF($R60&lt;&gt;"",
IF(AND(COUNTIF(INDIRECT("B"&amp;R60&amp;""),"*雙葉*"),COUNTIF(INDIRECT("B"&amp;R60&amp;""),"&lt;&gt;*先生*"),COUNTIF(B:B,"*雙葉*")&gt;=2),
INDIRECT("M"&amp;R60&amp;"")+INDIRECT("M"&amp;MATCH("雙葉'",INDIRECT("B"&amp;R60+1&amp;":B210"),0)+R60&amp;""),
IF(AND(LEFT(INDIRECT("B"&amp;R60&amp;""),2)="博多",COUNTIF(B:B,"*博多*")&gt;=2),
INDIRECT("M"&amp;R60&amp;"")+INDIRECT("M"&amp;MATCH("*"&amp;INDIRECT("B"&amp;R60&amp;"")&amp;"*",INDIRECT("B"&amp;R60+1&amp;":B210"),0)+R60&amp;""),
IF(AND(LEFT(INDIRECT("B"&amp;R60&amp;""),3)="奈良屋",COUNTIF(B:B,"*奈良屋*")&gt;=2),
INDIRECT("M"&amp;R60&amp;"")+INDIRECT("M"&amp;MATCH("*"&amp;INDIRECT("B"&amp;R60&amp;"")&amp;"*",INDIRECT("B"&amp;R60+1&amp;":B210"),0)+R60&amp;"")
+INDIRECT("M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,
INDIRECT("M"&amp;R60&amp;"")))),"")</f>
        <v/>
      </c>
      <c r="AC60" s="122" t="str">
        <f t="shared" ca="1" si="4"/>
        <v/>
      </c>
      <c r="AD60" s="176" t="str">
        <f t="shared" ca="1" si="5"/>
        <v/>
      </c>
      <c r="AE60" s="176" t="str">
        <f t="shared" ca="1" si="6"/>
        <v/>
      </c>
      <c r="AF60" s="176" t="str">
        <f t="shared" ca="1" si="7"/>
        <v/>
      </c>
      <c r="AG60" s="176" t="str">
        <f t="shared" ca="1" si="8"/>
        <v/>
      </c>
      <c r="AH60" s="183" t="str">
        <f t="shared" ca="1" si="9"/>
        <v/>
      </c>
      <c r="AI60" s="176" t="str">
        <f t="shared" ca="1" si="10"/>
        <v/>
      </c>
      <c r="AJ60" s="176" t="str">
        <f t="shared" ca="1" si="11"/>
        <v/>
      </c>
      <c r="AK60" s="176" t="str">
        <f t="shared" ca="1" si="12"/>
        <v/>
      </c>
      <c r="AL60" s="176" t="str">
        <f t="shared" ca="1" si="13"/>
        <v/>
      </c>
      <c r="AM60" s="176" t="str">
        <f t="shared" ca="1" si="14"/>
        <v/>
      </c>
      <c r="AN60" s="176" t="str">
        <f t="shared" ca="1" si="15"/>
        <v/>
      </c>
      <c r="AO60" s="176" t="str">
        <f t="shared" ca="1" si="16"/>
        <v/>
      </c>
      <c r="AP60" s="176" t="str">
        <f t="shared" ca="1" si="17"/>
        <v/>
      </c>
      <c r="AU60" s="176" t="str">
        <f t="shared" ca="1" si="18"/>
        <v/>
      </c>
      <c r="AW60" s="106" t="str">
        <f ca="1">IF(AF60&lt;&gt;"",OFFSET('数出表_Excel（アレルギー入力）'!$A$1,MATCH(AF60,'数出表_Excel（アレルギー入力）'!A:A,0)-2,0),"")</f>
        <v/>
      </c>
      <c r="AX60" s="106" t="str">
        <f ca="1">IF(AW60&lt;&gt;"",
OFFSET(得意先マスタ!$A$1,MATCH(AW60,得意先マスタ!A:A,0)-1,24),"")</f>
        <v/>
      </c>
      <c r="AY60" s="57">
        <f t="shared" ca="1" si="21"/>
        <v>0</v>
      </c>
      <c r="AZ60" s="57">
        <f t="shared" ca="1" si="29"/>
        <v>0</v>
      </c>
      <c r="BA60" s="57">
        <f t="shared" ca="1" si="30"/>
        <v>0</v>
      </c>
      <c r="BB60" s="176">
        <f t="shared" ca="1" si="24"/>
        <v>0</v>
      </c>
    </row>
    <row r="61" spans="1:54" ht="18" customHeight="1">
      <c r="A61" s="101">
        <f t="shared" si="31"/>
        <v>127</v>
      </c>
      <c r="B61" s="45" t="str">
        <f t="shared" si="32"/>
        <v/>
      </c>
      <c r="C61" s="45" t="str">
        <f>IF(OR(クライアント抽出!B61&lt;&gt;"",クライアント抽出!E61&lt;&gt;""),クライアント抽出!A61,"")</f>
        <v/>
      </c>
      <c r="D61" s="45" t="str">
        <f t="array" aca="1" ref="D61" ca="1">IF(C61&lt;&gt;"",INDIRECT("クライアント抽出!"&amp;E61&amp;MATCH(C61,クライアント抽出!A:A,0)&amp;""),"")</f>
        <v/>
      </c>
      <c r="E61" s="45" t="str">
        <f>IF(H61&lt;&gt;0,
IFERROR(
SUBSTITUTE(ADDRESS(1,
MATCH(VALUE(H61),クライアント抽出!A61:G61,0)+8,4),"1",""),
""),
IFERROR(
SUBSTITUTE(ADDRESS(1,
MATCH(VALUE(I61),クライアント抽出!A61:G61,0)+8,4),"1",""),
""))</f>
        <v/>
      </c>
      <c r="F61" s="184" t="str">
        <f ca="1">IF(D61&lt;&gt;"",
IF(COUNTIF(C61,"*雙葉*"),
IF(ROUND((H61-M61)
/IF(COUNTIF(D61,"*キャラ*"),
VLOOKUP("*キャラ*",商品マスタ!$D:$E,2,FALSE),
IF(COUNTIF(D61,"*赤*"),
VLOOKUP("*赤*",商品マスタ!$D:$E,2,FALSE),
VLOOKUP("*"&amp;D61&amp;"*",商品マスタ!$D:$E,2,FALSE))),0)&lt;=0,1,
ROUND((H61-M61)
/IF(COUNTIF(D61,"*キャラ*"),
VLOOKUP("*キャラ*",商品マスタ!$D:$E,2,FALSE),
IF(COUNTIF(D61,"*赤*"),
VLOOKUP("*赤*",商品マスタ!$D:$E,2,FALSE),
VLOOKUP("*"&amp;D61&amp;"*",商品マスタ!$D:$E,2,FALSE))),0)),
IF(OR(COUNTIF(D61,"*キャラ*"),COUNTIF(D61,"*赤*")),"",
IF(VLOOKUP("*"&amp;D61&amp;"*",商品マスタ!$D:$E,2,FALSE)=0,"",
IF(ROUND((H61-M61)
/VLOOKUP("*"&amp;D61&amp;"*",商品マスタ!$D:$E,2,FALSE),0)&lt;=0,1,
ROUND((H61-M61)
/VLOOKUP("*"&amp;D61&amp;"*",商品マスタ!$D:$E,2,FALSE),0))))),"")</f>
        <v/>
      </c>
      <c r="G61" s="45" t="str">
        <f ca="1">IF(F61&lt;&gt;"",
IF(VALUE(H61-M61)&gt;VALUE(IF(COUNTIF(D61,"*キャラ*"),
VLOOKUP("*キャラ*",商品マスタ!$D:$E,2,FALSE),
IF(COUNTIF(D61,"*赤*"),
VLOOKUP("*赤*",商品マスタ!$D:$E,2,FALSE),
VLOOKUP("*"&amp;D61&amp;"*",商品マスタ!$D:$E,2,FALSE)))*F61),
"+"&amp;(H61-M61)-IF(COUNTIF(D61,"*キャラ*"),
VLOOKUP("*キャラ*",商品マスタ!$D:$E,2,FALSE),
IF(COUNTIF(D61,"*赤*"),
VLOOKUP("*赤*",商品マスタ!$D:$E,2,FALSE),
VLOOKUP("*"&amp;D61&amp;"*",商品マスタ!$D:$E,2,FALSE)))*F61,
(H61-M61)-IF(COUNTIF(D61,"*キャラ*"),
VLOOKUP("*キャラ*",商品マスタ!$D:$E,2,FALSE),
IF(COUNTIF(D61,"*赤*"),
VLOOKUP("*赤*",商品マスタ!$D:$E,2,FALSE),
VLOOKUP("*"&amp;D61&amp;"*",商品マスタ!$D:$E,2,FALSE)))*F61),"")</f>
        <v/>
      </c>
      <c r="H61" s="99" t="str">
        <f>IF(C61&lt;&gt;"",
クライアント抽出!B61,"")</f>
        <v/>
      </c>
      <c r="I61" s="45" t="str">
        <f t="array" aca="1" ref="I61" ca="1">IF(C61&lt;&gt;"",
IF(O61=1,
IF(SUMPRODUCT(COUNTIF(クライアント抽出!P61:U61,クライアント抽出!P61:U61))&gt;COUNTA(クライアント抽出!P61:U61),
IFERROR(INDIRECT("数出表_Excel!"&amp;INDEX(_xlfn.UNIQUE(_xlfn._xlws.FILTER(クライアント抽出!P61:U61,COUNTIF(クライアント抽出!P61:U61,クライアント抽出!P61:U61)&gt;1)),1)&amp;L61&amp;""),
クライアント抽出!E61),0),クライアント抽出!E61),"")</f>
        <v/>
      </c>
      <c r="J61" s="45" t="str">
        <f>IF(C61&lt;&gt;"",
VLOOKUP(
"*"&amp;LEFT(IF(COUNTIF(D61,"*学食*"),"キャラ弁（学食）",
IF(COUNTIF(D61,"*赤*"),"赤",
IF(COUNTIF(D61,"*キャラ弁当*"),"キャラ弁当",D61))),4)&amp;"*",注文弁当の抽出!$F$1:$G$15,2,FALSE),"")</f>
        <v/>
      </c>
      <c r="K61" s="45" t="str">
        <f ca="1">IF(クライアント抽出!P61&lt;&gt;"",SUBSTITUTE(ADDRESS(1,(CODE(クライアント抽出!P61)-64)*2-1,4),"1",""),"")</f>
        <v/>
      </c>
      <c r="L61" s="45" t="str">
        <f>IF(C61&lt;&gt;"",クライアント抽出!I61,"")</f>
        <v/>
      </c>
      <c r="M61" s="45">
        <f t="array" aca="1" ref="M61" ca="1">IF(C61&lt;&gt;"",
IF(K61&lt;&gt;"",INDIRECT("'数出表_Excel（アレルギー入力）'!"&amp;K61&amp;L61-1&amp;""),),)</f>
        <v>0</v>
      </c>
      <c r="N61" s="45" t="str">
        <f>IF(C61&lt;&gt;"",IF(OR(COUNTIF('盛付札（関数）'!D61,"*赤*"),COUNTIF('盛付札（関数）'!D61,"*キャラ*")),1,
VALUE(VLOOKUP("*"&amp;D61&amp;"*",商品マスタ!D:H,5,FALSE))),"")</f>
        <v/>
      </c>
      <c r="O61" s="45">
        <f ca="1">IF(LEN(クライアント抽出!V61)-LEN(SUBSTITUTE(クライアント抽出!V61,",",""))&lt;&gt;1,
IF(AND(クライアント抽出!P61&lt;&gt;"",クライアント抽出!S61&lt;&gt;""),
IF(クライアント抽出!P61&lt;&gt;クライアント抽出!S61,1,0),0),0)</f>
        <v>0</v>
      </c>
      <c r="P61" s="45">
        <f t="shared" si="0"/>
        <v>0</v>
      </c>
      <c r="Q61" s="45" t="b">
        <f t="shared" si="1"/>
        <v>0</v>
      </c>
      <c r="R61" s="122" t="str">
        <f t="array" aca="1" ref="R61" ca="1">IFERROR(SMALL(IF(P$1:P$311&lt;&gt;0,P$1:P$311),ROW(A61)),"")</f>
        <v/>
      </c>
      <c r="S61" s="122" t="str">
        <f t="array" aca="1" ref="S61" ca="1">IF($R61&lt;&gt;"",
SUBSTITUTE(SUBSTITUTE(INDIRECT("C"&amp;$R61&amp;"")," 週3ｺｰｽ","")," 週5ｺｰｽ",""),"")</f>
        <v/>
      </c>
      <c r="T61" s="122" t="str">
        <f t="array" aca="1" ref="T61" ca="1">IF(IF($R61&lt;&gt;"",
INDIRECT(""&amp;IF(COLUMN(D61)&lt;=26,CHAR(COLUMN(D61)+64),CHAR(INT((COLUMN(D61)-1)/26)+64)&amp;CHAR(MOD(COLUMN(D61)-1,26)+65))&amp;$R61&amp;""),"")=0,"",
IF($R61&lt;&gt;"",
INDIRECT(""&amp;IF(COLUMN(D61)&lt;=26,CHAR(COLUMN(D61)+64),CHAR(INT((COLUMN(D61)-1)/26)+64)&amp;CHAR(MOD(COLUMN(D61)-1,26)+65))&amp;$R61&amp;""),""))</f>
        <v/>
      </c>
      <c r="U61" s="185" t="str">
        <f t="array" aca="1" ref="U61" ca="1">IF($R61&lt;&gt;"",
INDIRECT("F"&amp;$R61&amp;""),"")</f>
        <v/>
      </c>
      <c r="V61" s="122" t="str">
        <f t="array" aca="1" ref="V61" ca="1">IF($R61&lt;&gt;"",
INDIRECT("G"&amp;$R61&amp;""),"")</f>
        <v/>
      </c>
      <c r="W61" s="122" t="str" cm="1">
        <f t="array" aca="1" ref="W61" ca="1">IF($R61&lt;&gt;"",
IF(AND(COUNTIF(INDIRECT("B"&amp;R61&amp;""),"*雙葉*"),COUNTIF($B$71:$B$210,"*雙葉*")&gt;=1),
IF(OR(COUNTIF(INDIRECT("B"&amp;R61&amp;""),"*雙葉先生*"),COUNTIF(INDIRECT("B"&amp;R61-1&amp;""),"*雙葉*")),INDIRECT("H"&amp;R61&amp;""),INDIRECT("H"&amp;R61&amp;"")+INDIRECT("H"&amp;MATCH("雙葉'",INDIRECT("B"&amp;R61+3&amp;":B210"),0)+2+R61&amp;"")),
IF(AND(LEFT(INDIRECT("B"&amp;R61&amp;""),2)="博多",COUNTIF(B:B,"*博多*")&gt;=2),
INDIRECT("H"&amp;R61&amp;"")+IFERROR(INDIRECT("H"&amp;MATCH("*"&amp;INDIRECT("B"&amp;R61&amp;"")&amp;"*",INDIRECT("B"&amp;R61+1&amp;":B210"),0)+R61&amp;""),0),
IF(AND(LEFT(INDIRECT("B"&amp;R61&amp;""),3)="奈良屋",COUNTIF(B:B,"*奈良屋*")&gt;=2),
INDIRECT("H"&amp;R61&amp;"")
+INDIRECT("H"&amp;MATCH("*"&amp;INDIRECT("B"&amp;R61&amp;"")&amp;"*",INDIRECT("B"&amp;R61+1&amp;":B210"),0)+R61&amp;"")
+INDIRECT("H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
+INDIRECT("H"&amp;MATCH("*"&amp;INDIRECT("B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&amp;"*",INDIRECT("B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+1&amp;":B210"),0)+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,
INDIRECT("H"&amp;R61&amp;"")))),"")</f>
        <v/>
      </c>
      <c r="X61" s="122" t="str">
        <f t="array" aca="1" ref="X61" ca="1">IF($R61&lt;&gt;"",
INDIRECT(""&amp;IF(COLUMN(I61)&lt;=26,CHAR(COLUMN(I61)+64),CHAR(INT((COLUMN(I61)-1)/26)+64)&amp;CHAR(MOD(COLUMN(I61)-1,26)+65))&amp;$R61&amp;""),"")</f>
        <v/>
      </c>
      <c r="Y61" s="122" t="str">
        <f t="array" aca="1" ref="Y61" ca="1">IF($R61&lt;&gt;"",
INDIRECT(""&amp;IF(COLUMN(J61)&lt;=26,CHAR(COLUMN(J61)+64),CHAR(INT((COLUMN(J61)-1)/26)+64)&amp;CHAR(MOD(COLUMN(J61)-1,26)+65))&amp;$R61&amp;""),"")</f>
        <v/>
      </c>
      <c r="Z61" s="122" t="str">
        <f t="shared" ca="1" si="2"/>
        <v/>
      </c>
      <c r="AA61" s="122" t="str">
        <f t="shared" ca="1" si="3"/>
        <v/>
      </c>
      <c r="AB61" s="122" t="str">
        <f t="array" aca="1" ref="AB61" ca="1">IF($R61&lt;&gt;"",
IF(AND(COUNTIF(INDIRECT("B"&amp;R61&amp;""),"*雙葉*"),COUNTIF(INDIRECT("B"&amp;R61&amp;""),"&lt;&gt;*先生*"),COUNTIF(B:B,"*雙葉*")&gt;=2),
INDIRECT("M"&amp;R61&amp;"")+INDIRECT("M"&amp;MATCH("雙葉'",INDIRECT("B"&amp;R61+1&amp;":B210"),0)+R61&amp;""),
IF(AND(LEFT(INDIRECT("B"&amp;R61&amp;""),2)="博多",COUNTIF(B:B,"*博多*")&gt;=2),
INDIRECT("M"&amp;R61&amp;"")+INDIRECT("M"&amp;MATCH("*"&amp;INDIRECT("B"&amp;R61&amp;"")&amp;"*",INDIRECT("B"&amp;R61+1&amp;":B210"),0)+R61&amp;""),
IF(AND(LEFT(INDIRECT("B"&amp;R61&amp;""),3)="奈良屋",COUNTIF(B:B,"*奈良屋*")&gt;=2),
INDIRECT("M"&amp;R61&amp;"")+INDIRECT("M"&amp;MATCH("*"&amp;INDIRECT("B"&amp;R61&amp;"")&amp;"*",INDIRECT("B"&amp;R61+1&amp;":B210"),0)+R61&amp;"")
+INDIRECT("M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,
INDIRECT("M"&amp;R61&amp;"")))),"")</f>
        <v/>
      </c>
      <c r="AC61" s="122" t="str">
        <f t="shared" ca="1" si="4"/>
        <v/>
      </c>
      <c r="AD61" s="176" t="str">
        <f t="shared" ca="1" si="5"/>
        <v/>
      </c>
      <c r="AE61" s="176" t="str">
        <f t="shared" ca="1" si="6"/>
        <v/>
      </c>
      <c r="AF61" s="176" t="str">
        <f t="shared" ca="1" si="7"/>
        <v/>
      </c>
      <c r="AG61" s="176" t="str">
        <f t="shared" ca="1" si="8"/>
        <v/>
      </c>
      <c r="AH61" s="183" t="str">
        <f t="shared" ca="1" si="9"/>
        <v/>
      </c>
      <c r="AI61" s="176" t="str">
        <f t="shared" ca="1" si="10"/>
        <v/>
      </c>
      <c r="AJ61" s="176" t="str">
        <f t="shared" ca="1" si="11"/>
        <v/>
      </c>
      <c r="AK61" s="176" t="str">
        <f t="shared" ca="1" si="12"/>
        <v/>
      </c>
      <c r="AL61" s="176" t="str">
        <f t="shared" ca="1" si="13"/>
        <v/>
      </c>
      <c r="AM61" s="176" t="str">
        <f t="shared" ca="1" si="14"/>
        <v/>
      </c>
      <c r="AN61" s="176" t="str">
        <f t="shared" ca="1" si="15"/>
        <v/>
      </c>
      <c r="AO61" s="176" t="str">
        <f t="shared" ca="1" si="16"/>
        <v/>
      </c>
      <c r="AP61" s="176" t="str">
        <f t="shared" ca="1" si="17"/>
        <v/>
      </c>
      <c r="AU61" s="176" t="str">
        <f t="shared" ca="1" si="18"/>
        <v/>
      </c>
      <c r="AW61" s="106" t="str">
        <f ca="1">IF(AF61&lt;&gt;"",OFFSET('数出表_Excel（アレルギー入力）'!$A$1,MATCH(AF61,'数出表_Excel（アレルギー入力）'!A:A,0)-2,0),"")</f>
        <v/>
      </c>
      <c r="AX61" s="106" t="str">
        <f ca="1">IF(AW61&lt;&gt;"",
OFFSET(得意先マスタ!$A$1,MATCH(AW61,得意先マスタ!A:A,0)-1,24),"")</f>
        <v/>
      </c>
      <c r="AY61" s="57">
        <f t="shared" ca="1" si="21"/>
        <v>0</v>
      </c>
      <c r="AZ61" s="57">
        <f t="shared" ca="1" si="29"/>
        <v>0</v>
      </c>
      <c r="BA61" s="57">
        <f t="shared" ca="1" si="30"/>
        <v>0</v>
      </c>
      <c r="BB61" s="176">
        <f t="shared" ca="1" si="24"/>
        <v>0</v>
      </c>
    </row>
    <row r="62" spans="1:54" ht="22.2" customHeight="1">
      <c r="A62" s="101">
        <f t="shared" si="31"/>
        <v>129</v>
      </c>
      <c r="B62" s="45" t="str">
        <f t="shared" si="32"/>
        <v/>
      </c>
      <c r="C62" s="45" t="str">
        <f>IF(OR(クライアント抽出!B62&lt;&gt;"",クライアント抽出!E62&lt;&gt;""),クライアント抽出!A62,"")</f>
        <v/>
      </c>
      <c r="D62" s="45" t="str">
        <f t="array" aca="1" ref="D62" ca="1">IF(C62&lt;&gt;"",INDIRECT("クライアント抽出!"&amp;E62&amp;MATCH(C62,クライアント抽出!A:A,0)&amp;""),"")</f>
        <v/>
      </c>
      <c r="E62" s="45" t="str">
        <f>IF(H62&lt;&gt;0,
IFERROR(
SUBSTITUTE(ADDRESS(1,
MATCH(VALUE(H62),クライアント抽出!A62:G62,0)+8,4),"1",""),
""),
IFERROR(
SUBSTITUTE(ADDRESS(1,
MATCH(VALUE(I62),クライアント抽出!A62:G62,0)+8,4),"1",""),
""))</f>
        <v/>
      </c>
      <c r="F62" s="184" t="str">
        <f ca="1">IF(D62&lt;&gt;"",
IF(COUNTIF(C62,"*雙葉*"),
IF(ROUND((H62-M62)
/IF(COUNTIF(D62,"*キャラ*"),
VLOOKUP("*キャラ*",商品マスタ!$D:$E,2,FALSE),
IF(COUNTIF(D62,"*赤*"),
VLOOKUP("*赤*",商品マスタ!$D:$E,2,FALSE),
VLOOKUP("*"&amp;D62&amp;"*",商品マスタ!$D:$E,2,FALSE))),0)&lt;=0,1,
ROUND((H62-M62)
/IF(COUNTIF(D62,"*キャラ*"),
VLOOKUP("*キャラ*",商品マスタ!$D:$E,2,FALSE),
IF(COUNTIF(D62,"*赤*"),
VLOOKUP("*赤*",商品マスタ!$D:$E,2,FALSE),
VLOOKUP("*"&amp;D62&amp;"*",商品マスタ!$D:$E,2,FALSE))),0)),
IF(OR(COUNTIF(D62,"*キャラ*"),COUNTIF(D62,"*赤*")),"",
IF(VLOOKUP("*"&amp;D62&amp;"*",商品マスタ!$D:$E,2,FALSE)=0,"",
IF(ROUND((H62-M62)
/VLOOKUP("*"&amp;D62&amp;"*",商品マスタ!$D:$E,2,FALSE),0)&lt;=0,1,
ROUND((H62-M62)
/VLOOKUP("*"&amp;D62&amp;"*",商品マスタ!$D:$E,2,FALSE),0))))),"")</f>
        <v/>
      </c>
      <c r="G62" s="45" t="str">
        <f ca="1">IF(F62&lt;&gt;"",
IF(VALUE(H62-M62)&gt;VALUE(IF(COUNTIF(D62,"*キャラ*"),
VLOOKUP("*キャラ*",商品マスタ!$D:$E,2,FALSE),
IF(COUNTIF(D62,"*赤*"),
VLOOKUP("*赤*",商品マスタ!$D:$E,2,FALSE),
VLOOKUP("*"&amp;D62&amp;"*",商品マスタ!$D:$E,2,FALSE)))*F62),
"+"&amp;(H62-M62)-IF(COUNTIF(D62,"*キャラ*"),
VLOOKUP("*キャラ*",商品マスタ!$D:$E,2,FALSE),
IF(COUNTIF(D62,"*赤*"),
VLOOKUP("*赤*",商品マスタ!$D:$E,2,FALSE),
VLOOKUP("*"&amp;D62&amp;"*",商品マスタ!$D:$E,2,FALSE)))*F62,
(H62-M62)-IF(COUNTIF(D62,"*キャラ*"),
VLOOKUP("*キャラ*",商品マスタ!$D:$E,2,FALSE),
IF(COUNTIF(D62,"*赤*"),
VLOOKUP("*赤*",商品マスタ!$D:$E,2,FALSE),
VLOOKUP("*"&amp;D62&amp;"*",商品マスタ!$D:$E,2,FALSE)))*F62),"")</f>
        <v/>
      </c>
      <c r="H62" s="99" t="str">
        <f>IF(C62&lt;&gt;"",
クライアント抽出!B62,"")</f>
        <v/>
      </c>
      <c r="I62" s="45" t="str">
        <f t="array" aca="1" ref="I62" ca="1">IF(C62&lt;&gt;"",
IF(O62=1,
IF(SUMPRODUCT(COUNTIF(クライアント抽出!P62:U62,クライアント抽出!P62:U62))&gt;COUNTA(クライアント抽出!P62:U62),
IFERROR(INDIRECT("数出表_Excel!"&amp;INDEX(_xlfn.UNIQUE(_xlfn._xlws.FILTER(クライアント抽出!P62:U62,COUNTIF(クライアント抽出!P62:U62,クライアント抽出!P62:U62)&gt;1)),1)&amp;L62&amp;""),
クライアント抽出!E62),0),クライアント抽出!E62),"")</f>
        <v/>
      </c>
      <c r="J62" s="45" t="str">
        <f>IF(C62&lt;&gt;"",
VLOOKUP(
"*"&amp;LEFT(IF(COUNTIF(D62,"*学食*"),"キャラ弁（学食）",
IF(COUNTIF(D62,"*赤*"),"赤",
IF(COUNTIF(D62,"*キャラ弁当*"),"キャラ弁当",D62))),4)&amp;"*",注文弁当の抽出!$F$1:$G$15,2,FALSE),"")</f>
        <v/>
      </c>
      <c r="K62" s="45" t="str">
        <f ca="1">IF(クライアント抽出!P62&lt;&gt;"",SUBSTITUTE(ADDRESS(1,(CODE(クライアント抽出!P62)-64)*2-1,4),"1",""),"")</f>
        <v/>
      </c>
      <c r="L62" s="45" t="str">
        <f>IF(C62&lt;&gt;"",クライアント抽出!I62,"")</f>
        <v/>
      </c>
      <c r="M62" s="45">
        <f t="array" aca="1" ref="M62" ca="1">IF(C62&lt;&gt;"",
IF(K62&lt;&gt;"",INDIRECT("'数出表_Excel（アレルギー入力）'!"&amp;K62&amp;L62-1&amp;""),),)</f>
        <v>0</v>
      </c>
      <c r="N62" s="45" t="str">
        <f>IF(C62&lt;&gt;"",IF(OR(COUNTIF('盛付札（関数）'!D62,"*赤*"),COUNTIF('盛付札（関数）'!D62,"*キャラ*")),1,
VALUE(VLOOKUP("*"&amp;D62&amp;"*",商品マスタ!D:H,5,FALSE))),"")</f>
        <v/>
      </c>
      <c r="O62" s="45">
        <f ca="1">IF(LEN(クライアント抽出!V62)-LEN(SUBSTITUTE(クライアント抽出!V62,",",""))&lt;&gt;1,
IF(AND(クライアント抽出!P62&lt;&gt;"",クライアント抽出!S62&lt;&gt;""),
IF(クライアント抽出!P62&lt;&gt;クライアント抽出!S62,1,0),0),0)</f>
        <v>0</v>
      </c>
      <c r="P62" s="45">
        <f t="shared" si="0"/>
        <v>0</v>
      </c>
      <c r="Q62" s="45" t="b">
        <f t="shared" si="1"/>
        <v>0</v>
      </c>
      <c r="R62" s="122" t="str">
        <f t="array" aca="1" ref="R62" ca="1">IFERROR(SMALL(IF(P$1:P$311&lt;&gt;0,P$1:P$311),ROW(A62)),"")</f>
        <v/>
      </c>
      <c r="S62" s="122" t="str">
        <f t="array" aca="1" ref="S62" ca="1">IF($R62&lt;&gt;"",
SUBSTITUTE(SUBSTITUTE(INDIRECT("C"&amp;$R62&amp;"")," 週3ｺｰｽ","")," 週5ｺｰｽ",""),"")</f>
        <v/>
      </c>
      <c r="T62" s="122" t="str">
        <f t="array" aca="1" ref="T62" ca="1">IF(IF($R62&lt;&gt;"",
INDIRECT(""&amp;IF(COLUMN(D62)&lt;=26,CHAR(COLUMN(D62)+64),CHAR(INT((COLUMN(D62)-1)/26)+64)&amp;CHAR(MOD(COLUMN(D62)-1,26)+65))&amp;$R62&amp;""),"")=0,"",
IF($R62&lt;&gt;"",
INDIRECT(""&amp;IF(COLUMN(D62)&lt;=26,CHAR(COLUMN(D62)+64),CHAR(INT((COLUMN(D62)-1)/26)+64)&amp;CHAR(MOD(COLUMN(D62)-1,26)+65))&amp;$R62&amp;""),""))</f>
        <v/>
      </c>
      <c r="U62" s="185" t="str">
        <f t="array" aca="1" ref="U62" ca="1">IF($R62&lt;&gt;"",
INDIRECT("F"&amp;$R62&amp;""),"")</f>
        <v/>
      </c>
      <c r="V62" s="122" t="str">
        <f t="array" aca="1" ref="V62" ca="1">IF($R62&lt;&gt;"",
INDIRECT("G"&amp;$R62&amp;""),"")</f>
        <v/>
      </c>
      <c r="W62" s="122" t="str" cm="1">
        <f t="array" aca="1" ref="W62" ca="1">IF($R62&lt;&gt;"",
IF(AND(COUNTIF(INDIRECT("B"&amp;R62&amp;""),"*雙葉*"),COUNTIF($B$71:$B$210,"*雙葉*")&gt;=1),
IF(OR(COUNTIF(INDIRECT("B"&amp;R62&amp;""),"*雙葉先生*"),COUNTIF(INDIRECT("B"&amp;R62-1&amp;""),"*雙葉*")),INDIRECT("H"&amp;R62&amp;""),INDIRECT("H"&amp;R62&amp;"")+INDIRECT("H"&amp;MATCH("雙葉'",INDIRECT("B"&amp;R62+3&amp;":B210"),0)+2+R62&amp;"")),
IF(AND(LEFT(INDIRECT("B"&amp;R62&amp;""),2)="博多",COUNTIF(B:B,"*博多*")&gt;=2),
INDIRECT("H"&amp;R62&amp;"")+IFERROR(INDIRECT("H"&amp;MATCH("*"&amp;INDIRECT("B"&amp;R62&amp;"")&amp;"*",INDIRECT("B"&amp;R62+1&amp;":B210"),0)+R62&amp;""),0),
IF(AND(LEFT(INDIRECT("B"&amp;R62&amp;""),3)="奈良屋",COUNTIF(B:B,"*奈良屋*")&gt;=2),
INDIRECT("H"&amp;R62&amp;"")
+INDIRECT("H"&amp;MATCH("*"&amp;INDIRECT("B"&amp;R62&amp;"")&amp;"*",INDIRECT("B"&amp;R62+1&amp;":B210"),0)+R62&amp;"")
+INDIRECT("H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
+INDIRECT("H"&amp;MATCH("*"&amp;INDIRECT("B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&amp;"*",INDIRECT("B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+1&amp;":B210"),0)+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,
INDIRECT("H"&amp;R62&amp;"")))),"")</f>
        <v/>
      </c>
      <c r="X62" s="122" t="str">
        <f t="array" aca="1" ref="X62" ca="1">IF($R62&lt;&gt;"",
INDIRECT(""&amp;IF(COLUMN(I62)&lt;=26,CHAR(COLUMN(I62)+64),CHAR(INT((COLUMN(I62)-1)/26)+64)&amp;CHAR(MOD(COLUMN(I62)-1,26)+65))&amp;$R62&amp;""),"")</f>
        <v/>
      </c>
      <c r="Y62" s="122" t="str">
        <f t="array" aca="1" ref="Y62" ca="1">IF($R62&lt;&gt;"",
INDIRECT(""&amp;IF(COLUMN(J62)&lt;=26,CHAR(COLUMN(J62)+64),CHAR(INT((COLUMN(J62)-1)/26)+64)&amp;CHAR(MOD(COLUMN(J62)-1,26)+65))&amp;$R62&amp;""),"")</f>
        <v/>
      </c>
      <c r="Z62" s="122" t="str">
        <f t="shared" ca="1" si="2"/>
        <v/>
      </c>
      <c r="AA62" s="122" t="str">
        <f t="shared" ca="1" si="3"/>
        <v/>
      </c>
      <c r="AB62" s="122" t="str">
        <f t="array" aca="1" ref="AB62" ca="1">IF($R62&lt;&gt;"",
IF(AND(COUNTIF(INDIRECT("B"&amp;R62&amp;""),"*雙葉*"),COUNTIF(INDIRECT("B"&amp;R62&amp;""),"&lt;&gt;*先生*"),COUNTIF(B:B,"*雙葉*")&gt;=2),
INDIRECT("M"&amp;R62&amp;"")+INDIRECT("M"&amp;MATCH("雙葉'",INDIRECT("B"&amp;R62+1&amp;":B210"),0)+R62&amp;""),
IF(AND(LEFT(INDIRECT("B"&amp;R62&amp;""),2)="博多",COUNTIF(B:B,"*博多*")&gt;=2),
INDIRECT("M"&amp;R62&amp;"")+INDIRECT("M"&amp;MATCH("*"&amp;INDIRECT("B"&amp;R62&amp;"")&amp;"*",INDIRECT("B"&amp;R62+1&amp;":B210"),0)+R62&amp;""),
IF(AND(LEFT(INDIRECT("B"&amp;R62&amp;""),3)="奈良屋",COUNTIF(B:B,"*奈良屋*")&gt;=2),
INDIRECT("M"&amp;R62&amp;"")+INDIRECT("M"&amp;MATCH("*"&amp;INDIRECT("B"&amp;R62&amp;"")&amp;"*",INDIRECT("B"&amp;R62+1&amp;":B210"),0)+R62&amp;"")
+INDIRECT("M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,
INDIRECT("M"&amp;R62&amp;"")))),"")</f>
        <v/>
      </c>
      <c r="AC62" s="122" t="str">
        <f t="shared" ca="1" si="4"/>
        <v/>
      </c>
      <c r="AD62" s="176" t="str">
        <f t="shared" ca="1" si="5"/>
        <v/>
      </c>
      <c r="AE62" s="176" t="str">
        <f t="shared" ca="1" si="6"/>
        <v/>
      </c>
      <c r="AF62" s="176" t="str">
        <f t="shared" ca="1" si="7"/>
        <v/>
      </c>
      <c r="AG62" s="176" t="str">
        <f t="shared" ca="1" si="8"/>
        <v/>
      </c>
      <c r="AH62" s="183" t="str">
        <f t="shared" ca="1" si="9"/>
        <v/>
      </c>
      <c r="AI62" s="176" t="str">
        <f t="shared" ca="1" si="10"/>
        <v/>
      </c>
      <c r="AJ62" s="176" t="str">
        <f t="shared" ca="1" si="11"/>
        <v/>
      </c>
      <c r="AK62" s="176" t="str">
        <f t="shared" ca="1" si="12"/>
        <v/>
      </c>
      <c r="AL62" s="176" t="str">
        <f t="shared" ca="1" si="13"/>
        <v/>
      </c>
      <c r="AM62" s="176" t="str">
        <f t="shared" ca="1" si="14"/>
        <v/>
      </c>
      <c r="AN62" s="176" t="str">
        <f t="shared" ca="1" si="15"/>
        <v/>
      </c>
      <c r="AO62" s="176" t="str">
        <f t="shared" ca="1" si="16"/>
        <v/>
      </c>
      <c r="AP62" s="176" t="str">
        <f t="shared" ca="1" si="17"/>
        <v/>
      </c>
      <c r="AU62" s="176" t="str">
        <f t="shared" ca="1" si="18"/>
        <v/>
      </c>
      <c r="AW62" s="106" t="str">
        <f ca="1">IF(AF62&lt;&gt;"",OFFSET('数出表_Excel（アレルギー入力）'!$A$1,MATCH(AF62,'数出表_Excel（アレルギー入力）'!A:A,0)-2,0),"")</f>
        <v/>
      </c>
      <c r="AX62" s="106" t="str">
        <f ca="1">IF(AW62&lt;&gt;"",
OFFSET(得意先マスタ!$A$1,MATCH(AW62,得意先マスタ!A:A,0)-1,24),"")</f>
        <v/>
      </c>
      <c r="AY62" s="57">
        <f t="shared" ca="1" si="21"/>
        <v>0</v>
      </c>
      <c r="AZ62" s="57">
        <f t="shared" ca="1" si="29"/>
        <v>0</v>
      </c>
      <c r="BA62" s="57">
        <f t="shared" ca="1" si="30"/>
        <v>0</v>
      </c>
      <c r="BB62" s="176">
        <f t="shared" ca="1" si="24"/>
        <v>0</v>
      </c>
    </row>
    <row r="63" spans="1:54" ht="21" customHeight="1">
      <c r="A63" s="101">
        <f t="shared" si="31"/>
        <v>131</v>
      </c>
      <c r="B63" s="45" t="str">
        <f t="shared" si="32"/>
        <v/>
      </c>
      <c r="C63" s="45" t="str">
        <f>IF(OR(クライアント抽出!B63&lt;&gt;"",クライアント抽出!E63&lt;&gt;""),クライアント抽出!A63,"")</f>
        <v/>
      </c>
      <c r="D63" s="45" t="str">
        <f t="array" aca="1" ref="D63" ca="1">IF(C63&lt;&gt;"",INDIRECT("クライアント抽出!"&amp;E63&amp;MATCH(C63,クライアント抽出!A:A,0)&amp;""),"")</f>
        <v/>
      </c>
      <c r="E63" s="45" t="str">
        <f>IF(H63&lt;&gt;0,
IFERROR(
SUBSTITUTE(ADDRESS(1,
MATCH(VALUE(H63),クライアント抽出!A63:G63,0)+8,4),"1",""),
""),
IFERROR(
SUBSTITUTE(ADDRESS(1,
MATCH(VALUE(I63),クライアント抽出!A63:G63,0)+8,4),"1",""),
""))</f>
        <v/>
      </c>
      <c r="F63" s="184" t="str">
        <f ca="1">IF(D63&lt;&gt;"",
IF(COUNTIF(C63,"*雙葉*"),
IF(ROUND((H63-M63)
/IF(COUNTIF(D63,"*キャラ*"),
VLOOKUP("*キャラ*",商品マスタ!$D:$E,2,FALSE),
IF(COUNTIF(D63,"*赤*"),
VLOOKUP("*赤*",商品マスタ!$D:$E,2,FALSE),
VLOOKUP("*"&amp;D63&amp;"*",商品マスタ!$D:$E,2,FALSE))),0)&lt;=0,1,
ROUND((H63-M63)
/IF(COUNTIF(D63,"*キャラ*"),
VLOOKUP("*キャラ*",商品マスタ!$D:$E,2,FALSE),
IF(COUNTIF(D63,"*赤*"),
VLOOKUP("*赤*",商品マスタ!$D:$E,2,FALSE),
VLOOKUP("*"&amp;D63&amp;"*",商品マスタ!$D:$E,2,FALSE))),0)),
IF(OR(COUNTIF(D63,"*キャラ*"),COUNTIF(D63,"*赤*")),"",
IF(VLOOKUP("*"&amp;D63&amp;"*",商品マスタ!$D:$E,2,FALSE)=0,"",
IF(ROUND((H63-M63)
/VLOOKUP("*"&amp;D63&amp;"*",商品マスタ!$D:$E,2,FALSE),0)&lt;=0,1,
ROUND((H63-M63)
/VLOOKUP("*"&amp;D63&amp;"*",商品マスタ!$D:$E,2,FALSE),0))))),"")</f>
        <v/>
      </c>
      <c r="G63" s="45" t="str">
        <f ca="1">IF(F63&lt;&gt;"",
IF(VALUE(H63-M63)&gt;VALUE(IF(COUNTIF(D63,"*キャラ*"),
VLOOKUP("*キャラ*",商品マスタ!$D:$E,2,FALSE),
IF(COUNTIF(D63,"*赤*"),
VLOOKUP("*赤*",商品マスタ!$D:$E,2,FALSE),
VLOOKUP("*"&amp;D63&amp;"*",商品マスタ!$D:$E,2,FALSE)))*F63),
"+"&amp;(H63-M63)-IF(COUNTIF(D63,"*キャラ*"),
VLOOKUP("*キャラ*",商品マスタ!$D:$E,2,FALSE),
IF(COUNTIF(D63,"*赤*"),
VLOOKUP("*赤*",商品マスタ!$D:$E,2,FALSE),
VLOOKUP("*"&amp;D63&amp;"*",商品マスタ!$D:$E,2,FALSE)))*F63,
(H63-M63)-IF(COUNTIF(D63,"*キャラ*"),
VLOOKUP("*キャラ*",商品マスタ!$D:$E,2,FALSE),
IF(COUNTIF(D63,"*赤*"),
VLOOKUP("*赤*",商品マスタ!$D:$E,2,FALSE),
VLOOKUP("*"&amp;D63&amp;"*",商品マスタ!$D:$E,2,FALSE)))*F63),"")</f>
        <v/>
      </c>
      <c r="H63" s="99" t="str">
        <f>IF(C63&lt;&gt;"",
クライアント抽出!B63,"")</f>
        <v/>
      </c>
      <c r="I63" s="45" t="str">
        <f t="array" aca="1" ref="I63" ca="1">IF(C63&lt;&gt;"",
IF(O63=1,
IF(SUMPRODUCT(COUNTIF(クライアント抽出!P63:U63,クライアント抽出!P63:U63))&gt;COUNTA(クライアント抽出!P63:U63),
IFERROR(INDIRECT("数出表_Excel!"&amp;INDEX(_xlfn.UNIQUE(_xlfn._xlws.FILTER(クライアント抽出!P63:U63,COUNTIF(クライアント抽出!P63:U63,クライアント抽出!P63:U63)&gt;1)),1)&amp;L63&amp;""),
クライアント抽出!E63),0),クライアント抽出!E63),"")</f>
        <v/>
      </c>
      <c r="J63" s="45" t="str">
        <f>IF(C63&lt;&gt;"",
VLOOKUP(
"*"&amp;LEFT(IF(COUNTIF(D63,"*学食*"),"キャラ弁（学食）",
IF(COUNTIF(D63,"*赤*"),"赤",
IF(COUNTIF(D63,"*キャラ弁当*"),"キャラ弁当",D63))),4)&amp;"*",注文弁当の抽出!$F$1:$G$15,2,FALSE),"")</f>
        <v/>
      </c>
      <c r="K63" s="45" t="str">
        <f ca="1">IF(クライアント抽出!P63&lt;&gt;"",SUBSTITUTE(ADDRESS(1,(CODE(クライアント抽出!P63)-64)*2-1,4),"1",""),"")</f>
        <v/>
      </c>
      <c r="L63" s="45" t="str">
        <f>IF(C63&lt;&gt;"",クライアント抽出!I63,"")</f>
        <v/>
      </c>
      <c r="M63" s="45">
        <f t="array" aca="1" ref="M63" ca="1">IF(C63&lt;&gt;"",
IF(K63&lt;&gt;"",INDIRECT("'数出表_Excel（アレルギー入力）'!"&amp;K63&amp;L63-1&amp;""),),)</f>
        <v>0</v>
      </c>
      <c r="N63" s="45" t="str">
        <f>IF(C63&lt;&gt;"",IF(OR(COUNTIF('盛付札（関数）'!D63,"*赤*"),COUNTIF('盛付札（関数）'!D63,"*キャラ*")),1,
VALUE(VLOOKUP("*"&amp;D63&amp;"*",商品マスタ!D:H,5,FALSE))),"")</f>
        <v/>
      </c>
      <c r="O63" s="45">
        <f ca="1">IF(LEN(クライアント抽出!V63)-LEN(SUBSTITUTE(クライアント抽出!V63,",",""))&lt;&gt;1,
IF(AND(クライアント抽出!P63&lt;&gt;"",クライアント抽出!S63&lt;&gt;""),
IF(クライアント抽出!P63&lt;&gt;クライアント抽出!S63,1,0),0),0)</f>
        <v>0</v>
      </c>
      <c r="P63" s="45">
        <f t="shared" si="0"/>
        <v>0</v>
      </c>
      <c r="Q63" s="45" t="b">
        <f t="shared" si="1"/>
        <v>0</v>
      </c>
      <c r="R63" s="122" t="str">
        <f t="array" aca="1" ref="R63" ca="1">IFERROR(SMALL(IF(P$1:P$311&lt;&gt;0,P$1:P$311),ROW(A63)),"")</f>
        <v/>
      </c>
      <c r="S63" s="122" t="str">
        <f t="array" aca="1" ref="S63" ca="1">IF($R63&lt;&gt;"",
SUBSTITUTE(SUBSTITUTE(INDIRECT("C"&amp;$R63&amp;"")," 週3ｺｰｽ","")," 週5ｺｰｽ",""),"")</f>
        <v/>
      </c>
      <c r="T63" s="122" t="str">
        <f t="array" aca="1" ref="T63" ca="1">IF(IF($R63&lt;&gt;"",
INDIRECT(""&amp;IF(COLUMN(D63)&lt;=26,CHAR(COLUMN(D63)+64),CHAR(INT((COLUMN(D63)-1)/26)+64)&amp;CHAR(MOD(COLUMN(D63)-1,26)+65))&amp;$R63&amp;""),"")=0,"",
IF($R63&lt;&gt;"",
INDIRECT(""&amp;IF(COLUMN(D63)&lt;=26,CHAR(COLUMN(D63)+64),CHAR(INT((COLUMN(D63)-1)/26)+64)&amp;CHAR(MOD(COLUMN(D63)-1,26)+65))&amp;$R63&amp;""),""))</f>
        <v/>
      </c>
      <c r="U63" s="185" t="str">
        <f t="array" aca="1" ref="U63" ca="1">IF($R63&lt;&gt;"",
INDIRECT("F"&amp;$R63&amp;""),"")</f>
        <v/>
      </c>
      <c r="V63" s="122" t="str">
        <f t="array" aca="1" ref="V63" ca="1">IF($R63&lt;&gt;"",
INDIRECT("G"&amp;$R63&amp;""),"")</f>
        <v/>
      </c>
      <c r="W63" s="122" t="str" cm="1">
        <f t="array" aca="1" ref="W63" ca="1">IF($R63&lt;&gt;"",
IF(AND(COUNTIF(INDIRECT("B"&amp;R63&amp;""),"*雙葉*"),COUNTIF($B$71:$B$210,"*雙葉*")&gt;=1),
IF(OR(COUNTIF(INDIRECT("B"&amp;R63&amp;""),"*雙葉先生*"),COUNTIF(INDIRECT("B"&amp;R63-1&amp;""),"*雙葉*")),INDIRECT("H"&amp;R63&amp;""),INDIRECT("H"&amp;R63&amp;"")+INDIRECT("H"&amp;MATCH("雙葉'",INDIRECT("B"&amp;R63+3&amp;":B210"),0)+2+R63&amp;"")),
IF(AND(LEFT(INDIRECT("B"&amp;R63&amp;""),2)="博多",COUNTIF(B:B,"*博多*")&gt;=2),
INDIRECT("H"&amp;R63&amp;"")+IFERROR(INDIRECT("H"&amp;MATCH("*"&amp;INDIRECT("B"&amp;R63&amp;"")&amp;"*",INDIRECT("B"&amp;R63+1&amp;":B210"),0)+R63&amp;""),0),
IF(AND(LEFT(INDIRECT("B"&amp;R63&amp;""),3)="奈良屋",COUNTIF(B:B,"*奈良屋*")&gt;=2),
INDIRECT("H"&amp;R63&amp;"")
+INDIRECT("H"&amp;MATCH("*"&amp;INDIRECT("B"&amp;R63&amp;"")&amp;"*",INDIRECT("B"&amp;R63+1&amp;":B210"),0)+R63&amp;"")
+INDIRECT("H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
+INDIRECT("H"&amp;MATCH("*"&amp;INDIRECT("B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&amp;"*",INDIRECT("B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+1&amp;":B210"),0)+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,
INDIRECT("H"&amp;R63&amp;"")))),"")</f>
        <v/>
      </c>
      <c r="X63" s="122" t="str">
        <f t="array" aca="1" ref="X63" ca="1">IF($R63&lt;&gt;"",
INDIRECT(""&amp;IF(COLUMN(I63)&lt;=26,CHAR(COLUMN(I63)+64),CHAR(INT((COLUMN(I63)-1)/26)+64)&amp;CHAR(MOD(COLUMN(I63)-1,26)+65))&amp;$R63&amp;""),"")</f>
        <v/>
      </c>
      <c r="Y63" s="122" t="str">
        <f t="array" aca="1" ref="Y63" ca="1">IF($R63&lt;&gt;"",
INDIRECT(""&amp;IF(COLUMN(J63)&lt;=26,CHAR(COLUMN(J63)+64),CHAR(INT((COLUMN(J63)-1)/26)+64)&amp;CHAR(MOD(COLUMN(J63)-1,26)+65))&amp;$R63&amp;""),"")</f>
        <v/>
      </c>
      <c r="Z63" s="122" t="str">
        <f t="shared" ca="1" si="2"/>
        <v/>
      </c>
      <c r="AA63" s="122" t="str">
        <f t="shared" ca="1" si="3"/>
        <v/>
      </c>
      <c r="AB63" s="122" t="str">
        <f t="array" aca="1" ref="AB63" ca="1">IF($R63&lt;&gt;"",
IF(AND(COUNTIF(INDIRECT("B"&amp;R63&amp;""),"*雙葉*"),COUNTIF(INDIRECT("B"&amp;R63&amp;""),"&lt;&gt;*先生*"),COUNTIF(B:B,"*雙葉*")&gt;=2),
INDIRECT("M"&amp;R63&amp;"")+INDIRECT("M"&amp;MATCH("雙葉'",INDIRECT("B"&amp;R63+1&amp;":B210"),0)+R63&amp;""),
IF(AND(LEFT(INDIRECT("B"&amp;R63&amp;""),2)="博多",COUNTIF(B:B,"*博多*")&gt;=2),
INDIRECT("M"&amp;R63&amp;"")+INDIRECT("M"&amp;MATCH("*"&amp;INDIRECT("B"&amp;R63&amp;"")&amp;"*",INDIRECT("B"&amp;R63+1&amp;":B210"),0)+R63&amp;""),
IF(AND(LEFT(INDIRECT("B"&amp;R63&amp;""),3)="奈良屋",COUNTIF(B:B,"*奈良屋*")&gt;=2),
INDIRECT("M"&amp;R63&amp;"")+INDIRECT("M"&amp;MATCH("*"&amp;INDIRECT("B"&amp;R63&amp;"")&amp;"*",INDIRECT("B"&amp;R63+1&amp;":B210"),0)+R63&amp;"")
+INDIRECT("M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,
INDIRECT("M"&amp;R63&amp;"")))),"")</f>
        <v/>
      </c>
      <c r="AC63" s="122" t="str">
        <f t="shared" ca="1" si="4"/>
        <v/>
      </c>
      <c r="AD63" s="176" t="str">
        <f t="shared" ca="1" si="5"/>
        <v/>
      </c>
      <c r="AE63" s="176" t="str">
        <f t="shared" ca="1" si="6"/>
        <v/>
      </c>
      <c r="AF63" s="176" t="str">
        <f t="shared" ca="1" si="7"/>
        <v/>
      </c>
      <c r="AG63" s="176" t="str">
        <f t="shared" ca="1" si="8"/>
        <v/>
      </c>
      <c r="AH63" s="183" t="str">
        <f t="shared" ca="1" si="9"/>
        <v/>
      </c>
      <c r="AI63" s="176" t="str">
        <f t="shared" ca="1" si="10"/>
        <v/>
      </c>
      <c r="AJ63" s="176" t="str">
        <f t="shared" ca="1" si="11"/>
        <v/>
      </c>
      <c r="AK63" s="176" t="str">
        <f t="shared" ca="1" si="12"/>
        <v/>
      </c>
      <c r="AL63" s="176" t="str">
        <f t="shared" ca="1" si="13"/>
        <v/>
      </c>
      <c r="AM63" s="176" t="str">
        <f t="shared" ca="1" si="14"/>
        <v/>
      </c>
      <c r="AN63" s="176" t="str">
        <f t="shared" ca="1" si="15"/>
        <v/>
      </c>
      <c r="AO63" s="176" t="str">
        <f t="shared" ca="1" si="16"/>
        <v/>
      </c>
      <c r="AP63" s="176" t="str">
        <f t="shared" ca="1" si="17"/>
        <v/>
      </c>
      <c r="AU63" s="176" t="str">
        <f t="shared" ca="1" si="18"/>
        <v/>
      </c>
      <c r="AW63" s="106" t="str">
        <f ca="1">IF(AF63&lt;&gt;"",OFFSET('数出表_Excel（アレルギー入力）'!$A$1,MATCH(AF63,'数出表_Excel（アレルギー入力）'!A:A,0)-2,0),"")</f>
        <v/>
      </c>
      <c r="AX63" s="106" t="str">
        <f ca="1">IF(AW63&lt;&gt;"",
OFFSET(得意先マスタ!$A$1,MATCH(AW63,得意先マスタ!A:A,0)-1,24),"")</f>
        <v/>
      </c>
      <c r="AY63" s="57">
        <f t="shared" ca="1" si="21"/>
        <v>0</v>
      </c>
      <c r="AZ63" s="57">
        <f t="shared" ca="1" si="29"/>
        <v>0</v>
      </c>
      <c r="BA63" s="57">
        <f t="shared" ca="1" si="30"/>
        <v>0</v>
      </c>
      <c r="BB63" s="176">
        <f t="shared" ca="1" si="24"/>
        <v>0</v>
      </c>
    </row>
    <row r="64" spans="1:54" ht="18" customHeight="1">
      <c r="A64" s="101">
        <f t="shared" si="31"/>
        <v>133</v>
      </c>
      <c r="B64" s="45" t="str">
        <f t="shared" si="32"/>
        <v/>
      </c>
      <c r="C64" s="45" t="str">
        <f>IF(OR(クライアント抽出!B64&lt;&gt;"",クライアント抽出!E64&lt;&gt;""),クライアント抽出!A64,"")</f>
        <v/>
      </c>
      <c r="D64" s="45" t="str">
        <f t="array" aca="1" ref="D64" ca="1">IF(C64&lt;&gt;"",INDIRECT("クライアント抽出!"&amp;E64&amp;MATCH(C64,クライアント抽出!A:A,0)&amp;""),"")</f>
        <v/>
      </c>
      <c r="E64" s="45" t="str">
        <f>IF(H64&lt;&gt;0,
IFERROR(
SUBSTITUTE(ADDRESS(1,
MATCH(VALUE(H64),クライアント抽出!A64:G64,0)+8,4),"1",""),
""),
IFERROR(
SUBSTITUTE(ADDRESS(1,
MATCH(VALUE(I64),クライアント抽出!A64:G64,0)+8,4),"1",""),
""))</f>
        <v/>
      </c>
      <c r="F64" s="184" t="str">
        <f ca="1">IF(D64&lt;&gt;"",
IF(COUNTIF(C64,"*雙葉*"),
IF(ROUND((H64-M64)
/IF(COUNTIF(D64,"*キャラ*"),
VLOOKUP("*キャラ*",商品マスタ!$D:$E,2,FALSE),
IF(COUNTIF(D64,"*赤*"),
VLOOKUP("*赤*",商品マスタ!$D:$E,2,FALSE),
VLOOKUP("*"&amp;D64&amp;"*",商品マスタ!$D:$E,2,FALSE))),0)&lt;=0,1,
ROUND((H64-M64)
/IF(COUNTIF(D64,"*キャラ*"),
VLOOKUP("*キャラ*",商品マスタ!$D:$E,2,FALSE),
IF(COUNTIF(D64,"*赤*"),
VLOOKUP("*赤*",商品マスタ!$D:$E,2,FALSE),
VLOOKUP("*"&amp;D64&amp;"*",商品マスタ!$D:$E,2,FALSE))),0)),
IF(OR(COUNTIF(D64,"*キャラ*"),COUNTIF(D64,"*赤*")),"",
IF(VLOOKUP("*"&amp;D64&amp;"*",商品マスタ!$D:$E,2,FALSE)=0,"",
IF(ROUND((H64-M64)
/VLOOKUP("*"&amp;D64&amp;"*",商品マスタ!$D:$E,2,FALSE),0)&lt;=0,1,
ROUND((H64-M64)
/VLOOKUP("*"&amp;D64&amp;"*",商品マスタ!$D:$E,2,FALSE),0))))),"")</f>
        <v/>
      </c>
      <c r="G64" s="45" t="str">
        <f ca="1">IF(F64&lt;&gt;"",
IF(VALUE(H64-M64)&gt;VALUE(IF(COUNTIF(D64,"*キャラ*"),
VLOOKUP("*キャラ*",商品マスタ!$D:$E,2,FALSE),
IF(COUNTIF(D64,"*赤*"),
VLOOKUP("*赤*",商品マスタ!$D:$E,2,FALSE),
VLOOKUP("*"&amp;D64&amp;"*",商品マスタ!$D:$E,2,FALSE)))*F64),
"+"&amp;(H64-M64)-IF(COUNTIF(D64,"*キャラ*"),
VLOOKUP("*キャラ*",商品マスタ!$D:$E,2,FALSE),
IF(COUNTIF(D64,"*赤*"),
VLOOKUP("*赤*",商品マスタ!$D:$E,2,FALSE),
VLOOKUP("*"&amp;D64&amp;"*",商品マスタ!$D:$E,2,FALSE)))*F64,
(H64-M64)-IF(COUNTIF(D64,"*キャラ*"),
VLOOKUP("*キャラ*",商品マスタ!$D:$E,2,FALSE),
IF(COUNTIF(D64,"*赤*"),
VLOOKUP("*赤*",商品マスタ!$D:$E,2,FALSE),
VLOOKUP("*"&amp;D64&amp;"*",商品マスタ!$D:$E,2,FALSE)))*F64),"")</f>
        <v/>
      </c>
      <c r="H64" s="99" t="str">
        <f>IF(C64&lt;&gt;"",
クライアント抽出!B64,"")</f>
        <v/>
      </c>
      <c r="I64" s="45" t="str">
        <f t="array" aca="1" ref="I64" ca="1">IF(C64&lt;&gt;"",
IF(O64=1,
IF(SUMPRODUCT(COUNTIF(クライアント抽出!P64:U64,クライアント抽出!P64:U64))&gt;COUNTA(クライアント抽出!P64:U64),
IFERROR(INDIRECT("数出表_Excel!"&amp;INDEX(_xlfn.UNIQUE(_xlfn._xlws.FILTER(クライアント抽出!P64:U64,COUNTIF(クライアント抽出!P64:U64,クライアント抽出!P64:U64)&gt;1)),1)&amp;L64&amp;""),
クライアント抽出!E64),0),クライアント抽出!E64),"")</f>
        <v/>
      </c>
      <c r="J64" s="45" t="str">
        <f>IF(C64&lt;&gt;"",
VLOOKUP(
"*"&amp;LEFT(IF(COUNTIF(D64,"*学食*"),"キャラ弁（学食）",
IF(COUNTIF(D64,"*赤*"),"赤",
IF(COUNTIF(D64,"*キャラ弁当*"),"キャラ弁当",D64))),4)&amp;"*",注文弁当の抽出!$F$1:$G$15,2,FALSE),"")</f>
        <v/>
      </c>
      <c r="K64" s="45" t="str">
        <f ca="1">IF(クライアント抽出!P64&lt;&gt;"",SUBSTITUTE(ADDRESS(1,(CODE(クライアント抽出!P64)-64)*2-1,4),"1",""),"")</f>
        <v/>
      </c>
      <c r="L64" s="45" t="str">
        <f>IF(C64&lt;&gt;"",クライアント抽出!I64,"")</f>
        <v/>
      </c>
      <c r="M64" s="45">
        <f t="array" aca="1" ref="M64" ca="1">IF(C64&lt;&gt;"",
IF(K64&lt;&gt;"",INDIRECT("'数出表_Excel（アレルギー入力）'!"&amp;K64&amp;L64-1&amp;""),),)</f>
        <v>0</v>
      </c>
      <c r="N64" s="45" t="str">
        <f>IF(C64&lt;&gt;"",IF(OR(COUNTIF('盛付札（関数）'!D64,"*赤*"),COUNTIF('盛付札（関数）'!D64,"*キャラ*")),1,
VALUE(VLOOKUP("*"&amp;D64&amp;"*",商品マスタ!D:H,5,FALSE))),"")</f>
        <v/>
      </c>
      <c r="O64" s="45">
        <f ca="1">IF(LEN(クライアント抽出!V64)-LEN(SUBSTITUTE(クライアント抽出!V64,",",""))&lt;&gt;1,
IF(AND(クライアント抽出!P64&lt;&gt;"",クライアント抽出!S64&lt;&gt;""),
IF(クライアント抽出!P64&lt;&gt;クライアント抽出!S64,1,0),0),0)</f>
        <v>0</v>
      </c>
      <c r="P64" s="45">
        <f t="shared" si="0"/>
        <v>0</v>
      </c>
      <c r="Q64" s="45" t="b">
        <f t="shared" si="1"/>
        <v>0</v>
      </c>
      <c r="R64" s="122" t="str">
        <f t="array" aca="1" ref="R64" ca="1">IFERROR(SMALL(IF(P$1:P$311&lt;&gt;0,P$1:P$311),ROW(A64)),"")</f>
        <v/>
      </c>
      <c r="S64" s="122" t="str">
        <f t="array" aca="1" ref="S64" ca="1">IF($R64&lt;&gt;"",
SUBSTITUTE(SUBSTITUTE(INDIRECT("C"&amp;$R64&amp;"")," 週3ｺｰｽ","")," 週5ｺｰｽ",""),"")</f>
        <v/>
      </c>
      <c r="T64" s="122" t="str">
        <f t="array" aca="1" ref="T64" ca="1">IF(IF($R64&lt;&gt;"",
INDIRECT(""&amp;IF(COLUMN(D64)&lt;=26,CHAR(COLUMN(D64)+64),CHAR(INT((COLUMN(D64)-1)/26)+64)&amp;CHAR(MOD(COLUMN(D64)-1,26)+65))&amp;$R64&amp;""),"")=0,"",
IF($R64&lt;&gt;"",
INDIRECT(""&amp;IF(COLUMN(D64)&lt;=26,CHAR(COLUMN(D64)+64),CHAR(INT((COLUMN(D64)-1)/26)+64)&amp;CHAR(MOD(COLUMN(D64)-1,26)+65))&amp;$R64&amp;""),""))</f>
        <v/>
      </c>
      <c r="U64" s="185" t="str">
        <f t="array" aca="1" ref="U64" ca="1">IF($R64&lt;&gt;"",
INDIRECT("F"&amp;$R64&amp;""),"")</f>
        <v/>
      </c>
      <c r="V64" s="122" t="str">
        <f t="array" aca="1" ref="V64" ca="1">IF($R64&lt;&gt;"",
INDIRECT("G"&amp;$R64&amp;""),"")</f>
        <v/>
      </c>
      <c r="W64" s="122" t="str" cm="1">
        <f t="array" aca="1" ref="W64" ca="1">IF($R64&lt;&gt;"",
IF(AND(COUNTIF(INDIRECT("B"&amp;R64&amp;""),"*雙葉*"),COUNTIF($B$71:$B$210,"*雙葉*")&gt;=1),
IF(OR(COUNTIF(INDIRECT("B"&amp;R64&amp;""),"*雙葉先生*"),COUNTIF(INDIRECT("B"&amp;R64-1&amp;""),"*雙葉*")),INDIRECT("H"&amp;R64&amp;""),INDIRECT("H"&amp;R64&amp;"")+INDIRECT("H"&amp;MATCH("雙葉'",INDIRECT("B"&amp;R64+3&amp;":B210"),0)+2+R64&amp;"")),
IF(AND(LEFT(INDIRECT("B"&amp;R64&amp;""),2)="博多",COUNTIF(B:B,"*博多*")&gt;=2),
INDIRECT("H"&amp;R64&amp;"")+IFERROR(INDIRECT("H"&amp;MATCH("*"&amp;INDIRECT("B"&amp;R64&amp;"")&amp;"*",INDIRECT("B"&amp;R64+1&amp;":B210"),0)+R64&amp;""),0),
IF(AND(LEFT(INDIRECT("B"&amp;R64&amp;""),3)="奈良屋",COUNTIF(B:B,"*奈良屋*")&gt;=2),
INDIRECT("H"&amp;R64&amp;"")
+INDIRECT("H"&amp;MATCH("*"&amp;INDIRECT("B"&amp;R64&amp;"")&amp;"*",INDIRECT("B"&amp;R64+1&amp;":B210"),0)+R64&amp;"")
+INDIRECT("H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
+INDIRECT("H"&amp;MATCH("*"&amp;INDIRECT("B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&amp;"*",INDIRECT("B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+1&amp;":B210"),0)+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,
INDIRECT("H"&amp;R64&amp;"")))),"")</f>
        <v/>
      </c>
      <c r="X64" s="122" t="str">
        <f t="array" aca="1" ref="X64" ca="1">IF($R64&lt;&gt;"",
INDIRECT(""&amp;IF(COLUMN(I64)&lt;=26,CHAR(COLUMN(I64)+64),CHAR(INT((COLUMN(I64)-1)/26)+64)&amp;CHAR(MOD(COLUMN(I64)-1,26)+65))&amp;$R64&amp;""),"")</f>
        <v/>
      </c>
      <c r="Y64" s="122" t="str">
        <f t="array" aca="1" ref="Y64" ca="1">IF($R64&lt;&gt;"",
INDIRECT(""&amp;IF(COLUMN(J64)&lt;=26,CHAR(COLUMN(J64)+64),CHAR(INT((COLUMN(J64)-1)/26)+64)&amp;CHAR(MOD(COLUMN(J64)-1,26)+65))&amp;$R64&amp;""),"")</f>
        <v/>
      </c>
      <c r="Z64" s="122" t="str">
        <f t="shared" ca="1" si="2"/>
        <v/>
      </c>
      <c r="AA64" s="122" t="str">
        <f t="shared" ca="1" si="3"/>
        <v/>
      </c>
      <c r="AB64" s="122" t="str">
        <f t="array" aca="1" ref="AB64" ca="1">IF($R64&lt;&gt;"",
IF(AND(COUNTIF(INDIRECT("B"&amp;R64&amp;""),"*雙葉*"),COUNTIF(INDIRECT("B"&amp;R64&amp;""),"&lt;&gt;*先生*"),COUNTIF(B:B,"*雙葉*")&gt;=2),
INDIRECT("M"&amp;R64&amp;"")+INDIRECT("M"&amp;MATCH("雙葉'",INDIRECT("B"&amp;R64+1&amp;":B210"),0)+R64&amp;""),
IF(AND(LEFT(INDIRECT("B"&amp;R64&amp;""),2)="博多",COUNTIF(B:B,"*博多*")&gt;=2),
INDIRECT("M"&amp;R64&amp;"")+INDIRECT("M"&amp;MATCH("*"&amp;INDIRECT("B"&amp;R64&amp;"")&amp;"*",INDIRECT("B"&amp;R64+1&amp;":B210"),0)+R64&amp;""),
IF(AND(LEFT(INDIRECT("B"&amp;R64&amp;""),3)="奈良屋",COUNTIF(B:B,"*奈良屋*")&gt;=2),
INDIRECT("M"&amp;R64&amp;"")+INDIRECT("M"&amp;MATCH("*"&amp;INDIRECT("B"&amp;R64&amp;"")&amp;"*",INDIRECT("B"&amp;R64+1&amp;":B210"),0)+R64&amp;"")
+INDIRECT("M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,
INDIRECT("M"&amp;R64&amp;"")))),"")</f>
        <v/>
      </c>
      <c r="AC64" s="122" t="str">
        <f t="shared" ca="1" si="4"/>
        <v/>
      </c>
      <c r="AD64" s="176" t="str">
        <f t="shared" ca="1" si="5"/>
        <v/>
      </c>
      <c r="AE64" s="176" t="str">
        <f t="shared" ca="1" si="6"/>
        <v/>
      </c>
      <c r="AF64" s="176" t="str">
        <f t="shared" ca="1" si="7"/>
        <v/>
      </c>
      <c r="AG64" s="176" t="str">
        <f t="shared" ca="1" si="8"/>
        <v/>
      </c>
      <c r="AH64" s="183" t="str">
        <f t="shared" ca="1" si="9"/>
        <v/>
      </c>
      <c r="AI64" s="176" t="str">
        <f t="shared" ca="1" si="10"/>
        <v/>
      </c>
      <c r="AJ64" s="176" t="str">
        <f t="shared" ca="1" si="11"/>
        <v/>
      </c>
      <c r="AK64" s="176" t="str">
        <f t="shared" ca="1" si="12"/>
        <v/>
      </c>
      <c r="AL64" s="176" t="str">
        <f t="shared" ca="1" si="13"/>
        <v/>
      </c>
      <c r="AM64" s="176" t="str">
        <f t="shared" ca="1" si="14"/>
        <v/>
      </c>
      <c r="AN64" s="176" t="str">
        <f t="shared" ca="1" si="15"/>
        <v/>
      </c>
      <c r="AO64" s="176" t="str">
        <f t="shared" ca="1" si="16"/>
        <v/>
      </c>
      <c r="AP64" s="176" t="str">
        <f t="shared" ca="1" si="17"/>
        <v/>
      </c>
      <c r="AU64" s="176" t="str">
        <f t="shared" ca="1" si="18"/>
        <v/>
      </c>
      <c r="AW64" s="106" t="str">
        <f ca="1">IF(AF64&lt;&gt;"",OFFSET('数出表_Excel（アレルギー入力）'!$A$1,MATCH(AF64,'数出表_Excel（アレルギー入力）'!A:A,0)-2,0),"")</f>
        <v/>
      </c>
      <c r="AX64" s="106" t="str">
        <f ca="1">IF(AW64&lt;&gt;"",
OFFSET(得意先マスタ!$A$1,MATCH(AW64,得意先マスタ!A:A,0)-1,24),"")</f>
        <v/>
      </c>
      <c r="AY64" s="57">
        <f t="shared" ca="1" si="21"/>
        <v>0</v>
      </c>
      <c r="AZ64" s="57">
        <f t="shared" ca="1" si="29"/>
        <v>0</v>
      </c>
      <c r="BA64" s="57">
        <f t="shared" ca="1" si="30"/>
        <v>0</v>
      </c>
      <c r="BB64" s="176">
        <f t="shared" ca="1" si="24"/>
        <v>0</v>
      </c>
    </row>
    <row r="65" spans="1:54" ht="18" customHeight="1">
      <c r="A65" s="101">
        <f t="shared" si="31"/>
        <v>135</v>
      </c>
      <c r="B65" s="45" t="str">
        <f t="shared" si="32"/>
        <v/>
      </c>
      <c r="C65" s="45" t="str">
        <f>IF(OR(クライアント抽出!B65&lt;&gt;"",クライアント抽出!E65&lt;&gt;""),クライアント抽出!A65,"")</f>
        <v/>
      </c>
      <c r="D65" s="45" t="str">
        <f t="array" aca="1" ref="D65" ca="1">IF(C65&lt;&gt;"",INDIRECT("クライアント抽出!"&amp;E65&amp;MATCH(C65,クライアント抽出!A:A,0)&amp;""),"")</f>
        <v/>
      </c>
      <c r="E65" s="45" t="str">
        <f>IF(H65&lt;&gt;0,
IFERROR(
SUBSTITUTE(ADDRESS(1,
MATCH(VALUE(H65),クライアント抽出!A65:G65,0)+8,4),"1",""),
""),
IFERROR(
SUBSTITUTE(ADDRESS(1,
MATCH(VALUE(I65),クライアント抽出!A65:G65,0)+8,4),"1",""),
""))</f>
        <v/>
      </c>
      <c r="F65" s="184" t="str">
        <f ca="1">IF(D65&lt;&gt;"",
IF(COUNTIF(C65,"*雙葉*"),
IF(ROUND((H65-M65)
/IF(COUNTIF(D65,"*キャラ*"),
VLOOKUP("*キャラ*",商品マスタ!$D:$E,2,FALSE),
IF(COUNTIF(D65,"*赤*"),
VLOOKUP("*赤*",商品マスタ!$D:$E,2,FALSE),
VLOOKUP("*"&amp;D65&amp;"*",商品マスタ!$D:$E,2,FALSE))),0)&lt;=0,1,
ROUND((H65-M65)
/IF(COUNTIF(D65,"*キャラ*"),
VLOOKUP("*キャラ*",商品マスタ!$D:$E,2,FALSE),
IF(COUNTIF(D65,"*赤*"),
VLOOKUP("*赤*",商品マスタ!$D:$E,2,FALSE),
VLOOKUP("*"&amp;D65&amp;"*",商品マスタ!$D:$E,2,FALSE))),0)),
IF(OR(COUNTIF(D65,"*キャラ*"),COUNTIF(D65,"*赤*")),"",
IF(VLOOKUP("*"&amp;D65&amp;"*",商品マスタ!$D:$E,2,FALSE)=0,"",
IF(ROUND((H65-M65)
/VLOOKUP("*"&amp;D65&amp;"*",商品マスタ!$D:$E,2,FALSE),0)&lt;=0,1,
ROUND((H65-M65)
/VLOOKUP("*"&amp;D65&amp;"*",商品マスタ!$D:$E,2,FALSE),0))))),"")</f>
        <v/>
      </c>
      <c r="G65" s="45" t="str">
        <f ca="1">IF(F65&lt;&gt;"",
IF(VALUE(H65-M65)&gt;VALUE(IF(COUNTIF(D65,"*キャラ*"),
VLOOKUP("*キャラ*",商品マスタ!$D:$E,2,FALSE),
IF(COUNTIF(D65,"*赤*"),
VLOOKUP("*赤*",商品マスタ!$D:$E,2,FALSE),
VLOOKUP("*"&amp;D65&amp;"*",商品マスタ!$D:$E,2,FALSE)))*F65),
"+"&amp;(H65-M65)-IF(COUNTIF(D65,"*キャラ*"),
VLOOKUP("*キャラ*",商品マスタ!$D:$E,2,FALSE),
IF(COUNTIF(D65,"*赤*"),
VLOOKUP("*赤*",商品マスタ!$D:$E,2,FALSE),
VLOOKUP("*"&amp;D65&amp;"*",商品マスタ!$D:$E,2,FALSE)))*F65,
(H65-M65)-IF(COUNTIF(D65,"*キャラ*"),
VLOOKUP("*キャラ*",商品マスタ!$D:$E,2,FALSE),
IF(COUNTIF(D65,"*赤*"),
VLOOKUP("*赤*",商品マスタ!$D:$E,2,FALSE),
VLOOKUP("*"&amp;D65&amp;"*",商品マスタ!$D:$E,2,FALSE)))*F65),"")</f>
        <v/>
      </c>
      <c r="H65" s="99" t="str">
        <f>IF(C65&lt;&gt;"",
クライアント抽出!B65,"")</f>
        <v/>
      </c>
      <c r="I65" s="45" t="str">
        <f t="array" aca="1" ref="I65" ca="1">IF(C65&lt;&gt;"",
IF(O65=1,
IF(SUMPRODUCT(COUNTIF(クライアント抽出!P65:U65,クライアント抽出!P65:U65))&gt;COUNTA(クライアント抽出!P65:U65),
IFERROR(INDIRECT("数出表_Excel!"&amp;INDEX(_xlfn.UNIQUE(_xlfn._xlws.FILTER(クライアント抽出!P65:U65,COUNTIF(クライアント抽出!P65:U65,クライアント抽出!P65:U65)&gt;1)),1)&amp;L65&amp;""),
クライアント抽出!E65),0),クライアント抽出!E65),"")</f>
        <v/>
      </c>
      <c r="J65" s="45" t="str">
        <f>IF(C65&lt;&gt;"",
VLOOKUP(
"*"&amp;LEFT(IF(COUNTIF(D65,"*学食*"),"キャラ弁（学食）",
IF(COUNTIF(D65,"*赤*"),"赤",
IF(COUNTIF(D65,"*キャラ弁当*"),"キャラ弁当",D65))),4)&amp;"*",注文弁当の抽出!$F$1:$G$15,2,FALSE),"")</f>
        <v/>
      </c>
      <c r="K65" s="45" t="str">
        <f ca="1">IF(クライアント抽出!P65&lt;&gt;"",SUBSTITUTE(ADDRESS(1,(CODE(クライアント抽出!P65)-64)*2-1,4),"1",""),"")</f>
        <v/>
      </c>
      <c r="L65" s="45" t="str">
        <f>IF(C65&lt;&gt;"",クライアント抽出!I65,"")</f>
        <v/>
      </c>
      <c r="M65" s="45">
        <f t="array" aca="1" ref="M65" ca="1">IF(C65&lt;&gt;"",
IF(K65&lt;&gt;"",INDIRECT("'数出表_Excel（アレルギー入力）'!"&amp;K65&amp;L65-1&amp;""),),)</f>
        <v>0</v>
      </c>
      <c r="N65" s="45" t="str">
        <f>IF(C65&lt;&gt;"",IF(OR(COUNTIF('盛付札（関数）'!D65,"*赤*"),COUNTIF('盛付札（関数）'!D65,"*キャラ*")),1,
VALUE(VLOOKUP("*"&amp;D65&amp;"*",商品マスタ!D:H,5,FALSE))),"")</f>
        <v/>
      </c>
      <c r="O65" s="45">
        <f ca="1">IF(LEN(クライアント抽出!V65)-LEN(SUBSTITUTE(クライアント抽出!V65,",",""))&lt;&gt;1,
IF(AND(クライアント抽出!P65&lt;&gt;"",クライアント抽出!S65&lt;&gt;""),
IF(クライアント抽出!P65&lt;&gt;クライアント抽出!S65,1,0),0),0)</f>
        <v>0</v>
      </c>
      <c r="P65" s="45">
        <f t="shared" ref="P65:P128" si="33">IF(COUNTIF(Q65,"TRUE"),
IF(OR(COUNTIF(B65,"*'*"),H65=0),0,ROW()),0)</f>
        <v>0</v>
      </c>
      <c r="Q65" s="45" t="b">
        <f t="shared" ref="Q65:Q128" si="34">IF(C65&lt;&gt;"",
IF(OR(N65=1,COUNTIF(D65,"*朝食*"),COUNTIF(D65,"*夕食*")),TRUE,FALSE),FALSE)</f>
        <v>0</v>
      </c>
      <c r="R65" s="122" t="str">
        <f t="array" aca="1" ref="R65" ca="1">IFERROR(SMALL(IF(P$1:P$311&lt;&gt;0,P$1:P$311),ROW(A65)),"")</f>
        <v/>
      </c>
      <c r="S65" s="122" t="str">
        <f t="array" aca="1" ref="S65" ca="1">IF($R65&lt;&gt;"",
SUBSTITUTE(SUBSTITUTE(INDIRECT("C"&amp;$R65&amp;"")," 週3ｺｰｽ","")," 週5ｺｰｽ",""),"")</f>
        <v/>
      </c>
      <c r="T65" s="122" t="str">
        <f t="array" aca="1" ref="T65" ca="1">IF(IF($R65&lt;&gt;"",
INDIRECT(""&amp;IF(COLUMN(D65)&lt;=26,CHAR(COLUMN(D65)+64),CHAR(INT((COLUMN(D65)-1)/26)+64)&amp;CHAR(MOD(COLUMN(D65)-1,26)+65))&amp;$R65&amp;""),"")=0,"",
IF($R65&lt;&gt;"",
INDIRECT(""&amp;IF(COLUMN(D65)&lt;=26,CHAR(COLUMN(D65)+64),CHAR(INT((COLUMN(D65)-1)/26)+64)&amp;CHAR(MOD(COLUMN(D65)-1,26)+65))&amp;$R65&amp;""),""))</f>
        <v/>
      </c>
      <c r="U65" s="185" t="str">
        <f t="array" aca="1" ref="U65" ca="1">IF($R65&lt;&gt;"",
INDIRECT("F"&amp;$R65&amp;""),"")</f>
        <v/>
      </c>
      <c r="V65" s="122" t="str">
        <f t="array" aca="1" ref="V65" ca="1">IF($R65&lt;&gt;"",
INDIRECT("G"&amp;$R65&amp;""),"")</f>
        <v/>
      </c>
      <c r="W65" s="122" t="str" cm="1">
        <f t="array" aca="1" ref="W65" ca="1">IF($R65&lt;&gt;"",
IF(AND(COUNTIF(INDIRECT("B"&amp;R65&amp;""),"*雙葉*"),COUNTIF($B$71:$B$210,"*雙葉*")&gt;=1),
IF(OR(COUNTIF(INDIRECT("B"&amp;R65&amp;""),"*雙葉先生*"),COUNTIF(INDIRECT("B"&amp;R65-1&amp;""),"*雙葉*")),INDIRECT("H"&amp;R65&amp;""),INDIRECT("H"&amp;R65&amp;"")+INDIRECT("H"&amp;MATCH("雙葉'",INDIRECT("B"&amp;R65+3&amp;":B210"),0)+2+R65&amp;"")),
IF(AND(LEFT(INDIRECT("B"&amp;R65&amp;""),2)="博多",COUNTIF(B:B,"*博多*")&gt;=2),
INDIRECT("H"&amp;R65&amp;"")+IFERROR(INDIRECT("H"&amp;MATCH("*"&amp;INDIRECT("B"&amp;R65&amp;"")&amp;"*",INDIRECT("B"&amp;R65+1&amp;":B210"),0)+R65&amp;""),0),
IF(AND(LEFT(INDIRECT("B"&amp;R65&amp;""),3)="奈良屋",COUNTIF(B:B,"*奈良屋*")&gt;=2),
INDIRECT("H"&amp;R65&amp;"")
+INDIRECT("H"&amp;MATCH("*"&amp;INDIRECT("B"&amp;R65&amp;"")&amp;"*",INDIRECT("B"&amp;R65+1&amp;":B210"),0)+R65&amp;"")
+INDIRECT("H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
+INDIRECT("H"&amp;MATCH("*"&amp;INDIRECT("B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&amp;"*",INDIRECT("B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+1&amp;":B210"),0)+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,
INDIRECT("H"&amp;R65&amp;"")))),"")</f>
        <v/>
      </c>
      <c r="X65" s="122" t="str">
        <f t="array" aca="1" ref="X65" ca="1">IF($R65&lt;&gt;"",
INDIRECT(""&amp;IF(COLUMN(I65)&lt;=26,CHAR(COLUMN(I65)+64),CHAR(INT((COLUMN(I65)-1)/26)+64)&amp;CHAR(MOD(COLUMN(I65)-1,26)+65))&amp;$R65&amp;""),"")</f>
        <v/>
      </c>
      <c r="Y65" s="122" t="str">
        <f t="array" aca="1" ref="Y65" ca="1">IF($R65&lt;&gt;"",
INDIRECT(""&amp;IF(COLUMN(J65)&lt;=26,CHAR(COLUMN(J65)+64),CHAR(INT((COLUMN(J65)-1)/26)+64)&amp;CHAR(MOD(COLUMN(J65)-1,26)+65))&amp;$R65&amp;""),"")</f>
        <v/>
      </c>
      <c r="Z65" s="122" t="str">
        <f t="shared" ref="Z65:Z128" ca="1" si="35">IF(R65&lt;&gt;"",
IFERROR(INT(W65/Y65),""),"")</f>
        <v/>
      </c>
      <c r="AA65" s="122" t="str">
        <f t="shared" ref="AA65:AA128" ca="1" si="36">IFERROR(MOD(W65,Y65),"")</f>
        <v/>
      </c>
      <c r="AB65" s="122" t="str">
        <f t="array" aca="1" ref="AB65" ca="1">IF($R65&lt;&gt;"",
IF(AND(COUNTIF(INDIRECT("B"&amp;R65&amp;""),"*雙葉*"),COUNTIF(INDIRECT("B"&amp;R65&amp;""),"&lt;&gt;*先生*"),COUNTIF(B:B,"*雙葉*")&gt;=2),
INDIRECT("M"&amp;R65&amp;"")+INDIRECT("M"&amp;MATCH("雙葉'",INDIRECT("B"&amp;R65+1&amp;":B210"),0)+R65&amp;""),
IF(AND(LEFT(INDIRECT("B"&amp;R65&amp;""),2)="博多",COUNTIF(B:B,"*博多*")&gt;=2),
INDIRECT("M"&amp;R65&amp;"")+INDIRECT("M"&amp;MATCH("*"&amp;INDIRECT("B"&amp;R65&amp;"")&amp;"*",INDIRECT("B"&amp;R65+1&amp;":B210"),0)+R65&amp;""),
IF(AND(LEFT(INDIRECT("B"&amp;R65&amp;""),3)="奈良屋",COUNTIF(B:B,"*奈良屋*")&gt;=2),
INDIRECT("M"&amp;R65&amp;"")+INDIRECT("M"&amp;MATCH("*"&amp;INDIRECT("B"&amp;R65&amp;"")&amp;"*",INDIRECT("B"&amp;R65+1&amp;":B210"),0)+R65&amp;"")
+INDIRECT("M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,
INDIRECT("M"&amp;R65&amp;"")))),"")</f>
        <v/>
      </c>
      <c r="AC65" s="122" t="str">
        <f t="shared" ref="AC65:AC128" ca="1" si="37">IF(S65&lt;&gt;"",INDEX(A:A, MATCH("*"&amp;LEFT(S65,4)&amp;"*", C:C, 0)),"")</f>
        <v/>
      </c>
      <c r="AD65" s="176" t="str">
        <f t="shared" ref="AD65:AD128" ca="1" si="38">IFERROR(INDEX(AC:AC,MATCH(SMALL($AU:$AU,ROW()),$AU:$AU,0)),"")</f>
        <v/>
      </c>
      <c r="AE65" s="176" t="str">
        <f t="shared" ref="AE65:AE128" ca="1" si="39">IFERROR(INDEX(R:R,MATCH(SMALL($AU:$AU,ROW()),$AU:$AU,0)),"")</f>
        <v/>
      </c>
      <c r="AF65" s="176" t="str">
        <f t="shared" ref="AF65:AF128" ca="1" si="40">IFERROR(INDEX(S:S,MATCH(SMALL($AU:$AU,ROW()),$AU:$AU,0)),"")</f>
        <v/>
      </c>
      <c r="AG65" s="176" t="str">
        <f t="shared" ref="AG65:AG128" ca="1" si="41">IFERROR(INDEX(T:T,MATCH(SMALL($AU:$AU,ROW()),$AU:$AU,0)),"")</f>
        <v/>
      </c>
      <c r="AH65" s="183" t="str">
        <f t="shared" ref="AH65:AH128" ca="1" si="42">IFERROR(INDEX(U:U,MATCH(SMALL($AU:$AU,ROW()),$AU:$AU,0)),"")</f>
        <v/>
      </c>
      <c r="AI65" s="176" t="str">
        <f t="shared" ref="AI65:AI128" ca="1" si="43">IFERROR(INDEX(V:V,MATCH(SMALL($AU:$AU,ROW()),$AU:$AU,0)),"")</f>
        <v/>
      </c>
      <c r="AJ65" s="176" t="str">
        <f t="shared" ref="AJ65:AJ128" ca="1" si="44">IFERROR(INDEX(W:W,MATCH(SMALL($AU:$AU,ROW()),$AU:$AU,0)),"")</f>
        <v/>
      </c>
      <c r="AK65" s="176" t="str">
        <f t="shared" ref="AK65:AK128" ca="1" si="45">IFERROR(INDEX(X:X,MATCH(SMALL($AU:$AU,ROW()),$AU:$AU,0)),"")</f>
        <v/>
      </c>
      <c r="AL65" s="176" t="str">
        <f t="shared" ref="AL65:AL128" ca="1" si="46">IFERROR(INDEX(Y:Y,MATCH(SMALL($AU:$AU,ROW()),$AU:$AU,0)),"")</f>
        <v/>
      </c>
      <c r="AM65" s="176" t="str">
        <f t="shared" ref="AM65:AM128" ca="1" si="47">IFERROR(INDEX(Z:Z,MATCH(SMALL($AU:$AU,ROW()),$AU:$AU,0)),"")</f>
        <v/>
      </c>
      <c r="AN65" s="176" t="str">
        <f t="shared" ref="AN65:AN128" ca="1" si="48">IFERROR(INDEX(AA:AA,MATCH(SMALL($AU:$AU,ROW()),$AU:$AU,0)),"")</f>
        <v/>
      </c>
      <c r="AO65" s="176" t="str">
        <f t="shared" ref="AO65:AO128" ca="1" si="49">IFERROR(INDEX(AB:AB,MATCH(SMALL($AU:$AU,ROW()),$AU:$AU,0)),"")</f>
        <v/>
      </c>
      <c r="AP65" s="176" t="str">
        <f t="shared" ref="AP65:AP128" ca="1" si="50">IFERROR(INDEX(AC:AC,MATCH(SMALL($AU:$AU,ROW()),$AU:$AU,0)),"")</f>
        <v/>
      </c>
      <c r="AU65" s="176" t="str">
        <f t="shared" ref="AU65:AU128" ca="1" si="51">IFERROR(IF(R65&gt;=219, 1000000+R65, AC65*1000+R65),"")</f>
        <v/>
      </c>
      <c r="AW65" s="106" t="str">
        <f ca="1">IF(AF65&lt;&gt;"",OFFSET('数出表_Excel（アレルギー入力）'!$A$1,MATCH(AF65,'数出表_Excel（アレルギー入力）'!A:A,0)-2,0),"")</f>
        <v/>
      </c>
      <c r="AX65" s="106" t="str">
        <f ca="1">IF(AW65&lt;&gt;"",
OFFSET(得意先マスタ!$A$1,MATCH(AW65,得意先マスタ!A:A,0)-1,24),"")</f>
        <v/>
      </c>
      <c r="AY65" s="57">
        <f t="shared" ca="1" si="21"/>
        <v>0</v>
      </c>
      <c r="AZ65" s="57">
        <f t="shared" ca="1" si="29"/>
        <v>0</v>
      </c>
      <c r="BA65" s="57">
        <f t="shared" ca="1" si="30"/>
        <v>0</v>
      </c>
      <c r="BB65" s="176">
        <f t="shared" ca="1" si="24"/>
        <v>0</v>
      </c>
    </row>
    <row r="66" spans="1:54" ht="22.2" customHeight="1">
      <c r="A66" s="101">
        <f t="shared" si="31"/>
        <v>137</v>
      </c>
      <c r="B66" s="45" t="str">
        <f t="shared" ref="B66:B97" si="52">IF(COUNTIF(C66,"*雙葉*"),
IF(COUNTIF(C66,"*先生*"),"雙葉先生","雙葉"),
IF(COUNTIF(C66,"*社食*"),"社食'",
IF(LEFT(C66,2)="博多",
IF(COUNTIF(C66,"*別注*"),
IFERROR(TRIM(LEFT(C66,FIND("週",C66)-1)),TRIM(C66)),
IF(IFERROR(TRIM(LEFT(C65,FIND("週",C65)-1)),TRIM(C65))=IFERROR(TRIM(LEFT(C66,FIND("週",C66)-1)),TRIM(C66)),
IFERROR(TRIM(LEFT(C66,FIND("週",C66)-1)),TRIM(C66))&amp;"'",IFERROR(TRIM(LEFT(C66,FIND("週",C66)-1)),TRIM(C66)))),
IF(LEFT(C66,3)="奈良屋",
IF(IFERROR(TRIM(LEFT(C65,FIND("幼",C65)-1)),TRIM(C65))=IFERROR(TRIM(LEFT(C66,FIND("幼",C66)-1)),TRIM(C66)),
"奈良屋'","奈良屋"),""))))</f>
        <v/>
      </c>
      <c r="C66" s="45" t="str">
        <f>IF(OR(クライアント抽出!B66&lt;&gt;"",クライアント抽出!E66&lt;&gt;""),クライアント抽出!A66,"")</f>
        <v/>
      </c>
      <c r="D66" s="45" t="str">
        <f t="array" aca="1" ref="D66" ca="1">IF(C66&lt;&gt;"",INDIRECT("クライアント抽出!"&amp;E66&amp;MATCH(C66,クライアント抽出!A:A,0)&amp;""),"")</f>
        <v/>
      </c>
      <c r="E66" s="45" t="str">
        <f>IF(H66&lt;&gt;0,
IFERROR(
SUBSTITUTE(ADDRESS(1,
MATCH(VALUE(H66),クライアント抽出!A66:G66,0)+8,4),"1",""),
""),
IFERROR(
SUBSTITUTE(ADDRESS(1,
MATCH(VALUE(I66),クライアント抽出!A66:G66,0)+8,4),"1",""),
""))</f>
        <v/>
      </c>
      <c r="F66" s="184" t="str">
        <f ca="1">IF(D66&lt;&gt;"",
IF(COUNTIF(C66,"*雙葉*"),
IF(ROUND((H66-M66)
/IF(COUNTIF(D66,"*キャラ*"),
VLOOKUP("*キャラ*",商品マスタ!$D:$E,2,FALSE),
IF(COUNTIF(D66,"*赤*"),
VLOOKUP("*赤*",商品マスタ!$D:$E,2,FALSE),
VLOOKUP("*"&amp;D66&amp;"*",商品マスタ!$D:$E,2,FALSE))),0)&lt;=0,1,
ROUND((H66-M66)
/IF(COUNTIF(D66,"*キャラ*"),
VLOOKUP("*キャラ*",商品マスタ!$D:$E,2,FALSE),
IF(COUNTIF(D66,"*赤*"),
VLOOKUP("*赤*",商品マスタ!$D:$E,2,FALSE),
VLOOKUP("*"&amp;D66&amp;"*",商品マスタ!$D:$E,2,FALSE))),0)),
IF(OR(COUNTIF(D66,"*キャラ*"),COUNTIF(D66,"*赤*")),"",
IF(VLOOKUP("*"&amp;D66&amp;"*",商品マスタ!$D:$E,2,FALSE)=0,"",
IF(ROUND((H66-M66)
/VLOOKUP("*"&amp;D66&amp;"*",商品マスタ!$D:$E,2,FALSE),0)&lt;=0,1,
ROUND((H66-M66)
/VLOOKUP("*"&amp;D66&amp;"*",商品マスタ!$D:$E,2,FALSE),0))))),"")</f>
        <v/>
      </c>
      <c r="G66" s="45" t="str">
        <f ca="1">IF(F66&lt;&gt;"",
IF(VALUE(H66-M66)&gt;VALUE(IF(COUNTIF(D66,"*キャラ*"),
VLOOKUP("*キャラ*",商品マスタ!$D:$E,2,FALSE),
IF(COUNTIF(D66,"*赤*"),
VLOOKUP("*赤*",商品マスタ!$D:$E,2,FALSE),
VLOOKUP("*"&amp;D66&amp;"*",商品マスタ!$D:$E,2,FALSE)))*F66),
"+"&amp;(H66-M66)-IF(COUNTIF(D66,"*キャラ*"),
VLOOKUP("*キャラ*",商品マスタ!$D:$E,2,FALSE),
IF(COUNTIF(D66,"*赤*"),
VLOOKUP("*赤*",商品マスタ!$D:$E,2,FALSE),
VLOOKUP("*"&amp;D66&amp;"*",商品マスタ!$D:$E,2,FALSE)))*F66,
(H66-M66)-IF(COUNTIF(D66,"*キャラ*"),
VLOOKUP("*キャラ*",商品マスタ!$D:$E,2,FALSE),
IF(COUNTIF(D66,"*赤*"),
VLOOKUP("*赤*",商品マスタ!$D:$E,2,FALSE),
VLOOKUP("*"&amp;D66&amp;"*",商品マスタ!$D:$E,2,FALSE)))*F66),"")</f>
        <v/>
      </c>
      <c r="H66" s="99" t="str">
        <f>IF(C66&lt;&gt;"",
クライアント抽出!B66,"")</f>
        <v/>
      </c>
      <c r="I66" s="45" t="str">
        <f t="array" aca="1" ref="I66" ca="1">IF(C66&lt;&gt;"",
IF(O66=1,
IF(SUMPRODUCT(COUNTIF(クライアント抽出!P66:U66,クライアント抽出!P66:U66))&gt;COUNTA(クライアント抽出!P66:U66),
IFERROR(INDIRECT("数出表_Excel!"&amp;INDEX(_xlfn.UNIQUE(_xlfn._xlws.FILTER(クライアント抽出!P66:U66,COUNTIF(クライアント抽出!P66:U66,クライアント抽出!P66:U66)&gt;1)),1)&amp;L66&amp;""),
クライアント抽出!E66),0),クライアント抽出!E66),"")</f>
        <v/>
      </c>
      <c r="J66" s="45" t="str">
        <f>IF(C66&lt;&gt;"",
VLOOKUP(
"*"&amp;LEFT(IF(COUNTIF(D66,"*学食*"),"キャラ弁（学食）",
IF(COUNTIF(D66,"*赤*"),"赤",
IF(COUNTIF(D66,"*キャラ弁当*"),"キャラ弁当",D66))),4)&amp;"*",注文弁当の抽出!$F$1:$G$15,2,FALSE),"")</f>
        <v/>
      </c>
      <c r="K66" s="45" t="str">
        <f ca="1">IF(クライアント抽出!P66&lt;&gt;"",SUBSTITUTE(ADDRESS(1,(CODE(クライアント抽出!P66)-64)*2-1,4),"1",""),"")</f>
        <v/>
      </c>
      <c r="L66" s="45" t="str">
        <f>IF(C66&lt;&gt;"",クライアント抽出!I66,"")</f>
        <v/>
      </c>
      <c r="M66" s="45">
        <f t="array" aca="1" ref="M66" ca="1">IF(C66&lt;&gt;"",
IF(K66&lt;&gt;"",INDIRECT("'数出表_Excel（アレルギー入力）'!"&amp;K66&amp;L66-1&amp;""),),)</f>
        <v>0</v>
      </c>
      <c r="N66" s="45" t="str">
        <f>IF(C66&lt;&gt;"",IF(OR(COUNTIF('盛付札（関数）'!D66,"*赤*"),COUNTIF('盛付札（関数）'!D66,"*キャラ*")),1,
VALUE(VLOOKUP("*"&amp;D66&amp;"*",商品マスタ!D:H,5,FALSE))),"")</f>
        <v/>
      </c>
      <c r="O66" s="45">
        <f ca="1">IF(LEN(クライアント抽出!V66)-LEN(SUBSTITUTE(クライアント抽出!V66,",",""))&lt;&gt;1,
IF(AND(クライアント抽出!P66&lt;&gt;"",クライアント抽出!S66&lt;&gt;""),
IF(クライアント抽出!P66&lt;&gt;クライアント抽出!S66,1,0),0),0)</f>
        <v>0</v>
      </c>
      <c r="P66" s="45">
        <f t="shared" si="33"/>
        <v>0</v>
      </c>
      <c r="Q66" s="45" t="b">
        <f t="shared" si="34"/>
        <v>0</v>
      </c>
      <c r="R66" s="122" t="str">
        <f t="array" aca="1" ref="R66" ca="1">IFERROR(SMALL(IF(P$1:P$311&lt;&gt;0,P$1:P$311),ROW(A66)),"")</f>
        <v/>
      </c>
      <c r="S66" s="122" t="str">
        <f t="array" aca="1" ref="S66" ca="1">IF($R66&lt;&gt;"",
SUBSTITUTE(SUBSTITUTE(INDIRECT("C"&amp;$R66&amp;"")," 週3ｺｰｽ","")," 週5ｺｰｽ",""),"")</f>
        <v/>
      </c>
      <c r="T66" s="122" t="str">
        <f t="array" aca="1" ref="T66" ca="1">IF(IF($R66&lt;&gt;"",
INDIRECT(""&amp;IF(COLUMN(D66)&lt;=26,CHAR(COLUMN(D66)+64),CHAR(INT((COLUMN(D66)-1)/26)+64)&amp;CHAR(MOD(COLUMN(D66)-1,26)+65))&amp;$R66&amp;""),"")=0,"",
IF($R66&lt;&gt;"",
INDIRECT(""&amp;IF(COLUMN(D66)&lt;=26,CHAR(COLUMN(D66)+64),CHAR(INT((COLUMN(D66)-1)/26)+64)&amp;CHAR(MOD(COLUMN(D66)-1,26)+65))&amp;$R66&amp;""),""))</f>
        <v/>
      </c>
      <c r="U66" s="185" t="str">
        <f t="array" aca="1" ref="U66" ca="1">IF($R66&lt;&gt;"",
INDIRECT("F"&amp;$R66&amp;""),"")</f>
        <v/>
      </c>
      <c r="V66" s="122" t="str">
        <f t="array" aca="1" ref="V66" ca="1">IF($R66&lt;&gt;"",
INDIRECT("G"&amp;$R66&amp;""),"")</f>
        <v/>
      </c>
      <c r="W66" s="122" t="str" cm="1">
        <f t="array" aca="1" ref="W66" ca="1">IF($R66&lt;&gt;"",
IF(AND(COUNTIF(INDIRECT("B"&amp;R66&amp;""),"*雙葉*"),COUNTIF($B$71:$B$210,"*雙葉*")&gt;=1),
IF(OR(COUNTIF(INDIRECT("B"&amp;R66&amp;""),"*雙葉先生*"),COUNTIF(INDIRECT("B"&amp;R66-1&amp;""),"*雙葉*")),INDIRECT("H"&amp;R66&amp;""),INDIRECT("H"&amp;R66&amp;"")+INDIRECT("H"&amp;MATCH("雙葉'",INDIRECT("B"&amp;R66+3&amp;":B210"),0)+2+R66&amp;"")),
IF(AND(LEFT(INDIRECT("B"&amp;R66&amp;""),2)="博多",COUNTIF(B:B,"*博多*")&gt;=2),
INDIRECT("H"&amp;R66&amp;"")+IFERROR(INDIRECT("H"&amp;MATCH("*"&amp;INDIRECT("B"&amp;R66&amp;"")&amp;"*",INDIRECT("B"&amp;R66+1&amp;":B210"),0)+R66&amp;""),0),
IF(AND(LEFT(INDIRECT("B"&amp;R66&amp;""),3)="奈良屋",COUNTIF(B:B,"*奈良屋*")&gt;=2),
INDIRECT("H"&amp;R66&amp;"")
+INDIRECT("H"&amp;MATCH("*"&amp;INDIRECT("B"&amp;R66&amp;"")&amp;"*",INDIRECT("B"&amp;R66+1&amp;":B210"),0)+R66&amp;"")
+INDIRECT("H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
+INDIRECT("H"&amp;MATCH("*"&amp;INDIRECT("B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&amp;"*",INDIRECT("B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+1&amp;":B210"),0)+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,
INDIRECT("H"&amp;R66&amp;"")))),"")</f>
        <v/>
      </c>
      <c r="X66" s="122" t="str">
        <f t="array" aca="1" ref="X66" ca="1">IF($R66&lt;&gt;"",
INDIRECT(""&amp;IF(COLUMN(I66)&lt;=26,CHAR(COLUMN(I66)+64),CHAR(INT((COLUMN(I66)-1)/26)+64)&amp;CHAR(MOD(COLUMN(I66)-1,26)+65))&amp;$R66&amp;""),"")</f>
        <v/>
      </c>
      <c r="Y66" s="122" t="str">
        <f t="array" aca="1" ref="Y66" ca="1">IF($R66&lt;&gt;"",
INDIRECT(""&amp;IF(COLUMN(J66)&lt;=26,CHAR(COLUMN(J66)+64),CHAR(INT((COLUMN(J66)-1)/26)+64)&amp;CHAR(MOD(COLUMN(J66)-1,26)+65))&amp;$R66&amp;""),"")</f>
        <v/>
      </c>
      <c r="Z66" s="122" t="str">
        <f t="shared" ca="1" si="35"/>
        <v/>
      </c>
      <c r="AA66" s="122" t="str">
        <f t="shared" ca="1" si="36"/>
        <v/>
      </c>
      <c r="AB66" s="122" t="str">
        <f t="array" aca="1" ref="AB66" ca="1">IF($R66&lt;&gt;"",
IF(AND(COUNTIF(INDIRECT("B"&amp;R66&amp;""),"*雙葉*"),COUNTIF(INDIRECT("B"&amp;R66&amp;""),"&lt;&gt;*先生*"),COUNTIF(B:B,"*雙葉*")&gt;=2),
INDIRECT("M"&amp;R66&amp;"")+INDIRECT("M"&amp;MATCH("雙葉'",INDIRECT("B"&amp;R66+1&amp;":B210"),0)+R66&amp;""),
IF(AND(LEFT(INDIRECT("B"&amp;R66&amp;""),2)="博多",COUNTIF(B:B,"*博多*")&gt;=2),
INDIRECT("M"&amp;R66&amp;"")+INDIRECT("M"&amp;MATCH("*"&amp;INDIRECT("B"&amp;R66&amp;"")&amp;"*",INDIRECT("B"&amp;R66+1&amp;":B210"),0)+R66&amp;""),
IF(AND(LEFT(INDIRECT("B"&amp;R66&amp;""),3)="奈良屋",COUNTIF(B:B,"*奈良屋*")&gt;=2),
INDIRECT("M"&amp;R66&amp;"")+INDIRECT("M"&amp;MATCH("*"&amp;INDIRECT("B"&amp;R66&amp;"")&amp;"*",INDIRECT("B"&amp;R66+1&amp;":B210"),0)+R66&amp;"")
+INDIRECT("M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,
INDIRECT("M"&amp;R66&amp;"")))),"")</f>
        <v/>
      </c>
      <c r="AC66" s="122" t="str">
        <f t="shared" ca="1" si="37"/>
        <v/>
      </c>
      <c r="AD66" s="176" t="str">
        <f t="shared" ca="1" si="38"/>
        <v/>
      </c>
      <c r="AE66" s="176" t="str">
        <f t="shared" ca="1" si="39"/>
        <v/>
      </c>
      <c r="AF66" s="176" t="str">
        <f t="shared" ca="1" si="40"/>
        <v/>
      </c>
      <c r="AG66" s="176" t="str">
        <f t="shared" ca="1" si="41"/>
        <v/>
      </c>
      <c r="AH66" s="183" t="str">
        <f t="shared" ca="1" si="42"/>
        <v/>
      </c>
      <c r="AI66" s="176" t="str">
        <f t="shared" ca="1" si="43"/>
        <v/>
      </c>
      <c r="AJ66" s="176" t="str">
        <f t="shared" ca="1" si="44"/>
        <v/>
      </c>
      <c r="AK66" s="176" t="str">
        <f t="shared" ca="1" si="45"/>
        <v/>
      </c>
      <c r="AL66" s="176" t="str">
        <f t="shared" ca="1" si="46"/>
        <v/>
      </c>
      <c r="AM66" s="176" t="str">
        <f t="shared" ca="1" si="47"/>
        <v/>
      </c>
      <c r="AN66" s="176" t="str">
        <f t="shared" ca="1" si="48"/>
        <v/>
      </c>
      <c r="AO66" s="176" t="str">
        <f t="shared" ca="1" si="49"/>
        <v/>
      </c>
      <c r="AP66" s="176" t="str">
        <f t="shared" ca="1" si="50"/>
        <v/>
      </c>
      <c r="AU66" s="176" t="str">
        <f t="shared" ca="1" si="51"/>
        <v/>
      </c>
      <c r="AW66" s="106" t="str">
        <f ca="1">IF(AF66&lt;&gt;"",OFFSET('数出表_Excel（アレルギー入力）'!$A$1,MATCH(AF66,'数出表_Excel（アレルギー入力）'!A:A,0)-2,0),"")</f>
        <v/>
      </c>
      <c r="AX66" s="106" t="str">
        <f ca="1">IF(AW66&lt;&gt;"",
OFFSET(得意先マスタ!$A$1,MATCH(AW66,得意先マスタ!A:A,0)-1,24),"")</f>
        <v/>
      </c>
      <c r="AY66" s="57">
        <f t="shared" ref="AY66:AY70" ca="1" si="53">IF(AND(AX66&lt;&gt;0,AX66&lt;&gt;""),
IF(AW66=AW65,0,IF(COUNTIF(AX66,"*.*"),LEFT(AX66, FIND(".", AX66) - 1),VALUE(AX66))),0)</f>
        <v>0</v>
      </c>
      <c r="AZ66" s="57">
        <f t="shared" ca="1" si="29"/>
        <v>0</v>
      </c>
      <c r="BA66" s="57">
        <f t="shared" ca="1" si="30"/>
        <v>0</v>
      </c>
      <c r="BB66" s="176">
        <f t="shared" ref="BB66:BB71" ca="1" si="54">IFERROR(SUM(AY66:BA66),0)</f>
        <v>0</v>
      </c>
    </row>
    <row r="67" spans="1:54" ht="18" customHeight="1">
      <c r="A67" s="101">
        <f t="shared" si="31"/>
        <v>139</v>
      </c>
      <c r="B67" s="45" t="str">
        <f t="shared" si="52"/>
        <v/>
      </c>
      <c r="C67" s="45" t="str">
        <f>IF(OR(クライアント抽出!B67&lt;&gt;"",クライアント抽出!E67&lt;&gt;""),クライアント抽出!A67,"")</f>
        <v/>
      </c>
      <c r="D67" s="45" t="str">
        <f t="array" aca="1" ref="D67" ca="1">IF(C67&lt;&gt;"",INDIRECT("クライアント抽出!"&amp;E67&amp;MATCH(C67,クライアント抽出!A:A,0)&amp;""),"")</f>
        <v/>
      </c>
      <c r="E67" s="45" t="str">
        <f>IF(H67&lt;&gt;0,
IFERROR(
SUBSTITUTE(ADDRESS(1,
MATCH(VALUE(H67),クライアント抽出!A67:G67,0)+8,4),"1",""),
""),
IFERROR(
SUBSTITUTE(ADDRESS(1,
MATCH(VALUE(I67),クライアント抽出!A67:G67,0)+8,4),"1",""),
""))</f>
        <v/>
      </c>
      <c r="F67" s="184" t="str">
        <f ca="1">IF(D67&lt;&gt;"",
IF(COUNTIF(C67,"*雙葉*"),
IF(ROUND((H67-M67)
/IF(COUNTIF(D67,"*キャラ*"),
VLOOKUP("*キャラ*",商品マスタ!$D:$E,2,FALSE),
IF(COUNTIF(D67,"*赤*"),
VLOOKUP("*赤*",商品マスタ!$D:$E,2,FALSE),
VLOOKUP("*"&amp;D67&amp;"*",商品マスタ!$D:$E,2,FALSE))),0)&lt;=0,1,
ROUND((H67-M67)
/IF(COUNTIF(D67,"*キャラ*"),
VLOOKUP("*キャラ*",商品マスタ!$D:$E,2,FALSE),
IF(COUNTIF(D67,"*赤*"),
VLOOKUP("*赤*",商品マスタ!$D:$E,2,FALSE),
VLOOKUP("*"&amp;D67&amp;"*",商品マスタ!$D:$E,2,FALSE))),0)),
IF(OR(COUNTIF(D67,"*キャラ*"),COUNTIF(D67,"*赤*")),"",
IF(VLOOKUP("*"&amp;D67&amp;"*",商品マスタ!$D:$E,2,FALSE)=0,"",
IF(ROUND((H67-M67)
/VLOOKUP("*"&amp;D67&amp;"*",商品マスタ!$D:$E,2,FALSE),0)&lt;=0,1,
ROUND((H67-M67)
/VLOOKUP("*"&amp;D67&amp;"*",商品マスタ!$D:$E,2,FALSE),0))))),"")</f>
        <v/>
      </c>
      <c r="G67" s="45" t="str">
        <f ca="1">IF(F67&lt;&gt;"",
IF(VALUE(H67-M67)&gt;VALUE(IF(COUNTIF(D67,"*キャラ*"),
VLOOKUP("*キャラ*",商品マスタ!$D:$E,2,FALSE),
IF(COUNTIF(D67,"*赤*"),
VLOOKUP("*赤*",商品マスタ!$D:$E,2,FALSE),
VLOOKUP("*"&amp;D67&amp;"*",商品マスタ!$D:$E,2,FALSE)))*F67),
"+"&amp;(H67-M67)-IF(COUNTIF(D67,"*キャラ*"),
VLOOKUP("*キャラ*",商品マスタ!$D:$E,2,FALSE),
IF(COUNTIF(D67,"*赤*"),
VLOOKUP("*赤*",商品マスタ!$D:$E,2,FALSE),
VLOOKUP("*"&amp;D67&amp;"*",商品マスタ!$D:$E,2,FALSE)))*F67,
(H67-M67)-IF(COUNTIF(D67,"*キャラ*"),
VLOOKUP("*キャラ*",商品マスタ!$D:$E,2,FALSE),
IF(COUNTIF(D67,"*赤*"),
VLOOKUP("*赤*",商品マスタ!$D:$E,2,FALSE),
VLOOKUP("*"&amp;D67&amp;"*",商品マスタ!$D:$E,2,FALSE)))*F67),"")</f>
        <v/>
      </c>
      <c r="H67" s="99" t="str">
        <f>IF(C67&lt;&gt;"",
クライアント抽出!B67,"")</f>
        <v/>
      </c>
      <c r="I67" s="45" t="str">
        <f t="array" aca="1" ref="I67" ca="1">IF(C67&lt;&gt;"",
IF(O67=1,
IF(SUMPRODUCT(COUNTIF(クライアント抽出!P67:U67,クライアント抽出!P67:U67))&gt;COUNTA(クライアント抽出!P67:U67),
IFERROR(INDIRECT("数出表_Excel!"&amp;INDEX(_xlfn.UNIQUE(_xlfn._xlws.FILTER(クライアント抽出!P67:U67,COUNTIF(クライアント抽出!P67:U67,クライアント抽出!P67:U67)&gt;1)),1)&amp;L67&amp;""),
クライアント抽出!E67),0),クライアント抽出!E67),"")</f>
        <v/>
      </c>
      <c r="J67" s="45" t="str">
        <f>IF(C67&lt;&gt;"",
VLOOKUP(
"*"&amp;LEFT(IF(COUNTIF(D67,"*学食*"),"キャラ弁（学食）",
IF(COUNTIF(D67,"*赤*"),"赤",
IF(COUNTIF(D67,"*キャラ弁当*"),"キャラ弁当",D67))),4)&amp;"*",注文弁当の抽出!$F$1:$G$15,2,FALSE),"")</f>
        <v/>
      </c>
      <c r="K67" s="45" t="str">
        <f ca="1">IF(クライアント抽出!P67&lt;&gt;"",SUBSTITUTE(ADDRESS(1,(CODE(クライアント抽出!P67)-64)*2-1,4),"1",""),"")</f>
        <v/>
      </c>
      <c r="L67" s="45" t="str">
        <f>IF(C67&lt;&gt;"",クライアント抽出!I67,"")</f>
        <v/>
      </c>
      <c r="M67" s="45">
        <f t="array" aca="1" ref="M67" ca="1">IF(C67&lt;&gt;"",
IF(K67&lt;&gt;"",INDIRECT("'数出表_Excel（アレルギー入力）'!"&amp;K67&amp;L67-1&amp;""),),)</f>
        <v>0</v>
      </c>
      <c r="N67" s="45" t="str">
        <f>IF(C67&lt;&gt;"",IF(OR(COUNTIF('盛付札（関数）'!D67,"*赤*"),COUNTIF('盛付札（関数）'!D67,"*キャラ*")),1,
VALUE(VLOOKUP("*"&amp;D67&amp;"*",商品マスタ!D:H,5,FALSE))),"")</f>
        <v/>
      </c>
      <c r="O67" s="45">
        <f ca="1">IF(LEN(クライアント抽出!V67)-LEN(SUBSTITUTE(クライアント抽出!V67,",",""))&lt;&gt;1,
IF(AND(クライアント抽出!P67&lt;&gt;"",クライアント抽出!S67&lt;&gt;""),
IF(クライアント抽出!P67&lt;&gt;クライアント抽出!S67,1,0),0),0)</f>
        <v>0</v>
      </c>
      <c r="P67" s="45">
        <f t="shared" si="33"/>
        <v>0</v>
      </c>
      <c r="Q67" s="45" t="b">
        <f t="shared" si="34"/>
        <v>0</v>
      </c>
      <c r="R67" s="122" t="str">
        <f t="array" aca="1" ref="R67" ca="1">IFERROR(SMALL(IF(P$1:P$311&lt;&gt;0,P$1:P$311),ROW(A67)),"")</f>
        <v/>
      </c>
      <c r="S67" s="122" t="str">
        <f t="array" aca="1" ref="S67" ca="1">IF($R67&lt;&gt;"",
SUBSTITUTE(SUBSTITUTE(INDIRECT("C"&amp;$R67&amp;"")," 週3ｺｰｽ","")," 週5ｺｰｽ",""),"")</f>
        <v/>
      </c>
      <c r="T67" s="122" t="str">
        <f t="array" aca="1" ref="T67" ca="1">IF(IF($R67&lt;&gt;"",
INDIRECT(""&amp;IF(COLUMN(D67)&lt;=26,CHAR(COLUMN(D67)+64),CHAR(INT((COLUMN(D67)-1)/26)+64)&amp;CHAR(MOD(COLUMN(D67)-1,26)+65))&amp;$R67&amp;""),"")=0,"",
IF($R67&lt;&gt;"",
INDIRECT(""&amp;IF(COLUMN(D67)&lt;=26,CHAR(COLUMN(D67)+64),CHAR(INT((COLUMN(D67)-1)/26)+64)&amp;CHAR(MOD(COLUMN(D67)-1,26)+65))&amp;$R67&amp;""),""))</f>
        <v/>
      </c>
      <c r="U67" s="185" t="str">
        <f t="array" aca="1" ref="U67" ca="1">IF($R67&lt;&gt;"",
INDIRECT("F"&amp;$R67&amp;""),"")</f>
        <v/>
      </c>
      <c r="V67" s="122" t="str">
        <f t="array" aca="1" ref="V67" ca="1">IF($R67&lt;&gt;"",
INDIRECT("G"&amp;$R67&amp;""),"")</f>
        <v/>
      </c>
      <c r="W67" s="122" t="str" cm="1">
        <f t="array" aca="1" ref="W67" ca="1">IF($R67&lt;&gt;"",
IF(AND(COUNTIF(INDIRECT("B"&amp;R67&amp;""),"*雙葉*"),COUNTIF($B$71:$B$210,"*雙葉*")&gt;=1),
IF(OR(COUNTIF(INDIRECT("B"&amp;R67&amp;""),"*雙葉先生*"),COUNTIF(INDIRECT("B"&amp;R67-1&amp;""),"*雙葉*")),INDIRECT("H"&amp;R67&amp;""),INDIRECT("H"&amp;R67&amp;"")+INDIRECT("H"&amp;MATCH("雙葉'",INDIRECT("B"&amp;R67+3&amp;":B210"),0)+2+R67&amp;"")),
IF(AND(LEFT(INDIRECT("B"&amp;R67&amp;""),2)="博多",COUNTIF(B:B,"*博多*")&gt;=2),
INDIRECT("H"&amp;R67&amp;"")+IFERROR(INDIRECT("H"&amp;MATCH("*"&amp;INDIRECT("B"&amp;R67&amp;"")&amp;"*",INDIRECT("B"&amp;R67+1&amp;":B210"),0)+R67&amp;""),0),
IF(AND(LEFT(INDIRECT("B"&amp;R67&amp;""),3)="奈良屋",COUNTIF(B:B,"*奈良屋*")&gt;=2),
INDIRECT("H"&amp;R67&amp;"")
+INDIRECT("H"&amp;MATCH("*"&amp;INDIRECT("B"&amp;R67&amp;"")&amp;"*",INDIRECT("B"&amp;R67+1&amp;":B210"),0)+R67&amp;"")
+INDIRECT("H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
+INDIRECT("H"&amp;MATCH("*"&amp;INDIRECT("B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&amp;"*",INDIRECT("B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+1&amp;":B210"),0)+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,
INDIRECT("H"&amp;R67&amp;"")))),"")</f>
        <v/>
      </c>
      <c r="X67" s="122" t="str">
        <f t="array" aca="1" ref="X67" ca="1">IF($R67&lt;&gt;"",
INDIRECT(""&amp;IF(COLUMN(I67)&lt;=26,CHAR(COLUMN(I67)+64),CHAR(INT((COLUMN(I67)-1)/26)+64)&amp;CHAR(MOD(COLUMN(I67)-1,26)+65))&amp;$R67&amp;""),"")</f>
        <v/>
      </c>
      <c r="Y67" s="122" t="str">
        <f t="array" aca="1" ref="Y67" ca="1">IF($R67&lt;&gt;"",
INDIRECT(""&amp;IF(COLUMN(J67)&lt;=26,CHAR(COLUMN(J67)+64),CHAR(INT((COLUMN(J67)-1)/26)+64)&amp;CHAR(MOD(COLUMN(J67)-1,26)+65))&amp;$R67&amp;""),"")</f>
        <v/>
      </c>
      <c r="Z67" s="122" t="str">
        <f t="shared" ca="1" si="35"/>
        <v/>
      </c>
      <c r="AA67" s="122" t="str">
        <f t="shared" ca="1" si="36"/>
        <v/>
      </c>
      <c r="AB67" s="122" t="str">
        <f t="array" aca="1" ref="AB67" ca="1">IF($R67&lt;&gt;"",
IF(AND(COUNTIF(INDIRECT("B"&amp;R67&amp;""),"*雙葉*"),COUNTIF(INDIRECT("B"&amp;R67&amp;""),"&lt;&gt;*先生*"),COUNTIF(B:B,"*雙葉*")&gt;=2),
INDIRECT("M"&amp;R67&amp;"")+INDIRECT("M"&amp;MATCH("雙葉'",INDIRECT("B"&amp;R67+1&amp;":B210"),0)+R67&amp;""),
IF(AND(LEFT(INDIRECT("B"&amp;R67&amp;""),2)="博多",COUNTIF(B:B,"*博多*")&gt;=2),
INDIRECT("M"&amp;R67&amp;"")+INDIRECT("M"&amp;MATCH("*"&amp;INDIRECT("B"&amp;R67&amp;"")&amp;"*",INDIRECT("B"&amp;R67+1&amp;":B210"),0)+R67&amp;""),
IF(AND(LEFT(INDIRECT("B"&amp;R67&amp;""),3)="奈良屋",COUNTIF(B:B,"*奈良屋*")&gt;=2),
INDIRECT("M"&amp;R67&amp;"")+INDIRECT("M"&amp;MATCH("*"&amp;INDIRECT("B"&amp;R67&amp;"")&amp;"*",INDIRECT("B"&amp;R67+1&amp;":B210"),0)+R67&amp;"")
+INDIRECT("M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,
INDIRECT("M"&amp;R67&amp;"")))),"")</f>
        <v/>
      </c>
      <c r="AC67" s="122" t="str">
        <f t="shared" ca="1" si="37"/>
        <v/>
      </c>
      <c r="AD67" s="176" t="str">
        <f t="shared" ca="1" si="38"/>
        <v/>
      </c>
      <c r="AE67" s="176" t="str">
        <f t="shared" ca="1" si="39"/>
        <v/>
      </c>
      <c r="AF67" s="176" t="str">
        <f t="shared" ca="1" si="40"/>
        <v/>
      </c>
      <c r="AG67" s="176" t="str">
        <f t="shared" ca="1" si="41"/>
        <v/>
      </c>
      <c r="AH67" s="183" t="str">
        <f t="shared" ca="1" si="42"/>
        <v/>
      </c>
      <c r="AI67" s="176" t="str">
        <f t="shared" ca="1" si="43"/>
        <v/>
      </c>
      <c r="AJ67" s="176" t="str">
        <f t="shared" ca="1" si="44"/>
        <v/>
      </c>
      <c r="AK67" s="176" t="str">
        <f t="shared" ca="1" si="45"/>
        <v/>
      </c>
      <c r="AL67" s="176" t="str">
        <f t="shared" ca="1" si="46"/>
        <v/>
      </c>
      <c r="AM67" s="176" t="str">
        <f t="shared" ca="1" si="47"/>
        <v/>
      </c>
      <c r="AN67" s="176" t="str">
        <f t="shared" ca="1" si="48"/>
        <v/>
      </c>
      <c r="AO67" s="176" t="str">
        <f t="shared" ca="1" si="49"/>
        <v/>
      </c>
      <c r="AP67" s="176" t="str">
        <f t="shared" ca="1" si="50"/>
        <v/>
      </c>
      <c r="AU67" s="176" t="str">
        <f t="shared" ca="1" si="51"/>
        <v/>
      </c>
      <c r="AW67" s="106" t="str">
        <f ca="1">IF(AF67&lt;&gt;"",OFFSET('数出表_Excel（アレルギー入力）'!$A$1,MATCH(AF67,'数出表_Excel（アレルギー入力）'!A:A,0)-2,0),"")</f>
        <v/>
      </c>
      <c r="AX67" s="106" t="str">
        <f ca="1">IF(AW67&lt;&gt;"",
OFFSET(得意先マスタ!$A$1,MATCH(AW67,得意先マスタ!A:A,0)-1,24),"")</f>
        <v/>
      </c>
      <c r="AY67" s="57">
        <f t="shared" ca="1" si="53"/>
        <v>0</v>
      </c>
      <c r="AZ67" s="57">
        <f t="shared" ca="1" si="29"/>
        <v>0</v>
      </c>
      <c r="BA67" s="57">
        <f t="shared" ca="1" si="30"/>
        <v>0</v>
      </c>
      <c r="BB67" s="176">
        <f t="shared" ca="1" si="54"/>
        <v>0</v>
      </c>
    </row>
    <row r="68" spans="1:54" ht="18" customHeight="1">
      <c r="A68" s="101">
        <f t="shared" si="31"/>
        <v>141</v>
      </c>
      <c r="B68" s="45" t="str">
        <f t="shared" si="52"/>
        <v/>
      </c>
      <c r="C68" s="45" t="str">
        <f>IF(OR(クライアント抽出!B68&lt;&gt;"",クライアント抽出!E68&lt;&gt;""),クライアント抽出!A68,"")</f>
        <v/>
      </c>
      <c r="D68" s="45" t="str">
        <f t="array" aca="1" ref="D68" ca="1">IF(C68&lt;&gt;"",INDIRECT("クライアント抽出!"&amp;E68&amp;MATCH(C68,クライアント抽出!A:A,0)&amp;""),"")</f>
        <v/>
      </c>
      <c r="E68" s="45" t="str">
        <f>IF(H68&lt;&gt;0,
IFERROR(
SUBSTITUTE(ADDRESS(1,
MATCH(VALUE(H68),クライアント抽出!A68:G68,0)+8,4),"1",""),
""),
IFERROR(
SUBSTITUTE(ADDRESS(1,
MATCH(VALUE(I68),クライアント抽出!A68:G68,0)+8,4),"1",""),
""))</f>
        <v/>
      </c>
      <c r="F68" s="184" t="str">
        <f ca="1">IF(D68&lt;&gt;"",
IF(COUNTIF(C68,"*雙葉*"),
IF(ROUND((H68-M68)
/IF(COUNTIF(D68,"*キャラ*"),
VLOOKUP("*キャラ*",商品マスタ!$D:$E,2,FALSE),
IF(COUNTIF(D68,"*赤*"),
VLOOKUP("*赤*",商品マスタ!$D:$E,2,FALSE),
VLOOKUP("*"&amp;D68&amp;"*",商品マスタ!$D:$E,2,FALSE))),0)&lt;=0,1,
ROUND((H68-M68)
/IF(COUNTIF(D68,"*キャラ*"),
VLOOKUP("*キャラ*",商品マスタ!$D:$E,2,FALSE),
IF(COUNTIF(D68,"*赤*"),
VLOOKUP("*赤*",商品マスタ!$D:$E,2,FALSE),
VLOOKUP("*"&amp;D68&amp;"*",商品マスタ!$D:$E,2,FALSE))),0)),
IF(OR(COUNTIF(D68,"*キャラ*"),COUNTIF(D68,"*赤*")),"",
IF(VLOOKUP("*"&amp;D68&amp;"*",商品マスタ!$D:$E,2,FALSE)=0,"",
IF(ROUND((H68-M68)
/VLOOKUP("*"&amp;D68&amp;"*",商品マスタ!$D:$E,2,FALSE),0)&lt;=0,1,
ROUND((H68-M68)
/VLOOKUP("*"&amp;D68&amp;"*",商品マスタ!$D:$E,2,FALSE),0))))),"")</f>
        <v/>
      </c>
      <c r="G68" s="45" t="str">
        <f ca="1">IF(F68&lt;&gt;"",
IF(VALUE(H68-M68)&gt;VALUE(IF(COUNTIF(D68,"*キャラ*"),
VLOOKUP("*キャラ*",商品マスタ!$D:$E,2,FALSE),
IF(COUNTIF(D68,"*赤*"),
VLOOKUP("*赤*",商品マスタ!$D:$E,2,FALSE),
VLOOKUP("*"&amp;D68&amp;"*",商品マスタ!$D:$E,2,FALSE)))*F68),
"+"&amp;(H68-M68)-IF(COUNTIF(D68,"*キャラ*"),
VLOOKUP("*キャラ*",商品マスタ!$D:$E,2,FALSE),
IF(COUNTIF(D68,"*赤*"),
VLOOKUP("*赤*",商品マスタ!$D:$E,2,FALSE),
VLOOKUP("*"&amp;D68&amp;"*",商品マスタ!$D:$E,2,FALSE)))*F68,
(H68-M68)-IF(COUNTIF(D68,"*キャラ*"),
VLOOKUP("*キャラ*",商品マスタ!$D:$E,2,FALSE),
IF(COUNTIF(D68,"*赤*"),
VLOOKUP("*赤*",商品マスタ!$D:$E,2,FALSE),
VLOOKUP("*"&amp;D68&amp;"*",商品マスタ!$D:$E,2,FALSE)))*F68),"")</f>
        <v/>
      </c>
      <c r="H68" s="99" t="str">
        <f>IF(C68&lt;&gt;"",
クライアント抽出!B68,"")</f>
        <v/>
      </c>
      <c r="I68" s="45" t="str">
        <f t="array" aca="1" ref="I68" ca="1">IF(C68&lt;&gt;"",
IF(O68=1,
IF(SUMPRODUCT(COUNTIF(クライアント抽出!P68:U68,クライアント抽出!P68:U68))&gt;COUNTA(クライアント抽出!P68:U68),
IFERROR(INDIRECT("数出表_Excel!"&amp;INDEX(_xlfn.UNIQUE(_xlfn._xlws.FILTER(クライアント抽出!P68:U68,COUNTIF(クライアント抽出!P68:U68,クライアント抽出!P68:U68)&gt;1)),1)&amp;L68&amp;""),
クライアント抽出!E68),0),クライアント抽出!E68),"")</f>
        <v/>
      </c>
      <c r="J68" s="45" t="str">
        <f>IF(C68&lt;&gt;"",
VLOOKUP(
"*"&amp;LEFT(IF(COUNTIF(D68,"*学食*"),"キャラ弁（学食）",
IF(COUNTIF(D68,"*赤*"),"赤",
IF(COUNTIF(D68,"*キャラ弁当*"),"キャラ弁当",D68))),4)&amp;"*",注文弁当の抽出!$F$1:$G$15,2,FALSE),"")</f>
        <v/>
      </c>
      <c r="K68" s="45" t="str">
        <f ca="1">IF(クライアント抽出!P68&lt;&gt;"",SUBSTITUTE(ADDRESS(1,(CODE(クライアント抽出!P68)-64)*2-1,4),"1",""),"")</f>
        <v/>
      </c>
      <c r="L68" s="45" t="str">
        <f>IF(C68&lt;&gt;"",クライアント抽出!I68,"")</f>
        <v/>
      </c>
      <c r="M68" s="45">
        <f t="array" aca="1" ref="M68" ca="1">IF(C68&lt;&gt;"",
IF(K68&lt;&gt;"",INDIRECT("'数出表_Excel（アレルギー入力）'!"&amp;K68&amp;L68-1&amp;""),),)</f>
        <v>0</v>
      </c>
      <c r="N68" s="45" t="str">
        <f>IF(C68&lt;&gt;"",IF(OR(COUNTIF('盛付札（関数）'!D68,"*赤*"),COUNTIF('盛付札（関数）'!D68,"*キャラ*")),1,
VALUE(VLOOKUP("*"&amp;D68&amp;"*",商品マスタ!D:H,5,FALSE))),"")</f>
        <v/>
      </c>
      <c r="O68" s="45">
        <f ca="1">IF(LEN(クライアント抽出!V68)-LEN(SUBSTITUTE(クライアント抽出!V68,",",""))&lt;&gt;1,
IF(AND(クライアント抽出!P68&lt;&gt;"",クライアント抽出!S68&lt;&gt;""),
IF(クライアント抽出!P68&lt;&gt;クライアント抽出!S68,1,0),0),0)</f>
        <v>0</v>
      </c>
      <c r="P68" s="45">
        <f t="shared" si="33"/>
        <v>0</v>
      </c>
      <c r="Q68" s="45" t="b">
        <f t="shared" si="34"/>
        <v>0</v>
      </c>
      <c r="R68" s="122" t="str">
        <f t="array" aca="1" ref="R68" ca="1">IFERROR(SMALL(IF(P$1:P$311&lt;&gt;0,P$1:P$311),ROW(A68)),"")</f>
        <v/>
      </c>
      <c r="S68" s="122" t="str">
        <f t="array" aca="1" ref="S68" ca="1">IF($R68&lt;&gt;"",
SUBSTITUTE(SUBSTITUTE(INDIRECT("C"&amp;$R68&amp;"")," 週3ｺｰｽ","")," 週5ｺｰｽ",""),"")</f>
        <v/>
      </c>
      <c r="T68" s="122" t="str">
        <f t="array" aca="1" ref="T68" ca="1">IF(IF($R68&lt;&gt;"",
INDIRECT(""&amp;IF(COLUMN(D68)&lt;=26,CHAR(COLUMN(D68)+64),CHAR(INT((COLUMN(D68)-1)/26)+64)&amp;CHAR(MOD(COLUMN(D68)-1,26)+65))&amp;$R68&amp;""),"")=0,"",
IF($R68&lt;&gt;"",
INDIRECT(""&amp;IF(COLUMN(D68)&lt;=26,CHAR(COLUMN(D68)+64),CHAR(INT((COLUMN(D68)-1)/26)+64)&amp;CHAR(MOD(COLUMN(D68)-1,26)+65))&amp;$R68&amp;""),""))</f>
        <v/>
      </c>
      <c r="U68" s="185" t="str">
        <f t="array" aca="1" ref="U68" ca="1">IF($R68&lt;&gt;"",
INDIRECT("F"&amp;$R68&amp;""),"")</f>
        <v/>
      </c>
      <c r="V68" s="122" t="str">
        <f t="array" aca="1" ref="V68" ca="1">IF($R68&lt;&gt;"",
INDIRECT("G"&amp;$R68&amp;""),"")</f>
        <v/>
      </c>
      <c r="W68" s="122" t="str" cm="1">
        <f t="array" aca="1" ref="W68" ca="1">IF($R68&lt;&gt;"",
IF(AND(COUNTIF(INDIRECT("B"&amp;R68&amp;""),"*雙葉*"),COUNTIF($B$71:$B$210,"*雙葉*")&gt;=1),
IF(OR(COUNTIF(INDIRECT("B"&amp;R68&amp;""),"*雙葉先生*"),COUNTIF(INDIRECT("B"&amp;R68-1&amp;""),"*雙葉*")),INDIRECT("H"&amp;R68&amp;""),INDIRECT("H"&amp;R68&amp;"")+INDIRECT("H"&amp;MATCH("雙葉'",INDIRECT("B"&amp;R68+3&amp;":B210"),0)+2+R68&amp;"")),
IF(AND(LEFT(INDIRECT("B"&amp;R68&amp;""),2)="博多",COUNTIF(B:B,"*博多*")&gt;=2),
INDIRECT("H"&amp;R68&amp;"")+IFERROR(INDIRECT("H"&amp;MATCH("*"&amp;INDIRECT("B"&amp;R68&amp;"")&amp;"*",INDIRECT("B"&amp;R68+1&amp;":B210"),0)+R68&amp;""),0),
IF(AND(LEFT(INDIRECT("B"&amp;R68&amp;""),3)="奈良屋",COUNTIF(B:B,"*奈良屋*")&gt;=2),
INDIRECT("H"&amp;R68&amp;"")
+INDIRECT("H"&amp;MATCH("*"&amp;INDIRECT("B"&amp;R68&amp;"")&amp;"*",INDIRECT("B"&amp;R68+1&amp;":B210"),0)+R68&amp;"")
+INDIRECT("H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
+INDIRECT("H"&amp;MATCH("*"&amp;INDIRECT("B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&amp;"*",INDIRECT("B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+1&amp;":B210"),0)+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,
INDIRECT("H"&amp;R68&amp;"")))),"")</f>
        <v/>
      </c>
      <c r="X68" s="122" t="str">
        <f t="array" aca="1" ref="X68" ca="1">IF($R68&lt;&gt;"",
INDIRECT(""&amp;IF(COLUMN(I68)&lt;=26,CHAR(COLUMN(I68)+64),CHAR(INT((COLUMN(I68)-1)/26)+64)&amp;CHAR(MOD(COLUMN(I68)-1,26)+65))&amp;$R68&amp;""),"")</f>
        <v/>
      </c>
      <c r="Y68" s="122" t="str">
        <f t="array" aca="1" ref="Y68" ca="1">IF($R68&lt;&gt;"",
INDIRECT(""&amp;IF(COLUMN(J68)&lt;=26,CHAR(COLUMN(J68)+64),CHAR(INT((COLUMN(J68)-1)/26)+64)&amp;CHAR(MOD(COLUMN(J68)-1,26)+65))&amp;$R68&amp;""),"")</f>
        <v/>
      </c>
      <c r="Z68" s="122" t="str">
        <f t="shared" ca="1" si="35"/>
        <v/>
      </c>
      <c r="AA68" s="122" t="str">
        <f t="shared" ca="1" si="36"/>
        <v/>
      </c>
      <c r="AB68" s="122" t="str">
        <f t="array" aca="1" ref="AB68" ca="1">IF($R68&lt;&gt;"",
IF(AND(COUNTIF(INDIRECT("B"&amp;R68&amp;""),"*雙葉*"),COUNTIF(INDIRECT("B"&amp;R68&amp;""),"&lt;&gt;*先生*"),COUNTIF(B:B,"*雙葉*")&gt;=2),
INDIRECT("M"&amp;R68&amp;"")+INDIRECT("M"&amp;MATCH("雙葉'",INDIRECT("B"&amp;R68+1&amp;":B210"),0)+R68&amp;""),
IF(AND(LEFT(INDIRECT("B"&amp;R68&amp;""),2)="博多",COUNTIF(B:B,"*博多*")&gt;=2),
INDIRECT("M"&amp;R68&amp;"")+INDIRECT("M"&amp;MATCH("*"&amp;INDIRECT("B"&amp;R68&amp;"")&amp;"*",INDIRECT("B"&amp;R68+1&amp;":B210"),0)+R68&amp;""),
IF(AND(LEFT(INDIRECT("B"&amp;R68&amp;""),3)="奈良屋",COUNTIF(B:B,"*奈良屋*")&gt;=2),
INDIRECT("M"&amp;R68&amp;"")+INDIRECT("M"&amp;MATCH("*"&amp;INDIRECT("B"&amp;R68&amp;"")&amp;"*",INDIRECT("B"&amp;R68+1&amp;":B210"),0)+R68&amp;"")
+INDIRECT("M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,
INDIRECT("M"&amp;R68&amp;"")))),"")</f>
        <v/>
      </c>
      <c r="AC68" s="122" t="str">
        <f t="shared" ca="1" si="37"/>
        <v/>
      </c>
      <c r="AD68" s="176" t="str">
        <f t="shared" ca="1" si="38"/>
        <v/>
      </c>
      <c r="AE68" s="176" t="str">
        <f t="shared" ca="1" si="39"/>
        <v/>
      </c>
      <c r="AF68" s="176" t="str">
        <f t="shared" ca="1" si="40"/>
        <v/>
      </c>
      <c r="AG68" s="176" t="str">
        <f t="shared" ca="1" si="41"/>
        <v/>
      </c>
      <c r="AH68" s="183" t="str">
        <f t="shared" ca="1" si="42"/>
        <v/>
      </c>
      <c r="AI68" s="176" t="str">
        <f t="shared" ca="1" si="43"/>
        <v/>
      </c>
      <c r="AJ68" s="176" t="str">
        <f t="shared" ca="1" si="44"/>
        <v/>
      </c>
      <c r="AK68" s="176" t="str">
        <f t="shared" ca="1" si="45"/>
        <v/>
      </c>
      <c r="AL68" s="176" t="str">
        <f t="shared" ca="1" si="46"/>
        <v/>
      </c>
      <c r="AM68" s="176" t="str">
        <f t="shared" ca="1" si="47"/>
        <v/>
      </c>
      <c r="AN68" s="176" t="str">
        <f t="shared" ca="1" si="48"/>
        <v/>
      </c>
      <c r="AO68" s="176" t="str">
        <f t="shared" ca="1" si="49"/>
        <v/>
      </c>
      <c r="AP68" s="176" t="str">
        <f t="shared" ca="1" si="50"/>
        <v/>
      </c>
      <c r="AU68" s="176" t="str">
        <f t="shared" ca="1" si="51"/>
        <v/>
      </c>
      <c r="AW68" s="106" t="str">
        <f ca="1">IF(AF68&lt;&gt;"",OFFSET('数出表_Excel（アレルギー入力）'!$A$1,MATCH(AF68,'数出表_Excel（アレルギー入力）'!A:A,0)-2,0),"")</f>
        <v/>
      </c>
      <c r="AX68" s="106" t="str">
        <f ca="1">IF(AW68&lt;&gt;"",
OFFSET(得意先マスタ!$A$1,MATCH(AW68,得意先マスタ!A:A,0)-1,24),"")</f>
        <v/>
      </c>
      <c r="AY68" s="57">
        <f t="shared" ca="1" si="53"/>
        <v>0</v>
      </c>
      <c r="AZ68" s="57">
        <f t="shared" ca="1" si="29"/>
        <v>0</v>
      </c>
      <c r="BA68" s="57">
        <f t="shared" ca="1" si="30"/>
        <v>0</v>
      </c>
      <c r="BB68" s="176">
        <f t="shared" ca="1" si="54"/>
        <v>0</v>
      </c>
    </row>
    <row r="69" spans="1:54" ht="22.2" customHeight="1">
      <c r="A69" s="101">
        <f t="shared" si="31"/>
        <v>143</v>
      </c>
      <c r="B69" s="45" t="str">
        <f t="shared" si="52"/>
        <v/>
      </c>
      <c r="C69" s="45" t="str">
        <f>IF(OR(クライアント抽出!B69&lt;&gt;"",クライアント抽出!E69&lt;&gt;""),クライアント抽出!A69,"")</f>
        <v/>
      </c>
      <c r="D69" s="45" t="str">
        <f t="array" aca="1" ref="D69" ca="1">IF(C69&lt;&gt;"",INDIRECT("クライアント抽出!"&amp;E69&amp;MATCH(C69,クライアント抽出!A:A,0)&amp;""),"")</f>
        <v/>
      </c>
      <c r="E69" s="45" t="str">
        <f>IF(H69&lt;&gt;0,
IFERROR(
SUBSTITUTE(ADDRESS(1,
MATCH(VALUE(H69),クライアント抽出!A69:G69,0)+8,4),"1",""),
""),
IFERROR(
SUBSTITUTE(ADDRESS(1,
MATCH(VALUE(I69),クライアント抽出!A69:G69,0)+8,4),"1",""),
""))</f>
        <v/>
      </c>
      <c r="F69" s="184" t="str">
        <f ca="1">IF(D69&lt;&gt;"",
IF(COUNTIF(C69,"*雙葉*"),
IF(ROUND((H69-M69)
/IF(COUNTIF(D69,"*キャラ*"),
VLOOKUP("*キャラ*",商品マスタ!$D:$E,2,FALSE),
IF(COUNTIF(D69,"*赤*"),
VLOOKUP("*赤*",商品マスタ!$D:$E,2,FALSE),
VLOOKUP("*"&amp;D69&amp;"*",商品マスタ!$D:$E,2,FALSE))),0)&lt;=0,1,
ROUND((H69-M69)
/IF(COUNTIF(D69,"*キャラ*"),
VLOOKUP("*キャラ*",商品マスタ!$D:$E,2,FALSE),
IF(COUNTIF(D69,"*赤*"),
VLOOKUP("*赤*",商品マスタ!$D:$E,2,FALSE),
VLOOKUP("*"&amp;D69&amp;"*",商品マスタ!$D:$E,2,FALSE))),0)),
IF(OR(COUNTIF(D69,"*キャラ*"),COUNTIF(D69,"*赤*")),"",
IF(VLOOKUP("*"&amp;D69&amp;"*",商品マスタ!$D:$E,2,FALSE)=0,"",
IF(ROUND((H69-M69)
/VLOOKUP("*"&amp;D69&amp;"*",商品マスタ!$D:$E,2,FALSE),0)&lt;=0,1,
ROUND((H69-M69)
/VLOOKUP("*"&amp;D69&amp;"*",商品マスタ!$D:$E,2,FALSE),0))))),"")</f>
        <v/>
      </c>
      <c r="G69" s="45" t="str">
        <f ca="1">IF(F69&lt;&gt;"",
IF(VALUE(H69-M69)&gt;VALUE(IF(COUNTIF(D69,"*キャラ*"),
VLOOKUP("*キャラ*",商品マスタ!$D:$E,2,FALSE),
IF(COUNTIF(D69,"*赤*"),
VLOOKUP("*赤*",商品マスタ!$D:$E,2,FALSE),
VLOOKUP("*"&amp;D69&amp;"*",商品マスタ!$D:$E,2,FALSE)))*F69),
"+"&amp;(H69-M69)-IF(COUNTIF(D69,"*キャラ*"),
VLOOKUP("*キャラ*",商品マスタ!$D:$E,2,FALSE),
IF(COUNTIF(D69,"*赤*"),
VLOOKUP("*赤*",商品マスタ!$D:$E,2,FALSE),
VLOOKUP("*"&amp;D69&amp;"*",商品マスタ!$D:$E,2,FALSE)))*F69,
(H69-M69)-IF(COUNTIF(D69,"*キャラ*"),
VLOOKUP("*キャラ*",商品マスタ!$D:$E,2,FALSE),
IF(COUNTIF(D69,"*赤*"),
VLOOKUP("*赤*",商品マスタ!$D:$E,2,FALSE),
VLOOKUP("*"&amp;D69&amp;"*",商品マスタ!$D:$E,2,FALSE)))*F69),"")</f>
        <v/>
      </c>
      <c r="H69" s="99" t="str">
        <f>IF(C69&lt;&gt;"",
クライアント抽出!B69,"")</f>
        <v/>
      </c>
      <c r="I69" s="45" t="str">
        <f t="array" aca="1" ref="I69" ca="1">IF(C69&lt;&gt;"",
IF(O69=1,
IF(SUMPRODUCT(COUNTIF(クライアント抽出!P69:U69,クライアント抽出!P69:U69))&gt;COUNTA(クライアント抽出!P69:U69),
IFERROR(INDIRECT("数出表_Excel!"&amp;INDEX(_xlfn.UNIQUE(_xlfn._xlws.FILTER(クライアント抽出!P69:U69,COUNTIF(クライアント抽出!P69:U69,クライアント抽出!P69:U69)&gt;1)),1)&amp;L69&amp;""),
クライアント抽出!E69),0),クライアント抽出!E69),"")</f>
        <v/>
      </c>
      <c r="J69" s="45" t="str">
        <f>IF(C69&lt;&gt;"",
VLOOKUP(
"*"&amp;LEFT(IF(COUNTIF(D69,"*学食*"),"キャラ弁（学食）",
IF(COUNTIF(D69,"*赤*"),"赤",
IF(COUNTIF(D69,"*キャラ弁当*"),"キャラ弁当",D69))),4)&amp;"*",注文弁当の抽出!$F$1:$G$15,2,FALSE),"")</f>
        <v/>
      </c>
      <c r="K69" s="45" t="str">
        <f ca="1">IF(クライアント抽出!P69&lt;&gt;"",SUBSTITUTE(ADDRESS(1,(CODE(クライアント抽出!P69)-64)*2-1,4),"1",""),"")</f>
        <v/>
      </c>
      <c r="L69" s="45" t="str">
        <f>IF(C69&lt;&gt;"",クライアント抽出!I69,"")</f>
        <v/>
      </c>
      <c r="M69" s="45">
        <f t="array" aca="1" ref="M69" ca="1">IF(C69&lt;&gt;"",
IF(K69&lt;&gt;"",INDIRECT("'数出表_Excel（アレルギー入力）'!"&amp;K69&amp;L69-1&amp;""),),)</f>
        <v>0</v>
      </c>
      <c r="N69" s="45" t="str">
        <f>IF(C69&lt;&gt;"",IF(OR(COUNTIF('盛付札（関数）'!D69,"*赤*"),COUNTIF('盛付札（関数）'!D69,"*キャラ*")),1,
VALUE(VLOOKUP("*"&amp;D69&amp;"*",商品マスタ!D:H,5,FALSE))),"")</f>
        <v/>
      </c>
      <c r="O69" s="45">
        <f ca="1">IF(LEN(クライアント抽出!V69)-LEN(SUBSTITUTE(クライアント抽出!V69,",",""))&lt;&gt;1,
IF(AND(クライアント抽出!P69&lt;&gt;"",クライアント抽出!S69&lt;&gt;""),
IF(クライアント抽出!P69&lt;&gt;クライアント抽出!S69,1,0),0),0)</f>
        <v>0</v>
      </c>
      <c r="P69" s="45">
        <f t="shared" si="33"/>
        <v>0</v>
      </c>
      <c r="Q69" s="45" t="b">
        <f t="shared" si="34"/>
        <v>0</v>
      </c>
      <c r="R69" s="122" t="str">
        <f t="array" aca="1" ref="R69" ca="1">IFERROR(SMALL(IF(P$1:P$311&lt;&gt;0,P$1:P$311),ROW(A69)),"")</f>
        <v/>
      </c>
      <c r="S69" s="122" t="str">
        <f t="array" aca="1" ref="S69" ca="1">IF($R69&lt;&gt;"",
SUBSTITUTE(SUBSTITUTE(INDIRECT("C"&amp;$R69&amp;"")," 週3ｺｰｽ","")," 週5ｺｰｽ",""),"")</f>
        <v/>
      </c>
      <c r="T69" s="122" t="str">
        <f t="array" aca="1" ref="T69" ca="1">IF(IF($R69&lt;&gt;"",
INDIRECT(""&amp;IF(COLUMN(D69)&lt;=26,CHAR(COLUMN(D69)+64),CHAR(INT((COLUMN(D69)-1)/26)+64)&amp;CHAR(MOD(COLUMN(D69)-1,26)+65))&amp;$R69&amp;""),"")=0,"",
IF($R69&lt;&gt;"",
INDIRECT(""&amp;IF(COLUMN(D69)&lt;=26,CHAR(COLUMN(D69)+64),CHAR(INT((COLUMN(D69)-1)/26)+64)&amp;CHAR(MOD(COLUMN(D69)-1,26)+65))&amp;$R69&amp;""),""))</f>
        <v/>
      </c>
      <c r="U69" s="185" t="str">
        <f t="array" aca="1" ref="U69" ca="1">IF($R69&lt;&gt;"",
INDIRECT("F"&amp;$R69&amp;""),"")</f>
        <v/>
      </c>
      <c r="V69" s="122" t="str">
        <f t="array" aca="1" ref="V69" ca="1">IF($R69&lt;&gt;"",
INDIRECT("G"&amp;$R69&amp;""),"")</f>
        <v/>
      </c>
      <c r="W69" s="122" t="str" cm="1">
        <f t="array" aca="1" ref="W69" ca="1">IF($R69&lt;&gt;"",
IF(AND(COUNTIF(INDIRECT("B"&amp;R69&amp;""),"*雙葉*"),COUNTIF($B$71:$B$210,"*雙葉*")&gt;=1),
IF(OR(COUNTIF(INDIRECT("B"&amp;R69&amp;""),"*雙葉先生*"),COUNTIF(INDIRECT("B"&amp;R69-1&amp;""),"*雙葉*")),INDIRECT("H"&amp;R69&amp;""),INDIRECT("H"&amp;R69&amp;"")+INDIRECT("H"&amp;MATCH("雙葉'",INDIRECT("B"&amp;R69+3&amp;":B210"),0)+2+R69&amp;"")),
IF(AND(LEFT(INDIRECT("B"&amp;R69&amp;""),2)="博多",COUNTIF(B:B,"*博多*")&gt;=2),
INDIRECT("H"&amp;R69&amp;"")+IFERROR(INDIRECT("H"&amp;MATCH("*"&amp;INDIRECT("B"&amp;R69&amp;"")&amp;"*",INDIRECT("B"&amp;R69+1&amp;":B210"),0)+R69&amp;""),0),
IF(AND(LEFT(INDIRECT("B"&amp;R69&amp;""),3)="奈良屋",COUNTIF(B:B,"*奈良屋*")&gt;=2),
INDIRECT("H"&amp;R69&amp;"")
+INDIRECT("H"&amp;MATCH("*"&amp;INDIRECT("B"&amp;R69&amp;"")&amp;"*",INDIRECT("B"&amp;R69+1&amp;":B210"),0)+R69&amp;"")
+INDIRECT("H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
+INDIRECT("H"&amp;MATCH("*"&amp;INDIRECT("B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&amp;"*",INDIRECT("B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+1&amp;":B210"),0)+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,
INDIRECT("H"&amp;R69&amp;"")))),"")</f>
        <v/>
      </c>
      <c r="X69" s="122" t="str">
        <f t="array" aca="1" ref="X69" ca="1">IF($R69&lt;&gt;"",
INDIRECT(""&amp;IF(COLUMN(I69)&lt;=26,CHAR(COLUMN(I69)+64),CHAR(INT((COLUMN(I69)-1)/26)+64)&amp;CHAR(MOD(COLUMN(I69)-1,26)+65))&amp;$R69&amp;""),"")</f>
        <v/>
      </c>
      <c r="Y69" s="122" t="str">
        <f t="array" aca="1" ref="Y69" ca="1">IF($R69&lt;&gt;"",
INDIRECT(""&amp;IF(COLUMN(J69)&lt;=26,CHAR(COLUMN(J69)+64),CHAR(INT((COLUMN(J69)-1)/26)+64)&amp;CHAR(MOD(COLUMN(J69)-1,26)+65))&amp;$R69&amp;""),"")</f>
        <v/>
      </c>
      <c r="Z69" s="122" t="str">
        <f t="shared" ca="1" si="35"/>
        <v/>
      </c>
      <c r="AA69" s="122" t="str">
        <f t="shared" ca="1" si="36"/>
        <v/>
      </c>
      <c r="AB69" s="122" t="str">
        <f t="array" aca="1" ref="AB69" ca="1">IF($R69&lt;&gt;"",
IF(AND(COUNTIF(INDIRECT("B"&amp;R69&amp;""),"*雙葉*"),COUNTIF(INDIRECT("B"&amp;R69&amp;""),"&lt;&gt;*先生*"),COUNTIF(B:B,"*雙葉*")&gt;=2),
INDIRECT("M"&amp;R69&amp;"")+INDIRECT("M"&amp;MATCH("雙葉'",INDIRECT("B"&amp;R69+1&amp;":B210"),0)+R69&amp;""),
IF(AND(LEFT(INDIRECT("B"&amp;R69&amp;""),2)="博多",COUNTIF(B:B,"*博多*")&gt;=2),
INDIRECT("M"&amp;R69&amp;"")+INDIRECT("M"&amp;MATCH("*"&amp;INDIRECT("B"&amp;R69&amp;"")&amp;"*",INDIRECT("B"&amp;R69+1&amp;":B210"),0)+R69&amp;""),
IF(AND(LEFT(INDIRECT("B"&amp;R69&amp;""),3)="奈良屋",COUNTIF(B:B,"*奈良屋*")&gt;=2),
INDIRECT("M"&amp;R69&amp;"")+INDIRECT("M"&amp;MATCH("*"&amp;INDIRECT("B"&amp;R69&amp;"")&amp;"*",INDIRECT("B"&amp;R69+1&amp;":B210"),0)+R69&amp;"")
+INDIRECT("M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,
INDIRECT("M"&amp;R69&amp;"")))),"")</f>
        <v/>
      </c>
      <c r="AC69" s="122" t="str">
        <f t="shared" ca="1" si="37"/>
        <v/>
      </c>
      <c r="AD69" s="176" t="str">
        <f t="shared" ca="1" si="38"/>
        <v/>
      </c>
      <c r="AE69" s="176" t="str">
        <f t="shared" ca="1" si="39"/>
        <v/>
      </c>
      <c r="AF69" s="176" t="str">
        <f t="shared" ca="1" si="40"/>
        <v/>
      </c>
      <c r="AG69" s="176" t="str">
        <f t="shared" ca="1" si="41"/>
        <v/>
      </c>
      <c r="AH69" s="183" t="str">
        <f t="shared" ca="1" si="42"/>
        <v/>
      </c>
      <c r="AI69" s="176" t="str">
        <f t="shared" ca="1" si="43"/>
        <v/>
      </c>
      <c r="AJ69" s="176" t="str">
        <f t="shared" ca="1" si="44"/>
        <v/>
      </c>
      <c r="AK69" s="176" t="str">
        <f t="shared" ca="1" si="45"/>
        <v/>
      </c>
      <c r="AL69" s="176" t="str">
        <f t="shared" ca="1" si="46"/>
        <v/>
      </c>
      <c r="AM69" s="176" t="str">
        <f t="shared" ca="1" si="47"/>
        <v/>
      </c>
      <c r="AN69" s="176" t="str">
        <f t="shared" ca="1" si="48"/>
        <v/>
      </c>
      <c r="AO69" s="176" t="str">
        <f t="shared" ca="1" si="49"/>
        <v/>
      </c>
      <c r="AP69" s="176" t="str">
        <f t="shared" ca="1" si="50"/>
        <v/>
      </c>
      <c r="AU69" s="176" t="str">
        <f t="shared" ca="1" si="51"/>
        <v/>
      </c>
      <c r="AW69" s="106" t="str">
        <f ca="1">IF(AF69&lt;&gt;"",OFFSET('数出表_Excel（アレルギー入力）'!$A$1,MATCH(AF69,'数出表_Excel（アレルギー入力）'!A:A,0)-2,0),"")</f>
        <v/>
      </c>
      <c r="AX69" s="106" t="str">
        <f ca="1">IF(AW69&lt;&gt;"",
OFFSET(得意先マスタ!$A$1,MATCH(AW69,得意先マスタ!A:A,0)-1,24),"")</f>
        <v/>
      </c>
      <c r="AY69" s="57">
        <f t="shared" ca="1" si="53"/>
        <v>0</v>
      </c>
      <c r="AZ69" s="57">
        <f t="shared" ca="1" si="29"/>
        <v>0</v>
      </c>
      <c r="BA69" s="57">
        <f t="shared" ca="1" si="30"/>
        <v>0</v>
      </c>
      <c r="BB69" s="176">
        <f t="shared" ca="1" si="54"/>
        <v>0</v>
      </c>
    </row>
    <row r="70" spans="1:54" ht="21" customHeight="1">
      <c r="A70" s="101">
        <f t="shared" si="31"/>
        <v>145</v>
      </c>
      <c r="B70" s="45" t="str">
        <f t="shared" si="52"/>
        <v/>
      </c>
      <c r="C70" s="45" t="str">
        <f>IF(OR(クライアント抽出!B70&lt;&gt;"",クライアント抽出!E70&lt;&gt;""),クライアント抽出!A70,"")</f>
        <v/>
      </c>
      <c r="D70" s="45" t="str">
        <f t="array" aca="1" ref="D70" ca="1">IF(C70&lt;&gt;"",INDIRECT("クライアント抽出!"&amp;E70&amp;MATCH(C70,クライアント抽出!A:A,0)&amp;""),"")</f>
        <v/>
      </c>
      <c r="E70" s="45" t="str">
        <f>IF(H70&lt;&gt;0,
IFERROR(
SUBSTITUTE(ADDRESS(1,
MATCH(VALUE(H70),クライアント抽出!A70:G70,0)+8,4),"1",""),
""),
IFERROR(
SUBSTITUTE(ADDRESS(1,
MATCH(VALUE(I70),クライアント抽出!A70:G70,0)+8,4),"1",""),
""))</f>
        <v/>
      </c>
      <c r="F70" s="184" t="str">
        <f ca="1">IF(D70&lt;&gt;"",
IF(COUNTIF(C70,"*雙葉*"),
IF(ROUND((H70-M70)
/IF(COUNTIF(D70,"*キャラ*"),
VLOOKUP("*キャラ*",商品マスタ!$D:$E,2,FALSE),
IF(COUNTIF(D70,"*赤*"),
VLOOKUP("*赤*",商品マスタ!$D:$E,2,FALSE),
VLOOKUP("*"&amp;D70&amp;"*",商品マスタ!$D:$E,2,FALSE))),0)&lt;=0,1,
ROUND((H70-M70)
/IF(COUNTIF(D70,"*キャラ*"),
VLOOKUP("*キャラ*",商品マスタ!$D:$E,2,FALSE),
IF(COUNTIF(D70,"*赤*"),
VLOOKUP("*赤*",商品マスタ!$D:$E,2,FALSE),
VLOOKUP("*"&amp;D70&amp;"*",商品マスタ!$D:$E,2,FALSE))),0)),
IF(OR(COUNTIF(D70,"*キャラ*"),COUNTIF(D70,"*赤*")),"",
IF(VLOOKUP("*"&amp;D70&amp;"*",商品マスタ!$D:$E,2,FALSE)=0,"",
IF(ROUND((H70-M70)
/VLOOKUP("*"&amp;D70&amp;"*",商品マスタ!$D:$E,2,FALSE),0)&lt;=0,1,
ROUND((H70-M70)
/VLOOKUP("*"&amp;D70&amp;"*",商品マスタ!$D:$E,2,FALSE),0))))),"")</f>
        <v/>
      </c>
      <c r="G70" s="45" t="str">
        <f ca="1">IF(F70&lt;&gt;"",
IF(VALUE(H70-M70)&gt;VALUE(IF(COUNTIF(D70,"*キャラ*"),
VLOOKUP("*キャラ*",商品マスタ!$D:$E,2,FALSE),
IF(COUNTIF(D70,"*赤*"),
VLOOKUP("*赤*",商品マスタ!$D:$E,2,FALSE),
VLOOKUP("*"&amp;D70&amp;"*",商品マスタ!$D:$E,2,FALSE)))*F70),
"+"&amp;(H70-M70)-IF(COUNTIF(D70,"*キャラ*"),
VLOOKUP("*キャラ*",商品マスタ!$D:$E,2,FALSE),
IF(COUNTIF(D70,"*赤*"),
VLOOKUP("*赤*",商品マスタ!$D:$E,2,FALSE),
VLOOKUP("*"&amp;D70&amp;"*",商品マスタ!$D:$E,2,FALSE)))*F70,
(H70-M70)-IF(COUNTIF(D70,"*キャラ*"),
VLOOKUP("*キャラ*",商品マスタ!$D:$E,2,FALSE),
IF(COUNTIF(D70,"*赤*"),
VLOOKUP("*赤*",商品マスタ!$D:$E,2,FALSE),
VLOOKUP("*"&amp;D70&amp;"*",商品マスタ!$D:$E,2,FALSE)))*F70),"")</f>
        <v/>
      </c>
      <c r="H70" s="99" t="str">
        <f>IF(C70&lt;&gt;"",
クライアント抽出!B70,"")</f>
        <v/>
      </c>
      <c r="I70" s="45" t="str">
        <f t="array" aca="1" ref="I70" ca="1">IF(C70&lt;&gt;"",
IF(O70=1,
IF(SUMPRODUCT(COUNTIF(クライアント抽出!P70:U70,クライアント抽出!P70:U70))&gt;COUNTA(クライアント抽出!P70:U70),
IFERROR(INDIRECT("数出表_Excel!"&amp;INDEX(_xlfn.UNIQUE(_xlfn._xlws.FILTER(クライアント抽出!P70:U70,COUNTIF(クライアント抽出!P70:U70,クライアント抽出!P70:U70)&gt;1)),1)&amp;L70&amp;""),
クライアント抽出!E70),0),クライアント抽出!E70),"")</f>
        <v/>
      </c>
      <c r="J70" s="45" t="str">
        <f>IF(C70&lt;&gt;"",
VLOOKUP(
"*"&amp;LEFT(IF(COUNTIF(D70,"*学食*"),"キャラ弁（学食）",
IF(COUNTIF(D70,"*赤*"),"赤",
IF(COUNTIF(D70,"*キャラ弁当*"),"キャラ弁当",D70))),4)&amp;"*",注文弁当の抽出!$F$1:$G$15,2,FALSE),"")</f>
        <v/>
      </c>
      <c r="K70" s="45" t="str">
        <f ca="1">IF(クライアント抽出!P70&lt;&gt;"",SUBSTITUTE(ADDRESS(1,(CODE(クライアント抽出!P70)-64)*2-1,4),"1",""),"")</f>
        <v/>
      </c>
      <c r="L70" s="45" t="str">
        <f>IF(C70&lt;&gt;"",クライアント抽出!I70,"")</f>
        <v/>
      </c>
      <c r="M70" s="45">
        <f t="array" aca="1" ref="M70" ca="1">IF(C70&lt;&gt;"",
IF(K70&lt;&gt;"",INDIRECT("'数出表_Excel（アレルギー入力）'!"&amp;K70&amp;L70-1&amp;""),),)</f>
        <v>0</v>
      </c>
      <c r="N70" s="45" t="str">
        <f>IF(C70&lt;&gt;"",IF(OR(COUNTIF('盛付札（関数）'!D70,"*赤*"),COUNTIF('盛付札（関数）'!D70,"*キャラ*")),1,
VALUE(VLOOKUP("*"&amp;D70&amp;"*",商品マスタ!D:H,5,FALSE))),"")</f>
        <v/>
      </c>
      <c r="O70" s="45">
        <f ca="1">IF(LEN(クライアント抽出!V70)-LEN(SUBSTITUTE(クライアント抽出!V70,",",""))&lt;&gt;1,
IF(AND(クライアント抽出!P70&lt;&gt;"",クライアント抽出!S70&lt;&gt;""),
IF(クライアント抽出!P70&lt;&gt;クライアント抽出!S70,1,0),0),0)</f>
        <v>0</v>
      </c>
      <c r="P70" s="45">
        <f t="shared" si="33"/>
        <v>0</v>
      </c>
      <c r="Q70" s="45" t="b">
        <f t="shared" si="34"/>
        <v>0</v>
      </c>
      <c r="R70" s="122" t="str">
        <f t="array" aca="1" ref="R70" ca="1">IFERROR(SMALL(IF(P$1:P$311&lt;&gt;0,P$1:P$311),ROW(A70)),"")</f>
        <v/>
      </c>
      <c r="S70" s="122" t="str">
        <f t="array" aca="1" ref="S70" ca="1">IF($R70&lt;&gt;"",
SUBSTITUTE(SUBSTITUTE(INDIRECT("C"&amp;$R70&amp;"")," 週3ｺｰｽ","")," 週5ｺｰｽ",""),"")</f>
        <v/>
      </c>
      <c r="T70" s="122" t="str">
        <f t="array" aca="1" ref="T70" ca="1">IF(IF($R70&lt;&gt;"",
INDIRECT(""&amp;IF(COLUMN(D70)&lt;=26,CHAR(COLUMN(D70)+64),CHAR(INT((COLUMN(D70)-1)/26)+64)&amp;CHAR(MOD(COLUMN(D70)-1,26)+65))&amp;$R70&amp;""),"")=0,"",
IF($R70&lt;&gt;"",
INDIRECT(""&amp;IF(COLUMN(D70)&lt;=26,CHAR(COLUMN(D70)+64),CHAR(INT((COLUMN(D70)-1)/26)+64)&amp;CHAR(MOD(COLUMN(D70)-1,26)+65))&amp;$R70&amp;""),""))</f>
        <v/>
      </c>
      <c r="U70" s="185" t="str">
        <f t="array" aca="1" ref="U70" ca="1">IF($R70&lt;&gt;"",
INDIRECT("F"&amp;$R70&amp;""),"")</f>
        <v/>
      </c>
      <c r="V70" s="122" t="str">
        <f t="array" aca="1" ref="V70" ca="1">IF($R70&lt;&gt;"",
INDIRECT("G"&amp;$R70&amp;""),"")</f>
        <v/>
      </c>
      <c r="W70" s="122" t="str" cm="1">
        <f t="array" aca="1" ref="W70" ca="1">IF($R70&lt;&gt;"",
IF(AND(COUNTIF(INDIRECT("B"&amp;R70&amp;""),"*雙葉*"),COUNTIF($B$71:$B$210,"*雙葉*")&gt;=1),
IF(OR(COUNTIF(INDIRECT("B"&amp;R70&amp;""),"*雙葉先生*"),COUNTIF(INDIRECT("B"&amp;R70-1&amp;""),"*雙葉*")),INDIRECT("H"&amp;R70&amp;""),INDIRECT("H"&amp;R70&amp;"")+INDIRECT("H"&amp;MATCH("雙葉'",INDIRECT("B"&amp;R70+3&amp;":B210"),0)+2+R70&amp;"")),
IF(AND(LEFT(INDIRECT("B"&amp;R70&amp;""),2)="博多",COUNTIF(B:B,"*博多*")&gt;=2),
INDIRECT("H"&amp;R70&amp;"")+IFERROR(INDIRECT("H"&amp;MATCH("*"&amp;INDIRECT("B"&amp;R70&amp;"")&amp;"*",INDIRECT("B"&amp;R70+1&amp;":B210"),0)+R70&amp;""),0),
IF(AND(LEFT(INDIRECT("B"&amp;R70&amp;""),3)="奈良屋",COUNTIF(B:B,"*奈良屋*")&gt;=2),
INDIRECT("H"&amp;R70&amp;"")
+INDIRECT("H"&amp;MATCH("*"&amp;INDIRECT("B"&amp;R70&amp;"")&amp;"*",INDIRECT("B"&amp;R70+1&amp;":B210"),0)+R70&amp;"")
+INDIRECT("H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
+INDIRECT("H"&amp;MATCH("*"&amp;INDIRECT("B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&amp;"*",INDIRECT("B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+1&amp;":B210"),0)+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,
INDIRECT("H"&amp;R70&amp;"")))),"")</f>
        <v/>
      </c>
      <c r="X70" s="122" t="str">
        <f t="array" aca="1" ref="X70" ca="1">IF($R70&lt;&gt;"",
INDIRECT(""&amp;IF(COLUMN(I70)&lt;=26,CHAR(COLUMN(I70)+64),CHAR(INT((COLUMN(I70)-1)/26)+64)&amp;CHAR(MOD(COLUMN(I70)-1,26)+65))&amp;$R70&amp;""),"")</f>
        <v/>
      </c>
      <c r="Y70" s="122" t="str">
        <f t="array" aca="1" ref="Y70" ca="1">IF($R70&lt;&gt;"",
INDIRECT(""&amp;IF(COLUMN(J70)&lt;=26,CHAR(COLUMN(J70)+64),CHAR(INT((COLUMN(J70)-1)/26)+64)&amp;CHAR(MOD(COLUMN(J70)-1,26)+65))&amp;$R70&amp;""),"")</f>
        <v/>
      </c>
      <c r="Z70" s="122" t="str">
        <f t="shared" ca="1" si="35"/>
        <v/>
      </c>
      <c r="AA70" s="122" t="str">
        <f t="shared" ca="1" si="36"/>
        <v/>
      </c>
      <c r="AB70" s="122" t="str">
        <f t="array" aca="1" ref="AB70" ca="1">IF($R70&lt;&gt;"",
IF(AND(COUNTIF(INDIRECT("B"&amp;R70&amp;""),"*雙葉*"),COUNTIF(INDIRECT("B"&amp;R70&amp;""),"&lt;&gt;*先生*"),COUNTIF(B:B,"*雙葉*")&gt;=2),
INDIRECT("M"&amp;R70&amp;"")+INDIRECT("M"&amp;MATCH("雙葉'",INDIRECT("B"&amp;R70+1&amp;":B210"),0)+R70&amp;""),
IF(AND(LEFT(INDIRECT("B"&amp;R70&amp;""),2)="博多",COUNTIF(B:B,"*博多*")&gt;=2),
INDIRECT("M"&amp;R70&amp;"")+INDIRECT("M"&amp;MATCH("*"&amp;INDIRECT("B"&amp;R70&amp;"")&amp;"*",INDIRECT("B"&amp;R70+1&amp;":B210"),0)+R70&amp;""),
IF(AND(LEFT(INDIRECT("B"&amp;R70&amp;""),3)="奈良屋",COUNTIF(B:B,"*奈良屋*")&gt;=2),
INDIRECT("M"&amp;R70&amp;"")+INDIRECT("M"&amp;MATCH("*"&amp;INDIRECT("B"&amp;R70&amp;"")&amp;"*",INDIRECT("B"&amp;R70+1&amp;":B210"),0)+R70&amp;"")
+INDIRECT("M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,
INDIRECT("M"&amp;R70&amp;"")))),"")</f>
        <v/>
      </c>
      <c r="AC70" s="122" t="str">
        <f t="shared" ca="1" si="37"/>
        <v/>
      </c>
      <c r="AD70" s="176" t="str">
        <f t="shared" ca="1" si="38"/>
        <v/>
      </c>
      <c r="AE70" s="176" t="str">
        <f t="shared" ca="1" si="39"/>
        <v/>
      </c>
      <c r="AF70" s="176" t="str">
        <f t="shared" ca="1" si="40"/>
        <v/>
      </c>
      <c r="AG70" s="176" t="str">
        <f t="shared" ca="1" si="41"/>
        <v/>
      </c>
      <c r="AH70" s="183" t="str">
        <f t="shared" ca="1" si="42"/>
        <v/>
      </c>
      <c r="AI70" s="176" t="str">
        <f t="shared" ca="1" si="43"/>
        <v/>
      </c>
      <c r="AJ70" s="176" t="str">
        <f t="shared" ca="1" si="44"/>
        <v/>
      </c>
      <c r="AK70" s="176" t="str">
        <f t="shared" ca="1" si="45"/>
        <v/>
      </c>
      <c r="AL70" s="176" t="str">
        <f t="shared" ca="1" si="46"/>
        <v/>
      </c>
      <c r="AM70" s="176" t="str">
        <f t="shared" ca="1" si="47"/>
        <v/>
      </c>
      <c r="AN70" s="176" t="str">
        <f t="shared" ca="1" si="48"/>
        <v/>
      </c>
      <c r="AO70" s="176" t="str">
        <f t="shared" ca="1" si="49"/>
        <v/>
      </c>
      <c r="AP70" s="176" t="str">
        <f t="shared" ca="1" si="50"/>
        <v/>
      </c>
      <c r="AU70" s="176" t="str">
        <f t="shared" ca="1" si="51"/>
        <v/>
      </c>
      <c r="AW70" s="106" t="str">
        <f ca="1">IF(AF70&lt;&gt;"",OFFSET('数出表_Excel（アレルギー入力）'!$A$1,MATCH(AF70,'数出表_Excel（アレルギー入力）'!A:A,0)-2,0),"")</f>
        <v/>
      </c>
      <c r="AX70" s="106" t="str">
        <f ca="1">IF(AW70&lt;&gt;"",
OFFSET(得意先マスタ!$A$1,MATCH(AW70,得意先マスタ!A:A,0)-1,24),"")</f>
        <v/>
      </c>
      <c r="AY70" s="57">
        <f t="shared" ca="1" si="53"/>
        <v>0</v>
      </c>
      <c r="AZ70" s="57">
        <f t="shared" ca="1" si="29"/>
        <v>0</v>
      </c>
      <c r="BA70" s="57">
        <f t="shared" ca="1" si="30"/>
        <v>0</v>
      </c>
      <c r="BB70" s="176">
        <f t="shared" ca="1" si="54"/>
        <v>0</v>
      </c>
    </row>
    <row r="71" spans="1:54" ht="22.2" customHeight="1">
      <c r="A71" s="104">
        <v>7</v>
      </c>
      <c r="B71" s="104" t="str">
        <f t="shared" ref="B71:B102" ca="1" si="55">IF(COUNTIF(C71,"*雙葉*"),
IF(COUNTIF(INDIRECT("B1:B"&amp;ROW()-1&amp;""),"雙葉"),
IF(COUNTIF(C71,"*先生*"),"雙葉先生","雙葉'"),"雙葉"),
IF(COUNTIF(C71,"*社食*"),"社食'",
IF(LEFT(C71,2)="博多",
IF(COUNTIF(C71,"*別注*"),
IFERROR(TRIM(LEFT(C71,FIND("週",C71)-1)),TRIM(C71)),
IF(IFERROR(TRIM(LEFT(C70,FIND("週",C70)-1)),TRIM(C70))=IFERROR(TRIM(LEFT(C71,FIND("週",C71)-1)),TRIM(C71)),
IFERROR(TRIM(LEFT(C71,FIND("週",C71)-1)),TRIM(C71))&amp;"'",IFERROR(TRIM(LEFT(C71,FIND("週",C71)-1)),TRIM(C71)))),
IF(LEFT(C71,3)="奈良屋",
IF(IFERROR(TRIM(LEFT(C70,FIND("幼",C70)-1)),TRIM(C70))=IFERROR(TRIM(LEFT(C71,FIND("幼",C71)-1)),TRIM(C71)),
"奈良屋'","奈良屋"),""))))</f>
        <v/>
      </c>
      <c r="C71" s="104" t="str">
        <f>IF(OR(クライアント抽出!C1&lt;&gt;"",クライアント抽出!F1&lt;&gt;""),クライアント抽出!A1,"")</f>
        <v/>
      </c>
      <c r="D71" s="104" t="str">
        <f t="array" aca="1" ref="D71" ca="1">IF(C71&lt;&gt;"",INDIRECT("クライアント抽出!"&amp;E71&amp;MATCH(C71,クライアント抽出!A:A,0)&amp;""),"")</f>
        <v/>
      </c>
      <c r="E71" s="104" t="str">
        <f>IF(H71&lt;&gt;0,
IFERROR(
SUBSTITUTE(ADDRESS(1,
MATCH(VALUE(H71),クライアント抽出!A1:G1,0)+8,4),"1",""),
""),
IFERROR(
SUBSTITUTE(ADDRESS(1,
MATCH(VALUE(I71),クライアント抽出!A1:G1,0)+8,4),"1",""),
""))</f>
        <v/>
      </c>
      <c r="F71" s="186" t="str">
        <f ca="1">IF(D71&lt;&gt;"",
IF(COUNTIF(C71,"*雙葉*"),
IF(ROUND((H71-M71)
/IF(COUNTIF(D71,"*キャラ*"),
VLOOKUP("*キャラ*",商品マスタ!$D:$E,2,FALSE),
IF(COUNTIF(D71,"*赤*"),
VLOOKUP("*赤*",商品マスタ!$D:$E,2,FALSE),
VLOOKUP("*"&amp;D71&amp;"*",商品マスタ!$D:$E,2,FALSE))),0)&lt;=0,1,
ROUND((H71-M71)
/IF(COUNTIF(D71,"*キャラ*"),
VLOOKUP("*キャラ*",商品マスタ!$D:$E,2,FALSE),
IF(COUNTIF(D71,"*赤*"),
VLOOKUP("*赤*",商品マスタ!$D:$E,2,FALSE),
VLOOKUP("*"&amp;D71&amp;"*",商品マスタ!$D:$E,2,FALSE))),0)),
IF(OR(COUNTIF(D71,"*キャラ*"),COUNTIF(D71,"*赤*")),"",
IF(VLOOKUP("*"&amp;D71&amp;"*",商品マスタ!$D:$E,2,FALSE)=0,"",
IF(ROUND((H71-M71)
/VLOOKUP("*"&amp;D71&amp;"*",商品マスタ!$D:$E,2,FALSE),0)&lt;=0,1,
ROUND((H71-M71)
/VLOOKUP("*"&amp;D71&amp;"*",商品マスタ!$D:$E,2,FALSE),0))))),"")</f>
        <v/>
      </c>
      <c r="G71" s="104" t="str">
        <f ca="1">IF(F71&lt;&gt;"",
IF(VALUE(H71-M71)&gt;VALUE(IF(COUNTIF(D71,"*キャラ*"),
VLOOKUP("*キャラ*",商品マスタ!$D:$E,2,FALSE),
IF(COUNTIF(D71,"*赤*"),
VLOOKUP("*赤*",商品マスタ!$D:$E,2,FALSE),
VLOOKUP("*"&amp;D71&amp;"*",商品マスタ!$D:$E,2,FALSE)))*F71),
"+"&amp;(H71-M71)-IF(COUNTIF(D71,"*キャラ*"),
VLOOKUP("*キャラ*",商品マスタ!$D:$E,2,FALSE),
IF(COUNTIF(D71,"*赤*"),
VLOOKUP("*赤*",商品マスタ!$D:$E,2,FALSE),
VLOOKUP("*"&amp;D71&amp;"*",商品マスタ!$D:$E,2,FALSE)))*F71,
(H71-M71)-IF(COUNTIF(D71,"*キャラ*"),
VLOOKUP("*キャラ*",商品マスタ!$D:$E,2,FALSE),
IF(COUNTIF(D71,"*赤*"),
VLOOKUP("*赤*",商品マスタ!$D:$E,2,FALSE),
VLOOKUP("*"&amp;D71&amp;"*",商品マスタ!$D:$E,2,FALSE)))*F71),"")</f>
        <v/>
      </c>
      <c r="H71" s="105" t="str">
        <f>IF(C71&lt;&gt;"",
クライアント抽出!C1,"")</f>
        <v/>
      </c>
      <c r="I71" s="104" t="str">
        <f t="array" aca="1" ref="I71" ca="1">IF(C71&lt;&gt;"",
IF(O71=1,
IF(SUMPRODUCT(COUNTIF(クライアント抽出!P1:U1,クライアント抽出!P1:U1))&gt;COUNTA(クライアント抽出!P1:U1),
IFERROR(INDIRECT("数出表_Excel!"&amp;INDEX(_xlfn.UNIQUE(_xlfn._xlws.FILTER(クライアント抽出!P1:U1,COUNTIF(クライアント抽出!P1:U1,クライアント抽出!P1:U1)&gt;1)),1)&amp;L1&amp;""),
クライアント抽出!E1),0),クライアント抽出!F1),"")</f>
        <v/>
      </c>
      <c r="J71" s="104" t="str">
        <f>IF(C71&lt;&gt;"",
VLOOKUP(
"*"&amp;LEFT(IF(COUNTIF(D71,"*学食*"),"キャラ弁（学食）",
IF(COUNTIF(D71,"*赤*"),"赤",
IF(COUNTIF(D71,"*キャラ弁当*"),"キャラ弁当",D71))),4)&amp;"*",注文弁当の抽出!$F$1:$G$15,2,FALSE),"")</f>
        <v/>
      </c>
      <c r="K71" s="104" t="str">
        <f ca="1">IF(クライアント抽出!Q1&lt;&gt;"",SUBSTITUTE(ADDRESS(1,(CODE(クライアント抽出!Q1)-64)*2-1,4),"1",""),"")</f>
        <v/>
      </c>
      <c r="L71" s="104" t="str">
        <f>IF(C1&lt;&gt;"",クライアント抽出!I1,"")</f>
        <v/>
      </c>
      <c r="M71" s="104">
        <f t="array" aca="1" ref="M71" ca="1">IF(C71&lt;&gt;"",
IF(K71&lt;&gt;"",INDIRECT("'数出表_Excel（アレルギー入力）'!"&amp;K71&amp;L71-1&amp;""),),)</f>
        <v>0</v>
      </c>
      <c r="N71" s="104" t="str">
        <f>IF(C71&lt;&gt;"",IF(OR(COUNTIF('盛付札（関数）'!D71,"*赤*"),COUNTIF('盛付札（関数）'!D71,"*キャラ*")),1,
VALUE(VLOOKUP("*"&amp;D71&amp;"*",商品マスタ!D:H,5,FALSE))),"")</f>
        <v/>
      </c>
      <c r="O71" s="104">
        <f t="shared" ref="O71:O102" ca="1" si="56">O1</f>
        <v>0</v>
      </c>
      <c r="P71" s="104">
        <f t="shared" si="33"/>
        <v>0</v>
      </c>
      <c r="Q71" s="104" t="b">
        <f t="shared" si="34"/>
        <v>0</v>
      </c>
      <c r="R71" s="176" t="str">
        <f t="array" aca="1" ref="R71" ca="1">IFERROR(SMALL(IF(P$1:P$311&lt;&gt;0,P$1:P$311),ROW(A71)),"")</f>
        <v/>
      </c>
      <c r="S71" s="176" t="str">
        <f t="array" aca="1" ref="S71" ca="1">IF($R71&lt;&gt;"",
SUBSTITUTE(SUBSTITUTE(INDIRECT("C"&amp;$R71&amp;"")," 週3ｺｰｽ","")," 週5ｺｰｽ",""),"")</f>
        <v/>
      </c>
      <c r="T71" s="176" t="str">
        <f t="array" aca="1" ref="T71" ca="1">IF(IF($R71&lt;&gt;"",
INDIRECT(""&amp;IF(COLUMN(D71)&lt;=26,CHAR(COLUMN(D71)+64),CHAR(INT((COLUMN(D71)-1)/26)+64)&amp;CHAR(MOD(COLUMN(D71)-1,26)+65))&amp;$R71&amp;""),"")=0,"",
IF($R71&lt;&gt;"",
INDIRECT(""&amp;IF(COLUMN(D71)&lt;=26,CHAR(COLUMN(D71)+64),CHAR(INT((COLUMN(D71)-1)/26)+64)&amp;CHAR(MOD(COLUMN(D71)-1,26)+65))&amp;$R71&amp;""),""))</f>
        <v/>
      </c>
      <c r="U71" s="218" t="str">
        <f t="array" aca="1" ref="U71" ca="1">IF($R71&lt;&gt;"",
INDIRECT("F"&amp;$R71&amp;""),"")</f>
        <v/>
      </c>
      <c r="V71" s="219" t="str">
        <f t="array" aca="1" ref="V71" ca="1">IF($R71&lt;&gt;"",
INDIRECT("G"&amp;$R71&amp;""),"")</f>
        <v/>
      </c>
      <c r="W71" s="219" t="str" cm="1">
        <f t="array" aca="1" ref="W71" ca="1">IF($R71&lt;&gt;"",
IF(AND(COUNTIF(INDIRECT("B"&amp;R71&amp;""),"*雙葉*"),COUNTIF($B$71:$B$210,"*雙葉*")&gt;=1),
IF(OR(COUNTIF(INDIRECT("B"&amp;R71&amp;""),"*雙葉先生*"),COUNTIF(INDIRECT("B"&amp;R71-1&amp;""),"*雙葉*")),INDIRECT("H"&amp;R71&amp;""),INDIRECT("H"&amp;R71&amp;"")+INDIRECT("H"&amp;MATCH("雙葉'",INDIRECT("B"&amp;R71+3&amp;":B210"),0)+2+R71&amp;"")),
IF(AND(LEFT(INDIRECT("B"&amp;R71&amp;""),2)="博多",COUNTIF(B:B,"*博多*")&gt;=2),
INDIRECT("H"&amp;R71&amp;"")+IFERROR(INDIRECT("H"&amp;MATCH("*"&amp;INDIRECT("B"&amp;R71&amp;"")&amp;"*",INDIRECT("B"&amp;R71+1&amp;":B210"),0)+R71&amp;""),0),
IF(AND(LEFT(INDIRECT("B"&amp;R71&amp;""),3)="奈良屋",COUNTIF(B:B,"*奈良屋*")&gt;=2),
INDIRECT("H"&amp;R71&amp;"")
+INDIRECT("H"&amp;MATCH("*"&amp;INDIRECT("B"&amp;R71&amp;"")&amp;"*",INDIRECT("B"&amp;R71+1&amp;":B210"),0)+R71&amp;"")
+INDIRECT("H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
+INDIRECT("H"&amp;MATCH("*"&amp;INDIRECT("B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&amp;"*",INDIRECT("B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+1&amp;":B210"),0)+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,
INDIRECT("H"&amp;R71&amp;"")))),"")</f>
        <v/>
      </c>
      <c r="X71" s="176" t="str">
        <f t="array" aca="1" ref="X71" ca="1">IF($R71&lt;&gt;"",
INDIRECT(""&amp;IF(COLUMN(I71)&lt;=26,CHAR(COLUMN(I71)+64),CHAR(INT((COLUMN(I71)-1)/26)+64)&amp;CHAR(MOD(COLUMN(I71)-1,26)+65))&amp;$R71&amp;""),"")</f>
        <v/>
      </c>
      <c r="Y71" s="176" t="str">
        <f t="array" aca="1" ref="Y71" ca="1">IF($R71&lt;&gt;"",
INDIRECT(""&amp;IF(COLUMN(J71)&lt;=26,CHAR(COLUMN(J71)+64),CHAR(INT((COLUMN(J71)-1)/26)+64)&amp;CHAR(MOD(COLUMN(J71)-1,26)+65))&amp;$R71&amp;""),"")</f>
        <v/>
      </c>
      <c r="Z71" s="176" t="str">
        <f t="shared" ca="1" si="35"/>
        <v/>
      </c>
      <c r="AA71" s="176" t="str">
        <f t="shared" ca="1" si="36"/>
        <v/>
      </c>
      <c r="AB71" s="176" t="str">
        <f t="array" aca="1" ref="AB71" ca="1">IF($R71&lt;&gt;"",
IF(AND(COUNTIF(INDIRECT("B"&amp;R71&amp;""),"*雙葉*"),COUNTIF(INDIRECT("B"&amp;R71&amp;""),"&lt;&gt;*先生*"),COUNTIF(B:B,"*雙葉*")&gt;=2),
INDIRECT("M"&amp;R71&amp;"")+INDIRECT("M"&amp;MATCH("雙葉'",INDIRECT("B"&amp;R71+1&amp;":B210"),0)+R71&amp;""),
IF(AND(LEFT(INDIRECT("B"&amp;R71&amp;""),2)="博多",COUNTIF(B:B,"*博多*")&gt;=2),
INDIRECT("M"&amp;R71&amp;"")+INDIRECT("M"&amp;MATCH("*"&amp;INDIRECT("B"&amp;R71&amp;"")&amp;"*",INDIRECT("B"&amp;R71+1&amp;":B210"),0)+R71&amp;""),
IF(AND(LEFT(INDIRECT("B"&amp;R71&amp;""),3)="奈良屋",COUNTIF(B:B,"*奈良屋*")&gt;=2),
INDIRECT("M"&amp;R71&amp;"")+INDIRECT("M"&amp;MATCH("*"&amp;INDIRECT("B"&amp;R71&amp;"")&amp;"*",INDIRECT("B"&amp;R71+1&amp;":B210"),0)+R71&amp;"")
+INDIRECT("M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,
INDIRECT("M"&amp;R71&amp;"")))),"")</f>
        <v/>
      </c>
      <c r="AC71" s="176" t="str">
        <f t="shared" ca="1" si="37"/>
        <v/>
      </c>
      <c r="AD71" s="176" t="str">
        <f t="shared" ca="1" si="38"/>
        <v/>
      </c>
      <c r="AE71" s="176" t="str">
        <f t="shared" ca="1" si="39"/>
        <v/>
      </c>
      <c r="AF71" s="176" t="str">
        <f t="shared" ca="1" si="40"/>
        <v/>
      </c>
      <c r="AG71" s="176" t="str">
        <f t="shared" ca="1" si="41"/>
        <v/>
      </c>
      <c r="AH71" s="183" t="str">
        <f t="shared" ca="1" si="42"/>
        <v/>
      </c>
      <c r="AI71" s="176" t="str">
        <f t="shared" ca="1" si="43"/>
        <v/>
      </c>
      <c r="AJ71" s="176" t="str">
        <f t="shared" ca="1" si="44"/>
        <v/>
      </c>
      <c r="AK71" s="176" t="str">
        <f t="shared" ca="1" si="45"/>
        <v/>
      </c>
      <c r="AL71" s="176" t="str">
        <f t="shared" ca="1" si="46"/>
        <v/>
      </c>
      <c r="AM71" s="176" t="str">
        <f t="shared" ca="1" si="47"/>
        <v/>
      </c>
      <c r="AN71" s="176" t="str">
        <f t="shared" ca="1" si="48"/>
        <v/>
      </c>
      <c r="AO71" s="176" t="str">
        <f t="shared" ca="1" si="49"/>
        <v/>
      </c>
      <c r="AP71" s="176" t="str">
        <f t="shared" ca="1" si="50"/>
        <v/>
      </c>
      <c r="AU71" s="176" t="str">
        <f t="shared" ca="1" si="51"/>
        <v/>
      </c>
    </row>
    <row r="72" spans="1:54" ht="21" customHeight="1">
      <c r="A72" s="103">
        <f t="shared" ref="A72:A103" si="57">A71+2</f>
        <v>9</v>
      </c>
      <c r="B72" s="104" t="str">
        <f t="shared" ca="1" si="55"/>
        <v/>
      </c>
      <c r="C72" s="104" t="str">
        <f>IF(OR(クライアント抽出!C2&lt;&gt;"",クライアント抽出!F2&lt;&gt;""),クライアント抽出!A2,"")</f>
        <v/>
      </c>
      <c r="D72" s="104" t="str">
        <f t="array" aca="1" ref="D72" ca="1">IF(C72&lt;&gt;"",INDIRECT("クライアント抽出!"&amp;E72&amp;MATCH(C72,クライアント抽出!A:A,0)&amp;""),"")</f>
        <v/>
      </c>
      <c r="E72" s="104" t="str">
        <f>IF(H72&lt;&gt;0,
IFERROR(
SUBSTITUTE(ADDRESS(1,
MATCH(VALUE(H72),クライアント抽出!A2:G2,0)+8,4),"1",""),
""),
IFERROR(
SUBSTITUTE(ADDRESS(1,
MATCH(VALUE(I72),クライアント抽出!A2:G2,0)+8,4),"1",""),
""))</f>
        <v/>
      </c>
      <c r="F72" s="186" t="str">
        <f ca="1">IF(D72&lt;&gt;"",
IF(COUNTIF(C72,"*雙葉*"),
IF(ROUND((H72-M72)
/IF(COUNTIF(D72,"*キャラ*"),
VLOOKUP("*キャラ*",商品マスタ!$D:$E,2,FALSE),
IF(COUNTIF(D72,"*赤*"),
VLOOKUP("*赤*",商品マスタ!$D:$E,2,FALSE),
VLOOKUP("*"&amp;D72&amp;"*",商品マスタ!$D:$E,2,FALSE))),0)&lt;=0,1,
ROUND((H72-M72)
/IF(COUNTIF(D72,"*キャラ*"),
VLOOKUP("*キャラ*",商品マスタ!$D:$E,2,FALSE),
IF(COUNTIF(D72,"*赤*"),
VLOOKUP("*赤*",商品マスタ!$D:$E,2,FALSE),
VLOOKUP("*"&amp;D72&amp;"*",商品マスタ!$D:$E,2,FALSE))),0)),
IF(OR(COUNTIF(D72,"*キャラ*"),COUNTIF(D72,"*赤*")),"",
IF(VLOOKUP("*"&amp;D72&amp;"*",商品マスタ!$D:$E,2,FALSE)=0,"",
IF(ROUND((H72-M72)
/VLOOKUP("*"&amp;D72&amp;"*",商品マスタ!$D:$E,2,FALSE),0)&lt;=0,1,
ROUND((H72-M72)
/VLOOKUP("*"&amp;D72&amp;"*",商品マスタ!$D:$E,2,FALSE),0))))),"")</f>
        <v/>
      </c>
      <c r="G72" s="104" t="str">
        <f ca="1">IF(F72&lt;&gt;"",
IF(VALUE(H72-M72)&gt;VALUE(IF(COUNTIF(D72,"*キャラ*"),
VLOOKUP("*キャラ*",商品マスタ!$D:$E,2,FALSE),
IF(COUNTIF(D72,"*赤*"),
VLOOKUP("*赤*",商品マスタ!$D:$E,2,FALSE),
VLOOKUP("*"&amp;D72&amp;"*",商品マスタ!$D:$E,2,FALSE)))*F72),
"+"&amp;(H72-M72)-IF(COUNTIF(D72,"*キャラ*"),
VLOOKUP("*キャラ*",商品マスタ!$D:$E,2,FALSE),
IF(COUNTIF(D72,"*赤*"),
VLOOKUP("*赤*",商品マスタ!$D:$E,2,FALSE),
VLOOKUP("*"&amp;D72&amp;"*",商品マスタ!$D:$E,2,FALSE)))*F72,
(H72-M72)-IF(COUNTIF(D72,"*キャラ*"),
VLOOKUP("*キャラ*",商品マスタ!$D:$E,2,FALSE),
IF(COUNTIF(D72,"*赤*"),
VLOOKUP("*赤*",商品マスタ!$D:$E,2,FALSE),
VLOOKUP("*"&amp;D72&amp;"*",商品マスタ!$D:$E,2,FALSE)))*F72),"")</f>
        <v/>
      </c>
      <c r="H72" s="105" t="str">
        <f>IF(C72&lt;&gt;"",
クライアント抽出!C2,"")</f>
        <v/>
      </c>
      <c r="I72" s="104" t="str">
        <f t="array" aca="1" ref="I72" ca="1">IF(C72&lt;&gt;"",
IF(O72=1,
IF(SUMPRODUCT(COUNTIF(クライアント抽出!P2:U2,クライアント抽出!P2:U2))&gt;COUNTA(クライアント抽出!P2:U2),
IFERROR(INDIRECT("数出表_Excel!"&amp;INDEX(_xlfn.UNIQUE(_xlfn._xlws.FILTER(クライアント抽出!P2:U2,COUNTIF(クライアント抽出!P2:U2,クライアント抽出!P2:U2)&gt;1)),1)&amp;L2&amp;""),
クライアント抽出!E2),0),クライアント抽出!F2),"")</f>
        <v/>
      </c>
      <c r="J72" s="104" t="str">
        <f>IF(C72&lt;&gt;"",
VLOOKUP(
"*"&amp;LEFT(IF(COUNTIF(D72,"*学食*"),"キャラ弁（学食）",
IF(COUNTIF(D72,"*赤*"),"赤",
IF(COUNTIF(D72,"*キャラ弁当*"),"キャラ弁当",D72))),4)&amp;"*",注文弁当の抽出!$F$1:$G$15,2,FALSE),"")</f>
        <v/>
      </c>
      <c r="K72" s="104" t="str">
        <f ca="1">IF(クライアント抽出!Q2&lt;&gt;"",SUBSTITUTE(ADDRESS(1,(CODE(クライアント抽出!Q2)-64)*2-1,4),"1",""),"")</f>
        <v/>
      </c>
      <c r="L72" s="104" t="str">
        <f>IF(C2&lt;&gt;"",クライアント抽出!I2,"")</f>
        <v/>
      </c>
      <c r="M72" s="104">
        <f t="array" aca="1" ref="M72" ca="1">IF(C72&lt;&gt;"",
IF(K72&lt;&gt;"",INDIRECT("'数出表_Excel（アレルギー入力）'!"&amp;K72&amp;L72-1&amp;""),),)</f>
        <v>0</v>
      </c>
      <c r="N72" s="104" t="str">
        <f>IF(C72&lt;&gt;"",IF(OR(COUNTIF('盛付札（関数）'!D72,"*赤*"),COUNTIF('盛付札（関数）'!D72,"*キャラ*")),1,
VALUE(VLOOKUP("*"&amp;D72&amp;"*",商品マスタ!D:H,5,FALSE))),"")</f>
        <v/>
      </c>
      <c r="O72" s="104">
        <f t="shared" ca="1" si="56"/>
        <v>0</v>
      </c>
      <c r="P72" s="104">
        <f t="shared" si="33"/>
        <v>0</v>
      </c>
      <c r="Q72" s="104" t="b">
        <f t="shared" si="34"/>
        <v>0</v>
      </c>
      <c r="R72" s="176" t="str">
        <f t="array" aca="1" ref="R72" ca="1">IFERROR(SMALL(IF(P$1:P$311&lt;&gt;0,P$1:P$311),ROW(A72)),"")</f>
        <v/>
      </c>
      <c r="S72" s="176" t="str">
        <f t="array" aca="1" ref="S72" ca="1">IF($R72&lt;&gt;"",
SUBSTITUTE(SUBSTITUTE(INDIRECT("C"&amp;$R72&amp;"")," 週3ｺｰｽ","")," 週5ｺｰｽ",""),"")</f>
        <v/>
      </c>
      <c r="T72" s="176" t="str">
        <f t="array" aca="1" ref="T72" ca="1">IF(IF($R72&lt;&gt;"",
INDIRECT(""&amp;IF(COLUMN(D72)&lt;=26,CHAR(COLUMN(D72)+64),CHAR(INT((COLUMN(D72)-1)/26)+64)&amp;CHAR(MOD(COLUMN(D72)-1,26)+65))&amp;$R72&amp;""),"")=0,"",
IF($R72&lt;&gt;"",
INDIRECT(""&amp;IF(COLUMN(D72)&lt;=26,CHAR(COLUMN(D72)+64),CHAR(INT((COLUMN(D72)-1)/26)+64)&amp;CHAR(MOD(COLUMN(D72)-1,26)+65))&amp;$R72&amp;""),""))</f>
        <v/>
      </c>
      <c r="U72" s="218" t="str">
        <f t="array" aca="1" ref="U72" ca="1">IF($R72&lt;&gt;"",
INDIRECT("F"&amp;$R72&amp;""),"")</f>
        <v/>
      </c>
      <c r="V72" s="219" t="str">
        <f t="array" aca="1" ref="V72" ca="1">IF($R72&lt;&gt;"",
INDIRECT("G"&amp;$R72&amp;""),"")</f>
        <v/>
      </c>
      <c r="W72" s="219" t="str" cm="1">
        <f t="array" aca="1" ref="W72" ca="1">IF($R72&lt;&gt;"",
IF(AND(COUNTIF(INDIRECT("B"&amp;R72&amp;""),"*雙葉*"),COUNTIF($B$71:$B$210,"*雙葉*")&gt;=1),
IF(OR(COUNTIF(INDIRECT("B"&amp;R72&amp;""),"*雙葉先生*"),COUNTIF(INDIRECT("B"&amp;R72-1&amp;""),"*雙葉*")),INDIRECT("H"&amp;R72&amp;""),INDIRECT("H"&amp;R72&amp;"")+INDIRECT("H"&amp;MATCH("雙葉'",INDIRECT("B"&amp;R72+3&amp;":B210"),0)+2+R72&amp;"")),
IF(AND(LEFT(INDIRECT("B"&amp;R72&amp;""),2)="博多",COUNTIF(B:B,"*博多*")&gt;=2),
INDIRECT("H"&amp;R72&amp;"")+IFERROR(INDIRECT("H"&amp;MATCH("*"&amp;INDIRECT("B"&amp;R72&amp;"")&amp;"*",INDIRECT("B"&amp;R72+1&amp;":B210"),0)+R72&amp;""),0),
IF(AND(LEFT(INDIRECT("B"&amp;R72&amp;""),3)="奈良屋",COUNTIF(B:B,"*奈良屋*")&gt;=2),
INDIRECT("H"&amp;R72&amp;"")
+INDIRECT("H"&amp;MATCH("*"&amp;INDIRECT("B"&amp;R72&amp;"")&amp;"*",INDIRECT("B"&amp;R72+1&amp;":B210"),0)+R72&amp;"")
+INDIRECT("H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
+INDIRECT("H"&amp;MATCH("*"&amp;INDIRECT("B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&amp;"*",INDIRECT("B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+1&amp;":B210"),0)+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,
INDIRECT("H"&amp;R72&amp;"")))),"")</f>
        <v/>
      </c>
      <c r="X72" s="176" t="str">
        <f t="array" aca="1" ref="X72" ca="1">IF($R72&lt;&gt;"",
INDIRECT(""&amp;IF(COLUMN(I72)&lt;=26,CHAR(COLUMN(I72)+64),CHAR(INT((COLUMN(I72)-1)/26)+64)&amp;CHAR(MOD(COLUMN(I72)-1,26)+65))&amp;$R72&amp;""),"")</f>
        <v/>
      </c>
      <c r="Y72" s="176" t="str">
        <f t="array" aca="1" ref="Y72" ca="1">IF($R72&lt;&gt;"",
INDIRECT(""&amp;IF(COLUMN(J72)&lt;=26,CHAR(COLUMN(J72)+64),CHAR(INT((COLUMN(J72)-1)/26)+64)&amp;CHAR(MOD(COLUMN(J72)-1,26)+65))&amp;$R72&amp;""),"")</f>
        <v/>
      </c>
      <c r="Z72" s="176" t="str">
        <f t="shared" ca="1" si="35"/>
        <v/>
      </c>
      <c r="AA72" s="176" t="str">
        <f t="shared" ca="1" si="36"/>
        <v/>
      </c>
      <c r="AB72" s="176" t="str">
        <f t="array" aca="1" ref="AB72" ca="1">IF($R72&lt;&gt;"",
IF(AND(COUNTIF(INDIRECT("B"&amp;R72&amp;""),"*雙葉*"),COUNTIF(INDIRECT("B"&amp;R72&amp;""),"&lt;&gt;*先生*"),COUNTIF(B:B,"*雙葉*")&gt;=2),
INDIRECT("M"&amp;R72&amp;"")+INDIRECT("M"&amp;MATCH("雙葉'",INDIRECT("B"&amp;R72+1&amp;":B210"),0)+R72&amp;""),
IF(AND(LEFT(INDIRECT("B"&amp;R72&amp;""),2)="博多",COUNTIF(B:B,"*博多*")&gt;=2),
INDIRECT("M"&amp;R72&amp;"")+INDIRECT("M"&amp;MATCH("*"&amp;INDIRECT("B"&amp;R72&amp;"")&amp;"*",INDIRECT("B"&amp;R72+1&amp;":B210"),0)+R72&amp;""),
IF(AND(LEFT(INDIRECT("B"&amp;R72&amp;""),3)="奈良屋",COUNTIF(B:B,"*奈良屋*")&gt;=2),
INDIRECT("M"&amp;R72&amp;"")+INDIRECT("M"&amp;MATCH("*"&amp;INDIRECT("B"&amp;R72&amp;"")&amp;"*",INDIRECT("B"&amp;R72+1&amp;":B210"),0)+R72&amp;"")
+INDIRECT("M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,
INDIRECT("M"&amp;R72&amp;"")))),"")</f>
        <v/>
      </c>
      <c r="AC72" s="176" t="str">
        <f t="shared" ca="1" si="37"/>
        <v/>
      </c>
      <c r="AD72" s="176" t="str">
        <f t="shared" ca="1" si="38"/>
        <v/>
      </c>
      <c r="AE72" s="176" t="str">
        <f t="shared" ca="1" si="39"/>
        <v/>
      </c>
      <c r="AF72" s="176" t="str">
        <f t="shared" ca="1" si="40"/>
        <v/>
      </c>
      <c r="AG72" s="176" t="str">
        <f t="shared" ca="1" si="41"/>
        <v/>
      </c>
      <c r="AH72" s="183" t="str">
        <f t="shared" ca="1" si="42"/>
        <v/>
      </c>
      <c r="AI72" s="176" t="str">
        <f t="shared" ca="1" si="43"/>
        <v/>
      </c>
      <c r="AJ72" s="176" t="str">
        <f t="shared" ca="1" si="44"/>
        <v/>
      </c>
      <c r="AK72" s="176" t="str">
        <f t="shared" ca="1" si="45"/>
        <v/>
      </c>
      <c r="AL72" s="176" t="str">
        <f t="shared" ca="1" si="46"/>
        <v/>
      </c>
      <c r="AM72" s="176" t="str">
        <f t="shared" ca="1" si="47"/>
        <v/>
      </c>
      <c r="AN72" s="176" t="str">
        <f t="shared" ca="1" si="48"/>
        <v/>
      </c>
      <c r="AO72" s="176" t="str">
        <f t="shared" ca="1" si="49"/>
        <v/>
      </c>
      <c r="AP72" s="176" t="str">
        <f t="shared" ca="1" si="50"/>
        <v/>
      </c>
      <c r="AU72" s="176" t="str">
        <f t="shared" ca="1" si="51"/>
        <v/>
      </c>
    </row>
    <row r="73" spans="1:54" ht="19.2" customHeight="1">
      <c r="A73" s="103">
        <f t="shared" si="57"/>
        <v>11</v>
      </c>
      <c r="B73" s="104" t="str">
        <f t="shared" ca="1" si="55"/>
        <v/>
      </c>
      <c r="C73" s="104" t="str">
        <f>IF(OR(クライアント抽出!C3&lt;&gt;"",クライアント抽出!F3&lt;&gt;""),クライアント抽出!A3,"")</f>
        <v/>
      </c>
      <c r="D73" s="104" t="str">
        <f t="array" aca="1" ref="D73" ca="1">IF(C73&lt;&gt;"",INDIRECT("クライアント抽出!"&amp;E73&amp;MATCH(C73,クライアント抽出!A:A,0)&amp;""),"")</f>
        <v/>
      </c>
      <c r="E73" s="104" t="str">
        <f>IF(H73&lt;&gt;0,
IFERROR(
SUBSTITUTE(ADDRESS(1,
MATCH(VALUE(H73),クライアント抽出!A3:G3,0)+8,4),"1",""),
""),
IFERROR(
SUBSTITUTE(ADDRESS(1,
MATCH(VALUE(I73),クライアント抽出!A3:G3,0)+8,4),"1",""),
""))</f>
        <v/>
      </c>
      <c r="F73" s="186" t="str">
        <f ca="1">IF(D73&lt;&gt;"",
IF(COUNTIF(C73,"*雙葉*"),
IF(ROUND((H73-M73)
/IF(COUNTIF(D73,"*キャラ*"),
VLOOKUP("*キャラ*",商品マスタ!$D:$E,2,FALSE),
IF(COUNTIF(D73,"*赤*"),
VLOOKUP("*赤*",商品マスタ!$D:$E,2,FALSE),
VLOOKUP("*"&amp;D73&amp;"*",商品マスタ!$D:$E,2,FALSE))),0)&lt;=0,1,
ROUND((H73-M73)
/IF(COUNTIF(D73,"*キャラ*"),
VLOOKUP("*キャラ*",商品マスタ!$D:$E,2,FALSE),
IF(COUNTIF(D73,"*赤*"),
VLOOKUP("*赤*",商品マスタ!$D:$E,2,FALSE),
VLOOKUP("*"&amp;D73&amp;"*",商品マスタ!$D:$E,2,FALSE))),0)),
IF(OR(COUNTIF(D73,"*キャラ*"),COUNTIF(D73,"*赤*")),"",
IF(VLOOKUP("*"&amp;D73&amp;"*",商品マスタ!$D:$E,2,FALSE)=0,"",
IF(ROUND((H73-M73)
/VLOOKUP("*"&amp;D73&amp;"*",商品マスタ!$D:$E,2,FALSE),0)&lt;=0,1,
ROUND((H73-M73)
/VLOOKUP("*"&amp;D73&amp;"*",商品マスタ!$D:$E,2,FALSE),0))))),"")</f>
        <v/>
      </c>
      <c r="G73" s="104" t="str">
        <f ca="1">IF(F73&lt;&gt;"",
IF(VALUE(H73-M73)&gt;VALUE(IF(COUNTIF(D73,"*キャラ*"),
VLOOKUP("*キャラ*",商品マスタ!$D:$E,2,FALSE),
IF(COUNTIF(D73,"*赤*"),
VLOOKUP("*赤*",商品マスタ!$D:$E,2,FALSE),
VLOOKUP("*"&amp;D73&amp;"*",商品マスタ!$D:$E,2,FALSE)))*F73),
"+"&amp;(H73-M73)-IF(COUNTIF(D73,"*キャラ*"),
VLOOKUP("*キャラ*",商品マスタ!$D:$E,2,FALSE),
IF(COUNTIF(D73,"*赤*"),
VLOOKUP("*赤*",商品マスタ!$D:$E,2,FALSE),
VLOOKUP("*"&amp;D73&amp;"*",商品マスタ!$D:$E,2,FALSE)))*F73,
(H73-M73)-IF(COUNTIF(D73,"*キャラ*"),
VLOOKUP("*キャラ*",商品マスタ!$D:$E,2,FALSE),
IF(COUNTIF(D73,"*赤*"),
VLOOKUP("*赤*",商品マスタ!$D:$E,2,FALSE),
VLOOKUP("*"&amp;D73&amp;"*",商品マスタ!$D:$E,2,FALSE)))*F73),"")</f>
        <v/>
      </c>
      <c r="H73" s="105" t="str">
        <f>IF(C73&lt;&gt;"",
クライアント抽出!C3,"")</f>
        <v/>
      </c>
      <c r="I73" s="104" t="str">
        <f t="array" aca="1" ref="I73" ca="1">IF(C73&lt;&gt;"",
IF(O73=1,
IF(SUMPRODUCT(COUNTIF(クライアント抽出!P3:U3,クライアント抽出!P3:U3))&gt;COUNTA(クライアント抽出!P3:U3),
IFERROR(INDIRECT("数出表_Excel!"&amp;INDEX(_xlfn.UNIQUE(_xlfn._xlws.FILTER(クライアント抽出!P3:U3,COUNTIF(クライアント抽出!P3:U3,クライアント抽出!P3:U3)&gt;1)),1)&amp;L3&amp;""),
クライアント抽出!E3),0),クライアント抽出!F3),"")</f>
        <v/>
      </c>
      <c r="J73" s="104" t="str">
        <f>IF(C73&lt;&gt;"",
VLOOKUP(
"*"&amp;LEFT(IF(COUNTIF(D73,"*学食*"),"キャラ弁（学食）",
IF(COUNTIF(D73,"*赤*"),"赤",
IF(COUNTIF(D73,"*キャラ弁当*"),"キャラ弁当",D73))),4)&amp;"*",注文弁当の抽出!$F$1:$G$15,2,FALSE),"")</f>
        <v/>
      </c>
      <c r="K73" s="104" t="str">
        <f ca="1">IF(クライアント抽出!Q3&lt;&gt;"",SUBSTITUTE(ADDRESS(1,(CODE(クライアント抽出!Q3)-64)*2-1,4),"1",""),"")</f>
        <v/>
      </c>
      <c r="L73" s="104" t="str">
        <f>IF(C3&lt;&gt;"",クライアント抽出!I3,"")</f>
        <v/>
      </c>
      <c r="M73" s="104">
        <f t="array" aca="1" ref="M73" ca="1">IF(C73&lt;&gt;"",
IF(K73&lt;&gt;"",INDIRECT("'数出表_Excel（アレルギー入力）'!"&amp;K73&amp;L73-1&amp;""),),)</f>
        <v>0</v>
      </c>
      <c r="N73" s="104" t="str">
        <f>IF(C73&lt;&gt;"",IF(OR(COUNTIF('盛付札（関数）'!D73,"*赤*"),COUNTIF('盛付札（関数）'!D73,"*キャラ*")),1,
VALUE(VLOOKUP("*"&amp;D73&amp;"*",商品マスタ!D:H,5,FALSE))),"")</f>
        <v/>
      </c>
      <c r="O73" s="104">
        <f t="shared" ca="1" si="56"/>
        <v>0</v>
      </c>
      <c r="P73" s="104">
        <f t="shared" si="33"/>
        <v>0</v>
      </c>
      <c r="Q73" s="104" t="b">
        <f t="shared" si="34"/>
        <v>0</v>
      </c>
      <c r="R73" s="176" t="str">
        <f t="array" aca="1" ref="R73" ca="1">IFERROR(SMALL(IF(P$1:P$311&lt;&gt;0,P$1:P$311),ROW(A73)),"")</f>
        <v/>
      </c>
      <c r="S73" s="176" t="str">
        <f t="array" aca="1" ref="S73" ca="1">IF($R73&lt;&gt;"",
SUBSTITUTE(SUBSTITUTE(INDIRECT("C"&amp;$R73&amp;"")," 週3ｺｰｽ","")," 週5ｺｰｽ",""),"")</f>
        <v/>
      </c>
      <c r="T73" s="176" t="str">
        <f t="array" aca="1" ref="T73" ca="1">IF(IF($R73&lt;&gt;"",
INDIRECT(""&amp;IF(COLUMN(D73)&lt;=26,CHAR(COLUMN(D73)+64),CHAR(INT((COLUMN(D73)-1)/26)+64)&amp;CHAR(MOD(COLUMN(D73)-1,26)+65))&amp;$R73&amp;""),"")=0,"",
IF($R73&lt;&gt;"",
INDIRECT(""&amp;IF(COLUMN(D73)&lt;=26,CHAR(COLUMN(D73)+64),CHAR(INT((COLUMN(D73)-1)/26)+64)&amp;CHAR(MOD(COLUMN(D73)-1,26)+65))&amp;$R73&amp;""),""))</f>
        <v/>
      </c>
      <c r="U73" s="218" t="str">
        <f t="array" aca="1" ref="U73" ca="1">IF($R73&lt;&gt;"",
INDIRECT("F"&amp;$R73&amp;""),"")</f>
        <v/>
      </c>
      <c r="V73" s="219" t="str">
        <f t="array" aca="1" ref="V73" ca="1">IF($R73&lt;&gt;"",
INDIRECT("G"&amp;$R73&amp;""),"")</f>
        <v/>
      </c>
      <c r="W73" s="219" t="str" cm="1">
        <f t="array" aca="1" ref="W73" ca="1">IF($R73&lt;&gt;"",
IF(AND(COUNTIF(INDIRECT("B"&amp;R73&amp;""),"*雙葉*"),COUNTIF($B$71:$B$210,"*雙葉*")&gt;=1),
IF(OR(COUNTIF(INDIRECT("B"&amp;R73&amp;""),"*雙葉先生*"),COUNTIF(INDIRECT("B"&amp;R73-1&amp;""),"*雙葉*")),INDIRECT("H"&amp;R73&amp;""),INDIRECT("H"&amp;R73&amp;"")+INDIRECT("H"&amp;MATCH("雙葉'",INDIRECT("B"&amp;R73+3&amp;":B210"),0)+2+R73&amp;"")),
IF(AND(LEFT(INDIRECT("B"&amp;R73&amp;""),2)="博多",COUNTIF(B:B,"*博多*")&gt;=2),
INDIRECT("H"&amp;R73&amp;"")+IFERROR(INDIRECT("H"&amp;MATCH("*"&amp;INDIRECT("B"&amp;R73&amp;"")&amp;"*",INDIRECT("B"&amp;R73+1&amp;":B210"),0)+R73&amp;""),0),
IF(AND(LEFT(INDIRECT("B"&amp;R73&amp;""),3)="奈良屋",COUNTIF(B:B,"*奈良屋*")&gt;=2),
INDIRECT("H"&amp;R73&amp;"")
+INDIRECT("H"&amp;MATCH("*"&amp;INDIRECT("B"&amp;R73&amp;"")&amp;"*",INDIRECT("B"&amp;R73+1&amp;":B210"),0)+R73&amp;"")
+INDIRECT("H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
+INDIRECT("H"&amp;MATCH("*"&amp;INDIRECT("B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&amp;"*",INDIRECT("B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+1&amp;":B210"),0)+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,
INDIRECT("H"&amp;R73&amp;"")))),"")</f>
        <v/>
      </c>
      <c r="X73" s="176" t="str">
        <f t="array" aca="1" ref="X73" ca="1">IF($R73&lt;&gt;"",
INDIRECT(""&amp;IF(COLUMN(I73)&lt;=26,CHAR(COLUMN(I73)+64),CHAR(INT((COLUMN(I73)-1)/26)+64)&amp;CHAR(MOD(COLUMN(I73)-1,26)+65))&amp;$R73&amp;""),"")</f>
        <v/>
      </c>
      <c r="Y73" s="176" t="str">
        <f t="array" aca="1" ref="Y73" ca="1">IF($R73&lt;&gt;"",
INDIRECT(""&amp;IF(COLUMN(J73)&lt;=26,CHAR(COLUMN(J73)+64),CHAR(INT((COLUMN(J73)-1)/26)+64)&amp;CHAR(MOD(COLUMN(J73)-1,26)+65))&amp;$R73&amp;""),"")</f>
        <v/>
      </c>
      <c r="Z73" s="176" t="str">
        <f t="shared" ca="1" si="35"/>
        <v/>
      </c>
      <c r="AA73" s="176" t="str">
        <f t="shared" ca="1" si="36"/>
        <v/>
      </c>
      <c r="AB73" s="176" t="str">
        <f t="array" aca="1" ref="AB73" ca="1">IF($R73&lt;&gt;"",
IF(AND(COUNTIF(INDIRECT("B"&amp;R73&amp;""),"*雙葉*"),COUNTIF(INDIRECT("B"&amp;R73&amp;""),"&lt;&gt;*先生*"),COUNTIF(B:B,"*雙葉*")&gt;=2),
INDIRECT("M"&amp;R73&amp;"")+INDIRECT("M"&amp;MATCH("雙葉'",INDIRECT("B"&amp;R73+1&amp;":B210"),0)+R73&amp;""),
IF(AND(LEFT(INDIRECT("B"&amp;R73&amp;""),2)="博多",COUNTIF(B:B,"*博多*")&gt;=2),
INDIRECT("M"&amp;R73&amp;"")+INDIRECT("M"&amp;MATCH("*"&amp;INDIRECT("B"&amp;R73&amp;"")&amp;"*",INDIRECT("B"&amp;R73+1&amp;":B210"),0)+R73&amp;""),
IF(AND(LEFT(INDIRECT("B"&amp;R73&amp;""),3)="奈良屋",COUNTIF(B:B,"*奈良屋*")&gt;=2),
INDIRECT("M"&amp;R73&amp;"")+INDIRECT("M"&amp;MATCH("*"&amp;INDIRECT("B"&amp;R73&amp;"")&amp;"*",INDIRECT("B"&amp;R73+1&amp;":B210"),0)+R73&amp;"")
+INDIRECT("M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,
INDIRECT("M"&amp;R73&amp;"")))),"")</f>
        <v/>
      </c>
      <c r="AC73" s="176" t="str">
        <f t="shared" ca="1" si="37"/>
        <v/>
      </c>
      <c r="AD73" s="176" t="str">
        <f t="shared" ca="1" si="38"/>
        <v/>
      </c>
      <c r="AE73" s="176" t="str">
        <f t="shared" ca="1" si="39"/>
        <v/>
      </c>
      <c r="AF73" s="176" t="str">
        <f t="shared" ca="1" si="40"/>
        <v/>
      </c>
      <c r="AG73" s="176" t="str">
        <f t="shared" ca="1" si="41"/>
        <v/>
      </c>
      <c r="AH73" s="183" t="str">
        <f t="shared" ca="1" si="42"/>
        <v/>
      </c>
      <c r="AI73" s="176" t="str">
        <f t="shared" ca="1" si="43"/>
        <v/>
      </c>
      <c r="AJ73" s="176" t="str">
        <f t="shared" ca="1" si="44"/>
        <v/>
      </c>
      <c r="AK73" s="176" t="str">
        <f t="shared" ca="1" si="45"/>
        <v/>
      </c>
      <c r="AL73" s="176" t="str">
        <f t="shared" ca="1" si="46"/>
        <v/>
      </c>
      <c r="AM73" s="176" t="str">
        <f t="shared" ca="1" si="47"/>
        <v/>
      </c>
      <c r="AN73" s="176" t="str">
        <f t="shared" ca="1" si="48"/>
        <v/>
      </c>
      <c r="AO73" s="176" t="str">
        <f t="shared" ca="1" si="49"/>
        <v/>
      </c>
      <c r="AP73" s="176" t="str">
        <f t="shared" ca="1" si="50"/>
        <v/>
      </c>
      <c r="AU73" s="176" t="str">
        <f t="shared" ca="1" si="51"/>
        <v/>
      </c>
    </row>
    <row r="74" spans="1:54" ht="19.2" customHeight="1">
      <c r="A74" s="103">
        <f t="shared" si="57"/>
        <v>13</v>
      </c>
      <c r="B74" s="104" t="str">
        <f t="shared" ca="1" si="55"/>
        <v/>
      </c>
      <c r="C74" s="104" t="str">
        <f>IF(OR(クライアント抽出!C4&lt;&gt;"",クライアント抽出!F4&lt;&gt;""),クライアント抽出!A4,"")</f>
        <v/>
      </c>
      <c r="D74" s="104" t="str">
        <f t="array" aca="1" ref="D74" ca="1">IF(C74&lt;&gt;"",INDIRECT("クライアント抽出!"&amp;E74&amp;MATCH(C74,クライアント抽出!A:A,0)&amp;""),"")</f>
        <v/>
      </c>
      <c r="E74" s="104" t="str">
        <f>IF(H74&lt;&gt;0,
IFERROR(
SUBSTITUTE(ADDRESS(1,
MATCH(VALUE(H74),クライアント抽出!A4:G4,0)+8,4),"1",""),
""),
IFERROR(
SUBSTITUTE(ADDRESS(1,
MATCH(VALUE(I74),クライアント抽出!A4:G4,0)+8,4),"1",""),
""))</f>
        <v/>
      </c>
      <c r="F74" s="186" t="str">
        <f ca="1">IF(D74&lt;&gt;"",
IF(COUNTIF(C74,"*雙葉*"),
IF(ROUND((H74-M74)
/IF(COUNTIF(D74,"*キャラ*"),
VLOOKUP("*キャラ*",商品マスタ!$D:$E,2,FALSE),
IF(COUNTIF(D74,"*赤*"),
VLOOKUP("*赤*",商品マスタ!$D:$E,2,FALSE),
VLOOKUP("*"&amp;D74&amp;"*",商品マスタ!$D:$E,2,FALSE))),0)&lt;=0,1,
ROUND((H74-M74)
/IF(COUNTIF(D74,"*キャラ*"),
VLOOKUP("*キャラ*",商品マスタ!$D:$E,2,FALSE),
IF(COUNTIF(D74,"*赤*"),
VLOOKUP("*赤*",商品マスタ!$D:$E,2,FALSE),
VLOOKUP("*"&amp;D74&amp;"*",商品マスタ!$D:$E,2,FALSE))),0)),
IF(OR(COUNTIF(D74,"*キャラ*"),COUNTIF(D74,"*赤*")),"",
IF(VLOOKUP("*"&amp;D74&amp;"*",商品マスタ!$D:$E,2,FALSE)=0,"",
IF(ROUND((H74-M74)
/VLOOKUP("*"&amp;D74&amp;"*",商品マスタ!$D:$E,2,FALSE),0)&lt;=0,1,
ROUND((H74-M74)
/VLOOKUP("*"&amp;D74&amp;"*",商品マスタ!$D:$E,2,FALSE),0))))),"")</f>
        <v/>
      </c>
      <c r="G74" s="104" t="str">
        <f ca="1">IF(F74&lt;&gt;"",
IF(VALUE(H74-M74)&gt;VALUE(IF(COUNTIF(D74,"*キャラ*"),
VLOOKUP("*キャラ*",商品マスタ!$D:$E,2,FALSE),
IF(COUNTIF(D74,"*赤*"),
VLOOKUP("*赤*",商品マスタ!$D:$E,2,FALSE),
VLOOKUP("*"&amp;D74&amp;"*",商品マスタ!$D:$E,2,FALSE)))*F74),
"+"&amp;(H74-M74)-IF(COUNTIF(D74,"*キャラ*"),
VLOOKUP("*キャラ*",商品マスタ!$D:$E,2,FALSE),
IF(COUNTIF(D74,"*赤*"),
VLOOKUP("*赤*",商品マスタ!$D:$E,2,FALSE),
VLOOKUP("*"&amp;D74&amp;"*",商品マスタ!$D:$E,2,FALSE)))*F74,
(H74-M74)-IF(COUNTIF(D74,"*キャラ*"),
VLOOKUP("*キャラ*",商品マスタ!$D:$E,2,FALSE),
IF(COUNTIF(D74,"*赤*"),
VLOOKUP("*赤*",商品マスタ!$D:$E,2,FALSE),
VLOOKUP("*"&amp;D74&amp;"*",商品マスタ!$D:$E,2,FALSE)))*F74),"")</f>
        <v/>
      </c>
      <c r="H74" s="105" t="str">
        <f>IF(C74&lt;&gt;"",
クライアント抽出!C4,"")</f>
        <v/>
      </c>
      <c r="I74" s="104" t="str">
        <f t="array" aca="1" ref="I74" ca="1">IF(C74&lt;&gt;"",
IF(O74=1,
IF(SUMPRODUCT(COUNTIF(クライアント抽出!P4:U4,クライアント抽出!P4:U4))&gt;COUNTA(クライアント抽出!P4:U4),
IFERROR(INDIRECT("数出表_Excel!"&amp;INDEX(_xlfn.UNIQUE(_xlfn._xlws.FILTER(クライアント抽出!P4:U4,COUNTIF(クライアント抽出!P4:U4,クライアント抽出!P4:U4)&gt;1)),1)&amp;L4&amp;""),
クライアント抽出!E4),0),クライアント抽出!F4),"")</f>
        <v/>
      </c>
      <c r="J74" s="104" t="str">
        <f>IF(C74&lt;&gt;"",
VLOOKUP(
"*"&amp;LEFT(IF(COUNTIF(D74,"*学食*"),"キャラ弁（学食）",
IF(COUNTIF(D74,"*赤*"),"赤",
IF(COUNTIF(D74,"*キャラ弁当*"),"キャラ弁当",D74))),4)&amp;"*",注文弁当の抽出!$F$1:$G$15,2,FALSE),"")</f>
        <v/>
      </c>
      <c r="K74" s="104" t="str">
        <f ca="1">IF(クライアント抽出!Q4&lt;&gt;"",SUBSTITUTE(ADDRESS(1,(CODE(クライアント抽出!Q4)-64)*2-1,4),"1",""),"")</f>
        <v/>
      </c>
      <c r="L74" s="104" t="str">
        <f>IF(C4&lt;&gt;"",クライアント抽出!I4,"")</f>
        <v/>
      </c>
      <c r="M74" s="104">
        <f t="array" aca="1" ref="M74" ca="1">IF(C74&lt;&gt;"",
IF(K74&lt;&gt;"",INDIRECT("'数出表_Excel（アレルギー入力）'!"&amp;K74&amp;L74-1&amp;""),),)</f>
        <v>0</v>
      </c>
      <c r="N74" s="104" t="str">
        <f>IF(C74&lt;&gt;"",IF(OR(COUNTIF('盛付札（関数）'!D74,"*赤*"),COUNTIF('盛付札（関数）'!D74,"*キャラ*")),1,
VALUE(VLOOKUP("*"&amp;D74&amp;"*",商品マスタ!D:H,5,FALSE))),"")</f>
        <v/>
      </c>
      <c r="O74" s="104">
        <f t="shared" ca="1" si="56"/>
        <v>0</v>
      </c>
      <c r="P74" s="104">
        <f t="shared" si="33"/>
        <v>0</v>
      </c>
      <c r="Q74" s="104" t="b">
        <f t="shared" si="34"/>
        <v>0</v>
      </c>
      <c r="R74" s="176" t="str">
        <f t="array" aca="1" ref="R74" ca="1">IFERROR(SMALL(IF(P$1:P$311&lt;&gt;0,P$1:P$311),ROW(A74)),"")</f>
        <v/>
      </c>
      <c r="S74" s="176"/>
      <c r="T74" s="176" t="str">
        <f t="array" aca="1" ref="T74" ca="1">IF(IF($R74&lt;&gt;"",
INDIRECT(""&amp;IF(COLUMN(D74)&lt;=26,CHAR(COLUMN(D74)+64),CHAR(INT((COLUMN(D74)-1)/26)+64)&amp;CHAR(MOD(COLUMN(D74)-1,26)+65))&amp;$R74&amp;""),"")=0,"",
IF($R74&lt;&gt;"",
INDIRECT(""&amp;IF(COLUMN(D74)&lt;=26,CHAR(COLUMN(D74)+64),CHAR(INT((COLUMN(D74)-1)/26)+64)&amp;CHAR(MOD(COLUMN(D74)-1,26)+65))&amp;$R74&amp;""),""))</f>
        <v/>
      </c>
      <c r="U74" s="218" t="str">
        <f t="array" aca="1" ref="U74" ca="1">IF($R74&lt;&gt;"",
INDIRECT("F"&amp;$R74&amp;""),"")</f>
        <v/>
      </c>
      <c r="V74" s="219" t="str">
        <f t="array" aca="1" ref="V74" ca="1">IF($R74&lt;&gt;"",
INDIRECT("G"&amp;$R74&amp;""),"")</f>
        <v/>
      </c>
      <c r="W74" s="219" t="str" cm="1">
        <f t="array" aca="1" ref="W74" ca="1">IF($R74&lt;&gt;"",
IF(AND(COUNTIF(INDIRECT("B"&amp;R74&amp;""),"*雙葉*"),COUNTIF($B$71:$B$210,"*雙葉*")&gt;=1),
IF(OR(COUNTIF(INDIRECT("B"&amp;R74&amp;""),"*雙葉先生*"),COUNTIF(INDIRECT("B"&amp;R74-1&amp;""),"*雙葉*")),INDIRECT("H"&amp;R74&amp;""),INDIRECT("H"&amp;R74&amp;"")+INDIRECT("H"&amp;MATCH("雙葉'",INDIRECT("B"&amp;R74+3&amp;":B210"),0)+2+R74&amp;"")),
IF(AND(LEFT(INDIRECT("B"&amp;R74&amp;""),2)="博多",COUNTIF(B:B,"*博多*")&gt;=2),
INDIRECT("H"&amp;R74&amp;"")+IFERROR(INDIRECT("H"&amp;MATCH("*"&amp;INDIRECT("B"&amp;R74&amp;"")&amp;"*",INDIRECT("B"&amp;R74+1&amp;":B210"),0)+R74&amp;""),0),
IF(AND(LEFT(INDIRECT("B"&amp;R74&amp;""),3)="奈良屋",COUNTIF(B:B,"*奈良屋*")&gt;=2),
INDIRECT("H"&amp;R74&amp;"")
+INDIRECT("H"&amp;MATCH("*"&amp;INDIRECT("B"&amp;R74&amp;"")&amp;"*",INDIRECT("B"&amp;R74+1&amp;":B210"),0)+R74&amp;"")
+INDIRECT("H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
+INDIRECT("H"&amp;MATCH("*"&amp;INDIRECT("B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&amp;"*",INDIRECT("B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+1&amp;":B210"),0)+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,
INDIRECT("H"&amp;R74&amp;"")))),"")</f>
        <v/>
      </c>
      <c r="X74" s="176" t="str">
        <f t="array" aca="1" ref="X74" ca="1">IF($R74&lt;&gt;"",
INDIRECT(""&amp;IF(COLUMN(I74)&lt;=26,CHAR(COLUMN(I74)+64),CHAR(INT((COLUMN(I74)-1)/26)+64)&amp;CHAR(MOD(COLUMN(I74)-1,26)+65))&amp;$R74&amp;""),"")</f>
        <v/>
      </c>
      <c r="Y74" s="176" t="str">
        <f t="array" aca="1" ref="Y74" ca="1">IF($R74&lt;&gt;"",
INDIRECT(""&amp;IF(COLUMN(J74)&lt;=26,CHAR(COLUMN(J74)+64),CHAR(INT((COLUMN(J74)-1)/26)+64)&amp;CHAR(MOD(COLUMN(J74)-1,26)+65))&amp;$R74&amp;""),"")</f>
        <v/>
      </c>
      <c r="Z74" s="176" t="str">
        <f t="shared" ca="1" si="35"/>
        <v/>
      </c>
      <c r="AA74" s="176" t="str">
        <f t="shared" ca="1" si="36"/>
        <v/>
      </c>
      <c r="AB74" s="176" t="str">
        <f t="array" aca="1" ref="AB74" ca="1">IF($R74&lt;&gt;"",
IF(AND(COUNTIF(INDIRECT("B"&amp;R74&amp;""),"*雙葉*"),COUNTIF(INDIRECT("B"&amp;R74&amp;""),"&lt;&gt;*先生*"),COUNTIF(B:B,"*雙葉*")&gt;=2),
INDIRECT("M"&amp;R74&amp;"")+INDIRECT("M"&amp;MATCH("雙葉'",INDIRECT("B"&amp;R74+1&amp;":B210"),0)+R74&amp;""),
IF(AND(LEFT(INDIRECT("B"&amp;R74&amp;""),2)="博多",COUNTIF(B:B,"*博多*")&gt;=2),
INDIRECT("M"&amp;R74&amp;"")+INDIRECT("M"&amp;MATCH("*"&amp;INDIRECT("B"&amp;R74&amp;"")&amp;"*",INDIRECT("B"&amp;R74+1&amp;":B210"),0)+R74&amp;""),
IF(AND(LEFT(INDIRECT("B"&amp;R74&amp;""),3)="奈良屋",COUNTIF(B:B,"*奈良屋*")&gt;=2),
INDIRECT("M"&amp;R74&amp;"")+INDIRECT("M"&amp;MATCH("*"&amp;INDIRECT("B"&amp;R74&amp;"")&amp;"*",INDIRECT("B"&amp;R74+1&amp;":B210"),0)+R74&amp;"")
+INDIRECT("M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,
INDIRECT("M"&amp;R74&amp;"")))),"")</f>
        <v/>
      </c>
      <c r="AC74" s="176" t="str">
        <f t="shared" si="37"/>
        <v/>
      </c>
      <c r="AD74" s="176" t="str">
        <f t="shared" ca="1" si="38"/>
        <v/>
      </c>
      <c r="AE74" s="176" t="str">
        <f t="shared" ca="1" si="39"/>
        <v/>
      </c>
      <c r="AF74" s="176" t="str">
        <f t="shared" ca="1" si="40"/>
        <v/>
      </c>
      <c r="AG74" s="176" t="str">
        <f t="shared" ca="1" si="41"/>
        <v/>
      </c>
      <c r="AH74" s="183" t="str">
        <f t="shared" ca="1" si="42"/>
        <v/>
      </c>
      <c r="AI74" s="176" t="str">
        <f t="shared" ca="1" si="43"/>
        <v/>
      </c>
      <c r="AJ74" s="176" t="str">
        <f t="shared" ca="1" si="44"/>
        <v/>
      </c>
      <c r="AK74" s="176" t="str">
        <f t="shared" ca="1" si="45"/>
        <v/>
      </c>
      <c r="AL74" s="176" t="str">
        <f t="shared" ca="1" si="46"/>
        <v/>
      </c>
      <c r="AM74" s="176" t="str">
        <f t="shared" ca="1" si="47"/>
        <v/>
      </c>
      <c r="AN74" s="176" t="str">
        <f t="shared" ca="1" si="48"/>
        <v/>
      </c>
      <c r="AO74" s="176" t="str">
        <f t="shared" ca="1" si="49"/>
        <v/>
      </c>
      <c r="AP74" s="176" t="str">
        <f t="shared" ca="1" si="50"/>
        <v/>
      </c>
      <c r="AU74" s="176" t="str">
        <f t="shared" ca="1" si="51"/>
        <v/>
      </c>
    </row>
    <row r="75" spans="1:54" ht="22.2" customHeight="1">
      <c r="A75" s="103">
        <f t="shared" si="57"/>
        <v>15</v>
      </c>
      <c r="B75" s="104" t="str">
        <f t="shared" ca="1" si="55"/>
        <v/>
      </c>
      <c r="C75" s="104" t="str">
        <f>IF(OR(クライアント抽出!C5&lt;&gt;"",クライアント抽出!F5&lt;&gt;""),クライアント抽出!A5,"")</f>
        <v/>
      </c>
      <c r="D75" s="104" t="str">
        <f t="array" aca="1" ref="D75" ca="1">IF(C75&lt;&gt;"",INDIRECT("クライアント抽出!"&amp;E75&amp;MATCH(C75,クライアント抽出!A:A,0)&amp;""),"")</f>
        <v/>
      </c>
      <c r="E75" s="104" t="str">
        <f>IF(H75&lt;&gt;0,
IFERROR(
SUBSTITUTE(ADDRESS(1,
MATCH(VALUE(H75),クライアント抽出!A5:G5,0)+8,4),"1",""),
""),
IFERROR(
SUBSTITUTE(ADDRESS(1,
MATCH(VALUE(I75),クライアント抽出!A5:G5,0)+8,4),"1",""),
""))</f>
        <v/>
      </c>
      <c r="F75" s="186" t="str">
        <f ca="1">IF(D75&lt;&gt;"",
IF(COUNTIF(C75,"*雙葉*"),
IF(ROUND((H75-M75)
/IF(COUNTIF(D75,"*キャラ*"),
VLOOKUP("*キャラ*",商品マスタ!$D:$E,2,FALSE),
IF(COUNTIF(D75,"*赤*"),
VLOOKUP("*赤*",商品マスタ!$D:$E,2,FALSE),
VLOOKUP("*"&amp;D75&amp;"*",商品マスタ!$D:$E,2,FALSE))),0)&lt;=0,1,
ROUND((H75-M75)
/IF(COUNTIF(D75,"*キャラ*"),
VLOOKUP("*キャラ*",商品マスタ!$D:$E,2,FALSE),
IF(COUNTIF(D75,"*赤*"),
VLOOKUP("*赤*",商品マスタ!$D:$E,2,FALSE),
VLOOKUP("*"&amp;D75&amp;"*",商品マスタ!$D:$E,2,FALSE))),0)),
IF(OR(COUNTIF(D75,"*キャラ*"),COUNTIF(D75,"*赤*")),"",
IF(VLOOKUP("*"&amp;D75&amp;"*",商品マスタ!$D:$E,2,FALSE)=0,"",
IF(ROUND((H75-M75)
/VLOOKUP("*"&amp;D75&amp;"*",商品マスタ!$D:$E,2,FALSE),0)&lt;=0,1,
ROUND((H75-M75)
/VLOOKUP("*"&amp;D75&amp;"*",商品マスタ!$D:$E,2,FALSE),0))))),"")</f>
        <v/>
      </c>
      <c r="G75" s="104" t="str">
        <f ca="1">IF(F75&lt;&gt;"",
IF(VALUE(H75-M75)&gt;VALUE(IF(COUNTIF(D75,"*キャラ*"),
VLOOKUP("*キャラ*",商品マスタ!$D:$E,2,FALSE),
IF(COUNTIF(D75,"*赤*"),
VLOOKUP("*赤*",商品マスタ!$D:$E,2,FALSE),
VLOOKUP("*"&amp;D75&amp;"*",商品マスタ!$D:$E,2,FALSE)))*F75),
"+"&amp;(H75-M75)-IF(COUNTIF(D75,"*キャラ*"),
VLOOKUP("*キャラ*",商品マスタ!$D:$E,2,FALSE),
IF(COUNTIF(D75,"*赤*"),
VLOOKUP("*赤*",商品マスタ!$D:$E,2,FALSE),
VLOOKUP("*"&amp;D75&amp;"*",商品マスタ!$D:$E,2,FALSE)))*F75,
(H75-M75)-IF(COUNTIF(D75,"*キャラ*"),
VLOOKUP("*キャラ*",商品マスタ!$D:$E,2,FALSE),
IF(COUNTIF(D75,"*赤*"),
VLOOKUP("*赤*",商品マスタ!$D:$E,2,FALSE),
VLOOKUP("*"&amp;D75&amp;"*",商品マスタ!$D:$E,2,FALSE)))*F75),"")</f>
        <v/>
      </c>
      <c r="H75" s="105" t="str">
        <f>IF(C75&lt;&gt;"",
クライアント抽出!C5,"")</f>
        <v/>
      </c>
      <c r="I75" s="104" t="str">
        <f t="array" aca="1" ref="I75" ca="1">IF(C75&lt;&gt;"",
IF(O75=1,
IF(SUMPRODUCT(COUNTIF(クライアント抽出!P5:U5,クライアント抽出!P5:U5))&gt;COUNTA(クライアント抽出!P5:U5),
IFERROR(INDIRECT("数出表_Excel!"&amp;INDEX(_xlfn.UNIQUE(_xlfn._xlws.FILTER(クライアント抽出!P5:U5,COUNTIF(クライアント抽出!P5:U5,クライアント抽出!P5:U5)&gt;1)),1)&amp;L5&amp;""),
クライアント抽出!E5),0),クライアント抽出!F5),"")</f>
        <v/>
      </c>
      <c r="J75" s="104" t="str">
        <f>IF(C75&lt;&gt;"",
VLOOKUP(
"*"&amp;LEFT(IF(COUNTIF(D75,"*学食*"),"キャラ弁（学食）",
IF(COUNTIF(D75,"*赤*"),"赤",
IF(COUNTIF(D75,"*キャラ弁当*"),"キャラ弁当",D75))),4)&amp;"*",注文弁当の抽出!$F$1:$G$15,2,FALSE),"")</f>
        <v/>
      </c>
      <c r="K75" s="104" t="str">
        <f ca="1">IF(クライアント抽出!Q5&lt;&gt;"",SUBSTITUTE(ADDRESS(1,(CODE(クライアント抽出!Q5)-64)*2-1,4),"1",""),"")</f>
        <v/>
      </c>
      <c r="L75" s="104" t="str">
        <f>IF(C5&lt;&gt;"",クライアント抽出!I5,"")</f>
        <v/>
      </c>
      <c r="M75" s="104">
        <f t="array" aca="1" ref="M75" ca="1">IF(C75&lt;&gt;"",
IF(K75&lt;&gt;"",INDIRECT("'数出表_Excel（アレルギー入力）'!"&amp;K75&amp;L75-1&amp;""),),)</f>
        <v>0</v>
      </c>
      <c r="N75" s="104" t="str">
        <f>IF(C75&lt;&gt;"",IF(OR(COUNTIF('盛付札（関数）'!D75,"*赤*"),COUNTIF('盛付札（関数）'!D75,"*キャラ*")),1,
VALUE(VLOOKUP("*"&amp;D75&amp;"*",商品マスタ!D:H,5,FALSE))),"")</f>
        <v/>
      </c>
      <c r="O75" s="104">
        <f t="shared" ca="1" si="56"/>
        <v>0</v>
      </c>
      <c r="P75" s="104">
        <f t="shared" si="33"/>
        <v>0</v>
      </c>
      <c r="Q75" s="104" t="b">
        <f t="shared" si="34"/>
        <v>0</v>
      </c>
      <c r="R75" s="176" t="str">
        <f t="array" aca="1" ref="R75" ca="1">IFERROR(SMALL(IF(P$1:P$311&lt;&gt;0,P$1:P$311),ROW(A75)),"")</f>
        <v/>
      </c>
      <c r="S75" s="176" t="str">
        <f t="array" aca="1" ref="S75" ca="1">IF($R75&lt;&gt;"",
SUBSTITUTE(SUBSTITUTE(INDIRECT("C"&amp;$R75&amp;"")," 週3ｺｰｽ","")," 週5ｺｰｽ",""),"")</f>
        <v/>
      </c>
      <c r="T75" s="176" t="str">
        <f t="array" aca="1" ref="T75" ca="1">IF(IF($R75&lt;&gt;"",
INDIRECT(""&amp;IF(COLUMN(D75)&lt;=26,CHAR(COLUMN(D75)+64),CHAR(INT((COLUMN(D75)-1)/26)+64)&amp;CHAR(MOD(COLUMN(D75)-1,26)+65))&amp;$R75&amp;""),"")=0,"",
IF($R75&lt;&gt;"",
INDIRECT(""&amp;IF(COLUMN(D75)&lt;=26,CHAR(COLUMN(D75)+64),CHAR(INT((COLUMN(D75)-1)/26)+64)&amp;CHAR(MOD(COLUMN(D75)-1,26)+65))&amp;$R75&amp;""),""))</f>
        <v/>
      </c>
      <c r="U75" s="218" t="str">
        <f t="array" aca="1" ref="U75" ca="1">IF($R75&lt;&gt;"",
INDIRECT("F"&amp;$R75&amp;""),"")</f>
        <v/>
      </c>
      <c r="V75" s="219" t="str">
        <f t="array" aca="1" ref="V75" ca="1">IF($R75&lt;&gt;"",
INDIRECT("G"&amp;$R75&amp;""),"")</f>
        <v/>
      </c>
      <c r="W75" s="219" t="str" cm="1">
        <f t="array" aca="1" ref="W75" ca="1">IF($R75&lt;&gt;"",
IF(AND(COUNTIF(INDIRECT("B"&amp;R75&amp;""),"*雙葉*"),COUNTIF($B$71:$B$210,"*雙葉*")&gt;=1),
IF(OR(COUNTIF(INDIRECT("B"&amp;R75&amp;""),"*雙葉先生*"),COUNTIF(INDIRECT("B"&amp;R75-1&amp;""),"*雙葉*")),INDIRECT("H"&amp;R75&amp;""),INDIRECT("H"&amp;R75&amp;"")+INDIRECT("H"&amp;MATCH("雙葉'",INDIRECT("B"&amp;R75+3&amp;":B210"),0)+2+R75&amp;"")),
IF(AND(LEFT(INDIRECT("B"&amp;R75&amp;""),2)="博多",COUNTIF(B:B,"*博多*")&gt;=2),
INDIRECT("H"&amp;R75&amp;"")+IFERROR(INDIRECT("H"&amp;MATCH("*"&amp;INDIRECT("B"&amp;R75&amp;"")&amp;"*",INDIRECT("B"&amp;R75+1&amp;":B210"),0)+R75&amp;""),0),
IF(AND(LEFT(INDIRECT("B"&amp;R75&amp;""),3)="奈良屋",COUNTIF(B:B,"*奈良屋*")&gt;=2),
INDIRECT("H"&amp;R75&amp;"")
+INDIRECT("H"&amp;MATCH("*"&amp;INDIRECT("B"&amp;R75&amp;"")&amp;"*",INDIRECT("B"&amp;R75+1&amp;":B210"),0)+R75&amp;"")
+INDIRECT("H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
+INDIRECT("H"&amp;MATCH("*"&amp;INDIRECT("B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&amp;"*",INDIRECT("B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+1&amp;":B210"),0)+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,
INDIRECT("H"&amp;R75&amp;"")))),"")</f>
        <v/>
      </c>
      <c r="X75" s="176" t="str">
        <f t="array" aca="1" ref="X75" ca="1">IF($R75&lt;&gt;"",
INDIRECT(""&amp;IF(COLUMN(I75)&lt;=26,CHAR(COLUMN(I75)+64),CHAR(INT((COLUMN(I75)-1)/26)+64)&amp;CHAR(MOD(COLUMN(I75)-1,26)+65))&amp;$R75&amp;""),"")</f>
        <v/>
      </c>
      <c r="Y75" s="176" t="str">
        <f t="array" aca="1" ref="Y75" ca="1">IF($R75&lt;&gt;"",
INDIRECT(""&amp;IF(COLUMN(J75)&lt;=26,CHAR(COLUMN(J75)+64),CHAR(INT((COLUMN(J75)-1)/26)+64)&amp;CHAR(MOD(COLUMN(J75)-1,26)+65))&amp;$R75&amp;""),"")</f>
        <v/>
      </c>
      <c r="Z75" s="176" t="str">
        <f t="shared" ca="1" si="35"/>
        <v/>
      </c>
      <c r="AA75" s="176" t="str">
        <f t="shared" ca="1" si="36"/>
        <v/>
      </c>
      <c r="AB75" s="176" t="str">
        <f t="array" aca="1" ref="AB75" ca="1">IF($R75&lt;&gt;"",
IF(AND(COUNTIF(INDIRECT("B"&amp;R75&amp;""),"*雙葉*"),COUNTIF(INDIRECT("B"&amp;R75&amp;""),"&lt;&gt;*先生*"),COUNTIF(B:B,"*雙葉*")&gt;=2),
INDIRECT("M"&amp;R75&amp;"")+INDIRECT("M"&amp;MATCH("雙葉'",INDIRECT("B"&amp;R75+1&amp;":B210"),0)+R75&amp;""),
IF(AND(LEFT(INDIRECT("B"&amp;R75&amp;""),2)="博多",COUNTIF(B:B,"*博多*")&gt;=2),
INDIRECT("M"&amp;R75&amp;"")+INDIRECT("M"&amp;MATCH("*"&amp;INDIRECT("B"&amp;R75&amp;"")&amp;"*",INDIRECT("B"&amp;R75+1&amp;":B210"),0)+R75&amp;""),
IF(AND(LEFT(INDIRECT("B"&amp;R75&amp;""),3)="奈良屋",COUNTIF(B:B,"*奈良屋*")&gt;=2),
INDIRECT("M"&amp;R75&amp;"")+INDIRECT("M"&amp;MATCH("*"&amp;INDIRECT("B"&amp;R75&amp;"")&amp;"*",INDIRECT("B"&amp;R75+1&amp;":B210"),0)+R75&amp;"")
+INDIRECT("M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,
INDIRECT("M"&amp;R75&amp;"")))),"")</f>
        <v/>
      </c>
      <c r="AC75" s="176" t="str">
        <f t="shared" ca="1" si="37"/>
        <v/>
      </c>
      <c r="AD75" s="176" t="str">
        <f t="shared" ca="1" si="38"/>
        <v/>
      </c>
      <c r="AE75" s="176" t="str">
        <f t="shared" ca="1" si="39"/>
        <v/>
      </c>
      <c r="AF75" s="176" t="str">
        <f t="shared" ca="1" si="40"/>
        <v/>
      </c>
      <c r="AG75" s="176" t="str">
        <f t="shared" ca="1" si="41"/>
        <v/>
      </c>
      <c r="AH75" s="183" t="str">
        <f t="shared" ca="1" si="42"/>
        <v/>
      </c>
      <c r="AI75" s="176" t="str">
        <f t="shared" ca="1" si="43"/>
        <v/>
      </c>
      <c r="AJ75" s="176" t="str">
        <f t="shared" ca="1" si="44"/>
        <v/>
      </c>
      <c r="AK75" s="176" t="str">
        <f t="shared" ca="1" si="45"/>
        <v/>
      </c>
      <c r="AL75" s="176" t="str">
        <f t="shared" ca="1" si="46"/>
        <v/>
      </c>
      <c r="AM75" s="176" t="str">
        <f t="shared" ca="1" si="47"/>
        <v/>
      </c>
      <c r="AN75" s="176" t="str">
        <f t="shared" ca="1" si="48"/>
        <v/>
      </c>
      <c r="AO75" s="176" t="str">
        <f t="shared" ca="1" si="49"/>
        <v/>
      </c>
      <c r="AP75" s="176" t="str">
        <f t="shared" ca="1" si="50"/>
        <v/>
      </c>
      <c r="AU75" s="176" t="str">
        <f t="shared" ca="1" si="51"/>
        <v/>
      </c>
    </row>
    <row r="76" spans="1:54" ht="18" customHeight="1">
      <c r="A76" s="103">
        <f t="shared" si="57"/>
        <v>17</v>
      </c>
      <c r="B76" s="104" t="str">
        <f t="shared" ca="1" si="55"/>
        <v/>
      </c>
      <c r="C76" s="104" t="str">
        <f>IF(OR(クライアント抽出!C6&lt;&gt;"",クライアント抽出!F6&lt;&gt;""),クライアント抽出!A6,"")</f>
        <v/>
      </c>
      <c r="D76" s="104" t="str">
        <f t="array" aca="1" ref="D76" ca="1">IF(C76&lt;&gt;"",INDIRECT("クライアント抽出!"&amp;E76&amp;MATCH(C76,クライアント抽出!A:A,0)&amp;""),"")</f>
        <v/>
      </c>
      <c r="E76" s="104" t="str">
        <f>IF(H76&lt;&gt;0,
IFERROR(
SUBSTITUTE(ADDRESS(1,
MATCH(VALUE(H76),クライアント抽出!A6:G6,0)+8,4),"1",""),
""),
IFERROR(
SUBSTITUTE(ADDRESS(1,
MATCH(VALUE(I76),クライアント抽出!A6:G6,0)+8,4),"1",""),
""))</f>
        <v/>
      </c>
      <c r="F76" s="186" t="str">
        <f ca="1">IF(D76&lt;&gt;"",
IF(COUNTIF(C76,"*雙葉*"),
IF(ROUND((H76-M76)
/IF(COUNTIF(D76,"*キャラ*"),
VLOOKUP("*キャラ*",商品マスタ!$D:$E,2,FALSE),
IF(COUNTIF(D76,"*赤*"),
VLOOKUP("*赤*",商品マスタ!$D:$E,2,FALSE),
VLOOKUP("*"&amp;D76&amp;"*",商品マスタ!$D:$E,2,FALSE))),0)&lt;=0,1,
ROUND((H76-M76)
/IF(COUNTIF(D76,"*キャラ*"),
VLOOKUP("*キャラ*",商品マスタ!$D:$E,2,FALSE),
IF(COUNTIF(D76,"*赤*"),
VLOOKUP("*赤*",商品マスタ!$D:$E,2,FALSE),
VLOOKUP("*"&amp;D76&amp;"*",商品マスタ!$D:$E,2,FALSE))),0)),
IF(OR(COUNTIF(D76,"*キャラ*"),COUNTIF(D76,"*赤*")),"",
IF(VLOOKUP("*"&amp;D76&amp;"*",商品マスタ!$D:$E,2,FALSE)=0,"",
IF(ROUND((H76-M76)
/VLOOKUP("*"&amp;D76&amp;"*",商品マスタ!$D:$E,2,FALSE),0)&lt;=0,1,
ROUND((H76-M76)
/VLOOKUP("*"&amp;D76&amp;"*",商品マスタ!$D:$E,2,FALSE),0))))),"")</f>
        <v/>
      </c>
      <c r="G76" s="104" t="str">
        <f ca="1">IF(F76&lt;&gt;"",
IF(VALUE(H76-M76)&gt;VALUE(IF(COUNTIF(D76,"*キャラ*"),
VLOOKUP("*キャラ*",商品マスタ!$D:$E,2,FALSE),
IF(COUNTIF(D76,"*赤*"),
VLOOKUP("*赤*",商品マスタ!$D:$E,2,FALSE),
VLOOKUP("*"&amp;D76&amp;"*",商品マスタ!$D:$E,2,FALSE)))*F76),
"+"&amp;(H76-M76)-IF(COUNTIF(D76,"*キャラ*"),
VLOOKUP("*キャラ*",商品マスタ!$D:$E,2,FALSE),
IF(COUNTIF(D76,"*赤*"),
VLOOKUP("*赤*",商品マスタ!$D:$E,2,FALSE),
VLOOKUP("*"&amp;D76&amp;"*",商品マスタ!$D:$E,2,FALSE)))*F76,
(H76-M76)-IF(COUNTIF(D76,"*キャラ*"),
VLOOKUP("*キャラ*",商品マスタ!$D:$E,2,FALSE),
IF(COUNTIF(D76,"*赤*"),
VLOOKUP("*赤*",商品マスタ!$D:$E,2,FALSE),
VLOOKUP("*"&amp;D76&amp;"*",商品マスタ!$D:$E,2,FALSE)))*F76),"")</f>
        <v/>
      </c>
      <c r="H76" s="105" t="str">
        <f>IF(C76&lt;&gt;"",
クライアント抽出!C6,"")</f>
        <v/>
      </c>
      <c r="I76" s="104" t="str">
        <f t="array" aca="1" ref="I76" ca="1">IF(C76&lt;&gt;"",
IF(O76=1,
IF(SUMPRODUCT(COUNTIF(クライアント抽出!P6:U6,クライアント抽出!P6:U6))&gt;COUNTA(クライアント抽出!P6:U6),
IFERROR(INDIRECT("数出表_Excel!"&amp;INDEX(_xlfn.UNIQUE(_xlfn._xlws.FILTER(クライアント抽出!P6:U6,COUNTIF(クライアント抽出!P6:U6,クライアント抽出!P6:U6)&gt;1)),1)&amp;L6&amp;""),
クライアント抽出!E6),0),クライアント抽出!F6),"")</f>
        <v/>
      </c>
      <c r="J76" s="104" t="str">
        <f>IF(C76&lt;&gt;"",
VLOOKUP(
"*"&amp;LEFT(IF(COUNTIF(D76,"*学食*"),"キャラ弁（学食）",
IF(COUNTIF(D76,"*赤*"),"赤",
IF(COUNTIF(D76,"*キャラ弁当*"),"キャラ弁当",D76))),4)&amp;"*",注文弁当の抽出!$F$1:$G$15,2,FALSE),"")</f>
        <v/>
      </c>
      <c r="K76" s="104" t="str">
        <f ca="1">IF(クライアント抽出!Q6&lt;&gt;"",SUBSTITUTE(ADDRESS(1,(CODE(クライアント抽出!Q6)-64)*2-1,4),"1",""),"")</f>
        <v/>
      </c>
      <c r="L76" s="104" t="str">
        <f>IF(C6&lt;&gt;"",クライアント抽出!I6,"")</f>
        <v/>
      </c>
      <c r="M76" s="104">
        <f t="array" aca="1" ref="M76" ca="1">IF(C76&lt;&gt;"",
IF(K76&lt;&gt;"",INDIRECT("'数出表_Excel（アレルギー入力）'!"&amp;K76&amp;L76-1&amp;""),),)</f>
        <v>0</v>
      </c>
      <c r="N76" s="104" t="str">
        <f>IF(C76&lt;&gt;"",IF(OR(COUNTIF('盛付札（関数）'!D76,"*赤*"),COUNTIF('盛付札（関数）'!D76,"*キャラ*")),1,
VALUE(VLOOKUP("*"&amp;D76&amp;"*",商品マスタ!D:H,5,FALSE))),"")</f>
        <v/>
      </c>
      <c r="O76" s="104">
        <f t="shared" ca="1" si="56"/>
        <v>0</v>
      </c>
      <c r="P76" s="104">
        <f t="shared" si="33"/>
        <v>0</v>
      </c>
      <c r="Q76" s="104" t="b">
        <f t="shared" si="34"/>
        <v>0</v>
      </c>
      <c r="R76" s="176" t="str">
        <f t="array" aca="1" ref="R76" ca="1">IFERROR(SMALL(IF(P$1:P$311&lt;&gt;0,P$1:P$311),ROW(A76)),"")</f>
        <v/>
      </c>
      <c r="S76" s="176" t="str">
        <f t="array" aca="1" ref="S76" ca="1">IF($R76&lt;&gt;"",
SUBSTITUTE(SUBSTITUTE(INDIRECT("C"&amp;$R76&amp;"")," 週3ｺｰｽ","")," 週5ｺｰｽ",""),"")</f>
        <v/>
      </c>
      <c r="T76" s="176" t="str">
        <f t="array" aca="1" ref="T76" ca="1">IF(IF($R76&lt;&gt;"",
INDIRECT(""&amp;IF(COLUMN(D76)&lt;=26,CHAR(COLUMN(D76)+64),CHAR(INT((COLUMN(D76)-1)/26)+64)&amp;CHAR(MOD(COLUMN(D76)-1,26)+65))&amp;$R76&amp;""),"")=0,"",
IF($R76&lt;&gt;"",
INDIRECT(""&amp;IF(COLUMN(D76)&lt;=26,CHAR(COLUMN(D76)+64),CHAR(INT((COLUMN(D76)-1)/26)+64)&amp;CHAR(MOD(COLUMN(D76)-1,26)+65))&amp;$R76&amp;""),""))</f>
        <v/>
      </c>
      <c r="U76" s="218" t="str">
        <f t="array" aca="1" ref="U76" ca="1">IF($R76&lt;&gt;"",
INDIRECT("F"&amp;$R76&amp;""),"")</f>
        <v/>
      </c>
      <c r="V76" s="219" t="str">
        <f t="array" aca="1" ref="V76" ca="1">IF($R76&lt;&gt;"",
INDIRECT("G"&amp;$R76&amp;""),"")</f>
        <v/>
      </c>
      <c r="W76" s="219" t="str" cm="1">
        <f t="array" aca="1" ref="W76" ca="1">IF($R76&lt;&gt;"",
IF(AND(COUNTIF(INDIRECT("B"&amp;R76&amp;""),"*雙葉*"),COUNTIF($B$71:$B$210,"*雙葉*")&gt;=1),
IF(OR(COUNTIF(INDIRECT("B"&amp;R76&amp;""),"*雙葉先生*"),COUNTIF(INDIRECT("B"&amp;R76-1&amp;""),"*雙葉*")),INDIRECT("H"&amp;R76&amp;""),INDIRECT("H"&amp;R76&amp;"")+INDIRECT("H"&amp;MATCH("雙葉'",INDIRECT("B"&amp;R76+3&amp;":B210"),0)+2+R76&amp;"")),
IF(AND(LEFT(INDIRECT("B"&amp;R76&amp;""),2)="博多",COUNTIF(B:B,"*博多*")&gt;=2),
INDIRECT("H"&amp;R76&amp;"")+IFERROR(INDIRECT("H"&amp;MATCH("*"&amp;INDIRECT("B"&amp;R76&amp;"")&amp;"*",INDIRECT("B"&amp;R76+1&amp;":B210"),0)+R76&amp;""),0),
IF(AND(LEFT(INDIRECT("B"&amp;R76&amp;""),3)="奈良屋",COUNTIF(B:B,"*奈良屋*")&gt;=2),
INDIRECT("H"&amp;R76&amp;"")
+INDIRECT("H"&amp;MATCH("*"&amp;INDIRECT("B"&amp;R76&amp;"")&amp;"*",INDIRECT("B"&amp;R76+1&amp;":B210"),0)+R76&amp;"")
+INDIRECT("H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
+INDIRECT("H"&amp;MATCH("*"&amp;INDIRECT("B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&amp;"*",INDIRECT("B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+1&amp;":B210"),0)+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,
INDIRECT("H"&amp;R76&amp;"")))),"")</f>
        <v/>
      </c>
      <c r="X76" s="176" t="str">
        <f t="array" aca="1" ref="X76" ca="1">IF($R76&lt;&gt;"",
INDIRECT(""&amp;IF(COLUMN(I76)&lt;=26,CHAR(COLUMN(I76)+64),CHAR(INT((COLUMN(I76)-1)/26)+64)&amp;CHAR(MOD(COLUMN(I76)-1,26)+65))&amp;$R76&amp;""),"")</f>
        <v/>
      </c>
      <c r="Y76" s="176" t="str">
        <f t="array" aca="1" ref="Y76" ca="1">IF($R76&lt;&gt;"",
INDIRECT(""&amp;IF(COLUMN(J76)&lt;=26,CHAR(COLUMN(J76)+64),CHAR(INT((COLUMN(J76)-1)/26)+64)&amp;CHAR(MOD(COLUMN(J76)-1,26)+65))&amp;$R76&amp;""),"")</f>
        <v/>
      </c>
      <c r="Z76" s="176" t="str">
        <f t="shared" ca="1" si="35"/>
        <v/>
      </c>
      <c r="AA76" s="176" t="str">
        <f t="shared" ca="1" si="36"/>
        <v/>
      </c>
      <c r="AB76" s="176" t="str">
        <f t="array" aca="1" ref="AB76" ca="1">IF($R76&lt;&gt;"",
IF(AND(COUNTIF(INDIRECT("B"&amp;R76&amp;""),"*雙葉*"),COUNTIF(INDIRECT("B"&amp;R76&amp;""),"&lt;&gt;*先生*"),COUNTIF(B:B,"*雙葉*")&gt;=2),
INDIRECT("M"&amp;R76&amp;"")+INDIRECT("M"&amp;MATCH("雙葉'",INDIRECT("B"&amp;R76+1&amp;":B210"),0)+R76&amp;""),
IF(AND(LEFT(INDIRECT("B"&amp;R76&amp;""),2)="博多",COUNTIF(B:B,"*博多*")&gt;=2),
INDIRECT("M"&amp;R76&amp;"")+INDIRECT("M"&amp;MATCH("*"&amp;INDIRECT("B"&amp;R76&amp;"")&amp;"*",INDIRECT("B"&amp;R76+1&amp;":B210"),0)+R76&amp;""),
IF(AND(LEFT(INDIRECT("B"&amp;R76&amp;""),3)="奈良屋",COUNTIF(B:B,"*奈良屋*")&gt;=2),
INDIRECT("M"&amp;R76&amp;"")+INDIRECT("M"&amp;MATCH("*"&amp;INDIRECT("B"&amp;R76&amp;"")&amp;"*",INDIRECT("B"&amp;R76+1&amp;":B210"),0)+R76&amp;"")
+INDIRECT("M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,
INDIRECT("M"&amp;R76&amp;"")))),"")</f>
        <v/>
      </c>
      <c r="AC76" s="176" t="str">
        <f t="shared" ca="1" si="37"/>
        <v/>
      </c>
      <c r="AD76" s="176" t="str">
        <f t="shared" ca="1" si="38"/>
        <v/>
      </c>
      <c r="AE76" s="176" t="str">
        <f t="shared" ca="1" si="39"/>
        <v/>
      </c>
      <c r="AF76" s="176" t="str">
        <f t="shared" ca="1" si="40"/>
        <v/>
      </c>
      <c r="AG76" s="176" t="str">
        <f t="shared" ca="1" si="41"/>
        <v/>
      </c>
      <c r="AH76" s="183" t="str">
        <f t="shared" ca="1" si="42"/>
        <v/>
      </c>
      <c r="AI76" s="176" t="str">
        <f t="shared" ca="1" si="43"/>
        <v/>
      </c>
      <c r="AJ76" s="176" t="str">
        <f t="shared" ca="1" si="44"/>
        <v/>
      </c>
      <c r="AK76" s="176" t="str">
        <f t="shared" ca="1" si="45"/>
        <v/>
      </c>
      <c r="AL76" s="176" t="str">
        <f t="shared" ca="1" si="46"/>
        <v/>
      </c>
      <c r="AM76" s="176" t="str">
        <f t="shared" ca="1" si="47"/>
        <v/>
      </c>
      <c r="AN76" s="176" t="str">
        <f t="shared" ca="1" si="48"/>
        <v/>
      </c>
      <c r="AO76" s="176" t="str">
        <f t="shared" ca="1" si="49"/>
        <v/>
      </c>
      <c r="AP76" s="176" t="str">
        <f t="shared" ca="1" si="50"/>
        <v/>
      </c>
      <c r="AU76" s="176" t="str">
        <f t="shared" ca="1" si="51"/>
        <v/>
      </c>
    </row>
    <row r="77" spans="1:54" ht="18" customHeight="1">
      <c r="A77" s="103">
        <f t="shared" si="57"/>
        <v>19</v>
      </c>
      <c r="B77" s="104" t="str">
        <f t="shared" ca="1" si="55"/>
        <v/>
      </c>
      <c r="C77" s="104" t="str">
        <f>IF(OR(クライアント抽出!C7&lt;&gt;"",クライアント抽出!F7&lt;&gt;""),クライアント抽出!A7,"")</f>
        <v/>
      </c>
      <c r="D77" s="104" t="str">
        <f t="array" aca="1" ref="D77" ca="1">IF(C77&lt;&gt;"",INDIRECT("クライアント抽出!"&amp;E77&amp;MATCH(C77,クライアント抽出!A:A,0)&amp;""),"")</f>
        <v/>
      </c>
      <c r="E77" s="104" t="str">
        <f>IF(H77&lt;&gt;0,
IFERROR(
SUBSTITUTE(ADDRESS(1,
MATCH(VALUE(H77),クライアント抽出!A7:G7,0)+8,4),"1",""),
""),
IFERROR(
SUBSTITUTE(ADDRESS(1,
MATCH(VALUE(I77),クライアント抽出!A7:G7,0)+8,4),"1",""),
""))</f>
        <v/>
      </c>
      <c r="F77" s="186" t="str">
        <f ca="1">IF(D77&lt;&gt;"",
IF(COUNTIF(C77,"*雙葉*"),
IF(ROUND((H77-M77)
/IF(COUNTIF(D77,"*キャラ*"),
VLOOKUP("*キャラ*",商品マスタ!$D:$E,2,FALSE),
IF(COUNTIF(D77,"*赤*"),
VLOOKUP("*赤*",商品マスタ!$D:$E,2,FALSE),
VLOOKUP("*"&amp;D77&amp;"*",商品マスタ!$D:$E,2,FALSE))),0)&lt;=0,1,
ROUND((H77-M77)
/IF(COUNTIF(D77,"*キャラ*"),
VLOOKUP("*キャラ*",商品マスタ!$D:$E,2,FALSE),
IF(COUNTIF(D77,"*赤*"),
VLOOKUP("*赤*",商品マスタ!$D:$E,2,FALSE),
VLOOKUP("*"&amp;D77&amp;"*",商品マスタ!$D:$E,2,FALSE))),0)),
IF(OR(COUNTIF(D77,"*キャラ*"),COUNTIF(D77,"*赤*")),"",
IF(VLOOKUP("*"&amp;D77&amp;"*",商品マスタ!$D:$E,2,FALSE)=0,"",
IF(ROUND((H77-M77)
/VLOOKUP("*"&amp;D77&amp;"*",商品マスタ!$D:$E,2,FALSE),0)&lt;=0,1,
ROUND((H77-M77)
/VLOOKUP("*"&amp;D77&amp;"*",商品マスタ!$D:$E,2,FALSE),0))))),"")</f>
        <v/>
      </c>
      <c r="G77" s="104" t="str">
        <f ca="1">IF(F77&lt;&gt;"",
IF(VALUE(H77-M77)&gt;VALUE(IF(COUNTIF(D77,"*キャラ*"),
VLOOKUP("*キャラ*",商品マスタ!$D:$E,2,FALSE),
IF(COUNTIF(D77,"*赤*"),
VLOOKUP("*赤*",商品マスタ!$D:$E,2,FALSE),
VLOOKUP("*"&amp;D77&amp;"*",商品マスタ!$D:$E,2,FALSE)))*F77),
"+"&amp;(H77-M77)-IF(COUNTIF(D77,"*キャラ*"),
VLOOKUP("*キャラ*",商品マスタ!$D:$E,2,FALSE),
IF(COUNTIF(D77,"*赤*"),
VLOOKUP("*赤*",商品マスタ!$D:$E,2,FALSE),
VLOOKUP("*"&amp;D77&amp;"*",商品マスタ!$D:$E,2,FALSE)))*F77,
(H77-M77)-IF(COUNTIF(D77,"*キャラ*"),
VLOOKUP("*キャラ*",商品マスタ!$D:$E,2,FALSE),
IF(COUNTIF(D77,"*赤*"),
VLOOKUP("*赤*",商品マスタ!$D:$E,2,FALSE),
VLOOKUP("*"&amp;D77&amp;"*",商品マスタ!$D:$E,2,FALSE)))*F77),"")</f>
        <v/>
      </c>
      <c r="H77" s="105" t="str">
        <f>IF(C77&lt;&gt;"",
クライアント抽出!C7,"")</f>
        <v/>
      </c>
      <c r="I77" s="104" t="str">
        <f t="array" aca="1" ref="I77" ca="1">IF(C77&lt;&gt;"",
IF(O77=1,
IF(SUMPRODUCT(COUNTIF(クライアント抽出!P7:U7,クライアント抽出!P7:U7))&gt;COUNTA(クライアント抽出!P7:U7),
IFERROR(INDIRECT("数出表_Excel!"&amp;INDEX(_xlfn.UNIQUE(_xlfn._xlws.FILTER(クライアント抽出!P7:U7,COUNTIF(クライアント抽出!P7:U7,クライアント抽出!P7:U7)&gt;1)),1)&amp;L7&amp;""),
クライアント抽出!E7),0),クライアント抽出!F7),"")</f>
        <v/>
      </c>
      <c r="J77" s="104" t="str">
        <f>IF(C77&lt;&gt;"",
VLOOKUP(
"*"&amp;LEFT(IF(COUNTIF(D77,"*学食*"),"キャラ弁（学食）",
IF(COUNTIF(D77,"*赤*"),"赤",
IF(COUNTIF(D77,"*キャラ弁当*"),"キャラ弁当",D77))),4)&amp;"*",注文弁当の抽出!$F$1:$G$15,2,FALSE),"")</f>
        <v/>
      </c>
      <c r="K77" s="104" t="str">
        <f ca="1">IF(クライアント抽出!Q7&lt;&gt;"",SUBSTITUTE(ADDRESS(1,(CODE(クライアント抽出!Q7)-64)*2-1,4),"1",""),"")</f>
        <v/>
      </c>
      <c r="L77" s="104" t="str">
        <f>IF(C7&lt;&gt;"",クライアント抽出!I7,"")</f>
        <v/>
      </c>
      <c r="M77" s="104">
        <f t="array" aca="1" ref="M77" ca="1">IF(C77&lt;&gt;"",
IF(K77&lt;&gt;"",INDIRECT("'数出表_Excel（アレルギー入力）'!"&amp;K77&amp;L77-1&amp;""),),)</f>
        <v>0</v>
      </c>
      <c r="N77" s="104" t="str">
        <f>IF(C77&lt;&gt;"",IF(OR(COUNTIF('盛付札（関数）'!D77,"*赤*"),COUNTIF('盛付札（関数）'!D77,"*キャラ*")),1,
VALUE(VLOOKUP("*"&amp;D77&amp;"*",商品マスタ!D:H,5,FALSE))),"")</f>
        <v/>
      </c>
      <c r="O77" s="104">
        <f t="shared" ca="1" si="56"/>
        <v>0</v>
      </c>
      <c r="P77" s="104">
        <f t="shared" si="33"/>
        <v>0</v>
      </c>
      <c r="Q77" s="104" t="b">
        <f t="shared" si="34"/>
        <v>0</v>
      </c>
      <c r="R77" s="176" t="str">
        <f t="array" aca="1" ref="R77" ca="1">IFERROR(SMALL(IF(P$1:P$311&lt;&gt;0,P$1:P$311),ROW(A77)),"")</f>
        <v/>
      </c>
      <c r="S77" s="176" t="str">
        <f t="array" aca="1" ref="S77" ca="1">IF($R77&lt;&gt;"",
SUBSTITUTE(SUBSTITUTE(INDIRECT("C"&amp;$R77&amp;"")," 週3ｺｰｽ","")," 週5ｺｰｽ",""),"")</f>
        <v/>
      </c>
      <c r="T77" s="176" t="str">
        <f t="array" aca="1" ref="T77" ca="1">IF(IF($R77&lt;&gt;"",
INDIRECT(""&amp;IF(COLUMN(D77)&lt;=26,CHAR(COLUMN(D77)+64),CHAR(INT((COLUMN(D77)-1)/26)+64)&amp;CHAR(MOD(COLUMN(D77)-1,26)+65))&amp;$R77&amp;""),"")=0,"",
IF($R77&lt;&gt;"",
INDIRECT(""&amp;IF(COLUMN(D77)&lt;=26,CHAR(COLUMN(D77)+64),CHAR(INT((COLUMN(D77)-1)/26)+64)&amp;CHAR(MOD(COLUMN(D77)-1,26)+65))&amp;$R77&amp;""),""))</f>
        <v/>
      </c>
      <c r="U77" s="218" t="str">
        <f t="array" aca="1" ref="U77" ca="1">IF($R77&lt;&gt;"",
INDIRECT("F"&amp;$R77&amp;""),"")</f>
        <v/>
      </c>
      <c r="V77" s="219" t="str">
        <f t="array" aca="1" ref="V77" ca="1">IF($R77&lt;&gt;"",
INDIRECT("G"&amp;$R77&amp;""),"")</f>
        <v/>
      </c>
      <c r="W77" s="219" t="str" cm="1">
        <f t="array" aca="1" ref="W77" ca="1">IF($R77&lt;&gt;"",
IF(AND(COUNTIF(INDIRECT("B"&amp;R77&amp;""),"*雙葉*"),COUNTIF($B$71:$B$210,"*雙葉*")&gt;=1),
IF(OR(COUNTIF(INDIRECT("B"&amp;R77&amp;""),"*雙葉先生*"),COUNTIF(INDIRECT("B"&amp;R77-1&amp;""),"*雙葉*")),INDIRECT("H"&amp;R77&amp;""),INDIRECT("H"&amp;R77&amp;"")+INDIRECT("H"&amp;MATCH("雙葉'",INDIRECT("B"&amp;R77+3&amp;":B210"),0)+2+R77&amp;"")),
IF(AND(LEFT(INDIRECT("B"&amp;R77&amp;""),2)="博多",COUNTIF(B:B,"*博多*")&gt;=2),
INDIRECT("H"&amp;R77&amp;"")+IFERROR(INDIRECT("H"&amp;MATCH("*"&amp;INDIRECT("B"&amp;R77&amp;"")&amp;"*",INDIRECT("B"&amp;R77+1&amp;":B210"),0)+R77&amp;""),0),
IF(AND(LEFT(INDIRECT("B"&amp;R77&amp;""),3)="奈良屋",COUNTIF(B:B,"*奈良屋*")&gt;=2),
INDIRECT("H"&amp;R77&amp;"")
+INDIRECT("H"&amp;MATCH("*"&amp;INDIRECT("B"&amp;R77&amp;"")&amp;"*",INDIRECT("B"&amp;R77+1&amp;":B210"),0)+R77&amp;"")
+INDIRECT("H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
+INDIRECT("H"&amp;MATCH("*"&amp;INDIRECT("B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&amp;"*",INDIRECT("B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+1&amp;":B210"),0)+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,
INDIRECT("H"&amp;R77&amp;"")))),"")</f>
        <v/>
      </c>
      <c r="X77" s="176" t="str">
        <f t="array" aca="1" ref="X77" ca="1">IF($R77&lt;&gt;"",
INDIRECT(""&amp;IF(COLUMN(I77)&lt;=26,CHAR(COLUMN(I77)+64),CHAR(INT((COLUMN(I77)-1)/26)+64)&amp;CHAR(MOD(COLUMN(I77)-1,26)+65))&amp;$R77&amp;""),"")</f>
        <v/>
      </c>
      <c r="Y77" s="176" t="str">
        <f t="array" aca="1" ref="Y77" ca="1">IF($R77&lt;&gt;"",
INDIRECT(""&amp;IF(COLUMN(J77)&lt;=26,CHAR(COLUMN(J77)+64),CHAR(INT((COLUMN(J77)-1)/26)+64)&amp;CHAR(MOD(COLUMN(J77)-1,26)+65))&amp;$R77&amp;""),"")</f>
        <v/>
      </c>
      <c r="Z77" s="176" t="str">
        <f t="shared" ca="1" si="35"/>
        <v/>
      </c>
      <c r="AA77" s="176" t="str">
        <f t="shared" ca="1" si="36"/>
        <v/>
      </c>
      <c r="AB77" s="176" t="str">
        <f t="array" aca="1" ref="AB77" ca="1">IF($R77&lt;&gt;"",
IF(AND(COUNTIF(INDIRECT("B"&amp;R77&amp;""),"*雙葉*"),COUNTIF(INDIRECT("B"&amp;R77&amp;""),"&lt;&gt;*先生*"),COUNTIF(B:B,"*雙葉*")&gt;=2),
INDIRECT("M"&amp;R77&amp;"")+INDIRECT("M"&amp;MATCH("雙葉'",INDIRECT("B"&amp;R77+1&amp;":B210"),0)+R77&amp;""),
IF(AND(LEFT(INDIRECT("B"&amp;R77&amp;""),2)="博多",COUNTIF(B:B,"*博多*")&gt;=2),
INDIRECT("M"&amp;R77&amp;"")+INDIRECT("M"&amp;MATCH("*"&amp;INDIRECT("B"&amp;R77&amp;"")&amp;"*",INDIRECT("B"&amp;R77+1&amp;":B210"),0)+R77&amp;""),
IF(AND(LEFT(INDIRECT("B"&amp;R77&amp;""),3)="奈良屋",COUNTIF(B:B,"*奈良屋*")&gt;=2),
INDIRECT("M"&amp;R77&amp;"")+INDIRECT("M"&amp;MATCH("*"&amp;INDIRECT("B"&amp;R77&amp;"")&amp;"*",INDIRECT("B"&amp;R77+1&amp;":B210"),0)+R77&amp;"")
+INDIRECT("M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,
INDIRECT("M"&amp;R77&amp;"")))),"")</f>
        <v/>
      </c>
      <c r="AC77" s="176" t="str">
        <f t="shared" ca="1" si="37"/>
        <v/>
      </c>
      <c r="AD77" s="176" t="str">
        <f t="shared" ca="1" si="38"/>
        <v/>
      </c>
      <c r="AE77" s="176" t="str">
        <f t="shared" ca="1" si="39"/>
        <v/>
      </c>
      <c r="AF77" s="176" t="str">
        <f t="shared" ca="1" si="40"/>
        <v/>
      </c>
      <c r="AG77" s="176" t="str">
        <f t="shared" ca="1" si="41"/>
        <v/>
      </c>
      <c r="AH77" s="183" t="str">
        <f t="shared" ca="1" si="42"/>
        <v/>
      </c>
      <c r="AI77" s="176" t="str">
        <f t="shared" ca="1" si="43"/>
        <v/>
      </c>
      <c r="AJ77" s="176" t="str">
        <f t="shared" ca="1" si="44"/>
        <v/>
      </c>
      <c r="AK77" s="176" t="str">
        <f t="shared" ca="1" si="45"/>
        <v/>
      </c>
      <c r="AL77" s="176" t="str">
        <f t="shared" ca="1" si="46"/>
        <v/>
      </c>
      <c r="AM77" s="176" t="str">
        <f t="shared" ca="1" si="47"/>
        <v/>
      </c>
      <c r="AN77" s="176" t="str">
        <f t="shared" ca="1" si="48"/>
        <v/>
      </c>
      <c r="AO77" s="176" t="str">
        <f t="shared" ca="1" si="49"/>
        <v/>
      </c>
      <c r="AP77" s="176" t="str">
        <f t="shared" ca="1" si="50"/>
        <v/>
      </c>
      <c r="AU77" s="176" t="str">
        <f t="shared" ca="1" si="51"/>
        <v/>
      </c>
    </row>
    <row r="78" spans="1:54" ht="22.2" customHeight="1">
      <c r="A78" s="103">
        <f t="shared" si="57"/>
        <v>21</v>
      </c>
      <c r="B78" s="104" t="str">
        <f t="shared" ca="1" si="55"/>
        <v/>
      </c>
      <c r="C78" s="104" t="str">
        <f>IF(OR(クライアント抽出!C8&lt;&gt;"",クライアント抽出!F8&lt;&gt;""),クライアント抽出!A8,"")</f>
        <v/>
      </c>
      <c r="D78" s="104" t="str">
        <f t="array" aca="1" ref="D78" ca="1">IF(C78&lt;&gt;"",INDIRECT("クライアント抽出!"&amp;E78&amp;MATCH(C78,クライアント抽出!A:A,0)&amp;""),"")</f>
        <v/>
      </c>
      <c r="E78" s="104" t="str">
        <f>IF(H78&lt;&gt;0,
IFERROR(
SUBSTITUTE(ADDRESS(1,
MATCH(VALUE(H78),クライアント抽出!A8:G8,0)+8,4),"1",""),
""),
IFERROR(
SUBSTITUTE(ADDRESS(1,
MATCH(VALUE(I78),クライアント抽出!A8:G8,0)+8,4),"1",""),
""))</f>
        <v/>
      </c>
      <c r="F78" s="186" t="str">
        <f ca="1">IF(D78&lt;&gt;"",
IF(COUNTIF(C78,"*雙葉*"),
IF(ROUND((H78-M78)
/IF(COUNTIF(D78,"*キャラ*"),
VLOOKUP("*キャラ*",商品マスタ!$D:$E,2,FALSE),
IF(COUNTIF(D78,"*赤*"),
VLOOKUP("*赤*",商品マスタ!$D:$E,2,FALSE),
VLOOKUP("*"&amp;D78&amp;"*",商品マスタ!$D:$E,2,FALSE))),0)&lt;=0,1,
ROUND((H78-M78)
/IF(COUNTIF(D78,"*キャラ*"),
VLOOKUP("*キャラ*",商品マスタ!$D:$E,2,FALSE),
IF(COUNTIF(D78,"*赤*"),
VLOOKUP("*赤*",商品マスタ!$D:$E,2,FALSE),
VLOOKUP("*"&amp;D78&amp;"*",商品マスタ!$D:$E,2,FALSE))),0)),
IF(OR(COUNTIF(D78,"*キャラ*"),COUNTIF(D78,"*赤*")),"",
IF(VLOOKUP("*"&amp;D78&amp;"*",商品マスタ!$D:$E,2,FALSE)=0,"",
IF(ROUND((H78-M78)
/VLOOKUP("*"&amp;D78&amp;"*",商品マスタ!$D:$E,2,FALSE),0)&lt;=0,1,
ROUND((H78-M78)
/VLOOKUP("*"&amp;D78&amp;"*",商品マスタ!$D:$E,2,FALSE),0))))),"")</f>
        <v/>
      </c>
      <c r="G78" s="104" t="str">
        <f ca="1">IF(F78&lt;&gt;"",
IF(VALUE(H78-M78)&gt;VALUE(IF(COUNTIF(D78,"*キャラ*"),
VLOOKUP("*キャラ*",商品マスタ!$D:$E,2,FALSE),
IF(COUNTIF(D78,"*赤*"),
VLOOKUP("*赤*",商品マスタ!$D:$E,2,FALSE),
VLOOKUP("*"&amp;D78&amp;"*",商品マスタ!$D:$E,2,FALSE)))*F78),
"+"&amp;(H78-M78)-IF(COUNTIF(D78,"*キャラ*"),
VLOOKUP("*キャラ*",商品マスタ!$D:$E,2,FALSE),
IF(COUNTIF(D78,"*赤*"),
VLOOKUP("*赤*",商品マスタ!$D:$E,2,FALSE),
VLOOKUP("*"&amp;D78&amp;"*",商品マスタ!$D:$E,2,FALSE)))*F78,
(H78-M78)-IF(COUNTIF(D78,"*キャラ*"),
VLOOKUP("*キャラ*",商品マスタ!$D:$E,2,FALSE),
IF(COUNTIF(D78,"*赤*"),
VLOOKUP("*赤*",商品マスタ!$D:$E,2,FALSE),
VLOOKUP("*"&amp;D78&amp;"*",商品マスタ!$D:$E,2,FALSE)))*F78),"")</f>
        <v/>
      </c>
      <c r="H78" s="105" t="str">
        <f>IF(C78&lt;&gt;"",
クライアント抽出!C8,"")</f>
        <v/>
      </c>
      <c r="I78" s="104" t="str">
        <f t="array" aca="1" ref="I78" ca="1">IF(C78&lt;&gt;"",
IF(O78=1,
IF(SUMPRODUCT(COUNTIF(クライアント抽出!P8:U8,クライアント抽出!P8:U8))&gt;COUNTA(クライアント抽出!P8:U8),
IFERROR(INDIRECT("数出表_Excel!"&amp;INDEX(_xlfn.UNIQUE(_xlfn._xlws.FILTER(クライアント抽出!P8:U8,COUNTIF(クライアント抽出!P8:U8,クライアント抽出!P8:U8)&gt;1)),1)&amp;L8&amp;""),
クライアント抽出!E8),0),クライアント抽出!F8),"")</f>
        <v/>
      </c>
      <c r="J78" s="104" t="str">
        <f>IF(C78&lt;&gt;"",
VLOOKUP(
"*"&amp;LEFT(IF(COUNTIF(D78,"*学食*"),"キャラ弁（学食）",
IF(COUNTIF(D78,"*赤*"),"赤",
IF(COUNTIF(D78,"*キャラ弁当*"),"キャラ弁当",D78))),4)&amp;"*",注文弁当の抽出!$F$1:$G$15,2,FALSE),"")</f>
        <v/>
      </c>
      <c r="K78" s="104" t="str">
        <f ca="1">IF(クライアント抽出!Q8&lt;&gt;"",SUBSTITUTE(ADDRESS(1,(CODE(クライアント抽出!Q8)-64)*2-1,4),"1",""),"")</f>
        <v/>
      </c>
      <c r="L78" s="104" t="str">
        <f>IF(C8&lt;&gt;"",クライアント抽出!I8,"")</f>
        <v/>
      </c>
      <c r="M78" s="104">
        <f t="array" aca="1" ref="M78" ca="1">IF(C78&lt;&gt;"",
IF(K78&lt;&gt;"",INDIRECT("'数出表_Excel（アレルギー入力）'!"&amp;K78&amp;L78-1&amp;""),),)</f>
        <v>0</v>
      </c>
      <c r="N78" s="104" t="str">
        <f>IF(C78&lt;&gt;"",IF(OR(COUNTIF('盛付札（関数）'!D78,"*赤*"),COUNTIF('盛付札（関数）'!D78,"*キャラ*")),1,
VALUE(VLOOKUP("*"&amp;D78&amp;"*",商品マスタ!D:H,5,FALSE))),"")</f>
        <v/>
      </c>
      <c r="O78" s="104">
        <f t="shared" ca="1" si="56"/>
        <v>0</v>
      </c>
      <c r="P78" s="104">
        <f t="shared" si="33"/>
        <v>0</v>
      </c>
      <c r="Q78" s="104" t="b">
        <f t="shared" si="34"/>
        <v>0</v>
      </c>
      <c r="R78" s="176" t="str">
        <f t="array" aca="1" ref="R78" ca="1">IFERROR(SMALL(IF(P$1:P$311&lt;&gt;0,P$1:P$311),ROW(A78)),"")</f>
        <v/>
      </c>
      <c r="S78" s="176" t="str">
        <f t="array" aca="1" ref="S78" ca="1">IF($R78&lt;&gt;"",
SUBSTITUTE(SUBSTITUTE(INDIRECT("C"&amp;$R78&amp;"")," 週3ｺｰｽ","")," 週5ｺｰｽ",""),"")</f>
        <v/>
      </c>
      <c r="T78" s="176" t="str">
        <f t="array" aca="1" ref="T78" ca="1">IF(IF($R78&lt;&gt;"",
INDIRECT(""&amp;IF(COLUMN(D78)&lt;=26,CHAR(COLUMN(D78)+64),CHAR(INT((COLUMN(D78)-1)/26)+64)&amp;CHAR(MOD(COLUMN(D78)-1,26)+65))&amp;$R78&amp;""),"")=0,"",
IF($R78&lt;&gt;"",
INDIRECT(""&amp;IF(COLUMN(D78)&lt;=26,CHAR(COLUMN(D78)+64),CHAR(INT((COLUMN(D78)-1)/26)+64)&amp;CHAR(MOD(COLUMN(D78)-1,26)+65))&amp;$R78&amp;""),""))</f>
        <v/>
      </c>
      <c r="U78" s="218" t="str">
        <f t="array" aca="1" ref="U78" ca="1">IF($R78&lt;&gt;"",
INDIRECT("F"&amp;$R78&amp;""),"")</f>
        <v/>
      </c>
      <c r="V78" s="219" t="str">
        <f t="array" aca="1" ref="V78" ca="1">IF($R78&lt;&gt;"",
INDIRECT("G"&amp;$R78&amp;""),"")</f>
        <v/>
      </c>
      <c r="W78" s="219" t="str" cm="1">
        <f t="array" aca="1" ref="W78" ca="1">IF($R78&lt;&gt;"",
IF(AND(COUNTIF(INDIRECT("B"&amp;R78&amp;""),"*雙葉*"),COUNTIF($B$71:$B$210,"*雙葉*")&gt;=1),
IF(OR(COUNTIF(INDIRECT("B"&amp;R78&amp;""),"*雙葉先生*"),COUNTIF(INDIRECT("B"&amp;R78-1&amp;""),"*雙葉*")),INDIRECT("H"&amp;R78&amp;""),INDIRECT("H"&amp;R78&amp;"")+INDIRECT("H"&amp;MATCH("雙葉'",INDIRECT("B"&amp;R78+3&amp;":B210"),0)+2+R78&amp;"")),
IF(AND(LEFT(INDIRECT("B"&amp;R78&amp;""),2)="博多",COUNTIF(B:B,"*博多*")&gt;=2),
INDIRECT("H"&amp;R78&amp;"")+IFERROR(INDIRECT("H"&amp;MATCH("*"&amp;INDIRECT("B"&amp;R78&amp;"")&amp;"*",INDIRECT("B"&amp;R78+1&amp;":B210"),0)+R78&amp;""),0),
IF(AND(LEFT(INDIRECT("B"&amp;R78&amp;""),3)="奈良屋",COUNTIF(B:B,"*奈良屋*")&gt;=2),
INDIRECT("H"&amp;R78&amp;"")
+INDIRECT("H"&amp;MATCH("*"&amp;INDIRECT("B"&amp;R78&amp;"")&amp;"*",INDIRECT("B"&amp;R78+1&amp;":B210"),0)+R78&amp;"")
+INDIRECT("H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
+INDIRECT("H"&amp;MATCH("*"&amp;INDIRECT("B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&amp;"*",INDIRECT("B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+1&amp;":B210"),0)+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,
INDIRECT("H"&amp;R78&amp;"")))),"")</f>
        <v/>
      </c>
      <c r="X78" s="176" t="str">
        <f t="array" aca="1" ref="X78" ca="1">IF($R78&lt;&gt;"",
INDIRECT(""&amp;IF(COLUMN(I78)&lt;=26,CHAR(COLUMN(I78)+64),CHAR(INT((COLUMN(I78)-1)/26)+64)&amp;CHAR(MOD(COLUMN(I78)-1,26)+65))&amp;$R78&amp;""),"")</f>
        <v/>
      </c>
      <c r="Y78" s="176" t="str">
        <f t="array" aca="1" ref="Y78" ca="1">IF($R78&lt;&gt;"",
INDIRECT(""&amp;IF(COLUMN(J78)&lt;=26,CHAR(COLUMN(J78)+64),CHAR(INT((COLUMN(J78)-1)/26)+64)&amp;CHAR(MOD(COLUMN(J78)-1,26)+65))&amp;$R78&amp;""),"")</f>
        <v/>
      </c>
      <c r="Z78" s="176" t="str">
        <f t="shared" ca="1" si="35"/>
        <v/>
      </c>
      <c r="AA78" s="176" t="str">
        <f t="shared" ca="1" si="36"/>
        <v/>
      </c>
      <c r="AB78" s="176" t="str">
        <f t="array" aca="1" ref="AB78" ca="1">IF($R78&lt;&gt;"",
IF(AND(COUNTIF(INDIRECT("B"&amp;R78&amp;""),"*雙葉*"),COUNTIF(INDIRECT("B"&amp;R78&amp;""),"&lt;&gt;*先生*"),COUNTIF(B:B,"*雙葉*")&gt;=2),
INDIRECT("M"&amp;R78&amp;"")+INDIRECT("M"&amp;MATCH("雙葉'",INDIRECT("B"&amp;R78+1&amp;":B210"),0)+R78&amp;""),
IF(AND(LEFT(INDIRECT("B"&amp;R78&amp;""),2)="博多",COUNTIF(B:B,"*博多*")&gt;=2),
INDIRECT("M"&amp;R78&amp;"")+INDIRECT("M"&amp;MATCH("*"&amp;INDIRECT("B"&amp;R78&amp;"")&amp;"*",INDIRECT("B"&amp;R78+1&amp;":B210"),0)+R78&amp;""),
IF(AND(LEFT(INDIRECT("B"&amp;R78&amp;""),3)="奈良屋",COUNTIF(B:B,"*奈良屋*")&gt;=2),
INDIRECT("M"&amp;R78&amp;"")+INDIRECT("M"&amp;MATCH("*"&amp;INDIRECT("B"&amp;R78&amp;"")&amp;"*",INDIRECT("B"&amp;R78+1&amp;":B210"),0)+R78&amp;"")
+INDIRECT("M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,
INDIRECT("M"&amp;R78&amp;"")))),"")</f>
        <v/>
      </c>
      <c r="AC78" s="176" t="str">
        <f t="shared" ca="1" si="37"/>
        <v/>
      </c>
      <c r="AD78" s="176" t="str">
        <f t="shared" ca="1" si="38"/>
        <v/>
      </c>
      <c r="AE78" s="176" t="str">
        <f t="shared" ca="1" si="39"/>
        <v/>
      </c>
      <c r="AF78" s="176" t="str">
        <f t="shared" ca="1" si="40"/>
        <v/>
      </c>
      <c r="AG78" s="176" t="str">
        <f t="shared" ca="1" si="41"/>
        <v/>
      </c>
      <c r="AH78" s="183" t="str">
        <f t="shared" ca="1" si="42"/>
        <v/>
      </c>
      <c r="AI78" s="176" t="str">
        <f t="shared" ca="1" si="43"/>
        <v/>
      </c>
      <c r="AJ78" s="176" t="str">
        <f t="shared" ca="1" si="44"/>
        <v/>
      </c>
      <c r="AK78" s="176" t="str">
        <f t="shared" ca="1" si="45"/>
        <v/>
      </c>
      <c r="AL78" s="176" t="str">
        <f t="shared" ca="1" si="46"/>
        <v/>
      </c>
      <c r="AM78" s="176" t="str">
        <f t="shared" ca="1" si="47"/>
        <v/>
      </c>
      <c r="AN78" s="176" t="str">
        <f t="shared" ca="1" si="48"/>
        <v/>
      </c>
      <c r="AO78" s="176" t="str">
        <f t="shared" ca="1" si="49"/>
        <v/>
      </c>
      <c r="AP78" s="176" t="str">
        <f t="shared" ca="1" si="50"/>
        <v/>
      </c>
      <c r="AU78" s="176" t="str">
        <f t="shared" ca="1" si="51"/>
        <v/>
      </c>
    </row>
    <row r="79" spans="1:54" ht="21" customHeight="1">
      <c r="A79" s="103">
        <f t="shared" si="57"/>
        <v>23</v>
      </c>
      <c r="B79" s="104" t="str">
        <f t="shared" ca="1" si="55"/>
        <v/>
      </c>
      <c r="C79" s="104" t="str">
        <f>IF(OR(クライアント抽出!C9&lt;&gt;"",クライアント抽出!F9&lt;&gt;""),クライアント抽出!A9,"")</f>
        <v/>
      </c>
      <c r="D79" s="104" t="str">
        <f t="array" aca="1" ref="D79" ca="1">IF(C79&lt;&gt;"",INDIRECT("クライアント抽出!"&amp;E79&amp;MATCH(C79,クライアント抽出!A:A,0)&amp;""),"")</f>
        <v/>
      </c>
      <c r="E79" s="104" t="str">
        <f>IF(H79&lt;&gt;0,
IFERROR(
SUBSTITUTE(ADDRESS(1,
MATCH(VALUE(H79),クライアント抽出!A9:G9,0)+8,4),"1",""),
""),
IFERROR(
SUBSTITUTE(ADDRESS(1,
MATCH(VALUE(I79),クライアント抽出!A9:G9,0)+8,4),"1",""),
""))</f>
        <v/>
      </c>
      <c r="F79" s="186" t="str">
        <f ca="1">IF(D79&lt;&gt;"",
IF(COUNTIF(C79,"*雙葉*"),
IF(ROUND((H79-M79)
/IF(COUNTIF(D79,"*キャラ*"),
VLOOKUP("*キャラ*",商品マスタ!$D:$E,2,FALSE),
IF(COUNTIF(D79,"*赤*"),
VLOOKUP("*赤*",商品マスタ!$D:$E,2,FALSE),
VLOOKUP("*"&amp;D79&amp;"*",商品マスタ!$D:$E,2,FALSE))),0)&lt;=0,1,
ROUND((H79-M79)
/IF(COUNTIF(D79,"*キャラ*"),
VLOOKUP("*キャラ*",商品マスタ!$D:$E,2,FALSE),
IF(COUNTIF(D79,"*赤*"),
VLOOKUP("*赤*",商品マスタ!$D:$E,2,FALSE),
VLOOKUP("*"&amp;D79&amp;"*",商品マスタ!$D:$E,2,FALSE))),0)),
IF(OR(COUNTIF(D79,"*キャラ*"),COUNTIF(D79,"*赤*")),"",
IF(VLOOKUP("*"&amp;D79&amp;"*",商品マスタ!$D:$E,2,FALSE)=0,"",
IF(ROUND((H79-M79)
/VLOOKUP("*"&amp;D79&amp;"*",商品マスタ!$D:$E,2,FALSE),0)&lt;=0,1,
ROUND((H79-M79)
/VLOOKUP("*"&amp;D79&amp;"*",商品マスタ!$D:$E,2,FALSE),0))))),"")</f>
        <v/>
      </c>
      <c r="G79" s="104" t="str">
        <f ca="1">IF(F79&lt;&gt;"",
IF(VALUE(H79-M79)&gt;VALUE(IF(COUNTIF(D79,"*キャラ*"),
VLOOKUP("*キャラ*",商品マスタ!$D:$E,2,FALSE),
IF(COUNTIF(D79,"*赤*"),
VLOOKUP("*赤*",商品マスタ!$D:$E,2,FALSE),
VLOOKUP("*"&amp;D79&amp;"*",商品マスタ!$D:$E,2,FALSE)))*F79),
"+"&amp;(H79-M79)-IF(COUNTIF(D79,"*キャラ*"),
VLOOKUP("*キャラ*",商品マスタ!$D:$E,2,FALSE),
IF(COUNTIF(D79,"*赤*"),
VLOOKUP("*赤*",商品マスタ!$D:$E,2,FALSE),
VLOOKUP("*"&amp;D79&amp;"*",商品マスタ!$D:$E,2,FALSE)))*F79,
(H79-M79)-IF(COUNTIF(D79,"*キャラ*"),
VLOOKUP("*キャラ*",商品マスタ!$D:$E,2,FALSE),
IF(COUNTIF(D79,"*赤*"),
VLOOKUP("*赤*",商品マスタ!$D:$E,2,FALSE),
VLOOKUP("*"&amp;D79&amp;"*",商品マスタ!$D:$E,2,FALSE)))*F79),"")</f>
        <v/>
      </c>
      <c r="H79" s="105" t="str">
        <f>IF(C79&lt;&gt;"",
クライアント抽出!C9,"")</f>
        <v/>
      </c>
      <c r="I79" s="104" t="str">
        <f t="array" aca="1" ref="I79" ca="1">IF(C79&lt;&gt;"",
IF(O79=1,
IF(SUMPRODUCT(COUNTIF(クライアント抽出!P9:U9,クライアント抽出!P9:U9))&gt;COUNTA(クライアント抽出!P9:U9),
IFERROR(INDIRECT("数出表_Excel!"&amp;INDEX(_xlfn.UNIQUE(_xlfn._xlws.FILTER(クライアント抽出!P9:U9,COUNTIF(クライアント抽出!P9:U9,クライアント抽出!P9:U9)&gt;1)),1)&amp;L9&amp;""),
クライアント抽出!E9),0),クライアント抽出!F9),"")</f>
        <v/>
      </c>
      <c r="J79" s="104" t="str">
        <f>IF(C79&lt;&gt;"",
VLOOKUP(
"*"&amp;LEFT(IF(COUNTIF(D79,"*学食*"),"キャラ弁（学食）",
IF(COUNTIF(D79,"*赤*"),"赤",
IF(COUNTIF(D79,"*キャラ弁当*"),"キャラ弁当",D79))),4)&amp;"*",注文弁当の抽出!$F$1:$G$15,2,FALSE),"")</f>
        <v/>
      </c>
      <c r="K79" s="104" t="str">
        <f ca="1">IF(クライアント抽出!Q9&lt;&gt;"",SUBSTITUTE(ADDRESS(1,(CODE(クライアント抽出!Q9)-64)*2-1,4),"1",""),"")</f>
        <v/>
      </c>
      <c r="L79" s="104" t="str">
        <f>IF(C9&lt;&gt;"",クライアント抽出!I9,"")</f>
        <v/>
      </c>
      <c r="M79" s="104">
        <f t="array" aca="1" ref="M79" ca="1">IF(C79&lt;&gt;"",
IF(K79&lt;&gt;"",INDIRECT("'数出表_Excel（アレルギー入力）'!"&amp;K79&amp;L79-1&amp;""),),)</f>
        <v>0</v>
      </c>
      <c r="N79" s="104" t="str">
        <f>IF(C79&lt;&gt;"",IF(OR(COUNTIF('盛付札（関数）'!D79,"*赤*"),COUNTIF('盛付札（関数）'!D79,"*キャラ*")),1,
VALUE(VLOOKUP("*"&amp;D79&amp;"*",商品マスタ!D:H,5,FALSE))),"")</f>
        <v/>
      </c>
      <c r="O79" s="104">
        <f t="shared" ca="1" si="56"/>
        <v>0</v>
      </c>
      <c r="P79" s="104">
        <f t="shared" si="33"/>
        <v>0</v>
      </c>
      <c r="Q79" s="104" t="b">
        <f t="shared" si="34"/>
        <v>0</v>
      </c>
      <c r="R79" s="176" t="str">
        <f t="array" aca="1" ref="R79" ca="1">IFERROR(SMALL(IF(P$1:P$311&lt;&gt;0,P$1:P$311),ROW(A79)),"")</f>
        <v/>
      </c>
      <c r="S79" s="176" t="str">
        <f t="array" aca="1" ref="S79" ca="1">IF($R79&lt;&gt;"",
SUBSTITUTE(SUBSTITUTE(INDIRECT("C"&amp;$R79&amp;"")," 週3ｺｰｽ","")," 週5ｺｰｽ",""),"")</f>
        <v/>
      </c>
      <c r="T79" s="176" t="str">
        <f t="array" aca="1" ref="T79" ca="1">IF(IF($R79&lt;&gt;"",
INDIRECT(""&amp;IF(COLUMN(D79)&lt;=26,CHAR(COLUMN(D79)+64),CHAR(INT((COLUMN(D79)-1)/26)+64)&amp;CHAR(MOD(COLUMN(D79)-1,26)+65))&amp;$R79&amp;""),"")=0,"",
IF($R79&lt;&gt;"",
INDIRECT(""&amp;IF(COLUMN(D79)&lt;=26,CHAR(COLUMN(D79)+64),CHAR(INT((COLUMN(D79)-1)/26)+64)&amp;CHAR(MOD(COLUMN(D79)-1,26)+65))&amp;$R79&amp;""),""))</f>
        <v/>
      </c>
      <c r="U79" s="218" t="str">
        <f t="array" aca="1" ref="U79" ca="1">IF($R79&lt;&gt;"",
INDIRECT("F"&amp;$R79&amp;""),"")</f>
        <v/>
      </c>
      <c r="V79" s="219" t="str">
        <f t="array" aca="1" ref="V79" ca="1">IF($R79&lt;&gt;"",
INDIRECT("G"&amp;$R79&amp;""),"")</f>
        <v/>
      </c>
      <c r="W79" s="219" t="str" cm="1">
        <f t="array" aca="1" ref="W79" ca="1">IF($R79&lt;&gt;"",
IF(AND(COUNTIF(INDIRECT("B"&amp;R79&amp;""),"*雙葉*"),COUNTIF($B$71:$B$210,"*雙葉*")&gt;=1),
IF(OR(COUNTIF(INDIRECT("B"&amp;R79&amp;""),"*雙葉先生*"),COUNTIF(INDIRECT("B"&amp;R79-1&amp;""),"*雙葉*")),INDIRECT("H"&amp;R79&amp;""),INDIRECT("H"&amp;R79&amp;"")+INDIRECT("H"&amp;MATCH("雙葉'",INDIRECT("B"&amp;R79+3&amp;":B210"),0)+2+R79&amp;"")),
IF(AND(LEFT(INDIRECT("B"&amp;R79&amp;""),2)="博多",COUNTIF(B:B,"*博多*")&gt;=2),
INDIRECT("H"&amp;R79&amp;"")+IFERROR(INDIRECT("H"&amp;MATCH("*"&amp;INDIRECT("B"&amp;R79&amp;"")&amp;"*",INDIRECT("B"&amp;R79+1&amp;":B210"),0)+R79&amp;""),0),
IF(AND(LEFT(INDIRECT("B"&amp;R79&amp;""),3)="奈良屋",COUNTIF(B:B,"*奈良屋*")&gt;=2),
INDIRECT("H"&amp;R79&amp;"")
+INDIRECT("H"&amp;MATCH("*"&amp;INDIRECT("B"&amp;R79&amp;"")&amp;"*",INDIRECT("B"&amp;R79+1&amp;":B210"),0)+R79&amp;"")
+INDIRECT("H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
+INDIRECT("H"&amp;MATCH("*"&amp;INDIRECT("B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&amp;"*",INDIRECT("B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+1&amp;":B210"),0)+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,
INDIRECT("H"&amp;R79&amp;"")))),"")</f>
        <v/>
      </c>
      <c r="X79" s="176" t="str">
        <f t="array" aca="1" ref="X79" ca="1">IF($R79&lt;&gt;"",
INDIRECT(""&amp;IF(COLUMN(I79)&lt;=26,CHAR(COLUMN(I79)+64),CHAR(INT((COLUMN(I79)-1)/26)+64)&amp;CHAR(MOD(COLUMN(I79)-1,26)+65))&amp;$R79&amp;""),"")</f>
        <v/>
      </c>
      <c r="Y79" s="176" t="str">
        <f t="array" aca="1" ref="Y79" ca="1">IF($R79&lt;&gt;"",
INDIRECT(""&amp;IF(COLUMN(J79)&lt;=26,CHAR(COLUMN(J79)+64),CHAR(INT((COLUMN(J79)-1)/26)+64)&amp;CHAR(MOD(COLUMN(J79)-1,26)+65))&amp;$R79&amp;""),"")</f>
        <v/>
      </c>
      <c r="Z79" s="176" t="str">
        <f t="shared" ca="1" si="35"/>
        <v/>
      </c>
      <c r="AA79" s="176" t="str">
        <f t="shared" ca="1" si="36"/>
        <v/>
      </c>
      <c r="AB79" s="176" t="str">
        <f t="array" aca="1" ref="AB79" ca="1">IF($R79&lt;&gt;"",
IF(AND(COUNTIF(INDIRECT("B"&amp;R79&amp;""),"*雙葉*"),COUNTIF(INDIRECT("B"&amp;R79&amp;""),"&lt;&gt;*先生*"),COUNTIF(B:B,"*雙葉*")&gt;=2),
INDIRECT("M"&amp;R79&amp;"")+INDIRECT("M"&amp;MATCH("雙葉'",INDIRECT("B"&amp;R79+1&amp;":B210"),0)+R79&amp;""),
IF(AND(LEFT(INDIRECT("B"&amp;R79&amp;""),2)="博多",COUNTIF(B:B,"*博多*")&gt;=2),
INDIRECT("M"&amp;R79&amp;"")+INDIRECT("M"&amp;MATCH("*"&amp;INDIRECT("B"&amp;R79&amp;"")&amp;"*",INDIRECT("B"&amp;R79+1&amp;":B210"),0)+R79&amp;""),
IF(AND(LEFT(INDIRECT("B"&amp;R79&amp;""),3)="奈良屋",COUNTIF(B:B,"*奈良屋*")&gt;=2),
INDIRECT("M"&amp;R79&amp;"")+INDIRECT("M"&amp;MATCH("*"&amp;INDIRECT("B"&amp;R79&amp;"")&amp;"*",INDIRECT("B"&amp;R79+1&amp;":B210"),0)+R79&amp;"")
+INDIRECT("M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,
INDIRECT("M"&amp;R79&amp;"")))),"")</f>
        <v/>
      </c>
      <c r="AC79" s="176" t="str">
        <f t="shared" ca="1" si="37"/>
        <v/>
      </c>
      <c r="AD79" s="176" t="str">
        <f t="shared" ca="1" si="38"/>
        <v/>
      </c>
      <c r="AE79" s="176" t="str">
        <f t="shared" ca="1" si="39"/>
        <v/>
      </c>
      <c r="AF79" s="176" t="str">
        <f t="shared" ca="1" si="40"/>
        <v/>
      </c>
      <c r="AG79" s="176" t="str">
        <f t="shared" ca="1" si="41"/>
        <v/>
      </c>
      <c r="AH79" s="183" t="str">
        <f t="shared" ca="1" si="42"/>
        <v/>
      </c>
      <c r="AI79" s="176" t="str">
        <f t="shared" ca="1" si="43"/>
        <v/>
      </c>
      <c r="AJ79" s="176" t="str">
        <f t="shared" ca="1" si="44"/>
        <v/>
      </c>
      <c r="AK79" s="176" t="str">
        <f t="shared" ca="1" si="45"/>
        <v/>
      </c>
      <c r="AL79" s="176" t="str">
        <f t="shared" ca="1" si="46"/>
        <v/>
      </c>
      <c r="AM79" s="176" t="str">
        <f t="shared" ca="1" si="47"/>
        <v/>
      </c>
      <c r="AN79" s="176" t="str">
        <f t="shared" ca="1" si="48"/>
        <v/>
      </c>
      <c r="AO79" s="176" t="str">
        <f t="shared" ca="1" si="49"/>
        <v/>
      </c>
      <c r="AP79" s="176" t="str">
        <f t="shared" ca="1" si="50"/>
        <v/>
      </c>
      <c r="AU79" s="176" t="str">
        <f t="shared" ca="1" si="51"/>
        <v/>
      </c>
    </row>
    <row r="80" spans="1:54" ht="22.2" customHeight="1">
      <c r="A80" s="103">
        <f t="shared" si="57"/>
        <v>25</v>
      </c>
      <c r="B80" s="104" t="str">
        <f t="shared" ca="1" si="55"/>
        <v/>
      </c>
      <c r="C80" s="104" t="str">
        <f>IF(OR(クライアント抽出!C10&lt;&gt;"",クライアント抽出!F10&lt;&gt;""),クライアント抽出!A10,"")</f>
        <v/>
      </c>
      <c r="D80" s="104" t="str">
        <f t="array" aca="1" ref="D80" ca="1">IF(C80&lt;&gt;"",INDIRECT("クライアント抽出!"&amp;E80&amp;MATCH(C80,クライアント抽出!A:A,0)&amp;""),"")</f>
        <v/>
      </c>
      <c r="E80" s="104" t="str">
        <f>IF(H80&lt;&gt;0,
IFERROR(
SUBSTITUTE(ADDRESS(1,
MATCH(VALUE(H80),クライアント抽出!A10:G10,0)+8,4),"1",""),
""),
IFERROR(
SUBSTITUTE(ADDRESS(1,
MATCH(VALUE(I80),クライアント抽出!A10:G10,0)+8,4),"1",""),
""))</f>
        <v/>
      </c>
      <c r="F80" s="186" t="str">
        <f ca="1">IF(D80&lt;&gt;"",
IF(COUNTIF(C80,"*雙葉*"),
IF(ROUND((H80-M80)
/IF(COUNTIF(D80,"*キャラ*"),
VLOOKUP("*キャラ*",商品マスタ!$D:$E,2,FALSE),
IF(COUNTIF(D80,"*赤*"),
VLOOKUP("*赤*",商品マスタ!$D:$E,2,FALSE),
VLOOKUP("*"&amp;D80&amp;"*",商品マスタ!$D:$E,2,FALSE))),0)&lt;=0,1,
ROUND((H80-M80)
/IF(COUNTIF(D80,"*キャラ*"),
VLOOKUP("*キャラ*",商品マスタ!$D:$E,2,FALSE),
IF(COUNTIF(D80,"*赤*"),
VLOOKUP("*赤*",商品マスタ!$D:$E,2,FALSE),
VLOOKUP("*"&amp;D80&amp;"*",商品マスタ!$D:$E,2,FALSE))),0)),
IF(OR(COUNTIF(D80,"*キャラ*"),COUNTIF(D80,"*赤*")),"",
IF(VLOOKUP("*"&amp;D80&amp;"*",商品マスタ!$D:$E,2,FALSE)=0,"",
IF(ROUND((H80-M80)
/VLOOKUP("*"&amp;D80&amp;"*",商品マスタ!$D:$E,2,FALSE),0)&lt;=0,1,
ROUND((H80-M80)
/VLOOKUP("*"&amp;D80&amp;"*",商品マスタ!$D:$E,2,FALSE),0))))),"")</f>
        <v/>
      </c>
      <c r="G80" s="104" t="str">
        <f ca="1">IF(F80&lt;&gt;"",
IF(VALUE(H80-M80)&gt;VALUE(IF(COUNTIF(D80,"*キャラ*"),
VLOOKUP("*キャラ*",商品マスタ!$D:$E,2,FALSE),
IF(COUNTIF(D80,"*赤*"),
VLOOKUP("*赤*",商品マスタ!$D:$E,2,FALSE),
VLOOKUP("*"&amp;D80&amp;"*",商品マスタ!$D:$E,2,FALSE)))*F80),
"+"&amp;(H80-M80)-IF(COUNTIF(D80,"*キャラ*"),
VLOOKUP("*キャラ*",商品マスタ!$D:$E,2,FALSE),
IF(COUNTIF(D80,"*赤*"),
VLOOKUP("*赤*",商品マスタ!$D:$E,2,FALSE),
VLOOKUP("*"&amp;D80&amp;"*",商品マスタ!$D:$E,2,FALSE)))*F80,
(H80-M80)-IF(COUNTIF(D80,"*キャラ*"),
VLOOKUP("*キャラ*",商品マスタ!$D:$E,2,FALSE),
IF(COUNTIF(D80,"*赤*"),
VLOOKUP("*赤*",商品マスタ!$D:$E,2,FALSE),
VLOOKUP("*"&amp;D80&amp;"*",商品マスタ!$D:$E,2,FALSE)))*F80),"")</f>
        <v/>
      </c>
      <c r="H80" s="105" t="str">
        <f>IF(C80&lt;&gt;"",
クライアント抽出!C10,"")</f>
        <v/>
      </c>
      <c r="I80" s="104" t="str">
        <f t="array" aca="1" ref="I80" ca="1">IF(C80&lt;&gt;"",
IF(O80=1,
IF(SUMPRODUCT(COUNTIF(クライアント抽出!P10:U10,クライアント抽出!P10:U10))&gt;COUNTA(クライアント抽出!P10:U10),
IFERROR(INDIRECT("数出表_Excel!"&amp;INDEX(_xlfn.UNIQUE(_xlfn._xlws.FILTER(クライアント抽出!P10:U10,COUNTIF(クライアント抽出!P10:U10,クライアント抽出!P10:U10)&gt;1)),1)&amp;L10&amp;""),
クライアント抽出!E10),0),クライアント抽出!F10),"")</f>
        <v/>
      </c>
      <c r="J80" s="104" t="str">
        <f>IF(C80&lt;&gt;"",
VLOOKUP(
"*"&amp;LEFT(IF(COUNTIF(D80,"*学食*"),"キャラ弁（学食）",
IF(COUNTIF(D80,"*赤*"),"赤",
IF(COUNTIF(D80,"*キャラ弁当*"),"キャラ弁当",D80))),4)&amp;"*",注文弁当の抽出!$F$1:$G$15,2,FALSE),"")</f>
        <v/>
      </c>
      <c r="K80" s="104" t="str">
        <f ca="1">IF(クライアント抽出!Q10&lt;&gt;"",SUBSTITUTE(ADDRESS(1,(CODE(クライアント抽出!Q10)-64)*2-1,4),"1",""),"")</f>
        <v/>
      </c>
      <c r="L80" s="104" t="str">
        <f>IF(C10&lt;&gt;"",クライアント抽出!I10,"")</f>
        <v/>
      </c>
      <c r="M80" s="104">
        <f t="array" aca="1" ref="M80" ca="1">IF(C80&lt;&gt;"",
IF(K80&lt;&gt;"",INDIRECT("'数出表_Excel（アレルギー入力）'!"&amp;K80&amp;L80-1&amp;""),),)</f>
        <v>0</v>
      </c>
      <c r="N80" s="104" t="str">
        <f>IF(C80&lt;&gt;"",IF(OR(COUNTIF('盛付札（関数）'!D80,"*赤*"),COUNTIF('盛付札（関数）'!D80,"*キャラ*")),1,
VALUE(VLOOKUP("*"&amp;D80&amp;"*",商品マスタ!D:H,5,FALSE))),"")</f>
        <v/>
      </c>
      <c r="O80" s="104">
        <f t="shared" ca="1" si="56"/>
        <v>0</v>
      </c>
      <c r="P80" s="104">
        <f t="shared" si="33"/>
        <v>0</v>
      </c>
      <c r="Q80" s="104" t="b">
        <f t="shared" si="34"/>
        <v>0</v>
      </c>
      <c r="R80" s="176" t="str">
        <f t="array" aca="1" ref="R80" ca="1">IFERROR(SMALL(IF(P$1:P$311&lt;&gt;0,P$1:P$311),ROW(A80)),"")</f>
        <v/>
      </c>
      <c r="S80" s="176" t="str">
        <f t="array" aca="1" ref="S80" ca="1">IF($R80&lt;&gt;"",
SUBSTITUTE(SUBSTITUTE(INDIRECT("C"&amp;$R80&amp;"")," 週3ｺｰｽ","")," 週5ｺｰｽ",""),"")</f>
        <v/>
      </c>
      <c r="T80" s="176" t="str">
        <f t="array" aca="1" ref="T80" ca="1">IF(IF($R80&lt;&gt;"",
INDIRECT(""&amp;IF(COLUMN(D80)&lt;=26,CHAR(COLUMN(D80)+64),CHAR(INT((COLUMN(D80)-1)/26)+64)&amp;CHAR(MOD(COLUMN(D80)-1,26)+65))&amp;$R80&amp;""),"")=0,"",
IF($R80&lt;&gt;"",
INDIRECT(""&amp;IF(COLUMN(D80)&lt;=26,CHAR(COLUMN(D80)+64),CHAR(INT((COLUMN(D80)-1)/26)+64)&amp;CHAR(MOD(COLUMN(D80)-1,26)+65))&amp;$R80&amp;""),""))</f>
        <v/>
      </c>
      <c r="U80" s="218" t="str">
        <f t="array" aca="1" ref="U80" ca="1">IF($R80&lt;&gt;"",
INDIRECT("F"&amp;$R80&amp;""),"")</f>
        <v/>
      </c>
      <c r="V80" s="219" t="str">
        <f t="array" aca="1" ref="V80" ca="1">IF($R80&lt;&gt;"",
INDIRECT("G"&amp;$R80&amp;""),"")</f>
        <v/>
      </c>
      <c r="W80" s="219" t="str" cm="1">
        <f t="array" aca="1" ref="W80" ca="1">IF($R80&lt;&gt;"",
IF(AND(COUNTIF(INDIRECT("B"&amp;R80&amp;""),"*雙葉*"),COUNTIF($B$71:$B$210,"*雙葉*")&gt;=1),
IF(OR(COUNTIF(INDIRECT("B"&amp;R80&amp;""),"*雙葉先生*"),COUNTIF(INDIRECT("B"&amp;R80-1&amp;""),"*雙葉*")),INDIRECT("H"&amp;R80&amp;""),INDIRECT("H"&amp;R80&amp;"")+INDIRECT("H"&amp;MATCH("雙葉'",INDIRECT("B"&amp;R80+3&amp;":B210"),0)+2+R80&amp;"")),
IF(AND(LEFT(INDIRECT("B"&amp;R80&amp;""),2)="博多",COUNTIF(B:B,"*博多*")&gt;=2),
INDIRECT("H"&amp;R80&amp;"")+IFERROR(INDIRECT("H"&amp;MATCH("*"&amp;INDIRECT("B"&amp;R80&amp;"")&amp;"*",INDIRECT("B"&amp;R80+1&amp;":B210"),0)+R80&amp;""),0),
IF(AND(LEFT(INDIRECT("B"&amp;R80&amp;""),3)="奈良屋",COUNTIF(B:B,"*奈良屋*")&gt;=2),
INDIRECT("H"&amp;R80&amp;"")
+INDIRECT("H"&amp;MATCH("*"&amp;INDIRECT("B"&amp;R80&amp;"")&amp;"*",INDIRECT("B"&amp;R80+1&amp;":B210"),0)+R80&amp;"")
+INDIRECT("H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
+INDIRECT("H"&amp;MATCH("*"&amp;INDIRECT("B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&amp;"*",INDIRECT("B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+1&amp;":B210"),0)+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,
INDIRECT("H"&amp;R80&amp;"")))),"")</f>
        <v/>
      </c>
      <c r="X80" s="176" t="str">
        <f t="array" aca="1" ref="X80" ca="1">IF($R80&lt;&gt;"",
INDIRECT(""&amp;IF(COLUMN(I80)&lt;=26,CHAR(COLUMN(I80)+64),CHAR(INT((COLUMN(I80)-1)/26)+64)&amp;CHAR(MOD(COLUMN(I80)-1,26)+65))&amp;$R80&amp;""),"")</f>
        <v/>
      </c>
      <c r="Y80" s="176" t="str">
        <f t="array" aca="1" ref="Y80" ca="1">IF($R80&lt;&gt;"",
INDIRECT(""&amp;IF(COLUMN(J80)&lt;=26,CHAR(COLUMN(J80)+64),CHAR(INT((COLUMN(J80)-1)/26)+64)&amp;CHAR(MOD(COLUMN(J80)-1,26)+65))&amp;$R80&amp;""),"")</f>
        <v/>
      </c>
      <c r="Z80" s="176" t="str">
        <f t="shared" ca="1" si="35"/>
        <v/>
      </c>
      <c r="AA80" s="176" t="str">
        <f t="shared" ca="1" si="36"/>
        <v/>
      </c>
      <c r="AB80" s="176" t="str">
        <f t="array" aca="1" ref="AB80" ca="1">IF($R80&lt;&gt;"",
IF(AND(COUNTIF(INDIRECT("B"&amp;R80&amp;""),"*雙葉*"),COUNTIF(INDIRECT("B"&amp;R80&amp;""),"&lt;&gt;*先生*"),COUNTIF(B:B,"*雙葉*")&gt;=2),
INDIRECT("M"&amp;R80&amp;"")+INDIRECT("M"&amp;MATCH("雙葉'",INDIRECT("B"&amp;R80+1&amp;":B210"),0)+R80&amp;""),
IF(AND(LEFT(INDIRECT("B"&amp;R80&amp;""),2)="博多",COUNTIF(B:B,"*博多*")&gt;=2),
INDIRECT("M"&amp;R80&amp;"")+INDIRECT("M"&amp;MATCH("*"&amp;INDIRECT("B"&amp;R80&amp;"")&amp;"*",INDIRECT("B"&amp;R80+1&amp;":B210"),0)+R80&amp;""),
IF(AND(LEFT(INDIRECT("B"&amp;R80&amp;""),3)="奈良屋",COUNTIF(B:B,"*奈良屋*")&gt;=2),
INDIRECT("M"&amp;R80&amp;"")+INDIRECT("M"&amp;MATCH("*"&amp;INDIRECT("B"&amp;R80&amp;"")&amp;"*",INDIRECT("B"&amp;R80+1&amp;":B210"),0)+R80&amp;"")
+INDIRECT("M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,
INDIRECT("M"&amp;R80&amp;"")))),"")</f>
        <v/>
      </c>
      <c r="AC80" s="176" t="str">
        <f t="shared" ca="1" si="37"/>
        <v/>
      </c>
      <c r="AD80" s="176" t="str">
        <f t="shared" ca="1" si="38"/>
        <v/>
      </c>
      <c r="AE80" s="176" t="str">
        <f t="shared" ca="1" si="39"/>
        <v/>
      </c>
      <c r="AF80" s="176" t="str">
        <f t="shared" ca="1" si="40"/>
        <v/>
      </c>
      <c r="AG80" s="176" t="str">
        <f t="shared" ca="1" si="41"/>
        <v/>
      </c>
      <c r="AH80" s="183" t="str">
        <f t="shared" ca="1" si="42"/>
        <v/>
      </c>
      <c r="AI80" s="176" t="str">
        <f t="shared" ca="1" si="43"/>
        <v/>
      </c>
      <c r="AJ80" s="176" t="str">
        <f t="shared" ca="1" si="44"/>
        <v/>
      </c>
      <c r="AK80" s="176" t="str">
        <f t="shared" ca="1" si="45"/>
        <v/>
      </c>
      <c r="AL80" s="176" t="str">
        <f t="shared" ca="1" si="46"/>
        <v/>
      </c>
      <c r="AM80" s="176" t="str">
        <f t="shared" ca="1" si="47"/>
        <v/>
      </c>
      <c r="AN80" s="176" t="str">
        <f t="shared" ca="1" si="48"/>
        <v/>
      </c>
      <c r="AO80" s="176" t="str">
        <f t="shared" ca="1" si="49"/>
        <v/>
      </c>
      <c r="AP80" s="176" t="str">
        <f t="shared" ca="1" si="50"/>
        <v/>
      </c>
      <c r="AU80" s="176" t="str">
        <f t="shared" ca="1" si="51"/>
        <v/>
      </c>
    </row>
    <row r="81" spans="1:47" ht="22.2" customHeight="1">
      <c r="A81" s="103">
        <f t="shared" si="57"/>
        <v>27</v>
      </c>
      <c r="B81" s="104" t="str">
        <f t="shared" ca="1" si="55"/>
        <v/>
      </c>
      <c r="C81" s="104" t="str">
        <f>IF(OR(クライアント抽出!C11&lt;&gt;"",クライアント抽出!F11&lt;&gt;""),クライアント抽出!A11,"")</f>
        <v/>
      </c>
      <c r="D81" s="104" t="str">
        <f t="array" aca="1" ref="D81" ca="1">IF(C81&lt;&gt;"",INDIRECT("クライアント抽出!"&amp;E81&amp;MATCH(C81,クライアント抽出!A:A,0)&amp;""),"")</f>
        <v/>
      </c>
      <c r="E81" s="104" t="str">
        <f>IF(H81&lt;&gt;0,
IFERROR(
SUBSTITUTE(ADDRESS(1,
MATCH(VALUE(H81),クライアント抽出!A11:G11,0)+8,4),"1",""),
""),
IFERROR(
SUBSTITUTE(ADDRESS(1,
MATCH(VALUE(I81),クライアント抽出!A11:G11,0)+8,4),"1",""),
""))</f>
        <v/>
      </c>
      <c r="F81" s="186" t="str">
        <f ca="1">IF(D81&lt;&gt;"",
IF(COUNTIF(C81,"*雙葉*"),
IF(ROUND((H81-M81)
/IF(COUNTIF(D81,"*キャラ*"),
VLOOKUP("*キャラ*",商品マスタ!$D:$E,2,FALSE),
IF(COUNTIF(D81,"*赤*"),
VLOOKUP("*赤*",商品マスタ!$D:$E,2,FALSE),
VLOOKUP("*"&amp;D81&amp;"*",商品マスタ!$D:$E,2,FALSE))),0)&lt;=0,1,
ROUND((H81-M81)
/IF(COUNTIF(D81,"*キャラ*"),
VLOOKUP("*キャラ*",商品マスタ!$D:$E,2,FALSE),
IF(COUNTIF(D81,"*赤*"),
VLOOKUP("*赤*",商品マスタ!$D:$E,2,FALSE),
VLOOKUP("*"&amp;D81&amp;"*",商品マスタ!$D:$E,2,FALSE))),0)),
IF(OR(COUNTIF(D81,"*キャラ*"),COUNTIF(D81,"*赤*")),"",
IF(VLOOKUP("*"&amp;D81&amp;"*",商品マスタ!$D:$E,2,FALSE)=0,"",
IF(ROUND((H81-M81)
/VLOOKUP("*"&amp;D81&amp;"*",商品マスタ!$D:$E,2,FALSE),0)&lt;=0,1,
ROUND((H81-M81)
/VLOOKUP("*"&amp;D81&amp;"*",商品マスタ!$D:$E,2,FALSE),0))))),"")</f>
        <v/>
      </c>
      <c r="G81" s="104" t="str">
        <f ca="1">IF(F81&lt;&gt;"",
IF(VALUE(H81-M81)&gt;VALUE(IF(COUNTIF(D81,"*キャラ*"),
VLOOKUP("*キャラ*",商品マスタ!$D:$E,2,FALSE),
IF(COUNTIF(D81,"*赤*"),
VLOOKUP("*赤*",商品マスタ!$D:$E,2,FALSE),
VLOOKUP("*"&amp;D81&amp;"*",商品マスタ!$D:$E,2,FALSE)))*F81),
"+"&amp;(H81-M81)-IF(COUNTIF(D81,"*キャラ*"),
VLOOKUP("*キャラ*",商品マスタ!$D:$E,2,FALSE),
IF(COUNTIF(D81,"*赤*"),
VLOOKUP("*赤*",商品マスタ!$D:$E,2,FALSE),
VLOOKUP("*"&amp;D81&amp;"*",商品マスタ!$D:$E,2,FALSE)))*F81,
(H81-M81)-IF(COUNTIF(D81,"*キャラ*"),
VLOOKUP("*キャラ*",商品マスタ!$D:$E,2,FALSE),
IF(COUNTIF(D81,"*赤*"),
VLOOKUP("*赤*",商品マスタ!$D:$E,2,FALSE),
VLOOKUP("*"&amp;D81&amp;"*",商品マスタ!$D:$E,2,FALSE)))*F81),"")</f>
        <v/>
      </c>
      <c r="H81" s="105" t="str">
        <f>IF(C81&lt;&gt;"",
クライアント抽出!C11,"")</f>
        <v/>
      </c>
      <c r="I81" s="104" t="str">
        <f t="array" aca="1" ref="I81" ca="1">IF(C81&lt;&gt;"",
IF(O81=1,
IF(SUMPRODUCT(COUNTIF(クライアント抽出!P11:U11,クライアント抽出!P11:U11))&gt;COUNTA(クライアント抽出!P11:U11),
IFERROR(INDIRECT("数出表_Excel!"&amp;INDEX(_xlfn.UNIQUE(_xlfn._xlws.FILTER(クライアント抽出!P11:U11,COUNTIF(クライアント抽出!P11:U11,クライアント抽出!P11:U11)&gt;1)),1)&amp;L11&amp;""),
クライアント抽出!E11),0),クライアント抽出!F11),"")</f>
        <v/>
      </c>
      <c r="J81" s="104" t="str">
        <f>IF(C81&lt;&gt;"",
VLOOKUP(
"*"&amp;LEFT(IF(COUNTIF(D81,"*学食*"),"キャラ弁（学食）",
IF(COUNTIF(D81,"*赤*"),"赤",
IF(COUNTIF(D81,"*キャラ弁当*"),"キャラ弁当",D81))),4)&amp;"*",注文弁当の抽出!$F$1:$G$15,2,FALSE),"")</f>
        <v/>
      </c>
      <c r="K81" s="104" t="str">
        <f ca="1">IF(クライアント抽出!Q11&lt;&gt;"",SUBSTITUTE(ADDRESS(1,(CODE(クライアント抽出!Q11)-64)*2-1,4),"1",""),"")</f>
        <v/>
      </c>
      <c r="L81" s="104" t="str">
        <f>IF(C11&lt;&gt;"",クライアント抽出!I11,"")</f>
        <v/>
      </c>
      <c r="M81" s="104">
        <f t="array" aca="1" ref="M81" ca="1">IF(C81&lt;&gt;"",
IF(K81&lt;&gt;"",INDIRECT("'数出表_Excel（アレルギー入力）'!"&amp;K81&amp;L81-1&amp;""),),)</f>
        <v>0</v>
      </c>
      <c r="N81" s="104" t="str">
        <f>IF(C81&lt;&gt;"",IF(OR(COUNTIF('盛付札（関数）'!D81,"*赤*"),COUNTIF('盛付札（関数）'!D81,"*キャラ*")),1,
VALUE(VLOOKUP("*"&amp;D81&amp;"*",商品マスタ!D:H,5,FALSE))),"")</f>
        <v/>
      </c>
      <c r="O81" s="104">
        <f t="shared" ca="1" si="56"/>
        <v>0</v>
      </c>
      <c r="P81" s="104">
        <f t="shared" si="33"/>
        <v>0</v>
      </c>
      <c r="Q81" s="104" t="b">
        <f t="shared" si="34"/>
        <v>0</v>
      </c>
      <c r="R81" s="176" t="str">
        <f t="array" aca="1" ref="R81" ca="1">IFERROR(SMALL(IF(P$1:P$311&lt;&gt;0,P$1:P$311),ROW(A81)),"")</f>
        <v/>
      </c>
      <c r="S81" s="176" t="str">
        <f t="array" aca="1" ref="S81" ca="1">IF($R81&lt;&gt;"",
SUBSTITUTE(SUBSTITUTE(INDIRECT("C"&amp;$R81&amp;"")," 週3ｺｰｽ","")," 週5ｺｰｽ",""),"")</f>
        <v/>
      </c>
      <c r="T81" s="176" t="str">
        <f t="array" aca="1" ref="T81" ca="1">IF(IF($R81&lt;&gt;"",
INDIRECT(""&amp;IF(COLUMN(D81)&lt;=26,CHAR(COLUMN(D81)+64),CHAR(INT((COLUMN(D81)-1)/26)+64)&amp;CHAR(MOD(COLUMN(D81)-1,26)+65))&amp;$R81&amp;""),"")=0,"",
IF($R81&lt;&gt;"",
INDIRECT(""&amp;IF(COLUMN(D81)&lt;=26,CHAR(COLUMN(D81)+64),CHAR(INT((COLUMN(D81)-1)/26)+64)&amp;CHAR(MOD(COLUMN(D81)-1,26)+65))&amp;$R81&amp;""),""))</f>
        <v/>
      </c>
      <c r="U81" s="218" t="str">
        <f t="array" aca="1" ref="U81" ca="1">IF($R81&lt;&gt;"",
INDIRECT("F"&amp;$R81&amp;""),"")</f>
        <v/>
      </c>
      <c r="V81" s="219" t="str">
        <f t="array" aca="1" ref="V81" ca="1">IF($R81&lt;&gt;"",
INDIRECT("G"&amp;$R81&amp;""),"")</f>
        <v/>
      </c>
      <c r="W81" s="219" t="str" cm="1">
        <f t="array" aca="1" ref="W81" ca="1">IF($R81&lt;&gt;"",
IF(AND(COUNTIF(INDIRECT("B"&amp;R81&amp;""),"*雙葉*"),COUNTIF($B$71:$B$210,"*雙葉*")&gt;=1),
IF(OR(COUNTIF(INDIRECT("B"&amp;R81&amp;""),"*雙葉先生*"),COUNTIF(INDIRECT("B"&amp;R81-1&amp;""),"*雙葉*")),INDIRECT("H"&amp;R81&amp;""),INDIRECT("H"&amp;R81&amp;"")+INDIRECT("H"&amp;MATCH("雙葉'",INDIRECT("B"&amp;R81+3&amp;":B210"),0)+2+R81&amp;"")),
IF(AND(LEFT(INDIRECT("B"&amp;R81&amp;""),2)="博多",COUNTIF(B:B,"*博多*")&gt;=2),
INDIRECT("H"&amp;R81&amp;"")+IFERROR(INDIRECT("H"&amp;MATCH("*"&amp;INDIRECT("B"&amp;R81&amp;"")&amp;"*",INDIRECT("B"&amp;R81+1&amp;":B210"),0)+R81&amp;""),0),
IF(AND(LEFT(INDIRECT("B"&amp;R81&amp;""),3)="奈良屋",COUNTIF(B:B,"*奈良屋*")&gt;=2),
INDIRECT("H"&amp;R81&amp;"")
+INDIRECT("H"&amp;MATCH("*"&amp;INDIRECT("B"&amp;R81&amp;"")&amp;"*",INDIRECT("B"&amp;R81+1&amp;":B210"),0)+R81&amp;"")
+INDIRECT("H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
+INDIRECT("H"&amp;MATCH("*"&amp;INDIRECT("B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&amp;"*",INDIRECT("B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+1&amp;":B210"),0)+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,
INDIRECT("H"&amp;R81&amp;"")))),"")</f>
        <v/>
      </c>
      <c r="X81" s="176" t="str">
        <f t="array" aca="1" ref="X81" ca="1">IF($R81&lt;&gt;"",
INDIRECT(""&amp;IF(COLUMN(I81)&lt;=26,CHAR(COLUMN(I81)+64),CHAR(INT((COLUMN(I81)-1)/26)+64)&amp;CHAR(MOD(COLUMN(I81)-1,26)+65))&amp;$R81&amp;""),"")</f>
        <v/>
      </c>
      <c r="Y81" s="176" t="str">
        <f t="array" aca="1" ref="Y81" ca="1">IF($R81&lt;&gt;"",
INDIRECT(""&amp;IF(COLUMN(J81)&lt;=26,CHAR(COLUMN(J81)+64),CHAR(INT((COLUMN(J81)-1)/26)+64)&amp;CHAR(MOD(COLUMN(J81)-1,26)+65))&amp;$R81&amp;""),"")</f>
        <v/>
      </c>
      <c r="Z81" s="176" t="str">
        <f t="shared" ca="1" si="35"/>
        <v/>
      </c>
      <c r="AA81" s="176" t="str">
        <f t="shared" ca="1" si="36"/>
        <v/>
      </c>
      <c r="AB81" s="176" t="str">
        <f t="array" aca="1" ref="AB81" ca="1">IF($R81&lt;&gt;"",
IF(AND(COUNTIF(INDIRECT("B"&amp;R81&amp;""),"*雙葉*"),COUNTIF(INDIRECT("B"&amp;R81&amp;""),"&lt;&gt;*先生*"),COUNTIF(B:B,"*雙葉*")&gt;=2),
INDIRECT("M"&amp;R81&amp;"")+INDIRECT("M"&amp;MATCH("雙葉'",INDIRECT("B"&amp;R81+1&amp;":B210"),0)+R81&amp;""),
IF(AND(LEFT(INDIRECT("B"&amp;R81&amp;""),2)="博多",COUNTIF(B:B,"*博多*")&gt;=2),
INDIRECT("M"&amp;R81&amp;"")+INDIRECT("M"&amp;MATCH("*"&amp;INDIRECT("B"&amp;R81&amp;"")&amp;"*",INDIRECT("B"&amp;R81+1&amp;":B210"),0)+R81&amp;""),
IF(AND(LEFT(INDIRECT("B"&amp;R81&amp;""),3)="奈良屋",COUNTIF(B:B,"*奈良屋*")&gt;=2),
INDIRECT("M"&amp;R81&amp;"")+INDIRECT("M"&amp;MATCH("*"&amp;INDIRECT("B"&amp;R81&amp;"")&amp;"*",INDIRECT("B"&amp;R81+1&amp;":B210"),0)+R81&amp;"")
+INDIRECT("M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,
INDIRECT("M"&amp;R81&amp;"")))),"")</f>
        <v/>
      </c>
      <c r="AC81" s="176" t="str">
        <f t="shared" ca="1" si="37"/>
        <v/>
      </c>
      <c r="AD81" s="176" t="str">
        <f t="shared" ca="1" si="38"/>
        <v/>
      </c>
      <c r="AE81" s="176" t="str">
        <f t="shared" ca="1" si="39"/>
        <v/>
      </c>
      <c r="AF81" s="176" t="str">
        <f t="shared" ca="1" si="40"/>
        <v/>
      </c>
      <c r="AG81" s="176" t="str">
        <f t="shared" ca="1" si="41"/>
        <v/>
      </c>
      <c r="AH81" s="183" t="str">
        <f t="shared" ca="1" si="42"/>
        <v/>
      </c>
      <c r="AI81" s="176" t="str">
        <f t="shared" ca="1" si="43"/>
        <v/>
      </c>
      <c r="AJ81" s="176" t="str">
        <f t="shared" ca="1" si="44"/>
        <v/>
      </c>
      <c r="AK81" s="176" t="str">
        <f t="shared" ca="1" si="45"/>
        <v/>
      </c>
      <c r="AL81" s="176" t="str">
        <f t="shared" ca="1" si="46"/>
        <v/>
      </c>
      <c r="AM81" s="176" t="str">
        <f t="shared" ca="1" si="47"/>
        <v/>
      </c>
      <c r="AN81" s="176" t="str">
        <f t="shared" ca="1" si="48"/>
        <v/>
      </c>
      <c r="AO81" s="176" t="str">
        <f t="shared" ca="1" si="49"/>
        <v/>
      </c>
      <c r="AP81" s="176" t="str">
        <f t="shared" ca="1" si="50"/>
        <v/>
      </c>
      <c r="AU81" s="176" t="str">
        <f t="shared" ca="1" si="51"/>
        <v/>
      </c>
    </row>
    <row r="82" spans="1:47" ht="22.2" customHeight="1">
      <c r="A82" s="103">
        <f t="shared" si="57"/>
        <v>29</v>
      </c>
      <c r="B82" s="104" t="str">
        <f t="shared" ca="1" si="55"/>
        <v/>
      </c>
      <c r="C82" s="104" t="str">
        <f>IF(OR(クライアント抽出!C12&lt;&gt;"",クライアント抽出!F12&lt;&gt;""),クライアント抽出!A12,"")</f>
        <v/>
      </c>
      <c r="D82" s="104" t="str">
        <f t="array" aca="1" ref="D82" ca="1">IF(C82&lt;&gt;"",INDIRECT("クライアント抽出!"&amp;E82&amp;MATCH(C82,クライアント抽出!A:A,0)&amp;""),"")</f>
        <v/>
      </c>
      <c r="E82" s="104" t="str">
        <f>IF(H82&lt;&gt;0,
IFERROR(
SUBSTITUTE(ADDRESS(1,
MATCH(VALUE(H82),クライアント抽出!A12:G12,0)+8,4),"1",""),
""),
IFERROR(
SUBSTITUTE(ADDRESS(1,
MATCH(VALUE(I82),クライアント抽出!A12:G12,0)+8,4),"1",""),
""))</f>
        <v/>
      </c>
      <c r="F82" s="186" t="str">
        <f ca="1">IF(D82&lt;&gt;"",
IF(COUNTIF(C82,"*雙葉*"),
IF(ROUND((H82-M82)
/IF(COUNTIF(D82,"*キャラ*"),
VLOOKUP("*キャラ*",商品マスタ!$D:$E,2,FALSE),
IF(COUNTIF(D82,"*赤*"),
VLOOKUP("*赤*",商品マスタ!$D:$E,2,FALSE),
VLOOKUP("*"&amp;D82&amp;"*",商品マスタ!$D:$E,2,FALSE))),0)&lt;=0,1,
ROUND((H82-M82)
/IF(COUNTIF(D82,"*キャラ*"),
VLOOKUP("*キャラ*",商品マスタ!$D:$E,2,FALSE),
IF(COUNTIF(D82,"*赤*"),
VLOOKUP("*赤*",商品マスタ!$D:$E,2,FALSE),
VLOOKUP("*"&amp;D82&amp;"*",商品マスタ!$D:$E,2,FALSE))),0)),
IF(OR(COUNTIF(D82,"*キャラ*"),COUNTIF(D82,"*赤*")),"",
IF(VLOOKUP("*"&amp;D82&amp;"*",商品マスタ!$D:$E,2,FALSE)=0,"",
IF(ROUND((H82-M82)
/VLOOKUP("*"&amp;D82&amp;"*",商品マスタ!$D:$E,2,FALSE),0)&lt;=0,1,
ROUND((H82-M82)
/VLOOKUP("*"&amp;D82&amp;"*",商品マスタ!$D:$E,2,FALSE),0))))),"")</f>
        <v/>
      </c>
      <c r="G82" s="104" t="str">
        <f ca="1">IF(F82&lt;&gt;"",
IF(VALUE(H82-M82)&gt;VALUE(IF(COUNTIF(D82,"*キャラ*"),
VLOOKUP("*キャラ*",商品マスタ!$D:$E,2,FALSE),
IF(COUNTIF(D82,"*赤*"),
VLOOKUP("*赤*",商品マスタ!$D:$E,2,FALSE),
VLOOKUP("*"&amp;D82&amp;"*",商品マスタ!$D:$E,2,FALSE)))*F82),
"+"&amp;(H82-M82)-IF(COUNTIF(D82,"*キャラ*"),
VLOOKUP("*キャラ*",商品マスタ!$D:$E,2,FALSE),
IF(COUNTIF(D82,"*赤*"),
VLOOKUP("*赤*",商品マスタ!$D:$E,2,FALSE),
VLOOKUP("*"&amp;D82&amp;"*",商品マスタ!$D:$E,2,FALSE)))*F82,
(H82-M82)-IF(COUNTIF(D82,"*キャラ*"),
VLOOKUP("*キャラ*",商品マスタ!$D:$E,2,FALSE),
IF(COUNTIF(D82,"*赤*"),
VLOOKUP("*赤*",商品マスタ!$D:$E,2,FALSE),
VLOOKUP("*"&amp;D82&amp;"*",商品マスタ!$D:$E,2,FALSE)))*F82),"")</f>
        <v/>
      </c>
      <c r="H82" s="105" t="str">
        <f>IF(C82&lt;&gt;"",
クライアント抽出!C12,"")</f>
        <v/>
      </c>
      <c r="I82" s="104" t="str">
        <f t="array" aca="1" ref="I82" ca="1">IF(C82&lt;&gt;"",
IF(O82=1,
IF(SUMPRODUCT(COUNTIF(クライアント抽出!P12:U12,クライアント抽出!P12:U12))&gt;COUNTA(クライアント抽出!P12:U12),
IFERROR(INDIRECT("数出表_Excel!"&amp;INDEX(_xlfn.UNIQUE(_xlfn._xlws.FILTER(クライアント抽出!P12:U12,COUNTIF(クライアント抽出!P12:U12,クライアント抽出!P12:U12)&gt;1)),1)&amp;L12&amp;""),
クライアント抽出!E12),0),クライアント抽出!F12),"")</f>
        <v/>
      </c>
      <c r="J82" s="104" t="str">
        <f>IF(C82&lt;&gt;"",
VLOOKUP(
"*"&amp;LEFT(IF(COUNTIF(D82,"*学食*"),"キャラ弁（学食）",
IF(COUNTIF(D82,"*赤*"),"赤",
IF(COUNTIF(D82,"*キャラ弁当*"),"キャラ弁当",D82))),4)&amp;"*",注文弁当の抽出!$F$1:$G$15,2,FALSE),"")</f>
        <v/>
      </c>
      <c r="K82" s="104" t="str">
        <f ca="1">IF(クライアント抽出!Q12&lt;&gt;"",SUBSTITUTE(ADDRESS(1,(CODE(クライアント抽出!Q12)-64)*2-1,4),"1",""),"")</f>
        <v/>
      </c>
      <c r="L82" s="104" t="str">
        <f>IF(C12&lt;&gt;"",クライアント抽出!I12,"")</f>
        <v/>
      </c>
      <c r="M82" s="104">
        <f t="array" aca="1" ref="M82" ca="1">IF(C82&lt;&gt;"",
IF(K82&lt;&gt;"",INDIRECT("'数出表_Excel（アレルギー入力）'!"&amp;K82&amp;L82-1&amp;""),),)</f>
        <v>0</v>
      </c>
      <c r="N82" s="104" t="str">
        <f>IF(C82&lt;&gt;"",IF(OR(COUNTIF('盛付札（関数）'!D82,"*赤*"),COUNTIF('盛付札（関数）'!D82,"*キャラ*")),1,
VALUE(VLOOKUP("*"&amp;D82&amp;"*",商品マスタ!D:H,5,FALSE))),"")</f>
        <v/>
      </c>
      <c r="O82" s="104">
        <f t="shared" ca="1" si="56"/>
        <v>0</v>
      </c>
      <c r="P82" s="104">
        <f t="shared" si="33"/>
        <v>0</v>
      </c>
      <c r="Q82" s="104" t="b">
        <f t="shared" si="34"/>
        <v>0</v>
      </c>
      <c r="R82" s="176" t="str">
        <f t="array" aca="1" ref="R82" ca="1">IFERROR(SMALL(IF(P$1:P$311&lt;&gt;0,P$1:P$311),ROW(A82)),"")</f>
        <v/>
      </c>
      <c r="S82" s="176" t="str">
        <f t="array" aca="1" ref="S82" ca="1">IF($R82&lt;&gt;"",
SUBSTITUTE(SUBSTITUTE(INDIRECT("C"&amp;$R82&amp;"")," 週3ｺｰｽ","")," 週5ｺｰｽ",""),"")</f>
        <v/>
      </c>
      <c r="T82" s="176" t="str">
        <f t="array" aca="1" ref="T82" ca="1">IF(IF($R82&lt;&gt;"",
INDIRECT(""&amp;IF(COLUMN(D82)&lt;=26,CHAR(COLUMN(D82)+64),CHAR(INT((COLUMN(D82)-1)/26)+64)&amp;CHAR(MOD(COLUMN(D82)-1,26)+65))&amp;$R82&amp;""),"")=0,"",
IF($R82&lt;&gt;"",
INDIRECT(""&amp;IF(COLUMN(D82)&lt;=26,CHAR(COLUMN(D82)+64),CHAR(INT((COLUMN(D82)-1)/26)+64)&amp;CHAR(MOD(COLUMN(D82)-1,26)+65))&amp;$R82&amp;""),""))</f>
        <v/>
      </c>
      <c r="U82" s="218" t="str">
        <f t="array" aca="1" ref="U82" ca="1">IF($R82&lt;&gt;"",
INDIRECT("F"&amp;$R82&amp;""),"")</f>
        <v/>
      </c>
      <c r="V82" s="219" t="str">
        <f t="array" aca="1" ref="V82" ca="1">IF($R82&lt;&gt;"",
INDIRECT("G"&amp;$R82&amp;""),"")</f>
        <v/>
      </c>
      <c r="W82" s="219" t="str" cm="1">
        <f t="array" aca="1" ref="W82" ca="1">IF($R82&lt;&gt;"",
IF(AND(COUNTIF(INDIRECT("B"&amp;R82&amp;""),"*雙葉*"),COUNTIF($B$71:$B$210,"*雙葉*")&gt;=1),
IF(OR(COUNTIF(INDIRECT("B"&amp;R82&amp;""),"*雙葉先生*"),COUNTIF(INDIRECT("B"&amp;R82-1&amp;""),"*雙葉*")),INDIRECT("H"&amp;R82&amp;""),INDIRECT("H"&amp;R82&amp;"")+INDIRECT("H"&amp;MATCH("雙葉'",INDIRECT("B"&amp;R82+3&amp;":B210"),0)+2+R82&amp;"")),
IF(AND(LEFT(INDIRECT("B"&amp;R82&amp;""),2)="博多",COUNTIF(B:B,"*博多*")&gt;=2),
INDIRECT("H"&amp;R82&amp;"")+IFERROR(INDIRECT("H"&amp;MATCH("*"&amp;INDIRECT("B"&amp;R82&amp;"")&amp;"*",INDIRECT("B"&amp;R82+1&amp;":B210"),0)+R82&amp;""),0),
IF(AND(LEFT(INDIRECT("B"&amp;R82&amp;""),3)="奈良屋",COUNTIF(B:B,"*奈良屋*")&gt;=2),
INDIRECT("H"&amp;R82&amp;"")
+INDIRECT("H"&amp;MATCH("*"&amp;INDIRECT("B"&amp;R82&amp;"")&amp;"*",INDIRECT("B"&amp;R82+1&amp;":B210"),0)+R82&amp;"")
+INDIRECT("H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
+INDIRECT("H"&amp;MATCH("*"&amp;INDIRECT("B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&amp;"*",INDIRECT("B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+1&amp;":B210"),0)+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,
INDIRECT("H"&amp;R82&amp;"")))),"")</f>
        <v/>
      </c>
      <c r="X82" s="176" t="str">
        <f t="array" aca="1" ref="X82" ca="1">IF($R82&lt;&gt;"",
INDIRECT(""&amp;IF(COLUMN(I82)&lt;=26,CHAR(COLUMN(I82)+64),CHAR(INT((COLUMN(I82)-1)/26)+64)&amp;CHAR(MOD(COLUMN(I82)-1,26)+65))&amp;$R82&amp;""),"")</f>
        <v/>
      </c>
      <c r="Y82" s="176" t="str">
        <f t="array" aca="1" ref="Y82" ca="1">IF($R82&lt;&gt;"",
INDIRECT(""&amp;IF(COLUMN(J82)&lt;=26,CHAR(COLUMN(J82)+64),CHAR(INT((COLUMN(J82)-1)/26)+64)&amp;CHAR(MOD(COLUMN(J82)-1,26)+65))&amp;$R82&amp;""),"")</f>
        <v/>
      </c>
      <c r="Z82" s="176" t="str">
        <f t="shared" ca="1" si="35"/>
        <v/>
      </c>
      <c r="AA82" s="176" t="str">
        <f t="shared" ca="1" si="36"/>
        <v/>
      </c>
      <c r="AB82" s="176" t="str">
        <f t="array" aca="1" ref="AB82" ca="1">IF($R82&lt;&gt;"",
IF(AND(COUNTIF(INDIRECT("B"&amp;R82&amp;""),"*雙葉*"),COUNTIF(INDIRECT("B"&amp;R82&amp;""),"&lt;&gt;*先生*"),COUNTIF(B:B,"*雙葉*")&gt;=2),
INDIRECT("M"&amp;R82&amp;"")+INDIRECT("M"&amp;MATCH("雙葉'",INDIRECT("B"&amp;R82+1&amp;":B210"),0)+R82&amp;""),
IF(AND(LEFT(INDIRECT("B"&amp;R82&amp;""),2)="博多",COUNTIF(B:B,"*博多*")&gt;=2),
INDIRECT("M"&amp;R82&amp;"")+INDIRECT("M"&amp;MATCH("*"&amp;INDIRECT("B"&amp;R82&amp;"")&amp;"*",INDIRECT("B"&amp;R82+1&amp;":B210"),0)+R82&amp;""),
IF(AND(LEFT(INDIRECT("B"&amp;R82&amp;""),3)="奈良屋",COUNTIF(B:B,"*奈良屋*")&gt;=2),
INDIRECT("M"&amp;R82&amp;"")+INDIRECT("M"&amp;MATCH("*"&amp;INDIRECT("B"&amp;R82&amp;"")&amp;"*",INDIRECT("B"&amp;R82+1&amp;":B210"),0)+R82&amp;"")
+INDIRECT("M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,
INDIRECT("M"&amp;R82&amp;"")))),"")</f>
        <v/>
      </c>
      <c r="AC82" s="176" t="str">
        <f t="shared" ca="1" si="37"/>
        <v/>
      </c>
      <c r="AD82" s="176" t="str">
        <f t="shared" ca="1" si="38"/>
        <v/>
      </c>
      <c r="AE82" s="176" t="str">
        <f t="shared" ca="1" si="39"/>
        <v/>
      </c>
      <c r="AF82" s="176" t="str">
        <f t="shared" ca="1" si="40"/>
        <v/>
      </c>
      <c r="AG82" s="176" t="str">
        <f t="shared" ca="1" si="41"/>
        <v/>
      </c>
      <c r="AH82" s="183" t="str">
        <f t="shared" ca="1" si="42"/>
        <v/>
      </c>
      <c r="AI82" s="176" t="str">
        <f t="shared" ca="1" si="43"/>
        <v/>
      </c>
      <c r="AJ82" s="176" t="str">
        <f t="shared" ca="1" si="44"/>
        <v/>
      </c>
      <c r="AK82" s="176" t="str">
        <f t="shared" ca="1" si="45"/>
        <v/>
      </c>
      <c r="AL82" s="176" t="str">
        <f t="shared" ca="1" si="46"/>
        <v/>
      </c>
      <c r="AM82" s="176" t="str">
        <f t="shared" ca="1" si="47"/>
        <v/>
      </c>
      <c r="AN82" s="176" t="str">
        <f t="shared" ca="1" si="48"/>
        <v/>
      </c>
      <c r="AO82" s="176" t="str">
        <f t="shared" ca="1" si="49"/>
        <v/>
      </c>
      <c r="AP82" s="176" t="str">
        <f t="shared" ca="1" si="50"/>
        <v/>
      </c>
      <c r="AU82" s="176" t="str">
        <f t="shared" ca="1" si="51"/>
        <v/>
      </c>
    </row>
    <row r="83" spans="1:47" ht="22.2" customHeight="1">
      <c r="A83" s="103">
        <f t="shared" si="57"/>
        <v>31</v>
      </c>
      <c r="B83" s="104" t="str">
        <f t="shared" ca="1" si="55"/>
        <v/>
      </c>
      <c r="C83" s="104" t="str">
        <f>IF(OR(クライアント抽出!C13&lt;&gt;"",クライアント抽出!F13&lt;&gt;""),クライアント抽出!A13,"")</f>
        <v/>
      </c>
      <c r="D83" s="104" t="str">
        <f t="array" aca="1" ref="D83" ca="1">IF(C83&lt;&gt;"",INDIRECT("クライアント抽出!"&amp;E83&amp;MATCH(C83,クライアント抽出!A:A,0)&amp;""),"")</f>
        <v/>
      </c>
      <c r="E83" s="104" t="str">
        <f>IF(H83&lt;&gt;0,
IFERROR(
SUBSTITUTE(ADDRESS(1,
MATCH(VALUE(H83),クライアント抽出!A13:G13,0)+8,4),"1",""),
""),
IFERROR(
SUBSTITUTE(ADDRESS(1,
MATCH(VALUE(I83),クライアント抽出!A13:G13,0)+8,4),"1",""),
""))</f>
        <v/>
      </c>
      <c r="F83" s="186" t="str">
        <f ca="1">IF(D83&lt;&gt;"",
IF(COUNTIF(C83,"*雙葉*"),
IF(ROUND((H83-M83)
/IF(COUNTIF(D83,"*キャラ*"),
VLOOKUP("*キャラ*",商品マスタ!$D:$E,2,FALSE),
IF(COUNTIF(D83,"*赤*"),
VLOOKUP("*赤*",商品マスタ!$D:$E,2,FALSE),
VLOOKUP("*"&amp;D83&amp;"*",商品マスタ!$D:$E,2,FALSE))),0)&lt;=0,1,
ROUND((H83-M83)
/IF(COUNTIF(D83,"*キャラ*"),
VLOOKUP("*キャラ*",商品マスタ!$D:$E,2,FALSE),
IF(COUNTIF(D83,"*赤*"),
VLOOKUP("*赤*",商品マスタ!$D:$E,2,FALSE),
VLOOKUP("*"&amp;D83&amp;"*",商品マスタ!$D:$E,2,FALSE))),0)),
IF(OR(COUNTIF(D83,"*キャラ*"),COUNTIF(D83,"*赤*")),"",
IF(VLOOKUP("*"&amp;D83&amp;"*",商品マスタ!$D:$E,2,FALSE)=0,"",
IF(ROUND((H83-M83)
/VLOOKUP("*"&amp;D83&amp;"*",商品マスタ!$D:$E,2,FALSE),0)&lt;=0,1,
ROUND((H83-M83)
/VLOOKUP("*"&amp;D83&amp;"*",商品マスタ!$D:$E,2,FALSE),0))))),"")</f>
        <v/>
      </c>
      <c r="G83" s="104" t="str">
        <f ca="1">IF(F83&lt;&gt;"",
IF(VALUE(H83-M83)&gt;VALUE(IF(COUNTIF(D83,"*キャラ*"),
VLOOKUP("*キャラ*",商品マスタ!$D:$E,2,FALSE),
IF(COUNTIF(D83,"*赤*"),
VLOOKUP("*赤*",商品マスタ!$D:$E,2,FALSE),
VLOOKUP("*"&amp;D83&amp;"*",商品マスタ!$D:$E,2,FALSE)))*F83),
"+"&amp;(H83-M83)-IF(COUNTIF(D83,"*キャラ*"),
VLOOKUP("*キャラ*",商品マスタ!$D:$E,2,FALSE),
IF(COUNTIF(D83,"*赤*"),
VLOOKUP("*赤*",商品マスタ!$D:$E,2,FALSE),
VLOOKUP("*"&amp;D83&amp;"*",商品マスタ!$D:$E,2,FALSE)))*F83,
(H83-M83)-IF(COUNTIF(D83,"*キャラ*"),
VLOOKUP("*キャラ*",商品マスタ!$D:$E,2,FALSE),
IF(COUNTIF(D83,"*赤*"),
VLOOKUP("*赤*",商品マスタ!$D:$E,2,FALSE),
VLOOKUP("*"&amp;D83&amp;"*",商品マスタ!$D:$E,2,FALSE)))*F83),"")</f>
        <v/>
      </c>
      <c r="H83" s="105" t="str">
        <f>IF(C83&lt;&gt;"",
クライアント抽出!C13,"")</f>
        <v/>
      </c>
      <c r="I83" s="104" t="str">
        <f t="array" aca="1" ref="I83" ca="1">IF(C83&lt;&gt;"",
IF(O83=1,
IF(SUMPRODUCT(COUNTIF(クライアント抽出!P13:U13,クライアント抽出!P13:U13))&gt;COUNTA(クライアント抽出!P13:U13),
IFERROR(INDIRECT("数出表_Excel!"&amp;INDEX(_xlfn.UNIQUE(_xlfn._xlws.FILTER(クライアント抽出!P13:U13,COUNTIF(クライアント抽出!P13:U13,クライアント抽出!P13:U13)&gt;1)),1)&amp;L13&amp;""),
クライアント抽出!E13),0),クライアント抽出!F13),"")</f>
        <v/>
      </c>
      <c r="J83" s="104" t="str">
        <f>IF(C83&lt;&gt;"",
VLOOKUP(
"*"&amp;LEFT(IF(COUNTIF(D83,"*学食*"),"キャラ弁（学食）",
IF(COUNTIF(D83,"*赤*"),"赤",
IF(COUNTIF(D83,"*キャラ弁当*"),"キャラ弁当",D83))),4)&amp;"*",注文弁当の抽出!$F$1:$G$15,2,FALSE),"")</f>
        <v/>
      </c>
      <c r="K83" s="104" t="str">
        <f ca="1">IF(クライアント抽出!Q13&lt;&gt;"",SUBSTITUTE(ADDRESS(1,(CODE(クライアント抽出!Q13)-64)*2-1,4),"1",""),"")</f>
        <v/>
      </c>
      <c r="L83" s="104" t="str">
        <f>IF(C13&lt;&gt;"",クライアント抽出!I13,"")</f>
        <v/>
      </c>
      <c r="M83" s="104">
        <f t="array" aca="1" ref="M83" ca="1">IF(C83&lt;&gt;"",
IF(K83&lt;&gt;"",INDIRECT("'数出表_Excel（アレルギー入力）'!"&amp;K83&amp;L83-1&amp;""),),)</f>
        <v>0</v>
      </c>
      <c r="N83" s="104" t="str">
        <f>IF(C83&lt;&gt;"",IF(OR(COUNTIF('盛付札（関数）'!D83,"*赤*"),COUNTIF('盛付札（関数）'!D83,"*キャラ*")),1,
VALUE(VLOOKUP("*"&amp;D83&amp;"*",商品マスタ!D:H,5,FALSE))),"")</f>
        <v/>
      </c>
      <c r="O83" s="104">
        <f t="shared" ca="1" si="56"/>
        <v>0</v>
      </c>
      <c r="P83" s="104">
        <f t="shared" si="33"/>
        <v>0</v>
      </c>
      <c r="Q83" s="104" t="b">
        <f t="shared" si="34"/>
        <v>0</v>
      </c>
      <c r="R83" s="176" t="str">
        <f t="array" aca="1" ref="R83" ca="1">IFERROR(SMALL(IF(P$1:P$311&lt;&gt;0,P$1:P$311),ROW(A83)),"")</f>
        <v/>
      </c>
      <c r="S83" s="176" t="str">
        <f t="array" aca="1" ref="S83" ca="1">IF($R83&lt;&gt;"",
SUBSTITUTE(SUBSTITUTE(INDIRECT("C"&amp;$R83&amp;"")," 週3ｺｰｽ","")," 週5ｺｰｽ",""),"")</f>
        <v/>
      </c>
      <c r="T83" s="176" t="str">
        <f t="array" aca="1" ref="T83" ca="1">IF(IF($R83&lt;&gt;"",
INDIRECT(""&amp;IF(COLUMN(D83)&lt;=26,CHAR(COLUMN(D83)+64),CHAR(INT((COLUMN(D83)-1)/26)+64)&amp;CHAR(MOD(COLUMN(D83)-1,26)+65))&amp;$R83&amp;""),"")=0,"",
IF($R83&lt;&gt;"",
INDIRECT(""&amp;IF(COLUMN(D83)&lt;=26,CHAR(COLUMN(D83)+64),CHAR(INT((COLUMN(D83)-1)/26)+64)&amp;CHAR(MOD(COLUMN(D83)-1,26)+65))&amp;$R83&amp;""),""))</f>
        <v/>
      </c>
      <c r="U83" s="218" t="str">
        <f t="array" aca="1" ref="U83" ca="1">IF($R83&lt;&gt;"",
INDIRECT("F"&amp;$R83&amp;""),"")</f>
        <v/>
      </c>
      <c r="V83" s="219" t="str">
        <f t="array" aca="1" ref="V83" ca="1">IF($R83&lt;&gt;"",
INDIRECT("G"&amp;$R83&amp;""),"")</f>
        <v/>
      </c>
      <c r="W83" s="219" t="str" cm="1">
        <f t="array" aca="1" ref="W83" ca="1">IF($R83&lt;&gt;"",
IF(AND(COUNTIF(INDIRECT("B"&amp;R83&amp;""),"*雙葉*"),COUNTIF($B$71:$B$210,"*雙葉*")&gt;=1),
IF(OR(COUNTIF(INDIRECT("B"&amp;R83&amp;""),"*雙葉先生*"),COUNTIF(INDIRECT("B"&amp;R83-1&amp;""),"*雙葉*")),INDIRECT("H"&amp;R83&amp;""),INDIRECT("H"&amp;R83&amp;"")+INDIRECT("H"&amp;MATCH("雙葉'",INDIRECT("B"&amp;R83+3&amp;":B210"),0)+2+R83&amp;"")),
IF(AND(LEFT(INDIRECT("B"&amp;R83&amp;""),2)="博多",COUNTIF(B:B,"*博多*")&gt;=2),
INDIRECT("H"&amp;R83&amp;"")+IFERROR(INDIRECT("H"&amp;MATCH("*"&amp;INDIRECT("B"&amp;R83&amp;"")&amp;"*",INDIRECT("B"&amp;R83+1&amp;":B210"),0)+R83&amp;""),0),
IF(AND(LEFT(INDIRECT("B"&amp;R83&amp;""),3)="奈良屋",COUNTIF(B:B,"*奈良屋*")&gt;=2),
INDIRECT("H"&amp;R83&amp;"")
+INDIRECT("H"&amp;MATCH("*"&amp;INDIRECT("B"&amp;R83&amp;"")&amp;"*",INDIRECT("B"&amp;R83+1&amp;":B210"),0)+R83&amp;"")
+INDIRECT("H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
+INDIRECT("H"&amp;MATCH("*"&amp;INDIRECT("B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&amp;"*",INDIRECT("B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+1&amp;":B210"),0)+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,
INDIRECT("H"&amp;R83&amp;"")))),"")</f>
        <v/>
      </c>
      <c r="X83" s="176" t="str">
        <f t="array" aca="1" ref="X83" ca="1">IF($R83&lt;&gt;"",
INDIRECT(""&amp;IF(COLUMN(I83)&lt;=26,CHAR(COLUMN(I83)+64),CHAR(INT((COLUMN(I83)-1)/26)+64)&amp;CHAR(MOD(COLUMN(I83)-1,26)+65))&amp;$R83&amp;""),"")</f>
        <v/>
      </c>
      <c r="Y83" s="176" t="str">
        <f t="array" aca="1" ref="Y83" ca="1">IF($R83&lt;&gt;"",
INDIRECT(""&amp;IF(COLUMN(J83)&lt;=26,CHAR(COLUMN(J83)+64),CHAR(INT((COLUMN(J83)-1)/26)+64)&amp;CHAR(MOD(COLUMN(J83)-1,26)+65))&amp;$R83&amp;""),"")</f>
        <v/>
      </c>
      <c r="Z83" s="176" t="str">
        <f t="shared" ca="1" si="35"/>
        <v/>
      </c>
      <c r="AA83" s="176" t="str">
        <f t="shared" ca="1" si="36"/>
        <v/>
      </c>
      <c r="AB83" s="176" t="str">
        <f t="array" aca="1" ref="AB83" ca="1">IF($R83&lt;&gt;"",
IF(AND(COUNTIF(INDIRECT("B"&amp;R83&amp;""),"*雙葉*"),COUNTIF(INDIRECT("B"&amp;R83&amp;""),"&lt;&gt;*先生*"),COUNTIF(B:B,"*雙葉*")&gt;=2),
INDIRECT("M"&amp;R83&amp;"")+INDIRECT("M"&amp;MATCH("雙葉'",INDIRECT("B"&amp;R83+1&amp;":B210"),0)+R83&amp;""),
IF(AND(LEFT(INDIRECT("B"&amp;R83&amp;""),2)="博多",COUNTIF(B:B,"*博多*")&gt;=2),
INDIRECT("M"&amp;R83&amp;"")+INDIRECT("M"&amp;MATCH("*"&amp;INDIRECT("B"&amp;R83&amp;"")&amp;"*",INDIRECT("B"&amp;R83+1&amp;":B210"),0)+R83&amp;""),
IF(AND(LEFT(INDIRECT("B"&amp;R83&amp;""),3)="奈良屋",COUNTIF(B:B,"*奈良屋*")&gt;=2),
INDIRECT("M"&amp;R83&amp;"")+INDIRECT("M"&amp;MATCH("*"&amp;INDIRECT("B"&amp;R83&amp;"")&amp;"*",INDIRECT("B"&amp;R83+1&amp;":B210"),0)+R83&amp;"")
+INDIRECT("M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,
INDIRECT("M"&amp;R83&amp;"")))),"")</f>
        <v/>
      </c>
      <c r="AC83" s="176" t="str">
        <f t="shared" ca="1" si="37"/>
        <v/>
      </c>
      <c r="AD83" s="176" t="str">
        <f t="shared" ca="1" si="38"/>
        <v/>
      </c>
      <c r="AE83" s="176" t="str">
        <f t="shared" ca="1" si="39"/>
        <v/>
      </c>
      <c r="AF83" s="176" t="str">
        <f t="shared" ca="1" si="40"/>
        <v/>
      </c>
      <c r="AG83" s="176" t="str">
        <f t="shared" ca="1" si="41"/>
        <v/>
      </c>
      <c r="AH83" s="183" t="str">
        <f t="shared" ca="1" si="42"/>
        <v/>
      </c>
      <c r="AI83" s="176" t="str">
        <f t="shared" ca="1" si="43"/>
        <v/>
      </c>
      <c r="AJ83" s="176" t="str">
        <f t="shared" ca="1" si="44"/>
        <v/>
      </c>
      <c r="AK83" s="176" t="str">
        <f t="shared" ca="1" si="45"/>
        <v/>
      </c>
      <c r="AL83" s="176" t="str">
        <f t="shared" ca="1" si="46"/>
        <v/>
      </c>
      <c r="AM83" s="176" t="str">
        <f t="shared" ca="1" si="47"/>
        <v/>
      </c>
      <c r="AN83" s="176" t="str">
        <f t="shared" ca="1" si="48"/>
        <v/>
      </c>
      <c r="AO83" s="176" t="str">
        <f t="shared" ca="1" si="49"/>
        <v/>
      </c>
      <c r="AP83" s="176" t="str">
        <f t="shared" ca="1" si="50"/>
        <v/>
      </c>
      <c r="AU83" s="176" t="str">
        <f t="shared" ca="1" si="51"/>
        <v/>
      </c>
    </row>
    <row r="84" spans="1:47" ht="22.2" customHeight="1">
      <c r="A84" s="103">
        <f t="shared" si="57"/>
        <v>33</v>
      </c>
      <c r="B84" s="104" t="str">
        <f t="shared" ca="1" si="55"/>
        <v/>
      </c>
      <c r="C84" s="104" t="str">
        <f>IF(OR(クライアント抽出!C14&lt;&gt;"",クライアント抽出!F14&lt;&gt;""),クライアント抽出!A14,"")</f>
        <v/>
      </c>
      <c r="D84" s="104" t="str">
        <f t="array" aca="1" ref="D84" ca="1">IF(C84&lt;&gt;"",INDIRECT("クライアント抽出!"&amp;E84&amp;MATCH(C84,クライアント抽出!A:A,0)&amp;""),"")</f>
        <v/>
      </c>
      <c r="E84" s="104" t="str">
        <f>IF(H84&lt;&gt;0,
IFERROR(
SUBSTITUTE(ADDRESS(1,
MATCH(VALUE(H84),クライアント抽出!A14:G14,0)+8,4),"1",""),
""),
IFERROR(
SUBSTITUTE(ADDRESS(1,
MATCH(VALUE(I84),クライアント抽出!A14:G14,0)+8,4),"1",""),
""))</f>
        <v/>
      </c>
      <c r="F84" s="186" t="str">
        <f ca="1">IF(D84&lt;&gt;"",
IF(COUNTIF(C84,"*雙葉*"),
IF(ROUND((H84-M84)
/IF(COUNTIF(D84,"*キャラ*"),
VLOOKUP("*キャラ*",商品マスタ!$D:$E,2,FALSE),
IF(COUNTIF(D84,"*赤*"),
VLOOKUP("*赤*",商品マスタ!$D:$E,2,FALSE),
VLOOKUP("*"&amp;D84&amp;"*",商品マスタ!$D:$E,2,FALSE))),0)&lt;=0,1,
ROUND((H84-M84)
/IF(COUNTIF(D84,"*キャラ*"),
VLOOKUP("*キャラ*",商品マスタ!$D:$E,2,FALSE),
IF(COUNTIF(D84,"*赤*"),
VLOOKUP("*赤*",商品マスタ!$D:$E,2,FALSE),
VLOOKUP("*"&amp;D84&amp;"*",商品マスタ!$D:$E,2,FALSE))),0)),
IF(OR(COUNTIF(D84,"*キャラ*"),COUNTIF(D84,"*赤*")),"",
IF(VLOOKUP("*"&amp;D84&amp;"*",商品マスタ!$D:$E,2,FALSE)=0,"",
IF(ROUND((H84-M84)
/VLOOKUP("*"&amp;D84&amp;"*",商品マスタ!$D:$E,2,FALSE),0)&lt;=0,1,
ROUND((H84-M84)
/VLOOKUP("*"&amp;D84&amp;"*",商品マスタ!$D:$E,2,FALSE),0))))),"")</f>
        <v/>
      </c>
      <c r="G84" s="104" t="str">
        <f ca="1">IF(F84&lt;&gt;"",
IF(VALUE(H84-M84)&gt;VALUE(IF(COUNTIF(D84,"*キャラ*"),
VLOOKUP("*キャラ*",商品マスタ!$D:$E,2,FALSE),
IF(COUNTIF(D84,"*赤*"),
VLOOKUP("*赤*",商品マスタ!$D:$E,2,FALSE),
VLOOKUP("*"&amp;D84&amp;"*",商品マスタ!$D:$E,2,FALSE)))*F84),
"+"&amp;(H84-M84)-IF(COUNTIF(D84,"*キャラ*"),
VLOOKUP("*キャラ*",商品マスタ!$D:$E,2,FALSE),
IF(COUNTIF(D84,"*赤*"),
VLOOKUP("*赤*",商品マスタ!$D:$E,2,FALSE),
VLOOKUP("*"&amp;D84&amp;"*",商品マスタ!$D:$E,2,FALSE)))*F84,
(H84-M84)-IF(COUNTIF(D84,"*キャラ*"),
VLOOKUP("*キャラ*",商品マスタ!$D:$E,2,FALSE),
IF(COUNTIF(D84,"*赤*"),
VLOOKUP("*赤*",商品マスタ!$D:$E,2,FALSE),
VLOOKUP("*"&amp;D84&amp;"*",商品マスタ!$D:$E,2,FALSE)))*F84),"")</f>
        <v/>
      </c>
      <c r="H84" s="105" t="str">
        <f>IF(C84&lt;&gt;"",
クライアント抽出!C14,"")</f>
        <v/>
      </c>
      <c r="I84" s="104" t="str">
        <f t="array" aca="1" ref="I84" ca="1">IF(C84&lt;&gt;"",
IF(O84=1,
IF(SUMPRODUCT(COUNTIF(クライアント抽出!P14:U14,クライアント抽出!P14:U14))&gt;COUNTA(クライアント抽出!P14:U14),
IFERROR(INDIRECT("数出表_Excel!"&amp;INDEX(_xlfn.UNIQUE(_xlfn._xlws.FILTER(クライアント抽出!P14:U14,COUNTIF(クライアント抽出!P14:U14,クライアント抽出!P14:U14)&gt;1)),1)&amp;L14&amp;""),
クライアント抽出!E14),0),クライアント抽出!F14),"")</f>
        <v/>
      </c>
      <c r="J84" s="104" t="str">
        <f>IF(C84&lt;&gt;"",
VLOOKUP(
"*"&amp;LEFT(IF(COUNTIF(D84,"*学食*"),"キャラ弁（学食）",
IF(COUNTIF(D84,"*赤*"),"赤",
IF(COUNTIF(D84,"*キャラ弁当*"),"キャラ弁当",D84))),4)&amp;"*",注文弁当の抽出!$F$1:$G$15,2,FALSE),"")</f>
        <v/>
      </c>
      <c r="K84" s="104" t="str">
        <f ca="1">IF(クライアント抽出!Q14&lt;&gt;"",SUBSTITUTE(ADDRESS(1,(CODE(クライアント抽出!Q14)-64)*2-1,4),"1",""),"")</f>
        <v/>
      </c>
      <c r="L84" s="104" t="str">
        <f>IF(C14&lt;&gt;"",クライアント抽出!I14,"")</f>
        <v/>
      </c>
      <c r="M84" s="104">
        <f t="array" aca="1" ref="M84" ca="1">IF(C84&lt;&gt;"",
IF(K84&lt;&gt;"",INDIRECT("'数出表_Excel（アレルギー入力）'!"&amp;K84&amp;L84-1&amp;""),),)</f>
        <v>0</v>
      </c>
      <c r="N84" s="104" t="str">
        <f>IF(C84&lt;&gt;"",IF(OR(COUNTIF('盛付札（関数）'!D84,"*赤*"),COUNTIF('盛付札（関数）'!D84,"*キャラ*")),1,
VALUE(VLOOKUP("*"&amp;D84&amp;"*",商品マスタ!D:H,5,FALSE))),"")</f>
        <v/>
      </c>
      <c r="O84" s="104">
        <f t="shared" ca="1" si="56"/>
        <v>0</v>
      </c>
      <c r="P84" s="104">
        <f t="shared" si="33"/>
        <v>0</v>
      </c>
      <c r="Q84" s="104" t="b">
        <f t="shared" si="34"/>
        <v>0</v>
      </c>
      <c r="R84" s="176" t="str">
        <f t="array" aca="1" ref="R84" ca="1">IFERROR(SMALL(IF(P$1:P$311&lt;&gt;0,P$1:P$311),ROW(A84)),"")</f>
        <v/>
      </c>
      <c r="S84" s="176" t="str">
        <f t="array" aca="1" ref="S84" ca="1">IF($R84&lt;&gt;"",
SUBSTITUTE(SUBSTITUTE(INDIRECT("C"&amp;$R84&amp;"")," 週3ｺｰｽ","")," 週5ｺｰｽ",""),"")</f>
        <v/>
      </c>
      <c r="T84" s="176" t="str">
        <f t="array" aca="1" ref="T84" ca="1">IF(IF($R84&lt;&gt;"",
INDIRECT(""&amp;IF(COLUMN(D84)&lt;=26,CHAR(COLUMN(D84)+64),CHAR(INT((COLUMN(D84)-1)/26)+64)&amp;CHAR(MOD(COLUMN(D84)-1,26)+65))&amp;$R84&amp;""),"")=0,"",
IF($R84&lt;&gt;"",
INDIRECT(""&amp;IF(COLUMN(D84)&lt;=26,CHAR(COLUMN(D84)+64),CHAR(INT((COLUMN(D84)-1)/26)+64)&amp;CHAR(MOD(COLUMN(D84)-1,26)+65))&amp;$R84&amp;""),""))</f>
        <v/>
      </c>
      <c r="U84" s="218" t="str">
        <f t="array" aca="1" ref="U84" ca="1">IF($R84&lt;&gt;"",
INDIRECT("F"&amp;$R84&amp;""),"")</f>
        <v/>
      </c>
      <c r="V84" s="219" t="str">
        <f t="array" aca="1" ref="V84" ca="1">IF($R84&lt;&gt;"",
INDIRECT("G"&amp;$R84&amp;""),"")</f>
        <v/>
      </c>
      <c r="W84" s="219" t="str" cm="1">
        <f t="array" aca="1" ref="W84" ca="1">IF($R84&lt;&gt;"",
IF(AND(COUNTIF(INDIRECT("B"&amp;R84&amp;""),"*雙葉*"),COUNTIF($B$71:$B$210,"*雙葉*")&gt;=1),
IF(OR(COUNTIF(INDIRECT("B"&amp;R84&amp;""),"*雙葉先生*"),COUNTIF(INDIRECT("B"&amp;R84-1&amp;""),"*雙葉*")),INDIRECT("H"&amp;R84&amp;""),INDIRECT("H"&amp;R84&amp;"")+INDIRECT("H"&amp;MATCH("雙葉'",INDIRECT("B"&amp;R84+3&amp;":B210"),0)+2+R84&amp;"")),
IF(AND(LEFT(INDIRECT("B"&amp;R84&amp;""),2)="博多",COUNTIF(B:B,"*博多*")&gt;=2),
INDIRECT("H"&amp;R84&amp;"")+IFERROR(INDIRECT("H"&amp;MATCH("*"&amp;INDIRECT("B"&amp;R84&amp;"")&amp;"*",INDIRECT("B"&amp;R84+1&amp;":B210"),0)+R84&amp;""),0),
IF(AND(LEFT(INDIRECT("B"&amp;R84&amp;""),3)="奈良屋",COUNTIF(B:B,"*奈良屋*")&gt;=2),
INDIRECT("H"&amp;R84&amp;"")
+INDIRECT("H"&amp;MATCH("*"&amp;INDIRECT("B"&amp;R84&amp;"")&amp;"*",INDIRECT("B"&amp;R84+1&amp;":B210"),0)+R84&amp;"")
+INDIRECT("H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
+INDIRECT("H"&amp;MATCH("*"&amp;INDIRECT("B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&amp;"*",INDIRECT("B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+1&amp;":B210"),0)+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,
INDIRECT("H"&amp;R84&amp;"")))),"")</f>
        <v/>
      </c>
      <c r="X84" s="176" t="str">
        <f t="array" aca="1" ref="X84" ca="1">IF($R84&lt;&gt;"",
INDIRECT(""&amp;IF(COLUMN(I84)&lt;=26,CHAR(COLUMN(I84)+64),CHAR(INT((COLUMN(I84)-1)/26)+64)&amp;CHAR(MOD(COLUMN(I84)-1,26)+65))&amp;$R84&amp;""),"")</f>
        <v/>
      </c>
      <c r="Y84" s="176" t="str">
        <f t="array" aca="1" ref="Y84" ca="1">IF($R84&lt;&gt;"",
INDIRECT(""&amp;IF(COLUMN(J84)&lt;=26,CHAR(COLUMN(J84)+64),CHAR(INT((COLUMN(J84)-1)/26)+64)&amp;CHAR(MOD(COLUMN(J84)-1,26)+65))&amp;$R84&amp;""),"")</f>
        <v/>
      </c>
      <c r="Z84" s="176" t="str">
        <f t="shared" ca="1" si="35"/>
        <v/>
      </c>
      <c r="AA84" s="176" t="str">
        <f t="shared" ca="1" si="36"/>
        <v/>
      </c>
      <c r="AB84" s="176" t="str">
        <f t="array" aca="1" ref="AB84" ca="1">IF($R84&lt;&gt;"",
IF(AND(COUNTIF(INDIRECT("B"&amp;R84&amp;""),"*雙葉*"),COUNTIF(INDIRECT("B"&amp;R84&amp;""),"&lt;&gt;*先生*"),COUNTIF(B:B,"*雙葉*")&gt;=2),
INDIRECT("M"&amp;R84&amp;"")+INDIRECT("M"&amp;MATCH("雙葉'",INDIRECT("B"&amp;R84+1&amp;":B210"),0)+R84&amp;""),
IF(AND(LEFT(INDIRECT("B"&amp;R84&amp;""),2)="博多",COUNTIF(B:B,"*博多*")&gt;=2),
INDIRECT("M"&amp;R84&amp;"")+INDIRECT("M"&amp;MATCH("*"&amp;INDIRECT("B"&amp;R84&amp;"")&amp;"*",INDIRECT("B"&amp;R84+1&amp;":B210"),0)+R84&amp;""),
IF(AND(LEFT(INDIRECT("B"&amp;R84&amp;""),3)="奈良屋",COUNTIF(B:B,"*奈良屋*")&gt;=2),
INDIRECT("M"&amp;R84&amp;"")+INDIRECT("M"&amp;MATCH("*"&amp;INDIRECT("B"&amp;R84&amp;"")&amp;"*",INDIRECT("B"&amp;R84+1&amp;":B210"),0)+R84&amp;"")
+INDIRECT("M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,
INDIRECT("M"&amp;R84&amp;"")))),"")</f>
        <v/>
      </c>
      <c r="AC84" s="176" t="str">
        <f t="shared" ca="1" si="37"/>
        <v/>
      </c>
      <c r="AD84" s="176" t="str">
        <f t="shared" ca="1" si="38"/>
        <v/>
      </c>
      <c r="AE84" s="176" t="str">
        <f t="shared" ca="1" si="39"/>
        <v/>
      </c>
      <c r="AF84" s="176" t="str">
        <f t="shared" ca="1" si="40"/>
        <v/>
      </c>
      <c r="AG84" s="176" t="str">
        <f t="shared" ca="1" si="41"/>
        <v/>
      </c>
      <c r="AH84" s="183" t="str">
        <f t="shared" ca="1" si="42"/>
        <v/>
      </c>
      <c r="AI84" s="176" t="str">
        <f t="shared" ca="1" si="43"/>
        <v/>
      </c>
      <c r="AJ84" s="176" t="str">
        <f t="shared" ca="1" si="44"/>
        <v/>
      </c>
      <c r="AK84" s="176" t="str">
        <f t="shared" ca="1" si="45"/>
        <v/>
      </c>
      <c r="AL84" s="176" t="str">
        <f t="shared" ca="1" si="46"/>
        <v/>
      </c>
      <c r="AM84" s="176" t="str">
        <f t="shared" ca="1" si="47"/>
        <v/>
      </c>
      <c r="AN84" s="176" t="str">
        <f t="shared" ca="1" si="48"/>
        <v/>
      </c>
      <c r="AO84" s="176" t="str">
        <f t="shared" ca="1" si="49"/>
        <v/>
      </c>
      <c r="AP84" s="176" t="str">
        <f t="shared" ca="1" si="50"/>
        <v/>
      </c>
      <c r="AU84" s="176" t="str">
        <f t="shared" ca="1" si="51"/>
        <v/>
      </c>
    </row>
    <row r="85" spans="1:47" ht="22.2" customHeight="1">
      <c r="A85" s="103">
        <f t="shared" si="57"/>
        <v>35</v>
      </c>
      <c r="B85" s="104" t="str">
        <f t="shared" ca="1" si="55"/>
        <v/>
      </c>
      <c r="C85" s="104" t="str">
        <f>IF(OR(クライアント抽出!C15&lt;&gt;"",クライアント抽出!F15&lt;&gt;""),クライアント抽出!A15,"")</f>
        <v/>
      </c>
      <c r="D85" s="104" t="str">
        <f t="array" aca="1" ref="D85" ca="1">IF(C85&lt;&gt;"",INDIRECT("クライアント抽出!"&amp;E85&amp;MATCH(C85,クライアント抽出!A:A,0)&amp;""),"")</f>
        <v/>
      </c>
      <c r="E85" s="104" t="str">
        <f>IF(H85&lt;&gt;0,
IFERROR(
SUBSTITUTE(ADDRESS(1,
MATCH(VALUE(H85),クライアント抽出!A15:G15,0)+8,4),"1",""),
""),
IFERROR(
SUBSTITUTE(ADDRESS(1,
MATCH(VALUE(I85),クライアント抽出!A15:G15,0)+8,4),"1",""),
""))</f>
        <v/>
      </c>
      <c r="F85" s="186" t="str">
        <f ca="1">IF(D85&lt;&gt;"",
IF(COUNTIF(C85,"*雙葉*"),
IF(ROUND((H85-M85)
/IF(COUNTIF(D85,"*キャラ*"),
VLOOKUP("*キャラ*",商品マスタ!$D:$E,2,FALSE),
IF(COUNTIF(D85,"*赤*"),
VLOOKUP("*赤*",商品マスタ!$D:$E,2,FALSE),
VLOOKUP("*"&amp;D85&amp;"*",商品マスタ!$D:$E,2,FALSE))),0)&lt;=0,1,
ROUND((H85-M85)
/IF(COUNTIF(D85,"*キャラ*"),
VLOOKUP("*キャラ*",商品マスタ!$D:$E,2,FALSE),
IF(COUNTIF(D85,"*赤*"),
VLOOKUP("*赤*",商品マスタ!$D:$E,2,FALSE),
VLOOKUP("*"&amp;D85&amp;"*",商品マスタ!$D:$E,2,FALSE))),0)),
IF(OR(COUNTIF(D85,"*キャラ*"),COUNTIF(D85,"*赤*")),"",
IF(VLOOKUP("*"&amp;D85&amp;"*",商品マスタ!$D:$E,2,FALSE)=0,"",
IF(ROUND((H85-M85)
/VLOOKUP("*"&amp;D85&amp;"*",商品マスタ!$D:$E,2,FALSE),0)&lt;=0,1,
ROUND((H85-M85)
/VLOOKUP("*"&amp;D85&amp;"*",商品マスタ!$D:$E,2,FALSE),0))))),"")</f>
        <v/>
      </c>
      <c r="G85" s="104" t="str">
        <f ca="1">IF(F85&lt;&gt;"",
IF(VALUE(H85-M85)&gt;VALUE(IF(COUNTIF(D85,"*キャラ*"),
VLOOKUP("*キャラ*",商品マスタ!$D:$E,2,FALSE),
IF(COUNTIF(D85,"*赤*"),
VLOOKUP("*赤*",商品マスタ!$D:$E,2,FALSE),
VLOOKUP("*"&amp;D85&amp;"*",商品マスタ!$D:$E,2,FALSE)))*F85),
"+"&amp;(H85-M85)-IF(COUNTIF(D85,"*キャラ*"),
VLOOKUP("*キャラ*",商品マスタ!$D:$E,2,FALSE),
IF(COUNTIF(D85,"*赤*"),
VLOOKUP("*赤*",商品マスタ!$D:$E,2,FALSE),
VLOOKUP("*"&amp;D85&amp;"*",商品マスタ!$D:$E,2,FALSE)))*F85,
(H85-M85)-IF(COUNTIF(D85,"*キャラ*"),
VLOOKUP("*キャラ*",商品マスタ!$D:$E,2,FALSE),
IF(COUNTIF(D85,"*赤*"),
VLOOKUP("*赤*",商品マスタ!$D:$E,2,FALSE),
VLOOKUP("*"&amp;D85&amp;"*",商品マスタ!$D:$E,2,FALSE)))*F85),"")</f>
        <v/>
      </c>
      <c r="H85" s="105" t="str">
        <f>IF(C85&lt;&gt;"",
クライアント抽出!C15,"")</f>
        <v/>
      </c>
      <c r="I85" s="104" t="str">
        <f t="array" aca="1" ref="I85" ca="1">IF(C85&lt;&gt;"",
IF(O85=1,
IF(SUMPRODUCT(COUNTIF(クライアント抽出!P15:U15,クライアント抽出!P15:U15))&gt;COUNTA(クライアント抽出!P15:U15),
IFERROR(INDIRECT("数出表_Excel!"&amp;INDEX(_xlfn.UNIQUE(_xlfn._xlws.FILTER(クライアント抽出!P15:U15,COUNTIF(クライアント抽出!P15:U15,クライアント抽出!P15:U15)&gt;1)),1)&amp;L15&amp;""),
クライアント抽出!E15),0),クライアント抽出!F15),"")</f>
        <v/>
      </c>
      <c r="J85" s="104" t="str">
        <f>IF(C85&lt;&gt;"",
VLOOKUP(
"*"&amp;LEFT(IF(COUNTIF(D85,"*学食*"),"キャラ弁（学食）",
IF(COUNTIF(D85,"*赤*"),"赤",
IF(COUNTIF(D85,"*キャラ弁当*"),"キャラ弁当",D85))),4)&amp;"*",注文弁当の抽出!$F$1:$G$15,2,FALSE),"")</f>
        <v/>
      </c>
      <c r="K85" s="104" t="str">
        <f ca="1">IF(クライアント抽出!Q15&lt;&gt;"",SUBSTITUTE(ADDRESS(1,(CODE(クライアント抽出!Q15)-64)*2-1,4),"1",""),"")</f>
        <v/>
      </c>
      <c r="L85" s="104" t="str">
        <f>IF(C15&lt;&gt;"",クライアント抽出!I15,"")</f>
        <v/>
      </c>
      <c r="M85" s="104">
        <f t="array" aca="1" ref="M85" ca="1">IF(C85&lt;&gt;"",
IF(K85&lt;&gt;"",INDIRECT("'数出表_Excel（アレルギー入力）'!"&amp;K85&amp;L85-1&amp;""),),)</f>
        <v>0</v>
      </c>
      <c r="N85" s="104" t="str">
        <f>IF(C85&lt;&gt;"",IF(OR(COUNTIF('盛付札（関数）'!D85,"*赤*"),COUNTIF('盛付札（関数）'!D85,"*キャラ*")),1,
VALUE(VLOOKUP("*"&amp;D85&amp;"*",商品マスタ!D:H,5,FALSE))),"")</f>
        <v/>
      </c>
      <c r="O85" s="104">
        <f t="shared" ca="1" si="56"/>
        <v>0</v>
      </c>
      <c r="P85" s="104">
        <f t="shared" si="33"/>
        <v>0</v>
      </c>
      <c r="Q85" s="104" t="b">
        <f t="shared" si="34"/>
        <v>0</v>
      </c>
      <c r="R85" s="176" t="str">
        <f t="array" aca="1" ref="R85" ca="1">IFERROR(SMALL(IF(P$1:P$311&lt;&gt;0,P$1:P$311),ROW(A85)),"")</f>
        <v/>
      </c>
      <c r="S85" s="176" t="str">
        <f t="array" aca="1" ref="S85" ca="1">IF($R85&lt;&gt;"",
SUBSTITUTE(SUBSTITUTE(INDIRECT("C"&amp;$R85&amp;"")," 週3ｺｰｽ","")," 週5ｺｰｽ",""),"")</f>
        <v/>
      </c>
      <c r="T85" s="176" t="str">
        <f t="array" aca="1" ref="T85" ca="1">IF(IF($R85&lt;&gt;"",
INDIRECT(""&amp;IF(COLUMN(D85)&lt;=26,CHAR(COLUMN(D85)+64),CHAR(INT((COLUMN(D85)-1)/26)+64)&amp;CHAR(MOD(COLUMN(D85)-1,26)+65))&amp;$R85&amp;""),"")=0,"",
IF($R85&lt;&gt;"",
INDIRECT(""&amp;IF(COLUMN(D85)&lt;=26,CHAR(COLUMN(D85)+64),CHAR(INT((COLUMN(D85)-1)/26)+64)&amp;CHAR(MOD(COLUMN(D85)-1,26)+65))&amp;$R85&amp;""),""))</f>
        <v/>
      </c>
      <c r="U85" s="218" t="str">
        <f t="array" aca="1" ref="U85" ca="1">IF($R85&lt;&gt;"",
INDIRECT("F"&amp;$R85&amp;""),"")</f>
        <v/>
      </c>
      <c r="V85" s="219" t="str">
        <f t="array" aca="1" ref="V85" ca="1">IF($R85&lt;&gt;"",
INDIRECT("G"&amp;$R85&amp;""),"")</f>
        <v/>
      </c>
      <c r="W85" s="219" t="str" cm="1">
        <f t="array" aca="1" ref="W85" ca="1">IF($R85&lt;&gt;"",
IF(AND(COUNTIF(INDIRECT("B"&amp;R85&amp;""),"*雙葉*"),COUNTIF($B$71:$B$210,"*雙葉*")&gt;=1),
IF(OR(COUNTIF(INDIRECT("B"&amp;R85&amp;""),"*雙葉先生*"),COUNTIF(INDIRECT("B"&amp;R85-1&amp;""),"*雙葉*")),INDIRECT("H"&amp;R85&amp;""),INDIRECT("H"&amp;R85&amp;"")+INDIRECT("H"&amp;MATCH("雙葉'",INDIRECT("B"&amp;R85+3&amp;":B210"),0)+2+R85&amp;"")),
IF(AND(LEFT(INDIRECT("B"&amp;R85&amp;""),2)="博多",COUNTIF(B:B,"*博多*")&gt;=2),
INDIRECT("H"&amp;R85&amp;"")+IFERROR(INDIRECT("H"&amp;MATCH("*"&amp;INDIRECT("B"&amp;R85&amp;"")&amp;"*",INDIRECT("B"&amp;R85+1&amp;":B210"),0)+R85&amp;""),0),
IF(AND(LEFT(INDIRECT("B"&amp;R85&amp;""),3)="奈良屋",COUNTIF(B:B,"*奈良屋*")&gt;=2),
INDIRECT("H"&amp;R85&amp;"")
+INDIRECT("H"&amp;MATCH("*"&amp;INDIRECT("B"&amp;R85&amp;"")&amp;"*",INDIRECT("B"&amp;R85+1&amp;":B210"),0)+R85&amp;"")
+INDIRECT("H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
+INDIRECT("H"&amp;MATCH("*"&amp;INDIRECT("B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&amp;"*",INDIRECT("B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+1&amp;":B210"),0)+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,
INDIRECT("H"&amp;R85&amp;"")))),"")</f>
        <v/>
      </c>
      <c r="X85" s="176" t="str">
        <f t="array" aca="1" ref="X85" ca="1">IF($R85&lt;&gt;"",
INDIRECT(""&amp;IF(COLUMN(I85)&lt;=26,CHAR(COLUMN(I85)+64),CHAR(INT((COLUMN(I85)-1)/26)+64)&amp;CHAR(MOD(COLUMN(I85)-1,26)+65))&amp;$R85&amp;""),"")</f>
        <v/>
      </c>
      <c r="Y85" s="176" t="str">
        <f t="array" aca="1" ref="Y85" ca="1">IF($R85&lt;&gt;"",
INDIRECT(""&amp;IF(COLUMN(J85)&lt;=26,CHAR(COLUMN(J85)+64),CHAR(INT((COLUMN(J85)-1)/26)+64)&amp;CHAR(MOD(COLUMN(J85)-1,26)+65))&amp;$R85&amp;""),"")</f>
        <v/>
      </c>
      <c r="Z85" s="176" t="str">
        <f t="shared" ca="1" si="35"/>
        <v/>
      </c>
      <c r="AA85" s="176" t="str">
        <f t="shared" ca="1" si="36"/>
        <v/>
      </c>
      <c r="AB85" s="176" t="str">
        <f t="array" aca="1" ref="AB85" ca="1">IF($R85&lt;&gt;"",
IF(AND(COUNTIF(INDIRECT("B"&amp;R85&amp;""),"*雙葉*"),COUNTIF(INDIRECT("B"&amp;R85&amp;""),"&lt;&gt;*先生*"),COUNTIF(B:B,"*雙葉*")&gt;=2),
INDIRECT("M"&amp;R85&amp;"")+INDIRECT("M"&amp;MATCH("雙葉'",INDIRECT("B"&amp;R85+1&amp;":B210"),0)+R85&amp;""),
IF(AND(LEFT(INDIRECT("B"&amp;R85&amp;""),2)="博多",COUNTIF(B:B,"*博多*")&gt;=2),
INDIRECT("M"&amp;R85&amp;"")+INDIRECT("M"&amp;MATCH("*"&amp;INDIRECT("B"&amp;R85&amp;"")&amp;"*",INDIRECT("B"&amp;R85+1&amp;":B210"),0)+R85&amp;""),
IF(AND(LEFT(INDIRECT("B"&amp;R85&amp;""),3)="奈良屋",COUNTIF(B:B,"*奈良屋*")&gt;=2),
INDIRECT("M"&amp;R85&amp;"")+INDIRECT("M"&amp;MATCH("*"&amp;INDIRECT("B"&amp;R85&amp;"")&amp;"*",INDIRECT("B"&amp;R85+1&amp;":B210"),0)+R85&amp;"")
+INDIRECT("M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,
INDIRECT("M"&amp;R85&amp;"")))),"")</f>
        <v/>
      </c>
      <c r="AC85" s="176" t="str">
        <f t="shared" ca="1" si="37"/>
        <v/>
      </c>
      <c r="AD85" s="176" t="str">
        <f t="shared" ca="1" si="38"/>
        <v/>
      </c>
      <c r="AE85" s="176" t="str">
        <f t="shared" ca="1" si="39"/>
        <v/>
      </c>
      <c r="AF85" s="176" t="str">
        <f t="shared" ca="1" si="40"/>
        <v/>
      </c>
      <c r="AG85" s="176" t="str">
        <f t="shared" ca="1" si="41"/>
        <v/>
      </c>
      <c r="AH85" s="183" t="str">
        <f t="shared" ca="1" si="42"/>
        <v/>
      </c>
      <c r="AI85" s="176" t="str">
        <f t="shared" ca="1" si="43"/>
        <v/>
      </c>
      <c r="AJ85" s="176" t="str">
        <f t="shared" ca="1" si="44"/>
        <v/>
      </c>
      <c r="AK85" s="176" t="str">
        <f t="shared" ca="1" si="45"/>
        <v/>
      </c>
      <c r="AL85" s="176" t="str">
        <f t="shared" ca="1" si="46"/>
        <v/>
      </c>
      <c r="AM85" s="176" t="str">
        <f t="shared" ca="1" si="47"/>
        <v/>
      </c>
      <c r="AN85" s="176" t="str">
        <f t="shared" ca="1" si="48"/>
        <v/>
      </c>
      <c r="AO85" s="176" t="str">
        <f t="shared" ca="1" si="49"/>
        <v/>
      </c>
      <c r="AP85" s="176" t="str">
        <f t="shared" ca="1" si="50"/>
        <v/>
      </c>
      <c r="AU85" s="176" t="str">
        <f t="shared" ca="1" si="51"/>
        <v/>
      </c>
    </row>
    <row r="86" spans="1:47" ht="22.2" customHeight="1">
      <c r="A86" s="103">
        <f t="shared" si="57"/>
        <v>37</v>
      </c>
      <c r="B86" s="104" t="str">
        <f t="shared" ca="1" si="55"/>
        <v/>
      </c>
      <c r="C86" s="104" t="str">
        <f>IF(OR(クライアント抽出!C16&lt;&gt;"",クライアント抽出!F16&lt;&gt;""),クライアント抽出!A16,"")</f>
        <v/>
      </c>
      <c r="D86" s="104" t="str">
        <f t="array" aca="1" ref="D86" ca="1">IF(C86&lt;&gt;"",INDIRECT("クライアント抽出!"&amp;E86&amp;MATCH(C86,クライアント抽出!A:A,0)&amp;""),"")</f>
        <v/>
      </c>
      <c r="E86" s="104" t="str">
        <f>IF(H86&lt;&gt;0,
IFERROR(
SUBSTITUTE(ADDRESS(1,
MATCH(VALUE(H86),クライアント抽出!A16:G16,0)+8,4),"1",""),
""),
IFERROR(
SUBSTITUTE(ADDRESS(1,
MATCH(VALUE(I86),クライアント抽出!A16:G16,0)+8,4),"1",""),
""))</f>
        <v/>
      </c>
      <c r="F86" s="186" t="str">
        <f ca="1">IF(D86&lt;&gt;"",
IF(COUNTIF(C86,"*雙葉*"),
IF(ROUND((H86-M86)
/IF(COUNTIF(D86,"*キャラ*"),
VLOOKUP("*キャラ*",商品マスタ!$D:$E,2,FALSE),
IF(COUNTIF(D86,"*赤*"),
VLOOKUP("*赤*",商品マスタ!$D:$E,2,FALSE),
VLOOKUP("*"&amp;D86&amp;"*",商品マスタ!$D:$E,2,FALSE))),0)&lt;=0,1,
ROUND((H86-M86)
/IF(COUNTIF(D86,"*キャラ*"),
VLOOKUP("*キャラ*",商品マスタ!$D:$E,2,FALSE),
IF(COUNTIF(D86,"*赤*"),
VLOOKUP("*赤*",商品マスタ!$D:$E,2,FALSE),
VLOOKUP("*"&amp;D86&amp;"*",商品マスタ!$D:$E,2,FALSE))),0)),
IF(OR(COUNTIF(D86,"*キャラ*"),COUNTIF(D86,"*赤*")),"",
IF(VLOOKUP("*"&amp;D86&amp;"*",商品マスタ!$D:$E,2,FALSE)=0,"",
IF(ROUND((H86-M86)
/VLOOKUP("*"&amp;D86&amp;"*",商品マスタ!$D:$E,2,FALSE),0)&lt;=0,1,
ROUND((H86-M86)
/VLOOKUP("*"&amp;D86&amp;"*",商品マスタ!$D:$E,2,FALSE),0))))),"")</f>
        <v/>
      </c>
      <c r="G86" s="104" t="str">
        <f ca="1">IF(F86&lt;&gt;"",
IF(VALUE(H86-M86)&gt;VALUE(IF(COUNTIF(D86,"*キャラ*"),
VLOOKUP("*キャラ*",商品マスタ!$D:$E,2,FALSE),
IF(COUNTIF(D86,"*赤*"),
VLOOKUP("*赤*",商品マスタ!$D:$E,2,FALSE),
VLOOKUP("*"&amp;D86&amp;"*",商品マスタ!$D:$E,2,FALSE)))*F86),
"+"&amp;(H86-M86)-IF(COUNTIF(D86,"*キャラ*"),
VLOOKUP("*キャラ*",商品マスタ!$D:$E,2,FALSE),
IF(COUNTIF(D86,"*赤*"),
VLOOKUP("*赤*",商品マスタ!$D:$E,2,FALSE),
VLOOKUP("*"&amp;D86&amp;"*",商品マスタ!$D:$E,2,FALSE)))*F86,
(H86-M86)-IF(COUNTIF(D86,"*キャラ*"),
VLOOKUP("*キャラ*",商品マスタ!$D:$E,2,FALSE),
IF(COUNTIF(D86,"*赤*"),
VLOOKUP("*赤*",商品マスタ!$D:$E,2,FALSE),
VLOOKUP("*"&amp;D86&amp;"*",商品マスタ!$D:$E,2,FALSE)))*F86),"")</f>
        <v/>
      </c>
      <c r="H86" s="105" t="str">
        <f>IF(C86&lt;&gt;"",
クライアント抽出!C16,"")</f>
        <v/>
      </c>
      <c r="I86" s="104" t="str">
        <f t="array" aca="1" ref="I86" ca="1">IF(C86&lt;&gt;"",
IF(O86=1,
IF(SUMPRODUCT(COUNTIF(クライアント抽出!P16:U16,クライアント抽出!P16:U16))&gt;COUNTA(クライアント抽出!P16:U16),
IFERROR(INDIRECT("数出表_Excel!"&amp;INDEX(_xlfn.UNIQUE(_xlfn._xlws.FILTER(クライアント抽出!P16:U16,COUNTIF(クライアント抽出!P16:U16,クライアント抽出!P16:U16)&gt;1)),1)&amp;L16&amp;""),
クライアント抽出!E16),0),クライアント抽出!F16),"")</f>
        <v/>
      </c>
      <c r="J86" s="104" t="str">
        <f>IF(C86&lt;&gt;"",
VLOOKUP(
"*"&amp;LEFT(IF(COUNTIF(D86,"*学食*"),"キャラ弁（学食）",
IF(COUNTIF(D86,"*赤*"),"赤",
IF(COUNTIF(D86,"*キャラ弁当*"),"キャラ弁当",D86))),4)&amp;"*",注文弁当の抽出!$F$1:$G$15,2,FALSE),"")</f>
        <v/>
      </c>
      <c r="K86" s="104" t="str">
        <f ca="1">IF(クライアント抽出!Q16&lt;&gt;"",SUBSTITUTE(ADDRESS(1,(CODE(クライアント抽出!Q16)-64)*2-1,4),"1",""),"")</f>
        <v/>
      </c>
      <c r="L86" s="104" t="str">
        <f>IF(C16&lt;&gt;"",クライアント抽出!I16,"")</f>
        <v/>
      </c>
      <c r="M86" s="104">
        <f t="array" aca="1" ref="M86" ca="1">IF(C86&lt;&gt;"",
IF(K86&lt;&gt;"",INDIRECT("'数出表_Excel（アレルギー入力）'!"&amp;K86&amp;L86-1&amp;""),),)</f>
        <v>0</v>
      </c>
      <c r="N86" s="104" t="str">
        <f>IF(C86&lt;&gt;"",IF(OR(COUNTIF('盛付札（関数）'!D86,"*赤*"),COUNTIF('盛付札（関数）'!D86,"*キャラ*")),1,
VALUE(VLOOKUP("*"&amp;D86&amp;"*",商品マスタ!D:H,5,FALSE))),"")</f>
        <v/>
      </c>
      <c r="O86" s="104">
        <f t="shared" ca="1" si="56"/>
        <v>0</v>
      </c>
      <c r="P86" s="104">
        <f t="shared" si="33"/>
        <v>0</v>
      </c>
      <c r="Q86" s="104" t="b">
        <f t="shared" si="34"/>
        <v>0</v>
      </c>
      <c r="R86" s="176" t="str">
        <f t="array" aca="1" ref="R86" ca="1">IFERROR(SMALL(IF(P$1:P$311&lt;&gt;0,P$1:P$311),ROW(A86)),"")</f>
        <v/>
      </c>
      <c r="S86" s="176" t="str">
        <f t="array" aca="1" ref="S86" ca="1">IF($R86&lt;&gt;"",
SUBSTITUTE(SUBSTITUTE(INDIRECT("C"&amp;$R86&amp;"")," 週3ｺｰｽ","")," 週5ｺｰｽ",""),"")</f>
        <v/>
      </c>
      <c r="T86" s="176" t="str">
        <f t="array" aca="1" ref="T86" ca="1">IF(IF($R86&lt;&gt;"",
INDIRECT(""&amp;IF(COLUMN(D86)&lt;=26,CHAR(COLUMN(D86)+64),CHAR(INT((COLUMN(D86)-1)/26)+64)&amp;CHAR(MOD(COLUMN(D86)-1,26)+65))&amp;$R86&amp;""),"")=0,"",
IF($R86&lt;&gt;"",
INDIRECT(""&amp;IF(COLUMN(D86)&lt;=26,CHAR(COLUMN(D86)+64),CHAR(INT((COLUMN(D86)-1)/26)+64)&amp;CHAR(MOD(COLUMN(D86)-1,26)+65))&amp;$R86&amp;""),""))</f>
        <v/>
      </c>
      <c r="U86" s="218" t="str">
        <f t="array" aca="1" ref="U86" ca="1">IF($R86&lt;&gt;"",
INDIRECT("F"&amp;$R86&amp;""),"")</f>
        <v/>
      </c>
      <c r="V86" s="219" t="str">
        <f t="array" aca="1" ref="V86" ca="1">IF($R86&lt;&gt;"",
INDIRECT("G"&amp;$R86&amp;""),"")</f>
        <v/>
      </c>
      <c r="W86" s="219" t="str" cm="1">
        <f t="array" aca="1" ref="W86" ca="1">IF($R86&lt;&gt;"",
IF(AND(COUNTIF(INDIRECT("B"&amp;R86&amp;""),"*雙葉*"),COUNTIF($B$71:$B$210,"*雙葉*")&gt;=1),
IF(OR(COUNTIF(INDIRECT("B"&amp;R86&amp;""),"*雙葉先生*"),COUNTIF(INDIRECT("B"&amp;R86-1&amp;""),"*雙葉*")),INDIRECT("H"&amp;R86&amp;""),INDIRECT("H"&amp;R86&amp;"")+INDIRECT("H"&amp;MATCH("雙葉'",INDIRECT("B"&amp;R86+3&amp;":B210"),0)+2+R86&amp;"")),
IF(AND(LEFT(INDIRECT("B"&amp;R86&amp;""),2)="博多",COUNTIF(B:B,"*博多*")&gt;=2),
INDIRECT("H"&amp;R86&amp;"")+IFERROR(INDIRECT("H"&amp;MATCH("*"&amp;INDIRECT("B"&amp;R86&amp;"")&amp;"*",INDIRECT("B"&amp;R86+1&amp;":B210"),0)+R86&amp;""),0),
IF(AND(LEFT(INDIRECT("B"&amp;R86&amp;""),3)="奈良屋",COUNTIF(B:B,"*奈良屋*")&gt;=2),
INDIRECT("H"&amp;R86&amp;"")
+INDIRECT("H"&amp;MATCH("*"&amp;INDIRECT("B"&amp;R86&amp;"")&amp;"*",INDIRECT("B"&amp;R86+1&amp;":B210"),0)+R86&amp;"")
+INDIRECT("H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
+INDIRECT("H"&amp;MATCH("*"&amp;INDIRECT("B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&amp;"*",INDIRECT("B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+1&amp;":B210"),0)+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,
INDIRECT("H"&amp;R86&amp;"")))),"")</f>
        <v/>
      </c>
      <c r="X86" s="176" t="str">
        <f t="array" aca="1" ref="X86" ca="1">IF($R86&lt;&gt;"",
INDIRECT(""&amp;IF(COLUMN(I86)&lt;=26,CHAR(COLUMN(I86)+64),CHAR(INT((COLUMN(I86)-1)/26)+64)&amp;CHAR(MOD(COLUMN(I86)-1,26)+65))&amp;$R86&amp;""),"")</f>
        <v/>
      </c>
      <c r="Y86" s="176" t="str">
        <f t="array" aca="1" ref="Y86" ca="1">IF($R86&lt;&gt;"",
INDIRECT(""&amp;IF(COLUMN(J86)&lt;=26,CHAR(COLUMN(J86)+64),CHAR(INT((COLUMN(J86)-1)/26)+64)&amp;CHAR(MOD(COLUMN(J86)-1,26)+65))&amp;$R86&amp;""),"")</f>
        <v/>
      </c>
      <c r="Z86" s="176" t="str">
        <f t="shared" ca="1" si="35"/>
        <v/>
      </c>
      <c r="AA86" s="176" t="str">
        <f t="shared" ca="1" si="36"/>
        <v/>
      </c>
      <c r="AB86" s="176" t="str">
        <f t="array" aca="1" ref="AB86" ca="1">IF($R86&lt;&gt;"",
IF(AND(COUNTIF(INDIRECT("B"&amp;R86&amp;""),"*雙葉*"),COUNTIF(INDIRECT("B"&amp;R86&amp;""),"&lt;&gt;*先生*"),COUNTIF(B:B,"*雙葉*")&gt;=2),
INDIRECT("M"&amp;R86&amp;"")+INDIRECT("M"&amp;MATCH("雙葉'",INDIRECT("B"&amp;R86+1&amp;":B210"),0)+R86&amp;""),
IF(AND(LEFT(INDIRECT("B"&amp;R86&amp;""),2)="博多",COUNTIF(B:B,"*博多*")&gt;=2),
INDIRECT("M"&amp;R86&amp;"")+INDIRECT("M"&amp;MATCH("*"&amp;INDIRECT("B"&amp;R86&amp;"")&amp;"*",INDIRECT("B"&amp;R86+1&amp;":B210"),0)+R86&amp;""),
IF(AND(LEFT(INDIRECT("B"&amp;R86&amp;""),3)="奈良屋",COUNTIF(B:B,"*奈良屋*")&gt;=2),
INDIRECT("M"&amp;R86&amp;"")+INDIRECT("M"&amp;MATCH("*"&amp;INDIRECT("B"&amp;R86&amp;"")&amp;"*",INDIRECT("B"&amp;R86+1&amp;":B210"),0)+R86&amp;"")
+INDIRECT("M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,
INDIRECT("M"&amp;R86&amp;"")))),"")</f>
        <v/>
      </c>
      <c r="AC86" s="176" t="str">
        <f t="shared" ca="1" si="37"/>
        <v/>
      </c>
      <c r="AD86" s="176" t="str">
        <f t="shared" ca="1" si="38"/>
        <v/>
      </c>
      <c r="AE86" s="176" t="str">
        <f t="shared" ca="1" si="39"/>
        <v/>
      </c>
      <c r="AF86" s="176" t="str">
        <f t="shared" ca="1" si="40"/>
        <v/>
      </c>
      <c r="AG86" s="176" t="str">
        <f t="shared" ca="1" si="41"/>
        <v/>
      </c>
      <c r="AH86" s="183" t="str">
        <f t="shared" ca="1" si="42"/>
        <v/>
      </c>
      <c r="AI86" s="176" t="str">
        <f t="shared" ca="1" si="43"/>
        <v/>
      </c>
      <c r="AJ86" s="176" t="str">
        <f t="shared" ca="1" si="44"/>
        <v/>
      </c>
      <c r="AK86" s="176" t="str">
        <f t="shared" ca="1" si="45"/>
        <v/>
      </c>
      <c r="AL86" s="176" t="str">
        <f t="shared" ca="1" si="46"/>
        <v/>
      </c>
      <c r="AM86" s="176" t="str">
        <f t="shared" ca="1" si="47"/>
        <v/>
      </c>
      <c r="AN86" s="176" t="str">
        <f t="shared" ca="1" si="48"/>
        <v/>
      </c>
      <c r="AO86" s="176" t="str">
        <f t="shared" ca="1" si="49"/>
        <v/>
      </c>
      <c r="AP86" s="176" t="str">
        <f t="shared" ca="1" si="50"/>
        <v/>
      </c>
      <c r="AU86" s="176" t="str">
        <f t="shared" ca="1" si="51"/>
        <v/>
      </c>
    </row>
    <row r="87" spans="1:47" ht="22.2" customHeight="1">
      <c r="A87" s="103">
        <f t="shared" si="57"/>
        <v>39</v>
      </c>
      <c r="B87" s="104" t="str">
        <f t="shared" ca="1" si="55"/>
        <v/>
      </c>
      <c r="C87" s="104" t="str">
        <f>IF(OR(クライアント抽出!C17&lt;&gt;"",クライアント抽出!F17&lt;&gt;""),クライアント抽出!A17,"")</f>
        <v/>
      </c>
      <c r="D87" s="104" t="str">
        <f t="array" aca="1" ref="D87" ca="1">IF(C87&lt;&gt;"",INDIRECT("クライアント抽出!"&amp;E87&amp;MATCH(C87,クライアント抽出!A:A,0)&amp;""),"")</f>
        <v/>
      </c>
      <c r="E87" s="104" t="str">
        <f>IF(H87&lt;&gt;0,
IFERROR(
SUBSTITUTE(ADDRESS(1,
MATCH(VALUE(H87),クライアント抽出!A17:G17,0)+8,4),"1",""),
""),
IFERROR(
SUBSTITUTE(ADDRESS(1,
MATCH(VALUE(I87),クライアント抽出!A17:G17,0)+8,4),"1",""),
""))</f>
        <v/>
      </c>
      <c r="F87" s="186" t="str">
        <f ca="1">IF(D87&lt;&gt;"",
IF(COUNTIF(C87,"*雙葉*"),
IF(ROUND((H87-M87)
/IF(COUNTIF(D87,"*キャラ*"),
VLOOKUP("*キャラ*",商品マスタ!$D:$E,2,FALSE),
IF(COUNTIF(D87,"*赤*"),
VLOOKUP("*赤*",商品マスタ!$D:$E,2,FALSE),
VLOOKUP("*"&amp;D87&amp;"*",商品マスタ!$D:$E,2,FALSE))),0)&lt;=0,1,
ROUND((H87-M87)
/IF(COUNTIF(D87,"*キャラ*"),
VLOOKUP("*キャラ*",商品マスタ!$D:$E,2,FALSE),
IF(COUNTIF(D87,"*赤*"),
VLOOKUP("*赤*",商品マスタ!$D:$E,2,FALSE),
VLOOKUP("*"&amp;D87&amp;"*",商品マスタ!$D:$E,2,FALSE))),0)),
IF(OR(COUNTIF(D87,"*キャラ*"),COUNTIF(D87,"*赤*")),"",
IF(VLOOKUP("*"&amp;D87&amp;"*",商品マスタ!$D:$E,2,FALSE)=0,"",
IF(ROUND((H87-M87)
/VLOOKUP("*"&amp;D87&amp;"*",商品マスタ!$D:$E,2,FALSE),0)&lt;=0,1,
ROUND((H87-M87)
/VLOOKUP("*"&amp;D87&amp;"*",商品マスタ!$D:$E,2,FALSE),0))))),"")</f>
        <v/>
      </c>
      <c r="G87" s="104" t="str">
        <f ca="1">IF(F87&lt;&gt;"",
IF(VALUE(H87-M87)&gt;VALUE(IF(COUNTIF(D87,"*キャラ*"),
VLOOKUP("*キャラ*",商品マスタ!$D:$E,2,FALSE),
IF(COUNTIF(D87,"*赤*"),
VLOOKUP("*赤*",商品マスタ!$D:$E,2,FALSE),
VLOOKUP("*"&amp;D87&amp;"*",商品マスタ!$D:$E,2,FALSE)))*F87),
"+"&amp;(H87-M87)-IF(COUNTIF(D87,"*キャラ*"),
VLOOKUP("*キャラ*",商品マスタ!$D:$E,2,FALSE),
IF(COUNTIF(D87,"*赤*"),
VLOOKUP("*赤*",商品マスタ!$D:$E,2,FALSE),
VLOOKUP("*"&amp;D87&amp;"*",商品マスタ!$D:$E,2,FALSE)))*F87,
(H87-M87)-IF(COUNTIF(D87,"*キャラ*"),
VLOOKUP("*キャラ*",商品マスタ!$D:$E,2,FALSE),
IF(COUNTIF(D87,"*赤*"),
VLOOKUP("*赤*",商品マスタ!$D:$E,2,FALSE),
VLOOKUP("*"&amp;D87&amp;"*",商品マスタ!$D:$E,2,FALSE)))*F87),"")</f>
        <v/>
      </c>
      <c r="H87" s="105" t="str">
        <f>IF(C87&lt;&gt;"",
クライアント抽出!C17,"")</f>
        <v/>
      </c>
      <c r="I87" s="104" t="str">
        <f t="array" aca="1" ref="I87" ca="1">IF(C87&lt;&gt;"",
IF(O87=1,
IF(SUMPRODUCT(COUNTIF(クライアント抽出!P17:U17,クライアント抽出!P17:U17))&gt;COUNTA(クライアント抽出!P17:U17),
IFERROR(INDIRECT("数出表_Excel!"&amp;INDEX(_xlfn.UNIQUE(_xlfn._xlws.FILTER(クライアント抽出!P17:U17,COUNTIF(クライアント抽出!P17:U17,クライアント抽出!P17:U17)&gt;1)),1)&amp;L17&amp;""),
クライアント抽出!E17),0),クライアント抽出!F17),"")</f>
        <v/>
      </c>
      <c r="J87" s="104" t="str">
        <f>IF(C87&lt;&gt;"",
VLOOKUP(
"*"&amp;LEFT(IF(COUNTIF(D87,"*学食*"),"キャラ弁（学食）",
IF(COUNTIF(D87,"*赤*"),"赤",
IF(COUNTIF(D87,"*キャラ弁当*"),"キャラ弁当",D87))),4)&amp;"*",注文弁当の抽出!$F$1:$G$15,2,FALSE),"")</f>
        <v/>
      </c>
      <c r="K87" s="104" t="str">
        <f ca="1">IF(クライアント抽出!Q17&lt;&gt;"",SUBSTITUTE(ADDRESS(1,(CODE(クライアント抽出!Q17)-64)*2-1,4),"1",""),"")</f>
        <v/>
      </c>
      <c r="L87" s="104" t="str">
        <f>IF(C17&lt;&gt;"",クライアント抽出!I17,"")</f>
        <v/>
      </c>
      <c r="M87" s="104">
        <f t="array" aca="1" ref="M87" ca="1">IF(C87&lt;&gt;"",
IF(K87&lt;&gt;"",INDIRECT("'数出表_Excel（アレルギー入力）'!"&amp;K87&amp;L87-1&amp;""),),)</f>
        <v>0</v>
      </c>
      <c r="N87" s="104" t="str">
        <f>IF(C87&lt;&gt;"",IF(OR(COUNTIF('盛付札（関数）'!D87,"*赤*"),COUNTIF('盛付札（関数）'!D87,"*キャラ*")),1,
VALUE(VLOOKUP("*"&amp;D87&amp;"*",商品マスタ!D:H,5,FALSE))),"")</f>
        <v/>
      </c>
      <c r="O87" s="104">
        <f t="shared" ca="1" si="56"/>
        <v>0</v>
      </c>
      <c r="P87" s="104">
        <f t="shared" si="33"/>
        <v>0</v>
      </c>
      <c r="Q87" s="104" t="b">
        <f t="shared" si="34"/>
        <v>0</v>
      </c>
      <c r="R87" s="176" t="str">
        <f t="array" aca="1" ref="R87" ca="1">IFERROR(SMALL(IF(P$1:P$311&lt;&gt;0,P$1:P$311),ROW(A87)),"")</f>
        <v/>
      </c>
      <c r="S87" s="176" t="str">
        <f t="array" aca="1" ref="S87" ca="1">IF($R87&lt;&gt;"",
SUBSTITUTE(SUBSTITUTE(INDIRECT("C"&amp;$R87&amp;"")," 週3ｺｰｽ","")," 週5ｺｰｽ",""),"")</f>
        <v/>
      </c>
      <c r="T87" s="176" t="str">
        <f t="array" aca="1" ref="T87" ca="1">IF(IF($R87&lt;&gt;"",
INDIRECT(""&amp;IF(COLUMN(D87)&lt;=26,CHAR(COLUMN(D87)+64),CHAR(INT((COLUMN(D87)-1)/26)+64)&amp;CHAR(MOD(COLUMN(D87)-1,26)+65))&amp;$R87&amp;""),"")=0,"",
IF($R87&lt;&gt;"",
INDIRECT(""&amp;IF(COLUMN(D87)&lt;=26,CHAR(COLUMN(D87)+64),CHAR(INT((COLUMN(D87)-1)/26)+64)&amp;CHAR(MOD(COLUMN(D87)-1,26)+65))&amp;$R87&amp;""),""))</f>
        <v/>
      </c>
      <c r="U87" s="218" t="str">
        <f t="array" aca="1" ref="U87" ca="1">IF($R87&lt;&gt;"",
INDIRECT("F"&amp;$R87&amp;""),"")</f>
        <v/>
      </c>
      <c r="V87" s="219" t="str">
        <f t="array" aca="1" ref="V87" ca="1">IF($R87&lt;&gt;"",
INDIRECT("G"&amp;$R87&amp;""),"")</f>
        <v/>
      </c>
      <c r="W87" s="219" t="str" cm="1">
        <f t="array" aca="1" ref="W87" ca="1">IF($R87&lt;&gt;"",
IF(AND(COUNTIF(INDIRECT("B"&amp;R87&amp;""),"*雙葉*"),COUNTIF($B$71:$B$210,"*雙葉*")&gt;=1),
IF(OR(COUNTIF(INDIRECT("B"&amp;R87&amp;""),"*雙葉先生*"),COUNTIF(INDIRECT("B"&amp;R87-1&amp;""),"*雙葉*")),INDIRECT("H"&amp;R87&amp;""),INDIRECT("H"&amp;R87&amp;"")+INDIRECT("H"&amp;MATCH("雙葉'",INDIRECT("B"&amp;R87+3&amp;":B210"),0)+2+R87&amp;"")),
IF(AND(LEFT(INDIRECT("B"&amp;R87&amp;""),2)="博多",COUNTIF(B:B,"*博多*")&gt;=2),
INDIRECT("H"&amp;R87&amp;"")+IFERROR(INDIRECT("H"&amp;MATCH("*"&amp;INDIRECT("B"&amp;R87&amp;"")&amp;"*",INDIRECT("B"&amp;R87+1&amp;":B210"),0)+R87&amp;""),0),
IF(AND(LEFT(INDIRECT("B"&amp;R87&amp;""),3)="奈良屋",COUNTIF(B:B,"*奈良屋*")&gt;=2),
INDIRECT("H"&amp;R87&amp;"")
+INDIRECT("H"&amp;MATCH("*"&amp;INDIRECT("B"&amp;R87&amp;"")&amp;"*",INDIRECT("B"&amp;R87+1&amp;":B210"),0)+R87&amp;"")
+INDIRECT("H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
+INDIRECT("H"&amp;MATCH("*"&amp;INDIRECT("B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&amp;"*",INDIRECT("B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+1&amp;":B210"),0)+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,
INDIRECT("H"&amp;R87&amp;"")))),"")</f>
        <v/>
      </c>
      <c r="X87" s="176" t="str">
        <f t="array" aca="1" ref="X87" ca="1">IF($R87&lt;&gt;"",
INDIRECT(""&amp;IF(COLUMN(I87)&lt;=26,CHAR(COLUMN(I87)+64),CHAR(INT((COLUMN(I87)-1)/26)+64)&amp;CHAR(MOD(COLUMN(I87)-1,26)+65))&amp;$R87&amp;""),"")</f>
        <v/>
      </c>
      <c r="Y87" s="176" t="str">
        <f t="array" aca="1" ref="Y87" ca="1">IF($R87&lt;&gt;"",
INDIRECT(""&amp;IF(COLUMN(J87)&lt;=26,CHAR(COLUMN(J87)+64),CHAR(INT((COLUMN(J87)-1)/26)+64)&amp;CHAR(MOD(COLUMN(J87)-1,26)+65))&amp;$R87&amp;""),"")</f>
        <v/>
      </c>
      <c r="Z87" s="176" t="str">
        <f t="shared" ca="1" si="35"/>
        <v/>
      </c>
      <c r="AA87" s="176" t="str">
        <f t="shared" ca="1" si="36"/>
        <v/>
      </c>
      <c r="AB87" s="176" t="str">
        <f t="array" aca="1" ref="AB87" ca="1">IF($R87&lt;&gt;"",
IF(AND(COUNTIF(INDIRECT("B"&amp;R87&amp;""),"*雙葉*"),COUNTIF(INDIRECT("B"&amp;R87&amp;""),"&lt;&gt;*先生*"),COUNTIF(B:B,"*雙葉*")&gt;=2),
INDIRECT("M"&amp;R87&amp;"")+INDIRECT("M"&amp;MATCH("雙葉'",INDIRECT("B"&amp;R87+1&amp;":B210"),0)+R87&amp;""),
IF(AND(LEFT(INDIRECT("B"&amp;R87&amp;""),2)="博多",COUNTIF(B:B,"*博多*")&gt;=2),
INDIRECT("M"&amp;R87&amp;"")+INDIRECT("M"&amp;MATCH("*"&amp;INDIRECT("B"&amp;R87&amp;"")&amp;"*",INDIRECT("B"&amp;R87+1&amp;":B210"),0)+R87&amp;""),
IF(AND(LEFT(INDIRECT("B"&amp;R87&amp;""),3)="奈良屋",COUNTIF(B:B,"*奈良屋*")&gt;=2),
INDIRECT("M"&amp;R87&amp;"")+INDIRECT("M"&amp;MATCH("*"&amp;INDIRECT("B"&amp;R87&amp;"")&amp;"*",INDIRECT("B"&amp;R87+1&amp;":B210"),0)+R87&amp;"")
+INDIRECT("M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,
INDIRECT("M"&amp;R87&amp;"")))),"")</f>
        <v/>
      </c>
      <c r="AC87" s="176" t="str">
        <f t="shared" ca="1" si="37"/>
        <v/>
      </c>
      <c r="AD87" s="176" t="str">
        <f t="shared" ca="1" si="38"/>
        <v/>
      </c>
      <c r="AE87" s="176" t="str">
        <f t="shared" ca="1" si="39"/>
        <v/>
      </c>
      <c r="AF87" s="176" t="str">
        <f t="shared" ca="1" si="40"/>
        <v/>
      </c>
      <c r="AG87" s="176" t="str">
        <f t="shared" ca="1" si="41"/>
        <v/>
      </c>
      <c r="AH87" s="183" t="str">
        <f t="shared" ca="1" si="42"/>
        <v/>
      </c>
      <c r="AI87" s="176" t="str">
        <f t="shared" ca="1" si="43"/>
        <v/>
      </c>
      <c r="AJ87" s="176" t="str">
        <f t="shared" ca="1" si="44"/>
        <v/>
      </c>
      <c r="AK87" s="176" t="str">
        <f t="shared" ca="1" si="45"/>
        <v/>
      </c>
      <c r="AL87" s="176" t="str">
        <f t="shared" ca="1" si="46"/>
        <v/>
      </c>
      <c r="AM87" s="176" t="str">
        <f t="shared" ca="1" si="47"/>
        <v/>
      </c>
      <c r="AN87" s="176" t="str">
        <f t="shared" ca="1" si="48"/>
        <v/>
      </c>
      <c r="AO87" s="176" t="str">
        <f t="shared" ca="1" si="49"/>
        <v/>
      </c>
      <c r="AP87" s="176" t="str">
        <f t="shared" ca="1" si="50"/>
        <v/>
      </c>
      <c r="AU87" s="176" t="str">
        <f t="shared" ca="1" si="51"/>
        <v/>
      </c>
    </row>
    <row r="88" spans="1:47" ht="22.2" customHeight="1">
      <c r="A88" s="103">
        <f t="shared" si="57"/>
        <v>41</v>
      </c>
      <c r="B88" s="104" t="str">
        <f t="shared" ca="1" si="55"/>
        <v/>
      </c>
      <c r="C88" s="104" t="str">
        <f>IF(OR(クライアント抽出!C18&lt;&gt;"",クライアント抽出!F18&lt;&gt;""),クライアント抽出!A18,"")</f>
        <v/>
      </c>
      <c r="D88" s="104" t="str">
        <f t="array" aca="1" ref="D88" ca="1">IF(C88&lt;&gt;"",INDIRECT("クライアント抽出!"&amp;E88&amp;MATCH(C88,クライアント抽出!A:A,0)&amp;""),"")</f>
        <v/>
      </c>
      <c r="E88" s="104" t="str">
        <f>IF(H88&lt;&gt;0,
IFERROR(
SUBSTITUTE(ADDRESS(1,
MATCH(VALUE(H88),クライアント抽出!A18:G18,0)+8,4),"1",""),
""),
IFERROR(
SUBSTITUTE(ADDRESS(1,
MATCH(VALUE(I88),クライアント抽出!A18:G18,0)+8,4),"1",""),
""))</f>
        <v/>
      </c>
      <c r="F88" s="186" t="str">
        <f ca="1">IF(D88&lt;&gt;"",
IF(COUNTIF(C88,"*雙葉*"),
IF(ROUND((H88-M88)
/IF(COUNTIF(D88,"*キャラ*"),
VLOOKUP("*キャラ*",商品マスタ!$D:$E,2,FALSE),
IF(COUNTIF(D88,"*赤*"),
VLOOKUP("*赤*",商品マスタ!$D:$E,2,FALSE),
VLOOKUP("*"&amp;D88&amp;"*",商品マスタ!$D:$E,2,FALSE))),0)&lt;=0,1,
ROUND((H88-M88)
/IF(COUNTIF(D88,"*キャラ*"),
VLOOKUP("*キャラ*",商品マスタ!$D:$E,2,FALSE),
IF(COUNTIF(D88,"*赤*"),
VLOOKUP("*赤*",商品マスタ!$D:$E,2,FALSE),
VLOOKUP("*"&amp;D88&amp;"*",商品マスタ!$D:$E,2,FALSE))),0)),
IF(OR(COUNTIF(D88,"*キャラ*"),COUNTIF(D88,"*赤*")),"",
IF(VLOOKUP("*"&amp;D88&amp;"*",商品マスタ!$D:$E,2,FALSE)=0,"",
IF(ROUND((H88-M88)
/VLOOKUP("*"&amp;D88&amp;"*",商品マスタ!$D:$E,2,FALSE),0)&lt;=0,1,
ROUND((H88-M88)
/VLOOKUP("*"&amp;D88&amp;"*",商品マスタ!$D:$E,2,FALSE),0))))),"")</f>
        <v/>
      </c>
      <c r="G88" s="104" t="str">
        <f ca="1">IF(F88&lt;&gt;"",
IF(VALUE(H88-M88)&gt;VALUE(IF(COUNTIF(D88,"*キャラ*"),
VLOOKUP("*キャラ*",商品マスタ!$D:$E,2,FALSE),
IF(COUNTIF(D88,"*赤*"),
VLOOKUP("*赤*",商品マスタ!$D:$E,2,FALSE),
VLOOKUP("*"&amp;D88&amp;"*",商品マスタ!$D:$E,2,FALSE)))*F88),
"+"&amp;(H88-M88)-IF(COUNTIF(D88,"*キャラ*"),
VLOOKUP("*キャラ*",商品マスタ!$D:$E,2,FALSE),
IF(COUNTIF(D88,"*赤*"),
VLOOKUP("*赤*",商品マスタ!$D:$E,2,FALSE),
VLOOKUP("*"&amp;D88&amp;"*",商品マスタ!$D:$E,2,FALSE)))*F88,
(H88-M88)-IF(COUNTIF(D88,"*キャラ*"),
VLOOKUP("*キャラ*",商品マスタ!$D:$E,2,FALSE),
IF(COUNTIF(D88,"*赤*"),
VLOOKUP("*赤*",商品マスタ!$D:$E,2,FALSE),
VLOOKUP("*"&amp;D88&amp;"*",商品マスタ!$D:$E,2,FALSE)))*F88),"")</f>
        <v/>
      </c>
      <c r="H88" s="105" t="str">
        <f>IF(C88&lt;&gt;"",
クライアント抽出!C18,"")</f>
        <v/>
      </c>
      <c r="I88" s="104" t="str">
        <f t="array" aca="1" ref="I88" ca="1">IF(C88&lt;&gt;"",
IF(O88=1,
IF(SUMPRODUCT(COUNTIF(クライアント抽出!P18:U18,クライアント抽出!P18:U18))&gt;COUNTA(クライアント抽出!P18:U18),
IFERROR(INDIRECT("数出表_Excel!"&amp;INDEX(_xlfn.UNIQUE(_xlfn._xlws.FILTER(クライアント抽出!P18:U18,COUNTIF(クライアント抽出!P18:U18,クライアント抽出!P18:U18)&gt;1)),1)&amp;L18&amp;""),
クライアント抽出!E18),0),クライアント抽出!F18),"")</f>
        <v/>
      </c>
      <c r="J88" s="104" t="str">
        <f>IF(C88&lt;&gt;"",
VLOOKUP(
"*"&amp;LEFT(IF(COUNTIF(D88,"*学食*"),"キャラ弁（学食）",
IF(COUNTIF(D88,"*赤*"),"赤",
IF(COUNTIF(D88,"*キャラ弁当*"),"キャラ弁当",D88))),4)&amp;"*",注文弁当の抽出!$F$1:$G$15,2,FALSE),"")</f>
        <v/>
      </c>
      <c r="K88" s="104" t="str">
        <f ca="1">IF(クライアント抽出!Q18&lt;&gt;"",SUBSTITUTE(ADDRESS(1,(CODE(クライアント抽出!Q18)-64)*2-1,4),"1",""),"")</f>
        <v/>
      </c>
      <c r="L88" s="104" t="str">
        <f>IF(C18&lt;&gt;"",クライアント抽出!I18,"")</f>
        <v/>
      </c>
      <c r="M88" s="104">
        <f t="array" aca="1" ref="M88" ca="1">IF(C88&lt;&gt;"",
IF(K88&lt;&gt;"",INDIRECT("'数出表_Excel（アレルギー入力）'!"&amp;K88&amp;L88-1&amp;""),),)</f>
        <v>0</v>
      </c>
      <c r="N88" s="104" t="str">
        <f>IF(C88&lt;&gt;"",IF(OR(COUNTIF('盛付札（関数）'!D88,"*赤*"),COUNTIF('盛付札（関数）'!D88,"*キャラ*")),1,
VALUE(VLOOKUP("*"&amp;D88&amp;"*",商品マスタ!D:H,5,FALSE))),"")</f>
        <v/>
      </c>
      <c r="O88" s="104">
        <f t="shared" ca="1" si="56"/>
        <v>0</v>
      </c>
      <c r="P88" s="104">
        <f t="shared" si="33"/>
        <v>0</v>
      </c>
      <c r="Q88" s="104" t="b">
        <f t="shared" si="34"/>
        <v>0</v>
      </c>
      <c r="R88" s="176" t="str">
        <f t="array" aca="1" ref="R88" ca="1">IFERROR(SMALL(IF(P$1:P$311&lt;&gt;0,P$1:P$311),ROW(A88)),"")</f>
        <v/>
      </c>
      <c r="S88" s="176" t="str">
        <f t="array" aca="1" ref="S88" ca="1">IF($R88&lt;&gt;"",
SUBSTITUTE(SUBSTITUTE(INDIRECT("C"&amp;$R88&amp;"")," 週3ｺｰｽ","")," 週5ｺｰｽ",""),"")</f>
        <v/>
      </c>
      <c r="T88" s="176" t="str">
        <f t="array" aca="1" ref="T88" ca="1">IF(IF($R88&lt;&gt;"",
INDIRECT(""&amp;IF(COLUMN(D88)&lt;=26,CHAR(COLUMN(D88)+64),CHAR(INT((COLUMN(D88)-1)/26)+64)&amp;CHAR(MOD(COLUMN(D88)-1,26)+65))&amp;$R88&amp;""),"")=0,"",
IF($R88&lt;&gt;"",
INDIRECT(""&amp;IF(COLUMN(D88)&lt;=26,CHAR(COLUMN(D88)+64),CHAR(INT((COLUMN(D88)-1)/26)+64)&amp;CHAR(MOD(COLUMN(D88)-1,26)+65))&amp;$R88&amp;""),""))</f>
        <v/>
      </c>
      <c r="U88" s="218" t="str">
        <f t="array" aca="1" ref="U88" ca="1">IF($R88&lt;&gt;"",
INDIRECT("F"&amp;$R88&amp;""),"")</f>
        <v/>
      </c>
      <c r="V88" s="219" t="str">
        <f t="array" aca="1" ref="V88" ca="1">IF($R88&lt;&gt;"",
INDIRECT("G"&amp;$R88&amp;""),"")</f>
        <v/>
      </c>
      <c r="W88" s="219" t="str" cm="1">
        <f t="array" aca="1" ref="W88" ca="1">IF($R88&lt;&gt;"",
IF(AND(COUNTIF(INDIRECT("B"&amp;R88&amp;""),"*雙葉*"),COUNTIF($B$71:$B$210,"*雙葉*")&gt;=1),
IF(OR(COUNTIF(INDIRECT("B"&amp;R88&amp;""),"*雙葉先生*"),COUNTIF(INDIRECT("B"&amp;R88-1&amp;""),"*雙葉*")),INDIRECT("H"&amp;R88&amp;""),INDIRECT("H"&amp;R88&amp;"")+INDIRECT("H"&amp;MATCH("雙葉'",INDIRECT("B"&amp;R88+3&amp;":B210"),0)+2+R88&amp;"")),
IF(AND(LEFT(INDIRECT("B"&amp;R88&amp;""),2)="博多",COUNTIF(B:B,"*博多*")&gt;=2),
INDIRECT("H"&amp;R88&amp;"")+IFERROR(INDIRECT("H"&amp;MATCH("*"&amp;INDIRECT("B"&amp;R88&amp;"")&amp;"*",INDIRECT("B"&amp;R88+1&amp;":B210"),0)+R88&amp;""),0),
IF(AND(LEFT(INDIRECT("B"&amp;R88&amp;""),3)="奈良屋",COUNTIF(B:B,"*奈良屋*")&gt;=2),
INDIRECT("H"&amp;R88&amp;"")
+INDIRECT("H"&amp;MATCH("*"&amp;INDIRECT("B"&amp;R88&amp;"")&amp;"*",INDIRECT("B"&amp;R88+1&amp;":B210"),0)+R88&amp;"")
+INDIRECT("H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
+INDIRECT("H"&amp;MATCH("*"&amp;INDIRECT("B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&amp;"*",INDIRECT("B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+1&amp;":B210"),0)+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,
INDIRECT("H"&amp;R88&amp;"")))),"")</f>
        <v/>
      </c>
      <c r="X88" s="176" t="str">
        <f t="array" aca="1" ref="X88" ca="1">IF($R88&lt;&gt;"",
INDIRECT(""&amp;IF(COLUMN(I88)&lt;=26,CHAR(COLUMN(I88)+64),CHAR(INT((COLUMN(I88)-1)/26)+64)&amp;CHAR(MOD(COLUMN(I88)-1,26)+65))&amp;$R88&amp;""),"")</f>
        <v/>
      </c>
      <c r="Y88" s="176" t="str">
        <f t="array" aca="1" ref="Y88" ca="1">IF($R88&lt;&gt;"",
INDIRECT(""&amp;IF(COLUMN(J88)&lt;=26,CHAR(COLUMN(J88)+64),CHAR(INT((COLUMN(J88)-1)/26)+64)&amp;CHAR(MOD(COLUMN(J88)-1,26)+65))&amp;$R88&amp;""),"")</f>
        <v/>
      </c>
      <c r="Z88" s="176" t="str">
        <f t="shared" ca="1" si="35"/>
        <v/>
      </c>
      <c r="AA88" s="176" t="str">
        <f t="shared" ca="1" si="36"/>
        <v/>
      </c>
      <c r="AB88" s="176" t="str">
        <f t="array" aca="1" ref="AB88" ca="1">IF($R88&lt;&gt;"",
IF(AND(COUNTIF(INDIRECT("B"&amp;R88&amp;""),"*雙葉*"),COUNTIF(INDIRECT("B"&amp;R88&amp;""),"&lt;&gt;*先生*"),COUNTIF(B:B,"*雙葉*")&gt;=2),
INDIRECT("M"&amp;R88&amp;"")+INDIRECT("M"&amp;MATCH("雙葉'",INDIRECT("B"&amp;R88+1&amp;":B210"),0)+R88&amp;""),
IF(AND(LEFT(INDIRECT("B"&amp;R88&amp;""),2)="博多",COUNTIF(B:B,"*博多*")&gt;=2),
INDIRECT("M"&amp;R88&amp;"")+INDIRECT("M"&amp;MATCH("*"&amp;INDIRECT("B"&amp;R88&amp;"")&amp;"*",INDIRECT("B"&amp;R88+1&amp;":B210"),0)+R88&amp;""),
IF(AND(LEFT(INDIRECT("B"&amp;R88&amp;""),3)="奈良屋",COUNTIF(B:B,"*奈良屋*")&gt;=2),
INDIRECT("M"&amp;R88&amp;"")+INDIRECT("M"&amp;MATCH("*"&amp;INDIRECT("B"&amp;R88&amp;"")&amp;"*",INDIRECT("B"&amp;R88+1&amp;":B210"),0)+R88&amp;"")
+INDIRECT("M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,
INDIRECT("M"&amp;R88&amp;"")))),"")</f>
        <v/>
      </c>
      <c r="AC88" s="176" t="str">
        <f t="shared" ca="1" si="37"/>
        <v/>
      </c>
      <c r="AD88" s="176" t="str">
        <f t="shared" ca="1" si="38"/>
        <v/>
      </c>
      <c r="AE88" s="176" t="str">
        <f t="shared" ca="1" si="39"/>
        <v/>
      </c>
      <c r="AF88" s="176" t="str">
        <f t="shared" ca="1" si="40"/>
        <v/>
      </c>
      <c r="AG88" s="176" t="str">
        <f t="shared" ca="1" si="41"/>
        <v/>
      </c>
      <c r="AH88" s="183" t="str">
        <f t="shared" ca="1" si="42"/>
        <v/>
      </c>
      <c r="AI88" s="176" t="str">
        <f t="shared" ca="1" si="43"/>
        <v/>
      </c>
      <c r="AJ88" s="176" t="str">
        <f t="shared" ca="1" si="44"/>
        <v/>
      </c>
      <c r="AK88" s="176" t="str">
        <f t="shared" ca="1" si="45"/>
        <v/>
      </c>
      <c r="AL88" s="176" t="str">
        <f t="shared" ca="1" si="46"/>
        <v/>
      </c>
      <c r="AM88" s="176" t="str">
        <f t="shared" ca="1" si="47"/>
        <v/>
      </c>
      <c r="AN88" s="176" t="str">
        <f t="shared" ca="1" si="48"/>
        <v/>
      </c>
      <c r="AO88" s="176" t="str">
        <f t="shared" ca="1" si="49"/>
        <v/>
      </c>
      <c r="AP88" s="176" t="str">
        <f t="shared" ca="1" si="50"/>
        <v/>
      </c>
      <c r="AU88" s="176" t="str">
        <f t="shared" ca="1" si="51"/>
        <v/>
      </c>
    </row>
    <row r="89" spans="1:47" ht="22.2" customHeight="1">
      <c r="A89" s="103">
        <f t="shared" si="57"/>
        <v>43</v>
      </c>
      <c r="B89" s="104" t="str">
        <f t="shared" ca="1" si="55"/>
        <v/>
      </c>
      <c r="C89" s="104" t="str">
        <f>IF(OR(クライアント抽出!C19&lt;&gt;"",クライアント抽出!F19&lt;&gt;""),クライアント抽出!A19,"")</f>
        <v/>
      </c>
      <c r="D89" s="104" t="str">
        <f t="array" aca="1" ref="D89" ca="1">IF(C89&lt;&gt;"",INDIRECT("クライアント抽出!"&amp;E89&amp;MATCH(C89,クライアント抽出!A:A,0)&amp;""),"")</f>
        <v/>
      </c>
      <c r="E89" s="104" t="str">
        <f>IF(H89&lt;&gt;0,
IFERROR(
SUBSTITUTE(ADDRESS(1,
MATCH(VALUE(H89),クライアント抽出!A19:G19,0)+8,4),"1",""),
""),
IFERROR(
SUBSTITUTE(ADDRESS(1,
MATCH(VALUE(I89),クライアント抽出!A19:G19,0)+8,4),"1",""),
""))</f>
        <v/>
      </c>
      <c r="F89" s="186" t="str">
        <f ca="1">IF(D89&lt;&gt;"",
IF(COUNTIF(C89,"*雙葉*"),
IF(ROUND((H89-M89)
/IF(COUNTIF(D89,"*キャラ*"),
VLOOKUP("*キャラ*",商品マスタ!$D:$E,2,FALSE),
IF(COUNTIF(D89,"*赤*"),
VLOOKUP("*赤*",商品マスタ!$D:$E,2,FALSE),
VLOOKUP("*"&amp;D89&amp;"*",商品マスタ!$D:$E,2,FALSE))),0)&lt;=0,1,
ROUND((H89-M89)
/IF(COUNTIF(D89,"*キャラ*"),
VLOOKUP("*キャラ*",商品マスタ!$D:$E,2,FALSE),
IF(COUNTIF(D89,"*赤*"),
VLOOKUP("*赤*",商品マスタ!$D:$E,2,FALSE),
VLOOKUP("*"&amp;D89&amp;"*",商品マスタ!$D:$E,2,FALSE))),0)),
IF(OR(COUNTIF(D89,"*キャラ*"),COUNTIF(D89,"*赤*")),"",
IF(VLOOKUP("*"&amp;D89&amp;"*",商品マスタ!$D:$E,2,FALSE)=0,"",
IF(ROUND((H89-M89)
/VLOOKUP("*"&amp;D89&amp;"*",商品マスタ!$D:$E,2,FALSE),0)&lt;=0,1,
ROUND((H89-M89)
/VLOOKUP("*"&amp;D89&amp;"*",商品マスタ!$D:$E,2,FALSE),0))))),"")</f>
        <v/>
      </c>
      <c r="G89" s="104" t="str">
        <f ca="1">IF(F89&lt;&gt;"",
IF(VALUE(H89-M89)&gt;VALUE(IF(COUNTIF(D89,"*キャラ*"),
VLOOKUP("*キャラ*",商品マスタ!$D:$E,2,FALSE),
IF(COUNTIF(D89,"*赤*"),
VLOOKUP("*赤*",商品マスタ!$D:$E,2,FALSE),
VLOOKUP("*"&amp;D89&amp;"*",商品マスタ!$D:$E,2,FALSE)))*F89),
"+"&amp;(H89-M89)-IF(COUNTIF(D89,"*キャラ*"),
VLOOKUP("*キャラ*",商品マスタ!$D:$E,2,FALSE),
IF(COUNTIF(D89,"*赤*"),
VLOOKUP("*赤*",商品マスタ!$D:$E,2,FALSE),
VLOOKUP("*"&amp;D89&amp;"*",商品マスタ!$D:$E,2,FALSE)))*F89,
(H89-M89)-IF(COUNTIF(D89,"*キャラ*"),
VLOOKUP("*キャラ*",商品マスタ!$D:$E,2,FALSE),
IF(COUNTIF(D89,"*赤*"),
VLOOKUP("*赤*",商品マスタ!$D:$E,2,FALSE),
VLOOKUP("*"&amp;D89&amp;"*",商品マスタ!$D:$E,2,FALSE)))*F89),"")</f>
        <v/>
      </c>
      <c r="H89" s="105" t="str">
        <f>IF(C89&lt;&gt;"",
クライアント抽出!C19,"")</f>
        <v/>
      </c>
      <c r="I89" s="104" t="str">
        <f t="array" aca="1" ref="I89" ca="1">IF(C89&lt;&gt;"",
IF(O89=1,
IF(SUMPRODUCT(COUNTIF(クライアント抽出!P19:U19,クライアント抽出!P19:U19))&gt;COUNTA(クライアント抽出!P19:U19),
IFERROR(INDIRECT("数出表_Excel!"&amp;INDEX(_xlfn.UNIQUE(_xlfn._xlws.FILTER(クライアント抽出!P19:U19,COUNTIF(クライアント抽出!P19:U19,クライアント抽出!P19:U19)&gt;1)),1)&amp;L19&amp;""),
クライアント抽出!E19),0),クライアント抽出!F19),"")</f>
        <v/>
      </c>
      <c r="J89" s="104" t="str">
        <f>IF(C89&lt;&gt;"",
VLOOKUP(
"*"&amp;LEFT(IF(COUNTIF(D89,"*学食*"),"キャラ弁（学食）",
IF(COUNTIF(D89,"*赤*"),"赤",
IF(COUNTIF(D89,"*キャラ弁当*"),"キャラ弁当",D89))),4)&amp;"*",注文弁当の抽出!$F$1:$G$15,2,FALSE),"")</f>
        <v/>
      </c>
      <c r="K89" s="104" t="str">
        <f ca="1">IF(クライアント抽出!Q19&lt;&gt;"",SUBSTITUTE(ADDRESS(1,(CODE(クライアント抽出!Q19)-64)*2-1,4),"1",""),"")</f>
        <v/>
      </c>
      <c r="L89" s="104" t="str">
        <f>IF(C19&lt;&gt;"",クライアント抽出!I19,"")</f>
        <v/>
      </c>
      <c r="M89" s="104">
        <f t="array" aca="1" ref="M89" ca="1">IF(C89&lt;&gt;"",
IF(K89&lt;&gt;"",INDIRECT("'数出表_Excel（アレルギー入力）'!"&amp;K89&amp;L89-1&amp;""),),)</f>
        <v>0</v>
      </c>
      <c r="N89" s="104" t="str">
        <f>IF(C89&lt;&gt;"",IF(OR(COUNTIF('盛付札（関数）'!D89,"*赤*"),COUNTIF('盛付札（関数）'!D89,"*キャラ*")),1,
VALUE(VLOOKUP("*"&amp;D89&amp;"*",商品マスタ!D:H,5,FALSE))),"")</f>
        <v/>
      </c>
      <c r="O89" s="104">
        <f t="shared" ca="1" si="56"/>
        <v>0</v>
      </c>
      <c r="P89" s="104">
        <f t="shared" si="33"/>
        <v>0</v>
      </c>
      <c r="Q89" s="104" t="b">
        <f t="shared" si="34"/>
        <v>0</v>
      </c>
      <c r="R89" s="176" t="str">
        <f t="array" aca="1" ref="R89" ca="1">IFERROR(SMALL(IF(P$1:P$311&lt;&gt;0,P$1:P$311),ROW(A89)),"")</f>
        <v/>
      </c>
      <c r="S89" s="176" t="str">
        <f t="array" aca="1" ref="S89" ca="1">IF($R89&lt;&gt;"",
SUBSTITUTE(SUBSTITUTE(INDIRECT("C"&amp;$R89&amp;"")," 週3ｺｰｽ","")," 週5ｺｰｽ",""),"")</f>
        <v/>
      </c>
      <c r="T89" s="176" t="str">
        <f t="array" aca="1" ref="T89" ca="1">IF(IF($R89&lt;&gt;"",
INDIRECT(""&amp;IF(COLUMN(D89)&lt;=26,CHAR(COLUMN(D89)+64),CHAR(INT((COLUMN(D89)-1)/26)+64)&amp;CHAR(MOD(COLUMN(D89)-1,26)+65))&amp;$R89&amp;""),"")=0,"",
IF($R89&lt;&gt;"",
INDIRECT(""&amp;IF(COLUMN(D89)&lt;=26,CHAR(COLUMN(D89)+64),CHAR(INT((COLUMN(D89)-1)/26)+64)&amp;CHAR(MOD(COLUMN(D89)-1,26)+65))&amp;$R89&amp;""),""))</f>
        <v/>
      </c>
      <c r="U89" s="218" t="str">
        <f t="array" aca="1" ref="U89" ca="1">IF($R89&lt;&gt;"",
INDIRECT("F"&amp;$R89&amp;""),"")</f>
        <v/>
      </c>
      <c r="V89" s="219" t="str">
        <f t="array" aca="1" ref="V89" ca="1">IF($R89&lt;&gt;"",
INDIRECT("G"&amp;$R89&amp;""),"")</f>
        <v/>
      </c>
      <c r="W89" s="219" t="str" cm="1">
        <f t="array" aca="1" ref="W89" ca="1">IF($R89&lt;&gt;"",
IF(AND(COUNTIF(INDIRECT("B"&amp;R89&amp;""),"*雙葉*"),COUNTIF($B$71:$B$210,"*雙葉*")&gt;=1),
IF(OR(COUNTIF(INDIRECT("B"&amp;R89&amp;""),"*雙葉先生*"),COUNTIF(INDIRECT("B"&amp;R89-1&amp;""),"*雙葉*")),INDIRECT("H"&amp;R89&amp;""),INDIRECT("H"&amp;R89&amp;"")+INDIRECT("H"&amp;MATCH("雙葉'",INDIRECT("B"&amp;R89+3&amp;":B210"),0)+2+R89&amp;"")),
IF(AND(LEFT(INDIRECT("B"&amp;R89&amp;""),2)="博多",COUNTIF(B:B,"*博多*")&gt;=2),
INDIRECT("H"&amp;R89&amp;"")+IFERROR(INDIRECT("H"&amp;MATCH("*"&amp;INDIRECT("B"&amp;R89&amp;"")&amp;"*",INDIRECT("B"&amp;R89+1&amp;":B210"),0)+R89&amp;""),0),
IF(AND(LEFT(INDIRECT("B"&amp;R89&amp;""),3)="奈良屋",COUNTIF(B:B,"*奈良屋*")&gt;=2),
INDIRECT("H"&amp;R89&amp;"")
+INDIRECT("H"&amp;MATCH("*"&amp;INDIRECT("B"&amp;R89&amp;"")&amp;"*",INDIRECT("B"&amp;R89+1&amp;":B210"),0)+R89&amp;"")
+INDIRECT("H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
+INDIRECT("H"&amp;MATCH("*"&amp;INDIRECT("B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&amp;"*",INDIRECT("B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+1&amp;":B210"),0)+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,
INDIRECT("H"&amp;R89&amp;"")))),"")</f>
        <v/>
      </c>
      <c r="X89" s="176" t="str">
        <f t="array" aca="1" ref="X89" ca="1">IF($R89&lt;&gt;"",
INDIRECT(""&amp;IF(COLUMN(I89)&lt;=26,CHAR(COLUMN(I89)+64),CHAR(INT((COLUMN(I89)-1)/26)+64)&amp;CHAR(MOD(COLUMN(I89)-1,26)+65))&amp;$R89&amp;""),"")</f>
        <v/>
      </c>
      <c r="Y89" s="176" t="str">
        <f t="array" aca="1" ref="Y89" ca="1">IF($R89&lt;&gt;"",
INDIRECT(""&amp;IF(COLUMN(J89)&lt;=26,CHAR(COLUMN(J89)+64),CHAR(INT((COLUMN(J89)-1)/26)+64)&amp;CHAR(MOD(COLUMN(J89)-1,26)+65))&amp;$R89&amp;""),"")</f>
        <v/>
      </c>
      <c r="Z89" s="176" t="str">
        <f t="shared" ca="1" si="35"/>
        <v/>
      </c>
      <c r="AA89" s="176" t="str">
        <f t="shared" ca="1" si="36"/>
        <v/>
      </c>
      <c r="AB89" s="176" t="str">
        <f t="array" aca="1" ref="AB89" ca="1">IF($R89&lt;&gt;"",
IF(AND(COUNTIF(INDIRECT("B"&amp;R89&amp;""),"*雙葉*"),COUNTIF(INDIRECT("B"&amp;R89&amp;""),"&lt;&gt;*先生*"),COUNTIF(B:B,"*雙葉*")&gt;=2),
INDIRECT("M"&amp;R89&amp;"")+INDIRECT("M"&amp;MATCH("雙葉'",INDIRECT("B"&amp;R89+1&amp;":B210"),0)+R89&amp;""),
IF(AND(LEFT(INDIRECT("B"&amp;R89&amp;""),2)="博多",COUNTIF(B:B,"*博多*")&gt;=2),
INDIRECT("M"&amp;R89&amp;"")+INDIRECT("M"&amp;MATCH("*"&amp;INDIRECT("B"&amp;R89&amp;"")&amp;"*",INDIRECT("B"&amp;R89+1&amp;":B210"),0)+R89&amp;""),
IF(AND(LEFT(INDIRECT("B"&amp;R89&amp;""),3)="奈良屋",COUNTIF(B:B,"*奈良屋*")&gt;=2),
INDIRECT("M"&amp;R89&amp;"")+INDIRECT("M"&amp;MATCH("*"&amp;INDIRECT("B"&amp;R89&amp;"")&amp;"*",INDIRECT("B"&amp;R89+1&amp;":B210"),0)+R89&amp;"")
+INDIRECT("M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,
INDIRECT("M"&amp;R89&amp;"")))),"")</f>
        <v/>
      </c>
      <c r="AC89" s="176" t="str">
        <f t="shared" ca="1" si="37"/>
        <v/>
      </c>
      <c r="AD89" s="176" t="str">
        <f t="shared" ca="1" si="38"/>
        <v/>
      </c>
      <c r="AE89" s="176" t="str">
        <f t="shared" ca="1" si="39"/>
        <v/>
      </c>
      <c r="AF89" s="176" t="str">
        <f t="shared" ca="1" si="40"/>
        <v/>
      </c>
      <c r="AG89" s="176" t="str">
        <f t="shared" ca="1" si="41"/>
        <v/>
      </c>
      <c r="AH89" s="183" t="str">
        <f t="shared" ca="1" si="42"/>
        <v/>
      </c>
      <c r="AI89" s="176" t="str">
        <f t="shared" ca="1" si="43"/>
        <v/>
      </c>
      <c r="AJ89" s="176" t="str">
        <f t="shared" ca="1" si="44"/>
        <v/>
      </c>
      <c r="AK89" s="176" t="str">
        <f t="shared" ca="1" si="45"/>
        <v/>
      </c>
      <c r="AL89" s="176" t="str">
        <f t="shared" ca="1" si="46"/>
        <v/>
      </c>
      <c r="AM89" s="176" t="str">
        <f t="shared" ca="1" si="47"/>
        <v/>
      </c>
      <c r="AN89" s="176" t="str">
        <f t="shared" ca="1" si="48"/>
        <v/>
      </c>
      <c r="AO89" s="176" t="str">
        <f t="shared" ca="1" si="49"/>
        <v/>
      </c>
      <c r="AP89" s="176" t="str">
        <f t="shared" ca="1" si="50"/>
        <v/>
      </c>
      <c r="AU89" s="176" t="str">
        <f t="shared" ca="1" si="51"/>
        <v/>
      </c>
    </row>
    <row r="90" spans="1:47" ht="22.2" customHeight="1">
      <c r="A90" s="103">
        <f t="shared" si="57"/>
        <v>45</v>
      </c>
      <c r="B90" s="104" t="str">
        <f t="shared" ca="1" si="55"/>
        <v/>
      </c>
      <c r="C90" s="104" t="str">
        <f>IF(OR(クライアント抽出!C20&lt;&gt;"",クライアント抽出!F20&lt;&gt;""),クライアント抽出!A20,"")</f>
        <v/>
      </c>
      <c r="D90" s="104" t="str">
        <f t="array" aca="1" ref="D90" ca="1">IF(C90&lt;&gt;"",INDIRECT("クライアント抽出!"&amp;E90&amp;MATCH(C90,クライアント抽出!A:A,0)&amp;""),"")</f>
        <v/>
      </c>
      <c r="E90" s="104" t="str">
        <f>IF(H90&lt;&gt;0,
IFERROR(
SUBSTITUTE(ADDRESS(1,
MATCH(VALUE(H90),クライアント抽出!A20:G20,0)+8,4),"1",""),
""),
IFERROR(
SUBSTITUTE(ADDRESS(1,
MATCH(VALUE(I90),クライアント抽出!A20:G20,0)+8,4),"1",""),
""))</f>
        <v/>
      </c>
      <c r="F90" s="186" t="str">
        <f ca="1">IF(D90&lt;&gt;"",
IF(COUNTIF(C90,"*雙葉*"),
IF(ROUND((H90-M90)
/IF(COUNTIF(D90,"*キャラ*"),
VLOOKUP("*キャラ*",商品マスタ!$D:$E,2,FALSE),
IF(COUNTIF(D90,"*赤*"),
VLOOKUP("*赤*",商品マスタ!$D:$E,2,FALSE),
VLOOKUP("*"&amp;D90&amp;"*",商品マスタ!$D:$E,2,FALSE))),0)&lt;=0,1,
ROUND((H90-M90)
/IF(COUNTIF(D90,"*キャラ*"),
VLOOKUP("*キャラ*",商品マスタ!$D:$E,2,FALSE),
IF(COUNTIF(D90,"*赤*"),
VLOOKUP("*赤*",商品マスタ!$D:$E,2,FALSE),
VLOOKUP("*"&amp;D90&amp;"*",商品マスタ!$D:$E,2,FALSE))),0)),
IF(OR(COUNTIF(D90,"*キャラ*"),COUNTIF(D90,"*赤*")),"",
IF(VLOOKUP("*"&amp;D90&amp;"*",商品マスタ!$D:$E,2,FALSE)=0,"",
IF(ROUND((H90-M90)
/VLOOKUP("*"&amp;D90&amp;"*",商品マスタ!$D:$E,2,FALSE),0)&lt;=0,1,
ROUND((H90-M90)
/VLOOKUP("*"&amp;D90&amp;"*",商品マスタ!$D:$E,2,FALSE),0))))),"")</f>
        <v/>
      </c>
      <c r="G90" s="104" t="str">
        <f ca="1">IF(F90&lt;&gt;"",
IF(VALUE(H90-M90)&gt;VALUE(IF(COUNTIF(D90,"*キャラ*"),
VLOOKUP("*キャラ*",商品マスタ!$D:$E,2,FALSE),
IF(COUNTIF(D90,"*赤*"),
VLOOKUP("*赤*",商品マスタ!$D:$E,2,FALSE),
VLOOKUP("*"&amp;D90&amp;"*",商品マスタ!$D:$E,2,FALSE)))*F90),
"+"&amp;(H90-M90)-IF(COUNTIF(D90,"*キャラ*"),
VLOOKUP("*キャラ*",商品マスタ!$D:$E,2,FALSE),
IF(COUNTIF(D90,"*赤*"),
VLOOKUP("*赤*",商品マスタ!$D:$E,2,FALSE),
VLOOKUP("*"&amp;D90&amp;"*",商品マスタ!$D:$E,2,FALSE)))*F90,
(H90-M90)-IF(COUNTIF(D90,"*キャラ*"),
VLOOKUP("*キャラ*",商品マスタ!$D:$E,2,FALSE),
IF(COUNTIF(D90,"*赤*"),
VLOOKUP("*赤*",商品マスタ!$D:$E,2,FALSE),
VLOOKUP("*"&amp;D90&amp;"*",商品マスタ!$D:$E,2,FALSE)))*F90),"")</f>
        <v/>
      </c>
      <c r="H90" s="105" t="str">
        <f>IF(C90&lt;&gt;"",
クライアント抽出!C20,"")</f>
        <v/>
      </c>
      <c r="I90" s="104" t="str">
        <f t="array" aca="1" ref="I90" ca="1">IF(C90&lt;&gt;"",
IF(O90=1,
IF(SUMPRODUCT(COUNTIF(クライアント抽出!P20:U20,クライアント抽出!P20:U20))&gt;COUNTA(クライアント抽出!P20:U20),
IFERROR(INDIRECT("数出表_Excel!"&amp;INDEX(_xlfn.UNIQUE(_xlfn._xlws.FILTER(クライアント抽出!P20:U20,COUNTIF(クライアント抽出!P20:U20,クライアント抽出!P20:U20)&gt;1)),1)&amp;L20&amp;""),
クライアント抽出!E20),0),クライアント抽出!F20),"")</f>
        <v/>
      </c>
      <c r="J90" s="104" t="str">
        <f>IF(C90&lt;&gt;"",
VLOOKUP(
"*"&amp;LEFT(IF(COUNTIF(D90,"*学食*"),"キャラ弁（学食）",
IF(COUNTIF(D90,"*赤*"),"赤",
IF(COUNTIF(D90,"*キャラ弁当*"),"キャラ弁当",D90))),4)&amp;"*",注文弁当の抽出!$F$1:$G$15,2,FALSE),"")</f>
        <v/>
      </c>
      <c r="K90" s="104" t="str">
        <f ca="1">IF(クライアント抽出!Q20&lt;&gt;"",SUBSTITUTE(ADDRESS(1,(CODE(クライアント抽出!Q20)-64)*2-1,4),"1",""),"")</f>
        <v/>
      </c>
      <c r="L90" s="104" t="str">
        <f>IF(C20&lt;&gt;"",クライアント抽出!I20,"")</f>
        <v/>
      </c>
      <c r="M90" s="104">
        <f t="array" aca="1" ref="M90" ca="1">IF(C90&lt;&gt;"",
IF(K90&lt;&gt;"",INDIRECT("'数出表_Excel（アレルギー入力）'!"&amp;K90&amp;L90-1&amp;""),),)</f>
        <v>0</v>
      </c>
      <c r="N90" s="104" t="str">
        <f>IF(C90&lt;&gt;"",IF(OR(COUNTIF('盛付札（関数）'!D90,"*赤*"),COUNTIF('盛付札（関数）'!D90,"*キャラ*")),1,
VALUE(VLOOKUP("*"&amp;D90&amp;"*",商品マスタ!D:H,5,FALSE))),"")</f>
        <v/>
      </c>
      <c r="O90" s="104">
        <f t="shared" ca="1" si="56"/>
        <v>0</v>
      </c>
      <c r="P90" s="104">
        <f t="shared" si="33"/>
        <v>0</v>
      </c>
      <c r="Q90" s="104" t="b">
        <f t="shared" si="34"/>
        <v>0</v>
      </c>
      <c r="R90" s="176" t="str">
        <f t="array" aca="1" ref="R90" ca="1">IFERROR(SMALL(IF(P$1:P$311&lt;&gt;0,P$1:P$311),ROW(A90)),"")</f>
        <v/>
      </c>
      <c r="S90" s="176" t="str">
        <f t="array" aca="1" ref="S90" ca="1">IF($R90&lt;&gt;"",
SUBSTITUTE(SUBSTITUTE(INDIRECT("C"&amp;$R90&amp;"")," 週3ｺｰｽ","")," 週5ｺｰｽ",""),"")</f>
        <v/>
      </c>
      <c r="T90" s="176" t="str">
        <f t="array" aca="1" ref="T90" ca="1">IF(IF($R90&lt;&gt;"",
INDIRECT(""&amp;IF(COLUMN(D90)&lt;=26,CHAR(COLUMN(D90)+64),CHAR(INT((COLUMN(D90)-1)/26)+64)&amp;CHAR(MOD(COLUMN(D90)-1,26)+65))&amp;$R90&amp;""),"")=0,"",
IF($R90&lt;&gt;"",
INDIRECT(""&amp;IF(COLUMN(D90)&lt;=26,CHAR(COLUMN(D90)+64),CHAR(INT((COLUMN(D90)-1)/26)+64)&amp;CHAR(MOD(COLUMN(D90)-1,26)+65))&amp;$R90&amp;""),""))</f>
        <v/>
      </c>
      <c r="U90" s="218" t="str">
        <f t="array" aca="1" ref="U90" ca="1">IF($R90&lt;&gt;"",
INDIRECT("F"&amp;$R90&amp;""),"")</f>
        <v/>
      </c>
      <c r="V90" s="219" t="str">
        <f t="array" aca="1" ref="V90" ca="1">IF($R90&lt;&gt;"",
INDIRECT("G"&amp;$R90&amp;""),"")</f>
        <v/>
      </c>
      <c r="W90" s="219" t="str" cm="1">
        <f t="array" aca="1" ref="W90" ca="1">IF($R90&lt;&gt;"",
IF(AND(COUNTIF(INDIRECT("B"&amp;R90&amp;""),"*雙葉*"),COUNTIF($B$71:$B$210,"*雙葉*")&gt;=1),
IF(OR(COUNTIF(INDIRECT("B"&amp;R90&amp;""),"*雙葉先生*"),COUNTIF(INDIRECT("B"&amp;R90-1&amp;""),"*雙葉*")),INDIRECT("H"&amp;R90&amp;""),INDIRECT("H"&amp;R90&amp;"")+INDIRECT("H"&amp;MATCH("雙葉'",INDIRECT("B"&amp;R90+3&amp;":B210"),0)+2+R90&amp;"")),
IF(AND(LEFT(INDIRECT("B"&amp;R90&amp;""),2)="博多",COUNTIF(B:B,"*博多*")&gt;=2),
INDIRECT("H"&amp;R90&amp;"")+IFERROR(INDIRECT("H"&amp;MATCH("*"&amp;INDIRECT("B"&amp;R90&amp;"")&amp;"*",INDIRECT("B"&amp;R90+1&amp;":B210"),0)+R90&amp;""),0),
IF(AND(LEFT(INDIRECT("B"&amp;R90&amp;""),3)="奈良屋",COUNTIF(B:B,"*奈良屋*")&gt;=2),
INDIRECT("H"&amp;R90&amp;"")
+INDIRECT("H"&amp;MATCH("*"&amp;INDIRECT("B"&amp;R90&amp;"")&amp;"*",INDIRECT("B"&amp;R90+1&amp;":B210"),0)+R90&amp;"")
+INDIRECT("H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
+INDIRECT("H"&amp;MATCH("*"&amp;INDIRECT("B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&amp;"*",INDIRECT("B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+1&amp;":B210"),0)+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,
INDIRECT("H"&amp;R90&amp;"")))),"")</f>
        <v/>
      </c>
      <c r="X90" s="176" t="str">
        <f t="array" aca="1" ref="X90" ca="1">IF($R90&lt;&gt;"",
INDIRECT(""&amp;IF(COLUMN(I90)&lt;=26,CHAR(COLUMN(I90)+64),CHAR(INT((COLUMN(I90)-1)/26)+64)&amp;CHAR(MOD(COLUMN(I90)-1,26)+65))&amp;$R90&amp;""),"")</f>
        <v/>
      </c>
      <c r="Y90" s="176" t="str">
        <f t="array" aca="1" ref="Y90" ca="1">IF($R90&lt;&gt;"",
INDIRECT(""&amp;IF(COLUMN(J90)&lt;=26,CHAR(COLUMN(J90)+64),CHAR(INT((COLUMN(J90)-1)/26)+64)&amp;CHAR(MOD(COLUMN(J90)-1,26)+65))&amp;$R90&amp;""),"")</f>
        <v/>
      </c>
      <c r="Z90" s="176" t="str">
        <f t="shared" ca="1" si="35"/>
        <v/>
      </c>
      <c r="AA90" s="176" t="str">
        <f t="shared" ca="1" si="36"/>
        <v/>
      </c>
      <c r="AB90" s="176" t="str">
        <f t="array" aca="1" ref="AB90" ca="1">IF($R90&lt;&gt;"",
IF(AND(COUNTIF(INDIRECT("B"&amp;R90&amp;""),"*雙葉*"),COUNTIF(INDIRECT("B"&amp;R90&amp;""),"&lt;&gt;*先生*"),COUNTIF(B:B,"*雙葉*")&gt;=2),
INDIRECT("M"&amp;R90&amp;"")+INDIRECT("M"&amp;MATCH("雙葉'",INDIRECT("B"&amp;R90+1&amp;":B210"),0)+R90&amp;""),
IF(AND(LEFT(INDIRECT("B"&amp;R90&amp;""),2)="博多",COUNTIF(B:B,"*博多*")&gt;=2),
INDIRECT("M"&amp;R90&amp;"")+INDIRECT("M"&amp;MATCH("*"&amp;INDIRECT("B"&amp;R90&amp;"")&amp;"*",INDIRECT("B"&amp;R90+1&amp;":B210"),0)+R90&amp;""),
IF(AND(LEFT(INDIRECT("B"&amp;R90&amp;""),3)="奈良屋",COUNTIF(B:B,"*奈良屋*")&gt;=2),
INDIRECT("M"&amp;R90&amp;"")+INDIRECT("M"&amp;MATCH("*"&amp;INDIRECT("B"&amp;R90&amp;"")&amp;"*",INDIRECT("B"&amp;R90+1&amp;":B210"),0)+R90&amp;"")
+INDIRECT("M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,
INDIRECT("M"&amp;R90&amp;"")))),"")</f>
        <v/>
      </c>
      <c r="AC90" s="176" t="str">
        <f t="shared" ca="1" si="37"/>
        <v/>
      </c>
      <c r="AD90" s="176" t="str">
        <f t="shared" ca="1" si="38"/>
        <v/>
      </c>
      <c r="AE90" s="176" t="str">
        <f t="shared" ca="1" si="39"/>
        <v/>
      </c>
      <c r="AF90" s="176" t="str">
        <f t="shared" ca="1" si="40"/>
        <v/>
      </c>
      <c r="AG90" s="176" t="str">
        <f t="shared" ca="1" si="41"/>
        <v/>
      </c>
      <c r="AH90" s="183" t="str">
        <f t="shared" ca="1" si="42"/>
        <v/>
      </c>
      <c r="AI90" s="176" t="str">
        <f t="shared" ca="1" si="43"/>
        <v/>
      </c>
      <c r="AJ90" s="176" t="str">
        <f t="shared" ca="1" si="44"/>
        <v/>
      </c>
      <c r="AK90" s="176" t="str">
        <f t="shared" ca="1" si="45"/>
        <v/>
      </c>
      <c r="AL90" s="176" t="str">
        <f t="shared" ca="1" si="46"/>
        <v/>
      </c>
      <c r="AM90" s="176" t="str">
        <f t="shared" ca="1" si="47"/>
        <v/>
      </c>
      <c r="AN90" s="176" t="str">
        <f t="shared" ca="1" si="48"/>
        <v/>
      </c>
      <c r="AO90" s="176" t="str">
        <f t="shared" ca="1" si="49"/>
        <v/>
      </c>
      <c r="AP90" s="176" t="str">
        <f t="shared" ca="1" si="50"/>
        <v/>
      </c>
      <c r="AU90" s="176" t="str">
        <f t="shared" ca="1" si="51"/>
        <v/>
      </c>
    </row>
    <row r="91" spans="1:47" ht="22.2" customHeight="1">
      <c r="A91" s="103">
        <f t="shared" si="57"/>
        <v>47</v>
      </c>
      <c r="B91" s="104" t="str">
        <f t="shared" ca="1" si="55"/>
        <v/>
      </c>
      <c r="C91" s="104" t="str">
        <f>IF(OR(クライアント抽出!C21&lt;&gt;"",クライアント抽出!F21&lt;&gt;""),クライアント抽出!A21,"")</f>
        <v/>
      </c>
      <c r="D91" s="104" t="str">
        <f t="array" aca="1" ref="D91" ca="1">IF(C91&lt;&gt;"",INDIRECT("クライアント抽出!"&amp;E91&amp;MATCH(C91,クライアント抽出!A:A,0)&amp;""),"")</f>
        <v/>
      </c>
      <c r="E91" s="104" t="str">
        <f>IF(H91&lt;&gt;0,
IFERROR(
SUBSTITUTE(ADDRESS(1,
MATCH(VALUE(H91),クライアント抽出!A21:G21,0)+8,4),"1",""),
""),
IFERROR(
SUBSTITUTE(ADDRESS(1,
MATCH(VALUE(I91),クライアント抽出!A21:G21,0)+8,4),"1",""),
""))</f>
        <v/>
      </c>
      <c r="F91" s="186" t="str">
        <f ca="1">IF(D91&lt;&gt;"",
IF(COUNTIF(C91,"*雙葉*"),
IF(ROUND((H91-M91)
/IF(COUNTIF(D91,"*キャラ*"),
VLOOKUP("*キャラ*",商品マスタ!$D:$E,2,FALSE),
IF(COUNTIF(D91,"*赤*"),
VLOOKUP("*赤*",商品マスタ!$D:$E,2,FALSE),
VLOOKUP("*"&amp;D91&amp;"*",商品マスタ!$D:$E,2,FALSE))),0)&lt;=0,1,
ROUND((H91-M91)
/IF(COUNTIF(D91,"*キャラ*"),
VLOOKUP("*キャラ*",商品マスタ!$D:$E,2,FALSE),
IF(COUNTIF(D91,"*赤*"),
VLOOKUP("*赤*",商品マスタ!$D:$E,2,FALSE),
VLOOKUP("*"&amp;D91&amp;"*",商品マスタ!$D:$E,2,FALSE))),0)),
IF(OR(COUNTIF(D91,"*キャラ*"),COUNTIF(D91,"*赤*")),"",
IF(VLOOKUP("*"&amp;D91&amp;"*",商品マスタ!$D:$E,2,FALSE)=0,"",
IF(ROUND((H91-M91)
/VLOOKUP("*"&amp;D91&amp;"*",商品マスタ!$D:$E,2,FALSE),0)&lt;=0,1,
ROUND((H91-M91)
/VLOOKUP("*"&amp;D91&amp;"*",商品マスタ!$D:$E,2,FALSE),0))))),"")</f>
        <v/>
      </c>
      <c r="G91" s="104" t="str">
        <f ca="1">IF(F91&lt;&gt;"",
IF(VALUE(H91-M91)&gt;VALUE(IF(COUNTIF(D91,"*キャラ*"),
VLOOKUP("*キャラ*",商品マスタ!$D:$E,2,FALSE),
IF(COUNTIF(D91,"*赤*"),
VLOOKUP("*赤*",商品マスタ!$D:$E,2,FALSE),
VLOOKUP("*"&amp;D91&amp;"*",商品マスタ!$D:$E,2,FALSE)))*F91),
"+"&amp;(H91-M91)-IF(COUNTIF(D91,"*キャラ*"),
VLOOKUP("*キャラ*",商品マスタ!$D:$E,2,FALSE),
IF(COUNTIF(D91,"*赤*"),
VLOOKUP("*赤*",商品マスタ!$D:$E,2,FALSE),
VLOOKUP("*"&amp;D91&amp;"*",商品マスタ!$D:$E,2,FALSE)))*F91,
(H91-M91)-IF(COUNTIF(D91,"*キャラ*"),
VLOOKUP("*キャラ*",商品マスタ!$D:$E,2,FALSE),
IF(COUNTIF(D91,"*赤*"),
VLOOKUP("*赤*",商品マスタ!$D:$E,2,FALSE),
VLOOKUP("*"&amp;D91&amp;"*",商品マスタ!$D:$E,2,FALSE)))*F91),"")</f>
        <v/>
      </c>
      <c r="H91" s="105" t="str">
        <f>IF(C91&lt;&gt;"",
クライアント抽出!C21,"")</f>
        <v/>
      </c>
      <c r="I91" s="104" t="str">
        <f t="array" aca="1" ref="I91" ca="1">IF(C91&lt;&gt;"",
IF(O91=1,
IF(SUMPRODUCT(COUNTIF(クライアント抽出!P21:U21,クライアント抽出!P21:U21))&gt;COUNTA(クライアント抽出!P21:U21),
IFERROR(INDIRECT("数出表_Excel!"&amp;INDEX(_xlfn.UNIQUE(_xlfn._xlws.FILTER(クライアント抽出!P21:U21,COUNTIF(クライアント抽出!P21:U21,クライアント抽出!P21:U21)&gt;1)),1)&amp;L21&amp;""),
クライアント抽出!E21),0),クライアント抽出!F21),"")</f>
        <v/>
      </c>
      <c r="J91" s="104" t="str">
        <f>IF(C91&lt;&gt;"",
VLOOKUP(
"*"&amp;LEFT(IF(COUNTIF(D91,"*学食*"),"キャラ弁（学食）",
IF(COUNTIF(D91,"*赤*"),"赤",
IF(COUNTIF(D91,"*キャラ弁当*"),"キャラ弁当",D91))),4)&amp;"*",注文弁当の抽出!$F$1:$G$15,2,FALSE),"")</f>
        <v/>
      </c>
      <c r="K91" s="104" t="str">
        <f ca="1">IF(クライアント抽出!Q21&lt;&gt;"",SUBSTITUTE(ADDRESS(1,(CODE(クライアント抽出!Q21)-64)*2-1,4),"1",""),"")</f>
        <v/>
      </c>
      <c r="L91" s="104" t="str">
        <f>IF(C21&lt;&gt;"",クライアント抽出!I21,"")</f>
        <v/>
      </c>
      <c r="M91" s="104">
        <f t="array" aca="1" ref="M91" ca="1">IF(C91&lt;&gt;"",
IF(K91&lt;&gt;"",INDIRECT("'数出表_Excel（アレルギー入力）'!"&amp;K91&amp;L91-1&amp;""),),)</f>
        <v>0</v>
      </c>
      <c r="N91" s="104" t="str">
        <f>IF(C91&lt;&gt;"",IF(OR(COUNTIF('盛付札（関数）'!D91,"*赤*"),COUNTIF('盛付札（関数）'!D91,"*キャラ*")),1,
VALUE(VLOOKUP("*"&amp;D91&amp;"*",商品マスタ!D:H,5,FALSE))),"")</f>
        <v/>
      </c>
      <c r="O91" s="104">
        <f t="shared" ca="1" si="56"/>
        <v>0</v>
      </c>
      <c r="P91" s="104">
        <f t="shared" si="33"/>
        <v>0</v>
      </c>
      <c r="Q91" s="104" t="b">
        <f t="shared" si="34"/>
        <v>0</v>
      </c>
      <c r="R91" s="176" t="str">
        <f t="array" aca="1" ref="R91" ca="1">IFERROR(SMALL(IF(P$1:P$311&lt;&gt;0,P$1:P$311),ROW(A91)),"")</f>
        <v/>
      </c>
      <c r="S91" s="176" t="str">
        <f t="array" aca="1" ref="S91" ca="1">IF($R91&lt;&gt;"",
SUBSTITUTE(SUBSTITUTE(INDIRECT("C"&amp;$R91&amp;"")," 週3ｺｰｽ","")," 週5ｺｰｽ",""),"")</f>
        <v/>
      </c>
      <c r="T91" s="176" t="str">
        <f t="array" aca="1" ref="T91" ca="1">IF(IF($R91&lt;&gt;"",
INDIRECT(""&amp;IF(COLUMN(D91)&lt;=26,CHAR(COLUMN(D91)+64),CHAR(INT((COLUMN(D91)-1)/26)+64)&amp;CHAR(MOD(COLUMN(D91)-1,26)+65))&amp;$R91&amp;""),"")=0,"",
IF($R91&lt;&gt;"",
INDIRECT(""&amp;IF(COLUMN(D91)&lt;=26,CHAR(COLUMN(D91)+64),CHAR(INT((COLUMN(D91)-1)/26)+64)&amp;CHAR(MOD(COLUMN(D91)-1,26)+65))&amp;$R91&amp;""),""))</f>
        <v/>
      </c>
      <c r="U91" s="218" t="str">
        <f t="array" aca="1" ref="U91" ca="1">IF($R91&lt;&gt;"",
INDIRECT("F"&amp;$R91&amp;""),"")</f>
        <v/>
      </c>
      <c r="V91" s="219" t="str">
        <f t="array" aca="1" ref="V91" ca="1">IF($R91&lt;&gt;"",
INDIRECT("G"&amp;$R91&amp;""),"")</f>
        <v/>
      </c>
      <c r="W91" s="219" t="str" cm="1">
        <f t="array" aca="1" ref="W91" ca="1">IF($R91&lt;&gt;"",
IF(AND(COUNTIF(INDIRECT("B"&amp;R91&amp;""),"*雙葉*"),COUNTIF($B$71:$B$210,"*雙葉*")&gt;=1),
IF(OR(COUNTIF(INDIRECT("B"&amp;R91&amp;""),"*雙葉先生*"),COUNTIF(INDIRECT("B"&amp;R91-1&amp;""),"*雙葉*")),INDIRECT("H"&amp;R91&amp;""),INDIRECT("H"&amp;R91&amp;"")+INDIRECT("H"&amp;MATCH("雙葉'",INDIRECT("B"&amp;R91+3&amp;":B210"),0)+2+R91&amp;"")),
IF(AND(LEFT(INDIRECT("B"&amp;R91&amp;""),2)="博多",COUNTIF(B:B,"*博多*")&gt;=2),
INDIRECT("H"&amp;R91&amp;"")+IFERROR(INDIRECT("H"&amp;MATCH("*"&amp;INDIRECT("B"&amp;R91&amp;"")&amp;"*",INDIRECT("B"&amp;R91+1&amp;":B210"),0)+R91&amp;""),0),
IF(AND(LEFT(INDIRECT("B"&amp;R91&amp;""),3)="奈良屋",COUNTIF(B:B,"*奈良屋*")&gt;=2),
INDIRECT("H"&amp;R91&amp;"")
+INDIRECT("H"&amp;MATCH("*"&amp;INDIRECT("B"&amp;R91&amp;"")&amp;"*",INDIRECT("B"&amp;R91+1&amp;":B210"),0)+R91&amp;"")
+INDIRECT("H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
+INDIRECT("H"&amp;MATCH("*"&amp;INDIRECT("B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&amp;"*",INDIRECT("B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+1&amp;":B210"),0)+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,
INDIRECT("H"&amp;R91&amp;"")))),"")</f>
        <v/>
      </c>
      <c r="X91" s="176" t="str">
        <f t="array" aca="1" ref="X91" ca="1">IF($R91&lt;&gt;"",
INDIRECT(""&amp;IF(COLUMN(I91)&lt;=26,CHAR(COLUMN(I91)+64),CHAR(INT((COLUMN(I91)-1)/26)+64)&amp;CHAR(MOD(COLUMN(I91)-1,26)+65))&amp;$R91&amp;""),"")</f>
        <v/>
      </c>
      <c r="Y91" s="176" t="str">
        <f t="array" aca="1" ref="Y91" ca="1">IF($R91&lt;&gt;"",
INDIRECT(""&amp;IF(COLUMN(J91)&lt;=26,CHAR(COLUMN(J91)+64),CHAR(INT((COLUMN(J91)-1)/26)+64)&amp;CHAR(MOD(COLUMN(J91)-1,26)+65))&amp;$R91&amp;""),"")</f>
        <v/>
      </c>
      <c r="Z91" s="176" t="str">
        <f t="shared" ca="1" si="35"/>
        <v/>
      </c>
      <c r="AA91" s="176" t="str">
        <f t="shared" ca="1" si="36"/>
        <v/>
      </c>
      <c r="AB91" s="176" t="str">
        <f t="array" aca="1" ref="AB91" ca="1">IF($R91&lt;&gt;"",
IF(AND(COUNTIF(INDIRECT("B"&amp;R91&amp;""),"*雙葉*"),COUNTIF(INDIRECT("B"&amp;R91&amp;""),"&lt;&gt;*先生*"),COUNTIF(B:B,"*雙葉*")&gt;=2),
INDIRECT("M"&amp;R91&amp;"")+INDIRECT("M"&amp;MATCH("雙葉'",INDIRECT("B"&amp;R91+1&amp;":B210"),0)+R91&amp;""),
IF(AND(LEFT(INDIRECT("B"&amp;R91&amp;""),2)="博多",COUNTIF(B:B,"*博多*")&gt;=2),
INDIRECT("M"&amp;R91&amp;"")+INDIRECT("M"&amp;MATCH("*"&amp;INDIRECT("B"&amp;R91&amp;"")&amp;"*",INDIRECT("B"&amp;R91+1&amp;":B210"),0)+R91&amp;""),
IF(AND(LEFT(INDIRECT("B"&amp;R91&amp;""),3)="奈良屋",COUNTIF(B:B,"*奈良屋*")&gt;=2),
INDIRECT("M"&amp;R91&amp;"")+INDIRECT("M"&amp;MATCH("*"&amp;INDIRECT("B"&amp;R91&amp;"")&amp;"*",INDIRECT("B"&amp;R91+1&amp;":B210"),0)+R91&amp;"")
+INDIRECT("M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,
INDIRECT("M"&amp;R91&amp;"")))),"")</f>
        <v/>
      </c>
      <c r="AC91" s="176" t="str">
        <f t="shared" ca="1" si="37"/>
        <v/>
      </c>
      <c r="AD91" s="176" t="str">
        <f t="shared" ca="1" si="38"/>
        <v/>
      </c>
      <c r="AE91" s="176" t="str">
        <f t="shared" ca="1" si="39"/>
        <v/>
      </c>
      <c r="AF91" s="176" t="str">
        <f t="shared" ca="1" si="40"/>
        <v/>
      </c>
      <c r="AG91" s="176" t="str">
        <f t="shared" ca="1" si="41"/>
        <v/>
      </c>
      <c r="AH91" s="183" t="str">
        <f t="shared" ca="1" si="42"/>
        <v/>
      </c>
      <c r="AI91" s="176" t="str">
        <f t="shared" ca="1" si="43"/>
        <v/>
      </c>
      <c r="AJ91" s="176" t="str">
        <f t="shared" ca="1" si="44"/>
        <v/>
      </c>
      <c r="AK91" s="176" t="str">
        <f t="shared" ca="1" si="45"/>
        <v/>
      </c>
      <c r="AL91" s="176" t="str">
        <f t="shared" ca="1" si="46"/>
        <v/>
      </c>
      <c r="AM91" s="176" t="str">
        <f t="shared" ca="1" si="47"/>
        <v/>
      </c>
      <c r="AN91" s="176" t="str">
        <f t="shared" ca="1" si="48"/>
        <v/>
      </c>
      <c r="AO91" s="176" t="str">
        <f t="shared" ca="1" si="49"/>
        <v/>
      </c>
      <c r="AP91" s="176" t="str">
        <f t="shared" ca="1" si="50"/>
        <v/>
      </c>
      <c r="AU91" s="176" t="str">
        <f t="shared" ca="1" si="51"/>
        <v/>
      </c>
    </row>
    <row r="92" spans="1:47" ht="22.2" customHeight="1">
      <c r="A92" s="103">
        <f t="shared" si="57"/>
        <v>49</v>
      </c>
      <c r="B92" s="104" t="str">
        <f t="shared" ca="1" si="55"/>
        <v/>
      </c>
      <c r="C92" s="104" t="str">
        <f>IF(OR(クライアント抽出!C22&lt;&gt;"",クライアント抽出!F22&lt;&gt;""),クライアント抽出!A22,"")</f>
        <v/>
      </c>
      <c r="D92" s="104" t="str">
        <f t="array" aca="1" ref="D92" ca="1">IF(C92&lt;&gt;"",INDIRECT("クライアント抽出!"&amp;E92&amp;MATCH(C92,クライアント抽出!A:A,0)&amp;""),"")</f>
        <v/>
      </c>
      <c r="E92" s="104" t="str">
        <f>IF(H92&lt;&gt;0,
IFERROR(
SUBSTITUTE(ADDRESS(1,
MATCH(VALUE(H92),クライアント抽出!A22:G22,0)+8,4),"1",""),
""),
IFERROR(
SUBSTITUTE(ADDRESS(1,
MATCH(VALUE(I92),クライアント抽出!A22:G22,0)+8,4),"1",""),
""))</f>
        <v/>
      </c>
      <c r="F92" s="186" t="str">
        <f ca="1">IF(D92&lt;&gt;"",
IF(COUNTIF(C92,"*雙葉*"),
IF(ROUND((H92-M92)
/IF(COUNTIF(D92,"*キャラ*"),
VLOOKUP("*キャラ*",商品マスタ!$D:$E,2,FALSE),
IF(COUNTIF(D92,"*赤*"),
VLOOKUP("*赤*",商品マスタ!$D:$E,2,FALSE),
VLOOKUP("*"&amp;D92&amp;"*",商品マスタ!$D:$E,2,FALSE))),0)&lt;=0,1,
ROUND((H92-M92)
/IF(COUNTIF(D92,"*キャラ*"),
VLOOKUP("*キャラ*",商品マスタ!$D:$E,2,FALSE),
IF(COUNTIF(D92,"*赤*"),
VLOOKUP("*赤*",商品マスタ!$D:$E,2,FALSE),
VLOOKUP("*"&amp;D92&amp;"*",商品マスタ!$D:$E,2,FALSE))),0)),
IF(OR(COUNTIF(D92,"*キャラ*"),COUNTIF(D92,"*赤*")),"",
IF(VLOOKUP("*"&amp;D92&amp;"*",商品マスタ!$D:$E,2,FALSE)=0,"",
IF(ROUND((H92-M92)
/VLOOKUP("*"&amp;D92&amp;"*",商品マスタ!$D:$E,2,FALSE),0)&lt;=0,1,
ROUND((H92-M92)
/VLOOKUP("*"&amp;D92&amp;"*",商品マスタ!$D:$E,2,FALSE),0))))),"")</f>
        <v/>
      </c>
      <c r="G92" s="104" t="str">
        <f ca="1">IF(F92&lt;&gt;"",
IF(VALUE(H92-M92)&gt;VALUE(IF(COUNTIF(D92,"*キャラ*"),
VLOOKUP("*キャラ*",商品マスタ!$D:$E,2,FALSE),
IF(COUNTIF(D92,"*赤*"),
VLOOKUP("*赤*",商品マスタ!$D:$E,2,FALSE),
VLOOKUP("*"&amp;D92&amp;"*",商品マスタ!$D:$E,2,FALSE)))*F92),
"+"&amp;(H92-M92)-IF(COUNTIF(D92,"*キャラ*"),
VLOOKUP("*キャラ*",商品マスタ!$D:$E,2,FALSE),
IF(COUNTIF(D92,"*赤*"),
VLOOKUP("*赤*",商品マスタ!$D:$E,2,FALSE),
VLOOKUP("*"&amp;D92&amp;"*",商品マスタ!$D:$E,2,FALSE)))*F92,
(H92-M92)-IF(COUNTIF(D92,"*キャラ*"),
VLOOKUP("*キャラ*",商品マスタ!$D:$E,2,FALSE),
IF(COUNTIF(D92,"*赤*"),
VLOOKUP("*赤*",商品マスタ!$D:$E,2,FALSE),
VLOOKUP("*"&amp;D92&amp;"*",商品マスタ!$D:$E,2,FALSE)))*F92),"")</f>
        <v/>
      </c>
      <c r="H92" s="105" t="str">
        <f>IF(C92&lt;&gt;"",
クライアント抽出!C22,"")</f>
        <v/>
      </c>
      <c r="I92" s="104" t="str">
        <f t="array" aca="1" ref="I92" ca="1">IF(C92&lt;&gt;"",
IF(O92=1,
IF(SUMPRODUCT(COUNTIF(クライアント抽出!P22:U22,クライアント抽出!P22:U22))&gt;COUNTA(クライアント抽出!P22:U22),
IFERROR(INDIRECT("数出表_Excel!"&amp;INDEX(_xlfn.UNIQUE(_xlfn._xlws.FILTER(クライアント抽出!P22:U22,COUNTIF(クライアント抽出!P22:U22,クライアント抽出!P22:U22)&gt;1)),1)&amp;L22&amp;""),
クライアント抽出!E22),0),クライアント抽出!F22),"")</f>
        <v/>
      </c>
      <c r="J92" s="104" t="str">
        <f>IF(C92&lt;&gt;"",
VLOOKUP(
"*"&amp;LEFT(IF(COUNTIF(D92,"*学食*"),"キャラ弁（学食）",
IF(COUNTIF(D92,"*赤*"),"赤",
IF(COUNTIF(D92,"*キャラ弁当*"),"キャラ弁当",D92))),4)&amp;"*",注文弁当の抽出!$F$1:$G$15,2,FALSE),"")</f>
        <v/>
      </c>
      <c r="K92" s="104" t="str">
        <f ca="1">IF(クライアント抽出!Q22&lt;&gt;"",SUBSTITUTE(ADDRESS(1,(CODE(クライアント抽出!Q22)-64)*2-1,4),"1",""),"")</f>
        <v/>
      </c>
      <c r="L92" s="104" t="str">
        <f>IF(C22&lt;&gt;"",クライアント抽出!I22,"")</f>
        <v/>
      </c>
      <c r="M92" s="104">
        <f t="array" aca="1" ref="M92" ca="1">IF(C92&lt;&gt;"",
IF(K92&lt;&gt;"",INDIRECT("'数出表_Excel（アレルギー入力）'!"&amp;K92&amp;L92-1&amp;""),),)</f>
        <v>0</v>
      </c>
      <c r="N92" s="104" t="str">
        <f>IF(C92&lt;&gt;"",IF(OR(COUNTIF('盛付札（関数）'!D92,"*赤*"),COUNTIF('盛付札（関数）'!D92,"*キャラ*")),1,
VALUE(VLOOKUP("*"&amp;D92&amp;"*",商品マスタ!D:H,5,FALSE))),"")</f>
        <v/>
      </c>
      <c r="O92" s="104">
        <f t="shared" ca="1" si="56"/>
        <v>0</v>
      </c>
      <c r="P92" s="104">
        <f t="shared" si="33"/>
        <v>0</v>
      </c>
      <c r="Q92" s="104" t="b">
        <f t="shared" si="34"/>
        <v>0</v>
      </c>
      <c r="R92" s="176" t="str">
        <f t="array" aca="1" ref="R92" ca="1">IFERROR(SMALL(IF(P$1:P$311&lt;&gt;0,P$1:P$311),ROW(A92)),"")</f>
        <v/>
      </c>
      <c r="S92" s="176" t="str">
        <f t="array" aca="1" ref="S92" ca="1">IF($R92&lt;&gt;"",
SUBSTITUTE(SUBSTITUTE(INDIRECT("C"&amp;$R92&amp;"")," 週3ｺｰｽ","")," 週5ｺｰｽ",""),"")</f>
        <v/>
      </c>
      <c r="T92" s="176" t="str">
        <f t="array" aca="1" ref="T92" ca="1">IF(IF($R92&lt;&gt;"",
INDIRECT(""&amp;IF(COLUMN(D92)&lt;=26,CHAR(COLUMN(D92)+64),CHAR(INT((COLUMN(D92)-1)/26)+64)&amp;CHAR(MOD(COLUMN(D92)-1,26)+65))&amp;$R92&amp;""),"")=0,"",
IF($R92&lt;&gt;"",
INDIRECT(""&amp;IF(COLUMN(D92)&lt;=26,CHAR(COLUMN(D92)+64),CHAR(INT((COLUMN(D92)-1)/26)+64)&amp;CHAR(MOD(COLUMN(D92)-1,26)+65))&amp;$R92&amp;""),""))</f>
        <v/>
      </c>
      <c r="U92" s="218" t="str">
        <f t="array" aca="1" ref="U92" ca="1">IF($R92&lt;&gt;"",
INDIRECT("F"&amp;$R92&amp;""),"")</f>
        <v/>
      </c>
      <c r="V92" s="219" t="str">
        <f t="array" aca="1" ref="V92" ca="1">IF($R92&lt;&gt;"",
INDIRECT("G"&amp;$R92&amp;""),"")</f>
        <v/>
      </c>
      <c r="W92" s="219" t="str" cm="1">
        <f t="array" aca="1" ref="W92" ca="1">IF($R92&lt;&gt;"",
IF(AND(COUNTIF(INDIRECT("B"&amp;R92&amp;""),"*雙葉*"),COUNTIF($B$71:$B$210,"*雙葉*")&gt;=1),
IF(OR(COUNTIF(INDIRECT("B"&amp;R92&amp;""),"*雙葉先生*"),COUNTIF(INDIRECT("B"&amp;R92-1&amp;""),"*雙葉*")),INDIRECT("H"&amp;R92&amp;""),INDIRECT("H"&amp;R92&amp;"")+INDIRECT("H"&amp;MATCH("雙葉'",INDIRECT("B"&amp;R92+3&amp;":B210"),0)+2+R92&amp;"")),
IF(AND(LEFT(INDIRECT("B"&amp;R92&amp;""),2)="博多",COUNTIF(B:B,"*博多*")&gt;=2),
INDIRECT("H"&amp;R92&amp;"")+IFERROR(INDIRECT("H"&amp;MATCH("*"&amp;INDIRECT("B"&amp;R92&amp;"")&amp;"*",INDIRECT("B"&amp;R92+1&amp;":B210"),0)+R92&amp;""),0),
IF(AND(LEFT(INDIRECT("B"&amp;R92&amp;""),3)="奈良屋",COUNTIF(B:B,"*奈良屋*")&gt;=2),
INDIRECT("H"&amp;R92&amp;"")
+INDIRECT("H"&amp;MATCH("*"&amp;INDIRECT("B"&amp;R92&amp;"")&amp;"*",INDIRECT("B"&amp;R92+1&amp;":B210"),0)+R92&amp;"")
+INDIRECT("H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
+INDIRECT("H"&amp;MATCH("*"&amp;INDIRECT("B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&amp;"*",INDIRECT("B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+1&amp;":B210"),0)+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,
INDIRECT("H"&amp;R92&amp;"")))),"")</f>
        <v/>
      </c>
      <c r="X92" s="176" t="str">
        <f t="array" aca="1" ref="X92" ca="1">IF($R92&lt;&gt;"",
INDIRECT(""&amp;IF(COLUMN(I92)&lt;=26,CHAR(COLUMN(I92)+64),CHAR(INT((COLUMN(I92)-1)/26)+64)&amp;CHAR(MOD(COLUMN(I92)-1,26)+65))&amp;$R92&amp;""),"")</f>
        <v/>
      </c>
      <c r="Y92" s="176" t="str">
        <f t="array" aca="1" ref="Y92" ca="1">IF($R92&lt;&gt;"",
INDIRECT(""&amp;IF(COLUMN(J92)&lt;=26,CHAR(COLUMN(J92)+64),CHAR(INT((COLUMN(J92)-1)/26)+64)&amp;CHAR(MOD(COLUMN(J92)-1,26)+65))&amp;$R92&amp;""),"")</f>
        <v/>
      </c>
      <c r="Z92" s="176" t="str">
        <f t="shared" ca="1" si="35"/>
        <v/>
      </c>
      <c r="AA92" s="176" t="str">
        <f t="shared" ca="1" si="36"/>
        <v/>
      </c>
      <c r="AB92" s="176" t="str">
        <f t="array" aca="1" ref="AB92" ca="1">IF($R92&lt;&gt;"",
IF(AND(COUNTIF(INDIRECT("B"&amp;R92&amp;""),"*雙葉*"),COUNTIF(INDIRECT("B"&amp;R92&amp;""),"&lt;&gt;*先生*"),COUNTIF(B:B,"*雙葉*")&gt;=2),
INDIRECT("M"&amp;R92&amp;"")+INDIRECT("M"&amp;MATCH("雙葉'",INDIRECT("B"&amp;R92+1&amp;":B210"),0)+R92&amp;""),
IF(AND(LEFT(INDIRECT("B"&amp;R92&amp;""),2)="博多",COUNTIF(B:B,"*博多*")&gt;=2),
INDIRECT("M"&amp;R92&amp;"")+INDIRECT("M"&amp;MATCH("*"&amp;INDIRECT("B"&amp;R92&amp;"")&amp;"*",INDIRECT("B"&amp;R92+1&amp;":B210"),0)+R92&amp;""),
IF(AND(LEFT(INDIRECT("B"&amp;R92&amp;""),3)="奈良屋",COUNTIF(B:B,"*奈良屋*")&gt;=2),
INDIRECT("M"&amp;R92&amp;"")+INDIRECT("M"&amp;MATCH("*"&amp;INDIRECT("B"&amp;R92&amp;"")&amp;"*",INDIRECT("B"&amp;R92+1&amp;":B210"),0)+R92&amp;"")
+INDIRECT("M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,
INDIRECT("M"&amp;R92&amp;"")))),"")</f>
        <v/>
      </c>
      <c r="AC92" s="176" t="str">
        <f t="shared" ca="1" si="37"/>
        <v/>
      </c>
      <c r="AD92" s="176" t="str">
        <f t="shared" ca="1" si="38"/>
        <v/>
      </c>
      <c r="AE92" s="176" t="str">
        <f t="shared" ca="1" si="39"/>
        <v/>
      </c>
      <c r="AF92" s="176" t="str">
        <f t="shared" ca="1" si="40"/>
        <v/>
      </c>
      <c r="AG92" s="176" t="str">
        <f t="shared" ca="1" si="41"/>
        <v/>
      </c>
      <c r="AH92" s="183" t="str">
        <f t="shared" ca="1" si="42"/>
        <v/>
      </c>
      <c r="AI92" s="176" t="str">
        <f t="shared" ca="1" si="43"/>
        <v/>
      </c>
      <c r="AJ92" s="176" t="str">
        <f t="shared" ca="1" si="44"/>
        <v/>
      </c>
      <c r="AK92" s="176" t="str">
        <f t="shared" ca="1" si="45"/>
        <v/>
      </c>
      <c r="AL92" s="176" t="str">
        <f t="shared" ca="1" si="46"/>
        <v/>
      </c>
      <c r="AM92" s="176" t="str">
        <f t="shared" ca="1" si="47"/>
        <v/>
      </c>
      <c r="AN92" s="176" t="str">
        <f t="shared" ca="1" si="48"/>
        <v/>
      </c>
      <c r="AO92" s="176" t="str">
        <f t="shared" ca="1" si="49"/>
        <v/>
      </c>
      <c r="AP92" s="176" t="str">
        <f t="shared" ca="1" si="50"/>
        <v/>
      </c>
      <c r="AU92" s="176" t="str">
        <f t="shared" ca="1" si="51"/>
        <v/>
      </c>
    </row>
    <row r="93" spans="1:47" ht="22.2" customHeight="1">
      <c r="A93" s="103">
        <f t="shared" si="57"/>
        <v>51</v>
      </c>
      <c r="B93" s="104" t="str">
        <f t="shared" ca="1" si="55"/>
        <v/>
      </c>
      <c r="C93" s="104" t="str">
        <f>IF(OR(クライアント抽出!C23&lt;&gt;"",クライアント抽出!F23&lt;&gt;""),クライアント抽出!A23,"")</f>
        <v/>
      </c>
      <c r="D93" s="104" t="str">
        <f t="array" aca="1" ref="D93" ca="1">IF(C93&lt;&gt;"",INDIRECT("クライアント抽出!"&amp;E93&amp;MATCH(C93,クライアント抽出!A:A,0)&amp;""),"")</f>
        <v/>
      </c>
      <c r="E93" s="104" t="str">
        <f>IF(H93&lt;&gt;0,
IFERROR(
SUBSTITUTE(ADDRESS(1,
MATCH(VALUE(H93),クライアント抽出!A23:G23,0)+8,4),"1",""),
""),
IFERROR(
SUBSTITUTE(ADDRESS(1,
MATCH(VALUE(I93),クライアント抽出!A23:G23,0)+8,4),"1",""),
""))</f>
        <v/>
      </c>
      <c r="F93" s="186" t="str">
        <f ca="1">IF(D93&lt;&gt;"",
IF(COUNTIF(C93,"*雙葉*"),
IF(ROUND((H93-M93)
/IF(COUNTIF(D93,"*キャラ*"),
VLOOKUP("*キャラ*",商品マスタ!$D:$E,2,FALSE),
IF(COUNTIF(D93,"*赤*"),
VLOOKUP("*赤*",商品マスタ!$D:$E,2,FALSE),
VLOOKUP("*"&amp;D93&amp;"*",商品マスタ!$D:$E,2,FALSE))),0)&lt;=0,1,
ROUND((H93-M93)
/IF(COUNTIF(D93,"*キャラ*"),
VLOOKUP("*キャラ*",商品マスタ!$D:$E,2,FALSE),
IF(COUNTIF(D93,"*赤*"),
VLOOKUP("*赤*",商品マスタ!$D:$E,2,FALSE),
VLOOKUP("*"&amp;D93&amp;"*",商品マスタ!$D:$E,2,FALSE))),0)),
IF(OR(COUNTIF(D93,"*キャラ*"),COUNTIF(D93,"*赤*")),"",
IF(VLOOKUP("*"&amp;D93&amp;"*",商品マスタ!$D:$E,2,FALSE)=0,"",
IF(ROUND((H93-M93)
/VLOOKUP("*"&amp;D93&amp;"*",商品マスタ!$D:$E,2,FALSE),0)&lt;=0,1,
ROUND((H93-M93)
/VLOOKUP("*"&amp;D93&amp;"*",商品マスタ!$D:$E,2,FALSE),0))))),"")</f>
        <v/>
      </c>
      <c r="G93" s="104" t="str">
        <f ca="1">IF(F93&lt;&gt;"",
IF(VALUE(H93-M93)&gt;VALUE(IF(COUNTIF(D93,"*キャラ*"),
VLOOKUP("*キャラ*",商品マスタ!$D:$E,2,FALSE),
IF(COUNTIF(D93,"*赤*"),
VLOOKUP("*赤*",商品マスタ!$D:$E,2,FALSE),
VLOOKUP("*"&amp;D93&amp;"*",商品マスタ!$D:$E,2,FALSE)))*F93),
"+"&amp;(H93-M93)-IF(COUNTIF(D93,"*キャラ*"),
VLOOKUP("*キャラ*",商品マスタ!$D:$E,2,FALSE),
IF(COUNTIF(D93,"*赤*"),
VLOOKUP("*赤*",商品マスタ!$D:$E,2,FALSE),
VLOOKUP("*"&amp;D93&amp;"*",商品マスタ!$D:$E,2,FALSE)))*F93,
(H93-M93)-IF(COUNTIF(D93,"*キャラ*"),
VLOOKUP("*キャラ*",商品マスタ!$D:$E,2,FALSE),
IF(COUNTIF(D93,"*赤*"),
VLOOKUP("*赤*",商品マスタ!$D:$E,2,FALSE),
VLOOKUP("*"&amp;D93&amp;"*",商品マスタ!$D:$E,2,FALSE)))*F93),"")</f>
        <v/>
      </c>
      <c r="H93" s="105" t="str">
        <f>IF(C93&lt;&gt;"",
クライアント抽出!C23,"")</f>
        <v/>
      </c>
      <c r="I93" s="104" t="str">
        <f t="array" aca="1" ref="I93" ca="1">IF(C93&lt;&gt;"",
IF(O93=1,
IF(SUMPRODUCT(COUNTIF(クライアント抽出!P23:U23,クライアント抽出!P23:U23))&gt;COUNTA(クライアント抽出!P23:U23),
IFERROR(INDIRECT("数出表_Excel!"&amp;INDEX(_xlfn.UNIQUE(_xlfn._xlws.FILTER(クライアント抽出!P23:U23,COUNTIF(クライアント抽出!P23:U23,クライアント抽出!P23:U23)&gt;1)),1)&amp;L23&amp;""),
クライアント抽出!E23),0),クライアント抽出!F23),"")</f>
        <v/>
      </c>
      <c r="J93" s="104" t="str">
        <f>IF(C93&lt;&gt;"",
VLOOKUP(
"*"&amp;LEFT(IF(COUNTIF(D93,"*学食*"),"キャラ弁（学食）",
IF(COUNTIF(D93,"*赤*"),"赤",
IF(COUNTIF(D93,"*キャラ弁当*"),"キャラ弁当",D93))),4)&amp;"*",注文弁当の抽出!$F$1:$G$15,2,FALSE),"")</f>
        <v/>
      </c>
      <c r="K93" s="104" t="str">
        <f ca="1">IF(クライアント抽出!Q23&lt;&gt;"",SUBSTITUTE(ADDRESS(1,(CODE(クライアント抽出!Q23)-64)*2-1,4),"1",""),"")</f>
        <v/>
      </c>
      <c r="L93" s="104" t="str">
        <f>IF(C23&lt;&gt;"",クライアント抽出!I23,"")</f>
        <v/>
      </c>
      <c r="M93" s="104">
        <f t="array" aca="1" ref="M93" ca="1">IF(C93&lt;&gt;"",
IF(K93&lt;&gt;"",INDIRECT("'数出表_Excel（アレルギー入力）'!"&amp;K93&amp;L93-1&amp;""),),)</f>
        <v>0</v>
      </c>
      <c r="N93" s="104" t="str">
        <f>IF(C93&lt;&gt;"",IF(OR(COUNTIF('盛付札（関数）'!D93,"*赤*"),COUNTIF('盛付札（関数）'!D93,"*キャラ*")),1,
VALUE(VLOOKUP("*"&amp;D93&amp;"*",商品マスタ!D:H,5,FALSE))),"")</f>
        <v/>
      </c>
      <c r="O93" s="104">
        <f t="shared" ca="1" si="56"/>
        <v>0</v>
      </c>
      <c r="P93" s="104">
        <f t="shared" si="33"/>
        <v>0</v>
      </c>
      <c r="Q93" s="104" t="b">
        <f t="shared" si="34"/>
        <v>0</v>
      </c>
      <c r="R93" s="176" t="str">
        <f t="array" aca="1" ref="R93" ca="1">IFERROR(SMALL(IF(P$1:P$311&lt;&gt;0,P$1:P$311),ROW(A93)),"")</f>
        <v/>
      </c>
      <c r="S93" s="176" t="str">
        <f t="array" aca="1" ref="S93" ca="1">IF($R93&lt;&gt;"",
SUBSTITUTE(SUBSTITUTE(INDIRECT("C"&amp;$R93&amp;"")," 週3ｺｰｽ","")," 週5ｺｰｽ",""),"")</f>
        <v/>
      </c>
      <c r="T93" s="176" t="str">
        <f t="array" aca="1" ref="T93" ca="1">IF(IF($R93&lt;&gt;"",
INDIRECT(""&amp;IF(COLUMN(D93)&lt;=26,CHAR(COLUMN(D93)+64),CHAR(INT((COLUMN(D93)-1)/26)+64)&amp;CHAR(MOD(COLUMN(D93)-1,26)+65))&amp;$R93&amp;""),"")=0,"",
IF($R93&lt;&gt;"",
INDIRECT(""&amp;IF(COLUMN(D93)&lt;=26,CHAR(COLUMN(D93)+64),CHAR(INT((COLUMN(D93)-1)/26)+64)&amp;CHAR(MOD(COLUMN(D93)-1,26)+65))&amp;$R93&amp;""),""))</f>
        <v/>
      </c>
      <c r="U93" s="218" t="str">
        <f t="array" aca="1" ref="U93" ca="1">IF($R93&lt;&gt;"",
INDIRECT("F"&amp;$R93&amp;""),"")</f>
        <v/>
      </c>
      <c r="V93" s="219" t="str">
        <f t="array" aca="1" ref="V93" ca="1">IF($R93&lt;&gt;"",
INDIRECT("G"&amp;$R93&amp;""),"")</f>
        <v/>
      </c>
      <c r="W93" s="219" t="str" cm="1">
        <f t="array" aca="1" ref="W93" ca="1">IF($R93&lt;&gt;"",
IF(AND(COUNTIF(INDIRECT("B"&amp;R93&amp;""),"*雙葉*"),COUNTIF($B$71:$B$210,"*雙葉*")&gt;=1),
IF(OR(COUNTIF(INDIRECT("B"&amp;R93&amp;""),"*雙葉先生*"),COUNTIF(INDIRECT("B"&amp;R93-1&amp;""),"*雙葉*")),INDIRECT("H"&amp;R93&amp;""),INDIRECT("H"&amp;R93&amp;"")+INDIRECT("H"&amp;MATCH("雙葉'",INDIRECT("B"&amp;R93+3&amp;":B210"),0)+2+R93&amp;"")),
IF(AND(LEFT(INDIRECT("B"&amp;R93&amp;""),2)="博多",COUNTIF(B:B,"*博多*")&gt;=2),
INDIRECT("H"&amp;R93&amp;"")+IFERROR(INDIRECT("H"&amp;MATCH("*"&amp;INDIRECT("B"&amp;R93&amp;"")&amp;"*",INDIRECT("B"&amp;R93+1&amp;":B210"),0)+R93&amp;""),0),
IF(AND(LEFT(INDIRECT("B"&amp;R93&amp;""),3)="奈良屋",COUNTIF(B:B,"*奈良屋*")&gt;=2),
INDIRECT("H"&amp;R93&amp;"")
+INDIRECT("H"&amp;MATCH("*"&amp;INDIRECT("B"&amp;R93&amp;"")&amp;"*",INDIRECT("B"&amp;R93+1&amp;":B210"),0)+R93&amp;"")
+INDIRECT("H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
+INDIRECT("H"&amp;MATCH("*"&amp;INDIRECT("B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&amp;"*",INDIRECT("B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+1&amp;":B210"),0)+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,
INDIRECT("H"&amp;R93&amp;"")))),"")</f>
        <v/>
      </c>
      <c r="X93" s="176" t="str">
        <f t="array" aca="1" ref="X93" ca="1">IF($R93&lt;&gt;"",
INDIRECT(""&amp;IF(COLUMN(I93)&lt;=26,CHAR(COLUMN(I93)+64),CHAR(INT((COLUMN(I93)-1)/26)+64)&amp;CHAR(MOD(COLUMN(I93)-1,26)+65))&amp;$R93&amp;""),"")</f>
        <v/>
      </c>
      <c r="Y93" s="176" t="str">
        <f t="array" aca="1" ref="Y93" ca="1">IF($R93&lt;&gt;"",
INDIRECT(""&amp;IF(COLUMN(J93)&lt;=26,CHAR(COLUMN(J93)+64),CHAR(INT((COLUMN(J93)-1)/26)+64)&amp;CHAR(MOD(COLUMN(J93)-1,26)+65))&amp;$R93&amp;""),"")</f>
        <v/>
      </c>
      <c r="Z93" s="176" t="str">
        <f t="shared" ca="1" si="35"/>
        <v/>
      </c>
      <c r="AA93" s="176" t="str">
        <f t="shared" ca="1" si="36"/>
        <v/>
      </c>
      <c r="AB93" s="176" t="str">
        <f t="array" aca="1" ref="AB93" ca="1">IF($R93&lt;&gt;"",
IF(AND(COUNTIF(INDIRECT("B"&amp;R93&amp;""),"*雙葉*"),COUNTIF(INDIRECT("B"&amp;R93&amp;""),"&lt;&gt;*先生*"),COUNTIF(B:B,"*雙葉*")&gt;=2),
INDIRECT("M"&amp;R93&amp;"")+INDIRECT("M"&amp;MATCH("雙葉'",INDIRECT("B"&amp;R93+1&amp;":B210"),0)+R93&amp;""),
IF(AND(LEFT(INDIRECT("B"&amp;R93&amp;""),2)="博多",COUNTIF(B:B,"*博多*")&gt;=2),
INDIRECT("M"&amp;R93&amp;"")+INDIRECT("M"&amp;MATCH("*"&amp;INDIRECT("B"&amp;R93&amp;"")&amp;"*",INDIRECT("B"&amp;R93+1&amp;":B210"),0)+R93&amp;""),
IF(AND(LEFT(INDIRECT("B"&amp;R93&amp;""),3)="奈良屋",COUNTIF(B:B,"*奈良屋*")&gt;=2),
INDIRECT("M"&amp;R93&amp;"")+INDIRECT("M"&amp;MATCH("*"&amp;INDIRECT("B"&amp;R93&amp;"")&amp;"*",INDIRECT("B"&amp;R93+1&amp;":B210"),0)+R93&amp;"")
+INDIRECT("M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,
INDIRECT("M"&amp;R93&amp;"")))),"")</f>
        <v/>
      </c>
      <c r="AC93" s="176" t="str">
        <f t="shared" ca="1" si="37"/>
        <v/>
      </c>
      <c r="AD93" s="176" t="str">
        <f t="shared" ca="1" si="38"/>
        <v/>
      </c>
      <c r="AE93" s="176" t="str">
        <f t="shared" ca="1" si="39"/>
        <v/>
      </c>
      <c r="AF93" s="176" t="str">
        <f t="shared" ca="1" si="40"/>
        <v/>
      </c>
      <c r="AG93" s="176" t="str">
        <f t="shared" ca="1" si="41"/>
        <v/>
      </c>
      <c r="AH93" s="183" t="str">
        <f t="shared" ca="1" si="42"/>
        <v/>
      </c>
      <c r="AI93" s="176" t="str">
        <f t="shared" ca="1" si="43"/>
        <v/>
      </c>
      <c r="AJ93" s="176" t="str">
        <f t="shared" ca="1" si="44"/>
        <v/>
      </c>
      <c r="AK93" s="176" t="str">
        <f t="shared" ca="1" si="45"/>
        <v/>
      </c>
      <c r="AL93" s="176" t="str">
        <f t="shared" ca="1" si="46"/>
        <v/>
      </c>
      <c r="AM93" s="176" t="str">
        <f t="shared" ca="1" si="47"/>
        <v/>
      </c>
      <c r="AN93" s="176" t="str">
        <f t="shared" ca="1" si="48"/>
        <v/>
      </c>
      <c r="AO93" s="176" t="str">
        <f t="shared" ca="1" si="49"/>
        <v/>
      </c>
      <c r="AP93" s="176" t="str">
        <f t="shared" ca="1" si="50"/>
        <v/>
      </c>
      <c r="AU93" s="176" t="str">
        <f t="shared" ca="1" si="51"/>
        <v/>
      </c>
    </row>
    <row r="94" spans="1:47" ht="22.2" customHeight="1">
      <c r="A94" s="103">
        <f t="shared" si="57"/>
        <v>53</v>
      </c>
      <c r="B94" s="104" t="str">
        <f t="shared" ca="1" si="55"/>
        <v/>
      </c>
      <c r="C94" s="104" t="str">
        <f>IF(OR(クライアント抽出!C24&lt;&gt;"",クライアント抽出!F24&lt;&gt;""),クライアント抽出!A24,"")</f>
        <v/>
      </c>
      <c r="D94" s="104" t="str">
        <f t="array" aca="1" ref="D94" ca="1">IF(C94&lt;&gt;"",INDIRECT("クライアント抽出!"&amp;E94&amp;MATCH(C94,クライアント抽出!A:A,0)&amp;""),"")</f>
        <v/>
      </c>
      <c r="E94" s="104" t="str">
        <f>IF(H94&lt;&gt;0,
IFERROR(
SUBSTITUTE(ADDRESS(1,
MATCH(VALUE(H94),クライアント抽出!A24:G24,0)+8,4),"1",""),
""),
IFERROR(
SUBSTITUTE(ADDRESS(1,
MATCH(VALUE(I94),クライアント抽出!A24:G24,0)+8,4),"1",""),
""))</f>
        <v/>
      </c>
      <c r="F94" s="186" t="str">
        <f ca="1">IF(D94&lt;&gt;"",
IF(COUNTIF(C94,"*雙葉*"),
IF(ROUND((H94-M94)
/IF(COUNTIF(D94,"*キャラ*"),
VLOOKUP("*キャラ*",商品マスタ!$D:$E,2,FALSE),
IF(COUNTIF(D94,"*赤*"),
VLOOKUP("*赤*",商品マスタ!$D:$E,2,FALSE),
VLOOKUP("*"&amp;D94&amp;"*",商品マスタ!$D:$E,2,FALSE))),0)&lt;=0,1,
ROUND((H94-M94)
/IF(COUNTIF(D94,"*キャラ*"),
VLOOKUP("*キャラ*",商品マスタ!$D:$E,2,FALSE),
IF(COUNTIF(D94,"*赤*"),
VLOOKUP("*赤*",商品マスタ!$D:$E,2,FALSE),
VLOOKUP("*"&amp;D94&amp;"*",商品マスタ!$D:$E,2,FALSE))),0)),
IF(OR(COUNTIF(D94,"*キャラ*"),COUNTIF(D94,"*赤*")),"",
IF(VLOOKUP("*"&amp;D94&amp;"*",商品マスタ!$D:$E,2,FALSE)=0,"",
IF(ROUND((H94-M94)
/VLOOKUP("*"&amp;D94&amp;"*",商品マスタ!$D:$E,2,FALSE),0)&lt;=0,1,
ROUND((H94-M94)
/VLOOKUP("*"&amp;D94&amp;"*",商品マスタ!$D:$E,2,FALSE),0))))),"")</f>
        <v/>
      </c>
      <c r="G94" s="104" t="str">
        <f ca="1">IF(F94&lt;&gt;"",
IF(VALUE(H94-M94)&gt;VALUE(IF(COUNTIF(D94,"*キャラ*"),
VLOOKUP("*キャラ*",商品マスタ!$D:$E,2,FALSE),
IF(COUNTIF(D94,"*赤*"),
VLOOKUP("*赤*",商品マスタ!$D:$E,2,FALSE),
VLOOKUP("*"&amp;D94&amp;"*",商品マスタ!$D:$E,2,FALSE)))*F94),
"+"&amp;(H94-M94)-IF(COUNTIF(D94,"*キャラ*"),
VLOOKUP("*キャラ*",商品マスタ!$D:$E,2,FALSE),
IF(COUNTIF(D94,"*赤*"),
VLOOKUP("*赤*",商品マスタ!$D:$E,2,FALSE),
VLOOKUP("*"&amp;D94&amp;"*",商品マスタ!$D:$E,2,FALSE)))*F94,
(H94-M94)-IF(COUNTIF(D94,"*キャラ*"),
VLOOKUP("*キャラ*",商品マスタ!$D:$E,2,FALSE),
IF(COUNTIF(D94,"*赤*"),
VLOOKUP("*赤*",商品マスタ!$D:$E,2,FALSE),
VLOOKUP("*"&amp;D94&amp;"*",商品マスタ!$D:$E,2,FALSE)))*F94),"")</f>
        <v/>
      </c>
      <c r="H94" s="105" t="str">
        <f>IF(C94&lt;&gt;"",
クライアント抽出!C24,"")</f>
        <v/>
      </c>
      <c r="I94" s="104" t="str">
        <f t="array" aca="1" ref="I94" ca="1">IF(C94&lt;&gt;"",
IF(O94=1,
IF(SUMPRODUCT(COUNTIF(クライアント抽出!P24:U24,クライアント抽出!P24:U24))&gt;COUNTA(クライアント抽出!P24:U24),
IFERROR(INDIRECT("数出表_Excel!"&amp;INDEX(_xlfn.UNIQUE(_xlfn._xlws.FILTER(クライアント抽出!P24:U24,COUNTIF(クライアント抽出!P24:U24,クライアント抽出!P24:U24)&gt;1)),1)&amp;L24&amp;""),
クライアント抽出!E24),0),クライアント抽出!F24),"")</f>
        <v/>
      </c>
      <c r="J94" s="104" t="str">
        <f>IF(C94&lt;&gt;"",
VLOOKUP(
"*"&amp;LEFT(IF(COUNTIF(D94,"*学食*"),"キャラ弁（学食）",
IF(COUNTIF(D94,"*赤*"),"赤",
IF(COUNTIF(D94,"*キャラ弁当*"),"キャラ弁当",D94))),4)&amp;"*",注文弁当の抽出!$F$1:$G$15,2,FALSE),"")</f>
        <v/>
      </c>
      <c r="K94" s="104" t="str">
        <f ca="1">IF(クライアント抽出!Q24&lt;&gt;"",SUBSTITUTE(ADDRESS(1,(CODE(クライアント抽出!Q24)-64)*2-1,4),"1",""),"")</f>
        <v/>
      </c>
      <c r="L94" s="104" t="str">
        <f>IF(C24&lt;&gt;"",クライアント抽出!I24,"")</f>
        <v/>
      </c>
      <c r="M94" s="104">
        <f t="array" aca="1" ref="M94" ca="1">IF(C94&lt;&gt;"",
IF(K94&lt;&gt;"",INDIRECT("'数出表_Excel（アレルギー入力）'!"&amp;K94&amp;L94-1&amp;""),),)</f>
        <v>0</v>
      </c>
      <c r="N94" s="104" t="str">
        <f>IF(C94&lt;&gt;"",IF(OR(COUNTIF('盛付札（関数）'!D94,"*赤*"),COUNTIF('盛付札（関数）'!D94,"*キャラ*")),1,
VALUE(VLOOKUP("*"&amp;D94&amp;"*",商品マスタ!D:H,5,FALSE))),"")</f>
        <v/>
      </c>
      <c r="O94" s="104">
        <f t="shared" ca="1" si="56"/>
        <v>0</v>
      </c>
      <c r="P94" s="104">
        <f t="shared" si="33"/>
        <v>0</v>
      </c>
      <c r="Q94" s="104" t="b">
        <f t="shared" si="34"/>
        <v>0</v>
      </c>
      <c r="R94" s="176" t="str">
        <f t="array" aca="1" ref="R94" ca="1">IFERROR(SMALL(IF(P$1:P$311&lt;&gt;0,P$1:P$311),ROW(A94)),"")</f>
        <v/>
      </c>
      <c r="S94" s="176" t="str">
        <f t="array" aca="1" ref="S94" ca="1">IF($R94&lt;&gt;"",
SUBSTITUTE(SUBSTITUTE(INDIRECT("C"&amp;$R94&amp;"")," 週3ｺｰｽ","")," 週5ｺｰｽ",""),"")</f>
        <v/>
      </c>
      <c r="T94" s="176" t="str">
        <f t="array" aca="1" ref="T94" ca="1">IF(IF($R94&lt;&gt;"",
INDIRECT(""&amp;IF(COLUMN(D94)&lt;=26,CHAR(COLUMN(D94)+64),CHAR(INT((COLUMN(D94)-1)/26)+64)&amp;CHAR(MOD(COLUMN(D94)-1,26)+65))&amp;$R94&amp;""),"")=0,"",
IF($R94&lt;&gt;"",
INDIRECT(""&amp;IF(COLUMN(D94)&lt;=26,CHAR(COLUMN(D94)+64),CHAR(INT((COLUMN(D94)-1)/26)+64)&amp;CHAR(MOD(COLUMN(D94)-1,26)+65))&amp;$R94&amp;""),""))</f>
        <v/>
      </c>
      <c r="U94" s="218" t="str">
        <f t="array" aca="1" ref="U94" ca="1">IF($R94&lt;&gt;"",
INDIRECT("F"&amp;$R94&amp;""),"")</f>
        <v/>
      </c>
      <c r="V94" s="219" t="str">
        <f t="array" aca="1" ref="V94" ca="1">IF($R94&lt;&gt;"",
INDIRECT("G"&amp;$R94&amp;""),"")</f>
        <v/>
      </c>
      <c r="W94" s="219" t="str" cm="1">
        <f t="array" aca="1" ref="W94" ca="1">IF($R94&lt;&gt;"",
IF(AND(COUNTIF(INDIRECT("B"&amp;R94&amp;""),"*雙葉*"),COUNTIF($B$71:$B$210,"*雙葉*")&gt;=1),
IF(OR(COUNTIF(INDIRECT("B"&amp;R94&amp;""),"*雙葉先生*"),COUNTIF(INDIRECT("B"&amp;R94-1&amp;""),"*雙葉*")),INDIRECT("H"&amp;R94&amp;""),INDIRECT("H"&amp;R94&amp;"")+INDIRECT("H"&amp;MATCH("雙葉'",INDIRECT("B"&amp;R94+3&amp;":B210"),0)+2+R94&amp;"")),
IF(AND(LEFT(INDIRECT("B"&amp;R94&amp;""),2)="博多",COUNTIF(B:B,"*博多*")&gt;=2),
INDIRECT("H"&amp;R94&amp;"")+IFERROR(INDIRECT("H"&amp;MATCH("*"&amp;INDIRECT("B"&amp;R94&amp;"")&amp;"*",INDIRECT("B"&amp;R94+1&amp;":B210"),0)+R94&amp;""),0),
IF(AND(LEFT(INDIRECT("B"&amp;R94&amp;""),3)="奈良屋",COUNTIF(B:B,"*奈良屋*")&gt;=2),
INDIRECT("H"&amp;R94&amp;"")
+INDIRECT("H"&amp;MATCH("*"&amp;INDIRECT("B"&amp;R94&amp;"")&amp;"*",INDIRECT("B"&amp;R94+1&amp;":B210"),0)+R94&amp;"")
+INDIRECT("H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
+INDIRECT("H"&amp;MATCH("*"&amp;INDIRECT("B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&amp;"*",INDIRECT("B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+1&amp;":B210"),0)+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,
INDIRECT("H"&amp;R94&amp;"")))),"")</f>
        <v/>
      </c>
      <c r="X94" s="176" t="str">
        <f t="array" aca="1" ref="X94" ca="1">IF($R94&lt;&gt;"",
INDIRECT(""&amp;IF(COLUMN(I94)&lt;=26,CHAR(COLUMN(I94)+64),CHAR(INT((COLUMN(I94)-1)/26)+64)&amp;CHAR(MOD(COLUMN(I94)-1,26)+65))&amp;$R94&amp;""),"")</f>
        <v/>
      </c>
      <c r="Y94" s="176" t="str">
        <f t="array" aca="1" ref="Y94" ca="1">IF($R94&lt;&gt;"",
INDIRECT(""&amp;IF(COLUMN(J94)&lt;=26,CHAR(COLUMN(J94)+64),CHAR(INT((COLUMN(J94)-1)/26)+64)&amp;CHAR(MOD(COLUMN(J94)-1,26)+65))&amp;$R94&amp;""),"")</f>
        <v/>
      </c>
      <c r="Z94" s="176" t="str">
        <f t="shared" ca="1" si="35"/>
        <v/>
      </c>
      <c r="AA94" s="176" t="str">
        <f t="shared" ca="1" si="36"/>
        <v/>
      </c>
      <c r="AB94" s="176" t="str">
        <f t="array" aca="1" ref="AB94" ca="1">IF($R94&lt;&gt;"",
IF(AND(COUNTIF(INDIRECT("B"&amp;R94&amp;""),"*雙葉*"),COUNTIF(INDIRECT("B"&amp;R94&amp;""),"&lt;&gt;*先生*"),COUNTIF(B:B,"*雙葉*")&gt;=2),
INDIRECT("M"&amp;R94&amp;"")+INDIRECT("M"&amp;MATCH("雙葉'",INDIRECT("B"&amp;R94+1&amp;":B210"),0)+R94&amp;""),
IF(AND(LEFT(INDIRECT("B"&amp;R94&amp;""),2)="博多",COUNTIF(B:B,"*博多*")&gt;=2),
INDIRECT("M"&amp;R94&amp;"")+INDIRECT("M"&amp;MATCH("*"&amp;INDIRECT("B"&amp;R94&amp;"")&amp;"*",INDIRECT("B"&amp;R94+1&amp;":B210"),0)+R94&amp;""),
IF(AND(LEFT(INDIRECT("B"&amp;R94&amp;""),3)="奈良屋",COUNTIF(B:B,"*奈良屋*")&gt;=2),
INDIRECT("M"&amp;R94&amp;"")+INDIRECT("M"&amp;MATCH("*"&amp;INDIRECT("B"&amp;R94&amp;"")&amp;"*",INDIRECT("B"&amp;R94+1&amp;":B210"),0)+R94&amp;"")
+INDIRECT("M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,
INDIRECT("M"&amp;R94&amp;"")))),"")</f>
        <v/>
      </c>
      <c r="AC94" s="176" t="str">
        <f t="shared" ca="1" si="37"/>
        <v/>
      </c>
      <c r="AD94" s="176" t="str">
        <f t="shared" ca="1" si="38"/>
        <v/>
      </c>
      <c r="AE94" s="176" t="str">
        <f t="shared" ca="1" si="39"/>
        <v/>
      </c>
      <c r="AF94" s="176" t="str">
        <f t="shared" ca="1" si="40"/>
        <v/>
      </c>
      <c r="AG94" s="176" t="str">
        <f t="shared" ca="1" si="41"/>
        <v/>
      </c>
      <c r="AH94" s="183" t="str">
        <f t="shared" ca="1" si="42"/>
        <v/>
      </c>
      <c r="AI94" s="176" t="str">
        <f t="shared" ca="1" si="43"/>
        <v/>
      </c>
      <c r="AJ94" s="176" t="str">
        <f t="shared" ca="1" si="44"/>
        <v/>
      </c>
      <c r="AK94" s="176" t="str">
        <f t="shared" ca="1" si="45"/>
        <v/>
      </c>
      <c r="AL94" s="176" t="str">
        <f t="shared" ca="1" si="46"/>
        <v/>
      </c>
      <c r="AM94" s="176" t="str">
        <f t="shared" ca="1" si="47"/>
        <v/>
      </c>
      <c r="AN94" s="176" t="str">
        <f t="shared" ca="1" si="48"/>
        <v/>
      </c>
      <c r="AO94" s="176" t="str">
        <f t="shared" ca="1" si="49"/>
        <v/>
      </c>
      <c r="AP94" s="176" t="str">
        <f t="shared" ca="1" si="50"/>
        <v/>
      </c>
      <c r="AU94" s="176" t="str">
        <f t="shared" ca="1" si="51"/>
        <v/>
      </c>
    </row>
    <row r="95" spans="1:47" ht="22.2" customHeight="1">
      <c r="A95" s="103">
        <f t="shared" si="57"/>
        <v>55</v>
      </c>
      <c r="B95" s="104" t="str">
        <f t="shared" ca="1" si="55"/>
        <v/>
      </c>
      <c r="C95" s="104" t="str">
        <f>IF(OR(クライアント抽出!C25&lt;&gt;"",クライアント抽出!F25&lt;&gt;""),クライアント抽出!A25,"")</f>
        <v/>
      </c>
      <c r="D95" s="104" t="str">
        <f t="array" aca="1" ref="D95" ca="1">IF(C95&lt;&gt;"",INDIRECT("クライアント抽出!"&amp;E95&amp;MATCH(C95,クライアント抽出!A:A,0)&amp;""),"")</f>
        <v/>
      </c>
      <c r="E95" s="104" t="str">
        <f>IF(H95&lt;&gt;0,
IFERROR(
SUBSTITUTE(ADDRESS(1,
MATCH(VALUE(H95),クライアント抽出!A25:G25,0)+8,4),"1",""),
""),
IFERROR(
SUBSTITUTE(ADDRESS(1,
MATCH(VALUE(I95),クライアント抽出!A25:G25,0)+8,4),"1",""),
""))</f>
        <v/>
      </c>
      <c r="F95" s="186" t="str">
        <f ca="1">IF(D95&lt;&gt;"",
IF(COUNTIF(C95,"*雙葉*"),
IF(ROUND((H95-M95)
/IF(COUNTIF(D95,"*キャラ*"),
VLOOKUP("*キャラ*",商品マスタ!$D:$E,2,FALSE),
IF(COUNTIF(D95,"*赤*"),
VLOOKUP("*赤*",商品マスタ!$D:$E,2,FALSE),
VLOOKUP("*"&amp;D95&amp;"*",商品マスタ!$D:$E,2,FALSE))),0)&lt;=0,1,
ROUND((H95-M95)
/IF(COUNTIF(D95,"*キャラ*"),
VLOOKUP("*キャラ*",商品マスタ!$D:$E,2,FALSE),
IF(COUNTIF(D95,"*赤*"),
VLOOKUP("*赤*",商品マスタ!$D:$E,2,FALSE),
VLOOKUP("*"&amp;D95&amp;"*",商品マスタ!$D:$E,2,FALSE))),0)),
IF(OR(COUNTIF(D95,"*キャラ*"),COUNTIF(D95,"*赤*")),"",
IF(VLOOKUP("*"&amp;D95&amp;"*",商品マスタ!$D:$E,2,FALSE)=0,"",
IF(ROUND((H95-M95)
/VLOOKUP("*"&amp;D95&amp;"*",商品マスタ!$D:$E,2,FALSE),0)&lt;=0,1,
ROUND((H95-M95)
/VLOOKUP("*"&amp;D95&amp;"*",商品マスタ!$D:$E,2,FALSE),0))))),"")</f>
        <v/>
      </c>
      <c r="G95" s="104" t="str">
        <f ca="1">IF(F95&lt;&gt;"",
IF(VALUE(H95-M95)&gt;VALUE(IF(COUNTIF(D95,"*キャラ*"),
VLOOKUP("*キャラ*",商品マスタ!$D:$E,2,FALSE),
IF(COUNTIF(D95,"*赤*"),
VLOOKUP("*赤*",商品マスタ!$D:$E,2,FALSE),
VLOOKUP("*"&amp;D95&amp;"*",商品マスタ!$D:$E,2,FALSE)))*F95),
"+"&amp;(H95-M95)-IF(COUNTIF(D95,"*キャラ*"),
VLOOKUP("*キャラ*",商品マスタ!$D:$E,2,FALSE),
IF(COUNTIF(D95,"*赤*"),
VLOOKUP("*赤*",商品マスタ!$D:$E,2,FALSE),
VLOOKUP("*"&amp;D95&amp;"*",商品マスタ!$D:$E,2,FALSE)))*F95,
(H95-M95)-IF(COUNTIF(D95,"*キャラ*"),
VLOOKUP("*キャラ*",商品マスタ!$D:$E,2,FALSE),
IF(COUNTIF(D95,"*赤*"),
VLOOKUP("*赤*",商品マスタ!$D:$E,2,FALSE),
VLOOKUP("*"&amp;D95&amp;"*",商品マスタ!$D:$E,2,FALSE)))*F95),"")</f>
        <v/>
      </c>
      <c r="H95" s="105" t="str">
        <f>IF(C95&lt;&gt;"",
クライアント抽出!C25,"")</f>
        <v/>
      </c>
      <c r="I95" s="104" t="str">
        <f t="array" aca="1" ref="I95" ca="1">IF(C95&lt;&gt;"",
IF(O95=1,
IF(SUMPRODUCT(COUNTIF(クライアント抽出!P25:U25,クライアント抽出!P25:U25))&gt;COUNTA(クライアント抽出!P25:U25),
IFERROR(INDIRECT("数出表_Excel!"&amp;INDEX(_xlfn.UNIQUE(_xlfn._xlws.FILTER(クライアント抽出!P25:U25,COUNTIF(クライアント抽出!P25:U25,クライアント抽出!P25:U25)&gt;1)),1)&amp;L25&amp;""),
クライアント抽出!E25),0),クライアント抽出!F25),"")</f>
        <v/>
      </c>
      <c r="J95" s="104" t="str">
        <f>IF(C95&lt;&gt;"",
VLOOKUP(
"*"&amp;LEFT(IF(COUNTIF(D95,"*学食*"),"キャラ弁（学食）",
IF(COUNTIF(D95,"*赤*"),"赤",
IF(COUNTIF(D95,"*キャラ弁当*"),"キャラ弁当",D95))),4)&amp;"*",注文弁当の抽出!$F$1:$G$15,2,FALSE),"")</f>
        <v/>
      </c>
      <c r="K95" s="104" t="str">
        <f ca="1">IF(クライアント抽出!Q25&lt;&gt;"",SUBSTITUTE(ADDRESS(1,(CODE(クライアント抽出!Q25)-64)*2-1,4),"1",""),"")</f>
        <v/>
      </c>
      <c r="L95" s="104" t="str">
        <f>IF(C25&lt;&gt;"",クライアント抽出!I25,"")</f>
        <v/>
      </c>
      <c r="M95" s="104">
        <f t="array" aca="1" ref="M95" ca="1">IF(C95&lt;&gt;"",
IF(K95&lt;&gt;"",INDIRECT("'数出表_Excel（アレルギー入力）'!"&amp;K95&amp;L95-1&amp;""),),)</f>
        <v>0</v>
      </c>
      <c r="N95" s="104" t="str">
        <f>IF(C95&lt;&gt;"",IF(OR(COUNTIF('盛付札（関数）'!D95,"*赤*"),COUNTIF('盛付札（関数）'!D95,"*キャラ*")),1,
VALUE(VLOOKUP("*"&amp;D95&amp;"*",商品マスタ!D:H,5,FALSE))),"")</f>
        <v/>
      </c>
      <c r="O95" s="104">
        <f t="shared" ca="1" si="56"/>
        <v>0</v>
      </c>
      <c r="P95" s="104">
        <f t="shared" si="33"/>
        <v>0</v>
      </c>
      <c r="Q95" s="104" t="b">
        <f t="shared" si="34"/>
        <v>0</v>
      </c>
      <c r="R95" s="176" t="str">
        <f t="array" aca="1" ref="R95" ca="1">IFERROR(SMALL(IF(P$1:P$311&lt;&gt;0,P$1:P$311),ROW(A95)),"")</f>
        <v/>
      </c>
      <c r="S95" s="176" t="str">
        <f t="array" aca="1" ref="S95" ca="1">IF($R95&lt;&gt;"",
SUBSTITUTE(SUBSTITUTE(INDIRECT("C"&amp;$R95&amp;"")," 週3ｺｰｽ","")," 週5ｺｰｽ",""),"")</f>
        <v/>
      </c>
      <c r="T95" s="176" t="str">
        <f t="array" aca="1" ref="T95" ca="1">IF(IF($R95&lt;&gt;"",
INDIRECT(""&amp;IF(COLUMN(D95)&lt;=26,CHAR(COLUMN(D95)+64),CHAR(INT((COLUMN(D95)-1)/26)+64)&amp;CHAR(MOD(COLUMN(D95)-1,26)+65))&amp;$R95&amp;""),"")=0,"",
IF($R95&lt;&gt;"",
INDIRECT(""&amp;IF(COLUMN(D95)&lt;=26,CHAR(COLUMN(D95)+64),CHAR(INT((COLUMN(D95)-1)/26)+64)&amp;CHAR(MOD(COLUMN(D95)-1,26)+65))&amp;$R95&amp;""),""))</f>
        <v/>
      </c>
      <c r="U95" s="218" t="str">
        <f t="array" aca="1" ref="U95" ca="1">IF($R95&lt;&gt;"",
INDIRECT("F"&amp;$R95&amp;""),"")</f>
        <v/>
      </c>
      <c r="V95" s="219" t="str">
        <f t="array" aca="1" ref="V95" ca="1">IF($R95&lt;&gt;"",
INDIRECT("G"&amp;$R95&amp;""),"")</f>
        <v/>
      </c>
      <c r="W95" s="219" t="str" cm="1">
        <f t="array" aca="1" ref="W95" ca="1">IF($R95&lt;&gt;"",
IF(AND(COUNTIF(INDIRECT("B"&amp;R95&amp;""),"*雙葉*"),COUNTIF($B$71:$B$210,"*雙葉*")&gt;=1),
IF(OR(COUNTIF(INDIRECT("B"&amp;R95&amp;""),"*雙葉先生*"),COUNTIF(INDIRECT("B"&amp;R95-1&amp;""),"*雙葉*")),INDIRECT("H"&amp;R95&amp;""),INDIRECT("H"&amp;R95&amp;"")+INDIRECT("H"&amp;MATCH("雙葉'",INDIRECT("B"&amp;R95+3&amp;":B210"),0)+2+R95&amp;"")),
IF(AND(LEFT(INDIRECT("B"&amp;R95&amp;""),2)="博多",COUNTIF(B:B,"*博多*")&gt;=2),
INDIRECT("H"&amp;R95&amp;"")+IFERROR(INDIRECT("H"&amp;MATCH("*"&amp;INDIRECT("B"&amp;R95&amp;"")&amp;"*",INDIRECT("B"&amp;R95+1&amp;":B210"),0)+R95&amp;""),0),
IF(AND(LEFT(INDIRECT("B"&amp;R95&amp;""),3)="奈良屋",COUNTIF(B:B,"*奈良屋*")&gt;=2),
INDIRECT("H"&amp;R95&amp;"")
+INDIRECT("H"&amp;MATCH("*"&amp;INDIRECT("B"&amp;R95&amp;"")&amp;"*",INDIRECT("B"&amp;R95+1&amp;":B210"),0)+R95&amp;"")
+INDIRECT("H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
+INDIRECT("H"&amp;MATCH("*"&amp;INDIRECT("B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&amp;"*",INDIRECT("B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+1&amp;":B210"),0)+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,
INDIRECT("H"&amp;R95&amp;"")))),"")</f>
        <v/>
      </c>
      <c r="X95" s="176" t="str">
        <f t="array" aca="1" ref="X95" ca="1">IF($R95&lt;&gt;"",
INDIRECT(""&amp;IF(COLUMN(I95)&lt;=26,CHAR(COLUMN(I95)+64),CHAR(INT((COLUMN(I95)-1)/26)+64)&amp;CHAR(MOD(COLUMN(I95)-1,26)+65))&amp;$R95&amp;""),"")</f>
        <v/>
      </c>
      <c r="Y95" s="176" t="str">
        <f t="array" aca="1" ref="Y95" ca="1">IF($R95&lt;&gt;"",
INDIRECT(""&amp;IF(COLUMN(J95)&lt;=26,CHAR(COLUMN(J95)+64),CHAR(INT((COLUMN(J95)-1)/26)+64)&amp;CHAR(MOD(COLUMN(J95)-1,26)+65))&amp;$R95&amp;""),"")</f>
        <v/>
      </c>
      <c r="Z95" s="176" t="str">
        <f t="shared" ca="1" si="35"/>
        <v/>
      </c>
      <c r="AA95" s="176" t="str">
        <f t="shared" ca="1" si="36"/>
        <v/>
      </c>
      <c r="AB95" s="176" t="str">
        <f t="array" aca="1" ref="AB95" ca="1">IF($R95&lt;&gt;"",
IF(AND(COUNTIF(INDIRECT("B"&amp;R95&amp;""),"*雙葉*"),COUNTIF(INDIRECT("B"&amp;R95&amp;""),"&lt;&gt;*先生*"),COUNTIF(B:B,"*雙葉*")&gt;=2),
INDIRECT("M"&amp;R95&amp;"")+INDIRECT("M"&amp;MATCH("雙葉'",INDIRECT("B"&amp;R95+1&amp;":B210"),0)+R95&amp;""),
IF(AND(LEFT(INDIRECT("B"&amp;R95&amp;""),2)="博多",COUNTIF(B:B,"*博多*")&gt;=2),
INDIRECT("M"&amp;R95&amp;"")+INDIRECT("M"&amp;MATCH("*"&amp;INDIRECT("B"&amp;R95&amp;"")&amp;"*",INDIRECT("B"&amp;R95+1&amp;":B210"),0)+R95&amp;""),
IF(AND(LEFT(INDIRECT("B"&amp;R95&amp;""),3)="奈良屋",COUNTIF(B:B,"*奈良屋*")&gt;=2),
INDIRECT("M"&amp;R95&amp;"")+INDIRECT("M"&amp;MATCH("*"&amp;INDIRECT("B"&amp;R95&amp;"")&amp;"*",INDIRECT("B"&amp;R95+1&amp;":B210"),0)+R95&amp;"")
+INDIRECT("M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,
INDIRECT("M"&amp;R95&amp;"")))),"")</f>
        <v/>
      </c>
      <c r="AC95" s="176" t="str">
        <f t="shared" ca="1" si="37"/>
        <v/>
      </c>
      <c r="AD95" s="176" t="str">
        <f t="shared" ca="1" si="38"/>
        <v/>
      </c>
      <c r="AE95" s="176" t="str">
        <f t="shared" ca="1" si="39"/>
        <v/>
      </c>
      <c r="AF95" s="176" t="str">
        <f t="shared" ca="1" si="40"/>
        <v/>
      </c>
      <c r="AG95" s="176" t="str">
        <f t="shared" ca="1" si="41"/>
        <v/>
      </c>
      <c r="AH95" s="183" t="str">
        <f t="shared" ca="1" si="42"/>
        <v/>
      </c>
      <c r="AI95" s="176" t="str">
        <f t="shared" ca="1" si="43"/>
        <v/>
      </c>
      <c r="AJ95" s="176" t="str">
        <f t="shared" ca="1" si="44"/>
        <v/>
      </c>
      <c r="AK95" s="176" t="str">
        <f t="shared" ca="1" si="45"/>
        <v/>
      </c>
      <c r="AL95" s="176" t="str">
        <f t="shared" ca="1" si="46"/>
        <v/>
      </c>
      <c r="AM95" s="176" t="str">
        <f t="shared" ca="1" si="47"/>
        <v/>
      </c>
      <c r="AN95" s="176" t="str">
        <f t="shared" ca="1" si="48"/>
        <v/>
      </c>
      <c r="AO95" s="176" t="str">
        <f t="shared" ca="1" si="49"/>
        <v/>
      </c>
      <c r="AP95" s="176" t="str">
        <f t="shared" ca="1" si="50"/>
        <v/>
      </c>
      <c r="AU95" s="176" t="str">
        <f t="shared" ca="1" si="51"/>
        <v/>
      </c>
    </row>
    <row r="96" spans="1:47" ht="22.2" customHeight="1">
      <c r="A96" s="103">
        <f t="shared" si="57"/>
        <v>57</v>
      </c>
      <c r="B96" s="104" t="str">
        <f t="shared" ca="1" si="55"/>
        <v/>
      </c>
      <c r="C96" s="104" t="str">
        <f>IF(OR(クライアント抽出!C26&lt;&gt;"",クライアント抽出!F26&lt;&gt;""),クライアント抽出!A26,"")</f>
        <v/>
      </c>
      <c r="D96" s="104" t="str">
        <f t="array" aca="1" ref="D96" ca="1">IF(C96&lt;&gt;"",INDIRECT("クライアント抽出!"&amp;E96&amp;MATCH(C96,クライアント抽出!A:A,0)&amp;""),"")</f>
        <v/>
      </c>
      <c r="E96" s="104" t="str">
        <f>IF(H96&lt;&gt;0,
IFERROR(
SUBSTITUTE(ADDRESS(1,
MATCH(VALUE(H96),クライアント抽出!A26:G26,0)+8,4),"1",""),
""),
IFERROR(
SUBSTITUTE(ADDRESS(1,
MATCH(VALUE(I96),クライアント抽出!A26:G26,0)+8,4),"1",""),
""))</f>
        <v/>
      </c>
      <c r="F96" s="186" t="str">
        <f ca="1">IF(D96&lt;&gt;"",
IF(COUNTIF(C96,"*雙葉*"),
IF(ROUND((H96-M96)
/IF(COUNTIF(D96,"*キャラ*"),
VLOOKUP("*キャラ*",商品マスタ!$D:$E,2,FALSE),
IF(COUNTIF(D96,"*赤*"),
VLOOKUP("*赤*",商品マスタ!$D:$E,2,FALSE),
VLOOKUP("*"&amp;D96&amp;"*",商品マスタ!$D:$E,2,FALSE))),0)&lt;=0,1,
ROUND((H96-M96)
/IF(COUNTIF(D96,"*キャラ*"),
VLOOKUP("*キャラ*",商品マスタ!$D:$E,2,FALSE),
IF(COUNTIF(D96,"*赤*"),
VLOOKUP("*赤*",商品マスタ!$D:$E,2,FALSE),
VLOOKUP("*"&amp;D96&amp;"*",商品マスタ!$D:$E,2,FALSE))),0)),
IF(OR(COUNTIF(D96,"*キャラ*"),COUNTIF(D96,"*赤*")),"",
IF(VLOOKUP("*"&amp;D96&amp;"*",商品マスタ!$D:$E,2,FALSE)=0,"",
IF(ROUND((H96-M96)
/VLOOKUP("*"&amp;D96&amp;"*",商品マスタ!$D:$E,2,FALSE),0)&lt;=0,1,
ROUND((H96-M96)
/VLOOKUP("*"&amp;D96&amp;"*",商品マスタ!$D:$E,2,FALSE),0))))),"")</f>
        <v/>
      </c>
      <c r="G96" s="104" t="str">
        <f ca="1">IF(F96&lt;&gt;"",
IF(VALUE(H96-M96)&gt;VALUE(IF(COUNTIF(D96,"*キャラ*"),
VLOOKUP("*キャラ*",商品マスタ!$D:$E,2,FALSE),
IF(COUNTIF(D96,"*赤*"),
VLOOKUP("*赤*",商品マスタ!$D:$E,2,FALSE),
VLOOKUP("*"&amp;D96&amp;"*",商品マスタ!$D:$E,2,FALSE)))*F96),
"+"&amp;(H96-M96)-IF(COUNTIF(D96,"*キャラ*"),
VLOOKUP("*キャラ*",商品マスタ!$D:$E,2,FALSE),
IF(COUNTIF(D96,"*赤*"),
VLOOKUP("*赤*",商品マスタ!$D:$E,2,FALSE),
VLOOKUP("*"&amp;D96&amp;"*",商品マスタ!$D:$E,2,FALSE)))*F96,
(H96-M96)-IF(COUNTIF(D96,"*キャラ*"),
VLOOKUP("*キャラ*",商品マスタ!$D:$E,2,FALSE),
IF(COUNTIF(D96,"*赤*"),
VLOOKUP("*赤*",商品マスタ!$D:$E,2,FALSE),
VLOOKUP("*"&amp;D96&amp;"*",商品マスタ!$D:$E,2,FALSE)))*F96),"")</f>
        <v/>
      </c>
      <c r="H96" s="105" t="str">
        <f>IF(C96&lt;&gt;"",
クライアント抽出!C26,"")</f>
        <v/>
      </c>
      <c r="I96" s="104" t="str">
        <f t="array" aca="1" ref="I96" ca="1">IF(C96&lt;&gt;"",
IF(O96=1,
IF(SUMPRODUCT(COUNTIF(クライアント抽出!P26:U26,クライアント抽出!P26:U26))&gt;COUNTA(クライアント抽出!P26:U26),
IFERROR(INDIRECT("数出表_Excel!"&amp;INDEX(_xlfn.UNIQUE(_xlfn._xlws.FILTER(クライアント抽出!P26:U26,COUNTIF(クライアント抽出!P26:U26,クライアント抽出!P26:U26)&gt;1)),1)&amp;L26&amp;""),
クライアント抽出!E26),0),クライアント抽出!F26),"")</f>
        <v/>
      </c>
      <c r="J96" s="104" t="str">
        <f>IF(C96&lt;&gt;"",
VLOOKUP(
"*"&amp;LEFT(IF(COUNTIF(D96,"*学食*"),"キャラ弁（学食）",
IF(COUNTIF(D96,"*赤*"),"赤",
IF(COUNTIF(D96,"*キャラ弁当*"),"キャラ弁当",D96))),4)&amp;"*",注文弁当の抽出!$F$1:$G$15,2,FALSE),"")</f>
        <v/>
      </c>
      <c r="K96" s="104" t="str">
        <f ca="1">IF(クライアント抽出!Q26&lt;&gt;"",SUBSTITUTE(ADDRESS(1,(CODE(クライアント抽出!Q26)-64)*2-1,4),"1",""),"")</f>
        <v/>
      </c>
      <c r="L96" s="104" t="str">
        <f>IF(C26&lt;&gt;"",クライアント抽出!I26,"")</f>
        <v/>
      </c>
      <c r="M96" s="104">
        <f t="array" aca="1" ref="M96" ca="1">IF(C96&lt;&gt;"",
IF(K96&lt;&gt;"",INDIRECT("'数出表_Excel（アレルギー入力）'!"&amp;K96&amp;L96-1&amp;""),),)</f>
        <v>0</v>
      </c>
      <c r="N96" s="104" t="str">
        <f>IF(C96&lt;&gt;"",IF(OR(COUNTIF('盛付札（関数）'!D96,"*赤*"),COUNTIF('盛付札（関数）'!D96,"*キャラ*")),1,
VALUE(VLOOKUP("*"&amp;D96&amp;"*",商品マスタ!D:H,5,FALSE))),"")</f>
        <v/>
      </c>
      <c r="O96" s="104">
        <f t="shared" ca="1" si="56"/>
        <v>0</v>
      </c>
      <c r="P96" s="104">
        <f t="shared" si="33"/>
        <v>0</v>
      </c>
      <c r="Q96" s="104" t="b">
        <f t="shared" si="34"/>
        <v>0</v>
      </c>
      <c r="R96" s="176" t="str">
        <f t="array" aca="1" ref="R96" ca="1">IFERROR(SMALL(IF(P$1:P$311&lt;&gt;0,P$1:P$311),ROW(A96)),"")</f>
        <v/>
      </c>
      <c r="S96" s="176" t="str">
        <f t="array" aca="1" ref="S96" ca="1">IF($R96&lt;&gt;"",
SUBSTITUTE(SUBSTITUTE(INDIRECT("C"&amp;$R96&amp;"")," 週3ｺｰｽ","")," 週5ｺｰｽ",""),"")</f>
        <v/>
      </c>
      <c r="T96" s="176" t="str">
        <f t="array" aca="1" ref="T96" ca="1">IF(IF($R96&lt;&gt;"",
INDIRECT(""&amp;IF(COLUMN(D96)&lt;=26,CHAR(COLUMN(D96)+64),CHAR(INT((COLUMN(D96)-1)/26)+64)&amp;CHAR(MOD(COLUMN(D96)-1,26)+65))&amp;$R96&amp;""),"")=0,"",
IF($R96&lt;&gt;"",
INDIRECT(""&amp;IF(COLUMN(D96)&lt;=26,CHAR(COLUMN(D96)+64),CHAR(INT((COLUMN(D96)-1)/26)+64)&amp;CHAR(MOD(COLUMN(D96)-1,26)+65))&amp;$R96&amp;""),""))</f>
        <v/>
      </c>
      <c r="U96" s="218" t="str">
        <f t="array" aca="1" ref="U96" ca="1">IF($R96&lt;&gt;"",
INDIRECT("F"&amp;$R96&amp;""),"")</f>
        <v/>
      </c>
      <c r="V96" s="219" t="str">
        <f t="array" aca="1" ref="V96" ca="1">IF($R96&lt;&gt;"",
INDIRECT("G"&amp;$R96&amp;""),"")</f>
        <v/>
      </c>
      <c r="W96" s="219" t="str" cm="1">
        <f t="array" aca="1" ref="W96" ca="1">IF($R96&lt;&gt;"",
IF(AND(COUNTIF(INDIRECT("B"&amp;R96&amp;""),"*雙葉*"),COUNTIF($B$71:$B$210,"*雙葉*")&gt;=1),
IF(OR(COUNTIF(INDIRECT("B"&amp;R96&amp;""),"*雙葉先生*"),COUNTIF(INDIRECT("B"&amp;R96-1&amp;""),"*雙葉*")),INDIRECT("H"&amp;R96&amp;""),INDIRECT("H"&amp;R96&amp;"")+INDIRECT("H"&amp;MATCH("雙葉'",INDIRECT("B"&amp;R96+3&amp;":B210"),0)+2+R96&amp;"")),
IF(AND(LEFT(INDIRECT("B"&amp;R96&amp;""),2)="博多",COUNTIF(B:B,"*博多*")&gt;=2),
INDIRECT("H"&amp;R96&amp;"")+IFERROR(INDIRECT("H"&amp;MATCH("*"&amp;INDIRECT("B"&amp;R96&amp;"")&amp;"*",INDIRECT("B"&amp;R96+1&amp;":B210"),0)+R96&amp;""),0),
IF(AND(LEFT(INDIRECT("B"&amp;R96&amp;""),3)="奈良屋",COUNTIF(B:B,"*奈良屋*")&gt;=2),
INDIRECT("H"&amp;R96&amp;"")
+INDIRECT("H"&amp;MATCH("*"&amp;INDIRECT("B"&amp;R96&amp;"")&amp;"*",INDIRECT("B"&amp;R96+1&amp;":B210"),0)+R96&amp;"")
+INDIRECT("H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
+INDIRECT("H"&amp;MATCH("*"&amp;INDIRECT("B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&amp;"*",INDIRECT("B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+1&amp;":B210"),0)+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,
INDIRECT("H"&amp;R96&amp;"")))),"")</f>
        <v/>
      </c>
      <c r="X96" s="176" t="str">
        <f t="array" aca="1" ref="X96" ca="1">IF($R96&lt;&gt;"",
INDIRECT(""&amp;IF(COLUMN(I96)&lt;=26,CHAR(COLUMN(I96)+64),CHAR(INT((COLUMN(I96)-1)/26)+64)&amp;CHAR(MOD(COLUMN(I96)-1,26)+65))&amp;$R96&amp;""),"")</f>
        <v/>
      </c>
      <c r="Y96" s="176" t="str">
        <f t="array" aca="1" ref="Y96" ca="1">IF($R96&lt;&gt;"",
INDIRECT(""&amp;IF(COLUMN(J96)&lt;=26,CHAR(COLUMN(J96)+64),CHAR(INT((COLUMN(J96)-1)/26)+64)&amp;CHAR(MOD(COLUMN(J96)-1,26)+65))&amp;$R96&amp;""),"")</f>
        <v/>
      </c>
      <c r="Z96" s="176" t="str">
        <f t="shared" ca="1" si="35"/>
        <v/>
      </c>
      <c r="AA96" s="176" t="str">
        <f t="shared" ca="1" si="36"/>
        <v/>
      </c>
      <c r="AB96" s="176" t="str">
        <f t="array" aca="1" ref="AB96" ca="1">IF($R96&lt;&gt;"",
IF(AND(COUNTIF(INDIRECT("B"&amp;R96&amp;""),"*雙葉*"),COUNTIF(INDIRECT("B"&amp;R96&amp;""),"&lt;&gt;*先生*"),COUNTIF(B:B,"*雙葉*")&gt;=2),
INDIRECT("M"&amp;R96&amp;"")+INDIRECT("M"&amp;MATCH("雙葉'",INDIRECT("B"&amp;R96+1&amp;":B210"),0)+R96&amp;""),
IF(AND(LEFT(INDIRECT("B"&amp;R96&amp;""),2)="博多",COUNTIF(B:B,"*博多*")&gt;=2),
INDIRECT("M"&amp;R96&amp;"")+INDIRECT("M"&amp;MATCH("*"&amp;INDIRECT("B"&amp;R96&amp;"")&amp;"*",INDIRECT("B"&amp;R96+1&amp;":B210"),0)+R96&amp;""),
IF(AND(LEFT(INDIRECT("B"&amp;R96&amp;""),3)="奈良屋",COUNTIF(B:B,"*奈良屋*")&gt;=2),
INDIRECT("M"&amp;R96&amp;"")+INDIRECT("M"&amp;MATCH("*"&amp;INDIRECT("B"&amp;R96&amp;"")&amp;"*",INDIRECT("B"&amp;R96+1&amp;":B210"),0)+R96&amp;"")
+INDIRECT("M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,
INDIRECT("M"&amp;R96&amp;"")))),"")</f>
        <v/>
      </c>
      <c r="AC96" s="176" t="str">
        <f t="shared" ca="1" si="37"/>
        <v/>
      </c>
      <c r="AD96" s="176" t="str">
        <f t="shared" ca="1" si="38"/>
        <v/>
      </c>
      <c r="AE96" s="176" t="str">
        <f t="shared" ca="1" si="39"/>
        <v/>
      </c>
      <c r="AF96" s="176" t="str">
        <f t="shared" ca="1" si="40"/>
        <v/>
      </c>
      <c r="AG96" s="176" t="str">
        <f t="shared" ca="1" si="41"/>
        <v/>
      </c>
      <c r="AH96" s="183" t="str">
        <f t="shared" ca="1" si="42"/>
        <v/>
      </c>
      <c r="AI96" s="176" t="str">
        <f t="shared" ca="1" si="43"/>
        <v/>
      </c>
      <c r="AJ96" s="176" t="str">
        <f t="shared" ca="1" si="44"/>
        <v/>
      </c>
      <c r="AK96" s="176" t="str">
        <f t="shared" ca="1" si="45"/>
        <v/>
      </c>
      <c r="AL96" s="176" t="str">
        <f t="shared" ca="1" si="46"/>
        <v/>
      </c>
      <c r="AM96" s="176" t="str">
        <f t="shared" ca="1" si="47"/>
        <v/>
      </c>
      <c r="AN96" s="176" t="str">
        <f t="shared" ca="1" si="48"/>
        <v/>
      </c>
      <c r="AO96" s="176" t="str">
        <f t="shared" ca="1" si="49"/>
        <v/>
      </c>
      <c r="AP96" s="176" t="str">
        <f t="shared" ca="1" si="50"/>
        <v/>
      </c>
      <c r="AU96" s="176" t="str">
        <f t="shared" ca="1" si="51"/>
        <v/>
      </c>
    </row>
    <row r="97" spans="1:47" ht="22.2" customHeight="1">
      <c r="A97" s="103">
        <f t="shared" si="57"/>
        <v>59</v>
      </c>
      <c r="B97" s="104" t="str">
        <f t="shared" ca="1" si="55"/>
        <v/>
      </c>
      <c r="C97" s="104" t="str">
        <f>IF(OR(クライアント抽出!C27&lt;&gt;"",クライアント抽出!F27&lt;&gt;""),クライアント抽出!A27,"")</f>
        <v/>
      </c>
      <c r="D97" s="104" t="str">
        <f t="array" aca="1" ref="D97" ca="1">IF(C97&lt;&gt;"",INDIRECT("クライアント抽出!"&amp;E97&amp;MATCH(C97,クライアント抽出!A:A,0)&amp;""),"")</f>
        <v/>
      </c>
      <c r="E97" s="104" t="str">
        <f>IF(H97&lt;&gt;0,
IFERROR(
SUBSTITUTE(ADDRESS(1,
MATCH(VALUE(H97),クライアント抽出!A27:G27,0)+8,4),"1",""),
""),
IFERROR(
SUBSTITUTE(ADDRESS(1,
MATCH(VALUE(I97),クライアント抽出!A27:G27,0)+8,4),"1",""),
""))</f>
        <v/>
      </c>
      <c r="F97" s="186" t="str">
        <f ca="1">IF(D97&lt;&gt;"",
IF(COUNTIF(C97,"*雙葉*"),
IF(ROUND((H97-M97)
/IF(COUNTIF(D97,"*キャラ*"),
VLOOKUP("*キャラ*",商品マスタ!$D:$E,2,FALSE),
IF(COUNTIF(D97,"*赤*"),
VLOOKUP("*赤*",商品マスタ!$D:$E,2,FALSE),
VLOOKUP("*"&amp;D97&amp;"*",商品マスタ!$D:$E,2,FALSE))),0)&lt;=0,1,
ROUND((H97-M97)
/IF(COUNTIF(D97,"*キャラ*"),
VLOOKUP("*キャラ*",商品マスタ!$D:$E,2,FALSE),
IF(COUNTIF(D97,"*赤*"),
VLOOKUP("*赤*",商品マスタ!$D:$E,2,FALSE),
VLOOKUP("*"&amp;D97&amp;"*",商品マスタ!$D:$E,2,FALSE))),0)),
IF(OR(COUNTIF(D97,"*キャラ*"),COUNTIF(D97,"*赤*")),"",
IF(VLOOKUP("*"&amp;D97&amp;"*",商品マスタ!$D:$E,2,FALSE)=0,"",
IF(ROUND((H97-M97)
/VLOOKUP("*"&amp;D97&amp;"*",商品マスタ!$D:$E,2,FALSE),0)&lt;=0,1,
ROUND((H97-M97)
/VLOOKUP("*"&amp;D97&amp;"*",商品マスタ!$D:$E,2,FALSE),0))))),"")</f>
        <v/>
      </c>
      <c r="G97" s="104" t="str">
        <f ca="1">IF(F97&lt;&gt;"",
IF(VALUE(H97-M97)&gt;VALUE(IF(COUNTIF(D97,"*キャラ*"),
VLOOKUP("*キャラ*",商品マスタ!$D:$E,2,FALSE),
IF(COUNTIF(D97,"*赤*"),
VLOOKUP("*赤*",商品マスタ!$D:$E,2,FALSE),
VLOOKUP("*"&amp;D97&amp;"*",商品マスタ!$D:$E,2,FALSE)))*F97),
"+"&amp;(H97-M97)-IF(COUNTIF(D97,"*キャラ*"),
VLOOKUP("*キャラ*",商品マスタ!$D:$E,2,FALSE),
IF(COUNTIF(D97,"*赤*"),
VLOOKUP("*赤*",商品マスタ!$D:$E,2,FALSE),
VLOOKUP("*"&amp;D97&amp;"*",商品マスタ!$D:$E,2,FALSE)))*F97,
(H97-M97)-IF(COUNTIF(D97,"*キャラ*"),
VLOOKUP("*キャラ*",商品マスタ!$D:$E,2,FALSE),
IF(COUNTIF(D97,"*赤*"),
VLOOKUP("*赤*",商品マスタ!$D:$E,2,FALSE),
VLOOKUP("*"&amp;D97&amp;"*",商品マスタ!$D:$E,2,FALSE)))*F97),"")</f>
        <v/>
      </c>
      <c r="H97" s="105" t="str">
        <f>IF(C97&lt;&gt;"",
クライアント抽出!C27,"")</f>
        <v/>
      </c>
      <c r="I97" s="104" t="str">
        <f t="array" aca="1" ref="I97" ca="1">IF(C97&lt;&gt;"",
IF(O97=1,
IF(SUMPRODUCT(COUNTIF(クライアント抽出!P27:U27,クライアント抽出!P27:U27))&gt;COUNTA(クライアント抽出!P27:U27),
IFERROR(INDIRECT("数出表_Excel!"&amp;INDEX(_xlfn.UNIQUE(_xlfn._xlws.FILTER(クライアント抽出!P27:U27,COUNTIF(クライアント抽出!P27:U27,クライアント抽出!P27:U27)&gt;1)),1)&amp;L27&amp;""),
クライアント抽出!E27),0),クライアント抽出!F27),"")</f>
        <v/>
      </c>
      <c r="J97" s="104" t="str">
        <f>IF(C97&lt;&gt;"",
VLOOKUP(
"*"&amp;LEFT(IF(COUNTIF(D97,"*学食*"),"キャラ弁（学食）",
IF(COUNTIF(D97,"*赤*"),"赤",
IF(COUNTIF(D97,"*キャラ弁当*"),"キャラ弁当",D97))),4)&amp;"*",注文弁当の抽出!$F$1:$G$15,2,FALSE),"")</f>
        <v/>
      </c>
      <c r="K97" s="104" t="str">
        <f ca="1">IF(クライアント抽出!Q27&lt;&gt;"",SUBSTITUTE(ADDRESS(1,(CODE(クライアント抽出!Q27)-64)*2-1,4),"1",""),"")</f>
        <v/>
      </c>
      <c r="L97" s="104" t="str">
        <f>IF(C27&lt;&gt;"",クライアント抽出!I27,"")</f>
        <v/>
      </c>
      <c r="M97" s="104">
        <f t="array" aca="1" ref="M97" ca="1">IF(C97&lt;&gt;"",
IF(K97&lt;&gt;"",INDIRECT("'数出表_Excel（アレルギー入力）'!"&amp;K97&amp;L97-1&amp;""),),)</f>
        <v>0</v>
      </c>
      <c r="N97" s="104" t="str">
        <f>IF(C97&lt;&gt;"",IF(OR(COUNTIF('盛付札（関数）'!D97,"*赤*"),COUNTIF('盛付札（関数）'!D97,"*キャラ*")),1,
VALUE(VLOOKUP("*"&amp;D97&amp;"*",商品マスタ!D:H,5,FALSE))),"")</f>
        <v/>
      </c>
      <c r="O97" s="104">
        <f t="shared" ca="1" si="56"/>
        <v>0</v>
      </c>
      <c r="P97" s="104">
        <f t="shared" si="33"/>
        <v>0</v>
      </c>
      <c r="Q97" s="104" t="b">
        <f t="shared" si="34"/>
        <v>0</v>
      </c>
      <c r="R97" s="176" t="str">
        <f t="array" aca="1" ref="R97" ca="1">IFERROR(SMALL(IF(P$1:P$311&lt;&gt;0,P$1:P$311),ROW(A97)),"")</f>
        <v/>
      </c>
      <c r="S97" s="176" t="str">
        <f t="array" aca="1" ref="S97" ca="1">IF($R97&lt;&gt;"",
SUBSTITUTE(SUBSTITUTE(INDIRECT("C"&amp;$R97&amp;"")," 週3ｺｰｽ","")," 週5ｺｰｽ",""),"")</f>
        <v/>
      </c>
      <c r="T97" s="176" t="str">
        <f t="array" aca="1" ref="T97" ca="1">IF(IF($R97&lt;&gt;"",
INDIRECT(""&amp;IF(COLUMN(D97)&lt;=26,CHAR(COLUMN(D97)+64),CHAR(INT((COLUMN(D97)-1)/26)+64)&amp;CHAR(MOD(COLUMN(D97)-1,26)+65))&amp;$R97&amp;""),"")=0,"",
IF($R97&lt;&gt;"",
INDIRECT(""&amp;IF(COLUMN(D97)&lt;=26,CHAR(COLUMN(D97)+64),CHAR(INT((COLUMN(D97)-1)/26)+64)&amp;CHAR(MOD(COLUMN(D97)-1,26)+65))&amp;$R97&amp;""),""))</f>
        <v/>
      </c>
      <c r="U97" s="218" t="str">
        <f t="array" aca="1" ref="U97" ca="1">IF($R97&lt;&gt;"",
INDIRECT("F"&amp;$R97&amp;""),"")</f>
        <v/>
      </c>
      <c r="V97" s="219" t="str">
        <f t="array" aca="1" ref="V97" ca="1">IF($R97&lt;&gt;"",
INDIRECT("G"&amp;$R97&amp;""),"")</f>
        <v/>
      </c>
      <c r="W97" s="219" t="str" cm="1">
        <f t="array" aca="1" ref="W97" ca="1">IF($R97&lt;&gt;"",
IF(AND(COUNTIF(INDIRECT("B"&amp;R97&amp;""),"*雙葉*"),COUNTIF($B$71:$B$210,"*雙葉*")&gt;=1),
IF(OR(COUNTIF(INDIRECT("B"&amp;R97&amp;""),"*雙葉先生*"),COUNTIF(INDIRECT("B"&amp;R97-1&amp;""),"*雙葉*")),INDIRECT("H"&amp;R97&amp;""),INDIRECT("H"&amp;R97&amp;"")+INDIRECT("H"&amp;MATCH("雙葉'",INDIRECT("B"&amp;R97+3&amp;":B210"),0)+2+R97&amp;"")),
IF(AND(LEFT(INDIRECT("B"&amp;R97&amp;""),2)="博多",COUNTIF(B:B,"*博多*")&gt;=2),
INDIRECT("H"&amp;R97&amp;"")+IFERROR(INDIRECT("H"&amp;MATCH("*"&amp;INDIRECT("B"&amp;R97&amp;"")&amp;"*",INDIRECT("B"&amp;R97+1&amp;":B210"),0)+R97&amp;""),0),
IF(AND(LEFT(INDIRECT("B"&amp;R97&amp;""),3)="奈良屋",COUNTIF(B:B,"*奈良屋*")&gt;=2),
INDIRECT("H"&amp;R97&amp;"")
+INDIRECT("H"&amp;MATCH("*"&amp;INDIRECT("B"&amp;R97&amp;"")&amp;"*",INDIRECT("B"&amp;R97+1&amp;":B210"),0)+R97&amp;"")
+INDIRECT("H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
+INDIRECT("H"&amp;MATCH("*"&amp;INDIRECT("B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&amp;"*",INDIRECT("B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+1&amp;":B210"),0)+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,
INDIRECT("H"&amp;R97&amp;"")))),"")</f>
        <v/>
      </c>
      <c r="X97" s="176" t="str">
        <f t="array" aca="1" ref="X97" ca="1">IF($R97&lt;&gt;"",
INDIRECT(""&amp;IF(COLUMN(I97)&lt;=26,CHAR(COLUMN(I97)+64),CHAR(INT((COLUMN(I97)-1)/26)+64)&amp;CHAR(MOD(COLUMN(I97)-1,26)+65))&amp;$R97&amp;""),"")</f>
        <v/>
      </c>
      <c r="Y97" s="176" t="str">
        <f t="array" aca="1" ref="Y97" ca="1">IF($R97&lt;&gt;"",
INDIRECT(""&amp;IF(COLUMN(J97)&lt;=26,CHAR(COLUMN(J97)+64),CHAR(INT((COLUMN(J97)-1)/26)+64)&amp;CHAR(MOD(COLUMN(J97)-1,26)+65))&amp;$R97&amp;""),"")</f>
        <v/>
      </c>
      <c r="Z97" s="176" t="str">
        <f t="shared" ca="1" si="35"/>
        <v/>
      </c>
      <c r="AA97" s="176" t="str">
        <f t="shared" ca="1" si="36"/>
        <v/>
      </c>
      <c r="AB97" s="176" t="str">
        <f t="array" aca="1" ref="AB97" ca="1">IF($R97&lt;&gt;"",
IF(AND(COUNTIF(INDIRECT("B"&amp;R97&amp;""),"*雙葉*"),COUNTIF(INDIRECT("B"&amp;R97&amp;""),"&lt;&gt;*先生*"),COUNTIF(B:B,"*雙葉*")&gt;=2),
INDIRECT("M"&amp;R97&amp;"")+INDIRECT("M"&amp;MATCH("雙葉'",INDIRECT("B"&amp;R97+1&amp;":B210"),0)+R97&amp;""),
IF(AND(LEFT(INDIRECT("B"&amp;R97&amp;""),2)="博多",COUNTIF(B:B,"*博多*")&gt;=2),
INDIRECT("M"&amp;R97&amp;"")+INDIRECT("M"&amp;MATCH("*"&amp;INDIRECT("B"&amp;R97&amp;"")&amp;"*",INDIRECT("B"&amp;R97+1&amp;":B210"),0)+R97&amp;""),
IF(AND(LEFT(INDIRECT("B"&amp;R97&amp;""),3)="奈良屋",COUNTIF(B:B,"*奈良屋*")&gt;=2),
INDIRECT("M"&amp;R97&amp;"")+INDIRECT("M"&amp;MATCH("*"&amp;INDIRECT("B"&amp;R97&amp;"")&amp;"*",INDIRECT("B"&amp;R97+1&amp;":B210"),0)+R97&amp;"")
+INDIRECT("M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,
INDIRECT("M"&amp;R97&amp;"")))),"")</f>
        <v/>
      </c>
      <c r="AC97" s="176" t="str">
        <f t="shared" ca="1" si="37"/>
        <v/>
      </c>
      <c r="AD97" s="176" t="str">
        <f t="shared" ca="1" si="38"/>
        <v/>
      </c>
      <c r="AE97" s="176" t="str">
        <f t="shared" ca="1" si="39"/>
        <v/>
      </c>
      <c r="AF97" s="176" t="str">
        <f t="shared" ca="1" si="40"/>
        <v/>
      </c>
      <c r="AG97" s="176" t="str">
        <f t="shared" ca="1" si="41"/>
        <v/>
      </c>
      <c r="AH97" s="183" t="str">
        <f t="shared" ca="1" si="42"/>
        <v/>
      </c>
      <c r="AI97" s="176" t="str">
        <f t="shared" ca="1" si="43"/>
        <v/>
      </c>
      <c r="AJ97" s="176" t="str">
        <f t="shared" ca="1" si="44"/>
        <v/>
      </c>
      <c r="AK97" s="176" t="str">
        <f t="shared" ca="1" si="45"/>
        <v/>
      </c>
      <c r="AL97" s="176" t="str">
        <f t="shared" ca="1" si="46"/>
        <v/>
      </c>
      <c r="AM97" s="176" t="str">
        <f t="shared" ca="1" si="47"/>
        <v/>
      </c>
      <c r="AN97" s="176" t="str">
        <f t="shared" ca="1" si="48"/>
        <v/>
      </c>
      <c r="AO97" s="176" t="str">
        <f t="shared" ca="1" si="49"/>
        <v/>
      </c>
      <c r="AP97" s="176" t="str">
        <f t="shared" ca="1" si="50"/>
        <v/>
      </c>
      <c r="AU97" s="176" t="str">
        <f t="shared" ca="1" si="51"/>
        <v/>
      </c>
    </row>
    <row r="98" spans="1:47" ht="22.2" customHeight="1">
      <c r="A98" s="103">
        <f t="shared" si="57"/>
        <v>61</v>
      </c>
      <c r="B98" s="104" t="str">
        <f t="shared" ca="1" si="55"/>
        <v/>
      </c>
      <c r="C98" s="104" t="str">
        <f>IF(OR(クライアント抽出!C28&lt;&gt;"",クライアント抽出!F28&lt;&gt;""),クライアント抽出!A28,"")</f>
        <v/>
      </c>
      <c r="D98" s="104" t="str">
        <f t="array" aca="1" ref="D98" ca="1">IF(C98&lt;&gt;"",INDIRECT("クライアント抽出!"&amp;E98&amp;MATCH(C98,クライアント抽出!A:A,0)&amp;""),"")</f>
        <v/>
      </c>
      <c r="E98" s="104" t="str">
        <f>IF(H98&lt;&gt;0,
IFERROR(
SUBSTITUTE(ADDRESS(1,
MATCH(VALUE(H98),クライアント抽出!A28:G28,0)+8,4),"1",""),
""),
IFERROR(
SUBSTITUTE(ADDRESS(1,
MATCH(VALUE(I98),クライアント抽出!A28:G28,0)+8,4),"1",""),
""))</f>
        <v/>
      </c>
      <c r="F98" s="186" t="str">
        <f ca="1">IF(D98&lt;&gt;"",
IF(COUNTIF(C98,"*雙葉*"),
IF(ROUND((H98-M98)
/IF(COUNTIF(D98,"*キャラ*"),
VLOOKUP("*キャラ*",商品マスタ!$D:$E,2,FALSE),
IF(COUNTIF(D98,"*赤*"),
VLOOKUP("*赤*",商品マスタ!$D:$E,2,FALSE),
VLOOKUP("*"&amp;D98&amp;"*",商品マスタ!$D:$E,2,FALSE))),0)&lt;=0,1,
ROUND((H98-M98)
/IF(COUNTIF(D98,"*キャラ*"),
VLOOKUP("*キャラ*",商品マスタ!$D:$E,2,FALSE),
IF(COUNTIF(D98,"*赤*"),
VLOOKUP("*赤*",商品マスタ!$D:$E,2,FALSE),
VLOOKUP("*"&amp;D98&amp;"*",商品マスタ!$D:$E,2,FALSE))),0)),
IF(OR(COUNTIF(D98,"*キャラ*"),COUNTIF(D98,"*赤*")),"",
IF(VLOOKUP("*"&amp;D98&amp;"*",商品マスタ!$D:$E,2,FALSE)=0,"",
IF(ROUND((H98-M98)
/VLOOKUP("*"&amp;D98&amp;"*",商品マスタ!$D:$E,2,FALSE),0)&lt;=0,1,
ROUND((H98-M98)
/VLOOKUP("*"&amp;D98&amp;"*",商品マスタ!$D:$E,2,FALSE),0))))),"")</f>
        <v/>
      </c>
      <c r="G98" s="104" t="str">
        <f ca="1">IF(F98&lt;&gt;"",
IF(VALUE(H98-M98)&gt;VALUE(IF(COUNTIF(D98,"*キャラ*"),
VLOOKUP("*キャラ*",商品マスタ!$D:$E,2,FALSE),
IF(COUNTIF(D98,"*赤*"),
VLOOKUP("*赤*",商品マスタ!$D:$E,2,FALSE),
VLOOKUP("*"&amp;D98&amp;"*",商品マスタ!$D:$E,2,FALSE)))*F98),
"+"&amp;(H98-M98)-IF(COUNTIF(D98,"*キャラ*"),
VLOOKUP("*キャラ*",商品マスタ!$D:$E,2,FALSE),
IF(COUNTIF(D98,"*赤*"),
VLOOKUP("*赤*",商品マスタ!$D:$E,2,FALSE),
VLOOKUP("*"&amp;D98&amp;"*",商品マスタ!$D:$E,2,FALSE)))*F98,
(H98-M98)-IF(COUNTIF(D98,"*キャラ*"),
VLOOKUP("*キャラ*",商品マスタ!$D:$E,2,FALSE),
IF(COUNTIF(D98,"*赤*"),
VLOOKUP("*赤*",商品マスタ!$D:$E,2,FALSE),
VLOOKUP("*"&amp;D98&amp;"*",商品マスタ!$D:$E,2,FALSE)))*F98),"")</f>
        <v/>
      </c>
      <c r="H98" s="105" t="str">
        <f>IF(C98&lt;&gt;"",
クライアント抽出!C28,"")</f>
        <v/>
      </c>
      <c r="I98" s="104" t="str">
        <f t="array" aca="1" ref="I98" ca="1">IF(C98&lt;&gt;"",
IF(O98=1,
IF(SUMPRODUCT(COUNTIF(クライアント抽出!P28:U28,クライアント抽出!P28:U28))&gt;COUNTA(クライアント抽出!P28:U28),
IFERROR(INDIRECT("数出表_Excel!"&amp;INDEX(_xlfn.UNIQUE(_xlfn._xlws.FILTER(クライアント抽出!P28:U28,COUNTIF(クライアント抽出!P28:U28,クライアント抽出!P28:U28)&gt;1)),1)&amp;L28&amp;""),
クライアント抽出!E28),0),クライアント抽出!F28),"")</f>
        <v/>
      </c>
      <c r="J98" s="104" t="str">
        <f>IF(C98&lt;&gt;"",
VLOOKUP(
"*"&amp;LEFT(IF(COUNTIF(D98,"*学食*"),"キャラ弁（学食）",
IF(COUNTIF(D98,"*赤*"),"赤",
IF(COUNTIF(D98,"*キャラ弁当*"),"キャラ弁当",D98))),4)&amp;"*",注文弁当の抽出!$F$1:$G$15,2,FALSE),"")</f>
        <v/>
      </c>
      <c r="K98" s="104" t="str">
        <f ca="1">IF(クライアント抽出!Q28&lt;&gt;"",SUBSTITUTE(ADDRESS(1,(CODE(クライアント抽出!Q28)-64)*2-1,4),"1",""),"")</f>
        <v/>
      </c>
      <c r="L98" s="104" t="str">
        <f>IF(C28&lt;&gt;"",クライアント抽出!I28,"")</f>
        <v/>
      </c>
      <c r="M98" s="104">
        <f t="array" aca="1" ref="M98" ca="1">IF(C98&lt;&gt;"",
IF(K98&lt;&gt;"",INDIRECT("'数出表_Excel（アレルギー入力）'!"&amp;K98&amp;L98-1&amp;""),),)</f>
        <v>0</v>
      </c>
      <c r="N98" s="104" t="str">
        <f>IF(C98&lt;&gt;"",IF(OR(COUNTIF('盛付札（関数）'!D98,"*赤*"),COUNTIF('盛付札（関数）'!D98,"*キャラ*")),1,
VALUE(VLOOKUP("*"&amp;D98&amp;"*",商品マスタ!D:H,5,FALSE))),"")</f>
        <v/>
      </c>
      <c r="O98" s="104">
        <f t="shared" ca="1" si="56"/>
        <v>0</v>
      </c>
      <c r="P98" s="104">
        <f t="shared" si="33"/>
        <v>0</v>
      </c>
      <c r="Q98" s="104" t="b">
        <f t="shared" si="34"/>
        <v>0</v>
      </c>
      <c r="R98" s="176" t="str">
        <f t="array" aca="1" ref="R98" ca="1">IFERROR(SMALL(IF(P$1:P$311&lt;&gt;0,P$1:P$311),ROW(A98)),"")</f>
        <v/>
      </c>
      <c r="S98" s="176" t="str">
        <f t="array" aca="1" ref="S98" ca="1">IF($R98&lt;&gt;"",
SUBSTITUTE(SUBSTITUTE(INDIRECT("C"&amp;$R98&amp;"")," 週3ｺｰｽ","")," 週5ｺｰｽ",""),"")</f>
        <v/>
      </c>
      <c r="T98" s="176" t="str">
        <f t="array" aca="1" ref="T98" ca="1">IF(IF($R98&lt;&gt;"",
INDIRECT(""&amp;IF(COLUMN(D98)&lt;=26,CHAR(COLUMN(D98)+64),CHAR(INT((COLUMN(D98)-1)/26)+64)&amp;CHAR(MOD(COLUMN(D98)-1,26)+65))&amp;$R98&amp;""),"")=0,"",
IF($R98&lt;&gt;"",
INDIRECT(""&amp;IF(COLUMN(D98)&lt;=26,CHAR(COLUMN(D98)+64),CHAR(INT((COLUMN(D98)-1)/26)+64)&amp;CHAR(MOD(COLUMN(D98)-1,26)+65))&amp;$R98&amp;""),""))</f>
        <v/>
      </c>
      <c r="U98" s="218" t="str">
        <f t="array" aca="1" ref="U98" ca="1">IF($R98&lt;&gt;"",
INDIRECT("F"&amp;$R98&amp;""),"")</f>
        <v/>
      </c>
      <c r="V98" s="219" t="str">
        <f t="array" aca="1" ref="V98" ca="1">IF($R98&lt;&gt;"",
INDIRECT("G"&amp;$R98&amp;""),"")</f>
        <v/>
      </c>
      <c r="W98" s="219" t="str" cm="1">
        <f t="array" aca="1" ref="W98" ca="1">IF($R98&lt;&gt;"",
IF(AND(COUNTIF(INDIRECT("B"&amp;R98&amp;""),"*雙葉*"),COUNTIF($B$71:$B$210,"*雙葉*")&gt;=1),
IF(OR(COUNTIF(INDIRECT("B"&amp;R98&amp;""),"*雙葉先生*"),COUNTIF(INDIRECT("B"&amp;R98-1&amp;""),"*雙葉*")),INDIRECT("H"&amp;R98&amp;""),INDIRECT("H"&amp;R98&amp;"")+INDIRECT("H"&amp;MATCH("雙葉'",INDIRECT("B"&amp;R98+3&amp;":B210"),0)+2+R98&amp;"")),
IF(AND(LEFT(INDIRECT("B"&amp;R98&amp;""),2)="博多",COUNTIF(B:B,"*博多*")&gt;=2),
INDIRECT("H"&amp;R98&amp;"")+IFERROR(INDIRECT("H"&amp;MATCH("*"&amp;INDIRECT("B"&amp;R98&amp;"")&amp;"*",INDIRECT("B"&amp;R98+1&amp;":B210"),0)+R98&amp;""),0),
IF(AND(LEFT(INDIRECT("B"&amp;R98&amp;""),3)="奈良屋",COUNTIF(B:B,"*奈良屋*")&gt;=2),
INDIRECT("H"&amp;R98&amp;"")
+INDIRECT("H"&amp;MATCH("*"&amp;INDIRECT("B"&amp;R98&amp;"")&amp;"*",INDIRECT("B"&amp;R98+1&amp;":B210"),0)+R98&amp;"")
+INDIRECT("H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
+INDIRECT("H"&amp;MATCH("*"&amp;INDIRECT("B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&amp;"*",INDIRECT("B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+1&amp;":B210"),0)+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,
INDIRECT("H"&amp;R98&amp;"")))),"")</f>
        <v/>
      </c>
      <c r="X98" s="176" t="str">
        <f t="array" aca="1" ref="X98" ca="1">IF($R98&lt;&gt;"",
INDIRECT(""&amp;IF(COLUMN(I98)&lt;=26,CHAR(COLUMN(I98)+64),CHAR(INT((COLUMN(I98)-1)/26)+64)&amp;CHAR(MOD(COLUMN(I98)-1,26)+65))&amp;$R98&amp;""),"")</f>
        <v/>
      </c>
      <c r="Y98" s="176" t="str">
        <f t="array" aca="1" ref="Y98" ca="1">IF($R98&lt;&gt;"",
INDIRECT(""&amp;IF(COLUMN(J98)&lt;=26,CHAR(COLUMN(J98)+64),CHAR(INT((COLUMN(J98)-1)/26)+64)&amp;CHAR(MOD(COLUMN(J98)-1,26)+65))&amp;$R98&amp;""),"")</f>
        <v/>
      </c>
      <c r="Z98" s="176" t="str">
        <f t="shared" ca="1" si="35"/>
        <v/>
      </c>
      <c r="AA98" s="176" t="str">
        <f t="shared" ca="1" si="36"/>
        <v/>
      </c>
      <c r="AB98" s="176" t="str">
        <f t="array" aca="1" ref="AB98" ca="1">IF($R98&lt;&gt;"",
IF(AND(COUNTIF(INDIRECT("B"&amp;R98&amp;""),"*雙葉*"),COUNTIF(INDIRECT("B"&amp;R98&amp;""),"&lt;&gt;*先生*"),COUNTIF(B:B,"*雙葉*")&gt;=2),
INDIRECT("M"&amp;R98&amp;"")+INDIRECT("M"&amp;MATCH("雙葉'",INDIRECT("B"&amp;R98+1&amp;":B210"),0)+R98&amp;""),
IF(AND(LEFT(INDIRECT("B"&amp;R98&amp;""),2)="博多",COUNTIF(B:B,"*博多*")&gt;=2),
INDIRECT("M"&amp;R98&amp;"")+INDIRECT("M"&amp;MATCH("*"&amp;INDIRECT("B"&amp;R98&amp;"")&amp;"*",INDIRECT("B"&amp;R98+1&amp;":B210"),0)+R98&amp;""),
IF(AND(LEFT(INDIRECT("B"&amp;R98&amp;""),3)="奈良屋",COUNTIF(B:B,"*奈良屋*")&gt;=2),
INDIRECT("M"&amp;R98&amp;"")+INDIRECT("M"&amp;MATCH("*"&amp;INDIRECT("B"&amp;R98&amp;"")&amp;"*",INDIRECT("B"&amp;R98+1&amp;":B210"),0)+R98&amp;"")
+INDIRECT("M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,
INDIRECT("M"&amp;R98&amp;"")))),"")</f>
        <v/>
      </c>
      <c r="AC98" s="176" t="str">
        <f t="shared" ca="1" si="37"/>
        <v/>
      </c>
      <c r="AD98" s="176" t="str">
        <f t="shared" ca="1" si="38"/>
        <v/>
      </c>
      <c r="AE98" s="176" t="str">
        <f t="shared" ca="1" si="39"/>
        <v/>
      </c>
      <c r="AF98" s="176" t="str">
        <f t="shared" ca="1" si="40"/>
        <v/>
      </c>
      <c r="AG98" s="176" t="str">
        <f t="shared" ca="1" si="41"/>
        <v/>
      </c>
      <c r="AH98" s="183" t="str">
        <f t="shared" ca="1" si="42"/>
        <v/>
      </c>
      <c r="AI98" s="176" t="str">
        <f t="shared" ca="1" si="43"/>
        <v/>
      </c>
      <c r="AJ98" s="176" t="str">
        <f t="shared" ca="1" si="44"/>
        <v/>
      </c>
      <c r="AK98" s="176" t="str">
        <f t="shared" ca="1" si="45"/>
        <v/>
      </c>
      <c r="AL98" s="176" t="str">
        <f t="shared" ca="1" si="46"/>
        <v/>
      </c>
      <c r="AM98" s="176" t="str">
        <f t="shared" ca="1" si="47"/>
        <v/>
      </c>
      <c r="AN98" s="176" t="str">
        <f t="shared" ca="1" si="48"/>
        <v/>
      </c>
      <c r="AO98" s="176" t="str">
        <f t="shared" ca="1" si="49"/>
        <v/>
      </c>
      <c r="AP98" s="176" t="str">
        <f t="shared" ca="1" si="50"/>
        <v/>
      </c>
      <c r="AU98" s="176" t="str">
        <f t="shared" ca="1" si="51"/>
        <v/>
      </c>
    </row>
    <row r="99" spans="1:47" ht="22.2" customHeight="1">
      <c r="A99" s="103">
        <f t="shared" si="57"/>
        <v>63</v>
      </c>
      <c r="B99" s="104" t="str">
        <f t="shared" ca="1" si="55"/>
        <v/>
      </c>
      <c r="C99" s="104" t="str">
        <f>IF(OR(クライアント抽出!C29&lt;&gt;"",クライアント抽出!F29&lt;&gt;""),クライアント抽出!A29,"")</f>
        <v/>
      </c>
      <c r="D99" s="104" t="str">
        <f t="array" aca="1" ref="D99" ca="1">IF(C99&lt;&gt;"",INDIRECT("クライアント抽出!"&amp;E99&amp;MATCH(C99,クライアント抽出!A:A,0)&amp;""),"")</f>
        <v/>
      </c>
      <c r="E99" s="104" t="str">
        <f>IF(H99&lt;&gt;0,
IFERROR(
SUBSTITUTE(ADDRESS(1,
MATCH(VALUE(H99),クライアント抽出!A29:G29,0)+8,4),"1",""),
""),
IFERROR(
SUBSTITUTE(ADDRESS(1,
MATCH(VALUE(I99),クライアント抽出!A29:G29,0)+8,4),"1",""),
""))</f>
        <v/>
      </c>
      <c r="F99" s="186" t="str">
        <f ca="1">IF(D99&lt;&gt;"",
IF(COUNTIF(C99,"*雙葉*"),
IF(ROUND((H99-M99)
/IF(COUNTIF(D99,"*キャラ*"),
VLOOKUP("*キャラ*",商品マスタ!$D:$E,2,FALSE),
IF(COUNTIF(D99,"*赤*"),
VLOOKUP("*赤*",商品マスタ!$D:$E,2,FALSE),
VLOOKUP("*"&amp;D99&amp;"*",商品マスタ!$D:$E,2,FALSE))),0)&lt;=0,1,
ROUND((H99-M99)
/IF(COUNTIF(D99,"*キャラ*"),
VLOOKUP("*キャラ*",商品マスタ!$D:$E,2,FALSE),
IF(COUNTIF(D99,"*赤*"),
VLOOKUP("*赤*",商品マスタ!$D:$E,2,FALSE),
VLOOKUP("*"&amp;D99&amp;"*",商品マスタ!$D:$E,2,FALSE))),0)),
IF(OR(COUNTIF(D99,"*キャラ*"),COUNTIF(D99,"*赤*")),"",
IF(VLOOKUP("*"&amp;D99&amp;"*",商品マスタ!$D:$E,2,FALSE)=0,"",
IF(ROUND((H99-M99)
/VLOOKUP("*"&amp;D99&amp;"*",商品マスタ!$D:$E,2,FALSE),0)&lt;=0,1,
ROUND((H99-M99)
/VLOOKUP("*"&amp;D99&amp;"*",商品マスタ!$D:$E,2,FALSE),0))))),"")</f>
        <v/>
      </c>
      <c r="G99" s="104" t="str">
        <f ca="1">IF(F99&lt;&gt;"",
IF(VALUE(H99-M99)&gt;VALUE(IF(COUNTIF(D99,"*キャラ*"),
VLOOKUP("*キャラ*",商品マスタ!$D:$E,2,FALSE),
IF(COUNTIF(D99,"*赤*"),
VLOOKUP("*赤*",商品マスタ!$D:$E,2,FALSE),
VLOOKUP("*"&amp;D99&amp;"*",商品マスタ!$D:$E,2,FALSE)))*F99),
"+"&amp;(H99-M99)-IF(COUNTIF(D99,"*キャラ*"),
VLOOKUP("*キャラ*",商品マスタ!$D:$E,2,FALSE),
IF(COUNTIF(D99,"*赤*"),
VLOOKUP("*赤*",商品マスタ!$D:$E,2,FALSE),
VLOOKUP("*"&amp;D99&amp;"*",商品マスタ!$D:$E,2,FALSE)))*F99,
(H99-M99)-IF(COUNTIF(D99,"*キャラ*"),
VLOOKUP("*キャラ*",商品マスタ!$D:$E,2,FALSE),
IF(COUNTIF(D99,"*赤*"),
VLOOKUP("*赤*",商品マスタ!$D:$E,2,FALSE),
VLOOKUP("*"&amp;D99&amp;"*",商品マスタ!$D:$E,2,FALSE)))*F99),"")</f>
        <v/>
      </c>
      <c r="H99" s="105" t="str">
        <f>IF(C99&lt;&gt;"",
クライアント抽出!C29,"")</f>
        <v/>
      </c>
      <c r="I99" s="104" t="str">
        <f t="array" aca="1" ref="I99" ca="1">IF(C99&lt;&gt;"",
IF(O99=1,
IF(SUMPRODUCT(COUNTIF(クライアント抽出!P29:U29,クライアント抽出!P29:U29))&gt;COUNTA(クライアント抽出!P29:U29),
IFERROR(INDIRECT("数出表_Excel!"&amp;INDEX(_xlfn.UNIQUE(_xlfn._xlws.FILTER(クライアント抽出!P29:U29,COUNTIF(クライアント抽出!P29:U29,クライアント抽出!P29:U29)&gt;1)),1)&amp;L29&amp;""),
クライアント抽出!E29),0),クライアント抽出!F29),"")</f>
        <v/>
      </c>
      <c r="J99" s="104" t="str">
        <f>IF(C99&lt;&gt;"",
VLOOKUP(
"*"&amp;LEFT(IF(COUNTIF(D99,"*学食*"),"キャラ弁（学食）",
IF(COUNTIF(D99,"*赤*"),"赤",
IF(COUNTIF(D99,"*キャラ弁当*"),"キャラ弁当",D99))),4)&amp;"*",注文弁当の抽出!$F$1:$G$15,2,FALSE),"")</f>
        <v/>
      </c>
      <c r="K99" s="104" t="str">
        <f ca="1">IF(クライアント抽出!Q29&lt;&gt;"",SUBSTITUTE(ADDRESS(1,(CODE(クライアント抽出!Q29)-64)*2-1,4),"1",""),"")</f>
        <v/>
      </c>
      <c r="L99" s="104" t="str">
        <f>IF(C29&lt;&gt;"",クライアント抽出!I29,"")</f>
        <v/>
      </c>
      <c r="M99" s="104">
        <f t="array" aca="1" ref="M99" ca="1">IF(C99&lt;&gt;"",
IF(K99&lt;&gt;"",INDIRECT("'数出表_Excel（アレルギー入力）'!"&amp;K99&amp;L99-1&amp;""),),)</f>
        <v>0</v>
      </c>
      <c r="N99" s="104" t="str">
        <f>IF(C99&lt;&gt;"",IF(OR(COUNTIF('盛付札（関数）'!D99,"*赤*"),COUNTIF('盛付札（関数）'!D99,"*キャラ*")),1,
VALUE(VLOOKUP("*"&amp;D99&amp;"*",商品マスタ!D:H,5,FALSE))),"")</f>
        <v/>
      </c>
      <c r="O99" s="104">
        <f t="shared" ca="1" si="56"/>
        <v>0</v>
      </c>
      <c r="P99" s="104">
        <f t="shared" si="33"/>
        <v>0</v>
      </c>
      <c r="Q99" s="104" t="b">
        <f t="shared" si="34"/>
        <v>0</v>
      </c>
      <c r="R99" s="176" t="str">
        <f t="array" aca="1" ref="R99" ca="1">IFERROR(SMALL(IF(P$1:P$311&lt;&gt;0,P$1:P$311),ROW(A99)),"")</f>
        <v/>
      </c>
      <c r="S99" s="176" t="str">
        <f t="array" aca="1" ref="S99" ca="1">IF($R99&lt;&gt;"",
SUBSTITUTE(SUBSTITUTE(INDIRECT("C"&amp;$R99&amp;"")," 週3ｺｰｽ","")," 週5ｺｰｽ",""),"")</f>
        <v/>
      </c>
      <c r="T99" s="176" t="str">
        <f t="array" aca="1" ref="T99" ca="1">IF(IF($R99&lt;&gt;"",
INDIRECT(""&amp;IF(COLUMN(D99)&lt;=26,CHAR(COLUMN(D99)+64),CHAR(INT((COLUMN(D99)-1)/26)+64)&amp;CHAR(MOD(COLUMN(D99)-1,26)+65))&amp;$R99&amp;""),"")=0,"",
IF($R99&lt;&gt;"",
INDIRECT(""&amp;IF(COLUMN(D99)&lt;=26,CHAR(COLUMN(D99)+64),CHAR(INT((COLUMN(D99)-1)/26)+64)&amp;CHAR(MOD(COLUMN(D99)-1,26)+65))&amp;$R99&amp;""),""))</f>
        <v/>
      </c>
      <c r="U99" s="218" t="str">
        <f t="array" aca="1" ref="U99" ca="1">IF($R99&lt;&gt;"",
INDIRECT("F"&amp;$R99&amp;""),"")</f>
        <v/>
      </c>
      <c r="V99" s="219" t="str">
        <f t="array" aca="1" ref="V99" ca="1">IF($R99&lt;&gt;"",
INDIRECT("G"&amp;$R99&amp;""),"")</f>
        <v/>
      </c>
      <c r="W99" s="219" t="str" cm="1">
        <f t="array" aca="1" ref="W99" ca="1">IF($R99&lt;&gt;"",
IF(AND(COUNTIF(INDIRECT("B"&amp;R99&amp;""),"*雙葉*"),COUNTIF($B$71:$B$210,"*雙葉*")&gt;=1),
IF(OR(COUNTIF(INDIRECT("B"&amp;R99&amp;""),"*雙葉先生*"),COUNTIF(INDIRECT("B"&amp;R99-1&amp;""),"*雙葉*")),INDIRECT("H"&amp;R99&amp;""),INDIRECT("H"&amp;R99&amp;"")+INDIRECT("H"&amp;MATCH("雙葉'",INDIRECT("B"&amp;R99+3&amp;":B210"),0)+2+R99&amp;"")),
IF(AND(LEFT(INDIRECT("B"&amp;R99&amp;""),2)="博多",COUNTIF(B:B,"*博多*")&gt;=2),
INDIRECT("H"&amp;R99&amp;"")+IFERROR(INDIRECT("H"&amp;MATCH("*"&amp;INDIRECT("B"&amp;R99&amp;"")&amp;"*",INDIRECT("B"&amp;R99+1&amp;":B210"),0)+R99&amp;""),0),
IF(AND(LEFT(INDIRECT("B"&amp;R99&amp;""),3)="奈良屋",COUNTIF(B:B,"*奈良屋*")&gt;=2),
INDIRECT("H"&amp;R99&amp;"")
+INDIRECT("H"&amp;MATCH("*"&amp;INDIRECT("B"&amp;R99&amp;"")&amp;"*",INDIRECT("B"&amp;R99+1&amp;":B210"),0)+R99&amp;"")
+INDIRECT("H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
+INDIRECT("H"&amp;MATCH("*"&amp;INDIRECT("B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&amp;"*",INDIRECT("B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+1&amp;":B210"),0)+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,
INDIRECT("H"&amp;R99&amp;"")))),"")</f>
        <v/>
      </c>
      <c r="X99" s="176" t="str">
        <f t="array" aca="1" ref="X99" ca="1">IF($R99&lt;&gt;"",
INDIRECT(""&amp;IF(COLUMN(I99)&lt;=26,CHAR(COLUMN(I99)+64),CHAR(INT((COLUMN(I99)-1)/26)+64)&amp;CHAR(MOD(COLUMN(I99)-1,26)+65))&amp;$R99&amp;""),"")</f>
        <v/>
      </c>
      <c r="Y99" s="176" t="str">
        <f t="array" aca="1" ref="Y99" ca="1">IF($R99&lt;&gt;"",
INDIRECT(""&amp;IF(COLUMN(J99)&lt;=26,CHAR(COLUMN(J99)+64),CHAR(INT((COLUMN(J99)-1)/26)+64)&amp;CHAR(MOD(COLUMN(J99)-1,26)+65))&amp;$R99&amp;""),"")</f>
        <v/>
      </c>
      <c r="Z99" s="176" t="str">
        <f t="shared" ca="1" si="35"/>
        <v/>
      </c>
      <c r="AA99" s="176" t="str">
        <f t="shared" ca="1" si="36"/>
        <v/>
      </c>
      <c r="AB99" s="176" t="str">
        <f t="array" aca="1" ref="AB99" ca="1">IF($R99&lt;&gt;"",
IF(AND(COUNTIF(INDIRECT("B"&amp;R99&amp;""),"*雙葉*"),COUNTIF(INDIRECT("B"&amp;R99&amp;""),"&lt;&gt;*先生*"),COUNTIF(B:B,"*雙葉*")&gt;=2),
INDIRECT("M"&amp;R99&amp;"")+INDIRECT("M"&amp;MATCH("雙葉'",INDIRECT("B"&amp;R99+1&amp;":B210"),0)+R99&amp;""),
IF(AND(LEFT(INDIRECT("B"&amp;R99&amp;""),2)="博多",COUNTIF(B:B,"*博多*")&gt;=2),
INDIRECT("M"&amp;R99&amp;"")+INDIRECT("M"&amp;MATCH("*"&amp;INDIRECT("B"&amp;R99&amp;"")&amp;"*",INDIRECT("B"&amp;R99+1&amp;":B210"),0)+R99&amp;""),
IF(AND(LEFT(INDIRECT("B"&amp;R99&amp;""),3)="奈良屋",COUNTIF(B:B,"*奈良屋*")&gt;=2),
INDIRECT("M"&amp;R99&amp;"")+INDIRECT("M"&amp;MATCH("*"&amp;INDIRECT("B"&amp;R99&amp;"")&amp;"*",INDIRECT("B"&amp;R99+1&amp;":B210"),0)+R99&amp;"")
+INDIRECT("M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,
INDIRECT("M"&amp;R99&amp;"")))),"")</f>
        <v/>
      </c>
      <c r="AC99" s="176" t="str">
        <f t="shared" ca="1" si="37"/>
        <v/>
      </c>
      <c r="AD99" s="176" t="str">
        <f t="shared" ca="1" si="38"/>
        <v/>
      </c>
      <c r="AE99" s="176" t="str">
        <f t="shared" ca="1" si="39"/>
        <v/>
      </c>
      <c r="AF99" s="176" t="str">
        <f t="shared" ca="1" si="40"/>
        <v/>
      </c>
      <c r="AG99" s="176" t="str">
        <f t="shared" ca="1" si="41"/>
        <v/>
      </c>
      <c r="AH99" s="183" t="str">
        <f t="shared" ca="1" si="42"/>
        <v/>
      </c>
      <c r="AI99" s="176" t="str">
        <f t="shared" ca="1" si="43"/>
        <v/>
      </c>
      <c r="AJ99" s="176" t="str">
        <f t="shared" ca="1" si="44"/>
        <v/>
      </c>
      <c r="AK99" s="176" t="str">
        <f t="shared" ca="1" si="45"/>
        <v/>
      </c>
      <c r="AL99" s="176" t="str">
        <f t="shared" ca="1" si="46"/>
        <v/>
      </c>
      <c r="AM99" s="176" t="str">
        <f t="shared" ca="1" si="47"/>
        <v/>
      </c>
      <c r="AN99" s="176" t="str">
        <f t="shared" ca="1" si="48"/>
        <v/>
      </c>
      <c r="AO99" s="176" t="str">
        <f t="shared" ca="1" si="49"/>
        <v/>
      </c>
      <c r="AP99" s="176" t="str">
        <f t="shared" ca="1" si="50"/>
        <v/>
      </c>
      <c r="AU99" s="176" t="str">
        <f t="shared" ca="1" si="51"/>
        <v/>
      </c>
    </row>
    <row r="100" spans="1:47" ht="22.2" customHeight="1">
      <c r="A100" s="103">
        <f t="shared" si="57"/>
        <v>65</v>
      </c>
      <c r="B100" s="104" t="str">
        <f t="shared" ca="1" si="55"/>
        <v/>
      </c>
      <c r="C100" s="104" t="str">
        <f>IF(OR(クライアント抽出!C30&lt;&gt;"",クライアント抽出!F30&lt;&gt;""),クライアント抽出!A30,"")</f>
        <v/>
      </c>
      <c r="D100" s="104" t="str">
        <f t="array" aca="1" ref="D100" ca="1">IF(C100&lt;&gt;"",INDIRECT("クライアント抽出!"&amp;E100&amp;MATCH(C100,クライアント抽出!A:A,0)&amp;""),"")</f>
        <v/>
      </c>
      <c r="E100" s="104" t="str">
        <f>IF(H100&lt;&gt;0,
IFERROR(
SUBSTITUTE(ADDRESS(1,
MATCH(VALUE(H100),クライアント抽出!A30:G30,0)+8,4),"1",""),
""),
IFERROR(
SUBSTITUTE(ADDRESS(1,
MATCH(VALUE(I100),クライアント抽出!A30:G30,0)+8,4),"1",""),
""))</f>
        <v/>
      </c>
      <c r="F100" s="186" t="str">
        <f ca="1">IF(D100&lt;&gt;"",
IF(COUNTIF(C100,"*雙葉*"),
IF(ROUND((H100-M100)
/IF(COUNTIF(D100,"*キャラ*"),
VLOOKUP("*キャラ*",商品マスタ!$D:$E,2,FALSE),
IF(COUNTIF(D100,"*赤*"),
VLOOKUP("*赤*",商品マスタ!$D:$E,2,FALSE),
VLOOKUP("*"&amp;D100&amp;"*",商品マスタ!$D:$E,2,FALSE))),0)&lt;=0,1,
ROUND((H100-M100)
/IF(COUNTIF(D100,"*キャラ*"),
VLOOKUP("*キャラ*",商品マスタ!$D:$E,2,FALSE),
IF(COUNTIF(D100,"*赤*"),
VLOOKUP("*赤*",商品マスタ!$D:$E,2,FALSE),
VLOOKUP("*"&amp;D100&amp;"*",商品マスタ!$D:$E,2,FALSE))),0)),
IF(OR(COUNTIF(D100,"*キャラ*"),COUNTIF(D100,"*赤*")),"",
IF(VLOOKUP("*"&amp;D100&amp;"*",商品マスタ!$D:$E,2,FALSE)=0,"",
IF(ROUND((H100-M100)
/VLOOKUP("*"&amp;D100&amp;"*",商品マスタ!$D:$E,2,FALSE),0)&lt;=0,1,
ROUND((H100-M100)
/VLOOKUP("*"&amp;D100&amp;"*",商品マスタ!$D:$E,2,FALSE),0))))),"")</f>
        <v/>
      </c>
      <c r="G100" s="104" t="str">
        <f ca="1">IF(F100&lt;&gt;"",
IF(VALUE(H100-M100)&gt;VALUE(IF(COUNTIF(D100,"*キャラ*"),
VLOOKUP("*キャラ*",商品マスタ!$D:$E,2,FALSE),
IF(COUNTIF(D100,"*赤*"),
VLOOKUP("*赤*",商品マスタ!$D:$E,2,FALSE),
VLOOKUP("*"&amp;D100&amp;"*",商品マスタ!$D:$E,2,FALSE)))*F100),
"+"&amp;(H100-M100)-IF(COUNTIF(D100,"*キャラ*"),
VLOOKUP("*キャラ*",商品マスタ!$D:$E,2,FALSE),
IF(COUNTIF(D100,"*赤*"),
VLOOKUP("*赤*",商品マスタ!$D:$E,2,FALSE),
VLOOKUP("*"&amp;D100&amp;"*",商品マスタ!$D:$E,2,FALSE)))*F100,
(H100-M100)-IF(COUNTIF(D100,"*キャラ*"),
VLOOKUP("*キャラ*",商品マスタ!$D:$E,2,FALSE),
IF(COUNTIF(D100,"*赤*"),
VLOOKUP("*赤*",商品マスタ!$D:$E,2,FALSE),
VLOOKUP("*"&amp;D100&amp;"*",商品マスタ!$D:$E,2,FALSE)))*F100),"")</f>
        <v/>
      </c>
      <c r="H100" s="105" t="str">
        <f>IF(C100&lt;&gt;"",
クライアント抽出!C30,"")</f>
        <v/>
      </c>
      <c r="I100" s="104" t="str">
        <f t="array" aca="1" ref="I100" ca="1">IF(C100&lt;&gt;"",
IF(O100=1,
IF(SUMPRODUCT(COUNTIF(クライアント抽出!P30:U30,クライアント抽出!P30:U30))&gt;COUNTA(クライアント抽出!P30:U30),
IFERROR(INDIRECT("数出表_Excel!"&amp;INDEX(_xlfn.UNIQUE(_xlfn._xlws.FILTER(クライアント抽出!P30:U30,COUNTIF(クライアント抽出!P30:U30,クライアント抽出!P30:U30)&gt;1)),1)&amp;L30&amp;""),
クライアント抽出!E30),0),クライアント抽出!F30),"")</f>
        <v/>
      </c>
      <c r="J100" s="104" t="str">
        <f>IF(C100&lt;&gt;"",
VLOOKUP(
"*"&amp;LEFT(IF(COUNTIF(D100,"*学食*"),"キャラ弁（学食）",
IF(COUNTIF(D100,"*赤*"),"赤",
IF(COUNTIF(D100,"*キャラ弁当*"),"キャラ弁当",D100))),4)&amp;"*",注文弁当の抽出!$F$1:$G$15,2,FALSE),"")</f>
        <v/>
      </c>
      <c r="K100" s="104" t="str">
        <f ca="1">IF(クライアント抽出!Q30&lt;&gt;"",SUBSTITUTE(ADDRESS(1,(CODE(クライアント抽出!Q30)-64)*2-1,4),"1",""),"")</f>
        <v/>
      </c>
      <c r="L100" s="104" t="str">
        <f>IF(C30&lt;&gt;"",クライアント抽出!I30,"")</f>
        <v/>
      </c>
      <c r="M100" s="104">
        <f t="array" aca="1" ref="M100" ca="1">IF(C100&lt;&gt;"",
IF(K100&lt;&gt;"",INDIRECT("'数出表_Excel（アレルギー入力）'!"&amp;K100&amp;L100-1&amp;""),),)</f>
        <v>0</v>
      </c>
      <c r="N100" s="104" t="str">
        <f>IF(C100&lt;&gt;"",IF(OR(COUNTIF('盛付札（関数）'!D100,"*赤*"),COUNTIF('盛付札（関数）'!D100,"*キャラ*")),1,
VALUE(VLOOKUP("*"&amp;D100&amp;"*",商品マスタ!D:H,5,FALSE))),"")</f>
        <v/>
      </c>
      <c r="O100" s="104">
        <f t="shared" ca="1" si="56"/>
        <v>0</v>
      </c>
      <c r="P100" s="104">
        <f t="shared" si="33"/>
        <v>0</v>
      </c>
      <c r="Q100" s="104" t="b">
        <f t="shared" si="34"/>
        <v>0</v>
      </c>
      <c r="R100" s="176" t="str">
        <f t="array" aca="1" ref="R100" ca="1">IFERROR(SMALL(IF(P$1:P$311&lt;&gt;0,P$1:P$311),ROW(A100)),"")</f>
        <v/>
      </c>
      <c r="S100" s="176" t="str">
        <f t="array" aca="1" ref="S100" ca="1">IF($R100&lt;&gt;"",
SUBSTITUTE(SUBSTITUTE(INDIRECT("C"&amp;$R100&amp;"")," 週3ｺｰｽ","")," 週5ｺｰｽ",""),"")</f>
        <v/>
      </c>
      <c r="T100" s="176" t="str">
        <f t="array" aca="1" ref="T100" ca="1">IF(IF($R100&lt;&gt;"",
INDIRECT(""&amp;IF(COLUMN(D100)&lt;=26,CHAR(COLUMN(D100)+64),CHAR(INT((COLUMN(D100)-1)/26)+64)&amp;CHAR(MOD(COLUMN(D100)-1,26)+65))&amp;$R100&amp;""),"")=0,"",
IF($R100&lt;&gt;"",
INDIRECT(""&amp;IF(COLUMN(D100)&lt;=26,CHAR(COLUMN(D100)+64),CHAR(INT((COLUMN(D100)-1)/26)+64)&amp;CHAR(MOD(COLUMN(D100)-1,26)+65))&amp;$R100&amp;""),""))</f>
        <v/>
      </c>
      <c r="U100" s="218" t="str">
        <f t="array" aca="1" ref="U100" ca="1">IF($R100&lt;&gt;"",
INDIRECT("F"&amp;$R100&amp;""),"")</f>
        <v/>
      </c>
      <c r="V100" s="219" t="str">
        <f t="array" aca="1" ref="V100" ca="1">IF($R100&lt;&gt;"",
INDIRECT("G"&amp;$R100&amp;""),"")</f>
        <v/>
      </c>
      <c r="W100" s="219" t="str" cm="1">
        <f t="array" aca="1" ref="W100" ca="1">IF($R100&lt;&gt;"",
IF(AND(COUNTIF(INDIRECT("B"&amp;R100&amp;""),"*雙葉*"),COUNTIF($B$71:$B$210,"*雙葉*")&gt;=1),
IF(OR(COUNTIF(INDIRECT("B"&amp;R100&amp;""),"*雙葉先生*"),COUNTIF(INDIRECT("B"&amp;R100-1&amp;""),"*雙葉*")),INDIRECT("H"&amp;R100&amp;""),INDIRECT("H"&amp;R100&amp;"")+INDIRECT("H"&amp;MATCH("雙葉'",INDIRECT("B"&amp;R100+3&amp;":B210"),0)+2+R100&amp;"")),
IF(AND(LEFT(INDIRECT("B"&amp;R100&amp;""),2)="博多",COUNTIF(B:B,"*博多*")&gt;=2),
INDIRECT("H"&amp;R100&amp;"")+IFERROR(INDIRECT("H"&amp;MATCH("*"&amp;INDIRECT("B"&amp;R100&amp;"")&amp;"*",INDIRECT("B"&amp;R100+1&amp;":B210"),0)+R100&amp;""),0),
IF(AND(LEFT(INDIRECT("B"&amp;R100&amp;""),3)="奈良屋",COUNTIF(B:B,"*奈良屋*")&gt;=2),
INDIRECT("H"&amp;R100&amp;"")
+INDIRECT("H"&amp;MATCH("*"&amp;INDIRECT("B"&amp;R100&amp;"")&amp;"*",INDIRECT("B"&amp;R100+1&amp;":B210"),0)+R100&amp;"")
+INDIRECT("H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
+INDIRECT("H"&amp;MATCH("*"&amp;INDIRECT("B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&amp;"*",INDIRECT("B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+1&amp;":B210"),0)+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,
INDIRECT("H"&amp;R100&amp;"")))),"")</f>
        <v/>
      </c>
      <c r="X100" s="176" t="str">
        <f t="array" aca="1" ref="X100" ca="1">IF($R100&lt;&gt;"",
INDIRECT(""&amp;IF(COLUMN(I100)&lt;=26,CHAR(COLUMN(I100)+64),CHAR(INT((COLUMN(I100)-1)/26)+64)&amp;CHAR(MOD(COLUMN(I100)-1,26)+65))&amp;$R100&amp;""),"")</f>
        <v/>
      </c>
      <c r="Y100" s="176" t="str">
        <f t="array" aca="1" ref="Y100" ca="1">IF($R100&lt;&gt;"",
INDIRECT(""&amp;IF(COLUMN(J100)&lt;=26,CHAR(COLUMN(J100)+64),CHAR(INT((COLUMN(J100)-1)/26)+64)&amp;CHAR(MOD(COLUMN(J100)-1,26)+65))&amp;$R100&amp;""),"")</f>
        <v/>
      </c>
      <c r="Z100" s="176" t="str">
        <f t="shared" ca="1" si="35"/>
        <v/>
      </c>
      <c r="AA100" s="176" t="str">
        <f t="shared" ca="1" si="36"/>
        <v/>
      </c>
      <c r="AB100" s="176" t="str">
        <f t="array" aca="1" ref="AB100" ca="1">IF($R100&lt;&gt;"",
IF(AND(COUNTIF(INDIRECT("B"&amp;R100&amp;""),"*雙葉*"),COUNTIF(INDIRECT("B"&amp;R100&amp;""),"&lt;&gt;*先生*"),COUNTIF(B:B,"*雙葉*")&gt;=2),
INDIRECT("M"&amp;R100&amp;"")+INDIRECT("M"&amp;MATCH("雙葉'",INDIRECT("B"&amp;R100+1&amp;":B210"),0)+R100&amp;""),
IF(AND(LEFT(INDIRECT("B"&amp;R100&amp;""),2)="博多",COUNTIF(B:B,"*博多*")&gt;=2),
INDIRECT("M"&amp;R100&amp;"")+INDIRECT("M"&amp;MATCH("*"&amp;INDIRECT("B"&amp;R100&amp;"")&amp;"*",INDIRECT("B"&amp;R100+1&amp;":B210"),0)+R100&amp;""),
IF(AND(LEFT(INDIRECT("B"&amp;R100&amp;""),3)="奈良屋",COUNTIF(B:B,"*奈良屋*")&gt;=2),
INDIRECT("M"&amp;R100&amp;"")+INDIRECT("M"&amp;MATCH("*"&amp;INDIRECT("B"&amp;R100&amp;"")&amp;"*",INDIRECT("B"&amp;R100+1&amp;":B210"),0)+R100&amp;"")
+INDIRECT("M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,
INDIRECT("M"&amp;R100&amp;"")))),"")</f>
        <v/>
      </c>
      <c r="AC100" s="176" t="str">
        <f t="shared" ca="1" si="37"/>
        <v/>
      </c>
      <c r="AD100" s="176" t="str">
        <f t="shared" ca="1" si="38"/>
        <v/>
      </c>
      <c r="AE100" s="176" t="str">
        <f t="shared" ca="1" si="39"/>
        <v/>
      </c>
      <c r="AF100" s="176" t="str">
        <f t="shared" ca="1" si="40"/>
        <v/>
      </c>
      <c r="AG100" s="176" t="str">
        <f t="shared" ca="1" si="41"/>
        <v/>
      </c>
      <c r="AH100" s="183" t="str">
        <f t="shared" ca="1" si="42"/>
        <v/>
      </c>
      <c r="AI100" s="176" t="str">
        <f t="shared" ca="1" si="43"/>
        <v/>
      </c>
      <c r="AJ100" s="176" t="str">
        <f t="shared" ca="1" si="44"/>
        <v/>
      </c>
      <c r="AK100" s="176" t="str">
        <f t="shared" ca="1" si="45"/>
        <v/>
      </c>
      <c r="AL100" s="176" t="str">
        <f t="shared" ca="1" si="46"/>
        <v/>
      </c>
      <c r="AM100" s="176" t="str">
        <f t="shared" ca="1" si="47"/>
        <v/>
      </c>
      <c r="AN100" s="176" t="str">
        <f t="shared" ca="1" si="48"/>
        <v/>
      </c>
      <c r="AO100" s="176" t="str">
        <f t="shared" ca="1" si="49"/>
        <v/>
      </c>
      <c r="AP100" s="176" t="str">
        <f t="shared" ca="1" si="50"/>
        <v/>
      </c>
      <c r="AU100" s="176" t="str">
        <f t="shared" ca="1" si="51"/>
        <v/>
      </c>
    </row>
    <row r="101" spans="1:47" ht="22.2" customHeight="1">
      <c r="A101" s="103">
        <f t="shared" si="57"/>
        <v>67</v>
      </c>
      <c r="B101" s="104" t="str">
        <f t="shared" ca="1" si="55"/>
        <v/>
      </c>
      <c r="C101" s="104" t="str">
        <f>IF(OR(クライアント抽出!C31&lt;&gt;"",クライアント抽出!F31&lt;&gt;""),クライアント抽出!A31,"")</f>
        <v/>
      </c>
      <c r="D101" s="104" t="str">
        <f t="array" aca="1" ref="D101" ca="1">IF(C101&lt;&gt;"",INDIRECT("クライアント抽出!"&amp;E101&amp;MATCH(C101,クライアント抽出!A:A,0)&amp;""),"")</f>
        <v/>
      </c>
      <c r="E101" s="104" t="str">
        <f>IF(H101&lt;&gt;0,
IFERROR(
SUBSTITUTE(ADDRESS(1,
MATCH(VALUE(H101),クライアント抽出!A31:G31,0)+8,4),"1",""),
""),
IFERROR(
SUBSTITUTE(ADDRESS(1,
MATCH(VALUE(I101),クライアント抽出!A31:G31,0)+8,4),"1",""),
""))</f>
        <v/>
      </c>
      <c r="F101" s="186" t="str">
        <f ca="1">IF(D101&lt;&gt;"",
IF(COUNTIF(C101,"*雙葉*"),
IF(ROUND((H101-M101)
/IF(COUNTIF(D101,"*キャラ*"),
VLOOKUP("*キャラ*",商品マスタ!$D:$E,2,FALSE),
IF(COUNTIF(D101,"*赤*"),
VLOOKUP("*赤*",商品マスタ!$D:$E,2,FALSE),
VLOOKUP("*"&amp;D101&amp;"*",商品マスタ!$D:$E,2,FALSE))),0)&lt;=0,1,
ROUND((H101-M101)
/IF(COUNTIF(D101,"*キャラ*"),
VLOOKUP("*キャラ*",商品マスタ!$D:$E,2,FALSE),
IF(COUNTIF(D101,"*赤*"),
VLOOKUP("*赤*",商品マスタ!$D:$E,2,FALSE),
VLOOKUP("*"&amp;D101&amp;"*",商品マスタ!$D:$E,2,FALSE))),0)),
IF(OR(COUNTIF(D101,"*キャラ*"),COUNTIF(D101,"*赤*")),"",
IF(VLOOKUP("*"&amp;D101&amp;"*",商品マスタ!$D:$E,2,FALSE)=0,"",
IF(ROUND((H101-M101)
/VLOOKUP("*"&amp;D101&amp;"*",商品マスタ!$D:$E,2,FALSE),0)&lt;=0,1,
ROUND((H101-M101)
/VLOOKUP("*"&amp;D101&amp;"*",商品マスタ!$D:$E,2,FALSE),0))))),"")</f>
        <v/>
      </c>
      <c r="G101" s="104" t="str">
        <f ca="1">IF(F101&lt;&gt;"",
IF(VALUE(H101-M101)&gt;VALUE(IF(COUNTIF(D101,"*キャラ*"),
VLOOKUP("*キャラ*",商品マスタ!$D:$E,2,FALSE),
IF(COUNTIF(D101,"*赤*"),
VLOOKUP("*赤*",商品マスタ!$D:$E,2,FALSE),
VLOOKUP("*"&amp;D101&amp;"*",商品マスタ!$D:$E,2,FALSE)))*F101),
"+"&amp;(H101-M101)-IF(COUNTIF(D101,"*キャラ*"),
VLOOKUP("*キャラ*",商品マスタ!$D:$E,2,FALSE),
IF(COUNTIF(D101,"*赤*"),
VLOOKUP("*赤*",商品マスタ!$D:$E,2,FALSE),
VLOOKUP("*"&amp;D101&amp;"*",商品マスタ!$D:$E,2,FALSE)))*F101,
(H101-M101)-IF(COUNTIF(D101,"*キャラ*"),
VLOOKUP("*キャラ*",商品マスタ!$D:$E,2,FALSE),
IF(COUNTIF(D101,"*赤*"),
VLOOKUP("*赤*",商品マスタ!$D:$E,2,FALSE),
VLOOKUP("*"&amp;D101&amp;"*",商品マスタ!$D:$E,2,FALSE)))*F101),"")</f>
        <v/>
      </c>
      <c r="H101" s="105" t="str">
        <f>IF(C101&lt;&gt;"",
クライアント抽出!C31,"")</f>
        <v/>
      </c>
      <c r="I101" s="104" t="str">
        <f t="array" aca="1" ref="I101" ca="1">IF(C101&lt;&gt;"",
IF(O101=1,
IF(SUMPRODUCT(COUNTIF(クライアント抽出!P31:U31,クライアント抽出!P31:U31))&gt;COUNTA(クライアント抽出!P31:U31),
IFERROR(INDIRECT("数出表_Excel!"&amp;INDEX(_xlfn.UNIQUE(_xlfn._xlws.FILTER(クライアント抽出!P31:U31,COUNTIF(クライアント抽出!P31:U31,クライアント抽出!P31:U31)&gt;1)),1)&amp;L31&amp;""),
クライアント抽出!E31),0),クライアント抽出!F31),"")</f>
        <v/>
      </c>
      <c r="J101" s="104" t="str">
        <f>IF(C101&lt;&gt;"",
VLOOKUP(
"*"&amp;LEFT(IF(COUNTIF(D101,"*学食*"),"キャラ弁（学食）",
IF(COUNTIF(D101,"*赤*"),"赤",
IF(COUNTIF(D101,"*キャラ弁当*"),"キャラ弁当",D101))),4)&amp;"*",注文弁当の抽出!$F$1:$G$15,2,FALSE),"")</f>
        <v/>
      </c>
      <c r="K101" s="104" t="str">
        <f ca="1">IF(クライアント抽出!Q31&lt;&gt;"",SUBSTITUTE(ADDRESS(1,(CODE(クライアント抽出!Q31)-64)*2-1,4),"1",""),"")</f>
        <v/>
      </c>
      <c r="L101" s="104" t="str">
        <f>IF(C31&lt;&gt;"",クライアント抽出!I31,"")</f>
        <v/>
      </c>
      <c r="M101" s="104">
        <f t="array" aca="1" ref="M101" ca="1">IF(C101&lt;&gt;"",
IF(K101&lt;&gt;"",INDIRECT("'数出表_Excel（アレルギー入力）'!"&amp;K101&amp;L101-1&amp;""),),)</f>
        <v>0</v>
      </c>
      <c r="N101" s="104" t="str">
        <f>IF(C101&lt;&gt;"",IF(OR(COUNTIF('盛付札（関数）'!D101,"*赤*"),COUNTIF('盛付札（関数）'!D101,"*キャラ*")),1,
VALUE(VLOOKUP("*"&amp;D101&amp;"*",商品マスタ!D:H,5,FALSE))),"")</f>
        <v/>
      </c>
      <c r="O101" s="104">
        <f t="shared" ca="1" si="56"/>
        <v>0</v>
      </c>
      <c r="P101" s="104">
        <f t="shared" si="33"/>
        <v>0</v>
      </c>
      <c r="Q101" s="104" t="b">
        <f t="shared" si="34"/>
        <v>0</v>
      </c>
      <c r="R101" s="176" t="str">
        <f t="array" aca="1" ref="R101" ca="1">IFERROR(SMALL(IF(P$1:P$311&lt;&gt;0,P$1:P$311),ROW(A101)),"")</f>
        <v/>
      </c>
      <c r="S101" s="176" t="str">
        <f t="array" aca="1" ref="S101" ca="1">IF($R101&lt;&gt;"",
SUBSTITUTE(SUBSTITUTE(INDIRECT("C"&amp;$R101&amp;"")," 週3ｺｰｽ","")," 週5ｺｰｽ",""),"")</f>
        <v/>
      </c>
      <c r="T101" s="176" t="str">
        <f t="array" aca="1" ref="T101" ca="1">IF(IF($R101&lt;&gt;"",
INDIRECT(""&amp;IF(COLUMN(D101)&lt;=26,CHAR(COLUMN(D101)+64),CHAR(INT((COLUMN(D101)-1)/26)+64)&amp;CHAR(MOD(COLUMN(D101)-1,26)+65))&amp;$R101&amp;""),"")=0,"",
IF($R101&lt;&gt;"",
INDIRECT(""&amp;IF(COLUMN(D101)&lt;=26,CHAR(COLUMN(D101)+64),CHAR(INT((COLUMN(D101)-1)/26)+64)&amp;CHAR(MOD(COLUMN(D101)-1,26)+65))&amp;$R101&amp;""),""))</f>
        <v/>
      </c>
      <c r="U101" s="218" t="str">
        <f t="array" aca="1" ref="U101" ca="1">IF($R101&lt;&gt;"",
INDIRECT("F"&amp;$R101&amp;""),"")</f>
        <v/>
      </c>
      <c r="V101" s="219" t="str">
        <f t="array" aca="1" ref="V101" ca="1">IF($R101&lt;&gt;"",
INDIRECT("G"&amp;$R101&amp;""),"")</f>
        <v/>
      </c>
      <c r="W101" s="219" t="str" cm="1">
        <f t="array" aca="1" ref="W101" ca="1">IF($R101&lt;&gt;"",
IF(AND(COUNTIF(INDIRECT("B"&amp;R101&amp;""),"*雙葉*"),COUNTIF($B$71:$B$210,"*雙葉*")&gt;=1),
IF(OR(COUNTIF(INDIRECT("B"&amp;R101&amp;""),"*雙葉先生*"),COUNTIF(INDIRECT("B"&amp;R101-1&amp;""),"*雙葉*")),INDIRECT("H"&amp;R101&amp;""),INDIRECT("H"&amp;R101&amp;"")+INDIRECT("H"&amp;MATCH("雙葉'",INDIRECT("B"&amp;R101+3&amp;":B210"),0)+2+R101&amp;"")),
IF(AND(LEFT(INDIRECT("B"&amp;R101&amp;""),2)="博多",COUNTIF(B:B,"*博多*")&gt;=2),
INDIRECT("H"&amp;R101&amp;"")+IFERROR(INDIRECT("H"&amp;MATCH("*"&amp;INDIRECT("B"&amp;R101&amp;"")&amp;"*",INDIRECT("B"&amp;R101+1&amp;":B210"),0)+R101&amp;""),0),
IF(AND(LEFT(INDIRECT("B"&amp;R101&amp;""),3)="奈良屋",COUNTIF(B:B,"*奈良屋*")&gt;=2),
INDIRECT("H"&amp;R101&amp;"")
+INDIRECT("H"&amp;MATCH("*"&amp;INDIRECT("B"&amp;R101&amp;"")&amp;"*",INDIRECT("B"&amp;R101+1&amp;":B210"),0)+R101&amp;"")
+INDIRECT("H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
+INDIRECT("H"&amp;MATCH("*"&amp;INDIRECT("B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&amp;"*",INDIRECT("B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+1&amp;":B210"),0)+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,
INDIRECT("H"&amp;R101&amp;"")))),"")</f>
        <v/>
      </c>
      <c r="X101" s="176" t="str">
        <f t="array" aca="1" ref="X101" ca="1">IF($R101&lt;&gt;"",
INDIRECT(""&amp;IF(COLUMN(I101)&lt;=26,CHAR(COLUMN(I101)+64),CHAR(INT((COLUMN(I101)-1)/26)+64)&amp;CHAR(MOD(COLUMN(I101)-1,26)+65))&amp;$R101&amp;""),"")</f>
        <v/>
      </c>
      <c r="Y101" s="176" t="str">
        <f t="array" aca="1" ref="Y101" ca="1">IF($R101&lt;&gt;"",
INDIRECT(""&amp;IF(COLUMN(J101)&lt;=26,CHAR(COLUMN(J101)+64),CHAR(INT((COLUMN(J101)-1)/26)+64)&amp;CHAR(MOD(COLUMN(J101)-1,26)+65))&amp;$R101&amp;""),"")</f>
        <v/>
      </c>
      <c r="Z101" s="176" t="str">
        <f t="shared" ca="1" si="35"/>
        <v/>
      </c>
      <c r="AA101" s="176" t="str">
        <f t="shared" ca="1" si="36"/>
        <v/>
      </c>
      <c r="AB101" s="176" t="str">
        <f t="array" aca="1" ref="AB101" ca="1">IF($R101&lt;&gt;"",
IF(AND(COUNTIF(INDIRECT("B"&amp;R101&amp;""),"*雙葉*"),COUNTIF(INDIRECT("B"&amp;R101&amp;""),"&lt;&gt;*先生*"),COUNTIF(B:B,"*雙葉*")&gt;=2),
INDIRECT("M"&amp;R101&amp;"")+INDIRECT("M"&amp;MATCH("雙葉'",INDIRECT("B"&amp;R101+1&amp;":B210"),0)+R101&amp;""),
IF(AND(LEFT(INDIRECT("B"&amp;R101&amp;""),2)="博多",COUNTIF(B:B,"*博多*")&gt;=2),
INDIRECT("M"&amp;R101&amp;"")+INDIRECT("M"&amp;MATCH("*"&amp;INDIRECT("B"&amp;R101&amp;"")&amp;"*",INDIRECT("B"&amp;R101+1&amp;":B210"),0)+R101&amp;""),
IF(AND(LEFT(INDIRECT("B"&amp;R101&amp;""),3)="奈良屋",COUNTIF(B:B,"*奈良屋*")&gt;=2),
INDIRECT("M"&amp;R101&amp;"")+INDIRECT("M"&amp;MATCH("*"&amp;INDIRECT("B"&amp;R101&amp;"")&amp;"*",INDIRECT("B"&amp;R101+1&amp;":B210"),0)+R101&amp;"")
+INDIRECT("M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,
INDIRECT("M"&amp;R101&amp;"")))),"")</f>
        <v/>
      </c>
      <c r="AC101" s="176" t="str">
        <f t="shared" ca="1" si="37"/>
        <v/>
      </c>
      <c r="AD101" s="176" t="str">
        <f t="shared" ca="1" si="38"/>
        <v/>
      </c>
      <c r="AE101" s="176" t="str">
        <f t="shared" ca="1" si="39"/>
        <v/>
      </c>
      <c r="AF101" s="176" t="str">
        <f t="shared" ca="1" si="40"/>
        <v/>
      </c>
      <c r="AG101" s="176" t="str">
        <f t="shared" ca="1" si="41"/>
        <v/>
      </c>
      <c r="AH101" s="183" t="str">
        <f t="shared" ca="1" si="42"/>
        <v/>
      </c>
      <c r="AI101" s="176" t="str">
        <f t="shared" ca="1" si="43"/>
        <v/>
      </c>
      <c r="AJ101" s="176" t="str">
        <f t="shared" ca="1" si="44"/>
        <v/>
      </c>
      <c r="AK101" s="176" t="str">
        <f t="shared" ca="1" si="45"/>
        <v/>
      </c>
      <c r="AL101" s="176" t="str">
        <f t="shared" ca="1" si="46"/>
        <v/>
      </c>
      <c r="AM101" s="176" t="str">
        <f t="shared" ca="1" si="47"/>
        <v/>
      </c>
      <c r="AN101" s="176" t="str">
        <f t="shared" ca="1" si="48"/>
        <v/>
      </c>
      <c r="AO101" s="176" t="str">
        <f t="shared" ca="1" si="49"/>
        <v/>
      </c>
      <c r="AP101" s="176" t="str">
        <f t="shared" ca="1" si="50"/>
        <v/>
      </c>
      <c r="AU101" s="176" t="str">
        <f t="shared" ca="1" si="51"/>
        <v/>
      </c>
    </row>
    <row r="102" spans="1:47" ht="22.2" customHeight="1">
      <c r="A102" s="103">
        <f t="shared" si="57"/>
        <v>69</v>
      </c>
      <c r="B102" s="104" t="str">
        <f t="shared" ca="1" si="55"/>
        <v/>
      </c>
      <c r="C102" s="104" t="str">
        <f>IF(OR(クライアント抽出!C32&lt;&gt;"",クライアント抽出!F32&lt;&gt;""),クライアント抽出!A32,"")</f>
        <v/>
      </c>
      <c r="D102" s="104" t="str">
        <f t="array" aca="1" ref="D102" ca="1">IF(C102&lt;&gt;"",INDIRECT("クライアント抽出!"&amp;E102&amp;MATCH(C102,クライアント抽出!A:A,0)&amp;""),"")</f>
        <v/>
      </c>
      <c r="E102" s="104" t="str">
        <f>IF(H102&lt;&gt;0,
IFERROR(
SUBSTITUTE(ADDRESS(1,
MATCH(VALUE(H102),クライアント抽出!A32:G32,0)+8,4),"1",""),
""),
IFERROR(
SUBSTITUTE(ADDRESS(1,
MATCH(VALUE(I102),クライアント抽出!A32:G32,0)+8,4),"1",""),
""))</f>
        <v/>
      </c>
      <c r="F102" s="186" t="str">
        <f ca="1">IF(D102&lt;&gt;"",
IF(COUNTIF(C102,"*雙葉*"),
IF(ROUND((H102-M102)
/IF(COUNTIF(D102,"*キャラ*"),
VLOOKUP("*キャラ*",商品マスタ!$D:$E,2,FALSE),
IF(COUNTIF(D102,"*赤*"),
VLOOKUP("*赤*",商品マスタ!$D:$E,2,FALSE),
VLOOKUP("*"&amp;D102&amp;"*",商品マスタ!$D:$E,2,FALSE))),0)&lt;=0,1,
ROUND((H102-M102)
/IF(COUNTIF(D102,"*キャラ*"),
VLOOKUP("*キャラ*",商品マスタ!$D:$E,2,FALSE),
IF(COUNTIF(D102,"*赤*"),
VLOOKUP("*赤*",商品マスタ!$D:$E,2,FALSE),
VLOOKUP("*"&amp;D102&amp;"*",商品マスタ!$D:$E,2,FALSE))),0)),
IF(OR(COUNTIF(D102,"*キャラ*"),COUNTIF(D102,"*赤*")),"",
IF(VLOOKUP("*"&amp;D102&amp;"*",商品マスタ!$D:$E,2,FALSE)=0,"",
IF(ROUND((H102-M102)
/VLOOKUP("*"&amp;D102&amp;"*",商品マスタ!$D:$E,2,FALSE),0)&lt;=0,1,
ROUND((H102-M102)
/VLOOKUP("*"&amp;D102&amp;"*",商品マスタ!$D:$E,2,FALSE),0))))),"")</f>
        <v/>
      </c>
      <c r="G102" s="104" t="str">
        <f ca="1">IF(F102&lt;&gt;"",
IF(VALUE(H102-M102)&gt;VALUE(IF(COUNTIF(D102,"*キャラ*"),
VLOOKUP("*キャラ*",商品マスタ!$D:$E,2,FALSE),
IF(COUNTIF(D102,"*赤*"),
VLOOKUP("*赤*",商品マスタ!$D:$E,2,FALSE),
VLOOKUP("*"&amp;D102&amp;"*",商品マスタ!$D:$E,2,FALSE)))*F102),
"+"&amp;(H102-M102)-IF(COUNTIF(D102,"*キャラ*"),
VLOOKUP("*キャラ*",商品マスタ!$D:$E,2,FALSE),
IF(COUNTIF(D102,"*赤*"),
VLOOKUP("*赤*",商品マスタ!$D:$E,2,FALSE),
VLOOKUP("*"&amp;D102&amp;"*",商品マスタ!$D:$E,2,FALSE)))*F102,
(H102-M102)-IF(COUNTIF(D102,"*キャラ*"),
VLOOKUP("*キャラ*",商品マスタ!$D:$E,2,FALSE),
IF(COUNTIF(D102,"*赤*"),
VLOOKUP("*赤*",商品マスタ!$D:$E,2,FALSE),
VLOOKUP("*"&amp;D102&amp;"*",商品マスタ!$D:$E,2,FALSE)))*F102),"")</f>
        <v/>
      </c>
      <c r="H102" s="105" t="str">
        <f>IF(C102&lt;&gt;"",
クライアント抽出!C32,"")</f>
        <v/>
      </c>
      <c r="I102" s="104" t="str">
        <f t="array" aca="1" ref="I102" ca="1">IF(C102&lt;&gt;"",
IF(O102=1,
IF(SUMPRODUCT(COUNTIF(クライアント抽出!P32:U32,クライアント抽出!P32:U32))&gt;COUNTA(クライアント抽出!P32:U32),
IFERROR(INDIRECT("数出表_Excel!"&amp;INDEX(_xlfn.UNIQUE(_xlfn._xlws.FILTER(クライアント抽出!P32:U32,COUNTIF(クライアント抽出!P32:U32,クライアント抽出!P32:U32)&gt;1)),1)&amp;L32&amp;""),
クライアント抽出!E32),0),クライアント抽出!F32),"")</f>
        <v/>
      </c>
      <c r="J102" s="104" t="str">
        <f>IF(C102&lt;&gt;"",
VLOOKUP(
"*"&amp;LEFT(IF(COUNTIF(D102,"*学食*"),"キャラ弁（学食）",
IF(COUNTIF(D102,"*赤*"),"赤",
IF(COUNTIF(D102,"*キャラ弁当*"),"キャラ弁当",D102))),4)&amp;"*",注文弁当の抽出!$F$1:$G$15,2,FALSE),"")</f>
        <v/>
      </c>
      <c r="K102" s="104" t="str">
        <f ca="1">IF(クライアント抽出!Q32&lt;&gt;"",SUBSTITUTE(ADDRESS(1,(CODE(クライアント抽出!Q32)-64)*2-1,4),"1",""),"")</f>
        <v/>
      </c>
      <c r="L102" s="104" t="str">
        <f>IF(C32&lt;&gt;"",クライアント抽出!I32,"")</f>
        <v/>
      </c>
      <c r="M102" s="104">
        <f t="array" aca="1" ref="M102" ca="1">IF(C102&lt;&gt;"",
IF(K102&lt;&gt;"",INDIRECT("'数出表_Excel（アレルギー入力）'!"&amp;K102&amp;L102-1&amp;""),),)</f>
        <v>0</v>
      </c>
      <c r="N102" s="104" t="str">
        <f>IF(C102&lt;&gt;"",IF(OR(COUNTIF('盛付札（関数）'!D102,"*赤*"),COUNTIF('盛付札（関数）'!D102,"*キャラ*")),1,
VALUE(VLOOKUP("*"&amp;D102&amp;"*",商品マスタ!D:H,5,FALSE))),"")</f>
        <v/>
      </c>
      <c r="O102" s="104">
        <f t="shared" ca="1" si="56"/>
        <v>0</v>
      </c>
      <c r="P102" s="104">
        <f t="shared" si="33"/>
        <v>0</v>
      </c>
      <c r="Q102" s="104" t="b">
        <f t="shared" si="34"/>
        <v>0</v>
      </c>
      <c r="R102" s="176" t="str">
        <f t="array" aca="1" ref="R102" ca="1">IFERROR(SMALL(IF(P$1:P$311&lt;&gt;0,P$1:P$311),ROW(A102)),"")</f>
        <v/>
      </c>
      <c r="S102" s="176" t="str">
        <f t="array" aca="1" ref="S102" ca="1">IF($R102&lt;&gt;"",
SUBSTITUTE(SUBSTITUTE(INDIRECT("C"&amp;$R102&amp;"")," 週3ｺｰｽ","")," 週5ｺｰｽ",""),"")</f>
        <v/>
      </c>
      <c r="T102" s="176" t="str">
        <f t="array" aca="1" ref="T102" ca="1">IF(IF($R102&lt;&gt;"",
INDIRECT(""&amp;IF(COLUMN(D102)&lt;=26,CHAR(COLUMN(D102)+64),CHAR(INT((COLUMN(D102)-1)/26)+64)&amp;CHAR(MOD(COLUMN(D102)-1,26)+65))&amp;$R102&amp;""),"")=0,"",
IF($R102&lt;&gt;"",
INDIRECT(""&amp;IF(COLUMN(D102)&lt;=26,CHAR(COLUMN(D102)+64),CHAR(INT((COLUMN(D102)-1)/26)+64)&amp;CHAR(MOD(COLUMN(D102)-1,26)+65))&amp;$R102&amp;""),""))</f>
        <v/>
      </c>
      <c r="U102" s="218" t="str">
        <f t="array" aca="1" ref="U102" ca="1">IF($R102&lt;&gt;"",
INDIRECT("F"&amp;$R102&amp;""),"")</f>
        <v/>
      </c>
      <c r="V102" s="219" t="str">
        <f t="array" aca="1" ref="V102" ca="1">IF($R102&lt;&gt;"",
INDIRECT("G"&amp;$R102&amp;""),"")</f>
        <v/>
      </c>
      <c r="W102" s="219" t="str" cm="1">
        <f t="array" aca="1" ref="W102" ca="1">IF($R102&lt;&gt;"",
IF(AND(COUNTIF(INDIRECT("B"&amp;R102&amp;""),"*雙葉*"),COUNTIF($B$71:$B$210,"*雙葉*")&gt;=1),
IF(OR(COUNTIF(INDIRECT("B"&amp;R102&amp;""),"*雙葉先生*"),COUNTIF(INDIRECT("B"&amp;R102-1&amp;""),"*雙葉*")),INDIRECT("H"&amp;R102&amp;""),INDIRECT("H"&amp;R102&amp;"")+INDIRECT("H"&amp;MATCH("雙葉'",INDIRECT("B"&amp;R102+3&amp;":B210"),0)+2+R102&amp;"")),
IF(AND(LEFT(INDIRECT("B"&amp;R102&amp;""),2)="博多",COUNTIF(B:B,"*博多*")&gt;=2),
INDIRECT("H"&amp;R102&amp;"")+IFERROR(INDIRECT("H"&amp;MATCH("*"&amp;INDIRECT("B"&amp;R102&amp;"")&amp;"*",INDIRECT("B"&amp;R102+1&amp;":B210"),0)+R102&amp;""),0),
IF(AND(LEFT(INDIRECT("B"&amp;R102&amp;""),3)="奈良屋",COUNTIF(B:B,"*奈良屋*")&gt;=2),
INDIRECT("H"&amp;R102&amp;"")
+INDIRECT("H"&amp;MATCH("*"&amp;INDIRECT("B"&amp;R102&amp;"")&amp;"*",INDIRECT("B"&amp;R102+1&amp;":B210"),0)+R102&amp;"")
+INDIRECT("H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
+INDIRECT("H"&amp;MATCH("*"&amp;INDIRECT("B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&amp;"*",INDIRECT("B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+1&amp;":B210"),0)+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,
INDIRECT("H"&amp;R102&amp;"")))),"")</f>
        <v/>
      </c>
      <c r="X102" s="176" t="str">
        <f t="array" aca="1" ref="X102" ca="1">IF($R102&lt;&gt;"",
INDIRECT(""&amp;IF(COLUMN(I102)&lt;=26,CHAR(COLUMN(I102)+64),CHAR(INT((COLUMN(I102)-1)/26)+64)&amp;CHAR(MOD(COLUMN(I102)-1,26)+65))&amp;$R102&amp;""),"")</f>
        <v/>
      </c>
      <c r="Y102" s="176" t="str">
        <f t="array" aca="1" ref="Y102" ca="1">IF($R102&lt;&gt;"",
INDIRECT(""&amp;IF(COLUMN(J102)&lt;=26,CHAR(COLUMN(J102)+64),CHAR(INT((COLUMN(J102)-1)/26)+64)&amp;CHAR(MOD(COLUMN(J102)-1,26)+65))&amp;$R102&amp;""),"")</f>
        <v/>
      </c>
      <c r="Z102" s="176" t="str">
        <f t="shared" ca="1" si="35"/>
        <v/>
      </c>
      <c r="AA102" s="176" t="str">
        <f t="shared" ca="1" si="36"/>
        <v/>
      </c>
      <c r="AB102" s="176" t="str">
        <f t="array" aca="1" ref="AB102" ca="1">IF($R102&lt;&gt;"",
IF(AND(COUNTIF(INDIRECT("B"&amp;R102&amp;""),"*雙葉*"),COUNTIF(INDIRECT("B"&amp;R102&amp;""),"&lt;&gt;*先生*"),COUNTIF(B:B,"*雙葉*")&gt;=2),
INDIRECT("M"&amp;R102&amp;"")+INDIRECT("M"&amp;MATCH("雙葉'",INDIRECT("B"&amp;R102+1&amp;":B210"),0)+R102&amp;""),
IF(AND(LEFT(INDIRECT("B"&amp;R102&amp;""),2)="博多",COUNTIF(B:B,"*博多*")&gt;=2),
INDIRECT("M"&amp;R102&amp;"")+INDIRECT("M"&amp;MATCH("*"&amp;INDIRECT("B"&amp;R102&amp;"")&amp;"*",INDIRECT("B"&amp;R102+1&amp;":B210"),0)+R102&amp;""),
IF(AND(LEFT(INDIRECT("B"&amp;R102&amp;""),3)="奈良屋",COUNTIF(B:B,"*奈良屋*")&gt;=2),
INDIRECT("M"&amp;R102&amp;"")+INDIRECT("M"&amp;MATCH("*"&amp;INDIRECT("B"&amp;R102&amp;"")&amp;"*",INDIRECT("B"&amp;R102+1&amp;":B210"),0)+R102&amp;"")
+INDIRECT("M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,
INDIRECT("M"&amp;R102&amp;"")))),"")</f>
        <v/>
      </c>
      <c r="AC102" s="176" t="str">
        <f t="shared" ca="1" si="37"/>
        <v/>
      </c>
      <c r="AD102" s="176" t="str">
        <f t="shared" ca="1" si="38"/>
        <v/>
      </c>
      <c r="AE102" s="176" t="str">
        <f t="shared" ca="1" si="39"/>
        <v/>
      </c>
      <c r="AF102" s="176" t="str">
        <f t="shared" ca="1" si="40"/>
        <v/>
      </c>
      <c r="AG102" s="176" t="str">
        <f t="shared" ca="1" si="41"/>
        <v/>
      </c>
      <c r="AH102" s="183" t="str">
        <f t="shared" ca="1" si="42"/>
        <v/>
      </c>
      <c r="AI102" s="176" t="str">
        <f t="shared" ca="1" si="43"/>
        <v/>
      </c>
      <c r="AJ102" s="176" t="str">
        <f t="shared" ca="1" si="44"/>
        <v/>
      </c>
      <c r="AK102" s="176" t="str">
        <f t="shared" ca="1" si="45"/>
        <v/>
      </c>
      <c r="AL102" s="176" t="str">
        <f t="shared" ca="1" si="46"/>
        <v/>
      </c>
      <c r="AM102" s="176" t="str">
        <f t="shared" ca="1" si="47"/>
        <v/>
      </c>
      <c r="AN102" s="176" t="str">
        <f t="shared" ca="1" si="48"/>
        <v/>
      </c>
      <c r="AO102" s="176" t="str">
        <f t="shared" ca="1" si="49"/>
        <v/>
      </c>
      <c r="AP102" s="176" t="str">
        <f t="shared" ca="1" si="50"/>
        <v/>
      </c>
      <c r="AU102" s="176" t="str">
        <f t="shared" ca="1" si="51"/>
        <v/>
      </c>
    </row>
    <row r="103" spans="1:47" ht="22.2" customHeight="1">
      <c r="A103" s="103">
        <f t="shared" si="57"/>
        <v>71</v>
      </c>
      <c r="B103" s="104" t="str">
        <f t="shared" ref="B103:B134" ca="1" si="58">IF(COUNTIF(C103,"*雙葉*"),
IF(COUNTIF(INDIRECT("B1:B"&amp;ROW()-1&amp;""),"雙葉"),
IF(COUNTIF(C103,"*先生*"),"雙葉先生","雙葉'"),"雙葉"),
IF(COUNTIF(C103,"*社食*"),"社食'",
IF(LEFT(C103,2)="博多",
IF(COUNTIF(C103,"*別注*"),
IFERROR(TRIM(LEFT(C103,FIND("週",C103)-1)),TRIM(C103)),
IF(IFERROR(TRIM(LEFT(C102,FIND("週",C102)-1)),TRIM(C102))=IFERROR(TRIM(LEFT(C103,FIND("週",C103)-1)),TRIM(C103)),
IFERROR(TRIM(LEFT(C103,FIND("週",C103)-1)),TRIM(C103))&amp;"'",IFERROR(TRIM(LEFT(C103,FIND("週",C103)-1)),TRIM(C103)))),
IF(LEFT(C103,3)="奈良屋",
IF(IFERROR(TRIM(LEFT(C102,FIND("幼",C102)-1)),TRIM(C102))=IFERROR(TRIM(LEFT(C103,FIND("幼",C103)-1)),TRIM(C103)),
"奈良屋'","奈良屋"),""))))</f>
        <v/>
      </c>
      <c r="C103" s="104" t="str">
        <f>IF(OR(クライアント抽出!C33&lt;&gt;"",クライアント抽出!F33&lt;&gt;""),クライアント抽出!A33,"")</f>
        <v/>
      </c>
      <c r="D103" s="104" t="str">
        <f t="array" aca="1" ref="D103" ca="1">IF(C103&lt;&gt;"",INDIRECT("クライアント抽出!"&amp;E103&amp;MATCH(C103,クライアント抽出!A:A,0)&amp;""),"")</f>
        <v/>
      </c>
      <c r="E103" s="104" t="str">
        <f>IF(H103&lt;&gt;0,
IFERROR(
SUBSTITUTE(ADDRESS(1,
MATCH(VALUE(H103),クライアント抽出!A33:G33,0)+8,4),"1",""),
""),
IFERROR(
SUBSTITUTE(ADDRESS(1,
MATCH(VALUE(I103),クライアント抽出!A33:G33,0)+8,4),"1",""),
""))</f>
        <v/>
      </c>
      <c r="F103" s="186" t="str">
        <f ca="1">IF(D103&lt;&gt;"",
IF(COUNTIF(C103,"*雙葉*"),
IF(ROUND((H103-M103)
/IF(COUNTIF(D103,"*キャラ*"),
VLOOKUP("*キャラ*",商品マスタ!$D:$E,2,FALSE),
IF(COUNTIF(D103,"*赤*"),
VLOOKUP("*赤*",商品マスタ!$D:$E,2,FALSE),
VLOOKUP("*"&amp;D103&amp;"*",商品マスタ!$D:$E,2,FALSE))),0)&lt;=0,1,
ROUND((H103-M103)
/IF(COUNTIF(D103,"*キャラ*"),
VLOOKUP("*キャラ*",商品マスタ!$D:$E,2,FALSE),
IF(COUNTIF(D103,"*赤*"),
VLOOKUP("*赤*",商品マスタ!$D:$E,2,FALSE),
VLOOKUP("*"&amp;D103&amp;"*",商品マスタ!$D:$E,2,FALSE))),0)),
IF(OR(COUNTIF(D103,"*キャラ*"),COUNTIF(D103,"*赤*")),"",
IF(VLOOKUP("*"&amp;D103&amp;"*",商品マスタ!$D:$E,2,FALSE)=0,"",
IF(ROUND((H103-M103)
/VLOOKUP("*"&amp;D103&amp;"*",商品マスタ!$D:$E,2,FALSE),0)&lt;=0,1,
ROUND((H103-M103)
/VLOOKUP("*"&amp;D103&amp;"*",商品マスタ!$D:$E,2,FALSE),0))))),"")</f>
        <v/>
      </c>
      <c r="G103" s="104" t="str">
        <f ca="1">IF(F103&lt;&gt;"",
IF(VALUE(H103-M103)&gt;VALUE(IF(COUNTIF(D103,"*キャラ*"),
VLOOKUP("*キャラ*",商品マスタ!$D:$E,2,FALSE),
IF(COUNTIF(D103,"*赤*"),
VLOOKUP("*赤*",商品マスタ!$D:$E,2,FALSE),
VLOOKUP("*"&amp;D103&amp;"*",商品マスタ!$D:$E,2,FALSE)))*F103),
"+"&amp;(H103-M103)-IF(COUNTIF(D103,"*キャラ*"),
VLOOKUP("*キャラ*",商品マスタ!$D:$E,2,FALSE),
IF(COUNTIF(D103,"*赤*"),
VLOOKUP("*赤*",商品マスタ!$D:$E,2,FALSE),
VLOOKUP("*"&amp;D103&amp;"*",商品マスタ!$D:$E,2,FALSE)))*F103,
(H103-M103)-IF(COUNTIF(D103,"*キャラ*"),
VLOOKUP("*キャラ*",商品マスタ!$D:$E,2,FALSE),
IF(COUNTIF(D103,"*赤*"),
VLOOKUP("*赤*",商品マスタ!$D:$E,2,FALSE),
VLOOKUP("*"&amp;D103&amp;"*",商品マスタ!$D:$E,2,FALSE)))*F103),"")</f>
        <v/>
      </c>
      <c r="H103" s="105" t="str">
        <f>IF(C103&lt;&gt;"",
クライアント抽出!C33,"")</f>
        <v/>
      </c>
      <c r="I103" s="104" t="str">
        <f t="array" aca="1" ref="I103" ca="1">IF(C103&lt;&gt;"",
IF(O103=1,
IF(SUMPRODUCT(COUNTIF(クライアント抽出!P33:U33,クライアント抽出!P33:U33))&gt;COUNTA(クライアント抽出!P33:U33),
IFERROR(INDIRECT("数出表_Excel!"&amp;INDEX(_xlfn.UNIQUE(_xlfn._xlws.FILTER(クライアント抽出!P33:U33,COUNTIF(クライアント抽出!P33:U33,クライアント抽出!P33:U33)&gt;1)),1)&amp;L33&amp;""),
クライアント抽出!E33),0),クライアント抽出!F33),"")</f>
        <v/>
      </c>
      <c r="J103" s="104" t="str">
        <f>IF(C103&lt;&gt;"",
VLOOKUP(
"*"&amp;LEFT(IF(COUNTIF(D103,"*学食*"),"キャラ弁（学食）",
IF(COUNTIF(D103,"*赤*"),"赤",
IF(COUNTIF(D103,"*キャラ弁当*"),"キャラ弁当",D103))),4)&amp;"*",注文弁当の抽出!$F$1:$G$15,2,FALSE),"")</f>
        <v/>
      </c>
      <c r="K103" s="104" t="str">
        <f ca="1">IF(クライアント抽出!Q33&lt;&gt;"",SUBSTITUTE(ADDRESS(1,(CODE(クライアント抽出!Q33)-64)*2-1,4),"1",""),"")</f>
        <v/>
      </c>
      <c r="L103" s="104" t="str">
        <f>IF(C33&lt;&gt;"",クライアント抽出!I33,"")</f>
        <v/>
      </c>
      <c r="M103" s="104">
        <f t="array" aca="1" ref="M103" ca="1">IF(C103&lt;&gt;"",
IF(K103&lt;&gt;"",INDIRECT("'数出表_Excel（アレルギー入力）'!"&amp;K103&amp;L103-1&amp;""),),)</f>
        <v>0</v>
      </c>
      <c r="N103" s="104" t="str">
        <f>IF(C103&lt;&gt;"",IF(OR(COUNTIF('盛付札（関数）'!D103,"*赤*"),COUNTIF('盛付札（関数）'!D103,"*キャラ*")),1,
VALUE(VLOOKUP("*"&amp;D103&amp;"*",商品マスタ!D:H,5,FALSE))),"")</f>
        <v/>
      </c>
      <c r="O103" s="104">
        <f t="shared" ref="O103:O134" ca="1" si="59">O33</f>
        <v>0</v>
      </c>
      <c r="P103" s="104">
        <f t="shared" si="33"/>
        <v>0</v>
      </c>
      <c r="Q103" s="104" t="b">
        <f t="shared" si="34"/>
        <v>0</v>
      </c>
      <c r="R103" s="176" t="str">
        <f t="array" aca="1" ref="R103" ca="1">IFERROR(SMALL(IF(P$1:P$311&lt;&gt;0,P$1:P$311),ROW(A103)),"")</f>
        <v/>
      </c>
      <c r="S103" s="176" t="str">
        <f t="array" aca="1" ref="S103" ca="1">IF($R103&lt;&gt;"",
SUBSTITUTE(SUBSTITUTE(INDIRECT("C"&amp;$R103&amp;"")," 週3ｺｰｽ","")," 週5ｺｰｽ",""),"")</f>
        <v/>
      </c>
      <c r="T103" s="176" t="str">
        <f t="array" aca="1" ref="T103" ca="1">IF(IF($R103&lt;&gt;"",
INDIRECT(""&amp;IF(COLUMN(D103)&lt;=26,CHAR(COLUMN(D103)+64),CHAR(INT((COLUMN(D103)-1)/26)+64)&amp;CHAR(MOD(COLUMN(D103)-1,26)+65))&amp;$R103&amp;""),"")=0,"",
IF($R103&lt;&gt;"",
INDIRECT(""&amp;IF(COLUMN(D103)&lt;=26,CHAR(COLUMN(D103)+64),CHAR(INT((COLUMN(D103)-1)/26)+64)&amp;CHAR(MOD(COLUMN(D103)-1,26)+65))&amp;$R103&amp;""),""))</f>
        <v/>
      </c>
      <c r="U103" s="218" t="str">
        <f t="array" aca="1" ref="U103" ca="1">IF($R103&lt;&gt;"",
INDIRECT("F"&amp;$R103&amp;""),"")</f>
        <v/>
      </c>
      <c r="V103" s="219" t="str">
        <f t="array" aca="1" ref="V103" ca="1">IF($R103&lt;&gt;"",
INDIRECT("G"&amp;$R103&amp;""),"")</f>
        <v/>
      </c>
      <c r="W103" s="219" t="str" cm="1">
        <f t="array" aca="1" ref="W103" ca="1">IF($R103&lt;&gt;"",
IF(AND(COUNTIF(INDIRECT("B"&amp;R103&amp;""),"*雙葉*"),COUNTIF($B$71:$B$210,"*雙葉*")&gt;=1),
IF(OR(COUNTIF(INDIRECT("B"&amp;R103&amp;""),"*雙葉先生*"),COUNTIF(INDIRECT("B"&amp;R103-1&amp;""),"*雙葉*")),INDIRECT("H"&amp;R103&amp;""),INDIRECT("H"&amp;R103&amp;"")+INDIRECT("H"&amp;MATCH("雙葉'",INDIRECT("B"&amp;R103+3&amp;":B210"),0)+2+R103&amp;"")),
IF(AND(LEFT(INDIRECT("B"&amp;R103&amp;""),2)="博多",COUNTIF(B:B,"*博多*")&gt;=2),
INDIRECT("H"&amp;R103&amp;"")+IFERROR(INDIRECT("H"&amp;MATCH("*"&amp;INDIRECT("B"&amp;R103&amp;"")&amp;"*",INDIRECT("B"&amp;R103+1&amp;":B210"),0)+R103&amp;""),0),
IF(AND(LEFT(INDIRECT("B"&amp;R103&amp;""),3)="奈良屋",COUNTIF(B:B,"*奈良屋*")&gt;=2),
INDIRECT("H"&amp;R103&amp;"")
+INDIRECT("H"&amp;MATCH("*"&amp;INDIRECT("B"&amp;R103&amp;"")&amp;"*",INDIRECT("B"&amp;R103+1&amp;":B210"),0)+R103&amp;"")
+INDIRECT("H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
+INDIRECT("H"&amp;MATCH("*"&amp;INDIRECT("B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&amp;"*",INDIRECT("B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+1&amp;":B210"),0)+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,
INDIRECT("H"&amp;R103&amp;"")))),"")</f>
        <v/>
      </c>
      <c r="X103" s="176" t="str">
        <f t="array" aca="1" ref="X103" ca="1">IF($R103&lt;&gt;"",
INDIRECT(""&amp;IF(COLUMN(I103)&lt;=26,CHAR(COLUMN(I103)+64),CHAR(INT((COLUMN(I103)-1)/26)+64)&amp;CHAR(MOD(COLUMN(I103)-1,26)+65))&amp;$R103&amp;""),"")</f>
        <v/>
      </c>
      <c r="Y103" s="176" t="str">
        <f t="array" aca="1" ref="Y103" ca="1">IF($R103&lt;&gt;"",
INDIRECT(""&amp;IF(COLUMN(J103)&lt;=26,CHAR(COLUMN(J103)+64),CHAR(INT((COLUMN(J103)-1)/26)+64)&amp;CHAR(MOD(COLUMN(J103)-1,26)+65))&amp;$R103&amp;""),"")</f>
        <v/>
      </c>
      <c r="Z103" s="176" t="str">
        <f t="shared" ca="1" si="35"/>
        <v/>
      </c>
      <c r="AA103" s="176" t="str">
        <f t="shared" ca="1" si="36"/>
        <v/>
      </c>
      <c r="AB103" s="176" t="str">
        <f t="array" aca="1" ref="AB103" ca="1">IF($R103&lt;&gt;"",
IF(AND(COUNTIF(INDIRECT("B"&amp;R103&amp;""),"*雙葉*"),COUNTIF(INDIRECT("B"&amp;R103&amp;""),"&lt;&gt;*先生*"),COUNTIF(B:B,"*雙葉*")&gt;=2),
INDIRECT("M"&amp;R103&amp;"")+INDIRECT("M"&amp;MATCH("雙葉'",INDIRECT("B"&amp;R103+1&amp;":B210"),0)+R103&amp;""),
IF(AND(LEFT(INDIRECT("B"&amp;R103&amp;""),2)="博多",COUNTIF(B:B,"*博多*")&gt;=2),
INDIRECT("M"&amp;R103&amp;"")+INDIRECT("M"&amp;MATCH("*"&amp;INDIRECT("B"&amp;R103&amp;"")&amp;"*",INDIRECT("B"&amp;R103+1&amp;":B210"),0)+R103&amp;""),
IF(AND(LEFT(INDIRECT("B"&amp;R103&amp;""),3)="奈良屋",COUNTIF(B:B,"*奈良屋*")&gt;=2),
INDIRECT("M"&amp;R103&amp;"")+INDIRECT("M"&amp;MATCH("*"&amp;INDIRECT("B"&amp;R103&amp;"")&amp;"*",INDIRECT("B"&amp;R103+1&amp;":B210"),0)+R103&amp;"")
+INDIRECT("M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,
INDIRECT("M"&amp;R103&amp;"")))),"")</f>
        <v/>
      </c>
      <c r="AC103" s="176" t="str">
        <f t="shared" ca="1" si="37"/>
        <v/>
      </c>
      <c r="AD103" s="176" t="str">
        <f t="shared" ca="1" si="38"/>
        <v/>
      </c>
      <c r="AE103" s="176" t="str">
        <f t="shared" ca="1" si="39"/>
        <v/>
      </c>
      <c r="AF103" s="176" t="str">
        <f t="shared" ca="1" si="40"/>
        <v/>
      </c>
      <c r="AG103" s="176" t="str">
        <f t="shared" ca="1" si="41"/>
        <v/>
      </c>
      <c r="AH103" s="183" t="str">
        <f t="shared" ca="1" si="42"/>
        <v/>
      </c>
      <c r="AI103" s="176" t="str">
        <f t="shared" ca="1" si="43"/>
        <v/>
      </c>
      <c r="AJ103" s="176" t="str">
        <f t="shared" ca="1" si="44"/>
        <v/>
      </c>
      <c r="AK103" s="176" t="str">
        <f t="shared" ca="1" si="45"/>
        <v/>
      </c>
      <c r="AL103" s="176" t="str">
        <f t="shared" ca="1" si="46"/>
        <v/>
      </c>
      <c r="AM103" s="176" t="str">
        <f t="shared" ca="1" si="47"/>
        <v/>
      </c>
      <c r="AN103" s="176" t="str">
        <f t="shared" ca="1" si="48"/>
        <v/>
      </c>
      <c r="AO103" s="176" t="str">
        <f t="shared" ca="1" si="49"/>
        <v/>
      </c>
      <c r="AP103" s="176" t="str">
        <f t="shared" ca="1" si="50"/>
        <v/>
      </c>
      <c r="AU103" s="176" t="str">
        <f t="shared" ca="1" si="51"/>
        <v/>
      </c>
    </row>
    <row r="104" spans="1:47" ht="22.2" customHeight="1">
      <c r="A104" s="103">
        <f t="shared" ref="A104:A140" si="60">A103+2</f>
        <v>73</v>
      </c>
      <c r="B104" s="104" t="str">
        <f t="shared" ca="1" si="58"/>
        <v/>
      </c>
      <c r="C104" s="104" t="str">
        <f>IF(OR(クライアント抽出!C34&lt;&gt;"",クライアント抽出!F34&lt;&gt;""),クライアント抽出!A34,"")</f>
        <v/>
      </c>
      <c r="D104" s="104" t="str">
        <f t="array" aca="1" ref="D104" ca="1">IF(C104&lt;&gt;"",INDIRECT("クライアント抽出!"&amp;E104&amp;MATCH(C104,クライアント抽出!A:A,0)&amp;""),"")</f>
        <v/>
      </c>
      <c r="E104" s="104" t="str">
        <f>IF(H104&lt;&gt;0,
IFERROR(
SUBSTITUTE(ADDRESS(1,
MATCH(VALUE(H104),クライアント抽出!A34:G34,0)+8,4),"1",""),
""),
IFERROR(
SUBSTITUTE(ADDRESS(1,
MATCH(VALUE(I104),クライアント抽出!A34:G34,0)+8,4),"1",""),
""))</f>
        <v/>
      </c>
      <c r="F104" s="186" t="str">
        <f ca="1">IF(D104&lt;&gt;"",
IF(COUNTIF(C104,"*雙葉*"),
IF(ROUND((H104-M104)
/IF(COUNTIF(D104,"*キャラ*"),
VLOOKUP("*キャラ*",商品マスタ!$D:$E,2,FALSE),
IF(COUNTIF(D104,"*赤*"),
VLOOKUP("*赤*",商品マスタ!$D:$E,2,FALSE),
VLOOKUP("*"&amp;D104&amp;"*",商品マスタ!$D:$E,2,FALSE))),0)&lt;=0,1,
ROUND((H104-M104)
/IF(COUNTIF(D104,"*キャラ*"),
VLOOKUP("*キャラ*",商品マスタ!$D:$E,2,FALSE),
IF(COUNTIF(D104,"*赤*"),
VLOOKUP("*赤*",商品マスタ!$D:$E,2,FALSE),
VLOOKUP("*"&amp;D104&amp;"*",商品マスタ!$D:$E,2,FALSE))),0)),
IF(OR(COUNTIF(D104,"*キャラ*"),COUNTIF(D104,"*赤*")),"",
IF(VLOOKUP("*"&amp;D104&amp;"*",商品マスタ!$D:$E,2,FALSE)=0,"",
IF(ROUND((H104-M104)
/VLOOKUP("*"&amp;D104&amp;"*",商品マスタ!$D:$E,2,FALSE),0)&lt;=0,1,
ROUND((H104-M104)
/VLOOKUP("*"&amp;D104&amp;"*",商品マスタ!$D:$E,2,FALSE),0))))),"")</f>
        <v/>
      </c>
      <c r="G104" s="104" t="str">
        <f ca="1">IF(F104&lt;&gt;"",
IF(VALUE(H104-M104)&gt;VALUE(IF(COUNTIF(D104,"*キャラ*"),
VLOOKUP("*キャラ*",商品マスタ!$D:$E,2,FALSE),
IF(COUNTIF(D104,"*赤*"),
VLOOKUP("*赤*",商品マスタ!$D:$E,2,FALSE),
VLOOKUP("*"&amp;D104&amp;"*",商品マスタ!$D:$E,2,FALSE)))*F104),
"+"&amp;(H104-M104)-IF(COUNTIF(D104,"*キャラ*"),
VLOOKUP("*キャラ*",商品マスタ!$D:$E,2,FALSE),
IF(COUNTIF(D104,"*赤*"),
VLOOKUP("*赤*",商品マスタ!$D:$E,2,FALSE),
VLOOKUP("*"&amp;D104&amp;"*",商品マスタ!$D:$E,2,FALSE)))*F104,
(H104-M104)-IF(COUNTIF(D104,"*キャラ*"),
VLOOKUP("*キャラ*",商品マスタ!$D:$E,2,FALSE),
IF(COUNTIF(D104,"*赤*"),
VLOOKUP("*赤*",商品マスタ!$D:$E,2,FALSE),
VLOOKUP("*"&amp;D104&amp;"*",商品マスタ!$D:$E,2,FALSE)))*F104),"")</f>
        <v/>
      </c>
      <c r="H104" s="105" t="str">
        <f>IF(C104&lt;&gt;"",
クライアント抽出!C34,"")</f>
        <v/>
      </c>
      <c r="I104" s="104" t="str">
        <f t="array" aca="1" ref="I104" ca="1">IF(C104&lt;&gt;"",
IF(O104=1,
IF(SUMPRODUCT(COUNTIF(クライアント抽出!P34:U34,クライアント抽出!P34:U34))&gt;COUNTA(クライアント抽出!P34:U34),
IFERROR(INDIRECT("数出表_Excel!"&amp;INDEX(_xlfn.UNIQUE(_xlfn._xlws.FILTER(クライアント抽出!P34:U34,COUNTIF(クライアント抽出!P34:U34,クライアント抽出!P34:U34)&gt;1)),1)&amp;L34&amp;""),
クライアント抽出!E34),0),クライアント抽出!F34),"")</f>
        <v/>
      </c>
      <c r="J104" s="104" t="str">
        <f>IF(C104&lt;&gt;"",
VLOOKUP(
"*"&amp;LEFT(IF(COUNTIF(D104,"*学食*"),"キャラ弁（学食）",
IF(COUNTIF(D104,"*赤*"),"赤",
IF(COUNTIF(D104,"*キャラ弁当*"),"キャラ弁当",D104))),4)&amp;"*",注文弁当の抽出!$F$1:$G$15,2,FALSE),"")</f>
        <v/>
      </c>
      <c r="K104" s="104" t="str">
        <f ca="1">IF(クライアント抽出!Q34&lt;&gt;"",SUBSTITUTE(ADDRESS(1,(CODE(クライアント抽出!Q34)-64)*2-1,4),"1",""),"")</f>
        <v/>
      </c>
      <c r="L104" s="104" t="str">
        <f>IF(C34&lt;&gt;"",クライアント抽出!I34,"")</f>
        <v/>
      </c>
      <c r="M104" s="104">
        <f t="array" aca="1" ref="M104" ca="1">IF(C104&lt;&gt;"",
IF(K104&lt;&gt;"",INDIRECT("'数出表_Excel（アレルギー入力）'!"&amp;K104&amp;L104-1&amp;""),),)</f>
        <v>0</v>
      </c>
      <c r="N104" s="104" t="str">
        <f>IF(C104&lt;&gt;"",IF(OR(COUNTIF('盛付札（関数）'!D104,"*赤*"),COUNTIF('盛付札（関数）'!D104,"*キャラ*")),1,
VALUE(VLOOKUP("*"&amp;D104&amp;"*",商品マスタ!D:H,5,FALSE))),"")</f>
        <v/>
      </c>
      <c r="O104" s="104">
        <f t="shared" ca="1" si="59"/>
        <v>0</v>
      </c>
      <c r="P104" s="104">
        <f t="shared" si="33"/>
        <v>0</v>
      </c>
      <c r="Q104" s="104" t="b">
        <f t="shared" si="34"/>
        <v>0</v>
      </c>
      <c r="R104" s="176" t="str">
        <f t="array" aca="1" ref="R104" ca="1">IFERROR(SMALL(IF(P$1:P$311&lt;&gt;0,P$1:P$311),ROW(A104)),"")</f>
        <v/>
      </c>
      <c r="S104" s="176" t="str">
        <f t="array" aca="1" ref="S104" ca="1">IF($R104&lt;&gt;"",
SUBSTITUTE(SUBSTITUTE(INDIRECT("C"&amp;$R104&amp;"")," 週3ｺｰｽ","")," 週5ｺｰｽ",""),"")</f>
        <v/>
      </c>
      <c r="T104" s="176" t="str">
        <f t="array" aca="1" ref="T104" ca="1">IF(IF($R104&lt;&gt;"",
INDIRECT(""&amp;IF(COLUMN(D104)&lt;=26,CHAR(COLUMN(D104)+64),CHAR(INT((COLUMN(D104)-1)/26)+64)&amp;CHAR(MOD(COLUMN(D104)-1,26)+65))&amp;$R104&amp;""),"")=0,"",
IF($R104&lt;&gt;"",
INDIRECT(""&amp;IF(COLUMN(D104)&lt;=26,CHAR(COLUMN(D104)+64),CHAR(INT((COLUMN(D104)-1)/26)+64)&amp;CHAR(MOD(COLUMN(D104)-1,26)+65))&amp;$R104&amp;""),""))</f>
        <v/>
      </c>
      <c r="U104" s="218" t="str">
        <f t="array" aca="1" ref="U104" ca="1">IF($R104&lt;&gt;"",
INDIRECT("F"&amp;$R104&amp;""),"")</f>
        <v/>
      </c>
      <c r="V104" s="219" t="str">
        <f t="array" aca="1" ref="V104" ca="1">IF($R104&lt;&gt;"",
INDIRECT("G"&amp;$R104&amp;""),"")</f>
        <v/>
      </c>
      <c r="W104" s="219" t="str" cm="1">
        <f t="array" aca="1" ref="W104" ca="1">IF($R104&lt;&gt;"",
IF(AND(COUNTIF(INDIRECT("B"&amp;R104&amp;""),"*雙葉*"),COUNTIF($B$71:$B$210,"*雙葉*")&gt;=1),
IF(OR(COUNTIF(INDIRECT("B"&amp;R104&amp;""),"*雙葉先生*"),COUNTIF(INDIRECT("B"&amp;R104-1&amp;""),"*雙葉*")),INDIRECT("H"&amp;R104&amp;""),INDIRECT("H"&amp;R104&amp;"")+INDIRECT("H"&amp;MATCH("雙葉'",INDIRECT("B"&amp;R104+3&amp;":B210"),0)+2+R104&amp;"")),
IF(AND(LEFT(INDIRECT("B"&amp;R104&amp;""),2)="博多",COUNTIF(B:B,"*博多*")&gt;=2),
INDIRECT("H"&amp;R104&amp;"")+IFERROR(INDIRECT("H"&amp;MATCH("*"&amp;INDIRECT("B"&amp;R104&amp;"")&amp;"*",INDIRECT("B"&amp;R104+1&amp;":B210"),0)+R104&amp;""),0),
IF(AND(LEFT(INDIRECT("B"&amp;R104&amp;""),3)="奈良屋",COUNTIF(B:B,"*奈良屋*")&gt;=2),
INDIRECT("H"&amp;R104&amp;"")
+INDIRECT("H"&amp;MATCH("*"&amp;INDIRECT("B"&amp;R104&amp;"")&amp;"*",INDIRECT("B"&amp;R104+1&amp;":B210"),0)+R104&amp;"")
+INDIRECT("H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
+INDIRECT("H"&amp;MATCH("*"&amp;INDIRECT("B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&amp;"*",INDIRECT("B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+1&amp;":B210"),0)+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,
INDIRECT("H"&amp;R104&amp;"")))),"")</f>
        <v/>
      </c>
      <c r="X104" s="176" t="str">
        <f t="array" aca="1" ref="X104" ca="1">IF($R104&lt;&gt;"",
INDIRECT(""&amp;IF(COLUMN(I104)&lt;=26,CHAR(COLUMN(I104)+64),CHAR(INT((COLUMN(I104)-1)/26)+64)&amp;CHAR(MOD(COLUMN(I104)-1,26)+65))&amp;$R104&amp;""),"")</f>
        <v/>
      </c>
      <c r="Y104" s="176" t="str">
        <f t="array" aca="1" ref="Y104" ca="1">IF($R104&lt;&gt;"",
INDIRECT(""&amp;IF(COLUMN(J104)&lt;=26,CHAR(COLUMN(J104)+64),CHAR(INT((COLUMN(J104)-1)/26)+64)&amp;CHAR(MOD(COLUMN(J104)-1,26)+65))&amp;$R104&amp;""),"")</f>
        <v/>
      </c>
      <c r="Z104" s="176" t="str">
        <f t="shared" ca="1" si="35"/>
        <v/>
      </c>
      <c r="AA104" s="176" t="str">
        <f t="shared" ca="1" si="36"/>
        <v/>
      </c>
      <c r="AB104" s="176" t="str">
        <f t="array" aca="1" ref="AB104" ca="1">IF($R104&lt;&gt;"",
IF(AND(COUNTIF(INDIRECT("B"&amp;R104&amp;""),"*雙葉*"),COUNTIF(INDIRECT("B"&amp;R104&amp;""),"&lt;&gt;*先生*"),COUNTIF(B:B,"*雙葉*")&gt;=2),
INDIRECT("M"&amp;R104&amp;"")+INDIRECT("M"&amp;MATCH("雙葉'",INDIRECT("B"&amp;R104+1&amp;":B210"),0)+R104&amp;""),
IF(AND(LEFT(INDIRECT("B"&amp;R104&amp;""),2)="博多",COUNTIF(B:B,"*博多*")&gt;=2),
INDIRECT("M"&amp;R104&amp;"")+INDIRECT("M"&amp;MATCH("*"&amp;INDIRECT("B"&amp;R104&amp;"")&amp;"*",INDIRECT("B"&amp;R104+1&amp;":B210"),0)+R104&amp;""),
IF(AND(LEFT(INDIRECT("B"&amp;R104&amp;""),3)="奈良屋",COUNTIF(B:B,"*奈良屋*")&gt;=2),
INDIRECT("M"&amp;R104&amp;"")+INDIRECT("M"&amp;MATCH("*"&amp;INDIRECT("B"&amp;R104&amp;"")&amp;"*",INDIRECT("B"&amp;R104+1&amp;":B210"),0)+R104&amp;"")
+INDIRECT("M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,
INDIRECT("M"&amp;R104&amp;"")))),"")</f>
        <v/>
      </c>
      <c r="AC104" s="176" t="str">
        <f t="shared" ca="1" si="37"/>
        <v/>
      </c>
      <c r="AD104" s="176" t="str">
        <f t="shared" ca="1" si="38"/>
        <v/>
      </c>
      <c r="AE104" s="176" t="str">
        <f t="shared" ca="1" si="39"/>
        <v/>
      </c>
      <c r="AF104" s="176" t="str">
        <f t="shared" ca="1" si="40"/>
        <v/>
      </c>
      <c r="AG104" s="176" t="str">
        <f t="shared" ca="1" si="41"/>
        <v/>
      </c>
      <c r="AH104" s="183" t="str">
        <f t="shared" ca="1" si="42"/>
        <v/>
      </c>
      <c r="AI104" s="176" t="str">
        <f t="shared" ca="1" si="43"/>
        <v/>
      </c>
      <c r="AJ104" s="176" t="str">
        <f t="shared" ca="1" si="44"/>
        <v/>
      </c>
      <c r="AK104" s="176" t="str">
        <f t="shared" ca="1" si="45"/>
        <v/>
      </c>
      <c r="AL104" s="176" t="str">
        <f t="shared" ca="1" si="46"/>
        <v/>
      </c>
      <c r="AM104" s="176" t="str">
        <f t="shared" ca="1" si="47"/>
        <v/>
      </c>
      <c r="AN104" s="176" t="str">
        <f t="shared" ca="1" si="48"/>
        <v/>
      </c>
      <c r="AO104" s="176" t="str">
        <f t="shared" ca="1" si="49"/>
        <v/>
      </c>
      <c r="AP104" s="176" t="str">
        <f t="shared" ca="1" si="50"/>
        <v/>
      </c>
      <c r="AU104" s="176" t="str">
        <f t="shared" ca="1" si="51"/>
        <v/>
      </c>
    </row>
    <row r="105" spans="1:47" ht="22.2" customHeight="1">
      <c r="A105" s="103">
        <f t="shared" si="60"/>
        <v>75</v>
      </c>
      <c r="B105" s="104" t="str">
        <f t="shared" ca="1" si="58"/>
        <v/>
      </c>
      <c r="C105" s="104" t="str">
        <f>IF(OR(クライアント抽出!C35&lt;&gt;"",クライアント抽出!F35&lt;&gt;""),クライアント抽出!A35,"")</f>
        <v/>
      </c>
      <c r="D105" s="104" t="str">
        <f t="array" aca="1" ref="D105" ca="1">IF(C105&lt;&gt;"",INDIRECT("クライアント抽出!"&amp;E105&amp;MATCH(C105,クライアント抽出!A:A,0)&amp;""),"")</f>
        <v/>
      </c>
      <c r="E105" s="104" t="str">
        <f>IF(H105&lt;&gt;0,
IFERROR(
SUBSTITUTE(ADDRESS(1,
MATCH(VALUE(H105),クライアント抽出!A35:G35,0)+8,4),"1",""),
""),
IFERROR(
SUBSTITUTE(ADDRESS(1,
MATCH(VALUE(I105),クライアント抽出!A35:G35,0)+8,4),"1",""),
""))</f>
        <v/>
      </c>
      <c r="F105" s="186" t="str">
        <f ca="1">IF(D105&lt;&gt;"",
IF(COUNTIF(C105,"*雙葉*"),
IF(ROUND((H105-M105)
/IF(COUNTIF(D105,"*キャラ*"),
VLOOKUP("*キャラ*",商品マスタ!$D:$E,2,FALSE),
IF(COUNTIF(D105,"*赤*"),
VLOOKUP("*赤*",商品マスタ!$D:$E,2,FALSE),
VLOOKUP("*"&amp;D105&amp;"*",商品マスタ!$D:$E,2,FALSE))),0)&lt;=0,1,
ROUND((H105-M105)
/IF(COUNTIF(D105,"*キャラ*"),
VLOOKUP("*キャラ*",商品マスタ!$D:$E,2,FALSE),
IF(COUNTIF(D105,"*赤*"),
VLOOKUP("*赤*",商品マスタ!$D:$E,2,FALSE),
VLOOKUP("*"&amp;D105&amp;"*",商品マスタ!$D:$E,2,FALSE))),0)),
IF(OR(COUNTIF(D105,"*キャラ*"),COUNTIF(D105,"*赤*")),"",
IF(VLOOKUP("*"&amp;D105&amp;"*",商品マスタ!$D:$E,2,FALSE)=0,"",
IF(ROUND((H105-M105)
/VLOOKUP("*"&amp;D105&amp;"*",商品マスタ!$D:$E,2,FALSE),0)&lt;=0,1,
ROUND((H105-M105)
/VLOOKUP("*"&amp;D105&amp;"*",商品マスタ!$D:$E,2,FALSE),0))))),"")</f>
        <v/>
      </c>
      <c r="G105" s="104" t="str">
        <f ca="1">IF(F105&lt;&gt;"",
IF(VALUE(H105-M105)&gt;VALUE(IF(COUNTIF(D105,"*キャラ*"),
VLOOKUP("*キャラ*",商品マスタ!$D:$E,2,FALSE),
IF(COUNTIF(D105,"*赤*"),
VLOOKUP("*赤*",商品マスタ!$D:$E,2,FALSE),
VLOOKUP("*"&amp;D105&amp;"*",商品マスタ!$D:$E,2,FALSE)))*F105),
"+"&amp;(H105-M105)-IF(COUNTIF(D105,"*キャラ*"),
VLOOKUP("*キャラ*",商品マスタ!$D:$E,2,FALSE),
IF(COUNTIF(D105,"*赤*"),
VLOOKUP("*赤*",商品マスタ!$D:$E,2,FALSE),
VLOOKUP("*"&amp;D105&amp;"*",商品マスタ!$D:$E,2,FALSE)))*F105,
(H105-M105)-IF(COUNTIF(D105,"*キャラ*"),
VLOOKUP("*キャラ*",商品マスタ!$D:$E,2,FALSE),
IF(COUNTIF(D105,"*赤*"),
VLOOKUP("*赤*",商品マスタ!$D:$E,2,FALSE),
VLOOKUP("*"&amp;D105&amp;"*",商品マスタ!$D:$E,2,FALSE)))*F105),"")</f>
        <v/>
      </c>
      <c r="H105" s="105" t="str">
        <f>IF(C105&lt;&gt;"",
クライアント抽出!C35,"")</f>
        <v/>
      </c>
      <c r="I105" s="104" t="str">
        <f t="array" aca="1" ref="I105" ca="1">IF(C105&lt;&gt;"",
IF(O105=1,
IF(SUMPRODUCT(COUNTIF(クライアント抽出!P35:U35,クライアント抽出!P35:U35))&gt;COUNTA(クライアント抽出!P35:U35),
IFERROR(INDIRECT("数出表_Excel!"&amp;INDEX(_xlfn.UNIQUE(_xlfn._xlws.FILTER(クライアント抽出!P35:U35,COUNTIF(クライアント抽出!P35:U35,クライアント抽出!P35:U35)&gt;1)),1)&amp;L35&amp;""),
クライアント抽出!E35),0),クライアント抽出!F35),"")</f>
        <v/>
      </c>
      <c r="J105" s="104" t="str">
        <f>IF(C105&lt;&gt;"",
VLOOKUP(
"*"&amp;LEFT(IF(COUNTIF(D105,"*学食*"),"キャラ弁（学食）",
IF(COUNTIF(D105,"*赤*"),"赤",
IF(COUNTIF(D105,"*キャラ弁当*"),"キャラ弁当",D105))),4)&amp;"*",注文弁当の抽出!$F$1:$G$15,2,FALSE),"")</f>
        <v/>
      </c>
      <c r="K105" s="104" t="str">
        <f ca="1">IF(クライアント抽出!Q35&lt;&gt;"",SUBSTITUTE(ADDRESS(1,(CODE(クライアント抽出!Q35)-64)*2-1,4),"1",""),"")</f>
        <v/>
      </c>
      <c r="L105" s="104" t="str">
        <f>IF(C35&lt;&gt;"",クライアント抽出!I35,"")</f>
        <v/>
      </c>
      <c r="M105" s="104">
        <f t="array" aca="1" ref="M105" ca="1">IF(C105&lt;&gt;"",
IF(K105&lt;&gt;"",INDIRECT("'数出表_Excel（アレルギー入力）'!"&amp;K105&amp;L105-1&amp;""),),)</f>
        <v>0</v>
      </c>
      <c r="N105" s="104" t="str">
        <f>IF(C105&lt;&gt;"",IF(OR(COUNTIF('盛付札（関数）'!D105,"*赤*"),COUNTIF('盛付札（関数）'!D105,"*キャラ*")),1,
VALUE(VLOOKUP("*"&amp;D105&amp;"*",商品マスタ!D:H,5,FALSE))),"")</f>
        <v/>
      </c>
      <c r="O105" s="104">
        <f t="shared" ca="1" si="59"/>
        <v>0</v>
      </c>
      <c r="P105" s="104">
        <f t="shared" si="33"/>
        <v>0</v>
      </c>
      <c r="Q105" s="104" t="b">
        <f t="shared" si="34"/>
        <v>0</v>
      </c>
      <c r="R105" s="176" t="str">
        <f t="array" aca="1" ref="R105" ca="1">IFERROR(SMALL(IF(P$1:P$311&lt;&gt;0,P$1:P$311),ROW(A105)),"")</f>
        <v/>
      </c>
      <c r="S105" s="176" t="str">
        <f t="array" aca="1" ref="S105" ca="1">IF($R105&lt;&gt;"",
SUBSTITUTE(SUBSTITUTE(INDIRECT("C"&amp;$R105&amp;"")," 週3ｺｰｽ","")," 週5ｺｰｽ",""),"")</f>
        <v/>
      </c>
      <c r="T105" s="176" t="str">
        <f t="array" aca="1" ref="T105" ca="1">IF(IF($R105&lt;&gt;"",
INDIRECT(""&amp;IF(COLUMN(D105)&lt;=26,CHAR(COLUMN(D105)+64),CHAR(INT((COLUMN(D105)-1)/26)+64)&amp;CHAR(MOD(COLUMN(D105)-1,26)+65))&amp;$R105&amp;""),"")=0,"",
IF($R105&lt;&gt;"",
INDIRECT(""&amp;IF(COLUMN(D105)&lt;=26,CHAR(COLUMN(D105)+64),CHAR(INT((COLUMN(D105)-1)/26)+64)&amp;CHAR(MOD(COLUMN(D105)-1,26)+65))&amp;$R105&amp;""),""))</f>
        <v/>
      </c>
      <c r="U105" s="218" t="str">
        <f t="array" aca="1" ref="U105" ca="1">IF($R105&lt;&gt;"",
INDIRECT("F"&amp;$R105&amp;""),"")</f>
        <v/>
      </c>
      <c r="V105" s="219" t="str">
        <f t="array" aca="1" ref="V105" ca="1">IF($R105&lt;&gt;"",
INDIRECT("G"&amp;$R105&amp;""),"")</f>
        <v/>
      </c>
      <c r="W105" s="219" t="str" cm="1">
        <f t="array" aca="1" ref="W105" ca="1">IF($R105&lt;&gt;"",
IF(AND(COUNTIF(INDIRECT("B"&amp;R105&amp;""),"*雙葉*"),COUNTIF($B$71:$B$210,"*雙葉*")&gt;=1),
IF(OR(COUNTIF(INDIRECT("B"&amp;R105&amp;""),"*雙葉先生*"),COUNTIF(INDIRECT("B"&amp;R105-1&amp;""),"*雙葉*")),INDIRECT("H"&amp;R105&amp;""),INDIRECT("H"&amp;R105&amp;"")+INDIRECT("H"&amp;MATCH("雙葉'",INDIRECT("B"&amp;R105+3&amp;":B210"),0)+2+R105&amp;"")),
IF(AND(LEFT(INDIRECT("B"&amp;R105&amp;""),2)="博多",COUNTIF(B:B,"*博多*")&gt;=2),
INDIRECT("H"&amp;R105&amp;"")+IFERROR(INDIRECT("H"&amp;MATCH("*"&amp;INDIRECT("B"&amp;R105&amp;"")&amp;"*",INDIRECT("B"&amp;R105+1&amp;":B210"),0)+R105&amp;""),0),
IF(AND(LEFT(INDIRECT("B"&amp;R105&amp;""),3)="奈良屋",COUNTIF(B:B,"*奈良屋*")&gt;=2),
INDIRECT("H"&amp;R105&amp;"")
+INDIRECT("H"&amp;MATCH("*"&amp;INDIRECT("B"&amp;R105&amp;"")&amp;"*",INDIRECT("B"&amp;R105+1&amp;":B210"),0)+R105&amp;"")
+INDIRECT("H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
+INDIRECT("H"&amp;MATCH("*"&amp;INDIRECT("B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&amp;"*",INDIRECT("B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+1&amp;":B210"),0)+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,
INDIRECT("H"&amp;R105&amp;"")))),"")</f>
        <v/>
      </c>
      <c r="X105" s="176" t="str">
        <f t="array" aca="1" ref="X105" ca="1">IF($R105&lt;&gt;"",
INDIRECT(""&amp;IF(COLUMN(I105)&lt;=26,CHAR(COLUMN(I105)+64),CHAR(INT((COLUMN(I105)-1)/26)+64)&amp;CHAR(MOD(COLUMN(I105)-1,26)+65))&amp;$R105&amp;""),"")</f>
        <v/>
      </c>
      <c r="Y105" s="176" t="str">
        <f t="array" aca="1" ref="Y105" ca="1">IF($R105&lt;&gt;"",
INDIRECT(""&amp;IF(COLUMN(J105)&lt;=26,CHAR(COLUMN(J105)+64),CHAR(INT((COLUMN(J105)-1)/26)+64)&amp;CHAR(MOD(COLUMN(J105)-1,26)+65))&amp;$R105&amp;""),"")</f>
        <v/>
      </c>
      <c r="Z105" s="176" t="str">
        <f t="shared" ca="1" si="35"/>
        <v/>
      </c>
      <c r="AA105" s="176" t="str">
        <f t="shared" ca="1" si="36"/>
        <v/>
      </c>
      <c r="AB105" s="176" t="str">
        <f t="array" aca="1" ref="AB105" ca="1">IF($R105&lt;&gt;"",
IF(AND(COUNTIF(INDIRECT("B"&amp;R105&amp;""),"*雙葉*"),COUNTIF(INDIRECT("B"&amp;R105&amp;""),"&lt;&gt;*先生*"),COUNTIF(B:B,"*雙葉*")&gt;=2),
INDIRECT("M"&amp;R105&amp;"")+INDIRECT("M"&amp;MATCH("雙葉'",INDIRECT("B"&amp;R105+1&amp;":B210"),0)+R105&amp;""),
IF(AND(LEFT(INDIRECT("B"&amp;R105&amp;""),2)="博多",COUNTIF(B:B,"*博多*")&gt;=2),
INDIRECT("M"&amp;R105&amp;"")+INDIRECT("M"&amp;MATCH("*"&amp;INDIRECT("B"&amp;R105&amp;"")&amp;"*",INDIRECT("B"&amp;R105+1&amp;":B210"),0)+R105&amp;""),
IF(AND(LEFT(INDIRECT("B"&amp;R105&amp;""),3)="奈良屋",COUNTIF(B:B,"*奈良屋*")&gt;=2),
INDIRECT("M"&amp;R105&amp;"")+INDIRECT("M"&amp;MATCH("*"&amp;INDIRECT("B"&amp;R105&amp;"")&amp;"*",INDIRECT("B"&amp;R105+1&amp;":B210"),0)+R105&amp;"")
+INDIRECT("M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,
INDIRECT("M"&amp;R105&amp;"")))),"")</f>
        <v/>
      </c>
      <c r="AC105" s="176" t="str">
        <f t="shared" ca="1" si="37"/>
        <v/>
      </c>
      <c r="AD105" s="176" t="str">
        <f t="shared" ca="1" si="38"/>
        <v/>
      </c>
      <c r="AE105" s="176" t="str">
        <f t="shared" ca="1" si="39"/>
        <v/>
      </c>
      <c r="AF105" s="176" t="str">
        <f t="shared" ca="1" si="40"/>
        <v/>
      </c>
      <c r="AG105" s="176" t="str">
        <f t="shared" ca="1" si="41"/>
        <v/>
      </c>
      <c r="AH105" s="183" t="str">
        <f t="shared" ca="1" si="42"/>
        <v/>
      </c>
      <c r="AI105" s="176" t="str">
        <f t="shared" ca="1" si="43"/>
        <v/>
      </c>
      <c r="AJ105" s="176" t="str">
        <f t="shared" ca="1" si="44"/>
        <v/>
      </c>
      <c r="AK105" s="176" t="str">
        <f t="shared" ca="1" si="45"/>
        <v/>
      </c>
      <c r="AL105" s="176" t="str">
        <f t="shared" ca="1" si="46"/>
        <v/>
      </c>
      <c r="AM105" s="176" t="str">
        <f t="shared" ca="1" si="47"/>
        <v/>
      </c>
      <c r="AN105" s="176" t="str">
        <f t="shared" ca="1" si="48"/>
        <v/>
      </c>
      <c r="AO105" s="176" t="str">
        <f t="shared" ca="1" si="49"/>
        <v/>
      </c>
      <c r="AP105" s="176" t="str">
        <f t="shared" ca="1" si="50"/>
        <v/>
      </c>
      <c r="AU105" s="176" t="str">
        <f t="shared" ca="1" si="51"/>
        <v/>
      </c>
    </row>
    <row r="106" spans="1:47" ht="22.2" customHeight="1">
      <c r="A106" s="103">
        <f t="shared" si="60"/>
        <v>77</v>
      </c>
      <c r="B106" s="104" t="str">
        <f t="shared" ca="1" si="58"/>
        <v/>
      </c>
      <c r="C106" s="104" t="str">
        <f>IF(OR(クライアント抽出!C36&lt;&gt;"",クライアント抽出!F36&lt;&gt;""),クライアント抽出!A36,"")</f>
        <v/>
      </c>
      <c r="D106" s="104" t="str">
        <f t="array" aca="1" ref="D106" ca="1">IF(C106&lt;&gt;"",INDIRECT("クライアント抽出!"&amp;E106&amp;MATCH(C106,クライアント抽出!A:A,0)&amp;""),"")</f>
        <v/>
      </c>
      <c r="E106" s="104" t="str">
        <f>IF(H106&lt;&gt;0,
IFERROR(
SUBSTITUTE(ADDRESS(1,
MATCH(VALUE(H106),クライアント抽出!A36:G36,0)+8,4),"1",""),
""),
IFERROR(
SUBSTITUTE(ADDRESS(1,
MATCH(VALUE(I106),クライアント抽出!A36:G36,0)+8,4),"1",""),
""))</f>
        <v/>
      </c>
      <c r="F106" s="186" t="str">
        <f ca="1">IF(D106&lt;&gt;"",
IF(COUNTIF(C106,"*雙葉*"),
IF(ROUND((H106-M106)
/IF(COUNTIF(D106,"*キャラ*"),
VLOOKUP("*キャラ*",商品マスタ!$D:$E,2,FALSE),
IF(COUNTIF(D106,"*赤*"),
VLOOKUP("*赤*",商品マスタ!$D:$E,2,FALSE),
VLOOKUP("*"&amp;D106&amp;"*",商品マスタ!$D:$E,2,FALSE))),0)&lt;=0,1,
ROUND((H106-M106)
/IF(COUNTIF(D106,"*キャラ*"),
VLOOKUP("*キャラ*",商品マスタ!$D:$E,2,FALSE),
IF(COUNTIF(D106,"*赤*"),
VLOOKUP("*赤*",商品マスタ!$D:$E,2,FALSE),
VLOOKUP("*"&amp;D106&amp;"*",商品マスタ!$D:$E,2,FALSE))),0)),
IF(OR(COUNTIF(D106,"*キャラ*"),COUNTIF(D106,"*赤*")),"",
IF(VLOOKUP("*"&amp;D106&amp;"*",商品マスタ!$D:$E,2,FALSE)=0,"",
IF(ROUND((H106-M106)
/VLOOKUP("*"&amp;D106&amp;"*",商品マスタ!$D:$E,2,FALSE),0)&lt;=0,1,
ROUND((H106-M106)
/VLOOKUP("*"&amp;D106&amp;"*",商品マスタ!$D:$E,2,FALSE),0))))),"")</f>
        <v/>
      </c>
      <c r="G106" s="104" t="str">
        <f ca="1">IF(F106&lt;&gt;"",
IF(VALUE(H106-M106)&gt;VALUE(IF(COUNTIF(D106,"*キャラ*"),
VLOOKUP("*キャラ*",商品マスタ!$D:$E,2,FALSE),
IF(COUNTIF(D106,"*赤*"),
VLOOKUP("*赤*",商品マスタ!$D:$E,2,FALSE),
VLOOKUP("*"&amp;D106&amp;"*",商品マスタ!$D:$E,2,FALSE)))*F106),
"+"&amp;(H106-M106)-IF(COUNTIF(D106,"*キャラ*"),
VLOOKUP("*キャラ*",商品マスタ!$D:$E,2,FALSE),
IF(COUNTIF(D106,"*赤*"),
VLOOKUP("*赤*",商品マスタ!$D:$E,2,FALSE),
VLOOKUP("*"&amp;D106&amp;"*",商品マスタ!$D:$E,2,FALSE)))*F106,
(H106-M106)-IF(COUNTIF(D106,"*キャラ*"),
VLOOKUP("*キャラ*",商品マスタ!$D:$E,2,FALSE),
IF(COUNTIF(D106,"*赤*"),
VLOOKUP("*赤*",商品マスタ!$D:$E,2,FALSE),
VLOOKUP("*"&amp;D106&amp;"*",商品マスタ!$D:$E,2,FALSE)))*F106),"")</f>
        <v/>
      </c>
      <c r="H106" s="105" t="str">
        <f>IF(C106&lt;&gt;"",
クライアント抽出!C36,"")</f>
        <v/>
      </c>
      <c r="I106" s="104" t="str">
        <f t="array" aca="1" ref="I106" ca="1">IF(C106&lt;&gt;"",
IF(O106=1,
IF(SUMPRODUCT(COUNTIF(クライアント抽出!P36:U36,クライアント抽出!P36:U36))&gt;COUNTA(クライアント抽出!P36:U36),
IFERROR(INDIRECT("数出表_Excel!"&amp;INDEX(_xlfn.UNIQUE(_xlfn._xlws.FILTER(クライアント抽出!P36:U36,COUNTIF(クライアント抽出!P36:U36,クライアント抽出!P36:U36)&gt;1)),1)&amp;L36&amp;""),
クライアント抽出!E36),0),クライアント抽出!F36),"")</f>
        <v/>
      </c>
      <c r="J106" s="104" t="str">
        <f>IF(C106&lt;&gt;"",
VLOOKUP(
"*"&amp;LEFT(IF(COUNTIF(D106,"*学食*"),"キャラ弁（学食）",
IF(COUNTIF(D106,"*赤*"),"赤",
IF(COUNTIF(D106,"*キャラ弁当*"),"キャラ弁当",D106))),4)&amp;"*",注文弁当の抽出!$F$1:$G$15,2,FALSE),"")</f>
        <v/>
      </c>
      <c r="K106" s="104" t="str">
        <f ca="1">IF(クライアント抽出!Q36&lt;&gt;"",SUBSTITUTE(ADDRESS(1,(CODE(クライアント抽出!Q36)-64)*2-1,4),"1",""),"")</f>
        <v/>
      </c>
      <c r="L106" s="104" t="str">
        <f>IF(C36&lt;&gt;"",クライアント抽出!I36,"")</f>
        <v/>
      </c>
      <c r="M106" s="104">
        <f t="array" aca="1" ref="M106" ca="1">IF(C106&lt;&gt;"",
IF(K106&lt;&gt;"",INDIRECT("'数出表_Excel（アレルギー入力）'!"&amp;K106&amp;L106-1&amp;""),),)</f>
        <v>0</v>
      </c>
      <c r="N106" s="104" t="str">
        <f>IF(C106&lt;&gt;"",IF(OR(COUNTIF('盛付札（関数）'!D106,"*赤*"),COUNTIF('盛付札（関数）'!D106,"*キャラ*")),1,
VALUE(VLOOKUP("*"&amp;D106&amp;"*",商品マスタ!D:H,5,FALSE))),"")</f>
        <v/>
      </c>
      <c r="O106" s="104">
        <f t="shared" ca="1" si="59"/>
        <v>0</v>
      </c>
      <c r="P106" s="104">
        <f t="shared" si="33"/>
        <v>0</v>
      </c>
      <c r="Q106" s="104" t="b">
        <f t="shared" si="34"/>
        <v>0</v>
      </c>
      <c r="R106" s="176" t="str">
        <f t="array" aca="1" ref="R106" ca="1">IFERROR(SMALL(IF(P$1:P$311&lt;&gt;0,P$1:P$311),ROW(A106)),"")</f>
        <v/>
      </c>
      <c r="S106" s="176" t="str">
        <f t="array" aca="1" ref="S106" ca="1">IF($R106&lt;&gt;"",
SUBSTITUTE(SUBSTITUTE(INDIRECT("C"&amp;$R106&amp;"")," 週3ｺｰｽ","")," 週5ｺｰｽ",""),"")</f>
        <v/>
      </c>
      <c r="T106" s="176" t="str">
        <f t="array" aca="1" ref="T106" ca="1">IF(IF($R106&lt;&gt;"",
INDIRECT(""&amp;IF(COLUMN(D106)&lt;=26,CHAR(COLUMN(D106)+64),CHAR(INT((COLUMN(D106)-1)/26)+64)&amp;CHAR(MOD(COLUMN(D106)-1,26)+65))&amp;$R106&amp;""),"")=0,"",
IF($R106&lt;&gt;"",
INDIRECT(""&amp;IF(COLUMN(D106)&lt;=26,CHAR(COLUMN(D106)+64),CHAR(INT((COLUMN(D106)-1)/26)+64)&amp;CHAR(MOD(COLUMN(D106)-1,26)+65))&amp;$R106&amp;""),""))</f>
        <v/>
      </c>
      <c r="U106" s="218" t="str">
        <f t="array" aca="1" ref="U106" ca="1">IF($R106&lt;&gt;"",
INDIRECT("F"&amp;$R106&amp;""),"")</f>
        <v/>
      </c>
      <c r="V106" s="219" t="str">
        <f t="array" aca="1" ref="V106" ca="1">IF($R106&lt;&gt;"",
INDIRECT("G"&amp;$R106&amp;""),"")</f>
        <v/>
      </c>
      <c r="W106" s="219" t="str" cm="1">
        <f t="array" aca="1" ref="W106" ca="1">IF($R106&lt;&gt;"",
IF(AND(COUNTIF(INDIRECT("B"&amp;R106&amp;""),"*雙葉*"),COUNTIF($B$71:$B$210,"*雙葉*")&gt;=1),
IF(OR(COUNTIF(INDIRECT("B"&amp;R106&amp;""),"*雙葉先生*"),COUNTIF(INDIRECT("B"&amp;R106-1&amp;""),"*雙葉*")),INDIRECT("H"&amp;R106&amp;""),INDIRECT("H"&amp;R106&amp;"")+INDIRECT("H"&amp;MATCH("雙葉'",INDIRECT("B"&amp;R106+3&amp;":B210"),0)+2+R106&amp;"")),
IF(AND(LEFT(INDIRECT("B"&amp;R106&amp;""),2)="博多",COUNTIF(B:B,"*博多*")&gt;=2),
INDIRECT("H"&amp;R106&amp;"")+IFERROR(INDIRECT("H"&amp;MATCH("*"&amp;INDIRECT("B"&amp;R106&amp;"")&amp;"*",INDIRECT("B"&amp;R106+1&amp;":B210"),0)+R106&amp;""),0),
IF(AND(LEFT(INDIRECT("B"&amp;R106&amp;""),3)="奈良屋",COUNTIF(B:B,"*奈良屋*")&gt;=2),
INDIRECT("H"&amp;R106&amp;"")
+INDIRECT("H"&amp;MATCH("*"&amp;INDIRECT("B"&amp;R106&amp;"")&amp;"*",INDIRECT("B"&amp;R106+1&amp;":B210"),0)+R106&amp;"")
+INDIRECT("H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
+INDIRECT("H"&amp;MATCH("*"&amp;INDIRECT("B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&amp;"*",INDIRECT("B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+1&amp;":B210"),0)+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,
INDIRECT("H"&amp;R106&amp;"")))),"")</f>
        <v/>
      </c>
      <c r="X106" s="176" t="str">
        <f t="array" aca="1" ref="X106" ca="1">IF($R106&lt;&gt;"",
INDIRECT(""&amp;IF(COLUMN(I106)&lt;=26,CHAR(COLUMN(I106)+64),CHAR(INT((COLUMN(I106)-1)/26)+64)&amp;CHAR(MOD(COLUMN(I106)-1,26)+65))&amp;$R106&amp;""),"")</f>
        <v/>
      </c>
      <c r="Y106" s="176" t="str">
        <f t="array" aca="1" ref="Y106" ca="1">IF($R106&lt;&gt;"",
INDIRECT(""&amp;IF(COLUMN(J106)&lt;=26,CHAR(COLUMN(J106)+64),CHAR(INT((COLUMN(J106)-1)/26)+64)&amp;CHAR(MOD(COLUMN(J106)-1,26)+65))&amp;$R106&amp;""),"")</f>
        <v/>
      </c>
      <c r="Z106" s="176" t="str">
        <f t="shared" ca="1" si="35"/>
        <v/>
      </c>
      <c r="AA106" s="176" t="str">
        <f t="shared" ca="1" si="36"/>
        <v/>
      </c>
      <c r="AB106" s="176" t="str">
        <f t="array" aca="1" ref="AB106" ca="1">IF($R106&lt;&gt;"",
IF(AND(COUNTIF(INDIRECT("B"&amp;R106&amp;""),"*雙葉*"),COUNTIF(INDIRECT("B"&amp;R106&amp;""),"&lt;&gt;*先生*"),COUNTIF(B:B,"*雙葉*")&gt;=2),
INDIRECT("M"&amp;R106&amp;"")+INDIRECT("M"&amp;MATCH("雙葉'",INDIRECT("B"&amp;R106+1&amp;":B210"),0)+R106&amp;""),
IF(AND(LEFT(INDIRECT("B"&amp;R106&amp;""),2)="博多",COUNTIF(B:B,"*博多*")&gt;=2),
INDIRECT("M"&amp;R106&amp;"")+INDIRECT("M"&amp;MATCH("*"&amp;INDIRECT("B"&amp;R106&amp;"")&amp;"*",INDIRECT("B"&amp;R106+1&amp;":B210"),0)+R106&amp;""),
IF(AND(LEFT(INDIRECT("B"&amp;R106&amp;""),3)="奈良屋",COUNTIF(B:B,"*奈良屋*")&gt;=2),
INDIRECT("M"&amp;R106&amp;"")+INDIRECT("M"&amp;MATCH("*"&amp;INDIRECT("B"&amp;R106&amp;"")&amp;"*",INDIRECT("B"&amp;R106+1&amp;":B210"),0)+R106&amp;"")
+INDIRECT("M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,
INDIRECT("M"&amp;R106&amp;"")))),"")</f>
        <v/>
      </c>
      <c r="AC106" s="176" t="str">
        <f t="shared" ca="1" si="37"/>
        <v/>
      </c>
      <c r="AD106" s="176" t="str">
        <f t="shared" ca="1" si="38"/>
        <v/>
      </c>
      <c r="AE106" s="176" t="str">
        <f t="shared" ca="1" si="39"/>
        <v/>
      </c>
      <c r="AF106" s="176" t="str">
        <f t="shared" ca="1" si="40"/>
        <v/>
      </c>
      <c r="AG106" s="176" t="str">
        <f t="shared" ca="1" si="41"/>
        <v/>
      </c>
      <c r="AH106" s="183" t="str">
        <f t="shared" ca="1" si="42"/>
        <v/>
      </c>
      <c r="AI106" s="176" t="str">
        <f t="shared" ca="1" si="43"/>
        <v/>
      </c>
      <c r="AJ106" s="176" t="str">
        <f t="shared" ca="1" si="44"/>
        <v/>
      </c>
      <c r="AK106" s="176" t="str">
        <f t="shared" ca="1" si="45"/>
        <v/>
      </c>
      <c r="AL106" s="176" t="str">
        <f t="shared" ca="1" si="46"/>
        <v/>
      </c>
      <c r="AM106" s="176" t="str">
        <f t="shared" ca="1" si="47"/>
        <v/>
      </c>
      <c r="AN106" s="176" t="str">
        <f t="shared" ca="1" si="48"/>
        <v/>
      </c>
      <c r="AO106" s="176" t="str">
        <f t="shared" ca="1" si="49"/>
        <v/>
      </c>
      <c r="AP106" s="176" t="str">
        <f t="shared" ca="1" si="50"/>
        <v/>
      </c>
      <c r="AU106" s="176" t="str">
        <f t="shared" ca="1" si="51"/>
        <v/>
      </c>
    </row>
    <row r="107" spans="1:47" ht="22.2" customHeight="1">
      <c r="A107" s="103">
        <f t="shared" si="60"/>
        <v>79</v>
      </c>
      <c r="B107" s="104" t="str">
        <f t="shared" ca="1" si="58"/>
        <v/>
      </c>
      <c r="C107" s="104" t="str">
        <f>IF(OR(クライアント抽出!C37&lt;&gt;"",クライアント抽出!F37&lt;&gt;""),クライアント抽出!A37,"")</f>
        <v/>
      </c>
      <c r="D107" s="104" t="str">
        <f t="array" aca="1" ref="D107" ca="1">IF(C107&lt;&gt;"",INDIRECT("クライアント抽出!"&amp;E107&amp;MATCH(C107,クライアント抽出!A:A,0)&amp;""),"")</f>
        <v/>
      </c>
      <c r="E107" s="104" t="str">
        <f>IF(H107&lt;&gt;0,
IFERROR(
SUBSTITUTE(ADDRESS(1,
MATCH(VALUE(H107),クライアント抽出!A37:G37,0)+8,4),"1",""),
""),
IFERROR(
SUBSTITUTE(ADDRESS(1,
MATCH(VALUE(I107),クライアント抽出!A37:G37,0)+8,4),"1",""),
""))</f>
        <v/>
      </c>
      <c r="F107" s="186" t="str">
        <f ca="1">IF(D107&lt;&gt;"",
IF(COUNTIF(C107,"*雙葉*"),
IF(ROUND((H107-M107)
/IF(COUNTIF(D107,"*キャラ*"),
VLOOKUP("*キャラ*",商品マスタ!$D:$E,2,FALSE),
IF(COUNTIF(D107,"*赤*"),
VLOOKUP("*赤*",商品マスタ!$D:$E,2,FALSE),
VLOOKUP("*"&amp;D107&amp;"*",商品マスタ!$D:$E,2,FALSE))),0)&lt;=0,1,
ROUND((H107-M107)
/IF(COUNTIF(D107,"*キャラ*"),
VLOOKUP("*キャラ*",商品マスタ!$D:$E,2,FALSE),
IF(COUNTIF(D107,"*赤*"),
VLOOKUP("*赤*",商品マスタ!$D:$E,2,FALSE),
VLOOKUP("*"&amp;D107&amp;"*",商品マスタ!$D:$E,2,FALSE))),0)),
IF(OR(COUNTIF(D107,"*キャラ*"),COUNTIF(D107,"*赤*")),"",
IF(VLOOKUP("*"&amp;D107&amp;"*",商品マスタ!$D:$E,2,FALSE)=0,"",
IF(ROUND((H107-M107)
/VLOOKUP("*"&amp;D107&amp;"*",商品マスタ!$D:$E,2,FALSE),0)&lt;=0,1,
ROUND((H107-M107)
/VLOOKUP("*"&amp;D107&amp;"*",商品マスタ!$D:$E,2,FALSE),0))))),"")</f>
        <v/>
      </c>
      <c r="G107" s="104" t="str">
        <f ca="1">IF(F107&lt;&gt;"",
IF(VALUE(H107-M107)&gt;VALUE(IF(COUNTIF(D107,"*キャラ*"),
VLOOKUP("*キャラ*",商品マスタ!$D:$E,2,FALSE),
IF(COUNTIF(D107,"*赤*"),
VLOOKUP("*赤*",商品マスタ!$D:$E,2,FALSE),
VLOOKUP("*"&amp;D107&amp;"*",商品マスタ!$D:$E,2,FALSE)))*F107),
"+"&amp;(H107-M107)-IF(COUNTIF(D107,"*キャラ*"),
VLOOKUP("*キャラ*",商品マスタ!$D:$E,2,FALSE),
IF(COUNTIF(D107,"*赤*"),
VLOOKUP("*赤*",商品マスタ!$D:$E,2,FALSE),
VLOOKUP("*"&amp;D107&amp;"*",商品マスタ!$D:$E,2,FALSE)))*F107,
(H107-M107)-IF(COUNTIF(D107,"*キャラ*"),
VLOOKUP("*キャラ*",商品マスタ!$D:$E,2,FALSE),
IF(COUNTIF(D107,"*赤*"),
VLOOKUP("*赤*",商品マスタ!$D:$E,2,FALSE),
VLOOKUP("*"&amp;D107&amp;"*",商品マスタ!$D:$E,2,FALSE)))*F107),"")</f>
        <v/>
      </c>
      <c r="H107" s="105" t="str">
        <f>IF(C107&lt;&gt;"",
クライアント抽出!C37,"")</f>
        <v/>
      </c>
      <c r="I107" s="104" t="str">
        <f t="array" aca="1" ref="I107" ca="1">IF(C107&lt;&gt;"",
IF(O107=1,
IF(SUMPRODUCT(COUNTIF(クライアント抽出!P37:U37,クライアント抽出!P37:U37))&gt;COUNTA(クライアント抽出!P37:U37),
IFERROR(INDIRECT("数出表_Excel!"&amp;INDEX(_xlfn.UNIQUE(_xlfn._xlws.FILTER(クライアント抽出!P37:U37,COUNTIF(クライアント抽出!P37:U37,クライアント抽出!P37:U37)&gt;1)),1)&amp;L37&amp;""),
クライアント抽出!E37),0),クライアント抽出!F37),"")</f>
        <v/>
      </c>
      <c r="J107" s="104" t="str">
        <f>IF(C107&lt;&gt;"",
VLOOKUP(
"*"&amp;LEFT(IF(COUNTIF(D107,"*学食*"),"キャラ弁（学食）",
IF(COUNTIF(D107,"*赤*"),"赤",
IF(COUNTIF(D107,"*キャラ弁当*"),"キャラ弁当",D107))),4)&amp;"*",注文弁当の抽出!$F$1:$G$15,2,FALSE),"")</f>
        <v/>
      </c>
      <c r="K107" s="104" t="str">
        <f ca="1">IF(クライアント抽出!Q37&lt;&gt;"",SUBSTITUTE(ADDRESS(1,(CODE(クライアント抽出!Q37)-64)*2-1,4),"1",""),"")</f>
        <v/>
      </c>
      <c r="L107" s="104" t="str">
        <f>IF(C37&lt;&gt;"",クライアント抽出!I37,"")</f>
        <v/>
      </c>
      <c r="M107" s="104">
        <f t="array" aca="1" ref="M107" ca="1">IF(C107&lt;&gt;"",
IF(K107&lt;&gt;"",INDIRECT("'数出表_Excel（アレルギー入力）'!"&amp;K107&amp;L107-1&amp;""),),)</f>
        <v>0</v>
      </c>
      <c r="N107" s="104" t="str">
        <f>IF(C107&lt;&gt;"",IF(OR(COUNTIF('盛付札（関数）'!D107,"*赤*"),COUNTIF('盛付札（関数）'!D107,"*キャラ*")),1,
VALUE(VLOOKUP("*"&amp;D107&amp;"*",商品マスタ!D:H,5,FALSE))),"")</f>
        <v/>
      </c>
      <c r="O107" s="104">
        <f t="shared" ca="1" si="59"/>
        <v>0</v>
      </c>
      <c r="P107" s="104">
        <f t="shared" si="33"/>
        <v>0</v>
      </c>
      <c r="Q107" s="104" t="b">
        <f t="shared" si="34"/>
        <v>0</v>
      </c>
      <c r="R107" s="176" t="str">
        <f t="array" aca="1" ref="R107" ca="1">IFERROR(SMALL(IF(P$1:P$311&lt;&gt;0,P$1:P$311),ROW(A107)),"")</f>
        <v/>
      </c>
      <c r="S107" s="176" t="str">
        <f t="array" aca="1" ref="S107" ca="1">IF($R107&lt;&gt;"",
SUBSTITUTE(SUBSTITUTE(INDIRECT("C"&amp;$R107&amp;"")," 週3ｺｰｽ","")," 週5ｺｰｽ",""),"")</f>
        <v/>
      </c>
      <c r="T107" s="176" t="str">
        <f t="array" aca="1" ref="T107" ca="1">IF(IF($R107&lt;&gt;"",
INDIRECT(""&amp;IF(COLUMN(D107)&lt;=26,CHAR(COLUMN(D107)+64),CHAR(INT((COLUMN(D107)-1)/26)+64)&amp;CHAR(MOD(COLUMN(D107)-1,26)+65))&amp;$R107&amp;""),"")=0,"",
IF($R107&lt;&gt;"",
INDIRECT(""&amp;IF(COLUMN(D107)&lt;=26,CHAR(COLUMN(D107)+64),CHAR(INT((COLUMN(D107)-1)/26)+64)&amp;CHAR(MOD(COLUMN(D107)-1,26)+65))&amp;$R107&amp;""),""))</f>
        <v/>
      </c>
      <c r="U107" s="218" t="str">
        <f t="array" aca="1" ref="U107" ca="1">IF($R107&lt;&gt;"",
INDIRECT("F"&amp;$R107&amp;""),"")</f>
        <v/>
      </c>
      <c r="V107" s="219" t="str">
        <f t="array" aca="1" ref="V107" ca="1">IF($R107&lt;&gt;"",
INDIRECT("G"&amp;$R107&amp;""),"")</f>
        <v/>
      </c>
      <c r="W107" s="219" t="str" cm="1">
        <f t="array" aca="1" ref="W107" ca="1">IF($R107&lt;&gt;"",
IF(AND(COUNTIF(INDIRECT("B"&amp;R107&amp;""),"*雙葉*"),COUNTIF($B$71:$B$210,"*雙葉*")&gt;=1),
IF(OR(COUNTIF(INDIRECT("B"&amp;R107&amp;""),"*雙葉先生*"),COUNTIF(INDIRECT("B"&amp;R107-1&amp;""),"*雙葉*")),INDIRECT("H"&amp;R107&amp;""),INDIRECT("H"&amp;R107&amp;"")+INDIRECT("H"&amp;MATCH("雙葉'",INDIRECT("B"&amp;R107+3&amp;":B210"),0)+2+R107&amp;"")),
IF(AND(LEFT(INDIRECT("B"&amp;R107&amp;""),2)="博多",COUNTIF(B:B,"*博多*")&gt;=2),
INDIRECT("H"&amp;R107&amp;"")+IFERROR(INDIRECT("H"&amp;MATCH("*"&amp;INDIRECT("B"&amp;R107&amp;"")&amp;"*",INDIRECT("B"&amp;R107+1&amp;":B210"),0)+R107&amp;""),0),
IF(AND(LEFT(INDIRECT("B"&amp;R107&amp;""),3)="奈良屋",COUNTIF(B:B,"*奈良屋*")&gt;=2),
INDIRECT("H"&amp;R107&amp;"")
+INDIRECT("H"&amp;MATCH("*"&amp;INDIRECT("B"&amp;R107&amp;"")&amp;"*",INDIRECT("B"&amp;R107+1&amp;":B210"),0)+R107&amp;"")
+INDIRECT("H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
+INDIRECT("H"&amp;MATCH("*"&amp;INDIRECT("B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&amp;"*",INDIRECT("B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+1&amp;":B210"),0)+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,
INDIRECT("H"&amp;R107&amp;"")))),"")</f>
        <v/>
      </c>
      <c r="X107" s="176" t="str">
        <f t="array" aca="1" ref="X107" ca="1">IF($R107&lt;&gt;"",
INDIRECT(""&amp;IF(COLUMN(I107)&lt;=26,CHAR(COLUMN(I107)+64),CHAR(INT((COLUMN(I107)-1)/26)+64)&amp;CHAR(MOD(COLUMN(I107)-1,26)+65))&amp;$R107&amp;""),"")</f>
        <v/>
      </c>
      <c r="Y107" s="176" t="str">
        <f t="array" aca="1" ref="Y107" ca="1">IF($R107&lt;&gt;"",
INDIRECT(""&amp;IF(COLUMN(J107)&lt;=26,CHAR(COLUMN(J107)+64),CHAR(INT((COLUMN(J107)-1)/26)+64)&amp;CHAR(MOD(COLUMN(J107)-1,26)+65))&amp;$R107&amp;""),"")</f>
        <v/>
      </c>
      <c r="Z107" s="176" t="str">
        <f t="shared" ca="1" si="35"/>
        <v/>
      </c>
      <c r="AA107" s="176" t="str">
        <f t="shared" ca="1" si="36"/>
        <v/>
      </c>
      <c r="AB107" s="176" t="str">
        <f t="array" aca="1" ref="AB107" ca="1">IF($R107&lt;&gt;"",
IF(AND(COUNTIF(INDIRECT("B"&amp;R107&amp;""),"*雙葉*"),COUNTIF(INDIRECT("B"&amp;R107&amp;""),"&lt;&gt;*先生*"),COUNTIF(B:B,"*雙葉*")&gt;=2),
INDIRECT("M"&amp;R107&amp;"")+INDIRECT("M"&amp;MATCH("雙葉'",INDIRECT("B"&amp;R107+1&amp;":B210"),0)+R107&amp;""),
IF(AND(LEFT(INDIRECT("B"&amp;R107&amp;""),2)="博多",COUNTIF(B:B,"*博多*")&gt;=2),
INDIRECT("M"&amp;R107&amp;"")+INDIRECT("M"&amp;MATCH("*"&amp;INDIRECT("B"&amp;R107&amp;"")&amp;"*",INDIRECT("B"&amp;R107+1&amp;":B210"),0)+R107&amp;""),
IF(AND(LEFT(INDIRECT("B"&amp;R107&amp;""),3)="奈良屋",COUNTIF(B:B,"*奈良屋*")&gt;=2),
INDIRECT("M"&amp;R107&amp;"")+INDIRECT("M"&amp;MATCH("*"&amp;INDIRECT("B"&amp;R107&amp;"")&amp;"*",INDIRECT("B"&amp;R107+1&amp;":B210"),0)+R107&amp;"")
+INDIRECT("M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,
INDIRECT("M"&amp;R107&amp;"")))),"")</f>
        <v/>
      </c>
      <c r="AC107" s="176" t="str">
        <f t="shared" ca="1" si="37"/>
        <v/>
      </c>
      <c r="AD107" s="176" t="str">
        <f t="shared" ca="1" si="38"/>
        <v/>
      </c>
      <c r="AE107" s="176" t="str">
        <f t="shared" ca="1" si="39"/>
        <v/>
      </c>
      <c r="AF107" s="176" t="str">
        <f t="shared" ca="1" si="40"/>
        <v/>
      </c>
      <c r="AG107" s="176" t="str">
        <f t="shared" ca="1" si="41"/>
        <v/>
      </c>
      <c r="AH107" s="183" t="str">
        <f t="shared" ca="1" si="42"/>
        <v/>
      </c>
      <c r="AI107" s="176" t="str">
        <f t="shared" ca="1" si="43"/>
        <v/>
      </c>
      <c r="AJ107" s="176" t="str">
        <f t="shared" ca="1" si="44"/>
        <v/>
      </c>
      <c r="AK107" s="176" t="str">
        <f t="shared" ca="1" si="45"/>
        <v/>
      </c>
      <c r="AL107" s="176" t="str">
        <f t="shared" ca="1" si="46"/>
        <v/>
      </c>
      <c r="AM107" s="176" t="str">
        <f t="shared" ca="1" si="47"/>
        <v/>
      </c>
      <c r="AN107" s="176" t="str">
        <f t="shared" ca="1" si="48"/>
        <v/>
      </c>
      <c r="AO107" s="176" t="str">
        <f t="shared" ca="1" si="49"/>
        <v/>
      </c>
      <c r="AP107" s="176" t="str">
        <f t="shared" ca="1" si="50"/>
        <v/>
      </c>
      <c r="AU107" s="176" t="str">
        <f t="shared" ca="1" si="51"/>
        <v/>
      </c>
    </row>
    <row r="108" spans="1:47" ht="22.2" customHeight="1">
      <c r="A108" s="103">
        <f t="shared" si="60"/>
        <v>81</v>
      </c>
      <c r="B108" s="104" t="str">
        <f t="shared" ca="1" si="58"/>
        <v/>
      </c>
      <c r="C108" s="104" t="str">
        <f>IF(OR(クライアント抽出!C38&lt;&gt;"",クライアント抽出!F38&lt;&gt;""),クライアント抽出!A38,"")</f>
        <v/>
      </c>
      <c r="D108" s="104" t="str">
        <f t="array" aca="1" ref="D108" ca="1">IF(C108&lt;&gt;"",INDIRECT("クライアント抽出!"&amp;E108&amp;MATCH(C108,クライアント抽出!A:A,0)&amp;""),"")</f>
        <v/>
      </c>
      <c r="E108" s="104" t="str">
        <f>IF(H108&lt;&gt;0,
IFERROR(
SUBSTITUTE(ADDRESS(1,
MATCH(VALUE(H108),クライアント抽出!A38:G38,0)+8,4),"1",""),
""),
IFERROR(
SUBSTITUTE(ADDRESS(1,
MATCH(VALUE(I108),クライアント抽出!A38:G38,0)+8,4),"1",""),
""))</f>
        <v/>
      </c>
      <c r="F108" s="186" t="str">
        <f ca="1">IF(D108&lt;&gt;"",
IF(COUNTIF(C108,"*雙葉*"),
IF(ROUND((H108-M108)
/IF(COUNTIF(D108,"*キャラ*"),
VLOOKUP("*キャラ*",商品マスタ!$D:$E,2,FALSE),
IF(COUNTIF(D108,"*赤*"),
VLOOKUP("*赤*",商品マスタ!$D:$E,2,FALSE),
VLOOKUP("*"&amp;D108&amp;"*",商品マスタ!$D:$E,2,FALSE))),0)&lt;=0,1,
ROUND((H108-M108)
/IF(COUNTIF(D108,"*キャラ*"),
VLOOKUP("*キャラ*",商品マスタ!$D:$E,2,FALSE),
IF(COUNTIF(D108,"*赤*"),
VLOOKUP("*赤*",商品マスタ!$D:$E,2,FALSE),
VLOOKUP("*"&amp;D108&amp;"*",商品マスタ!$D:$E,2,FALSE))),0)),
IF(OR(COUNTIF(D108,"*キャラ*"),COUNTIF(D108,"*赤*")),"",
IF(VLOOKUP("*"&amp;D108&amp;"*",商品マスタ!$D:$E,2,FALSE)=0,"",
IF(ROUND((H108-M108)
/VLOOKUP("*"&amp;D108&amp;"*",商品マスタ!$D:$E,2,FALSE),0)&lt;=0,1,
ROUND((H108-M108)
/VLOOKUP("*"&amp;D108&amp;"*",商品マスタ!$D:$E,2,FALSE),0))))),"")</f>
        <v/>
      </c>
      <c r="G108" s="104" t="str">
        <f ca="1">IF(F108&lt;&gt;"",
IF(VALUE(H108-M108)&gt;VALUE(IF(COUNTIF(D108,"*キャラ*"),
VLOOKUP("*キャラ*",商品マスタ!$D:$E,2,FALSE),
IF(COUNTIF(D108,"*赤*"),
VLOOKUP("*赤*",商品マスタ!$D:$E,2,FALSE),
VLOOKUP("*"&amp;D108&amp;"*",商品マスタ!$D:$E,2,FALSE)))*F108),
"+"&amp;(H108-M108)-IF(COUNTIF(D108,"*キャラ*"),
VLOOKUP("*キャラ*",商品マスタ!$D:$E,2,FALSE),
IF(COUNTIF(D108,"*赤*"),
VLOOKUP("*赤*",商品マスタ!$D:$E,2,FALSE),
VLOOKUP("*"&amp;D108&amp;"*",商品マスタ!$D:$E,2,FALSE)))*F108,
(H108-M108)-IF(COUNTIF(D108,"*キャラ*"),
VLOOKUP("*キャラ*",商品マスタ!$D:$E,2,FALSE),
IF(COUNTIF(D108,"*赤*"),
VLOOKUP("*赤*",商品マスタ!$D:$E,2,FALSE),
VLOOKUP("*"&amp;D108&amp;"*",商品マスタ!$D:$E,2,FALSE)))*F108),"")</f>
        <v/>
      </c>
      <c r="H108" s="105" t="str">
        <f>IF(C108&lt;&gt;"",
クライアント抽出!C38,"")</f>
        <v/>
      </c>
      <c r="I108" s="104" t="str">
        <f t="array" aca="1" ref="I108" ca="1">IF(C108&lt;&gt;"",
IF(O108=1,
IF(SUMPRODUCT(COUNTIF(クライアント抽出!P38:U38,クライアント抽出!P38:U38))&gt;COUNTA(クライアント抽出!P38:U38),
IFERROR(INDIRECT("数出表_Excel!"&amp;INDEX(_xlfn.UNIQUE(_xlfn._xlws.FILTER(クライアント抽出!P38:U38,COUNTIF(クライアント抽出!P38:U38,クライアント抽出!P38:U38)&gt;1)),1)&amp;L38&amp;""),
クライアント抽出!E38),0),クライアント抽出!F38),"")</f>
        <v/>
      </c>
      <c r="J108" s="104" t="str">
        <f>IF(C108&lt;&gt;"",
VLOOKUP(
"*"&amp;LEFT(IF(COUNTIF(D108,"*学食*"),"キャラ弁（学食）",
IF(COUNTIF(D108,"*赤*"),"赤",
IF(COUNTIF(D108,"*キャラ弁当*"),"キャラ弁当",D108))),4)&amp;"*",注文弁当の抽出!$F$1:$G$15,2,FALSE),"")</f>
        <v/>
      </c>
      <c r="K108" s="104" t="str">
        <f ca="1">IF(クライアント抽出!Q38&lt;&gt;"",SUBSTITUTE(ADDRESS(1,(CODE(クライアント抽出!Q38)-64)*2-1,4),"1",""),"")</f>
        <v/>
      </c>
      <c r="L108" s="104" t="str">
        <f>IF(C38&lt;&gt;"",クライアント抽出!I38,"")</f>
        <v/>
      </c>
      <c r="M108" s="104">
        <f t="array" aca="1" ref="M108" ca="1">IF(C108&lt;&gt;"",
IF(K108&lt;&gt;"",INDIRECT("'数出表_Excel（アレルギー入力）'!"&amp;K108&amp;L108-1&amp;""),),)</f>
        <v>0</v>
      </c>
      <c r="N108" s="104" t="str">
        <f>IF(C108&lt;&gt;"",IF(OR(COUNTIF('盛付札（関数）'!D108,"*赤*"),COUNTIF('盛付札（関数）'!D108,"*キャラ*")),1,
VALUE(VLOOKUP("*"&amp;D108&amp;"*",商品マスタ!D:H,5,FALSE))),"")</f>
        <v/>
      </c>
      <c r="O108" s="104">
        <f t="shared" ca="1" si="59"/>
        <v>0</v>
      </c>
      <c r="P108" s="104">
        <f t="shared" si="33"/>
        <v>0</v>
      </c>
      <c r="Q108" s="104" t="b">
        <f t="shared" si="34"/>
        <v>0</v>
      </c>
      <c r="R108" s="176" t="str">
        <f t="array" aca="1" ref="R108" ca="1">IFERROR(SMALL(IF(P$1:P$311&lt;&gt;0,P$1:P$311),ROW(A108)),"")</f>
        <v/>
      </c>
      <c r="S108" s="176" t="str">
        <f t="array" aca="1" ref="S108" ca="1">IF($R108&lt;&gt;"",
SUBSTITUTE(SUBSTITUTE(INDIRECT("C"&amp;$R108&amp;"")," 週3ｺｰｽ","")," 週5ｺｰｽ",""),"")</f>
        <v/>
      </c>
      <c r="T108" s="176" t="str">
        <f t="array" aca="1" ref="T108" ca="1">IF(IF($R108&lt;&gt;"",
INDIRECT(""&amp;IF(COLUMN(D108)&lt;=26,CHAR(COLUMN(D108)+64),CHAR(INT((COLUMN(D108)-1)/26)+64)&amp;CHAR(MOD(COLUMN(D108)-1,26)+65))&amp;$R108&amp;""),"")=0,"",
IF($R108&lt;&gt;"",
INDIRECT(""&amp;IF(COLUMN(D108)&lt;=26,CHAR(COLUMN(D108)+64),CHAR(INT((COLUMN(D108)-1)/26)+64)&amp;CHAR(MOD(COLUMN(D108)-1,26)+65))&amp;$R108&amp;""),""))</f>
        <v/>
      </c>
      <c r="U108" s="218" t="str">
        <f t="array" aca="1" ref="U108" ca="1">IF($R108&lt;&gt;"",
INDIRECT("F"&amp;$R108&amp;""),"")</f>
        <v/>
      </c>
      <c r="V108" s="219" t="str">
        <f t="array" aca="1" ref="V108" ca="1">IF($R108&lt;&gt;"",
INDIRECT("G"&amp;$R108&amp;""),"")</f>
        <v/>
      </c>
      <c r="W108" s="219" t="str" cm="1">
        <f t="array" aca="1" ref="W108" ca="1">IF($R108&lt;&gt;"",
IF(AND(COUNTIF(INDIRECT("B"&amp;R108&amp;""),"*雙葉*"),COUNTIF($B$71:$B$210,"*雙葉*")&gt;=1),
IF(OR(COUNTIF(INDIRECT("B"&amp;R108&amp;""),"*雙葉先生*"),COUNTIF(INDIRECT("B"&amp;R108-1&amp;""),"*雙葉*")),INDIRECT("H"&amp;R108&amp;""),INDIRECT("H"&amp;R108&amp;"")+INDIRECT("H"&amp;MATCH("雙葉'",INDIRECT("B"&amp;R108+3&amp;":B210"),0)+2+R108&amp;"")),
IF(AND(LEFT(INDIRECT("B"&amp;R108&amp;""),2)="博多",COUNTIF(B:B,"*博多*")&gt;=2),
INDIRECT("H"&amp;R108&amp;"")+IFERROR(INDIRECT("H"&amp;MATCH("*"&amp;INDIRECT("B"&amp;R108&amp;"")&amp;"*",INDIRECT("B"&amp;R108+1&amp;":B210"),0)+R108&amp;""),0),
IF(AND(LEFT(INDIRECT("B"&amp;R108&amp;""),3)="奈良屋",COUNTIF(B:B,"*奈良屋*")&gt;=2),
INDIRECT("H"&amp;R108&amp;"")
+INDIRECT("H"&amp;MATCH("*"&amp;INDIRECT("B"&amp;R108&amp;"")&amp;"*",INDIRECT("B"&amp;R108+1&amp;":B210"),0)+R108&amp;"")
+INDIRECT("H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
+INDIRECT("H"&amp;MATCH("*"&amp;INDIRECT("B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&amp;"*",INDIRECT("B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+1&amp;":B210"),0)+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,
INDIRECT("H"&amp;R108&amp;"")))),"")</f>
        <v/>
      </c>
      <c r="X108" s="176" t="str">
        <f t="array" aca="1" ref="X108" ca="1">IF($R108&lt;&gt;"",
INDIRECT(""&amp;IF(COLUMN(I108)&lt;=26,CHAR(COLUMN(I108)+64),CHAR(INT((COLUMN(I108)-1)/26)+64)&amp;CHAR(MOD(COLUMN(I108)-1,26)+65))&amp;$R108&amp;""),"")</f>
        <v/>
      </c>
      <c r="Y108" s="176" t="str">
        <f t="array" aca="1" ref="Y108" ca="1">IF($R108&lt;&gt;"",
INDIRECT(""&amp;IF(COLUMN(J108)&lt;=26,CHAR(COLUMN(J108)+64),CHAR(INT((COLUMN(J108)-1)/26)+64)&amp;CHAR(MOD(COLUMN(J108)-1,26)+65))&amp;$R108&amp;""),"")</f>
        <v/>
      </c>
      <c r="Z108" s="176" t="str">
        <f t="shared" ca="1" si="35"/>
        <v/>
      </c>
      <c r="AA108" s="176" t="str">
        <f t="shared" ca="1" si="36"/>
        <v/>
      </c>
      <c r="AB108" s="176" t="str">
        <f t="array" aca="1" ref="AB108" ca="1">IF($R108&lt;&gt;"",
IF(AND(COUNTIF(INDIRECT("B"&amp;R108&amp;""),"*雙葉*"),COUNTIF(INDIRECT("B"&amp;R108&amp;""),"&lt;&gt;*先生*"),COUNTIF(B:B,"*雙葉*")&gt;=2),
INDIRECT("M"&amp;R108&amp;"")+INDIRECT("M"&amp;MATCH("雙葉'",INDIRECT("B"&amp;R108+1&amp;":B210"),0)+R108&amp;""),
IF(AND(LEFT(INDIRECT("B"&amp;R108&amp;""),2)="博多",COUNTIF(B:B,"*博多*")&gt;=2),
INDIRECT("M"&amp;R108&amp;"")+INDIRECT("M"&amp;MATCH("*"&amp;INDIRECT("B"&amp;R108&amp;"")&amp;"*",INDIRECT("B"&amp;R108+1&amp;":B210"),0)+R108&amp;""),
IF(AND(LEFT(INDIRECT("B"&amp;R108&amp;""),3)="奈良屋",COUNTIF(B:B,"*奈良屋*")&gt;=2),
INDIRECT("M"&amp;R108&amp;"")+INDIRECT("M"&amp;MATCH("*"&amp;INDIRECT("B"&amp;R108&amp;"")&amp;"*",INDIRECT("B"&amp;R108+1&amp;":B210"),0)+R108&amp;"")
+INDIRECT("M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,
INDIRECT("M"&amp;R108&amp;"")))),"")</f>
        <v/>
      </c>
      <c r="AC108" s="176" t="str">
        <f t="shared" ca="1" si="37"/>
        <v/>
      </c>
      <c r="AD108" s="176" t="str">
        <f t="shared" ca="1" si="38"/>
        <v/>
      </c>
      <c r="AE108" s="176" t="str">
        <f t="shared" ca="1" si="39"/>
        <v/>
      </c>
      <c r="AF108" s="176" t="str">
        <f t="shared" ca="1" si="40"/>
        <v/>
      </c>
      <c r="AG108" s="176" t="str">
        <f t="shared" ca="1" si="41"/>
        <v/>
      </c>
      <c r="AH108" s="183" t="str">
        <f t="shared" ca="1" si="42"/>
        <v/>
      </c>
      <c r="AI108" s="176" t="str">
        <f t="shared" ca="1" si="43"/>
        <v/>
      </c>
      <c r="AJ108" s="176" t="str">
        <f t="shared" ca="1" si="44"/>
        <v/>
      </c>
      <c r="AK108" s="176" t="str">
        <f t="shared" ca="1" si="45"/>
        <v/>
      </c>
      <c r="AL108" s="176" t="str">
        <f t="shared" ca="1" si="46"/>
        <v/>
      </c>
      <c r="AM108" s="176" t="str">
        <f t="shared" ca="1" si="47"/>
        <v/>
      </c>
      <c r="AN108" s="176" t="str">
        <f t="shared" ca="1" si="48"/>
        <v/>
      </c>
      <c r="AO108" s="176" t="str">
        <f t="shared" ca="1" si="49"/>
        <v/>
      </c>
      <c r="AP108" s="176" t="str">
        <f t="shared" ca="1" si="50"/>
        <v/>
      </c>
      <c r="AU108" s="176" t="str">
        <f t="shared" ca="1" si="51"/>
        <v/>
      </c>
    </row>
    <row r="109" spans="1:47" ht="22.2" customHeight="1">
      <c r="A109" s="103">
        <f t="shared" si="60"/>
        <v>83</v>
      </c>
      <c r="B109" s="104" t="str">
        <f t="shared" ca="1" si="58"/>
        <v/>
      </c>
      <c r="C109" s="104" t="str">
        <f ca="1">IF(OR(クライアント抽出!C39&lt;&gt;"",クライアント抽出!F39&lt;&gt;""),
"",IF(O109=1,クライアント抽出!A39,""))</f>
        <v/>
      </c>
      <c r="D109" s="104" t="str">
        <f t="array" aca="1" ref="D109" ca="1">IF(C109&lt;&gt;"",INDIRECT("クライアント抽出!"&amp;E109&amp;MATCH(C109,クライアント抽出!A:A,0)&amp;""),"")</f>
        <v/>
      </c>
      <c r="E109" s="104" t="str">
        <f ca="1">IF(H109&lt;&gt;0,
IFERROR(
SUBSTITUTE(ADDRESS(1,
MATCH(VALUE(H109),クライアント抽出!A39:G39,0)+8,4),"1",""),
""),
IFERROR(
SUBSTITUTE(ADDRESS(1,
MATCH(VALUE(I109),クライアント抽出!A39:G39,0)+8,4),"1",""),
""))</f>
        <v/>
      </c>
      <c r="F109" s="186" t="str">
        <f ca="1">IF(D109&lt;&gt;"",
IF(COUNTIF(C109,"*雙葉*"),
IF(ROUND((H109-M109)
/IF(COUNTIF(D109,"*キャラ*"),
VLOOKUP("*キャラ*",商品マスタ!$D:$E,2,FALSE),
IF(COUNTIF(D109,"*赤*"),
VLOOKUP("*赤*",商品マスタ!$D:$E,2,FALSE),
VLOOKUP("*"&amp;D109&amp;"*",商品マスタ!$D:$E,2,FALSE))),0)&lt;=0,1,
ROUND((H109-M109)
/IF(COUNTIF(D109,"*キャラ*"),
VLOOKUP("*キャラ*",商品マスタ!$D:$E,2,FALSE),
IF(COUNTIF(D109,"*赤*"),
VLOOKUP("*赤*",商品マスタ!$D:$E,2,FALSE),
VLOOKUP("*"&amp;D109&amp;"*",商品マスタ!$D:$E,2,FALSE))),0)),
IF(OR(COUNTIF(D109,"*キャラ*"),COUNTIF(D109,"*赤*")),"",
IF(VLOOKUP("*"&amp;D109&amp;"*",商品マスタ!$D:$E,2,FALSE)=0,"",
IF(ROUND((H109-M109)
/VLOOKUP("*"&amp;D109&amp;"*",商品マスタ!$D:$E,2,FALSE),0)&lt;=0,1,
ROUND((H109-M109)
/VLOOKUP("*"&amp;D109&amp;"*",商品マスタ!$D:$E,2,FALSE),0))))),"")</f>
        <v/>
      </c>
      <c r="G109" s="104" t="str">
        <f ca="1">IF(F109&lt;&gt;"",
IF(VALUE(H109-M109)&gt;VALUE(IF(COUNTIF(D109,"*キャラ*"),
VLOOKUP("*キャラ*",商品マスタ!$D:$E,2,FALSE),
IF(COUNTIF(D109,"*赤*"),
VLOOKUP("*赤*",商品マスタ!$D:$E,2,FALSE),
VLOOKUP("*"&amp;D109&amp;"*",商品マスタ!$D:$E,2,FALSE)))*F109),
"+"&amp;(H109-M109)-IF(COUNTIF(D109,"*キャラ*"),
VLOOKUP("*キャラ*",商品マスタ!$D:$E,2,FALSE),
IF(COUNTIF(D109,"*赤*"),
VLOOKUP("*赤*",商品マスタ!$D:$E,2,FALSE),
VLOOKUP("*"&amp;D109&amp;"*",商品マスタ!$D:$E,2,FALSE)))*F109,
(H109-M109)-IF(COUNTIF(D109,"*キャラ*"),
VLOOKUP("*キャラ*",商品マスタ!$D:$E,2,FALSE),
IF(COUNTIF(D109,"*赤*"),
VLOOKUP("*赤*",商品マスタ!$D:$E,2,FALSE),
VLOOKUP("*"&amp;D109&amp;"*",商品マスタ!$D:$E,2,FALSE)))*F109),"")</f>
        <v/>
      </c>
      <c r="H109" s="105" t="str">
        <f ca="1">IF(C109&lt;&gt;"",
クライアント抽出!C39,"")</f>
        <v/>
      </c>
      <c r="I109" s="104" t="str">
        <f t="array" aca="1" ref="I109" ca="1">IF(C109&lt;&gt;"",
IF(O109=1,
IF(SUMPRODUCT(COUNTIF(クライアント抽出!P39:U39,クライアント抽出!P39:U39))&gt;COUNTA(クライアント抽出!P39:U39),
IFERROR(INDIRECT("数出表_Excel!"&amp;INDEX(_xlfn.UNIQUE(_xlfn._xlws.FILTER(クライアント抽出!P39:U39,COUNTIF(クライアント抽出!P39:U39,クライアント抽出!P39:U39)&gt;1)),1)&amp;L39&amp;""),
クライアント抽出!E39),0),クライアント抽出!F39),"")</f>
        <v/>
      </c>
      <c r="J109" s="104" t="str">
        <f ca="1">IF(C109&lt;&gt;"",
VLOOKUP(
"*"&amp;LEFT(IF(COUNTIF(D109,"*学食*"),"キャラ弁（学食）",
IF(COUNTIF(D109,"*赤*"),"赤",
IF(COUNTIF(D109,"*キャラ弁当*"),"キャラ弁当",D109))),4)&amp;"*",注文弁当の抽出!$F$1:$G$15,2,FALSE),"")</f>
        <v/>
      </c>
      <c r="K109" s="104" t="str">
        <f ca="1">IF(クライアント抽出!Q39&lt;&gt;"",SUBSTITUTE(ADDRESS(1,(CODE(クライアント抽出!Q39)-64)*2-1,4),"1",""),"")</f>
        <v/>
      </c>
      <c r="L109" s="104" t="str">
        <f>IF(C39&lt;&gt;"",クライアント抽出!I39,"")</f>
        <v/>
      </c>
      <c r="M109" s="104">
        <f t="array" aca="1" ref="M109" ca="1">IF(C109&lt;&gt;"",
IF(K109&lt;&gt;"",INDIRECT("'数出表_Excel（アレルギー入力）'!"&amp;K109&amp;L109-1&amp;""),),)</f>
        <v>0</v>
      </c>
      <c r="N109" s="104" t="str">
        <f ca="1">IF(C109&lt;&gt;"",IF(OR(COUNTIF('盛付札（関数）'!D109,"*赤*"),COUNTIF('盛付札（関数）'!D109,"*キャラ*")),1,
VALUE(VLOOKUP("*"&amp;D109&amp;"*",商品マスタ!D:H,5,FALSE))),"")</f>
        <v/>
      </c>
      <c r="O109" s="104">
        <f t="shared" ca="1" si="59"/>
        <v>0</v>
      </c>
      <c r="P109" s="104">
        <f t="shared" ca="1" si="33"/>
        <v>0</v>
      </c>
      <c r="Q109" s="104" t="b">
        <f t="shared" ca="1" si="34"/>
        <v>0</v>
      </c>
      <c r="R109" s="176" t="str">
        <f t="array" aca="1" ref="R109" ca="1">IFERROR(SMALL(IF(P$1:P$311&lt;&gt;0,P$1:P$311),ROW(A109)),"")</f>
        <v/>
      </c>
      <c r="S109" s="176" t="str">
        <f t="array" aca="1" ref="S109" ca="1">IF($R109&lt;&gt;"",
SUBSTITUTE(SUBSTITUTE(INDIRECT("C"&amp;$R109&amp;"")," 週3ｺｰｽ","")," 週5ｺｰｽ",""),"")</f>
        <v/>
      </c>
      <c r="T109" s="176" t="str">
        <f t="array" aca="1" ref="T109" ca="1">IF(IF($R109&lt;&gt;"",
INDIRECT(""&amp;IF(COLUMN(D109)&lt;=26,CHAR(COLUMN(D109)+64),CHAR(INT((COLUMN(D109)-1)/26)+64)&amp;CHAR(MOD(COLUMN(D109)-1,26)+65))&amp;$R109&amp;""),"")=0,"",
IF($R109&lt;&gt;"",
INDIRECT(""&amp;IF(COLUMN(D109)&lt;=26,CHAR(COLUMN(D109)+64),CHAR(INT((COLUMN(D109)-1)/26)+64)&amp;CHAR(MOD(COLUMN(D109)-1,26)+65))&amp;$R109&amp;""),""))</f>
        <v/>
      </c>
      <c r="U109" s="218" t="str">
        <f t="array" aca="1" ref="U109" ca="1">IF($R109&lt;&gt;"",
INDIRECT("F"&amp;$R109&amp;""),"")</f>
        <v/>
      </c>
      <c r="V109" s="219" t="str">
        <f t="array" aca="1" ref="V109" ca="1">IF($R109&lt;&gt;"",
INDIRECT("G"&amp;$R109&amp;""),"")</f>
        <v/>
      </c>
      <c r="W109" s="219" t="str" cm="1">
        <f t="array" aca="1" ref="W109" ca="1">IF($R109&lt;&gt;"",
IF(AND(COUNTIF(INDIRECT("B"&amp;R109&amp;""),"*雙葉*"),COUNTIF($B$71:$B$210,"*雙葉*")&gt;=1),
IF(OR(COUNTIF(INDIRECT("B"&amp;R109&amp;""),"*雙葉先生*"),COUNTIF(INDIRECT("B"&amp;R109-1&amp;""),"*雙葉*")),INDIRECT("H"&amp;R109&amp;""),INDIRECT("H"&amp;R109&amp;"")+INDIRECT("H"&amp;MATCH("雙葉'",INDIRECT("B"&amp;R109+3&amp;":B210"),0)+2+R109&amp;"")),
IF(AND(LEFT(INDIRECT("B"&amp;R109&amp;""),2)="博多",COUNTIF(B:B,"*博多*")&gt;=2),
INDIRECT("H"&amp;R109&amp;"")+IFERROR(INDIRECT("H"&amp;MATCH("*"&amp;INDIRECT("B"&amp;R109&amp;"")&amp;"*",INDIRECT("B"&amp;R109+1&amp;":B210"),0)+R109&amp;""),0),
IF(AND(LEFT(INDIRECT("B"&amp;R109&amp;""),3)="奈良屋",COUNTIF(B:B,"*奈良屋*")&gt;=2),
INDIRECT("H"&amp;R109&amp;"")
+INDIRECT("H"&amp;MATCH("*"&amp;INDIRECT("B"&amp;R109&amp;"")&amp;"*",INDIRECT("B"&amp;R109+1&amp;":B210"),0)+R109&amp;"")
+INDIRECT("H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
+INDIRECT("H"&amp;MATCH("*"&amp;INDIRECT("B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&amp;"*",INDIRECT("B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+1&amp;":B210"),0)+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,
INDIRECT("H"&amp;R109&amp;"")))),"")</f>
        <v/>
      </c>
      <c r="X109" s="176" t="str">
        <f t="array" aca="1" ref="X109" ca="1">IF($R109&lt;&gt;"",
INDIRECT(""&amp;IF(COLUMN(I109)&lt;=26,CHAR(COLUMN(I109)+64),CHAR(INT((COLUMN(I109)-1)/26)+64)&amp;CHAR(MOD(COLUMN(I109)-1,26)+65))&amp;$R109&amp;""),"")</f>
        <v/>
      </c>
      <c r="Y109" s="176" t="str">
        <f t="array" aca="1" ref="Y109" ca="1">IF($R109&lt;&gt;"",
INDIRECT(""&amp;IF(COLUMN(J109)&lt;=26,CHAR(COLUMN(J109)+64),CHAR(INT((COLUMN(J109)-1)/26)+64)&amp;CHAR(MOD(COLUMN(J109)-1,26)+65))&amp;$R109&amp;""),"")</f>
        <v/>
      </c>
      <c r="Z109" s="176" t="str">
        <f t="shared" ca="1" si="35"/>
        <v/>
      </c>
      <c r="AA109" s="176" t="str">
        <f t="shared" ca="1" si="36"/>
        <v/>
      </c>
      <c r="AB109" s="176" t="str">
        <f t="array" aca="1" ref="AB109" ca="1">IF($R109&lt;&gt;"",
IF(AND(COUNTIF(INDIRECT("B"&amp;R109&amp;""),"*雙葉*"),COUNTIF(INDIRECT("B"&amp;R109&amp;""),"&lt;&gt;*先生*"),COUNTIF(B:B,"*雙葉*")&gt;=2),
INDIRECT("M"&amp;R109&amp;"")+INDIRECT("M"&amp;MATCH("雙葉'",INDIRECT("B"&amp;R109+1&amp;":B210"),0)+R109&amp;""),
IF(AND(LEFT(INDIRECT("B"&amp;R109&amp;""),2)="博多",COUNTIF(B:B,"*博多*")&gt;=2),
INDIRECT("M"&amp;R109&amp;"")+INDIRECT("M"&amp;MATCH("*"&amp;INDIRECT("B"&amp;R109&amp;"")&amp;"*",INDIRECT("B"&amp;R109+1&amp;":B210"),0)+R109&amp;""),
IF(AND(LEFT(INDIRECT("B"&amp;R109&amp;""),3)="奈良屋",COUNTIF(B:B,"*奈良屋*")&gt;=2),
INDIRECT("M"&amp;R109&amp;"")+INDIRECT("M"&amp;MATCH("*"&amp;INDIRECT("B"&amp;R109&amp;"")&amp;"*",INDIRECT("B"&amp;R109+1&amp;":B210"),0)+R109&amp;"")
+INDIRECT("M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,
INDIRECT("M"&amp;R109&amp;"")))),"")</f>
        <v/>
      </c>
      <c r="AC109" s="176" t="str">
        <f t="shared" ca="1" si="37"/>
        <v/>
      </c>
      <c r="AD109" s="176" t="str">
        <f t="shared" ca="1" si="38"/>
        <v/>
      </c>
      <c r="AE109" s="176" t="str">
        <f t="shared" ca="1" si="39"/>
        <v/>
      </c>
      <c r="AF109" s="176" t="str">
        <f t="shared" ca="1" si="40"/>
        <v/>
      </c>
      <c r="AG109" s="176" t="str">
        <f t="shared" ca="1" si="41"/>
        <v/>
      </c>
      <c r="AH109" s="183" t="str">
        <f t="shared" ca="1" si="42"/>
        <v/>
      </c>
      <c r="AI109" s="176" t="str">
        <f t="shared" ca="1" si="43"/>
        <v/>
      </c>
      <c r="AJ109" s="176" t="str">
        <f t="shared" ca="1" si="44"/>
        <v/>
      </c>
      <c r="AK109" s="176" t="str">
        <f t="shared" ca="1" si="45"/>
        <v/>
      </c>
      <c r="AL109" s="176" t="str">
        <f t="shared" ca="1" si="46"/>
        <v/>
      </c>
      <c r="AM109" s="176" t="str">
        <f t="shared" ca="1" si="47"/>
        <v/>
      </c>
      <c r="AN109" s="176" t="str">
        <f t="shared" ca="1" si="48"/>
        <v/>
      </c>
      <c r="AO109" s="176" t="str">
        <f t="shared" ca="1" si="49"/>
        <v/>
      </c>
      <c r="AP109" s="176" t="str">
        <f t="shared" ca="1" si="50"/>
        <v/>
      </c>
      <c r="AU109" s="176" t="str">
        <f t="shared" ca="1" si="51"/>
        <v/>
      </c>
    </row>
    <row r="110" spans="1:47" ht="22.2" customHeight="1">
      <c r="A110" s="103">
        <f t="shared" si="60"/>
        <v>85</v>
      </c>
      <c r="B110" s="104" t="str">
        <f t="shared" ca="1" si="58"/>
        <v/>
      </c>
      <c r="C110" s="104" t="str">
        <f>IF(OR(クライアント抽出!C40&lt;&gt;"",クライアント抽出!F40&lt;&gt;""),クライアント抽出!A40,"")</f>
        <v/>
      </c>
      <c r="D110" s="104" t="str">
        <f t="array" aca="1" ref="D110" ca="1">IF(C110&lt;&gt;"",INDIRECT("クライアント抽出!"&amp;E110&amp;MATCH(C110,クライアント抽出!A:A,0)&amp;""),"")</f>
        <v/>
      </c>
      <c r="E110" s="104" t="str">
        <f>IF(H110&lt;&gt;0,
IFERROR(
SUBSTITUTE(ADDRESS(1,
MATCH(VALUE(H110),クライアント抽出!A40:G40,0)+8,4),"1",""),
""),
IFERROR(
SUBSTITUTE(ADDRESS(1,
MATCH(VALUE(I110),クライアント抽出!A40:G40,0)+8,4),"1",""),
""))</f>
        <v/>
      </c>
      <c r="F110" s="186" t="str">
        <f ca="1">IF(D110&lt;&gt;"",
IF(COUNTIF(C110,"*雙葉*"),
IF(ROUND((H110-M110)
/IF(COUNTIF(D110,"*キャラ*"),
VLOOKUP("*キャラ*",商品マスタ!$D:$E,2,FALSE),
IF(COUNTIF(D110,"*赤*"),
VLOOKUP("*赤*",商品マスタ!$D:$E,2,FALSE),
VLOOKUP("*"&amp;D110&amp;"*",商品マスタ!$D:$E,2,FALSE))),0)&lt;=0,1,
ROUND((H110-M110)
/IF(COUNTIF(D110,"*キャラ*"),
VLOOKUP("*キャラ*",商品マスタ!$D:$E,2,FALSE),
IF(COUNTIF(D110,"*赤*"),
VLOOKUP("*赤*",商品マスタ!$D:$E,2,FALSE),
VLOOKUP("*"&amp;D110&amp;"*",商品マスタ!$D:$E,2,FALSE))),0)),
IF(OR(COUNTIF(D110,"*キャラ*"),COUNTIF(D110,"*赤*")),"",
IF(VLOOKUP("*"&amp;D110&amp;"*",商品マスタ!$D:$E,2,FALSE)=0,"",
IF(ROUND((H110-M110)
/VLOOKUP("*"&amp;D110&amp;"*",商品マスタ!$D:$E,2,FALSE),0)&lt;=0,1,
ROUND((H110-M110)
/VLOOKUP("*"&amp;D110&amp;"*",商品マスタ!$D:$E,2,FALSE),0))))),"")</f>
        <v/>
      </c>
      <c r="G110" s="104" t="str">
        <f ca="1">IF(F110&lt;&gt;"",
IF(VALUE(H110-M110)&gt;VALUE(IF(COUNTIF(D110,"*キャラ*"),
VLOOKUP("*キャラ*",商品マスタ!$D:$E,2,FALSE),
IF(COUNTIF(D110,"*赤*"),
VLOOKUP("*赤*",商品マスタ!$D:$E,2,FALSE),
VLOOKUP("*"&amp;D110&amp;"*",商品マスタ!$D:$E,2,FALSE)))*F110),
"+"&amp;(H110-M110)-IF(COUNTIF(D110,"*キャラ*"),
VLOOKUP("*キャラ*",商品マスタ!$D:$E,2,FALSE),
IF(COUNTIF(D110,"*赤*"),
VLOOKUP("*赤*",商品マスタ!$D:$E,2,FALSE),
VLOOKUP("*"&amp;D110&amp;"*",商品マスタ!$D:$E,2,FALSE)))*F110,
(H110-M110)-IF(COUNTIF(D110,"*キャラ*"),
VLOOKUP("*キャラ*",商品マスタ!$D:$E,2,FALSE),
IF(COUNTIF(D110,"*赤*"),
VLOOKUP("*赤*",商品マスタ!$D:$E,2,FALSE),
VLOOKUP("*"&amp;D110&amp;"*",商品マスタ!$D:$E,2,FALSE)))*F110),"")</f>
        <v/>
      </c>
      <c r="H110" s="105" t="str">
        <f>IF(C110&lt;&gt;"",
クライアント抽出!C40,"")</f>
        <v/>
      </c>
      <c r="I110" s="104" t="str">
        <f t="array" aca="1" ref="I110" ca="1">IF(C110&lt;&gt;"",
IF(O110=1,
IF(SUMPRODUCT(COUNTIF(クライアント抽出!P40:U40,クライアント抽出!P40:U40))&gt;COUNTA(クライアント抽出!P40:U40),
IFERROR(INDIRECT("数出表_Excel!"&amp;INDEX(_xlfn.UNIQUE(_xlfn._xlws.FILTER(クライアント抽出!P40:U40,COUNTIF(クライアント抽出!P40:U40,クライアント抽出!P40:U40)&gt;1)),1)&amp;L40&amp;""),
クライアント抽出!E40),0),クライアント抽出!F40),"")</f>
        <v/>
      </c>
      <c r="J110" s="104" t="str">
        <f>IF(C110&lt;&gt;"",
VLOOKUP(
"*"&amp;LEFT(IF(COUNTIF(D110,"*学食*"),"キャラ弁（学食）",
IF(COUNTIF(D110,"*赤*"),"赤",
IF(COUNTIF(D110,"*キャラ弁当*"),"キャラ弁当",D110))),4)&amp;"*",注文弁当の抽出!$F$1:$G$15,2,FALSE),"")</f>
        <v/>
      </c>
      <c r="K110" s="104" t="str">
        <f ca="1">IF(クライアント抽出!Q40&lt;&gt;"",SUBSTITUTE(ADDRESS(1,(CODE(クライアント抽出!Q40)-64)*2-1,4),"1",""),"")</f>
        <v/>
      </c>
      <c r="L110" s="104" t="str">
        <f>IF(C40&lt;&gt;"",クライアント抽出!I40,"")</f>
        <v/>
      </c>
      <c r="M110" s="104">
        <f t="array" aca="1" ref="M110" ca="1">IF(C110&lt;&gt;"",
IF(K110&lt;&gt;"",INDIRECT("'数出表_Excel（アレルギー入力）'!"&amp;K110&amp;L110-1&amp;""),),)</f>
        <v>0</v>
      </c>
      <c r="N110" s="104" t="str">
        <f>IF(C110&lt;&gt;"",IF(OR(COUNTIF('盛付札（関数）'!D110,"*赤*"),COUNTIF('盛付札（関数）'!D110,"*キャラ*")),1,
VALUE(VLOOKUP("*"&amp;D110&amp;"*",商品マスタ!D:H,5,FALSE))),"")</f>
        <v/>
      </c>
      <c r="O110" s="104">
        <f t="shared" ca="1" si="59"/>
        <v>0</v>
      </c>
      <c r="P110" s="104">
        <f t="shared" si="33"/>
        <v>0</v>
      </c>
      <c r="Q110" s="104" t="b">
        <f t="shared" si="34"/>
        <v>0</v>
      </c>
      <c r="R110" s="176" t="str">
        <f t="array" aca="1" ref="R110" ca="1">IFERROR(SMALL(IF(P$1:P$311&lt;&gt;0,P$1:P$311),ROW(A110)),"")</f>
        <v/>
      </c>
      <c r="S110" s="176" t="str">
        <f t="array" aca="1" ref="S110" ca="1">IF($R110&lt;&gt;"",
SUBSTITUTE(SUBSTITUTE(INDIRECT("C"&amp;$R110&amp;"")," 週3ｺｰｽ","")," 週5ｺｰｽ",""),"")</f>
        <v/>
      </c>
      <c r="T110" s="176" t="str">
        <f t="array" aca="1" ref="T110" ca="1">IF(IF($R110&lt;&gt;"",
INDIRECT(""&amp;IF(COLUMN(D110)&lt;=26,CHAR(COLUMN(D110)+64),CHAR(INT((COLUMN(D110)-1)/26)+64)&amp;CHAR(MOD(COLUMN(D110)-1,26)+65))&amp;$R110&amp;""),"")=0,"",
IF($R110&lt;&gt;"",
INDIRECT(""&amp;IF(COLUMN(D110)&lt;=26,CHAR(COLUMN(D110)+64),CHAR(INT((COLUMN(D110)-1)/26)+64)&amp;CHAR(MOD(COLUMN(D110)-1,26)+65))&amp;$R110&amp;""),""))</f>
        <v/>
      </c>
      <c r="U110" s="218" t="str">
        <f t="array" aca="1" ref="U110" ca="1">IF($R110&lt;&gt;"",
INDIRECT("F"&amp;$R110&amp;""),"")</f>
        <v/>
      </c>
      <c r="V110" s="219" t="str">
        <f t="array" aca="1" ref="V110" ca="1">IF($R110&lt;&gt;"",
INDIRECT("G"&amp;$R110&amp;""),"")</f>
        <v/>
      </c>
      <c r="W110" s="219" t="str" cm="1">
        <f t="array" aca="1" ref="W110" ca="1">IF($R110&lt;&gt;"",
IF(AND(COUNTIF(INDIRECT("B"&amp;R110&amp;""),"*雙葉*"),COUNTIF($B$71:$B$210,"*雙葉*")&gt;=1),
IF(OR(COUNTIF(INDIRECT("B"&amp;R110&amp;""),"*雙葉先生*"),COUNTIF(INDIRECT("B"&amp;R110-1&amp;""),"*雙葉*")),INDIRECT("H"&amp;R110&amp;""),INDIRECT("H"&amp;R110&amp;"")+INDIRECT("H"&amp;MATCH("雙葉'",INDIRECT("B"&amp;R110+3&amp;":B210"),0)+2+R110&amp;"")),
IF(AND(LEFT(INDIRECT("B"&amp;R110&amp;""),2)="博多",COUNTIF(B:B,"*博多*")&gt;=2),
INDIRECT("H"&amp;R110&amp;"")+IFERROR(INDIRECT("H"&amp;MATCH("*"&amp;INDIRECT("B"&amp;R110&amp;"")&amp;"*",INDIRECT("B"&amp;R110+1&amp;":B210"),0)+R110&amp;""),0),
IF(AND(LEFT(INDIRECT("B"&amp;R110&amp;""),3)="奈良屋",COUNTIF(B:B,"*奈良屋*")&gt;=2),
INDIRECT("H"&amp;R110&amp;"")
+INDIRECT("H"&amp;MATCH("*"&amp;INDIRECT("B"&amp;R110&amp;"")&amp;"*",INDIRECT("B"&amp;R110+1&amp;":B210"),0)+R110&amp;"")
+INDIRECT("H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
+INDIRECT("H"&amp;MATCH("*"&amp;INDIRECT("B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&amp;"*",INDIRECT("B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+1&amp;":B210"),0)+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,
INDIRECT("H"&amp;R110&amp;"")))),"")</f>
        <v/>
      </c>
      <c r="X110" s="176" t="str">
        <f t="array" aca="1" ref="X110" ca="1">IF($R110&lt;&gt;"",
INDIRECT(""&amp;IF(COLUMN(I110)&lt;=26,CHAR(COLUMN(I110)+64),CHAR(INT((COLUMN(I110)-1)/26)+64)&amp;CHAR(MOD(COLUMN(I110)-1,26)+65))&amp;$R110&amp;""),"")</f>
        <v/>
      </c>
      <c r="Y110" s="176" t="str">
        <f t="array" aca="1" ref="Y110" ca="1">IF($R110&lt;&gt;"",
INDIRECT(""&amp;IF(COLUMN(J110)&lt;=26,CHAR(COLUMN(J110)+64),CHAR(INT((COLUMN(J110)-1)/26)+64)&amp;CHAR(MOD(COLUMN(J110)-1,26)+65))&amp;$R110&amp;""),"")</f>
        <v/>
      </c>
      <c r="Z110" s="176" t="str">
        <f t="shared" ca="1" si="35"/>
        <v/>
      </c>
      <c r="AA110" s="176" t="str">
        <f t="shared" ca="1" si="36"/>
        <v/>
      </c>
      <c r="AB110" s="176" t="str">
        <f t="array" aca="1" ref="AB110" ca="1">IF($R110&lt;&gt;"",
IF(AND(COUNTIF(INDIRECT("B"&amp;R110&amp;""),"*雙葉*"),COUNTIF(INDIRECT("B"&amp;R110&amp;""),"&lt;&gt;*先生*"),COUNTIF(B:B,"*雙葉*")&gt;=2),
INDIRECT("M"&amp;R110&amp;"")+INDIRECT("M"&amp;MATCH("雙葉'",INDIRECT("B"&amp;R110+1&amp;":B210"),0)+R110&amp;""),
IF(AND(LEFT(INDIRECT("B"&amp;R110&amp;""),2)="博多",COUNTIF(B:B,"*博多*")&gt;=2),
INDIRECT("M"&amp;R110&amp;"")+INDIRECT("M"&amp;MATCH("*"&amp;INDIRECT("B"&amp;R110&amp;"")&amp;"*",INDIRECT("B"&amp;R110+1&amp;":B210"),0)+R110&amp;""),
IF(AND(LEFT(INDIRECT("B"&amp;R110&amp;""),3)="奈良屋",COUNTIF(B:B,"*奈良屋*")&gt;=2),
INDIRECT("M"&amp;R110&amp;"")+INDIRECT("M"&amp;MATCH("*"&amp;INDIRECT("B"&amp;R110&amp;"")&amp;"*",INDIRECT("B"&amp;R110+1&amp;":B210"),0)+R110&amp;"")
+INDIRECT("M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,
INDIRECT("M"&amp;R110&amp;"")))),"")</f>
        <v/>
      </c>
      <c r="AC110" s="176" t="str">
        <f t="shared" ca="1" si="37"/>
        <v/>
      </c>
      <c r="AD110" s="176" t="str">
        <f t="shared" ca="1" si="38"/>
        <v/>
      </c>
      <c r="AE110" s="176" t="str">
        <f t="shared" ca="1" si="39"/>
        <v/>
      </c>
      <c r="AF110" s="176" t="str">
        <f t="shared" ca="1" si="40"/>
        <v/>
      </c>
      <c r="AG110" s="176" t="str">
        <f t="shared" ca="1" si="41"/>
        <v/>
      </c>
      <c r="AH110" s="183" t="str">
        <f t="shared" ca="1" si="42"/>
        <v/>
      </c>
      <c r="AI110" s="176" t="str">
        <f t="shared" ca="1" si="43"/>
        <v/>
      </c>
      <c r="AJ110" s="176" t="str">
        <f t="shared" ca="1" si="44"/>
        <v/>
      </c>
      <c r="AK110" s="176" t="str">
        <f t="shared" ca="1" si="45"/>
        <v/>
      </c>
      <c r="AL110" s="176" t="str">
        <f t="shared" ca="1" si="46"/>
        <v/>
      </c>
      <c r="AM110" s="176" t="str">
        <f t="shared" ca="1" si="47"/>
        <v/>
      </c>
      <c r="AN110" s="176" t="str">
        <f t="shared" ca="1" si="48"/>
        <v/>
      </c>
      <c r="AO110" s="176" t="str">
        <f t="shared" ca="1" si="49"/>
        <v/>
      </c>
      <c r="AP110" s="176" t="str">
        <f t="shared" ca="1" si="50"/>
        <v/>
      </c>
      <c r="AU110" s="176" t="str">
        <f t="shared" ca="1" si="51"/>
        <v/>
      </c>
    </row>
    <row r="111" spans="1:47" ht="22.2" customHeight="1">
      <c r="A111" s="103">
        <f t="shared" si="60"/>
        <v>87</v>
      </c>
      <c r="B111" s="104" t="str">
        <f t="shared" ca="1" si="58"/>
        <v/>
      </c>
      <c r="C111" s="104" t="str">
        <f>IF(OR(クライアント抽出!C41&lt;&gt;"",クライアント抽出!F41&lt;&gt;""),クライアント抽出!A41,"")</f>
        <v/>
      </c>
      <c r="D111" s="104" t="str">
        <f t="array" aca="1" ref="D111" ca="1">IF(C111&lt;&gt;"",INDIRECT("クライアント抽出!"&amp;E111&amp;MATCH(C111,クライアント抽出!A:A,0)&amp;""),"")</f>
        <v/>
      </c>
      <c r="E111" s="104" t="str">
        <f>IF(H111&lt;&gt;0,
IFERROR(
SUBSTITUTE(ADDRESS(1,
MATCH(VALUE(H111),クライアント抽出!A41:G41,0)+8,4),"1",""),
""),
IFERROR(
SUBSTITUTE(ADDRESS(1,
MATCH(VALUE(I111),クライアント抽出!A41:G41,0)+8,4),"1",""),
""))</f>
        <v/>
      </c>
      <c r="F111" s="186" t="str">
        <f ca="1">IF(D111&lt;&gt;"",
IF(COUNTIF(C111,"*雙葉*"),
IF(ROUND((H111-M111)
/IF(COUNTIF(D111,"*キャラ*"),
VLOOKUP("*キャラ*",商品マスタ!$D:$E,2,FALSE),
IF(COUNTIF(D111,"*赤*"),
VLOOKUP("*赤*",商品マスタ!$D:$E,2,FALSE),
VLOOKUP("*"&amp;D111&amp;"*",商品マスタ!$D:$E,2,FALSE))),0)&lt;=0,1,
ROUND((H111-M111)
/IF(COUNTIF(D111,"*キャラ*"),
VLOOKUP("*キャラ*",商品マスタ!$D:$E,2,FALSE),
IF(COUNTIF(D111,"*赤*"),
VLOOKUP("*赤*",商品マスタ!$D:$E,2,FALSE),
VLOOKUP("*"&amp;D111&amp;"*",商品マスタ!$D:$E,2,FALSE))),0)),
IF(OR(COUNTIF(D111,"*キャラ*"),COUNTIF(D111,"*赤*")),"",
IF(VLOOKUP("*"&amp;D111&amp;"*",商品マスタ!$D:$E,2,FALSE)=0,"",
IF(ROUND((H111-M111)
/VLOOKUP("*"&amp;D111&amp;"*",商品マスタ!$D:$E,2,FALSE),0)&lt;=0,1,
ROUND((H111-M111)
/VLOOKUP("*"&amp;D111&amp;"*",商品マスタ!$D:$E,2,FALSE),0))))),"")</f>
        <v/>
      </c>
      <c r="G111" s="104" t="str">
        <f ca="1">IF(F111&lt;&gt;"",
IF(VALUE(H111-M111)&gt;VALUE(IF(COUNTIF(D111,"*キャラ*"),
VLOOKUP("*キャラ*",商品マスタ!$D:$E,2,FALSE),
IF(COUNTIF(D111,"*赤*"),
VLOOKUP("*赤*",商品マスタ!$D:$E,2,FALSE),
VLOOKUP("*"&amp;D111&amp;"*",商品マスタ!$D:$E,2,FALSE)))*F111),
"+"&amp;(H111-M111)-IF(COUNTIF(D111,"*キャラ*"),
VLOOKUP("*キャラ*",商品マスタ!$D:$E,2,FALSE),
IF(COUNTIF(D111,"*赤*"),
VLOOKUP("*赤*",商品マスタ!$D:$E,2,FALSE),
VLOOKUP("*"&amp;D111&amp;"*",商品マスタ!$D:$E,2,FALSE)))*F111,
(H111-M111)-IF(COUNTIF(D111,"*キャラ*"),
VLOOKUP("*キャラ*",商品マスタ!$D:$E,2,FALSE),
IF(COUNTIF(D111,"*赤*"),
VLOOKUP("*赤*",商品マスタ!$D:$E,2,FALSE),
VLOOKUP("*"&amp;D111&amp;"*",商品マスタ!$D:$E,2,FALSE)))*F111),"")</f>
        <v/>
      </c>
      <c r="H111" s="105" t="str">
        <f>IF(C111&lt;&gt;"",
クライアント抽出!C41,"")</f>
        <v/>
      </c>
      <c r="I111" s="104" t="str">
        <f t="array" aca="1" ref="I111" ca="1">IF(C111&lt;&gt;"",
IF(O111=1,
IF(SUMPRODUCT(COUNTIF(クライアント抽出!P41:U41,クライアント抽出!P41:U41))&gt;COUNTA(クライアント抽出!P41:U41),
IFERROR(INDIRECT("数出表_Excel!"&amp;INDEX(_xlfn.UNIQUE(_xlfn._xlws.FILTER(クライアント抽出!P41:U41,COUNTIF(クライアント抽出!P41:U41,クライアント抽出!P41:U41)&gt;1)),1)&amp;L41&amp;""),
クライアント抽出!E41),0),クライアント抽出!F41),"")</f>
        <v/>
      </c>
      <c r="J111" s="104" t="str">
        <f>IF(C111&lt;&gt;"",
VLOOKUP(
"*"&amp;LEFT(IF(COUNTIF(D111,"*学食*"),"キャラ弁（学食）",
IF(COUNTIF(D111,"*赤*"),"赤",
IF(COUNTIF(D111,"*キャラ弁当*"),"キャラ弁当",D111))),4)&amp;"*",注文弁当の抽出!$F$1:$G$15,2,FALSE),"")</f>
        <v/>
      </c>
      <c r="K111" s="104" t="str">
        <f ca="1">IF(クライアント抽出!Q41&lt;&gt;"",SUBSTITUTE(ADDRESS(1,(CODE(クライアント抽出!Q41)-64)*2-1,4),"1",""),"")</f>
        <v/>
      </c>
      <c r="L111" s="104" t="str">
        <f>IF(C41&lt;&gt;"",クライアント抽出!I41,"")</f>
        <v/>
      </c>
      <c r="M111" s="104">
        <f t="array" aca="1" ref="M111" ca="1">IF(C111&lt;&gt;"",
IF(K111&lt;&gt;"",INDIRECT("'数出表_Excel（アレルギー入力）'!"&amp;K111&amp;L111-1&amp;""),),)</f>
        <v>0</v>
      </c>
      <c r="N111" s="104" t="str">
        <f>IF(C111&lt;&gt;"",IF(OR(COUNTIF('盛付札（関数）'!D111,"*赤*"),COUNTIF('盛付札（関数）'!D111,"*キャラ*")),1,
VALUE(VLOOKUP("*"&amp;D111&amp;"*",商品マスタ!D:H,5,FALSE))),"")</f>
        <v/>
      </c>
      <c r="O111" s="104">
        <f t="shared" ca="1" si="59"/>
        <v>0</v>
      </c>
      <c r="P111" s="104">
        <f t="shared" si="33"/>
        <v>0</v>
      </c>
      <c r="Q111" s="104" t="b">
        <f t="shared" si="34"/>
        <v>0</v>
      </c>
      <c r="R111" s="176" t="str">
        <f t="array" aca="1" ref="R111" ca="1">IFERROR(SMALL(IF(P$1:P$311&lt;&gt;0,P$1:P$311),ROW(A111)),"")</f>
        <v/>
      </c>
      <c r="S111" s="176" t="str">
        <f t="array" aca="1" ref="S111" ca="1">IF($R111&lt;&gt;"",
SUBSTITUTE(SUBSTITUTE(INDIRECT("C"&amp;$R111&amp;"")," 週3ｺｰｽ","")," 週5ｺｰｽ",""),"")</f>
        <v/>
      </c>
      <c r="T111" s="176" t="str">
        <f t="array" aca="1" ref="T111" ca="1">IF(IF($R111&lt;&gt;"",
INDIRECT(""&amp;IF(COLUMN(D111)&lt;=26,CHAR(COLUMN(D111)+64),CHAR(INT((COLUMN(D111)-1)/26)+64)&amp;CHAR(MOD(COLUMN(D111)-1,26)+65))&amp;$R111&amp;""),"")=0,"",
IF($R111&lt;&gt;"",
INDIRECT(""&amp;IF(COLUMN(D111)&lt;=26,CHAR(COLUMN(D111)+64),CHAR(INT((COLUMN(D111)-1)/26)+64)&amp;CHAR(MOD(COLUMN(D111)-1,26)+65))&amp;$R111&amp;""),""))</f>
        <v/>
      </c>
      <c r="U111" s="218" t="str">
        <f t="array" aca="1" ref="U111" ca="1">IF($R111&lt;&gt;"",
INDIRECT("F"&amp;$R111&amp;""),"")</f>
        <v/>
      </c>
      <c r="V111" s="219" t="str">
        <f t="array" aca="1" ref="V111" ca="1">IF($R111&lt;&gt;"",
INDIRECT("G"&amp;$R111&amp;""),"")</f>
        <v/>
      </c>
      <c r="W111" s="219" t="str" cm="1">
        <f t="array" aca="1" ref="W111" ca="1">IF($R111&lt;&gt;"",
IF(AND(COUNTIF(INDIRECT("B"&amp;R111&amp;""),"*雙葉*"),COUNTIF($B$71:$B$210,"*雙葉*")&gt;=1),
IF(OR(COUNTIF(INDIRECT("B"&amp;R111&amp;""),"*雙葉先生*"),COUNTIF(INDIRECT("B"&amp;R111-1&amp;""),"*雙葉*")),INDIRECT("H"&amp;R111&amp;""),INDIRECT("H"&amp;R111&amp;"")+INDIRECT("H"&amp;MATCH("雙葉'",INDIRECT("B"&amp;R111+3&amp;":B210"),0)+2+R111&amp;"")),
IF(AND(LEFT(INDIRECT("B"&amp;R111&amp;""),2)="博多",COUNTIF(B:B,"*博多*")&gt;=2),
INDIRECT("H"&amp;R111&amp;"")+IFERROR(INDIRECT("H"&amp;MATCH("*"&amp;INDIRECT("B"&amp;R111&amp;"")&amp;"*",INDIRECT("B"&amp;R111+1&amp;":B210"),0)+R111&amp;""),0),
IF(AND(LEFT(INDIRECT("B"&amp;R111&amp;""),3)="奈良屋",COUNTIF(B:B,"*奈良屋*")&gt;=2),
INDIRECT("H"&amp;R111&amp;"")
+INDIRECT("H"&amp;MATCH("*"&amp;INDIRECT("B"&amp;R111&amp;"")&amp;"*",INDIRECT("B"&amp;R111+1&amp;":B210"),0)+R111&amp;"")
+INDIRECT("H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
+INDIRECT("H"&amp;MATCH("*"&amp;INDIRECT("B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&amp;"*",INDIRECT("B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+1&amp;":B210"),0)+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,
INDIRECT("H"&amp;R111&amp;"")))),"")</f>
        <v/>
      </c>
      <c r="X111" s="176" t="str">
        <f t="array" aca="1" ref="X111" ca="1">IF($R111&lt;&gt;"",
INDIRECT(""&amp;IF(COLUMN(I111)&lt;=26,CHAR(COLUMN(I111)+64),CHAR(INT((COLUMN(I111)-1)/26)+64)&amp;CHAR(MOD(COLUMN(I111)-1,26)+65))&amp;$R111&amp;""),"")</f>
        <v/>
      </c>
      <c r="Y111" s="176" t="str">
        <f t="array" aca="1" ref="Y111" ca="1">IF($R111&lt;&gt;"",
INDIRECT(""&amp;IF(COLUMN(J111)&lt;=26,CHAR(COLUMN(J111)+64),CHAR(INT((COLUMN(J111)-1)/26)+64)&amp;CHAR(MOD(COLUMN(J111)-1,26)+65))&amp;$R111&amp;""),"")</f>
        <v/>
      </c>
      <c r="Z111" s="176" t="str">
        <f t="shared" ca="1" si="35"/>
        <v/>
      </c>
      <c r="AA111" s="176" t="str">
        <f t="shared" ca="1" si="36"/>
        <v/>
      </c>
      <c r="AB111" s="176" t="str">
        <f t="array" aca="1" ref="AB111" ca="1">IF($R111&lt;&gt;"",
IF(AND(COUNTIF(INDIRECT("B"&amp;R111&amp;""),"*雙葉*"),COUNTIF(INDIRECT("B"&amp;R111&amp;""),"&lt;&gt;*先生*"),COUNTIF(B:B,"*雙葉*")&gt;=2),
INDIRECT("M"&amp;R111&amp;"")+INDIRECT("M"&amp;MATCH("雙葉'",INDIRECT("B"&amp;R111+1&amp;":B210"),0)+R111&amp;""),
IF(AND(LEFT(INDIRECT("B"&amp;R111&amp;""),2)="博多",COUNTIF(B:B,"*博多*")&gt;=2),
INDIRECT("M"&amp;R111&amp;"")+INDIRECT("M"&amp;MATCH("*"&amp;INDIRECT("B"&amp;R111&amp;"")&amp;"*",INDIRECT("B"&amp;R111+1&amp;":B210"),0)+R111&amp;""),
IF(AND(LEFT(INDIRECT("B"&amp;R111&amp;""),3)="奈良屋",COUNTIF(B:B,"*奈良屋*")&gt;=2),
INDIRECT("M"&amp;R111&amp;"")+INDIRECT("M"&amp;MATCH("*"&amp;INDIRECT("B"&amp;R111&amp;"")&amp;"*",INDIRECT("B"&amp;R111+1&amp;":B210"),0)+R111&amp;"")
+INDIRECT("M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,
INDIRECT("M"&amp;R111&amp;"")))),"")</f>
        <v/>
      </c>
      <c r="AC111" s="176" t="str">
        <f t="shared" ca="1" si="37"/>
        <v/>
      </c>
      <c r="AD111" s="176" t="str">
        <f t="shared" ca="1" si="38"/>
        <v/>
      </c>
      <c r="AE111" s="176" t="str">
        <f t="shared" ca="1" si="39"/>
        <v/>
      </c>
      <c r="AF111" s="176" t="str">
        <f t="shared" ca="1" si="40"/>
        <v/>
      </c>
      <c r="AG111" s="176" t="str">
        <f t="shared" ca="1" si="41"/>
        <v/>
      </c>
      <c r="AH111" s="183" t="str">
        <f t="shared" ca="1" si="42"/>
        <v/>
      </c>
      <c r="AI111" s="176" t="str">
        <f t="shared" ca="1" si="43"/>
        <v/>
      </c>
      <c r="AJ111" s="176" t="str">
        <f t="shared" ca="1" si="44"/>
        <v/>
      </c>
      <c r="AK111" s="176" t="str">
        <f t="shared" ca="1" si="45"/>
        <v/>
      </c>
      <c r="AL111" s="176" t="str">
        <f t="shared" ca="1" si="46"/>
        <v/>
      </c>
      <c r="AM111" s="176" t="str">
        <f t="shared" ca="1" si="47"/>
        <v/>
      </c>
      <c r="AN111" s="176" t="str">
        <f t="shared" ca="1" si="48"/>
        <v/>
      </c>
      <c r="AO111" s="176" t="str">
        <f t="shared" ca="1" si="49"/>
        <v/>
      </c>
      <c r="AP111" s="176" t="str">
        <f t="shared" ca="1" si="50"/>
        <v/>
      </c>
      <c r="AU111" s="176" t="str">
        <f t="shared" ca="1" si="51"/>
        <v/>
      </c>
    </row>
    <row r="112" spans="1:47" ht="22.2" customHeight="1">
      <c r="A112" s="103">
        <f t="shared" si="60"/>
        <v>89</v>
      </c>
      <c r="B112" s="104" t="str">
        <f t="shared" ca="1" si="58"/>
        <v/>
      </c>
      <c r="C112" s="104" t="str">
        <f>IF(OR(クライアント抽出!C42&lt;&gt;"",クライアント抽出!F42&lt;&gt;""),クライアント抽出!A42,"")</f>
        <v/>
      </c>
      <c r="D112" s="104" t="str">
        <f t="array" aca="1" ref="D112" ca="1">IF(C112&lt;&gt;"",INDIRECT("クライアント抽出!"&amp;E112&amp;MATCH(C112,クライアント抽出!A:A,0)&amp;""),"")</f>
        <v/>
      </c>
      <c r="E112" s="104" t="str">
        <f>IF(H112&lt;&gt;0,
IFERROR(
SUBSTITUTE(ADDRESS(1,
MATCH(VALUE(H112),クライアント抽出!A42:G42,0)+8,4),"1",""),
""),
IFERROR(
SUBSTITUTE(ADDRESS(1,
MATCH(VALUE(I112),クライアント抽出!A42:G42,0)+8,4),"1",""),
""))</f>
        <v/>
      </c>
      <c r="F112" s="186" t="str">
        <f ca="1">IF(D112&lt;&gt;"",
IF(COUNTIF(C112,"*雙葉*"),
IF(ROUND((H112-M112)
/IF(COUNTIF(D112,"*キャラ*"),
VLOOKUP("*キャラ*",商品マスタ!$D:$E,2,FALSE),
IF(COUNTIF(D112,"*赤*"),
VLOOKUP("*赤*",商品マスタ!$D:$E,2,FALSE),
VLOOKUP("*"&amp;D112&amp;"*",商品マスタ!$D:$E,2,FALSE))),0)&lt;=0,1,
ROUND((H112-M112)
/IF(COUNTIF(D112,"*キャラ*"),
VLOOKUP("*キャラ*",商品マスタ!$D:$E,2,FALSE),
IF(COUNTIF(D112,"*赤*"),
VLOOKUP("*赤*",商品マスタ!$D:$E,2,FALSE),
VLOOKUP("*"&amp;D112&amp;"*",商品マスタ!$D:$E,2,FALSE))),0)),
IF(OR(COUNTIF(D112,"*キャラ*"),COUNTIF(D112,"*赤*")),"",
IF(VLOOKUP("*"&amp;D112&amp;"*",商品マスタ!$D:$E,2,FALSE)=0,"",
IF(ROUND((H112-M112)
/VLOOKUP("*"&amp;D112&amp;"*",商品マスタ!$D:$E,2,FALSE),0)&lt;=0,1,
ROUND((H112-M112)
/VLOOKUP("*"&amp;D112&amp;"*",商品マスタ!$D:$E,2,FALSE),0))))),"")</f>
        <v/>
      </c>
      <c r="G112" s="104" t="str">
        <f ca="1">IF(F112&lt;&gt;"",
IF(VALUE(H112-M112)&gt;VALUE(IF(COUNTIF(D112,"*キャラ*"),
VLOOKUP("*キャラ*",商品マスタ!$D:$E,2,FALSE),
IF(COUNTIF(D112,"*赤*"),
VLOOKUP("*赤*",商品マスタ!$D:$E,2,FALSE),
VLOOKUP("*"&amp;D112&amp;"*",商品マスタ!$D:$E,2,FALSE)))*F112),
"+"&amp;(H112-M112)-IF(COUNTIF(D112,"*キャラ*"),
VLOOKUP("*キャラ*",商品マスタ!$D:$E,2,FALSE),
IF(COUNTIF(D112,"*赤*"),
VLOOKUP("*赤*",商品マスタ!$D:$E,2,FALSE),
VLOOKUP("*"&amp;D112&amp;"*",商品マスタ!$D:$E,2,FALSE)))*F112,
(H112-M112)-IF(COUNTIF(D112,"*キャラ*"),
VLOOKUP("*キャラ*",商品マスタ!$D:$E,2,FALSE),
IF(COUNTIF(D112,"*赤*"),
VLOOKUP("*赤*",商品マスタ!$D:$E,2,FALSE),
VLOOKUP("*"&amp;D112&amp;"*",商品マスタ!$D:$E,2,FALSE)))*F112),"")</f>
        <v/>
      </c>
      <c r="H112" s="105" t="str">
        <f>IF(C112&lt;&gt;"",
クライアント抽出!C42,"")</f>
        <v/>
      </c>
      <c r="I112" s="104" t="str">
        <f t="array" aca="1" ref="I112" ca="1">IF(C112&lt;&gt;"",
IF(O112=1,
IF(SUMPRODUCT(COUNTIF(クライアント抽出!P42:U42,クライアント抽出!P42:U42))&gt;COUNTA(クライアント抽出!P42:U42),
IFERROR(INDIRECT("数出表_Excel!"&amp;INDEX(_xlfn.UNIQUE(_xlfn._xlws.FILTER(クライアント抽出!P42:U42,COUNTIF(クライアント抽出!P42:U42,クライアント抽出!P42:U42)&gt;1)),1)&amp;L42&amp;""),
クライアント抽出!E42),0),クライアント抽出!F42),"")</f>
        <v/>
      </c>
      <c r="J112" s="104" t="str">
        <f>IF(C112&lt;&gt;"",
VLOOKUP(
"*"&amp;LEFT(IF(COUNTIF(D112,"*学食*"),"キャラ弁（学食）",
IF(COUNTIF(D112,"*赤*"),"赤",
IF(COUNTIF(D112,"*キャラ弁当*"),"キャラ弁当",D112))),4)&amp;"*",注文弁当の抽出!$F$1:$G$15,2,FALSE),"")</f>
        <v/>
      </c>
      <c r="K112" s="104" t="str">
        <f ca="1">IF(クライアント抽出!Q42&lt;&gt;"",SUBSTITUTE(ADDRESS(1,(CODE(クライアント抽出!Q42)-64)*2-1,4),"1",""),"")</f>
        <v/>
      </c>
      <c r="L112" s="104" t="str">
        <f>IF(C42&lt;&gt;"",クライアント抽出!I42,"")</f>
        <v/>
      </c>
      <c r="M112" s="104">
        <f t="array" aca="1" ref="M112" ca="1">IF(C112&lt;&gt;"",
IF(K112&lt;&gt;"",INDIRECT("'数出表_Excel（アレルギー入力）'!"&amp;K112&amp;L112-1&amp;""),),)</f>
        <v>0</v>
      </c>
      <c r="N112" s="104" t="str">
        <f>IF(C112&lt;&gt;"",IF(OR(COUNTIF('盛付札（関数）'!D112,"*赤*"),COUNTIF('盛付札（関数）'!D112,"*キャラ*")),1,
VALUE(VLOOKUP("*"&amp;D112&amp;"*",商品マスタ!D:H,5,FALSE))),"")</f>
        <v/>
      </c>
      <c r="O112" s="104">
        <f t="shared" ca="1" si="59"/>
        <v>0</v>
      </c>
      <c r="P112" s="104">
        <f t="shared" si="33"/>
        <v>0</v>
      </c>
      <c r="Q112" s="104" t="b">
        <f t="shared" si="34"/>
        <v>0</v>
      </c>
      <c r="R112" s="176" t="str">
        <f t="array" aca="1" ref="R112" ca="1">IFERROR(SMALL(IF(P$1:P$311&lt;&gt;0,P$1:P$311),ROW(A112)),"")</f>
        <v/>
      </c>
      <c r="S112" s="176" t="str">
        <f t="array" aca="1" ref="S112" ca="1">IF($R112&lt;&gt;"",
SUBSTITUTE(SUBSTITUTE(INDIRECT("C"&amp;$R112&amp;"")," 週3ｺｰｽ","")," 週5ｺｰｽ",""),"")</f>
        <v/>
      </c>
      <c r="T112" s="176" t="str">
        <f t="array" aca="1" ref="T112" ca="1">IF(IF($R112&lt;&gt;"",
INDIRECT(""&amp;IF(COLUMN(D112)&lt;=26,CHAR(COLUMN(D112)+64),CHAR(INT((COLUMN(D112)-1)/26)+64)&amp;CHAR(MOD(COLUMN(D112)-1,26)+65))&amp;$R112&amp;""),"")=0,"",
IF($R112&lt;&gt;"",
INDIRECT(""&amp;IF(COLUMN(D112)&lt;=26,CHAR(COLUMN(D112)+64),CHAR(INT((COLUMN(D112)-1)/26)+64)&amp;CHAR(MOD(COLUMN(D112)-1,26)+65))&amp;$R112&amp;""),""))</f>
        <v/>
      </c>
      <c r="U112" s="218" t="str">
        <f t="array" aca="1" ref="U112" ca="1">IF($R112&lt;&gt;"",
INDIRECT("F"&amp;$R112&amp;""),"")</f>
        <v/>
      </c>
      <c r="V112" s="219" t="str">
        <f t="array" aca="1" ref="V112" ca="1">IF($R112&lt;&gt;"",
INDIRECT("G"&amp;$R112&amp;""),"")</f>
        <v/>
      </c>
      <c r="W112" s="219" t="str" cm="1">
        <f t="array" aca="1" ref="W112" ca="1">IF($R112&lt;&gt;"",
IF(AND(COUNTIF(INDIRECT("B"&amp;R112&amp;""),"*雙葉*"),COUNTIF($B$71:$B$210,"*雙葉*")&gt;=1),
IF(OR(COUNTIF(INDIRECT("B"&amp;R112&amp;""),"*雙葉先生*"),COUNTIF(INDIRECT("B"&amp;R112-1&amp;""),"*雙葉*")),INDIRECT("H"&amp;R112&amp;""),INDIRECT("H"&amp;R112&amp;"")+INDIRECT("H"&amp;MATCH("雙葉'",INDIRECT("B"&amp;R112+3&amp;":B210"),0)+2+R112&amp;"")),
IF(AND(LEFT(INDIRECT("B"&amp;R112&amp;""),2)="博多",COUNTIF(B:B,"*博多*")&gt;=2),
INDIRECT("H"&amp;R112&amp;"")+IFERROR(INDIRECT("H"&amp;MATCH("*"&amp;INDIRECT("B"&amp;R112&amp;"")&amp;"*",INDIRECT("B"&amp;R112+1&amp;":B210"),0)+R112&amp;""),0),
IF(AND(LEFT(INDIRECT("B"&amp;R112&amp;""),3)="奈良屋",COUNTIF(B:B,"*奈良屋*")&gt;=2),
INDIRECT("H"&amp;R112&amp;"")
+INDIRECT("H"&amp;MATCH("*"&amp;INDIRECT("B"&amp;R112&amp;"")&amp;"*",INDIRECT("B"&amp;R112+1&amp;":B210"),0)+R112&amp;"")
+INDIRECT("H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
+INDIRECT("H"&amp;MATCH("*"&amp;INDIRECT("B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&amp;"*",INDIRECT("B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+1&amp;":B210"),0)+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,
INDIRECT("H"&amp;R112&amp;"")))),"")</f>
        <v/>
      </c>
      <c r="X112" s="176" t="str">
        <f t="array" aca="1" ref="X112" ca="1">IF($R112&lt;&gt;"",
INDIRECT(""&amp;IF(COLUMN(I112)&lt;=26,CHAR(COLUMN(I112)+64),CHAR(INT((COLUMN(I112)-1)/26)+64)&amp;CHAR(MOD(COLUMN(I112)-1,26)+65))&amp;$R112&amp;""),"")</f>
        <v/>
      </c>
      <c r="Y112" s="176" t="str">
        <f t="array" aca="1" ref="Y112" ca="1">IF($R112&lt;&gt;"",
INDIRECT(""&amp;IF(COLUMN(J112)&lt;=26,CHAR(COLUMN(J112)+64),CHAR(INT((COLUMN(J112)-1)/26)+64)&amp;CHAR(MOD(COLUMN(J112)-1,26)+65))&amp;$R112&amp;""),"")</f>
        <v/>
      </c>
      <c r="Z112" s="176" t="str">
        <f t="shared" ca="1" si="35"/>
        <v/>
      </c>
      <c r="AA112" s="176" t="str">
        <f t="shared" ca="1" si="36"/>
        <v/>
      </c>
      <c r="AB112" s="176" t="str">
        <f t="array" aca="1" ref="AB112" ca="1">IF($R112&lt;&gt;"",
IF(AND(COUNTIF(INDIRECT("B"&amp;R112&amp;""),"*雙葉*"),COUNTIF(INDIRECT("B"&amp;R112&amp;""),"&lt;&gt;*先生*"),COUNTIF(B:B,"*雙葉*")&gt;=2),
INDIRECT("M"&amp;R112&amp;"")+INDIRECT("M"&amp;MATCH("雙葉'",INDIRECT("B"&amp;R112+1&amp;":B210"),0)+R112&amp;""),
IF(AND(LEFT(INDIRECT("B"&amp;R112&amp;""),2)="博多",COUNTIF(B:B,"*博多*")&gt;=2),
INDIRECT("M"&amp;R112&amp;"")+INDIRECT("M"&amp;MATCH("*"&amp;INDIRECT("B"&amp;R112&amp;"")&amp;"*",INDIRECT("B"&amp;R112+1&amp;":B210"),0)+R112&amp;""),
IF(AND(LEFT(INDIRECT("B"&amp;R112&amp;""),3)="奈良屋",COUNTIF(B:B,"*奈良屋*")&gt;=2),
INDIRECT("M"&amp;R112&amp;"")+INDIRECT("M"&amp;MATCH("*"&amp;INDIRECT("B"&amp;R112&amp;"")&amp;"*",INDIRECT("B"&amp;R112+1&amp;":B210"),0)+R112&amp;"")
+INDIRECT("M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,
INDIRECT("M"&amp;R112&amp;"")))),"")</f>
        <v/>
      </c>
      <c r="AC112" s="176" t="str">
        <f t="shared" ca="1" si="37"/>
        <v/>
      </c>
      <c r="AD112" s="176" t="str">
        <f t="shared" ca="1" si="38"/>
        <v/>
      </c>
      <c r="AE112" s="176" t="str">
        <f t="shared" ca="1" si="39"/>
        <v/>
      </c>
      <c r="AF112" s="176" t="str">
        <f t="shared" ca="1" si="40"/>
        <v/>
      </c>
      <c r="AG112" s="176" t="str">
        <f t="shared" ca="1" si="41"/>
        <v/>
      </c>
      <c r="AH112" s="183" t="str">
        <f t="shared" ca="1" si="42"/>
        <v/>
      </c>
      <c r="AI112" s="176" t="str">
        <f t="shared" ca="1" si="43"/>
        <v/>
      </c>
      <c r="AJ112" s="176" t="str">
        <f t="shared" ca="1" si="44"/>
        <v/>
      </c>
      <c r="AK112" s="176" t="str">
        <f t="shared" ca="1" si="45"/>
        <v/>
      </c>
      <c r="AL112" s="176" t="str">
        <f t="shared" ca="1" si="46"/>
        <v/>
      </c>
      <c r="AM112" s="176" t="str">
        <f t="shared" ca="1" si="47"/>
        <v/>
      </c>
      <c r="AN112" s="176" t="str">
        <f t="shared" ca="1" si="48"/>
        <v/>
      </c>
      <c r="AO112" s="176" t="str">
        <f t="shared" ca="1" si="49"/>
        <v/>
      </c>
      <c r="AP112" s="176" t="str">
        <f t="shared" ca="1" si="50"/>
        <v/>
      </c>
      <c r="AU112" s="176" t="str">
        <f t="shared" ca="1" si="51"/>
        <v/>
      </c>
    </row>
    <row r="113" spans="1:47" ht="22.2" customHeight="1">
      <c r="A113" s="103">
        <f t="shared" si="60"/>
        <v>91</v>
      </c>
      <c r="B113" s="104" t="str">
        <f t="shared" ca="1" si="58"/>
        <v/>
      </c>
      <c r="C113" s="104" t="str">
        <f>IF(OR(クライアント抽出!C43&lt;&gt;"",クライアント抽出!F43&lt;&gt;""),クライアント抽出!A43,"")</f>
        <v/>
      </c>
      <c r="D113" s="104" t="str">
        <f t="array" aca="1" ref="D113" ca="1">IF(C113&lt;&gt;"",INDIRECT("クライアント抽出!"&amp;E113&amp;MATCH(C113,クライアント抽出!A:A,0)&amp;""),"")</f>
        <v/>
      </c>
      <c r="E113" s="104" t="str">
        <f>IF(H113&lt;&gt;0,
IFERROR(
SUBSTITUTE(ADDRESS(1,
MATCH(VALUE(H113),クライアント抽出!A43:G43,0)+8,4),"1",""),
""),
IFERROR(
SUBSTITUTE(ADDRESS(1,
MATCH(VALUE(I113),クライアント抽出!A43:G43,0)+8,4),"1",""),
""))</f>
        <v/>
      </c>
      <c r="F113" s="186" t="str">
        <f ca="1">IF(D113&lt;&gt;"",
IF(COUNTIF(C113,"*雙葉*"),
IF(ROUND((H113-M113)
/IF(COUNTIF(D113,"*キャラ*"),
VLOOKUP("*キャラ*",商品マスタ!$D:$E,2,FALSE),
IF(COUNTIF(D113,"*赤*"),
VLOOKUP("*赤*",商品マスタ!$D:$E,2,FALSE),
VLOOKUP("*"&amp;D113&amp;"*",商品マスタ!$D:$E,2,FALSE))),0)&lt;=0,1,
ROUND((H113-M113)
/IF(COUNTIF(D113,"*キャラ*"),
VLOOKUP("*キャラ*",商品マスタ!$D:$E,2,FALSE),
IF(COUNTIF(D113,"*赤*"),
VLOOKUP("*赤*",商品マスタ!$D:$E,2,FALSE),
VLOOKUP("*"&amp;D113&amp;"*",商品マスタ!$D:$E,2,FALSE))),0)),
IF(OR(COUNTIF(D113,"*キャラ*"),COUNTIF(D113,"*赤*")),"",
IF(VLOOKUP("*"&amp;D113&amp;"*",商品マスタ!$D:$E,2,FALSE)=0,"",
IF(ROUND((H113-M113)
/VLOOKUP("*"&amp;D113&amp;"*",商品マスタ!$D:$E,2,FALSE),0)&lt;=0,1,
ROUND((H113-M113)
/VLOOKUP("*"&amp;D113&amp;"*",商品マスタ!$D:$E,2,FALSE),0))))),"")</f>
        <v/>
      </c>
      <c r="G113" s="104" t="str">
        <f ca="1">IF(F113&lt;&gt;"",
IF(VALUE(H113-M113)&gt;VALUE(IF(COUNTIF(D113,"*キャラ*"),
VLOOKUP("*キャラ*",商品マスタ!$D:$E,2,FALSE),
IF(COUNTIF(D113,"*赤*"),
VLOOKUP("*赤*",商品マスタ!$D:$E,2,FALSE),
VLOOKUP("*"&amp;D113&amp;"*",商品マスタ!$D:$E,2,FALSE)))*F113),
"+"&amp;(H113-M113)-IF(COUNTIF(D113,"*キャラ*"),
VLOOKUP("*キャラ*",商品マスタ!$D:$E,2,FALSE),
IF(COUNTIF(D113,"*赤*"),
VLOOKUP("*赤*",商品マスタ!$D:$E,2,FALSE),
VLOOKUP("*"&amp;D113&amp;"*",商品マスタ!$D:$E,2,FALSE)))*F113,
(H113-M113)-IF(COUNTIF(D113,"*キャラ*"),
VLOOKUP("*キャラ*",商品マスタ!$D:$E,2,FALSE),
IF(COUNTIF(D113,"*赤*"),
VLOOKUP("*赤*",商品マスタ!$D:$E,2,FALSE),
VLOOKUP("*"&amp;D113&amp;"*",商品マスタ!$D:$E,2,FALSE)))*F113),"")</f>
        <v/>
      </c>
      <c r="H113" s="105" t="str">
        <f>IF(C113&lt;&gt;"",
クライアント抽出!C43,"")</f>
        <v/>
      </c>
      <c r="I113" s="104" t="str">
        <f t="array" aca="1" ref="I113" ca="1">IF(C113&lt;&gt;"",
IF(O113=1,
IF(SUMPRODUCT(COUNTIF(クライアント抽出!P43:U43,クライアント抽出!P43:U43))&gt;COUNTA(クライアント抽出!P43:U43),
IFERROR(INDIRECT("数出表_Excel!"&amp;INDEX(_xlfn.UNIQUE(_xlfn._xlws.FILTER(クライアント抽出!P43:U43,COUNTIF(クライアント抽出!P43:U43,クライアント抽出!P43:U43)&gt;1)),1)&amp;L43&amp;""),
クライアント抽出!E43),0),クライアント抽出!F43),"")</f>
        <v/>
      </c>
      <c r="J113" s="104" t="str">
        <f>IF(C113&lt;&gt;"",
VLOOKUP(
"*"&amp;LEFT(IF(COUNTIF(D113,"*学食*"),"キャラ弁（学食）",
IF(COUNTIF(D113,"*赤*"),"赤",
IF(COUNTIF(D113,"*キャラ弁当*"),"キャラ弁当",D113))),4)&amp;"*",注文弁当の抽出!$F$1:$G$15,2,FALSE),"")</f>
        <v/>
      </c>
      <c r="K113" s="104" t="str">
        <f ca="1">IF(クライアント抽出!Q43&lt;&gt;"",SUBSTITUTE(ADDRESS(1,(CODE(クライアント抽出!Q43)-64)*2-1,4),"1",""),"")</f>
        <v/>
      </c>
      <c r="L113" s="104" t="str">
        <f>IF(C43&lt;&gt;"",クライアント抽出!I43,"")</f>
        <v/>
      </c>
      <c r="M113" s="104">
        <f t="array" aca="1" ref="M113" ca="1">IF(C113&lt;&gt;"",
IF(K113&lt;&gt;"",INDIRECT("'数出表_Excel（アレルギー入力）'!"&amp;K113&amp;L113-1&amp;""),),)</f>
        <v>0</v>
      </c>
      <c r="N113" s="104" t="str">
        <f>IF(C113&lt;&gt;"",IF(OR(COUNTIF('盛付札（関数）'!D113,"*赤*"),COUNTIF('盛付札（関数）'!D113,"*キャラ*")),1,
VALUE(VLOOKUP("*"&amp;D113&amp;"*",商品マスタ!D:H,5,FALSE))),"")</f>
        <v/>
      </c>
      <c r="O113" s="104">
        <f t="shared" ca="1" si="59"/>
        <v>0</v>
      </c>
      <c r="P113" s="104">
        <f t="shared" si="33"/>
        <v>0</v>
      </c>
      <c r="Q113" s="104" t="b">
        <f t="shared" si="34"/>
        <v>0</v>
      </c>
      <c r="R113" s="176" t="str">
        <f t="array" aca="1" ref="R113" ca="1">IFERROR(SMALL(IF(P$1:P$311&lt;&gt;0,P$1:P$311),ROW(A113)),"")</f>
        <v/>
      </c>
      <c r="S113" s="176" t="str">
        <f t="array" aca="1" ref="S113" ca="1">IF($R113&lt;&gt;"",
SUBSTITUTE(SUBSTITUTE(INDIRECT("C"&amp;$R113&amp;"")," 週3ｺｰｽ","")," 週5ｺｰｽ",""),"")</f>
        <v/>
      </c>
      <c r="T113" s="176" t="str">
        <f t="array" aca="1" ref="T113" ca="1">IF(IF($R113&lt;&gt;"",
INDIRECT(""&amp;IF(COLUMN(D113)&lt;=26,CHAR(COLUMN(D113)+64),CHAR(INT((COLUMN(D113)-1)/26)+64)&amp;CHAR(MOD(COLUMN(D113)-1,26)+65))&amp;$R113&amp;""),"")=0,"",
IF($R113&lt;&gt;"",
INDIRECT(""&amp;IF(COLUMN(D113)&lt;=26,CHAR(COLUMN(D113)+64),CHAR(INT((COLUMN(D113)-1)/26)+64)&amp;CHAR(MOD(COLUMN(D113)-1,26)+65))&amp;$R113&amp;""),""))</f>
        <v/>
      </c>
      <c r="U113" s="218" t="str">
        <f t="array" aca="1" ref="U113" ca="1">IF($R113&lt;&gt;"",
INDIRECT("F"&amp;$R113&amp;""),"")</f>
        <v/>
      </c>
      <c r="V113" s="219" t="str">
        <f t="array" aca="1" ref="V113" ca="1">IF($R113&lt;&gt;"",
INDIRECT("G"&amp;$R113&amp;""),"")</f>
        <v/>
      </c>
      <c r="W113" s="219" t="str" cm="1">
        <f t="array" aca="1" ref="W113" ca="1">IF($R113&lt;&gt;"",
IF(AND(COUNTIF(INDIRECT("B"&amp;R113&amp;""),"*雙葉*"),COUNTIF($B$71:$B$210,"*雙葉*")&gt;=1),
IF(OR(COUNTIF(INDIRECT("B"&amp;R113&amp;""),"*雙葉先生*"),COUNTIF(INDIRECT("B"&amp;R113-1&amp;""),"*雙葉*")),INDIRECT("H"&amp;R113&amp;""),INDIRECT("H"&amp;R113&amp;"")+INDIRECT("H"&amp;MATCH("雙葉'",INDIRECT("B"&amp;R113+3&amp;":B210"),0)+2+R113&amp;"")),
IF(AND(LEFT(INDIRECT("B"&amp;R113&amp;""),2)="博多",COUNTIF(B:B,"*博多*")&gt;=2),
INDIRECT("H"&amp;R113&amp;"")+IFERROR(INDIRECT("H"&amp;MATCH("*"&amp;INDIRECT("B"&amp;R113&amp;"")&amp;"*",INDIRECT("B"&amp;R113+1&amp;":B210"),0)+R113&amp;""),0),
IF(AND(LEFT(INDIRECT("B"&amp;R113&amp;""),3)="奈良屋",COUNTIF(B:B,"*奈良屋*")&gt;=2),
INDIRECT("H"&amp;R113&amp;"")
+INDIRECT("H"&amp;MATCH("*"&amp;INDIRECT("B"&amp;R113&amp;"")&amp;"*",INDIRECT("B"&amp;R113+1&amp;":B210"),0)+R113&amp;"")
+INDIRECT("H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
+INDIRECT("H"&amp;MATCH("*"&amp;INDIRECT("B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&amp;"*",INDIRECT("B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+1&amp;":B210"),0)+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,
INDIRECT("H"&amp;R113&amp;"")))),"")</f>
        <v/>
      </c>
      <c r="X113" s="176" t="str">
        <f t="array" aca="1" ref="X113" ca="1">IF($R113&lt;&gt;"",
INDIRECT(""&amp;IF(COLUMN(I113)&lt;=26,CHAR(COLUMN(I113)+64),CHAR(INT((COLUMN(I113)-1)/26)+64)&amp;CHAR(MOD(COLUMN(I113)-1,26)+65))&amp;$R113&amp;""),"")</f>
        <v/>
      </c>
      <c r="Y113" s="176" t="str">
        <f t="array" aca="1" ref="Y113" ca="1">IF($R113&lt;&gt;"",
INDIRECT(""&amp;IF(COLUMN(J113)&lt;=26,CHAR(COLUMN(J113)+64),CHAR(INT((COLUMN(J113)-1)/26)+64)&amp;CHAR(MOD(COLUMN(J113)-1,26)+65))&amp;$R113&amp;""),"")</f>
        <v/>
      </c>
      <c r="Z113" s="176" t="str">
        <f t="shared" ca="1" si="35"/>
        <v/>
      </c>
      <c r="AA113" s="176" t="str">
        <f t="shared" ca="1" si="36"/>
        <v/>
      </c>
      <c r="AB113" s="176" t="str">
        <f t="array" aca="1" ref="AB113" ca="1">IF($R113&lt;&gt;"",
IF(AND(COUNTIF(INDIRECT("B"&amp;R113&amp;""),"*雙葉*"),COUNTIF(INDIRECT("B"&amp;R113&amp;""),"&lt;&gt;*先生*"),COUNTIF(B:B,"*雙葉*")&gt;=2),
INDIRECT("M"&amp;R113&amp;"")+INDIRECT("M"&amp;MATCH("雙葉'",INDIRECT("B"&amp;R113+1&amp;":B210"),0)+R113&amp;""),
IF(AND(LEFT(INDIRECT("B"&amp;R113&amp;""),2)="博多",COUNTIF(B:B,"*博多*")&gt;=2),
INDIRECT("M"&amp;R113&amp;"")+INDIRECT("M"&amp;MATCH("*"&amp;INDIRECT("B"&amp;R113&amp;"")&amp;"*",INDIRECT("B"&amp;R113+1&amp;":B210"),0)+R113&amp;""),
IF(AND(LEFT(INDIRECT("B"&amp;R113&amp;""),3)="奈良屋",COUNTIF(B:B,"*奈良屋*")&gt;=2),
INDIRECT("M"&amp;R113&amp;"")+INDIRECT("M"&amp;MATCH("*"&amp;INDIRECT("B"&amp;R113&amp;"")&amp;"*",INDIRECT("B"&amp;R113+1&amp;":B210"),0)+R113&amp;"")
+INDIRECT("M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,
INDIRECT("M"&amp;R113&amp;"")))),"")</f>
        <v/>
      </c>
      <c r="AC113" s="176" t="str">
        <f t="shared" ca="1" si="37"/>
        <v/>
      </c>
      <c r="AD113" s="176" t="str">
        <f t="shared" ca="1" si="38"/>
        <v/>
      </c>
      <c r="AE113" s="176" t="str">
        <f t="shared" ca="1" si="39"/>
        <v/>
      </c>
      <c r="AF113" s="176" t="str">
        <f t="shared" ca="1" si="40"/>
        <v/>
      </c>
      <c r="AG113" s="176" t="str">
        <f t="shared" ca="1" si="41"/>
        <v/>
      </c>
      <c r="AH113" s="183" t="str">
        <f t="shared" ca="1" si="42"/>
        <v/>
      </c>
      <c r="AI113" s="176" t="str">
        <f t="shared" ca="1" si="43"/>
        <v/>
      </c>
      <c r="AJ113" s="176" t="str">
        <f t="shared" ca="1" si="44"/>
        <v/>
      </c>
      <c r="AK113" s="176" t="str">
        <f t="shared" ca="1" si="45"/>
        <v/>
      </c>
      <c r="AL113" s="176" t="str">
        <f t="shared" ca="1" si="46"/>
        <v/>
      </c>
      <c r="AM113" s="176" t="str">
        <f t="shared" ca="1" si="47"/>
        <v/>
      </c>
      <c r="AN113" s="176" t="str">
        <f t="shared" ca="1" si="48"/>
        <v/>
      </c>
      <c r="AO113" s="176" t="str">
        <f t="shared" ca="1" si="49"/>
        <v/>
      </c>
      <c r="AP113" s="176" t="str">
        <f t="shared" ca="1" si="50"/>
        <v/>
      </c>
      <c r="AU113" s="176" t="str">
        <f t="shared" ca="1" si="51"/>
        <v/>
      </c>
    </row>
    <row r="114" spans="1:47" ht="22.2" customHeight="1">
      <c r="A114" s="103">
        <f t="shared" si="60"/>
        <v>93</v>
      </c>
      <c r="B114" s="104" t="str">
        <f t="shared" ca="1" si="58"/>
        <v/>
      </c>
      <c r="C114" s="104" t="str">
        <f>IF(OR(クライアント抽出!C44&lt;&gt;"",クライアント抽出!F44&lt;&gt;""),クライアント抽出!A44,"")</f>
        <v/>
      </c>
      <c r="D114" s="104" t="str">
        <f t="array" aca="1" ref="D114" ca="1">IF(C114&lt;&gt;"",INDIRECT("クライアント抽出!"&amp;E114&amp;MATCH(C114,クライアント抽出!A:A,0)&amp;""),"")</f>
        <v/>
      </c>
      <c r="E114" s="104" t="str">
        <f>IF(H114&lt;&gt;0,
IFERROR(
SUBSTITUTE(ADDRESS(1,
MATCH(VALUE(H114),クライアント抽出!A44:G44,0)+8,4),"1",""),
""),
IFERROR(
SUBSTITUTE(ADDRESS(1,
MATCH(VALUE(I114),クライアント抽出!A44:G44,0)+8,4),"1",""),
""))</f>
        <v/>
      </c>
      <c r="F114" s="186" t="str">
        <f ca="1">IF(D114&lt;&gt;"",
IF(COUNTIF(C114,"*雙葉*"),
IF(ROUND((H114-M114)
/IF(COUNTIF(D114,"*キャラ*"),
VLOOKUP("*キャラ*",商品マスタ!$D:$E,2,FALSE),
IF(COUNTIF(D114,"*赤*"),
VLOOKUP("*赤*",商品マスタ!$D:$E,2,FALSE),
VLOOKUP("*"&amp;D114&amp;"*",商品マスタ!$D:$E,2,FALSE))),0)&lt;=0,1,
ROUND((H114-M114)
/IF(COUNTIF(D114,"*キャラ*"),
VLOOKUP("*キャラ*",商品マスタ!$D:$E,2,FALSE),
IF(COUNTIF(D114,"*赤*"),
VLOOKUP("*赤*",商品マスタ!$D:$E,2,FALSE),
VLOOKUP("*"&amp;D114&amp;"*",商品マスタ!$D:$E,2,FALSE))),0)),
IF(OR(COUNTIF(D114,"*キャラ*"),COUNTIF(D114,"*赤*")),"",
IF(VLOOKUP("*"&amp;D114&amp;"*",商品マスタ!$D:$E,2,FALSE)=0,"",
IF(ROUND((H114-M114)
/VLOOKUP("*"&amp;D114&amp;"*",商品マスタ!$D:$E,2,FALSE),0)&lt;=0,1,
ROUND((H114-M114)
/VLOOKUP("*"&amp;D114&amp;"*",商品マスタ!$D:$E,2,FALSE),0))))),"")</f>
        <v/>
      </c>
      <c r="G114" s="104" t="str">
        <f ca="1">IF(F114&lt;&gt;"",
IF(VALUE(H114-M114)&gt;VALUE(IF(COUNTIF(D114,"*キャラ*"),
VLOOKUP("*キャラ*",商品マスタ!$D:$E,2,FALSE),
IF(COUNTIF(D114,"*赤*"),
VLOOKUP("*赤*",商品マスタ!$D:$E,2,FALSE),
VLOOKUP("*"&amp;D114&amp;"*",商品マスタ!$D:$E,2,FALSE)))*F114),
"+"&amp;(H114-M114)-IF(COUNTIF(D114,"*キャラ*"),
VLOOKUP("*キャラ*",商品マスタ!$D:$E,2,FALSE),
IF(COUNTIF(D114,"*赤*"),
VLOOKUP("*赤*",商品マスタ!$D:$E,2,FALSE),
VLOOKUP("*"&amp;D114&amp;"*",商品マスタ!$D:$E,2,FALSE)))*F114,
(H114-M114)-IF(COUNTIF(D114,"*キャラ*"),
VLOOKUP("*キャラ*",商品マスタ!$D:$E,2,FALSE),
IF(COUNTIF(D114,"*赤*"),
VLOOKUP("*赤*",商品マスタ!$D:$E,2,FALSE),
VLOOKUP("*"&amp;D114&amp;"*",商品マスタ!$D:$E,2,FALSE)))*F114),"")</f>
        <v/>
      </c>
      <c r="H114" s="105" t="str">
        <f>IF(C114&lt;&gt;"",
クライアント抽出!C44,"")</f>
        <v/>
      </c>
      <c r="I114" s="104" t="str">
        <f t="array" aca="1" ref="I114" ca="1">IF(C114&lt;&gt;"",
IF(O114=1,
IF(SUMPRODUCT(COUNTIF(クライアント抽出!P44:U44,クライアント抽出!P44:U44))&gt;COUNTA(クライアント抽出!P44:U44),
IFERROR(INDIRECT("数出表_Excel!"&amp;INDEX(_xlfn.UNIQUE(_xlfn._xlws.FILTER(クライアント抽出!P44:U44,COUNTIF(クライアント抽出!P44:U44,クライアント抽出!P44:U44)&gt;1)),1)&amp;L44&amp;""),
クライアント抽出!E44),0),クライアント抽出!F44),"")</f>
        <v/>
      </c>
      <c r="J114" s="104" t="str">
        <f>IF(C114&lt;&gt;"",
VLOOKUP(
"*"&amp;LEFT(IF(COUNTIF(D114,"*学食*"),"キャラ弁（学食）",
IF(COUNTIF(D114,"*赤*"),"赤",
IF(COUNTIF(D114,"*キャラ弁当*"),"キャラ弁当",D114))),4)&amp;"*",注文弁当の抽出!$F$1:$G$15,2,FALSE),"")</f>
        <v/>
      </c>
      <c r="K114" s="104" t="str">
        <f ca="1">IF(クライアント抽出!Q44&lt;&gt;"",SUBSTITUTE(ADDRESS(1,(CODE(クライアント抽出!Q44)-64)*2-1,4),"1",""),"")</f>
        <v/>
      </c>
      <c r="L114" s="104" t="str">
        <f>IF(C44&lt;&gt;"",クライアント抽出!I44,"")</f>
        <v/>
      </c>
      <c r="M114" s="104">
        <f t="array" aca="1" ref="M114" ca="1">IF(C114&lt;&gt;"",
IF(K114&lt;&gt;"",INDIRECT("'数出表_Excel（アレルギー入力）'!"&amp;K114&amp;L114-1&amp;""),),)</f>
        <v>0</v>
      </c>
      <c r="N114" s="104" t="str">
        <f>IF(C114&lt;&gt;"",IF(OR(COUNTIF('盛付札（関数）'!D114,"*赤*"),COUNTIF('盛付札（関数）'!D114,"*キャラ*")),1,
VALUE(VLOOKUP("*"&amp;D114&amp;"*",商品マスタ!D:H,5,FALSE))),"")</f>
        <v/>
      </c>
      <c r="O114" s="104">
        <f t="shared" ca="1" si="59"/>
        <v>0</v>
      </c>
      <c r="P114" s="104">
        <f t="shared" si="33"/>
        <v>0</v>
      </c>
      <c r="Q114" s="104" t="b">
        <f t="shared" si="34"/>
        <v>0</v>
      </c>
      <c r="R114" s="176" t="str">
        <f t="array" aca="1" ref="R114" ca="1">IFERROR(SMALL(IF(P$1:P$311&lt;&gt;0,P$1:P$311),ROW(A114)),"")</f>
        <v/>
      </c>
      <c r="S114" s="176" t="str">
        <f t="array" aca="1" ref="S114" ca="1">IF($R114&lt;&gt;"",
SUBSTITUTE(SUBSTITUTE(INDIRECT("C"&amp;$R114&amp;"")," 週3ｺｰｽ","")," 週5ｺｰｽ",""),"")</f>
        <v/>
      </c>
      <c r="T114" s="176" t="str">
        <f t="array" aca="1" ref="T114" ca="1">IF(IF($R114&lt;&gt;"",
INDIRECT(""&amp;IF(COLUMN(D114)&lt;=26,CHAR(COLUMN(D114)+64),CHAR(INT((COLUMN(D114)-1)/26)+64)&amp;CHAR(MOD(COLUMN(D114)-1,26)+65))&amp;$R114&amp;""),"")=0,"",
IF($R114&lt;&gt;"",
INDIRECT(""&amp;IF(COLUMN(D114)&lt;=26,CHAR(COLUMN(D114)+64),CHAR(INT((COLUMN(D114)-1)/26)+64)&amp;CHAR(MOD(COLUMN(D114)-1,26)+65))&amp;$R114&amp;""),""))</f>
        <v/>
      </c>
      <c r="U114" s="218" t="str">
        <f t="array" aca="1" ref="U114" ca="1">IF($R114&lt;&gt;"",
INDIRECT("F"&amp;$R114&amp;""),"")</f>
        <v/>
      </c>
      <c r="V114" s="219" t="str">
        <f t="array" aca="1" ref="V114" ca="1">IF($R114&lt;&gt;"",
INDIRECT("G"&amp;$R114&amp;""),"")</f>
        <v/>
      </c>
      <c r="W114" s="219" t="str" cm="1">
        <f t="array" aca="1" ref="W114" ca="1">IF($R114&lt;&gt;"",
IF(AND(COUNTIF(INDIRECT("B"&amp;R114&amp;""),"*雙葉*"),COUNTIF($B$71:$B$210,"*雙葉*")&gt;=1),
IF(OR(COUNTIF(INDIRECT("B"&amp;R114&amp;""),"*雙葉先生*"),COUNTIF(INDIRECT("B"&amp;R114-1&amp;""),"*雙葉*")),INDIRECT("H"&amp;R114&amp;""),INDIRECT("H"&amp;R114&amp;"")+INDIRECT("H"&amp;MATCH("雙葉'",INDIRECT("B"&amp;R114+3&amp;":B210"),0)+2+R114&amp;"")),
IF(AND(LEFT(INDIRECT("B"&amp;R114&amp;""),2)="博多",COUNTIF(B:B,"*博多*")&gt;=2),
INDIRECT("H"&amp;R114&amp;"")+IFERROR(INDIRECT("H"&amp;MATCH("*"&amp;INDIRECT("B"&amp;R114&amp;"")&amp;"*",INDIRECT("B"&amp;R114+1&amp;":B210"),0)+R114&amp;""),0),
IF(AND(LEFT(INDIRECT("B"&amp;R114&amp;""),3)="奈良屋",COUNTIF(B:B,"*奈良屋*")&gt;=2),
INDIRECT("H"&amp;R114&amp;"")
+INDIRECT("H"&amp;MATCH("*"&amp;INDIRECT("B"&amp;R114&amp;"")&amp;"*",INDIRECT("B"&amp;R114+1&amp;":B210"),0)+R114&amp;"")
+INDIRECT("H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
+INDIRECT("H"&amp;MATCH("*"&amp;INDIRECT("B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&amp;"*",INDIRECT("B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+1&amp;":B210"),0)+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,
INDIRECT("H"&amp;R114&amp;"")))),"")</f>
        <v/>
      </c>
      <c r="X114" s="176" t="str">
        <f t="array" aca="1" ref="X114" ca="1">IF($R114&lt;&gt;"",
INDIRECT(""&amp;IF(COLUMN(I114)&lt;=26,CHAR(COLUMN(I114)+64),CHAR(INT((COLUMN(I114)-1)/26)+64)&amp;CHAR(MOD(COLUMN(I114)-1,26)+65))&amp;$R114&amp;""),"")</f>
        <v/>
      </c>
      <c r="Y114" s="176" t="str">
        <f t="array" aca="1" ref="Y114" ca="1">IF($R114&lt;&gt;"",
INDIRECT(""&amp;IF(COLUMN(J114)&lt;=26,CHAR(COLUMN(J114)+64),CHAR(INT((COLUMN(J114)-1)/26)+64)&amp;CHAR(MOD(COLUMN(J114)-1,26)+65))&amp;$R114&amp;""),"")</f>
        <v/>
      </c>
      <c r="Z114" s="176" t="str">
        <f t="shared" ca="1" si="35"/>
        <v/>
      </c>
      <c r="AA114" s="176" t="str">
        <f t="shared" ca="1" si="36"/>
        <v/>
      </c>
      <c r="AB114" s="176" t="str">
        <f t="array" aca="1" ref="AB114" ca="1">IF($R114&lt;&gt;"",
IF(AND(COUNTIF(INDIRECT("B"&amp;R114&amp;""),"*雙葉*"),COUNTIF(INDIRECT("B"&amp;R114&amp;""),"&lt;&gt;*先生*"),COUNTIF(B:B,"*雙葉*")&gt;=2),
INDIRECT("M"&amp;R114&amp;"")+INDIRECT("M"&amp;MATCH("雙葉'",INDIRECT("B"&amp;R114+1&amp;":B210"),0)+R114&amp;""),
IF(AND(LEFT(INDIRECT("B"&amp;R114&amp;""),2)="博多",COUNTIF(B:B,"*博多*")&gt;=2),
INDIRECT("M"&amp;R114&amp;"")+INDIRECT("M"&amp;MATCH("*"&amp;INDIRECT("B"&amp;R114&amp;"")&amp;"*",INDIRECT("B"&amp;R114+1&amp;":B210"),0)+R114&amp;""),
IF(AND(LEFT(INDIRECT("B"&amp;R114&amp;""),3)="奈良屋",COUNTIF(B:B,"*奈良屋*")&gt;=2),
INDIRECT("M"&amp;R114&amp;"")+INDIRECT("M"&amp;MATCH("*"&amp;INDIRECT("B"&amp;R114&amp;"")&amp;"*",INDIRECT("B"&amp;R114+1&amp;":B210"),0)+R114&amp;"")
+INDIRECT("M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,
INDIRECT("M"&amp;R114&amp;"")))),"")</f>
        <v/>
      </c>
      <c r="AC114" s="176" t="str">
        <f t="shared" ca="1" si="37"/>
        <v/>
      </c>
      <c r="AD114" s="176" t="str">
        <f t="shared" ca="1" si="38"/>
        <v/>
      </c>
      <c r="AE114" s="176" t="str">
        <f t="shared" ca="1" si="39"/>
        <v/>
      </c>
      <c r="AF114" s="176" t="str">
        <f t="shared" ca="1" si="40"/>
        <v/>
      </c>
      <c r="AG114" s="176" t="str">
        <f t="shared" ca="1" si="41"/>
        <v/>
      </c>
      <c r="AH114" s="183" t="str">
        <f t="shared" ca="1" si="42"/>
        <v/>
      </c>
      <c r="AI114" s="176" t="str">
        <f t="shared" ca="1" si="43"/>
        <v/>
      </c>
      <c r="AJ114" s="176" t="str">
        <f t="shared" ca="1" si="44"/>
        <v/>
      </c>
      <c r="AK114" s="176" t="str">
        <f t="shared" ca="1" si="45"/>
        <v/>
      </c>
      <c r="AL114" s="176" t="str">
        <f t="shared" ca="1" si="46"/>
        <v/>
      </c>
      <c r="AM114" s="176" t="str">
        <f t="shared" ca="1" si="47"/>
        <v/>
      </c>
      <c r="AN114" s="176" t="str">
        <f t="shared" ca="1" si="48"/>
        <v/>
      </c>
      <c r="AO114" s="176" t="str">
        <f t="shared" ca="1" si="49"/>
        <v/>
      </c>
      <c r="AP114" s="176" t="str">
        <f t="shared" ca="1" si="50"/>
        <v/>
      </c>
      <c r="AU114" s="176" t="str">
        <f t="shared" ca="1" si="51"/>
        <v/>
      </c>
    </row>
    <row r="115" spans="1:47" ht="22.2" customHeight="1">
      <c r="A115" s="103">
        <f t="shared" si="60"/>
        <v>95</v>
      </c>
      <c r="B115" s="104" t="str">
        <f t="shared" ca="1" si="58"/>
        <v/>
      </c>
      <c r="C115" s="104" t="str">
        <f>IF(OR(クライアント抽出!C45&lt;&gt;"",クライアント抽出!F45&lt;&gt;""),クライアント抽出!A45,"")</f>
        <v/>
      </c>
      <c r="D115" s="104" t="str">
        <f t="array" aca="1" ref="D115" ca="1">IF(C115&lt;&gt;"",INDIRECT("クライアント抽出!"&amp;E115&amp;MATCH(C115,クライアント抽出!A:A,0)&amp;""),"")</f>
        <v/>
      </c>
      <c r="E115" s="104" t="str">
        <f>IF(H115&lt;&gt;0,
IFERROR(
SUBSTITUTE(ADDRESS(1,
MATCH(VALUE(H115),クライアント抽出!A45:G45,0)+8,4),"1",""),
""),
IFERROR(
SUBSTITUTE(ADDRESS(1,
MATCH(VALUE(I115),クライアント抽出!A45:G45,0)+8,4),"1",""),
""))</f>
        <v/>
      </c>
      <c r="F115" s="186" t="str">
        <f ca="1">IF(D115&lt;&gt;"",
IF(COUNTIF(C115,"*雙葉*"),
IF(ROUND((H115-M115)
/IF(COUNTIF(D115,"*キャラ*"),
VLOOKUP("*キャラ*",商品マスタ!$D:$E,2,FALSE),
IF(COUNTIF(D115,"*赤*"),
VLOOKUP("*赤*",商品マスタ!$D:$E,2,FALSE),
VLOOKUP("*"&amp;D115&amp;"*",商品マスタ!$D:$E,2,FALSE))),0)&lt;=0,1,
ROUND((H115-M115)
/IF(COUNTIF(D115,"*キャラ*"),
VLOOKUP("*キャラ*",商品マスタ!$D:$E,2,FALSE),
IF(COUNTIF(D115,"*赤*"),
VLOOKUP("*赤*",商品マスタ!$D:$E,2,FALSE),
VLOOKUP("*"&amp;D115&amp;"*",商品マスタ!$D:$E,2,FALSE))),0)),
IF(OR(COUNTIF(D115,"*キャラ*"),COUNTIF(D115,"*赤*")),"",
IF(VLOOKUP("*"&amp;D115&amp;"*",商品マスタ!$D:$E,2,FALSE)=0,"",
IF(ROUND((H115-M115)
/VLOOKUP("*"&amp;D115&amp;"*",商品マスタ!$D:$E,2,FALSE),0)&lt;=0,1,
ROUND((H115-M115)
/VLOOKUP("*"&amp;D115&amp;"*",商品マスタ!$D:$E,2,FALSE),0))))),"")</f>
        <v/>
      </c>
      <c r="G115" s="104" t="str">
        <f ca="1">IF(F115&lt;&gt;"",
IF(VALUE(H115-M115)&gt;VALUE(IF(COUNTIF(D115,"*キャラ*"),
VLOOKUP("*キャラ*",商品マスタ!$D:$E,2,FALSE),
IF(COUNTIF(D115,"*赤*"),
VLOOKUP("*赤*",商品マスタ!$D:$E,2,FALSE),
VLOOKUP("*"&amp;D115&amp;"*",商品マスタ!$D:$E,2,FALSE)))*F115),
"+"&amp;(H115-M115)-IF(COUNTIF(D115,"*キャラ*"),
VLOOKUP("*キャラ*",商品マスタ!$D:$E,2,FALSE),
IF(COUNTIF(D115,"*赤*"),
VLOOKUP("*赤*",商品マスタ!$D:$E,2,FALSE),
VLOOKUP("*"&amp;D115&amp;"*",商品マスタ!$D:$E,2,FALSE)))*F115,
(H115-M115)-IF(COUNTIF(D115,"*キャラ*"),
VLOOKUP("*キャラ*",商品マスタ!$D:$E,2,FALSE),
IF(COUNTIF(D115,"*赤*"),
VLOOKUP("*赤*",商品マスタ!$D:$E,2,FALSE),
VLOOKUP("*"&amp;D115&amp;"*",商品マスタ!$D:$E,2,FALSE)))*F115),"")</f>
        <v/>
      </c>
      <c r="H115" s="105" t="str">
        <f>IF(C115&lt;&gt;"",
クライアント抽出!C45,"")</f>
        <v/>
      </c>
      <c r="I115" s="104" t="str">
        <f t="array" aca="1" ref="I115" ca="1">IF(C115&lt;&gt;"",
IF(O115=1,
IF(SUMPRODUCT(COUNTIF(クライアント抽出!P45:U45,クライアント抽出!P45:U45))&gt;COUNTA(クライアント抽出!P45:U45),
IFERROR(INDIRECT("数出表_Excel!"&amp;INDEX(_xlfn.UNIQUE(_xlfn._xlws.FILTER(クライアント抽出!P45:U45,COUNTIF(クライアント抽出!P45:U45,クライアント抽出!P45:U45)&gt;1)),1)&amp;L45&amp;""),
クライアント抽出!E45),0),クライアント抽出!F45),"")</f>
        <v/>
      </c>
      <c r="J115" s="104" t="str">
        <f>IF(C115&lt;&gt;"",
VLOOKUP(
"*"&amp;LEFT(IF(COUNTIF(D115,"*学食*"),"キャラ弁（学食）",
IF(COUNTIF(D115,"*赤*"),"赤",
IF(COUNTIF(D115,"*キャラ弁当*"),"キャラ弁当",D115))),4)&amp;"*",注文弁当の抽出!$F$1:$G$15,2,FALSE),"")</f>
        <v/>
      </c>
      <c r="K115" s="104" t="str">
        <f ca="1">IF(クライアント抽出!Q45&lt;&gt;"",SUBSTITUTE(ADDRESS(1,(CODE(クライアント抽出!Q45)-64)*2-1,4),"1",""),"")</f>
        <v/>
      </c>
      <c r="L115" s="104" t="str">
        <f>IF(C45&lt;&gt;"",クライアント抽出!I45,"")</f>
        <v/>
      </c>
      <c r="M115" s="104">
        <f t="array" aca="1" ref="M115" ca="1">IF(C115&lt;&gt;"",
IF(K115&lt;&gt;"",INDIRECT("'数出表_Excel（アレルギー入力）'!"&amp;K115&amp;L115-1&amp;""),),)</f>
        <v>0</v>
      </c>
      <c r="N115" s="104" t="str">
        <f>IF(C115&lt;&gt;"",IF(OR(COUNTIF('盛付札（関数）'!D115,"*赤*"),COUNTIF('盛付札（関数）'!D115,"*キャラ*")),1,
VALUE(VLOOKUP("*"&amp;D115&amp;"*",商品マスタ!D:H,5,FALSE))),"")</f>
        <v/>
      </c>
      <c r="O115" s="104">
        <f t="shared" ca="1" si="59"/>
        <v>0</v>
      </c>
      <c r="P115" s="104">
        <f t="shared" si="33"/>
        <v>0</v>
      </c>
      <c r="Q115" s="104" t="b">
        <f t="shared" si="34"/>
        <v>0</v>
      </c>
      <c r="R115" s="176" t="str">
        <f t="array" aca="1" ref="R115" ca="1">IFERROR(SMALL(IF(P$1:P$311&lt;&gt;0,P$1:P$311),ROW(A115)),"")</f>
        <v/>
      </c>
      <c r="S115" s="176" t="str">
        <f t="array" aca="1" ref="S115" ca="1">IF($R115&lt;&gt;"",
SUBSTITUTE(SUBSTITUTE(INDIRECT("C"&amp;$R115&amp;"")," 週3ｺｰｽ","")," 週5ｺｰｽ",""),"")</f>
        <v/>
      </c>
      <c r="T115" s="176" t="str">
        <f t="array" aca="1" ref="T115" ca="1">IF(IF($R115&lt;&gt;"",
INDIRECT(""&amp;IF(COLUMN(D115)&lt;=26,CHAR(COLUMN(D115)+64),CHAR(INT((COLUMN(D115)-1)/26)+64)&amp;CHAR(MOD(COLUMN(D115)-1,26)+65))&amp;$R115&amp;""),"")=0,"",
IF($R115&lt;&gt;"",
INDIRECT(""&amp;IF(COLUMN(D115)&lt;=26,CHAR(COLUMN(D115)+64),CHAR(INT((COLUMN(D115)-1)/26)+64)&amp;CHAR(MOD(COLUMN(D115)-1,26)+65))&amp;$R115&amp;""),""))</f>
        <v/>
      </c>
      <c r="U115" s="218" t="str">
        <f t="array" aca="1" ref="U115" ca="1">IF($R115&lt;&gt;"",
INDIRECT("F"&amp;$R115&amp;""),"")</f>
        <v/>
      </c>
      <c r="V115" s="219" t="str">
        <f t="array" aca="1" ref="V115" ca="1">IF($R115&lt;&gt;"",
INDIRECT("G"&amp;$R115&amp;""),"")</f>
        <v/>
      </c>
      <c r="W115" s="219" t="str" cm="1">
        <f t="array" aca="1" ref="W115" ca="1">IF($R115&lt;&gt;"",
IF(AND(COUNTIF(INDIRECT("B"&amp;R115&amp;""),"*雙葉*"),COUNTIF($B$71:$B$210,"*雙葉*")&gt;=1),
IF(OR(COUNTIF(INDIRECT("B"&amp;R115&amp;""),"*雙葉先生*"),COUNTIF(INDIRECT("B"&amp;R115-1&amp;""),"*雙葉*")),INDIRECT("H"&amp;R115&amp;""),INDIRECT("H"&amp;R115&amp;"")+INDIRECT("H"&amp;MATCH("雙葉'",INDIRECT("B"&amp;R115+3&amp;":B210"),0)+2+R115&amp;"")),
IF(AND(LEFT(INDIRECT("B"&amp;R115&amp;""),2)="博多",COUNTIF(B:B,"*博多*")&gt;=2),
INDIRECT("H"&amp;R115&amp;"")+IFERROR(INDIRECT("H"&amp;MATCH("*"&amp;INDIRECT("B"&amp;R115&amp;"")&amp;"*",INDIRECT("B"&amp;R115+1&amp;":B210"),0)+R115&amp;""),0),
IF(AND(LEFT(INDIRECT("B"&amp;R115&amp;""),3)="奈良屋",COUNTIF(B:B,"*奈良屋*")&gt;=2),
INDIRECT("H"&amp;R115&amp;"")
+INDIRECT("H"&amp;MATCH("*"&amp;INDIRECT("B"&amp;R115&amp;"")&amp;"*",INDIRECT("B"&amp;R115+1&amp;":B210"),0)+R115&amp;"")
+INDIRECT("H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
+INDIRECT("H"&amp;MATCH("*"&amp;INDIRECT("B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&amp;"*",INDIRECT("B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+1&amp;":B210"),0)+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,
INDIRECT("H"&amp;R115&amp;"")))),"")</f>
        <v/>
      </c>
      <c r="X115" s="176" t="str">
        <f t="array" aca="1" ref="X115" ca="1">IF($R115&lt;&gt;"",
INDIRECT(""&amp;IF(COLUMN(I115)&lt;=26,CHAR(COLUMN(I115)+64),CHAR(INT((COLUMN(I115)-1)/26)+64)&amp;CHAR(MOD(COLUMN(I115)-1,26)+65))&amp;$R115&amp;""),"")</f>
        <v/>
      </c>
      <c r="Y115" s="176" t="str">
        <f t="array" aca="1" ref="Y115" ca="1">IF($R115&lt;&gt;"",
INDIRECT(""&amp;IF(COLUMN(J115)&lt;=26,CHAR(COLUMN(J115)+64),CHAR(INT((COLUMN(J115)-1)/26)+64)&amp;CHAR(MOD(COLUMN(J115)-1,26)+65))&amp;$R115&amp;""),"")</f>
        <v/>
      </c>
      <c r="Z115" s="176" t="str">
        <f t="shared" ca="1" si="35"/>
        <v/>
      </c>
      <c r="AA115" s="176" t="str">
        <f t="shared" ca="1" si="36"/>
        <v/>
      </c>
      <c r="AB115" s="176" t="str">
        <f t="array" aca="1" ref="AB115" ca="1">IF($R115&lt;&gt;"",
IF(AND(COUNTIF(INDIRECT("B"&amp;R115&amp;""),"*雙葉*"),COUNTIF(INDIRECT("B"&amp;R115&amp;""),"&lt;&gt;*先生*"),COUNTIF(B:B,"*雙葉*")&gt;=2),
INDIRECT("M"&amp;R115&amp;"")+INDIRECT("M"&amp;MATCH("雙葉'",INDIRECT("B"&amp;R115+1&amp;":B210"),0)+R115&amp;""),
IF(AND(LEFT(INDIRECT("B"&amp;R115&amp;""),2)="博多",COUNTIF(B:B,"*博多*")&gt;=2),
INDIRECT("M"&amp;R115&amp;"")+INDIRECT("M"&amp;MATCH("*"&amp;INDIRECT("B"&amp;R115&amp;"")&amp;"*",INDIRECT("B"&amp;R115+1&amp;":B210"),0)+R115&amp;""),
IF(AND(LEFT(INDIRECT("B"&amp;R115&amp;""),3)="奈良屋",COUNTIF(B:B,"*奈良屋*")&gt;=2),
INDIRECT("M"&amp;R115&amp;"")+INDIRECT("M"&amp;MATCH("*"&amp;INDIRECT("B"&amp;R115&amp;"")&amp;"*",INDIRECT("B"&amp;R115+1&amp;":B210"),0)+R115&amp;"")
+INDIRECT("M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,
INDIRECT("M"&amp;R115&amp;"")))),"")</f>
        <v/>
      </c>
      <c r="AC115" s="176" t="str">
        <f t="shared" ca="1" si="37"/>
        <v/>
      </c>
      <c r="AD115" s="176" t="str">
        <f t="shared" ca="1" si="38"/>
        <v/>
      </c>
      <c r="AE115" s="176" t="str">
        <f t="shared" ca="1" si="39"/>
        <v/>
      </c>
      <c r="AF115" s="176" t="str">
        <f t="shared" ca="1" si="40"/>
        <v/>
      </c>
      <c r="AG115" s="176" t="str">
        <f t="shared" ca="1" si="41"/>
        <v/>
      </c>
      <c r="AH115" s="183" t="str">
        <f t="shared" ca="1" si="42"/>
        <v/>
      </c>
      <c r="AI115" s="176" t="str">
        <f t="shared" ca="1" si="43"/>
        <v/>
      </c>
      <c r="AJ115" s="176" t="str">
        <f t="shared" ca="1" si="44"/>
        <v/>
      </c>
      <c r="AK115" s="176" t="str">
        <f t="shared" ca="1" si="45"/>
        <v/>
      </c>
      <c r="AL115" s="176" t="str">
        <f t="shared" ca="1" si="46"/>
        <v/>
      </c>
      <c r="AM115" s="176" t="str">
        <f t="shared" ca="1" si="47"/>
        <v/>
      </c>
      <c r="AN115" s="176" t="str">
        <f t="shared" ca="1" si="48"/>
        <v/>
      </c>
      <c r="AO115" s="176" t="str">
        <f t="shared" ca="1" si="49"/>
        <v/>
      </c>
      <c r="AP115" s="176" t="str">
        <f t="shared" ca="1" si="50"/>
        <v/>
      </c>
      <c r="AU115" s="176" t="str">
        <f t="shared" ca="1" si="51"/>
        <v/>
      </c>
    </row>
    <row r="116" spans="1:47" ht="22.2" customHeight="1">
      <c r="A116" s="103">
        <f t="shared" si="60"/>
        <v>97</v>
      </c>
      <c r="B116" s="104" t="str">
        <f t="shared" ca="1" si="58"/>
        <v/>
      </c>
      <c r="C116" s="104" t="str">
        <f>IF(OR(クライアント抽出!C46&lt;&gt;"",クライアント抽出!F46&lt;&gt;""),クライアント抽出!A46,"")</f>
        <v/>
      </c>
      <c r="D116" s="104" t="str">
        <f t="array" aca="1" ref="D116" ca="1">IF(C116&lt;&gt;"",INDIRECT("クライアント抽出!"&amp;E116&amp;MATCH(C116,クライアント抽出!A:A,0)&amp;""),"")</f>
        <v/>
      </c>
      <c r="E116" s="104" t="str">
        <f>IF(H116&lt;&gt;0,
IFERROR(
SUBSTITUTE(ADDRESS(1,
MATCH(VALUE(H116),クライアント抽出!A46:G46,0)+8,4),"1",""),
""),
IFERROR(
SUBSTITUTE(ADDRESS(1,
MATCH(VALUE(I116),クライアント抽出!A46:G46,0)+8,4),"1",""),
""))</f>
        <v/>
      </c>
      <c r="F116" s="186" t="str">
        <f ca="1">IF(D116&lt;&gt;"",
IF(COUNTIF(C116,"*雙葉*"),
IF(ROUND((H116-M116)
/IF(COUNTIF(D116,"*キャラ*"),
VLOOKUP("*キャラ*",商品マスタ!$D:$E,2,FALSE),
IF(COUNTIF(D116,"*赤*"),
VLOOKUP("*赤*",商品マスタ!$D:$E,2,FALSE),
VLOOKUP("*"&amp;D116&amp;"*",商品マスタ!$D:$E,2,FALSE))),0)&lt;=0,1,
ROUND((H116-M116)
/IF(COUNTIF(D116,"*キャラ*"),
VLOOKUP("*キャラ*",商品マスタ!$D:$E,2,FALSE),
IF(COUNTIF(D116,"*赤*"),
VLOOKUP("*赤*",商品マスタ!$D:$E,2,FALSE),
VLOOKUP("*"&amp;D116&amp;"*",商品マスタ!$D:$E,2,FALSE))),0)),
IF(OR(COUNTIF(D116,"*キャラ*"),COUNTIF(D116,"*赤*")),"",
IF(VLOOKUP("*"&amp;D116&amp;"*",商品マスタ!$D:$E,2,FALSE)=0,"",
IF(ROUND((H116-M116)
/VLOOKUP("*"&amp;D116&amp;"*",商品マスタ!$D:$E,2,FALSE),0)&lt;=0,1,
ROUND((H116-M116)
/VLOOKUP("*"&amp;D116&amp;"*",商品マスタ!$D:$E,2,FALSE),0))))),"")</f>
        <v/>
      </c>
      <c r="G116" s="104" t="str">
        <f ca="1">IF(F116&lt;&gt;"",
IF(VALUE(H116-M116)&gt;VALUE(IF(COUNTIF(D116,"*キャラ*"),
VLOOKUP("*キャラ*",商品マスタ!$D:$E,2,FALSE),
IF(COUNTIF(D116,"*赤*"),
VLOOKUP("*赤*",商品マスタ!$D:$E,2,FALSE),
VLOOKUP("*"&amp;D116&amp;"*",商品マスタ!$D:$E,2,FALSE)))*F116),
"+"&amp;(H116-M116)-IF(COUNTIF(D116,"*キャラ*"),
VLOOKUP("*キャラ*",商品マスタ!$D:$E,2,FALSE),
IF(COUNTIF(D116,"*赤*"),
VLOOKUP("*赤*",商品マスタ!$D:$E,2,FALSE),
VLOOKUP("*"&amp;D116&amp;"*",商品マスタ!$D:$E,2,FALSE)))*F116,
(H116-M116)-IF(COUNTIF(D116,"*キャラ*"),
VLOOKUP("*キャラ*",商品マスタ!$D:$E,2,FALSE),
IF(COUNTIF(D116,"*赤*"),
VLOOKUP("*赤*",商品マスタ!$D:$E,2,FALSE),
VLOOKUP("*"&amp;D116&amp;"*",商品マスタ!$D:$E,2,FALSE)))*F116),"")</f>
        <v/>
      </c>
      <c r="H116" s="105" t="str">
        <f>IF(C116&lt;&gt;"",
クライアント抽出!C46,"")</f>
        <v/>
      </c>
      <c r="I116" s="104" t="str">
        <f t="array" aca="1" ref="I116" ca="1">IF(C116&lt;&gt;"",
IF(O116=1,
IF(SUMPRODUCT(COUNTIF(クライアント抽出!P46:U46,クライアント抽出!P46:U46))&gt;COUNTA(クライアント抽出!P46:U46),
IFERROR(INDIRECT("数出表_Excel!"&amp;INDEX(_xlfn.UNIQUE(_xlfn._xlws.FILTER(クライアント抽出!P46:U46,COUNTIF(クライアント抽出!P46:U46,クライアント抽出!P46:U46)&gt;1)),1)&amp;L46&amp;""),
クライアント抽出!E46),0),クライアント抽出!F46),"")</f>
        <v/>
      </c>
      <c r="J116" s="104" t="str">
        <f>IF(C116&lt;&gt;"",
VLOOKUP(
"*"&amp;LEFT(IF(COUNTIF(D116,"*学食*"),"キャラ弁（学食）",
IF(COUNTIF(D116,"*赤*"),"赤",
IF(COUNTIF(D116,"*キャラ弁当*"),"キャラ弁当",D116))),4)&amp;"*",注文弁当の抽出!$F$1:$G$15,2,FALSE),"")</f>
        <v/>
      </c>
      <c r="K116" s="104" t="str">
        <f ca="1">IF(クライアント抽出!Q46&lt;&gt;"",SUBSTITUTE(ADDRESS(1,(CODE(クライアント抽出!Q46)-64)*2-1,4),"1",""),"")</f>
        <v/>
      </c>
      <c r="L116" s="104" t="str">
        <f>IF(C46&lt;&gt;"",クライアント抽出!I46,"")</f>
        <v/>
      </c>
      <c r="M116" s="104">
        <f t="array" aca="1" ref="M116" ca="1">IF(C116&lt;&gt;"",
IF(K116&lt;&gt;"",INDIRECT("'数出表_Excel（アレルギー入力）'!"&amp;K116&amp;L116-1&amp;""),),)</f>
        <v>0</v>
      </c>
      <c r="N116" s="104" t="str">
        <f>IF(C116&lt;&gt;"",IF(OR(COUNTIF('盛付札（関数）'!D116,"*赤*"),COUNTIF('盛付札（関数）'!D116,"*キャラ*")),1,
VALUE(VLOOKUP("*"&amp;D116&amp;"*",商品マスタ!D:H,5,FALSE))),"")</f>
        <v/>
      </c>
      <c r="O116" s="104">
        <f t="shared" ca="1" si="59"/>
        <v>0</v>
      </c>
      <c r="P116" s="104">
        <f t="shared" si="33"/>
        <v>0</v>
      </c>
      <c r="Q116" s="104" t="b">
        <f t="shared" si="34"/>
        <v>0</v>
      </c>
      <c r="R116" s="176" t="str">
        <f t="array" aca="1" ref="R116" ca="1">IFERROR(SMALL(IF(P$1:P$311&lt;&gt;0,P$1:P$311),ROW(A116)),"")</f>
        <v/>
      </c>
      <c r="S116" s="176" t="str">
        <f t="array" aca="1" ref="S116" ca="1">IF($R116&lt;&gt;"",
SUBSTITUTE(SUBSTITUTE(INDIRECT("C"&amp;$R116&amp;"")," 週3ｺｰｽ","")," 週5ｺｰｽ",""),"")</f>
        <v/>
      </c>
      <c r="T116" s="176" t="str">
        <f t="array" aca="1" ref="T116" ca="1">IF(IF($R116&lt;&gt;"",
INDIRECT(""&amp;IF(COLUMN(D116)&lt;=26,CHAR(COLUMN(D116)+64),CHAR(INT((COLUMN(D116)-1)/26)+64)&amp;CHAR(MOD(COLUMN(D116)-1,26)+65))&amp;$R116&amp;""),"")=0,"",
IF($R116&lt;&gt;"",
INDIRECT(""&amp;IF(COLUMN(D116)&lt;=26,CHAR(COLUMN(D116)+64),CHAR(INT((COLUMN(D116)-1)/26)+64)&amp;CHAR(MOD(COLUMN(D116)-1,26)+65))&amp;$R116&amp;""),""))</f>
        <v/>
      </c>
      <c r="U116" s="218" t="str">
        <f t="array" aca="1" ref="U116" ca="1">IF($R116&lt;&gt;"",
INDIRECT("F"&amp;$R116&amp;""),"")</f>
        <v/>
      </c>
      <c r="V116" s="219" t="str">
        <f t="array" aca="1" ref="V116" ca="1">IF($R116&lt;&gt;"",
INDIRECT("G"&amp;$R116&amp;""),"")</f>
        <v/>
      </c>
      <c r="W116" s="219" t="str" cm="1">
        <f t="array" aca="1" ref="W116" ca="1">IF($R116&lt;&gt;"",
IF(AND(COUNTIF(INDIRECT("B"&amp;R116&amp;""),"*雙葉*"),COUNTIF($B$71:$B$210,"*雙葉*")&gt;=1),
IF(OR(COUNTIF(INDIRECT("B"&amp;R116&amp;""),"*雙葉先生*"),COUNTIF(INDIRECT("B"&amp;R116-1&amp;""),"*雙葉*")),INDIRECT("H"&amp;R116&amp;""),INDIRECT("H"&amp;R116&amp;"")+INDIRECT("H"&amp;MATCH("雙葉'",INDIRECT("B"&amp;R116+3&amp;":B210"),0)+2+R116&amp;"")),
IF(AND(LEFT(INDIRECT("B"&amp;R116&amp;""),2)="博多",COUNTIF(B:B,"*博多*")&gt;=2),
INDIRECT("H"&amp;R116&amp;"")+IFERROR(INDIRECT("H"&amp;MATCH("*"&amp;INDIRECT("B"&amp;R116&amp;"")&amp;"*",INDIRECT("B"&amp;R116+1&amp;":B210"),0)+R116&amp;""),0),
IF(AND(LEFT(INDIRECT("B"&amp;R116&amp;""),3)="奈良屋",COUNTIF(B:B,"*奈良屋*")&gt;=2),
INDIRECT("H"&amp;R116&amp;"")
+INDIRECT("H"&amp;MATCH("*"&amp;INDIRECT("B"&amp;R116&amp;"")&amp;"*",INDIRECT("B"&amp;R116+1&amp;":B210"),0)+R116&amp;"")
+INDIRECT("H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
+INDIRECT("H"&amp;MATCH("*"&amp;INDIRECT("B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&amp;"*",INDIRECT("B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+1&amp;":B210"),0)+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,
INDIRECT("H"&amp;R116&amp;"")))),"")</f>
        <v/>
      </c>
      <c r="X116" s="176" t="str">
        <f t="array" aca="1" ref="X116" ca="1">IF($R116&lt;&gt;"",
INDIRECT(""&amp;IF(COLUMN(I116)&lt;=26,CHAR(COLUMN(I116)+64),CHAR(INT((COLUMN(I116)-1)/26)+64)&amp;CHAR(MOD(COLUMN(I116)-1,26)+65))&amp;$R116&amp;""),"")</f>
        <v/>
      </c>
      <c r="Y116" s="176" t="str">
        <f t="array" aca="1" ref="Y116" ca="1">IF($R116&lt;&gt;"",
INDIRECT(""&amp;IF(COLUMN(J116)&lt;=26,CHAR(COLUMN(J116)+64),CHAR(INT((COLUMN(J116)-1)/26)+64)&amp;CHAR(MOD(COLUMN(J116)-1,26)+65))&amp;$R116&amp;""),"")</f>
        <v/>
      </c>
      <c r="Z116" s="176" t="str">
        <f t="shared" ca="1" si="35"/>
        <v/>
      </c>
      <c r="AA116" s="176" t="str">
        <f t="shared" ca="1" si="36"/>
        <v/>
      </c>
      <c r="AB116" s="176" t="str">
        <f t="array" aca="1" ref="AB116" ca="1">IF($R116&lt;&gt;"",
IF(AND(COUNTIF(INDIRECT("B"&amp;R116&amp;""),"*雙葉*"),COUNTIF(INDIRECT("B"&amp;R116&amp;""),"&lt;&gt;*先生*"),COUNTIF(B:B,"*雙葉*")&gt;=2),
INDIRECT("M"&amp;R116&amp;"")+INDIRECT("M"&amp;MATCH("雙葉'",INDIRECT("B"&amp;R116+1&amp;":B210"),0)+R116&amp;""),
IF(AND(LEFT(INDIRECT("B"&amp;R116&amp;""),2)="博多",COUNTIF(B:B,"*博多*")&gt;=2),
INDIRECT("M"&amp;R116&amp;"")+INDIRECT("M"&amp;MATCH("*"&amp;INDIRECT("B"&amp;R116&amp;"")&amp;"*",INDIRECT("B"&amp;R116+1&amp;":B210"),0)+R116&amp;""),
IF(AND(LEFT(INDIRECT("B"&amp;R116&amp;""),3)="奈良屋",COUNTIF(B:B,"*奈良屋*")&gt;=2),
INDIRECT("M"&amp;R116&amp;"")+INDIRECT("M"&amp;MATCH("*"&amp;INDIRECT("B"&amp;R116&amp;"")&amp;"*",INDIRECT("B"&amp;R116+1&amp;":B210"),0)+R116&amp;"")
+INDIRECT("M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,
INDIRECT("M"&amp;R116&amp;"")))),"")</f>
        <v/>
      </c>
      <c r="AC116" s="176" t="str">
        <f t="shared" ca="1" si="37"/>
        <v/>
      </c>
      <c r="AD116" s="176" t="str">
        <f t="shared" ca="1" si="38"/>
        <v/>
      </c>
      <c r="AE116" s="176" t="str">
        <f t="shared" ca="1" si="39"/>
        <v/>
      </c>
      <c r="AF116" s="176" t="str">
        <f t="shared" ca="1" si="40"/>
        <v/>
      </c>
      <c r="AG116" s="176" t="str">
        <f t="shared" ca="1" si="41"/>
        <v/>
      </c>
      <c r="AH116" s="183" t="str">
        <f t="shared" ca="1" si="42"/>
        <v/>
      </c>
      <c r="AI116" s="176" t="str">
        <f t="shared" ca="1" si="43"/>
        <v/>
      </c>
      <c r="AJ116" s="176" t="str">
        <f t="shared" ca="1" si="44"/>
        <v/>
      </c>
      <c r="AK116" s="176" t="str">
        <f t="shared" ca="1" si="45"/>
        <v/>
      </c>
      <c r="AL116" s="176" t="str">
        <f t="shared" ca="1" si="46"/>
        <v/>
      </c>
      <c r="AM116" s="176" t="str">
        <f t="shared" ca="1" si="47"/>
        <v/>
      </c>
      <c r="AN116" s="176" t="str">
        <f t="shared" ca="1" si="48"/>
        <v/>
      </c>
      <c r="AO116" s="176" t="str">
        <f t="shared" ca="1" si="49"/>
        <v/>
      </c>
      <c r="AP116" s="176" t="str">
        <f t="shared" ca="1" si="50"/>
        <v/>
      </c>
      <c r="AU116" s="176" t="str">
        <f t="shared" ca="1" si="51"/>
        <v/>
      </c>
    </row>
    <row r="117" spans="1:47" ht="22.2" customHeight="1">
      <c r="A117" s="103">
        <f t="shared" si="60"/>
        <v>99</v>
      </c>
      <c r="B117" s="104" t="str">
        <f t="shared" ca="1" si="58"/>
        <v/>
      </c>
      <c r="C117" s="104" t="str">
        <f>IF(OR(クライアント抽出!C47&lt;&gt;"",クライアント抽出!F47&lt;&gt;""),クライアント抽出!A47,"")</f>
        <v/>
      </c>
      <c r="D117" s="104" t="str">
        <f t="array" aca="1" ref="D117" ca="1">IF(C117&lt;&gt;"",INDIRECT("クライアント抽出!"&amp;E117&amp;MATCH(C117,クライアント抽出!A:A,0)&amp;""),"")</f>
        <v/>
      </c>
      <c r="E117" s="104" t="str">
        <f>IF(H117&lt;&gt;0,
IFERROR(
SUBSTITUTE(ADDRESS(1,
MATCH(VALUE(H117),クライアント抽出!A47:G47,0)+8,4),"1",""),
""),
IFERROR(
SUBSTITUTE(ADDRESS(1,
MATCH(VALUE(I117),クライアント抽出!A47:G47,0)+8,4),"1",""),
""))</f>
        <v/>
      </c>
      <c r="F117" s="186" t="str">
        <f ca="1">IF(D117&lt;&gt;"",
IF(COUNTIF(C117,"*雙葉*"),
IF(ROUND((H117-M117)
/IF(COUNTIF(D117,"*キャラ*"),
VLOOKUP("*キャラ*",商品マスタ!$D:$E,2,FALSE),
IF(COUNTIF(D117,"*赤*"),
VLOOKUP("*赤*",商品マスタ!$D:$E,2,FALSE),
VLOOKUP("*"&amp;D117&amp;"*",商品マスタ!$D:$E,2,FALSE))),0)&lt;=0,1,
ROUND((H117-M117)
/IF(COUNTIF(D117,"*キャラ*"),
VLOOKUP("*キャラ*",商品マスタ!$D:$E,2,FALSE),
IF(COUNTIF(D117,"*赤*"),
VLOOKUP("*赤*",商品マスタ!$D:$E,2,FALSE),
VLOOKUP("*"&amp;D117&amp;"*",商品マスタ!$D:$E,2,FALSE))),0)),
IF(OR(COUNTIF(D117,"*キャラ*"),COUNTIF(D117,"*赤*")),"",
IF(VLOOKUP("*"&amp;D117&amp;"*",商品マスタ!$D:$E,2,FALSE)=0,"",
IF(ROUND((H117-M117)
/VLOOKUP("*"&amp;D117&amp;"*",商品マスタ!$D:$E,2,FALSE),0)&lt;=0,1,
ROUND((H117-M117)
/VLOOKUP("*"&amp;D117&amp;"*",商品マスタ!$D:$E,2,FALSE),0))))),"")</f>
        <v/>
      </c>
      <c r="G117" s="104" t="str">
        <f ca="1">IF(F117&lt;&gt;"",
IF(VALUE(H117-M117)&gt;VALUE(IF(COUNTIF(D117,"*キャラ*"),
VLOOKUP("*キャラ*",商品マスタ!$D:$E,2,FALSE),
IF(COUNTIF(D117,"*赤*"),
VLOOKUP("*赤*",商品マスタ!$D:$E,2,FALSE),
VLOOKUP("*"&amp;D117&amp;"*",商品マスタ!$D:$E,2,FALSE)))*F117),
"+"&amp;(H117-M117)-IF(COUNTIF(D117,"*キャラ*"),
VLOOKUP("*キャラ*",商品マスタ!$D:$E,2,FALSE),
IF(COUNTIF(D117,"*赤*"),
VLOOKUP("*赤*",商品マスタ!$D:$E,2,FALSE),
VLOOKUP("*"&amp;D117&amp;"*",商品マスタ!$D:$E,2,FALSE)))*F117,
(H117-M117)-IF(COUNTIF(D117,"*キャラ*"),
VLOOKUP("*キャラ*",商品マスタ!$D:$E,2,FALSE),
IF(COUNTIF(D117,"*赤*"),
VLOOKUP("*赤*",商品マスタ!$D:$E,2,FALSE),
VLOOKUP("*"&amp;D117&amp;"*",商品マスタ!$D:$E,2,FALSE)))*F117),"")</f>
        <v/>
      </c>
      <c r="H117" s="105" t="str">
        <f>IF(C117&lt;&gt;"",
クライアント抽出!C47,"")</f>
        <v/>
      </c>
      <c r="I117" s="104" t="str">
        <f t="array" aca="1" ref="I117" ca="1">IF(C117&lt;&gt;"",
IF(O117=1,
IF(SUMPRODUCT(COUNTIF(クライアント抽出!P47:U47,クライアント抽出!P47:U47))&gt;COUNTA(クライアント抽出!P47:U47),
IFERROR(INDIRECT("数出表_Excel!"&amp;INDEX(_xlfn.UNIQUE(_xlfn._xlws.FILTER(クライアント抽出!P47:U47,COUNTIF(クライアント抽出!P47:U47,クライアント抽出!P47:U47)&gt;1)),1)&amp;L47&amp;""),
クライアント抽出!E47),0),クライアント抽出!F47),"")</f>
        <v/>
      </c>
      <c r="J117" s="104" t="str">
        <f>IF(C117&lt;&gt;"",
VLOOKUP(
"*"&amp;LEFT(IF(COUNTIF(D117,"*学食*"),"キャラ弁（学食）",
IF(COUNTIF(D117,"*赤*"),"赤",
IF(COUNTIF(D117,"*キャラ弁当*"),"キャラ弁当",D117))),4)&amp;"*",注文弁当の抽出!$F$1:$G$15,2,FALSE),"")</f>
        <v/>
      </c>
      <c r="K117" s="104" t="str">
        <f ca="1">IF(クライアント抽出!Q47&lt;&gt;"",SUBSTITUTE(ADDRESS(1,(CODE(クライアント抽出!Q47)-64)*2-1,4),"1",""),"")</f>
        <v/>
      </c>
      <c r="L117" s="104" t="str">
        <f>IF(C47&lt;&gt;"",クライアント抽出!I47,"")</f>
        <v/>
      </c>
      <c r="M117" s="104">
        <f t="array" aca="1" ref="M117" ca="1">IF(C117&lt;&gt;"",
IF(K117&lt;&gt;"",INDIRECT("'数出表_Excel（アレルギー入力）'!"&amp;K117&amp;L117-1&amp;""),),)</f>
        <v>0</v>
      </c>
      <c r="N117" s="104" t="str">
        <f>IF(C117&lt;&gt;"",IF(OR(COUNTIF('盛付札（関数）'!D117,"*赤*"),COUNTIF('盛付札（関数）'!D117,"*キャラ*")),1,
VALUE(VLOOKUP("*"&amp;D117&amp;"*",商品マスタ!D:H,5,FALSE))),"")</f>
        <v/>
      </c>
      <c r="O117" s="104">
        <f t="shared" ca="1" si="59"/>
        <v>0</v>
      </c>
      <c r="P117" s="104">
        <f t="shared" si="33"/>
        <v>0</v>
      </c>
      <c r="Q117" s="104" t="b">
        <f t="shared" si="34"/>
        <v>0</v>
      </c>
      <c r="R117" s="176" t="str">
        <f t="array" aca="1" ref="R117" ca="1">IFERROR(SMALL(IF(P$1:P$311&lt;&gt;0,P$1:P$311),ROW(A117)),"")</f>
        <v/>
      </c>
      <c r="S117" s="176" t="str">
        <f t="array" aca="1" ref="S117" ca="1">IF($R117&lt;&gt;"",
SUBSTITUTE(SUBSTITUTE(INDIRECT("C"&amp;$R117&amp;"")," 週3ｺｰｽ","")," 週5ｺｰｽ",""),"")</f>
        <v/>
      </c>
      <c r="T117" s="176" t="str">
        <f t="array" aca="1" ref="T117" ca="1">IF(IF($R117&lt;&gt;"",
INDIRECT(""&amp;IF(COLUMN(D117)&lt;=26,CHAR(COLUMN(D117)+64),CHAR(INT((COLUMN(D117)-1)/26)+64)&amp;CHAR(MOD(COLUMN(D117)-1,26)+65))&amp;$R117&amp;""),"")=0,"",
IF($R117&lt;&gt;"",
INDIRECT(""&amp;IF(COLUMN(D117)&lt;=26,CHAR(COLUMN(D117)+64),CHAR(INT((COLUMN(D117)-1)/26)+64)&amp;CHAR(MOD(COLUMN(D117)-1,26)+65))&amp;$R117&amp;""),""))</f>
        <v/>
      </c>
      <c r="U117" s="218" t="str">
        <f t="array" aca="1" ref="U117" ca="1">IF($R117&lt;&gt;"",
INDIRECT("F"&amp;$R117&amp;""),"")</f>
        <v/>
      </c>
      <c r="V117" s="219" t="str">
        <f t="array" aca="1" ref="V117" ca="1">IF($R117&lt;&gt;"",
INDIRECT("G"&amp;$R117&amp;""),"")</f>
        <v/>
      </c>
      <c r="W117" s="219" t="str" cm="1">
        <f t="array" aca="1" ref="W117" ca="1">IF($R117&lt;&gt;"",
IF(AND(COUNTIF(INDIRECT("B"&amp;R117&amp;""),"*雙葉*"),COUNTIF($B$71:$B$210,"*雙葉*")&gt;=1),
IF(OR(COUNTIF(INDIRECT("B"&amp;R117&amp;""),"*雙葉先生*"),COUNTIF(INDIRECT("B"&amp;R117-1&amp;""),"*雙葉*")),INDIRECT("H"&amp;R117&amp;""),INDIRECT("H"&amp;R117&amp;"")+INDIRECT("H"&amp;MATCH("雙葉'",INDIRECT("B"&amp;R117+3&amp;":B210"),0)+2+R117&amp;"")),
IF(AND(LEFT(INDIRECT("B"&amp;R117&amp;""),2)="博多",COUNTIF(B:B,"*博多*")&gt;=2),
INDIRECT("H"&amp;R117&amp;"")+IFERROR(INDIRECT("H"&amp;MATCH("*"&amp;INDIRECT("B"&amp;R117&amp;"")&amp;"*",INDIRECT("B"&amp;R117+1&amp;":B210"),0)+R117&amp;""),0),
IF(AND(LEFT(INDIRECT("B"&amp;R117&amp;""),3)="奈良屋",COUNTIF(B:B,"*奈良屋*")&gt;=2),
INDIRECT("H"&amp;R117&amp;"")
+INDIRECT("H"&amp;MATCH("*"&amp;INDIRECT("B"&amp;R117&amp;"")&amp;"*",INDIRECT("B"&amp;R117+1&amp;":B210"),0)+R117&amp;"")
+INDIRECT("H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
+INDIRECT("H"&amp;MATCH("*"&amp;INDIRECT("B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&amp;"*",INDIRECT("B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+1&amp;":B210"),0)+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,
INDIRECT("H"&amp;R117&amp;"")))),"")</f>
        <v/>
      </c>
      <c r="X117" s="176" t="str">
        <f t="array" aca="1" ref="X117" ca="1">IF($R117&lt;&gt;"",
INDIRECT(""&amp;IF(COLUMN(I117)&lt;=26,CHAR(COLUMN(I117)+64),CHAR(INT((COLUMN(I117)-1)/26)+64)&amp;CHAR(MOD(COLUMN(I117)-1,26)+65))&amp;$R117&amp;""),"")</f>
        <v/>
      </c>
      <c r="Y117" s="176" t="str">
        <f t="array" aca="1" ref="Y117" ca="1">IF($R117&lt;&gt;"",
INDIRECT(""&amp;IF(COLUMN(J117)&lt;=26,CHAR(COLUMN(J117)+64),CHAR(INT((COLUMN(J117)-1)/26)+64)&amp;CHAR(MOD(COLUMN(J117)-1,26)+65))&amp;$R117&amp;""),"")</f>
        <v/>
      </c>
      <c r="Z117" s="176" t="str">
        <f t="shared" ca="1" si="35"/>
        <v/>
      </c>
      <c r="AA117" s="176" t="str">
        <f t="shared" ca="1" si="36"/>
        <v/>
      </c>
      <c r="AB117" s="176" t="str">
        <f t="array" aca="1" ref="AB117" ca="1">IF($R117&lt;&gt;"",
IF(AND(COUNTIF(INDIRECT("B"&amp;R117&amp;""),"*雙葉*"),COUNTIF(INDIRECT("B"&amp;R117&amp;""),"&lt;&gt;*先生*"),COUNTIF(B:B,"*雙葉*")&gt;=2),
INDIRECT("M"&amp;R117&amp;"")+INDIRECT("M"&amp;MATCH("雙葉'",INDIRECT("B"&amp;R117+1&amp;":B210"),0)+R117&amp;""),
IF(AND(LEFT(INDIRECT("B"&amp;R117&amp;""),2)="博多",COUNTIF(B:B,"*博多*")&gt;=2),
INDIRECT("M"&amp;R117&amp;"")+INDIRECT("M"&amp;MATCH("*"&amp;INDIRECT("B"&amp;R117&amp;"")&amp;"*",INDIRECT("B"&amp;R117+1&amp;":B210"),0)+R117&amp;""),
IF(AND(LEFT(INDIRECT("B"&amp;R117&amp;""),3)="奈良屋",COUNTIF(B:B,"*奈良屋*")&gt;=2),
INDIRECT("M"&amp;R117&amp;"")+INDIRECT("M"&amp;MATCH("*"&amp;INDIRECT("B"&amp;R117&amp;"")&amp;"*",INDIRECT("B"&amp;R117+1&amp;":B210"),0)+R117&amp;"")
+INDIRECT("M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,
INDIRECT("M"&amp;R117&amp;"")))),"")</f>
        <v/>
      </c>
      <c r="AC117" s="176" t="str">
        <f t="shared" ca="1" si="37"/>
        <v/>
      </c>
      <c r="AD117" s="176" t="str">
        <f t="shared" ca="1" si="38"/>
        <v/>
      </c>
      <c r="AE117" s="176" t="str">
        <f t="shared" ca="1" si="39"/>
        <v/>
      </c>
      <c r="AF117" s="176" t="str">
        <f t="shared" ca="1" si="40"/>
        <v/>
      </c>
      <c r="AG117" s="176" t="str">
        <f t="shared" ca="1" si="41"/>
        <v/>
      </c>
      <c r="AH117" s="183" t="str">
        <f t="shared" ca="1" si="42"/>
        <v/>
      </c>
      <c r="AI117" s="176" t="str">
        <f t="shared" ca="1" si="43"/>
        <v/>
      </c>
      <c r="AJ117" s="176" t="str">
        <f t="shared" ca="1" si="44"/>
        <v/>
      </c>
      <c r="AK117" s="176" t="str">
        <f t="shared" ca="1" si="45"/>
        <v/>
      </c>
      <c r="AL117" s="176" t="str">
        <f t="shared" ca="1" si="46"/>
        <v/>
      </c>
      <c r="AM117" s="176" t="str">
        <f t="shared" ca="1" si="47"/>
        <v/>
      </c>
      <c r="AN117" s="176" t="str">
        <f t="shared" ca="1" si="48"/>
        <v/>
      </c>
      <c r="AO117" s="176" t="str">
        <f t="shared" ca="1" si="49"/>
        <v/>
      </c>
      <c r="AP117" s="176" t="str">
        <f t="shared" ca="1" si="50"/>
        <v/>
      </c>
      <c r="AU117" s="176" t="str">
        <f t="shared" ca="1" si="51"/>
        <v/>
      </c>
    </row>
    <row r="118" spans="1:47" ht="22.2" customHeight="1">
      <c r="A118" s="103">
        <f t="shared" si="60"/>
        <v>101</v>
      </c>
      <c r="B118" s="104" t="str">
        <f t="shared" ca="1" si="58"/>
        <v/>
      </c>
      <c r="C118" s="104" t="str">
        <f>IF(OR(クライアント抽出!C48&lt;&gt;"",クライアント抽出!F48&lt;&gt;""),クライアント抽出!A48,"")</f>
        <v/>
      </c>
      <c r="D118" s="104" t="str">
        <f t="array" aca="1" ref="D118" ca="1">IF(C118&lt;&gt;"",INDIRECT("クライアント抽出!"&amp;E118&amp;MATCH(C118,クライアント抽出!A:A,0)&amp;""),"")</f>
        <v/>
      </c>
      <c r="E118" s="104" t="str">
        <f>IF(H118&lt;&gt;0,
IFERROR(
SUBSTITUTE(ADDRESS(1,
MATCH(VALUE(H118),クライアント抽出!A48:G48,0)+8,4),"1",""),
""),
IFERROR(
SUBSTITUTE(ADDRESS(1,
MATCH(VALUE(I118),クライアント抽出!A48:G48,0)+8,4),"1",""),
""))</f>
        <v/>
      </c>
      <c r="F118" s="186" t="str">
        <f ca="1">IF(D118&lt;&gt;"",
IF(COUNTIF(C118,"*雙葉*"),
IF(ROUND((H118-M118)
/IF(COUNTIF(D118,"*キャラ*"),
VLOOKUP("*キャラ*",商品マスタ!$D:$E,2,FALSE),
IF(COUNTIF(D118,"*赤*"),
VLOOKUP("*赤*",商品マスタ!$D:$E,2,FALSE),
VLOOKUP("*"&amp;D118&amp;"*",商品マスタ!$D:$E,2,FALSE))),0)&lt;=0,1,
ROUND((H118-M118)
/IF(COUNTIF(D118,"*キャラ*"),
VLOOKUP("*キャラ*",商品マスタ!$D:$E,2,FALSE),
IF(COUNTIF(D118,"*赤*"),
VLOOKUP("*赤*",商品マスタ!$D:$E,2,FALSE),
VLOOKUP("*"&amp;D118&amp;"*",商品マスタ!$D:$E,2,FALSE))),0)),
IF(OR(COUNTIF(D118,"*キャラ*"),COUNTIF(D118,"*赤*")),"",
IF(VLOOKUP("*"&amp;D118&amp;"*",商品マスタ!$D:$E,2,FALSE)=0,"",
IF(ROUND((H118-M118)
/VLOOKUP("*"&amp;D118&amp;"*",商品マスタ!$D:$E,2,FALSE),0)&lt;=0,1,
ROUND((H118-M118)
/VLOOKUP("*"&amp;D118&amp;"*",商品マスタ!$D:$E,2,FALSE),0))))),"")</f>
        <v/>
      </c>
      <c r="G118" s="104" t="str">
        <f ca="1">IF(F118&lt;&gt;"",
IF(VALUE(H118-M118)&gt;VALUE(IF(COUNTIF(D118,"*キャラ*"),
VLOOKUP("*キャラ*",商品マスタ!$D:$E,2,FALSE),
IF(COUNTIF(D118,"*赤*"),
VLOOKUP("*赤*",商品マスタ!$D:$E,2,FALSE),
VLOOKUP("*"&amp;D118&amp;"*",商品マスタ!$D:$E,2,FALSE)))*F118),
"+"&amp;(H118-M118)-IF(COUNTIF(D118,"*キャラ*"),
VLOOKUP("*キャラ*",商品マスタ!$D:$E,2,FALSE),
IF(COUNTIF(D118,"*赤*"),
VLOOKUP("*赤*",商品マスタ!$D:$E,2,FALSE),
VLOOKUP("*"&amp;D118&amp;"*",商品マスタ!$D:$E,2,FALSE)))*F118,
(H118-M118)-IF(COUNTIF(D118,"*キャラ*"),
VLOOKUP("*キャラ*",商品マスタ!$D:$E,2,FALSE),
IF(COUNTIF(D118,"*赤*"),
VLOOKUP("*赤*",商品マスタ!$D:$E,2,FALSE),
VLOOKUP("*"&amp;D118&amp;"*",商品マスタ!$D:$E,2,FALSE)))*F118),"")</f>
        <v/>
      </c>
      <c r="H118" s="105" t="str">
        <f>IF(C118&lt;&gt;"",
クライアント抽出!C48,"")</f>
        <v/>
      </c>
      <c r="I118" s="104" t="str">
        <f t="array" aca="1" ref="I118" ca="1">IF(C118&lt;&gt;"",
IF(O118=1,
IF(SUMPRODUCT(COUNTIF(クライアント抽出!P48:U48,クライアント抽出!P48:U48))&gt;COUNTA(クライアント抽出!P48:U48),
IFERROR(INDIRECT("数出表_Excel!"&amp;INDEX(_xlfn.UNIQUE(_xlfn._xlws.FILTER(クライアント抽出!P48:U48,COUNTIF(クライアント抽出!P48:U48,クライアント抽出!P48:U48)&gt;1)),1)&amp;L48&amp;""),
クライアント抽出!E48),0),クライアント抽出!F48),"")</f>
        <v/>
      </c>
      <c r="J118" s="104" t="str">
        <f>IF(C118&lt;&gt;"",
VLOOKUP(
"*"&amp;LEFT(IF(COUNTIF(D118,"*学食*"),"キャラ弁（学食）",
IF(COUNTIF(D118,"*赤*"),"赤",
IF(COUNTIF(D118,"*キャラ弁当*"),"キャラ弁当",D118))),4)&amp;"*",注文弁当の抽出!$F$1:$G$15,2,FALSE),"")</f>
        <v/>
      </c>
      <c r="K118" s="104" t="str">
        <f ca="1">IF(クライアント抽出!Q48&lt;&gt;"",SUBSTITUTE(ADDRESS(1,(CODE(クライアント抽出!Q48)-64)*2-1,4),"1",""),"")</f>
        <v/>
      </c>
      <c r="L118" s="104" t="str">
        <f>IF(C48&lt;&gt;"",クライアント抽出!I48,"")</f>
        <v/>
      </c>
      <c r="M118" s="104">
        <f t="array" aca="1" ref="M118" ca="1">IF(C118&lt;&gt;"",
IF(K118&lt;&gt;"",INDIRECT("'数出表_Excel（アレルギー入力）'!"&amp;K118&amp;L118-1&amp;""),),)</f>
        <v>0</v>
      </c>
      <c r="N118" s="104" t="str">
        <f>IF(C118&lt;&gt;"",IF(OR(COUNTIF('盛付札（関数）'!D118,"*赤*"),COUNTIF('盛付札（関数）'!D118,"*キャラ*")),1,
VALUE(VLOOKUP("*"&amp;D118&amp;"*",商品マスタ!D:H,5,FALSE))),"")</f>
        <v/>
      </c>
      <c r="O118" s="104">
        <f t="shared" ca="1" si="59"/>
        <v>0</v>
      </c>
      <c r="P118" s="104">
        <f t="shared" si="33"/>
        <v>0</v>
      </c>
      <c r="Q118" s="104" t="b">
        <f t="shared" si="34"/>
        <v>0</v>
      </c>
      <c r="R118" s="176" t="str">
        <f t="array" aca="1" ref="R118" ca="1">IFERROR(SMALL(IF(P$1:P$311&lt;&gt;0,P$1:P$311),ROW(A118)),"")</f>
        <v/>
      </c>
      <c r="S118" s="176" t="str">
        <f t="array" aca="1" ref="S118" ca="1">IF($R118&lt;&gt;"",
SUBSTITUTE(SUBSTITUTE(INDIRECT("C"&amp;$R118&amp;"")," 週3ｺｰｽ","")," 週5ｺｰｽ",""),"")</f>
        <v/>
      </c>
      <c r="T118" s="176" t="str">
        <f t="array" aca="1" ref="T118" ca="1">IF(IF($R118&lt;&gt;"",
INDIRECT(""&amp;IF(COLUMN(D118)&lt;=26,CHAR(COLUMN(D118)+64),CHAR(INT((COLUMN(D118)-1)/26)+64)&amp;CHAR(MOD(COLUMN(D118)-1,26)+65))&amp;$R118&amp;""),"")=0,"",
IF($R118&lt;&gt;"",
INDIRECT(""&amp;IF(COLUMN(D118)&lt;=26,CHAR(COLUMN(D118)+64),CHAR(INT((COLUMN(D118)-1)/26)+64)&amp;CHAR(MOD(COLUMN(D118)-1,26)+65))&amp;$R118&amp;""),""))</f>
        <v/>
      </c>
      <c r="U118" s="218" t="str">
        <f t="array" aca="1" ref="U118" ca="1">IF($R118&lt;&gt;"",
INDIRECT("F"&amp;$R118&amp;""),"")</f>
        <v/>
      </c>
      <c r="V118" s="219" t="str">
        <f t="array" aca="1" ref="V118" ca="1">IF($R118&lt;&gt;"",
INDIRECT("G"&amp;$R118&amp;""),"")</f>
        <v/>
      </c>
      <c r="W118" s="219" t="str" cm="1">
        <f t="array" aca="1" ref="W118" ca="1">IF($R118&lt;&gt;"",
IF(AND(COUNTIF(INDIRECT("B"&amp;R118&amp;""),"*雙葉*"),COUNTIF($B$71:$B$210,"*雙葉*")&gt;=1),
IF(OR(COUNTIF(INDIRECT("B"&amp;R118&amp;""),"*雙葉先生*"),COUNTIF(INDIRECT("B"&amp;R118-1&amp;""),"*雙葉*")),INDIRECT("H"&amp;R118&amp;""),INDIRECT("H"&amp;R118&amp;"")+INDIRECT("H"&amp;MATCH("雙葉'",INDIRECT("B"&amp;R118+3&amp;":B210"),0)+2+R118&amp;"")),
IF(AND(LEFT(INDIRECT("B"&amp;R118&amp;""),2)="博多",COUNTIF(B:B,"*博多*")&gt;=2),
INDIRECT("H"&amp;R118&amp;"")+IFERROR(INDIRECT("H"&amp;MATCH("*"&amp;INDIRECT("B"&amp;R118&amp;"")&amp;"*",INDIRECT("B"&amp;R118+1&amp;":B210"),0)+R118&amp;""),0),
IF(AND(LEFT(INDIRECT("B"&amp;R118&amp;""),3)="奈良屋",COUNTIF(B:B,"*奈良屋*")&gt;=2),
INDIRECT("H"&amp;R118&amp;"")
+INDIRECT("H"&amp;MATCH("*"&amp;INDIRECT("B"&amp;R118&amp;"")&amp;"*",INDIRECT("B"&amp;R118+1&amp;":B210"),0)+R118&amp;"")
+INDIRECT("H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
+INDIRECT("H"&amp;MATCH("*"&amp;INDIRECT("B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&amp;"*",INDIRECT("B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+1&amp;":B210"),0)+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,
INDIRECT("H"&amp;R118&amp;"")))),"")</f>
        <v/>
      </c>
      <c r="X118" s="176" t="str">
        <f t="array" aca="1" ref="X118" ca="1">IF($R118&lt;&gt;"",
INDIRECT(""&amp;IF(COLUMN(I118)&lt;=26,CHAR(COLUMN(I118)+64),CHAR(INT((COLUMN(I118)-1)/26)+64)&amp;CHAR(MOD(COLUMN(I118)-1,26)+65))&amp;$R118&amp;""),"")</f>
        <v/>
      </c>
      <c r="Y118" s="176" t="str">
        <f t="array" aca="1" ref="Y118" ca="1">IF($R118&lt;&gt;"",
INDIRECT(""&amp;IF(COLUMN(J118)&lt;=26,CHAR(COLUMN(J118)+64),CHAR(INT((COLUMN(J118)-1)/26)+64)&amp;CHAR(MOD(COLUMN(J118)-1,26)+65))&amp;$R118&amp;""),"")</f>
        <v/>
      </c>
      <c r="Z118" s="176" t="str">
        <f t="shared" ca="1" si="35"/>
        <v/>
      </c>
      <c r="AA118" s="176" t="str">
        <f t="shared" ca="1" si="36"/>
        <v/>
      </c>
      <c r="AB118" s="176" t="str">
        <f t="array" aca="1" ref="AB118" ca="1">IF($R118&lt;&gt;"",
IF(AND(COUNTIF(INDIRECT("B"&amp;R118&amp;""),"*雙葉*"),COUNTIF(INDIRECT("B"&amp;R118&amp;""),"&lt;&gt;*先生*"),COUNTIF(B:B,"*雙葉*")&gt;=2),
INDIRECT("M"&amp;R118&amp;"")+INDIRECT("M"&amp;MATCH("雙葉'",INDIRECT("B"&amp;R118+1&amp;":B210"),0)+R118&amp;""),
IF(AND(LEFT(INDIRECT("B"&amp;R118&amp;""),2)="博多",COUNTIF(B:B,"*博多*")&gt;=2),
INDIRECT("M"&amp;R118&amp;"")+INDIRECT("M"&amp;MATCH("*"&amp;INDIRECT("B"&amp;R118&amp;"")&amp;"*",INDIRECT("B"&amp;R118+1&amp;":B210"),0)+R118&amp;""),
IF(AND(LEFT(INDIRECT("B"&amp;R118&amp;""),3)="奈良屋",COUNTIF(B:B,"*奈良屋*")&gt;=2),
INDIRECT("M"&amp;R118&amp;"")+INDIRECT("M"&amp;MATCH("*"&amp;INDIRECT("B"&amp;R118&amp;"")&amp;"*",INDIRECT("B"&amp;R118+1&amp;":B210"),0)+R118&amp;"")
+INDIRECT("M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,
INDIRECT("M"&amp;R118&amp;"")))),"")</f>
        <v/>
      </c>
      <c r="AC118" s="176" t="str">
        <f t="shared" ca="1" si="37"/>
        <v/>
      </c>
      <c r="AD118" s="176" t="str">
        <f t="shared" ca="1" si="38"/>
        <v/>
      </c>
      <c r="AE118" s="176" t="str">
        <f t="shared" ca="1" si="39"/>
        <v/>
      </c>
      <c r="AF118" s="176" t="str">
        <f t="shared" ca="1" si="40"/>
        <v/>
      </c>
      <c r="AG118" s="176" t="str">
        <f t="shared" ca="1" si="41"/>
        <v/>
      </c>
      <c r="AH118" s="183" t="str">
        <f t="shared" ca="1" si="42"/>
        <v/>
      </c>
      <c r="AI118" s="176" t="str">
        <f t="shared" ca="1" si="43"/>
        <v/>
      </c>
      <c r="AJ118" s="176" t="str">
        <f t="shared" ca="1" si="44"/>
        <v/>
      </c>
      <c r="AK118" s="176" t="str">
        <f t="shared" ca="1" si="45"/>
        <v/>
      </c>
      <c r="AL118" s="176" t="str">
        <f t="shared" ca="1" si="46"/>
        <v/>
      </c>
      <c r="AM118" s="176" t="str">
        <f t="shared" ca="1" si="47"/>
        <v/>
      </c>
      <c r="AN118" s="176" t="str">
        <f t="shared" ca="1" si="48"/>
        <v/>
      </c>
      <c r="AO118" s="176" t="str">
        <f t="shared" ca="1" si="49"/>
        <v/>
      </c>
      <c r="AP118" s="176" t="str">
        <f t="shared" ca="1" si="50"/>
        <v/>
      </c>
      <c r="AU118" s="176" t="str">
        <f t="shared" ca="1" si="51"/>
        <v/>
      </c>
    </row>
    <row r="119" spans="1:47" ht="22.2" customHeight="1">
      <c r="A119" s="103">
        <f t="shared" si="60"/>
        <v>103</v>
      </c>
      <c r="B119" s="104" t="str">
        <f t="shared" ca="1" si="58"/>
        <v/>
      </c>
      <c r="C119" s="104" t="str">
        <f>IF(OR(クライアント抽出!C49&lt;&gt;"",クライアント抽出!F49&lt;&gt;""),クライアント抽出!A49,"")</f>
        <v/>
      </c>
      <c r="D119" s="104" t="str">
        <f t="array" aca="1" ref="D119" ca="1">IF(C119&lt;&gt;"",INDIRECT("クライアント抽出!"&amp;E119&amp;MATCH(C119,クライアント抽出!A:A,0)&amp;""),"")</f>
        <v/>
      </c>
      <c r="E119" s="104" t="str">
        <f>IF(H119&lt;&gt;0,
IFERROR(
SUBSTITUTE(ADDRESS(1,
MATCH(VALUE(H119),クライアント抽出!A49:G49,0)+8,4),"1",""),
""),
IFERROR(
SUBSTITUTE(ADDRESS(1,
MATCH(VALUE(I119),クライアント抽出!A49:G49,0)+8,4),"1",""),
""))</f>
        <v/>
      </c>
      <c r="F119" s="186" t="str">
        <f ca="1">IF(D119&lt;&gt;"",
IF(COUNTIF(C119,"*雙葉*"),
IF(ROUND((H119-M119)
/IF(COUNTIF(D119,"*キャラ*"),
VLOOKUP("*キャラ*",商品マスタ!$D:$E,2,FALSE),
IF(COUNTIF(D119,"*赤*"),
VLOOKUP("*赤*",商品マスタ!$D:$E,2,FALSE),
VLOOKUP("*"&amp;D119&amp;"*",商品マスタ!$D:$E,2,FALSE))),0)&lt;=0,1,
ROUND((H119-M119)
/IF(COUNTIF(D119,"*キャラ*"),
VLOOKUP("*キャラ*",商品マスタ!$D:$E,2,FALSE),
IF(COUNTIF(D119,"*赤*"),
VLOOKUP("*赤*",商品マスタ!$D:$E,2,FALSE),
VLOOKUP("*"&amp;D119&amp;"*",商品マスタ!$D:$E,2,FALSE))),0)),
IF(OR(COUNTIF(D119,"*キャラ*"),COUNTIF(D119,"*赤*")),"",
IF(VLOOKUP("*"&amp;D119&amp;"*",商品マスタ!$D:$E,2,FALSE)=0,"",
IF(ROUND((H119-M119)
/VLOOKUP("*"&amp;D119&amp;"*",商品マスタ!$D:$E,2,FALSE),0)&lt;=0,1,
ROUND((H119-M119)
/VLOOKUP("*"&amp;D119&amp;"*",商品マスタ!$D:$E,2,FALSE),0))))),"")</f>
        <v/>
      </c>
      <c r="G119" s="104" t="str">
        <f ca="1">IF(F119&lt;&gt;"",
IF(VALUE(H119-M119)&gt;VALUE(IF(COUNTIF(D119,"*キャラ*"),
VLOOKUP("*キャラ*",商品マスタ!$D:$E,2,FALSE),
IF(COUNTIF(D119,"*赤*"),
VLOOKUP("*赤*",商品マスタ!$D:$E,2,FALSE),
VLOOKUP("*"&amp;D119&amp;"*",商品マスタ!$D:$E,2,FALSE)))*F119),
"+"&amp;(H119-M119)-IF(COUNTIF(D119,"*キャラ*"),
VLOOKUP("*キャラ*",商品マスタ!$D:$E,2,FALSE),
IF(COUNTIF(D119,"*赤*"),
VLOOKUP("*赤*",商品マスタ!$D:$E,2,FALSE),
VLOOKUP("*"&amp;D119&amp;"*",商品マスタ!$D:$E,2,FALSE)))*F119,
(H119-M119)-IF(COUNTIF(D119,"*キャラ*"),
VLOOKUP("*キャラ*",商品マスタ!$D:$E,2,FALSE),
IF(COUNTIF(D119,"*赤*"),
VLOOKUP("*赤*",商品マスタ!$D:$E,2,FALSE),
VLOOKUP("*"&amp;D119&amp;"*",商品マスタ!$D:$E,2,FALSE)))*F119),"")</f>
        <v/>
      </c>
      <c r="H119" s="105" t="str">
        <f>IF(C119&lt;&gt;"",
クライアント抽出!C49,"")</f>
        <v/>
      </c>
      <c r="I119" s="104" t="str">
        <f t="array" aca="1" ref="I119" ca="1">IF(C119&lt;&gt;"",
IF(O119=1,
IF(SUMPRODUCT(COUNTIF(クライアント抽出!P49:U49,クライアント抽出!P49:U49))&gt;COUNTA(クライアント抽出!P49:U49),
IFERROR(INDIRECT("数出表_Excel!"&amp;INDEX(_xlfn.UNIQUE(_xlfn._xlws.FILTER(クライアント抽出!P49:U49,COUNTIF(クライアント抽出!P49:U49,クライアント抽出!P49:U49)&gt;1)),1)&amp;L49&amp;""),
クライアント抽出!E49),0),クライアント抽出!F49),"")</f>
        <v/>
      </c>
      <c r="J119" s="104" t="str">
        <f>IF(C119&lt;&gt;"",
VLOOKUP(
"*"&amp;LEFT(IF(COUNTIF(D119,"*学食*"),"キャラ弁（学食）",
IF(COUNTIF(D119,"*赤*"),"赤",
IF(COUNTIF(D119,"*キャラ弁当*"),"キャラ弁当",D119))),4)&amp;"*",注文弁当の抽出!$F$1:$G$15,2,FALSE),"")</f>
        <v/>
      </c>
      <c r="K119" s="104" t="str">
        <f ca="1">IF(クライアント抽出!Q49&lt;&gt;"",SUBSTITUTE(ADDRESS(1,(CODE(クライアント抽出!Q49)-64)*2-1,4),"1",""),"")</f>
        <v/>
      </c>
      <c r="L119" s="104" t="str">
        <f>IF(C49&lt;&gt;"",クライアント抽出!I49,"")</f>
        <v/>
      </c>
      <c r="M119" s="104">
        <f t="array" aca="1" ref="M119" ca="1">IF(C119&lt;&gt;"",
IF(K119&lt;&gt;"",INDIRECT("'数出表_Excel（アレルギー入力）'!"&amp;K119&amp;L119-1&amp;""),),)</f>
        <v>0</v>
      </c>
      <c r="N119" s="104" t="str">
        <f>IF(C119&lt;&gt;"",IF(OR(COUNTIF('盛付札（関数）'!D119,"*赤*"),COUNTIF('盛付札（関数）'!D119,"*キャラ*")),1,
VALUE(VLOOKUP("*"&amp;D119&amp;"*",商品マスタ!D:H,5,FALSE))),"")</f>
        <v/>
      </c>
      <c r="O119" s="104">
        <f t="shared" ca="1" si="59"/>
        <v>0</v>
      </c>
      <c r="P119" s="104">
        <f t="shared" si="33"/>
        <v>0</v>
      </c>
      <c r="Q119" s="104" t="b">
        <f t="shared" si="34"/>
        <v>0</v>
      </c>
      <c r="R119" s="176" t="str">
        <f t="array" aca="1" ref="R119" ca="1">IFERROR(SMALL(IF(P$1:P$311&lt;&gt;0,P$1:P$311),ROW(A119)),"")</f>
        <v/>
      </c>
      <c r="S119" s="176" t="str">
        <f t="array" aca="1" ref="S119" ca="1">IF($R119&lt;&gt;"",
SUBSTITUTE(SUBSTITUTE(INDIRECT("C"&amp;$R119&amp;"")," 週3ｺｰｽ","")," 週5ｺｰｽ",""),"")</f>
        <v/>
      </c>
      <c r="T119" s="176" t="str">
        <f t="array" aca="1" ref="T119" ca="1">IF(IF($R119&lt;&gt;"",
INDIRECT(""&amp;IF(COLUMN(D119)&lt;=26,CHAR(COLUMN(D119)+64),CHAR(INT((COLUMN(D119)-1)/26)+64)&amp;CHAR(MOD(COLUMN(D119)-1,26)+65))&amp;$R119&amp;""),"")=0,"",
IF($R119&lt;&gt;"",
INDIRECT(""&amp;IF(COLUMN(D119)&lt;=26,CHAR(COLUMN(D119)+64),CHAR(INT((COLUMN(D119)-1)/26)+64)&amp;CHAR(MOD(COLUMN(D119)-1,26)+65))&amp;$R119&amp;""),""))</f>
        <v/>
      </c>
      <c r="U119" s="218" t="str">
        <f t="array" aca="1" ref="U119" ca="1">IF($R119&lt;&gt;"",
INDIRECT("F"&amp;$R119&amp;""),"")</f>
        <v/>
      </c>
      <c r="V119" s="219" t="str">
        <f t="array" aca="1" ref="V119" ca="1">IF($R119&lt;&gt;"",
INDIRECT("G"&amp;$R119&amp;""),"")</f>
        <v/>
      </c>
      <c r="W119" s="219" t="str" cm="1">
        <f t="array" aca="1" ref="W119" ca="1">IF($R119&lt;&gt;"",
IF(AND(COUNTIF(INDIRECT("B"&amp;R119&amp;""),"*雙葉*"),COUNTIF($B$71:$B$210,"*雙葉*")&gt;=1),
IF(OR(COUNTIF(INDIRECT("B"&amp;R119&amp;""),"*雙葉先生*"),COUNTIF(INDIRECT("B"&amp;R119-1&amp;""),"*雙葉*")),INDIRECT("H"&amp;R119&amp;""),INDIRECT("H"&amp;R119&amp;"")+INDIRECT("H"&amp;MATCH("雙葉'",INDIRECT("B"&amp;R119+3&amp;":B210"),0)+2+R119&amp;"")),
IF(AND(LEFT(INDIRECT("B"&amp;R119&amp;""),2)="博多",COUNTIF(B:B,"*博多*")&gt;=2),
INDIRECT("H"&amp;R119&amp;"")+IFERROR(INDIRECT("H"&amp;MATCH("*"&amp;INDIRECT("B"&amp;R119&amp;"")&amp;"*",INDIRECT("B"&amp;R119+1&amp;":B210"),0)+R119&amp;""),0),
IF(AND(LEFT(INDIRECT("B"&amp;R119&amp;""),3)="奈良屋",COUNTIF(B:B,"*奈良屋*")&gt;=2),
INDIRECT("H"&amp;R119&amp;"")
+INDIRECT("H"&amp;MATCH("*"&amp;INDIRECT("B"&amp;R119&amp;"")&amp;"*",INDIRECT("B"&amp;R119+1&amp;":B210"),0)+R119&amp;"")
+INDIRECT("H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
+INDIRECT("H"&amp;MATCH("*"&amp;INDIRECT("B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&amp;"*",INDIRECT("B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+1&amp;":B210"),0)+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,
INDIRECT("H"&amp;R119&amp;"")))),"")</f>
        <v/>
      </c>
      <c r="X119" s="176" t="str">
        <f t="array" aca="1" ref="X119" ca="1">IF($R119&lt;&gt;"",
INDIRECT(""&amp;IF(COLUMN(I119)&lt;=26,CHAR(COLUMN(I119)+64),CHAR(INT((COLUMN(I119)-1)/26)+64)&amp;CHAR(MOD(COLUMN(I119)-1,26)+65))&amp;$R119&amp;""),"")</f>
        <v/>
      </c>
      <c r="Y119" s="176" t="str">
        <f t="array" aca="1" ref="Y119" ca="1">IF($R119&lt;&gt;"",
INDIRECT(""&amp;IF(COLUMN(J119)&lt;=26,CHAR(COLUMN(J119)+64),CHAR(INT((COLUMN(J119)-1)/26)+64)&amp;CHAR(MOD(COLUMN(J119)-1,26)+65))&amp;$R119&amp;""),"")</f>
        <v/>
      </c>
      <c r="Z119" s="176" t="str">
        <f t="shared" ca="1" si="35"/>
        <v/>
      </c>
      <c r="AA119" s="176" t="str">
        <f t="shared" ca="1" si="36"/>
        <v/>
      </c>
      <c r="AB119" s="176" t="str">
        <f t="array" aca="1" ref="AB119" ca="1">IF($R119&lt;&gt;"",
IF(AND(COUNTIF(INDIRECT("B"&amp;R119&amp;""),"*雙葉*"),COUNTIF(INDIRECT("B"&amp;R119&amp;""),"&lt;&gt;*先生*"),COUNTIF(B:B,"*雙葉*")&gt;=2),
INDIRECT("M"&amp;R119&amp;"")+INDIRECT("M"&amp;MATCH("雙葉'",INDIRECT("B"&amp;R119+1&amp;":B210"),0)+R119&amp;""),
IF(AND(LEFT(INDIRECT("B"&amp;R119&amp;""),2)="博多",COUNTIF(B:B,"*博多*")&gt;=2),
INDIRECT("M"&amp;R119&amp;"")+INDIRECT("M"&amp;MATCH("*"&amp;INDIRECT("B"&amp;R119&amp;"")&amp;"*",INDIRECT("B"&amp;R119+1&amp;":B210"),0)+R119&amp;""),
IF(AND(LEFT(INDIRECT("B"&amp;R119&amp;""),3)="奈良屋",COUNTIF(B:B,"*奈良屋*")&gt;=2),
INDIRECT("M"&amp;R119&amp;"")+INDIRECT("M"&amp;MATCH("*"&amp;INDIRECT("B"&amp;R119&amp;"")&amp;"*",INDIRECT("B"&amp;R119+1&amp;":B210"),0)+R119&amp;"")
+INDIRECT("M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,
INDIRECT("M"&amp;R119&amp;"")))),"")</f>
        <v/>
      </c>
      <c r="AC119" s="176" t="str">
        <f t="shared" ca="1" si="37"/>
        <v/>
      </c>
      <c r="AD119" s="176" t="str">
        <f t="shared" ca="1" si="38"/>
        <v/>
      </c>
      <c r="AE119" s="176" t="str">
        <f t="shared" ca="1" si="39"/>
        <v/>
      </c>
      <c r="AF119" s="176" t="str">
        <f t="shared" ca="1" si="40"/>
        <v/>
      </c>
      <c r="AG119" s="176" t="str">
        <f t="shared" ca="1" si="41"/>
        <v/>
      </c>
      <c r="AH119" s="183" t="str">
        <f t="shared" ca="1" si="42"/>
        <v/>
      </c>
      <c r="AI119" s="176" t="str">
        <f t="shared" ca="1" si="43"/>
        <v/>
      </c>
      <c r="AJ119" s="176" t="str">
        <f t="shared" ca="1" si="44"/>
        <v/>
      </c>
      <c r="AK119" s="176" t="str">
        <f t="shared" ca="1" si="45"/>
        <v/>
      </c>
      <c r="AL119" s="176" t="str">
        <f t="shared" ca="1" si="46"/>
        <v/>
      </c>
      <c r="AM119" s="176" t="str">
        <f t="shared" ca="1" si="47"/>
        <v/>
      </c>
      <c r="AN119" s="176" t="str">
        <f t="shared" ca="1" si="48"/>
        <v/>
      </c>
      <c r="AO119" s="176" t="str">
        <f t="shared" ca="1" si="49"/>
        <v/>
      </c>
      <c r="AP119" s="176" t="str">
        <f t="shared" ca="1" si="50"/>
        <v/>
      </c>
      <c r="AU119" s="176" t="str">
        <f t="shared" ca="1" si="51"/>
        <v/>
      </c>
    </row>
    <row r="120" spans="1:47" ht="22.2" customHeight="1">
      <c r="A120" s="103">
        <f t="shared" si="60"/>
        <v>105</v>
      </c>
      <c r="B120" s="104" t="str">
        <f t="shared" ca="1" si="58"/>
        <v/>
      </c>
      <c r="C120" s="104" t="str">
        <f>IF(OR(クライアント抽出!C50&lt;&gt;"",クライアント抽出!F50&lt;&gt;""),クライアント抽出!A50,"")</f>
        <v/>
      </c>
      <c r="D120" s="104" t="str">
        <f t="array" aca="1" ref="D120" ca="1">IF(C120&lt;&gt;"",INDIRECT("クライアント抽出!"&amp;E120&amp;MATCH(C120,クライアント抽出!A:A,0)&amp;""),"")</f>
        <v/>
      </c>
      <c r="E120" s="104" t="str">
        <f>IF(H120&lt;&gt;0,
IFERROR(
SUBSTITUTE(ADDRESS(1,
MATCH(VALUE(H120),クライアント抽出!A50:G50,0)+8,4),"1",""),
""),
IFERROR(
SUBSTITUTE(ADDRESS(1,
MATCH(VALUE(I120),クライアント抽出!A50:G50,0)+8,4),"1",""),
""))</f>
        <v/>
      </c>
      <c r="F120" s="186" t="str">
        <f ca="1">IF(D120&lt;&gt;"",
IF(COUNTIF(C120,"*雙葉*"),
IF(ROUND((H120-M120)
/IF(COUNTIF(D120,"*キャラ*"),
VLOOKUP("*キャラ*",商品マスタ!$D:$E,2,FALSE),
IF(COUNTIF(D120,"*赤*"),
VLOOKUP("*赤*",商品マスタ!$D:$E,2,FALSE),
VLOOKUP("*"&amp;D120&amp;"*",商品マスタ!$D:$E,2,FALSE))),0)&lt;=0,1,
ROUND((H120-M120)
/IF(COUNTIF(D120,"*キャラ*"),
VLOOKUP("*キャラ*",商品マスタ!$D:$E,2,FALSE),
IF(COUNTIF(D120,"*赤*"),
VLOOKUP("*赤*",商品マスタ!$D:$E,2,FALSE),
VLOOKUP("*"&amp;D120&amp;"*",商品マスタ!$D:$E,2,FALSE))),0)),
IF(OR(COUNTIF(D120,"*キャラ*"),COUNTIF(D120,"*赤*")),"",
IF(VLOOKUP("*"&amp;D120&amp;"*",商品マスタ!$D:$E,2,FALSE)=0,"",
IF(ROUND((H120-M120)
/VLOOKUP("*"&amp;D120&amp;"*",商品マスタ!$D:$E,2,FALSE),0)&lt;=0,1,
ROUND((H120-M120)
/VLOOKUP("*"&amp;D120&amp;"*",商品マスタ!$D:$E,2,FALSE),0))))),"")</f>
        <v/>
      </c>
      <c r="G120" s="104" t="str">
        <f ca="1">IF(F120&lt;&gt;"",
IF(VALUE(H120-M120)&gt;VALUE(IF(COUNTIF(D120,"*キャラ*"),
VLOOKUP("*キャラ*",商品マスタ!$D:$E,2,FALSE),
IF(COUNTIF(D120,"*赤*"),
VLOOKUP("*赤*",商品マスタ!$D:$E,2,FALSE),
VLOOKUP("*"&amp;D120&amp;"*",商品マスタ!$D:$E,2,FALSE)))*F120),
"+"&amp;(H120-M120)-IF(COUNTIF(D120,"*キャラ*"),
VLOOKUP("*キャラ*",商品マスタ!$D:$E,2,FALSE),
IF(COUNTIF(D120,"*赤*"),
VLOOKUP("*赤*",商品マスタ!$D:$E,2,FALSE),
VLOOKUP("*"&amp;D120&amp;"*",商品マスタ!$D:$E,2,FALSE)))*F120,
(H120-M120)-IF(COUNTIF(D120,"*キャラ*"),
VLOOKUP("*キャラ*",商品マスタ!$D:$E,2,FALSE),
IF(COUNTIF(D120,"*赤*"),
VLOOKUP("*赤*",商品マスタ!$D:$E,2,FALSE),
VLOOKUP("*"&amp;D120&amp;"*",商品マスタ!$D:$E,2,FALSE)))*F120),"")</f>
        <v/>
      </c>
      <c r="H120" s="105" t="str">
        <f>IF(C120&lt;&gt;"",
クライアント抽出!C50,"")</f>
        <v/>
      </c>
      <c r="I120" s="104" t="str">
        <f t="array" aca="1" ref="I120" ca="1">IF(C120&lt;&gt;"",
IF(O120=1,
IF(SUMPRODUCT(COUNTIF(クライアント抽出!P50:U50,クライアント抽出!P50:U50))&gt;COUNTA(クライアント抽出!P50:U50),
IFERROR(INDIRECT("数出表_Excel!"&amp;INDEX(_xlfn.UNIQUE(_xlfn._xlws.FILTER(クライアント抽出!P50:U50,COUNTIF(クライアント抽出!P50:U50,クライアント抽出!P50:U50)&gt;1)),1)&amp;L50&amp;""),
クライアント抽出!E50),0),クライアント抽出!F50),"")</f>
        <v/>
      </c>
      <c r="J120" s="104" t="str">
        <f>IF(C120&lt;&gt;"",
VLOOKUP(
"*"&amp;LEFT(IF(COUNTIF(D120,"*学食*"),"キャラ弁（学食）",
IF(COUNTIF(D120,"*赤*"),"赤",
IF(COUNTIF(D120,"*キャラ弁当*"),"キャラ弁当",D120))),4)&amp;"*",注文弁当の抽出!$F$1:$G$15,2,FALSE),"")</f>
        <v/>
      </c>
      <c r="K120" s="104" t="str">
        <f ca="1">IF(クライアント抽出!Q50&lt;&gt;"",SUBSTITUTE(ADDRESS(1,(CODE(クライアント抽出!Q50)-64)*2-1,4),"1",""),"")</f>
        <v/>
      </c>
      <c r="L120" s="104" t="str">
        <f>IF(C50&lt;&gt;"",クライアント抽出!I50,"")</f>
        <v/>
      </c>
      <c r="M120" s="104">
        <f t="array" aca="1" ref="M120" ca="1">IF(C120&lt;&gt;"",
IF(K120&lt;&gt;"",INDIRECT("'数出表_Excel（アレルギー入力）'!"&amp;K120&amp;L120-1&amp;""),),)</f>
        <v>0</v>
      </c>
      <c r="N120" s="104" t="str">
        <f>IF(C120&lt;&gt;"",IF(OR(COUNTIF('盛付札（関数）'!D120,"*赤*"),COUNTIF('盛付札（関数）'!D120,"*キャラ*")),1,
VALUE(VLOOKUP("*"&amp;D120&amp;"*",商品マスタ!D:H,5,FALSE))),"")</f>
        <v/>
      </c>
      <c r="O120" s="104">
        <f t="shared" ca="1" si="59"/>
        <v>0</v>
      </c>
      <c r="P120" s="104">
        <f t="shared" si="33"/>
        <v>0</v>
      </c>
      <c r="Q120" s="104" t="b">
        <f t="shared" si="34"/>
        <v>0</v>
      </c>
      <c r="R120" s="176" t="str">
        <f t="array" aca="1" ref="R120" ca="1">IFERROR(SMALL(IF(P$1:P$311&lt;&gt;0,P$1:P$311),ROW(A120)),"")</f>
        <v/>
      </c>
      <c r="S120" s="176" t="str">
        <f t="array" aca="1" ref="S120" ca="1">IF($R120&lt;&gt;"",
SUBSTITUTE(SUBSTITUTE(INDIRECT("C"&amp;$R120&amp;"")," 週3ｺｰｽ","")," 週5ｺｰｽ",""),"")</f>
        <v/>
      </c>
      <c r="T120" s="176" t="str">
        <f t="array" aca="1" ref="T120" ca="1">IF(IF($R120&lt;&gt;"",
INDIRECT(""&amp;IF(COLUMN(D120)&lt;=26,CHAR(COLUMN(D120)+64),CHAR(INT((COLUMN(D120)-1)/26)+64)&amp;CHAR(MOD(COLUMN(D120)-1,26)+65))&amp;$R120&amp;""),"")=0,"",
IF($R120&lt;&gt;"",
INDIRECT(""&amp;IF(COLUMN(D120)&lt;=26,CHAR(COLUMN(D120)+64),CHAR(INT((COLUMN(D120)-1)/26)+64)&amp;CHAR(MOD(COLUMN(D120)-1,26)+65))&amp;$R120&amp;""),""))</f>
        <v/>
      </c>
      <c r="U120" s="218" t="str">
        <f t="array" aca="1" ref="U120" ca="1">IF($R120&lt;&gt;"",
INDIRECT("F"&amp;$R120&amp;""),"")</f>
        <v/>
      </c>
      <c r="V120" s="219" t="str">
        <f t="array" aca="1" ref="V120" ca="1">IF($R120&lt;&gt;"",
INDIRECT("G"&amp;$R120&amp;""),"")</f>
        <v/>
      </c>
      <c r="W120" s="219" t="str" cm="1">
        <f t="array" aca="1" ref="W120" ca="1">IF($R120&lt;&gt;"",
IF(AND(COUNTIF(INDIRECT("B"&amp;R120&amp;""),"*雙葉*"),COUNTIF($B$71:$B$210,"*雙葉*")&gt;=1),
IF(OR(COUNTIF(INDIRECT("B"&amp;R120&amp;""),"*雙葉先生*"),COUNTIF(INDIRECT("B"&amp;R120-1&amp;""),"*雙葉*")),INDIRECT("H"&amp;R120&amp;""),INDIRECT("H"&amp;R120&amp;"")+INDIRECT("H"&amp;MATCH("雙葉'",INDIRECT("B"&amp;R120+3&amp;":B210"),0)+2+R120&amp;"")),
IF(AND(LEFT(INDIRECT("B"&amp;R120&amp;""),2)="博多",COUNTIF(B:B,"*博多*")&gt;=2),
INDIRECT("H"&amp;R120&amp;"")+IFERROR(INDIRECT("H"&amp;MATCH("*"&amp;INDIRECT("B"&amp;R120&amp;"")&amp;"*",INDIRECT("B"&amp;R120+1&amp;":B210"),0)+R120&amp;""),0),
IF(AND(LEFT(INDIRECT("B"&amp;R120&amp;""),3)="奈良屋",COUNTIF(B:B,"*奈良屋*")&gt;=2),
INDIRECT("H"&amp;R120&amp;"")
+INDIRECT("H"&amp;MATCH("*"&amp;INDIRECT("B"&amp;R120&amp;"")&amp;"*",INDIRECT("B"&amp;R120+1&amp;":B210"),0)+R120&amp;"")
+INDIRECT("H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
+INDIRECT("H"&amp;MATCH("*"&amp;INDIRECT("B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&amp;"*",INDIRECT("B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+1&amp;":B210"),0)+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,
INDIRECT("H"&amp;R120&amp;"")))),"")</f>
        <v/>
      </c>
      <c r="X120" s="176" t="str">
        <f t="array" aca="1" ref="X120" ca="1">IF($R120&lt;&gt;"",
INDIRECT(""&amp;IF(COLUMN(I120)&lt;=26,CHAR(COLUMN(I120)+64),CHAR(INT((COLUMN(I120)-1)/26)+64)&amp;CHAR(MOD(COLUMN(I120)-1,26)+65))&amp;$R120&amp;""),"")</f>
        <v/>
      </c>
      <c r="Y120" s="176" t="str">
        <f t="array" aca="1" ref="Y120" ca="1">IF($R120&lt;&gt;"",
INDIRECT(""&amp;IF(COLUMN(J120)&lt;=26,CHAR(COLUMN(J120)+64),CHAR(INT((COLUMN(J120)-1)/26)+64)&amp;CHAR(MOD(COLUMN(J120)-1,26)+65))&amp;$R120&amp;""),"")</f>
        <v/>
      </c>
      <c r="Z120" s="176" t="str">
        <f t="shared" ca="1" si="35"/>
        <v/>
      </c>
      <c r="AA120" s="176" t="str">
        <f t="shared" ca="1" si="36"/>
        <v/>
      </c>
      <c r="AB120" s="176" t="str">
        <f t="array" aca="1" ref="AB120" ca="1">IF($R120&lt;&gt;"",
IF(AND(COUNTIF(INDIRECT("B"&amp;R120&amp;""),"*雙葉*"),COUNTIF(INDIRECT("B"&amp;R120&amp;""),"&lt;&gt;*先生*"),COUNTIF(B:B,"*雙葉*")&gt;=2),
INDIRECT("M"&amp;R120&amp;"")+INDIRECT("M"&amp;MATCH("雙葉'",INDIRECT("B"&amp;R120+1&amp;":B210"),0)+R120&amp;""),
IF(AND(LEFT(INDIRECT("B"&amp;R120&amp;""),2)="博多",COUNTIF(B:B,"*博多*")&gt;=2),
INDIRECT("M"&amp;R120&amp;"")+INDIRECT("M"&amp;MATCH("*"&amp;INDIRECT("B"&amp;R120&amp;"")&amp;"*",INDIRECT("B"&amp;R120+1&amp;":B210"),0)+R120&amp;""),
IF(AND(LEFT(INDIRECT("B"&amp;R120&amp;""),3)="奈良屋",COUNTIF(B:B,"*奈良屋*")&gt;=2),
INDIRECT("M"&amp;R120&amp;"")+INDIRECT("M"&amp;MATCH("*"&amp;INDIRECT("B"&amp;R120&amp;"")&amp;"*",INDIRECT("B"&amp;R120+1&amp;":B210"),0)+R120&amp;"")
+INDIRECT("M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,
INDIRECT("M"&amp;R120&amp;"")))),"")</f>
        <v/>
      </c>
      <c r="AC120" s="176" t="str">
        <f t="shared" ca="1" si="37"/>
        <v/>
      </c>
      <c r="AD120" s="176" t="str">
        <f t="shared" ca="1" si="38"/>
        <v/>
      </c>
      <c r="AE120" s="176" t="str">
        <f t="shared" ca="1" si="39"/>
        <v/>
      </c>
      <c r="AF120" s="176" t="str">
        <f t="shared" ca="1" si="40"/>
        <v/>
      </c>
      <c r="AG120" s="176" t="str">
        <f t="shared" ca="1" si="41"/>
        <v/>
      </c>
      <c r="AH120" s="183" t="str">
        <f t="shared" ca="1" si="42"/>
        <v/>
      </c>
      <c r="AI120" s="176" t="str">
        <f t="shared" ca="1" si="43"/>
        <v/>
      </c>
      <c r="AJ120" s="176" t="str">
        <f t="shared" ca="1" si="44"/>
        <v/>
      </c>
      <c r="AK120" s="176" t="str">
        <f t="shared" ca="1" si="45"/>
        <v/>
      </c>
      <c r="AL120" s="176" t="str">
        <f t="shared" ca="1" si="46"/>
        <v/>
      </c>
      <c r="AM120" s="176" t="str">
        <f t="shared" ca="1" si="47"/>
        <v/>
      </c>
      <c r="AN120" s="176" t="str">
        <f t="shared" ca="1" si="48"/>
        <v/>
      </c>
      <c r="AO120" s="176" t="str">
        <f t="shared" ca="1" si="49"/>
        <v/>
      </c>
      <c r="AP120" s="176" t="str">
        <f t="shared" ca="1" si="50"/>
        <v/>
      </c>
      <c r="AU120" s="176" t="str">
        <f t="shared" ca="1" si="51"/>
        <v/>
      </c>
    </row>
    <row r="121" spans="1:47" ht="27.6" customHeight="1">
      <c r="A121" s="103">
        <f t="shared" si="60"/>
        <v>107</v>
      </c>
      <c r="B121" s="104" t="str">
        <f t="shared" ca="1" si="58"/>
        <v/>
      </c>
      <c r="C121" s="104" t="str">
        <f>IF(OR(クライアント抽出!C51&lt;&gt;"",クライアント抽出!F51&lt;&gt;""),クライアント抽出!A51,"")</f>
        <v/>
      </c>
      <c r="D121" s="104" t="str">
        <f t="array" aca="1" ref="D121" ca="1">IF(C121&lt;&gt;"",INDIRECT("クライアント抽出!"&amp;E121&amp;MATCH(C121,クライアント抽出!A:A,0)&amp;""),"")</f>
        <v/>
      </c>
      <c r="E121" s="104" t="str">
        <f>IF(H121&lt;&gt;0,
IFERROR(
SUBSTITUTE(ADDRESS(1,
MATCH(VALUE(H121),クライアント抽出!A51:G51,0)+8,4),"1",""),
""),
IFERROR(
SUBSTITUTE(ADDRESS(1,
MATCH(VALUE(I121),クライアント抽出!A51:G51,0)+8,4),"1",""),
""))</f>
        <v/>
      </c>
      <c r="F121" s="186" t="str">
        <f ca="1">IF(D121&lt;&gt;"",
IF(COUNTIF(C121,"*雙葉*"),
IF(ROUND((H121-M121)
/IF(COUNTIF(D121,"*キャラ*"),
VLOOKUP("*キャラ*",商品マスタ!$D:$E,2,FALSE),
IF(COUNTIF(D121,"*赤*"),
VLOOKUP("*赤*",商品マスタ!$D:$E,2,FALSE),
VLOOKUP("*"&amp;D121&amp;"*",商品マスタ!$D:$E,2,FALSE))),0)&lt;=0,1,
ROUND((H121-M121)
/IF(COUNTIF(D121,"*キャラ*"),
VLOOKUP("*キャラ*",商品マスタ!$D:$E,2,FALSE),
IF(COUNTIF(D121,"*赤*"),
VLOOKUP("*赤*",商品マスタ!$D:$E,2,FALSE),
VLOOKUP("*"&amp;D121&amp;"*",商品マスタ!$D:$E,2,FALSE))),0)),
IF(OR(COUNTIF(D121,"*キャラ*"),COUNTIF(D121,"*赤*")),"",
IF(VLOOKUP("*"&amp;D121&amp;"*",商品マスタ!$D:$E,2,FALSE)=0,"",
IF(ROUND((H121-M121)
/VLOOKUP("*"&amp;D121&amp;"*",商品マスタ!$D:$E,2,FALSE),0)&lt;=0,1,
ROUND((H121-M121)
/VLOOKUP("*"&amp;D121&amp;"*",商品マスタ!$D:$E,2,FALSE),0))))),"")</f>
        <v/>
      </c>
      <c r="G121" s="104" t="str">
        <f ca="1">IF(F121&lt;&gt;"",
IF(VALUE(H121-M121)&gt;VALUE(IF(COUNTIF(D121,"*キャラ*"),
VLOOKUP("*キャラ*",商品マスタ!$D:$E,2,FALSE),
IF(COUNTIF(D121,"*赤*"),
VLOOKUP("*赤*",商品マスタ!$D:$E,2,FALSE),
VLOOKUP("*"&amp;D121&amp;"*",商品マスタ!$D:$E,2,FALSE)))*F121),
"+"&amp;(H121-M121)-IF(COUNTIF(D121,"*キャラ*"),
VLOOKUP("*キャラ*",商品マスタ!$D:$E,2,FALSE),
IF(COUNTIF(D121,"*赤*"),
VLOOKUP("*赤*",商品マスタ!$D:$E,2,FALSE),
VLOOKUP("*"&amp;D121&amp;"*",商品マスタ!$D:$E,2,FALSE)))*F121,
(H121-M121)-IF(COUNTIF(D121,"*キャラ*"),
VLOOKUP("*キャラ*",商品マスタ!$D:$E,2,FALSE),
IF(COUNTIF(D121,"*赤*"),
VLOOKUP("*赤*",商品マスタ!$D:$E,2,FALSE),
VLOOKUP("*"&amp;D121&amp;"*",商品マスタ!$D:$E,2,FALSE)))*F121),"")</f>
        <v/>
      </c>
      <c r="H121" s="105" t="str">
        <f>IF(C121&lt;&gt;"",
クライアント抽出!C51,"")</f>
        <v/>
      </c>
      <c r="I121" s="104" t="str">
        <f t="array" aca="1" ref="I121" ca="1">IF(C121&lt;&gt;"",
IF(O121=1,
IF(SUMPRODUCT(COUNTIF(クライアント抽出!P51:U51,クライアント抽出!P51:U51))&gt;COUNTA(クライアント抽出!P51:U51),
IFERROR(INDIRECT("数出表_Excel!"&amp;INDEX(_xlfn.UNIQUE(_xlfn._xlws.FILTER(クライアント抽出!P51:U51,COUNTIF(クライアント抽出!P51:U51,クライアント抽出!P51:U51)&gt;1)),1)&amp;L51&amp;""),
クライアント抽出!E51),0),クライアント抽出!F51),"")</f>
        <v/>
      </c>
      <c r="J121" s="104" t="str">
        <f>IF(C121&lt;&gt;"",
VLOOKUP(
"*"&amp;LEFT(IF(COUNTIF(D121,"*学食*"),"キャラ弁（学食）",
IF(COUNTIF(D121,"*赤*"),"赤",
IF(COUNTIF(D121,"*キャラ弁当*"),"キャラ弁当",D121))),4)&amp;"*",注文弁当の抽出!$F$1:$G$15,2,FALSE),"")</f>
        <v/>
      </c>
      <c r="K121" s="104" t="str">
        <f ca="1">IF(クライアント抽出!Q51&lt;&gt;"",SUBSTITUTE(ADDRESS(1,(CODE(クライアント抽出!Q51)-64)*2-1,4),"1",""),"")</f>
        <v/>
      </c>
      <c r="L121" s="104" t="str">
        <f>IF(C51&lt;&gt;"",クライアント抽出!I51,"")</f>
        <v/>
      </c>
      <c r="M121" s="104">
        <f t="array" aca="1" ref="M121" ca="1">IF(C121&lt;&gt;"",
IF(K121&lt;&gt;"",INDIRECT("'数出表_Excel（アレルギー入力）'!"&amp;K121&amp;L121-1&amp;""),),)</f>
        <v>0</v>
      </c>
      <c r="N121" s="104" t="str">
        <f>IF(C121&lt;&gt;"",IF(OR(COUNTIF('盛付札（関数）'!D121,"*赤*"),COUNTIF('盛付札（関数）'!D121,"*キャラ*")),1,
VALUE(VLOOKUP("*"&amp;D121&amp;"*",商品マスタ!D:H,5,FALSE))),"")</f>
        <v/>
      </c>
      <c r="O121" s="104">
        <f t="shared" ca="1" si="59"/>
        <v>0</v>
      </c>
      <c r="P121" s="104">
        <f t="shared" si="33"/>
        <v>0</v>
      </c>
      <c r="Q121" s="104" t="b">
        <f t="shared" si="34"/>
        <v>0</v>
      </c>
      <c r="R121" s="176" t="str">
        <f t="array" aca="1" ref="R121" ca="1">IFERROR(SMALL(IF(P$1:P$311&lt;&gt;0,P$1:P$311),ROW(A121)),"")</f>
        <v/>
      </c>
      <c r="S121" s="176" t="str">
        <f t="array" aca="1" ref="S121" ca="1">IF($R121&lt;&gt;"",
SUBSTITUTE(SUBSTITUTE(INDIRECT("C"&amp;$R121&amp;"")," 週3ｺｰｽ","")," 週5ｺｰｽ",""),"")</f>
        <v/>
      </c>
      <c r="T121" s="176" t="str">
        <f t="array" aca="1" ref="T121" ca="1">IF(IF($R121&lt;&gt;"",
INDIRECT(""&amp;IF(COLUMN(D121)&lt;=26,CHAR(COLUMN(D121)+64),CHAR(INT((COLUMN(D121)-1)/26)+64)&amp;CHAR(MOD(COLUMN(D121)-1,26)+65))&amp;$R121&amp;""),"")=0,"",
IF($R121&lt;&gt;"",
INDIRECT(""&amp;IF(COLUMN(D121)&lt;=26,CHAR(COLUMN(D121)+64),CHAR(INT((COLUMN(D121)-1)/26)+64)&amp;CHAR(MOD(COLUMN(D121)-1,26)+65))&amp;$R121&amp;""),""))</f>
        <v/>
      </c>
      <c r="U121" s="218" t="str">
        <f t="array" aca="1" ref="U121" ca="1">IF($R121&lt;&gt;"",
INDIRECT("F"&amp;$R121&amp;""),"")</f>
        <v/>
      </c>
      <c r="V121" s="219" t="str">
        <f t="array" aca="1" ref="V121" ca="1">IF($R121&lt;&gt;"",
INDIRECT("G"&amp;$R121&amp;""),"")</f>
        <v/>
      </c>
      <c r="W121" s="219" t="str" cm="1">
        <f t="array" aca="1" ref="W121" ca="1">IF($R121&lt;&gt;"",
IF(AND(COUNTIF(INDIRECT("B"&amp;R121&amp;""),"*雙葉*"),COUNTIF($B$71:$B$210,"*雙葉*")&gt;=1),
IF(OR(COUNTIF(INDIRECT("B"&amp;R121&amp;""),"*雙葉先生*"),COUNTIF(INDIRECT("B"&amp;R121-1&amp;""),"*雙葉*")),INDIRECT("H"&amp;R121&amp;""),INDIRECT("H"&amp;R121&amp;"")+INDIRECT("H"&amp;MATCH("雙葉'",INDIRECT("B"&amp;R121+3&amp;":B210"),0)+2+R121&amp;"")),
IF(AND(LEFT(INDIRECT("B"&amp;R121&amp;""),2)="博多",COUNTIF(B:B,"*博多*")&gt;=2),
INDIRECT("H"&amp;R121&amp;"")+IFERROR(INDIRECT("H"&amp;MATCH("*"&amp;INDIRECT("B"&amp;R121&amp;"")&amp;"*",INDIRECT("B"&amp;R121+1&amp;":B210"),0)+R121&amp;""),0),
IF(AND(LEFT(INDIRECT("B"&amp;R121&amp;""),3)="奈良屋",COUNTIF(B:B,"*奈良屋*")&gt;=2),
INDIRECT("H"&amp;R121&amp;"")
+INDIRECT("H"&amp;MATCH("*"&amp;INDIRECT("B"&amp;R121&amp;"")&amp;"*",INDIRECT("B"&amp;R121+1&amp;":B210"),0)+R121&amp;"")
+INDIRECT("H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
+INDIRECT("H"&amp;MATCH("*"&amp;INDIRECT("B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&amp;"*",INDIRECT("B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+1&amp;":B210"),0)+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,
INDIRECT("H"&amp;R121&amp;"")))),"")</f>
        <v/>
      </c>
      <c r="X121" s="176" t="str">
        <f t="array" aca="1" ref="X121" ca="1">IF($R121&lt;&gt;"",
INDIRECT(""&amp;IF(COLUMN(I121)&lt;=26,CHAR(COLUMN(I121)+64),CHAR(INT((COLUMN(I121)-1)/26)+64)&amp;CHAR(MOD(COLUMN(I121)-1,26)+65))&amp;$R121&amp;""),"")</f>
        <v/>
      </c>
      <c r="Y121" s="176" t="str">
        <f t="array" aca="1" ref="Y121" ca="1">IF($R121&lt;&gt;"",
INDIRECT(""&amp;IF(COLUMN(J121)&lt;=26,CHAR(COLUMN(J121)+64),CHAR(INT((COLUMN(J121)-1)/26)+64)&amp;CHAR(MOD(COLUMN(J121)-1,26)+65))&amp;$R121&amp;""),"")</f>
        <v/>
      </c>
      <c r="Z121" s="176" t="str">
        <f t="shared" ca="1" si="35"/>
        <v/>
      </c>
      <c r="AA121" s="176" t="str">
        <f t="shared" ca="1" si="36"/>
        <v/>
      </c>
      <c r="AB121" s="176" t="str">
        <f t="array" aca="1" ref="AB121" ca="1">IF($R121&lt;&gt;"",
IF(AND(COUNTIF(INDIRECT("B"&amp;R121&amp;""),"*雙葉*"),COUNTIF(INDIRECT("B"&amp;R121&amp;""),"&lt;&gt;*先生*"),COUNTIF(B:B,"*雙葉*")&gt;=2),
INDIRECT("M"&amp;R121&amp;"")+INDIRECT("M"&amp;MATCH("雙葉'",INDIRECT("B"&amp;R121+1&amp;":B210"),0)+R121&amp;""),
IF(AND(LEFT(INDIRECT("B"&amp;R121&amp;""),2)="博多",COUNTIF(B:B,"*博多*")&gt;=2),
INDIRECT("M"&amp;R121&amp;"")+INDIRECT("M"&amp;MATCH("*"&amp;INDIRECT("B"&amp;R121&amp;"")&amp;"*",INDIRECT("B"&amp;R121+1&amp;":B210"),0)+R121&amp;""),
IF(AND(LEFT(INDIRECT("B"&amp;R121&amp;""),3)="奈良屋",COUNTIF(B:B,"*奈良屋*")&gt;=2),
INDIRECT("M"&amp;R121&amp;"")+INDIRECT("M"&amp;MATCH("*"&amp;INDIRECT("B"&amp;R121&amp;"")&amp;"*",INDIRECT("B"&amp;R121+1&amp;":B210"),0)+R121&amp;"")
+INDIRECT("M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,
INDIRECT("M"&amp;R121&amp;"")))),"")</f>
        <v/>
      </c>
      <c r="AC121" s="176" t="str">
        <f t="shared" ca="1" si="37"/>
        <v/>
      </c>
      <c r="AD121" s="176" t="str">
        <f t="shared" ca="1" si="38"/>
        <v/>
      </c>
      <c r="AE121" s="176" t="str">
        <f t="shared" ca="1" si="39"/>
        <v/>
      </c>
      <c r="AF121" s="176" t="str">
        <f t="shared" ca="1" si="40"/>
        <v/>
      </c>
      <c r="AG121" s="176" t="str">
        <f t="shared" ca="1" si="41"/>
        <v/>
      </c>
      <c r="AH121" s="183" t="str">
        <f t="shared" ca="1" si="42"/>
        <v/>
      </c>
      <c r="AI121" s="176" t="str">
        <f t="shared" ca="1" si="43"/>
        <v/>
      </c>
      <c r="AJ121" s="176" t="str">
        <f t="shared" ca="1" si="44"/>
        <v/>
      </c>
      <c r="AK121" s="176" t="str">
        <f t="shared" ca="1" si="45"/>
        <v/>
      </c>
      <c r="AL121" s="176" t="str">
        <f t="shared" ca="1" si="46"/>
        <v/>
      </c>
      <c r="AM121" s="176" t="str">
        <f t="shared" ca="1" si="47"/>
        <v/>
      </c>
      <c r="AN121" s="176" t="str">
        <f t="shared" ca="1" si="48"/>
        <v/>
      </c>
      <c r="AO121" s="176" t="str">
        <f t="shared" ca="1" si="49"/>
        <v/>
      </c>
      <c r="AP121" s="176" t="str">
        <f t="shared" ca="1" si="50"/>
        <v/>
      </c>
      <c r="AU121" s="176" t="str">
        <f t="shared" ca="1" si="51"/>
        <v/>
      </c>
    </row>
    <row r="122" spans="1:47" ht="22.2" customHeight="1">
      <c r="A122" s="103">
        <f t="shared" si="60"/>
        <v>109</v>
      </c>
      <c r="B122" s="104" t="str">
        <f t="shared" ca="1" si="58"/>
        <v/>
      </c>
      <c r="C122" s="104" t="str">
        <f>IF(OR(クライアント抽出!C52&lt;&gt;"",クライアント抽出!F52&lt;&gt;""),クライアント抽出!A52,"")</f>
        <v/>
      </c>
      <c r="D122" s="104" t="str">
        <f t="array" aca="1" ref="D122" ca="1">IF(C122&lt;&gt;"",INDIRECT("クライアント抽出!"&amp;E122&amp;MATCH(C122,クライアント抽出!A:A,0)&amp;""),"")</f>
        <v/>
      </c>
      <c r="E122" s="104" t="str">
        <f>IF(H122&lt;&gt;0,
IFERROR(
SUBSTITUTE(ADDRESS(1,
MATCH(VALUE(H122),クライアント抽出!A52:G52,0)+8,4),"1",""),
""),
IFERROR(
SUBSTITUTE(ADDRESS(1,
MATCH(VALUE(I122),クライアント抽出!A52:G52,0)+8,4),"1",""),
""))</f>
        <v/>
      </c>
      <c r="F122" s="186" t="str">
        <f ca="1">IF(D122&lt;&gt;"",
IF(COUNTIF(C122,"*雙葉*"),
IF(ROUND((H122-M122)
/IF(COUNTIF(D122,"*キャラ*"),
VLOOKUP("*キャラ*",商品マスタ!$D:$E,2,FALSE),
IF(COUNTIF(D122,"*赤*"),
VLOOKUP("*赤*",商品マスタ!$D:$E,2,FALSE),
VLOOKUP("*"&amp;D122&amp;"*",商品マスタ!$D:$E,2,FALSE))),0)&lt;=0,1,
ROUND((H122-M122)
/IF(COUNTIF(D122,"*キャラ*"),
VLOOKUP("*キャラ*",商品マスタ!$D:$E,2,FALSE),
IF(COUNTIF(D122,"*赤*"),
VLOOKUP("*赤*",商品マスタ!$D:$E,2,FALSE),
VLOOKUP("*"&amp;D122&amp;"*",商品マスタ!$D:$E,2,FALSE))),0)),
IF(OR(COUNTIF(D122,"*キャラ*"),COUNTIF(D122,"*赤*")),"",
IF(VLOOKUP("*"&amp;D122&amp;"*",商品マスタ!$D:$E,2,FALSE)=0,"",
IF(ROUND((H122-M122)
/VLOOKUP("*"&amp;D122&amp;"*",商品マスタ!$D:$E,2,FALSE),0)&lt;=0,1,
ROUND((H122-M122)
/VLOOKUP("*"&amp;D122&amp;"*",商品マスタ!$D:$E,2,FALSE),0))))),"")</f>
        <v/>
      </c>
      <c r="G122" s="104" t="str">
        <f ca="1">IF(F122&lt;&gt;"",
IF(VALUE(H122-M122)&gt;VALUE(IF(COUNTIF(D122,"*キャラ*"),
VLOOKUP("*キャラ*",商品マスタ!$D:$E,2,FALSE),
IF(COUNTIF(D122,"*赤*"),
VLOOKUP("*赤*",商品マスタ!$D:$E,2,FALSE),
VLOOKUP("*"&amp;D122&amp;"*",商品マスタ!$D:$E,2,FALSE)))*F122),
"+"&amp;(H122-M122)-IF(COUNTIF(D122,"*キャラ*"),
VLOOKUP("*キャラ*",商品マスタ!$D:$E,2,FALSE),
IF(COUNTIF(D122,"*赤*"),
VLOOKUP("*赤*",商品マスタ!$D:$E,2,FALSE),
VLOOKUP("*"&amp;D122&amp;"*",商品マスタ!$D:$E,2,FALSE)))*F122,
(H122-M122)-IF(COUNTIF(D122,"*キャラ*"),
VLOOKUP("*キャラ*",商品マスタ!$D:$E,2,FALSE),
IF(COUNTIF(D122,"*赤*"),
VLOOKUP("*赤*",商品マスタ!$D:$E,2,FALSE),
VLOOKUP("*"&amp;D122&amp;"*",商品マスタ!$D:$E,2,FALSE)))*F122),"")</f>
        <v/>
      </c>
      <c r="H122" s="105" t="str">
        <f>IF(C122&lt;&gt;"",
クライアント抽出!C52,"")</f>
        <v/>
      </c>
      <c r="I122" s="104" t="str">
        <f t="array" aca="1" ref="I122" ca="1">IF(C122&lt;&gt;"",
IF(O122=1,
IF(SUMPRODUCT(COUNTIF(クライアント抽出!P52:U52,クライアント抽出!P52:U52))&gt;COUNTA(クライアント抽出!P52:U52),
IFERROR(INDIRECT("数出表_Excel!"&amp;INDEX(_xlfn.UNIQUE(_xlfn._xlws.FILTER(クライアント抽出!P52:U52,COUNTIF(クライアント抽出!P52:U52,クライアント抽出!P52:U52)&gt;1)),1)&amp;L52&amp;""),
クライアント抽出!E52),0),クライアント抽出!F52),"")</f>
        <v/>
      </c>
      <c r="J122" s="104" t="str">
        <f>IF(C122&lt;&gt;"",
VLOOKUP(
"*"&amp;LEFT(IF(COUNTIF(D122,"*学食*"),"キャラ弁（学食）",
IF(COUNTIF(D122,"*赤*"),"赤",
IF(COUNTIF(D122,"*キャラ弁当*"),"キャラ弁当",D122))),4)&amp;"*",注文弁当の抽出!$F$1:$G$15,2,FALSE),"")</f>
        <v/>
      </c>
      <c r="K122" s="104" t="str">
        <f ca="1">IF(クライアント抽出!Q52&lt;&gt;"",SUBSTITUTE(ADDRESS(1,(CODE(クライアント抽出!Q52)-64)*2-1,4),"1",""),"")</f>
        <v/>
      </c>
      <c r="L122" s="104" t="str">
        <f>IF(C52&lt;&gt;"",クライアント抽出!I52,"")</f>
        <v/>
      </c>
      <c r="M122" s="104">
        <f t="array" aca="1" ref="M122" ca="1">IF(C122&lt;&gt;"",
IF(K122&lt;&gt;"",INDIRECT("'数出表_Excel（アレルギー入力）'!"&amp;K122&amp;L122-1&amp;""),),)</f>
        <v>0</v>
      </c>
      <c r="N122" s="104" t="str">
        <f>IF(C122&lt;&gt;"",IF(OR(COUNTIF('盛付札（関数）'!D122,"*赤*"),COUNTIF('盛付札（関数）'!D122,"*キャラ*")),1,
VALUE(VLOOKUP("*"&amp;D122&amp;"*",商品マスタ!D:H,5,FALSE))),"")</f>
        <v/>
      </c>
      <c r="O122" s="104">
        <f t="shared" ca="1" si="59"/>
        <v>0</v>
      </c>
      <c r="P122" s="104">
        <f t="shared" si="33"/>
        <v>0</v>
      </c>
      <c r="Q122" s="104" t="b">
        <f t="shared" si="34"/>
        <v>0</v>
      </c>
      <c r="R122" s="176" t="str">
        <f t="array" aca="1" ref="R122" ca="1">IFERROR(SMALL(IF(P$1:P$311&lt;&gt;0,P$1:P$311),ROW(A122)),"")</f>
        <v/>
      </c>
      <c r="S122" s="176" t="str">
        <f t="array" aca="1" ref="S122" ca="1">IF($R122&lt;&gt;"",
SUBSTITUTE(SUBSTITUTE(INDIRECT("C"&amp;$R122&amp;"")," 週3ｺｰｽ","")," 週5ｺｰｽ",""),"")</f>
        <v/>
      </c>
      <c r="T122" s="176" t="str">
        <f t="array" aca="1" ref="T122" ca="1">IF(IF($R122&lt;&gt;"",
INDIRECT(""&amp;IF(COLUMN(D122)&lt;=26,CHAR(COLUMN(D122)+64),CHAR(INT((COLUMN(D122)-1)/26)+64)&amp;CHAR(MOD(COLUMN(D122)-1,26)+65))&amp;$R122&amp;""),"")=0,"",
IF($R122&lt;&gt;"",
INDIRECT(""&amp;IF(COLUMN(D122)&lt;=26,CHAR(COLUMN(D122)+64),CHAR(INT((COLUMN(D122)-1)/26)+64)&amp;CHAR(MOD(COLUMN(D122)-1,26)+65))&amp;$R122&amp;""),""))</f>
        <v/>
      </c>
      <c r="U122" s="218" t="str">
        <f t="array" aca="1" ref="U122" ca="1">IF($R122&lt;&gt;"",
INDIRECT("F"&amp;$R122&amp;""),"")</f>
        <v/>
      </c>
      <c r="V122" s="219" t="str">
        <f t="array" aca="1" ref="V122" ca="1">IF($R122&lt;&gt;"",
INDIRECT("G"&amp;$R122&amp;""),"")</f>
        <v/>
      </c>
      <c r="W122" s="219" t="str" cm="1">
        <f t="array" aca="1" ref="W122" ca="1">IF($R122&lt;&gt;"",
IF(AND(COUNTIF(INDIRECT("B"&amp;R122&amp;""),"*雙葉*"),COUNTIF($B$71:$B$210,"*雙葉*")&gt;=1),
IF(OR(COUNTIF(INDIRECT("B"&amp;R122&amp;""),"*雙葉先生*"),COUNTIF(INDIRECT("B"&amp;R122-1&amp;""),"*雙葉*")),INDIRECT("H"&amp;R122&amp;""),INDIRECT("H"&amp;R122&amp;"")+INDIRECT("H"&amp;MATCH("雙葉'",INDIRECT("B"&amp;R122+3&amp;":B210"),0)+2+R122&amp;"")),
IF(AND(LEFT(INDIRECT("B"&amp;R122&amp;""),2)="博多",COUNTIF(B:B,"*博多*")&gt;=2),
INDIRECT("H"&amp;R122&amp;"")+IFERROR(INDIRECT("H"&amp;MATCH("*"&amp;INDIRECT("B"&amp;R122&amp;"")&amp;"*",INDIRECT("B"&amp;R122+1&amp;":B210"),0)+R122&amp;""),0),
IF(AND(LEFT(INDIRECT("B"&amp;R122&amp;""),3)="奈良屋",COUNTIF(B:B,"*奈良屋*")&gt;=2),
INDIRECT("H"&amp;R122&amp;"")
+INDIRECT("H"&amp;MATCH("*"&amp;INDIRECT("B"&amp;R122&amp;"")&amp;"*",INDIRECT("B"&amp;R122+1&amp;":B210"),0)+R122&amp;"")
+INDIRECT("H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
+INDIRECT("H"&amp;MATCH("*"&amp;INDIRECT("B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&amp;"*",INDIRECT("B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+1&amp;":B210"),0)+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,
INDIRECT("H"&amp;R122&amp;"")))),"")</f>
        <v/>
      </c>
      <c r="X122" s="176" t="str">
        <f t="array" aca="1" ref="X122" ca="1">IF($R122&lt;&gt;"",
INDIRECT(""&amp;IF(COLUMN(I122)&lt;=26,CHAR(COLUMN(I122)+64),CHAR(INT((COLUMN(I122)-1)/26)+64)&amp;CHAR(MOD(COLUMN(I122)-1,26)+65))&amp;$R122&amp;""),"")</f>
        <v/>
      </c>
      <c r="Y122" s="176" t="str">
        <f t="array" aca="1" ref="Y122" ca="1">IF($R122&lt;&gt;"",
INDIRECT(""&amp;IF(COLUMN(J122)&lt;=26,CHAR(COLUMN(J122)+64),CHAR(INT((COLUMN(J122)-1)/26)+64)&amp;CHAR(MOD(COLUMN(J122)-1,26)+65))&amp;$R122&amp;""),"")</f>
        <v/>
      </c>
      <c r="Z122" s="176" t="str">
        <f t="shared" ca="1" si="35"/>
        <v/>
      </c>
      <c r="AA122" s="176" t="str">
        <f t="shared" ca="1" si="36"/>
        <v/>
      </c>
      <c r="AB122" s="176" t="str">
        <f t="array" aca="1" ref="AB122" ca="1">IF($R122&lt;&gt;"",
IF(AND(COUNTIF(INDIRECT("B"&amp;R122&amp;""),"*雙葉*"),COUNTIF(INDIRECT("B"&amp;R122&amp;""),"&lt;&gt;*先生*"),COUNTIF(B:B,"*雙葉*")&gt;=2),
INDIRECT("M"&amp;R122&amp;"")+INDIRECT("M"&amp;MATCH("雙葉'",INDIRECT("B"&amp;R122+1&amp;":B210"),0)+R122&amp;""),
IF(AND(LEFT(INDIRECT("B"&amp;R122&amp;""),2)="博多",COUNTIF(B:B,"*博多*")&gt;=2),
INDIRECT("M"&amp;R122&amp;"")+INDIRECT("M"&amp;MATCH("*"&amp;INDIRECT("B"&amp;R122&amp;"")&amp;"*",INDIRECT("B"&amp;R122+1&amp;":B210"),0)+R122&amp;""),
IF(AND(LEFT(INDIRECT("B"&amp;R122&amp;""),3)="奈良屋",COUNTIF(B:B,"*奈良屋*")&gt;=2),
INDIRECT("M"&amp;R122&amp;"")+INDIRECT("M"&amp;MATCH("*"&amp;INDIRECT("B"&amp;R122&amp;"")&amp;"*",INDIRECT("B"&amp;R122+1&amp;":B210"),0)+R122&amp;"")
+INDIRECT("M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,
INDIRECT("M"&amp;R122&amp;"")))),"")</f>
        <v/>
      </c>
      <c r="AC122" s="176" t="str">
        <f t="shared" ca="1" si="37"/>
        <v/>
      </c>
      <c r="AD122" s="176" t="str">
        <f t="shared" ca="1" si="38"/>
        <v/>
      </c>
      <c r="AE122" s="176" t="str">
        <f t="shared" ca="1" si="39"/>
        <v/>
      </c>
      <c r="AF122" s="176" t="str">
        <f t="shared" ca="1" si="40"/>
        <v/>
      </c>
      <c r="AG122" s="176" t="str">
        <f t="shared" ca="1" si="41"/>
        <v/>
      </c>
      <c r="AH122" s="183" t="str">
        <f t="shared" ca="1" si="42"/>
        <v/>
      </c>
      <c r="AI122" s="176" t="str">
        <f t="shared" ca="1" si="43"/>
        <v/>
      </c>
      <c r="AJ122" s="176" t="str">
        <f t="shared" ca="1" si="44"/>
        <v/>
      </c>
      <c r="AK122" s="176" t="str">
        <f t="shared" ca="1" si="45"/>
        <v/>
      </c>
      <c r="AL122" s="176" t="str">
        <f t="shared" ca="1" si="46"/>
        <v/>
      </c>
      <c r="AM122" s="176" t="str">
        <f t="shared" ca="1" si="47"/>
        <v/>
      </c>
      <c r="AN122" s="176" t="str">
        <f t="shared" ca="1" si="48"/>
        <v/>
      </c>
      <c r="AO122" s="176" t="str">
        <f t="shared" ca="1" si="49"/>
        <v/>
      </c>
      <c r="AP122" s="176" t="str">
        <f t="shared" ca="1" si="50"/>
        <v/>
      </c>
      <c r="AU122" s="176" t="str">
        <f t="shared" ca="1" si="51"/>
        <v/>
      </c>
    </row>
    <row r="123" spans="1:47" ht="22.2" customHeight="1">
      <c r="A123" s="103">
        <f t="shared" si="60"/>
        <v>111</v>
      </c>
      <c r="B123" s="104" t="str">
        <f t="shared" ca="1" si="58"/>
        <v/>
      </c>
      <c r="C123" s="104" t="str">
        <f>IF(OR(クライアント抽出!C53&lt;&gt;"",クライアント抽出!F53&lt;&gt;""),クライアント抽出!A53,"")</f>
        <v/>
      </c>
      <c r="D123" s="104" t="str">
        <f t="array" aca="1" ref="D123" ca="1">IF(C123&lt;&gt;"",INDIRECT("クライアント抽出!"&amp;E123&amp;MATCH(C123,クライアント抽出!A:A,0)&amp;""),"")</f>
        <v/>
      </c>
      <c r="E123" s="104" t="str">
        <f>IF(H123&lt;&gt;0,
IFERROR(
SUBSTITUTE(ADDRESS(1,
MATCH(VALUE(H123),クライアント抽出!A53:G53,0)+8,4),"1",""),
""),
IFERROR(
SUBSTITUTE(ADDRESS(1,
MATCH(VALUE(I123),クライアント抽出!A53:G53,0)+8,4),"1",""),
""))</f>
        <v/>
      </c>
      <c r="F123" s="186" t="str">
        <f ca="1">IF(D123&lt;&gt;"",
IF(COUNTIF(C123,"*雙葉*"),
IF(ROUND((H123-M123)
/IF(COUNTIF(D123,"*キャラ*"),
VLOOKUP("*キャラ*",商品マスタ!$D:$E,2,FALSE),
IF(COUNTIF(D123,"*赤*"),
VLOOKUP("*赤*",商品マスタ!$D:$E,2,FALSE),
VLOOKUP("*"&amp;D123&amp;"*",商品マスタ!$D:$E,2,FALSE))),0)&lt;=0,1,
ROUND((H123-M123)
/IF(COUNTIF(D123,"*キャラ*"),
VLOOKUP("*キャラ*",商品マスタ!$D:$E,2,FALSE),
IF(COUNTIF(D123,"*赤*"),
VLOOKUP("*赤*",商品マスタ!$D:$E,2,FALSE),
VLOOKUP("*"&amp;D123&amp;"*",商品マスタ!$D:$E,2,FALSE))),0)),
IF(OR(COUNTIF(D123,"*キャラ*"),COUNTIF(D123,"*赤*")),"",
IF(VLOOKUP("*"&amp;D123&amp;"*",商品マスタ!$D:$E,2,FALSE)=0,"",
IF(ROUND((H123-M123)
/VLOOKUP("*"&amp;D123&amp;"*",商品マスタ!$D:$E,2,FALSE),0)&lt;=0,1,
ROUND((H123-M123)
/VLOOKUP("*"&amp;D123&amp;"*",商品マスタ!$D:$E,2,FALSE),0))))),"")</f>
        <v/>
      </c>
      <c r="G123" s="104" t="str">
        <f ca="1">IF(F123&lt;&gt;"",
IF(VALUE(H123-M123)&gt;VALUE(IF(COUNTIF(D123,"*キャラ*"),
VLOOKUP("*キャラ*",商品マスタ!$D:$E,2,FALSE),
IF(COUNTIF(D123,"*赤*"),
VLOOKUP("*赤*",商品マスタ!$D:$E,2,FALSE),
VLOOKUP("*"&amp;D123&amp;"*",商品マスタ!$D:$E,2,FALSE)))*F123),
"+"&amp;(H123-M123)-IF(COUNTIF(D123,"*キャラ*"),
VLOOKUP("*キャラ*",商品マスタ!$D:$E,2,FALSE),
IF(COUNTIF(D123,"*赤*"),
VLOOKUP("*赤*",商品マスタ!$D:$E,2,FALSE),
VLOOKUP("*"&amp;D123&amp;"*",商品マスタ!$D:$E,2,FALSE)))*F123,
(H123-M123)-IF(COUNTIF(D123,"*キャラ*"),
VLOOKUP("*キャラ*",商品マスタ!$D:$E,2,FALSE),
IF(COUNTIF(D123,"*赤*"),
VLOOKUP("*赤*",商品マスタ!$D:$E,2,FALSE),
VLOOKUP("*"&amp;D123&amp;"*",商品マスタ!$D:$E,2,FALSE)))*F123),"")</f>
        <v/>
      </c>
      <c r="H123" s="105" t="str">
        <f>IF(C123&lt;&gt;"",
クライアント抽出!C53,"")</f>
        <v/>
      </c>
      <c r="I123" s="104" t="str">
        <f t="array" aca="1" ref="I123" ca="1">IF(C123&lt;&gt;"",
IF(O123=1,
IF(SUMPRODUCT(COUNTIF(クライアント抽出!P53:U53,クライアント抽出!P53:U53))&gt;COUNTA(クライアント抽出!P53:U53),
IFERROR(INDIRECT("数出表_Excel!"&amp;INDEX(_xlfn.UNIQUE(_xlfn._xlws.FILTER(クライアント抽出!P53:U53,COUNTIF(クライアント抽出!P53:U53,クライアント抽出!P53:U53)&gt;1)),1)&amp;L53&amp;""),
クライアント抽出!E53),0),クライアント抽出!F53),"")</f>
        <v/>
      </c>
      <c r="J123" s="104" t="str">
        <f>IF(C123&lt;&gt;"",
VLOOKUP(
"*"&amp;LEFT(IF(COUNTIF(D123,"*学食*"),"キャラ弁（学食）",
IF(COUNTIF(D123,"*赤*"),"赤",
IF(COUNTIF(D123,"*キャラ弁当*"),"キャラ弁当",D123))),4)&amp;"*",注文弁当の抽出!$F$1:$G$15,2,FALSE),"")</f>
        <v/>
      </c>
      <c r="K123" s="104" t="str">
        <f ca="1">IF(クライアント抽出!Q53&lt;&gt;"",SUBSTITUTE(ADDRESS(1,(CODE(クライアント抽出!Q53)-64)*2-1,4),"1",""),"")</f>
        <v/>
      </c>
      <c r="L123" s="104" t="str">
        <f>IF(C53&lt;&gt;"",クライアント抽出!I53,"")</f>
        <v/>
      </c>
      <c r="M123" s="104">
        <f t="array" aca="1" ref="M123" ca="1">IF(C123&lt;&gt;"",
IF(K123&lt;&gt;"",INDIRECT("'数出表_Excel（アレルギー入力）'!"&amp;K123&amp;L123-1&amp;""),),)</f>
        <v>0</v>
      </c>
      <c r="N123" s="104" t="str">
        <f>IF(C123&lt;&gt;"",IF(OR(COUNTIF('盛付札（関数）'!D123,"*赤*"),COUNTIF('盛付札（関数）'!D123,"*キャラ*")),1,
VALUE(VLOOKUP("*"&amp;D123&amp;"*",商品マスタ!D:H,5,FALSE))),"")</f>
        <v/>
      </c>
      <c r="O123" s="104">
        <f t="shared" ca="1" si="59"/>
        <v>0</v>
      </c>
      <c r="P123" s="104">
        <f t="shared" si="33"/>
        <v>0</v>
      </c>
      <c r="Q123" s="104" t="b">
        <f t="shared" si="34"/>
        <v>0</v>
      </c>
      <c r="R123" s="176" t="str">
        <f t="array" aca="1" ref="R123" ca="1">IFERROR(SMALL(IF(P$1:P$311&lt;&gt;0,P$1:P$311),ROW(A123)),"")</f>
        <v/>
      </c>
      <c r="S123" s="176" t="str">
        <f t="array" aca="1" ref="S123" ca="1">IF($R123&lt;&gt;"",
SUBSTITUTE(SUBSTITUTE(INDIRECT("C"&amp;$R123&amp;"")," 週3ｺｰｽ","")," 週5ｺｰｽ",""),"")</f>
        <v/>
      </c>
      <c r="T123" s="176" t="str">
        <f t="array" aca="1" ref="T123" ca="1">IF(IF($R123&lt;&gt;"",
INDIRECT(""&amp;IF(COLUMN(D123)&lt;=26,CHAR(COLUMN(D123)+64),CHAR(INT((COLUMN(D123)-1)/26)+64)&amp;CHAR(MOD(COLUMN(D123)-1,26)+65))&amp;$R123&amp;""),"")=0,"",
IF($R123&lt;&gt;"",
INDIRECT(""&amp;IF(COLUMN(D123)&lt;=26,CHAR(COLUMN(D123)+64),CHAR(INT((COLUMN(D123)-1)/26)+64)&amp;CHAR(MOD(COLUMN(D123)-1,26)+65))&amp;$R123&amp;""),""))</f>
        <v/>
      </c>
      <c r="U123" s="218" t="str">
        <f t="array" aca="1" ref="U123" ca="1">IF($R123&lt;&gt;"",
INDIRECT("F"&amp;$R123&amp;""),"")</f>
        <v/>
      </c>
      <c r="V123" s="219" t="str">
        <f t="array" aca="1" ref="V123" ca="1">IF($R123&lt;&gt;"",
INDIRECT("G"&amp;$R123&amp;""),"")</f>
        <v/>
      </c>
      <c r="W123" s="219" t="str" cm="1">
        <f t="array" aca="1" ref="W123" ca="1">IF($R123&lt;&gt;"",
IF(AND(COUNTIF(INDIRECT("B"&amp;R123&amp;""),"*雙葉*"),COUNTIF($B$71:$B$210,"*雙葉*")&gt;=1),
IF(OR(COUNTIF(INDIRECT("B"&amp;R123&amp;""),"*雙葉先生*"),COUNTIF(INDIRECT("B"&amp;R123-1&amp;""),"*雙葉*")),INDIRECT("H"&amp;R123&amp;""),INDIRECT("H"&amp;R123&amp;"")+INDIRECT("H"&amp;MATCH("雙葉'",INDIRECT("B"&amp;R123+3&amp;":B210"),0)+2+R123&amp;"")),
IF(AND(LEFT(INDIRECT("B"&amp;R123&amp;""),2)="博多",COUNTIF(B:B,"*博多*")&gt;=2),
INDIRECT("H"&amp;R123&amp;"")+IFERROR(INDIRECT("H"&amp;MATCH("*"&amp;INDIRECT("B"&amp;R123&amp;"")&amp;"*",INDIRECT("B"&amp;R123+1&amp;":B210"),0)+R123&amp;""),0),
IF(AND(LEFT(INDIRECT("B"&amp;R123&amp;""),3)="奈良屋",COUNTIF(B:B,"*奈良屋*")&gt;=2),
INDIRECT("H"&amp;R123&amp;"")
+INDIRECT("H"&amp;MATCH("*"&amp;INDIRECT("B"&amp;R123&amp;"")&amp;"*",INDIRECT("B"&amp;R123+1&amp;":B210"),0)+R123&amp;"")
+INDIRECT("H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
+INDIRECT("H"&amp;MATCH("*"&amp;INDIRECT("B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&amp;"*",INDIRECT("B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+1&amp;":B210"),0)+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,
INDIRECT("H"&amp;R123&amp;"")))),"")</f>
        <v/>
      </c>
      <c r="X123" s="176" t="str">
        <f t="array" aca="1" ref="X123" ca="1">IF($R123&lt;&gt;"",
INDIRECT(""&amp;IF(COLUMN(I123)&lt;=26,CHAR(COLUMN(I123)+64),CHAR(INT((COLUMN(I123)-1)/26)+64)&amp;CHAR(MOD(COLUMN(I123)-1,26)+65))&amp;$R123&amp;""),"")</f>
        <v/>
      </c>
      <c r="Y123" s="176" t="str">
        <f t="array" aca="1" ref="Y123" ca="1">IF($R123&lt;&gt;"",
INDIRECT(""&amp;IF(COLUMN(J123)&lt;=26,CHAR(COLUMN(J123)+64),CHAR(INT((COLUMN(J123)-1)/26)+64)&amp;CHAR(MOD(COLUMN(J123)-1,26)+65))&amp;$R123&amp;""),"")</f>
        <v/>
      </c>
      <c r="Z123" s="176" t="str">
        <f t="shared" ca="1" si="35"/>
        <v/>
      </c>
      <c r="AA123" s="176" t="str">
        <f t="shared" ca="1" si="36"/>
        <v/>
      </c>
      <c r="AB123" s="176" t="str">
        <f t="array" aca="1" ref="AB123" ca="1">IF($R123&lt;&gt;"",
IF(AND(COUNTIF(INDIRECT("B"&amp;R123&amp;""),"*雙葉*"),COUNTIF(INDIRECT("B"&amp;R123&amp;""),"&lt;&gt;*先生*"),COUNTIF(B:B,"*雙葉*")&gt;=2),
INDIRECT("M"&amp;R123&amp;"")+INDIRECT("M"&amp;MATCH("雙葉'",INDIRECT("B"&amp;R123+1&amp;":B210"),0)+R123&amp;""),
IF(AND(LEFT(INDIRECT("B"&amp;R123&amp;""),2)="博多",COUNTIF(B:B,"*博多*")&gt;=2),
INDIRECT("M"&amp;R123&amp;"")+INDIRECT("M"&amp;MATCH("*"&amp;INDIRECT("B"&amp;R123&amp;"")&amp;"*",INDIRECT("B"&amp;R123+1&amp;":B210"),0)+R123&amp;""),
IF(AND(LEFT(INDIRECT("B"&amp;R123&amp;""),3)="奈良屋",COUNTIF(B:B,"*奈良屋*")&gt;=2),
INDIRECT("M"&amp;R123&amp;"")+INDIRECT("M"&amp;MATCH("*"&amp;INDIRECT("B"&amp;R123&amp;"")&amp;"*",INDIRECT("B"&amp;R123+1&amp;":B210"),0)+R123&amp;"")
+INDIRECT("M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,
INDIRECT("M"&amp;R123&amp;"")))),"")</f>
        <v/>
      </c>
      <c r="AC123" s="176" t="str">
        <f t="shared" ca="1" si="37"/>
        <v/>
      </c>
      <c r="AD123" s="176" t="str">
        <f t="shared" ca="1" si="38"/>
        <v/>
      </c>
      <c r="AE123" s="176" t="str">
        <f t="shared" ca="1" si="39"/>
        <v/>
      </c>
      <c r="AF123" s="176" t="str">
        <f t="shared" ca="1" si="40"/>
        <v/>
      </c>
      <c r="AG123" s="176" t="str">
        <f t="shared" ca="1" si="41"/>
        <v/>
      </c>
      <c r="AH123" s="183" t="str">
        <f t="shared" ca="1" si="42"/>
        <v/>
      </c>
      <c r="AI123" s="176" t="str">
        <f t="shared" ca="1" si="43"/>
        <v/>
      </c>
      <c r="AJ123" s="176" t="str">
        <f t="shared" ca="1" si="44"/>
        <v/>
      </c>
      <c r="AK123" s="176" t="str">
        <f t="shared" ca="1" si="45"/>
        <v/>
      </c>
      <c r="AL123" s="176" t="str">
        <f t="shared" ca="1" si="46"/>
        <v/>
      </c>
      <c r="AM123" s="176" t="str">
        <f t="shared" ca="1" si="47"/>
        <v/>
      </c>
      <c r="AN123" s="176" t="str">
        <f t="shared" ca="1" si="48"/>
        <v/>
      </c>
      <c r="AO123" s="176" t="str">
        <f t="shared" ca="1" si="49"/>
        <v/>
      </c>
      <c r="AP123" s="176" t="str">
        <f t="shared" ca="1" si="50"/>
        <v/>
      </c>
      <c r="AU123" s="176" t="str">
        <f t="shared" ca="1" si="51"/>
        <v/>
      </c>
    </row>
    <row r="124" spans="1:47" ht="22.2" customHeight="1">
      <c r="A124" s="103">
        <f t="shared" si="60"/>
        <v>113</v>
      </c>
      <c r="B124" s="104" t="str">
        <f t="shared" ca="1" si="58"/>
        <v/>
      </c>
      <c r="C124" s="104" t="str">
        <f>IF(OR(クライアント抽出!C54&lt;&gt;"",クライアント抽出!F54&lt;&gt;""),クライアント抽出!A54,"")</f>
        <v/>
      </c>
      <c r="D124" s="104" t="str">
        <f t="array" aca="1" ref="D124" ca="1">IF(C124&lt;&gt;"",INDIRECT("クライアント抽出!"&amp;E124&amp;MATCH(C124,クライアント抽出!A:A,0)&amp;""),"")</f>
        <v/>
      </c>
      <c r="E124" s="104" t="str">
        <f>IF(H124&lt;&gt;0,
IFERROR(
SUBSTITUTE(ADDRESS(1,
MATCH(VALUE(H124),クライアント抽出!A54:G54,0)+8,4),"1",""),
""),
IFERROR(
SUBSTITUTE(ADDRESS(1,
MATCH(VALUE(I124),クライアント抽出!A54:G54,0)+8,4),"1",""),
""))</f>
        <v/>
      </c>
      <c r="F124" s="186" t="str">
        <f ca="1">IF(D124&lt;&gt;"",
IF(COUNTIF(C124,"*雙葉*"),
IF(ROUND((H124-M124)
/IF(COUNTIF(D124,"*キャラ*"),
VLOOKUP("*キャラ*",商品マスタ!$D:$E,2,FALSE),
IF(COUNTIF(D124,"*赤*"),
VLOOKUP("*赤*",商品マスタ!$D:$E,2,FALSE),
VLOOKUP("*"&amp;D124&amp;"*",商品マスタ!$D:$E,2,FALSE))),0)&lt;=0,1,
ROUND((H124-M124)
/IF(COUNTIF(D124,"*キャラ*"),
VLOOKUP("*キャラ*",商品マスタ!$D:$E,2,FALSE),
IF(COUNTIF(D124,"*赤*"),
VLOOKUP("*赤*",商品マスタ!$D:$E,2,FALSE),
VLOOKUP("*"&amp;D124&amp;"*",商品マスタ!$D:$E,2,FALSE))),0)),
IF(OR(COUNTIF(D124,"*キャラ*"),COUNTIF(D124,"*赤*")),"",
IF(VLOOKUP("*"&amp;D124&amp;"*",商品マスタ!$D:$E,2,FALSE)=0,"",
IF(ROUND((H124-M124)
/VLOOKUP("*"&amp;D124&amp;"*",商品マスタ!$D:$E,2,FALSE),0)&lt;=0,1,
ROUND((H124-M124)
/VLOOKUP("*"&amp;D124&amp;"*",商品マスタ!$D:$E,2,FALSE),0))))),"")</f>
        <v/>
      </c>
      <c r="G124" s="104" t="str">
        <f ca="1">IF(F124&lt;&gt;"",
IF(VALUE(H124-M124)&gt;VALUE(IF(COUNTIF(D124,"*キャラ*"),
VLOOKUP("*キャラ*",商品マスタ!$D:$E,2,FALSE),
IF(COUNTIF(D124,"*赤*"),
VLOOKUP("*赤*",商品マスタ!$D:$E,2,FALSE),
VLOOKUP("*"&amp;D124&amp;"*",商品マスタ!$D:$E,2,FALSE)))*F124),
"+"&amp;(H124-M124)-IF(COUNTIF(D124,"*キャラ*"),
VLOOKUP("*キャラ*",商品マスタ!$D:$E,2,FALSE),
IF(COUNTIF(D124,"*赤*"),
VLOOKUP("*赤*",商品マスタ!$D:$E,2,FALSE),
VLOOKUP("*"&amp;D124&amp;"*",商品マスタ!$D:$E,2,FALSE)))*F124,
(H124-M124)-IF(COUNTIF(D124,"*キャラ*"),
VLOOKUP("*キャラ*",商品マスタ!$D:$E,2,FALSE),
IF(COUNTIF(D124,"*赤*"),
VLOOKUP("*赤*",商品マスタ!$D:$E,2,FALSE),
VLOOKUP("*"&amp;D124&amp;"*",商品マスタ!$D:$E,2,FALSE)))*F124),"")</f>
        <v/>
      </c>
      <c r="H124" s="105" t="str">
        <f>IF(C124&lt;&gt;"",
クライアント抽出!C54,"")</f>
        <v/>
      </c>
      <c r="I124" s="104" t="str">
        <f t="array" aca="1" ref="I124" ca="1">IF(C124&lt;&gt;"",
IF(O124=1,
IF(SUMPRODUCT(COUNTIF(クライアント抽出!P54:U54,クライアント抽出!P54:U54))&gt;COUNTA(クライアント抽出!P54:U54),
IFERROR(INDIRECT("数出表_Excel!"&amp;INDEX(_xlfn.UNIQUE(_xlfn._xlws.FILTER(クライアント抽出!P54:U54,COUNTIF(クライアント抽出!P54:U54,クライアント抽出!P54:U54)&gt;1)),1)&amp;L54&amp;""),
クライアント抽出!E54),0),クライアント抽出!F54),"")</f>
        <v/>
      </c>
      <c r="J124" s="104" t="str">
        <f>IF(C124&lt;&gt;"",
VLOOKUP(
"*"&amp;LEFT(IF(COUNTIF(D124,"*学食*"),"キャラ弁（学食）",
IF(COUNTIF(D124,"*赤*"),"赤",
IF(COUNTIF(D124,"*キャラ弁当*"),"キャラ弁当",D124))),4)&amp;"*",注文弁当の抽出!$F$1:$G$15,2,FALSE),"")</f>
        <v/>
      </c>
      <c r="K124" s="104" t="str">
        <f ca="1">IF(クライアント抽出!Q54&lt;&gt;"",SUBSTITUTE(ADDRESS(1,(CODE(クライアント抽出!Q54)-64)*2-1,4),"1",""),"")</f>
        <v/>
      </c>
      <c r="L124" s="104" t="str">
        <f>IF(C54&lt;&gt;"",クライアント抽出!I54,"")</f>
        <v/>
      </c>
      <c r="M124" s="104">
        <f t="array" aca="1" ref="M124" ca="1">IF(C124&lt;&gt;"",
IF(K124&lt;&gt;"",INDIRECT("'数出表_Excel（アレルギー入力）'!"&amp;K124&amp;L124-1&amp;""),),)</f>
        <v>0</v>
      </c>
      <c r="N124" s="104" t="str">
        <f>IF(C124&lt;&gt;"",IF(OR(COUNTIF('盛付札（関数）'!D124,"*赤*"),COUNTIF('盛付札（関数）'!D124,"*キャラ*")),1,
VALUE(VLOOKUP("*"&amp;D124&amp;"*",商品マスタ!D:H,5,FALSE))),"")</f>
        <v/>
      </c>
      <c r="O124" s="104">
        <f t="shared" ca="1" si="59"/>
        <v>0</v>
      </c>
      <c r="P124" s="104">
        <f t="shared" si="33"/>
        <v>0</v>
      </c>
      <c r="Q124" s="104" t="b">
        <f t="shared" si="34"/>
        <v>0</v>
      </c>
      <c r="R124" s="176" t="str">
        <f t="array" aca="1" ref="R124" ca="1">IFERROR(SMALL(IF(P$1:P$311&lt;&gt;0,P$1:P$311),ROW(A124)),"")</f>
        <v/>
      </c>
      <c r="S124" s="176" t="str">
        <f t="array" aca="1" ref="S124" ca="1">IF($R124&lt;&gt;"",
SUBSTITUTE(SUBSTITUTE(INDIRECT("C"&amp;$R124&amp;"")," 週3ｺｰｽ","")," 週5ｺｰｽ",""),"")</f>
        <v/>
      </c>
      <c r="T124" s="176" t="str">
        <f t="array" aca="1" ref="T124" ca="1">IF(IF($R124&lt;&gt;"",
INDIRECT(""&amp;IF(COLUMN(D124)&lt;=26,CHAR(COLUMN(D124)+64),CHAR(INT((COLUMN(D124)-1)/26)+64)&amp;CHAR(MOD(COLUMN(D124)-1,26)+65))&amp;$R124&amp;""),"")=0,"",
IF($R124&lt;&gt;"",
INDIRECT(""&amp;IF(COLUMN(D124)&lt;=26,CHAR(COLUMN(D124)+64),CHAR(INT((COLUMN(D124)-1)/26)+64)&amp;CHAR(MOD(COLUMN(D124)-1,26)+65))&amp;$R124&amp;""),""))</f>
        <v/>
      </c>
      <c r="U124" s="218" t="str">
        <f t="array" aca="1" ref="U124" ca="1">IF($R124&lt;&gt;"",
INDIRECT("F"&amp;$R124&amp;""),"")</f>
        <v/>
      </c>
      <c r="V124" s="219" t="str">
        <f t="array" aca="1" ref="V124" ca="1">IF($R124&lt;&gt;"",
INDIRECT("G"&amp;$R124&amp;""),"")</f>
        <v/>
      </c>
      <c r="W124" s="219" t="str" cm="1">
        <f t="array" aca="1" ref="W124" ca="1">IF($R124&lt;&gt;"",
IF(AND(COUNTIF(INDIRECT("B"&amp;R124&amp;""),"*雙葉*"),COUNTIF($B$71:$B$210,"*雙葉*")&gt;=1),
IF(OR(COUNTIF(INDIRECT("B"&amp;R124&amp;""),"*雙葉先生*"),COUNTIF(INDIRECT("B"&amp;R124-1&amp;""),"*雙葉*")),INDIRECT("H"&amp;R124&amp;""),INDIRECT("H"&amp;R124&amp;"")+INDIRECT("H"&amp;MATCH("雙葉'",INDIRECT("B"&amp;R124+3&amp;":B210"),0)+2+R124&amp;"")),
IF(AND(LEFT(INDIRECT("B"&amp;R124&amp;""),2)="博多",COUNTIF(B:B,"*博多*")&gt;=2),
INDIRECT("H"&amp;R124&amp;"")+IFERROR(INDIRECT("H"&amp;MATCH("*"&amp;INDIRECT("B"&amp;R124&amp;"")&amp;"*",INDIRECT("B"&amp;R124+1&amp;":B210"),0)+R124&amp;""),0),
IF(AND(LEFT(INDIRECT("B"&amp;R124&amp;""),3)="奈良屋",COUNTIF(B:B,"*奈良屋*")&gt;=2),
INDIRECT("H"&amp;R124&amp;"")
+INDIRECT("H"&amp;MATCH("*"&amp;INDIRECT("B"&amp;R124&amp;"")&amp;"*",INDIRECT("B"&amp;R124+1&amp;":B210"),0)+R124&amp;"")
+INDIRECT("H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
+INDIRECT("H"&amp;MATCH("*"&amp;INDIRECT("B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&amp;"*",INDIRECT("B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+1&amp;":B210"),0)+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,
INDIRECT("H"&amp;R124&amp;"")))),"")</f>
        <v/>
      </c>
      <c r="X124" s="176" t="str">
        <f t="array" aca="1" ref="X124" ca="1">IF($R124&lt;&gt;"",
INDIRECT(""&amp;IF(COLUMN(I124)&lt;=26,CHAR(COLUMN(I124)+64),CHAR(INT((COLUMN(I124)-1)/26)+64)&amp;CHAR(MOD(COLUMN(I124)-1,26)+65))&amp;$R124&amp;""),"")</f>
        <v/>
      </c>
      <c r="Y124" s="176" t="str">
        <f t="array" aca="1" ref="Y124" ca="1">IF($R124&lt;&gt;"",
INDIRECT(""&amp;IF(COLUMN(J124)&lt;=26,CHAR(COLUMN(J124)+64),CHAR(INT((COLUMN(J124)-1)/26)+64)&amp;CHAR(MOD(COLUMN(J124)-1,26)+65))&amp;$R124&amp;""),"")</f>
        <v/>
      </c>
      <c r="Z124" s="176" t="str">
        <f t="shared" ca="1" si="35"/>
        <v/>
      </c>
      <c r="AA124" s="176" t="str">
        <f t="shared" ca="1" si="36"/>
        <v/>
      </c>
      <c r="AB124" s="176" t="str">
        <f t="array" aca="1" ref="AB124" ca="1">IF($R124&lt;&gt;"",
IF(AND(COUNTIF(INDIRECT("B"&amp;R124&amp;""),"*雙葉*"),COUNTIF(INDIRECT("B"&amp;R124&amp;""),"&lt;&gt;*先生*"),COUNTIF(B:B,"*雙葉*")&gt;=2),
INDIRECT("M"&amp;R124&amp;"")+INDIRECT("M"&amp;MATCH("雙葉'",INDIRECT("B"&amp;R124+1&amp;":B210"),0)+R124&amp;""),
IF(AND(LEFT(INDIRECT("B"&amp;R124&amp;""),2)="博多",COUNTIF(B:B,"*博多*")&gt;=2),
INDIRECT("M"&amp;R124&amp;"")+INDIRECT("M"&amp;MATCH("*"&amp;INDIRECT("B"&amp;R124&amp;"")&amp;"*",INDIRECT("B"&amp;R124+1&amp;":B210"),0)+R124&amp;""),
IF(AND(LEFT(INDIRECT("B"&amp;R124&amp;""),3)="奈良屋",COUNTIF(B:B,"*奈良屋*")&gt;=2),
INDIRECT("M"&amp;R124&amp;"")+INDIRECT("M"&amp;MATCH("*"&amp;INDIRECT("B"&amp;R124&amp;"")&amp;"*",INDIRECT("B"&amp;R124+1&amp;":B210"),0)+R124&amp;"")
+INDIRECT("M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,
INDIRECT("M"&amp;R124&amp;"")))),"")</f>
        <v/>
      </c>
      <c r="AC124" s="176" t="str">
        <f t="shared" ca="1" si="37"/>
        <v/>
      </c>
      <c r="AD124" s="176" t="str">
        <f t="shared" ca="1" si="38"/>
        <v/>
      </c>
      <c r="AE124" s="176" t="str">
        <f t="shared" ca="1" si="39"/>
        <v/>
      </c>
      <c r="AF124" s="176" t="str">
        <f t="shared" ca="1" si="40"/>
        <v/>
      </c>
      <c r="AG124" s="176" t="str">
        <f t="shared" ca="1" si="41"/>
        <v/>
      </c>
      <c r="AH124" s="183" t="str">
        <f t="shared" ca="1" si="42"/>
        <v/>
      </c>
      <c r="AI124" s="176" t="str">
        <f t="shared" ca="1" si="43"/>
        <v/>
      </c>
      <c r="AJ124" s="176" t="str">
        <f t="shared" ca="1" si="44"/>
        <v/>
      </c>
      <c r="AK124" s="176" t="str">
        <f t="shared" ca="1" si="45"/>
        <v/>
      </c>
      <c r="AL124" s="176" t="str">
        <f t="shared" ca="1" si="46"/>
        <v/>
      </c>
      <c r="AM124" s="176" t="str">
        <f t="shared" ca="1" si="47"/>
        <v/>
      </c>
      <c r="AN124" s="176" t="str">
        <f t="shared" ca="1" si="48"/>
        <v/>
      </c>
      <c r="AO124" s="176" t="str">
        <f t="shared" ca="1" si="49"/>
        <v/>
      </c>
      <c r="AP124" s="176" t="str">
        <f t="shared" ca="1" si="50"/>
        <v/>
      </c>
      <c r="AU124" s="176" t="str">
        <f t="shared" ca="1" si="51"/>
        <v/>
      </c>
    </row>
    <row r="125" spans="1:47" ht="22.2" customHeight="1">
      <c r="A125" s="103">
        <f t="shared" si="60"/>
        <v>115</v>
      </c>
      <c r="B125" s="104" t="str">
        <f t="shared" ca="1" si="58"/>
        <v/>
      </c>
      <c r="C125" s="104" t="str">
        <f>IF(OR(クライアント抽出!C55&lt;&gt;"",クライアント抽出!F55&lt;&gt;""),クライアント抽出!A55,"")</f>
        <v/>
      </c>
      <c r="D125" s="104" t="str">
        <f t="array" aca="1" ref="D125" ca="1">IF(C125&lt;&gt;"",INDIRECT("クライアント抽出!"&amp;E125&amp;MATCH(C125,クライアント抽出!A:A,0)&amp;""),"")</f>
        <v/>
      </c>
      <c r="E125" s="104" t="str">
        <f>IF(H125&lt;&gt;0,
IFERROR(
SUBSTITUTE(ADDRESS(1,
MATCH(VALUE(H125),クライアント抽出!A55:G55,0)+8,4),"1",""),
""),
IFERROR(
SUBSTITUTE(ADDRESS(1,
MATCH(VALUE(I125),クライアント抽出!A55:G55,0)+8,4),"1",""),
""))</f>
        <v/>
      </c>
      <c r="F125" s="186" t="str">
        <f ca="1">IF(D125&lt;&gt;"",
IF(COUNTIF(C125,"*雙葉*"),
IF(ROUND((H125-M125)
/IF(COUNTIF(D125,"*キャラ*"),
VLOOKUP("*キャラ*",商品マスタ!$D:$E,2,FALSE),
IF(COUNTIF(D125,"*赤*"),
VLOOKUP("*赤*",商品マスタ!$D:$E,2,FALSE),
VLOOKUP("*"&amp;D125&amp;"*",商品マスタ!$D:$E,2,FALSE))),0)&lt;=0,1,
ROUND((H125-M125)
/IF(COUNTIF(D125,"*キャラ*"),
VLOOKUP("*キャラ*",商品マスタ!$D:$E,2,FALSE),
IF(COUNTIF(D125,"*赤*"),
VLOOKUP("*赤*",商品マスタ!$D:$E,2,FALSE),
VLOOKUP("*"&amp;D125&amp;"*",商品マスタ!$D:$E,2,FALSE))),0)),
IF(OR(COUNTIF(D125,"*キャラ*"),COUNTIF(D125,"*赤*")),"",
IF(VLOOKUP("*"&amp;D125&amp;"*",商品マスタ!$D:$E,2,FALSE)=0,"",
IF(ROUND((H125-M125)
/VLOOKUP("*"&amp;D125&amp;"*",商品マスタ!$D:$E,2,FALSE),0)&lt;=0,1,
ROUND((H125-M125)
/VLOOKUP("*"&amp;D125&amp;"*",商品マスタ!$D:$E,2,FALSE),0))))),"")</f>
        <v/>
      </c>
      <c r="G125" s="104" t="str">
        <f ca="1">IF(F125&lt;&gt;"",
IF(VALUE(H125-M125)&gt;VALUE(IF(COUNTIF(D125,"*キャラ*"),
VLOOKUP("*キャラ*",商品マスタ!$D:$E,2,FALSE),
IF(COUNTIF(D125,"*赤*"),
VLOOKUP("*赤*",商品マスタ!$D:$E,2,FALSE),
VLOOKUP("*"&amp;D125&amp;"*",商品マスタ!$D:$E,2,FALSE)))*F125),
"+"&amp;(H125-M125)-IF(COUNTIF(D125,"*キャラ*"),
VLOOKUP("*キャラ*",商品マスタ!$D:$E,2,FALSE),
IF(COUNTIF(D125,"*赤*"),
VLOOKUP("*赤*",商品マスタ!$D:$E,2,FALSE),
VLOOKUP("*"&amp;D125&amp;"*",商品マスタ!$D:$E,2,FALSE)))*F125,
(H125-M125)-IF(COUNTIF(D125,"*キャラ*"),
VLOOKUP("*キャラ*",商品マスタ!$D:$E,2,FALSE),
IF(COUNTIF(D125,"*赤*"),
VLOOKUP("*赤*",商品マスタ!$D:$E,2,FALSE),
VLOOKUP("*"&amp;D125&amp;"*",商品マスタ!$D:$E,2,FALSE)))*F125),"")</f>
        <v/>
      </c>
      <c r="H125" s="105" t="str">
        <f>IF(C125&lt;&gt;"",
クライアント抽出!C55,"")</f>
        <v/>
      </c>
      <c r="I125" s="104" t="str">
        <f t="array" aca="1" ref="I125" ca="1">IF(C125&lt;&gt;"",
IF(O125=1,
IF(SUMPRODUCT(COUNTIF(クライアント抽出!P55:U55,クライアント抽出!P55:U55))&gt;COUNTA(クライアント抽出!P55:U55),
IFERROR(INDIRECT("数出表_Excel!"&amp;INDEX(_xlfn.UNIQUE(_xlfn._xlws.FILTER(クライアント抽出!P55:U55,COUNTIF(クライアント抽出!P55:U55,クライアント抽出!P55:U55)&gt;1)),1)&amp;L55&amp;""),
クライアント抽出!E55),0),クライアント抽出!F55),"")</f>
        <v/>
      </c>
      <c r="J125" s="104" t="str">
        <f>IF(C125&lt;&gt;"",
VLOOKUP(
"*"&amp;LEFT(IF(COUNTIF(D125,"*学食*"),"キャラ弁（学食）",
IF(COUNTIF(D125,"*赤*"),"赤",
IF(COUNTIF(D125,"*キャラ弁当*"),"キャラ弁当",D125))),4)&amp;"*",注文弁当の抽出!$F$1:$G$15,2,FALSE),"")</f>
        <v/>
      </c>
      <c r="K125" s="104" t="str">
        <f ca="1">IF(クライアント抽出!Q55&lt;&gt;"",SUBSTITUTE(ADDRESS(1,(CODE(クライアント抽出!Q55)-64)*2-1,4),"1",""),"")</f>
        <v/>
      </c>
      <c r="L125" s="104" t="str">
        <f>IF(C55&lt;&gt;"",クライアント抽出!I55,"")</f>
        <v/>
      </c>
      <c r="M125" s="104">
        <f t="array" aca="1" ref="M125" ca="1">IF(C125&lt;&gt;"",
IF(K125&lt;&gt;"",INDIRECT("'数出表_Excel（アレルギー入力）'!"&amp;K125&amp;L125-1&amp;""),),)</f>
        <v>0</v>
      </c>
      <c r="N125" s="104" t="str">
        <f>IF(C125&lt;&gt;"",IF(OR(COUNTIF('盛付札（関数）'!D125,"*赤*"),COUNTIF('盛付札（関数）'!D125,"*キャラ*")),1,
VALUE(VLOOKUP("*"&amp;D125&amp;"*",商品マスタ!D:H,5,FALSE))),"")</f>
        <v/>
      </c>
      <c r="O125" s="104">
        <f t="shared" ca="1" si="59"/>
        <v>0</v>
      </c>
      <c r="P125" s="104">
        <f t="shared" si="33"/>
        <v>0</v>
      </c>
      <c r="Q125" s="104" t="b">
        <f t="shared" si="34"/>
        <v>0</v>
      </c>
      <c r="R125" s="176" t="str">
        <f t="array" aca="1" ref="R125" ca="1">IFERROR(SMALL(IF(P$1:P$311&lt;&gt;0,P$1:P$311),ROW(A125)),"")</f>
        <v/>
      </c>
      <c r="S125" s="176" t="str">
        <f t="array" aca="1" ref="S125" ca="1">IF($R125&lt;&gt;"",
SUBSTITUTE(SUBSTITUTE(INDIRECT("C"&amp;$R125&amp;"")," 週3ｺｰｽ","")," 週5ｺｰｽ",""),"")</f>
        <v/>
      </c>
      <c r="T125" s="176" t="str">
        <f t="array" aca="1" ref="T125" ca="1">IF(IF($R125&lt;&gt;"",
INDIRECT(""&amp;IF(COLUMN(D125)&lt;=26,CHAR(COLUMN(D125)+64),CHAR(INT((COLUMN(D125)-1)/26)+64)&amp;CHAR(MOD(COLUMN(D125)-1,26)+65))&amp;$R125&amp;""),"")=0,"",
IF($R125&lt;&gt;"",
INDIRECT(""&amp;IF(COLUMN(D125)&lt;=26,CHAR(COLUMN(D125)+64),CHAR(INT((COLUMN(D125)-1)/26)+64)&amp;CHAR(MOD(COLUMN(D125)-1,26)+65))&amp;$R125&amp;""),""))</f>
        <v/>
      </c>
      <c r="U125" s="218" t="str">
        <f t="array" aca="1" ref="U125" ca="1">IF($R125&lt;&gt;"",
INDIRECT("F"&amp;$R125&amp;""),"")</f>
        <v/>
      </c>
      <c r="V125" s="219" t="str">
        <f t="array" aca="1" ref="V125" ca="1">IF($R125&lt;&gt;"",
INDIRECT("G"&amp;$R125&amp;""),"")</f>
        <v/>
      </c>
      <c r="W125" s="219" t="str" cm="1">
        <f t="array" aca="1" ref="W125" ca="1">IF($R125&lt;&gt;"",
IF(AND(COUNTIF(INDIRECT("B"&amp;R125&amp;""),"*雙葉*"),COUNTIF($B$71:$B$210,"*雙葉*")&gt;=1),
IF(OR(COUNTIF(INDIRECT("B"&amp;R125&amp;""),"*雙葉先生*"),COUNTIF(INDIRECT("B"&amp;R125-1&amp;""),"*雙葉*")),INDIRECT("H"&amp;R125&amp;""),INDIRECT("H"&amp;R125&amp;"")+INDIRECT("H"&amp;MATCH("雙葉'",INDIRECT("B"&amp;R125+3&amp;":B210"),0)+2+R125&amp;"")),
IF(AND(LEFT(INDIRECT("B"&amp;R125&amp;""),2)="博多",COUNTIF(B:B,"*博多*")&gt;=2),
INDIRECT("H"&amp;R125&amp;"")+IFERROR(INDIRECT("H"&amp;MATCH("*"&amp;INDIRECT("B"&amp;R125&amp;"")&amp;"*",INDIRECT("B"&amp;R125+1&amp;":B210"),0)+R125&amp;""),0),
IF(AND(LEFT(INDIRECT("B"&amp;R125&amp;""),3)="奈良屋",COUNTIF(B:B,"*奈良屋*")&gt;=2),
INDIRECT("H"&amp;R125&amp;"")
+INDIRECT("H"&amp;MATCH("*"&amp;INDIRECT("B"&amp;R125&amp;"")&amp;"*",INDIRECT("B"&amp;R125+1&amp;":B210"),0)+R125&amp;"")
+INDIRECT("H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
+INDIRECT("H"&amp;MATCH("*"&amp;INDIRECT("B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&amp;"*",INDIRECT("B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+1&amp;":B210"),0)+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,
INDIRECT("H"&amp;R125&amp;"")))),"")</f>
        <v/>
      </c>
      <c r="X125" s="176" t="str">
        <f t="array" aca="1" ref="X125" ca="1">IF($R125&lt;&gt;"",
INDIRECT(""&amp;IF(COLUMN(I125)&lt;=26,CHAR(COLUMN(I125)+64),CHAR(INT((COLUMN(I125)-1)/26)+64)&amp;CHAR(MOD(COLUMN(I125)-1,26)+65))&amp;$R125&amp;""),"")</f>
        <v/>
      </c>
      <c r="Y125" s="176" t="str">
        <f t="array" aca="1" ref="Y125" ca="1">IF($R125&lt;&gt;"",
INDIRECT(""&amp;IF(COLUMN(J125)&lt;=26,CHAR(COLUMN(J125)+64),CHAR(INT((COLUMN(J125)-1)/26)+64)&amp;CHAR(MOD(COLUMN(J125)-1,26)+65))&amp;$R125&amp;""),"")</f>
        <v/>
      </c>
      <c r="Z125" s="176" t="str">
        <f t="shared" ca="1" si="35"/>
        <v/>
      </c>
      <c r="AA125" s="176" t="str">
        <f t="shared" ca="1" si="36"/>
        <v/>
      </c>
      <c r="AB125" s="176" t="str">
        <f t="array" aca="1" ref="AB125" ca="1">IF($R125&lt;&gt;"",
IF(AND(COUNTIF(INDIRECT("B"&amp;R125&amp;""),"*雙葉*"),COUNTIF(INDIRECT("B"&amp;R125&amp;""),"&lt;&gt;*先生*"),COUNTIF(B:B,"*雙葉*")&gt;=2),
INDIRECT("M"&amp;R125&amp;"")+INDIRECT("M"&amp;MATCH("雙葉'",INDIRECT("B"&amp;R125+1&amp;":B210"),0)+R125&amp;""),
IF(AND(LEFT(INDIRECT("B"&amp;R125&amp;""),2)="博多",COUNTIF(B:B,"*博多*")&gt;=2),
INDIRECT("M"&amp;R125&amp;"")+INDIRECT("M"&amp;MATCH("*"&amp;INDIRECT("B"&amp;R125&amp;"")&amp;"*",INDIRECT("B"&amp;R125+1&amp;":B210"),0)+R125&amp;""),
IF(AND(LEFT(INDIRECT("B"&amp;R125&amp;""),3)="奈良屋",COUNTIF(B:B,"*奈良屋*")&gt;=2),
INDIRECT("M"&amp;R125&amp;"")+INDIRECT("M"&amp;MATCH("*"&amp;INDIRECT("B"&amp;R125&amp;"")&amp;"*",INDIRECT("B"&amp;R125+1&amp;":B210"),0)+R125&amp;"")
+INDIRECT("M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,
INDIRECT("M"&amp;R125&amp;"")))),"")</f>
        <v/>
      </c>
      <c r="AC125" s="176" t="str">
        <f t="shared" ca="1" si="37"/>
        <v/>
      </c>
      <c r="AD125" s="176" t="str">
        <f t="shared" ca="1" si="38"/>
        <v/>
      </c>
      <c r="AE125" s="176" t="str">
        <f t="shared" ca="1" si="39"/>
        <v/>
      </c>
      <c r="AF125" s="176" t="str">
        <f t="shared" ca="1" si="40"/>
        <v/>
      </c>
      <c r="AG125" s="176" t="str">
        <f t="shared" ca="1" si="41"/>
        <v/>
      </c>
      <c r="AH125" s="183" t="str">
        <f t="shared" ca="1" si="42"/>
        <v/>
      </c>
      <c r="AI125" s="176" t="str">
        <f t="shared" ca="1" si="43"/>
        <v/>
      </c>
      <c r="AJ125" s="176" t="str">
        <f t="shared" ca="1" si="44"/>
        <v/>
      </c>
      <c r="AK125" s="176" t="str">
        <f t="shared" ca="1" si="45"/>
        <v/>
      </c>
      <c r="AL125" s="176" t="str">
        <f t="shared" ca="1" si="46"/>
        <v/>
      </c>
      <c r="AM125" s="176" t="str">
        <f t="shared" ca="1" si="47"/>
        <v/>
      </c>
      <c r="AN125" s="176" t="str">
        <f t="shared" ca="1" si="48"/>
        <v/>
      </c>
      <c r="AO125" s="176" t="str">
        <f t="shared" ca="1" si="49"/>
        <v/>
      </c>
      <c r="AP125" s="176" t="str">
        <f t="shared" ca="1" si="50"/>
        <v/>
      </c>
      <c r="AU125" s="176" t="str">
        <f t="shared" ca="1" si="51"/>
        <v/>
      </c>
    </row>
    <row r="126" spans="1:47" ht="22.2" customHeight="1">
      <c r="A126" s="103">
        <f t="shared" si="60"/>
        <v>117</v>
      </c>
      <c r="B126" s="104" t="str">
        <f t="shared" ca="1" si="58"/>
        <v/>
      </c>
      <c r="C126" s="104" t="str">
        <f>IF(OR(クライアント抽出!C56&lt;&gt;"",クライアント抽出!F56&lt;&gt;""),クライアント抽出!A56,"")</f>
        <v/>
      </c>
      <c r="D126" s="104" t="str">
        <f t="array" aca="1" ref="D126" ca="1">IF(C126&lt;&gt;"",INDIRECT("クライアント抽出!"&amp;E126&amp;MATCH(C126,クライアント抽出!A:A,0)&amp;""),"")</f>
        <v/>
      </c>
      <c r="E126" s="104" t="str">
        <f>IF(H126&lt;&gt;0,
IFERROR(
SUBSTITUTE(ADDRESS(1,
MATCH(VALUE(H126),クライアント抽出!A56:G56,0)+8,4),"1",""),
""),
IFERROR(
SUBSTITUTE(ADDRESS(1,
MATCH(VALUE(I126),クライアント抽出!A56:G56,0)+8,4),"1",""),
""))</f>
        <v/>
      </c>
      <c r="F126" s="186" t="str">
        <f ca="1">IF(D126&lt;&gt;"",
IF(COUNTIF(C126,"*雙葉*"),
IF(ROUND((H126-M126)
/IF(COUNTIF(D126,"*キャラ*"),
VLOOKUP("*キャラ*",商品マスタ!$D:$E,2,FALSE),
IF(COUNTIF(D126,"*赤*"),
VLOOKUP("*赤*",商品マスタ!$D:$E,2,FALSE),
VLOOKUP("*"&amp;D126&amp;"*",商品マスタ!$D:$E,2,FALSE))),0)&lt;=0,1,
ROUND((H126-M126)
/IF(COUNTIF(D126,"*キャラ*"),
VLOOKUP("*キャラ*",商品マスタ!$D:$E,2,FALSE),
IF(COUNTIF(D126,"*赤*"),
VLOOKUP("*赤*",商品マスタ!$D:$E,2,FALSE),
VLOOKUP("*"&amp;D126&amp;"*",商品マスタ!$D:$E,2,FALSE))),0)),
IF(OR(COUNTIF(D126,"*キャラ*"),COUNTIF(D126,"*赤*")),"",
IF(VLOOKUP("*"&amp;D126&amp;"*",商品マスタ!$D:$E,2,FALSE)=0,"",
IF(ROUND((H126-M126)
/VLOOKUP("*"&amp;D126&amp;"*",商品マスタ!$D:$E,2,FALSE),0)&lt;=0,1,
ROUND((H126-M126)
/VLOOKUP("*"&amp;D126&amp;"*",商品マスタ!$D:$E,2,FALSE),0))))),"")</f>
        <v/>
      </c>
      <c r="G126" s="104" t="str">
        <f ca="1">IF(F126&lt;&gt;"",
IF(VALUE(H126-M126)&gt;VALUE(IF(COUNTIF(D126,"*キャラ*"),
VLOOKUP("*キャラ*",商品マスタ!$D:$E,2,FALSE),
IF(COUNTIF(D126,"*赤*"),
VLOOKUP("*赤*",商品マスタ!$D:$E,2,FALSE),
VLOOKUP("*"&amp;D126&amp;"*",商品マスタ!$D:$E,2,FALSE)))*F126),
"+"&amp;(H126-M126)-IF(COUNTIF(D126,"*キャラ*"),
VLOOKUP("*キャラ*",商品マスタ!$D:$E,2,FALSE),
IF(COUNTIF(D126,"*赤*"),
VLOOKUP("*赤*",商品マスタ!$D:$E,2,FALSE),
VLOOKUP("*"&amp;D126&amp;"*",商品マスタ!$D:$E,2,FALSE)))*F126,
(H126-M126)-IF(COUNTIF(D126,"*キャラ*"),
VLOOKUP("*キャラ*",商品マスタ!$D:$E,2,FALSE),
IF(COUNTIF(D126,"*赤*"),
VLOOKUP("*赤*",商品マスタ!$D:$E,2,FALSE),
VLOOKUP("*"&amp;D126&amp;"*",商品マスタ!$D:$E,2,FALSE)))*F126),"")</f>
        <v/>
      </c>
      <c r="H126" s="105" t="str">
        <f>IF(C126&lt;&gt;"",
クライアント抽出!C56,"")</f>
        <v/>
      </c>
      <c r="I126" s="104" t="str">
        <f t="array" aca="1" ref="I126" ca="1">IF(C126&lt;&gt;"",
IF(O126=1,
IF(SUMPRODUCT(COUNTIF(クライアント抽出!P56:U56,クライアント抽出!P56:U56))&gt;COUNTA(クライアント抽出!P56:U56),
IFERROR(INDIRECT("数出表_Excel!"&amp;INDEX(_xlfn.UNIQUE(_xlfn._xlws.FILTER(クライアント抽出!P56:U56,COUNTIF(クライアント抽出!P56:U56,クライアント抽出!P56:U56)&gt;1)),1)&amp;L56&amp;""),
クライアント抽出!E56),0),クライアント抽出!F56),"")</f>
        <v/>
      </c>
      <c r="J126" s="104" t="str">
        <f>IF(C126&lt;&gt;"",
VLOOKUP(
"*"&amp;LEFT(IF(COUNTIF(D126,"*学食*"),"キャラ弁（学食）",
IF(COUNTIF(D126,"*赤*"),"赤",
IF(COUNTIF(D126,"*キャラ弁当*"),"キャラ弁当",D126))),4)&amp;"*",注文弁当の抽出!$F$1:$G$15,2,FALSE),"")</f>
        <v/>
      </c>
      <c r="K126" s="104" t="str">
        <f ca="1">IF(クライアント抽出!Q56&lt;&gt;"",SUBSTITUTE(ADDRESS(1,(CODE(クライアント抽出!Q56)-64)*2-1,4),"1",""),"")</f>
        <v/>
      </c>
      <c r="L126" s="104" t="str">
        <f>IF(C56&lt;&gt;"",クライアント抽出!I56,"")</f>
        <v/>
      </c>
      <c r="M126" s="104">
        <f t="array" aca="1" ref="M126" ca="1">IF(C126&lt;&gt;"",
IF(K126&lt;&gt;"",INDIRECT("'数出表_Excel（アレルギー入力）'!"&amp;K126&amp;L126-1&amp;""),),)</f>
        <v>0</v>
      </c>
      <c r="N126" s="104" t="str">
        <f>IF(C126&lt;&gt;"",IF(OR(COUNTIF('盛付札（関数）'!D126,"*赤*"),COUNTIF('盛付札（関数）'!D126,"*キャラ*")),1,
VALUE(VLOOKUP("*"&amp;D126&amp;"*",商品マスタ!D:H,5,FALSE))),"")</f>
        <v/>
      </c>
      <c r="O126" s="104">
        <f t="shared" ca="1" si="59"/>
        <v>0</v>
      </c>
      <c r="P126" s="104">
        <f t="shared" si="33"/>
        <v>0</v>
      </c>
      <c r="Q126" s="104" t="b">
        <f t="shared" si="34"/>
        <v>0</v>
      </c>
      <c r="R126" s="176" t="str">
        <f t="array" aca="1" ref="R126" ca="1">IFERROR(SMALL(IF(P$1:P$311&lt;&gt;0,P$1:P$311),ROW(A126)),"")</f>
        <v/>
      </c>
      <c r="S126" s="176" t="str">
        <f t="array" aca="1" ref="S126" ca="1">IF($R126&lt;&gt;"",
SUBSTITUTE(SUBSTITUTE(INDIRECT("C"&amp;$R126&amp;"")," 週3ｺｰｽ","")," 週5ｺｰｽ",""),"")</f>
        <v/>
      </c>
      <c r="T126" s="176" t="str">
        <f t="array" aca="1" ref="T126" ca="1">IF(IF($R126&lt;&gt;"",
INDIRECT(""&amp;IF(COLUMN(D126)&lt;=26,CHAR(COLUMN(D126)+64),CHAR(INT((COLUMN(D126)-1)/26)+64)&amp;CHAR(MOD(COLUMN(D126)-1,26)+65))&amp;$R126&amp;""),"")=0,"",
IF($R126&lt;&gt;"",
INDIRECT(""&amp;IF(COLUMN(D126)&lt;=26,CHAR(COLUMN(D126)+64),CHAR(INT((COLUMN(D126)-1)/26)+64)&amp;CHAR(MOD(COLUMN(D126)-1,26)+65))&amp;$R126&amp;""),""))</f>
        <v/>
      </c>
      <c r="U126" s="218" t="str">
        <f t="array" aca="1" ref="U126" ca="1">IF($R126&lt;&gt;"",
INDIRECT("F"&amp;$R126&amp;""),"")</f>
        <v/>
      </c>
      <c r="V126" s="219" t="str">
        <f t="array" aca="1" ref="V126" ca="1">IF($R126&lt;&gt;"",
INDIRECT("G"&amp;$R126&amp;""),"")</f>
        <v/>
      </c>
      <c r="W126" s="219" t="str" cm="1">
        <f t="array" aca="1" ref="W126" ca="1">IF($R126&lt;&gt;"",
IF(AND(COUNTIF(INDIRECT("B"&amp;R126&amp;""),"*雙葉*"),COUNTIF($B$71:$B$210,"*雙葉*")&gt;=1),
IF(OR(COUNTIF(INDIRECT("B"&amp;R126&amp;""),"*雙葉先生*"),COUNTIF(INDIRECT("B"&amp;R126-1&amp;""),"*雙葉*")),INDIRECT("H"&amp;R126&amp;""),INDIRECT("H"&amp;R126&amp;"")+INDIRECT("H"&amp;MATCH("雙葉'",INDIRECT("B"&amp;R126+3&amp;":B210"),0)+2+R126&amp;"")),
IF(AND(LEFT(INDIRECT("B"&amp;R126&amp;""),2)="博多",COUNTIF(B:B,"*博多*")&gt;=2),
INDIRECT("H"&amp;R126&amp;"")+IFERROR(INDIRECT("H"&amp;MATCH("*"&amp;INDIRECT("B"&amp;R126&amp;"")&amp;"*",INDIRECT("B"&amp;R126+1&amp;":B210"),0)+R126&amp;""),0),
IF(AND(LEFT(INDIRECT("B"&amp;R126&amp;""),3)="奈良屋",COUNTIF(B:B,"*奈良屋*")&gt;=2),
INDIRECT("H"&amp;R126&amp;"")
+INDIRECT("H"&amp;MATCH("*"&amp;INDIRECT("B"&amp;R126&amp;"")&amp;"*",INDIRECT("B"&amp;R126+1&amp;":B210"),0)+R126&amp;"")
+INDIRECT("H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
+INDIRECT("H"&amp;MATCH("*"&amp;INDIRECT("B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&amp;"*",INDIRECT("B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+1&amp;":B210"),0)+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,
INDIRECT("H"&amp;R126&amp;"")))),"")</f>
        <v/>
      </c>
      <c r="X126" s="176" t="str">
        <f t="array" aca="1" ref="X126" ca="1">IF($R126&lt;&gt;"",
INDIRECT(""&amp;IF(COLUMN(I126)&lt;=26,CHAR(COLUMN(I126)+64),CHAR(INT((COLUMN(I126)-1)/26)+64)&amp;CHAR(MOD(COLUMN(I126)-1,26)+65))&amp;$R126&amp;""),"")</f>
        <v/>
      </c>
      <c r="Y126" s="176" t="str">
        <f t="array" aca="1" ref="Y126" ca="1">IF($R126&lt;&gt;"",
INDIRECT(""&amp;IF(COLUMN(J126)&lt;=26,CHAR(COLUMN(J126)+64),CHAR(INT((COLUMN(J126)-1)/26)+64)&amp;CHAR(MOD(COLUMN(J126)-1,26)+65))&amp;$R126&amp;""),"")</f>
        <v/>
      </c>
      <c r="Z126" s="176" t="str">
        <f t="shared" ca="1" si="35"/>
        <v/>
      </c>
      <c r="AA126" s="176" t="str">
        <f t="shared" ca="1" si="36"/>
        <v/>
      </c>
      <c r="AB126" s="176" t="str">
        <f t="array" aca="1" ref="AB126" ca="1">IF($R126&lt;&gt;"",
IF(AND(COUNTIF(INDIRECT("B"&amp;R126&amp;""),"*雙葉*"),COUNTIF(INDIRECT("B"&amp;R126&amp;""),"&lt;&gt;*先生*"),COUNTIF(B:B,"*雙葉*")&gt;=2),
INDIRECT("M"&amp;R126&amp;"")+INDIRECT("M"&amp;MATCH("雙葉'",INDIRECT("B"&amp;R126+1&amp;":B210"),0)+R126&amp;""),
IF(AND(LEFT(INDIRECT("B"&amp;R126&amp;""),2)="博多",COUNTIF(B:B,"*博多*")&gt;=2),
INDIRECT("M"&amp;R126&amp;"")+INDIRECT("M"&amp;MATCH("*"&amp;INDIRECT("B"&amp;R126&amp;"")&amp;"*",INDIRECT("B"&amp;R126+1&amp;":B210"),0)+R126&amp;""),
IF(AND(LEFT(INDIRECT("B"&amp;R126&amp;""),3)="奈良屋",COUNTIF(B:B,"*奈良屋*")&gt;=2),
INDIRECT("M"&amp;R126&amp;"")+INDIRECT("M"&amp;MATCH("*"&amp;INDIRECT("B"&amp;R126&amp;"")&amp;"*",INDIRECT("B"&amp;R126+1&amp;":B210"),0)+R126&amp;"")
+INDIRECT("M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,
INDIRECT("M"&amp;R126&amp;"")))),"")</f>
        <v/>
      </c>
      <c r="AC126" s="176" t="str">
        <f t="shared" ca="1" si="37"/>
        <v/>
      </c>
      <c r="AD126" s="176" t="str">
        <f t="shared" ca="1" si="38"/>
        <v/>
      </c>
      <c r="AE126" s="176" t="str">
        <f t="shared" ca="1" si="39"/>
        <v/>
      </c>
      <c r="AF126" s="176" t="str">
        <f t="shared" ca="1" si="40"/>
        <v/>
      </c>
      <c r="AG126" s="176" t="str">
        <f t="shared" ca="1" si="41"/>
        <v/>
      </c>
      <c r="AH126" s="183" t="str">
        <f t="shared" ca="1" si="42"/>
        <v/>
      </c>
      <c r="AI126" s="176" t="str">
        <f t="shared" ca="1" si="43"/>
        <v/>
      </c>
      <c r="AJ126" s="176" t="str">
        <f t="shared" ca="1" si="44"/>
        <v/>
      </c>
      <c r="AK126" s="176" t="str">
        <f t="shared" ca="1" si="45"/>
        <v/>
      </c>
      <c r="AL126" s="176" t="str">
        <f t="shared" ca="1" si="46"/>
        <v/>
      </c>
      <c r="AM126" s="176" t="str">
        <f t="shared" ca="1" si="47"/>
        <v/>
      </c>
      <c r="AN126" s="176" t="str">
        <f t="shared" ca="1" si="48"/>
        <v/>
      </c>
      <c r="AO126" s="176" t="str">
        <f t="shared" ca="1" si="49"/>
        <v/>
      </c>
      <c r="AP126" s="176" t="str">
        <f t="shared" ca="1" si="50"/>
        <v/>
      </c>
      <c r="AU126" s="176" t="str">
        <f t="shared" ca="1" si="51"/>
        <v/>
      </c>
    </row>
    <row r="127" spans="1:47" ht="22.2" customHeight="1">
      <c r="A127" s="103">
        <f t="shared" si="60"/>
        <v>119</v>
      </c>
      <c r="B127" s="104" t="str">
        <f t="shared" ca="1" si="58"/>
        <v/>
      </c>
      <c r="C127" s="104" t="str">
        <f>IF(OR(クライアント抽出!C57&lt;&gt;"",クライアント抽出!F57&lt;&gt;""),クライアント抽出!A57,"")</f>
        <v/>
      </c>
      <c r="D127" s="104" t="str">
        <f t="array" aca="1" ref="D127" ca="1">IF(C127&lt;&gt;"",INDIRECT("クライアント抽出!"&amp;E127&amp;MATCH(C127,クライアント抽出!A:A,0)&amp;""),"")</f>
        <v/>
      </c>
      <c r="E127" s="104" t="str">
        <f>IF(H127&lt;&gt;0,
IFERROR(
SUBSTITUTE(ADDRESS(1,
MATCH(VALUE(H127),クライアント抽出!A57:G57,0)+8,4),"1",""),
""),
IFERROR(
SUBSTITUTE(ADDRESS(1,
MATCH(VALUE(I127),クライアント抽出!A57:G57,0)+8,4),"1",""),
""))</f>
        <v/>
      </c>
      <c r="F127" s="186" t="str">
        <f ca="1">IF(D127&lt;&gt;"",
IF(COUNTIF(C127,"*雙葉*"),
IF(ROUND((H127-M127)
/IF(COUNTIF(D127,"*キャラ*"),
VLOOKUP("*キャラ*",商品マスタ!$D:$E,2,FALSE),
IF(COUNTIF(D127,"*赤*"),
VLOOKUP("*赤*",商品マスタ!$D:$E,2,FALSE),
VLOOKUP("*"&amp;D127&amp;"*",商品マスタ!$D:$E,2,FALSE))),0)&lt;=0,1,
ROUND((H127-M127)
/IF(COUNTIF(D127,"*キャラ*"),
VLOOKUP("*キャラ*",商品マスタ!$D:$E,2,FALSE),
IF(COUNTIF(D127,"*赤*"),
VLOOKUP("*赤*",商品マスタ!$D:$E,2,FALSE),
VLOOKUP("*"&amp;D127&amp;"*",商品マスタ!$D:$E,2,FALSE))),0)),
IF(OR(COUNTIF(D127,"*キャラ*"),COUNTIF(D127,"*赤*")),"",
IF(VLOOKUP("*"&amp;D127&amp;"*",商品マスタ!$D:$E,2,FALSE)=0,"",
IF(ROUND((H127-M127)
/VLOOKUP("*"&amp;D127&amp;"*",商品マスタ!$D:$E,2,FALSE),0)&lt;=0,1,
ROUND((H127-M127)
/VLOOKUP("*"&amp;D127&amp;"*",商品マスタ!$D:$E,2,FALSE),0))))),"")</f>
        <v/>
      </c>
      <c r="G127" s="104" t="str">
        <f ca="1">IF(F127&lt;&gt;"",
IF(VALUE(H127-M127)&gt;VALUE(IF(COUNTIF(D127,"*キャラ*"),
VLOOKUP("*キャラ*",商品マスタ!$D:$E,2,FALSE),
IF(COUNTIF(D127,"*赤*"),
VLOOKUP("*赤*",商品マスタ!$D:$E,2,FALSE),
VLOOKUP("*"&amp;D127&amp;"*",商品マスタ!$D:$E,2,FALSE)))*F127),
"+"&amp;(H127-M127)-IF(COUNTIF(D127,"*キャラ*"),
VLOOKUP("*キャラ*",商品マスタ!$D:$E,2,FALSE),
IF(COUNTIF(D127,"*赤*"),
VLOOKUP("*赤*",商品マスタ!$D:$E,2,FALSE),
VLOOKUP("*"&amp;D127&amp;"*",商品マスタ!$D:$E,2,FALSE)))*F127,
(H127-M127)-IF(COUNTIF(D127,"*キャラ*"),
VLOOKUP("*キャラ*",商品マスタ!$D:$E,2,FALSE),
IF(COUNTIF(D127,"*赤*"),
VLOOKUP("*赤*",商品マスタ!$D:$E,2,FALSE),
VLOOKUP("*"&amp;D127&amp;"*",商品マスタ!$D:$E,2,FALSE)))*F127),"")</f>
        <v/>
      </c>
      <c r="H127" s="105" t="str">
        <f>IF(C127&lt;&gt;"",
クライアント抽出!C57,"")</f>
        <v/>
      </c>
      <c r="I127" s="104" t="str">
        <f t="array" aca="1" ref="I127" ca="1">IF(C127&lt;&gt;"",
IF(O127=1,
IF(SUMPRODUCT(COUNTIF(クライアント抽出!P57:U57,クライアント抽出!P57:U57))&gt;COUNTA(クライアント抽出!P57:U57),
IFERROR(INDIRECT("数出表_Excel!"&amp;INDEX(_xlfn.UNIQUE(_xlfn._xlws.FILTER(クライアント抽出!P57:U57,COUNTIF(クライアント抽出!P57:U57,クライアント抽出!P57:U57)&gt;1)),1)&amp;L57&amp;""),
クライアント抽出!E57),0),クライアント抽出!F57),"")</f>
        <v/>
      </c>
      <c r="J127" s="104" t="str">
        <f>IF(C127&lt;&gt;"",
VLOOKUP(
"*"&amp;LEFT(IF(COUNTIF(D127,"*学食*"),"キャラ弁（学食）",
IF(COUNTIF(D127,"*赤*"),"赤",
IF(COUNTIF(D127,"*キャラ弁当*"),"キャラ弁当",D127))),4)&amp;"*",注文弁当の抽出!$F$1:$G$15,2,FALSE),"")</f>
        <v/>
      </c>
      <c r="K127" s="104" t="str">
        <f ca="1">IF(クライアント抽出!Q57&lt;&gt;"",SUBSTITUTE(ADDRESS(1,(CODE(クライアント抽出!Q57)-64)*2-1,4),"1",""),"")</f>
        <v/>
      </c>
      <c r="L127" s="104" t="str">
        <f>IF(C57&lt;&gt;"",クライアント抽出!I57,"")</f>
        <v/>
      </c>
      <c r="M127" s="104">
        <f t="array" aca="1" ref="M127" ca="1">IF(C127&lt;&gt;"",
IF(K127&lt;&gt;"",INDIRECT("'数出表_Excel（アレルギー入力）'!"&amp;K127&amp;L127-1&amp;""),),)</f>
        <v>0</v>
      </c>
      <c r="N127" s="104" t="str">
        <f>IF(C127&lt;&gt;"",IF(OR(COUNTIF('盛付札（関数）'!D127,"*赤*"),COUNTIF('盛付札（関数）'!D127,"*キャラ*")),1,
VALUE(VLOOKUP("*"&amp;D127&amp;"*",商品マスタ!D:H,5,FALSE))),"")</f>
        <v/>
      </c>
      <c r="O127" s="104">
        <f t="shared" ca="1" si="59"/>
        <v>0</v>
      </c>
      <c r="P127" s="104">
        <f t="shared" si="33"/>
        <v>0</v>
      </c>
      <c r="Q127" s="104" t="b">
        <f t="shared" si="34"/>
        <v>0</v>
      </c>
      <c r="R127" s="176" t="str">
        <f t="array" aca="1" ref="R127" ca="1">IFERROR(SMALL(IF(P$1:P$311&lt;&gt;0,P$1:P$311),ROW(A127)),"")</f>
        <v/>
      </c>
      <c r="S127" s="176" t="str">
        <f t="array" aca="1" ref="S127" ca="1">IF($R127&lt;&gt;"",
SUBSTITUTE(SUBSTITUTE(INDIRECT("C"&amp;$R127&amp;"")," 週3ｺｰｽ","")," 週5ｺｰｽ",""),"")</f>
        <v/>
      </c>
      <c r="T127" s="176" t="str">
        <f t="array" aca="1" ref="T127" ca="1">IF(IF($R127&lt;&gt;"",
INDIRECT(""&amp;IF(COLUMN(D127)&lt;=26,CHAR(COLUMN(D127)+64),CHAR(INT((COLUMN(D127)-1)/26)+64)&amp;CHAR(MOD(COLUMN(D127)-1,26)+65))&amp;$R127&amp;""),"")=0,"",
IF($R127&lt;&gt;"",
INDIRECT(""&amp;IF(COLUMN(D127)&lt;=26,CHAR(COLUMN(D127)+64),CHAR(INT((COLUMN(D127)-1)/26)+64)&amp;CHAR(MOD(COLUMN(D127)-1,26)+65))&amp;$R127&amp;""),""))</f>
        <v/>
      </c>
      <c r="U127" s="218" t="str">
        <f t="array" aca="1" ref="U127" ca="1">IF($R127&lt;&gt;"",
INDIRECT("F"&amp;$R127&amp;""),"")</f>
        <v/>
      </c>
      <c r="V127" s="219" t="str">
        <f t="array" aca="1" ref="V127" ca="1">IF($R127&lt;&gt;"",
INDIRECT("G"&amp;$R127&amp;""),"")</f>
        <v/>
      </c>
      <c r="W127" s="219" t="str" cm="1">
        <f t="array" aca="1" ref="W127" ca="1">IF($R127&lt;&gt;"",
IF(AND(COUNTIF(INDIRECT("B"&amp;R127&amp;""),"*雙葉*"),COUNTIF($B$71:$B$210,"*雙葉*")&gt;=1),
IF(OR(COUNTIF(INDIRECT("B"&amp;R127&amp;""),"*雙葉先生*"),COUNTIF(INDIRECT("B"&amp;R127-1&amp;""),"*雙葉*")),INDIRECT("H"&amp;R127&amp;""),INDIRECT("H"&amp;R127&amp;"")+INDIRECT("H"&amp;MATCH("雙葉'",INDIRECT("B"&amp;R127+3&amp;":B210"),0)+2+R127&amp;"")),
IF(AND(LEFT(INDIRECT("B"&amp;R127&amp;""),2)="博多",COUNTIF(B:B,"*博多*")&gt;=2),
INDIRECT("H"&amp;R127&amp;"")+IFERROR(INDIRECT("H"&amp;MATCH("*"&amp;INDIRECT("B"&amp;R127&amp;"")&amp;"*",INDIRECT("B"&amp;R127+1&amp;":B210"),0)+R127&amp;""),0),
IF(AND(LEFT(INDIRECT("B"&amp;R127&amp;""),3)="奈良屋",COUNTIF(B:B,"*奈良屋*")&gt;=2),
INDIRECT("H"&amp;R127&amp;"")
+INDIRECT("H"&amp;MATCH("*"&amp;INDIRECT("B"&amp;R127&amp;"")&amp;"*",INDIRECT("B"&amp;R127+1&amp;":B210"),0)+R127&amp;"")
+INDIRECT("H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
+INDIRECT("H"&amp;MATCH("*"&amp;INDIRECT("B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&amp;"*",INDIRECT("B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+1&amp;":B210"),0)+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,
INDIRECT("H"&amp;R127&amp;"")))),"")</f>
        <v/>
      </c>
      <c r="X127" s="176" t="str">
        <f t="array" aca="1" ref="X127" ca="1">IF($R127&lt;&gt;"",
INDIRECT(""&amp;IF(COLUMN(I127)&lt;=26,CHAR(COLUMN(I127)+64),CHAR(INT((COLUMN(I127)-1)/26)+64)&amp;CHAR(MOD(COLUMN(I127)-1,26)+65))&amp;$R127&amp;""),"")</f>
        <v/>
      </c>
      <c r="Y127" s="176" t="str">
        <f t="array" aca="1" ref="Y127" ca="1">IF($R127&lt;&gt;"",
INDIRECT(""&amp;IF(COLUMN(J127)&lt;=26,CHAR(COLUMN(J127)+64),CHAR(INT((COLUMN(J127)-1)/26)+64)&amp;CHAR(MOD(COLUMN(J127)-1,26)+65))&amp;$R127&amp;""),"")</f>
        <v/>
      </c>
      <c r="Z127" s="176" t="str">
        <f t="shared" ca="1" si="35"/>
        <v/>
      </c>
      <c r="AA127" s="176" t="str">
        <f t="shared" ca="1" si="36"/>
        <v/>
      </c>
      <c r="AB127" s="176" t="str">
        <f t="array" aca="1" ref="AB127" ca="1">IF($R127&lt;&gt;"",
IF(AND(COUNTIF(INDIRECT("B"&amp;R127&amp;""),"*雙葉*"),COUNTIF(INDIRECT("B"&amp;R127&amp;""),"&lt;&gt;*先生*"),COUNTIF(B:B,"*雙葉*")&gt;=2),
INDIRECT("M"&amp;R127&amp;"")+INDIRECT("M"&amp;MATCH("雙葉'",INDIRECT("B"&amp;R127+1&amp;":B210"),0)+R127&amp;""),
IF(AND(LEFT(INDIRECT("B"&amp;R127&amp;""),2)="博多",COUNTIF(B:B,"*博多*")&gt;=2),
INDIRECT("M"&amp;R127&amp;"")+INDIRECT("M"&amp;MATCH("*"&amp;INDIRECT("B"&amp;R127&amp;"")&amp;"*",INDIRECT("B"&amp;R127+1&amp;":B210"),0)+R127&amp;""),
IF(AND(LEFT(INDIRECT("B"&amp;R127&amp;""),3)="奈良屋",COUNTIF(B:B,"*奈良屋*")&gt;=2),
INDIRECT("M"&amp;R127&amp;"")+INDIRECT("M"&amp;MATCH("*"&amp;INDIRECT("B"&amp;R127&amp;"")&amp;"*",INDIRECT("B"&amp;R127+1&amp;":B210"),0)+R127&amp;"")
+INDIRECT("M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,
INDIRECT("M"&amp;R127&amp;"")))),"")</f>
        <v/>
      </c>
      <c r="AC127" s="176" t="str">
        <f t="shared" ca="1" si="37"/>
        <v/>
      </c>
      <c r="AD127" s="176" t="str">
        <f t="shared" ca="1" si="38"/>
        <v/>
      </c>
      <c r="AE127" s="176" t="str">
        <f t="shared" ca="1" si="39"/>
        <v/>
      </c>
      <c r="AF127" s="176" t="str">
        <f t="shared" ca="1" si="40"/>
        <v/>
      </c>
      <c r="AG127" s="176" t="str">
        <f t="shared" ca="1" si="41"/>
        <v/>
      </c>
      <c r="AH127" s="183" t="str">
        <f t="shared" ca="1" si="42"/>
        <v/>
      </c>
      <c r="AI127" s="176" t="str">
        <f t="shared" ca="1" si="43"/>
        <v/>
      </c>
      <c r="AJ127" s="176" t="str">
        <f t="shared" ca="1" si="44"/>
        <v/>
      </c>
      <c r="AK127" s="176" t="str">
        <f t="shared" ca="1" si="45"/>
        <v/>
      </c>
      <c r="AL127" s="176" t="str">
        <f t="shared" ca="1" si="46"/>
        <v/>
      </c>
      <c r="AM127" s="176" t="str">
        <f t="shared" ca="1" si="47"/>
        <v/>
      </c>
      <c r="AN127" s="176" t="str">
        <f t="shared" ca="1" si="48"/>
        <v/>
      </c>
      <c r="AO127" s="176" t="str">
        <f t="shared" ca="1" si="49"/>
        <v/>
      </c>
      <c r="AP127" s="176" t="str">
        <f t="shared" ca="1" si="50"/>
        <v/>
      </c>
      <c r="AU127" s="176" t="str">
        <f t="shared" ca="1" si="51"/>
        <v/>
      </c>
    </row>
    <row r="128" spans="1:47" ht="22.2" customHeight="1">
      <c r="A128" s="103">
        <f t="shared" si="60"/>
        <v>121</v>
      </c>
      <c r="B128" s="104" t="str">
        <f t="shared" ca="1" si="58"/>
        <v/>
      </c>
      <c r="C128" s="104" t="str">
        <f>IF(OR(クライアント抽出!C58&lt;&gt;"",クライアント抽出!F58&lt;&gt;""),クライアント抽出!A58,"")</f>
        <v/>
      </c>
      <c r="D128" s="104" t="str">
        <f t="array" aca="1" ref="D128" ca="1">IF(C128&lt;&gt;"",INDIRECT("クライアント抽出!"&amp;E128&amp;MATCH(C128,クライアント抽出!A:A,0)&amp;""),"")</f>
        <v/>
      </c>
      <c r="E128" s="104" t="str">
        <f>IF(H128&lt;&gt;0,
IFERROR(
SUBSTITUTE(ADDRESS(1,
MATCH(VALUE(H128),クライアント抽出!A58:G58,0)+8,4),"1",""),
""),
IFERROR(
SUBSTITUTE(ADDRESS(1,
MATCH(VALUE(I128),クライアント抽出!A58:G58,0)+8,4),"1",""),
""))</f>
        <v/>
      </c>
      <c r="F128" s="186" t="str">
        <f ca="1">IF(D128&lt;&gt;"",
IF(COUNTIF(C128,"*雙葉*"),
IF(ROUND((H128-M128)
/IF(COUNTIF(D128,"*キャラ*"),
VLOOKUP("*キャラ*",商品マスタ!$D:$E,2,FALSE),
IF(COUNTIF(D128,"*赤*"),
VLOOKUP("*赤*",商品マスタ!$D:$E,2,FALSE),
VLOOKUP("*"&amp;D128&amp;"*",商品マスタ!$D:$E,2,FALSE))),0)&lt;=0,1,
ROUND((H128-M128)
/IF(COUNTIF(D128,"*キャラ*"),
VLOOKUP("*キャラ*",商品マスタ!$D:$E,2,FALSE),
IF(COUNTIF(D128,"*赤*"),
VLOOKUP("*赤*",商品マスタ!$D:$E,2,FALSE),
VLOOKUP("*"&amp;D128&amp;"*",商品マスタ!$D:$E,2,FALSE))),0)),
IF(OR(COUNTIF(D128,"*キャラ*"),COUNTIF(D128,"*赤*")),"",
IF(VLOOKUP("*"&amp;D128&amp;"*",商品マスタ!$D:$E,2,FALSE)=0,"",
IF(ROUND((H128-M128)
/VLOOKUP("*"&amp;D128&amp;"*",商品マスタ!$D:$E,2,FALSE),0)&lt;=0,1,
ROUND((H128-M128)
/VLOOKUP("*"&amp;D128&amp;"*",商品マスタ!$D:$E,2,FALSE),0))))),"")</f>
        <v/>
      </c>
      <c r="G128" s="104" t="str">
        <f ca="1">IF(F128&lt;&gt;"",
IF(VALUE(H128-M128)&gt;VALUE(IF(COUNTIF(D128,"*キャラ*"),
VLOOKUP("*キャラ*",商品マスタ!$D:$E,2,FALSE),
IF(COUNTIF(D128,"*赤*"),
VLOOKUP("*赤*",商品マスタ!$D:$E,2,FALSE),
VLOOKUP("*"&amp;D128&amp;"*",商品マスタ!$D:$E,2,FALSE)))*F128),
"+"&amp;(H128-M128)-IF(COUNTIF(D128,"*キャラ*"),
VLOOKUP("*キャラ*",商品マスタ!$D:$E,2,FALSE),
IF(COUNTIF(D128,"*赤*"),
VLOOKUP("*赤*",商品マスタ!$D:$E,2,FALSE),
VLOOKUP("*"&amp;D128&amp;"*",商品マスタ!$D:$E,2,FALSE)))*F128,
(H128-M128)-IF(COUNTIF(D128,"*キャラ*"),
VLOOKUP("*キャラ*",商品マスタ!$D:$E,2,FALSE),
IF(COUNTIF(D128,"*赤*"),
VLOOKUP("*赤*",商品マスタ!$D:$E,2,FALSE),
VLOOKUP("*"&amp;D128&amp;"*",商品マスタ!$D:$E,2,FALSE)))*F128),"")</f>
        <v/>
      </c>
      <c r="H128" s="105" t="str">
        <f>IF(C128&lt;&gt;"",
クライアント抽出!C58,"")</f>
        <v/>
      </c>
      <c r="I128" s="104" t="str">
        <f t="array" aca="1" ref="I128" ca="1">IF(C128&lt;&gt;"",
IF(O128=1,
IF(SUMPRODUCT(COUNTIF(クライアント抽出!P58:U58,クライアント抽出!P58:U58))&gt;COUNTA(クライアント抽出!P58:U58),
IFERROR(INDIRECT("数出表_Excel!"&amp;INDEX(_xlfn.UNIQUE(_xlfn._xlws.FILTER(クライアント抽出!P58:U58,COUNTIF(クライアント抽出!P58:U58,クライアント抽出!P58:U58)&gt;1)),1)&amp;L58&amp;""),
クライアント抽出!E58),0),クライアント抽出!F58),"")</f>
        <v/>
      </c>
      <c r="J128" s="104" t="str">
        <f>IF(C128&lt;&gt;"",
VLOOKUP(
"*"&amp;LEFT(IF(COUNTIF(D128,"*学食*"),"キャラ弁（学食）",
IF(COUNTIF(D128,"*赤*"),"赤",
IF(COUNTIF(D128,"*キャラ弁当*"),"キャラ弁当",D128))),4)&amp;"*",注文弁当の抽出!$F$1:$G$15,2,FALSE),"")</f>
        <v/>
      </c>
      <c r="K128" s="104" t="str">
        <f ca="1">IF(クライアント抽出!Q58&lt;&gt;"",SUBSTITUTE(ADDRESS(1,(CODE(クライアント抽出!Q58)-64)*2-1,4),"1",""),"")</f>
        <v/>
      </c>
      <c r="L128" s="104" t="str">
        <f>IF(C58&lt;&gt;"",クライアント抽出!I58,"")</f>
        <v/>
      </c>
      <c r="M128" s="104">
        <f t="array" aca="1" ref="M128" ca="1">IF(C128&lt;&gt;"",
IF(K128&lt;&gt;"",INDIRECT("'数出表_Excel（アレルギー入力）'!"&amp;K128&amp;L128-1&amp;""),),)</f>
        <v>0</v>
      </c>
      <c r="N128" s="104" t="str">
        <f>IF(C128&lt;&gt;"",IF(OR(COUNTIF('盛付札（関数）'!D128,"*赤*"),COUNTIF('盛付札（関数）'!D128,"*キャラ*")),1,
VALUE(VLOOKUP("*"&amp;D128&amp;"*",商品マスタ!D:H,5,FALSE))),"")</f>
        <v/>
      </c>
      <c r="O128" s="104">
        <f t="shared" ca="1" si="59"/>
        <v>0</v>
      </c>
      <c r="P128" s="104">
        <f t="shared" si="33"/>
        <v>0</v>
      </c>
      <c r="Q128" s="104" t="b">
        <f t="shared" si="34"/>
        <v>0</v>
      </c>
      <c r="R128" s="176" t="str">
        <f t="array" aca="1" ref="R128" ca="1">IFERROR(SMALL(IF(P$1:P$311&lt;&gt;0,P$1:P$311),ROW(A128)),"")</f>
        <v/>
      </c>
      <c r="S128" s="176" t="str">
        <f t="array" aca="1" ref="S128" ca="1">IF($R128&lt;&gt;"",
SUBSTITUTE(SUBSTITUTE(INDIRECT("C"&amp;$R128&amp;"")," 週3ｺｰｽ","")," 週5ｺｰｽ",""),"")</f>
        <v/>
      </c>
      <c r="T128" s="176" t="str">
        <f t="array" aca="1" ref="T128" ca="1">IF(IF($R128&lt;&gt;"",
INDIRECT(""&amp;IF(COLUMN(D128)&lt;=26,CHAR(COLUMN(D128)+64),CHAR(INT((COLUMN(D128)-1)/26)+64)&amp;CHAR(MOD(COLUMN(D128)-1,26)+65))&amp;$R128&amp;""),"")=0,"",
IF($R128&lt;&gt;"",
INDIRECT(""&amp;IF(COLUMN(D128)&lt;=26,CHAR(COLUMN(D128)+64),CHAR(INT((COLUMN(D128)-1)/26)+64)&amp;CHAR(MOD(COLUMN(D128)-1,26)+65))&amp;$R128&amp;""),""))</f>
        <v/>
      </c>
      <c r="U128" s="218" t="str">
        <f t="array" aca="1" ref="U128" ca="1">IF($R128&lt;&gt;"",
INDIRECT("F"&amp;$R128&amp;""),"")</f>
        <v/>
      </c>
      <c r="V128" s="219" t="str">
        <f t="array" aca="1" ref="V128" ca="1">IF($R128&lt;&gt;"",
INDIRECT("G"&amp;$R128&amp;""),"")</f>
        <v/>
      </c>
      <c r="W128" s="219" t="str" cm="1">
        <f t="array" aca="1" ref="W128" ca="1">IF($R128&lt;&gt;"",
IF(AND(COUNTIF(INDIRECT("B"&amp;R128&amp;""),"*雙葉*"),COUNTIF($B$71:$B$210,"*雙葉*")&gt;=1),
IF(OR(COUNTIF(INDIRECT("B"&amp;R128&amp;""),"*雙葉先生*"),COUNTIF(INDIRECT("B"&amp;R128-1&amp;""),"*雙葉*")),INDIRECT("H"&amp;R128&amp;""),INDIRECT("H"&amp;R128&amp;"")+INDIRECT("H"&amp;MATCH("雙葉'",INDIRECT("B"&amp;R128+3&amp;":B210"),0)+2+R128&amp;"")),
IF(AND(LEFT(INDIRECT("B"&amp;R128&amp;""),2)="博多",COUNTIF(B:B,"*博多*")&gt;=2),
INDIRECT("H"&amp;R128&amp;"")+IFERROR(INDIRECT("H"&amp;MATCH("*"&amp;INDIRECT("B"&amp;R128&amp;"")&amp;"*",INDIRECT("B"&amp;R128+1&amp;":B210"),0)+R128&amp;""),0),
IF(AND(LEFT(INDIRECT("B"&amp;R128&amp;""),3)="奈良屋",COUNTIF(B:B,"*奈良屋*")&gt;=2),
INDIRECT("H"&amp;R128&amp;"")
+INDIRECT("H"&amp;MATCH("*"&amp;INDIRECT("B"&amp;R128&amp;"")&amp;"*",INDIRECT("B"&amp;R128+1&amp;":B210"),0)+R128&amp;"")
+INDIRECT("H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
+INDIRECT("H"&amp;MATCH("*"&amp;INDIRECT("B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&amp;"*",INDIRECT("B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+1&amp;":B210"),0)+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,
INDIRECT("H"&amp;R128&amp;"")))),"")</f>
        <v/>
      </c>
      <c r="X128" s="176" t="str">
        <f t="array" aca="1" ref="X128" ca="1">IF($R128&lt;&gt;"",
INDIRECT(""&amp;IF(COLUMN(I128)&lt;=26,CHAR(COLUMN(I128)+64),CHAR(INT((COLUMN(I128)-1)/26)+64)&amp;CHAR(MOD(COLUMN(I128)-1,26)+65))&amp;$R128&amp;""),"")</f>
        <v/>
      </c>
      <c r="Y128" s="176" t="str">
        <f t="array" aca="1" ref="Y128" ca="1">IF($R128&lt;&gt;"",
INDIRECT(""&amp;IF(COLUMN(J128)&lt;=26,CHAR(COLUMN(J128)+64),CHAR(INT((COLUMN(J128)-1)/26)+64)&amp;CHAR(MOD(COLUMN(J128)-1,26)+65))&amp;$R128&amp;""),"")</f>
        <v/>
      </c>
      <c r="Z128" s="176" t="str">
        <f t="shared" ca="1" si="35"/>
        <v/>
      </c>
      <c r="AA128" s="176" t="str">
        <f t="shared" ca="1" si="36"/>
        <v/>
      </c>
      <c r="AB128" s="176" t="str">
        <f t="array" aca="1" ref="AB128" ca="1">IF($R128&lt;&gt;"",
IF(AND(COUNTIF(INDIRECT("B"&amp;R128&amp;""),"*雙葉*"),COUNTIF(INDIRECT("B"&amp;R128&amp;""),"&lt;&gt;*先生*"),COUNTIF(B:B,"*雙葉*")&gt;=2),
INDIRECT("M"&amp;R128&amp;"")+INDIRECT("M"&amp;MATCH("雙葉'",INDIRECT("B"&amp;R128+1&amp;":B210"),0)+R128&amp;""),
IF(AND(LEFT(INDIRECT("B"&amp;R128&amp;""),2)="博多",COUNTIF(B:B,"*博多*")&gt;=2),
INDIRECT("M"&amp;R128&amp;"")+INDIRECT("M"&amp;MATCH("*"&amp;INDIRECT("B"&amp;R128&amp;"")&amp;"*",INDIRECT("B"&amp;R128+1&amp;":B210"),0)+R128&amp;""),
IF(AND(LEFT(INDIRECT("B"&amp;R128&amp;""),3)="奈良屋",COUNTIF(B:B,"*奈良屋*")&gt;=2),
INDIRECT("M"&amp;R128&amp;"")+INDIRECT("M"&amp;MATCH("*"&amp;INDIRECT("B"&amp;R128&amp;"")&amp;"*",INDIRECT("B"&amp;R128+1&amp;":B210"),0)+R128&amp;"")
+INDIRECT("M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,
INDIRECT("M"&amp;R128&amp;"")))),"")</f>
        <v/>
      </c>
      <c r="AC128" s="176" t="str">
        <f t="shared" ca="1" si="37"/>
        <v/>
      </c>
      <c r="AD128" s="176" t="str">
        <f t="shared" ca="1" si="38"/>
        <v/>
      </c>
      <c r="AE128" s="176" t="str">
        <f t="shared" ca="1" si="39"/>
        <v/>
      </c>
      <c r="AF128" s="176" t="str">
        <f t="shared" ca="1" si="40"/>
        <v/>
      </c>
      <c r="AG128" s="176" t="str">
        <f t="shared" ca="1" si="41"/>
        <v/>
      </c>
      <c r="AH128" s="183" t="str">
        <f t="shared" ca="1" si="42"/>
        <v/>
      </c>
      <c r="AI128" s="176" t="str">
        <f t="shared" ca="1" si="43"/>
        <v/>
      </c>
      <c r="AJ128" s="176" t="str">
        <f t="shared" ca="1" si="44"/>
        <v/>
      </c>
      <c r="AK128" s="176" t="str">
        <f t="shared" ca="1" si="45"/>
        <v/>
      </c>
      <c r="AL128" s="176" t="str">
        <f t="shared" ca="1" si="46"/>
        <v/>
      </c>
      <c r="AM128" s="176" t="str">
        <f t="shared" ca="1" si="47"/>
        <v/>
      </c>
      <c r="AN128" s="176" t="str">
        <f t="shared" ca="1" si="48"/>
        <v/>
      </c>
      <c r="AO128" s="176" t="str">
        <f t="shared" ca="1" si="49"/>
        <v/>
      </c>
      <c r="AP128" s="176" t="str">
        <f t="shared" ca="1" si="50"/>
        <v/>
      </c>
      <c r="AU128" s="176" t="str">
        <f t="shared" ca="1" si="51"/>
        <v/>
      </c>
    </row>
    <row r="129" spans="1:47" ht="22.2" customHeight="1">
      <c r="A129" s="103">
        <f t="shared" si="60"/>
        <v>123</v>
      </c>
      <c r="B129" s="104" t="str">
        <f t="shared" ca="1" si="58"/>
        <v/>
      </c>
      <c r="C129" s="104" t="str">
        <f>IF(OR(クライアント抽出!C59&lt;&gt;"",クライアント抽出!F59&lt;&gt;""),クライアント抽出!A59,"")</f>
        <v/>
      </c>
      <c r="D129" s="104" t="str">
        <f t="array" aca="1" ref="D129" ca="1">IF(C129&lt;&gt;"",INDIRECT("クライアント抽出!"&amp;E129&amp;MATCH(C129,クライアント抽出!A:A,0)&amp;""),"")</f>
        <v/>
      </c>
      <c r="E129" s="104" t="str">
        <f>IF(H129&lt;&gt;0,
IFERROR(
SUBSTITUTE(ADDRESS(1,
MATCH(VALUE(H129),クライアント抽出!A59:G59,0)+8,4),"1",""),
""),
IFERROR(
SUBSTITUTE(ADDRESS(1,
MATCH(VALUE(I129),クライアント抽出!A59:G59,0)+8,4),"1",""),
""))</f>
        <v/>
      </c>
      <c r="F129" s="186" t="str">
        <f ca="1">IF(D129&lt;&gt;"",
IF(COUNTIF(C129,"*雙葉*"),
IF(ROUND((H129-M129)
/IF(COUNTIF(D129,"*キャラ*"),
VLOOKUP("*キャラ*",商品マスタ!$D:$E,2,FALSE),
IF(COUNTIF(D129,"*赤*"),
VLOOKUP("*赤*",商品マスタ!$D:$E,2,FALSE),
VLOOKUP("*"&amp;D129&amp;"*",商品マスタ!$D:$E,2,FALSE))),0)&lt;=0,1,
ROUND((H129-M129)
/IF(COUNTIF(D129,"*キャラ*"),
VLOOKUP("*キャラ*",商品マスタ!$D:$E,2,FALSE),
IF(COUNTIF(D129,"*赤*"),
VLOOKUP("*赤*",商品マスタ!$D:$E,2,FALSE),
VLOOKUP("*"&amp;D129&amp;"*",商品マスタ!$D:$E,2,FALSE))),0)),
IF(OR(COUNTIF(D129,"*キャラ*"),COUNTIF(D129,"*赤*")),"",
IF(VLOOKUP("*"&amp;D129&amp;"*",商品マスタ!$D:$E,2,FALSE)=0,"",
IF(ROUND((H129-M129)
/VLOOKUP("*"&amp;D129&amp;"*",商品マスタ!$D:$E,2,FALSE),0)&lt;=0,1,
ROUND((H129-M129)
/VLOOKUP("*"&amp;D129&amp;"*",商品マスタ!$D:$E,2,FALSE),0))))),"")</f>
        <v/>
      </c>
      <c r="G129" s="104" t="str">
        <f ca="1">IF(F129&lt;&gt;"",
IF(VALUE(H129-M129)&gt;VALUE(IF(COUNTIF(D129,"*キャラ*"),
VLOOKUP("*キャラ*",商品マスタ!$D:$E,2,FALSE),
IF(COUNTIF(D129,"*赤*"),
VLOOKUP("*赤*",商品マスタ!$D:$E,2,FALSE),
VLOOKUP("*"&amp;D129&amp;"*",商品マスタ!$D:$E,2,FALSE)))*F129),
"+"&amp;(H129-M129)-IF(COUNTIF(D129,"*キャラ*"),
VLOOKUP("*キャラ*",商品マスタ!$D:$E,2,FALSE),
IF(COUNTIF(D129,"*赤*"),
VLOOKUP("*赤*",商品マスタ!$D:$E,2,FALSE),
VLOOKUP("*"&amp;D129&amp;"*",商品マスタ!$D:$E,2,FALSE)))*F129,
(H129-M129)-IF(COUNTIF(D129,"*キャラ*"),
VLOOKUP("*キャラ*",商品マスタ!$D:$E,2,FALSE),
IF(COUNTIF(D129,"*赤*"),
VLOOKUP("*赤*",商品マスタ!$D:$E,2,FALSE),
VLOOKUP("*"&amp;D129&amp;"*",商品マスタ!$D:$E,2,FALSE)))*F129),"")</f>
        <v/>
      </c>
      <c r="H129" s="105" t="str">
        <f>IF(C129&lt;&gt;"",
クライアント抽出!C59,"")</f>
        <v/>
      </c>
      <c r="I129" s="104" t="str">
        <f t="array" aca="1" ref="I129" ca="1">IF(C129&lt;&gt;"",
IF(O129=1,
IF(SUMPRODUCT(COUNTIF(クライアント抽出!P59:U59,クライアント抽出!P59:U59))&gt;COUNTA(クライアント抽出!P59:U59),
IFERROR(INDIRECT("数出表_Excel!"&amp;INDEX(_xlfn.UNIQUE(_xlfn._xlws.FILTER(クライアント抽出!P59:U59,COUNTIF(クライアント抽出!P59:U59,クライアント抽出!P59:U59)&gt;1)),1)&amp;L59&amp;""),
クライアント抽出!E59),0),クライアント抽出!F59),"")</f>
        <v/>
      </c>
      <c r="J129" s="104" t="str">
        <f>IF(C129&lt;&gt;"",
VLOOKUP(
"*"&amp;LEFT(IF(COUNTIF(D129,"*学食*"),"キャラ弁（学食）",
IF(COUNTIF(D129,"*赤*"),"赤",
IF(COUNTIF(D129,"*キャラ弁当*"),"キャラ弁当",D129))),4)&amp;"*",注文弁当の抽出!$F$1:$G$15,2,FALSE),"")</f>
        <v/>
      </c>
      <c r="K129" s="104" t="str">
        <f ca="1">IF(クライアント抽出!Q59&lt;&gt;"",SUBSTITUTE(ADDRESS(1,(CODE(クライアント抽出!Q59)-64)*2-1,4),"1",""),"")</f>
        <v/>
      </c>
      <c r="L129" s="104" t="str">
        <f>IF(C59&lt;&gt;"",クライアント抽出!I59,"")</f>
        <v/>
      </c>
      <c r="M129" s="104">
        <f t="array" aca="1" ref="M129" ca="1">IF(C129&lt;&gt;"",
IF(K129&lt;&gt;"",INDIRECT("'数出表_Excel（アレルギー入力）'!"&amp;K129&amp;L129-1&amp;""),),)</f>
        <v>0</v>
      </c>
      <c r="N129" s="104" t="str">
        <f>IF(C129&lt;&gt;"",IF(OR(COUNTIF('盛付札（関数）'!D129,"*赤*"),COUNTIF('盛付札（関数）'!D129,"*キャラ*")),1,
VALUE(VLOOKUP("*"&amp;D129&amp;"*",商品マスタ!D:H,5,FALSE))),"")</f>
        <v/>
      </c>
      <c r="O129" s="104">
        <f t="shared" ca="1" si="59"/>
        <v>0</v>
      </c>
      <c r="P129" s="104">
        <f t="shared" ref="P129:P192" si="61">IF(COUNTIF(Q129,"TRUE"),
IF(OR(COUNTIF(B129,"*'*"),H129=0),0,ROW()),0)</f>
        <v>0</v>
      </c>
      <c r="Q129" s="104" t="b">
        <f t="shared" ref="Q129:Q192" si="62">IF(C129&lt;&gt;"",
IF(OR(N129=1,COUNTIF(D129,"*朝食*"),COUNTIF(D129,"*夕食*")),TRUE,FALSE),FALSE)</f>
        <v>0</v>
      </c>
      <c r="R129" s="176" t="str">
        <f t="array" aca="1" ref="R129" ca="1">IFERROR(SMALL(IF(P$1:P$311&lt;&gt;0,P$1:P$311),ROW(A129)),"")</f>
        <v/>
      </c>
      <c r="S129" s="176" t="str">
        <f t="array" aca="1" ref="S129" ca="1">IF($R129&lt;&gt;"",
SUBSTITUTE(SUBSTITUTE(INDIRECT("C"&amp;$R129&amp;"")," 週3ｺｰｽ","")," 週5ｺｰｽ",""),"")</f>
        <v/>
      </c>
      <c r="T129" s="176" t="str">
        <f t="array" aca="1" ref="T129" ca="1">IF(IF($R129&lt;&gt;"",
INDIRECT(""&amp;IF(COLUMN(D129)&lt;=26,CHAR(COLUMN(D129)+64),CHAR(INT((COLUMN(D129)-1)/26)+64)&amp;CHAR(MOD(COLUMN(D129)-1,26)+65))&amp;$R129&amp;""),"")=0,"",
IF($R129&lt;&gt;"",
INDIRECT(""&amp;IF(COLUMN(D129)&lt;=26,CHAR(COLUMN(D129)+64),CHAR(INT((COLUMN(D129)-1)/26)+64)&amp;CHAR(MOD(COLUMN(D129)-1,26)+65))&amp;$R129&amp;""),""))</f>
        <v/>
      </c>
      <c r="U129" s="218" t="str">
        <f t="array" aca="1" ref="U129" ca="1">IF($R129&lt;&gt;"",
INDIRECT("F"&amp;$R129&amp;""),"")</f>
        <v/>
      </c>
      <c r="V129" s="219" t="str">
        <f t="array" aca="1" ref="V129" ca="1">IF($R129&lt;&gt;"",
INDIRECT("G"&amp;$R129&amp;""),"")</f>
        <v/>
      </c>
      <c r="W129" s="219" t="str" cm="1">
        <f t="array" aca="1" ref="W129" ca="1">IF($R129&lt;&gt;"",
IF(AND(COUNTIF(INDIRECT("B"&amp;R129&amp;""),"*雙葉*"),COUNTIF($B$71:$B$210,"*雙葉*")&gt;=1),
IF(OR(COUNTIF(INDIRECT("B"&amp;R129&amp;""),"*雙葉先生*"),COUNTIF(INDIRECT("B"&amp;R129-1&amp;""),"*雙葉*")),INDIRECT("H"&amp;R129&amp;""),INDIRECT("H"&amp;R129&amp;"")+INDIRECT("H"&amp;MATCH("雙葉'",INDIRECT("B"&amp;R129+3&amp;":B210"),0)+2+R129&amp;"")),
IF(AND(LEFT(INDIRECT("B"&amp;R129&amp;""),2)="博多",COUNTIF(B:B,"*博多*")&gt;=2),
INDIRECT("H"&amp;R129&amp;"")+IFERROR(INDIRECT("H"&amp;MATCH("*"&amp;INDIRECT("B"&amp;R129&amp;"")&amp;"*",INDIRECT("B"&amp;R129+1&amp;":B210"),0)+R129&amp;""),0),
IF(AND(LEFT(INDIRECT("B"&amp;R129&amp;""),3)="奈良屋",COUNTIF(B:B,"*奈良屋*")&gt;=2),
INDIRECT("H"&amp;R129&amp;"")
+INDIRECT("H"&amp;MATCH("*"&amp;INDIRECT("B"&amp;R129&amp;"")&amp;"*",INDIRECT("B"&amp;R129+1&amp;":B210"),0)+R129&amp;"")
+INDIRECT("H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
+INDIRECT("H"&amp;MATCH("*"&amp;INDIRECT("B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&amp;"*",INDIRECT("B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+1&amp;":B210"),0)+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,
INDIRECT("H"&amp;R129&amp;"")))),"")</f>
        <v/>
      </c>
      <c r="X129" s="176" t="str">
        <f t="array" aca="1" ref="X129" ca="1">IF($R129&lt;&gt;"",
INDIRECT(""&amp;IF(COLUMN(I129)&lt;=26,CHAR(COLUMN(I129)+64),CHAR(INT((COLUMN(I129)-1)/26)+64)&amp;CHAR(MOD(COLUMN(I129)-1,26)+65))&amp;$R129&amp;""),"")</f>
        <v/>
      </c>
      <c r="Y129" s="176" t="str">
        <f t="array" aca="1" ref="Y129" ca="1">IF($R129&lt;&gt;"",
INDIRECT(""&amp;IF(COLUMN(J129)&lt;=26,CHAR(COLUMN(J129)+64),CHAR(INT((COLUMN(J129)-1)/26)+64)&amp;CHAR(MOD(COLUMN(J129)-1,26)+65))&amp;$R129&amp;""),"")</f>
        <v/>
      </c>
      <c r="Z129" s="176" t="str">
        <f t="shared" ref="Z129:Z192" ca="1" si="63">IF(R129&lt;&gt;"",
IFERROR(INT(W129/Y129),""),"")</f>
        <v/>
      </c>
      <c r="AA129" s="176" t="str">
        <f t="shared" ref="AA129:AA192" ca="1" si="64">IFERROR(MOD(W129,Y129),"")</f>
        <v/>
      </c>
      <c r="AB129" s="176" t="str">
        <f t="array" aca="1" ref="AB129" ca="1">IF($R129&lt;&gt;"",
IF(AND(COUNTIF(INDIRECT("B"&amp;R129&amp;""),"*雙葉*"),COUNTIF(INDIRECT("B"&amp;R129&amp;""),"&lt;&gt;*先生*"),COUNTIF(B:B,"*雙葉*")&gt;=2),
INDIRECT("M"&amp;R129&amp;"")+INDIRECT("M"&amp;MATCH("雙葉'",INDIRECT("B"&amp;R129+1&amp;":B210"),0)+R129&amp;""),
IF(AND(LEFT(INDIRECT("B"&amp;R129&amp;""),2)="博多",COUNTIF(B:B,"*博多*")&gt;=2),
INDIRECT("M"&amp;R129&amp;"")+INDIRECT("M"&amp;MATCH("*"&amp;INDIRECT("B"&amp;R129&amp;"")&amp;"*",INDIRECT("B"&amp;R129+1&amp;":B210"),0)+R129&amp;""),
IF(AND(LEFT(INDIRECT("B"&amp;R129&amp;""),3)="奈良屋",COUNTIF(B:B,"*奈良屋*")&gt;=2),
INDIRECT("M"&amp;R129&amp;"")+INDIRECT("M"&amp;MATCH("*"&amp;INDIRECT("B"&amp;R129&amp;"")&amp;"*",INDIRECT("B"&amp;R129+1&amp;":B210"),0)+R129&amp;"")
+INDIRECT("M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,
INDIRECT("M"&amp;R129&amp;"")))),"")</f>
        <v/>
      </c>
      <c r="AC129" s="176" t="str">
        <f t="shared" ref="AC129:AC192" ca="1" si="65">IF(S129&lt;&gt;"",INDEX(A:A, MATCH("*"&amp;LEFT(S129,4)&amp;"*", C:C, 0)),"")</f>
        <v/>
      </c>
      <c r="AD129" s="176" t="str">
        <f t="shared" ref="AD129:AD192" ca="1" si="66">IFERROR(INDEX(AC:AC,MATCH(SMALL($AU:$AU,ROW()),$AU:$AU,0)),"")</f>
        <v/>
      </c>
      <c r="AE129" s="176" t="str">
        <f t="shared" ref="AE129:AE192" ca="1" si="67">IFERROR(INDEX(R:R,MATCH(SMALL($AU:$AU,ROW()),$AU:$AU,0)),"")</f>
        <v/>
      </c>
      <c r="AF129" s="176" t="str">
        <f t="shared" ref="AF129:AF192" ca="1" si="68">IFERROR(INDEX(S:S,MATCH(SMALL($AU:$AU,ROW()),$AU:$AU,0)),"")</f>
        <v/>
      </c>
      <c r="AG129" s="176" t="str">
        <f t="shared" ref="AG129:AG192" ca="1" si="69">IFERROR(INDEX(T:T,MATCH(SMALL($AU:$AU,ROW()),$AU:$AU,0)),"")</f>
        <v/>
      </c>
      <c r="AH129" s="183" t="str">
        <f t="shared" ref="AH129:AH192" ca="1" si="70">IFERROR(INDEX(U:U,MATCH(SMALL($AU:$AU,ROW()),$AU:$AU,0)),"")</f>
        <v/>
      </c>
      <c r="AI129" s="176" t="str">
        <f t="shared" ref="AI129:AI192" ca="1" si="71">IFERROR(INDEX(V:V,MATCH(SMALL($AU:$AU,ROW()),$AU:$AU,0)),"")</f>
        <v/>
      </c>
      <c r="AJ129" s="176" t="str">
        <f t="shared" ref="AJ129:AJ192" ca="1" si="72">IFERROR(INDEX(W:W,MATCH(SMALL($AU:$AU,ROW()),$AU:$AU,0)),"")</f>
        <v/>
      </c>
      <c r="AK129" s="176" t="str">
        <f t="shared" ref="AK129:AK192" ca="1" si="73">IFERROR(INDEX(X:X,MATCH(SMALL($AU:$AU,ROW()),$AU:$AU,0)),"")</f>
        <v/>
      </c>
      <c r="AL129" s="176" t="str">
        <f t="shared" ref="AL129:AL192" ca="1" si="74">IFERROR(INDEX(Y:Y,MATCH(SMALL($AU:$AU,ROW()),$AU:$AU,0)),"")</f>
        <v/>
      </c>
      <c r="AM129" s="176" t="str">
        <f t="shared" ref="AM129:AM192" ca="1" si="75">IFERROR(INDEX(Z:Z,MATCH(SMALL($AU:$AU,ROW()),$AU:$AU,0)),"")</f>
        <v/>
      </c>
      <c r="AN129" s="176" t="str">
        <f t="shared" ref="AN129:AN192" ca="1" si="76">IFERROR(INDEX(AA:AA,MATCH(SMALL($AU:$AU,ROW()),$AU:$AU,0)),"")</f>
        <v/>
      </c>
      <c r="AO129" s="176" t="str">
        <f t="shared" ref="AO129:AO192" ca="1" si="77">IFERROR(INDEX(AB:AB,MATCH(SMALL($AU:$AU,ROW()),$AU:$AU,0)),"")</f>
        <v/>
      </c>
      <c r="AP129" s="176" t="str">
        <f t="shared" ref="AP129:AP192" ca="1" si="78">IFERROR(INDEX(AC:AC,MATCH(SMALL($AU:$AU,ROW()),$AU:$AU,0)),"")</f>
        <v/>
      </c>
      <c r="AU129" s="176" t="str">
        <f t="shared" ref="AU129:AU192" ca="1" si="79">IFERROR(IF(R129&gt;=219, 1000000+R129, AC129*1000+R129),"")</f>
        <v/>
      </c>
    </row>
    <row r="130" spans="1:47" ht="22.2" customHeight="1">
      <c r="A130" s="103">
        <f t="shared" si="60"/>
        <v>125</v>
      </c>
      <c r="B130" s="104" t="str">
        <f t="shared" ca="1" si="58"/>
        <v/>
      </c>
      <c r="C130" s="104" t="str">
        <f>IF(OR(クライアント抽出!C60&lt;&gt;"",クライアント抽出!F60&lt;&gt;""),クライアント抽出!A60,"")</f>
        <v/>
      </c>
      <c r="D130" s="104" t="str">
        <f t="array" aca="1" ref="D130" ca="1">IF(C130&lt;&gt;"",INDIRECT("クライアント抽出!"&amp;E130&amp;MATCH(C130,クライアント抽出!A:A,0)&amp;""),"")</f>
        <v/>
      </c>
      <c r="E130" s="104" t="str">
        <f>IF(H130&lt;&gt;0,
IFERROR(
SUBSTITUTE(ADDRESS(1,
MATCH(VALUE(H130),クライアント抽出!A60:G60,0)+8,4),"1",""),
""),
IFERROR(
SUBSTITUTE(ADDRESS(1,
MATCH(VALUE(I130),クライアント抽出!A60:G60,0)+8,4),"1",""),
""))</f>
        <v/>
      </c>
      <c r="F130" s="186" t="str">
        <f ca="1">IF(D130&lt;&gt;"",
IF(COUNTIF(C130,"*雙葉*"),
IF(ROUND((H130-M130)
/IF(COUNTIF(D130,"*キャラ*"),
VLOOKUP("*キャラ*",商品マスタ!$D:$E,2,FALSE),
IF(COUNTIF(D130,"*赤*"),
VLOOKUP("*赤*",商品マスタ!$D:$E,2,FALSE),
VLOOKUP("*"&amp;D130&amp;"*",商品マスタ!$D:$E,2,FALSE))),0)&lt;=0,1,
ROUND((H130-M130)
/IF(COUNTIF(D130,"*キャラ*"),
VLOOKUP("*キャラ*",商品マスタ!$D:$E,2,FALSE),
IF(COUNTIF(D130,"*赤*"),
VLOOKUP("*赤*",商品マスタ!$D:$E,2,FALSE),
VLOOKUP("*"&amp;D130&amp;"*",商品マスタ!$D:$E,2,FALSE))),0)),
IF(OR(COUNTIF(D130,"*キャラ*"),COUNTIF(D130,"*赤*")),"",
IF(VLOOKUP("*"&amp;D130&amp;"*",商品マスタ!$D:$E,2,FALSE)=0,"",
IF(ROUND((H130-M130)
/VLOOKUP("*"&amp;D130&amp;"*",商品マスタ!$D:$E,2,FALSE),0)&lt;=0,1,
ROUND((H130-M130)
/VLOOKUP("*"&amp;D130&amp;"*",商品マスタ!$D:$E,2,FALSE),0))))),"")</f>
        <v/>
      </c>
      <c r="G130" s="104" t="str">
        <f ca="1">IF(F130&lt;&gt;"",
IF(VALUE(H130-M130)&gt;VALUE(IF(COUNTIF(D130,"*キャラ*"),
VLOOKUP("*キャラ*",商品マスタ!$D:$E,2,FALSE),
IF(COUNTIF(D130,"*赤*"),
VLOOKUP("*赤*",商品マスタ!$D:$E,2,FALSE),
VLOOKUP("*"&amp;D130&amp;"*",商品マスタ!$D:$E,2,FALSE)))*F130),
"+"&amp;(H130-M130)-IF(COUNTIF(D130,"*キャラ*"),
VLOOKUP("*キャラ*",商品マスタ!$D:$E,2,FALSE),
IF(COUNTIF(D130,"*赤*"),
VLOOKUP("*赤*",商品マスタ!$D:$E,2,FALSE),
VLOOKUP("*"&amp;D130&amp;"*",商品マスタ!$D:$E,2,FALSE)))*F130,
(H130-M130)-IF(COUNTIF(D130,"*キャラ*"),
VLOOKUP("*キャラ*",商品マスタ!$D:$E,2,FALSE),
IF(COUNTIF(D130,"*赤*"),
VLOOKUP("*赤*",商品マスタ!$D:$E,2,FALSE),
VLOOKUP("*"&amp;D130&amp;"*",商品マスタ!$D:$E,2,FALSE)))*F130),"")</f>
        <v/>
      </c>
      <c r="H130" s="105" t="str">
        <f>IF(C130&lt;&gt;"",
クライアント抽出!C60,"")</f>
        <v/>
      </c>
      <c r="I130" s="104" t="str">
        <f t="array" aca="1" ref="I130" ca="1">IF(C130&lt;&gt;"",
IF(O130=1,
IF(SUMPRODUCT(COUNTIF(クライアント抽出!P60:U60,クライアント抽出!P60:U60))&gt;COUNTA(クライアント抽出!P60:U60),
IFERROR(INDIRECT("数出表_Excel!"&amp;INDEX(_xlfn.UNIQUE(_xlfn._xlws.FILTER(クライアント抽出!P60:U60,COUNTIF(クライアント抽出!P60:U60,クライアント抽出!P60:U60)&gt;1)),1)&amp;L60&amp;""),
クライアント抽出!E60),0),クライアント抽出!F60),"")</f>
        <v/>
      </c>
      <c r="J130" s="104" t="str">
        <f>IF(C130&lt;&gt;"",
VLOOKUP(
"*"&amp;LEFT(IF(COUNTIF(D130,"*学食*"),"キャラ弁（学食）",
IF(COUNTIF(D130,"*赤*"),"赤",
IF(COUNTIF(D130,"*キャラ弁当*"),"キャラ弁当",D130))),4)&amp;"*",注文弁当の抽出!$F$1:$G$15,2,FALSE),"")</f>
        <v/>
      </c>
      <c r="K130" s="104" t="str">
        <f ca="1">IF(クライアント抽出!Q60&lt;&gt;"",SUBSTITUTE(ADDRESS(1,(CODE(クライアント抽出!Q60)-64)*2-1,4),"1",""),"")</f>
        <v/>
      </c>
      <c r="L130" s="104" t="str">
        <f>IF(C60&lt;&gt;"",クライアント抽出!I60,"")</f>
        <v/>
      </c>
      <c r="M130" s="104">
        <f t="array" aca="1" ref="M130" ca="1">IF(C130&lt;&gt;"",
IF(K130&lt;&gt;"",INDIRECT("'数出表_Excel（アレルギー入力）'!"&amp;K130&amp;L130-1&amp;""),),)</f>
        <v>0</v>
      </c>
      <c r="N130" s="104" t="str">
        <f>IF(C130&lt;&gt;"",IF(OR(COUNTIF('盛付札（関数）'!D130,"*赤*"),COUNTIF('盛付札（関数）'!D130,"*キャラ*")),1,
VALUE(VLOOKUP("*"&amp;D130&amp;"*",商品マスタ!D:H,5,FALSE))),"")</f>
        <v/>
      </c>
      <c r="O130" s="104">
        <f t="shared" ca="1" si="59"/>
        <v>0</v>
      </c>
      <c r="P130" s="104">
        <f t="shared" si="61"/>
        <v>0</v>
      </c>
      <c r="Q130" s="104" t="b">
        <f t="shared" si="62"/>
        <v>0</v>
      </c>
      <c r="R130" s="176" t="str">
        <f t="array" aca="1" ref="R130" ca="1">IFERROR(SMALL(IF(P$1:P$311&lt;&gt;0,P$1:P$311),ROW(A130)),"")</f>
        <v/>
      </c>
      <c r="S130" s="176" t="str">
        <f t="array" aca="1" ref="S130" ca="1">IF($R130&lt;&gt;"",
SUBSTITUTE(SUBSTITUTE(INDIRECT("C"&amp;$R130&amp;"")," 週3ｺｰｽ","")," 週5ｺｰｽ",""),"")</f>
        <v/>
      </c>
      <c r="T130" s="176" t="str">
        <f t="array" aca="1" ref="T130" ca="1">IF(IF($R130&lt;&gt;"",
INDIRECT(""&amp;IF(COLUMN(D130)&lt;=26,CHAR(COLUMN(D130)+64),CHAR(INT((COLUMN(D130)-1)/26)+64)&amp;CHAR(MOD(COLUMN(D130)-1,26)+65))&amp;$R130&amp;""),"")=0,"",
IF($R130&lt;&gt;"",
INDIRECT(""&amp;IF(COLUMN(D130)&lt;=26,CHAR(COLUMN(D130)+64),CHAR(INT((COLUMN(D130)-1)/26)+64)&amp;CHAR(MOD(COLUMN(D130)-1,26)+65))&amp;$R130&amp;""),""))</f>
        <v/>
      </c>
      <c r="U130" s="218" t="str">
        <f t="array" aca="1" ref="U130" ca="1">IF($R130&lt;&gt;"",
INDIRECT("F"&amp;$R130&amp;""),"")</f>
        <v/>
      </c>
      <c r="V130" s="219" t="str">
        <f t="array" aca="1" ref="V130" ca="1">IF($R130&lt;&gt;"",
INDIRECT("G"&amp;$R130&amp;""),"")</f>
        <v/>
      </c>
      <c r="W130" s="219" t="str" cm="1">
        <f t="array" aca="1" ref="W130" ca="1">IF($R130&lt;&gt;"",
IF(AND(COUNTIF(INDIRECT("B"&amp;R130&amp;""),"*雙葉*"),COUNTIF($B$71:$B$210,"*雙葉*")&gt;=1),
IF(OR(COUNTIF(INDIRECT("B"&amp;R130&amp;""),"*雙葉先生*"),COUNTIF(INDIRECT("B"&amp;R130-1&amp;""),"*雙葉*")),INDIRECT("H"&amp;R130&amp;""),INDIRECT("H"&amp;R130&amp;"")+INDIRECT("H"&amp;MATCH("雙葉'",INDIRECT("B"&amp;R130+3&amp;":B210"),0)+2+R130&amp;"")),
IF(AND(LEFT(INDIRECT("B"&amp;R130&amp;""),2)="博多",COUNTIF(B:B,"*博多*")&gt;=2),
INDIRECT("H"&amp;R130&amp;"")+IFERROR(INDIRECT("H"&amp;MATCH("*"&amp;INDIRECT("B"&amp;R130&amp;"")&amp;"*",INDIRECT("B"&amp;R130+1&amp;":B210"),0)+R130&amp;""),0),
IF(AND(LEFT(INDIRECT("B"&amp;R130&amp;""),3)="奈良屋",COUNTIF(B:B,"*奈良屋*")&gt;=2),
INDIRECT("H"&amp;R130&amp;"")
+INDIRECT("H"&amp;MATCH("*"&amp;INDIRECT("B"&amp;R130&amp;"")&amp;"*",INDIRECT("B"&amp;R130+1&amp;":B210"),0)+R130&amp;"")
+INDIRECT("H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
+INDIRECT("H"&amp;MATCH("*"&amp;INDIRECT("B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&amp;"*",INDIRECT("B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+1&amp;":B210"),0)+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,
INDIRECT("H"&amp;R130&amp;"")))),"")</f>
        <v/>
      </c>
      <c r="X130" s="176" t="str">
        <f t="array" aca="1" ref="X130" ca="1">IF($R130&lt;&gt;"",
INDIRECT(""&amp;IF(COLUMN(I130)&lt;=26,CHAR(COLUMN(I130)+64),CHAR(INT((COLUMN(I130)-1)/26)+64)&amp;CHAR(MOD(COLUMN(I130)-1,26)+65))&amp;$R130&amp;""),"")</f>
        <v/>
      </c>
      <c r="Y130" s="176" t="str">
        <f t="array" aca="1" ref="Y130" ca="1">IF($R130&lt;&gt;"",
INDIRECT(""&amp;IF(COLUMN(J130)&lt;=26,CHAR(COLUMN(J130)+64),CHAR(INT((COLUMN(J130)-1)/26)+64)&amp;CHAR(MOD(COLUMN(J130)-1,26)+65))&amp;$R130&amp;""),"")</f>
        <v/>
      </c>
      <c r="Z130" s="176" t="str">
        <f t="shared" ca="1" si="63"/>
        <v/>
      </c>
      <c r="AA130" s="176" t="str">
        <f t="shared" ca="1" si="64"/>
        <v/>
      </c>
      <c r="AB130" s="176" t="str">
        <f t="array" aca="1" ref="AB130" ca="1">IF($R130&lt;&gt;"",
IF(AND(COUNTIF(INDIRECT("B"&amp;R130&amp;""),"*雙葉*"),COUNTIF(INDIRECT("B"&amp;R130&amp;""),"&lt;&gt;*先生*"),COUNTIF(B:B,"*雙葉*")&gt;=2),
INDIRECT("M"&amp;R130&amp;"")+INDIRECT("M"&amp;MATCH("雙葉'",INDIRECT("B"&amp;R130+1&amp;":B210"),0)+R130&amp;""),
IF(AND(LEFT(INDIRECT("B"&amp;R130&amp;""),2)="博多",COUNTIF(B:B,"*博多*")&gt;=2),
INDIRECT("M"&amp;R130&amp;"")+INDIRECT("M"&amp;MATCH("*"&amp;INDIRECT("B"&amp;R130&amp;"")&amp;"*",INDIRECT("B"&amp;R130+1&amp;":B210"),0)+R130&amp;""),
IF(AND(LEFT(INDIRECT("B"&amp;R130&amp;""),3)="奈良屋",COUNTIF(B:B,"*奈良屋*")&gt;=2),
INDIRECT("M"&amp;R130&amp;"")+INDIRECT("M"&amp;MATCH("*"&amp;INDIRECT("B"&amp;R130&amp;"")&amp;"*",INDIRECT("B"&amp;R130+1&amp;":B210"),0)+R130&amp;"")
+INDIRECT("M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,
INDIRECT("M"&amp;R130&amp;"")))),"")</f>
        <v/>
      </c>
      <c r="AC130" s="176" t="str">
        <f t="shared" ca="1" si="65"/>
        <v/>
      </c>
      <c r="AD130" s="176" t="str">
        <f t="shared" ca="1" si="66"/>
        <v/>
      </c>
      <c r="AE130" s="176" t="str">
        <f t="shared" ca="1" si="67"/>
        <v/>
      </c>
      <c r="AF130" s="176" t="str">
        <f t="shared" ca="1" si="68"/>
        <v/>
      </c>
      <c r="AG130" s="176" t="str">
        <f t="shared" ca="1" si="69"/>
        <v/>
      </c>
      <c r="AH130" s="183" t="str">
        <f t="shared" ca="1" si="70"/>
        <v/>
      </c>
      <c r="AI130" s="176" t="str">
        <f t="shared" ca="1" si="71"/>
        <v/>
      </c>
      <c r="AJ130" s="176" t="str">
        <f t="shared" ca="1" si="72"/>
        <v/>
      </c>
      <c r="AK130" s="176" t="str">
        <f t="shared" ca="1" si="73"/>
        <v/>
      </c>
      <c r="AL130" s="176" t="str">
        <f t="shared" ca="1" si="74"/>
        <v/>
      </c>
      <c r="AM130" s="176" t="str">
        <f t="shared" ca="1" si="75"/>
        <v/>
      </c>
      <c r="AN130" s="176" t="str">
        <f t="shared" ca="1" si="76"/>
        <v/>
      </c>
      <c r="AO130" s="176" t="str">
        <f t="shared" ca="1" si="77"/>
        <v/>
      </c>
      <c r="AP130" s="176" t="str">
        <f t="shared" ca="1" si="78"/>
        <v/>
      </c>
      <c r="AU130" s="176" t="str">
        <f t="shared" ca="1" si="79"/>
        <v/>
      </c>
    </row>
    <row r="131" spans="1:47" ht="22.2" customHeight="1">
      <c r="A131" s="103">
        <f t="shared" si="60"/>
        <v>127</v>
      </c>
      <c r="B131" s="104" t="str">
        <f t="shared" ca="1" si="58"/>
        <v/>
      </c>
      <c r="C131" s="104" t="str">
        <f>IF(OR(クライアント抽出!C61&lt;&gt;"",クライアント抽出!F61&lt;&gt;""),クライアント抽出!A61,"")</f>
        <v/>
      </c>
      <c r="D131" s="104" t="str">
        <f t="array" aca="1" ref="D131" ca="1">IF(C131&lt;&gt;"",INDIRECT("クライアント抽出!"&amp;E131&amp;MATCH(C131,クライアント抽出!A:A,0)&amp;""),"")</f>
        <v/>
      </c>
      <c r="E131" s="104" t="str">
        <f>IF(H131&lt;&gt;0,
IFERROR(
SUBSTITUTE(ADDRESS(1,
MATCH(VALUE(H131),クライアント抽出!A61:G61,0)+8,4),"1",""),
""),
IFERROR(
SUBSTITUTE(ADDRESS(1,
MATCH(VALUE(I131),クライアント抽出!A61:G61,0)+8,4),"1",""),
""))</f>
        <v/>
      </c>
      <c r="F131" s="186" t="str">
        <f ca="1">IF(D131&lt;&gt;"",
IF(COUNTIF(C131,"*雙葉*"),
IF(ROUND((H131-M131)
/IF(COUNTIF(D131,"*キャラ*"),
VLOOKUP("*キャラ*",商品マスタ!$D:$E,2,FALSE),
IF(COUNTIF(D131,"*赤*"),
VLOOKUP("*赤*",商品マスタ!$D:$E,2,FALSE),
VLOOKUP("*"&amp;D131&amp;"*",商品マスタ!$D:$E,2,FALSE))),0)&lt;=0,1,
ROUND((H131-M131)
/IF(COUNTIF(D131,"*キャラ*"),
VLOOKUP("*キャラ*",商品マスタ!$D:$E,2,FALSE),
IF(COUNTIF(D131,"*赤*"),
VLOOKUP("*赤*",商品マスタ!$D:$E,2,FALSE),
VLOOKUP("*"&amp;D131&amp;"*",商品マスタ!$D:$E,2,FALSE))),0)),
IF(OR(COUNTIF(D131,"*キャラ*"),COUNTIF(D131,"*赤*")),"",
IF(VLOOKUP("*"&amp;D131&amp;"*",商品マスタ!$D:$E,2,FALSE)=0,"",
IF(ROUND((H131-M131)
/VLOOKUP("*"&amp;D131&amp;"*",商品マスタ!$D:$E,2,FALSE),0)&lt;=0,1,
ROUND((H131-M131)
/VLOOKUP("*"&amp;D131&amp;"*",商品マスタ!$D:$E,2,FALSE),0))))),"")</f>
        <v/>
      </c>
      <c r="G131" s="104" t="str">
        <f ca="1">IF(F131&lt;&gt;"",
IF(VALUE(H131-M131)&gt;VALUE(IF(COUNTIF(D131,"*キャラ*"),
VLOOKUP("*キャラ*",商品マスタ!$D:$E,2,FALSE),
IF(COUNTIF(D131,"*赤*"),
VLOOKUP("*赤*",商品マスタ!$D:$E,2,FALSE),
VLOOKUP("*"&amp;D131&amp;"*",商品マスタ!$D:$E,2,FALSE)))*F131),
"+"&amp;(H131-M131)-IF(COUNTIF(D131,"*キャラ*"),
VLOOKUP("*キャラ*",商品マスタ!$D:$E,2,FALSE),
IF(COUNTIF(D131,"*赤*"),
VLOOKUP("*赤*",商品マスタ!$D:$E,2,FALSE),
VLOOKUP("*"&amp;D131&amp;"*",商品マスタ!$D:$E,2,FALSE)))*F131,
(H131-M131)-IF(COUNTIF(D131,"*キャラ*"),
VLOOKUP("*キャラ*",商品マスタ!$D:$E,2,FALSE),
IF(COUNTIF(D131,"*赤*"),
VLOOKUP("*赤*",商品マスタ!$D:$E,2,FALSE),
VLOOKUP("*"&amp;D131&amp;"*",商品マスタ!$D:$E,2,FALSE)))*F131),"")</f>
        <v/>
      </c>
      <c r="H131" s="105" t="str">
        <f>IF(C131&lt;&gt;"",
クライアント抽出!C61,"")</f>
        <v/>
      </c>
      <c r="I131" s="104" t="str">
        <f t="array" aca="1" ref="I131" ca="1">IF(C131&lt;&gt;"",
IF(O131=1,
IF(SUMPRODUCT(COUNTIF(クライアント抽出!P61:U61,クライアント抽出!P61:U61))&gt;COUNTA(クライアント抽出!P61:U61),
IFERROR(INDIRECT("数出表_Excel!"&amp;INDEX(_xlfn.UNIQUE(_xlfn._xlws.FILTER(クライアント抽出!P61:U61,COUNTIF(クライアント抽出!P61:U61,クライアント抽出!P61:U61)&gt;1)),1)&amp;L61&amp;""),
クライアント抽出!E61),0),クライアント抽出!F61),"")</f>
        <v/>
      </c>
      <c r="J131" s="104" t="str">
        <f>IF(C131&lt;&gt;"",
VLOOKUP(
"*"&amp;LEFT(IF(COUNTIF(D131,"*学食*"),"キャラ弁（学食）",
IF(COUNTIF(D131,"*赤*"),"赤",
IF(COUNTIF(D131,"*キャラ弁当*"),"キャラ弁当",D131))),4)&amp;"*",注文弁当の抽出!$F$1:$G$15,2,FALSE),"")</f>
        <v/>
      </c>
      <c r="K131" s="104" t="str">
        <f ca="1">IF(クライアント抽出!Q61&lt;&gt;"",SUBSTITUTE(ADDRESS(1,(CODE(クライアント抽出!Q61)-64)*2-1,4),"1",""),"")</f>
        <v/>
      </c>
      <c r="L131" s="104" t="str">
        <f>IF(C61&lt;&gt;"",クライアント抽出!I61,"")</f>
        <v/>
      </c>
      <c r="M131" s="104">
        <f t="array" aca="1" ref="M131" ca="1">IF(C131&lt;&gt;"",
IF(K131&lt;&gt;"",INDIRECT("'数出表_Excel（アレルギー入力）'!"&amp;K131&amp;L131-1&amp;""),),)</f>
        <v>0</v>
      </c>
      <c r="N131" s="104" t="str">
        <f>IF(C131&lt;&gt;"",IF(OR(COUNTIF('盛付札（関数）'!D131,"*赤*"),COUNTIF('盛付札（関数）'!D131,"*キャラ*")),1,
VALUE(VLOOKUP("*"&amp;D131&amp;"*",商品マスタ!D:H,5,FALSE))),"")</f>
        <v/>
      </c>
      <c r="O131" s="104">
        <f t="shared" ca="1" si="59"/>
        <v>0</v>
      </c>
      <c r="P131" s="104">
        <f t="shared" si="61"/>
        <v>0</v>
      </c>
      <c r="Q131" s="104" t="b">
        <f t="shared" si="62"/>
        <v>0</v>
      </c>
      <c r="R131" s="176" t="str">
        <f t="array" aca="1" ref="R131" ca="1">IFERROR(SMALL(IF(P$1:P$311&lt;&gt;0,P$1:P$311),ROW(A131)),"")</f>
        <v/>
      </c>
      <c r="S131" s="176" t="str">
        <f t="array" aca="1" ref="S131" ca="1">IF($R131&lt;&gt;"",
SUBSTITUTE(SUBSTITUTE(INDIRECT("C"&amp;$R131&amp;"")," 週3ｺｰｽ","")," 週5ｺｰｽ",""),"")</f>
        <v/>
      </c>
      <c r="T131" s="176" t="str">
        <f t="array" aca="1" ref="T131" ca="1">IF(IF($R131&lt;&gt;"",
INDIRECT(""&amp;IF(COLUMN(D131)&lt;=26,CHAR(COLUMN(D131)+64),CHAR(INT((COLUMN(D131)-1)/26)+64)&amp;CHAR(MOD(COLUMN(D131)-1,26)+65))&amp;$R131&amp;""),"")=0,"",
IF($R131&lt;&gt;"",
INDIRECT(""&amp;IF(COLUMN(D131)&lt;=26,CHAR(COLUMN(D131)+64),CHAR(INT((COLUMN(D131)-1)/26)+64)&amp;CHAR(MOD(COLUMN(D131)-1,26)+65))&amp;$R131&amp;""),""))</f>
        <v/>
      </c>
      <c r="U131" s="218" t="str">
        <f t="array" aca="1" ref="U131" ca="1">IF($R131&lt;&gt;"",
INDIRECT("F"&amp;$R131&amp;""),"")</f>
        <v/>
      </c>
      <c r="V131" s="219" t="str">
        <f t="array" aca="1" ref="V131" ca="1">IF($R131&lt;&gt;"",
INDIRECT("G"&amp;$R131&amp;""),"")</f>
        <v/>
      </c>
      <c r="W131" s="219" t="str" cm="1">
        <f t="array" aca="1" ref="W131" ca="1">IF($R131&lt;&gt;"",
IF(AND(COUNTIF(INDIRECT("B"&amp;R131&amp;""),"*雙葉*"),COUNTIF($B$71:$B$210,"*雙葉*")&gt;=1),
IF(OR(COUNTIF(INDIRECT("B"&amp;R131&amp;""),"*雙葉先生*"),COUNTIF(INDIRECT("B"&amp;R131-1&amp;""),"*雙葉*")),INDIRECT("H"&amp;R131&amp;""),INDIRECT("H"&amp;R131&amp;"")+INDIRECT("H"&amp;MATCH("雙葉'",INDIRECT("B"&amp;R131+3&amp;":B210"),0)+2+R131&amp;"")),
IF(AND(LEFT(INDIRECT("B"&amp;R131&amp;""),2)="博多",COUNTIF(B:B,"*博多*")&gt;=2),
INDIRECT("H"&amp;R131&amp;"")+IFERROR(INDIRECT("H"&amp;MATCH("*"&amp;INDIRECT("B"&amp;R131&amp;"")&amp;"*",INDIRECT("B"&amp;R131+1&amp;":B210"),0)+R131&amp;""),0),
IF(AND(LEFT(INDIRECT("B"&amp;R131&amp;""),3)="奈良屋",COUNTIF(B:B,"*奈良屋*")&gt;=2),
INDIRECT("H"&amp;R131&amp;"")
+INDIRECT("H"&amp;MATCH("*"&amp;INDIRECT("B"&amp;R131&amp;"")&amp;"*",INDIRECT("B"&amp;R131+1&amp;":B210"),0)+R131&amp;"")
+INDIRECT("H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
+INDIRECT("H"&amp;MATCH("*"&amp;INDIRECT("B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&amp;"*",INDIRECT("B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+1&amp;":B210"),0)+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,
INDIRECT("H"&amp;R131&amp;"")))),"")</f>
        <v/>
      </c>
      <c r="X131" s="176" t="str">
        <f t="array" aca="1" ref="X131" ca="1">IF($R131&lt;&gt;"",
INDIRECT(""&amp;IF(COLUMN(I131)&lt;=26,CHAR(COLUMN(I131)+64),CHAR(INT((COLUMN(I131)-1)/26)+64)&amp;CHAR(MOD(COLUMN(I131)-1,26)+65))&amp;$R131&amp;""),"")</f>
        <v/>
      </c>
      <c r="Y131" s="176" t="str">
        <f t="array" aca="1" ref="Y131" ca="1">IF($R131&lt;&gt;"",
INDIRECT(""&amp;IF(COLUMN(J131)&lt;=26,CHAR(COLUMN(J131)+64),CHAR(INT((COLUMN(J131)-1)/26)+64)&amp;CHAR(MOD(COLUMN(J131)-1,26)+65))&amp;$R131&amp;""),"")</f>
        <v/>
      </c>
      <c r="Z131" s="176" t="str">
        <f t="shared" ca="1" si="63"/>
        <v/>
      </c>
      <c r="AA131" s="176" t="str">
        <f t="shared" ca="1" si="64"/>
        <v/>
      </c>
      <c r="AB131" s="176" t="str">
        <f t="array" aca="1" ref="AB131" ca="1">IF($R131&lt;&gt;"",
IF(AND(COUNTIF(INDIRECT("B"&amp;R131&amp;""),"*雙葉*"),COUNTIF(INDIRECT("B"&amp;R131&amp;""),"&lt;&gt;*先生*"),COUNTIF(B:B,"*雙葉*")&gt;=2),
INDIRECT("M"&amp;R131&amp;"")+INDIRECT("M"&amp;MATCH("雙葉'",INDIRECT("B"&amp;R131+1&amp;":B210"),0)+R131&amp;""),
IF(AND(LEFT(INDIRECT("B"&amp;R131&amp;""),2)="博多",COUNTIF(B:B,"*博多*")&gt;=2),
INDIRECT("M"&amp;R131&amp;"")+INDIRECT("M"&amp;MATCH("*"&amp;INDIRECT("B"&amp;R131&amp;"")&amp;"*",INDIRECT("B"&amp;R131+1&amp;":B210"),0)+R131&amp;""),
IF(AND(LEFT(INDIRECT("B"&amp;R131&amp;""),3)="奈良屋",COUNTIF(B:B,"*奈良屋*")&gt;=2),
INDIRECT("M"&amp;R131&amp;"")+INDIRECT("M"&amp;MATCH("*"&amp;INDIRECT("B"&amp;R131&amp;"")&amp;"*",INDIRECT("B"&amp;R131+1&amp;":B210"),0)+R131&amp;"")
+INDIRECT("M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,
INDIRECT("M"&amp;R131&amp;"")))),"")</f>
        <v/>
      </c>
      <c r="AC131" s="176" t="str">
        <f t="shared" ca="1" si="65"/>
        <v/>
      </c>
      <c r="AD131" s="176" t="str">
        <f t="shared" ca="1" si="66"/>
        <v/>
      </c>
      <c r="AE131" s="176" t="str">
        <f t="shared" ca="1" si="67"/>
        <v/>
      </c>
      <c r="AF131" s="176" t="str">
        <f t="shared" ca="1" si="68"/>
        <v/>
      </c>
      <c r="AG131" s="176" t="str">
        <f t="shared" ca="1" si="69"/>
        <v/>
      </c>
      <c r="AH131" s="183" t="str">
        <f t="shared" ca="1" si="70"/>
        <v/>
      </c>
      <c r="AI131" s="176" t="str">
        <f t="shared" ca="1" si="71"/>
        <v/>
      </c>
      <c r="AJ131" s="176" t="str">
        <f t="shared" ca="1" si="72"/>
        <v/>
      </c>
      <c r="AK131" s="176" t="str">
        <f t="shared" ca="1" si="73"/>
        <v/>
      </c>
      <c r="AL131" s="176" t="str">
        <f t="shared" ca="1" si="74"/>
        <v/>
      </c>
      <c r="AM131" s="176" t="str">
        <f t="shared" ca="1" si="75"/>
        <v/>
      </c>
      <c r="AN131" s="176" t="str">
        <f t="shared" ca="1" si="76"/>
        <v/>
      </c>
      <c r="AO131" s="176" t="str">
        <f t="shared" ca="1" si="77"/>
        <v/>
      </c>
      <c r="AP131" s="176" t="str">
        <f t="shared" ca="1" si="78"/>
        <v/>
      </c>
      <c r="AU131" s="176" t="str">
        <f t="shared" ca="1" si="79"/>
        <v/>
      </c>
    </row>
    <row r="132" spans="1:47" ht="22.2" customHeight="1">
      <c r="A132" s="103">
        <f t="shared" si="60"/>
        <v>129</v>
      </c>
      <c r="B132" s="104" t="str">
        <f t="shared" ca="1" si="58"/>
        <v/>
      </c>
      <c r="C132" s="104" t="str">
        <f>IF(OR(クライアント抽出!C62&lt;&gt;"",クライアント抽出!F62&lt;&gt;""),クライアント抽出!A62,"")</f>
        <v/>
      </c>
      <c r="D132" s="104" t="str">
        <f t="array" aca="1" ref="D132" ca="1">IF(C132&lt;&gt;"",INDIRECT("クライアント抽出!"&amp;E132&amp;MATCH(C132,クライアント抽出!A:A,0)&amp;""),"")</f>
        <v/>
      </c>
      <c r="E132" s="104" t="str">
        <f>IF(H132&lt;&gt;0,
IFERROR(
SUBSTITUTE(ADDRESS(1,
MATCH(VALUE(H132),クライアント抽出!A62:G62,0)+8,4),"1",""),
""),
IFERROR(
SUBSTITUTE(ADDRESS(1,
MATCH(VALUE(I132),クライアント抽出!A62:G62,0)+8,4),"1",""),
""))</f>
        <v/>
      </c>
      <c r="F132" s="186" t="str">
        <f ca="1">IF(D132&lt;&gt;"",
IF(COUNTIF(C132,"*雙葉*"),
IF(ROUND((H132-M132)
/IF(COUNTIF(D132,"*キャラ*"),
VLOOKUP("*キャラ*",商品マスタ!$D:$E,2,FALSE),
IF(COUNTIF(D132,"*赤*"),
VLOOKUP("*赤*",商品マスタ!$D:$E,2,FALSE),
VLOOKUP("*"&amp;D132&amp;"*",商品マスタ!$D:$E,2,FALSE))),0)&lt;=0,1,
ROUND((H132-M132)
/IF(COUNTIF(D132,"*キャラ*"),
VLOOKUP("*キャラ*",商品マスタ!$D:$E,2,FALSE),
IF(COUNTIF(D132,"*赤*"),
VLOOKUP("*赤*",商品マスタ!$D:$E,2,FALSE),
VLOOKUP("*"&amp;D132&amp;"*",商品マスタ!$D:$E,2,FALSE))),0)),
IF(OR(COUNTIF(D132,"*キャラ*"),COUNTIF(D132,"*赤*")),"",
IF(VLOOKUP("*"&amp;D132&amp;"*",商品マスタ!$D:$E,2,FALSE)=0,"",
IF(ROUND((H132-M132)
/VLOOKUP("*"&amp;D132&amp;"*",商品マスタ!$D:$E,2,FALSE),0)&lt;=0,1,
ROUND((H132-M132)
/VLOOKUP("*"&amp;D132&amp;"*",商品マスタ!$D:$E,2,FALSE),0))))),"")</f>
        <v/>
      </c>
      <c r="G132" s="104" t="str">
        <f ca="1">IF(F132&lt;&gt;"",
IF(VALUE(H132-M132)&gt;VALUE(IF(COUNTIF(D132,"*キャラ*"),
VLOOKUP("*キャラ*",商品マスタ!$D:$E,2,FALSE),
IF(COUNTIF(D132,"*赤*"),
VLOOKUP("*赤*",商品マスタ!$D:$E,2,FALSE),
VLOOKUP("*"&amp;D132&amp;"*",商品マスタ!$D:$E,2,FALSE)))*F132),
"+"&amp;(H132-M132)-IF(COUNTIF(D132,"*キャラ*"),
VLOOKUP("*キャラ*",商品マスタ!$D:$E,2,FALSE),
IF(COUNTIF(D132,"*赤*"),
VLOOKUP("*赤*",商品マスタ!$D:$E,2,FALSE),
VLOOKUP("*"&amp;D132&amp;"*",商品マスタ!$D:$E,2,FALSE)))*F132,
(H132-M132)-IF(COUNTIF(D132,"*キャラ*"),
VLOOKUP("*キャラ*",商品マスタ!$D:$E,2,FALSE),
IF(COUNTIF(D132,"*赤*"),
VLOOKUP("*赤*",商品マスタ!$D:$E,2,FALSE),
VLOOKUP("*"&amp;D132&amp;"*",商品マスタ!$D:$E,2,FALSE)))*F132),"")</f>
        <v/>
      </c>
      <c r="H132" s="105" t="str">
        <f>IF(C132&lt;&gt;"",
クライアント抽出!C62,"")</f>
        <v/>
      </c>
      <c r="I132" s="104" t="str">
        <f t="array" aca="1" ref="I132" ca="1">IF(C132&lt;&gt;"",
IF(O132=1,
IF(SUMPRODUCT(COUNTIF(クライアント抽出!P62:U62,クライアント抽出!P62:U62))&gt;COUNTA(クライアント抽出!P62:U62),
IFERROR(INDIRECT("数出表_Excel!"&amp;INDEX(_xlfn.UNIQUE(_xlfn._xlws.FILTER(クライアント抽出!P62:U62,COUNTIF(クライアント抽出!P62:U62,クライアント抽出!P62:U62)&gt;1)),1)&amp;L62&amp;""),
クライアント抽出!E62),0),クライアント抽出!F62),"")</f>
        <v/>
      </c>
      <c r="J132" s="104" t="str">
        <f>IF(C132&lt;&gt;"",
VLOOKUP(
"*"&amp;LEFT(IF(COUNTIF(D132,"*学食*"),"キャラ弁（学食）",
IF(COUNTIF(D132,"*赤*"),"赤",
IF(COUNTIF(D132,"*キャラ弁当*"),"キャラ弁当",D132))),4)&amp;"*",注文弁当の抽出!$F$1:$G$15,2,FALSE),"")</f>
        <v/>
      </c>
      <c r="K132" s="104" t="str">
        <f ca="1">IF(クライアント抽出!Q62&lt;&gt;"",SUBSTITUTE(ADDRESS(1,(CODE(クライアント抽出!Q62)-64)*2-1,4),"1",""),"")</f>
        <v/>
      </c>
      <c r="L132" s="104" t="str">
        <f>IF(C62&lt;&gt;"",クライアント抽出!I62,"")</f>
        <v/>
      </c>
      <c r="M132" s="104">
        <f t="array" aca="1" ref="M132" ca="1">IF(C132&lt;&gt;"",
IF(K132&lt;&gt;"",INDIRECT("'数出表_Excel（アレルギー入力）'!"&amp;K132&amp;L132-1&amp;""),),)</f>
        <v>0</v>
      </c>
      <c r="N132" s="104" t="str">
        <f>IF(C132&lt;&gt;"",IF(OR(COUNTIF('盛付札（関数）'!D132,"*赤*"),COUNTIF('盛付札（関数）'!D132,"*キャラ*")),1,
VALUE(VLOOKUP("*"&amp;D132&amp;"*",商品マスタ!D:H,5,FALSE))),"")</f>
        <v/>
      </c>
      <c r="O132" s="104">
        <f t="shared" ca="1" si="59"/>
        <v>0</v>
      </c>
      <c r="P132" s="104">
        <f t="shared" si="61"/>
        <v>0</v>
      </c>
      <c r="Q132" s="104" t="b">
        <f t="shared" si="62"/>
        <v>0</v>
      </c>
      <c r="R132" s="176" t="str">
        <f t="array" aca="1" ref="R132" ca="1">IFERROR(SMALL(IF(P$1:P$311&lt;&gt;0,P$1:P$311),ROW(A132)),"")</f>
        <v/>
      </c>
      <c r="S132" s="176" t="str">
        <f t="array" aca="1" ref="S132" ca="1">IF($R132&lt;&gt;"",
SUBSTITUTE(SUBSTITUTE(INDIRECT("C"&amp;$R132&amp;"")," 週3ｺｰｽ","")," 週5ｺｰｽ",""),"")</f>
        <v/>
      </c>
      <c r="T132" s="176" t="str">
        <f t="array" aca="1" ref="T132" ca="1">IF(IF($R132&lt;&gt;"",
INDIRECT(""&amp;IF(COLUMN(D132)&lt;=26,CHAR(COLUMN(D132)+64),CHAR(INT((COLUMN(D132)-1)/26)+64)&amp;CHAR(MOD(COLUMN(D132)-1,26)+65))&amp;$R132&amp;""),"")=0,"",
IF($R132&lt;&gt;"",
INDIRECT(""&amp;IF(COLUMN(D132)&lt;=26,CHAR(COLUMN(D132)+64),CHAR(INT((COLUMN(D132)-1)/26)+64)&amp;CHAR(MOD(COLUMN(D132)-1,26)+65))&amp;$R132&amp;""),""))</f>
        <v/>
      </c>
      <c r="U132" s="218" t="str">
        <f t="array" aca="1" ref="U132" ca="1">IF($R132&lt;&gt;"",
INDIRECT("F"&amp;$R132&amp;""),"")</f>
        <v/>
      </c>
      <c r="V132" s="219" t="str">
        <f t="array" aca="1" ref="V132" ca="1">IF($R132&lt;&gt;"",
INDIRECT("G"&amp;$R132&amp;""),"")</f>
        <v/>
      </c>
      <c r="W132" s="219" t="str" cm="1">
        <f t="array" aca="1" ref="W132" ca="1">IF($R132&lt;&gt;"",
IF(AND(COUNTIF(INDIRECT("B"&amp;R132&amp;""),"*雙葉*"),COUNTIF($B$71:$B$210,"*雙葉*")&gt;=1),
IF(OR(COUNTIF(INDIRECT("B"&amp;R132&amp;""),"*雙葉先生*"),COUNTIF(INDIRECT("B"&amp;R132-1&amp;""),"*雙葉*")),INDIRECT("H"&amp;R132&amp;""),INDIRECT("H"&amp;R132&amp;"")+INDIRECT("H"&amp;MATCH("雙葉'",INDIRECT("B"&amp;R132+3&amp;":B210"),0)+2+R132&amp;"")),
IF(AND(LEFT(INDIRECT("B"&amp;R132&amp;""),2)="博多",COUNTIF(B:B,"*博多*")&gt;=2),
INDIRECT("H"&amp;R132&amp;"")+IFERROR(INDIRECT("H"&amp;MATCH("*"&amp;INDIRECT("B"&amp;R132&amp;"")&amp;"*",INDIRECT("B"&amp;R132+1&amp;":B210"),0)+R132&amp;""),0),
IF(AND(LEFT(INDIRECT("B"&amp;R132&amp;""),3)="奈良屋",COUNTIF(B:B,"*奈良屋*")&gt;=2),
INDIRECT("H"&amp;R132&amp;"")
+INDIRECT("H"&amp;MATCH("*"&amp;INDIRECT("B"&amp;R132&amp;"")&amp;"*",INDIRECT("B"&amp;R132+1&amp;":B210"),0)+R132&amp;"")
+INDIRECT("H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
+INDIRECT("H"&amp;MATCH("*"&amp;INDIRECT("B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&amp;"*",INDIRECT("B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+1&amp;":B210"),0)+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,
INDIRECT("H"&amp;R132&amp;"")))),"")</f>
        <v/>
      </c>
      <c r="X132" s="176" t="str">
        <f t="array" aca="1" ref="X132" ca="1">IF($R132&lt;&gt;"",
INDIRECT(""&amp;IF(COLUMN(I132)&lt;=26,CHAR(COLUMN(I132)+64),CHAR(INT((COLUMN(I132)-1)/26)+64)&amp;CHAR(MOD(COLUMN(I132)-1,26)+65))&amp;$R132&amp;""),"")</f>
        <v/>
      </c>
      <c r="Y132" s="176" t="str">
        <f t="array" aca="1" ref="Y132" ca="1">IF($R132&lt;&gt;"",
INDIRECT(""&amp;IF(COLUMN(J132)&lt;=26,CHAR(COLUMN(J132)+64),CHAR(INT((COLUMN(J132)-1)/26)+64)&amp;CHAR(MOD(COLUMN(J132)-1,26)+65))&amp;$R132&amp;""),"")</f>
        <v/>
      </c>
      <c r="Z132" s="176" t="str">
        <f t="shared" ca="1" si="63"/>
        <v/>
      </c>
      <c r="AA132" s="176" t="str">
        <f t="shared" ca="1" si="64"/>
        <v/>
      </c>
      <c r="AB132" s="176" t="str">
        <f t="array" aca="1" ref="AB132" ca="1">IF($R132&lt;&gt;"",
IF(AND(COUNTIF(INDIRECT("B"&amp;R132&amp;""),"*雙葉*"),COUNTIF(INDIRECT("B"&amp;R132&amp;""),"&lt;&gt;*先生*"),COUNTIF(B:B,"*雙葉*")&gt;=2),
INDIRECT("M"&amp;R132&amp;"")+INDIRECT("M"&amp;MATCH("雙葉'",INDIRECT("B"&amp;R132+1&amp;":B210"),0)+R132&amp;""),
IF(AND(LEFT(INDIRECT("B"&amp;R132&amp;""),2)="博多",COUNTIF(B:B,"*博多*")&gt;=2),
INDIRECT("M"&amp;R132&amp;"")+INDIRECT("M"&amp;MATCH("*"&amp;INDIRECT("B"&amp;R132&amp;"")&amp;"*",INDIRECT("B"&amp;R132+1&amp;":B210"),0)+R132&amp;""),
IF(AND(LEFT(INDIRECT("B"&amp;R132&amp;""),3)="奈良屋",COUNTIF(B:B,"*奈良屋*")&gt;=2),
INDIRECT("M"&amp;R132&amp;"")+INDIRECT("M"&amp;MATCH("*"&amp;INDIRECT("B"&amp;R132&amp;"")&amp;"*",INDIRECT("B"&amp;R132+1&amp;":B210"),0)+R132&amp;"")
+INDIRECT("M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,
INDIRECT("M"&amp;R132&amp;"")))),"")</f>
        <v/>
      </c>
      <c r="AC132" s="176" t="str">
        <f t="shared" ca="1" si="65"/>
        <v/>
      </c>
      <c r="AD132" s="176" t="str">
        <f t="shared" ca="1" si="66"/>
        <v/>
      </c>
      <c r="AE132" s="176" t="str">
        <f t="shared" ca="1" si="67"/>
        <v/>
      </c>
      <c r="AF132" s="176" t="str">
        <f t="shared" ca="1" si="68"/>
        <v/>
      </c>
      <c r="AG132" s="176" t="str">
        <f t="shared" ca="1" si="69"/>
        <v/>
      </c>
      <c r="AH132" s="183" t="str">
        <f t="shared" ca="1" si="70"/>
        <v/>
      </c>
      <c r="AI132" s="176" t="str">
        <f t="shared" ca="1" si="71"/>
        <v/>
      </c>
      <c r="AJ132" s="176" t="str">
        <f t="shared" ca="1" si="72"/>
        <v/>
      </c>
      <c r="AK132" s="176" t="str">
        <f t="shared" ca="1" si="73"/>
        <v/>
      </c>
      <c r="AL132" s="176" t="str">
        <f t="shared" ca="1" si="74"/>
        <v/>
      </c>
      <c r="AM132" s="176" t="str">
        <f t="shared" ca="1" si="75"/>
        <v/>
      </c>
      <c r="AN132" s="176" t="str">
        <f t="shared" ca="1" si="76"/>
        <v/>
      </c>
      <c r="AO132" s="176" t="str">
        <f t="shared" ca="1" si="77"/>
        <v/>
      </c>
      <c r="AP132" s="176" t="str">
        <f t="shared" ca="1" si="78"/>
        <v/>
      </c>
      <c r="AU132" s="176" t="str">
        <f t="shared" ca="1" si="79"/>
        <v/>
      </c>
    </row>
    <row r="133" spans="1:47" ht="22.2" customHeight="1">
      <c r="A133" s="103">
        <f t="shared" si="60"/>
        <v>131</v>
      </c>
      <c r="B133" s="104" t="str">
        <f t="shared" ca="1" si="58"/>
        <v/>
      </c>
      <c r="C133" s="104" t="str">
        <f>IF(OR(クライアント抽出!C63&lt;&gt;"",クライアント抽出!F63&lt;&gt;""),クライアント抽出!A63,"")</f>
        <v/>
      </c>
      <c r="D133" s="104" t="str">
        <f t="array" aca="1" ref="D133" ca="1">IF(C133&lt;&gt;"",INDIRECT("クライアント抽出!"&amp;E133&amp;MATCH(C133,クライアント抽出!A:A,0)&amp;""),"")</f>
        <v/>
      </c>
      <c r="E133" s="104" t="str">
        <f>IF(H133&lt;&gt;0,
IFERROR(
SUBSTITUTE(ADDRESS(1,
MATCH(VALUE(H133),クライアント抽出!A63:G63,0)+8,4),"1",""),
""),
IFERROR(
SUBSTITUTE(ADDRESS(1,
MATCH(VALUE(I133),クライアント抽出!A63:G63,0)+8,4),"1",""),
""))</f>
        <v/>
      </c>
      <c r="F133" s="186" t="str">
        <f ca="1">IF(D133&lt;&gt;"",
IF(COUNTIF(C133,"*雙葉*"),
IF(ROUND((H133-M133)
/IF(COUNTIF(D133,"*キャラ*"),
VLOOKUP("*キャラ*",商品マスタ!$D:$E,2,FALSE),
IF(COUNTIF(D133,"*赤*"),
VLOOKUP("*赤*",商品マスタ!$D:$E,2,FALSE),
VLOOKUP("*"&amp;D133&amp;"*",商品マスタ!$D:$E,2,FALSE))),0)&lt;=0,1,
ROUND((H133-M133)
/IF(COUNTIF(D133,"*キャラ*"),
VLOOKUP("*キャラ*",商品マスタ!$D:$E,2,FALSE),
IF(COUNTIF(D133,"*赤*"),
VLOOKUP("*赤*",商品マスタ!$D:$E,2,FALSE),
VLOOKUP("*"&amp;D133&amp;"*",商品マスタ!$D:$E,2,FALSE))),0)),
IF(OR(COUNTIF(D133,"*キャラ*"),COUNTIF(D133,"*赤*")),"",
IF(VLOOKUP("*"&amp;D133&amp;"*",商品マスタ!$D:$E,2,FALSE)=0,"",
IF(ROUND((H133-M133)
/VLOOKUP("*"&amp;D133&amp;"*",商品マスタ!$D:$E,2,FALSE),0)&lt;=0,1,
ROUND((H133-M133)
/VLOOKUP("*"&amp;D133&amp;"*",商品マスタ!$D:$E,2,FALSE),0))))),"")</f>
        <v/>
      </c>
      <c r="G133" s="104" t="str">
        <f ca="1">IF(F133&lt;&gt;"",
IF(VALUE(H133-M133)&gt;VALUE(IF(COUNTIF(D133,"*キャラ*"),
VLOOKUP("*キャラ*",商品マスタ!$D:$E,2,FALSE),
IF(COUNTIF(D133,"*赤*"),
VLOOKUP("*赤*",商品マスタ!$D:$E,2,FALSE),
VLOOKUP("*"&amp;D133&amp;"*",商品マスタ!$D:$E,2,FALSE)))*F133),
"+"&amp;(H133-M133)-IF(COUNTIF(D133,"*キャラ*"),
VLOOKUP("*キャラ*",商品マスタ!$D:$E,2,FALSE),
IF(COUNTIF(D133,"*赤*"),
VLOOKUP("*赤*",商品マスタ!$D:$E,2,FALSE),
VLOOKUP("*"&amp;D133&amp;"*",商品マスタ!$D:$E,2,FALSE)))*F133,
(H133-M133)-IF(COUNTIF(D133,"*キャラ*"),
VLOOKUP("*キャラ*",商品マスタ!$D:$E,2,FALSE),
IF(COUNTIF(D133,"*赤*"),
VLOOKUP("*赤*",商品マスタ!$D:$E,2,FALSE),
VLOOKUP("*"&amp;D133&amp;"*",商品マスタ!$D:$E,2,FALSE)))*F133),"")</f>
        <v/>
      </c>
      <c r="H133" s="105" t="str">
        <f>IF(C133&lt;&gt;"",
クライアント抽出!C63,"")</f>
        <v/>
      </c>
      <c r="I133" s="104" t="str">
        <f t="array" aca="1" ref="I133" ca="1">IF(C133&lt;&gt;"",
IF(O133=1,
IF(SUMPRODUCT(COUNTIF(クライアント抽出!P63:U63,クライアント抽出!P63:U63))&gt;COUNTA(クライアント抽出!P63:U63),
IFERROR(INDIRECT("数出表_Excel!"&amp;INDEX(_xlfn.UNIQUE(_xlfn._xlws.FILTER(クライアント抽出!P63:U63,COUNTIF(クライアント抽出!P63:U63,クライアント抽出!P63:U63)&gt;1)),1)&amp;L63&amp;""),
クライアント抽出!E63),0),クライアント抽出!F63),"")</f>
        <v/>
      </c>
      <c r="J133" s="104" t="str">
        <f>IF(C133&lt;&gt;"",
VLOOKUP(
"*"&amp;LEFT(IF(COUNTIF(D133,"*学食*"),"キャラ弁（学食）",
IF(COUNTIF(D133,"*赤*"),"赤",
IF(COUNTIF(D133,"*キャラ弁当*"),"キャラ弁当",D133))),4)&amp;"*",注文弁当の抽出!$F$1:$G$15,2,FALSE),"")</f>
        <v/>
      </c>
      <c r="K133" s="104" t="str">
        <f ca="1">IF(クライアント抽出!Q63&lt;&gt;"",SUBSTITUTE(ADDRESS(1,(CODE(クライアント抽出!Q63)-64)*2-1,4),"1",""),"")</f>
        <v/>
      </c>
      <c r="L133" s="104" t="str">
        <f>IF(C63&lt;&gt;"",クライアント抽出!I63,"")</f>
        <v/>
      </c>
      <c r="M133" s="104">
        <f t="array" aca="1" ref="M133" ca="1">IF(C133&lt;&gt;"",
IF(K133&lt;&gt;"",INDIRECT("'数出表_Excel（アレルギー入力）'!"&amp;K133&amp;L133-1&amp;""),),)</f>
        <v>0</v>
      </c>
      <c r="N133" s="104" t="str">
        <f>IF(C133&lt;&gt;"",IF(OR(COUNTIF('盛付札（関数）'!D133,"*赤*"),COUNTIF('盛付札（関数）'!D133,"*キャラ*")),1,
VALUE(VLOOKUP("*"&amp;D133&amp;"*",商品マスタ!D:H,5,FALSE))),"")</f>
        <v/>
      </c>
      <c r="O133" s="104">
        <f t="shared" ca="1" si="59"/>
        <v>0</v>
      </c>
      <c r="P133" s="104">
        <f t="shared" si="61"/>
        <v>0</v>
      </c>
      <c r="Q133" s="104" t="b">
        <f t="shared" si="62"/>
        <v>0</v>
      </c>
      <c r="R133" s="176" t="str">
        <f t="array" aca="1" ref="R133" ca="1">IFERROR(SMALL(IF(P$1:P$311&lt;&gt;0,P$1:P$311),ROW(A133)),"")</f>
        <v/>
      </c>
      <c r="S133" s="176" t="str">
        <f t="array" aca="1" ref="S133" ca="1">IF($R133&lt;&gt;"",
SUBSTITUTE(SUBSTITUTE(INDIRECT("C"&amp;$R133&amp;"")," 週3ｺｰｽ","")," 週5ｺｰｽ",""),"")</f>
        <v/>
      </c>
      <c r="T133" s="176" t="str">
        <f t="array" aca="1" ref="T133" ca="1">IF(IF($R133&lt;&gt;"",
INDIRECT(""&amp;IF(COLUMN(D133)&lt;=26,CHAR(COLUMN(D133)+64),CHAR(INT((COLUMN(D133)-1)/26)+64)&amp;CHAR(MOD(COLUMN(D133)-1,26)+65))&amp;$R133&amp;""),"")=0,"",
IF($R133&lt;&gt;"",
INDIRECT(""&amp;IF(COLUMN(D133)&lt;=26,CHAR(COLUMN(D133)+64),CHAR(INT((COLUMN(D133)-1)/26)+64)&amp;CHAR(MOD(COLUMN(D133)-1,26)+65))&amp;$R133&amp;""),""))</f>
        <v/>
      </c>
      <c r="U133" s="218" t="str">
        <f t="array" aca="1" ref="U133" ca="1">IF($R133&lt;&gt;"",
INDIRECT("F"&amp;$R133&amp;""),"")</f>
        <v/>
      </c>
      <c r="V133" s="219" t="str">
        <f t="array" aca="1" ref="V133" ca="1">IF($R133&lt;&gt;"",
INDIRECT("G"&amp;$R133&amp;""),"")</f>
        <v/>
      </c>
      <c r="W133" s="219" t="str" cm="1">
        <f t="array" aca="1" ref="W133" ca="1">IF($R133&lt;&gt;"",
IF(AND(COUNTIF(INDIRECT("B"&amp;R133&amp;""),"*雙葉*"),COUNTIF($B$71:$B$210,"*雙葉*")&gt;=1),
IF(OR(COUNTIF(INDIRECT("B"&amp;R133&amp;""),"*雙葉先生*"),COUNTIF(INDIRECT("B"&amp;R133-1&amp;""),"*雙葉*")),INDIRECT("H"&amp;R133&amp;""),INDIRECT("H"&amp;R133&amp;"")+INDIRECT("H"&amp;MATCH("雙葉'",INDIRECT("B"&amp;R133+3&amp;":B210"),0)+2+R133&amp;"")),
IF(AND(LEFT(INDIRECT("B"&amp;R133&amp;""),2)="博多",COUNTIF(B:B,"*博多*")&gt;=2),
INDIRECT("H"&amp;R133&amp;"")+IFERROR(INDIRECT("H"&amp;MATCH("*"&amp;INDIRECT("B"&amp;R133&amp;"")&amp;"*",INDIRECT("B"&amp;R133+1&amp;":B210"),0)+R133&amp;""),0),
IF(AND(LEFT(INDIRECT("B"&amp;R133&amp;""),3)="奈良屋",COUNTIF(B:B,"*奈良屋*")&gt;=2),
INDIRECT("H"&amp;R133&amp;"")
+INDIRECT("H"&amp;MATCH("*"&amp;INDIRECT("B"&amp;R133&amp;"")&amp;"*",INDIRECT("B"&amp;R133+1&amp;":B210"),0)+R133&amp;"")
+INDIRECT("H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
+INDIRECT("H"&amp;MATCH("*"&amp;INDIRECT("B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&amp;"*",INDIRECT("B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+1&amp;":B210"),0)+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,
INDIRECT("H"&amp;R133&amp;"")))),"")</f>
        <v/>
      </c>
      <c r="X133" s="176" t="str">
        <f t="array" aca="1" ref="X133" ca="1">IF($R133&lt;&gt;"",
INDIRECT(""&amp;IF(COLUMN(I133)&lt;=26,CHAR(COLUMN(I133)+64),CHAR(INT((COLUMN(I133)-1)/26)+64)&amp;CHAR(MOD(COLUMN(I133)-1,26)+65))&amp;$R133&amp;""),"")</f>
        <v/>
      </c>
      <c r="Y133" s="176" t="str">
        <f t="array" aca="1" ref="Y133" ca="1">IF($R133&lt;&gt;"",
INDIRECT(""&amp;IF(COLUMN(J133)&lt;=26,CHAR(COLUMN(J133)+64),CHAR(INT((COLUMN(J133)-1)/26)+64)&amp;CHAR(MOD(COLUMN(J133)-1,26)+65))&amp;$R133&amp;""),"")</f>
        <v/>
      </c>
      <c r="Z133" s="176" t="str">
        <f t="shared" ca="1" si="63"/>
        <v/>
      </c>
      <c r="AA133" s="176" t="str">
        <f t="shared" ca="1" si="64"/>
        <v/>
      </c>
      <c r="AB133" s="176" t="str">
        <f t="array" aca="1" ref="AB133" ca="1">IF($R133&lt;&gt;"",
IF(AND(COUNTIF(INDIRECT("B"&amp;R133&amp;""),"*雙葉*"),COUNTIF(INDIRECT("B"&amp;R133&amp;""),"&lt;&gt;*先生*"),COUNTIF(B:B,"*雙葉*")&gt;=2),
INDIRECT("M"&amp;R133&amp;"")+INDIRECT("M"&amp;MATCH("雙葉'",INDIRECT("B"&amp;R133+1&amp;":B210"),0)+R133&amp;""),
IF(AND(LEFT(INDIRECT("B"&amp;R133&amp;""),2)="博多",COUNTIF(B:B,"*博多*")&gt;=2),
INDIRECT("M"&amp;R133&amp;"")+INDIRECT("M"&amp;MATCH("*"&amp;INDIRECT("B"&amp;R133&amp;"")&amp;"*",INDIRECT("B"&amp;R133+1&amp;":B210"),0)+R133&amp;""),
IF(AND(LEFT(INDIRECT("B"&amp;R133&amp;""),3)="奈良屋",COUNTIF(B:B,"*奈良屋*")&gt;=2),
INDIRECT("M"&amp;R133&amp;"")+INDIRECT("M"&amp;MATCH("*"&amp;INDIRECT("B"&amp;R133&amp;"")&amp;"*",INDIRECT("B"&amp;R133+1&amp;":B210"),0)+R133&amp;"")
+INDIRECT("M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,
INDIRECT("M"&amp;R133&amp;"")))),"")</f>
        <v/>
      </c>
      <c r="AC133" s="176" t="str">
        <f t="shared" ca="1" si="65"/>
        <v/>
      </c>
      <c r="AD133" s="176" t="str">
        <f t="shared" ca="1" si="66"/>
        <v/>
      </c>
      <c r="AE133" s="176" t="str">
        <f t="shared" ca="1" si="67"/>
        <v/>
      </c>
      <c r="AF133" s="176" t="str">
        <f t="shared" ca="1" si="68"/>
        <v/>
      </c>
      <c r="AG133" s="176" t="str">
        <f t="shared" ca="1" si="69"/>
        <v/>
      </c>
      <c r="AH133" s="183" t="str">
        <f t="shared" ca="1" si="70"/>
        <v/>
      </c>
      <c r="AI133" s="176" t="str">
        <f t="shared" ca="1" si="71"/>
        <v/>
      </c>
      <c r="AJ133" s="176" t="str">
        <f t="shared" ca="1" si="72"/>
        <v/>
      </c>
      <c r="AK133" s="176" t="str">
        <f t="shared" ca="1" si="73"/>
        <v/>
      </c>
      <c r="AL133" s="176" t="str">
        <f t="shared" ca="1" si="74"/>
        <v/>
      </c>
      <c r="AM133" s="176" t="str">
        <f t="shared" ca="1" si="75"/>
        <v/>
      </c>
      <c r="AN133" s="176" t="str">
        <f t="shared" ca="1" si="76"/>
        <v/>
      </c>
      <c r="AO133" s="176" t="str">
        <f t="shared" ca="1" si="77"/>
        <v/>
      </c>
      <c r="AP133" s="176" t="str">
        <f t="shared" ca="1" si="78"/>
        <v/>
      </c>
      <c r="AU133" s="176" t="str">
        <f t="shared" ca="1" si="79"/>
        <v/>
      </c>
    </row>
    <row r="134" spans="1:47" ht="22.2" customHeight="1">
      <c r="A134" s="103">
        <f t="shared" si="60"/>
        <v>133</v>
      </c>
      <c r="B134" s="104" t="str">
        <f t="shared" ca="1" si="58"/>
        <v/>
      </c>
      <c r="C134" s="104" t="str">
        <f>IF(OR(クライアント抽出!C64&lt;&gt;"",クライアント抽出!F64&lt;&gt;""),クライアント抽出!A64,"")</f>
        <v/>
      </c>
      <c r="D134" s="104" t="str">
        <f t="array" aca="1" ref="D134" ca="1">IF(C134&lt;&gt;"",INDIRECT("クライアント抽出!"&amp;E134&amp;MATCH(C134,クライアント抽出!A:A,0)&amp;""),"")</f>
        <v/>
      </c>
      <c r="E134" s="104" t="str">
        <f>IF(H134&lt;&gt;0,
IFERROR(
SUBSTITUTE(ADDRESS(1,
MATCH(VALUE(H134),クライアント抽出!A64:G64,0)+8,4),"1",""),
""),
IFERROR(
SUBSTITUTE(ADDRESS(1,
MATCH(VALUE(I134),クライアント抽出!A64:G64,0)+8,4),"1",""),
""))</f>
        <v/>
      </c>
      <c r="F134" s="186" t="str">
        <f ca="1">IF(D134&lt;&gt;"",
IF(COUNTIF(C134,"*雙葉*"),
IF(ROUND((H134-M134)
/IF(COUNTIF(D134,"*キャラ*"),
VLOOKUP("*キャラ*",商品マスタ!$D:$E,2,FALSE),
IF(COUNTIF(D134,"*赤*"),
VLOOKUP("*赤*",商品マスタ!$D:$E,2,FALSE),
VLOOKUP("*"&amp;D134&amp;"*",商品マスタ!$D:$E,2,FALSE))),0)&lt;=0,1,
ROUND((H134-M134)
/IF(COUNTIF(D134,"*キャラ*"),
VLOOKUP("*キャラ*",商品マスタ!$D:$E,2,FALSE),
IF(COUNTIF(D134,"*赤*"),
VLOOKUP("*赤*",商品マスタ!$D:$E,2,FALSE),
VLOOKUP("*"&amp;D134&amp;"*",商品マスタ!$D:$E,2,FALSE))),0)),
IF(OR(COUNTIF(D134,"*キャラ*"),COUNTIF(D134,"*赤*")),"",
IF(VLOOKUP("*"&amp;D134&amp;"*",商品マスタ!$D:$E,2,FALSE)=0,"",
IF(ROUND((H134-M134)
/VLOOKUP("*"&amp;D134&amp;"*",商品マスタ!$D:$E,2,FALSE),0)&lt;=0,1,
ROUND((H134-M134)
/VLOOKUP("*"&amp;D134&amp;"*",商品マスタ!$D:$E,2,FALSE),0))))),"")</f>
        <v/>
      </c>
      <c r="G134" s="104" t="str">
        <f ca="1">IF(F134&lt;&gt;"",
IF(VALUE(H134-M134)&gt;VALUE(IF(COUNTIF(D134,"*キャラ*"),
VLOOKUP("*キャラ*",商品マスタ!$D:$E,2,FALSE),
IF(COUNTIF(D134,"*赤*"),
VLOOKUP("*赤*",商品マスタ!$D:$E,2,FALSE),
VLOOKUP("*"&amp;D134&amp;"*",商品マスタ!$D:$E,2,FALSE)))*F134),
"+"&amp;(H134-M134)-IF(COUNTIF(D134,"*キャラ*"),
VLOOKUP("*キャラ*",商品マスタ!$D:$E,2,FALSE),
IF(COUNTIF(D134,"*赤*"),
VLOOKUP("*赤*",商品マスタ!$D:$E,2,FALSE),
VLOOKUP("*"&amp;D134&amp;"*",商品マスタ!$D:$E,2,FALSE)))*F134,
(H134-M134)-IF(COUNTIF(D134,"*キャラ*"),
VLOOKUP("*キャラ*",商品マスタ!$D:$E,2,FALSE),
IF(COUNTIF(D134,"*赤*"),
VLOOKUP("*赤*",商品マスタ!$D:$E,2,FALSE),
VLOOKUP("*"&amp;D134&amp;"*",商品マスタ!$D:$E,2,FALSE)))*F134),"")</f>
        <v/>
      </c>
      <c r="H134" s="105" t="str">
        <f>IF(C134&lt;&gt;"",
クライアント抽出!C64,"")</f>
        <v/>
      </c>
      <c r="I134" s="104" t="str">
        <f t="array" aca="1" ref="I134" ca="1">IF(C134&lt;&gt;"",
IF(O134=1,
IF(SUMPRODUCT(COUNTIF(クライアント抽出!P64:U64,クライアント抽出!P64:U64))&gt;COUNTA(クライアント抽出!P64:U64),
IFERROR(INDIRECT("数出表_Excel!"&amp;INDEX(_xlfn.UNIQUE(_xlfn._xlws.FILTER(クライアント抽出!P64:U64,COUNTIF(クライアント抽出!P64:U64,クライアント抽出!P64:U64)&gt;1)),1)&amp;L64&amp;""),
クライアント抽出!E64),0),クライアント抽出!F64),"")</f>
        <v/>
      </c>
      <c r="J134" s="104" t="str">
        <f>IF(C134&lt;&gt;"",
VLOOKUP(
"*"&amp;LEFT(IF(COUNTIF(D134,"*学食*"),"キャラ弁（学食）",
IF(COUNTIF(D134,"*赤*"),"赤",
IF(COUNTIF(D134,"*キャラ弁当*"),"キャラ弁当",D134))),4)&amp;"*",注文弁当の抽出!$F$1:$G$15,2,FALSE),"")</f>
        <v/>
      </c>
      <c r="K134" s="104" t="str">
        <f ca="1">IF(クライアント抽出!Q64&lt;&gt;"",SUBSTITUTE(ADDRESS(1,(CODE(クライアント抽出!Q64)-64)*2-1,4),"1",""),"")</f>
        <v/>
      </c>
      <c r="L134" s="104" t="str">
        <f>IF(C64&lt;&gt;"",クライアント抽出!I64,"")</f>
        <v/>
      </c>
      <c r="M134" s="104">
        <f t="array" aca="1" ref="M134" ca="1">IF(C134&lt;&gt;"",
IF(K134&lt;&gt;"",INDIRECT("'数出表_Excel（アレルギー入力）'!"&amp;K134&amp;L134-1&amp;""),),)</f>
        <v>0</v>
      </c>
      <c r="N134" s="104" t="str">
        <f>IF(C134&lt;&gt;"",IF(OR(COUNTIF('盛付札（関数）'!D134,"*赤*"),COUNTIF('盛付札（関数）'!D134,"*キャラ*")),1,
VALUE(VLOOKUP("*"&amp;D134&amp;"*",商品マスタ!D:H,5,FALSE))),"")</f>
        <v/>
      </c>
      <c r="O134" s="104">
        <f t="shared" ca="1" si="59"/>
        <v>0</v>
      </c>
      <c r="P134" s="104">
        <f t="shared" si="61"/>
        <v>0</v>
      </c>
      <c r="Q134" s="104" t="b">
        <f t="shared" si="62"/>
        <v>0</v>
      </c>
      <c r="R134" s="176" t="str">
        <f t="array" aca="1" ref="R134" ca="1">IFERROR(SMALL(IF(P$1:P$311&lt;&gt;0,P$1:P$311),ROW(A134)),"")</f>
        <v/>
      </c>
      <c r="S134" s="176" t="str">
        <f t="array" aca="1" ref="S134" ca="1">IF($R134&lt;&gt;"",
SUBSTITUTE(SUBSTITUTE(INDIRECT("C"&amp;$R134&amp;"")," 週3ｺｰｽ","")," 週5ｺｰｽ",""),"")</f>
        <v/>
      </c>
      <c r="T134" s="176" t="str">
        <f t="array" aca="1" ref="T134" ca="1">IF(IF($R134&lt;&gt;"",
INDIRECT(""&amp;IF(COLUMN(D134)&lt;=26,CHAR(COLUMN(D134)+64),CHAR(INT((COLUMN(D134)-1)/26)+64)&amp;CHAR(MOD(COLUMN(D134)-1,26)+65))&amp;$R134&amp;""),"")=0,"",
IF($R134&lt;&gt;"",
INDIRECT(""&amp;IF(COLUMN(D134)&lt;=26,CHAR(COLUMN(D134)+64),CHAR(INT((COLUMN(D134)-1)/26)+64)&amp;CHAR(MOD(COLUMN(D134)-1,26)+65))&amp;$R134&amp;""),""))</f>
        <v/>
      </c>
      <c r="U134" s="218" t="str">
        <f t="array" aca="1" ref="U134" ca="1">IF($R134&lt;&gt;"",
INDIRECT("F"&amp;$R134&amp;""),"")</f>
        <v/>
      </c>
      <c r="V134" s="219" t="str">
        <f t="array" aca="1" ref="V134" ca="1">IF($R134&lt;&gt;"",
INDIRECT("G"&amp;$R134&amp;""),"")</f>
        <v/>
      </c>
      <c r="W134" s="219" t="str" cm="1">
        <f t="array" aca="1" ref="W134" ca="1">IF($R134&lt;&gt;"",
IF(AND(COUNTIF(INDIRECT("B"&amp;R134&amp;""),"*雙葉*"),COUNTIF($B$71:$B$210,"*雙葉*")&gt;=1),
IF(OR(COUNTIF(INDIRECT("B"&amp;R134&amp;""),"*雙葉先生*"),COUNTIF(INDIRECT("B"&amp;R134-1&amp;""),"*雙葉*")),INDIRECT("H"&amp;R134&amp;""),INDIRECT("H"&amp;R134&amp;"")+INDIRECT("H"&amp;MATCH("雙葉'",INDIRECT("B"&amp;R134+3&amp;":B210"),0)+2+R134&amp;"")),
IF(AND(LEFT(INDIRECT("B"&amp;R134&amp;""),2)="博多",COUNTIF(B:B,"*博多*")&gt;=2),
INDIRECT("H"&amp;R134&amp;"")+IFERROR(INDIRECT("H"&amp;MATCH("*"&amp;INDIRECT("B"&amp;R134&amp;"")&amp;"*",INDIRECT("B"&amp;R134+1&amp;":B210"),0)+R134&amp;""),0),
IF(AND(LEFT(INDIRECT("B"&amp;R134&amp;""),3)="奈良屋",COUNTIF(B:B,"*奈良屋*")&gt;=2),
INDIRECT("H"&amp;R134&amp;"")
+INDIRECT("H"&amp;MATCH("*"&amp;INDIRECT("B"&amp;R134&amp;"")&amp;"*",INDIRECT("B"&amp;R134+1&amp;":B210"),0)+R134&amp;"")
+INDIRECT("H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
+INDIRECT("H"&amp;MATCH("*"&amp;INDIRECT("B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&amp;"*",INDIRECT("B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+1&amp;":B210"),0)+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,
INDIRECT("H"&amp;R134&amp;"")))),"")</f>
        <v/>
      </c>
      <c r="X134" s="176" t="str">
        <f t="array" aca="1" ref="X134" ca="1">IF($R134&lt;&gt;"",
INDIRECT(""&amp;IF(COLUMN(I134)&lt;=26,CHAR(COLUMN(I134)+64),CHAR(INT((COLUMN(I134)-1)/26)+64)&amp;CHAR(MOD(COLUMN(I134)-1,26)+65))&amp;$R134&amp;""),"")</f>
        <v/>
      </c>
      <c r="Y134" s="176" t="str">
        <f t="array" aca="1" ref="Y134" ca="1">IF($R134&lt;&gt;"",
INDIRECT(""&amp;IF(COLUMN(J134)&lt;=26,CHAR(COLUMN(J134)+64),CHAR(INT((COLUMN(J134)-1)/26)+64)&amp;CHAR(MOD(COLUMN(J134)-1,26)+65))&amp;$R134&amp;""),"")</f>
        <v/>
      </c>
      <c r="Z134" s="176" t="str">
        <f t="shared" ca="1" si="63"/>
        <v/>
      </c>
      <c r="AA134" s="176" t="str">
        <f t="shared" ca="1" si="64"/>
        <v/>
      </c>
      <c r="AB134" s="176" t="str">
        <f t="array" aca="1" ref="AB134" ca="1">IF($R134&lt;&gt;"",
IF(AND(COUNTIF(INDIRECT("B"&amp;R134&amp;""),"*雙葉*"),COUNTIF(INDIRECT("B"&amp;R134&amp;""),"&lt;&gt;*先生*"),COUNTIF(B:B,"*雙葉*")&gt;=2),
INDIRECT("M"&amp;R134&amp;"")+INDIRECT("M"&amp;MATCH("雙葉'",INDIRECT("B"&amp;R134+1&amp;":B210"),0)+R134&amp;""),
IF(AND(LEFT(INDIRECT("B"&amp;R134&amp;""),2)="博多",COUNTIF(B:B,"*博多*")&gt;=2),
INDIRECT("M"&amp;R134&amp;"")+INDIRECT("M"&amp;MATCH("*"&amp;INDIRECT("B"&amp;R134&amp;"")&amp;"*",INDIRECT("B"&amp;R134+1&amp;":B210"),0)+R134&amp;""),
IF(AND(LEFT(INDIRECT("B"&amp;R134&amp;""),3)="奈良屋",COUNTIF(B:B,"*奈良屋*")&gt;=2),
INDIRECT("M"&amp;R134&amp;"")+INDIRECT("M"&amp;MATCH("*"&amp;INDIRECT("B"&amp;R134&amp;"")&amp;"*",INDIRECT("B"&amp;R134+1&amp;":B210"),0)+R134&amp;"")
+INDIRECT("M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,
INDIRECT("M"&amp;R134&amp;"")))),"")</f>
        <v/>
      </c>
      <c r="AC134" s="176" t="str">
        <f t="shared" ca="1" si="65"/>
        <v/>
      </c>
      <c r="AD134" s="176" t="str">
        <f t="shared" ca="1" si="66"/>
        <v/>
      </c>
      <c r="AE134" s="176" t="str">
        <f t="shared" ca="1" si="67"/>
        <v/>
      </c>
      <c r="AF134" s="176" t="str">
        <f t="shared" ca="1" si="68"/>
        <v/>
      </c>
      <c r="AG134" s="176" t="str">
        <f t="shared" ca="1" si="69"/>
        <v/>
      </c>
      <c r="AH134" s="183" t="str">
        <f t="shared" ca="1" si="70"/>
        <v/>
      </c>
      <c r="AI134" s="176" t="str">
        <f t="shared" ca="1" si="71"/>
        <v/>
      </c>
      <c r="AJ134" s="176" t="str">
        <f t="shared" ca="1" si="72"/>
        <v/>
      </c>
      <c r="AK134" s="176" t="str">
        <f t="shared" ca="1" si="73"/>
        <v/>
      </c>
      <c r="AL134" s="176" t="str">
        <f t="shared" ca="1" si="74"/>
        <v/>
      </c>
      <c r="AM134" s="176" t="str">
        <f t="shared" ca="1" si="75"/>
        <v/>
      </c>
      <c r="AN134" s="176" t="str">
        <f t="shared" ca="1" si="76"/>
        <v/>
      </c>
      <c r="AO134" s="176" t="str">
        <f t="shared" ca="1" si="77"/>
        <v/>
      </c>
      <c r="AP134" s="176" t="str">
        <f t="shared" ca="1" si="78"/>
        <v/>
      </c>
      <c r="AU134" s="176" t="str">
        <f t="shared" ca="1" si="79"/>
        <v/>
      </c>
    </row>
    <row r="135" spans="1:47" ht="22.2" customHeight="1">
      <c r="A135" s="103">
        <f t="shared" si="60"/>
        <v>135</v>
      </c>
      <c r="B135" s="104" t="str">
        <f t="shared" ref="B135:B166" ca="1" si="80">IF(COUNTIF(C135,"*雙葉*"),
IF(COUNTIF(INDIRECT("B1:B"&amp;ROW()-1&amp;""),"雙葉"),
IF(COUNTIF(C135,"*先生*"),"雙葉先生","雙葉'"),"雙葉"),
IF(COUNTIF(C135,"*社食*"),"社食'",
IF(LEFT(C135,2)="博多",
IF(COUNTIF(C135,"*別注*"),
IFERROR(TRIM(LEFT(C135,FIND("週",C135)-1)),TRIM(C135)),
IF(IFERROR(TRIM(LEFT(C134,FIND("週",C134)-1)),TRIM(C134))=IFERROR(TRIM(LEFT(C135,FIND("週",C135)-1)),TRIM(C135)),
IFERROR(TRIM(LEFT(C135,FIND("週",C135)-1)),TRIM(C135))&amp;"'",IFERROR(TRIM(LEFT(C135,FIND("週",C135)-1)),TRIM(C135)))),
IF(LEFT(C135,3)="奈良屋",
IF(IFERROR(TRIM(LEFT(C134,FIND("幼",C134)-1)),TRIM(C134))=IFERROR(TRIM(LEFT(C135,FIND("幼",C135)-1)),TRIM(C135)),
"奈良屋'","奈良屋"),""))))</f>
        <v/>
      </c>
      <c r="C135" s="104" t="str">
        <f>IF(OR(クライアント抽出!C65&lt;&gt;"",クライアント抽出!F65&lt;&gt;""),クライアント抽出!A65,"")</f>
        <v/>
      </c>
      <c r="D135" s="104" t="str">
        <f t="array" aca="1" ref="D135" ca="1">IF(C135&lt;&gt;"",INDIRECT("クライアント抽出!"&amp;E135&amp;MATCH(C135,クライアント抽出!A:A,0)&amp;""),"")</f>
        <v/>
      </c>
      <c r="E135" s="104" t="str">
        <f>IF(H135&lt;&gt;0,
IFERROR(
SUBSTITUTE(ADDRESS(1,
MATCH(VALUE(H135),クライアント抽出!A65:G65,0)+8,4),"1",""),
""),
IFERROR(
SUBSTITUTE(ADDRESS(1,
MATCH(VALUE(I135),クライアント抽出!A65:G65,0)+8,4),"1",""),
""))</f>
        <v/>
      </c>
      <c r="F135" s="186" t="str">
        <f ca="1">IF(D135&lt;&gt;"",
IF(COUNTIF(C135,"*雙葉*"),
IF(ROUND((H135-M135)
/IF(COUNTIF(D135,"*キャラ*"),
VLOOKUP("*キャラ*",商品マスタ!$D:$E,2,FALSE),
IF(COUNTIF(D135,"*赤*"),
VLOOKUP("*赤*",商品マスタ!$D:$E,2,FALSE),
VLOOKUP("*"&amp;D135&amp;"*",商品マスタ!$D:$E,2,FALSE))),0)&lt;=0,1,
ROUND((H135-M135)
/IF(COUNTIF(D135,"*キャラ*"),
VLOOKUP("*キャラ*",商品マスタ!$D:$E,2,FALSE),
IF(COUNTIF(D135,"*赤*"),
VLOOKUP("*赤*",商品マスタ!$D:$E,2,FALSE),
VLOOKUP("*"&amp;D135&amp;"*",商品マスタ!$D:$E,2,FALSE))),0)),
IF(OR(COUNTIF(D135,"*キャラ*"),COUNTIF(D135,"*赤*")),"",
IF(VLOOKUP("*"&amp;D135&amp;"*",商品マスタ!$D:$E,2,FALSE)=0,"",
IF(ROUND((H135-M135)
/VLOOKUP("*"&amp;D135&amp;"*",商品マスタ!$D:$E,2,FALSE),0)&lt;=0,1,
ROUND((H135-M135)
/VLOOKUP("*"&amp;D135&amp;"*",商品マスタ!$D:$E,2,FALSE),0))))),"")</f>
        <v/>
      </c>
      <c r="G135" s="104" t="str">
        <f ca="1">IF(F135&lt;&gt;"",
IF(VALUE(H135-M135)&gt;VALUE(IF(COUNTIF(D135,"*キャラ*"),
VLOOKUP("*キャラ*",商品マスタ!$D:$E,2,FALSE),
IF(COUNTIF(D135,"*赤*"),
VLOOKUP("*赤*",商品マスタ!$D:$E,2,FALSE),
VLOOKUP("*"&amp;D135&amp;"*",商品マスタ!$D:$E,2,FALSE)))*F135),
"+"&amp;(H135-M135)-IF(COUNTIF(D135,"*キャラ*"),
VLOOKUP("*キャラ*",商品マスタ!$D:$E,2,FALSE),
IF(COUNTIF(D135,"*赤*"),
VLOOKUP("*赤*",商品マスタ!$D:$E,2,FALSE),
VLOOKUP("*"&amp;D135&amp;"*",商品マスタ!$D:$E,2,FALSE)))*F135,
(H135-M135)-IF(COUNTIF(D135,"*キャラ*"),
VLOOKUP("*キャラ*",商品マスタ!$D:$E,2,FALSE),
IF(COUNTIF(D135,"*赤*"),
VLOOKUP("*赤*",商品マスタ!$D:$E,2,FALSE),
VLOOKUP("*"&amp;D135&amp;"*",商品マスタ!$D:$E,2,FALSE)))*F135),"")</f>
        <v/>
      </c>
      <c r="H135" s="105" t="str">
        <f>IF(C135&lt;&gt;"",
クライアント抽出!C65,"")</f>
        <v/>
      </c>
      <c r="I135" s="104" t="str">
        <f t="array" aca="1" ref="I135" ca="1">IF(C135&lt;&gt;"",
IF(O135=1,
IF(SUMPRODUCT(COUNTIF(クライアント抽出!P65:U65,クライアント抽出!P65:U65))&gt;COUNTA(クライアント抽出!P65:U65),
IFERROR(INDIRECT("数出表_Excel!"&amp;INDEX(_xlfn.UNIQUE(_xlfn._xlws.FILTER(クライアント抽出!P65:U65,COUNTIF(クライアント抽出!P65:U65,クライアント抽出!P65:U65)&gt;1)),1)&amp;L65&amp;""),
クライアント抽出!E65),0),クライアント抽出!F65),"")</f>
        <v/>
      </c>
      <c r="J135" s="104" t="str">
        <f>IF(C135&lt;&gt;"",
VLOOKUP(
"*"&amp;LEFT(IF(COUNTIF(D135,"*学食*"),"キャラ弁（学食）",
IF(COUNTIF(D135,"*赤*"),"赤",
IF(COUNTIF(D135,"*キャラ弁当*"),"キャラ弁当",D135))),4)&amp;"*",注文弁当の抽出!$F$1:$G$15,2,FALSE),"")</f>
        <v/>
      </c>
      <c r="K135" s="104" t="str">
        <f ca="1">IF(クライアント抽出!Q65&lt;&gt;"",SUBSTITUTE(ADDRESS(1,(CODE(クライアント抽出!Q65)-64)*2-1,4),"1",""),"")</f>
        <v/>
      </c>
      <c r="L135" s="104" t="str">
        <f>IF(C65&lt;&gt;"",クライアント抽出!I65,"")</f>
        <v/>
      </c>
      <c r="M135" s="104">
        <f t="array" aca="1" ref="M135" ca="1">IF(C135&lt;&gt;"",
IF(K135&lt;&gt;"",INDIRECT("'数出表_Excel（アレルギー入力）'!"&amp;K135&amp;L135-1&amp;""),),)</f>
        <v>0</v>
      </c>
      <c r="N135" s="104" t="str">
        <f>IF(C135&lt;&gt;"",IF(OR(COUNTIF('盛付札（関数）'!D135,"*赤*"),COUNTIF('盛付札（関数）'!D135,"*キャラ*")),1,
VALUE(VLOOKUP("*"&amp;D135&amp;"*",商品マスタ!D:H,5,FALSE))),"")</f>
        <v/>
      </c>
      <c r="O135" s="104">
        <f t="shared" ref="O135:O166" ca="1" si="81">O65</f>
        <v>0</v>
      </c>
      <c r="P135" s="104">
        <f t="shared" si="61"/>
        <v>0</v>
      </c>
      <c r="Q135" s="104" t="b">
        <f t="shared" si="62"/>
        <v>0</v>
      </c>
      <c r="R135" s="176" t="str">
        <f t="array" aca="1" ref="R135" ca="1">IFERROR(SMALL(IF(P$1:P$311&lt;&gt;0,P$1:P$311),ROW(A135)),"")</f>
        <v/>
      </c>
      <c r="S135" s="176" t="str">
        <f t="array" aca="1" ref="S135" ca="1">IF($R135&lt;&gt;"",
SUBSTITUTE(SUBSTITUTE(INDIRECT("C"&amp;$R135&amp;"")," 週3ｺｰｽ","")," 週5ｺｰｽ",""),"")</f>
        <v/>
      </c>
      <c r="T135" s="176" t="str">
        <f t="array" aca="1" ref="T135" ca="1">IF(IF($R135&lt;&gt;"",
INDIRECT(""&amp;IF(COLUMN(D135)&lt;=26,CHAR(COLUMN(D135)+64),CHAR(INT((COLUMN(D135)-1)/26)+64)&amp;CHAR(MOD(COLUMN(D135)-1,26)+65))&amp;$R135&amp;""),"")=0,"",
IF($R135&lt;&gt;"",
INDIRECT(""&amp;IF(COLUMN(D135)&lt;=26,CHAR(COLUMN(D135)+64),CHAR(INT((COLUMN(D135)-1)/26)+64)&amp;CHAR(MOD(COLUMN(D135)-1,26)+65))&amp;$R135&amp;""),""))</f>
        <v/>
      </c>
      <c r="U135" s="218" t="str">
        <f t="array" aca="1" ref="U135" ca="1">IF($R135&lt;&gt;"",
INDIRECT("F"&amp;$R135&amp;""),"")</f>
        <v/>
      </c>
      <c r="V135" s="219" t="str">
        <f t="array" aca="1" ref="V135" ca="1">IF($R135&lt;&gt;"",
INDIRECT("G"&amp;$R135&amp;""),"")</f>
        <v/>
      </c>
      <c r="W135" s="219" t="str" cm="1">
        <f t="array" aca="1" ref="W135" ca="1">IF($R135&lt;&gt;"",
IF(AND(COUNTIF(INDIRECT("B"&amp;R135&amp;""),"*雙葉*"),COUNTIF($B$71:$B$210,"*雙葉*")&gt;=1),
IF(OR(COUNTIF(INDIRECT("B"&amp;R135&amp;""),"*雙葉先生*"),COUNTIF(INDIRECT("B"&amp;R135-1&amp;""),"*雙葉*")),INDIRECT("H"&amp;R135&amp;""),INDIRECT("H"&amp;R135&amp;"")+INDIRECT("H"&amp;MATCH("雙葉'",INDIRECT("B"&amp;R135+3&amp;":B210"),0)+2+R135&amp;"")),
IF(AND(LEFT(INDIRECT("B"&amp;R135&amp;""),2)="博多",COUNTIF(B:B,"*博多*")&gt;=2),
INDIRECT("H"&amp;R135&amp;"")+IFERROR(INDIRECT("H"&amp;MATCH("*"&amp;INDIRECT("B"&amp;R135&amp;"")&amp;"*",INDIRECT("B"&amp;R135+1&amp;":B210"),0)+R135&amp;""),0),
IF(AND(LEFT(INDIRECT("B"&amp;R135&amp;""),3)="奈良屋",COUNTIF(B:B,"*奈良屋*")&gt;=2),
INDIRECT("H"&amp;R135&amp;"")
+INDIRECT("H"&amp;MATCH("*"&amp;INDIRECT("B"&amp;R135&amp;"")&amp;"*",INDIRECT("B"&amp;R135+1&amp;":B210"),0)+R135&amp;"")
+INDIRECT("H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
+INDIRECT("H"&amp;MATCH("*"&amp;INDIRECT("B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&amp;"*",INDIRECT("B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+1&amp;":B210"),0)+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,
INDIRECT("H"&amp;R135&amp;"")))),"")</f>
        <v/>
      </c>
      <c r="X135" s="176" t="str">
        <f t="array" aca="1" ref="X135" ca="1">IF($R135&lt;&gt;"",
INDIRECT(""&amp;IF(COLUMN(I135)&lt;=26,CHAR(COLUMN(I135)+64),CHAR(INT((COLUMN(I135)-1)/26)+64)&amp;CHAR(MOD(COLUMN(I135)-1,26)+65))&amp;$R135&amp;""),"")</f>
        <v/>
      </c>
      <c r="Y135" s="176" t="str">
        <f t="array" aca="1" ref="Y135" ca="1">IF($R135&lt;&gt;"",
INDIRECT(""&amp;IF(COLUMN(J135)&lt;=26,CHAR(COLUMN(J135)+64),CHAR(INT((COLUMN(J135)-1)/26)+64)&amp;CHAR(MOD(COLUMN(J135)-1,26)+65))&amp;$R135&amp;""),"")</f>
        <v/>
      </c>
      <c r="Z135" s="176" t="str">
        <f t="shared" ca="1" si="63"/>
        <v/>
      </c>
      <c r="AA135" s="176" t="str">
        <f t="shared" ca="1" si="64"/>
        <v/>
      </c>
      <c r="AB135" s="176" t="str">
        <f t="array" aca="1" ref="AB135" ca="1">IF($R135&lt;&gt;"",
IF(AND(COUNTIF(INDIRECT("B"&amp;R135&amp;""),"*雙葉*"),COUNTIF(INDIRECT("B"&amp;R135&amp;""),"&lt;&gt;*先生*"),COUNTIF(B:B,"*雙葉*")&gt;=2),
INDIRECT("M"&amp;R135&amp;"")+INDIRECT("M"&amp;MATCH("雙葉'",INDIRECT("B"&amp;R135+1&amp;":B210"),0)+R135&amp;""),
IF(AND(LEFT(INDIRECT("B"&amp;R135&amp;""),2)="博多",COUNTIF(B:B,"*博多*")&gt;=2),
INDIRECT("M"&amp;R135&amp;"")+INDIRECT("M"&amp;MATCH("*"&amp;INDIRECT("B"&amp;R135&amp;"")&amp;"*",INDIRECT("B"&amp;R135+1&amp;":B210"),0)+R135&amp;""),
IF(AND(LEFT(INDIRECT("B"&amp;R135&amp;""),3)="奈良屋",COUNTIF(B:B,"*奈良屋*")&gt;=2),
INDIRECT("M"&amp;R135&amp;"")+INDIRECT("M"&amp;MATCH("*"&amp;INDIRECT("B"&amp;R135&amp;"")&amp;"*",INDIRECT("B"&amp;R135+1&amp;":B210"),0)+R135&amp;"")
+INDIRECT("M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,
INDIRECT("M"&amp;R135&amp;"")))),"")</f>
        <v/>
      </c>
      <c r="AC135" s="176" t="str">
        <f t="shared" ca="1" si="65"/>
        <v/>
      </c>
      <c r="AD135" s="176" t="str">
        <f t="shared" ca="1" si="66"/>
        <v/>
      </c>
      <c r="AE135" s="176" t="str">
        <f t="shared" ca="1" si="67"/>
        <v/>
      </c>
      <c r="AF135" s="176" t="str">
        <f t="shared" ca="1" si="68"/>
        <v/>
      </c>
      <c r="AG135" s="176" t="str">
        <f t="shared" ca="1" si="69"/>
        <v/>
      </c>
      <c r="AH135" s="183" t="str">
        <f t="shared" ca="1" si="70"/>
        <v/>
      </c>
      <c r="AI135" s="176" t="str">
        <f t="shared" ca="1" si="71"/>
        <v/>
      </c>
      <c r="AJ135" s="176" t="str">
        <f t="shared" ca="1" si="72"/>
        <v/>
      </c>
      <c r="AK135" s="176" t="str">
        <f t="shared" ca="1" si="73"/>
        <v/>
      </c>
      <c r="AL135" s="176" t="str">
        <f t="shared" ca="1" si="74"/>
        <v/>
      </c>
      <c r="AM135" s="176" t="str">
        <f t="shared" ca="1" si="75"/>
        <v/>
      </c>
      <c r="AN135" s="176" t="str">
        <f t="shared" ca="1" si="76"/>
        <v/>
      </c>
      <c r="AO135" s="176" t="str">
        <f t="shared" ca="1" si="77"/>
        <v/>
      </c>
      <c r="AP135" s="176" t="str">
        <f t="shared" ca="1" si="78"/>
        <v/>
      </c>
      <c r="AU135" s="176" t="str">
        <f t="shared" ca="1" si="79"/>
        <v/>
      </c>
    </row>
    <row r="136" spans="1:47" ht="22.2" customHeight="1">
      <c r="A136" s="103">
        <f t="shared" si="60"/>
        <v>137</v>
      </c>
      <c r="B136" s="104" t="str">
        <f t="shared" ca="1" si="80"/>
        <v/>
      </c>
      <c r="C136" s="104" t="str">
        <f>IF(OR(クライアント抽出!C66&lt;&gt;"",クライアント抽出!F66&lt;&gt;""),クライアント抽出!A66,"")</f>
        <v/>
      </c>
      <c r="D136" s="104" t="str">
        <f t="array" aca="1" ref="D136" ca="1">IF(C136&lt;&gt;"",INDIRECT("クライアント抽出!"&amp;E136&amp;MATCH(C136,クライアント抽出!A:A,0)&amp;""),"")</f>
        <v/>
      </c>
      <c r="E136" s="104" t="str">
        <f>IF(H136&lt;&gt;0,
IFERROR(
SUBSTITUTE(ADDRESS(1,
MATCH(VALUE(H136),クライアント抽出!A66:G66,0)+8,4),"1",""),
""),
IFERROR(
SUBSTITUTE(ADDRESS(1,
MATCH(VALUE(I136),クライアント抽出!A66:G66,0)+8,4),"1",""),
""))</f>
        <v/>
      </c>
      <c r="F136" s="186" t="str">
        <f ca="1">IF(D136&lt;&gt;"",
IF(COUNTIF(C136,"*雙葉*"),
IF(ROUND((H136-M136)
/IF(COUNTIF(D136,"*キャラ*"),
VLOOKUP("*キャラ*",商品マスタ!$D:$E,2,FALSE),
IF(COUNTIF(D136,"*赤*"),
VLOOKUP("*赤*",商品マスタ!$D:$E,2,FALSE),
VLOOKUP("*"&amp;D136&amp;"*",商品マスタ!$D:$E,2,FALSE))),0)&lt;=0,1,
ROUND((H136-M136)
/IF(COUNTIF(D136,"*キャラ*"),
VLOOKUP("*キャラ*",商品マスタ!$D:$E,2,FALSE),
IF(COUNTIF(D136,"*赤*"),
VLOOKUP("*赤*",商品マスタ!$D:$E,2,FALSE),
VLOOKUP("*"&amp;D136&amp;"*",商品マスタ!$D:$E,2,FALSE))),0)),
IF(OR(COUNTIF(D136,"*キャラ*"),COUNTIF(D136,"*赤*")),"",
IF(VLOOKUP("*"&amp;D136&amp;"*",商品マスタ!$D:$E,2,FALSE)=0,"",
IF(ROUND((H136-M136)
/VLOOKUP("*"&amp;D136&amp;"*",商品マスタ!$D:$E,2,FALSE),0)&lt;=0,1,
ROUND((H136-M136)
/VLOOKUP("*"&amp;D136&amp;"*",商品マスタ!$D:$E,2,FALSE),0))))),"")</f>
        <v/>
      </c>
      <c r="G136" s="104" t="str">
        <f ca="1">IF(F136&lt;&gt;"",
IF(VALUE(H136-M136)&gt;VALUE(IF(COUNTIF(D136,"*キャラ*"),
VLOOKUP("*キャラ*",商品マスタ!$D:$E,2,FALSE),
IF(COUNTIF(D136,"*赤*"),
VLOOKUP("*赤*",商品マスタ!$D:$E,2,FALSE),
VLOOKUP("*"&amp;D136&amp;"*",商品マスタ!$D:$E,2,FALSE)))*F136),
"+"&amp;(H136-M136)-IF(COUNTIF(D136,"*キャラ*"),
VLOOKUP("*キャラ*",商品マスタ!$D:$E,2,FALSE),
IF(COUNTIF(D136,"*赤*"),
VLOOKUP("*赤*",商品マスタ!$D:$E,2,FALSE),
VLOOKUP("*"&amp;D136&amp;"*",商品マスタ!$D:$E,2,FALSE)))*F136,
(H136-M136)-IF(COUNTIF(D136,"*キャラ*"),
VLOOKUP("*キャラ*",商品マスタ!$D:$E,2,FALSE),
IF(COUNTIF(D136,"*赤*"),
VLOOKUP("*赤*",商品マスタ!$D:$E,2,FALSE),
VLOOKUP("*"&amp;D136&amp;"*",商品マスタ!$D:$E,2,FALSE)))*F136),"")</f>
        <v/>
      </c>
      <c r="H136" s="105" t="str">
        <f>IF(C136&lt;&gt;"",
クライアント抽出!C66,"")</f>
        <v/>
      </c>
      <c r="I136" s="104" t="str">
        <f t="array" aca="1" ref="I136" ca="1">IF(C136&lt;&gt;"",
IF(O136=1,
IF(SUMPRODUCT(COUNTIF(クライアント抽出!P66:U66,クライアント抽出!P66:U66))&gt;COUNTA(クライアント抽出!P66:U66),
IFERROR(INDIRECT("数出表_Excel!"&amp;INDEX(_xlfn.UNIQUE(_xlfn._xlws.FILTER(クライアント抽出!P66:U66,COUNTIF(クライアント抽出!P66:U66,クライアント抽出!P66:U66)&gt;1)),1)&amp;L66&amp;""),
クライアント抽出!E66),0),クライアント抽出!F66),"")</f>
        <v/>
      </c>
      <c r="J136" s="104" t="str">
        <f>IF(C136&lt;&gt;"",
VLOOKUP(
"*"&amp;LEFT(IF(COUNTIF(D136,"*学食*"),"キャラ弁（学食）",
IF(COUNTIF(D136,"*赤*"),"赤",
IF(COUNTIF(D136,"*キャラ弁当*"),"キャラ弁当",D136))),4)&amp;"*",注文弁当の抽出!$F$1:$G$15,2,FALSE),"")</f>
        <v/>
      </c>
      <c r="K136" s="104" t="str">
        <f ca="1">IF(クライアント抽出!Q66&lt;&gt;"",SUBSTITUTE(ADDRESS(1,(CODE(クライアント抽出!Q66)-64)*2-1,4),"1",""),"")</f>
        <v/>
      </c>
      <c r="L136" s="104" t="str">
        <f>IF(C66&lt;&gt;"",クライアント抽出!I66,"")</f>
        <v/>
      </c>
      <c r="M136" s="104">
        <f t="array" aca="1" ref="M136" ca="1">IF(C136&lt;&gt;"",
IF(K136&lt;&gt;"",INDIRECT("'数出表_Excel（アレルギー入力）'!"&amp;K136&amp;L136-1&amp;""),),)</f>
        <v>0</v>
      </c>
      <c r="N136" s="104" t="str">
        <f>IF(C136&lt;&gt;"",IF(OR(COUNTIF('盛付札（関数）'!D136,"*赤*"),COUNTIF('盛付札（関数）'!D136,"*キャラ*")),1,
VALUE(VLOOKUP("*"&amp;D136&amp;"*",商品マスタ!D:H,5,FALSE))),"")</f>
        <v/>
      </c>
      <c r="O136" s="104">
        <f t="shared" ca="1" si="81"/>
        <v>0</v>
      </c>
      <c r="P136" s="104">
        <f t="shared" si="61"/>
        <v>0</v>
      </c>
      <c r="Q136" s="104" t="b">
        <f t="shared" si="62"/>
        <v>0</v>
      </c>
      <c r="R136" s="176" t="str">
        <f t="array" aca="1" ref="R136" ca="1">IFERROR(SMALL(IF(P$1:P$311&lt;&gt;0,P$1:P$311),ROW(A136)),"")</f>
        <v/>
      </c>
      <c r="S136" s="176" t="str">
        <f t="array" aca="1" ref="S136" ca="1">IF($R136&lt;&gt;"",
SUBSTITUTE(SUBSTITUTE(INDIRECT("C"&amp;$R136&amp;"")," 週3ｺｰｽ","")," 週5ｺｰｽ",""),"")</f>
        <v/>
      </c>
      <c r="T136" s="176" t="str">
        <f t="array" aca="1" ref="T136" ca="1">IF(IF($R136&lt;&gt;"",
INDIRECT(""&amp;IF(COLUMN(D136)&lt;=26,CHAR(COLUMN(D136)+64),CHAR(INT((COLUMN(D136)-1)/26)+64)&amp;CHAR(MOD(COLUMN(D136)-1,26)+65))&amp;$R136&amp;""),"")=0,"",
IF($R136&lt;&gt;"",
INDIRECT(""&amp;IF(COLUMN(D136)&lt;=26,CHAR(COLUMN(D136)+64),CHAR(INT((COLUMN(D136)-1)/26)+64)&amp;CHAR(MOD(COLUMN(D136)-1,26)+65))&amp;$R136&amp;""),""))</f>
        <v/>
      </c>
      <c r="U136" s="218" t="str">
        <f t="array" aca="1" ref="U136" ca="1">IF($R136&lt;&gt;"",
INDIRECT("F"&amp;$R136&amp;""),"")</f>
        <v/>
      </c>
      <c r="V136" s="219" t="str">
        <f t="array" aca="1" ref="V136" ca="1">IF($R136&lt;&gt;"",
INDIRECT("G"&amp;$R136&amp;""),"")</f>
        <v/>
      </c>
      <c r="W136" s="219" t="str" cm="1">
        <f t="array" aca="1" ref="W136" ca="1">IF($R136&lt;&gt;"",
IF(AND(COUNTIF(INDIRECT("B"&amp;R136&amp;""),"*雙葉*"),COUNTIF($B$71:$B$210,"*雙葉*")&gt;=1),
IF(OR(COUNTIF(INDIRECT("B"&amp;R136&amp;""),"*雙葉先生*"),COUNTIF(INDIRECT("B"&amp;R136-1&amp;""),"*雙葉*")),INDIRECT("H"&amp;R136&amp;""),INDIRECT("H"&amp;R136&amp;"")+INDIRECT("H"&amp;MATCH("雙葉'",INDIRECT("B"&amp;R136+3&amp;":B210"),0)+2+R136&amp;"")),
IF(AND(LEFT(INDIRECT("B"&amp;R136&amp;""),2)="博多",COUNTIF(B:B,"*博多*")&gt;=2),
INDIRECT("H"&amp;R136&amp;"")+IFERROR(INDIRECT("H"&amp;MATCH("*"&amp;INDIRECT("B"&amp;R136&amp;"")&amp;"*",INDIRECT("B"&amp;R136+1&amp;":B210"),0)+R136&amp;""),0),
IF(AND(LEFT(INDIRECT("B"&amp;R136&amp;""),3)="奈良屋",COUNTIF(B:B,"*奈良屋*")&gt;=2),
INDIRECT("H"&amp;R136&amp;"")
+INDIRECT("H"&amp;MATCH("*"&amp;INDIRECT("B"&amp;R136&amp;"")&amp;"*",INDIRECT("B"&amp;R136+1&amp;":B210"),0)+R136&amp;"")
+INDIRECT("H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
+INDIRECT("H"&amp;MATCH("*"&amp;INDIRECT("B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&amp;"*",INDIRECT("B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+1&amp;":B210"),0)+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,
INDIRECT("H"&amp;R136&amp;"")))),"")</f>
        <v/>
      </c>
      <c r="X136" s="176" t="str">
        <f t="array" aca="1" ref="X136" ca="1">IF($R136&lt;&gt;"",
INDIRECT(""&amp;IF(COLUMN(I136)&lt;=26,CHAR(COLUMN(I136)+64),CHAR(INT((COLUMN(I136)-1)/26)+64)&amp;CHAR(MOD(COLUMN(I136)-1,26)+65))&amp;$R136&amp;""),"")</f>
        <v/>
      </c>
      <c r="Y136" s="176" t="str">
        <f t="array" aca="1" ref="Y136" ca="1">IF($R136&lt;&gt;"",
INDIRECT(""&amp;IF(COLUMN(J136)&lt;=26,CHAR(COLUMN(J136)+64),CHAR(INT((COLUMN(J136)-1)/26)+64)&amp;CHAR(MOD(COLUMN(J136)-1,26)+65))&amp;$R136&amp;""),"")</f>
        <v/>
      </c>
      <c r="Z136" s="176" t="str">
        <f t="shared" ca="1" si="63"/>
        <v/>
      </c>
      <c r="AA136" s="176" t="str">
        <f t="shared" ca="1" si="64"/>
        <v/>
      </c>
      <c r="AB136" s="176" t="str">
        <f t="array" aca="1" ref="AB136" ca="1">IF($R136&lt;&gt;"",
IF(AND(COUNTIF(INDIRECT("B"&amp;R136&amp;""),"*雙葉*"),COUNTIF(INDIRECT("B"&amp;R136&amp;""),"&lt;&gt;*先生*"),COUNTIF(B:B,"*雙葉*")&gt;=2),
INDIRECT("M"&amp;R136&amp;"")+INDIRECT("M"&amp;MATCH("雙葉'",INDIRECT("B"&amp;R136+1&amp;":B210"),0)+R136&amp;""),
IF(AND(LEFT(INDIRECT("B"&amp;R136&amp;""),2)="博多",COUNTIF(B:B,"*博多*")&gt;=2),
INDIRECT("M"&amp;R136&amp;"")+INDIRECT("M"&amp;MATCH("*"&amp;INDIRECT("B"&amp;R136&amp;"")&amp;"*",INDIRECT("B"&amp;R136+1&amp;":B210"),0)+R136&amp;""),
IF(AND(LEFT(INDIRECT("B"&amp;R136&amp;""),3)="奈良屋",COUNTIF(B:B,"*奈良屋*")&gt;=2),
INDIRECT("M"&amp;R136&amp;"")+INDIRECT("M"&amp;MATCH("*"&amp;INDIRECT("B"&amp;R136&amp;"")&amp;"*",INDIRECT("B"&amp;R136+1&amp;":B210"),0)+R136&amp;"")
+INDIRECT("M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,
INDIRECT("M"&amp;R136&amp;"")))),"")</f>
        <v/>
      </c>
      <c r="AC136" s="176" t="str">
        <f t="shared" ca="1" si="65"/>
        <v/>
      </c>
      <c r="AD136" s="176" t="str">
        <f t="shared" ca="1" si="66"/>
        <v/>
      </c>
      <c r="AE136" s="176" t="str">
        <f t="shared" ca="1" si="67"/>
        <v/>
      </c>
      <c r="AF136" s="176" t="str">
        <f t="shared" ca="1" si="68"/>
        <v/>
      </c>
      <c r="AG136" s="176" t="str">
        <f t="shared" ca="1" si="69"/>
        <v/>
      </c>
      <c r="AH136" s="183" t="str">
        <f t="shared" ca="1" si="70"/>
        <v/>
      </c>
      <c r="AI136" s="176" t="str">
        <f t="shared" ca="1" si="71"/>
        <v/>
      </c>
      <c r="AJ136" s="176" t="str">
        <f t="shared" ca="1" si="72"/>
        <v/>
      </c>
      <c r="AK136" s="176" t="str">
        <f t="shared" ca="1" si="73"/>
        <v/>
      </c>
      <c r="AL136" s="176" t="str">
        <f t="shared" ca="1" si="74"/>
        <v/>
      </c>
      <c r="AM136" s="176" t="str">
        <f t="shared" ca="1" si="75"/>
        <v/>
      </c>
      <c r="AN136" s="176" t="str">
        <f t="shared" ca="1" si="76"/>
        <v/>
      </c>
      <c r="AO136" s="176" t="str">
        <f t="shared" ca="1" si="77"/>
        <v/>
      </c>
      <c r="AP136" s="176" t="str">
        <f t="shared" ca="1" si="78"/>
        <v/>
      </c>
      <c r="AU136" s="176" t="str">
        <f t="shared" ca="1" si="79"/>
        <v/>
      </c>
    </row>
    <row r="137" spans="1:47" ht="22.2" customHeight="1">
      <c r="A137" s="103">
        <f t="shared" si="60"/>
        <v>139</v>
      </c>
      <c r="B137" s="104" t="str">
        <f t="shared" ca="1" si="80"/>
        <v/>
      </c>
      <c r="C137" s="104" t="str">
        <f>IF(OR(クライアント抽出!C67&lt;&gt;"",クライアント抽出!F67&lt;&gt;""),クライアント抽出!A67,"")</f>
        <v/>
      </c>
      <c r="D137" s="104" t="str">
        <f t="array" aca="1" ref="D137" ca="1">IF(C137&lt;&gt;"",INDIRECT("クライアント抽出!"&amp;E137&amp;MATCH(C137,クライアント抽出!A:A,0)&amp;""),"")</f>
        <v/>
      </c>
      <c r="E137" s="104" t="str">
        <f>IF(H137&lt;&gt;0,
IFERROR(
SUBSTITUTE(ADDRESS(1,
MATCH(VALUE(H137),クライアント抽出!A67:G67,0)+8,4),"1",""),
""),
IFERROR(
SUBSTITUTE(ADDRESS(1,
MATCH(VALUE(I137),クライアント抽出!A67:G67,0)+8,4),"1",""),
""))</f>
        <v/>
      </c>
      <c r="F137" s="186" t="str">
        <f ca="1">IF(D137&lt;&gt;"",
IF(COUNTIF(C137,"*雙葉*"),
IF(ROUND((H137-M137)
/IF(COUNTIF(D137,"*キャラ*"),
VLOOKUP("*キャラ*",商品マスタ!$D:$E,2,FALSE),
IF(COUNTIF(D137,"*赤*"),
VLOOKUP("*赤*",商品マスタ!$D:$E,2,FALSE),
VLOOKUP("*"&amp;D137&amp;"*",商品マスタ!$D:$E,2,FALSE))),0)&lt;=0,1,
ROUND((H137-M137)
/IF(COUNTIF(D137,"*キャラ*"),
VLOOKUP("*キャラ*",商品マスタ!$D:$E,2,FALSE),
IF(COUNTIF(D137,"*赤*"),
VLOOKUP("*赤*",商品マスタ!$D:$E,2,FALSE),
VLOOKUP("*"&amp;D137&amp;"*",商品マスタ!$D:$E,2,FALSE))),0)),
IF(OR(COUNTIF(D137,"*キャラ*"),COUNTIF(D137,"*赤*")),"",
IF(VLOOKUP("*"&amp;D137&amp;"*",商品マスタ!$D:$E,2,FALSE)=0,"",
IF(ROUND((H137-M137)
/VLOOKUP("*"&amp;D137&amp;"*",商品マスタ!$D:$E,2,FALSE),0)&lt;=0,1,
ROUND((H137-M137)
/VLOOKUP("*"&amp;D137&amp;"*",商品マスタ!$D:$E,2,FALSE),0))))),"")</f>
        <v/>
      </c>
      <c r="G137" s="104" t="str">
        <f ca="1">IF(F137&lt;&gt;"",
IF(VALUE(H137-M137)&gt;VALUE(IF(COUNTIF(D137,"*キャラ*"),
VLOOKUP("*キャラ*",商品マスタ!$D:$E,2,FALSE),
IF(COUNTIF(D137,"*赤*"),
VLOOKUP("*赤*",商品マスタ!$D:$E,2,FALSE),
VLOOKUP("*"&amp;D137&amp;"*",商品マスタ!$D:$E,2,FALSE)))*F137),
"+"&amp;(H137-M137)-IF(COUNTIF(D137,"*キャラ*"),
VLOOKUP("*キャラ*",商品マスタ!$D:$E,2,FALSE),
IF(COUNTIF(D137,"*赤*"),
VLOOKUP("*赤*",商品マスタ!$D:$E,2,FALSE),
VLOOKUP("*"&amp;D137&amp;"*",商品マスタ!$D:$E,2,FALSE)))*F137,
(H137-M137)-IF(COUNTIF(D137,"*キャラ*"),
VLOOKUP("*キャラ*",商品マスタ!$D:$E,2,FALSE),
IF(COUNTIF(D137,"*赤*"),
VLOOKUP("*赤*",商品マスタ!$D:$E,2,FALSE),
VLOOKUP("*"&amp;D137&amp;"*",商品マスタ!$D:$E,2,FALSE)))*F137),"")</f>
        <v/>
      </c>
      <c r="H137" s="105" t="str">
        <f>IF(C137&lt;&gt;"",
クライアント抽出!C67,"")</f>
        <v/>
      </c>
      <c r="I137" s="104" t="str">
        <f t="array" aca="1" ref="I137" ca="1">IF(C137&lt;&gt;"",
IF(O137=1,
IF(SUMPRODUCT(COUNTIF(クライアント抽出!P67:U67,クライアント抽出!P67:U67))&gt;COUNTA(クライアント抽出!P67:U67),
IFERROR(INDIRECT("数出表_Excel!"&amp;INDEX(_xlfn.UNIQUE(_xlfn._xlws.FILTER(クライアント抽出!P67:U67,COUNTIF(クライアント抽出!P67:U67,クライアント抽出!P67:U67)&gt;1)),1)&amp;L67&amp;""),
クライアント抽出!E67),0),クライアント抽出!F67),"")</f>
        <v/>
      </c>
      <c r="J137" s="104" t="str">
        <f>IF(C137&lt;&gt;"",
VLOOKUP(
"*"&amp;LEFT(IF(COUNTIF(D137,"*学食*"),"キャラ弁（学食）",
IF(COUNTIF(D137,"*赤*"),"赤",
IF(COUNTIF(D137,"*キャラ弁当*"),"キャラ弁当",D137))),4)&amp;"*",注文弁当の抽出!$F$1:$G$15,2,FALSE),"")</f>
        <v/>
      </c>
      <c r="K137" s="104" t="str">
        <f ca="1">IF(クライアント抽出!Q67&lt;&gt;"",SUBSTITUTE(ADDRESS(1,(CODE(クライアント抽出!Q67)-64)*2-1,4),"1",""),"")</f>
        <v/>
      </c>
      <c r="L137" s="104" t="str">
        <f>IF(C67&lt;&gt;"",クライアント抽出!I67,"")</f>
        <v/>
      </c>
      <c r="M137" s="104">
        <f t="array" aca="1" ref="M137" ca="1">IF(C137&lt;&gt;"",
IF(K137&lt;&gt;"",INDIRECT("'数出表_Excel（アレルギー入力）'!"&amp;K137&amp;L137-1&amp;""),),)</f>
        <v>0</v>
      </c>
      <c r="N137" s="104" t="str">
        <f>IF(C137&lt;&gt;"",IF(OR(COUNTIF('盛付札（関数）'!D137,"*赤*"),COUNTIF('盛付札（関数）'!D137,"*キャラ*")),1,
VALUE(VLOOKUP("*"&amp;D137&amp;"*",商品マスタ!D:H,5,FALSE))),"")</f>
        <v/>
      </c>
      <c r="O137" s="104">
        <f t="shared" ca="1" si="81"/>
        <v>0</v>
      </c>
      <c r="P137" s="104">
        <f t="shared" si="61"/>
        <v>0</v>
      </c>
      <c r="Q137" s="104" t="b">
        <f t="shared" si="62"/>
        <v>0</v>
      </c>
      <c r="R137" s="176" t="str">
        <f t="array" aca="1" ref="R137" ca="1">IFERROR(SMALL(IF(P$1:P$311&lt;&gt;0,P$1:P$311),ROW(A137)),"")</f>
        <v/>
      </c>
      <c r="S137" s="176" t="str">
        <f t="array" aca="1" ref="S137" ca="1">IF($R137&lt;&gt;"",
SUBSTITUTE(SUBSTITUTE(INDIRECT("C"&amp;$R137&amp;"")," 週3ｺｰｽ","")," 週5ｺｰｽ",""),"")</f>
        <v/>
      </c>
      <c r="T137" s="176" t="str">
        <f t="array" aca="1" ref="T137" ca="1">IF(IF($R137&lt;&gt;"",
INDIRECT(""&amp;IF(COLUMN(D137)&lt;=26,CHAR(COLUMN(D137)+64),CHAR(INT((COLUMN(D137)-1)/26)+64)&amp;CHAR(MOD(COLUMN(D137)-1,26)+65))&amp;$R137&amp;""),"")=0,"",
IF($R137&lt;&gt;"",
INDIRECT(""&amp;IF(COLUMN(D137)&lt;=26,CHAR(COLUMN(D137)+64),CHAR(INT((COLUMN(D137)-1)/26)+64)&amp;CHAR(MOD(COLUMN(D137)-1,26)+65))&amp;$R137&amp;""),""))</f>
        <v/>
      </c>
      <c r="U137" s="218" t="str">
        <f t="array" aca="1" ref="U137" ca="1">IF($R137&lt;&gt;"",
INDIRECT("F"&amp;$R137&amp;""),"")</f>
        <v/>
      </c>
      <c r="V137" s="219" t="str">
        <f t="array" aca="1" ref="V137" ca="1">IF($R137&lt;&gt;"",
INDIRECT("G"&amp;$R137&amp;""),"")</f>
        <v/>
      </c>
      <c r="W137" s="219" t="str" cm="1">
        <f t="array" aca="1" ref="W137" ca="1">IF($R137&lt;&gt;"",
IF(AND(COUNTIF(INDIRECT("B"&amp;R137&amp;""),"*雙葉*"),COUNTIF($B$71:$B$210,"*雙葉*")&gt;=1),
IF(OR(COUNTIF(INDIRECT("B"&amp;R137&amp;""),"*雙葉先生*"),COUNTIF(INDIRECT("B"&amp;R137-1&amp;""),"*雙葉*")),INDIRECT("H"&amp;R137&amp;""),INDIRECT("H"&amp;R137&amp;"")+INDIRECT("H"&amp;MATCH("雙葉'",INDIRECT("B"&amp;R137+3&amp;":B210"),0)+2+R137&amp;"")),
IF(AND(LEFT(INDIRECT("B"&amp;R137&amp;""),2)="博多",COUNTIF(B:B,"*博多*")&gt;=2),
INDIRECT("H"&amp;R137&amp;"")+IFERROR(INDIRECT("H"&amp;MATCH("*"&amp;INDIRECT("B"&amp;R137&amp;"")&amp;"*",INDIRECT("B"&amp;R137+1&amp;":B210"),0)+R137&amp;""),0),
IF(AND(LEFT(INDIRECT("B"&amp;R137&amp;""),3)="奈良屋",COUNTIF(B:B,"*奈良屋*")&gt;=2),
INDIRECT("H"&amp;R137&amp;"")
+INDIRECT("H"&amp;MATCH("*"&amp;INDIRECT("B"&amp;R137&amp;"")&amp;"*",INDIRECT("B"&amp;R137+1&amp;":B210"),0)+R137&amp;"")
+INDIRECT("H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
+INDIRECT("H"&amp;MATCH("*"&amp;INDIRECT("B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&amp;"*",INDIRECT("B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+1&amp;":B210"),0)+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,
INDIRECT("H"&amp;R137&amp;"")))),"")</f>
        <v/>
      </c>
      <c r="X137" s="176" t="str">
        <f t="array" aca="1" ref="X137" ca="1">IF($R137&lt;&gt;"",
INDIRECT(""&amp;IF(COLUMN(I137)&lt;=26,CHAR(COLUMN(I137)+64),CHAR(INT((COLUMN(I137)-1)/26)+64)&amp;CHAR(MOD(COLUMN(I137)-1,26)+65))&amp;$R137&amp;""),"")</f>
        <v/>
      </c>
      <c r="Y137" s="176" t="str">
        <f t="array" aca="1" ref="Y137" ca="1">IF($R137&lt;&gt;"",
INDIRECT(""&amp;IF(COLUMN(J137)&lt;=26,CHAR(COLUMN(J137)+64),CHAR(INT((COLUMN(J137)-1)/26)+64)&amp;CHAR(MOD(COLUMN(J137)-1,26)+65))&amp;$R137&amp;""),"")</f>
        <v/>
      </c>
      <c r="Z137" s="176" t="str">
        <f t="shared" ca="1" si="63"/>
        <v/>
      </c>
      <c r="AA137" s="176" t="str">
        <f t="shared" ca="1" si="64"/>
        <v/>
      </c>
      <c r="AB137" s="176" t="str">
        <f t="array" aca="1" ref="AB137" ca="1">IF($R137&lt;&gt;"",
IF(AND(COUNTIF(INDIRECT("B"&amp;R137&amp;""),"*雙葉*"),COUNTIF(INDIRECT("B"&amp;R137&amp;""),"&lt;&gt;*先生*"),COUNTIF(B:B,"*雙葉*")&gt;=2),
INDIRECT("M"&amp;R137&amp;"")+INDIRECT("M"&amp;MATCH("雙葉'",INDIRECT("B"&amp;R137+1&amp;":B210"),0)+R137&amp;""),
IF(AND(LEFT(INDIRECT("B"&amp;R137&amp;""),2)="博多",COUNTIF(B:B,"*博多*")&gt;=2),
INDIRECT("M"&amp;R137&amp;"")+INDIRECT("M"&amp;MATCH("*"&amp;INDIRECT("B"&amp;R137&amp;"")&amp;"*",INDIRECT("B"&amp;R137+1&amp;":B210"),0)+R137&amp;""),
IF(AND(LEFT(INDIRECT("B"&amp;R137&amp;""),3)="奈良屋",COUNTIF(B:B,"*奈良屋*")&gt;=2),
INDIRECT("M"&amp;R137&amp;"")+INDIRECT("M"&amp;MATCH("*"&amp;INDIRECT("B"&amp;R137&amp;"")&amp;"*",INDIRECT("B"&amp;R137+1&amp;":B210"),0)+R137&amp;"")
+INDIRECT("M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,
INDIRECT("M"&amp;R137&amp;"")))),"")</f>
        <v/>
      </c>
      <c r="AC137" s="176" t="str">
        <f t="shared" ca="1" si="65"/>
        <v/>
      </c>
      <c r="AD137" s="176" t="str">
        <f t="shared" ca="1" si="66"/>
        <v/>
      </c>
      <c r="AE137" s="176" t="str">
        <f t="shared" ca="1" si="67"/>
        <v/>
      </c>
      <c r="AF137" s="176" t="str">
        <f t="shared" ca="1" si="68"/>
        <v/>
      </c>
      <c r="AG137" s="176" t="str">
        <f t="shared" ca="1" si="69"/>
        <v/>
      </c>
      <c r="AH137" s="183" t="str">
        <f t="shared" ca="1" si="70"/>
        <v/>
      </c>
      <c r="AI137" s="176" t="str">
        <f t="shared" ca="1" si="71"/>
        <v/>
      </c>
      <c r="AJ137" s="176" t="str">
        <f t="shared" ca="1" si="72"/>
        <v/>
      </c>
      <c r="AK137" s="176" t="str">
        <f t="shared" ca="1" si="73"/>
        <v/>
      </c>
      <c r="AL137" s="176" t="str">
        <f t="shared" ca="1" si="74"/>
        <v/>
      </c>
      <c r="AM137" s="176" t="str">
        <f t="shared" ca="1" si="75"/>
        <v/>
      </c>
      <c r="AN137" s="176" t="str">
        <f t="shared" ca="1" si="76"/>
        <v/>
      </c>
      <c r="AO137" s="176" t="str">
        <f t="shared" ca="1" si="77"/>
        <v/>
      </c>
      <c r="AP137" s="176" t="str">
        <f t="shared" ca="1" si="78"/>
        <v/>
      </c>
      <c r="AU137" s="176" t="str">
        <f t="shared" ca="1" si="79"/>
        <v/>
      </c>
    </row>
    <row r="138" spans="1:47" ht="22.2" customHeight="1">
      <c r="A138" s="103">
        <f t="shared" si="60"/>
        <v>141</v>
      </c>
      <c r="B138" s="104" t="str">
        <f t="shared" ca="1" si="80"/>
        <v/>
      </c>
      <c r="C138" s="104" t="str">
        <f>IF(OR(クライアント抽出!C68&lt;&gt;"",クライアント抽出!F68&lt;&gt;""),クライアント抽出!A68,"")</f>
        <v/>
      </c>
      <c r="D138" s="104" t="str">
        <f t="array" aca="1" ref="D138" ca="1">IF(C138&lt;&gt;"",INDIRECT("クライアント抽出!"&amp;E138&amp;MATCH(C138,クライアント抽出!A:A,0)&amp;""),"")</f>
        <v/>
      </c>
      <c r="E138" s="104" t="str">
        <f>IF(H138&lt;&gt;0,
IFERROR(
SUBSTITUTE(ADDRESS(1,
MATCH(VALUE(H138),クライアント抽出!A68:G68,0)+8,4),"1",""),
""),
IFERROR(
SUBSTITUTE(ADDRESS(1,
MATCH(VALUE(I138),クライアント抽出!A68:G68,0)+8,4),"1",""),
""))</f>
        <v/>
      </c>
      <c r="F138" s="186" t="str">
        <f ca="1">IF(D138&lt;&gt;"",
IF(COUNTIF(C138,"*雙葉*"),
IF(ROUND((H138-M138)
/IF(COUNTIF(D138,"*キャラ*"),
VLOOKUP("*キャラ*",商品マスタ!$D:$E,2,FALSE),
IF(COUNTIF(D138,"*赤*"),
VLOOKUP("*赤*",商品マスタ!$D:$E,2,FALSE),
VLOOKUP("*"&amp;D138&amp;"*",商品マスタ!$D:$E,2,FALSE))),0)&lt;=0,1,
ROUND((H138-M138)
/IF(COUNTIF(D138,"*キャラ*"),
VLOOKUP("*キャラ*",商品マスタ!$D:$E,2,FALSE),
IF(COUNTIF(D138,"*赤*"),
VLOOKUP("*赤*",商品マスタ!$D:$E,2,FALSE),
VLOOKUP("*"&amp;D138&amp;"*",商品マスタ!$D:$E,2,FALSE))),0)),
IF(OR(COUNTIF(D138,"*キャラ*"),COUNTIF(D138,"*赤*")),"",
IF(VLOOKUP("*"&amp;D138&amp;"*",商品マスタ!$D:$E,2,FALSE)=0,"",
IF(ROUND((H138-M138)
/VLOOKUP("*"&amp;D138&amp;"*",商品マスタ!$D:$E,2,FALSE),0)&lt;=0,1,
ROUND((H138-M138)
/VLOOKUP("*"&amp;D138&amp;"*",商品マスタ!$D:$E,2,FALSE),0))))),"")</f>
        <v/>
      </c>
      <c r="G138" s="104" t="str">
        <f ca="1">IF(F138&lt;&gt;"",
IF(VALUE(H138-M138)&gt;VALUE(IF(COUNTIF(D138,"*キャラ*"),
VLOOKUP("*キャラ*",商品マスタ!$D:$E,2,FALSE),
IF(COUNTIF(D138,"*赤*"),
VLOOKUP("*赤*",商品マスタ!$D:$E,2,FALSE),
VLOOKUP("*"&amp;D138&amp;"*",商品マスタ!$D:$E,2,FALSE)))*F138),
"+"&amp;(H138-M138)-IF(COUNTIF(D138,"*キャラ*"),
VLOOKUP("*キャラ*",商品マスタ!$D:$E,2,FALSE),
IF(COUNTIF(D138,"*赤*"),
VLOOKUP("*赤*",商品マスタ!$D:$E,2,FALSE),
VLOOKUP("*"&amp;D138&amp;"*",商品マスタ!$D:$E,2,FALSE)))*F138,
(H138-M138)-IF(COUNTIF(D138,"*キャラ*"),
VLOOKUP("*キャラ*",商品マスタ!$D:$E,2,FALSE),
IF(COUNTIF(D138,"*赤*"),
VLOOKUP("*赤*",商品マスタ!$D:$E,2,FALSE),
VLOOKUP("*"&amp;D138&amp;"*",商品マスタ!$D:$E,2,FALSE)))*F138),"")</f>
        <v/>
      </c>
      <c r="H138" s="105" t="str">
        <f>IF(C138&lt;&gt;"",
クライアント抽出!C68,"")</f>
        <v/>
      </c>
      <c r="I138" s="104" t="str">
        <f t="array" aca="1" ref="I138" ca="1">IF(C138&lt;&gt;"",
IF(O138=1,
IF(SUMPRODUCT(COUNTIF(クライアント抽出!P68:U68,クライアント抽出!P68:U68))&gt;COUNTA(クライアント抽出!P68:U68),
IFERROR(INDIRECT("数出表_Excel!"&amp;INDEX(_xlfn.UNIQUE(_xlfn._xlws.FILTER(クライアント抽出!P68:U68,COUNTIF(クライアント抽出!P68:U68,クライアント抽出!P68:U68)&gt;1)),1)&amp;L68&amp;""),
クライアント抽出!E68),0),クライアント抽出!F68),"")</f>
        <v/>
      </c>
      <c r="J138" s="104" t="str">
        <f>IF(C138&lt;&gt;"",
VLOOKUP(
"*"&amp;LEFT(IF(COUNTIF(D138,"*学食*"),"キャラ弁（学食）",
IF(COUNTIF(D138,"*赤*"),"赤",
IF(COUNTIF(D138,"*キャラ弁当*"),"キャラ弁当",D138))),4)&amp;"*",注文弁当の抽出!$F$1:$G$15,2,FALSE),"")</f>
        <v/>
      </c>
      <c r="K138" s="104" t="str">
        <f ca="1">IF(クライアント抽出!Q68&lt;&gt;"",SUBSTITUTE(ADDRESS(1,(CODE(クライアント抽出!Q68)-64)*2-1,4),"1",""),"")</f>
        <v/>
      </c>
      <c r="L138" s="104" t="str">
        <f>IF(C68&lt;&gt;"",クライアント抽出!I68,"")</f>
        <v/>
      </c>
      <c r="M138" s="104">
        <f t="array" aca="1" ref="M138" ca="1">IF(C138&lt;&gt;"",
IF(K138&lt;&gt;"",INDIRECT("'数出表_Excel（アレルギー入力）'!"&amp;K138&amp;L138-1&amp;""),),)</f>
        <v>0</v>
      </c>
      <c r="N138" s="104" t="str">
        <f>IF(C138&lt;&gt;"",IF(OR(COUNTIF('盛付札（関数）'!D138,"*赤*"),COUNTIF('盛付札（関数）'!D138,"*キャラ*")),1,
VALUE(VLOOKUP("*"&amp;D138&amp;"*",商品マスタ!D:H,5,FALSE))),"")</f>
        <v/>
      </c>
      <c r="O138" s="104">
        <f t="shared" ca="1" si="81"/>
        <v>0</v>
      </c>
      <c r="P138" s="104">
        <f t="shared" si="61"/>
        <v>0</v>
      </c>
      <c r="Q138" s="104" t="b">
        <f t="shared" si="62"/>
        <v>0</v>
      </c>
      <c r="R138" s="176" t="str">
        <f t="array" aca="1" ref="R138" ca="1">IFERROR(SMALL(IF(P$1:P$311&lt;&gt;0,P$1:P$311),ROW(A138)),"")</f>
        <v/>
      </c>
      <c r="S138" s="176" t="str">
        <f t="array" aca="1" ref="S138" ca="1">IF($R138&lt;&gt;"",
SUBSTITUTE(SUBSTITUTE(INDIRECT("C"&amp;$R138&amp;"")," 週3ｺｰｽ","")," 週5ｺｰｽ",""),"")</f>
        <v/>
      </c>
      <c r="T138" s="176" t="str">
        <f t="array" aca="1" ref="T138" ca="1">IF(IF($R138&lt;&gt;"",
INDIRECT(""&amp;IF(COLUMN(D138)&lt;=26,CHAR(COLUMN(D138)+64),CHAR(INT((COLUMN(D138)-1)/26)+64)&amp;CHAR(MOD(COLUMN(D138)-1,26)+65))&amp;$R138&amp;""),"")=0,"",
IF($R138&lt;&gt;"",
INDIRECT(""&amp;IF(COLUMN(D138)&lt;=26,CHAR(COLUMN(D138)+64),CHAR(INT((COLUMN(D138)-1)/26)+64)&amp;CHAR(MOD(COLUMN(D138)-1,26)+65))&amp;$R138&amp;""),""))</f>
        <v/>
      </c>
      <c r="U138" s="218" t="str">
        <f t="array" aca="1" ref="U138" ca="1">IF($R138&lt;&gt;"",
INDIRECT("F"&amp;$R138&amp;""),"")</f>
        <v/>
      </c>
      <c r="V138" s="219" t="str">
        <f t="array" aca="1" ref="V138" ca="1">IF($R138&lt;&gt;"",
INDIRECT("G"&amp;$R138&amp;""),"")</f>
        <v/>
      </c>
      <c r="W138" s="219" t="str" cm="1">
        <f t="array" aca="1" ref="W138" ca="1">IF($R138&lt;&gt;"",
IF(AND(COUNTIF(INDIRECT("B"&amp;R138&amp;""),"*雙葉*"),COUNTIF($B$71:$B$210,"*雙葉*")&gt;=1),
IF(OR(COUNTIF(INDIRECT("B"&amp;R138&amp;""),"*雙葉先生*"),COUNTIF(INDIRECT("B"&amp;R138-1&amp;""),"*雙葉*")),INDIRECT("H"&amp;R138&amp;""),INDIRECT("H"&amp;R138&amp;"")+INDIRECT("H"&amp;MATCH("雙葉'",INDIRECT("B"&amp;R138+3&amp;":B210"),0)+2+R138&amp;"")),
IF(AND(LEFT(INDIRECT("B"&amp;R138&amp;""),2)="博多",COUNTIF(B:B,"*博多*")&gt;=2),
INDIRECT("H"&amp;R138&amp;"")+IFERROR(INDIRECT("H"&amp;MATCH("*"&amp;INDIRECT("B"&amp;R138&amp;"")&amp;"*",INDIRECT("B"&amp;R138+1&amp;":B210"),0)+R138&amp;""),0),
IF(AND(LEFT(INDIRECT("B"&amp;R138&amp;""),3)="奈良屋",COUNTIF(B:B,"*奈良屋*")&gt;=2),
INDIRECT("H"&amp;R138&amp;"")
+INDIRECT("H"&amp;MATCH("*"&amp;INDIRECT("B"&amp;R138&amp;"")&amp;"*",INDIRECT("B"&amp;R138+1&amp;":B210"),0)+R138&amp;"")
+INDIRECT("H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
+INDIRECT("H"&amp;MATCH("*"&amp;INDIRECT("B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&amp;"*",INDIRECT("B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+1&amp;":B210"),0)+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,
INDIRECT("H"&amp;R138&amp;"")))),"")</f>
        <v/>
      </c>
      <c r="X138" s="176" t="str">
        <f t="array" aca="1" ref="X138" ca="1">IF($R138&lt;&gt;"",
INDIRECT(""&amp;IF(COLUMN(I138)&lt;=26,CHAR(COLUMN(I138)+64),CHAR(INT((COLUMN(I138)-1)/26)+64)&amp;CHAR(MOD(COLUMN(I138)-1,26)+65))&amp;$R138&amp;""),"")</f>
        <v/>
      </c>
      <c r="Y138" s="176" t="str">
        <f t="array" aca="1" ref="Y138" ca="1">IF($R138&lt;&gt;"",
INDIRECT(""&amp;IF(COLUMN(J138)&lt;=26,CHAR(COLUMN(J138)+64),CHAR(INT((COLUMN(J138)-1)/26)+64)&amp;CHAR(MOD(COLUMN(J138)-1,26)+65))&amp;$R138&amp;""),"")</f>
        <v/>
      </c>
      <c r="Z138" s="176" t="str">
        <f t="shared" ca="1" si="63"/>
        <v/>
      </c>
      <c r="AA138" s="176" t="str">
        <f t="shared" ca="1" si="64"/>
        <v/>
      </c>
      <c r="AB138" s="176" t="str">
        <f t="array" aca="1" ref="AB138" ca="1">IF($R138&lt;&gt;"",
IF(AND(COUNTIF(INDIRECT("B"&amp;R138&amp;""),"*雙葉*"),COUNTIF(INDIRECT("B"&amp;R138&amp;""),"&lt;&gt;*先生*"),COUNTIF(B:B,"*雙葉*")&gt;=2),
INDIRECT("M"&amp;R138&amp;"")+INDIRECT("M"&amp;MATCH("雙葉'",INDIRECT("B"&amp;R138+1&amp;":B210"),0)+R138&amp;""),
IF(AND(LEFT(INDIRECT("B"&amp;R138&amp;""),2)="博多",COUNTIF(B:B,"*博多*")&gt;=2),
INDIRECT("M"&amp;R138&amp;"")+INDIRECT("M"&amp;MATCH("*"&amp;INDIRECT("B"&amp;R138&amp;"")&amp;"*",INDIRECT("B"&amp;R138+1&amp;":B210"),0)+R138&amp;""),
IF(AND(LEFT(INDIRECT("B"&amp;R138&amp;""),3)="奈良屋",COUNTIF(B:B,"*奈良屋*")&gt;=2),
INDIRECT("M"&amp;R138&amp;"")+INDIRECT("M"&amp;MATCH("*"&amp;INDIRECT("B"&amp;R138&amp;"")&amp;"*",INDIRECT("B"&amp;R138+1&amp;":B210"),0)+R138&amp;"")
+INDIRECT("M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,
INDIRECT("M"&amp;R138&amp;"")))),"")</f>
        <v/>
      </c>
      <c r="AC138" s="176" t="str">
        <f t="shared" ca="1" si="65"/>
        <v/>
      </c>
      <c r="AD138" s="176" t="str">
        <f t="shared" ca="1" si="66"/>
        <v/>
      </c>
      <c r="AE138" s="176" t="str">
        <f t="shared" ca="1" si="67"/>
        <v/>
      </c>
      <c r="AF138" s="176" t="str">
        <f t="shared" ca="1" si="68"/>
        <v/>
      </c>
      <c r="AG138" s="176" t="str">
        <f t="shared" ca="1" si="69"/>
        <v/>
      </c>
      <c r="AH138" s="183" t="str">
        <f t="shared" ca="1" si="70"/>
        <v/>
      </c>
      <c r="AI138" s="176" t="str">
        <f t="shared" ca="1" si="71"/>
        <v/>
      </c>
      <c r="AJ138" s="176" t="str">
        <f t="shared" ca="1" si="72"/>
        <v/>
      </c>
      <c r="AK138" s="176" t="str">
        <f t="shared" ca="1" si="73"/>
        <v/>
      </c>
      <c r="AL138" s="176" t="str">
        <f t="shared" ca="1" si="74"/>
        <v/>
      </c>
      <c r="AM138" s="176" t="str">
        <f t="shared" ca="1" si="75"/>
        <v/>
      </c>
      <c r="AN138" s="176" t="str">
        <f t="shared" ca="1" si="76"/>
        <v/>
      </c>
      <c r="AO138" s="176" t="str">
        <f t="shared" ca="1" si="77"/>
        <v/>
      </c>
      <c r="AP138" s="176" t="str">
        <f t="shared" ca="1" si="78"/>
        <v/>
      </c>
      <c r="AU138" s="176" t="str">
        <f t="shared" ca="1" si="79"/>
        <v/>
      </c>
    </row>
    <row r="139" spans="1:47" ht="22.2" customHeight="1">
      <c r="A139" s="103">
        <f t="shared" si="60"/>
        <v>143</v>
      </c>
      <c r="B139" s="104" t="str">
        <f t="shared" ca="1" si="80"/>
        <v/>
      </c>
      <c r="C139" s="104" t="str">
        <f>IF(OR(クライアント抽出!C69&lt;&gt;"",クライアント抽出!F69&lt;&gt;""),クライアント抽出!A69,"")</f>
        <v/>
      </c>
      <c r="D139" s="104" t="str">
        <f t="array" aca="1" ref="D139" ca="1">IF(C139&lt;&gt;"",INDIRECT("クライアント抽出!"&amp;E139&amp;MATCH(C139,クライアント抽出!A:A,0)&amp;""),"")</f>
        <v/>
      </c>
      <c r="E139" s="104" t="str">
        <f>IF(H139&lt;&gt;0,
IFERROR(
SUBSTITUTE(ADDRESS(1,
MATCH(VALUE(H139),クライアント抽出!A69:G69,0)+8,4),"1",""),
""),
IFERROR(
SUBSTITUTE(ADDRESS(1,
MATCH(VALUE(I139),クライアント抽出!A69:G69,0)+8,4),"1",""),
""))</f>
        <v/>
      </c>
      <c r="F139" s="186" t="str">
        <f ca="1">IF(D139&lt;&gt;"",
IF(COUNTIF(C139,"*雙葉*"),
IF(ROUND((H139-M139)
/IF(COUNTIF(D139,"*キャラ*"),
VLOOKUP("*キャラ*",商品マスタ!$D:$E,2,FALSE),
IF(COUNTIF(D139,"*赤*"),
VLOOKUP("*赤*",商品マスタ!$D:$E,2,FALSE),
VLOOKUP("*"&amp;D139&amp;"*",商品マスタ!$D:$E,2,FALSE))),0)&lt;=0,1,
ROUND((H139-M139)
/IF(COUNTIF(D139,"*キャラ*"),
VLOOKUP("*キャラ*",商品マスタ!$D:$E,2,FALSE),
IF(COUNTIF(D139,"*赤*"),
VLOOKUP("*赤*",商品マスタ!$D:$E,2,FALSE),
VLOOKUP("*"&amp;D139&amp;"*",商品マスタ!$D:$E,2,FALSE))),0)),
IF(OR(COUNTIF(D139,"*キャラ*"),COUNTIF(D139,"*赤*")),"",
IF(VLOOKUP("*"&amp;D139&amp;"*",商品マスタ!$D:$E,2,FALSE)=0,"",
IF(ROUND((H139-M139)
/VLOOKUP("*"&amp;D139&amp;"*",商品マスタ!$D:$E,2,FALSE),0)&lt;=0,1,
ROUND((H139-M139)
/VLOOKUP("*"&amp;D139&amp;"*",商品マスタ!$D:$E,2,FALSE),0))))),"")</f>
        <v/>
      </c>
      <c r="G139" s="104" t="str">
        <f ca="1">IF(F139&lt;&gt;"",
IF(VALUE(H139-M139)&gt;VALUE(IF(COUNTIF(D139,"*キャラ*"),
VLOOKUP("*キャラ*",商品マスタ!$D:$E,2,FALSE),
IF(COUNTIF(D139,"*赤*"),
VLOOKUP("*赤*",商品マスタ!$D:$E,2,FALSE),
VLOOKUP("*"&amp;D139&amp;"*",商品マスタ!$D:$E,2,FALSE)))*F139),
"+"&amp;(H139-M139)-IF(COUNTIF(D139,"*キャラ*"),
VLOOKUP("*キャラ*",商品マスタ!$D:$E,2,FALSE),
IF(COUNTIF(D139,"*赤*"),
VLOOKUP("*赤*",商品マスタ!$D:$E,2,FALSE),
VLOOKUP("*"&amp;D139&amp;"*",商品マスタ!$D:$E,2,FALSE)))*F139,
(H139-M139)-IF(COUNTIF(D139,"*キャラ*"),
VLOOKUP("*キャラ*",商品マスタ!$D:$E,2,FALSE),
IF(COUNTIF(D139,"*赤*"),
VLOOKUP("*赤*",商品マスタ!$D:$E,2,FALSE),
VLOOKUP("*"&amp;D139&amp;"*",商品マスタ!$D:$E,2,FALSE)))*F139),"")</f>
        <v/>
      </c>
      <c r="H139" s="105" t="str">
        <f>IF(C139&lt;&gt;"",
クライアント抽出!C69,"")</f>
        <v/>
      </c>
      <c r="I139" s="104" t="str">
        <f t="array" aca="1" ref="I139" ca="1">IF(C139&lt;&gt;"",
IF(O139=1,
IF(SUMPRODUCT(COUNTIF(クライアント抽出!P69:U69,クライアント抽出!P69:U69))&gt;COUNTA(クライアント抽出!P69:U69),
IFERROR(INDIRECT("数出表_Excel!"&amp;INDEX(_xlfn.UNIQUE(_xlfn._xlws.FILTER(クライアント抽出!P69:U69,COUNTIF(クライアント抽出!P69:U69,クライアント抽出!P69:U69)&gt;1)),1)&amp;L69&amp;""),
クライアント抽出!E69),0),クライアント抽出!F69),"")</f>
        <v/>
      </c>
      <c r="J139" s="104" t="str">
        <f>IF(C139&lt;&gt;"",
VLOOKUP(
"*"&amp;LEFT(IF(COUNTIF(D139,"*学食*"),"キャラ弁（学食）",
IF(COUNTIF(D139,"*赤*"),"赤",
IF(COUNTIF(D139,"*キャラ弁当*"),"キャラ弁当",D139))),4)&amp;"*",注文弁当の抽出!$F$1:$G$15,2,FALSE),"")</f>
        <v/>
      </c>
      <c r="K139" s="104" t="str">
        <f ca="1">IF(クライアント抽出!Q69&lt;&gt;"",SUBSTITUTE(ADDRESS(1,(CODE(クライアント抽出!Q69)-64)*2-1,4),"1",""),"")</f>
        <v/>
      </c>
      <c r="L139" s="104" t="str">
        <f>IF(C69&lt;&gt;"",クライアント抽出!I69,"")</f>
        <v/>
      </c>
      <c r="M139" s="104">
        <f t="array" aca="1" ref="M139" ca="1">IF(C139&lt;&gt;"",
IF(K139&lt;&gt;"",INDIRECT("'数出表_Excel（アレルギー入力）'!"&amp;K139&amp;L139-1&amp;""),),)</f>
        <v>0</v>
      </c>
      <c r="N139" s="104" t="str">
        <f>IF(C139&lt;&gt;"",IF(OR(COUNTIF('盛付札（関数）'!D139,"*赤*"),COUNTIF('盛付札（関数）'!D139,"*キャラ*")),1,
VALUE(VLOOKUP("*"&amp;D139&amp;"*",商品マスタ!D:H,5,FALSE))),"")</f>
        <v/>
      </c>
      <c r="O139" s="104">
        <f t="shared" ca="1" si="81"/>
        <v>0</v>
      </c>
      <c r="P139" s="104">
        <f t="shared" si="61"/>
        <v>0</v>
      </c>
      <c r="Q139" s="104" t="b">
        <f t="shared" si="62"/>
        <v>0</v>
      </c>
      <c r="R139" s="176" t="str">
        <f t="array" aca="1" ref="R139" ca="1">IFERROR(SMALL(IF(P$1:P$311&lt;&gt;0,P$1:P$311),ROW(A139)),"")</f>
        <v/>
      </c>
      <c r="S139" s="176" t="str">
        <f t="array" aca="1" ref="S139" ca="1">IF($R139&lt;&gt;"",
SUBSTITUTE(SUBSTITUTE(INDIRECT("C"&amp;$R139&amp;"")," 週3ｺｰｽ","")," 週5ｺｰｽ",""),"")</f>
        <v/>
      </c>
      <c r="T139" s="176" t="str">
        <f t="array" aca="1" ref="T139" ca="1">IF(IF($R139&lt;&gt;"",
INDIRECT(""&amp;IF(COLUMN(D139)&lt;=26,CHAR(COLUMN(D139)+64),CHAR(INT((COLUMN(D139)-1)/26)+64)&amp;CHAR(MOD(COLUMN(D139)-1,26)+65))&amp;$R139&amp;""),"")=0,"",
IF($R139&lt;&gt;"",
INDIRECT(""&amp;IF(COLUMN(D139)&lt;=26,CHAR(COLUMN(D139)+64),CHAR(INT((COLUMN(D139)-1)/26)+64)&amp;CHAR(MOD(COLUMN(D139)-1,26)+65))&amp;$R139&amp;""),""))</f>
        <v/>
      </c>
      <c r="U139" s="218" t="str">
        <f t="array" aca="1" ref="U139" ca="1">IF($R139&lt;&gt;"",
INDIRECT("F"&amp;$R139&amp;""),"")</f>
        <v/>
      </c>
      <c r="V139" s="219" t="str">
        <f t="array" aca="1" ref="V139" ca="1">IF($R139&lt;&gt;"",
INDIRECT("G"&amp;$R139&amp;""),"")</f>
        <v/>
      </c>
      <c r="W139" s="219" t="str" cm="1">
        <f t="array" aca="1" ref="W139" ca="1">IF($R139&lt;&gt;"",
IF(AND(COUNTIF(INDIRECT("B"&amp;R139&amp;""),"*雙葉*"),COUNTIF($B$71:$B$210,"*雙葉*")&gt;=1),
IF(OR(COUNTIF(INDIRECT("B"&amp;R139&amp;""),"*雙葉先生*"),COUNTIF(INDIRECT("B"&amp;R139-1&amp;""),"*雙葉*")),INDIRECT("H"&amp;R139&amp;""),INDIRECT("H"&amp;R139&amp;"")+INDIRECT("H"&amp;MATCH("雙葉'",INDIRECT("B"&amp;R139+3&amp;":B210"),0)+2+R139&amp;"")),
IF(AND(LEFT(INDIRECT("B"&amp;R139&amp;""),2)="博多",COUNTIF(B:B,"*博多*")&gt;=2),
INDIRECT("H"&amp;R139&amp;"")+IFERROR(INDIRECT("H"&amp;MATCH("*"&amp;INDIRECT("B"&amp;R139&amp;"")&amp;"*",INDIRECT("B"&amp;R139+1&amp;":B210"),0)+R139&amp;""),0),
IF(AND(LEFT(INDIRECT("B"&amp;R139&amp;""),3)="奈良屋",COUNTIF(B:B,"*奈良屋*")&gt;=2),
INDIRECT("H"&amp;R139&amp;"")
+INDIRECT("H"&amp;MATCH("*"&amp;INDIRECT("B"&amp;R139&amp;"")&amp;"*",INDIRECT("B"&amp;R139+1&amp;":B210"),0)+R139&amp;"")
+INDIRECT("H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
+INDIRECT("H"&amp;MATCH("*"&amp;INDIRECT("B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&amp;"*",INDIRECT("B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+1&amp;":B210"),0)+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,
INDIRECT("H"&amp;R139&amp;"")))),"")</f>
        <v/>
      </c>
      <c r="X139" s="176" t="str">
        <f t="array" aca="1" ref="X139" ca="1">IF($R139&lt;&gt;"",
INDIRECT(""&amp;IF(COLUMN(I139)&lt;=26,CHAR(COLUMN(I139)+64),CHAR(INT((COLUMN(I139)-1)/26)+64)&amp;CHAR(MOD(COLUMN(I139)-1,26)+65))&amp;$R139&amp;""),"")</f>
        <v/>
      </c>
      <c r="Y139" s="176" t="str">
        <f t="array" aca="1" ref="Y139" ca="1">IF($R139&lt;&gt;"",
INDIRECT(""&amp;IF(COLUMN(J139)&lt;=26,CHAR(COLUMN(J139)+64),CHAR(INT((COLUMN(J139)-1)/26)+64)&amp;CHAR(MOD(COLUMN(J139)-1,26)+65))&amp;$R139&amp;""),"")</f>
        <v/>
      </c>
      <c r="Z139" s="176" t="str">
        <f t="shared" ca="1" si="63"/>
        <v/>
      </c>
      <c r="AA139" s="176" t="str">
        <f t="shared" ca="1" si="64"/>
        <v/>
      </c>
      <c r="AB139" s="176" t="str">
        <f t="array" aca="1" ref="AB139" ca="1">IF($R139&lt;&gt;"",
IF(AND(COUNTIF(INDIRECT("B"&amp;R139&amp;""),"*雙葉*"),COUNTIF(INDIRECT("B"&amp;R139&amp;""),"&lt;&gt;*先生*"),COUNTIF(B:B,"*雙葉*")&gt;=2),
INDIRECT("M"&amp;R139&amp;"")+INDIRECT("M"&amp;MATCH("雙葉'",INDIRECT("B"&amp;R139+1&amp;":B210"),0)+R139&amp;""),
IF(AND(LEFT(INDIRECT("B"&amp;R139&amp;""),2)="博多",COUNTIF(B:B,"*博多*")&gt;=2),
INDIRECT("M"&amp;R139&amp;"")+INDIRECT("M"&amp;MATCH("*"&amp;INDIRECT("B"&amp;R139&amp;"")&amp;"*",INDIRECT("B"&amp;R139+1&amp;":B210"),0)+R139&amp;""),
IF(AND(LEFT(INDIRECT("B"&amp;R139&amp;""),3)="奈良屋",COUNTIF(B:B,"*奈良屋*")&gt;=2),
INDIRECT("M"&amp;R139&amp;"")+INDIRECT("M"&amp;MATCH("*"&amp;INDIRECT("B"&amp;R139&amp;"")&amp;"*",INDIRECT("B"&amp;R139+1&amp;":B210"),0)+R139&amp;"")
+INDIRECT("M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,
INDIRECT("M"&amp;R139&amp;"")))),"")</f>
        <v/>
      </c>
      <c r="AC139" s="176" t="str">
        <f t="shared" ca="1" si="65"/>
        <v/>
      </c>
      <c r="AD139" s="176" t="str">
        <f t="shared" ca="1" si="66"/>
        <v/>
      </c>
      <c r="AE139" s="176" t="str">
        <f t="shared" ca="1" si="67"/>
        <v/>
      </c>
      <c r="AF139" s="176" t="str">
        <f t="shared" ca="1" si="68"/>
        <v/>
      </c>
      <c r="AG139" s="176" t="str">
        <f t="shared" ca="1" si="69"/>
        <v/>
      </c>
      <c r="AH139" s="183" t="str">
        <f t="shared" ca="1" si="70"/>
        <v/>
      </c>
      <c r="AI139" s="176" t="str">
        <f t="shared" ca="1" si="71"/>
        <v/>
      </c>
      <c r="AJ139" s="176" t="str">
        <f t="shared" ca="1" si="72"/>
        <v/>
      </c>
      <c r="AK139" s="176" t="str">
        <f t="shared" ca="1" si="73"/>
        <v/>
      </c>
      <c r="AL139" s="176" t="str">
        <f t="shared" ca="1" si="74"/>
        <v/>
      </c>
      <c r="AM139" s="176" t="str">
        <f t="shared" ca="1" si="75"/>
        <v/>
      </c>
      <c r="AN139" s="176" t="str">
        <f t="shared" ca="1" si="76"/>
        <v/>
      </c>
      <c r="AO139" s="176" t="str">
        <f t="shared" ca="1" si="77"/>
        <v/>
      </c>
      <c r="AP139" s="176" t="str">
        <f t="shared" ca="1" si="78"/>
        <v/>
      </c>
      <c r="AU139" s="176" t="str">
        <f t="shared" ca="1" si="79"/>
        <v/>
      </c>
    </row>
    <row r="140" spans="1:47" ht="22.2" customHeight="1">
      <c r="A140" s="103">
        <f t="shared" si="60"/>
        <v>145</v>
      </c>
      <c r="B140" s="104" t="str">
        <f t="shared" ca="1" si="80"/>
        <v/>
      </c>
      <c r="C140" s="104" t="str">
        <f>IF(OR(クライアント抽出!C70&lt;&gt;"",クライアント抽出!F70&lt;&gt;""),クライアント抽出!A70,"")</f>
        <v/>
      </c>
      <c r="D140" s="104" t="str">
        <f t="array" aca="1" ref="D140" ca="1">IF(C140&lt;&gt;"",INDIRECT("クライアント抽出!"&amp;E140&amp;MATCH(C140,クライアント抽出!A:A,0)&amp;""),"")</f>
        <v/>
      </c>
      <c r="E140" s="104" t="str">
        <f>IF(H140&lt;&gt;0,
IFERROR(
SUBSTITUTE(ADDRESS(1,
MATCH(VALUE(H140),クライアント抽出!A70:G70,0)+8,4),"1",""),
""),
IFERROR(
SUBSTITUTE(ADDRESS(1,
MATCH(VALUE(I140),クライアント抽出!A70:G70,0)+8,4),"1",""),
""))</f>
        <v/>
      </c>
      <c r="F140" s="186" t="str">
        <f ca="1">IF(D140&lt;&gt;"",
IF(COUNTIF(C140,"*雙葉*"),
IF(ROUND((H140-M140)
/IF(COUNTIF(D140,"*キャラ*"),
VLOOKUP("*キャラ*",商品マスタ!$D:$E,2,FALSE),
IF(COUNTIF(D140,"*赤*"),
VLOOKUP("*赤*",商品マスタ!$D:$E,2,FALSE),
VLOOKUP("*"&amp;D140&amp;"*",商品マスタ!$D:$E,2,FALSE))),0)&lt;=0,1,
ROUND((H140-M140)
/IF(COUNTIF(D140,"*キャラ*"),
VLOOKUP("*キャラ*",商品マスタ!$D:$E,2,FALSE),
IF(COUNTIF(D140,"*赤*"),
VLOOKUP("*赤*",商品マスタ!$D:$E,2,FALSE),
VLOOKUP("*"&amp;D140&amp;"*",商品マスタ!$D:$E,2,FALSE))),0)),
IF(OR(COUNTIF(D140,"*キャラ*"),COUNTIF(D140,"*赤*")),"",
IF(VLOOKUP("*"&amp;D140&amp;"*",商品マスタ!$D:$E,2,FALSE)=0,"",
IF(ROUND((H140-M140)
/VLOOKUP("*"&amp;D140&amp;"*",商品マスタ!$D:$E,2,FALSE),0)&lt;=0,1,
ROUND((H140-M140)
/VLOOKUP("*"&amp;D140&amp;"*",商品マスタ!$D:$E,2,FALSE),0))))),"")</f>
        <v/>
      </c>
      <c r="G140" s="104" t="str">
        <f ca="1">IF(F140&lt;&gt;"",
IF(VALUE(H140-M140)&gt;VALUE(IF(COUNTIF(D140,"*キャラ*"),
VLOOKUP("*キャラ*",商品マスタ!$D:$E,2,FALSE),
IF(COUNTIF(D140,"*赤*"),
VLOOKUP("*赤*",商品マスタ!$D:$E,2,FALSE),
VLOOKUP("*"&amp;D140&amp;"*",商品マスタ!$D:$E,2,FALSE)))*F140),
"+"&amp;(H140-M140)-IF(COUNTIF(D140,"*キャラ*"),
VLOOKUP("*キャラ*",商品マスタ!$D:$E,2,FALSE),
IF(COUNTIF(D140,"*赤*"),
VLOOKUP("*赤*",商品マスタ!$D:$E,2,FALSE),
VLOOKUP("*"&amp;D140&amp;"*",商品マスタ!$D:$E,2,FALSE)))*F140,
(H140-M140)-IF(COUNTIF(D140,"*キャラ*"),
VLOOKUP("*キャラ*",商品マスタ!$D:$E,2,FALSE),
IF(COUNTIF(D140,"*赤*"),
VLOOKUP("*赤*",商品マスタ!$D:$E,2,FALSE),
VLOOKUP("*"&amp;D140&amp;"*",商品マスタ!$D:$E,2,FALSE)))*F140),"")</f>
        <v/>
      </c>
      <c r="H140" s="105" t="str">
        <f>IF(C140&lt;&gt;"",
クライアント抽出!C70,"")</f>
        <v/>
      </c>
      <c r="I140" s="104" t="str">
        <f t="array" aca="1" ref="I140" ca="1">IF(C140&lt;&gt;"",
IF(O140=1,
IF(SUMPRODUCT(COUNTIF(クライアント抽出!P70:U70,クライアント抽出!P70:U70))&gt;COUNTA(クライアント抽出!P70:U70),
IFERROR(INDIRECT("数出表_Excel!"&amp;INDEX(_xlfn.UNIQUE(_xlfn._xlws.FILTER(クライアント抽出!P70:U70,COUNTIF(クライアント抽出!P70:U70,クライアント抽出!P70:U70)&gt;1)),1)&amp;L70&amp;""),
クライアント抽出!E70),0),クライアント抽出!F70),"")</f>
        <v/>
      </c>
      <c r="J140" s="104" t="str">
        <f>IF(C140&lt;&gt;"",
VLOOKUP(
"*"&amp;LEFT(IF(COUNTIF(D140,"*学食*"),"キャラ弁（学食）",
IF(COUNTIF(D140,"*赤*"),"赤",
IF(COUNTIF(D140,"*キャラ弁当*"),"キャラ弁当",D140))),4)&amp;"*",注文弁当の抽出!$F$1:$G$15,2,FALSE),"")</f>
        <v/>
      </c>
      <c r="K140" s="104" t="str">
        <f ca="1">IF(クライアント抽出!Q70&lt;&gt;"",SUBSTITUTE(ADDRESS(1,(CODE(クライアント抽出!Q70)-64)*2-1,4),"1",""),"")</f>
        <v/>
      </c>
      <c r="L140" s="104" t="str">
        <f>IF(C70&lt;&gt;"",クライアント抽出!I70,"")</f>
        <v/>
      </c>
      <c r="M140" s="104">
        <f t="array" aca="1" ref="M140" ca="1">IF(C140&lt;&gt;"",
IF(K140&lt;&gt;"",INDIRECT("'数出表_Excel（アレルギー入力）'!"&amp;K140&amp;L140-1&amp;""),),)</f>
        <v>0</v>
      </c>
      <c r="N140" s="104" t="str">
        <f>IF(C140&lt;&gt;"",IF(OR(COUNTIF('盛付札（関数）'!D140,"*赤*"),COUNTIF('盛付札（関数）'!D140,"*キャラ*")),1,
VALUE(VLOOKUP("*"&amp;D140&amp;"*",商品マスタ!D:H,5,FALSE))),"")</f>
        <v/>
      </c>
      <c r="O140" s="104">
        <f t="shared" ca="1" si="81"/>
        <v>0</v>
      </c>
      <c r="P140" s="104">
        <f t="shared" si="61"/>
        <v>0</v>
      </c>
      <c r="Q140" s="104" t="b">
        <f t="shared" si="62"/>
        <v>0</v>
      </c>
      <c r="R140" s="176" t="str">
        <f t="array" aca="1" ref="R140" ca="1">IFERROR(SMALL(IF(P$1:P$311&lt;&gt;0,P$1:P$311),ROW(A140)),"")</f>
        <v/>
      </c>
      <c r="S140" s="176" t="str">
        <f t="array" aca="1" ref="S140" ca="1">IF($R140&lt;&gt;"",
SUBSTITUTE(SUBSTITUTE(INDIRECT("C"&amp;$R140&amp;"")," 週3ｺｰｽ","")," 週5ｺｰｽ",""),"")</f>
        <v/>
      </c>
      <c r="T140" s="176" t="str">
        <f t="array" aca="1" ref="T140" ca="1">IF(IF($R140&lt;&gt;"",
INDIRECT(""&amp;IF(COLUMN(D140)&lt;=26,CHAR(COLUMN(D140)+64),CHAR(INT((COLUMN(D140)-1)/26)+64)&amp;CHAR(MOD(COLUMN(D140)-1,26)+65))&amp;$R140&amp;""),"")=0,"",
IF($R140&lt;&gt;"",
INDIRECT(""&amp;IF(COLUMN(D140)&lt;=26,CHAR(COLUMN(D140)+64),CHAR(INT((COLUMN(D140)-1)/26)+64)&amp;CHAR(MOD(COLUMN(D140)-1,26)+65))&amp;$R140&amp;""),""))</f>
        <v/>
      </c>
      <c r="U140" s="218" t="str">
        <f t="array" aca="1" ref="U140" ca="1">IF($R140&lt;&gt;"",
INDIRECT("F"&amp;$R140&amp;""),"")</f>
        <v/>
      </c>
      <c r="V140" s="219" t="str">
        <f t="array" aca="1" ref="V140" ca="1">IF($R140&lt;&gt;"",
INDIRECT("G"&amp;$R140&amp;""),"")</f>
        <v/>
      </c>
      <c r="W140" s="219" t="str" cm="1">
        <f t="array" aca="1" ref="W140" ca="1">IF($R140&lt;&gt;"",
IF(AND(COUNTIF(INDIRECT("B"&amp;R140&amp;""),"*雙葉*"),COUNTIF($B$71:$B$210,"*雙葉*")&gt;=1),
IF(OR(COUNTIF(INDIRECT("B"&amp;R140&amp;""),"*雙葉先生*"),COUNTIF(INDIRECT("B"&amp;R140-1&amp;""),"*雙葉*")),INDIRECT("H"&amp;R140&amp;""),INDIRECT("H"&amp;R140&amp;"")+INDIRECT("H"&amp;MATCH("雙葉'",INDIRECT("B"&amp;R140+3&amp;":B210"),0)+2+R140&amp;"")),
IF(AND(LEFT(INDIRECT("B"&amp;R140&amp;""),2)="博多",COUNTIF(B:B,"*博多*")&gt;=2),
INDIRECT("H"&amp;R140&amp;"")+IFERROR(INDIRECT("H"&amp;MATCH("*"&amp;INDIRECT("B"&amp;R140&amp;"")&amp;"*",INDIRECT("B"&amp;R140+1&amp;":B210"),0)+R140&amp;""),0),
IF(AND(LEFT(INDIRECT("B"&amp;R140&amp;""),3)="奈良屋",COUNTIF(B:B,"*奈良屋*")&gt;=2),
INDIRECT("H"&amp;R140&amp;"")
+INDIRECT("H"&amp;MATCH("*"&amp;INDIRECT("B"&amp;R140&amp;"")&amp;"*",INDIRECT("B"&amp;R140+1&amp;":B210"),0)+R140&amp;"")
+INDIRECT("H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
+INDIRECT("H"&amp;MATCH("*"&amp;INDIRECT("B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&amp;"*",INDIRECT("B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+1&amp;":B210"),0)+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,
INDIRECT("H"&amp;R140&amp;"")))),"")</f>
        <v/>
      </c>
      <c r="X140" s="176" t="str">
        <f t="array" aca="1" ref="X140" ca="1">IF($R140&lt;&gt;"",
INDIRECT(""&amp;IF(COLUMN(I140)&lt;=26,CHAR(COLUMN(I140)+64),CHAR(INT((COLUMN(I140)-1)/26)+64)&amp;CHAR(MOD(COLUMN(I140)-1,26)+65))&amp;$R140&amp;""),"")</f>
        <v/>
      </c>
      <c r="Y140" s="176" t="str">
        <f t="array" aca="1" ref="Y140" ca="1">IF($R140&lt;&gt;"",
INDIRECT(""&amp;IF(COLUMN(J140)&lt;=26,CHAR(COLUMN(J140)+64),CHAR(INT((COLUMN(J140)-1)/26)+64)&amp;CHAR(MOD(COLUMN(J140)-1,26)+65))&amp;$R140&amp;""),"")</f>
        <v/>
      </c>
      <c r="Z140" s="176" t="str">
        <f t="shared" ca="1" si="63"/>
        <v/>
      </c>
      <c r="AA140" s="176" t="str">
        <f t="shared" ca="1" si="64"/>
        <v/>
      </c>
      <c r="AB140" s="176" t="str">
        <f t="array" aca="1" ref="AB140" ca="1">IF($R140&lt;&gt;"",
IF(AND(COUNTIF(INDIRECT("B"&amp;R140&amp;""),"*雙葉*"),COUNTIF(INDIRECT("B"&amp;R140&amp;""),"&lt;&gt;*先生*"),COUNTIF(B:B,"*雙葉*")&gt;=2),
INDIRECT("M"&amp;R140&amp;"")+INDIRECT("M"&amp;MATCH("雙葉'",INDIRECT("B"&amp;R140+1&amp;":B210"),0)+R140&amp;""),
IF(AND(LEFT(INDIRECT("B"&amp;R140&amp;""),2)="博多",COUNTIF(B:B,"*博多*")&gt;=2),
INDIRECT("M"&amp;R140&amp;"")+INDIRECT("M"&amp;MATCH("*"&amp;INDIRECT("B"&amp;R140&amp;"")&amp;"*",INDIRECT("B"&amp;R140+1&amp;":B210"),0)+R140&amp;""),
IF(AND(LEFT(INDIRECT("B"&amp;R140&amp;""),3)="奈良屋",COUNTIF(B:B,"*奈良屋*")&gt;=2),
INDIRECT("M"&amp;R140&amp;"")+INDIRECT("M"&amp;MATCH("*"&amp;INDIRECT("B"&amp;R140&amp;"")&amp;"*",INDIRECT("B"&amp;R140+1&amp;":B210"),0)+R140&amp;"")
+INDIRECT("M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,
INDIRECT("M"&amp;R140&amp;"")))),"")</f>
        <v/>
      </c>
      <c r="AC140" s="176" t="str">
        <f t="shared" ca="1" si="65"/>
        <v/>
      </c>
      <c r="AD140" s="176" t="str">
        <f t="shared" ca="1" si="66"/>
        <v/>
      </c>
      <c r="AE140" s="176" t="str">
        <f t="shared" ca="1" si="67"/>
        <v/>
      </c>
      <c r="AF140" s="176" t="str">
        <f t="shared" ca="1" si="68"/>
        <v/>
      </c>
      <c r="AG140" s="176" t="str">
        <f t="shared" ca="1" si="69"/>
        <v/>
      </c>
      <c r="AH140" s="183" t="str">
        <f t="shared" ca="1" si="70"/>
        <v/>
      </c>
      <c r="AI140" s="176" t="str">
        <f t="shared" ca="1" si="71"/>
        <v/>
      </c>
      <c r="AJ140" s="176" t="str">
        <f t="shared" ca="1" si="72"/>
        <v/>
      </c>
      <c r="AK140" s="176" t="str">
        <f t="shared" ca="1" si="73"/>
        <v/>
      </c>
      <c r="AL140" s="176" t="str">
        <f t="shared" ca="1" si="74"/>
        <v/>
      </c>
      <c r="AM140" s="176" t="str">
        <f t="shared" ca="1" si="75"/>
        <v/>
      </c>
      <c r="AN140" s="176" t="str">
        <f t="shared" ca="1" si="76"/>
        <v/>
      </c>
      <c r="AO140" s="176" t="str">
        <f t="shared" ca="1" si="77"/>
        <v/>
      </c>
      <c r="AP140" s="176" t="str">
        <f t="shared" ca="1" si="78"/>
        <v/>
      </c>
      <c r="AU140" s="176" t="str">
        <f t="shared" ca="1" si="79"/>
        <v/>
      </c>
    </row>
    <row r="141" spans="1:47" ht="22.2" customHeight="1">
      <c r="A141" s="106">
        <v>7</v>
      </c>
      <c r="B141" s="106" t="str">
        <f t="shared" ca="1" si="80"/>
        <v/>
      </c>
      <c r="C141" s="106" t="str">
        <f>IF(OR(クライアント抽出!D1&lt;&gt;"",クライアント抽出!G1&lt;&gt;""),クライアント抽出!A1,"")</f>
        <v/>
      </c>
      <c r="D141" s="106" t="str">
        <f t="array" aca="1" ref="D141" ca="1">IF(C141&lt;&gt;"",INDIRECT("クライアント抽出!"&amp;E141&amp;MATCH(C141,クライアント抽出!A:A,0)&amp;""),"")</f>
        <v/>
      </c>
      <c r="E141" s="106" t="str">
        <f>IF(H141&lt;&gt;0,
IFERROR(
SUBSTITUTE(ADDRESS(1,
MATCH(VALUE(H141),クライアント抽出!A1:G1,0)+8,4),"1",""),
""),
IFERROR(
SUBSTITUTE(ADDRESS(1,
MATCH(VALUE(I141),クライアント抽出!A1:G1,0)+8,4),"1",""),
""))</f>
        <v/>
      </c>
      <c r="F141" s="187" t="str">
        <f ca="1">IF(D141&lt;&gt;"",
IF(COUNTIF(C141,"*雙葉*"),
IF(ROUND((H141-M141)
/IF(COUNTIF(D141,"*キャラ*"),
VLOOKUP("*キャラ*",商品マスタ!$D:$E,2,FALSE),
IF(COUNTIF(D141,"*赤*"),
VLOOKUP("*赤*",商品マスタ!$D:$E,2,FALSE),
VLOOKUP("*"&amp;D141&amp;"*",商品マスタ!$D:$E,2,FALSE))),0)&lt;=0,1,
ROUND((H141-M141)
/IF(COUNTIF(D141,"*キャラ*"),
VLOOKUP("*キャラ*",商品マスタ!$D:$E,2,FALSE),
IF(COUNTIF(D141,"*赤*"),
VLOOKUP("*赤*",商品マスタ!$D:$E,2,FALSE),
VLOOKUP("*"&amp;D141&amp;"*",商品マスタ!$D:$E,2,FALSE))),0)),
IF(OR(COUNTIF(D141,"*キャラ*"),COUNTIF(D141,"*赤*")),"",
IF(VLOOKUP("*"&amp;D141&amp;"*",商品マスタ!$D:$E,2,FALSE)=0,"",
IF(ROUND((H141-M141)
/VLOOKUP("*"&amp;D141&amp;"*",商品マスタ!$D:$E,2,FALSE),0)&lt;=0,1,
ROUND((H141-M141)
/VLOOKUP("*"&amp;D141&amp;"*",商品マスタ!$D:$E,2,FALSE),0))))),"")</f>
        <v/>
      </c>
      <c r="G141" s="106" t="str">
        <f ca="1">IF(F141&lt;&gt;"",
IF(VALUE(H141-M141)&gt;VALUE(IF(COUNTIF(D141,"*キャラ*"),
VLOOKUP("*キャラ*",商品マスタ!$D:$E,2,FALSE),
IF(COUNTIF(D141,"*赤*"),
VLOOKUP("*赤*",商品マスタ!$D:$E,2,FALSE),
VLOOKUP("*"&amp;D141&amp;"*",商品マスタ!$D:$E,2,FALSE)))*F141),
"+"&amp;(H141-M141)-IF(COUNTIF(D141,"*キャラ*"),
VLOOKUP("*キャラ*",商品マスタ!$D:$E,2,FALSE),
IF(COUNTIF(D141,"*赤*"),
VLOOKUP("*赤*",商品マスタ!$D:$E,2,FALSE),
VLOOKUP("*"&amp;D141&amp;"*",商品マスタ!$D:$E,2,FALSE)))*F141,
(H141-M141)-IF(COUNTIF(D141,"*キャラ*"),
VLOOKUP("*キャラ*",商品マスタ!$D:$E,2,FALSE),
IF(COUNTIF(D141,"*赤*"),
VLOOKUP("*赤*",商品マスタ!$D:$E,2,FALSE),
VLOOKUP("*"&amp;D141&amp;"*",商品マスタ!$D:$E,2,FALSE)))*F141),"")</f>
        <v/>
      </c>
      <c r="H141" s="108" t="str">
        <f>IF(C141&lt;&gt;"",
クライアント抽出!D1,"")</f>
        <v/>
      </c>
      <c r="I141" s="106" t="str">
        <f>IF(C141&lt;&gt;"",
IF(O141=1,クライアント抽出!F1,クライアント抽出!G1),"")</f>
        <v/>
      </c>
      <c r="J141" s="106" t="str">
        <f>IF(C141&lt;&gt;"",
VLOOKUP(
"*"&amp;LEFT(IF(COUNTIF(D141,"*学食*"),"キャラ弁（学食）",
IF(COUNTIF(D141,"*赤*"),"赤",
IF(COUNTIF(D141,"*キャラ弁当*"),"キャラ弁当",D141))),4)&amp;"*",注文弁当の抽出!$F$1:$G$15,2,FALSE),"")</f>
        <v/>
      </c>
      <c r="K141" s="106" t="str">
        <f ca="1">IF(クライアント抽出!R1&lt;&gt;"",SUBSTITUTE(ADDRESS(1,(CODE(クライアント抽出!R1)-64)*2-1,4),"1",""),"")</f>
        <v/>
      </c>
      <c r="L141" s="106" t="str">
        <f>IF(C1&lt;&gt;"",クライアント抽出!I1,"")</f>
        <v/>
      </c>
      <c r="M141" s="106">
        <f t="array" aca="1" ref="M141" ca="1">IF(C141&lt;&gt;"",
IF(K141&lt;&gt;"",INDIRECT("'数出表_Excel（アレルギー入力）'!"&amp;K141&amp;L141-1&amp;""),),)</f>
        <v>0</v>
      </c>
      <c r="N141" s="106" t="str">
        <f>IF(C141&lt;&gt;"",IF(OR(COUNTIF('盛付札（関数）'!D141,"*赤*"),COUNTIF('盛付札（関数）'!D141,"*キャラ*")),1,
VALUE(VLOOKUP("*"&amp;D141&amp;"*",商品マスタ!D:H,5,FALSE))),"")</f>
        <v/>
      </c>
      <c r="O141" s="106">
        <f t="shared" ref="O141:O172" ca="1" si="82">O1</f>
        <v>0</v>
      </c>
      <c r="P141" s="106">
        <f t="shared" si="61"/>
        <v>0</v>
      </c>
      <c r="Q141" s="106" t="b">
        <f t="shared" si="62"/>
        <v>0</v>
      </c>
      <c r="R141" s="176" t="str">
        <f t="array" aca="1" ref="R141" ca="1">IFERROR(SMALL(IF(P$1:P$311&lt;&gt;0,P$1:P$311),ROW(A141)),"")</f>
        <v/>
      </c>
      <c r="S141" s="176" t="str">
        <f t="array" aca="1" ref="S141" ca="1">IF($R141&lt;&gt;"",
SUBSTITUTE(SUBSTITUTE(INDIRECT("C"&amp;$R141&amp;"")," 週3ｺｰｽ","")," 週5ｺｰｽ",""),"")</f>
        <v/>
      </c>
      <c r="T141" s="176" t="str">
        <f t="array" aca="1" ref="T141" ca="1">IF(IF($R141&lt;&gt;"",
INDIRECT(""&amp;IF(COLUMN(D141)&lt;=26,CHAR(COLUMN(D141)+64),CHAR(INT((COLUMN(D141)-1)/26)+64)&amp;CHAR(MOD(COLUMN(D141)-1,26)+65))&amp;$R141&amp;""),"")=0,"",
IF($R141&lt;&gt;"",
INDIRECT(""&amp;IF(COLUMN(D141)&lt;=26,CHAR(COLUMN(D141)+64),CHAR(INT((COLUMN(D141)-1)/26)+64)&amp;CHAR(MOD(COLUMN(D141)-1,26)+65))&amp;$R141&amp;""),""))</f>
        <v/>
      </c>
      <c r="U141" s="218" t="str">
        <f t="array" aca="1" ref="U141" ca="1">IF($R141&lt;&gt;"",
INDIRECT("F"&amp;$R141&amp;""),"")</f>
        <v/>
      </c>
      <c r="V141" s="219" t="str">
        <f t="array" aca="1" ref="V141" ca="1">IF($R141&lt;&gt;"",
INDIRECT("G"&amp;$R141&amp;""),"")</f>
        <v/>
      </c>
      <c r="W141" s="219" t="str" cm="1">
        <f t="array" aca="1" ref="W141" ca="1">IF($R141&lt;&gt;"",
IF(AND(COUNTIF(INDIRECT("B"&amp;R141&amp;""),"*雙葉*"),COUNTIF($B$71:$B$210,"*雙葉*")&gt;=1),
IF(OR(COUNTIF(INDIRECT("B"&amp;R141&amp;""),"*雙葉先生*"),COUNTIF(INDIRECT("B"&amp;R141-1&amp;""),"*雙葉*")),INDIRECT("H"&amp;R141&amp;""),INDIRECT("H"&amp;R141&amp;"")+INDIRECT("H"&amp;MATCH("雙葉'",INDIRECT("B"&amp;R141+3&amp;":B210"),0)+2+R141&amp;"")),
IF(AND(LEFT(INDIRECT("B"&amp;R141&amp;""),2)="博多",COUNTIF(B:B,"*博多*")&gt;=2),
INDIRECT("H"&amp;R141&amp;"")+IFERROR(INDIRECT("H"&amp;MATCH("*"&amp;INDIRECT("B"&amp;R141&amp;"")&amp;"*",INDIRECT("B"&amp;R141+1&amp;":B210"),0)+R141&amp;""),0),
IF(AND(LEFT(INDIRECT("B"&amp;R141&amp;""),3)="奈良屋",COUNTIF(B:B,"*奈良屋*")&gt;=2),
INDIRECT("H"&amp;R141&amp;"")
+INDIRECT("H"&amp;MATCH("*"&amp;INDIRECT("B"&amp;R141&amp;"")&amp;"*",INDIRECT("B"&amp;R141+1&amp;":B210"),0)+R141&amp;"")
+INDIRECT("H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
+INDIRECT("H"&amp;MATCH("*"&amp;INDIRECT("B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&amp;"*",INDIRECT("B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+1&amp;":B210"),0)+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,
INDIRECT("H"&amp;R141&amp;"")))),"")</f>
        <v/>
      </c>
      <c r="X141" s="176" t="str">
        <f t="array" aca="1" ref="X141" ca="1">IF($R141&lt;&gt;"",
INDIRECT(""&amp;IF(COLUMN(I141)&lt;=26,CHAR(COLUMN(I141)+64),CHAR(INT((COLUMN(I141)-1)/26)+64)&amp;CHAR(MOD(COLUMN(I141)-1,26)+65))&amp;$R141&amp;""),"")</f>
        <v/>
      </c>
      <c r="Y141" s="176" t="str">
        <f t="array" aca="1" ref="Y141" ca="1">IF($R141&lt;&gt;"",
INDIRECT(""&amp;IF(COLUMN(J141)&lt;=26,CHAR(COLUMN(J141)+64),CHAR(INT((COLUMN(J141)-1)/26)+64)&amp;CHAR(MOD(COLUMN(J141)-1,26)+65))&amp;$R141&amp;""),"")</f>
        <v/>
      </c>
      <c r="Z141" s="176" t="str">
        <f t="shared" ca="1" si="63"/>
        <v/>
      </c>
      <c r="AA141" s="176" t="str">
        <f t="shared" ca="1" si="64"/>
        <v/>
      </c>
      <c r="AB141" s="176" t="str">
        <f t="array" aca="1" ref="AB141" ca="1">IF($R141&lt;&gt;"",
IF(AND(COUNTIF(INDIRECT("B"&amp;R141&amp;""),"*雙葉*"),COUNTIF(INDIRECT("B"&amp;R141&amp;""),"&lt;&gt;*先生*"),COUNTIF(B:B,"*雙葉*")&gt;=2),
INDIRECT("M"&amp;R141&amp;"")+INDIRECT("M"&amp;MATCH("雙葉'",INDIRECT("B"&amp;R141+1&amp;":B210"),0)+R141&amp;""),
IF(AND(LEFT(INDIRECT("B"&amp;R141&amp;""),2)="博多",COUNTIF(B:B,"*博多*")&gt;=2),
INDIRECT("M"&amp;R141&amp;"")+INDIRECT("M"&amp;MATCH("*"&amp;INDIRECT("B"&amp;R141&amp;"")&amp;"*",INDIRECT("B"&amp;R141+1&amp;":B210"),0)+R141&amp;""),
IF(AND(LEFT(INDIRECT("B"&amp;R141&amp;""),3)="奈良屋",COUNTIF(B:B,"*奈良屋*")&gt;=2),
INDIRECT("M"&amp;R141&amp;"")+INDIRECT("M"&amp;MATCH("*"&amp;INDIRECT("B"&amp;R141&amp;"")&amp;"*",INDIRECT("B"&amp;R141+1&amp;":B210"),0)+R141&amp;"")
+INDIRECT("M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,
INDIRECT("M"&amp;R141&amp;"")))),"")</f>
        <v/>
      </c>
      <c r="AC141" s="176" t="str">
        <f t="shared" ca="1" si="65"/>
        <v/>
      </c>
      <c r="AD141" s="176" t="str">
        <f t="shared" ca="1" si="66"/>
        <v/>
      </c>
      <c r="AE141" s="176" t="str">
        <f t="shared" ca="1" si="67"/>
        <v/>
      </c>
      <c r="AF141" s="176" t="str">
        <f t="shared" ca="1" si="68"/>
        <v/>
      </c>
      <c r="AG141" s="176" t="str">
        <f t="shared" ca="1" si="69"/>
        <v/>
      </c>
      <c r="AH141" s="183" t="str">
        <f t="shared" ca="1" si="70"/>
        <v/>
      </c>
      <c r="AI141" s="176" t="str">
        <f t="shared" ca="1" si="71"/>
        <v/>
      </c>
      <c r="AJ141" s="176" t="str">
        <f t="shared" ca="1" si="72"/>
        <v/>
      </c>
      <c r="AK141" s="176" t="str">
        <f t="shared" ca="1" si="73"/>
        <v/>
      </c>
      <c r="AL141" s="176" t="str">
        <f t="shared" ca="1" si="74"/>
        <v/>
      </c>
      <c r="AM141" s="176" t="str">
        <f t="shared" ca="1" si="75"/>
        <v/>
      </c>
      <c r="AN141" s="176" t="str">
        <f t="shared" ca="1" si="76"/>
        <v/>
      </c>
      <c r="AO141" s="176" t="str">
        <f t="shared" ca="1" si="77"/>
        <v/>
      </c>
      <c r="AP141" s="176" t="str">
        <f t="shared" ca="1" si="78"/>
        <v/>
      </c>
      <c r="AU141" s="176" t="str">
        <f t="shared" ca="1" si="79"/>
        <v/>
      </c>
    </row>
    <row r="142" spans="1:47" ht="22.2" customHeight="1">
      <c r="A142" s="107">
        <f t="shared" ref="A142:A173" si="83">A141+2</f>
        <v>9</v>
      </c>
      <c r="B142" s="106" t="str">
        <f t="shared" ca="1" si="80"/>
        <v/>
      </c>
      <c r="C142" s="106" t="str">
        <f>IF(OR(クライアント抽出!D2&lt;&gt;"",クライアント抽出!G2&lt;&gt;""),クライアント抽出!A2,"")</f>
        <v/>
      </c>
      <c r="D142" s="106" t="str">
        <f t="array" aca="1" ref="D142" ca="1">IF(C142&lt;&gt;"",INDIRECT("クライアント抽出!"&amp;E142&amp;MATCH(C142,クライアント抽出!A:A,0)&amp;""),"")</f>
        <v/>
      </c>
      <c r="E142" s="106" t="str">
        <f>IF(H142&lt;&gt;0,
IFERROR(
SUBSTITUTE(ADDRESS(1,
MATCH(VALUE(H142),クライアント抽出!A2:G2,0)+8,4),"1",""),
""),
IFERROR(
SUBSTITUTE(ADDRESS(1,
MATCH(VALUE(I142),クライアント抽出!A2:G2,0)+8,4),"1",""),
""))</f>
        <v/>
      </c>
      <c r="F142" s="187" t="str">
        <f ca="1">IF(D142&lt;&gt;"",
IF(COUNTIF(C142,"*雙葉*"),
IF(ROUND((H142-M142)
/IF(COUNTIF(D142,"*キャラ*"),
VLOOKUP("*キャラ*",商品マスタ!$D:$E,2,FALSE),
IF(COUNTIF(D142,"*赤*"),
VLOOKUP("*赤*",商品マスタ!$D:$E,2,FALSE),
VLOOKUP("*"&amp;D142&amp;"*",商品マスタ!$D:$E,2,FALSE))),0)&lt;=0,1,
ROUND((H142-M142)
/IF(COUNTIF(D142,"*キャラ*"),
VLOOKUP("*キャラ*",商品マスタ!$D:$E,2,FALSE),
IF(COUNTIF(D142,"*赤*"),
VLOOKUP("*赤*",商品マスタ!$D:$E,2,FALSE),
VLOOKUP("*"&amp;D142&amp;"*",商品マスタ!$D:$E,2,FALSE))),0)),
IF(OR(COUNTIF(D142,"*キャラ*"),COUNTIF(D142,"*赤*")),"",
IF(VLOOKUP("*"&amp;D142&amp;"*",商品マスタ!$D:$E,2,FALSE)=0,"",
IF(ROUND((H142-M142)
/VLOOKUP("*"&amp;D142&amp;"*",商品マスタ!$D:$E,2,FALSE),0)&lt;=0,1,
ROUND((H142-M142)
/VLOOKUP("*"&amp;D142&amp;"*",商品マスタ!$D:$E,2,FALSE),0))))),"")</f>
        <v/>
      </c>
      <c r="G142" s="106" t="str">
        <f ca="1">IF(F142&lt;&gt;"",
IF(VALUE(H142-M142)&gt;VALUE(IF(COUNTIF(D142,"*キャラ*"),
VLOOKUP("*キャラ*",商品マスタ!$D:$E,2,FALSE),
IF(COUNTIF(D142,"*赤*"),
VLOOKUP("*赤*",商品マスタ!$D:$E,2,FALSE),
VLOOKUP("*"&amp;D142&amp;"*",商品マスタ!$D:$E,2,FALSE)))*F142),
"+"&amp;(H142-M142)-IF(COUNTIF(D142,"*キャラ*"),
VLOOKUP("*キャラ*",商品マスタ!$D:$E,2,FALSE),
IF(COUNTIF(D142,"*赤*"),
VLOOKUP("*赤*",商品マスタ!$D:$E,2,FALSE),
VLOOKUP("*"&amp;D142&amp;"*",商品マスタ!$D:$E,2,FALSE)))*F142,
(H142-M142)-IF(COUNTIF(D142,"*キャラ*"),
VLOOKUP("*キャラ*",商品マスタ!$D:$E,2,FALSE),
IF(COUNTIF(D142,"*赤*"),
VLOOKUP("*赤*",商品マスタ!$D:$E,2,FALSE),
VLOOKUP("*"&amp;D142&amp;"*",商品マスタ!$D:$E,2,FALSE)))*F142),"")</f>
        <v/>
      </c>
      <c r="H142" s="108" t="str">
        <f>IF(C142&lt;&gt;"",
クライアント抽出!D2,"")</f>
        <v/>
      </c>
      <c r="I142" s="106" t="str">
        <f>IF(C142&lt;&gt;"",
IF(O142=1,0,クライアント抽出!F2),"")</f>
        <v/>
      </c>
      <c r="J142" s="106" t="str">
        <f>IF(C142&lt;&gt;"",
VLOOKUP(
"*"&amp;LEFT(IF(COUNTIF(D142,"*学食*"),"キャラ弁（学食）",
IF(COUNTIF(D142,"*赤*"),"赤",
IF(COUNTIF(D142,"*キャラ弁当*"),"キャラ弁当",D142))),4)&amp;"*",注文弁当の抽出!$F$1:$G$15,2,FALSE),"")</f>
        <v/>
      </c>
      <c r="K142" s="106" t="str">
        <f ca="1">IF(クライアント抽出!R2&lt;&gt;"",SUBSTITUTE(ADDRESS(1,(CODE(クライアント抽出!R2)-64)*2-1,4),"1",""),"")</f>
        <v/>
      </c>
      <c r="L142" s="106" t="str">
        <f>IF(C2&lt;&gt;"",クライアント抽出!I2,"")</f>
        <v/>
      </c>
      <c r="M142" s="106">
        <f t="array" aca="1" ref="M142" ca="1">IF(C142&lt;&gt;"",
IF(K142&lt;&gt;"",INDIRECT("'数出表_Excel（アレルギー入力）'!"&amp;K142&amp;L142-1&amp;""),),)</f>
        <v>0</v>
      </c>
      <c r="N142" s="106" t="str">
        <f>IF(C142&lt;&gt;"",IF(OR(COUNTIF('盛付札（関数）'!D142,"*赤*"),COUNTIF('盛付札（関数）'!D142,"*キャラ*")),1,
VALUE(VLOOKUP("*"&amp;D142&amp;"*",商品マスタ!D:H,5,FALSE))),"")</f>
        <v/>
      </c>
      <c r="O142" s="106">
        <f t="shared" ca="1" si="82"/>
        <v>0</v>
      </c>
      <c r="P142" s="106">
        <f t="shared" si="61"/>
        <v>0</v>
      </c>
      <c r="Q142" s="106" t="b">
        <f t="shared" si="62"/>
        <v>0</v>
      </c>
      <c r="R142" s="176" t="str">
        <f t="array" aca="1" ref="R142" ca="1">IFERROR(SMALL(IF(P$1:P$311&lt;&gt;0,P$1:P$311),ROW(A142)),"")</f>
        <v/>
      </c>
      <c r="S142" s="176" t="str">
        <f t="array" aca="1" ref="S142" ca="1">IF($R142&lt;&gt;"",
SUBSTITUTE(SUBSTITUTE(INDIRECT("C"&amp;$R142&amp;"")," 週3ｺｰｽ","")," 週5ｺｰｽ",""),"")</f>
        <v/>
      </c>
      <c r="T142" s="176" t="str">
        <f t="array" aca="1" ref="T142" ca="1">IF(IF($R142&lt;&gt;"",
INDIRECT(""&amp;IF(COLUMN(D142)&lt;=26,CHAR(COLUMN(D142)+64),CHAR(INT((COLUMN(D142)-1)/26)+64)&amp;CHAR(MOD(COLUMN(D142)-1,26)+65))&amp;$R142&amp;""),"")=0,"",
IF($R142&lt;&gt;"",
INDIRECT(""&amp;IF(COLUMN(D142)&lt;=26,CHAR(COLUMN(D142)+64),CHAR(INT((COLUMN(D142)-1)/26)+64)&amp;CHAR(MOD(COLUMN(D142)-1,26)+65))&amp;$R142&amp;""),""))</f>
        <v/>
      </c>
      <c r="U142" s="218" t="str">
        <f t="array" aca="1" ref="U142" ca="1">IF($R142&lt;&gt;"",
INDIRECT("F"&amp;$R142&amp;""),"")</f>
        <v/>
      </c>
      <c r="V142" s="219" t="str">
        <f t="array" aca="1" ref="V142" ca="1">IF($R142&lt;&gt;"",
INDIRECT("G"&amp;$R142&amp;""),"")</f>
        <v/>
      </c>
      <c r="W142" s="219" t="str" cm="1">
        <f t="array" aca="1" ref="W142" ca="1">IF($R142&lt;&gt;"",
IF(AND(COUNTIF(INDIRECT("B"&amp;R142&amp;""),"*雙葉*"),COUNTIF($B$71:$B$210,"*雙葉*")&gt;=1),
IF(OR(COUNTIF(INDIRECT("B"&amp;R142&amp;""),"*雙葉先生*"),COUNTIF(INDIRECT("B"&amp;R142-1&amp;""),"*雙葉*")),INDIRECT("H"&amp;R142&amp;""),INDIRECT("H"&amp;R142&amp;"")+INDIRECT("H"&amp;MATCH("雙葉'",INDIRECT("B"&amp;R142+3&amp;":B210"),0)+2+R142&amp;"")),
IF(AND(LEFT(INDIRECT("B"&amp;R142&amp;""),2)="博多",COUNTIF(B:B,"*博多*")&gt;=2),
INDIRECT("H"&amp;R142&amp;"")+IFERROR(INDIRECT("H"&amp;MATCH("*"&amp;INDIRECT("B"&amp;R142&amp;"")&amp;"*",INDIRECT("B"&amp;R142+1&amp;":B210"),0)+R142&amp;""),0),
IF(AND(LEFT(INDIRECT("B"&amp;R142&amp;""),3)="奈良屋",COUNTIF(B:B,"*奈良屋*")&gt;=2),
INDIRECT("H"&amp;R142&amp;"")
+INDIRECT("H"&amp;MATCH("*"&amp;INDIRECT("B"&amp;R142&amp;"")&amp;"*",INDIRECT("B"&amp;R142+1&amp;":B210"),0)+R142&amp;"")
+INDIRECT("H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
+INDIRECT("H"&amp;MATCH("*"&amp;INDIRECT("B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&amp;"*",INDIRECT("B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+1&amp;":B210"),0)+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,
INDIRECT("H"&amp;R142&amp;"")))),"")</f>
        <v/>
      </c>
      <c r="X142" s="176" t="str">
        <f t="array" aca="1" ref="X142" ca="1">IF($R142&lt;&gt;"",
INDIRECT(""&amp;IF(COLUMN(I142)&lt;=26,CHAR(COLUMN(I142)+64),CHAR(INT((COLUMN(I142)-1)/26)+64)&amp;CHAR(MOD(COLUMN(I142)-1,26)+65))&amp;$R142&amp;""),"")</f>
        <v/>
      </c>
      <c r="Y142" s="176" t="str">
        <f t="array" aca="1" ref="Y142" ca="1">IF($R142&lt;&gt;"",
INDIRECT(""&amp;IF(COLUMN(J142)&lt;=26,CHAR(COLUMN(J142)+64),CHAR(INT((COLUMN(J142)-1)/26)+64)&amp;CHAR(MOD(COLUMN(J142)-1,26)+65))&amp;$R142&amp;""),"")</f>
        <v/>
      </c>
      <c r="Z142" s="176" t="str">
        <f t="shared" ca="1" si="63"/>
        <v/>
      </c>
      <c r="AA142" s="176" t="str">
        <f t="shared" ca="1" si="64"/>
        <v/>
      </c>
      <c r="AB142" s="176" t="str">
        <f t="array" aca="1" ref="AB142" ca="1">IF($R142&lt;&gt;"",
IF(AND(COUNTIF(INDIRECT("B"&amp;R142&amp;""),"*雙葉*"),COUNTIF(INDIRECT("B"&amp;R142&amp;""),"&lt;&gt;*先生*"),COUNTIF(B:B,"*雙葉*")&gt;=2),
INDIRECT("M"&amp;R142&amp;"")+INDIRECT("M"&amp;MATCH("雙葉'",INDIRECT("B"&amp;R142+1&amp;":B210"),0)+R142&amp;""),
IF(AND(LEFT(INDIRECT("B"&amp;R142&amp;""),2)="博多",COUNTIF(B:B,"*博多*")&gt;=2),
INDIRECT("M"&amp;R142&amp;"")+INDIRECT("M"&amp;MATCH("*"&amp;INDIRECT("B"&amp;R142&amp;"")&amp;"*",INDIRECT("B"&amp;R142+1&amp;":B210"),0)+R142&amp;""),
IF(AND(LEFT(INDIRECT("B"&amp;R142&amp;""),3)="奈良屋",COUNTIF(B:B,"*奈良屋*")&gt;=2),
INDIRECT("M"&amp;R142&amp;"")+INDIRECT("M"&amp;MATCH("*"&amp;INDIRECT("B"&amp;R142&amp;"")&amp;"*",INDIRECT("B"&amp;R142+1&amp;":B210"),0)+R142&amp;"")
+INDIRECT("M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,
INDIRECT("M"&amp;R142&amp;"")))),"")</f>
        <v/>
      </c>
      <c r="AC142" s="176" t="str">
        <f t="shared" ca="1" si="65"/>
        <v/>
      </c>
      <c r="AD142" s="176" t="str">
        <f t="shared" ca="1" si="66"/>
        <v/>
      </c>
      <c r="AE142" s="176" t="str">
        <f t="shared" ca="1" si="67"/>
        <v/>
      </c>
      <c r="AF142" s="176" t="str">
        <f t="shared" ca="1" si="68"/>
        <v/>
      </c>
      <c r="AG142" s="176" t="str">
        <f t="shared" ca="1" si="69"/>
        <v/>
      </c>
      <c r="AH142" s="183" t="str">
        <f t="shared" ca="1" si="70"/>
        <v/>
      </c>
      <c r="AI142" s="176" t="str">
        <f t="shared" ca="1" si="71"/>
        <v/>
      </c>
      <c r="AJ142" s="176" t="str">
        <f t="shared" ca="1" si="72"/>
        <v/>
      </c>
      <c r="AK142" s="176" t="str">
        <f t="shared" ca="1" si="73"/>
        <v/>
      </c>
      <c r="AL142" s="176" t="str">
        <f t="shared" ca="1" si="74"/>
        <v/>
      </c>
      <c r="AM142" s="176" t="str">
        <f t="shared" ca="1" si="75"/>
        <v/>
      </c>
      <c r="AN142" s="176" t="str">
        <f t="shared" ca="1" si="76"/>
        <v/>
      </c>
      <c r="AO142" s="176" t="str">
        <f t="shared" ca="1" si="77"/>
        <v/>
      </c>
      <c r="AP142" s="176" t="str">
        <f t="shared" ca="1" si="78"/>
        <v/>
      </c>
      <c r="AU142" s="176" t="str">
        <f t="shared" ca="1" si="79"/>
        <v/>
      </c>
    </row>
    <row r="143" spans="1:47" ht="22.2" customHeight="1">
      <c r="A143" s="107">
        <f t="shared" si="83"/>
        <v>11</v>
      </c>
      <c r="B143" s="106" t="str">
        <f t="shared" ca="1" si="80"/>
        <v/>
      </c>
      <c r="C143" s="106" t="str">
        <f>IF(OR(クライアント抽出!D3&lt;&gt;"",クライアント抽出!G3&lt;&gt;""),クライアント抽出!A3,"")</f>
        <v/>
      </c>
      <c r="D143" s="106" t="str">
        <f t="array" aca="1" ref="D143" ca="1">IF(C143&lt;&gt;"",INDIRECT("クライアント抽出!"&amp;E143&amp;MATCH(C143,クライアント抽出!A:A,0)&amp;""),"")</f>
        <v/>
      </c>
      <c r="E143" s="106" t="str">
        <f>IF(H143&lt;&gt;0,
IFERROR(
SUBSTITUTE(ADDRESS(1,
MATCH(VALUE(H143),クライアント抽出!A3:G3,0)+8,4),"1",""),
""),
IFERROR(
SUBSTITUTE(ADDRESS(1,
MATCH(VALUE(I143),クライアント抽出!A3:G3,0)+8,4),"1",""),
""))</f>
        <v/>
      </c>
      <c r="F143" s="187" t="str">
        <f ca="1">IF(D143&lt;&gt;"",
IF(COUNTIF(C143,"*雙葉*"),
IF(ROUND((H143-M143)
/IF(COUNTIF(D143,"*キャラ*"),
VLOOKUP("*キャラ*",商品マスタ!$D:$E,2,FALSE),
IF(COUNTIF(D143,"*赤*"),
VLOOKUP("*赤*",商品マスタ!$D:$E,2,FALSE),
VLOOKUP("*"&amp;D143&amp;"*",商品マスタ!$D:$E,2,FALSE))),0)&lt;=0,1,
ROUND((H143-M143)
/IF(COUNTIF(D143,"*キャラ*"),
VLOOKUP("*キャラ*",商品マスタ!$D:$E,2,FALSE),
IF(COUNTIF(D143,"*赤*"),
VLOOKUP("*赤*",商品マスタ!$D:$E,2,FALSE),
VLOOKUP("*"&amp;D143&amp;"*",商品マスタ!$D:$E,2,FALSE))),0)),
IF(OR(COUNTIF(D143,"*キャラ*"),COUNTIF(D143,"*赤*")),"",
IF(VLOOKUP("*"&amp;D143&amp;"*",商品マスタ!$D:$E,2,FALSE)=0,"",
IF(ROUND((H143-M143)
/VLOOKUP("*"&amp;D143&amp;"*",商品マスタ!$D:$E,2,FALSE),0)&lt;=0,1,
ROUND((H143-M143)
/VLOOKUP("*"&amp;D143&amp;"*",商品マスタ!$D:$E,2,FALSE),0))))),"")</f>
        <v/>
      </c>
      <c r="G143" s="106" t="str">
        <f ca="1">IF(F143&lt;&gt;"",
IF(VALUE(H143-M143)&gt;VALUE(IF(COUNTIF(D143,"*キャラ*"),
VLOOKUP("*キャラ*",商品マスタ!$D:$E,2,FALSE),
IF(COUNTIF(D143,"*赤*"),
VLOOKUP("*赤*",商品マスタ!$D:$E,2,FALSE),
VLOOKUP("*"&amp;D143&amp;"*",商品マスタ!$D:$E,2,FALSE)))*F143),
"+"&amp;(H143-M143)-IF(COUNTIF(D143,"*キャラ*"),
VLOOKUP("*キャラ*",商品マスタ!$D:$E,2,FALSE),
IF(COUNTIF(D143,"*赤*"),
VLOOKUP("*赤*",商品マスタ!$D:$E,2,FALSE),
VLOOKUP("*"&amp;D143&amp;"*",商品マスタ!$D:$E,2,FALSE)))*F143,
(H143-M143)-IF(COUNTIF(D143,"*キャラ*"),
VLOOKUP("*キャラ*",商品マスタ!$D:$E,2,FALSE),
IF(COUNTIF(D143,"*赤*"),
VLOOKUP("*赤*",商品マスタ!$D:$E,2,FALSE),
VLOOKUP("*"&amp;D143&amp;"*",商品マスタ!$D:$E,2,FALSE)))*F143),"")</f>
        <v/>
      </c>
      <c r="H143" s="108" t="str">
        <f>IF(C143&lt;&gt;"",
クライアント抽出!D3,"")</f>
        <v/>
      </c>
      <c r="I143" s="106" t="str">
        <f>IF(C143&lt;&gt;"",
IF(O143=1,0,クライアント抽出!F3),"")</f>
        <v/>
      </c>
      <c r="J143" s="106" t="str">
        <f>IF(C143&lt;&gt;"",
VLOOKUP(
"*"&amp;LEFT(IF(COUNTIF(D143,"*学食*"),"キャラ弁（学食）",
IF(COUNTIF(D143,"*赤*"),"赤",
IF(COUNTIF(D143,"*キャラ弁当*"),"キャラ弁当",D143))),4)&amp;"*",注文弁当の抽出!$F$1:$G$15,2,FALSE),"")</f>
        <v/>
      </c>
      <c r="K143" s="106" t="str">
        <f ca="1">IF(クライアント抽出!R3&lt;&gt;"",SUBSTITUTE(ADDRESS(1,(CODE(クライアント抽出!R3)-64)*2-1,4),"1",""),"")</f>
        <v/>
      </c>
      <c r="L143" s="106" t="str">
        <f>IF(C3&lt;&gt;"",クライアント抽出!I3,"")</f>
        <v/>
      </c>
      <c r="M143" s="106">
        <f t="array" aca="1" ref="M143" ca="1">IF(C143&lt;&gt;"",
IF(K143&lt;&gt;"",INDIRECT("'数出表_Excel（アレルギー入力）'!"&amp;K143&amp;L143-1&amp;""),),)</f>
        <v>0</v>
      </c>
      <c r="N143" s="106" t="str">
        <f>IF(C143&lt;&gt;"",IF(OR(COUNTIF('盛付札（関数）'!D143,"*赤*"),COUNTIF('盛付札（関数）'!D143,"*キャラ*")),1,
VALUE(VLOOKUP("*"&amp;D143&amp;"*",商品マスタ!D:H,5,FALSE))),"")</f>
        <v/>
      </c>
      <c r="O143" s="106">
        <f t="shared" ca="1" si="82"/>
        <v>0</v>
      </c>
      <c r="P143" s="106">
        <f t="shared" si="61"/>
        <v>0</v>
      </c>
      <c r="Q143" s="106" t="b">
        <f t="shared" si="62"/>
        <v>0</v>
      </c>
      <c r="R143" s="176" t="str">
        <f t="array" aca="1" ref="R143" ca="1">IFERROR(SMALL(IF(P$1:P$311&lt;&gt;0,P$1:P$311),ROW(A143)),"")</f>
        <v/>
      </c>
      <c r="S143" s="176" t="str">
        <f t="array" aca="1" ref="S143" ca="1">IF($R143&lt;&gt;"",
SUBSTITUTE(SUBSTITUTE(INDIRECT("C"&amp;$R143&amp;"")," 週3ｺｰｽ","")," 週5ｺｰｽ",""),"")</f>
        <v/>
      </c>
      <c r="T143" s="176" t="str">
        <f t="array" aca="1" ref="T143" ca="1">IF(IF($R143&lt;&gt;"",
INDIRECT(""&amp;IF(COLUMN(D143)&lt;=26,CHAR(COLUMN(D143)+64),CHAR(INT((COLUMN(D143)-1)/26)+64)&amp;CHAR(MOD(COLUMN(D143)-1,26)+65))&amp;$R143&amp;""),"")=0,"",
IF($R143&lt;&gt;"",
INDIRECT(""&amp;IF(COLUMN(D143)&lt;=26,CHAR(COLUMN(D143)+64),CHAR(INT((COLUMN(D143)-1)/26)+64)&amp;CHAR(MOD(COLUMN(D143)-1,26)+65))&amp;$R143&amp;""),""))</f>
        <v/>
      </c>
      <c r="U143" s="218" t="str">
        <f t="array" aca="1" ref="U143" ca="1">IF($R143&lt;&gt;"",
INDIRECT("F"&amp;$R143&amp;""),"")</f>
        <v/>
      </c>
      <c r="V143" s="219" t="str">
        <f t="array" aca="1" ref="V143" ca="1">IF($R143&lt;&gt;"",
INDIRECT("G"&amp;$R143&amp;""),"")</f>
        <v/>
      </c>
      <c r="W143" s="219" t="str" cm="1">
        <f t="array" aca="1" ref="W143" ca="1">IF($R143&lt;&gt;"",
IF(AND(COUNTIF(INDIRECT("B"&amp;R143&amp;""),"*雙葉*"),COUNTIF($B$71:$B$210,"*雙葉*")&gt;=1),
IF(OR(COUNTIF(INDIRECT("B"&amp;R143&amp;""),"*雙葉先生*"),COUNTIF(INDIRECT("B"&amp;R143-1&amp;""),"*雙葉*")),INDIRECT("H"&amp;R143&amp;""),INDIRECT("H"&amp;R143&amp;"")+INDIRECT("H"&amp;MATCH("雙葉'",INDIRECT("B"&amp;R143+3&amp;":B210"),0)+2+R143&amp;"")),
IF(AND(LEFT(INDIRECT("B"&amp;R143&amp;""),2)="博多",COUNTIF(B:B,"*博多*")&gt;=2),
INDIRECT("H"&amp;R143&amp;"")+IFERROR(INDIRECT("H"&amp;MATCH("*"&amp;INDIRECT("B"&amp;R143&amp;"")&amp;"*",INDIRECT("B"&amp;R143+1&amp;":B210"),0)+R143&amp;""),0),
IF(AND(LEFT(INDIRECT("B"&amp;R143&amp;""),3)="奈良屋",COUNTIF(B:B,"*奈良屋*")&gt;=2),
INDIRECT("H"&amp;R143&amp;"")
+INDIRECT("H"&amp;MATCH("*"&amp;INDIRECT("B"&amp;R143&amp;"")&amp;"*",INDIRECT("B"&amp;R143+1&amp;":B210"),0)+R143&amp;"")
+INDIRECT("H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
+INDIRECT("H"&amp;MATCH("*"&amp;INDIRECT("B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&amp;"*",INDIRECT("B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+1&amp;":B210"),0)+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,
INDIRECT("H"&amp;R143&amp;"")))),"")</f>
        <v/>
      </c>
      <c r="X143" s="176" t="str">
        <f t="array" aca="1" ref="X143" ca="1">IF($R143&lt;&gt;"",
INDIRECT(""&amp;IF(COLUMN(I143)&lt;=26,CHAR(COLUMN(I143)+64),CHAR(INT((COLUMN(I143)-1)/26)+64)&amp;CHAR(MOD(COLUMN(I143)-1,26)+65))&amp;$R143&amp;""),"")</f>
        <v/>
      </c>
      <c r="Y143" s="176" t="str">
        <f t="array" aca="1" ref="Y143" ca="1">IF($R143&lt;&gt;"",
INDIRECT(""&amp;IF(COLUMN(J143)&lt;=26,CHAR(COLUMN(J143)+64),CHAR(INT((COLUMN(J143)-1)/26)+64)&amp;CHAR(MOD(COLUMN(J143)-1,26)+65))&amp;$R143&amp;""),"")</f>
        <v/>
      </c>
      <c r="Z143" s="176" t="str">
        <f t="shared" ca="1" si="63"/>
        <v/>
      </c>
      <c r="AA143" s="176" t="str">
        <f t="shared" ca="1" si="64"/>
        <v/>
      </c>
      <c r="AB143" s="176" t="str">
        <f t="array" aca="1" ref="AB143" ca="1">IF($R143&lt;&gt;"",
IF(AND(COUNTIF(INDIRECT("B"&amp;R143&amp;""),"*雙葉*"),COUNTIF(INDIRECT("B"&amp;R143&amp;""),"&lt;&gt;*先生*"),COUNTIF(B:B,"*雙葉*")&gt;=2),
INDIRECT("M"&amp;R143&amp;"")+INDIRECT("M"&amp;MATCH("雙葉'",INDIRECT("B"&amp;R143+1&amp;":B210"),0)+R143&amp;""),
IF(AND(LEFT(INDIRECT("B"&amp;R143&amp;""),2)="博多",COUNTIF(B:B,"*博多*")&gt;=2),
INDIRECT("M"&amp;R143&amp;"")+INDIRECT("M"&amp;MATCH("*"&amp;INDIRECT("B"&amp;R143&amp;"")&amp;"*",INDIRECT("B"&amp;R143+1&amp;":B210"),0)+R143&amp;""),
IF(AND(LEFT(INDIRECT("B"&amp;R143&amp;""),3)="奈良屋",COUNTIF(B:B,"*奈良屋*")&gt;=2),
INDIRECT("M"&amp;R143&amp;"")+INDIRECT("M"&amp;MATCH("*"&amp;INDIRECT("B"&amp;R143&amp;"")&amp;"*",INDIRECT("B"&amp;R143+1&amp;":B210"),0)+R143&amp;"")
+INDIRECT("M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,
INDIRECT("M"&amp;R143&amp;"")))),"")</f>
        <v/>
      </c>
      <c r="AC143" s="176" t="str">
        <f t="shared" ca="1" si="65"/>
        <v/>
      </c>
      <c r="AD143" s="176" t="str">
        <f t="shared" ca="1" si="66"/>
        <v/>
      </c>
      <c r="AE143" s="176" t="str">
        <f t="shared" ca="1" si="67"/>
        <v/>
      </c>
      <c r="AF143" s="176" t="str">
        <f t="shared" ca="1" si="68"/>
        <v/>
      </c>
      <c r="AG143" s="176" t="str">
        <f t="shared" ca="1" si="69"/>
        <v/>
      </c>
      <c r="AH143" s="183" t="str">
        <f t="shared" ca="1" si="70"/>
        <v/>
      </c>
      <c r="AI143" s="176" t="str">
        <f t="shared" ca="1" si="71"/>
        <v/>
      </c>
      <c r="AJ143" s="176" t="str">
        <f t="shared" ca="1" si="72"/>
        <v/>
      </c>
      <c r="AK143" s="176" t="str">
        <f t="shared" ca="1" si="73"/>
        <v/>
      </c>
      <c r="AL143" s="176" t="str">
        <f t="shared" ca="1" si="74"/>
        <v/>
      </c>
      <c r="AM143" s="176" t="str">
        <f t="shared" ca="1" si="75"/>
        <v/>
      </c>
      <c r="AN143" s="176" t="str">
        <f t="shared" ca="1" si="76"/>
        <v/>
      </c>
      <c r="AO143" s="176" t="str">
        <f t="shared" ca="1" si="77"/>
        <v/>
      </c>
      <c r="AP143" s="176" t="str">
        <f t="shared" ca="1" si="78"/>
        <v/>
      </c>
      <c r="AU143" s="176" t="str">
        <f t="shared" ca="1" si="79"/>
        <v/>
      </c>
    </row>
    <row r="144" spans="1:47" ht="22.2" customHeight="1">
      <c r="A144" s="107">
        <f t="shared" si="83"/>
        <v>13</v>
      </c>
      <c r="B144" s="106" t="str">
        <f t="shared" ca="1" si="80"/>
        <v/>
      </c>
      <c r="C144" s="106" t="str">
        <f>IF(OR(クライアント抽出!D4&lt;&gt;"",クライアント抽出!G4&lt;&gt;""),クライアント抽出!A4,"")</f>
        <v/>
      </c>
      <c r="D144" s="106" t="str">
        <f t="array" aca="1" ref="D144" ca="1">IF(C144&lt;&gt;"",INDIRECT("クライアント抽出!"&amp;E144&amp;MATCH(C144,クライアント抽出!A:A,0)&amp;""),"")</f>
        <v/>
      </c>
      <c r="E144" s="106" t="str">
        <f>IF(H144&lt;&gt;0,
IFERROR(
SUBSTITUTE(ADDRESS(1,
MATCH(VALUE(H144),クライアント抽出!A4:G4,0)+8,4),"1",""),
""),
IFERROR(
SUBSTITUTE(ADDRESS(1,
MATCH(VALUE(I144),クライアント抽出!A4:G4,0)+8,4),"1",""),
""))</f>
        <v/>
      </c>
      <c r="F144" s="187" t="str">
        <f ca="1">IF(D144&lt;&gt;"",
IF(COUNTIF(C144,"*雙葉*"),
IF(ROUND((H144-M144)
/IF(COUNTIF(D144,"*キャラ*"),
VLOOKUP("*キャラ*",商品マスタ!$D:$E,2,FALSE),
IF(COUNTIF(D144,"*赤*"),
VLOOKUP("*赤*",商品マスタ!$D:$E,2,FALSE),
VLOOKUP("*"&amp;D144&amp;"*",商品マスタ!$D:$E,2,FALSE))),0)&lt;=0,1,
ROUND((H144-M144)
/IF(COUNTIF(D144,"*キャラ*"),
VLOOKUP("*キャラ*",商品マスタ!$D:$E,2,FALSE),
IF(COUNTIF(D144,"*赤*"),
VLOOKUP("*赤*",商品マスタ!$D:$E,2,FALSE),
VLOOKUP("*"&amp;D144&amp;"*",商品マスタ!$D:$E,2,FALSE))),0)),
IF(OR(COUNTIF(D144,"*キャラ*"),COUNTIF(D144,"*赤*")),"",
IF(VLOOKUP("*"&amp;D144&amp;"*",商品マスタ!$D:$E,2,FALSE)=0,"",
IF(ROUND((H144-M144)
/VLOOKUP("*"&amp;D144&amp;"*",商品マスタ!$D:$E,2,FALSE),0)&lt;=0,1,
ROUND((H144-M144)
/VLOOKUP("*"&amp;D144&amp;"*",商品マスタ!$D:$E,2,FALSE),0))))),"")</f>
        <v/>
      </c>
      <c r="G144" s="106" t="str">
        <f ca="1">IF(F144&lt;&gt;"",
IF(VALUE(H144-M144)&gt;VALUE(IF(COUNTIF(D144,"*キャラ*"),
VLOOKUP("*キャラ*",商品マスタ!$D:$E,2,FALSE),
IF(COUNTIF(D144,"*赤*"),
VLOOKUP("*赤*",商品マスタ!$D:$E,2,FALSE),
VLOOKUP("*"&amp;D144&amp;"*",商品マスタ!$D:$E,2,FALSE)))*F144),
"+"&amp;(H144-M144)-IF(COUNTIF(D144,"*キャラ*"),
VLOOKUP("*キャラ*",商品マスタ!$D:$E,2,FALSE),
IF(COUNTIF(D144,"*赤*"),
VLOOKUP("*赤*",商品マスタ!$D:$E,2,FALSE),
VLOOKUP("*"&amp;D144&amp;"*",商品マスタ!$D:$E,2,FALSE)))*F144,
(H144-M144)-IF(COUNTIF(D144,"*キャラ*"),
VLOOKUP("*キャラ*",商品マスタ!$D:$E,2,FALSE),
IF(COUNTIF(D144,"*赤*"),
VLOOKUP("*赤*",商品マスタ!$D:$E,2,FALSE),
VLOOKUP("*"&amp;D144&amp;"*",商品マスタ!$D:$E,2,FALSE)))*F144),"")</f>
        <v/>
      </c>
      <c r="H144" s="108" t="str">
        <f>IF(C144&lt;&gt;"",
クライアント抽出!D4,"")</f>
        <v/>
      </c>
      <c r="I144" s="106" t="str">
        <f>IF(C144&lt;&gt;"",
IF(O144=1,0,クライアント抽出!F4),"")</f>
        <v/>
      </c>
      <c r="J144" s="106" t="str">
        <f>IF(C144&lt;&gt;"",
VLOOKUP(
"*"&amp;LEFT(IF(COUNTIF(D144,"*学食*"),"キャラ弁（学食）",
IF(COUNTIF(D144,"*赤*"),"赤",
IF(COUNTIF(D144,"*キャラ弁当*"),"キャラ弁当",D144))),4)&amp;"*",注文弁当の抽出!$F$1:$G$15,2,FALSE),"")</f>
        <v/>
      </c>
      <c r="K144" s="106" t="str">
        <f ca="1">IF(クライアント抽出!R4&lt;&gt;"",SUBSTITUTE(ADDRESS(1,(CODE(クライアント抽出!R4)-64)*2-1,4),"1",""),"")</f>
        <v/>
      </c>
      <c r="L144" s="106" t="str">
        <f>IF(C4&lt;&gt;"",クライアント抽出!I4,"")</f>
        <v/>
      </c>
      <c r="M144" s="106">
        <f t="array" aca="1" ref="M144" ca="1">IF(C144&lt;&gt;"",
IF(K144&lt;&gt;"",INDIRECT("'数出表_Excel（アレルギー入力）'!"&amp;K144&amp;L144-1&amp;""),),)</f>
        <v>0</v>
      </c>
      <c r="N144" s="106" t="str">
        <f>IF(C144&lt;&gt;"",IF(OR(COUNTIF('盛付札（関数）'!D144,"*赤*"),COUNTIF('盛付札（関数）'!D144,"*キャラ*")),1,
VALUE(VLOOKUP("*"&amp;D144&amp;"*",商品マスタ!D:H,5,FALSE))),"")</f>
        <v/>
      </c>
      <c r="O144" s="106">
        <f t="shared" ca="1" si="82"/>
        <v>0</v>
      </c>
      <c r="P144" s="106">
        <f t="shared" si="61"/>
        <v>0</v>
      </c>
      <c r="Q144" s="106" t="b">
        <f t="shared" si="62"/>
        <v>0</v>
      </c>
      <c r="R144" s="176" t="str">
        <f t="array" aca="1" ref="R144" ca="1">IFERROR(SMALL(IF(P$1:P$311&lt;&gt;0,P$1:P$311),ROW(A144)),"")</f>
        <v/>
      </c>
      <c r="S144" s="176" t="str">
        <f t="array" aca="1" ref="S144" ca="1">IF($R144&lt;&gt;"",
SUBSTITUTE(SUBSTITUTE(INDIRECT("C"&amp;$R144&amp;"")," 週3ｺｰｽ","")," 週5ｺｰｽ",""),"")</f>
        <v/>
      </c>
      <c r="T144" s="176" t="str">
        <f t="array" aca="1" ref="T144" ca="1">IF(IF($R144&lt;&gt;"",
INDIRECT(""&amp;IF(COLUMN(D144)&lt;=26,CHAR(COLUMN(D144)+64),CHAR(INT((COLUMN(D144)-1)/26)+64)&amp;CHAR(MOD(COLUMN(D144)-1,26)+65))&amp;$R144&amp;""),"")=0,"",
IF($R144&lt;&gt;"",
INDIRECT(""&amp;IF(COLUMN(D144)&lt;=26,CHAR(COLUMN(D144)+64),CHAR(INT((COLUMN(D144)-1)/26)+64)&amp;CHAR(MOD(COLUMN(D144)-1,26)+65))&amp;$R144&amp;""),""))</f>
        <v/>
      </c>
      <c r="U144" s="218" t="str">
        <f t="array" aca="1" ref="U144" ca="1">IF($R144&lt;&gt;"",
INDIRECT("F"&amp;$R144&amp;""),"")</f>
        <v/>
      </c>
      <c r="V144" s="219" t="str">
        <f t="array" aca="1" ref="V144" ca="1">IF($R144&lt;&gt;"",
INDIRECT("G"&amp;$R144&amp;""),"")</f>
        <v/>
      </c>
      <c r="W144" s="219" t="str" cm="1">
        <f t="array" aca="1" ref="W144" ca="1">IF($R144&lt;&gt;"",
IF(AND(COUNTIF(INDIRECT("B"&amp;R144&amp;""),"*雙葉*"),COUNTIF($B$71:$B$210,"*雙葉*")&gt;=1),
IF(OR(COUNTIF(INDIRECT("B"&amp;R144&amp;""),"*雙葉先生*"),COUNTIF(INDIRECT("B"&amp;R144-1&amp;""),"*雙葉*")),INDIRECT("H"&amp;R144&amp;""),INDIRECT("H"&amp;R144&amp;"")+INDIRECT("H"&amp;MATCH("雙葉'",INDIRECT("B"&amp;R144+3&amp;":B210"),0)+2+R144&amp;"")),
IF(AND(LEFT(INDIRECT("B"&amp;R144&amp;""),2)="博多",COUNTIF(B:B,"*博多*")&gt;=2),
INDIRECT("H"&amp;R144&amp;"")+IFERROR(INDIRECT("H"&amp;MATCH("*"&amp;INDIRECT("B"&amp;R144&amp;"")&amp;"*",INDIRECT("B"&amp;R144+1&amp;":B210"),0)+R144&amp;""),0),
IF(AND(LEFT(INDIRECT("B"&amp;R144&amp;""),3)="奈良屋",COUNTIF(B:B,"*奈良屋*")&gt;=2),
INDIRECT("H"&amp;R144&amp;"")
+INDIRECT("H"&amp;MATCH("*"&amp;INDIRECT("B"&amp;R144&amp;"")&amp;"*",INDIRECT("B"&amp;R144+1&amp;":B210"),0)+R144&amp;"")
+INDIRECT("H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
+INDIRECT("H"&amp;MATCH("*"&amp;INDIRECT("B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&amp;"*",INDIRECT("B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+1&amp;":B210"),0)+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,
INDIRECT("H"&amp;R144&amp;"")))),"")</f>
        <v/>
      </c>
      <c r="X144" s="176" t="str">
        <f t="array" aca="1" ref="X144" ca="1">IF($R144&lt;&gt;"",
INDIRECT(""&amp;IF(COLUMN(I144)&lt;=26,CHAR(COLUMN(I144)+64),CHAR(INT((COLUMN(I144)-1)/26)+64)&amp;CHAR(MOD(COLUMN(I144)-1,26)+65))&amp;$R144&amp;""),"")</f>
        <v/>
      </c>
      <c r="Y144" s="176" t="str">
        <f t="array" aca="1" ref="Y144" ca="1">IF($R144&lt;&gt;"",
INDIRECT(""&amp;IF(COLUMN(J144)&lt;=26,CHAR(COLUMN(J144)+64),CHAR(INT((COLUMN(J144)-1)/26)+64)&amp;CHAR(MOD(COLUMN(J144)-1,26)+65))&amp;$R144&amp;""),"")</f>
        <v/>
      </c>
      <c r="Z144" s="176" t="str">
        <f t="shared" ca="1" si="63"/>
        <v/>
      </c>
      <c r="AA144" s="176" t="str">
        <f t="shared" ca="1" si="64"/>
        <v/>
      </c>
      <c r="AB144" s="176" t="str">
        <f t="array" aca="1" ref="AB144" ca="1">IF($R144&lt;&gt;"",
IF(AND(COUNTIF(INDIRECT("B"&amp;R144&amp;""),"*雙葉*"),COUNTIF(INDIRECT("B"&amp;R144&amp;""),"&lt;&gt;*先生*"),COUNTIF(B:B,"*雙葉*")&gt;=2),
INDIRECT("M"&amp;R144&amp;"")+INDIRECT("M"&amp;MATCH("雙葉'",INDIRECT("B"&amp;R144+1&amp;":B210"),0)+R144&amp;""),
IF(AND(LEFT(INDIRECT("B"&amp;R144&amp;""),2)="博多",COUNTIF(B:B,"*博多*")&gt;=2),
INDIRECT("M"&amp;R144&amp;"")+INDIRECT("M"&amp;MATCH("*"&amp;INDIRECT("B"&amp;R144&amp;"")&amp;"*",INDIRECT("B"&amp;R144+1&amp;":B210"),0)+R144&amp;""),
IF(AND(LEFT(INDIRECT("B"&amp;R144&amp;""),3)="奈良屋",COUNTIF(B:B,"*奈良屋*")&gt;=2),
INDIRECT("M"&amp;R144&amp;"")+INDIRECT("M"&amp;MATCH("*"&amp;INDIRECT("B"&amp;R144&amp;"")&amp;"*",INDIRECT("B"&amp;R144+1&amp;":B210"),0)+R144&amp;"")
+INDIRECT("M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,
INDIRECT("M"&amp;R144&amp;"")))),"")</f>
        <v/>
      </c>
      <c r="AC144" s="176" t="str">
        <f t="shared" ca="1" si="65"/>
        <v/>
      </c>
      <c r="AD144" s="176" t="str">
        <f t="shared" ca="1" si="66"/>
        <v/>
      </c>
      <c r="AE144" s="176" t="str">
        <f t="shared" ca="1" si="67"/>
        <v/>
      </c>
      <c r="AF144" s="176" t="str">
        <f t="shared" ca="1" si="68"/>
        <v/>
      </c>
      <c r="AG144" s="176" t="str">
        <f t="shared" ca="1" si="69"/>
        <v/>
      </c>
      <c r="AH144" s="183" t="str">
        <f t="shared" ca="1" si="70"/>
        <v/>
      </c>
      <c r="AI144" s="176" t="str">
        <f t="shared" ca="1" si="71"/>
        <v/>
      </c>
      <c r="AJ144" s="176" t="str">
        <f t="shared" ca="1" si="72"/>
        <v/>
      </c>
      <c r="AK144" s="176" t="str">
        <f t="shared" ca="1" si="73"/>
        <v/>
      </c>
      <c r="AL144" s="176" t="str">
        <f t="shared" ca="1" si="74"/>
        <v/>
      </c>
      <c r="AM144" s="176" t="str">
        <f t="shared" ca="1" si="75"/>
        <v/>
      </c>
      <c r="AN144" s="176" t="str">
        <f t="shared" ca="1" si="76"/>
        <v/>
      </c>
      <c r="AO144" s="176" t="str">
        <f t="shared" ca="1" si="77"/>
        <v/>
      </c>
      <c r="AP144" s="176" t="str">
        <f t="shared" ca="1" si="78"/>
        <v/>
      </c>
      <c r="AU144" s="176" t="str">
        <f t="shared" ca="1" si="79"/>
        <v/>
      </c>
    </row>
    <row r="145" spans="1:47" ht="22.2" customHeight="1">
      <c r="A145" s="107">
        <f t="shared" si="83"/>
        <v>15</v>
      </c>
      <c r="B145" s="106" t="str">
        <f t="shared" ca="1" si="80"/>
        <v/>
      </c>
      <c r="C145" s="106" t="str">
        <f>IF(OR(クライアント抽出!D5&lt;&gt;"",クライアント抽出!G5&lt;&gt;""),クライアント抽出!A5,"")</f>
        <v/>
      </c>
      <c r="D145" s="106" t="str">
        <f t="array" aca="1" ref="D145" ca="1">IF(C145&lt;&gt;"",INDIRECT("クライアント抽出!"&amp;E145&amp;MATCH(C145,クライアント抽出!A:A,0)&amp;""),"")</f>
        <v/>
      </c>
      <c r="E145" s="106" t="str">
        <f>IF(H145&lt;&gt;0,
IFERROR(
SUBSTITUTE(ADDRESS(1,
MATCH(VALUE(H145),クライアント抽出!A5:G5,0)+8,4),"1",""),
""),
IFERROR(
SUBSTITUTE(ADDRESS(1,
MATCH(VALUE(I145),クライアント抽出!A5:G5,0)+8,4),"1",""),
""))</f>
        <v/>
      </c>
      <c r="F145" s="187" t="str">
        <f ca="1">IF(D145&lt;&gt;"",
IF(COUNTIF(C145,"*雙葉*"),
IF(ROUND((H145-M145)
/IF(COUNTIF(D145,"*キャラ*"),
VLOOKUP("*キャラ*",商品マスタ!$D:$E,2,FALSE),
IF(COUNTIF(D145,"*赤*"),
VLOOKUP("*赤*",商品マスタ!$D:$E,2,FALSE),
VLOOKUP("*"&amp;D145&amp;"*",商品マスタ!$D:$E,2,FALSE))),0)&lt;=0,1,
ROUND((H145-M145)
/IF(COUNTIF(D145,"*キャラ*"),
VLOOKUP("*キャラ*",商品マスタ!$D:$E,2,FALSE),
IF(COUNTIF(D145,"*赤*"),
VLOOKUP("*赤*",商品マスタ!$D:$E,2,FALSE),
VLOOKUP("*"&amp;D145&amp;"*",商品マスタ!$D:$E,2,FALSE))),0)),
IF(OR(COUNTIF(D145,"*キャラ*"),COUNTIF(D145,"*赤*")),"",
IF(VLOOKUP("*"&amp;D145&amp;"*",商品マスタ!$D:$E,2,FALSE)=0,"",
IF(ROUND((H145-M145)
/VLOOKUP("*"&amp;D145&amp;"*",商品マスタ!$D:$E,2,FALSE),0)&lt;=0,1,
ROUND((H145-M145)
/VLOOKUP("*"&amp;D145&amp;"*",商品マスタ!$D:$E,2,FALSE),0))))),"")</f>
        <v/>
      </c>
      <c r="G145" s="106" t="str">
        <f ca="1">IF(F145&lt;&gt;"",
IF(VALUE(H145-M145)&gt;VALUE(IF(COUNTIF(D145,"*キャラ*"),
VLOOKUP("*キャラ*",商品マスタ!$D:$E,2,FALSE),
IF(COUNTIF(D145,"*赤*"),
VLOOKUP("*赤*",商品マスタ!$D:$E,2,FALSE),
VLOOKUP("*"&amp;D145&amp;"*",商品マスタ!$D:$E,2,FALSE)))*F145),
"+"&amp;(H145-M145)-IF(COUNTIF(D145,"*キャラ*"),
VLOOKUP("*キャラ*",商品マスタ!$D:$E,2,FALSE),
IF(COUNTIF(D145,"*赤*"),
VLOOKUP("*赤*",商品マスタ!$D:$E,2,FALSE),
VLOOKUP("*"&amp;D145&amp;"*",商品マスタ!$D:$E,2,FALSE)))*F145,
(H145-M145)-IF(COUNTIF(D145,"*キャラ*"),
VLOOKUP("*キャラ*",商品マスタ!$D:$E,2,FALSE),
IF(COUNTIF(D145,"*赤*"),
VLOOKUP("*赤*",商品マスタ!$D:$E,2,FALSE),
VLOOKUP("*"&amp;D145&amp;"*",商品マスタ!$D:$E,2,FALSE)))*F145),"")</f>
        <v/>
      </c>
      <c r="H145" s="108" t="str">
        <f>IF(C145&lt;&gt;"",
クライアント抽出!D5,"")</f>
        <v/>
      </c>
      <c r="I145" s="106" t="str">
        <f>IF(C145&lt;&gt;"",
IF(O145=1,0,クライアント抽出!F5),"")</f>
        <v/>
      </c>
      <c r="J145" s="106" t="str">
        <f>IF(C145&lt;&gt;"",
VLOOKUP(
"*"&amp;LEFT(IF(COUNTIF(D145,"*学食*"),"キャラ弁（学食）",
IF(COUNTIF(D145,"*赤*"),"赤",
IF(COUNTIF(D145,"*キャラ弁当*"),"キャラ弁当",D145))),4)&amp;"*",注文弁当の抽出!$F$1:$G$15,2,FALSE),"")</f>
        <v/>
      </c>
      <c r="K145" s="106" t="str">
        <f ca="1">IF(クライアント抽出!R5&lt;&gt;"",SUBSTITUTE(ADDRESS(1,(CODE(クライアント抽出!R5)-64)*2-1,4),"1",""),"")</f>
        <v/>
      </c>
      <c r="L145" s="106" t="str">
        <f>IF(C5&lt;&gt;"",クライアント抽出!I5,"")</f>
        <v/>
      </c>
      <c r="M145" s="106">
        <f t="array" aca="1" ref="M145" ca="1">IF(C145&lt;&gt;"",
IF(K145&lt;&gt;"",INDIRECT("'数出表_Excel（アレルギー入力）'!"&amp;K145&amp;L145-1&amp;""),),)</f>
        <v>0</v>
      </c>
      <c r="N145" s="106" t="str">
        <f>IF(C145&lt;&gt;"",IF(OR(COUNTIF('盛付札（関数）'!D145,"*赤*"),COUNTIF('盛付札（関数）'!D145,"*キャラ*")),1,
VALUE(VLOOKUP("*"&amp;D145&amp;"*",商品マスタ!D:H,5,FALSE))),"")</f>
        <v/>
      </c>
      <c r="O145" s="106">
        <f t="shared" ca="1" si="82"/>
        <v>0</v>
      </c>
      <c r="P145" s="106">
        <f t="shared" si="61"/>
        <v>0</v>
      </c>
      <c r="Q145" s="106" t="b">
        <f t="shared" si="62"/>
        <v>0</v>
      </c>
      <c r="R145" s="176" t="str">
        <f t="array" aca="1" ref="R145" ca="1">IFERROR(SMALL(IF(P$1:P$311&lt;&gt;0,P$1:P$311),ROW(A145)),"")</f>
        <v/>
      </c>
      <c r="S145" s="176" t="str">
        <f t="array" aca="1" ref="S145" ca="1">IF($R145&lt;&gt;"",
SUBSTITUTE(SUBSTITUTE(INDIRECT("C"&amp;$R145&amp;"")," 週3ｺｰｽ","")," 週5ｺｰｽ",""),"")</f>
        <v/>
      </c>
      <c r="T145" s="176" t="str">
        <f t="array" aca="1" ref="T145" ca="1">IF(IF($R145&lt;&gt;"",
INDIRECT(""&amp;IF(COLUMN(D145)&lt;=26,CHAR(COLUMN(D145)+64),CHAR(INT((COLUMN(D145)-1)/26)+64)&amp;CHAR(MOD(COLUMN(D145)-1,26)+65))&amp;$R145&amp;""),"")=0,"",
IF($R145&lt;&gt;"",
INDIRECT(""&amp;IF(COLUMN(D145)&lt;=26,CHAR(COLUMN(D145)+64),CHAR(INT((COLUMN(D145)-1)/26)+64)&amp;CHAR(MOD(COLUMN(D145)-1,26)+65))&amp;$R145&amp;""),""))</f>
        <v/>
      </c>
      <c r="U145" s="218" t="str">
        <f t="array" aca="1" ref="U145" ca="1">IF($R145&lt;&gt;"",
INDIRECT("F"&amp;$R145&amp;""),"")</f>
        <v/>
      </c>
      <c r="V145" s="219" t="str">
        <f t="array" aca="1" ref="V145" ca="1">IF($R145&lt;&gt;"",
INDIRECT("G"&amp;$R145&amp;""),"")</f>
        <v/>
      </c>
      <c r="W145" s="219" t="str" cm="1">
        <f t="array" aca="1" ref="W145" ca="1">IF($R145&lt;&gt;"",
IF(AND(COUNTIF(INDIRECT("B"&amp;R145&amp;""),"*雙葉*"),COUNTIF($B$71:$B$210,"*雙葉*")&gt;=1),
IF(OR(COUNTIF(INDIRECT("B"&amp;R145&amp;""),"*雙葉先生*"),COUNTIF(INDIRECT("B"&amp;R145-1&amp;""),"*雙葉*")),INDIRECT("H"&amp;R145&amp;""),INDIRECT("H"&amp;R145&amp;"")+INDIRECT("H"&amp;MATCH("雙葉'",INDIRECT("B"&amp;R145+3&amp;":B210"),0)+2+R145&amp;"")),
IF(AND(LEFT(INDIRECT("B"&amp;R145&amp;""),2)="博多",COUNTIF(B:B,"*博多*")&gt;=2),
INDIRECT("H"&amp;R145&amp;"")+IFERROR(INDIRECT("H"&amp;MATCH("*"&amp;INDIRECT("B"&amp;R145&amp;"")&amp;"*",INDIRECT("B"&amp;R145+1&amp;":B210"),0)+R145&amp;""),0),
IF(AND(LEFT(INDIRECT("B"&amp;R145&amp;""),3)="奈良屋",COUNTIF(B:B,"*奈良屋*")&gt;=2),
INDIRECT("H"&amp;R145&amp;"")
+INDIRECT("H"&amp;MATCH("*"&amp;INDIRECT("B"&amp;R145&amp;"")&amp;"*",INDIRECT("B"&amp;R145+1&amp;":B210"),0)+R145&amp;"")
+INDIRECT("H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
+INDIRECT("H"&amp;MATCH("*"&amp;INDIRECT("B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&amp;"*",INDIRECT("B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+1&amp;":B210"),0)+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,
INDIRECT("H"&amp;R145&amp;"")))),"")</f>
        <v/>
      </c>
      <c r="X145" s="176" t="str">
        <f t="array" aca="1" ref="X145" ca="1">IF($R145&lt;&gt;"",
INDIRECT(""&amp;IF(COLUMN(I145)&lt;=26,CHAR(COLUMN(I145)+64),CHAR(INT((COLUMN(I145)-1)/26)+64)&amp;CHAR(MOD(COLUMN(I145)-1,26)+65))&amp;$R145&amp;""),"")</f>
        <v/>
      </c>
      <c r="Y145" s="176" t="str">
        <f t="array" aca="1" ref="Y145" ca="1">IF($R145&lt;&gt;"",
INDIRECT(""&amp;IF(COLUMN(J145)&lt;=26,CHAR(COLUMN(J145)+64),CHAR(INT((COLUMN(J145)-1)/26)+64)&amp;CHAR(MOD(COLUMN(J145)-1,26)+65))&amp;$R145&amp;""),"")</f>
        <v/>
      </c>
      <c r="Z145" s="176" t="str">
        <f t="shared" ca="1" si="63"/>
        <v/>
      </c>
      <c r="AA145" s="176" t="str">
        <f t="shared" ca="1" si="64"/>
        <v/>
      </c>
      <c r="AB145" s="176" t="str">
        <f t="array" aca="1" ref="AB145" ca="1">IF($R145&lt;&gt;"",
IF(AND(COUNTIF(INDIRECT("B"&amp;R145&amp;""),"*雙葉*"),COUNTIF(INDIRECT("B"&amp;R145&amp;""),"&lt;&gt;*先生*"),COUNTIF(B:B,"*雙葉*")&gt;=2),
INDIRECT("M"&amp;R145&amp;"")+INDIRECT("M"&amp;MATCH("雙葉'",INDIRECT("B"&amp;R145+1&amp;":B210"),0)+R145&amp;""),
IF(AND(LEFT(INDIRECT("B"&amp;R145&amp;""),2)="博多",COUNTIF(B:B,"*博多*")&gt;=2),
INDIRECT("M"&amp;R145&amp;"")+INDIRECT("M"&amp;MATCH("*"&amp;INDIRECT("B"&amp;R145&amp;"")&amp;"*",INDIRECT("B"&amp;R145+1&amp;":B210"),0)+R145&amp;""),
IF(AND(LEFT(INDIRECT("B"&amp;R145&amp;""),3)="奈良屋",COUNTIF(B:B,"*奈良屋*")&gt;=2),
INDIRECT("M"&amp;R145&amp;"")+INDIRECT("M"&amp;MATCH("*"&amp;INDIRECT("B"&amp;R145&amp;"")&amp;"*",INDIRECT("B"&amp;R145+1&amp;":B210"),0)+R145&amp;"")
+INDIRECT("M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,
INDIRECT("M"&amp;R145&amp;"")))),"")</f>
        <v/>
      </c>
      <c r="AC145" s="176" t="str">
        <f t="shared" ca="1" si="65"/>
        <v/>
      </c>
      <c r="AD145" s="176" t="str">
        <f t="shared" ca="1" si="66"/>
        <v/>
      </c>
      <c r="AE145" s="176" t="str">
        <f t="shared" ca="1" si="67"/>
        <v/>
      </c>
      <c r="AF145" s="176" t="str">
        <f t="shared" ca="1" si="68"/>
        <v/>
      </c>
      <c r="AG145" s="176" t="str">
        <f t="shared" ca="1" si="69"/>
        <v/>
      </c>
      <c r="AH145" s="183" t="str">
        <f t="shared" ca="1" si="70"/>
        <v/>
      </c>
      <c r="AI145" s="176" t="str">
        <f t="shared" ca="1" si="71"/>
        <v/>
      </c>
      <c r="AJ145" s="176" t="str">
        <f t="shared" ca="1" si="72"/>
        <v/>
      </c>
      <c r="AK145" s="176" t="str">
        <f t="shared" ca="1" si="73"/>
        <v/>
      </c>
      <c r="AL145" s="176" t="str">
        <f t="shared" ca="1" si="74"/>
        <v/>
      </c>
      <c r="AM145" s="176" t="str">
        <f t="shared" ca="1" si="75"/>
        <v/>
      </c>
      <c r="AN145" s="176" t="str">
        <f t="shared" ca="1" si="76"/>
        <v/>
      </c>
      <c r="AO145" s="176" t="str">
        <f t="shared" ca="1" si="77"/>
        <v/>
      </c>
      <c r="AP145" s="176" t="str">
        <f t="shared" ca="1" si="78"/>
        <v/>
      </c>
      <c r="AU145" s="176" t="str">
        <f t="shared" ca="1" si="79"/>
        <v/>
      </c>
    </row>
    <row r="146" spans="1:47" ht="22.2" customHeight="1">
      <c r="A146" s="107">
        <f t="shared" si="83"/>
        <v>17</v>
      </c>
      <c r="B146" s="106" t="str">
        <f t="shared" ca="1" si="80"/>
        <v/>
      </c>
      <c r="C146" s="106" t="str">
        <f>IF(OR(クライアント抽出!D6&lt;&gt;"",クライアント抽出!G6&lt;&gt;""),クライアント抽出!A6,"")</f>
        <v/>
      </c>
      <c r="D146" s="106" t="str">
        <f t="array" aca="1" ref="D146" ca="1">IF(C146&lt;&gt;"",INDIRECT("クライアント抽出!"&amp;E146&amp;MATCH(C146,クライアント抽出!A:A,0)&amp;""),"")</f>
        <v/>
      </c>
      <c r="E146" s="106" t="str">
        <f>IF(H146&lt;&gt;0,
IFERROR(
SUBSTITUTE(ADDRESS(1,
MATCH(VALUE(H146),クライアント抽出!A6:G6,0)+8,4),"1",""),
""),
IFERROR(
SUBSTITUTE(ADDRESS(1,
MATCH(VALUE(I146),クライアント抽出!A6:G6,0)+8,4),"1",""),
""))</f>
        <v/>
      </c>
      <c r="F146" s="187" t="str">
        <f ca="1">IF(D146&lt;&gt;"",
IF(COUNTIF(C146,"*雙葉*"),
IF(ROUND((H146-M146)
/IF(COUNTIF(D146,"*キャラ*"),
VLOOKUP("*キャラ*",商品マスタ!$D:$E,2,FALSE),
IF(COUNTIF(D146,"*赤*"),
VLOOKUP("*赤*",商品マスタ!$D:$E,2,FALSE),
VLOOKUP("*"&amp;D146&amp;"*",商品マスタ!$D:$E,2,FALSE))),0)&lt;=0,1,
ROUND((H146-M146)
/IF(COUNTIF(D146,"*キャラ*"),
VLOOKUP("*キャラ*",商品マスタ!$D:$E,2,FALSE),
IF(COUNTIF(D146,"*赤*"),
VLOOKUP("*赤*",商品マスタ!$D:$E,2,FALSE),
VLOOKUP("*"&amp;D146&amp;"*",商品マスタ!$D:$E,2,FALSE))),0)),
IF(OR(COUNTIF(D146,"*キャラ*"),COUNTIF(D146,"*赤*")),"",
IF(VLOOKUP("*"&amp;D146&amp;"*",商品マスタ!$D:$E,2,FALSE)=0,"",
IF(ROUND((H146-M146)
/VLOOKUP("*"&amp;D146&amp;"*",商品マスタ!$D:$E,2,FALSE),0)&lt;=0,1,
ROUND((H146-M146)
/VLOOKUP("*"&amp;D146&amp;"*",商品マスタ!$D:$E,2,FALSE),0))))),"")</f>
        <v/>
      </c>
      <c r="G146" s="106" t="str">
        <f ca="1">IF(F146&lt;&gt;"",
IF(VALUE(H146-M146)&gt;VALUE(IF(COUNTIF(D146,"*キャラ*"),
VLOOKUP("*キャラ*",商品マスタ!$D:$E,2,FALSE),
IF(COUNTIF(D146,"*赤*"),
VLOOKUP("*赤*",商品マスタ!$D:$E,2,FALSE),
VLOOKUP("*"&amp;D146&amp;"*",商品マスタ!$D:$E,2,FALSE)))*F146),
"+"&amp;(H146-M146)-IF(COUNTIF(D146,"*キャラ*"),
VLOOKUP("*キャラ*",商品マスタ!$D:$E,2,FALSE),
IF(COUNTIF(D146,"*赤*"),
VLOOKUP("*赤*",商品マスタ!$D:$E,2,FALSE),
VLOOKUP("*"&amp;D146&amp;"*",商品マスタ!$D:$E,2,FALSE)))*F146,
(H146-M146)-IF(COUNTIF(D146,"*キャラ*"),
VLOOKUP("*キャラ*",商品マスタ!$D:$E,2,FALSE),
IF(COUNTIF(D146,"*赤*"),
VLOOKUP("*赤*",商品マスタ!$D:$E,2,FALSE),
VLOOKUP("*"&amp;D146&amp;"*",商品マスタ!$D:$E,2,FALSE)))*F146),"")</f>
        <v/>
      </c>
      <c r="H146" s="108" t="str">
        <f>IF(C146&lt;&gt;"",
クライアント抽出!D6,"")</f>
        <v/>
      </c>
      <c r="I146" s="106" t="str">
        <f>IF(C146&lt;&gt;"",
IF(O146=1,0,クライアント抽出!F6),"")</f>
        <v/>
      </c>
      <c r="J146" s="106" t="str">
        <f>IF(C146&lt;&gt;"",
VLOOKUP(
"*"&amp;LEFT(IF(COUNTIF(D146,"*学食*"),"キャラ弁（学食）",
IF(COUNTIF(D146,"*赤*"),"赤",
IF(COUNTIF(D146,"*キャラ弁当*"),"キャラ弁当",D146))),4)&amp;"*",注文弁当の抽出!$F$1:$G$15,2,FALSE),"")</f>
        <v/>
      </c>
      <c r="K146" s="106" t="str">
        <f ca="1">IF(クライアント抽出!R6&lt;&gt;"",SUBSTITUTE(ADDRESS(1,(CODE(クライアント抽出!R6)-64)*2-1,4),"1",""),"")</f>
        <v/>
      </c>
      <c r="L146" s="106" t="str">
        <f>IF(C6&lt;&gt;"",クライアント抽出!I6,"")</f>
        <v/>
      </c>
      <c r="M146" s="106">
        <f t="array" aca="1" ref="M146" ca="1">IF(C146&lt;&gt;"",
IF(K146&lt;&gt;"",INDIRECT("'数出表_Excel（アレルギー入力）'!"&amp;K146&amp;L146-1&amp;""),),)</f>
        <v>0</v>
      </c>
      <c r="N146" s="106" t="str">
        <f>IF(C146&lt;&gt;"",IF(OR(COUNTIF('盛付札（関数）'!D146,"*赤*"),COUNTIF('盛付札（関数）'!D146,"*キャラ*")),1,
VALUE(VLOOKUP("*"&amp;D146&amp;"*",商品マスタ!D:H,5,FALSE))),"")</f>
        <v/>
      </c>
      <c r="O146" s="106">
        <f t="shared" ca="1" si="82"/>
        <v>0</v>
      </c>
      <c r="P146" s="106">
        <f t="shared" si="61"/>
        <v>0</v>
      </c>
      <c r="Q146" s="106" t="b">
        <f t="shared" si="62"/>
        <v>0</v>
      </c>
      <c r="R146" s="176" t="str">
        <f t="array" aca="1" ref="R146" ca="1">IFERROR(SMALL(IF(P$1:P$311&lt;&gt;0,P$1:P$311),ROW(A146)),"")</f>
        <v/>
      </c>
      <c r="S146" s="176" t="str">
        <f t="array" aca="1" ref="S146" ca="1">IF($R146&lt;&gt;"",
SUBSTITUTE(SUBSTITUTE(INDIRECT("C"&amp;$R146&amp;"")," 週3ｺｰｽ","")," 週5ｺｰｽ",""),"")</f>
        <v/>
      </c>
      <c r="T146" s="176" t="str">
        <f t="array" aca="1" ref="T146" ca="1">IF(IF($R146&lt;&gt;"",
INDIRECT(""&amp;IF(COLUMN(D146)&lt;=26,CHAR(COLUMN(D146)+64),CHAR(INT((COLUMN(D146)-1)/26)+64)&amp;CHAR(MOD(COLUMN(D146)-1,26)+65))&amp;$R146&amp;""),"")=0,"",
IF($R146&lt;&gt;"",
INDIRECT(""&amp;IF(COLUMN(D146)&lt;=26,CHAR(COLUMN(D146)+64),CHAR(INT((COLUMN(D146)-1)/26)+64)&amp;CHAR(MOD(COLUMN(D146)-1,26)+65))&amp;$R146&amp;""),""))</f>
        <v/>
      </c>
      <c r="U146" s="218" t="str">
        <f t="array" aca="1" ref="U146" ca="1">IF($R146&lt;&gt;"",
INDIRECT("F"&amp;$R146&amp;""),"")</f>
        <v/>
      </c>
      <c r="V146" s="219" t="str">
        <f t="array" aca="1" ref="V146" ca="1">IF($R146&lt;&gt;"",
INDIRECT("G"&amp;$R146&amp;""),"")</f>
        <v/>
      </c>
      <c r="W146" s="219" t="str" cm="1">
        <f t="array" aca="1" ref="W146" ca="1">IF($R146&lt;&gt;"",
IF(AND(COUNTIF(INDIRECT("B"&amp;R146&amp;""),"*雙葉*"),COUNTIF($B$71:$B$210,"*雙葉*")&gt;=1),
IF(OR(COUNTIF(INDIRECT("B"&amp;R146&amp;""),"*雙葉先生*"),COUNTIF(INDIRECT("B"&amp;R146-1&amp;""),"*雙葉*")),INDIRECT("H"&amp;R146&amp;""),INDIRECT("H"&amp;R146&amp;"")+INDIRECT("H"&amp;MATCH("雙葉'",INDIRECT("B"&amp;R146+3&amp;":B210"),0)+2+R146&amp;"")),
IF(AND(LEFT(INDIRECT("B"&amp;R146&amp;""),2)="博多",COUNTIF(B:B,"*博多*")&gt;=2),
INDIRECT("H"&amp;R146&amp;"")+IFERROR(INDIRECT("H"&amp;MATCH("*"&amp;INDIRECT("B"&amp;R146&amp;"")&amp;"*",INDIRECT("B"&amp;R146+1&amp;":B210"),0)+R146&amp;""),0),
IF(AND(LEFT(INDIRECT("B"&amp;R146&amp;""),3)="奈良屋",COUNTIF(B:B,"*奈良屋*")&gt;=2),
INDIRECT("H"&amp;R146&amp;"")
+INDIRECT("H"&amp;MATCH("*"&amp;INDIRECT("B"&amp;R146&amp;"")&amp;"*",INDIRECT("B"&amp;R146+1&amp;":B210"),0)+R146&amp;"")
+INDIRECT("H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
+INDIRECT("H"&amp;MATCH("*"&amp;INDIRECT("B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&amp;"*",INDIRECT("B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+1&amp;":B210"),0)+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,
INDIRECT("H"&amp;R146&amp;"")))),"")</f>
        <v/>
      </c>
      <c r="X146" s="176" t="str">
        <f t="array" aca="1" ref="X146" ca="1">IF($R146&lt;&gt;"",
INDIRECT(""&amp;IF(COLUMN(I146)&lt;=26,CHAR(COLUMN(I146)+64),CHAR(INT((COLUMN(I146)-1)/26)+64)&amp;CHAR(MOD(COLUMN(I146)-1,26)+65))&amp;$R146&amp;""),"")</f>
        <v/>
      </c>
      <c r="Y146" s="176" t="str">
        <f t="array" aca="1" ref="Y146" ca="1">IF($R146&lt;&gt;"",
INDIRECT(""&amp;IF(COLUMN(J146)&lt;=26,CHAR(COLUMN(J146)+64),CHAR(INT((COLUMN(J146)-1)/26)+64)&amp;CHAR(MOD(COLUMN(J146)-1,26)+65))&amp;$R146&amp;""),"")</f>
        <v/>
      </c>
      <c r="Z146" s="176" t="str">
        <f t="shared" ca="1" si="63"/>
        <v/>
      </c>
      <c r="AA146" s="176" t="str">
        <f t="shared" ca="1" si="64"/>
        <v/>
      </c>
      <c r="AB146" s="176" t="str">
        <f t="array" aca="1" ref="AB146" ca="1">IF($R146&lt;&gt;"",
IF(AND(COUNTIF(INDIRECT("B"&amp;R146&amp;""),"*雙葉*"),COUNTIF(INDIRECT("B"&amp;R146&amp;""),"&lt;&gt;*先生*"),COUNTIF(B:B,"*雙葉*")&gt;=2),
INDIRECT("M"&amp;R146&amp;"")+INDIRECT("M"&amp;MATCH("雙葉'",INDIRECT("B"&amp;R146+1&amp;":B210"),0)+R146&amp;""),
IF(AND(LEFT(INDIRECT("B"&amp;R146&amp;""),2)="博多",COUNTIF(B:B,"*博多*")&gt;=2),
INDIRECT("M"&amp;R146&amp;"")+INDIRECT("M"&amp;MATCH("*"&amp;INDIRECT("B"&amp;R146&amp;"")&amp;"*",INDIRECT("B"&amp;R146+1&amp;":B210"),0)+R146&amp;""),
IF(AND(LEFT(INDIRECT("B"&amp;R146&amp;""),3)="奈良屋",COUNTIF(B:B,"*奈良屋*")&gt;=2),
INDIRECT("M"&amp;R146&amp;"")+INDIRECT("M"&amp;MATCH("*"&amp;INDIRECT("B"&amp;R146&amp;"")&amp;"*",INDIRECT("B"&amp;R146+1&amp;":B210"),0)+R146&amp;"")
+INDIRECT("M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,
INDIRECT("M"&amp;R146&amp;"")))),"")</f>
        <v/>
      </c>
      <c r="AC146" s="176" t="str">
        <f t="shared" ca="1" si="65"/>
        <v/>
      </c>
      <c r="AD146" s="176" t="str">
        <f t="shared" ca="1" si="66"/>
        <v/>
      </c>
      <c r="AE146" s="176" t="str">
        <f t="shared" ca="1" si="67"/>
        <v/>
      </c>
      <c r="AF146" s="176" t="str">
        <f t="shared" ca="1" si="68"/>
        <v/>
      </c>
      <c r="AG146" s="176" t="str">
        <f t="shared" ca="1" si="69"/>
        <v/>
      </c>
      <c r="AH146" s="183" t="str">
        <f t="shared" ca="1" si="70"/>
        <v/>
      </c>
      <c r="AI146" s="176" t="str">
        <f t="shared" ca="1" si="71"/>
        <v/>
      </c>
      <c r="AJ146" s="176" t="str">
        <f t="shared" ca="1" si="72"/>
        <v/>
      </c>
      <c r="AK146" s="176" t="str">
        <f t="shared" ca="1" si="73"/>
        <v/>
      </c>
      <c r="AL146" s="176" t="str">
        <f t="shared" ca="1" si="74"/>
        <v/>
      </c>
      <c r="AM146" s="176" t="str">
        <f t="shared" ca="1" si="75"/>
        <v/>
      </c>
      <c r="AN146" s="176" t="str">
        <f t="shared" ca="1" si="76"/>
        <v/>
      </c>
      <c r="AO146" s="176" t="str">
        <f t="shared" ca="1" si="77"/>
        <v/>
      </c>
      <c r="AP146" s="176" t="str">
        <f t="shared" ca="1" si="78"/>
        <v/>
      </c>
      <c r="AU146" s="176" t="str">
        <f t="shared" ca="1" si="79"/>
        <v/>
      </c>
    </row>
    <row r="147" spans="1:47" ht="22.2" customHeight="1">
      <c r="A147" s="107">
        <f t="shared" si="83"/>
        <v>19</v>
      </c>
      <c r="B147" s="106" t="str">
        <f t="shared" ca="1" si="80"/>
        <v/>
      </c>
      <c r="C147" s="106" t="str">
        <f>IF(OR(クライアント抽出!D7&lt;&gt;"",クライアント抽出!G7&lt;&gt;""),クライアント抽出!A7,"")</f>
        <v/>
      </c>
      <c r="D147" s="106" t="str">
        <f t="array" aca="1" ref="D147" ca="1">IF(C147&lt;&gt;"",INDIRECT("クライアント抽出!"&amp;E147&amp;MATCH(C147,クライアント抽出!A:A,0)&amp;""),"")</f>
        <v/>
      </c>
      <c r="E147" s="106" t="str">
        <f>IF(H147&lt;&gt;0,
IFERROR(
SUBSTITUTE(ADDRESS(1,
MATCH(VALUE(H147),クライアント抽出!A7:G7,0)+8,4),"1",""),
""),
IFERROR(
SUBSTITUTE(ADDRESS(1,
MATCH(VALUE(I147),クライアント抽出!A7:G7,0)+8,4),"1",""),
""))</f>
        <v/>
      </c>
      <c r="F147" s="187" t="str">
        <f ca="1">IF(D147&lt;&gt;"",
IF(COUNTIF(C147,"*雙葉*"),
IF(ROUND((H147-M147)
/IF(COUNTIF(D147,"*キャラ*"),
VLOOKUP("*キャラ*",商品マスタ!$D:$E,2,FALSE),
IF(COUNTIF(D147,"*赤*"),
VLOOKUP("*赤*",商品マスタ!$D:$E,2,FALSE),
VLOOKUP("*"&amp;D147&amp;"*",商品マスタ!$D:$E,2,FALSE))),0)&lt;=0,1,
ROUND((H147-M147)
/IF(COUNTIF(D147,"*キャラ*"),
VLOOKUP("*キャラ*",商品マスタ!$D:$E,2,FALSE),
IF(COUNTIF(D147,"*赤*"),
VLOOKUP("*赤*",商品マスタ!$D:$E,2,FALSE),
VLOOKUP("*"&amp;D147&amp;"*",商品マスタ!$D:$E,2,FALSE))),0)),
IF(OR(COUNTIF(D147,"*キャラ*"),COUNTIF(D147,"*赤*")),"",
IF(VLOOKUP("*"&amp;D147&amp;"*",商品マスタ!$D:$E,2,FALSE)=0,"",
IF(ROUND((H147-M147)
/VLOOKUP("*"&amp;D147&amp;"*",商品マスタ!$D:$E,2,FALSE),0)&lt;=0,1,
ROUND((H147-M147)
/VLOOKUP("*"&amp;D147&amp;"*",商品マスタ!$D:$E,2,FALSE),0))))),"")</f>
        <v/>
      </c>
      <c r="G147" s="106" t="str">
        <f ca="1">IF(F147&lt;&gt;"",
IF(VALUE(H147-M147)&gt;VALUE(IF(COUNTIF(D147,"*キャラ*"),
VLOOKUP("*キャラ*",商品マスタ!$D:$E,2,FALSE),
IF(COUNTIF(D147,"*赤*"),
VLOOKUP("*赤*",商品マスタ!$D:$E,2,FALSE),
VLOOKUP("*"&amp;D147&amp;"*",商品マスタ!$D:$E,2,FALSE)))*F147),
"+"&amp;(H147-M147)-IF(COUNTIF(D147,"*キャラ*"),
VLOOKUP("*キャラ*",商品マスタ!$D:$E,2,FALSE),
IF(COUNTIF(D147,"*赤*"),
VLOOKUP("*赤*",商品マスタ!$D:$E,2,FALSE),
VLOOKUP("*"&amp;D147&amp;"*",商品マスタ!$D:$E,2,FALSE)))*F147,
(H147-M147)-IF(COUNTIF(D147,"*キャラ*"),
VLOOKUP("*キャラ*",商品マスタ!$D:$E,2,FALSE),
IF(COUNTIF(D147,"*赤*"),
VLOOKUP("*赤*",商品マスタ!$D:$E,2,FALSE),
VLOOKUP("*"&amp;D147&amp;"*",商品マスタ!$D:$E,2,FALSE)))*F147),"")</f>
        <v/>
      </c>
      <c r="H147" s="108" t="str">
        <f>IF(C147&lt;&gt;"",
クライアント抽出!D7,"")</f>
        <v/>
      </c>
      <c r="I147" s="106" t="str">
        <f>IF(C147&lt;&gt;"",
IF(O147=1,0,クライアント抽出!F7),"")</f>
        <v/>
      </c>
      <c r="J147" s="106" t="str">
        <f>IF(C147&lt;&gt;"",
VLOOKUP(
"*"&amp;LEFT(IF(COUNTIF(D147,"*学食*"),"キャラ弁（学食）",
IF(COUNTIF(D147,"*赤*"),"赤",
IF(COUNTIF(D147,"*キャラ弁当*"),"キャラ弁当",D147))),4)&amp;"*",注文弁当の抽出!$F$1:$G$15,2,FALSE),"")</f>
        <v/>
      </c>
      <c r="K147" s="106" t="str">
        <f ca="1">IF(クライアント抽出!R7&lt;&gt;"",SUBSTITUTE(ADDRESS(1,(CODE(クライアント抽出!R7)-64)*2-1,4),"1",""),"")</f>
        <v/>
      </c>
      <c r="L147" s="106" t="str">
        <f>IF(C7&lt;&gt;"",クライアント抽出!I7,"")</f>
        <v/>
      </c>
      <c r="M147" s="106">
        <f t="array" aca="1" ref="M147" ca="1">IF(C147&lt;&gt;"",
IF(K147&lt;&gt;"",INDIRECT("'数出表_Excel（アレルギー入力）'!"&amp;K147&amp;L147-1&amp;""),),)</f>
        <v>0</v>
      </c>
      <c r="N147" s="106" t="str">
        <f>IF(C147&lt;&gt;"",IF(OR(COUNTIF('盛付札（関数）'!D147,"*赤*"),COUNTIF('盛付札（関数）'!D147,"*キャラ*")),1,
VALUE(VLOOKUP("*"&amp;D147&amp;"*",商品マスタ!D:H,5,FALSE))),"")</f>
        <v/>
      </c>
      <c r="O147" s="106">
        <f t="shared" ca="1" si="82"/>
        <v>0</v>
      </c>
      <c r="P147" s="106">
        <f t="shared" si="61"/>
        <v>0</v>
      </c>
      <c r="Q147" s="106" t="b">
        <f t="shared" si="62"/>
        <v>0</v>
      </c>
      <c r="R147" s="176" t="str">
        <f t="array" aca="1" ref="R147" ca="1">IFERROR(SMALL(IF(P$1:P$311&lt;&gt;0,P$1:P$311),ROW(A147)),"")</f>
        <v/>
      </c>
      <c r="S147" s="176" t="str">
        <f t="array" aca="1" ref="S147" ca="1">IF($R147&lt;&gt;"",
SUBSTITUTE(SUBSTITUTE(INDIRECT("C"&amp;$R147&amp;"")," 週3ｺｰｽ","")," 週5ｺｰｽ",""),"")</f>
        <v/>
      </c>
      <c r="T147" s="176" t="str">
        <f t="array" aca="1" ref="T147" ca="1">IF(IF($R147&lt;&gt;"",
INDIRECT(""&amp;IF(COLUMN(D147)&lt;=26,CHAR(COLUMN(D147)+64),CHAR(INT((COLUMN(D147)-1)/26)+64)&amp;CHAR(MOD(COLUMN(D147)-1,26)+65))&amp;$R147&amp;""),"")=0,"",
IF($R147&lt;&gt;"",
INDIRECT(""&amp;IF(COLUMN(D147)&lt;=26,CHAR(COLUMN(D147)+64),CHAR(INT((COLUMN(D147)-1)/26)+64)&amp;CHAR(MOD(COLUMN(D147)-1,26)+65))&amp;$R147&amp;""),""))</f>
        <v/>
      </c>
      <c r="U147" s="218" t="str">
        <f t="array" aca="1" ref="U147" ca="1">IF($R147&lt;&gt;"",
INDIRECT("F"&amp;$R147&amp;""),"")</f>
        <v/>
      </c>
      <c r="V147" s="219" t="str">
        <f t="array" aca="1" ref="V147" ca="1">IF($R147&lt;&gt;"",
INDIRECT("G"&amp;$R147&amp;""),"")</f>
        <v/>
      </c>
      <c r="W147" s="219" t="str" cm="1">
        <f t="array" aca="1" ref="W147" ca="1">IF($R147&lt;&gt;"",
IF(AND(COUNTIF(INDIRECT("B"&amp;R147&amp;""),"*雙葉*"),COUNTIF($B$71:$B$210,"*雙葉*")&gt;=1),
IF(OR(COUNTIF(INDIRECT("B"&amp;R147&amp;""),"*雙葉先生*"),COUNTIF(INDIRECT("B"&amp;R147-1&amp;""),"*雙葉*")),INDIRECT("H"&amp;R147&amp;""),INDIRECT("H"&amp;R147&amp;"")+INDIRECT("H"&amp;MATCH("雙葉'",INDIRECT("B"&amp;R147+3&amp;":B210"),0)+2+R147&amp;"")),
IF(AND(LEFT(INDIRECT("B"&amp;R147&amp;""),2)="博多",COUNTIF(B:B,"*博多*")&gt;=2),
INDIRECT("H"&amp;R147&amp;"")+IFERROR(INDIRECT("H"&amp;MATCH("*"&amp;INDIRECT("B"&amp;R147&amp;"")&amp;"*",INDIRECT("B"&amp;R147+1&amp;":B210"),0)+R147&amp;""),0),
IF(AND(LEFT(INDIRECT("B"&amp;R147&amp;""),3)="奈良屋",COUNTIF(B:B,"*奈良屋*")&gt;=2),
INDIRECT("H"&amp;R147&amp;"")
+INDIRECT("H"&amp;MATCH("*"&amp;INDIRECT("B"&amp;R147&amp;"")&amp;"*",INDIRECT("B"&amp;R147+1&amp;":B210"),0)+R147&amp;"")
+INDIRECT("H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
+INDIRECT("H"&amp;MATCH("*"&amp;INDIRECT("B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&amp;"*",INDIRECT("B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+1&amp;":B210"),0)+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,
INDIRECT("H"&amp;R147&amp;"")))),"")</f>
        <v/>
      </c>
      <c r="X147" s="176" t="str">
        <f t="array" aca="1" ref="X147" ca="1">IF($R147&lt;&gt;"",
INDIRECT(""&amp;IF(COLUMN(I147)&lt;=26,CHAR(COLUMN(I147)+64),CHAR(INT((COLUMN(I147)-1)/26)+64)&amp;CHAR(MOD(COLUMN(I147)-1,26)+65))&amp;$R147&amp;""),"")</f>
        <v/>
      </c>
      <c r="Y147" s="176" t="str">
        <f t="array" aca="1" ref="Y147" ca="1">IF($R147&lt;&gt;"",
INDIRECT(""&amp;IF(COLUMN(J147)&lt;=26,CHAR(COLUMN(J147)+64),CHAR(INT((COLUMN(J147)-1)/26)+64)&amp;CHAR(MOD(COLUMN(J147)-1,26)+65))&amp;$R147&amp;""),"")</f>
        <v/>
      </c>
      <c r="Z147" s="176" t="str">
        <f t="shared" ca="1" si="63"/>
        <v/>
      </c>
      <c r="AA147" s="176" t="str">
        <f t="shared" ca="1" si="64"/>
        <v/>
      </c>
      <c r="AB147" s="176" t="str">
        <f t="array" aca="1" ref="AB147" ca="1">IF($R147&lt;&gt;"",
IF(AND(COUNTIF(INDIRECT("B"&amp;R147&amp;""),"*雙葉*"),COUNTIF(INDIRECT("B"&amp;R147&amp;""),"&lt;&gt;*先生*"),COUNTIF(B:B,"*雙葉*")&gt;=2),
INDIRECT("M"&amp;R147&amp;"")+INDIRECT("M"&amp;MATCH("雙葉'",INDIRECT("B"&amp;R147+1&amp;":B210"),0)+R147&amp;""),
IF(AND(LEFT(INDIRECT("B"&amp;R147&amp;""),2)="博多",COUNTIF(B:B,"*博多*")&gt;=2),
INDIRECT("M"&amp;R147&amp;"")+INDIRECT("M"&amp;MATCH("*"&amp;INDIRECT("B"&amp;R147&amp;"")&amp;"*",INDIRECT("B"&amp;R147+1&amp;":B210"),0)+R147&amp;""),
IF(AND(LEFT(INDIRECT("B"&amp;R147&amp;""),3)="奈良屋",COUNTIF(B:B,"*奈良屋*")&gt;=2),
INDIRECT("M"&amp;R147&amp;"")+INDIRECT("M"&amp;MATCH("*"&amp;INDIRECT("B"&amp;R147&amp;"")&amp;"*",INDIRECT("B"&amp;R147+1&amp;":B210"),0)+R147&amp;"")
+INDIRECT("M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,
INDIRECT("M"&amp;R147&amp;"")))),"")</f>
        <v/>
      </c>
      <c r="AC147" s="176" t="str">
        <f t="shared" ca="1" si="65"/>
        <v/>
      </c>
      <c r="AD147" s="176" t="str">
        <f t="shared" ca="1" si="66"/>
        <v/>
      </c>
      <c r="AE147" s="176" t="str">
        <f t="shared" ca="1" si="67"/>
        <v/>
      </c>
      <c r="AF147" s="176" t="str">
        <f t="shared" ca="1" si="68"/>
        <v/>
      </c>
      <c r="AG147" s="176" t="str">
        <f t="shared" ca="1" si="69"/>
        <v/>
      </c>
      <c r="AH147" s="183" t="str">
        <f t="shared" ca="1" si="70"/>
        <v/>
      </c>
      <c r="AI147" s="176" t="str">
        <f t="shared" ca="1" si="71"/>
        <v/>
      </c>
      <c r="AJ147" s="176" t="str">
        <f t="shared" ca="1" si="72"/>
        <v/>
      </c>
      <c r="AK147" s="176" t="str">
        <f t="shared" ca="1" si="73"/>
        <v/>
      </c>
      <c r="AL147" s="176" t="str">
        <f t="shared" ca="1" si="74"/>
        <v/>
      </c>
      <c r="AM147" s="176" t="str">
        <f t="shared" ca="1" si="75"/>
        <v/>
      </c>
      <c r="AN147" s="176" t="str">
        <f t="shared" ca="1" si="76"/>
        <v/>
      </c>
      <c r="AO147" s="176" t="str">
        <f t="shared" ca="1" si="77"/>
        <v/>
      </c>
      <c r="AP147" s="176" t="str">
        <f t="shared" ca="1" si="78"/>
        <v/>
      </c>
      <c r="AU147" s="176" t="str">
        <f t="shared" ca="1" si="79"/>
        <v/>
      </c>
    </row>
    <row r="148" spans="1:47" ht="22.2" customHeight="1">
      <c r="A148" s="107">
        <f t="shared" si="83"/>
        <v>21</v>
      </c>
      <c r="B148" s="106" t="str">
        <f t="shared" ca="1" si="80"/>
        <v/>
      </c>
      <c r="C148" s="106" t="str">
        <f>IF(OR(クライアント抽出!D8&lt;&gt;"",クライアント抽出!G8&lt;&gt;""),クライアント抽出!A8,"")</f>
        <v/>
      </c>
      <c r="D148" s="106" t="str">
        <f t="array" aca="1" ref="D148" ca="1">IF(C148&lt;&gt;"",INDIRECT("クライアント抽出!"&amp;E148&amp;MATCH(C148,クライアント抽出!A:A,0)&amp;""),"")</f>
        <v/>
      </c>
      <c r="E148" s="106" t="str">
        <f>IF(H148&lt;&gt;0,
IFERROR(
SUBSTITUTE(ADDRESS(1,
MATCH(VALUE(H148),クライアント抽出!A8:G8,0)+8,4),"1",""),
""),
IFERROR(
SUBSTITUTE(ADDRESS(1,
MATCH(VALUE(I148),クライアント抽出!A8:G8,0)+8,4),"1",""),
""))</f>
        <v/>
      </c>
      <c r="F148" s="187" t="str">
        <f ca="1">IF(D148&lt;&gt;"",
IF(COUNTIF(C148,"*雙葉*"),
IF(ROUND((H148-M148)
/IF(COUNTIF(D148,"*キャラ*"),
VLOOKUP("*キャラ*",商品マスタ!$D:$E,2,FALSE),
IF(COUNTIF(D148,"*赤*"),
VLOOKUP("*赤*",商品マスタ!$D:$E,2,FALSE),
VLOOKUP("*"&amp;D148&amp;"*",商品マスタ!$D:$E,2,FALSE))),0)&lt;=0,1,
ROUND((H148-M148)
/IF(COUNTIF(D148,"*キャラ*"),
VLOOKUP("*キャラ*",商品マスタ!$D:$E,2,FALSE),
IF(COUNTIF(D148,"*赤*"),
VLOOKUP("*赤*",商品マスタ!$D:$E,2,FALSE),
VLOOKUP("*"&amp;D148&amp;"*",商品マスタ!$D:$E,2,FALSE))),0)),
IF(OR(COUNTIF(D148,"*キャラ*"),COUNTIF(D148,"*赤*")),"",
IF(VLOOKUP("*"&amp;D148&amp;"*",商品マスタ!$D:$E,2,FALSE)=0,"",
IF(ROUND((H148-M148)
/VLOOKUP("*"&amp;D148&amp;"*",商品マスタ!$D:$E,2,FALSE),0)&lt;=0,1,
ROUND((H148-M148)
/VLOOKUP("*"&amp;D148&amp;"*",商品マスタ!$D:$E,2,FALSE),0))))),"")</f>
        <v/>
      </c>
      <c r="G148" s="106" t="str">
        <f ca="1">IF(F148&lt;&gt;"",
IF(VALUE(H148-M148)&gt;VALUE(IF(COUNTIF(D148,"*キャラ*"),
VLOOKUP("*キャラ*",商品マスタ!$D:$E,2,FALSE),
IF(COUNTIF(D148,"*赤*"),
VLOOKUP("*赤*",商品マスタ!$D:$E,2,FALSE),
VLOOKUP("*"&amp;D148&amp;"*",商品マスタ!$D:$E,2,FALSE)))*F148),
"+"&amp;(H148-M148)-IF(COUNTIF(D148,"*キャラ*"),
VLOOKUP("*キャラ*",商品マスタ!$D:$E,2,FALSE),
IF(COUNTIF(D148,"*赤*"),
VLOOKUP("*赤*",商品マスタ!$D:$E,2,FALSE),
VLOOKUP("*"&amp;D148&amp;"*",商品マスタ!$D:$E,2,FALSE)))*F148,
(H148-M148)-IF(COUNTIF(D148,"*キャラ*"),
VLOOKUP("*キャラ*",商品マスタ!$D:$E,2,FALSE),
IF(COUNTIF(D148,"*赤*"),
VLOOKUP("*赤*",商品マスタ!$D:$E,2,FALSE),
VLOOKUP("*"&amp;D148&amp;"*",商品マスタ!$D:$E,2,FALSE)))*F148),"")</f>
        <v/>
      </c>
      <c r="H148" s="108" t="str">
        <f>IF(C148&lt;&gt;"",
クライアント抽出!D8,"")</f>
        <v/>
      </c>
      <c r="I148" s="106" t="str">
        <f>IF(C148&lt;&gt;"",
IF(O148=1,0,クライアント抽出!F8),"")</f>
        <v/>
      </c>
      <c r="J148" s="106" t="str">
        <f>IF(C148&lt;&gt;"",
VLOOKUP(
"*"&amp;LEFT(IF(COUNTIF(D148,"*学食*"),"キャラ弁（学食）",
IF(COUNTIF(D148,"*赤*"),"赤",
IF(COUNTIF(D148,"*キャラ弁当*"),"キャラ弁当",D148))),4)&amp;"*",注文弁当の抽出!$F$1:$G$15,2,FALSE),"")</f>
        <v/>
      </c>
      <c r="K148" s="106" t="str">
        <f ca="1">IF(クライアント抽出!R8&lt;&gt;"",SUBSTITUTE(ADDRESS(1,(CODE(クライアント抽出!R8)-64)*2-1,4),"1",""),"")</f>
        <v/>
      </c>
      <c r="L148" s="106" t="str">
        <f>IF(C8&lt;&gt;"",クライアント抽出!I8,"")</f>
        <v/>
      </c>
      <c r="M148" s="106">
        <f t="array" aca="1" ref="M148" ca="1">IF(C148&lt;&gt;"",
IF(K148&lt;&gt;"",INDIRECT("'数出表_Excel（アレルギー入力）'!"&amp;K148&amp;L148-1&amp;""),),)</f>
        <v>0</v>
      </c>
      <c r="N148" s="106" t="str">
        <f>IF(C148&lt;&gt;"",IF(OR(COUNTIF('盛付札（関数）'!D148,"*赤*"),COUNTIF('盛付札（関数）'!D148,"*キャラ*")),1,
VALUE(VLOOKUP("*"&amp;D148&amp;"*",商品マスタ!D:H,5,FALSE))),"")</f>
        <v/>
      </c>
      <c r="O148" s="106">
        <f t="shared" ca="1" si="82"/>
        <v>0</v>
      </c>
      <c r="P148" s="106">
        <f t="shared" si="61"/>
        <v>0</v>
      </c>
      <c r="Q148" s="106" t="b">
        <f t="shared" si="62"/>
        <v>0</v>
      </c>
      <c r="R148" s="176" t="str">
        <f t="array" aca="1" ref="R148" ca="1">IFERROR(SMALL(IF(P$1:P$311&lt;&gt;0,P$1:P$311),ROW(A148)),"")</f>
        <v/>
      </c>
      <c r="S148" s="176" t="str">
        <f t="array" aca="1" ref="S148" ca="1">IF($R148&lt;&gt;"",
SUBSTITUTE(SUBSTITUTE(INDIRECT("C"&amp;$R148&amp;"")," 週3ｺｰｽ","")," 週5ｺｰｽ",""),"")</f>
        <v/>
      </c>
      <c r="T148" s="176" t="str">
        <f t="array" aca="1" ref="T148" ca="1">IF(IF($R148&lt;&gt;"",
INDIRECT(""&amp;IF(COLUMN(D148)&lt;=26,CHAR(COLUMN(D148)+64),CHAR(INT((COLUMN(D148)-1)/26)+64)&amp;CHAR(MOD(COLUMN(D148)-1,26)+65))&amp;$R148&amp;""),"")=0,"",
IF($R148&lt;&gt;"",
INDIRECT(""&amp;IF(COLUMN(D148)&lt;=26,CHAR(COLUMN(D148)+64),CHAR(INT((COLUMN(D148)-1)/26)+64)&amp;CHAR(MOD(COLUMN(D148)-1,26)+65))&amp;$R148&amp;""),""))</f>
        <v/>
      </c>
      <c r="U148" s="218" t="str">
        <f t="array" aca="1" ref="U148" ca="1">IF($R148&lt;&gt;"",
INDIRECT("F"&amp;$R148&amp;""),"")</f>
        <v/>
      </c>
      <c r="V148" s="219" t="str">
        <f t="array" aca="1" ref="V148" ca="1">IF($R148&lt;&gt;"",
INDIRECT("G"&amp;$R148&amp;""),"")</f>
        <v/>
      </c>
      <c r="W148" s="219" t="str" cm="1">
        <f t="array" aca="1" ref="W148" ca="1">IF($R148&lt;&gt;"",
IF(AND(COUNTIF(INDIRECT("B"&amp;R148&amp;""),"*雙葉*"),COUNTIF($B$71:$B$210,"*雙葉*")&gt;=1),
IF(OR(COUNTIF(INDIRECT("B"&amp;R148&amp;""),"*雙葉先生*"),COUNTIF(INDIRECT("B"&amp;R148-1&amp;""),"*雙葉*")),INDIRECT("H"&amp;R148&amp;""),INDIRECT("H"&amp;R148&amp;"")+INDIRECT("H"&amp;MATCH("雙葉'",INDIRECT("B"&amp;R148+3&amp;":B210"),0)+2+R148&amp;"")),
IF(AND(LEFT(INDIRECT("B"&amp;R148&amp;""),2)="博多",COUNTIF(B:B,"*博多*")&gt;=2),
INDIRECT("H"&amp;R148&amp;"")+IFERROR(INDIRECT("H"&amp;MATCH("*"&amp;INDIRECT("B"&amp;R148&amp;"")&amp;"*",INDIRECT("B"&amp;R148+1&amp;":B210"),0)+R148&amp;""),0),
IF(AND(LEFT(INDIRECT("B"&amp;R148&amp;""),3)="奈良屋",COUNTIF(B:B,"*奈良屋*")&gt;=2),
INDIRECT("H"&amp;R148&amp;"")
+INDIRECT("H"&amp;MATCH("*"&amp;INDIRECT("B"&amp;R148&amp;"")&amp;"*",INDIRECT("B"&amp;R148+1&amp;":B210"),0)+R148&amp;"")
+INDIRECT("H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
+INDIRECT("H"&amp;MATCH("*"&amp;INDIRECT("B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&amp;"*",INDIRECT("B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+1&amp;":B210"),0)+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,
INDIRECT("H"&amp;R148&amp;"")))),"")</f>
        <v/>
      </c>
      <c r="X148" s="176" t="str">
        <f t="array" aca="1" ref="X148" ca="1">IF($R148&lt;&gt;"",
INDIRECT(""&amp;IF(COLUMN(I148)&lt;=26,CHAR(COLUMN(I148)+64),CHAR(INT((COLUMN(I148)-1)/26)+64)&amp;CHAR(MOD(COLUMN(I148)-1,26)+65))&amp;$R148&amp;""),"")</f>
        <v/>
      </c>
      <c r="Y148" s="176" t="str">
        <f t="array" aca="1" ref="Y148" ca="1">IF($R148&lt;&gt;"",
INDIRECT(""&amp;IF(COLUMN(J148)&lt;=26,CHAR(COLUMN(J148)+64),CHAR(INT((COLUMN(J148)-1)/26)+64)&amp;CHAR(MOD(COLUMN(J148)-1,26)+65))&amp;$R148&amp;""),"")</f>
        <v/>
      </c>
      <c r="Z148" s="176" t="str">
        <f t="shared" ca="1" si="63"/>
        <v/>
      </c>
      <c r="AA148" s="176" t="str">
        <f t="shared" ca="1" si="64"/>
        <v/>
      </c>
      <c r="AB148" s="176" t="str">
        <f t="array" aca="1" ref="AB148" ca="1">IF($R148&lt;&gt;"",
IF(AND(COUNTIF(INDIRECT("B"&amp;R148&amp;""),"*雙葉*"),COUNTIF(INDIRECT("B"&amp;R148&amp;""),"&lt;&gt;*先生*"),COUNTIF(B:B,"*雙葉*")&gt;=2),
INDIRECT("M"&amp;R148&amp;"")+INDIRECT("M"&amp;MATCH("雙葉'",INDIRECT("B"&amp;R148+1&amp;":B210"),0)+R148&amp;""),
IF(AND(LEFT(INDIRECT("B"&amp;R148&amp;""),2)="博多",COUNTIF(B:B,"*博多*")&gt;=2),
INDIRECT("M"&amp;R148&amp;"")+INDIRECT("M"&amp;MATCH("*"&amp;INDIRECT("B"&amp;R148&amp;"")&amp;"*",INDIRECT("B"&amp;R148+1&amp;":B210"),0)+R148&amp;""),
IF(AND(LEFT(INDIRECT("B"&amp;R148&amp;""),3)="奈良屋",COUNTIF(B:B,"*奈良屋*")&gt;=2),
INDIRECT("M"&amp;R148&amp;"")+INDIRECT("M"&amp;MATCH("*"&amp;INDIRECT("B"&amp;R148&amp;"")&amp;"*",INDIRECT("B"&amp;R148+1&amp;":B210"),0)+R148&amp;"")
+INDIRECT("M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,
INDIRECT("M"&amp;R148&amp;"")))),"")</f>
        <v/>
      </c>
      <c r="AC148" s="176" t="str">
        <f t="shared" ca="1" si="65"/>
        <v/>
      </c>
      <c r="AD148" s="176" t="str">
        <f t="shared" ca="1" si="66"/>
        <v/>
      </c>
      <c r="AE148" s="176" t="str">
        <f t="shared" ca="1" si="67"/>
        <v/>
      </c>
      <c r="AF148" s="176" t="str">
        <f t="shared" ca="1" si="68"/>
        <v/>
      </c>
      <c r="AG148" s="176" t="str">
        <f t="shared" ca="1" si="69"/>
        <v/>
      </c>
      <c r="AH148" s="183" t="str">
        <f t="shared" ca="1" si="70"/>
        <v/>
      </c>
      <c r="AI148" s="176" t="str">
        <f t="shared" ca="1" si="71"/>
        <v/>
      </c>
      <c r="AJ148" s="176" t="str">
        <f t="shared" ca="1" si="72"/>
        <v/>
      </c>
      <c r="AK148" s="176" t="str">
        <f t="shared" ca="1" si="73"/>
        <v/>
      </c>
      <c r="AL148" s="176" t="str">
        <f t="shared" ca="1" si="74"/>
        <v/>
      </c>
      <c r="AM148" s="176" t="str">
        <f t="shared" ca="1" si="75"/>
        <v/>
      </c>
      <c r="AN148" s="176" t="str">
        <f t="shared" ca="1" si="76"/>
        <v/>
      </c>
      <c r="AO148" s="176" t="str">
        <f t="shared" ca="1" si="77"/>
        <v/>
      </c>
      <c r="AP148" s="176" t="str">
        <f t="shared" ca="1" si="78"/>
        <v/>
      </c>
      <c r="AU148" s="176" t="str">
        <f t="shared" ca="1" si="79"/>
        <v/>
      </c>
    </row>
    <row r="149" spans="1:47" ht="22.2" customHeight="1">
      <c r="A149" s="107">
        <f t="shared" si="83"/>
        <v>23</v>
      </c>
      <c r="B149" s="106" t="str">
        <f t="shared" ca="1" si="80"/>
        <v/>
      </c>
      <c r="C149" s="106" t="str">
        <f>IF(OR(クライアント抽出!D9&lt;&gt;"",クライアント抽出!G9&lt;&gt;""),クライアント抽出!A9,"")</f>
        <v/>
      </c>
      <c r="D149" s="106" t="str">
        <f t="array" aca="1" ref="D149" ca="1">IF(C149&lt;&gt;"",INDIRECT("クライアント抽出!"&amp;E149&amp;MATCH(C149,クライアント抽出!A:A,0)&amp;""),"")</f>
        <v/>
      </c>
      <c r="E149" s="106" t="str">
        <f>IF(H149&lt;&gt;0,
IFERROR(
SUBSTITUTE(ADDRESS(1,
MATCH(VALUE(H149),クライアント抽出!A9:G9,0)+8,4),"1",""),
""),
IFERROR(
SUBSTITUTE(ADDRESS(1,
MATCH(VALUE(I149),クライアント抽出!A9:G9,0)+8,4),"1",""),
""))</f>
        <v/>
      </c>
      <c r="F149" s="187" t="str">
        <f ca="1">IF(D149&lt;&gt;"",
IF(COUNTIF(C149,"*雙葉*"),
IF(ROUND((H149-M149)
/IF(COUNTIF(D149,"*キャラ*"),
VLOOKUP("*キャラ*",商品マスタ!$D:$E,2,FALSE),
IF(COUNTIF(D149,"*赤*"),
VLOOKUP("*赤*",商品マスタ!$D:$E,2,FALSE),
VLOOKUP("*"&amp;D149&amp;"*",商品マスタ!$D:$E,2,FALSE))),0)&lt;=0,1,
ROUND((H149-M149)
/IF(COUNTIF(D149,"*キャラ*"),
VLOOKUP("*キャラ*",商品マスタ!$D:$E,2,FALSE),
IF(COUNTIF(D149,"*赤*"),
VLOOKUP("*赤*",商品マスタ!$D:$E,2,FALSE),
VLOOKUP("*"&amp;D149&amp;"*",商品マスタ!$D:$E,2,FALSE))),0)),
IF(OR(COUNTIF(D149,"*キャラ*"),COUNTIF(D149,"*赤*")),"",
IF(VLOOKUP("*"&amp;D149&amp;"*",商品マスタ!$D:$E,2,FALSE)=0,"",
IF(ROUND((H149-M149)
/VLOOKUP("*"&amp;D149&amp;"*",商品マスタ!$D:$E,2,FALSE),0)&lt;=0,1,
ROUND((H149-M149)
/VLOOKUP("*"&amp;D149&amp;"*",商品マスタ!$D:$E,2,FALSE),0))))),"")</f>
        <v/>
      </c>
      <c r="G149" s="106" t="str">
        <f ca="1">IF(F149&lt;&gt;"",
IF(VALUE(H149-M149)&gt;VALUE(IF(COUNTIF(D149,"*キャラ*"),
VLOOKUP("*キャラ*",商品マスタ!$D:$E,2,FALSE),
IF(COUNTIF(D149,"*赤*"),
VLOOKUP("*赤*",商品マスタ!$D:$E,2,FALSE),
VLOOKUP("*"&amp;D149&amp;"*",商品マスタ!$D:$E,2,FALSE)))*F149),
"+"&amp;(H149-M149)-IF(COUNTIF(D149,"*キャラ*"),
VLOOKUP("*キャラ*",商品マスタ!$D:$E,2,FALSE),
IF(COUNTIF(D149,"*赤*"),
VLOOKUP("*赤*",商品マスタ!$D:$E,2,FALSE),
VLOOKUP("*"&amp;D149&amp;"*",商品マスタ!$D:$E,2,FALSE)))*F149,
(H149-M149)-IF(COUNTIF(D149,"*キャラ*"),
VLOOKUP("*キャラ*",商品マスタ!$D:$E,2,FALSE),
IF(COUNTIF(D149,"*赤*"),
VLOOKUP("*赤*",商品マスタ!$D:$E,2,FALSE),
VLOOKUP("*"&amp;D149&amp;"*",商品マスタ!$D:$E,2,FALSE)))*F149),"")</f>
        <v/>
      </c>
      <c r="H149" s="108" t="str">
        <f>IF(C149&lt;&gt;"",
クライアント抽出!D9,"")</f>
        <v/>
      </c>
      <c r="I149" s="106" t="str">
        <f>IF(C149&lt;&gt;"",
IF(O149=1,0,クライアント抽出!F9),"")</f>
        <v/>
      </c>
      <c r="J149" s="106" t="str">
        <f>IF(C149&lt;&gt;"",
VLOOKUP(
"*"&amp;LEFT(IF(COUNTIF(D149,"*学食*"),"キャラ弁（学食）",
IF(COUNTIF(D149,"*赤*"),"赤",
IF(COUNTIF(D149,"*キャラ弁当*"),"キャラ弁当",D149))),4)&amp;"*",注文弁当の抽出!$F$1:$G$15,2,FALSE),"")</f>
        <v/>
      </c>
      <c r="K149" s="106" t="str">
        <f ca="1">IF(クライアント抽出!R9&lt;&gt;"",SUBSTITUTE(ADDRESS(1,(CODE(クライアント抽出!R9)-64)*2-1,4),"1",""),"")</f>
        <v/>
      </c>
      <c r="L149" s="106" t="str">
        <f>IF(C9&lt;&gt;"",クライアント抽出!I9,"")</f>
        <v/>
      </c>
      <c r="M149" s="106">
        <f t="array" aca="1" ref="M149" ca="1">IF(C149&lt;&gt;"",
IF(K149&lt;&gt;"",INDIRECT("'数出表_Excel（アレルギー入力）'!"&amp;K149&amp;L149-1&amp;""),),)</f>
        <v>0</v>
      </c>
      <c r="N149" s="106" t="str">
        <f>IF(C149&lt;&gt;"",IF(OR(COUNTIF('盛付札（関数）'!D149,"*赤*"),COUNTIF('盛付札（関数）'!D149,"*キャラ*")),1,
VALUE(VLOOKUP("*"&amp;D149&amp;"*",商品マスタ!D:H,5,FALSE))),"")</f>
        <v/>
      </c>
      <c r="O149" s="106">
        <f t="shared" ca="1" si="82"/>
        <v>0</v>
      </c>
      <c r="P149" s="106">
        <f t="shared" si="61"/>
        <v>0</v>
      </c>
      <c r="Q149" s="106" t="b">
        <f t="shared" si="62"/>
        <v>0</v>
      </c>
      <c r="R149" s="176" t="str">
        <f t="array" aca="1" ref="R149" ca="1">IFERROR(SMALL(IF(P$1:P$311&lt;&gt;0,P$1:P$311),ROW(A149)),"")</f>
        <v/>
      </c>
      <c r="S149" s="176" t="str">
        <f t="array" aca="1" ref="S149" ca="1">IF($R149&lt;&gt;"",
SUBSTITUTE(SUBSTITUTE(INDIRECT("C"&amp;$R149&amp;"")," 週3ｺｰｽ","")," 週5ｺｰｽ",""),"")</f>
        <v/>
      </c>
      <c r="T149" s="176" t="str">
        <f t="array" aca="1" ref="T149" ca="1">IF(IF($R149&lt;&gt;"",
INDIRECT(""&amp;IF(COLUMN(D149)&lt;=26,CHAR(COLUMN(D149)+64),CHAR(INT((COLUMN(D149)-1)/26)+64)&amp;CHAR(MOD(COLUMN(D149)-1,26)+65))&amp;$R149&amp;""),"")=0,"",
IF($R149&lt;&gt;"",
INDIRECT(""&amp;IF(COLUMN(D149)&lt;=26,CHAR(COLUMN(D149)+64),CHAR(INT((COLUMN(D149)-1)/26)+64)&amp;CHAR(MOD(COLUMN(D149)-1,26)+65))&amp;$R149&amp;""),""))</f>
        <v/>
      </c>
      <c r="U149" s="218" t="str">
        <f t="array" aca="1" ref="U149" ca="1">IF($R149&lt;&gt;"",
INDIRECT("F"&amp;$R149&amp;""),"")</f>
        <v/>
      </c>
      <c r="V149" s="219" t="str">
        <f t="array" aca="1" ref="V149" ca="1">IF($R149&lt;&gt;"",
INDIRECT("G"&amp;$R149&amp;""),"")</f>
        <v/>
      </c>
      <c r="W149" s="219" t="str" cm="1">
        <f t="array" aca="1" ref="W149" ca="1">IF($R149&lt;&gt;"",
IF(AND(COUNTIF(INDIRECT("B"&amp;R149&amp;""),"*雙葉*"),COUNTIF($B$71:$B$210,"*雙葉*")&gt;=1),
IF(OR(COUNTIF(INDIRECT("B"&amp;R149&amp;""),"*雙葉先生*"),COUNTIF(INDIRECT("B"&amp;R149-1&amp;""),"*雙葉*")),INDIRECT("H"&amp;R149&amp;""),INDIRECT("H"&amp;R149&amp;"")+INDIRECT("H"&amp;MATCH("雙葉'",INDIRECT("B"&amp;R149+3&amp;":B210"),0)+2+R149&amp;"")),
IF(AND(LEFT(INDIRECT("B"&amp;R149&amp;""),2)="博多",COUNTIF(B:B,"*博多*")&gt;=2),
INDIRECT("H"&amp;R149&amp;"")+IFERROR(INDIRECT("H"&amp;MATCH("*"&amp;INDIRECT("B"&amp;R149&amp;"")&amp;"*",INDIRECT("B"&amp;R149+1&amp;":B210"),0)+R149&amp;""),0),
IF(AND(LEFT(INDIRECT("B"&amp;R149&amp;""),3)="奈良屋",COUNTIF(B:B,"*奈良屋*")&gt;=2),
INDIRECT("H"&amp;R149&amp;"")
+INDIRECT("H"&amp;MATCH("*"&amp;INDIRECT("B"&amp;R149&amp;"")&amp;"*",INDIRECT("B"&amp;R149+1&amp;":B210"),0)+R149&amp;"")
+INDIRECT("H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
+INDIRECT("H"&amp;MATCH("*"&amp;INDIRECT("B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&amp;"*",INDIRECT("B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+1&amp;":B210"),0)+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,
INDIRECT("H"&amp;R149&amp;"")))),"")</f>
        <v/>
      </c>
      <c r="X149" s="176" t="str">
        <f t="array" aca="1" ref="X149" ca="1">IF($R149&lt;&gt;"",
INDIRECT(""&amp;IF(COLUMN(I149)&lt;=26,CHAR(COLUMN(I149)+64),CHAR(INT((COLUMN(I149)-1)/26)+64)&amp;CHAR(MOD(COLUMN(I149)-1,26)+65))&amp;$R149&amp;""),"")</f>
        <v/>
      </c>
      <c r="Y149" s="176" t="str">
        <f t="array" aca="1" ref="Y149" ca="1">IF($R149&lt;&gt;"",
INDIRECT(""&amp;IF(COLUMN(J149)&lt;=26,CHAR(COLUMN(J149)+64),CHAR(INT((COLUMN(J149)-1)/26)+64)&amp;CHAR(MOD(COLUMN(J149)-1,26)+65))&amp;$R149&amp;""),"")</f>
        <v/>
      </c>
      <c r="Z149" s="176" t="str">
        <f t="shared" ca="1" si="63"/>
        <v/>
      </c>
      <c r="AA149" s="176" t="str">
        <f t="shared" ca="1" si="64"/>
        <v/>
      </c>
      <c r="AB149" s="176" t="str">
        <f t="array" aca="1" ref="AB149" ca="1">IF($R149&lt;&gt;"",
IF(AND(COUNTIF(INDIRECT("B"&amp;R149&amp;""),"*雙葉*"),COUNTIF(INDIRECT("B"&amp;R149&amp;""),"&lt;&gt;*先生*"),COUNTIF(B:B,"*雙葉*")&gt;=2),
INDIRECT("M"&amp;R149&amp;"")+INDIRECT("M"&amp;MATCH("雙葉'",INDIRECT("B"&amp;R149+1&amp;":B210"),0)+R149&amp;""),
IF(AND(LEFT(INDIRECT("B"&amp;R149&amp;""),2)="博多",COUNTIF(B:B,"*博多*")&gt;=2),
INDIRECT("M"&amp;R149&amp;"")+INDIRECT("M"&amp;MATCH("*"&amp;INDIRECT("B"&amp;R149&amp;"")&amp;"*",INDIRECT("B"&amp;R149+1&amp;":B210"),0)+R149&amp;""),
IF(AND(LEFT(INDIRECT("B"&amp;R149&amp;""),3)="奈良屋",COUNTIF(B:B,"*奈良屋*")&gt;=2),
INDIRECT("M"&amp;R149&amp;"")+INDIRECT("M"&amp;MATCH("*"&amp;INDIRECT("B"&amp;R149&amp;"")&amp;"*",INDIRECT("B"&amp;R149+1&amp;":B210"),0)+R149&amp;"")
+INDIRECT("M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,
INDIRECT("M"&amp;R149&amp;"")))),"")</f>
        <v/>
      </c>
      <c r="AC149" s="176" t="str">
        <f t="shared" ca="1" si="65"/>
        <v/>
      </c>
      <c r="AD149" s="176" t="str">
        <f t="shared" ca="1" si="66"/>
        <v/>
      </c>
      <c r="AE149" s="176" t="str">
        <f t="shared" ca="1" si="67"/>
        <v/>
      </c>
      <c r="AF149" s="176" t="str">
        <f t="shared" ca="1" si="68"/>
        <v/>
      </c>
      <c r="AG149" s="176" t="str">
        <f t="shared" ca="1" si="69"/>
        <v/>
      </c>
      <c r="AH149" s="183" t="str">
        <f t="shared" ca="1" si="70"/>
        <v/>
      </c>
      <c r="AI149" s="176" t="str">
        <f t="shared" ca="1" si="71"/>
        <v/>
      </c>
      <c r="AJ149" s="176" t="str">
        <f t="shared" ca="1" si="72"/>
        <v/>
      </c>
      <c r="AK149" s="176" t="str">
        <f t="shared" ca="1" si="73"/>
        <v/>
      </c>
      <c r="AL149" s="176" t="str">
        <f t="shared" ca="1" si="74"/>
        <v/>
      </c>
      <c r="AM149" s="176" t="str">
        <f t="shared" ca="1" si="75"/>
        <v/>
      </c>
      <c r="AN149" s="176" t="str">
        <f t="shared" ca="1" si="76"/>
        <v/>
      </c>
      <c r="AO149" s="176" t="str">
        <f t="shared" ca="1" si="77"/>
        <v/>
      </c>
      <c r="AP149" s="176" t="str">
        <f t="shared" ca="1" si="78"/>
        <v/>
      </c>
      <c r="AU149" s="176" t="str">
        <f t="shared" ca="1" si="79"/>
        <v/>
      </c>
    </row>
    <row r="150" spans="1:47" ht="22.2" customHeight="1">
      <c r="A150" s="107">
        <f t="shared" si="83"/>
        <v>25</v>
      </c>
      <c r="B150" s="106" t="str">
        <f t="shared" ca="1" si="80"/>
        <v/>
      </c>
      <c r="C150" s="106" t="str">
        <f>IF(OR(クライアント抽出!D10&lt;&gt;"",クライアント抽出!G10&lt;&gt;""),クライアント抽出!A10,"")</f>
        <v/>
      </c>
      <c r="D150" s="106" t="str">
        <f t="array" aca="1" ref="D150" ca="1">IF(C150&lt;&gt;"",INDIRECT("クライアント抽出!"&amp;E150&amp;MATCH(C150,クライアント抽出!A:A,0)&amp;""),"")</f>
        <v/>
      </c>
      <c r="E150" s="106" t="str">
        <f>IF(H150&lt;&gt;0,
IFERROR(
SUBSTITUTE(ADDRESS(1,
MATCH(VALUE(H150),クライアント抽出!A10:G10,0)+8,4),"1",""),
""),
IFERROR(
SUBSTITUTE(ADDRESS(1,
MATCH(VALUE(I150),クライアント抽出!A10:G10,0)+8,4),"1",""),
""))</f>
        <v/>
      </c>
      <c r="F150" s="187" t="str">
        <f ca="1">IF(D150&lt;&gt;"",
IF(COUNTIF(C150,"*雙葉*"),
IF(ROUND((H150-M150)
/IF(COUNTIF(D150,"*キャラ*"),
VLOOKUP("*キャラ*",商品マスタ!$D:$E,2,FALSE),
IF(COUNTIF(D150,"*赤*"),
VLOOKUP("*赤*",商品マスタ!$D:$E,2,FALSE),
VLOOKUP("*"&amp;D150&amp;"*",商品マスタ!$D:$E,2,FALSE))),0)&lt;=0,1,
ROUND((H150-M150)
/IF(COUNTIF(D150,"*キャラ*"),
VLOOKUP("*キャラ*",商品マスタ!$D:$E,2,FALSE),
IF(COUNTIF(D150,"*赤*"),
VLOOKUP("*赤*",商品マスタ!$D:$E,2,FALSE),
VLOOKUP("*"&amp;D150&amp;"*",商品マスタ!$D:$E,2,FALSE))),0)),
IF(OR(COUNTIF(D150,"*キャラ*"),COUNTIF(D150,"*赤*")),"",
IF(VLOOKUP("*"&amp;D150&amp;"*",商品マスタ!$D:$E,2,FALSE)=0,"",
IF(ROUND((H150-M150)
/VLOOKUP("*"&amp;D150&amp;"*",商品マスタ!$D:$E,2,FALSE),0)&lt;=0,1,
ROUND((H150-M150)
/VLOOKUP("*"&amp;D150&amp;"*",商品マスタ!$D:$E,2,FALSE),0))))),"")</f>
        <v/>
      </c>
      <c r="G150" s="106" t="str">
        <f ca="1">IF(F150&lt;&gt;"",
IF(VALUE(H150-M150)&gt;VALUE(IF(COUNTIF(D150,"*キャラ*"),
VLOOKUP("*キャラ*",商品マスタ!$D:$E,2,FALSE),
IF(COUNTIF(D150,"*赤*"),
VLOOKUP("*赤*",商品マスタ!$D:$E,2,FALSE),
VLOOKUP("*"&amp;D150&amp;"*",商品マスタ!$D:$E,2,FALSE)))*F150),
"+"&amp;(H150-M150)-IF(COUNTIF(D150,"*キャラ*"),
VLOOKUP("*キャラ*",商品マスタ!$D:$E,2,FALSE),
IF(COUNTIF(D150,"*赤*"),
VLOOKUP("*赤*",商品マスタ!$D:$E,2,FALSE),
VLOOKUP("*"&amp;D150&amp;"*",商品マスタ!$D:$E,2,FALSE)))*F150,
(H150-M150)-IF(COUNTIF(D150,"*キャラ*"),
VLOOKUP("*キャラ*",商品マスタ!$D:$E,2,FALSE),
IF(COUNTIF(D150,"*赤*"),
VLOOKUP("*赤*",商品マスタ!$D:$E,2,FALSE),
VLOOKUP("*"&amp;D150&amp;"*",商品マスタ!$D:$E,2,FALSE)))*F150),"")</f>
        <v/>
      </c>
      <c r="H150" s="108" t="str">
        <f>IF(C150&lt;&gt;"",
クライアント抽出!D10,"")</f>
        <v/>
      </c>
      <c r="I150" s="106" t="str">
        <f>IF(C150&lt;&gt;"",
IF(O150=1,0,クライアント抽出!F10),"")</f>
        <v/>
      </c>
      <c r="J150" s="106" t="str">
        <f>IF(C150&lt;&gt;"",
VLOOKUP(
"*"&amp;LEFT(IF(COUNTIF(D150,"*学食*"),"キャラ弁（学食）",
IF(COUNTIF(D150,"*赤*"),"赤",
IF(COUNTIF(D150,"*キャラ弁当*"),"キャラ弁当",D150))),4)&amp;"*",注文弁当の抽出!$F$1:$G$15,2,FALSE),"")</f>
        <v/>
      </c>
      <c r="K150" s="106" t="str">
        <f ca="1">IF(クライアント抽出!R10&lt;&gt;"",SUBSTITUTE(ADDRESS(1,(CODE(クライアント抽出!R10)-64)*2-1,4),"1",""),"")</f>
        <v/>
      </c>
      <c r="L150" s="106" t="str">
        <f>IF(C10&lt;&gt;"",クライアント抽出!I10,"")</f>
        <v/>
      </c>
      <c r="M150" s="106">
        <f t="array" aca="1" ref="M150" ca="1">IF(C150&lt;&gt;"",
IF(K150&lt;&gt;"",INDIRECT("'数出表_Excel（アレルギー入力）'!"&amp;K150&amp;L150-1&amp;""),),)</f>
        <v>0</v>
      </c>
      <c r="N150" s="106" t="str">
        <f>IF(C150&lt;&gt;"",IF(OR(COUNTIF('盛付札（関数）'!D150,"*赤*"),COUNTIF('盛付札（関数）'!D150,"*キャラ*")),1,
VALUE(VLOOKUP("*"&amp;D150&amp;"*",商品マスタ!D:H,5,FALSE))),"")</f>
        <v/>
      </c>
      <c r="O150" s="106">
        <f t="shared" ca="1" si="82"/>
        <v>0</v>
      </c>
      <c r="P150" s="106">
        <f t="shared" si="61"/>
        <v>0</v>
      </c>
      <c r="Q150" s="106" t="b">
        <f t="shared" si="62"/>
        <v>0</v>
      </c>
      <c r="R150" s="176" t="str">
        <f t="array" aca="1" ref="R150" ca="1">IFERROR(SMALL(IF(P$1:P$311&lt;&gt;0,P$1:P$311),ROW(A150)),"")</f>
        <v/>
      </c>
      <c r="S150" s="176" t="str">
        <f t="array" aca="1" ref="S150" ca="1">IF($R150&lt;&gt;"",
SUBSTITUTE(SUBSTITUTE(INDIRECT("C"&amp;$R150&amp;"")," 週3ｺｰｽ","")," 週5ｺｰｽ",""),"")</f>
        <v/>
      </c>
      <c r="T150" s="176" t="str">
        <f t="array" aca="1" ref="T150" ca="1">IF(IF($R150&lt;&gt;"",
INDIRECT(""&amp;IF(COLUMN(D150)&lt;=26,CHAR(COLUMN(D150)+64),CHAR(INT((COLUMN(D150)-1)/26)+64)&amp;CHAR(MOD(COLUMN(D150)-1,26)+65))&amp;$R150&amp;""),"")=0,"",
IF($R150&lt;&gt;"",
INDIRECT(""&amp;IF(COLUMN(D150)&lt;=26,CHAR(COLUMN(D150)+64),CHAR(INT((COLUMN(D150)-1)/26)+64)&amp;CHAR(MOD(COLUMN(D150)-1,26)+65))&amp;$R150&amp;""),""))</f>
        <v/>
      </c>
      <c r="U150" s="218" t="str">
        <f t="array" aca="1" ref="U150" ca="1">IF($R150&lt;&gt;"",
INDIRECT("F"&amp;$R150&amp;""),"")</f>
        <v/>
      </c>
      <c r="V150" s="219" t="str">
        <f t="array" aca="1" ref="V150" ca="1">IF($R150&lt;&gt;"",
INDIRECT("G"&amp;$R150&amp;""),"")</f>
        <v/>
      </c>
      <c r="W150" s="219" t="str" cm="1">
        <f t="array" aca="1" ref="W150" ca="1">IF($R150&lt;&gt;"",
IF(AND(COUNTIF(INDIRECT("B"&amp;R150&amp;""),"*雙葉*"),COUNTIF($B$71:$B$210,"*雙葉*")&gt;=1),
IF(OR(COUNTIF(INDIRECT("B"&amp;R150&amp;""),"*雙葉先生*"),COUNTIF(INDIRECT("B"&amp;R150-1&amp;""),"*雙葉*")),INDIRECT("H"&amp;R150&amp;""),INDIRECT("H"&amp;R150&amp;"")+INDIRECT("H"&amp;MATCH("雙葉'",INDIRECT("B"&amp;R150+3&amp;":B210"),0)+2+R150&amp;"")),
IF(AND(LEFT(INDIRECT("B"&amp;R150&amp;""),2)="博多",COUNTIF(B:B,"*博多*")&gt;=2),
INDIRECT("H"&amp;R150&amp;"")+IFERROR(INDIRECT("H"&amp;MATCH("*"&amp;INDIRECT("B"&amp;R150&amp;"")&amp;"*",INDIRECT("B"&amp;R150+1&amp;":B210"),0)+R150&amp;""),0),
IF(AND(LEFT(INDIRECT("B"&amp;R150&amp;""),3)="奈良屋",COUNTIF(B:B,"*奈良屋*")&gt;=2),
INDIRECT("H"&amp;R150&amp;"")
+INDIRECT("H"&amp;MATCH("*"&amp;INDIRECT("B"&amp;R150&amp;"")&amp;"*",INDIRECT("B"&amp;R150+1&amp;":B210"),0)+R150&amp;"")
+INDIRECT("H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
+INDIRECT("H"&amp;MATCH("*"&amp;INDIRECT("B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&amp;"*",INDIRECT("B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+1&amp;":B210"),0)+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,
INDIRECT("H"&amp;R150&amp;"")))),"")</f>
        <v/>
      </c>
      <c r="X150" s="176" t="str">
        <f t="array" aca="1" ref="X150" ca="1">IF($R150&lt;&gt;"",
INDIRECT(""&amp;IF(COLUMN(I150)&lt;=26,CHAR(COLUMN(I150)+64),CHAR(INT((COLUMN(I150)-1)/26)+64)&amp;CHAR(MOD(COLUMN(I150)-1,26)+65))&amp;$R150&amp;""),"")</f>
        <v/>
      </c>
      <c r="Y150" s="176" t="str">
        <f t="array" aca="1" ref="Y150" ca="1">IF($R150&lt;&gt;"",
INDIRECT(""&amp;IF(COLUMN(J150)&lt;=26,CHAR(COLUMN(J150)+64),CHAR(INT((COLUMN(J150)-1)/26)+64)&amp;CHAR(MOD(COLUMN(J150)-1,26)+65))&amp;$R150&amp;""),"")</f>
        <v/>
      </c>
      <c r="Z150" s="176" t="str">
        <f t="shared" ca="1" si="63"/>
        <v/>
      </c>
      <c r="AA150" s="176" t="str">
        <f t="shared" ca="1" si="64"/>
        <v/>
      </c>
      <c r="AB150" s="176" t="str">
        <f t="array" aca="1" ref="AB150" ca="1">IF($R150&lt;&gt;"",
IF(AND(COUNTIF(INDIRECT("B"&amp;R150&amp;""),"*雙葉*"),COUNTIF(INDIRECT("B"&amp;R150&amp;""),"&lt;&gt;*先生*"),COUNTIF(B:B,"*雙葉*")&gt;=2),
INDIRECT("M"&amp;R150&amp;"")+INDIRECT("M"&amp;MATCH("雙葉'",INDIRECT("B"&amp;R150+1&amp;":B210"),0)+R150&amp;""),
IF(AND(LEFT(INDIRECT("B"&amp;R150&amp;""),2)="博多",COUNTIF(B:B,"*博多*")&gt;=2),
INDIRECT("M"&amp;R150&amp;"")+INDIRECT("M"&amp;MATCH("*"&amp;INDIRECT("B"&amp;R150&amp;"")&amp;"*",INDIRECT("B"&amp;R150+1&amp;":B210"),0)+R150&amp;""),
IF(AND(LEFT(INDIRECT("B"&amp;R150&amp;""),3)="奈良屋",COUNTIF(B:B,"*奈良屋*")&gt;=2),
INDIRECT("M"&amp;R150&amp;"")+INDIRECT("M"&amp;MATCH("*"&amp;INDIRECT("B"&amp;R150&amp;"")&amp;"*",INDIRECT("B"&amp;R150+1&amp;":B210"),0)+R150&amp;"")
+INDIRECT("M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,
INDIRECT("M"&amp;R150&amp;"")))),"")</f>
        <v/>
      </c>
      <c r="AC150" s="176" t="str">
        <f t="shared" ca="1" si="65"/>
        <v/>
      </c>
      <c r="AD150" s="176" t="str">
        <f t="shared" ca="1" si="66"/>
        <v/>
      </c>
      <c r="AE150" s="176" t="str">
        <f t="shared" ca="1" si="67"/>
        <v/>
      </c>
      <c r="AF150" s="176" t="str">
        <f t="shared" ca="1" si="68"/>
        <v/>
      </c>
      <c r="AG150" s="176" t="str">
        <f t="shared" ca="1" si="69"/>
        <v/>
      </c>
      <c r="AH150" s="183" t="str">
        <f t="shared" ca="1" si="70"/>
        <v/>
      </c>
      <c r="AI150" s="176" t="str">
        <f t="shared" ca="1" si="71"/>
        <v/>
      </c>
      <c r="AJ150" s="176" t="str">
        <f t="shared" ca="1" si="72"/>
        <v/>
      </c>
      <c r="AK150" s="176" t="str">
        <f t="shared" ca="1" si="73"/>
        <v/>
      </c>
      <c r="AL150" s="176" t="str">
        <f t="shared" ca="1" si="74"/>
        <v/>
      </c>
      <c r="AM150" s="176" t="str">
        <f t="shared" ca="1" si="75"/>
        <v/>
      </c>
      <c r="AN150" s="176" t="str">
        <f t="shared" ca="1" si="76"/>
        <v/>
      </c>
      <c r="AO150" s="176" t="str">
        <f t="shared" ca="1" si="77"/>
        <v/>
      </c>
      <c r="AP150" s="176" t="str">
        <f t="shared" ca="1" si="78"/>
        <v/>
      </c>
      <c r="AU150" s="176" t="str">
        <f t="shared" ca="1" si="79"/>
        <v/>
      </c>
    </row>
    <row r="151" spans="1:47" ht="22.2" customHeight="1">
      <c r="A151" s="107">
        <f t="shared" si="83"/>
        <v>27</v>
      </c>
      <c r="B151" s="106" t="str">
        <f t="shared" ca="1" si="80"/>
        <v/>
      </c>
      <c r="C151" s="106" t="str">
        <f>IF(OR(クライアント抽出!D11&lt;&gt;"",クライアント抽出!G11&lt;&gt;""),クライアント抽出!A11,"")</f>
        <v/>
      </c>
      <c r="D151" s="106" t="str">
        <f t="array" aca="1" ref="D151" ca="1">IF(C151&lt;&gt;"",INDIRECT("クライアント抽出!"&amp;E151&amp;MATCH(C151,クライアント抽出!A:A,0)&amp;""),"")</f>
        <v/>
      </c>
      <c r="E151" s="106" t="str">
        <f>IF(H151&lt;&gt;0,
IFERROR(
SUBSTITUTE(ADDRESS(1,
MATCH(VALUE(H151),クライアント抽出!A11:G11,0)+8,4),"1",""),
""),
IFERROR(
SUBSTITUTE(ADDRESS(1,
MATCH(VALUE(I151),クライアント抽出!A11:G11,0)+8,4),"1",""),
""))</f>
        <v/>
      </c>
      <c r="F151" s="187" t="str">
        <f ca="1">IF(D151&lt;&gt;"",
IF(COUNTIF(C151,"*雙葉*"),
IF(ROUND((H151-M151)
/IF(COUNTIF(D151,"*キャラ*"),
VLOOKUP("*キャラ*",商品マスタ!$D:$E,2,FALSE),
IF(COUNTIF(D151,"*赤*"),
VLOOKUP("*赤*",商品マスタ!$D:$E,2,FALSE),
VLOOKUP("*"&amp;D151&amp;"*",商品マスタ!$D:$E,2,FALSE))),0)&lt;=0,1,
ROUND((H151-M151)
/IF(COUNTIF(D151,"*キャラ*"),
VLOOKUP("*キャラ*",商品マスタ!$D:$E,2,FALSE),
IF(COUNTIF(D151,"*赤*"),
VLOOKUP("*赤*",商品マスタ!$D:$E,2,FALSE),
VLOOKUP("*"&amp;D151&amp;"*",商品マスタ!$D:$E,2,FALSE))),0)),
IF(OR(COUNTIF(D151,"*キャラ*"),COUNTIF(D151,"*赤*")),"",
IF(VLOOKUP("*"&amp;D151&amp;"*",商品マスタ!$D:$E,2,FALSE)=0,"",
IF(ROUND((H151-M151)
/VLOOKUP("*"&amp;D151&amp;"*",商品マスタ!$D:$E,2,FALSE),0)&lt;=0,1,
ROUND((H151-M151)
/VLOOKUP("*"&amp;D151&amp;"*",商品マスタ!$D:$E,2,FALSE),0))))),"")</f>
        <v/>
      </c>
      <c r="G151" s="106" t="str">
        <f ca="1">IF(F151&lt;&gt;"",
IF(VALUE(H151-M151)&gt;VALUE(IF(COUNTIF(D151,"*キャラ*"),
VLOOKUP("*キャラ*",商品マスタ!$D:$E,2,FALSE),
IF(COUNTIF(D151,"*赤*"),
VLOOKUP("*赤*",商品マスタ!$D:$E,2,FALSE),
VLOOKUP("*"&amp;D151&amp;"*",商品マスタ!$D:$E,2,FALSE)))*F151),
"+"&amp;(H151-M151)-IF(COUNTIF(D151,"*キャラ*"),
VLOOKUP("*キャラ*",商品マスタ!$D:$E,2,FALSE),
IF(COUNTIF(D151,"*赤*"),
VLOOKUP("*赤*",商品マスタ!$D:$E,2,FALSE),
VLOOKUP("*"&amp;D151&amp;"*",商品マスタ!$D:$E,2,FALSE)))*F151,
(H151-M151)-IF(COUNTIF(D151,"*キャラ*"),
VLOOKUP("*キャラ*",商品マスタ!$D:$E,2,FALSE),
IF(COUNTIF(D151,"*赤*"),
VLOOKUP("*赤*",商品マスタ!$D:$E,2,FALSE),
VLOOKUP("*"&amp;D151&amp;"*",商品マスタ!$D:$E,2,FALSE)))*F151),"")</f>
        <v/>
      </c>
      <c r="H151" s="108" t="str">
        <f>IF(C151&lt;&gt;"",
クライアント抽出!D11,"")</f>
        <v/>
      </c>
      <c r="I151" s="106" t="str">
        <f>IF(C151&lt;&gt;"",
IF(O151=1,0,クライアント抽出!F11),"")</f>
        <v/>
      </c>
      <c r="J151" s="106" t="str">
        <f>IF(C151&lt;&gt;"",
VLOOKUP(
"*"&amp;LEFT(IF(COUNTIF(D151,"*学食*"),"キャラ弁（学食）",
IF(COUNTIF(D151,"*赤*"),"赤",
IF(COUNTIF(D151,"*キャラ弁当*"),"キャラ弁当",D151))),4)&amp;"*",注文弁当の抽出!$F$1:$G$15,2,FALSE),"")</f>
        <v/>
      </c>
      <c r="K151" s="106" t="str">
        <f ca="1">IF(クライアント抽出!R11&lt;&gt;"",SUBSTITUTE(ADDRESS(1,(CODE(クライアント抽出!R11)-64)*2-1,4),"1",""),"")</f>
        <v/>
      </c>
      <c r="L151" s="106" t="str">
        <f>IF(C11&lt;&gt;"",クライアント抽出!I11,"")</f>
        <v/>
      </c>
      <c r="M151" s="106">
        <f t="array" aca="1" ref="M151" ca="1">IF(C151&lt;&gt;"",
IF(K151&lt;&gt;"",INDIRECT("'数出表_Excel（アレルギー入力）'!"&amp;K151&amp;L151-1&amp;""),),)</f>
        <v>0</v>
      </c>
      <c r="N151" s="106" t="str">
        <f>IF(C151&lt;&gt;"",IF(OR(COUNTIF('盛付札（関数）'!D151,"*赤*"),COUNTIF('盛付札（関数）'!D151,"*キャラ*")),1,
VALUE(VLOOKUP("*"&amp;D151&amp;"*",商品マスタ!D:H,5,FALSE))),"")</f>
        <v/>
      </c>
      <c r="O151" s="106">
        <f t="shared" ca="1" si="82"/>
        <v>0</v>
      </c>
      <c r="P151" s="106">
        <f t="shared" si="61"/>
        <v>0</v>
      </c>
      <c r="Q151" s="106" t="b">
        <f t="shared" si="62"/>
        <v>0</v>
      </c>
      <c r="R151" s="176" t="str">
        <f t="array" aca="1" ref="R151" ca="1">IFERROR(SMALL(IF(P$1:P$311&lt;&gt;0,P$1:P$311),ROW(A151)),"")</f>
        <v/>
      </c>
      <c r="S151" s="176" t="str">
        <f t="array" aca="1" ref="S151" ca="1">IF($R151&lt;&gt;"",
SUBSTITUTE(SUBSTITUTE(INDIRECT("C"&amp;$R151&amp;"")," 週3ｺｰｽ","")," 週5ｺｰｽ",""),"")</f>
        <v/>
      </c>
      <c r="T151" s="176" t="str">
        <f t="array" aca="1" ref="T151" ca="1">IF(IF($R151&lt;&gt;"",
INDIRECT(""&amp;IF(COLUMN(D151)&lt;=26,CHAR(COLUMN(D151)+64),CHAR(INT((COLUMN(D151)-1)/26)+64)&amp;CHAR(MOD(COLUMN(D151)-1,26)+65))&amp;$R151&amp;""),"")=0,"",
IF($R151&lt;&gt;"",
INDIRECT(""&amp;IF(COLUMN(D151)&lt;=26,CHAR(COLUMN(D151)+64),CHAR(INT((COLUMN(D151)-1)/26)+64)&amp;CHAR(MOD(COLUMN(D151)-1,26)+65))&amp;$R151&amp;""),""))</f>
        <v/>
      </c>
      <c r="U151" s="218" t="str">
        <f t="array" aca="1" ref="U151" ca="1">IF($R151&lt;&gt;"",
INDIRECT("F"&amp;$R151&amp;""),"")</f>
        <v/>
      </c>
      <c r="V151" s="219" t="str">
        <f t="array" aca="1" ref="V151" ca="1">IF($R151&lt;&gt;"",
INDIRECT("G"&amp;$R151&amp;""),"")</f>
        <v/>
      </c>
      <c r="W151" s="219" t="str" cm="1">
        <f t="array" aca="1" ref="W151" ca="1">IF($R151&lt;&gt;"",
IF(AND(COUNTIF(INDIRECT("B"&amp;R151&amp;""),"*雙葉*"),COUNTIF($B$71:$B$210,"*雙葉*")&gt;=1),
IF(OR(COUNTIF(INDIRECT("B"&amp;R151&amp;""),"*雙葉先生*"),COUNTIF(INDIRECT("B"&amp;R151-1&amp;""),"*雙葉*")),INDIRECT("H"&amp;R151&amp;""),INDIRECT("H"&amp;R151&amp;"")+INDIRECT("H"&amp;MATCH("雙葉'",INDIRECT("B"&amp;R151+3&amp;":B210"),0)+2+R151&amp;"")),
IF(AND(LEFT(INDIRECT("B"&amp;R151&amp;""),2)="博多",COUNTIF(B:B,"*博多*")&gt;=2),
INDIRECT("H"&amp;R151&amp;"")+IFERROR(INDIRECT("H"&amp;MATCH("*"&amp;INDIRECT("B"&amp;R151&amp;"")&amp;"*",INDIRECT("B"&amp;R151+1&amp;":B210"),0)+R151&amp;""),0),
IF(AND(LEFT(INDIRECT("B"&amp;R151&amp;""),3)="奈良屋",COUNTIF(B:B,"*奈良屋*")&gt;=2),
INDIRECT("H"&amp;R151&amp;"")
+INDIRECT("H"&amp;MATCH("*"&amp;INDIRECT("B"&amp;R151&amp;"")&amp;"*",INDIRECT("B"&amp;R151+1&amp;":B210"),0)+R151&amp;"")
+INDIRECT("H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
+INDIRECT("H"&amp;MATCH("*"&amp;INDIRECT("B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&amp;"*",INDIRECT("B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+1&amp;":B210"),0)+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,
INDIRECT("H"&amp;R151&amp;"")))),"")</f>
        <v/>
      </c>
      <c r="X151" s="176" t="str">
        <f t="array" aca="1" ref="X151" ca="1">IF($R151&lt;&gt;"",
INDIRECT(""&amp;IF(COLUMN(I151)&lt;=26,CHAR(COLUMN(I151)+64),CHAR(INT((COLUMN(I151)-1)/26)+64)&amp;CHAR(MOD(COLUMN(I151)-1,26)+65))&amp;$R151&amp;""),"")</f>
        <v/>
      </c>
      <c r="Y151" s="176" t="str">
        <f t="array" aca="1" ref="Y151" ca="1">IF($R151&lt;&gt;"",
INDIRECT(""&amp;IF(COLUMN(J151)&lt;=26,CHAR(COLUMN(J151)+64),CHAR(INT((COLUMN(J151)-1)/26)+64)&amp;CHAR(MOD(COLUMN(J151)-1,26)+65))&amp;$R151&amp;""),"")</f>
        <v/>
      </c>
      <c r="Z151" s="176" t="str">
        <f t="shared" ca="1" si="63"/>
        <v/>
      </c>
      <c r="AA151" s="176" t="str">
        <f t="shared" ca="1" si="64"/>
        <v/>
      </c>
      <c r="AB151" s="176" t="str">
        <f t="array" aca="1" ref="AB151" ca="1">IF($R151&lt;&gt;"",
IF(AND(COUNTIF(INDIRECT("B"&amp;R151&amp;""),"*雙葉*"),COUNTIF(INDIRECT("B"&amp;R151&amp;""),"&lt;&gt;*先生*"),COUNTIF(B:B,"*雙葉*")&gt;=2),
INDIRECT("M"&amp;R151&amp;"")+INDIRECT("M"&amp;MATCH("雙葉'",INDIRECT("B"&amp;R151+1&amp;":B210"),0)+R151&amp;""),
IF(AND(LEFT(INDIRECT("B"&amp;R151&amp;""),2)="博多",COUNTIF(B:B,"*博多*")&gt;=2),
INDIRECT("M"&amp;R151&amp;"")+INDIRECT("M"&amp;MATCH("*"&amp;INDIRECT("B"&amp;R151&amp;"")&amp;"*",INDIRECT("B"&amp;R151+1&amp;":B210"),0)+R151&amp;""),
IF(AND(LEFT(INDIRECT("B"&amp;R151&amp;""),3)="奈良屋",COUNTIF(B:B,"*奈良屋*")&gt;=2),
INDIRECT("M"&amp;R151&amp;"")+INDIRECT("M"&amp;MATCH("*"&amp;INDIRECT("B"&amp;R151&amp;"")&amp;"*",INDIRECT("B"&amp;R151+1&amp;":B210"),0)+R151&amp;"")
+INDIRECT("M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,
INDIRECT("M"&amp;R151&amp;"")))),"")</f>
        <v/>
      </c>
      <c r="AC151" s="176" t="str">
        <f t="shared" ca="1" si="65"/>
        <v/>
      </c>
      <c r="AD151" s="176" t="str">
        <f t="shared" ca="1" si="66"/>
        <v/>
      </c>
      <c r="AE151" s="176" t="str">
        <f t="shared" ca="1" si="67"/>
        <v/>
      </c>
      <c r="AF151" s="176" t="str">
        <f t="shared" ca="1" si="68"/>
        <v/>
      </c>
      <c r="AG151" s="176" t="str">
        <f t="shared" ca="1" si="69"/>
        <v/>
      </c>
      <c r="AH151" s="183" t="str">
        <f t="shared" ca="1" si="70"/>
        <v/>
      </c>
      <c r="AI151" s="176" t="str">
        <f t="shared" ca="1" si="71"/>
        <v/>
      </c>
      <c r="AJ151" s="176" t="str">
        <f t="shared" ca="1" si="72"/>
        <v/>
      </c>
      <c r="AK151" s="176" t="str">
        <f t="shared" ca="1" si="73"/>
        <v/>
      </c>
      <c r="AL151" s="176" t="str">
        <f t="shared" ca="1" si="74"/>
        <v/>
      </c>
      <c r="AM151" s="176" t="str">
        <f t="shared" ca="1" si="75"/>
        <v/>
      </c>
      <c r="AN151" s="176" t="str">
        <f t="shared" ca="1" si="76"/>
        <v/>
      </c>
      <c r="AO151" s="176" t="str">
        <f t="shared" ca="1" si="77"/>
        <v/>
      </c>
      <c r="AP151" s="176" t="str">
        <f t="shared" ca="1" si="78"/>
        <v/>
      </c>
      <c r="AU151" s="176" t="str">
        <f t="shared" ca="1" si="79"/>
        <v/>
      </c>
    </row>
    <row r="152" spans="1:47" ht="22.2" customHeight="1">
      <c r="A152" s="107">
        <f t="shared" si="83"/>
        <v>29</v>
      </c>
      <c r="B152" s="106" t="str">
        <f t="shared" ca="1" si="80"/>
        <v/>
      </c>
      <c r="C152" s="106" t="str">
        <f>IF(OR(クライアント抽出!D12&lt;&gt;"",クライアント抽出!G12&lt;&gt;""),クライアント抽出!A12,"")</f>
        <v/>
      </c>
      <c r="D152" s="106" t="str">
        <f t="array" aca="1" ref="D152" ca="1">IF(C152&lt;&gt;"",INDIRECT("クライアント抽出!"&amp;E152&amp;MATCH(C152,クライアント抽出!A:A,0)&amp;""),"")</f>
        <v/>
      </c>
      <c r="E152" s="106" t="str">
        <f>IF(H152&lt;&gt;0,
IFERROR(
SUBSTITUTE(ADDRESS(1,
MATCH(VALUE(H152),クライアント抽出!A12:G12,0)+8,4),"1",""),
""),
IFERROR(
SUBSTITUTE(ADDRESS(1,
MATCH(VALUE(I152),クライアント抽出!A12:G12,0)+8,4),"1",""),
""))</f>
        <v/>
      </c>
      <c r="F152" s="187" t="str">
        <f ca="1">IF(D152&lt;&gt;"",
IF(COUNTIF(C152,"*雙葉*"),
IF(ROUND((H152-M152)
/IF(COUNTIF(D152,"*キャラ*"),
VLOOKUP("*キャラ*",商品マスタ!$D:$E,2,FALSE),
IF(COUNTIF(D152,"*赤*"),
VLOOKUP("*赤*",商品マスタ!$D:$E,2,FALSE),
VLOOKUP("*"&amp;D152&amp;"*",商品マスタ!$D:$E,2,FALSE))),0)&lt;=0,1,
ROUND((H152-M152)
/IF(COUNTIF(D152,"*キャラ*"),
VLOOKUP("*キャラ*",商品マスタ!$D:$E,2,FALSE),
IF(COUNTIF(D152,"*赤*"),
VLOOKUP("*赤*",商品マスタ!$D:$E,2,FALSE),
VLOOKUP("*"&amp;D152&amp;"*",商品マスタ!$D:$E,2,FALSE))),0)),
IF(OR(COUNTIF(D152,"*キャラ*"),COUNTIF(D152,"*赤*")),"",
IF(VLOOKUP("*"&amp;D152&amp;"*",商品マスタ!$D:$E,2,FALSE)=0,"",
IF(ROUND((H152-M152)
/VLOOKUP("*"&amp;D152&amp;"*",商品マスタ!$D:$E,2,FALSE),0)&lt;=0,1,
ROUND((H152-M152)
/VLOOKUP("*"&amp;D152&amp;"*",商品マスタ!$D:$E,2,FALSE),0))))),"")</f>
        <v/>
      </c>
      <c r="G152" s="106" t="str">
        <f ca="1">IF(F152&lt;&gt;"",
IF(VALUE(H152-M152)&gt;VALUE(IF(COUNTIF(D152,"*キャラ*"),
VLOOKUP("*キャラ*",商品マスタ!$D:$E,2,FALSE),
IF(COUNTIF(D152,"*赤*"),
VLOOKUP("*赤*",商品マスタ!$D:$E,2,FALSE),
VLOOKUP("*"&amp;D152&amp;"*",商品マスタ!$D:$E,2,FALSE)))*F152),
"+"&amp;(H152-M152)-IF(COUNTIF(D152,"*キャラ*"),
VLOOKUP("*キャラ*",商品マスタ!$D:$E,2,FALSE),
IF(COUNTIF(D152,"*赤*"),
VLOOKUP("*赤*",商品マスタ!$D:$E,2,FALSE),
VLOOKUP("*"&amp;D152&amp;"*",商品マスタ!$D:$E,2,FALSE)))*F152,
(H152-M152)-IF(COUNTIF(D152,"*キャラ*"),
VLOOKUP("*キャラ*",商品マスタ!$D:$E,2,FALSE),
IF(COUNTIF(D152,"*赤*"),
VLOOKUP("*赤*",商品マスタ!$D:$E,2,FALSE),
VLOOKUP("*"&amp;D152&amp;"*",商品マスタ!$D:$E,2,FALSE)))*F152),"")</f>
        <v/>
      </c>
      <c r="H152" s="108" t="str">
        <f>IF(C152&lt;&gt;"",
クライアント抽出!D12,"")</f>
        <v/>
      </c>
      <c r="I152" s="106" t="str">
        <f>IF(C152&lt;&gt;"",
IF(O152=1,0,クライアント抽出!F12),"")</f>
        <v/>
      </c>
      <c r="J152" s="106" t="str">
        <f>IF(C152&lt;&gt;"",
VLOOKUP(
"*"&amp;LEFT(IF(COUNTIF(D152,"*学食*"),"キャラ弁（学食）",
IF(COUNTIF(D152,"*赤*"),"赤",
IF(COUNTIF(D152,"*キャラ弁当*"),"キャラ弁当",D152))),4)&amp;"*",注文弁当の抽出!$F$1:$G$15,2,FALSE),"")</f>
        <v/>
      </c>
      <c r="K152" s="106" t="str">
        <f ca="1">IF(クライアント抽出!R12&lt;&gt;"",SUBSTITUTE(ADDRESS(1,(CODE(クライアント抽出!R12)-64)*2-1,4),"1",""),"")</f>
        <v/>
      </c>
      <c r="L152" s="106" t="str">
        <f>IF(C12&lt;&gt;"",クライアント抽出!I12,"")</f>
        <v/>
      </c>
      <c r="M152" s="106">
        <f t="array" aca="1" ref="M152" ca="1">IF(C152&lt;&gt;"",
IF(K152&lt;&gt;"",INDIRECT("'数出表_Excel（アレルギー入力）'!"&amp;K152&amp;L152-1&amp;""),),)</f>
        <v>0</v>
      </c>
      <c r="N152" s="106" t="str">
        <f>IF(C152&lt;&gt;"",IF(OR(COUNTIF('盛付札（関数）'!D152,"*赤*"),COUNTIF('盛付札（関数）'!D152,"*キャラ*")),1,
VALUE(VLOOKUP("*"&amp;D152&amp;"*",商品マスタ!D:H,5,FALSE))),"")</f>
        <v/>
      </c>
      <c r="O152" s="106">
        <f t="shared" ca="1" si="82"/>
        <v>0</v>
      </c>
      <c r="P152" s="106">
        <f t="shared" si="61"/>
        <v>0</v>
      </c>
      <c r="Q152" s="106" t="b">
        <f t="shared" si="62"/>
        <v>0</v>
      </c>
      <c r="R152" s="176" t="str">
        <f t="array" aca="1" ref="R152" ca="1">IFERROR(SMALL(IF(P$1:P$311&lt;&gt;0,P$1:P$311),ROW(A152)),"")</f>
        <v/>
      </c>
      <c r="S152" s="176" t="str">
        <f t="array" aca="1" ref="S152" ca="1">IF($R152&lt;&gt;"",
SUBSTITUTE(SUBSTITUTE(INDIRECT("C"&amp;$R152&amp;"")," 週3ｺｰｽ","")," 週5ｺｰｽ",""),"")</f>
        <v/>
      </c>
      <c r="T152" s="176" t="str">
        <f t="array" aca="1" ref="T152" ca="1">IF(IF($R152&lt;&gt;"",
INDIRECT(""&amp;IF(COLUMN(D152)&lt;=26,CHAR(COLUMN(D152)+64),CHAR(INT((COLUMN(D152)-1)/26)+64)&amp;CHAR(MOD(COLUMN(D152)-1,26)+65))&amp;$R152&amp;""),"")=0,"",
IF($R152&lt;&gt;"",
INDIRECT(""&amp;IF(COLUMN(D152)&lt;=26,CHAR(COLUMN(D152)+64),CHAR(INT((COLUMN(D152)-1)/26)+64)&amp;CHAR(MOD(COLUMN(D152)-1,26)+65))&amp;$R152&amp;""),""))</f>
        <v/>
      </c>
      <c r="U152" s="218" t="str">
        <f t="array" aca="1" ref="U152" ca="1">IF($R152&lt;&gt;"",
INDIRECT("F"&amp;$R152&amp;""),"")</f>
        <v/>
      </c>
      <c r="V152" s="219" t="str">
        <f t="array" aca="1" ref="V152" ca="1">IF($R152&lt;&gt;"",
INDIRECT("G"&amp;$R152&amp;""),"")</f>
        <v/>
      </c>
      <c r="W152" s="219" t="str" cm="1">
        <f t="array" aca="1" ref="W152" ca="1">IF($R152&lt;&gt;"",
IF(AND(COUNTIF(INDIRECT("B"&amp;R152&amp;""),"*雙葉*"),COUNTIF($B$71:$B$210,"*雙葉*")&gt;=1),
IF(OR(COUNTIF(INDIRECT("B"&amp;R152&amp;""),"*雙葉先生*"),COUNTIF(INDIRECT("B"&amp;R152-1&amp;""),"*雙葉*")),INDIRECT("H"&amp;R152&amp;""),INDIRECT("H"&amp;R152&amp;"")+INDIRECT("H"&amp;MATCH("雙葉'",INDIRECT("B"&amp;R152+3&amp;":B210"),0)+2+R152&amp;"")),
IF(AND(LEFT(INDIRECT("B"&amp;R152&amp;""),2)="博多",COUNTIF(B:B,"*博多*")&gt;=2),
INDIRECT("H"&amp;R152&amp;"")+IFERROR(INDIRECT("H"&amp;MATCH("*"&amp;INDIRECT("B"&amp;R152&amp;"")&amp;"*",INDIRECT("B"&amp;R152+1&amp;":B210"),0)+R152&amp;""),0),
IF(AND(LEFT(INDIRECT("B"&amp;R152&amp;""),3)="奈良屋",COUNTIF(B:B,"*奈良屋*")&gt;=2),
INDIRECT("H"&amp;R152&amp;"")
+INDIRECT("H"&amp;MATCH("*"&amp;INDIRECT("B"&amp;R152&amp;"")&amp;"*",INDIRECT("B"&amp;R152+1&amp;":B210"),0)+R152&amp;"")
+INDIRECT("H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
+INDIRECT("H"&amp;MATCH("*"&amp;INDIRECT("B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&amp;"*",INDIRECT("B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+1&amp;":B210"),0)+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,
INDIRECT("H"&amp;R152&amp;"")))),"")</f>
        <v/>
      </c>
      <c r="X152" s="176" t="str">
        <f t="array" aca="1" ref="X152" ca="1">IF($R152&lt;&gt;"",
INDIRECT(""&amp;IF(COLUMN(I152)&lt;=26,CHAR(COLUMN(I152)+64),CHAR(INT((COLUMN(I152)-1)/26)+64)&amp;CHAR(MOD(COLUMN(I152)-1,26)+65))&amp;$R152&amp;""),"")</f>
        <v/>
      </c>
      <c r="Y152" s="176" t="str">
        <f t="array" aca="1" ref="Y152" ca="1">IF($R152&lt;&gt;"",
INDIRECT(""&amp;IF(COLUMN(J152)&lt;=26,CHAR(COLUMN(J152)+64),CHAR(INT((COLUMN(J152)-1)/26)+64)&amp;CHAR(MOD(COLUMN(J152)-1,26)+65))&amp;$R152&amp;""),"")</f>
        <v/>
      </c>
      <c r="Z152" s="176" t="str">
        <f t="shared" ca="1" si="63"/>
        <v/>
      </c>
      <c r="AA152" s="176" t="str">
        <f t="shared" ca="1" si="64"/>
        <v/>
      </c>
      <c r="AB152" s="176" t="str">
        <f t="array" aca="1" ref="AB152" ca="1">IF($R152&lt;&gt;"",
IF(AND(COUNTIF(INDIRECT("B"&amp;R152&amp;""),"*雙葉*"),COUNTIF(INDIRECT("B"&amp;R152&amp;""),"&lt;&gt;*先生*"),COUNTIF(B:B,"*雙葉*")&gt;=2),
INDIRECT("M"&amp;R152&amp;"")+INDIRECT("M"&amp;MATCH("雙葉'",INDIRECT("B"&amp;R152+1&amp;":B210"),0)+R152&amp;""),
IF(AND(LEFT(INDIRECT("B"&amp;R152&amp;""),2)="博多",COUNTIF(B:B,"*博多*")&gt;=2),
INDIRECT("M"&amp;R152&amp;"")+INDIRECT("M"&amp;MATCH("*"&amp;INDIRECT("B"&amp;R152&amp;"")&amp;"*",INDIRECT("B"&amp;R152+1&amp;":B210"),0)+R152&amp;""),
IF(AND(LEFT(INDIRECT("B"&amp;R152&amp;""),3)="奈良屋",COUNTIF(B:B,"*奈良屋*")&gt;=2),
INDIRECT("M"&amp;R152&amp;"")+INDIRECT("M"&amp;MATCH("*"&amp;INDIRECT("B"&amp;R152&amp;"")&amp;"*",INDIRECT("B"&amp;R152+1&amp;":B210"),0)+R152&amp;"")
+INDIRECT("M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,
INDIRECT("M"&amp;R152&amp;"")))),"")</f>
        <v/>
      </c>
      <c r="AC152" s="176" t="str">
        <f t="shared" ca="1" si="65"/>
        <v/>
      </c>
      <c r="AD152" s="176" t="str">
        <f t="shared" ca="1" si="66"/>
        <v/>
      </c>
      <c r="AE152" s="176" t="str">
        <f t="shared" ca="1" si="67"/>
        <v/>
      </c>
      <c r="AF152" s="176" t="str">
        <f t="shared" ca="1" si="68"/>
        <v/>
      </c>
      <c r="AG152" s="176" t="str">
        <f t="shared" ca="1" si="69"/>
        <v/>
      </c>
      <c r="AH152" s="183" t="str">
        <f t="shared" ca="1" si="70"/>
        <v/>
      </c>
      <c r="AI152" s="176" t="str">
        <f t="shared" ca="1" si="71"/>
        <v/>
      </c>
      <c r="AJ152" s="176" t="str">
        <f t="shared" ca="1" si="72"/>
        <v/>
      </c>
      <c r="AK152" s="176" t="str">
        <f t="shared" ca="1" si="73"/>
        <v/>
      </c>
      <c r="AL152" s="176" t="str">
        <f t="shared" ca="1" si="74"/>
        <v/>
      </c>
      <c r="AM152" s="176" t="str">
        <f t="shared" ca="1" si="75"/>
        <v/>
      </c>
      <c r="AN152" s="176" t="str">
        <f t="shared" ca="1" si="76"/>
        <v/>
      </c>
      <c r="AO152" s="176" t="str">
        <f t="shared" ca="1" si="77"/>
        <v/>
      </c>
      <c r="AP152" s="176" t="str">
        <f t="shared" ca="1" si="78"/>
        <v/>
      </c>
      <c r="AU152" s="176" t="str">
        <f t="shared" ca="1" si="79"/>
        <v/>
      </c>
    </row>
    <row r="153" spans="1:47" ht="22.2" customHeight="1">
      <c r="A153" s="107">
        <f t="shared" si="83"/>
        <v>31</v>
      </c>
      <c r="B153" s="106" t="str">
        <f t="shared" ca="1" si="80"/>
        <v/>
      </c>
      <c r="C153" s="106" t="str">
        <f>IF(OR(クライアント抽出!D13&lt;&gt;"",クライアント抽出!G13&lt;&gt;""),クライアント抽出!A13,"")</f>
        <v/>
      </c>
      <c r="D153" s="106" t="str">
        <f t="array" aca="1" ref="D153" ca="1">IF(C153&lt;&gt;"",INDIRECT("クライアント抽出!"&amp;E153&amp;MATCH(C153,クライアント抽出!A:A,0)&amp;""),"")</f>
        <v/>
      </c>
      <c r="E153" s="106" t="str">
        <f>IF(H153&lt;&gt;0,
IFERROR(
SUBSTITUTE(ADDRESS(1,
MATCH(VALUE(H153),クライアント抽出!A13:G13,0)+8,4),"1",""),
""),
IFERROR(
SUBSTITUTE(ADDRESS(1,
MATCH(VALUE(I153),クライアント抽出!A13:G13,0)+8,4),"1",""),
""))</f>
        <v/>
      </c>
      <c r="F153" s="187" t="str">
        <f ca="1">IF(D153&lt;&gt;"",
IF(COUNTIF(C153,"*雙葉*"),
IF(ROUND((H153-M153)
/IF(COUNTIF(D153,"*キャラ*"),
VLOOKUP("*キャラ*",商品マスタ!$D:$E,2,FALSE),
IF(COUNTIF(D153,"*赤*"),
VLOOKUP("*赤*",商品マスタ!$D:$E,2,FALSE),
VLOOKUP("*"&amp;D153&amp;"*",商品マスタ!$D:$E,2,FALSE))),0)&lt;=0,1,
ROUND((H153-M153)
/IF(COUNTIF(D153,"*キャラ*"),
VLOOKUP("*キャラ*",商品マスタ!$D:$E,2,FALSE),
IF(COUNTIF(D153,"*赤*"),
VLOOKUP("*赤*",商品マスタ!$D:$E,2,FALSE),
VLOOKUP("*"&amp;D153&amp;"*",商品マスタ!$D:$E,2,FALSE))),0)),
IF(OR(COUNTIF(D153,"*キャラ*"),COUNTIF(D153,"*赤*")),"",
IF(VLOOKUP("*"&amp;D153&amp;"*",商品マスタ!$D:$E,2,FALSE)=0,"",
IF(ROUND((H153-M153)
/VLOOKUP("*"&amp;D153&amp;"*",商品マスタ!$D:$E,2,FALSE),0)&lt;=0,1,
ROUND((H153-M153)
/VLOOKUP("*"&amp;D153&amp;"*",商品マスタ!$D:$E,2,FALSE),0))))),"")</f>
        <v/>
      </c>
      <c r="G153" s="106" t="str">
        <f ca="1">IF(F153&lt;&gt;"",
IF(VALUE(H153-M153)&gt;VALUE(IF(COUNTIF(D153,"*キャラ*"),
VLOOKUP("*キャラ*",商品マスタ!$D:$E,2,FALSE),
IF(COUNTIF(D153,"*赤*"),
VLOOKUP("*赤*",商品マスタ!$D:$E,2,FALSE),
VLOOKUP("*"&amp;D153&amp;"*",商品マスタ!$D:$E,2,FALSE)))*F153),
"+"&amp;(H153-M153)-IF(COUNTIF(D153,"*キャラ*"),
VLOOKUP("*キャラ*",商品マスタ!$D:$E,2,FALSE),
IF(COUNTIF(D153,"*赤*"),
VLOOKUP("*赤*",商品マスタ!$D:$E,2,FALSE),
VLOOKUP("*"&amp;D153&amp;"*",商品マスタ!$D:$E,2,FALSE)))*F153,
(H153-M153)-IF(COUNTIF(D153,"*キャラ*"),
VLOOKUP("*キャラ*",商品マスタ!$D:$E,2,FALSE),
IF(COUNTIF(D153,"*赤*"),
VLOOKUP("*赤*",商品マスタ!$D:$E,2,FALSE),
VLOOKUP("*"&amp;D153&amp;"*",商品マスタ!$D:$E,2,FALSE)))*F153),"")</f>
        <v/>
      </c>
      <c r="H153" s="108" t="str">
        <f>IF(C153&lt;&gt;"",
クライアント抽出!D13,"")</f>
        <v/>
      </c>
      <c r="I153" s="106" t="str">
        <f>IF(C153&lt;&gt;"",
IF(O153=1,0,クライアント抽出!F13),"")</f>
        <v/>
      </c>
      <c r="J153" s="106" t="str">
        <f>IF(C153&lt;&gt;"",
VLOOKUP(
"*"&amp;LEFT(IF(COUNTIF(D153,"*学食*"),"キャラ弁（学食）",
IF(COUNTIF(D153,"*赤*"),"赤",
IF(COUNTIF(D153,"*キャラ弁当*"),"キャラ弁当",D153))),4)&amp;"*",注文弁当の抽出!$F$1:$G$15,2,FALSE),"")</f>
        <v/>
      </c>
      <c r="K153" s="106" t="str">
        <f ca="1">IF(クライアント抽出!R13&lt;&gt;"",SUBSTITUTE(ADDRESS(1,(CODE(クライアント抽出!R13)-64)*2-1,4),"1",""),"")</f>
        <v/>
      </c>
      <c r="L153" s="106" t="str">
        <f>IF(C13&lt;&gt;"",クライアント抽出!I13,"")</f>
        <v/>
      </c>
      <c r="M153" s="106">
        <f t="array" aca="1" ref="M153" ca="1">IF(C153&lt;&gt;"",
IF(K153&lt;&gt;"",INDIRECT("'数出表_Excel（アレルギー入力）'!"&amp;K153&amp;L153-1&amp;""),),)</f>
        <v>0</v>
      </c>
      <c r="N153" s="106" t="str">
        <f>IF(C153&lt;&gt;"",IF(OR(COUNTIF('盛付札（関数）'!D153,"*赤*"),COUNTIF('盛付札（関数）'!D153,"*キャラ*")),1,
VALUE(VLOOKUP("*"&amp;D153&amp;"*",商品マスタ!D:H,5,FALSE))),"")</f>
        <v/>
      </c>
      <c r="O153" s="106">
        <f t="shared" ca="1" si="82"/>
        <v>0</v>
      </c>
      <c r="P153" s="106">
        <f t="shared" si="61"/>
        <v>0</v>
      </c>
      <c r="Q153" s="106" t="b">
        <f t="shared" si="62"/>
        <v>0</v>
      </c>
      <c r="R153" s="176" t="str">
        <f t="array" aca="1" ref="R153" ca="1">IFERROR(SMALL(IF(P$1:P$311&lt;&gt;0,P$1:P$311),ROW(A153)),"")</f>
        <v/>
      </c>
      <c r="S153" s="176" t="str">
        <f t="array" aca="1" ref="S153" ca="1">IF($R153&lt;&gt;"",
SUBSTITUTE(SUBSTITUTE(INDIRECT("C"&amp;$R153&amp;"")," 週3ｺｰｽ","")," 週5ｺｰｽ",""),"")</f>
        <v/>
      </c>
      <c r="T153" s="176" t="str">
        <f t="array" aca="1" ref="T153" ca="1">IF(IF($R153&lt;&gt;"",
INDIRECT(""&amp;IF(COLUMN(D153)&lt;=26,CHAR(COLUMN(D153)+64),CHAR(INT((COLUMN(D153)-1)/26)+64)&amp;CHAR(MOD(COLUMN(D153)-1,26)+65))&amp;$R153&amp;""),"")=0,"",
IF($R153&lt;&gt;"",
INDIRECT(""&amp;IF(COLUMN(D153)&lt;=26,CHAR(COLUMN(D153)+64),CHAR(INT((COLUMN(D153)-1)/26)+64)&amp;CHAR(MOD(COLUMN(D153)-1,26)+65))&amp;$R153&amp;""),""))</f>
        <v/>
      </c>
      <c r="U153" s="218" t="str">
        <f t="array" aca="1" ref="U153" ca="1">IF($R153&lt;&gt;"",
INDIRECT("F"&amp;$R153&amp;""),"")</f>
        <v/>
      </c>
      <c r="V153" s="219" t="str">
        <f t="array" aca="1" ref="V153" ca="1">IF($R153&lt;&gt;"",
INDIRECT("G"&amp;$R153&amp;""),"")</f>
        <v/>
      </c>
      <c r="W153" s="219" t="str" cm="1">
        <f t="array" aca="1" ref="W153" ca="1">IF($R153&lt;&gt;"",
IF(AND(COUNTIF(INDIRECT("B"&amp;R153&amp;""),"*雙葉*"),COUNTIF($B$71:$B$210,"*雙葉*")&gt;=1),
IF(OR(COUNTIF(INDIRECT("B"&amp;R153&amp;""),"*雙葉先生*"),COUNTIF(INDIRECT("B"&amp;R153-1&amp;""),"*雙葉*")),INDIRECT("H"&amp;R153&amp;""),INDIRECT("H"&amp;R153&amp;"")+INDIRECT("H"&amp;MATCH("雙葉'",INDIRECT("B"&amp;R153+3&amp;":B210"),0)+2+R153&amp;"")),
IF(AND(LEFT(INDIRECT("B"&amp;R153&amp;""),2)="博多",COUNTIF(B:B,"*博多*")&gt;=2),
INDIRECT("H"&amp;R153&amp;"")+IFERROR(INDIRECT("H"&amp;MATCH("*"&amp;INDIRECT("B"&amp;R153&amp;"")&amp;"*",INDIRECT("B"&amp;R153+1&amp;":B210"),0)+R153&amp;""),0),
IF(AND(LEFT(INDIRECT("B"&amp;R153&amp;""),3)="奈良屋",COUNTIF(B:B,"*奈良屋*")&gt;=2),
INDIRECT("H"&amp;R153&amp;"")
+INDIRECT("H"&amp;MATCH("*"&amp;INDIRECT("B"&amp;R153&amp;"")&amp;"*",INDIRECT("B"&amp;R153+1&amp;":B210"),0)+R153&amp;"")
+INDIRECT("H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
+INDIRECT("H"&amp;MATCH("*"&amp;INDIRECT("B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&amp;"*",INDIRECT("B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+1&amp;":B210"),0)+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,
INDIRECT("H"&amp;R153&amp;"")))),"")</f>
        <v/>
      </c>
      <c r="X153" s="176" t="str">
        <f t="array" aca="1" ref="X153" ca="1">IF($R153&lt;&gt;"",
INDIRECT(""&amp;IF(COLUMN(I153)&lt;=26,CHAR(COLUMN(I153)+64),CHAR(INT((COLUMN(I153)-1)/26)+64)&amp;CHAR(MOD(COLUMN(I153)-1,26)+65))&amp;$R153&amp;""),"")</f>
        <v/>
      </c>
      <c r="Y153" s="176" t="str">
        <f t="array" aca="1" ref="Y153" ca="1">IF($R153&lt;&gt;"",
INDIRECT(""&amp;IF(COLUMN(J153)&lt;=26,CHAR(COLUMN(J153)+64),CHAR(INT((COLUMN(J153)-1)/26)+64)&amp;CHAR(MOD(COLUMN(J153)-1,26)+65))&amp;$R153&amp;""),"")</f>
        <v/>
      </c>
      <c r="Z153" s="176" t="str">
        <f t="shared" ca="1" si="63"/>
        <v/>
      </c>
      <c r="AA153" s="176" t="str">
        <f t="shared" ca="1" si="64"/>
        <v/>
      </c>
      <c r="AB153" s="176" t="str">
        <f t="array" aca="1" ref="AB153" ca="1">IF($R153&lt;&gt;"",
IF(AND(COUNTIF(INDIRECT("B"&amp;R153&amp;""),"*雙葉*"),COUNTIF(INDIRECT("B"&amp;R153&amp;""),"&lt;&gt;*先生*"),COUNTIF(B:B,"*雙葉*")&gt;=2),
INDIRECT("M"&amp;R153&amp;"")+INDIRECT("M"&amp;MATCH("雙葉'",INDIRECT("B"&amp;R153+1&amp;":B210"),0)+R153&amp;""),
IF(AND(LEFT(INDIRECT("B"&amp;R153&amp;""),2)="博多",COUNTIF(B:B,"*博多*")&gt;=2),
INDIRECT("M"&amp;R153&amp;"")+INDIRECT("M"&amp;MATCH("*"&amp;INDIRECT("B"&amp;R153&amp;"")&amp;"*",INDIRECT("B"&amp;R153+1&amp;":B210"),0)+R153&amp;""),
IF(AND(LEFT(INDIRECT("B"&amp;R153&amp;""),3)="奈良屋",COUNTIF(B:B,"*奈良屋*")&gt;=2),
INDIRECT("M"&amp;R153&amp;"")+INDIRECT("M"&amp;MATCH("*"&amp;INDIRECT("B"&amp;R153&amp;"")&amp;"*",INDIRECT("B"&amp;R153+1&amp;":B210"),0)+R153&amp;"")
+INDIRECT("M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,
INDIRECT("M"&amp;R153&amp;"")))),"")</f>
        <v/>
      </c>
      <c r="AC153" s="176" t="str">
        <f t="shared" ca="1" si="65"/>
        <v/>
      </c>
      <c r="AD153" s="176" t="str">
        <f t="shared" ca="1" si="66"/>
        <v/>
      </c>
      <c r="AE153" s="176" t="str">
        <f t="shared" ca="1" si="67"/>
        <v/>
      </c>
      <c r="AF153" s="176" t="str">
        <f t="shared" ca="1" si="68"/>
        <v/>
      </c>
      <c r="AG153" s="176" t="str">
        <f t="shared" ca="1" si="69"/>
        <v/>
      </c>
      <c r="AH153" s="183" t="str">
        <f t="shared" ca="1" si="70"/>
        <v/>
      </c>
      <c r="AI153" s="176" t="str">
        <f t="shared" ca="1" si="71"/>
        <v/>
      </c>
      <c r="AJ153" s="176" t="str">
        <f t="shared" ca="1" si="72"/>
        <v/>
      </c>
      <c r="AK153" s="176" t="str">
        <f t="shared" ca="1" si="73"/>
        <v/>
      </c>
      <c r="AL153" s="176" t="str">
        <f t="shared" ca="1" si="74"/>
        <v/>
      </c>
      <c r="AM153" s="176" t="str">
        <f t="shared" ca="1" si="75"/>
        <v/>
      </c>
      <c r="AN153" s="176" t="str">
        <f t="shared" ca="1" si="76"/>
        <v/>
      </c>
      <c r="AO153" s="176" t="str">
        <f t="shared" ca="1" si="77"/>
        <v/>
      </c>
      <c r="AP153" s="176" t="str">
        <f t="shared" ca="1" si="78"/>
        <v/>
      </c>
      <c r="AU153" s="176" t="str">
        <f t="shared" ca="1" si="79"/>
        <v/>
      </c>
    </row>
    <row r="154" spans="1:47" ht="22.2" customHeight="1">
      <c r="A154" s="107">
        <f t="shared" si="83"/>
        <v>33</v>
      </c>
      <c r="B154" s="106" t="str">
        <f t="shared" ca="1" si="80"/>
        <v/>
      </c>
      <c r="C154" s="106" t="str">
        <f>IF(OR(クライアント抽出!D14&lt;&gt;"",クライアント抽出!G14&lt;&gt;""),クライアント抽出!A14,"")</f>
        <v/>
      </c>
      <c r="D154" s="106" t="str">
        <f t="array" aca="1" ref="D154" ca="1">IF(C154&lt;&gt;"",INDIRECT("クライアント抽出!"&amp;E154&amp;MATCH(C154,クライアント抽出!A:A,0)&amp;""),"")</f>
        <v/>
      </c>
      <c r="E154" s="106" t="str">
        <f>IF(H154&lt;&gt;0,
IFERROR(
SUBSTITUTE(ADDRESS(1,
MATCH(VALUE(H154),クライアント抽出!A14:G14,0)+8,4),"1",""),
""),
IFERROR(
SUBSTITUTE(ADDRESS(1,
MATCH(VALUE(I154),クライアント抽出!A14:G14,0)+8,4),"1",""),
""))</f>
        <v/>
      </c>
      <c r="F154" s="187" t="str">
        <f ca="1">IF(D154&lt;&gt;"",
IF(COUNTIF(C154,"*雙葉*"),
IF(ROUND((H154-M154)
/IF(COUNTIF(D154,"*キャラ*"),
VLOOKUP("*キャラ*",商品マスタ!$D:$E,2,FALSE),
IF(COUNTIF(D154,"*赤*"),
VLOOKUP("*赤*",商品マスタ!$D:$E,2,FALSE),
VLOOKUP("*"&amp;D154&amp;"*",商品マスタ!$D:$E,2,FALSE))),0)&lt;=0,1,
ROUND((H154-M154)
/IF(COUNTIF(D154,"*キャラ*"),
VLOOKUP("*キャラ*",商品マスタ!$D:$E,2,FALSE),
IF(COUNTIF(D154,"*赤*"),
VLOOKUP("*赤*",商品マスタ!$D:$E,2,FALSE),
VLOOKUP("*"&amp;D154&amp;"*",商品マスタ!$D:$E,2,FALSE))),0)),
IF(OR(COUNTIF(D154,"*キャラ*"),COUNTIF(D154,"*赤*")),"",
IF(VLOOKUP("*"&amp;D154&amp;"*",商品マスタ!$D:$E,2,FALSE)=0,"",
IF(ROUND((H154-M154)
/VLOOKUP("*"&amp;D154&amp;"*",商品マスタ!$D:$E,2,FALSE),0)&lt;=0,1,
ROUND((H154-M154)
/VLOOKUP("*"&amp;D154&amp;"*",商品マスタ!$D:$E,2,FALSE),0))))),"")</f>
        <v/>
      </c>
      <c r="G154" s="106" t="str">
        <f ca="1">IF(F154&lt;&gt;"",
IF(VALUE(H154-M154)&gt;VALUE(IF(COUNTIF(D154,"*キャラ*"),
VLOOKUP("*キャラ*",商品マスタ!$D:$E,2,FALSE),
IF(COUNTIF(D154,"*赤*"),
VLOOKUP("*赤*",商品マスタ!$D:$E,2,FALSE),
VLOOKUP("*"&amp;D154&amp;"*",商品マスタ!$D:$E,2,FALSE)))*F154),
"+"&amp;(H154-M154)-IF(COUNTIF(D154,"*キャラ*"),
VLOOKUP("*キャラ*",商品マスタ!$D:$E,2,FALSE),
IF(COUNTIF(D154,"*赤*"),
VLOOKUP("*赤*",商品マスタ!$D:$E,2,FALSE),
VLOOKUP("*"&amp;D154&amp;"*",商品マスタ!$D:$E,2,FALSE)))*F154,
(H154-M154)-IF(COUNTIF(D154,"*キャラ*"),
VLOOKUP("*キャラ*",商品マスタ!$D:$E,2,FALSE),
IF(COUNTIF(D154,"*赤*"),
VLOOKUP("*赤*",商品マスタ!$D:$E,2,FALSE),
VLOOKUP("*"&amp;D154&amp;"*",商品マスタ!$D:$E,2,FALSE)))*F154),"")</f>
        <v/>
      </c>
      <c r="H154" s="108" t="str">
        <f>IF(C154&lt;&gt;"",
クライアント抽出!D14,"")</f>
        <v/>
      </c>
      <c r="I154" s="106" t="str">
        <f>IF(C154&lt;&gt;"",
IF(O154=1,0,クライアント抽出!F14),"")</f>
        <v/>
      </c>
      <c r="J154" s="106" t="str">
        <f>IF(C154&lt;&gt;"",
VLOOKUP(
"*"&amp;LEFT(IF(COUNTIF(D154,"*学食*"),"キャラ弁（学食）",
IF(COUNTIF(D154,"*赤*"),"赤",
IF(COUNTIF(D154,"*キャラ弁当*"),"キャラ弁当",D154))),4)&amp;"*",注文弁当の抽出!$F$1:$G$15,2,FALSE),"")</f>
        <v/>
      </c>
      <c r="K154" s="106" t="str">
        <f ca="1">IF(クライアント抽出!R14&lt;&gt;"",SUBSTITUTE(ADDRESS(1,(CODE(クライアント抽出!R14)-64)*2-1,4),"1",""),"")</f>
        <v/>
      </c>
      <c r="L154" s="106" t="str">
        <f>IF(C14&lt;&gt;"",クライアント抽出!I14,"")</f>
        <v/>
      </c>
      <c r="M154" s="106">
        <f t="array" aca="1" ref="M154" ca="1">IF(C154&lt;&gt;"",
IF(K154&lt;&gt;"",INDIRECT("'数出表_Excel（アレルギー入力）'!"&amp;K154&amp;L154-1&amp;""),),)</f>
        <v>0</v>
      </c>
      <c r="N154" s="106" t="str">
        <f>IF(C154&lt;&gt;"",IF(OR(COUNTIF('盛付札（関数）'!D154,"*赤*"),COUNTIF('盛付札（関数）'!D154,"*キャラ*")),1,
VALUE(VLOOKUP("*"&amp;D154&amp;"*",商品マスタ!D:H,5,FALSE))),"")</f>
        <v/>
      </c>
      <c r="O154" s="106">
        <f t="shared" ca="1" si="82"/>
        <v>0</v>
      </c>
      <c r="P154" s="106">
        <f t="shared" si="61"/>
        <v>0</v>
      </c>
      <c r="Q154" s="106" t="b">
        <f t="shared" si="62"/>
        <v>0</v>
      </c>
      <c r="R154" s="176" t="str">
        <f t="array" aca="1" ref="R154" ca="1">IFERROR(SMALL(IF(P$1:P$311&lt;&gt;0,P$1:P$311),ROW(A154)),"")</f>
        <v/>
      </c>
      <c r="S154" s="176" t="str">
        <f t="array" aca="1" ref="S154" ca="1">IF($R154&lt;&gt;"",
SUBSTITUTE(SUBSTITUTE(INDIRECT("C"&amp;$R154&amp;"")," 週3ｺｰｽ","")," 週5ｺｰｽ",""),"")</f>
        <v/>
      </c>
      <c r="T154" s="176" t="str">
        <f t="array" aca="1" ref="T154" ca="1">IF(IF($R154&lt;&gt;"",
INDIRECT(""&amp;IF(COLUMN(D154)&lt;=26,CHAR(COLUMN(D154)+64),CHAR(INT((COLUMN(D154)-1)/26)+64)&amp;CHAR(MOD(COLUMN(D154)-1,26)+65))&amp;$R154&amp;""),"")=0,"",
IF($R154&lt;&gt;"",
INDIRECT(""&amp;IF(COLUMN(D154)&lt;=26,CHAR(COLUMN(D154)+64),CHAR(INT((COLUMN(D154)-1)/26)+64)&amp;CHAR(MOD(COLUMN(D154)-1,26)+65))&amp;$R154&amp;""),""))</f>
        <v/>
      </c>
      <c r="U154" s="218" t="str">
        <f t="array" aca="1" ref="U154" ca="1">IF($R154&lt;&gt;"",
INDIRECT("F"&amp;$R154&amp;""),"")</f>
        <v/>
      </c>
      <c r="V154" s="219" t="str">
        <f t="array" aca="1" ref="V154" ca="1">IF($R154&lt;&gt;"",
INDIRECT("G"&amp;$R154&amp;""),"")</f>
        <v/>
      </c>
      <c r="W154" s="219" t="str" cm="1">
        <f t="array" aca="1" ref="W154" ca="1">IF($R154&lt;&gt;"",
IF(AND(COUNTIF(INDIRECT("B"&amp;R154&amp;""),"*雙葉*"),COUNTIF($B$71:$B$210,"*雙葉*")&gt;=1),
IF(OR(COUNTIF(INDIRECT("B"&amp;R154&amp;""),"*雙葉先生*"),COUNTIF(INDIRECT("B"&amp;R154-1&amp;""),"*雙葉*")),INDIRECT("H"&amp;R154&amp;""),INDIRECT("H"&amp;R154&amp;"")+INDIRECT("H"&amp;MATCH("雙葉'",INDIRECT("B"&amp;R154+3&amp;":B210"),0)+2+R154&amp;"")),
IF(AND(LEFT(INDIRECT("B"&amp;R154&amp;""),2)="博多",COUNTIF(B:B,"*博多*")&gt;=2),
INDIRECT("H"&amp;R154&amp;"")+IFERROR(INDIRECT("H"&amp;MATCH("*"&amp;INDIRECT("B"&amp;R154&amp;"")&amp;"*",INDIRECT("B"&amp;R154+1&amp;":B210"),0)+R154&amp;""),0),
IF(AND(LEFT(INDIRECT("B"&amp;R154&amp;""),3)="奈良屋",COUNTIF(B:B,"*奈良屋*")&gt;=2),
INDIRECT("H"&amp;R154&amp;"")
+INDIRECT("H"&amp;MATCH("*"&amp;INDIRECT("B"&amp;R154&amp;"")&amp;"*",INDIRECT("B"&amp;R154+1&amp;":B210"),0)+R154&amp;"")
+INDIRECT("H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
+INDIRECT("H"&amp;MATCH("*"&amp;INDIRECT("B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&amp;"*",INDIRECT("B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+1&amp;":B210"),0)+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,
INDIRECT("H"&amp;R154&amp;"")))),"")</f>
        <v/>
      </c>
      <c r="X154" s="176" t="str">
        <f t="array" aca="1" ref="X154" ca="1">IF($R154&lt;&gt;"",
INDIRECT(""&amp;IF(COLUMN(I154)&lt;=26,CHAR(COLUMN(I154)+64),CHAR(INT((COLUMN(I154)-1)/26)+64)&amp;CHAR(MOD(COLUMN(I154)-1,26)+65))&amp;$R154&amp;""),"")</f>
        <v/>
      </c>
      <c r="Y154" s="176" t="str">
        <f t="array" aca="1" ref="Y154" ca="1">IF($R154&lt;&gt;"",
INDIRECT(""&amp;IF(COLUMN(J154)&lt;=26,CHAR(COLUMN(J154)+64),CHAR(INT((COLUMN(J154)-1)/26)+64)&amp;CHAR(MOD(COLUMN(J154)-1,26)+65))&amp;$R154&amp;""),"")</f>
        <v/>
      </c>
      <c r="Z154" s="176" t="str">
        <f t="shared" ca="1" si="63"/>
        <v/>
      </c>
      <c r="AA154" s="176" t="str">
        <f t="shared" ca="1" si="64"/>
        <v/>
      </c>
      <c r="AB154" s="176" t="str">
        <f t="array" aca="1" ref="AB154" ca="1">IF($R154&lt;&gt;"",
IF(AND(COUNTIF(INDIRECT("B"&amp;R154&amp;""),"*雙葉*"),COUNTIF(INDIRECT("B"&amp;R154&amp;""),"&lt;&gt;*先生*"),COUNTIF(B:B,"*雙葉*")&gt;=2),
INDIRECT("M"&amp;R154&amp;"")+INDIRECT("M"&amp;MATCH("雙葉'",INDIRECT("B"&amp;R154+1&amp;":B210"),0)+R154&amp;""),
IF(AND(LEFT(INDIRECT("B"&amp;R154&amp;""),2)="博多",COUNTIF(B:B,"*博多*")&gt;=2),
INDIRECT("M"&amp;R154&amp;"")+INDIRECT("M"&amp;MATCH("*"&amp;INDIRECT("B"&amp;R154&amp;"")&amp;"*",INDIRECT("B"&amp;R154+1&amp;":B210"),0)+R154&amp;""),
IF(AND(LEFT(INDIRECT("B"&amp;R154&amp;""),3)="奈良屋",COUNTIF(B:B,"*奈良屋*")&gt;=2),
INDIRECT("M"&amp;R154&amp;"")+INDIRECT("M"&amp;MATCH("*"&amp;INDIRECT("B"&amp;R154&amp;"")&amp;"*",INDIRECT("B"&amp;R154+1&amp;":B210"),0)+R154&amp;"")
+INDIRECT("M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,
INDIRECT("M"&amp;R154&amp;"")))),"")</f>
        <v/>
      </c>
      <c r="AC154" s="176" t="str">
        <f t="shared" ca="1" si="65"/>
        <v/>
      </c>
      <c r="AD154" s="176" t="str">
        <f t="shared" ca="1" si="66"/>
        <v/>
      </c>
      <c r="AE154" s="176" t="str">
        <f t="shared" ca="1" si="67"/>
        <v/>
      </c>
      <c r="AF154" s="176" t="str">
        <f t="shared" ca="1" si="68"/>
        <v/>
      </c>
      <c r="AG154" s="176" t="str">
        <f t="shared" ca="1" si="69"/>
        <v/>
      </c>
      <c r="AH154" s="183" t="str">
        <f t="shared" ca="1" si="70"/>
        <v/>
      </c>
      <c r="AI154" s="176" t="str">
        <f t="shared" ca="1" si="71"/>
        <v/>
      </c>
      <c r="AJ154" s="176" t="str">
        <f t="shared" ca="1" si="72"/>
        <v/>
      </c>
      <c r="AK154" s="176" t="str">
        <f t="shared" ca="1" si="73"/>
        <v/>
      </c>
      <c r="AL154" s="176" t="str">
        <f t="shared" ca="1" si="74"/>
        <v/>
      </c>
      <c r="AM154" s="176" t="str">
        <f t="shared" ca="1" si="75"/>
        <v/>
      </c>
      <c r="AN154" s="176" t="str">
        <f t="shared" ca="1" si="76"/>
        <v/>
      </c>
      <c r="AO154" s="176" t="str">
        <f t="shared" ca="1" si="77"/>
        <v/>
      </c>
      <c r="AP154" s="176" t="str">
        <f t="shared" ca="1" si="78"/>
        <v/>
      </c>
      <c r="AU154" s="176" t="str">
        <f t="shared" ca="1" si="79"/>
        <v/>
      </c>
    </row>
    <row r="155" spans="1:47" ht="22.2" customHeight="1">
      <c r="A155" s="107">
        <f t="shared" si="83"/>
        <v>35</v>
      </c>
      <c r="B155" s="106" t="str">
        <f t="shared" ca="1" si="80"/>
        <v/>
      </c>
      <c r="C155" s="106" t="str">
        <f>IF(OR(クライアント抽出!D15&lt;&gt;"",クライアント抽出!G15&lt;&gt;""),クライアント抽出!A15,"")</f>
        <v/>
      </c>
      <c r="D155" s="106" t="str">
        <f t="array" aca="1" ref="D155" ca="1">IF(C155&lt;&gt;"",INDIRECT("クライアント抽出!"&amp;E155&amp;MATCH(C155,クライアント抽出!A:A,0)&amp;""),"")</f>
        <v/>
      </c>
      <c r="E155" s="106" t="str">
        <f>IF(H155&lt;&gt;0,
IFERROR(
SUBSTITUTE(ADDRESS(1,
MATCH(VALUE(H155),クライアント抽出!A15:G15,0)+8,4),"1",""),
""),
IFERROR(
SUBSTITUTE(ADDRESS(1,
MATCH(VALUE(I155),クライアント抽出!A15:G15,0)+8,4),"1",""),
""))</f>
        <v/>
      </c>
      <c r="F155" s="187" t="str">
        <f ca="1">IF(D155&lt;&gt;"",
IF(COUNTIF(C155,"*雙葉*"),
IF(ROUND((H155-M155)
/IF(COUNTIF(D155,"*キャラ*"),
VLOOKUP("*キャラ*",商品マスタ!$D:$E,2,FALSE),
IF(COUNTIF(D155,"*赤*"),
VLOOKUP("*赤*",商品マスタ!$D:$E,2,FALSE),
VLOOKUP("*"&amp;D155&amp;"*",商品マスタ!$D:$E,2,FALSE))),0)&lt;=0,1,
ROUND((H155-M155)
/IF(COUNTIF(D155,"*キャラ*"),
VLOOKUP("*キャラ*",商品マスタ!$D:$E,2,FALSE),
IF(COUNTIF(D155,"*赤*"),
VLOOKUP("*赤*",商品マスタ!$D:$E,2,FALSE),
VLOOKUP("*"&amp;D155&amp;"*",商品マスタ!$D:$E,2,FALSE))),0)),
IF(OR(COUNTIF(D155,"*キャラ*"),COUNTIF(D155,"*赤*")),"",
IF(VLOOKUP("*"&amp;D155&amp;"*",商品マスタ!$D:$E,2,FALSE)=0,"",
IF(ROUND((H155-M155)
/VLOOKUP("*"&amp;D155&amp;"*",商品マスタ!$D:$E,2,FALSE),0)&lt;=0,1,
ROUND((H155-M155)
/VLOOKUP("*"&amp;D155&amp;"*",商品マスタ!$D:$E,2,FALSE),0))))),"")</f>
        <v/>
      </c>
      <c r="G155" s="106" t="str">
        <f ca="1">IF(F155&lt;&gt;"",
IF(VALUE(H155-M155)&gt;VALUE(IF(COUNTIF(D155,"*キャラ*"),
VLOOKUP("*キャラ*",商品マスタ!$D:$E,2,FALSE),
IF(COUNTIF(D155,"*赤*"),
VLOOKUP("*赤*",商品マスタ!$D:$E,2,FALSE),
VLOOKUP("*"&amp;D155&amp;"*",商品マスタ!$D:$E,2,FALSE)))*F155),
"+"&amp;(H155-M155)-IF(COUNTIF(D155,"*キャラ*"),
VLOOKUP("*キャラ*",商品マスタ!$D:$E,2,FALSE),
IF(COUNTIF(D155,"*赤*"),
VLOOKUP("*赤*",商品マスタ!$D:$E,2,FALSE),
VLOOKUP("*"&amp;D155&amp;"*",商品マスタ!$D:$E,2,FALSE)))*F155,
(H155-M155)-IF(COUNTIF(D155,"*キャラ*"),
VLOOKUP("*キャラ*",商品マスタ!$D:$E,2,FALSE),
IF(COUNTIF(D155,"*赤*"),
VLOOKUP("*赤*",商品マスタ!$D:$E,2,FALSE),
VLOOKUP("*"&amp;D155&amp;"*",商品マスタ!$D:$E,2,FALSE)))*F155),"")</f>
        <v/>
      </c>
      <c r="H155" s="108" t="str">
        <f>IF(C155&lt;&gt;"",
クライアント抽出!D15,"")</f>
        <v/>
      </c>
      <c r="I155" s="106" t="str">
        <f>IF(C155&lt;&gt;"",
IF(O155=1,0,クライアント抽出!F15),"")</f>
        <v/>
      </c>
      <c r="J155" s="106" t="str">
        <f>IF(C155&lt;&gt;"",
VLOOKUP(
"*"&amp;LEFT(IF(COUNTIF(D155,"*学食*"),"キャラ弁（学食）",
IF(COUNTIF(D155,"*赤*"),"赤",
IF(COUNTIF(D155,"*キャラ弁当*"),"キャラ弁当",D155))),4)&amp;"*",注文弁当の抽出!$F$1:$G$15,2,FALSE),"")</f>
        <v/>
      </c>
      <c r="K155" s="106" t="str">
        <f ca="1">IF(クライアント抽出!R15&lt;&gt;"",SUBSTITUTE(ADDRESS(1,(CODE(クライアント抽出!R15)-64)*2-1,4),"1",""),"")</f>
        <v/>
      </c>
      <c r="L155" s="106" t="str">
        <f>IF(C15&lt;&gt;"",クライアント抽出!I15,"")</f>
        <v/>
      </c>
      <c r="M155" s="106">
        <f t="array" aca="1" ref="M155" ca="1">IF(C155&lt;&gt;"",
IF(K155&lt;&gt;"",INDIRECT("'数出表_Excel（アレルギー入力）'!"&amp;K155&amp;L155-1&amp;""),),)</f>
        <v>0</v>
      </c>
      <c r="N155" s="106" t="str">
        <f>IF(C155&lt;&gt;"",IF(OR(COUNTIF('盛付札（関数）'!D155,"*赤*"),COUNTIF('盛付札（関数）'!D155,"*キャラ*")),1,
VALUE(VLOOKUP("*"&amp;D155&amp;"*",商品マスタ!D:H,5,FALSE))),"")</f>
        <v/>
      </c>
      <c r="O155" s="106">
        <f t="shared" ca="1" si="82"/>
        <v>0</v>
      </c>
      <c r="P155" s="106">
        <f t="shared" si="61"/>
        <v>0</v>
      </c>
      <c r="Q155" s="106" t="b">
        <f t="shared" si="62"/>
        <v>0</v>
      </c>
      <c r="R155" s="176" t="str">
        <f t="array" aca="1" ref="R155" ca="1">IFERROR(SMALL(IF(P$1:P$311&lt;&gt;0,P$1:P$311),ROW(A155)),"")</f>
        <v/>
      </c>
      <c r="S155" s="176" t="str">
        <f t="array" aca="1" ref="S155" ca="1">IF($R155&lt;&gt;"",
SUBSTITUTE(SUBSTITUTE(INDIRECT("C"&amp;$R155&amp;"")," 週3ｺｰｽ","")," 週5ｺｰｽ",""),"")</f>
        <v/>
      </c>
      <c r="T155" s="176" t="str">
        <f t="array" aca="1" ref="T155" ca="1">IF(IF($R155&lt;&gt;"",
INDIRECT(""&amp;IF(COLUMN(D155)&lt;=26,CHAR(COLUMN(D155)+64),CHAR(INT((COLUMN(D155)-1)/26)+64)&amp;CHAR(MOD(COLUMN(D155)-1,26)+65))&amp;$R155&amp;""),"")=0,"",
IF($R155&lt;&gt;"",
INDIRECT(""&amp;IF(COLUMN(D155)&lt;=26,CHAR(COLUMN(D155)+64),CHAR(INT((COLUMN(D155)-1)/26)+64)&amp;CHAR(MOD(COLUMN(D155)-1,26)+65))&amp;$R155&amp;""),""))</f>
        <v/>
      </c>
      <c r="U155" s="218" t="str">
        <f t="array" aca="1" ref="U155" ca="1">IF($R155&lt;&gt;"",
INDIRECT("F"&amp;$R155&amp;""),"")</f>
        <v/>
      </c>
      <c r="V155" s="219" t="str">
        <f t="array" aca="1" ref="V155" ca="1">IF($R155&lt;&gt;"",
INDIRECT("G"&amp;$R155&amp;""),"")</f>
        <v/>
      </c>
      <c r="W155" s="219" t="str" cm="1">
        <f t="array" aca="1" ref="W155" ca="1">IF($R155&lt;&gt;"",
IF(AND(COUNTIF(INDIRECT("B"&amp;R155&amp;""),"*雙葉*"),COUNTIF($B$71:$B$210,"*雙葉*")&gt;=1),
IF(OR(COUNTIF(INDIRECT("B"&amp;R155&amp;""),"*雙葉先生*"),COUNTIF(INDIRECT("B"&amp;R155-1&amp;""),"*雙葉*")),INDIRECT("H"&amp;R155&amp;""),INDIRECT("H"&amp;R155&amp;"")+INDIRECT("H"&amp;MATCH("雙葉'",INDIRECT("B"&amp;R155+3&amp;":B210"),0)+2+R155&amp;"")),
IF(AND(LEFT(INDIRECT("B"&amp;R155&amp;""),2)="博多",COUNTIF(B:B,"*博多*")&gt;=2),
INDIRECT("H"&amp;R155&amp;"")+IFERROR(INDIRECT("H"&amp;MATCH("*"&amp;INDIRECT("B"&amp;R155&amp;"")&amp;"*",INDIRECT("B"&amp;R155+1&amp;":B210"),0)+R155&amp;""),0),
IF(AND(LEFT(INDIRECT("B"&amp;R155&amp;""),3)="奈良屋",COUNTIF(B:B,"*奈良屋*")&gt;=2),
INDIRECT("H"&amp;R155&amp;"")
+INDIRECT("H"&amp;MATCH("*"&amp;INDIRECT("B"&amp;R155&amp;"")&amp;"*",INDIRECT("B"&amp;R155+1&amp;":B210"),0)+R155&amp;"")
+INDIRECT("H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
+INDIRECT("H"&amp;MATCH("*"&amp;INDIRECT("B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&amp;"*",INDIRECT("B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+1&amp;":B210"),0)+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,
INDIRECT("H"&amp;R155&amp;"")))),"")</f>
        <v/>
      </c>
      <c r="X155" s="176" t="str">
        <f t="array" aca="1" ref="X155" ca="1">IF($R155&lt;&gt;"",
INDIRECT(""&amp;IF(COLUMN(I155)&lt;=26,CHAR(COLUMN(I155)+64),CHAR(INT((COLUMN(I155)-1)/26)+64)&amp;CHAR(MOD(COLUMN(I155)-1,26)+65))&amp;$R155&amp;""),"")</f>
        <v/>
      </c>
      <c r="Y155" s="176" t="str">
        <f t="array" aca="1" ref="Y155" ca="1">IF($R155&lt;&gt;"",
INDIRECT(""&amp;IF(COLUMN(J155)&lt;=26,CHAR(COLUMN(J155)+64),CHAR(INT((COLUMN(J155)-1)/26)+64)&amp;CHAR(MOD(COLUMN(J155)-1,26)+65))&amp;$R155&amp;""),"")</f>
        <v/>
      </c>
      <c r="Z155" s="176" t="str">
        <f t="shared" ca="1" si="63"/>
        <v/>
      </c>
      <c r="AA155" s="176" t="str">
        <f t="shared" ca="1" si="64"/>
        <v/>
      </c>
      <c r="AB155" s="176" t="str">
        <f t="array" aca="1" ref="AB155" ca="1">IF($R155&lt;&gt;"",
IF(AND(COUNTIF(INDIRECT("B"&amp;R155&amp;""),"*雙葉*"),COUNTIF(INDIRECT("B"&amp;R155&amp;""),"&lt;&gt;*先生*"),COUNTIF(B:B,"*雙葉*")&gt;=2),
INDIRECT("M"&amp;R155&amp;"")+INDIRECT("M"&amp;MATCH("雙葉'",INDIRECT("B"&amp;R155+1&amp;":B210"),0)+R155&amp;""),
IF(AND(LEFT(INDIRECT("B"&amp;R155&amp;""),2)="博多",COUNTIF(B:B,"*博多*")&gt;=2),
INDIRECT("M"&amp;R155&amp;"")+INDIRECT("M"&amp;MATCH("*"&amp;INDIRECT("B"&amp;R155&amp;"")&amp;"*",INDIRECT("B"&amp;R155+1&amp;":B210"),0)+R155&amp;""),
IF(AND(LEFT(INDIRECT("B"&amp;R155&amp;""),3)="奈良屋",COUNTIF(B:B,"*奈良屋*")&gt;=2),
INDIRECT("M"&amp;R155&amp;"")+INDIRECT("M"&amp;MATCH("*"&amp;INDIRECT("B"&amp;R155&amp;"")&amp;"*",INDIRECT("B"&amp;R155+1&amp;":B210"),0)+R155&amp;"")
+INDIRECT("M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,
INDIRECT("M"&amp;R155&amp;"")))),"")</f>
        <v/>
      </c>
      <c r="AC155" s="176" t="str">
        <f t="shared" ca="1" si="65"/>
        <v/>
      </c>
      <c r="AD155" s="176" t="str">
        <f t="shared" ca="1" si="66"/>
        <v/>
      </c>
      <c r="AE155" s="176" t="str">
        <f t="shared" ca="1" si="67"/>
        <v/>
      </c>
      <c r="AF155" s="176" t="str">
        <f t="shared" ca="1" si="68"/>
        <v/>
      </c>
      <c r="AG155" s="176" t="str">
        <f t="shared" ca="1" si="69"/>
        <v/>
      </c>
      <c r="AH155" s="183" t="str">
        <f t="shared" ca="1" si="70"/>
        <v/>
      </c>
      <c r="AI155" s="176" t="str">
        <f t="shared" ca="1" si="71"/>
        <v/>
      </c>
      <c r="AJ155" s="176" t="str">
        <f t="shared" ca="1" si="72"/>
        <v/>
      </c>
      <c r="AK155" s="176" t="str">
        <f t="shared" ca="1" si="73"/>
        <v/>
      </c>
      <c r="AL155" s="176" t="str">
        <f t="shared" ca="1" si="74"/>
        <v/>
      </c>
      <c r="AM155" s="176" t="str">
        <f t="shared" ca="1" si="75"/>
        <v/>
      </c>
      <c r="AN155" s="176" t="str">
        <f t="shared" ca="1" si="76"/>
        <v/>
      </c>
      <c r="AO155" s="176" t="str">
        <f t="shared" ca="1" si="77"/>
        <v/>
      </c>
      <c r="AP155" s="176" t="str">
        <f t="shared" ca="1" si="78"/>
        <v/>
      </c>
      <c r="AU155" s="176" t="str">
        <f t="shared" ca="1" si="79"/>
        <v/>
      </c>
    </row>
    <row r="156" spans="1:47" ht="22.2" customHeight="1">
      <c r="A156" s="107">
        <f t="shared" si="83"/>
        <v>37</v>
      </c>
      <c r="B156" s="106" t="str">
        <f t="shared" ca="1" si="80"/>
        <v/>
      </c>
      <c r="C156" s="106" t="str">
        <f>IF(OR(クライアント抽出!D16&lt;&gt;"",クライアント抽出!G16&lt;&gt;""),クライアント抽出!A16,"")</f>
        <v/>
      </c>
      <c r="D156" s="106" t="str">
        <f t="array" aca="1" ref="D156" ca="1">IF(C156&lt;&gt;"",INDIRECT("クライアント抽出!"&amp;E156&amp;MATCH(C156,クライアント抽出!A:A,0)&amp;""),"")</f>
        <v/>
      </c>
      <c r="E156" s="106" t="str">
        <f>IF(H156&lt;&gt;0,
IFERROR(
SUBSTITUTE(ADDRESS(1,
MATCH(VALUE(H156),クライアント抽出!A16:G16,0)+8,4),"1",""),
""),
IFERROR(
SUBSTITUTE(ADDRESS(1,
MATCH(VALUE(I156),クライアント抽出!A16:G16,0)+8,4),"1",""),
""))</f>
        <v/>
      </c>
      <c r="F156" s="187" t="str">
        <f ca="1">IF(D156&lt;&gt;"",
IF(COUNTIF(C156,"*雙葉*"),
IF(ROUND((H156-M156)
/IF(COUNTIF(D156,"*キャラ*"),
VLOOKUP("*キャラ*",商品マスタ!$D:$E,2,FALSE),
IF(COUNTIF(D156,"*赤*"),
VLOOKUP("*赤*",商品マスタ!$D:$E,2,FALSE),
VLOOKUP("*"&amp;D156&amp;"*",商品マスタ!$D:$E,2,FALSE))),0)&lt;=0,1,
ROUND((H156-M156)
/IF(COUNTIF(D156,"*キャラ*"),
VLOOKUP("*キャラ*",商品マスタ!$D:$E,2,FALSE),
IF(COUNTIF(D156,"*赤*"),
VLOOKUP("*赤*",商品マスタ!$D:$E,2,FALSE),
VLOOKUP("*"&amp;D156&amp;"*",商品マスタ!$D:$E,2,FALSE))),0)),
IF(OR(COUNTIF(D156,"*キャラ*"),COUNTIF(D156,"*赤*")),"",
IF(VLOOKUP("*"&amp;D156&amp;"*",商品マスタ!$D:$E,2,FALSE)=0,"",
IF(ROUND((H156-M156)
/VLOOKUP("*"&amp;D156&amp;"*",商品マスタ!$D:$E,2,FALSE),0)&lt;=0,1,
ROUND((H156-M156)
/VLOOKUP("*"&amp;D156&amp;"*",商品マスタ!$D:$E,2,FALSE),0))))),"")</f>
        <v/>
      </c>
      <c r="G156" s="106" t="str">
        <f ca="1">IF(F156&lt;&gt;"",
IF(VALUE(H156-M156)&gt;VALUE(IF(COUNTIF(D156,"*キャラ*"),
VLOOKUP("*キャラ*",商品マスタ!$D:$E,2,FALSE),
IF(COUNTIF(D156,"*赤*"),
VLOOKUP("*赤*",商品マスタ!$D:$E,2,FALSE),
VLOOKUP("*"&amp;D156&amp;"*",商品マスタ!$D:$E,2,FALSE)))*F156),
"+"&amp;(H156-M156)-IF(COUNTIF(D156,"*キャラ*"),
VLOOKUP("*キャラ*",商品マスタ!$D:$E,2,FALSE),
IF(COUNTIF(D156,"*赤*"),
VLOOKUP("*赤*",商品マスタ!$D:$E,2,FALSE),
VLOOKUP("*"&amp;D156&amp;"*",商品マスタ!$D:$E,2,FALSE)))*F156,
(H156-M156)-IF(COUNTIF(D156,"*キャラ*"),
VLOOKUP("*キャラ*",商品マスタ!$D:$E,2,FALSE),
IF(COUNTIF(D156,"*赤*"),
VLOOKUP("*赤*",商品マスタ!$D:$E,2,FALSE),
VLOOKUP("*"&amp;D156&amp;"*",商品マスタ!$D:$E,2,FALSE)))*F156),"")</f>
        <v/>
      </c>
      <c r="H156" s="108" t="str">
        <f>IF(C156&lt;&gt;"",
クライアント抽出!D16,"")</f>
        <v/>
      </c>
      <c r="I156" s="106" t="str">
        <f>IF(C156&lt;&gt;"",
IF(O156=1,0,クライアント抽出!F16),"")</f>
        <v/>
      </c>
      <c r="J156" s="106" t="str">
        <f>IF(C156&lt;&gt;"",
VLOOKUP(
"*"&amp;LEFT(IF(COUNTIF(D156,"*学食*"),"キャラ弁（学食）",
IF(COUNTIF(D156,"*赤*"),"赤",
IF(COUNTIF(D156,"*キャラ弁当*"),"キャラ弁当",D156))),4)&amp;"*",注文弁当の抽出!$F$1:$G$15,2,FALSE),"")</f>
        <v/>
      </c>
      <c r="K156" s="106" t="str">
        <f ca="1">IF(クライアント抽出!R16&lt;&gt;"",SUBSTITUTE(ADDRESS(1,(CODE(クライアント抽出!R16)-64)*2-1,4),"1",""),"")</f>
        <v/>
      </c>
      <c r="L156" s="106" t="str">
        <f>IF(C16&lt;&gt;"",クライアント抽出!I16,"")</f>
        <v/>
      </c>
      <c r="M156" s="106">
        <f t="array" aca="1" ref="M156" ca="1">IF(C156&lt;&gt;"",
IF(K156&lt;&gt;"",INDIRECT("'数出表_Excel（アレルギー入力）'!"&amp;K156&amp;L156-1&amp;""),),)</f>
        <v>0</v>
      </c>
      <c r="N156" s="106" t="str">
        <f>IF(C156&lt;&gt;"",IF(OR(COUNTIF('盛付札（関数）'!D156,"*赤*"),COUNTIF('盛付札（関数）'!D156,"*キャラ*")),1,
VALUE(VLOOKUP("*"&amp;D156&amp;"*",商品マスタ!D:H,5,FALSE))),"")</f>
        <v/>
      </c>
      <c r="O156" s="106">
        <f t="shared" ca="1" si="82"/>
        <v>0</v>
      </c>
      <c r="P156" s="106">
        <f t="shared" si="61"/>
        <v>0</v>
      </c>
      <c r="Q156" s="106" t="b">
        <f t="shared" si="62"/>
        <v>0</v>
      </c>
      <c r="R156" s="176" t="str">
        <f t="array" aca="1" ref="R156" ca="1">IFERROR(SMALL(IF(P$1:P$311&lt;&gt;0,P$1:P$311),ROW(A156)),"")</f>
        <v/>
      </c>
      <c r="S156" s="176" t="str">
        <f t="array" aca="1" ref="S156" ca="1">IF($R156&lt;&gt;"",
SUBSTITUTE(SUBSTITUTE(INDIRECT("C"&amp;$R156&amp;"")," 週3ｺｰｽ","")," 週5ｺｰｽ",""),"")</f>
        <v/>
      </c>
      <c r="T156" s="176" t="str">
        <f t="array" aca="1" ref="T156" ca="1">IF(IF($R156&lt;&gt;"",
INDIRECT(""&amp;IF(COLUMN(D156)&lt;=26,CHAR(COLUMN(D156)+64),CHAR(INT((COLUMN(D156)-1)/26)+64)&amp;CHAR(MOD(COLUMN(D156)-1,26)+65))&amp;$R156&amp;""),"")=0,"",
IF($R156&lt;&gt;"",
INDIRECT(""&amp;IF(COLUMN(D156)&lt;=26,CHAR(COLUMN(D156)+64),CHAR(INT((COLUMN(D156)-1)/26)+64)&amp;CHAR(MOD(COLUMN(D156)-1,26)+65))&amp;$R156&amp;""),""))</f>
        <v/>
      </c>
      <c r="U156" s="218" t="str">
        <f t="array" aca="1" ref="U156" ca="1">IF($R156&lt;&gt;"",
INDIRECT("F"&amp;$R156&amp;""),"")</f>
        <v/>
      </c>
      <c r="V156" s="219" t="str">
        <f t="array" aca="1" ref="V156" ca="1">IF($R156&lt;&gt;"",
INDIRECT("G"&amp;$R156&amp;""),"")</f>
        <v/>
      </c>
      <c r="W156" s="219" t="str" cm="1">
        <f t="array" aca="1" ref="W156" ca="1">IF($R156&lt;&gt;"",
IF(AND(COUNTIF(INDIRECT("B"&amp;R156&amp;""),"*雙葉*"),COUNTIF($B$71:$B$210,"*雙葉*")&gt;=1),
IF(OR(COUNTIF(INDIRECT("B"&amp;R156&amp;""),"*雙葉先生*"),COUNTIF(INDIRECT("B"&amp;R156-1&amp;""),"*雙葉*")),INDIRECT("H"&amp;R156&amp;""),INDIRECT("H"&amp;R156&amp;"")+INDIRECT("H"&amp;MATCH("雙葉'",INDIRECT("B"&amp;R156+3&amp;":B210"),0)+2+R156&amp;"")),
IF(AND(LEFT(INDIRECT("B"&amp;R156&amp;""),2)="博多",COUNTIF(B:B,"*博多*")&gt;=2),
INDIRECT("H"&amp;R156&amp;"")+IFERROR(INDIRECT("H"&amp;MATCH("*"&amp;INDIRECT("B"&amp;R156&amp;"")&amp;"*",INDIRECT("B"&amp;R156+1&amp;":B210"),0)+R156&amp;""),0),
IF(AND(LEFT(INDIRECT("B"&amp;R156&amp;""),3)="奈良屋",COUNTIF(B:B,"*奈良屋*")&gt;=2),
INDIRECT("H"&amp;R156&amp;"")
+INDIRECT("H"&amp;MATCH("*"&amp;INDIRECT("B"&amp;R156&amp;"")&amp;"*",INDIRECT("B"&amp;R156+1&amp;":B210"),0)+R156&amp;"")
+INDIRECT("H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
+INDIRECT("H"&amp;MATCH("*"&amp;INDIRECT("B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&amp;"*",INDIRECT("B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+1&amp;":B210"),0)+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,
INDIRECT("H"&amp;R156&amp;"")))),"")</f>
        <v/>
      </c>
      <c r="X156" s="176" t="str">
        <f t="array" aca="1" ref="X156" ca="1">IF($R156&lt;&gt;"",
INDIRECT(""&amp;IF(COLUMN(I156)&lt;=26,CHAR(COLUMN(I156)+64),CHAR(INT((COLUMN(I156)-1)/26)+64)&amp;CHAR(MOD(COLUMN(I156)-1,26)+65))&amp;$R156&amp;""),"")</f>
        <v/>
      </c>
      <c r="Y156" s="176" t="str">
        <f t="array" aca="1" ref="Y156" ca="1">IF($R156&lt;&gt;"",
INDIRECT(""&amp;IF(COLUMN(J156)&lt;=26,CHAR(COLUMN(J156)+64),CHAR(INT((COLUMN(J156)-1)/26)+64)&amp;CHAR(MOD(COLUMN(J156)-1,26)+65))&amp;$R156&amp;""),"")</f>
        <v/>
      </c>
      <c r="Z156" s="176" t="str">
        <f t="shared" ca="1" si="63"/>
        <v/>
      </c>
      <c r="AA156" s="176" t="str">
        <f t="shared" ca="1" si="64"/>
        <v/>
      </c>
      <c r="AB156" s="176" t="str">
        <f t="array" aca="1" ref="AB156" ca="1">IF($R156&lt;&gt;"",
IF(AND(COUNTIF(INDIRECT("B"&amp;R156&amp;""),"*雙葉*"),COUNTIF(INDIRECT("B"&amp;R156&amp;""),"&lt;&gt;*先生*"),COUNTIF(B:B,"*雙葉*")&gt;=2),
INDIRECT("M"&amp;R156&amp;"")+INDIRECT("M"&amp;MATCH("雙葉'",INDIRECT("B"&amp;R156+1&amp;":B210"),0)+R156&amp;""),
IF(AND(LEFT(INDIRECT("B"&amp;R156&amp;""),2)="博多",COUNTIF(B:B,"*博多*")&gt;=2),
INDIRECT("M"&amp;R156&amp;"")+INDIRECT("M"&amp;MATCH("*"&amp;INDIRECT("B"&amp;R156&amp;"")&amp;"*",INDIRECT("B"&amp;R156+1&amp;":B210"),0)+R156&amp;""),
IF(AND(LEFT(INDIRECT("B"&amp;R156&amp;""),3)="奈良屋",COUNTIF(B:B,"*奈良屋*")&gt;=2),
INDIRECT("M"&amp;R156&amp;"")+INDIRECT("M"&amp;MATCH("*"&amp;INDIRECT("B"&amp;R156&amp;"")&amp;"*",INDIRECT("B"&amp;R156+1&amp;":B210"),0)+R156&amp;"")
+INDIRECT("M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,
INDIRECT("M"&amp;R156&amp;"")))),"")</f>
        <v/>
      </c>
      <c r="AC156" s="176" t="str">
        <f t="shared" ca="1" si="65"/>
        <v/>
      </c>
      <c r="AD156" s="176" t="str">
        <f t="shared" ca="1" si="66"/>
        <v/>
      </c>
      <c r="AE156" s="176" t="str">
        <f t="shared" ca="1" si="67"/>
        <v/>
      </c>
      <c r="AF156" s="176" t="str">
        <f t="shared" ca="1" si="68"/>
        <v/>
      </c>
      <c r="AG156" s="176" t="str">
        <f t="shared" ca="1" si="69"/>
        <v/>
      </c>
      <c r="AH156" s="183" t="str">
        <f t="shared" ca="1" si="70"/>
        <v/>
      </c>
      <c r="AI156" s="176" t="str">
        <f t="shared" ca="1" si="71"/>
        <v/>
      </c>
      <c r="AJ156" s="176" t="str">
        <f t="shared" ca="1" si="72"/>
        <v/>
      </c>
      <c r="AK156" s="176" t="str">
        <f t="shared" ca="1" si="73"/>
        <v/>
      </c>
      <c r="AL156" s="176" t="str">
        <f t="shared" ca="1" si="74"/>
        <v/>
      </c>
      <c r="AM156" s="176" t="str">
        <f t="shared" ca="1" si="75"/>
        <v/>
      </c>
      <c r="AN156" s="176" t="str">
        <f t="shared" ca="1" si="76"/>
        <v/>
      </c>
      <c r="AO156" s="176" t="str">
        <f t="shared" ca="1" si="77"/>
        <v/>
      </c>
      <c r="AP156" s="176" t="str">
        <f t="shared" ca="1" si="78"/>
        <v/>
      </c>
      <c r="AU156" s="176" t="str">
        <f t="shared" ca="1" si="79"/>
        <v/>
      </c>
    </row>
    <row r="157" spans="1:47" ht="22.2" customHeight="1">
      <c r="A157" s="107">
        <f t="shared" si="83"/>
        <v>39</v>
      </c>
      <c r="B157" s="106" t="str">
        <f t="shared" ca="1" si="80"/>
        <v/>
      </c>
      <c r="C157" s="106" t="str">
        <f>IF(OR(クライアント抽出!D17&lt;&gt;"",クライアント抽出!G17&lt;&gt;""),クライアント抽出!A17,"")</f>
        <v/>
      </c>
      <c r="D157" s="106" t="str">
        <f t="array" aca="1" ref="D157" ca="1">IF(C157&lt;&gt;"",INDIRECT("クライアント抽出!"&amp;E157&amp;MATCH(C157,クライアント抽出!A:A,0)&amp;""),"")</f>
        <v/>
      </c>
      <c r="E157" s="106" t="str">
        <f>IF(H157&lt;&gt;0,
IFERROR(
SUBSTITUTE(ADDRESS(1,
MATCH(VALUE(H157),クライアント抽出!A17:G17,0)+8,4),"1",""),
""),
IFERROR(
SUBSTITUTE(ADDRESS(1,
MATCH(VALUE(I157),クライアント抽出!A17:G17,0)+8,4),"1",""),
""))</f>
        <v/>
      </c>
      <c r="F157" s="187" t="str">
        <f ca="1">IF(D157&lt;&gt;"",
IF(COUNTIF(C157,"*雙葉*"),
IF(ROUND((H157-M157)
/IF(COUNTIF(D157,"*キャラ*"),
VLOOKUP("*キャラ*",商品マスタ!$D:$E,2,FALSE),
IF(COUNTIF(D157,"*赤*"),
VLOOKUP("*赤*",商品マスタ!$D:$E,2,FALSE),
VLOOKUP("*"&amp;D157&amp;"*",商品マスタ!$D:$E,2,FALSE))),0)&lt;=0,1,
ROUND((H157-M157)
/IF(COUNTIF(D157,"*キャラ*"),
VLOOKUP("*キャラ*",商品マスタ!$D:$E,2,FALSE),
IF(COUNTIF(D157,"*赤*"),
VLOOKUP("*赤*",商品マスタ!$D:$E,2,FALSE),
VLOOKUP("*"&amp;D157&amp;"*",商品マスタ!$D:$E,2,FALSE))),0)),
IF(OR(COUNTIF(D157,"*キャラ*"),COUNTIF(D157,"*赤*")),"",
IF(VLOOKUP("*"&amp;D157&amp;"*",商品マスタ!$D:$E,2,FALSE)=0,"",
IF(ROUND((H157-M157)
/VLOOKUP("*"&amp;D157&amp;"*",商品マスタ!$D:$E,2,FALSE),0)&lt;=0,1,
ROUND((H157-M157)
/VLOOKUP("*"&amp;D157&amp;"*",商品マスタ!$D:$E,2,FALSE),0))))),"")</f>
        <v/>
      </c>
      <c r="G157" s="106" t="str">
        <f ca="1">IF(F157&lt;&gt;"",
IF(VALUE(H157-M157)&gt;VALUE(IF(COUNTIF(D157,"*キャラ*"),
VLOOKUP("*キャラ*",商品マスタ!$D:$E,2,FALSE),
IF(COUNTIF(D157,"*赤*"),
VLOOKUP("*赤*",商品マスタ!$D:$E,2,FALSE),
VLOOKUP("*"&amp;D157&amp;"*",商品マスタ!$D:$E,2,FALSE)))*F157),
"+"&amp;(H157-M157)-IF(COUNTIF(D157,"*キャラ*"),
VLOOKUP("*キャラ*",商品マスタ!$D:$E,2,FALSE),
IF(COUNTIF(D157,"*赤*"),
VLOOKUP("*赤*",商品マスタ!$D:$E,2,FALSE),
VLOOKUP("*"&amp;D157&amp;"*",商品マスタ!$D:$E,2,FALSE)))*F157,
(H157-M157)-IF(COUNTIF(D157,"*キャラ*"),
VLOOKUP("*キャラ*",商品マスタ!$D:$E,2,FALSE),
IF(COUNTIF(D157,"*赤*"),
VLOOKUP("*赤*",商品マスタ!$D:$E,2,FALSE),
VLOOKUP("*"&amp;D157&amp;"*",商品マスタ!$D:$E,2,FALSE)))*F157),"")</f>
        <v/>
      </c>
      <c r="H157" s="108" t="str">
        <f>IF(C157&lt;&gt;"",
クライアント抽出!D17,"")</f>
        <v/>
      </c>
      <c r="I157" s="106" t="str">
        <f>IF(C157&lt;&gt;"",
IF(O157=1,0,クライアント抽出!F17),"")</f>
        <v/>
      </c>
      <c r="J157" s="106" t="str">
        <f>IF(C157&lt;&gt;"",
VLOOKUP(
"*"&amp;LEFT(IF(COUNTIF(D157,"*学食*"),"キャラ弁（学食）",
IF(COUNTIF(D157,"*赤*"),"赤",
IF(COUNTIF(D157,"*キャラ弁当*"),"キャラ弁当",D157))),4)&amp;"*",注文弁当の抽出!$F$1:$G$15,2,FALSE),"")</f>
        <v/>
      </c>
      <c r="K157" s="106" t="str">
        <f ca="1">IF(クライアント抽出!R17&lt;&gt;"",SUBSTITUTE(ADDRESS(1,(CODE(クライアント抽出!R17)-64)*2-1,4),"1",""),"")</f>
        <v/>
      </c>
      <c r="L157" s="106" t="str">
        <f>IF(C17&lt;&gt;"",クライアント抽出!I17,"")</f>
        <v/>
      </c>
      <c r="M157" s="106">
        <f t="array" aca="1" ref="M157" ca="1">IF(C157&lt;&gt;"",
IF(K157&lt;&gt;"",INDIRECT("'数出表_Excel（アレルギー入力）'!"&amp;K157&amp;L157-1&amp;""),),)</f>
        <v>0</v>
      </c>
      <c r="N157" s="106" t="str">
        <f>IF(C157&lt;&gt;"",IF(OR(COUNTIF('盛付札（関数）'!D157,"*赤*"),COUNTIF('盛付札（関数）'!D157,"*キャラ*")),1,
VALUE(VLOOKUP("*"&amp;D157&amp;"*",商品マスタ!D:H,5,FALSE))),"")</f>
        <v/>
      </c>
      <c r="O157" s="106">
        <f t="shared" ca="1" si="82"/>
        <v>0</v>
      </c>
      <c r="P157" s="106">
        <f t="shared" si="61"/>
        <v>0</v>
      </c>
      <c r="Q157" s="106" t="b">
        <f t="shared" si="62"/>
        <v>0</v>
      </c>
      <c r="R157" s="176" t="str">
        <f t="array" aca="1" ref="R157" ca="1">IFERROR(SMALL(IF(P$1:P$311&lt;&gt;0,P$1:P$311),ROW(A157)),"")</f>
        <v/>
      </c>
      <c r="S157" s="176" t="str">
        <f t="array" aca="1" ref="S157" ca="1">IF($R157&lt;&gt;"",
SUBSTITUTE(SUBSTITUTE(INDIRECT("C"&amp;$R157&amp;"")," 週3ｺｰｽ","")," 週5ｺｰｽ",""),"")</f>
        <v/>
      </c>
      <c r="T157" s="176" t="str">
        <f t="array" aca="1" ref="T157" ca="1">IF(IF($R157&lt;&gt;"",
INDIRECT(""&amp;IF(COLUMN(D157)&lt;=26,CHAR(COLUMN(D157)+64),CHAR(INT((COLUMN(D157)-1)/26)+64)&amp;CHAR(MOD(COLUMN(D157)-1,26)+65))&amp;$R157&amp;""),"")=0,"",
IF($R157&lt;&gt;"",
INDIRECT(""&amp;IF(COLUMN(D157)&lt;=26,CHAR(COLUMN(D157)+64),CHAR(INT((COLUMN(D157)-1)/26)+64)&amp;CHAR(MOD(COLUMN(D157)-1,26)+65))&amp;$R157&amp;""),""))</f>
        <v/>
      </c>
      <c r="U157" s="218" t="str">
        <f t="array" aca="1" ref="U157" ca="1">IF($R157&lt;&gt;"",
INDIRECT("F"&amp;$R157&amp;""),"")</f>
        <v/>
      </c>
      <c r="V157" s="219" t="str">
        <f t="array" aca="1" ref="V157" ca="1">IF($R157&lt;&gt;"",
INDIRECT("G"&amp;$R157&amp;""),"")</f>
        <v/>
      </c>
      <c r="W157" s="219" t="str" cm="1">
        <f t="array" aca="1" ref="W157" ca="1">IF($R157&lt;&gt;"",
IF(AND(COUNTIF(INDIRECT("B"&amp;R157&amp;""),"*雙葉*"),COUNTIF($B$71:$B$210,"*雙葉*")&gt;=1),
IF(OR(COUNTIF(INDIRECT("B"&amp;R157&amp;""),"*雙葉先生*"),COUNTIF(INDIRECT("B"&amp;R157-1&amp;""),"*雙葉*")),INDIRECT("H"&amp;R157&amp;""),INDIRECT("H"&amp;R157&amp;"")+INDIRECT("H"&amp;MATCH("雙葉'",INDIRECT("B"&amp;R157+3&amp;":B210"),0)+2+R157&amp;"")),
IF(AND(LEFT(INDIRECT("B"&amp;R157&amp;""),2)="博多",COUNTIF(B:B,"*博多*")&gt;=2),
INDIRECT("H"&amp;R157&amp;"")+IFERROR(INDIRECT("H"&amp;MATCH("*"&amp;INDIRECT("B"&amp;R157&amp;"")&amp;"*",INDIRECT("B"&amp;R157+1&amp;":B210"),0)+R157&amp;""),0),
IF(AND(LEFT(INDIRECT("B"&amp;R157&amp;""),3)="奈良屋",COUNTIF(B:B,"*奈良屋*")&gt;=2),
INDIRECT("H"&amp;R157&amp;"")
+INDIRECT("H"&amp;MATCH("*"&amp;INDIRECT("B"&amp;R157&amp;"")&amp;"*",INDIRECT("B"&amp;R157+1&amp;":B210"),0)+R157&amp;"")
+INDIRECT("H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
+INDIRECT("H"&amp;MATCH("*"&amp;INDIRECT("B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&amp;"*",INDIRECT("B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+1&amp;":B210"),0)+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,
INDIRECT("H"&amp;R157&amp;"")))),"")</f>
        <v/>
      </c>
      <c r="X157" s="176" t="str">
        <f t="array" aca="1" ref="X157" ca="1">IF($R157&lt;&gt;"",
INDIRECT(""&amp;IF(COLUMN(I157)&lt;=26,CHAR(COLUMN(I157)+64),CHAR(INT((COLUMN(I157)-1)/26)+64)&amp;CHAR(MOD(COLUMN(I157)-1,26)+65))&amp;$R157&amp;""),"")</f>
        <v/>
      </c>
      <c r="Y157" s="176" t="str">
        <f t="array" aca="1" ref="Y157" ca="1">IF($R157&lt;&gt;"",
INDIRECT(""&amp;IF(COLUMN(J157)&lt;=26,CHAR(COLUMN(J157)+64),CHAR(INT((COLUMN(J157)-1)/26)+64)&amp;CHAR(MOD(COLUMN(J157)-1,26)+65))&amp;$R157&amp;""),"")</f>
        <v/>
      </c>
      <c r="Z157" s="176" t="str">
        <f t="shared" ca="1" si="63"/>
        <v/>
      </c>
      <c r="AA157" s="176" t="str">
        <f t="shared" ca="1" si="64"/>
        <v/>
      </c>
      <c r="AB157" s="176" t="str">
        <f t="array" aca="1" ref="AB157" ca="1">IF($R157&lt;&gt;"",
IF(AND(COUNTIF(INDIRECT("B"&amp;R157&amp;""),"*雙葉*"),COUNTIF(INDIRECT("B"&amp;R157&amp;""),"&lt;&gt;*先生*"),COUNTIF(B:B,"*雙葉*")&gt;=2),
INDIRECT("M"&amp;R157&amp;"")+INDIRECT("M"&amp;MATCH("雙葉'",INDIRECT("B"&amp;R157+1&amp;":B210"),0)+R157&amp;""),
IF(AND(LEFT(INDIRECT("B"&amp;R157&amp;""),2)="博多",COUNTIF(B:B,"*博多*")&gt;=2),
INDIRECT("M"&amp;R157&amp;"")+INDIRECT("M"&amp;MATCH("*"&amp;INDIRECT("B"&amp;R157&amp;"")&amp;"*",INDIRECT("B"&amp;R157+1&amp;":B210"),0)+R157&amp;""),
IF(AND(LEFT(INDIRECT("B"&amp;R157&amp;""),3)="奈良屋",COUNTIF(B:B,"*奈良屋*")&gt;=2),
INDIRECT("M"&amp;R157&amp;"")+INDIRECT("M"&amp;MATCH("*"&amp;INDIRECT("B"&amp;R157&amp;"")&amp;"*",INDIRECT("B"&amp;R157+1&amp;":B210"),0)+R157&amp;"")
+INDIRECT("M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,
INDIRECT("M"&amp;R157&amp;"")))),"")</f>
        <v/>
      </c>
      <c r="AC157" s="176" t="str">
        <f t="shared" ca="1" si="65"/>
        <v/>
      </c>
      <c r="AD157" s="176" t="str">
        <f t="shared" ca="1" si="66"/>
        <v/>
      </c>
      <c r="AE157" s="176" t="str">
        <f t="shared" ca="1" si="67"/>
        <v/>
      </c>
      <c r="AF157" s="176" t="str">
        <f t="shared" ca="1" si="68"/>
        <v/>
      </c>
      <c r="AG157" s="176" t="str">
        <f t="shared" ca="1" si="69"/>
        <v/>
      </c>
      <c r="AH157" s="183" t="str">
        <f t="shared" ca="1" si="70"/>
        <v/>
      </c>
      <c r="AI157" s="176" t="str">
        <f t="shared" ca="1" si="71"/>
        <v/>
      </c>
      <c r="AJ157" s="176" t="str">
        <f t="shared" ca="1" si="72"/>
        <v/>
      </c>
      <c r="AK157" s="176" t="str">
        <f t="shared" ca="1" si="73"/>
        <v/>
      </c>
      <c r="AL157" s="176" t="str">
        <f t="shared" ca="1" si="74"/>
        <v/>
      </c>
      <c r="AM157" s="176" t="str">
        <f t="shared" ca="1" si="75"/>
        <v/>
      </c>
      <c r="AN157" s="176" t="str">
        <f t="shared" ca="1" si="76"/>
        <v/>
      </c>
      <c r="AO157" s="176" t="str">
        <f t="shared" ca="1" si="77"/>
        <v/>
      </c>
      <c r="AP157" s="176" t="str">
        <f t="shared" ca="1" si="78"/>
        <v/>
      </c>
      <c r="AU157" s="176" t="str">
        <f t="shared" ca="1" si="79"/>
        <v/>
      </c>
    </row>
    <row r="158" spans="1:47" ht="22.2" customHeight="1">
      <c r="A158" s="107">
        <f t="shared" si="83"/>
        <v>41</v>
      </c>
      <c r="B158" s="106" t="str">
        <f t="shared" ca="1" si="80"/>
        <v/>
      </c>
      <c r="C158" s="106" t="str">
        <f>IF(OR(クライアント抽出!D18&lt;&gt;"",クライアント抽出!G18&lt;&gt;""),クライアント抽出!A18,"")</f>
        <v/>
      </c>
      <c r="D158" s="106" t="str">
        <f t="array" aca="1" ref="D158" ca="1">IF(C158&lt;&gt;"",INDIRECT("クライアント抽出!"&amp;E158&amp;MATCH(C158,クライアント抽出!A:A,0)&amp;""),"")</f>
        <v/>
      </c>
      <c r="E158" s="106" t="str">
        <f>IF(H158&lt;&gt;0,
IFERROR(
SUBSTITUTE(ADDRESS(1,
MATCH(VALUE(H158),クライアント抽出!A18:G18,0)+8,4),"1",""),
""),
IFERROR(
SUBSTITUTE(ADDRESS(1,
MATCH(VALUE(I158),クライアント抽出!A18:G18,0)+8,4),"1",""),
""))</f>
        <v/>
      </c>
      <c r="F158" s="187" t="str">
        <f ca="1">IF(D158&lt;&gt;"",
IF(COUNTIF(C158,"*雙葉*"),
IF(ROUND((H158-M158)
/IF(COUNTIF(D158,"*キャラ*"),
VLOOKUP("*キャラ*",商品マスタ!$D:$E,2,FALSE),
IF(COUNTIF(D158,"*赤*"),
VLOOKUP("*赤*",商品マスタ!$D:$E,2,FALSE),
VLOOKUP("*"&amp;D158&amp;"*",商品マスタ!$D:$E,2,FALSE))),0)&lt;=0,1,
ROUND((H158-M158)
/IF(COUNTIF(D158,"*キャラ*"),
VLOOKUP("*キャラ*",商品マスタ!$D:$E,2,FALSE),
IF(COUNTIF(D158,"*赤*"),
VLOOKUP("*赤*",商品マスタ!$D:$E,2,FALSE),
VLOOKUP("*"&amp;D158&amp;"*",商品マスタ!$D:$E,2,FALSE))),0)),
IF(OR(COUNTIF(D158,"*キャラ*"),COUNTIF(D158,"*赤*")),"",
IF(VLOOKUP("*"&amp;D158&amp;"*",商品マスタ!$D:$E,2,FALSE)=0,"",
IF(ROUND((H158-M158)
/VLOOKUP("*"&amp;D158&amp;"*",商品マスタ!$D:$E,2,FALSE),0)&lt;=0,1,
ROUND((H158-M158)
/VLOOKUP("*"&amp;D158&amp;"*",商品マスタ!$D:$E,2,FALSE),0))))),"")</f>
        <v/>
      </c>
      <c r="G158" s="106" t="str">
        <f ca="1">IF(F158&lt;&gt;"",
IF(VALUE(H158-M158)&gt;VALUE(IF(COUNTIF(D158,"*キャラ*"),
VLOOKUP("*キャラ*",商品マスタ!$D:$E,2,FALSE),
IF(COUNTIF(D158,"*赤*"),
VLOOKUP("*赤*",商品マスタ!$D:$E,2,FALSE),
VLOOKUP("*"&amp;D158&amp;"*",商品マスタ!$D:$E,2,FALSE)))*F158),
"+"&amp;(H158-M158)-IF(COUNTIF(D158,"*キャラ*"),
VLOOKUP("*キャラ*",商品マスタ!$D:$E,2,FALSE),
IF(COUNTIF(D158,"*赤*"),
VLOOKUP("*赤*",商品マスタ!$D:$E,2,FALSE),
VLOOKUP("*"&amp;D158&amp;"*",商品マスタ!$D:$E,2,FALSE)))*F158,
(H158-M158)-IF(COUNTIF(D158,"*キャラ*"),
VLOOKUP("*キャラ*",商品マスタ!$D:$E,2,FALSE),
IF(COUNTIF(D158,"*赤*"),
VLOOKUP("*赤*",商品マスタ!$D:$E,2,FALSE),
VLOOKUP("*"&amp;D158&amp;"*",商品マスタ!$D:$E,2,FALSE)))*F158),"")</f>
        <v/>
      </c>
      <c r="H158" s="108" t="str">
        <f>IF(C158&lt;&gt;"",
クライアント抽出!D18,"")</f>
        <v/>
      </c>
      <c r="I158" s="106" t="str">
        <f>IF(C158&lt;&gt;"",
IF(O158=1,0,クライアント抽出!F18),"")</f>
        <v/>
      </c>
      <c r="J158" s="106" t="str">
        <f>IF(C158&lt;&gt;"",
VLOOKUP(
"*"&amp;LEFT(IF(COUNTIF(D158,"*学食*"),"キャラ弁（学食）",
IF(COUNTIF(D158,"*赤*"),"赤",
IF(COUNTIF(D158,"*キャラ弁当*"),"キャラ弁当",D158))),4)&amp;"*",注文弁当の抽出!$F$1:$G$15,2,FALSE),"")</f>
        <v/>
      </c>
      <c r="K158" s="106" t="str">
        <f ca="1">IF(クライアント抽出!R18&lt;&gt;"",SUBSTITUTE(ADDRESS(1,(CODE(クライアント抽出!R18)-64)*2-1,4),"1",""),"")</f>
        <v/>
      </c>
      <c r="L158" s="106" t="str">
        <f>IF(C18&lt;&gt;"",クライアント抽出!I18,"")</f>
        <v/>
      </c>
      <c r="M158" s="106">
        <f t="array" aca="1" ref="M158" ca="1">IF(C158&lt;&gt;"",
IF(K158&lt;&gt;"",INDIRECT("'数出表_Excel（アレルギー入力）'!"&amp;K158&amp;L158-1&amp;""),),)</f>
        <v>0</v>
      </c>
      <c r="N158" s="106" t="str">
        <f>IF(C158&lt;&gt;"",IF(OR(COUNTIF('盛付札（関数）'!D158,"*赤*"),COUNTIF('盛付札（関数）'!D158,"*キャラ*")),1,
VALUE(VLOOKUP("*"&amp;D158&amp;"*",商品マスタ!D:H,5,FALSE))),"")</f>
        <v/>
      </c>
      <c r="O158" s="106">
        <f t="shared" ca="1" si="82"/>
        <v>0</v>
      </c>
      <c r="P158" s="106">
        <f t="shared" si="61"/>
        <v>0</v>
      </c>
      <c r="Q158" s="106" t="b">
        <f t="shared" si="62"/>
        <v>0</v>
      </c>
      <c r="R158" s="176" t="str">
        <f t="array" aca="1" ref="R158" ca="1">IFERROR(SMALL(IF(P$1:P$311&lt;&gt;0,P$1:P$311),ROW(A158)),"")</f>
        <v/>
      </c>
      <c r="S158" s="176" t="str">
        <f t="array" aca="1" ref="S158" ca="1">IF($R158&lt;&gt;"",
SUBSTITUTE(SUBSTITUTE(INDIRECT("C"&amp;$R158&amp;"")," 週3ｺｰｽ","")," 週5ｺｰｽ",""),"")</f>
        <v/>
      </c>
      <c r="T158" s="176" t="str">
        <f t="array" aca="1" ref="T158" ca="1">IF(IF($R158&lt;&gt;"",
INDIRECT(""&amp;IF(COLUMN(D158)&lt;=26,CHAR(COLUMN(D158)+64),CHAR(INT((COLUMN(D158)-1)/26)+64)&amp;CHAR(MOD(COLUMN(D158)-1,26)+65))&amp;$R158&amp;""),"")=0,"",
IF($R158&lt;&gt;"",
INDIRECT(""&amp;IF(COLUMN(D158)&lt;=26,CHAR(COLUMN(D158)+64),CHAR(INT((COLUMN(D158)-1)/26)+64)&amp;CHAR(MOD(COLUMN(D158)-1,26)+65))&amp;$R158&amp;""),""))</f>
        <v/>
      </c>
      <c r="U158" s="218" t="str">
        <f t="array" aca="1" ref="U158" ca="1">IF($R158&lt;&gt;"",
INDIRECT("F"&amp;$R158&amp;""),"")</f>
        <v/>
      </c>
      <c r="V158" s="219" t="str">
        <f t="array" aca="1" ref="V158" ca="1">IF($R158&lt;&gt;"",
INDIRECT("G"&amp;$R158&amp;""),"")</f>
        <v/>
      </c>
      <c r="W158" s="219" t="str" cm="1">
        <f t="array" aca="1" ref="W158" ca="1">IF($R158&lt;&gt;"",
IF(AND(COUNTIF(INDIRECT("B"&amp;R158&amp;""),"*雙葉*"),COUNTIF($B$71:$B$210,"*雙葉*")&gt;=1),
IF(OR(COUNTIF(INDIRECT("B"&amp;R158&amp;""),"*雙葉先生*"),COUNTIF(INDIRECT("B"&amp;R158-1&amp;""),"*雙葉*")),INDIRECT("H"&amp;R158&amp;""),INDIRECT("H"&amp;R158&amp;"")+INDIRECT("H"&amp;MATCH("雙葉'",INDIRECT("B"&amp;R158+3&amp;":B210"),0)+2+R158&amp;"")),
IF(AND(LEFT(INDIRECT("B"&amp;R158&amp;""),2)="博多",COUNTIF(B:B,"*博多*")&gt;=2),
INDIRECT("H"&amp;R158&amp;"")+IFERROR(INDIRECT("H"&amp;MATCH("*"&amp;INDIRECT("B"&amp;R158&amp;"")&amp;"*",INDIRECT("B"&amp;R158+1&amp;":B210"),0)+R158&amp;""),0),
IF(AND(LEFT(INDIRECT("B"&amp;R158&amp;""),3)="奈良屋",COUNTIF(B:B,"*奈良屋*")&gt;=2),
INDIRECT("H"&amp;R158&amp;"")
+INDIRECT("H"&amp;MATCH("*"&amp;INDIRECT("B"&amp;R158&amp;"")&amp;"*",INDIRECT("B"&amp;R158+1&amp;":B210"),0)+R158&amp;"")
+INDIRECT("H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
+INDIRECT("H"&amp;MATCH("*"&amp;INDIRECT("B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&amp;"*",INDIRECT("B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+1&amp;":B210"),0)+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,
INDIRECT("H"&amp;R158&amp;"")))),"")</f>
        <v/>
      </c>
      <c r="X158" s="176" t="str">
        <f t="array" aca="1" ref="X158" ca="1">IF($R158&lt;&gt;"",
INDIRECT(""&amp;IF(COLUMN(I158)&lt;=26,CHAR(COLUMN(I158)+64),CHAR(INT((COLUMN(I158)-1)/26)+64)&amp;CHAR(MOD(COLUMN(I158)-1,26)+65))&amp;$R158&amp;""),"")</f>
        <v/>
      </c>
      <c r="Y158" s="176" t="str">
        <f t="array" aca="1" ref="Y158" ca="1">IF($R158&lt;&gt;"",
INDIRECT(""&amp;IF(COLUMN(J158)&lt;=26,CHAR(COLUMN(J158)+64),CHAR(INT((COLUMN(J158)-1)/26)+64)&amp;CHAR(MOD(COLUMN(J158)-1,26)+65))&amp;$R158&amp;""),"")</f>
        <v/>
      </c>
      <c r="Z158" s="176" t="str">
        <f t="shared" ca="1" si="63"/>
        <v/>
      </c>
      <c r="AA158" s="176" t="str">
        <f t="shared" ca="1" si="64"/>
        <v/>
      </c>
      <c r="AB158" s="176" t="str">
        <f t="array" aca="1" ref="AB158" ca="1">IF($R158&lt;&gt;"",
IF(AND(COUNTIF(INDIRECT("B"&amp;R158&amp;""),"*雙葉*"),COUNTIF(INDIRECT("B"&amp;R158&amp;""),"&lt;&gt;*先生*"),COUNTIF(B:B,"*雙葉*")&gt;=2),
INDIRECT("M"&amp;R158&amp;"")+INDIRECT("M"&amp;MATCH("雙葉'",INDIRECT("B"&amp;R158+1&amp;":B210"),0)+R158&amp;""),
IF(AND(LEFT(INDIRECT("B"&amp;R158&amp;""),2)="博多",COUNTIF(B:B,"*博多*")&gt;=2),
INDIRECT("M"&amp;R158&amp;"")+INDIRECT("M"&amp;MATCH("*"&amp;INDIRECT("B"&amp;R158&amp;"")&amp;"*",INDIRECT("B"&amp;R158+1&amp;":B210"),0)+R158&amp;""),
IF(AND(LEFT(INDIRECT("B"&amp;R158&amp;""),3)="奈良屋",COUNTIF(B:B,"*奈良屋*")&gt;=2),
INDIRECT("M"&amp;R158&amp;"")+INDIRECT("M"&amp;MATCH("*"&amp;INDIRECT("B"&amp;R158&amp;"")&amp;"*",INDIRECT("B"&amp;R158+1&amp;":B210"),0)+R158&amp;"")
+INDIRECT("M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,
INDIRECT("M"&amp;R158&amp;"")))),"")</f>
        <v/>
      </c>
      <c r="AC158" s="176" t="str">
        <f t="shared" ca="1" si="65"/>
        <v/>
      </c>
      <c r="AD158" s="176" t="str">
        <f t="shared" ca="1" si="66"/>
        <v/>
      </c>
      <c r="AE158" s="176" t="str">
        <f t="shared" ca="1" si="67"/>
        <v/>
      </c>
      <c r="AF158" s="176" t="str">
        <f t="shared" ca="1" si="68"/>
        <v/>
      </c>
      <c r="AG158" s="176" t="str">
        <f t="shared" ca="1" si="69"/>
        <v/>
      </c>
      <c r="AH158" s="183" t="str">
        <f t="shared" ca="1" si="70"/>
        <v/>
      </c>
      <c r="AI158" s="176" t="str">
        <f t="shared" ca="1" si="71"/>
        <v/>
      </c>
      <c r="AJ158" s="176" t="str">
        <f t="shared" ca="1" si="72"/>
        <v/>
      </c>
      <c r="AK158" s="176" t="str">
        <f t="shared" ca="1" si="73"/>
        <v/>
      </c>
      <c r="AL158" s="176" t="str">
        <f t="shared" ca="1" si="74"/>
        <v/>
      </c>
      <c r="AM158" s="176" t="str">
        <f t="shared" ca="1" si="75"/>
        <v/>
      </c>
      <c r="AN158" s="176" t="str">
        <f t="shared" ca="1" si="76"/>
        <v/>
      </c>
      <c r="AO158" s="176" t="str">
        <f t="shared" ca="1" si="77"/>
        <v/>
      </c>
      <c r="AP158" s="176" t="str">
        <f t="shared" ca="1" si="78"/>
        <v/>
      </c>
      <c r="AU158" s="176" t="str">
        <f t="shared" ca="1" si="79"/>
        <v/>
      </c>
    </row>
    <row r="159" spans="1:47" ht="22.2" customHeight="1">
      <c r="A159" s="107">
        <f t="shared" si="83"/>
        <v>43</v>
      </c>
      <c r="B159" s="106" t="str">
        <f t="shared" ca="1" si="80"/>
        <v/>
      </c>
      <c r="C159" s="106" t="str">
        <f>IF(OR(クライアント抽出!D19&lt;&gt;"",クライアント抽出!G19&lt;&gt;""),クライアント抽出!A19,"")</f>
        <v/>
      </c>
      <c r="D159" s="106" t="str">
        <f t="array" aca="1" ref="D159" ca="1">IF(C159&lt;&gt;"",INDIRECT("クライアント抽出!"&amp;E159&amp;MATCH(C159,クライアント抽出!A:A,0)&amp;""),"")</f>
        <v/>
      </c>
      <c r="E159" s="106" t="str">
        <f>IF(H159&lt;&gt;0,
IFERROR(
SUBSTITUTE(ADDRESS(1,
MATCH(VALUE(H159),クライアント抽出!A19:G19,0)+8,4),"1",""),
""),
IFERROR(
SUBSTITUTE(ADDRESS(1,
MATCH(VALUE(I159),クライアント抽出!A19:G19,0)+8,4),"1",""),
""))</f>
        <v/>
      </c>
      <c r="F159" s="187" t="str">
        <f ca="1">IF(D159&lt;&gt;"",
IF(COUNTIF(C159,"*雙葉*"),
IF(ROUND((H159-M159)
/IF(COUNTIF(D159,"*キャラ*"),
VLOOKUP("*キャラ*",商品マスタ!$D:$E,2,FALSE),
IF(COUNTIF(D159,"*赤*"),
VLOOKUP("*赤*",商品マスタ!$D:$E,2,FALSE),
VLOOKUP("*"&amp;D159&amp;"*",商品マスタ!$D:$E,2,FALSE))),0)&lt;=0,1,
ROUND((H159-M159)
/IF(COUNTIF(D159,"*キャラ*"),
VLOOKUP("*キャラ*",商品マスタ!$D:$E,2,FALSE),
IF(COUNTIF(D159,"*赤*"),
VLOOKUP("*赤*",商品マスタ!$D:$E,2,FALSE),
VLOOKUP("*"&amp;D159&amp;"*",商品マスタ!$D:$E,2,FALSE))),0)),
IF(OR(COUNTIF(D159,"*キャラ*"),COUNTIF(D159,"*赤*")),"",
IF(VLOOKUP("*"&amp;D159&amp;"*",商品マスタ!$D:$E,2,FALSE)=0,"",
IF(ROUND((H159-M159)
/VLOOKUP("*"&amp;D159&amp;"*",商品マスタ!$D:$E,2,FALSE),0)&lt;=0,1,
ROUND((H159-M159)
/VLOOKUP("*"&amp;D159&amp;"*",商品マスタ!$D:$E,2,FALSE),0))))),"")</f>
        <v/>
      </c>
      <c r="G159" s="106" t="str">
        <f ca="1">IF(F159&lt;&gt;"",
IF(VALUE(H159-M159)&gt;VALUE(IF(COUNTIF(D159,"*キャラ*"),
VLOOKUP("*キャラ*",商品マスタ!$D:$E,2,FALSE),
IF(COUNTIF(D159,"*赤*"),
VLOOKUP("*赤*",商品マスタ!$D:$E,2,FALSE),
VLOOKUP("*"&amp;D159&amp;"*",商品マスタ!$D:$E,2,FALSE)))*F159),
"+"&amp;(H159-M159)-IF(COUNTIF(D159,"*キャラ*"),
VLOOKUP("*キャラ*",商品マスタ!$D:$E,2,FALSE),
IF(COUNTIF(D159,"*赤*"),
VLOOKUP("*赤*",商品マスタ!$D:$E,2,FALSE),
VLOOKUP("*"&amp;D159&amp;"*",商品マスタ!$D:$E,2,FALSE)))*F159,
(H159-M159)-IF(COUNTIF(D159,"*キャラ*"),
VLOOKUP("*キャラ*",商品マスタ!$D:$E,2,FALSE),
IF(COUNTIF(D159,"*赤*"),
VLOOKUP("*赤*",商品マスタ!$D:$E,2,FALSE),
VLOOKUP("*"&amp;D159&amp;"*",商品マスタ!$D:$E,2,FALSE)))*F159),"")</f>
        <v/>
      </c>
      <c r="H159" s="108" t="str">
        <f>IF(C159&lt;&gt;"",
クライアント抽出!D19,"")</f>
        <v/>
      </c>
      <c r="I159" s="106" t="str">
        <f>IF(C159&lt;&gt;"",
IF(O159=1,0,クライアント抽出!F19),"")</f>
        <v/>
      </c>
      <c r="J159" s="106" t="str">
        <f>IF(C159&lt;&gt;"",
VLOOKUP(
"*"&amp;LEFT(IF(COUNTIF(D159,"*学食*"),"キャラ弁（学食）",
IF(COUNTIF(D159,"*赤*"),"赤",
IF(COUNTIF(D159,"*キャラ弁当*"),"キャラ弁当",D159))),4)&amp;"*",注文弁当の抽出!$F$1:$G$15,2,FALSE),"")</f>
        <v/>
      </c>
      <c r="K159" s="106" t="str">
        <f ca="1">IF(クライアント抽出!R19&lt;&gt;"",SUBSTITUTE(ADDRESS(1,(CODE(クライアント抽出!R19)-64)*2-1,4),"1",""),"")</f>
        <v/>
      </c>
      <c r="L159" s="106" t="str">
        <f>IF(C19&lt;&gt;"",クライアント抽出!I19,"")</f>
        <v/>
      </c>
      <c r="M159" s="106">
        <f t="array" aca="1" ref="M159" ca="1">IF(C159&lt;&gt;"",
IF(K159&lt;&gt;"",INDIRECT("'数出表_Excel（アレルギー入力）'!"&amp;K159&amp;L159-1&amp;""),),)</f>
        <v>0</v>
      </c>
      <c r="N159" s="106" t="str">
        <f>IF(C159&lt;&gt;"",IF(OR(COUNTIF('盛付札（関数）'!D159,"*赤*"),COUNTIF('盛付札（関数）'!D159,"*キャラ*")),1,
VALUE(VLOOKUP("*"&amp;D159&amp;"*",商品マスタ!D:H,5,FALSE))),"")</f>
        <v/>
      </c>
      <c r="O159" s="106">
        <f t="shared" ca="1" si="82"/>
        <v>0</v>
      </c>
      <c r="P159" s="106">
        <f t="shared" si="61"/>
        <v>0</v>
      </c>
      <c r="Q159" s="106" t="b">
        <f t="shared" si="62"/>
        <v>0</v>
      </c>
      <c r="R159" s="176" t="str">
        <f t="array" aca="1" ref="R159" ca="1">IFERROR(SMALL(IF(P$1:P$311&lt;&gt;0,P$1:P$311),ROW(A159)),"")</f>
        <v/>
      </c>
      <c r="S159" s="176" t="str">
        <f t="array" aca="1" ref="S159" ca="1">IF($R159&lt;&gt;"",
SUBSTITUTE(SUBSTITUTE(INDIRECT("C"&amp;$R159&amp;"")," 週3ｺｰｽ","")," 週5ｺｰｽ",""),"")</f>
        <v/>
      </c>
      <c r="T159" s="176" t="str">
        <f t="array" aca="1" ref="T159" ca="1">IF(IF($R159&lt;&gt;"",
INDIRECT(""&amp;IF(COLUMN(D159)&lt;=26,CHAR(COLUMN(D159)+64),CHAR(INT((COLUMN(D159)-1)/26)+64)&amp;CHAR(MOD(COLUMN(D159)-1,26)+65))&amp;$R159&amp;""),"")=0,"",
IF($R159&lt;&gt;"",
INDIRECT(""&amp;IF(COLUMN(D159)&lt;=26,CHAR(COLUMN(D159)+64),CHAR(INT((COLUMN(D159)-1)/26)+64)&amp;CHAR(MOD(COLUMN(D159)-1,26)+65))&amp;$R159&amp;""),""))</f>
        <v/>
      </c>
      <c r="U159" s="218" t="str">
        <f t="array" aca="1" ref="U159" ca="1">IF($R159&lt;&gt;"",
INDIRECT("F"&amp;$R159&amp;""),"")</f>
        <v/>
      </c>
      <c r="V159" s="219" t="str">
        <f t="array" aca="1" ref="V159" ca="1">IF($R159&lt;&gt;"",
INDIRECT("G"&amp;$R159&amp;""),"")</f>
        <v/>
      </c>
      <c r="W159" s="219" t="str" cm="1">
        <f t="array" aca="1" ref="W159" ca="1">IF($R159&lt;&gt;"",
IF(AND(COUNTIF(INDIRECT("B"&amp;R159&amp;""),"*雙葉*"),COUNTIF($B$71:$B$210,"*雙葉*")&gt;=1),
IF(OR(COUNTIF(INDIRECT("B"&amp;R159&amp;""),"*雙葉先生*"),COUNTIF(INDIRECT("B"&amp;R159-1&amp;""),"*雙葉*")),INDIRECT("H"&amp;R159&amp;""),INDIRECT("H"&amp;R159&amp;"")+INDIRECT("H"&amp;MATCH("雙葉'",INDIRECT("B"&amp;R159+3&amp;":B210"),0)+2+R159&amp;"")),
IF(AND(LEFT(INDIRECT("B"&amp;R159&amp;""),2)="博多",COUNTIF(B:B,"*博多*")&gt;=2),
INDIRECT("H"&amp;R159&amp;"")+IFERROR(INDIRECT("H"&amp;MATCH("*"&amp;INDIRECT("B"&amp;R159&amp;"")&amp;"*",INDIRECT("B"&amp;R159+1&amp;":B210"),0)+R159&amp;""),0),
IF(AND(LEFT(INDIRECT("B"&amp;R159&amp;""),3)="奈良屋",COUNTIF(B:B,"*奈良屋*")&gt;=2),
INDIRECT("H"&amp;R159&amp;"")
+INDIRECT("H"&amp;MATCH("*"&amp;INDIRECT("B"&amp;R159&amp;"")&amp;"*",INDIRECT("B"&amp;R159+1&amp;":B210"),0)+R159&amp;"")
+INDIRECT("H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
+INDIRECT("H"&amp;MATCH("*"&amp;INDIRECT("B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&amp;"*",INDIRECT("B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+1&amp;":B210"),0)+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,
INDIRECT("H"&amp;R159&amp;"")))),"")</f>
        <v/>
      </c>
      <c r="X159" s="176" t="str">
        <f t="array" aca="1" ref="X159" ca="1">IF($R159&lt;&gt;"",
INDIRECT(""&amp;IF(COLUMN(I159)&lt;=26,CHAR(COLUMN(I159)+64),CHAR(INT((COLUMN(I159)-1)/26)+64)&amp;CHAR(MOD(COLUMN(I159)-1,26)+65))&amp;$R159&amp;""),"")</f>
        <v/>
      </c>
      <c r="Y159" s="176" t="str">
        <f t="array" aca="1" ref="Y159" ca="1">IF($R159&lt;&gt;"",
INDIRECT(""&amp;IF(COLUMN(J159)&lt;=26,CHAR(COLUMN(J159)+64),CHAR(INT((COLUMN(J159)-1)/26)+64)&amp;CHAR(MOD(COLUMN(J159)-1,26)+65))&amp;$R159&amp;""),"")</f>
        <v/>
      </c>
      <c r="Z159" s="176" t="str">
        <f t="shared" ca="1" si="63"/>
        <v/>
      </c>
      <c r="AA159" s="176" t="str">
        <f t="shared" ca="1" si="64"/>
        <v/>
      </c>
      <c r="AB159" s="176" t="str">
        <f t="array" aca="1" ref="AB159" ca="1">IF($R159&lt;&gt;"",
IF(AND(COUNTIF(INDIRECT("B"&amp;R159&amp;""),"*雙葉*"),COUNTIF(INDIRECT("B"&amp;R159&amp;""),"&lt;&gt;*先生*"),COUNTIF(B:B,"*雙葉*")&gt;=2),
INDIRECT("M"&amp;R159&amp;"")+INDIRECT("M"&amp;MATCH("雙葉'",INDIRECT("B"&amp;R159+1&amp;":B210"),0)+R159&amp;""),
IF(AND(LEFT(INDIRECT("B"&amp;R159&amp;""),2)="博多",COUNTIF(B:B,"*博多*")&gt;=2),
INDIRECT("M"&amp;R159&amp;"")+INDIRECT("M"&amp;MATCH("*"&amp;INDIRECT("B"&amp;R159&amp;"")&amp;"*",INDIRECT("B"&amp;R159+1&amp;":B210"),0)+R159&amp;""),
IF(AND(LEFT(INDIRECT("B"&amp;R159&amp;""),3)="奈良屋",COUNTIF(B:B,"*奈良屋*")&gt;=2),
INDIRECT("M"&amp;R159&amp;"")+INDIRECT("M"&amp;MATCH("*"&amp;INDIRECT("B"&amp;R159&amp;"")&amp;"*",INDIRECT("B"&amp;R159+1&amp;":B210"),0)+R159&amp;"")
+INDIRECT("M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,
INDIRECT("M"&amp;R159&amp;"")))),"")</f>
        <v/>
      </c>
      <c r="AC159" s="176" t="str">
        <f t="shared" ca="1" si="65"/>
        <v/>
      </c>
      <c r="AD159" s="176" t="str">
        <f t="shared" ca="1" si="66"/>
        <v/>
      </c>
      <c r="AE159" s="176" t="str">
        <f t="shared" ca="1" si="67"/>
        <v/>
      </c>
      <c r="AF159" s="176" t="str">
        <f t="shared" ca="1" si="68"/>
        <v/>
      </c>
      <c r="AG159" s="176" t="str">
        <f t="shared" ca="1" si="69"/>
        <v/>
      </c>
      <c r="AH159" s="183" t="str">
        <f t="shared" ca="1" si="70"/>
        <v/>
      </c>
      <c r="AI159" s="176" t="str">
        <f t="shared" ca="1" si="71"/>
        <v/>
      </c>
      <c r="AJ159" s="176" t="str">
        <f t="shared" ca="1" si="72"/>
        <v/>
      </c>
      <c r="AK159" s="176" t="str">
        <f t="shared" ca="1" si="73"/>
        <v/>
      </c>
      <c r="AL159" s="176" t="str">
        <f t="shared" ca="1" si="74"/>
        <v/>
      </c>
      <c r="AM159" s="176" t="str">
        <f t="shared" ca="1" si="75"/>
        <v/>
      </c>
      <c r="AN159" s="176" t="str">
        <f t="shared" ca="1" si="76"/>
        <v/>
      </c>
      <c r="AO159" s="176" t="str">
        <f t="shared" ca="1" si="77"/>
        <v/>
      </c>
      <c r="AP159" s="176" t="str">
        <f t="shared" ca="1" si="78"/>
        <v/>
      </c>
      <c r="AU159" s="176" t="str">
        <f t="shared" ca="1" si="79"/>
        <v/>
      </c>
    </row>
    <row r="160" spans="1:47" ht="22.2" customHeight="1">
      <c r="A160" s="107">
        <f t="shared" si="83"/>
        <v>45</v>
      </c>
      <c r="B160" s="106" t="str">
        <f t="shared" ca="1" si="80"/>
        <v/>
      </c>
      <c r="C160" s="106" t="str">
        <f>IF(OR(クライアント抽出!D20&lt;&gt;"",クライアント抽出!G20&lt;&gt;""),クライアント抽出!A20,"")</f>
        <v/>
      </c>
      <c r="D160" s="106" t="str">
        <f t="array" aca="1" ref="D160" ca="1">IF(C160&lt;&gt;"",INDIRECT("クライアント抽出!"&amp;E160&amp;MATCH(C160,クライアント抽出!A:A,0)&amp;""),"")</f>
        <v/>
      </c>
      <c r="E160" s="106" t="str">
        <f>IF(H160&lt;&gt;0,
IFERROR(
SUBSTITUTE(ADDRESS(1,
MATCH(VALUE(H160),クライアント抽出!A20:G20,0)+8,4),"1",""),
""),
IFERROR(
SUBSTITUTE(ADDRESS(1,
MATCH(VALUE(I160),クライアント抽出!A20:G20,0)+8,4),"1",""),
""))</f>
        <v/>
      </c>
      <c r="F160" s="187" t="str">
        <f ca="1">IF(D160&lt;&gt;"",
IF(COUNTIF(C160,"*雙葉*"),
IF(ROUND((H160-M160)
/IF(COUNTIF(D160,"*キャラ*"),
VLOOKUP("*キャラ*",商品マスタ!$D:$E,2,FALSE),
IF(COUNTIF(D160,"*赤*"),
VLOOKUP("*赤*",商品マスタ!$D:$E,2,FALSE),
VLOOKUP("*"&amp;D160&amp;"*",商品マスタ!$D:$E,2,FALSE))),0)&lt;=0,1,
ROUND((H160-M160)
/IF(COUNTIF(D160,"*キャラ*"),
VLOOKUP("*キャラ*",商品マスタ!$D:$E,2,FALSE),
IF(COUNTIF(D160,"*赤*"),
VLOOKUP("*赤*",商品マスタ!$D:$E,2,FALSE),
VLOOKUP("*"&amp;D160&amp;"*",商品マスタ!$D:$E,2,FALSE))),0)),
IF(OR(COUNTIF(D160,"*キャラ*"),COUNTIF(D160,"*赤*")),"",
IF(VLOOKUP("*"&amp;D160&amp;"*",商品マスタ!$D:$E,2,FALSE)=0,"",
IF(ROUND((H160-M160)
/VLOOKUP("*"&amp;D160&amp;"*",商品マスタ!$D:$E,2,FALSE),0)&lt;=0,1,
ROUND((H160-M160)
/VLOOKUP("*"&amp;D160&amp;"*",商品マスタ!$D:$E,2,FALSE),0))))),"")</f>
        <v/>
      </c>
      <c r="G160" s="106" t="str">
        <f ca="1">IF(F160&lt;&gt;"",
IF(VALUE(H160-M160)&gt;VALUE(IF(COUNTIF(D160,"*キャラ*"),
VLOOKUP("*キャラ*",商品マスタ!$D:$E,2,FALSE),
IF(COUNTIF(D160,"*赤*"),
VLOOKUP("*赤*",商品マスタ!$D:$E,2,FALSE),
VLOOKUP("*"&amp;D160&amp;"*",商品マスタ!$D:$E,2,FALSE)))*F160),
"+"&amp;(H160-M160)-IF(COUNTIF(D160,"*キャラ*"),
VLOOKUP("*キャラ*",商品マスタ!$D:$E,2,FALSE),
IF(COUNTIF(D160,"*赤*"),
VLOOKUP("*赤*",商品マスタ!$D:$E,2,FALSE),
VLOOKUP("*"&amp;D160&amp;"*",商品マスタ!$D:$E,2,FALSE)))*F160,
(H160-M160)-IF(COUNTIF(D160,"*キャラ*"),
VLOOKUP("*キャラ*",商品マスタ!$D:$E,2,FALSE),
IF(COUNTIF(D160,"*赤*"),
VLOOKUP("*赤*",商品マスタ!$D:$E,2,FALSE),
VLOOKUP("*"&amp;D160&amp;"*",商品マスタ!$D:$E,2,FALSE)))*F160),"")</f>
        <v/>
      </c>
      <c r="H160" s="108" t="str">
        <f>IF(C160&lt;&gt;"",
クライアント抽出!D20,"")</f>
        <v/>
      </c>
      <c r="I160" s="106" t="str">
        <f>IF(C160&lt;&gt;"",
IF(O160=1,0,クライアント抽出!F20),"")</f>
        <v/>
      </c>
      <c r="J160" s="106" t="str">
        <f>IF(C160&lt;&gt;"",
VLOOKUP(
"*"&amp;LEFT(IF(COUNTIF(D160,"*学食*"),"キャラ弁（学食）",
IF(COUNTIF(D160,"*赤*"),"赤",
IF(COUNTIF(D160,"*キャラ弁当*"),"キャラ弁当",D160))),4)&amp;"*",注文弁当の抽出!$F$1:$G$15,2,FALSE),"")</f>
        <v/>
      </c>
      <c r="K160" s="106" t="str">
        <f ca="1">IF(クライアント抽出!R20&lt;&gt;"",SUBSTITUTE(ADDRESS(1,(CODE(クライアント抽出!R20)-64)*2-1,4),"1",""),"")</f>
        <v/>
      </c>
      <c r="L160" s="106" t="str">
        <f>IF(C20&lt;&gt;"",クライアント抽出!I20,"")</f>
        <v/>
      </c>
      <c r="M160" s="106">
        <f t="array" aca="1" ref="M160" ca="1">IF(C160&lt;&gt;"",
IF(K160&lt;&gt;"",INDIRECT("'数出表_Excel（アレルギー入力）'!"&amp;K160&amp;L160-1&amp;""),),)</f>
        <v>0</v>
      </c>
      <c r="N160" s="106" t="str">
        <f>IF(C160&lt;&gt;"",IF(OR(COUNTIF('盛付札（関数）'!D160,"*赤*"),COUNTIF('盛付札（関数）'!D160,"*キャラ*")),1,
VALUE(VLOOKUP("*"&amp;D160&amp;"*",商品マスタ!D:H,5,FALSE))),"")</f>
        <v/>
      </c>
      <c r="O160" s="106">
        <f t="shared" ca="1" si="82"/>
        <v>0</v>
      </c>
      <c r="P160" s="106">
        <f t="shared" si="61"/>
        <v>0</v>
      </c>
      <c r="Q160" s="106" t="b">
        <f t="shared" si="62"/>
        <v>0</v>
      </c>
      <c r="R160" s="176" t="str">
        <f t="array" aca="1" ref="R160" ca="1">IFERROR(SMALL(IF(P$1:P$311&lt;&gt;0,P$1:P$311),ROW(A160)),"")</f>
        <v/>
      </c>
      <c r="S160" s="176" t="str">
        <f t="array" aca="1" ref="S160" ca="1">IF($R160&lt;&gt;"",
SUBSTITUTE(SUBSTITUTE(INDIRECT("C"&amp;$R160&amp;"")," 週3ｺｰｽ","")," 週5ｺｰｽ",""),"")</f>
        <v/>
      </c>
      <c r="T160" s="176" t="str">
        <f t="array" aca="1" ref="T160" ca="1">IF(IF($R160&lt;&gt;"",
INDIRECT(""&amp;IF(COLUMN(D160)&lt;=26,CHAR(COLUMN(D160)+64),CHAR(INT((COLUMN(D160)-1)/26)+64)&amp;CHAR(MOD(COLUMN(D160)-1,26)+65))&amp;$R160&amp;""),"")=0,"",
IF($R160&lt;&gt;"",
INDIRECT(""&amp;IF(COLUMN(D160)&lt;=26,CHAR(COLUMN(D160)+64),CHAR(INT((COLUMN(D160)-1)/26)+64)&amp;CHAR(MOD(COLUMN(D160)-1,26)+65))&amp;$R160&amp;""),""))</f>
        <v/>
      </c>
      <c r="U160" s="218" t="str">
        <f t="array" aca="1" ref="U160" ca="1">IF($R160&lt;&gt;"",
INDIRECT("F"&amp;$R160&amp;""),"")</f>
        <v/>
      </c>
      <c r="V160" s="219" t="str">
        <f t="array" aca="1" ref="V160" ca="1">IF($R160&lt;&gt;"",
INDIRECT("G"&amp;$R160&amp;""),"")</f>
        <v/>
      </c>
      <c r="W160" s="219" t="str" cm="1">
        <f t="array" aca="1" ref="W160" ca="1">IF($R160&lt;&gt;"",
IF(AND(COUNTIF(INDIRECT("B"&amp;R160&amp;""),"*雙葉*"),COUNTIF($B$71:$B$210,"*雙葉*")&gt;=1),
IF(OR(COUNTIF(INDIRECT("B"&amp;R160&amp;""),"*雙葉先生*"),COUNTIF(INDIRECT("B"&amp;R160-1&amp;""),"*雙葉*")),INDIRECT("H"&amp;R160&amp;""),INDIRECT("H"&amp;R160&amp;"")+INDIRECT("H"&amp;MATCH("雙葉'",INDIRECT("B"&amp;R160+3&amp;":B210"),0)+2+R160&amp;"")),
IF(AND(LEFT(INDIRECT("B"&amp;R160&amp;""),2)="博多",COUNTIF(B:B,"*博多*")&gt;=2),
INDIRECT("H"&amp;R160&amp;"")+IFERROR(INDIRECT("H"&amp;MATCH("*"&amp;INDIRECT("B"&amp;R160&amp;"")&amp;"*",INDIRECT("B"&amp;R160+1&amp;":B210"),0)+R160&amp;""),0),
IF(AND(LEFT(INDIRECT("B"&amp;R160&amp;""),3)="奈良屋",COUNTIF(B:B,"*奈良屋*")&gt;=2),
INDIRECT("H"&amp;R160&amp;"")
+INDIRECT("H"&amp;MATCH("*"&amp;INDIRECT("B"&amp;R160&amp;"")&amp;"*",INDIRECT("B"&amp;R160+1&amp;":B210"),0)+R160&amp;"")
+INDIRECT("H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
+INDIRECT("H"&amp;MATCH("*"&amp;INDIRECT("B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&amp;"*",INDIRECT("B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+1&amp;":B210"),0)+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,
INDIRECT("H"&amp;R160&amp;"")))),"")</f>
        <v/>
      </c>
      <c r="X160" s="176" t="str">
        <f t="array" aca="1" ref="X160" ca="1">IF($R160&lt;&gt;"",
INDIRECT(""&amp;IF(COLUMN(I160)&lt;=26,CHAR(COLUMN(I160)+64),CHAR(INT((COLUMN(I160)-1)/26)+64)&amp;CHAR(MOD(COLUMN(I160)-1,26)+65))&amp;$R160&amp;""),"")</f>
        <v/>
      </c>
      <c r="Y160" s="176" t="str">
        <f t="array" aca="1" ref="Y160" ca="1">IF($R160&lt;&gt;"",
INDIRECT(""&amp;IF(COLUMN(J160)&lt;=26,CHAR(COLUMN(J160)+64),CHAR(INT((COLUMN(J160)-1)/26)+64)&amp;CHAR(MOD(COLUMN(J160)-1,26)+65))&amp;$R160&amp;""),"")</f>
        <v/>
      </c>
      <c r="Z160" s="176" t="str">
        <f t="shared" ca="1" si="63"/>
        <v/>
      </c>
      <c r="AA160" s="176" t="str">
        <f t="shared" ca="1" si="64"/>
        <v/>
      </c>
      <c r="AB160" s="176" t="str">
        <f t="array" aca="1" ref="AB160" ca="1">IF($R160&lt;&gt;"",
IF(AND(COUNTIF(INDIRECT("B"&amp;R160&amp;""),"*雙葉*"),COUNTIF(INDIRECT("B"&amp;R160&amp;""),"&lt;&gt;*先生*"),COUNTIF(B:B,"*雙葉*")&gt;=2),
INDIRECT("M"&amp;R160&amp;"")+INDIRECT("M"&amp;MATCH("雙葉'",INDIRECT("B"&amp;R160+1&amp;":B210"),0)+R160&amp;""),
IF(AND(LEFT(INDIRECT("B"&amp;R160&amp;""),2)="博多",COUNTIF(B:B,"*博多*")&gt;=2),
INDIRECT("M"&amp;R160&amp;"")+INDIRECT("M"&amp;MATCH("*"&amp;INDIRECT("B"&amp;R160&amp;"")&amp;"*",INDIRECT("B"&amp;R160+1&amp;":B210"),0)+R160&amp;""),
IF(AND(LEFT(INDIRECT("B"&amp;R160&amp;""),3)="奈良屋",COUNTIF(B:B,"*奈良屋*")&gt;=2),
INDIRECT("M"&amp;R160&amp;"")+INDIRECT("M"&amp;MATCH("*"&amp;INDIRECT("B"&amp;R160&amp;"")&amp;"*",INDIRECT("B"&amp;R160+1&amp;":B210"),0)+R160&amp;"")
+INDIRECT("M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,
INDIRECT("M"&amp;R160&amp;"")))),"")</f>
        <v/>
      </c>
      <c r="AC160" s="176" t="str">
        <f t="shared" ca="1" si="65"/>
        <v/>
      </c>
      <c r="AD160" s="176" t="str">
        <f t="shared" ca="1" si="66"/>
        <v/>
      </c>
      <c r="AE160" s="176" t="str">
        <f t="shared" ca="1" si="67"/>
        <v/>
      </c>
      <c r="AF160" s="176" t="str">
        <f t="shared" ca="1" si="68"/>
        <v/>
      </c>
      <c r="AG160" s="176" t="str">
        <f t="shared" ca="1" si="69"/>
        <v/>
      </c>
      <c r="AH160" s="183" t="str">
        <f t="shared" ca="1" si="70"/>
        <v/>
      </c>
      <c r="AI160" s="176" t="str">
        <f t="shared" ca="1" si="71"/>
        <v/>
      </c>
      <c r="AJ160" s="176" t="str">
        <f t="shared" ca="1" si="72"/>
        <v/>
      </c>
      <c r="AK160" s="176" t="str">
        <f t="shared" ca="1" si="73"/>
        <v/>
      </c>
      <c r="AL160" s="176" t="str">
        <f t="shared" ca="1" si="74"/>
        <v/>
      </c>
      <c r="AM160" s="176" t="str">
        <f t="shared" ca="1" si="75"/>
        <v/>
      </c>
      <c r="AN160" s="176" t="str">
        <f t="shared" ca="1" si="76"/>
        <v/>
      </c>
      <c r="AO160" s="176" t="str">
        <f t="shared" ca="1" si="77"/>
        <v/>
      </c>
      <c r="AP160" s="176" t="str">
        <f t="shared" ca="1" si="78"/>
        <v/>
      </c>
      <c r="AU160" s="176" t="str">
        <f t="shared" ca="1" si="79"/>
        <v/>
      </c>
    </row>
    <row r="161" spans="1:47" ht="22.2" customHeight="1">
      <c r="A161" s="107">
        <f t="shared" si="83"/>
        <v>47</v>
      </c>
      <c r="B161" s="106" t="str">
        <f t="shared" ca="1" si="80"/>
        <v/>
      </c>
      <c r="C161" s="106" t="str">
        <f>IF(OR(クライアント抽出!D21&lt;&gt;"",クライアント抽出!G21&lt;&gt;""),クライアント抽出!A21,"")</f>
        <v/>
      </c>
      <c r="D161" s="106" t="str">
        <f t="array" aca="1" ref="D161" ca="1">IF(C161&lt;&gt;"",INDIRECT("クライアント抽出!"&amp;E161&amp;MATCH(C161,クライアント抽出!A:A,0)&amp;""),"")</f>
        <v/>
      </c>
      <c r="E161" s="106" t="str">
        <f>IF(H161&lt;&gt;0,
IFERROR(
SUBSTITUTE(ADDRESS(1,
MATCH(VALUE(H161),クライアント抽出!A21:G21,0)+8,4),"1",""),
""),
IFERROR(
SUBSTITUTE(ADDRESS(1,
MATCH(VALUE(I161),クライアント抽出!A21:G21,0)+8,4),"1",""),
""))</f>
        <v/>
      </c>
      <c r="F161" s="187" t="str">
        <f ca="1">IF(D161&lt;&gt;"",
IF(COUNTIF(C161,"*雙葉*"),
IF(ROUND((H161-M161)
/IF(COUNTIF(D161,"*キャラ*"),
VLOOKUP("*キャラ*",商品マスタ!$D:$E,2,FALSE),
IF(COUNTIF(D161,"*赤*"),
VLOOKUP("*赤*",商品マスタ!$D:$E,2,FALSE),
VLOOKUP("*"&amp;D161&amp;"*",商品マスタ!$D:$E,2,FALSE))),0)&lt;=0,1,
ROUND((H161-M161)
/IF(COUNTIF(D161,"*キャラ*"),
VLOOKUP("*キャラ*",商品マスタ!$D:$E,2,FALSE),
IF(COUNTIF(D161,"*赤*"),
VLOOKUP("*赤*",商品マスタ!$D:$E,2,FALSE),
VLOOKUP("*"&amp;D161&amp;"*",商品マスタ!$D:$E,2,FALSE))),0)),
IF(OR(COUNTIF(D161,"*キャラ*"),COUNTIF(D161,"*赤*")),"",
IF(VLOOKUP("*"&amp;D161&amp;"*",商品マスタ!$D:$E,2,FALSE)=0,"",
IF(ROUND((H161-M161)
/VLOOKUP("*"&amp;D161&amp;"*",商品マスタ!$D:$E,2,FALSE),0)&lt;=0,1,
ROUND((H161-M161)
/VLOOKUP("*"&amp;D161&amp;"*",商品マスタ!$D:$E,2,FALSE),0))))),"")</f>
        <v/>
      </c>
      <c r="G161" s="106" t="str">
        <f ca="1">IF(F161&lt;&gt;"",
IF(VALUE(H161-M161)&gt;VALUE(IF(COUNTIF(D161,"*キャラ*"),
VLOOKUP("*キャラ*",商品マスタ!$D:$E,2,FALSE),
IF(COUNTIF(D161,"*赤*"),
VLOOKUP("*赤*",商品マスタ!$D:$E,2,FALSE),
VLOOKUP("*"&amp;D161&amp;"*",商品マスタ!$D:$E,2,FALSE)))*F161),
"+"&amp;(H161-M161)-IF(COUNTIF(D161,"*キャラ*"),
VLOOKUP("*キャラ*",商品マスタ!$D:$E,2,FALSE),
IF(COUNTIF(D161,"*赤*"),
VLOOKUP("*赤*",商品マスタ!$D:$E,2,FALSE),
VLOOKUP("*"&amp;D161&amp;"*",商品マスタ!$D:$E,2,FALSE)))*F161,
(H161-M161)-IF(COUNTIF(D161,"*キャラ*"),
VLOOKUP("*キャラ*",商品マスタ!$D:$E,2,FALSE),
IF(COUNTIF(D161,"*赤*"),
VLOOKUP("*赤*",商品マスタ!$D:$E,2,FALSE),
VLOOKUP("*"&amp;D161&amp;"*",商品マスタ!$D:$E,2,FALSE)))*F161),"")</f>
        <v/>
      </c>
      <c r="H161" s="108" t="str">
        <f>IF(C161&lt;&gt;"",
クライアント抽出!D21,"")</f>
        <v/>
      </c>
      <c r="I161" s="106" t="str">
        <f>IF(C161&lt;&gt;"",
IF(O161=1,0,クライアント抽出!F21),"")</f>
        <v/>
      </c>
      <c r="J161" s="106" t="str">
        <f>IF(C161&lt;&gt;"",
VLOOKUP(
"*"&amp;LEFT(IF(COUNTIF(D161,"*学食*"),"キャラ弁（学食）",
IF(COUNTIF(D161,"*赤*"),"赤",
IF(COUNTIF(D161,"*キャラ弁当*"),"キャラ弁当",D161))),4)&amp;"*",注文弁当の抽出!$F$1:$G$15,2,FALSE),"")</f>
        <v/>
      </c>
      <c r="K161" s="106" t="str">
        <f ca="1">IF(クライアント抽出!R21&lt;&gt;"",SUBSTITUTE(ADDRESS(1,(CODE(クライアント抽出!R21)-64)*2-1,4),"1",""),"")</f>
        <v/>
      </c>
      <c r="L161" s="106" t="str">
        <f>IF(C21&lt;&gt;"",クライアント抽出!I21,"")</f>
        <v/>
      </c>
      <c r="M161" s="106">
        <f t="array" aca="1" ref="M161" ca="1">IF(C161&lt;&gt;"",
IF(K161&lt;&gt;"",INDIRECT("'数出表_Excel（アレルギー入力）'!"&amp;K161&amp;L161-1&amp;""),),)</f>
        <v>0</v>
      </c>
      <c r="N161" s="106" t="str">
        <f>IF(C161&lt;&gt;"",IF(OR(COUNTIF('盛付札（関数）'!D161,"*赤*"),COUNTIF('盛付札（関数）'!D161,"*キャラ*")),1,
VALUE(VLOOKUP("*"&amp;D161&amp;"*",商品マスタ!D:H,5,FALSE))),"")</f>
        <v/>
      </c>
      <c r="O161" s="106">
        <f t="shared" ca="1" si="82"/>
        <v>0</v>
      </c>
      <c r="P161" s="106">
        <f t="shared" si="61"/>
        <v>0</v>
      </c>
      <c r="Q161" s="106" t="b">
        <f t="shared" si="62"/>
        <v>0</v>
      </c>
      <c r="R161" s="176" t="str">
        <f t="array" aca="1" ref="R161" ca="1">IFERROR(SMALL(IF(P$1:P$311&lt;&gt;0,P$1:P$311),ROW(A161)),"")</f>
        <v/>
      </c>
      <c r="S161" s="176" t="str">
        <f t="array" aca="1" ref="S161" ca="1">IF($R161&lt;&gt;"",
SUBSTITUTE(SUBSTITUTE(INDIRECT("C"&amp;$R161&amp;"")," 週3ｺｰｽ","")," 週5ｺｰｽ",""),"")</f>
        <v/>
      </c>
      <c r="T161" s="176" t="str">
        <f t="array" aca="1" ref="T161" ca="1">IF(IF($R161&lt;&gt;"",
INDIRECT(""&amp;IF(COLUMN(D161)&lt;=26,CHAR(COLUMN(D161)+64),CHAR(INT((COLUMN(D161)-1)/26)+64)&amp;CHAR(MOD(COLUMN(D161)-1,26)+65))&amp;$R161&amp;""),"")=0,"",
IF($R161&lt;&gt;"",
INDIRECT(""&amp;IF(COLUMN(D161)&lt;=26,CHAR(COLUMN(D161)+64),CHAR(INT((COLUMN(D161)-1)/26)+64)&amp;CHAR(MOD(COLUMN(D161)-1,26)+65))&amp;$R161&amp;""),""))</f>
        <v/>
      </c>
      <c r="U161" s="218" t="str">
        <f t="array" aca="1" ref="U161" ca="1">IF($R161&lt;&gt;"",
INDIRECT("F"&amp;$R161&amp;""),"")</f>
        <v/>
      </c>
      <c r="V161" s="219" t="str">
        <f t="array" aca="1" ref="V161" ca="1">IF($R161&lt;&gt;"",
INDIRECT("G"&amp;$R161&amp;""),"")</f>
        <v/>
      </c>
      <c r="W161" s="219" t="str" cm="1">
        <f t="array" aca="1" ref="W161" ca="1">IF($R161&lt;&gt;"",
IF(AND(COUNTIF(INDIRECT("B"&amp;R161&amp;""),"*雙葉*"),COUNTIF($B$71:$B$210,"*雙葉*")&gt;=1),
IF(OR(COUNTIF(INDIRECT("B"&amp;R161&amp;""),"*雙葉先生*"),COUNTIF(INDIRECT("B"&amp;R161-1&amp;""),"*雙葉*")),INDIRECT("H"&amp;R161&amp;""),INDIRECT("H"&amp;R161&amp;"")+INDIRECT("H"&amp;MATCH("雙葉'",INDIRECT("B"&amp;R161+3&amp;":B210"),0)+2+R161&amp;"")),
IF(AND(LEFT(INDIRECT("B"&amp;R161&amp;""),2)="博多",COUNTIF(B:B,"*博多*")&gt;=2),
INDIRECT("H"&amp;R161&amp;"")+IFERROR(INDIRECT("H"&amp;MATCH("*"&amp;INDIRECT("B"&amp;R161&amp;"")&amp;"*",INDIRECT("B"&amp;R161+1&amp;":B210"),0)+R161&amp;""),0),
IF(AND(LEFT(INDIRECT("B"&amp;R161&amp;""),3)="奈良屋",COUNTIF(B:B,"*奈良屋*")&gt;=2),
INDIRECT("H"&amp;R161&amp;"")
+INDIRECT("H"&amp;MATCH("*"&amp;INDIRECT("B"&amp;R161&amp;"")&amp;"*",INDIRECT("B"&amp;R161+1&amp;":B210"),0)+R161&amp;"")
+INDIRECT("H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
+INDIRECT("H"&amp;MATCH("*"&amp;INDIRECT("B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&amp;"*",INDIRECT("B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+1&amp;":B210"),0)+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,
INDIRECT("H"&amp;R161&amp;"")))),"")</f>
        <v/>
      </c>
      <c r="X161" s="176" t="str">
        <f t="array" aca="1" ref="X161" ca="1">IF($R161&lt;&gt;"",
INDIRECT(""&amp;IF(COLUMN(I161)&lt;=26,CHAR(COLUMN(I161)+64),CHAR(INT((COLUMN(I161)-1)/26)+64)&amp;CHAR(MOD(COLUMN(I161)-1,26)+65))&amp;$R161&amp;""),"")</f>
        <v/>
      </c>
      <c r="Y161" s="176" t="str">
        <f t="array" aca="1" ref="Y161" ca="1">IF($R161&lt;&gt;"",
INDIRECT(""&amp;IF(COLUMN(J161)&lt;=26,CHAR(COLUMN(J161)+64),CHAR(INT((COLUMN(J161)-1)/26)+64)&amp;CHAR(MOD(COLUMN(J161)-1,26)+65))&amp;$R161&amp;""),"")</f>
        <v/>
      </c>
      <c r="Z161" s="176" t="str">
        <f t="shared" ca="1" si="63"/>
        <v/>
      </c>
      <c r="AA161" s="176" t="str">
        <f t="shared" ca="1" si="64"/>
        <v/>
      </c>
      <c r="AB161" s="176" t="str">
        <f t="array" aca="1" ref="AB161" ca="1">IF($R161&lt;&gt;"",
IF(AND(COUNTIF(INDIRECT("B"&amp;R161&amp;""),"*雙葉*"),COUNTIF(INDIRECT("B"&amp;R161&amp;""),"&lt;&gt;*先生*"),COUNTIF(B:B,"*雙葉*")&gt;=2),
INDIRECT("M"&amp;R161&amp;"")+INDIRECT("M"&amp;MATCH("雙葉'",INDIRECT("B"&amp;R161+1&amp;":B210"),0)+R161&amp;""),
IF(AND(LEFT(INDIRECT("B"&amp;R161&amp;""),2)="博多",COUNTIF(B:B,"*博多*")&gt;=2),
INDIRECT("M"&amp;R161&amp;"")+INDIRECT("M"&amp;MATCH("*"&amp;INDIRECT("B"&amp;R161&amp;"")&amp;"*",INDIRECT("B"&amp;R161+1&amp;":B210"),0)+R161&amp;""),
IF(AND(LEFT(INDIRECT("B"&amp;R161&amp;""),3)="奈良屋",COUNTIF(B:B,"*奈良屋*")&gt;=2),
INDIRECT("M"&amp;R161&amp;"")+INDIRECT("M"&amp;MATCH("*"&amp;INDIRECT("B"&amp;R161&amp;"")&amp;"*",INDIRECT("B"&amp;R161+1&amp;":B210"),0)+R161&amp;"")
+INDIRECT("M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,
INDIRECT("M"&amp;R161&amp;"")))),"")</f>
        <v/>
      </c>
      <c r="AC161" s="176" t="str">
        <f t="shared" ca="1" si="65"/>
        <v/>
      </c>
      <c r="AD161" s="176" t="str">
        <f t="shared" ca="1" si="66"/>
        <v/>
      </c>
      <c r="AE161" s="176" t="str">
        <f t="shared" ca="1" si="67"/>
        <v/>
      </c>
      <c r="AF161" s="176" t="str">
        <f t="shared" ca="1" si="68"/>
        <v/>
      </c>
      <c r="AG161" s="176" t="str">
        <f t="shared" ca="1" si="69"/>
        <v/>
      </c>
      <c r="AH161" s="183" t="str">
        <f t="shared" ca="1" si="70"/>
        <v/>
      </c>
      <c r="AI161" s="176" t="str">
        <f t="shared" ca="1" si="71"/>
        <v/>
      </c>
      <c r="AJ161" s="176" t="str">
        <f t="shared" ca="1" si="72"/>
        <v/>
      </c>
      <c r="AK161" s="176" t="str">
        <f t="shared" ca="1" si="73"/>
        <v/>
      </c>
      <c r="AL161" s="176" t="str">
        <f t="shared" ca="1" si="74"/>
        <v/>
      </c>
      <c r="AM161" s="176" t="str">
        <f t="shared" ca="1" si="75"/>
        <v/>
      </c>
      <c r="AN161" s="176" t="str">
        <f t="shared" ca="1" si="76"/>
        <v/>
      </c>
      <c r="AO161" s="176" t="str">
        <f t="shared" ca="1" si="77"/>
        <v/>
      </c>
      <c r="AP161" s="176" t="str">
        <f t="shared" ca="1" si="78"/>
        <v/>
      </c>
      <c r="AU161" s="176" t="str">
        <f t="shared" ca="1" si="79"/>
        <v/>
      </c>
    </row>
    <row r="162" spans="1:47" ht="22.2" customHeight="1">
      <c r="A162" s="107">
        <f t="shared" si="83"/>
        <v>49</v>
      </c>
      <c r="B162" s="106" t="str">
        <f t="shared" ca="1" si="80"/>
        <v/>
      </c>
      <c r="C162" s="106" t="str">
        <f>IF(OR(クライアント抽出!D22&lt;&gt;"",クライアント抽出!G22&lt;&gt;""),クライアント抽出!A22,"")</f>
        <v/>
      </c>
      <c r="D162" s="106" t="str">
        <f t="array" aca="1" ref="D162" ca="1">IF(C162&lt;&gt;"",INDIRECT("クライアント抽出!"&amp;E162&amp;MATCH(C162,クライアント抽出!A:A,0)&amp;""),"")</f>
        <v/>
      </c>
      <c r="E162" s="106" t="str">
        <f>IF(H162&lt;&gt;0,
IFERROR(
SUBSTITUTE(ADDRESS(1,
MATCH(VALUE(H162),クライアント抽出!A22:G22,0)+8,4),"1",""),
""),
IFERROR(
SUBSTITUTE(ADDRESS(1,
MATCH(VALUE(I162),クライアント抽出!A22:G22,0)+8,4),"1",""),
""))</f>
        <v/>
      </c>
      <c r="F162" s="187" t="str">
        <f ca="1">IF(D162&lt;&gt;"",
IF(COUNTIF(C162,"*雙葉*"),
IF(ROUND((H162-M162)
/IF(COUNTIF(D162,"*キャラ*"),
VLOOKUP("*キャラ*",商品マスタ!$D:$E,2,FALSE),
IF(COUNTIF(D162,"*赤*"),
VLOOKUP("*赤*",商品マスタ!$D:$E,2,FALSE),
VLOOKUP("*"&amp;D162&amp;"*",商品マスタ!$D:$E,2,FALSE))),0)&lt;=0,1,
ROUND((H162-M162)
/IF(COUNTIF(D162,"*キャラ*"),
VLOOKUP("*キャラ*",商品マスタ!$D:$E,2,FALSE),
IF(COUNTIF(D162,"*赤*"),
VLOOKUP("*赤*",商品マスタ!$D:$E,2,FALSE),
VLOOKUP("*"&amp;D162&amp;"*",商品マスタ!$D:$E,2,FALSE))),0)),
IF(OR(COUNTIF(D162,"*キャラ*"),COUNTIF(D162,"*赤*")),"",
IF(VLOOKUP("*"&amp;D162&amp;"*",商品マスタ!$D:$E,2,FALSE)=0,"",
IF(ROUND((H162-M162)
/VLOOKUP("*"&amp;D162&amp;"*",商品マスタ!$D:$E,2,FALSE),0)&lt;=0,1,
ROUND((H162-M162)
/VLOOKUP("*"&amp;D162&amp;"*",商品マスタ!$D:$E,2,FALSE),0))))),"")</f>
        <v/>
      </c>
      <c r="G162" s="106" t="str">
        <f ca="1">IF(F162&lt;&gt;"",
IF(VALUE(H162-M162)&gt;VALUE(IF(COUNTIF(D162,"*キャラ*"),
VLOOKUP("*キャラ*",商品マスタ!$D:$E,2,FALSE),
IF(COUNTIF(D162,"*赤*"),
VLOOKUP("*赤*",商品マスタ!$D:$E,2,FALSE),
VLOOKUP("*"&amp;D162&amp;"*",商品マスタ!$D:$E,2,FALSE)))*F162),
"+"&amp;(H162-M162)-IF(COUNTIF(D162,"*キャラ*"),
VLOOKUP("*キャラ*",商品マスタ!$D:$E,2,FALSE),
IF(COUNTIF(D162,"*赤*"),
VLOOKUP("*赤*",商品マスタ!$D:$E,2,FALSE),
VLOOKUP("*"&amp;D162&amp;"*",商品マスタ!$D:$E,2,FALSE)))*F162,
(H162-M162)-IF(COUNTIF(D162,"*キャラ*"),
VLOOKUP("*キャラ*",商品マスタ!$D:$E,2,FALSE),
IF(COUNTIF(D162,"*赤*"),
VLOOKUP("*赤*",商品マスタ!$D:$E,2,FALSE),
VLOOKUP("*"&amp;D162&amp;"*",商品マスタ!$D:$E,2,FALSE)))*F162),"")</f>
        <v/>
      </c>
      <c r="H162" s="108" t="str">
        <f>IF(C162&lt;&gt;"",
クライアント抽出!D22,"")</f>
        <v/>
      </c>
      <c r="I162" s="106" t="str">
        <f>IF(C162&lt;&gt;"",
IF(O162=1,0,クライアント抽出!F22),"")</f>
        <v/>
      </c>
      <c r="J162" s="106" t="str">
        <f>IF(C162&lt;&gt;"",
VLOOKUP(
"*"&amp;LEFT(IF(COUNTIF(D162,"*学食*"),"キャラ弁（学食）",
IF(COUNTIF(D162,"*赤*"),"赤",
IF(COUNTIF(D162,"*キャラ弁当*"),"キャラ弁当",D162))),4)&amp;"*",注文弁当の抽出!$F$1:$G$15,2,FALSE),"")</f>
        <v/>
      </c>
      <c r="K162" s="106" t="str">
        <f ca="1">IF(クライアント抽出!R22&lt;&gt;"",SUBSTITUTE(ADDRESS(1,(CODE(クライアント抽出!R22)-64)*2-1,4),"1",""),"")</f>
        <v/>
      </c>
      <c r="L162" s="106" t="str">
        <f>IF(C22&lt;&gt;"",クライアント抽出!I22,"")</f>
        <v/>
      </c>
      <c r="M162" s="106">
        <f t="array" aca="1" ref="M162" ca="1">IF(C162&lt;&gt;"",
IF(K162&lt;&gt;"",INDIRECT("'数出表_Excel（アレルギー入力）'!"&amp;K162&amp;L162-1&amp;""),),)</f>
        <v>0</v>
      </c>
      <c r="N162" s="106" t="str">
        <f>IF(C162&lt;&gt;"",IF(OR(COUNTIF('盛付札（関数）'!D162,"*赤*"),COUNTIF('盛付札（関数）'!D162,"*キャラ*")),1,
VALUE(VLOOKUP("*"&amp;D162&amp;"*",商品マスタ!D:H,5,FALSE))),"")</f>
        <v/>
      </c>
      <c r="O162" s="106">
        <f t="shared" ca="1" si="82"/>
        <v>0</v>
      </c>
      <c r="P162" s="106">
        <f t="shared" si="61"/>
        <v>0</v>
      </c>
      <c r="Q162" s="106" t="b">
        <f t="shared" si="62"/>
        <v>0</v>
      </c>
      <c r="R162" s="176" t="str">
        <f t="array" aca="1" ref="R162" ca="1">IFERROR(SMALL(IF(P$1:P$311&lt;&gt;0,P$1:P$311),ROW(A162)),"")</f>
        <v/>
      </c>
      <c r="S162" s="176" t="str">
        <f t="array" aca="1" ref="S162" ca="1">IF($R162&lt;&gt;"",
SUBSTITUTE(SUBSTITUTE(INDIRECT("C"&amp;$R162&amp;"")," 週3ｺｰｽ","")," 週5ｺｰｽ",""),"")</f>
        <v/>
      </c>
      <c r="T162" s="176" t="str">
        <f t="array" aca="1" ref="T162" ca="1">IF(IF($R162&lt;&gt;"",
INDIRECT(""&amp;IF(COLUMN(D162)&lt;=26,CHAR(COLUMN(D162)+64),CHAR(INT((COLUMN(D162)-1)/26)+64)&amp;CHAR(MOD(COLUMN(D162)-1,26)+65))&amp;$R162&amp;""),"")=0,"",
IF($R162&lt;&gt;"",
INDIRECT(""&amp;IF(COLUMN(D162)&lt;=26,CHAR(COLUMN(D162)+64),CHAR(INT((COLUMN(D162)-1)/26)+64)&amp;CHAR(MOD(COLUMN(D162)-1,26)+65))&amp;$R162&amp;""),""))</f>
        <v/>
      </c>
      <c r="U162" s="218" t="str">
        <f t="array" aca="1" ref="U162" ca="1">IF($R162&lt;&gt;"",
INDIRECT("F"&amp;$R162&amp;""),"")</f>
        <v/>
      </c>
      <c r="V162" s="219" t="str">
        <f t="array" aca="1" ref="V162" ca="1">IF($R162&lt;&gt;"",
INDIRECT("G"&amp;$R162&amp;""),"")</f>
        <v/>
      </c>
      <c r="W162" s="219" t="str" cm="1">
        <f t="array" aca="1" ref="W162" ca="1">IF($R162&lt;&gt;"",
IF(AND(COUNTIF(INDIRECT("B"&amp;R162&amp;""),"*雙葉*"),COUNTIF($B$71:$B$210,"*雙葉*")&gt;=1),
IF(OR(COUNTIF(INDIRECT("B"&amp;R162&amp;""),"*雙葉先生*"),COUNTIF(INDIRECT("B"&amp;R162-1&amp;""),"*雙葉*")),INDIRECT("H"&amp;R162&amp;""),INDIRECT("H"&amp;R162&amp;"")+INDIRECT("H"&amp;MATCH("雙葉'",INDIRECT("B"&amp;R162+3&amp;":B210"),0)+2+R162&amp;"")),
IF(AND(LEFT(INDIRECT("B"&amp;R162&amp;""),2)="博多",COUNTIF(B:B,"*博多*")&gt;=2),
INDIRECT("H"&amp;R162&amp;"")+IFERROR(INDIRECT("H"&amp;MATCH("*"&amp;INDIRECT("B"&amp;R162&amp;"")&amp;"*",INDIRECT("B"&amp;R162+1&amp;":B210"),0)+R162&amp;""),0),
IF(AND(LEFT(INDIRECT("B"&amp;R162&amp;""),3)="奈良屋",COUNTIF(B:B,"*奈良屋*")&gt;=2),
INDIRECT("H"&amp;R162&amp;"")
+INDIRECT("H"&amp;MATCH("*"&amp;INDIRECT("B"&amp;R162&amp;"")&amp;"*",INDIRECT("B"&amp;R162+1&amp;":B210"),0)+R162&amp;"")
+INDIRECT("H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
+INDIRECT("H"&amp;MATCH("*"&amp;INDIRECT("B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&amp;"*",INDIRECT("B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+1&amp;":B210"),0)+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,
INDIRECT("H"&amp;R162&amp;"")))),"")</f>
        <v/>
      </c>
      <c r="X162" s="176" t="str">
        <f t="array" aca="1" ref="X162" ca="1">IF($R162&lt;&gt;"",
INDIRECT(""&amp;IF(COLUMN(I162)&lt;=26,CHAR(COLUMN(I162)+64),CHAR(INT((COLUMN(I162)-1)/26)+64)&amp;CHAR(MOD(COLUMN(I162)-1,26)+65))&amp;$R162&amp;""),"")</f>
        <v/>
      </c>
      <c r="Y162" s="176" t="str">
        <f t="array" aca="1" ref="Y162" ca="1">IF($R162&lt;&gt;"",
INDIRECT(""&amp;IF(COLUMN(J162)&lt;=26,CHAR(COLUMN(J162)+64),CHAR(INT((COLUMN(J162)-1)/26)+64)&amp;CHAR(MOD(COLUMN(J162)-1,26)+65))&amp;$R162&amp;""),"")</f>
        <v/>
      </c>
      <c r="Z162" s="176" t="str">
        <f t="shared" ca="1" si="63"/>
        <v/>
      </c>
      <c r="AA162" s="176" t="str">
        <f t="shared" ca="1" si="64"/>
        <v/>
      </c>
      <c r="AB162" s="176" t="str">
        <f t="array" aca="1" ref="AB162" ca="1">IF($R162&lt;&gt;"",
IF(AND(COUNTIF(INDIRECT("B"&amp;R162&amp;""),"*雙葉*"),COUNTIF(INDIRECT("B"&amp;R162&amp;""),"&lt;&gt;*先生*"),COUNTIF(B:B,"*雙葉*")&gt;=2),
INDIRECT("M"&amp;R162&amp;"")+INDIRECT("M"&amp;MATCH("雙葉'",INDIRECT("B"&amp;R162+1&amp;":B210"),0)+R162&amp;""),
IF(AND(LEFT(INDIRECT("B"&amp;R162&amp;""),2)="博多",COUNTIF(B:B,"*博多*")&gt;=2),
INDIRECT("M"&amp;R162&amp;"")+INDIRECT("M"&amp;MATCH("*"&amp;INDIRECT("B"&amp;R162&amp;"")&amp;"*",INDIRECT("B"&amp;R162+1&amp;":B210"),0)+R162&amp;""),
IF(AND(LEFT(INDIRECT("B"&amp;R162&amp;""),3)="奈良屋",COUNTIF(B:B,"*奈良屋*")&gt;=2),
INDIRECT("M"&amp;R162&amp;"")+INDIRECT("M"&amp;MATCH("*"&amp;INDIRECT("B"&amp;R162&amp;"")&amp;"*",INDIRECT("B"&amp;R162+1&amp;":B210"),0)+R162&amp;"")
+INDIRECT("M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,
INDIRECT("M"&amp;R162&amp;"")))),"")</f>
        <v/>
      </c>
      <c r="AC162" s="176" t="str">
        <f t="shared" ca="1" si="65"/>
        <v/>
      </c>
      <c r="AD162" s="176" t="str">
        <f t="shared" ca="1" si="66"/>
        <v/>
      </c>
      <c r="AE162" s="176" t="str">
        <f t="shared" ca="1" si="67"/>
        <v/>
      </c>
      <c r="AF162" s="176" t="str">
        <f t="shared" ca="1" si="68"/>
        <v/>
      </c>
      <c r="AG162" s="176" t="str">
        <f t="shared" ca="1" si="69"/>
        <v/>
      </c>
      <c r="AH162" s="183" t="str">
        <f t="shared" ca="1" si="70"/>
        <v/>
      </c>
      <c r="AI162" s="176" t="str">
        <f t="shared" ca="1" si="71"/>
        <v/>
      </c>
      <c r="AJ162" s="176" t="str">
        <f t="shared" ca="1" si="72"/>
        <v/>
      </c>
      <c r="AK162" s="176" t="str">
        <f t="shared" ca="1" si="73"/>
        <v/>
      </c>
      <c r="AL162" s="176" t="str">
        <f t="shared" ca="1" si="74"/>
        <v/>
      </c>
      <c r="AM162" s="176" t="str">
        <f t="shared" ca="1" si="75"/>
        <v/>
      </c>
      <c r="AN162" s="176" t="str">
        <f t="shared" ca="1" si="76"/>
        <v/>
      </c>
      <c r="AO162" s="176" t="str">
        <f t="shared" ca="1" si="77"/>
        <v/>
      </c>
      <c r="AP162" s="176" t="str">
        <f t="shared" ca="1" si="78"/>
        <v/>
      </c>
      <c r="AU162" s="176" t="str">
        <f t="shared" ca="1" si="79"/>
        <v/>
      </c>
    </row>
    <row r="163" spans="1:47" ht="22.2" customHeight="1">
      <c r="A163" s="107">
        <f t="shared" si="83"/>
        <v>51</v>
      </c>
      <c r="B163" s="106" t="str">
        <f t="shared" ca="1" si="80"/>
        <v/>
      </c>
      <c r="C163" s="106" t="str">
        <f>IF(OR(クライアント抽出!D23&lt;&gt;"",クライアント抽出!G23&lt;&gt;""),クライアント抽出!A23,"")</f>
        <v/>
      </c>
      <c r="D163" s="106" t="str">
        <f t="array" aca="1" ref="D163" ca="1">IF(C163&lt;&gt;"",INDIRECT("クライアント抽出!"&amp;E163&amp;MATCH(C163,クライアント抽出!A:A,0)&amp;""),"")</f>
        <v/>
      </c>
      <c r="E163" s="106" t="str">
        <f>IF(H163&lt;&gt;0,
IFERROR(
SUBSTITUTE(ADDRESS(1,
MATCH(VALUE(H163),クライアント抽出!A23:G23,0)+8,4),"1",""),
""),
IFERROR(
SUBSTITUTE(ADDRESS(1,
MATCH(VALUE(I163),クライアント抽出!A23:G23,0)+8,4),"1",""),
""))</f>
        <v/>
      </c>
      <c r="F163" s="187" t="str">
        <f ca="1">IF(D163&lt;&gt;"",
IF(COUNTIF(C163,"*雙葉*"),
IF(ROUND((H163-M163)
/IF(COUNTIF(D163,"*キャラ*"),
VLOOKUP("*キャラ*",商品マスタ!$D:$E,2,FALSE),
IF(COUNTIF(D163,"*赤*"),
VLOOKUP("*赤*",商品マスタ!$D:$E,2,FALSE),
VLOOKUP("*"&amp;D163&amp;"*",商品マスタ!$D:$E,2,FALSE))),0)&lt;=0,1,
ROUND((H163-M163)
/IF(COUNTIF(D163,"*キャラ*"),
VLOOKUP("*キャラ*",商品マスタ!$D:$E,2,FALSE),
IF(COUNTIF(D163,"*赤*"),
VLOOKUP("*赤*",商品マスタ!$D:$E,2,FALSE),
VLOOKUP("*"&amp;D163&amp;"*",商品マスタ!$D:$E,2,FALSE))),0)),
IF(OR(COUNTIF(D163,"*キャラ*"),COUNTIF(D163,"*赤*")),"",
IF(VLOOKUP("*"&amp;D163&amp;"*",商品マスタ!$D:$E,2,FALSE)=0,"",
IF(ROUND((H163-M163)
/VLOOKUP("*"&amp;D163&amp;"*",商品マスタ!$D:$E,2,FALSE),0)&lt;=0,1,
ROUND((H163-M163)
/VLOOKUP("*"&amp;D163&amp;"*",商品マスタ!$D:$E,2,FALSE),0))))),"")</f>
        <v/>
      </c>
      <c r="G163" s="106" t="str">
        <f ca="1">IF(F163&lt;&gt;"",
IF(VALUE(H163-M163)&gt;VALUE(IF(COUNTIF(D163,"*キャラ*"),
VLOOKUP("*キャラ*",商品マスタ!$D:$E,2,FALSE),
IF(COUNTIF(D163,"*赤*"),
VLOOKUP("*赤*",商品マスタ!$D:$E,2,FALSE),
VLOOKUP("*"&amp;D163&amp;"*",商品マスタ!$D:$E,2,FALSE)))*F163),
"+"&amp;(H163-M163)-IF(COUNTIF(D163,"*キャラ*"),
VLOOKUP("*キャラ*",商品マスタ!$D:$E,2,FALSE),
IF(COUNTIF(D163,"*赤*"),
VLOOKUP("*赤*",商品マスタ!$D:$E,2,FALSE),
VLOOKUP("*"&amp;D163&amp;"*",商品マスタ!$D:$E,2,FALSE)))*F163,
(H163-M163)-IF(COUNTIF(D163,"*キャラ*"),
VLOOKUP("*キャラ*",商品マスタ!$D:$E,2,FALSE),
IF(COUNTIF(D163,"*赤*"),
VLOOKUP("*赤*",商品マスタ!$D:$E,2,FALSE),
VLOOKUP("*"&amp;D163&amp;"*",商品マスタ!$D:$E,2,FALSE)))*F163),"")</f>
        <v/>
      </c>
      <c r="H163" s="108" t="str">
        <f>IF(C163&lt;&gt;"",
クライアント抽出!D23,"")</f>
        <v/>
      </c>
      <c r="I163" s="106" t="str">
        <f>IF(C163&lt;&gt;"",
IF(O163=1,0,クライアント抽出!F23),"")</f>
        <v/>
      </c>
      <c r="J163" s="106" t="str">
        <f>IF(C163&lt;&gt;"",
VLOOKUP(
"*"&amp;LEFT(IF(COUNTIF(D163,"*学食*"),"キャラ弁（学食）",
IF(COUNTIF(D163,"*赤*"),"赤",
IF(COUNTIF(D163,"*キャラ弁当*"),"キャラ弁当",D163))),4)&amp;"*",注文弁当の抽出!$F$1:$G$15,2,FALSE),"")</f>
        <v/>
      </c>
      <c r="K163" s="106" t="str">
        <f ca="1">IF(クライアント抽出!R23&lt;&gt;"",SUBSTITUTE(ADDRESS(1,(CODE(クライアント抽出!R23)-64)*2-1,4),"1",""),"")</f>
        <v/>
      </c>
      <c r="L163" s="106" t="str">
        <f>IF(C23&lt;&gt;"",クライアント抽出!I23,"")</f>
        <v/>
      </c>
      <c r="M163" s="106">
        <f t="array" aca="1" ref="M163" ca="1">IF(C163&lt;&gt;"",
IF(K163&lt;&gt;"",INDIRECT("'数出表_Excel（アレルギー入力）'!"&amp;K163&amp;L163-1&amp;""),),)</f>
        <v>0</v>
      </c>
      <c r="N163" s="106" t="str">
        <f>IF(C163&lt;&gt;"",IF(OR(COUNTIF('盛付札（関数）'!D163,"*赤*"),COUNTIF('盛付札（関数）'!D163,"*キャラ*")),1,
VALUE(VLOOKUP("*"&amp;D163&amp;"*",商品マスタ!D:H,5,FALSE))),"")</f>
        <v/>
      </c>
      <c r="O163" s="106">
        <f t="shared" ca="1" si="82"/>
        <v>0</v>
      </c>
      <c r="P163" s="106">
        <f t="shared" si="61"/>
        <v>0</v>
      </c>
      <c r="Q163" s="106" t="b">
        <f t="shared" si="62"/>
        <v>0</v>
      </c>
      <c r="R163" s="176" t="str">
        <f t="array" aca="1" ref="R163" ca="1">IFERROR(SMALL(IF(P$1:P$311&lt;&gt;0,P$1:P$311),ROW(A163)),"")</f>
        <v/>
      </c>
      <c r="S163" s="176" t="str">
        <f t="array" aca="1" ref="S163" ca="1">IF($R163&lt;&gt;"",
SUBSTITUTE(SUBSTITUTE(INDIRECT("C"&amp;$R163&amp;"")," 週3ｺｰｽ","")," 週5ｺｰｽ",""),"")</f>
        <v/>
      </c>
      <c r="T163" s="176" t="str">
        <f t="array" aca="1" ref="T163" ca="1">IF(IF($R163&lt;&gt;"",
INDIRECT(""&amp;IF(COLUMN(D163)&lt;=26,CHAR(COLUMN(D163)+64),CHAR(INT((COLUMN(D163)-1)/26)+64)&amp;CHAR(MOD(COLUMN(D163)-1,26)+65))&amp;$R163&amp;""),"")=0,"",
IF($R163&lt;&gt;"",
INDIRECT(""&amp;IF(COLUMN(D163)&lt;=26,CHAR(COLUMN(D163)+64),CHAR(INT((COLUMN(D163)-1)/26)+64)&amp;CHAR(MOD(COLUMN(D163)-1,26)+65))&amp;$R163&amp;""),""))</f>
        <v/>
      </c>
      <c r="U163" s="218" t="str">
        <f t="array" aca="1" ref="U163" ca="1">IF($R163&lt;&gt;"",
INDIRECT("F"&amp;$R163&amp;""),"")</f>
        <v/>
      </c>
      <c r="V163" s="219" t="str">
        <f t="array" aca="1" ref="V163" ca="1">IF($R163&lt;&gt;"",
INDIRECT("G"&amp;$R163&amp;""),"")</f>
        <v/>
      </c>
      <c r="W163" s="219" t="str" cm="1">
        <f t="array" aca="1" ref="W163" ca="1">IF($R163&lt;&gt;"",
IF(AND(COUNTIF(INDIRECT("B"&amp;R163&amp;""),"*雙葉*"),COUNTIF($B$71:$B$210,"*雙葉*")&gt;=1),
IF(OR(COUNTIF(INDIRECT("B"&amp;R163&amp;""),"*雙葉先生*"),COUNTIF(INDIRECT("B"&amp;R163-1&amp;""),"*雙葉*")),INDIRECT("H"&amp;R163&amp;""),INDIRECT("H"&amp;R163&amp;"")+INDIRECT("H"&amp;MATCH("雙葉'",INDIRECT("B"&amp;R163+3&amp;":B210"),0)+2+R163&amp;"")),
IF(AND(LEFT(INDIRECT("B"&amp;R163&amp;""),2)="博多",COUNTIF(B:B,"*博多*")&gt;=2),
INDIRECT("H"&amp;R163&amp;"")+IFERROR(INDIRECT("H"&amp;MATCH("*"&amp;INDIRECT("B"&amp;R163&amp;"")&amp;"*",INDIRECT("B"&amp;R163+1&amp;":B210"),0)+R163&amp;""),0),
IF(AND(LEFT(INDIRECT("B"&amp;R163&amp;""),3)="奈良屋",COUNTIF(B:B,"*奈良屋*")&gt;=2),
INDIRECT("H"&amp;R163&amp;"")
+INDIRECT("H"&amp;MATCH("*"&amp;INDIRECT("B"&amp;R163&amp;"")&amp;"*",INDIRECT("B"&amp;R163+1&amp;":B210"),0)+R163&amp;"")
+INDIRECT("H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
+INDIRECT("H"&amp;MATCH("*"&amp;INDIRECT("B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&amp;"*",INDIRECT("B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+1&amp;":B210"),0)+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,
INDIRECT("H"&amp;R163&amp;"")))),"")</f>
        <v/>
      </c>
      <c r="X163" s="176" t="str">
        <f t="array" aca="1" ref="X163" ca="1">IF($R163&lt;&gt;"",
INDIRECT(""&amp;IF(COLUMN(I163)&lt;=26,CHAR(COLUMN(I163)+64),CHAR(INT((COLUMN(I163)-1)/26)+64)&amp;CHAR(MOD(COLUMN(I163)-1,26)+65))&amp;$R163&amp;""),"")</f>
        <v/>
      </c>
      <c r="Y163" s="176" t="str">
        <f t="array" aca="1" ref="Y163" ca="1">IF($R163&lt;&gt;"",
INDIRECT(""&amp;IF(COLUMN(J163)&lt;=26,CHAR(COLUMN(J163)+64),CHAR(INT((COLUMN(J163)-1)/26)+64)&amp;CHAR(MOD(COLUMN(J163)-1,26)+65))&amp;$R163&amp;""),"")</f>
        <v/>
      </c>
      <c r="Z163" s="176" t="str">
        <f t="shared" ca="1" si="63"/>
        <v/>
      </c>
      <c r="AA163" s="176" t="str">
        <f t="shared" ca="1" si="64"/>
        <v/>
      </c>
      <c r="AB163" s="176" t="str">
        <f t="array" aca="1" ref="AB163" ca="1">IF($R163&lt;&gt;"",
IF(AND(COUNTIF(INDIRECT("B"&amp;R163&amp;""),"*雙葉*"),COUNTIF(INDIRECT("B"&amp;R163&amp;""),"&lt;&gt;*先生*"),COUNTIF(B:B,"*雙葉*")&gt;=2),
INDIRECT("M"&amp;R163&amp;"")+INDIRECT("M"&amp;MATCH("雙葉'",INDIRECT("B"&amp;R163+1&amp;":B210"),0)+R163&amp;""),
IF(AND(LEFT(INDIRECT("B"&amp;R163&amp;""),2)="博多",COUNTIF(B:B,"*博多*")&gt;=2),
INDIRECT("M"&amp;R163&amp;"")+INDIRECT("M"&amp;MATCH("*"&amp;INDIRECT("B"&amp;R163&amp;"")&amp;"*",INDIRECT("B"&amp;R163+1&amp;":B210"),0)+R163&amp;""),
IF(AND(LEFT(INDIRECT("B"&amp;R163&amp;""),3)="奈良屋",COUNTIF(B:B,"*奈良屋*")&gt;=2),
INDIRECT("M"&amp;R163&amp;"")+INDIRECT("M"&amp;MATCH("*"&amp;INDIRECT("B"&amp;R163&amp;"")&amp;"*",INDIRECT("B"&amp;R163+1&amp;":B210"),0)+R163&amp;"")
+INDIRECT("M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,
INDIRECT("M"&amp;R163&amp;"")))),"")</f>
        <v/>
      </c>
      <c r="AC163" s="176" t="str">
        <f t="shared" ca="1" si="65"/>
        <v/>
      </c>
      <c r="AD163" s="176" t="str">
        <f t="shared" ca="1" si="66"/>
        <v/>
      </c>
      <c r="AE163" s="176" t="str">
        <f t="shared" ca="1" si="67"/>
        <v/>
      </c>
      <c r="AF163" s="176" t="str">
        <f t="shared" ca="1" si="68"/>
        <v/>
      </c>
      <c r="AG163" s="176" t="str">
        <f t="shared" ca="1" si="69"/>
        <v/>
      </c>
      <c r="AH163" s="183" t="str">
        <f t="shared" ca="1" si="70"/>
        <v/>
      </c>
      <c r="AI163" s="176" t="str">
        <f t="shared" ca="1" si="71"/>
        <v/>
      </c>
      <c r="AJ163" s="176" t="str">
        <f t="shared" ca="1" si="72"/>
        <v/>
      </c>
      <c r="AK163" s="176" t="str">
        <f t="shared" ca="1" si="73"/>
        <v/>
      </c>
      <c r="AL163" s="176" t="str">
        <f t="shared" ca="1" si="74"/>
        <v/>
      </c>
      <c r="AM163" s="176" t="str">
        <f t="shared" ca="1" si="75"/>
        <v/>
      </c>
      <c r="AN163" s="176" t="str">
        <f t="shared" ca="1" si="76"/>
        <v/>
      </c>
      <c r="AO163" s="176" t="str">
        <f t="shared" ca="1" si="77"/>
        <v/>
      </c>
      <c r="AP163" s="176" t="str">
        <f t="shared" ca="1" si="78"/>
        <v/>
      </c>
      <c r="AU163" s="176" t="str">
        <f t="shared" ca="1" si="79"/>
        <v/>
      </c>
    </row>
    <row r="164" spans="1:47" ht="22.2" customHeight="1">
      <c r="A164" s="107">
        <f t="shared" si="83"/>
        <v>53</v>
      </c>
      <c r="B164" s="106" t="str">
        <f t="shared" ca="1" si="80"/>
        <v/>
      </c>
      <c r="C164" s="106" t="str">
        <f>IF(OR(クライアント抽出!D24&lt;&gt;"",クライアント抽出!G24&lt;&gt;""),クライアント抽出!A24,"")</f>
        <v/>
      </c>
      <c r="D164" s="106" t="str">
        <f t="array" aca="1" ref="D164" ca="1">IF(C164&lt;&gt;"",INDIRECT("クライアント抽出!"&amp;E164&amp;MATCH(C164,クライアント抽出!A:A,0)&amp;""),"")</f>
        <v/>
      </c>
      <c r="E164" s="106" t="str">
        <f>IF(H164&lt;&gt;0,
IFERROR(
SUBSTITUTE(ADDRESS(1,
MATCH(VALUE(H164),クライアント抽出!A24:G24,0)+8,4),"1",""),
""),
IFERROR(
SUBSTITUTE(ADDRESS(1,
MATCH(VALUE(I164),クライアント抽出!A24:G24,0)+8,4),"1",""),
""))</f>
        <v/>
      </c>
      <c r="F164" s="187" t="str">
        <f ca="1">IF(D164&lt;&gt;"",
IF(COUNTIF(C164,"*雙葉*"),
IF(ROUND((H164-M164)
/IF(COUNTIF(D164,"*キャラ*"),
VLOOKUP("*キャラ*",商品マスタ!$D:$E,2,FALSE),
IF(COUNTIF(D164,"*赤*"),
VLOOKUP("*赤*",商品マスタ!$D:$E,2,FALSE),
VLOOKUP("*"&amp;D164&amp;"*",商品マスタ!$D:$E,2,FALSE))),0)&lt;=0,1,
ROUND((H164-M164)
/IF(COUNTIF(D164,"*キャラ*"),
VLOOKUP("*キャラ*",商品マスタ!$D:$E,2,FALSE),
IF(COUNTIF(D164,"*赤*"),
VLOOKUP("*赤*",商品マスタ!$D:$E,2,FALSE),
VLOOKUP("*"&amp;D164&amp;"*",商品マスタ!$D:$E,2,FALSE))),0)),
IF(OR(COUNTIF(D164,"*キャラ*"),COUNTIF(D164,"*赤*")),"",
IF(VLOOKUP("*"&amp;D164&amp;"*",商品マスタ!$D:$E,2,FALSE)=0,"",
IF(ROUND((H164-M164)
/VLOOKUP("*"&amp;D164&amp;"*",商品マスタ!$D:$E,2,FALSE),0)&lt;=0,1,
ROUND((H164-M164)
/VLOOKUP("*"&amp;D164&amp;"*",商品マスタ!$D:$E,2,FALSE),0))))),"")</f>
        <v/>
      </c>
      <c r="G164" s="106" t="str">
        <f ca="1">IF(F164&lt;&gt;"",
IF(VALUE(H164-M164)&gt;VALUE(IF(COUNTIF(D164,"*キャラ*"),
VLOOKUP("*キャラ*",商品マスタ!$D:$E,2,FALSE),
IF(COUNTIF(D164,"*赤*"),
VLOOKUP("*赤*",商品マスタ!$D:$E,2,FALSE),
VLOOKUP("*"&amp;D164&amp;"*",商品マスタ!$D:$E,2,FALSE)))*F164),
"+"&amp;(H164-M164)-IF(COUNTIF(D164,"*キャラ*"),
VLOOKUP("*キャラ*",商品マスタ!$D:$E,2,FALSE),
IF(COUNTIF(D164,"*赤*"),
VLOOKUP("*赤*",商品マスタ!$D:$E,2,FALSE),
VLOOKUP("*"&amp;D164&amp;"*",商品マスタ!$D:$E,2,FALSE)))*F164,
(H164-M164)-IF(COUNTIF(D164,"*キャラ*"),
VLOOKUP("*キャラ*",商品マスタ!$D:$E,2,FALSE),
IF(COUNTIF(D164,"*赤*"),
VLOOKUP("*赤*",商品マスタ!$D:$E,2,FALSE),
VLOOKUP("*"&amp;D164&amp;"*",商品マスタ!$D:$E,2,FALSE)))*F164),"")</f>
        <v/>
      </c>
      <c r="H164" s="108" t="str">
        <f>IF(C164&lt;&gt;"",
クライアント抽出!D24,"")</f>
        <v/>
      </c>
      <c r="I164" s="106" t="str">
        <f>IF(C164&lt;&gt;"",
IF(O164=1,0,クライアント抽出!F24),"")</f>
        <v/>
      </c>
      <c r="J164" s="106" t="str">
        <f>IF(C164&lt;&gt;"",
VLOOKUP(
"*"&amp;LEFT(IF(COUNTIF(D164,"*学食*"),"キャラ弁（学食）",
IF(COUNTIF(D164,"*赤*"),"赤",
IF(COUNTIF(D164,"*キャラ弁当*"),"キャラ弁当",D164))),4)&amp;"*",注文弁当の抽出!$F$1:$G$15,2,FALSE),"")</f>
        <v/>
      </c>
      <c r="K164" s="106" t="str">
        <f ca="1">IF(クライアント抽出!R24&lt;&gt;"",SUBSTITUTE(ADDRESS(1,(CODE(クライアント抽出!R24)-64)*2-1,4),"1",""),"")</f>
        <v/>
      </c>
      <c r="L164" s="106" t="str">
        <f>IF(C24&lt;&gt;"",クライアント抽出!I24,"")</f>
        <v/>
      </c>
      <c r="M164" s="106">
        <f t="array" aca="1" ref="M164" ca="1">IF(C164&lt;&gt;"",
IF(K164&lt;&gt;"",INDIRECT("'数出表_Excel（アレルギー入力）'!"&amp;K164&amp;L164-1&amp;""),),)</f>
        <v>0</v>
      </c>
      <c r="N164" s="106" t="str">
        <f>IF(C164&lt;&gt;"",IF(OR(COUNTIF('盛付札（関数）'!D164,"*赤*"),COUNTIF('盛付札（関数）'!D164,"*キャラ*")),1,
VALUE(VLOOKUP("*"&amp;D164&amp;"*",商品マスタ!D:H,5,FALSE))),"")</f>
        <v/>
      </c>
      <c r="O164" s="106">
        <f t="shared" ca="1" si="82"/>
        <v>0</v>
      </c>
      <c r="P164" s="106">
        <f t="shared" si="61"/>
        <v>0</v>
      </c>
      <c r="Q164" s="106" t="b">
        <f t="shared" si="62"/>
        <v>0</v>
      </c>
      <c r="R164" s="176" t="str">
        <f t="array" aca="1" ref="R164" ca="1">IFERROR(SMALL(IF(P$1:P$311&lt;&gt;0,P$1:P$311),ROW(A164)),"")</f>
        <v/>
      </c>
      <c r="S164" s="176" t="str">
        <f t="array" aca="1" ref="S164" ca="1">IF($R164&lt;&gt;"",
SUBSTITUTE(SUBSTITUTE(INDIRECT("C"&amp;$R164&amp;"")," 週3ｺｰｽ","")," 週5ｺｰｽ",""),"")</f>
        <v/>
      </c>
      <c r="T164" s="176" t="str">
        <f t="array" aca="1" ref="T164" ca="1">IF(IF($R164&lt;&gt;"",
INDIRECT(""&amp;IF(COLUMN(D164)&lt;=26,CHAR(COLUMN(D164)+64),CHAR(INT((COLUMN(D164)-1)/26)+64)&amp;CHAR(MOD(COLUMN(D164)-1,26)+65))&amp;$R164&amp;""),"")=0,"",
IF($R164&lt;&gt;"",
INDIRECT(""&amp;IF(COLUMN(D164)&lt;=26,CHAR(COLUMN(D164)+64),CHAR(INT((COLUMN(D164)-1)/26)+64)&amp;CHAR(MOD(COLUMN(D164)-1,26)+65))&amp;$R164&amp;""),""))</f>
        <v/>
      </c>
      <c r="U164" s="218" t="str">
        <f t="array" aca="1" ref="U164" ca="1">IF($R164&lt;&gt;"",
INDIRECT("F"&amp;$R164&amp;""),"")</f>
        <v/>
      </c>
      <c r="V164" s="219" t="str">
        <f t="array" aca="1" ref="V164" ca="1">IF($R164&lt;&gt;"",
INDIRECT("G"&amp;$R164&amp;""),"")</f>
        <v/>
      </c>
      <c r="W164" s="219" t="str" cm="1">
        <f t="array" aca="1" ref="W164" ca="1">IF($R164&lt;&gt;"",
IF(AND(COUNTIF(INDIRECT("B"&amp;R164&amp;""),"*雙葉*"),COUNTIF($B$71:$B$210,"*雙葉*")&gt;=1),
IF(OR(COUNTIF(INDIRECT("B"&amp;R164&amp;""),"*雙葉先生*"),COUNTIF(INDIRECT("B"&amp;R164-1&amp;""),"*雙葉*")),INDIRECT("H"&amp;R164&amp;""),INDIRECT("H"&amp;R164&amp;"")+INDIRECT("H"&amp;MATCH("雙葉'",INDIRECT("B"&amp;R164+3&amp;":B210"),0)+2+R164&amp;"")),
IF(AND(LEFT(INDIRECT("B"&amp;R164&amp;""),2)="博多",COUNTIF(B:B,"*博多*")&gt;=2),
INDIRECT("H"&amp;R164&amp;"")+IFERROR(INDIRECT("H"&amp;MATCH("*"&amp;INDIRECT("B"&amp;R164&amp;"")&amp;"*",INDIRECT("B"&amp;R164+1&amp;":B210"),0)+R164&amp;""),0),
IF(AND(LEFT(INDIRECT("B"&amp;R164&amp;""),3)="奈良屋",COUNTIF(B:B,"*奈良屋*")&gt;=2),
INDIRECT("H"&amp;R164&amp;"")
+INDIRECT("H"&amp;MATCH("*"&amp;INDIRECT("B"&amp;R164&amp;"")&amp;"*",INDIRECT("B"&amp;R164+1&amp;":B210"),0)+R164&amp;"")
+INDIRECT("H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
+INDIRECT("H"&amp;MATCH("*"&amp;INDIRECT("B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&amp;"*",INDIRECT("B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+1&amp;":B210"),0)+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,
INDIRECT("H"&amp;R164&amp;"")))),"")</f>
        <v/>
      </c>
      <c r="X164" s="176" t="str">
        <f t="array" aca="1" ref="X164" ca="1">IF($R164&lt;&gt;"",
INDIRECT(""&amp;IF(COLUMN(I164)&lt;=26,CHAR(COLUMN(I164)+64),CHAR(INT((COLUMN(I164)-1)/26)+64)&amp;CHAR(MOD(COLUMN(I164)-1,26)+65))&amp;$R164&amp;""),"")</f>
        <v/>
      </c>
      <c r="Y164" s="176" t="str">
        <f t="array" aca="1" ref="Y164" ca="1">IF($R164&lt;&gt;"",
INDIRECT(""&amp;IF(COLUMN(J164)&lt;=26,CHAR(COLUMN(J164)+64),CHAR(INT((COLUMN(J164)-1)/26)+64)&amp;CHAR(MOD(COLUMN(J164)-1,26)+65))&amp;$R164&amp;""),"")</f>
        <v/>
      </c>
      <c r="Z164" s="176" t="str">
        <f t="shared" ca="1" si="63"/>
        <v/>
      </c>
      <c r="AA164" s="176" t="str">
        <f t="shared" ca="1" si="64"/>
        <v/>
      </c>
      <c r="AB164" s="176" t="str">
        <f t="array" aca="1" ref="AB164" ca="1">IF($R164&lt;&gt;"",
IF(AND(COUNTIF(INDIRECT("B"&amp;R164&amp;""),"*雙葉*"),COUNTIF(INDIRECT("B"&amp;R164&amp;""),"&lt;&gt;*先生*"),COUNTIF(B:B,"*雙葉*")&gt;=2),
INDIRECT("M"&amp;R164&amp;"")+INDIRECT("M"&amp;MATCH("雙葉'",INDIRECT("B"&amp;R164+1&amp;":B210"),0)+R164&amp;""),
IF(AND(LEFT(INDIRECT("B"&amp;R164&amp;""),2)="博多",COUNTIF(B:B,"*博多*")&gt;=2),
INDIRECT("M"&amp;R164&amp;"")+INDIRECT("M"&amp;MATCH("*"&amp;INDIRECT("B"&amp;R164&amp;"")&amp;"*",INDIRECT("B"&amp;R164+1&amp;":B210"),0)+R164&amp;""),
IF(AND(LEFT(INDIRECT("B"&amp;R164&amp;""),3)="奈良屋",COUNTIF(B:B,"*奈良屋*")&gt;=2),
INDIRECT("M"&amp;R164&amp;"")+INDIRECT("M"&amp;MATCH("*"&amp;INDIRECT("B"&amp;R164&amp;"")&amp;"*",INDIRECT("B"&amp;R164+1&amp;":B210"),0)+R164&amp;"")
+INDIRECT("M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,
INDIRECT("M"&amp;R164&amp;"")))),"")</f>
        <v/>
      </c>
      <c r="AC164" s="176" t="str">
        <f t="shared" ca="1" si="65"/>
        <v/>
      </c>
      <c r="AD164" s="176" t="str">
        <f t="shared" ca="1" si="66"/>
        <v/>
      </c>
      <c r="AE164" s="176" t="str">
        <f t="shared" ca="1" si="67"/>
        <v/>
      </c>
      <c r="AF164" s="176" t="str">
        <f t="shared" ca="1" si="68"/>
        <v/>
      </c>
      <c r="AG164" s="176" t="str">
        <f t="shared" ca="1" si="69"/>
        <v/>
      </c>
      <c r="AH164" s="183" t="str">
        <f t="shared" ca="1" si="70"/>
        <v/>
      </c>
      <c r="AI164" s="176" t="str">
        <f t="shared" ca="1" si="71"/>
        <v/>
      </c>
      <c r="AJ164" s="176" t="str">
        <f t="shared" ca="1" si="72"/>
        <v/>
      </c>
      <c r="AK164" s="176" t="str">
        <f t="shared" ca="1" si="73"/>
        <v/>
      </c>
      <c r="AL164" s="176" t="str">
        <f t="shared" ca="1" si="74"/>
        <v/>
      </c>
      <c r="AM164" s="176" t="str">
        <f t="shared" ca="1" si="75"/>
        <v/>
      </c>
      <c r="AN164" s="176" t="str">
        <f t="shared" ca="1" si="76"/>
        <v/>
      </c>
      <c r="AO164" s="176" t="str">
        <f t="shared" ca="1" si="77"/>
        <v/>
      </c>
      <c r="AP164" s="176" t="str">
        <f t="shared" ca="1" si="78"/>
        <v/>
      </c>
      <c r="AU164" s="176" t="str">
        <f t="shared" ca="1" si="79"/>
        <v/>
      </c>
    </row>
    <row r="165" spans="1:47" ht="22.2" customHeight="1">
      <c r="A165" s="107">
        <f t="shared" si="83"/>
        <v>55</v>
      </c>
      <c r="B165" s="106" t="str">
        <f t="shared" ca="1" si="80"/>
        <v/>
      </c>
      <c r="C165" s="106" t="str">
        <f>IF(OR(クライアント抽出!D25&lt;&gt;"",クライアント抽出!G25&lt;&gt;""),クライアント抽出!A25,"")</f>
        <v/>
      </c>
      <c r="D165" s="106" t="str">
        <f t="array" aca="1" ref="D165" ca="1">IF(C165&lt;&gt;"",INDIRECT("クライアント抽出!"&amp;E165&amp;MATCH(C165,クライアント抽出!A:A,0)&amp;""),"")</f>
        <v/>
      </c>
      <c r="E165" s="106" t="str">
        <f>IF(H165&lt;&gt;0,
IFERROR(
SUBSTITUTE(ADDRESS(1,
MATCH(VALUE(H165),クライアント抽出!A25:G25,0)+8,4),"1",""),
""),
IFERROR(
SUBSTITUTE(ADDRESS(1,
MATCH(VALUE(I165),クライアント抽出!A25:G25,0)+8,4),"1",""),
""))</f>
        <v/>
      </c>
      <c r="F165" s="187" t="str">
        <f ca="1">IF(D165&lt;&gt;"",
IF(COUNTIF(C165,"*雙葉*"),
IF(ROUND((H165-M165)
/IF(COUNTIF(D165,"*キャラ*"),
VLOOKUP("*キャラ*",商品マスタ!$D:$E,2,FALSE),
IF(COUNTIF(D165,"*赤*"),
VLOOKUP("*赤*",商品マスタ!$D:$E,2,FALSE),
VLOOKUP("*"&amp;D165&amp;"*",商品マスタ!$D:$E,2,FALSE))),0)&lt;=0,1,
ROUND((H165-M165)
/IF(COUNTIF(D165,"*キャラ*"),
VLOOKUP("*キャラ*",商品マスタ!$D:$E,2,FALSE),
IF(COUNTIF(D165,"*赤*"),
VLOOKUP("*赤*",商品マスタ!$D:$E,2,FALSE),
VLOOKUP("*"&amp;D165&amp;"*",商品マスタ!$D:$E,2,FALSE))),0)),
IF(OR(COUNTIF(D165,"*キャラ*"),COUNTIF(D165,"*赤*")),"",
IF(VLOOKUP("*"&amp;D165&amp;"*",商品マスタ!$D:$E,2,FALSE)=0,"",
IF(ROUND((H165-M165)
/VLOOKUP("*"&amp;D165&amp;"*",商品マスタ!$D:$E,2,FALSE),0)&lt;=0,1,
ROUND((H165-M165)
/VLOOKUP("*"&amp;D165&amp;"*",商品マスタ!$D:$E,2,FALSE),0))))),"")</f>
        <v/>
      </c>
      <c r="G165" s="106" t="str">
        <f ca="1">IF(F165&lt;&gt;"",
IF(VALUE(H165-M165)&gt;VALUE(IF(COUNTIF(D165,"*キャラ*"),
VLOOKUP("*キャラ*",商品マスタ!$D:$E,2,FALSE),
IF(COUNTIF(D165,"*赤*"),
VLOOKUP("*赤*",商品マスタ!$D:$E,2,FALSE),
VLOOKUP("*"&amp;D165&amp;"*",商品マスタ!$D:$E,2,FALSE)))*F165),
"+"&amp;(H165-M165)-IF(COUNTIF(D165,"*キャラ*"),
VLOOKUP("*キャラ*",商品マスタ!$D:$E,2,FALSE),
IF(COUNTIF(D165,"*赤*"),
VLOOKUP("*赤*",商品マスタ!$D:$E,2,FALSE),
VLOOKUP("*"&amp;D165&amp;"*",商品マスタ!$D:$E,2,FALSE)))*F165,
(H165-M165)-IF(COUNTIF(D165,"*キャラ*"),
VLOOKUP("*キャラ*",商品マスタ!$D:$E,2,FALSE),
IF(COUNTIF(D165,"*赤*"),
VLOOKUP("*赤*",商品マスタ!$D:$E,2,FALSE),
VLOOKUP("*"&amp;D165&amp;"*",商品マスタ!$D:$E,2,FALSE)))*F165),"")</f>
        <v/>
      </c>
      <c r="H165" s="108" t="str">
        <f>IF(C165&lt;&gt;"",
クライアント抽出!D25,"")</f>
        <v/>
      </c>
      <c r="I165" s="106" t="str">
        <f>IF(C165&lt;&gt;"",
IF(O165=1,0,クライアント抽出!F25),"")</f>
        <v/>
      </c>
      <c r="J165" s="106" t="str">
        <f>IF(C165&lt;&gt;"",
VLOOKUP(
"*"&amp;LEFT(IF(COUNTIF(D165,"*学食*"),"キャラ弁（学食）",
IF(COUNTIF(D165,"*赤*"),"赤",
IF(COUNTIF(D165,"*キャラ弁当*"),"キャラ弁当",D165))),4)&amp;"*",注文弁当の抽出!$F$1:$G$15,2,FALSE),"")</f>
        <v/>
      </c>
      <c r="K165" s="106" t="str">
        <f ca="1">IF(クライアント抽出!R25&lt;&gt;"",SUBSTITUTE(ADDRESS(1,(CODE(クライアント抽出!R25)-64)*2-1,4),"1",""),"")</f>
        <v/>
      </c>
      <c r="L165" s="106" t="str">
        <f>IF(C25&lt;&gt;"",クライアント抽出!I25,"")</f>
        <v/>
      </c>
      <c r="M165" s="106">
        <f t="array" aca="1" ref="M165" ca="1">IF(C165&lt;&gt;"",
IF(K165&lt;&gt;"",INDIRECT("'数出表_Excel（アレルギー入力）'!"&amp;K165&amp;L165-1&amp;""),),)</f>
        <v>0</v>
      </c>
      <c r="N165" s="106" t="str">
        <f>IF(C165&lt;&gt;"",IF(OR(COUNTIF('盛付札（関数）'!D165,"*赤*"),COUNTIF('盛付札（関数）'!D165,"*キャラ*")),1,
VALUE(VLOOKUP("*"&amp;D165&amp;"*",商品マスタ!D:H,5,FALSE))),"")</f>
        <v/>
      </c>
      <c r="O165" s="106">
        <f t="shared" ca="1" si="82"/>
        <v>0</v>
      </c>
      <c r="P165" s="106">
        <f t="shared" si="61"/>
        <v>0</v>
      </c>
      <c r="Q165" s="106" t="b">
        <f t="shared" si="62"/>
        <v>0</v>
      </c>
      <c r="R165" s="176" t="str">
        <f t="array" aca="1" ref="R165" ca="1">IFERROR(SMALL(IF(P$1:P$311&lt;&gt;0,P$1:P$311),ROW(A165)),"")</f>
        <v/>
      </c>
      <c r="S165" s="176" t="str">
        <f t="array" aca="1" ref="S165" ca="1">IF($R165&lt;&gt;"",
SUBSTITUTE(SUBSTITUTE(INDIRECT("C"&amp;$R165&amp;"")," 週3ｺｰｽ","")," 週5ｺｰｽ",""),"")</f>
        <v/>
      </c>
      <c r="T165" s="176" t="str">
        <f t="array" aca="1" ref="T165" ca="1">IF(IF($R165&lt;&gt;"",
INDIRECT(""&amp;IF(COLUMN(D165)&lt;=26,CHAR(COLUMN(D165)+64),CHAR(INT((COLUMN(D165)-1)/26)+64)&amp;CHAR(MOD(COLUMN(D165)-1,26)+65))&amp;$R165&amp;""),"")=0,"",
IF($R165&lt;&gt;"",
INDIRECT(""&amp;IF(COLUMN(D165)&lt;=26,CHAR(COLUMN(D165)+64),CHAR(INT((COLUMN(D165)-1)/26)+64)&amp;CHAR(MOD(COLUMN(D165)-1,26)+65))&amp;$R165&amp;""),""))</f>
        <v/>
      </c>
      <c r="U165" s="218" t="str">
        <f t="array" aca="1" ref="U165" ca="1">IF($R165&lt;&gt;"",
INDIRECT("F"&amp;$R165&amp;""),"")</f>
        <v/>
      </c>
      <c r="V165" s="219" t="str">
        <f t="array" aca="1" ref="V165" ca="1">IF($R165&lt;&gt;"",
INDIRECT("G"&amp;$R165&amp;""),"")</f>
        <v/>
      </c>
      <c r="W165" s="219" t="str" cm="1">
        <f t="array" aca="1" ref="W165" ca="1">IF($R165&lt;&gt;"",
IF(AND(COUNTIF(INDIRECT("B"&amp;R165&amp;""),"*雙葉*"),COUNTIF($B$71:$B$210,"*雙葉*")&gt;=1),
IF(OR(COUNTIF(INDIRECT("B"&amp;R165&amp;""),"*雙葉先生*"),COUNTIF(INDIRECT("B"&amp;R165-1&amp;""),"*雙葉*")),INDIRECT("H"&amp;R165&amp;""),INDIRECT("H"&amp;R165&amp;"")+INDIRECT("H"&amp;MATCH("雙葉'",INDIRECT("B"&amp;R165+3&amp;":B210"),0)+2+R165&amp;"")),
IF(AND(LEFT(INDIRECT("B"&amp;R165&amp;""),2)="博多",COUNTIF(B:B,"*博多*")&gt;=2),
INDIRECT("H"&amp;R165&amp;"")+IFERROR(INDIRECT("H"&amp;MATCH("*"&amp;INDIRECT("B"&amp;R165&amp;"")&amp;"*",INDIRECT("B"&amp;R165+1&amp;":B210"),0)+R165&amp;""),0),
IF(AND(LEFT(INDIRECT("B"&amp;R165&amp;""),3)="奈良屋",COUNTIF(B:B,"*奈良屋*")&gt;=2),
INDIRECT("H"&amp;R165&amp;"")
+INDIRECT("H"&amp;MATCH("*"&amp;INDIRECT("B"&amp;R165&amp;"")&amp;"*",INDIRECT("B"&amp;R165+1&amp;":B210"),0)+R165&amp;"")
+INDIRECT("H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
+INDIRECT("H"&amp;MATCH("*"&amp;INDIRECT("B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&amp;"*",INDIRECT("B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+1&amp;":B210"),0)+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,
INDIRECT("H"&amp;R165&amp;"")))),"")</f>
        <v/>
      </c>
      <c r="X165" s="176" t="str">
        <f t="array" aca="1" ref="X165" ca="1">IF($R165&lt;&gt;"",
INDIRECT(""&amp;IF(COLUMN(I165)&lt;=26,CHAR(COLUMN(I165)+64),CHAR(INT((COLUMN(I165)-1)/26)+64)&amp;CHAR(MOD(COLUMN(I165)-1,26)+65))&amp;$R165&amp;""),"")</f>
        <v/>
      </c>
      <c r="Y165" s="176" t="str">
        <f t="array" aca="1" ref="Y165" ca="1">IF($R165&lt;&gt;"",
INDIRECT(""&amp;IF(COLUMN(J165)&lt;=26,CHAR(COLUMN(J165)+64),CHAR(INT((COLUMN(J165)-1)/26)+64)&amp;CHAR(MOD(COLUMN(J165)-1,26)+65))&amp;$R165&amp;""),"")</f>
        <v/>
      </c>
      <c r="Z165" s="176" t="str">
        <f t="shared" ca="1" si="63"/>
        <v/>
      </c>
      <c r="AA165" s="176" t="str">
        <f t="shared" ca="1" si="64"/>
        <v/>
      </c>
      <c r="AB165" s="176" t="str">
        <f t="array" aca="1" ref="AB165" ca="1">IF($R165&lt;&gt;"",
IF(AND(COUNTIF(INDIRECT("B"&amp;R165&amp;""),"*雙葉*"),COUNTIF(INDIRECT("B"&amp;R165&amp;""),"&lt;&gt;*先生*"),COUNTIF(B:B,"*雙葉*")&gt;=2),
INDIRECT("M"&amp;R165&amp;"")+INDIRECT("M"&amp;MATCH("雙葉'",INDIRECT("B"&amp;R165+1&amp;":B210"),0)+R165&amp;""),
IF(AND(LEFT(INDIRECT("B"&amp;R165&amp;""),2)="博多",COUNTIF(B:B,"*博多*")&gt;=2),
INDIRECT("M"&amp;R165&amp;"")+INDIRECT("M"&amp;MATCH("*"&amp;INDIRECT("B"&amp;R165&amp;"")&amp;"*",INDIRECT("B"&amp;R165+1&amp;":B210"),0)+R165&amp;""),
IF(AND(LEFT(INDIRECT("B"&amp;R165&amp;""),3)="奈良屋",COUNTIF(B:B,"*奈良屋*")&gt;=2),
INDIRECT("M"&amp;R165&amp;"")+INDIRECT("M"&amp;MATCH("*"&amp;INDIRECT("B"&amp;R165&amp;"")&amp;"*",INDIRECT("B"&amp;R165+1&amp;":B210"),0)+R165&amp;"")
+INDIRECT("M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,
INDIRECT("M"&amp;R165&amp;"")))),"")</f>
        <v/>
      </c>
      <c r="AC165" s="176" t="str">
        <f t="shared" ca="1" si="65"/>
        <v/>
      </c>
      <c r="AD165" s="176" t="str">
        <f t="shared" ca="1" si="66"/>
        <v/>
      </c>
      <c r="AE165" s="176" t="str">
        <f t="shared" ca="1" si="67"/>
        <v/>
      </c>
      <c r="AF165" s="176" t="str">
        <f t="shared" ca="1" si="68"/>
        <v/>
      </c>
      <c r="AG165" s="176" t="str">
        <f t="shared" ca="1" si="69"/>
        <v/>
      </c>
      <c r="AH165" s="183" t="str">
        <f t="shared" ca="1" si="70"/>
        <v/>
      </c>
      <c r="AI165" s="176" t="str">
        <f t="shared" ca="1" si="71"/>
        <v/>
      </c>
      <c r="AJ165" s="176" t="str">
        <f t="shared" ca="1" si="72"/>
        <v/>
      </c>
      <c r="AK165" s="176" t="str">
        <f t="shared" ca="1" si="73"/>
        <v/>
      </c>
      <c r="AL165" s="176" t="str">
        <f t="shared" ca="1" si="74"/>
        <v/>
      </c>
      <c r="AM165" s="176" t="str">
        <f t="shared" ca="1" si="75"/>
        <v/>
      </c>
      <c r="AN165" s="176" t="str">
        <f t="shared" ca="1" si="76"/>
        <v/>
      </c>
      <c r="AO165" s="176" t="str">
        <f t="shared" ca="1" si="77"/>
        <v/>
      </c>
      <c r="AP165" s="176" t="str">
        <f t="shared" ca="1" si="78"/>
        <v/>
      </c>
      <c r="AU165" s="176" t="str">
        <f t="shared" ca="1" si="79"/>
        <v/>
      </c>
    </row>
    <row r="166" spans="1:47" ht="22.2" customHeight="1">
      <c r="A166" s="107">
        <f t="shared" si="83"/>
        <v>57</v>
      </c>
      <c r="B166" s="106" t="str">
        <f t="shared" ca="1" si="80"/>
        <v/>
      </c>
      <c r="C166" s="106" t="str">
        <f>IF(OR(クライアント抽出!D26&lt;&gt;"",クライアント抽出!G26&lt;&gt;""),クライアント抽出!A26,"")</f>
        <v/>
      </c>
      <c r="D166" s="106" t="str">
        <f t="array" aca="1" ref="D166" ca="1">IF(C166&lt;&gt;"",INDIRECT("クライアント抽出!"&amp;E166&amp;MATCH(C166,クライアント抽出!A:A,0)&amp;""),"")</f>
        <v/>
      </c>
      <c r="E166" s="106" t="str">
        <f>IF(H166&lt;&gt;0,
IFERROR(
SUBSTITUTE(ADDRESS(1,
MATCH(VALUE(H166),クライアント抽出!A26:G26,0)+8,4),"1",""),
""),
IFERROR(
SUBSTITUTE(ADDRESS(1,
MATCH(VALUE(I166),クライアント抽出!A26:G26,0)+8,4),"1",""),
""))</f>
        <v/>
      </c>
      <c r="F166" s="187" t="str">
        <f ca="1">IF(D166&lt;&gt;"",
IF(COUNTIF(C166,"*雙葉*"),
IF(ROUND((H166-M166)
/IF(COUNTIF(D166,"*キャラ*"),
VLOOKUP("*キャラ*",商品マスタ!$D:$E,2,FALSE),
IF(COUNTIF(D166,"*赤*"),
VLOOKUP("*赤*",商品マスタ!$D:$E,2,FALSE),
VLOOKUP("*"&amp;D166&amp;"*",商品マスタ!$D:$E,2,FALSE))),0)&lt;=0,1,
ROUND((H166-M166)
/IF(COUNTIF(D166,"*キャラ*"),
VLOOKUP("*キャラ*",商品マスタ!$D:$E,2,FALSE),
IF(COUNTIF(D166,"*赤*"),
VLOOKUP("*赤*",商品マスタ!$D:$E,2,FALSE),
VLOOKUP("*"&amp;D166&amp;"*",商品マスタ!$D:$E,2,FALSE))),0)),
IF(OR(COUNTIF(D166,"*キャラ*"),COUNTIF(D166,"*赤*")),"",
IF(VLOOKUP("*"&amp;D166&amp;"*",商品マスタ!$D:$E,2,FALSE)=0,"",
IF(ROUND((H166-M166)
/VLOOKUP("*"&amp;D166&amp;"*",商品マスタ!$D:$E,2,FALSE),0)&lt;=0,1,
ROUND((H166-M166)
/VLOOKUP("*"&amp;D166&amp;"*",商品マスタ!$D:$E,2,FALSE),0))))),"")</f>
        <v/>
      </c>
      <c r="G166" s="106" t="str">
        <f ca="1">IF(F166&lt;&gt;"",
IF(VALUE(H166-M166)&gt;VALUE(IF(COUNTIF(D166,"*キャラ*"),
VLOOKUP("*キャラ*",商品マスタ!$D:$E,2,FALSE),
IF(COUNTIF(D166,"*赤*"),
VLOOKUP("*赤*",商品マスタ!$D:$E,2,FALSE),
VLOOKUP("*"&amp;D166&amp;"*",商品マスタ!$D:$E,2,FALSE)))*F166),
"+"&amp;(H166-M166)-IF(COUNTIF(D166,"*キャラ*"),
VLOOKUP("*キャラ*",商品マスタ!$D:$E,2,FALSE),
IF(COUNTIF(D166,"*赤*"),
VLOOKUP("*赤*",商品マスタ!$D:$E,2,FALSE),
VLOOKUP("*"&amp;D166&amp;"*",商品マスタ!$D:$E,2,FALSE)))*F166,
(H166-M166)-IF(COUNTIF(D166,"*キャラ*"),
VLOOKUP("*キャラ*",商品マスタ!$D:$E,2,FALSE),
IF(COUNTIF(D166,"*赤*"),
VLOOKUP("*赤*",商品マスタ!$D:$E,2,FALSE),
VLOOKUP("*"&amp;D166&amp;"*",商品マスタ!$D:$E,2,FALSE)))*F166),"")</f>
        <v/>
      </c>
      <c r="H166" s="108" t="str">
        <f>IF(C166&lt;&gt;"",
クライアント抽出!D26,"")</f>
        <v/>
      </c>
      <c r="I166" s="106" t="str">
        <f>IF(C166&lt;&gt;"",
IF(O166=1,0,クライアント抽出!F26),"")</f>
        <v/>
      </c>
      <c r="J166" s="106" t="str">
        <f>IF(C166&lt;&gt;"",
VLOOKUP(
"*"&amp;LEFT(IF(COUNTIF(D166,"*学食*"),"キャラ弁（学食）",
IF(COUNTIF(D166,"*赤*"),"赤",
IF(COUNTIF(D166,"*キャラ弁当*"),"キャラ弁当",D166))),4)&amp;"*",注文弁当の抽出!$F$1:$G$15,2,FALSE),"")</f>
        <v/>
      </c>
      <c r="K166" s="106" t="str">
        <f ca="1">IF(クライアント抽出!R26&lt;&gt;"",SUBSTITUTE(ADDRESS(1,(CODE(クライアント抽出!R26)-64)*2-1,4),"1",""),"")</f>
        <v/>
      </c>
      <c r="L166" s="106" t="str">
        <f>IF(C26&lt;&gt;"",クライアント抽出!I26,"")</f>
        <v/>
      </c>
      <c r="M166" s="106">
        <f t="array" aca="1" ref="M166" ca="1">IF(C166&lt;&gt;"",
IF(K166&lt;&gt;"",INDIRECT("'数出表_Excel（アレルギー入力）'!"&amp;K166&amp;L166-1&amp;""),),)</f>
        <v>0</v>
      </c>
      <c r="N166" s="106" t="str">
        <f>IF(C166&lt;&gt;"",IF(OR(COUNTIF('盛付札（関数）'!D166,"*赤*"),COUNTIF('盛付札（関数）'!D166,"*キャラ*")),1,
VALUE(VLOOKUP("*"&amp;D166&amp;"*",商品マスタ!D:H,5,FALSE))),"")</f>
        <v/>
      </c>
      <c r="O166" s="106">
        <f t="shared" ca="1" si="82"/>
        <v>0</v>
      </c>
      <c r="P166" s="106">
        <f t="shared" si="61"/>
        <v>0</v>
      </c>
      <c r="Q166" s="106" t="b">
        <f t="shared" si="62"/>
        <v>0</v>
      </c>
      <c r="R166" s="176" t="str">
        <f t="array" aca="1" ref="R166" ca="1">IFERROR(SMALL(IF(P$1:P$311&lt;&gt;0,P$1:P$311),ROW(A166)),"")</f>
        <v/>
      </c>
      <c r="S166" s="176" t="str">
        <f t="array" aca="1" ref="S166" ca="1">IF($R166&lt;&gt;"",
SUBSTITUTE(SUBSTITUTE(INDIRECT("C"&amp;$R166&amp;"")," 週3ｺｰｽ","")," 週5ｺｰｽ",""),"")</f>
        <v/>
      </c>
      <c r="T166" s="176" t="str">
        <f t="array" aca="1" ref="T166" ca="1">IF(IF($R166&lt;&gt;"",
INDIRECT(""&amp;IF(COLUMN(D166)&lt;=26,CHAR(COLUMN(D166)+64),CHAR(INT((COLUMN(D166)-1)/26)+64)&amp;CHAR(MOD(COLUMN(D166)-1,26)+65))&amp;$R166&amp;""),"")=0,"",
IF($R166&lt;&gt;"",
INDIRECT(""&amp;IF(COLUMN(D166)&lt;=26,CHAR(COLUMN(D166)+64),CHAR(INT((COLUMN(D166)-1)/26)+64)&amp;CHAR(MOD(COLUMN(D166)-1,26)+65))&amp;$R166&amp;""),""))</f>
        <v/>
      </c>
      <c r="U166" s="218" t="str">
        <f t="array" aca="1" ref="U166" ca="1">IF($R166&lt;&gt;"",
INDIRECT("F"&amp;$R166&amp;""),"")</f>
        <v/>
      </c>
      <c r="V166" s="219" t="str">
        <f t="array" aca="1" ref="V166" ca="1">IF($R166&lt;&gt;"",
INDIRECT("G"&amp;$R166&amp;""),"")</f>
        <v/>
      </c>
      <c r="W166" s="219" t="str" cm="1">
        <f t="array" aca="1" ref="W166" ca="1">IF($R166&lt;&gt;"",
IF(AND(COUNTIF(INDIRECT("B"&amp;R166&amp;""),"*雙葉*"),COUNTIF($B$71:$B$210,"*雙葉*")&gt;=1),
IF(OR(COUNTIF(INDIRECT("B"&amp;R166&amp;""),"*雙葉先生*"),COUNTIF(INDIRECT("B"&amp;R166-1&amp;""),"*雙葉*")),INDIRECT("H"&amp;R166&amp;""),INDIRECT("H"&amp;R166&amp;"")+INDIRECT("H"&amp;MATCH("雙葉'",INDIRECT("B"&amp;R166+3&amp;":B210"),0)+2+R166&amp;"")),
IF(AND(LEFT(INDIRECT("B"&amp;R166&amp;""),2)="博多",COUNTIF(B:B,"*博多*")&gt;=2),
INDIRECT("H"&amp;R166&amp;"")+IFERROR(INDIRECT("H"&amp;MATCH("*"&amp;INDIRECT("B"&amp;R166&amp;"")&amp;"*",INDIRECT("B"&amp;R166+1&amp;":B210"),0)+R166&amp;""),0),
IF(AND(LEFT(INDIRECT("B"&amp;R166&amp;""),3)="奈良屋",COUNTIF(B:B,"*奈良屋*")&gt;=2),
INDIRECT("H"&amp;R166&amp;"")
+INDIRECT("H"&amp;MATCH("*"&amp;INDIRECT("B"&amp;R166&amp;"")&amp;"*",INDIRECT("B"&amp;R166+1&amp;":B210"),0)+R166&amp;"")
+INDIRECT("H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
+INDIRECT("H"&amp;MATCH("*"&amp;INDIRECT("B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&amp;"*",INDIRECT("B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+1&amp;":B210"),0)+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,
INDIRECT("H"&amp;R166&amp;"")))),"")</f>
        <v/>
      </c>
      <c r="X166" s="176" t="str">
        <f t="array" aca="1" ref="X166" ca="1">IF($R166&lt;&gt;"",
INDIRECT(""&amp;IF(COLUMN(I166)&lt;=26,CHAR(COLUMN(I166)+64),CHAR(INT((COLUMN(I166)-1)/26)+64)&amp;CHAR(MOD(COLUMN(I166)-1,26)+65))&amp;$R166&amp;""),"")</f>
        <v/>
      </c>
      <c r="Y166" s="176" t="str">
        <f t="array" aca="1" ref="Y166" ca="1">IF($R166&lt;&gt;"",
INDIRECT(""&amp;IF(COLUMN(J166)&lt;=26,CHAR(COLUMN(J166)+64),CHAR(INT((COLUMN(J166)-1)/26)+64)&amp;CHAR(MOD(COLUMN(J166)-1,26)+65))&amp;$R166&amp;""),"")</f>
        <v/>
      </c>
      <c r="Z166" s="176" t="str">
        <f t="shared" ca="1" si="63"/>
        <v/>
      </c>
      <c r="AA166" s="176" t="str">
        <f t="shared" ca="1" si="64"/>
        <v/>
      </c>
      <c r="AB166" s="176" t="str">
        <f t="array" aca="1" ref="AB166" ca="1">IF($R166&lt;&gt;"",
IF(AND(COUNTIF(INDIRECT("B"&amp;R166&amp;""),"*雙葉*"),COUNTIF(INDIRECT("B"&amp;R166&amp;""),"&lt;&gt;*先生*"),COUNTIF(B:B,"*雙葉*")&gt;=2),
INDIRECT("M"&amp;R166&amp;"")+INDIRECT("M"&amp;MATCH("雙葉'",INDIRECT("B"&amp;R166+1&amp;":B210"),0)+R166&amp;""),
IF(AND(LEFT(INDIRECT("B"&amp;R166&amp;""),2)="博多",COUNTIF(B:B,"*博多*")&gt;=2),
INDIRECT("M"&amp;R166&amp;"")+INDIRECT("M"&amp;MATCH("*"&amp;INDIRECT("B"&amp;R166&amp;"")&amp;"*",INDIRECT("B"&amp;R166+1&amp;":B210"),0)+R166&amp;""),
IF(AND(LEFT(INDIRECT("B"&amp;R166&amp;""),3)="奈良屋",COUNTIF(B:B,"*奈良屋*")&gt;=2),
INDIRECT("M"&amp;R166&amp;"")+INDIRECT("M"&amp;MATCH("*"&amp;INDIRECT("B"&amp;R166&amp;"")&amp;"*",INDIRECT("B"&amp;R166+1&amp;":B210"),0)+R166&amp;"")
+INDIRECT("M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,
INDIRECT("M"&amp;R166&amp;"")))),"")</f>
        <v/>
      </c>
      <c r="AC166" s="176" t="str">
        <f t="shared" ca="1" si="65"/>
        <v/>
      </c>
      <c r="AD166" s="176" t="str">
        <f t="shared" ca="1" si="66"/>
        <v/>
      </c>
      <c r="AE166" s="176" t="str">
        <f t="shared" ca="1" si="67"/>
        <v/>
      </c>
      <c r="AF166" s="176" t="str">
        <f t="shared" ca="1" si="68"/>
        <v/>
      </c>
      <c r="AG166" s="176" t="str">
        <f t="shared" ca="1" si="69"/>
        <v/>
      </c>
      <c r="AH166" s="183" t="str">
        <f t="shared" ca="1" si="70"/>
        <v/>
      </c>
      <c r="AI166" s="176" t="str">
        <f t="shared" ca="1" si="71"/>
        <v/>
      </c>
      <c r="AJ166" s="176" t="str">
        <f t="shared" ca="1" si="72"/>
        <v/>
      </c>
      <c r="AK166" s="176" t="str">
        <f t="shared" ca="1" si="73"/>
        <v/>
      </c>
      <c r="AL166" s="176" t="str">
        <f t="shared" ca="1" si="74"/>
        <v/>
      </c>
      <c r="AM166" s="176" t="str">
        <f t="shared" ca="1" si="75"/>
        <v/>
      </c>
      <c r="AN166" s="176" t="str">
        <f t="shared" ca="1" si="76"/>
        <v/>
      </c>
      <c r="AO166" s="176" t="str">
        <f t="shared" ca="1" si="77"/>
        <v/>
      </c>
      <c r="AP166" s="176" t="str">
        <f t="shared" ca="1" si="78"/>
        <v/>
      </c>
      <c r="AU166" s="176" t="str">
        <f t="shared" ca="1" si="79"/>
        <v/>
      </c>
    </row>
    <row r="167" spans="1:47" ht="22.2" customHeight="1">
      <c r="A167" s="107">
        <f t="shared" si="83"/>
        <v>59</v>
      </c>
      <c r="B167" s="106" t="str">
        <f t="shared" ref="B167:B198" ca="1" si="84">IF(COUNTIF(C167,"*雙葉*"),
IF(COUNTIF(INDIRECT("B1:B"&amp;ROW()-1&amp;""),"雙葉"),
IF(COUNTIF(C167,"*先生*"),"雙葉先生","雙葉'"),"雙葉"),
IF(COUNTIF(C167,"*社食*"),"社食'",
IF(LEFT(C167,2)="博多",
IF(COUNTIF(C167,"*別注*"),
IFERROR(TRIM(LEFT(C167,FIND("週",C167)-1)),TRIM(C167)),
IF(IFERROR(TRIM(LEFT(C166,FIND("週",C166)-1)),TRIM(C166))=IFERROR(TRIM(LEFT(C167,FIND("週",C167)-1)),TRIM(C167)),
IFERROR(TRIM(LEFT(C167,FIND("週",C167)-1)),TRIM(C167))&amp;"'",IFERROR(TRIM(LEFT(C167,FIND("週",C167)-1)),TRIM(C167)))),
IF(LEFT(C167,3)="奈良屋",
IF(IFERROR(TRIM(LEFT(C166,FIND("幼",C166)-1)),TRIM(C166))=IFERROR(TRIM(LEFT(C167,FIND("幼",C167)-1)),TRIM(C167)),
"奈良屋'","奈良屋"),""))))</f>
        <v/>
      </c>
      <c r="C167" s="106" t="str">
        <f>IF(OR(クライアント抽出!D27&lt;&gt;"",クライアント抽出!G27&lt;&gt;""),クライアント抽出!A27,"")</f>
        <v/>
      </c>
      <c r="D167" s="106" t="str">
        <f t="array" aca="1" ref="D167" ca="1">IF(C167&lt;&gt;"",INDIRECT("クライアント抽出!"&amp;E167&amp;MATCH(C167,クライアント抽出!A:A,0)&amp;""),"")</f>
        <v/>
      </c>
      <c r="E167" s="106" t="str">
        <f>IF(H167&lt;&gt;0,
IFERROR(
SUBSTITUTE(ADDRESS(1,
MATCH(VALUE(H167),クライアント抽出!A27:G27,0)+8,4),"1",""),
""),
IFERROR(
SUBSTITUTE(ADDRESS(1,
MATCH(VALUE(I167),クライアント抽出!A27:G27,0)+8,4),"1",""),
""))</f>
        <v/>
      </c>
      <c r="F167" s="187" t="str">
        <f ca="1">IF(D167&lt;&gt;"",
IF(COUNTIF(C167,"*雙葉*"),
IF(ROUND((H167-M167)
/IF(COUNTIF(D167,"*キャラ*"),
VLOOKUP("*キャラ*",商品マスタ!$D:$E,2,FALSE),
IF(COUNTIF(D167,"*赤*"),
VLOOKUP("*赤*",商品マスタ!$D:$E,2,FALSE),
VLOOKUP("*"&amp;D167&amp;"*",商品マスタ!$D:$E,2,FALSE))),0)&lt;=0,1,
ROUND((H167-M167)
/IF(COUNTIF(D167,"*キャラ*"),
VLOOKUP("*キャラ*",商品マスタ!$D:$E,2,FALSE),
IF(COUNTIF(D167,"*赤*"),
VLOOKUP("*赤*",商品マスタ!$D:$E,2,FALSE),
VLOOKUP("*"&amp;D167&amp;"*",商品マスタ!$D:$E,2,FALSE))),0)),
IF(OR(COUNTIF(D167,"*キャラ*"),COUNTIF(D167,"*赤*")),"",
IF(VLOOKUP("*"&amp;D167&amp;"*",商品マスタ!$D:$E,2,FALSE)=0,"",
IF(ROUND((H167-M167)
/VLOOKUP("*"&amp;D167&amp;"*",商品マスタ!$D:$E,2,FALSE),0)&lt;=0,1,
ROUND((H167-M167)
/VLOOKUP("*"&amp;D167&amp;"*",商品マスタ!$D:$E,2,FALSE),0))))),"")</f>
        <v/>
      </c>
      <c r="G167" s="106" t="str">
        <f ca="1">IF(F167&lt;&gt;"",
IF(VALUE(H167-M167)&gt;VALUE(IF(COUNTIF(D167,"*キャラ*"),
VLOOKUP("*キャラ*",商品マスタ!$D:$E,2,FALSE),
IF(COUNTIF(D167,"*赤*"),
VLOOKUP("*赤*",商品マスタ!$D:$E,2,FALSE),
VLOOKUP("*"&amp;D167&amp;"*",商品マスタ!$D:$E,2,FALSE)))*F167),
"+"&amp;(H167-M167)-IF(COUNTIF(D167,"*キャラ*"),
VLOOKUP("*キャラ*",商品マスタ!$D:$E,2,FALSE),
IF(COUNTIF(D167,"*赤*"),
VLOOKUP("*赤*",商品マスタ!$D:$E,2,FALSE),
VLOOKUP("*"&amp;D167&amp;"*",商品マスタ!$D:$E,2,FALSE)))*F167,
(H167-M167)-IF(COUNTIF(D167,"*キャラ*"),
VLOOKUP("*キャラ*",商品マスタ!$D:$E,2,FALSE),
IF(COUNTIF(D167,"*赤*"),
VLOOKUP("*赤*",商品マスタ!$D:$E,2,FALSE),
VLOOKUP("*"&amp;D167&amp;"*",商品マスタ!$D:$E,2,FALSE)))*F167),"")</f>
        <v/>
      </c>
      <c r="H167" s="108" t="str">
        <f>IF(C167&lt;&gt;"",
クライアント抽出!D27,"")</f>
        <v/>
      </c>
      <c r="I167" s="106" t="str">
        <f>IF(C167&lt;&gt;"",
IF(O167=1,0,クライアント抽出!F27),"")</f>
        <v/>
      </c>
      <c r="J167" s="106" t="str">
        <f>IF(C167&lt;&gt;"",
VLOOKUP(
"*"&amp;LEFT(IF(COUNTIF(D167,"*学食*"),"キャラ弁（学食）",
IF(COUNTIF(D167,"*赤*"),"赤",
IF(COUNTIF(D167,"*キャラ弁当*"),"キャラ弁当",D167))),4)&amp;"*",注文弁当の抽出!$F$1:$G$15,2,FALSE),"")</f>
        <v/>
      </c>
      <c r="K167" s="106" t="str">
        <f ca="1">IF(クライアント抽出!R27&lt;&gt;"",SUBSTITUTE(ADDRESS(1,(CODE(クライアント抽出!R27)-64)*2-1,4),"1",""),"")</f>
        <v/>
      </c>
      <c r="L167" s="106" t="str">
        <f>IF(C27&lt;&gt;"",クライアント抽出!I27,"")</f>
        <v/>
      </c>
      <c r="M167" s="106">
        <f t="array" aca="1" ref="M167" ca="1">IF(C167&lt;&gt;"",
IF(K167&lt;&gt;"",INDIRECT("'数出表_Excel（アレルギー入力）'!"&amp;K167&amp;L167-1&amp;""),),)</f>
        <v>0</v>
      </c>
      <c r="N167" s="106" t="str">
        <f>IF(C167&lt;&gt;"",IF(OR(COUNTIF('盛付札（関数）'!D167,"*赤*"),COUNTIF('盛付札（関数）'!D167,"*キャラ*")),1,
VALUE(VLOOKUP("*"&amp;D167&amp;"*",商品マスタ!D:H,5,FALSE))),"")</f>
        <v/>
      </c>
      <c r="O167" s="106">
        <f t="shared" ca="1" si="82"/>
        <v>0</v>
      </c>
      <c r="P167" s="106">
        <f t="shared" si="61"/>
        <v>0</v>
      </c>
      <c r="Q167" s="106" t="b">
        <f t="shared" si="62"/>
        <v>0</v>
      </c>
      <c r="R167" s="176" t="str">
        <f t="array" aca="1" ref="R167" ca="1">IFERROR(SMALL(IF(P$1:P$311&lt;&gt;0,P$1:P$311),ROW(A167)),"")</f>
        <v/>
      </c>
      <c r="S167" s="176" t="str">
        <f t="array" aca="1" ref="S167" ca="1">IF($R167&lt;&gt;"",
SUBSTITUTE(SUBSTITUTE(INDIRECT("C"&amp;$R167&amp;"")," 週3ｺｰｽ","")," 週5ｺｰｽ",""),"")</f>
        <v/>
      </c>
      <c r="T167" s="176" t="str">
        <f t="array" aca="1" ref="T167" ca="1">IF(IF($R167&lt;&gt;"",
INDIRECT(""&amp;IF(COLUMN(D167)&lt;=26,CHAR(COLUMN(D167)+64),CHAR(INT((COLUMN(D167)-1)/26)+64)&amp;CHAR(MOD(COLUMN(D167)-1,26)+65))&amp;$R167&amp;""),"")=0,"",
IF($R167&lt;&gt;"",
INDIRECT(""&amp;IF(COLUMN(D167)&lt;=26,CHAR(COLUMN(D167)+64),CHAR(INT((COLUMN(D167)-1)/26)+64)&amp;CHAR(MOD(COLUMN(D167)-1,26)+65))&amp;$R167&amp;""),""))</f>
        <v/>
      </c>
      <c r="U167" s="218" t="str">
        <f t="array" aca="1" ref="U167" ca="1">IF($R167&lt;&gt;"",
INDIRECT("F"&amp;$R167&amp;""),"")</f>
        <v/>
      </c>
      <c r="V167" s="219" t="str">
        <f t="array" aca="1" ref="V167" ca="1">IF($R167&lt;&gt;"",
INDIRECT("G"&amp;$R167&amp;""),"")</f>
        <v/>
      </c>
      <c r="W167" s="219" t="str" cm="1">
        <f t="array" aca="1" ref="W167" ca="1">IF($R167&lt;&gt;"",
IF(AND(COUNTIF(INDIRECT("B"&amp;R167&amp;""),"*雙葉*"),COUNTIF($B$71:$B$210,"*雙葉*")&gt;=1),
IF(OR(COUNTIF(INDIRECT("B"&amp;R167&amp;""),"*雙葉先生*"),COUNTIF(INDIRECT("B"&amp;R167-1&amp;""),"*雙葉*")),INDIRECT("H"&amp;R167&amp;""),INDIRECT("H"&amp;R167&amp;"")+INDIRECT("H"&amp;MATCH("雙葉'",INDIRECT("B"&amp;R167+3&amp;":B210"),0)+2+R167&amp;"")),
IF(AND(LEFT(INDIRECT("B"&amp;R167&amp;""),2)="博多",COUNTIF(B:B,"*博多*")&gt;=2),
INDIRECT("H"&amp;R167&amp;"")+IFERROR(INDIRECT("H"&amp;MATCH("*"&amp;INDIRECT("B"&amp;R167&amp;"")&amp;"*",INDIRECT("B"&amp;R167+1&amp;":B210"),0)+R167&amp;""),0),
IF(AND(LEFT(INDIRECT("B"&amp;R167&amp;""),3)="奈良屋",COUNTIF(B:B,"*奈良屋*")&gt;=2),
INDIRECT("H"&amp;R167&amp;"")
+INDIRECT("H"&amp;MATCH("*"&amp;INDIRECT("B"&amp;R167&amp;"")&amp;"*",INDIRECT("B"&amp;R167+1&amp;":B210"),0)+R167&amp;"")
+INDIRECT("H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
+INDIRECT("H"&amp;MATCH("*"&amp;INDIRECT("B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&amp;"*",INDIRECT("B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+1&amp;":B210"),0)+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,
INDIRECT("H"&amp;R167&amp;"")))),"")</f>
        <v/>
      </c>
      <c r="X167" s="176" t="str">
        <f t="array" aca="1" ref="X167" ca="1">IF($R167&lt;&gt;"",
INDIRECT(""&amp;IF(COLUMN(I167)&lt;=26,CHAR(COLUMN(I167)+64),CHAR(INT((COLUMN(I167)-1)/26)+64)&amp;CHAR(MOD(COLUMN(I167)-1,26)+65))&amp;$R167&amp;""),"")</f>
        <v/>
      </c>
      <c r="Y167" s="176" t="str">
        <f t="array" aca="1" ref="Y167" ca="1">IF($R167&lt;&gt;"",
INDIRECT(""&amp;IF(COLUMN(J167)&lt;=26,CHAR(COLUMN(J167)+64),CHAR(INT((COLUMN(J167)-1)/26)+64)&amp;CHAR(MOD(COLUMN(J167)-1,26)+65))&amp;$R167&amp;""),"")</f>
        <v/>
      </c>
      <c r="Z167" s="176" t="str">
        <f t="shared" ca="1" si="63"/>
        <v/>
      </c>
      <c r="AA167" s="176" t="str">
        <f t="shared" ca="1" si="64"/>
        <v/>
      </c>
      <c r="AB167" s="176" t="str">
        <f t="array" aca="1" ref="AB167" ca="1">IF($R167&lt;&gt;"",
IF(AND(COUNTIF(INDIRECT("B"&amp;R167&amp;""),"*雙葉*"),COUNTIF(INDIRECT("B"&amp;R167&amp;""),"&lt;&gt;*先生*"),COUNTIF(B:B,"*雙葉*")&gt;=2),
INDIRECT("M"&amp;R167&amp;"")+INDIRECT("M"&amp;MATCH("雙葉'",INDIRECT("B"&amp;R167+1&amp;":B210"),0)+R167&amp;""),
IF(AND(LEFT(INDIRECT("B"&amp;R167&amp;""),2)="博多",COUNTIF(B:B,"*博多*")&gt;=2),
INDIRECT("M"&amp;R167&amp;"")+INDIRECT("M"&amp;MATCH("*"&amp;INDIRECT("B"&amp;R167&amp;"")&amp;"*",INDIRECT("B"&amp;R167+1&amp;":B210"),0)+R167&amp;""),
IF(AND(LEFT(INDIRECT("B"&amp;R167&amp;""),3)="奈良屋",COUNTIF(B:B,"*奈良屋*")&gt;=2),
INDIRECT("M"&amp;R167&amp;"")+INDIRECT("M"&amp;MATCH("*"&amp;INDIRECT("B"&amp;R167&amp;"")&amp;"*",INDIRECT("B"&amp;R167+1&amp;":B210"),0)+R167&amp;"")
+INDIRECT("M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,
INDIRECT("M"&amp;R167&amp;"")))),"")</f>
        <v/>
      </c>
      <c r="AC167" s="176" t="str">
        <f t="shared" ca="1" si="65"/>
        <v/>
      </c>
      <c r="AD167" s="176" t="str">
        <f t="shared" ca="1" si="66"/>
        <v/>
      </c>
      <c r="AE167" s="176" t="str">
        <f t="shared" ca="1" si="67"/>
        <v/>
      </c>
      <c r="AF167" s="176" t="str">
        <f t="shared" ca="1" si="68"/>
        <v/>
      </c>
      <c r="AG167" s="176" t="str">
        <f t="shared" ca="1" si="69"/>
        <v/>
      </c>
      <c r="AH167" s="183" t="str">
        <f t="shared" ca="1" si="70"/>
        <v/>
      </c>
      <c r="AI167" s="176" t="str">
        <f t="shared" ca="1" si="71"/>
        <v/>
      </c>
      <c r="AJ167" s="176" t="str">
        <f t="shared" ca="1" si="72"/>
        <v/>
      </c>
      <c r="AK167" s="176" t="str">
        <f t="shared" ca="1" si="73"/>
        <v/>
      </c>
      <c r="AL167" s="176" t="str">
        <f t="shared" ca="1" si="74"/>
        <v/>
      </c>
      <c r="AM167" s="176" t="str">
        <f t="shared" ca="1" si="75"/>
        <v/>
      </c>
      <c r="AN167" s="176" t="str">
        <f t="shared" ca="1" si="76"/>
        <v/>
      </c>
      <c r="AO167" s="176" t="str">
        <f t="shared" ca="1" si="77"/>
        <v/>
      </c>
      <c r="AP167" s="176" t="str">
        <f t="shared" ca="1" si="78"/>
        <v/>
      </c>
      <c r="AU167" s="176" t="str">
        <f t="shared" ca="1" si="79"/>
        <v/>
      </c>
    </row>
    <row r="168" spans="1:47" ht="22.2" customHeight="1">
      <c r="A168" s="107">
        <f t="shared" si="83"/>
        <v>61</v>
      </c>
      <c r="B168" s="106" t="str">
        <f t="shared" ca="1" si="84"/>
        <v/>
      </c>
      <c r="C168" s="106" t="str">
        <f>IF(OR(クライアント抽出!D28&lt;&gt;"",クライアント抽出!G28&lt;&gt;""),クライアント抽出!A28,"")</f>
        <v/>
      </c>
      <c r="D168" s="106" t="str">
        <f t="array" aca="1" ref="D168" ca="1">IF(C168&lt;&gt;"",INDIRECT("クライアント抽出!"&amp;E168&amp;MATCH(C168,クライアント抽出!A:A,0)&amp;""),"")</f>
        <v/>
      </c>
      <c r="E168" s="106" t="str">
        <f>IF(H168&lt;&gt;0,
IFERROR(
SUBSTITUTE(ADDRESS(1,
MATCH(VALUE(H168),クライアント抽出!A28:G28,0)+8,4),"1",""),
""),
IFERROR(
SUBSTITUTE(ADDRESS(1,
MATCH(VALUE(I168),クライアント抽出!A28:G28,0)+8,4),"1",""),
""))</f>
        <v/>
      </c>
      <c r="F168" s="187" t="str">
        <f ca="1">IF(D168&lt;&gt;"",
IF(COUNTIF(C168,"*雙葉*"),
IF(ROUND((H168-M168)
/IF(COUNTIF(D168,"*キャラ*"),
VLOOKUP("*キャラ*",商品マスタ!$D:$E,2,FALSE),
IF(COUNTIF(D168,"*赤*"),
VLOOKUP("*赤*",商品マスタ!$D:$E,2,FALSE),
VLOOKUP("*"&amp;D168&amp;"*",商品マスタ!$D:$E,2,FALSE))),0)&lt;=0,1,
ROUND((H168-M168)
/IF(COUNTIF(D168,"*キャラ*"),
VLOOKUP("*キャラ*",商品マスタ!$D:$E,2,FALSE),
IF(COUNTIF(D168,"*赤*"),
VLOOKUP("*赤*",商品マスタ!$D:$E,2,FALSE),
VLOOKUP("*"&amp;D168&amp;"*",商品マスタ!$D:$E,2,FALSE))),0)),
IF(OR(COUNTIF(D168,"*キャラ*"),COUNTIF(D168,"*赤*")),"",
IF(VLOOKUP("*"&amp;D168&amp;"*",商品マスタ!$D:$E,2,FALSE)=0,"",
IF(ROUND((H168-M168)
/VLOOKUP("*"&amp;D168&amp;"*",商品マスタ!$D:$E,2,FALSE),0)&lt;=0,1,
ROUND((H168-M168)
/VLOOKUP("*"&amp;D168&amp;"*",商品マスタ!$D:$E,2,FALSE),0))))),"")</f>
        <v/>
      </c>
      <c r="G168" s="106" t="str">
        <f ca="1">IF(F168&lt;&gt;"",
IF(VALUE(H168-M168)&gt;VALUE(IF(COUNTIF(D168,"*キャラ*"),
VLOOKUP("*キャラ*",商品マスタ!$D:$E,2,FALSE),
IF(COUNTIF(D168,"*赤*"),
VLOOKUP("*赤*",商品マスタ!$D:$E,2,FALSE),
VLOOKUP("*"&amp;D168&amp;"*",商品マスタ!$D:$E,2,FALSE)))*F168),
"+"&amp;(H168-M168)-IF(COUNTIF(D168,"*キャラ*"),
VLOOKUP("*キャラ*",商品マスタ!$D:$E,2,FALSE),
IF(COUNTIF(D168,"*赤*"),
VLOOKUP("*赤*",商品マスタ!$D:$E,2,FALSE),
VLOOKUP("*"&amp;D168&amp;"*",商品マスタ!$D:$E,2,FALSE)))*F168,
(H168-M168)-IF(COUNTIF(D168,"*キャラ*"),
VLOOKUP("*キャラ*",商品マスタ!$D:$E,2,FALSE),
IF(COUNTIF(D168,"*赤*"),
VLOOKUP("*赤*",商品マスタ!$D:$E,2,FALSE),
VLOOKUP("*"&amp;D168&amp;"*",商品マスタ!$D:$E,2,FALSE)))*F168),"")</f>
        <v/>
      </c>
      <c r="H168" s="108" t="str">
        <f>IF(C168&lt;&gt;"",
クライアント抽出!D28,"")</f>
        <v/>
      </c>
      <c r="I168" s="106" t="str">
        <f>IF(C168&lt;&gt;"",
IF(O168=1,0,クライアント抽出!F28),"")</f>
        <v/>
      </c>
      <c r="J168" s="106" t="str">
        <f>IF(C168&lt;&gt;"",
VLOOKUP(
"*"&amp;LEFT(IF(COUNTIF(D168,"*学食*"),"キャラ弁（学食）",
IF(COUNTIF(D168,"*赤*"),"赤",
IF(COUNTIF(D168,"*キャラ弁当*"),"キャラ弁当",D168))),4)&amp;"*",注文弁当の抽出!$F$1:$G$15,2,FALSE),"")</f>
        <v/>
      </c>
      <c r="K168" s="106" t="str">
        <f ca="1">IF(クライアント抽出!R28&lt;&gt;"",SUBSTITUTE(ADDRESS(1,(CODE(クライアント抽出!R28)-64)*2-1,4),"1",""),"")</f>
        <v/>
      </c>
      <c r="L168" s="106" t="str">
        <f>IF(C28&lt;&gt;"",クライアント抽出!I28,"")</f>
        <v/>
      </c>
      <c r="M168" s="106">
        <f t="array" aca="1" ref="M168" ca="1">IF(C168&lt;&gt;"",
IF(K168&lt;&gt;"",INDIRECT("'数出表_Excel（アレルギー入力）'!"&amp;K168&amp;L168-1&amp;""),),)</f>
        <v>0</v>
      </c>
      <c r="N168" s="106" t="str">
        <f>IF(C168&lt;&gt;"",IF(OR(COUNTIF('盛付札（関数）'!D168,"*赤*"),COUNTIF('盛付札（関数）'!D168,"*キャラ*")),1,
VALUE(VLOOKUP("*"&amp;D168&amp;"*",商品マスタ!D:H,5,FALSE))),"")</f>
        <v/>
      </c>
      <c r="O168" s="106">
        <f t="shared" ca="1" si="82"/>
        <v>0</v>
      </c>
      <c r="P168" s="106">
        <f t="shared" si="61"/>
        <v>0</v>
      </c>
      <c r="Q168" s="106" t="b">
        <f t="shared" si="62"/>
        <v>0</v>
      </c>
      <c r="R168" s="176" t="str">
        <f t="array" aca="1" ref="R168" ca="1">IFERROR(SMALL(IF(P$1:P$311&lt;&gt;0,P$1:P$311),ROW(A168)),"")</f>
        <v/>
      </c>
      <c r="S168" s="176" t="str">
        <f t="array" aca="1" ref="S168" ca="1">IF($R168&lt;&gt;"",
SUBSTITUTE(SUBSTITUTE(INDIRECT("C"&amp;$R168&amp;"")," 週3ｺｰｽ","")," 週5ｺｰｽ",""),"")</f>
        <v/>
      </c>
      <c r="T168" s="176" t="str">
        <f t="array" aca="1" ref="T168" ca="1">IF(IF($R168&lt;&gt;"",
INDIRECT(""&amp;IF(COLUMN(D168)&lt;=26,CHAR(COLUMN(D168)+64),CHAR(INT((COLUMN(D168)-1)/26)+64)&amp;CHAR(MOD(COLUMN(D168)-1,26)+65))&amp;$R168&amp;""),"")=0,"",
IF($R168&lt;&gt;"",
INDIRECT(""&amp;IF(COLUMN(D168)&lt;=26,CHAR(COLUMN(D168)+64),CHAR(INT((COLUMN(D168)-1)/26)+64)&amp;CHAR(MOD(COLUMN(D168)-1,26)+65))&amp;$R168&amp;""),""))</f>
        <v/>
      </c>
      <c r="U168" s="218" t="str">
        <f t="array" aca="1" ref="U168" ca="1">IF($R168&lt;&gt;"",
INDIRECT("F"&amp;$R168&amp;""),"")</f>
        <v/>
      </c>
      <c r="V168" s="219" t="str">
        <f t="array" aca="1" ref="V168" ca="1">IF($R168&lt;&gt;"",
INDIRECT("G"&amp;$R168&amp;""),"")</f>
        <v/>
      </c>
      <c r="W168" s="219" t="str" cm="1">
        <f t="array" aca="1" ref="W168" ca="1">IF($R168&lt;&gt;"",
IF(AND(COUNTIF(INDIRECT("B"&amp;R168&amp;""),"*雙葉*"),COUNTIF($B$71:$B$210,"*雙葉*")&gt;=1),
IF(OR(COUNTIF(INDIRECT("B"&amp;R168&amp;""),"*雙葉先生*"),COUNTIF(INDIRECT("B"&amp;R168-1&amp;""),"*雙葉*")),INDIRECT("H"&amp;R168&amp;""),INDIRECT("H"&amp;R168&amp;"")+INDIRECT("H"&amp;MATCH("雙葉'",INDIRECT("B"&amp;R168+3&amp;":B210"),0)+2+R168&amp;"")),
IF(AND(LEFT(INDIRECT("B"&amp;R168&amp;""),2)="博多",COUNTIF(B:B,"*博多*")&gt;=2),
INDIRECT("H"&amp;R168&amp;"")+IFERROR(INDIRECT("H"&amp;MATCH("*"&amp;INDIRECT("B"&amp;R168&amp;"")&amp;"*",INDIRECT("B"&amp;R168+1&amp;":B210"),0)+R168&amp;""),0),
IF(AND(LEFT(INDIRECT("B"&amp;R168&amp;""),3)="奈良屋",COUNTIF(B:B,"*奈良屋*")&gt;=2),
INDIRECT("H"&amp;R168&amp;"")
+INDIRECT("H"&amp;MATCH("*"&amp;INDIRECT("B"&amp;R168&amp;"")&amp;"*",INDIRECT("B"&amp;R168+1&amp;":B210"),0)+R168&amp;"")
+INDIRECT("H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
+INDIRECT("H"&amp;MATCH("*"&amp;INDIRECT("B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&amp;"*",INDIRECT("B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+1&amp;":B210"),0)+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,
INDIRECT("H"&amp;R168&amp;"")))),"")</f>
        <v/>
      </c>
      <c r="X168" s="176" t="str">
        <f t="array" aca="1" ref="X168" ca="1">IF($R168&lt;&gt;"",
INDIRECT(""&amp;IF(COLUMN(I168)&lt;=26,CHAR(COLUMN(I168)+64),CHAR(INT((COLUMN(I168)-1)/26)+64)&amp;CHAR(MOD(COLUMN(I168)-1,26)+65))&amp;$R168&amp;""),"")</f>
        <v/>
      </c>
      <c r="Y168" s="176" t="str">
        <f t="array" aca="1" ref="Y168" ca="1">IF($R168&lt;&gt;"",
INDIRECT(""&amp;IF(COLUMN(J168)&lt;=26,CHAR(COLUMN(J168)+64),CHAR(INT((COLUMN(J168)-1)/26)+64)&amp;CHAR(MOD(COLUMN(J168)-1,26)+65))&amp;$R168&amp;""),"")</f>
        <v/>
      </c>
      <c r="Z168" s="176" t="str">
        <f t="shared" ca="1" si="63"/>
        <v/>
      </c>
      <c r="AA168" s="176" t="str">
        <f t="shared" ca="1" si="64"/>
        <v/>
      </c>
      <c r="AB168" s="176" t="str">
        <f t="array" aca="1" ref="AB168" ca="1">IF($R168&lt;&gt;"",
IF(AND(COUNTIF(INDIRECT("B"&amp;R168&amp;""),"*雙葉*"),COUNTIF(INDIRECT("B"&amp;R168&amp;""),"&lt;&gt;*先生*"),COUNTIF(B:B,"*雙葉*")&gt;=2),
INDIRECT("M"&amp;R168&amp;"")+INDIRECT("M"&amp;MATCH("雙葉'",INDIRECT("B"&amp;R168+1&amp;":B210"),0)+R168&amp;""),
IF(AND(LEFT(INDIRECT("B"&amp;R168&amp;""),2)="博多",COUNTIF(B:B,"*博多*")&gt;=2),
INDIRECT("M"&amp;R168&amp;"")+INDIRECT("M"&amp;MATCH("*"&amp;INDIRECT("B"&amp;R168&amp;"")&amp;"*",INDIRECT("B"&amp;R168+1&amp;":B210"),0)+R168&amp;""),
IF(AND(LEFT(INDIRECT("B"&amp;R168&amp;""),3)="奈良屋",COUNTIF(B:B,"*奈良屋*")&gt;=2),
INDIRECT("M"&amp;R168&amp;"")+INDIRECT("M"&amp;MATCH("*"&amp;INDIRECT("B"&amp;R168&amp;"")&amp;"*",INDIRECT("B"&amp;R168+1&amp;":B210"),0)+R168&amp;"")
+INDIRECT("M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,
INDIRECT("M"&amp;R168&amp;"")))),"")</f>
        <v/>
      </c>
      <c r="AC168" s="176" t="str">
        <f t="shared" ca="1" si="65"/>
        <v/>
      </c>
      <c r="AD168" s="176" t="str">
        <f t="shared" ca="1" si="66"/>
        <v/>
      </c>
      <c r="AE168" s="176" t="str">
        <f t="shared" ca="1" si="67"/>
        <v/>
      </c>
      <c r="AF168" s="176" t="str">
        <f t="shared" ca="1" si="68"/>
        <v/>
      </c>
      <c r="AG168" s="176" t="str">
        <f t="shared" ca="1" si="69"/>
        <v/>
      </c>
      <c r="AH168" s="183" t="str">
        <f t="shared" ca="1" si="70"/>
        <v/>
      </c>
      <c r="AI168" s="176" t="str">
        <f t="shared" ca="1" si="71"/>
        <v/>
      </c>
      <c r="AJ168" s="176" t="str">
        <f t="shared" ca="1" si="72"/>
        <v/>
      </c>
      <c r="AK168" s="176" t="str">
        <f t="shared" ca="1" si="73"/>
        <v/>
      </c>
      <c r="AL168" s="176" t="str">
        <f t="shared" ca="1" si="74"/>
        <v/>
      </c>
      <c r="AM168" s="176" t="str">
        <f t="shared" ca="1" si="75"/>
        <v/>
      </c>
      <c r="AN168" s="176" t="str">
        <f t="shared" ca="1" si="76"/>
        <v/>
      </c>
      <c r="AO168" s="176" t="str">
        <f t="shared" ca="1" si="77"/>
        <v/>
      </c>
      <c r="AP168" s="176" t="str">
        <f t="shared" ca="1" si="78"/>
        <v/>
      </c>
      <c r="AU168" s="176" t="str">
        <f t="shared" ca="1" si="79"/>
        <v/>
      </c>
    </row>
    <row r="169" spans="1:47" ht="22.2" customHeight="1">
      <c r="A169" s="107">
        <f t="shared" si="83"/>
        <v>63</v>
      </c>
      <c r="B169" s="106" t="str">
        <f t="shared" ca="1" si="84"/>
        <v/>
      </c>
      <c r="C169" s="106" t="str">
        <f>IF(OR(クライアント抽出!D29&lt;&gt;"",クライアント抽出!G29&lt;&gt;""),クライアント抽出!A29,"")</f>
        <v/>
      </c>
      <c r="D169" s="106" t="str">
        <f t="array" aca="1" ref="D169" ca="1">IF(C169&lt;&gt;"",INDIRECT("クライアント抽出!"&amp;E169&amp;MATCH(C169,クライアント抽出!A:A,0)&amp;""),"")</f>
        <v/>
      </c>
      <c r="E169" s="106" t="str">
        <f>IF(H169&lt;&gt;0,
IFERROR(
SUBSTITUTE(ADDRESS(1,
MATCH(VALUE(H169),クライアント抽出!A29:G29,0)+8,4),"1",""),
""),
IFERROR(
SUBSTITUTE(ADDRESS(1,
MATCH(VALUE(I169),クライアント抽出!A29:G29,0)+8,4),"1",""),
""))</f>
        <v/>
      </c>
      <c r="F169" s="187" t="str">
        <f ca="1">IF(D169&lt;&gt;"",
IF(COUNTIF(C169,"*雙葉*"),
IF(ROUND((H169-M169)
/IF(COUNTIF(D169,"*キャラ*"),
VLOOKUP("*キャラ*",商品マスタ!$D:$E,2,FALSE),
IF(COUNTIF(D169,"*赤*"),
VLOOKUP("*赤*",商品マスタ!$D:$E,2,FALSE),
VLOOKUP("*"&amp;D169&amp;"*",商品マスタ!$D:$E,2,FALSE))),0)&lt;=0,1,
ROUND((H169-M169)
/IF(COUNTIF(D169,"*キャラ*"),
VLOOKUP("*キャラ*",商品マスタ!$D:$E,2,FALSE),
IF(COUNTIF(D169,"*赤*"),
VLOOKUP("*赤*",商品マスタ!$D:$E,2,FALSE),
VLOOKUP("*"&amp;D169&amp;"*",商品マスタ!$D:$E,2,FALSE))),0)),
IF(OR(COUNTIF(D169,"*キャラ*"),COUNTIF(D169,"*赤*")),"",
IF(VLOOKUP("*"&amp;D169&amp;"*",商品マスタ!$D:$E,2,FALSE)=0,"",
IF(ROUND((H169-M169)
/VLOOKUP("*"&amp;D169&amp;"*",商品マスタ!$D:$E,2,FALSE),0)&lt;=0,1,
ROUND((H169-M169)
/VLOOKUP("*"&amp;D169&amp;"*",商品マスタ!$D:$E,2,FALSE),0))))),"")</f>
        <v/>
      </c>
      <c r="G169" s="106" t="str">
        <f ca="1">IF(F169&lt;&gt;"",
IF(VALUE(H169-M169)&gt;VALUE(IF(COUNTIF(D169,"*キャラ*"),
VLOOKUP("*キャラ*",商品マスタ!$D:$E,2,FALSE),
IF(COUNTIF(D169,"*赤*"),
VLOOKUP("*赤*",商品マスタ!$D:$E,2,FALSE),
VLOOKUP("*"&amp;D169&amp;"*",商品マスタ!$D:$E,2,FALSE)))*F169),
"+"&amp;(H169-M169)-IF(COUNTIF(D169,"*キャラ*"),
VLOOKUP("*キャラ*",商品マスタ!$D:$E,2,FALSE),
IF(COUNTIF(D169,"*赤*"),
VLOOKUP("*赤*",商品マスタ!$D:$E,2,FALSE),
VLOOKUP("*"&amp;D169&amp;"*",商品マスタ!$D:$E,2,FALSE)))*F169,
(H169-M169)-IF(COUNTIF(D169,"*キャラ*"),
VLOOKUP("*キャラ*",商品マスタ!$D:$E,2,FALSE),
IF(COUNTIF(D169,"*赤*"),
VLOOKUP("*赤*",商品マスタ!$D:$E,2,FALSE),
VLOOKUP("*"&amp;D169&amp;"*",商品マスタ!$D:$E,2,FALSE)))*F169),"")</f>
        <v/>
      </c>
      <c r="H169" s="108" t="str">
        <f>IF(C169&lt;&gt;"",
クライアント抽出!D29,"")</f>
        <v/>
      </c>
      <c r="I169" s="106" t="str">
        <f>IF(C169&lt;&gt;"",
IF(O169=1,0,クライアント抽出!F29),"")</f>
        <v/>
      </c>
      <c r="J169" s="106" t="str">
        <f>IF(C169&lt;&gt;"",
VLOOKUP(
"*"&amp;LEFT(IF(COUNTIF(D169,"*学食*"),"キャラ弁（学食）",
IF(COUNTIF(D169,"*赤*"),"赤",
IF(COUNTIF(D169,"*キャラ弁当*"),"キャラ弁当",D169))),4)&amp;"*",注文弁当の抽出!$F$1:$G$15,2,FALSE),"")</f>
        <v/>
      </c>
      <c r="K169" s="106" t="str">
        <f ca="1">IF(クライアント抽出!R29&lt;&gt;"",SUBSTITUTE(ADDRESS(1,(CODE(クライアント抽出!R29)-64)*2-1,4),"1",""),"")</f>
        <v/>
      </c>
      <c r="L169" s="106" t="str">
        <f>IF(C29&lt;&gt;"",クライアント抽出!I29,"")</f>
        <v/>
      </c>
      <c r="M169" s="106">
        <f t="array" aca="1" ref="M169" ca="1">IF(C169&lt;&gt;"",
IF(K169&lt;&gt;"",INDIRECT("'数出表_Excel（アレルギー入力）'!"&amp;K169&amp;L169-1&amp;""),),)</f>
        <v>0</v>
      </c>
      <c r="N169" s="106" t="str">
        <f>IF(C169&lt;&gt;"",IF(OR(COUNTIF('盛付札（関数）'!D169,"*赤*"),COUNTIF('盛付札（関数）'!D169,"*キャラ*")),1,
VALUE(VLOOKUP("*"&amp;D169&amp;"*",商品マスタ!D:H,5,FALSE))),"")</f>
        <v/>
      </c>
      <c r="O169" s="106">
        <f t="shared" ca="1" si="82"/>
        <v>0</v>
      </c>
      <c r="P169" s="106">
        <f t="shared" si="61"/>
        <v>0</v>
      </c>
      <c r="Q169" s="106" t="b">
        <f t="shared" si="62"/>
        <v>0</v>
      </c>
      <c r="R169" s="176" t="str">
        <f t="array" aca="1" ref="R169" ca="1">IFERROR(SMALL(IF(P$1:P$311&lt;&gt;0,P$1:P$311),ROW(A169)),"")</f>
        <v/>
      </c>
      <c r="S169" s="176" t="str">
        <f t="array" aca="1" ref="S169" ca="1">IF($R169&lt;&gt;"",
SUBSTITUTE(SUBSTITUTE(INDIRECT("C"&amp;$R169&amp;"")," 週3ｺｰｽ","")," 週5ｺｰｽ",""),"")</f>
        <v/>
      </c>
      <c r="T169" s="176" t="str">
        <f t="array" aca="1" ref="T169" ca="1">IF(IF($R169&lt;&gt;"",
INDIRECT(""&amp;IF(COLUMN(D169)&lt;=26,CHAR(COLUMN(D169)+64),CHAR(INT((COLUMN(D169)-1)/26)+64)&amp;CHAR(MOD(COLUMN(D169)-1,26)+65))&amp;$R169&amp;""),"")=0,"",
IF($R169&lt;&gt;"",
INDIRECT(""&amp;IF(COLUMN(D169)&lt;=26,CHAR(COLUMN(D169)+64),CHAR(INT((COLUMN(D169)-1)/26)+64)&amp;CHAR(MOD(COLUMN(D169)-1,26)+65))&amp;$R169&amp;""),""))</f>
        <v/>
      </c>
      <c r="U169" s="218" t="str">
        <f t="array" aca="1" ref="U169" ca="1">IF($R169&lt;&gt;"",
INDIRECT("F"&amp;$R169&amp;""),"")</f>
        <v/>
      </c>
      <c r="V169" s="219" t="str">
        <f t="array" aca="1" ref="V169" ca="1">IF($R169&lt;&gt;"",
INDIRECT("G"&amp;$R169&amp;""),"")</f>
        <v/>
      </c>
      <c r="W169" s="219" t="str" cm="1">
        <f t="array" aca="1" ref="W169" ca="1">IF($R169&lt;&gt;"",
IF(AND(COUNTIF(INDIRECT("B"&amp;R169&amp;""),"*雙葉*"),COUNTIF($B$71:$B$210,"*雙葉*")&gt;=1),
IF(OR(COUNTIF(INDIRECT("B"&amp;R169&amp;""),"*雙葉先生*"),COUNTIF(INDIRECT("B"&amp;R169-1&amp;""),"*雙葉*")),INDIRECT("H"&amp;R169&amp;""),INDIRECT("H"&amp;R169&amp;"")+INDIRECT("H"&amp;MATCH("雙葉'",INDIRECT("B"&amp;R169+3&amp;":B210"),0)+2+R169&amp;"")),
IF(AND(LEFT(INDIRECT("B"&amp;R169&amp;""),2)="博多",COUNTIF(B:B,"*博多*")&gt;=2),
INDIRECT("H"&amp;R169&amp;"")+IFERROR(INDIRECT("H"&amp;MATCH("*"&amp;INDIRECT("B"&amp;R169&amp;"")&amp;"*",INDIRECT("B"&amp;R169+1&amp;":B210"),0)+R169&amp;""),0),
IF(AND(LEFT(INDIRECT("B"&amp;R169&amp;""),3)="奈良屋",COUNTIF(B:B,"*奈良屋*")&gt;=2),
INDIRECT("H"&amp;R169&amp;"")
+INDIRECT("H"&amp;MATCH("*"&amp;INDIRECT("B"&amp;R169&amp;"")&amp;"*",INDIRECT("B"&amp;R169+1&amp;":B210"),0)+R169&amp;"")
+INDIRECT("H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
+INDIRECT("H"&amp;MATCH("*"&amp;INDIRECT("B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&amp;"*",INDIRECT("B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+1&amp;":B210"),0)+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,
INDIRECT("H"&amp;R169&amp;"")))),"")</f>
        <v/>
      </c>
      <c r="X169" s="176" t="str">
        <f t="array" aca="1" ref="X169" ca="1">IF($R169&lt;&gt;"",
INDIRECT(""&amp;IF(COLUMN(I169)&lt;=26,CHAR(COLUMN(I169)+64),CHAR(INT((COLUMN(I169)-1)/26)+64)&amp;CHAR(MOD(COLUMN(I169)-1,26)+65))&amp;$R169&amp;""),"")</f>
        <v/>
      </c>
      <c r="Y169" s="176" t="str">
        <f t="array" aca="1" ref="Y169" ca="1">IF($R169&lt;&gt;"",
INDIRECT(""&amp;IF(COLUMN(J169)&lt;=26,CHAR(COLUMN(J169)+64),CHAR(INT((COLUMN(J169)-1)/26)+64)&amp;CHAR(MOD(COLUMN(J169)-1,26)+65))&amp;$R169&amp;""),"")</f>
        <v/>
      </c>
      <c r="Z169" s="176" t="str">
        <f t="shared" ca="1" si="63"/>
        <v/>
      </c>
      <c r="AA169" s="176" t="str">
        <f t="shared" ca="1" si="64"/>
        <v/>
      </c>
      <c r="AB169" s="176" t="str">
        <f t="array" aca="1" ref="AB169" ca="1">IF($R169&lt;&gt;"",
IF(AND(COUNTIF(INDIRECT("B"&amp;R169&amp;""),"*雙葉*"),COUNTIF(INDIRECT("B"&amp;R169&amp;""),"&lt;&gt;*先生*"),COUNTIF(B:B,"*雙葉*")&gt;=2),
INDIRECT("M"&amp;R169&amp;"")+INDIRECT("M"&amp;MATCH("雙葉'",INDIRECT("B"&amp;R169+1&amp;":B210"),0)+R169&amp;""),
IF(AND(LEFT(INDIRECT("B"&amp;R169&amp;""),2)="博多",COUNTIF(B:B,"*博多*")&gt;=2),
INDIRECT("M"&amp;R169&amp;"")+INDIRECT("M"&amp;MATCH("*"&amp;INDIRECT("B"&amp;R169&amp;"")&amp;"*",INDIRECT("B"&amp;R169+1&amp;":B210"),0)+R169&amp;""),
IF(AND(LEFT(INDIRECT("B"&amp;R169&amp;""),3)="奈良屋",COUNTIF(B:B,"*奈良屋*")&gt;=2),
INDIRECT("M"&amp;R169&amp;"")+INDIRECT("M"&amp;MATCH("*"&amp;INDIRECT("B"&amp;R169&amp;"")&amp;"*",INDIRECT("B"&amp;R169+1&amp;":B210"),0)+R169&amp;"")
+INDIRECT("M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,
INDIRECT("M"&amp;R169&amp;"")))),"")</f>
        <v/>
      </c>
      <c r="AC169" s="176" t="str">
        <f t="shared" ca="1" si="65"/>
        <v/>
      </c>
      <c r="AD169" s="176" t="str">
        <f t="shared" ca="1" si="66"/>
        <v/>
      </c>
      <c r="AE169" s="176" t="str">
        <f t="shared" ca="1" si="67"/>
        <v/>
      </c>
      <c r="AF169" s="176" t="str">
        <f t="shared" ca="1" si="68"/>
        <v/>
      </c>
      <c r="AG169" s="176" t="str">
        <f t="shared" ca="1" si="69"/>
        <v/>
      </c>
      <c r="AH169" s="183" t="str">
        <f t="shared" ca="1" si="70"/>
        <v/>
      </c>
      <c r="AI169" s="176" t="str">
        <f t="shared" ca="1" si="71"/>
        <v/>
      </c>
      <c r="AJ169" s="176" t="str">
        <f t="shared" ca="1" si="72"/>
        <v/>
      </c>
      <c r="AK169" s="176" t="str">
        <f t="shared" ca="1" si="73"/>
        <v/>
      </c>
      <c r="AL169" s="176" t="str">
        <f t="shared" ca="1" si="74"/>
        <v/>
      </c>
      <c r="AM169" s="176" t="str">
        <f t="shared" ca="1" si="75"/>
        <v/>
      </c>
      <c r="AN169" s="176" t="str">
        <f t="shared" ca="1" si="76"/>
        <v/>
      </c>
      <c r="AO169" s="176" t="str">
        <f t="shared" ca="1" si="77"/>
        <v/>
      </c>
      <c r="AP169" s="176" t="str">
        <f t="shared" ca="1" si="78"/>
        <v/>
      </c>
      <c r="AU169" s="176" t="str">
        <f t="shared" ca="1" si="79"/>
        <v/>
      </c>
    </row>
    <row r="170" spans="1:47" ht="22.2" customHeight="1">
      <c r="A170" s="107">
        <f t="shared" si="83"/>
        <v>65</v>
      </c>
      <c r="B170" s="106" t="str">
        <f t="shared" ca="1" si="84"/>
        <v/>
      </c>
      <c r="C170" s="106" t="str">
        <f>IF(OR(クライアント抽出!D30&lt;&gt;"",クライアント抽出!G30&lt;&gt;""),クライアント抽出!A30,"")</f>
        <v/>
      </c>
      <c r="D170" s="106" t="str">
        <f t="array" aca="1" ref="D170" ca="1">IF(C170&lt;&gt;"",INDIRECT("クライアント抽出!"&amp;E170&amp;MATCH(C170,クライアント抽出!A:A,0)&amp;""),"")</f>
        <v/>
      </c>
      <c r="E170" s="106" t="str">
        <f>IF(H170&lt;&gt;0,
IFERROR(
SUBSTITUTE(ADDRESS(1,
MATCH(VALUE(H170),クライアント抽出!A30:G30,0)+8,4),"1",""),
""),
IFERROR(
SUBSTITUTE(ADDRESS(1,
MATCH(VALUE(I170),クライアント抽出!A30:G30,0)+8,4),"1",""),
""))</f>
        <v/>
      </c>
      <c r="F170" s="187" t="str">
        <f ca="1">IF(D170&lt;&gt;"",
IF(COUNTIF(C170,"*雙葉*"),
IF(ROUND((H170-M170)
/IF(COUNTIF(D170,"*キャラ*"),
VLOOKUP("*キャラ*",商品マスタ!$D:$E,2,FALSE),
IF(COUNTIF(D170,"*赤*"),
VLOOKUP("*赤*",商品マスタ!$D:$E,2,FALSE),
VLOOKUP("*"&amp;D170&amp;"*",商品マスタ!$D:$E,2,FALSE))),0)&lt;=0,1,
ROUND((H170-M170)
/IF(COUNTIF(D170,"*キャラ*"),
VLOOKUP("*キャラ*",商品マスタ!$D:$E,2,FALSE),
IF(COUNTIF(D170,"*赤*"),
VLOOKUP("*赤*",商品マスタ!$D:$E,2,FALSE),
VLOOKUP("*"&amp;D170&amp;"*",商品マスタ!$D:$E,2,FALSE))),0)),
IF(OR(COUNTIF(D170,"*キャラ*"),COUNTIF(D170,"*赤*")),"",
IF(VLOOKUP("*"&amp;D170&amp;"*",商品マスタ!$D:$E,2,FALSE)=0,"",
IF(ROUND((H170-M170)
/VLOOKUP("*"&amp;D170&amp;"*",商品マスタ!$D:$E,2,FALSE),0)&lt;=0,1,
ROUND((H170-M170)
/VLOOKUP("*"&amp;D170&amp;"*",商品マスタ!$D:$E,2,FALSE),0))))),"")</f>
        <v/>
      </c>
      <c r="G170" s="106" t="str">
        <f ca="1">IF(F170&lt;&gt;"",
IF(VALUE(H170-M170)&gt;VALUE(IF(COUNTIF(D170,"*キャラ*"),
VLOOKUP("*キャラ*",商品マスタ!$D:$E,2,FALSE),
IF(COUNTIF(D170,"*赤*"),
VLOOKUP("*赤*",商品マスタ!$D:$E,2,FALSE),
VLOOKUP("*"&amp;D170&amp;"*",商品マスタ!$D:$E,2,FALSE)))*F170),
"+"&amp;(H170-M170)-IF(COUNTIF(D170,"*キャラ*"),
VLOOKUP("*キャラ*",商品マスタ!$D:$E,2,FALSE),
IF(COUNTIF(D170,"*赤*"),
VLOOKUP("*赤*",商品マスタ!$D:$E,2,FALSE),
VLOOKUP("*"&amp;D170&amp;"*",商品マスタ!$D:$E,2,FALSE)))*F170,
(H170-M170)-IF(COUNTIF(D170,"*キャラ*"),
VLOOKUP("*キャラ*",商品マスタ!$D:$E,2,FALSE),
IF(COUNTIF(D170,"*赤*"),
VLOOKUP("*赤*",商品マスタ!$D:$E,2,FALSE),
VLOOKUP("*"&amp;D170&amp;"*",商品マスタ!$D:$E,2,FALSE)))*F170),"")</f>
        <v/>
      </c>
      <c r="H170" s="108" t="str">
        <f>IF(C170&lt;&gt;"",
クライアント抽出!D30,"")</f>
        <v/>
      </c>
      <c r="I170" s="106" t="str">
        <f>IF(C170&lt;&gt;"",
IF(O170=1,0,クライアント抽出!F30),"")</f>
        <v/>
      </c>
      <c r="J170" s="106" t="str">
        <f>IF(C170&lt;&gt;"",
VLOOKUP(
"*"&amp;LEFT(IF(COUNTIF(D170,"*学食*"),"キャラ弁（学食）",
IF(COUNTIF(D170,"*赤*"),"赤",
IF(COUNTIF(D170,"*キャラ弁当*"),"キャラ弁当",D170))),4)&amp;"*",注文弁当の抽出!$F$1:$G$15,2,FALSE),"")</f>
        <v/>
      </c>
      <c r="K170" s="106" t="str">
        <f ca="1">IF(クライアント抽出!R30&lt;&gt;"",SUBSTITUTE(ADDRESS(1,(CODE(クライアント抽出!R30)-64)*2-1,4),"1",""),"")</f>
        <v/>
      </c>
      <c r="L170" s="106" t="str">
        <f>IF(C30&lt;&gt;"",クライアント抽出!I30,"")</f>
        <v/>
      </c>
      <c r="M170" s="106">
        <f t="array" aca="1" ref="M170" ca="1">IF(C170&lt;&gt;"",
IF(K170&lt;&gt;"",INDIRECT("'数出表_Excel（アレルギー入力）'!"&amp;K170&amp;L170-1&amp;""),),)</f>
        <v>0</v>
      </c>
      <c r="N170" s="106" t="str">
        <f>IF(C170&lt;&gt;"",IF(OR(COUNTIF('盛付札（関数）'!D170,"*赤*"),COUNTIF('盛付札（関数）'!D170,"*キャラ*")),1,
VALUE(VLOOKUP("*"&amp;D170&amp;"*",商品マスタ!D:H,5,FALSE))),"")</f>
        <v/>
      </c>
      <c r="O170" s="106">
        <f t="shared" ca="1" si="82"/>
        <v>0</v>
      </c>
      <c r="P170" s="106">
        <f t="shared" si="61"/>
        <v>0</v>
      </c>
      <c r="Q170" s="106" t="b">
        <f t="shared" si="62"/>
        <v>0</v>
      </c>
      <c r="R170" s="176" t="str">
        <f t="array" aca="1" ref="R170" ca="1">IFERROR(SMALL(IF(P$1:P$311&lt;&gt;0,P$1:P$311),ROW(A170)),"")</f>
        <v/>
      </c>
      <c r="S170" s="176" t="str">
        <f t="array" aca="1" ref="S170" ca="1">IF($R170&lt;&gt;"",
SUBSTITUTE(SUBSTITUTE(INDIRECT("C"&amp;$R170&amp;"")," 週3ｺｰｽ","")," 週5ｺｰｽ",""),"")</f>
        <v/>
      </c>
      <c r="T170" s="176" t="str">
        <f t="array" aca="1" ref="T170" ca="1">IF(IF($R170&lt;&gt;"",
INDIRECT(""&amp;IF(COLUMN(D170)&lt;=26,CHAR(COLUMN(D170)+64),CHAR(INT((COLUMN(D170)-1)/26)+64)&amp;CHAR(MOD(COLUMN(D170)-1,26)+65))&amp;$R170&amp;""),"")=0,"",
IF($R170&lt;&gt;"",
INDIRECT(""&amp;IF(COLUMN(D170)&lt;=26,CHAR(COLUMN(D170)+64),CHAR(INT((COLUMN(D170)-1)/26)+64)&amp;CHAR(MOD(COLUMN(D170)-1,26)+65))&amp;$R170&amp;""),""))</f>
        <v/>
      </c>
      <c r="U170" s="218" t="str">
        <f t="array" aca="1" ref="U170" ca="1">IF($R170&lt;&gt;"",
INDIRECT("F"&amp;$R170&amp;""),"")</f>
        <v/>
      </c>
      <c r="V170" s="219" t="str">
        <f t="array" aca="1" ref="V170" ca="1">IF($R170&lt;&gt;"",
INDIRECT("G"&amp;$R170&amp;""),"")</f>
        <v/>
      </c>
      <c r="W170" s="219" t="str" cm="1">
        <f t="array" aca="1" ref="W170" ca="1">IF($R170&lt;&gt;"",
IF(AND(COUNTIF(INDIRECT("B"&amp;R170&amp;""),"*雙葉*"),COUNTIF($B$71:$B$210,"*雙葉*")&gt;=1),
IF(OR(COUNTIF(INDIRECT("B"&amp;R170&amp;""),"*雙葉先生*"),COUNTIF(INDIRECT("B"&amp;R170-1&amp;""),"*雙葉*")),INDIRECT("H"&amp;R170&amp;""),INDIRECT("H"&amp;R170&amp;"")+INDIRECT("H"&amp;MATCH("雙葉'",INDIRECT("B"&amp;R170+3&amp;":B210"),0)+2+R170&amp;"")),
IF(AND(LEFT(INDIRECT("B"&amp;R170&amp;""),2)="博多",COUNTIF(B:B,"*博多*")&gt;=2),
INDIRECT("H"&amp;R170&amp;"")+IFERROR(INDIRECT("H"&amp;MATCH("*"&amp;INDIRECT("B"&amp;R170&amp;"")&amp;"*",INDIRECT("B"&amp;R170+1&amp;":B210"),0)+R170&amp;""),0),
IF(AND(LEFT(INDIRECT("B"&amp;R170&amp;""),3)="奈良屋",COUNTIF(B:B,"*奈良屋*")&gt;=2),
INDIRECT("H"&amp;R170&amp;"")
+INDIRECT("H"&amp;MATCH("*"&amp;INDIRECT("B"&amp;R170&amp;"")&amp;"*",INDIRECT("B"&amp;R170+1&amp;":B210"),0)+R170&amp;"")
+INDIRECT("H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
+INDIRECT("H"&amp;MATCH("*"&amp;INDIRECT("B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&amp;"*",INDIRECT("B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+1&amp;":B210"),0)+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,
INDIRECT("H"&amp;R170&amp;"")))),"")</f>
        <v/>
      </c>
      <c r="X170" s="176" t="str">
        <f t="array" aca="1" ref="X170" ca="1">IF($R170&lt;&gt;"",
INDIRECT(""&amp;IF(COLUMN(I170)&lt;=26,CHAR(COLUMN(I170)+64),CHAR(INT((COLUMN(I170)-1)/26)+64)&amp;CHAR(MOD(COLUMN(I170)-1,26)+65))&amp;$R170&amp;""),"")</f>
        <v/>
      </c>
      <c r="Y170" s="176" t="str">
        <f t="array" aca="1" ref="Y170" ca="1">IF($R170&lt;&gt;"",
INDIRECT(""&amp;IF(COLUMN(J170)&lt;=26,CHAR(COLUMN(J170)+64),CHAR(INT((COLUMN(J170)-1)/26)+64)&amp;CHAR(MOD(COLUMN(J170)-1,26)+65))&amp;$R170&amp;""),"")</f>
        <v/>
      </c>
      <c r="Z170" s="176" t="str">
        <f t="shared" ca="1" si="63"/>
        <v/>
      </c>
      <c r="AA170" s="176" t="str">
        <f t="shared" ca="1" si="64"/>
        <v/>
      </c>
      <c r="AB170" s="176" t="str">
        <f t="array" aca="1" ref="AB170" ca="1">IF($R170&lt;&gt;"",
IF(AND(COUNTIF(INDIRECT("B"&amp;R170&amp;""),"*雙葉*"),COUNTIF(INDIRECT("B"&amp;R170&amp;""),"&lt;&gt;*先生*"),COUNTIF(B:B,"*雙葉*")&gt;=2),
INDIRECT("M"&amp;R170&amp;"")+INDIRECT("M"&amp;MATCH("雙葉'",INDIRECT("B"&amp;R170+1&amp;":B210"),0)+R170&amp;""),
IF(AND(LEFT(INDIRECT("B"&amp;R170&amp;""),2)="博多",COUNTIF(B:B,"*博多*")&gt;=2),
INDIRECT("M"&amp;R170&amp;"")+INDIRECT("M"&amp;MATCH("*"&amp;INDIRECT("B"&amp;R170&amp;"")&amp;"*",INDIRECT("B"&amp;R170+1&amp;":B210"),0)+R170&amp;""),
IF(AND(LEFT(INDIRECT("B"&amp;R170&amp;""),3)="奈良屋",COUNTIF(B:B,"*奈良屋*")&gt;=2),
INDIRECT("M"&amp;R170&amp;"")+INDIRECT("M"&amp;MATCH("*"&amp;INDIRECT("B"&amp;R170&amp;"")&amp;"*",INDIRECT("B"&amp;R170+1&amp;":B210"),0)+R170&amp;"")
+INDIRECT("M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,
INDIRECT("M"&amp;R170&amp;"")))),"")</f>
        <v/>
      </c>
      <c r="AC170" s="176" t="str">
        <f t="shared" ca="1" si="65"/>
        <v/>
      </c>
      <c r="AD170" s="176" t="str">
        <f t="shared" ca="1" si="66"/>
        <v/>
      </c>
      <c r="AE170" s="176" t="str">
        <f t="shared" ca="1" si="67"/>
        <v/>
      </c>
      <c r="AF170" s="176" t="str">
        <f t="shared" ca="1" si="68"/>
        <v/>
      </c>
      <c r="AG170" s="176" t="str">
        <f t="shared" ca="1" si="69"/>
        <v/>
      </c>
      <c r="AH170" s="183" t="str">
        <f t="shared" ca="1" si="70"/>
        <v/>
      </c>
      <c r="AI170" s="176" t="str">
        <f t="shared" ca="1" si="71"/>
        <v/>
      </c>
      <c r="AJ170" s="176" t="str">
        <f t="shared" ca="1" si="72"/>
        <v/>
      </c>
      <c r="AK170" s="176" t="str">
        <f t="shared" ca="1" si="73"/>
        <v/>
      </c>
      <c r="AL170" s="176" t="str">
        <f t="shared" ca="1" si="74"/>
        <v/>
      </c>
      <c r="AM170" s="176" t="str">
        <f t="shared" ca="1" si="75"/>
        <v/>
      </c>
      <c r="AN170" s="176" t="str">
        <f t="shared" ca="1" si="76"/>
        <v/>
      </c>
      <c r="AO170" s="176" t="str">
        <f t="shared" ca="1" si="77"/>
        <v/>
      </c>
      <c r="AP170" s="176" t="str">
        <f t="shared" ca="1" si="78"/>
        <v/>
      </c>
      <c r="AU170" s="176" t="str">
        <f t="shared" ca="1" si="79"/>
        <v/>
      </c>
    </row>
    <row r="171" spans="1:47" ht="22.2" customHeight="1">
      <c r="A171" s="107">
        <f t="shared" si="83"/>
        <v>67</v>
      </c>
      <c r="B171" s="106" t="str">
        <f t="shared" ca="1" si="84"/>
        <v/>
      </c>
      <c r="C171" s="106" t="str">
        <f>IF(OR(クライアント抽出!D31&lt;&gt;"",クライアント抽出!G31&lt;&gt;""),クライアント抽出!A31,"")</f>
        <v/>
      </c>
      <c r="D171" s="106" t="str">
        <f t="array" aca="1" ref="D171" ca="1">IF(C171&lt;&gt;"",INDIRECT("クライアント抽出!"&amp;E171&amp;MATCH(C171,クライアント抽出!A:A,0)&amp;""),"")</f>
        <v/>
      </c>
      <c r="E171" s="106" t="str">
        <f>IF(H171&lt;&gt;0,
IFERROR(
SUBSTITUTE(ADDRESS(1,
MATCH(VALUE(H171),クライアント抽出!A31:G31,0)+8,4),"1",""),
""),
IFERROR(
SUBSTITUTE(ADDRESS(1,
MATCH(VALUE(I171),クライアント抽出!A31:G31,0)+8,4),"1",""),
""))</f>
        <v/>
      </c>
      <c r="F171" s="187" t="str">
        <f ca="1">IF(D171&lt;&gt;"",
IF(COUNTIF(C171,"*雙葉*"),
IF(ROUND((H171-M171)
/IF(COUNTIF(D171,"*キャラ*"),
VLOOKUP("*キャラ*",商品マスタ!$D:$E,2,FALSE),
IF(COUNTIF(D171,"*赤*"),
VLOOKUP("*赤*",商品マスタ!$D:$E,2,FALSE),
VLOOKUP("*"&amp;D171&amp;"*",商品マスタ!$D:$E,2,FALSE))),0)&lt;=0,1,
ROUND((H171-M171)
/IF(COUNTIF(D171,"*キャラ*"),
VLOOKUP("*キャラ*",商品マスタ!$D:$E,2,FALSE),
IF(COUNTIF(D171,"*赤*"),
VLOOKUP("*赤*",商品マスタ!$D:$E,2,FALSE),
VLOOKUP("*"&amp;D171&amp;"*",商品マスタ!$D:$E,2,FALSE))),0)),
IF(OR(COUNTIF(D171,"*キャラ*"),COUNTIF(D171,"*赤*")),"",
IF(VLOOKUP("*"&amp;D171&amp;"*",商品マスタ!$D:$E,2,FALSE)=0,"",
IF(ROUND((H171-M171)
/VLOOKUP("*"&amp;D171&amp;"*",商品マスタ!$D:$E,2,FALSE),0)&lt;=0,1,
ROUND((H171-M171)
/VLOOKUP("*"&amp;D171&amp;"*",商品マスタ!$D:$E,2,FALSE),0))))),"")</f>
        <v/>
      </c>
      <c r="G171" s="106" t="str">
        <f ca="1">IF(F171&lt;&gt;"",
IF(VALUE(H171-M171)&gt;VALUE(IF(COUNTIF(D171,"*キャラ*"),
VLOOKUP("*キャラ*",商品マスタ!$D:$E,2,FALSE),
IF(COUNTIF(D171,"*赤*"),
VLOOKUP("*赤*",商品マスタ!$D:$E,2,FALSE),
VLOOKUP("*"&amp;D171&amp;"*",商品マスタ!$D:$E,2,FALSE)))*F171),
"+"&amp;(H171-M171)-IF(COUNTIF(D171,"*キャラ*"),
VLOOKUP("*キャラ*",商品マスタ!$D:$E,2,FALSE),
IF(COUNTIF(D171,"*赤*"),
VLOOKUP("*赤*",商品マスタ!$D:$E,2,FALSE),
VLOOKUP("*"&amp;D171&amp;"*",商品マスタ!$D:$E,2,FALSE)))*F171,
(H171-M171)-IF(COUNTIF(D171,"*キャラ*"),
VLOOKUP("*キャラ*",商品マスタ!$D:$E,2,FALSE),
IF(COUNTIF(D171,"*赤*"),
VLOOKUP("*赤*",商品マスタ!$D:$E,2,FALSE),
VLOOKUP("*"&amp;D171&amp;"*",商品マスタ!$D:$E,2,FALSE)))*F171),"")</f>
        <v/>
      </c>
      <c r="H171" s="108" t="str">
        <f>IF(C171&lt;&gt;"",
クライアント抽出!D31,"")</f>
        <v/>
      </c>
      <c r="I171" s="106" t="str">
        <f>IF(C171&lt;&gt;"",
IF(O171=1,0,クライアント抽出!F31),"")</f>
        <v/>
      </c>
      <c r="J171" s="106" t="str">
        <f>IF(C171&lt;&gt;"",
VLOOKUP(
"*"&amp;LEFT(IF(COUNTIF(D171,"*学食*"),"キャラ弁（学食）",
IF(COUNTIF(D171,"*赤*"),"赤",
IF(COUNTIF(D171,"*キャラ弁当*"),"キャラ弁当",D171))),4)&amp;"*",注文弁当の抽出!$F$1:$G$15,2,FALSE),"")</f>
        <v/>
      </c>
      <c r="K171" s="106" t="str">
        <f ca="1">IF(クライアント抽出!R31&lt;&gt;"",SUBSTITUTE(ADDRESS(1,(CODE(クライアント抽出!R31)-64)*2-1,4),"1",""),"")</f>
        <v/>
      </c>
      <c r="L171" s="106" t="str">
        <f>IF(C31&lt;&gt;"",クライアント抽出!I31,"")</f>
        <v/>
      </c>
      <c r="M171" s="106">
        <f t="array" aca="1" ref="M171" ca="1">IF(C171&lt;&gt;"",
IF(K171&lt;&gt;"",INDIRECT("'数出表_Excel（アレルギー入力）'!"&amp;K171&amp;L171-1&amp;""),),)</f>
        <v>0</v>
      </c>
      <c r="N171" s="106" t="str">
        <f>IF(C171&lt;&gt;"",IF(OR(COUNTIF('盛付札（関数）'!D171,"*赤*"),COUNTIF('盛付札（関数）'!D171,"*キャラ*")),1,
VALUE(VLOOKUP("*"&amp;D171&amp;"*",商品マスタ!D:H,5,FALSE))),"")</f>
        <v/>
      </c>
      <c r="O171" s="106">
        <f t="shared" ca="1" si="82"/>
        <v>0</v>
      </c>
      <c r="P171" s="106">
        <f t="shared" si="61"/>
        <v>0</v>
      </c>
      <c r="Q171" s="106" t="b">
        <f t="shared" si="62"/>
        <v>0</v>
      </c>
      <c r="R171" s="176" t="str">
        <f t="array" aca="1" ref="R171" ca="1">IFERROR(SMALL(IF(P$1:P$311&lt;&gt;0,P$1:P$311),ROW(A171)),"")</f>
        <v/>
      </c>
      <c r="S171" s="176" t="str">
        <f t="array" aca="1" ref="S171" ca="1">IF($R171&lt;&gt;"",
SUBSTITUTE(SUBSTITUTE(INDIRECT("C"&amp;$R171&amp;"")," 週3ｺｰｽ","")," 週5ｺｰｽ",""),"")</f>
        <v/>
      </c>
      <c r="T171" s="176" t="str">
        <f t="array" aca="1" ref="T171" ca="1">IF(IF($R171&lt;&gt;"",
INDIRECT(""&amp;IF(COLUMN(D171)&lt;=26,CHAR(COLUMN(D171)+64),CHAR(INT((COLUMN(D171)-1)/26)+64)&amp;CHAR(MOD(COLUMN(D171)-1,26)+65))&amp;$R171&amp;""),"")=0,"",
IF($R171&lt;&gt;"",
INDIRECT(""&amp;IF(COLUMN(D171)&lt;=26,CHAR(COLUMN(D171)+64),CHAR(INT((COLUMN(D171)-1)/26)+64)&amp;CHAR(MOD(COLUMN(D171)-1,26)+65))&amp;$R171&amp;""),""))</f>
        <v/>
      </c>
      <c r="U171" s="218" t="str">
        <f t="array" aca="1" ref="U171" ca="1">IF($R171&lt;&gt;"",
INDIRECT("F"&amp;$R171&amp;""),"")</f>
        <v/>
      </c>
      <c r="V171" s="219" t="str">
        <f t="array" aca="1" ref="V171" ca="1">IF($R171&lt;&gt;"",
INDIRECT("G"&amp;$R171&amp;""),"")</f>
        <v/>
      </c>
      <c r="W171" s="219" t="str" cm="1">
        <f t="array" aca="1" ref="W171" ca="1">IF($R171&lt;&gt;"",
IF(AND(COUNTIF(INDIRECT("B"&amp;R171&amp;""),"*雙葉*"),COUNTIF($B$71:$B$210,"*雙葉*")&gt;=1),
IF(OR(COUNTIF(INDIRECT("B"&amp;R171&amp;""),"*雙葉先生*"),COUNTIF(INDIRECT("B"&amp;R171-1&amp;""),"*雙葉*")),INDIRECT("H"&amp;R171&amp;""),INDIRECT("H"&amp;R171&amp;"")+INDIRECT("H"&amp;MATCH("雙葉'",INDIRECT("B"&amp;R171+3&amp;":B210"),0)+2+R171&amp;"")),
IF(AND(LEFT(INDIRECT("B"&amp;R171&amp;""),2)="博多",COUNTIF(B:B,"*博多*")&gt;=2),
INDIRECT("H"&amp;R171&amp;"")+IFERROR(INDIRECT("H"&amp;MATCH("*"&amp;INDIRECT("B"&amp;R171&amp;"")&amp;"*",INDIRECT("B"&amp;R171+1&amp;":B210"),0)+R171&amp;""),0),
IF(AND(LEFT(INDIRECT("B"&amp;R171&amp;""),3)="奈良屋",COUNTIF(B:B,"*奈良屋*")&gt;=2),
INDIRECT("H"&amp;R171&amp;"")
+INDIRECT("H"&amp;MATCH("*"&amp;INDIRECT("B"&amp;R171&amp;"")&amp;"*",INDIRECT("B"&amp;R171+1&amp;":B210"),0)+R171&amp;"")
+INDIRECT("H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
+INDIRECT("H"&amp;MATCH("*"&amp;INDIRECT("B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&amp;"*",INDIRECT("B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+1&amp;":B210"),0)+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,
INDIRECT("H"&amp;R171&amp;"")))),"")</f>
        <v/>
      </c>
      <c r="X171" s="176" t="str">
        <f t="array" aca="1" ref="X171" ca="1">IF($R171&lt;&gt;"",
INDIRECT(""&amp;IF(COLUMN(I171)&lt;=26,CHAR(COLUMN(I171)+64),CHAR(INT((COLUMN(I171)-1)/26)+64)&amp;CHAR(MOD(COLUMN(I171)-1,26)+65))&amp;$R171&amp;""),"")</f>
        <v/>
      </c>
      <c r="Y171" s="176" t="str">
        <f t="array" aca="1" ref="Y171" ca="1">IF($R171&lt;&gt;"",
INDIRECT(""&amp;IF(COLUMN(J171)&lt;=26,CHAR(COLUMN(J171)+64),CHAR(INT((COLUMN(J171)-1)/26)+64)&amp;CHAR(MOD(COLUMN(J171)-1,26)+65))&amp;$R171&amp;""),"")</f>
        <v/>
      </c>
      <c r="Z171" s="176" t="str">
        <f t="shared" ca="1" si="63"/>
        <v/>
      </c>
      <c r="AA171" s="176" t="str">
        <f t="shared" ca="1" si="64"/>
        <v/>
      </c>
      <c r="AB171" s="176" t="str">
        <f t="array" aca="1" ref="AB171" ca="1">IF($R171&lt;&gt;"",
IF(AND(COUNTIF(INDIRECT("B"&amp;R171&amp;""),"*雙葉*"),COUNTIF(INDIRECT("B"&amp;R171&amp;""),"&lt;&gt;*先生*"),COUNTIF(B:B,"*雙葉*")&gt;=2),
INDIRECT("M"&amp;R171&amp;"")+INDIRECT("M"&amp;MATCH("雙葉'",INDIRECT("B"&amp;R171+1&amp;":B210"),0)+R171&amp;""),
IF(AND(LEFT(INDIRECT("B"&amp;R171&amp;""),2)="博多",COUNTIF(B:B,"*博多*")&gt;=2),
INDIRECT("M"&amp;R171&amp;"")+INDIRECT("M"&amp;MATCH("*"&amp;INDIRECT("B"&amp;R171&amp;"")&amp;"*",INDIRECT("B"&amp;R171+1&amp;":B210"),0)+R171&amp;""),
IF(AND(LEFT(INDIRECT("B"&amp;R171&amp;""),3)="奈良屋",COUNTIF(B:B,"*奈良屋*")&gt;=2),
INDIRECT("M"&amp;R171&amp;"")+INDIRECT("M"&amp;MATCH("*"&amp;INDIRECT("B"&amp;R171&amp;"")&amp;"*",INDIRECT("B"&amp;R171+1&amp;":B210"),0)+R171&amp;"")
+INDIRECT("M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,
INDIRECT("M"&amp;R171&amp;"")))),"")</f>
        <v/>
      </c>
      <c r="AC171" s="176" t="str">
        <f t="shared" ca="1" si="65"/>
        <v/>
      </c>
      <c r="AD171" s="176" t="str">
        <f t="shared" ca="1" si="66"/>
        <v/>
      </c>
      <c r="AE171" s="176" t="str">
        <f t="shared" ca="1" si="67"/>
        <v/>
      </c>
      <c r="AF171" s="176" t="str">
        <f t="shared" ca="1" si="68"/>
        <v/>
      </c>
      <c r="AG171" s="176" t="str">
        <f t="shared" ca="1" si="69"/>
        <v/>
      </c>
      <c r="AH171" s="183" t="str">
        <f t="shared" ca="1" si="70"/>
        <v/>
      </c>
      <c r="AI171" s="176" t="str">
        <f t="shared" ca="1" si="71"/>
        <v/>
      </c>
      <c r="AJ171" s="176" t="str">
        <f t="shared" ca="1" si="72"/>
        <v/>
      </c>
      <c r="AK171" s="176" t="str">
        <f t="shared" ca="1" si="73"/>
        <v/>
      </c>
      <c r="AL171" s="176" t="str">
        <f t="shared" ca="1" si="74"/>
        <v/>
      </c>
      <c r="AM171" s="176" t="str">
        <f t="shared" ca="1" si="75"/>
        <v/>
      </c>
      <c r="AN171" s="176" t="str">
        <f t="shared" ca="1" si="76"/>
        <v/>
      </c>
      <c r="AO171" s="176" t="str">
        <f t="shared" ca="1" si="77"/>
        <v/>
      </c>
      <c r="AP171" s="176" t="str">
        <f t="shared" ca="1" si="78"/>
        <v/>
      </c>
      <c r="AU171" s="176" t="str">
        <f t="shared" ca="1" si="79"/>
        <v/>
      </c>
    </row>
    <row r="172" spans="1:47" ht="22.2" customHeight="1">
      <c r="A172" s="107">
        <f t="shared" si="83"/>
        <v>69</v>
      </c>
      <c r="B172" s="106" t="str">
        <f t="shared" ca="1" si="84"/>
        <v/>
      </c>
      <c r="C172" s="106" t="str">
        <f>IF(OR(クライアント抽出!D32&lt;&gt;"",クライアント抽出!G32&lt;&gt;""),クライアント抽出!A32,"")</f>
        <v/>
      </c>
      <c r="D172" s="106" t="str">
        <f t="array" aca="1" ref="D172" ca="1">IF(C172&lt;&gt;"",INDIRECT("クライアント抽出!"&amp;E172&amp;MATCH(C172,クライアント抽出!A:A,0)&amp;""),"")</f>
        <v/>
      </c>
      <c r="E172" s="106" t="str">
        <f>IF(H172&lt;&gt;0,
IFERROR(
SUBSTITUTE(ADDRESS(1,
MATCH(VALUE(H172),クライアント抽出!A32:G32,0)+8,4),"1",""),
""),
IFERROR(
SUBSTITUTE(ADDRESS(1,
MATCH(VALUE(I172),クライアント抽出!A32:G32,0)+8,4),"1",""),
""))</f>
        <v/>
      </c>
      <c r="F172" s="187" t="str">
        <f ca="1">IF(D172&lt;&gt;"",
IF(COUNTIF(C172,"*雙葉*"),
IF(ROUND((H172-M172)
/IF(COUNTIF(D172,"*キャラ*"),
VLOOKUP("*キャラ*",商品マスタ!$D:$E,2,FALSE),
IF(COUNTIF(D172,"*赤*"),
VLOOKUP("*赤*",商品マスタ!$D:$E,2,FALSE),
VLOOKUP("*"&amp;D172&amp;"*",商品マスタ!$D:$E,2,FALSE))),0)&lt;=0,1,
ROUND((H172-M172)
/IF(COUNTIF(D172,"*キャラ*"),
VLOOKUP("*キャラ*",商品マスタ!$D:$E,2,FALSE),
IF(COUNTIF(D172,"*赤*"),
VLOOKUP("*赤*",商品マスタ!$D:$E,2,FALSE),
VLOOKUP("*"&amp;D172&amp;"*",商品マスタ!$D:$E,2,FALSE))),0)),
IF(OR(COUNTIF(D172,"*キャラ*"),COUNTIF(D172,"*赤*")),"",
IF(VLOOKUP("*"&amp;D172&amp;"*",商品マスタ!$D:$E,2,FALSE)=0,"",
IF(ROUND((H172-M172)
/VLOOKUP("*"&amp;D172&amp;"*",商品マスタ!$D:$E,2,FALSE),0)&lt;=0,1,
ROUND((H172-M172)
/VLOOKUP("*"&amp;D172&amp;"*",商品マスタ!$D:$E,2,FALSE),0))))),"")</f>
        <v/>
      </c>
      <c r="G172" s="106" t="str">
        <f ca="1">IF(F172&lt;&gt;"",
IF(VALUE(H172-M172)&gt;VALUE(IF(COUNTIF(D172,"*キャラ*"),
VLOOKUP("*キャラ*",商品マスタ!$D:$E,2,FALSE),
IF(COUNTIF(D172,"*赤*"),
VLOOKUP("*赤*",商品マスタ!$D:$E,2,FALSE),
VLOOKUP("*"&amp;D172&amp;"*",商品マスタ!$D:$E,2,FALSE)))*F172),
"+"&amp;(H172-M172)-IF(COUNTIF(D172,"*キャラ*"),
VLOOKUP("*キャラ*",商品マスタ!$D:$E,2,FALSE),
IF(COUNTIF(D172,"*赤*"),
VLOOKUP("*赤*",商品マスタ!$D:$E,2,FALSE),
VLOOKUP("*"&amp;D172&amp;"*",商品マスタ!$D:$E,2,FALSE)))*F172,
(H172-M172)-IF(COUNTIF(D172,"*キャラ*"),
VLOOKUP("*キャラ*",商品マスタ!$D:$E,2,FALSE),
IF(COUNTIF(D172,"*赤*"),
VLOOKUP("*赤*",商品マスタ!$D:$E,2,FALSE),
VLOOKUP("*"&amp;D172&amp;"*",商品マスタ!$D:$E,2,FALSE)))*F172),"")</f>
        <v/>
      </c>
      <c r="H172" s="108" t="str">
        <f>IF(C172&lt;&gt;"",
クライアント抽出!D32,"")</f>
        <v/>
      </c>
      <c r="I172" s="106" t="str">
        <f>IF(C172&lt;&gt;"",
IF(O172=1,0,クライアント抽出!F32),"")</f>
        <v/>
      </c>
      <c r="J172" s="106" t="str">
        <f>IF(C172&lt;&gt;"",
VLOOKUP(
"*"&amp;LEFT(IF(COUNTIF(D172,"*学食*"),"キャラ弁（学食）",
IF(COUNTIF(D172,"*赤*"),"赤",
IF(COUNTIF(D172,"*キャラ弁当*"),"キャラ弁当",D172))),4)&amp;"*",注文弁当の抽出!$F$1:$G$15,2,FALSE),"")</f>
        <v/>
      </c>
      <c r="K172" s="106" t="str">
        <f ca="1">IF(クライアント抽出!R32&lt;&gt;"",SUBSTITUTE(ADDRESS(1,(CODE(クライアント抽出!R32)-64)*2-1,4),"1",""),"")</f>
        <v/>
      </c>
      <c r="L172" s="106" t="str">
        <f>IF(C32&lt;&gt;"",クライアント抽出!I32,"")</f>
        <v/>
      </c>
      <c r="M172" s="106">
        <f t="array" aca="1" ref="M172" ca="1">IF(C172&lt;&gt;"",
IF(K172&lt;&gt;"",INDIRECT("'数出表_Excel（アレルギー入力）'!"&amp;K172&amp;L172-1&amp;""),),)</f>
        <v>0</v>
      </c>
      <c r="N172" s="106" t="str">
        <f>IF(C172&lt;&gt;"",IF(OR(COUNTIF('盛付札（関数）'!D172,"*赤*"),COUNTIF('盛付札（関数）'!D172,"*キャラ*")),1,
VALUE(VLOOKUP("*"&amp;D172&amp;"*",商品マスタ!D:H,5,FALSE))),"")</f>
        <v/>
      </c>
      <c r="O172" s="106">
        <f t="shared" ca="1" si="82"/>
        <v>0</v>
      </c>
      <c r="P172" s="106">
        <f t="shared" si="61"/>
        <v>0</v>
      </c>
      <c r="Q172" s="106" t="b">
        <f t="shared" si="62"/>
        <v>0</v>
      </c>
      <c r="R172" s="176" t="str">
        <f t="array" aca="1" ref="R172" ca="1">IFERROR(SMALL(IF(P$1:P$311&lt;&gt;0,P$1:P$311),ROW(A172)),"")</f>
        <v/>
      </c>
      <c r="S172" s="176" t="str">
        <f t="array" aca="1" ref="S172" ca="1">IF($R172&lt;&gt;"",
SUBSTITUTE(SUBSTITUTE(INDIRECT("C"&amp;$R172&amp;"")," 週3ｺｰｽ","")," 週5ｺｰｽ",""),"")</f>
        <v/>
      </c>
      <c r="T172" s="176" t="str">
        <f t="array" aca="1" ref="T172" ca="1">IF(IF($R172&lt;&gt;"",
INDIRECT(""&amp;IF(COLUMN(D172)&lt;=26,CHAR(COLUMN(D172)+64),CHAR(INT((COLUMN(D172)-1)/26)+64)&amp;CHAR(MOD(COLUMN(D172)-1,26)+65))&amp;$R172&amp;""),"")=0,"",
IF($R172&lt;&gt;"",
INDIRECT(""&amp;IF(COLUMN(D172)&lt;=26,CHAR(COLUMN(D172)+64),CHAR(INT((COLUMN(D172)-1)/26)+64)&amp;CHAR(MOD(COLUMN(D172)-1,26)+65))&amp;$R172&amp;""),""))</f>
        <v/>
      </c>
      <c r="U172" s="218" t="str">
        <f t="array" aca="1" ref="U172" ca="1">IF($R172&lt;&gt;"",
INDIRECT("F"&amp;$R172&amp;""),"")</f>
        <v/>
      </c>
      <c r="V172" s="219" t="str">
        <f t="array" aca="1" ref="V172" ca="1">IF($R172&lt;&gt;"",
INDIRECT("G"&amp;$R172&amp;""),"")</f>
        <v/>
      </c>
      <c r="W172" s="219" t="str" cm="1">
        <f t="array" aca="1" ref="W172" ca="1">IF($R172&lt;&gt;"",
IF(AND(COUNTIF(INDIRECT("B"&amp;R172&amp;""),"*雙葉*"),COUNTIF($B$71:$B$210,"*雙葉*")&gt;=1),
IF(OR(COUNTIF(INDIRECT("B"&amp;R172&amp;""),"*雙葉先生*"),COUNTIF(INDIRECT("B"&amp;R172-1&amp;""),"*雙葉*")),INDIRECT("H"&amp;R172&amp;""),INDIRECT("H"&amp;R172&amp;"")+INDIRECT("H"&amp;MATCH("雙葉'",INDIRECT("B"&amp;R172+3&amp;":B210"),0)+2+R172&amp;"")),
IF(AND(LEFT(INDIRECT("B"&amp;R172&amp;""),2)="博多",COUNTIF(B:B,"*博多*")&gt;=2),
INDIRECT("H"&amp;R172&amp;"")+IFERROR(INDIRECT("H"&amp;MATCH("*"&amp;INDIRECT("B"&amp;R172&amp;"")&amp;"*",INDIRECT("B"&amp;R172+1&amp;":B210"),0)+R172&amp;""),0),
IF(AND(LEFT(INDIRECT("B"&amp;R172&amp;""),3)="奈良屋",COUNTIF(B:B,"*奈良屋*")&gt;=2),
INDIRECT("H"&amp;R172&amp;"")
+INDIRECT("H"&amp;MATCH("*"&amp;INDIRECT("B"&amp;R172&amp;"")&amp;"*",INDIRECT("B"&amp;R172+1&amp;":B210"),0)+R172&amp;"")
+INDIRECT("H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
+INDIRECT("H"&amp;MATCH("*"&amp;INDIRECT("B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&amp;"*",INDIRECT("B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+1&amp;":B210"),0)+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,
INDIRECT("H"&amp;R172&amp;"")))),"")</f>
        <v/>
      </c>
      <c r="X172" s="176" t="str">
        <f t="array" aca="1" ref="X172" ca="1">IF($R172&lt;&gt;"",
INDIRECT(""&amp;IF(COLUMN(I172)&lt;=26,CHAR(COLUMN(I172)+64),CHAR(INT((COLUMN(I172)-1)/26)+64)&amp;CHAR(MOD(COLUMN(I172)-1,26)+65))&amp;$R172&amp;""),"")</f>
        <v/>
      </c>
      <c r="Y172" s="176" t="str">
        <f t="array" aca="1" ref="Y172" ca="1">IF($R172&lt;&gt;"",
INDIRECT(""&amp;IF(COLUMN(J172)&lt;=26,CHAR(COLUMN(J172)+64),CHAR(INT((COLUMN(J172)-1)/26)+64)&amp;CHAR(MOD(COLUMN(J172)-1,26)+65))&amp;$R172&amp;""),"")</f>
        <v/>
      </c>
      <c r="Z172" s="176" t="str">
        <f t="shared" ca="1" si="63"/>
        <v/>
      </c>
      <c r="AA172" s="176" t="str">
        <f t="shared" ca="1" si="64"/>
        <v/>
      </c>
      <c r="AB172" s="176" t="str">
        <f t="array" aca="1" ref="AB172" ca="1">IF($R172&lt;&gt;"",
IF(AND(COUNTIF(INDIRECT("B"&amp;R172&amp;""),"*雙葉*"),COUNTIF(INDIRECT("B"&amp;R172&amp;""),"&lt;&gt;*先生*"),COUNTIF(B:B,"*雙葉*")&gt;=2),
INDIRECT("M"&amp;R172&amp;"")+INDIRECT("M"&amp;MATCH("雙葉'",INDIRECT("B"&amp;R172+1&amp;":B210"),0)+R172&amp;""),
IF(AND(LEFT(INDIRECT("B"&amp;R172&amp;""),2)="博多",COUNTIF(B:B,"*博多*")&gt;=2),
INDIRECT("M"&amp;R172&amp;"")+INDIRECT("M"&amp;MATCH("*"&amp;INDIRECT("B"&amp;R172&amp;"")&amp;"*",INDIRECT("B"&amp;R172+1&amp;":B210"),0)+R172&amp;""),
IF(AND(LEFT(INDIRECT("B"&amp;R172&amp;""),3)="奈良屋",COUNTIF(B:B,"*奈良屋*")&gt;=2),
INDIRECT("M"&amp;R172&amp;"")+INDIRECT("M"&amp;MATCH("*"&amp;INDIRECT("B"&amp;R172&amp;"")&amp;"*",INDIRECT("B"&amp;R172+1&amp;":B210"),0)+R172&amp;"")
+INDIRECT("M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,
INDIRECT("M"&amp;R172&amp;"")))),"")</f>
        <v/>
      </c>
      <c r="AC172" s="176" t="str">
        <f t="shared" ca="1" si="65"/>
        <v/>
      </c>
      <c r="AD172" s="176" t="str">
        <f t="shared" ca="1" si="66"/>
        <v/>
      </c>
      <c r="AE172" s="176" t="str">
        <f t="shared" ca="1" si="67"/>
        <v/>
      </c>
      <c r="AF172" s="176" t="str">
        <f t="shared" ca="1" si="68"/>
        <v/>
      </c>
      <c r="AG172" s="176" t="str">
        <f t="shared" ca="1" si="69"/>
        <v/>
      </c>
      <c r="AH172" s="183" t="str">
        <f t="shared" ca="1" si="70"/>
        <v/>
      </c>
      <c r="AI172" s="176" t="str">
        <f t="shared" ca="1" si="71"/>
        <v/>
      </c>
      <c r="AJ172" s="176" t="str">
        <f t="shared" ca="1" si="72"/>
        <v/>
      </c>
      <c r="AK172" s="176" t="str">
        <f t="shared" ca="1" si="73"/>
        <v/>
      </c>
      <c r="AL172" s="176" t="str">
        <f t="shared" ca="1" si="74"/>
        <v/>
      </c>
      <c r="AM172" s="176" t="str">
        <f t="shared" ca="1" si="75"/>
        <v/>
      </c>
      <c r="AN172" s="176" t="str">
        <f t="shared" ca="1" si="76"/>
        <v/>
      </c>
      <c r="AO172" s="176" t="str">
        <f t="shared" ca="1" si="77"/>
        <v/>
      </c>
      <c r="AP172" s="176" t="str">
        <f t="shared" ca="1" si="78"/>
        <v/>
      </c>
      <c r="AU172" s="176" t="str">
        <f t="shared" ca="1" si="79"/>
        <v/>
      </c>
    </row>
    <row r="173" spans="1:47" ht="22.2" customHeight="1">
      <c r="A173" s="107">
        <f t="shared" si="83"/>
        <v>71</v>
      </c>
      <c r="B173" s="106" t="str">
        <f t="shared" ca="1" si="84"/>
        <v/>
      </c>
      <c r="C173" s="106" t="str">
        <f>IF(OR(クライアント抽出!D33&lt;&gt;"",クライアント抽出!G33&lt;&gt;""),クライアント抽出!A33,"")</f>
        <v/>
      </c>
      <c r="D173" s="106" t="str">
        <f t="array" aca="1" ref="D173" ca="1">IF(C173&lt;&gt;"",INDIRECT("クライアント抽出!"&amp;E173&amp;MATCH(C173,クライアント抽出!A:A,0)&amp;""),"")</f>
        <v/>
      </c>
      <c r="E173" s="106" t="str">
        <f>IF(H173&lt;&gt;0,
IFERROR(
SUBSTITUTE(ADDRESS(1,
MATCH(VALUE(H173),クライアント抽出!A33:G33,0)+8,4),"1",""),
""),
IFERROR(
SUBSTITUTE(ADDRESS(1,
MATCH(VALUE(I173),クライアント抽出!A33:G33,0)+8,4),"1",""),
""))</f>
        <v/>
      </c>
      <c r="F173" s="187" t="str">
        <f ca="1">IF(D173&lt;&gt;"",
IF(COUNTIF(C173,"*雙葉*"),
IF(ROUND((H173-M173)
/IF(COUNTIF(D173,"*キャラ*"),
VLOOKUP("*キャラ*",商品マスタ!$D:$E,2,FALSE),
IF(COUNTIF(D173,"*赤*"),
VLOOKUP("*赤*",商品マスタ!$D:$E,2,FALSE),
VLOOKUP("*"&amp;D173&amp;"*",商品マスタ!$D:$E,2,FALSE))),0)&lt;=0,1,
ROUND((H173-M173)
/IF(COUNTIF(D173,"*キャラ*"),
VLOOKUP("*キャラ*",商品マスタ!$D:$E,2,FALSE),
IF(COUNTIF(D173,"*赤*"),
VLOOKUP("*赤*",商品マスタ!$D:$E,2,FALSE),
VLOOKUP("*"&amp;D173&amp;"*",商品マスタ!$D:$E,2,FALSE))),0)),
IF(OR(COUNTIF(D173,"*キャラ*"),COUNTIF(D173,"*赤*")),"",
IF(VLOOKUP("*"&amp;D173&amp;"*",商品マスタ!$D:$E,2,FALSE)=0,"",
IF(ROUND((H173-M173)
/VLOOKUP("*"&amp;D173&amp;"*",商品マスタ!$D:$E,2,FALSE),0)&lt;=0,1,
ROUND((H173-M173)
/VLOOKUP("*"&amp;D173&amp;"*",商品マスタ!$D:$E,2,FALSE),0))))),"")</f>
        <v/>
      </c>
      <c r="G173" s="106" t="str">
        <f ca="1">IF(F173&lt;&gt;"",
IF(VALUE(H173-M173)&gt;VALUE(IF(COUNTIF(D173,"*キャラ*"),
VLOOKUP("*キャラ*",商品マスタ!$D:$E,2,FALSE),
IF(COUNTIF(D173,"*赤*"),
VLOOKUP("*赤*",商品マスタ!$D:$E,2,FALSE),
VLOOKUP("*"&amp;D173&amp;"*",商品マスタ!$D:$E,2,FALSE)))*F173),
"+"&amp;(H173-M173)-IF(COUNTIF(D173,"*キャラ*"),
VLOOKUP("*キャラ*",商品マスタ!$D:$E,2,FALSE),
IF(COUNTIF(D173,"*赤*"),
VLOOKUP("*赤*",商品マスタ!$D:$E,2,FALSE),
VLOOKUP("*"&amp;D173&amp;"*",商品マスタ!$D:$E,2,FALSE)))*F173,
(H173-M173)-IF(COUNTIF(D173,"*キャラ*"),
VLOOKUP("*キャラ*",商品マスタ!$D:$E,2,FALSE),
IF(COUNTIF(D173,"*赤*"),
VLOOKUP("*赤*",商品マスタ!$D:$E,2,FALSE),
VLOOKUP("*"&amp;D173&amp;"*",商品マスタ!$D:$E,2,FALSE)))*F173),"")</f>
        <v/>
      </c>
      <c r="H173" s="108" t="str">
        <f>IF(C173&lt;&gt;"",
クライアント抽出!D33,"")</f>
        <v/>
      </c>
      <c r="I173" s="106" t="str">
        <f>IF(C173&lt;&gt;"",
IF(O173=1,0,クライアント抽出!F33),"")</f>
        <v/>
      </c>
      <c r="J173" s="106" t="str">
        <f>IF(C173&lt;&gt;"",
VLOOKUP(
"*"&amp;LEFT(IF(COUNTIF(D173,"*学食*"),"キャラ弁（学食）",
IF(COUNTIF(D173,"*赤*"),"赤",
IF(COUNTIF(D173,"*キャラ弁当*"),"キャラ弁当",D173))),4)&amp;"*",注文弁当の抽出!$F$1:$G$15,2,FALSE),"")</f>
        <v/>
      </c>
      <c r="K173" s="106" t="str">
        <f ca="1">IF(クライアント抽出!R33&lt;&gt;"",SUBSTITUTE(ADDRESS(1,(CODE(クライアント抽出!R33)-64)*2-1,4),"1",""),"")</f>
        <v/>
      </c>
      <c r="L173" s="106" t="str">
        <f>IF(C33&lt;&gt;"",クライアント抽出!I33,"")</f>
        <v/>
      </c>
      <c r="M173" s="106">
        <f t="array" aca="1" ref="M173" ca="1">IF(C173&lt;&gt;"",
IF(K173&lt;&gt;"",INDIRECT("'数出表_Excel（アレルギー入力）'!"&amp;K173&amp;L173-1&amp;""),),)</f>
        <v>0</v>
      </c>
      <c r="N173" s="106" t="str">
        <f>IF(C173&lt;&gt;"",IF(OR(COUNTIF('盛付札（関数）'!D173,"*赤*"),COUNTIF('盛付札（関数）'!D173,"*キャラ*")),1,
VALUE(VLOOKUP("*"&amp;D173&amp;"*",商品マスタ!D:H,5,FALSE))),"")</f>
        <v/>
      </c>
      <c r="O173" s="106">
        <f t="shared" ref="O173:O204" ca="1" si="85">O33</f>
        <v>0</v>
      </c>
      <c r="P173" s="106">
        <f t="shared" si="61"/>
        <v>0</v>
      </c>
      <c r="Q173" s="106" t="b">
        <f t="shared" si="62"/>
        <v>0</v>
      </c>
      <c r="R173" s="176" t="str">
        <f t="array" aca="1" ref="R173" ca="1">IFERROR(SMALL(IF(P$1:P$311&lt;&gt;0,P$1:P$311),ROW(A173)),"")</f>
        <v/>
      </c>
      <c r="S173" s="176" t="str">
        <f t="array" aca="1" ref="S173" ca="1">IF($R173&lt;&gt;"",
SUBSTITUTE(SUBSTITUTE(INDIRECT("C"&amp;$R173&amp;"")," 週3ｺｰｽ","")," 週5ｺｰｽ",""),"")</f>
        <v/>
      </c>
      <c r="T173" s="176" t="str">
        <f t="array" aca="1" ref="T173" ca="1">IF(IF($R173&lt;&gt;"",
INDIRECT(""&amp;IF(COLUMN(D173)&lt;=26,CHAR(COLUMN(D173)+64),CHAR(INT((COLUMN(D173)-1)/26)+64)&amp;CHAR(MOD(COLUMN(D173)-1,26)+65))&amp;$R173&amp;""),"")=0,"",
IF($R173&lt;&gt;"",
INDIRECT(""&amp;IF(COLUMN(D173)&lt;=26,CHAR(COLUMN(D173)+64),CHAR(INT((COLUMN(D173)-1)/26)+64)&amp;CHAR(MOD(COLUMN(D173)-1,26)+65))&amp;$R173&amp;""),""))</f>
        <v/>
      </c>
      <c r="U173" s="218" t="str">
        <f t="array" aca="1" ref="U173" ca="1">IF($R173&lt;&gt;"",
INDIRECT("F"&amp;$R173&amp;""),"")</f>
        <v/>
      </c>
      <c r="V173" s="219" t="str">
        <f t="array" aca="1" ref="V173" ca="1">IF($R173&lt;&gt;"",
INDIRECT("G"&amp;$R173&amp;""),"")</f>
        <v/>
      </c>
      <c r="W173" s="219" t="str" cm="1">
        <f t="array" aca="1" ref="W173" ca="1">IF($R173&lt;&gt;"",
IF(AND(COUNTIF(INDIRECT("B"&amp;R173&amp;""),"*雙葉*"),COUNTIF($B$71:$B$210,"*雙葉*")&gt;=1),
IF(OR(COUNTIF(INDIRECT("B"&amp;R173&amp;""),"*雙葉先生*"),COUNTIF(INDIRECT("B"&amp;R173-1&amp;""),"*雙葉*")),INDIRECT("H"&amp;R173&amp;""),INDIRECT("H"&amp;R173&amp;"")+INDIRECT("H"&amp;MATCH("雙葉'",INDIRECT("B"&amp;R173+3&amp;":B210"),0)+2+R173&amp;"")),
IF(AND(LEFT(INDIRECT("B"&amp;R173&amp;""),2)="博多",COUNTIF(B:B,"*博多*")&gt;=2),
INDIRECT("H"&amp;R173&amp;"")+IFERROR(INDIRECT("H"&amp;MATCH("*"&amp;INDIRECT("B"&amp;R173&amp;"")&amp;"*",INDIRECT("B"&amp;R173+1&amp;":B210"),0)+R173&amp;""),0),
IF(AND(LEFT(INDIRECT("B"&amp;R173&amp;""),3)="奈良屋",COUNTIF(B:B,"*奈良屋*")&gt;=2),
INDIRECT("H"&amp;R173&amp;"")
+INDIRECT("H"&amp;MATCH("*"&amp;INDIRECT("B"&amp;R173&amp;"")&amp;"*",INDIRECT("B"&amp;R173+1&amp;":B210"),0)+R173&amp;"")
+INDIRECT("H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
+INDIRECT("H"&amp;MATCH("*"&amp;INDIRECT("B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&amp;"*",INDIRECT("B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+1&amp;":B210"),0)+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,
INDIRECT("H"&amp;R173&amp;"")))),"")</f>
        <v/>
      </c>
      <c r="X173" s="176" t="str">
        <f t="array" aca="1" ref="X173" ca="1">IF($R173&lt;&gt;"",
INDIRECT(""&amp;IF(COLUMN(I173)&lt;=26,CHAR(COLUMN(I173)+64),CHAR(INT((COLUMN(I173)-1)/26)+64)&amp;CHAR(MOD(COLUMN(I173)-1,26)+65))&amp;$R173&amp;""),"")</f>
        <v/>
      </c>
      <c r="Y173" s="176" t="str">
        <f t="array" aca="1" ref="Y173" ca="1">IF($R173&lt;&gt;"",
INDIRECT(""&amp;IF(COLUMN(J173)&lt;=26,CHAR(COLUMN(J173)+64),CHAR(INT((COLUMN(J173)-1)/26)+64)&amp;CHAR(MOD(COLUMN(J173)-1,26)+65))&amp;$R173&amp;""),"")</f>
        <v/>
      </c>
      <c r="Z173" s="176" t="str">
        <f t="shared" ca="1" si="63"/>
        <v/>
      </c>
      <c r="AA173" s="176" t="str">
        <f t="shared" ca="1" si="64"/>
        <v/>
      </c>
      <c r="AB173" s="176" t="str">
        <f t="array" aca="1" ref="AB173" ca="1">IF($R173&lt;&gt;"",
IF(AND(COUNTIF(INDIRECT("B"&amp;R173&amp;""),"*雙葉*"),COUNTIF(INDIRECT("B"&amp;R173&amp;""),"&lt;&gt;*先生*"),COUNTIF(B:B,"*雙葉*")&gt;=2),
INDIRECT("M"&amp;R173&amp;"")+INDIRECT("M"&amp;MATCH("雙葉'",INDIRECT("B"&amp;R173+1&amp;":B210"),0)+R173&amp;""),
IF(AND(LEFT(INDIRECT("B"&amp;R173&amp;""),2)="博多",COUNTIF(B:B,"*博多*")&gt;=2),
INDIRECT("M"&amp;R173&amp;"")+INDIRECT("M"&amp;MATCH("*"&amp;INDIRECT("B"&amp;R173&amp;"")&amp;"*",INDIRECT("B"&amp;R173+1&amp;":B210"),0)+R173&amp;""),
IF(AND(LEFT(INDIRECT("B"&amp;R173&amp;""),3)="奈良屋",COUNTIF(B:B,"*奈良屋*")&gt;=2),
INDIRECT("M"&amp;R173&amp;"")+INDIRECT("M"&amp;MATCH("*"&amp;INDIRECT("B"&amp;R173&amp;"")&amp;"*",INDIRECT("B"&amp;R173+1&amp;":B210"),0)+R173&amp;"")
+INDIRECT("M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,
INDIRECT("M"&amp;R173&amp;"")))),"")</f>
        <v/>
      </c>
      <c r="AC173" s="176" t="str">
        <f t="shared" ca="1" si="65"/>
        <v/>
      </c>
      <c r="AD173" s="176" t="str">
        <f t="shared" ca="1" si="66"/>
        <v/>
      </c>
      <c r="AE173" s="176" t="str">
        <f t="shared" ca="1" si="67"/>
        <v/>
      </c>
      <c r="AF173" s="176" t="str">
        <f t="shared" ca="1" si="68"/>
        <v/>
      </c>
      <c r="AG173" s="176" t="str">
        <f t="shared" ca="1" si="69"/>
        <v/>
      </c>
      <c r="AH173" s="183" t="str">
        <f t="shared" ca="1" si="70"/>
        <v/>
      </c>
      <c r="AI173" s="176" t="str">
        <f t="shared" ca="1" si="71"/>
        <v/>
      </c>
      <c r="AJ173" s="176" t="str">
        <f t="shared" ca="1" si="72"/>
        <v/>
      </c>
      <c r="AK173" s="176" t="str">
        <f t="shared" ca="1" si="73"/>
        <v/>
      </c>
      <c r="AL173" s="176" t="str">
        <f t="shared" ca="1" si="74"/>
        <v/>
      </c>
      <c r="AM173" s="176" t="str">
        <f t="shared" ca="1" si="75"/>
        <v/>
      </c>
      <c r="AN173" s="176" t="str">
        <f t="shared" ca="1" si="76"/>
        <v/>
      </c>
      <c r="AO173" s="176" t="str">
        <f t="shared" ca="1" si="77"/>
        <v/>
      </c>
      <c r="AP173" s="176" t="str">
        <f t="shared" ca="1" si="78"/>
        <v/>
      </c>
      <c r="AU173" s="176" t="str">
        <f t="shared" ca="1" si="79"/>
        <v/>
      </c>
    </row>
    <row r="174" spans="1:47" ht="22.2" customHeight="1">
      <c r="A174" s="107">
        <f t="shared" ref="A174:A210" si="86">A173+2</f>
        <v>73</v>
      </c>
      <c r="B174" s="106" t="str">
        <f t="shared" ca="1" si="84"/>
        <v/>
      </c>
      <c r="C174" s="106" t="str">
        <f>IF(OR(クライアント抽出!D34&lt;&gt;"",クライアント抽出!G34&lt;&gt;""),クライアント抽出!A34,"")</f>
        <v/>
      </c>
      <c r="D174" s="106" t="str">
        <f t="array" aca="1" ref="D174" ca="1">IF(C174&lt;&gt;"",INDIRECT("クライアント抽出!"&amp;E174&amp;MATCH(C174,クライアント抽出!A:A,0)&amp;""),"")</f>
        <v/>
      </c>
      <c r="E174" s="106" t="str">
        <f>IF(H174&lt;&gt;0,
IFERROR(
SUBSTITUTE(ADDRESS(1,
MATCH(VALUE(H174),クライアント抽出!A34:G34,0)+8,4),"1",""),
""),
IFERROR(
SUBSTITUTE(ADDRESS(1,
MATCH(VALUE(I174),クライアント抽出!A34:G34,0)+8,4),"1",""),
""))</f>
        <v/>
      </c>
      <c r="F174" s="187" t="str">
        <f ca="1">IF(D174&lt;&gt;"",
IF(COUNTIF(C174,"*雙葉*"),
IF(ROUND((H174-M174)
/IF(COUNTIF(D174,"*キャラ*"),
VLOOKUP("*キャラ*",商品マスタ!$D:$E,2,FALSE),
IF(COUNTIF(D174,"*赤*"),
VLOOKUP("*赤*",商品マスタ!$D:$E,2,FALSE),
VLOOKUP("*"&amp;D174&amp;"*",商品マスタ!$D:$E,2,FALSE))),0)&lt;=0,1,
ROUND((H174-M174)
/IF(COUNTIF(D174,"*キャラ*"),
VLOOKUP("*キャラ*",商品マスタ!$D:$E,2,FALSE),
IF(COUNTIF(D174,"*赤*"),
VLOOKUP("*赤*",商品マスタ!$D:$E,2,FALSE),
VLOOKUP("*"&amp;D174&amp;"*",商品マスタ!$D:$E,2,FALSE))),0)),
IF(OR(COUNTIF(D174,"*キャラ*"),COUNTIF(D174,"*赤*")),"",
IF(VLOOKUP("*"&amp;D174&amp;"*",商品マスタ!$D:$E,2,FALSE)=0,"",
IF(ROUND((H174-M174)
/VLOOKUP("*"&amp;D174&amp;"*",商品マスタ!$D:$E,2,FALSE),0)&lt;=0,1,
ROUND((H174-M174)
/VLOOKUP("*"&amp;D174&amp;"*",商品マスタ!$D:$E,2,FALSE),0))))),"")</f>
        <v/>
      </c>
      <c r="G174" s="106" t="str">
        <f ca="1">IF(F174&lt;&gt;"",
IF(VALUE(H174-M174)&gt;VALUE(IF(COUNTIF(D174,"*キャラ*"),
VLOOKUP("*キャラ*",商品マスタ!$D:$E,2,FALSE),
IF(COUNTIF(D174,"*赤*"),
VLOOKUP("*赤*",商品マスタ!$D:$E,2,FALSE),
VLOOKUP("*"&amp;D174&amp;"*",商品マスタ!$D:$E,2,FALSE)))*F174),
"+"&amp;(H174-M174)-IF(COUNTIF(D174,"*キャラ*"),
VLOOKUP("*キャラ*",商品マスタ!$D:$E,2,FALSE),
IF(COUNTIF(D174,"*赤*"),
VLOOKUP("*赤*",商品マスタ!$D:$E,2,FALSE),
VLOOKUP("*"&amp;D174&amp;"*",商品マスタ!$D:$E,2,FALSE)))*F174,
(H174-M174)-IF(COUNTIF(D174,"*キャラ*"),
VLOOKUP("*キャラ*",商品マスタ!$D:$E,2,FALSE),
IF(COUNTIF(D174,"*赤*"),
VLOOKUP("*赤*",商品マスタ!$D:$E,2,FALSE),
VLOOKUP("*"&amp;D174&amp;"*",商品マスタ!$D:$E,2,FALSE)))*F174),"")</f>
        <v/>
      </c>
      <c r="H174" s="108" t="str">
        <f>IF(C174&lt;&gt;"",
クライアント抽出!D34,"")</f>
        <v/>
      </c>
      <c r="I174" s="106" t="str">
        <f>IF(C174&lt;&gt;"",
IF(O174=1,0,クライアント抽出!F34),"")</f>
        <v/>
      </c>
      <c r="J174" s="106" t="str">
        <f>IF(C174&lt;&gt;"",
VLOOKUP(
"*"&amp;LEFT(IF(COUNTIF(D174,"*学食*"),"キャラ弁（学食）",
IF(COUNTIF(D174,"*赤*"),"赤",
IF(COUNTIF(D174,"*キャラ弁当*"),"キャラ弁当",D174))),4)&amp;"*",注文弁当の抽出!$F$1:$G$15,2,FALSE),"")</f>
        <v/>
      </c>
      <c r="K174" s="106" t="str">
        <f ca="1">IF(クライアント抽出!R34&lt;&gt;"",SUBSTITUTE(ADDRESS(1,(CODE(クライアント抽出!R34)-64)*2-1,4),"1",""),"")</f>
        <v/>
      </c>
      <c r="L174" s="106" t="str">
        <f>IF(C34&lt;&gt;"",クライアント抽出!I34,"")</f>
        <v/>
      </c>
      <c r="M174" s="106">
        <f t="array" aca="1" ref="M174" ca="1">IF(C174&lt;&gt;"",
IF(K174&lt;&gt;"",INDIRECT("'数出表_Excel（アレルギー入力）'!"&amp;K174&amp;L174-1&amp;""),),)</f>
        <v>0</v>
      </c>
      <c r="N174" s="106" t="str">
        <f>IF(C174&lt;&gt;"",IF(OR(COUNTIF('盛付札（関数）'!D174,"*赤*"),COUNTIF('盛付札（関数）'!D174,"*キャラ*")),1,
VALUE(VLOOKUP("*"&amp;D174&amp;"*",商品マスタ!D:H,5,FALSE))),"")</f>
        <v/>
      </c>
      <c r="O174" s="106">
        <f t="shared" ca="1" si="85"/>
        <v>0</v>
      </c>
      <c r="P174" s="106">
        <f t="shared" si="61"/>
        <v>0</v>
      </c>
      <c r="Q174" s="106" t="b">
        <f t="shared" si="62"/>
        <v>0</v>
      </c>
      <c r="R174" s="176" t="str">
        <f t="array" aca="1" ref="R174" ca="1">IFERROR(SMALL(IF(P$1:P$311&lt;&gt;0,P$1:P$311),ROW(A174)),"")</f>
        <v/>
      </c>
      <c r="S174" s="176" t="str">
        <f t="array" aca="1" ref="S174" ca="1">IF($R174&lt;&gt;"",
SUBSTITUTE(SUBSTITUTE(INDIRECT("C"&amp;$R174&amp;"")," 週3ｺｰｽ","")," 週5ｺｰｽ",""),"")</f>
        <v/>
      </c>
      <c r="T174" s="176" t="str">
        <f t="array" aca="1" ref="T174" ca="1">IF(IF($R174&lt;&gt;"",
INDIRECT(""&amp;IF(COLUMN(D174)&lt;=26,CHAR(COLUMN(D174)+64),CHAR(INT((COLUMN(D174)-1)/26)+64)&amp;CHAR(MOD(COLUMN(D174)-1,26)+65))&amp;$R174&amp;""),"")=0,"",
IF($R174&lt;&gt;"",
INDIRECT(""&amp;IF(COLUMN(D174)&lt;=26,CHAR(COLUMN(D174)+64),CHAR(INT((COLUMN(D174)-1)/26)+64)&amp;CHAR(MOD(COLUMN(D174)-1,26)+65))&amp;$R174&amp;""),""))</f>
        <v/>
      </c>
      <c r="U174" s="218" t="str">
        <f t="array" aca="1" ref="U174" ca="1">IF($R174&lt;&gt;"",
INDIRECT("F"&amp;$R174&amp;""),"")</f>
        <v/>
      </c>
      <c r="V174" s="219" t="str">
        <f t="array" aca="1" ref="V174" ca="1">IF($R174&lt;&gt;"",
INDIRECT("G"&amp;$R174&amp;""),"")</f>
        <v/>
      </c>
      <c r="W174" s="219" t="str" cm="1">
        <f t="array" aca="1" ref="W174" ca="1">IF($R174&lt;&gt;"",
IF(AND(COUNTIF(INDIRECT("B"&amp;R174&amp;""),"*雙葉*"),COUNTIF($B$71:$B$210,"*雙葉*")&gt;=1),
IF(OR(COUNTIF(INDIRECT("B"&amp;R174&amp;""),"*雙葉先生*"),COUNTIF(INDIRECT("B"&amp;R174-1&amp;""),"*雙葉*")),INDIRECT("H"&amp;R174&amp;""),INDIRECT("H"&amp;R174&amp;"")+INDIRECT("H"&amp;MATCH("雙葉'",INDIRECT("B"&amp;R174+3&amp;":B210"),0)+2+R174&amp;"")),
IF(AND(LEFT(INDIRECT("B"&amp;R174&amp;""),2)="博多",COUNTIF(B:B,"*博多*")&gt;=2),
INDIRECT("H"&amp;R174&amp;"")+IFERROR(INDIRECT("H"&amp;MATCH("*"&amp;INDIRECT("B"&amp;R174&amp;"")&amp;"*",INDIRECT("B"&amp;R174+1&amp;":B210"),0)+R174&amp;""),0),
IF(AND(LEFT(INDIRECT("B"&amp;R174&amp;""),3)="奈良屋",COUNTIF(B:B,"*奈良屋*")&gt;=2),
INDIRECT("H"&amp;R174&amp;"")
+INDIRECT("H"&amp;MATCH("*"&amp;INDIRECT("B"&amp;R174&amp;"")&amp;"*",INDIRECT("B"&amp;R174+1&amp;":B210"),0)+R174&amp;"")
+INDIRECT("H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
+INDIRECT("H"&amp;MATCH("*"&amp;INDIRECT("B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&amp;"*",INDIRECT("B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+1&amp;":B210"),0)+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,
INDIRECT("H"&amp;R174&amp;"")))),"")</f>
        <v/>
      </c>
      <c r="X174" s="176" t="str">
        <f t="array" aca="1" ref="X174" ca="1">IF($R174&lt;&gt;"",
INDIRECT(""&amp;IF(COLUMN(I174)&lt;=26,CHAR(COLUMN(I174)+64),CHAR(INT((COLUMN(I174)-1)/26)+64)&amp;CHAR(MOD(COLUMN(I174)-1,26)+65))&amp;$R174&amp;""),"")</f>
        <v/>
      </c>
      <c r="Y174" s="176" t="str">
        <f t="array" aca="1" ref="Y174" ca="1">IF($R174&lt;&gt;"",
INDIRECT(""&amp;IF(COLUMN(J174)&lt;=26,CHAR(COLUMN(J174)+64),CHAR(INT((COLUMN(J174)-1)/26)+64)&amp;CHAR(MOD(COLUMN(J174)-1,26)+65))&amp;$R174&amp;""),"")</f>
        <v/>
      </c>
      <c r="Z174" s="176" t="str">
        <f t="shared" ca="1" si="63"/>
        <v/>
      </c>
      <c r="AA174" s="176" t="str">
        <f t="shared" ca="1" si="64"/>
        <v/>
      </c>
      <c r="AB174" s="176" t="str">
        <f t="array" aca="1" ref="AB174" ca="1">IF($R174&lt;&gt;"",
IF(AND(COUNTIF(INDIRECT("B"&amp;R174&amp;""),"*雙葉*"),COUNTIF(INDIRECT("B"&amp;R174&amp;""),"&lt;&gt;*先生*"),COUNTIF(B:B,"*雙葉*")&gt;=2),
INDIRECT("M"&amp;R174&amp;"")+INDIRECT("M"&amp;MATCH("雙葉'",INDIRECT("B"&amp;R174+1&amp;":B210"),0)+R174&amp;""),
IF(AND(LEFT(INDIRECT("B"&amp;R174&amp;""),2)="博多",COUNTIF(B:B,"*博多*")&gt;=2),
INDIRECT("M"&amp;R174&amp;"")+INDIRECT("M"&amp;MATCH("*"&amp;INDIRECT("B"&amp;R174&amp;"")&amp;"*",INDIRECT("B"&amp;R174+1&amp;":B210"),0)+R174&amp;""),
IF(AND(LEFT(INDIRECT("B"&amp;R174&amp;""),3)="奈良屋",COUNTIF(B:B,"*奈良屋*")&gt;=2),
INDIRECT("M"&amp;R174&amp;"")+INDIRECT("M"&amp;MATCH("*"&amp;INDIRECT("B"&amp;R174&amp;"")&amp;"*",INDIRECT("B"&amp;R174+1&amp;":B210"),0)+R174&amp;"")
+INDIRECT("M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,
INDIRECT("M"&amp;R174&amp;"")))),"")</f>
        <v/>
      </c>
      <c r="AC174" s="176" t="str">
        <f t="shared" ca="1" si="65"/>
        <v/>
      </c>
      <c r="AD174" s="176" t="str">
        <f t="shared" ca="1" si="66"/>
        <v/>
      </c>
      <c r="AE174" s="176" t="str">
        <f t="shared" ca="1" si="67"/>
        <v/>
      </c>
      <c r="AF174" s="176" t="str">
        <f t="shared" ca="1" si="68"/>
        <v/>
      </c>
      <c r="AG174" s="176" t="str">
        <f t="shared" ca="1" si="69"/>
        <v/>
      </c>
      <c r="AH174" s="183" t="str">
        <f t="shared" ca="1" si="70"/>
        <v/>
      </c>
      <c r="AI174" s="176" t="str">
        <f t="shared" ca="1" si="71"/>
        <v/>
      </c>
      <c r="AJ174" s="176" t="str">
        <f t="shared" ca="1" si="72"/>
        <v/>
      </c>
      <c r="AK174" s="176" t="str">
        <f t="shared" ca="1" si="73"/>
        <v/>
      </c>
      <c r="AL174" s="176" t="str">
        <f t="shared" ca="1" si="74"/>
        <v/>
      </c>
      <c r="AM174" s="176" t="str">
        <f t="shared" ca="1" si="75"/>
        <v/>
      </c>
      <c r="AN174" s="176" t="str">
        <f t="shared" ca="1" si="76"/>
        <v/>
      </c>
      <c r="AO174" s="176" t="str">
        <f t="shared" ca="1" si="77"/>
        <v/>
      </c>
      <c r="AP174" s="176" t="str">
        <f t="shared" ca="1" si="78"/>
        <v/>
      </c>
      <c r="AU174" s="176" t="str">
        <f t="shared" ca="1" si="79"/>
        <v/>
      </c>
    </row>
    <row r="175" spans="1:47" ht="22.2" customHeight="1">
      <c r="A175" s="107">
        <f t="shared" si="86"/>
        <v>75</v>
      </c>
      <c r="B175" s="106" t="str">
        <f t="shared" ca="1" si="84"/>
        <v/>
      </c>
      <c r="C175" s="106" t="str">
        <f>IF(OR(クライアント抽出!D35&lt;&gt;"",クライアント抽出!G35&lt;&gt;""),クライアント抽出!A35,"")</f>
        <v/>
      </c>
      <c r="D175" s="106" t="str">
        <f t="array" aca="1" ref="D175" ca="1">IF(C175&lt;&gt;"",INDIRECT("クライアント抽出!"&amp;E175&amp;MATCH(C175,クライアント抽出!A:A,0)&amp;""),"")</f>
        <v/>
      </c>
      <c r="E175" s="106" t="str">
        <f>IF(H175&lt;&gt;0,
IFERROR(
SUBSTITUTE(ADDRESS(1,
MATCH(VALUE(H175),クライアント抽出!A35:G35,0)+8,4),"1",""),
""),
IFERROR(
SUBSTITUTE(ADDRESS(1,
MATCH(VALUE(I175),クライアント抽出!A35:G35,0)+8,4),"1",""),
""))</f>
        <v/>
      </c>
      <c r="F175" s="187" t="str">
        <f ca="1">IF(D175&lt;&gt;"",
IF(COUNTIF(C175,"*雙葉*"),
IF(ROUND((H175-M175)
/IF(COUNTIF(D175,"*キャラ*"),
VLOOKUP("*キャラ*",商品マスタ!$D:$E,2,FALSE),
IF(COUNTIF(D175,"*赤*"),
VLOOKUP("*赤*",商品マスタ!$D:$E,2,FALSE),
VLOOKUP("*"&amp;D175&amp;"*",商品マスタ!$D:$E,2,FALSE))),0)&lt;=0,1,
ROUND((H175-M175)
/IF(COUNTIF(D175,"*キャラ*"),
VLOOKUP("*キャラ*",商品マスタ!$D:$E,2,FALSE),
IF(COUNTIF(D175,"*赤*"),
VLOOKUP("*赤*",商品マスタ!$D:$E,2,FALSE),
VLOOKUP("*"&amp;D175&amp;"*",商品マスタ!$D:$E,2,FALSE))),0)),
IF(OR(COUNTIF(D175,"*キャラ*"),COUNTIF(D175,"*赤*")),"",
IF(VLOOKUP("*"&amp;D175&amp;"*",商品マスタ!$D:$E,2,FALSE)=0,"",
IF(ROUND((H175-M175)
/VLOOKUP("*"&amp;D175&amp;"*",商品マスタ!$D:$E,2,FALSE),0)&lt;=0,1,
ROUND((H175-M175)
/VLOOKUP("*"&amp;D175&amp;"*",商品マスタ!$D:$E,2,FALSE),0))))),"")</f>
        <v/>
      </c>
      <c r="G175" s="106" t="str">
        <f ca="1">IF(F175&lt;&gt;"",
IF(VALUE(H175-M175)&gt;VALUE(IF(COUNTIF(D175,"*キャラ*"),
VLOOKUP("*キャラ*",商品マスタ!$D:$E,2,FALSE),
IF(COUNTIF(D175,"*赤*"),
VLOOKUP("*赤*",商品マスタ!$D:$E,2,FALSE),
VLOOKUP("*"&amp;D175&amp;"*",商品マスタ!$D:$E,2,FALSE)))*F175),
"+"&amp;(H175-M175)-IF(COUNTIF(D175,"*キャラ*"),
VLOOKUP("*キャラ*",商品マスタ!$D:$E,2,FALSE),
IF(COUNTIF(D175,"*赤*"),
VLOOKUP("*赤*",商品マスタ!$D:$E,2,FALSE),
VLOOKUP("*"&amp;D175&amp;"*",商品マスタ!$D:$E,2,FALSE)))*F175,
(H175-M175)-IF(COUNTIF(D175,"*キャラ*"),
VLOOKUP("*キャラ*",商品マスタ!$D:$E,2,FALSE),
IF(COUNTIF(D175,"*赤*"),
VLOOKUP("*赤*",商品マスタ!$D:$E,2,FALSE),
VLOOKUP("*"&amp;D175&amp;"*",商品マスタ!$D:$E,2,FALSE)))*F175),"")</f>
        <v/>
      </c>
      <c r="H175" s="108" t="str">
        <f>IF(C175&lt;&gt;"",
クライアント抽出!D35,"")</f>
        <v/>
      </c>
      <c r="I175" s="106" t="str">
        <f>IF(C175&lt;&gt;"",
IF(O175=1,0,クライアント抽出!F35),"")</f>
        <v/>
      </c>
      <c r="J175" s="106" t="str">
        <f>IF(C175&lt;&gt;"",
VLOOKUP(
"*"&amp;LEFT(IF(COUNTIF(D175,"*学食*"),"キャラ弁（学食）",
IF(COUNTIF(D175,"*赤*"),"赤",
IF(COUNTIF(D175,"*キャラ弁当*"),"キャラ弁当",D175))),4)&amp;"*",注文弁当の抽出!$F$1:$G$15,2,FALSE),"")</f>
        <v/>
      </c>
      <c r="K175" s="106" t="str">
        <f ca="1">IF(クライアント抽出!R35&lt;&gt;"",SUBSTITUTE(ADDRESS(1,(CODE(クライアント抽出!R35)-64)*2-1,4),"1",""),"")</f>
        <v/>
      </c>
      <c r="L175" s="106" t="str">
        <f>IF(C35&lt;&gt;"",クライアント抽出!I35,"")</f>
        <v/>
      </c>
      <c r="M175" s="106">
        <f t="array" aca="1" ref="M175" ca="1">IF(C175&lt;&gt;"",
IF(K175&lt;&gt;"",INDIRECT("'数出表_Excel（アレルギー入力）'!"&amp;K175&amp;L175-1&amp;""),),)</f>
        <v>0</v>
      </c>
      <c r="N175" s="106" t="str">
        <f>IF(C175&lt;&gt;"",IF(OR(COUNTIF('盛付札（関数）'!D175,"*赤*"),COUNTIF('盛付札（関数）'!D175,"*キャラ*")),1,
VALUE(VLOOKUP("*"&amp;D175&amp;"*",商品マスタ!D:H,5,FALSE))),"")</f>
        <v/>
      </c>
      <c r="O175" s="106">
        <f t="shared" ca="1" si="85"/>
        <v>0</v>
      </c>
      <c r="P175" s="106">
        <f t="shared" si="61"/>
        <v>0</v>
      </c>
      <c r="Q175" s="106" t="b">
        <f t="shared" si="62"/>
        <v>0</v>
      </c>
      <c r="R175" s="176" t="str">
        <f t="array" aca="1" ref="R175" ca="1">IFERROR(SMALL(IF(P$1:P$311&lt;&gt;0,P$1:P$311),ROW(A175)),"")</f>
        <v/>
      </c>
      <c r="S175" s="176" t="str">
        <f t="array" aca="1" ref="S175" ca="1">IF($R175&lt;&gt;"",
SUBSTITUTE(SUBSTITUTE(INDIRECT("C"&amp;$R175&amp;"")," 週3ｺｰｽ","")," 週5ｺｰｽ",""),"")</f>
        <v/>
      </c>
      <c r="T175" s="176" t="str">
        <f t="array" aca="1" ref="T175" ca="1">IF(IF($R175&lt;&gt;"",
INDIRECT(""&amp;IF(COLUMN(D175)&lt;=26,CHAR(COLUMN(D175)+64),CHAR(INT((COLUMN(D175)-1)/26)+64)&amp;CHAR(MOD(COLUMN(D175)-1,26)+65))&amp;$R175&amp;""),"")=0,"",
IF($R175&lt;&gt;"",
INDIRECT(""&amp;IF(COLUMN(D175)&lt;=26,CHAR(COLUMN(D175)+64),CHAR(INT((COLUMN(D175)-1)/26)+64)&amp;CHAR(MOD(COLUMN(D175)-1,26)+65))&amp;$R175&amp;""),""))</f>
        <v/>
      </c>
      <c r="U175" s="218" t="str">
        <f t="array" aca="1" ref="U175" ca="1">IF($R175&lt;&gt;"",
INDIRECT("F"&amp;$R175&amp;""),"")</f>
        <v/>
      </c>
      <c r="V175" s="219" t="str">
        <f t="array" aca="1" ref="V175" ca="1">IF($R175&lt;&gt;"",
INDIRECT("G"&amp;$R175&amp;""),"")</f>
        <v/>
      </c>
      <c r="W175" s="219" t="str" cm="1">
        <f t="array" aca="1" ref="W175" ca="1">IF($R175&lt;&gt;"",
IF(AND(COUNTIF(INDIRECT("B"&amp;R175&amp;""),"*雙葉*"),COUNTIF($B$71:$B$210,"*雙葉*")&gt;=1),
IF(OR(COUNTIF(INDIRECT("B"&amp;R175&amp;""),"*雙葉先生*"),COUNTIF(INDIRECT("B"&amp;R175-1&amp;""),"*雙葉*")),INDIRECT("H"&amp;R175&amp;""),INDIRECT("H"&amp;R175&amp;"")+INDIRECT("H"&amp;MATCH("雙葉'",INDIRECT("B"&amp;R175+3&amp;":B210"),0)+2+R175&amp;"")),
IF(AND(LEFT(INDIRECT("B"&amp;R175&amp;""),2)="博多",COUNTIF(B:B,"*博多*")&gt;=2),
INDIRECT("H"&amp;R175&amp;"")+IFERROR(INDIRECT("H"&amp;MATCH("*"&amp;INDIRECT("B"&amp;R175&amp;"")&amp;"*",INDIRECT("B"&amp;R175+1&amp;":B210"),0)+R175&amp;""),0),
IF(AND(LEFT(INDIRECT("B"&amp;R175&amp;""),3)="奈良屋",COUNTIF(B:B,"*奈良屋*")&gt;=2),
INDIRECT("H"&amp;R175&amp;"")
+INDIRECT("H"&amp;MATCH("*"&amp;INDIRECT("B"&amp;R175&amp;"")&amp;"*",INDIRECT("B"&amp;R175+1&amp;":B210"),0)+R175&amp;"")
+INDIRECT("H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
+INDIRECT("H"&amp;MATCH("*"&amp;INDIRECT("B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&amp;"*",INDIRECT("B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+1&amp;":B210"),0)+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,
INDIRECT("H"&amp;R175&amp;"")))),"")</f>
        <v/>
      </c>
      <c r="X175" s="176" t="str">
        <f t="array" aca="1" ref="X175" ca="1">IF($R175&lt;&gt;"",
INDIRECT(""&amp;IF(COLUMN(I175)&lt;=26,CHAR(COLUMN(I175)+64),CHAR(INT((COLUMN(I175)-1)/26)+64)&amp;CHAR(MOD(COLUMN(I175)-1,26)+65))&amp;$R175&amp;""),"")</f>
        <v/>
      </c>
      <c r="Y175" s="176" t="str">
        <f t="array" aca="1" ref="Y175" ca="1">IF($R175&lt;&gt;"",
INDIRECT(""&amp;IF(COLUMN(J175)&lt;=26,CHAR(COLUMN(J175)+64),CHAR(INT((COLUMN(J175)-1)/26)+64)&amp;CHAR(MOD(COLUMN(J175)-1,26)+65))&amp;$R175&amp;""),"")</f>
        <v/>
      </c>
      <c r="Z175" s="176" t="str">
        <f t="shared" ca="1" si="63"/>
        <v/>
      </c>
      <c r="AA175" s="176" t="str">
        <f t="shared" ca="1" si="64"/>
        <v/>
      </c>
      <c r="AB175" s="176" t="str">
        <f t="array" aca="1" ref="AB175" ca="1">IF($R175&lt;&gt;"",
IF(AND(COUNTIF(INDIRECT("B"&amp;R175&amp;""),"*雙葉*"),COUNTIF(INDIRECT("B"&amp;R175&amp;""),"&lt;&gt;*先生*"),COUNTIF(B:B,"*雙葉*")&gt;=2),
INDIRECT("M"&amp;R175&amp;"")+INDIRECT("M"&amp;MATCH("雙葉'",INDIRECT("B"&amp;R175+1&amp;":B210"),0)+R175&amp;""),
IF(AND(LEFT(INDIRECT("B"&amp;R175&amp;""),2)="博多",COUNTIF(B:B,"*博多*")&gt;=2),
INDIRECT("M"&amp;R175&amp;"")+INDIRECT("M"&amp;MATCH("*"&amp;INDIRECT("B"&amp;R175&amp;"")&amp;"*",INDIRECT("B"&amp;R175+1&amp;":B210"),0)+R175&amp;""),
IF(AND(LEFT(INDIRECT("B"&amp;R175&amp;""),3)="奈良屋",COUNTIF(B:B,"*奈良屋*")&gt;=2),
INDIRECT("M"&amp;R175&amp;"")+INDIRECT("M"&amp;MATCH("*"&amp;INDIRECT("B"&amp;R175&amp;"")&amp;"*",INDIRECT("B"&amp;R175+1&amp;":B210"),0)+R175&amp;"")
+INDIRECT("M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,
INDIRECT("M"&amp;R175&amp;"")))),"")</f>
        <v/>
      </c>
      <c r="AC175" s="176" t="str">
        <f t="shared" ca="1" si="65"/>
        <v/>
      </c>
      <c r="AD175" s="176" t="str">
        <f t="shared" ca="1" si="66"/>
        <v/>
      </c>
      <c r="AE175" s="176" t="str">
        <f t="shared" ca="1" si="67"/>
        <v/>
      </c>
      <c r="AF175" s="176" t="str">
        <f t="shared" ca="1" si="68"/>
        <v/>
      </c>
      <c r="AG175" s="176" t="str">
        <f t="shared" ca="1" si="69"/>
        <v/>
      </c>
      <c r="AH175" s="183" t="str">
        <f t="shared" ca="1" si="70"/>
        <v/>
      </c>
      <c r="AI175" s="176" t="str">
        <f t="shared" ca="1" si="71"/>
        <v/>
      </c>
      <c r="AJ175" s="176" t="str">
        <f t="shared" ca="1" si="72"/>
        <v/>
      </c>
      <c r="AK175" s="176" t="str">
        <f t="shared" ca="1" si="73"/>
        <v/>
      </c>
      <c r="AL175" s="176" t="str">
        <f t="shared" ca="1" si="74"/>
        <v/>
      </c>
      <c r="AM175" s="176" t="str">
        <f t="shared" ca="1" si="75"/>
        <v/>
      </c>
      <c r="AN175" s="176" t="str">
        <f t="shared" ca="1" si="76"/>
        <v/>
      </c>
      <c r="AO175" s="176" t="str">
        <f t="shared" ca="1" si="77"/>
        <v/>
      </c>
      <c r="AP175" s="176" t="str">
        <f t="shared" ca="1" si="78"/>
        <v/>
      </c>
      <c r="AU175" s="176" t="str">
        <f t="shared" ca="1" si="79"/>
        <v/>
      </c>
    </row>
    <row r="176" spans="1:47" ht="22.2" customHeight="1">
      <c r="A176" s="107">
        <f t="shared" si="86"/>
        <v>77</v>
      </c>
      <c r="B176" s="106" t="str">
        <f t="shared" ca="1" si="84"/>
        <v/>
      </c>
      <c r="C176" s="106" t="str">
        <f>IF(OR(クライアント抽出!D36&lt;&gt;"",クライアント抽出!G36&lt;&gt;""),クライアント抽出!A36,"")</f>
        <v/>
      </c>
      <c r="D176" s="106" t="str">
        <f t="array" aca="1" ref="D176" ca="1">IF(C176&lt;&gt;"",INDIRECT("クライアント抽出!"&amp;E176&amp;MATCH(C176,クライアント抽出!A:A,0)&amp;""),"")</f>
        <v/>
      </c>
      <c r="E176" s="106" t="str">
        <f>IF(H176&lt;&gt;0,
IFERROR(
SUBSTITUTE(ADDRESS(1,
MATCH(VALUE(H176),クライアント抽出!A36:G36,0)+8,4),"1",""),
""),
IFERROR(
SUBSTITUTE(ADDRESS(1,
MATCH(VALUE(I176),クライアント抽出!A36:G36,0)+8,4),"1",""),
""))</f>
        <v/>
      </c>
      <c r="F176" s="187" t="str">
        <f ca="1">IF(D176&lt;&gt;"",
IF(COUNTIF(C176,"*雙葉*"),
IF(ROUND((H176-M176)
/IF(COUNTIF(D176,"*キャラ*"),
VLOOKUP("*キャラ*",商品マスタ!$D:$E,2,FALSE),
IF(COUNTIF(D176,"*赤*"),
VLOOKUP("*赤*",商品マスタ!$D:$E,2,FALSE),
VLOOKUP("*"&amp;D176&amp;"*",商品マスタ!$D:$E,2,FALSE))),0)&lt;=0,1,
ROUND((H176-M176)
/IF(COUNTIF(D176,"*キャラ*"),
VLOOKUP("*キャラ*",商品マスタ!$D:$E,2,FALSE),
IF(COUNTIF(D176,"*赤*"),
VLOOKUP("*赤*",商品マスタ!$D:$E,2,FALSE),
VLOOKUP("*"&amp;D176&amp;"*",商品マスタ!$D:$E,2,FALSE))),0)),
IF(OR(COUNTIF(D176,"*キャラ*"),COUNTIF(D176,"*赤*")),"",
IF(VLOOKUP("*"&amp;D176&amp;"*",商品マスタ!$D:$E,2,FALSE)=0,"",
IF(ROUND((H176-M176)
/VLOOKUP("*"&amp;D176&amp;"*",商品マスタ!$D:$E,2,FALSE),0)&lt;=0,1,
ROUND((H176-M176)
/VLOOKUP("*"&amp;D176&amp;"*",商品マスタ!$D:$E,2,FALSE),0))))),"")</f>
        <v/>
      </c>
      <c r="G176" s="106" t="str">
        <f ca="1">IF(F176&lt;&gt;"",
IF(VALUE(H176-M176)&gt;VALUE(IF(COUNTIF(D176,"*キャラ*"),
VLOOKUP("*キャラ*",商品マスタ!$D:$E,2,FALSE),
IF(COUNTIF(D176,"*赤*"),
VLOOKUP("*赤*",商品マスタ!$D:$E,2,FALSE),
VLOOKUP("*"&amp;D176&amp;"*",商品マスタ!$D:$E,2,FALSE)))*F176),
"+"&amp;(H176-M176)-IF(COUNTIF(D176,"*キャラ*"),
VLOOKUP("*キャラ*",商品マスタ!$D:$E,2,FALSE),
IF(COUNTIF(D176,"*赤*"),
VLOOKUP("*赤*",商品マスタ!$D:$E,2,FALSE),
VLOOKUP("*"&amp;D176&amp;"*",商品マスタ!$D:$E,2,FALSE)))*F176,
(H176-M176)-IF(COUNTIF(D176,"*キャラ*"),
VLOOKUP("*キャラ*",商品マスタ!$D:$E,2,FALSE),
IF(COUNTIF(D176,"*赤*"),
VLOOKUP("*赤*",商品マスタ!$D:$E,2,FALSE),
VLOOKUP("*"&amp;D176&amp;"*",商品マスタ!$D:$E,2,FALSE)))*F176),"")</f>
        <v/>
      </c>
      <c r="H176" s="108" t="str">
        <f>IF(C176&lt;&gt;"",
クライアント抽出!D36,"")</f>
        <v/>
      </c>
      <c r="I176" s="106" t="str">
        <f>IF(C176&lt;&gt;"",
IF(O176=1,0,クライアント抽出!F36),"")</f>
        <v/>
      </c>
      <c r="J176" s="106" t="str">
        <f>IF(C176&lt;&gt;"",
VLOOKUP(
"*"&amp;LEFT(IF(COUNTIF(D176,"*学食*"),"キャラ弁（学食）",
IF(COUNTIF(D176,"*赤*"),"赤",
IF(COUNTIF(D176,"*キャラ弁当*"),"キャラ弁当",D176))),4)&amp;"*",注文弁当の抽出!$F$1:$G$15,2,FALSE),"")</f>
        <v/>
      </c>
      <c r="K176" s="106" t="str">
        <f ca="1">IF(クライアント抽出!R36&lt;&gt;"",SUBSTITUTE(ADDRESS(1,(CODE(クライアント抽出!R36)-64)*2-1,4),"1",""),"")</f>
        <v/>
      </c>
      <c r="L176" s="106" t="str">
        <f>IF(C36&lt;&gt;"",クライアント抽出!I36,"")</f>
        <v/>
      </c>
      <c r="M176" s="106">
        <f t="array" aca="1" ref="M176" ca="1">IF(C176&lt;&gt;"",
IF(K176&lt;&gt;"",INDIRECT("'数出表_Excel（アレルギー入力）'!"&amp;K176&amp;L176-1&amp;""),),)</f>
        <v>0</v>
      </c>
      <c r="N176" s="106" t="str">
        <f>IF(C176&lt;&gt;"",IF(OR(COUNTIF('盛付札（関数）'!D176,"*赤*"),COUNTIF('盛付札（関数）'!D176,"*キャラ*")),1,
VALUE(VLOOKUP("*"&amp;D176&amp;"*",商品マスタ!D:H,5,FALSE))),"")</f>
        <v/>
      </c>
      <c r="O176" s="106">
        <f t="shared" ca="1" si="85"/>
        <v>0</v>
      </c>
      <c r="P176" s="106">
        <f t="shared" si="61"/>
        <v>0</v>
      </c>
      <c r="Q176" s="106" t="b">
        <f t="shared" si="62"/>
        <v>0</v>
      </c>
      <c r="R176" s="176" t="str">
        <f t="array" aca="1" ref="R176" ca="1">IFERROR(SMALL(IF(P$1:P$311&lt;&gt;0,P$1:P$311),ROW(A176)),"")</f>
        <v/>
      </c>
      <c r="S176" s="176" t="str">
        <f t="array" aca="1" ref="S176" ca="1">IF($R176&lt;&gt;"",
SUBSTITUTE(SUBSTITUTE(INDIRECT("C"&amp;$R176&amp;"")," 週3ｺｰｽ","")," 週5ｺｰｽ",""),"")</f>
        <v/>
      </c>
      <c r="T176" s="176" t="str">
        <f t="array" aca="1" ref="T176" ca="1">IF(IF($R176&lt;&gt;"",
INDIRECT(""&amp;IF(COLUMN(D176)&lt;=26,CHAR(COLUMN(D176)+64),CHAR(INT((COLUMN(D176)-1)/26)+64)&amp;CHAR(MOD(COLUMN(D176)-1,26)+65))&amp;$R176&amp;""),"")=0,"",
IF($R176&lt;&gt;"",
INDIRECT(""&amp;IF(COLUMN(D176)&lt;=26,CHAR(COLUMN(D176)+64),CHAR(INT((COLUMN(D176)-1)/26)+64)&amp;CHAR(MOD(COLUMN(D176)-1,26)+65))&amp;$R176&amp;""),""))</f>
        <v/>
      </c>
      <c r="U176" s="218" t="str">
        <f t="array" aca="1" ref="U176" ca="1">IF($R176&lt;&gt;"",
INDIRECT("F"&amp;$R176&amp;""),"")</f>
        <v/>
      </c>
      <c r="V176" s="219" t="str">
        <f t="array" aca="1" ref="V176" ca="1">IF($R176&lt;&gt;"",
INDIRECT("G"&amp;$R176&amp;""),"")</f>
        <v/>
      </c>
      <c r="W176" s="219" t="str" cm="1">
        <f t="array" aca="1" ref="W176" ca="1">IF($R176&lt;&gt;"",
IF(AND(COUNTIF(INDIRECT("B"&amp;R176&amp;""),"*雙葉*"),COUNTIF($B$71:$B$210,"*雙葉*")&gt;=1),
IF(OR(COUNTIF(INDIRECT("B"&amp;R176&amp;""),"*雙葉先生*"),COUNTIF(INDIRECT("B"&amp;R176-1&amp;""),"*雙葉*")),INDIRECT("H"&amp;R176&amp;""),INDIRECT("H"&amp;R176&amp;"")+INDIRECT("H"&amp;MATCH("雙葉'",INDIRECT("B"&amp;R176+3&amp;":B210"),0)+2+R176&amp;"")),
IF(AND(LEFT(INDIRECT("B"&amp;R176&amp;""),2)="博多",COUNTIF(B:B,"*博多*")&gt;=2),
INDIRECT("H"&amp;R176&amp;"")+IFERROR(INDIRECT("H"&amp;MATCH("*"&amp;INDIRECT("B"&amp;R176&amp;"")&amp;"*",INDIRECT("B"&amp;R176+1&amp;":B210"),0)+R176&amp;""),0),
IF(AND(LEFT(INDIRECT("B"&amp;R176&amp;""),3)="奈良屋",COUNTIF(B:B,"*奈良屋*")&gt;=2),
INDIRECT("H"&amp;R176&amp;"")
+INDIRECT("H"&amp;MATCH("*"&amp;INDIRECT("B"&amp;R176&amp;"")&amp;"*",INDIRECT("B"&amp;R176+1&amp;":B210"),0)+R176&amp;"")
+INDIRECT("H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
+INDIRECT("H"&amp;MATCH("*"&amp;INDIRECT("B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&amp;"*",INDIRECT("B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+1&amp;":B210"),0)+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,
INDIRECT("H"&amp;R176&amp;"")))),"")</f>
        <v/>
      </c>
      <c r="X176" s="176" t="str">
        <f t="array" aca="1" ref="X176" ca="1">IF($R176&lt;&gt;"",
INDIRECT(""&amp;IF(COLUMN(I176)&lt;=26,CHAR(COLUMN(I176)+64),CHAR(INT((COLUMN(I176)-1)/26)+64)&amp;CHAR(MOD(COLUMN(I176)-1,26)+65))&amp;$R176&amp;""),"")</f>
        <v/>
      </c>
      <c r="Y176" s="176" t="str">
        <f t="array" aca="1" ref="Y176" ca="1">IF($R176&lt;&gt;"",
INDIRECT(""&amp;IF(COLUMN(J176)&lt;=26,CHAR(COLUMN(J176)+64),CHAR(INT((COLUMN(J176)-1)/26)+64)&amp;CHAR(MOD(COLUMN(J176)-1,26)+65))&amp;$R176&amp;""),"")</f>
        <v/>
      </c>
      <c r="Z176" s="176" t="str">
        <f t="shared" ca="1" si="63"/>
        <v/>
      </c>
      <c r="AA176" s="176" t="str">
        <f t="shared" ca="1" si="64"/>
        <v/>
      </c>
      <c r="AB176" s="176" t="str">
        <f t="array" aca="1" ref="AB176" ca="1">IF($R176&lt;&gt;"",
IF(AND(COUNTIF(INDIRECT("B"&amp;R176&amp;""),"*雙葉*"),COUNTIF(INDIRECT("B"&amp;R176&amp;""),"&lt;&gt;*先生*"),COUNTIF(B:B,"*雙葉*")&gt;=2),
INDIRECT("M"&amp;R176&amp;"")+INDIRECT("M"&amp;MATCH("雙葉'",INDIRECT("B"&amp;R176+1&amp;":B210"),0)+R176&amp;""),
IF(AND(LEFT(INDIRECT("B"&amp;R176&amp;""),2)="博多",COUNTIF(B:B,"*博多*")&gt;=2),
INDIRECT("M"&amp;R176&amp;"")+INDIRECT("M"&amp;MATCH("*"&amp;INDIRECT("B"&amp;R176&amp;"")&amp;"*",INDIRECT("B"&amp;R176+1&amp;":B210"),0)+R176&amp;""),
IF(AND(LEFT(INDIRECT("B"&amp;R176&amp;""),3)="奈良屋",COUNTIF(B:B,"*奈良屋*")&gt;=2),
INDIRECT("M"&amp;R176&amp;"")+INDIRECT("M"&amp;MATCH("*"&amp;INDIRECT("B"&amp;R176&amp;"")&amp;"*",INDIRECT("B"&amp;R176+1&amp;":B210"),0)+R176&amp;"")
+INDIRECT("M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,
INDIRECT("M"&amp;R176&amp;"")))),"")</f>
        <v/>
      </c>
      <c r="AC176" s="176" t="str">
        <f t="shared" ca="1" si="65"/>
        <v/>
      </c>
      <c r="AD176" s="176" t="str">
        <f t="shared" ca="1" si="66"/>
        <v/>
      </c>
      <c r="AE176" s="176" t="str">
        <f t="shared" ca="1" si="67"/>
        <v/>
      </c>
      <c r="AF176" s="176" t="str">
        <f t="shared" ca="1" si="68"/>
        <v/>
      </c>
      <c r="AG176" s="176" t="str">
        <f t="shared" ca="1" si="69"/>
        <v/>
      </c>
      <c r="AH176" s="183" t="str">
        <f t="shared" ca="1" si="70"/>
        <v/>
      </c>
      <c r="AI176" s="176" t="str">
        <f t="shared" ca="1" si="71"/>
        <v/>
      </c>
      <c r="AJ176" s="176" t="str">
        <f t="shared" ca="1" si="72"/>
        <v/>
      </c>
      <c r="AK176" s="176" t="str">
        <f t="shared" ca="1" si="73"/>
        <v/>
      </c>
      <c r="AL176" s="176" t="str">
        <f t="shared" ca="1" si="74"/>
        <v/>
      </c>
      <c r="AM176" s="176" t="str">
        <f t="shared" ca="1" si="75"/>
        <v/>
      </c>
      <c r="AN176" s="176" t="str">
        <f t="shared" ca="1" si="76"/>
        <v/>
      </c>
      <c r="AO176" s="176" t="str">
        <f t="shared" ca="1" si="77"/>
        <v/>
      </c>
      <c r="AP176" s="176" t="str">
        <f t="shared" ca="1" si="78"/>
        <v/>
      </c>
      <c r="AU176" s="176" t="str">
        <f t="shared" ca="1" si="79"/>
        <v/>
      </c>
    </row>
    <row r="177" spans="1:47" ht="22.2" customHeight="1">
      <c r="A177" s="107">
        <f t="shared" si="86"/>
        <v>79</v>
      </c>
      <c r="B177" s="106" t="str">
        <f t="shared" ca="1" si="84"/>
        <v/>
      </c>
      <c r="C177" s="106" t="str">
        <f>IF(OR(クライアント抽出!D37&lt;&gt;"",クライアント抽出!G37&lt;&gt;""),クライアント抽出!A37,"")</f>
        <v/>
      </c>
      <c r="D177" s="106" t="str">
        <f t="array" aca="1" ref="D177" ca="1">IF(C177&lt;&gt;"",INDIRECT("クライアント抽出!"&amp;E177&amp;MATCH(C177,クライアント抽出!A:A,0)&amp;""),"")</f>
        <v/>
      </c>
      <c r="E177" s="106" t="str">
        <f>IF(H177&lt;&gt;0,
IFERROR(
SUBSTITUTE(ADDRESS(1,
MATCH(VALUE(H177),クライアント抽出!A37:G37,0)+8,4),"1",""),
""),
IFERROR(
SUBSTITUTE(ADDRESS(1,
MATCH(VALUE(I177),クライアント抽出!A37:G37,0)+8,4),"1",""),
""))</f>
        <v/>
      </c>
      <c r="F177" s="187" t="str">
        <f ca="1">IF(D177&lt;&gt;"",
IF(COUNTIF(C177,"*雙葉*"),
IF(ROUND((H177-M177)
/IF(COUNTIF(D177,"*キャラ*"),
VLOOKUP("*キャラ*",商品マスタ!$D:$E,2,FALSE),
IF(COUNTIF(D177,"*赤*"),
VLOOKUP("*赤*",商品マスタ!$D:$E,2,FALSE),
VLOOKUP("*"&amp;D177&amp;"*",商品マスタ!$D:$E,2,FALSE))),0)&lt;=0,1,
ROUND((H177-M177)
/IF(COUNTIF(D177,"*キャラ*"),
VLOOKUP("*キャラ*",商品マスタ!$D:$E,2,FALSE),
IF(COUNTIF(D177,"*赤*"),
VLOOKUP("*赤*",商品マスタ!$D:$E,2,FALSE),
VLOOKUP("*"&amp;D177&amp;"*",商品マスタ!$D:$E,2,FALSE))),0)),
IF(OR(COUNTIF(D177,"*キャラ*"),COUNTIF(D177,"*赤*")),"",
IF(VLOOKUP("*"&amp;D177&amp;"*",商品マスタ!$D:$E,2,FALSE)=0,"",
IF(ROUND((H177-M177)
/VLOOKUP("*"&amp;D177&amp;"*",商品マスタ!$D:$E,2,FALSE),0)&lt;=0,1,
ROUND((H177-M177)
/VLOOKUP("*"&amp;D177&amp;"*",商品マスタ!$D:$E,2,FALSE),0))))),"")</f>
        <v/>
      </c>
      <c r="G177" s="106" t="str">
        <f ca="1">IF(F177&lt;&gt;"",
IF(VALUE(H177-M177)&gt;VALUE(IF(COUNTIF(D177,"*キャラ*"),
VLOOKUP("*キャラ*",商品マスタ!$D:$E,2,FALSE),
IF(COUNTIF(D177,"*赤*"),
VLOOKUP("*赤*",商品マスタ!$D:$E,2,FALSE),
VLOOKUP("*"&amp;D177&amp;"*",商品マスタ!$D:$E,2,FALSE)))*F177),
"+"&amp;(H177-M177)-IF(COUNTIF(D177,"*キャラ*"),
VLOOKUP("*キャラ*",商品マスタ!$D:$E,2,FALSE),
IF(COUNTIF(D177,"*赤*"),
VLOOKUP("*赤*",商品マスタ!$D:$E,2,FALSE),
VLOOKUP("*"&amp;D177&amp;"*",商品マスタ!$D:$E,2,FALSE)))*F177,
(H177-M177)-IF(COUNTIF(D177,"*キャラ*"),
VLOOKUP("*キャラ*",商品マスタ!$D:$E,2,FALSE),
IF(COUNTIF(D177,"*赤*"),
VLOOKUP("*赤*",商品マスタ!$D:$E,2,FALSE),
VLOOKUP("*"&amp;D177&amp;"*",商品マスタ!$D:$E,2,FALSE)))*F177),"")</f>
        <v/>
      </c>
      <c r="H177" s="108" t="str">
        <f>IF(C177&lt;&gt;"",
クライアント抽出!D37,"")</f>
        <v/>
      </c>
      <c r="I177" s="106" t="str">
        <f>IF(C177&lt;&gt;"",
IF(O177=1,0,クライアント抽出!F37),"")</f>
        <v/>
      </c>
      <c r="J177" s="106" t="str">
        <f>IF(C177&lt;&gt;"",
VLOOKUP(
"*"&amp;LEFT(IF(COUNTIF(D177,"*学食*"),"キャラ弁（学食）",
IF(COUNTIF(D177,"*赤*"),"赤",
IF(COUNTIF(D177,"*キャラ弁当*"),"キャラ弁当",D177))),4)&amp;"*",注文弁当の抽出!$F$1:$G$15,2,FALSE),"")</f>
        <v/>
      </c>
      <c r="K177" s="106" t="str">
        <f ca="1">IF(クライアント抽出!R37&lt;&gt;"",SUBSTITUTE(ADDRESS(1,(CODE(クライアント抽出!R37)-64)*2-1,4),"1",""),"")</f>
        <v/>
      </c>
      <c r="L177" s="106" t="str">
        <f>IF(C37&lt;&gt;"",クライアント抽出!I37,"")</f>
        <v/>
      </c>
      <c r="M177" s="106">
        <f t="array" aca="1" ref="M177" ca="1">IF(C177&lt;&gt;"",
IF(K177&lt;&gt;"",INDIRECT("'数出表_Excel（アレルギー入力）'!"&amp;K177&amp;L177-1&amp;""),),)</f>
        <v>0</v>
      </c>
      <c r="N177" s="106" t="str">
        <f>IF(C177&lt;&gt;"",IF(OR(COUNTIF('盛付札（関数）'!D177,"*赤*"),COUNTIF('盛付札（関数）'!D177,"*キャラ*")),1,
VALUE(VLOOKUP("*"&amp;D177&amp;"*",商品マスタ!D:H,5,FALSE))),"")</f>
        <v/>
      </c>
      <c r="O177" s="106">
        <f t="shared" ca="1" si="85"/>
        <v>0</v>
      </c>
      <c r="P177" s="106">
        <f t="shared" si="61"/>
        <v>0</v>
      </c>
      <c r="Q177" s="106" t="b">
        <f t="shared" si="62"/>
        <v>0</v>
      </c>
      <c r="R177" s="176" t="str">
        <f t="array" aca="1" ref="R177" ca="1">IFERROR(SMALL(IF(P$1:P$311&lt;&gt;0,P$1:P$311),ROW(A177)),"")</f>
        <v/>
      </c>
      <c r="S177" s="176" t="str">
        <f t="array" aca="1" ref="S177" ca="1">IF($R177&lt;&gt;"",
SUBSTITUTE(SUBSTITUTE(INDIRECT("C"&amp;$R177&amp;"")," 週3ｺｰｽ","")," 週5ｺｰｽ",""),"")</f>
        <v/>
      </c>
      <c r="T177" s="176" t="str">
        <f t="array" aca="1" ref="T177" ca="1">IF(IF($R177&lt;&gt;"",
INDIRECT(""&amp;IF(COLUMN(D177)&lt;=26,CHAR(COLUMN(D177)+64),CHAR(INT((COLUMN(D177)-1)/26)+64)&amp;CHAR(MOD(COLUMN(D177)-1,26)+65))&amp;$R177&amp;""),"")=0,"",
IF($R177&lt;&gt;"",
INDIRECT(""&amp;IF(COLUMN(D177)&lt;=26,CHAR(COLUMN(D177)+64),CHAR(INT((COLUMN(D177)-1)/26)+64)&amp;CHAR(MOD(COLUMN(D177)-1,26)+65))&amp;$R177&amp;""),""))</f>
        <v/>
      </c>
      <c r="U177" s="218" t="str">
        <f t="array" aca="1" ref="U177" ca="1">IF($R177&lt;&gt;"",
INDIRECT("F"&amp;$R177&amp;""),"")</f>
        <v/>
      </c>
      <c r="V177" s="219" t="str">
        <f t="array" aca="1" ref="V177" ca="1">IF($R177&lt;&gt;"",
INDIRECT("G"&amp;$R177&amp;""),"")</f>
        <v/>
      </c>
      <c r="W177" s="219" t="str" cm="1">
        <f t="array" aca="1" ref="W177" ca="1">IF($R177&lt;&gt;"",
IF(AND(COUNTIF(INDIRECT("B"&amp;R177&amp;""),"*雙葉*"),COUNTIF($B$71:$B$210,"*雙葉*")&gt;=1),
IF(OR(COUNTIF(INDIRECT("B"&amp;R177&amp;""),"*雙葉先生*"),COUNTIF(INDIRECT("B"&amp;R177-1&amp;""),"*雙葉*")),INDIRECT("H"&amp;R177&amp;""),INDIRECT("H"&amp;R177&amp;"")+INDIRECT("H"&amp;MATCH("雙葉'",INDIRECT("B"&amp;R177+3&amp;":B210"),0)+2+R177&amp;"")),
IF(AND(LEFT(INDIRECT("B"&amp;R177&amp;""),2)="博多",COUNTIF(B:B,"*博多*")&gt;=2),
INDIRECT("H"&amp;R177&amp;"")+IFERROR(INDIRECT("H"&amp;MATCH("*"&amp;INDIRECT("B"&amp;R177&amp;"")&amp;"*",INDIRECT("B"&amp;R177+1&amp;":B210"),0)+R177&amp;""),0),
IF(AND(LEFT(INDIRECT("B"&amp;R177&amp;""),3)="奈良屋",COUNTIF(B:B,"*奈良屋*")&gt;=2),
INDIRECT("H"&amp;R177&amp;"")
+INDIRECT("H"&amp;MATCH("*"&amp;INDIRECT("B"&amp;R177&amp;"")&amp;"*",INDIRECT("B"&amp;R177+1&amp;":B210"),0)+R177&amp;"")
+INDIRECT("H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
+INDIRECT("H"&amp;MATCH("*"&amp;INDIRECT("B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&amp;"*",INDIRECT("B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+1&amp;":B210"),0)+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,
INDIRECT("H"&amp;R177&amp;"")))),"")</f>
        <v/>
      </c>
      <c r="X177" s="176" t="str">
        <f t="array" aca="1" ref="X177" ca="1">IF($R177&lt;&gt;"",
INDIRECT(""&amp;IF(COLUMN(I177)&lt;=26,CHAR(COLUMN(I177)+64),CHAR(INT((COLUMN(I177)-1)/26)+64)&amp;CHAR(MOD(COLUMN(I177)-1,26)+65))&amp;$R177&amp;""),"")</f>
        <v/>
      </c>
      <c r="Y177" s="176" t="str">
        <f t="array" aca="1" ref="Y177" ca="1">IF($R177&lt;&gt;"",
INDIRECT(""&amp;IF(COLUMN(J177)&lt;=26,CHAR(COLUMN(J177)+64),CHAR(INT((COLUMN(J177)-1)/26)+64)&amp;CHAR(MOD(COLUMN(J177)-1,26)+65))&amp;$R177&amp;""),"")</f>
        <v/>
      </c>
      <c r="Z177" s="176" t="str">
        <f t="shared" ca="1" si="63"/>
        <v/>
      </c>
      <c r="AA177" s="176" t="str">
        <f t="shared" ca="1" si="64"/>
        <v/>
      </c>
      <c r="AB177" s="176" t="str">
        <f t="array" aca="1" ref="AB177" ca="1">IF($R177&lt;&gt;"",
IF(AND(COUNTIF(INDIRECT("B"&amp;R177&amp;""),"*雙葉*"),COUNTIF(INDIRECT("B"&amp;R177&amp;""),"&lt;&gt;*先生*"),COUNTIF(B:B,"*雙葉*")&gt;=2),
INDIRECT("M"&amp;R177&amp;"")+INDIRECT("M"&amp;MATCH("雙葉'",INDIRECT("B"&amp;R177+1&amp;":B210"),0)+R177&amp;""),
IF(AND(LEFT(INDIRECT("B"&amp;R177&amp;""),2)="博多",COUNTIF(B:B,"*博多*")&gt;=2),
INDIRECT("M"&amp;R177&amp;"")+INDIRECT("M"&amp;MATCH("*"&amp;INDIRECT("B"&amp;R177&amp;"")&amp;"*",INDIRECT("B"&amp;R177+1&amp;":B210"),0)+R177&amp;""),
IF(AND(LEFT(INDIRECT("B"&amp;R177&amp;""),3)="奈良屋",COUNTIF(B:B,"*奈良屋*")&gt;=2),
INDIRECT("M"&amp;R177&amp;"")+INDIRECT("M"&amp;MATCH("*"&amp;INDIRECT("B"&amp;R177&amp;"")&amp;"*",INDIRECT("B"&amp;R177+1&amp;":B210"),0)+R177&amp;"")
+INDIRECT("M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,
INDIRECT("M"&amp;R177&amp;"")))),"")</f>
        <v/>
      </c>
      <c r="AC177" s="176" t="str">
        <f t="shared" ca="1" si="65"/>
        <v/>
      </c>
      <c r="AD177" s="176" t="str">
        <f t="shared" ca="1" si="66"/>
        <v/>
      </c>
      <c r="AE177" s="176" t="str">
        <f t="shared" ca="1" si="67"/>
        <v/>
      </c>
      <c r="AF177" s="176" t="str">
        <f t="shared" ca="1" si="68"/>
        <v/>
      </c>
      <c r="AG177" s="176" t="str">
        <f t="shared" ca="1" si="69"/>
        <v/>
      </c>
      <c r="AH177" s="183" t="str">
        <f t="shared" ca="1" si="70"/>
        <v/>
      </c>
      <c r="AI177" s="176" t="str">
        <f t="shared" ca="1" si="71"/>
        <v/>
      </c>
      <c r="AJ177" s="176" t="str">
        <f t="shared" ca="1" si="72"/>
        <v/>
      </c>
      <c r="AK177" s="176" t="str">
        <f t="shared" ca="1" si="73"/>
        <v/>
      </c>
      <c r="AL177" s="176" t="str">
        <f t="shared" ca="1" si="74"/>
        <v/>
      </c>
      <c r="AM177" s="176" t="str">
        <f t="shared" ca="1" si="75"/>
        <v/>
      </c>
      <c r="AN177" s="176" t="str">
        <f t="shared" ca="1" si="76"/>
        <v/>
      </c>
      <c r="AO177" s="176" t="str">
        <f t="shared" ca="1" si="77"/>
        <v/>
      </c>
      <c r="AP177" s="176" t="str">
        <f t="shared" ca="1" si="78"/>
        <v/>
      </c>
      <c r="AU177" s="176" t="str">
        <f t="shared" ca="1" si="79"/>
        <v/>
      </c>
    </row>
    <row r="178" spans="1:47" ht="22.2" customHeight="1">
      <c r="A178" s="107">
        <f t="shared" si="86"/>
        <v>81</v>
      </c>
      <c r="B178" s="106" t="str">
        <f t="shared" ca="1" si="84"/>
        <v/>
      </c>
      <c r="C178" s="106" t="str">
        <f>IF(OR(クライアント抽出!D38&lt;&gt;"",クライアント抽出!G38&lt;&gt;""),クライアント抽出!A38,"")</f>
        <v/>
      </c>
      <c r="D178" s="106" t="str">
        <f t="array" aca="1" ref="D178" ca="1">IF(C178&lt;&gt;"",INDIRECT("クライアント抽出!"&amp;E178&amp;MATCH(C178,クライアント抽出!A:A,0)&amp;""),"")</f>
        <v/>
      </c>
      <c r="E178" s="106" t="str">
        <f>IF(H178&lt;&gt;0,
IFERROR(
SUBSTITUTE(ADDRESS(1,
MATCH(VALUE(H178),クライアント抽出!A38:G38,0)+8,4),"1",""),
""),
IFERROR(
SUBSTITUTE(ADDRESS(1,
MATCH(VALUE(I178),クライアント抽出!A38:G38,0)+8,4),"1",""),
""))</f>
        <v/>
      </c>
      <c r="F178" s="187" t="str">
        <f ca="1">IF(D178&lt;&gt;"",
IF(COUNTIF(C178,"*雙葉*"),
IF(ROUND((H178-M178)
/IF(COUNTIF(D178,"*キャラ*"),
VLOOKUP("*キャラ*",商品マスタ!$D:$E,2,FALSE),
IF(COUNTIF(D178,"*赤*"),
VLOOKUP("*赤*",商品マスタ!$D:$E,2,FALSE),
VLOOKUP("*"&amp;D178&amp;"*",商品マスタ!$D:$E,2,FALSE))),0)&lt;=0,1,
ROUND((H178-M178)
/IF(COUNTIF(D178,"*キャラ*"),
VLOOKUP("*キャラ*",商品マスタ!$D:$E,2,FALSE),
IF(COUNTIF(D178,"*赤*"),
VLOOKUP("*赤*",商品マスタ!$D:$E,2,FALSE),
VLOOKUP("*"&amp;D178&amp;"*",商品マスタ!$D:$E,2,FALSE))),0)),
IF(OR(COUNTIF(D178,"*キャラ*"),COUNTIF(D178,"*赤*")),"",
IF(VLOOKUP("*"&amp;D178&amp;"*",商品マスタ!$D:$E,2,FALSE)=0,"",
IF(ROUND((H178-M178)
/VLOOKUP("*"&amp;D178&amp;"*",商品マスタ!$D:$E,2,FALSE),0)&lt;=0,1,
ROUND((H178-M178)
/VLOOKUP("*"&amp;D178&amp;"*",商品マスタ!$D:$E,2,FALSE),0))))),"")</f>
        <v/>
      </c>
      <c r="G178" s="106" t="str">
        <f ca="1">IF(F178&lt;&gt;"",
IF(VALUE(H178-M178)&gt;VALUE(IF(COUNTIF(D178,"*キャラ*"),
VLOOKUP("*キャラ*",商品マスタ!$D:$E,2,FALSE),
IF(COUNTIF(D178,"*赤*"),
VLOOKUP("*赤*",商品マスタ!$D:$E,2,FALSE),
VLOOKUP("*"&amp;D178&amp;"*",商品マスタ!$D:$E,2,FALSE)))*F178),
"+"&amp;(H178-M178)-IF(COUNTIF(D178,"*キャラ*"),
VLOOKUP("*キャラ*",商品マスタ!$D:$E,2,FALSE),
IF(COUNTIF(D178,"*赤*"),
VLOOKUP("*赤*",商品マスタ!$D:$E,2,FALSE),
VLOOKUP("*"&amp;D178&amp;"*",商品マスタ!$D:$E,2,FALSE)))*F178,
(H178-M178)-IF(COUNTIF(D178,"*キャラ*"),
VLOOKUP("*キャラ*",商品マスタ!$D:$E,2,FALSE),
IF(COUNTIF(D178,"*赤*"),
VLOOKUP("*赤*",商品マスタ!$D:$E,2,FALSE),
VLOOKUP("*"&amp;D178&amp;"*",商品マスタ!$D:$E,2,FALSE)))*F178),"")</f>
        <v/>
      </c>
      <c r="H178" s="108" t="str">
        <f>IF(C178&lt;&gt;"",
クライアント抽出!D38,"")</f>
        <v/>
      </c>
      <c r="I178" s="106" t="str">
        <f>IF(C178&lt;&gt;"",
IF(O178=1,0,クライアント抽出!F38),"")</f>
        <v/>
      </c>
      <c r="J178" s="106" t="str">
        <f>IF(C178&lt;&gt;"",
VLOOKUP(
"*"&amp;LEFT(IF(COUNTIF(D178,"*学食*"),"キャラ弁（学食）",
IF(COUNTIF(D178,"*赤*"),"赤",
IF(COUNTIF(D178,"*キャラ弁当*"),"キャラ弁当",D178))),4)&amp;"*",注文弁当の抽出!$F$1:$G$15,2,FALSE),"")</f>
        <v/>
      </c>
      <c r="K178" s="106" t="str">
        <f ca="1">IF(クライアント抽出!R38&lt;&gt;"",SUBSTITUTE(ADDRESS(1,(CODE(クライアント抽出!R38)-64)*2-1,4),"1",""),"")</f>
        <v/>
      </c>
      <c r="L178" s="106" t="str">
        <f>IF(C38&lt;&gt;"",クライアント抽出!I38,"")</f>
        <v/>
      </c>
      <c r="M178" s="106">
        <f t="array" aca="1" ref="M178" ca="1">IF(C178&lt;&gt;"",
IF(K178&lt;&gt;"",INDIRECT("'数出表_Excel（アレルギー入力）'!"&amp;K178&amp;L178-1&amp;""),),)</f>
        <v>0</v>
      </c>
      <c r="N178" s="106" t="str">
        <f>IF(C178&lt;&gt;"",IF(OR(COUNTIF('盛付札（関数）'!D178,"*赤*"),COUNTIF('盛付札（関数）'!D178,"*キャラ*")),1,
VALUE(VLOOKUP("*"&amp;D178&amp;"*",商品マスタ!D:H,5,FALSE))),"")</f>
        <v/>
      </c>
      <c r="O178" s="106">
        <f t="shared" ca="1" si="85"/>
        <v>0</v>
      </c>
      <c r="P178" s="106">
        <f t="shared" si="61"/>
        <v>0</v>
      </c>
      <c r="Q178" s="106" t="b">
        <f t="shared" si="62"/>
        <v>0</v>
      </c>
      <c r="R178" s="176" t="str">
        <f t="array" aca="1" ref="R178" ca="1">IFERROR(SMALL(IF(P$1:P$311&lt;&gt;0,P$1:P$311),ROW(A178)),"")</f>
        <v/>
      </c>
      <c r="S178" s="176" t="str">
        <f t="array" aca="1" ref="S178" ca="1">IF($R178&lt;&gt;"",
SUBSTITUTE(SUBSTITUTE(INDIRECT("C"&amp;$R178&amp;"")," 週3ｺｰｽ","")," 週5ｺｰｽ",""),"")</f>
        <v/>
      </c>
      <c r="T178" s="176" t="str">
        <f t="array" aca="1" ref="T178" ca="1">IF(IF($R178&lt;&gt;"",
INDIRECT(""&amp;IF(COLUMN(D178)&lt;=26,CHAR(COLUMN(D178)+64),CHAR(INT((COLUMN(D178)-1)/26)+64)&amp;CHAR(MOD(COLUMN(D178)-1,26)+65))&amp;$R178&amp;""),"")=0,"",
IF($R178&lt;&gt;"",
INDIRECT(""&amp;IF(COLUMN(D178)&lt;=26,CHAR(COLUMN(D178)+64),CHAR(INT((COLUMN(D178)-1)/26)+64)&amp;CHAR(MOD(COLUMN(D178)-1,26)+65))&amp;$R178&amp;""),""))</f>
        <v/>
      </c>
      <c r="U178" s="218" t="str">
        <f t="array" aca="1" ref="U178" ca="1">IF($R178&lt;&gt;"",
INDIRECT("F"&amp;$R178&amp;""),"")</f>
        <v/>
      </c>
      <c r="V178" s="219" t="str">
        <f t="array" aca="1" ref="V178" ca="1">IF($R178&lt;&gt;"",
INDIRECT("G"&amp;$R178&amp;""),"")</f>
        <v/>
      </c>
      <c r="W178" s="219" t="str" cm="1">
        <f t="array" aca="1" ref="W178" ca="1">IF($R178&lt;&gt;"",
IF(AND(COUNTIF(INDIRECT("B"&amp;R178&amp;""),"*雙葉*"),COUNTIF($B$71:$B$210,"*雙葉*")&gt;=1),
IF(OR(COUNTIF(INDIRECT("B"&amp;R178&amp;""),"*雙葉先生*"),COUNTIF(INDIRECT("B"&amp;R178-1&amp;""),"*雙葉*")),INDIRECT("H"&amp;R178&amp;""),INDIRECT("H"&amp;R178&amp;"")+INDIRECT("H"&amp;MATCH("雙葉'",INDIRECT("B"&amp;R178+3&amp;":B210"),0)+2+R178&amp;"")),
IF(AND(LEFT(INDIRECT("B"&amp;R178&amp;""),2)="博多",COUNTIF(B:B,"*博多*")&gt;=2),
INDIRECT("H"&amp;R178&amp;"")+IFERROR(INDIRECT("H"&amp;MATCH("*"&amp;INDIRECT("B"&amp;R178&amp;"")&amp;"*",INDIRECT("B"&amp;R178+1&amp;":B210"),0)+R178&amp;""),0),
IF(AND(LEFT(INDIRECT("B"&amp;R178&amp;""),3)="奈良屋",COUNTIF(B:B,"*奈良屋*")&gt;=2),
INDIRECT("H"&amp;R178&amp;"")
+INDIRECT("H"&amp;MATCH("*"&amp;INDIRECT("B"&amp;R178&amp;"")&amp;"*",INDIRECT("B"&amp;R178+1&amp;":B210"),0)+R178&amp;"")
+INDIRECT("H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
+INDIRECT("H"&amp;MATCH("*"&amp;INDIRECT("B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&amp;"*",INDIRECT("B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+1&amp;":B210"),0)+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,
INDIRECT("H"&amp;R178&amp;"")))),"")</f>
        <v/>
      </c>
      <c r="X178" s="176" t="str">
        <f t="array" aca="1" ref="X178" ca="1">IF($R178&lt;&gt;"",
INDIRECT(""&amp;IF(COLUMN(I178)&lt;=26,CHAR(COLUMN(I178)+64),CHAR(INT((COLUMN(I178)-1)/26)+64)&amp;CHAR(MOD(COLUMN(I178)-1,26)+65))&amp;$R178&amp;""),"")</f>
        <v/>
      </c>
      <c r="Y178" s="176" t="str">
        <f t="array" aca="1" ref="Y178" ca="1">IF($R178&lt;&gt;"",
INDIRECT(""&amp;IF(COLUMN(J178)&lt;=26,CHAR(COLUMN(J178)+64),CHAR(INT((COLUMN(J178)-1)/26)+64)&amp;CHAR(MOD(COLUMN(J178)-1,26)+65))&amp;$R178&amp;""),"")</f>
        <v/>
      </c>
      <c r="Z178" s="176" t="str">
        <f t="shared" ca="1" si="63"/>
        <v/>
      </c>
      <c r="AA178" s="176" t="str">
        <f t="shared" ca="1" si="64"/>
        <v/>
      </c>
      <c r="AB178" s="176" t="str">
        <f t="array" aca="1" ref="AB178" ca="1">IF($R178&lt;&gt;"",
IF(AND(COUNTIF(INDIRECT("B"&amp;R178&amp;""),"*雙葉*"),COUNTIF(INDIRECT("B"&amp;R178&amp;""),"&lt;&gt;*先生*"),COUNTIF(B:B,"*雙葉*")&gt;=2),
INDIRECT("M"&amp;R178&amp;"")+INDIRECT("M"&amp;MATCH("雙葉'",INDIRECT("B"&amp;R178+1&amp;":B210"),0)+R178&amp;""),
IF(AND(LEFT(INDIRECT("B"&amp;R178&amp;""),2)="博多",COUNTIF(B:B,"*博多*")&gt;=2),
INDIRECT("M"&amp;R178&amp;"")+INDIRECT("M"&amp;MATCH("*"&amp;INDIRECT("B"&amp;R178&amp;"")&amp;"*",INDIRECT("B"&amp;R178+1&amp;":B210"),0)+R178&amp;""),
IF(AND(LEFT(INDIRECT("B"&amp;R178&amp;""),3)="奈良屋",COUNTIF(B:B,"*奈良屋*")&gt;=2),
INDIRECT("M"&amp;R178&amp;"")+INDIRECT("M"&amp;MATCH("*"&amp;INDIRECT("B"&amp;R178&amp;"")&amp;"*",INDIRECT("B"&amp;R178+1&amp;":B210"),0)+R178&amp;"")
+INDIRECT("M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,
INDIRECT("M"&amp;R178&amp;"")))),"")</f>
        <v/>
      </c>
      <c r="AC178" s="176" t="str">
        <f t="shared" ca="1" si="65"/>
        <v/>
      </c>
      <c r="AD178" s="176" t="str">
        <f t="shared" ca="1" si="66"/>
        <v/>
      </c>
      <c r="AE178" s="176" t="str">
        <f t="shared" ca="1" si="67"/>
        <v/>
      </c>
      <c r="AF178" s="176" t="str">
        <f t="shared" ca="1" si="68"/>
        <v/>
      </c>
      <c r="AG178" s="176" t="str">
        <f t="shared" ca="1" si="69"/>
        <v/>
      </c>
      <c r="AH178" s="183" t="str">
        <f t="shared" ca="1" si="70"/>
        <v/>
      </c>
      <c r="AI178" s="176" t="str">
        <f t="shared" ca="1" si="71"/>
        <v/>
      </c>
      <c r="AJ178" s="176" t="str">
        <f t="shared" ca="1" si="72"/>
        <v/>
      </c>
      <c r="AK178" s="176" t="str">
        <f t="shared" ca="1" si="73"/>
        <v/>
      </c>
      <c r="AL178" s="176" t="str">
        <f t="shared" ca="1" si="74"/>
        <v/>
      </c>
      <c r="AM178" s="176" t="str">
        <f t="shared" ca="1" si="75"/>
        <v/>
      </c>
      <c r="AN178" s="176" t="str">
        <f t="shared" ca="1" si="76"/>
        <v/>
      </c>
      <c r="AO178" s="176" t="str">
        <f t="shared" ca="1" si="77"/>
        <v/>
      </c>
      <c r="AP178" s="176" t="str">
        <f t="shared" ca="1" si="78"/>
        <v/>
      </c>
      <c r="AU178" s="176" t="str">
        <f t="shared" ca="1" si="79"/>
        <v/>
      </c>
    </row>
    <row r="179" spans="1:47" ht="22.2" customHeight="1">
      <c r="A179" s="107">
        <f t="shared" si="86"/>
        <v>83</v>
      </c>
      <c r="B179" s="106" t="str">
        <f t="shared" ca="1" si="84"/>
        <v/>
      </c>
      <c r="C179" s="106" t="str">
        <f>IF(OR(クライアント抽出!D39&lt;&gt;"",クライアント抽出!G39&lt;&gt;""),クライアント抽出!A39,"")</f>
        <v/>
      </c>
      <c r="D179" s="106" t="str">
        <f t="array" aca="1" ref="D179" ca="1">IF(C179&lt;&gt;"",INDIRECT("クライアント抽出!"&amp;E179&amp;MATCH(C179,クライアント抽出!A:A,0)&amp;""),"")</f>
        <v/>
      </c>
      <c r="E179" s="106" t="str">
        <f>IF(H179&lt;&gt;0,
IFERROR(
SUBSTITUTE(ADDRESS(1,
MATCH(VALUE(H179),クライアント抽出!A39:G39,0)+8,4),"1",""),
""),
IFERROR(
SUBSTITUTE(ADDRESS(1,
MATCH(VALUE(I179),クライアント抽出!A39:G39,0)+8,4),"1",""),
""))</f>
        <v/>
      </c>
      <c r="F179" s="187" t="str">
        <f ca="1">IF(D179&lt;&gt;"",
IF(COUNTIF(C179,"*雙葉*"),
IF(ROUND((H179-M179)
/IF(COUNTIF(D179,"*キャラ*"),
VLOOKUP("*キャラ*",商品マスタ!$D:$E,2,FALSE),
IF(COUNTIF(D179,"*赤*"),
VLOOKUP("*赤*",商品マスタ!$D:$E,2,FALSE),
VLOOKUP("*"&amp;D179&amp;"*",商品マスタ!$D:$E,2,FALSE))),0)&lt;=0,1,
ROUND((H179-M179)
/IF(COUNTIF(D179,"*キャラ*"),
VLOOKUP("*キャラ*",商品マスタ!$D:$E,2,FALSE),
IF(COUNTIF(D179,"*赤*"),
VLOOKUP("*赤*",商品マスタ!$D:$E,2,FALSE),
VLOOKUP("*"&amp;D179&amp;"*",商品マスタ!$D:$E,2,FALSE))),0)),
IF(OR(COUNTIF(D179,"*キャラ*"),COUNTIF(D179,"*赤*")),"",
IF(VLOOKUP("*"&amp;D179&amp;"*",商品マスタ!$D:$E,2,FALSE)=0,"",
IF(ROUND((H179-M179)
/VLOOKUP("*"&amp;D179&amp;"*",商品マスタ!$D:$E,2,FALSE),0)&lt;=0,1,
ROUND((H179-M179)
/VLOOKUP("*"&amp;D179&amp;"*",商品マスタ!$D:$E,2,FALSE),0))))),"")</f>
        <v/>
      </c>
      <c r="G179" s="106" t="str">
        <f ca="1">IF(F179&lt;&gt;"",
IF(VALUE(H179-M179)&gt;VALUE(IF(COUNTIF(D179,"*キャラ*"),
VLOOKUP("*キャラ*",商品マスタ!$D:$E,2,FALSE),
IF(COUNTIF(D179,"*赤*"),
VLOOKUP("*赤*",商品マスタ!$D:$E,2,FALSE),
VLOOKUP("*"&amp;D179&amp;"*",商品マスタ!$D:$E,2,FALSE)))*F179),
"+"&amp;(H179-M179)-IF(COUNTIF(D179,"*キャラ*"),
VLOOKUP("*キャラ*",商品マスタ!$D:$E,2,FALSE),
IF(COUNTIF(D179,"*赤*"),
VLOOKUP("*赤*",商品マスタ!$D:$E,2,FALSE),
VLOOKUP("*"&amp;D179&amp;"*",商品マスタ!$D:$E,2,FALSE)))*F179,
(H179-M179)-IF(COUNTIF(D179,"*キャラ*"),
VLOOKUP("*キャラ*",商品マスタ!$D:$E,2,FALSE),
IF(COUNTIF(D179,"*赤*"),
VLOOKUP("*赤*",商品マスタ!$D:$E,2,FALSE),
VLOOKUP("*"&amp;D179&amp;"*",商品マスタ!$D:$E,2,FALSE)))*F179),"")</f>
        <v/>
      </c>
      <c r="H179" s="108" t="str">
        <f>IF(C179&lt;&gt;"",
クライアント抽出!D39,"")</f>
        <v/>
      </c>
      <c r="I179" s="106" t="str">
        <f>IF(C179&lt;&gt;"",
IF(O179=1,0,クライアント抽出!F39),"")</f>
        <v/>
      </c>
      <c r="J179" s="106" t="str">
        <f>IF(C179&lt;&gt;"",
VLOOKUP(
"*"&amp;LEFT(IF(COUNTIF(D179,"*学食*"),"キャラ弁（学食）",
IF(COUNTIF(D179,"*赤*"),"赤",
IF(COUNTIF(D179,"*キャラ弁当*"),"キャラ弁当",D179))),4)&amp;"*",注文弁当の抽出!$F$1:$G$15,2,FALSE),"")</f>
        <v/>
      </c>
      <c r="K179" s="106" t="str">
        <f ca="1">IF(クライアント抽出!R39&lt;&gt;"",SUBSTITUTE(ADDRESS(1,(CODE(クライアント抽出!R39)-64)*2-1,4),"1",""),"")</f>
        <v/>
      </c>
      <c r="L179" s="106" t="str">
        <f>IF(C39&lt;&gt;"",クライアント抽出!I39,"")</f>
        <v/>
      </c>
      <c r="M179" s="106">
        <f t="array" aca="1" ref="M179" ca="1">IF(C179&lt;&gt;"",
IF(K179&lt;&gt;"",INDIRECT("'数出表_Excel（アレルギー入力）'!"&amp;K179&amp;L179-1&amp;""),),)</f>
        <v>0</v>
      </c>
      <c r="N179" s="106" t="str">
        <f>IF(C179&lt;&gt;"",IF(OR(COUNTIF('盛付札（関数）'!D179,"*赤*"),COUNTIF('盛付札（関数）'!D179,"*キャラ*")),1,
VALUE(VLOOKUP("*"&amp;D179&amp;"*",商品マスタ!D:H,5,FALSE))),"")</f>
        <v/>
      </c>
      <c r="O179" s="106">
        <f t="shared" ca="1" si="85"/>
        <v>0</v>
      </c>
      <c r="P179" s="106">
        <f t="shared" si="61"/>
        <v>0</v>
      </c>
      <c r="Q179" s="106" t="b">
        <f t="shared" si="62"/>
        <v>0</v>
      </c>
      <c r="R179" s="176" t="str">
        <f t="array" aca="1" ref="R179" ca="1">IFERROR(SMALL(IF(P$1:P$311&lt;&gt;0,P$1:P$311),ROW(A179)),"")</f>
        <v/>
      </c>
      <c r="S179" s="176" t="str">
        <f t="array" aca="1" ref="S179" ca="1">IF($R179&lt;&gt;"",
SUBSTITUTE(SUBSTITUTE(INDIRECT("C"&amp;$R179&amp;"")," 週3ｺｰｽ","")," 週5ｺｰｽ",""),"")</f>
        <v/>
      </c>
      <c r="T179" s="176" t="str">
        <f t="array" aca="1" ref="T179" ca="1">IF(IF($R179&lt;&gt;"",
INDIRECT(""&amp;IF(COLUMN(D179)&lt;=26,CHAR(COLUMN(D179)+64),CHAR(INT((COLUMN(D179)-1)/26)+64)&amp;CHAR(MOD(COLUMN(D179)-1,26)+65))&amp;$R179&amp;""),"")=0,"",
IF($R179&lt;&gt;"",
INDIRECT(""&amp;IF(COLUMN(D179)&lt;=26,CHAR(COLUMN(D179)+64),CHAR(INT((COLUMN(D179)-1)/26)+64)&amp;CHAR(MOD(COLUMN(D179)-1,26)+65))&amp;$R179&amp;""),""))</f>
        <v/>
      </c>
      <c r="U179" s="218" t="str">
        <f t="array" aca="1" ref="U179" ca="1">IF($R179&lt;&gt;"",
INDIRECT("F"&amp;$R179&amp;""),"")</f>
        <v/>
      </c>
      <c r="V179" s="219" t="str">
        <f t="array" aca="1" ref="V179" ca="1">IF($R179&lt;&gt;"",
INDIRECT("G"&amp;$R179&amp;""),"")</f>
        <v/>
      </c>
      <c r="W179" s="219" t="str" cm="1">
        <f t="array" aca="1" ref="W179" ca="1">IF($R179&lt;&gt;"",
IF(AND(COUNTIF(INDIRECT("B"&amp;R179&amp;""),"*雙葉*"),COUNTIF($B$71:$B$210,"*雙葉*")&gt;=1),
IF(OR(COUNTIF(INDIRECT("B"&amp;R179&amp;""),"*雙葉先生*"),COUNTIF(INDIRECT("B"&amp;R179-1&amp;""),"*雙葉*")),INDIRECT("H"&amp;R179&amp;""),INDIRECT("H"&amp;R179&amp;"")+INDIRECT("H"&amp;MATCH("雙葉'",INDIRECT("B"&amp;R179+3&amp;":B210"),0)+2+R179&amp;"")),
IF(AND(LEFT(INDIRECT("B"&amp;R179&amp;""),2)="博多",COUNTIF(B:B,"*博多*")&gt;=2),
INDIRECT("H"&amp;R179&amp;"")+IFERROR(INDIRECT("H"&amp;MATCH("*"&amp;INDIRECT("B"&amp;R179&amp;"")&amp;"*",INDIRECT("B"&amp;R179+1&amp;":B210"),0)+R179&amp;""),0),
IF(AND(LEFT(INDIRECT("B"&amp;R179&amp;""),3)="奈良屋",COUNTIF(B:B,"*奈良屋*")&gt;=2),
INDIRECT("H"&amp;R179&amp;"")
+INDIRECT("H"&amp;MATCH("*"&amp;INDIRECT("B"&amp;R179&amp;"")&amp;"*",INDIRECT("B"&amp;R179+1&amp;":B210"),0)+R179&amp;"")
+INDIRECT("H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
+INDIRECT("H"&amp;MATCH("*"&amp;INDIRECT("B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&amp;"*",INDIRECT("B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+1&amp;":B210"),0)+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,
INDIRECT("H"&amp;R179&amp;"")))),"")</f>
        <v/>
      </c>
      <c r="X179" s="176" t="str">
        <f t="array" aca="1" ref="X179" ca="1">IF($R179&lt;&gt;"",
INDIRECT(""&amp;IF(COLUMN(I179)&lt;=26,CHAR(COLUMN(I179)+64),CHAR(INT((COLUMN(I179)-1)/26)+64)&amp;CHAR(MOD(COLUMN(I179)-1,26)+65))&amp;$R179&amp;""),"")</f>
        <v/>
      </c>
      <c r="Y179" s="176" t="str">
        <f t="array" aca="1" ref="Y179" ca="1">IF($R179&lt;&gt;"",
INDIRECT(""&amp;IF(COLUMN(J179)&lt;=26,CHAR(COLUMN(J179)+64),CHAR(INT((COLUMN(J179)-1)/26)+64)&amp;CHAR(MOD(COLUMN(J179)-1,26)+65))&amp;$R179&amp;""),"")</f>
        <v/>
      </c>
      <c r="Z179" s="176" t="str">
        <f t="shared" ca="1" si="63"/>
        <v/>
      </c>
      <c r="AA179" s="176" t="str">
        <f t="shared" ca="1" si="64"/>
        <v/>
      </c>
      <c r="AB179" s="176" t="str">
        <f t="array" aca="1" ref="AB179" ca="1">IF($R179&lt;&gt;"",
IF(AND(COUNTIF(INDIRECT("B"&amp;R179&amp;""),"*雙葉*"),COUNTIF(INDIRECT("B"&amp;R179&amp;""),"&lt;&gt;*先生*"),COUNTIF(B:B,"*雙葉*")&gt;=2),
INDIRECT("M"&amp;R179&amp;"")+INDIRECT("M"&amp;MATCH("雙葉'",INDIRECT("B"&amp;R179+1&amp;":B210"),0)+R179&amp;""),
IF(AND(LEFT(INDIRECT("B"&amp;R179&amp;""),2)="博多",COUNTIF(B:B,"*博多*")&gt;=2),
INDIRECT("M"&amp;R179&amp;"")+INDIRECT("M"&amp;MATCH("*"&amp;INDIRECT("B"&amp;R179&amp;"")&amp;"*",INDIRECT("B"&amp;R179+1&amp;":B210"),0)+R179&amp;""),
IF(AND(LEFT(INDIRECT("B"&amp;R179&amp;""),3)="奈良屋",COUNTIF(B:B,"*奈良屋*")&gt;=2),
INDIRECT("M"&amp;R179&amp;"")+INDIRECT("M"&amp;MATCH("*"&amp;INDIRECT("B"&amp;R179&amp;"")&amp;"*",INDIRECT("B"&amp;R179+1&amp;":B210"),0)+R179&amp;"")
+INDIRECT("M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,
INDIRECT("M"&amp;R179&amp;"")))),"")</f>
        <v/>
      </c>
      <c r="AC179" s="176" t="str">
        <f t="shared" ca="1" si="65"/>
        <v/>
      </c>
      <c r="AD179" s="176" t="str">
        <f t="shared" ca="1" si="66"/>
        <v/>
      </c>
      <c r="AE179" s="176" t="str">
        <f t="shared" ca="1" si="67"/>
        <v/>
      </c>
      <c r="AF179" s="176" t="str">
        <f t="shared" ca="1" si="68"/>
        <v/>
      </c>
      <c r="AG179" s="176" t="str">
        <f t="shared" ca="1" si="69"/>
        <v/>
      </c>
      <c r="AH179" s="183" t="str">
        <f t="shared" ca="1" si="70"/>
        <v/>
      </c>
      <c r="AI179" s="176" t="str">
        <f t="shared" ca="1" si="71"/>
        <v/>
      </c>
      <c r="AJ179" s="176" t="str">
        <f t="shared" ca="1" si="72"/>
        <v/>
      </c>
      <c r="AK179" s="176" t="str">
        <f t="shared" ca="1" si="73"/>
        <v/>
      </c>
      <c r="AL179" s="176" t="str">
        <f t="shared" ca="1" si="74"/>
        <v/>
      </c>
      <c r="AM179" s="176" t="str">
        <f t="shared" ca="1" si="75"/>
        <v/>
      </c>
      <c r="AN179" s="176" t="str">
        <f t="shared" ca="1" si="76"/>
        <v/>
      </c>
      <c r="AO179" s="176" t="str">
        <f t="shared" ca="1" si="77"/>
        <v/>
      </c>
      <c r="AP179" s="176" t="str">
        <f t="shared" ca="1" si="78"/>
        <v/>
      </c>
      <c r="AU179" s="176" t="str">
        <f t="shared" ca="1" si="79"/>
        <v/>
      </c>
    </row>
    <row r="180" spans="1:47" ht="22.2" customHeight="1">
      <c r="A180" s="107">
        <f t="shared" si="86"/>
        <v>85</v>
      </c>
      <c r="B180" s="106" t="str">
        <f t="shared" ca="1" si="84"/>
        <v/>
      </c>
      <c r="C180" s="106" t="str">
        <f>IF(OR(クライアント抽出!D40&lt;&gt;"",クライアント抽出!G40&lt;&gt;""),クライアント抽出!A40,"")</f>
        <v/>
      </c>
      <c r="D180" s="106" t="str">
        <f t="array" aca="1" ref="D180" ca="1">IF(C180&lt;&gt;"",INDIRECT("クライアント抽出!"&amp;E180&amp;MATCH(C180,クライアント抽出!A:A,0)&amp;""),"")</f>
        <v/>
      </c>
      <c r="E180" s="106" t="str">
        <f>IF(H180&lt;&gt;0,
IFERROR(
SUBSTITUTE(ADDRESS(1,
MATCH(VALUE(H180),クライアント抽出!A40:G40,0)+8,4),"1",""),
""),
IFERROR(
SUBSTITUTE(ADDRESS(1,
MATCH(VALUE(I180),クライアント抽出!A40:G40,0)+8,4),"1",""),
""))</f>
        <v/>
      </c>
      <c r="F180" s="187" t="str">
        <f ca="1">IF(D180&lt;&gt;"",
IF(COUNTIF(C180,"*雙葉*"),
IF(ROUND((H180-M180)
/IF(COUNTIF(D180,"*キャラ*"),
VLOOKUP("*キャラ*",商品マスタ!$D:$E,2,FALSE),
IF(COUNTIF(D180,"*赤*"),
VLOOKUP("*赤*",商品マスタ!$D:$E,2,FALSE),
VLOOKUP("*"&amp;D180&amp;"*",商品マスタ!$D:$E,2,FALSE))),0)&lt;=0,1,
ROUND((H180-M180)
/IF(COUNTIF(D180,"*キャラ*"),
VLOOKUP("*キャラ*",商品マスタ!$D:$E,2,FALSE),
IF(COUNTIF(D180,"*赤*"),
VLOOKUP("*赤*",商品マスタ!$D:$E,2,FALSE),
VLOOKUP("*"&amp;D180&amp;"*",商品マスタ!$D:$E,2,FALSE))),0)),
IF(OR(COUNTIF(D180,"*キャラ*"),COUNTIF(D180,"*赤*")),"",
IF(VLOOKUP("*"&amp;D180&amp;"*",商品マスタ!$D:$E,2,FALSE)=0,"",
IF(ROUND((H180-M180)
/VLOOKUP("*"&amp;D180&amp;"*",商品マスタ!$D:$E,2,FALSE),0)&lt;=0,1,
ROUND((H180-M180)
/VLOOKUP("*"&amp;D180&amp;"*",商品マスタ!$D:$E,2,FALSE),0))))),"")</f>
        <v/>
      </c>
      <c r="G180" s="106" t="str">
        <f ca="1">IF(F180&lt;&gt;"",
IF(VALUE(H180-M180)&gt;VALUE(IF(COUNTIF(D180,"*キャラ*"),
VLOOKUP("*キャラ*",商品マスタ!$D:$E,2,FALSE),
IF(COUNTIF(D180,"*赤*"),
VLOOKUP("*赤*",商品マスタ!$D:$E,2,FALSE),
VLOOKUP("*"&amp;D180&amp;"*",商品マスタ!$D:$E,2,FALSE)))*F180),
"+"&amp;(H180-M180)-IF(COUNTIF(D180,"*キャラ*"),
VLOOKUP("*キャラ*",商品マスタ!$D:$E,2,FALSE),
IF(COUNTIF(D180,"*赤*"),
VLOOKUP("*赤*",商品マスタ!$D:$E,2,FALSE),
VLOOKUP("*"&amp;D180&amp;"*",商品マスタ!$D:$E,2,FALSE)))*F180,
(H180-M180)-IF(COUNTIF(D180,"*キャラ*"),
VLOOKUP("*キャラ*",商品マスタ!$D:$E,2,FALSE),
IF(COUNTIF(D180,"*赤*"),
VLOOKUP("*赤*",商品マスタ!$D:$E,2,FALSE),
VLOOKUP("*"&amp;D180&amp;"*",商品マスタ!$D:$E,2,FALSE)))*F180),"")</f>
        <v/>
      </c>
      <c r="H180" s="108" t="str">
        <f>IF(C180&lt;&gt;"",
クライアント抽出!D40,"")</f>
        <v/>
      </c>
      <c r="I180" s="106" t="str">
        <f>IF(C180&lt;&gt;"",
IF(O180=1,0,クライアント抽出!F40),"")</f>
        <v/>
      </c>
      <c r="J180" s="106" t="str">
        <f>IF(C180&lt;&gt;"",
VLOOKUP(
"*"&amp;LEFT(IF(COUNTIF(D180,"*学食*"),"キャラ弁（学食）",
IF(COUNTIF(D180,"*赤*"),"赤",
IF(COUNTIF(D180,"*キャラ弁当*"),"キャラ弁当",D180))),4)&amp;"*",注文弁当の抽出!$F$1:$G$15,2,FALSE),"")</f>
        <v/>
      </c>
      <c r="K180" s="106" t="str">
        <f ca="1">IF(クライアント抽出!R40&lt;&gt;"",SUBSTITUTE(ADDRESS(1,(CODE(クライアント抽出!R40)-64)*2-1,4),"1",""),"")</f>
        <v/>
      </c>
      <c r="L180" s="106" t="str">
        <f>IF(C40&lt;&gt;"",クライアント抽出!I40,"")</f>
        <v/>
      </c>
      <c r="M180" s="106">
        <f t="array" aca="1" ref="M180" ca="1">IF(C180&lt;&gt;"",
IF(K180&lt;&gt;"",INDIRECT("'数出表_Excel（アレルギー入力）'!"&amp;K180&amp;L180-1&amp;""),),)</f>
        <v>0</v>
      </c>
      <c r="N180" s="106" t="str">
        <f>IF(C180&lt;&gt;"",IF(OR(COUNTIF('盛付札（関数）'!D180,"*赤*"),COUNTIF('盛付札（関数）'!D180,"*キャラ*")),1,
VALUE(VLOOKUP("*"&amp;D180&amp;"*",商品マスタ!D:H,5,FALSE))),"")</f>
        <v/>
      </c>
      <c r="O180" s="106">
        <f t="shared" ca="1" si="85"/>
        <v>0</v>
      </c>
      <c r="P180" s="106">
        <f t="shared" si="61"/>
        <v>0</v>
      </c>
      <c r="Q180" s="106" t="b">
        <f t="shared" si="62"/>
        <v>0</v>
      </c>
      <c r="R180" s="176" t="str">
        <f t="array" aca="1" ref="R180" ca="1">IFERROR(SMALL(IF(P$1:P$311&lt;&gt;0,P$1:P$311),ROW(A180)),"")</f>
        <v/>
      </c>
      <c r="S180" s="176" t="str">
        <f t="array" aca="1" ref="S180" ca="1">IF($R180&lt;&gt;"",
SUBSTITUTE(SUBSTITUTE(INDIRECT("C"&amp;$R180&amp;"")," 週3ｺｰｽ","")," 週5ｺｰｽ",""),"")</f>
        <v/>
      </c>
      <c r="T180" s="176" t="str">
        <f t="array" aca="1" ref="T180" ca="1">IF(IF($R180&lt;&gt;"",
INDIRECT(""&amp;IF(COLUMN(D180)&lt;=26,CHAR(COLUMN(D180)+64),CHAR(INT((COLUMN(D180)-1)/26)+64)&amp;CHAR(MOD(COLUMN(D180)-1,26)+65))&amp;$R180&amp;""),"")=0,"",
IF($R180&lt;&gt;"",
INDIRECT(""&amp;IF(COLUMN(D180)&lt;=26,CHAR(COLUMN(D180)+64),CHAR(INT((COLUMN(D180)-1)/26)+64)&amp;CHAR(MOD(COLUMN(D180)-1,26)+65))&amp;$R180&amp;""),""))</f>
        <v/>
      </c>
      <c r="U180" s="218" t="str">
        <f t="array" aca="1" ref="U180" ca="1">IF($R180&lt;&gt;"",
INDIRECT("F"&amp;$R180&amp;""),"")</f>
        <v/>
      </c>
      <c r="V180" s="219" t="str">
        <f t="array" aca="1" ref="V180" ca="1">IF($R180&lt;&gt;"",
INDIRECT("G"&amp;$R180&amp;""),"")</f>
        <v/>
      </c>
      <c r="W180" s="219" t="str" cm="1">
        <f t="array" aca="1" ref="W180" ca="1">IF($R180&lt;&gt;"",
IF(AND(COUNTIF(INDIRECT("B"&amp;R180&amp;""),"*雙葉*"),COUNTIF($B$71:$B$210,"*雙葉*")&gt;=1),
IF(OR(COUNTIF(INDIRECT("B"&amp;R180&amp;""),"*雙葉先生*"),COUNTIF(INDIRECT("B"&amp;R180-1&amp;""),"*雙葉*")),INDIRECT("H"&amp;R180&amp;""),INDIRECT("H"&amp;R180&amp;"")+INDIRECT("H"&amp;MATCH("雙葉'",INDIRECT("B"&amp;R180+3&amp;":B210"),0)+2+R180&amp;"")),
IF(AND(LEFT(INDIRECT("B"&amp;R180&amp;""),2)="博多",COUNTIF(B:B,"*博多*")&gt;=2),
INDIRECT("H"&amp;R180&amp;"")+IFERROR(INDIRECT("H"&amp;MATCH("*"&amp;INDIRECT("B"&amp;R180&amp;"")&amp;"*",INDIRECT("B"&amp;R180+1&amp;":B210"),0)+R180&amp;""),0),
IF(AND(LEFT(INDIRECT("B"&amp;R180&amp;""),3)="奈良屋",COUNTIF(B:B,"*奈良屋*")&gt;=2),
INDIRECT("H"&amp;R180&amp;"")
+INDIRECT("H"&amp;MATCH("*"&amp;INDIRECT("B"&amp;R180&amp;"")&amp;"*",INDIRECT("B"&amp;R180+1&amp;":B210"),0)+R180&amp;"")
+INDIRECT("H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
+INDIRECT("H"&amp;MATCH("*"&amp;INDIRECT("B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&amp;"*",INDIRECT("B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+1&amp;":B210"),0)+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,
INDIRECT("H"&amp;R180&amp;"")))),"")</f>
        <v/>
      </c>
      <c r="X180" s="176" t="str">
        <f t="array" aca="1" ref="X180" ca="1">IF($R180&lt;&gt;"",
INDIRECT(""&amp;IF(COLUMN(I180)&lt;=26,CHAR(COLUMN(I180)+64),CHAR(INT((COLUMN(I180)-1)/26)+64)&amp;CHAR(MOD(COLUMN(I180)-1,26)+65))&amp;$R180&amp;""),"")</f>
        <v/>
      </c>
      <c r="Y180" s="176" t="str">
        <f t="array" aca="1" ref="Y180" ca="1">IF($R180&lt;&gt;"",
INDIRECT(""&amp;IF(COLUMN(J180)&lt;=26,CHAR(COLUMN(J180)+64),CHAR(INT((COLUMN(J180)-1)/26)+64)&amp;CHAR(MOD(COLUMN(J180)-1,26)+65))&amp;$R180&amp;""),"")</f>
        <v/>
      </c>
      <c r="Z180" s="176" t="str">
        <f t="shared" ca="1" si="63"/>
        <v/>
      </c>
      <c r="AA180" s="176" t="str">
        <f t="shared" ca="1" si="64"/>
        <v/>
      </c>
      <c r="AB180" s="176" t="str">
        <f t="array" aca="1" ref="AB180" ca="1">IF($R180&lt;&gt;"",
IF(AND(COUNTIF(INDIRECT("B"&amp;R180&amp;""),"*雙葉*"),COUNTIF(INDIRECT("B"&amp;R180&amp;""),"&lt;&gt;*先生*"),COUNTIF(B:B,"*雙葉*")&gt;=2),
INDIRECT("M"&amp;R180&amp;"")+INDIRECT("M"&amp;MATCH("雙葉'",INDIRECT("B"&amp;R180+1&amp;":B210"),0)+R180&amp;""),
IF(AND(LEFT(INDIRECT("B"&amp;R180&amp;""),2)="博多",COUNTIF(B:B,"*博多*")&gt;=2),
INDIRECT("M"&amp;R180&amp;"")+INDIRECT("M"&amp;MATCH("*"&amp;INDIRECT("B"&amp;R180&amp;"")&amp;"*",INDIRECT("B"&amp;R180+1&amp;":B210"),0)+R180&amp;""),
IF(AND(LEFT(INDIRECT("B"&amp;R180&amp;""),3)="奈良屋",COUNTIF(B:B,"*奈良屋*")&gt;=2),
INDIRECT("M"&amp;R180&amp;"")+INDIRECT("M"&amp;MATCH("*"&amp;INDIRECT("B"&amp;R180&amp;"")&amp;"*",INDIRECT("B"&amp;R180+1&amp;":B210"),0)+R180&amp;"")
+INDIRECT("M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,
INDIRECT("M"&amp;R180&amp;"")))),"")</f>
        <v/>
      </c>
      <c r="AC180" s="176" t="str">
        <f t="shared" ca="1" si="65"/>
        <v/>
      </c>
      <c r="AD180" s="176" t="str">
        <f t="shared" ca="1" si="66"/>
        <v/>
      </c>
      <c r="AE180" s="176" t="str">
        <f t="shared" ca="1" si="67"/>
        <v/>
      </c>
      <c r="AF180" s="176" t="str">
        <f t="shared" ca="1" si="68"/>
        <v/>
      </c>
      <c r="AG180" s="176" t="str">
        <f t="shared" ca="1" si="69"/>
        <v/>
      </c>
      <c r="AH180" s="183" t="str">
        <f t="shared" ca="1" si="70"/>
        <v/>
      </c>
      <c r="AI180" s="176" t="str">
        <f t="shared" ca="1" si="71"/>
        <v/>
      </c>
      <c r="AJ180" s="176" t="str">
        <f t="shared" ca="1" si="72"/>
        <v/>
      </c>
      <c r="AK180" s="176" t="str">
        <f t="shared" ca="1" si="73"/>
        <v/>
      </c>
      <c r="AL180" s="176" t="str">
        <f t="shared" ca="1" si="74"/>
        <v/>
      </c>
      <c r="AM180" s="176" t="str">
        <f t="shared" ca="1" si="75"/>
        <v/>
      </c>
      <c r="AN180" s="176" t="str">
        <f t="shared" ca="1" si="76"/>
        <v/>
      </c>
      <c r="AO180" s="176" t="str">
        <f t="shared" ca="1" si="77"/>
        <v/>
      </c>
      <c r="AP180" s="176" t="str">
        <f t="shared" ca="1" si="78"/>
        <v/>
      </c>
      <c r="AU180" s="176" t="str">
        <f t="shared" ca="1" si="79"/>
        <v/>
      </c>
    </row>
    <row r="181" spans="1:47" ht="22.2" customHeight="1">
      <c r="A181" s="107">
        <f t="shared" si="86"/>
        <v>87</v>
      </c>
      <c r="B181" s="106" t="str">
        <f t="shared" ca="1" si="84"/>
        <v/>
      </c>
      <c r="C181" s="106" t="str">
        <f>IF(OR(クライアント抽出!D41&lt;&gt;"",クライアント抽出!G41&lt;&gt;""),クライアント抽出!A41,"")</f>
        <v/>
      </c>
      <c r="D181" s="106" t="str">
        <f t="array" aca="1" ref="D181" ca="1">IF(C181&lt;&gt;"",INDIRECT("クライアント抽出!"&amp;E181&amp;MATCH(C181,クライアント抽出!A:A,0)&amp;""),"")</f>
        <v/>
      </c>
      <c r="E181" s="106" t="str">
        <f>IF(H181&lt;&gt;0,
IFERROR(
SUBSTITUTE(ADDRESS(1,
MATCH(VALUE(H181),クライアント抽出!A41:G41,0)+8,4),"1",""),
""),
IFERROR(
SUBSTITUTE(ADDRESS(1,
MATCH(VALUE(I181),クライアント抽出!A41:G41,0)+8,4),"1",""),
""))</f>
        <v/>
      </c>
      <c r="F181" s="187" t="str">
        <f ca="1">IF(D181&lt;&gt;"",
IF(COUNTIF(C181,"*雙葉*"),
IF(ROUND((H181-M181)
/IF(COUNTIF(D181,"*キャラ*"),
VLOOKUP("*キャラ*",商品マスタ!$D:$E,2,FALSE),
IF(COUNTIF(D181,"*赤*"),
VLOOKUP("*赤*",商品マスタ!$D:$E,2,FALSE),
VLOOKUP("*"&amp;D181&amp;"*",商品マスタ!$D:$E,2,FALSE))),0)&lt;=0,1,
ROUND((H181-M181)
/IF(COUNTIF(D181,"*キャラ*"),
VLOOKUP("*キャラ*",商品マスタ!$D:$E,2,FALSE),
IF(COUNTIF(D181,"*赤*"),
VLOOKUP("*赤*",商品マスタ!$D:$E,2,FALSE),
VLOOKUP("*"&amp;D181&amp;"*",商品マスタ!$D:$E,2,FALSE))),0)),
IF(OR(COUNTIF(D181,"*キャラ*"),COUNTIF(D181,"*赤*")),"",
IF(VLOOKUP("*"&amp;D181&amp;"*",商品マスタ!$D:$E,2,FALSE)=0,"",
IF(ROUND((H181-M181)
/VLOOKUP("*"&amp;D181&amp;"*",商品マスタ!$D:$E,2,FALSE),0)&lt;=0,1,
ROUND((H181-M181)
/VLOOKUP("*"&amp;D181&amp;"*",商品マスタ!$D:$E,2,FALSE),0))))),"")</f>
        <v/>
      </c>
      <c r="G181" s="106" t="str">
        <f ca="1">IF(F181&lt;&gt;"",
IF(VALUE(H181-M181)&gt;VALUE(IF(COUNTIF(D181,"*キャラ*"),
VLOOKUP("*キャラ*",商品マスタ!$D:$E,2,FALSE),
IF(COUNTIF(D181,"*赤*"),
VLOOKUP("*赤*",商品マスタ!$D:$E,2,FALSE),
VLOOKUP("*"&amp;D181&amp;"*",商品マスタ!$D:$E,2,FALSE)))*F181),
"+"&amp;(H181-M181)-IF(COUNTIF(D181,"*キャラ*"),
VLOOKUP("*キャラ*",商品マスタ!$D:$E,2,FALSE),
IF(COUNTIF(D181,"*赤*"),
VLOOKUP("*赤*",商品マスタ!$D:$E,2,FALSE),
VLOOKUP("*"&amp;D181&amp;"*",商品マスタ!$D:$E,2,FALSE)))*F181,
(H181-M181)-IF(COUNTIF(D181,"*キャラ*"),
VLOOKUP("*キャラ*",商品マスタ!$D:$E,2,FALSE),
IF(COUNTIF(D181,"*赤*"),
VLOOKUP("*赤*",商品マスタ!$D:$E,2,FALSE),
VLOOKUP("*"&amp;D181&amp;"*",商品マスタ!$D:$E,2,FALSE)))*F181),"")</f>
        <v/>
      </c>
      <c r="H181" s="108" t="str">
        <f>IF(C181&lt;&gt;"",
クライアント抽出!D41,"")</f>
        <v/>
      </c>
      <c r="I181" s="106" t="str">
        <f>IF(C181&lt;&gt;"",
IF(O181=1,0,クライアント抽出!F41),"")</f>
        <v/>
      </c>
      <c r="J181" s="106" t="str">
        <f>IF(C181&lt;&gt;"",
VLOOKUP(
"*"&amp;LEFT(IF(COUNTIF(D181,"*学食*"),"キャラ弁（学食）",
IF(COUNTIF(D181,"*赤*"),"赤",
IF(COUNTIF(D181,"*キャラ弁当*"),"キャラ弁当",D181))),4)&amp;"*",注文弁当の抽出!$F$1:$G$15,2,FALSE),"")</f>
        <v/>
      </c>
      <c r="K181" s="106" t="str">
        <f ca="1">IF(クライアント抽出!R41&lt;&gt;"",SUBSTITUTE(ADDRESS(1,(CODE(クライアント抽出!R41)-64)*2-1,4),"1",""),"")</f>
        <v/>
      </c>
      <c r="L181" s="106" t="str">
        <f>IF(C41&lt;&gt;"",クライアント抽出!I41,"")</f>
        <v/>
      </c>
      <c r="M181" s="106">
        <f t="array" aca="1" ref="M181" ca="1">IF(C181&lt;&gt;"",
IF(K181&lt;&gt;"",INDIRECT("'数出表_Excel（アレルギー入力）'!"&amp;K181&amp;L181-1&amp;""),),)</f>
        <v>0</v>
      </c>
      <c r="N181" s="106" t="str">
        <f>IF(C181&lt;&gt;"",IF(OR(COUNTIF('盛付札（関数）'!D181,"*赤*"),COUNTIF('盛付札（関数）'!D181,"*キャラ*")),1,
VALUE(VLOOKUP("*"&amp;D181&amp;"*",商品マスタ!D:H,5,FALSE))),"")</f>
        <v/>
      </c>
      <c r="O181" s="106">
        <f t="shared" ca="1" si="85"/>
        <v>0</v>
      </c>
      <c r="P181" s="106">
        <f t="shared" si="61"/>
        <v>0</v>
      </c>
      <c r="Q181" s="106" t="b">
        <f t="shared" si="62"/>
        <v>0</v>
      </c>
      <c r="R181" s="176" t="str">
        <f t="array" aca="1" ref="R181" ca="1">IFERROR(SMALL(IF(P$1:P$311&lt;&gt;0,P$1:P$311),ROW(A181)),"")</f>
        <v/>
      </c>
      <c r="S181" s="176" t="str">
        <f t="array" aca="1" ref="S181" ca="1">IF($R181&lt;&gt;"",
SUBSTITUTE(SUBSTITUTE(INDIRECT("C"&amp;$R181&amp;"")," 週3ｺｰｽ","")," 週5ｺｰｽ",""),"")</f>
        <v/>
      </c>
      <c r="T181" s="176" t="str">
        <f t="array" aca="1" ref="T181" ca="1">IF(IF($R181&lt;&gt;"",
INDIRECT(""&amp;IF(COLUMN(D181)&lt;=26,CHAR(COLUMN(D181)+64),CHAR(INT((COLUMN(D181)-1)/26)+64)&amp;CHAR(MOD(COLUMN(D181)-1,26)+65))&amp;$R181&amp;""),"")=0,"",
IF($R181&lt;&gt;"",
INDIRECT(""&amp;IF(COLUMN(D181)&lt;=26,CHAR(COLUMN(D181)+64),CHAR(INT((COLUMN(D181)-1)/26)+64)&amp;CHAR(MOD(COLUMN(D181)-1,26)+65))&amp;$R181&amp;""),""))</f>
        <v/>
      </c>
      <c r="U181" s="218" t="str">
        <f t="array" aca="1" ref="U181" ca="1">IF($R181&lt;&gt;"",
INDIRECT("F"&amp;$R181&amp;""),"")</f>
        <v/>
      </c>
      <c r="V181" s="219" t="str">
        <f t="array" aca="1" ref="V181" ca="1">IF($R181&lt;&gt;"",
INDIRECT("G"&amp;$R181&amp;""),"")</f>
        <v/>
      </c>
      <c r="W181" s="219" t="str" cm="1">
        <f t="array" aca="1" ref="W181" ca="1">IF($R181&lt;&gt;"",
IF(AND(COUNTIF(INDIRECT("B"&amp;R181&amp;""),"*雙葉*"),COUNTIF($B$71:$B$210,"*雙葉*")&gt;=1),
IF(OR(COUNTIF(INDIRECT("B"&amp;R181&amp;""),"*雙葉先生*"),COUNTIF(INDIRECT("B"&amp;R181-1&amp;""),"*雙葉*")),INDIRECT("H"&amp;R181&amp;""),INDIRECT("H"&amp;R181&amp;"")+INDIRECT("H"&amp;MATCH("雙葉'",INDIRECT("B"&amp;R181+3&amp;":B210"),0)+2+R181&amp;"")),
IF(AND(LEFT(INDIRECT("B"&amp;R181&amp;""),2)="博多",COUNTIF(B:B,"*博多*")&gt;=2),
INDIRECT("H"&amp;R181&amp;"")+IFERROR(INDIRECT("H"&amp;MATCH("*"&amp;INDIRECT("B"&amp;R181&amp;"")&amp;"*",INDIRECT("B"&amp;R181+1&amp;":B210"),0)+R181&amp;""),0),
IF(AND(LEFT(INDIRECT("B"&amp;R181&amp;""),3)="奈良屋",COUNTIF(B:B,"*奈良屋*")&gt;=2),
INDIRECT("H"&amp;R181&amp;"")
+INDIRECT("H"&amp;MATCH("*"&amp;INDIRECT("B"&amp;R181&amp;"")&amp;"*",INDIRECT("B"&amp;R181+1&amp;":B210"),0)+R181&amp;"")
+INDIRECT("H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
+INDIRECT("H"&amp;MATCH("*"&amp;INDIRECT("B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&amp;"*",INDIRECT("B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+1&amp;":B210"),0)+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,
INDIRECT("H"&amp;R181&amp;"")))),"")</f>
        <v/>
      </c>
      <c r="X181" s="176" t="str">
        <f t="array" aca="1" ref="X181" ca="1">IF($R181&lt;&gt;"",
INDIRECT(""&amp;IF(COLUMN(I181)&lt;=26,CHAR(COLUMN(I181)+64),CHAR(INT((COLUMN(I181)-1)/26)+64)&amp;CHAR(MOD(COLUMN(I181)-1,26)+65))&amp;$R181&amp;""),"")</f>
        <v/>
      </c>
      <c r="Y181" s="176" t="str">
        <f t="array" aca="1" ref="Y181" ca="1">IF($R181&lt;&gt;"",
INDIRECT(""&amp;IF(COLUMN(J181)&lt;=26,CHAR(COLUMN(J181)+64),CHAR(INT((COLUMN(J181)-1)/26)+64)&amp;CHAR(MOD(COLUMN(J181)-1,26)+65))&amp;$R181&amp;""),"")</f>
        <v/>
      </c>
      <c r="Z181" s="176" t="str">
        <f t="shared" ca="1" si="63"/>
        <v/>
      </c>
      <c r="AA181" s="176" t="str">
        <f t="shared" ca="1" si="64"/>
        <v/>
      </c>
      <c r="AB181" s="176" t="str">
        <f t="array" aca="1" ref="AB181" ca="1">IF($R181&lt;&gt;"",
IF(AND(COUNTIF(INDIRECT("B"&amp;R181&amp;""),"*雙葉*"),COUNTIF(INDIRECT("B"&amp;R181&amp;""),"&lt;&gt;*先生*"),COUNTIF(B:B,"*雙葉*")&gt;=2),
INDIRECT("M"&amp;R181&amp;"")+INDIRECT("M"&amp;MATCH("雙葉'",INDIRECT("B"&amp;R181+1&amp;":B210"),0)+R181&amp;""),
IF(AND(LEFT(INDIRECT("B"&amp;R181&amp;""),2)="博多",COUNTIF(B:B,"*博多*")&gt;=2),
INDIRECT("M"&amp;R181&amp;"")+INDIRECT("M"&amp;MATCH("*"&amp;INDIRECT("B"&amp;R181&amp;"")&amp;"*",INDIRECT("B"&amp;R181+1&amp;":B210"),0)+R181&amp;""),
IF(AND(LEFT(INDIRECT("B"&amp;R181&amp;""),3)="奈良屋",COUNTIF(B:B,"*奈良屋*")&gt;=2),
INDIRECT("M"&amp;R181&amp;"")+INDIRECT("M"&amp;MATCH("*"&amp;INDIRECT("B"&amp;R181&amp;"")&amp;"*",INDIRECT("B"&amp;R181+1&amp;":B210"),0)+R181&amp;"")
+INDIRECT("M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,
INDIRECT("M"&amp;R181&amp;"")))),"")</f>
        <v/>
      </c>
      <c r="AC181" s="176" t="str">
        <f t="shared" ca="1" si="65"/>
        <v/>
      </c>
      <c r="AD181" s="176" t="str">
        <f t="shared" ca="1" si="66"/>
        <v/>
      </c>
      <c r="AE181" s="176" t="str">
        <f t="shared" ca="1" si="67"/>
        <v/>
      </c>
      <c r="AF181" s="176" t="str">
        <f t="shared" ca="1" si="68"/>
        <v/>
      </c>
      <c r="AG181" s="176" t="str">
        <f t="shared" ca="1" si="69"/>
        <v/>
      </c>
      <c r="AH181" s="183" t="str">
        <f t="shared" ca="1" si="70"/>
        <v/>
      </c>
      <c r="AI181" s="176" t="str">
        <f t="shared" ca="1" si="71"/>
        <v/>
      </c>
      <c r="AJ181" s="176" t="str">
        <f t="shared" ca="1" si="72"/>
        <v/>
      </c>
      <c r="AK181" s="176" t="str">
        <f t="shared" ca="1" si="73"/>
        <v/>
      </c>
      <c r="AL181" s="176" t="str">
        <f t="shared" ca="1" si="74"/>
        <v/>
      </c>
      <c r="AM181" s="176" t="str">
        <f t="shared" ca="1" si="75"/>
        <v/>
      </c>
      <c r="AN181" s="176" t="str">
        <f t="shared" ca="1" si="76"/>
        <v/>
      </c>
      <c r="AO181" s="176" t="str">
        <f t="shared" ca="1" si="77"/>
        <v/>
      </c>
      <c r="AP181" s="176" t="str">
        <f t="shared" ca="1" si="78"/>
        <v/>
      </c>
      <c r="AU181" s="176" t="str">
        <f t="shared" ca="1" si="79"/>
        <v/>
      </c>
    </row>
    <row r="182" spans="1:47" ht="22.2" customHeight="1">
      <c r="A182" s="107">
        <f t="shared" si="86"/>
        <v>89</v>
      </c>
      <c r="B182" s="106" t="str">
        <f t="shared" ca="1" si="84"/>
        <v/>
      </c>
      <c r="C182" s="106" t="str">
        <f>IF(OR(クライアント抽出!D42&lt;&gt;"",クライアント抽出!G42&lt;&gt;""),クライアント抽出!A42,"")</f>
        <v/>
      </c>
      <c r="D182" s="106" t="str">
        <f t="array" aca="1" ref="D182" ca="1">IF(C182&lt;&gt;"",INDIRECT("クライアント抽出!"&amp;E182&amp;MATCH(C182,クライアント抽出!A:A,0)&amp;""),"")</f>
        <v/>
      </c>
      <c r="E182" s="106" t="str">
        <f>IF(H182&lt;&gt;0,
IFERROR(
SUBSTITUTE(ADDRESS(1,
MATCH(VALUE(H182),クライアント抽出!A42:G42,0)+8,4),"1",""),
""),
IFERROR(
SUBSTITUTE(ADDRESS(1,
MATCH(VALUE(I182),クライアント抽出!A42:G42,0)+8,4),"1",""),
""))</f>
        <v/>
      </c>
      <c r="F182" s="187" t="str">
        <f ca="1">IF(D182&lt;&gt;"",
IF(COUNTIF(C182,"*雙葉*"),
IF(ROUND((H182-M182)
/IF(COUNTIF(D182,"*キャラ*"),
VLOOKUP("*キャラ*",商品マスタ!$D:$E,2,FALSE),
IF(COUNTIF(D182,"*赤*"),
VLOOKUP("*赤*",商品マスタ!$D:$E,2,FALSE),
VLOOKUP("*"&amp;D182&amp;"*",商品マスタ!$D:$E,2,FALSE))),0)&lt;=0,1,
ROUND((H182-M182)
/IF(COUNTIF(D182,"*キャラ*"),
VLOOKUP("*キャラ*",商品マスタ!$D:$E,2,FALSE),
IF(COUNTIF(D182,"*赤*"),
VLOOKUP("*赤*",商品マスタ!$D:$E,2,FALSE),
VLOOKUP("*"&amp;D182&amp;"*",商品マスタ!$D:$E,2,FALSE))),0)),
IF(OR(COUNTIF(D182,"*キャラ*"),COUNTIF(D182,"*赤*")),"",
IF(VLOOKUP("*"&amp;D182&amp;"*",商品マスタ!$D:$E,2,FALSE)=0,"",
IF(ROUND((H182-M182)
/VLOOKUP("*"&amp;D182&amp;"*",商品マスタ!$D:$E,2,FALSE),0)&lt;=0,1,
ROUND((H182-M182)
/VLOOKUP("*"&amp;D182&amp;"*",商品マスタ!$D:$E,2,FALSE),0))))),"")</f>
        <v/>
      </c>
      <c r="G182" s="106" t="str">
        <f ca="1">IF(F182&lt;&gt;"",
IF(VALUE(H182-M182)&gt;VALUE(IF(COUNTIF(D182,"*キャラ*"),
VLOOKUP("*キャラ*",商品マスタ!$D:$E,2,FALSE),
IF(COUNTIF(D182,"*赤*"),
VLOOKUP("*赤*",商品マスタ!$D:$E,2,FALSE),
VLOOKUP("*"&amp;D182&amp;"*",商品マスタ!$D:$E,2,FALSE)))*F182),
"+"&amp;(H182-M182)-IF(COUNTIF(D182,"*キャラ*"),
VLOOKUP("*キャラ*",商品マスタ!$D:$E,2,FALSE),
IF(COUNTIF(D182,"*赤*"),
VLOOKUP("*赤*",商品マスタ!$D:$E,2,FALSE),
VLOOKUP("*"&amp;D182&amp;"*",商品マスタ!$D:$E,2,FALSE)))*F182,
(H182-M182)-IF(COUNTIF(D182,"*キャラ*"),
VLOOKUP("*キャラ*",商品マスタ!$D:$E,2,FALSE),
IF(COUNTIF(D182,"*赤*"),
VLOOKUP("*赤*",商品マスタ!$D:$E,2,FALSE),
VLOOKUP("*"&amp;D182&amp;"*",商品マスタ!$D:$E,2,FALSE)))*F182),"")</f>
        <v/>
      </c>
      <c r="H182" s="108" t="str">
        <f>IF(C182&lt;&gt;"",
クライアント抽出!D42,"")</f>
        <v/>
      </c>
      <c r="I182" s="106" t="str">
        <f>IF(C182&lt;&gt;"",
IF(O182=1,0,クライアント抽出!F42),"")</f>
        <v/>
      </c>
      <c r="J182" s="106" t="str">
        <f>IF(C182&lt;&gt;"",
VLOOKUP(
"*"&amp;LEFT(IF(COUNTIF(D182,"*学食*"),"キャラ弁（学食）",
IF(COUNTIF(D182,"*赤*"),"赤",
IF(COUNTIF(D182,"*キャラ弁当*"),"キャラ弁当",D182))),4)&amp;"*",注文弁当の抽出!$F$1:$G$15,2,FALSE),"")</f>
        <v/>
      </c>
      <c r="K182" s="106" t="str">
        <f ca="1">IF(クライアント抽出!R42&lt;&gt;"",SUBSTITUTE(ADDRESS(1,(CODE(クライアント抽出!R42)-64)*2-1,4),"1",""),"")</f>
        <v/>
      </c>
      <c r="L182" s="106" t="str">
        <f>IF(C42&lt;&gt;"",クライアント抽出!I42,"")</f>
        <v/>
      </c>
      <c r="M182" s="106">
        <f t="array" aca="1" ref="M182" ca="1">IF(C182&lt;&gt;"",
IF(K182&lt;&gt;"",INDIRECT("'数出表_Excel（アレルギー入力）'!"&amp;K182&amp;L182-1&amp;""),),)</f>
        <v>0</v>
      </c>
      <c r="N182" s="106" t="str">
        <f>IF(C182&lt;&gt;"",IF(OR(COUNTIF('盛付札（関数）'!D182,"*赤*"),COUNTIF('盛付札（関数）'!D182,"*キャラ*")),1,
VALUE(VLOOKUP("*"&amp;D182&amp;"*",商品マスタ!D:H,5,FALSE))),"")</f>
        <v/>
      </c>
      <c r="O182" s="106">
        <f t="shared" ca="1" si="85"/>
        <v>0</v>
      </c>
      <c r="P182" s="106">
        <f t="shared" si="61"/>
        <v>0</v>
      </c>
      <c r="Q182" s="106" t="b">
        <f t="shared" si="62"/>
        <v>0</v>
      </c>
      <c r="R182" s="176" t="str">
        <f t="array" aca="1" ref="R182" ca="1">IFERROR(SMALL(IF(P$1:P$311&lt;&gt;0,P$1:P$311),ROW(A182)),"")</f>
        <v/>
      </c>
      <c r="S182" s="176" t="str">
        <f t="array" aca="1" ref="S182" ca="1">IF($R182&lt;&gt;"",
SUBSTITUTE(SUBSTITUTE(INDIRECT("C"&amp;$R182&amp;"")," 週3ｺｰｽ","")," 週5ｺｰｽ",""),"")</f>
        <v/>
      </c>
      <c r="T182" s="176" t="str">
        <f t="array" aca="1" ref="T182" ca="1">IF(IF($R182&lt;&gt;"",
INDIRECT(""&amp;IF(COLUMN(D182)&lt;=26,CHAR(COLUMN(D182)+64),CHAR(INT((COLUMN(D182)-1)/26)+64)&amp;CHAR(MOD(COLUMN(D182)-1,26)+65))&amp;$R182&amp;""),"")=0,"",
IF($R182&lt;&gt;"",
INDIRECT(""&amp;IF(COLUMN(D182)&lt;=26,CHAR(COLUMN(D182)+64),CHAR(INT((COLUMN(D182)-1)/26)+64)&amp;CHAR(MOD(COLUMN(D182)-1,26)+65))&amp;$R182&amp;""),""))</f>
        <v/>
      </c>
      <c r="U182" s="218" t="str">
        <f t="array" aca="1" ref="U182" ca="1">IF($R182&lt;&gt;"",
INDIRECT("F"&amp;$R182&amp;""),"")</f>
        <v/>
      </c>
      <c r="V182" s="219" t="str">
        <f t="array" aca="1" ref="V182" ca="1">IF($R182&lt;&gt;"",
INDIRECT("G"&amp;$R182&amp;""),"")</f>
        <v/>
      </c>
      <c r="W182" s="219" t="str" cm="1">
        <f t="array" aca="1" ref="W182" ca="1">IF($R182&lt;&gt;"",
IF(AND(COUNTIF(INDIRECT("B"&amp;R182&amp;""),"*雙葉*"),COUNTIF($B$71:$B$210,"*雙葉*")&gt;=1),
IF(OR(COUNTIF(INDIRECT("B"&amp;R182&amp;""),"*雙葉先生*"),COUNTIF(INDIRECT("B"&amp;R182-1&amp;""),"*雙葉*")),INDIRECT("H"&amp;R182&amp;""),INDIRECT("H"&amp;R182&amp;"")+INDIRECT("H"&amp;MATCH("雙葉'",INDIRECT("B"&amp;R182+3&amp;":B210"),0)+2+R182&amp;"")),
IF(AND(LEFT(INDIRECT("B"&amp;R182&amp;""),2)="博多",COUNTIF(B:B,"*博多*")&gt;=2),
INDIRECT("H"&amp;R182&amp;"")+IFERROR(INDIRECT("H"&amp;MATCH("*"&amp;INDIRECT("B"&amp;R182&amp;"")&amp;"*",INDIRECT("B"&amp;R182+1&amp;":B210"),0)+R182&amp;""),0),
IF(AND(LEFT(INDIRECT("B"&amp;R182&amp;""),3)="奈良屋",COUNTIF(B:B,"*奈良屋*")&gt;=2),
INDIRECT("H"&amp;R182&amp;"")
+INDIRECT("H"&amp;MATCH("*"&amp;INDIRECT("B"&amp;R182&amp;"")&amp;"*",INDIRECT("B"&amp;R182+1&amp;":B210"),0)+R182&amp;"")
+INDIRECT("H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
+INDIRECT("H"&amp;MATCH("*"&amp;INDIRECT("B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&amp;"*",INDIRECT("B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+1&amp;":B210"),0)+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,
INDIRECT("H"&amp;R182&amp;"")))),"")</f>
        <v/>
      </c>
      <c r="X182" s="176" t="str">
        <f t="array" aca="1" ref="X182" ca="1">IF($R182&lt;&gt;"",
INDIRECT(""&amp;IF(COLUMN(I182)&lt;=26,CHAR(COLUMN(I182)+64),CHAR(INT((COLUMN(I182)-1)/26)+64)&amp;CHAR(MOD(COLUMN(I182)-1,26)+65))&amp;$R182&amp;""),"")</f>
        <v/>
      </c>
      <c r="Y182" s="176" t="str">
        <f t="array" aca="1" ref="Y182" ca="1">IF($R182&lt;&gt;"",
INDIRECT(""&amp;IF(COLUMN(J182)&lt;=26,CHAR(COLUMN(J182)+64),CHAR(INT((COLUMN(J182)-1)/26)+64)&amp;CHAR(MOD(COLUMN(J182)-1,26)+65))&amp;$R182&amp;""),"")</f>
        <v/>
      </c>
      <c r="Z182" s="176" t="str">
        <f t="shared" ca="1" si="63"/>
        <v/>
      </c>
      <c r="AA182" s="176" t="str">
        <f t="shared" ca="1" si="64"/>
        <v/>
      </c>
      <c r="AB182" s="176" t="str">
        <f t="array" aca="1" ref="AB182" ca="1">IF($R182&lt;&gt;"",
IF(AND(COUNTIF(INDIRECT("B"&amp;R182&amp;""),"*雙葉*"),COUNTIF(INDIRECT("B"&amp;R182&amp;""),"&lt;&gt;*先生*"),COUNTIF(B:B,"*雙葉*")&gt;=2),
INDIRECT("M"&amp;R182&amp;"")+INDIRECT("M"&amp;MATCH("雙葉'",INDIRECT("B"&amp;R182+1&amp;":B210"),0)+R182&amp;""),
IF(AND(LEFT(INDIRECT("B"&amp;R182&amp;""),2)="博多",COUNTIF(B:B,"*博多*")&gt;=2),
INDIRECT("M"&amp;R182&amp;"")+INDIRECT("M"&amp;MATCH("*"&amp;INDIRECT("B"&amp;R182&amp;"")&amp;"*",INDIRECT("B"&amp;R182+1&amp;":B210"),0)+R182&amp;""),
IF(AND(LEFT(INDIRECT("B"&amp;R182&amp;""),3)="奈良屋",COUNTIF(B:B,"*奈良屋*")&gt;=2),
INDIRECT("M"&amp;R182&amp;"")+INDIRECT("M"&amp;MATCH("*"&amp;INDIRECT("B"&amp;R182&amp;"")&amp;"*",INDIRECT("B"&amp;R182+1&amp;":B210"),0)+R182&amp;"")
+INDIRECT("M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,
INDIRECT("M"&amp;R182&amp;"")))),"")</f>
        <v/>
      </c>
      <c r="AC182" s="176" t="str">
        <f t="shared" ca="1" si="65"/>
        <v/>
      </c>
      <c r="AD182" s="176" t="str">
        <f t="shared" ca="1" si="66"/>
        <v/>
      </c>
      <c r="AE182" s="176" t="str">
        <f t="shared" ca="1" si="67"/>
        <v/>
      </c>
      <c r="AF182" s="176" t="str">
        <f t="shared" ca="1" si="68"/>
        <v/>
      </c>
      <c r="AG182" s="176" t="str">
        <f t="shared" ca="1" si="69"/>
        <v/>
      </c>
      <c r="AH182" s="183" t="str">
        <f t="shared" ca="1" si="70"/>
        <v/>
      </c>
      <c r="AI182" s="176" t="str">
        <f t="shared" ca="1" si="71"/>
        <v/>
      </c>
      <c r="AJ182" s="176" t="str">
        <f t="shared" ca="1" si="72"/>
        <v/>
      </c>
      <c r="AK182" s="176" t="str">
        <f t="shared" ca="1" si="73"/>
        <v/>
      </c>
      <c r="AL182" s="176" t="str">
        <f t="shared" ca="1" si="74"/>
        <v/>
      </c>
      <c r="AM182" s="176" t="str">
        <f t="shared" ca="1" si="75"/>
        <v/>
      </c>
      <c r="AN182" s="176" t="str">
        <f t="shared" ca="1" si="76"/>
        <v/>
      </c>
      <c r="AO182" s="176" t="str">
        <f t="shared" ca="1" si="77"/>
        <v/>
      </c>
      <c r="AP182" s="176" t="str">
        <f t="shared" ca="1" si="78"/>
        <v/>
      </c>
      <c r="AU182" s="176" t="str">
        <f t="shared" ca="1" si="79"/>
        <v/>
      </c>
    </row>
    <row r="183" spans="1:47" ht="22.2" customHeight="1">
      <c r="A183" s="107">
        <f t="shared" si="86"/>
        <v>91</v>
      </c>
      <c r="B183" s="106" t="str">
        <f t="shared" ca="1" si="84"/>
        <v/>
      </c>
      <c r="C183" s="106" t="str">
        <f>IF(OR(クライアント抽出!D43&lt;&gt;"",クライアント抽出!G43&lt;&gt;""),クライアント抽出!A43,"")</f>
        <v/>
      </c>
      <c r="D183" s="106" t="str">
        <f t="array" aca="1" ref="D183" ca="1">IF(C183&lt;&gt;"",INDIRECT("クライアント抽出!"&amp;E183&amp;MATCH(C183,クライアント抽出!A:A,0)&amp;""),"")</f>
        <v/>
      </c>
      <c r="E183" s="106" t="str">
        <f>IF(H183&lt;&gt;0,
IFERROR(
SUBSTITUTE(ADDRESS(1,
MATCH(VALUE(H183),クライアント抽出!A43:G43,0)+8,4),"1",""),
""),
IFERROR(
SUBSTITUTE(ADDRESS(1,
MATCH(VALUE(I183),クライアント抽出!A43:G43,0)+8,4),"1",""),
""))</f>
        <v/>
      </c>
      <c r="F183" s="187" t="str">
        <f ca="1">IF(D183&lt;&gt;"",
IF(COUNTIF(C183,"*雙葉*"),
IF(ROUND((H183-M183)
/IF(COUNTIF(D183,"*キャラ*"),
VLOOKUP("*キャラ*",商品マスタ!$D:$E,2,FALSE),
IF(COUNTIF(D183,"*赤*"),
VLOOKUP("*赤*",商品マスタ!$D:$E,2,FALSE),
VLOOKUP("*"&amp;D183&amp;"*",商品マスタ!$D:$E,2,FALSE))),0)&lt;=0,1,
ROUND((H183-M183)
/IF(COUNTIF(D183,"*キャラ*"),
VLOOKUP("*キャラ*",商品マスタ!$D:$E,2,FALSE),
IF(COUNTIF(D183,"*赤*"),
VLOOKUP("*赤*",商品マスタ!$D:$E,2,FALSE),
VLOOKUP("*"&amp;D183&amp;"*",商品マスタ!$D:$E,2,FALSE))),0)),
IF(OR(COUNTIF(D183,"*キャラ*"),COUNTIF(D183,"*赤*")),"",
IF(VLOOKUP("*"&amp;D183&amp;"*",商品マスタ!$D:$E,2,FALSE)=0,"",
IF(ROUND((H183-M183)
/VLOOKUP("*"&amp;D183&amp;"*",商品マスタ!$D:$E,2,FALSE),0)&lt;=0,1,
ROUND((H183-M183)
/VLOOKUP("*"&amp;D183&amp;"*",商品マスタ!$D:$E,2,FALSE),0))))),"")</f>
        <v/>
      </c>
      <c r="G183" s="106" t="str">
        <f ca="1">IF(F183&lt;&gt;"",
IF(VALUE(H183-M183)&gt;VALUE(IF(COUNTIF(D183,"*キャラ*"),
VLOOKUP("*キャラ*",商品マスタ!$D:$E,2,FALSE),
IF(COUNTIF(D183,"*赤*"),
VLOOKUP("*赤*",商品マスタ!$D:$E,2,FALSE),
VLOOKUP("*"&amp;D183&amp;"*",商品マスタ!$D:$E,2,FALSE)))*F183),
"+"&amp;(H183-M183)-IF(COUNTIF(D183,"*キャラ*"),
VLOOKUP("*キャラ*",商品マスタ!$D:$E,2,FALSE),
IF(COUNTIF(D183,"*赤*"),
VLOOKUP("*赤*",商品マスタ!$D:$E,2,FALSE),
VLOOKUP("*"&amp;D183&amp;"*",商品マスタ!$D:$E,2,FALSE)))*F183,
(H183-M183)-IF(COUNTIF(D183,"*キャラ*"),
VLOOKUP("*キャラ*",商品マスタ!$D:$E,2,FALSE),
IF(COUNTIF(D183,"*赤*"),
VLOOKUP("*赤*",商品マスタ!$D:$E,2,FALSE),
VLOOKUP("*"&amp;D183&amp;"*",商品マスタ!$D:$E,2,FALSE)))*F183),"")</f>
        <v/>
      </c>
      <c r="H183" s="108" t="str">
        <f>IF(C183&lt;&gt;"",
クライアント抽出!D43,"")</f>
        <v/>
      </c>
      <c r="I183" s="106" t="str">
        <f>IF(C183&lt;&gt;"",
IF(O183=1,0,クライアント抽出!F43),"")</f>
        <v/>
      </c>
      <c r="J183" s="106" t="str">
        <f>IF(C183&lt;&gt;"",
VLOOKUP(
"*"&amp;LEFT(IF(COUNTIF(D183,"*学食*"),"キャラ弁（学食）",
IF(COUNTIF(D183,"*赤*"),"赤",
IF(COUNTIF(D183,"*キャラ弁当*"),"キャラ弁当",D183))),4)&amp;"*",注文弁当の抽出!$F$1:$G$15,2,FALSE),"")</f>
        <v/>
      </c>
      <c r="K183" s="106" t="str">
        <f ca="1">IF(クライアント抽出!R43&lt;&gt;"",SUBSTITUTE(ADDRESS(1,(CODE(クライアント抽出!R43)-64)*2-1,4),"1",""),"")</f>
        <v/>
      </c>
      <c r="L183" s="106" t="str">
        <f>IF(C43&lt;&gt;"",クライアント抽出!I43,"")</f>
        <v/>
      </c>
      <c r="M183" s="106">
        <f t="array" aca="1" ref="M183" ca="1">IF(C183&lt;&gt;"",
IF(K183&lt;&gt;"",INDIRECT("'数出表_Excel（アレルギー入力）'!"&amp;K183&amp;L183-1&amp;""),),)</f>
        <v>0</v>
      </c>
      <c r="N183" s="106" t="str">
        <f>IF(C183&lt;&gt;"",IF(OR(COUNTIF('盛付札（関数）'!D183,"*赤*"),COUNTIF('盛付札（関数）'!D183,"*キャラ*")),1,
VALUE(VLOOKUP("*"&amp;D183&amp;"*",商品マスタ!D:H,5,FALSE))),"")</f>
        <v/>
      </c>
      <c r="O183" s="106">
        <f t="shared" ca="1" si="85"/>
        <v>0</v>
      </c>
      <c r="P183" s="106">
        <f t="shared" si="61"/>
        <v>0</v>
      </c>
      <c r="Q183" s="106" t="b">
        <f t="shared" si="62"/>
        <v>0</v>
      </c>
      <c r="R183" s="176" t="str">
        <f t="array" aca="1" ref="R183" ca="1">IFERROR(SMALL(IF(P$1:P$311&lt;&gt;0,P$1:P$311),ROW(A183)),"")</f>
        <v/>
      </c>
      <c r="S183" s="176" t="str">
        <f t="array" aca="1" ref="S183" ca="1">IF($R183&lt;&gt;"",
SUBSTITUTE(SUBSTITUTE(INDIRECT("C"&amp;$R183&amp;"")," 週3ｺｰｽ","")," 週5ｺｰｽ",""),"")</f>
        <v/>
      </c>
      <c r="T183" s="176" t="str">
        <f t="array" aca="1" ref="T183" ca="1">IF(IF($R183&lt;&gt;"",
INDIRECT(""&amp;IF(COLUMN(D183)&lt;=26,CHAR(COLUMN(D183)+64),CHAR(INT((COLUMN(D183)-1)/26)+64)&amp;CHAR(MOD(COLUMN(D183)-1,26)+65))&amp;$R183&amp;""),"")=0,"",
IF($R183&lt;&gt;"",
INDIRECT(""&amp;IF(COLUMN(D183)&lt;=26,CHAR(COLUMN(D183)+64),CHAR(INT((COLUMN(D183)-1)/26)+64)&amp;CHAR(MOD(COLUMN(D183)-1,26)+65))&amp;$R183&amp;""),""))</f>
        <v/>
      </c>
      <c r="U183" s="218" t="str">
        <f t="array" aca="1" ref="U183" ca="1">IF($R183&lt;&gt;"",
INDIRECT("F"&amp;$R183&amp;""),"")</f>
        <v/>
      </c>
      <c r="V183" s="219" t="str">
        <f t="array" aca="1" ref="V183" ca="1">IF($R183&lt;&gt;"",
INDIRECT("G"&amp;$R183&amp;""),"")</f>
        <v/>
      </c>
      <c r="W183" s="219" t="str" cm="1">
        <f t="array" aca="1" ref="W183" ca="1">IF($R183&lt;&gt;"",
IF(AND(COUNTIF(INDIRECT("B"&amp;R183&amp;""),"*雙葉*"),COUNTIF($B$71:$B$210,"*雙葉*")&gt;=1),
IF(OR(COUNTIF(INDIRECT("B"&amp;R183&amp;""),"*雙葉先生*"),COUNTIF(INDIRECT("B"&amp;R183-1&amp;""),"*雙葉*")),INDIRECT("H"&amp;R183&amp;""),INDIRECT("H"&amp;R183&amp;"")+INDIRECT("H"&amp;MATCH("雙葉'",INDIRECT("B"&amp;R183+3&amp;":B210"),0)+2+R183&amp;"")),
IF(AND(LEFT(INDIRECT("B"&amp;R183&amp;""),2)="博多",COUNTIF(B:B,"*博多*")&gt;=2),
INDIRECT("H"&amp;R183&amp;"")+IFERROR(INDIRECT("H"&amp;MATCH("*"&amp;INDIRECT("B"&amp;R183&amp;"")&amp;"*",INDIRECT("B"&amp;R183+1&amp;":B210"),0)+R183&amp;""),0),
IF(AND(LEFT(INDIRECT("B"&amp;R183&amp;""),3)="奈良屋",COUNTIF(B:B,"*奈良屋*")&gt;=2),
INDIRECT("H"&amp;R183&amp;"")
+INDIRECT("H"&amp;MATCH("*"&amp;INDIRECT("B"&amp;R183&amp;"")&amp;"*",INDIRECT("B"&amp;R183+1&amp;":B210"),0)+R183&amp;"")
+INDIRECT("H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
+INDIRECT("H"&amp;MATCH("*"&amp;INDIRECT("B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&amp;"*",INDIRECT("B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+1&amp;":B210"),0)+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,
INDIRECT("H"&amp;R183&amp;"")))),"")</f>
        <v/>
      </c>
      <c r="X183" s="176" t="str">
        <f t="array" aca="1" ref="X183" ca="1">IF($R183&lt;&gt;"",
INDIRECT(""&amp;IF(COLUMN(I183)&lt;=26,CHAR(COLUMN(I183)+64),CHAR(INT((COLUMN(I183)-1)/26)+64)&amp;CHAR(MOD(COLUMN(I183)-1,26)+65))&amp;$R183&amp;""),"")</f>
        <v/>
      </c>
      <c r="Y183" s="176" t="str">
        <f t="array" aca="1" ref="Y183" ca="1">IF($R183&lt;&gt;"",
INDIRECT(""&amp;IF(COLUMN(J183)&lt;=26,CHAR(COLUMN(J183)+64),CHAR(INT((COLUMN(J183)-1)/26)+64)&amp;CHAR(MOD(COLUMN(J183)-1,26)+65))&amp;$R183&amp;""),"")</f>
        <v/>
      </c>
      <c r="Z183" s="176" t="str">
        <f t="shared" ca="1" si="63"/>
        <v/>
      </c>
      <c r="AA183" s="176" t="str">
        <f t="shared" ca="1" si="64"/>
        <v/>
      </c>
      <c r="AB183" s="176" t="str">
        <f t="array" aca="1" ref="AB183" ca="1">IF($R183&lt;&gt;"",
IF(AND(COUNTIF(INDIRECT("B"&amp;R183&amp;""),"*雙葉*"),COUNTIF(INDIRECT("B"&amp;R183&amp;""),"&lt;&gt;*先生*"),COUNTIF(B:B,"*雙葉*")&gt;=2),
INDIRECT("M"&amp;R183&amp;"")+INDIRECT("M"&amp;MATCH("雙葉'",INDIRECT("B"&amp;R183+1&amp;":B210"),0)+R183&amp;""),
IF(AND(LEFT(INDIRECT("B"&amp;R183&amp;""),2)="博多",COUNTIF(B:B,"*博多*")&gt;=2),
INDIRECT("M"&amp;R183&amp;"")+INDIRECT("M"&amp;MATCH("*"&amp;INDIRECT("B"&amp;R183&amp;"")&amp;"*",INDIRECT("B"&amp;R183+1&amp;":B210"),0)+R183&amp;""),
IF(AND(LEFT(INDIRECT("B"&amp;R183&amp;""),3)="奈良屋",COUNTIF(B:B,"*奈良屋*")&gt;=2),
INDIRECT("M"&amp;R183&amp;"")+INDIRECT("M"&amp;MATCH("*"&amp;INDIRECT("B"&amp;R183&amp;"")&amp;"*",INDIRECT("B"&amp;R183+1&amp;":B210"),0)+R183&amp;"")
+INDIRECT("M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,
INDIRECT("M"&amp;R183&amp;"")))),"")</f>
        <v/>
      </c>
      <c r="AC183" s="176" t="str">
        <f t="shared" ca="1" si="65"/>
        <v/>
      </c>
      <c r="AD183" s="176" t="str">
        <f t="shared" ca="1" si="66"/>
        <v/>
      </c>
      <c r="AE183" s="176" t="str">
        <f t="shared" ca="1" si="67"/>
        <v/>
      </c>
      <c r="AF183" s="176" t="str">
        <f t="shared" ca="1" si="68"/>
        <v/>
      </c>
      <c r="AG183" s="176" t="str">
        <f t="shared" ca="1" si="69"/>
        <v/>
      </c>
      <c r="AH183" s="183" t="str">
        <f t="shared" ca="1" si="70"/>
        <v/>
      </c>
      <c r="AI183" s="176" t="str">
        <f t="shared" ca="1" si="71"/>
        <v/>
      </c>
      <c r="AJ183" s="176" t="str">
        <f t="shared" ca="1" si="72"/>
        <v/>
      </c>
      <c r="AK183" s="176" t="str">
        <f t="shared" ca="1" si="73"/>
        <v/>
      </c>
      <c r="AL183" s="176" t="str">
        <f t="shared" ca="1" si="74"/>
        <v/>
      </c>
      <c r="AM183" s="176" t="str">
        <f t="shared" ca="1" si="75"/>
        <v/>
      </c>
      <c r="AN183" s="176" t="str">
        <f t="shared" ca="1" si="76"/>
        <v/>
      </c>
      <c r="AO183" s="176" t="str">
        <f t="shared" ca="1" si="77"/>
        <v/>
      </c>
      <c r="AP183" s="176" t="str">
        <f t="shared" ca="1" si="78"/>
        <v/>
      </c>
      <c r="AU183" s="176" t="str">
        <f t="shared" ca="1" si="79"/>
        <v/>
      </c>
    </row>
    <row r="184" spans="1:47" ht="22.2" customHeight="1">
      <c r="A184" s="107">
        <f t="shared" si="86"/>
        <v>93</v>
      </c>
      <c r="B184" s="106" t="str">
        <f t="shared" ca="1" si="84"/>
        <v/>
      </c>
      <c r="C184" s="106" t="str">
        <f>IF(OR(クライアント抽出!D44&lt;&gt;"",クライアント抽出!G44&lt;&gt;""),クライアント抽出!A44,"")</f>
        <v/>
      </c>
      <c r="D184" s="106" t="str">
        <f t="array" aca="1" ref="D184" ca="1">IF(C184&lt;&gt;"",INDIRECT("クライアント抽出!"&amp;E184&amp;MATCH(C184,クライアント抽出!A:A,0)&amp;""),"")</f>
        <v/>
      </c>
      <c r="E184" s="106" t="str">
        <f>IF(H184&lt;&gt;0,
IFERROR(
SUBSTITUTE(ADDRESS(1,
MATCH(VALUE(H184),クライアント抽出!A44:G44,0)+8,4),"1",""),
""),
IFERROR(
SUBSTITUTE(ADDRESS(1,
MATCH(VALUE(I184),クライアント抽出!A44:G44,0)+8,4),"1",""),
""))</f>
        <v/>
      </c>
      <c r="F184" s="187" t="str">
        <f ca="1">IF(D184&lt;&gt;"",
IF(COUNTIF(C184,"*雙葉*"),
IF(ROUND((H184-M184)
/IF(COUNTIF(D184,"*キャラ*"),
VLOOKUP("*キャラ*",商品マスタ!$D:$E,2,FALSE),
IF(COUNTIF(D184,"*赤*"),
VLOOKUP("*赤*",商品マスタ!$D:$E,2,FALSE),
VLOOKUP("*"&amp;D184&amp;"*",商品マスタ!$D:$E,2,FALSE))),0)&lt;=0,1,
ROUND((H184-M184)
/IF(COUNTIF(D184,"*キャラ*"),
VLOOKUP("*キャラ*",商品マスタ!$D:$E,2,FALSE),
IF(COUNTIF(D184,"*赤*"),
VLOOKUP("*赤*",商品マスタ!$D:$E,2,FALSE),
VLOOKUP("*"&amp;D184&amp;"*",商品マスタ!$D:$E,2,FALSE))),0)),
IF(OR(COUNTIF(D184,"*キャラ*"),COUNTIF(D184,"*赤*")),"",
IF(VLOOKUP("*"&amp;D184&amp;"*",商品マスタ!$D:$E,2,FALSE)=0,"",
IF(ROUND((H184-M184)
/VLOOKUP("*"&amp;D184&amp;"*",商品マスタ!$D:$E,2,FALSE),0)&lt;=0,1,
ROUND((H184-M184)
/VLOOKUP("*"&amp;D184&amp;"*",商品マスタ!$D:$E,2,FALSE),0))))),"")</f>
        <v/>
      </c>
      <c r="G184" s="106" t="str">
        <f ca="1">IF(F184&lt;&gt;"",
IF(VALUE(H184-M184)&gt;VALUE(IF(COUNTIF(D184,"*キャラ*"),
VLOOKUP("*キャラ*",商品マスタ!$D:$E,2,FALSE),
IF(COUNTIF(D184,"*赤*"),
VLOOKUP("*赤*",商品マスタ!$D:$E,2,FALSE),
VLOOKUP("*"&amp;D184&amp;"*",商品マスタ!$D:$E,2,FALSE)))*F184),
"+"&amp;(H184-M184)-IF(COUNTIF(D184,"*キャラ*"),
VLOOKUP("*キャラ*",商品マスタ!$D:$E,2,FALSE),
IF(COUNTIF(D184,"*赤*"),
VLOOKUP("*赤*",商品マスタ!$D:$E,2,FALSE),
VLOOKUP("*"&amp;D184&amp;"*",商品マスタ!$D:$E,2,FALSE)))*F184,
(H184-M184)-IF(COUNTIF(D184,"*キャラ*"),
VLOOKUP("*キャラ*",商品マスタ!$D:$E,2,FALSE),
IF(COUNTIF(D184,"*赤*"),
VLOOKUP("*赤*",商品マスタ!$D:$E,2,FALSE),
VLOOKUP("*"&amp;D184&amp;"*",商品マスタ!$D:$E,2,FALSE)))*F184),"")</f>
        <v/>
      </c>
      <c r="H184" s="108" t="str">
        <f>IF(C184&lt;&gt;"",
クライアント抽出!D44,"")</f>
        <v/>
      </c>
      <c r="I184" s="106" t="str">
        <f>IF(C184&lt;&gt;"",
IF(O184=1,0,クライアント抽出!F44),"")</f>
        <v/>
      </c>
      <c r="J184" s="106" t="str">
        <f>IF(C184&lt;&gt;"",
VLOOKUP(
"*"&amp;LEFT(IF(COUNTIF(D184,"*学食*"),"キャラ弁（学食）",
IF(COUNTIF(D184,"*赤*"),"赤",
IF(COUNTIF(D184,"*キャラ弁当*"),"キャラ弁当",D184))),4)&amp;"*",注文弁当の抽出!$F$1:$G$15,2,FALSE),"")</f>
        <v/>
      </c>
      <c r="K184" s="106" t="str">
        <f ca="1">IF(クライアント抽出!R44&lt;&gt;"",SUBSTITUTE(ADDRESS(1,(CODE(クライアント抽出!R44)-64)*2-1,4),"1",""),"")</f>
        <v/>
      </c>
      <c r="L184" s="106" t="str">
        <f>IF(C44&lt;&gt;"",クライアント抽出!I44,"")</f>
        <v/>
      </c>
      <c r="M184" s="106">
        <f t="array" aca="1" ref="M184" ca="1">IF(C184&lt;&gt;"",
IF(K184&lt;&gt;"",INDIRECT("'数出表_Excel（アレルギー入力）'!"&amp;K184&amp;L184-1&amp;""),),)</f>
        <v>0</v>
      </c>
      <c r="N184" s="106" t="str">
        <f>IF(C184&lt;&gt;"",IF(OR(COUNTIF('盛付札（関数）'!D184,"*赤*"),COUNTIF('盛付札（関数）'!D184,"*キャラ*")),1,
VALUE(VLOOKUP("*"&amp;D184&amp;"*",商品マスタ!D:H,5,FALSE))),"")</f>
        <v/>
      </c>
      <c r="O184" s="106">
        <f t="shared" ca="1" si="85"/>
        <v>0</v>
      </c>
      <c r="P184" s="106">
        <f t="shared" si="61"/>
        <v>0</v>
      </c>
      <c r="Q184" s="106" t="b">
        <f t="shared" si="62"/>
        <v>0</v>
      </c>
      <c r="R184" s="176" t="str">
        <f t="array" aca="1" ref="R184" ca="1">IFERROR(SMALL(IF(P$1:P$311&lt;&gt;0,P$1:P$311),ROW(A184)),"")</f>
        <v/>
      </c>
      <c r="S184" s="176" t="str">
        <f t="array" aca="1" ref="S184" ca="1">IF($R184&lt;&gt;"",
SUBSTITUTE(SUBSTITUTE(INDIRECT("C"&amp;$R184&amp;"")," 週3ｺｰｽ","")," 週5ｺｰｽ",""),"")</f>
        <v/>
      </c>
      <c r="T184" s="176" t="str">
        <f t="array" aca="1" ref="T184" ca="1">IF(IF($R184&lt;&gt;"",
INDIRECT(""&amp;IF(COLUMN(D184)&lt;=26,CHAR(COLUMN(D184)+64),CHAR(INT((COLUMN(D184)-1)/26)+64)&amp;CHAR(MOD(COLUMN(D184)-1,26)+65))&amp;$R184&amp;""),"")=0,"",
IF($R184&lt;&gt;"",
INDIRECT(""&amp;IF(COLUMN(D184)&lt;=26,CHAR(COLUMN(D184)+64),CHAR(INT((COLUMN(D184)-1)/26)+64)&amp;CHAR(MOD(COLUMN(D184)-1,26)+65))&amp;$R184&amp;""),""))</f>
        <v/>
      </c>
      <c r="U184" s="218" t="str">
        <f t="array" aca="1" ref="U184" ca="1">IF($R184&lt;&gt;"",
INDIRECT("F"&amp;$R184&amp;""),"")</f>
        <v/>
      </c>
      <c r="V184" s="219" t="str">
        <f t="array" aca="1" ref="V184" ca="1">IF($R184&lt;&gt;"",
INDIRECT("G"&amp;$R184&amp;""),"")</f>
        <v/>
      </c>
      <c r="W184" s="219" t="str" cm="1">
        <f t="array" aca="1" ref="W184" ca="1">IF($R184&lt;&gt;"",
IF(AND(COUNTIF(INDIRECT("B"&amp;R184&amp;""),"*雙葉*"),COUNTIF($B$71:$B$210,"*雙葉*")&gt;=1),
IF(OR(COUNTIF(INDIRECT("B"&amp;R184&amp;""),"*雙葉先生*"),COUNTIF(INDIRECT("B"&amp;R184-1&amp;""),"*雙葉*")),INDIRECT("H"&amp;R184&amp;""),INDIRECT("H"&amp;R184&amp;"")+INDIRECT("H"&amp;MATCH("雙葉'",INDIRECT("B"&amp;R184+3&amp;":B210"),0)+2+R184&amp;"")),
IF(AND(LEFT(INDIRECT("B"&amp;R184&amp;""),2)="博多",COUNTIF(B:B,"*博多*")&gt;=2),
INDIRECT("H"&amp;R184&amp;"")+IFERROR(INDIRECT("H"&amp;MATCH("*"&amp;INDIRECT("B"&amp;R184&amp;"")&amp;"*",INDIRECT("B"&amp;R184+1&amp;":B210"),0)+R184&amp;""),0),
IF(AND(LEFT(INDIRECT("B"&amp;R184&amp;""),3)="奈良屋",COUNTIF(B:B,"*奈良屋*")&gt;=2),
INDIRECT("H"&amp;R184&amp;"")
+INDIRECT("H"&amp;MATCH("*"&amp;INDIRECT("B"&amp;R184&amp;"")&amp;"*",INDIRECT("B"&amp;R184+1&amp;":B210"),0)+R184&amp;"")
+INDIRECT("H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
+INDIRECT("H"&amp;MATCH("*"&amp;INDIRECT("B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&amp;"*",INDIRECT("B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+1&amp;":B210"),0)+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,
INDIRECT("H"&amp;R184&amp;"")))),"")</f>
        <v/>
      </c>
      <c r="X184" s="176" t="str">
        <f t="array" aca="1" ref="X184" ca="1">IF($R184&lt;&gt;"",
INDIRECT(""&amp;IF(COLUMN(I184)&lt;=26,CHAR(COLUMN(I184)+64),CHAR(INT((COLUMN(I184)-1)/26)+64)&amp;CHAR(MOD(COLUMN(I184)-1,26)+65))&amp;$R184&amp;""),"")</f>
        <v/>
      </c>
      <c r="Y184" s="176" t="str">
        <f t="array" aca="1" ref="Y184" ca="1">IF($R184&lt;&gt;"",
INDIRECT(""&amp;IF(COLUMN(J184)&lt;=26,CHAR(COLUMN(J184)+64),CHAR(INT((COLUMN(J184)-1)/26)+64)&amp;CHAR(MOD(COLUMN(J184)-1,26)+65))&amp;$R184&amp;""),"")</f>
        <v/>
      </c>
      <c r="Z184" s="176" t="str">
        <f t="shared" ca="1" si="63"/>
        <v/>
      </c>
      <c r="AA184" s="176" t="str">
        <f t="shared" ca="1" si="64"/>
        <v/>
      </c>
      <c r="AB184" s="176" t="str">
        <f t="array" aca="1" ref="AB184" ca="1">IF($R184&lt;&gt;"",
IF(AND(COUNTIF(INDIRECT("B"&amp;R184&amp;""),"*雙葉*"),COUNTIF(INDIRECT("B"&amp;R184&amp;""),"&lt;&gt;*先生*"),COUNTIF(B:B,"*雙葉*")&gt;=2),
INDIRECT("M"&amp;R184&amp;"")+INDIRECT("M"&amp;MATCH("雙葉'",INDIRECT("B"&amp;R184+1&amp;":B210"),0)+R184&amp;""),
IF(AND(LEFT(INDIRECT("B"&amp;R184&amp;""),2)="博多",COUNTIF(B:B,"*博多*")&gt;=2),
INDIRECT("M"&amp;R184&amp;"")+INDIRECT("M"&amp;MATCH("*"&amp;INDIRECT("B"&amp;R184&amp;"")&amp;"*",INDIRECT("B"&amp;R184+1&amp;":B210"),0)+R184&amp;""),
IF(AND(LEFT(INDIRECT("B"&amp;R184&amp;""),3)="奈良屋",COUNTIF(B:B,"*奈良屋*")&gt;=2),
INDIRECT("M"&amp;R184&amp;"")+INDIRECT("M"&amp;MATCH("*"&amp;INDIRECT("B"&amp;R184&amp;"")&amp;"*",INDIRECT("B"&amp;R184+1&amp;":B210"),0)+R184&amp;"")
+INDIRECT("M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,
INDIRECT("M"&amp;R184&amp;"")))),"")</f>
        <v/>
      </c>
      <c r="AC184" s="176" t="str">
        <f t="shared" ca="1" si="65"/>
        <v/>
      </c>
      <c r="AD184" s="176" t="str">
        <f t="shared" ca="1" si="66"/>
        <v/>
      </c>
      <c r="AE184" s="176" t="str">
        <f t="shared" ca="1" si="67"/>
        <v/>
      </c>
      <c r="AF184" s="176" t="str">
        <f t="shared" ca="1" si="68"/>
        <v/>
      </c>
      <c r="AG184" s="176" t="str">
        <f t="shared" ca="1" si="69"/>
        <v/>
      </c>
      <c r="AH184" s="183" t="str">
        <f t="shared" ca="1" si="70"/>
        <v/>
      </c>
      <c r="AI184" s="176" t="str">
        <f t="shared" ca="1" si="71"/>
        <v/>
      </c>
      <c r="AJ184" s="176" t="str">
        <f t="shared" ca="1" si="72"/>
        <v/>
      </c>
      <c r="AK184" s="176" t="str">
        <f t="shared" ca="1" si="73"/>
        <v/>
      </c>
      <c r="AL184" s="176" t="str">
        <f t="shared" ca="1" si="74"/>
        <v/>
      </c>
      <c r="AM184" s="176" t="str">
        <f t="shared" ca="1" si="75"/>
        <v/>
      </c>
      <c r="AN184" s="176" t="str">
        <f t="shared" ca="1" si="76"/>
        <v/>
      </c>
      <c r="AO184" s="176" t="str">
        <f t="shared" ca="1" si="77"/>
        <v/>
      </c>
      <c r="AP184" s="176" t="str">
        <f t="shared" ca="1" si="78"/>
        <v/>
      </c>
      <c r="AU184" s="176" t="str">
        <f t="shared" ca="1" si="79"/>
        <v/>
      </c>
    </row>
    <row r="185" spans="1:47" ht="22.2" customHeight="1">
      <c r="A185" s="107">
        <f t="shared" si="86"/>
        <v>95</v>
      </c>
      <c r="B185" s="106" t="str">
        <f t="shared" ca="1" si="84"/>
        <v/>
      </c>
      <c r="C185" s="106" t="str">
        <f>IF(OR(クライアント抽出!D45&lt;&gt;"",クライアント抽出!G45&lt;&gt;""),クライアント抽出!A45,"")</f>
        <v/>
      </c>
      <c r="D185" s="106" t="str">
        <f t="array" aca="1" ref="D185" ca="1">IF(C185&lt;&gt;"",INDIRECT("クライアント抽出!"&amp;E185&amp;MATCH(C185,クライアント抽出!A:A,0)&amp;""),"")</f>
        <v/>
      </c>
      <c r="E185" s="106" t="str">
        <f>IF(H185&lt;&gt;0,
IFERROR(
SUBSTITUTE(ADDRESS(1,
MATCH(VALUE(H185),クライアント抽出!A45:G45,0)+8,4),"1",""),
""),
IFERROR(
SUBSTITUTE(ADDRESS(1,
MATCH(VALUE(I185),クライアント抽出!A45:G45,0)+8,4),"1",""),
""))</f>
        <v/>
      </c>
      <c r="F185" s="187" t="str">
        <f ca="1">IF(D185&lt;&gt;"",
IF(COUNTIF(C185,"*雙葉*"),
IF(ROUND((H185-M185)
/IF(COUNTIF(D185,"*キャラ*"),
VLOOKUP("*キャラ*",商品マスタ!$D:$E,2,FALSE),
IF(COUNTIF(D185,"*赤*"),
VLOOKUP("*赤*",商品マスタ!$D:$E,2,FALSE),
VLOOKUP("*"&amp;D185&amp;"*",商品マスタ!$D:$E,2,FALSE))),0)&lt;=0,1,
ROUND((H185-M185)
/IF(COUNTIF(D185,"*キャラ*"),
VLOOKUP("*キャラ*",商品マスタ!$D:$E,2,FALSE),
IF(COUNTIF(D185,"*赤*"),
VLOOKUP("*赤*",商品マスタ!$D:$E,2,FALSE),
VLOOKUP("*"&amp;D185&amp;"*",商品マスタ!$D:$E,2,FALSE))),0)),
IF(OR(COUNTIF(D185,"*キャラ*"),COUNTIF(D185,"*赤*")),"",
IF(VLOOKUP("*"&amp;D185&amp;"*",商品マスタ!$D:$E,2,FALSE)=0,"",
IF(ROUND((H185-M185)
/VLOOKUP("*"&amp;D185&amp;"*",商品マスタ!$D:$E,2,FALSE),0)&lt;=0,1,
ROUND((H185-M185)
/VLOOKUP("*"&amp;D185&amp;"*",商品マスタ!$D:$E,2,FALSE),0))))),"")</f>
        <v/>
      </c>
      <c r="G185" s="106" t="str">
        <f ca="1">IF(F185&lt;&gt;"",
IF(VALUE(H185-M185)&gt;VALUE(IF(COUNTIF(D185,"*キャラ*"),
VLOOKUP("*キャラ*",商品マスタ!$D:$E,2,FALSE),
IF(COUNTIF(D185,"*赤*"),
VLOOKUP("*赤*",商品マスタ!$D:$E,2,FALSE),
VLOOKUP("*"&amp;D185&amp;"*",商品マスタ!$D:$E,2,FALSE)))*F185),
"+"&amp;(H185-M185)-IF(COUNTIF(D185,"*キャラ*"),
VLOOKUP("*キャラ*",商品マスタ!$D:$E,2,FALSE),
IF(COUNTIF(D185,"*赤*"),
VLOOKUP("*赤*",商品マスタ!$D:$E,2,FALSE),
VLOOKUP("*"&amp;D185&amp;"*",商品マスタ!$D:$E,2,FALSE)))*F185,
(H185-M185)-IF(COUNTIF(D185,"*キャラ*"),
VLOOKUP("*キャラ*",商品マスタ!$D:$E,2,FALSE),
IF(COUNTIF(D185,"*赤*"),
VLOOKUP("*赤*",商品マスタ!$D:$E,2,FALSE),
VLOOKUP("*"&amp;D185&amp;"*",商品マスタ!$D:$E,2,FALSE)))*F185),"")</f>
        <v/>
      </c>
      <c r="H185" s="108" t="str">
        <f>IF(C185&lt;&gt;"",
クライアント抽出!D45,"")</f>
        <v/>
      </c>
      <c r="I185" s="106" t="str">
        <f>IF(C185&lt;&gt;"",
IF(O185=1,0,クライアント抽出!F45),"")</f>
        <v/>
      </c>
      <c r="J185" s="106" t="str">
        <f>IF(C185&lt;&gt;"",
VLOOKUP(
"*"&amp;LEFT(IF(COUNTIF(D185,"*学食*"),"キャラ弁（学食）",
IF(COUNTIF(D185,"*赤*"),"赤",
IF(COUNTIF(D185,"*キャラ弁当*"),"キャラ弁当",D185))),4)&amp;"*",注文弁当の抽出!$F$1:$G$15,2,FALSE),"")</f>
        <v/>
      </c>
      <c r="K185" s="106" t="str">
        <f ca="1">IF(クライアント抽出!R45&lt;&gt;"",SUBSTITUTE(ADDRESS(1,(CODE(クライアント抽出!R45)-64)*2-1,4),"1",""),"")</f>
        <v/>
      </c>
      <c r="L185" s="106" t="str">
        <f>IF(C45&lt;&gt;"",クライアント抽出!I45,"")</f>
        <v/>
      </c>
      <c r="M185" s="106">
        <f t="array" aca="1" ref="M185" ca="1">IF(C185&lt;&gt;"",
IF(K185&lt;&gt;"",INDIRECT("'数出表_Excel（アレルギー入力）'!"&amp;K185&amp;L185-1&amp;""),),)</f>
        <v>0</v>
      </c>
      <c r="N185" s="106" t="str">
        <f>IF(C185&lt;&gt;"",IF(OR(COUNTIF('盛付札（関数）'!D185,"*赤*"),COUNTIF('盛付札（関数）'!D185,"*キャラ*")),1,
VALUE(VLOOKUP("*"&amp;D185&amp;"*",商品マスタ!D:H,5,FALSE))),"")</f>
        <v/>
      </c>
      <c r="O185" s="106">
        <f t="shared" ca="1" si="85"/>
        <v>0</v>
      </c>
      <c r="P185" s="106">
        <f t="shared" si="61"/>
        <v>0</v>
      </c>
      <c r="Q185" s="106" t="b">
        <f t="shared" si="62"/>
        <v>0</v>
      </c>
      <c r="R185" s="176" t="str">
        <f t="array" aca="1" ref="R185" ca="1">IFERROR(SMALL(IF(P$1:P$311&lt;&gt;0,P$1:P$311),ROW(A185)),"")</f>
        <v/>
      </c>
      <c r="S185" s="176" t="str">
        <f t="array" aca="1" ref="S185" ca="1">IF($R185&lt;&gt;"",
SUBSTITUTE(SUBSTITUTE(INDIRECT("C"&amp;$R185&amp;"")," 週3ｺｰｽ","")," 週5ｺｰｽ",""),"")</f>
        <v/>
      </c>
      <c r="T185" s="176" t="str">
        <f t="array" aca="1" ref="T185" ca="1">IF(IF($R185&lt;&gt;"",
INDIRECT(""&amp;IF(COLUMN(D185)&lt;=26,CHAR(COLUMN(D185)+64),CHAR(INT((COLUMN(D185)-1)/26)+64)&amp;CHAR(MOD(COLUMN(D185)-1,26)+65))&amp;$R185&amp;""),"")=0,"",
IF($R185&lt;&gt;"",
INDIRECT(""&amp;IF(COLUMN(D185)&lt;=26,CHAR(COLUMN(D185)+64),CHAR(INT((COLUMN(D185)-1)/26)+64)&amp;CHAR(MOD(COLUMN(D185)-1,26)+65))&amp;$R185&amp;""),""))</f>
        <v/>
      </c>
      <c r="U185" s="218" t="str">
        <f t="array" aca="1" ref="U185" ca="1">IF($R185&lt;&gt;"",
INDIRECT("F"&amp;$R185&amp;""),"")</f>
        <v/>
      </c>
      <c r="V185" s="219" t="str">
        <f t="array" aca="1" ref="V185" ca="1">IF($R185&lt;&gt;"",
INDIRECT("G"&amp;$R185&amp;""),"")</f>
        <v/>
      </c>
      <c r="W185" s="219" t="str" cm="1">
        <f t="array" aca="1" ref="W185" ca="1">IF($R185&lt;&gt;"",
IF(AND(COUNTIF(INDIRECT("B"&amp;R185&amp;""),"*雙葉*"),COUNTIF($B$71:$B$210,"*雙葉*")&gt;=1),
IF(OR(COUNTIF(INDIRECT("B"&amp;R185&amp;""),"*雙葉先生*"),COUNTIF(INDIRECT("B"&amp;R185-1&amp;""),"*雙葉*")),INDIRECT("H"&amp;R185&amp;""),INDIRECT("H"&amp;R185&amp;"")+INDIRECT("H"&amp;MATCH("雙葉'",INDIRECT("B"&amp;R185+3&amp;":B210"),0)+2+R185&amp;"")),
IF(AND(LEFT(INDIRECT("B"&amp;R185&amp;""),2)="博多",COUNTIF(B:B,"*博多*")&gt;=2),
INDIRECT("H"&amp;R185&amp;"")+IFERROR(INDIRECT("H"&amp;MATCH("*"&amp;INDIRECT("B"&amp;R185&amp;"")&amp;"*",INDIRECT("B"&amp;R185+1&amp;":B210"),0)+R185&amp;""),0),
IF(AND(LEFT(INDIRECT("B"&amp;R185&amp;""),3)="奈良屋",COUNTIF(B:B,"*奈良屋*")&gt;=2),
INDIRECT("H"&amp;R185&amp;"")
+INDIRECT("H"&amp;MATCH("*"&amp;INDIRECT("B"&amp;R185&amp;"")&amp;"*",INDIRECT("B"&amp;R185+1&amp;":B210"),0)+R185&amp;"")
+INDIRECT("H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
+INDIRECT("H"&amp;MATCH("*"&amp;INDIRECT("B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&amp;"*",INDIRECT("B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+1&amp;":B210"),0)+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,
INDIRECT("H"&amp;R185&amp;"")))),"")</f>
        <v/>
      </c>
      <c r="X185" s="176" t="str">
        <f t="array" aca="1" ref="X185" ca="1">IF($R185&lt;&gt;"",
INDIRECT(""&amp;IF(COLUMN(I185)&lt;=26,CHAR(COLUMN(I185)+64),CHAR(INT((COLUMN(I185)-1)/26)+64)&amp;CHAR(MOD(COLUMN(I185)-1,26)+65))&amp;$R185&amp;""),"")</f>
        <v/>
      </c>
      <c r="Y185" s="176" t="str">
        <f t="array" aca="1" ref="Y185" ca="1">IF($R185&lt;&gt;"",
INDIRECT(""&amp;IF(COLUMN(J185)&lt;=26,CHAR(COLUMN(J185)+64),CHAR(INT((COLUMN(J185)-1)/26)+64)&amp;CHAR(MOD(COLUMN(J185)-1,26)+65))&amp;$R185&amp;""),"")</f>
        <v/>
      </c>
      <c r="Z185" s="176" t="str">
        <f t="shared" ca="1" si="63"/>
        <v/>
      </c>
      <c r="AA185" s="176" t="str">
        <f t="shared" ca="1" si="64"/>
        <v/>
      </c>
      <c r="AB185" s="176" t="str">
        <f t="array" aca="1" ref="AB185" ca="1">IF($R185&lt;&gt;"",
IF(AND(COUNTIF(INDIRECT("B"&amp;R185&amp;""),"*雙葉*"),COUNTIF(INDIRECT("B"&amp;R185&amp;""),"&lt;&gt;*先生*"),COUNTIF(B:B,"*雙葉*")&gt;=2),
INDIRECT("M"&amp;R185&amp;"")+INDIRECT("M"&amp;MATCH("雙葉'",INDIRECT("B"&amp;R185+1&amp;":B210"),0)+R185&amp;""),
IF(AND(LEFT(INDIRECT("B"&amp;R185&amp;""),2)="博多",COUNTIF(B:B,"*博多*")&gt;=2),
INDIRECT("M"&amp;R185&amp;"")+INDIRECT("M"&amp;MATCH("*"&amp;INDIRECT("B"&amp;R185&amp;"")&amp;"*",INDIRECT("B"&amp;R185+1&amp;":B210"),0)+R185&amp;""),
IF(AND(LEFT(INDIRECT("B"&amp;R185&amp;""),3)="奈良屋",COUNTIF(B:B,"*奈良屋*")&gt;=2),
INDIRECT("M"&amp;R185&amp;"")+INDIRECT("M"&amp;MATCH("*"&amp;INDIRECT("B"&amp;R185&amp;"")&amp;"*",INDIRECT("B"&amp;R185+1&amp;":B210"),0)+R185&amp;"")
+INDIRECT("M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,
INDIRECT("M"&amp;R185&amp;"")))),"")</f>
        <v/>
      </c>
      <c r="AC185" s="176" t="str">
        <f t="shared" ca="1" si="65"/>
        <v/>
      </c>
      <c r="AD185" s="176" t="str">
        <f t="shared" ca="1" si="66"/>
        <v/>
      </c>
      <c r="AE185" s="176" t="str">
        <f t="shared" ca="1" si="67"/>
        <v/>
      </c>
      <c r="AF185" s="176" t="str">
        <f t="shared" ca="1" si="68"/>
        <v/>
      </c>
      <c r="AG185" s="176" t="str">
        <f t="shared" ca="1" si="69"/>
        <v/>
      </c>
      <c r="AH185" s="183" t="str">
        <f t="shared" ca="1" si="70"/>
        <v/>
      </c>
      <c r="AI185" s="176" t="str">
        <f t="shared" ca="1" si="71"/>
        <v/>
      </c>
      <c r="AJ185" s="176" t="str">
        <f t="shared" ca="1" si="72"/>
        <v/>
      </c>
      <c r="AK185" s="176" t="str">
        <f t="shared" ca="1" si="73"/>
        <v/>
      </c>
      <c r="AL185" s="176" t="str">
        <f t="shared" ca="1" si="74"/>
        <v/>
      </c>
      <c r="AM185" s="176" t="str">
        <f t="shared" ca="1" si="75"/>
        <v/>
      </c>
      <c r="AN185" s="176" t="str">
        <f t="shared" ca="1" si="76"/>
        <v/>
      </c>
      <c r="AO185" s="176" t="str">
        <f t="shared" ca="1" si="77"/>
        <v/>
      </c>
      <c r="AP185" s="176" t="str">
        <f t="shared" ca="1" si="78"/>
        <v/>
      </c>
      <c r="AU185" s="176" t="str">
        <f t="shared" ca="1" si="79"/>
        <v/>
      </c>
    </row>
    <row r="186" spans="1:47" ht="22.2" customHeight="1">
      <c r="A186" s="107">
        <f t="shared" si="86"/>
        <v>97</v>
      </c>
      <c r="B186" s="106" t="str">
        <f t="shared" ca="1" si="84"/>
        <v/>
      </c>
      <c r="C186" s="106" t="str">
        <f>IF(OR(クライアント抽出!D46&lt;&gt;"",クライアント抽出!G46&lt;&gt;""),クライアント抽出!A46,"")</f>
        <v/>
      </c>
      <c r="D186" s="106" t="str">
        <f t="array" aca="1" ref="D186" ca="1">IF(C186&lt;&gt;"",INDIRECT("クライアント抽出!"&amp;E186&amp;MATCH(C186,クライアント抽出!A:A,0)&amp;""),"")</f>
        <v/>
      </c>
      <c r="E186" s="106" t="str">
        <f>IF(H186&lt;&gt;0,
IFERROR(
SUBSTITUTE(ADDRESS(1,
MATCH(VALUE(H186),クライアント抽出!A46:G46,0)+8,4),"1",""),
""),
IFERROR(
SUBSTITUTE(ADDRESS(1,
MATCH(VALUE(I186),クライアント抽出!A46:G46,0)+8,4),"1",""),
""))</f>
        <v/>
      </c>
      <c r="F186" s="187" t="str">
        <f ca="1">IF(D186&lt;&gt;"",
IF(COUNTIF(C186,"*雙葉*"),
IF(ROUND((H186-M186)
/IF(COUNTIF(D186,"*キャラ*"),
VLOOKUP("*キャラ*",商品マスタ!$D:$E,2,FALSE),
IF(COUNTIF(D186,"*赤*"),
VLOOKUP("*赤*",商品マスタ!$D:$E,2,FALSE),
VLOOKUP("*"&amp;D186&amp;"*",商品マスタ!$D:$E,2,FALSE))),0)&lt;=0,1,
ROUND((H186-M186)
/IF(COUNTIF(D186,"*キャラ*"),
VLOOKUP("*キャラ*",商品マスタ!$D:$E,2,FALSE),
IF(COUNTIF(D186,"*赤*"),
VLOOKUP("*赤*",商品マスタ!$D:$E,2,FALSE),
VLOOKUP("*"&amp;D186&amp;"*",商品マスタ!$D:$E,2,FALSE))),0)),
IF(OR(COUNTIF(D186,"*キャラ*"),COUNTIF(D186,"*赤*")),"",
IF(VLOOKUP("*"&amp;D186&amp;"*",商品マスタ!$D:$E,2,FALSE)=0,"",
IF(ROUND((H186-M186)
/VLOOKUP("*"&amp;D186&amp;"*",商品マスタ!$D:$E,2,FALSE),0)&lt;=0,1,
ROUND((H186-M186)
/VLOOKUP("*"&amp;D186&amp;"*",商品マスタ!$D:$E,2,FALSE),0))))),"")</f>
        <v/>
      </c>
      <c r="G186" s="106" t="str">
        <f ca="1">IF(F186&lt;&gt;"",
IF(VALUE(H186-M186)&gt;VALUE(IF(COUNTIF(D186,"*キャラ*"),
VLOOKUP("*キャラ*",商品マスタ!$D:$E,2,FALSE),
IF(COUNTIF(D186,"*赤*"),
VLOOKUP("*赤*",商品マスタ!$D:$E,2,FALSE),
VLOOKUP("*"&amp;D186&amp;"*",商品マスタ!$D:$E,2,FALSE)))*F186),
"+"&amp;(H186-M186)-IF(COUNTIF(D186,"*キャラ*"),
VLOOKUP("*キャラ*",商品マスタ!$D:$E,2,FALSE),
IF(COUNTIF(D186,"*赤*"),
VLOOKUP("*赤*",商品マスタ!$D:$E,2,FALSE),
VLOOKUP("*"&amp;D186&amp;"*",商品マスタ!$D:$E,2,FALSE)))*F186,
(H186-M186)-IF(COUNTIF(D186,"*キャラ*"),
VLOOKUP("*キャラ*",商品マスタ!$D:$E,2,FALSE),
IF(COUNTIF(D186,"*赤*"),
VLOOKUP("*赤*",商品マスタ!$D:$E,2,FALSE),
VLOOKUP("*"&amp;D186&amp;"*",商品マスタ!$D:$E,2,FALSE)))*F186),"")</f>
        <v/>
      </c>
      <c r="H186" s="108" t="str">
        <f>IF(C186&lt;&gt;"",
クライアント抽出!D46,"")</f>
        <v/>
      </c>
      <c r="I186" s="106" t="str">
        <f>IF(C186&lt;&gt;"",
IF(O186=1,0,クライアント抽出!F46),"")</f>
        <v/>
      </c>
      <c r="J186" s="106" t="str">
        <f>IF(C186&lt;&gt;"",
VLOOKUP(
"*"&amp;LEFT(IF(COUNTIF(D186,"*学食*"),"キャラ弁（学食）",
IF(COUNTIF(D186,"*赤*"),"赤",
IF(COUNTIF(D186,"*キャラ弁当*"),"キャラ弁当",D186))),4)&amp;"*",注文弁当の抽出!$F$1:$G$15,2,FALSE),"")</f>
        <v/>
      </c>
      <c r="K186" s="106" t="str">
        <f ca="1">IF(クライアント抽出!R46&lt;&gt;"",SUBSTITUTE(ADDRESS(1,(CODE(クライアント抽出!R46)-64)*2-1,4),"1",""),"")</f>
        <v/>
      </c>
      <c r="L186" s="106" t="str">
        <f>IF(C46&lt;&gt;"",クライアント抽出!I46,"")</f>
        <v/>
      </c>
      <c r="M186" s="106">
        <f t="array" aca="1" ref="M186" ca="1">IF(C186&lt;&gt;"",
IF(K186&lt;&gt;"",INDIRECT("'数出表_Excel（アレルギー入力）'!"&amp;K186&amp;L186-1&amp;""),),)</f>
        <v>0</v>
      </c>
      <c r="N186" s="106" t="str">
        <f>IF(C186&lt;&gt;"",IF(OR(COUNTIF('盛付札（関数）'!D186,"*赤*"),COUNTIF('盛付札（関数）'!D186,"*キャラ*")),1,
VALUE(VLOOKUP("*"&amp;D186&amp;"*",商品マスタ!D:H,5,FALSE))),"")</f>
        <v/>
      </c>
      <c r="O186" s="106">
        <f t="shared" ca="1" si="85"/>
        <v>0</v>
      </c>
      <c r="P186" s="106">
        <f t="shared" si="61"/>
        <v>0</v>
      </c>
      <c r="Q186" s="106" t="b">
        <f t="shared" si="62"/>
        <v>0</v>
      </c>
      <c r="R186" s="176" t="str">
        <f t="array" aca="1" ref="R186" ca="1">IFERROR(SMALL(IF(P$1:P$311&lt;&gt;0,P$1:P$311),ROW(A186)),"")</f>
        <v/>
      </c>
      <c r="S186" s="176" t="str">
        <f t="array" aca="1" ref="S186" ca="1">IF($R186&lt;&gt;"",
SUBSTITUTE(SUBSTITUTE(INDIRECT("C"&amp;$R186&amp;"")," 週3ｺｰｽ","")," 週5ｺｰｽ",""),"")</f>
        <v/>
      </c>
      <c r="T186" s="176" t="str">
        <f t="array" aca="1" ref="T186" ca="1">IF(IF($R186&lt;&gt;"",
INDIRECT(""&amp;IF(COLUMN(D186)&lt;=26,CHAR(COLUMN(D186)+64),CHAR(INT((COLUMN(D186)-1)/26)+64)&amp;CHAR(MOD(COLUMN(D186)-1,26)+65))&amp;$R186&amp;""),"")=0,"",
IF($R186&lt;&gt;"",
INDIRECT(""&amp;IF(COLUMN(D186)&lt;=26,CHAR(COLUMN(D186)+64),CHAR(INT((COLUMN(D186)-1)/26)+64)&amp;CHAR(MOD(COLUMN(D186)-1,26)+65))&amp;$R186&amp;""),""))</f>
        <v/>
      </c>
      <c r="U186" s="218" t="str">
        <f t="array" aca="1" ref="U186" ca="1">IF($R186&lt;&gt;"",
INDIRECT("F"&amp;$R186&amp;""),"")</f>
        <v/>
      </c>
      <c r="V186" s="219" t="str">
        <f t="array" aca="1" ref="V186" ca="1">IF($R186&lt;&gt;"",
INDIRECT("G"&amp;$R186&amp;""),"")</f>
        <v/>
      </c>
      <c r="W186" s="219" t="str" cm="1">
        <f t="array" aca="1" ref="W186" ca="1">IF($R186&lt;&gt;"",
IF(AND(COUNTIF(INDIRECT("B"&amp;R186&amp;""),"*雙葉*"),COUNTIF($B$71:$B$210,"*雙葉*")&gt;=1),
IF(OR(COUNTIF(INDIRECT("B"&amp;R186&amp;""),"*雙葉先生*"),COUNTIF(INDIRECT("B"&amp;R186-1&amp;""),"*雙葉*")),INDIRECT("H"&amp;R186&amp;""),INDIRECT("H"&amp;R186&amp;"")+INDIRECT("H"&amp;MATCH("雙葉'",INDIRECT("B"&amp;R186+3&amp;":B210"),0)+2+R186&amp;"")),
IF(AND(LEFT(INDIRECT("B"&amp;R186&amp;""),2)="博多",COUNTIF(B:B,"*博多*")&gt;=2),
INDIRECT("H"&amp;R186&amp;"")+IFERROR(INDIRECT("H"&amp;MATCH("*"&amp;INDIRECT("B"&amp;R186&amp;"")&amp;"*",INDIRECT("B"&amp;R186+1&amp;":B210"),0)+R186&amp;""),0),
IF(AND(LEFT(INDIRECT("B"&amp;R186&amp;""),3)="奈良屋",COUNTIF(B:B,"*奈良屋*")&gt;=2),
INDIRECT("H"&amp;R186&amp;"")
+INDIRECT("H"&amp;MATCH("*"&amp;INDIRECT("B"&amp;R186&amp;"")&amp;"*",INDIRECT("B"&amp;R186+1&amp;":B210"),0)+R186&amp;"")
+INDIRECT("H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
+INDIRECT("H"&amp;MATCH("*"&amp;INDIRECT("B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&amp;"*",INDIRECT("B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+1&amp;":B210"),0)+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,
INDIRECT("H"&amp;R186&amp;"")))),"")</f>
        <v/>
      </c>
      <c r="X186" s="176" t="str">
        <f t="array" aca="1" ref="X186" ca="1">IF($R186&lt;&gt;"",
INDIRECT(""&amp;IF(COLUMN(I186)&lt;=26,CHAR(COLUMN(I186)+64),CHAR(INT((COLUMN(I186)-1)/26)+64)&amp;CHAR(MOD(COLUMN(I186)-1,26)+65))&amp;$R186&amp;""),"")</f>
        <v/>
      </c>
      <c r="Y186" s="176" t="str">
        <f t="array" aca="1" ref="Y186" ca="1">IF($R186&lt;&gt;"",
INDIRECT(""&amp;IF(COLUMN(J186)&lt;=26,CHAR(COLUMN(J186)+64),CHAR(INT((COLUMN(J186)-1)/26)+64)&amp;CHAR(MOD(COLUMN(J186)-1,26)+65))&amp;$R186&amp;""),"")</f>
        <v/>
      </c>
      <c r="Z186" s="176" t="str">
        <f t="shared" ca="1" si="63"/>
        <v/>
      </c>
      <c r="AA186" s="176" t="str">
        <f t="shared" ca="1" si="64"/>
        <v/>
      </c>
      <c r="AB186" s="176" t="str">
        <f t="array" aca="1" ref="AB186" ca="1">IF($R186&lt;&gt;"",
IF(AND(COUNTIF(INDIRECT("B"&amp;R186&amp;""),"*雙葉*"),COUNTIF(INDIRECT("B"&amp;R186&amp;""),"&lt;&gt;*先生*"),COUNTIF(B:B,"*雙葉*")&gt;=2),
INDIRECT("M"&amp;R186&amp;"")+INDIRECT("M"&amp;MATCH("雙葉'",INDIRECT("B"&amp;R186+1&amp;":B210"),0)+R186&amp;""),
IF(AND(LEFT(INDIRECT("B"&amp;R186&amp;""),2)="博多",COUNTIF(B:B,"*博多*")&gt;=2),
INDIRECT("M"&amp;R186&amp;"")+INDIRECT("M"&amp;MATCH("*"&amp;INDIRECT("B"&amp;R186&amp;"")&amp;"*",INDIRECT("B"&amp;R186+1&amp;":B210"),0)+R186&amp;""),
IF(AND(LEFT(INDIRECT("B"&amp;R186&amp;""),3)="奈良屋",COUNTIF(B:B,"*奈良屋*")&gt;=2),
INDIRECT("M"&amp;R186&amp;"")+INDIRECT("M"&amp;MATCH("*"&amp;INDIRECT("B"&amp;R186&amp;"")&amp;"*",INDIRECT("B"&amp;R186+1&amp;":B210"),0)+R186&amp;"")
+INDIRECT("M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,
INDIRECT("M"&amp;R186&amp;"")))),"")</f>
        <v/>
      </c>
      <c r="AC186" s="176" t="str">
        <f t="shared" ca="1" si="65"/>
        <v/>
      </c>
      <c r="AD186" s="176" t="str">
        <f t="shared" ca="1" si="66"/>
        <v/>
      </c>
      <c r="AE186" s="176" t="str">
        <f t="shared" ca="1" si="67"/>
        <v/>
      </c>
      <c r="AF186" s="176" t="str">
        <f t="shared" ca="1" si="68"/>
        <v/>
      </c>
      <c r="AG186" s="176" t="str">
        <f t="shared" ca="1" si="69"/>
        <v/>
      </c>
      <c r="AH186" s="183" t="str">
        <f t="shared" ca="1" si="70"/>
        <v/>
      </c>
      <c r="AI186" s="176" t="str">
        <f t="shared" ca="1" si="71"/>
        <v/>
      </c>
      <c r="AJ186" s="176" t="str">
        <f t="shared" ca="1" si="72"/>
        <v/>
      </c>
      <c r="AK186" s="176" t="str">
        <f t="shared" ca="1" si="73"/>
        <v/>
      </c>
      <c r="AL186" s="176" t="str">
        <f t="shared" ca="1" si="74"/>
        <v/>
      </c>
      <c r="AM186" s="176" t="str">
        <f t="shared" ca="1" si="75"/>
        <v/>
      </c>
      <c r="AN186" s="176" t="str">
        <f t="shared" ca="1" si="76"/>
        <v/>
      </c>
      <c r="AO186" s="176" t="str">
        <f t="shared" ca="1" si="77"/>
        <v/>
      </c>
      <c r="AP186" s="176" t="str">
        <f t="shared" ca="1" si="78"/>
        <v/>
      </c>
      <c r="AU186" s="176" t="str">
        <f t="shared" ca="1" si="79"/>
        <v/>
      </c>
    </row>
    <row r="187" spans="1:47" ht="22.2" customHeight="1">
      <c r="A187" s="107">
        <f t="shared" si="86"/>
        <v>99</v>
      </c>
      <c r="B187" s="106" t="str">
        <f t="shared" ca="1" si="84"/>
        <v/>
      </c>
      <c r="C187" s="106" t="str">
        <f>IF(OR(クライアント抽出!D47&lt;&gt;"",クライアント抽出!G47&lt;&gt;""),クライアント抽出!A47,"")</f>
        <v/>
      </c>
      <c r="D187" s="106" t="str">
        <f t="array" aca="1" ref="D187" ca="1">IF(C187&lt;&gt;"",INDIRECT("クライアント抽出!"&amp;E187&amp;MATCH(C187,クライアント抽出!A:A,0)&amp;""),"")</f>
        <v/>
      </c>
      <c r="E187" s="106" t="str">
        <f>IF(H187&lt;&gt;0,
IFERROR(
SUBSTITUTE(ADDRESS(1,
MATCH(VALUE(H187),クライアント抽出!A47:G47,0)+8,4),"1",""),
""),
IFERROR(
SUBSTITUTE(ADDRESS(1,
MATCH(VALUE(I187),クライアント抽出!A47:G47,0)+8,4),"1",""),
""))</f>
        <v/>
      </c>
      <c r="F187" s="187" t="str">
        <f ca="1">IF(D187&lt;&gt;"",
IF(COUNTIF(C187,"*雙葉*"),
IF(ROUND((H187-M187)
/IF(COUNTIF(D187,"*キャラ*"),
VLOOKUP("*キャラ*",商品マスタ!$D:$E,2,FALSE),
IF(COUNTIF(D187,"*赤*"),
VLOOKUP("*赤*",商品マスタ!$D:$E,2,FALSE),
VLOOKUP("*"&amp;D187&amp;"*",商品マスタ!$D:$E,2,FALSE))),0)&lt;=0,1,
ROUND((H187-M187)
/IF(COUNTIF(D187,"*キャラ*"),
VLOOKUP("*キャラ*",商品マスタ!$D:$E,2,FALSE),
IF(COUNTIF(D187,"*赤*"),
VLOOKUP("*赤*",商品マスタ!$D:$E,2,FALSE),
VLOOKUP("*"&amp;D187&amp;"*",商品マスタ!$D:$E,2,FALSE))),0)),
IF(OR(COUNTIF(D187,"*キャラ*"),COUNTIF(D187,"*赤*")),"",
IF(VLOOKUP("*"&amp;D187&amp;"*",商品マスタ!$D:$E,2,FALSE)=0,"",
IF(ROUND((H187-M187)
/VLOOKUP("*"&amp;D187&amp;"*",商品マスタ!$D:$E,2,FALSE),0)&lt;=0,1,
ROUND((H187-M187)
/VLOOKUP("*"&amp;D187&amp;"*",商品マスタ!$D:$E,2,FALSE),0))))),"")</f>
        <v/>
      </c>
      <c r="G187" s="106" t="str">
        <f ca="1">IF(F187&lt;&gt;"",
IF(VALUE(H187-M187)&gt;VALUE(IF(COUNTIF(D187,"*キャラ*"),
VLOOKUP("*キャラ*",商品マスタ!$D:$E,2,FALSE),
IF(COUNTIF(D187,"*赤*"),
VLOOKUP("*赤*",商品マスタ!$D:$E,2,FALSE),
VLOOKUP("*"&amp;D187&amp;"*",商品マスタ!$D:$E,2,FALSE)))*F187),
"+"&amp;(H187-M187)-IF(COUNTIF(D187,"*キャラ*"),
VLOOKUP("*キャラ*",商品マスタ!$D:$E,2,FALSE),
IF(COUNTIF(D187,"*赤*"),
VLOOKUP("*赤*",商品マスタ!$D:$E,2,FALSE),
VLOOKUP("*"&amp;D187&amp;"*",商品マスタ!$D:$E,2,FALSE)))*F187,
(H187-M187)-IF(COUNTIF(D187,"*キャラ*"),
VLOOKUP("*キャラ*",商品マスタ!$D:$E,2,FALSE),
IF(COUNTIF(D187,"*赤*"),
VLOOKUP("*赤*",商品マスタ!$D:$E,2,FALSE),
VLOOKUP("*"&amp;D187&amp;"*",商品マスタ!$D:$E,2,FALSE)))*F187),"")</f>
        <v/>
      </c>
      <c r="H187" s="108" t="str">
        <f>IF(C187&lt;&gt;"",
クライアント抽出!D47,"")</f>
        <v/>
      </c>
      <c r="I187" s="106" t="str">
        <f>IF(C187&lt;&gt;"",
IF(O187=1,0,クライアント抽出!F47),"")</f>
        <v/>
      </c>
      <c r="J187" s="106" t="str">
        <f>IF(C187&lt;&gt;"",
VLOOKUP(
"*"&amp;LEFT(IF(COUNTIF(D187,"*学食*"),"キャラ弁（学食）",
IF(COUNTIF(D187,"*赤*"),"赤",
IF(COUNTIF(D187,"*キャラ弁当*"),"キャラ弁当",D187))),4)&amp;"*",注文弁当の抽出!$F$1:$G$15,2,FALSE),"")</f>
        <v/>
      </c>
      <c r="K187" s="106" t="str">
        <f ca="1">IF(クライアント抽出!R47&lt;&gt;"",SUBSTITUTE(ADDRESS(1,(CODE(クライアント抽出!R47)-64)*2-1,4),"1",""),"")</f>
        <v/>
      </c>
      <c r="L187" s="106" t="str">
        <f>IF(C47&lt;&gt;"",クライアント抽出!I47,"")</f>
        <v/>
      </c>
      <c r="M187" s="106">
        <f t="array" aca="1" ref="M187" ca="1">IF(C187&lt;&gt;"",
IF(K187&lt;&gt;"",INDIRECT("'数出表_Excel（アレルギー入力）'!"&amp;K187&amp;L187-1&amp;""),),)</f>
        <v>0</v>
      </c>
      <c r="N187" s="106" t="str">
        <f>IF(C187&lt;&gt;"",IF(OR(COUNTIF('盛付札（関数）'!D187,"*赤*"),COUNTIF('盛付札（関数）'!D187,"*キャラ*")),1,
VALUE(VLOOKUP("*"&amp;D187&amp;"*",商品マスタ!D:H,5,FALSE))),"")</f>
        <v/>
      </c>
      <c r="O187" s="106">
        <f t="shared" ca="1" si="85"/>
        <v>0</v>
      </c>
      <c r="P187" s="106">
        <f t="shared" si="61"/>
        <v>0</v>
      </c>
      <c r="Q187" s="106" t="b">
        <f t="shared" si="62"/>
        <v>0</v>
      </c>
      <c r="R187" s="176" t="str">
        <f t="array" aca="1" ref="R187" ca="1">IFERROR(SMALL(IF(P$1:P$311&lt;&gt;0,P$1:P$311),ROW(A187)),"")</f>
        <v/>
      </c>
      <c r="S187" s="176" t="str">
        <f t="array" aca="1" ref="S187" ca="1">IF($R187&lt;&gt;"",
SUBSTITUTE(SUBSTITUTE(INDIRECT("C"&amp;$R187&amp;"")," 週3ｺｰｽ","")," 週5ｺｰｽ",""),"")</f>
        <v/>
      </c>
      <c r="T187" s="176" t="str">
        <f t="array" aca="1" ref="T187" ca="1">IF(IF($R187&lt;&gt;"",
INDIRECT(""&amp;IF(COLUMN(D187)&lt;=26,CHAR(COLUMN(D187)+64),CHAR(INT((COLUMN(D187)-1)/26)+64)&amp;CHAR(MOD(COLUMN(D187)-1,26)+65))&amp;$R187&amp;""),"")=0,"",
IF($R187&lt;&gt;"",
INDIRECT(""&amp;IF(COLUMN(D187)&lt;=26,CHAR(COLUMN(D187)+64),CHAR(INT((COLUMN(D187)-1)/26)+64)&amp;CHAR(MOD(COLUMN(D187)-1,26)+65))&amp;$R187&amp;""),""))</f>
        <v/>
      </c>
      <c r="U187" s="218" t="str">
        <f t="array" aca="1" ref="U187" ca="1">IF($R187&lt;&gt;"",
INDIRECT("F"&amp;$R187&amp;""),"")</f>
        <v/>
      </c>
      <c r="V187" s="219" t="str">
        <f t="array" aca="1" ref="V187" ca="1">IF($R187&lt;&gt;"",
INDIRECT("G"&amp;$R187&amp;""),"")</f>
        <v/>
      </c>
      <c r="W187" s="219" t="str" cm="1">
        <f t="array" aca="1" ref="W187" ca="1">IF($R187&lt;&gt;"",
IF(AND(COUNTIF(INDIRECT("B"&amp;R187&amp;""),"*雙葉*"),COUNTIF($B$71:$B$210,"*雙葉*")&gt;=1),
IF(OR(COUNTIF(INDIRECT("B"&amp;R187&amp;""),"*雙葉先生*"),COUNTIF(INDIRECT("B"&amp;R187-1&amp;""),"*雙葉*")),INDIRECT("H"&amp;R187&amp;""),INDIRECT("H"&amp;R187&amp;"")+INDIRECT("H"&amp;MATCH("雙葉'",INDIRECT("B"&amp;R187+3&amp;":B210"),0)+2+R187&amp;"")),
IF(AND(LEFT(INDIRECT("B"&amp;R187&amp;""),2)="博多",COUNTIF(B:B,"*博多*")&gt;=2),
INDIRECT("H"&amp;R187&amp;"")+IFERROR(INDIRECT("H"&amp;MATCH("*"&amp;INDIRECT("B"&amp;R187&amp;"")&amp;"*",INDIRECT("B"&amp;R187+1&amp;":B210"),0)+R187&amp;""),0),
IF(AND(LEFT(INDIRECT("B"&amp;R187&amp;""),3)="奈良屋",COUNTIF(B:B,"*奈良屋*")&gt;=2),
INDIRECT("H"&amp;R187&amp;"")
+INDIRECT("H"&amp;MATCH("*"&amp;INDIRECT("B"&amp;R187&amp;"")&amp;"*",INDIRECT("B"&amp;R187+1&amp;":B210"),0)+R187&amp;"")
+INDIRECT("H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
+INDIRECT("H"&amp;MATCH("*"&amp;INDIRECT("B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&amp;"*",INDIRECT("B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+1&amp;":B210"),0)+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,
INDIRECT("H"&amp;R187&amp;"")))),"")</f>
        <v/>
      </c>
      <c r="X187" s="176" t="str">
        <f t="array" aca="1" ref="X187" ca="1">IF($R187&lt;&gt;"",
INDIRECT(""&amp;IF(COLUMN(I187)&lt;=26,CHAR(COLUMN(I187)+64),CHAR(INT((COLUMN(I187)-1)/26)+64)&amp;CHAR(MOD(COLUMN(I187)-1,26)+65))&amp;$R187&amp;""),"")</f>
        <v/>
      </c>
      <c r="Y187" s="176" t="str">
        <f t="array" aca="1" ref="Y187" ca="1">IF($R187&lt;&gt;"",
INDIRECT(""&amp;IF(COLUMN(J187)&lt;=26,CHAR(COLUMN(J187)+64),CHAR(INT((COLUMN(J187)-1)/26)+64)&amp;CHAR(MOD(COLUMN(J187)-1,26)+65))&amp;$R187&amp;""),"")</f>
        <v/>
      </c>
      <c r="Z187" s="176" t="str">
        <f t="shared" ca="1" si="63"/>
        <v/>
      </c>
      <c r="AA187" s="176" t="str">
        <f t="shared" ca="1" si="64"/>
        <v/>
      </c>
      <c r="AB187" s="176" t="str">
        <f t="array" aca="1" ref="AB187" ca="1">IF($R187&lt;&gt;"",
IF(AND(COUNTIF(INDIRECT("B"&amp;R187&amp;""),"*雙葉*"),COUNTIF(INDIRECT("B"&amp;R187&amp;""),"&lt;&gt;*先生*"),COUNTIF(B:B,"*雙葉*")&gt;=2),
INDIRECT("M"&amp;R187&amp;"")+INDIRECT("M"&amp;MATCH("雙葉'",INDIRECT("B"&amp;R187+1&amp;":B210"),0)+R187&amp;""),
IF(AND(LEFT(INDIRECT("B"&amp;R187&amp;""),2)="博多",COUNTIF(B:B,"*博多*")&gt;=2),
INDIRECT("M"&amp;R187&amp;"")+INDIRECT("M"&amp;MATCH("*"&amp;INDIRECT("B"&amp;R187&amp;"")&amp;"*",INDIRECT("B"&amp;R187+1&amp;":B210"),0)+R187&amp;""),
IF(AND(LEFT(INDIRECT("B"&amp;R187&amp;""),3)="奈良屋",COUNTIF(B:B,"*奈良屋*")&gt;=2),
INDIRECT("M"&amp;R187&amp;"")+INDIRECT("M"&amp;MATCH("*"&amp;INDIRECT("B"&amp;R187&amp;"")&amp;"*",INDIRECT("B"&amp;R187+1&amp;":B210"),0)+R187&amp;"")
+INDIRECT("M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,
INDIRECT("M"&amp;R187&amp;"")))),"")</f>
        <v/>
      </c>
      <c r="AC187" s="176" t="str">
        <f t="shared" ca="1" si="65"/>
        <v/>
      </c>
      <c r="AD187" s="176" t="str">
        <f t="shared" ca="1" si="66"/>
        <v/>
      </c>
      <c r="AE187" s="176" t="str">
        <f t="shared" ca="1" si="67"/>
        <v/>
      </c>
      <c r="AF187" s="176" t="str">
        <f t="shared" ca="1" si="68"/>
        <v/>
      </c>
      <c r="AG187" s="176" t="str">
        <f t="shared" ca="1" si="69"/>
        <v/>
      </c>
      <c r="AH187" s="183" t="str">
        <f t="shared" ca="1" si="70"/>
        <v/>
      </c>
      <c r="AI187" s="176" t="str">
        <f t="shared" ca="1" si="71"/>
        <v/>
      </c>
      <c r="AJ187" s="176" t="str">
        <f t="shared" ca="1" si="72"/>
        <v/>
      </c>
      <c r="AK187" s="176" t="str">
        <f t="shared" ca="1" si="73"/>
        <v/>
      </c>
      <c r="AL187" s="176" t="str">
        <f t="shared" ca="1" si="74"/>
        <v/>
      </c>
      <c r="AM187" s="176" t="str">
        <f t="shared" ca="1" si="75"/>
        <v/>
      </c>
      <c r="AN187" s="176" t="str">
        <f t="shared" ca="1" si="76"/>
        <v/>
      </c>
      <c r="AO187" s="176" t="str">
        <f t="shared" ca="1" si="77"/>
        <v/>
      </c>
      <c r="AP187" s="176" t="str">
        <f t="shared" ca="1" si="78"/>
        <v/>
      </c>
      <c r="AU187" s="176" t="str">
        <f t="shared" ca="1" si="79"/>
        <v/>
      </c>
    </row>
    <row r="188" spans="1:47" ht="22.2" customHeight="1">
      <c r="A188" s="107">
        <f t="shared" si="86"/>
        <v>101</v>
      </c>
      <c r="B188" s="106" t="str">
        <f t="shared" ca="1" si="84"/>
        <v/>
      </c>
      <c r="C188" s="106" t="str">
        <f>IF(OR(クライアント抽出!D48&lt;&gt;"",クライアント抽出!G48&lt;&gt;""),クライアント抽出!A48,"")</f>
        <v/>
      </c>
      <c r="D188" s="106" t="str">
        <f t="array" aca="1" ref="D188" ca="1">IF(C188&lt;&gt;"",INDIRECT("クライアント抽出!"&amp;E188&amp;MATCH(C188,クライアント抽出!A:A,0)&amp;""),"")</f>
        <v/>
      </c>
      <c r="E188" s="106" t="str">
        <f>IF(H188&lt;&gt;0,
IFERROR(
SUBSTITUTE(ADDRESS(1,
MATCH(VALUE(H188),クライアント抽出!A48:G48,0)+8,4),"1",""),
""),
IFERROR(
SUBSTITUTE(ADDRESS(1,
MATCH(VALUE(I188),クライアント抽出!A48:G48,0)+8,4),"1",""),
""))</f>
        <v/>
      </c>
      <c r="F188" s="187" t="str">
        <f ca="1">IF(D188&lt;&gt;"",
IF(COUNTIF(C188,"*雙葉*"),
IF(ROUND((H188-M188)
/IF(COUNTIF(D188,"*キャラ*"),
VLOOKUP("*キャラ*",商品マスタ!$D:$E,2,FALSE),
IF(COUNTIF(D188,"*赤*"),
VLOOKUP("*赤*",商品マスタ!$D:$E,2,FALSE),
VLOOKUP("*"&amp;D188&amp;"*",商品マスタ!$D:$E,2,FALSE))),0)&lt;=0,1,
ROUND((H188-M188)
/IF(COUNTIF(D188,"*キャラ*"),
VLOOKUP("*キャラ*",商品マスタ!$D:$E,2,FALSE),
IF(COUNTIF(D188,"*赤*"),
VLOOKUP("*赤*",商品マスタ!$D:$E,2,FALSE),
VLOOKUP("*"&amp;D188&amp;"*",商品マスタ!$D:$E,2,FALSE))),0)),
IF(OR(COUNTIF(D188,"*キャラ*"),COUNTIF(D188,"*赤*")),"",
IF(VLOOKUP("*"&amp;D188&amp;"*",商品マスタ!$D:$E,2,FALSE)=0,"",
IF(ROUND((H188-M188)
/VLOOKUP("*"&amp;D188&amp;"*",商品マスタ!$D:$E,2,FALSE),0)&lt;=0,1,
ROUND((H188-M188)
/VLOOKUP("*"&amp;D188&amp;"*",商品マスタ!$D:$E,2,FALSE),0))))),"")</f>
        <v/>
      </c>
      <c r="G188" s="106" t="str">
        <f ca="1">IF(F188&lt;&gt;"",
IF(VALUE(H188-M188)&gt;VALUE(IF(COUNTIF(D188,"*キャラ*"),
VLOOKUP("*キャラ*",商品マスタ!$D:$E,2,FALSE),
IF(COUNTIF(D188,"*赤*"),
VLOOKUP("*赤*",商品マスタ!$D:$E,2,FALSE),
VLOOKUP("*"&amp;D188&amp;"*",商品マスタ!$D:$E,2,FALSE)))*F188),
"+"&amp;(H188-M188)-IF(COUNTIF(D188,"*キャラ*"),
VLOOKUP("*キャラ*",商品マスタ!$D:$E,2,FALSE),
IF(COUNTIF(D188,"*赤*"),
VLOOKUP("*赤*",商品マスタ!$D:$E,2,FALSE),
VLOOKUP("*"&amp;D188&amp;"*",商品マスタ!$D:$E,2,FALSE)))*F188,
(H188-M188)-IF(COUNTIF(D188,"*キャラ*"),
VLOOKUP("*キャラ*",商品マスタ!$D:$E,2,FALSE),
IF(COUNTIF(D188,"*赤*"),
VLOOKUP("*赤*",商品マスタ!$D:$E,2,FALSE),
VLOOKUP("*"&amp;D188&amp;"*",商品マスタ!$D:$E,2,FALSE)))*F188),"")</f>
        <v/>
      </c>
      <c r="H188" s="108" t="str">
        <f>IF(C188&lt;&gt;"",
クライアント抽出!D48,"")</f>
        <v/>
      </c>
      <c r="I188" s="106" t="str">
        <f>IF(C188&lt;&gt;"",
IF(O188=1,0,クライアント抽出!F48),"")</f>
        <v/>
      </c>
      <c r="J188" s="106" t="str">
        <f>IF(C188&lt;&gt;"",
VLOOKUP(
"*"&amp;LEFT(IF(COUNTIF(D188,"*学食*"),"キャラ弁（学食）",
IF(COUNTIF(D188,"*赤*"),"赤",
IF(COUNTIF(D188,"*キャラ弁当*"),"キャラ弁当",D188))),4)&amp;"*",注文弁当の抽出!$F$1:$G$15,2,FALSE),"")</f>
        <v/>
      </c>
      <c r="K188" s="106" t="str">
        <f ca="1">IF(クライアント抽出!R48&lt;&gt;"",SUBSTITUTE(ADDRESS(1,(CODE(クライアント抽出!R48)-64)*2-1,4),"1",""),"")</f>
        <v/>
      </c>
      <c r="L188" s="106" t="str">
        <f>IF(C48&lt;&gt;"",クライアント抽出!I48,"")</f>
        <v/>
      </c>
      <c r="M188" s="106">
        <f t="array" aca="1" ref="M188" ca="1">IF(C188&lt;&gt;"",
IF(K188&lt;&gt;"",INDIRECT("'数出表_Excel（アレルギー入力）'!"&amp;K188&amp;L188-1&amp;""),),)</f>
        <v>0</v>
      </c>
      <c r="N188" s="106" t="str">
        <f>IF(C188&lt;&gt;"",IF(OR(COUNTIF('盛付札（関数）'!D188,"*赤*"),COUNTIF('盛付札（関数）'!D188,"*キャラ*")),1,
VALUE(VLOOKUP("*"&amp;D188&amp;"*",商品マスタ!D:H,5,FALSE))),"")</f>
        <v/>
      </c>
      <c r="O188" s="106">
        <f t="shared" ca="1" si="85"/>
        <v>0</v>
      </c>
      <c r="P188" s="106">
        <f t="shared" si="61"/>
        <v>0</v>
      </c>
      <c r="Q188" s="106" t="b">
        <f t="shared" si="62"/>
        <v>0</v>
      </c>
      <c r="R188" s="176" t="str">
        <f t="array" aca="1" ref="R188" ca="1">IFERROR(SMALL(IF(P$1:P$311&lt;&gt;0,P$1:P$311),ROW(A188)),"")</f>
        <v/>
      </c>
      <c r="S188" s="176" t="str">
        <f t="array" aca="1" ref="S188" ca="1">IF($R188&lt;&gt;"",
SUBSTITUTE(SUBSTITUTE(INDIRECT("C"&amp;$R188&amp;"")," 週3ｺｰｽ","")," 週5ｺｰｽ",""),"")</f>
        <v/>
      </c>
      <c r="T188" s="176" t="str">
        <f t="array" aca="1" ref="T188" ca="1">IF(IF($R188&lt;&gt;"",
INDIRECT(""&amp;IF(COLUMN(D188)&lt;=26,CHAR(COLUMN(D188)+64),CHAR(INT((COLUMN(D188)-1)/26)+64)&amp;CHAR(MOD(COLUMN(D188)-1,26)+65))&amp;$R188&amp;""),"")=0,"",
IF($R188&lt;&gt;"",
INDIRECT(""&amp;IF(COLUMN(D188)&lt;=26,CHAR(COLUMN(D188)+64),CHAR(INT((COLUMN(D188)-1)/26)+64)&amp;CHAR(MOD(COLUMN(D188)-1,26)+65))&amp;$R188&amp;""),""))</f>
        <v/>
      </c>
      <c r="U188" s="218" t="str">
        <f t="array" aca="1" ref="U188" ca="1">IF($R188&lt;&gt;"",
INDIRECT("F"&amp;$R188&amp;""),"")</f>
        <v/>
      </c>
      <c r="V188" s="219" t="str">
        <f t="array" aca="1" ref="V188" ca="1">IF($R188&lt;&gt;"",
INDIRECT("G"&amp;$R188&amp;""),"")</f>
        <v/>
      </c>
      <c r="W188" s="219" t="str" cm="1">
        <f t="array" aca="1" ref="W188" ca="1">IF($R188&lt;&gt;"",
IF(AND(COUNTIF(INDIRECT("B"&amp;R188&amp;""),"*雙葉*"),COUNTIF($B$71:$B$210,"*雙葉*")&gt;=1),
IF(OR(COUNTIF(INDIRECT("B"&amp;R188&amp;""),"*雙葉先生*"),COUNTIF(INDIRECT("B"&amp;R188-1&amp;""),"*雙葉*")),INDIRECT("H"&amp;R188&amp;""),INDIRECT("H"&amp;R188&amp;"")+INDIRECT("H"&amp;MATCH("雙葉'",INDIRECT("B"&amp;R188+3&amp;":B210"),0)+2+R188&amp;"")),
IF(AND(LEFT(INDIRECT("B"&amp;R188&amp;""),2)="博多",COUNTIF(B:B,"*博多*")&gt;=2),
INDIRECT("H"&amp;R188&amp;"")+IFERROR(INDIRECT("H"&amp;MATCH("*"&amp;INDIRECT("B"&amp;R188&amp;"")&amp;"*",INDIRECT("B"&amp;R188+1&amp;":B210"),0)+R188&amp;""),0),
IF(AND(LEFT(INDIRECT("B"&amp;R188&amp;""),3)="奈良屋",COUNTIF(B:B,"*奈良屋*")&gt;=2),
INDIRECT("H"&amp;R188&amp;"")
+INDIRECT("H"&amp;MATCH("*"&amp;INDIRECT("B"&amp;R188&amp;"")&amp;"*",INDIRECT("B"&amp;R188+1&amp;":B210"),0)+R188&amp;"")
+INDIRECT("H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
+INDIRECT("H"&amp;MATCH("*"&amp;INDIRECT("B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&amp;"*",INDIRECT("B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+1&amp;":B210"),0)+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,
INDIRECT("H"&amp;R188&amp;"")))),"")</f>
        <v/>
      </c>
      <c r="X188" s="176" t="str">
        <f t="array" aca="1" ref="X188" ca="1">IF($R188&lt;&gt;"",
INDIRECT(""&amp;IF(COLUMN(I188)&lt;=26,CHAR(COLUMN(I188)+64),CHAR(INT((COLUMN(I188)-1)/26)+64)&amp;CHAR(MOD(COLUMN(I188)-1,26)+65))&amp;$R188&amp;""),"")</f>
        <v/>
      </c>
      <c r="Y188" s="176" t="str">
        <f t="array" aca="1" ref="Y188" ca="1">IF($R188&lt;&gt;"",
INDIRECT(""&amp;IF(COLUMN(J188)&lt;=26,CHAR(COLUMN(J188)+64),CHAR(INT((COLUMN(J188)-1)/26)+64)&amp;CHAR(MOD(COLUMN(J188)-1,26)+65))&amp;$R188&amp;""),"")</f>
        <v/>
      </c>
      <c r="Z188" s="176" t="str">
        <f t="shared" ca="1" si="63"/>
        <v/>
      </c>
      <c r="AA188" s="176" t="str">
        <f t="shared" ca="1" si="64"/>
        <v/>
      </c>
      <c r="AB188" s="176" t="str">
        <f t="array" aca="1" ref="AB188" ca="1">IF($R188&lt;&gt;"",
IF(AND(COUNTIF(INDIRECT("B"&amp;R188&amp;""),"*雙葉*"),COUNTIF(INDIRECT("B"&amp;R188&amp;""),"&lt;&gt;*先生*"),COUNTIF(B:B,"*雙葉*")&gt;=2),
INDIRECT("M"&amp;R188&amp;"")+INDIRECT("M"&amp;MATCH("雙葉'",INDIRECT("B"&amp;R188+1&amp;":B210"),0)+R188&amp;""),
IF(AND(LEFT(INDIRECT("B"&amp;R188&amp;""),2)="博多",COUNTIF(B:B,"*博多*")&gt;=2),
INDIRECT("M"&amp;R188&amp;"")+INDIRECT("M"&amp;MATCH("*"&amp;INDIRECT("B"&amp;R188&amp;"")&amp;"*",INDIRECT("B"&amp;R188+1&amp;":B210"),0)+R188&amp;""),
IF(AND(LEFT(INDIRECT("B"&amp;R188&amp;""),3)="奈良屋",COUNTIF(B:B,"*奈良屋*")&gt;=2),
INDIRECT("M"&amp;R188&amp;"")+INDIRECT("M"&amp;MATCH("*"&amp;INDIRECT("B"&amp;R188&amp;"")&amp;"*",INDIRECT("B"&amp;R188+1&amp;":B210"),0)+R188&amp;"")
+INDIRECT("M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,
INDIRECT("M"&amp;R188&amp;"")))),"")</f>
        <v/>
      </c>
      <c r="AC188" s="176" t="str">
        <f t="shared" ca="1" si="65"/>
        <v/>
      </c>
      <c r="AD188" s="176" t="str">
        <f t="shared" ca="1" si="66"/>
        <v/>
      </c>
      <c r="AE188" s="176" t="str">
        <f t="shared" ca="1" si="67"/>
        <v/>
      </c>
      <c r="AF188" s="176" t="str">
        <f t="shared" ca="1" si="68"/>
        <v/>
      </c>
      <c r="AG188" s="176" t="str">
        <f t="shared" ca="1" si="69"/>
        <v/>
      </c>
      <c r="AH188" s="183" t="str">
        <f t="shared" ca="1" si="70"/>
        <v/>
      </c>
      <c r="AI188" s="176" t="str">
        <f t="shared" ca="1" si="71"/>
        <v/>
      </c>
      <c r="AJ188" s="176" t="str">
        <f t="shared" ca="1" si="72"/>
        <v/>
      </c>
      <c r="AK188" s="176" t="str">
        <f t="shared" ca="1" si="73"/>
        <v/>
      </c>
      <c r="AL188" s="176" t="str">
        <f t="shared" ca="1" si="74"/>
        <v/>
      </c>
      <c r="AM188" s="176" t="str">
        <f t="shared" ca="1" si="75"/>
        <v/>
      </c>
      <c r="AN188" s="176" t="str">
        <f t="shared" ca="1" si="76"/>
        <v/>
      </c>
      <c r="AO188" s="176" t="str">
        <f t="shared" ca="1" si="77"/>
        <v/>
      </c>
      <c r="AP188" s="176" t="str">
        <f t="shared" ca="1" si="78"/>
        <v/>
      </c>
      <c r="AU188" s="176" t="str">
        <f t="shared" ca="1" si="79"/>
        <v/>
      </c>
    </row>
    <row r="189" spans="1:47" ht="22.2" customHeight="1">
      <c r="A189" s="107">
        <f t="shared" si="86"/>
        <v>103</v>
      </c>
      <c r="B189" s="106" t="str">
        <f t="shared" ca="1" si="84"/>
        <v/>
      </c>
      <c r="C189" s="106" t="str">
        <f>IF(OR(クライアント抽出!D49&lt;&gt;"",クライアント抽出!G49&lt;&gt;""),クライアント抽出!A49,"")</f>
        <v/>
      </c>
      <c r="D189" s="106" t="str">
        <f t="array" aca="1" ref="D189" ca="1">IF(C189&lt;&gt;"",INDIRECT("クライアント抽出!"&amp;E189&amp;MATCH(C189,クライアント抽出!A:A,0)&amp;""),"")</f>
        <v/>
      </c>
      <c r="E189" s="106" t="str">
        <f>IF(H189&lt;&gt;0,
IFERROR(
SUBSTITUTE(ADDRESS(1,
MATCH(VALUE(H189),クライアント抽出!A49:G49,0)+8,4),"1",""),
""),
IFERROR(
SUBSTITUTE(ADDRESS(1,
MATCH(VALUE(I189),クライアント抽出!A49:G49,0)+8,4),"1",""),
""))</f>
        <v/>
      </c>
      <c r="F189" s="187" t="str">
        <f ca="1">IF(D189&lt;&gt;"",
IF(COUNTIF(C189,"*雙葉*"),
IF(ROUND((H189-M189)
/IF(COUNTIF(D189,"*キャラ*"),
VLOOKUP("*キャラ*",商品マスタ!$D:$E,2,FALSE),
IF(COUNTIF(D189,"*赤*"),
VLOOKUP("*赤*",商品マスタ!$D:$E,2,FALSE),
VLOOKUP("*"&amp;D189&amp;"*",商品マスタ!$D:$E,2,FALSE))),0)&lt;=0,1,
ROUND((H189-M189)
/IF(COUNTIF(D189,"*キャラ*"),
VLOOKUP("*キャラ*",商品マスタ!$D:$E,2,FALSE),
IF(COUNTIF(D189,"*赤*"),
VLOOKUP("*赤*",商品マスタ!$D:$E,2,FALSE),
VLOOKUP("*"&amp;D189&amp;"*",商品マスタ!$D:$E,2,FALSE))),0)),
IF(OR(COUNTIF(D189,"*キャラ*"),COUNTIF(D189,"*赤*")),"",
IF(VLOOKUP("*"&amp;D189&amp;"*",商品マスタ!$D:$E,2,FALSE)=0,"",
IF(ROUND((H189-M189)
/VLOOKUP("*"&amp;D189&amp;"*",商品マスタ!$D:$E,2,FALSE),0)&lt;=0,1,
ROUND((H189-M189)
/VLOOKUP("*"&amp;D189&amp;"*",商品マスタ!$D:$E,2,FALSE),0))))),"")</f>
        <v/>
      </c>
      <c r="G189" s="106" t="str">
        <f ca="1">IF(F189&lt;&gt;"",
IF(VALUE(H189-M189)&gt;VALUE(IF(COUNTIF(D189,"*キャラ*"),
VLOOKUP("*キャラ*",商品マスタ!$D:$E,2,FALSE),
IF(COUNTIF(D189,"*赤*"),
VLOOKUP("*赤*",商品マスタ!$D:$E,2,FALSE),
VLOOKUP("*"&amp;D189&amp;"*",商品マスタ!$D:$E,2,FALSE)))*F189),
"+"&amp;(H189-M189)-IF(COUNTIF(D189,"*キャラ*"),
VLOOKUP("*キャラ*",商品マスタ!$D:$E,2,FALSE),
IF(COUNTIF(D189,"*赤*"),
VLOOKUP("*赤*",商品マスタ!$D:$E,2,FALSE),
VLOOKUP("*"&amp;D189&amp;"*",商品マスタ!$D:$E,2,FALSE)))*F189,
(H189-M189)-IF(COUNTIF(D189,"*キャラ*"),
VLOOKUP("*キャラ*",商品マスタ!$D:$E,2,FALSE),
IF(COUNTIF(D189,"*赤*"),
VLOOKUP("*赤*",商品マスタ!$D:$E,2,FALSE),
VLOOKUP("*"&amp;D189&amp;"*",商品マスタ!$D:$E,2,FALSE)))*F189),"")</f>
        <v/>
      </c>
      <c r="H189" s="108" t="str">
        <f>IF(C189&lt;&gt;"",
クライアント抽出!D49,"")</f>
        <v/>
      </c>
      <c r="I189" s="106" t="str">
        <f>IF(C189&lt;&gt;"",
IF(O189=1,0,クライアント抽出!F49),"")</f>
        <v/>
      </c>
      <c r="J189" s="106" t="str">
        <f>IF(C189&lt;&gt;"",
VLOOKUP(
"*"&amp;LEFT(IF(COUNTIF(D189,"*学食*"),"キャラ弁（学食）",
IF(COUNTIF(D189,"*赤*"),"赤",
IF(COUNTIF(D189,"*キャラ弁当*"),"キャラ弁当",D189))),4)&amp;"*",注文弁当の抽出!$F$1:$G$15,2,FALSE),"")</f>
        <v/>
      </c>
      <c r="K189" s="106" t="str">
        <f ca="1">IF(クライアント抽出!R49&lt;&gt;"",SUBSTITUTE(ADDRESS(1,(CODE(クライアント抽出!R49)-64)*2-1,4),"1",""),"")</f>
        <v/>
      </c>
      <c r="L189" s="106" t="str">
        <f>IF(C49&lt;&gt;"",クライアント抽出!I49,"")</f>
        <v/>
      </c>
      <c r="M189" s="106">
        <f t="array" aca="1" ref="M189" ca="1">IF(C189&lt;&gt;"",
IF(K189&lt;&gt;"",INDIRECT("'数出表_Excel（アレルギー入力）'!"&amp;K189&amp;L189-1&amp;""),),)</f>
        <v>0</v>
      </c>
      <c r="N189" s="106" t="str">
        <f>IF(C189&lt;&gt;"",IF(OR(COUNTIF('盛付札（関数）'!D189,"*赤*"),COUNTIF('盛付札（関数）'!D189,"*キャラ*")),1,
VALUE(VLOOKUP("*"&amp;D189&amp;"*",商品マスタ!D:H,5,FALSE))),"")</f>
        <v/>
      </c>
      <c r="O189" s="106">
        <f t="shared" ca="1" si="85"/>
        <v>0</v>
      </c>
      <c r="P189" s="106">
        <f t="shared" si="61"/>
        <v>0</v>
      </c>
      <c r="Q189" s="106" t="b">
        <f t="shared" si="62"/>
        <v>0</v>
      </c>
      <c r="R189" s="176" t="str">
        <f t="array" aca="1" ref="R189" ca="1">IFERROR(SMALL(IF(P$1:P$311&lt;&gt;0,P$1:P$311),ROW(A189)),"")</f>
        <v/>
      </c>
      <c r="S189" s="176" t="str">
        <f t="array" aca="1" ref="S189" ca="1">IF($R189&lt;&gt;"",
SUBSTITUTE(SUBSTITUTE(INDIRECT("C"&amp;$R189&amp;"")," 週3ｺｰｽ","")," 週5ｺｰｽ",""),"")</f>
        <v/>
      </c>
      <c r="T189" s="176" t="str">
        <f t="array" aca="1" ref="T189" ca="1">IF(IF($R189&lt;&gt;"",
INDIRECT(""&amp;IF(COLUMN(D189)&lt;=26,CHAR(COLUMN(D189)+64),CHAR(INT((COLUMN(D189)-1)/26)+64)&amp;CHAR(MOD(COLUMN(D189)-1,26)+65))&amp;$R189&amp;""),"")=0,"",
IF($R189&lt;&gt;"",
INDIRECT(""&amp;IF(COLUMN(D189)&lt;=26,CHAR(COLUMN(D189)+64),CHAR(INT((COLUMN(D189)-1)/26)+64)&amp;CHAR(MOD(COLUMN(D189)-1,26)+65))&amp;$R189&amp;""),""))</f>
        <v/>
      </c>
      <c r="U189" s="218" t="str">
        <f t="array" aca="1" ref="U189" ca="1">IF($R189&lt;&gt;"",
INDIRECT("F"&amp;$R189&amp;""),"")</f>
        <v/>
      </c>
      <c r="V189" s="219" t="str">
        <f t="array" aca="1" ref="V189" ca="1">IF($R189&lt;&gt;"",
INDIRECT("G"&amp;$R189&amp;""),"")</f>
        <v/>
      </c>
      <c r="W189" s="219" t="str" cm="1">
        <f t="array" aca="1" ref="W189" ca="1">IF($R189&lt;&gt;"",
IF(AND(COUNTIF(INDIRECT("B"&amp;R189&amp;""),"*雙葉*"),COUNTIF($B$71:$B$210,"*雙葉*")&gt;=1),
IF(OR(COUNTIF(INDIRECT("B"&amp;R189&amp;""),"*雙葉先生*"),COUNTIF(INDIRECT("B"&amp;R189-1&amp;""),"*雙葉*")),INDIRECT("H"&amp;R189&amp;""),INDIRECT("H"&amp;R189&amp;"")+INDIRECT("H"&amp;MATCH("雙葉'",INDIRECT("B"&amp;R189+3&amp;":B210"),0)+2+R189&amp;"")),
IF(AND(LEFT(INDIRECT("B"&amp;R189&amp;""),2)="博多",COUNTIF(B:B,"*博多*")&gt;=2),
INDIRECT("H"&amp;R189&amp;"")+IFERROR(INDIRECT("H"&amp;MATCH("*"&amp;INDIRECT("B"&amp;R189&amp;"")&amp;"*",INDIRECT("B"&amp;R189+1&amp;":B210"),0)+R189&amp;""),0),
IF(AND(LEFT(INDIRECT("B"&amp;R189&amp;""),3)="奈良屋",COUNTIF(B:B,"*奈良屋*")&gt;=2),
INDIRECT("H"&amp;R189&amp;"")
+INDIRECT("H"&amp;MATCH("*"&amp;INDIRECT("B"&amp;R189&amp;"")&amp;"*",INDIRECT("B"&amp;R189+1&amp;":B210"),0)+R189&amp;"")
+INDIRECT("H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
+INDIRECT("H"&amp;MATCH("*"&amp;INDIRECT("B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&amp;"*",INDIRECT("B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+1&amp;":B210"),0)+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,
INDIRECT("H"&amp;R189&amp;"")))),"")</f>
        <v/>
      </c>
      <c r="X189" s="176" t="str">
        <f t="array" aca="1" ref="X189" ca="1">IF($R189&lt;&gt;"",
INDIRECT(""&amp;IF(COLUMN(I189)&lt;=26,CHAR(COLUMN(I189)+64),CHAR(INT((COLUMN(I189)-1)/26)+64)&amp;CHAR(MOD(COLUMN(I189)-1,26)+65))&amp;$R189&amp;""),"")</f>
        <v/>
      </c>
      <c r="Y189" s="176" t="str">
        <f t="array" aca="1" ref="Y189" ca="1">IF($R189&lt;&gt;"",
INDIRECT(""&amp;IF(COLUMN(J189)&lt;=26,CHAR(COLUMN(J189)+64),CHAR(INT((COLUMN(J189)-1)/26)+64)&amp;CHAR(MOD(COLUMN(J189)-1,26)+65))&amp;$R189&amp;""),"")</f>
        <v/>
      </c>
      <c r="Z189" s="176" t="str">
        <f t="shared" ca="1" si="63"/>
        <v/>
      </c>
      <c r="AA189" s="176" t="str">
        <f t="shared" ca="1" si="64"/>
        <v/>
      </c>
      <c r="AB189" s="176" t="str">
        <f t="array" aca="1" ref="AB189" ca="1">IF($R189&lt;&gt;"",
IF(AND(COUNTIF(INDIRECT("B"&amp;R189&amp;""),"*雙葉*"),COUNTIF(INDIRECT("B"&amp;R189&amp;""),"&lt;&gt;*先生*"),COUNTIF(B:B,"*雙葉*")&gt;=2),
INDIRECT("M"&amp;R189&amp;"")+INDIRECT("M"&amp;MATCH("雙葉'",INDIRECT("B"&amp;R189+1&amp;":B210"),0)+R189&amp;""),
IF(AND(LEFT(INDIRECT("B"&amp;R189&amp;""),2)="博多",COUNTIF(B:B,"*博多*")&gt;=2),
INDIRECT("M"&amp;R189&amp;"")+INDIRECT("M"&amp;MATCH("*"&amp;INDIRECT("B"&amp;R189&amp;"")&amp;"*",INDIRECT("B"&amp;R189+1&amp;":B210"),0)+R189&amp;""),
IF(AND(LEFT(INDIRECT("B"&amp;R189&amp;""),3)="奈良屋",COUNTIF(B:B,"*奈良屋*")&gt;=2),
INDIRECT("M"&amp;R189&amp;"")+INDIRECT("M"&amp;MATCH("*"&amp;INDIRECT("B"&amp;R189&amp;"")&amp;"*",INDIRECT("B"&amp;R189+1&amp;":B210"),0)+R189&amp;"")
+INDIRECT("M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,
INDIRECT("M"&amp;R189&amp;"")))),"")</f>
        <v/>
      </c>
      <c r="AC189" s="176" t="str">
        <f t="shared" ca="1" si="65"/>
        <v/>
      </c>
      <c r="AD189" s="176" t="str">
        <f t="shared" ca="1" si="66"/>
        <v/>
      </c>
      <c r="AE189" s="176" t="str">
        <f t="shared" ca="1" si="67"/>
        <v/>
      </c>
      <c r="AF189" s="176" t="str">
        <f t="shared" ca="1" si="68"/>
        <v/>
      </c>
      <c r="AG189" s="176" t="str">
        <f t="shared" ca="1" si="69"/>
        <v/>
      </c>
      <c r="AH189" s="183" t="str">
        <f t="shared" ca="1" si="70"/>
        <v/>
      </c>
      <c r="AI189" s="176" t="str">
        <f t="shared" ca="1" si="71"/>
        <v/>
      </c>
      <c r="AJ189" s="176" t="str">
        <f t="shared" ca="1" si="72"/>
        <v/>
      </c>
      <c r="AK189" s="176" t="str">
        <f t="shared" ca="1" si="73"/>
        <v/>
      </c>
      <c r="AL189" s="176" t="str">
        <f t="shared" ca="1" si="74"/>
        <v/>
      </c>
      <c r="AM189" s="176" t="str">
        <f t="shared" ca="1" si="75"/>
        <v/>
      </c>
      <c r="AN189" s="176" t="str">
        <f t="shared" ca="1" si="76"/>
        <v/>
      </c>
      <c r="AO189" s="176" t="str">
        <f t="shared" ca="1" si="77"/>
        <v/>
      </c>
      <c r="AP189" s="176" t="str">
        <f t="shared" ca="1" si="78"/>
        <v/>
      </c>
      <c r="AU189" s="176" t="str">
        <f t="shared" ca="1" si="79"/>
        <v/>
      </c>
    </row>
    <row r="190" spans="1:47" ht="22.2" customHeight="1">
      <c r="A190" s="107">
        <f t="shared" si="86"/>
        <v>105</v>
      </c>
      <c r="B190" s="106" t="str">
        <f t="shared" ca="1" si="84"/>
        <v/>
      </c>
      <c r="C190" s="106" t="str">
        <f>IF(OR(クライアント抽出!D50&lt;&gt;"",クライアント抽出!G50&lt;&gt;""),クライアント抽出!A50,"")</f>
        <v/>
      </c>
      <c r="D190" s="106" t="str">
        <f t="array" aca="1" ref="D190" ca="1">IF(C190&lt;&gt;"",INDIRECT("クライアント抽出!"&amp;E190&amp;MATCH(C190,クライアント抽出!A:A,0)&amp;""),"")</f>
        <v/>
      </c>
      <c r="E190" s="106" t="str">
        <f>IF(H190&lt;&gt;0,
IFERROR(
SUBSTITUTE(ADDRESS(1,
MATCH(VALUE(H190),クライアント抽出!A50:G50,0)+8,4),"1",""),
""),
IFERROR(
SUBSTITUTE(ADDRESS(1,
MATCH(VALUE(I190),クライアント抽出!A50:G50,0)+8,4),"1",""),
""))</f>
        <v/>
      </c>
      <c r="F190" s="187" t="str">
        <f ca="1">IF(D190&lt;&gt;"",
IF(COUNTIF(C190,"*雙葉*"),
IF(ROUND((H190-M190)
/IF(COUNTIF(D190,"*キャラ*"),
VLOOKUP("*キャラ*",商品マスタ!$D:$E,2,FALSE),
IF(COUNTIF(D190,"*赤*"),
VLOOKUP("*赤*",商品マスタ!$D:$E,2,FALSE),
VLOOKUP("*"&amp;D190&amp;"*",商品マスタ!$D:$E,2,FALSE))),0)&lt;=0,1,
ROUND((H190-M190)
/IF(COUNTIF(D190,"*キャラ*"),
VLOOKUP("*キャラ*",商品マスタ!$D:$E,2,FALSE),
IF(COUNTIF(D190,"*赤*"),
VLOOKUP("*赤*",商品マスタ!$D:$E,2,FALSE),
VLOOKUP("*"&amp;D190&amp;"*",商品マスタ!$D:$E,2,FALSE))),0)),
IF(OR(COUNTIF(D190,"*キャラ*"),COUNTIF(D190,"*赤*")),"",
IF(VLOOKUP("*"&amp;D190&amp;"*",商品マスタ!$D:$E,2,FALSE)=0,"",
IF(ROUND((H190-M190)
/VLOOKUP("*"&amp;D190&amp;"*",商品マスタ!$D:$E,2,FALSE),0)&lt;=0,1,
ROUND((H190-M190)
/VLOOKUP("*"&amp;D190&amp;"*",商品マスタ!$D:$E,2,FALSE),0))))),"")</f>
        <v/>
      </c>
      <c r="G190" s="106" t="str">
        <f ca="1">IF(F190&lt;&gt;"",
IF(VALUE(H190-M190)&gt;VALUE(IF(COUNTIF(D190,"*キャラ*"),
VLOOKUP("*キャラ*",商品マスタ!$D:$E,2,FALSE),
IF(COUNTIF(D190,"*赤*"),
VLOOKUP("*赤*",商品マスタ!$D:$E,2,FALSE),
VLOOKUP("*"&amp;D190&amp;"*",商品マスタ!$D:$E,2,FALSE)))*F190),
"+"&amp;(H190-M190)-IF(COUNTIF(D190,"*キャラ*"),
VLOOKUP("*キャラ*",商品マスタ!$D:$E,2,FALSE),
IF(COUNTIF(D190,"*赤*"),
VLOOKUP("*赤*",商品マスタ!$D:$E,2,FALSE),
VLOOKUP("*"&amp;D190&amp;"*",商品マスタ!$D:$E,2,FALSE)))*F190,
(H190-M190)-IF(COUNTIF(D190,"*キャラ*"),
VLOOKUP("*キャラ*",商品マスタ!$D:$E,2,FALSE),
IF(COUNTIF(D190,"*赤*"),
VLOOKUP("*赤*",商品マスタ!$D:$E,2,FALSE),
VLOOKUP("*"&amp;D190&amp;"*",商品マスタ!$D:$E,2,FALSE)))*F190),"")</f>
        <v/>
      </c>
      <c r="H190" s="108" t="str">
        <f>IF(C190&lt;&gt;"",
クライアント抽出!D50,"")</f>
        <v/>
      </c>
      <c r="I190" s="106" t="str">
        <f>IF(C190&lt;&gt;"",
IF(O190=1,0,クライアント抽出!F50),"")</f>
        <v/>
      </c>
      <c r="J190" s="106" t="str">
        <f>IF(C190&lt;&gt;"",
VLOOKUP(
"*"&amp;LEFT(IF(COUNTIF(D190,"*学食*"),"キャラ弁（学食）",
IF(COUNTIF(D190,"*赤*"),"赤",
IF(COUNTIF(D190,"*キャラ弁当*"),"キャラ弁当",D190))),4)&amp;"*",注文弁当の抽出!$F$1:$G$15,2,FALSE),"")</f>
        <v/>
      </c>
      <c r="K190" s="106" t="str">
        <f ca="1">IF(クライアント抽出!R50&lt;&gt;"",SUBSTITUTE(ADDRESS(1,(CODE(クライアント抽出!R50)-64)*2-1,4),"1",""),"")</f>
        <v/>
      </c>
      <c r="L190" s="106" t="str">
        <f>IF(C50&lt;&gt;"",クライアント抽出!I50,"")</f>
        <v/>
      </c>
      <c r="M190" s="106">
        <f t="array" aca="1" ref="M190" ca="1">IF(C190&lt;&gt;"",
IF(K190&lt;&gt;"",INDIRECT("'数出表_Excel（アレルギー入力）'!"&amp;K190&amp;L190-1&amp;""),),)</f>
        <v>0</v>
      </c>
      <c r="N190" s="106" t="str">
        <f>IF(C190&lt;&gt;"",IF(OR(COUNTIF('盛付札（関数）'!D190,"*赤*"),COUNTIF('盛付札（関数）'!D190,"*キャラ*")),1,
VALUE(VLOOKUP("*"&amp;D190&amp;"*",商品マスタ!D:H,5,FALSE))),"")</f>
        <v/>
      </c>
      <c r="O190" s="106">
        <f t="shared" ca="1" si="85"/>
        <v>0</v>
      </c>
      <c r="P190" s="106">
        <f t="shared" si="61"/>
        <v>0</v>
      </c>
      <c r="Q190" s="106" t="b">
        <f t="shared" si="62"/>
        <v>0</v>
      </c>
      <c r="R190" s="176" t="str">
        <f t="array" aca="1" ref="R190" ca="1">IFERROR(SMALL(IF(P$1:P$311&lt;&gt;0,P$1:P$311),ROW(A190)),"")</f>
        <v/>
      </c>
      <c r="S190" s="176" t="str">
        <f t="array" aca="1" ref="S190" ca="1">IF($R190&lt;&gt;"",
SUBSTITUTE(SUBSTITUTE(INDIRECT("C"&amp;$R190&amp;"")," 週3ｺｰｽ","")," 週5ｺｰｽ",""),"")</f>
        <v/>
      </c>
      <c r="T190" s="176" t="str">
        <f t="array" aca="1" ref="T190" ca="1">IF(IF($R190&lt;&gt;"",
INDIRECT(""&amp;IF(COLUMN(D190)&lt;=26,CHAR(COLUMN(D190)+64),CHAR(INT((COLUMN(D190)-1)/26)+64)&amp;CHAR(MOD(COLUMN(D190)-1,26)+65))&amp;$R190&amp;""),"")=0,"",
IF($R190&lt;&gt;"",
INDIRECT(""&amp;IF(COLUMN(D190)&lt;=26,CHAR(COLUMN(D190)+64),CHAR(INT((COLUMN(D190)-1)/26)+64)&amp;CHAR(MOD(COLUMN(D190)-1,26)+65))&amp;$R190&amp;""),""))</f>
        <v/>
      </c>
      <c r="U190" s="218" t="str">
        <f t="array" aca="1" ref="U190" ca="1">IF($R190&lt;&gt;"",
INDIRECT("F"&amp;$R190&amp;""),"")</f>
        <v/>
      </c>
      <c r="V190" s="219" t="str">
        <f t="array" aca="1" ref="V190" ca="1">IF($R190&lt;&gt;"",
INDIRECT("G"&amp;$R190&amp;""),"")</f>
        <v/>
      </c>
      <c r="W190" s="219" t="str" cm="1">
        <f t="array" aca="1" ref="W190" ca="1">IF($R190&lt;&gt;"",
IF(AND(COUNTIF(INDIRECT("B"&amp;R190&amp;""),"*雙葉*"),COUNTIF($B$71:$B$210,"*雙葉*")&gt;=1),
IF(OR(COUNTIF(INDIRECT("B"&amp;R190&amp;""),"*雙葉先生*"),COUNTIF(INDIRECT("B"&amp;R190-1&amp;""),"*雙葉*")),INDIRECT("H"&amp;R190&amp;""),INDIRECT("H"&amp;R190&amp;"")+INDIRECT("H"&amp;MATCH("雙葉'",INDIRECT("B"&amp;R190+3&amp;":B210"),0)+2+R190&amp;"")),
IF(AND(LEFT(INDIRECT("B"&amp;R190&amp;""),2)="博多",COUNTIF(B:B,"*博多*")&gt;=2),
INDIRECT("H"&amp;R190&amp;"")+IFERROR(INDIRECT("H"&amp;MATCH("*"&amp;INDIRECT("B"&amp;R190&amp;"")&amp;"*",INDIRECT("B"&amp;R190+1&amp;":B210"),0)+R190&amp;""),0),
IF(AND(LEFT(INDIRECT("B"&amp;R190&amp;""),3)="奈良屋",COUNTIF(B:B,"*奈良屋*")&gt;=2),
INDIRECT("H"&amp;R190&amp;"")
+INDIRECT("H"&amp;MATCH("*"&amp;INDIRECT("B"&amp;R190&amp;"")&amp;"*",INDIRECT("B"&amp;R190+1&amp;":B210"),0)+R190&amp;"")
+INDIRECT("H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
+INDIRECT("H"&amp;MATCH("*"&amp;INDIRECT("B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&amp;"*",INDIRECT("B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+1&amp;":B210"),0)+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,
INDIRECT("H"&amp;R190&amp;"")))),"")</f>
        <v/>
      </c>
      <c r="X190" s="176" t="str">
        <f t="array" aca="1" ref="X190" ca="1">IF($R190&lt;&gt;"",
INDIRECT(""&amp;IF(COLUMN(I190)&lt;=26,CHAR(COLUMN(I190)+64),CHAR(INT((COLUMN(I190)-1)/26)+64)&amp;CHAR(MOD(COLUMN(I190)-1,26)+65))&amp;$R190&amp;""),"")</f>
        <v/>
      </c>
      <c r="Y190" s="176" t="str">
        <f t="array" aca="1" ref="Y190" ca="1">IF($R190&lt;&gt;"",
INDIRECT(""&amp;IF(COLUMN(J190)&lt;=26,CHAR(COLUMN(J190)+64),CHAR(INT((COLUMN(J190)-1)/26)+64)&amp;CHAR(MOD(COLUMN(J190)-1,26)+65))&amp;$R190&amp;""),"")</f>
        <v/>
      </c>
      <c r="Z190" s="176" t="str">
        <f t="shared" ca="1" si="63"/>
        <v/>
      </c>
      <c r="AA190" s="176" t="str">
        <f t="shared" ca="1" si="64"/>
        <v/>
      </c>
      <c r="AB190" s="176" t="str">
        <f t="array" aca="1" ref="AB190" ca="1">IF($R190&lt;&gt;"",
IF(AND(COUNTIF(INDIRECT("B"&amp;R190&amp;""),"*雙葉*"),COUNTIF(INDIRECT("B"&amp;R190&amp;""),"&lt;&gt;*先生*"),COUNTIF(B:B,"*雙葉*")&gt;=2),
INDIRECT("M"&amp;R190&amp;"")+INDIRECT("M"&amp;MATCH("雙葉'",INDIRECT("B"&amp;R190+1&amp;":B210"),0)+R190&amp;""),
IF(AND(LEFT(INDIRECT("B"&amp;R190&amp;""),2)="博多",COUNTIF(B:B,"*博多*")&gt;=2),
INDIRECT("M"&amp;R190&amp;"")+INDIRECT("M"&amp;MATCH("*"&amp;INDIRECT("B"&amp;R190&amp;"")&amp;"*",INDIRECT("B"&amp;R190+1&amp;":B210"),0)+R190&amp;""),
IF(AND(LEFT(INDIRECT("B"&amp;R190&amp;""),3)="奈良屋",COUNTIF(B:B,"*奈良屋*")&gt;=2),
INDIRECT("M"&amp;R190&amp;"")+INDIRECT("M"&amp;MATCH("*"&amp;INDIRECT("B"&amp;R190&amp;"")&amp;"*",INDIRECT("B"&amp;R190+1&amp;":B210"),0)+R190&amp;"")
+INDIRECT("M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,
INDIRECT("M"&amp;R190&amp;"")))),"")</f>
        <v/>
      </c>
      <c r="AC190" s="176" t="str">
        <f t="shared" ca="1" si="65"/>
        <v/>
      </c>
      <c r="AD190" s="176" t="str">
        <f t="shared" ca="1" si="66"/>
        <v/>
      </c>
      <c r="AE190" s="176" t="str">
        <f t="shared" ca="1" si="67"/>
        <v/>
      </c>
      <c r="AF190" s="176" t="str">
        <f t="shared" ca="1" si="68"/>
        <v/>
      </c>
      <c r="AG190" s="176" t="str">
        <f t="shared" ca="1" si="69"/>
        <v/>
      </c>
      <c r="AH190" s="183" t="str">
        <f t="shared" ca="1" si="70"/>
        <v/>
      </c>
      <c r="AI190" s="176" t="str">
        <f t="shared" ca="1" si="71"/>
        <v/>
      </c>
      <c r="AJ190" s="176" t="str">
        <f t="shared" ca="1" si="72"/>
        <v/>
      </c>
      <c r="AK190" s="176" t="str">
        <f t="shared" ca="1" si="73"/>
        <v/>
      </c>
      <c r="AL190" s="176" t="str">
        <f t="shared" ca="1" si="74"/>
        <v/>
      </c>
      <c r="AM190" s="176" t="str">
        <f t="shared" ca="1" si="75"/>
        <v/>
      </c>
      <c r="AN190" s="176" t="str">
        <f t="shared" ca="1" si="76"/>
        <v/>
      </c>
      <c r="AO190" s="176" t="str">
        <f t="shared" ca="1" si="77"/>
        <v/>
      </c>
      <c r="AP190" s="176" t="str">
        <f t="shared" ca="1" si="78"/>
        <v/>
      </c>
      <c r="AU190" s="176" t="str">
        <f t="shared" ca="1" si="79"/>
        <v/>
      </c>
    </row>
    <row r="191" spans="1:47" ht="22.2" customHeight="1">
      <c r="A191" s="107">
        <f t="shared" si="86"/>
        <v>107</v>
      </c>
      <c r="B191" s="106" t="str">
        <f t="shared" ca="1" si="84"/>
        <v/>
      </c>
      <c r="C191" s="106" t="str">
        <f>IF(OR(クライアント抽出!D51&lt;&gt;"",クライアント抽出!G51&lt;&gt;""),クライアント抽出!A51,"")</f>
        <v/>
      </c>
      <c r="D191" s="106" t="str">
        <f t="array" aca="1" ref="D191" ca="1">IF(C191&lt;&gt;"",INDIRECT("クライアント抽出!"&amp;E191&amp;MATCH(C191,クライアント抽出!A:A,0)&amp;""),"")</f>
        <v/>
      </c>
      <c r="E191" s="106" t="str">
        <f>IF(H191&lt;&gt;0,
IFERROR(
SUBSTITUTE(ADDRESS(1,
MATCH(VALUE(H191),クライアント抽出!A51:G51,0)+8,4),"1",""),
""),
IFERROR(
SUBSTITUTE(ADDRESS(1,
MATCH(VALUE(I191),クライアント抽出!A51:G51,0)+8,4),"1",""),
""))</f>
        <v/>
      </c>
      <c r="F191" s="187" t="str">
        <f ca="1">IF(D191&lt;&gt;"",
IF(COUNTIF(C191,"*雙葉*"),
IF(ROUND((H191-M191)
/IF(COUNTIF(D191,"*キャラ*"),
VLOOKUP("*キャラ*",商品マスタ!$D:$E,2,FALSE),
IF(COUNTIF(D191,"*赤*"),
VLOOKUP("*赤*",商品マスタ!$D:$E,2,FALSE),
VLOOKUP("*"&amp;D191&amp;"*",商品マスタ!$D:$E,2,FALSE))),0)&lt;=0,1,
ROUND((H191-M191)
/IF(COUNTIF(D191,"*キャラ*"),
VLOOKUP("*キャラ*",商品マスタ!$D:$E,2,FALSE),
IF(COUNTIF(D191,"*赤*"),
VLOOKUP("*赤*",商品マスタ!$D:$E,2,FALSE),
VLOOKUP("*"&amp;D191&amp;"*",商品マスタ!$D:$E,2,FALSE))),0)),
IF(OR(COUNTIF(D191,"*キャラ*"),COUNTIF(D191,"*赤*")),"",
IF(VLOOKUP("*"&amp;D191&amp;"*",商品マスタ!$D:$E,2,FALSE)=0,"",
IF(ROUND((H191-M191)
/VLOOKUP("*"&amp;D191&amp;"*",商品マスタ!$D:$E,2,FALSE),0)&lt;=0,1,
ROUND((H191-M191)
/VLOOKUP("*"&amp;D191&amp;"*",商品マスタ!$D:$E,2,FALSE),0))))),"")</f>
        <v/>
      </c>
      <c r="G191" s="106" t="str">
        <f ca="1">IF(F191&lt;&gt;"",
IF(VALUE(H191-M191)&gt;VALUE(IF(COUNTIF(D191,"*キャラ*"),
VLOOKUP("*キャラ*",商品マスタ!$D:$E,2,FALSE),
IF(COUNTIF(D191,"*赤*"),
VLOOKUP("*赤*",商品マスタ!$D:$E,2,FALSE),
VLOOKUP("*"&amp;D191&amp;"*",商品マスタ!$D:$E,2,FALSE)))*F191),
"+"&amp;(H191-M191)-IF(COUNTIF(D191,"*キャラ*"),
VLOOKUP("*キャラ*",商品マスタ!$D:$E,2,FALSE),
IF(COUNTIF(D191,"*赤*"),
VLOOKUP("*赤*",商品マスタ!$D:$E,2,FALSE),
VLOOKUP("*"&amp;D191&amp;"*",商品マスタ!$D:$E,2,FALSE)))*F191,
(H191-M191)-IF(COUNTIF(D191,"*キャラ*"),
VLOOKUP("*キャラ*",商品マスタ!$D:$E,2,FALSE),
IF(COUNTIF(D191,"*赤*"),
VLOOKUP("*赤*",商品マスタ!$D:$E,2,FALSE),
VLOOKUP("*"&amp;D191&amp;"*",商品マスタ!$D:$E,2,FALSE)))*F191),"")</f>
        <v/>
      </c>
      <c r="H191" s="108" t="str">
        <f>IF(C191&lt;&gt;"",
クライアント抽出!D51,"")</f>
        <v/>
      </c>
      <c r="I191" s="106" t="str">
        <f>IF(C191&lt;&gt;"",
IF(O191=1,0,クライアント抽出!F51),"")</f>
        <v/>
      </c>
      <c r="J191" s="106" t="str">
        <f>IF(C191&lt;&gt;"",
VLOOKUP(
"*"&amp;LEFT(IF(COUNTIF(D191,"*学食*"),"キャラ弁（学食）",
IF(COUNTIF(D191,"*赤*"),"赤",
IF(COUNTIF(D191,"*キャラ弁当*"),"キャラ弁当",D191))),4)&amp;"*",注文弁当の抽出!$F$1:$G$15,2,FALSE),"")</f>
        <v/>
      </c>
      <c r="K191" s="106" t="str">
        <f ca="1">IF(クライアント抽出!R51&lt;&gt;"",SUBSTITUTE(ADDRESS(1,(CODE(クライアント抽出!R51)-64)*2-1,4),"1",""),"")</f>
        <v/>
      </c>
      <c r="L191" s="106" t="str">
        <f>IF(C51&lt;&gt;"",クライアント抽出!I51,"")</f>
        <v/>
      </c>
      <c r="M191" s="106">
        <f t="array" aca="1" ref="M191" ca="1">IF(C191&lt;&gt;"",
IF(K191&lt;&gt;"",INDIRECT("'数出表_Excel（アレルギー入力）'!"&amp;K191&amp;L191-1&amp;""),),)</f>
        <v>0</v>
      </c>
      <c r="N191" s="106" t="str">
        <f>IF(C191&lt;&gt;"",IF(OR(COUNTIF('盛付札（関数）'!D191,"*赤*"),COUNTIF('盛付札（関数）'!D191,"*キャラ*")),1,
VALUE(VLOOKUP("*"&amp;D191&amp;"*",商品マスタ!D:H,5,FALSE))),"")</f>
        <v/>
      </c>
      <c r="O191" s="106">
        <f t="shared" ca="1" si="85"/>
        <v>0</v>
      </c>
      <c r="P191" s="106">
        <f t="shared" si="61"/>
        <v>0</v>
      </c>
      <c r="Q191" s="106" t="b">
        <f t="shared" si="62"/>
        <v>0</v>
      </c>
      <c r="R191" s="176" t="str">
        <f t="array" aca="1" ref="R191" ca="1">IFERROR(SMALL(IF(P$1:P$311&lt;&gt;0,P$1:P$311),ROW(A191)),"")</f>
        <v/>
      </c>
      <c r="S191" s="176" t="str">
        <f t="array" aca="1" ref="S191" ca="1">IF($R191&lt;&gt;"",
SUBSTITUTE(SUBSTITUTE(INDIRECT("C"&amp;$R191&amp;"")," 週3ｺｰｽ","")," 週5ｺｰｽ",""),"")</f>
        <v/>
      </c>
      <c r="T191" s="176" t="str">
        <f t="array" aca="1" ref="T191" ca="1">IF(IF($R191&lt;&gt;"",
INDIRECT(""&amp;IF(COLUMN(D191)&lt;=26,CHAR(COLUMN(D191)+64),CHAR(INT((COLUMN(D191)-1)/26)+64)&amp;CHAR(MOD(COLUMN(D191)-1,26)+65))&amp;$R191&amp;""),"")=0,"",
IF($R191&lt;&gt;"",
INDIRECT(""&amp;IF(COLUMN(D191)&lt;=26,CHAR(COLUMN(D191)+64),CHAR(INT((COLUMN(D191)-1)/26)+64)&amp;CHAR(MOD(COLUMN(D191)-1,26)+65))&amp;$R191&amp;""),""))</f>
        <v/>
      </c>
      <c r="U191" s="218" t="str">
        <f t="array" aca="1" ref="U191" ca="1">IF($R191&lt;&gt;"",
INDIRECT("F"&amp;$R191&amp;""),"")</f>
        <v/>
      </c>
      <c r="V191" s="219" t="str">
        <f t="array" aca="1" ref="V191" ca="1">IF($R191&lt;&gt;"",
INDIRECT("G"&amp;$R191&amp;""),"")</f>
        <v/>
      </c>
      <c r="W191" s="219" t="str" cm="1">
        <f t="array" aca="1" ref="W191" ca="1">IF($R191&lt;&gt;"",
IF(AND(COUNTIF(INDIRECT("B"&amp;R191&amp;""),"*雙葉*"),COUNTIF($B$71:$B$210,"*雙葉*")&gt;=1),
IF(OR(COUNTIF(INDIRECT("B"&amp;R191&amp;""),"*雙葉先生*"),COUNTIF(INDIRECT("B"&amp;R191-1&amp;""),"*雙葉*")),INDIRECT("H"&amp;R191&amp;""),INDIRECT("H"&amp;R191&amp;"")+INDIRECT("H"&amp;MATCH("雙葉'",INDIRECT("B"&amp;R191+3&amp;":B210"),0)+2+R191&amp;"")),
IF(AND(LEFT(INDIRECT("B"&amp;R191&amp;""),2)="博多",COUNTIF(B:B,"*博多*")&gt;=2),
INDIRECT("H"&amp;R191&amp;"")+IFERROR(INDIRECT("H"&amp;MATCH("*"&amp;INDIRECT("B"&amp;R191&amp;"")&amp;"*",INDIRECT("B"&amp;R191+1&amp;":B210"),0)+R191&amp;""),0),
IF(AND(LEFT(INDIRECT("B"&amp;R191&amp;""),3)="奈良屋",COUNTIF(B:B,"*奈良屋*")&gt;=2),
INDIRECT("H"&amp;R191&amp;"")
+INDIRECT("H"&amp;MATCH("*"&amp;INDIRECT("B"&amp;R191&amp;"")&amp;"*",INDIRECT("B"&amp;R191+1&amp;":B210"),0)+R191&amp;"")
+INDIRECT("H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
+INDIRECT("H"&amp;MATCH("*"&amp;INDIRECT("B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&amp;"*",INDIRECT("B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+1&amp;":B210"),0)+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,
INDIRECT("H"&amp;R191&amp;"")))),"")</f>
        <v/>
      </c>
      <c r="X191" s="176" t="str">
        <f t="array" aca="1" ref="X191" ca="1">IF($R191&lt;&gt;"",
INDIRECT(""&amp;IF(COLUMN(I191)&lt;=26,CHAR(COLUMN(I191)+64),CHAR(INT((COLUMN(I191)-1)/26)+64)&amp;CHAR(MOD(COLUMN(I191)-1,26)+65))&amp;$R191&amp;""),"")</f>
        <v/>
      </c>
      <c r="Y191" s="176" t="str">
        <f t="array" aca="1" ref="Y191" ca="1">IF($R191&lt;&gt;"",
INDIRECT(""&amp;IF(COLUMN(J191)&lt;=26,CHAR(COLUMN(J191)+64),CHAR(INT((COLUMN(J191)-1)/26)+64)&amp;CHAR(MOD(COLUMN(J191)-1,26)+65))&amp;$R191&amp;""),"")</f>
        <v/>
      </c>
      <c r="Z191" s="176" t="str">
        <f t="shared" ca="1" si="63"/>
        <v/>
      </c>
      <c r="AA191" s="176" t="str">
        <f t="shared" ca="1" si="64"/>
        <v/>
      </c>
      <c r="AB191" s="176" t="str">
        <f t="array" aca="1" ref="AB191" ca="1">IF($R191&lt;&gt;"",
IF(AND(COUNTIF(INDIRECT("B"&amp;R191&amp;""),"*雙葉*"),COUNTIF(INDIRECT("B"&amp;R191&amp;""),"&lt;&gt;*先生*"),COUNTIF(B:B,"*雙葉*")&gt;=2),
INDIRECT("M"&amp;R191&amp;"")+INDIRECT("M"&amp;MATCH("雙葉'",INDIRECT("B"&amp;R191+1&amp;":B210"),0)+R191&amp;""),
IF(AND(LEFT(INDIRECT("B"&amp;R191&amp;""),2)="博多",COUNTIF(B:B,"*博多*")&gt;=2),
INDIRECT("M"&amp;R191&amp;"")+INDIRECT("M"&amp;MATCH("*"&amp;INDIRECT("B"&amp;R191&amp;"")&amp;"*",INDIRECT("B"&amp;R191+1&amp;":B210"),0)+R191&amp;""),
IF(AND(LEFT(INDIRECT("B"&amp;R191&amp;""),3)="奈良屋",COUNTIF(B:B,"*奈良屋*")&gt;=2),
INDIRECT("M"&amp;R191&amp;"")+INDIRECT("M"&amp;MATCH("*"&amp;INDIRECT("B"&amp;R191&amp;"")&amp;"*",INDIRECT("B"&amp;R191+1&amp;":B210"),0)+R191&amp;"")
+INDIRECT("M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,
INDIRECT("M"&amp;R191&amp;"")))),"")</f>
        <v/>
      </c>
      <c r="AC191" s="176" t="str">
        <f t="shared" ca="1" si="65"/>
        <v/>
      </c>
      <c r="AD191" s="176" t="str">
        <f t="shared" ca="1" si="66"/>
        <v/>
      </c>
      <c r="AE191" s="176" t="str">
        <f t="shared" ca="1" si="67"/>
        <v/>
      </c>
      <c r="AF191" s="176" t="str">
        <f t="shared" ca="1" si="68"/>
        <v/>
      </c>
      <c r="AG191" s="176" t="str">
        <f t="shared" ca="1" si="69"/>
        <v/>
      </c>
      <c r="AH191" s="183" t="str">
        <f t="shared" ca="1" si="70"/>
        <v/>
      </c>
      <c r="AI191" s="176" t="str">
        <f t="shared" ca="1" si="71"/>
        <v/>
      </c>
      <c r="AJ191" s="176" t="str">
        <f t="shared" ca="1" si="72"/>
        <v/>
      </c>
      <c r="AK191" s="176" t="str">
        <f t="shared" ca="1" si="73"/>
        <v/>
      </c>
      <c r="AL191" s="176" t="str">
        <f t="shared" ca="1" si="74"/>
        <v/>
      </c>
      <c r="AM191" s="176" t="str">
        <f t="shared" ca="1" si="75"/>
        <v/>
      </c>
      <c r="AN191" s="176" t="str">
        <f t="shared" ca="1" si="76"/>
        <v/>
      </c>
      <c r="AO191" s="176" t="str">
        <f t="shared" ca="1" si="77"/>
        <v/>
      </c>
      <c r="AP191" s="176" t="str">
        <f t="shared" ca="1" si="78"/>
        <v/>
      </c>
      <c r="AU191" s="176" t="str">
        <f t="shared" ca="1" si="79"/>
        <v/>
      </c>
    </row>
    <row r="192" spans="1:47" ht="22.2" customHeight="1">
      <c r="A192" s="107">
        <f t="shared" si="86"/>
        <v>109</v>
      </c>
      <c r="B192" s="106" t="str">
        <f t="shared" ca="1" si="84"/>
        <v/>
      </c>
      <c r="C192" s="106" t="str">
        <f>IF(OR(クライアント抽出!D52&lt;&gt;"",クライアント抽出!G52&lt;&gt;""),クライアント抽出!A52,"")</f>
        <v/>
      </c>
      <c r="D192" s="106" t="str">
        <f t="array" aca="1" ref="D192" ca="1">IF(C192&lt;&gt;"",INDIRECT("クライアント抽出!"&amp;E192&amp;MATCH(C192,クライアント抽出!A:A,0)&amp;""),"")</f>
        <v/>
      </c>
      <c r="E192" s="106" t="str">
        <f>IF(H192&lt;&gt;0,
IFERROR(
SUBSTITUTE(ADDRESS(1,
MATCH(VALUE(H192),クライアント抽出!A52:G52,0)+8,4),"1",""),
""),
IFERROR(
SUBSTITUTE(ADDRESS(1,
MATCH(VALUE(I192),クライアント抽出!A52:G52,0)+8,4),"1",""),
""))</f>
        <v/>
      </c>
      <c r="F192" s="187" t="str">
        <f ca="1">IF(D192&lt;&gt;"",
IF(COUNTIF(C192,"*雙葉*"),
IF(ROUND((H192-M192)
/IF(COUNTIF(D192,"*キャラ*"),
VLOOKUP("*キャラ*",商品マスタ!$D:$E,2,FALSE),
IF(COUNTIF(D192,"*赤*"),
VLOOKUP("*赤*",商品マスタ!$D:$E,2,FALSE),
VLOOKUP("*"&amp;D192&amp;"*",商品マスタ!$D:$E,2,FALSE))),0)&lt;=0,1,
ROUND((H192-M192)
/IF(COUNTIF(D192,"*キャラ*"),
VLOOKUP("*キャラ*",商品マスタ!$D:$E,2,FALSE),
IF(COUNTIF(D192,"*赤*"),
VLOOKUP("*赤*",商品マスタ!$D:$E,2,FALSE),
VLOOKUP("*"&amp;D192&amp;"*",商品マスタ!$D:$E,2,FALSE))),0)),
IF(OR(COUNTIF(D192,"*キャラ*"),COUNTIF(D192,"*赤*")),"",
IF(VLOOKUP("*"&amp;D192&amp;"*",商品マスタ!$D:$E,2,FALSE)=0,"",
IF(ROUND((H192-M192)
/VLOOKUP("*"&amp;D192&amp;"*",商品マスタ!$D:$E,2,FALSE),0)&lt;=0,1,
ROUND((H192-M192)
/VLOOKUP("*"&amp;D192&amp;"*",商品マスタ!$D:$E,2,FALSE),0))))),"")</f>
        <v/>
      </c>
      <c r="G192" s="106" t="str">
        <f ca="1">IF(F192&lt;&gt;"",
IF(VALUE(H192-M192)&gt;VALUE(IF(COUNTIF(D192,"*キャラ*"),
VLOOKUP("*キャラ*",商品マスタ!$D:$E,2,FALSE),
IF(COUNTIF(D192,"*赤*"),
VLOOKUP("*赤*",商品マスタ!$D:$E,2,FALSE),
VLOOKUP("*"&amp;D192&amp;"*",商品マスタ!$D:$E,2,FALSE)))*F192),
"+"&amp;(H192-M192)-IF(COUNTIF(D192,"*キャラ*"),
VLOOKUP("*キャラ*",商品マスタ!$D:$E,2,FALSE),
IF(COUNTIF(D192,"*赤*"),
VLOOKUP("*赤*",商品マスタ!$D:$E,2,FALSE),
VLOOKUP("*"&amp;D192&amp;"*",商品マスタ!$D:$E,2,FALSE)))*F192,
(H192-M192)-IF(COUNTIF(D192,"*キャラ*"),
VLOOKUP("*キャラ*",商品マスタ!$D:$E,2,FALSE),
IF(COUNTIF(D192,"*赤*"),
VLOOKUP("*赤*",商品マスタ!$D:$E,2,FALSE),
VLOOKUP("*"&amp;D192&amp;"*",商品マスタ!$D:$E,2,FALSE)))*F192),"")</f>
        <v/>
      </c>
      <c r="H192" s="108" t="str">
        <f>IF(C192&lt;&gt;"",
クライアント抽出!D52,"")</f>
        <v/>
      </c>
      <c r="I192" s="106" t="str">
        <f>IF(C192&lt;&gt;"",
IF(O192=1,0,クライアント抽出!F52),"")</f>
        <v/>
      </c>
      <c r="J192" s="106" t="str">
        <f>IF(C192&lt;&gt;"",
VLOOKUP(
"*"&amp;LEFT(IF(COUNTIF(D192,"*学食*"),"キャラ弁（学食）",
IF(COUNTIF(D192,"*赤*"),"赤",
IF(COUNTIF(D192,"*キャラ弁当*"),"キャラ弁当",D192))),4)&amp;"*",注文弁当の抽出!$F$1:$G$15,2,FALSE),"")</f>
        <v/>
      </c>
      <c r="K192" s="106" t="str">
        <f ca="1">IF(クライアント抽出!R52&lt;&gt;"",SUBSTITUTE(ADDRESS(1,(CODE(クライアント抽出!R52)-64)*2-1,4),"1",""),"")</f>
        <v/>
      </c>
      <c r="L192" s="106" t="str">
        <f>IF(C52&lt;&gt;"",クライアント抽出!I52,"")</f>
        <v/>
      </c>
      <c r="M192" s="106">
        <f t="array" aca="1" ref="M192" ca="1">IF(C192&lt;&gt;"",
IF(K192&lt;&gt;"",INDIRECT("'数出表_Excel（アレルギー入力）'!"&amp;K192&amp;L192-1&amp;""),),)</f>
        <v>0</v>
      </c>
      <c r="N192" s="106" t="str">
        <f>IF(C192&lt;&gt;"",IF(OR(COUNTIF('盛付札（関数）'!D192,"*赤*"),COUNTIF('盛付札（関数）'!D192,"*キャラ*")),1,
VALUE(VLOOKUP("*"&amp;D192&amp;"*",商品マスタ!D:H,5,FALSE))),"")</f>
        <v/>
      </c>
      <c r="O192" s="106">
        <f t="shared" ca="1" si="85"/>
        <v>0</v>
      </c>
      <c r="P192" s="106">
        <f t="shared" si="61"/>
        <v>0</v>
      </c>
      <c r="Q192" s="106" t="b">
        <f t="shared" si="62"/>
        <v>0</v>
      </c>
      <c r="R192" s="176" t="str">
        <f t="array" aca="1" ref="R192" ca="1">IFERROR(SMALL(IF(P$1:P$311&lt;&gt;0,P$1:P$311),ROW(A192)),"")</f>
        <v/>
      </c>
      <c r="S192" s="176" t="str">
        <f t="array" aca="1" ref="S192" ca="1">IF($R192&lt;&gt;"",
SUBSTITUTE(SUBSTITUTE(INDIRECT("C"&amp;$R192&amp;"")," 週3ｺｰｽ","")," 週5ｺｰｽ",""),"")</f>
        <v/>
      </c>
      <c r="T192" s="176" t="str">
        <f t="array" aca="1" ref="T192" ca="1">IF(IF($R192&lt;&gt;"",
INDIRECT(""&amp;IF(COLUMN(D192)&lt;=26,CHAR(COLUMN(D192)+64),CHAR(INT((COLUMN(D192)-1)/26)+64)&amp;CHAR(MOD(COLUMN(D192)-1,26)+65))&amp;$R192&amp;""),"")=0,"",
IF($R192&lt;&gt;"",
INDIRECT(""&amp;IF(COLUMN(D192)&lt;=26,CHAR(COLUMN(D192)+64),CHAR(INT((COLUMN(D192)-1)/26)+64)&amp;CHAR(MOD(COLUMN(D192)-1,26)+65))&amp;$R192&amp;""),""))</f>
        <v/>
      </c>
      <c r="U192" s="218" t="str">
        <f t="array" aca="1" ref="U192" ca="1">IF($R192&lt;&gt;"",
INDIRECT("F"&amp;$R192&amp;""),"")</f>
        <v/>
      </c>
      <c r="V192" s="219" t="str">
        <f t="array" aca="1" ref="V192" ca="1">IF($R192&lt;&gt;"",
INDIRECT("G"&amp;$R192&amp;""),"")</f>
        <v/>
      </c>
      <c r="W192" s="219" t="str" cm="1">
        <f t="array" aca="1" ref="W192" ca="1">IF($R192&lt;&gt;"",
IF(AND(COUNTIF(INDIRECT("B"&amp;R192&amp;""),"*雙葉*"),COUNTIF($B$71:$B$210,"*雙葉*")&gt;=1),
IF(OR(COUNTIF(INDIRECT("B"&amp;R192&amp;""),"*雙葉先生*"),COUNTIF(INDIRECT("B"&amp;R192-1&amp;""),"*雙葉*")),INDIRECT("H"&amp;R192&amp;""),INDIRECT("H"&amp;R192&amp;"")+INDIRECT("H"&amp;MATCH("雙葉'",INDIRECT("B"&amp;R192+3&amp;":B210"),0)+2+R192&amp;"")),
IF(AND(LEFT(INDIRECT("B"&amp;R192&amp;""),2)="博多",COUNTIF(B:B,"*博多*")&gt;=2),
INDIRECT("H"&amp;R192&amp;"")+IFERROR(INDIRECT("H"&amp;MATCH("*"&amp;INDIRECT("B"&amp;R192&amp;"")&amp;"*",INDIRECT("B"&amp;R192+1&amp;":B210"),0)+R192&amp;""),0),
IF(AND(LEFT(INDIRECT("B"&amp;R192&amp;""),3)="奈良屋",COUNTIF(B:B,"*奈良屋*")&gt;=2),
INDIRECT("H"&amp;R192&amp;"")
+INDIRECT("H"&amp;MATCH("*"&amp;INDIRECT("B"&amp;R192&amp;"")&amp;"*",INDIRECT("B"&amp;R192+1&amp;":B210"),0)+R192&amp;"")
+INDIRECT("H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
+INDIRECT("H"&amp;MATCH("*"&amp;INDIRECT("B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&amp;"*",INDIRECT("B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+1&amp;":B210"),0)+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,
INDIRECT("H"&amp;R192&amp;"")))),"")</f>
        <v/>
      </c>
      <c r="X192" s="176" t="str">
        <f t="array" aca="1" ref="X192" ca="1">IF($R192&lt;&gt;"",
INDIRECT(""&amp;IF(COLUMN(I192)&lt;=26,CHAR(COLUMN(I192)+64),CHAR(INT((COLUMN(I192)-1)/26)+64)&amp;CHAR(MOD(COLUMN(I192)-1,26)+65))&amp;$R192&amp;""),"")</f>
        <v/>
      </c>
      <c r="Y192" s="176" t="str">
        <f t="array" aca="1" ref="Y192" ca="1">IF($R192&lt;&gt;"",
INDIRECT(""&amp;IF(COLUMN(J192)&lt;=26,CHAR(COLUMN(J192)+64),CHAR(INT((COLUMN(J192)-1)/26)+64)&amp;CHAR(MOD(COLUMN(J192)-1,26)+65))&amp;$R192&amp;""),"")</f>
        <v/>
      </c>
      <c r="Z192" s="176" t="str">
        <f t="shared" ca="1" si="63"/>
        <v/>
      </c>
      <c r="AA192" s="176" t="str">
        <f t="shared" ca="1" si="64"/>
        <v/>
      </c>
      <c r="AB192" s="176" t="str">
        <f t="array" aca="1" ref="AB192" ca="1">IF($R192&lt;&gt;"",
IF(AND(COUNTIF(INDIRECT("B"&amp;R192&amp;""),"*雙葉*"),COUNTIF(INDIRECT("B"&amp;R192&amp;""),"&lt;&gt;*先生*"),COUNTIF(B:B,"*雙葉*")&gt;=2),
INDIRECT("M"&amp;R192&amp;"")+INDIRECT("M"&amp;MATCH("雙葉'",INDIRECT("B"&amp;R192+1&amp;":B210"),0)+R192&amp;""),
IF(AND(LEFT(INDIRECT("B"&amp;R192&amp;""),2)="博多",COUNTIF(B:B,"*博多*")&gt;=2),
INDIRECT("M"&amp;R192&amp;"")+INDIRECT("M"&amp;MATCH("*"&amp;INDIRECT("B"&amp;R192&amp;"")&amp;"*",INDIRECT("B"&amp;R192+1&amp;":B210"),0)+R192&amp;""),
IF(AND(LEFT(INDIRECT("B"&amp;R192&amp;""),3)="奈良屋",COUNTIF(B:B,"*奈良屋*")&gt;=2),
INDIRECT("M"&amp;R192&amp;"")+INDIRECT("M"&amp;MATCH("*"&amp;INDIRECT("B"&amp;R192&amp;"")&amp;"*",INDIRECT("B"&amp;R192+1&amp;":B210"),0)+R192&amp;"")
+INDIRECT("M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,
INDIRECT("M"&amp;R192&amp;"")))),"")</f>
        <v/>
      </c>
      <c r="AC192" s="176" t="str">
        <f t="shared" ca="1" si="65"/>
        <v/>
      </c>
      <c r="AD192" s="176" t="str">
        <f t="shared" ca="1" si="66"/>
        <v/>
      </c>
      <c r="AE192" s="176" t="str">
        <f t="shared" ca="1" si="67"/>
        <v/>
      </c>
      <c r="AF192" s="176" t="str">
        <f t="shared" ca="1" si="68"/>
        <v/>
      </c>
      <c r="AG192" s="176" t="str">
        <f t="shared" ca="1" si="69"/>
        <v/>
      </c>
      <c r="AH192" s="183" t="str">
        <f t="shared" ca="1" si="70"/>
        <v/>
      </c>
      <c r="AI192" s="176" t="str">
        <f t="shared" ca="1" si="71"/>
        <v/>
      </c>
      <c r="AJ192" s="176" t="str">
        <f t="shared" ca="1" si="72"/>
        <v/>
      </c>
      <c r="AK192" s="176" t="str">
        <f t="shared" ca="1" si="73"/>
        <v/>
      </c>
      <c r="AL192" s="176" t="str">
        <f t="shared" ca="1" si="74"/>
        <v/>
      </c>
      <c r="AM192" s="176" t="str">
        <f t="shared" ca="1" si="75"/>
        <v/>
      </c>
      <c r="AN192" s="176" t="str">
        <f t="shared" ca="1" si="76"/>
        <v/>
      </c>
      <c r="AO192" s="176" t="str">
        <f t="shared" ca="1" si="77"/>
        <v/>
      </c>
      <c r="AP192" s="176" t="str">
        <f t="shared" ca="1" si="78"/>
        <v/>
      </c>
      <c r="AU192" s="176" t="str">
        <f t="shared" ca="1" si="79"/>
        <v/>
      </c>
    </row>
    <row r="193" spans="1:47" ht="22.2" customHeight="1">
      <c r="A193" s="107">
        <f t="shared" si="86"/>
        <v>111</v>
      </c>
      <c r="B193" s="106" t="str">
        <f t="shared" ca="1" si="84"/>
        <v/>
      </c>
      <c r="C193" s="106" t="str">
        <f>IF(OR(クライアント抽出!D53&lt;&gt;"",クライアント抽出!G53&lt;&gt;""),クライアント抽出!A53,"")</f>
        <v/>
      </c>
      <c r="D193" s="106" t="str">
        <f t="array" aca="1" ref="D193" ca="1">IF(C193&lt;&gt;"",INDIRECT("クライアント抽出!"&amp;E193&amp;MATCH(C193,クライアント抽出!A:A,0)&amp;""),"")</f>
        <v/>
      </c>
      <c r="E193" s="106" t="str">
        <f>IF(H193&lt;&gt;0,
IFERROR(
SUBSTITUTE(ADDRESS(1,
MATCH(VALUE(H193),クライアント抽出!A53:G53,0)+8,4),"1",""),
""),
IFERROR(
SUBSTITUTE(ADDRESS(1,
MATCH(VALUE(I193),クライアント抽出!A53:G53,0)+8,4),"1",""),
""))</f>
        <v/>
      </c>
      <c r="F193" s="187" t="str">
        <f ca="1">IF(D193&lt;&gt;"",
IF(COUNTIF(C193,"*雙葉*"),
IF(ROUND((H193-M193)
/IF(COUNTIF(D193,"*キャラ*"),
VLOOKUP("*キャラ*",商品マスタ!$D:$E,2,FALSE),
IF(COUNTIF(D193,"*赤*"),
VLOOKUP("*赤*",商品マスタ!$D:$E,2,FALSE),
VLOOKUP("*"&amp;D193&amp;"*",商品マスタ!$D:$E,2,FALSE))),0)&lt;=0,1,
ROUND((H193-M193)
/IF(COUNTIF(D193,"*キャラ*"),
VLOOKUP("*キャラ*",商品マスタ!$D:$E,2,FALSE),
IF(COUNTIF(D193,"*赤*"),
VLOOKUP("*赤*",商品マスタ!$D:$E,2,FALSE),
VLOOKUP("*"&amp;D193&amp;"*",商品マスタ!$D:$E,2,FALSE))),0)),
IF(OR(COUNTIF(D193,"*キャラ*"),COUNTIF(D193,"*赤*")),"",
IF(VLOOKUP("*"&amp;D193&amp;"*",商品マスタ!$D:$E,2,FALSE)=0,"",
IF(ROUND((H193-M193)
/VLOOKUP("*"&amp;D193&amp;"*",商品マスタ!$D:$E,2,FALSE),0)&lt;=0,1,
ROUND((H193-M193)
/VLOOKUP("*"&amp;D193&amp;"*",商品マスタ!$D:$E,2,FALSE),0))))),"")</f>
        <v/>
      </c>
      <c r="G193" s="106" t="str">
        <f ca="1">IF(F193&lt;&gt;"",
IF(VALUE(H193-M193)&gt;VALUE(IF(COUNTIF(D193,"*キャラ*"),
VLOOKUP("*キャラ*",商品マスタ!$D:$E,2,FALSE),
IF(COUNTIF(D193,"*赤*"),
VLOOKUP("*赤*",商品マスタ!$D:$E,2,FALSE),
VLOOKUP("*"&amp;D193&amp;"*",商品マスタ!$D:$E,2,FALSE)))*F193),
"+"&amp;(H193-M193)-IF(COUNTIF(D193,"*キャラ*"),
VLOOKUP("*キャラ*",商品マスタ!$D:$E,2,FALSE),
IF(COUNTIF(D193,"*赤*"),
VLOOKUP("*赤*",商品マスタ!$D:$E,2,FALSE),
VLOOKUP("*"&amp;D193&amp;"*",商品マスタ!$D:$E,2,FALSE)))*F193,
(H193-M193)-IF(COUNTIF(D193,"*キャラ*"),
VLOOKUP("*キャラ*",商品マスタ!$D:$E,2,FALSE),
IF(COUNTIF(D193,"*赤*"),
VLOOKUP("*赤*",商品マスタ!$D:$E,2,FALSE),
VLOOKUP("*"&amp;D193&amp;"*",商品マスタ!$D:$E,2,FALSE)))*F193),"")</f>
        <v/>
      </c>
      <c r="H193" s="108" t="str">
        <f>IF(C193&lt;&gt;"",
クライアント抽出!D53,"")</f>
        <v/>
      </c>
      <c r="I193" s="106" t="str">
        <f>IF(C193&lt;&gt;"",
IF(O193=1,0,クライアント抽出!F53),"")</f>
        <v/>
      </c>
      <c r="J193" s="106" t="str">
        <f>IF(C193&lt;&gt;"",
VLOOKUP(
"*"&amp;LEFT(IF(COUNTIF(D193,"*学食*"),"キャラ弁（学食）",
IF(COUNTIF(D193,"*赤*"),"赤",
IF(COUNTIF(D193,"*キャラ弁当*"),"キャラ弁当",D193))),4)&amp;"*",注文弁当の抽出!$F$1:$G$15,2,FALSE),"")</f>
        <v/>
      </c>
      <c r="K193" s="106" t="str">
        <f ca="1">IF(クライアント抽出!R53&lt;&gt;"",SUBSTITUTE(ADDRESS(1,(CODE(クライアント抽出!R53)-64)*2-1,4),"1",""),"")</f>
        <v/>
      </c>
      <c r="L193" s="106" t="str">
        <f>IF(C53&lt;&gt;"",クライアント抽出!I53,"")</f>
        <v/>
      </c>
      <c r="M193" s="106">
        <f t="array" aca="1" ref="M193" ca="1">IF(C193&lt;&gt;"",
IF(K193&lt;&gt;"",INDIRECT("'数出表_Excel（アレルギー入力）'!"&amp;K193&amp;L193-1&amp;""),),)</f>
        <v>0</v>
      </c>
      <c r="N193" s="106" t="str">
        <f>IF(C193&lt;&gt;"",IF(OR(COUNTIF('盛付札（関数）'!D193,"*赤*"),COUNTIF('盛付札（関数）'!D193,"*キャラ*")),1,
VALUE(VLOOKUP("*"&amp;D193&amp;"*",商品マスタ!D:H,5,FALSE))),"")</f>
        <v/>
      </c>
      <c r="O193" s="106">
        <f t="shared" ca="1" si="85"/>
        <v>0</v>
      </c>
      <c r="P193" s="106">
        <f t="shared" ref="P193:P256" si="87">IF(COUNTIF(Q193,"TRUE"),
IF(OR(COUNTIF(B193,"*'*"),H193=0),0,ROW()),0)</f>
        <v>0</v>
      </c>
      <c r="Q193" s="106" t="b">
        <f t="shared" ref="Q193:Q210" si="88">IF(C193&lt;&gt;"",
IF(OR(N193=1,COUNTIF(D193,"*朝食*"),COUNTIF(D193,"*夕食*")),TRUE,FALSE),FALSE)</f>
        <v>0</v>
      </c>
      <c r="R193" s="176" t="str">
        <f t="array" aca="1" ref="R193" ca="1">IFERROR(SMALL(IF(P$1:P$311&lt;&gt;0,P$1:P$311),ROW(A193)),"")</f>
        <v/>
      </c>
      <c r="S193" s="176" t="str">
        <f t="array" aca="1" ref="S193" ca="1">IF($R193&lt;&gt;"",
SUBSTITUTE(SUBSTITUTE(INDIRECT("C"&amp;$R193&amp;"")," 週3ｺｰｽ","")," 週5ｺｰｽ",""),"")</f>
        <v/>
      </c>
      <c r="T193" s="176" t="str">
        <f t="array" aca="1" ref="T193" ca="1">IF(IF($R193&lt;&gt;"",
INDIRECT(""&amp;IF(COLUMN(D193)&lt;=26,CHAR(COLUMN(D193)+64),CHAR(INT((COLUMN(D193)-1)/26)+64)&amp;CHAR(MOD(COLUMN(D193)-1,26)+65))&amp;$R193&amp;""),"")=0,"",
IF($R193&lt;&gt;"",
INDIRECT(""&amp;IF(COLUMN(D193)&lt;=26,CHAR(COLUMN(D193)+64),CHAR(INT((COLUMN(D193)-1)/26)+64)&amp;CHAR(MOD(COLUMN(D193)-1,26)+65))&amp;$R193&amp;""),""))</f>
        <v/>
      </c>
      <c r="U193" s="218" t="str">
        <f t="array" aca="1" ref="U193" ca="1">IF($R193&lt;&gt;"",
INDIRECT("F"&amp;$R193&amp;""),"")</f>
        <v/>
      </c>
      <c r="V193" s="219" t="str">
        <f t="array" aca="1" ref="V193" ca="1">IF($R193&lt;&gt;"",
INDIRECT("G"&amp;$R193&amp;""),"")</f>
        <v/>
      </c>
      <c r="W193" s="219" t="str" cm="1">
        <f t="array" aca="1" ref="W193" ca="1">IF($R193&lt;&gt;"",
IF(AND(COUNTIF(INDIRECT("B"&amp;R193&amp;""),"*雙葉*"),COUNTIF($B$71:$B$210,"*雙葉*")&gt;=1),
IF(OR(COUNTIF(INDIRECT("B"&amp;R193&amp;""),"*雙葉先生*"),COUNTIF(INDIRECT("B"&amp;R193-1&amp;""),"*雙葉*")),INDIRECT("H"&amp;R193&amp;""),INDIRECT("H"&amp;R193&amp;"")+INDIRECT("H"&amp;MATCH("雙葉'",INDIRECT("B"&amp;R193+3&amp;":B210"),0)+2+R193&amp;"")),
IF(AND(LEFT(INDIRECT("B"&amp;R193&amp;""),2)="博多",COUNTIF(B:B,"*博多*")&gt;=2),
INDIRECT("H"&amp;R193&amp;"")+IFERROR(INDIRECT("H"&amp;MATCH("*"&amp;INDIRECT("B"&amp;R193&amp;"")&amp;"*",INDIRECT("B"&amp;R193+1&amp;":B210"),0)+R193&amp;""),0),
IF(AND(LEFT(INDIRECT("B"&amp;R193&amp;""),3)="奈良屋",COUNTIF(B:B,"*奈良屋*")&gt;=2),
INDIRECT("H"&amp;R193&amp;"")
+INDIRECT("H"&amp;MATCH("*"&amp;INDIRECT("B"&amp;R193&amp;"")&amp;"*",INDIRECT("B"&amp;R193+1&amp;":B210"),0)+R193&amp;"")
+INDIRECT("H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
+INDIRECT("H"&amp;MATCH("*"&amp;INDIRECT("B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&amp;"*",INDIRECT("B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+1&amp;":B210"),0)+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,
INDIRECT("H"&amp;R193&amp;"")))),"")</f>
        <v/>
      </c>
      <c r="X193" s="176" t="str">
        <f t="array" aca="1" ref="X193" ca="1">IF($R193&lt;&gt;"",
INDIRECT(""&amp;IF(COLUMN(I193)&lt;=26,CHAR(COLUMN(I193)+64),CHAR(INT((COLUMN(I193)-1)/26)+64)&amp;CHAR(MOD(COLUMN(I193)-1,26)+65))&amp;$R193&amp;""),"")</f>
        <v/>
      </c>
      <c r="Y193" s="176" t="str">
        <f t="array" aca="1" ref="Y193" ca="1">IF($R193&lt;&gt;"",
INDIRECT(""&amp;IF(COLUMN(J193)&lt;=26,CHAR(COLUMN(J193)+64),CHAR(INT((COLUMN(J193)-1)/26)+64)&amp;CHAR(MOD(COLUMN(J193)-1,26)+65))&amp;$R193&amp;""),"")</f>
        <v/>
      </c>
      <c r="Z193" s="176" t="str">
        <f t="shared" ref="Z193:Z256" ca="1" si="89">IF(R193&lt;&gt;"",
IFERROR(INT(W193/Y193),""),"")</f>
        <v/>
      </c>
      <c r="AA193" s="176" t="str">
        <f t="shared" ref="AA193:AA254" ca="1" si="90">IFERROR(MOD(W193,Y193),"")</f>
        <v/>
      </c>
      <c r="AB193" s="176" t="str">
        <f t="array" aca="1" ref="AB193" ca="1">IF($R193&lt;&gt;"",
IF(AND(COUNTIF(INDIRECT("B"&amp;R193&amp;""),"*雙葉*"),COUNTIF(INDIRECT("B"&amp;R193&amp;""),"&lt;&gt;*先生*"),COUNTIF(B:B,"*雙葉*")&gt;=2),
INDIRECT("M"&amp;R193&amp;"")+INDIRECT("M"&amp;MATCH("雙葉'",INDIRECT("B"&amp;R193+1&amp;":B210"),0)+R193&amp;""),
IF(AND(LEFT(INDIRECT("B"&amp;R193&amp;""),2)="博多",COUNTIF(B:B,"*博多*")&gt;=2),
INDIRECT("M"&amp;R193&amp;"")+INDIRECT("M"&amp;MATCH("*"&amp;INDIRECT("B"&amp;R193&amp;"")&amp;"*",INDIRECT("B"&amp;R193+1&amp;":B210"),0)+R193&amp;""),
IF(AND(LEFT(INDIRECT("B"&amp;R193&amp;""),3)="奈良屋",COUNTIF(B:B,"*奈良屋*")&gt;=2),
INDIRECT("M"&amp;R193&amp;"")+INDIRECT("M"&amp;MATCH("*"&amp;INDIRECT("B"&amp;R193&amp;"")&amp;"*",INDIRECT("B"&amp;R193+1&amp;":B210"),0)+R193&amp;"")
+INDIRECT("M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,
INDIRECT("M"&amp;R193&amp;"")))),"")</f>
        <v/>
      </c>
      <c r="AC193" s="176" t="str">
        <f t="shared" ref="AC193:AC254" ca="1" si="91">IF(S193&lt;&gt;"",INDEX(A:A, MATCH("*"&amp;LEFT(S193,4)&amp;"*", C:C, 0)),"")</f>
        <v/>
      </c>
      <c r="AD193" s="176" t="str">
        <f t="shared" ref="AD193:AD256" ca="1" si="92">IFERROR(INDEX(AC:AC,MATCH(SMALL($AU:$AU,ROW()),$AU:$AU,0)),"")</f>
        <v/>
      </c>
      <c r="AE193" s="176" t="str">
        <f t="shared" ref="AE193:AE256" ca="1" si="93">IFERROR(INDEX(R:R,MATCH(SMALL($AU:$AU,ROW()),$AU:$AU,0)),"")</f>
        <v/>
      </c>
      <c r="AF193" s="176" t="str">
        <f t="shared" ref="AF193:AF256" ca="1" si="94">IFERROR(INDEX(S:S,MATCH(SMALL($AU:$AU,ROW()),$AU:$AU,0)),"")</f>
        <v/>
      </c>
      <c r="AG193" s="176" t="str">
        <f t="shared" ref="AG193:AG256" ca="1" si="95">IFERROR(INDEX(T:T,MATCH(SMALL($AU:$AU,ROW()),$AU:$AU,0)),"")</f>
        <v/>
      </c>
      <c r="AH193" s="183" t="str">
        <f t="shared" ref="AH193:AH256" ca="1" si="96">IFERROR(INDEX(U:U,MATCH(SMALL($AU:$AU,ROW()),$AU:$AU,0)),"")</f>
        <v/>
      </c>
      <c r="AI193" s="176" t="str">
        <f t="shared" ref="AI193:AI256" ca="1" si="97">IFERROR(INDEX(V:V,MATCH(SMALL($AU:$AU,ROW()),$AU:$AU,0)),"")</f>
        <v/>
      </c>
      <c r="AJ193" s="176" t="str">
        <f t="shared" ref="AJ193:AJ256" ca="1" si="98">IFERROR(INDEX(W:W,MATCH(SMALL($AU:$AU,ROW()),$AU:$AU,0)),"")</f>
        <v/>
      </c>
      <c r="AK193" s="176" t="str">
        <f t="shared" ref="AK193:AK256" ca="1" si="99">IFERROR(INDEX(X:X,MATCH(SMALL($AU:$AU,ROW()),$AU:$AU,0)),"")</f>
        <v/>
      </c>
      <c r="AL193" s="176" t="str">
        <f t="shared" ref="AL193:AL256" ca="1" si="100">IFERROR(INDEX(Y:Y,MATCH(SMALL($AU:$AU,ROW()),$AU:$AU,0)),"")</f>
        <v/>
      </c>
      <c r="AM193" s="176" t="str">
        <f t="shared" ref="AM193:AM256" ca="1" si="101">IFERROR(INDEX(Z:Z,MATCH(SMALL($AU:$AU,ROW()),$AU:$AU,0)),"")</f>
        <v/>
      </c>
      <c r="AN193" s="176" t="str">
        <f t="shared" ref="AN193:AN256" ca="1" si="102">IFERROR(INDEX(AA:AA,MATCH(SMALL($AU:$AU,ROW()),$AU:$AU,0)),"")</f>
        <v/>
      </c>
      <c r="AO193" s="176" t="str">
        <f t="shared" ref="AO193:AO256" ca="1" si="103">IFERROR(INDEX(AB:AB,MATCH(SMALL($AU:$AU,ROW()),$AU:$AU,0)),"")</f>
        <v/>
      </c>
      <c r="AP193" s="176" t="str">
        <f t="shared" ref="AP193:AP256" ca="1" si="104">IFERROR(INDEX(AC:AC,MATCH(SMALL($AU:$AU,ROW()),$AU:$AU,0)),"")</f>
        <v/>
      </c>
      <c r="AU193" s="176" t="str">
        <f t="shared" ref="AU193:AU254" ca="1" si="105">IFERROR(IF(R193&gt;=219, 1000000+R193, AC193*1000+R193),"")</f>
        <v/>
      </c>
    </row>
    <row r="194" spans="1:47" ht="22.2" customHeight="1">
      <c r="A194" s="107">
        <f t="shared" si="86"/>
        <v>113</v>
      </c>
      <c r="B194" s="106" t="str">
        <f t="shared" ca="1" si="84"/>
        <v/>
      </c>
      <c r="C194" s="106" t="str">
        <f>IF(OR(クライアント抽出!D54&lt;&gt;"",クライアント抽出!G54&lt;&gt;""),クライアント抽出!A54,"")</f>
        <v/>
      </c>
      <c r="D194" s="106" t="str">
        <f t="array" aca="1" ref="D194" ca="1">IF(C194&lt;&gt;"",INDIRECT("クライアント抽出!"&amp;E194&amp;MATCH(C194,クライアント抽出!A:A,0)&amp;""),"")</f>
        <v/>
      </c>
      <c r="E194" s="106" t="str">
        <f>IF(H194&lt;&gt;0,
IFERROR(
SUBSTITUTE(ADDRESS(1,
MATCH(VALUE(H194),クライアント抽出!A54:G54,0)+8,4),"1",""),
""),
IFERROR(
SUBSTITUTE(ADDRESS(1,
MATCH(VALUE(I194),クライアント抽出!A54:G54,0)+8,4),"1",""),
""))</f>
        <v/>
      </c>
      <c r="F194" s="187" t="str">
        <f ca="1">IF(D194&lt;&gt;"",
IF(COUNTIF(C194,"*雙葉*"),
IF(ROUND((H194-M194)
/IF(COUNTIF(D194,"*キャラ*"),
VLOOKUP("*キャラ*",商品マスタ!$D:$E,2,FALSE),
IF(COUNTIF(D194,"*赤*"),
VLOOKUP("*赤*",商品マスタ!$D:$E,2,FALSE),
VLOOKUP("*"&amp;D194&amp;"*",商品マスタ!$D:$E,2,FALSE))),0)&lt;=0,1,
ROUND((H194-M194)
/IF(COUNTIF(D194,"*キャラ*"),
VLOOKUP("*キャラ*",商品マスタ!$D:$E,2,FALSE),
IF(COUNTIF(D194,"*赤*"),
VLOOKUP("*赤*",商品マスタ!$D:$E,2,FALSE),
VLOOKUP("*"&amp;D194&amp;"*",商品マスタ!$D:$E,2,FALSE))),0)),
IF(OR(COUNTIF(D194,"*キャラ*"),COUNTIF(D194,"*赤*")),"",
IF(VLOOKUP("*"&amp;D194&amp;"*",商品マスタ!$D:$E,2,FALSE)=0,"",
IF(ROUND((H194-M194)
/VLOOKUP("*"&amp;D194&amp;"*",商品マスタ!$D:$E,2,FALSE),0)&lt;=0,1,
ROUND((H194-M194)
/VLOOKUP("*"&amp;D194&amp;"*",商品マスタ!$D:$E,2,FALSE),0))))),"")</f>
        <v/>
      </c>
      <c r="G194" s="106" t="str">
        <f ca="1">IF(F194&lt;&gt;"",
IF(VALUE(H194-M194)&gt;VALUE(IF(COUNTIF(D194,"*キャラ*"),
VLOOKUP("*キャラ*",商品マスタ!$D:$E,2,FALSE),
IF(COUNTIF(D194,"*赤*"),
VLOOKUP("*赤*",商品マスタ!$D:$E,2,FALSE),
VLOOKUP("*"&amp;D194&amp;"*",商品マスタ!$D:$E,2,FALSE)))*F194),
"+"&amp;(H194-M194)-IF(COUNTIF(D194,"*キャラ*"),
VLOOKUP("*キャラ*",商品マスタ!$D:$E,2,FALSE),
IF(COUNTIF(D194,"*赤*"),
VLOOKUP("*赤*",商品マスタ!$D:$E,2,FALSE),
VLOOKUP("*"&amp;D194&amp;"*",商品マスタ!$D:$E,2,FALSE)))*F194,
(H194-M194)-IF(COUNTIF(D194,"*キャラ*"),
VLOOKUP("*キャラ*",商品マスタ!$D:$E,2,FALSE),
IF(COUNTIF(D194,"*赤*"),
VLOOKUP("*赤*",商品マスタ!$D:$E,2,FALSE),
VLOOKUP("*"&amp;D194&amp;"*",商品マスタ!$D:$E,2,FALSE)))*F194),"")</f>
        <v/>
      </c>
      <c r="H194" s="108" t="str">
        <f>IF(C194&lt;&gt;"",
クライアント抽出!D54,"")</f>
        <v/>
      </c>
      <c r="I194" s="106" t="str">
        <f>IF(C194&lt;&gt;"",
IF(O194=1,0,クライアント抽出!F54),"")</f>
        <v/>
      </c>
      <c r="J194" s="106" t="str">
        <f>IF(C194&lt;&gt;"",
VLOOKUP(
"*"&amp;LEFT(IF(COUNTIF(D194,"*学食*"),"キャラ弁（学食）",
IF(COUNTIF(D194,"*赤*"),"赤",
IF(COUNTIF(D194,"*キャラ弁当*"),"キャラ弁当",D194))),4)&amp;"*",注文弁当の抽出!$F$1:$G$15,2,FALSE),"")</f>
        <v/>
      </c>
      <c r="K194" s="106" t="str">
        <f ca="1">IF(クライアント抽出!R54&lt;&gt;"",SUBSTITUTE(ADDRESS(1,(CODE(クライアント抽出!R54)-64)*2-1,4),"1",""),"")</f>
        <v/>
      </c>
      <c r="L194" s="106" t="str">
        <f>IF(C54&lt;&gt;"",クライアント抽出!I54,"")</f>
        <v/>
      </c>
      <c r="M194" s="106">
        <f t="array" aca="1" ref="M194" ca="1">IF(C194&lt;&gt;"",
IF(K194&lt;&gt;"",INDIRECT("'数出表_Excel（アレルギー入力）'!"&amp;K194&amp;L194-1&amp;""),),)</f>
        <v>0</v>
      </c>
      <c r="N194" s="106" t="str">
        <f>IF(C194&lt;&gt;"",IF(OR(COUNTIF('盛付札（関数）'!D194,"*赤*"),COUNTIF('盛付札（関数）'!D194,"*キャラ*")),1,
VALUE(VLOOKUP("*"&amp;D194&amp;"*",商品マスタ!D:H,5,FALSE))),"")</f>
        <v/>
      </c>
      <c r="O194" s="106">
        <f t="shared" ca="1" si="85"/>
        <v>0</v>
      </c>
      <c r="P194" s="106">
        <f t="shared" si="87"/>
        <v>0</v>
      </c>
      <c r="Q194" s="106" t="b">
        <f t="shared" si="88"/>
        <v>0</v>
      </c>
      <c r="R194" s="176" t="str">
        <f t="array" aca="1" ref="R194" ca="1">IFERROR(SMALL(IF(P$1:P$311&lt;&gt;0,P$1:P$311),ROW(A194)),"")</f>
        <v/>
      </c>
      <c r="S194" s="176" t="str">
        <f t="array" aca="1" ref="S194" ca="1">IF($R194&lt;&gt;"",
SUBSTITUTE(SUBSTITUTE(INDIRECT("C"&amp;$R194&amp;"")," 週3ｺｰｽ","")," 週5ｺｰｽ",""),"")</f>
        <v/>
      </c>
      <c r="T194" s="176" t="str">
        <f t="array" aca="1" ref="T194" ca="1">IF(IF($R194&lt;&gt;"",
INDIRECT(""&amp;IF(COLUMN(D194)&lt;=26,CHAR(COLUMN(D194)+64),CHAR(INT((COLUMN(D194)-1)/26)+64)&amp;CHAR(MOD(COLUMN(D194)-1,26)+65))&amp;$R194&amp;""),"")=0,"",
IF($R194&lt;&gt;"",
INDIRECT(""&amp;IF(COLUMN(D194)&lt;=26,CHAR(COLUMN(D194)+64),CHAR(INT((COLUMN(D194)-1)/26)+64)&amp;CHAR(MOD(COLUMN(D194)-1,26)+65))&amp;$R194&amp;""),""))</f>
        <v/>
      </c>
      <c r="U194" s="218" t="str">
        <f t="array" aca="1" ref="U194" ca="1">IF($R194&lt;&gt;"",
INDIRECT("F"&amp;$R194&amp;""),"")</f>
        <v/>
      </c>
      <c r="V194" s="219" t="str">
        <f t="array" aca="1" ref="V194" ca="1">IF($R194&lt;&gt;"",
INDIRECT("G"&amp;$R194&amp;""),"")</f>
        <v/>
      </c>
      <c r="W194" s="219" t="str" cm="1">
        <f t="array" aca="1" ref="W194" ca="1">IF($R194&lt;&gt;"",
IF(AND(COUNTIF(INDIRECT("B"&amp;R194&amp;""),"*雙葉*"),COUNTIF($B$71:$B$210,"*雙葉*")&gt;=1),
IF(OR(COUNTIF(INDIRECT("B"&amp;R194&amp;""),"*雙葉先生*"),COUNTIF(INDIRECT("B"&amp;R194-1&amp;""),"*雙葉*")),INDIRECT("H"&amp;R194&amp;""),INDIRECT("H"&amp;R194&amp;"")+INDIRECT("H"&amp;MATCH("雙葉'",INDIRECT("B"&amp;R194+3&amp;":B210"),0)+2+R194&amp;"")),
IF(AND(LEFT(INDIRECT("B"&amp;R194&amp;""),2)="博多",COUNTIF(B:B,"*博多*")&gt;=2),
INDIRECT("H"&amp;R194&amp;"")+IFERROR(INDIRECT("H"&amp;MATCH("*"&amp;INDIRECT("B"&amp;R194&amp;"")&amp;"*",INDIRECT("B"&amp;R194+1&amp;":B210"),0)+R194&amp;""),0),
IF(AND(LEFT(INDIRECT("B"&amp;R194&amp;""),3)="奈良屋",COUNTIF(B:B,"*奈良屋*")&gt;=2),
INDIRECT("H"&amp;R194&amp;"")
+INDIRECT("H"&amp;MATCH("*"&amp;INDIRECT("B"&amp;R194&amp;"")&amp;"*",INDIRECT("B"&amp;R194+1&amp;":B210"),0)+R194&amp;"")
+INDIRECT("H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
+INDIRECT("H"&amp;MATCH("*"&amp;INDIRECT("B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&amp;"*",INDIRECT("B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+1&amp;":B210"),0)+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,
INDIRECT("H"&amp;R194&amp;"")))),"")</f>
        <v/>
      </c>
      <c r="X194" s="176" t="str">
        <f t="array" aca="1" ref="X194" ca="1">IF($R194&lt;&gt;"",
INDIRECT(""&amp;IF(COLUMN(I194)&lt;=26,CHAR(COLUMN(I194)+64),CHAR(INT((COLUMN(I194)-1)/26)+64)&amp;CHAR(MOD(COLUMN(I194)-1,26)+65))&amp;$R194&amp;""),"")</f>
        <v/>
      </c>
      <c r="Y194" s="176" t="str">
        <f t="array" aca="1" ref="Y194" ca="1">IF($R194&lt;&gt;"",
INDIRECT(""&amp;IF(COLUMN(J194)&lt;=26,CHAR(COLUMN(J194)+64),CHAR(INT((COLUMN(J194)-1)/26)+64)&amp;CHAR(MOD(COLUMN(J194)-1,26)+65))&amp;$R194&amp;""),"")</f>
        <v/>
      </c>
      <c r="Z194" s="176" t="str">
        <f t="shared" ca="1" si="89"/>
        <v/>
      </c>
      <c r="AA194" s="176" t="str">
        <f t="shared" ca="1" si="90"/>
        <v/>
      </c>
      <c r="AB194" s="176" t="str">
        <f t="array" aca="1" ref="AB194" ca="1">IF($R194&lt;&gt;"",
IF(AND(COUNTIF(INDIRECT("B"&amp;R194&amp;""),"*雙葉*"),COUNTIF(INDIRECT("B"&amp;R194&amp;""),"&lt;&gt;*先生*"),COUNTIF(B:B,"*雙葉*")&gt;=2),
INDIRECT("M"&amp;R194&amp;"")+INDIRECT("M"&amp;MATCH("雙葉'",INDIRECT("B"&amp;R194+1&amp;":B210"),0)+R194&amp;""),
IF(AND(LEFT(INDIRECT("B"&amp;R194&amp;""),2)="博多",COUNTIF(B:B,"*博多*")&gt;=2),
INDIRECT("M"&amp;R194&amp;"")+INDIRECT("M"&amp;MATCH("*"&amp;INDIRECT("B"&amp;R194&amp;"")&amp;"*",INDIRECT("B"&amp;R194+1&amp;":B210"),0)+R194&amp;""),
IF(AND(LEFT(INDIRECT("B"&amp;R194&amp;""),3)="奈良屋",COUNTIF(B:B,"*奈良屋*")&gt;=2),
INDIRECT("M"&amp;R194&amp;"")+INDIRECT("M"&amp;MATCH("*"&amp;INDIRECT("B"&amp;R194&amp;"")&amp;"*",INDIRECT("B"&amp;R194+1&amp;":B210"),0)+R194&amp;"")
+INDIRECT("M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,
INDIRECT("M"&amp;R194&amp;"")))),"")</f>
        <v/>
      </c>
      <c r="AC194" s="176" t="str">
        <f t="shared" ca="1" si="91"/>
        <v/>
      </c>
      <c r="AD194" s="176" t="str">
        <f t="shared" ca="1" si="92"/>
        <v/>
      </c>
      <c r="AE194" s="176" t="str">
        <f t="shared" ca="1" si="93"/>
        <v/>
      </c>
      <c r="AF194" s="176" t="str">
        <f t="shared" ca="1" si="94"/>
        <v/>
      </c>
      <c r="AG194" s="176" t="str">
        <f t="shared" ca="1" si="95"/>
        <v/>
      </c>
      <c r="AH194" s="183" t="str">
        <f t="shared" ca="1" si="96"/>
        <v/>
      </c>
      <c r="AI194" s="176" t="str">
        <f t="shared" ca="1" si="97"/>
        <v/>
      </c>
      <c r="AJ194" s="176" t="str">
        <f t="shared" ca="1" si="98"/>
        <v/>
      </c>
      <c r="AK194" s="176" t="str">
        <f t="shared" ca="1" si="99"/>
        <v/>
      </c>
      <c r="AL194" s="176" t="str">
        <f t="shared" ca="1" si="100"/>
        <v/>
      </c>
      <c r="AM194" s="176" t="str">
        <f t="shared" ca="1" si="101"/>
        <v/>
      </c>
      <c r="AN194" s="176" t="str">
        <f t="shared" ca="1" si="102"/>
        <v/>
      </c>
      <c r="AO194" s="176" t="str">
        <f t="shared" ca="1" si="103"/>
        <v/>
      </c>
      <c r="AP194" s="176" t="str">
        <f t="shared" ca="1" si="104"/>
        <v/>
      </c>
      <c r="AU194" s="176" t="str">
        <f t="shared" ca="1" si="105"/>
        <v/>
      </c>
    </row>
    <row r="195" spans="1:47" ht="22.2" customHeight="1">
      <c r="A195" s="107">
        <f t="shared" si="86"/>
        <v>115</v>
      </c>
      <c r="B195" s="106" t="str">
        <f t="shared" ca="1" si="84"/>
        <v/>
      </c>
      <c r="C195" s="106" t="str">
        <f>IF(OR(クライアント抽出!D55&lt;&gt;"",クライアント抽出!G55&lt;&gt;""),クライアント抽出!A55,"")</f>
        <v/>
      </c>
      <c r="D195" s="106" t="str">
        <f t="array" aca="1" ref="D195" ca="1">IF(C195&lt;&gt;"",INDIRECT("クライアント抽出!"&amp;E195&amp;MATCH(C195,クライアント抽出!A:A,0)&amp;""),"")</f>
        <v/>
      </c>
      <c r="E195" s="106" t="str">
        <f>IF(H195&lt;&gt;0,
IFERROR(
SUBSTITUTE(ADDRESS(1,
MATCH(VALUE(H195),クライアント抽出!A55:G55,0)+8,4),"1",""),
""),
IFERROR(
SUBSTITUTE(ADDRESS(1,
MATCH(VALUE(I195),クライアント抽出!A55:G55,0)+8,4),"1",""),
""))</f>
        <v/>
      </c>
      <c r="F195" s="187" t="str">
        <f ca="1">IF(D195&lt;&gt;"",
IF(COUNTIF(C195,"*雙葉*"),
IF(ROUND((H195-M195)
/IF(COUNTIF(D195,"*キャラ*"),
VLOOKUP("*キャラ*",商品マスタ!$D:$E,2,FALSE),
IF(COUNTIF(D195,"*赤*"),
VLOOKUP("*赤*",商品マスタ!$D:$E,2,FALSE),
VLOOKUP("*"&amp;D195&amp;"*",商品マスタ!$D:$E,2,FALSE))),0)&lt;=0,1,
ROUND((H195-M195)
/IF(COUNTIF(D195,"*キャラ*"),
VLOOKUP("*キャラ*",商品マスタ!$D:$E,2,FALSE),
IF(COUNTIF(D195,"*赤*"),
VLOOKUP("*赤*",商品マスタ!$D:$E,2,FALSE),
VLOOKUP("*"&amp;D195&amp;"*",商品マスタ!$D:$E,2,FALSE))),0)),
IF(OR(COUNTIF(D195,"*キャラ*"),COUNTIF(D195,"*赤*")),"",
IF(VLOOKUP("*"&amp;D195&amp;"*",商品マスタ!$D:$E,2,FALSE)=0,"",
IF(ROUND((H195-M195)
/VLOOKUP("*"&amp;D195&amp;"*",商品マスタ!$D:$E,2,FALSE),0)&lt;=0,1,
ROUND((H195-M195)
/VLOOKUP("*"&amp;D195&amp;"*",商品マスタ!$D:$E,2,FALSE),0))))),"")</f>
        <v/>
      </c>
      <c r="G195" s="106" t="str">
        <f ca="1">IF(F195&lt;&gt;"",
IF(VALUE(H195-M195)&gt;VALUE(IF(COUNTIF(D195,"*キャラ*"),
VLOOKUP("*キャラ*",商品マスタ!$D:$E,2,FALSE),
IF(COUNTIF(D195,"*赤*"),
VLOOKUP("*赤*",商品マスタ!$D:$E,2,FALSE),
VLOOKUP("*"&amp;D195&amp;"*",商品マスタ!$D:$E,2,FALSE)))*F195),
"+"&amp;(H195-M195)-IF(COUNTIF(D195,"*キャラ*"),
VLOOKUP("*キャラ*",商品マスタ!$D:$E,2,FALSE),
IF(COUNTIF(D195,"*赤*"),
VLOOKUP("*赤*",商品マスタ!$D:$E,2,FALSE),
VLOOKUP("*"&amp;D195&amp;"*",商品マスタ!$D:$E,2,FALSE)))*F195,
(H195-M195)-IF(COUNTIF(D195,"*キャラ*"),
VLOOKUP("*キャラ*",商品マスタ!$D:$E,2,FALSE),
IF(COUNTIF(D195,"*赤*"),
VLOOKUP("*赤*",商品マスタ!$D:$E,2,FALSE),
VLOOKUP("*"&amp;D195&amp;"*",商品マスタ!$D:$E,2,FALSE)))*F195),"")</f>
        <v/>
      </c>
      <c r="H195" s="108" t="str">
        <f>IF(C195&lt;&gt;"",
クライアント抽出!D55,"")</f>
        <v/>
      </c>
      <c r="I195" s="106" t="str">
        <f>IF(C195&lt;&gt;"",
IF(O195=1,0,クライアント抽出!F55),"")</f>
        <v/>
      </c>
      <c r="J195" s="106" t="str">
        <f>IF(C195&lt;&gt;"",
VLOOKUP(
"*"&amp;LEFT(IF(COUNTIF(D195,"*学食*"),"キャラ弁（学食）",
IF(COUNTIF(D195,"*赤*"),"赤",
IF(COUNTIF(D195,"*キャラ弁当*"),"キャラ弁当",D195))),4)&amp;"*",注文弁当の抽出!$F$1:$G$15,2,FALSE),"")</f>
        <v/>
      </c>
      <c r="K195" s="106" t="str">
        <f ca="1">IF(クライアント抽出!R55&lt;&gt;"",SUBSTITUTE(ADDRESS(1,(CODE(クライアント抽出!R55)-64)*2-1,4),"1",""),"")</f>
        <v/>
      </c>
      <c r="L195" s="106" t="str">
        <f>IF(C55&lt;&gt;"",クライアント抽出!I55,"")</f>
        <v/>
      </c>
      <c r="M195" s="106">
        <f t="array" aca="1" ref="M195" ca="1">IF(C195&lt;&gt;"",
IF(K195&lt;&gt;"",INDIRECT("'数出表_Excel（アレルギー入力）'!"&amp;K195&amp;L195-1&amp;""),),)</f>
        <v>0</v>
      </c>
      <c r="N195" s="106" t="str">
        <f>IF(C195&lt;&gt;"",IF(OR(COUNTIF('盛付札（関数）'!D195,"*赤*"),COUNTIF('盛付札（関数）'!D195,"*キャラ*")),1,
VALUE(VLOOKUP("*"&amp;D195&amp;"*",商品マスタ!D:H,5,FALSE))),"")</f>
        <v/>
      </c>
      <c r="O195" s="106">
        <f t="shared" ca="1" si="85"/>
        <v>0</v>
      </c>
      <c r="P195" s="106">
        <f t="shared" si="87"/>
        <v>0</v>
      </c>
      <c r="Q195" s="106" t="b">
        <f t="shared" si="88"/>
        <v>0</v>
      </c>
      <c r="R195" s="176" t="str">
        <f t="array" aca="1" ref="R195" ca="1">IFERROR(SMALL(IF(P$1:P$311&lt;&gt;0,P$1:P$311),ROW(A195)),"")</f>
        <v/>
      </c>
      <c r="S195" s="176" t="str">
        <f t="array" aca="1" ref="S195" ca="1">IF($R195&lt;&gt;"",
SUBSTITUTE(SUBSTITUTE(INDIRECT("C"&amp;$R195&amp;"")," 週3ｺｰｽ","")," 週5ｺｰｽ",""),"")</f>
        <v/>
      </c>
      <c r="T195" s="176" t="str">
        <f t="array" aca="1" ref="T195" ca="1">IF(IF($R195&lt;&gt;"",
INDIRECT(""&amp;IF(COLUMN(D195)&lt;=26,CHAR(COLUMN(D195)+64),CHAR(INT((COLUMN(D195)-1)/26)+64)&amp;CHAR(MOD(COLUMN(D195)-1,26)+65))&amp;$R195&amp;""),"")=0,"",
IF($R195&lt;&gt;"",
INDIRECT(""&amp;IF(COLUMN(D195)&lt;=26,CHAR(COLUMN(D195)+64),CHAR(INT((COLUMN(D195)-1)/26)+64)&amp;CHAR(MOD(COLUMN(D195)-1,26)+65))&amp;$R195&amp;""),""))</f>
        <v/>
      </c>
      <c r="U195" s="218" t="str">
        <f t="array" aca="1" ref="U195" ca="1">IF($R195&lt;&gt;"",
INDIRECT("F"&amp;$R195&amp;""),"")</f>
        <v/>
      </c>
      <c r="V195" s="219" t="str">
        <f t="array" aca="1" ref="V195" ca="1">IF($R195&lt;&gt;"",
INDIRECT("G"&amp;$R195&amp;""),"")</f>
        <v/>
      </c>
      <c r="W195" s="219" t="str" cm="1">
        <f t="array" aca="1" ref="W195" ca="1">IF($R195&lt;&gt;"",
IF(AND(COUNTIF(INDIRECT("B"&amp;R195&amp;""),"*雙葉*"),COUNTIF($B$71:$B$210,"*雙葉*")&gt;=1),
IF(OR(COUNTIF(INDIRECT("B"&amp;R195&amp;""),"*雙葉先生*"),COUNTIF(INDIRECT("B"&amp;R195-1&amp;""),"*雙葉*")),INDIRECT("H"&amp;R195&amp;""),INDIRECT("H"&amp;R195&amp;"")+INDIRECT("H"&amp;MATCH("雙葉'",INDIRECT("B"&amp;R195+3&amp;":B210"),0)+2+R195&amp;"")),
IF(AND(LEFT(INDIRECT("B"&amp;R195&amp;""),2)="博多",COUNTIF(B:B,"*博多*")&gt;=2),
INDIRECT("H"&amp;R195&amp;"")+IFERROR(INDIRECT("H"&amp;MATCH("*"&amp;INDIRECT("B"&amp;R195&amp;"")&amp;"*",INDIRECT("B"&amp;R195+1&amp;":B210"),0)+R195&amp;""),0),
IF(AND(LEFT(INDIRECT("B"&amp;R195&amp;""),3)="奈良屋",COUNTIF(B:B,"*奈良屋*")&gt;=2),
INDIRECT("H"&amp;R195&amp;"")
+INDIRECT("H"&amp;MATCH("*"&amp;INDIRECT("B"&amp;R195&amp;"")&amp;"*",INDIRECT("B"&amp;R195+1&amp;":B210"),0)+R195&amp;"")
+INDIRECT("H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
+INDIRECT("H"&amp;MATCH("*"&amp;INDIRECT("B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&amp;"*",INDIRECT("B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+1&amp;":B210"),0)+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,
INDIRECT("H"&amp;R195&amp;"")))),"")</f>
        <v/>
      </c>
      <c r="X195" s="176" t="str">
        <f t="array" aca="1" ref="X195" ca="1">IF($R195&lt;&gt;"",
INDIRECT(""&amp;IF(COLUMN(I195)&lt;=26,CHAR(COLUMN(I195)+64),CHAR(INT((COLUMN(I195)-1)/26)+64)&amp;CHAR(MOD(COLUMN(I195)-1,26)+65))&amp;$R195&amp;""),"")</f>
        <v/>
      </c>
      <c r="Y195" s="176" t="str">
        <f t="array" aca="1" ref="Y195" ca="1">IF($R195&lt;&gt;"",
INDIRECT(""&amp;IF(COLUMN(J195)&lt;=26,CHAR(COLUMN(J195)+64),CHAR(INT((COLUMN(J195)-1)/26)+64)&amp;CHAR(MOD(COLUMN(J195)-1,26)+65))&amp;$R195&amp;""),"")</f>
        <v/>
      </c>
      <c r="Z195" s="176" t="str">
        <f t="shared" ca="1" si="89"/>
        <v/>
      </c>
      <c r="AA195" s="176" t="str">
        <f t="shared" ca="1" si="90"/>
        <v/>
      </c>
      <c r="AB195" s="176" t="str">
        <f t="array" aca="1" ref="AB195" ca="1">IF($R195&lt;&gt;"",
IF(AND(COUNTIF(INDIRECT("B"&amp;R195&amp;""),"*雙葉*"),COUNTIF(INDIRECT("B"&amp;R195&amp;""),"&lt;&gt;*先生*"),COUNTIF(B:B,"*雙葉*")&gt;=2),
INDIRECT("M"&amp;R195&amp;"")+INDIRECT("M"&amp;MATCH("雙葉'",INDIRECT("B"&amp;R195+1&amp;":B210"),0)+R195&amp;""),
IF(AND(LEFT(INDIRECT("B"&amp;R195&amp;""),2)="博多",COUNTIF(B:B,"*博多*")&gt;=2),
INDIRECT("M"&amp;R195&amp;"")+INDIRECT("M"&amp;MATCH("*"&amp;INDIRECT("B"&amp;R195&amp;"")&amp;"*",INDIRECT("B"&amp;R195+1&amp;":B210"),0)+R195&amp;""),
IF(AND(LEFT(INDIRECT("B"&amp;R195&amp;""),3)="奈良屋",COUNTIF(B:B,"*奈良屋*")&gt;=2),
INDIRECT("M"&amp;R195&amp;"")+INDIRECT("M"&amp;MATCH("*"&amp;INDIRECT("B"&amp;R195&amp;"")&amp;"*",INDIRECT("B"&amp;R195+1&amp;":B210"),0)+R195&amp;"")
+INDIRECT("M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,
INDIRECT("M"&amp;R195&amp;"")))),"")</f>
        <v/>
      </c>
      <c r="AC195" s="176" t="str">
        <f t="shared" ca="1" si="91"/>
        <v/>
      </c>
      <c r="AD195" s="176" t="str">
        <f t="shared" ca="1" si="92"/>
        <v/>
      </c>
      <c r="AE195" s="176" t="str">
        <f t="shared" ca="1" si="93"/>
        <v/>
      </c>
      <c r="AF195" s="176" t="str">
        <f t="shared" ca="1" si="94"/>
        <v/>
      </c>
      <c r="AG195" s="176" t="str">
        <f t="shared" ca="1" si="95"/>
        <v/>
      </c>
      <c r="AH195" s="183" t="str">
        <f t="shared" ca="1" si="96"/>
        <v/>
      </c>
      <c r="AI195" s="176" t="str">
        <f t="shared" ca="1" si="97"/>
        <v/>
      </c>
      <c r="AJ195" s="176" t="str">
        <f t="shared" ca="1" si="98"/>
        <v/>
      </c>
      <c r="AK195" s="176" t="str">
        <f t="shared" ca="1" si="99"/>
        <v/>
      </c>
      <c r="AL195" s="176" t="str">
        <f t="shared" ca="1" si="100"/>
        <v/>
      </c>
      <c r="AM195" s="176" t="str">
        <f t="shared" ca="1" si="101"/>
        <v/>
      </c>
      <c r="AN195" s="176" t="str">
        <f t="shared" ca="1" si="102"/>
        <v/>
      </c>
      <c r="AO195" s="176" t="str">
        <f t="shared" ca="1" si="103"/>
        <v/>
      </c>
      <c r="AP195" s="176" t="str">
        <f t="shared" ca="1" si="104"/>
        <v/>
      </c>
      <c r="AU195" s="176" t="str">
        <f t="shared" ca="1" si="105"/>
        <v/>
      </c>
    </row>
    <row r="196" spans="1:47" ht="22.2" customHeight="1">
      <c r="A196" s="107">
        <f t="shared" si="86"/>
        <v>117</v>
      </c>
      <c r="B196" s="106" t="str">
        <f t="shared" ca="1" si="84"/>
        <v/>
      </c>
      <c r="C196" s="106" t="str">
        <f>IF(OR(クライアント抽出!D56&lt;&gt;"",クライアント抽出!G56&lt;&gt;""),クライアント抽出!A56,"")</f>
        <v/>
      </c>
      <c r="D196" s="106" t="str">
        <f t="array" aca="1" ref="D196" ca="1">IF(C196&lt;&gt;"",INDIRECT("クライアント抽出!"&amp;E196&amp;MATCH(C196,クライアント抽出!A:A,0)&amp;""),"")</f>
        <v/>
      </c>
      <c r="E196" s="106" t="str">
        <f>IF(H196&lt;&gt;0,
IFERROR(
SUBSTITUTE(ADDRESS(1,
MATCH(VALUE(H196),クライアント抽出!A56:G56,0)+8,4),"1",""),
""),
IFERROR(
SUBSTITUTE(ADDRESS(1,
MATCH(VALUE(I196),クライアント抽出!A56:G56,0)+8,4),"1",""),
""))</f>
        <v/>
      </c>
      <c r="F196" s="187" t="str">
        <f ca="1">IF(D196&lt;&gt;"",
IF(COUNTIF(C196,"*雙葉*"),
IF(ROUND((H196-M196)
/IF(COUNTIF(D196,"*キャラ*"),
VLOOKUP("*キャラ*",商品マスタ!$D:$E,2,FALSE),
IF(COUNTIF(D196,"*赤*"),
VLOOKUP("*赤*",商品マスタ!$D:$E,2,FALSE),
VLOOKUP("*"&amp;D196&amp;"*",商品マスタ!$D:$E,2,FALSE))),0)&lt;=0,1,
ROUND((H196-M196)
/IF(COUNTIF(D196,"*キャラ*"),
VLOOKUP("*キャラ*",商品マスタ!$D:$E,2,FALSE),
IF(COUNTIF(D196,"*赤*"),
VLOOKUP("*赤*",商品マスタ!$D:$E,2,FALSE),
VLOOKUP("*"&amp;D196&amp;"*",商品マスタ!$D:$E,2,FALSE))),0)),
IF(OR(COUNTIF(D196,"*キャラ*"),COUNTIF(D196,"*赤*")),"",
IF(VLOOKUP("*"&amp;D196&amp;"*",商品マスタ!$D:$E,2,FALSE)=0,"",
IF(ROUND((H196-M196)
/VLOOKUP("*"&amp;D196&amp;"*",商品マスタ!$D:$E,2,FALSE),0)&lt;=0,1,
ROUND((H196-M196)
/VLOOKUP("*"&amp;D196&amp;"*",商品マスタ!$D:$E,2,FALSE),0))))),"")</f>
        <v/>
      </c>
      <c r="G196" s="106" t="str">
        <f ca="1">IF(F196&lt;&gt;"",
IF(VALUE(H196-M196)&gt;VALUE(IF(COUNTIF(D196,"*キャラ*"),
VLOOKUP("*キャラ*",商品マスタ!$D:$E,2,FALSE),
IF(COUNTIF(D196,"*赤*"),
VLOOKUP("*赤*",商品マスタ!$D:$E,2,FALSE),
VLOOKUP("*"&amp;D196&amp;"*",商品マスタ!$D:$E,2,FALSE)))*F196),
"+"&amp;(H196-M196)-IF(COUNTIF(D196,"*キャラ*"),
VLOOKUP("*キャラ*",商品マスタ!$D:$E,2,FALSE),
IF(COUNTIF(D196,"*赤*"),
VLOOKUP("*赤*",商品マスタ!$D:$E,2,FALSE),
VLOOKUP("*"&amp;D196&amp;"*",商品マスタ!$D:$E,2,FALSE)))*F196,
(H196-M196)-IF(COUNTIF(D196,"*キャラ*"),
VLOOKUP("*キャラ*",商品マスタ!$D:$E,2,FALSE),
IF(COUNTIF(D196,"*赤*"),
VLOOKUP("*赤*",商品マスタ!$D:$E,2,FALSE),
VLOOKUP("*"&amp;D196&amp;"*",商品マスタ!$D:$E,2,FALSE)))*F196),"")</f>
        <v/>
      </c>
      <c r="H196" s="108" t="str">
        <f>IF(C196&lt;&gt;"",
クライアント抽出!D56,"")</f>
        <v/>
      </c>
      <c r="I196" s="106" t="str">
        <f>IF(C196&lt;&gt;"",
IF(O196=1,0,クライアント抽出!F56),"")</f>
        <v/>
      </c>
      <c r="J196" s="106" t="str">
        <f>IF(C196&lt;&gt;"",
VLOOKUP(
"*"&amp;LEFT(IF(COUNTIF(D196,"*学食*"),"キャラ弁（学食）",
IF(COUNTIF(D196,"*赤*"),"赤",
IF(COUNTIF(D196,"*キャラ弁当*"),"キャラ弁当",D196))),4)&amp;"*",注文弁当の抽出!$F$1:$G$15,2,FALSE),"")</f>
        <v/>
      </c>
      <c r="K196" s="106" t="str">
        <f ca="1">IF(クライアント抽出!R56&lt;&gt;"",SUBSTITUTE(ADDRESS(1,(CODE(クライアント抽出!R56)-64)*2-1,4),"1",""),"")</f>
        <v/>
      </c>
      <c r="L196" s="106" t="str">
        <f>IF(C56&lt;&gt;"",クライアント抽出!I56,"")</f>
        <v/>
      </c>
      <c r="M196" s="106">
        <f t="array" aca="1" ref="M196" ca="1">IF(C196&lt;&gt;"",
IF(K196&lt;&gt;"",INDIRECT("'数出表_Excel（アレルギー入力）'!"&amp;K196&amp;L196-1&amp;""),),)</f>
        <v>0</v>
      </c>
      <c r="N196" s="106" t="str">
        <f>IF(C196&lt;&gt;"",IF(OR(COUNTIF('盛付札（関数）'!D196,"*赤*"),COUNTIF('盛付札（関数）'!D196,"*キャラ*")),1,
VALUE(VLOOKUP("*"&amp;D196&amp;"*",商品マスタ!D:H,5,FALSE))),"")</f>
        <v/>
      </c>
      <c r="O196" s="106">
        <f t="shared" ca="1" si="85"/>
        <v>0</v>
      </c>
      <c r="P196" s="106">
        <f t="shared" si="87"/>
        <v>0</v>
      </c>
      <c r="Q196" s="106" t="b">
        <f t="shared" si="88"/>
        <v>0</v>
      </c>
      <c r="R196" s="176" t="str">
        <f t="array" aca="1" ref="R196" ca="1">IFERROR(SMALL(IF(P$1:P$311&lt;&gt;0,P$1:P$311),ROW(A196)),"")</f>
        <v/>
      </c>
      <c r="S196" s="176" t="str">
        <f t="array" aca="1" ref="S196" ca="1">IF($R196&lt;&gt;"",
SUBSTITUTE(SUBSTITUTE(INDIRECT("C"&amp;$R196&amp;"")," 週3ｺｰｽ","")," 週5ｺｰｽ",""),"")</f>
        <v/>
      </c>
      <c r="T196" s="176" t="str">
        <f t="array" aca="1" ref="T196" ca="1">IF(IF($R196&lt;&gt;"",
INDIRECT(""&amp;IF(COLUMN(D196)&lt;=26,CHAR(COLUMN(D196)+64),CHAR(INT((COLUMN(D196)-1)/26)+64)&amp;CHAR(MOD(COLUMN(D196)-1,26)+65))&amp;$R196&amp;""),"")=0,"",
IF($R196&lt;&gt;"",
INDIRECT(""&amp;IF(COLUMN(D196)&lt;=26,CHAR(COLUMN(D196)+64),CHAR(INT((COLUMN(D196)-1)/26)+64)&amp;CHAR(MOD(COLUMN(D196)-1,26)+65))&amp;$R196&amp;""),""))</f>
        <v/>
      </c>
      <c r="U196" s="218" t="str">
        <f t="array" aca="1" ref="U196" ca="1">IF($R196&lt;&gt;"",
INDIRECT("F"&amp;$R196&amp;""),"")</f>
        <v/>
      </c>
      <c r="V196" s="219" t="str">
        <f t="array" aca="1" ref="V196" ca="1">IF($R196&lt;&gt;"",
INDIRECT("G"&amp;$R196&amp;""),"")</f>
        <v/>
      </c>
      <c r="W196" s="219" t="str" cm="1">
        <f t="array" aca="1" ref="W196" ca="1">IF($R196&lt;&gt;"",
IF(AND(COUNTIF(INDIRECT("B"&amp;R196&amp;""),"*雙葉*"),COUNTIF($B$71:$B$210,"*雙葉*")&gt;=1),
IF(OR(COUNTIF(INDIRECT("B"&amp;R196&amp;""),"*雙葉先生*"),COUNTIF(INDIRECT("B"&amp;R196-1&amp;""),"*雙葉*")),INDIRECT("H"&amp;R196&amp;""),INDIRECT("H"&amp;R196&amp;"")+INDIRECT("H"&amp;MATCH("雙葉'",INDIRECT("B"&amp;R196+3&amp;":B210"),0)+2+R196&amp;"")),
IF(AND(LEFT(INDIRECT("B"&amp;R196&amp;""),2)="博多",COUNTIF(B:B,"*博多*")&gt;=2),
INDIRECT("H"&amp;R196&amp;"")+IFERROR(INDIRECT("H"&amp;MATCH("*"&amp;INDIRECT("B"&amp;R196&amp;"")&amp;"*",INDIRECT("B"&amp;R196+1&amp;":B210"),0)+R196&amp;""),0),
IF(AND(LEFT(INDIRECT("B"&amp;R196&amp;""),3)="奈良屋",COUNTIF(B:B,"*奈良屋*")&gt;=2),
INDIRECT("H"&amp;R196&amp;"")
+INDIRECT("H"&amp;MATCH("*"&amp;INDIRECT("B"&amp;R196&amp;"")&amp;"*",INDIRECT("B"&amp;R196+1&amp;":B210"),0)+R196&amp;"")
+INDIRECT("H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
+INDIRECT("H"&amp;MATCH("*"&amp;INDIRECT("B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&amp;"*",INDIRECT("B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+1&amp;":B210"),0)+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,
INDIRECT("H"&amp;R196&amp;"")))),"")</f>
        <v/>
      </c>
      <c r="X196" s="176" t="str">
        <f t="array" aca="1" ref="X196" ca="1">IF($R196&lt;&gt;"",
INDIRECT(""&amp;IF(COLUMN(I196)&lt;=26,CHAR(COLUMN(I196)+64),CHAR(INT((COLUMN(I196)-1)/26)+64)&amp;CHAR(MOD(COLUMN(I196)-1,26)+65))&amp;$R196&amp;""),"")</f>
        <v/>
      </c>
      <c r="Y196" s="176" t="str">
        <f t="array" aca="1" ref="Y196" ca="1">IF($R196&lt;&gt;"",
INDIRECT(""&amp;IF(COLUMN(J196)&lt;=26,CHAR(COLUMN(J196)+64),CHAR(INT((COLUMN(J196)-1)/26)+64)&amp;CHAR(MOD(COLUMN(J196)-1,26)+65))&amp;$R196&amp;""),"")</f>
        <v/>
      </c>
      <c r="Z196" s="176" t="str">
        <f t="shared" ca="1" si="89"/>
        <v/>
      </c>
      <c r="AA196" s="176" t="str">
        <f t="shared" ca="1" si="90"/>
        <v/>
      </c>
      <c r="AB196" s="176" t="str">
        <f t="array" aca="1" ref="AB196" ca="1">IF($R196&lt;&gt;"",
IF(AND(COUNTIF(INDIRECT("B"&amp;R196&amp;""),"*雙葉*"),COUNTIF(INDIRECT("B"&amp;R196&amp;""),"&lt;&gt;*先生*"),COUNTIF(B:B,"*雙葉*")&gt;=2),
INDIRECT("M"&amp;R196&amp;"")+INDIRECT("M"&amp;MATCH("雙葉'",INDIRECT("B"&amp;R196+1&amp;":B210"),0)+R196&amp;""),
IF(AND(LEFT(INDIRECT("B"&amp;R196&amp;""),2)="博多",COUNTIF(B:B,"*博多*")&gt;=2),
INDIRECT("M"&amp;R196&amp;"")+INDIRECT("M"&amp;MATCH("*"&amp;INDIRECT("B"&amp;R196&amp;"")&amp;"*",INDIRECT("B"&amp;R196+1&amp;":B210"),0)+R196&amp;""),
IF(AND(LEFT(INDIRECT("B"&amp;R196&amp;""),3)="奈良屋",COUNTIF(B:B,"*奈良屋*")&gt;=2),
INDIRECT("M"&amp;R196&amp;"")+INDIRECT("M"&amp;MATCH("*"&amp;INDIRECT("B"&amp;R196&amp;"")&amp;"*",INDIRECT("B"&amp;R196+1&amp;":B210"),0)+R196&amp;"")
+INDIRECT("M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,
INDIRECT("M"&amp;R196&amp;"")))),"")</f>
        <v/>
      </c>
      <c r="AC196" s="176" t="str">
        <f t="shared" ca="1" si="91"/>
        <v/>
      </c>
      <c r="AD196" s="176" t="str">
        <f t="shared" ca="1" si="92"/>
        <v/>
      </c>
      <c r="AE196" s="176" t="str">
        <f t="shared" ca="1" si="93"/>
        <v/>
      </c>
      <c r="AF196" s="176" t="str">
        <f t="shared" ca="1" si="94"/>
        <v/>
      </c>
      <c r="AG196" s="176" t="str">
        <f t="shared" ca="1" si="95"/>
        <v/>
      </c>
      <c r="AH196" s="183" t="str">
        <f t="shared" ca="1" si="96"/>
        <v/>
      </c>
      <c r="AI196" s="176" t="str">
        <f t="shared" ca="1" si="97"/>
        <v/>
      </c>
      <c r="AJ196" s="176" t="str">
        <f t="shared" ca="1" si="98"/>
        <v/>
      </c>
      <c r="AK196" s="176" t="str">
        <f t="shared" ca="1" si="99"/>
        <v/>
      </c>
      <c r="AL196" s="176" t="str">
        <f t="shared" ca="1" si="100"/>
        <v/>
      </c>
      <c r="AM196" s="176" t="str">
        <f t="shared" ca="1" si="101"/>
        <v/>
      </c>
      <c r="AN196" s="176" t="str">
        <f t="shared" ca="1" si="102"/>
        <v/>
      </c>
      <c r="AO196" s="176" t="str">
        <f t="shared" ca="1" si="103"/>
        <v/>
      </c>
      <c r="AP196" s="176" t="str">
        <f t="shared" ca="1" si="104"/>
        <v/>
      </c>
      <c r="AU196" s="176" t="str">
        <f t="shared" ca="1" si="105"/>
        <v/>
      </c>
    </row>
    <row r="197" spans="1:47" ht="22.2" customHeight="1">
      <c r="A197" s="107">
        <f t="shared" si="86"/>
        <v>119</v>
      </c>
      <c r="B197" s="106" t="str">
        <f t="shared" ca="1" si="84"/>
        <v/>
      </c>
      <c r="C197" s="106" t="str">
        <f>IF(OR(クライアント抽出!D57&lt;&gt;"",クライアント抽出!G57&lt;&gt;""),クライアント抽出!A57,"")</f>
        <v/>
      </c>
      <c r="D197" s="106" t="str">
        <f t="array" aca="1" ref="D197" ca="1">IF(C197&lt;&gt;"",INDIRECT("クライアント抽出!"&amp;E197&amp;MATCH(C197,クライアント抽出!A:A,0)&amp;""),"")</f>
        <v/>
      </c>
      <c r="E197" s="106" t="str">
        <f>IF(H197&lt;&gt;0,
IFERROR(
SUBSTITUTE(ADDRESS(1,
MATCH(VALUE(H197),クライアント抽出!A57:G57,0)+8,4),"1",""),
""),
IFERROR(
SUBSTITUTE(ADDRESS(1,
MATCH(VALUE(I197),クライアント抽出!A57:G57,0)+8,4),"1",""),
""))</f>
        <v/>
      </c>
      <c r="F197" s="187" t="str">
        <f ca="1">IF(D197&lt;&gt;"",
IF(COUNTIF(C197,"*雙葉*"),
IF(ROUND((H197-M197)
/IF(COUNTIF(D197,"*キャラ*"),
VLOOKUP("*キャラ*",商品マスタ!$D:$E,2,FALSE),
IF(COUNTIF(D197,"*赤*"),
VLOOKUP("*赤*",商品マスタ!$D:$E,2,FALSE),
VLOOKUP("*"&amp;D197&amp;"*",商品マスタ!$D:$E,2,FALSE))),0)&lt;=0,1,
ROUND((H197-M197)
/IF(COUNTIF(D197,"*キャラ*"),
VLOOKUP("*キャラ*",商品マスタ!$D:$E,2,FALSE),
IF(COUNTIF(D197,"*赤*"),
VLOOKUP("*赤*",商品マスタ!$D:$E,2,FALSE),
VLOOKUP("*"&amp;D197&amp;"*",商品マスタ!$D:$E,2,FALSE))),0)),
IF(OR(COUNTIF(D197,"*キャラ*"),COUNTIF(D197,"*赤*")),"",
IF(VLOOKUP("*"&amp;D197&amp;"*",商品マスタ!$D:$E,2,FALSE)=0,"",
IF(ROUND((H197-M197)
/VLOOKUP("*"&amp;D197&amp;"*",商品マスタ!$D:$E,2,FALSE),0)&lt;=0,1,
ROUND((H197-M197)
/VLOOKUP("*"&amp;D197&amp;"*",商品マスタ!$D:$E,2,FALSE),0))))),"")</f>
        <v/>
      </c>
      <c r="G197" s="106" t="str">
        <f ca="1">IF(F197&lt;&gt;"",
IF(VALUE(H197-M197)&gt;VALUE(IF(COUNTIF(D197,"*キャラ*"),
VLOOKUP("*キャラ*",商品マスタ!$D:$E,2,FALSE),
IF(COUNTIF(D197,"*赤*"),
VLOOKUP("*赤*",商品マスタ!$D:$E,2,FALSE),
VLOOKUP("*"&amp;D197&amp;"*",商品マスタ!$D:$E,2,FALSE)))*F197),
"+"&amp;(H197-M197)-IF(COUNTIF(D197,"*キャラ*"),
VLOOKUP("*キャラ*",商品マスタ!$D:$E,2,FALSE),
IF(COUNTIF(D197,"*赤*"),
VLOOKUP("*赤*",商品マスタ!$D:$E,2,FALSE),
VLOOKUP("*"&amp;D197&amp;"*",商品マスタ!$D:$E,2,FALSE)))*F197,
(H197-M197)-IF(COUNTIF(D197,"*キャラ*"),
VLOOKUP("*キャラ*",商品マスタ!$D:$E,2,FALSE),
IF(COUNTIF(D197,"*赤*"),
VLOOKUP("*赤*",商品マスタ!$D:$E,2,FALSE),
VLOOKUP("*"&amp;D197&amp;"*",商品マスタ!$D:$E,2,FALSE)))*F197),"")</f>
        <v/>
      </c>
      <c r="H197" s="108" t="str">
        <f>IF(C197&lt;&gt;"",
クライアント抽出!D57,"")</f>
        <v/>
      </c>
      <c r="I197" s="106" t="str">
        <f>IF(C197&lt;&gt;"",
IF(O197=1,0,クライアント抽出!F57),"")</f>
        <v/>
      </c>
      <c r="J197" s="106" t="str">
        <f>IF(C197&lt;&gt;"",
VLOOKUP(
"*"&amp;LEFT(IF(COUNTIF(D197,"*学食*"),"キャラ弁（学食）",
IF(COUNTIF(D197,"*赤*"),"赤",
IF(COUNTIF(D197,"*キャラ弁当*"),"キャラ弁当",D197))),4)&amp;"*",注文弁当の抽出!$F$1:$G$15,2,FALSE),"")</f>
        <v/>
      </c>
      <c r="K197" s="106" t="str">
        <f ca="1">IF(クライアント抽出!R57&lt;&gt;"",SUBSTITUTE(ADDRESS(1,(CODE(クライアント抽出!R57)-64)*2-1,4),"1",""),"")</f>
        <v/>
      </c>
      <c r="L197" s="106" t="str">
        <f>IF(C57&lt;&gt;"",クライアント抽出!I57,"")</f>
        <v/>
      </c>
      <c r="M197" s="106">
        <f t="array" aca="1" ref="M197" ca="1">IF(C197&lt;&gt;"",
IF(K197&lt;&gt;"",INDIRECT("'数出表_Excel（アレルギー入力）'!"&amp;K197&amp;L197-1&amp;""),),)</f>
        <v>0</v>
      </c>
      <c r="N197" s="106" t="str">
        <f>IF(C197&lt;&gt;"",IF(OR(COUNTIF('盛付札（関数）'!D197,"*赤*"),COUNTIF('盛付札（関数）'!D197,"*キャラ*")),1,
VALUE(VLOOKUP("*"&amp;D197&amp;"*",商品マスタ!D:H,5,FALSE))),"")</f>
        <v/>
      </c>
      <c r="O197" s="106">
        <f t="shared" ca="1" si="85"/>
        <v>0</v>
      </c>
      <c r="P197" s="106">
        <f t="shared" si="87"/>
        <v>0</v>
      </c>
      <c r="Q197" s="106" t="b">
        <f t="shared" si="88"/>
        <v>0</v>
      </c>
      <c r="R197" s="176" t="str">
        <f t="array" aca="1" ref="R197" ca="1">IFERROR(SMALL(IF(P$1:P$311&lt;&gt;0,P$1:P$311),ROW(A197)),"")</f>
        <v/>
      </c>
      <c r="S197" s="176" t="str">
        <f t="array" aca="1" ref="S197" ca="1">IF($R197&lt;&gt;"",
SUBSTITUTE(SUBSTITUTE(INDIRECT("C"&amp;$R197&amp;"")," 週3ｺｰｽ","")," 週5ｺｰｽ",""),"")</f>
        <v/>
      </c>
      <c r="T197" s="176" t="str">
        <f t="array" aca="1" ref="T197" ca="1">IF(IF($R197&lt;&gt;"",
INDIRECT(""&amp;IF(COLUMN(D197)&lt;=26,CHAR(COLUMN(D197)+64),CHAR(INT((COLUMN(D197)-1)/26)+64)&amp;CHAR(MOD(COLUMN(D197)-1,26)+65))&amp;$R197&amp;""),"")=0,"",
IF($R197&lt;&gt;"",
INDIRECT(""&amp;IF(COLUMN(D197)&lt;=26,CHAR(COLUMN(D197)+64),CHAR(INT((COLUMN(D197)-1)/26)+64)&amp;CHAR(MOD(COLUMN(D197)-1,26)+65))&amp;$R197&amp;""),""))</f>
        <v/>
      </c>
      <c r="U197" s="218" t="str">
        <f t="array" aca="1" ref="U197" ca="1">IF($R197&lt;&gt;"",
INDIRECT("F"&amp;$R197&amp;""),"")</f>
        <v/>
      </c>
      <c r="V197" s="219" t="str">
        <f t="array" aca="1" ref="V197" ca="1">IF($R197&lt;&gt;"",
INDIRECT("G"&amp;$R197&amp;""),"")</f>
        <v/>
      </c>
      <c r="W197" s="219" t="str" cm="1">
        <f t="array" aca="1" ref="W197" ca="1">IF($R197&lt;&gt;"",
IF(AND(COUNTIF(INDIRECT("B"&amp;R197&amp;""),"*雙葉*"),COUNTIF($B$71:$B$210,"*雙葉*")&gt;=1),
IF(OR(COUNTIF(INDIRECT("B"&amp;R197&amp;""),"*雙葉先生*"),COUNTIF(INDIRECT("B"&amp;R197-1&amp;""),"*雙葉*")),INDIRECT("H"&amp;R197&amp;""),INDIRECT("H"&amp;R197&amp;"")+INDIRECT("H"&amp;MATCH("雙葉'",INDIRECT("B"&amp;R197+3&amp;":B210"),0)+2+R197&amp;"")),
IF(AND(LEFT(INDIRECT("B"&amp;R197&amp;""),2)="博多",COUNTIF(B:B,"*博多*")&gt;=2),
INDIRECT("H"&amp;R197&amp;"")+IFERROR(INDIRECT("H"&amp;MATCH("*"&amp;INDIRECT("B"&amp;R197&amp;"")&amp;"*",INDIRECT("B"&amp;R197+1&amp;":B210"),0)+R197&amp;""),0),
IF(AND(LEFT(INDIRECT("B"&amp;R197&amp;""),3)="奈良屋",COUNTIF(B:B,"*奈良屋*")&gt;=2),
INDIRECT("H"&amp;R197&amp;"")
+INDIRECT("H"&amp;MATCH("*"&amp;INDIRECT("B"&amp;R197&amp;"")&amp;"*",INDIRECT("B"&amp;R197+1&amp;":B210"),0)+R197&amp;"")
+INDIRECT("H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
+INDIRECT("H"&amp;MATCH("*"&amp;INDIRECT("B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&amp;"*",INDIRECT("B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+1&amp;":B210"),0)+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,
INDIRECT("H"&amp;R197&amp;"")))),"")</f>
        <v/>
      </c>
      <c r="X197" s="176" t="str">
        <f t="array" aca="1" ref="X197" ca="1">IF($R197&lt;&gt;"",
INDIRECT(""&amp;IF(COLUMN(I197)&lt;=26,CHAR(COLUMN(I197)+64),CHAR(INT((COLUMN(I197)-1)/26)+64)&amp;CHAR(MOD(COLUMN(I197)-1,26)+65))&amp;$R197&amp;""),"")</f>
        <v/>
      </c>
      <c r="Y197" s="176" t="str">
        <f t="array" aca="1" ref="Y197" ca="1">IF($R197&lt;&gt;"",
INDIRECT(""&amp;IF(COLUMN(J197)&lt;=26,CHAR(COLUMN(J197)+64),CHAR(INT((COLUMN(J197)-1)/26)+64)&amp;CHAR(MOD(COLUMN(J197)-1,26)+65))&amp;$R197&amp;""),"")</f>
        <v/>
      </c>
      <c r="Z197" s="176" t="str">
        <f t="shared" ca="1" si="89"/>
        <v/>
      </c>
      <c r="AA197" s="176" t="str">
        <f t="shared" ca="1" si="90"/>
        <v/>
      </c>
      <c r="AB197" s="176" t="str">
        <f t="array" aca="1" ref="AB197" ca="1">IF($R197&lt;&gt;"",
IF(AND(COUNTIF(INDIRECT("B"&amp;R197&amp;""),"*雙葉*"),COUNTIF(INDIRECT("B"&amp;R197&amp;""),"&lt;&gt;*先生*"),COUNTIF(B:B,"*雙葉*")&gt;=2),
INDIRECT("M"&amp;R197&amp;"")+INDIRECT("M"&amp;MATCH("雙葉'",INDIRECT("B"&amp;R197+1&amp;":B210"),0)+R197&amp;""),
IF(AND(LEFT(INDIRECT("B"&amp;R197&amp;""),2)="博多",COUNTIF(B:B,"*博多*")&gt;=2),
INDIRECT("M"&amp;R197&amp;"")+INDIRECT("M"&amp;MATCH("*"&amp;INDIRECT("B"&amp;R197&amp;"")&amp;"*",INDIRECT("B"&amp;R197+1&amp;":B210"),0)+R197&amp;""),
IF(AND(LEFT(INDIRECT("B"&amp;R197&amp;""),3)="奈良屋",COUNTIF(B:B,"*奈良屋*")&gt;=2),
INDIRECT("M"&amp;R197&amp;"")+INDIRECT("M"&amp;MATCH("*"&amp;INDIRECT("B"&amp;R197&amp;"")&amp;"*",INDIRECT("B"&amp;R197+1&amp;":B210"),0)+R197&amp;"")
+INDIRECT("M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,
INDIRECT("M"&amp;R197&amp;"")))),"")</f>
        <v/>
      </c>
      <c r="AC197" s="176" t="str">
        <f t="shared" ca="1" si="91"/>
        <v/>
      </c>
      <c r="AD197" s="176" t="str">
        <f t="shared" ca="1" si="92"/>
        <v/>
      </c>
      <c r="AE197" s="176" t="str">
        <f t="shared" ca="1" si="93"/>
        <v/>
      </c>
      <c r="AF197" s="176" t="str">
        <f t="shared" ca="1" si="94"/>
        <v/>
      </c>
      <c r="AG197" s="176" t="str">
        <f t="shared" ca="1" si="95"/>
        <v/>
      </c>
      <c r="AH197" s="183" t="str">
        <f t="shared" ca="1" si="96"/>
        <v/>
      </c>
      <c r="AI197" s="176" t="str">
        <f t="shared" ca="1" si="97"/>
        <v/>
      </c>
      <c r="AJ197" s="176" t="str">
        <f t="shared" ca="1" si="98"/>
        <v/>
      </c>
      <c r="AK197" s="176" t="str">
        <f t="shared" ca="1" si="99"/>
        <v/>
      </c>
      <c r="AL197" s="176" t="str">
        <f t="shared" ca="1" si="100"/>
        <v/>
      </c>
      <c r="AM197" s="176" t="str">
        <f t="shared" ca="1" si="101"/>
        <v/>
      </c>
      <c r="AN197" s="176" t="str">
        <f t="shared" ca="1" si="102"/>
        <v/>
      </c>
      <c r="AO197" s="176" t="str">
        <f t="shared" ca="1" si="103"/>
        <v/>
      </c>
      <c r="AP197" s="176" t="str">
        <f t="shared" ca="1" si="104"/>
        <v/>
      </c>
      <c r="AU197" s="176" t="str">
        <f t="shared" ca="1" si="105"/>
        <v/>
      </c>
    </row>
    <row r="198" spans="1:47" ht="22.2" customHeight="1">
      <c r="A198" s="107">
        <f t="shared" si="86"/>
        <v>121</v>
      </c>
      <c r="B198" s="106" t="str">
        <f t="shared" ca="1" si="84"/>
        <v/>
      </c>
      <c r="C198" s="106" t="str">
        <f>IF(OR(クライアント抽出!D58&lt;&gt;"",クライアント抽出!G58&lt;&gt;""),クライアント抽出!A58,"")</f>
        <v/>
      </c>
      <c r="D198" s="106" t="str">
        <f t="array" aca="1" ref="D198" ca="1">IF(C198&lt;&gt;"",INDIRECT("クライアント抽出!"&amp;E198&amp;MATCH(C198,クライアント抽出!A:A,0)&amp;""),"")</f>
        <v/>
      </c>
      <c r="E198" s="106" t="str">
        <f>IF(H198&lt;&gt;0,
IFERROR(
SUBSTITUTE(ADDRESS(1,
MATCH(VALUE(H198),クライアント抽出!A58:G58,0)+8,4),"1",""),
""),
IFERROR(
SUBSTITUTE(ADDRESS(1,
MATCH(VALUE(I198),クライアント抽出!A58:G58,0)+8,4),"1",""),
""))</f>
        <v/>
      </c>
      <c r="F198" s="187" t="str">
        <f ca="1">IF(D198&lt;&gt;"",
IF(COUNTIF(C198,"*雙葉*"),
IF(ROUND((H198-M198)
/IF(COUNTIF(D198,"*キャラ*"),
VLOOKUP("*キャラ*",商品マスタ!$D:$E,2,FALSE),
IF(COUNTIF(D198,"*赤*"),
VLOOKUP("*赤*",商品マスタ!$D:$E,2,FALSE),
VLOOKUP("*"&amp;D198&amp;"*",商品マスタ!$D:$E,2,FALSE))),0)&lt;=0,1,
ROUND((H198-M198)
/IF(COUNTIF(D198,"*キャラ*"),
VLOOKUP("*キャラ*",商品マスタ!$D:$E,2,FALSE),
IF(COUNTIF(D198,"*赤*"),
VLOOKUP("*赤*",商品マスタ!$D:$E,2,FALSE),
VLOOKUP("*"&amp;D198&amp;"*",商品マスタ!$D:$E,2,FALSE))),0)),
IF(OR(COUNTIF(D198,"*キャラ*"),COUNTIF(D198,"*赤*")),"",
IF(VLOOKUP("*"&amp;D198&amp;"*",商品マスタ!$D:$E,2,FALSE)=0,"",
IF(ROUND((H198-M198)
/VLOOKUP("*"&amp;D198&amp;"*",商品マスタ!$D:$E,2,FALSE),0)&lt;=0,1,
ROUND((H198-M198)
/VLOOKUP("*"&amp;D198&amp;"*",商品マスタ!$D:$E,2,FALSE),0))))),"")</f>
        <v/>
      </c>
      <c r="G198" s="106" t="str">
        <f ca="1">IF(F198&lt;&gt;"",
IF(VALUE(H198-M198)&gt;VALUE(IF(COUNTIF(D198,"*キャラ*"),
VLOOKUP("*キャラ*",商品マスタ!$D:$E,2,FALSE),
IF(COUNTIF(D198,"*赤*"),
VLOOKUP("*赤*",商品マスタ!$D:$E,2,FALSE),
VLOOKUP("*"&amp;D198&amp;"*",商品マスタ!$D:$E,2,FALSE)))*F198),
"+"&amp;(H198-M198)-IF(COUNTIF(D198,"*キャラ*"),
VLOOKUP("*キャラ*",商品マスタ!$D:$E,2,FALSE),
IF(COUNTIF(D198,"*赤*"),
VLOOKUP("*赤*",商品マスタ!$D:$E,2,FALSE),
VLOOKUP("*"&amp;D198&amp;"*",商品マスタ!$D:$E,2,FALSE)))*F198,
(H198-M198)-IF(COUNTIF(D198,"*キャラ*"),
VLOOKUP("*キャラ*",商品マスタ!$D:$E,2,FALSE),
IF(COUNTIF(D198,"*赤*"),
VLOOKUP("*赤*",商品マスタ!$D:$E,2,FALSE),
VLOOKUP("*"&amp;D198&amp;"*",商品マスタ!$D:$E,2,FALSE)))*F198),"")</f>
        <v/>
      </c>
      <c r="H198" s="108" t="str">
        <f>IF(C198&lt;&gt;"",
クライアント抽出!D58,"")</f>
        <v/>
      </c>
      <c r="I198" s="106" t="str">
        <f>IF(C198&lt;&gt;"",
IF(O198=1,0,クライアント抽出!F58),"")</f>
        <v/>
      </c>
      <c r="J198" s="106" t="str">
        <f>IF(C198&lt;&gt;"",
VLOOKUP(
"*"&amp;LEFT(IF(COUNTIF(D198,"*学食*"),"キャラ弁（学食）",
IF(COUNTIF(D198,"*赤*"),"赤",
IF(COUNTIF(D198,"*キャラ弁当*"),"キャラ弁当",D198))),4)&amp;"*",注文弁当の抽出!$F$1:$G$15,2,FALSE),"")</f>
        <v/>
      </c>
      <c r="K198" s="106" t="str">
        <f ca="1">IF(クライアント抽出!R58&lt;&gt;"",SUBSTITUTE(ADDRESS(1,(CODE(クライアント抽出!R58)-64)*2-1,4),"1",""),"")</f>
        <v/>
      </c>
      <c r="L198" s="106" t="str">
        <f>IF(C58&lt;&gt;"",クライアント抽出!I58,"")</f>
        <v/>
      </c>
      <c r="M198" s="106">
        <f t="array" aca="1" ref="M198" ca="1">IF(C198&lt;&gt;"",
IF(K198&lt;&gt;"",INDIRECT("'数出表_Excel（アレルギー入力）'!"&amp;K198&amp;L198-1&amp;""),),)</f>
        <v>0</v>
      </c>
      <c r="N198" s="106" t="str">
        <f>IF(C198&lt;&gt;"",IF(OR(COUNTIF('盛付札（関数）'!D198,"*赤*"),COUNTIF('盛付札（関数）'!D198,"*キャラ*")),1,
VALUE(VLOOKUP("*"&amp;D198&amp;"*",商品マスタ!D:H,5,FALSE))),"")</f>
        <v/>
      </c>
      <c r="O198" s="106">
        <f t="shared" ca="1" si="85"/>
        <v>0</v>
      </c>
      <c r="P198" s="106">
        <f t="shared" si="87"/>
        <v>0</v>
      </c>
      <c r="Q198" s="106" t="b">
        <f t="shared" si="88"/>
        <v>0</v>
      </c>
      <c r="R198" s="176" t="str">
        <f t="array" aca="1" ref="R198" ca="1">IFERROR(SMALL(IF(P$1:P$311&lt;&gt;0,P$1:P$311),ROW(A198)),"")</f>
        <v/>
      </c>
      <c r="S198" s="176" t="str">
        <f t="array" aca="1" ref="S198" ca="1">IF($R198&lt;&gt;"",
SUBSTITUTE(SUBSTITUTE(INDIRECT("C"&amp;$R198&amp;"")," 週3ｺｰｽ","")," 週5ｺｰｽ",""),"")</f>
        <v/>
      </c>
      <c r="T198" s="176" t="str">
        <f t="array" aca="1" ref="T198" ca="1">IF(IF($R198&lt;&gt;"",
INDIRECT(""&amp;IF(COLUMN(D198)&lt;=26,CHAR(COLUMN(D198)+64),CHAR(INT((COLUMN(D198)-1)/26)+64)&amp;CHAR(MOD(COLUMN(D198)-1,26)+65))&amp;$R198&amp;""),"")=0,"",
IF($R198&lt;&gt;"",
INDIRECT(""&amp;IF(COLUMN(D198)&lt;=26,CHAR(COLUMN(D198)+64),CHAR(INT((COLUMN(D198)-1)/26)+64)&amp;CHAR(MOD(COLUMN(D198)-1,26)+65))&amp;$R198&amp;""),""))</f>
        <v/>
      </c>
      <c r="U198" s="218" t="str">
        <f t="array" aca="1" ref="U198" ca="1">IF($R198&lt;&gt;"",
INDIRECT("F"&amp;$R198&amp;""),"")</f>
        <v/>
      </c>
      <c r="V198" s="219" t="str">
        <f t="array" aca="1" ref="V198" ca="1">IF($R198&lt;&gt;"",
INDIRECT("G"&amp;$R198&amp;""),"")</f>
        <v/>
      </c>
      <c r="W198" s="219" t="str" cm="1">
        <f t="array" aca="1" ref="W198" ca="1">IF($R198&lt;&gt;"",
IF(AND(COUNTIF(INDIRECT("B"&amp;R198&amp;""),"*雙葉*"),COUNTIF($B$71:$B$210,"*雙葉*")&gt;=1),
IF(OR(COUNTIF(INDIRECT("B"&amp;R198&amp;""),"*雙葉先生*"),COUNTIF(INDIRECT("B"&amp;R198-1&amp;""),"*雙葉*")),INDIRECT("H"&amp;R198&amp;""),INDIRECT("H"&amp;R198&amp;"")+INDIRECT("H"&amp;MATCH("雙葉'",INDIRECT("B"&amp;R198+3&amp;":B210"),0)+2+R198&amp;"")),
IF(AND(LEFT(INDIRECT("B"&amp;R198&amp;""),2)="博多",COUNTIF(B:B,"*博多*")&gt;=2),
INDIRECT("H"&amp;R198&amp;"")+IFERROR(INDIRECT("H"&amp;MATCH("*"&amp;INDIRECT("B"&amp;R198&amp;"")&amp;"*",INDIRECT("B"&amp;R198+1&amp;":B210"),0)+R198&amp;""),0),
IF(AND(LEFT(INDIRECT("B"&amp;R198&amp;""),3)="奈良屋",COUNTIF(B:B,"*奈良屋*")&gt;=2),
INDIRECT("H"&amp;R198&amp;"")
+INDIRECT("H"&amp;MATCH("*"&amp;INDIRECT("B"&amp;R198&amp;"")&amp;"*",INDIRECT("B"&amp;R198+1&amp;":B210"),0)+R198&amp;"")
+INDIRECT("H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
+INDIRECT("H"&amp;MATCH("*"&amp;INDIRECT("B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&amp;"*",INDIRECT("B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+1&amp;":B210"),0)+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,
INDIRECT("H"&amp;R198&amp;"")))),"")</f>
        <v/>
      </c>
      <c r="X198" s="176" t="str">
        <f t="array" aca="1" ref="X198" ca="1">IF($R198&lt;&gt;"",
INDIRECT(""&amp;IF(COLUMN(I198)&lt;=26,CHAR(COLUMN(I198)+64),CHAR(INT((COLUMN(I198)-1)/26)+64)&amp;CHAR(MOD(COLUMN(I198)-1,26)+65))&amp;$R198&amp;""),"")</f>
        <v/>
      </c>
      <c r="Y198" s="176" t="str">
        <f t="array" aca="1" ref="Y198" ca="1">IF($R198&lt;&gt;"",
INDIRECT(""&amp;IF(COLUMN(J198)&lt;=26,CHAR(COLUMN(J198)+64),CHAR(INT((COLUMN(J198)-1)/26)+64)&amp;CHAR(MOD(COLUMN(J198)-1,26)+65))&amp;$R198&amp;""),"")</f>
        <v/>
      </c>
      <c r="Z198" s="176" t="str">
        <f t="shared" ca="1" si="89"/>
        <v/>
      </c>
      <c r="AA198" s="176" t="str">
        <f t="shared" ca="1" si="90"/>
        <v/>
      </c>
      <c r="AB198" s="176" t="str">
        <f t="array" aca="1" ref="AB198" ca="1">IF($R198&lt;&gt;"",
IF(AND(COUNTIF(INDIRECT("B"&amp;R198&amp;""),"*雙葉*"),COUNTIF(INDIRECT("B"&amp;R198&amp;""),"&lt;&gt;*先生*"),COUNTIF(B:B,"*雙葉*")&gt;=2),
INDIRECT("M"&amp;R198&amp;"")+INDIRECT("M"&amp;MATCH("雙葉'",INDIRECT("B"&amp;R198+1&amp;":B210"),0)+R198&amp;""),
IF(AND(LEFT(INDIRECT("B"&amp;R198&amp;""),2)="博多",COUNTIF(B:B,"*博多*")&gt;=2),
INDIRECT("M"&amp;R198&amp;"")+INDIRECT("M"&amp;MATCH("*"&amp;INDIRECT("B"&amp;R198&amp;"")&amp;"*",INDIRECT("B"&amp;R198+1&amp;":B210"),0)+R198&amp;""),
IF(AND(LEFT(INDIRECT("B"&amp;R198&amp;""),3)="奈良屋",COUNTIF(B:B,"*奈良屋*")&gt;=2),
INDIRECT("M"&amp;R198&amp;"")+INDIRECT("M"&amp;MATCH("*"&amp;INDIRECT("B"&amp;R198&amp;"")&amp;"*",INDIRECT("B"&amp;R198+1&amp;":B210"),0)+R198&amp;"")
+INDIRECT("M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,
INDIRECT("M"&amp;R198&amp;"")))),"")</f>
        <v/>
      </c>
      <c r="AC198" s="176" t="str">
        <f t="shared" ca="1" si="91"/>
        <v/>
      </c>
      <c r="AD198" s="176" t="str">
        <f t="shared" ca="1" si="92"/>
        <v/>
      </c>
      <c r="AE198" s="176" t="str">
        <f t="shared" ca="1" si="93"/>
        <v/>
      </c>
      <c r="AF198" s="176" t="str">
        <f t="shared" ca="1" si="94"/>
        <v/>
      </c>
      <c r="AG198" s="176" t="str">
        <f t="shared" ca="1" si="95"/>
        <v/>
      </c>
      <c r="AH198" s="183" t="str">
        <f t="shared" ca="1" si="96"/>
        <v/>
      </c>
      <c r="AI198" s="176" t="str">
        <f t="shared" ca="1" si="97"/>
        <v/>
      </c>
      <c r="AJ198" s="176" t="str">
        <f t="shared" ca="1" si="98"/>
        <v/>
      </c>
      <c r="AK198" s="176" t="str">
        <f t="shared" ca="1" si="99"/>
        <v/>
      </c>
      <c r="AL198" s="176" t="str">
        <f t="shared" ca="1" si="100"/>
        <v/>
      </c>
      <c r="AM198" s="176" t="str">
        <f t="shared" ca="1" si="101"/>
        <v/>
      </c>
      <c r="AN198" s="176" t="str">
        <f t="shared" ca="1" si="102"/>
        <v/>
      </c>
      <c r="AO198" s="176" t="str">
        <f t="shared" ca="1" si="103"/>
        <v/>
      </c>
      <c r="AP198" s="176" t="str">
        <f t="shared" ca="1" si="104"/>
        <v/>
      </c>
      <c r="AU198" s="176" t="str">
        <f t="shared" ca="1" si="105"/>
        <v/>
      </c>
    </row>
    <row r="199" spans="1:47" ht="22.2" customHeight="1">
      <c r="A199" s="107">
        <f t="shared" si="86"/>
        <v>123</v>
      </c>
      <c r="B199" s="106" t="str">
        <f t="shared" ref="B199:B230" ca="1" si="106">IF(COUNTIF(C199,"*雙葉*"),
IF(COUNTIF(INDIRECT("B1:B"&amp;ROW()-1&amp;""),"雙葉"),
IF(COUNTIF(C199,"*先生*"),"雙葉先生","雙葉'"),"雙葉"),
IF(COUNTIF(C199,"*社食*"),"社食'",
IF(LEFT(C199,2)="博多",
IF(COUNTIF(C199,"*別注*"),
IFERROR(TRIM(LEFT(C199,FIND("週",C199)-1)),TRIM(C199)),
IF(IFERROR(TRIM(LEFT(C198,FIND("週",C198)-1)),TRIM(C198))=IFERROR(TRIM(LEFT(C199,FIND("週",C199)-1)),TRIM(C199)),
IFERROR(TRIM(LEFT(C199,FIND("週",C199)-1)),TRIM(C199))&amp;"'",IFERROR(TRIM(LEFT(C199,FIND("週",C199)-1)),TRIM(C199)))),
IF(LEFT(C199,3)="奈良屋",
IF(IFERROR(TRIM(LEFT(C198,FIND("幼",C198)-1)),TRIM(C198))=IFERROR(TRIM(LEFT(C199,FIND("幼",C199)-1)),TRIM(C199)),
"奈良屋'","奈良屋"),""))))</f>
        <v/>
      </c>
      <c r="C199" s="106" t="str">
        <f>IF(OR(クライアント抽出!D59&lt;&gt;"",クライアント抽出!G59&lt;&gt;""),クライアント抽出!A59,"")</f>
        <v/>
      </c>
      <c r="D199" s="106" t="str">
        <f t="array" aca="1" ref="D199" ca="1">IF(C199&lt;&gt;"",INDIRECT("クライアント抽出!"&amp;E199&amp;MATCH(C199,クライアント抽出!A:A,0)&amp;""),"")</f>
        <v/>
      </c>
      <c r="E199" s="106" t="str">
        <f>IF(H199&lt;&gt;0,
IFERROR(
SUBSTITUTE(ADDRESS(1,
MATCH(VALUE(H199),クライアント抽出!A59:G59,0)+8,4),"1",""),
""),
IFERROR(
SUBSTITUTE(ADDRESS(1,
MATCH(VALUE(I199),クライアント抽出!A59:G59,0)+8,4),"1",""),
""))</f>
        <v/>
      </c>
      <c r="F199" s="187" t="str">
        <f ca="1">IF(D199&lt;&gt;"",
IF(COUNTIF(C199,"*雙葉*"),
IF(ROUND((H199-M199)
/IF(COUNTIF(D199,"*キャラ*"),
VLOOKUP("*キャラ*",商品マスタ!$D:$E,2,FALSE),
IF(COUNTIF(D199,"*赤*"),
VLOOKUP("*赤*",商品マスタ!$D:$E,2,FALSE),
VLOOKUP("*"&amp;D199&amp;"*",商品マスタ!$D:$E,2,FALSE))),0)&lt;=0,1,
ROUND((H199-M199)
/IF(COUNTIF(D199,"*キャラ*"),
VLOOKUP("*キャラ*",商品マスタ!$D:$E,2,FALSE),
IF(COUNTIF(D199,"*赤*"),
VLOOKUP("*赤*",商品マスタ!$D:$E,2,FALSE),
VLOOKUP("*"&amp;D199&amp;"*",商品マスタ!$D:$E,2,FALSE))),0)),
IF(OR(COUNTIF(D199,"*キャラ*"),COUNTIF(D199,"*赤*")),"",
IF(VLOOKUP("*"&amp;D199&amp;"*",商品マスタ!$D:$E,2,FALSE)=0,"",
IF(ROUND((H199-M199)
/VLOOKUP("*"&amp;D199&amp;"*",商品マスタ!$D:$E,2,FALSE),0)&lt;=0,1,
ROUND((H199-M199)
/VLOOKUP("*"&amp;D199&amp;"*",商品マスタ!$D:$E,2,FALSE),0))))),"")</f>
        <v/>
      </c>
      <c r="G199" s="106" t="str">
        <f ca="1">IF(F199&lt;&gt;"",
IF(VALUE(H199-M199)&gt;VALUE(IF(COUNTIF(D199,"*キャラ*"),
VLOOKUP("*キャラ*",商品マスタ!$D:$E,2,FALSE),
IF(COUNTIF(D199,"*赤*"),
VLOOKUP("*赤*",商品マスタ!$D:$E,2,FALSE),
VLOOKUP("*"&amp;D199&amp;"*",商品マスタ!$D:$E,2,FALSE)))*F199),
"+"&amp;(H199-M199)-IF(COUNTIF(D199,"*キャラ*"),
VLOOKUP("*キャラ*",商品マスタ!$D:$E,2,FALSE),
IF(COUNTIF(D199,"*赤*"),
VLOOKUP("*赤*",商品マスタ!$D:$E,2,FALSE),
VLOOKUP("*"&amp;D199&amp;"*",商品マスタ!$D:$E,2,FALSE)))*F199,
(H199-M199)-IF(COUNTIF(D199,"*キャラ*"),
VLOOKUP("*キャラ*",商品マスタ!$D:$E,2,FALSE),
IF(COUNTIF(D199,"*赤*"),
VLOOKUP("*赤*",商品マスタ!$D:$E,2,FALSE),
VLOOKUP("*"&amp;D199&amp;"*",商品マスタ!$D:$E,2,FALSE)))*F199),"")</f>
        <v/>
      </c>
      <c r="H199" s="108" t="str">
        <f>IF(C199&lt;&gt;"",
クライアント抽出!D59,"")</f>
        <v/>
      </c>
      <c r="I199" s="106" t="str">
        <f>IF(C199&lt;&gt;"",
IF(O199=1,0,クライアント抽出!F59),"")</f>
        <v/>
      </c>
      <c r="J199" s="106" t="str">
        <f>IF(C199&lt;&gt;"",
VLOOKUP(
"*"&amp;LEFT(IF(COUNTIF(D199,"*学食*"),"キャラ弁（学食）",
IF(COUNTIF(D199,"*赤*"),"赤",
IF(COUNTIF(D199,"*キャラ弁当*"),"キャラ弁当",D199))),4)&amp;"*",注文弁当の抽出!$F$1:$G$15,2,FALSE),"")</f>
        <v/>
      </c>
      <c r="K199" s="106" t="str">
        <f ca="1">IF(クライアント抽出!R59&lt;&gt;"",SUBSTITUTE(ADDRESS(1,(CODE(クライアント抽出!R59)-64)*2-1,4),"1",""),"")</f>
        <v/>
      </c>
      <c r="L199" s="106" t="str">
        <f>IF(C59&lt;&gt;"",クライアント抽出!I59,"")</f>
        <v/>
      </c>
      <c r="M199" s="106">
        <f t="array" aca="1" ref="M199" ca="1">IF(C199&lt;&gt;"",
IF(K199&lt;&gt;"",INDIRECT("'数出表_Excel（アレルギー入力）'!"&amp;K199&amp;L199-1&amp;""),),)</f>
        <v>0</v>
      </c>
      <c r="N199" s="106" t="str">
        <f>IF(C199&lt;&gt;"",IF(OR(COUNTIF('盛付札（関数）'!D199,"*赤*"),COUNTIF('盛付札（関数）'!D199,"*キャラ*")),1,
VALUE(VLOOKUP("*"&amp;D199&amp;"*",商品マスタ!D:H,5,FALSE))),"")</f>
        <v/>
      </c>
      <c r="O199" s="106">
        <f t="shared" ca="1" si="85"/>
        <v>0</v>
      </c>
      <c r="P199" s="106">
        <f t="shared" si="87"/>
        <v>0</v>
      </c>
      <c r="Q199" s="106" t="b">
        <f t="shared" si="88"/>
        <v>0</v>
      </c>
      <c r="R199" s="176" t="str">
        <f t="array" aca="1" ref="R199" ca="1">IFERROR(SMALL(IF(P$1:P$311&lt;&gt;0,P$1:P$311),ROW(A199)),"")</f>
        <v/>
      </c>
      <c r="S199" s="176" t="str">
        <f t="array" aca="1" ref="S199" ca="1">IF($R199&lt;&gt;"",
SUBSTITUTE(SUBSTITUTE(INDIRECT("C"&amp;$R199&amp;"")," 週3ｺｰｽ","")," 週5ｺｰｽ",""),"")</f>
        <v/>
      </c>
      <c r="T199" s="176" t="str">
        <f t="array" aca="1" ref="T199" ca="1">IF(IF($R199&lt;&gt;"",
INDIRECT(""&amp;IF(COLUMN(D199)&lt;=26,CHAR(COLUMN(D199)+64),CHAR(INT((COLUMN(D199)-1)/26)+64)&amp;CHAR(MOD(COLUMN(D199)-1,26)+65))&amp;$R199&amp;""),"")=0,"",
IF($R199&lt;&gt;"",
INDIRECT(""&amp;IF(COLUMN(D199)&lt;=26,CHAR(COLUMN(D199)+64),CHAR(INT((COLUMN(D199)-1)/26)+64)&amp;CHAR(MOD(COLUMN(D199)-1,26)+65))&amp;$R199&amp;""),""))</f>
        <v/>
      </c>
      <c r="U199" s="218" t="str">
        <f t="array" aca="1" ref="U199" ca="1">IF($R199&lt;&gt;"",
INDIRECT("F"&amp;$R199&amp;""),"")</f>
        <v/>
      </c>
      <c r="V199" s="219" t="str">
        <f t="array" aca="1" ref="V199" ca="1">IF($R199&lt;&gt;"",
INDIRECT("G"&amp;$R199&amp;""),"")</f>
        <v/>
      </c>
      <c r="W199" s="219" t="str" cm="1">
        <f t="array" aca="1" ref="W199" ca="1">IF($R199&lt;&gt;"",
IF(AND(COUNTIF(INDIRECT("B"&amp;R199&amp;""),"*雙葉*"),COUNTIF($B$71:$B$210,"*雙葉*")&gt;=1),
IF(OR(COUNTIF(INDIRECT("B"&amp;R199&amp;""),"*雙葉先生*"),COUNTIF(INDIRECT("B"&amp;R199-1&amp;""),"*雙葉*")),INDIRECT("H"&amp;R199&amp;""),INDIRECT("H"&amp;R199&amp;"")+INDIRECT("H"&amp;MATCH("雙葉'",INDIRECT("B"&amp;R199+3&amp;":B210"),0)+2+R199&amp;"")),
IF(AND(LEFT(INDIRECT("B"&amp;R199&amp;""),2)="博多",COUNTIF(B:B,"*博多*")&gt;=2),
INDIRECT("H"&amp;R199&amp;"")+IFERROR(INDIRECT("H"&amp;MATCH("*"&amp;INDIRECT("B"&amp;R199&amp;"")&amp;"*",INDIRECT("B"&amp;R199+1&amp;":B210"),0)+R199&amp;""),0),
IF(AND(LEFT(INDIRECT("B"&amp;R199&amp;""),3)="奈良屋",COUNTIF(B:B,"*奈良屋*")&gt;=2),
INDIRECT("H"&amp;R199&amp;"")
+INDIRECT("H"&amp;MATCH("*"&amp;INDIRECT("B"&amp;R199&amp;"")&amp;"*",INDIRECT("B"&amp;R199+1&amp;":B210"),0)+R199&amp;"")
+INDIRECT("H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
+INDIRECT("H"&amp;MATCH("*"&amp;INDIRECT("B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&amp;"*",INDIRECT("B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+1&amp;":B210"),0)+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,
INDIRECT("H"&amp;R199&amp;"")))),"")</f>
        <v/>
      </c>
      <c r="X199" s="176" t="str">
        <f t="array" aca="1" ref="X199" ca="1">IF($R199&lt;&gt;"",
INDIRECT(""&amp;IF(COLUMN(I199)&lt;=26,CHAR(COLUMN(I199)+64),CHAR(INT((COLUMN(I199)-1)/26)+64)&amp;CHAR(MOD(COLUMN(I199)-1,26)+65))&amp;$R199&amp;""),"")</f>
        <v/>
      </c>
      <c r="Y199" s="176" t="str">
        <f t="array" aca="1" ref="Y199" ca="1">IF($R199&lt;&gt;"",
INDIRECT(""&amp;IF(COLUMN(J199)&lt;=26,CHAR(COLUMN(J199)+64),CHAR(INT((COLUMN(J199)-1)/26)+64)&amp;CHAR(MOD(COLUMN(J199)-1,26)+65))&amp;$R199&amp;""),"")</f>
        <v/>
      </c>
      <c r="Z199" s="176" t="str">
        <f t="shared" ca="1" si="89"/>
        <v/>
      </c>
      <c r="AA199" s="176" t="str">
        <f t="shared" ca="1" si="90"/>
        <v/>
      </c>
      <c r="AB199" s="176" t="str">
        <f t="array" aca="1" ref="AB199" ca="1">IF($R199&lt;&gt;"",
IF(AND(COUNTIF(INDIRECT("B"&amp;R199&amp;""),"*雙葉*"),COUNTIF(INDIRECT("B"&amp;R199&amp;""),"&lt;&gt;*先生*"),COUNTIF(B:B,"*雙葉*")&gt;=2),
INDIRECT("M"&amp;R199&amp;"")+INDIRECT("M"&amp;MATCH("雙葉'",INDIRECT("B"&amp;R199+1&amp;":B210"),0)+R199&amp;""),
IF(AND(LEFT(INDIRECT("B"&amp;R199&amp;""),2)="博多",COUNTIF(B:B,"*博多*")&gt;=2),
INDIRECT("M"&amp;R199&amp;"")+INDIRECT("M"&amp;MATCH("*"&amp;INDIRECT("B"&amp;R199&amp;"")&amp;"*",INDIRECT("B"&amp;R199+1&amp;":B210"),0)+R199&amp;""),
IF(AND(LEFT(INDIRECT("B"&amp;R199&amp;""),3)="奈良屋",COUNTIF(B:B,"*奈良屋*")&gt;=2),
INDIRECT("M"&amp;R199&amp;"")+INDIRECT("M"&amp;MATCH("*"&amp;INDIRECT("B"&amp;R199&amp;"")&amp;"*",INDIRECT("B"&amp;R199+1&amp;":B210"),0)+R199&amp;"")
+INDIRECT("M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,
INDIRECT("M"&amp;R199&amp;"")))),"")</f>
        <v/>
      </c>
      <c r="AC199" s="176" t="str">
        <f t="shared" ca="1" si="91"/>
        <v/>
      </c>
      <c r="AD199" s="176" t="str">
        <f t="shared" ca="1" si="92"/>
        <v/>
      </c>
      <c r="AE199" s="176" t="str">
        <f t="shared" ca="1" si="93"/>
        <v/>
      </c>
      <c r="AF199" s="176" t="str">
        <f t="shared" ca="1" si="94"/>
        <v/>
      </c>
      <c r="AG199" s="176" t="str">
        <f t="shared" ca="1" si="95"/>
        <v/>
      </c>
      <c r="AH199" s="183" t="str">
        <f t="shared" ca="1" si="96"/>
        <v/>
      </c>
      <c r="AI199" s="176" t="str">
        <f t="shared" ca="1" si="97"/>
        <v/>
      </c>
      <c r="AJ199" s="176" t="str">
        <f t="shared" ca="1" si="98"/>
        <v/>
      </c>
      <c r="AK199" s="176" t="str">
        <f t="shared" ca="1" si="99"/>
        <v/>
      </c>
      <c r="AL199" s="176" t="str">
        <f t="shared" ca="1" si="100"/>
        <v/>
      </c>
      <c r="AM199" s="176" t="str">
        <f t="shared" ca="1" si="101"/>
        <v/>
      </c>
      <c r="AN199" s="176" t="str">
        <f t="shared" ca="1" si="102"/>
        <v/>
      </c>
      <c r="AO199" s="176" t="str">
        <f t="shared" ca="1" si="103"/>
        <v/>
      </c>
      <c r="AP199" s="176" t="str">
        <f t="shared" ca="1" si="104"/>
        <v/>
      </c>
      <c r="AU199" s="176" t="str">
        <f t="shared" ca="1" si="105"/>
        <v/>
      </c>
    </row>
    <row r="200" spans="1:47" ht="22.2" customHeight="1">
      <c r="A200" s="107">
        <f t="shared" si="86"/>
        <v>125</v>
      </c>
      <c r="B200" s="106" t="str">
        <f t="shared" ca="1" si="106"/>
        <v/>
      </c>
      <c r="C200" s="106" t="str">
        <f>IF(OR(クライアント抽出!D60&lt;&gt;"",クライアント抽出!G60&lt;&gt;""),クライアント抽出!A60,"")</f>
        <v/>
      </c>
      <c r="D200" s="106" t="str">
        <f t="array" aca="1" ref="D200" ca="1">IF(C200&lt;&gt;"",INDIRECT("クライアント抽出!"&amp;E200&amp;MATCH(C200,クライアント抽出!A:A,0)&amp;""),"")</f>
        <v/>
      </c>
      <c r="E200" s="106" t="str">
        <f>IF(H200&lt;&gt;0,
IFERROR(
SUBSTITUTE(ADDRESS(1,
MATCH(VALUE(H200),クライアント抽出!A60:G60,0)+8,4),"1",""),
""),
IFERROR(
SUBSTITUTE(ADDRESS(1,
MATCH(VALUE(I200),クライアント抽出!A60:G60,0)+8,4),"1",""),
""))</f>
        <v/>
      </c>
      <c r="F200" s="187" t="str">
        <f ca="1">IF(D200&lt;&gt;"",
IF(COUNTIF(C200,"*雙葉*"),
IF(ROUND((H200-M200)
/IF(COUNTIF(D200,"*キャラ*"),
VLOOKUP("*キャラ*",商品マスタ!$D:$E,2,FALSE),
IF(COUNTIF(D200,"*赤*"),
VLOOKUP("*赤*",商品マスタ!$D:$E,2,FALSE),
VLOOKUP("*"&amp;D200&amp;"*",商品マスタ!$D:$E,2,FALSE))),0)&lt;=0,1,
ROUND((H200-M200)
/IF(COUNTIF(D200,"*キャラ*"),
VLOOKUP("*キャラ*",商品マスタ!$D:$E,2,FALSE),
IF(COUNTIF(D200,"*赤*"),
VLOOKUP("*赤*",商品マスタ!$D:$E,2,FALSE),
VLOOKUP("*"&amp;D200&amp;"*",商品マスタ!$D:$E,2,FALSE))),0)),
IF(OR(COUNTIF(D200,"*キャラ*"),COUNTIF(D200,"*赤*")),"",
IF(VLOOKUP("*"&amp;D200&amp;"*",商品マスタ!$D:$E,2,FALSE)=0,"",
IF(ROUND((H200-M200)
/VLOOKUP("*"&amp;D200&amp;"*",商品マスタ!$D:$E,2,FALSE),0)&lt;=0,1,
ROUND((H200-M200)
/VLOOKUP("*"&amp;D200&amp;"*",商品マスタ!$D:$E,2,FALSE),0))))),"")</f>
        <v/>
      </c>
      <c r="G200" s="106" t="str">
        <f ca="1">IF(F200&lt;&gt;"",
IF(VALUE(H200-M200)&gt;VALUE(IF(COUNTIF(D200,"*キャラ*"),
VLOOKUP("*キャラ*",商品マスタ!$D:$E,2,FALSE),
IF(COUNTIF(D200,"*赤*"),
VLOOKUP("*赤*",商品マスタ!$D:$E,2,FALSE),
VLOOKUP("*"&amp;D200&amp;"*",商品マスタ!$D:$E,2,FALSE)))*F200),
"+"&amp;(H200-M200)-IF(COUNTIF(D200,"*キャラ*"),
VLOOKUP("*キャラ*",商品マスタ!$D:$E,2,FALSE),
IF(COUNTIF(D200,"*赤*"),
VLOOKUP("*赤*",商品マスタ!$D:$E,2,FALSE),
VLOOKUP("*"&amp;D200&amp;"*",商品マスタ!$D:$E,2,FALSE)))*F200,
(H200-M200)-IF(COUNTIF(D200,"*キャラ*"),
VLOOKUP("*キャラ*",商品マスタ!$D:$E,2,FALSE),
IF(COUNTIF(D200,"*赤*"),
VLOOKUP("*赤*",商品マスタ!$D:$E,2,FALSE),
VLOOKUP("*"&amp;D200&amp;"*",商品マスタ!$D:$E,2,FALSE)))*F200),"")</f>
        <v/>
      </c>
      <c r="H200" s="108" t="str">
        <f>IF(C200&lt;&gt;"",
クライアント抽出!D60,"")</f>
        <v/>
      </c>
      <c r="I200" s="106" t="str">
        <f>IF(C200&lt;&gt;"",
IF(O200=1,0,クライアント抽出!F60),"")</f>
        <v/>
      </c>
      <c r="J200" s="106" t="str">
        <f>IF(C200&lt;&gt;"",
VLOOKUP(
"*"&amp;LEFT(IF(COUNTIF(D200,"*学食*"),"キャラ弁（学食）",
IF(COUNTIF(D200,"*赤*"),"赤",
IF(COUNTIF(D200,"*キャラ弁当*"),"キャラ弁当",D200))),4)&amp;"*",注文弁当の抽出!$F$1:$G$15,2,FALSE),"")</f>
        <v/>
      </c>
      <c r="K200" s="106" t="str">
        <f ca="1">IF(クライアント抽出!R60&lt;&gt;"",SUBSTITUTE(ADDRESS(1,(CODE(クライアント抽出!R60)-64)*2-1,4),"1",""),"")</f>
        <v/>
      </c>
      <c r="L200" s="106" t="str">
        <f>IF(C60&lt;&gt;"",クライアント抽出!I60,"")</f>
        <v/>
      </c>
      <c r="M200" s="106">
        <f t="array" aca="1" ref="M200" ca="1">IF(C200&lt;&gt;"",
IF(K200&lt;&gt;"",INDIRECT("'数出表_Excel（アレルギー入力）'!"&amp;K200&amp;L200-1&amp;""),),)</f>
        <v>0</v>
      </c>
      <c r="N200" s="106" t="str">
        <f>IF(C200&lt;&gt;"",IF(OR(COUNTIF('盛付札（関数）'!D200,"*赤*"),COUNTIF('盛付札（関数）'!D200,"*キャラ*")),1,
VALUE(VLOOKUP("*"&amp;D200&amp;"*",商品マスタ!D:H,5,FALSE))),"")</f>
        <v/>
      </c>
      <c r="O200" s="106">
        <f t="shared" ca="1" si="85"/>
        <v>0</v>
      </c>
      <c r="P200" s="106">
        <f t="shared" si="87"/>
        <v>0</v>
      </c>
      <c r="Q200" s="106" t="b">
        <f t="shared" si="88"/>
        <v>0</v>
      </c>
      <c r="R200" s="176" t="str">
        <f t="array" aca="1" ref="R200" ca="1">IFERROR(SMALL(IF(P$1:P$311&lt;&gt;0,P$1:P$311),ROW(A200)),"")</f>
        <v/>
      </c>
      <c r="S200" s="176" t="str">
        <f t="array" aca="1" ref="S200" ca="1">IF($R200&lt;&gt;"",
SUBSTITUTE(SUBSTITUTE(INDIRECT("C"&amp;$R200&amp;"")," 週3ｺｰｽ","")," 週5ｺｰｽ",""),"")</f>
        <v/>
      </c>
      <c r="T200" s="176" t="str">
        <f t="array" aca="1" ref="T200" ca="1">IF(IF($R200&lt;&gt;"",
INDIRECT(""&amp;IF(COLUMN(D200)&lt;=26,CHAR(COLUMN(D200)+64),CHAR(INT((COLUMN(D200)-1)/26)+64)&amp;CHAR(MOD(COLUMN(D200)-1,26)+65))&amp;$R200&amp;""),"")=0,"",
IF($R200&lt;&gt;"",
INDIRECT(""&amp;IF(COLUMN(D200)&lt;=26,CHAR(COLUMN(D200)+64),CHAR(INT((COLUMN(D200)-1)/26)+64)&amp;CHAR(MOD(COLUMN(D200)-1,26)+65))&amp;$R200&amp;""),""))</f>
        <v/>
      </c>
      <c r="U200" s="218" t="str">
        <f t="array" aca="1" ref="U200" ca="1">IF($R200&lt;&gt;"",
INDIRECT("F"&amp;$R200&amp;""),"")</f>
        <v/>
      </c>
      <c r="V200" s="219" t="str">
        <f t="array" aca="1" ref="V200" ca="1">IF($R200&lt;&gt;"",
INDIRECT("G"&amp;$R200&amp;""),"")</f>
        <v/>
      </c>
      <c r="W200" s="219" t="str" cm="1">
        <f t="array" aca="1" ref="W200" ca="1">IF($R200&lt;&gt;"",
IF(AND(COUNTIF(INDIRECT("B"&amp;R200&amp;""),"*雙葉*"),COUNTIF($B$71:$B$210,"*雙葉*")&gt;=1),
IF(OR(COUNTIF(INDIRECT("B"&amp;R200&amp;""),"*雙葉先生*"),COUNTIF(INDIRECT("B"&amp;R200-1&amp;""),"*雙葉*")),INDIRECT("H"&amp;R200&amp;""),INDIRECT("H"&amp;R200&amp;"")+INDIRECT("H"&amp;MATCH("雙葉'",INDIRECT("B"&amp;R200+3&amp;":B210"),0)+2+R200&amp;"")),
IF(AND(LEFT(INDIRECT("B"&amp;R200&amp;""),2)="博多",COUNTIF(B:B,"*博多*")&gt;=2),
INDIRECT("H"&amp;R200&amp;"")+IFERROR(INDIRECT("H"&amp;MATCH("*"&amp;INDIRECT("B"&amp;R200&amp;"")&amp;"*",INDIRECT("B"&amp;R200+1&amp;":B210"),0)+R200&amp;""),0),
IF(AND(LEFT(INDIRECT("B"&amp;R200&amp;""),3)="奈良屋",COUNTIF(B:B,"*奈良屋*")&gt;=2),
INDIRECT("H"&amp;R200&amp;"")
+INDIRECT("H"&amp;MATCH("*"&amp;INDIRECT("B"&amp;R200&amp;"")&amp;"*",INDIRECT("B"&amp;R200+1&amp;":B210"),0)+R200&amp;"")
+INDIRECT("H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
+INDIRECT("H"&amp;MATCH("*"&amp;INDIRECT("B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&amp;"*",INDIRECT("B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+1&amp;":B210"),0)+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,
INDIRECT("H"&amp;R200&amp;"")))),"")</f>
        <v/>
      </c>
      <c r="X200" s="176" t="str">
        <f t="array" aca="1" ref="X200" ca="1">IF($R200&lt;&gt;"",
INDIRECT(""&amp;IF(COLUMN(I200)&lt;=26,CHAR(COLUMN(I200)+64),CHAR(INT((COLUMN(I200)-1)/26)+64)&amp;CHAR(MOD(COLUMN(I200)-1,26)+65))&amp;$R200&amp;""),"")</f>
        <v/>
      </c>
      <c r="Y200" s="176" t="str">
        <f t="array" aca="1" ref="Y200" ca="1">IF($R200&lt;&gt;"",
INDIRECT(""&amp;IF(COLUMN(J200)&lt;=26,CHAR(COLUMN(J200)+64),CHAR(INT((COLUMN(J200)-1)/26)+64)&amp;CHAR(MOD(COLUMN(J200)-1,26)+65))&amp;$R200&amp;""),"")</f>
        <v/>
      </c>
      <c r="Z200" s="176" t="str">
        <f t="shared" ca="1" si="89"/>
        <v/>
      </c>
      <c r="AA200" s="176" t="str">
        <f t="shared" ca="1" si="90"/>
        <v/>
      </c>
      <c r="AB200" s="176" t="str">
        <f t="array" aca="1" ref="AB200" ca="1">IF($R200&lt;&gt;"",
IF(AND(COUNTIF(INDIRECT("B"&amp;R200&amp;""),"*雙葉*"),COUNTIF(INDIRECT("B"&amp;R200&amp;""),"&lt;&gt;*先生*"),COUNTIF(B:B,"*雙葉*")&gt;=2),
INDIRECT("M"&amp;R200&amp;"")+INDIRECT("M"&amp;MATCH("雙葉'",INDIRECT("B"&amp;R200+1&amp;":B210"),0)+R200&amp;""),
IF(AND(LEFT(INDIRECT("B"&amp;R200&amp;""),2)="博多",COUNTIF(B:B,"*博多*")&gt;=2),
INDIRECT("M"&amp;R200&amp;"")+INDIRECT("M"&amp;MATCH("*"&amp;INDIRECT("B"&amp;R200&amp;"")&amp;"*",INDIRECT("B"&amp;R200+1&amp;":B210"),0)+R200&amp;""),
IF(AND(LEFT(INDIRECT("B"&amp;R200&amp;""),3)="奈良屋",COUNTIF(B:B,"*奈良屋*")&gt;=2),
INDIRECT("M"&amp;R200&amp;"")+INDIRECT("M"&amp;MATCH("*"&amp;INDIRECT("B"&amp;R200&amp;"")&amp;"*",INDIRECT("B"&amp;R200+1&amp;":B210"),0)+R200&amp;"")
+INDIRECT("M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,
INDIRECT("M"&amp;R200&amp;"")))),"")</f>
        <v/>
      </c>
      <c r="AC200" s="176" t="str">
        <f t="shared" ca="1" si="91"/>
        <v/>
      </c>
      <c r="AD200" s="176" t="str">
        <f t="shared" ca="1" si="92"/>
        <v/>
      </c>
      <c r="AE200" s="176" t="str">
        <f t="shared" ca="1" si="93"/>
        <v/>
      </c>
      <c r="AF200" s="176" t="str">
        <f t="shared" ca="1" si="94"/>
        <v/>
      </c>
      <c r="AG200" s="176" t="str">
        <f t="shared" ca="1" si="95"/>
        <v/>
      </c>
      <c r="AH200" s="183" t="str">
        <f t="shared" ca="1" si="96"/>
        <v/>
      </c>
      <c r="AI200" s="176" t="str">
        <f t="shared" ca="1" si="97"/>
        <v/>
      </c>
      <c r="AJ200" s="176" t="str">
        <f t="shared" ca="1" si="98"/>
        <v/>
      </c>
      <c r="AK200" s="176" t="str">
        <f t="shared" ca="1" si="99"/>
        <v/>
      </c>
      <c r="AL200" s="176" t="str">
        <f t="shared" ca="1" si="100"/>
        <v/>
      </c>
      <c r="AM200" s="176" t="str">
        <f t="shared" ca="1" si="101"/>
        <v/>
      </c>
      <c r="AN200" s="176" t="str">
        <f t="shared" ca="1" si="102"/>
        <v/>
      </c>
      <c r="AO200" s="176" t="str">
        <f t="shared" ca="1" si="103"/>
        <v/>
      </c>
      <c r="AP200" s="176" t="str">
        <f t="shared" ca="1" si="104"/>
        <v/>
      </c>
      <c r="AU200" s="176" t="str">
        <f t="shared" ca="1" si="105"/>
        <v/>
      </c>
    </row>
    <row r="201" spans="1:47" ht="22.2" customHeight="1">
      <c r="A201" s="107">
        <f t="shared" si="86"/>
        <v>127</v>
      </c>
      <c r="B201" s="106" t="str">
        <f t="shared" ca="1" si="106"/>
        <v/>
      </c>
      <c r="C201" s="106" t="str">
        <f>IF(OR(クライアント抽出!D61&lt;&gt;"",クライアント抽出!G61&lt;&gt;""),クライアント抽出!A61,"")</f>
        <v/>
      </c>
      <c r="D201" s="106" t="str">
        <f t="array" aca="1" ref="D201" ca="1">IF(C201&lt;&gt;"",INDIRECT("クライアント抽出!"&amp;E201&amp;MATCH(C201,クライアント抽出!A:A,0)&amp;""),"")</f>
        <v/>
      </c>
      <c r="E201" s="106" t="str">
        <f>IF(H201&lt;&gt;0,
IFERROR(
SUBSTITUTE(ADDRESS(1,
MATCH(VALUE(H201),クライアント抽出!A61:G61,0)+8,4),"1",""),
""),
IFERROR(
SUBSTITUTE(ADDRESS(1,
MATCH(VALUE(I201),クライアント抽出!A61:G61,0)+8,4),"1",""),
""))</f>
        <v/>
      </c>
      <c r="F201" s="187" t="str">
        <f ca="1">IF(D201&lt;&gt;"",
IF(COUNTIF(C201,"*雙葉*"),
IF(ROUND((H201-M201)
/IF(COUNTIF(D201,"*キャラ*"),
VLOOKUP("*キャラ*",商品マスタ!$D:$E,2,FALSE),
IF(COUNTIF(D201,"*赤*"),
VLOOKUP("*赤*",商品マスタ!$D:$E,2,FALSE),
VLOOKUP("*"&amp;D201&amp;"*",商品マスタ!$D:$E,2,FALSE))),0)&lt;=0,1,
ROUND((H201-M201)
/IF(COUNTIF(D201,"*キャラ*"),
VLOOKUP("*キャラ*",商品マスタ!$D:$E,2,FALSE),
IF(COUNTIF(D201,"*赤*"),
VLOOKUP("*赤*",商品マスタ!$D:$E,2,FALSE),
VLOOKUP("*"&amp;D201&amp;"*",商品マスタ!$D:$E,2,FALSE))),0)),
IF(OR(COUNTIF(D201,"*キャラ*"),COUNTIF(D201,"*赤*")),"",
IF(VLOOKUP("*"&amp;D201&amp;"*",商品マスタ!$D:$E,2,FALSE)=0,"",
IF(ROUND((H201-M201)
/VLOOKUP("*"&amp;D201&amp;"*",商品マスタ!$D:$E,2,FALSE),0)&lt;=0,1,
ROUND((H201-M201)
/VLOOKUP("*"&amp;D201&amp;"*",商品マスタ!$D:$E,2,FALSE),0))))),"")</f>
        <v/>
      </c>
      <c r="G201" s="106" t="str">
        <f ca="1">IF(F201&lt;&gt;"",
IF(VALUE(H201-M201)&gt;VALUE(IF(COUNTIF(D201,"*キャラ*"),
VLOOKUP("*キャラ*",商品マスタ!$D:$E,2,FALSE),
IF(COUNTIF(D201,"*赤*"),
VLOOKUP("*赤*",商品マスタ!$D:$E,2,FALSE),
VLOOKUP("*"&amp;D201&amp;"*",商品マスタ!$D:$E,2,FALSE)))*F201),
"+"&amp;(H201-M201)-IF(COUNTIF(D201,"*キャラ*"),
VLOOKUP("*キャラ*",商品マスタ!$D:$E,2,FALSE),
IF(COUNTIF(D201,"*赤*"),
VLOOKUP("*赤*",商品マスタ!$D:$E,2,FALSE),
VLOOKUP("*"&amp;D201&amp;"*",商品マスタ!$D:$E,2,FALSE)))*F201,
(H201-M201)-IF(COUNTIF(D201,"*キャラ*"),
VLOOKUP("*キャラ*",商品マスタ!$D:$E,2,FALSE),
IF(COUNTIF(D201,"*赤*"),
VLOOKUP("*赤*",商品マスタ!$D:$E,2,FALSE),
VLOOKUP("*"&amp;D201&amp;"*",商品マスタ!$D:$E,2,FALSE)))*F201),"")</f>
        <v/>
      </c>
      <c r="H201" s="108" t="str">
        <f>IF(C201&lt;&gt;"",
クライアント抽出!D61,"")</f>
        <v/>
      </c>
      <c r="I201" s="106" t="str">
        <f>IF(C201&lt;&gt;"",
IF(O201=1,0,クライアント抽出!F61),"")</f>
        <v/>
      </c>
      <c r="J201" s="106" t="str">
        <f>IF(C201&lt;&gt;"",
VLOOKUP(
"*"&amp;LEFT(IF(COUNTIF(D201,"*学食*"),"キャラ弁（学食）",
IF(COUNTIF(D201,"*赤*"),"赤",
IF(COUNTIF(D201,"*キャラ弁当*"),"キャラ弁当",D201))),4)&amp;"*",注文弁当の抽出!$F$1:$G$15,2,FALSE),"")</f>
        <v/>
      </c>
      <c r="K201" s="106" t="str">
        <f ca="1">IF(クライアント抽出!R61&lt;&gt;"",SUBSTITUTE(ADDRESS(1,(CODE(クライアント抽出!R61)-64)*2-1,4),"1",""),"")</f>
        <v/>
      </c>
      <c r="L201" s="106" t="str">
        <f>IF(C61&lt;&gt;"",クライアント抽出!I61,"")</f>
        <v/>
      </c>
      <c r="M201" s="106">
        <f t="array" aca="1" ref="M201" ca="1">IF(C201&lt;&gt;"",
IF(K201&lt;&gt;"",INDIRECT("'数出表_Excel（アレルギー入力）'!"&amp;K201&amp;L201-1&amp;""),),)</f>
        <v>0</v>
      </c>
      <c r="N201" s="106" t="str">
        <f>IF(C201&lt;&gt;"",IF(OR(COUNTIF('盛付札（関数）'!D201,"*赤*"),COUNTIF('盛付札（関数）'!D201,"*キャラ*")),1,
VALUE(VLOOKUP("*"&amp;D201&amp;"*",商品マスタ!D:H,5,FALSE))),"")</f>
        <v/>
      </c>
      <c r="O201" s="106">
        <f t="shared" ca="1" si="85"/>
        <v>0</v>
      </c>
      <c r="P201" s="106">
        <f t="shared" si="87"/>
        <v>0</v>
      </c>
      <c r="Q201" s="106" t="b">
        <f t="shared" si="88"/>
        <v>0</v>
      </c>
      <c r="R201" s="176" t="str">
        <f t="array" aca="1" ref="R201" ca="1">IFERROR(SMALL(IF(P$1:P$311&lt;&gt;0,P$1:P$311),ROW(A201)),"")</f>
        <v/>
      </c>
      <c r="S201" s="176" t="str">
        <f t="array" aca="1" ref="S201" ca="1">IF($R201&lt;&gt;"",
SUBSTITUTE(SUBSTITUTE(INDIRECT("C"&amp;$R201&amp;"")," 週3ｺｰｽ","")," 週5ｺｰｽ",""),"")</f>
        <v/>
      </c>
      <c r="T201" s="176" t="str">
        <f t="array" aca="1" ref="T201" ca="1">IF(IF($R201&lt;&gt;"",
INDIRECT(""&amp;IF(COLUMN(D201)&lt;=26,CHAR(COLUMN(D201)+64),CHAR(INT((COLUMN(D201)-1)/26)+64)&amp;CHAR(MOD(COLUMN(D201)-1,26)+65))&amp;$R201&amp;""),"")=0,"",
IF($R201&lt;&gt;"",
INDIRECT(""&amp;IF(COLUMN(D201)&lt;=26,CHAR(COLUMN(D201)+64),CHAR(INT((COLUMN(D201)-1)/26)+64)&amp;CHAR(MOD(COLUMN(D201)-1,26)+65))&amp;$R201&amp;""),""))</f>
        <v/>
      </c>
      <c r="U201" s="218" t="str">
        <f t="array" aca="1" ref="U201" ca="1">IF($R201&lt;&gt;"",
INDIRECT("F"&amp;$R201&amp;""),"")</f>
        <v/>
      </c>
      <c r="V201" s="219" t="str">
        <f t="array" aca="1" ref="V201" ca="1">IF($R201&lt;&gt;"",
INDIRECT("G"&amp;$R201&amp;""),"")</f>
        <v/>
      </c>
      <c r="W201" s="219" t="str" cm="1">
        <f t="array" aca="1" ref="W201" ca="1">IF($R201&lt;&gt;"",
IF(AND(COUNTIF(INDIRECT("B"&amp;R201&amp;""),"*雙葉*"),COUNTIF($B$71:$B$210,"*雙葉*")&gt;=1),
IF(OR(COUNTIF(INDIRECT("B"&amp;R201&amp;""),"*雙葉先生*"),COUNTIF(INDIRECT("B"&amp;R201-1&amp;""),"*雙葉*")),INDIRECT("H"&amp;R201&amp;""),INDIRECT("H"&amp;R201&amp;"")+INDIRECT("H"&amp;MATCH("雙葉'",INDIRECT("B"&amp;R201+3&amp;":B210"),0)+2+R201&amp;"")),
IF(AND(LEFT(INDIRECT("B"&amp;R201&amp;""),2)="博多",COUNTIF(B:B,"*博多*")&gt;=2),
INDIRECT("H"&amp;R201&amp;"")+IFERROR(INDIRECT("H"&amp;MATCH("*"&amp;INDIRECT("B"&amp;R201&amp;"")&amp;"*",INDIRECT("B"&amp;R201+1&amp;":B210"),0)+R201&amp;""),0),
IF(AND(LEFT(INDIRECT("B"&amp;R201&amp;""),3)="奈良屋",COUNTIF(B:B,"*奈良屋*")&gt;=2),
INDIRECT("H"&amp;R201&amp;"")
+INDIRECT("H"&amp;MATCH("*"&amp;INDIRECT("B"&amp;R201&amp;"")&amp;"*",INDIRECT("B"&amp;R201+1&amp;":B210"),0)+R201&amp;"")
+INDIRECT("H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
+INDIRECT("H"&amp;MATCH("*"&amp;INDIRECT("B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&amp;"*",INDIRECT("B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+1&amp;":B210"),0)+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,
INDIRECT("H"&amp;R201&amp;"")))),"")</f>
        <v/>
      </c>
      <c r="X201" s="176" t="str">
        <f t="array" aca="1" ref="X201" ca="1">IF($R201&lt;&gt;"",
INDIRECT(""&amp;IF(COLUMN(I201)&lt;=26,CHAR(COLUMN(I201)+64),CHAR(INT((COLUMN(I201)-1)/26)+64)&amp;CHAR(MOD(COLUMN(I201)-1,26)+65))&amp;$R201&amp;""),"")</f>
        <v/>
      </c>
      <c r="Y201" s="176" t="str">
        <f t="array" aca="1" ref="Y201" ca="1">IF($R201&lt;&gt;"",
INDIRECT(""&amp;IF(COLUMN(J201)&lt;=26,CHAR(COLUMN(J201)+64),CHAR(INT((COLUMN(J201)-1)/26)+64)&amp;CHAR(MOD(COLUMN(J201)-1,26)+65))&amp;$R201&amp;""),"")</f>
        <v/>
      </c>
      <c r="Z201" s="176" t="str">
        <f t="shared" ca="1" si="89"/>
        <v/>
      </c>
      <c r="AA201" s="176" t="str">
        <f t="shared" ca="1" si="90"/>
        <v/>
      </c>
      <c r="AB201" s="176" t="str">
        <f t="array" aca="1" ref="AB201" ca="1">IF($R201&lt;&gt;"",
IF(AND(COUNTIF(INDIRECT("B"&amp;R201&amp;""),"*雙葉*"),COUNTIF(INDIRECT("B"&amp;R201&amp;""),"&lt;&gt;*先生*"),COUNTIF(B:B,"*雙葉*")&gt;=2),
INDIRECT("M"&amp;R201&amp;"")+INDIRECT("M"&amp;MATCH("雙葉'",INDIRECT("B"&amp;R201+1&amp;":B210"),0)+R201&amp;""),
IF(AND(LEFT(INDIRECT("B"&amp;R201&amp;""),2)="博多",COUNTIF(B:B,"*博多*")&gt;=2),
INDIRECT("M"&amp;R201&amp;"")+INDIRECT("M"&amp;MATCH("*"&amp;INDIRECT("B"&amp;R201&amp;"")&amp;"*",INDIRECT("B"&amp;R201+1&amp;":B210"),0)+R201&amp;""),
IF(AND(LEFT(INDIRECT("B"&amp;R201&amp;""),3)="奈良屋",COUNTIF(B:B,"*奈良屋*")&gt;=2),
INDIRECT("M"&amp;R201&amp;"")+INDIRECT("M"&amp;MATCH("*"&amp;INDIRECT("B"&amp;R201&amp;"")&amp;"*",INDIRECT("B"&amp;R201+1&amp;":B210"),0)+R201&amp;"")
+INDIRECT("M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,
INDIRECT("M"&amp;R201&amp;"")))),"")</f>
        <v/>
      </c>
      <c r="AC201" s="176" t="str">
        <f t="shared" ca="1" si="91"/>
        <v/>
      </c>
      <c r="AD201" s="176" t="str">
        <f t="shared" ca="1" si="92"/>
        <v/>
      </c>
      <c r="AE201" s="176" t="str">
        <f t="shared" ca="1" si="93"/>
        <v/>
      </c>
      <c r="AF201" s="176" t="str">
        <f t="shared" ca="1" si="94"/>
        <v/>
      </c>
      <c r="AG201" s="176" t="str">
        <f t="shared" ca="1" si="95"/>
        <v/>
      </c>
      <c r="AH201" s="183" t="str">
        <f t="shared" ca="1" si="96"/>
        <v/>
      </c>
      <c r="AI201" s="176" t="str">
        <f t="shared" ca="1" si="97"/>
        <v/>
      </c>
      <c r="AJ201" s="176" t="str">
        <f t="shared" ca="1" si="98"/>
        <v/>
      </c>
      <c r="AK201" s="176" t="str">
        <f t="shared" ca="1" si="99"/>
        <v/>
      </c>
      <c r="AL201" s="176" t="str">
        <f t="shared" ca="1" si="100"/>
        <v/>
      </c>
      <c r="AM201" s="176" t="str">
        <f t="shared" ca="1" si="101"/>
        <v/>
      </c>
      <c r="AN201" s="176" t="str">
        <f t="shared" ca="1" si="102"/>
        <v/>
      </c>
      <c r="AO201" s="176" t="str">
        <f t="shared" ca="1" si="103"/>
        <v/>
      </c>
      <c r="AP201" s="176" t="str">
        <f t="shared" ca="1" si="104"/>
        <v/>
      </c>
      <c r="AU201" s="176" t="str">
        <f t="shared" ca="1" si="105"/>
        <v/>
      </c>
    </row>
    <row r="202" spans="1:47" ht="22.2" customHeight="1">
      <c r="A202" s="107">
        <f t="shared" si="86"/>
        <v>129</v>
      </c>
      <c r="B202" s="106" t="str">
        <f t="shared" ca="1" si="106"/>
        <v/>
      </c>
      <c r="C202" s="106" t="str">
        <f>IF(OR(クライアント抽出!D62&lt;&gt;"",クライアント抽出!G62&lt;&gt;""),クライアント抽出!A62,"")</f>
        <v/>
      </c>
      <c r="D202" s="106" t="str">
        <f t="array" aca="1" ref="D202" ca="1">IF(C202&lt;&gt;"",INDIRECT("クライアント抽出!"&amp;E202&amp;MATCH(C202,クライアント抽出!A:A,0)&amp;""),"")</f>
        <v/>
      </c>
      <c r="E202" s="106" t="str">
        <f>IF(H202&lt;&gt;0,
IFERROR(
SUBSTITUTE(ADDRESS(1,
MATCH(VALUE(H202),クライアント抽出!A62:G62,0)+8,4),"1",""),
""),
IFERROR(
SUBSTITUTE(ADDRESS(1,
MATCH(VALUE(I202),クライアント抽出!A62:G62,0)+8,4),"1",""),
""))</f>
        <v/>
      </c>
      <c r="F202" s="187" t="str">
        <f ca="1">IF(D202&lt;&gt;"",
IF(COUNTIF(C202,"*雙葉*"),
IF(ROUND((H202-M202)
/IF(COUNTIF(D202,"*キャラ*"),
VLOOKUP("*キャラ*",商品マスタ!$D:$E,2,FALSE),
IF(COUNTIF(D202,"*赤*"),
VLOOKUP("*赤*",商品マスタ!$D:$E,2,FALSE),
VLOOKUP("*"&amp;D202&amp;"*",商品マスタ!$D:$E,2,FALSE))),0)&lt;=0,1,
ROUND((H202-M202)
/IF(COUNTIF(D202,"*キャラ*"),
VLOOKUP("*キャラ*",商品マスタ!$D:$E,2,FALSE),
IF(COUNTIF(D202,"*赤*"),
VLOOKUP("*赤*",商品マスタ!$D:$E,2,FALSE),
VLOOKUP("*"&amp;D202&amp;"*",商品マスタ!$D:$E,2,FALSE))),0)),
IF(OR(COUNTIF(D202,"*キャラ*"),COUNTIF(D202,"*赤*")),"",
IF(VLOOKUP("*"&amp;D202&amp;"*",商品マスタ!$D:$E,2,FALSE)=0,"",
IF(ROUND((H202-M202)
/VLOOKUP("*"&amp;D202&amp;"*",商品マスタ!$D:$E,2,FALSE),0)&lt;=0,1,
ROUND((H202-M202)
/VLOOKUP("*"&amp;D202&amp;"*",商品マスタ!$D:$E,2,FALSE),0))))),"")</f>
        <v/>
      </c>
      <c r="G202" s="106" t="str">
        <f ca="1">IF(F202&lt;&gt;"",
IF(VALUE(H202-M202)&gt;VALUE(IF(COUNTIF(D202,"*キャラ*"),
VLOOKUP("*キャラ*",商品マスタ!$D:$E,2,FALSE),
IF(COUNTIF(D202,"*赤*"),
VLOOKUP("*赤*",商品マスタ!$D:$E,2,FALSE),
VLOOKUP("*"&amp;D202&amp;"*",商品マスタ!$D:$E,2,FALSE)))*F202),
"+"&amp;(H202-M202)-IF(COUNTIF(D202,"*キャラ*"),
VLOOKUP("*キャラ*",商品マスタ!$D:$E,2,FALSE),
IF(COUNTIF(D202,"*赤*"),
VLOOKUP("*赤*",商品マスタ!$D:$E,2,FALSE),
VLOOKUP("*"&amp;D202&amp;"*",商品マスタ!$D:$E,2,FALSE)))*F202,
(H202-M202)-IF(COUNTIF(D202,"*キャラ*"),
VLOOKUP("*キャラ*",商品マスタ!$D:$E,2,FALSE),
IF(COUNTIF(D202,"*赤*"),
VLOOKUP("*赤*",商品マスタ!$D:$E,2,FALSE),
VLOOKUP("*"&amp;D202&amp;"*",商品マスタ!$D:$E,2,FALSE)))*F202),"")</f>
        <v/>
      </c>
      <c r="H202" s="108" t="str">
        <f>IF(C202&lt;&gt;"",
クライアント抽出!D62,"")</f>
        <v/>
      </c>
      <c r="I202" s="106" t="str">
        <f>IF(C202&lt;&gt;"",
IF(O202=1,0,クライアント抽出!F62),"")</f>
        <v/>
      </c>
      <c r="J202" s="106" t="str">
        <f>IF(C202&lt;&gt;"",
VLOOKUP(
"*"&amp;LEFT(IF(COUNTIF(D202,"*学食*"),"キャラ弁（学食）",
IF(COUNTIF(D202,"*赤*"),"赤",
IF(COUNTIF(D202,"*キャラ弁当*"),"キャラ弁当",D202))),4)&amp;"*",注文弁当の抽出!$F$1:$G$15,2,FALSE),"")</f>
        <v/>
      </c>
      <c r="K202" s="106" t="str">
        <f ca="1">IF(クライアント抽出!R62&lt;&gt;"",SUBSTITUTE(ADDRESS(1,(CODE(クライアント抽出!R62)-64)*2-1,4),"1",""),"")</f>
        <v/>
      </c>
      <c r="L202" s="106" t="str">
        <f>IF(C62&lt;&gt;"",クライアント抽出!I62,"")</f>
        <v/>
      </c>
      <c r="M202" s="106">
        <f t="array" aca="1" ref="M202" ca="1">IF(C202&lt;&gt;"",
IF(K202&lt;&gt;"",INDIRECT("'数出表_Excel（アレルギー入力）'!"&amp;K202&amp;L202-1&amp;""),),)</f>
        <v>0</v>
      </c>
      <c r="N202" s="106" t="str">
        <f>IF(C202&lt;&gt;"",IF(OR(COUNTIF('盛付札（関数）'!D202,"*赤*"),COUNTIF('盛付札（関数）'!D202,"*キャラ*")),1,
VALUE(VLOOKUP("*"&amp;D202&amp;"*",商品マスタ!D:H,5,FALSE))),"")</f>
        <v/>
      </c>
      <c r="O202" s="106">
        <f t="shared" ca="1" si="85"/>
        <v>0</v>
      </c>
      <c r="P202" s="106">
        <f t="shared" si="87"/>
        <v>0</v>
      </c>
      <c r="Q202" s="106" t="b">
        <f t="shared" si="88"/>
        <v>0</v>
      </c>
      <c r="R202" s="176" t="str">
        <f t="array" aca="1" ref="R202" ca="1">IFERROR(SMALL(IF(P$1:P$311&lt;&gt;0,P$1:P$311),ROW(A202)),"")</f>
        <v/>
      </c>
      <c r="S202" s="176" t="str">
        <f t="array" aca="1" ref="S202" ca="1">IF($R202&lt;&gt;"",
SUBSTITUTE(SUBSTITUTE(INDIRECT("C"&amp;$R202&amp;"")," 週3ｺｰｽ","")," 週5ｺｰｽ",""),"")</f>
        <v/>
      </c>
      <c r="T202" s="176" t="str">
        <f t="array" aca="1" ref="T202" ca="1">IF(IF($R202&lt;&gt;"",
INDIRECT(""&amp;IF(COLUMN(D202)&lt;=26,CHAR(COLUMN(D202)+64),CHAR(INT((COLUMN(D202)-1)/26)+64)&amp;CHAR(MOD(COLUMN(D202)-1,26)+65))&amp;$R202&amp;""),"")=0,"",
IF($R202&lt;&gt;"",
INDIRECT(""&amp;IF(COLUMN(D202)&lt;=26,CHAR(COLUMN(D202)+64),CHAR(INT((COLUMN(D202)-1)/26)+64)&amp;CHAR(MOD(COLUMN(D202)-1,26)+65))&amp;$R202&amp;""),""))</f>
        <v/>
      </c>
      <c r="U202" s="218" t="str">
        <f t="array" aca="1" ref="U202" ca="1">IF($R202&lt;&gt;"",
INDIRECT("F"&amp;$R202&amp;""),"")</f>
        <v/>
      </c>
      <c r="V202" s="219" t="str">
        <f t="array" aca="1" ref="V202" ca="1">IF($R202&lt;&gt;"",
INDIRECT("G"&amp;$R202&amp;""),"")</f>
        <v/>
      </c>
      <c r="W202" s="219" t="str" cm="1">
        <f t="array" aca="1" ref="W202" ca="1">IF($R202&lt;&gt;"",
IF(AND(COUNTIF(INDIRECT("B"&amp;R202&amp;""),"*雙葉*"),COUNTIF($B$71:$B$210,"*雙葉*")&gt;=1),
IF(OR(COUNTIF(INDIRECT("B"&amp;R202&amp;""),"*雙葉先生*"),COUNTIF(INDIRECT("B"&amp;R202-1&amp;""),"*雙葉*")),INDIRECT("H"&amp;R202&amp;""),INDIRECT("H"&amp;R202&amp;"")+INDIRECT("H"&amp;MATCH("雙葉'",INDIRECT("B"&amp;R202+3&amp;":B210"),0)+2+R202&amp;"")),
IF(AND(LEFT(INDIRECT("B"&amp;R202&amp;""),2)="博多",COUNTIF(B:B,"*博多*")&gt;=2),
INDIRECT("H"&amp;R202&amp;"")+IFERROR(INDIRECT("H"&amp;MATCH("*"&amp;INDIRECT("B"&amp;R202&amp;"")&amp;"*",INDIRECT("B"&amp;R202+1&amp;":B210"),0)+R202&amp;""),0),
IF(AND(LEFT(INDIRECT("B"&amp;R202&amp;""),3)="奈良屋",COUNTIF(B:B,"*奈良屋*")&gt;=2),
INDIRECT("H"&amp;R202&amp;"")
+INDIRECT("H"&amp;MATCH("*"&amp;INDIRECT("B"&amp;R202&amp;"")&amp;"*",INDIRECT("B"&amp;R202+1&amp;":B210"),0)+R202&amp;"")
+INDIRECT("H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
+INDIRECT("H"&amp;MATCH("*"&amp;INDIRECT("B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&amp;"*",INDIRECT("B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+1&amp;":B210"),0)+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,
INDIRECT("H"&amp;R202&amp;"")))),"")</f>
        <v/>
      </c>
      <c r="X202" s="176" t="str">
        <f t="array" aca="1" ref="X202" ca="1">IF($R202&lt;&gt;"",
INDIRECT(""&amp;IF(COLUMN(I202)&lt;=26,CHAR(COLUMN(I202)+64),CHAR(INT((COLUMN(I202)-1)/26)+64)&amp;CHAR(MOD(COLUMN(I202)-1,26)+65))&amp;$R202&amp;""),"")</f>
        <v/>
      </c>
      <c r="Y202" s="176" t="str">
        <f t="array" aca="1" ref="Y202" ca="1">IF($R202&lt;&gt;"",
INDIRECT(""&amp;IF(COLUMN(J202)&lt;=26,CHAR(COLUMN(J202)+64),CHAR(INT((COLUMN(J202)-1)/26)+64)&amp;CHAR(MOD(COLUMN(J202)-1,26)+65))&amp;$R202&amp;""),"")</f>
        <v/>
      </c>
      <c r="Z202" s="176" t="str">
        <f t="shared" ca="1" si="89"/>
        <v/>
      </c>
      <c r="AA202" s="176" t="str">
        <f t="shared" ca="1" si="90"/>
        <v/>
      </c>
      <c r="AB202" s="176" t="str">
        <f t="array" aca="1" ref="AB202" ca="1">IF($R202&lt;&gt;"",
IF(AND(COUNTIF(INDIRECT("B"&amp;R202&amp;""),"*雙葉*"),COUNTIF(INDIRECT("B"&amp;R202&amp;""),"&lt;&gt;*先生*"),COUNTIF(B:B,"*雙葉*")&gt;=2),
INDIRECT("M"&amp;R202&amp;"")+INDIRECT("M"&amp;MATCH("雙葉'",INDIRECT("B"&amp;R202+1&amp;":B210"),0)+R202&amp;""),
IF(AND(LEFT(INDIRECT("B"&amp;R202&amp;""),2)="博多",COUNTIF(B:B,"*博多*")&gt;=2),
INDIRECT("M"&amp;R202&amp;"")+INDIRECT("M"&amp;MATCH("*"&amp;INDIRECT("B"&amp;R202&amp;"")&amp;"*",INDIRECT("B"&amp;R202+1&amp;":B210"),0)+R202&amp;""),
IF(AND(LEFT(INDIRECT("B"&amp;R202&amp;""),3)="奈良屋",COUNTIF(B:B,"*奈良屋*")&gt;=2),
INDIRECT("M"&amp;R202&amp;"")+INDIRECT("M"&amp;MATCH("*"&amp;INDIRECT("B"&amp;R202&amp;"")&amp;"*",INDIRECT("B"&amp;R202+1&amp;":B210"),0)+R202&amp;"")
+INDIRECT("M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,
INDIRECT("M"&amp;R202&amp;"")))),"")</f>
        <v/>
      </c>
      <c r="AC202" s="176" t="str">
        <f t="shared" ca="1" si="91"/>
        <v/>
      </c>
      <c r="AD202" s="176" t="str">
        <f t="shared" ca="1" si="92"/>
        <v/>
      </c>
      <c r="AE202" s="176" t="str">
        <f t="shared" ca="1" si="93"/>
        <v/>
      </c>
      <c r="AF202" s="176" t="str">
        <f t="shared" ca="1" si="94"/>
        <v/>
      </c>
      <c r="AG202" s="176" t="str">
        <f t="shared" ca="1" si="95"/>
        <v/>
      </c>
      <c r="AH202" s="183" t="str">
        <f t="shared" ca="1" si="96"/>
        <v/>
      </c>
      <c r="AI202" s="176" t="str">
        <f t="shared" ca="1" si="97"/>
        <v/>
      </c>
      <c r="AJ202" s="176" t="str">
        <f t="shared" ca="1" si="98"/>
        <v/>
      </c>
      <c r="AK202" s="176" t="str">
        <f t="shared" ca="1" si="99"/>
        <v/>
      </c>
      <c r="AL202" s="176" t="str">
        <f t="shared" ca="1" si="100"/>
        <v/>
      </c>
      <c r="AM202" s="176" t="str">
        <f t="shared" ca="1" si="101"/>
        <v/>
      </c>
      <c r="AN202" s="176" t="str">
        <f t="shared" ca="1" si="102"/>
        <v/>
      </c>
      <c r="AO202" s="176" t="str">
        <f t="shared" ca="1" si="103"/>
        <v/>
      </c>
      <c r="AP202" s="176" t="str">
        <f t="shared" ca="1" si="104"/>
        <v/>
      </c>
      <c r="AU202" s="176" t="str">
        <f t="shared" ca="1" si="105"/>
        <v/>
      </c>
    </row>
    <row r="203" spans="1:47" ht="22.2" customHeight="1">
      <c r="A203" s="107">
        <f t="shared" si="86"/>
        <v>131</v>
      </c>
      <c r="B203" s="106" t="str">
        <f t="shared" ca="1" si="106"/>
        <v/>
      </c>
      <c r="C203" s="106" t="str">
        <f>IF(OR(クライアント抽出!D63&lt;&gt;"",クライアント抽出!G63&lt;&gt;""),クライアント抽出!A63,"")</f>
        <v/>
      </c>
      <c r="D203" s="106" t="str">
        <f t="array" aca="1" ref="D203" ca="1">IF(C203&lt;&gt;"",INDIRECT("クライアント抽出!"&amp;E203&amp;MATCH(C203,クライアント抽出!A:A,0)&amp;""),"")</f>
        <v/>
      </c>
      <c r="E203" s="106" t="str">
        <f>IF(H203&lt;&gt;0,
IFERROR(
SUBSTITUTE(ADDRESS(1,
MATCH(VALUE(H203),クライアント抽出!A63:G63,0)+8,4),"1",""),
""),
IFERROR(
SUBSTITUTE(ADDRESS(1,
MATCH(VALUE(I203),クライアント抽出!A63:G63,0)+8,4),"1",""),
""))</f>
        <v/>
      </c>
      <c r="F203" s="187" t="str">
        <f ca="1">IF(D203&lt;&gt;"",
IF(COUNTIF(C203,"*雙葉*"),
IF(ROUND((H203-M203)
/IF(COUNTIF(D203,"*キャラ*"),
VLOOKUP("*キャラ*",商品マスタ!$D:$E,2,FALSE),
IF(COUNTIF(D203,"*赤*"),
VLOOKUP("*赤*",商品マスタ!$D:$E,2,FALSE),
VLOOKUP("*"&amp;D203&amp;"*",商品マスタ!$D:$E,2,FALSE))),0)&lt;=0,1,
ROUND((H203-M203)
/IF(COUNTIF(D203,"*キャラ*"),
VLOOKUP("*キャラ*",商品マスタ!$D:$E,2,FALSE),
IF(COUNTIF(D203,"*赤*"),
VLOOKUP("*赤*",商品マスタ!$D:$E,2,FALSE),
VLOOKUP("*"&amp;D203&amp;"*",商品マスタ!$D:$E,2,FALSE))),0)),
IF(OR(COUNTIF(D203,"*キャラ*"),COUNTIF(D203,"*赤*")),"",
IF(VLOOKUP("*"&amp;D203&amp;"*",商品マスタ!$D:$E,2,FALSE)=0,"",
IF(ROUND((H203-M203)
/VLOOKUP("*"&amp;D203&amp;"*",商品マスタ!$D:$E,2,FALSE),0)&lt;=0,1,
ROUND((H203-M203)
/VLOOKUP("*"&amp;D203&amp;"*",商品マスタ!$D:$E,2,FALSE),0))))),"")</f>
        <v/>
      </c>
      <c r="G203" s="106" t="str">
        <f ca="1">IF(F203&lt;&gt;"",
IF(VALUE(H203-M203)&gt;VALUE(IF(COUNTIF(D203,"*キャラ*"),
VLOOKUP("*キャラ*",商品マスタ!$D:$E,2,FALSE),
IF(COUNTIF(D203,"*赤*"),
VLOOKUP("*赤*",商品マスタ!$D:$E,2,FALSE),
VLOOKUP("*"&amp;D203&amp;"*",商品マスタ!$D:$E,2,FALSE)))*F203),
"+"&amp;(H203-M203)-IF(COUNTIF(D203,"*キャラ*"),
VLOOKUP("*キャラ*",商品マスタ!$D:$E,2,FALSE),
IF(COUNTIF(D203,"*赤*"),
VLOOKUP("*赤*",商品マスタ!$D:$E,2,FALSE),
VLOOKUP("*"&amp;D203&amp;"*",商品マスタ!$D:$E,2,FALSE)))*F203,
(H203-M203)-IF(COUNTIF(D203,"*キャラ*"),
VLOOKUP("*キャラ*",商品マスタ!$D:$E,2,FALSE),
IF(COUNTIF(D203,"*赤*"),
VLOOKUP("*赤*",商品マスタ!$D:$E,2,FALSE),
VLOOKUP("*"&amp;D203&amp;"*",商品マスタ!$D:$E,2,FALSE)))*F203),"")</f>
        <v/>
      </c>
      <c r="H203" s="108" t="str">
        <f>IF(C203&lt;&gt;"",
クライアント抽出!D63,"")</f>
        <v/>
      </c>
      <c r="I203" s="106" t="str">
        <f>IF(C203&lt;&gt;"",
IF(O203=1,0,クライアント抽出!F63),"")</f>
        <v/>
      </c>
      <c r="J203" s="106" t="str">
        <f>IF(C203&lt;&gt;"",
VLOOKUP(
"*"&amp;LEFT(IF(COUNTIF(D203,"*学食*"),"キャラ弁（学食）",
IF(COUNTIF(D203,"*赤*"),"赤",
IF(COUNTIF(D203,"*キャラ弁当*"),"キャラ弁当",D203))),4)&amp;"*",注文弁当の抽出!$F$1:$G$15,2,FALSE),"")</f>
        <v/>
      </c>
      <c r="K203" s="106" t="str">
        <f ca="1">IF(クライアント抽出!R63&lt;&gt;"",SUBSTITUTE(ADDRESS(1,(CODE(クライアント抽出!R63)-64)*2-1,4),"1",""),"")</f>
        <v/>
      </c>
      <c r="L203" s="106" t="str">
        <f>IF(C63&lt;&gt;"",クライアント抽出!I63,"")</f>
        <v/>
      </c>
      <c r="M203" s="106">
        <f t="array" aca="1" ref="M203" ca="1">IF(C203&lt;&gt;"",
IF(K203&lt;&gt;"",INDIRECT("'数出表_Excel（アレルギー入力）'!"&amp;K203&amp;L203-1&amp;""),),)</f>
        <v>0</v>
      </c>
      <c r="N203" s="106" t="str">
        <f>IF(C203&lt;&gt;"",IF(OR(COUNTIF('盛付札（関数）'!D203,"*赤*"),COUNTIF('盛付札（関数）'!D203,"*キャラ*")),1,
VALUE(VLOOKUP("*"&amp;D203&amp;"*",商品マスタ!D:H,5,FALSE))),"")</f>
        <v/>
      </c>
      <c r="O203" s="106">
        <f t="shared" ca="1" si="85"/>
        <v>0</v>
      </c>
      <c r="P203" s="106">
        <f t="shared" si="87"/>
        <v>0</v>
      </c>
      <c r="Q203" s="106" t="b">
        <f t="shared" si="88"/>
        <v>0</v>
      </c>
      <c r="R203" s="176" t="str">
        <f t="array" aca="1" ref="R203" ca="1">IFERROR(SMALL(IF(P$1:P$311&lt;&gt;0,P$1:P$311),ROW(A203)),"")</f>
        <v/>
      </c>
      <c r="S203" s="176" t="str">
        <f t="array" aca="1" ref="S203" ca="1">IF($R203&lt;&gt;"",
SUBSTITUTE(SUBSTITUTE(INDIRECT("C"&amp;$R203&amp;"")," 週3ｺｰｽ","")," 週5ｺｰｽ",""),"")</f>
        <v/>
      </c>
      <c r="T203" s="176" t="str">
        <f t="array" aca="1" ref="T203" ca="1">IF(IF($R203&lt;&gt;"",
INDIRECT(""&amp;IF(COLUMN(D203)&lt;=26,CHAR(COLUMN(D203)+64),CHAR(INT((COLUMN(D203)-1)/26)+64)&amp;CHAR(MOD(COLUMN(D203)-1,26)+65))&amp;$R203&amp;""),"")=0,"",
IF($R203&lt;&gt;"",
INDIRECT(""&amp;IF(COLUMN(D203)&lt;=26,CHAR(COLUMN(D203)+64),CHAR(INT((COLUMN(D203)-1)/26)+64)&amp;CHAR(MOD(COLUMN(D203)-1,26)+65))&amp;$R203&amp;""),""))</f>
        <v/>
      </c>
      <c r="U203" s="218" t="str">
        <f t="array" aca="1" ref="U203" ca="1">IF($R203&lt;&gt;"",
INDIRECT("F"&amp;$R203&amp;""),"")</f>
        <v/>
      </c>
      <c r="V203" s="219" t="str">
        <f t="array" aca="1" ref="V203" ca="1">IF($R203&lt;&gt;"",
INDIRECT("G"&amp;$R203&amp;""),"")</f>
        <v/>
      </c>
      <c r="W203" s="219" t="str" cm="1">
        <f t="array" aca="1" ref="W203" ca="1">IF($R203&lt;&gt;"",
IF(AND(COUNTIF(INDIRECT("B"&amp;R203&amp;""),"*雙葉*"),COUNTIF($B$71:$B$210,"*雙葉*")&gt;=1),
IF(OR(COUNTIF(INDIRECT("B"&amp;R203&amp;""),"*雙葉先生*"),COUNTIF(INDIRECT("B"&amp;R203-1&amp;""),"*雙葉*")),INDIRECT("H"&amp;R203&amp;""),INDIRECT("H"&amp;R203&amp;"")+INDIRECT("H"&amp;MATCH("雙葉'",INDIRECT("B"&amp;R203+3&amp;":B210"),0)+2+R203&amp;"")),
IF(AND(LEFT(INDIRECT("B"&amp;R203&amp;""),2)="博多",COUNTIF(B:B,"*博多*")&gt;=2),
INDIRECT("H"&amp;R203&amp;"")+IFERROR(INDIRECT("H"&amp;MATCH("*"&amp;INDIRECT("B"&amp;R203&amp;"")&amp;"*",INDIRECT("B"&amp;R203+1&amp;":B210"),0)+R203&amp;""),0),
IF(AND(LEFT(INDIRECT("B"&amp;R203&amp;""),3)="奈良屋",COUNTIF(B:B,"*奈良屋*")&gt;=2),
INDIRECT("H"&amp;R203&amp;"")
+INDIRECT("H"&amp;MATCH("*"&amp;INDIRECT("B"&amp;R203&amp;"")&amp;"*",INDIRECT("B"&amp;R203+1&amp;":B210"),0)+R203&amp;"")
+INDIRECT("H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
+INDIRECT("H"&amp;MATCH("*"&amp;INDIRECT("B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&amp;"*",INDIRECT("B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+1&amp;":B210"),0)+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,
INDIRECT("H"&amp;R203&amp;"")))),"")</f>
        <v/>
      </c>
      <c r="X203" s="176" t="str">
        <f t="array" aca="1" ref="X203" ca="1">IF($R203&lt;&gt;"",
INDIRECT(""&amp;IF(COLUMN(I203)&lt;=26,CHAR(COLUMN(I203)+64),CHAR(INT((COLUMN(I203)-1)/26)+64)&amp;CHAR(MOD(COLUMN(I203)-1,26)+65))&amp;$R203&amp;""),"")</f>
        <v/>
      </c>
      <c r="Y203" s="176" t="str">
        <f t="array" aca="1" ref="Y203" ca="1">IF($R203&lt;&gt;"",
INDIRECT(""&amp;IF(COLUMN(J203)&lt;=26,CHAR(COLUMN(J203)+64),CHAR(INT((COLUMN(J203)-1)/26)+64)&amp;CHAR(MOD(COLUMN(J203)-1,26)+65))&amp;$R203&amp;""),"")</f>
        <v/>
      </c>
      <c r="Z203" s="176" t="str">
        <f t="shared" ca="1" si="89"/>
        <v/>
      </c>
      <c r="AA203" s="176" t="str">
        <f t="shared" ca="1" si="90"/>
        <v/>
      </c>
      <c r="AB203" s="176" t="str">
        <f t="array" aca="1" ref="AB203" ca="1">IF($R203&lt;&gt;"",
IF(AND(COUNTIF(INDIRECT("B"&amp;R203&amp;""),"*雙葉*"),COUNTIF(INDIRECT("B"&amp;R203&amp;""),"&lt;&gt;*先生*"),COUNTIF(B:B,"*雙葉*")&gt;=2),
INDIRECT("M"&amp;R203&amp;"")+INDIRECT("M"&amp;MATCH("雙葉'",INDIRECT("B"&amp;R203+1&amp;":B210"),0)+R203&amp;""),
IF(AND(LEFT(INDIRECT("B"&amp;R203&amp;""),2)="博多",COUNTIF(B:B,"*博多*")&gt;=2),
INDIRECT("M"&amp;R203&amp;"")+INDIRECT("M"&amp;MATCH("*"&amp;INDIRECT("B"&amp;R203&amp;"")&amp;"*",INDIRECT("B"&amp;R203+1&amp;":B210"),0)+R203&amp;""),
IF(AND(LEFT(INDIRECT("B"&amp;R203&amp;""),3)="奈良屋",COUNTIF(B:B,"*奈良屋*")&gt;=2),
INDIRECT("M"&amp;R203&amp;"")+INDIRECT("M"&amp;MATCH("*"&amp;INDIRECT("B"&amp;R203&amp;"")&amp;"*",INDIRECT("B"&amp;R203+1&amp;":B210"),0)+R203&amp;"")
+INDIRECT("M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,
INDIRECT("M"&amp;R203&amp;"")))),"")</f>
        <v/>
      </c>
      <c r="AC203" s="176" t="str">
        <f t="shared" ca="1" si="91"/>
        <v/>
      </c>
      <c r="AD203" s="176" t="str">
        <f t="shared" ca="1" si="92"/>
        <v/>
      </c>
      <c r="AE203" s="176" t="str">
        <f t="shared" ca="1" si="93"/>
        <v/>
      </c>
      <c r="AF203" s="176" t="str">
        <f t="shared" ca="1" si="94"/>
        <v/>
      </c>
      <c r="AG203" s="176" t="str">
        <f t="shared" ca="1" si="95"/>
        <v/>
      </c>
      <c r="AH203" s="183" t="str">
        <f t="shared" ca="1" si="96"/>
        <v/>
      </c>
      <c r="AI203" s="176" t="str">
        <f t="shared" ca="1" si="97"/>
        <v/>
      </c>
      <c r="AJ203" s="176" t="str">
        <f t="shared" ca="1" si="98"/>
        <v/>
      </c>
      <c r="AK203" s="176" t="str">
        <f t="shared" ca="1" si="99"/>
        <v/>
      </c>
      <c r="AL203" s="176" t="str">
        <f t="shared" ca="1" si="100"/>
        <v/>
      </c>
      <c r="AM203" s="176" t="str">
        <f t="shared" ca="1" si="101"/>
        <v/>
      </c>
      <c r="AN203" s="176" t="str">
        <f t="shared" ca="1" si="102"/>
        <v/>
      </c>
      <c r="AO203" s="176" t="str">
        <f t="shared" ca="1" si="103"/>
        <v/>
      </c>
      <c r="AP203" s="176" t="str">
        <f t="shared" ca="1" si="104"/>
        <v/>
      </c>
      <c r="AU203" s="176" t="str">
        <f t="shared" ca="1" si="105"/>
        <v/>
      </c>
    </row>
    <row r="204" spans="1:47" ht="22.2" customHeight="1">
      <c r="A204" s="107">
        <f t="shared" si="86"/>
        <v>133</v>
      </c>
      <c r="B204" s="106" t="str">
        <f t="shared" ca="1" si="106"/>
        <v/>
      </c>
      <c r="C204" s="106" t="str">
        <f>IF(OR(クライアント抽出!D64&lt;&gt;"",クライアント抽出!G64&lt;&gt;""),クライアント抽出!A64,"")</f>
        <v/>
      </c>
      <c r="D204" s="106" t="str">
        <f t="array" aca="1" ref="D204" ca="1">IF(C204&lt;&gt;"",INDIRECT("クライアント抽出!"&amp;E204&amp;MATCH(C204,クライアント抽出!A:A,0)&amp;""),"")</f>
        <v/>
      </c>
      <c r="E204" s="106" t="str">
        <f>IF(H204&lt;&gt;0,
IFERROR(
SUBSTITUTE(ADDRESS(1,
MATCH(VALUE(H204),クライアント抽出!A64:G64,0)+8,4),"1",""),
""),
IFERROR(
SUBSTITUTE(ADDRESS(1,
MATCH(VALUE(I204),クライアント抽出!A64:G64,0)+8,4),"1",""),
""))</f>
        <v/>
      </c>
      <c r="F204" s="187" t="str">
        <f ca="1">IF(D204&lt;&gt;"",
IF(COUNTIF(C204,"*雙葉*"),
IF(ROUND((H204-M204)
/IF(COUNTIF(D204,"*キャラ*"),
VLOOKUP("*キャラ*",商品マスタ!$D:$E,2,FALSE),
IF(COUNTIF(D204,"*赤*"),
VLOOKUP("*赤*",商品マスタ!$D:$E,2,FALSE),
VLOOKUP("*"&amp;D204&amp;"*",商品マスタ!$D:$E,2,FALSE))),0)&lt;=0,1,
ROUND((H204-M204)
/IF(COUNTIF(D204,"*キャラ*"),
VLOOKUP("*キャラ*",商品マスタ!$D:$E,2,FALSE),
IF(COUNTIF(D204,"*赤*"),
VLOOKUP("*赤*",商品マスタ!$D:$E,2,FALSE),
VLOOKUP("*"&amp;D204&amp;"*",商品マスタ!$D:$E,2,FALSE))),0)),
IF(OR(COUNTIF(D204,"*キャラ*"),COUNTIF(D204,"*赤*")),"",
IF(VLOOKUP("*"&amp;D204&amp;"*",商品マスタ!$D:$E,2,FALSE)=0,"",
IF(ROUND((H204-M204)
/VLOOKUP("*"&amp;D204&amp;"*",商品マスタ!$D:$E,2,FALSE),0)&lt;=0,1,
ROUND((H204-M204)
/VLOOKUP("*"&amp;D204&amp;"*",商品マスタ!$D:$E,2,FALSE),0))))),"")</f>
        <v/>
      </c>
      <c r="G204" s="106" t="str">
        <f ca="1">IF(F204&lt;&gt;"",
IF(VALUE(H204-M204)&gt;VALUE(IF(COUNTIF(D204,"*キャラ*"),
VLOOKUP("*キャラ*",商品マスタ!$D:$E,2,FALSE),
IF(COUNTIF(D204,"*赤*"),
VLOOKUP("*赤*",商品マスタ!$D:$E,2,FALSE),
VLOOKUP("*"&amp;D204&amp;"*",商品マスタ!$D:$E,2,FALSE)))*F204),
"+"&amp;(H204-M204)-IF(COUNTIF(D204,"*キャラ*"),
VLOOKUP("*キャラ*",商品マスタ!$D:$E,2,FALSE),
IF(COUNTIF(D204,"*赤*"),
VLOOKUP("*赤*",商品マスタ!$D:$E,2,FALSE),
VLOOKUP("*"&amp;D204&amp;"*",商品マスタ!$D:$E,2,FALSE)))*F204,
(H204-M204)-IF(COUNTIF(D204,"*キャラ*"),
VLOOKUP("*キャラ*",商品マスタ!$D:$E,2,FALSE),
IF(COUNTIF(D204,"*赤*"),
VLOOKUP("*赤*",商品マスタ!$D:$E,2,FALSE),
VLOOKUP("*"&amp;D204&amp;"*",商品マスタ!$D:$E,2,FALSE)))*F204),"")</f>
        <v/>
      </c>
      <c r="H204" s="108" t="str">
        <f>IF(C204&lt;&gt;"",
クライアント抽出!D64,"")</f>
        <v/>
      </c>
      <c r="I204" s="106" t="str">
        <f>IF(C204&lt;&gt;"",
IF(O204=1,0,クライアント抽出!F64),"")</f>
        <v/>
      </c>
      <c r="J204" s="106" t="str">
        <f>IF(C204&lt;&gt;"",
VLOOKUP(
"*"&amp;LEFT(IF(COUNTIF(D204,"*学食*"),"キャラ弁（学食）",
IF(COUNTIF(D204,"*赤*"),"赤",
IF(COUNTIF(D204,"*キャラ弁当*"),"キャラ弁当",D204))),4)&amp;"*",注文弁当の抽出!$F$1:$G$15,2,FALSE),"")</f>
        <v/>
      </c>
      <c r="K204" s="106" t="str">
        <f ca="1">IF(クライアント抽出!R64&lt;&gt;"",SUBSTITUTE(ADDRESS(1,(CODE(クライアント抽出!R64)-64)*2-1,4),"1",""),"")</f>
        <v/>
      </c>
      <c r="L204" s="106" t="str">
        <f>IF(C64&lt;&gt;"",クライアント抽出!I64,"")</f>
        <v/>
      </c>
      <c r="M204" s="106">
        <f t="array" aca="1" ref="M204" ca="1">IF(C204&lt;&gt;"",
IF(K204&lt;&gt;"",INDIRECT("'数出表_Excel（アレルギー入力）'!"&amp;K204&amp;L204-1&amp;""),),)</f>
        <v>0</v>
      </c>
      <c r="N204" s="106" t="str">
        <f>IF(C204&lt;&gt;"",IF(OR(COUNTIF('盛付札（関数）'!D204,"*赤*"),COUNTIF('盛付札（関数）'!D204,"*キャラ*")),1,
VALUE(VLOOKUP("*"&amp;D204&amp;"*",商品マスタ!D:H,5,FALSE))),"")</f>
        <v/>
      </c>
      <c r="O204" s="106">
        <f t="shared" ca="1" si="85"/>
        <v>0</v>
      </c>
      <c r="P204" s="106">
        <f t="shared" si="87"/>
        <v>0</v>
      </c>
      <c r="Q204" s="106" t="b">
        <f t="shared" si="88"/>
        <v>0</v>
      </c>
      <c r="R204" s="176" t="str">
        <f t="array" aca="1" ref="R204" ca="1">IFERROR(SMALL(IF(P$1:P$311&lt;&gt;0,P$1:P$311),ROW(A204)),"")</f>
        <v/>
      </c>
      <c r="S204" s="176" t="str">
        <f t="array" aca="1" ref="S204" ca="1">IF($R204&lt;&gt;"",
SUBSTITUTE(SUBSTITUTE(INDIRECT("C"&amp;$R204&amp;"")," 週3ｺｰｽ","")," 週5ｺｰｽ",""),"")</f>
        <v/>
      </c>
      <c r="T204" s="176" t="str">
        <f t="array" aca="1" ref="T204" ca="1">IF(IF($R204&lt;&gt;"",
INDIRECT(""&amp;IF(COLUMN(D204)&lt;=26,CHAR(COLUMN(D204)+64),CHAR(INT((COLUMN(D204)-1)/26)+64)&amp;CHAR(MOD(COLUMN(D204)-1,26)+65))&amp;$R204&amp;""),"")=0,"",
IF($R204&lt;&gt;"",
INDIRECT(""&amp;IF(COLUMN(D204)&lt;=26,CHAR(COLUMN(D204)+64),CHAR(INT((COLUMN(D204)-1)/26)+64)&amp;CHAR(MOD(COLUMN(D204)-1,26)+65))&amp;$R204&amp;""),""))</f>
        <v/>
      </c>
      <c r="U204" s="218" t="str">
        <f t="array" aca="1" ref="U204" ca="1">IF($R204&lt;&gt;"",
INDIRECT("F"&amp;$R204&amp;""),"")</f>
        <v/>
      </c>
      <c r="V204" s="219" t="str">
        <f t="array" aca="1" ref="V204" ca="1">IF($R204&lt;&gt;"",
INDIRECT("G"&amp;$R204&amp;""),"")</f>
        <v/>
      </c>
      <c r="W204" s="219" t="str" cm="1">
        <f t="array" aca="1" ref="W204" ca="1">IF($R204&lt;&gt;"",
IF(AND(COUNTIF(INDIRECT("B"&amp;R204&amp;""),"*雙葉*"),COUNTIF($B$71:$B$210,"*雙葉*")&gt;=1),
IF(OR(COUNTIF(INDIRECT("B"&amp;R204&amp;""),"*雙葉先生*"),COUNTIF(INDIRECT("B"&amp;R204-1&amp;""),"*雙葉*")),INDIRECT("H"&amp;R204&amp;""),INDIRECT("H"&amp;R204&amp;"")+INDIRECT("H"&amp;MATCH("雙葉'",INDIRECT("B"&amp;R204+3&amp;":B210"),0)+2+R204&amp;"")),
IF(AND(LEFT(INDIRECT("B"&amp;R204&amp;""),2)="博多",COUNTIF(B:B,"*博多*")&gt;=2),
INDIRECT("H"&amp;R204&amp;"")+IFERROR(INDIRECT("H"&amp;MATCH("*"&amp;INDIRECT("B"&amp;R204&amp;"")&amp;"*",INDIRECT("B"&amp;R204+1&amp;":B210"),0)+R204&amp;""),0),
IF(AND(LEFT(INDIRECT("B"&amp;R204&amp;""),3)="奈良屋",COUNTIF(B:B,"*奈良屋*")&gt;=2),
INDIRECT("H"&amp;R204&amp;"")
+INDIRECT("H"&amp;MATCH("*"&amp;INDIRECT("B"&amp;R204&amp;"")&amp;"*",INDIRECT("B"&amp;R204+1&amp;":B210"),0)+R204&amp;"")
+INDIRECT("H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
+INDIRECT("H"&amp;MATCH("*"&amp;INDIRECT("B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&amp;"*",INDIRECT("B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+1&amp;":B210"),0)+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,
INDIRECT("H"&amp;R204&amp;"")))),"")</f>
        <v/>
      </c>
      <c r="X204" s="176" t="str">
        <f t="array" aca="1" ref="X204" ca="1">IF($R204&lt;&gt;"",
INDIRECT(""&amp;IF(COLUMN(I204)&lt;=26,CHAR(COLUMN(I204)+64),CHAR(INT((COLUMN(I204)-1)/26)+64)&amp;CHAR(MOD(COLUMN(I204)-1,26)+65))&amp;$R204&amp;""),"")</f>
        <v/>
      </c>
      <c r="Y204" s="176" t="str">
        <f t="array" aca="1" ref="Y204" ca="1">IF($R204&lt;&gt;"",
INDIRECT(""&amp;IF(COLUMN(J204)&lt;=26,CHAR(COLUMN(J204)+64),CHAR(INT((COLUMN(J204)-1)/26)+64)&amp;CHAR(MOD(COLUMN(J204)-1,26)+65))&amp;$R204&amp;""),"")</f>
        <v/>
      </c>
      <c r="Z204" s="176" t="str">
        <f t="shared" ca="1" si="89"/>
        <v/>
      </c>
      <c r="AA204" s="176" t="str">
        <f t="shared" ca="1" si="90"/>
        <v/>
      </c>
      <c r="AB204" s="176" t="str">
        <f t="array" aca="1" ref="AB204" ca="1">IF($R204&lt;&gt;"",
IF(AND(COUNTIF(INDIRECT("B"&amp;R204&amp;""),"*雙葉*"),COUNTIF(INDIRECT("B"&amp;R204&amp;""),"&lt;&gt;*先生*"),COUNTIF(B:B,"*雙葉*")&gt;=2),
INDIRECT("M"&amp;R204&amp;"")+INDIRECT("M"&amp;MATCH("雙葉'",INDIRECT("B"&amp;R204+1&amp;":B210"),0)+R204&amp;""),
IF(AND(LEFT(INDIRECT("B"&amp;R204&amp;""),2)="博多",COUNTIF(B:B,"*博多*")&gt;=2),
INDIRECT("M"&amp;R204&amp;"")+INDIRECT("M"&amp;MATCH("*"&amp;INDIRECT("B"&amp;R204&amp;"")&amp;"*",INDIRECT("B"&amp;R204+1&amp;":B210"),0)+R204&amp;""),
IF(AND(LEFT(INDIRECT("B"&amp;R204&amp;""),3)="奈良屋",COUNTIF(B:B,"*奈良屋*")&gt;=2),
INDIRECT("M"&amp;R204&amp;"")+INDIRECT("M"&amp;MATCH("*"&amp;INDIRECT("B"&amp;R204&amp;"")&amp;"*",INDIRECT("B"&amp;R204+1&amp;":B210"),0)+R204&amp;"")
+INDIRECT("M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,
INDIRECT("M"&amp;R204&amp;"")))),"")</f>
        <v/>
      </c>
      <c r="AC204" s="176" t="str">
        <f t="shared" ca="1" si="91"/>
        <v/>
      </c>
      <c r="AD204" s="176" t="str">
        <f t="shared" ca="1" si="92"/>
        <v/>
      </c>
      <c r="AE204" s="176" t="str">
        <f t="shared" ca="1" si="93"/>
        <v/>
      </c>
      <c r="AF204" s="176" t="str">
        <f t="shared" ca="1" si="94"/>
        <v/>
      </c>
      <c r="AG204" s="176" t="str">
        <f t="shared" ca="1" si="95"/>
        <v/>
      </c>
      <c r="AH204" s="183" t="str">
        <f t="shared" ca="1" si="96"/>
        <v/>
      </c>
      <c r="AI204" s="176" t="str">
        <f t="shared" ca="1" si="97"/>
        <v/>
      </c>
      <c r="AJ204" s="176" t="str">
        <f t="shared" ca="1" si="98"/>
        <v/>
      </c>
      <c r="AK204" s="176" t="str">
        <f t="shared" ca="1" si="99"/>
        <v/>
      </c>
      <c r="AL204" s="176" t="str">
        <f t="shared" ca="1" si="100"/>
        <v/>
      </c>
      <c r="AM204" s="176" t="str">
        <f t="shared" ca="1" si="101"/>
        <v/>
      </c>
      <c r="AN204" s="176" t="str">
        <f t="shared" ca="1" si="102"/>
        <v/>
      </c>
      <c r="AO204" s="176" t="str">
        <f t="shared" ca="1" si="103"/>
        <v/>
      </c>
      <c r="AP204" s="176" t="str">
        <f t="shared" ca="1" si="104"/>
        <v/>
      </c>
      <c r="AU204" s="176" t="str">
        <f t="shared" ca="1" si="105"/>
        <v/>
      </c>
    </row>
    <row r="205" spans="1:47" ht="22.2" customHeight="1">
      <c r="A205" s="107">
        <f t="shared" si="86"/>
        <v>135</v>
      </c>
      <c r="B205" s="106" t="str">
        <f t="shared" ca="1" si="106"/>
        <v/>
      </c>
      <c r="C205" s="106" t="str">
        <f>IF(OR(クライアント抽出!D65&lt;&gt;"",クライアント抽出!G65&lt;&gt;""),クライアント抽出!A65,"")</f>
        <v/>
      </c>
      <c r="D205" s="106" t="str">
        <f t="array" aca="1" ref="D205" ca="1">IF(C205&lt;&gt;"",INDIRECT("クライアント抽出!"&amp;E205&amp;MATCH(C205,クライアント抽出!A:A,0)&amp;""),"")</f>
        <v/>
      </c>
      <c r="E205" s="106" t="str">
        <f>IF(H205&lt;&gt;0,
IFERROR(
SUBSTITUTE(ADDRESS(1,
MATCH(VALUE(H205),クライアント抽出!A65:G65,0)+8,4),"1",""),
""),
IFERROR(
SUBSTITUTE(ADDRESS(1,
MATCH(VALUE(I205),クライアント抽出!A65:G65,0)+8,4),"1",""),
""))</f>
        <v/>
      </c>
      <c r="F205" s="187" t="str">
        <f ca="1">IF(D205&lt;&gt;"",
IF(COUNTIF(C205,"*雙葉*"),
IF(ROUND((H205-M205)
/IF(COUNTIF(D205,"*キャラ*"),
VLOOKUP("*キャラ*",商品マスタ!$D:$E,2,FALSE),
IF(COUNTIF(D205,"*赤*"),
VLOOKUP("*赤*",商品マスタ!$D:$E,2,FALSE),
VLOOKUP("*"&amp;D205&amp;"*",商品マスタ!$D:$E,2,FALSE))),0)&lt;=0,1,
ROUND((H205-M205)
/IF(COUNTIF(D205,"*キャラ*"),
VLOOKUP("*キャラ*",商品マスタ!$D:$E,2,FALSE),
IF(COUNTIF(D205,"*赤*"),
VLOOKUP("*赤*",商品マスタ!$D:$E,2,FALSE),
VLOOKUP("*"&amp;D205&amp;"*",商品マスタ!$D:$E,2,FALSE))),0)),
IF(OR(COUNTIF(D205,"*キャラ*"),COUNTIF(D205,"*赤*")),"",
IF(VLOOKUP("*"&amp;D205&amp;"*",商品マスタ!$D:$E,2,FALSE)=0,"",
IF(ROUND((H205-M205)
/VLOOKUP("*"&amp;D205&amp;"*",商品マスタ!$D:$E,2,FALSE),0)&lt;=0,1,
ROUND((H205-M205)
/VLOOKUP("*"&amp;D205&amp;"*",商品マスタ!$D:$E,2,FALSE),0))))),"")</f>
        <v/>
      </c>
      <c r="G205" s="106" t="str">
        <f ca="1">IF(F205&lt;&gt;"",
IF(VALUE(H205-M205)&gt;VALUE(IF(COUNTIF(D205,"*キャラ*"),
VLOOKUP("*キャラ*",商品マスタ!$D:$E,2,FALSE),
IF(COUNTIF(D205,"*赤*"),
VLOOKUP("*赤*",商品マスタ!$D:$E,2,FALSE),
VLOOKUP("*"&amp;D205&amp;"*",商品マスタ!$D:$E,2,FALSE)))*F205),
"+"&amp;(H205-M205)-IF(COUNTIF(D205,"*キャラ*"),
VLOOKUP("*キャラ*",商品マスタ!$D:$E,2,FALSE),
IF(COUNTIF(D205,"*赤*"),
VLOOKUP("*赤*",商品マスタ!$D:$E,2,FALSE),
VLOOKUP("*"&amp;D205&amp;"*",商品マスタ!$D:$E,2,FALSE)))*F205,
(H205-M205)-IF(COUNTIF(D205,"*キャラ*"),
VLOOKUP("*キャラ*",商品マスタ!$D:$E,2,FALSE),
IF(COUNTIF(D205,"*赤*"),
VLOOKUP("*赤*",商品マスタ!$D:$E,2,FALSE),
VLOOKUP("*"&amp;D205&amp;"*",商品マスタ!$D:$E,2,FALSE)))*F205),"")</f>
        <v/>
      </c>
      <c r="H205" s="108" t="str">
        <f>IF(C205&lt;&gt;"",
クライアント抽出!D65,"")</f>
        <v/>
      </c>
      <c r="I205" s="106" t="str">
        <f>IF(C205&lt;&gt;"",
IF(O205=1,0,クライアント抽出!F65),"")</f>
        <v/>
      </c>
      <c r="J205" s="106" t="str">
        <f>IF(C205&lt;&gt;"",
VLOOKUP(
"*"&amp;LEFT(IF(COUNTIF(D205,"*学食*"),"キャラ弁（学食）",
IF(COUNTIF(D205,"*赤*"),"赤",
IF(COUNTIF(D205,"*キャラ弁当*"),"キャラ弁当",D205))),4)&amp;"*",注文弁当の抽出!$F$1:$G$15,2,FALSE),"")</f>
        <v/>
      </c>
      <c r="K205" s="106" t="str">
        <f ca="1">IF(クライアント抽出!R65&lt;&gt;"",SUBSTITUTE(ADDRESS(1,(CODE(クライアント抽出!R65)-64)*2-1,4),"1",""),"")</f>
        <v/>
      </c>
      <c r="L205" s="106" t="str">
        <f>IF(C65&lt;&gt;"",クライアント抽出!I65,"")</f>
        <v/>
      </c>
      <c r="M205" s="106">
        <f t="array" aca="1" ref="M205" ca="1">IF(C205&lt;&gt;"",
IF(K205&lt;&gt;"",INDIRECT("'数出表_Excel（アレルギー入力）'!"&amp;K205&amp;L205-1&amp;""),),)</f>
        <v>0</v>
      </c>
      <c r="N205" s="106" t="str">
        <f>IF(C205&lt;&gt;"",IF(OR(COUNTIF('盛付札（関数）'!D205,"*赤*"),COUNTIF('盛付札（関数）'!D205,"*キャラ*")),1,
VALUE(VLOOKUP("*"&amp;D205&amp;"*",商品マスタ!D:H,5,FALSE))),"")</f>
        <v/>
      </c>
      <c r="O205" s="106">
        <f t="shared" ref="O205:O236" ca="1" si="107">O65</f>
        <v>0</v>
      </c>
      <c r="P205" s="106">
        <f t="shared" si="87"/>
        <v>0</v>
      </c>
      <c r="Q205" s="106" t="b">
        <f t="shared" si="88"/>
        <v>0</v>
      </c>
      <c r="R205" s="176" t="str">
        <f t="array" aca="1" ref="R205" ca="1">IFERROR(SMALL(IF(P$1:P$311&lt;&gt;0,P$1:P$311),ROW(A205)),"")</f>
        <v/>
      </c>
      <c r="S205" s="176" t="str">
        <f t="array" aca="1" ref="S205" ca="1">IF($R205&lt;&gt;"",
SUBSTITUTE(SUBSTITUTE(INDIRECT("C"&amp;$R205&amp;"")," 週3ｺｰｽ","")," 週5ｺｰｽ",""),"")</f>
        <v/>
      </c>
      <c r="T205" s="176" t="str">
        <f t="array" aca="1" ref="T205" ca="1">IF(IF($R205&lt;&gt;"",
INDIRECT(""&amp;IF(COLUMN(D205)&lt;=26,CHAR(COLUMN(D205)+64),CHAR(INT((COLUMN(D205)-1)/26)+64)&amp;CHAR(MOD(COLUMN(D205)-1,26)+65))&amp;$R205&amp;""),"")=0,"",
IF($R205&lt;&gt;"",
INDIRECT(""&amp;IF(COLUMN(D205)&lt;=26,CHAR(COLUMN(D205)+64),CHAR(INT((COLUMN(D205)-1)/26)+64)&amp;CHAR(MOD(COLUMN(D205)-1,26)+65))&amp;$R205&amp;""),""))</f>
        <v/>
      </c>
      <c r="U205" s="218" t="str">
        <f t="array" aca="1" ref="U205" ca="1">IF($R205&lt;&gt;"",
INDIRECT("F"&amp;$R205&amp;""),"")</f>
        <v/>
      </c>
      <c r="V205" s="219" t="str">
        <f t="array" aca="1" ref="V205" ca="1">IF($R205&lt;&gt;"",
INDIRECT("G"&amp;$R205&amp;""),"")</f>
        <v/>
      </c>
      <c r="W205" s="219" t="str" cm="1">
        <f t="array" aca="1" ref="W205" ca="1">IF($R205&lt;&gt;"",
IF(AND(COUNTIF(INDIRECT("B"&amp;R205&amp;""),"*雙葉*"),COUNTIF($B$71:$B$210,"*雙葉*")&gt;=1),
IF(OR(COUNTIF(INDIRECT("B"&amp;R205&amp;""),"*雙葉先生*"),COUNTIF(INDIRECT("B"&amp;R205-1&amp;""),"*雙葉*")),INDIRECT("H"&amp;R205&amp;""),INDIRECT("H"&amp;R205&amp;"")+INDIRECT("H"&amp;MATCH("雙葉'",INDIRECT("B"&amp;R205+3&amp;":B210"),0)+2+R205&amp;"")),
IF(AND(LEFT(INDIRECT("B"&amp;R205&amp;""),2)="博多",COUNTIF(B:B,"*博多*")&gt;=2),
INDIRECT("H"&amp;R205&amp;"")+IFERROR(INDIRECT("H"&amp;MATCH("*"&amp;INDIRECT("B"&amp;R205&amp;"")&amp;"*",INDIRECT("B"&amp;R205+1&amp;":B210"),0)+R205&amp;""),0),
IF(AND(LEFT(INDIRECT("B"&amp;R205&amp;""),3)="奈良屋",COUNTIF(B:B,"*奈良屋*")&gt;=2),
INDIRECT("H"&amp;R205&amp;"")
+INDIRECT("H"&amp;MATCH("*"&amp;INDIRECT("B"&amp;R205&amp;"")&amp;"*",INDIRECT("B"&amp;R205+1&amp;":B210"),0)+R205&amp;"")
+INDIRECT("H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
+INDIRECT("H"&amp;MATCH("*"&amp;INDIRECT("B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&amp;"*",INDIRECT("B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+1&amp;":B210"),0)+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,
INDIRECT("H"&amp;R205&amp;"")))),"")</f>
        <v/>
      </c>
      <c r="X205" s="176" t="str">
        <f t="array" aca="1" ref="X205" ca="1">IF($R205&lt;&gt;"",
INDIRECT(""&amp;IF(COLUMN(I205)&lt;=26,CHAR(COLUMN(I205)+64),CHAR(INT((COLUMN(I205)-1)/26)+64)&amp;CHAR(MOD(COLUMN(I205)-1,26)+65))&amp;$R205&amp;""),"")</f>
        <v/>
      </c>
      <c r="Y205" s="176" t="str">
        <f t="array" aca="1" ref="Y205" ca="1">IF($R205&lt;&gt;"",
INDIRECT(""&amp;IF(COLUMN(J205)&lt;=26,CHAR(COLUMN(J205)+64),CHAR(INT((COLUMN(J205)-1)/26)+64)&amp;CHAR(MOD(COLUMN(J205)-1,26)+65))&amp;$R205&amp;""),"")</f>
        <v/>
      </c>
      <c r="Z205" s="176" t="str">
        <f t="shared" ca="1" si="89"/>
        <v/>
      </c>
      <c r="AA205" s="176" t="str">
        <f t="shared" ca="1" si="90"/>
        <v/>
      </c>
      <c r="AB205" s="176" t="str">
        <f t="array" aca="1" ref="AB205" ca="1">IF($R205&lt;&gt;"",
IF(AND(COUNTIF(INDIRECT("B"&amp;R205&amp;""),"*雙葉*"),COUNTIF(INDIRECT("B"&amp;R205&amp;""),"&lt;&gt;*先生*"),COUNTIF(B:B,"*雙葉*")&gt;=2),
INDIRECT("M"&amp;R205&amp;"")+INDIRECT("M"&amp;MATCH("雙葉'",INDIRECT("B"&amp;R205+1&amp;":B210"),0)+R205&amp;""),
IF(AND(LEFT(INDIRECT("B"&amp;R205&amp;""),2)="博多",COUNTIF(B:B,"*博多*")&gt;=2),
INDIRECT("M"&amp;R205&amp;"")+INDIRECT("M"&amp;MATCH("*"&amp;INDIRECT("B"&amp;R205&amp;"")&amp;"*",INDIRECT("B"&amp;R205+1&amp;":B210"),0)+R205&amp;""),
IF(AND(LEFT(INDIRECT("B"&amp;R205&amp;""),3)="奈良屋",COUNTIF(B:B,"*奈良屋*")&gt;=2),
INDIRECT("M"&amp;R205&amp;"")+INDIRECT("M"&amp;MATCH("*"&amp;INDIRECT("B"&amp;R205&amp;"")&amp;"*",INDIRECT("B"&amp;R205+1&amp;":B210"),0)+R205&amp;"")
+INDIRECT("M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,
INDIRECT("M"&amp;R205&amp;"")))),"")</f>
        <v/>
      </c>
      <c r="AC205" s="176" t="str">
        <f t="shared" ca="1" si="91"/>
        <v/>
      </c>
      <c r="AD205" s="176" t="str">
        <f t="shared" ca="1" si="92"/>
        <v/>
      </c>
      <c r="AE205" s="176" t="str">
        <f t="shared" ca="1" si="93"/>
        <v/>
      </c>
      <c r="AF205" s="176" t="str">
        <f t="shared" ca="1" si="94"/>
        <v/>
      </c>
      <c r="AG205" s="176" t="str">
        <f t="shared" ca="1" si="95"/>
        <v/>
      </c>
      <c r="AH205" s="183" t="str">
        <f t="shared" ca="1" si="96"/>
        <v/>
      </c>
      <c r="AI205" s="176" t="str">
        <f t="shared" ca="1" si="97"/>
        <v/>
      </c>
      <c r="AJ205" s="176" t="str">
        <f t="shared" ca="1" si="98"/>
        <v/>
      </c>
      <c r="AK205" s="176" t="str">
        <f t="shared" ca="1" si="99"/>
        <v/>
      </c>
      <c r="AL205" s="176" t="str">
        <f t="shared" ca="1" si="100"/>
        <v/>
      </c>
      <c r="AM205" s="176" t="str">
        <f t="shared" ca="1" si="101"/>
        <v/>
      </c>
      <c r="AN205" s="176" t="str">
        <f t="shared" ca="1" si="102"/>
        <v/>
      </c>
      <c r="AO205" s="176" t="str">
        <f t="shared" ca="1" si="103"/>
        <v/>
      </c>
      <c r="AP205" s="176" t="str">
        <f t="shared" ca="1" si="104"/>
        <v/>
      </c>
      <c r="AU205" s="176" t="str">
        <f t="shared" ca="1" si="105"/>
        <v/>
      </c>
    </row>
    <row r="206" spans="1:47" ht="22.2" customHeight="1">
      <c r="A206" s="107">
        <f t="shared" si="86"/>
        <v>137</v>
      </c>
      <c r="B206" s="106" t="str">
        <f t="shared" ca="1" si="106"/>
        <v/>
      </c>
      <c r="C206" s="106" t="str">
        <f>IF(OR(クライアント抽出!D66&lt;&gt;"",クライアント抽出!G66&lt;&gt;""),クライアント抽出!A66,"")</f>
        <v/>
      </c>
      <c r="D206" s="106" t="str">
        <f t="array" aca="1" ref="D206" ca="1">IF(C206&lt;&gt;"",INDIRECT("クライアント抽出!"&amp;E206&amp;MATCH(C206,クライアント抽出!A:A,0)&amp;""),"")</f>
        <v/>
      </c>
      <c r="E206" s="106" t="str">
        <f>IF(H206&lt;&gt;0,
IFERROR(
SUBSTITUTE(ADDRESS(1,
MATCH(VALUE(H206),クライアント抽出!A66:G66,0)+8,4),"1",""),
""),
IFERROR(
SUBSTITUTE(ADDRESS(1,
MATCH(VALUE(I206),クライアント抽出!A66:G66,0)+8,4),"1",""),
""))</f>
        <v/>
      </c>
      <c r="F206" s="187" t="str">
        <f ca="1">IF(D206&lt;&gt;"",
IF(COUNTIF(C206,"*雙葉*"),
IF(ROUND((H206-M206)
/IF(COUNTIF(D206,"*キャラ*"),
VLOOKUP("*キャラ*",商品マスタ!$D:$E,2,FALSE),
IF(COUNTIF(D206,"*赤*"),
VLOOKUP("*赤*",商品マスタ!$D:$E,2,FALSE),
VLOOKUP("*"&amp;D206&amp;"*",商品マスタ!$D:$E,2,FALSE))),0)&lt;=0,1,
ROUND((H206-M206)
/IF(COUNTIF(D206,"*キャラ*"),
VLOOKUP("*キャラ*",商品マスタ!$D:$E,2,FALSE),
IF(COUNTIF(D206,"*赤*"),
VLOOKUP("*赤*",商品マスタ!$D:$E,2,FALSE),
VLOOKUP("*"&amp;D206&amp;"*",商品マスタ!$D:$E,2,FALSE))),0)),
IF(OR(COUNTIF(D206,"*キャラ*"),COUNTIF(D206,"*赤*")),"",
IF(VLOOKUP("*"&amp;D206&amp;"*",商品マスタ!$D:$E,2,FALSE)=0,"",
IF(ROUND((H206-M206)
/VLOOKUP("*"&amp;D206&amp;"*",商品マスタ!$D:$E,2,FALSE),0)&lt;=0,1,
ROUND((H206-M206)
/VLOOKUP("*"&amp;D206&amp;"*",商品マスタ!$D:$E,2,FALSE),0))))),"")</f>
        <v/>
      </c>
      <c r="G206" s="106" t="str">
        <f ca="1">IF(F206&lt;&gt;"",
IF(VALUE(H206-M206)&gt;VALUE(IF(COUNTIF(D206,"*キャラ*"),
VLOOKUP("*キャラ*",商品マスタ!$D:$E,2,FALSE),
IF(COUNTIF(D206,"*赤*"),
VLOOKUP("*赤*",商品マスタ!$D:$E,2,FALSE),
VLOOKUP("*"&amp;D206&amp;"*",商品マスタ!$D:$E,2,FALSE)))*F206),
"+"&amp;(H206-M206)-IF(COUNTIF(D206,"*キャラ*"),
VLOOKUP("*キャラ*",商品マスタ!$D:$E,2,FALSE),
IF(COUNTIF(D206,"*赤*"),
VLOOKUP("*赤*",商品マスタ!$D:$E,2,FALSE),
VLOOKUP("*"&amp;D206&amp;"*",商品マスタ!$D:$E,2,FALSE)))*F206,
(H206-M206)-IF(COUNTIF(D206,"*キャラ*"),
VLOOKUP("*キャラ*",商品マスタ!$D:$E,2,FALSE),
IF(COUNTIF(D206,"*赤*"),
VLOOKUP("*赤*",商品マスタ!$D:$E,2,FALSE),
VLOOKUP("*"&amp;D206&amp;"*",商品マスタ!$D:$E,2,FALSE)))*F206),"")</f>
        <v/>
      </c>
      <c r="H206" s="108" t="str">
        <f>IF(C206&lt;&gt;"",
クライアント抽出!D66,"")</f>
        <v/>
      </c>
      <c r="I206" s="106" t="str">
        <f>IF(C206&lt;&gt;"",
IF(O206=1,0,クライアント抽出!F66),"")</f>
        <v/>
      </c>
      <c r="J206" s="106" t="str">
        <f>IF(C206&lt;&gt;"",
VLOOKUP(
"*"&amp;LEFT(IF(COUNTIF(D206,"*学食*"),"キャラ弁（学食）",
IF(COUNTIF(D206,"*赤*"),"赤",
IF(COUNTIF(D206,"*キャラ弁当*"),"キャラ弁当",D206))),4)&amp;"*",注文弁当の抽出!$F$1:$G$15,2,FALSE),"")</f>
        <v/>
      </c>
      <c r="K206" s="106" t="str">
        <f ca="1">IF(クライアント抽出!R66&lt;&gt;"",SUBSTITUTE(ADDRESS(1,(CODE(クライアント抽出!R66)-64)*2-1,4),"1",""),"")</f>
        <v/>
      </c>
      <c r="L206" s="106" t="str">
        <f>IF(C66&lt;&gt;"",クライアント抽出!I66,"")</f>
        <v/>
      </c>
      <c r="M206" s="106">
        <f t="array" aca="1" ref="M206" ca="1">IF(C206&lt;&gt;"",
IF(K206&lt;&gt;"",INDIRECT("'数出表_Excel（アレルギー入力）'!"&amp;K206&amp;L206-1&amp;""),),)</f>
        <v>0</v>
      </c>
      <c r="N206" s="106" t="str">
        <f>IF(C206&lt;&gt;"",IF(OR(COUNTIF('盛付札（関数）'!D206,"*赤*"),COUNTIF('盛付札（関数）'!D206,"*キャラ*")),1,
VALUE(VLOOKUP("*"&amp;D206&amp;"*",商品マスタ!D:H,5,FALSE))),"")</f>
        <v/>
      </c>
      <c r="O206" s="106">
        <f t="shared" ca="1" si="107"/>
        <v>0</v>
      </c>
      <c r="P206" s="106">
        <f t="shared" si="87"/>
        <v>0</v>
      </c>
      <c r="Q206" s="106" t="b">
        <f t="shared" si="88"/>
        <v>0</v>
      </c>
      <c r="R206" s="176" t="str">
        <f t="array" aca="1" ref="R206" ca="1">IFERROR(SMALL(IF(P$1:P$311&lt;&gt;0,P$1:P$311),ROW(A206)),"")</f>
        <v/>
      </c>
      <c r="S206" s="176" t="str">
        <f t="array" aca="1" ref="S206" ca="1">IF($R206&lt;&gt;"",
SUBSTITUTE(SUBSTITUTE(INDIRECT("C"&amp;$R206&amp;"")," 週3ｺｰｽ","")," 週5ｺｰｽ",""),"")</f>
        <v/>
      </c>
      <c r="T206" s="176" t="str">
        <f t="array" aca="1" ref="T206" ca="1">IF(IF($R206&lt;&gt;"",
INDIRECT(""&amp;IF(COLUMN(D206)&lt;=26,CHAR(COLUMN(D206)+64),CHAR(INT((COLUMN(D206)-1)/26)+64)&amp;CHAR(MOD(COLUMN(D206)-1,26)+65))&amp;$R206&amp;""),"")=0,"",
IF($R206&lt;&gt;"",
INDIRECT(""&amp;IF(COLUMN(D206)&lt;=26,CHAR(COLUMN(D206)+64),CHAR(INT((COLUMN(D206)-1)/26)+64)&amp;CHAR(MOD(COLUMN(D206)-1,26)+65))&amp;$R206&amp;""),""))</f>
        <v/>
      </c>
      <c r="U206" s="218" t="str">
        <f t="array" aca="1" ref="U206" ca="1">IF($R206&lt;&gt;"",
INDIRECT("F"&amp;$R206&amp;""),"")</f>
        <v/>
      </c>
      <c r="V206" s="219" t="str">
        <f t="array" aca="1" ref="V206" ca="1">IF($R206&lt;&gt;"",
INDIRECT("G"&amp;$R206&amp;""),"")</f>
        <v/>
      </c>
      <c r="W206" s="219" t="str" cm="1">
        <f t="array" aca="1" ref="W206" ca="1">IF($R206&lt;&gt;"",
IF(AND(COUNTIF(INDIRECT("B"&amp;R206&amp;""),"*雙葉*"),COUNTIF($B$71:$B$210,"*雙葉*")&gt;=1),
IF(OR(COUNTIF(INDIRECT("B"&amp;R206&amp;""),"*雙葉先生*"),COUNTIF(INDIRECT("B"&amp;R206-1&amp;""),"*雙葉*")),INDIRECT("H"&amp;R206&amp;""),INDIRECT("H"&amp;R206&amp;"")+INDIRECT("H"&amp;MATCH("雙葉'",INDIRECT("B"&amp;R206+3&amp;":B210"),0)+2+R206&amp;"")),
IF(AND(LEFT(INDIRECT("B"&amp;R206&amp;""),2)="博多",COUNTIF(B:B,"*博多*")&gt;=2),
INDIRECT("H"&amp;R206&amp;"")+IFERROR(INDIRECT("H"&amp;MATCH("*"&amp;INDIRECT("B"&amp;R206&amp;"")&amp;"*",INDIRECT("B"&amp;R206+1&amp;":B210"),0)+R206&amp;""),0),
IF(AND(LEFT(INDIRECT("B"&amp;R206&amp;""),3)="奈良屋",COUNTIF(B:B,"*奈良屋*")&gt;=2),
INDIRECT("H"&amp;R206&amp;"")
+INDIRECT("H"&amp;MATCH("*"&amp;INDIRECT("B"&amp;R206&amp;"")&amp;"*",INDIRECT("B"&amp;R206+1&amp;":B210"),0)+R206&amp;"")
+INDIRECT("H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
+INDIRECT("H"&amp;MATCH("*"&amp;INDIRECT("B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&amp;"*",INDIRECT("B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+1&amp;":B210"),0)+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,
INDIRECT("H"&amp;R206&amp;"")))),"")</f>
        <v/>
      </c>
      <c r="X206" s="176" t="str">
        <f t="array" aca="1" ref="X206" ca="1">IF($R206&lt;&gt;"",
INDIRECT(""&amp;IF(COLUMN(I206)&lt;=26,CHAR(COLUMN(I206)+64),CHAR(INT((COLUMN(I206)-1)/26)+64)&amp;CHAR(MOD(COLUMN(I206)-1,26)+65))&amp;$R206&amp;""),"")</f>
        <v/>
      </c>
      <c r="Y206" s="176" t="str">
        <f t="array" aca="1" ref="Y206" ca="1">IF($R206&lt;&gt;"",
INDIRECT(""&amp;IF(COLUMN(J206)&lt;=26,CHAR(COLUMN(J206)+64),CHAR(INT((COLUMN(J206)-1)/26)+64)&amp;CHAR(MOD(COLUMN(J206)-1,26)+65))&amp;$R206&amp;""),"")</f>
        <v/>
      </c>
      <c r="Z206" s="176" t="str">
        <f t="shared" ca="1" si="89"/>
        <v/>
      </c>
      <c r="AA206" s="176" t="str">
        <f t="shared" ca="1" si="90"/>
        <v/>
      </c>
      <c r="AB206" s="176" t="str">
        <f t="array" aca="1" ref="AB206" ca="1">IF($R206&lt;&gt;"",
IF(AND(COUNTIF(INDIRECT("B"&amp;R206&amp;""),"*雙葉*"),COUNTIF(INDIRECT("B"&amp;R206&amp;""),"&lt;&gt;*先生*"),COUNTIF(B:B,"*雙葉*")&gt;=2),
INDIRECT("M"&amp;R206&amp;"")+INDIRECT("M"&amp;MATCH("雙葉'",INDIRECT("B"&amp;R206+1&amp;":B210"),0)+R206&amp;""),
IF(AND(LEFT(INDIRECT("B"&amp;R206&amp;""),2)="博多",COUNTIF(B:B,"*博多*")&gt;=2),
INDIRECT("M"&amp;R206&amp;"")+INDIRECT("M"&amp;MATCH("*"&amp;INDIRECT("B"&amp;R206&amp;"")&amp;"*",INDIRECT("B"&amp;R206+1&amp;":B210"),0)+R206&amp;""),
IF(AND(LEFT(INDIRECT("B"&amp;R206&amp;""),3)="奈良屋",COUNTIF(B:B,"*奈良屋*")&gt;=2),
INDIRECT("M"&amp;R206&amp;"")+INDIRECT("M"&amp;MATCH("*"&amp;INDIRECT("B"&amp;R206&amp;"")&amp;"*",INDIRECT("B"&amp;R206+1&amp;":B210"),0)+R206&amp;"")
+INDIRECT("M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,
INDIRECT("M"&amp;R206&amp;"")))),"")</f>
        <v/>
      </c>
      <c r="AC206" s="176" t="str">
        <f t="shared" ca="1" si="91"/>
        <v/>
      </c>
      <c r="AD206" s="176" t="str">
        <f t="shared" ca="1" si="92"/>
        <v/>
      </c>
      <c r="AE206" s="176" t="str">
        <f t="shared" ca="1" si="93"/>
        <v/>
      </c>
      <c r="AF206" s="176" t="str">
        <f t="shared" ca="1" si="94"/>
        <v/>
      </c>
      <c r="AG206" s="176" t="str">
        <f t="shared" ca="1" si="95"/>
        <v/>
      </c>
      <c r="AH206" s="183" t="str">
        <f t="shared" ca="1" si="96"/>
        <v/>
      </c>
      <c r="AI206" s="176" t="str">
        <f t="shared" ca="1" si="97"/>
        <v/>
      </c>
      <c r="AJ206" s="176" t="str">
        <f t="shared" ca="1" si="98"/>
        <v/>
      </c>
      <c r="AK206" s="176" t="str">
        <f t="shared" ca="1" si="99"/>
        <v/>
      </c>
      <c r="AL206" s="176" t="str">
        <f t="shared" ca="1" si="100"/>
        <v/>
      </c>
      <c r="AM206" s="176" t="str">
        <f t="shared" ca="1" si="101"/>
        <v/>
      </c>
      <c r="AN206" s="176" t="str">
        <f t="shared" ca="1" si="102"/>
        <v/>
      </c>
      <c r="AO206" s="176" t="str">
        <f t="shared" ca="1" si="103"/>
        <v/>
      </c>
      <c r="AP206" s="176" t="str">
        <f t="shared" ca="1" si="104"/>
        <v/>
      </c>
      <c r="AU206" s="176" t="str">
        <f t="shared" ca="1" si="105"/>
        <v/>
      </c>
    </row>
    <row r="207" spans="1:47" ht="22.2" customHeight="1">
      <c r="A207" s="107">
        <f t="shared" si="86"/>
        <v>139</v>
      </c>
      <c r="B207" s="106" t="str">
        <f t="shared" ca="1" si="106"/>
        <v/>
      </c>
      <c r="C207" s="106" t="str">
        <f>IF(OR(クライアント抽出!D67&lt;&gt;"",クライアント抽出!G67&lt;&gt;""),クライアント抽出!A67,"")</f>
        <v/>
      </c>
      <c r="D207" s="106" t="str">
        <f t="array" aca="1" ref="D207" ca="1">IF(C207&lt;&gt;"",INDIRECT("クライアント抽出!"&amp;E207&amp;MATCH(C207,クライアント抽出!A:A,0)&amp;""),"")</f>
        <v/>
      </c>
      <c r="E207" s="106" t="str">
        <f>IF(H207&lt;&gt;0,
IFERROR(
SUBSTITUTE(ADDRESS(1,
MATCH(VALUE(H207),クライアント抽出!A67:G67,0)+8,4),"1",""),
""),
IFERROR(
SUBSTITUTE(ADDRESS(1,
MATCH(VALUE(I207),クライアント抽出!A67:G67,0)+8,4),"1",""),
""))</f>
        <v/>
      </c>
      <c r="F207" s="187" t="str">
        <f ca="1">IF(D207&lt;&gt;"",
IF(COUNTIF(C207,"*雙葉*"),
IF(ROUND((H207-M207)
/IF(COUNTIF(D207,"*キャラ*"),
VLOOKUP("*キャラ*",商品マスタ!$D:$E,2,FALSE),
IF(COUNTIF(D207,"*赤*"),
VLOOKUP("*赤*",商品マスタ!$D:$E,2,FALSE),
VLOOKUP("*"&amp;D207&amp;"*",商品マスタ!$D:$E,2,FALSE))),0)&lt;=0,1,
ROUND((H207-M207)
/IF(COUNTIF(D207,"*キャラ*"),
VLOOKUP("*キャラ*",商品マスタ!$D:$E,2,FALSE),
IF(COUNTIF(D207,"*赤*"),
VLOOKUP("*赤*",商品マスタ!$D:$E,2,FALSE),
VLOOKUP("*"&amp;D207&amp;"*",商品マスタ!$D:$E,2,FALSE))),0)),
IF(OR(COUNTIF(D207,"*キャラ*"),COUNTIF(D207,"*赤*")),"",
IF(VLOOKUP("*"&amp;D207&amp;"*",商品マスタ!$D:$E,2,FALSE)=0,"",
IF(ROUND((H207-M207)
/VLOOKUP("*"&amp;D207&amp;"*",商品マスタ!$D:$E,2,FALSE),0)&lt;=0,1,
ROUND((H207-M207)
/VLOOKUP("*"&amp;D207&amp;"*",商品マスタ!$D:$E,2,FALSE),0))))),"")</f>
        <v/>
      </c>
      <c r="G207" s="106" t="str">
        <f ca="1">IF(F207&lt;&gt;"",
IF(VALUE(H207-M207)&gt;VALUE(IF(COUNTIF(D207,"*キャラ*"),
VLOOKUP("*キャラ*",商品マスタ!$D:$E,2,FALSE),
IF(COUNTIF(D207,"*赤*"),
VLOOKUP("*赤*",商品マスタ!$D:$E,2,FALSE),
VLOOKUP("*"&amp;D207&amp;"*",商品マスタ!$D:$E,2,FALSE)))*F207),
"+"&amp;(H207-M207)-IF(COUNTIF(D207,"*キャラ*"),
VLOOKUP("*キャラ*",商品マスタ!$D:$E,2,FALSE),
IF(COUNTIF(D207,"*赤*"),
VLOOKUP("*赤*",商品マスタ!$D:$E,2,FALSE),
VLOOKUP("*"&amp;D207&amp;"*",商品マスタ!$D:$E,2,FALSE)))*F207,
(H207-M207)-IF(COUNTIF(D207,"*キャラ*"),
VLOOKUP("*キャラ*",商品マスタ!$D:$E,2,FALSE),
IF(COUNTIF(D207,"*赤*"),
VLOOKUP("*赤*",商品マスタ!$D:$E,2,FALSE),
VLOOKUP("*"&amp;D207&amp;"*",商品マスタ!$D:$E,2,FALSE)))*F207),"")</f>
        <v/>
      </c>
      <c r="H207" s="108" t="str">
        <f>IF(C207&lt;&gt;"",
クライアント抽出!D67,"")</f>
        <v/>
      </c>
      <c r="I207" s="106" t="str">
        <f>IF(C207&lt;&gt;"",
IF(O207=1,0,クライアント抽出!F67),"")</f>
        <v/>
      </c>
      <c r="J207" s="106" t="str">
        <f>IF(C207&lt;&gt;"",
VLOOKUP(
"*"&amp;LEFT(IF(COUNTIF(D207,"*学食*"),"キャラ弁（学食）",
IF(COUNTIF(D207,"*赤*"),"赤",
IF(COUNTIF(D207,"*キャラ弁当*"),"キャラ弁当",D207))),4)&amp;"*",注文弁当の抽出!$F$1:$G$15,2,FALSE),"")</f>
        <v/>
      </c>
      <c r="K207" s="106" t="str">
        <f ca="1">IF(クライアント抽出!R67&lt;&gt;"",SUBSTITUTE(ADDRESS(1,(CODE(クライアント抽出!R67)-64)*2-1,4),"1",""),"")</f>
        <v/>
      </c>
      <c r="L207" s="106" t="str">
        <f>IF(C67&lt;&gt;"",クライアント抽出!I67,"")</f>
        <v/>
      </c>
      <c r="M207" s="106">
        <f t="array" aca="1" ref="M207" ca="1">IF(C207&lt;&gt;"",
IF(K207&lt;&gt;"",INDIRECT("'数出表_Excel（アレルギー入力）'!"&amp;K207&amp;L207-1&amp;""),),)</f>
        <v>0</v>
      </c>
      <c r="N207" s="106" t="str">
        <f>IF(C207&lt;&gt;"",IF(OR(COUNTIF('盛付札（関数）'!D207,"*赤*"),COUNTIF('盛付札（関数）'!D207,"*キャラ*")),1,
VALUE(VLOOKUP("*"&amp;D207&amp;"*",商品マスタ!D:H,5,FALSE))),"")</f>
        <v/>
      </c>
      <c r="O207" s="106">
        <f t="shared" ca="1" si="107"/>
        <v>0</v>
      </c>
      <c r="P207" s="106">
        <f t="shared" si="87"/>
        <v>0</v>
      </c>
      <c r="Q207" s="106" t="b">
        <f t="shared" si="88"/>
        <v>0</v>
      </c>
      <c r="R207" s="176" t="str">
        <f t="array" aca="1" ref="R207" ca="1">IFERROR(SMALL(IF(P$1:P$311&lt;&gt;0,P$1:P$311),ROW(A207)),"")</f>
        <v/>
      </c>
      <c r="S207" s="176" t="str">
        <f t="array" aca="1" ref="S207" ca="1">IF($R207&lt;&gt;"",
SUBSTITUTE(SUBSTITUTE(INDIRECT("C"&amp;$R207&amp;"")," 週3ｺｰｽ","")," 週5ｺｰｽ",""),"")</f>
        <v/>
      </c>
      <c r="T207" s="176" t="str">
        <f t="array" aca="1" ref="T207" ca="1">IF(IF($R207&lt;&gt;"",
INDIRECT(""&amp;IF(COLUMN(D207)&lt;=26,CHAR(COLUMN(D207)+64),CHAR(INT((COLUMN(D207)-1)/26)+64)&amp;CHAR(MOD(COLUMN(D207)-1,26)+65))&amp;$R207&amp;""),"")=0,"",
IF($R207&lt;&gt;"",
INDIRECT(""&amp;IF(COLUMN(D207)&lt;=26,CHAR(COLUMN(D207)+64),CHAR(INT((COLUMN(D207)-1)/26)+64)&amp;CHAR(MOD(COLUMN(D207)-1,26)+65))&amp;$R207&amp;""),""))</f>
        <v/>
      </c>
      <c r="U207" s="218" t="str">
        <f t="array" aca="1" ref="U207" ca="1">IF($R207&lt;&gt;"",
INDIRECT("F"&amp;$R207&amp;""),"")</f>
        <v/>
      </c>
      <c r="V207" s="219" t="str">
        <f t="array" aca="1" ref="V207" ca="1">IF($R207&lt;&gt;"",
INDIRECT("G"&amp;$R207&amp;""),"")</f>
        <v/>
      </c>
      <c r="W207" s="219" t="str" cm="1">
        <f t="array" aca="1" ref="W207" ca="1">IF($R207&lt;&gt;"",
IF(AND(COUNTIF(INDIRECT("B"&amp;R207&amp;""),"*雙葉*"),COUNTIF($B$71:$B$210,"*雙葉*")&gt;=1),
IF(OR(COUNTIF(INDIRECT("B"&amp;R207&amp;""),"*雙葉先生*"),COUNTIF(INDIRECT("B"&amp;R207-1&amp;""),"*雙葉*")),INDIRECT("H"&amp;R207&amp;""),INDIRECT("H"&amp;R207&amp;"")+INDIRECT("H"&amp;MATCH("雙葉'",INDIRECT("B"&amp;R207+3&amp;":B210"),0)+2+R207&amp;"")),
IF(AND(LEFT(INDIRECT("B"&amp;R207&amp;""),2)="博多",COUNTIF(B:B,"*博多*")&gt;=2),
INDIRECT("H"&amp;R207&amp;"")+IFERROR(INDIRECT("H"&amp;MATCH("*"&amp;INDIRECT("B"&amp;R207&amp;"")&amp;"*",INDIRECT("B"&amp;R207+1&amp;":B210"),0)+R207&amp;""),0),
IF(AND(LEFT(INDIRECT("B"&amp;R207&amp;""),3)="奈良屋",COUNTIF(B:B,"*奈良屋*")&gt;=2),
INDIRECT("H"&amp;R207&amp;"")
+INDIRECT("H"&amp;MATCH("*"&amp;INDIRECT("B"&amp;R207&amp;"")&amp;"*",INDIRECT("B"&amp;R207+1&amp;":B210"),0)+R207&amp;"")
+INDIRECT("H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
+INDIRECT("H"&amp;MATCH("*"&amp;INDIRECT("B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&amp;"*",INDIRECT("B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+1&amp;":B210"),0)+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,
INDIRECT("H"&amp;R207&amp;"")))),"")</f>
        <v/>
      </c>
      <c r="X207" s="176" t="str">
        <f t="array" aca="1" ref="X207" ca="1">IF($R207&lt;&gt;"",
INDIRECT(""&amp;IF(COLUMN(I207)&lt;=26,CHAR(COLUMN(I207)+64),CHAR(INT((COLUMN(I207)-1)/26)+64)&amp;CHAR(MOD(COLUMN(I207)-1,26)+65))&amp;$R207&amp;""),"")</f>
        <v/>
      </c>
      <c r="Y207" s="176" t="str">
        <f t="array" aca="1" ref="Y207" ca="1">IF($R207&lt;&gt;"",
INDIRECT(""&amp;IF(COLUMN(J207)&lt;=26,CHAR(COLUMN(J207)+64),CHAR(INT((COLUMN(J207)-1)/26)+64)&amp;CHAR(MOD(COLUMN(J207)-1,26)+65))&amp;$R207&amp;""),"")</f>
        <v/>
      </c>
      <c r="Z207" s="176" t="str">
        <f t="shared" ca="1" si="89"/>
        <v/>
      </c>
      <c r="AA207" s="176" t="str">
        <f t="shared" ca="1" si="90"/>
        <v/>
      </c>
      <c r="AB207" s="176" t="str">
        <f t="array" aca="1" ref="AB207" ca="1">IF($R207&lt;&gt;"",
IF(AND(COUNTIF(INDIRECT("B"&amp;R207&amp;""),"*雙葉*"),COUNTIF(INDIRECT("B"&amp;R207&amp;""),"&lt;&gt;*先生*"),COUNTIF(B:B,"*雙葉*")&gt;=2),
INDIRECT("M"&amp;R207&amp;"")+INDIRECT("M"&amp;MATCH("雙葉'",INDIRECT("B"&amp;R207+1&amp;":B210"),0)+R207&amp;""),
IF(AND(LEFT(INDIRECT("B"&amp;R207&amp;""),2)="博多",COUNTIF(B:B,"*博多*")&gt;=2),
INDIRECT("M"&amp;R207&amp;"")+INDIRECT("M"&amp;MATCH("*"&amp;INDIRECT("B"&amp;R207&amp;"")&amp;"*",INDIRECT("B"&amp;R207+1&amp;":B210"),0)+R207&amp;""),
IF(AND(LEFT(INDIRECT("B"&amp;R207&amp;""),3)="奈良屋",COUNTIF(B:B,"*奈良屋*")&gt;=2),
INDIRECT("M"&amp;R207&amp;"")+INDIRECT("M"&amp;MATCH("*"&amp;INDIRECT("B"&amp;R207&amp;"")&amp;"*",INDIRECT("B"&amp;R207+1&amp;":B210"),0)+R207&amp;"")
+INDIRECT("M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,
INDIRECT("M"&amp;R207&amp;"")))),"")</f>
        <v/>
      </c>
      <c r="AC207" s="176" t="str">
        <f t="shared" ca="1" si="91"/>
        <v/>
      </c>
      <c r="AD207" s="176" t="str">
        <f t="shared" ca="1" si="92"/>
        <v/>
      </c>
      <c r="AE207" s="176" t="str">
        <f t="shared" ca="1" si="93"/>
        <v/>
      </c>
      <c r="AF207" s="176" t="str">
        <f t="shared" ca="1" si="94"/>
        <v/>
      </c>
      <c r="AG207" s="176" t="str">
        <f t="shared" ca="1" si="95"/>
        <v/>
      </c>
      <c r="AH207" s="183" t="str">
        <f t="shared" ca="1" si="96"/>
        <v/>
      </c>
      <c r="AI207" s="176" t="str">
        <f t="shared" ca="1" si="97"/>
        <v/>
      </c>
      <c r="AJ207" s="176" t="str">
        <f t="shared" ca="1" si="98"/>
        <v/>
      </c>
      <c r="AK207" s="176" t="str">
        <f t="shared" ca="1" si="99"/>
        <v/>
      </c>
      <c r="AL207" s="176" t="str">
        <f t="shared" ca="1" si="100"/>
        <v/>
      </c>
      <c r="AM207" s="176" t="str">
        <f t="shared" ca="1" si="101"/>
        <v/>
      </c>
      <c r="AN207" s="176" t="str">
        <f t="shared" ca="1" si="102"/>
        <v/>
      </c>
      <c r="AO207" s="176" t="str">
        <f t="shared" ca="1" si="103"/>
        <v/>
      </c>
      <c r="AP207" s="176" t="str">
        <f t="shared" ca="1" si="104"/>
        <v/>
      </c>
      <c r="AU207" s="176" t="str">
        <f t="shared" ca="1" si="105"/>
        <v/>
      </c>
    </row>
    <row r="208" spans="1:47" ht="22.2" customHeight="1">
      <c r="A208" s="107">
        <f t="shared" si="86"/>
        <v>141</v>
      </c>
      <c r="B208" s="106" t="str">
        <f t="shared" ca="1" si="106"/>
        <v/>
      </c>
      <c r="C208" s="106" t="str">
        <f>IF(OR(クライアント抽出!D68&lt;&gt;"",クライアント抽出!G68&lt;&gt;""),クライアント抽出!A68,"")</f>
        <v/>
      </c>
      <c r="D208" s="106" t="str">
        <f t="array" aca="1" ref="D208" ca="1">IF(C208&lt;&gt;"",INDIRECT("クライアント抽出!"&amp;E208&amp;MATCH(C208,クライアント抽出!A:A,0)&amp;""),"")</f>
        <v/>
      </c>
      <c r="E208" s="106" t="str">
        <f>IF(H208&lt;&gt;0,
IFERROR(
SUBSTITUTE(ADDRESS(1,
MATCH(VALUE(H208),クライアント抽出!A68:G68,0)+8,4),"1",""),
""),
IFERROR(
SUBSTITUTE(ADDRESS(1,
MATCH(VALUE(I208),クライアント抽出!A68:G68,0)+8,4),"1",""),
""))</f>
        <v/>
      </c>
      <c r="F208" s="187" t="str">
        <f ca="1">IF(D208&lt;&gt;"",
IF(COUNTIF(C208,"*雙葉*"),
IF(ROUND((H208-M208)
/IF(COUNTIF(D208,"*キャラ*"),
VLOOKUP("*キャラ*",商品マスタ!$D:$E,2,FALSE),
IF(COUNTIF(D208,"*赤*"),
VLOOKUP("*赤*",商品マスタ!$D:$E,2,FALSE),
VLOOKUP("*"&amp;D208&amp;"*",商品マスタ!$D:$E,2,FALSE))),0)&lt;=0,1,
ROUND((H208-M208)
/IF(COUNTIF(D208,"*キャラ*"),
VLOOKUP("*キャラ*",商品マスタ!$D:$E,2,FALSE),
IF(COUNTIF(D208,"*赤*"),
VLOOKUP("*赤*",商品マスタ!$D:$E,2,FALSE),
VLOOKUP("*"&amp;D208&amp;"*",商品マスタ!$D:$E,2,FALSE))),0)),
IF(OR(COUNTIF(D208,"*キャラ*"),COUNTIF(D208,"*赤*")),"",
IF(VLOOKUP("*"&amp;D208&amp;"*",商品マスタ!$D:$E,2,FALSE)=0,"",
IF(ROUND((H208-M208)
/VLOOKUP("*"&amp;D208&amp;"*",商品マスタ!$D:$E,2,FALSE),0)&lt;=0,1,
ROUND((H208-M208)
/VLOOKUP("*"&amp;D208&amp;"*",商品マスタ!$D:$E,2,FALSE),0))))),"")</f>
        <v/>
      </c>
      <c r="G208" s="106" t="str">
        <f ca="1">IF(F208&lt;&gt;"",
IF(VALUE(H208-M208)&gt;VALUE(IF(COUNTIF(D208,"*キャラ*"),
VLOOKUP("*キャラ*",商品マスタ!$D:$E,2,FALSE),
IF(COUNTIF(D208,"*赤*"),
VLOOKUP("*赤*",商品マスタ!$D:$E,2,FALSE),
VLOOKUP("*"&amp;D208&amp;"*",商品マスタ!$D:$E,2,FALSE)))*F208),
"+"&amp;(H208-M208)-IF(COUNTIF(D208,"*キャラ*"),
VLOOKUP("*キャラ*",商品マスタ!$D:$E,2,FALSE),
IF(COUNTIF(D208,"*赤*"),
VLOOKUP("*赤*",商品マスタ!$D:$E,2,FALSE),
VLOOKUP("*"&amp;D208&amp;"*",商品マスタ!$D:$E,2,FALSE)))*F208,
(H208-M208)-IF(COUNTIF(D208,"*キャラ*"),
VLOOKUP("*キャラ*",商品マスタ!$D:$E,2,FALSE),
IF(COUNTIF(D208,"*赤*"),
VLOOKUP("*赤*",商品マスタ!$D:$E,2,FALSE),
VLOOKUP("*"&amp;D208&amp;"*",商品マスタ!$D:$E,2,FALSE)))*F208),"")</f>
        <v/>
      </c>
      <c r="H208" s="108" t="str">
        <f>IF(C208&lt;&gt;"",
クライアント抽出!D68,"")</f>
        <v/>
      </c>
      <c r="I208" s="106" t="str">
        <f>IF(C208&lt;&gt;"",
IF(O208=1,0,クライアント抽出!F68),"")</f>
        <v/>
      </c>
      <c r="J208" s="106" t="str">
        <f>IF(C208&lt;&gt;"",
VLOOKUP(
"*"&amp;LEFT(IF(COUNTIF(D208,"*学食*"),"キャラ弁（学食）",
IF(COUNTIF(D208,"*赤*"),"赤",
IF(COUNTIF(D208,"*キャラ弁当*"),"キャラ弁当",D208))),4)&amp;"*",注文弁当の抽出!$F$1:$G$15,2,FALSE),"")</f>
        <v/>
      </c>
      <c r="K208" s="106" t="str">
        <f ca="1">IF(クライアント抽出!R68&lt;&gt;"",SUBSTITUTE(ADDRESS(1,(CODE(クライアント抽出!R68)-64)*2-1,4),"1",""),"")</f>
        <v/>
      </c>
      <c r="L208" s="106" t="str">
        <f>IF(C68&lt;&gt;"",クライアント抽出!I68,"")</f>
        <v/>
      </c>
      <c r="M208" s="106">
        <f t="array" aca="1" ref="M208" ca="1">IF(C208&lt;&gt;"",
IF(K208&lt;&gt;"",INDIRECT("'数出表_Excel（アレルギー入力）'!"&amp;K208&amp;L208-1&amp;""),),)</f>
        <v>0</v>
      </c>
      <c r="N208" s="106" t="str">
        <f>IF(C208&lt;&gt;"",IF(OR(COUNTIF('盛付札（関数）'!D208,"*赤*"),COUNTIF('盛付札（関数）'!D208,"*キャラ*")),1,
VALUE(VLOOKUP("*"&amp;D208&amp;"*",商品マスタ!D:H,5,FALSE))),"")</f>
        <v/>
      </c>
      <c r="O208" s="106">
        <f t="shared" ca="1" si="107"/>
        <v>0</v>
      </c>
      <c r="P208" s="106">
        <f t="shared" si="87"/>
        <v>0</v>
      </c>
      <c r="Q208" s="106" t="b">
        <f t="shared" si="88"/>
        <v>0</v>
      </c>
      <c r="R208" s="176" t="str">
        <f t="array" aca="1" ref="R208" ca="1">IFERROR(SMALL(IF(P$1:P$311&lt;&gt;0,P$1:P$311),ROW(A208)),"")</f>
        <v/>
      </c>
      <c r="S208" s="176" t="str">
        <f t="array" aca="1" ref="S208" ca="1">IF($R208&lt;&gt;"",
SUBSTITUTE(SUBSTITUTE(INDIRECT("C"&amp;$R208&amp;"")," 週3ｺｰｽ","")," 週5ｺｰｽ",""),"")</f>
        <v/>
      </c>
      <c r="T208" s="176" t="str">
        <f t="array" aca="1" ref="T208" ca="1">IF(IF($R208&lt;&gt;"",
INDIRECT(""&amp;IF(COLUMN(D208)&lt;=26,CHAR(COLUMN(D208)+64),CHAR(INT((COLUMN(D208)-1)/26)+64)&amp;CHAR(MOD(COLUMN(D208)-1,26)+65))&amp;$R208&amp;""),"")=0,"",
IF($R208&lt;&gt;"",
INDIRECT(""&amp;IF(COLUMN(D208)&lt;=26,CHAR(COLUMN(D208)+64),CHAR(INT((COLUMN(D208)-1)/26)+64)&amp;CHAR(MOD(COLUMN(D208)-1,26)+65))&amp;$R208&amp;""),""))</f>
        <v/>
      </c>
      <c r="U208" s="218" t="str">
        <f t="array" aca="1" ref="U208" ca="1">IF($R208&lt;&gt;"",
INDIRECT("F"&amp;$R208&amp;""),"")</f>
        <v/>
      </c>
      <c r="V208" s="219" t="str">
        <f t="array" aca="1" ref="V208" ca="1">IF($R208&lt;&gt;"",
INDIRECT("G"&amp;$R208&amp;""),"")</f>
        <v/>
      </c>
      <c r="W208" s="219" t="str" cm="1">
        <f t="array" aca="1" ref="W208" ca="1">IF($R208&lt;&gt;"",
IF(AND(COUNTIF(INDIRECT("B"&amp;R208&amp;""),"*雙葉*"),COUNTIF($B$71:$B$210,"*雙葉*")&gt;=1),
IF(OR(COUNTIF(INDIRECT("B"&amp;R208&amp;""),"*雙葉先生*"),COUNTIF(INDIRECT("B"&amp;R208-1&amp;""),"*雙葉*")),INDIRECT("H"&amp;R208&amp;""),INDIRECT("H"&amp;R208&amp;"")+INDIRECT("H"&amp;MATCH("雙葉'",INDIRECT("B"&amp;R208+3&amp;":B210"),0)+2+R208&amp;"")),
IF(AND(LEFT(INDIRECT("B"&amp;R208&amp;""),2)="博多",COUNTIF(B:B,"*博多*")&gt;=2),
INDIRECT("H"&amp;R208&amp;"")+IFERROR(INDIRECT("H"&amp;MATCH("*"&amp;INDIRECT("B"&amp;R208&amp;"")&amp;"*",INDIRECT("B"&amp;R208+1&amp;":B210"),0)+R208&amp;""),0),
IF(AND(LEFT(INDIRECT("B"&amp;R208&amp;""),3)="奈良屋",COUNTIF(B:B,"*奈良屋*")&gt;=2),
INDIRECT("H"&amp;R208&amp;"")
+INDIRECT("H"&amp;MATCH("*"&amp;INDIRECT("B"&amp;R208&amp;"")&amp;"*",INDIRECT("B"&amp;R208+1&amp;":B210"),0)+R208&amp;"")
+INDIRECT("H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
+INDIRECT("H"&amp;MATCH("*"&amp;INDIRECT("B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&amp;"*",INDIRECT("B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+1&amp;":B210"),0)+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,
INDIRECT("H"&amp;R208&amp;"")))),"")</f>
        <v/>
      </c>
      <c r="X208" s="176" t="str">
        <f t="array" aca="1" ref="X208" ca="1">IF($R208&lt;&gt;"",
INDIRECT(""&amp;IF(COLUMN(I208)&lt;=26,CHAR(COLUMN(I208)+64),CHAR(INT((COLUMN(I208)-1)/26)+64)&amp;CHAR(MOD(COLUMN(I208)-1,26)+65))&amp;$R208&amp;""),"")</f>
        <v/>
      </c>
      <c r="Y208" s="176" t="str">
        <f t="array" aca="1" ref="Y208" ca="1">IF($R208&lt;&gt;"",
INDIRECT(""&amp;IF(COLUMN(J208)&lt;=26,CHAR(COLUMN(J208)+64),CHAR(INT((COLUMN(J208)-1)/26)+64)&amp;CHAR(MOD(COLUMN(J208)-1,26)+65))&amp;$R208&amp;""),"")</f>
        <v/>
      </c>
      <c r="Z208" s="176" t="str">
        <f t="shared" ca="1" si="89"/>
        <v/>
      </c>
      <c r="AA208" s="176" t="str">
        <f t="shared" ca="1" si="90"/>
        <v/>
      </c>
      <c r="AB208" s="176" t="str">
        <f t="array" aca="1" ref="AB208" ca="1">IF($R208&lt;&gt;"",
IF(AND(COUNTIF(INDIRECT("B"&amp;R208&amp;""),"*雙葉*"),COUNTIF(INDIRECT("B"&amp;R208&amp;""),"&lt;&gt;*先生*"),COUNTIF(B:B,"*雙葉*")&gt;=2),
INDIRECT("M"&amp;R208&amp;"")+INDIRECT("M"&amp;MATCH("雙葉'",INDIRECT("B"&amp;R208+1&amp;":B210"),0)+R208&amp;""),
IF(AND(LEFT(INDIRECT("B"&amp;R208&amp;""),2)="博多",COUNTIF(B:B,"*博多*")&gt;=2),
INDIRECT("M"&amp;R208&amp;"")+INDIRECT("M"&amp;MATCH("*"&amp;INDIRECT("B"&amp;R208&amp;"")&amp;"*",INDIRECT("B"&amp;R208+1&amp;":B210"),0)+R208&amp;""),
IF(AND(LEFT(INDIRECT("B"&amp;R208&amp;""),3)="奈良屋",COUNTIF(B:B,"*奈良屋*")&gt;=2),
INDIRECT("M"&amp;R208&amp;"")+INDIRECT("M"&amp;MATCH("*"&amp;INDIRECT("B"&amp;R208&amp;"")&amp;"*",INDIRECT("B"&amp;R208+1&amp;":B210"),0)+R208&amp;"")
+INDIRECT("M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,
INDIRECT("M"&amp;R208&amp;"")))),"")</f>
        <v/>
      </c>
      <c r="AC208" s="176" t="str">
        <f t="shared" ca="1" si="91"/>
        <v/>
      </c>
      <c r="AD208" s="176" t="str">
        <f t="shared" ca="1" si="92"/>
        <v/>
      </c>
      <c r="AE208" s="176" t="str">
        <f t="shared" ca="1" si="93"/>
        <v/>
      </c>
      <c r="AF208" s="176" t="str">
        <f t="shared" ca="1" si="94"/>
        <v/>
      </c>
      <c r="AG208" s="176" t="str">
        <f t="shared" ca="1" si="95"/>
        <v/>
      </c>
      <c r="AH208" s="183" t="str">
        <f t="shared" ca="1" si="96"/>
        <v/>
      </c>
      <c r="AI208" s="176" t="str">
        <f t="shared" ca="1" si="97"/>
        <v/>
      </c>
      <c r="AJ208" s="176" t="str">
        <f t="shared" ca="1" si="98"/>
        <v/>
      </c>
      <c r="AK208" s="176" t="str">
        <f t="shared" ca="1" si="99"/>
        <v/>
      </c>
      <c r="AL208" s="176" t="str">
        <f t="shared" ca="1" si="100"/>
        <v/>
      </c>
      <c r="AM208" s="176" t="str">
        <f t="shared" ca="1" si="101"/>
        <v/>
      </c>
      <c r="AN208" s="176" t="str">
        <f t="shared" ca="1" si="102"/>
        <v/>
      </c>
      <c r="AO208" s="176" t="str">
        <f t="shared" ca="1" si="103"/>
        <v/>
      </c>
      <c r="AP208" s="176" t="str">
        <f t="shared" ca="1" si="104"/>
        <v/>
      </c>
      <c r="AU208" s="176" t="str">
        <f t="shared" ca="1" si="105"/>
        <v/>
      </c>
    </row>
    <row r="209" spans="1:47" ht="22.2" customHeight="1">
      <c r="A209" s="107">
        <f t="shared" si="86"/>
        <v>143</v>
      </c>
      <c r="B209" s="106" t="str">
        <f t="shared" ca="1" si="106"/>
        <v/>
      </c>
      <c r="C209" s="106" t="str">
        <f>IF(OR(クライアント抽出!D69&lt;&gt;"",クライアント抽出!G69&lt;&gt;""),クライアント抽出!A69,"")</f>
        <v/>
      </c>
      <c r="D209" s="106" t="str">
        <f t="array" aca="1" ref="D209" ca="1">IF(C209&lt;&gt;"",INDIRECT("クライアント抽出!"&amp;E209&amp;MATCH(C209,クライアント抽出!A:A,0)&amp;""),"")</f>
        <v/>
      </c>
      <c r="E209" s="106" t="str">
        <f>IF(H209&lt;&gt;0,
IFERROR(
SUBSTITUTE(ADDRESS(1,
MATCH(VALUE(H209),クライアント抽出!A69:G69,0)+8,4),"1",""),
""),
IFERROR(
SUBSTITUTE(ADDRESS(1,
MATCH(VALUE(I209),クライアント抽出!A69:G69,0)+8,4),"1",""),
""))</f>
        <v/>
      </c>
      <c r="F209" s="187" t="str">
        <f ca="1">IF(D209&lt;&gt;"",
IF(COUNTIF(C209,"*雙葉*"),
IF(ROUND((H209-M209)
/IF(COUNTIF(D209,"*キャラ*"),
VLOOKUP("*キャラ*",商品マスタ!$D:$E,2,FALSE),
IF(COUNTIF(D209,"*赤*"),
VLOOKUP("*赤*",商品マスタ!$D:$E,2,FALSE),
VLOOKUP("*"&amp;D209&amp;"*",商品マスタ!$D:$E,2,FALSE))),0)&lt;=0,1,
ROUND((H209-M209)
/IF(COUNTIF(D209,"*キャラ*"),
VLOOKUP("*キャラ*",商品マスタ!$D:$E,2,FALSE),
IF(COUNTIF(D209,"*赤*"),
VLOOKUP("*赤*",商品マスタ!$D:$E,2,FALSE),
VLOOKUP("*"&amp;D209&amp;"*",商品マスタ!$D:$E,2,FALSE))),0)),
IF(OR(COUNTIF(D209,"*キャラ*"),COUNTIF(D209,"*赤*")),"",
IF(VLOOKUP("*"&amp;D209&amp;"*",商品マスタ!$D:$E,2,FALSE)=0,"",
IF(ROUND((H209-M209)
/VLOOKUP("*"&amp;D209&amp;"*",商品マスタ!$D:$E,2,FALSE),0)&lt;=0,1,
ROUND((H209-M209)
/VLOOKUP("*"&amp;D209&amp;"*",商品マスタ!$D:$E,2,FALSE),0))))),"")</f>
        <v/>
      </c>
      <c r="G209" s="106" t="str">
        <f ca="1">IF(F209&lt;&gt;"",
IF(VALUE(H209-M209)&gt;VALUE(IF(COUNTIF(D209,"*キャラ*"),
VLOOKUP("*キャラ*",商品マスタ!$D:$E,2,FALSE),
IF(COUNTIF(D209,"*赤*"),
VLOOKUP("*赤*",商品マスタ!$D:$E,2,FALSE),
VLOOKUP("*"&amp;D209&amp;"*",商品マスタ!$D:$E,2,FALSE)))*F209),
"+"&amp;(H209-M209)-IF(COUNTIF(D209,"*キャラ*"),
VLOOKUP("*キャラ*",商品マスタ!$D:$E,2,FALSE),
IF(COUNTIF(D209,"*赤*"),
VLOOKUP("*赤*",商品マスタ!$D:$E,2,FALSE),
VLOOKUP("*"&amp;D209&amp;"*",商品マスタ!$D:$E,2,FALSE)))*F209,
(H209-M209)-IF(COUNTIF(D209,"*キャラ*"),
VLOOKUP("*キャラ*",商品マスタ!$D:$E,2,FALSE),
IF(COUNTIF(D209,"*赤*"),
VLOOKUP("*赤*",商品マスタ!$D:$E,2,FALSE),
VLOOKUP("*"&amp;D209&amp;"*",商品マスタ!$D:$E,2,FALSE)))*F209),"")</f>
        <v/>
      </c>
      <c r="H209" s="108" t="str">
        <f>IF(C209&lt;&gt;"",
クライアント抽出!D69,"")</f>
        <v/>
      </c>
      <c r="I209" s="106" t="str">
        <f>IF(C209&lt;&gt;"",
IF(O209=1,0,クライアント抽出!F69),"")</f>
        <v/>
      </c>
      <c r="J209" s="106" t="str">
        <f>IF(C209&lt;&gt;"",
VLOOKUP(
"*"&amp;LEFT(IF(COUNTIF(D209,"*学食*"),"キャラ弁（学食）",
IF(COUNTIF(D209,"*赤*"),"赤",
IF(COUNTIF(D209,"*キャラ弁当*"),"キャラ弁当",D209))),4)&amp;"*",注文弁当の抽出!$F$1:$G$15,2,FALSE),"")</f>
        <v/>
      </c>
      <c r="K209" s="106" t="str">
        <f ca="1">IF(クライアント抽出!R69&lt;&gt;"",SUBSTITUTE(ADDRESS(1,(CODE(クライアント抽出!R69)-64)*2-1,4),"1",""),"")</f>
        <v/>
      </c>
      <c r="L209" s="106" t="str">
        <f>IF(C69&lt;&gt;"",クライアント抽出!I69,"")</f>
        <v/>
      </c>
      <c r="M209" s="106">
        <f t="array" aca="1" ref="M209" ca="1">IF(C209&lt;&gt;"",
IF(K209&lt;&gt;"",INDIRECT("'数出表_Excel（アレルギー入力）'!"&amp;K209&amp;L209-1&amp;""),),)</f>
        <v>0</v>
      </c>
      <c r="N209" s="106" t="str">
        <f>IF(C209&lt;&gt;"",IF(OR(COUNTIF('盛付札（関数）'!D209,"*赤*"),COUNTIF('盛付札（関数）'!D209,"*キャラ*")),1,
VALUE(VLOOKUP("*"&amp;D209&amp;"*",商品マスタ!D:H,5,FALSE))),"")</f>
        <v/>
      </c>
      <c r="O209" s="106">
        <f t="shared" ca="1" si="107"/>
        <v>0</v>
      </c>
      <c r="P209" s="106">
        <f t="shared" si="87"/>
        <v>0</v>
      </c>
      <c r="Q209" s="106" t="b">
        <f t="shared" si="88"/>
        <v>0</v>
      </c>
      <c r="R209" s="176" t="str">
        <f t="array" aca="1" ref="R209" ca="1">IFERROR(SMALL(IF(P$1:P$311&lt;&gt;0,P$1:P$311),ROW(A209)),"")</f>
        <v/>
      </c>
      <c r="S209" s="176" t="str">
        <f t="array" aca="1" ref="S209" ca="1">IF($R209&lt;&gt;"",
SUBSTITUTE(SUBSTITUTE(INDIRECT("C"&amp;$R209&amp;"")," 週3ｺｰｽ","")," 週5ｺｰｽ",""),"")</f>
        <v/>
      </c>
      <c r="T209" s="176" t="str">
        <f t="array" aca="1" ref="T209" ca="1">IF(IF($R209&lt;&gt;"",
INDIRECT(""&amp;IF(COLUMN(D209)&lt;=26,CHAR(COLUMN(D209)+64),CHAR(INT((COLUMN(D209)-1)/26)+64)&amp;CHAR(MOD(COLUMN(D209)-1,26)+65))&amp;$R209&amp;""),"")=0,"",
IF($R209&lt;&gt;"",
INDIRECT(""&amp;IF(COLUMN(D209)&lt;=26,CHAR(COLUMN(D209)+64),CHAR(INT((COLUMN(D209)-1)/26)+64)&amp;CHAR(MOD(COLUMN(D209)-1,26)+65))&amp;$R209&amp;""),""))</f>
        <v/>
      </c>
      <c r="U209" s="218" t="str">
        <f t="array" aca="1" ref="U209" ca="1">IF($R209&lt;&gt;"",
INDIRECT("F"&amp;$R209&amp;""),"")</f>
        <v/>
      </c>
      <c r="V209" s="219" t="str">
        <f t="array" aca="1" ref="V209" ca="1">IF($R209&lt;&gt;"",
INDIRECT("G"&amp;$R209&amp;""),"")</f>
        <v/>
      </c>
      <c r="W209" s="219" t="str" cm="1">
        <f t="array" aca="1" ref="W209" ca="1">IF($R209&lt;&gt;"",
IF(AND(COUNTIF(INDIRECT("B"&amp;R209&amp;""),"*雙葉*"),COUNTIF($B$71:$B$210,"*雙葉*")&gt;=1),
IF(OR(COUNTIF(INDIRECT("B"&amp;R209&amp;""),"*雙葉先生*"),COUNTIF(INDIRECT("B"&amp;R209-1&amp;""),"*雙葉*")),INDIRECT("H"&amp;R209&amp;""),INDIRECT("H"&amp;R209&amp;"")+INDIRECT("H"&amp;MATCH("雙葉'",INDIRECT("B"&amp;R209+3&amp;":B210"),0)+2+R209&amp;"")),
IF(AND(LEFT(INDIRECT("B"&amp;R209&amp;""),2)="博多",COUNTIF(B:B,"*博多*")&gt;=2),
INDIRECT("H"&amp;R209&amp;"")+IFERROR(INDIRECT("H"&amp;MATCH("*"&amp;INDIRECT("B"&amp;R209&amp;"")&amp;"*",INDIRECT("B"&amp;R209+1&amp;":B210"),0)+R209&amp;""),0),
IF(AND(LEFT(INDIRECT("B"&amp;R209&amp;""),3)="奈良屋",COUNTIF(B:B,"*奈良屋*")&gt;=2),
INDIRECT("H"&amp;R209&amp;"")
+INDIRECT("H"&amp;MATCH("*"&amp;INDIRECT("B"&amp;R209&amp;"")&amp;"*",INDIRECT("B"&amp;R209+1&amp;":B210"),0)+R209&amp;"")
+INDIRECT("H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
+INDIRECT("H"&amp;MATCH("*"&amp;INDIRECT("B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&amp;"*",INDIRECT("B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+1&amp;":B210"),0)+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,
INDIRECT("H"&amp;R209&amp;"")))),"")</f>
        <v/>
      </c>
      <c r="X209" s="176" t="str">
        <f t="array" aca="1" ref="X209" ca="1">IF($R209&lt;&gt;"",
INDIRECT(""&amp;IF(COLUMN(I209)&lt;=26,CHAR(COLUMN(I209)+64),CHAR(INT((COLUMN(I209)-1)/26)+64)&amp;CHAR(MOD(COLUMN(I209)-1,26)+65))&amp;$R209&amp;""),"")</f>
        <v/>
      </c>
      <c r="Y209" s="176" t="str">
        <f t="array" aca="1" ref="Y209" ca="1">IF($R209&lt;&gt;"",
INDIRECT(""&amp;IF(COLUMN(J209)&lt;=26,CHAR(COLUMN(J209)+64),CHAR(INT((COLUMN(J209)-1)/26)+64)&amp;CHAR(MOD(COLUMN(J209)-1,26)+65))&amp;$R209&amp;""),"")</f>
        <v/>
      </c>
      <c r="Z209" s="176" t="str">
        <f t="shared" ca="1" si="89"/>
        <v/>
      </c>
      <c r="AA209" s="176" t="str">
        <f t="shared" ca="1" si="90"/>
        <v/>
      </c>
      <c r="AB209" s="176" t="str">
        <f t="array" aca="1" ref="AB209" ca="1">IF($R209&lt;&gt;"",
IF(AND(COUNTIF(INDIRECT("B"&amp;R209&amp;""),"*雙葉*"),COUNTIF(INDIRECT("B"&amp;R209&amp;""),"&lt;&gt;*先生*"),COUNTIF(B:B,"*雙葉*")&gt;=2),
INDIRECT("M"&amp;R209&amp;"")+INDIRECT("M"&amp;MATCH("雙葉'",INDIRECT("B"&amp;R209+1&amp;":B210"),0)+R209&amp;""),
IF(AND(LEFT(INDIRECT("B"&amp;R209&amp;""),2)="博多",COUNTIF(B:B,"*博多*")&gt;=2),
INDIRECT("M"&amp;R209&amp;"")+INDIRECT("M"&amp;MATCH("*"&amp;INDIRECT("B"&amp;R209&amp;"")&amp;"*",INDIRECT("B"&amp;R209+1&amp;":B210"),0)+R209&amp;""),
IF(AND(LEFT(INDIRECT("B"&amp;R209&amp;""),3)="奈良屋",COUNTIF(B:B,"*奈良屋*")&gt;=2),
INDIRECT("M"&amp;R209&amp;"")+INDIRECT("M"&amp;MATCH("*"&amp;INDIRECT("B"&amp;R209&amp;"")&amp;"*",INDIRECT("B"&amp;R209+1&amp;":B210"),0)+R209&amp;"")
+INDIRECT("M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,
INDIRECT("M"&amp;R209&amp;"")))),"")</f>
        <v/>
      </c>
      <c r="AC209" s="176" t="str">
        <f t="shared" ca="1" si="91"/>
        <v/>
      </c>
      <c r="AD209" s="176" t="str">
        <f t="shared" ca="1" si="92"/>
        <v/>
      </c>
      <c r="AE209" s="176" t="str">
        <f t="shared" ca="1" si="93"/>
        <v/>
      </c>
      <c r="AF209" s="176" t="str">
        <f t="shared" ca="1" si="94"/>
        <v/>
      </c>
      <c r="AG209" s="176" t="str">
        <f t="shared" ca="1" si="95"/>
        <v/>
      </c>
      <c r="AH209" s="183" t="str">
        <f t="shared" ca="1" si="96"/>
        <v/>
      </c>
      <c r="AI209" s="176" t="str">
        <f t="shared" ca="1" si="97"/>
        <v/>
      </c>
      <c r="AJ209" s="176" t="str">
        <f t="shared" ca="1" si="98"/>
        <v/>
      </c>
      <c r="AK209" s="176" t="str">
        <f t="shared" ca="1" si="99"/>
        <v/>
      </c>
      <c r="AL209" s="176" t="str">
        <f t="shared" ca="1" si="100"/>
        <v/>
      </c>
      <c r="AM209" s="176" t="str">
        <f t="shared" ca="1" si="101"/>
        <v/>
      </c>
      <c r="AN209" s="176" t="str">
        <f t="shared" ca="1" si="102"/>
        <v/>
      </c>
      <c r="AO209" s="176" t="str">
        <f t="shared" ca="1" si="103"/>
        <v/>
      </c>
      <c r="AP209" s="176" t="str">
        <f t="shared" ca="1" si="104"/>
        <v/>
      </c>
      <c r="AU209" s="176" t="str">
        <f t="shared" ca="1" si="105"/>
        <v/>
      </c>
    </row>
    <row r="210" spans="1:47" ht="22.2" customHeight="1">
      <c r="A210" s="107">
        <f t="shared" si="86"/>
        <v>145</v>
      </c>
      <c r="B210" s="106" t="str">
        <f t="shared" ca="1" si="106"/>
        <v/>
      </c>
      <c r="C210" s="106" t="str">
        <f>IF(OR(クライアント抽出!D70&lt;&gt;"",クライアント抽出!G70&lt;&gt;""),クライアント抽出!A70,"")</f>
        <v/>
      </c>
      <c r="D210" s="106" t="str">
        <f t="array" aca="1" ref="D210" ca="1">IF(C210&lt;&gt;"",INDIRECT("クライアント抽出!"&amp;E210&amp;MATCH(C210,クライアント抽出!A:A,0)&amp;""),"")</f>
        <v/>
      </c>
      <c r="E210" s="106" t="str">
        <f>IF(H210&lt;&gt;0,
IFERROR(
SUBSTITUTE(ADDRESS(1,
MATCH(VALUE(H210),クライアント抽出!A70:G70,0)+8,4),"1",""),
""),
IFERROR(
SUBSTITUTE(ADDRESS(1,
MATCH(VALUE(I210),クライアント抽出!A70:G70,0)+8,4),"1",""),
""))</f>
        <v/>
      </c>
      <c r="F210" s="187" t="str">
        <f ca="1">IF(D210&lt;&gt;"",
IF(COUNTIF(C210,"*雙葉*"),
IF(ROUND((H210-M210)
/IF(COUNTIF(D210,"*キャラ*"),
VLOOKUP("*キャラ*",商品マスタ!$D:$E,2,FALSE),
IF(COUNTIF(D210,"*赤*"),
VLOOKUP("*赤*",商品マスタ!$D:$E,2,FALSE),
VLOOKUP("*"&amp;D210&amp;"*",商品マスタ!$D:$E,2,FALSE))),0)&lt;=0,1,
ROUND((H210-M210)
/IF(COUNTIF(D210,"*キャラ*"),
VLOOKUP("*キャラ*",商品マスタ!$D:$E,2,FALSE),
IF(COUNTIF(D210,"*赤*"),
VLOOKUP("*赤*",商品マスタ!$D:$E,2,FALSE),
VLOOKUP("*"&amp;D210&amp;"*",商品マスタ!$D:$E,2,FALSE))),0)),
IF(OR(COUNTIF(D210,"*キャラ*"),COUNTIF(D210,"*赤*")),"",
IF(VLOOKUP("*"&amp;D210&amp;"*",商品マスタ!$D:$E,2,FALSE)=0,"",
IF(ROUND((H210-M210)
/VLOOKUP("*"&amp;D210&amp;"*",商品マスタ!$D:$E,2,FALSE),0)&lt;=0,1,
ROUND((H210-M210)
/VLOOKUP("*"&amp;D210&amp;"*",商品マスタ!$D:$E,2,FALSE),0))))),"")</f>
        <v/>
      </c>
      <c r="G210" s="106" t="str">
        <f ca="1">IF(F210&lt;&gt;"",
IF(VALUE(H210-M210)&gt;VALUE(IF(COUNTIF(D210,"*キャラ*"),
VLOOKUP("*キャラ*",商品マスタ!$D:$E,2,FALSE),
IF(COUNTIF(D210,"*赤*"),
VLOOKUP("*赤*",商品マスタ!$D:$E,2,FALSE),
VLOOKUP("*"&amp;D210&amp;"*",商品マスタ!$D:$E,2,FALSE)))*F210),
"+"&amp;(H210-M210)-IF(COUNTIF(D210,"*キャラ*"),
VLOOKUP("*キャラ*",商品マスタ!$D:$E,2,FALSE),
IF(COUNTIF(D210,"*赤*"),
VLOOKUP("*赤*",商品マスタ!$D:$E,2,FALSE),
VLOOKUP("*"&amp;D210&amp;"*",商品マスタ!$D:$E,2,FALSE)))*F210,
(H210-M210)-IF(COUNTIF(D210,"*キャラ*"),
VLOOKUP("*キャラ*",商品マスタ!$D:$E,2,FALSE),
IF(COUNTIF(D210,"*赤*"),
VLOOKUP("*赤*",商品マスタ!$D:$E,2,FALSE),
VLOOKUP("*"&amp;D210&amp;"*",商品マスタ!$D:$E,2,FALSE)))*F210),"")</f>
        <v/>
      </c>
      <c r="H210" s="108" t="str">
        <f>IF(C210&lt;&gt;"",
クライアント抽出!D70,"")</f>
        <v/>
      </c>
      <c r="I210" s="106" t="str">
        <f>IF(C210&lt;&gt;"",
IF(O210=1,0,クライアント抽出!F70),"")</f>
        <v/>
      </c>
      <c r="J210" s="106" t="str">
        <f>IF(C210&lt;&gt;"",
VLOOKUP(
"*"&amp;LEFT(IF(COUNTIF(D210,"*学食*"),"キャラ弁（学食）",
IF(COUNTIF(D210,"*赤*"),"赤",
IF(COUNTIF(D210,"*キャラ弁当*"),"キャラ弁当",D210))),4)&amp;"*",注文弁当の抽出!$F$1:$G$15,2,FALSE),"")</f>
        <v/>
      </c>
      <c r="K210" s="106" t="str">
        <f ca="1">IF(クライアント抽出!R70&lt;&gt;"",SUBSTITUTE(ADDRESS(1,(CODE(クライアント抽出!R70)-64)*2-1,4),"1",""),"")</f>
        <v/>
      </c>
      <c r="L210" s="106" t="str">
        <f>IF(C70&lt;&gt;"",クライアント抽出!I70,"")</f>
        <v/>
      </c>
      <c r="M210" s="106">
        <f t="array" aca="1" ref="M210" ca="1">IF(C210&lt;&gt;"",
IF(K210&lt;&gt;"",INDIRECT("'数出表_Excel（アレルギー入力）'!"&amp;K210&amp;L210-1&amp;""),),)</f>
        <v>0</v>
      </c>
      <c r="N210" s="106" t="str">
        <f>IF(C210&lt;&gt;"",IF(OR(COUNTIF('盛付札（関数）'!D210,"*赤*"),COUNTIF('盛付札（関数）'!D210,"*キャラ*")),1,
VALUE(VLOOKUP("*"&amp;D210&amp;"*",商品マスタ!D:H,5,FALSE))),"")</f>
        <v/>
      </c>
      <c r="O210" s="106">
        <f t="shared" ca="1" si="107"/>
        <v>0</v>
      </c>
      <c r="P210" s="106">
        <f t="shared" si="87"/>
        <v>0</v>
      </c>
      <c r="Q210" s="106" t="b">
        <f t="shared" si="88"/>
        <v>0</v>
      </c>
      <c r="R210" s="176" t="str">
        <f t="array" aca="1" ref="R210" ca="1">IFERROR(SMALL(IF(P$1:P$311&lt;&gt;0,P$1:P$311),ROW(A210)),"")</f>
        <v/>
      </c>
      <c r="S210" s="176" t="str">
        <f t="array" aca="1" ref="S210" ca="1">IF($R210&lt;&gt;"",
SUBSTITUTE(SUBSTITUTE(INDIRECT("C"&amp;$R210&amp;"")," 週3ｺｰｽ","")," 週5ｺｰｽ",""),"")</f>
        <v/>
      </c>
      <c r="T210" s="176" t="str">
        <f t="array" aca="1" ref="T210" ca="1">IF(IF($R210&lt;&gt;"",
INDIRECT(""&amp;IF(COLUMN(D210)&lt;=26,CHAR(COLUMN(D210)+64),CHAR(INT((COLUMN(D210)-1)/26)+64)&amp;CHAR(MOD(COLUMN(D210)-1,26)+65))&amp;$R210&amp;""),"")=0,"",
IF($R210&lt;&gt;"",
INDIRECT(""&amp;IF(COLUMN(D210)&lt;=26,CHAR(COLUMN(D210)+64),CHAR(INT((COLUMN(D210)-1)/26)+64)&amp;CHAR(MOD(COLUMN(D210)-1,26)+65))&amp;$R210&amp;""),""))</f>
        <v/>
      </c>
      <c r="U210" s="218" t="str">
        <f t="array" aca="1" ref="U210" ca="1">IF($R210&lt;&gt;"",
INDIRECT("F"&amp;$R210&amp;""),"")</f>
        <v/>
      </c>
      <c r="V210" s="219" t="str">
        <f t="array" aca="1" ref="V210" ca="1">IF($R210&lt;&gt;"",
INDIRECT("G"&amp;$R210&amp;""),"")</f>
        <v/>
      </c>
      <c r="W210" s="219" t="str" cm="1">
        <f t="array" aca="1" ref="W210" ca="1">IF($R210&lt;&gt;"",
IF(AND(COUNTIF(INDIRECT("B"&amp;R210&amp;""),"*雙葉*"),COUNTIF($B$71:$B$210,"*雙葉*")&gt;=1),
IF(OR(COUNTIF(INDIRECT("B"&amp;R210&amp;""),"*雙葉先生*"),COUNTIF(INDIRECT("B"&amp;R210-1&amp;""),"*雙葉*")),INDIRECT("H"&amp;R210&amp;""),INDIRECT("H"&amp;R210&amp;"")+INDIRECT("H"&amp;MATCH("雙葉'",INDIRECT("B"&amp;R210+3&amp;":B210"),0)+2+R210&amp;"")),
IF(AND(LEFT(INDIRECT("B"&amp;R210&amp;""),2)="博多",COUNTIF(B:B,"*博多*")&gt;=2),
INDIRECT("H"&amp;R210&amp;"")+IFERROR(INDIRECT("H"&amp;MATCH("*"&amp;INDIRECT("B"&amp;R210&amp;"")&amp;"*",INDIRECT("B"&amp;R210+1&amp;":B210"),0)+R210&amp;""),0),
IF(AND(LEFT(INDIRECT("B"&amp;R210&amp;""),3)="奈良屋",COUNTIF(B:B,"*奈良屋*")&gt;=2),
INDIRECT("H"&amp;R210&amp;"")
+INDIRECT("H"&amp;MATCH("*"&amp;INDIRECT("B"&amp;R210&amp;"")&amp;"*",INDIRECT("B"&amp;R210+1&amp;":B210"),0)+R210&amp;"")
+INDIRECT("H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
+INDIRECT("H"&amp;MATCH("*"&amp;INDIRECT("B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&amp;"*",INDIRECT("B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+1&amp;":B210"),0)+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,
INDIRECT("H"&amp;R210&amp;"")))),"")</f>
        <v/>
      </c>
      <c r="X210" s="176" t="str">
        <f t="array" aca="1" ref="X210" ca="1">IF($R210&lt;&gt;"",
INDIRECT(""&amp;IF(COLUMN(I210)&lt;=26,CHAR(COLUMN(I210)+64),CHAR(INT((COLUMN(I210)-1)/26)+64)&amp;CHAR(MOD(COLUMN(I210)-1,26)+65))&amp;$R210&amp;""),"")</f>
        <v/>
      </c>
      <c r="Y210" s="176" t="str">
        <f t="array" aca="1" ref="Y210" ca="1">IF($R210&lt;&gt;"",
INDIRECT(""&amp;IF(COLUMN(J210)&lt;=26,CHAR(COLUMN(J210)+64),CHAR(INT((COLUMN(J210)-1)/26)+64)&amp;CHAR(MOD(COLUMN(J210)-1,26)+65))&amp;$R210&amp;""),"")</f>
        <v/>
      </c>
      <c r="Z210" s="176" t="str">
        <f t="shared" ca="1" si="89"/>
        <v/>
      </c>
      <c r="AA210" s="176" t="str">
        <f t="shared" ca="1" si="90"/>
        <v/>
      </c>
      <c r="AB210" s="176" t="str">
        <f t="array" aca="1" ref="AB210" ca="1">IF($R210&lt;&gt;"",
IF(AND(COUNTIF(INDIRECT("B"&amp;R210&amp;""),"*雙葉*"),COUNTIF(INDIRECT("B"&amp;R210&amp;""),"&lt;&gt;*先生*"),COUNTIF(B:B,"*雙葉*")&gt;=2),
INDIRECT("M"&amp;R210&amp;"")+INDIRECT("M"&amp;MATCH("雙葉'",INDIRECT("B"&amp;R210+1&amp;":B210"),0)+R210&amp;""),
IF(AND(LEFT(INDIRECT("B"&amp;R210&amp;""),2)="博多",COUNTIF(B:B,"*博多*")&gt;=2),
INDIRECT("M"&amp;R210&amp;"")+INDIRECT("M"&amp;MATCH("*"&amp;INDIRECT("B"&amp;R210&amp;"")&amp;"*",INDIRECT("B"&amp;R210+1&amp;":B210"),0)+R210&amp;""),
IF(AND(LEFT(INDIRECT("B"&amp;R210&amp;""),3)="奈良屋",COUNTIF(B:B,"*奈良屋*")&gt;=2),
INDIRECT("M"&amp;R210&amp;"")+INDIRECT("M"&amp;MATCH("*"&amp;INDIRECT("B"&amp;R210&amp;"")&amp;"*",INDIRECT("B"&amp;R210+1&amp;":B210"),0)+R210&amp;"")
+INDIRECT("M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,
INDIRECT("M"&amp;R210&amp;"")))),"")</f>
        <v/>
      </c>
      <c r="AC210" s="176" t="str">
        <f t="shared" ca="1" si="91"/>
        <v/>
      </c>
      <c r="AD210" s="176" t="str">
        <f t="shared" ca="1" si="92"/>
        <v/>
      </c>
      <c r="AE210" s="176" t="str">
        <f t="shared" ca="1" si="93"/>
        <v/>
      </c>
      <c r="AF210" s="176" t="str">
        <f t="shared" ca="1" si="94"/>
        <v/>
      </c>
      <c r="AG210" s="176" t="str">
        <f t="shared" ca="1" si="95"/>
        <v/>
      </c>
      <c r="AH210" s="183" t="str">
        <f t="shared" ca="1" si="96"/>
        <v/>
      </c>
      <c r="AI210" s="176" t="str">
        <f t="shared" ca="1" si="97"/>
        <v/>
      </c>
      <c r="AJ210" s="176" t="str">
        <f t="shared" ca="1" si="98"/>
        <v/>
      </c>
      <c r="AK210" s="176" t="str">
        <f t="shared" ca="1" si="99"/>
        <v/>
      </c>
      <c r="AL210" s="176" t="str">
        <f t="shared" ca="1" si="100"/>
        <v/>
      </c>
      <c r="AM210" s="176" t="str">
        <f t="shared" ca="1" si="101"/>
        <v/>
      </c>
      <c r="AN210" s="176" t="str">
        <f t="shared" ca="1" si="102"/>
        <v/>
      </c>
      <c r="AO210" s="176" t="str">
        <f t="shared" ca="1" si="103"/>
        <v/>
      </c>
      <c r="AP210" s="176" t="str">
        <f t="shared" ca="1" si="104"/>
        <v/>
      </c>
      <c r="AU210" s="176" t="str">
        <f t="shared" ca="1" si="105"/>
        <v/>
      </c>
    </row>
    <row r="211" spans="1:47">
      <c r="A211" s="100" t="e">
        <f ca="1">MATCH("*"&amp;LEFT(C211,3)&amp;"*",数出表_Excel!V:V,0)</f>
        <v>#N/A</v>
      </c>
      <c r="B211" s="114"/>
      <c r="C211" s="115" t="str">
        <f>社食等の札!A3</f>
        <v>ニシム</v>
      </c>
      <c r="D211" s="115"/>
      <c r="E211" s="115"/>
      <c r="F211" s="115"/>
      <c r="G211" s="115"/>
      <c r="H211" s="114" t="e">
        <f ca="1">社食等の札!E3</f>
        <v>#N/A</v>
      </c>
      <c r="I211" s="114"/>
      <c r="J211" s="114"/>
      <c r="M211" s="114"/>
      <c r="P211" s="114">
        <f>ROW()</f>
        <v>211</v>
      </c>
      <c r="Q211" s="114" t="b">
        <v>1</v>
      </c>
      <c r="R211" s="176" t="str">
        <f t="array" aca="1" ref="R211" ca="1">IFERROR(SMALL(IF(P$1:P$311&lt;&gt;0,P$1:P$311),ROW(A211)),"")</f>
        <v/>
      </c>
      <c r="S211" s="176" t="str">
        <f t="array" aca="1" ref="S211" ca="1">IF($R211&lt;&gt;"",
SUBSTITUTE(SUBSTITUTE(INDIRECT("C"&amp;$R211&amp;"")," 週3ｺｰｽ","")," 週5ｺｰｽ",""),"")</f>
        <v/>
      </c>
      <c r="T211" s="176" t="str">
        <f t="array" aca="1" ref="T211" ca="1">IF(IF($R211&lt;&gt;"",
INDIRECT(""&amp;IF(COLUMN(D211)&lt;=26,CHAR(COLUMN(D211)+64),CHAR(INT((COLUMN(D211)-1)/26)+64)&amp;CHAR(MOD(COLUMN(D211)-1,26)+65))&amp;$R211&amp;""),"")=0,"",
IF($R211&lt;&gt;"",
INDIRECT(""&amp;IF(COLUMN(D211)&lt;=26,CHAR(COLUMN(D211)+64),CHAR(INT((COLUMN(D211)-1)/26)+64)&amp;CHAR(MOD(COLUMN(D211)-1,26)+65))&amp;$R211&amp;""),""))</f>
        <v/>
      </c>
      <c r="U211" s="218" t="str">
        <f t="array" aca="1" ref="U211" ca="1">IF($R211&lt;&gt;"",
INDIRECT("F"&amp;$R211&amp;""),"")</f>
        <v/>
      </c>
      <c r="V211" s="219" t="str">
        <f t="array" aca="1" ref="V211" ca="1">IF($R211&lt;&gt;"",
INDIRECT("G"&amp;$R211&amp;""),"")</f>
        <v/>
      </c>
      <c r="W211" s="219" t="str" cm="1">
        <f t="array" aca="1" ref="W211" ca="1">IF($R211&lt;&gt;"",
IF(AND(COUNTIF(INDIRECT("B"&amp;R211&amp;""),"*雙葉*"),COUNTIF($B$71:$B$210,"*雙葉*")&gt;=1),
IF(OR(COUNTIF(INDIRECT("B"&amp;R211&amp;""),"*雙葉先生*"),COUNTIF(INDIRECT("B"&amp;R211-1&amp;""),"*雙葉*")),INDIRECT("H"&amp;R211&amp;""),INDIRECT("H"&amp;R211&amp;"")+INDIRECT("H"&amp;MATCH("雙葉'",INDIRECT("B"&amp;R211+3&amp;":B210"),0)+2+R211&amp;"")),
IF(AND(LEFT(INDIRECT("B"&amp;R211&amp;""),2)="博多",COUNTIF(B:B,"*博多*")&gt;=2),
INDIRECT("H"&amp;R211&amp;"")+IFERROR(INDIRECT("H"&amp;MATCH("*"&amp;INDIRECT("B"&amp;R211&amp;"")&amp;"*",INDIRECT("B"&amp;R211+1&amp;":B210"),0)+R211&amp;""),0),
IF(AND(LEFT(INDIRECT("B"&amp;R211&amp;""),3)="奈良屋",COUNTIF(B:B,"*奈良屋*")&gt;=2),
INDIRECT("H"&amp;R211&amp;"")
+INDIRECT("H"&amp;MATCH("*"&amp;INDIRECT("B"&amp;R211&amp;"")&amp;"*",INDIRECT("B"&amp;R211+1&amp;":B210"),0)+R211&amp;"")
+INDIRECT("H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
+INDIRECT("H"&amp;MATCH("*"&amp;INDIRECT("B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&amp;"*",INDIRECT("B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+1&amp;":B210"),0)+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,
INDIRECT("H"&amp;R211&amp;"")))),"")</f>
        <v/>
      </c>
      <c r="X211" s="176" t="str">
        <f t="array" aca="1" ref="X211" ca="1">IF($R211&lt;&gt;"",
INDIRECT(""&amp;IF(COLUMN(I211)&lt;=26,CHAR(COLUMN(I211)+64),CHAR(INT((COLUMN(I211)-1)/26)+64)&amp;CHAR(MOD(COLUMN(I211)-1,26)+65))&amp;$R211&amp;""),"")</f>
        <v/>
      </c>
      <c r="Y211" s="176" t="str">
        <f t="array" aca="1" ref="Y211" ca="1">IF($R211&lt;&gt;"",
INDIRECT(""&amp;IF(COLUMN(J211)&lt;=26,CHAR(COLUMN(J211)+64),CHAR(INT((COLUMN(J211)-1)/26)+64)&amp;CHAR(MOD(COLUMN(J211)-1,26)+65))&amp;$R211&amp;""),"")</f>
        <v/>
      </c>
      <c r="Z211" s="176" t="str">
        <f t="shared" ca="1" si="89"/>
        <v/>
      </c>
      <c r="AA211" s="176" t="str">
        <f t="shared" ca="1" si="90"/>
        <v/>
      </c>
      <c r="AB211" s="176" t="str">
        <f t="array" aca="1" ref="AB211" ca="1">IF($R211&lt;&gt;"",
IF(AND(COUNTIF(INDIRECT("B"&amp;R211&amp;""),"*雙葉*"),COUNTIF(INDIRECT("B"&amp;R211&amp;""),"&lt;&gt;*先生*"),COUNTIF(B:B,"*雙葉*")&gt;=2),
INDIRECT("M"&amp;R211&amp;"")+INDIRECT("M"&amp;MATCH("雙葉'",INDIRECT("B"&amp;R211+1&amp;":B210"),0)+R211&amp;""),
IF(AND(LEFT(INDIRECT("B"&amp;R211&amp;""),2)="博多",COUNTIF(B:B,"*博多*")&gt;=2),
INDIRECT("M"&amp;R211&amp;"")+INDIRECT("M"&amp;MATCH("*"&amp;INDIRECT("B"&amp;R211&amp;"")&amp;"*",INDIRECT("B"&amp;R211+1&amp;":B210"),0)+R211&amp;""),
IF(AND(LEFT(INDIRECT("B"&amp;R211&amp;""),3)="奈良屋",COUNTIF(B:B,"*奈良屋*")&gt;=2),
INDIRECT("M"&amp;R211&amp;"")+INDIRECT("M"&amp;MATCH("*"&amp;INDIRECT("B"&amp;R211&amp;"")&amp;"*",INDIRECT("B"&amp;R211+1&amp;":B210"),0)+R211&amp;"")
+INDIRECT("M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,
INDIRECT("M"&amp;R211&amp;"")))),"")</f>
        <v/>
      </c>
      <c r="AC211" s="176" t="str">
        <f t="shared" ca="1" si="91"/>
        <v/>
      </c>
      <c r="AD211" s="176" t="str">
        <f t="shared" ca="1" si="92"/>
        <v/>
      </c>
      <c r="AE211" s="176" t="str">
        <f t="shared" ca="1" si="93"/>
        <v/>
      </c>
      <c r="AF211" s="176" t="str">
        <f t="shared" ca="1" si="94"/>
        <v/>
      </c>
      <c r="AG211" s="176" t="str">
        <f t="shared" ca="1" si="95"/>
        <v/>
      </c>
      <c r="AH211" s="183" t="str">
        <f t="shared" ca="1" si="96"/>
        <v/>
      </c>
      <c r="AI211" s="176" t="str">
        <f t="shared" ca="1" si="97"/>
        <v/>
      </c>
      <c r="AJ211" s="176" t="str">
        <f t="shared" ca="1" si="98"/>
        <v/>
      </c>
      <c r="AK211" s="176" t="str">
        <f t="shared" ca="1" si="99"/>
        <v/>
      </c>
      <c r="AL211" s="176" t="str">
        <f t="shared" ca="1" si="100"/>
        <v/>
      </c>
      <c r="AM211" s="176" t="str">
        <f t="shared" ca="1" si="101"/>
        <v/>
      </c>
      <c r="AN211" s="176" t="str">
        <f t="shared" ca="1" si="102"/>
        <v/>
      </c>
      <c r="AO211" s="176" t="str">
        <f t="shared" ca="1" si="103"/>
        <v/>
      </c>
      <c r="AP211" s="176" t="str">
        <f t="shared" ca="1" si="104"/>
        <v/>
      </c>
      <c r="AU211" s="176" t="str">
        <f t="shared" ca="1" si="105"/>
        <v/>
      </c>
    </row>
    <row r="212" spans="1:47">
      <c r="A212" s="100" t="e">
        <f ca="1">MATCH("*"&amp;LEFT(C212,3)&amp;"*",数出表_Excel!V:V,0)</f>
        <v>#N/A</v>
      </c>
      <c r="B212" s="114"/>
      <c r="C212" s="115" t="str">
        <f>社食等の札!A4</f>
        <v>新日本製薬</v>
      </c>
      <c r="D212" s="115"/>
      <c r="E212" s="115"/>
      <c r="F212" s="115"/>
      <c r="G212" s="115"/>
      <c r="H212" s="114" t="e">
        <f ca="1">社食等の札!E4</f>
        <v>#N/A</v>
      </c>
      <c r="I212" s="114"/>
      <c r="J212" s="114"/>
      <c r="M212" s="114"/>
      <c r="P212" s="114">
        <f>ROW()</f>
        <v>212</v>
      </c>
      <c r="Q212" s="114" t="b">
        <v>1</v>
      </c>
      <c r="R212" s="176" t="str">
        <f t="array" aca="1" ref="R212" ca="1">IFERROR(SMALL(IF(P$1:P$311&lt;&gt;0,P$1:P$311),ROW(A212)),"")</f>
        <v/>
      </c>
      <c r="S212" s="176" t="str">
        <f t="array" aca="1" ref="S212" ca="1">IF($R212&lt;&gt;"",
SUBSTITUTE(SUBSTITUTE(INDIRECT("C"&amp;$R212&amp;"")," 週3ｺｰｽ","")," 週5ｺｰｽ",""),"")</f>
        <v/>
      </c>
      <c r="T212" s="176" t="str">
        <f t="array" aca="1" ref="T212" ca="1">IF(IF($R212&lt;&gt;"",
INDIRECT(""&amp;IF(COLUMN(D212)&lt;=26,CHAR(COLUMN(D212)+64),CHAR(INT((COLUMN(D212)-1)/26)+64)&amp;CHAR(MOD(COLUMN(D212)-1,26)+65))&amp;$R212&amp;""),"")=0,"",
IF($R212&lt;&gt;"",
INDIRECT(""&amp;IF(COLUMN(D212)&lt;=26,CHAR(COLUMN(D212)+64),CHAR(INT((COLUMN(D212)-1)/26)+64)&amp;CHAR(MOD(COLUMN(D212)-1,26)+65))&amp;$R212&amp;""),""))</f>
        <v/>
      </c>
      <c r="U212" s="218" t="str">
        <f t="array" aca="1" ref="U212" ca="1">IF($R212&lt;&gt;"",
INDIRECT("F"&amp;$R212&amp;""),"")</f>
        <v/>
      </c>
      <c r="V212" s="219" t="str">
        <f t="array" aca="1" ref="V212" ca="1">IF($R212&lt;&gt;"",
INDIRECT("G"&amp;$R212&amp;""),"")</f>
        <v/>
      </c>
      <c r="W212" s="219" t="str" cm="1">
        <f t="array" aca="1" ref="W212" ca="1">IF($R212&lt;&gt;"",
IF(AND(COUNTIF(INDIRECT("B"&amp;R212&amp;""),"*雙葉*"),COUNTIF($B$71:$B$210,"*雙葉*")&gt;=1),
IF(OR(COUNTIF(INDIRECT("B"&amp;R212&amp;""),"*雙葉先生*"),COUNTIF(INDIRECT("B"&amp;R212-1&amp;""),"*雙葉*")),INDIRECT("H"&amp;R212&amp;""),INDIRECT("H"&amp;R212&amp;"")+INDIRECT("H"&amp;MATCH("雙葉'",INDIRECT("B"&amp;R212+3&amp;":B210"),0)+2+R212&amp;"")),
IF(AND(LEFT(INDIRECT("B"&amp;R212&amp;""),2)="博多",COUNTIF(B:B,"*博多*")&gt;=2),
INDIRECT("H"&amp;R212&amp;"")+IFERROR(INDIRECT("H"&amp;MATCH("*"&amp;INDIRECT("B"&amp;R212&amp;"")&amp;"*",INDIRECT("B"&amp;R212+1&amp;":B210"),0)+R212&amp;""),0),
IF(AND(LEFT(INDIRECT("B"&amp;R212&amp;""),3)="奈良屋",COUNTIF(B:B,"*奈良屋*")&gt;=2),
INDIRECT("H"&amp;R212&amp;"")
+INDIRECT("H"&amp;MATCH("*"&amp;INDIRECT("B"&amp;R212&amp;"")&amp;"*",INDIRECT("B"&amp;R212+1&amp;":B210"),0)+R212&amp;"")
+INDIRECT("H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
+INDIRECT("H"&amp;MATCH("*"&amp;INDIRECT("B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&amp;"*",INDIRECT("B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+1&amp;":B210"),0)+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,
INDIRECT("H"&amp;R212&amp;"")))),"")</f>
        <v/>
      </c>
      <c r="X212" s="176" t="str">
        <f t="array" aca="1" ref="X212" ca="1">IF($R212&lt;&gt;"",
INDIRECT(""&amp;IF(COLUMN(I212)&lt;=26,CHAR(COLUMN(I212)+64),CHAR(INT((COLUMN(I212)-1)/26)+64)&amp;CHAR(MOD(COLUMN(I212)-1,26)+65))&amp;$R212&amp;""),"")</f>
        <v/>
      </c>
      <c r="Y212" s="176" t="str">
        <f t="array" aca="1" ref="Y212" ca="1">IF($R212&lt;&gt;"",
INDIRECT(""&amp;IF(COLUMN(J212)&lt;=26,CHAR(COLUMN(J212)+64),CHAR(INT((COLUMN(J212)-1)/26)+64)&amp;CHAR(MOD(COLUMN(J212)-1,26)+65))&amp;$R212&amp;""),"")</f>
        <v/>
      </c>
      <c r="Z212" s="176" t="str">
        <f t="shared" ca="1" si="89"/>
        <v/>
      </c>
      <c r="AA212" s="176" t="str">
        <f t="shared" ca="1" si="90"/>
        <v/>
      </c>
      <c r="AB212" s="176" t="str">
        <f t="array" aca="1" ref="AB212" ca="1">IF($R212&lt;&gt;"",
IF(AND(COUNTIF(INDIRECT("B"&amp;R212&amp;""),"*雙葉*"),COUNTIF(INDIRECT("B"&amp;R212&amp;""),"&lt;&gt;*先生*"),COUNTIF(B:B,"*雙葉*")&gt;=2),
INDIRECT("M"&amp;R212&amp;"")+INDIRECT("M"&amp;MATCH("雙葉'",INDIRECT("B"&amp;R212+1&amp;":B210"),0)+R212&amp;""),
IF(AND(LEFT(INDIRECT("B"&amp;R212&amp;""),2)="博多",COUNTIF(B:B,"*博多*")&gt;=2),
INDIRECT("M"&amp;R212&amp;"")+INDIRECT("M"&amp;MATCH("*"&amp;INDIRECT("B"&amp;R212&amp;"")&amp;"*",INDIRECT("B"&amp;R212+1&amp;":B210"),0)+R212&amp;""),
IF(AND(LEFT(INDIRECT("B"&amp;R212&amp;""),3)="奈良屋",COUNTIF(B:B,"*奈良屋*")&gt;=2),
INDIRECT("M"&amp;R212&amp;"")+INDIRECT("M"&amp;MATCH("*"&amp;INDIRECT("B"&amp;R212&amp;"")&amp;"*",INDIRECT("B"&amp;R212+1&amp;":B210"),0)+R212&amp;"")
+INDIRECT("M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,
INDIRECT("M"&amp;R212&amp;"")))),"")</f>
        <v/>
      </c>
      <c r="AC212" s="176" t="str">
        <f t="shared" ca="1" si="91"/>
        <v/>
      </c>
      <c r="AD212" s="176" t="str">
        <f t="shared" ca="1" si="92"/>
        <v/>
      </c>
      <c r="AE212" s="176" t="str">
        <f t="shared" ca="1" si="93"/>
        <v/>
      </c>
      <c r="AF212" s="176" t="str">
        <f t="shared" ca="1" si="94"/>
        <v/>
      </c>
      <c r="AG212" s="176" t="str">
        <f t="shared" ca="1" si="95"/>
        <v/>
      </c>
      <c r="AH212" s="183" t="str">
        <f t="shared" ca="1" si="96"/>
        <v/>
      </c>
      <c r="AI212" s="176" t="str">
        <f t="shared" ca="1" si="97"/>
        <v/>
      </c>
      <c r="AJ212" s="176" t="str">
        <f t="shared" ca="1" si="98"/>
        <v/>
      </c>
      <c r="AK212" s="176" t="str">
        <f t="shared" ca="1" si="99"/>
        <v/>
      </c>
      <c r="AL212" s="176" t="str">
        <f t="shared" ca="1" si="100"/>
        <v/>
      </c>
      <c r="AM212" s="176" t="str">
        <f t="shared" ca="1" si="101"/>
        <v/>
      </c>
      <c r="AN212" s="176" t="str">
        <f t="shared" ca="1" si="102"/>
        <v/>
      </c>
      <c r="AO212" s="176" t="str">
        <f t="shared" ca="1" si="103"/>
        <v/>
      </c>
      <c r="AP212" s="176" t="str">
        <f t="shared" ca="1" si="104"/>
        <v/>
      </c>
      <c r="AU212" s="176" t="str">
        <f t="shared" ca="1" si="105"/>
        <v/>
      </c>
    </row>
    <row r="213" spans="1:47">
      <c r="A213" s="100" t="e">
        <f ca="1">A212</f>
        <v>#N/A</v>
      </c>
      <c r="B213" s="114"/>
      <c r="C213" s="115" t="str">
        <f>社食等の札!A5</f>
        <v>配送</v>
      </c>
      <c r="D213" s="115"/>
      <c r="E213" s="115"/>
      <c r="F213" s="115"/>
      <c r="G213" s="115"/>
      <c r="H213" s="114">
        <f>社食等の札!E5</f>
        <v>2</v>
      </c>
      <c r="I213" s="114"/>
      <c r="J213" s="114"/>
      <c r="M213" s="114"/>
      <c r="P213" s="114">
        <f>ROW()</f>
        <v>213</v>
      </c>
      <c r="Q213" s="114" t="b">
        <v>1</v>
      </c>
      <c r="R213" s="176" t="str">
        <f t="array" aca="1" ref="R213" ca="1">IFERROR(SMALL(IF(P$1:P$311&lt;&gt;0,P$1:P$311),ROW(A213)),"")</f>
        <v/>
      </c>
      <c r="S213" s="176" t="str">
        <f t="array" aca="1" ref="S213" ca="1">IF($R213&lt;&gt;"",
SUBSTITUTE(SUBSTITUTE(INDIRECT("C"&amp;$R213&amp;"")," 週3ｺｰｽ","")," 週5ｺｰｽ",""),"")</f>
        <v/>
      </c>
      <c r="T213" s="176" t="str">
        <f t="array" aca="1" ref="T213" ca="1">IF(IF($R213&lt;&gt;"",
INDIRECT(""&amp;IF(COLUMN(D213)&lt;=26,CHAR(COLUMN(D213)+64),CHAR(INT((COLUMN(D213)-1)/26)+64)&amp;CHAR(MOD(COLUMN(D213)-1,26)+65))&amp;$R213&amp;""),"")=0,"",
IF($R213&lt;&gt;"",
INDIRECT(""&amp;IF(COLUMN(D213)&lt;=26,CHAR(COLUMN(D213)+64),CHAR(INT((COLUMN(D213)-1)/26)+64)&amp;CHAR(MOD(COLUMN(D213)-1,26)+65))&amp;$R213&amp;""),""))</f>
        <v/>
      </c>
      <c r="U213" s="218" t="str">
        <f t="array" aca="1" ref="U213" ca="1">IF($R213&lt;&gt;"",
INDIRECT("F"&amp;$R213&amp;""),"")</f>
        <v/>
      </c>
      <c r="V213" s="219" t="str">
        <f t="array" aca="1" ref="V213" ca="1">IF($R213&lt;&gt;"",
INDIRECT("G"&amp;$R213&amp;""),"")</f>
        <v/>
      </c>
      <c r="W213" s="219" t="str" cm="1">
        <f t="array" aca="1" ref="W213" ca="1">IF($R213&lt;&gt;"",
IF(AND(COUNTIF(INDIRECT("B"&amp;R213&amp;""),"*雙葉*"),COUNTIF($B$71:$B$210,"*雙葉*")&gt;=1),
IF(OR(COUNTIF(INDIRECT("B"&amp;R213&amp;""),"*雙葉先生*"),COUNTIF(INDIRECT("B"&amp;R213-1&amp;""),"*雙葉*")),INDIRECT("H"&amp;R213&amp;""),INDIRECT("H"&amp;R213&amp;"")+INDIRECT("H"&amp;MATCH("雙葉'",INDIRECT("B"&amp;R213+3&amp;":B210"),0)+2+R213&amp;"")),
IF(AND(LEFT(INDIRECT("B"&amp;R213&amp;""),2)="博多",COUNTIF(B:B,"*博多*")&gt;=2),
INDIRECT("H"&amp;R213&amp;"")+IFERROR(INDIRECT("H"&amp;MATCH("*"&amp;INDIRECT("B"&amp;R213&amp;"")&amp;"*",INDIRECT("B"&amp;R213+1&amp;":B210"),0)+R213&amp;""),0),
IF(AND(LEFT(INDIRECT("B"&amp;R213&amp;""),3)="奈良屋",COUNTIF(B:B,"*奈良屋*")&gt;=2),
INDIRECT("H"&amp;R213&amp;"")
+INDIRECT("H"&amp;MATCH("*"&amp;INDIRECT("B"&amp;R213&amp;"")&amp;"*",INDIRECT("B"&amp;R213+1&amp;":B210"),0)+R213&amp;"")
+INDIRECT("H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
+INDIRECT("H"&amp;MATCH("*"&amp;INDIRECT("B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&amp;"*",INDIRECT("B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+1&amp;":B210"),0)+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,
INDIRECT("H"&amp;R213&amp;"")))),"")</f>
        <v/>
      </c>
      <c r="X213" s="176" t="str">
        <f t="array" aca="1" ref="X213" ca="1">IF($R213&lt;&gt;"",
INDIRECT(""&amp;IF(COLUMN(I213)&lt;=26,CHAR(COLUMN(I213)+64),CHAR(INT((COLUMN(I213)-1)/26)+64)&amp;CHAR(MOD(COLUMN(I213)-1,26)+65))&amp;$R213&amp;""),"")</f>
        <v/>
      </c>
      <c r="Y213" s="176" t="str">
        <f t="array" aca="1" ref="Y213" ca="1">IF($R213&lt;&gt;"",
INDIRECT(""&amp;IF(COLUMN(J213)&lt;=26,CHAR(COLUMN(J213)+64),CHAR(INT((COLUMN(J213)-1)/26)+64)&amp;CHAR(MOD(COLUMN(J213)-1,26)+65))&amp;$R213&amp;""),"")</f>
        <v/>
      </c>
      <c r="Z213" s="176" t="str">
        <f t="shared" ca="1" si="89"/>
        <v/>
      </c>
      <c r="AA213" s="176" t="str">
        <f t="shared" ca="1" si="90"/>
        <v/>
      </c>
      <c r="AB213" s="176" t="str">
        <f t="array" aca="1" ref="AB213" ca="1">IF($R213&lt;&gt;"",
IF(AND(COUNTIF(INDIRECT("B"&amp;R213&amp;""),"*雙葉*"),COUNTIF(INDIRECT("B"&amp;R213&amp;""),"&lt;&gt;*先生*"),COUNTIF(B:B,"*雙葉*")&gt;=2),
INDIRECT("M"&amp;R213&amp;"")+INDIRECT("M"&amp;MATCH("雙葉'",INDIRECT("B"&amp;R213+1&amp;":B210"),0)+R213&amp;""),
IF(AND(LEFT(INDIRECT("B"&amp;R213&amp;""),2)="博多",COUNTIF(B:B,"*博多*")&gt;=2),
INDIRECT("M"&amp;R213&amp;"")+INDIRECT("M"&amp;MATCH("*"&amp;INDIRECT("B"&amp;R213&amp;"")&amp;"*",INDIRECT("B"&amp;R213+1&amp;":B210"),0)+R213&amp;""),
IF(AND(LEFT(INDIRECT("B"&amp;R213&amp;""),3)="奈良屋",COUNTIF(B:B,"*奈良屋*")&gt;=2),
INDIRECT("M"&amp;R213&amp;"")+INDIRECT("M"&amp;MATCH("*"&amp;INDIRECT("B"&amp;R213&amp;"")&amp;"*",INDIRECT("B"&amp;R213+1&amp;":B210"),0)+R213&amp;"")
+INDIRECT("M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,
INDIRECT("M"&amp;R213&amp;"")))),"")</f>
        <v/>
      </c>
      <c r="AC213" s="176" t="str">
        <f t="shared" ca="1" si="91"/>
        <v/>
      </c>
      <c r="AD213" s="176" t="str">
        <f t="shared" ca="1" si="92"/>
        <v/>
      </c>
      <c r="AE213" s="176" t="str">
        <f t="shared" ca="1" si="93"/>
        <v/>
      </c>
      <c r="AF213" s="176" t="str">
        <f t="shared" ca="1" si="94"/>
        <v/>
      </c>
      <c r="AG213" s="176" t="str">
        <f t="shared" ca="1" si="95"/>
        <v/>
      </c>
      <c r="AH213" s="183" t="str">
        <f t="shared" ca="1" si="96"/>
        <v/>
      </c>
      <c r="AI213" s="176" t="str">
        <f t="shared" ca="1" si="97"/>
        <v/>
      </c>
      <c r="AJ213" s="176" t="str">
        <f t="shared" ca="1" si="98"/>
        <v/>
      </c>
      <c r="AK213" s="176" t="str">
        <f t="shared" ca="1" si="99"/>
        <v/>
      </c>
      <c r="AL213" s="176" t="str">
        <f t="shared" ca="1" si="100"/>
        <v/>
      </c>
      <c r="AM213" s="176" t="str">
        <f t="shared" ca="1" si="101"/>
        <v/>
      </c>
      <c r="AN213" s="176" t="str">
        <f t="shared" ca="1" si="102"/>
        <v/>
      </c>
      <c r="AO213" s="176" t="str">
        <f t="shared" ca="1" si="103"/>
        <v/>
      </c>
      <c r="AP213" s="176" t="str">
        <f t="shared" ca="1" si="104"/>
        <v/>
      </c>
      <c r="AU213" s="176" t="str">
        <f t="shared" ca="1" si="105"/>
        <v/>
      </c>
    </row>
    <row r="214" spans="1:47">
      <c r="A214" s="100">
        <v>146</v>
      </c>
      <c r="B214" s="114"/>
      <c r="C214" s="115" t="str">
        <f>社食等の札!A6</f>
        <v>先生用</v>
      </c>
      <c r="D214" s="115"/>
      <c r="E214" s="115"/>
      <c r="F214" s="188" t="e">
        <f ca="1">社食等の札!C6</f>
        <v>#N/A</v>
      </c>
      <c r="G214" s="114" t="e">
        <f ca="1">社食等の札!D6</f>
        <v>#N/A</v>
      </c>
      <c r="H214" s="114" t="e">
        <f ca="1">社食等の札!E6</f>
        <v>#N/A</v>
      </c>
      <c r="I214" s="114"/>
      <c r="J214" s="114">
        <f>社食等の札!G6</f>
        <v>12</v>
      </c>
      <c r="M214" s="114"/>
      <c r="P214" s="114">
        <f>ROW()</f>
        <v>214</v>
      </c>
      <c r="Q214" s="114" t="b">
        <v>1</v>
      </c>
      <c r="R214" s="176" t="str">
        <f t="array" aca="1" ref="R214" ca="1">IFERROR(SMALL(IF(P$1:P$311&lt;&gt;0,P$1:P$311),ROW(A214)),"")</f>
        <v/>
      </c>
      <c r="S214" s="176" t="str">
        <f t="array" aca="1" ref="S214" ca="1">IF($R214&lt;&gt;"",
SUBSTITUTE(SUBSTITUTE(INDIRECT("C"&amp;$R214&amp;"")," 週3ｺｰｽ","")," 週5ｺｰｽ",""),"")</f>
        <v/>
      </c>
      <c r="T214" s="176" t="str">
        <f t="array" aca="1" ref="T214" ca="1">IF(IF($R214&lt;&gt;"",
INDIRECT(""&amp;IF(COLUMN(D214)&lt;=26,CHAR(COLUMN(D214)+64),CHAR(INT((COLUMN(D214)-1)/26)+64)&amp;CHAR(MOD(COLUMN(D214)-1,26)+65))&amp;$R214&amp;""),"")=0,"",
IF($R214&lt;&gt;"",
INDIRECT(""&amp;IF(COLUMN(D214)&lt;=26,CHAR(COLUMN(D214)+64),CHAR(INT((COLUMN(D214)-1)/26)+64)&amp;CHAR(MOD(COLUMN(D214)-1,26)+65))&amp;$R214&amp;""),""))</f>
        <v/>
      </c>
      <c r="U214" s="218" t="str">
        <f t="array" aca="1" ref="U214" ca="1">IF($R214&lt;&gt;"",
INDIRECT("F"&amp;$R214&amp;""),"")</f>
        <v/>
      </c>
      <c r="V214" s="219" t="str">
        <f t="array" aca="1" ref="V214" ca="1">IF($R214&lt;&gt;"",
INDIRECT("G"&amp;$R214&amp;""),"")</f>
        <v/>
      </c>
      <c r="W214" s="219" t="str" cm="1">
        <f t="array" aca="1" ref="W214" ca="1">IF($R214&lt;&gt;"",
IF(AND(COUNTIF(INDIRECT("B"&amp;R214&amp;""),"*雙葉*"),COUNTIF($B$71:$B$210,"*雙葉*")&gt;=1),
IF(OR(COUNTIF(INDIRECT("B"&amp;R214&amp;""),"*雙葉先生*"),COUNTIF(INDIRECT("B"&amp;R214-1&amp;""),"*雙葉*")),INDIRECT("H"&amp;R214&amp;""),INDIRECT("H"&amp;R214&amp;"")+INDIRECT("H"&amp;MATCH("雙葉'",INDIRECT("B"&amp;R214+3&amp;":B210"),0)+2+R214&amp;"")),
IF(AND(LEFT(INDIRECT("B"&amp;R214&amp;""),2)="博多",COUNTIF(B:B,"*博多*")&gt;=2),
INDIRECT("H"&amp;R214&amp;"")+IFERROR(INDIRECT("H"&amp;MATCH("*"&amp;INDIRECT("B"&amp;R214&amp;"")&amp;"*",INDIRECT("B"&amp;R214+1&amp;":B210"),0)+R214&amp;""),0),
IF(AND(LEFT(INDIRECT("B"&amp;R214&amp;""),3)="奈良屋",COUNTIF(B:B,"*奈良屋*")&gt;=2),
INDIRECT("H"&amp;R214&amp;"")
+INDIRECT("H"&amp;MATCH("*"&amp;INDIRECT("B"&amp;R214&amp;"")&amp;"*",INDIRECT("B"&amp;R214+1&amp;":B210"),0)+R214&amp;"")
+INDIRECT("H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
+INDIRECT("H"&amp;MATCH("*"&amp;INDIRECT("B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&amp;"*",INDIRECT("B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+1&amp;":B210"),0)+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,
INDIRECT("H"&amp;R214&amp;"")))),"")</f>
        <v/>
      </c>
      <c r="X214" s="176" t="str">
        <f t="array" aca="1" ref="X214" ca="1">IF($R214&lt;&gt;"",
INDIRECT(""&amp;IF(COLUMN(I214)&lt;=26,CHAR(COLUMN(I214)+64),CHAR(INT((COLUMN(I214)-1)/26)+64)&amp;CHAR(MOD(COLUMN(I214)-1,26)+65))&amp;$R214&amp;""),"")</f>
        <v/>
      </c>
      <c r="Y214" s="176" t="str">
        <f t="array" aca="1" ref="Y214" ca="1">IF($R214&lt;&gt;"",
INDIRECT(""&amp;IF(COLUMN(J214)&lt;=26,CHAR(COLUMN(J214)+64),CHAR(INT((COLUMN(J214)-1)/26)+64)&amp;CHAR(MOD(COLUMN(J214)-1,26)+65))&amp;$R214&amp;""),"")</f>
        <v/>
      </c>
      <c r="Z214" s="176" t="str">
        <f t="shared" ca="1" si="89"/>
        <v/>
      </c>
      <c r="AA214" s="176" t="str">
        <f t="shared" ca="1" si="90"/>
        <v/>
      </c>
      <c r="AB214" s="176" t="str">
        <f t="array" aca="1" ref="AB214" ca="1">IF($R214&lt;&gt;"",
IF(AND(COUNTIF(INDIRECT("B"&amp;R214&amp;""),"*雙葉*"),COUNTIF(INDIRECT("B"&amp;R214&amp;""),"&lt;&gt;*先生*"),COUNTIF(B:B,"*雙葉*")&gt;=2),
INDIRECT("M"&amp;R214&amp;"")+INDIRECT("M"&amp;MATCH("雙葉'",INDIRECT("B"&amp;R214+1&amp;":B210"),0)+R214&amp;""),
IF(AND(LEFT(INDIRECT("B"&amp;R214&amp;""),2)="博多",COUNTIF(B:B,"*博多*")&gt;=2),
INDIRECT("M"&amp;R214&amp;"")+INDIRECT("M"&amp;MATCH("*"&amp;INDIRECT("B"&amp;R214&amp;"")&amp;"*",INDIRECT("B"&amp;R214+1&amp;":B210"),0)+R214&amp;""),
IF(AND(LEFT(INDIRECT("B"&amp;R214&amp;""),3)="奈良屋",COUNTIF(B:B,"*奈良屋*")&gt;=2),
INDIRECT("M"&amp;R214&amp;"")+INDIRECT("M"&amp;MATCH("*"&amp;INDIRECT("B"&amp;R214&amp;"")&amp;"*",INDIRECT("B"&amp;R214+1&amp;":B210"),0)+R214&amp;"")
+INDIRECT("M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,
INDIRECT("M"&amp;R214&amp;"")))),"")</f>
        <v/>
      </c>
      <c r="AC214" s="176" t="str">
        <f t="shared" ca="1" si="91"/>
        <v/>
      </c>
      <c r="AD214" s="176" t="str">
        <f t="shared" ca="1" si="92"/>
        <v/>
      </c>
      <c r="AE214" s="176" t="str">
        <f t="shared" ca="1" si="93"/>
        <v/>
      </c>
      <c r="AF214" s="176" t="str">
        <f t="shared" ca="1" si="94"/>
        <v/>
      </c>
      <c r="AG214" s="176" t="str">
        <f t="shared" ca="1" si="95"/>
        <v/>
      </c>
      <c r="AH214" s="183" t="str">
        <f t="shared" ca="1" si="96"/>
        <v/>
      </c>
      <c r="AI214" s="176" t="str">
        <f t="shared" ca="1" si="97"/>
        <v/>
      </c>
      <c r="AJ214" s="176" t="str">
        <f t="shared" ca="1" si="98"/>
        <v/>
      </c>
      <c r="AK214" s="176" t="str">
        <f t="shared" ca="1" si="99"/>
        <v/>
      </c>
      <c r="AL214" s="176" t="str">
        <f t="shared" ca="1" si="100"/>
        <v/>
      </c>
      <c r="AM214" s="176" t="str">
        <f t="shared" ca="1" si="101"/>
        <v/>
      </c>
      <c r="AN214" s="176" t="str">
        <f t="shared" ca="1" si="102"/>
        <v/>
      </c>
      <c r="AO214" s="176" t="str">
        <f t="shared" ca="1" si="103"/>
        <v/>
      </c>
      <c r="AP214" s="176" t="str">
        <f t="shared" ca="1" si="104"/>
        <v/>
      </c>
      <c r="AU214" s="176" t="str">
        <f t="shared" ca="1" si="105"/>
        <v/>
      </c>
    </row>
    <row r="215" spans="1:47">
      <c r="A215" s="100" t="e">
        <f ca="1">A211</f>
        <v>#N/A</v>
      </c>
      <c r="B215" s="120"/>
      <c r="C215" s="121" t="str">
        <f>社食等の札!A1</f>
        <v>社食</v>
      </c>
      <c r="D215" s="121" t="s">
        <v>185</v>
      </c>
      <c r="E215" s="121"/>
      <c r="F215" s="121"/>
      <c r="G215" s="121"/>
      <c r="H215" s="120" t="e">
        <f ca="1">社食等の札!E1</f>
        <v>#N/A</v>
      </c>
      <c r="I215" s="120" t="str">
        <f>""</f>
        <v/>
      </c>
      <c r="J215" s="120">
        <f>社食等の札!G1</f>
        <v>0</v>
      </c>
      <c r="M215" s="120"/>
      <c r="P215" s="120">
        <f t="shared" ref="P215:P246" si="108">IF(Q215&lt;&gt;"",ROW(),"")</f>
        <v>215</v>
      </c>
      <c r="Q215" s="120" t="str">
        <f>IF(C215&lt;&gt;"","TRUE","")</f>
        <v>TRUE</v>
      </c>
      <c r="R215" s="176" t="str">
        <f t="array" aca="1" ref="R215" ca="1">IFERROR(SMALL(IF(P$1:P$311&lt;&gt;0,P$1:P$311),ROW(A215)),"")</f>
        <v/>
      </c>
      <c r="S215" s="176" t="str">
        <f t="array" aca="1" ref="S215" ca="1">IF($R215&lt;&gt;"",
SUBSTITUTE(SUBSTITUTE(INDIRECT("C"&amp;$R215&amp;"")," 週3ｺｰｽ","")," 週5ｺｰｽ",""),"")</f>
        <v/>
      </c>
      <c r="T215" s="176" t="str">
        <f t="array" aca="1" ref="T215" ca="1">IF(IF($R215&lt;&gt;"",
INDIRECT(""&amp;IF(COLUMN(D215)&lt;=26,CHAR(COLUMN(D215)+64),CHAR(INT((COLUMN(D215)-1)/26)+64)&amp;CHAR(MOD(COLUMN(D215)-1,26)+65))&amp;$R215&amp;""),"")=0,"",
IF($R215&lt;&gt;"",
INDIRECT(""&amp;IF(COLUMN(D215)&lt;=26,CHAR(COLUMN(D215)+64),CHAR(INT((COLUMN(D215)-1)/26)+64)&amp;CHAR(MOD(COLUMN(D215)-1,26)+65))&amp;$R215&amp;""),""))</f>
        <v/>
      </c>
      <c r="U215" s="218" t="str">
        <f t="array" aca="1" ref="U215" ca="1">IF($R215&lt;&gt;"",
INDIRECT("F"&amp;$R215&amp;""),"")</f>
        <v/>
      </c>
      <c r="V215" s="219" t="str">
        <f t="array" aca="1" ref="V215" ca="1">IF($R215&lt;&gt;"",
INDIRECT("G"&amp;$R215&amp;""),"")</f>
        <v/>
      </c>
      <c r="W215" s="219" t="str" cm="1">
        <f t="array" aca="1" ref="W215" ca="1">IF($R215&lt;&gt;"",
IF(AND(COUNTIF(INDIRECT("B"&amp;R215&amp;""),"*雙葉*"),COUNTIF($B$71:$B$210,"*雙葉*")&gt;=1),
IF(OR(COUNTIF(INDIRECT("B"&amp;R215&amp;""),"*雙葉先生*"),COUNTIF(INDIRECT("B"&amp;R215-1&amp;""),"*雙葉*")),INDIRECT("H"&amp;R215&amp;""),INDIRECT("H"&amp;R215&amp;"")+INDIRECT("H"&amp;MATCH("雙葉'",INDIRECT("B"&amp;R215+3&amp;":B210"),0)+2+R215&amp;"")),
IF(AND(LEFT(INDIRECT("B"&amp;R215&amp;""),2)="博多",COUNTIF(B:B,"*博多*")&gt;=2),
INDIRECT("H"&amp;R215&amp;"")+IFERROR(INDIRECT("H"&amp;MATCH("*"&amp;INDIRECT("B"&amp;R215&amp;"")&amp;"*",INDIRECT("B"&amp;R215+1&amp;":B210"),0)+R215&amp;""),0),
IF(AND(LEFT(INDIRECT("B"&amp;R215&amp;""),3)="奈良屋",COUNTIF(B:B,"*奈良屋*")&gt;=2),
INDIRECT("H"&amp;R215&amp;"")
+INDIRECT("H"&amp;MATCH("*"&amp;INDIRECT("B"&amp;R215&amp;"")&amp;"*",INDIRECT("B"&amp;R215+1&amp;":B210"),0)+R215&amp;"")
+INDIRECT("H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
+INDIRECT("H"&amp;MATCH("*"&amp;INDIRECT("B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&amp;"*",INDIRECT("B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+1&amp;":B210"),0)+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,
INDIRECT("H"&amp;R215&amp;"")))),"")</f>
        <v/>
      </c>
      <c r="X215" s="176" t="str">
        <f t="array" aca="1" ref="X215" ca="1">IF($R215&lt;&gt;"",
INDIRECT(""&amp;IF(COLUMN(I215)&lt;=26,CHAR(COLUMN(I215)+64),CHAR(INT((COLUMN(I215)-1)/26)+64)&amp;CHAR(MOD(COLUMN(I215)-1,26)+65))&amp;$R215&amp;""),"")</f>
        <v/>
      </c>
      <c r="Y215" s="176" t="str">
        <f t="array" aca="1" ref="Y215" ca="1">IF($R215&lt;&gt;"",
INDIRECT(""&amp;IF(COLUMN(J215)&lt;=26,CHAR(COLUMN(J215)+64),CHAR(INT((COLUMN(J215)-1)/26)+64)&amp;CHAR(MOD(COLUMN(J215)-1,26)+65))&amp;$R215&amp;""),"")</f>
        <v/>
      </c>
      <c r="Z215" s="176" t="str">
        <f t="shared" ca="1" si="89"/>
        <v/>
      </c>
      <c r="AA215" s="176" t="str">
        <f t="shared" ca="1" si="90"/>
        <v/>
      </c>
      <c r="AB215" s="176" t="str">
        <f t="array" aca="1" ref="AB215" ca="1">IF($R215&lt;&gt;"",
IF(AND(COUNTIF(INDIRECT("B"&amp;R215&amp;""),"*雙葉*"),COUNTIF(INDIRECT("B"&amp;R215&amp;""),"&lt;&gt;*先生*"),COUNTIF(B:B,"*雙葉*")&gt;=2),
INDIRECT("M"&amp;R215&amp;"")+INDIRECT("M"&amp;MATCH("雙葉'",INDIRECT("B"&amp;R215+1&amp;":B210"),0)+R215&amp;""),
IF(AND(LEFT(INDIRECT("B"&amp;R215&amp;""),2)="博多",COUNTIF(B:B,"*博多*")&gt;=2),
INDIRECT("M"&amp;R215&amp;"")+INDIRECT("M"&amp;MATCH("*"&amp;INDIRECT("B"&amp;R215&amp;"")&amp;"*",INDIRECT("B"&amp;R215+1&amp;":B210"),0)+R215&amp;""),
IF(AND(LEFT(INDIRECT("B"&amp;R215&amp;""),3)="奈良屋",COUNTIF(B:B,"*奈良屋*")&gt;=2),
INDIRECT("M"&amp;R215&amp;"")+INDIRECT("M"&amp;MATCH("*"&amp;INDIRECT("B"&amp;R215&amp;"")&amp;"*",INDIRECT("B"&amp;R215+1&amp;":B210"),0)+R215&amp;"")
+INDIRECT("M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,
INDIRECT("M"&amp;R215&amp;"")))),"")</f>
        <v/>
      </c>
      <c r="AC215" s="176" t="str">
        <f t="shared" ca="1" si="91"/>
        <v/>
      </c>
      <c r="AD215" s="176" t="str">
        <f t="shared" ca="1" si="92"/>
        <v/>
      </c>
      <c r="AE215" s="176" t="str">
        <f t="shared" ca="1" si="93"/>
        <v/>
      </c>
      <c r="AF215" s="176" t="str">
        <f t="shared" ca="1" si="94"/>
        <v/>
      </c>
      <c r="AG215" s="176" t="str">
        <f t="shared" ca="1" si="95"/>
        <v/>
      </c>
      <c r="AH215" s="183" t="str">
        <f t="shared" ca="1" si="96"/>
        <v/>
      </c>
      <c r="AI215" s="176" t="str">
        <f t="shared" ca="1" si="97"/>
        <v/>
      </c>
      <c r="AJ215" s="176" t="str">
        <f t="shared" ca="1" si="98"/>
        <v/>
      </c>
      <c r="AK215" s="176" t="str">
        <f t="shared" ca="1" si="99"/>
        <v/>
      </c>
      <c r="AL215" s="176" t="str">
        <f t="shared" ca="1" si="100"/>
        <v/>
      </c>
      <c r="AM215" s="176" t="str">
        <f t="shared" ca="1" si="101"/>
        <v/>
      </c>
      <c r="AN215" s="176" t="str">
        <f t="shared" ca="1" si="102"/>
        <v/>
      </c>
      <c r="AO215" s="176" t="str">
        <f t="shared" ca="1" si="103"/>
        <v/>
      </c>
      <c r="AP215" s="176" t="str">
        <f t="shared" ca="1" si="104"/>
        <v/>
      </c>
      <c r="AU215" s="176" t="str">
        <f t="shared" ca="1" si="105"/>
        <v/>
      </c>
    </row>
    <row r="216" spans="1:47">
      <c r="A216" s="100" t="e">
        <f ca="1">A211</f>
        <v>#N/A</v>
      </c>
      <c r="B216" s="120"/>
      <c r="C216" s="121" t="str">
        <f>社食等の札!A2</f>
        <v>社食</v>
      </c>
      <c r="D216" s="121" t="s">
        <v>184</v>
      </c>
      <c r="E216" s="121"/>
      <c r="F216" s="121"/>
      <c r="G216" s="121"/>
      <c r="H216" s="120" t="e">
        <f ca="1">社食等の札!E2</f>
        <v>#N/A</v>
      </c>
      <c r="I216" s="120" t="str">
        <f>""</f>
        <v/>
      </c>
      <c r="J216" s="120">
        <f>社食等の札!G2</f>
        <v>0</v>
      </c>
      <c r="M216" s="120"/>
      <c r="P216" s="120">
        <f t="shared" si="108"/>
        <v>216</v>
      </c>
      <c r="Q216" s="120" t="str">
        <f>IF(C216&lt;&gt;"","TRUE","")</f>
        <v>TRUE</v>
      </c>
      <c r="R216" s="176" t="str">
        <f t="array" aca="1" ref="R216" ca="1">IFERROR(SMALL(IF(P$1:P$311&lt;&gt;0,P$1:P$311),ROW(A216)),"")</f>
        <v/>
      </c>
      <c r="S216" s="176" t="str">
        <f t="array" aca="1" ref="S216" ca="1">IF($R216&lt;&gt;"",
SUBSTITUTE(SUBSTITUTE(INDIRECT("C"&amp;$R216&amp;"")," 週3ｺｰｽ","")," 週5ｺｰｽ",""),"")</f>
        <v/>
      </c>
      <c r="T216" s="176" t="str">
        <f t="array" aca="1" ref="T216" ca="1">IF(IF($R216&lt;&gt;"",
INDIRECT(""&amp;IF(COLUMN(D216)&lt;=26,CHAR(COLUMN(D216)+64),CHAR(INT((COLUMN(D216)-1)/26)+64)&amp;CHAR(MOD(COLUMN(D216)-1,26)+65))&amp;$R216&amp;""),"")=0,"",
IF($R216&lt;&gt;"",
INDIRECT(""&amp;IF(COLUMN(D216)&lt;=26,CHAR(COLUMN(D216)+64),CHAR(INT((COLUMN(D216)-1)/26)+64)&amp;CHAR(MOD(COLUMN(D216)-1,26)+65))&amp;$R216&amp;""),""))</f>
        <v/>
      </c>
      <c r="U216" s="218" t="str">
        <f t="array" aca="1" ref="U216" ca="1">IF($R216&lt;&gt;"",
INDIRECT("F"&amp;$R216&amp;""),"")</f>
        <v/>
      </c>
      <c r="V216" s="219" t="str">
        <f t="array" aca="1" ref="V216" ca="1">IF($R216&lt;&gt;"",
INDIRECT("G"&amp;$R216&amp;""),"")</f>
        <v/>
      </c>
      <c r="W216" s="219" t="str" cm="1">
        <f t="array" aca="1" ref="W216" ca="1">IF($R216&lt;&gt;"",
IF(AND(COUNTIF(INDIRECT("B"&amp;R216&amp;""),"*雙葉*"),COUNTIF($B$71:$B$210,"*雙葉*")&gt;=1),
IF(OR(COUNTIF(INDIRECT("B"&amp;R216&amp;""),"*雙葉先生*"),COUNTIF(INDIRECT("B"&amp;R216-1&amp;""),"*雙葉*")),INDIRECT("H"&amp;R216&amp;""),INDIRECT("H"&amp;R216&amp;"")+INDIRECT("H"&amp;MATCH("雙葉'",INDIRECT("B"&amp;R216+3&amp;":B210"),0)+2+R216&amp;"")),
IF(AND(LEFT(INDIRECT("B"&amp;R216&amp;""),2)="博多",COUNTIF(B:B,"*博多*")&gt;=2),
INDIRECT("H"&amp;R216&amp;"")+IFERROR(INDIRECT("H"&amp;MATCH("*"&amp;INDIRECT("B"&amp;R216&amp;"")&amp;"*",INDIRECT("B"&amp;R216+1&amp;":B210"),0)+R216&amp;""),0),
IF(AND(LEFT(INDIRECT("B"&amp;R216&amp;""),3)="奈良屋",COUNTIF(B:B,"*奈良屋*")&gt;=2),
INDIRECT("H"&amp;R216&amp;"")
+INDIRECT("H"&amp;MATCH("*"&amp;INDIRECT("B"&amp;R216&amp;"")&amp;"*",INDIRECT("B"&amp;R216+1&amp;":B210"),0)+R216&amp;"")
+INDIRECT("H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
+INDIRECT("H"&amp;MATCH("*"&amp;INDIRECT("B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&amp;"*",INDIRECT("B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+1&amp;":B210"),0)+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,
INDIRECT("H"&amp;R216&amp;"")))),"")</f>
        <v/>
      </c>
      <c r="X216" s="176" t="str">
        <f t="array" aca="1" ref="X216" ca="1">IF($R216&lt;&gt;"",
INDIRECT(""&amp;IF(COLUMN(I216)&lt;=26,CHAR(COLUMN(I216)+64),CHAR(INT((COLUMN(I216)-1)/26)+64)&amp;CHAR(MOD(COLUMN(I216)-1,26)+65))&amp;$R216&amp;""),"")</f>
        <v/>
      </c>
      <c r="Y216" s="176" t="str">
        <f t="array" aca="1" ref="Y216" ca="1">IF($R216&lt;&gt;"",
INDIRECT(""&amp;IF(COLUMN(J216)&lt;=26,CHAR(COLUMN(J216)+64),CHAR(INT((COLUMN(J216)-1)/26)+64)&amp;CHAR(MOD(COLUMN(J216)-1,26)+65))&amp;$R216&amp;""),"")</f>
        <v/>
      </c>
      <c r="Z216" s="176" t="str">
        <f t="shared" ca="1" si="89"/>
        <v/>
      </c>
      <c r="AA216" s="176" t="str">
        <f t="shared" ca="1" si="90"/>
        <v/>
      </c>
      <c r="AB216" s="176" t="str">
        <f t="array" aca="1" ref="AB216" ca="1">IF($R216&lt;&gt;"",
IF(AND(COUNTIF(INDIRECT("B"&amp;R216&amp;""),"*雙葉*"),COUNTIF(INDIRECT("B"&amp;R216&amp;""),"&lt;&gt;*先生*"),COUNTIF(B:B,"*雙葉*")&gt;=2),
INDIRECT("M"&amp;R216&amp;"")+INDIRECT("M"&amp;MATCH("雙葉'",INDIRECT("B"&amp;R216+1&amp;":B210"),0)+R216&amp;""),
IF(AND(LEFT(INDIRECT("B"&amp;R216&amp;""),2)="博多",COUNTIF(B:B,"*博多*")&gt;=2),
INDIRECT("M"&amp;R216&amp;"")+INDIRECT("M"&amp;MATCH("*"&amp;INDIRECT("B"&amp;R216&amp;"")&amp;"*",INDIRECT("B"&amp;R216+1&amp;":B210"),0)+R216&amp;""),
IF(AND(LEFT(INDIRECT("B"&amp;R216&amp;""),3)="奈良屋",COUNTIF(B:B,"*奈良屋*")&gt;=2),
INDIRECT("M"&amp;R216&amp;"")+INDIRECT("M"&amp;MATCH("*"&amp;INDIRECT("B"&amp;R216&amp;"")&amp;"*",INDIRECT("B"&amp;R216+1&amp;":B210"),0)+R216&amp;"")
+INDIRECT("M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,
INDIRECT("M"&amp;R216&amp;"")))),"")</f>
        <v/>
      </c>
      <c r="AC216" s="176" t="str">
        <f t="shared" ca="1" si="91"/>
        <v/>
      </c>
      <c r="AD216" s="176" t="str">
        <f t="shared" ca="1" si="92"/>
        <v/>
      </c>
      <c r="AE216" s="176" t="str">
        <f t="shared" ca="1" si="93"/>
        <v/>
      </c>
      <c r="AF216" s="176" t="str">
        <f t="shared" ca="1" si="94"/>
        <v/>
      </c>
      <c r="AG216" s="176" t="str">
        <f t="shared" ca="1" si="95"/>
        <v/>
      </c>
      <c r="AH216" s="183" t="str">
        <f t="shared" ca="1" si="96"/>
        <v/>
      </c>
      <c r="AI216" s="176" t="str">
        <f t="shared" ca="1" si="97"/>
        <v/>
      </c>
      <c r="AJ216" s="176" t="str">
        <f t="shared" ca="1" si="98"/>
        <v/>
      </c>
      <c r="AK216" s="176" t="str">
        <f t="shared" ca="1" si="99"/>
        <v/>
      </c>
      <c r="AL216" s="176" t="str">
        <f t="shared" ca="1" si="100"/>
        <v/>
      </c>
      <c r="AM216" s="176" t="str">
        <f t="shared" ca="1" si="101"/>
        <v/>
      </c>
      <c r="AN216" s="176" t="str">
        <f t="shared" ca="1" si="102"/>
        <v/>
      </c>
      <c r="AO216" s="176" t="str">
        <f t="shared" ca="1" si="103"/>
        <v/>
      </c>
      <c r="AP216" s="176" t="str">
        <f t="shared" ca="1" si="104"/>
        <v/>
      </c>
      <c r="AU216" s="176" t="str">
        <f t="shared" ca="1" si="105"/>
        <v/>
      </c>
    </row>
    <row r="217" spans="1:47">
      <c r="A217" s="100" t="e">
        <f ca="1">A211</f>
        <v>#N/A</v>
      </c>
      <c r="B217" s="120"/>
      <c r="C217" s="121" t="str">
        <f ca="1">社食等の札!A7</f>
        <v/>
      </c>
      <c r="D217" s="121" t="str">
        <f ca="1">社食等の札!H7</f>
        <v/>
      </c>
      <c r="E217" s="121"/>
      <c r="F217" s="121"/>
      <c r="G217" s="121"/>
      <c r="H217" s="120" t="str">
        <f ca="1">社食等の札!E7</f>
        <v/>
      </c>
      <c r="I217" s="120" t="str">
        <f>""</f>
        <v/>
      </c>
      <c r="J217" s="120" t="str">
        <f ca="1">社食等の札!G7</f>
        <v/>
      </c>
      <c r="M217" s="120"/>
      <c r="P217" s="120" t="str">
        <f t="shared" ca="1" si="108"/>
        <v/>
      </c>
      <c r="Q217" s="120" t="str">
        <f ca="1">IF(C217&lt;&gt;"","TRUE","")</f>
        <v/>
      </c>
      <c r="R217" s="176" t="str">
        <f t="array" aca="1" ref="R217" ca="1">IFERROR(SMALL(IF(P$1:P$311&lt;&gt;0,P$1:P$311),ROW(A217)),"")</f>
        <v/>
      </c>
      <c r="S217" s="176" t="str">
        <f t="array" aca="1" ref="S217" ca="1">IF($R217&lt;&gt;"",
SUBSTITUTE(SUBSTITUTE(INDIRECT("C"&amp;$R217&amp;"")," 週3ｺｰｽ","")," 週5ｺｰｽ",""),"")</f>
        <v/>
      </c>
      <c r="T217" s="176" t="str">
        <f t="array" aca="1" ref="T217" ca="1">IF(IF($R217&lt;&gt;"",
INDIRECT(""&amp;IF(COLUMN(D217)&lt;=26,CHAR(COLUMN(D217)+64),CHAR(INT((COLUMN(D217)-1)/26)+64)&amp;CHAR(MOD(COLUMN(D217)-1,26)+65))&amp;$R217&amp;""),"")=0,"",
IF($R217&lt;&gt;"",
INDIRECT(""&amp;IF(COLUMN(D217)&lt;=26,CHAR(COLUMN(D217)+64),CHAR(INT((COLUMN(D217)-1)/26)+64)&amp;CHAR(MOD(COLUMN(D217)-1,26)+65))&amp;$R217&amp;""),""))</f>
        <v/>
      </c>
      <c r="U217" s="218" t="str">
        <f t="array" aca="1" ref="U217" ca="1">IF($R217&lt;&gt;"",
INDIRECT("F"&amp;$R217&amp;""),"")</f>
        <v/>
      </c>
      <c r="V217" s="219" t="str">
        <f t="array" aca="1" ref="V217" ca="1">IF($R217&lt;&gt;"",
INDIRECT("G"&amp;$R217&amp;""),"")</f>
        <v/>
      </c>
      <c r="W217" s="219" t="str" cm="1">
        <f t="array" aca="1" ref="W217" ca="1">IF($R217&lt;&gt;"",
IF(AND(COUNTIF(INDIRECT("B"&amp;R217&amp;""),"*雙葉*"),COUNTIF($B$71:$B$210,"*雙葉*")&gt;=1),
IF(OR(COUNTIF(INDIRECT("B"&amp;R217&amp;""),"*雙葉先生*"),COUNTIF(INDIRECT("B"&amp;R217-1&amp;""),"*雙葉*")),INDIRECT("H"&amp;R217&amp;""),INDIRECT("H"&amp;R217&amp;"")+INDIRECT("H"&amp;MATCH("雙葉'",INDIRECT("B"&amp;R217+3&amp;":B210"),0)+2+R217&amp;"")),
IF(AND(LEFT(INDIRECT("B"&amp;R217&amp;""),2)="博多",COUNTIF(B:B,"*博多*")&gt;=2),
INDIRECT("H"&amp;R217&amp;"")+IFERROR(INDIRECT("H"&amp;MATCH("*"&amp;INDIRECT("B"&amp;R217&amp;"")&amp;"*",INDIRECT("B"&amp;R217+1&amp;":B210"),0)+R217&amp;""),0),
IF(AND(LEFT(INDIRECT("B"&amp;R217&amp;""),3)="奈良屋",COUNTIF(B:B,"*奈良屋*")&gt;=2),
INDIRECT("H"&amp;R217&amp;"")
+INDIRECT("H"&amp;MATCH("*"&amp;INDIRECT("B"&amp;R217&amp;"")&amp;"*",INDIRECT("B"&amp;R217+1&amp;":B210"),0)+R217&amp;"")
+INDIRECT("H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
+INDIRECT("H"&amp;MATCH("*"&amp;INDIRECT("B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&amp;"*",INDIRECT("B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+1&amp;":B210"),0)+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,
INDIRECT("H"&amp;R217&amp;"")))),"")</f>
        <v/>
      </c>
      <c r="X217" s="176" t="str">
        <f t="array" aca="1" ref="X217" ca="1">IF($R217&lt;&gt;"",
INDIRECT(""&amp;IF(COLUMN(I217)&lt;=26,CHAR(COLUMN(I217)+64),CHAR(INT((COLUMN(I217)-1)/26)+64)&amp;CHAR(MOD(COLUMN(I217)-1,26)+65))&amp;$R217&amp;""),"")</f>
        <v/>
      </c>
      <c r="Y217" s="176" t="str">
        <f t="array" aca="1" ref="Y217" ca="1">IF($R217&lt;&gt;"",
INDIRECT(""&amp;IF(COLUMN(J217)&lt;=26,CHAR(COLUMN(J217)+64),CHAR(INT((COLUMN(J217)-1)/26)+64)&amp;CHAR(MOD(COLUMN(J217)-1,26)+65))&amp;$R217&amp;""),"")</f>
        <v/>
      </c>
      <c r="Z217" s="176" t="str">
        <f t="shared" ca="1" si="89"/>
        <v/>
      </c>
      <c r="AA217" s="176" t="str">
        <f t="shared" ca="1" si="90"/>
        <v/>
      </c>
      <c r="AB217" s="176" t="str">
        <f t="array" aca="1" ref="AB217" ca="1">IF($R217&lt;&gt;"",
IF(AND(COUNTIF(INDIRECT("B"&amp;R217&amp;""),"*雙葉*"),COUNTIF(INDIRECT("B"&amp;R217&amp;""),"&lt;&gt;*先生*"),COUNTIF(B:B,"*雙葉*")&gt;=2),
INDIRECT("M"&amp;R217&amp;"")+INDIRECT("M"&amp;MATCH("雙葉'",INDIRECT("B"&amp;R217+1&amp;":B210"),0)+R217&amp;""),
IF(AND(LEFT(INDIRECT("B"&amp;R217&amp;""),2)="博多",COUNTIF(B:B,"*博多*")&gt;=2),
INDIRECT("M"&amp;R217&amp;"")+INDIRECT("M"&amp;MATCH("*"&amp;INDIRECT("B"&amp;R217&amp;"")&amp;"*",INDIRECT("B"&amp;R217+1&amp;":B210"),0)+R217&amp;""),
IF(AND(LEFT(INDIRECT("B"&amp;R217&amp;""),3)="奈良屋",COUNTIF(B:B,"*奈良屋*")&gt;=2),
INDIRECT("M"&amp;R217&amp;"")+INDIRECT("M"&amp;MATCH("*"&amp;INDIRECT("B"&amp;R217&amp;"")&amp;"*",INDIRECT("B"&amp;R217+1&amp;":B210"),0)+R217&amp;"")
+INDIRECT("M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,
INDIRECT("M"&amp;R217&amp;"")))),"")</f>
        <v/>
      </c>
      <c r="AC217" s="176" t="str">
        <f t="shared" ca="1" si="91"/>
        <v/>
      </c>
      <c r="AD217" s="176" t="str">
        <f t="shared" ca="1" si="92"/>
        <v/>
      </c>
      <c r="AE217" s="176" t="str">
        <f t="shared" ca="1" si="93"/>
        <v/>
      </c>
      <c r="AF217" s="176" t="str">
        <f t="shared" ca="1" si="94"/>
        <v/>
      </c>
      <c r="AG217" s="176" t="str">
        <f t="shared" ca="1" si="95"/>
        <v/>
      </c>
      <c r="AH217" s="183" t="str">
        <f t="shared" ca="1" si="96"/>
        <v/>
      </c>
      <c r="AI217" s="176" t="str">
        <f t="shared" ca="1" si="97"/>
        <v/>
      </c>
      <c r="AJ217" s="176" t="str">
        <f t="shared" ca="1" si="98"/>
        <v/>
      </c>
      <c r="AK217" s="176" t="str">
        <f t="shared" ca="1" si="99"/>
        <v/>
      </c>
      <c r="AL217" s="176" t="str">
        <f t="shared" ca="1" si="100"/>
        <v/>
      </c>
      <c r="AM217" s="176" t="str">
        <f t="shared" ca="1" si="101"/>
        <v/>
      </c>
      <c r="AN217" s="176" t="str">
        <f t="shared" ca="1" si="102"/>
        <v/>
      </c>
      <c r="AO217" s="176" t="str">
        <f t="shared" ca="1" si="103"/>
        <v/>
      </c>
      <c r="AP217" s="176" t="str">
        <f t="shared" ca="1" si="104"/>
        <v/>
      </c>
      <c r="AU217" s="176" t="str">
        <f t="shared" ca="1" si="105"/>
        <v/>
      </c>
    </row>
    <row r="218" spans="1:47">
      <c r="A218" s="100" t="e">
        <f ca="1">A211</f>
        <v>#N/A</v>
      </c>
      <c r="B218" s="120"/>
      <c r="C218" s="121" t="str">
        <f ca="1">社食等の札!A8</f>
        <v/>
      </c>
      <c r="D218" s="121" t="str">
        <f ca="1">社食等の札!H8</f>
        <v/>
      </c>
      <c r="E218" s="121"/>
      <c r="F218" s="121"/>
      <c r="G218" s="121"/>
      <c r="H218" s="120" t="str">
        <f>""</f>
        <v/>
      </c>
      <c r="I218" s="120" t="str">
        <f ca="1">社食等の札!F8</f>
        <v/>
      </c>
      <c r="J218" s="120" t="str">
        <f ca="1">社食等の札!G8</f>
        <v/>
      </c>
      <c r="M218" s="120"/>
      <c r="P218" s="120" t="str">
        <f t="shared" ca="1" si="108"/>
        <v/>
      </c>
      <c r="Q218" s="120" t="str">
        <f ca="1">IF(C218&lt;&gt;"","TRUE","")</f>
        <v/>
      </c>
      <c r="R218" s="176" t="str">
        <f t="array" aca="1" ref="R218" ca="1">IFERROR(SMALL(IF(P$1:P$311&lt;&gt;0,P$1:P$311),ROW(A218)),"")</f>
        <v/>
      </c>
      <c r="S218" s="176" t="str">
        <f t="array" aca="1" ref="S218" ca="1">IF($R218&lt;&gt;"",
SUBSTITUTE(SUBSTITUTE(INDIRECT("C"&amp;$R218&amp;"")," 週3ｺｰｽ","")," 週5ｺｰｽ",""),"")</f>
        <v/>
      </c>
      <c r="T218" s="176" t="str">
        <f t="array" aca="1" ref="T218" ca="1">IF(IF($R218&lt;&gt;"",
INDIRECT(""&amp;IF(COLUMN(D218)&lt;=26,CHAR(COLUMN(D218)+64),CHAR(INT((COLUMN(D218)-1)/26)+64)&amp;CHAR(MOD(COLUMN(D218)-1,26)+65))&amp;$R218&amp;""),"")=0,"",
IF($R218&lt;&gt;"",
INDIRECT(""&amp;IF(COLUMN(D218)&lt;=26,CHAR(COLUMN(D218)+64),CHAR(INT((COLUMN(D218)-1)/26)+64)&amp;CHAR(MOD(COLUMN(D218)-1,26)+65))&amp;$R218&amp;""),""))</f>
        <v/>
      </c>
      <c r="U218" s="218" t="str">
        <f t="array" aca="1" ref="U218" ca="1">IF($R218&lt;&gt;"",
INDIRECT("F"&amp;$R218&amp;""),"")</f>
        <v/>
      </c>
      <c r="V218" s="219" t="str">
        <f t="array" aca="1" ref="V218" ca="1">IF($R218&lt;&gt;"",
INDIRECT("G"&amp;$R218&amp;""),"")</f>
        <v/>
      </c>
      <c r="W218" s="219" t="str" cm="1">
        <f t="array" aca="1" ref="W218" ca="1">IF($R218&lt;&gt;"",
IF(AND(COUNTIF(INDIRECT("B"&amp;R218&amp;""),"*雙葉*"),COUNTIF($B$71:$B$210,"*雙葉*")&gt;=1),
IF(OR(COUNTIF(INDIRECT("B"&amp;R218&amp;""),"*雙葉先生*"),COUNTIF(INDIRECT("B"&amp;R218-1&amp;""),"*雙葉*")),INDIRECT("H"&amp;R218&amp;""),INDIRECT("H"&amp;R218&amp;"")+INDIRECT("H"&amp;MATCH("雙葉'",INDIRECT("B"&amp;R218+3&amp;":B210"),0)+2+R218&amp;"")),
IF(AND(LEFT(INDIRECT("B"&amp;R218&amp;""),2)="博多",COUNTIF(B:B,"*博多*")&gt;=2),
INDIRECT("H"&amp;R218&amp;"")+IFERROR(INDIRECT("H"&amp;MATCH("*"&amp;INDIRECT("B"&amp;R218&amp;"")&amp;"*",INDIRECT("B"&amp;R218+1&amp;":B210"),0)+R218&amp;""),0),
IF(AND(LEFT(INDIRECT("B"&amp;R218&amp;""),3)="奈良屋",COUNTIF(B:B,"*奈良屋*")&gt;=2),
INDIRECT("H"&amp;R218&amp;"")
+INDIRECT("H"&amp;MATCH("*"&amp;INDIRECT("B"&amp;R218&amp;"")&amp;"*",INDIRECT("B"&amp;R218+1&amp;":B210"),0)+R218&amp;"")
+INDIRECT("H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
+INDIRECT("H"&amp;MATCH("*"&amp;INDIRECT("B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&amp;"*",INDIRECT("B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+1&amp;":B210"),0)+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,
INDIRECT("H"&amp;R218&amp;"")))),"")</f>
        <v/>
      </c>
      <c r="X218" s="176" t="str">
        <f t="array" aca="1" ref="X218" ca="1">IF($R218&lt;&gt;"",
INDIRECT(""&amp;IF(COLUMN(I218)&lt;=26,CHAR(COLUMN(I218)+64),CHAR(INT((COLUMN(I218)-1)/26)+64)&amp;CHAR(MOD(COLUMN(I218)-1,26)+65))&amp;$R218&amp;""),"")</f>
        <v/>
      </c>
      <c r="Y218" s="176" t="str">
        <f t="array" aca="1" ref="Y218" ca="1">IF($R218&lt;&gt;"",
INDIRECT(""&amp;IF(COLUMN(J218)&lt;=26,CHAR(COLUMN(J218)+64),CHAR(INT((COLUMN(J218)-1)/26)+64)&amp;CHAR(MOD(COLUMN(J218)-1,26)+65))&amp;$R218&amp;""),"")</f>
        <v/>
      </c>
      <c r="Z218" s="176" t="str">
        <f t="shared" ca="1" si="89"/>
        <v/>
      </c>
      <c r="AA218" s="176" t="str">
        <f t="shared" ca="1" si="90"/>
        <v/>
      </c>
      <c r="AB218" s="176" t="str">
        <f t="array" aca="1" ref="AB218" ca="1">IF($R218&lt;&gt;"",
IF(AND(COUNTIF(INDIRECT("B"&amp;R218&amp;""),"*雙葉*"),COUNTIF(INDIRECT("B"&amp;R218&amp;""),"&lt;&gt;*先生*"),COUNTIF(B:B,"*雙葉*")&gt;=2),
INDIRECT("M"&amp;R218&amp;"")+INDIRECT("M"&amp;MATCH("雙葉'",INDIRECT("B"&amp;R218+1&amp;":B210"),0)+R218&amp;""),
IF(AND(LEFT(INDIRECT("B"&amp;R218&amp;""),2)="博多",COUNTIF(B:B,"*博多*")&gt;=2),
INDIRECT("M"&amp;R218&amp;"")+INDIRECT("M"&amp;MATCH("*"&amp;INDIRECT("B"&amp;R218&amp;"")&amp;"*",INDIRECT("B"&amp;R218+1&amp;":B210"),0)+R218&amp;""),
IF(AND(LEFT(INDIRECT("B"&amp;R218&amp;""),3)="奈良屋",COUNTIF(B:B,"*奈良屋*")&gt;=2),
INDIRECT("M"&amp;R218&amp;"")+INDIRECT("M"&amp;MATCH("*"&amp;INDIRECT("B"&amp;R218&amp;"")&amp;"*",INDIRECT("B"&amp;R218+1&amp;":B210"),0)+R218&amp;"")
+INDIRECT("M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,
INDIRECT("M"&amp;R218&amp;"")))),"")</f>
        <v/>
      </c>
      <c r="AC218" s="176" t="str">
        <f t="shared" ca="1" si="91"/>
        <v/>
      </c>
      <c r="AD218" s="176" t="str">
        <f t="shared" ca="1" si="92"/>
        <v/>
      </c>
      <c r="AE218" s="176" t="str">
        <f t="shared" ca="1" si="93"/>
        <v/>
      </c>
      <c r="AF218" s="176" t="str">
        <f t="shared" ca="1" si="94"/>
        <v/>
      </c>
      <c r="AG218" s="176" t="str">
        <f t="shared" ca="1" si="95"/>
        <v/>
      </c>
      <c r="AH218" s="183" t="str">
        <f t="shared" ca="1" si="96"/>
        <v/>
      </c>
      <c r="AI218" s="176" t="str">
        <f t="shared" ca="1" si="97"/>
        <v/>
      </c>
      <c r="AJ218" s="176" t="str">
        <f t="shared" ca="1" si="98"/>
        <v/>
      </c>
      <c r="AK218" s="176" t="str">
        <f t="shared" ca="1" si="99"/>
        <v/>
      </c>
      <c r="AL218" s="176" t="str">
        <f t="shared" ca="1" si="100"/>
        <v/>
      </c>
      <c r="AM218" s="176" t="str">
        <f t="shared" ca="1" si="101"/>
        <v/>
      </c>
      <c r="AN218" s="176" t="str">
        <f t="shared" ca="1" si="102"/>
        <v/>
      </c>
      <c r="AO218" s="176" t="str">
        <f t="shared" ca="1" si="103"/>
        <v/>
      </c>
      <c r="AP218" s="176" t="str">
        <f t="shared" ca="1" si="104"/>
        <v/>
      </c>
      <c r="AU218" s="176" t="str">
        <f t="shared" ca="1" si="105"/>
        <v/>
      </c>
    </row>
    <row r="219" spans="1:47">
      <c r="A219" s="100">
        <f>A214+1</f>
        <v>147</v>
      </c>
      <c r="B219" s="116">
        <v>2</v>
      </c>
      <c r="C219" s="117" t="str">
        <f t="array" aca="1" ref="C219" ca="1">IF(INDIRECT("まとめ札!A"&amp;B219&amp;"")&lt;&gt;0,INDIRECT("まとめ札!A"&amp;B219&amp;"")&amp;"【1】","")</f>
        <v>キャラ弁当 飯あり【1】</v>
      </c>
      <c r="D219" s="117"/>
      <c r="E219" s="117"/>
      <c r="F219" s="189" t="e">
        <f ca="1">IF(C219&lt;&gt;"",
IF(IF(COUNTIF(C219,"*キャラ*"),
VLOOKUP("*キャラ*",商品マスタ!$D:$E,2,FALSE),
VLOOKUP("*赤*",商品マスタ!$D:$E,2,FALSE))=0,"",
IF(H219&lt;&gt;"",
IF(ROUND(
H219/IF(COUNTIF(C219,"*キャラ*"),
VLOOKUP("*キャラ*",商品マスタ!$D:$E,2,FALSE),
VLOOKUP("*赤*",商品マスタ!$D:$E,2,FALSE)),0)&lt;=0,1,
ROUND(
H219/IF(COUNTIF(C219,"*キャラ*"),
VLOOKUP("*キャラ*",商品マスタ!$D:$E,2,FALSE),
VLOOKUP("*赤*",商品マスタ!$D:$E,2,FALSE)),0)),"")),"")</f>
        <v>#N/A</v>
      </c>
      <c r="G219" s="118" t="e">
        <f ca="1">IF(F219&lt;&gt;"",IF(VALUE(H219)&gt;VALUE(IF(COUNTIF(C219,"*キャラ*"),
VLOOKUP("*キャラ*",商品マスタ!$D:$E,2,FALSE),
VLOOKUP("*赤*",商品マスタ!$D:$E,2,FALSE))*F219),
"+"&amp;H219-IF(COUNTIF(C219,"*キャラ*"),
VLOOKUP("*キャラ*",商品マスタ!$D:$E,2,FALSE),
VLOOKUP("*赤*",商品マスタ!$D:$E,2,FALSE))*F219,
H219-IF(COUNTIF(C219,"*キャラ*"),
VLOOKUP("*キャラ*",商品マスタ!$D:$E,2,FALSE),
VLOOKUP("*赤*",商品マスタ!$D:$E,2,FALSE))*F219),"")</f>
        <v>#N/A</v>
      </c>
      <c r="H219" s="116" t="e">
        <f t="array" aca="1" ref="H219" ca="1">IF(INDIRECT("まとめ札!F"&amp;B219&amp;"")&lt;&gt;0,INDIRECT("まとめ札!F"&amp;B219&amp;""),"")</f>
        <v>#N/A</v>
      </c>
      <c r="I219" s="116"/>
      <c r="J219" s="116">
        <f ca="1">IF(C219&lt;&gt;"",
IF(OR(COUNTIF(C219,"*キャラ*"),COUNTIF(C219,"*赤*")),24,
VLOOKUP(C219,#REF!,6,FALSE)),"")</f>
        <v>24</v>
      </c>
      <c r="M219" s="116"/>
      <c r="P219" s="116" t="e">
        <f t="shared" ca="1" si="108"/>
        <v>#N/A</v>
      </c>
      <c r="Q219" s="116" t="e">
        <f t="shared" ref="Q219:Q265" ca="1" si="109">IF(H219&lt;&gt;"","TRUE","")</f>
        <v>#N/A</v>
      </c>
      <c r="R219" s="176" t="str">
        <f t="array" aca="1" ref="R219" ca="1">IFERROR(SMALL(IF(P$1:P$311&lt;&gt;0,P$1:P$311),ROW(A219)),"")</f>
        <v/>
      </c>
      <c r="S219" s="176" t="str">
        <f t="array" aca="1" ref="S219" ca="1">IF($R219&lt;&gt;"",
SUBSTITUTE(SUBSTITUTE(INDIRECT("C"&amp;$R219&amp;"")," 週3ｺｰｽ","")," 週5ｺｰｽ",""),"")</f>
        <v/>
      </c>
      <c r="T219" s="176" t="str">
        <f t="array" aca="1" ref="T219" ca="1">IF(IF($R219&lt;&gt;"",
INDIRECT(""&amp;IF(COLUMN(D219)&lt;=26,CHAR(COLUMN(D219)+64),CHAR(INT((COLUMN(D219)-1)/26)+64)&amp;CHAR(MOD(COLUMN(D219)-1,26)+65))&amp;$R219&amp;""),"")=0,"",
IF($R219&lt;&gt;"",
INDIRECT(""&amp;IF(COLUMN(D219)&lt;=26,CHAR(COLUMN(D219)+64),CHAR(INT((COLUMN(D219)-1)/26)+64)&amp;CHAR(MOD(COLUMN(D219)-1,26)+65))&amp;$R219&amp;""),""))</f>
        <v/>
      </c>
      <c r="U219" s="218" t="str">
        <f t="array" aca="1" ref="U219" ca="1">IF($R219&lt;&gt;"",
INDIRECT("F"&amp;$R219&amp;""),"")</f>
        <v/>
      </c>
      <c r="V219" s="219" t="str">
        <f t="array" aca="1" ref="V219" ca="1">IF($R219&lt;&gt;"",
INDIRECT("G"&amp;$R219&amp;""),"")</f>
        <v/>
      </c>
      <c r="W219" s="219" t="str" cm="1">
        <f t="array" aca="1" ref="W219" ca="1">IF($R219&lt;&gt;"",
IF(AND(COUNTIF(INDIRECT("B"&amp;R219&amp;""),"*雙葉*"),COUNTIF($B$71:$B$210,"*雙葉*")&gt;=1),
IF(OR(COUNTIF(INDIRECT("B"&amp;R219&amp;""),"*雙葉先生*"),COUNTIF(INDIRECT("B"&amp;R219-1&amp;""),"*雙葉*")),INDIRECT("H"&amp;R219&amp;""),INDIRECT("H"&amp;R219&amp;"")+INDIRECT("H"&amp;MATCH("雙葉'",INDIRECT("B"&amp;R219+3&amp;":B210"),0)+2+R219&amp;"")),
IF(AND(LEFT(INDIRECT("B"&amp;R219&amp;""),2)="博多",COUNTIF(B:B,"*博多*")&gt;=2),
INDIRECT("H"&amp;R219&amp;"")+IFERROR(INDIRECT("H"&amp;MATCH("*"&amp;INDIRECT("B"&amp;R219&amp;"")&amp;"*",INDIRECT("B"&amp;R219+1&amp;":B210"),0)+R219&amp;""),0),
IF(AND(LEFT(INDIRECT("B"&amp;R219&amp;""),3)="奈良屋",COUNTIF(B:B,"*奈良屋*")&gt;=2),
INDIRECT("H"&amp;R219&amp;"")
+INDIRECT("H"&amp;MATCH("*"&amp;INDIRECT("B"&amp;R219&amp;"")&amp;"*",INDIRECT("B"&amp;R219+1&amp;":B210"),0)+R219&amp;"")
+INDIRECT("H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
+INDIRECT("H"&amp;MATCH("*"&amp;INDIRECT("B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&amp;"*",INDIRECT("B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+1&amp;":B210"),0)+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,
INDIRECT("H"&amp;R219&amp;"")))),"")</f>
        <v/>
      </c>
      <c r="X219" s="176" t="str">
        <f t="array" aca="1" ref="X219" ca="1">IF($R219&lt;&gt;"",
INDIRECT(""&amp;IF(COLUMN(I219)&lt;=26,CHAR(COLUMN(I219)+64),CHAR(INT((COLUMN(I219)-1)/26)+64)&amp;CHAR(MOD(COLUMN(I219)-1,26)+65))&amp;$R219&amp;""),"")</f>
        <v/>
      </c>
      <c r="Y219" s="176" t="str">
        <f t="array" aca="1" ref="Y219" ca="1">IF($R219&lt;&gt;"",
INDIRECT(""&amp;IF(COLUMN(J219)&lt;=26,CHAR(COLUMN(J219)+64),CHAR(INT((COLUMN(J219)-1)/26)+64)&amp;CHAR(MOD(COLUMN(J219)-1,26)+65))&amp;$R219&amp;""),"")</f>
        <v/>
      </c>
      <c r="Z219" s="176" t="str">
        <f t="shared" ca="1" si="89"/>
        <v/>
      </c>
      <c r="AA219" s="176" t="str">
        <f t="shared" ca="1" si="90"/>
        <v/>
      </c>
      <c r="AB219" s="176" t="str">
        <f t="array" aca="1" ref="AB219" ca="1">IF($R219&lt;&gt;"",
IF(AND(COUNTIF(INDIRECT("B"&amp;R219&amp;""),"*雙葉*"),COUNTIF(INDIRECT("B"&amp;R219&amp;""),"&lt;&gt;*先生*"),COUNTIF(B:B,"*雙葉*")&gt;=2),
INDIRECT("M"&amp;R219&amp;"")+INDIRECT("M"&amp;MATCH("雙葉'",INDIRECT("B"&amp;R219+1&amp;":B210"),0)+R219&amp;""),
IF(AND(LEFT(INDIRECT("B"&amp;R219&amp;""),2)="博多",COUNTIF(B:B,"*博多*")&gt;=2),
INDIRECT("M"&amp;R219&amp;"")+INDIRECT("M"&amp;MATCH("*"&amp;INDIRECT("B"&amp;R219&amp;"")&amp;"*",INDIRECT("B"&amp;R219+1&amp;":B210"),0)+R219&amp;""),
IF(AND(LEFT(INDIRECT("B"&amp;R219&amp;""),3)="奈良屋",COUNTIF(B:B,"*奈良屋*")&gt;=2),
INDIRECT("M"&amp;R219&amp;"")+INDIRECT("M"&amp;MATCH("*"&amp;INDIRECT("B"&amp;R219&amp;"")&amp;"*",INDIRECT("B"&amp;R219+1&amp;":B210"),0)+R219&amp;"")
+INDIRECT("M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,
INDIRECT("M"&amp;R219&amp;"")))),"")</f>
        <v/>
      </c>
      <c r="AC219" s="176" t="str">
        <f t="shared" ca="1" si="91"/>
        <v/>
      </c>
      <c r="AD219" s="176" t="str">
        <f t="shared" ca="1" si="92"/>
        <v/>
      </c>
      <c r="AE219" s="176" t="str">
        <f t="shared" ca="1" si="93"/>
        <v/>
      </c>
      <c r="AF219" s="176" t="str">
        <f t="shared" ca="1" si="94"/>
        <v/>
      </c>
      <c r="AG219" s="176" t="str">
        <f t="shared" ca="1" si="95"/>
        <v/>
      </c>
      <c r="AH219" s="183" t="str">
        <f t="shared" ca="1" si="96"/>
        <v/>
      </c>
      <c r="AI219" s="176" t="str">
        <f t="shared" ca="1" si="97"/>
        <v/>
      </c>
      <c r="AJ219" s="176" t="str">
        <f t="shared" ca="1" si="98"/>
        <v/>
      </c>
      <c r="AK219" s="176" t="str">
        <f t="shared" ca="1" si="99"/>
        <v/>
      </c>
      <c r="AL219" s="176" t="str">
        <f t="shared" ca="1" si="100"/>
        <v/>
      </c>
      <c r="AM219" s="176" t="str">
        <f t="shared" ca="1" si="101"/>
        <v/>
      </c>
      <c r="AN219" s="176" t="str">
        <f t="shared" ca="1" si="102"/>
        <v/>
      </c>
      <c r="AO219" s="176" t="str">
        <f t="shared" ca="1" si="103"/>
        <v/>
      </c>
      <c r="AP219" s="176" t="str">
        <f t="shared" ca="1" si="104"/>
        <v/>
      </c>
      <c r="AU219" s="176" t="str">
        <f t="shared" ca="1" si="105"/>
        <v/>
      </c>
    </row>
    <row r="220" spans="1:47">
      <c r="A220" s="100" t="str">
        <f ca="1">IF(C220&lt;&gt;"",A219+1,"")</f>
        <v/>
      </c>
      <c r="B220" s="116"/>
      <c r="C220" s="117" t="str">
        <f t="array" aca="1" ref="C220" ca="1">IF(OR(INDIRECT("まとめ札!G"&amp;B219&amp;"")="",INDIRECT("まとめ札!G"&amp;B219&amp;"")=0),"",INDIRECT("まとめ札!A"&amp;B219&amp;"")&amp;"【2】")</f>
        <v/>
      </c>
      <c r="D220" s="117"/>
      <c r="E220" s="117"/>
      <c r="F220" s="189" t="str">
        <f ca="1">IF(C220&lt;&gt;"",
IF(IF(COUNTIF(C220,"*キャラ*"),
VLOOKUP("*キャラ*",商品マスタ!$D:$E,2,FALSE),
VLOOKUP("*赤*",商品マスタ!$D:$E,2,FALSE))=0,"",
IF(H220&lt;&gt;"",
IF(ROUND(
H220/IF(COUNTIF(C220,"*キャラ*"),
VLOOKUP("*キャラ*",商品マスタ!$D:$E,2,FALSE),
VLOOKUP("*赤*",商品マスタ!$D:$E,2,FALSE)),0)&lt;=0,1,
ROUND(
H220/IF(COUNTIF(C220,"*キャラ*"),
VLOOKUP("*キャラ*",商品マスタ!$D:$E,2,FALSE),
VLOOKUP("*赤*",商品マスタ!$D:$E,2,FALSE)),0)),"")),"")</f>
        <v/>
      </c>
      <c r="G220" s="118" t="str">
        <f ca="1">IF(F220&lt;&gt;"",IF(VALUE(H220)&gt;VALUE(IF(COUNTIF(C220,"*キャラ*"),
VLOOKUP("*キャラ*",商品マスタ!$D:$E,2,FALSE),
VLOOKUP("*赤*",商品マスタ!$D:$E,2,FALSE))*F220),
"+"&amp;H220-IF(COUNTIF(C220,"*キャラ*"),
VLOOKUP("*キャラ*",商品マスタ!$D:$E,2,FALSE),
VLOOKUP("*赤*",商品マスタ!$D:$E,2,FALSE))*F220,
H220-IF(COUNTIF(C220,"*キャラ*"),
VLOOKUP("*キャラ*",商品マスタ!$D:$E,2,FALSE),
VLOOKUP("*赤*",商品マスタ!$D:$E,2,FALSE))*F220),"")</f>
        <v/>
      </c>
      <c r="H220" s="116" t="str">
        <f t="array" aca="1" ref="H220" ca="1">IF(OR(INDIRECT("まとめ札!G"&amp;B219&amp;"")="",INDIRECT("まとめ札!G"&amp;B219&amp;"")=0),"",INDIRECT("まとめ札!G"&amp;B219&amp;""))</f>
        <v/>
      </c>
      <c r="I220" s="116"/>
      <c r="J220" s="116" t="str">
        <f ca="1">IF(C220&lt;&gt;"",
IF(OR(COUNTIF(C220,"*キャラ*"),COUNTIF(C220,"*赤*")),24,
VLOOKUP(C220,#REF!,6,FALSE)),"")</f>
        <v/>
      </c>
      <c r="M220" s="116"/>
      <c r="P220" s="116" t="str">
        <f t="shared" ca="1" si="108"/>
        <v/>
      </c>
      <c r="Q220" s="116" t="str">
        <f t="shared" ca="1" si="109"/>
        <v/>
      </c>
      <c r="R220" s="176" t="str">
        <f t="array" aca="1" ref="R220" ca="1">IFERROR(SMALL(IF(P$1:P$311&lt;&gt;0,P$1:P$311),ROW(A220)),"")</f>
        <v/>
      </c>
      <c r="S220" s="176" t="str">
        <f t="array" aca="1" ref="S220" ca="1">IF($R220&lt;&gt;"",
SUBSTITUTE(SUBSTITUTE(INDIRECT("C"&amp;$R220&amp;"")," 週3ｺｰｽ","")," 週5ｺｰｽ",""),"")</f>
        <v/>
      </c>
      <c r="T220" s="176" t="str">
        <f t="array" aca="1" ref="T220" ca="1">IF(IF($R220&lt;&gt;"",
INDIRECT(""&amp;IF(COLUMN(D220)&lt;=26,CHAR(COLUMN(D220)+64),CHAR(INT((COLUMN(D220)-1)/26)+64)&amp;CHAR(MOD(COLUMN(D220)-1,26)+65))&amp;$R220&amp;""),"")=0,"",
IF($R220&lt;&gt;"",
INDIRECT(""&amp;IF(COLUMN(D220)&lt;=26,CHAR(COLUMN(D220)+64),CHAR(INT((COLUMN(D220)-1)/26)+64)&amp;CHAR(MOD(COLUMN(D220)-1,26)+65))&amp;$R220&amp;""),""))</f>
        <v/>
      </c>
      <c r="U220" s="218" t="str">
        <f t="array" aca="1" ref="U220" ca="1">IF($R220&lt;&gt;"",
INDIRECT("F"&amp;$R220&amp;""),"")</f>
        <v/>
      </c>
      <c r="V220" s="219" t="str">
        <f t="array" aca="1" ref="V220" ca="1">IF($R220&lt;&gt;"",
INDIRECT("G"&amp;$R220&amp;""),"")</f>
        <v/>
      </c>
      <c r="W220" s="219" t="str" cm="1">
        <f t="array" aca="1" ref="W220" ca="1">IF($R220&lt;&gt;"",
IF(AND(COUNTIF(INDIRECT("B"&amp;R220&amp;""),"*雙葉*"),COUNTIF($B$71:$B$210,"*雙葉*")&gt;=1),
IF(OR(COUNTIF(INDIRECT("B"&amp;R220&amp;""),"*雙葉先生*"),COUNTIF(INDIRECT("B"&amp;R220-1&amp;""),"*雙葉*")),INDIRECT("H"&amp;R220&amp;""),INDIRECT("H"&amp;R220&amp;"")+INDIRECT("H"&amp;MATCH("雙葉'",INDIRECT("B"&amp;R220+3&amp;":B210"),0)+2+R220&amp;"")),
IF(AND(LEFT(INDIRECT("B"&amp;R220&amp;""),2)="博多",COUNTIF(B:B,"*博多*")&gt;=2),
INDIRECT("H"&amp;R220&amp;"")+IFERROR(INDIRECT("H"&amp;MATCH("*"&amp;INDIRECT("B"&amp;R220&amp;"")&amp;"*",INDIRECT("B"&amp;R220+1&amp;":B210"),0)+R220&amp;""),0),
IF(AND(LEFT(INDIRECT("B"&amp;R220&amp;""),3)="奈良屋",COUNTIF(B:B,"*奈良屋*")&gt;=2),
INDIRECT("H"&amp;R220&amp;"")
+INDIRECT("H"&amp;MATCH("*"&amp;INDIRECT("B"&amp;R220&amp;"")&amp;"*",INDIRECT("B"&amp;R220+1&amp;":B210"),0)+R220&amp;"")
+INDIRECT("H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
+INDIRECT("H"&amp;MATCH("*"&amp;INDIRECT("B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&amp;"*",INDIRECT("B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+1&amp;":B210"),0)+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,
INDIRECT("H"&amp;R220&amp;"")))),"")</f>
        <v/>
      </c>
      <c r="X220" s="176" t="str">
        <f t="array" aca="1" ref="X220" ca="1">IF($R220&lt;&gt;"",
INDIRECT(""&amp;IF(COLUMN(I220)&lt;=26,CHAR(COLUMN(I220)+64),CHAR(INT((COLUMN(I220)-1)/26)+64)&amp;CHAR(MOD(COLUMN(I220)-1,26)+65))&amp;$R220&amp;""),"")</f>
        <v/>
      </c>
      <c r="Y220" s="176" t="str">
        <f t="array" aca="1" ref="Y220" ca="1">IF($R220&lt;&gt;"",
INDIRECT(""&amp;IF(COLUMN(J220)&lt;=26,CHAR(COLUMN(J220)+64),CHAR(INT((COLUMN(J220)-1)/26)+64)&amp;CHAR(MOD(COLUMN(J220)-1,26)+65))&amp;$R220&amp;""),"")</f>
        <v/>
      </c>
      <c r="Z220" s="176" t="str">
        <f t="shared" ca="1" si="89"/>
        <v/>
      </c>
      <c r="AA220" s="176" t="str">
        <f t="shared" ca="1" si="90"/>
        <v/>
      </c>
      <c r="AB220" s="176" t="str">
        <f t="array" aca="1" ref="AB220" ca="1">IF($R220&lt;&gt;"",
IF(AND(COUNTIF(INDIRECT("B"&amp;R220&amp;""),"*雙葉*"),COUNTIF(INDIRECT("B"&amp;R220&amp;""),"&lt;&gt;*先生*"),COUNTIF(B:B,"*雙葉*")&gt;=2),
INDIRECT("M"&amp;R220&amp;"")+INDIRECT("M"&amp;MATCH("雙葉'",INDIRECT("B"&amp;R220+1&amp;":B210"),0)+R220&amp;""),
IF(AND(LEFT(INDIRECT("B"&amp;R220&amp;""),2)="博多",COUNTIF(B:B,"*博多*")&gt;=2),
INDIRECT("M"&amp;R220&amp;"")+INDIRECT("M"&amp;MATCH("*"&amp;INDIRECT("B"&amp;R220&amp;"")&amp;"*",INDIRECT("B"&amp;R220+1&amp;":B210"),0)+R220&amp;""),
IF(AND(LEFT(INDIRECT("B"&amp;R220&amp;""),3)="奈良屋",COUNTIF(B:B,"*奈良屋*")&gt;=2),
INDIRECT("M"&amp;R220&amp;"")+INDIRECT("M"&amp;MATCH("*"&amp;INDIRECT("B"&amp;R220&amp;"")&amp;"*",INDIRECT("B"&amp;R220+1&amp;":B210"),0)+R220&amp;"")
+INDIRECT("M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,
INDIRECT("M"&amp;R220&amp;"")))),"")</f>
        <v/>
      </c>
      <c r="AC220" s="176" t="str">
        <f t="shared" ca="1" si="91"/>
        <v/>
      </c>
      <c r="AD220" s="176" t="str">
        <f t="shared" ca="1" si="92"/>
        <v/>
      </c>
      <c r="AE220" s="176" t="str">
        <f t="shared" ca="1" si="93"/>
        <v/>
      </c>
      <c r="AF220" s="176" t="str">
        <f t="shared" ca="1" si="94"/>
        <v/>
      </c>
      <c r="AG220" s="176" t="str">
        <f t="shared" ca="1" si="95"/>
        <v/>
      </c>
      <c r="AH220" s="183" t="str">
        <f t="shared" ca="1" si="96"/>
        <v/>
      </c>
      <c r="AI220" s="176" t="str">
        <f t="shared" ca="1" si="97"/>
        <v/>
      </c>
      <c r="AJ220" s="176" t="str">
        <f t="shared" ca="1" si="98"/>
        <v/>
      </c>
      <c r="AK220" s="176" t="str">
        <f t="shared" ca="1" si="99"/>
        <v/>
      </c>
      <c r="AL220" s="176" t="str">
        <f t="shared" ca="1" si="100"/>
        <v/>
      </c>
      <c r="AM220" s="176" t="str">
        <f t="shared" ca="1" si="101"/>
        <v/>
      </c>
      <c r="AN220" s="176" t="str">
        <f t="shared" ca="1" si="102"/>
        <v/>
      </c>
      <c r="AO220" s="176" t="str">
        <f t="shared" ca="1" si="103"/>
        <v/>
      </c>
      <c r="AP220" s="176" t="str">
        <f t="shared" ca="1" si="104"/>
        <v/>
      </c>
      <c r="AU220" s="176" t="str">
        <f t="shared" ca="1" si="105"/>
        <v/>
      </c>
    </row>
    <row r="221" spans="1:47">
      <c r="A221" s="100" t="str">
        <f ca="1">IF(C221&lt;&gt;"",A220+1,"")</f>
        <v/>
      </c>
      <c r="B221" s="116"/>
      <c r="C221" s="117" t="str">
        <f t="array" aca="1" ref="C221" ca="1">IF(OR(INDIRECT("まとめ札!H"&amp;B219&amp;"")="",INDIRECT("まとめ札!H"&amp;B219&amp;"")=0),"",INDIRECT("まとめ札!A"&amp;B219&amp;"")&amp;"【3】")</f>
        <v/>
      </c>
      <c r="D221" s="117"/>
      <c r="E221" s="117"/>
      <c r="F221" s="189" t="str">
        <f ca="1">IF(C221&lt;&gt;"",
IF(IF(COUNTIF(C221,"*キャラ*"),
VLOOKUP("*キャラ*",商品マスタ!$D:$E,2,FALSE),
VLOOKUP("*赤*",商品マスタ!$D:$E,2,FALSE))=0,"",
IF(H221&lt;&gt;"",
IF(ROUND(
H221/IF(COUNTIF(C221,"*キャラ*"),
VLOOKUP("*キャラ*",商品マスタ!$D:$E,2,FALSE),
VLOOKUP("*赤*",商品マスタ!$D:$E,2,FALSE)),0)&lt;=0,1,
ROUND(
H221/IF(COUNTIF(C221,"*キャラ*"),
VLOOKUP("*キャラ*",商品マスタ!$D:$E,2,FALSE),
VLOOKUP("*赤*",商品マスタ!$D:$E,2,FALSE)),0)),"")),"")</f>
        <v/>
      </c>
      <c r="G221" s="118" t="str">
        <f ca="1">IF(F221&lt;&gt;"",IF(VALUE(H221)&gt;VALUE(IF(COUNTIF(C221,"*キャラ*"),
VLOOKUP("*キャラ*",商品マスタ!$D:$E,2,FALSE),
VLOOKUP("*赤*",商品マスタ!$D:$E,2,FALSE))*F221),
"+"&amp;H221-IF(COUNTIF(C221,"*キャラ*"),
VLOOKUP("*キャラ*",商品マスタ!$D:$E,2,FALSE),
VLOOKUP("*赤*",商品マスタ!$D:$E,2,FALSE))*F221,
H221-IF(COUNTIF(C221,"*キャラ*"),
VLOOKUP("*キャラ*",商品マスタ!$D:$E,2,FALSE),
VLOOKUP("*赤*",商品マスタ!$D:$E,2,FALSE))*F221),"")</f>
        <v/>
      </c>
      <c r="H221" s="116" t="str">
        <f t="array" aca="1" ref="H221" ca="1">IF(OR(INDIRECT("まとめ札!H"&amp;B219&amp;"")="",INDIRECT("まとめ札!H"&amp;B219&amp;"")=0),"",INDIRECT("まとめ札!H"&amp;B219&amp;""))</f>
        <v/>
      </c>
      <c r="I221" s="116"/>
      <c r="J221" s="116" t="str">
        <f ca="1">IF(C221&lt;&gt;"",
IF(OR(COUNTIF(C221,"*キャラ*"),COUNTIF(C221,"*赤*")),24,
VLOOKUP(C221,#REF!,6,FALSE)),"")</f>
        <v/>
      </c>
      <c r="M221" s="116"/>
      <c r="P221" s="116" t="str">
        <f t="shared" ca="1" si="108"/>
        <v/>
      </c>
      <c r="Q221" s="116" t="str">
        <f t="shared" ca="1" si="109"/>
        <v/>
      </c>
      <c r="R221" s="176" t="str">
        <f t="array" aca="1" ref="R221" ca="1">IFERROR(SMALL(IF(P$1:P$311&lt;&gt;0,P$1:P$311),ROW(A221)),"")</f>
        <v/>
      </c>
      <c r="S221" s="176" t="str">
        <f t="array" aca="1" ref="S221" ca="1">IF($R221&lt;&gt;"",
SUBSTITUTE(SUBSTITUTE(INDIRECT("C"&amp;$R221&amp;"")," 週3ｺｰｽ","")," 週5ｺｰｽ",""),"")</f>
        <v/>
      </c>
      <c r="T221" s="176" t="str">
        <f t="array" aca="1" ref="T221" ca="1">IF(IF($R221&lt;&gt;"",
INDIRECT(""&amp;IF(COLUMN(D221)&lt;=26,CHAR(COLUMN(D221)+64),CHAR(INT((COLUMN(D221)-1)/26)+64)&amp;CHAR(MOD(COLUMN(D221)-1,26)+65))&amp;$R221&amp;""),"")=0,"",
IF($R221&lt;&gt;"",
INDIRECT(""&amp;IF(COLUMN(D221)&lt;=26,CHAR(COLUMN(D221)+64),CHAR(INT((COLUMN(D221)-1)/26)+64)&amp;CHAR(MOD(COLUMN(D221)-1,26)+65))&amp;$R221&amp;""),""))</f>
        <v/>
      </c>
      <c r="U221" s="218" t="str">
        <f t="array" aca="1" ref="U221" ca="1">IF($R221&lt;&gt;"",
INDIRECT("F"&amp;$R221&amp;""),"")</f>
        <v/>
      </c>
      <c r="V221" s="219" t="str">
        <f t="array" aca="1" ref="V221" ca="1">IF($R221&lt;&gt;"",
INDIRECT("G"&amp;$R221&amp;""),"")</f>
        <v/>
      </c>
      <c r="W221" s="219" t="str" cm="1">
        <f t="array" aca="1" ref="W221" ca="1">IF($R221&lt;&gt;"",
IF(AND(COUNTIF(INDIRECT("B"&amp;R221&amp;""),"*雙葉*"),COUNTIF($B$71:$B$210,"*雙葉*")&gt;=1),
IF(OR(COUNTIF(INDIRECT("B"&amp;R221&amp;""),"*雙葉先生*"),COUNTIF(INDIRECT("B"&amp;R221-1&amp;""),"*雙葉*")),INDIRECT("H"&amp;R221&amp;""),INDIRECT("H"&amp;R221&amp;"")+INDIRECT("H"&amp;MATCH("雙葉'",INDIRECT("B"&amp;R221+3&amp;":B210"),0)+2+R221&amp;"")),
IF(AND(LEFT(INDIRECT("B"&amp;R221&amp;""),2)="博多",COUNTIF(B:B,"*博多*")&gt;=2),
INDIRECT("H"&amp;R221&amp;"")+IFERROR(INDIRECT("H"&amp;MATCH("*"&amp;INDIRECT("B"&amp;R221&amp;"")&amp;"*",INDIRECT("B"&amp;R221+1&amp;":B210"),0)+R221&amp;""),0),
IF(AND(LEFT(INDIRECT("B"&amp;R221&amp;""),3)="奈良屋",COUNTIF(B:B,"*奈良屋*")&gt;=2),
INDIRECT("H"&amp;R221&amp;"")
+INDIRECT("H"&amp;MATCH("*"&amp;INDIRECT("B"&amp;R221&amp;"")&amp;"*",INDIRECT("B"&amp;R221+1&amp;":B210"),0)+R221&amp;"")
+INDIRECT("H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
+INDIRECT("H"&amp;MATCH("*"&amp;INDIRECT("B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&amp;"*",INDIRECT("B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+1&amp;":B210"),0)+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,
INDIRECT("H"&amp;R221&amp;"")))),"")</f>
        <v/>
      </c>
      <c r="X221" s="176" t="str">
        <f t="array" aca="1" ref="X221" ca="1">IF($R221&lt;&gt;"",
INDIRECT(""&amp;IF(COLUMN(I221)&lt;=26,CHAR(COLUMN(I221)+64),CHAR(INT((COLUMN(I221)-1)/26)+64)&amp;CHAR(MOD(COLUMN(I221)-1,26)+65))&amp;$R221&amp;""),"")</f>
        <v/>
      </c>
      <c r="Y221" s="176" t="str">
        <f t="array" aca="1" ref="Y221" ca="1">IF($R221&lt;&gt;"",
INDIRECT(""&amp;IF(COLUMN(J221)&lt;=26,CHAR(COLUMN(J221)+64),CHAR(INT((COLUMN(J221)-1)/26)+64)&amp;CHAR(MOD(COLUMN(J221)-1,26)+65))&amp;$R221&amp;""),"")</f>
        <v/>
      </c>
      <c r="Z221" s="176" t="str">
        <f t="shared" ca="1" si="89"/>
        <v/>
      </c>
      <c r="AA221" s="176" t="str">
        <f t="shared" ca="1" si="90"/>
        <v/>
      </c>
      <c r="AB221" s="176" t="str">
        <f t="array" aca="1" ref="AB221" ca="1">IF($R221&lt;&gt;"",
IF(AND(COUNTIF(INDIRECT("B"&amp;R221&amp;""),"*雙葉*"),COUNTIF(INDIRECT("B"&amp;R221&amp;""),"&lt;&gt;*先生*"),COUNTIF(B:B,"*雙葉*")&gt;=2),
INDIRECT("M"&amp;R221&amp;"")+INDIRECT("M"&amp;MATCH("雙葉'",INDIRECT("B"&amp;R221+1&amp;":B210"),0)+R221&amp;""),
IF(AND(LEFT(INDIRECT("B"&amp;R221&amp;""),2)="博多",COUNTIF(B:B,"*博多*")&gt;=2),
INDIRECT("M"&amp;R221&amp;"")+INDIRECT("M"&amp;MATCH("*"&amp;INDIRECT("B"&amp;R221&amp;"")&amp;"*",INDIRECT("B"&amp;R221+1&amp;":B210"),0)+R221&amp;""),
IF(AND(LEFT(INDIRECT("B"&amp;R221&amp;""),3)="奈良屋",COUNTIF(B:B,"*奈良屋*")&gt;=2),
INDIRECT("M"&amp;R221&amp;"")+INDIRECT("M"&amp;MATCH("*"&amp;INDIRECT("B"&amp;R221&amp;"")&amp;"*",INDIRECT("B"&amp;R221+1&amp;":B210"),0)+R221&amp;"")
+INDIRECT("M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,
INDIRECT("M"&amp;R221&amp;"")))),"")</f>
        <v/>
      </c>
      <c r="AC221" s="176" t="str">
        <f t="shared" ca="1" si="91"/>
        <v/>
      </c>
      <c r="AD221" s="176" t="str">
        <f t="shared" ca="1" si="92"/>
        <v/>
      </c>
      <c r="AE221" s="176" t="str">
        <f t="shared" ca="1" si="93"/>
        <v/>
      </c>
      <c r="AF221" s="176" t="str">
        <f t="shared" ca="1" si="94"/>
        <v/>
      </c>
      <c r="AG221" s="176" t="str">
        <f t="shared" ca="1" si="95"/>
        <v/>
      </c>
      <c r="AH221" s="183" t="str">
        <f t="shared" ca="1" si="96"/>
        <v/>
      </c>
      <c r="AI221" s="176" t="str">
        <f t="shared" ca="1" si="97"/>
        <v/>
      </c>
      <c r="AJ221" s="176" t="str">
        <f t="shared" ca="1" si="98"/>
        <v/>
      </c>
      <c r="AK221" s="176" t="str">
        <f t="shared" ca="1" si="99"/>
        <v/>
      </c>
      <c r="AL221" s="176" t="str">
        <f t="shared" ca="1" si="100"/>
        <v/>
      </c>
      <c r="AM221" s="176" t="str">
        <f t="shared" ca="1" si="101"/>
        <v/>
      </c>
      <c r="AN221" s="176" t="str">
        <f t="shared" ca="1" si="102"/>
        <v/>
      </c>
      <c r="AO221" s="176" t="str">
        <f t="shared" ca="1" si="103"/>
        <v/>
      </c>
      <c r="AP221" s="176" t="str">
        <f t="shared" ca="1" si="104"/>
        <v/>
      </c>
      <c r="AU221" s="176" t="str">
        <f t="shared" ca="1" si="105"/>
        <v/>
      </c>
    </row>
    <row r="222" spans="1:47">
      <c r="A222" s="100" t="str">
        <f ca="1">IF(C222&lt;&gt;"",A221+1,"")</f>
        <v/>
      </c>
      <c r="B222" s="116"/>
      <c r="C222" s="117" t="str">
        <f t="array" aca="1" ref="C222" ca="1">IF(OR(INDIRECT("まとめ札!I"&amp;B219&amp;"")="",INDIRECT("まとめ札!I"&amp;B219&amp;"")=0),"",INDIRECT("まとめ札!A"&amp;B219&amp;"")&amp;"【4】")</f>
        <v/>
      </c>
      <c r="D222" s="117"/>
      <c r="E222" s="117"/>
      <c r="F222" s="189" t="str">
        <f ca="1">IF(C222&lt;&gt;"",
IF(IF(COUNTIF(C222,"*キャラ*"),
VLOOKUP("*キャラ*",商品マスタ!$D:$E,2,FALSE),
VLOOKUP("*赤*",商品マスタ!$D:$E,2,FALSE))=0,"",
IF(H222&lt;&gt;"",
IF(ROUND(
H222/IF(COUNTIF(C222,"*キャラ*"),
VLOOKUP("*キャラ*",商品マスタ!$D:$E,2,FALSE),
VLOOKUP("*赤*",商品マスタ!$D:$E,2,FALSE)),0)&lt;=0,1,
ROUND(
H222/IF(COUNTIF(C222,"*キャラ*"),
VLOOKUP("*キャラ*",商品マスタ!$D:$E,2,FALSE),
VLOOKUP("*赤*",商品マスタ!$D:$E,2,FALSE)),0)),"")),"")</f>
        <v/>
      </c>
      <c r="G222" s="118" t="str">
        <f ca="1">IF(F222&lt;&gt;"",IF(VALUE(H222)&gt;VALUE(IF(COUNTIF(C222,"*キャラ*"),
VLOOKUP("*キャラ*",商品マスタ!$D:$E,2,FALSE),
VLOOKUP("*赤*",商品マスタ!$D:$E,2,FALSE))*F222),
"+"&amp;H222-IF(COUNTIF(C222,"*キャラ*"),
VLOOKUP("*キャラ*",商品マスタ!$D:$E,2,FALSE),
VLOOKUP("*赤*",商品マスタ!$D:$E,2,FALSE))*F222,
H222-IF(COUNTIF(C222,"*キャラ*"),
VLOOKUP("*キャラ*",商品マスタ!$D:$E,2,FALSE),
VLOOKUP("*赤*",商品マスタ!$D:$E,2,FALSE))*F222),"")</f>
        <v/>
      </c>
      <c r="H222" s="116" t="str">
        <f t="array" aca="1" ref="H222" ca="1">IF(OR(INDIRECT("まとめ札!I"&amp;B219&amp;"")="",INDIRECT("まとめ札!I"&amp;B219&amp;"")=0),"",INDIRECT("まとめ札!I"&amp;B219&amp;""))</f>
        <v/>
      </c>
      <c r="I222" s="116"/>
      <c r="J222" s="116" t="str">
        <f ca="1">IF(C222&lt;&gt;"",
IF(OR(COUNTIF(C222,"*キャラ*"),COUNTIF(C222,"*赤*")),24,
VLOOKUP(C222,#REF!,6,FALSE)),"")</f>
        <v/>
      </c>
      <c r="M222" s="116"/>
      <c r="P222" s="116" t="str">
        <f t="shared" ca="1" si="108"/>
        <v/>
      </c>
      <c r="Q222" s="116" t="str">
        <f t="shared" ca="1" si="109"/>
        <v/>
      </c>
      <c r="R222" s="176" t="str">
        <f t="array" aca="1" ref="R222" ca="1">IFERROR(SMALL(IF(P$1:P$311&lt;&gt;0,P$1:P$311),ROW(A222)),"")</f>
        <v/>
      </c>
      <c r="S222" s="176" t="str">
        <f t="array" aca="1" ref="S222" ca="1">IF($R222&lt;&gt;"",
SUBSTITUTE(SUBSTITUTE(INDIRECT("C"&amp;$R222&amp;"")," 週3ｺｰｽ","")," 週5ｺｰｽ",""),"")</f>
        <v/>
      </c>
      <c r="T222" s="176" t="str">
        <f t="array" aca="1" ref="T222" ca="1">IF(IF($R222&lt;&gt;"",
INDIRECT(""&amp;IF(COLUMN(D222)&lt;=26,CHAR(COLUMN(D222)+64),CHAR(INT((COLUMN(D222)-1)/26)+64)&amp;CHAR(MOD(COLUMN(D222)-1,26)+65))&amp;$R222&amp;""),"")=0,"",
IF($R222&lt;&gt;"",
INDIRECT(""&amp;IF(COLUMN(D222)&lt;=26,CHAR(COLUMN(D222)+64),CHAR(INT((COLUMN(D222)-1)/26)+64)&amp;CHAR(MOD(COLUMN(D222)-1,26)+65))&amp;$R222&amp;""),""))</f>
        <v/>
      </c>
      <c r="U222" s="218" t="str">
        <f t="array" aca="1" ref="U222" ca="1">IF($R222&lt;&gt;"",
INDIRECT("F"&amp;$R222&amp;""),"")</f>
        <v/>
      </c>
      <c r="V222" s="219" t="str">
        <f t="array" aca="1" ref="V222" ca="1">IF($R222&lt;&gt;"",
INDIRECT("G"&amp;$R222&amp;""),"")</f>
        <v/>
      </c>
      <c r="W222" s="219" t="str" cm="1">
        <f t="array" aca="1" ref="W222" ca="1">IF($R222&lt;&gt;"",
IF(AND(COUNTIF(INDIRECT("B"&amp;R222&amp;""),"*雙葉*"),COUNTIF($B$71:$B$210,"*雙葉*")&gt;=1),
IF(OR(COUNTIF(INDIRECT("B"&amp;R222&amp;""),"*雙葉先生*"),COUNTIF(INDIRECT("B"&amp;R222-1&amp;""),"*雙葉*")),INDIRECT("H"&amp;R222&amp;""),INDIRECT("H"&amp;R222&amp;"")+INDIRECT("H"&amp;MATCH("雙葉'",INDIRECT("B"&amp;R222+3&amp;":B210"),0)+2+R222&amp;"")),
IF(AND(LEFT(INDIRECT("B"&amp;R222&amp;""),2)="博多",COUNTIF(B:B,"*博多*")&gt;=2),
INDIRECT("H"&amp;R222&amp;"")+IFERROR(INDIRECT("H"&amp;MATCH("*"&amp;INDIRECT("B"&amp;R222&amp;"")&amp;"*",INDIRECT("B"&amp;R222+1&amp;":B210"),0)+R222&amp;""),0),
IF(AND(LEFT(INDIRECT("B"&amp;R222&amp;""),3)="奈良屋",COUNTIF(B:B,"*奈良屋*")&gt;=2),
INDIRECT("H"&amp;R222&amp;"")
+INDIRECT("H"&amp;MATCH("*"&amp;INDIRECT("B"&amp;R222&amp;"")&amp;"*",INDIRECT("B"&amp;R222+1&amp;":B210"),0)+R222&amp;"")
+INDIRECT("H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
+INDIRECT("H"&amp;MATCH("*"&amp;INDIRECT("B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&amp;"*",INDIRECT("B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+1&amp;":B210"),0)+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,
INDIRECT("H"&amp;R222&amp;"")))),"")</f>
        <v/>
      </c>
      <c r="X222" s="176" t="str">
        <f t="array" aca="1" ref="X222" ca="1">IF($R222&lt;&gt;"",
INDIRECT(""&amp;IF(COLUMN(I222)&lt;=26,CHAR(COLUMN(I222)+64),CHAR(INT((COLUMN(I222)-1)/26)+64)&amp;CHAR(MOD(COLUMN(I222)-1,26)+65))&amp;$R222&amp;""),"")</f>
        <v/>
      </c>
      <c r="Y222" s="176" t="str">
        <f t="array" aca="1" ref="Y222" ca="1">IF($R222&lt;&gt;"",
INDIRECT(""&amp;IF(COLUMN(J222)&lt;=26,CHAR(COLUMN(J222)+64),CHAR(INT((COLUMN(J222)-1)/26)+64)&amp;CHAR(MOD(COLUMN(J222)-1,26)+65))&amp;$R222&amp;""),"")</f>
        <v/>
      </c>
      <c r="Z222" s="176" t="str">
        <f t="shared" ca="1" si="89"/>
        <v/>
      </c>
      <c r="AA222" s="176" t="str">
        <f t="shared" ca="1" si="90"/>
        <v/>
      </c>
      <c r="AB222" s="176" t="str">
        <f t="array" aca="1" ref="AB222" ca="1">IF($R222&lt;&gt;"",
IF(AND(COUNTIF(INDIRECT("B"&amp;R222&amp;""),"*雙葉*"),COUNTIF(INDIRECT("B"&amp;R222&amp;""),"&lt;&gt;*先生*"),COUNTIF(B:B,"*雙葉*")&gt;=2),
INDIRECT("M"&amp;R222&amp;"")+INDIRECT("M"&amp;MATCH("雙葉'",INDIRECT("B"&amp;R222+1&amp;":B210"),0)+R222&amp;""),
IF(AND(LEFT(INDIRECT("B"&amp;R222&amp;""),2)="博多",COUNTIF(B:B,"*博多*")&gt;=2),
INDIRECT("M"&amp;R222&amp;"")+INDIRECT("M"&amp;MATCH("*"&amp;INDIRECT("B"&amp;R222&amp;"")&amp;"*",INDIRECT("B"&amp;R222+1&amp;":B210"),0)+R222&amp;""),
IF(AND(LEFT(INDIRECT("B"&amp;R222&amp;""),3)="奈良屋",COUNTIF(B:B,"*奈良屋*")&gt;=2),
INDIRECT("M"&amp;R222&amp;"")+INDIRECT("M"&amp;MATCH("*"&amp;INDIRECT("B"&amp;R222&amp;"")&amp;"*",INDIRECT("B"&amp;R222+1&amp;":B210"),0)+R222&amp;"")
+INDIRECT("M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,
INDIRECT("M"&amp;R222&amp;"")))),"")</f>
        <v/>
      </c>
      <c r="AC222" s="176" t="str">
        <f t="shared" ca="1" si="91"/>
        <v/>
      </c>
      <c r="AD222" s="176" t="str">
        <f t="shared" ca="1" si="92"/>
        <v/>
      </c>
      <c r="AE222" s="176" t="str">
        <f t="shared" ca="1" si="93"/>
        <v/>
      </c>
      <c r="AF222" s="176" t="str">
        <f t="shared" ca="1" si="94"/>
        <v/>
      </c>
      <c r="AG222" s="176" t="str">
        <f t="shared" ca="1" si="95"/>
        <v/>
      </c>
      <c r="AH222" s="183" t="str">
        <f t="shared" ca="1" si="96"/>
        <v/>
      </c>
      <c r="AI222" s="176" t="str">
        <f t="shared" ca="1" si="97"/>
        <v/>
      </c>
      <c r="AJ222" s="176" t="str">
        <f t="shared" ca="1" si="98"/>
        <v/>
      </c>
      <c r="AK222" s="176" t="str">
        <f t="shared" ca="1" si="99"/>
        <v/>
      </c>
      <c r="AL222" s="176" t="str">
        <f t="shared" ca="1" si="100"/>
        <v/>
      </c>
      <c r="AM222" s="176" t="str">
        <f t="shared" ca="1" si="101"/>
        <v/>
      </c>
      <c r="AN222" s="176" t="str">
        <f t="shared" ca="1" si="102"/>
        <v/>
      </c>
      <c r="AO222" s="176" t="str">
        <f t="shared" ca="1" si="103"/>
        <v/>
      </c>
      <c r="AP222" s="176" t="str">
        <f t="shared" ca="1" si="104"/>
        <v/>
      </c>
      <c r="AU222" s="176" t="str">
        <f t="shared" ca="1" si="105"/>
        <v/>
      </c>
    </row>
    <row r="223" spans="1:47">
      <c r="A223" s="100">
        <f ca="1">IF(C223&lt;&gt;"",MAX($A$219:$A$222)+1,"")</f>
        <v>148</v>
      </c>
      <c r="B223" s="116">
        <v>3</v>
      </c>
      <c r="C223" s="117" t="str">
        <f t="array" aca="1" ref="C223" ca="1">IF(INDIRECT("まとめ札!A"&amp;B223&amp;"")&lt;&gt;0,INDIRECT("まとめ札!A"&amp;B223&amp;"")&amp;"【1】","")</f>
        <v>キャラ弁当 おにぎり【1】</v>
      </c>
      <c r="D223" s="117"/>
      <c r="E223" s="117"/>
      <c r="F223" s="189" t="e">
        <f ca="1">IF(C223&lt;&gt;"",
IF(IF(COUNTIF(C223,"*キャラ*"),
VLOOKUP("*キャラ*",商品マスタ!$D:$E,2,FALSE),
VLOOKUP("*赤*",商品マスタ!$D:$E,2,FALSE))=0,"",
IF(H223&lt;&gt;"",
IF(ROUND(
H223/IF(COUNTIF(C223,"*キャラ*"),
VLOOKUP("*キャラ*",商品マスタ!$D:$E,2,FALSE),
VLOOKUP("*赤*",商品マスタ!$D:$E,2,FALSE)),0)&lt;=0,1,
ROUND(
H223/IF(COUNTIF(C223,"*キャラ*"),
VLOOKUP("*キャラ*",商品マスタ!$D:$E,2,FALSE),
VLOOKUP("*赤*",商品マスタ!$D:$E,2,FALSE)),0)),"")),"")</f>
        <v>#N/A</v>
      </c>
      <c r="G223" s="118" t="e">
        <f ca="1">IF(F223&lt;&gt;"",IF(VALUE(H223)&gt;VALUE(IF(COUNTIF(C223,"*キャラ*"),
VLOOKUP("*キャラ*",商品マスタ!$D:$E,2,FALSE),
VLOOKUP("*赤*",商品マスタ!$D:$E,2,FALSE))*F223),
"+"&amp;H223-IF(COUNTIF(C223,"*キャラ*"),
VLOOKUP("*キャラ*",商品マスタ!$D:$E,2,FALSE),
VLOOKUP("*赤*",商品マスタ!$D:$E,2,FALSE))*F223,
H223-IF(COUNTIF(C223,"*キャラ*"),
VLOOKUP("*キャラ*",商品マスタ!$D:$E,2,FALSE),
VLOOKUP("*赤*",商品マスタ!$D:$E,2,FALSE))*F223),"")</f>
        <v>#N/A</v>
      </c>
      <c r="H223" s="116" t="e">
        <f t="array" aca="1" ref="H223" ca="1">IF(INDIRECT("まとめ札!F"&amp;B223&amp;"")&lt;&gt;0,INDIRECT("まとめ札!F"&amp;B223&amp;""),"")</f>
        <v>#N/A</v>
      </c>
      <c r="I223" s="116"/>
      <c r="J223" s="116">
        <f ca="1">IF(C223&lt;&gt;"",
IF(OR(COUNTIF(C223,"*キャラ*"),COUNTIF(C223,"*赤*")),24,
VLOOKUP(C223,#REF!,6,FALSE)),"")</f>
        <v>24</v>
      </c>
      <c r="M223" s="116"/>
      <c r="P223" s="116" t="e">
        <f t="shared" ca="1" si="108"/>
        <v>#N/A</v>
      </c>
      <c r="Q223" s="116" t="e">
        <f t="shared" ca="1" si="109"/>
        <v>#N/A</v>
      </c>
      <c r="R223" s="176" t="str">
        <f t="array" aca="1" ref="R223" ca="1">IFERROR(SMALL(IF(P$1:P$311&lt;&gt;0,P$1:P$311),ROW(A223)),"")</f>
        <v/>
      </c>
      <c r="S223" s="176" t="str">
        <f t="array" aca="1" ref="S223" ca="1">IF($R223&lt;&gt;"",
SUBSTITUTE(SUBSTITUTE(INDIRECT("C"&amp;$R223&amp;"")," 週3ｺｰｽ","")," 週5ｺｰｽ",""),"")</f>
        <v/>
      </c>
      <c r="T223" s="176" t="str">
        <f t="array" aca="1" ref="T223" ca="1">IF(IF($R223&lt;&gt;"",
INDIRECT(""&amp;IF(COLUMN(D223)&lt;=26,CHAR(COLUMN(D223)+64),CHAR(INT((COLUMN(D223)-1)/26)+64)&amp;CHAR(MOD(COLUMN(D223)-1,26)+65))&amp;$R223&amp;""),"")=0,"",
IF($R223&lt;&gt;"",
INDIRECT(""&amp;IF(COLUMN(D223)&lt;=26,CHAR(COLUMN(D223)+64),CHAR(INT((COLUMN(D223)-1)/26)+64)&amp;CHAR(MOD(COLUMN(D223)-1,26)+65))&amp;$R223&amp;""),""))</f>
        <v/>
      </c>
      <c r="U223" s="218" t="str">
        <f t="array" aca="1" ref="U223" ca="1">IF($R223&lt;&gt;"",
INDIRECT("F"&amp;$R223&amp;""),"")</f>
        <v/>
      </c>
      <c r="V223" s="219" t="str">
        <f t="array" aca="1" ref="V223" ca="1">IF($R223&lt;&gt;"",
INDIRECT("G"&amp;$R223&amp;""),"")</f>
        <v/>
      </c>
      <c r="W223" s="219" t="str" cm="1">
        <f t="array" aca="1" ref="W223" ca="1">IF($R223&lt;&gt;"",
IF(AND(COUNTIF(INDIRECT("B"&amp;R223&amp;""),"*雙葉*"),COUNTIF($B$71:$B$210,"*雙葉*")&gt;=1),
IF(OR(COUNTIF(INDIRECT("B"&amp;R223&amp;""),"*雙葉先生*"),COUNTIF(INDIRECT("B"&amp;R223-1&amp;""),"*雙葉*")),INDIRECT("H"&amp;R223&amp;""),INDIRECT("H"&amp;R223&amp;"")+INDIRECT("H"&amp;MATCH("雙葉'",INDIRECT("B"&amp;R223+3&amp;":B210"),0)+2+R223&amp;"")),
IF(AND(LEFT(INDIRECT("B"&amp;R223&amp;""),2)="博多",COUNTIF(B:B,"*博多*")&gt;=2),
INDIRECT("H"&amp;R223&amp;"")+IFERROR(INDIRECT("H"&amp;MATCH("*"&amp;INDIRECT("B"&amp;R223&amp;"")&amp;"*",INDIRECT("B"&amp;R223+1&amp;":B210"),0)+R223&amp;""),0),
IF(AND(LEFT(INDIRECT("B"&amp;R223&amp;""),3)="奈良屋",COUNTIF(B:B,"*奈良屋*")&gt;=2),
INDIRECT("H"&amp;R223&amp;"")
+INDIRECT("H"&amp;MATCH("*"&amp;INDIRECT("B"&amp;R223&amp;"")&amp;"*",INDIRECT("B"&amp;R223+1&amp;":B210"),0)+R223&amp;"")
+INDIRECT("H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
+INDIRECT("H"&amp;MATCH("*"&amp;INDIRECT("B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&amp;"*",INDIRECT("B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+1&amp;":B210"),0)+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,
INDIRECT("H"&amp;R223&amp;"")))),"")</f>
        <v/>
      </c>
      <c r="X223" s="176" t="str">
        <f t="array" aca="1" ref="X223" ca="1">IF($R223&lt;&gt;"",
INDIRECT(""&amp;IF(COLUMN(I223)&lt;=26,CHAR(COLUMN(I223)+64),CHAR(INT((COLUMN(I223)-1)/26)+64)&amp;CHAR(MOD(COLUMN(I223)-1,26)+65))&amp;$R223&amp;""),"")</f>
        <v/>
      </c>
      <c r="Y223" s="176" t="str">
        <f t="array" aca="1" ref="Y223" ca="1">IF($R223&lt;&gt;"",
INDIRECT(""&amp;IF(COLUMN(J223)&lt;=26,CHAR(COLUMN(J223)+64),CHAR(INT((COLUMN(J223)-1)/26)+64)&amp;CHAR(MOD(COLUMN(J223)-1,26)+65))&amp;$R223&amp;""),"")</f>
        <v/>
      </c>
      <c r="Z223" s="176" t="str">
        <f t="shared" ca="1" si="89"/>
        <v/>
      </c>
      <c r="AA223" s="176" t="str">
        <f t="shared" ca="1" si="90"/>
        <v/>
      </c>
      <c r="AB223" s="176" t="str">
        <f t="array" aca="1" ref="AB223" ca="1">IF($R223&lt;&gt;"",
IF(AND(COUNTIF(INDIRECT("B"&amp;R223&amp;""),"*雙葉*"),COUNTIF(INDIRECT("B"&amp;R223&amp;""),"&lt;&gt;*先生*"),COUNTIF(B:B,"*雙葉*")&gt;=2),
INDIRECT("M"&amp;R223&amp;"")+INDIRECT("M"&amp;MATCH("雙葉'",INDIRECT("B"&amp;R223+1&amp;":B210"),0)+R223&amp;""),
IF(AND(LEFT(INDIRECT("B"&amp;R223&amp;""),2)="博多",COUNTIF(B:B,"*博多*")&gt;=2),
INDIRECT("M"&amp;R223&amp;"")+INDIRECT("M"&amp;MATCH("*"&amp;INDIRECT("B"&amp;R223&amp;"")&amp;"*",INDIRECT("B"&amp;R223+1&amp;":B210"),0)+R223&amp;""),
IF(AND(LEFT(INDIRECT("B"&amp;R223&amp;""),3)="奈良屋",COUNTIF(B:B,"*奈良屋*")&gt;=2),
INDIRECT("M"&amp;R223&amp;"")+INDIRECT("M"&amp;MATCH("*"&amp;INDIRECT("B"&amp;R223&amp;"")&amp;"*",INDIRECT("B"&amp;R223+1&amp;":B210"),0)+R223&amp;"")
+INDIRECT("M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,
INDIRECT("M"&amp;R223&amp;"")))),"")</f>
        <v/>
      </c>
      <c r="AC223" s="176" t="str">
        <f t="shared" ca="1" si="91"/>
        <v/>
      </c>
      <c r="AD223" s="176" t="str">
        <f t="shared" ca="1" si="92"/>
        <v/>
      </c>
      <c r="AE223" s="176" t="str">
        <f t="shared" ca="1" si="93"/>
        <v/>
      </c>
      <c r="AF223" s="176" t="str">
        <f t="shared" ca="1" si="94"/>
        <v/>
      </c>
      <c r="AG223" s="176" t="str">
        <f t="shared" ca="1" si="95"/>
        <v/>
      </c>
      <c r="AH223" s="183" t="str">
        <f t="shared" ca="1" si="96"/>
        <v/>
      </c>
      <c r="AI223" s="176" t="str">
        <f t="shared" ca="1" si="97"/>
        <v/>
      </c>
      <c r="AJ223" s="176" t="str">
        <f t="shared" ca="1" si="98"/>
        <v/>
      </c>
      <c r="AK223" s="176" t="str">
        <f t="shared" ca="1" si="99"/>
        <v/>
      </c>
      <c r="AL223" s="176" t="str">
        <f t="shared" ca="1" si="100"/>
        <v/>
      </c>
      <c r="AM223" s="176" t="str">
        <f t="shared" ca="1" si="101"/>
        <v/>
      </c>
      <c r="AN223" s="176" t="str">
        <f t="shared" ca="1" si="102"/>
        <v/>
      </c>
      <c r="AO223" s="176" t="str">
        <f t="shared" ca="1" si="103"/>
        <v/>
      </c>
      <c r="AP223" s="176" t="str">
        <f t="shared" ca="1" si="104"/>
        <v/>
      </c>
      <c r="AU223" s="176" t="str">
        <f t="shared" ca="1" si="105"/>
        <v/>
      </c>
    </row>
    <row r="224" spans="1:47">
      <c r="A224" s="100" t="str">
        <f ca="1">IF(C224&lt;&gt;"",A223+1,"")</f>
        <v/>
      </c>
      <c r="B224" s="116"/>
      <c r="C224" s="117" t="str">
        <f t="array" aca="1" ref="C224" ca="1">IF(OR(INDIRECT("まとめ札!G"&amp;B223&amp;"")="",INDIRECT("まとめ札!G"&amp;B223&amp;"")=0),"",INDIRECT("まとめ札!A"&amp;B223&amp;"")&amp;"【2】")</f>
        <v/>
      </c>
      <c r="D224" s="117"/>
      <c r="E224" s="117"/>
      <c r="F224" s="189" t="str">
        <f ca="1">IF(C224&lt;&gt;"",
IF(IF(COUNTIF(C224,"*キャラ*"),
VLOOKUP("*キャラ*",商品マスタ!$D:$E,2,FALSE),
VLOOKUP("*赤*",商品マスタ!$D:$E,2,FALSE))=0,"",
IF(H224&lt;&gt;"",
IF(ROUND(
H224/IF(COUNTIF(C224,"*キャラ*"),
VLOOKUP("*キャラ*",商品マスタ!$D:$E,2,FALSE),
VLOOKUP("*赤*",商品マスタ!$D:$E,2,FALSE)),0)&lt;=0,1,
ROUND(
H224/IF(COUNTIF(C224,"*キャラ*"),
VLOOKUP("*キャラ*",商品マスタ!$D:$E,2,FALSE),
VLOOKUP("*赤*",商品マスタ!$D:$E,2,FALSE)),0)),"")),"")</f>
        <v/>
      </c>
      <c r="G224" s="118" t="str">
        <f ca="1">IF(F224&lt;&gt;"",IF(VALUE(H224)&gt;VALUE(IF(COUNTIF(C224,"*キャラ*"),
VLOOKUP("*キャラ*",商品マスタ!$D:$E,2,FALSE),
VLOOKUP("*赤*",商品マスタ!$D:$E,2,FALSE))*F224),
"+"&amp;H224-IF(COUNTIF(C224,"*キャラ*"),
VLOOKUP("*キャラ*",商品マスタ!$D:$E,2,FALSE),
VLOOKUP("*赤*",商品マスタ!$D:$E,2,FALSE))*F224,
H224-IF(COUNTIF(C224,"*キャラ*"),
VLOOKUP("*キャラ*",商品マスタ!$D:$E,2,FALSE),
VLOOKUP("*赤*",商品マスタ!$D:$E,2,FALSE))*F224),"")</f>
        <v/>
      </c>
      <c r="H224" s="116" t="str">
        <f t="array" aca="1" ref="H224" ca="1">IF(OR(INDIRECT("まとめ札!G"&amp;B223&amp;"")="",INDIRECT("まとめ札!G"&amp;B223&amp;"")=0),"",INDIRECT("まとめ札!G"&amp;B223&amp;""))</f>
        <v/>
      </c>
      <c r="I224" s="116"/>
      <c r="J224" s="116" t="str">
        <f ca="1">IF(C224&lt;&gt;"",
IF(OR(COUNTIF(C224,"*キャラ*"),COUNTIF(C224,"*赤*")),24,
VLOOKUP(C224,#REF!,6,FALSE)),"")</f>
        <v/>
      </c>
      <c r="M224" s="116"/>
      <c r="P224" s="116" t="str">
        <f t="shared" ca="1" si="108"/>
        <v/>
      </c>
      <c r="Q224" s="116" t="str">
        <f t="shared" ca="1" si="109"/>
        <v/>
      </c>
      <c r="R224" s="176" t="str">
        <f t="array" aca="1" ref="R224" ca="1">IFERROR(SMALL(IF(P$1:P$311&lt;&gt;0,P$1:P$311),ROW(A224)),"")</f>
        <v/>
      </c>
      <c r="S224" s="176" t="str">
        <f t="array" aca="1" ref="S224" ca="1">IF($R224&lt;&gt;"",
SUBSTITUTE(SUBSTITUTE(INDIRECT("C"&amp;$R224&amp;"")," 週3ｺｰｽ","")," 週5ｺｰｽ",""),"")</f>
        <v/>
      </c>
      <c r="T224" s="176" t="str">
        <f t="array" aca="1" ref="T224" ca="1">IF(IF($R224&lt;&gt;"",
INDIRECT(""&amp;IF(COLUMN(D224)&lt;=26,CHAR(COLUMN(D224)+64),CHAR(INT((COLUMN(D224)-1)/26)+64)&amp;CHAR(MOD(COLUMN(D224)-1,26)+65))&amp;$R224&amp;""),"")=0,"",
IF($R224&lt;&gt;"",
INDIRECT(""&amp;IF(COLUMN(D224)&lt;=26,CHAR(COLUMN(D224)+64),CHAR(INT((COLUMN(D224)-1)/26)+64)&amp;CHAR(MOD(COLUMN(D224)-1,26)+65))&amp;$R224&amp;""),""))</f>
        <v/>
      </c>
      <c r="U224" s="218" t="str">
        <f t="array" aca="1" ref="U224" ca="1">IF($R224&lt;&gt;"",
INDIRECT("F"&amp;$R224&amp;""),"")</f>
        <v/>
      </c>
      <c r="V224" s="219" t="str">
        <f t="array" aca="1" ref="V224" ca="1">IF($R224&lt;&gt;"",
INDIRECT("G"&amp;$R224&amp;""),"")</f>
        <v/>
      </c>
      <c r="W224" s="219" t="str" cm="1">
        <f t="array" aca="1" ref="W224" ca="1">IF($R224&lt;&gt;"",
IF(AND(COUNTIF(INDIRECT("B"&amp;R224&amp;""),"*雙葉*"),COUNTIF($B$71:$B$210,"*雙葉*")&gt;=1),
IF(OR(COUNTIF(INDIRECT("B"&amp;R224&amp;""),"*雙葉先生*"),COUNTIF(INDIRECT("B"&amp;R224-1&amp;""),"*雙葉*")),INDIRECT("H"&amp;R224&amp;""),INDIRECT("H"&amp;R224&amp;"")+INDIRECT("H"&amp;MATCH("雙葉'",INDIRECT("B"&amp;R224+3&amp;":B210"),0)+2+R224&amp;"")),
IF(AND(LEFT(INDIRECT("B"&amp;R224&amp;""),2)="博多",COUNTIF(B:B,"*博多*")&gt;=2),
INDIRECT("H"&amp;R224&amp;"")+IFERROR(INDIRECT("H"&amp;MATCH("*"&amp;INDIRECT("B"&amp;R224&amp;"")&amp;"*",INDIRECT("B"&amp;R224+1&amp;":B210"),0)+R224&amp;""),0),
IF(AND(LEFT(INDIRECT("B"&amp;R224&amp;""),3)="奈良屋",COUNTIF(B:B,"*奈良屋*")&gt;=2),
INDIRECT("H"&amp;R224&amp;"")
+INDIRECT("H"&amp;MATCH("*"&amp;INDIRECT("B"&amp;R224&amp;"")&amp;"*",INDIRECT("B"&amp;R224+1&amp;":B210"),0)+R224&amp;"")
+INDIRECT("H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
+INDIRECT("H"&amp;MATCH("*"&amp;INDIRECT("B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&amp;"*",INDIRECT("B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+1&amp;":B210"),0)+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,
INDIRECT("H"&amp;R224&amp;"")))),"")</f>
        <v/>
      </c>
      <c r="X224" s="176" t="str">
        <f t="array" aca="1" ref="X224" ca="1">IF($R224&lt;&gt;"",
INDIRECT(""&amp;IF(COLUMN(I224)&lt;=26,CHAR(COLUMN(I224)+64),CHAR(INT((COLUMN(I224)-1)/26)+64)&amp;CHAR(MOD(COLUMN(I224)-1,26)+65))&amp;$R224&amp;""),"")</f>
        <v/>
      </c>
      <c r="Y224" s="176" t="str">
        <f t="array" aca="1" ref="Y224" ca="1">IF($R224&lt;&gt;"",
INDIRECT(""&amp;IF(COLUMN(J224)&lt;=26,CHAR(COLUMN(J224)+64),CHAR(INT((COLUMN(J224)-1)/26)+64)&amp;CHAR(MOD(COLUMN(J224)-1,26)+65))&amp;$R224&amp;""),"")</f>
        <v/>
      </c>
      <c r="Z224" s="176" t="str">
        <f t="shared" ca="1" si="89"/>
        <v/>
      </c>
      <c r="AA224" s="176" t="str">
        <f t="shared" ca="1" si="90"/>
        <v/>
      </c>
      <c r="AB224" s="176" t="str">
        <f t="array" aca="1" ref="AB224" ca="1">IF($R224&lt;&gt;"",
IF(AND(COUNTIF(INDIRECT("B"&amp;R224&amp;""),"*雙葉*"),COUNTIF(INDIRECT("B"&amp;R224&amp;""),"&lt;&gt;*先生*"),COUNTIF(B:B,"*雙葉*")&gt;=2),
INDIRECT("M"&amp;R224&amp;"")+INDIRECT("M"&amp;MATCH("雙葉'",INDIRECT("B"&amp;R224+1&amp;":B210"),0)+R224&amp;""),
IF(AND(LEFT(INDIRECT("B"&amp;R224&amp;""),2)="博多",COUNTIF(B:B,"*博多*")&gt;=2),
INDIRECT("M"&amp;R224&amp;"")+INDIRECT("M"&amp;MATCH("*"&amp;INDIRECT("B"&amp;R224&amp;"")&amp;"*",INDIRECT("B"&amp;R224+1&amp;":B210"),0)+R224&amp;""),
IF(AND(LEFT(INDIRECT("B"&amp;R224&amp;""),3)="奈良屋",COUNTIF(B:B,"*奈良屋*")&gt;=2),
INDIRECT("M"&amp;R224&amp;"")+INDIRECT("M"&amp;MATCH("*"&amp;INDIRECT("B"&amp;R224&amp;"")&amp;"*",INDIRECT("B"&amp;R224+1&amp;":B210"),0)+R224&amp;"")
+INDIRECT("M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,
INDIRECT("M"&amp;R224&amp;"")))),"")</f>
        <v/>
      </c>
      <c r="AC224" s="176" t="str">
        <f t="shared" ca="1" si="91"/>
        <v/>
      </c>
      <c r="AD224" s="176" t="str">
        <f t="shared" ca="1" si="92"/>
        <v/>
      </c>
      <c r="AE224" s="176" t="str">
        <f t="shared" ca="1" si="93"/>
        <v/>
      </c>
      <c r="AF224" s="176" t="str">
        <f t="shared" ca="1" si="94"/>
        <v/>
      </c>
      <c r="AG224" s="176" t="str">
        <f t="shared" ca="1" si="95"/>
        <v/>
      </c>
      <c r="AH224" s="183" t="str">
        <f t="shared" ca="1" si="96"/>
        <v/>
      </c>
      <c r="AI224" s="176" t="str">
        <f t="shared" ca="1" si="97"/>
        <v/>
      </c>
      <c r="AJ224" s="176" t="str">
        <f t="shared" ca="1" si="98"/>
        <v/>
      </c>
      <c r="AK224" s="176" t="str">
        <f t="shared" ca="1" si="99"/>
        <v/>
      </c>
      <c r="AL224" s="176" t="str">
        <f t="shared" ca="1" si="100"/>
        <v/>
      </c>
      <c r="AM224" s="176" t="str">
        <f t="shared" ca="1" si="101"/>
        <v/>
      </c>
      <c r="AN224" s="176" t="str">
        <f t="shared" ca="1" si="102"/>
        <v/>
      </c>
      <c r="AO224" s="176" t="str">
        <f t="shared" ca="1" si="103"/>
        <v/>
      </c>
      <c r="AP224" s="176" t="str">
        <f t="shared" ca="1" si="104"/>
        <v/>
      </c>
      <c r="AU224" s="176" t="str">
        <f t="shared" ca="1" si="105"/>
        <v/>
      </c>
    </row>
    <row r="225" spans="1:47">
      <c r="A225" s="100" t="str">
        <f ca="1">IF(C225&lt;&gt;"",A224+1,"")</f>
        <v/>
      </c>
      <c r="B225" s="116"/>
      <c r="C225" s="117" t="str">
        <f t="array" aca="1" ref="C225" ca="1">IF(OR(INDIRECT("まとめ札!H"&amp;B223&amp;"")="",INDIRECT("まとめ札!H"&amp;B223&amp;"")=0),"",INDIRECT("まとめ札!A"&amp;B223&amp;"")&amp;"【3】")</f>
        <v/>
      </c>
      <c r="D225" s="117"/>
      <c r="E225" s="117"/>
      <c r="F225" s="189" t="str">
        <f ca="1">IF(C225&lt;&gt;"",
IF(IF(COUNTIF(C225,"*キャラ*"),
VLOOKUP("*キャラ*",商品マスタ!$D:$E,2,FALSE),
VLOOKUP("*赤*",商品マスタ!$D:$E,2,FALSE))=0,"",
IF(H225&lt;&gt;"",
IF(ROUND(
H225/IF(COUNTIF(C225,"*キャラ*"),
VLOOKUP("*キャラ*",商品マスタ!$D:$E,2,FALSE),
VLOOKUP("*赤*",商品マスタ!$D:$E,2,FALSE)),0)&lt;=0,1,
ROUND(
H225/IF(COUNTIF(C225,"*キャラ*"),
VLOOKUP("*キャラ*",商品マスタ!$D:$E,2,FALSE),
VLOOKUP("*赤*",商品マスタ!$D:$E,2,FALSE)),0)),"")),"")</f>
        <v/>
      </c>
      <c r="G225" s="118" t="str">
        <f ca="1">IF(F225&lt;&gt;"",IF(VALUE(H225)&gt;VALUE(IF(COUNTIF(C225,"*キャラ*"),
VLOOKUP("*キャラ*",商品マスタ!$D:$E,2,FALSE),
VLOOKUP("*赤*",商品マスタ!$D:$E,2,FALSE))*F225),
"+"&amp;H225-IF(COUNTIF(C225,"*キャラ*"),
VLOOKUP("*キャラ*",商品マスタ!$D:$E,2,FALSE),
VLOOKUP("*赤*",商品マスタ!$D:$E,2,FALSE))*F225,
H225-IF(COUNTIF(C225,"*キャラ*"),
VLOOKUP("*キャラ*",商品マスタ!$D:$E,2,FALSE),
VLOOKUP("*赤*",商品マスタ!$D:$E,2,FALSE))*F225),"")</f>
        <v/>
      </c>
      <c r="H225" s="116" t="str">
        <f t="array" aca="1" ref="H225" ca="1">IF(OR(INDIRECT("まとめ札!H"&amp;B223&amp;"")="",INDIRECT("まとめ札!H"&amp;B223&amp;"")=0),"",INDIRECT("まとめ札!H"&amp;B223&amp;""))</f>
        <v/>
      </c>
      <c r="I225" s="116"/>
      <c r="J225" s="116" t="str">
        <f ca="1">IF(C225&lt;&gt;"",
IF(OR(COUNTIF(C225,"*キャラ*"),COUNTIF(C225,"*赤*")),24,
VLOOKUP(C225,#REF!,6,FALSE)),"")</f>
        <v/>
      </c>
      <c r="M225" s="116"/>
      <c r="P225" s="116" t="str">
        <f t="shared" ca="1" si="108"/>
        <v/>
      </c>
      <c r="Q225" s="116" t="str">
        <f t="shared" ca="1" si="109"/>
        <v/>
      </c>
      <c r="R225" s="176" t="str">
        <f t="array" aca="1" ref="R225" ca="1">IFERROR(SMALL(IF(P$1:P$311&lt;&gt;0,P$1:P$311),ROW(A225)),"")</f>
        <v/>
      </c>
      <c r="S225" s="176" t="str">
        <f t="array" aca="1" ref="S225" ca="1">IF($R225&lt;&gt;"",
SUBSTITUTE(SUBSTITUTE(INDIRECT("C"&amp;$R225&amp;"")," 週3ｺｰｽ","")," 週5ｺｰｽ",""),"")</f>
        <v/>
      </c>
      <c r="T225" s="176" t="str">
        <f t="array" aca="1" ref="T225" ca="1">IF(IF($R225&lt;&gt;"",
INDIRECT(""&amp;IF(COLUMN(D225)&lt;=26,CHAR(COLUMN(D225)+64),CHAR(INT((COLUMN(D225)-1)/26)+64)&amp;CHAR(MOD(COLUMN(D225)-1,26)+65))&amp;$R225&amp;""),"")=0,"",
IF($R225&lt;&gt;"",
INDIRECT(""&amp;IF(COLUMN(D225)&lt;=26,CHAR(COLUMN(D225)+64),CHAR(INT((COLUMN(D225)-1)/26)+64)&amp;CHAR(MOD(COLUMN(D225)-1,26)+65))&amp;$R225&amp;""),""))</f>
        <v/>
      </c>
      <c r="U225" s="218" t="str">
        <f t="array" aca="1" ref="U225" ca="1">IF($R225&lt;&gt;"",
INDIRECT("F"&amp;$R225&amp;""),"")</f>
        <v/>
      </c>
      <c r="V225" s="219" t="str">
        <f t="array" aca="1" ref="V225" ca="1">IF($R225&lt;&gt;"",
INDIRECT("G"&amp;$R225&amp;""),"")</f>
        <v/>
      </c>
      <c r="W225" s="219" t="str" cm="1">
        <f t="array" aca="1" ref="W225" ca="1">IF($R225&lt;&gt;"",
IF(AND(COUNTIF(INDIRECT("B"&amp;R225&amp;""),"*雙葉*"),COUNTIF($B$71:$B$210,"*雙葉*")&gt;=1),
IF(OR(COUNTIF(INDIRECT("B"&amp;R225&amp;""),"*雙葉先生*"),COUNTIF(INDIRECT("B"&amp;R225-1&amp;""),"*雙葉*")),INDIRECT("H"&amp;R225&amp;""),INDIRECT("H"&amp;R225&amp;"")+INDIRECT("H"&amp;MATCH("雙葉'",INDIRECT("B"&amp;R225+3&amp;":B210"),0)+2+R225&amp;"")),
IF(AND(LEFT(INDIRECT("B"&amp;R225&amp;""),2)="博多",COUNTIF(B:B,"*博多*")&gt;=2),
INDIRECT("H"&amp;R225&amp;"")+IFERROR(INDIRECT("H"&amp;MATCH("*"&amp;INDIRECT("B"&amp;R225&amp;"")&amp;"*",INDIRECT("B"&amp;R225+1&amp;":B210"),0)+R225&amp;""),0),
IF(AND(LEFT(INDIRECT("B"&amp;R225&amp;""),3)="奈良屋",COUNTIF(B:B,"*奈良屋*")&gt;=2),
INDIRECT("H"&amp;R225&amp;"")
+INDIRECT("H"&amp;MATCH("*"&amp;INDIRECT("B"&amp;R225&amp;"")&amp;"*",INDIRECT("B"&amp;R225+1&amp;":B210"),0)+R225&amp;"")
+INDIRECT("H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
+INDIRECT("H"&amp;MATCH("*"&amp;INDIRECT("B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&amp;"*",INDIRECT("B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+1&amp;":B210"),0)+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,
INDIRECT("H"&amp;R225&amp;"")))),"")</f>
        <v/>
      </c>
      <c r="X225" s="176" t="str">
        <f t="array" aca="1" ref="X225" ca="1">IF($R225&lt;&gt;"",
INDIRECT(""&amp;IF(COLUMN(I225)&lt;=26,CHAR(COLUMN(I225)+64),CHAR(INT((COLUMN(I225)-1)/26)+64)&amp;CHAR(MOD(COLUMN(I225)-1,26)+65))&amp;$R225&amp;""),"")</f>
        <v/>
      </c>
      <c r="Y225" s="176" t="str">
        <f t="array" aca="1" ref="Y225" ca="1">IF($R225&lt;&gt;"",
INDIRECT(""&amp;IF(COLUMN(J225)&lt;=26,CHAR(COLUMN(J225)+64),CHAR(INT((COLUMN(J225)-1)/26)+64)&amp;CHAR(MOD(COLUMN(J225)-1,26)+65))&amp;$R225&amp;""),"")</f>
        <v/>
      </c>
      <c r="Z225" s="176" t="str">
        <f t="shared" ca="1" si="89"/>
        <v/>
      </c>
      <c r="AA225" s="176" t="str">
        <f t="shared" ca="1" si="90"/>
        <v/>
      </c>
      <c r="AB225" s="176" t="str">
        <f t="array" aca="1" ref="AB225" ca="1">IF($R225&lt;&gt;"",
IF(AND(COUNTIF(INDIRECT("B"&amp;R225&amp;""),"*雙葉*"),COUNTIF(INDIRECT("B"&amp;R225&amp;""),"&lt;&gt;*先生*"),COUNTIF(B:B,"*雙葉*")&gt;=2),
INDIRECT("M"&amp;R225&amp;"")+INDIRECT("M"&amp;MATCH("雙葉'",INDIRECT("B"&amp;R225+1&amp;":B210"),0)+R225&amp;""),
IF(AND(LEFT(INDIRECT("B"&amp;R225&amp;""),2)="博多",COUNTIF(B:B,"*博多*")&gt;=2),
INDIRECT("M"&amp;R225&amp;"")+INDIRECT("M"&amp;MATCH("*"&amp;INDIRECT("B"&amp;R225&amp;"")&amp;"*",INDIRECT("B"&amp;R225+1&amp;":B210"),0)+R225&amp;""),
IF(AND(LEFT(INDIRECT("B"&amp;R225&amp;""),3)="奈良屋",COUNTIF(B:B,"*奈良屋*")&gt;=2),
INDIRECT("M"&amp;R225&amp;"")+INDIRECT("M"&amp;MATCH("*"&amp;INDIRECT("B"&amp;R225&amp;"")&amp;"*",INDIRECT("B"&amp;R225+1&amp;":B210"),0)+R225&amp;"")
+INDIRECT("M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,
INDIRECT("M"&amp;R225&amp;"")))),"")</f>
        <v/>
      </c>
      <c r="AC225" s="176" t="str">
        <f t="shared" ca="1" si="91"/>
        <v/>
      </c>
      <c r="AD225" s="176" t="str">
        <f t="shared" ca="1" si="92"/>
        <v/>
      </c>
      <c r="AE225" s="176" t="str">
        <f t="shared" ca="1" si="93"/>
        <v/>
      </c>
      <c r="AF225" s="176" t="str">
        <f t="shared" ca="1" si="94"/>
        <v/>
      </c>
      <c r="AG225" s="176" t="str">
        <f t="shared" ca="1" si="95"/>
        <v/>
      </c>
      <c r="AH225" s="183" t="str">
        <f t="shared" ca="1" si="96"/>
        <v/>
      </c>
      <c r="AI225" s="176" t="str">
        <f t="shared" ca="1" si="97"/>
        <v/>
      </c>
      <c r="AJ225" s="176" t="str">
        <f t="shared" ca="1" si="98"/>
        <v/>
      </c>
      <c r="AK225" s="176" t="str">
        <f t="shared" ca="1" si="99"/>
        <v/>
      </c>
      <c r="AL225" s="176" t="str">
        <f t="shared" ca="1" si="100"/>
        <v/>
      </c>
      <c r="AM225" s="176" t="str">
        <f t="shared" ca="1" si="101"/>
        <v/>
      </c>
      <c r="AN225" s="176" t="str">
        <f t="shared" ca="1" si="102"/>
        <v/>
      </c>
      <c r="AO225" s="176" t="str">
        <f t="shared" ca="1" si="103"/>
        <v/>
      </c>
      <c r="AP225" s="176" t="str">
        <f t="shared" ca="1" si="104"/>
        <v/>
      </c>
      <c r="AU225" s="176" t="str">
        <f t="shared" ca="1" si="105"/>
        <v/>
      </c>
    </row>
    <row r="226" spans="1:47">
      <c r="A226" s="100" t="str">
        <f ca="1">IF(C226&lt;&gt;"",A225+1,"")</f>
        <v/>
      </c>
      <c r="B226" s="116"/>
      <c r="C226" s="117" t="str">
        <f t="array" aca="1" ref="C226" ca="1">IF(OR(INDIRECT("まとめ札!I"&amp;B223&amp;"")="",INDIRECT("まとめ札!I"&amp;B223&amp;"")=0),"",INDIRECT("まとめ札!A"&amp;B223&amp;"")&amp;"【4】")</f>
        <v/>
      </c>
      <c r="D226" s="117"/>
      <c r="E226" s="117"/>
      <c r="F226" s="189" t="str">
        <f ca="1">IF(C226&lt;&gt;"",
IF(IF(COUNTIF(C226,"*キャラ*"),
VLOOKUP("*キャラ*",商品マスタ!$D:$E,2,FALSE),
VLOOKUP("*赤*",商品マスタ!$D:$E,2,FALSE))=0,"",
IF(H226&lt;&gt;"",
IF(ROUND(
H226/IF(COUNTIF(C226,"*キャラ*"),
VLOOKUP("*キャラ*",商品マスタ!$D:$E,2,FALSE),
VLOOKUP("*赤*",商品マスタ!$D:$E,2,FALSE)),0)&lt;=0,1,
ROUND(
H226/IF(COUNTIF(C226,"*キャラ*"),
VLOOKUP("*キャラ*",商品マスタ!$D:$E,2,FALSE),
VLOOKUP("*赤*",商品マスタ!$D:$E,2,FALSE)),0)),"")),"")</f>
        <v/>
      </c>
      <c r="G226" s="118" t="str">
        <f ca="1">IF(F226&lt;&gt;"",IF(VALUE(H226)&gt;VALUE(IF(COUNTIF(C226,"*キャラ*"),
VLOOKUP("*キャラ*",商品マスタ!$D:$E,2,FALSE),
VLOOKUP("*赤*",商品マスタ!$D:$E,2,FALSE))*F226),
"+"&amp;H226-IF(COUNTIF(C226,"*キャラ*"),
VLOOKUP("*キャラ*",商品マスタ!$D:$E,2,FALSE),
VLOOKUP("*赤*",商品マスタ!$D:$E,2,FALSE))*F226,
H226-IF(COUNTIF(C226,"*キャラ*"),
VLOOKUP("*キャラ*",商品マスタ!$D:$E,2,FALSE),
VLOOKUP("*赤*",商品マスタ!$D:$E,2,FALSE))*F226),"")</f>
        <v/>
      </c>
      <c r="H226" s="116" t="str">
        <f t="array" aca="1" ref="H226" ca="1">IF(OR(INDIRECT("まとめ札!I"&amp;B223&amp;"")="",INDIRECT("まとめ札!I"&amp;B223&amp;"")=0),"",INDIRECT("まとめ札!I"&amp;B223&amp;""))</f>
        <v/>
      </c>
      <c r="I226" s="116"/>
      <c r="J226" s="116" t="str">
        <f ca="1">IF(C226&lt;&gt;"",
IF(OR(COUNTIF(C226,"*キャラ*"),COUNTIF(C226,"*赤*")),24,
VLOOKUP(C226,#REF!,6,FALSE)),"")</f>
        <v/>
      </c>
      <c r="M226" s="116"/>
      <c r="P226" s="116" t="str">
        <f t="shared" ca="1" si="108"/>
        <v/>
      </c>
      <c r="Q226" s="116" t="str">
        <f t="shared" ca="1" si="109"/>
        <v/>
      </c>
      <c r="R226" s="176" t="str">
        <f t="array" aca="1" ref="R226" ca="1">IFERROR(SMALL(IF(P$1:P$311&lt;&gt;0,P$1:P$311),ROW(A226)),"")</f>
        <v/>
      </c>
      <c r="S226" s="176" t="str">
        <f t="array" aca="1" ref="S226" ca="1">IF($R226&lt;&gt;"",
SUBSTITUTE(SUBSTITUTE(INDIRECT("C"&amp;$R226&amp;"")," 週3ｺｰｽ","")," 週5ｺｰｽ",""),"")</f>
        <v/>
      </c>
      <c r="T226" s="176" t="str">
        <f t="array" aca="1" ref="T226" ca="1">IF(IF($R226&lt;&gt;"",
INDIRECT(""&amp;IF(COLUMN(D226)&lt;=26,CHAR(COLUMN(D226)+64),CHAR(INT((COLUMN(D226)-1)/26)+64)&amp;CHAR(MOD(COLUMN(D226)-1,26)+65))&amp;$R226&amp;""),"")=0,"",
IF($R226&lt;&gt;"",
INDIRECT(""&amp;IF(COLUMN(D226)&lt;=26,CHAR(COLUMN(D226)+64),CHAR(INT((COLUMN(D226)-1)/26)+64)&amp;CHAR(MOD(COLUMN(D226)-1,26)+65))&amp;$R226&amp;""),""))</f>
        <v/>
      </c>
      <c r="U226" s="218" t="str">
        <f t="array" aca="1" ref="U226" ca="1">IF($R226&lt;&gt;"",
INDIRECT("F"&amp;$R226&amp;""),"")</f>
        <v/>
      </c>
      <c r="V226" s="219" t="str">
        <f t="array" aca="1" ref="V226" ca="1">IF($R226&lt;&gt;"",
INDIRECT("G"&amp;$R226&amp;""),"")</f>
        <v/>
      </c>
      <c r="W226" s="219" t="str" cm="1">
        <f t="array" aca="1" ref="W226" ca="1">IF($R226&lt;&gt;"",
IF(AND(COUNTIF(INDIRECT("B"&amp;R226&amp;""),"*雙葉*"),COUNTIF($B$71:$B$210,"*雙葉*")&gt;=1),
IF(OR(COUNTIF(INDIRECT("B"&amp;R226&amp;""),"*雙葉先生*"),COUNTIF(INDIRECT("B"&amp;R226-1&amp;""),"*雙葉*")),INDIRECT("H"&amp;R226&amp;""),INDIRECT("H"&amp;R226&amp;"")+INDIRECT("H"&amp;MATCH("雙葉'",INDIRECT("B"&amp;R226+3&amp;":B210"),0)+2+R226&amp;"")),
IF(AND(LEFT(INDIRECT("B"&amp;R226&amp;""),2)="博多",COUNTIF(B:B,"*博多*")&gt;=2),
INDIRECT("H"&amp;R226&amp;"")+IFERROR(INDIRECT("H"&amp;MATCH("*"&amp;INDIRECT("B"&amp;R226&amp;"")&amp;"*",INDIRECT("B"&amp;R226+1&amp;":B210"),0)+R226&amp;""),0),
IF(AND(LEFT(INDIRECT("B"&amp;R226&amp;""),3)="奈良屋",COUNTIF(B:B,"*奈良屋*")&gt;=2),
INDIRECT("H"&amp;R226&amp;"")
+INDIRECT("H"&amp;MATCH("*"&amp;INDIRECT("B"&amp;R226&amp;"")&amp;"*",INDIRECT("B"&amp;R226+1&amp;":B210"),0)+R226&amp;"")
+INDIRECT("H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
+INDIRECT("H"&amp;MATCH("*"&amp;INDIRECT("B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&amp;"*",INDIRECT("B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+1&amp;":B210"),0)+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,
INDIRECT("H"&amp;R226&amp;"")))),"")</f>
        <v/>
      </c>
      <c r="X226" s="176" t="str">
        <f t="array" aca="1" ref="X226" ca="1">IF($R226&lt;&gt;"",
INDIRECT(""&amp;IF(COLUMN(I226)&lt;=26,CHAR(COLUMN(I226)+64),CHAR(INT((COLUMN(I226)-1)/26)+64)&amp;CHAR(MOD(COLUMN(I226)-1,26)+65))&amp;$R226&amp;""),"")</f>
        <v/>
      </c>
      <c r="Y226" s="176" t="str">
        <f t="array" aca="1" ref="Y226" ca="1">IF($R226&lt;&gt;"",
INDIRECT(""&amp;IF(COLUMN(J226)&lt;=26,CHAR(COLUMN(J226)+64),CHAR(INT((COLUMN(J226)-1)/26)+64)&amp;CHAR(MOD(COLUMN(J226)-1,26)+65))&amp;$R226&amp;""),"")</f>
        <v/>
      </c>
      <c r="Z226" s="176" t="str">
        <f t="shared" ca="1" si="89"/>
        <v/>
      </c>
      <c r="AA226" s="176" t="str">
        <f t="shared" ca="1" si="90"/>
        <v/>
      </c>
      <c r="AB226" s="176" t="str">
        <f t="array" aca="1" ref="AB226" ca="1">IF($R226&lt;&gt;"",
IF(AND(COUNTIF(INDIRECT("B"&amp;R226&amp;""),"*雙葉*"),COUNTIF(INDIRECT("B"&amp;R226&amp;""),"&lt;&gt;*先生*"),COUNTIF(B:B,"*雙葉*")&gt;=2),
INDIRECT("M"&amp;R226&amp;"")+INDIRECT("M"&amp;MATCH("雙葉'",INDIRECT("B"&amp;R226+1&amp;":B210"),0)+R226&amp;""),
IF(AND(LEFT(INDIRECT("B"&amp;R226&amp;""),2)="博多",COUNTIF(B:B,"*博多*")&gt;=2),
INDIRECT("M"&amp;R226&amp;"")+INDIRECT("M"&amp;MATCH("*"&amp;INDIRECT("B"&amp;R226&amp;"")&amp;"*",INDIRECT("B"&amp;R226+1&amp;":B210"),0)+R226&amp;""),
IF(AND(LEFT(INDIRECT("B"&amp;R226&amp;""),3)="奈良屋",COUNTIF(B:B,"*奈良屋*")&gt;=2),
INDIRECT("M"&amp;R226&amp;"")+INDIRECT("M"&amp;MATCH("*"&amp;INDIRECT("B"&amp;R226&amp;"")&amp;"*",INDIRECT("B"&amp;R226+1&amp;":B210"),0)+R226&amp;"")
+INDIRECT("M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,
INDIRECT("M"&amp;R226&amp;"")))),"")</f>
        <v/>
      </c>
      <c r="AC226" s="176" t="str">
        <f t="shared" ca="1" si="91"/>
        <v/>
      </c>
      <c r="AD226" s="176" t="str">
        <f t="shared" ca="1" si="92"/>
        <v/>
      </c>
      <c r="AE226" s="176" t="str">
        <f t="shared" ca="1" si="93"/>
        <v/>
      </c>
      <c r="AF226" s="176" t="str">
        <f t="shared" ca="1" si="94"/>
        <v/>
      </c>
      <c r="AG226" s="176" t="str">
        <f t="shared" ca="1" si="95"/>
        <v/>
      </c>
      <c r="AH226" s="183" t="str">
        <f t="shared" ca="1" si="96"/>
        <v/>
      </c>
      <c r="AI226" s="176" t="str">
        <f t="shared" ca="1" si="97"/>
        <v/>
      </c>
      <c r="AJ226" s="176" t="str">
        <f t="shared" ca="1" si="98"/>
        <v/>
      </c>
      <c r="AK226" s="176" t="str">
        <f t="shared" ca="1" si="99"/>
        <v/>
      </c>
      <c r="AL226" s="176" t="str">
        <f t="shared" ca="1" si="100"/>
        <v/>
      </c>
      <c r="AM226" s="176" t="str">
        <f t="shared" ca="1" si="101"/>
        <v/>
      </c>
      <c r="AN226" s="176" t="str">
        <f t="shared" ca="1" si="102"/>
        <v/>
      </c>
      <c r="AO226" s="176" t="str">
        <f t="shared" ca="1" si="103"/>
        <v/>
      </c>
      <c r="AP226" s="176" t="str">
        <f t="shared" ca="1" si="104"/>
        <v/>
      </c>
      <c r="AU226" s="176" t="str">
        <f t="shared" ca="1" si="105"/>
        <v/>
      </c>
    </row>
    <row r="227" spans="1:47">
      <c r="A227" s="100">
        <f ca="1">IF(C227&lt;&gt;"",MAX($A$223:$A$226)+1,"")</f>
        <v>149</v>
      </c>
      <c r="B227" s="116">
        <v>4</v>
      </c>
      <c r="C227" s="117" t="str">
        <f t="array" aca="1" ref="C227" ca="1">IF(INDIRECT("まとめ札!A"&amp;B227&amp;"")&lt;&gt;0,INDIRECT("まとめ札!A"&amp;B227&amp;"")&amp;"【1】","")</f>
        <v>キャラ弁当 飯なし【1】</v>
      </c>
      <c r="D227" s="117"/>
      <c r="E227" s="117"/>
      <c r="F227" s="189" t="e">
        <f ca="1">IF(C227&lt;&gt;"",
IF(IF(COUNTIF(C227,"*キャラ*"),
VLOOKUP("*キャラ*",商品マスタ!$D:$E,2,FALSE),
VLOOKUP("*赤*",商品マスタ!$D:$E,2,FALSE))=0,"",
IF(H227&lt;&gt;"",
IF(ROUND(
H227/IF(COUNTIF(C227,"*キャラ*"),
VLOOKUP("*キャラ*",商品マスタ!$D:$E,2,FALSE),
VLOOKUP("*赤*",商品マスタ!$D:$E,2,FALSE)),0)&lt;=0,1,
ROUND(
H227/IF(COUNTIF(C227,"*キャラ*"),
VLOOKUP("*キャラ*",商品マスタ!$D:$E,2,FALSE),
VLOOKUP("*赤*",商品マスタ!$D:$E,2,FALSE)),0)),"")),"")</f>
        <v>#N/A</v>
      </c>
      <c r="G227" s="118" t="e">
        <f ca="1">IF(F227&lt;&gt;"",IF(VALUE(H227)&gt;VALUE(IF(COUNTIF(C227,"*キャラ*"),
VLOOKUP("*キャラ*",商品マスタ!$D:$E,2,FALSE),
VLOOKUP("*赤*",商品マスタ!$D:$E,2,FALSE))*F227),
"+"&amp;H227-IF(COUNTIF(C227,"*キャラ*"),
VLOOKUP("*キャラ*",商品マスタ!$D:$E,2,FALSE),
VLOOKUP("*赤*",商品マスタ!$D:$E,2,FALSE))*F227,
H227-IF(COUNTIF(C227,"*キャラ*"),
VLOOKUP("*キャラ*",商品マスタ!$D:$E,2,FALSE),
VLOOKUP("*赤*",商品マスタ!$D:$E,2,FALSE))*F227),"")</f>
        <v>#N/A</v>
      </c>
      <c r="H227" s="116" t="e">
        <f t="array" aca="1" ref="H227" ca="1">IF(INDIRECT("まとめ札!F"&amp;B227&amp;"")&lt;&gt;0,INDIRECT("まとめ札!F"&amp;B227&amp;""),"")</f>
        <v>#N/A</v>
      </c>
      <c r="I227" s="116"/>
      <c r="J227" s="116">
        <f ca="1">IF(C227&lt;&gt;"",
IF(OR(COUNTIF(C227,"*キャラ*"),COUNTIF(C227,"*赤*")),24,
VLOOKUP(C227,#REF!,6,FALSE)),"")</f>
        <v>24</v>
      </c>
      <c r="M227" s="116"/>
      <c r="P227" s="116" t="e">
        <f t="shared" ca="1" si="108"/>
        <v>#N/A</v>
      </c>
      <c r="Q227" s="116" t="e">
        <f t="shared" ca="1" si="109"/>
        <v>#N/A</v>
      </c>
      <c r="R227" s="176" t="str">
        <f t="array" aca="1" ref="R227" ca="1">IFERROR(SMALL(IF(P$1:P$311&lt;&gt;0,P$1:P$311),ROW(A227)),"")</f>
        <v/>
      </c>
      <c r="S227" s="176" t="str">
        <f t="array" aca="1" ref="S227" ca="1">IF($R227&lt;&gt;"",
SUBSTITUTE(SUBSTITUTE(INDIRECT("C"&amp;$R227&amp;"")," 週3ｺｰｽ","")," 週5ｺｰｽ",""),"")</f>
        <v/>
      </c>
      <c r="T227" s="176" t="str">
        <f t="array" aca="1" ref="T227" ca="1">IF(IF($R227&lt;&gt;"",
INDIRECT(""&amp;IF(COLUMN(D227)&lt;=26,CHAR(COLUMN(D227)+64),CHAR(INT((COLUMN(D227)-1)/26)+64)&amp;CHAR(MOD(COLUMN(D227)-1,26)+65))&amp;$R227&amp;""),"")=0,"",
IF($R227&lt;&gt;"",
INDIRECT(""&amp;IF(COLUMN(D227)&lt;=26,CHAR(COLUMN(D227)+64),CHAR(INT((COLUMN(D227)-1)/26)+64)&amp;CHAR(MOD(COLUMN(D227)-1,26)+65))&amp;$R227&amp;""),""))</f>
        <v/>
      </c>
      <c r="U227" s="218" t="str">
        <f t="array" aca="1" ref="U227" ca="1">IF($R227&lt;&gt;"",
INDIRECT("F"&amp;$R227&amp;""),"")</f>
        <v/>
      </c>
      <c r="V227" s="219" t="str">
        <f t="array" aca="1" ref="V227" ca="1">IF($R227&lt;&gt;"",
INDIRECT("G"&amp;$R227&amp;""),"")</f>
        <v/>
      </c>
      <c r="W227" s="219" t="str" cm="1">
        <f t="array" aca="1" ref="W227" ca="1">IF($R227&lt;&gt;"",
IF(AND(COUNTIF(INDIRECT("B"&amp;R227&amp;""),"*雙葉*"),COUNTIF($B$71:$B$210,"*雙葉*")&gt;=1),
IF(OR(COUNTIF(INDIRECT("B"&amp;R227&amp;""),"*雙葉先生*"),COUNTIF(INDIRECT("B"&amp;R227-1&amp;""),"*雙葉*")),INDIRECT("H"&amp;R227&amp;""),INDIRECT("H"&amp;R227&amp;"")+INDIRECT("H"&amp;MATCH("雙葉'",INDIRECT("B"&amp;R227+3&amp;":B210"),0)+2+R227&amp;"")),
IF(AND(LEFT(INDIRECT("B"&amp;R227&amp;""),2)="博多",COUNTIF(B:B,"*博多*")&gt;=2),
INDIRECT("H"&amp;R227&amp;"")+IFERROR(INDIRECT("H"&amp;MATCH("*"&amp;INDIRECT("B"&amp;R227&amp;"")&amp;"*",INDIRECT("B"&amp;R227+1&amp;":B210"),0)+R227&amp;""),0),
IF(AND(LEFT(INDIRECT("B"&amp;R227&amp;""),3)="奈良屋",COUNTIF(B:B,"*奈良屋*")&gt;=2),
INDIRECT("H"&amp;R227&amp;"")
+INDIRECT("H"&amp;MATCH("*"&amp;INDIRECT("B"&amp;R227&amp;"")&amp;"*",INDIRECT("B"&amp;R227+1&amp;":B210"),0)+R227&amp;"")
+INDIRECT("H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
+INDIRECT("H"&amp;MATCH("*"&amp;INDIRECT("B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&amp;"*",INDIRECT("B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+1&amp;":B210"),0)+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,
INDIRECT("H"&amp;R227&amp;"")))),"")</f>
        <v/>
      </c>
      <c r="X227" s="176" t="str">
        <f t="array" aca="1" ref="X227" ca="1">IF($R227&lt;&gt;"",
INDIRECT(""&amp;IF(COLUMN(I227)&lt;=26,CHAR(COLUMN(I227)+64),CHAR(INT((COLUMN(I227)-1)/26)+64)&amp;CHAR(MOD(COLUMN(I227)-1,26)+65))&amp;$R227&amp;""),"")</f>
        <v/>
      </c>
      <c r="Y227" s="176" t="str">
        <f t="array" aca="1" ref="Y227" ca="1">IF($R227&lt;&gt;"",
INDIRECT(""&amp;IF(COLUMN(J227)&lt;=26,CHAR(COLUMN(J227)+64),CHAR(INT((COLUMN(J227)-1)/26)+64)&amp;CHAR(MOD(COLUMN(J227)-1,26)+65))&amp;$R227&amp;""),"")</f>
        <v/>
      </c>
      <c r="Z227" s="176" t="str">
        <f t="shared" ca="1" si="89"/>
        <v/>
      </c>
      <c r="AA227" s="176" t="str">
        <f t="shared" ca="1" si="90"/>
        <v/>
      </c>
      <c r="AB227" s="176" t="str">
        <f t="array" aca="1" ref="AB227" ca="1">IF($R227&lt;&gt;"",
IF(AND(COUNTIF(INDIRECT("B"&amp;R227&amp;""),"*雙葉*"),COUNTIF(INDIRECT("B"&amp;R227&amp;""),"&lt;&gt;*先生*"),COUNTIF(B:B,"*雙葉*")&gt;=2),
INDIRECT("M"&amp;R227&amp;"")+INDIRECT("M"&amp;MATCH("雙葉'",INDIRECT("B"&amp;R227+1&amp;":B210"),0)+R227&amp;""),
IF(AND(LEFT(INDIRECT("B"&amp;R227&amp;""),2)="博多",COUNTIF(B:B,"*博多*")&gt;=2),
INDIRECT("M"&amp;R227&amp;"")+INDIRECT("M"&amp;MATCH("*"&amp;INDIRECT("B"&amp;R227&amp;"")&amp;"*",INDIRECT("B"&amp;R227+1&amp;":B210"),0)+R227&amp;""),
IF(AND(LEFT(INDIRECT("B"&amp;R227&amp;""),3)="奈良屋",COUNTIF(B:B,"*奈良屋*")&gt;=2),
INDIRECT("M"&amp;R227&amp;"")+INDIRECT("M"&amp;MATCH("*"&amp;INDIRECT("B"&amp;R227&amp;"")&amp;"*",INDIRECT("B"&amp;R227+1&amp;":B210"),0)+R227&amp;"")
+INDIRECT("M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,
INDIRECT("M"&amp;R227&amp;"")))),"")</f>
        <v/>
      </c>
      <c r="AC227" s="176" t="str">
        <f t="shared" ca="1" si="91"/>
        <v/>
      </c>
      <c r="AD227" s="176" t="str">
        <f t="shared" ca="1" si="92"/>
        <v/>
      </c>
      <c r="AE227" s="176" t="str">
        <f t="shared" ca="1" si="93"/>
        <v/>
      </c>
      <c r="AF227" s="176" t="str">
        <f t="shared" ca="1" si="94"/>
        <v/>
      </c>
      <c r="AG227" s="176" t="str">
        <f t="shared" ca="1" si="95"/>
        <v/>
      </c>
      <c r="AH227" s="183" t="str">
        <f t="shared" ca="1" si="96"/>
        <v/>
      </c>
      <c r="AI227" s="176" t="str">
        <f t="shared" ca="1" si="97"/>
        <v/>
      </c>
      <c r="AJ227" s="176" t="str">
        <f t="shared" ca="1" si="98"/>
        <v/>
      </c>
      <c r="AK227" s="176" t="str">
        <f t="shared" ca="1" si="99"/>
        <v/>
      </c>
      <c r="AL227" s="176" t="str">
        <f t="shared" ca="1" si="100"/>
        <v/>
      </c>
      <c r="AM227" s="176" t="str">
        <f t="shared" ca="1" si="101"/>
        <v/>
      </c>
      <c r="AN227" s="176" t="str">
        <f t="shared" ca="1" si="102"/>
        <v/>
      </c>
      <c r="AO227" s="176" t="str">
        <f t="shared" ca="1" si="103"/>
        <v/>
      </c>
      <c r="AP227" s="176" t="str">
        <f t="shared" ca="1" si="104"/>
        <v/>
      </c>
      <c r="AU227" s="176" t="str">
        <f t="shared" ca="1" si="105"/>
        <v/>
      </c>
    </row>
    <row r="228" spans="1:47">
      <c r="A228" s="100" t="str">
        <f ca="1">IF(C228&lt;&gt;"",A227+1,"")</f>
        <v/>
      </c>
      <c r="B228" s="116"/>
      <c r="C228" s="117" t="str">
        <f t="array" aca="1" ref="C228" ca="1">IF(OR(INDIRECT("まとめ札!G"&amp;B227&amp;"")="",INDIRECT("まとめ札!G"&amp;B227&amp;"")=0),"",INDIRECT("まとめ札!A"&amp;B227&amp;"")&amp;"【2】")</f>
        <v/>
      </c>
      <c r="D228" s="117"/>
      <c r="E228" s="117"/>
      <c r="F228" s="189" t="str">
        <f ca="1">IF(C228&lt;&gt;"",
IF(IF(COUNTIF(C228,"*キャラ*"),
VLOOKUP("*キャラ*",商品マスタ!$D:$E,2,FALSE),
VLOOKUP("*赤*",商品マスタ!$D:$E,2,FALSE))=0,"",
IF(H228&lt;&gt;"",
IF(ROUND(
H228/IF(COUNTIF(C228,"*キャラ*"),
VLOOKUP("*キャラ*",商品マスタ!$D:$E,2,FALSE),
VLOOKUP("*赤*",商品マスタ!$D:$E,2,FALSE)),0)&lt;=0,1,
ROUND(
H228/IF(COUNTIF(C228,"*キャラ*"),
VLOOKUP("*キャラ*",商品マスタ!$D:$E,2,FALSE),
VLOOKUP("*赤*",商品マスタ!$D:$E,2,FALSE)),0)),"")),"")</f>
        <v/>
      </c>
      <c r="G228" s="118" t="str">
        <f ca="1">IF(F228&lt;&gt;"",IF(VALUE(H228)&gt;VALUE(IF(COUNTIF(C228,"*キャラ*"),
VLOOKUP("*キャラ*",商品マスタ!$D:$E,2,FALSE),
VLOOKUP("*赤*",商品マスタ!$D:$E,2,FALSE))*F228),
"+"&amp;H228-IF(COUNTIF(C228,"*キャラ*"),
VLOOKUP("*キャラ*",商品マスタ!$D:$E,2,FALSE),
VLOOKUP("*赤*",商品マスタ!$D:$E,2,FALSE))*F228,
H228-IF(COUNTIF(C228,"*キャラ*"),
VLOOKUP("*キャラ*",商品マスタ!$D:$E,2,FALSE),
VLOOKUP("*赤*",商品マスタ!$D:$E,2,FALSE))*F228),"")</f>
        <v/>
      </c>
      <c r="H228" s="116" t="str">
        <f t="array" aca="1" ref="H228" ca="1">IF(OR(INDIRECT("まとめ札!G"&amp;B227&amp;"")="",INDIRECT("まとめ札!G"&amp;B227&amp;"")=0),"",INDIRECT("まとめ札!G"&amp;B227&amp;""))</f>
        <v/>
      </c>
      <c r="I228" s="116"/>
      <c r="J228" s="116" t="str">
        <f ca="1">IF(C228&lt;&gt;"",
IF(OR(COUNTIF(C228,"*キャラ*"),COUNTIF(C228,"*赤*")),24,
VLOOKUP(C228,#REF!,6,FALSE)),"")</f>
        <v/>
      </c>
      <c r="M228" s="116"/>
      <c r="P228" s="116" t="str">
        <f t="shared" ca="1" si="108"/>
        <v/>
      </c>
      <c r="Q228" s="116" t="str">
        <f t="shared" ca="1" si="109"/>
        <v/>
      </c>
      <c r="R228" s="176" t="str">
        <f t="array" aca="1" ref="R228" ca="1">IFERROR(SMALL(IF(P$1:P$311&lt;&gt;0,P$1:P$311),ROW(A228)),"")</f>
        <v/>
      </c>
      <c r="S228" s="176" t="str">
        <f t="array" aca="1" ref="S228" ca="1">IF($R228&lt;&gt;"",
SUBSTITUTE(SUBSTITUTE(INDIRECT("C"&amp;$R228&amp;"")," 週3ｺｰｽ","")," 週5ｺｰｽ",""),"")</f>
        <v/>
      </c>
      <c r="T228" s="176" t="str">
        <f t="array" aca="1" ref="T228" ca="1">IF(IF($R228&lt;&gt;"",
INDIRECT(""&amp;IF(COLUMN(D228)&lt;=26,CHAR(COLUMN(D228)+64),CHAR(INT((COLUMN(D228)-1)/26)+64)&amp;CHAR(MOD(COLUMN(D228)-1,26)+65))&amp;$R228&amp;""),"")=0,"",
IF($R228&lt;&gt;"",
INDIRECT(""&amp;IF(COLUMN(D228)&lt;=26,CHAR(COLUMN(D228)+64),CHAR(INT((COLUMN(D228)-1)/26)+64)&amp;CHAR(MOD(COLUMN(D228)-1,26)+65))&amp;$R228&amp;""),""))</f>
        <v/>
      </c>
      <c r="U228" s="218" t="str">
        <f t="array" aca="1" ref="U228" ca="1">IF($R228&lt;&gt;"",
INDIRECT("F"&amp;$R228&amp;""),"")</f>
        <v/>
      </c>
      <c r="V228" s="219" t="str">
        <f t="array" aca="1" ref="V228" ca="1">IF($R228&lt;&gt;"",
INDIRECT("G"&amp;$R228&amp;""),"")</f>
        <v/>
      </c>
      <c r="W228" s="219" t="str" cm="1">
        <f t="array" aca="1" ref="W228" ca="1">IF($R228&lt;&gt;"",
IF(AND(COUNTIF(INDIRECT("B"&amp;R228&amp;""),"*雙葉*"),COUNTIF($B$71:$B$210,"*雙葉*")&gt;=1),
IF(OR(COUNTIF(INDIRECT("B"&amp;R228&amp;""),"*雙葉先生*"),COUNTIF(INDIRECT("B"&amp;R228-1&amp;""),"*雙葉*")),INDIRECT("H"&amp;R228&amp;""),INDIRECT("H"&amp;R228&amp;"")+INDIRECT("H"&amp;MATCH("雙葉'",INDIRECT("B"&amp;R228+3&amp;":B210"),0)+2+R228&amp;"")),
IF(AND(LEFT(INDIRECT("B"&amp;R228&amp;""),2)="博多",COUNTIF(B:B,"*博多*")&gt;=2),
INDIRECT("H"&amp;R228&amp;"")+IFERROR(INDIRECT("H"&amp;MATCH("*"&amp;INDIRECT("B"&amp;R228&amp;"")&amp;"*",INDIRECT("B"&amp;R228+1&amp;":B210"),0)+R228&amp;""),0),
IF(AND(LEFT(INDIRECT("B"&amp;R228&amp;""),3)="奈良屋",COUNTIF(B:B,"*奈良屋*")&gt;=2),
INDIRECT("H"&amp;R228&amp;"")
+INDIRECT("H"&amp;MATCH("*"&amp;INDIRECT("B"&amp;R228&amp;"")&amp;"*",INDIRECT("B"&amp;R228+1&amp;":B210"),0)+R228&amp;"")
+INDIRECT("H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
+INDIRECT("H"&amp;MATCH("*"&amp;INDIRECT("B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&amp;"*",INDIRECT("B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+1&amp;":B210"),0)+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,
INDIRECT("H"&amp;R228&amp;"")))),"")</f>
        <v/>
      </c>
      <c r="X228" s="176" t="str">
        <f t="array" aca="1" ref="X228" ca="1">IF($R228&lt;&gt;"",
INDIRECT(""&amp;IF(COLUMN(I228)&lt;=26,CHAR(COLUMN(I228)+64),CHAR(INT((COLUMN(I228)-1)/26)+64)&amp;CHAR(MOD(COLUMN(I228)-1,26)+65))&amp;$R228&amp;""),"")</f>
        <v/>
      </c>
      <c r="Y228" s="176" t="str">
        <f t="array" aca="1" ref="Y228" ca="1">IF($R228&lt;&gt;"",
INDIRECT(""&amp;IF(COLUMN(J228)&lt;=26,CHAR(COLUMN(J228)+64),CHAR(INT((COLUMN(J228)-1)/26)+64)&amp;CHAR(MOD(COLUMN(J228)-1,26)+65))&amp;$R228&amp;""),"")</f>
        <v/>
      </c>
      <c r="Z228" s="176" t="str">
        <f t="shared" ca="1" si="89"/>
        <v/>
      </c>
      <c r="AA228" s="176" t="str">
        <f t="shared" ca="1" si="90"/>
        <v/>
      </c>
      <c r="AB228" s="176" t="str">
        <f t="array" aca="1" ref="AB228" ca="1">IF($R228&lt;&gt;"",
IF(AND(COUNTIF(INDIRECT("B"&amp;R228&amp;""),"*雙葉*"),COUNTIF(INDIRECT("B"&amp;R228&amp;""),"&lt;&gt;*先生*"),COUNTIF(B:B,"*雙葉*")&gt;=2),
INDIRECT("M"&amp;R228&amp;"")+INDIRECT("M"&amp;MATCH("雙葉'",INDIRECT("B"&amp;R228+1&amp;":B210"),0)+R228&amp;""),
IF(AND(LEFT(INDIRECT("B"&amp;R228&amp;""),2)="博多",COUNTIF(B:B,"*博多*")&gt;=2),
INDIRECT("M"&amp;R228&amp;"")+INDIRECT("M"&amp;MATCH("*"&amp;INDIRECT("B"&amp;R228&amp;"")&amp;"*",INDIRECT("B"&amp;R228+1&amp;":B210"),0)+R228&amp;""),
IF(AND(LEFT(INDIRECT("B"&amp;R228&amp;""),3)="奈良屋",COUNTIF(B:B,"*奈良屋*")&gt;=2),
INDIRECT("M"&amp;R228&amp;"")+INDIRECT("M"&amp;MATCH("*"&amp;INDIRECT("B"&amp;R228&amp;"")&amp;"*",INDIRECT("B"&amp;R228+1&amp;":B210"),0)+R228&amp;"")
+INDIRECT("M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,
INDIRECT("M"&amp;R228&amp;"")))),"")</f>
        <v/>
      </c>
      <c r="AC228" s="176" t="str">
        <f t="shared" ca="1" si="91"/>
        <v/>
      </c>
      <c r="AD228" s="176" t="str">
        <f t="shared" ca="1" si="92"/>
        <v/>
      </c>
      <c r="AE228" s="176" t="str">
        <f t="shared" ca="1" si="93"/>
        <v/>
      </c>
      <c r="AF228" s="176" t="str">
        <f t="shared" ca="1" si="94"/>
        <v/>
      </c>
      <c r="AG228" s="176" t="str">
        <f t="shared" ca="1" si="95"/>
        <v/>
      </c>
      <c r="AH228" s="183" t="str">
        <f t="shared" ca="1" si="96"/>
        <v/>
      </c>
      <c r="AI228" s="176" t="str">
        <f t="shared" ca="1" si="97"/>
        <v/>
      </c>
      <c r="AJ228" s="176" t="str">
        <f t="shared" ca="1" si="98"/>
        <v/>
      </c>
      <c r="AK228" s="176" t="str">
        <f t="shared" ca="1" si="99"/>
        <v/>
      </c>
      <c r="AL228" s="176" t="str">
        <f t="shared" ca="1" si="100"/>
        <v/>
      </c>
      <c r="AM228" s="176" t="str">
        <f t="shared" ca="1" si="101"/>
        <v/>
      </c>
      <c r="AN228" s="176" t="str">
        <f t="shared" ca="1" si="102"/>
        <v/>
      </c>
      <c r="AO228" s="176" t="str">
        <f t="shared" ca="1" si="103"/>
        <v/>
      </c>
      <c r="AP228" s="176" t="str">
        <f t="shared" ca="1" si="104"/>
        <v/>
      </c>
      <c r="AU228" s="176" t="str">
        <f t="shared" ca="1" si="105"/>
        <v/>
      </c>
    </row>
    <row r="229" spans="1:47">
      <c r="A229" s="100" t="str">
        <f ca="1">IF(C229&lt;&gt;"",A228+1,"")</f>
        <v/>
      </c>
      <c r="B229" s="116"/>
      <c r="C229" s="117" t="str">
        <f t="array" aca="1" ref="C229" ca="1">IF(OR(INDIRECT("まとめ札!H"&amp;B227&amp;"")="",INDIRECT("まとめ札!H"&amp;B227&amp;"")=0),"",INDIRECT("まとめ札!A"&amp;B227&amp;"")&amp;"【3】")</f>
        <v/>
      </c>
      <c r="D229" s="117"/>
      <c r="E229" s="117"/>
      <c r="F229" s="189" t="str">
        <f ca="1">IF(C229&lt;&gt;"",
IF(IF(COUNTIF(C229,"*キャラ*"),
VLOOKUP("*キャラ*",商品マスタ!$D:$E,2,FALSE),
VLOOKUP("*赤*",商品マスタ!$D:$E,2,FALSE))=0,"",
IF(H229&lt;&gt;"",
IF(ROUND(
H229/IF(COUNTIF(C229,"*キャラ*"),
VLOOKUP("*キャラ*",商品マスタ!$D:$E,2,FALSE),
VLOOKUP("*赤*",商品マスタ!$D:$E,2,FALSE)),0)&lt;=0,1,
ROUND(
H229/IF(COUNTIF(C229,"*キャラ*"),
VLOOKUP("*キャラ*",商品マスタ!$D:$E,2,FALSE),
VLOOKUP("*赤*",商品マスタ!$D:$E,2,FALSE)),0)),"")),"")</f>
        <v/>
      </c>
      <c r="G229" s="118" t="str">
        <f ca="1">IF(F229&lt;&gt;"",IF(VALUE(H229)&gt;VALUE(IF(COUNTIF(C229,"*キャラ*"),
VLOOKUP("*キャラ*",商品マスタ!$D:$E,2,FALSE),
VLOOKUP("*赤*",商品マスタ!$D:$E,2,FALSE))*F229),
"+"&amp;H229-IF(COUNTIF(C229,"*キャラ*"),
VLOOKUP("*キャラ*",商品マスタ!$D:$E,2,FALSE),
VLOOKUP("*赤*",商品マスタ!$D:$E,2,FALSE))*F229,
H229-IF(COUNTIF(C229,"*キャラ*"),
VLOOKUP("*キャラ*",商品マスタ!$D:$E,2,FALSE),
VLOOKUP("*赤*",商品マスタ!$D:$E,2,FALSE))*F229),"")</f>
        <v/>
      </c>
      <c r="H229" s="116" t="str">
        <f t="array" aca="1" ref="H229" ca="1">IF(OR(INDIRECT("まとめ札!H"&amp;B227&amp;"")="",INDIRECT("まとめ札!H"&amp;B227&amp;"")=0),"",INDIRECT("まとめ札!H"&amp;B227&amp;""))</f>
        <v/>
      </c>
      <c r="I229" s="116"/>
      <c r="J229" s="116" t="str">
        <f ca="1">IF(C229&lt;&gt;"",
IF(OR(COUNTIF(C229,"*キャラ*"),COUNTIF(C229,"*赤*")),24,
VLOOKUP(C229,#REF!,6,FALSE)),"")</f>
        <v/>
      </c>
      <c r="M229" s="116"/>
      <c r="P229" s="116" t="str">
        <f t="shared" ca="1" si="108"/>
        <v/>
      </c>
      <c r="Q229" s="116" t="str">
        <f t="shared" ca="1" si="109"/>
        <v/>
      </c>
      <c r="R229" s="176" t="str">
        <f t="array" aca="1" ref="R229" ca="1">IFERROR(SMALL(IF(P$1:P$311&lt;&gt;0,P$1:P$311),ROW(A229)),"")</f>
        <v/>
      </c>
      <c r="S229" s="176" t="str">
        <f t="array" aca="1" ref="S229" ca="1">IF($R229&lt;&gt;"",
SUBSTITUTE(SUBSTITUTE(INDIRECT("C"&amp;$R229&amp;"")," 週3ｺｰｽ","")," 週5ｺｰｽ",""),"")</f>
        <v/>
      </c>
      <c r="T229" s="176" t="str">
        <f t="array" aca="1" ref="T229" ca="1">IF(IF($R229&lt;&gt;"",
INDIRECT(""&amp;IF(COLUMN(D229)&lt;=26,CHAR(COLUMN(D229)+64),CHAR(INT((COLUMN(D229)-1)/26)+64)&amp;CHAR(MOD(COLUMN(D229)-1,26)+65))&amp;$R229&amp;""),"")=0,"",
IF($R229&lt;&gt;"",
INDIRECT(""&amp;IF(COLUMN(D229)&lt;=26,CHAR(COLUMN(D229)+64),CHAR(INT((COLUMN(D229)-1)/26)+64)&amp;CHAR(MOD(COLUMN(D229)-1,26)+65))&amp;$R229&amp;""),""))</f>
        <v/>
      </c>
      <c r="U229" s="218" t="str">
        <f t="array" aca="1" ref="U229" ca="1">IF($R229&lt;&gt;"",
INDIRECT("F"&amp;$R229&amp;""),"")</f>
        <v/>
      </c>
      <c r="V229" s="219" t="str">
        <f t="array" aca="1" ref="V229" ca="1">IF($R229&lt;&gt;"",
INDIRECT("G"&amp;$R229&amp;""),"")</f>
        <v/>
      </c>
      <c r="W229" s="219" t="str" cm="1">
        <f t="array" aca="1" ref="W229" ca="1">IF($R229&lt;&gt;"",
IF(AND(COUNTIF(INDIRECT("B"&amp;R229&amp;""),"*雙葉*"),COUNTIF($B$71:$B$210,"*雙葉*")&gt;=1),
IF(OR(COUNTIF(INDIRECT("B"&amp;R229&amp;""),"*雙葉先生*"),COUNTIF(INDIRECT("B"&amp;R229-1&amp;""),"*雙葉*")),INDIRECT("H"&amp;R229&amp;""),INDIRECT("H"&amp;R229&amp;"")+INDIRECT("H"&amp;MATCH("雙葉'",INDIRECT("B"&amp;R229+3&amp;":B210"),0)+2+R229&amp;"")),
IF(AND(LEFT(INDIRECT("B"&amp;R229&amp;""),2)="博多",COUNTIF(B:B,"*博多*")&gt;=2),
INDIRECT("H"&amp;R229&amp;"")+IFERROR(INDIRECT("H"&amp;MATCH("*"&amp;INDIRECT("B"&amp;R229&amp;"")&amp;"*",INDIRECT("B"&amp;R229+1&amp;":B210"),0)+R229&amp;""),0),
IF(AND(LEFT(INDIRECT("B"&amp;R229&amp;""),3)="奈良屋",COUNTIF(B:B,"*奈良屋*")&gt;=2),
INDIRECT("H"&amp;R229&amp;"")
+INDIRECT("H"&amp;MATCH("*"&amp;INDIRECT("B"&amp;R229&amp;"")&amp;"*",INDIRECT("B"&amp;R229+1&amp;":B210"),0)+R229&amp;"")
+INDIRECT("H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
+INDIRECT("H"&amp;MATCH("*"&amp;INDIRECT("B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&amp;"*",INDIRECT("B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+1&amp;":B210"),0)+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,
INDIRECT("H"&amp;R229&amp;"")))),"")</f>
        <v/>
      </c>
      <c r="X229" s="176" t="str">
        <f t="array" aca="1" ref="X229" ca="1">IF($R229&lt;&gt;"",
INDIRECT(""&amp;IF(COLUMN(I229)&lt;=26,CHAR(COLUMN(I229)+64),CHAR(INT((COLUMN(I229)-1)/26)+64)&amp;CHAR(MOD(COLUMN(I229)-1,26)+65))&amp;$R229&amp;""),"")</f>
        <v/>
      </c>
      <c r="Y229" s="176" t="str">
        <f t="array" aca="1" ref="Y229" ca="1">IF($R229&lt;&gt;"",
INDIRECT(""&amp;IF(COLUMN(J229)&lt;=26,CHAR(COLUMN(J229)+64),CHAR(INT((COLUMN(J229)-1)/26)+64)&amp;CHAR(MOD(COLUMN(J229)-1,26)+65))&amp;$R229&amp;""),"")</f>
        <v/>
      </c>
      <c r="Z229" s="176" t="str">
        <f t="shared" ca="1" si="89"/>
        <v/>
      </c>
      <c r="AA229" s="176" t="str">
        <f t="shared" ca="1" si="90"/>
        <v/>
      </c>
      <c r="AB229" s="176" t="str">
        <f t="array" aca="1" ref="AB229" ca="1">IF($R229&lt;&gt;"",
IF(AND(COUNTIF(INDIRECT("B"&amp;R229&amp;""),"*雙葉*"),COUNTIF(INDIRECT("B"&amp;R229&amp;""),"&lt;&gt;*先生*"),COUNTIF(B:B,"*雙葉*")&gt;=2),
INDIRECT("M"&amp;R229&amp;"")+INDIRECT("M"&amp;MATCH("雙葉'",INDIRECT("B"&amp;R229+1&amp;":B210"),0)+R229&amp;""),
IF(AND(LEFT(INDIRECT("B"&amp;R229&amp;""),2)="博多",COUNTIF(B:B,"*博多*")&gt;=2),
INDIRECT("M"&amp;R229&amp;"")+INDIRECT("M"&amp;MATCH("*"&amp;INDIRECT("B"&amp;R229&amp;"")&amp;"*",INDIRECT("B"&amp;R229+1&amp;":B210"),0)+R229&amp;""),
IF(AND(LEFT(INDIRECT("B"&amp;R229&amp;""),3)="奈良屋",COUNTIF(B:B,"*奈良屋*")&gt;=2),
INDIRECT("M"&amp;R229&amp;"")+INDIRECT("M"&amp;MATCH("*"&amp;INDIRECT("B"&amp;R229&amp;"")&amp;"*",INDIRECT("B"&amp;R229+1&amp;":B210"),0)+R229&amp;"")
+INDIRECT("M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,
INDIRECT("M"&amp;R229&amp;"")))),"")</f>
        <v/>
      </c>
      <c r="AC229" s="176" t="str">
        <f t="shared" ca="1" si="91"/>
        <v/>
      </c>
      <c r="AD229" s="176" t="str">
        <f t="shared" ca="1" si="92"/>
        <v/>
      </c>
      <c r="AE229" s="176" t="str">
        <f t="shared" ca="1" si="93"/>
        <v/>
      </c>
      <c r="AF229" s="176" t="str">
        <f t="shared" ca="1" si="94"/>
        <v/>
      </c>
      <c r="AG229" s="176" t="str">
        <f t="shared" ca="1" si="95"/>
        <v/>
      </c>
      <c r="AH229" s="183" t="str">
        <f t="shared" ca="1" si="96"/>
        <v/>
      </c>
      <c r="AI229" s="176" t="str">
        <f t="shared" ca="1" si="97"/>
        <v/>
      </c>
      <c r="AJ229" s="176" t="str">
        <f t="shared" ca="1" si="98"/>
        <v/>
      </c>
      <c r="AK229" s="176" t="str">
        <f t="shared" ca="1" si="99"/>
        <v/>
      </c>
      <c r="AL229" s="176" t="str">
        <f t="shared" ca="1" si="100"/>
        <v/>
      </c>
      <c r="AM229" s="176" t="str">
        <f t="shared" ca="1" si="101"/>
        <v/>
      </c>
      <c r="AN229" s="176" t="str">
        <f t="shared" ca="1" si="102"/>
        <v/>
      </c>
      <c r="AO229" s="176" t="str">
        <f t="shared" ca="1" si="103"/>
        <v/>
      </c>
      <c r="AP229" s="176" t="str">
        <f t="shared" ca="1" si="104"/>
        <v/>
      </c>
      <c r="AU229" s="176" t="str">
        <f t="shared" ca="1" si="105"/>
        <v/>
      </c>
    </row>
    <row r="230" spans="1:47">
      <c r="A230" s="100" t="str">
        <f ca="1">IF(C230&lt;&gt;"",A229+1,"")</f>
        <v/>
      </c>
      <c r="B230" s="116"/>
      <c r="C230" s="117" t="str">
        <f t="array" aca="1" ref="C230" ca="1">IF(OR(INDIRECT("まとめ札!I"&amp;B227&amp;"")="",INDIRECT("まとめ札!I"&amp;B227&amp;"")=0),"",INDIRECT("まとめ札!A"&amp;B227&amp;"")&amp;"【4】")</f>
        <v/>
      </c>
      <c r="D230" s="117"/>
      <c r="E230" s="117"/>
      <c r="F230" s="189" t="str">
        <f ca="1">IF(C230&lt;&gt;"",
IF(IF(COUNTIF(C230,"*キャラ*"),
VLOOKUP("*キャラ*",商品マスタ!$D:$E,2,FALSE),
VLOOKUP("*赤*",商品マスタ!$D:$E,2,FALSE))=0,"",
IF(H230&lt;&gt;"",
IF(ROUND(
H230/IF(COUNTIF(C230,"*キャラ*"),
VLOOKUP("*キャラ*",商品マスタ!$D:$E,2,FALSE),
VLOOKUP("*赤*",商品マスタ!$D:$E,2,FALSE)),0)&lt;=0,1,
ROUND(
H230/IF(COUNTIF(C230,"*キャラ*"),
VLOOKUP("*キャラ*",商品マスタ!$D:$E,2,FALSE),
VLOOKUP("*赤*",商品マスタ!$D:$E,2,FALSE)),0)),"")),"")</f>
        <v/>
      </c>
      <c r="G230" s="118" t="str">
        <f ca="1">IF(F230&lt;&gt;"",IF(VALUE(H230)&gt;VALUE(IF(COUNTIF(C230,"*キャラ*"),
VLOOKUP("*キャラ*",商品マスタ!$D:$E,2,FALSE),
VLOOKUP("*赤*",商品マスタ!$D:$E,2,FALSE))*F230),
"+"&amp;H230-IF(COUNTIF(C230,"*キャラ*"),
VLOOKUP("*キャラ*",商品マスタ!$D:$E,2,FALSE),
VLOOKUP("*赤*",商品マスタ!$D:$E,2,FALSE))*F230,
H230-IF(COUNTIF(C230,"*キャラ*"),
VLOOKUP("*キャラ*",商品マスタ!$D:$E,2,FALSE),
VLOOKUP("*赤*",商品マスタ!$D:$E,2,FALSE))*F230),"")</f>
        <v/>
      </c>
      <c r="H230" s="116" t="str">
        <f t="array" aca="1" ref="H230" ca="1">IF(OR(INDIRECT("まとめ札!I"&amp;B227&amp;"")="",INDIRECT("まとめ札!I"&amp;B227&amp;"")=0),"",INDIRECT("まとめ札!I"&amp;B227&amp;""))</f>
        <v/>
      </c>
      <c r="I230" s="116"/>
      <c r="J230" s="116" t="str">
        <f ca="1">IF(C230&lt;&gt;"",
IF(OR(COUNTIF(C230,"*キャラ*"),COUNTIF(C230,"*赤*")),24,
VLOOKUP(C230,#REF!,6,FALSE)),"")</f>
        <v/>
      </c>
      <c r="M230" s="116"/>
      <c r="P230" s="116" t="str">
        <f t="shared" ca="1" si="108"/>
        <v/>
      </c>
      <c r="Q230" s="116" t="str">
        <f t="shared" ca="1" si="109"/>
        <v/>
      </c>
      <c r="R230" s="176" t="str">
        <f t="array" aca="1" ref="R230" ca="1">IFERROR(SMALL(IF(P$1:P$311&lt;&gt;0,P$1:P$311),ROW(A230)),"")</f>
        <v/>
      </c>
      <c r="S230" s="176" t="str">
        <f t="array" aca="1" ref="S230" ca="1">IF($R230&lt;&gt;"",
SUBSTITUTE(SUBSTITUTE(INDIRECT("C"&amp;$R230&amp;"")," 週3ｺｰｽ","")," 週5ｺｰｽ",""),"")</f>
        <v/>
      </c>
      <c r="T230" s="176" t="str">
        <f t="array" aca="1" ref="T230" ca="1">IF(IF($R230&lt;&gt;"",
INDIRECT(""&amp;IF(COLUMN(D230)&lt;=26,CHAR(COLUMN(D230)+64),CHAR(INT((COLUMN(D230)-1)/26)+64)&amp;CHAR(MOD(COLUMN(D230)-1,26)+65))&amp;$R230&amp;""),"")=0,"",
IF($R230&lt;&gt;"",
INDIRECT(""&amp;IF(COLUMN(D230)&lt;=26,CHAR(COLUMN(D230)+64),CHAR(INT((COLUMN(D230)-1)/26)+64)&amp;CHAR(MOD(COLUMN(D230)-1,26)+65))&amp;$R230&amp;""),""))</f>
        <v/>
      </c>
      <c r="U230" s="218" t="str">
        <f t="array" aca="1" ref="U230" ca="1">IF($R230&lt;&gt;"",
INDIRECT("F"&amp;$R230&amp;""),"")</f>
        <v/>
      </c>
      <c r="V230" s="219" t="str">
        <f t="array" aca="1" ref="V230" ca="1">IF($R230&lt;&gt;"",
INDIRECT("G"&amp;$R230&amp;""),"")</f>
        <v/>
      </c>
      <c r="W230" s="219" t="str" cm="1">
        <f t="array" aca="1" ref="W230" ca="1">IF($R230&lt;&gt;"",
IF(AND(COUNTIF(INDIRECT("B"&amp;R230&amp;""),"*雙葉*"),COUNTIF($B$71:$B$210,"*雙葉*")&gt;=1),
IF(OR(COUNTIF(INDIRECT("B"&amp;R230&amp;""),"*雙葉先生*"),COUNTIF(INDIRECT("B"&amp;R230-1&amp;""),"*雙葉*")),INDIRECT("H"&amp;R230&amp;""),INDIRECT("H"&amp;R230&amp;"")+INDIRECT("H"&amp;MATCH("雙葉'",INDIRECT("B"&amp;R230+3&amp;":B210"),0)+2+R230&amp;"")),
IF(AND(LEFT(INDIRECT("B"&amp;R230&amp;""),2)="博多",COUNTIF(B:B,"*博多*")&gt;=2),
INDIRECT("H"&amp;R230&amp;"")+IFERROR(INDIRECT("H"&amp;MATCH("*"&amp;INDIRECT("B"&amp;R230&amp;"")&amp;"*",INDIRECT("B"&amp;R230+1&amp;":B210"),0)+R230&amp;""),0),
IF(AND(LEFT(INDIRECT("B"&amp;R230&amp;""),3)="奈良屋",COUNTIF(B:B,"*奈良屋*")&gt;=2),
INDIRECT("H"&amp;R230&amp;"")
+INDIRECT("H"&amp;MATCH("*"&amp;INDIRECT("B"&amp;R230&amp;"")&amp;"*",INDIRECT("B"&amp;R230+1&amp;":B210"),0)+R230&amp;"")
+INDIRECT("H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
+INDIRECT("H"&amp;MATCH("*"&amp;INDIRECT("B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&amp;"*",INDIRECT("B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+1&amp;":B210"),0)+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,
INDIRECT("H"&amp;R230&amp;"")))),"")</f>
        <v/>
      </c>
      <c r="X230" s="176" t="str">
        <f t="array" aca="1" ref="X230" ca="1">IF($R230&lt;&gt;"",
INDIRECT(""&amp;IF(COLUMN(I230)&lt;=26,CHAR(COLUMN(I230)+64),CHAR(INT((COLUMN(I230)-1)/26)+64)&amp;CHAR(MOD(COLUMN(I230)-1,26)+65))&amp;$R230&amp;""),"")</f>
        <v/>
      </c>
      <c r="Y230" s="176" t="str">
        <f t="array" aca="1" ref="Y230" ca="1">IF($R230&lt;&gt;"",
INDIRECT(""&amp;IF(COLUMN(J230)&lt;=26,CHAR(COLUMN(J230)+64),CHAR(INT((COLUMN(J230)-1)/26)+64)&amp;CHAR(MOD(COLUMN(J230)-1,26)+65))&amp;$R230&amp;""),"")</f>
        <v/>
      </c>
      <c r="Z230" s="176" t="str">
        <f t="shared" ca="1" si="89"/>
        <v/>
      </c>
      <c r="AA230" s="176" t="str">
        <f t="shared" ca="1" si="90"/>
        <v/>
      </c>
      <c r="AB230" s="176" t="str">
        <f t="array" aca="1" ref="AB230" ca="1">IF($R230&lt;&gt;"",
IF(AND(COUNTIF(INDIRECT("B"&amp;R230&amp;""),"*雙葉*"),COUNTIF(INDIRECT("B"&amp;R230&amp;""),"&lt;&gt;*先生*"),COUNTIF(B:B,"*雙葉*")&gt;=2),
INDIRECT("M"&amp;R230&amp;"")+INDIRECT("M"&amp;MATCH("雙葉'",INDIRECT("B"&amp;R230+1&amp;":B210"),0)+R230&amp;""),
IF(AND(LEFT(INDIRECT("B"&amp;R230&amp;""),2)="博多",COUNTIF(B:B,"*博多*")&gt;=2),
INDIRECT("M"&amp;R230&amp;"")+INDIRECT("M"&amp;MATCH("*"&amp;INDIRECT("B"&amp;R230&amp;"")&amp;"*",INDIRECT("B"&amp;R230+1&amp;":B210"),0)+R230&amp;""),
IF(AND(LEFT(INDIRECT("B"&amp;R230&amp;""),3)="奈良屋",COUNTIF(B:B,"*奈良屋*")&gt;=2),
INDIRECT("M"&amp;R230&amp;"")+INDIRECT("M"&amp;MATCH("*"&amp;INDIRECT("B"&amp;R230&amp;"")&amp;"*",INDIRECT("B"&amp;R230+1&amp;":B210"),0)+R230&amp;"")
+INDIRECT("M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,
INDIRECT("M"&amp;R230&amp;"")))),"")</f>
        <v/>
      </c>
      <c r="AC230" s="176" t="str">
        <f t="shared" ca="1" si="91"/>
        <v/>
      </c>
      <c r="AD230" s="176" t="str">
        <f t="shared" ca="1" si="92"/>
        <v/>
      </c>
      <c r="AE230" s="176" t="str">
        <f t="shared" ca="1" si="93"/>
        <v/>
      </c>
      <c r="AF230" s="176" t="str">
        <f t="shared" ca="1" si="94"/>
        <v/>
      </c>
      <c r="AG230" s="176" t="str">
        <f t="shared" ca="1" si="95"/>
        <v/>
      </c>
      <c r="AH230" s="183" t="str">
        <f t="shared" ca="1" si="96"/>
        <v/>
      </c>
      <c r="AI230" s="176" t="str">
        <f t="shared" ca="1" si="97"/>
        <v/>
      </c>
      <c r="AJ230" s="176" t="str">
        <f t="shared" ca="1" si="98"/>
        <v/>
      </c>
      <c r="AK230" s="176" t="str">
        <f t="shared" ca="1" si="99"/>
        <v/>
      </c>
      <c r="AL230" s="176" t="str">
        <f t="shared" ca="1" si="100"/>
        <v/>
      </c>
      <c r="AM230" s="176" t="str">
        <f t="shared" ca="1" si="101"/>
        <v/>
      </c>
      <c r="AN230" s="176" t="str">
        <f t="shared" ca="1" si="102"/>
        <v/>
      </c>
      <c r="AO230" s="176" t="str">
        <f t="shared" ca="1" si="103"/>
        <v/>
      </c>
      <c r="AP230" s="176" t="str">
        <f t="shared" ca="1" si="104"/>
        <v/>
      </c>
      <c r="AU230" s="176" t="str">
        <f t="shared" ca="1" si="105"/>
        <v/>
      </c>
    </row>
    <row r="231" spans="1:47">
      <c r="A231" s="100">
        <f ca="1">IF(C231&lt;&gt;"",MAX($A$227:$A$230)+1,"")</f>
        <v>150</v>
      </c>
      <c r="B231" s="116">
        <v>5</v>
      </c>
      <c r="C231" s="117" t="str">
        <f t="array" aca="1" ref="C231" ca="1">IF(INDIRECT("まとめ札!A"&amp;B231&amp;"")&lt;&gt;0,INDIRECT("まとめ札!A"&amp;B231&amp;"")&amp;"【1】","")</f>
        <v>赤 飯あり【1】</v>
      </c>
      <c r="D231" s="117"/>
      <c r="E231" s="117"/>
      <c r="F231" s="189" t="e">
        <f ca="1">IF(C231&lt;&gt;"",
IF(IF(COUNTIF(C231,"*キャラ*"),
VLOOKUP("*キャラ*",商品マスタ!$D:$E,2,FALSE),
VLOOKUP("*赤*",商品マスタ!$D:$E,2,FALSE))=0,"",
IF(H231&lt;&gt;"",
IF(ROUND(
H231/IF(COUNTIF(C231,"*キャラ*"),
VLOOKUP("*キャラ*",商品マスタ!$D:$E,2,FALSE),
VLOOKUP("*赤*",商品マスタ!$D:$E,2,FALSE)),0)&lt;=0,1,
ROUND(
H231/IF(COUNTIF(C231,"*キャラ*"),
VLOOKUP("*キャラ*",商品マスタ!$D:$E,2,FALSE),
VLOOKUP("*赤*",商品マスタ!$D:$E,2,FALSE)),0)),"")),"")</f>
        <v>#N/A</v>
      </c>
      <c r="G231" s="118" t="e">
        <f ca="1">IF(F231&lt;&gt;"",IF(VALUE(H231)&gt;VALUE(IF(COUNTIF(C231,"*キャラ*"),
VLOOKUP("*キャラ*",商品マスタ!$D:$E,2,FALSE),
VLOOKUP("*赤*",商品マスタ!$D:$E,2,FALSE))*F231),
"+"&amp;H231-IF(COUNTIF(C231,"*キャラ*"),
VLOOKUP("*キャラ*",商品マスタ!$D:$E,2,FALSE),
VLOOKUP("*赤*",商品マスタ!$D:$E,2,FALSE))*F231,
H231-IF(COUNTIF(C231,"*キャラ*"),
VLOOKUP("*キャラ*",商品マスタ!$D:$E,2,FALSE),
VLOOKUP("*赤*",商品マスタ!$D:$E,2,FALSE))*F231),"")</f>
        <v>#N/A</v>
      </c>
      <c r="H231" s="116" t="e">
        <f t="array" aca="1" ref="H231" ca="1">IF(INDIRECT("まとめ札!F"&amp;B231&amp;"")&lt;&gt;0,INDIRECT("まとめ札!F"&amp;B231&amp;""),"")</f>
        <v>#N/A</v>
      </c>
      <c r="I231" s="116"/>
      <c r="J231" s="116">
        <f ca="1">IF(C231&lt;&gt;"",
IF(OR(COUNTIF(C231,"*キャラ*"),COUNTIF(C231,"*赤*")),24,
VLOOKUP(C231,#REF!,6,FALSE)),"")</f>
        <v>24</v>
      </c>
      <c r="M231" s="116"/>
      <c r="P231" s="116" t="e">
        <f t="shared" ca="1" si="108"/>
        <v>#N/A</v>
      </c>
      <c r="Q231" s="116" t="e">
        <f t="shared" ca="1" si="109"/>
        <v>#N/A</v>
      </c>
      <c r="R231" s="176" t="str">
        <f t="array" aca="1" ref="R231" ca="1">IFERROR(SMALL(IF(P$1:P$311&lt;&gt;0,P$1:P$311),ROW(A231)),"")</f>
        <v/>
      </c>
      <c r="S231" s="176" t="str">
        <f t="array" aca="1" ref="S231" ca="1">IF($R231&lt;&gt;"",
SUBSTITUTE(SUBSTITUTE(INDIRECT("C"&amp;$R231&amp;"")," 週3ｺｰｽ","")," 週5ｺｰｽ",""),"")</f>
        <v/>
      </c>
      <c r="T231" s="176" t="str">
        <f t="array" aca="1" ref="T231" ca="1">IF(IF($R231&lt;&gt;"",
INDIRECT(""&amp;IF(COLUMN(D231)&lt;=26,CHAR(COLUMN(D231)+64),CHAR(INT((COLUMN(D231)-1)/26)+64)&amp;CHAR(MOD(COLUMN(D231)-1,26)+65))&amp;$R231&amp;""),"")=0,"",
IF($R231&lt;&gt;"",
INDIRECT(""&amp;IF(COLUMN(D231)&lt;=26,CHAR(COLUMN(D231)+64),CHAR(INT((COLUMN(D231)-1)/26)+64)&amp;CHAR(MOD(COLUMN(D231)-1,26)+65))&amp;$R231&amp;""),""))</f>
        <v/>
      </c>
      <c r="U231" s="218" t="str">
        <f t="array" aca="1" ref="U231" ca="1">IF($R231&lt;&gt;"",
INDIRECT("F"&amp;$R231&amp;""),"")</f>
        <v/>
      </c>
      <c r="V231" s="219" t="str">
        <f t="array" aca="1" ref="V231" ca="1">IF($R231&lt;&gt;"",
INDIRECT("G"&amp;$R231&amp;""),"")</f>
        <v/>
      </c>
      <c r="W231" s="219" t="str" cm="1">
        <f t="array" aca="1" ref="W231" ca="1">IF($R231&lt;&gt;"",
IF(AND(COUNTIF(INDIRECT("B"&amp;R231&amp;""),"*雙葉*"),COUNTIF($B$71:$B$210,"*雙葉*")&gt;=1),
IF(OR(COUNTIF(INDIRECT("B"&amp;R231&amp;""),"*雙葉先生*"),COUNTIF(INDIRECT("B"&amp;R231-1&amp;""),"*雙葉*")),INDIRECT("H"&amp;R231&amp;""),INDIRECT("H"&amp;R231&amp;"")+INDIRECT("H"&amp;MATCH("雙葉'",INDIRECT("B"&amp;R231+3&amp;":B210"),0)+2+R231&amp;"")),
IF(AND(LEFT(INDIRECT("B"&amp;R231&amp;""),2)="博多",COUNTIF(B:B,"*博多*")&gt;=2),
INDIRECT("H"&amp;R231&amp;"")+IFERROR(INDIRECT("H"&amp;MATCH("*"&amp;INDIRECT("B"&amp;R231&amp;"")&amp;"*",INDIRECT("B"&amp;R231+1&amp;":B210"),0)+R231&amp;""),0),
IF(AND(LEFT(INDIRECT("B"&amp;R231&amp;""),3)="奈良屋",COUNTIF(B:B,"*奈良屋*")&gt;=2),
INDIRECT("H"&amp;R231&amp;"")
+INDIRECT("H"&amp;MATCH("*"&amp;INDIRECT("B"&amp;R231&amp;"")&amp;"*",INDIRECT("B"&amp;R231+1&amp;":B210"),0)+R231&amp;"")
+INDIRECT("H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
+INDIRECT("H"&amp;MATCH("*"&amp;INDIRECT("B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&amp;"*",INDIRECT("B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+1&amp;":B210"),0)+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,
INDIRECT("H"&amp;R231&amp;"")))),"")</f>
        <v/>
      </c>
      <c r="X231" s="176" t="str">
        <f t="array" aca="1" ref="X231" ca="1">IF($R231&lt;&gt;"",
INDIRECT(""&amp;IF(COLUMN(I231)&lt;=26,CHAR(COLUMN(I231)+64),CHAR(INT((COLUMN(I231)-1)/26)+64)&amp;CHAR(MOD(COLUMN(I231)-1,26)+65))&amp;$R231&amp;""),"")</f>
        <v/>
      </c>
      <c r="Y231" s="176" t="str">
        <f t="array" aca="1" ref="Y231" ca="1">IF($R231&lt;&gt;"",
INDIRECT(""&amp;IF(COLUMN(J231)&lt;=26,CHAR(COLUMN(J231)+64),CHAR(INT((COLUMN(J231)-1)/26)+64)&amp;CHAR(MOD(COLUMN(J231)-1,26)+65))&amp;$R231&amp;""),"")</f>
        <v/>
      </c>
      <c r="Z231" s="176" t="str">
        <f t="shared" ca="1" si="89"/>
        <v/>
      </c>
      <c r="AA231" s="176" t="str">
        <f t="shared" ca="1" si="90"/>
        <v/>
      </c>
      <c r="AB231" s="176" t="str">
        <f t="array" aca="1" ref="AB231" ca="1">IF($R231&lt;&gt;"",
IF(AND(COUNTIF(INDIRECT("B"&amp;R231&amp;""),"*雙葉*"),COUNTIF(INDIRECT("B"&amp;R231&amp;""),"&lt;&gt;*先生*"),COUNTIF(B:B,"*雙葉*")&gt;=2),
INDIRECT("M"&amp;R231&amp;"")+INDIRECT("M"&amp;MATCH("雙葉'",INDIRECT("B"&amp;R231+1&amp;":B210"),0)+R231&amp;""),
IF(AND(LEFT(INDIRECT("B"&amp;R231&amp;""),2)="博多",COUNTIF(B:B,"*博多*")&gt;=2),
INDIRECT("M"&amp;R231&amp;"")+INDIRECT("M"&amp;MATCH("*"&amp;INDIRECT("B"&amp;R231&amp;"")&amp;"*",INDIRECT("B"&amp;R231+1&amp;":B210"),0)+R231&amp;""),
IF(AND(LEFT(INDIRECT("B"&amp;R231&amp;""),3)="奈良屋",COUNTIF(B:B,"*奈良屋*")&gt;=2),
INDIRECT("M"&amp;R231&amp;"")+INDIRECT("M"&amp;MATCH("*"&amp;INDIRECT("B"&amp;R231&amp;"")&amp;"*",INDIRECT("B"&amp;R231+1&amp;":B210"),0)+R231&amp;"")
+INDIRECT("M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,
INDIRECT("M"&amp;R231&amp;"")))),"")</f>
        <v/>
      </c>
      <c r="AC231" s="176" t="str">
        <f t="shared" ca="1" si="91"/>
        <v/>
      </c>
      <c r="AD231" s="176" t="str">
        <f t="shared" ca="1" si="92"/>
        <v/>
      </c>
      <c r="AE231" s="176" t="str">
        <f t="shared" ca="1" si="93"/>
        <v/>
      </c>
      <c r="AF231" s="176" t="str">
        <f t="shared" ca="1" si="94"/>
        <v/>
      </c>
      <c r="AG231" s="176" t="str">
        <f t="shared" ca="1" si="95"/>
        <v/>
      </c>
      <c r="AH231" s="183" t="str">
        <f t="shared" ca="1" si="96"/>
        <v/>
      </c>
      <c r="AI231" s="176" t="str">
        <f t="shared" ca="1" si="97"/>
        <v/>
      </c>
      <c r="AJ231" s="176" t="str">
        <f t="shared" ca="1" si="98"/>
        <v/>
      </c>
      <c r="AK231" s="176" t="str">
        <f t="shared" ca="1" si="99"/>
        <v/>
      </c>
      <c r="AL231" s="176" t="str">
        <f t="shared" ca="1" si="100"/>
        <v/>
      </c>
      <c r="AM231" s="176" t="str">
        <f t="shared" ca="1" si="101"/>
        <v/>
      </c>
      <c r="AN231" s="176" t="str">
        <f t="shared" ca="1" si="102"/>
        <v/>
      </c>
      <c r="AO231" s="176" t="str">
        <f t="shared" ca="1" si="103"/>
        <v/>
      </c>
      <c r="AP231" s="176" t="str">
        <f t="shared" ca="1" si="104"/>
        <v/>
      </c>
      <c r="AU231" s="176" t="str">
        <f t="shared" ca="1" si="105"/>
        <v/>
      </c>
    </row>
    <row r="232" spans="1:47">
      <c r="A232" s="100" t="str">
        <f ca="1">IF(C232&lt;&gt;"",A231+1,"")</f>
        <v/>
      </c>
      <c r="B232" s="116"/>
      <c r="C232" s="117" t="str">
        <f t="array" aca="1" ref="C232" ca="1">IF(OR(INDIRECT("まとめ札!G"&amp;B231&amp;"")="",INDIRECT("まとめ札!G"&amp;B231&amp;"")=0),"",INDIRECT("まとめ札!A"&amp;B231&amp;"")&amp;"【2】")</f>
        <v/>
      </c>
      <c r="D232" s="117"/>
      <c r="E232" s="117"/>
      <c r="F232" s="189" t="str">
        <f ca="1">IF(C232&lt;&gt;"",
IF(IF(COUNTIF(C232,"*キャラ*"),
VLOOKUP("*キャラ*",商品マスタ!$D:$E,2,FALSE),
VLOOKUP("*赤*",商品マスタ!$D:$E,2,FALSE))=0,"",
IF(H232&lt;&gt;"",
IF(ROUND(
H232/IF(COUNTIF(C232,"*キャラ*"),
VLOOKUP("*キャラ*",商品マスタ!$D:$E,2,FALSE),
VLOOKUP("*赤*",商品マスタ!$D:$E,2,FALSE)),0)&lt;=0,1,
ROUND(
H232/IF(COUNTIF(C232,"*キャラ*"),
VLOOKUP("*キャラ*",商品マスタ!$D:$E,2,FALSE),
VLOOKUP("*赤*",商品マスタ!$D:$E,2,FALSE)),0)),"")),"")</f>
        <v/>
      </c>
      <c r="G232" s="118" t="str">
        <f ca="1">IF(F232&lt;&gt;"",IF(VALUE(H232)&gt;VALUE(IF(COUNTIF(C232,"*キャラ*"),
VLOOKUP("*キャラ*",商品マスタ!$D:$E,2,FALSE),
VLOOKUP("*赤*",商品マスタ!$D:$E,2,FALSE))*F232),
"+"&amp;H232-IF(COUNTIF(C232,"*キャラ*"),
VLOOKUP("*キャラ*",商品マスタ!$D:$E,2,FALSE),
VLOOKUP("*赤*",商品マスタ!$D:$E,2,FALSE))*F232,
H232-IF(COUNTIF(C232,"*キャラ*"),
VLOOKUP("*キャラ*",商品マスタ!$D:$E,2,FALSE),
VLOOKUP("*赤*",商品マスタ!$D:$E,2,FALSE))*F232),"")</f>
        <v/>
      </c>
      <c r="H232" s="116" t="str">
        <f t="array" aca="1" ref="H232" ca="1">IF(OR(INDIRECT("まとめ札!G"&amp;B231&amp;"")="",INDIRECT("まとめ札!G"&amp;B231&amp;"")=0),"",INDIRECT("まとめ札!G"&amp;B231&amp;""))</f>
        <v/>
      </c>
      <c r="I232" s="116"/>
      <c r="J232" s="116" t="str">
        <f ca="1">IF(C232&lt;&gt;"",
IF(OR(COUNTIF(C232,"*キャラ*"),COUNTIF(C232,"*赤*")),24,
VLOOKUP(C232,#REF!,6,FALSE)),"")</f>
        <v/>
      </c>
      <c r="M232" s="116"/>
      <c r="P232" s="116" t="str">
        <f t="shared" ca="1" si="108"/>
        <v/>
      </c>
      <c r="Q232" s="116" t="str">
        <f t="shared" ca="1" si="109"/>
        <v/>
      </c>
      <c r="R232" s="176" t="str">
        <f t="array" aca="1" ref="R232" ca="1">IFERROR(SMALL(IF(P$1:P$311&lt;&gt;0,P$1:P$311),ROW(A232)),"")</f>
        <v/>
      </c>
      <c r="S232" s="176" t="str">
        <f t="array" aca="1" ref="S232" ca="1">IF($R232&lt;&gt;"",
SUBSTITUTE(SUBSTITUTE(INDIRECT("C"&amp;$R232&amp;"")," 週3ｺｰｽ","")," 週5ｺｰｽ",""),"")</f>
        <v/>
      </c>
      <c r="T232" s="176" t="str">
        <f t="array" aca="1" ref="T232" ca="1">IF(IF($R232&lt;&gt;"",
INDIRECT(""&amp;IF(COLUMN(D232)&lt;=26,CHAR(COLUMN(D232)+64),CHAR(INT((COLUMN(D232)-1)/26)+64)&amp;CHAR(MOD(COLUMN(D232)-1,26)+65))&amp;$R232&amp;""),"")=0,"",
IF($R232&lt;&gt;"",
INDIRECT(""&amp;IF(COLUMN(D232)&lt;=26,CHAR(COLUMN(D232)+64),CHAR(INT((COLUMN(D232)-1)/26)+64)&amp;CHAR(MOD(COLUMN(D232)-1,26)+65))&amp;$R232&amp;""),""))</f>
        <v/>
      </c>
      <c r="U232" s="218" t="str">
        <f t="array" aca="1" ref="U232" ca="1">IF($R232&lt;&gt;"",
INDIRECT("F"&amp;$R232&amp;""),"")</f>
        <v/>
      </c>
      <c r="V232" s="219" t="str">
        <f t="array" aca="1" ref="V232" ca="1">IF($R232&lt;&gt;"",
INDIRECT("G"&amp;$R232&amp;""),"")</f>
        <v/>
      </c>
      <c r="W232" s="219" t="str" cm="1">
        <f t="array" aca="1" ref="W232" ca="1">IF($R232&lt;&gt;"",
IF(AND(COUNTIF(INDIRECT("B"&amp;R232&amp;""),"*雙葉*"),COUNTIF($B$71:$B$210,"*雙葉*")&gt;=1),
IF(OR(COUNTIF(INDIRECT("B"&amp;R232&amp;""),"*雙葉先生*"),COUNTIF(INDIRECT("B"&amp;R232-1&amp;""),"*雙葉*")),INDIRECT("H"&amp;R232&amp;""),INDIRECT("H"&amp;R232&amp;"")+INDIRECT("H"&amp;MATCH("雙葉'",INDIRECT("B"&amp;R232+3&amp;":B210"),0)+2+R232&amp;"")),
IF(AND(LEFT(INDIRECT("B"&amp;R232&amp;""),2)="博多",COUNTIF(B:B,"*博多*")&gt;=2),
INDIRECT("H"&amp;R232&amp;"")+IFERROR(INDIRECT("H"&amp;MATCH("*"&amp;INDIRECT("B"&amp;R232&amp;"")&amp;"*",INDIRECT("B"&amp;R232+1&amp;":B210"),0)+R232&amp;""),0),
IF(AND(LEFT(INDIRECT("B"&amp;R232&amp;""),3)="奈良屋",COUNTIF(B:B,"*奈良屋*")&gt;=2),
INDIRECT("H"&amp;R232&amp;"")
+INDIRECT("H"&amp;MATCH("*"&amp;INDIRECT("B"&amp;R232&amp;"")&amp;"*",INDIRECT("B"&amp;R232+1&amp;":B210"),0)+R232&amp;"")
+INDIRECT("H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
+INDIRECT("H"&amp;MATCH("*"&amp;INDIRECT("B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&amp;"*",INDIRECT("B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+1&amp;":B210"),0)+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,
INDIRECT("H"&amp;R232&amp;"")))),"")</f>
        <v/>
      </c>
      <c r="X232" s="176" t="str">
        <f t="array" aca="1" ref="X232" ca="1">IF($R232&lt;&gt;"",
INDIRECT(""&amp;IF(COLUMN(I232)&lt;=26,CHAR(COLUMN(I232)+64),CHAR(INT((COLUMN(I232)-1)/26)+64)&amp;CHAR(MOD(COLUMN(I232)-1,26)+65))&amp;$R232&amp;""),"")</f>
        <v/>
      </c>
      <c r="Y232" s="176" t="str">
        <f t="array" aca="1" ref="Y232" ca="1">IF($R232&lt;&gt;"",
INDIRECT(""&amp;IF(COLUMN(J232)&lt;=26,CHAR(COLUMN(J232)+64),CHAR(INT((COLUMN(J232)-1)/26)+64)&amp;CHAR(MOD(COLUMN(J232)-1,26)+65))&amp;$R232&amp;""),"")</f>
        <v/>
      </c>
      <c r="Z232" s="176" t="str">
        <f t="shared" ca="1" si="89"/>
        <v/>
      </c>
      <c r="AA232" s="176" t="str">
        <f t="shared" ca="1" si="90"/>
        <v/>
      </c>
      <c r="AB232" s="176" t="str">
        <f t="array" aca="1" ref="AB232" ca="1">IF($R232&lt;&gt;"",
IF(AND(COUNTIF(INDIRECT("B"&amp;R232&amp;""),"*雙葉*"),COUNTIF(INDIRECT("B"&amp;R232&amp;""),"&lt;&gt;*先生*"),COUNTIF(B:B,"*雙葉*")&gt;=2),
INDIRECT("M"&amp;R232&amp;"")+INDIRECT("M"&amp;MATCH("雙葉'",INDIRECT("B"&amp;R232+1&amp;":B210"),0)+R232&amp;""),
IF(AND(LEFT(INDIRECT("B"&amp;R232&amp;""),2)="博多",COUNTIF(B:B,"*博多*")&gt;=2),
INDIRECT("M"&amp;R232&amp;"")+INDIRECT("M"&amp;MATCH("*"&amp;INDIRECT("B"&amp;R232&amp;"")&amp;"*",INDIRECT("B"&amp;R232+1&amp;":B210"),0)+R232&amp;""),
IF(AND(LEFT(INDIRECT("B"&amp;R232&amp;""),3)="奈良屋",COUNTIF(B:B,"*奈良屋*")&gt;=2),
INDIRECT("M"&amp;R232&amp;"")+INDIRECT("M"&amp;MATCH("*"&amp;INDIRECT("B"&amp;R232&amp;"")&amp;"*",INDIRECT("B"&amp;R232+1&amp;":B210"),0)+R232&amp;"")
+INDIRECT("M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,
INDIRECT("M"&amp;R232&amp;"")))),"")</f>
        <v/>
      </c>
      <c r="AC232" s="176" t="str">
        <f t="shared" ca="1" si="91"/>
        <v/>
      </c>
      <c r="AD232" s="176" t="str">
        <f t="shared" ca="1" si="92"/>
        <v/>
      </c>
      <c r="AE232" s="176" t="str">
        <f t="shared" ca="1" si="93"/>
        <v/>
      </c>
      <c r="AF232" s="176" t="str">
        <f t="shared" ca="1" si="94"/>
        <v/>
      </c>
      <c r="AG232" s="176" t="str">
        <f t="shared" ca="1" si="95"/>
        <v/>
      </c>
      <c r="AH232" s="183" t="str">
        <f t="shared" ca="1" si="96"/>
        <v/>
      </c>
      <c r="AI232" s="176" t="str">
        <f t="shared" ca="1" si="97"/>
        <v/>
      </c>
      <c r="AJ232" s="176" t="str">
        <f t="shared" ca="1" si="98"/>
        <v/>
      </c>
      <c r="AK232" s="176" t="str">
        <f t="shared" ca="1" si="99"/>
        <v/>
      </c>
      <c r="AL232" s="176" t="str">
        <f t="shared" ca="1" si="100"/>
        <v/>
      </c>
      <c r="AM232" s="176" t="str">
        <f t="shared" ca="1" si="101"/>
        <v/>
      </c>
      <c r="AN232" s="176" t="str">
        <f t="shared" ca="1" si="102"/>
        <v/>
      </c>
      <c r="AO232" s="176" t="str">
        <f t="shared" ca="1" si="103"/>
        <v/>
      </c>
      <c r="AP232" s="176" t="str">
        <f t="shared" ca="1" si="104"/>
        <v/>
      </c>
      <c r="AU232" s="176" t="str">
        <f t="shared" ca="1" si="105"/>
        <v/>
      </c>
    </row>
    <row r="233" spans="1:47">
      <c r="A233" s="100" t="str">
        <f ca="1">IF(C233&lt;&gt;"",A232+1,"")</f>
        <v/>
      </c>
      <c r="B233" s="116"/>
      <c r="C233" s="117" t="str">
        <f t="array" aca="1" ref="C233" ca="1">IF(OR(INDIRECT("まとめ札!H"&amp;B231&amp;"")="",INDIRECT("まとめ札!H"&amp;B231&amp;"")=0),"",INDIRECT("まとめ札!A"&amp;B231&amp;"")&amp;"【3】")</f>
        <v/>
      </c>
      <c r="D233" s="117"/>
      <c r="E233" s="117"/>
      <c r="F233" s="189" t="str">
        <f ca="1">IF(C233&lt;&gt;"",
IF(IF(COUNTIF(C233,"*キャラ*"),
VLOOKUP("*キャラ*",商品マスタ!$D:$E,2,FALSE),
VLOOKUP("*赤*",商品マスタ!$D:$E,2,FALSE))=0,"",
IF(H233&lt;&gt;"",
IF(ROUND(
H233/IF(COUNTIF(C233,"*キャラ*"),
VLOOKUP("*キャラ*",商品マスタ!$D:$E,2,FALSE),
VLOOKUP("*赤*",商品マスタ!$D:$E,2,FALSE)),0)&lt;=0,1,
ROUND(
H233/IF(COUNTIF(C233,"*キャラ*"),
VLOOKUP("*キャラ*",商品マスタ!$D:$E,2,FALSE),
VLOOKUP("*赤*",商品マスタ!$D:$E,2,FALSE)),0)),"")),"")</f>
        <v/>
      </c>
      <c r="G233" s="118" t="str">
        <f ca="1">IF(F233&lt;&gt;"",IF(VALUE(H233)&gt;VALUE(IF(COUNTIF(C233,"*キャラ*"),
VLOOKUP("*キャラ*",商品マスタ!$D:$E,2,FALSE),
VLOOKUP("*赤*",商品マスタ!$D:$E,2,FALSE))*F233),
"+"&amp;H233-IF(COUNTIF(C233,"*キャラ*"),
VLOOKUP("*キャラ*",商品マスタ!$D:$E,2,FALSE),
VLOOKUP("*赤*",商品マスタ!$D:$E,2,FALSE))*F233,
H233-IF(COUNTIF(C233,"*キャラ*"),
VLOOKUP("*キャラ*",商品マスタ!$D:$E,2,FALSE),
VLOOKUP("*赤*",商品マスタ!$D:$E,2,FALSE))*F233),"")</f>
        <v/>
      </c>
      <c r="H233" s="116" t="str">
        <f t="array" aca="1" ref="H233" ca="1">IF(OR(INDIRECT("まとめ札!H"&amp;B231&amp;"")="",INDIRECT("まとめ札!H"&amp;B231&amp;"")=0),"",INDIRECT("まとめ札!H"&amp;B231&amp;""))</f>
        <v/>
      </c>
      <c r="I233" s="116"/>
      <c r="J233" s="116" t="str">
        <f ca="1">IF(C233&lt;&gt;"",
IF(OR(COUNTIF(C233,"*キャラ*"),COUNTIF(C233,"*赤*")),24,
VLOOKUP(C233,#REF!,6,FALSE)),"")</f>
        <v/>
      </c>
      <c r="M233" s="116"/>
      <c r="P233" s="116" t="str">
        <f t="shared" ca="1" si="108"/>
        <v/>
      </c>
      <c r="Q233" s="116" t="str">
        <f t="shared" ca="1" si="109"/>
        <v/>
      </c>
      <c r="R233" s="176" t="str">
        <f t="array" aca="1" ref="R233" ca="1">IFERROR(SMALL(IF(P$1:P$311&lt;&gt;0,P$1:P$311),ROW(A233)),"")</f>
        <v/>
      </c>
      <c r="S233" s="176" t="str">
        <f t="array" aca="1" ref="S233" ca="1">IF($R233&lt;&gt;"",
SUBSTITUTE(SUBSTITUTE(INDIRECT("C"&amp;$R233&amp;"")," 週3ｺｰｽ","")," 週5ｺｰｽ",""),"")</f>
        <v/>
      </c>
      <c r="T233" s="176" t="str">
        <f t="array" aca="1" ref="T233" ca="1">IF(IF($R233&lt;&gt;"",
INDIRECT(""&amp;IF(COLUMN(D233)&lt;=26,CHAR(COLUMN(D233)+64),CHAR(INT((COLUMN(D233)-1)/26)+64)&amp;CHAR(MOD(COLUMN(D233)-1,26)+65))&amp;$R233&amp;""),"")=0,"",
IF($R233&lt;&gt;"",
INDIRECT(""&amp;IF(COLUMN(D233)&lt;=26,CHAR(COLUMN(D233)+64),CHAR(INT((COLUMN(D233)-1)/26)+64)&amp;CHAR(MOD(COLUMN(D233)-1,26)+65))&amp;$R233&amp;""),""))</f>
        <v/>
      </c>
      <c r="U233" s="218" t="str">
        <f t="array" aca="1" ref="U233" ca="1">IF($R233&lt;&gt;"",
INDIRECT("F"&amp;$R233&amp;""),"")</f>
        <v/>
      </c>
      <c r="V233" s="219" t="str">
        <f t="array" aca="1" ref="V233" ca="1">IF($R233&lt;&gt;"",
INDIRECT("G"&amp;$R233&amp;""),"")</f>
        <v/>
      </c>
      <c r="W233" s="219" t="str" cm="1">
        <f t="array" aca="1" ref="W233" ca="1">IF($R233&lt;&gt;"",
IF(AND(COUNTIF(INDIRECT("B"&amp;R233&amp;""),"*雙葉*"),COUNTIF($B$71:$B$210,"*雙葉*")&gt;=1),
IF(OR(COUNTIF(INDIRECT("B"&amp;R233&amp;""),"*雙葉先生*"),COUNTIF(INDIRECT("B"&amp;R233-1&amp;""),"*雙葉*")),INDIRECT("H"&amp;R233&amp;""),INDIRECT("H"&amp;R233&amp;"")+INDIRECT("H"&amp;MATCH("雙葉'",INDIRECT("B"&amp;R233+3&amp;":B210"),0)+2+R233&amp;"")),
IF(AND(LEFT(INDIRECT("B"&amp;R233&amp;""),2)="博多",COUNTIF(B:B,"*博多*")&gt;=2),
INDIRECT("H"&amp;R233&amp;"")+IFERROR(INDIRECT("H"&amp;MATCH("*"&amp;INDIRECT("B"&amp;R233&amp;"")&amp;"*",INDIRECT("B"&amp;R233+1&amp;":B210"),0)+R233&amp;""),0),
IF(AND(LEFT(INDIRECT("B"&amp;R233&amp;""),3)="奈良屋",COUNTIF(B:B,"*奈良屋*")&gt;=2),
INDIRECT("H"&amp;R233&amp;"")
+INDIRECT("H"&amp;MATCH("*"&amp;INDIRECT("B"&amp;R233&amp;"")&amp;"*",INDIRECT("B"&amp;R233+1&amp;":B210"),0)+R233&amp;"")
+INDIRECT("H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
+INDIRECT("H"&amp;MATCH("*"&amp;INDIRECT("B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&amp;"*",INDIRECT("B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+1&amp;":B210"),0)+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,
INDIRECT("H"&amp;R233&amp;"")))),"")</f>
        <v/>
      </c>
      <c r="X233" s="176" t="str">
        <f t="array" aca="1" ref="X233" ca="1">IF($R233&lt;&gt;"",
INDIRECT(""&amp;IF(COLUMN(I233)&lt;=26,CHAR(COLUMN(I233)+64),CHAR(INT((COLUMN(I233)-1)/26)+64)&amp;CHAR(MOD(COLUMN(I233)-1,26)+65))&amp;$R233&amp;""),"")</f>
        <v/>
      </c>
      <c r="Y233" s="176" t="str">
        <f t="array" aca="1" ref="Y233" ca="1">IF($R233&lt;&gt;"",
INDIRECT(""&amp;IF(COLUMN(J233)&lt;=26,CHAR(COLUMN(J233)+64),CHAR(INT((COLUMN(J233)-1)/26)+64)&amp;CHAR(MOD(COLUMN(J233)-1,26)+65))&amp;$R233&amp;""),"")</f>
        <v/>
      </c>
      <c r="Z233" s="176" t="str">
        <f t="shared" ca="1" si="89"/>
        <v/>
      </c>
      <c r="AA233" s="176" t="str">
        <f t="shared" ca="1" si="90"/>
        <v/>
      </c>
      <c r="AB233" s="176" t="str">
        <f t="array" aca="1" ref="AB233" ca="1">IF($R233&lt;&gt;"",
IF(AND(COUNTIF(INDIRECT("B"&amp;R233&amp;""),"*雙葉*"),COUNTIF(INDIRECT("B"&amp;R233&amp;""),"&lt;&gt;*先生*"),COUNTIF(B:B,"*雙葉*")&gt;=2),
INDIRECT("M"&amp;R233&amp;"")+INDIRECT("M"&amp;MATCH("雙葉'",INDIRECT("B"&amp;R233+1&amp;":B210"),0)+R233&amp;""),
IF(AND(LEFT(INDIRECT("B"&amp;R233&amp;""),2)="博多",COUNTIF(B:B,"*博多*")&gt;=2),
INDIRECT("M"&amp;R233&amp;"")+INDIRECT("M"&amp;MATCH("*"&amp;INDIRECT("B"&amp;R233&amp;"")&amp;"*",INDIRECT("B"&amp;R233+1&amp;":B210"),0)+R233&amp;""),
IF(AND(LEFT(INDIRECT("B"&amp;R233&amp;""),3)="奈良屋",COUNTIF(B:B,"*奈良屋*")&gt;=2),
INDIRECT("M"&amp;R233&amp;"")+INDIRECT("M"&amp;MATCH("*"&amp;INDIRECT("B"&amp;R233&amp;"")&amp;"*",INDIRECT("B"&amp;R233+1&amp;":B210"),0)+R233&amp;"")
+INDIRECT("M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,
INDIRECT("M"&amp;R233&amp;"")))),"")</f>
        <v/>
      </c>
      <c r="AC233" s="176" t="str">
        <f t="shared" ca="1" si="91"/>
        <v/>
      </c>
      <c r="AD233" s="176" t="str">
        <f t="shared" ca="1" si="92"/>
        <v/>
      </c>
      <c r="AE233" s="176" t="str">
        <f t="shared" ca="1" si="93"/>
        <v/>
      </c>
      <c r="AF233" s="176" t="str">
        <f t="shared" ca="1" si="94"/>
        <v/>
      </c>
      <c r="AG233" s="176" t="str">
        <f t="shared" ca="1" si="95"/>
        <v/>
      </c>
      <c r="AH233" s="183" t="str">
        <f t="shared" ca="1" si="96"/>
        <v/>
      </c>
      <c r="AI233" s="176" t="str">
        <f t="shared" ca="1" si="97"/>
        <v/>
      </c>
      <c r="AJ233" s="176" t="str">
        <f t="shared" ca="1" si="98"/>
        <v/>
      </c>
      <c r="AK233" s="176" t="str">
        <f t="shared" ca="1" si="99"/>
        <v/>
      </c>
      <c r="AL233" s="176" t="str">
        <f t="shared" ca="1" si="100"/>
        <v/>
      </c>
      <c r="AM233" s="176" t="str">
        <f t="shared" ca="1" si="101"/>
        <v/>
      </c>
      <c r="AN233" s="176" t="str">
        <f t="shared" ca="1" si="102"/>
        <v/>
      </c>
      <c r="AO233" s="176" t="str">
        <f t="shared" ca="1" si="103"/>
        <v/>
      </c>
      <c r="AP233" s="176" t="str">
        <f t="shared" ca="1" si="104"/>
        <v/>
      </c>
      <c r="AU233" s="176" t="str">
        <f t="shared" ca="1" si="105"/>
        <v/>
      </c>
    </row>
    <row r="234" spans="1:47">
      <c r="A234" s="100" t="str">
        <f ca="1">IF(C234&lt;&gt;"",A233+1,"")</f>
        <v/>
      </c>
      <c r="B234" s="116"/>
      <c r="C234" s="117" t="str">
        <f t="array" aca="1" ref="C234" ca="1">IF(OR(INDIRECT("まとめ札!I"&amp;B231&amp;"")="",INDIRECT("まとめ札!I"&amp;B231&amp;"")=0),"",INDIRECT("まとめ札!A"&amp;B231&amp;"")&amp;"【4】")</f>
        <v/>
      </c>
      <c r="D234" s="117"/>
      <c r="E234" s="117"/>
      <c r="F234" s="189" t="str">
        <f ca="1">IF(C234&lt;&gt;"",
IF(IF(COUNTIF(C234,"*キャラ*"),
VLOOKUP("*キャラ*",商品マスタ!$D:$E,2,FALSE),
VLOOKUP("*赤*",商品マスタ!$D:$E,2,FALSE))=0,"",
IF(H234&lt;&gt;"",
IF(ROUND(
H234/IF(COUNTIF(C234,"*キャラ*"),
VLOOKUP("*キャラ*",商品マスタ!$D:$E,2,FALSE),
VLOOKUP("*赤*",商品マスタ!$D:$E,2,FALSE)),0)&lt;=0,1,
ROUND(
H234/IF(COUNTIF(C234,"*キャラ*"),
VLOOKUP("*キャラ*",商品マスタ!$D:$E,2,FALSE),
VLOOKUP("*赤*",商品マスタ!$D:$E,2,FALSE)),0)),"")),"")</f>
        <v/>
      </c>
      <c r="G234" s="118" t="str">
        <f ca="1">IF(F234&lt;&gt;"",IF(VALUE(H234)&gt;VALUE(IF(COUNTIF(C234,"*キャラ*"),
VLOOKUP("*キャラ*",商品マスタ!$D:$E,2,FALSE),
VLOOKUP("*赤*",商品マスタ!$D:$E,2,FALSE))*F234),
"+"&amp;H234-IF(COUNTIF(C234,"*キャラ*"),
VLOOKUP("*キャラ*",商品マスタ!$D:$E,2,FALSE),
VLOOKUP("*赤*",商品マスタ!$D:$E,2,FALSE))*F234,
H234-IF(COUNTIF(C234,"*キャラ*"),
VLOOKUP("*キャラ*",商品マスタ!$D:$E,2,FALSE),
VLOOKUP("*赤*",商品マスタ!$D:$E,2,FALSE))*F234),"")</f>
        <v/>
      </c>
      <c r="H234" s="116" t="str">
        <f t="array" aca="1" ref="H234" ca="1">IF(OR(INDIRECT("まとめ札!I"&amp;B231&amp;"")="",INDIRECT("まとめ札!I"&amp;B231&amp;"")=0),"",INDIRECT("まとめ札!I"&amp;B231&amp;""))</f>
        <v/>
      </c>
      <c r="I234" s="116"/>
      <c r="J234" s="116" t="str">
        <f ca="1">IF(C234&lt;&gt;"",
IF(OR(COUNTIF(C234,"*キャラ*"),COUNTIF(C234,"*赤*")),24,
VLOOKUP(C234,#REF!,6,FALSE)),"")</f>
        <v/>
      </c>
      <c r="M234" s="116"/>
      <c r="P234" s="116" t="str">
        <f t="shared" ca="1" si="108"/>
        <v/>
      </c>
      <c r="Q234" s="116" t="str">
        <f t="shared" ca="1" si="109"/>
        <v/>
      </c>
      <c r="R234" s="176" t="str">
        <f t="array" aca="1" ref="R234" ca="1">IFERROR(SMALL(IF(P$1:P$311&lt;&gt;0,P$1:P$311),ROW(A234)),"")</f>
        <v/>
      </c>
      <c r="S234" s="176" t="str">
        <f t="array" aca="1" ref="S234" ca="1">IF($R234&lt;&gt;"",
SUBSTITUTE(SUBSTITUTE(INDIRECT("C"&amp;$R234&amp;"")," 週3ｺｰｽ","")," 週5ｺｰｽ",""),"")</f>
        <v/>
      </c>
      <c r="T234" s="176" t="str">
        <f t="array" aca="1" ref="T234" ca="1">IF(IF($R234&lt;&gt;"",
INDIRECT(""&amp;IF(COLUMN(D234)&lt;=26,CHAR(COLUMN(D234)+64),CHAR(INT((COLUMN(D234)-1)/26)+64)&amp;CHAR(MOD(COLUMN(D234)-1,26)+65))&amp;$R234&amp;""),"")=0,"",
IF($R234&lt;&gt;"",
INDIRECT(""&amp;IF(COLUMN(D234)&lt;=26,CHAR(COLUMN(D234)+64),CHAR(INT((COLUMN(D234)-1)/26)+64)&amp;CHAR(MOD(COLUMN(D234)-1,26)+65))&amp;$R234&amp;""),""))</f>
        <v/>
      </c>
      <c r="U234" s="218" t="str">
        <f t="array" aca="1" ref="U234" ca="1">IF($R234&lt;&gt;"",
INDIRECT("F"&amp;$R234&amp;""),"")</f>
        <v/>
      </c>
      <c r="V234" s="219" t="str">
        <f t="array" aca="1" ref="V234" ca="1">IF($R234&lt;&gt;"",
INDIRECT("G"&amp;$R234&amp;""),"")</f>
        <v/>
      </c>
      <c r="W234" s="219" t="str" cm="1">
        <f t="array" aca="1" ref="W234" ca="1">IF($R234&lt;&gt;"",
IF(AND(COUNTIF(INDIRECT("B"&amp;R234&amp;""),"*雙葉*"),COUNTIF($B$71:$B$210,"*雙葉*")&gt;=1),
IF(OR(COUNTIF(INDIRECT("B"&amp;R234&amp;""),"*雙葉先生*"),COUNTIF(INDIRECT("B"&amp;R234-1&amp;""),"*雙葉*")),INDIRECT("H"&amp;R234&amp;""),INDIRECT("H"&amp;R234&amp;"")+INDIRECT("H"&amp;MATCH("雙葉'",INDIRECT("B"&amp;R234+3&amp;":B210"),0)+2+R234&amp;"")),
IF(AND(LEFT(INDIRECT("B"&amp;R234&amp;""),2)="博多",COUNTIF(B:B,"*博多*")&gt;=2),
INDIRECT("H"&amp;R234&amp;"")+IFERROR(INDIRECT("H"&amp;MATCH("*"&amp;INDIRECT("B"&amp;R234&amp;"")&amp;"*",INDIRECT("B"&amp;R234+1&amp;":B210"),0)+R234&amp;""),0),
IF(AND(LEFT(INDIRECT("B"&amp;R234&amp;""),3)="奈良屋",COUNTIF(B:B,"*奈良屋*")&gt;=2),
INDIRECT("H"&amp;R234&amp;"")
+INDIRECT("H"&amp;MATCH("*"&amp;INDIRECT("B"&amp;R234&amp;"")&amp;"*",INDIRECT("B"&amp;R234+1&amp;":B210"),0)+R234&amp;"")
+INDIRECT("H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
+INDIRECT("H"&amp;MATCH("*"&amp;INDIRECT("B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&amp;"*",INDIRECT("B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+1&amp;":B210"),0)+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,
INDIRECT("H"&amp;R234&amp;"")))),"")</f>
        <v/>
      </c>
      <c r="X234" s="176" t="str">
        <f t="array" aca="1" ref="X234" ca="1">IF($R234&lt;&gt;"",
INDIRECT(""&amp;IF(COLUMN(I234)&lt;=26,CHAR(COLUMN(I234)+64),CHAR(INT((COLUMN(I234)-1)/26)+64)&amp;CHAR(MOD(COLUMN(I234)-1,26)+65))&amp;$R234&amp;""),"")</f>
        <v/>
      </c>
      <c r="Y234" s="176" t="str">
        <f t="array" aca="1" ref="Y234" ca="1">IF($R234&lt;&gt;"",
INDIRECT(""&amp;IF(COLUMN(J234)&lt;=26,CHAR(COLUMN(J234)+64),CHAR(INT((COLUMN(J234)-1)/26)+64)&amp;CHAR(MOD(COLUMN(J234)-1,26)+65))&amp;$R234&amp;""),"")</f>
        <v/>
      </c>
      <c r="Z234" s="176" t="str">
        <f t="shared" ca="1" si="89"/>
        <v/>
      </c>
      <c r="AA234" s="176" t="str">
        <f t="shared" ca="1" si="90"/>
        <v/>
      </c>
      <c r="AB234" s="176" t="str">
        <f t="array" aca="1" ref="AB234" ca="1">IF($R234&lt;&gt;"",
IF(AND(COUNTIF(INDIRECT("B"&amp;R234&amp;""),"*雙葉*"),COUNTIF(INDIRECT("B"&amp;R234&amp;""),"&lt;&gt;*先生*"),COUNTIF(B:B,"*雙葉*")&gt;=2),
INDIRECT("M"&amp;R234&amp;"")+INDIRECT("M"&amp;MATCH("雙葉'",INDIRECT("B"&amp;R234+1&amp;":B210"),0)+R234&amp;""),
IF(AND(LEFT(INDIRECT("B"&amp;R234&amp;""),2)="博多",COUNTIF(B:B,"*博多*")&gt;=2),
INDIRECT("M"&amp;R234&amp;"")+INDIRECT("M"&amp;MATCH("*"&amp;INDIRECT("B"&amp;R234&amp;"")&amp;"*",INDIRECT("B"&amp;R234+1&amp;":B210"),0)+R234&amp;""),
IF(AND(LEFT(INDIRECT("B"&amp;R234&amp;""),3)="奈良屋",COUNTIF(B:B,"*奈良屋*")&gt;=2),
INDIRECT("M"&amp;R234&amp;"")+INDIRECT("M"&amp;MATCH("*"&amp;INDIRECT("B"&amp;R234&amp;"")&amp;"*",INDIRECT("B"&amp;R234+1&amp;":B210"),0)+R234&amp;"")
+INDIRECT("M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,
INDIRECT("M"&amp;R234&amp;"")))),"")</f>
        <v/>
      </c>
      <c r="AC234" s="176" t="str">
        <f t="shared" ca="1" si="91"/>
        <v/>
      </c>
      <c r="AD234" s="176" t="str">
        <f t="shared" ca="1" si="92"/>
        <v/>
      </c>
      <c r="AE234" s="176" t="str">
        <f t="shared" ca="1" si="93"/>
        <v/>
      </c>
      <c r="AF234" s="176" t="str">
        <f t="shared" ca="1" si="94"/>
        <v/>
      </c>
      <c r="AG234" s="176" t="str">
        <f t="shared" ca="1" si="95"/>
        <v/>
      </c>
      <c r="AH234" s="183" t="str">
        <f t="shared" ca="1" si="96"/>
        <v/>
      </c>
      <c r="AI234" s="176" t="str">
        <f t="shared" ca="1" si="97"/>
        <v/>
      </c>
      <c r="AJ234" s="176" t="str">
        <f t="shared" ca="1" si="98"/>
        <v/>
      </c>
      <c r="AK234" s="176" t="str">
        <f t="shared" ca="1" si="99"/>
        <v/>
      </c>
      <c r="AL234" s="176" t="str">
        <f t="shared" ca="1" si="100"/>
        <v/>
      </c>
      <c r="AM234" s="176" t="str">
        <f t="shared" ca="1" si="101"/>
        <v/>
      </c>
      <c r="AN234" s="176" t="str">
        <f t="shared" ca="1" si="102"/>
        <v/>
      </c>
      <c r="AO234" s="176" t="str">
        <f t="shared" ca="1" si="103"/>
        <v/>
      </c>
      <c r="AP234" s="176" t="str">
        <f t="shared" ca="1" si="104"/>
        <v/>
      </c>
      <c r="AU234" s="176" t="str">
        <f t="shared" ca="1" si="105"/>
        <v/>
      </c>
    </row>
    <row r="235" spans="1:47">
      <c r="A235" s="100">
        <f ca="1">IF(C235&lt;&gt;"",MAX($A$231:$A$234)+1,"")</f>
        <v>151</v>
      </c>
      <c r="B235" s="116">
        <v>6</v>
      </c>
      <c r="C235" s="117" t="str">
        <f t="array" aca="1" ref="C235" ca="1">IF(INDIRECT("まとめ札!A"&amp;B235&amp;"")&lt;&gt;0,INDIRECT("まとめ札!A"&amp;B235&amp;"")&amp;"【1】","")</f>
        <v>赤 おにぎり 三角【1】</v>
      </c>
      <c r="D235" s="117"/>
      <c r="E235" s="117"/>
      <c r="F235" s="189" t="e">
        <f ca="1">IF(C235&lt;&gt;"",
IF(IF(COUNTIF(C235,"*キャラ*"),
VLOOKUP("*キャラ*",商品マスタ!$D:$E,2,FALSE),
VLOOKUP("*赤*",商品マスタ!$D:$E,2,FALSE))=0,"",
IF(H235&lt;&gt;"",
IF(ROUND(
H235/IF(COUNTIF(C235,"*キャラ*"),
VLOOKUP("*キャラ*",商品マスタ!$D:$E,2,FALSE),
VLOOKUP("*赤*",商品マスタ!$D:$E,2,FALSE)),0)&lt;=0,1,
ROUND(
H235/IF(COUNTIF(C235,"*キャラ*"),
VLOOKUP("*キャラ*",商品マスタ!$D:$E,2,FALSE),
VLOOKUP("*赤*",商品マスタ!$D:$E,2,FALSE)),0)),"")),"")</f>
        <v>#N/A</v>
      </c>
      <c r="G235" s="118" t="e">
        <f ca="1">IF(F235&lt;&gt;"",IF(VALUE(H235)&gt;VALUE(IF(COUNTIF(C235,"*キャラ*"),
VLOOKUP("*キャラ*",商品マスタ!$D:$E,2,FALSE),
VLOOKUP("*赤*",商品マスタ!$D:$E,2,FALSE))*F235),
"+"&amp;H235-IF(COUNTIF(C235,"*キャラ*"),
VLOOKUP("*キャラ*",商品マスタ!$D:$E,2,FALSE),
VLOOKUP("*赤*",商品マスタ!$D:$E,2,FALSE))*F235,
H235-IF(COUNTIF(C235,"*キャラ*"),
VLOOKUP("*キャラ*",商品マスタ!$D:$E,2,FALSE),
VLOOKUP("*赤*",商品マスタ!$D:$E,2,FALSE))*F235),"")</f>
        <v>#N/A</v>
      </c>
      <c r="H235" s="116" t="e">
        <f t="array" aca="1" ref="H235" ca="1">IF(INDIRECT("まとめ札!F"&amp;B235&amp;"")&lt;&gt;0,INDIRECT("まとめ札!F"&amp;B235&amp;""),"")</f>
        <v>#N/A</v>
      </c>
      <c r="I235" s="116"/>
      <c r="J235" s="116">
        <f ca="1">IF(C235&lt;&gt;"",
IF(OR(COUNTIF(C235,"*キャラ*"),COUNTIF(C235,"*赤*")),24,
VLOOKUP(C235,#REF!,6,FALSE)),"")</f>
        <v>24</v>
      </c>
      <c r="M235" s="116"/>
      <c r="P235" s="116" t="e">
        <f t="shared" ca="1" si="108"/>
        <v>#N/A</v>
      </c>
      <c r="Q235" s="116" t="e">
        <f t="shared" ca="1" si="109"/>
        <v>#N/A</v>
      </c>
      <c r="R235" s="176" t="str">
        <f t="array" aca="1" ref="R235" ca="1">IFERROR(SMALL(IF(P$1:P$311&lt;&gt;0,P$1:P$311),ROW(A235)),"")</f>
        <v/>
      </c>
      <c r="S235" s="176" t="str">
        <f t="array" aca="1" ref="S235" ca="1">IF($R235&lt;&gt;"",
SUBSTITUTE(SUBSTITUTE(INDIRECT("C"&amp;$R235&amp;"")," 週3ｺｰｽ","")," 週5ｺｰｽ",""),"")</f>
        <v/>
      </c>
      <c r="T235" s="176" t="str">
        <f t="array" aca="1" ref="T235" ca="1">IF(IF($R235&lt;&gt;"",
INDIRECT(""&amp;IF(COLUMN(D235)&lt;=26,CHAR(COLUMN(D235)+64),CHAR(INT((COLUMN(D235)-1)/26)+64)&amp;CHAR(MOD(COLUMN(D235)-1,26)+65))&amp;$R235&amp;""),"")=0,"",
IF($R235&lt;&gt;"",
INDIRECT(""&amp;IF(COLUMN(D235)&lt;=26,CHAR(COLUMN(D235)+64),CHAR(INT((COLUMN(D235)-1)/26)+64)&amp;CHAR(MOD(COLUMN(D235)-1,26)+65))&amp;$R235&amp;""),""))</f>
        <v/>
      </c>
      <c r="U235" s="218" t="str">
        <f t="array" aca="1" ref="U235" ca="1">IF($R235&lt;&gt;"",
INDIRECT("F"&amp;$R235&amp;""),"")</f>
        <v/>
      </c>
      <c r="V235" s="219" t="str">
        <f t="array" aca="1" ref="V235" ca="1">IF($R235&lt;&gt;"",
INDIRECT("G"&amp;$R235&amp;""),"")</f>
        <v/>
      </c>
      <c r="W235" s="219" t="str" cm="1">
        <f t="array" aca="1" ref="W235" ca="1">IF($R235&lt;&gt;"",
IF(AND(COUNTIF(INDIRECT("B"&amp;R235&amp;""),"*雙葉*"),COUNTIF($B$71:$B$210,"*雙葉*")&gt;=1),
IF(OR(COUNTIF(INDIRECT("B"&amp;R235&amp;""),"*雙葉先生*"),COUNTIF(INDIRECT("B"&amp;R235-1&amp;""),"*雙葉*")),INDIRECT("H"&amp;R235&amp;""),INDIRECT("H"&amp;R235&amp;"")+INDIRECT("H"&amp;MATCH("雙葉'",INDIRECT("B"&amp;R235+3&amp;":B210"),0)+2+R235&amp;"")),
IF(AND(LEFT(INDIRECT("B"&amp;R235&amp;""),2)="博多",COUNTIF(B:B,"*博多*")&gt;=2),
INDIRECT("H"&amp;R235&amp;"")+IFERROR(INDIRECT("H"&amp;MATCH("*"&amp;INDIRECT("B"&amp;R235&amp;"")&amp;"*",INDIRECT("B"&amp;R235+1&amp;":B210"),0)+R235&amp;""),0),
IF(AND(LEFT(INDIRECT("B"&amp;R235&amp;""),3)="奈良屋",COUNTIF(B:B,"*奈良屋*")&gt;=2),
INDIRECT("H"&amp;R235&amp;"")
+INDIRECT("H"&amp;MATCH("*"&amp;INDIRECT("B"&amp;R235&amp;"")&amp;"*",INDIRECT("B"&amp;R235+1&amp;":B210"),0)+R235&amp;"")
+INDIRECT("H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
+INDIRECT("H"&amp;MATCH("*"&amp;INDIRECT("B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&amp;"*",INDIRECT("B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+1&amp;":B210"),0)+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,
INDIRECT("H"&amp;R235&amp;"")))),"")</f>
        <v/>
      </c>
      <c r="X235" s="176" t="str">
        <f t="array" aca="1" ref="X235" ca="1">IF($R235&lt;&gt;"",
INDIRECT(""&amp;IF(COLUMN(I235)&lt;=26,CHAR(COLUMN(I235)+64),CHAR(INT((COLUMN(I235)-1)/26)+64)&amp;CHAR(MOD(COLUMN(I235)-1,26)+65))&amp;$R235&amp;""),"")</f>
        <v/>
      </c>
      <c r="Y235" s="176" t="str">
        <f t="array" aca="1" ref="Y235" ca="1">IF($R235&lt;&gt;"",
INDIRECT(""&amp;IF(COLUMN(J235)&lt;=26,CHAR(COLUMN(J235)+64),CHAR(INT((COLUMN(J235)-1)/26)+64)&amp;CHAR(MOD(COLUMN(J235)-1,26)+65))&amp;$R235&amp;""),"")</f>
        <v/>
      </c>
      <c r="Z235" s="176" t="str">
        <f t="shared" ca="1" si="89"/>
        <v/>
      </c>
      <c r="AA235" s="176" t="str">
        <f t="shared" ca="1" si="90"/>
        <v/>
      </c>
      <c r="AB235" s="176" t="str">
        <f t="array" aca="1" ref="AB235" ca="1">IF($R235&lt;&gt;"",
IF(AND(COUNTIF(INDIRECT("B"&amp;R235&amp;""),"*雙葉*"),COUNTIF(INDIRECT("B"&amp;R235&amp;""),"&lt;&gt;*先生*"),COUNTIF(B:B,"*雙葉*")&gt;=2),
INDIRECT("M"&amp;R235&amp;"")+INDIRECT("M"&amp;MATCH("雙葉'",INDIRECT("B"&amp;R235+1&amp;":B210"),0)+R235&amp;""),
IF(AND(LEFT(INDIRECT("B"&amp;R235&amp;""),2)="博多",COUNTIF(B:B,"*博多*")&gt;=2),
INDIRECT("M"&amp;R235&amp;"")+INDIRECT("M"&amp;MATCH("*"&amp;INDIRECT("B"&amp;R235&amp;"")&amp;"*",INDIRECT("B"&amp;R235+1&amp;":B210"),0)+R235&amp;""),
IF(AND(LEFT(INDIRECT("B"&amp;R235&amp;""),3)="奈良屋",COUNTIF(B:B,"*奈良屋*")&gt;=2),
INDIRECT("M"&amp;R235&amp;"")+INDIRECT("M"&amp;MATCH("*"&amp;INDIRECT("B"&amp;R235&amp;"")&amp;"*",INDIRECT("B"&amp;R235+1&amp;":B210"),0)+R235&amp;"")
+INDIRECT("M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,
INDIRECT("M"&amp;R235&amp;"")))),"")</f>
        <v/>
      </c>
      <c r="AC235" s="176" t="str">
        <f t="shared" ca="1" si="91"/>
        <v/>
      </c>
      <c r="AD235" s="176" t="str">
        <f t="shared" ca="1" si="92"/>
        <v/>
      </c>
      <c r="AE235" s="176" t="str">
        <f t="shared" ca="1" si="93"/>
        <v/>
      </c>
      <c r="AF235" s="176" t="str">
        <f t="shared" ca="1" si="94"/>
        <v/>
      </c>
      <c r="AG235" s="176" t="str">
        <f t="shared" ca="1" si="95"/>
        <v/>
      </c>
      <c r="AH235" s="183" t="str">
        <f t="shared" ca="1" si="96"/>
        <v/>
      </c>
      <c r="AI235" s="176" t="str">
        <f t="shared" ca="1" si="97"/>
        <v/>
      </c>
      <c r="AJ235" s="176" t="str">
        <f t="shared" ca="1" si="98"/>
        <v/>
      </c>
      <c r="AK235" s="176" t="str">
        <f t="shared" ca="1" si="99"/>
        <v/>
      </c>
      <c r="AL235" s="176" t="str">
        <f t="shared" ca="1" si="100"/>
        <v/>
      </c>
      <c r="AM235" s="176" t="str">
        <f t="shared" ca="1" si="101"/>
        <v/>
      </c>
      <c r="AN235" s="176" t="str">
        <f t="shared" ca="1" si="102"/>
        <v/>
      </c>
      <c r="AO235" s="176" t="str">
        <f t="shared" ca="1" si="103"/>
        <v/>
      </c>
      <c r="AP235" s="176" t="str">
        <f t="shared" ca="1" si="104"/>
        <v/>
      </c>
      <c r="AU235" s="176" t="str">
        <f t="shared" ca="1" si="105"/>
        <v/>
      </c>
    </row>
    <row r="236" spans="1:47">
      <c r="A236" s="100" t="str">
        <f ca="1">IF(C236&lt;&gt;"",A235+1,"")</f>
        <v/>
      </c>
      <c r="B236" s="116"/>
      <c r="C236" s="117" t="str">
        <f t="array" aca="1" ref="C236" ca="1">IF(OR(INDIRECT("まとめ札!G"&amp;B235&amp;"")="",INDIRECT("まとめ札!G"&amp;B235&amp;"")=0),"",INDIRECT("まとめ札!A"&amp;B235&amp;"")&amp;"【2】")</f>
        <v/>
      </c>
      <c r="D236" s="117"/>
      <c r="E236" s="117"/>
      <c r="F236" s="189" t="str">
        <f ca="1">IF(C236&lt;&gt;"",
IF(IF(COUNTIF(C236,"*キャラ*"),
VLOOKUP("*キャラ*",商品マスタ!$D:$E,2,FALSE),
VLOOKUP("*赤*",商品マスタ!$D:$E,2,FALSE))=0,"",
IF(H236&lt;&gt;"",
IF(ROUND(
H236/IF(COUNTIF(C236,"*キャラ*"),
VLOOKUP("*キャラ*",商品マスタ!$D:$E,2,FALSE),
VLOOKUP("*赤*",商品マスタ!$D:$E,2,FALSE)),0)&lt;=0,1,
ROUND(
H236/IF(COUNTIF(C236,"*キャラ*"),
VLOOKUP("*キャラ*",商品マスタ!$D:$E,2,FALSE),
VLOOKUP("*赤*",商品マスタ!$D:$E,2,FALSE)),0)),"")),"")</f>
        <v/>
      </c>
      <c r="G236" s="118" t="str">
        <f ca="1">IF(F236&lt;&gt;"",IF(VALUE(H236)&gt;VALUE(IF(COUNTIF(C236,"*キャラ*"),
VLOOKUP("*キャラ*",商品マスタ!$D:$E,2,FALSE),
VLOOKUP("*赤*",商品マスタ!$D:$E,2,FALSE))*F236),
"+"&amp;H236-IF(COUNTIF(C236,"*キャラ*"),
VLOOKUP("*キャラ*",商品マスタ!$D:$E,2,FALSE),
VLOOKUP("*赤*",商品マスタ!$D:$E,2,FALSE))*F236,
H236-IF(COUNTIF(C236,"*キャラ*"),
VLOOKUP("*キャラ*",商品マスタ!$D:$E,2,FALSE),
VLOOKUP("*赤*",商品マスタ!$D:$E,2,FALSE))*F236),"")</f>
        <v/>
      </c>
      <c r="H236" s="116" t="str">
        <f t="array" aca="1" ref="H236" ca="1">IF(OR(INDIRECT("まとめ札!G"&amp;B235&amp;"")="",INDIRECT("まとめ札!G"&amp;B235&amp;"")=0),"",INDIRECT("まとめ札!G"&amp;B235&amp;""))</f>
        <v/>
      </c>
      <c r="I236" s="116"/>
      <c r="J236" s="116" t="str">
        <f ca="1">IF(C236&lt;&gt;"",
IF(OR(COUNTIF(C236,"*キャラ*"),COUNTIF(C236,"*赤*")),24,
VLOOKUP(C236,#REF!,6,FALSE)),"")</f>
        <v/>
      </c>
      <c r="M236" s="116"/>
      <c r="P236" s="116" t="str">
        <f t="shared" ca="1" si="108"/>
        <v/>
      </c>
      <c r="Q236" s="116" t="str">
        <f t="shared" ca="1" si="109"/>
        <v/>
      </c>
      <c r="R236" s="176" t="str">
        <f t="array" aca="1" ref="R236" ca="1">IFERROR(SMALL(IF(P$1:P$311&lt;&gt;0,P$1:P$311),ROW(A236)),"")</f>
        <v/>
      </c>
      <c r="S236" s="176" t="str">
        <f t="array" aca="1" ref="S236" ca="1">IF($R236&lt;&gt;"",
SUBSTITUTE(SUBSTITUTE(INDIRECT("C"&amp;$R236&amp;"")," 週3ｺｰｽ","")," 週5ｺｰｽ",""),"")</f>
        <v/>
      </c>
      <c r="T236" s="176" t="str">
        <f t="array" aca="1" ref="T236" ca="1">IF(IF($R236&lt;&gt;"",
INDIRECT(""&amp;IF(COLUMN(D236)&lt;=26,CHAR(COLUMN(D236)+64),CHAR(INT((COLUMN(D236)-1)/26)+64)&amp;CHAR(MOD(COLUMN(D236)-1,26)+65))&amp;$R236&amp;""),"")=0,"",
IF($R236&lt;&gt;"",
INDIRECT(""&amp;IF(COLUMN(D236)&lt;=26,CHAR(COLUMN(D236)+64),CHAR(INT((COLUMN(D236)-1)/26)+64)&amp;CHAR(MOD(COLUMN(D236)-1,26)+65))&amp;$R236&amp;""),""))</f>
        <v/>
      </c>
      <c r="U236" s="218" t="str">
        <f t="array" aca="1" ref="U236" ca="1">IF($R236&lt;&gt;"",
INDIRECT("F"&amp;$R236&amp;""),"")</f>
        <v/>
      </c>
      <c r="V236" s="219" t="str">
        <f t="array" aca="1" ref="V236" ca="1">IF($R236&lt;&gt;"",
INDIRECT("G"&amp;$R236&amp;""),"")</f>
        <v/>
      </c>
      <c r="W236" s="219" t="str" cm="1">
        <f t="array" aca="1" ref="W236" ca="1">IF($R236&lt;&gt;"",
IF(AND(COUNTIF(INDIRECT("B"&amp;R236&amp;""),"*雙葉*"),COUNTIF($B$71:$B$210,"*雙葉*")&gt;=1),
IF(OR(COUNTIF(INDIRECT("B"&amp;R236&amp;""),"*雙葉先生*"),COUNTIF(INDIRECT("B"&amp;R236-1&amp;""),"*雙葉*")),INDIRECT("H"&amp;R236&amp;""),INDIRECT("H"&amp;R236&amp;"")+INDIRECT("H"&amp;MATCH("雙葉'",INDIRECT("B"&amp;R236+3&amp;":B210"),0)+2+R236&amp;"")),
IF(AND(LEFT(INDIRECT("B"&amp;R236&amp;""),2)="博多",COUNTIF(B:B,"*博多*")&gt;=2),
INDIRECT("H"&amp;R236&amp;"")+IFERROR(INDIRECT("H"&amp;MATCH("*"&amp;INDIRECT("B"&amp;R236&amp;"")&amp;"*",INDIRECT("B"&amp;R236+1&amp;":B210"),0)+R236&amp;""),0),
IF(AND(LEFT(INDIRECT("B"&amp;R236&amp;""),3)="奈良屋",COUNTIF(B:B,"*奈良屋*")&gt;=2),
INDIRECT("H"&amp;R236&amp;"")
+INDIRECT("H"&amp;MATCH("*"&amp;INDIRECT("B"&amp;R236&amp;"")&amp;"*",INDIRECT("B"&amp;R236+1&amp;":B210"),0)+R236&amp;"")
+INDIRECT("H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
+INDIRECT("H"&amp;MATCH("*"&amp;INDIRECT("B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&amp;"*",INDIRECT("B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+1&amp;":B210"),0)+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,
INDIRECT("H"&amp;R236&amp;"")))),"")</f>
        <v/>
      </c>
      <c r="X236" s="176" t="str">
        <f t="array" aca="1" ref="X236" ca="1">IF($R236&lt;&gt;"",
INDIRECT(""&amp;IF(COLUMN(I236)&lt;=26,CHAR(COLUMN(I236)+64),CHAR(INT((COLUMN(I236)-1)/26)+64)&amp;CHAR(MOD(COLUMN(I236)-1,26)+65))&amp;$R236&amp;""),"")</f>
        <v/>
      </c>
      <c r="Y236" s="176" t="str">
        <f t="array" aca="1" ref="Y236" ca="1">IF($R236&lt;&gt;"",
INDIRECT(""&amp;IF(COLUMN(J236)&lt;=26,CHAR(COLUMN(J236)+64),CHAR(INT((COLUMN(J236)-1)/26)+64)&amp;CHAR(MOD(COLUMN(J236)-1,26)+65))&amp;$R236&amp;""),"")</f>
        <v/>
      </c>
      <c r="Z236" s="176" t="str">
        <f t="shared" ca="1" si="89"/>
        <v/>
      </c>
      <c r="AA236" s="176" t="str">
        <f t="shared" ca="1" si="90"/>
        <v/>
      </c>
      <c r="AB236" s="176" t="str">
        <f t="array" aca="1" ref="AB236" ca="1">IF($R236&lt;&gt;"",
IF(AND(COUNTIF(INDIRECT("B"&amp;R236&amp;""),"*雙葉*"),COUNTIF(INDIRECT("B"&amp;R236&amp;""),"&lt;&gt;*先生*"),COUNTIF(B:B,"*雙葉*")&gt;=2),
INDIRECT("M"&amp;R236&amp;"")+INDIRECT("M"&amp;MATCH("雙葉'",INDIRECT("B"&amp;R236+1&amp;":B210"),0)+R236&amp;""),
IF(AND(LEFT(INDIRECT("B"&amp;R236&amp;""),2)="博多",COUNTIF(B:B,"*博多*")&gt;=2),
INDIRECT("M"&amp;R236&amp;"")+INDIRECT("M"&amp;MATCH("*"&amp;INDIRECT("B"&amp;R236&amp;"")&amp;"*",INDIRECT("B"&amp;R236+1&amp;":B210"),0)+R236&amp;""),
IF(AND(LEFT(INDIRECT("B"&amp;R236&amp;""),3)="奈良屋",COUNTIF(B:B,"*奈良屋*")&gt;=2),
INDIRECT("M"&amp;R236&amp;"")+INDIRECT("M"&amp;MATCH("*"&amp;INDIRECT("B"&amp;R236&amp;"")&amp;"*",INDIRECT("B"&amp;R236+1&amp;":B210"),0)+R236&amp;"")
+INDIRECT("M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,
INDIRECT("M"&amp;R236&amp;"")))),"")</f>
        <v/>
      </c>
      <c r="AC236" s="176" t="str">
        <f t="shared" ca="1" si="91"/>
        <v/>
      </c>
      <c r="AD236" s="176" t="str">
        <f t="shared" ca="1" si="92"/>
        <v/>
      </c>
      <c r="AE236" s="176" t="str">
        <f t="shared" ca="1" si="93"/>
        <v/>
      </c>
      <c r="AF236" s="176" t="str">
        <f t="shared" ca="1" si="94"/>
        <v/>
      </c>
      <c r="AG236" s="176" t="str">
        <f t="shared" ca="1" si="95"/>
        <v/>
      </c>
      <c r="AH236" s="183" t="str">
        <f t="shared" ca="1" si="96"/>
        <v/>
      </c>
      <c r="AI236" s="176" t="str">
        <f t="shared" ca="1" si="97"/>
        <v/>
      </c>
      <c r="AJ236" s="176" t="str">
        <f t="shared" ca="1" si="98"/>
        <v/>
      </c>
      <c r="AK236" s="176" t="str">
        <f t="shared" ca="1" si="99"/>
        <v/>
      </c>
      <c r="AL236" s="176" t="str">
        <f t="shared" ca="1" si="100"/>
        <v/>
      </c>
      <c r="AM236" s="176" t="str">
        <f t="shared" ca="1" si="101"/>
        <v/>
      </c>
      <c r="AN236" s="176" t="str">
        <f t="shared" ca="1" si="102"/>
        <v/>
      </c>
      <c r="AO236" s="176" t="str">
        <f t="shared" ca="1" si="103"/>
        <v/>
      </c>
      <c r="AP236" s="176" t="str">
        <f t="shared" ca="1" si="104"/>
        <v/>
      </c>
      <c r="AU236" s="176" t="str">
        <f t="shared" ca="1" si="105"/>
        <v/>
      </c>
    </row>
    <row r="237" spans="1:47">
      <c r="A237" s="100" t="str">
        <f ca="1">IF(C237&lt;&gt;"",A236+1,"")</f>
        <v/>
      </c>
      <c r="B237" s="116"/>
      <c r="C237" s="117" t="str">
        <f t="array" aca="1" ref="C237" ca="1">IF(OR(INDIRECT("まとめ札!H"&amp;B235&amp;"")="",INDIRECT("まとめ札!H"&amp;B235&amp;"")=0),"",INDIRECT("まとめ札!A"&amp;B235&amp;"")&amp;"【3】")</f>
        <v/>
      </c>
      <c r="D237" s="117"/>
      <c r="E237" s="117"/>
      <c r="F237" s="189" t="str">
        <f ca="1">IF(C237&lt;&gt;"",
IF(IF(COUNTIF(C237,"*キャラ*"),
VLOOKUP("*キャラ*",商品マスタ!$D:$E,2,FALSE),
VLOOKUP("*赤*",商品マスタ!$D:$E,2,FALSE))=0,"",
IF(H237&lt;&gt;"",
IF(ROUND(
H237/IF(COUNTIF(C237,"*キャラ*"),
VLOOKUP("*キャラ*",商品マスタ!$D:$E,2,FALSE),
VLOOKUP("*赤*",商品マスタ!$D:$E,2,FALSE)),0)&lt;=0,1,
ROUND(
H237/IF(COUNTIF(C237,"*キャラ*"),
VLOOKUP("*キャラ*",商品マスタ!$D:$E,2,FALSE),
VLOOKUP("*赤*",商品マスタ!$D:$E,2,FALSE)),0)),"")),"")</f>
        <v/>
      </c>
      <c r="G237" s="118" t="str">
        <f ca="1">IF(F237&lt;&gt;"",IF(VALUE(H237)&gt;VALUE(IF(COUNTIF(C237,"*キャラ*"),
VLOOKUP("*キャラ*",商品マスタ!$D:$E,2,FALSE),
VLOOKUP("*赤*",商品マスタ!$D:$E,2,FALSE))*F237),
"+"&amp;H237-IF(COUNTIF(C237,"*キャラ*"),
VLOOKUP("*キャラ*",商品マスタ!$D:$E,2,FALSE),
VLOOKUP("*赤*",商品マスタ!$D:$E,2,FALSE))*F237,
H237-IF(COUNTIF(C237,"*キャラ*"),
VLOOKUP("*キャラ*",商品マスタ!$D:$E,2,FALSE),
VLOOKUP("*赤*",商品マスタ!$D:$E,2,FALSE))*F237),"")</f>
        <v/>
      </c>
      <c r="H237" s="116" t="str">
        <f t="array" aca="1" ref="H237" ca="1">IF(OR(INDIRECT("まとめ札!H"&amp;B235&amp;"")="",INDIRECT("まとめ札!H"&amp;B235&amp;"")=0),"",INDIRECT("まとめ札!H"&amp;B235&amp;""))</f>
        <v/>
      </c>
      <c r="I237" s="116"/>
      <c r="J237" s="116" t="str">
        <f ca="1">IF(C237&lt;&gt;"",
IF(OR(COUNTIF(C237,"*キャラ*"),COUNTIF(C237,"*赤*")),24,
VLOOKUP(C237,#REF!,6,FALSE)),"")</f>
        <v/>
      </c>
      <c r="M237" s="116"/>
      <c r="P237" s="116" t="str">
        <f t="shared" ca="1" si="108"/>
        <v/>
      </c>
      <c r="Q237" s="116" t="str">
        <f t="shared" ca="1" si="109"/>
        <v/>
      </c>
      <c r="R237" s="176" t="str">
        <f t="array" aca="1" ref="R237" ca="1">IFERROR(SMALL(IF(P$1:P$311&lt;&gt;0,P$1:P$311),ROW(A237)),"")</f>
        <v/>
      </c>
      <c r="S237" s="176" t="str">
        <f t="array" aca="1" ref="S237" ca="1">IF($R237&lt;&gt;"",
SUBSTITUTE(SUBSTITUTE(INDIRECT("C"&amp;$R237&amp;"")," 週3ｺｰｽ","")," 週5ｺｰｽ",""),"")</f>
        <v/>
      </c>
      <c r="T237" s="176" t="str">
        <f t="array" aca="1" ref="T237" ca="1">IF(IF($R237&lt;&gt;"",
INDIRECT(""&amp;IF(COLUMN(D237)&lt;=26,CHAR(COLUMN(D237)+64),CHAR(INT((COLUMN(D237)-1)/26)+64)&amp;CHAR(MOD(COLUMN(D237)-1,26)+65))&amp;$R237&amp;""),"")=0,"",
IF($R237&lt;&gt;"",
INDIRECT(""&amp;IF(COLUMN(D237)&lt;=26,CHAR(COLUMN(D237)+64),CHAR(INT((COLUMN(D237)-1)/26)+64)&amp;CHAR(MOD(COLUMN(D237)-1,26)+65))&amp;$R237&amp;""),""))</f>
        <v/>
      </c>
      <c r="U237" s="218" t="str">
        <f t="array" aca="1" ref="U237" ca="1">IF($R237&lt;&gt;"",
INDIRECT("F"&amp;$R237&amp;""),"")</f>
        <v/>
      </c>
      <c r="V237" s="219" t="str">
        <f t="array" aca="1" ref="V237" ca="1">IF($R237&lt;&gt;"",
INDIRECT("G"&amp;$R237&amp;""),"")</f>
        <v/>
      </c>
      <c r="W237" s="219" t="str" cm="1">
        <f t="array" aca="1" ref="W237" ca="1">IF($R237&lt;&gt;"",
IF(AND(COUNTIF(INDIRECT("B"&amp;R237&amp;""),"*雙葉*"),COUNTIF($B$71:$B$210,"*雙葉*")&gt;=1),
IF(OR(COUNTIF(INDIRECT("B"&amp;R237&amp;""),"*雙葉先生*"),COUNTIF(INDIRECT("B"&amp;R237-1&amp;""),"*雙葉*")),INDIRECT("H"&amp;R237&amp;""),INDIRECT("H"&amp;R237&amp;"")+INDIRECT("H"&amp;MATCH("雙葉'",INDIRECT("B"&amp;R237+3&amp;":B210"),0)+2+R237&amp;"")),
IF(AND(LEFT(INDIRECT("B"&amp;R237&amp;""),2)="博多",COUNTIF(B:B,"*博多*")&gt;=2),
INDIRECT("H"&amp;R237&amp;"")+IFERROR(INDIRECT("H"&amp;MATCH("*"&amp;INDIRECT("B"&amp;R237&amp;"")&amp;"*",INDIRECT("B"&amp;R237+1&amp;":B210"),0)+R237&amp;""),0),
IF(AND(LEFT(INDIRECT("B"&amp;R237&amp;""),3)="奈良屋",COUNTIF(B:B,"*奈良屋*")&gt;=2),
INDIRECT("H"&amp;R237&amp;"")
+INDIRECT("H"&amp;MATCH("*"&amp;INDIRECT("B"&amp;R237&amp;"")&amp;"*",INDIRECT("B"&amp;R237+1&amp;":B210"),0)+R237&amp;"")
+INDIRECT("H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
+INDIRECT("H"&amp;MATCH("*"&amp;INDIRECT("B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&amp;"*",INDIRECT("B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+1&amp;":B210"),0)+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,
INDIRECT("H"&amp;R237&amp;"")))),"")</f>
        <v/>
      </c>
      <c r="X237" s="176" t="str">
        <f t="array" aca="1" ref="X237" ca="1">IF($R237&lt;&gt;"",
INDIRECT(""&amp;IF(COLUMN(I237)&lt;=26,CHAR(COLUMN(I237)+64),CHAR(INT((COLUMN(I237)-1)/26)+64)&amp;CHAR(MOD(COLUMN(I237)-1,26)+65))&amp;$R237&amp;""),"")</f>
        <v/>
      </c>
      <c r="Y237" s="176" t="str">
        <f t="array" aca="1" ref="Y237" ca="1">IF($R237&lt;&gt;"",
INDIRECT(""&amp;IF(COLUMN(J237)&lt;=26,CHAR(COLUMN(J237)+64),CHAR(INT((COLUMN(J237)-1)/26)+64)&amp;CHAR(MOD(COLUMN(J237)-1,26)+65))&amp;$R237&amp;""),"")</f>
        <v/>
      </c>
      <c r="Z237" s="176" t="str">
        <f t="shared" ca="1" si="89"/>
        <v/>
      </c>
      <c r="AA237" s="176" t="str">
        <f t="shared" ca="1" si="90"/>
        <v/>
      </c>
      <c r="AB237" s="176" t="str">
        <f t="array" aca="1" ref="AB237" ca="1">IF($R237&lt;&gt;"",
IF(AND(COUNTIF(INDIRECT("B"&amp;R237&amp;""),"*雙葉*"),COUNTIF(INDIRECT("B"&amp;R237&amp;""),"&lt;&gt;*先生*"),COUNTIF(B:B,"*雙葉*")&gt;=2),
INDIRECT("M"&amp;R237&amp;"")+INDIRECT("M"&amp;MATCH("雙葉'",INDIRECT("B"&amp;R237+1&amp;":B210"),0)+R237&amp;""),
IF(AND(LEFT(INDIRECT("B"&amp;R237&amp;""),2)="博多",COUNTIF(B:B,"*博多*")&gt;=2),
INDIRECT("M"&amp;R237&amp;"")+INDIRECT("M"&amp;MATCH("*"&amp;INDIRECT("B"&amp;R237&amp;"")&amp;"*",INDIRECT("B"&amp;R237+1&amp;":B210"),0)+R237&amp;""),
IF(AND(LEFT(INDIRECT("B"&amp;R237&amp;""),3)="奈良屋",COUNTIF(B:B,"*奈良屋*")&gt;=2),
INDIRECT("M"&amp;R237&amp;"")+INDIRECT("M"&amp;MATCH("*"&amp;INDIRECT("B"&amp;R237&amp;"")&amp;"*",INDIRECT("B"&amp;R237+1&amp;":B210"),0)+R237&amp;"")
+INDIRECT("M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,
INDIRECT("M"&amp;R237&amp;"")))),"")</f>
        <v/>
      </c>
      <c r="AC237" s="176" t="str">
        <f t="shared" ca="1" si="91"/>
        <v/>
      </c>
      <c r="AD237" s="176" t="str">
        <f t="shared" ca="1" si="92"/>
        <v/>
      </c>
      <c r="AE237" s="176" t="str">
        <f t="shared" ca="1" si="93"/>
        <v/>
      </c>
      <c r="AF237" s="176" t="str">
        <f t="shared" ca="1" si="94"/>
        <v/>
      </c>
      <c r="AG237" s="176" t="str">
        <f t="shared" ca="1" si="95"/>
        <v/>
      </c>
      <c r="AH237" s="183" t="str">
        <f t="shared" ca="1" si="96"/>
        <v/>
      </c>
      <c r="AI237" s="176" t="str">
        <f t="shared" ca="1" si="97"/>
        <v/>
      </c>
      <c r="AJ237" s="176" t="str">
        <f t="shared" ca="1" si="98"/>
        <v/>
      </c>
      <c r="AK237" s="176" t="str">
        <f t="shared" ca="1" si="99"/>
        <v/>
      </c>
      <c r="AL237" s="176" t="str">
        <f t="shared" ca="1" si="100"/>
        <v/>
      </c>
      <c r="AM237" s="176" t="str">
        <f t="shared" ca="1" si="101"/>
        <v/>
      </c>
      <c r="AN237" s="176" t="str">
        <f t="shared" ca="1" si="102"/>
        <v/>
      </c>
      <c r="AO237" s="176" t="str">
        <f t="shared" ca="1" si="103"/>
        <v/>
      </c>
      <c r="AP237" s="176" t="str">
        <f t="shared" ca="1" si="104"/>
        <v/>
      </c>
      <c r="AU237" s="176" t="str">
        <f t="shared" ca="1" si="105"/>
        <v/>
      </c>
    </row>
    <row r="238" spans="1:47">
      <c r="A238" s="100" t="str">
        <f ca="1">IF(C238&lt;&gt;"",A237+1,"")</f>
        <v/>
      </c>
      <c r="B238" s="116"/>
      <c r="C238" s="117" t="str">
        <f t="array" aca="1" ref="C238" ca="1">IF(OR(INDIRECT("まとめ札!I"&amp;B235&amp;"")="",INDIRECT("まとめ札!I"&amp;B235&amp;"")=0),"",INDIRECT("まとめ札!A"&amp;B235&amp;"")&amp;"【4】")</f>
        <v/>
      </c>
      <c r="D238" s="117"/>
      <c r="E238" s="117"/>
      <c r="F238" s="189" t="str">
        <f ca="1">IF(C238&lt;&gt;"",
IF(IF(COUNTIF(C238,"*キャラ*"),
VLOOKUP("*キャラ*",商品マスタ!$D:$E,2,FALSE),
VLOOKUP("*赤*",商品マスタ!$D:$E,2,FALSE))=0,"",
IF(H238&lt;&gt;"",
IF(ROUND(
H238/IF(COUNTIF(C238,"*キャラ*"),
VLOOKUP("*キャラ*",商品マスタ!$D:$E,2,FALSE),
VLOOKUP("*赤*",商品マスタ!$D:$E,2,FALSE)),0)&lt;=0,1,
ROUND(
H238/IF(COUNTIF(C238,"*キャラ*"),
VLOOKUP("*キャラ*",商品マスタ!$D:$E,2,FALSE),
VLOOKUP("*赤*",商品マスタ!$D:$E,2,FALSE)),0)),"")),"")</f>
        <v/>
      </c>
      <c r="G238" s="118" t="str">
        <f ca="1">IF(F238&lt;&gt;"",IF(VALUE(H238)&gt;VALUE(IF(COUNTIF(C238,"*キャラ*"),
VLOOKUP("*キャラ*",商品マスタ!$D:$E,2,FALSE),
VLOOKUP("*赤*",商品マスタ!$D:$E,2,FALSE))*F238),
"+"&amp;H238-IF(COUNTIF(C238,"*キャラ*"),
VLOOKUP("*キャラ*",商品マスタ!$D:$E,2,FALSE),
VLOOKUP("*赤*",商品マスタ!$D:$E,2,FALSE))*F238,
H238-IF(COUNTIF(C238,"*キャラ*"),
VLOOKUP("*キャラ*",商品マスタ!$D:$E,2,FALSE),
VLOOKUP("*赤*",商品マスタ!$D:$E,2,FALSE))*F238),"")</f>
        <v/>
      </c>
      <c r="H238" s="116" t="str">
        <f t="array" aca="1" ref="H238" ca="1">IF(OR(INDIRECT("まとめ札!I"&amp;B235&amp;"")="",INDIRECT("まとめ札!I"&amp;B235&amp;"")=0),"",INDIRECT("まとめ札!I"&amp;B235&amp;""))</f>
        <v/>
      </c>
      <c r="I238" s="116"/>
      <c r="J238" s="116" t="str">
        <f ca="1">IF(C238&lt;&gt;"",
IF(OR(COUNTIF(C238,"*キャラ*"),COUNTIF(C238,"*赤*")),24,
VLOOKUP(C238,#REF!,6,FALSE)),"")</f>
        <v/>
      </c>
      <c r="M238" s="116"/>
      <c r="P238" s="116" t="str">
        <f t="shared" ca="1" si="108"/>
        <v/>
      </c>
      <c r="Q238" s="116" t="str">
        <f t="shared" ca="1" si="109"/>
        <v/>
      </c>
      <c r="R238" s="176" t="str">
        <f t="array" aca="1" ref="R238" ca="1">IFERROR(SMALL(IF(P$1:P$311&lt;&gt;0,P$1:P$311),ROW(A238)),"")</f>
        <v/>
      </c>
      <c r="S238" s="176" t="str">
        <f t="array" aca="1" ref="S238" ca="1">IF($R238&lt;&gt;"",
SUBSTITUTE(SUBSTITUTE(INDIRECT("C"&amp;$R238&amp;"")," 週3ｺｰｽ","")," 週5ｺｰｽ",""),"")</f>
        <v/>
      </c>
      <c r="T238" s="176" t="str">
        <f t="array" aca="1" ref="T238" ca="1">IF(IF($R238&lt;&gt;"",
INDIRECT(""&amp;IF(COLUMN(D238)&lt;=26,CHAR(COLUMN(D238)+64),CHAR(INT((COLUMN(D238)-1)/26)+64)&amp;CHAR(MOD(COLUMN(D238)-1,26)+65))&amp;$R238&amp;""),"")=0,"",
IF($R238&lt;&gt;"",
INDIRECT(""&amp;IF(COLUMN(D238)&lt;=26,CHAR(COLUMN(D238)+64),CHAR(INT((COLUMN(D238)-1)/26)+64)&amp;CHAR(MOD(COLUMN(D238)-1,26)+65))&amp;$R238&amp;""),""))</f>
        <v/>
      </c>
      <c r="U238" s="218" t="str">
        <f t="array" aca="1" ref="U238" ca="1">IF($R238&lt;&gt;"",
INDIRECT("F"&amp;$R238&amp;""),"")</f>
        <v/>
      </c>
      <c r="V238" s="219" t="str">
        <f t="array" aca="1" ref="V238" ca="1">IF($R238&lt;&gt;"",
INDIRECT("G"&amp;$R238&amp;""),"")</f>
        <v/>
      </c>
      <c r="W238" s="219" t="str" cm="1">
        <f t="array" aca="1" ref="W238" ca="1">IF($R238&lt;&gt;"",
IF(AND(COUNTIF(INDIRECT("B"&amp;R238&amp;""),"*雙葉*"),COUNTIF($B$71:$B$210,"*雙葉*")&gt;=1),
IF(OR(COUNTIF(INDIRECT("B"&amp;R238&amp;""),"*雙葉先生*"),COUNTIF(INDIRECT("B"&amp;R238-1&amp;""),"*雙葉*")),INDIRECT("H"&amp;R238&amp;""),INDIRECT("H"&amp;R238&amp;"")+INDIRECT("H"&amp;MATCH("雙葉'",INDIRECT("B"&amp;R238+3&amp;":B210"),0)+2+R238&amp;"")),
IF(AND(LEFT(INDIRECT("B"&amp;R238&amp;""),2)="博多",COUNTIF(B:B,"*博多*")&gt;=2),
INDIRECT("H"&amp;R238&amp;"")+IFERROR(INDIRECT("H"&amp;MATCH("*"&amp;INDIRECT("B"&amp;R238&amp;"")&amp;"*",INDIRECT("B"&amp;R238+1&amp;":B210"),0)+R238&amp;""),0),
IF(AND(LEFT(INDIRECT("B"&amp;R238&amp;""),3)="奈良屋",COUNTIF(B:B,"*奈良屋*")&gt;=2),
INDIRECT("H"&amp;R238&amp;"")
+INDIRECT("H"&amp;MATCH("*"&amp;INDIRECT("B"&amp;R238&amp;"")&amp;"*",INDIRECT("B"&amp;R238+1&amp;":B210"),0)+R238&amp;"")
+INDIRECT("H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
+INDIRECT("H"&amp;MATCH("*"&amp;INDIRECT("B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&amp;"*",INDIRECT("B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+1&amp;":B210"),0)+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,
INDIRECT("H"&amp;R238&amp;"")))),"")</f>
        <v/>
      </c>
      <c r="X238" s="176" t="str">
        <f t="array" aca="1" ref="X238" ca="1">IF($R238&lt;&gt;"",
INDIRECT(""&amp;IF(COLUMN(I238)&lt;=26,CHAR(COLUMN(I238)+64),CHAR(INT((COLUMN(I238)-1)/26)+64)&amp;CHAR(MOD(COLUMN(I238)-1,26)+65))&amp;$R238&amp;""),"")</f>
        <v/>
      </c>
      <c r="Y238" s="176" t="str">
        <f t="array" aca="1" ref="Y238" ca="1">IF($R238&lt;&gt;"",
INDIRECT(""&amp;IF(COLUMN(J238)&lt;=26,CHAR(COLUMN(J238)+64),CHAR(INT((COLUMN(J238)-1)/26)+64)&amp;CHAR(MOD(COLUMN(J238)-1,26)+65))&amp;$R238&amp;""),"")</f>
        <v/>
      </c>
      <c r="Z238" s="176" t="str">
        <f t="shared" ca="1" si="89"/>
        <v/>
      </c>
      <c r="AA238" s="176" t="str">
        <f t="shared" ca="1" si="90"/>
        <v/>
      </c>
      <c r="AB238" s="176" t="str">
        <f t="array" aca="1" ref="AB238" ca="1">IF($R238&lt;&gt;"",
IF(AND(COUNTIF(INDIRECT("B"&amp;R238&amp;""),"*雙葉*"),COUNTIF(INDIRECT("B"&amp;R238&amp;""),"&lt;&gt;*先生*"),COUNTIF(B:B,"*雙葉*")&gt;=2),
INDIRECT("M"&amp;R238&amp;"")+INDIRECT("M"&amp;MATCH("雙葉'",INDIRECT("B"&amp;R238+1&amp;":B210"),0)+R238&amp;""),
IF(AND(LEFT(INDIRECT("B"&amp;R238&amp;""),2)="博多",COUNTIF(B:B,"*博多*")&gt;=2),
INDIRECT("M"&amp;R238&amp;"")+INDIRECT("M"&amp;MATCH("*"&amp;INDIRECT("B"&amp;R238&amp;"")&amp;"*",INDIRECT("B"&amp;R238+1&amp;":B210"),0)+R238&amp;""),
IF(AND(LEFT(INDIRECT("B"&amp;R238&amp;""),3)="奈良屋",COUNTIF(B:B,"*奈良屋*")&gt;=2),
INDIRECT("M"&amp;R238&amp;"")+INDIRECT("M"&amp;MATCH("*"&amp;INDIRECT("B"&amp;R238&amp;"")&amp;"*",INDIRECT("B"&amp;R238+1&amp;":B210"),0)+R238&amp;"")
+INDIRECT("M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,
INDIRECT("M"&amp;R238&amp;"")))),"")</f>
        <v/>
      </c>
      <c r="AC238" s="176" t="str">
        <f t="shared" ca="1" si="91"/>
        <v/>
      </c>
      <c r="AD238" s="176" t="str">
        <f t="shared" ca="1" si="92"/>
        <v/>
      </c>
      <c r="AE238" s="176" t="str">
        <f t="shared" ca="1" si="93"/>
        <v/>
      </c>
      <c r="AF238" s="176" t="str">
        <f t="shared" ca="1" si="94"/>
        <v/>
      </c>
      <c r="AG238" s="176" t="str">
        <f t="shared" ca="1" si="95"/>
        <v/>
      </c>
      <c r="AH238" s="183" t="str">
        <f t="shared" ca="1" si="96"/>
        <v/>
      </c>
      <c r="AI238" s="176" t="str">
        <f t="shared" ca="1" si="97"/>
        <v/>
      </c>
      <c r="AJ238" s="176" t="str">
        <f t="shared" ca="1" si="98"/>
        <v/>
      </c>
      <c r="AK238" s="176" t="str">
        <f t="shared" ca="1" si="99"/>
        <v/>
      </c>
      <c r="AL238" s="176" t="str">
        <f t="shared" ca="1" si="100"/>
        <v/>
      </c>
      <c r="AM238" s="176" t="str">
        <f t="shared" ca="1" si="101"/>
        <v/>
      </c>
      <c r="AN238" s="176" t="str">
        <f t="shared" ca="1" si="102"/>
        <v/>
      </c>
      <c r="AO238" s="176" t="str">
        <f t="shared" ca="1" si="103"/>
        <v/>
      </c>
      <c r="AP238" s="176" t="str">
        <f t="shared" ca="1" si="104"/>
        <v/>
      </c>
      <c r="AU238" s="176" t="str">
        <f t="shared" ca="1" si="105"/>
        <v/>
      </c>
    </row>
    <row r="239" spans="1:47">
      <c r="A239" s="100">
        <f ca="1">IF(C239&lt;&gt;"",MAX($A$235:$A$238)+1,"")</f>
        <v>152</v>
      </c>
      <c r="B239" s="116">
        <v>7</v>
      </c>
      <c r="C239" s="117" t="str">
        <f t="array" aca="1" ref="C239" ca="1">IF(INDIRECT("まとめ札!A"&amp;B239&amp;"")&lt;&gt;0,INDIRECT("まとめ札!A"&amp;B239&amp;"")&amp;"【1】","")</f>
        <v>赤 おにぎり 半俵【1】</v>
      </c>
      <c r="D239" s="117"/>
      <c r="E239" s="117"/>
      <c r="F239" s="189" t="e">
        <f ca="1">IF(C239&lt;&gt;"",
IF(IF(COUNTIF(C239,"*キャラ*"),
VLOOKUP("*キャラ*",商品マスタ!$D:$E,2,FALSE),
VLOOKUP("*赤*",商品マスタ!$D:$E,2,FALSE))=0,"",
IF(H239&lt;&gt;"",
IF(ROUND(
H239/IF(COUNTIF(C239,"*キャラ*"),
VLOOKUP("*キャラ*",商品マスタ!$D:$E,2,FALSE),
VLOOKUP("*赤*",商品マスタ!$D:$E,2,FALSE)),0)&lt;=0,1,
ROUND(
H239/IF(COUNTIF(C239,"*キャラ*"),
VLOOKUP("*キャラ*",商品マスタ!$D:$E,2,FALSE),
VLOOKUP("*赤*",商品マスタ!$D:$E,2,FALSE)),0)),"")),"")</f>
        <v>#N/A</v>
      </c>
      <c r="G239" s="118" t="e">
        <f ca="1">IF(F239&lt;&gt;"",IF(VALUE(H239)&gt;VALUE(IF(COUNTIF(C239,"*キャラ*"),
VLOOKUP("*キャラ*",商品マスタ!$D:$E,2,FALSE),
VLOOKUP("*赤*",商品マスタ!$D:$E,2,FALSE))*F239),
"+"&amp;H239-IF(COUNTIF(C239,"*キャラ*"),
VLOOKUP("*キャラ*",商品マスタ!$D:$E,2,FALSE),
VLOOKUP("*赤*",商品マスタ!$D:$E,2,FALSE))*F239,
H239-IF(COUNTIF(C239,"*キャラ*"),
VLOOKUP("*キャラ*",商品マスタ!$D:$E,2,FALSE),
VLOOKUP("*赤*",商品マスタ!$D:$E,2,FALSE))*F239),"")</f>
        <v>#N/A</v>
      </c>
      <c r="H239" s="116" t="e">
        <f t="array" aca="1" ref="H239" ca="1">IF(INDIRECT("まとめ札!F"&amp;B239&amp;"")&lt;&gt;0,INDIRECT("まとめ札!F"&amp;B239&amp;""),"")</f>
        <v>#N/A</v>
      </c>
      <c r="I239" s="116"/>
      <c r="J239" s="116">
        <f ca="1">IF(C239&lt;&gt;"",
IF(OR(COUNTIF(C239,"*キャラ*"),COUNTIF(C239,"*赤*")),24,
VLOOKUP(C239,#REF!,6,FALSE)),"")</f>
        <v>24</v>
      </c>
      <c r="M239" s="116"/>
      <c r="P239" s="116" t="e">
        <f t="shared" ca="1" si="108"/>
        <v>#N/A</v>
      </c>
      <c r="Q239" s="116" t="e">
        <f t="shared" ca="1" si="109"/>
        <v>#N/A</v>
      </c>
      <c r="R239" s="176" t="str">
        <f t="array" aca="1" ref="R239" ca="1">IFERROR(SMALL(IF(P$1:P$311&lt;&gt;0,P$1:P$311),ROW(A239)),"")</f>
        <v/>
      </c>
      <c r="S239" s="176" t="str">
        <f t="array" aca="1" ref="S239" ca="1">IF($R239&lt;&gt;"",
SUBSTITUTE(SUBSTITUTE(INDIRECT("C"&amp;$R239&amp;"")," 週3ｺｰｽ","")," 週5ｺｰｽ",""),"")</f>
        <v/>
      </c>
      <c r="T239" s="176" t="str">
        <f t="array" aca="1" ref="T239" ca="1">IF(IF($R239&lt;&gt;"",
INDIRECT(""&amp;IF(COLUMN(D239)&lt;=26,CHAR(COLUMN(D239)+64),CHAR(INT((COLUMN(D239)-1)/26)+64)&amp;CHAR(MOD(COLUMN(D239)-1,26)+65))&amp;$R239&amp;""),"")=0,"",
IF($R239&lt;&gt;"",
INDIRECT(""&amp;IF(COLUMN(D239)&lt;=26,CHAR(COLUMN(D239)+64),CHAR(INT((COLUMN(D239)-1)/26)+64)&amp;CHAR(MOD(COLUMN(D239)-1,26)+65))&amp;$R239&amp;""),""))</f>
        <v/>
      </c>
      <c r="U239" s="218" t="str">
        <f t="array" aca="1" ref="U239" ca="1">IF($R239&lt;&gt;"",
INDIRECT("F"&amp;$R239&amp;""),"")</f>
        <v/>
      </c>
      <c r="V239" s="219" t="str">
        <f t="array" aca="1" ref="V239" ca="1">IF($R239&lt;&gt;"",
INDIRECT("G"&amp;$R239&amp;""),"")</f>
        <v/>
      </c>
      <c r="W239" s="219" t="str" cm="1">
        <f t="array" aca="1" ref="W239" ca="1">IF($R239&lt;&gt;"",
IF(AND(COUNTIF(INDIRECT("B"&amp;R239&amp;""),"*雙葉*"),COUNTIF($B$71:$B$210,"*雙葉*")&gt;=1),
IF(OR(COUNTIF(INDIRECT("B"&amp;R239&amp;""),"*雙葉先生*"),COUNTIF(INDIRECT("B"&amp;R239-1&amp;""),"*雙葉*")),INDIRECT("H"&amp;R239&amp;""),INDIRECT("H"&amp;R239&amp;"")+INDIRECT("H"&amp;MATCH("雙葉'",INDIRECT("B"&amp;R239+3&amp;":B210"),0)+2+R239&amp;"")),
IF(AND(LEFT(INDIRECT("B"&amp;R239&amp;""),2)="博多",COUNTIF(B:B,"*博多*")&gt;=2),
INDIRECT("H"&amp;R239&amp;"")+IFERROR(INDIRECT("H"&amp;MATCH("*"&amp;INDIRECT("B"&amp;R239&amp;"")&amp;"*",INDIRECT("B"&amp;R239+1&amp;":B210"),0)+R239&amp;""),0),
IF(AND(LEFT(INDIRECT("B"&amp;R239&amp;""),3)="奈良屋",COUNTIF(B:B,"*奈良屋*")&gt;=2),
INDIRECT("H"&amp;R239&amp;"")
+INDIRECT("H"&amp;MATCH("*"&amp;INDIRECT("B"&amp;R239&amp;"")&amp;"*",INDIRECT("B"&amp;R239+1&amp;":B210"),0)+R239&amp;"")
+INDIRECT("H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
+INDIRECT("H"&amp;MATCH("*"&amp;INDIRECT("B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&amp;"*",INDIRECT("B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+1&amp;":B210"),0)+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,
INDIRECT("H"&amp;R239&amp;"")))),"")</f>
        <v/>
      </c>
      <c r="X239" s="176" t="str">
        <f t="array" aca="1" ref="X239" ca="1">IF($R239&lt;&gt;"",
INDIRECT(""&amp;IF(COLUMN(I239)&lt;=26,CHAR(COLUMN(I239)+64),CHAR(INT((COLUMN(I239)-1)/26)+64)&amp;CHAR(MOD(COLUMN(I239)-1,26)+65))&amp;$R239&amp;""),"")</f>
        <v/>
      </c>
      <c r="Y239" s="176" t="str">
        <f t="array" aca="1" ref="Y239" ca="1">IF($R239&lt;&gt;"",
INDIRECT(""&amp;IF(COLUMN(J239)&lt;=26,CHAR(COLUMN(J239)+64),CHAR(INT((COLUMN(J239)-1)/26)+64)&amp;CHAR(MOD(COLUMN(J239)-1,26)+65))&amp;$R239&amp;""),"")</f>
        <v/>
      </c>
      <c r="Z239" s="176" t="str">
        <f t="shared" ca="1" si="89"/>
        <v/>
      </c>
      <c r="AA239" s="176" t="str">
        <f t="shared" ca="1" si="90"/>
        <v/>
      </c>
      <c r="AB239" s="176" t="str">
        <f t="array" aca="1" ref="AB239" ca="1">IF($R239&lt;&gt;"",
IF(AND(COUNTIF(INDIRECT("B"&amp;R239&amp;""),"*雙葉*"),COUNTIF(INDIRECT("B"&amp;R239&amp;""),"&lt;&gt;*先生*"),COUNTIF(B:B,"*雙葉*")&gt;=2),
INDIRECT("M"&amp;R239&amp;"")+INDIRECT("M"&amp;MATCH("雙葉'",INDIRECT("B"&amp;R239+1&amp;":B210"),0)+R239&amp;""),
IF(AND(LEFT(INDIRECT("B"&amp;R239&amp;""),2)="博多",COUNTIF(B:B,"*博多*")&gt;=2),
INDIRECT("M"&amp;R239&amp;"")+INDIRECT("M"&amp;MATCH("*"&amp;INDIRECT("B"&amp;R239&amp;"")&amp;"*",INDIRECT("B"&amp;R239+1&amp;":B210"),0)+R239&amp;""),
IF(AND(LEFT(INDIRECT("B"&amp;R239&amp;""),3)="奈良屋",COUNTIF(B:B,"*奈良屋*")&gt;=2),
INDIRECT("M"&amp;R239&amp;"")+INDIRECT("M"&amp;MATCH("*"&amp;INDIRECT("B"&amp;R239&amp;"")&amp;"*",INDIRECT("B"&amp;R239+1&amp;":B210"),0)+R239&amp;"")
+INDIRECT("M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,
INDIRECT("M"&amp;R239&amp;"")))),"")</f>
        <v/>
      </c>
      <c r="AC239" s="176" t="str">
        <f t="shared" ca="1" si="91"/>
        <v/>
      </c>
      <c r="AD239" s="176" t="str">
        <f t="shared" ca="1" si="92"/>
        <v/>
      </c>
      <c r="AE239" s="176" t="str">
        <f t="shared" ca="1" si="93"/>
        <v/>
      </c>
      <c r="AF239" s="176" t="str">
        <f t="shared" ca="1" si="94"/>
        <v/>
      </c>
      <c r="AG239" s="176" t="str">
        <f t="shared" ca="1" si="95"/>
        <v/>
      </c>
      <c r="AH239" s="183" t="str">
        <f t="shared" ca="1" si="96"/>
        <v/>
      </c>
      <c r="AI239" s="176" t="str">
        <f t="shared" ca="1" si="97"/>
        <v/>
      </c>
      <c r="AJ239" s="176" t="str">
        <f t="shared" ca="1" si="98"/>
        <v/>
      </c>
      <c r="AK239" s="176" t="str">
        <f t="shared" ca="1" si="99"/>
        <v/>
      </c>
      <c r="AL239" s="176" t="str">
        <f t="shared" ca="1" si="100"/>
        <v/>
      </c>
      <c r="AM239" s="176" t="str">
        <f t="shared" ca="1" si="101"/>
        <v/>
      </c>
      <c r="AN239" s="176" t="str">
        <f t="shared" ca="1" si="102"/>
        <v/>
      </c>
      <c r="AO239" s="176" t="str">
        <f t="shared" ca="1" si="103"/>
        <v/>
      </c>
      <c r="AP239" s="176" t="str">
        <f t="shared" ca="1" si="104"/>
        <v/>
      </c>
      <c r="AU239" s="176" t="str">
        <f t="shared" ca="1" si="105"/>
        <v/>
      </c>
    </row>
    <row r="240" spans="1:47">
      <c r="A240" s="100" t="str">
        <f ca="1">IF(C240&lt;&gt;"",A239+1,"")</f>
        <v/>
      </c>
      <c r="B240" s="116"/>
      <c r="C240" s="117" t="str">
        <f t="array" aca="1" ref="C240" ca="1">IF(OR(INDIRECT("まとめ札!G"&amp;B239&amp;"")="",INDIRECT("まとめ札!G"&amp;B239&amp;"")=0),"",INDIRECT("まとめ札!A"&amp;B239&amp;"")&amp;"【2】")</f>
        <v/>
      </c>
      <c r="D240" s="117"/>
      <c r="E240" s="117"/>
      <c r="F240" s="189" t="str">
        <f ca="1">IF(C240&lt;&gt;"",
IF(IF(COUNTIF(C240,"*キャラ*"),
VLOOKUP("*キャラ*",商品マスタ!$D:$E,2,FALSE),
VLOOKUP("*赤*",商品マスタ!$D:$E,2,FALSE))=0,"",
IF(H240&lt;&gt;"",
IF(ROUND(
H240/IF(COUNTIF(C240,"*キャラ*"),
VLOOKUP("*キャラ*",商品マスタ!$D:$E,2,FALSE),
VLOOKUP("*赤*",商品マスタ!$D:$E,2,FALSE)),0)&lt;=0,1,
ROUND(
H240/IF(COUNTIF(C240,"*キャラ*"),
VLOOKUP("*キャラ*",商品マスタ!$D:$E,2,FALSE),
VLOOKUP("*赤*",商品マスタ!$D:$E,2,FALSE)),0)),"")),"")</f>
        <v/>
      </c>
      <c r="G240" s="118" t="str">
        <f ca="1">IF(F240&lt;&gt;"",IF(VALUE(H240)&gt;VALUE(IF(COUNTIF(C240,"*キャラ*"),
VLOOKUP("*キャラ*",商品マスタ!$D:$E,2,FALSE),
VLOOKUP("*赤*",商品マスタ!$D:$E,2,FALSE))*F240),
"+"&amp;H240-IF(COUNTIF(C240,"*キャラ*"),
VLOOKUP("*キャラ*",商品マスタ!$D:$E,2,FALSE),
VLOOKUP("*赤*",商品マスタ!$D:$E,2,FALSE))*F240,
H240-IF(COUNTIF(C240,"*キャラ*"),
VLOOKUP("*キャラ*",商品マスタ!$D:$E,2,FALSE),
VLOOKUP("*赤*",商品マスタ!$D:$E,2,FALSE))*F240),"")</f>
        <v/>
      </c>
      <c r="H240" s="116" t="str">
        <f t="array" aca="1" ref="H240" ca="1">IF(OR(INDIRECT("まとめ札!G"&amp;B239&amp;"")="",INDIRECT("まとめ札!G"&amp;B239&amp;"")=0),"",INDIRECT("まとめ札!G"&amp;B239&amp;""))</f>
        <v/>
      </c>
      <c r="I240" s="116"/>
      <c r="J240" s="116" t="str">
        <f ca="1">IF(C240&lt;&gt;"",
IF(OR(COUNTIF(C240,"*キャラ*"),COUNTIF(C240,"*赤*")),24,
VLOOKUP(C240,#REF!,6,FALSE)),"")</f>
        <v/>
      </c>
      <c r="M240" s="116"/>
      <c r="P240" s="116" t="str">
        <f t="shared" ca="1" si="108"/>
        <v/>
      </c>
      <c r="Q240" s="116" t="str">
        <f t="shared" ca="1" si="109"/>
        <v/>
      </c>
      <c r="R240" s="176" t="str">
        <f t="array" aca="1" ref="R240" ca="1">IFERROR(SMALL(IF(P$1:P$311&lt;&gt;0,P$1:P$311),ROW(A240)),"")</f>
        <v/>
      </c>
      <c r="S240" s="176" t="str">
        <f t="array" aca="1" ref="S240" ca="1">IF($R240&lt;&gt;"",
SUBSTITUTE(SUBSTITUTE(INDIRECT("C"&amp;$R240&amp;"")," 週3ｺｰｽ","")," 週5ｺｰｽ",""),"")</f>
        <v/>
      </c>
      <c r="T240" s="176" t="str">
        <f t="array" aca="1" ref="T240" ca="1">IF(IF($R240&lt;&gt;"",
INDIRECT(""&amp;IF(COLUMN(D240)&lt;=26,CHAR(COLUMN(D240)+64),CHAR(INT((COLUMN(D240)-1)/26)+64)&amp;CHAR(MOD(COLUMN(D240)-1,26)+65))&amp;$R240&amp;""),"")=0,"",
IF($R240&lt;&gt;"",
INDIRECT(""&amp;IF(COLUMN(D240)&lt;=26,CHAR(COLUMN(D240)+64),CHAR(INT((COLUMN(D240)-1)/26)+64)&amp;CHAR(MOD(COLUMN(D240)-1,26)+65))&amp;$R240&amp;""),""))</f>
        <v/>
      </c>
      <c r="U240" s="218" t="str">
        <f t="array" aca="1" ref="U240" ca="1">IF($R240&lt;&gt;"",
INDIRECT("F"&amp;$R240&amp;""),"")</f>
        <v/>
      </c>
      <c r="V240" s="219" t="str">
        <f t="array" aca="1" ref="V240" ca="1">IF($R240&lt;&gt;"",
INDIRECT("G"&amp;$R240&amp;""),"")</f>
        <v/>
      </c>
      <c r="W240" s="219" t="str" cm="1">
        <f t="array" aca="1" ref="W240" ca="1">IF($R240&lt;&gt;"",
IF(AND(COUNTIF(INDIRECT("B"&amp;R240&amp;""),"*雙葉*"),COUNTIF($B$71:$B$210,"*雙葉*")&gt;=1),
IF(OR(COUNTIF(INDIRECT("B"&amp;R240&amp;""),"*雙葉先生*"),COUNTIF(INDIRECT("B"&amp;R240-1&amp;""),"*雙葉*")),INDIRECT("H"&amp;R240&amp;""),INDIRECT("H"&amp;R240&amp;"")+INDIRECT("H"&amp;MATCH("雙葉'",INDIRECT("B"&amp;R240+3&amp;":B210"),0)+2+R240&amp;"")),
IF(AND(LEFT(INDIRECT("B"&amp;R240&amp;""),2)="博多",COUNTIF(B:B,"*博多*")&gt;=2),
INDIRECT("H"&amp;R240&amp;"")+IFERROR(INDIRECT("H"&amp;MATCH("*"&amp;INDIRECT("B"&amp;R240&amp;"")&amp;"*",INDIRECT("B"&amp;R240+1&amp;":B210"),0)+R240&amp;""),0),
IF(AND(LEFT(INDIRECT("B"&amp;R240&amp;""),3)="奈良屋",COUNTIF(B:B,"*奈良屋*")&gt;=2),
INDIRECT("H"&amp;R240&amp;"")
+INDIRECT("H"&amp;MATCH("*"&amp;INDIRECT("B"&amp;R240&amp;"")&amp;"*",INDIRECT("B"&amp;R240+1&amp;":B210"),0)+R240&amp;"")
+INDIRECT("H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
+INDIRECT("H"&amp;MATCH("*"&amp;INDIRECT("B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&amp;"*",INDIRECT("B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+1&amp;":B210"),0)+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,
INDIRECT("H"&amp;R240&amp;"")))),"")</f>
        <v/>
      </c>
      <c r="X240" s="176" t="str">
        <f t="array" aca="1" ref="X240" ca="1">IF($R240&lt;&gt;"",
INDIRECT(""&amp;IF(COLUMN(I240)&lt;=26,CHAR(COLUMN(I240)+64),CHAR(INT((COLUMN(I240)-1)/26)+64)&amp;CHAR(MOD(COLUMN(I240)-1,26)+65))&amp;$R240&amp;""),"")</f>
        <v/>
      </c>
      <c r="Y240" s="176" t="str">
        <f t="array" aca="1" ref="Y240" ca="1">IF($R240&lt;&gt;"",
INDIRECT(""&amp;IF(COLUMN(J240)&lt;=26,CHAR(COLUMN(J240)+64),CHAR(INT((COLUMN(J240)-1)/26)+64)&amp;CHAR(MOD(COLUMN(J240)-1,26)+65))&amp;$R240&amp;""),"")</f>
        <v/>
      </c>
      <c r="Z240" s="176" t="str">
        <f t="shared" ca="1" si="89"/>
        <v/>
      </c>
      <c r="AA240" s="176" t="str">
        <f t="shared" ca="1" si="90"/>
        <v/>
      </c>
      <c r="AB240" s="176" t="str">
        <f t="array" aca="1" ref="AB240" ca="1">IF($R240&lt;&gt;"",
IF(AND(COUNTIF(INDIRECT("B"&amp;R240&amp;""),"*雙葉*"),COUNTIF(INDIRECT("B"&amp;R240&amp;""),"&lt;&gt;*先生*"),COUNTIF(B:B,"*雙葉*")&gt;=2),
INDIRECT("M"&amp;R240&amp;"")+INDIRECT("M"&amp;MATCH("雙葉'",INDIRECT("B"&amp;R240+1&amp;":B210"),0)+R240&amp;""),
IF(AND(LEFT(INDIRECT("B"&amp;R240&amp;""),2)="博多",COUNTIF(B:B,"*博多*")&gt;=2),
INDIRECT("M"&amp;R240&amp;"")+INDIRECT("M"&amp;MATCH("*"&amp;INDIRECT("B"&amp;R240&amp;"")&amp;"*",INDIRECT("B"&amp;R240+1&amp;":B210"),0)+R240&amp;""),
IF(AND(LEFT(INDIRECT("B"&amp;R240&amp;""),3)="奈良屋",COUNTIF(B:B,"*奈良屋*")&gt;=2),
INDIRECT("M"&amp;R240&amp;"")+INDIRECT("M"&amp;MATCH("*"&amp;INDIRECT("B"&amp;R240&amp;"")&amp;"*",INDIRECT("B"&amp;R240+1&amp;":B210"),0)+R240&amp;"")
+INDIRECT("M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,
INDIRECT("M"&amp;R240&amp;"")))),"")</f>
        <v/>
      </c>
      <c r="AC240" s="176" t="str">
        <f t="shared" ca="1" si="91"/>
        <v/>
      </c>
      <c r="AD240" s="176" t="str">
        <f t="shared" ca="1" si="92"/>
        <v/>
      </c>
      <c r="AE240" s="176" t="str">
        <f t="shared" ca="1" si="93"/>
        <v/>
      </c>
      <c r="AF240" s="176" t="str">
        <f t="shared" ca="1" si="94"/>
        <v/>
      </c>
      <c r="AG240" s="176" t="str">
        <f t="shared" ca="1" si="95"/>
        <v/>
      </c>
      <c r="AH240" s="183" t="str">
        <f t="shared" ca="1" si="96"/>
        <v/>
      </c>
      <c r="AI240" s="176" t="str">
        <f t="shared" ca="1" si="97"/>
        <v/>
      </c>
      <c r="AJ240" s="176" t="str">
        <f t="shared" ca="1" si="98"/>
        <v/>
      </c>
      <c r="AK240" s="176" t="str">
        <f t="shared" ca="1" si="99"/>
        <v/>
      </c>
      <c r="AL240" s="176" t="str">
        <f t="shared" ca="1" si="100"/>
        <v/>
      </c>
      <c r="AM240" s="176" t="str">
        <f t="shared" ca="1" si="101"/>
        <v/>
      </c>
      <c r="AN240" s="176" t="str">
        <f t="shared" ca="1" si="102"/>
        <v/>
      </c>
      <c r="AO240" s="176" t="str">
        <f t="shared" ca="1" si="103"/>
        <v/>
      </c>
      <c r="AP240" s="176" t="str">
        <f t="shared" ca="1" si="104"/>
        <v/>
      </c>
      <c r="AU240" s="176" t="str">
        <f t="shared" ca="1" si="105"/>
        <v/>
      </c>
    </row>
    <row r="241" spans="1:47">
      <c r="A241" s="100" t="str">
        <f ca="1">IF(C241&lt;&gt;"",A240+1,"")</f>
        <v/>
      </c>
      <c r="B241" s="116"/>
      <c r="C241" s="117" t="str">
        <f t="array" aca="1" ref="C241" ca="1">IF(OR(INDIRECT("まとめ札!H"&amp;B239&amp;"")="",INDIRECT("まとめ札!H"&amp;B239&amp;"")=0),"",INDIRECT("まとめ札!A"&amp;B239&amp;"")&amp;"【3】")</f>
        <v/>
      </c>
      <c r="D241" s="117"/>
      <c r="E241" s="117"/>
      <c r="F241" s="189" t="str">
        <f ca="1">IF(C241&lt;&gt;"",
IF(IF(COUNTIF(C241,"*キャラ*"),
VLOOKUP("*キャラ*",商品マスタ!$D:$E,2,FALSE),
VLOOKUP("*赤*",商品マスタ!$D:$E,2,FALSE))=0,"",
IF(H241&lt;&gt;"",
IF(ROUND(
H241/IF(COUNTIF(C241,"*キャラ*"),
VLOOKUP("*キャラ*",商品マスタ!$D:$E,2,FALSE),
VLOOKUP("*赤*",商品マスタ!$D:$E,2,FALSE)),0)&lt;=0,1,
ROUND(
H241/IF(COUNTIF(C241,"*キャラ*"),
VLOOKUP("*キャラ*",商品マスタ!$D:$E,2,FALSE),
VLOOKUP("*赤*",商品マスタ!$D:$E,2,FALSE)),0)),"")),"")</f>
        <v/>
      </c>
      <c r="G241" s="118" t="str">
        <f ca="1">IF(F241&lt;&gt;"",IF(VALUE(H241)&gt;VALUE(IF(COUNTIF(C241,"*キャラ*"),
VLOOKUP("*キャラ*",商品マスタ!$D:$E,2,FALSE),
VLOOKUP("*赤*",商品マスタ!$D:$E,2,FALSE))*F241),
"+"&amp;H241-IF(COUNTIF(C241,"*キャラ*"),
VLOOKUP("*キャラ*",商品マスタ!$D:$E,2,FALSE),
VLOOKUP("*赤*",商品マスタ!$D:$E,2,FALSE))*F241,
H241-IF(COUNTIF(C241,"*キャラ*"),
VLOOKUP("*キャラ*",商品マスタ!$D:$E,2,FALSE),
VLOOKUP("*赤*",商品マスタ!$D:$E,2,FALSE))*F241),"")</f>
        <v/>
      </c>
      <c r="H241" s="116" t="str">
        <f t="array" aca="1" ref="H241" ca="1">IF(OR(INDIRECT("まとめ札!H"&amp;B239&amp;"")="",INDIRECT("まとめ札!H"&amp;B239&amp;"")=0),"",INDIRECT("まとめ札!H"&amp;B239&amp;""))</f>
        <v/>
      </c>
      <c r="I241" s="116"/>
      <c r="J241" s="116" t="str">
        <f ca="1">IF(C241&lt;&gt;"",
IF(OR(COUNTIF(C241,"*キャラ*"),COUNTIF(C241,"*赤*")),24,
VLOOKUP(C241,#REF!,6,FALSE)),"")</f>
        <v/>
      </c>
      <c r="M241" s="116"/>
      <c r="P241" s="116" t="str">
        <f t="shared" ca="1" si="108"/>
        <v/>
      </c>
      <c r="Q241" s="116" t="str">
        <f t="shared" ca="1" si="109"/>
        <v/>
      </c>
      <c r="R241" s="176" t="str">
        <f t="array" aca="1" ref="R241" ca="1">IFERROR(SMALL(IF(P$1:P$311&lt;&gt;0,P$1:P$311),ROW(A241)),"")</f>
        <v/>
      </c>
      <c r="S241" s="176" t="str">
        <f t="array" aca="1" ref="S241" ca="1">IF($R241&lt;&gt;"",
SUBSTITUTE(SUBSTITUTE(INDIRECT("C"&amp;$R241&amp;"")," 週3ｺｰｽ","")," 週5ｺｰｽ",""),"")</f>
        <v/>
      </c>
      <c r="T241" s="176" t="str">
        <f t="array" aca="1" ref="T241" ca="1">IF(IF($R241&lt;&gt;"",
INDIRECT(""&amp;IF(COLUMN(D241)&lt;=26,CHAR(COLUMN(D241)+64),CHAR(INT((COLUMN(D241)-1)/26)+64)&amp;CHAR(MOD(COLUMN(D241)-1,26)+65))&amp;$R241&amp;""),"")=0,"",
IF($R241&lt;&gt;"",
INDIRECT(""&amp;IF(COLUMN(D241)&lt;=26,CHAR(COLUMN(D241)+64),CHAR(INT((COLUMN(D241)-1)/26)+64)&amp;CHAR(MOD(COLUMN(D241)-1,26)+65))&amp;$R241&amp;""),""))</f>
        <v/>
      </c>
      <c r="U241" s="218" t="str">
        <f t="array" aca="1" ref="U241" ca="1">IF($R241&lt;&gt;"",
INDIRECT("F"&amp;$R241&amp;""),"")</f>
        <v/>
      </c>
      <c r="V241" s="219" t="str">
        <f t="array" aca="1" ref="V241" ca="1">IF($R241&lt;&gt;"",
INDIRECT("G"&amp;$R241&amp;""),"")</f>
        <v/>
      </c>
      <c r="W241" s="219" t="str" cm="1">
        <f t="array" aca="1" ref="W241" ca="1">IF($R241&lt;&gt;"",
IF(AND(COUNTIF(INDIRECT("B"&amp;R241&amp;""),"*雙葉*"),COUNTIF($B$71:$B$210,"*雙葉*")&gt;=1),
IF(OR(COUNTIF(INDIRECT("B"&amp;R241&amp;""),"*雙葉先生*"),COUNTIF(INDIRECT("B"&amp;R241-1&amp;""),"*雙葉*")),INDIRECT("H"&amp;R241&amp;""),INDIRECT("H"&amp;R241&amp;"")+INDIRECT("H"&amp;MATCH("雙葉'",INDIRECT("B"&amp;R241+3&amp;":B210"),0)+2+R241&amp;"")),
IF(AND(LEFT(INDIRECT("B"&amp;R241&amp;""),2)="博多",COUNTIF(B:B,"*博多*")&gt;=2),
INDIRECT("H"&amp;R241&amp;"")+IFERROR(INDIRECT("H"&amp;MATCH("*"&amp;INDIRECT("B"&amp;R241&amp;"")&amp;"*",INDIRECT("B"&amp;R241+1&amp;":B210"),0)+R241&amp;""),0),
IF(AND(LEFT(INDIRECT("B"&amp;R241&amp;""),3)="奈良屋",COUNTIF(B:B,"*奈良屋*")&gt;=2),
INDIRECT("H"&amp;R241&amp;"")
+INDIRECT("H"&amp;MATCH("*"&amp;INDIRECT("B"&amp;R241&amp;"")&amp;"*",INDIRECT("B"&amp;R241+1&amp;":B210"),0)+R241&amp;"")
+INDIRECT("H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
+INDIRECT("H"&amp;MATCH("*"&amp;INDIRECT("B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&amp;"*",INDIRECT("B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+1&amp;":B210"),0)+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,
INDIRECT("H"&amp;R241&amp;"")))),"")</f>
        <v/>
      </c>
      <c r="X241" s="176" t="str">
        <f t="array" aca="1" ref="X241" ca="1">IF($R241&lt;&gt;"",
INDIRECT(""&amp;IF(COLUMN(I241)&lt;=26,CHAR(COLUMN(I241)+64),CHAR(INT((COLUMN(I241)-1)/26)+64)&amp;CHAR(MOD(COLUMN(I241)-1,26)+65))&amp;$R241&amp;""),"")</f>
        <v/>
      </c>
      <c r="Y241" s="176" t="str">
        <f t="array" aca="1" ref="Y241" ca="1">IF($R241&lt;&gt;"",
INDIRECT(""&amp;IF(COLUMN(J241)&lt;=26,CHAR(COLUMN(J241)+64),CHAR(INT((COLUMN(J241)-1)/26)+64)&amp;CHAR(MOD(COLUMN(J241)-1,26)+65))&amp;$R241&amp;""),"")</f>
        <v/>
      </c>
      <c r="Z241" s="176" t="str">
        <f t="shared" ca="1" si="89"/>
        <v/>
      </c>
      <c r="AA241" s="176" t="str">
        <f t="shared" ca="1" si="90"/>
        <v/>
      </c>
      <c r="AB241" s="176" t="str">
        <f t="array" aca="1" ref="AB241" ca="1">IF($R241&lt;&gt;"",
IF(AND(COUNTIF(INDIRECT("B"&amp;R241&amp;""),"*雙葉*"),COUNTIF(INDIRECT("B"&amp;R241&amp;""),"&lt;&gt;*先生*"),COUNTIF(B:B,"*雙葉*")&gt;=2),
INDIRECT("M"&amp;R241&amp;"")+INDIRECT("M"&amp;MATCH("雙葉'",INDIRECT("B"&amp;R241+1&amp;":B210"),0)+R241&amp;""),
IF(AND(LEFT(INDIRECT("B"&amp;R241&amp;""),2)="博多",COUNTIF(B:B,"*博多*")&gt;=2),
INDIRECT("M"&amp;R241&amp;"")+INDIRECT("M"&amp;MATCH("*"&amp;INDIRECT("B"&amp;R241&amp;"")&amp;"*",INDIRECT("B"&amp;R241+1&amp;":B210"),0)+R241&amp;""),
IF(AND(LEFT(INDIRECT("B"&amp;R241&amp;""),3)="奈良屋",COUNTIF(B:B,"*奈良屋*")&gt;=2),
INDIRECT("M"&amp;R241&amp;"")+INDIRECT("M"&amp;MATCH("*"&amp;INDIRECT("B"&amp;R241&amp;"")&amp;"*",INDIRECT("B"&amp;R241+1&amp;":B210"),0)+R241&amp;"")
+INDIRECT("M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,
INDIRECT("M"&amp;R241&amp;"")))),"")</f>
        <v/>
      </c>
      <c r="AC241" s="176" t="str">
        <f t="shared" ca="1" si="91"/>
        <v/>
      </c>
      <c r="AD241" s="176" t="str">
        <f t="shared" ca="1" si="92"/>
        <v/>
      </c>
      <c r="AE241" s="176" t="str">
        <f t="shared" ca="1" si="93"/>
        <v/>
      </c>
      <c r="AF241" s="176" t="str">
        <f t="shared" ca="1" si="94"/>
        <v/>
      </c>
      <c r="AG241" s="176" t="str">
        <f t="shared" ca="1" si="95"/>
        <v/>
      </c>
      <c r="AH241" s="183" t="str">
        <f t="shared" ca="1" si="96"/>
        <v/>
      </c>
      <c r="AI241" s="176" t="str">
        <f t="shared" ca="1" si="97"/>
        <v/>
      </c>
      <c r="AJ241" s="176" t="str">
        <f t="shared" ca="1" si="98"/>
        <v/>
      </c>
      <c r="AK241" s="176" t="str">
        <f t="shared" ca="1" si="99"/>
        <v/>
      </c>
      <c r="AL241" s="176" t="str">
        <f t="shared" ca="1" si="100"/>
        <v/>
      </c>
      <c r="AM241" s="176" t="str">
        <f t="shared" ca="1" si="101"/>
        <v/>
      </c>
      <c r="AN241" s="176" t="str">
        <f t="shared" ca="1" si="102"/>
        <v/>
      </c>
      <c r="AO241" s="176" t="str">
        <f t="shared" ca="1" si="103"/>
        <v/>
      </c>
      <c r="AP241" s="176" t="str">
        <f t="shared" ca="1" si="104"/>
        <v/>
      </c>
      <c r="AU241" s="176" t="str">
        <f t="shared" ca="1" si="105"/>
        <v/>
      </c>
    </row>
    <row r="242" spans="1:47">
      <c r="A242" s="100" t="str">
        <f ca="1">IF(C242&lt;&gt;"",A241+1,"")</f>
        <v/>
      </c>
      <c r="B242" s="116"/>
      <c r="C242" s="117" t="str">
        <f t="array" aca="1" ref="C242" ca="1">IF(OR(INDIRECT("まとめ札!I"&amp;B239&amp;"")="",INDIRECT("まとめ札!I"&amp;B239&amp;"")=0),"",INDIRECT("まとめ札!A"&amp;B239&amp;"")&amp;"【4】")</f>
        <v/>
      </c>
      <c r="D242" s="117"/>
      <c r="E242" s="117"/>
      <c r="F242" s="189" t="str">
        <f ca="1">IF(C242&lt;&gt;"",
IF(IF(COUNTIF(C242,"*キャラ*"),
VLOOKUP("*キャラ*",商品マスタ!$D:$E,2,FALSE),
VLOOKUP("*赤*",商品マスタ!$D:$E,2,FALSE))=0,"",
IF(H242&lt;&gt;"",
IF(ROUND(
H242/IF(COUNTIF(C242,"*キャラ*"),
VLOOKUP("*キャラ*",商品マスタ!$D:$E,2,FALSE),
VLOOKUP("*赤*",商品マスタ!$D:$E,2,FALSE)),0)&lt;=0,1,
ROUND(
H242/IF(COUNTIF(C242,"*キャラ*"),
VLOOKUP("*キャラ*",商品マスタ!$D:$E,2,FALSE),
VLOOKUP("*赤*",商品マスタ!$D:$E,2,FALSE)),0)),"")),"")</f>
        <v/>
      </c>
      <c r="G242" s="118" t="str">
        <f ca="1">IF(F242&lt;&gt;"",IF(VALUE(H242)&gt;VALUE(IF(COUNTIF(C242,"*キャラ*"),
VLOOKUP("*キャラ*",商品マスタ!$D:$E,2,FALSE),
VLOOKUP("*赤*",商品マスタ!$D:$E,2,FALSE))*F242),
"+"&amp;H242-IF(COUNTIF(C242,"*キャラ*"),
VLOOKUP("*キャラ*",商品マスタ!$D:$E,2,FALSE),
VLOOKUP("*赤*",商品マスタ!$D:$E,2,FALSE))*F242,
H242-IF(COUNTIF(C242,"*キャラ*"),
VLOOKUP("*キャラ*",商品マスタ!$D:$E,2,FALSE),
VLOOKUP("*赤*",商品マスタ!$D:$E,2,FALSE))*F242),"")</f>
        <v/>
      </c>
      <c r="H242" s="116" t="str">
        <f t="array" aca="1" ref="H242" ca="1">IF(OR(INDIRECT("まとめ札!I"&amp;B239&amp;"")="",INDIRECT("まとめ札!I"&amp;B239&amp;"")=0),"",INDIRECT("まとめ札!I"&amp;B239&amp;""))</f>
        <v/>
      </c>
      <c r="I242" s="116"/>
      <c r="J242" s="116" t="str">
        <f ca="1">IF(C242&lt;&gt;"",
IF(OR(COUNTIF(C242,"*キャラ*"),COUNTIF(C242,"*赤*")),24,
VLOOKUP(C242,#REF!,6,FALSE)),"")</f>
        <v/>
      </c>
      <c r="M242" s="116"/>
      <c r="P242" s="116" t="str">
        <f t="shared" ca="1" si="108"/>
        <v/>
      </c>
      <c r="Q242" s="116" t="str">
        <f t="shared" ca="1" si="109"/>
        <v/>
      </c>
      <c r="R242" s="176" t="str">
        <f t="array" aca="1" ref="R242" ca="1">IFERROR(SMALL(IF(P$1:P$311&lt;&gt;0,P$1:P$311),ROW(A242)),"")</f>
        <v/>
      </c>
      <c r="S242" s="176" t="str">
        <f t="array" aca="1" ref="S242" ca="1">IF($R242&lt;&gt;"",
SUBSTITUTE(SUBSTITUTE(INDIRECT("C"&amp;$R242&amp;"")," 週3ｺｰｽ","")," 週5ｺｰｽ",""),"")</f>
        <v/>
      </c>
      <c r="T242" s="176" t="str">
        <f t="array" aca="1" ref="T242" ca="1">IF(IF($R242&lt;&gt;"",
INDIRECT(""&amp;IF(COLUMN(D242)&lt;=26,CHAR(COLUMN(D242)+64),CHAR(INT((COLUMN(D242)-1)/26)+64)&amp;CHAR(MOD(COLUMN(D242)-1,26)+65))&amp;$R242&amp;""),"")=0,"",
IF($R242&lt;&gt;"",
INDIRECT(""&amp;IF(COLUMN(D242)&lt;=26,CHAR(COLUMN(D242)+64),CHAR(INT((COLUMN(D242)-1)/26)+64)&amp;CHAR(MOD(COLUMN(D242)-1,26)+65))&amp;$R242&amp;""),""))</f>
        <v/>
      </c>
      <c r="U242" s="218" t="str">
        <f t="array" aca="1" ref="U242" ca="1">IF($R242&lt;&gt;"",
INDIRECT("F"&amp;$R242&amp;""),"")</f>
        <v/>
      </c>
      <c r="V242" s="219" t="str">
        <f t="array" aca="1" ref="V242" ca="1">IF($R242&lt;&gt;"",
INDIRECT("G"&amp;$R242&amp;""),"")</f>
        <v/>
      </c>
      <c r="W242" s="219" t="str" cm="1">
        <f t="array" aca="1" ref="W242" ca="1">IF($R242&lt;&gt;"",
IF(AND(COUNTIF(INDIRECT("B"&amp;R242&amp;""),"*雙葉*"),COUNTIF($B$71:$B$210,"*雙葉*")&gt;=1),
IF(OR(COUNTIF(INDIRECT("B"&amp;R242&amp;""),"*雙葉先生*"),COUNTIF(INDIRECT("B"&amp;R242-1&amp;""),"*雙葉*")),INDIRECT("H"&amp;R242&amp;""),INDIRECT("H"&amp;R242&amp;"")+INDIRECT("H"&amp;MATCH("雙葉'",INDIRECT("B"&amp;R242+3&amp;":B210"),0)+2+R242&amp;"")),
IF(AND(LEFT(INDIRECT("B"&amp;R242&amp;""),2)="博多",COUNTIF(B:B,"*博多*")&gt;=2),
INDIRECT("H"&amp;R242&amp;"")+IFERROR(INDIRECT("H"&amp;MATCH("*"&amp;INDIRECT("B"&amp;R242&amp;"")&amp;"*",INDIRECT("B"&amp;R242+1&amp;":B210"),0)+R242&amp;""),0),
IF(AND(LEFT(INDIRECT("B"&amp;R242&amp;""),3)="奈良屋",COUNTIF(B:B,"*奈良屋*")&gt;=2),
INDIRECT("H"&amp;R242&amp;"")
+INDIRECT("H"&amp;MATCH("*"&amp;INDIRECT("B"&amp;R242&amp;"")&amp;"*",INDIRECT("B"&amp;R242+1&amp;":B210"),0)+R242&amp;"")
+INDIRECT("H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
+INDIRECT("H"&amp;MATCH("*"&amp;INDIRECT("B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&amp;"*",INDIRECT("B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+1&amp;":B210"),0)+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,
INDIRECT("H"&amp;R242&amp;"")))),"")</f>
        <v/>
      </c>
      <c r="X242" s="176" t="str">
        <f t="array" aca="1" ref="X242" ca="1">IF($R242&lt;&gt;"",
INDIRECT(""&amp;IF(COLUMN(I242)&lt;=26,CHAR(COLUMN(I242)+64),CHAR(INT((COLUMN(I242)-1)/26)+64)&amp;CHAR(MOD(COLUMN(I242)-1,26)+65))&amp;$R242&amp;""),"")</f>
        <v/>
      </c>
      <c r="Y242" s="176" t="str">
        <f t="array" aca="1" ref="Y242" ca="1">IF($R242&lt;&gt;"",
INDIRECT(""&amp;IF(COLUMN(J242)&lt;=26,CHAR(COLUMN(J242)+64),CHAR(INT((COLUMN(J242)-1)/26)+64)&amp;CHAR(MOD(COLUMN(J242)-1,26)+65))&amp;$R242&amp;""),"")</f>
        <v/>
      </c>
      <c r="Z242" s="176" t="str">
        <f t="shared" ca="1" si="89"/>
        <v/>
      </c>
      <c r="AA242" s="176" t="str">
        <f t="shared" ca="1" si="90"/>
        <v/>
      </c>
      <c r="AB242" s="176" t="str">
        <f t="array" aca="1" ref="AB242" ca="1">IF($R242&lt;&gt;"",
IF(AND(COUNTIF(INDIRECT("B"&amp;R242&amp;""),"*雙葉*"),COUNTIF(INDIRECT("B"&amp;R242&amp;""),"&lt;&gt;*先生*"),COUNTIF(B:B,"*雙葉*")&gt;=2),
INDIRECT("M"&amp;R242&amp;"")+INDIRECT("M"&amp;MATCH("雙葉'",INDIRECT("B"&amp;R242+1&amp;":B210"),0)+R242&amp;""),
IF(AND(LEFT(INDIRECT("B"&amp;R242&amp;""),2)="博多",COUNTIF(B:B,"*博多*")&gt;=2),
INDIRECT("M"&amp;R242&amp;"")+INDIRECT("M"&amp;MATCH("*"&amp;INDIRECT("B"&amp;R242&amp;"")&amp;"*",INDIRECT("B"&amp;R242+1&amp;":B210"),0)+R242&amp;""),
IF(AND(LEFT(INDIRECT("B"&amp;R242&amp;""),3)="奈良屋",COUNTIF(B:B,"*奈良屋*")&gt;=2),
INDIRECT("M"&amp;R242&amp;"")+INDIRECT("M"&amp;MATCH("*"&amp;INDIRECT("B"&amp;R242&amp;"")&amp;"*",INDIRECT("B"&amp;R242+1&amp;":B210"),0)+R242&amp;"")
+INDIRECT("M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,
INDIRECT("M"&amp;R242&amp;"")))),"")</f>
        <v/>
      </c>
      <c r="AC242" s="176" t="str">
        <f t="shared" ca="1" si="91"/>
        <v/>
      </c>
      <c r="AD242" s="176" t="str">
        <f t="shared" ca="1" si="92"/>
        <v/>
      </c>
      <c r="AE242" s="176" t="str">
        <f t="shared" ca="1" si="93"/>
        <v/>
      </c>
      <c r="AF242" s="176" t="str">
        <f t="shared" ca="1" si="94"/>
        <v/>
      </c>
      <c r="AG242" s="176" t="str">
        <f t="shared" ca="1" si="95"/>
        <v/>
      </c>
      <c r="AH242" s="183" t="str">
        <f t="shared" ca="1" si="96"/>
        <v/>
      </c>
      <c r="AI242" s="176" t="str">
        <f t="shared" ca="1" si="97"/>
        <v/>
      </c>
      <c r="AJ242" s="176" t="str">
        <f t="shared" ca="1" si="98"/>
        <v/>
      </c>
      <c r="AK242" s="176" t="str">
        <f t="shared" ca="1" si="99"/>
        <v/>
      </c>
      <c r="AL242" s="176" t="str">
        <f t="shared" ca="1" si="100"/>
        <v/>
      </c>
      <c r="AM242" s="176" t="str">
        <f t="shared" ca="1" si="101"/>
        <v/>
      </c>
      <c r="AN242" s="176" t="str">
        <f t="shared" ca="1" si="102"/>
        <v/>
      </c>
      <c r="AO242" s="176" t="str">
        <f t="shared" ca="1" si="103"/>
        <v/>
      </c>
      <c r="AP242" s="176" t="str">
        <f t="shared" ca="1" si="104"/>
        <v/>
      </c>
      <c r="AU242" s="176" t="str">
        <f t="shared" ca="1" si="105"/>
        <v/>
      </c>
    </row>
    <row r="243" spans="1:47">
      <c r="A243" s="100">
        <f ca="1">IF(C243&lt;&gt;"",MAX($A$239:$A$242)+1,"")</f>
        <v>153</v>
      </c>
      <c r="B243" s="116">
        <v>8</v>
      </c>
      <c r="C243" s="117" t="str">
        <f t="array" aca="1" ref="C243" ca="1">IF(INDIRECT("まとめ札!A"&amp;B243&amp;"")&lt;&gt;0,INDIRECT("まとめ札!A"&amp;B243&amp;"")&amp;"【1】","")</f>
        <v>赤 飯なし【1】</v>
      </c>
      <c r="D243" s="117"/>
      <c r="E243" s="117"/>
      <c r="F243" s="189" t="e">
        <f ca="1">IF(C243&lt;&gt;"",
IF(IF(COUNTIF(C243,"*キャラ*"),
VLOOKUP("*キャラ*",商品マスタ!$D:$E,2,FALSE),
VLOOKUP("*赤*",商品マスタ!$D:$E,2,FALSE))=0,"",
IF(H243&lt;&gt;"",
IF(ROUND(
H243/IF(COUNTIF(C243,"*キャラ*"),
VLOOKUP("*キャラ*",商品マスタ!$D:$E,2,FALSE),
VLOOKUP("*赤*",商品マスタ!$D:$E,2,FALSE)),0)&lt;=0,1,
ROUND(
H243/IF(COUNTIF(C243,"*キャラ*"),
VLOOKUP("*キャラ*",商品マスタ!$D:$E,2,FALSE),
VLOOKUP("*赤*",商品マスタ!$D:$E,2,FALSE)),0)),"")),"")</f>
        <v>#N/A</v>
      </c>
      <c r="G243" s="118" t="e">
        <f ca="1">IF(F243&lt;&gt;"",IF(VALUE(H243)&gt;VALUE(IF(COUNTIF(C243,"*キャラ*"),
VLOOKUP("*キャラ*",商品マスタ!$D:$E,2,FALSE),
VLOOKUP("*赤*",商品マスタ!$D:$E,2,FALSE))*F243),
"+"&amp;H243-IF(COUNTIF(C243,"*キャラ*"),
VLOOKUP("*キャラ*",商品マスタ!$D:$E,2,FALSE),
VLOOKUP("*赤*",商品マスタ!$D:$E,2,FALSE))*F243,
H243-IF(COUNTIF(C243,"*キャラ*"),
VLOOKUP("*キャラ*",商品マスタ!$D:$E,2,FALSE),
VLOOKUP("*赤*",商品マスタ!$D:$E,2,FALSE))*F243),"")</f>
        <v>#N/A</v>
      </c>
      <c r="H243" s="116" t="e">
        <f t="array" aca="1" ref="H243" ca="1">IF(INDIRECT("まとめ札!F"&amp;B243&amp;"")&lt;&gt;0,INDIRECT("まとめ札!F"&amp;B243&amp;""),"")</f>
        <v>#N/A</v>
      </c>
      <c r="I243" s="116"/>
      <c r="J243" s="116">
        <f ca="1">IF(C243&lt;&gt;"",
IF(OR(COUNTIF(C243,"*キャラ*"),COUNTIF(C243,"*赤*")),24,
VLOOKUP(C243,#REF!,6,FALSE)),"")</f>
        <v>24</v>
      </c>
      <c r="M243" s="116"/>
      <c r="P243" s="116" t="e">
        <f t="shared" ca="1" si="108"/>
        <v>#N/A</v>
      </c>
      <c r="Q243" s="116" t="e">
        <f t="shared" ca="1" si="109"/>
        <v>#N/A</v>
      </c>
      <c r="R243" s="176" t="str">
        <f t="array" aca="1" ref="R243" ca="1">IFERROR(SMALL(IF(P$1:P$311&lt;&gt;0,P$1:P$311),ROW(A243)),"")</f>
        <v/>
      </c>
      <c r="S243" s="176" t="str">
        <f t="array" aca="1" ref="S243" ca="1">IF($R243&lt;&gt;"",
SUBSTITUTE(SUBSTITUTE(INDIRECT("C"&amp;$R243&amp;"")," 週3ｺｰｽ","")," 週5ｺｰｽ",""),"")</f>
        <v/>
      </c>
      <c r="T243" s="176" t="str">
        <f t="array" aca="1" ref="T243" ca="1">IF(IF($R243&lt;&gt;"",
INDIRECT(""&amp;IF(COLUMN(D243)&lt;=26,CHAR(COLUMN(D243)+64),CHAR(INT((COLUMN(D243)-1)/26)+64)&amp;CHAR(MOD(COLUMN(D243)-1,26)+65))&amp;$R243&amp;""),"")=0,"",
IF($R243&lt;&gt;"",
INDIRECT(""&amp;IF(COLUMN(D243)&lt;=26,CHAR(COLUMN(D243)+64),CHAR(INT((COLUMN(D243)-1)/26)+64)&amp;CHAR(MOD(COLUMN(D243)-1,26)+65))&amp;$R243&amp;""),""))</f>
        <v/>
      </c>
      <c r="U243" s="218" t="str">
        <f t="array" aca="1" ref="U243" ca="1">IF($R243&lt;&gt;"",
INDIRECT("F"&amp;$R243&amp;""),"")</f>
        <v/>
      </c>
      <c r="V243" s="219" t="str">
        <f t="array" aca="1" ref="V243" ca="1">IF($R243&lt;&gt;"",
INDIRECT("G"&amp;$R243&amp;""),"")</f>
        <v/>
      </c>
      <c r="W243" s="219" t="str" cm="1">
        <f t="array" aca="1" ref="W243" ca="1">IF($R243&lt;&gt;"",
IF(AND(COUNTIF(INDIRECT("B"&amp;R243&amp;""),"*雙葉*"),COUNTIF($B$71:$B$210,"*雙葉*")&gt;=1),
IF(OR(COUNTIF(INDIRECT("B"&amp;R243&amp;""),"*雙葉先生*"),COUNTIF(INDIRECT("B"&amp;R243-1&amp;""),"*雙葉*")),INDIRECT("H"&amp;R243&amp;""),INDIRECT("H"&amp;R243&amp;"")+INDIRECT("H"&amp;MATCH("雙葉'",INDIRECT("B"&amp;R243+3&amp;":B210"),0)+2+R243&amp;"")),
IF(AND(LEFT(INDIRECT("B"&amp;R243&amp;""),2)="博多",COUNTIF(B:B,"*博多*")&gt;=2),
INDIRECT("H"&amp;R243&amp;"")+IFERROR(INDIRECT("H"&amp;MATCH("*"&amp;INDIRECT("B"&amp;R243&amp;"")&amp;"*",INDIRECT("B"&amp;R243+1&amp;":B210"),0)+R243&amp;""),0),
IF(AND(LEFT(INDIRECT("B"&amp;R243&amp;""),3)="奈良屋",COUNTIF(B:B,"*奈良屋*")&gt;=2),
INDIRECT("H"&amp;R243&amp;"")
+INDIRECT("H"&amp;MATCH("*"&amp;INDIRECT("B"&amp;R243&amp;"")&amp;"*",INDIRECT("B"&amp;R243+1&amp;":B210"),0)+R243&amp;"")
+INDIRECT("H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
+INDIRECT("H"&amp;MATCH("*"&amp;INDIRECT("B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&amp;"*",INDIRECT("B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+1&amp;":B210"),0)+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,
INDIRECT("H"&amp;R243&amp;"")))),"")</f>
        <v/>
      </c>
      <c r="X243" s="176" t="str">
        <f t="array" aca="1" ref="X243" ca="1">IF($R243&lt;&gt;"",
INDIRECT(""&amp;IF(COLUMN(I243)&lt;=26,CHAR(COLUMN(I243)+64),CHAR(INT((COLUMN(I243)-1)/26)+64)&amp;CHAR(MOD(COLUMN(I243)-1,26)+65))&amp;$R243&amp;""),"")</f>
        <v/>
      </c>
      <c r="Y243" s="176" t="str">
        <f t="array" aca="1" ref="Y243" ca="1">IF($R243&lt;&gt;"",
INDIRECT(""&amp;IF(COLUMN(J243)&lt;=26,CHAR(COLUMN(J243)+64),CHAR(INT((COLUMN(J243)-1)/26)+64)&amp;CHAR(MOD(COLUMN(J243)-1,26)+65))&amp;$R243&amp;""),"")</f>
        <v/>
      </c>
      <c r="Z243" s="176" t="str">
        <f t="shared" ca="1" si="89"/>
        <v/>
      </c>
      <c r="AA243" s="176" t="str">
        <f t="shared" ca="1" si="90"/>
        <v/>
      </c>
      <c r="AB243" s="176" t="str">
        <f t="array" aca="1" ref="AB243" ca="1">IF($R243&lt;&gt;"",
IF(AND(COUNTIF(INDIRECT("B"&amp;R243&amp;""),"*雙葉*"),COUNTIF(INDIRECT("B"&amp;R243&amp;""),"&lt;&gt;*先生*"),COUNTIF(B:B,"*雙葉*")&gt;=2),
INDIRECT("M"&amp;R243&amp;"")+INDIRECT("M"&amp;MATCH("雙葉'",INDIRECT("B"&amp;R243+1&amp;":B210"),0)+R243&amp;""),
IF(AND(LEFT(INDIRECT("B"&amp;R243&amp;""),2)="博多",COUNTIF(B:B,"*博多*")&gt;=2),
INDIRECT("M"&amp;R243&amp;"")+INDIRECT("M"&amp;MATCH("*"&amp;INDIRECT("B"&amp;R243&amp;"")&amp;"*",INDIRECT("B"&amp;R243+1&amp;":B210"),0)+R243&amp;""),
IF(AND(LEFT(INDIRECT("B"&amp;R243&amp;""),3)="奈良屋",COUNTIF(B:B,"*奈良屋*")&gt;=2),
INDIRECT("M"&amp;R243&amp;"")+INDIRECT("M"&amp;MATCH("*"&amp;INDIRECT("B"&amp;R243&amp;"")&amp;"*",INDIRECT("B"&amp;R243+1&amp;":B210"),0)+R243&amp;"")
+INDIRECT("M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,
INDIRECT("M"&amp;R243&amp;"")))),"")</f>
        <v/>
      </c>
      <c r="AC243" s="176" t="str">
        <f t="shared" ca="1" si="91"/>
        <v/>
      </c>
      <c r="AD243" s="176" t="str">
        <f t="shared" ca="1" si="92"/>
        <v/>
      </c>
      <c r="AE243" s="176" t="str">
        <f t="shared" ca="1" si="93"/>
        <v/>
      </c>
      <c r="AF243" s="176" t="str">
        <f t="shared" ca="1" si="94"/>
        <v/>
      </c>
      <c r="AG243" s="176" t="str">
        <f t="shared" ca="1" si="95"/>
        <v/>
      </c>
      <c r="AH243" s="183" t="str">
        <f t="shared" ca="1" si="96"/>
        <v/>
      </c>
      <c r="AI243" s="176" t="str">
        <f t="shared" ca="1" si="97"/>
        <v/>
      </c>
      <c r="AJ243" s="176" t="str">
        <f t="shared" ca="1" si="98"/>
        <v/>
      </c>
      <c r="AK243" s="176" t="str">
        <f t="shared" ca="1" si="99"/>
        <v/>
      </c>
      <c r="AL243" s="176" t="str">
        <f t="shared" ca="1" si="100"/>
        <v/>
      </c>
      <c r="AM243" s="176" t="str">
        <f t="shared" ca="1" si="101"/>
        <v/>
      </c>
      <c r="AN243" s="176" t="str">
        <f t="shared" ca="1" si="102"/>
        <v/>
      </c>
      <c r="AO243" s="176" t="str">
        <f t="shared" ca="1" si="103"/>
        <v/>
      </c>
      <c r="AP243" s="176" t="str">
        <f t="shared" ca="1" si="104"/>
        <v/>
      </c>
      <c r="AU243" s="176" t="str">
        <f t="shared" ca="1" si="105"/>
        <v/>
      </c>
    </row>
    <row r="244" spans="1:47">
      <c r="A244" s="100" t="str">
        <f ca="1">IF(C244&lt;&gt;"",A243+1,"")</f>
        <v/>
      </c>
      <c r="B244" s="116"/>
      <c r="C244" s="117" t="str">
        <f t="array" aca="1" ref="C244" ca="1">IF(OR(INDIRECT("まとめ札!G"&amp;B243&amp;"")="",INDIRECT("まとめ札!G"&amp;B243&amp;"")=0),"",INDIRECT("まとめ札!A"&amp;B243&amp;"")&amp;"【2】")</f>
        <v/>
      </c>
      <c r="D244" s="117"/>
      <c r="E244" s="117"/>
      <c r="F244" s="189" t="str">
        <f ca="1">IF(C244&lt;&gt;"",
IF(IF(COUNTIF(C244,"*キャラ*"),
VLOOKUP("*キャラ*",商品マスタ!$D:$E,2,FALSE),
VLOOKUP("*赤*",商品マスタ!$D:$E,2,FALSE))=0,"",
IF(H244&lt;&gt;"",
IF(ROUND(
H244/IF(COUNTIF(C244,"*キャラ*"),
VLOOKUP("*キャラ*",商品マスタ!$D:$E,2,FALSE),
VLOOKUP("*赤*",商品マスタ!$D:$E,2,FALSE)),0)&lt;=0,1,
ROUND(
H244/IF(COUNTIF(C244,"*キャラ*"),
VLOOKUP("*キャラ*",商品マスタ!$D:$E,2,FALSE),
VLOOKUP("*赤*",商品マスタ!$D:$E,2,FALSE)),0)),"")),"")</f>
        <v/>
      </c>
      <c r="G244" s="118" t="str">
        <f ca="1">IF(F244&lt;&gt;"",IF(VALUE(H244)&gt;VALUE(IF(COUNTIF(C244,"*キャラ*"),
VLOOKUP("*キャラ*",商品マスタ!$D:$E,2,FALSE),
VLOOKUP("*赤*",商品マスタ!$D:$E,2,FALSE))*F244),
"+"&amp;H244-IF(COUNTIF(C244,"*キャラ*"),
VLOOKUP("*キャラ*",商品マスタ!$D:$E,2,FALSE),
VLOOKUP("*赤*",商品マスタ!$D:$E,2,FALSE))*F244,
H244-IF(COUNTIF(C244,"*キャラ*"),
VLOOKUP("*キャラ*",商品マスタ!$D:$E,2,FALSE),
VLOOKUP("*赤*",商品マスタ!$D:$E,2,FALSE))*F244),"")</f>
        <v/>
      </c>
      <c r="H244" s="116" t="str">
        <f t="array" aca="1" ref="H244" ca="1">IF(OR(INDIRECT("まとめ札!G"&amp;B243&amp;"")="",INDIRECT("まとめ札!G"&amp;B243&amp;"")=0),"",INDIRECT("まとめ札!G"&amp;B243&amp;""))</f>
        <v/>
      </c>
      <c r="I244" s="116"/>
      <c r="J244" s="116" t="str">
        <f ca="1">IF(C244&lt;&gt;"",
IF(OR(COUNTIF(C244,"*キャラ*"),COUNTIF(C244,"*赤*")),24,
VLOOKUP(C244,#REF!,6,FALSE)),"")</f>
        <v/>
      </c>
      <c r="M244" s="116"/>
      <c r="P244" s="116" t="str">
        <f t="shared" ca="1" si="108"/>
        <v/>
      </c>
      <c r="Q244" s="116" t="str">
        <f t="shared" ca="1" si="109"/>
        <v/>
      </c>
      <c r="R244" s="176" t="str">
        <f t="array" aca="1" ref="R244" ca="1">IFERROR(SMALL(IF(P$1:P$311&lt;&gt;0,P$1:P$311),ROW(A244)),"")</f>
        <v/>
      </c>
      <c r="S244" s="176" t="str">
        <f t="array" aca="1" ref="S244" ca="1">IF($R244&lt;&gt;"",
SUBSTITUTE(SUBSTITUTE(INDIRECT("C"&amp;$R244&amp;"")," 週3ｺｰｽ","")," 週5ｺｰｽ",""),"")</f>
        <v/>
      </c>
      <c r="T244" s="176" t="str">
        <f t="array" aca="1" ref="T244" ca="1">IF(IF($R244&lt;&gt;"",
INDIRECT(""&amp;IF(COLUMN(D244)&lt;=26,CHAR(COLUMN(D244)+64),CHAR(INT((COLUMN(D244)-1)/26)+64)&amp;CHAR(MOD(COLUMN(D244)-1,26)+65))&amp;$R244&amp;""),"")=0,"",
IF($R244&lt;&gt;"",
INDIRECT(""&amp;IF(COLUMN(D244)&lt;=26,CHAR(COLUMN(D244)+64),CHAR(INT((COLUMN(D244)-1)/26)+64)&amp;CHAR(MOD(COLUMN(D244)-1,26)+65))&amp;$R244&amp;""),""))</f>
        <v/>
      </c>
      <c r="U244" s="218" t="str">
        <f t="array" aca="1" ref="U244" ca="1">IF($R244&lt;&gt;"",
INDIRECT("F"&amp;$R244&amp;""),"")</f>
        <v/>
      </c>
      <c r="V244" s="219" t="str">
        <f t="array" aca="1" ref="V244" ca="1">IF($R244&lt;&gt;"",
INDIRECT("G"&amp;$R244&amp;""),"")</f>
        <v/>
      </c>
      <c r="W244" s="219" t="str" cm="1">
        <f t="array" aca="1" ref="W244" ca="1">IF($R244&lt;&gt;"",
IF(AND(COUNTIF(INDIRECT("B"&amp;R244&amp;""),"*雙葉*"),COUNTIF($B$71:$B$210,"*雙葉*")&gt;=1),
IF(OR(COUNTIF(INDIRECT("B"&amp;R244&amp;""),"*雙葉先生*"),COUNTIF(INDIRECT("B"&amp;R244-1&amp;""),"*雙葉*")),INDIRECT("H"&amp;R244&amp;""),INDIRECT("H"&amp;R244&amp;"")+INDIRECT("H"&amp;MATCH("雙葉'",INDIRECT("B"&amp;R244+3&amp;":B210"),0)+2+R244&amp;"")),
IF(AND(LEFT(INDIRECT("B"&amp;R244&amp;""),2)="博多",COUNTIF(B:B,"*博多*")&gt;=2),
INDIRECT("H"&amp;R244&amp;"")+IFERROR(INDIRECT("H"&amp;MATCH("*"&amp;INDIRECT("B"&amp;R244&amp;"")&amp;"*",INDIRECT("B"&amp;R244+1&amp;":B210"),0)+R244&amp;""),0),
IF(AND(LEFT(INDIRECT("B"&amp;R244&amp;""),3)="奈良屋",COUNTIF(B:B,"*奈良屋*")&gt;=2),
INDIRECT("H"&amp;R244&amp;"")
+INDIRECT("H"&amp;MATCH("*"&amp;INDIRECT("B"&amp;R244&amp;"")&amp;"*",INDIRECT("B"&amp;R244+1&amp;":B210"),0)+R244&amp;"")
+INDIRECT("H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
+INDIRECT("H"&amp;MATCH("*"&amp;INDIRECT("B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&amp;"*",INDIRECT("B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+1&amp;":B210"),0)+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,
INDIRECT("H"&amp;R244&amp;"")))),"")</f>
        <v/>
      </c>
      <c r="X244" s="176" t="str">
        <f t="array" aca="1" ref="X244" ca="1">IF($R244&lt;&gt;"",
INDIRECT(""&amp;IF(COLUMN(I244)&lt;=26,CHAR(COLUMN(I244)+64),CHAR(INT((COLUMN(I244)-1)/26)+64)&amp;CHAR(MOD(COLUMN(I244)-1,26)+65))&amp;$R244&amp;""),"")</f>
        <v/>
      </c>
      <c r="Y244" s="176" t="str">
        <f t="array" aca="1" ref="Y244" ca="1">IF($R244&lt;&gt;"",
INDIRECT(""&amp;IF(COLUMN(J244)&lt;=26,CHAR(COLUMN(J244)+64),CHAR(INT((COLUMN(J244)-1)/26)+64)&amp;CHAR(MOD(COLUMN(J244)-1,26)+65))&amp;$R244&amp;""),"")</f>
        <v/>
      </c>
      <c r="Z244" s="176" t="str">
        <f t="shared" ca="1" si="89"/>
        <v/>
      </c>
      <c r="AA244" s="176" t="str">
        <f t="shared" ca="1" si="90"/>
        <v/>
      </c>
      <c r="AB244" s="176" t="str">
        <f t="array" aca="1" ref="AB244" ca="1">IF($R244&lt;&gt;"",
IF(AND(COUNTIF(INDIRECT("B"&amp;R244&amp;""),"*雙葉*"),COUNTIF(INDIRECT("B"&amp;R244&amp;""),"&lt;&gt;*先生*"),COUNTIF(B:B,"*雙葉*")&gt;=2),
INDIRECT("M"&amp;R244&amp;"")+INDIRECT("M"&amp;MATCH("雙葉'",INDIRECT("B"&amp;R244+1&amp;":B210"),0)+R244&amp;""),
IF(AND(LEFT(INDIRECT("B"&amp;R244&amp;""),2)="博多",COUNTIF(B:B,"*博多*")&gt;=2),
INDIRECT("M"&amp;R244&amp;"")+INDIRECT("M"&amp;MATCH("*"&amp;INDIRECT("B"&amp;R244&amp;"")&amp;"*",INDIRECT("B"&amp;R244+1&amp;":B210"),0)+R244&amp;""),
IF(AND(LEFT(INDIRECT("B"&amp;R244&amp;""),3)="奈良屋",COUNTIF(B:B,"*奈良屋*")&gt;=2),
INDIRECT("M"&amp;R244&amp;"")+INDIRECT("M"&amp;MATCH("*"&amp;INDIRECT("B"&amp;R244&amp;"")&amp;"*",INDIRECT("B"&amp;R244+1&amp;":B210"),0)+R244&amp;"")
+INDIRECT("M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,
INDIRECT("M"&amp;R244&amp;"")))),"")</f>
        <v/>
      </c>
      <c r="AC244" s="176" t="str">
        <f t="shared" ca="1" si="91"/>
        <v/>
      </c>
      <c r="AD244" s="176" t="str">
        <f t="shared" ca="1" si="92"/>
        <v/>
      </c>
      <c r="AE244" s="176" t="str">
        <f t="shared" ca="1" si="93"/>
        <v/>
      </c>
      <c r="AF244" s="176" t="str">
        <f t="shared" ca="1" si="94"/>
        <v/>
      </c>
      <c r="AG244" s="176" t="str">
        <f t="shared" ca="1" si="95"/>
        <v/>
      </c>
      <c r="AH244" s="183" t="str">
        <f t="shared" ca="1" si="96"/>
        <v/>
      </c>
      <c r="AI244" s="176" t="str">
        <f t="shared" ca="1" si="97"/>
        <v/>
      </c>
      <c r="AJ244" s="176" t="str">
        <f t="shared" ca="1" si="98"/>
        <v/>
      </c>
      <c r="AK244" s="176" t="str">
        <f t="shared" ca="1" si="99"/>
        <v/>
      </c>
      <c r="AL244" s="176" t="str">
        <f t="shared" ca="1" si="100"/>
        <v/>
      </c>
      <c r="AM244" s="176" t="str">
        <f t="shared" ca="1" si="101"/>
        <v/>
      </c>
      <c r="AN244" s="176" t="str">
        <f t="shared" ca="1" si="102"/>
        <v/>
      </c>
      <c r="AO244" s="176" t="str">
        <f t="shared" ca="1" si="103"/>
        <v/>
      </c>
      <c r="AP244" s="176" t="str">
        <f t="shared" ca="1" si="104"/>
        <v/>
      </c>
      <c r="AU244" s="176" t="str">
        <f t="shared" ca="1" si="105"/>
        <v/>
      </c>
    </row>
    <row r="245" spans="1:47">
      <c r="A245" s="100" t="str">
        <f ca="1">IF(C245&lt;&gt;"",A244+1,"")</f>
        <v/>
      </c>
      <c r="B245" s="116"/>
      <c r="C245" s="117" t="str">
        <f t="array" aca="1" ref="C245" ca="1">IF(OR(INDIRECT("まとめ札!H"&amp;B243&amp;"")="",INDIRECT("まとめ札!H"&amp;B243&amp;"")=0),"",INDIRECT("まとめ札!A"&amp;B243&amp;"")&amp;"【3】")</f>
        <v/>
      </c>
      <c r="D245" s="117"/>
      <c r="E245" s="117"/>
      <c r="F245" s="189" t="str">
        <f ca="1">IF(C245&lt;&gt;"",
IF(IF(COUNTIF(C245,"*キャラ*"),
VLOOKUP("*キャラ*",商品マスタ!$D:$E,2,FALSE),
VLOOKUP("*赤*",商品マスタ!$D:$E,2,FALSE))=0,"",
IF(H245&lt;&gt;"",
IF(ROUND(
H245/IF(COUNTIF(C245,"*キャラ*"),
VLOOKUP("*キャラ*",商品マスタ!$D:$E,2,FALSE),
VLOOKUP("*赤*",商品マスタ!$D:$E,2,FALSE)),0)&lt;=0,1,
ROUND(
H245/IF(COUNTIF(C245,"*キャラ*"),
VLOOKUP("*キャラ*",商品マスタ!$D:$E,2,FALSE),
VLOOKUP("*赤*",商品マスタ!$D:$E,2,FALSE)),0)),"")),"")</f>
        <v/>
      </c>
      <c r="G245" s="118" t="str">
        <f ca="1">IF(F245&lt;&gt;"",IF(VALUE(H245)&gt;VALUE(IF(COUNTIF(C245,"*キャラ*"),
VLOOKUP("*キャラ*",商品マスタ!$D:$E,2,FALSE),
VLOOKUP("*赤*",商品マスタ!$D:$E,2,FALSE))*F245),
"+"&amp;H245-IF(COUNTIF(C245,"*キャラ*"),
VLOOKUP("*キャラ*",商品マスタ!$D:$E,2,FALSE),
VLOOKUP("*赤*",商品マスタ!$D:$E,2,FALSE))*F245,
H245-IF(COUNTIF(C245,"*キャラ*"),
VLOOKUP("*キャラ*",商品マスタ!$D:$E,2,FALSE),
VLOOKUP("*赤*",商品マスタ!$D:$E,2,FALSE))*F245),"")</f>
        <v/>
      </c>
      <c r="H245" s="116" t="str">
        <f t="array" aca="1" ref="H245" ca="1">IF(OR(INDIRECT("まとめ札!H"&amp;B243&amp;"")="",INDIRECT("まとめ札!H"&amp;B243&amp;"")=0),"",INDIRECT("まとめ札!H"&amp;B243&amp;""))</f>
        <v/>
      </c>
      <c r="I245" s="116"/>
      <c r="J245" s="116" t="str">
        <f ca="1">IF(C245&lt;&gt;"",
IF(OR(COUNTIF(C245,"*キャラ*"),COUNTIF(C245,"*赤*")),24,
VLOOKUP(C245,#REF!,6,FALSE)),"")</f>
        <v/>
      </c>
      <c r="M245" s="116"/>
      <c r="P245" s="116" t="str">
        <f t="shared" ca="1" si="108"/>
        <v/>
      </c>
      <c r="Q245" s="116" t="str">
        <f t="shared" ca="1" si="109"/>
        <v/>
      </c>
      <c r="R245" s="176" t="str">
        <f t="array" aca="1" ref="R245" ca="1">IFERROR(SMALL(IF(P$1:P$311&lt;&gt;0,P$1:P$311),ROW(A245)),"")</f>
        <v/>
      </c>
      <c r="S245" s="176" t="str">
        <f t="array" aca="1" ref="S245" ca="1">IF($R245&lt;&gt;"",
SUBSTITUTE(SUBSTITUTE(INDIRECT("C"&amp;$R245&amp;"")," 週3ｺｰｽ","")," 週5ｺｰｽ",""),"")</f>
        <v/>
      </c>
      <c r="T245" s="176" t="str">
        <f t="array" aca="1" ref="T245" ca="1">IF(IF($R245&lt;&gt;"",
INDIRECT(""&amp;IF(COLUMN(D245)&lt;=26,CHAR(COLUMN(D245)+64),CHAR(INT((COLUMN(D245)-1)/26)+64)&amp;CHAR(MOD(COLUMN(D245)-1,26)+65))&amp;$R245&amp;""),"")=0,"",
IF($R245&lt;&gt;"",
INDIRECT(""&amp;IF(COLUMN(D245)&lt;=26,CHAR(COLUMN(D245)+64),CHAR(INT((COLUMN(D245)-1)/26)+64)&amp;CHAR(MOD(COLUMN(D245)-1,26)+65))&amp;$R245&amp;""),""))</f>
        <v/>
      </c>
      <c r="U245" s="218" t="str">
        <f t="array" aca="1" ref="U245" ca="1">IF($R245&lt;&gt;"",
INDIRECT("F"&amp;$R245&amp;""),"")</f>
        <v/>
      </c>
      <c r="V245" s="219" t="str">
        <f t="array" aca="1" ref="V245" ca="1">IF($R245&lt;&gt;"",
INDIRECT("G"&amp;$R245&amp;""),"")</f>
        <v/>
      </c>
      <c r="W245" s="219" t="str" cm="1">
        <f t="array" aca="1" ref="W245" ca="1">IF($R245&lt;&gt;"",
IF(AND(COUNTIF(INDIRECT("B"&amp;R245&amp;""),"*雙葉*"),COUNTIF($B$71:$B$210,"*雙葉*")&gt;=1),
IF(OR(COUNTIF(INDIRECT("B"&amp;R245&amp;""),"*雙葉先生*"),COUNTIF(INDIRECT("B"&amp;R245-1&amp;""),"*雙葉*")),INDIRECT("H"&amp;R245&amp;""),INDIRECT("H"&amp;R245&amp;"")+INDIRECT("H"&amp;MATCH("雙葉'",INDIRECT("B"&amp;R245+3&amp;":B210"),0)+2+R245&amp;"")),
IF(AND(LEFT(INDIRECT("B"&amp;R245&amp;""),2)="博多",COUNTIF(B:B,"*博多*")&gt;=2),
INDIRECT("H"&amp;R245&amp;"")+IFERROR(INDIRECT("H"&amp;MATCH("*"&amp;INDIRECT("B"&amp;R245&amp;"")&amp;"*",INDIRECT("B"&amp;R245+1&amp;":B210"),0)+R245&amp;""),0),
IF(AND(LEFT(INDIRECT("B"&amp;R245&amp;""),3)="奈良屋",COUNTIF(B:B,"*奈良屋*")&gt;=2),
INDIRECT("H"&amp;R245&amp;"")
+INDIRECT("H"&amp;MATCH("*"&amp;INDIRECT("B"&amp;R245&amp;"")&amp;"*",INDIRECT("B"&amp;R245+1&amp;":B210"),0)+R245&amp;"")
+INDIRECT("H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
+INDIRECT("H"&amp;MATCH("*"&amp;INDIRECT("B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&amp;"*",INDIRECT("B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+1&amp;":B210"),0)+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,
INDIRECT("H"&amp;R245&amp;"")))),"")</f>
        <v/>
      </c>
      <c r="X245" s="176" t="str">
        <f t="array" aca="1" ref="X245" ca="1">IF($R245&lt;&gt;"",
INDIRECT(""&amp;IF(COLUMN(I245)&lt;=26,CHAR(COLUMN(I245)+64),CHAR(INT((COLUMN(I245)-1)/26)+64)&amp;CHAR(MOD(COLUMN(I245)-1,26)+65))&amp;$R245&amp;""),"")</f>
        <v/>
      </c>
      <c r="Y245" s="176" t="str">
        <f t="array" aca="1" ref="Y245" ca="1">IF($R245&lt;&gt;"",
INDIRECT(""&amp;IF(COLUMN(J245)&lt;=26,CHAR(COLUMN(J245)+64),CHAR(INT((COLUMN(J245)-1)/26)+64)&amp;CHAR(MOD(COLUMN(J245)-1,26)+65))&amp;$R245&amp;""),"")</f>
        <v/>
      </c>
      <c r="Z245" s="176" t="str">
        <f t="shared" ca="1" si="89"/>
        <v/>
      </c>
      <c r="AA245" s="176" t="str">
        <f t="shared" ca="1" si="90"/>
        <v/>
      </c>
      <c r="AB245" s="176" t="str">
        <f t="array" aca="1" ref="AB245" ca="1">IF($R245&lt;&gt;"",
IF(AND(COUNTIF(INDIRECT("B"&amp;R245&amp;""),"*雙葉*"),COUNTIF(INDIRECT("B"&amp;R245&amp;""),"&lt;&gt;*先生*"),COUNTIF(B:B,"*雙葉*")&gt;=2),
INDIRECT("M"&amp;R245&amp;"")+INDIRECT("M"&amp;MATCH("雙葉'",INDIRECT("B"&amp;R245+1&amp;":B210"),0)+R245&amp;""),
IF(AND(LEFT(INDIRECT("B"&amp;R245&amp;""),2)="博多",COUNTIF(B:B,"*博多*")&gt;=2),
INDIRECT("M"&amp;R245&amp;"")+INDIRECT("M"&amp;MATCH("*"&amp;INDIRECT("B"&amp;R245&amp;"")&amp;"*",INDIRECT("B"&amp;R245+1&amp;":B210"),0)+R245&amp;""),
IF(AND(LEFT(INDIRECT("B"&amp;R245&amp;""),3)="奈良屋",COUNTIF(B:B,"*奈良屋*")&gt;=2),
INDIRECT("M"&amp;R245&amp;"")+INDIRECT("M"&amp;MATCH("*"&amp;INDIRECT("B"&amp;R245&amp;"")&amp;"*",INDIRECT("B"&amp;R245+1&amp;":B210"),0)+R245&amp;"")
+INDIRECT("M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,
INDIRECT("M"&amp;R245&amp;"")))),"")</f>
        <v/>
      </c>
      <c r="AC245" s="176" t="str">
        <f t="shared" ca="1" si="91"/>
        <v/>
      </c>
      <c r="AD245" s="176" t="str">
        <f t="shared" ca="1" si="92"/>
        <v/>
      </c>
      <c r="AE245" s="176" t="str">
        <f t="shared" ca="1" si="93"/>
        <v/>
      </c>
      <c r="AF245" s="176" t="str">
        <f t="shared" ca="1" si="94"/>
        <v/>
      </c>
      <c r="AG245" s="176" t="str">
        <f t="shared" ca="1" si="95"/>
        <v/>
      </c>
      <c r="AH245" s="183" t="str">
        <f t="shared" ca="1" si="96"/>
        <v/>
      </c>
      <c r="AI245" s="176" t="str">
        <f t="shared" ca="1" si="97"/>
        <v/>
      </c>
      <c r="AJ245" s="176" t="str">
        <f t="shared" ca="1" si="98"/>
        <v/>
      </c>
      <c r="AK245" s="176" t="str">
        <f t="shared" ca="1" si="99"/>
        <v/>
      </c>
      <c r="AL245" s="176" t="str">
        <f t="shared" ca="1" si="100"/>
        <v/>
      </c>
      <c r="AM245" s="176" t="str">
        <f t="shared" ca="1" si="101"/>
        <v/>
      </c>
      <c r="AN245" s="176" t="str">
        <f t="shared" ca="1" si="102"/>
        <v/>
      </c>
      <c r="AO245" s="176" t="str">
        <f t="shared" ca="1" si="103"/>
        <v/>
      </c>
      <c r="AP245" s="176" t="str">
        <f t="shared" ca="1" si="104"/>
        <v/>
      </c>
      <c r="AU245" s="176" t="str">
        <f t="shared" ca="1" si="105"/>
        <v/>
      </c>
    </row>
    <row r="246" spans="1:47">
      <c r="A246" s="100" t="str">
        <f ca="1">IF(C246&lt;&gt;"",A245+1,"")</f>
        <v/>
      </c>
      <c r="B246" s="116"/>
      <c r="C246" s="117" t="str">
        <f t="array" aca="1" ref="C246" ca="1">IF(OR(INDIRECT("まとめ札!I"&amp;B243&amp;"")="",INDIRECT("まとめ札!I"&amp;B243&amp;"")=0),"",INDIRECT("まとめ札!A"&amp;B243&amp;"")&amp;"【4】")</f>
        <v/>
      </c>
      <c r="D246" s="117"/>
      <c r="E246" s="117"/>
      <c r="F246" s="189" t="str">
        <f ca="1">IF(C246&lt;&gt;"",
IF(IF(COUNTIF(C246,"*キャラ*"),
VLOOKUP("*キャラ*",商品マスタ!$D:$E,2,FALSE),
VLOOKUP("*赤*",商品マスタ!$D:$E,2,FALSE))=0,"",
IF(H246&lt;&gt;"",
IF(ROUND(
H246/IF(COUNTIF(C246,"*キャラ*"),
VLOOKUP("*キャラ*",商品マスタ!$D:$E,2,FALSE),
VLOOKUP("*赤*",商品マスタ!$D:$E,2,FALSE)),0)&lt;=0,1,
ROUND(
H246/IF(COUNTIF(C246,"*キャラ*"),
VLOOKUP("*キャラ*",商品マスタ!$D:$E,2,FALSE),
VLOOKUP("*赤*",商品マスタ!$D:$E,2,FALSE)),0)),"")),"")</f>
        <v/>
      </c>
      <c r="G246" s="118" t="str">
        <f ca="1">IF(F246&lt;&gt;"",IF(VALUE(H246)&gt;VALUE(IF(COUNTIF(C246,"*キャラ*"),
VLOOKUP("*キャラ*",商品マスタ!$D:$E,2,FALSE),
VLOOKUP("*赤*",商品マスタ!$D:$E,2,FALSE))*F246),
"+"&amp;H246-IF(COUNTIF(C246,"*キャラ*"),
VLOOKUP("*キャラ*",商品マスタ!$D:$E,2,FALSE),
VLOOKUP("*赤*",商品マスタ!$D:$E,2,FALSE))*F246,
H246-IF(COUNTIF(C246,"*キャラ*"),
VLOOKUP("*キャラ*",商品マスタ!$D:$E,2,FALSE),
VLOOKUP("*赤*",商品マスタ!$D:$E,2,FALSE))*F246),"")</f>
        <v/>
      </c>
      <c r="H246" s="116" t="str">
        <f t="array" aca="1" ref="H246" ca="1">IF(OR(INDIRECT("まとめ札!I"&amp;B243&amp;"")="",INDIRECT("まとめ札!I"&amp;B243&amp;"")=0),"",INDIRECT("まとめ札!I"&amp;B243&amp;""))</f>
        <v/>
      </c>
      <c r="I246" s="116"/>
      <c r="J246" s="116" t="str">
        <f ca="1">IF(C246&lt;&gt;"",
IF(OR(COUNTIF(C246,"*キャラ*"),COUNTIF(C246,"*赤*")),24,
VLOOKUP(C246,#REF!,6,FALSE)),"")</f>
        <v/>
      </c>
      <c r="M246" s="116"/>
      <c r="P246" s="116" t="str">
        <f t="shared" ca="1" si="108"/>
        <v/>
      </c>
      <c r="Q246" s="116" t="str">
        <f t="shared" ca="1" si="109"/>
        <v/>
      </c>
      <c r="R246" s="176" t="str">
        <f t="array" aca="1" ref="R246" ca="1">IFERROR(SMALL(IF(P$1:P$311&lt;&gt;0,P$1:P$311),ROW(A246)),"")</f>
        <v/>
      </c>
      <c r="S246" s="176" t="str">
        <f t="array" aca="1" ref="S246" ca="1">IF($R246&lt;&gt;"",
SUBSTITUTE(SUBSTITUTE(INDIRECT("C"&amp;$R246&amp;"")," 週3ｺｰｽ","")," 週5ｺｰｽ",""),"")</f>
        <v/>
      </c>
      <c r="T246" s="176" t="str">
        <f t="array" aca="1" ref="T246" ca="1">IF(IF($R246&lt;&gt;"",
INDIRECT(""&amp;IF(COLUMN(D246)&lt;=26,CHAR(COLUMN(D246)+64),CHAR(INT((COLUMN(D246)-1)/26)+64)&amp;CHAR(MOD(COLUMN(D246)-1,26)+65))&amp;$R246&amp;""),"")=0,"",
IF($R246&lt;&gt;"",
INDIRECT(""&amp;IF(COLUMN(D246)&lt;=26,CHAR(COLUMN(D246)+64),CHAR(INT((COLUMN(D246)-1)/26)+64)&amp;CHAR(MOD(COLUMN(D246)-1,26)+65))&amp;$R246&amp;""),""))</f>
        <v/>
      </c>
      <c r="U246" s="218" t="str">
        <f t="array" aca="1" ref="U246" ca="1">IF($R246&lt;&gt;"",
INDIRECT("F"&amp;$R246&amp;""),"")</f>
        <v/>
      </c>
      <c r="V246" s="219" t="str">
        <f t="array" aca="1" ref="V246" ca="1">IF($R246&lt;&gt;"",
INDIRECT("G"&amp;$R246&amp;""),"")</f>
        <v/>
      </c>
      <c r="W246" s="219" t="str" cm="1">
        <f t="array" aca="1" ref="W246" ca="1">IF($R246&lt;&gt;"",
IF(AND(COUNTIF(INDIRECT("B"&amp;R246&amp;""),"*雙葉*"),COUNTIF($B$71:$B$210,"*雙葉*")&gt;=1),
IF(OR(COUNTIF(INDIRECT("B"&amp;R246&amp;""),"*雙葉先生*"),COUNTIF(INDIRECT("B"&amp;R246-1&amp;""),"*雙葉*")),INDIRECT("H"&amp;R246&amp;""),INDIRECT("H"&amp;R246&amp;"")+INDIRECT("H"&amp;MATCH("雙葉'",INDIRECT("B"&amp;R246+3&amp;":B210"),0)+2+R246&amp;"")),
IF(AND(LEFT(INDIRECT("B"&amp;R246&amp;""),2)="博多",COUNTIF(B:B,"*博多*")&gt;=2),
INDIRECT("H"&amp;R246&amp;"")+IFERROR(INDIRECT("H"&amp;MATCH("*"&amp;INDIRECT("B"&amp;R246&amp;"")&amp;"*",INDIRECT("B"&amp;R246+1&amp;":B210"),0)+R246&amp;""),0),
IF(AND(LEFT(INDIRECT("B"&amp;R246&amp;""),3)="奈良屋",COUNTIF(B:B,"*奈良屋*")&gt;=2),
INDIRECT("H"&amp;R246&amp;"")
+INDIRECT("H"&amp;MATCH("*"&amp;INDIRECT("B"&amp;R246&amp;"")&amp;"*",INDIRECT("B"&amp;R246+1&amp;":B210"),0)+R246&amp;"")
+INDIRECT("H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
+INDIRECT("H"&amp;MATCH("*"&amp;INDIRECT("B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&amp;"*",INDIRECT("B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+1&amp;":B210"),0)+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,
INDIRECT("H"&amp;R246&amp;"")))),"")</f>
        <v/>
      </c>
      <c r="X246" s="176" t="str">
        <f t="array" aca="1" ref="X246" ca="1">IF($R246&lt;&gt;"",
INDIRECT(""&amp;IF(COLUMN(I246)&lt;=26,CHAR(COLUMN(I246)+64),CHAR(INT((COLUMN(I246)-1)/26)+64)&amp;CHAR(MOD(COLUMN(I246)-1,26)+65))&amp;$R246&amp;""),"")</f>
        <v/>
      </c>
      <c r="Y246" s="176" t="str">
        <f t="array" aca="1" ref="Y246" ca="1">IF($R246&lt;&gt;"",
INDIRECT(""&amp;IF(COLUMN(J246)&lt;=26,CHAR(COLUMN(J246)+64),CHAR(INT((COLUMN(J246)-1)/26)+64)&amp;CHAR(MOD(COLUMN(J246)-1,26)+65))&amp;$R246&amp;""),"")</f>
        <v/>
      </c>
      <c r="Z246" s="176" t="str">
        <f t="shared" ca="1" si="89"/>
        <v/>
      </c>
      <c r="AA246" s="176" t="str">
        <f t="shared" ca="1" si="90"/>
        <v/>
      </c>
      <c r="AB246" s="176" t="str">
        <f t="array" aca="1" ref="AB246" ca="1">IF($R246&lt;&gt;"",
IF(AND(COUNTIF(INDIRECT("B"&amp;R246&amp;""),"*雙葉*"),COUNTIF(INDIRECT("B"&amp;R246&amp;""),"&lt;&gt;*先生*"),COUNTIF(B:B,"*雙葉*")&gt;=2),
INDIRECT("M"&amp;R246&amp;"")+INDIRECT("M"&amp;MATCH("雙葉'",INDIRECT("B"&amp;R246+1&amp;":B210"),0)+R246&amp;""),
IF(AND(LEFT(INDIRECT("B"&amp;R246&amp;""),2)="博多",COUNTIF(B:B,"*博多*")&gt;=2),
INDIRECT("M"&amp;R246&amp;"")+INDIRECT("M"&amp;MATCH("*"&amp;INDIRECT("B"&amp;R246&amp;"")&amp;"*",INDIRECT("B"&amp;R246+1&amp;":B210"),0)+R246&amp;""),
IF(AND(LEFT(INDIRECT("B"&amp;R246&amp;""),3)="奈良屋",COUNTIF(B:B,"*奈良屋*")&gt;=2),
INDIRECT("M"&amp;R246&amp;"")+INDIRECT("M"&amp;MATCH("*"&amp;INDIRECT("B"&amp;R246&amp;"")&amp;"*",INDIRECT("B"&amp;R246+1&amp;":B210"),0)+R246&amp;"")
+INDIRECT("M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,
INDIRECT("M"&amp;R246&amp;"")))),"")</f>
        <v/>
      </c>
      <c r="AC246" s="176" t="str">
        <f t="shared" ca="1" si="91"/>
        <v/>
      </c>
      <c r="AD246" s="176" t="str">
        <f t="shared" ca="1" si="92"/>
        <v/>
      </c>
      <c r="AE246" s="176" t="str">
        <f t="shared" ca="1" si="93"/>
        <v/>
      </c>
      <c r="AF246" s="176" t="str">
        <f t="shared" ca="1" si="94"/>
        <v/>
      </c>
      <c r="AG246" s="176" t="str">
        <f t="shared" ca="1" si="95"/>
        <v/>
      </c>
      <c r="AH246" s="183" t="str">
        <f t="shared" ca="1" si="96"/>
        <v/>
      </c>
      <c r="AI246" s="176" t="str">
        <f t="shared" ca="1" si="97"/>
        <v/>
      </c>
      <c r="AJ246" s="176" t="str">
        <f t="shared" ca="1" si="98"/>
        <v/>
      </c>
      <c r="AK246" s="176" t="str">
        <f t="shared" ca="1" si="99"/>
        <v/>
      </c>
      <c r="AL246" s="176" t="str">
        <f t="shared" ca="1" si="100"/>
        <v/>
      </c>
      <c r="AM246" s="176" t="str">
        <f t="shared" ca="1" si="101"/>
        <v/>
      </c>
      <c r="AN246" s="176" t="str">
        <f t="shared" ca="1" si="102"/>
        <v/>
      </c>
      <c r="AO246" s="176" t="str">
        <f t="shared" ca="1" si="103"/>
        <v/>
      </c>
      <c r="AP246" s="176" t="str">
        <f t="shared" ca="1" si="104"/>
        <v/>
      </c>
      <c r="AU246" s="176" t="str">
        <f t="shared" ca="1" si="105"/>
        <v/>
      </c>
    </row>
    <row r="247" spans="1:47">
      <c r="A247" s="100">
        <f ca="1">IF(C247&lt;&gt;"",MAX($A$243:$A$246)+1,"")</f>
        <v>154</v>
      </c>
      <c r="B247" s="116">
        <v>9</v>
      </c>
      <c r="C247" s="117" t="str">
        <f t="array" aca="1" ref="C247" ca="1">IF(INDIRECT("まとめ札!A"&amp;B247&amp;"")&lt;&gt;0,INDIRECT("まとめ札!A"&amp;B247&amp;"")&amp;"【1】","")</f>
        <v>社食  【1】</v>
      </c>
      <c r="D247" s="117"/>
      <c r="E247" s="117"/>
      <c r="F247" s="189" t="str">
        <f ca="1">IF(C247&lt;&gt;"",
IF(IF(COUNTIF(C247,"*キャラ*"),
VLOOKUP("*キャラ*",商品マスタ!$D:$E,2,FALSE),
VLOOKUP("*赤*",商品マスタ!$D:$E,2,FALSE))=0,"",
IF(H247&lt;&gt;"",
IF(ROUND(
H247/IF(COUNTIF(C247,"*キャラ*"),
VLOOKUP("*キャラ*",商品マスタ!$D:$E,2,FALSE),
VLOOKUP("*赤*",商品マスタ!$D:$E,2,FALSE)),0)&lt;=0,1,
ROUND(
H247/IF(COUNTIF(C247,"*キャラ*"),
VLOOKUP("*キャラ*",商品マスタ!$D:$E,2,FALSE),
VLOOKUP("*赤*",商品マスタ!$D:$E,2,FALSE)),0)),"")),"")</f>
        <v/>
      </c>
      <c r="G247" s="118" t="str">
        <f ca="1">IF(F247&lt;&gt;"",IF(VALUE(H247)&gt;VALUE(IF(COUNTIF(C247,"*キャラ*"),
VLOOKUP("*キャラ*",商品マスタ!$D:$E,2,FALSE),
VLOOKUP("*赤*",商品マスタ!$D:$E,2,FALSE))*F247),
"+"&amp;H247-IF(COUNTIF(C247,"*キャラ*"),
VLOOKUP("*キャラ*",商品マスタ!$D:$E,2,FALSE),
VLOOKUP("*赤*",商品マスタ!$D:$E,2,FALSE))*F247,
H247-IF(COUNTIF(C247,"*キャラ*"),
VLOOKUP("*キャラ*",商品マスタ!$D:$E,2,FALSE),
VLOOKUP("*赤*",商品マスタ!$D:$E,2,FALSE))*F247),"")</f>
        <v/>
      </c>
      <c r="H247" s="116" t="str">
        <f t="array" aca="1" ref="H247" ca="1">IF(INDIRECT("まとめ札!F"&amp;B247&amp;"")&lt;&gt;0,INDIRECT("まとめ札!F"&amp;B247&amp;""),"")</f>
        <v/>
      </c>
      <c r="I247" s="116"/>
      <c r="J247" s="116"/>
      <c r="M247" s="116"/>
      <c r="P247" s="116" t="str">
        <f t="shared" ref="P247:P278" ca="1" si="110">IF(Q247&lt;&gt;"",ROW(),"")</f>
        <v/>
      </c>
      <c r="Q247" s="116" t="str">
        <f t="shared" ca="1" si="109"/>
        <v/>
      </c>
      <c r="R247" s="176" t="str">
        <f t="array" aca="1" ref="R247" ca="1">IFERROR(SMALL(IF(P$1:P$311&lt;&gt;0,P$1:P$311),ROW(A247)),"")</f>
        <v/>
      </c>
      <c r="S247" s="176" t="str">
        <f t="array" aca="1" ref="S247" ca="1">IF($R247&lt;&gt;"",
SUBSTITUTE(SUBSTITUTE(INDIRECT("C"&amp;$R247&amp;"")," 週3ｺｰｽ","")," 週5ｺｰｽ",""),"")</f>
        <v/>
      </c>
      <c r="T247" s="176" t="str">
        <f t="array" aca="1" ref="T247" ca="1">IF(IF($R247&lt;&gt;"",
INDIRECT(""&amp;IF(COLUMN(D247)&lt;=26,CHAR(COLUMN(D247)+64),CHAR(INT((COLUMN(D247)-1)/26)+64)&amp;CHAR(MOD(COLUMN(D247)-1,26)+65))&amp;$R247&amp;""),"")=0,"",
IF($R247&lt;&gt;"",
INDIRECT(""&amp;IF(COLUMN(D247)&lt;=26,CHAR(COLUMN(D247)+64),CHAR(INT((COLUMN(D247)-1)/26)+64)&amp;CHAR(MOD(COLUMN(D247)-1,26)+65))&amp;$R247&amp;""),""))</f>
        <v/>
      </c>
      <c r="U247" s="218" t="str">
        <f t="array" aca="1" ref="U247" ca="1">IF($R247&lt;&gt;"",
INDIRECT("F"&amp;$R247&amp;""),"")</f>
        <v/>
      </c>
      <c r="V247" s="219" t="str">
        <f t="array" aca="1" ref="V247" ca="1">IF($R247&lt;&gt;"",
INDIRECT("G"&amp;$R247&amp;""),"")</f>
        <v/>
      </c>
      <c r="W247" s="219" t="str" cm="1">
        <f t="array" aca="1" ref="W247" ca="1">IF($R247&lt;&gt;"",
IF(AND(COUNTIF(INDIRECT("B"&amp;R247&amp;""),"*雙葉*"),COUNTIF($B$71:$B$210,"*雙葉*")&gt;=1),
IF(OR(COUNTIF(INDIRECT("B"&amp;R247&amp;""),"*雙葉先生*"),COUNTIF(INDIRECT("B"&amp;R247-1&amp;""),"*雙葉*")),INDIRECT("H"&amp;R247&amp;""),INDIRECT("H"&amp;R247&amp;"")+INDIRECT("H"&amp;MATCH("雙葉'",INDIRECT("B"&amp;R247+3&amp;":B210"),0)+2+R247&amp;"")),
IF(AND(LEFT(INDIRECT("B"&amp;R247&amp;""),2)="博多",COUNTIF(B:B,"*博多*")&gt;=2),
INDIRECT("H"&amp;R247&amp;"")+IFERROR(INDIRECT("H"&amp;MATCH("*"&amp;INDIRECT("B"&amp;R247&amp;"")&amp;"*",INDIRECT("B"&amp;R247+1&amp;":B210"),0)+R247&amp;""),0),
IF(AND(LEFT(INDIRECT("B"&amp;R247&amp;""),3)="奈良屋",COUNTIF(B:B,"*奈良屋*")&gt;=2),
INDIRECT("H"&amp;R247&amp;"")
+INDIRECT("H"&amp;MATCH("*"&amp;INDIRECT("B"&amp;R247&amp;"")&amp;"*",INDIRECT("B"&amp;R247+1&amp;":B210"),0)+R247&amp;"")
+INDIRECT("H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
+INDIRECT("H"&amp;MATCH("*"&amp;INDIRECT("B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&amp;"*",INDIRECT("B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+1&amp;":B210"),0)+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,
INDIRECT("H"&amp;R247&amp;"")))),"")</f>
        <v/>
      </c>
      <c r="X247" s="176" t="str">
        <f t="array" aca="1" ref="X247" ca="1">IF($R247&lt;&gt;"",
INDIRECT(""&amp;IF(COLUMN(I247)&lt;=26,CHAR(COLUMN(I247)+64),CHAR(INT((COLUMN(I247)-1)/26)+64)&amp;CHAR(MOD(COLUMN(I247)-1,26)+65))&amp;$R247&amp;""),"")</f>
        <v/>
      </c>
      <c r="Y247" s="176" t="str">
        <f t="array" aca="1" ref="Y247" ca="1">IF($R247&lt;&gt;"",
INDIRECT(""&amp;IF(COLUMN(J247)&lt;=26,CHAR(COLUMN(J247)+64),CHAR(INT((COLUMN(J247)-1)/26)+64)&amp;CHAR(MOD(COLUMN(J247)-1,26)+65))&amp;$R247&amp;""),"")</f>
        <v/>
      </c>
      <c r="Z247" s="176" t="str">
        <f t="shared" ca="1" si="89"/>
        <v/>
      </c>
      <c r="AA247" s="176" t="str">
        <f t="shared" ca="1" si="90"/>
        <v/>
      </c>
      <c r="AB247" s="176" t="str">
        <f t="array" aca="1" ref="AB247" ca="1">IF($R247&lt;&gt;"",
IF(AND(COUNTIF(INDIRECT("B"&amp;R247&amp;""),"*雙葉*"),COUNTIF(INDIRECT("B"&amp;R247&amp;""),"&lt;&gt;*先生*"),COUNTIF(B:B,"*雙葉*")&gt;=2),
INDIRECT("M"&amp;R247&amp;"")+INDIRECT("M"&amp;MATCH("雙葉'",INDIRECT("B"&amp;R247+1&amp;":B210"),0)+R247&amp;""),
IF(AND(LEFT(INDIRECT("B"&amp;R247&amp;""),2)="博多",COUNTIF(B:B,"*博多*")&gt;=2),
INDIRECT("M"&amp;R247&amp;"")+INDIRECT("M"&amp;MATCH("*"&amp;INDIRECT("B"&amp;R247&amp;"")&amp;"*",INDIRECT("B"&amp;R247+1&amp;":B210"),0)+R247&amp;""),
IF(AND(LEFT(INDIRECT("B"&amp;R247&amp;""),3)="奈良屋",COUNTIF(B:B,"*奈良屋*")&gt;=2),
INDIRECT("M"&amp;R247&amp;"")+INDIRECT("M"&amp;MATCH("*"&amp;INDIRECT("B"&amp;R247&amp;"")&amp;"*",INDIRECT("B"&amp;R247+1&amp;":B210"),0)+R247&amp;"")
+INDIRECT("M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,
INDIRECT("M"&amp;R247&amp;"")))),"")</f>
        <v/>
      </c>
      <c r="AC247" s="176" t="str">
        <f t="shared" ca="1" si="91"/>
        <v/>
      </c>
      <c r="AD247" s="176" t="str">
        <f t="shared" ca="1" si="92"/>
        <v/>
      </c>
      <c r="AE247" s="176" t="str">
        <f t="shared" ca="1" si="93"/>
        <v/>
      </c>
      <c r="AF247" s="176" t="str">
        <f t="shared" ca="1" si="94"/>
        <v/>
      </c>
      <c r="AG247" s="176" t="str">
        <f t="shared" ca="1" si="95"/>
        <v/>
      </c>
      <c r="AH247" s="183" t="str">
        <f t="shared" ca="1" si="96"/>
        <v/>
      </c>
      <c r="AI247" s="176" t="str">
        <f t="shared" ca="1" si="97"/>
        <v/>
      </c>
      <c r="AJ247" s="176" t="str">
        <f t="shared" ca="1" si="98"/>
        <v/>
      </c>
      <c r="AK247" s="176" t="str">
        <f t="shared" ca="1" si="99"/>
        <v/>
      </c>
      <c r="AL247" s="176" t="str">
        <f t="shared" ca="1" si="100"/>
        <v/>
      </c>
      <c r="AM247" s="176" t="str">
        <f t="shared" ca="1" si="101"/>
        <v/>
      </c>
      <c r="AN247" s="176" t="str">
        <f t="shared" ca="1" si="102"/>
        <v/>
      </c>
      <c r="AO247" s="176" t="str">
        <f t="shared" ca="1" si="103"/>
        <v/>
      </c>
      <c r="AP247" s="176" t="str">
        <f t="shared" ca="1" si="104"/>
        <v/>
      </c>
      <c r="AU247" s="176" t="str">
        <f t="shared" ca="1" si="105"/>
        <v/>
      </c>
    </row>
    <row r="248" spans="1:47">
      <c r="A248" s="100" t="str">
        <f ca="1">IF(C248&lt;&gt;"",A247+1,"")</f>
        <v/>
      </c>
      <c r="B248" s="116"/>
      <c r="C248" s="117" t="str">
        <f t="array" aca="1" ref="C248" ca="1">IF(OR(INDIRECT("まとめ札!G"&amp;B247&amp;"")="",INDIRECT("まとめ札!G"&amp;B247&amp;"")=0),"",INDIRECT("まとめ札!A"&amp;B247&amp;"")&amp;"【2】")</f>
        <v/>
      </c>
      <c r="D248" s="117"/>
      <c r="E248" s="117"/>
      <c r="F248" s="189" t="str">
        <f ca="1">IF(C248&lt;&gt;"",
IF(IF(COUNTIF(C248,"*キャラ*"),
VLOOKUP("*キャラ*",商品マスタ!$D:$E,2,FALSE),
VLOOKUP("*赤*",商品マスタ!$D:$E,2,FALSE))=0,"",
IF(H248&lt;&gt;"",
IF(ROUND(
H248/IF(COUNTIF(C248,"*キャラ*"),
VLOOKUP("*キャラ*",商品マスタ!$D:$E,2,FALSE),
VLOOKUP("*赤*",商品マスタ!$D:$E,2,FALSE)),0)&lt;=0,1,
ROUND(
H248/IF(COUNTIF(C248,"*キャラ*"),
VLOOKUP("*キャラ*",商品マスタ!$D:$E,2,FALSE),
VLOOKUP("*赤*",商品マスタ!$D:$E,2,FALSE)),0)),"")),"")</f>
        <v/>
      </c>
      <c r="G248" s="118" t="str">
        <f ca="1">IF(F248&lt;&gt;"",IF(VALUE(H248)&gt;VALUE(IF(COUNTIF(C248,"*キャラ*"),
VLOOKUP("*キャラ*",商品マスタ!$D:$E,2,FALSE),
VLOOKUP("*赤*",商品マスタ!$D:$E,2,FALSE))*F248),
"+"&amp;H248-IF(COUNTIF(C248,"*キャラ*"),
VLOOKUP("*キャラ*",商品マスタ!$D:$E,2,FALSE),
VLOOKUP("*赤*",商品マスタ!$D:$E,2,FALSE))*F248,
H248-IF(COUNTIF(C248,"*キャラ*"),
VLOOKUP("*キャラ*",商品マスタ!$D:$E,2,FALSE),
VLOOKUP("*赤*",商品マスタ!$D:$E,2,FALSE))*F248),"")</f>
        <v/>
      </c>
      <c r="H248" s="116" t="str">
        <f t="array" aca="1" ref="H248" ca="1">IF(OR(INDIRECT("まとめ札!G"&amp;B247&amp;"")="",INDIRECT("まとめ札!G"&amp;B247&amp;"")=0),"",INDIRECT("まとめ札!G"&amp;B247&amp;""))</f>
        <v/>
      </c>
      <c r="I248" s="116"/>
      <c r="J248" s="116" t="str">
        <f ca="1">IF(C248&lt;&gt;"",
IF(OR(COUNTIF(C248,"*キャラ*"),COUNTIF(C248,"*赤*")),24,
VLOOKUP(C248,#REF!,6,FALSE)),"")</f>
        <v/>
      </c>
      <c r="M248" s="116"/>
      <c r="P248" s="116" t="str">
        <f t="shared" ca="1" si="110"/>
        <v/>
      </c>
      <c r="Q248" s="116" t="str">
        <f t="shared" ca="1" si="109"/>
        <v/>
      </c>
      <c r="R248" s="176" t="str">
        <f t="array" aca="1" ref="R248" ca="1">IFERROR(SMALL(IF(P$1:P$311&lt;&gt;0,P$1:P$311),ROW(A248)),"")</f>
        <v/>
      </c>
      <c r="S248" s="176" t="str">
        <f t="array" aca="1" ref="S248" ca="1">IF($R248&lt;&gt;"",
SUBSTITUTE(SUBSTITUTE(INDIRECT("C"&amp;$R248&amp;"")," 週3ｺｰｽ","")," 週5ｺｰｽ",""),"")</f>
        <v/>
      </c>
      <c r="T248" s="176" t="str">
        <f t="array" aca="1" ref="T248" ca="1">IF(IF($R248&lt;&gt;"",
INDIRECT(""&amp;IF(COLUMN(D248)&lt;=26,CHAR(COLUMN(D248)+64),CHAR(INT((COLUMN(D248)-1)/26)+64)&amp;CHAR(MOD(COLUMN(D248)-1,26)+65))&amp;$R248&amp;""),"")=0,"",
IF($R248&lt;&gt;"",
INDIRECT(""&amp;IF(COLUMN(D248)&lt;=26,CHAR(COLUMN(D248)+64),CHAR(INT((COLUMN(D248)-1)/26)+64)&amp;CHAR(MOD(COLUMN(D248)-1,26)+65))&amp;$R248&amp;""),""))</f>
        <v/>
      </c>
      <c r="U248" s="218" t="str">
        <f t="array" aca="1" ref="U248" ca="1">IF($R248&lt;&gt;"",
INDIRECT("F"&amp;$R248&amp;""),"")</f>
        <v/>
      </c>
      <c r="V248" s="219" t="str">
        <f t="array" aca="1" ref="V248" ca="1">IF($R248&lt;&gt;"",
INDIRECT("G"&amp;$R248&amp;""),"")</f>
        <v/>
      </c>
      <c r="W248" s="219" t="str" cm="1">
        <f t="array" aca="1" ref="W248" ca="1">IF($R248&lt;&gt;"",
IF(AND(COUNTIF(INDIRECT("B"&amp;R248&amp;""),"*雙葉*"),COUNTIF($B$71:$B$210,"*雙葉*")&gt;=1),
IF(OR(COUNTIF(INDIRECT("B"&amp;R248&amp;""),"*雙葉先生*"),COUNTIF(INDIRECT("B"&amp;R248-1&amp;""),"*雙葉*")),INDIRECT("H"&amp;R248&amp;""),INDIRECT("H"&amp;R248&amp;"")+INDIRECT("H"&amp;MATCH("雙葉'",INDIRECT("B"&amp;R248+3&amp;":B210"),0)+2+R248&amp;"")),
IF(AND(LEFT(INDIRECT("B"&amp;R248&amp;""),2)="博多",COUNTIF(B:B,"*博多*")&gt;=2),
INDIRECT("H"&amp;R248&amp;"")+IFERROR(INDIRECT("H"&amp;MATCH("*"&amp;INDIRECT("B"&amp;R248&amp;"")&amp;"*",INDIRECT("B"&amp;R248+1&amp;":B210"),0)+R248&amp;""),0),
IF(AND(LEFT(INDIRECT("B"&amp;R248&amp;""),3)="奈良屋",COUNTIF(B:B,"*奈良屋*")&gt;=2),
INDIRECT("H"&amp;R248&amp;"")
+INDIRECT("H"&amp;MATCH("*"&amp;INDIRECT("B"&amp;R248&amp;"")&amp;"*",INDIRECT("B"&amp;R248+1&amp;":B210"),0)+R248&amp;"")
+INDIRECT("H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
+INDIRECT("H"&amp;MATCH("*"&amp;INDIRECT("B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&amp;"*",INDIRECT("B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+1&amp;":B210"),0)+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,
INDIRECT("H"&amp;R248&amp;"")))),"")</f>
        <v/>
      </c>
      <c r="X248" s="176" t="str">
        <f t="array" aca="1" ref="X248" ca="1">IF($R248&lt;&gt;"",
INDIRECT(""&amp;IF(COLUMN(I248)&lt;=26,CHAR(COLUMN(I248)+64),CHAR(INT((COLUMN(I248)-1)/26)+64)&amp;CHAR(MOD(COLUMN(I248)-1,26)+65))&amp;$R248&amp;""),"")</f>
        <v/>
      </c>
      <c r="Y248" s="176" t="str">
        <f t="array" aca="1" ref="Y248" ca="1">IF($R248&lt;&gt;"",
INDIRECT(""&amp;IF(COLUMN(J248)&lt;=26,CHAR(COLUMN(J248)+64),CHAR(INT((COLUMN(J248)-1)/26)+64)&amp;CHAR(MOD(COLUMN(J248)-1,26)+65))&amp;$R248&amp;""),"")</f>
        <v/>
      </c>
      <c r="Z248" s="176" t="str">
        <f t="shared" ca="1" si="89"/>
        <v/>
      </c>
      <c r="AA248" s="176" t="str">
        <f t="shared" ca="1" si="90"/>
        <v/>
      </c>
      <c r="AB248" s="176" t="str">
        <f t="array" aca="1" ref="AB248" ca="1">IF($R248&lt;&gt;"",
IF(AND(COUNTIF(INDIRECT("B"&amp;R248&amp;""),"*雙葉*"),COUNTIF(INDIRECT("B"&amp;R248&amp;""),"&lt;&gt;*先生*"),COUNTIF(B:B,"*雙葉*")&gt;=2),
INDIRECT("M"&amp;R248&amp;"")+INDIRECT("M"&amp;MATCH("雙葉'",INDIRECT("B"&amp;R248+1&amp;":B210"),0)+R248&amp;""),
IF(AND(LEFT(INDIRECT("B"&amp;R248&amp;""),2)="博多",COUNTIF(B:B,"*博多*")&gt;=2),
INDIRECT("M"&amp;R248&amp;"")+INDIRECT("M"&amp;MATCH("*"&amp;INDIRECT("B"&amp;R248&amp;"")&amp;"*",INDIRECT("B"&amp;R248+1&amp;":B210"),0)+R248&amp;""),
IF(AND(LEFT(INDIRECT("B"&amp;R248&amp;""),3)="奈良屋",COUNTIF(B:B,"*奈良屋*")&gt;=2),
INDIRECT("M"&amp;R248&amp;"")+INDIRECT("M"&amp;MATCH("*"&amp;INDIRECT("B"&amp;R248&amp;"")&amp;"*",INDIRECT("B"&amp;R248+1&amp;":B210"),0)+R248&amp;"")
+INDIRECT("M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,
INDIRECT("M"&amp;R248&amp;"")))),"")</f>
        <v/>
      </c>
      <c r="AC248" s="176" t="str">
        <f t="shared" ca="1" si="91"/>
        <v/>
      </c>
      <c r="AD248" s="176" t="str">
        <f t="shared" ca="1" si="92"/>
        <v/>
      </c>
      <c r="AE248" s="176" t="str">
        <f t="shared" ca="1" si="93"/>
        <v/>
      </c>
      <c r="AF248" s="176" t="str">
        <f t="shared" ca="1" si="94"/>
        <v/>
      </c>
      <c r="AG248" s="176" t="str">
        <f t="shared" ca="1" si="95"/>
        <v/>
      </c>
      <c r="AH248" s="183" t="str">
        <f t="shared" ca="1" si="96"/>
        <v/>
      </c>
      <c r="AI248" s="176" t="str">
        <f t="shared" ca="1" si="97"/>
        <v/>
      </c>
      <c r="AJ248" s="176" t="str">
        <f t="shared" ca="1" si="98"/>
        <v/>
      </c>
      <c r="AK248" s="176" t="str">
        <f t="shared" ca="1" si="99"/>
        <v/>
      </c>
      <c r="AL248" s="176" t="str">
        <f t="shared" ca="1" si="100"/>
        <v/>
      </c>
      <c r="AM248" s="176" t="str">
        <f t="shared" ca="1" si="101"/>
        <v/>
      </c>
      <c r="AN248" s="176" t="str">
        <f t="shared" ca="1" si="102"/>
        <v/>
      </c>
      <c r="AO248" s="176" t="str">
        <f t="shared" ca="1" si="103"/>
        <v/>
      </c>
      <c r="AP248" s="176" t="str">
        <f t="shared" ca="1" si="104"/>
        <v/>
      </c>
      <c r="AU248" s="176" t="str">
        <f t="shared" ca="1" si="105"/>
        <v/>
      </c>
    </row>
    <row r="249" spans="1:47">
      <c r="A249" s="100" t="str">
        <f ca="1">IF(C249&lt;&gt;"",A248+1,"")</f>
        <v/>
      </c>
      <c r="B249" s="116"/>
      <c r="C249" s="117" t="str">
        <f t="array" aca="1" ref="C249" ca="1">IF(OR(INDIRECT("まとめ札!H"&amp;B247&amp;"")="",INDIRECT("まとめ札!H"&amp;B247&amp;"")=0),"",INDIRECT("まとめ札!A"&amp;B247&amp;"")&amp;"【3】")</f>
        <v/>
      </c>
      <c r="D249" s="117"/>
      <c r="E249" s="117"/>
      <c r="F249" s="189" t="str">
        <f ca="1">IF(C249&lt;&gt;"",
IF(IF(COUNTIF(C249,"*キャラ*"),
VLOOKUP("*キャラ*",商品マスタ!$D:$E,2,FALSE),
VLOOKUP("*赤*",商品マスタ!$D:$E,2,FALSE))=0,"",
IF(H249&lt;&gt;"",
IF(ROUND(
H249/IF(COUNTIF(C249,"*キャラ*"),
VLOOKUP("*キャラ*",商品マスタ!$D:$E,2,FALSE),
VLOOKUP("*赤*",商品マスタ!$D:$E,2,FALSE)),0)&lt;=0,1,
ROUND(
H249/IF(COUNTIF(C249,"*キャラ*"),
VLOOKUP("*キャラ*",商品マスタ!$D:$E,2,FALSE),
VLOOKUP("*赤*",商品マスタ!$D:$E,2,FALSE)),0)),"")),"")</f>
        <v/>
      </c>
      <c r="G249" s="118" t="str">
        <f ca="1">IF(F249&lt;&gt;"",IF(VALUE(H249)&gt;VALUE(IF(COUNTIF(C249,"*キャラ*"),
VLOOKUP("*キャラ*",商品マスタ!$D:$E,2,FALSE),
VLOOKUP("*赤*",商品マスタ!$D:$E,2,FALSE))*F249),
"+"&amp;H249-IF(COUNTIF(C249,"*キャラ*"),
VLOOKUP("*キャラ*",商品マスタ!$D:$E,2,FALSE),
VLOOKUP("*赤*",商品マスタ!$D:$E,2,FALSE))*F249,
H249-IF(COUNTIF(C249,"*キャラ*"),
VLOOKUP("*キャラ*",商品マスタ!$D:$E,2,FALSE),
VLOOKUP("*赤*",商品マスタ!$D:$E,2,FALSE))*F249),"")</f>
        <v/>
      </c>
      <c r="H249" s="116" t="str">
        <f t="array" aca="1" ref="H249" ca="1">IF(OR(INDIRECT("まとめ札!H"&amp;B247&amp;"")="",INDIRECT("まとめ札!H"&amp;B247&amp;"")=0),"",INDIRECT("まとめ札!H"&amp;B247&amp;""))</f>
        <v/>
      </c>
      <c r="I249" s="116"/>
      <c r="J249" s="116" t="str">
        <f ca="1">IF(C249&lt;&gt;"",
IF(OR(COUNTIF(C249,"*キャラ*"),COUNTIF(C249,"*赤*")),24,
VLOOKUP(C249,#REF!,6,FALSE)),"")</f>
        <v/>
      </c>
      <c r="M249" s="116"/>
      <c r="P249" s="116" t="str">
        <f t="shared" ca="1" si="110"/>
        <v/>
      </c>
      <c r="Q249" s="116" t="str">
        <f t="shared" ca="1" si="109"/>
        <v/>
      </c>
      <c r="R249" s="176" t="str">
        <f t="array" aca="1" ref="R249" ca="1">IFERROR(SMALL(IF(P$1:P$311&lt;&gt;0,P$1:P$311),ROW(A249)),"")</f>
        <v/>
      </c>
      <c r="S249" s="176" t="str">
        <f t="array" aca="1" ref="S249" ca="1">IF($R249&lt;&gt;"",
SUBSTITUTE(SUBSTITUTE(INDIRECT("C"&amp;$R249&amp;"")," 週3ｺｰｽ","")," 週5ｺｰｽ",""),"")</f>
        <v/>
      </c>
      <c r="T249" s="176" t="str">
        <f t="array" aca="1" ref="T249" ca="1">IF(IF($R249&lt;&gt;"",
INDIRECT(""&amp;IF(COLUMN(D249)&lt;=26,CHAR(COLUMN(D249)+64),CHAR(INT((COLUMN(D249)-1)/26)+64)&amp;CHAR(MOD(COLUMN(D249)-1,26)+65))&amp;$R249&amp;""),"")=0,"",
IF($R249&lt;&gt;"",
INDIRECT(""&amp;IF(COLUMN(D249)&lt;=26,CHAR(COLUMN(D249)+64),CHAR(INT((COLUMN(D249)-1)/26)+64)&amp;CHAR(MOD(COLUMN(D249)-1,26)+65))&amp;$R249&amp;""),""))</f>
        <v/>
      </c>
      <c r="U249" s="218" t="str">
        <f t="array" aca="1" ref="U249" ca="1">IF($R249&lt;&gt;"",
INDIRECT("F"&amp;$R249&amp;""),"")</f>
        <v/>
      </c>
      <c r="V249" s="219" t="str">
        <f t="array" aca="1" ref="V249" ca="1">IF($R249&lt;&gt;"",
INDIRECT("G"&amp;$R249&amp;""),"")</f>
        <v/>
      </c>
      <c r="W249" s="219" t="str" cm="1">
        <f t="array" aca="1" ref="W249" ca="1">IF($R249&lt;&gt;"",
IF(AND(COUNTIF(INDIRECT("B"&amp;R249&amp;""),"*雙葉*"),COUNTIF($B$71:$B$210,"*雙葉*")&gt;=1),
IF(OR(COUNTIF(INDIRECT("B"&amp;R249&amp;""),"*雙葉先生*"),COUNTIF(INDIRECT("B"&amp;R249-1&amp;""),"*雙葉*")),INDIRECT("H"&amp;R249&amp;""),INDIRECT("H"&amp;R249&amp;"")+INDIRECT("H"&amp;MATCH("雙葉'",INDIRECT("B"&amp;R249+3&amp;":B210"),0)+2+R249&amp;"")),
IF(AND(LEFT(INDIRECT("B"&amp;R249&amp;""),2)="博多",COUNTIF(B:B,"*博多*")&gt;=2),
INDIRECT("H"&amp;R249&amp;"")+IFERROR(INDIRECT("H"&amp;MATCH("*"&amp;INDIRECT("B"&amp;R249&amp;"")&amp;"*",INDIRECT("B"&amp;R249+1&amp;":B210"),0)+R249&amp;""),0),
IF(AND(LEFT(INDIRECT("B"&amp;R249&amp;""),3)="奈良屋",COUNTIF(B:B,"*奈良屋*")&gt;=2),
INDIRECT("H"&amp;R249&amp;"")
+INDIRECT("H"&amp;MATCH("*"&amp;INDIRECT("B"&amp;R249&amp;"")&amp;"*",INDIRECT("B"&amp;R249+1&amp;":B210"),0)+R249&amp;"")
+INDIRECT("H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
+INDIRECT("H"&amp;MATCH("*"&amp;INDIRECT("B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&amp;"*",INDIRECT("B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+1&amp;":B210"),0)+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,
INDIRECT("H"&amp;R249&amp;"")))),"")</f>
        <v/>
      </c>
      <c r="X249" s="176" t="str">
        <f t="array" aca="1" ref="X249" ca="1">IF($R249&lt;&gt;"",
INDIRECT(""&amp;IF(COLUMN(I249)&lt;=26,CHAR(COLUMN(I249)+64),CHAR(INT((COLUMN(I249)-1)/26)+64)&amp;CHAR(MOD(COLUMN(I249)-1,26)+65))&amp;$R249&amp;""),"")</f>
        <v/>
      </c>
      <c r="Y249" s="176" t="str">
        <f t="array" aca="1" ref="Y249" ca="1">IF($R249&lt;&gt;"",
INDIRECT(""&amp;IF(COLUMN(J249)&lt;=26,CHAR(COLUMN(J249)+64),CHAR(INT((COLUMN(J249)-1)/26)+64)&amp;CHAR(MOD(COLUMN(J249)-1,26)+65))&amp;$R249&amp;""),"")</f>
        <v/>
      </c>
      <c r="Z249" s="176" t="str">
        <f t="shared" ca="1" si="89"/>
        <v/>
      </c>
      <c r="AA249" s="176" t="str">
        <f t="shared" ca="1" si="90"/>
        <v/>
      </c>
      <c r="AB249" s="176" t="str">
        <f t="array" aca="1" ref="AB249" ca="1">IF($R249&lt;&gt;"",
IF(AND(COUNTIF(INDIRECT("B"&amp;R249&amp;""),"*雙葉*"),COUNTIF(INDIRECT("B"&amp;R249&amp;""),"&lt;&gt;*先生*"),COUNTIF(B:B,"*雙葉*")&gt;=2),
INDIRECT("M"&amp;R249&amp;"")+INDIRECT("M"&amp;MATCH("雙葉'",INDIRECT("B"&amp;R249+1&amp;":B210"),0)+R249&amp;""),
IF(AND(LEFT(INDIRECT("B"&amp;R249&amp;""),2)="博多",COUNTIF(B:B,"*博多*")&gt;=2),
INDIRECT("M"&amp;R249&amp;"")+INDIRECT("M"&amp;MATCH("*"&amp;INDIRECT("B"&amp;R249&amp;"")&amp;"*",INDIRECT("B"&amp;R249+1&amp;":B210"),0)+R249&amp;""),
IF(AND(LEFT(INDIRECT("B"&amp;R249&amp;""),3)="奈良屋",COUNTIF(B:B,"*奈良屋*")&gt;=2),
INDIRECT("M"&amp;R249&amp;"")+INDIRECT("M"&amp;MATCH("*"&amp;INDIRECT("B"&amp;R249&amp;"")&amp;"*",INDIRECT("B"&amp;R249+1&amp;":B210"),0)+R249&amp;"")
+INDIRECT("M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,
INDIRECT("M"&amp;R249&amp;"")))),"")</f>
        <v/>
      </c>
      <c r="AC249" s="176" t="str">
        <f t="shared" ca="1" si="91"/>
        <v/>
      </c>
      <c r="AD249" s="176" t="str">
        <f t="shared" ca="1" si="92"/>
        <v/>
      </c>
      <c r="AE249" s="176" t="str">
        <f t="shared" ca="1" si="93"/>
        <v/>
      </c>
      <c r="AF249" s="176" t="str">
        <f t="shared" ca="1" si="94"/>
        <v/>
      </c>
      <c r="AG249" s="176" t="str">
        <f t="shared" ca="1" si="95"/>
        <v/>
      </c>
      <c r="AH249" s="183" t="str">
        <f t="shared" ca="1" si="96"/>
        <v/>
      </c>
      <c r="AI249" s="176" t="str">
        <f t="shared" ca="1" si="97"/>
        <v/>
      </c>
      <c r="AJ249" s="176" t="str">
        <f t="shared" ca="1" si="98"/>
        <v/>
      </c>
      <c r="AK249" s="176" t="str">
        <f t="shared" ca="1" si="99"/>
        <v/>
      </c>
      <c r="AL249" s="176" t="str">
        <f t="shared" ca="1" si="100"/>
        <v/>
      </c>
      <c r="AM249" s="176" t="str">
        <f t="shared" ca="1" si="101"/>
        <v/>
      </c>
      <c r="AN249" s="176" t="str">
        <f t="shared" ca="1" si="102"/>
        <v/>
      </c>
      <c r="AO249" s="176" t="str">
        <f t="shared" ca="1" si="103"/>
        <v/>
      </c>
      <c r="AP249" s="176" t="str">
        <f t="shared" ca="1" si="104"/>
        <v/>
      </c>
      <c r="AU249" s="176" t="str">
        <f t="shared" ca="1" si="105"/>
        <v/>
      </c>
    </row>
    <row r="250" spans="1:47">
      <c r="A250" s="100" t="str">
        <f ca="1">IF(C250&lt;&gt;"",A249+1,"")</f>
        <v/>
      </c>
      <c r="B250" s="116"/>
      <c r="C250" s="117" t="str">
        <f t="array" aca="1" ref="C250" ca="1">IF(OR(INDIRECT("まとめ札!I"&amp;B247&amp;"")="",INDIRECT("まとめ札!I"&amp;B247&amp;"")=0),"",INDIRECT("まとめ札!A"&amp;B247&amp;"")&amp;"【4】")</f>
        <v/>
      </c>
      <c r="D250" s="117"/>
      <c r="E250" s="117"/>
      <c r="F250" s="189" t="str">
        <f ca="1">IF(C250&lt;&gt;"",
IF(IF(COUNTIF(C250,"*キャラ*"),
VLOOKUP("*キャラ*",商品マスタ!$D:$E,2,FALSE),
VLOOKUP("*赤*",商品マスタ!$D:$E,2,FALSE))=0,"",
IF(H250&lt;&gt;"",
IF(ROUND(
H250/IF(COUNTIF(C250,"*キャラ*"),
VLOOKUP("*キャラ*",商品マスタ!$D:$E,2,FALSE),
VLOOKUP("*赤*",商品マスタ!$D:$E,2,FALSE)),0)&lt;=0,1,
ROUND(
H250/IF(COUNTIF(C250,"*キャラ*"),
VLOOKUP("*キャラ*",商品マスタ!$D:$E,2,FALSE),
VLOOKUP("*赤*",商品マスタ!$D:$E,2,FALSE)),0)),"")),"")</f>
        <v/>
      </c>
      <c r="G250" s="118" t="str">
        <f ca="1">IF(F250&lt;&gt;"",IF(VALUE(H250)&gt;VALUE(IF(COUNTIF(C250,"*キャラ*"),
VLOOKUP("*キャラ*",商品マスタ!$D:$E,2,FALSE),
VLOOKUP("*赤*",商品マスタ!$D:$E,2,FALSE))*F250),
"+"&amp;H250-IF(COUNTIF(C250,"*キャラ*"),
VLOOKUP("*キャラ*",商品マスタ!$D:$E,2,FALSE),
VLOOKUP("*赤*",商品マスタ!$D:$E,2,FALSE))*F250,
H250-IF(COUNTIF(C250,"*キャラ*"),
VLOOKUP("*キャラ*",商品マスタ!$D:$E,2,FALSE),
VLOOKUP("*赤*",商品マスタ!$D:$E,2,FALSE))*F250),"")</f>
        <v/>
      </c>
      <c r="H250" s="116" t="str">
        <f t="array" aca="1" ref="H250" ca="1">IF(OR(INDIRECT("まとめ札!I"&amp;B247&amp;"")="",INDIRECT("まとめ札!I"&amp;B247&amp;"")=0),"",INDIRECT("まとめ札!I"&amp;B247&amp;""))</f>
        <v/>
      </c>
      <c r="I250" s="116"/>
      <c r="J250" s="116" t="str">
        <f ca="1">IF(C250&lt;&gt;"",
IF(OR(COUNTIF(C250,"*キャラ*"),COUNTIF(C250,"*赤*")),24,
VLOOKUP(C250,#REF!,6,FALSE)),"")</f>
        <v/>
      </c>
      <c r="M250" s="116"/>
      <c r="P250" s="116" t="str">
        <f t="shared" ca="1" si="110"/>
        <v/>
      </c>
      <c r="Q250" s="116" t="str">
        <f t="shared" ca="1" si="109"/>
        <v/>
      </c>
      <c r="R250" s="176" t="str">
        <f t="array" aca="1" ref="R250" ca="1">IFERROR(SMALL(IF(P$1:P$311&lt;&gt;0,P$1:P$311),ROW(A250)),"")</f>
        <v/>
      </c>
      <c r="S250" s="176" t="str">
        <f t="array" aca="1" ref="S250" ca="1">IF($R250&lt;&gt;"",
SUBSTITUTE(SUBSTITUTE(INDIRECT("C"&amp;$R250&amp;"")," 週3ｺｰｽ","")," 週5ｺｰｽ",""),"")</f>
        <v/>
      </c>
      <c r="T250" s="176" t="str">
        <f t="array" aca="1" ref="T250" ca="1">IF(IF($R250&lt;&gt;"",
INDIRECT(""&amp;IF(COLUMN(D250)&lt;=26,CHAR(COLUMN(D250)+64),CHAR(INT((COLUMN(D250)-1)/26)+64)&amp;CHAR(MOD(COLUMN(D250)-1,26)+65))&amp;$R250&amp;""),"")=0,"",
IF($R250&lt;&gt;"",
INDIRECT(""&amp;IF(COLUMN(D250)&lt;=26,CHAR(COLUMN(D250)+64),CHAR(INT((COLUMN(D250)-1)/26)+64)&amp;CHAR(MOD(COLUMN(D250)-1,26)+65))&amp;$R250&amp;""),""))</f>
        <v/>
      </c>
      <c r="U250" s="218" t="str">
        <f t="array" aca="1" ref="U250" ca="1">IF($R250&lt;&gt;"",
INDIRECT("F"&amp;$R250&amp;""),"")</f>
        <v/>
      </c>
      <c r="V250" s="219" t="str">
        <f t="array" aca="1" ref="V250" ca="1">IF($R250&lt;&gt;"",
INDIRECT("G"&amp;$R250&amp;""),"")</f>
        <v/>
      </c>
      <c r="W250" s="219" t="str" cm="1">
        <f t="array" aca="1" ref="W250" ca="1">IF($R250&lt;&gt;"",
IF(AND(COUNTIF(INDIRECT("B"&amp;R250&amp;""),"*雙葉*"),COUNTIF($B$71:$B$210,"*雙葉*")&gt;=1),
IF(OR(COUNTIF(INDIRECT("B"&amp;R250&amp;""),"*雙葉先生*"),COUNTIF(INDIRECT("B"&amp;R250-1&amp;""),"*雙葉*")),INDIRECT("H"&amp;R250&amp;""),INDIRECT("H"&amp;R250&amp;"")+INDIRECT("H"&amp;MATCH("雙葉'",INDIRECT("B"&amp;R250+3&amp;":B210"),0)+2+R250&amp;"")),
IF(AND(LEFT(INDIRECT("B"&amp;R250&amp;""),2)="博多",COUNTIF(B:B,"*博多*")&gt;=2),
INDIRECT("H"&amp;R250&amp;"")+IFERROR(INDIRECT("H"&amp;MATCH("*"&amp;INDIRECT("B"&amp;R250&amp;"")&amp;"*",INDIRECT("B"&amp;R250+1&amp;":B210"),0)+R250&amp;""),0),
IF(AND(LEFT(INDIRECT("B"&amp;R250&amp;""),3)="奈良屋",COUNTIF(B:B,"*奈良屋*")&gt;=2),
INDIRECT("H"&amp;R250&amp;"")
+INDIRECT("H"&amp;MATCH("*"&amp;INDIRECT("B"&amp;R250&amp;"")&amp;"*",INDIRECT("B"&amp;R250+1&amp;":B210"),0)+R250&amp;"")
+INDIRECT("H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
+INDIRECT("H"&amp;MATCH("*"&amp;INDIRECT("B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&amp;"*",INDIRECT("B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+1&amp;":B210"),0)+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,
INDIRECT("H"&amp;R250&amp;"")))),"")</f>
        <v/>
      </c>
      <c r="X250" s="176" t="str">
        <f t="array" aca="1" ref="X250" ca="1">IF($R250&lt;&gt;"",
INDIRECT(""&amp;IF(COLUMN(I250)&lt;=26,CHAR(COLUMN(I250)+64),CHAR(INT((COLUMN(I250)-1)/26)+64)&amp;CHAR(MOD(COLUMN(I250)-1,26)+65))&amp;$R250&amp;""),"")</f>
        <v/>
      </c>
      <c r="Y250" s="176" t="str">
        <f t="array" aca="1" ref="Y250" ca="1">IF($R250&lt;&gt;"",
INDIRECT(""&amp;IF(COLUMN(J250)&lt;=26,CHAR(COLUMN(J250)+64),CHAR(INT((COLUMN(J250)-1)/26)+64)&amp;CHAR(MOD(COLUMN(J250)-1,26)+65))&amp;$R250&amp;""),"")</f>
        <v/>
      </c>
      <c r="Z250" s="176" t="str">
        <f t="shared" ca="1" si="89"/>
        <v/>
      </c>
      <c r="AA250" s="176" t="str">
        <f t="shared" ca="1" si="90"/>
        <v/>
      </c>
      <c r="AB250" s="176" t="str">
        <f t="array" aca="1" ref="AB250" ca="1">IF($R250&lt;&gt;"",
IF(AND(COUNTIF(INDIRECT("B"&amp;R250&amp;""),"*雙葉*"),COUNTIF(INDIRECT("B"&amp;R250&amp;""),"&lt;&gt;*先生*"),COUNTIF(B:B,"*雙葉*")&gt;=2),
INDIRECT("M"&amp;R250&amp;"")+INDIRECT("M"&amp;MATCH("雙葉'",INDIRECT("B"&amp;R250+1&amp;":B210"),0)+R250&amp;""),
IF(AND(LEFT(INDIRECT("B"&amp;R250&amp;""),2)="博多",COUNTIF(B:B,"*博多*")&gt;=2),
INDIRECT("M"&amp;R250&amp;"")+INDIRECT("M"&amp;MATCH("*"&amp;INDIRECT("B"&amp;R250&amp;"")&amp;"*",INDIRECT("B"&amp;R250+1&amp;":B210"),0)+R250&amp;""),
IF(AND(LEFT(INDIRECT("B"&amp;R250&amp;""),3)="奈良屋",COUNTIF(B:B,"*奈良屋*")&gt;=2),
INDIRECT("M"&amp;R250&amp;"")+INDIRECT("M"&amp;MATCH("*"&amp;INDIRECT("B"&amp;R250&amp;"")&amp;"*",INDIRECT("B"&amp;R250+1&amp;":B210"),0)+R250&amp;"")
+INDIRECT("M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,
INDIRECT("M"&amp;R250&amp;"")))),"")</f>
        <v/>
      </c>
      <c r="AC250" s="176" t="str">
        <f t="shared" ca="1" si="91"/>
        <v/>
      </c>
      <c r="AD250" s="176" t="str">
        <f t="shared" ca="1" si="92"/>
        <v/>
      </c>
      <c r="AE250" s="176" t="str">
        <f t="shared" ca="1" si="93"/>
        <v/>
      </c>
      <c r="AF250" s="176" t="str">
        <f t="shared" ca="1" si="94"/>
        <v/>
      </c>
      <c r="AG250" s="176" t="str">
        <f t="shared" ca="1" si="95"/>
        <v/>
      </c>
      <c r="AH250" s="183" t="str">
        <f t="shared" ca="1" si="96"/>
        <v/>
      </c>
      <c r="AI250" s="176" t="str">
        <f t="shared" ca="1" si="97"/>
        <v/>
      </c>
      <c r="AJ250" s="176" t="str">
        <f t="shared" ca="1" si="98"/>
        <v/>
      </c>
      <c r="AK250" s="176" t="str">
        <f t="shared" ca="1" si="99"/>
        <v/>
      </c>
      <c r="AL250" s="176" t="str">
        <f t="shared" ca="1" si="100"/>
        <v/>
      </c>
      <c r="AM250" s="176" t="str">
        <f t="shared" ca="1" si="101"/>
        <v/>
      </c>
      <c r="AN250" s="176" t="str">
        <f t="shared" ca="1" si="102"/>
        <v/>
      </c>
      <c r="AO250" s="176" t="str">
        <f t="shared" ca="1" si="103"/>
        <v/>
      </c>
      <c r="AP250" s="176" t="str">
        <f t="shared" ca="1" si="104"/>
        <v/>
      </c>
      <c r="AU250" s="176" t="str">
        <f t="shared" ca="1" si="105"/>
        <v/>
      </c>
    </row>
    <row r="251" spans="1:47">
      <c r="A251" s="100" t="str">
        <f ca="1">IF(C251&lt;&gt;"",MATCH("*"&amp;LEFT(C251,4)&amp;"*",数出表_Excel!A:A,0),"")</f>
        <v/>
      </c>
      <c r="B251" s="106"/>
      <c r="C251" s="119" t="str">
        <f ca="1">先生札!R1</f>
        <v/>
      </c>
      <c r="D251" s="119" t="str">
        <f ca="1">先生札!S1</f>
        <v/>
      </c>
      <c r="E251" s="106"/>
      <c r="F251" s="106" t="str">
        <f>""</f>
        <v/>
      </c>
      <c r="G251" s="106" t="str">
        <f>""</f>
        <v/>
      </c>
      <c r="H251" s="106" t="str">
        <f ca="1">先生札!T1</f>
        <v/>
      </c>
      <c r="I251" s="106" t="str">
        <f>""</f>
        <v/>
      </c>
      <c r="J251" s="177" t="str">
        <f ca="1">IF(C251&lt;&gt;"",
VLOOKUP(
"*"&amp;LEFT(IF(COUNTIF(D251,"*学食*"),"キャラ弁（学食）",
IF(COUNTIF(D251,"*赤*"),"赤",
IF(COUNTIF(D251,"*キャラ弁当*"),"キャラ弁当",D251))),4)&amp;"*",注文弁当の抽出!$F$1:$G$15,2,FALSE),"")</f>
        <v/>
      </c>
      <c r="M251" s="106"/>
      <c r="P251" s="106" t="str">
        <f t="shared" ca="1" si="110"/>
        <v/>
      </c>
      <c r="Q251" s="106" t="str">
        <f t="shared" ca="1" si="109"/>
        <v/>
      </c>
      <c r="R251" s="176" t="str">
        <f t="array" aca="1" ref="R251" ca="1">IFERROR(SMALL(IF(P$1:P$311&lt;&gt;0,P$1:P$311),ROW(A251)),"")</f>
        <v/>
      </c>
      <c r="S251" s="176" t="str">
        <f t="array" aca="1" ref="S251" ca="1">IF($R251&lt;&gt;"",
SUBSTITUTE(SUBSTITUTE(INDIRECT("C"&amp;$R251&amp;"")," 週3ｺｰｽ","")," 週5ｺｰｽ",""),"")</f>
        <v/>
      </c>
      <c r="T251" s="176" t="str">
        <f t="array" aca="1" ref="T251" ca="1">IF(IF($R251&lt;&gt;"",
INDIRECT(""&amp;IF(COLUMN(D251)&lt;=26,CHAR(COLUMN(D251)+64),CHAR(INT((COLUMN(D251)-1)/26)+64)&amp;CHAR(MOD(COLUMN(D251)-1,26)+65))&amp;$R251&amp;""),"")=0,"",
IF($R251&lt;&gt;"",
INDIRECT(""&amp;IF(COLUMN(D251)&lt;=26,CHAR(COLUMN(D251)+64),CHAR(INT((COLUMN(D251)-1)/26)+64)&amp;CHAR(MOD(COLUMN(D251)-1,26)+65))&amp;$R251&amp;""),""))</f>
        <v/>
      </c>
      <c r="U251" s="218" t="str">
        <f t="array" aca="1" ref="U251" ca="1">IF($R251&lt;&gt;"",
INDIRECT("F"&amp;$R251&amp;""),"")</f>
        <v/>
      </c>
      <c r="V251" s="219" t="str">
        <f t="array" aca="1" ref="V251" ca="1">IF($R251&lt;&gt;"",
INDIRECT("G"&amp;$R251&amp;""),"")</f>
        <v/>
      </c>
      <c r="W251" s="219" t="str" cm="1">
        <f t="array" aca="1" ref="W251" ca="1">IF($R251&lt;&gt;"",
IF(AND(COUNTIF(INDIRECT("B"&amp;R251&amp;""),"*雙葉*"),COUNTIF($B$71:$B$210,"*雙葉*")&gt;=1),
IF(OR(COUNTIF(INDIRECT("B"&amp;R251&amp;""),"*雙葉先生*"),COUNTIF(INDIRECT("B"&amp;R251-1&amp;""),"*雙葉*")),INDIRECT("H"&amp;R251&amp;""),INDIRECT("H"&amp;R251&amp;"")+INDIRECT("H"&amp;MATCH("雙葉'",INDIRECT("B"&amp;R251+3&amp;":B210"),0)+2+R251&amp;"")),
IF(AND(LEFT(INDIRECT("B"&amp;R251&amp;""),2)="博多",COUNTIF(B:B,"*博多*")&gt;=2),
INDIRECT("H"&amp;R251&amp;"")+IFERROR(INDIRECT("H"&amp;MATCH("*"&amp;INDIRECT("B"&amp;R251&amp;"")&amp;"*",INDIRECT("B"&amp;R251+1&amp;":B210"),0)+R251&amp;""),0),
IF(AND(LEFT(INDIRECT("B"&amp;R251&amp;""),3)="奈良屋",COUNTIF(B:B,"*奈良屋*")&gt;=2),
INDIRECT("H"&amp;R251&amp;"")
+INDIRECT("H"&amp;MATCH("*"&amp;INDIRECT("B"&amp;R251&amp;"")&amp;"*",INDIRECT("B"&amp;R251+1&amp;":B210"),0)+R251&amp;"")
+INDIRECT("H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
+INDIRECT("H"&amp;MATCH("*"&amp;INDIRECT("B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&amp;"*",INDIRECT("B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+1&amp;":B210"),0)+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,
INDIRECT("H"&amp;R251&amp;"")))),"")</f>
        <v/>
      </c>
      <c r="X251" s="176" t="str">
        <f t="array" aca="1" ref="X251" ca="1">IF($R251&lt;&gt;"",
INDIRECT(""&amp;IF(COLUMN(I251)&lt;=26,CHAR(COLUMN(I251)+64),CHAR(INT((COLUMN(I251)-1)/26)+64)&amp;CHAR(MOD(COLUMN(I251)-1,26)+65))&amp;$R251&amp;""),"")</f>
        <v/>
      </c>
      <c r="Y251" s="176" t="str">
        <f t="array" aca="1" ref="Y251" ca="1">IF($R251&lt;&gt;"",
INDIRECT(""&amp;IF(COLUMN(J251)&lt;=26,CHAR(COLUMN(J251)+64),CHAR(INT((COLUMN(J251)-1)/26)+64)&amp;CHAR(MOD(COLUMN(J251)-1,26)+65))&amp;$R251&amp;""),"")</f>
        <v/>
      </c>
      <c r="Z251" s="176" t="str">
        <f t="shared" ca="1" si="89"/>
        <v/>
      </c>
      <c r="AA251" s="176" t="str">
        <f t="shared" ca="1" si="90"/>
        <v/>
      </c>
      <c r="AB251" s="176" t="str">
        <f t="array" aca="1" ref="AB251" ca="1">IF($R251&lt;&gt;"",
IF(AND(COUNTIF(INDIRECT("B"&amp;R251&amp;""),"*雙葉*"),COUNTIF(INDIRECT("B"&amp;R251&amp;""),"&lt;&gt;*先生*"),COUNTIF(B:B,"*雙葉*")&gt;=2),
INDIRECT("M"&amp;R251&amp;"")+INDIRECT("M"&amp;MATCH("雙葉'",INDIRECT("B"&amp;R251+1&amp;":B210"),0)+R251&amp;""),
IF(AND(LEFT(INDIRECT("B"&amp;R251&amp;""),2)="博多",COUNTIF(B:B,"*博多*")&gt;=2),
INDIRECT("M"&amp;R251&amp;"")+INDIRECT("M"&amp;MATCH("*"&amp;INDIRECT("B"&amp;R251&amp;"")&amp;"*",INDIRECT("B"&amp;R251+1&amp;":B210"),0)+R251&amp;""),
IF(AND(LEFT(INDIRECT("B"&amp;R251&amp;""),3)="奈良屋",COUNTIF(B:B,"*奈良屋*")&gt;=2),
INDIRECT("M"&amp;R251&amp;"")+INDIRECT("M"&amp;MATCH("*"&amp;INDIRECT("B"&amp;R251&amp;"")&amp;"*",INDIRECT("B"&amp;R251+1&amp;":B210"),0)+R251&amp;"")
+INDIRECT("M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,
INDIRECT("M"&amp;R251&amp;"")))),"")</f>
        <v/>
      </c>
      <c r="AC251" s="176" t="str">
        <f t="shared" ca="1" si="91"/>
        <v/>
      </c>
      <c r="AD251" s="176" t="str">
        <f t="shared" ca="1" si="92"/>
        <v/>
      </c>
      <c r="AE251" s="176" t="str">
        <f t="shared" ca="1" si="93"/>
        <v/>
      </c>
      <c r="AF251" s="176" t="str">
        <f t="shared" ca="1" si="94"/>
        <v/>
      </c>
      <c r="AG251" s="176" t="str">
        <f t="shared" ca="1" si="95"/>
        <v/>
      </c>
      <c r="AH251" s="183" t="str">
        <f t="shared" ca="1" si="96"/>
        <v/>
      </c>
      <c r="AI251" s="176" t="str">
        <f t="shared" ca="1" si="97"/>
        <v/>
      </c>
      <c r="AJ251" s="176" t="str">
        <f t="shared" ca="1" si="98"/>
        <v/>
      </c>
      <c r="AK251" s="176" t="str">
        <f t="shared" ca="1" si="99"/>
        <v/>
      </c>
      <c r="AL251" s="176" t="str">
        <f t="shared" ca="1" si="100"/>
        <v/>
      </c>
      <c r="AM251" s="176" t="str">
        <f t="shared" ca="1" si="101"/>
        <v/>
      </c>
      <c r="AN251" s="176" t="str">
        <f t="shared" ca="1" si="102"/>
        <v/>
      </c>
      <c r="AO251" s="176" t="str">
        <f t="shared" ca="1" si="103"/>
        <v/>
      </c>
      <c r="AP251" s="176" t="str">
        <f t="shared" ca="1" si="104"/>
        <v/>
      </c>
      <c r="AU251" s="176" t="str">
        <f t="shared" ca="1" si="105"/>
        <v/>
      </c>
    </row>
    <row r="252" spans="1:47">
      <c r="A252" s="100" t="str">
        <f ca="1">IF(C252&lt;&gt;"",MATCH("*"&amp;LEFT(C252,4)&amp;"*",数出表_Excel!A:A,0),"")</f>
        <v/>
      </c>
      <c r="B252" s="106"/>
      <c r="C252" s="119" t="str">
        <f ca="1">先生札!R2</f>
        <v/>
      </c>
      <c r="D252" s="119" t="str">
        <f ca="1">先生札!S2</f>
        <v/>
      </c>
      <c r="E252" s="106"/>
      <c r="F252" s="106" t="str">
        <f>""</f>
        <v/>
      </c>
      <c r="G252" s="106" t="str">
        <f>""</f>
        <v/>
      </c>
      <c r="H252" s="106" t="str">
        <f ca="1">先生札!T2</f>
        <v/>
      </c>
      <c r="I252" s="106" t="str">
        <f>""</f>
        <v/>
      </c>
      <c r="J252" s="177" t="str">
        <f ca="1">IF(C252&lt;&gt;"",
VLOOKUP(
"*"&amp;LEFT(IF(COUNTIF(D252,"*学食*"),"キャラ弁（学食）",
IF(COUNTIF(D252,"*赤*"),"赤",
IF(COUNTIF(D252,"*キャラ弁当*"),"キャラ弁当",D252))),4)&amp;"*",注文弁当の抽出!$F$1:$G$15,2,FALSE),"")</f>
        <v/>
      </c>
      <c r="M252" s="106"/>
      <c r="P252" s="106" t="str">
        <f t="shared" ca="1" si="110"/>
        <v/>
      </c>
      <c r="Q252" s="106" t="str">
        <f t="shared" ca="1" si="109"/>
        <v/>
      </c>
      <c r="R252" s="176" t="str">
        <f t="array" aca="1" ref="R252" ca="1">IFERROR(SMALL(IF(P$1:P$311&lt;&gt;0,P$1:P$311),ROW(A252)),"")</f>
        <v/>
      </c>
      <c r="S252" s="176" t="str">
        <f t="array" aca="1" ref="S252" ca="1">IF($R252&lt;&gt;"",
SUBSTITUTE(SUBSTITUTE(INDIRECT("C"&amp;$R252&amp;"")," 週3ｺｰｽ","")," 週5ｺｰｽ",""),"")</f>
        <v/>
      </c>
      <c r="T252" s="176" t="str">
        <f t="array" aca="1" ref="T252" ca="1">IF(IF($R252&lt;&gt;"",
INDIRECT(""&amp;IF(COLUMN(D252)&lt;=26,CHAR(COLUMN(D252)+64),CHAR(INT((COLUMN(D252)-1)/26)+64)&amp;CHAR(MOD(COLUMN(D252)-1,26)+65))&amp;$R252&amp;""),"")=0,"",
IF($R252&lt;&gt;"",
INDIRECT(""&amp;IF(COLUMN(D252)&lt;=26,CHAR(COLUMN(D252)+64),CHAR(INT((COLUMN(D252)-1)/26)+64)&amp;CHAR(MOD(COLUMN(D252)-1,26)+65))&amp;$R252&amp;""),""))</f>
        <v/>
      </c>
      <c r="U252" s="218" t="str">
        <f t="array" aca="1" ref="U252" ca="1">IF($R252&lt;&gt;"",
INDIRECT("F"&amp;$R252&amp;""),"")</f>
        <v/>
      </c>
      <c r="V252" s="219" t="str">
        <f t="array" aca="1" ref="V252" ca="1">IF($R252&lt;&gt;"",
INDIRECT("G"&amp;$R252&amp;""),"")</f>
        <v/>
      </c>
      <c r="W252" s="219" t="str" cm="1">
        <f t="array" aca="1" ref="W252" ca="1">IF($R252&lt;&gt;"",
IF(AND(COUNTIF(INDIRECT("B"&amp;R252&amp;""),"*雙葉*"),COUNTIF($B$71:$B$210,"*雙葉*")&gt;=1),
IF(OR(COUNTIF(INDIRECT("B"&amp;R252&amp;""),"*雙葉先生*"),COUNTIF(INDIRECT("B"&amp;R252-1&amp;""),"*雙葉*")),INDIRECT("H"&amp;R252&amp;""),INDIRECT("H"&amp;R252&amp;"")+INDIRECT("H"&amp;MATCH("雙葉'",INDIRECT("B"&amp;R252+3&amp;":B210"),0)+2+R252&amp;"")),
IF(AND(LEFT(INDIRECT("B"&amp;R252&amp;""),2)="博多",COUNTIF(B:B,"*博多*")&gt;=2),
INDIRECT("H"&amp;R252&amp;"")+IFERROR(INDIRECT("H"&amp;MATCH("*"&amp;INDIRECT("B"&amp;R252&amp;"")&amp;"*",INDIRECT("B"&amp;R252+1&amp;":B210"),0)+R252&amp;""),0),
IF(AND(LEFT(INDIRECT("B"&amp;R252&amp;""),3)="奈良屋",COUNTIF(B:B,"*奈良屋*")&gt;=2),
INDIRECT("H"&amp;R252&amp;"")
+INDIRECT("H"&amp;MATCH("*"&amp;INDIRECT("B"&amp;R252&amp;"")&amp;"*",INDIRECT("B"&amp;R252+1&amp;":B210"),0)+R252&amp;"")
+INDIRECT("H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
+INDIRECT("H"&amp;MATCH("*"&amp;INDIRECT("B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&amp;"*",INDIRECT("B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+1&amp;":B210"),0)+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,
INDIRECT("H"&amp;R252&amp;"")))),"")</f>
        <v/>
      </c>
      <c r="X252" s="176" t="str">
        <f t="array" aca="1" ref="X252" ca="1">IF($R252&lt;&gt;"",
INDIRECT(""&amp;IF(COLUMN(I252)&lt;=26,CHAR(COLUMN(I252)+64),CHAR(INT((COLUMN(I252)-1)/26)+64)&amp;CHAR(MOD(COLUMN(I252)-1,26)+65))&amp;$R252&amp;""),"")</f>
        <v/>
      </c>
      <c r="Y252" s="176" t="str">
        <f t="array" aca="1" ref="Y252" ca="1">IF($R252&lt;&gt;"",
INDIRECT(""&amp;IF(COLUMN(J252)&lt;=26,CHAR(COLUMN(J252)+64),CHAR(INT((COLUMN(J252)-1)/26)+64)&amp;CHAR(MOD(COLUMN(J252)-1,26)+65))&amp;$R252&amp;""),"")</f>
        <v/>
      </c>
      <c r="Z252" s="176" t="str">
        <f t="shared" ca="1" si="89"/>
        <v/>
      </c>
      <c r="AA252" s="176" t="str">
        <f t="shared" ca="1" si="90"/>
        <v/>
      </c>
      <c r="AB252" s="176" t="str">
        <f t="array" aca="1" ref="AB252" ca="1">IF($R252&lt;&gt;"",
IF(AND(COUNTIF(INDIRECT("B"&amp;R252&amp;""),"*雙葉*"),COUNTIF(INDIRECT("B"&amp;R252&amp;""),"&lt;&gt;*先生*"),COUNTIF(B:B,"*雙葉*")&gt;=2),
INDIRECT("M"&amp;R252&amp;"")+INDIRECT("M"&amp;MATCH("雙葉'",INDIRECT("B"&amp;R252+1&amp;":B210"),0)+R252&amp;""),
IF(AND(LEFT(INDIRECT("B"&amp;R252&amp;""),2)="博多",COUNTIF(B:B,"*博多*")&gt;=2),
INDIRECT("M"&amp;R252&amp;"")+INDIRECT("M"&amp;MATCH("*"&amp;INDIRECT("B"&amp;R252&amp;"")&amp;"*",INDIRECT("B"&amp;R252+1&amp;":B210"),0)+R252&amp;""),
IF(AND(LEFT(INDIRECT("B"&amp;R252&amp;""),3)="奈良屋",COUNTIF(B:B,"*奈良屋*")&gt;=2),
INDIRECT("M"&amp;R252&amp;"")+INDIRECT("M"&amp;MATCH("*"&amp;INDIRECT("B"&amp;R252&amp;"")&amp;"*",INDIRECT("B"&amp;R252+1&amp;":B210"),0)+R252&amp;"")
+INDIRECT("M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,
INDIRECT("M"&amp;R252&amp;"")))),"")</f>
        <v/>
      </c>
      <c r="AC252" s="176" t="str">
        <f t="shared" ca="1" si="91"/>
        <v/>
      </c>
      <c r="AD252" s="176" t="str">
        <f t="shared" ca="1" si="92"/>
        <v/>
      </c>
      <c r="AE252" s="176" t="str">
        <f t="shared" ca="1" si="93"/>
        <v/>
      </c>
      <c r="AF252" s="176" t="str">
        <f t="shared" ca="1" si="94"/>
        <v/>
      </c>
      <c r="AG252" s="176" t="str">
        <f t="shared" ca="1" si="95"/>
        <v/>
      </c>
      <c r="AH252" s="183" t="str">
        <f t="shared" ca="1" si="96"/>
        <v/>
      </c>
      <c r="AI252" s="176" t="str">
        <f t="shared" ca="1" si="97"/>
        <v/>
      </c>
      <c r="AJ252" s="176" t="str">
        <f t="shared" ca="1" si="98"/>
        <v/>
      </c>
      <c r="AK252" s="176" t="str">
        <f t="shared" ca="1" si="99"/>
        <v/>
      </c>
      <c r="AL252" s="176" t="str">
        <f t="shared" ca="1" si="100"/>
        <v/>
      </c>
      <c r="AM252" s="176" t="str">
        <f t="shared" ca="1" si="101"/>
        <v/>
      </c>
      <c r="AN252" s="176" t="str">
        <f t="shared" ca="1" si="102"/>
        <v/>
      </c>
      <c r="AO252" s="176" t="str">
        <f t="shared" ca="1" si="103"/>
        <v/>
      </c>
      <c r="AP252" s="176" t="str">
        <f t="shared" ca="1" si="104"/>
        <v/>
      </c>
      <c r="AU252" s="176" t="str">
        <f t="shared" ca="1" si="105"/>
        <v/>
      </c>
    </row>
    <row r="253" spans="1:47">
      <c r="A253" s="100" t="str">
        <f ca="1">IF(C253&lt;&gt;"",MATCH("*"&amp;LEFT(C253,4)&amp;"*",数出表_Excel!A:A,0),"")</f>
        <v/>
      </c>
      <c r="B253" s="106"/>
      <c r="C253" s="119" t="str">
        <f ca="1">先生札!R3</f>
        <v/>
      </c>
      <c r="D253" s="119" t="str">
        <f ca="1">先生札!S3</f>
        <v/>
      </c>
      <c r="E253" s="106"/>
      <c r="F253" s="106" t="str">
        <f>""</f>
        <v/>
      </c>
      <c r="G253" s="106" t="str">
        <f>""</f>
        <v/>
      </c>
      <c r="H253" s="106" t="str">
        <f ca="1">先生札!T3</f>
        <v/>
      </c>
      <c r="I253" s="106" t="str">
        <f>""</f>
        <v/>
      </c>
      <c r="J253" s="177" t="str">
        <f ca="1">IF(C253&lt;&gt;"",
VLOOKUP(
"*"&amp;LEFT(IF(COUNTIF(D253,"*学食*"),"キャラ弁（学食）",
IF(COUNTIF(D253,"*赤*"),"赤",
IF(COUNTIF(D253,"*キャラ弁当*"),"キャラ弁当",D253))),4)&amp;"*",注文弁当の抽出!$F$1:$G$15,2,FALSE),"")</f>
        <v/>
      </c>
      <c r="M253" s="106"/>
      <c r="P253" s="106" t="str">
        <f t="shared" ca="1" si="110"/>
        <v/>
      </c>
      <c r="Q253" s="106" t="str">
        <f t="shared" ca="1" si="109"/>
        <v/>
      </c>
      <c r="R253" s="176" t="str">
        <f t="array" aca="1" ref="R253" ca="1">IFERROR(SMALL(IF(P$1:P$311&lt;&gt;0,P$1:P$311),ROW(A253)),"")</f>
        <v/>
      </c>
      <c r="S253" s="176" t="str">
        <f t="array" aca="1" ref="S253" ca="1">IF($R253&lt;&gt;"",
SUBSTITUTE(SUBSTITUTE(INDIRECT("C"&amp;$R253&amp;"")," 週3ｺｰｽ","")," 週5ｺｰｽ",""),"")</f>
        <v/>
      </c>
      <c r="T253" s="176" t="str">
        <f t="array" aca="1" ref="T253" ca="1">IF(IF($R253&lt;&gt;"",
INDIRECT(""&amp;IF(COLUMN(D253)&lt;=26,CHAR(COLUMN(D253)+64),CHAR(INT((COLUMN(D253)-1)/26)+64)&amp;CHAR(MOD(COLUMN(D253)-1,26)+65))&amp;$R253&amp;""),"")=0,"",
IF($R253&lt;&gt;"",
INDIRECT(""&amp;IF(COLUMN(D253)&lt;=26,CHAR(COLUMN(D253)+64),CHAR(INT((COLUMN(D253)-1)/26)+64)&amp;CHAR(MOD(COLUMN(D253)-1,26)+65))&amp;$R253&amp;""),""))</f>
        <v/>
      </c>
      <c r="U253" s="218" t="str">
        <f t="array" aca="1" ref="U253" ca="1">IF($R253&lt;&gt;"",
INDIRECT("F"&amp;$R253&amp;""),"")</f>
        <v/>
      </c>
      <c r="V253" s="219" t="str">
        <f t="array" aca="1" ref="V253" ca="1">IF($R253&lt;&gt;"",
INDIRECT("G"&amp;$R253&amp;""),"")</f>
        <v/>
      </c>
      <c r="W253" s="219" t="str" cm="1">
        <f t="array" aca="1" ref="W253" ca="1">IF($R253&lt;&gt;"",
IF(AND(COUNTIF(INDIRECT("B"&amp;R253&amp;""),"*雙葉*"),COUNTIF($B$71:$B$210,"*雙葉*")&gt;=1),
IF(OR(COUNTIF(INDIRECT("B"&amp;R253&amp;""),"*雙葉先生*"),COUNTIF(INDIRECT("B"&amp;R253-1&amp;""),"*雙葉*")),INDIRECT("H"&amp;R253&amp;""),INDIRECT("H"&amp;R253&amp;"")+INDIRECT("H"&amp;MATCH("雙葉'",INDIRECT("B"&amp;R253+3&amp;":B210"),0)+2+R253&amp;"")),
IF(AND(LEFT(INDIRECT("B"&amp;R253&amp;""),2)="博多",COUNTIF(B:B,"*博多*")&gt;=2),
INDIRECT("H"&amp;R253&amp;"")+IFERROR(INDIRECT("H"&amp;MATCH("*"&amp;INDIRECT("B"&amp;R253&amp;"")&amp;"*",INDIRECT("B"&amp;R253+1&amp;":B210"),0)+R253&amp;""),0),
IF(AND(LEFT(INDIRECT("B"&amp;R253&amp;""),3)="奈良屋",COUNTIF(B:B,"*奈良屋*")&gt;=2),
INDIRECT("H"&amp;R253&amp;"")
+INDIRECT("H"&amp;MATCH("*"&amp;INDIRECT("B"&amp;R253&amp;"")&amp;"*",INDIRECT("B"&amp;R253+1&amp;":B210"),0)+R253&amp;"")
+INDIRECT("H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
+INDIRECT("H"&amp;MATCH("*"&amp;INDIRECT("B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&amp;"*",INDIRECT("B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+1&amp;":B210"),0)+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,
INDIRECT("H"&amp;R253&amp;"")))),"")</f>
        <v/>
      </c>
      <c r="X253" s="176" t="str">
        <f t="array" aca="1" ref="X253" ca="1">IF($R253&lt;&gt;"",
INDIRECT(""&amp;IF(COLUMN(I253)&lt;=26,CHAR(COLUMN(I253)+64),CHAR(INT((COLUMN(I253)-1)/26)+64)&amp;CHAR(MOD(COLUMN(I253)-1,26)+65))&amp;$R253&amp;""),"")</f>
        <v/>
      </c>
      <c r="Y253" s="176" t="str">
        <f t="array" aca="1" ref="Y253" ca="1">IF($R253&lt;&gt;"",
INDIRECT(""&amp;IF(COLUMN(J253)&lt;=26,CHAR(COLUMN(J253)+64),CHAR(INT((COLUMN(J253)-1)/26)+64)&amp;CHAR(MOD(COLUMN(J253)-1,26)+65))&amp;$R253&amp;""),"")</f>
        <v/>
      </c>
      <c r="Z253" s="176" t="str">
        <f t="shared" ca="1" si="89"/>
        <v/>
      </c>
      <c r="AA253" s="176" t="str">
        <f t="shared" ca="1" si="90"/>
        <v/>
      </c>
      <c r="AB253" s="176" t="str">
        <f t="array" aca="1" ref="AB253" ca="1">IF($R253&lt;&gt;"",
IF(AND(COUNTIF(INDIRECT("B"&amp;R253&amp;""),"*雙葉*"),COUNTIF(INDIRECT("B"&amp;R253&amp;""),"&lt;&gt;*先生*"),COUNTIF(B:B,"*雙葉*")&gt;=2),
INDIRECT("M"&amp;R253&amp;"")+INDIRECT("M"&amp;MATCH("雙葉'",INDIRECT("B"&amp;R253+1&amp;":B210"),0)+R253&amp;""),
IF(AND(LEFT(INDIRECT("B"&amp;R253&amp;""),2)="博多",COUNTIF(B:B,"*博多*")&gt;=2),
INDIRECT("M"&amp;R253&amp;"")+INDIRECT("M"&amp;MATCH("*"&amp;INDIRECT("B"&amp;R253&amp;"")&amp;"*",INDIRECT("B"&amp;R253+1&amp;":B210"),0)+R253&amp;""),
IF(AND(LEFT(INDIRECT("B"&amp;R253&amp;""),3)="奈良屋",COUNTIF(B:B,"*奈良屋*")&gt;=2),
INDIRECT("M"&amp;R253&amp;"")+INDIRECT("M"&amp;MATCH("*"&amp;INDIRECT("B"&amp;R253&amp;"")&amp;"*",INDIRECT("B"&amp;R253+1&amp;":B210"),0)+R253&amp;"")
+INDIRECT("M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,
INDIRECT("M"&amp;R253&amp;"")))),"")</f>
        <v/>
      </c>
      <c r="AC253" s="176" t="str">
        <f t="shared" ca="1" si="91"/>
        <v/>
      </c>
      <c r="AD253" s="176" t="str">
        <f t="shared" ca="1" si="92"/>
        <v/>
      </c>
      <c r="AE253" s="176" t="str">
        <f t="shared" ca="1" si="93"/>
        <v/>
      </c>
      <c r="AF253" s="176" t="str">
        <f t="shared" ca="1" si="94"/>
        <v/>
      </c>
      <c r="AG253" s="176" t="str">
        <f t="shared" ca="1" si="95"/>
        <v/>
      </c>
      <c r="AH253" s="183" t="str">
        <f t="shared" ca="1" si="96"/>
        <v/>
      </c>
      <c r="AI253" s="176" t="str">
        <f t="shared" ca="1" si="97"/>
        <v/>
      </c>
      <c r="AJ253" s="176" t="str">
        <f t="shared" ca="1" si="98"/>
        <v/>
      </c>
      <c r="AK253" s="176" t="str">
        <f t="shared" ca="1" si="99"/>
        <v/>
      </c>
      <c r="AL253" s="176" t="str">
        <f t="shared" ca="1" si="100"/>
        <v/>
      </c>
      <c r="AM253" s="176" t="str">
        <f t="shared" ca="1" si="101"/>
        <v/>
      </c>
      <c r="AN253" s="176" t="str">
        <f t="shared" ca="1" si="102"/>
        <v/>
      </c>
      <c r="AO253" s="176" t="str">
        <f t="shared" ca="1" si="103"/>
        <v/>
      </c>
      <c r="AP253" s="176" t="str">
        <f t="shared" ca="1" si="104"/>
        <v/>
      </c>
      <c r="AU253" s="176" t="str">
        <f t="shared" ca="1" si="105"/>
        <v/>
      </c>
    </row>
    <row r="254" spans="1:47">
      <c r="A254" s="100" t="str">
        <f ca="1">IF(C254&lt;&gt;"",MATCH("*"&amp;LEFT(C254,4)&amp;"*",数出表_Excel!A:A,0),"")</f>
        <v/>
      </c>
      <c r="B254" s="106"/>
      <c r="C254" s="119" t="str">
        <f ca="1">先生札!R4</f>
        <v/>
      </c>
      <c r="D254" s="119" t="str">
        <f ca="1">先生札!S4</f>
        <v/>
      </c>
      <c r="E254" s="106"/>
      <c r="F254" s="106" t="str">
        <f>""</f>
        <v/>
      </c>
      <c r="G254" s="106" t="str">
        <f>""</f>
        <v/>
      </c>
      <c r="H254" s="106" t="str">
        <f ca="1">先生札!T4</f>
        <v/>
      </c>
      <c r="I254" s="106" t="str">
        <f>""</f>
        <v/>
      </c>
      <c r="J254" s="177" t="str">
        <f ca="1">IF(C254&lt;&gt;"",
VLOOKUP(
"*"&amp;LEFT(IF(COUNTIF(D254,"*学食*"),"キャラ弁（学食）",
IF(COUNTIF(D254,"*赤*"),"赤",
IF(COUNTIF(D254,"*キャラ弁当*"),"キャラ弁当",D254))),4)&amp;"*",注文弁当の抽出!$F$1:$G$15,2,FALSE),"")</f>
        <v/>
      </c>
      <c r="M254" s="106"/>
      <c r="P254" s="106" t="str">
        <f t="shared" ca="1" si="110"/>
        <v/>
      </c>
      <c r="Q254" s="106" t="str">
        <f t="shared" ca="1" si="109"/>
        <v/>
      </c>
      <c r="R254" s="176" t="str">
        <f t="array" aca="1" ref="R254" ca="1">IFERROR(SMALL(IF(P$1:P$311&lt;&gt;0,P$1:P$311),ROW(A254)),"")</f>
        <v/>
      </c>
      <c r="S254" s="176" t="str">
        <f t="array" aca="1" ref="S254" ca="1">IF($R254&lt;&gt;"",
SUBSTITUTE(SUBSTITUTE(INDIRECT("C"&amp;$R254&amp;"")," 週3ｺｰｽ","")," 週5ｺｰｽ",""),"")</f>
        <v/>
      </c>
      <c r="T254" s="176" t="str">
        <f t="array" aca="1" ref="T254" ca="1">IF(IF($R254&lt;&gt;"",
INDIRECT(""&amp;IF(COLUMN(D254)&lt;=26,CHAR(COLUMN(D254)+64),CHAR(INT((COLUMN(D254)-1)/26)+64)&amp;CHAR(MOD(COLUMN(D254)-1,26)+65))&amp;$R254&amp;""),"")=0,"",
IF($R254&lt;&gt;"",
INDIRECT(""&amp;IF(COLUMN(D254)&lt;=26,CHAR(COLUMN(D254)+64),CHAR(INT((COLUMN(D254)-1)/26)+64)&amp;CHAR(MOD(COLUMN(D254)-1,26)+65))&amp;$R254&amp;""),""))</f>
        <v/>
      </c>
      <c r="U254" s="218" t="str">
        <f t="array" aca="1" ref="U254" ca="1">IF($R254&lt;&gt;"",
INDIRECT("F"&amp;$R254&amp;""),"")</f>
        <v/>
      </c>
      <c r="V254" s="219" t="str">
        <f t="array" aca="1" ref="V254" ca="1">IF($R254&lt;&gt;"",
INDIRECT("G"&amp;$R254&amp;""),"")</f>
        <v/>
      </c>
      <c r="W254" s="219" t="str" cm="1">
        <f t="array" aca="1" ref="W254" ca="1">IF($R254&lt;&gt;"",
IF(AND(COUNTIF(INDIRECT("B"&amp;R254&amp;""),"*雙葉*"),COUNTIF($B$71:$B$210,"*雙葉*")&gt;=1),
IF(OR(COUNTIF(INDIRECT("B"&amp;R254&amp;""),"*雙葉先生*"),COUNTIF(INDIRECT("B"&amp;R254-1&amp;""),"*雙葉*")),INDIRECT("H"&amp;R254&amp;""),INDIRECT("H"&amp;R254&amp;"")+INDIRECT("H"&amp;MATCH("雙葉'",INDIRECT("B"&amp;R254+3&amp;":B210"),0)+2+R254&amp;"")),
IF(AND(LEFT(INDIRECT("B"&amp;R254&amp;""),2)="博多",COUNTIF(B:B,"*博多*")&gt;=2),
INDIRECT("H"&amp;R254&amp;"")+IFERROR(INDIRECT("H"&amp;MATCH("*"&amp;INDIRECT("B"&amp;R254&amp;"")&amp;"*",INDIRECT("B"&amp;R254+1&amp;":B210"),0)+R254&amp;""),0),
IF(AND(LEFT(INDIRECT("B"&amp;R254&amp;""),3)="奈良屋",COUNTIF(B:B,"*奈良屋*")&gt;=2),
INDIRECT("H"&amp;R254&amp;"")
+INDIRECT("H"&amp;MATCH("*"&amp;INDIRECT("B"&amp;R254&amp;"")&amp;"*",INDIRECT("B"&amp;R254+1&amp;":B210"),0)+R254&amp;"")
+INDIRECT("H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
+INDIRECT("H"&amp;MATCH("*"&amp;INDIRECT("B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&amp;"*",INDIRECT("B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+1&amp;":B210"),0)+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,
INDIRECT("H"&amp;R254&amp;"")))),"")</f>
        <v/>
      </c>
      <c r="X254" s="176" t="str">
        <f t="array" aca="1" ref="X254" ca="1">IF($R254&lt;&gt;"",
INDIRECT(""&amp;IF(COLUMN(I254)&lt;=26,CHAR(COLUMN(I254)+64),CHAR(INT((COLUMN(I254)-1)/26)+64)&amp;CHAR(MOD(COLUMN(I254)-1,26)+65))&amp;$R254&amp;""),"")</f>
        <v/>
      </c>
      <c r="Y254" s="176" t="str">
        <f t="array" aca="1" ref="Y254" ca="1">IF($R254&lt;&gt;"",
INDIRECT(""&amp;IF(COLUMN(J254)&lt;=26,CHAR(COLUMN(J254)+64),CHAR(INT((COLUMN(J254)-1)/26)+64)&amp;CHAR(MOD(COLUMN(J254)-1,26)+65))&amp;$R254&amp;""),"")</f>
        <v/>
      </c>
      <c r="Z254" s="176" t="str">
        <f t="shared" ca="1" si="89"/>
        <v/>
      </c>
      <c r="AA254" s="176" t="str">
        <f t="shared" ca="1" si="90"/>
        <v/>
      </c>
      <c r="AB254" s="176" t="str">
        <f t="array" aca="1" ref="AB254" ca="1">IF($R254&lt;&gt;"",
IF(AND(COUNTIF(INDIRECT("B"&amp;R254&amp;""),"*雙葉*"),COUNTIF(INDIRECT("B"&amp;R254&amp;""),"&lt;&gt;*先生*"),COUNTIF(B:B,"*雙葉*")&gt;=2),
INDIRECT("M"&amp;R254&amp;"")+INDIRECT("M"&amp;MATCH("雙葉'",INDIRECT("B"&amp;R254+1&amp;":B210"),0)+R254&amp;""),
IF(AND(LEFT(INDIRECT("B"&amp;R254&amp;""),2)="博多",COUNTIF(B:B,"*博多*")&gt;=2),
INDIRECT("M"&amp;R254&amp;"")+INDIRECT("M"&amp;MATCH("*"&amp;INDIRECT("B"&amp;R254&amp;"")&amp;"*",INDIRECT("B"&amp;R254+1&amp;":B210"),0)+R254&amp;""),
IF(AND(LEFT(INDIRECT("B"&amp;R254&amp;""),3)="奈良屋",COUNTIF(B:B,"*奈良屋*")&gt;=2),
INDIRECT("M"&amp;R254&amp;"")+INDIRECT("M"&amp;MATCH("*"&amp;INDIRECT("B"&amp;R254&amp;"")&amp;"*",INDIRECT("B"&amp;R254+1&amp;":B210"),0)+R254&amp;"")
+INDIRECT("M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,
INDIRECT("M"&amp;R254&amp;"")))),"")</f>
        <v/>
      </c>
      <c r="AC254" s="176" t="str">
        <f t="shared" ca="1" si="91"/>
        <v/>
      </c>
      <c r="AD254" s="176" t="str">
        <f t="shared" ca="1" si="92"/>
        <v/>
      </c>
      <c r="AE254" s="176" t="str">
        <f t="shared" ca="1" si="93"/>
        <v/>
      </c>
      <c r="AF254" s="176" t="str">
        <f t="shared" ca="1" si="94"/>
        <v/>
      </c>
      <c r="AG254" s="176" t="str">
        <f t="shared" ca="1" si="95"/>
        <v/>
      </c>
      <c r="AH254" s="183" t="str">
        <f t="shared" ca="1" si="96"/>
        <v/>
      </c>
      <c r="AI254" s="176" t="str">
        <f t="shared" ca="1" si="97"/>
        <v/>
      </c>
      <c r="AJ254" s="176" t="str">
        <f t="shared" ca="1" si="98"/>
        <v/>
      </c>
      <c r="AK254" s="176" t="str">
        <f t="shared" ca="1" si="99"/>
        <v/>
      </c>
      <c r="AL254" s="176" t="str">
        <f t="shared" ca="1" si="100"/>
        <v/>
      </c>
      <c r="AM254" s="176" t="str">
        <f t="shared" ca="1" si="101"/>
        <v/>
      </c>
      <c r="AN254" s="176" t="str">
        <f t="shared" ca="1" si="102"/>
        <v/>
      </c>
      <c r="AO254" s="176" t="str">
        <f t="shared" ca="1" si="103"/>
        <v/>
      </c>
      <c r="AP254" s="176" t="str">
        <f t="shared" ca="1" si="104"/>
        <v/>
      </c>
      <c r="AU254" s="176" t="str">
        <f t="shared" ca="1" si="105"/>
        <v/>
      </c>
    </row>
    <row r="255" spans="1:47">
      <c r="A255" s="100" t="str">
        <f ca="1">IF(C255&lt;&gt;"",MATCH("*"&amp;LEFT(C255,4)&amp;"*",数出表_Excel!A:A,0),"")</f>
        <v/>
      </c>
      <c r="B255" s="106"/>
      <c r="C255" s="119" t="str">
        <f ca="1">先生札!R5</f>
        <v/>
      </c>
      <c r="D255" s="119" t="str">
        <f ca="1">先生札!S5</f>
        <v/>
      </c>
      <c r="E255" s="106"/>
      <c r="F255" s="106" t="str">
        <f>""</f>
        <v/>
      </c>
      <c r="G255" s="106" t="str">
        <f>""</f>
        <v/>
      </c>
      <c r="H255" s="106" t="str">
        <f ca="1">先生札!T5</f>
        <v/>
      </c>
      <c r="I255" s="106" t="str">
        <f>""</f>
        <v/>
      </c>
      <c r="J255" s="177" t="str">
        <f ca="1">IF(C255&lt;&gt;"",
VLOOKUP(
"*"&amp;LEFT(IF(COUNTIF(D255,"*学食*"),"キャラ弁（学食）",
IF(COUNTIF(D255,"*赤*"),"赤",
IF(COUNTIF(D255,"*キャラ弁当*"),"キャラ弁当",D255))),4)&amp;"*",注文弁当の抽出!$F$1:$G$15,2,FALSE),"")</f>
        <v/>
      </c>
      <c r="M255" s="106"/>
      <c r="P255" s="106" t="str">
        <f t="shared" ca="1" si="110"/>
        <v/>
      </c>
      <c r="Q255" s="106" t="str">
        <f t="shared" ca="1" si="109"/>
        <v/>
      </c>
      <c r="S255" s="176"/>
      <c r="U255" s="218"/>
      <c r="V255" s="219"/>
      <c r="W255" s="219" t="str" cm="1">
        <f t="array" aca="1" ref="W255" ca="1">IF($R255&lt;&gt;"",
IF(AND(COUNTIF(INDIRECT("B"&amp;R255&amp;""),"*雙葉*"),COUNTIF($B$71:$B$210,"*雙葉*")&gt;=1),
IF(OR(COUNTIF(INDIRECT("B"&amp;R255&amp;""),"*雙葉先生*"),COUNTIF(INDIRECT("B"&amp;R255-1&amp;""),"*雙葉*")),INDIRECT("H"&amp;R255&amp;""),INDIRECT("H"&amp;R255&amp;"")+INDIRECT("H"&amp;MATCH("雙葉'",INDIRECT("B"&amp;R255+3&amp;":B210"),0)+2+R255&amp;"")),
IF(AND(LEFT(INDIRECT("B"&amp;R255&amp;""),2)="博多",COUNTIF(B:B,"*博多*")&gt;=2),
INDIRECT("H"&amp;R255&amp;"")+IFERROR(INDIRECT("H"&amp;MATCH("*"&amp;INDIRECT("B"&amp;R255&amp;"")&amp;"*",INDIRECT("B"&amp;R255+1&amp;":B210"),0)+R255&amp;""),0),
IF(AND(LEFT(INDIRECT("B"&amp;R255&amp;""),3)="奈良屋",COUNTIF(B:B,"*奈良屋*")&gt;=2),
INDIRECT("H"&amp;R255&amp;"")
+INDIRECT("H"&amp;MATCH("*"&amp;INDIRECT("B"&amp;R255&amp;"")&amp;"*",INDIRECT("B"&amp;R255+1&amp;":B210"),0)+R255&amp;"")
+INDIRECT("H"&amp;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&amp;"")
+INDIRECT("H"&amp;MATCH("*"&amp;INDIRECT("B"&amp;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&amp;"")&amp;"*",INDIRECT("B"&amp;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+1&amp;":B210"),0)+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&amp;""),
INDIRECT("H"&amp;R255&amp;"")))),"")</f>
        <v/>
      </c>
      <c r="AB255" s="176" t="str">
        <f t="array" aca="1" ref="AB255" ca="1">IF($R255&lt;&gt;"",
IF(AND(COUNTIF(INDIRECT("B"&amp;R255&amp;""),"*雙葉*"),COUNTIF(INDIRECT("B"&amp;R255&amp;""),"&lt;&gt;*先生*"),COUNTIF(B:B,"*雙葉*")&gt;=2),
INDIRECT("M"&amp;R255&amp;"")+INDIRECT("M"&amp;MATCH("雙葉'",INDIRECT("B"&amp;R255+1&amp;":B210"),0)+R255&amp;""),
IF(AND(LEFT(INDIRECT("B"&amp;R255&amp;""),2)="博多",COUNTIF(B:B,"*博多*")&gt;=2),
INDIRECT("M"&amp;R255&amp;"")+INDIRECT("M"&amp;MATCH("*"&amp;INDIRECT("B"&amp;R255&amp;"")&amp;"*",INDIRECT("B"&amp;R255+1&amp;":B210"),0)+R255&amp;""),
IF(AND(LEFT(INDIRECT("B"&amp;R255&amp;""),3)="奈良屋",COUNTIF(B:B,"*奈良屋*")&gt;=2),
INDIRECT("M"&amp;R255&amp;"")+INDIRECT("M"&amp;MATCH("*"&amp;INDIRECT("B"&amp;R255&amp;"")&amp;"*",INDIRECT("B"&amp;R255+1&amp;":B210"),0)+R255&amp;"")
+INDIRECT("M"&amp;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&amp;""),
INDIRECT("M"&amp;R255&amp;"")))),"")</f>
        <v/>
      </c>
      <c r="AD255" s="176" t="str">
        <f t="shared" ca="1" si="92"/>
        <v/>
      </c>
      <c r="AE255" s="176" t="str">
        <f t="shared" ca="1" si="93"/>
        <v/>
      </c>
      <c r="AF255" s="176" t="str">
        <f t="shared" ca="1" si="94"/>
        <v/>
      </c>
      <c r="AG255" s="176" t="str">
        <f t="shared" ca="1" si="95"/>
        <v/>
      </c>
      <c r="AH255" s="183" t="str">
        <f t="shared" ca="1" si="96"/>
        <v/>
      </c>
      <c r="AI255" s="176" t="str">
        <f t="shared" ca="1" si="97"/>
        <v/>
      </c>
      <c r="AJ255" s="176" t="str">
        <f t="shared" ca="1" si="98"/>
        <v/>
      </c>
      <c r="AK255" s="176" t="str">
        <f t="shared" ca="1" si="99"/>
        <v/>
      </c>
      <c r="AL255" s="176" t="str">
        <f t="shared" ca="1" si="100"/>
        <v/>
      </c>
      <c r="AM255" s="176" t="str">
        <f t="shared" ca="1" si="101"/>
        <v/>
      </c>
      <c r="AN255" s="176" t="str">
        <f t="shared" ca="1" si="102"/>
        <v/>
      </c>
      <c r="AO255" s="176" t="str">
        <f t="shared" ca="1" si="103"/>
        <v/>
      </c>
      <c r="AP255" s="176" t="str">
        <f t="shared" ca="1" si="104"/>
        <v/>
      </c>
    </row>
    <row r="256" spans="1:47">
      <c r="A256" s="100" t="str">
        <f ca="1">IF(C256&lt;&gt;"",MATCH("*"&amp;LEFT(C256,4)&amp;"*",数出表_Excel!A:A,0),"")</f>
        <v/>
      </c>
      <c r="B256" s="106"/>
      <c r="C256" s="119" t="str">
        <f ca="1">先生札!R6</f>
        <v/>
      </c>
      <c r="D256" s="119" t="str">
        <f ca="1">先生札!S6</f>
        <v/>
      </c>
      <c r="E256" s="106"/>
      <c r="F256" s="106" t="str">
        <f>""</f>
        <v/>
      </c>
      <c r="G256" s="106" t="str">
        <f>""</f>
        <v/>
      </c>
      <c r="H256" s="106" t="str">
        <f ca="1">先生札!T6</f>
        <v/>
      </c>
      <c r="I256" s="106" t="str">
        <f>""</f>
        <v/>
      </c>
      <c r="J256" s="177" t="str">
        <f ca="1">IF(C256&lt;&gt;"",
VLOOKUP(
"*"&amp;LEFT(IF(COUNTIF(D256,"*学食*"),"キャラ弁（学食）",
IF(COUNTIF(D256,"*赤*"),"赤",
IF(COUNTIF(D256,"*キャラ弁当*"),"キャラ弁当",D256))),4)&amp;"*",注文弁当の抽出!$F$1:$G$15,2,FALSE),"")</f>
        <v/>
      </c>
      <c r="M256" s="106"/>
      <c r="P256" s="106" t="str">
        <f t="shared" ca="1" si="110"/>
        <v/>
      </c>
      <c r="Q256" s="106" t="str">
        <f t="shared" ca="1" si="109"/>
        <v/>
      </c>
      <c r="S256" s="176"/>
      <c r="U256" s="218"/>
      <c r="V256" s="219"/>
      <c r="W256" s="219" t="str" cm="1">
        <f t="array" aca="1" ref="W256" ca="1">IF($R256&lt;&gt;"",
IF(AND(COUNTIF(INDIRECT("B"&amp;R256&amp;""),"*雙葉*"),COUNTIF($B$71:$B$210,"*雙葉*")&gt;=1),
IF(OR(COUNTIF(INDIRECT("B"&amp;R256&amp;""),"*雙葉先生*"),COUNTIF(INDIRECT("B"&amp;R256-1&amp;""),"*雙葉*")),INDIRECT("H"&amp;R256&amp;""),INDIRECT("H"&amp;R256&amp;"")+INDIRECT("H"&amp;MATCH("雙葉'",INDIRECT("B"&amp;R256+3&amp;":B210"),0)+2+R256&amp;"")),
IF(AND(LEFT(INDIRECT("B"&amp;R256&amp;""),2)="博多",COUNTIF(B:B,"*博多*")&gt;=2),
INDIRECT("H"&amp;R256&amp;"")+IFERROR(INDIRECT("H"&amp;MATCH("*"&amp;INDIRECT("B"&amp;R256&amp;"")&amp;"*",INDIRECT("B"&amp;R256+1&amp;":B210"),0)+R256&amp;""),0),
IF(AND(LEFT(INDIRECT("B"&amp;R256&amp;""),3)="奈良屋",COUNTIF(B:B,"*奈良屋*")&gt;=2),
INDIRECT("H"&amp;R256&amp;"")
+INDIRECT("H"&amp;MATCH("*"&amp;INDIRECT("B"&amp;R256&amp;"")&amp;"*",INDIRECT("B"&amp;R256+1&amp;":B210"),0)+R256&amp;"")
+INDIRECT("H"&amp;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&amp;"")
+INDIRECT("H"&amp;MATCH("*"&amp;INDIRECT("B"&amp;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&amp;"")&amp;"*",INDIRECT("B"&amp;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+1&amp;":B210"),0)+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&amp;""),
INDIRECT("H"&amp;R256&amp;"")))),"")</f>
        <v/>
      </c>
      <c r="AB256" s="176" t="str">
        <f t="array" aca="1" ref="AB256" ca="1">IF($R256&lt;&gt;"",
IF(AND(COUNTIF(INDIRECT("B"&amp;R256&amp;""),"*雙葉*"),COUNTIF(INDIRECT("B"&amp;R256&amp;""),"&lt;&gt;*先生*"),COUNTIF(B:B,"*雙葉*")&gt;=2),
INDIRECT("M"&amp;R256&amp;"")+INDIRECT("M"&amp;MATCH("雙葉'",INDIRECT("B"&amp;R256+1&amp;":B210"),0)+R256&amp;""),
IF(AND(LEFT(INDIRECT("B"&amp;R256&amp;""),2)="博多",COUNTIF(B:B,"*博多*")&gt;=2),
INDIRECT("M"&amp;R256&amp;"")+INDIRECT("M"&amp;MATCH("*"&amp;INDIRECT("B"&amp;R256&amp;"")&amp;"*",INDIRECT("B"&amp;R256+1&amp;":B210"),0)+R256&amp;""),
IF(AND(LEFT(INDIRECT("B"&amp;R256&amp;""),3)="奈良屋",COUNTIF(B:B,"*奈良屋*")&gt;=2),
INDIRECT("M"&amp;R256&amp;"")+INDIRECT("M"&amp;MATCH("*"&amp;INDIRECT("B"&amp;R256&amp;"")&amp;"*",INDIRECT("B"&amp;R256+1&amp;":B210"),0)+R256&amp;"")
+INDIRECT("M"&amp;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&amp;""),
INDIRECT("M"&amp;R256&amp;"")))),"")</f>
        <v/>
      </c>
      <c r="AD256" s="176" t="str">
        <f t="shared" ca="1" si="92"/>
        <v/>
      </c>
      <c r="AE256" s="176" t="str">
        <f t="shared" ca="1" si="93"/>
        <v/>
      </c>
      <c r="AF256" s="176" t="str">
        <f t="shared" ca="1" si="94"/>
        <v/>
      </c>
      <c r="AG256" s="176" t="str">
        <f t="shared" ca="1" si="95"/>
        <v/>
      </c>
      <c r="AH256" s="183" t="str">
        <f t="shared" ca="1" si="96"/>
        <v/>
      </c>
      <c r="AI256" s="176" t="str">
        <f t="shared" ca="1" si="97"/>
        <v/>
      </c>
      <c r="AJ256" s="176" t="str">
        <f t="shared" ca="1" si="98"/>
        <v/>
      </c>
      <c r="AK256" s="176" t="str">
        <f t="shared" ca="1" si="99"/>
        <v/>
      </c>
      <c r="AL256" s="176" t="str">
        <f t="shared" ca="1" si="100"/>
        <v/>
      </c>
      <c r="AM256" s="176" t="str">
        <f t="shared" ca="1" si="101"/>
        <v/>
      </c>
      <c r="AN256" s="176" t="str">
        <f t="shared" ca="1" si="102"/>
        <v/>
      </c>
      <c r="AO256" s="176" t="str">
        <f t="shared" ca="1" si="103"/>
        <v/>
      </c>
      <c r="AP256" s="176" t="str">
        <f t="shared" ca="1" si="104"/>
        <v/>
      </c>
    </row>
    <row r="257" spans="1:42">
      <c r="A257" s="100" t="str">
        <f ca="1">IF(C257&lt;&gt;"",MATCH("*"&amp;LEFT(C257,4)&amp;"*",数出表_Excel!A:A,0),"")</f>
        <v/>
      </c>
      <c r="B257" s="106"/>
      <c r="C257" s="119" t="str">
        <f ca="1">先生札!R7</f>
        <v/>
      </c>
      <c r="D257" s="119" t="str">
        <f ca="1">先生札!S7</f>
        <v/>
      </c>
      <c r="E257" s="106"/>
      <c r="F257" s="106" t="str">
        <f>""</f>
        <v/>
      </c>
      <c r="G257" s="106" t="str">
        <f>""</f>
        <v/>
      </c>
      <c r="H257" s="106" t="str">
        <f ca="1">先生札!T7</f>
        <v/>
      </c>
      <c r="I257" s="106" t="str">
        <f>""</f>
        <v/>
      </c>
      <c r="J257" s="177" t="str">
        <f ca="1">IF(C257&lt;&gt;"",
VLOOKUP(
"*"&amp;LEFT(IF(COUNTIF(D257,"*学食*"),"キャラ弁（学食）",
IF(COUNTIF(D257,"*赤*"),"赤",
IF(COUNTIF(D257,"*キャラ弁当*"),"キャラ弁当",D257))),4)&amp;"*",注文弁当の抽出!$F$1:$G$15,2,FALSE),"")</f>
        <v/>
      </c>
      <c r="M257" s="106"/>
      <c r="P257" s="106" t="str">
        <f t="shared" ca="1" si="110"/>
        <v/>
      </c>
      <c r="Q257" s="106" t="str">
        <f t="shared" ca="1" si="109"/>
        <v/>
      </c>
      <c r="S257" s="176"/>
      <c r="U257" s="218"/>
      <c r="V257" s="219"/>
      <c r="W257" s="219" t="str" cm="1">
        <f t="array" aca="1" ref="W257" ca="1">IF($R257&lt;&gt;"",
IF(AND(COUNTIF(INDIRECT("B"&amp;R257&amp;""),"*雙葉*"),COUNTIF($B$71:$B$210,"*雙葉*")&gt;=1),
IF(OR(COUNTIF(INDIRECT("B"&amp;R257&amp;""),"*雙葉先生*"),COUNTIF(INDIRECT("B"&amp;R257-1&amp;""),"*雙葉*")),INDIRECT("H"&amp;R257&amp;""),INDIRECT("H"&amp;R257&amp;"")+INDIRECT("H"&amp;MATCH("雙葉'",INDIRECT("B"&amp;R257+3&amp;":B210"),0)+2+R257&amp;"")),
IF(AND(LEFT(INDIRECT("B"&amp;R257&amp;""),2)="博多",COUNTIF(B:B,"*博多*")&gt;=2),
INDIRECT("H"&amp;R257&amp;"")+IFERROR(INDIRECT("H"&amp;MATCH("*"&amp;INDIRECT("B"&amp;R257&amp;"")&amp;"*",INDIRECT("B"&amp;R257+1&amp;":B210"),0)+R257&amp;""),0),
IF(AND(LEFT(INDIRECT("B"&amp;R257&amp;""),3)="奈良屋",COUNTIF(B:B,"*奈良屋*")&gt;=2),
INDIRECT("H"&amp;R257&amp;"")
+INDIRECT("H"&amp;MATCH("*"&amp;INDIRECT("B"&amp;R257&amp;"")&amp;"*",INDIRECT("B"&amp;R257+1&amp;":B210"),0)+R257&amp;"")
+INDIRECT("H"&amp;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&amp;"")
+INDIRECT("H"&amp;MATCH("*"&amp;INDIRECT("B"&amp;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&amp;"")&amp;"*",INDIRECT("B"&amp;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+1&amp;":B210"),0)+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&amp;""),
INDIRECT("H"&amp;R257&amp;"")))),"")</f>
        <v/>
      </c>
      <c r="AB257" s="176" t="str">
        <f t="array" aca="1" ref="AB257" ca="1">IF($R257&lt;&gt;"",
IF(AND(COUNTIF(INDIRECT("B"&amp;R257&amp;""),"*雙葉*"),COUNTIF(INDIRECT("B"&amp;R257&amp;""),"&lt;&gt;*先生*"),COUNTIF(B:B,"*雙葉*")&gt;=2),
INDIRECT("M"&amp;R257&amp;"")+INDIRECT("M"&amp;MATCH("雙葉'",INDIRECT("B"&amp;R257+1&amp;":B210"),0)+R257&amp;""),
IF(AND(LEFT(INDIRECT("B"&amp;R257&amp;""),2)="博多",COUNTIF(B:B,"*博多*")&gt;=2),
INDIRECT("M"&amp;R257&amp;"")+INDIRECT("M"&amp;MATCH("*"&amp;INDIRECT("B"&amp;R257&amp;"")&amp;"*",INDIRECT("B"&amp;R257+1&amp;":B210"),0)+R257&amp;""),
IF(AND(LEFT(INDIRECT("B"&amp;R257&amp;""),3)="奈良屋",COUNTIF(B:B,"*奈良屋*")&gt;=2),
INDIRECT("M"&amp;R257&amp;"")+INDIRECT("M"&amp;MATCH("*"&amp;INDIRECT("B"&amp;R257&amp;"")&amp;"*",INDIRECT("B"&amp;R257+1&amp;":B210"),0)+R257&amp;"")
+INDIRECT("M"&amp;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&amp;""),
INDIRECT("M"&amp;R257&amp;"")))),"")</f>
        <v/>
      </c>
      <c r="AD257" s="176" t="str">
        <f t="shared" ref="AD257:AD320" ca="1" si="111">IFERROR(INDEX(AC:AC,MATCH(SMALL($AU:$AU,ROW()),$AU:$AU,0)),"")</f>
        <v/>
      </c>
      <c r="AE257" s="176" t="str">
        <f t="shared" ref="AE257:AE265" ca="1" si="112">IFERROR(INDEX(R:R,MATCH(SMALL($AU:$AU,ROW()),$AU:$AU,0)),"")</f>
        <v/>
      </c>
      <c r="AF257" s="176" t="str">
        <f t="shared" ref="AF257:AF265" ca="1" si="113">IFERROR(INDEX(S:S,MATCH(SMALL($AU:$AU,ROW()),$AU:$AU,0)),"")</f>
        <v/>
      </c>
      <c r="AG257" s="176" t="str">
        <f t="shared" ref="AG257:AG265" ca="1" si="114">IFERROR(INDEX(T:T,MATCH(SMALL($AU:$AU,ROW()),$AU:$AU,0)),"")</f>
        <v/>
      </c>
      <c r="AH257" s="183" t="str">
        <f t="shared" ref="AH257:AH265" ca="1" si="115">IFERROR(INDEX(U:U,MATCH(SMALL($AU:$AU,ROW()),$AU:$AU,0)),"")</f>
        <v/>
      </c>
      <c r="AI257" s="176" t="str">
        <f t="shared" ref="AI257:AI265" ca="1" si="116">IFERROR(INDEX(V:V,MATCH(SMALL($AU:$AU,ROW()),$AU:$AU,0)),"")</f>
        <v/>
      </c>
      <c r="AJ257" s="176" t="str">
        <f t="shared" ref="AJ257:AJ265" ca="1" si="117">IFERROR(INDEX(W:W,MATCH(SMALL($AU:$AU,ROW()),$AU:$AU,0)),"")</f>
        <v/>
      </c>
      <c r="AK257" s="176" t="str">
        <f t="shared" ref="AK257:AK265" ca="1" si="118">IFERROR(INDEX(X:X,MATCH(SMALL($AU:$AU,ROW()),$AU:$AU,0)),"")</f>
        <v/>
      </c>
      <c r="AL257" s="176" t="str">
        <f t="shared" ref="AL257:AL265" ca="1" si="119">IFERROR(INDEX(Y:Y,MATCH(SMALL($AU:$AU,ROW()),$AU:$AU,0)),"")</f>
        <v/>
      </c>
      <c r="AM257" s="176" t="str">
        <f t="shared" ref="AM257:AM265" ca="1" si="120">IFERROR(INDEX(Z:Z,MATCH(SMALL($AU:$AU,ROW()),$AU:$AU,0)),"")</f>
        <v/>
      </c>
      <c r="AN257" s="176" t="str">
        <f t="shared" ref="AN257:AN265" ca="1" si="121">IFERROR(INDEX(AA:AA,MATCH(SMALL($AU:$AU,ROW()),$AU:$AU,0)),"")</f>
        <v/>
      </c>
      <c r="AO257" s="176" t="str">
        <f t="shared" ref="AO257:AO265" ca="1" si="122">IFERROR(INDEX(AB:AB,MATCH(SMALL($AU:$AU,ROW()),$AU:$AU,0)),"")</f>
        <v/>
      </c>
      <c r="AP257" s="176" t="str">
        <f t="shared" ref="AP257:AP265" ca="1" si="123">IFERROR(INDEX(AC:AC,MATCH(SMALL($AU:$AU,ROW()),$AU:$AU,0)),"")</f>
        <v/>
      </c>
    </row>
    <row r="258" spans="1:42">
      <c r="A258" s="100" t="str">
        <f ca="1">IF(C258&lt;&gt;"",MATCH("*"&amp;LEFT(C258,4)&amp;"*",数出表_Excel!A:A,0),"")</f>
        <v/>
      </c>
      <c r="B258" s="106"/>
      <c r="C258" s="119" t="str">
        <f ca="1">先生札!R8</f>
        <v/>
      </c>
      <c r="D258" s="119" t="str">
        <f ca="1">先生札!S8</f>
        <v/>
      </c>
      <c r="E258" s="106"/>
      <c r="F258" s="106" t="str">
        <f>""</f>
        <v/>
      </c>
      <c r="G258" s="106" t="str">
        <f>""</f>
        <v/>
      </c>
      <c r="H258" s="106" t="str">
        <f ca="1">先生札!T8</f>
        <v/>
      </c>
      <c r="I258" s="106" t="str">
        <f>""</f>
        <v/>
      </c>
      <c r="J258" s="177" t="str">
        <f ca="1">IF(C258&lt;&gt;"",
VLOOKUP(
"*"&amp;LEFT(IF(COUNTIF(D258,"*学食*"),"キャラ弁（学食）",
IF(COUNTIF(D258,"*赤*"),"赤",
IF(COUNTIF(D258,"*キャラ弁当*"),"キャラ弁当",D258))),4)&amp;"*",注文弁当の抽出!$F$1:$G$15,2,FALSE),"")</f>
        <v/>
      </c>
      <c r="M258" s="106"/>
      <c r="P258" s="106" t="str">
        <f t="shared" ca="1" si="110"/>
        <v/>
      </c>
      <c r="Q258" s="106" t="str">
        <f t="shared" ca="1" si="109"/>
        <v/>
      </c>
      <c r="S258" s="176"/>
      <c r="U258" s="218"/>
      <c r="V258" s="219"/>
      <c r="W258" s="219" t="str" cm="1">
        <f t="array" aca="1" ref="W258" ca="1">IF($R258&lt;&gt;"",
IF(AND(COUNTIF(INDIRECT("B"&amp;R258&amp;""),"*雙葉*"),COUNTIF($B$71:$B$210,"*雙葉*")&gt;=1),
IF(OR(COUNTIF(INDIRECT("B"&amp;R258&amp;""),"*雙葉先生*"),COUNTIF(INDIRECT("B"&amp;R258-1&amp;""),"*雙葉*")),INDIRECT("H"&amp;R258&amp;""),INDIRECT("H"&amp;R258&amp;"")+INDIRECT("H"&amp;MATCH("雙葉'",INDIRECT("B"&amp;R258+3&amp;":B210"),0)+2+R258&amp;"")),
IF(AND(LEFT(INDIRECT("B"&amp;R258&amp;""),2)="博多",COUNTIF(B:B,"*博多*")&gt;=2),
INDIRECT("H"&amp;R258&amp;"")+IFERROR(INDIRECT("H"&amp;MATCH("*"&amp;INDIRECT("B"&amp;R258&amp;"")&amp;"*",INDIRECT("B"&amp;R258+1&amp;":B210"),0)+R258&amp;""),0),
IF(AND(LEFT(INDIRECT("B"&amp;R258&amp;""),3)="奈良屋",COUNTIF(B:B,"*奈良屋*")&gt;=2),
INDIRECT("H"&amp;R258&amp;"")
+INDIRECT("H"&amp;MATCH("*"&amp;INDIRECT("B"&amp;R258&amp;"")&amp;"*",INDIRECT("B"&amp;R258+1&amp;":B210"),0)+R258&amp;"")
+INDIRECT("H"&amp;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&amp;"")
+INDIRECT("H"&amp;MATCH("*"&amp;INDIRECT("B"&amp;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&amp;"")&amp;"*",INDIRECT("B"&amp;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+1&amp;":B210"),0)+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&amp;""),
INDIRECT("H"&amp;R258&amp;"")))),"")</f>
        <v/>
      </c>
      <c r="AB258" s="176" t="str">
        <f t="array" aca="1" ref="AB258" ca="1">IF($R258&lt;&gt;"",
IF(AND(COUNTIF(INDIRECT("B"&amp;R258&amp;""),"*雙葉*"),COUNTIF(INDIRECT("B"&amp;R258&amp;""),"&lt;&gt;*先生*"),COUNTIF(B:B,"*雙葉*")&gt;=2),
INDIRECT("M"&amp;R258&amp;"")+INDIRECT("M"&amp;MATCH("雙葉'",INDIRECT("B"&amp;R258+1&amp;":B210"),0)+R258&amp;""),
IF(AND(LEFT(INDIRECT("B"&amp;R258&amp;""),2)="博多",COUNTIF(B:B,"*博多*")&gt;=2),
INDIRECT("M"&amp;R258&amp;"")+INDIRECT("M"&amp;MATCH("*"&amp;INDIRECT("B"&amp;R258&amp;"")&amp;"*",INDIRECT("B"&amp;R258+1&amp;":B210"),0)+R258&amp;""),
IF(AND(LEFT(INDIRECT("B"&amp;R258&amp;""),3)="奈良屋",COUNTIF(B:B,"*奈良屋*")&gt;=2),
INDIRECT("M"&amp;R258&amp;"")+INDIRECT("M"&amp;MATCH("*"&amp;INDIRECT("B"&amp;R258&amp;"")&amp;"*",INDIRECT("B"&amp;R258+1&amp;":B210"),0)+R258&amp;"")
+INDIRECT("M"&amp;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&amp;""),
INDIRECT("M"&amp;R258&amp;"")))),"")</f>
        <v/>
      </c>
      <c r="AD258" s="176" t="str">
        <f t="shared" ca="1" si="111"/>
        <v/>
      </c>
      <c r="AE258" s="176" t="str">
        <f t="shared" ca="1" si="112"/>
        <v/>
      </c>
      <c r="AF258" s="176" t="str">
        <f t="shared" ca="1" si="113"/>
        <v/>
      </c>
      <c r="AG258" s="176" t="str">
        <f t="shared" ca="1" si="114"/>
        <v/>
      </c>
      <c r="AH258" s="183" t="str">
        <f t="shared" ca="1" si="115"/>
        <v/>
      </c>
      <c r="AI258" s="176" t="str">
        <f t="shared" ca="1" si="116"/>
        <v/>
      </c>
      <c r="AJ258" s="176" t="str">
        <f t="shared" ca="1" si="117"/>
        <v/>
      </c>
      <c r="AK258" s="176" t="str">
        <f t="shared" ca="1" si="118"/>
        <v/>
      </c>
      <c r="AL258" s="176" t="str">
        <f t="shared" ca="1" si="119"/>
        <v/>
      </c>
      <c r="AM258" s="176" t="str">
        <f t="shared" ca="1" si="120"/>
        <v/>
      </c>
      <c r="AN258" s="176" t="str">
        <f t="shared" ca="1" si="121"/>
        <v/>
      </c>
      <c r="AO258" s="176" t="str">
        <f t="shared" ca="1" si="122"/>
        <v/>
      </c>
      <c r="AP258" s="176" t="str">
        <f t="shared" ca="1" si="123"/>
        <v/>
      </c>
    </row>
    <row r="259" spans="1:42">
      <c r="A259" s="100" t="str">
        <f ca="1">IF(C259&lt;&gt;"",MATCH("*"&amp;LEFT(C259,4)&amp;"*",数出表_Excel!A:A,0),"")</f>
        <v/>
      </c>
      <c r="B259" s="106"/>
      <c r="C259" s="119" t="str">
        <f ca="1">先生札!R9</f>
        <v/>
      </c>
      <c r="D259" s="119" t="str">
        <f ca="1">先生札!S9</f>
        <v/>
      </c>
      <c r="E259" s="106"/>
      <c r="F259" s="106" t="str">
        <f>""</f>
        <v/>
      </c>
      <c r="G259" s="106" t="str">
        <f>""</f>
        <v/>
      </c>
      <c r="H259" s="106" t="str">
        <f ca="1">先生札!T9</f>
        <v/>
      </c>
      <c r="I259" s="106" t="str">
        <f>""</f>
        <v/>
      </c>
      <c r="J259" s="177" t="str">
        <f ca="1">IF(C259&lt;&gt;"",
VLOOKUP(
"*"&amp;LEFT(IF(COUNTIF(D259,"*学食*"),"キャラ弁（学食）",
IF(COUNTIF(D259,"*赤*"),"赤",
IF(COUNTIF(D259,"*キャラ弁当*"),"キャラ弁当",D259))),4)&amp;"*",注文弁当の抽出!$F$1:$G$15,2,FALSE),"")</f>
        <v/>
      </c>
      <c r="M259" s="106"/>
      <c r="P259" s="106" t="str">
        <f t="shared" ca="1" si="110"/>
        <v/>
      </c>
      <c r="Q259" s="106" t="str">
        <f t="shared" ca="1" si="109"/>
        <v/>
      </c>
      <c r="S259" s="176"/>
      <c r="U259" s="218"/>
      <c r="V259" s="219"/>
      <c r="W259" s="219" t="str" cm="1">
        <f t="array" aca="1" ref="W259" ca="1">IF($R259&lt;&gt;"",
IF(AND(COUNTIF(INDIRECT("B"&amp;R259&amp;""),"*雙葉*"),COUNTIF($B$71:$B$210,"*雙葉*")&gt;=1),
IF(OR(COUNTIF(INDIRECT("B"&amp;R259&amp;""),"*雙葉先生*"),COUNTIF(INDIRECT("B"&amp;R259-1&amp;""),"*雙葉*")),INDIRECT("H"&amp;R259&amp;""),INDIRECT("H"&amp;R259&amp;"")+INDIRECT("H"&amp;MATCH("雙葉'",INDIRECT("B"&amp;R259+3&amp;":B210"),0)+2+R259&amp;"")),
IF(AND(LEFT(INDIRECT("B"&amp;R259&amp;""),2)="博多",COUNTIF(B:B,"*博多*")&gt;=2),
INDIRECT("H"&amp;R259&amp;"")+IFERROR(INDIRECT("H"&amp;MATCH("*"&amp;INDIRECT("B"&amp;R259&amp;"")&amp;"*",INDIRECT("B"&amp;R259+1&amp;":B210"),0)+R259&amp;""),0),
IF(AND(LEFT(INDIRECT("B"&amp;R259&amp;""),3)="奈良屋",COUNTIF(B:B,"*奈良屋*")&gt;=2),
INDIRECT("H"&amp;R259&amp;"")
+INDIRECT("H"&amp;MATCH("*"&amp;INDIRECT("B"&amp;R259&amp;"")&amp;"*",INDIRECT("B"&amp;R259+1&amp;":B210"),0)+R259&amp;"")
+INDIRECT("H"&amp;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&amp;"")
+INDIRECT("H"&amp;MATCH("*"&amp;INDIRECT("B"&amp;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&amp;"")&amp;"*",INDIRECT("B"&amp;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+1&amp;":B210"),0)+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&amp;""),
INDIRECT("H"&amp;R259&amp;"")))),"")</f>
        <v/>
      </c>
      <c r="AB259" s="176" t="str">
        <f t="array" aca="1" ref="AB259" ca="1">IF($R259&lt;&gt;"",
IF(AND(COUNTIF(INDIRECT("B"&amp;R259&amp;""),"*雙葉*"),COUNTIF(INDIRECT("B"&amp;R259&amp;""),"&lt;&gt;*先生*"),COUNTIF(B:B,"*雙葉*")&gt;=2),
INDIRECT("M"&amp;R259&amp;"")+INDIRECT("M"&amp;MATCH("雙葉'",INDIRECT("B"&amp;R259+1&amp;":B210"),0)+R259&amp;""),
IF(AND(LEFT(INDIRECT("B"&amp;R259&amp;""),2)="博多",COUNTIF(B:B,"*博多*")&gt;=2),
INDIRECT("M"&amp;R259&amp;"")+INDIRECT("M"&amp;MATCH("*"&amp;INDIRECT("B"&amp;R259&amp;"")&amp;"*",INDIRECT("B"&amp;R259+1&amp;":B210"),0)+R259&amp;""),
IF(AND(LEFT(INDIRECT("B"&amp;R259&amp;""),3)="奈良屋",COUNTIF(B:B,"*奈良屋*")&gt;=2),
INDIRECT("M"&amp;R259&amp;"")+INDIRECT("M"&amp;MATCH("*"&amp;INDIRECT("B"&amp;R259&amp;"")&amp;"*",INDIRECT("B"&amp;R259+1&amp;":B210"),0)+R259&amp;"")
+INDIRECT("M"&amp;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&amp;""),
INDIRECT("M"&amp;R259&amp;"")))),"")</f>
        <v/>
      </c>
      <c r="AD259" s="176" t="str">
        <f t="shared" ca="1" si="111"/>
        <v/>
      </c>
      <c r="AE259" s="176" t="str">
        <f t="shared" ca="1" si="112"/>
        <v/>
      </c>
      <c r="AF259" s="176" t="str">
        <f t="shared" ca="1" si="113"/>
        <v/>
      </c>
      <c r="AG259" s="176" t="str">
        <f t="shared" ca="1" si="114"/>
        <v/>
      </c>
      <c r="AH259" s="183" t="str">
        <f t="shared" ca="1" si="115"/>
        <v/>
      </c>
      <c r="AI259" s="176" t="str">
        <f t="shared" ca="1" si="116"/>
        <v/>
      </c>
      <c r="AJ259" s="176" t="str">
        <f t="shared" ca="1" si="117"/>
        <v/>
      </c>
      <c r="AK259" s="176" t="str">
        <f t="shared" ca="1" si="118"/>
        <v/>
      </c>
      <c r="AL259" s="176" t="str">
        <f t="shared" ca="1" si="119"/>
        <v/>
      </c>
      <c r="AM259" s="176" t="str">
        <f t="shared" ca="1" si="120"/>
        <v/>
      </c>
      <c r="AN259" s="176" t="str">
        <f t="shared" ca="1" si="121"/>
        <v/>
      </c>
      <c r="AO259" s="176" t="str">
        <f t="shared" ca="1" si="122"/>
        <v/>
      </c>
      <c r="AP259" s="176" t="str">
        <f t="shared" ca="1" si="123"/>
        <v/>
      </c>
    </row>
    <row r="260" spans="1:42">
      <c r="A260" s="100" t="str">
        <f ca="1">IF(C260&lt;&gt;"",MATCH("*"&amp;LEFT(C260,4)&amp;"*",数出表_Excel!A:A,0),"")</f>
        <v/>
      </c>
      <c r="B260" s="106"/>
      <c r="C260" s="119" t="str">
        <f ca="1">先生札!R10</f>
        <v/>
      </c>
      <c r="D260" s="119" t="str">
        <f ca="1">先生札!S10</f>
        <v/>
      </c>
      <c r="E260" s="106"/>
      <c r="F260" s="106" t="str">
        <f>""</f>
        <v/>
      </c>
      <c r="G260" s="106" t="str">
        <f>""</f>
        <v/>
      </c>
      <c r="H260" s="106" t="str">
        <f ca="1">先生札!T10</f>
        <v/>
      </c>
      <c r="I260" s="106" t="str">
        <f>""</f>
        <v/>
      </c>
      <c r="J260" s="177" t="str">
        <f ca="1">IF(C260&lt;&gt;"",
VLOOKUP(
"*"&amp;LEFT(IF(COUNTIF(D260,"*学食*"),"キャラ弁（学食）",
IF(COUNTIF(D260,"*赤*"),"赤",
IF(COUNTIF(D260,"*キャラ弁当*"),"キャラ弁当",D260))),4)&amp;"*",注文弁当の抽出!$F$1:$G$15,2,FALSE),"")</f>
        <v/>
      </c>
      <c r="M260" s="106"/>
      <c r="P260" s="106" t="str">
        <f t="shared" ca="1" si="110"/>
        <v/>
      </c>
      <c r="Q260" s="106" t="str">
        <f t="shared" ca="1" si="109"/>
        <v/>
      </c>
      <c r="S260" s="176"/>
      <c r="U260" s="218"/>
      <c r="V260" s="219"/>
      <c r="W260" s="219" t="str" cm="1">
        <f t="array" aca="1" ref="W260" ca="1">IF($R260&lt;&gt;"",
IF(AND(COUNTIF(INDIRECT("B"&amp;R260&amp;""),"*雙葉*"),COUNTIF($B$71:$B$210,"*雙葉*")&gt;=1),
IF(OR(COUNTIF(INDIRECT("B"&amp;R260&amp;""),"*雙葉先生*"),COUNTIF(INDIRECT("B"&amp;R260-1&amp;""),"*雙葉*")),INDIRECT("H"&amp;R260&amp;""),INDIRECT("H"&amp;R260&amp;"")+INDIRECT("H"&amp;MATCH("雙葉'",INDIRECT("B"&amp;R260+3&amp;":B210"),0)+2+R260&amp;"")),
IF(AND(LEFT(INDIRECT("B"&amp;R260&amp;""),2)="博多",COUNTIF(B:B,"*博多*")&gt;=2),
INDIRECT("H"&amp;R260&amp;"")+IFERROR(INDIRECT("H"&amp;MATCH("*"&amp;INDIRECT("B"&amp;R260&amp;"")&amp;"*",INDIRECT("B"&amp;R260+1&amp;":B210"),0)+R260&amp;""),0),
IF(AND(LEFT(INDIRECT("B"&amp;R260&amp;""),3)="奈良屋",COUNTIF(B:B,"*奈良屋*")&gt;=2),
INDIRECT("H"&amp;R260&amp;"")
+INDIRECT("H"&amp;MATCH("*"&amp;INDIRECT("B"&amp;R260&amp;"")&amp;"*",INDIRECT("B"&amp;R260+1&amp;":B210"),0)+R260&amp;"")
+INDIRECT("H"&amp;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&amp;"")
+INDIRECT("H"&amp;MATCH("*"&amp;INDIRECT("B"&amp;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&amp;"")&amp;"*",INDIRECT("B"&amp;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+1&amp;":B210"),0)+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&amp;""),
INDIRECT("H"&amp;R260&amp;"")))),"")</f>
        <v/>
      </c>
      <c r="AB260" s="176" t="str">
        <f t="array" aca="1" ref="AB260" ca="1">IF($R260&lt;&gt;"",
IF(AND(COUNTIF(INDIRECT("B"&amp;R260&amp;""),"*雙葉*"),COUNTIF(INDIRECT("B"&amp;R260&amp;""),"&lt;&gt;*先生*"),COUNTIF(B:B,"*雙葉*")&gt;=2),
INDIRECT("M"&amp;R260&amp;"")+INDIRECT("M"&amp;MATCH("雙葉'",INDIRECT("B"&amp;R260+1&amp;":B210"),0)+R260&amp;""),
IF(AND(LEFT(INDIRECT("B"&amp;R260&amp;""),2)="博多",COUNTIF(B:B,"*博多*")&gt;=2),
INDIRECT("M"&amp;R260&amp;"")+INDIRECT("M"&amp;MATCH("*"&amp;INDIRECT("B"&amp;R260&amp;"")&amp;"*",INDIRECT("B"&amp;R260+1&amp;":B210"),0)+R260&amp;""),
IF(AND(LEFT(INDIRECT("B"&amp;R260&amp;""),3)="奈良屋",COUNTIF(B:B,"*奈良屋*")&gt;=2),
INDIRECT("M"&amp;R260&amp;"")+INDIRECT("M"&amp;MATCH("*"&amp;INDIRECT("B"&amp;R260&amp;"")&amp;"*",INDIRECT("B"&amp;R260+1&amp;":B210"),0)+R260&amp;"")
+INDIRECT("M"&amp;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&amp;""),
INDIRECT("M"&amp;R260&amp;"")))),"")</f>
        <v/>
      </c>
      <c r="AD260" s="176" t="str">
        <f t="shared" ca="1" si="111"/>
        <v/>
      </c>
      <c r="AE260" s="176" t="str">
        <f t="shared" ca="1" si="112"/>
        <v/>
      </c>
      <c r="AF260" s="176" t="str">
        <f t="shared" ca="1" si="113"/>
        <v/>
      </c>
      <c r="AG260" s="176" t="str">
        <f t="shared" ca="1" si="114"/>
        <v/>
      </c>
      <c r="AH260" s="183" t="str">
        <f t="shared" ca="1" si="115"/>
        <v/>
      </c>
      <c r="AI260" s="176" t="str">
        <f t="shared" ca="1" si="116"/>
        <v/>
      </c>
      <c r="AJ260" s="176" t="str">
        <f t="shared" ca="1" si="117"/>
        <v/>
      </c>
      <c r="AK260" s="176" t="str">
        <f t="shared" ca="1" si="118"/>
        <v/>
      </c>
      <c r="AL260" s="176" t="str">
        <f t="shared" ca="1" si="119"/>
        <v/>
      </c>
      <c r="AM260" s="176" t="str">
        <f t="shared" ca="1" si="120"/>
        <v/>
      </c>
      <c r="AN260" s="176" t="str">
        <f t="shared" ca="1" si="121"/>
        <v/>
      </c>
      <c r="AO260" s="176" t="str">
        <f t="shared" ca="1" si="122"/>
        <v/>
      </c>
      <c r="AP260" s="176" t="str">
        <f t="shared" ca="1" si="123"/>
        <v/>
      </c>
    </row>
    <row r="261" spans="1:42">
      <c r="A261" s="100" t="str">
        <f ca="1">IF(C261&lt;&gt;"",MATCH("*"&amp;LEFT(C261,4)&amp;"*",数出表_Excel!A:A,0),"")</f>
        <v/>
      </c>
      <c r="B261" s="106"/>
      <c r="C261" s="119" t="str">
        <f ca="1">先生札!R11</f>
        <v/>
      </c>
      <c r="D261" s="119" t="str">
        <f ca="1">先生札!S11</f>
        <v/>
      </c>
      <c r="E261" s="106"/>
      <c r="F261" s="106" t="str">
        <f>""</f>
        <v/>
      </c>
      <c r="G261" s="106" t="str">
        <f>""</f>
        <v/>
      </c>
      <c r="H261" s="106" t="str">
        <f ca="1">先生札!T11</f>
        <v/>
      </c>
      <c r="I261" s="106" t="str">
        <f>""</f>
        <v/>
      </c>
      <c r="J261" s="177" t="str">
        <f ca="1">IF(C261&lt;&gt;"",
VLOOKUP(
"*"&amp;LEFT(IF(COUNTIF(D261,"*学食*"),"キャラ弁（学食）",
IF(COUNTIF(D261,"*赤*"),"赤",
IF(COUNTIF(D261,"*キャラ弁当*"),"キャラ弁当",D261))),4)&amp;"*",注文弁当の抽出!$F$1:$G$15,2,FALSE),"")</f>
        <v/>
      </c>
      <c r="M261" s="106"/>
      <c r="P261" s="106" t="str">
        <f t="shared" ca="1" si="110"/>
        <v/>
      </c>
      <c r="Q261" s="106" t="str">
        <f t="shared" ca="1" si="109"/>
        <v/>
      </c>
      <c r="S261" s="176"/>
      <c r="U261" s="218"/>
      <c r="V261" s="219"/>
      <c r="W261" s="219" t="str" cm="1">
        <f t="array" aca="1" ref="W261" ca="1">IF($R261&lt;&gt;"",
IF(AND(COUNTIF(INDIRECT("B"&amp;R261&amp;""),"*雙葉*"),COUNTIF($B$71:$B$210,"*雙葉*")&gt;=1),
IF(OR(COUNTIF(INDIRECT("B"&amp;R261&amp;""),"*雙葉先生*"),COUNTIF(INDIRECT("B"&amp;R261-1&amp;""),"*雙葉*")),INDIRECT("H"&amp;R261&amp;""),INDIRECT("H"&amp;R261&amp;"")+INDIRECT("H"&amp;MATCH("雙葉'",INDIRECT("B"&amp;R261+3&amp;":B210"),0)+2+R261&amp;"")),
IF(AND(LEFT(INDIRECT("B"&amp;R261&amp;""),2)="博多",COUNTIF(B:B,"*博多*")&gt;=2),
INDIRECT("H"&amp;R261&amp;"")+IFERROR(INDIRECT("H"&amp;MATCH("*"&amp;INDIRECT("B"&amp;R261&amp;"")&amp;"*",INDIRECT("B"&amp;R261+1&amp;":B210"),0)+R261&amp;""),0),
IF(AND(LEFT(INDIRECT("B"&amp;R261&amp;""),3)="奈良屋",COUNTIF(B:B,"*奈良屋*")&gt;=2),
INDIRECT("H"&amp;R261&amp;"")
+INDIRECT("H"&amp;MATCH("*"&amp;INDIRECT("B"&amp;R261&amp;"")&amp;"*",INDIRECT("B"&amp;R261+1&amp;":B210"),0)+R261&amp;"")
+INDIRECT("H"&amp;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&amp;"")
+INDIRECT("H"&amp;MATCH("*"&amp;INDIRECT("B"&amp;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&amp;"")&amp;"*",INDIRECT("B"&amp;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+1&amp;":B210"),0)+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&amp;""),
INDIRECT("H"&amp;R261&amp;"")))),"")</f>
        <v/>
      </c>
      <c r="AB261" s="176" t="str">
        <f t="array" aca="1" ref="AB261" ca="1">IF($R261&lt;&gt;"",
IF(AND(COUNTIF(INDIRECT("B"&amp;R261&amp;""),"*雙葉*"),COUNTIF(INDIRECT("B"&amp;R261&amp;""),"&lt;&gt;*先生*"),COUNTIF(B:B,"*雙葉*")&gt;=2),
INDIRECT("M"&amp;R261&amp;"")+INDIRECT("M"&amp;MATCH("雙葉'",INDIRECT("B"&amp;R261+1&amp;":B210"),0)+R261&amp;""),
IF(AND(LEFT(INDIRECT("B"&amp;R261&amp;""),2)="博多",COUNTIF(B:B,"*博多*")&gt;=2),
INDIRECT("M"&amp;R261&amp;"")+INDIRECT("M"&amp;MATCH("*"&amp;INDIRECT("B"&amp;R261&amp;"")&amp;"*",INDIRECT("B"&amp;R261+1&amp;":B210"),0)+R261&amp;""),
IF(AND(LEFT(INDIRECT("B"&amp;R261&amp;""),3)="奈良屋",COUNTIF(B:B,"*奈良屋*")&gt;=2),
INDIRECT("M"&amp;R261&amp;"")+INDIRECT("M"&amp;MATCH("*"&amp;INDIRECT("B"&amp;R261&amp;"")&amp;"*",INDIRECT("B"&amp;R261+1&amp;":B210"),0)+R261&amp;"")
+INDIRECT("M"&amp;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&amp;""),
INDIRECT("M"&amp;R261&amp;"")))),"")</f>
        <v/>
      </c>
      <c r="AD261" s="176" t="str">
        <f t="shared" ca="1" si="111"/>
        <v/>
      </c>
      <c r="AE261" s="176" t="str">
        <f t="shared" ca="1" si="112"/>
        <v/>
      </c>
      <c r="AF261" s="176" t="str">
        <f t="shared" ca="1" si="113"/>
        <v/>
      </c>
      <c r="AG261" s="176" t="str">
        <f t="shared" ca="1" si="114"/>
        <v/>
      </c>
      <c r="AH261" s="183" t="str">
        <f t="shared" ca="1" si="115"/>
        <v/>
      </c>
      <c r="AI261" s="176" t="str">
        <f t="shared" ca="1" si="116"/>
        <v/>
      </c>
      <c r="AJ261" s="176" t="str">
        <f t="shared" ca="1" si="117"/>
        <v/>
      </c>
      <c r="AK261" s="176" t="str">
        <f t="shared" ca="1" si="118"/>
        <v/>
      </c>
      <c r="AL261" s="176" t="str">
        <f t="shared" ca="1" si="119"/>
        <v/>
      </c>
      <c r="AM261" s="176" t="str">
        <f t="shared" ca="1" si="120"/>
        <v/>
      </c>
      <c r="AN261" s="176" t="str">
        <f t="shared" ca="1" si="121"/>
        <v/>
      </c>
      <c r="AO261" s="176" t="str">
        <f t="shared" ca="1" si="122"/>
        <v/>
      </c>
      <c r="AP261" s="176" t="str">
        <f t="shared" ca="1" si="123"/>
        <v/>
      </c>
    </row>
    <row r="262" spans="1:42">
      <c r="A262" s="100" t="str">
        <f ca="1">IF(C262&lt;&gt;"",MATCH("*"&amp;LEFT(C262,4)&amp;"*",数出表_Excel!A:A,0),"")</f>
        <v/>
      </c>
      <c r="B262" s="106"/>
      <c r="C262" s="119" t="str">
        <f ca="1">先生札!R12</f>
        <v/>
      </c>
      <c r="D262" s="119" t="str">
        <f ca="1">先生札!S12</f>
        <v/>
      </c>
      <c r="E262" s="106"/>
      <c r="F262" s="106" t="str">
        <f>""</f>
        <v/>
      </c>
      <c r="G262" s="106" t="str">
        <f>""</f>
        <v/>
      </c>
      <c r="H262" s="106" t="str">
        <f ca="1">先生札!T12</f>
        <v/>
      </c>
      <c r="I262" s="106" t="str">
        <f>""</f>
        <v/>
      </c>
      <c r="J262" s="177" t="str">
        <f ca="1">IF(C262&lt;&gt;"",
VLOOKUP(
"*"&amp;LEFT(IF(COUNTIF(D262,"*学食*"),"キャラ弁（学食）",
IF(COUNTIF(D262,"*赤*"),"赤",
IF(COUNTIF(D262,"*キャラ弁当*"),"キャラ弁当",D262))),4)&amp;"*",注文弁当の抽出!$F$1:$G$15,2,FALSE),"")</f>
        <v/>
      </c>
      <c r="M262" s="106"/>
      <c r="P262" s="106" t="str">
        <f t="shared" ca="1" si="110"/>
        <v/>
      </c>
      <c r="Q262" s="106" t="str">
        <f t="shared" ca="1" si="109"/>
        <v/>
      </c>
      <c r="S262" s="176"/>
      <c r="U262" s="218"/>
      <c r="V262" s="219"/>
      <c r="W262" s="219" t="str" cm="1">
        <f t="array" aca="1" ref="W262" ca="1">IF($R262&lt;&gt;"",
IF(AND(COUNTIF(INDIRECT("B"&amp;R262&amp;""),"*雙葉*"),COUNTIF($B$71:$B$210,"*雙葉*")&gt;=1),
IF(OR(COUNTIF(INDIRECT("B"&amp;R262&amp;""),"*雙葉先生*"),COUNTIF(INDIRECT("B"&amp;R262-1&amp;""),"*雙葉*")),INDIRECT("H"&amp;R262&amp;""),INDIRECT("H"&amp;R262&amp;"")+INDIRECT("H"&amp;MATCH("雙葉'",INDIRECT("B"&amp;R262+3&amp;":B210"),0)+2+R262&amp;"")),
IF(AND(LEFT(INDIRECT("B"&amp;R262&amp;""),2)="博多",COUNTIF(B:B,"*博多*")&gt;=2),
INDIRECT("H"&amp;R262&amp;"")+IFERROR(INDIRECT("H"&amp;MATCH("*"&amp;INDIRECT("B"&amp;R262&amp;"")&amp;"*",INDIRECT("B"&amp;R262+1&amp;":B210"),0)+R262&amp;""),0),
IF(AND(LEFT(INDIRECT("B"&amp;R262&amp;""),3)="奈良屋",COUNTIF(B:B,"*奈良屋*")&gt;=2),
INDIRECT("H"&amp;R262&amp;"")
+INDIRECT("H"&amp;MATCH("*"&amp;INDIRECT("B"&amp;R262&amp;"")&amp;"*",INDIRECT("B"&amp;R262+1&amp;":B210"),0)+R262&amp;"")
+INDIRECT("H"&amp;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&amp;"")
+INDIRECT("H"&amp;MATCH("*"&amp;INDIRECT("B"&amp;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&amp;"")&amp;"*",INDIRECT("B"&amp;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+1&amp;":B210"),0)+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&amp;""),
INDIRECT("H"&amp;R262&amp;"")))),"")</f>
        <v/>
      </c>
      <c r="AB262" s="176" t="str">
        <f t="array" aca="1" ref="AB262" ca="1">IF($R262&lt;&gt;"",
IF(AND(COUNTIF(INDIRECT("B"&amp;R262&amp;""),"*雙葉*"),COUNTIF(INDIRECT("B"&amp;R262&amp;""),"&lt;&gt;*先生*"),COUNTIF(B:B,"*雙葉*")&gt;=2),
INDIRECT("M"&amp;R262&amp;"")+INDIRECT("M"&amp;MATCH("雙葉'",INDIRECT("B"&amp;R262+1&amp;":B210"),0)+R262&amp;""),
IF(AND(LEFT(INDIRECT("B"&amp;R262&amp;""),2)="博多",COUNTIF(B:B,"*博多*")&gt;=2),
INDIRECT("M"&amp;R262&amp;"")+INDIRECT("M"&amp;MATCH("*"&amp;INDIRECT("B"&amp;R262&amp;"")&amp;"*",INDIRECT("B"&amp;R262+1&amp;":B210"),0)+R262&amp;""),
IF(AND(LEFT(INDIRECT("B"&amp;R262&amp;""),3)="奈良屋",COUNTIF(B:B,"*奈良屋*")&gt;=2),
INDIRECT("M"&amp;R262&amp;"")+INDIRECT("M"&amp;MATCH("*"&amp;INDIRECT("B"&amp;R262&amp;"")&amp;"*",INDIRECT("B"&amp;R262+1&amp;":B210"),0)+R262&amp;"")
+INDIRECT("M"&amp;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&amp;""),
INDIRECT("M"&amp;R262&amp;"")))),"")</f>
        <v/>
      </c>
      <c r="AD262" s="176" t="str">
        <f t="shared" ca="1" si="111"/>
        <v/>
      </c>
      <c r="AE262" s="176" t="str">
        <f t="shared" ca="1" si="112"/>
        <v/>
      </c>
      <c r="AF262" s="176" t="str">
        <f t="shared" ca="1" si="113"/>
        <v/>
      </c>
      <c r="AG262" s="176" t="str">
        <f t="shared" ca="1" si="114"/>
        <v/>
      </c>
      <c r="AH262" s="183" t="str">
        <f t="shared" ca="1" si="115"/>
        <v/>
      </c>
      <c r="AI262" s="176" t="str">
        <f t="shared" ca="1" si="116"/>
        <v/>
      </c>
      <c r="AJ262" s="176" t="str">
        <f t="shared" ca="1" si="117"/>
        <v/>
      </c>
      <c r="AK262" s="176" t="str">
        <f t="shared" ca="1" si="118"/>
        <v/>
      </c>
      <c r="AL262" s="176" t="str">
        <f t="shared" ca="1" si="119"/>
        <v/>
      </c>
      <c r="AM262" s="176" t="str">
        <f t="shared" ca="1" si="120"/>
        <v/>
      </c>
      <c r="AN262" s="176" t="str">
        <f t="shared" ca="1" si="121"/>
        <v/>
      </c>
      <c r="AO262" s="176" t="str">
        <f t="shared" ca="1" si="122"/>
        <v/>
      </c>
      <c r="AP262" s="176" t="str">
        <f t="shared" ca="1" si="123"/>
        <v/>
      </c>
    </row>
    <row r="263" spans="1:42">
      <c r="A263" s="100" t="str">
        <f ca="1">IF(C263&lt;&gt;"",MATCH("*"&amp;LEFT(C263,4)&amp;"*",数出表_Excel!A:A,0),"")</f>
        <v/>
      </c>
      <c r="B263" s="106"/>
      <c r="C263" s="119" t="str">
        <f ca="1">先生札!R13</f>
        <v/>
      </c>
      <c r="D263" s="119" t="str">
        <f ca="1">先生札!S13</f>
        <v/>
      </c>
      <c r="E263" s="106"/>
      <c r="F263" s="106" t="str">
        <f>""</f>
        <v/>
      </c>
      <c r="G263" s="106" t="str">
        <f>""</f>
        <v/>
      </c>
      <c r="H263" s="106" t="str">
        <f ca="1">先生札!T13</f>
        <v/>
      </c>
      <c r="I263" s="106" t="str">
        <f>""</f>
        <v/>
      </c>
      <c r="J263" s="177" t="str">
        <f ca="1">IF(C263&lt;&gt;"",
VLOOKUP(
"*"&amp;LEFT(IF(COUNTIF(D263,"*学食*"),"キャラ弁（学食）",
IF(COUNTIF(D263,"*赤*"),"赤",
IF(COUNTIF(D263,"*キャラ弁当*"),"キャラ弁当",D263))),4)&amp;"*",注文弁当の抽出!$F$1:$G$15,2,FALSE),"")</f>
        <v/>
      </c>
      <c r="M263" s="106"/>
      <c r="P263" s="106" t="str">
        <f t="shared" ca="1" si="110"/>
        <v/>
      </c>
      <c r="Q263" s="106" t="str">
        <f t="shared" ca="1" si="109"/>
        <v/>
      </c>
      <c r="R263" s="176" t="str">
        <f t="array" aca="1" ref="R263" ca="1">IFERROR(SMALL(IF(P$1:P$311&lt;&gt;0,P$1:P$311),ROW(A263)),"")</f>
        <v/>
      </c>
      <c r="S263" s="176" t="str">
        <f t="array" aca="1" ref="S263" ca="1">IF($R263&lt;&gt;"",
SUBSTITUTE(SUBSTITUTE(INDIRECT("C"&amp;$R263&amp;"")," 週3ｺｰｽ","")," 週5ｺｰｽ",""),"")</f>
        <v/>
      </c>
      <c r="T263" s="176" t="str">
        <f t="array" aca="1" ref="T263" ca="1">IF(IF($R263&lt;&gt;"",
INDIRECT(""&amp;IF(COLUMN(D263)&lt;=26,CHAR(COLUMN(D263)+64),CHAR(INT((COLUMN(D263)-1)/26)+64)&amp;CHAR(MOD(COLUMN(D263)-1,26)+65))&amp;$R263&amp;""),"")=0,"",
IF($R263&lt;&gt;"",
INDIRECT(""&amp;IF(COLUMN(D263)&lt;=26,CHAR(COLUMN(D263)+64),CHAR(INT((COLUMN(D263)-1)/26)+64)&amp;CHAR(MOD(COLUMN(D263)-1,26)+65))&amp;$R263&amp;""),""))</f>
        <v/>
      </c>
      <c r="U263" s="218" t="str">
        <f t="array" aca="1" ref="U263" ca="1">IF($R263&lt;&gt;"",
INDIRECT("F"&amp;$R263&amp;""),"")</f>
        <v/>
      </c>
      <c r="V263" s="219" t="str">
        <f t="array" aca="1" ref="V263" ca="1">IF($R263&lt;&gt;"",
INDIRECT("G"&amp;$R263&amp;""),"")</f>
        <v/>
      </c>
      <c r="W263" s="219" t="str" cm="1">
        <f t="array" aca="1" ref="W263" ca="1">IF($R263&lt;&gt;"",
IF(AND(COUNTIF(INDIRECT("B"&amp;R263&amp;""),"*雙葉*"),COUNTIF($B$71:$B$210,"*雙葉*")&gt;=1),
IF(OR(COUNTIF(INDIRECT("B"&amp;R263&amp;""),"*雙葉先生*"),COUNTIF(INDIRECT("B"&amp;R263-1&amp;""),"*雙葉*")),INDIRECT("H"&amp;R263&amp;""),INDIRECT("H"&amp;R263&amp;"")+INDIRECT("H"&amp;MATCH("雙葉'",INDIRECT("B"&amp;R263+3&amp;":B210"),0)+2+R263&amp;"")),
IF(AND(LEFT(INDIRECT("B"&amp;R263&amp;""),2)="博多",COUNTIF(B:B,"*博多*")&gt;=2),
INDIRECT("H"&amp;R263&amp;"")+IFERROR(INDIRECT("H"&amp;MATCH("*"&amp;INDIRECT("B"&amp;R263&amp;"")&amp;"*",INDIRECT("B"&amp;R263+1&amp;":B210"),0)+R263&amp;""),0),
IF(AND(LEFT(INDIRECT("B"&amp;R263&amp;""),3)="奈良屋",COUNTIF(B:B,"*奈良屋*")&gt;=2),
INDIRECT("H"&amp;R263&amp;"")
+INDIRECT("H"&amp;MATCH("*"&amp;INDIRECT("B"&amp;R263&amp;"")&amp;"*",INDIRECT("B"&amp;R263+1&amp;":B210"),0)+R263&amp;"")
+INDIRECT("H"&amp;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&amp;"")
+INDIRECT("H"&amp;MATCH("*"&amp;INDIRECT("B"&amp;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&amp;"")&amp;"*",INDIRECT("B"&amp;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+1&amp;":B210"),0)+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&amp;""),
INDIRECT("H"&amp;R263&amp;"")))),"")</f>
        <v/>
      </c>
      <c r="X263" s="176" t="str">
        <f t="array" aca="1" ref="X263" ca="1">IF($R263&lt;&gt;"",
INDIRECT(""&amp;IF(COLUMN(I263)&lt;=26,CHAR(COLUMN(I263)+64),CHAR(INT((COLUMN(I263)-1)/26)+64)&amp;CHAR(MOD(COLUMN(I263)-1,26)+65))&amp;$R263&amp;""),"")</f>
        <v/>
      </c>
      <c r="Y263" s="176" t="str">
        <f t="array" aca="1" ref="Y263" ca="1">IF($R263&lt;&gt;"",
INDIRECT(""&amp;IF(COLUMN(J263)&lt;=26,CHAR(COLUMN(J263)+64),CHAR(INT((COLUMN(J263)-1)/26)+64)&amp;CHAR(MOD(COLUMN(J263)-1,26)+65))&amp;$R263&amp;""),"")</f>
        <v/>
      </c>
      <c r="Z263" s="176" t="str">
        <f ca="1">IF(R263&lt;&gt;"",
IFERROR(INT(W263/Y263),""),"")</f>
        <v/>
      </c>
      <c r="AA263" s="176" t="str">
        <f ca="1">IFERROR(MOD(W263,Y263),"")</f>
        <v/>
      </c>
      <c r="AB263" s="176" t="str">
        <f t="array" aca="1" ref="AB263" ca="1">IF($R263&lt;&gt;"",
IF(AND(COUNTIF(INDIRECT("B"&amp;R263&amp;""),"*雙葉*"),COUNTIF(INDIRECT("B"&amp;R263&amp;""),"&lt;&gt;*先生*"),COUNTIF(B:B,"*雙葉*")&gt;=2),
INDIRECT("M"&amp;R263&amp;"")+INDIRECT("M"&amp;MATCH("雙葉'",INDIRECT("B"&amp;R263+1&amp;":B210"),0)+R263&amp;""),
IF(AND(LEFT(INDIRECT("B"&amp;R263&amp;""),2)="博多",COUNTIF(B:B,"*博多*")&gt;=2),
INDIRECT("M"&amp;R263&amp;"")+INDIRECT("M"&amp;MATCH("*"&amp;INDIRECT("B"&amp;R263&amp;"")&amp;"*",INDIRECT("B"&amp;R263+1&amp;":B210"),0)+R263&amp;""),
IF(AND(LEFT(INDIRECT("B"&amp;R263&amp;""),3)="奈良屋",COUNTIF(B:B,"*奈良屋*")&gt;=2),
INDIRECT("M"&amp;R263&amp;"")+INDIRECT("M"&amp;MATCH("*"&amp;INDIRECT("B"&amp;R263&amp;"")&amp;"*",INDIRECT("B"&amp;R263+1&amp;":B210"),0)+R263&amp;"")
+INDIRECT("M"&amp;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&amp;""),
INDIRECT("M"&amp;R263&amp;"")))),"")</f>
        <v/>
      </c>
      <c r="AC263" s="176" t="str">
        <f ca="1">IF(S263&lt;&gt;"",INDEX(A:A, MATCH("*"&amp;LEFT(S263,4)&amp;"*", C:C, 0)),"")</f>
        <v/>
      </c>
      <c r="AD263" s="176" t="str">
        <f t="shared" ca="1" si="111"/>
        <v/>
      </c>
      <c r="AE263" s="176" t="str">
        <f t="shared" ca="1" si="112"/>
        <v/>
      </c>
      <c r="AF263" s="176" t="str">
        <f t="shared" ca="1" si="113"/>
        <v/>
      </c>
      <c r="AG263" s="176" t="str">
        <f t="shared" ca="1" si="114"/>
        <v/>
      </c>
      <c r="AH263" s="183" t="str">
        <f t="shared" ca="1" si="115"/>
        <v/>
      </c>
      <c r="AI263" s="176" t="str">
        <f t="shared" ca="1" si="116"/>
        <v/>
      </c>
      <c r="AJ263" s="176" t="str">
        <f t="shared" ca="1" si="117"/>
        <v/>
      </c>
      <c r="AK263" s="176" t="str">
        <f t="shared" ca="1" si="118"/>
        <v/>
      </c>
      <c r="AL263" s="176" t="str">
        <f t="shared" ca="1" si="119"/>
        <v/>
      </c>
      <c r="AM263" s="176" t="str">
        <f t="shared" ca="1" si="120"/>
        <v/>
      </c>
      <c r="AN263" s="176" t="str">
        <f t="shared" ca="1" si="121"/>
        <v/>
      </c>
      <c r="AO263" s="176" t="str">
        <f t="shared" ca="1" si="122"/>
        <v/>
      </c>
      <c r="AP263" s="176" t="str">
        <f t="shared" ca="1" si="123"/>
        <v/>
      </c>
    </row>
    <row r="264" spans="1:42">
      <c r="A264" s="100" t="str">
        <f ca="1">IF(C264&lt;&gt;"",MATCH("*"&amp;LEFT(C264,4)&amp;"*",数出表_Excel!A:A,0),"")</f>
        <v/>
      </c>
      <c r="B264" s="106"/>
      <c r="C264" s="119" t="str">
        <f ca="1">先生札!R14</f>
        <v/>
      </c>
      <c r="D264" s="119" t="str">
        <f ca="1">先生札!S14</f>
        <v/>
      </c>
      <c r="E264" s="106"/>
      <c r="F264" s="106" t="str">
        <f>""</f>
        <v/>
      </c>
      <c r="G264" s="106" t="str">
        <f>""</f>
        <v/>
      </c>
      <c r="H264" s="106" t="str">
        <f ca="1">先生札!T14</f>
        <v/>
      </c>
      <c r="I264" s="106" t="str">
        <f>""</f>
        <v/>
      </c>
      <c r="J264" s="177" t="str">
        <f ca="1">IF(C264&lt;&gt;"",
VLOOKUP(
"*"&amp;LEFT(IF(COUNTIF(D264,"*学食*"),"キャラ弁（学食）",
IF(COUNTIF(D264,"*赤*"),"赤",
IF(COUNTIF(D264,"*キャラ弁当*"),"キャラ弁当",D264))),4)&amp;"*",注文弁当の抽出!$F$1:$G$15,2,FALSE),"")</f>
        <v/>
      </c>
      <c r="M264" s="106"/>
      <c r="P264" s="106" t="str">
        <f t="shared" ca="1" si="110"/>
        <v/>
      </c>
      <c r="Q264" s="106" t="str">
        <f t="shared" ca="1" si="109"/>
        <v/>
      </c>
      <c r="R264" s="176" t="str">
        <f t="array" aca="1" ref="R264" ca="1">IFERROR(SMALL(IF(P$1:P$311&lt;&gt;0,P$1:P$311),ROW(A264)),"")</f>
        <v/>
      </c>
      <c r="S264" s="176" t="str">
        <f t="array" aca="1" ref="S264" ca="1">IF($R264&lt;&gt;"",
SUBSTITUTE(SUBSTITUTE(INDIRECT("C"&amp;$R264&amp;"")," 週3ｺｰｽ","")," 週5ｺｰｽ",""),"")</f>
        <v/>
      </c>
      <c r="T264" s="176" t="str">
        <f t="array" aca="1" ref="T264" ca="1">IF(IF($R264&lt;&gt;"",
INDIRECT(""&amp;IF(COLUMN(D264)&lt;=26,CHAR(COLUMN(D264)+64),CHAR(INT((COLUMN(D264)-1)/26)+64)&amp;CHAR(MOD(COLUMN(D264)-1,26)+65))&amp;$R264&amp;""),"")=0,"",
IF($R264&lt;&gt;"",
INDIRECT(""&amp;IF(COLUMN(D264)&lt;=26,CHAR(COLUMN(D264)+64),CHAR(INT((COLUMN(D264)-1)/26)+64)&amp;CHAR(MOD(COLUMN(D264)-1,26)+65))&amp;$R264&amp;""),""))</f>
        <v/>
      </c>
      <c r="U264" s="218" t="str">
        <f t="array" aca="1" ref="U264" ca="1">IF($R264&lt;&gt;"",
INDIRECT("F"&amp;$R264&amp;""),"")</f>
        <v/>
      </c>
      <c r="V264" s="219" t="str">
        <f t="array" aca="1" ref="V264" ca="1">IF($R264&lt;&gt;"",
INDIRECT("G"&amp;$R264&amp;""),"")</f>
        <v/>
      </c>
      <c r="W264" s="219" t="str" cm="1">
        <f t="array" aca="1" ref="W264" ca="1">IF($R264&lt;&gt;"",
IF(AND(COUNTIF(INDIRECT("B"&amp;R264&amp;""),"*雙葉*"),COUNTIF($B$71:$B$210,"*雙葉*")&gt;=1),
IF(OR(COUNTIF(INDIRECT("B"&amp;R264&amp;""),"*雙葉先生*"),COUNTIF(INDIRECT("B"&amp;R264-1&amp;""),"*雙葉*")),INDIRECT("H"&amp;R264&amp;""),INDIRECT("H"&amp;R264&amp;"")+INDIRECT("H"&amp;MATCH("雙葉'",INDIRECT("B"&amp;R264+3&amp;":B210"),0)+2+R264&amp;"")),
IF(AND(LEFT(INDIRECT("B"&amp;R264&amp;""),2)="博多",COUNTIF(B:B,"*博多*")&gt;=2),
INDIRECT("H"&amp;R264&amp;"")+IFERROR(INDIRECT("H"&amp;MATCH("*"&amp;INDIRECT("B"&amp;R264&amp;"")&amp;"*",INDIRECT("B"&amp;R264+1&amp;":B210"),0)+R264&amp;""),0),
IF(AND(LEFT(INDIRECT("B"&amp;R264&amp;""),3)="奈良屋",COUNTIF(B:B,"*奈良屋*")&gt;=2),
INDIRECT("H"&amp;R264&amp;"")
+INDIRECT("H"&amp;MATCH("*"&amp;INDIRECT("B"&amp;R264&amp;"")&amp;"*",INDIRECT("B"&amp;R264+1&amp;":B210"),0)+R264&amp;"")
+INDIRECT("H"&amp;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&amp;"")
+INDIRECT("H"&amp;MATCH("*"&amp;INDIRECT("B"&amp;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&amp;"")&amp;"*",INDIRECT("B"&amp;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+1&amp;":B210"),0)+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&amp;""),
INDIRECT("H"&amp;R264&amp;"")))),"")</f>
        <v/>
      </c>
      <c r="X264" s="176" t="str">
        <f t="array" aca="1" ref="X264" ca="1">IF($R264&lt;&gt;"",
INDIRECT(""&amp;IF(COLUMN(I264)&lt;=26,CHAR(COLUMN(I264)+64),CHAR(INT((COLUMN(I264)-1)/26)+64)&amp;CHAR(MOD(COLUMN(I264)-1,26)+65))&amp;$R264&amp;""),"")</f>
        <v/>
      </c>
      <c r="Y264" s="176" t="str">
        <f t="array" aca="1" ref="Y264" ca="1">IF($R264&lt;&gt;"",
INDIRECT(""&amp;IF(COLUMN(J264)&lt;=26,CHAR(COLUMN(J264)+64),CHAR(INT((COLUMN(J264)-1)/26)+64)&amp;CHAR(MOD(COLUMN(J264)-1,26)+65))&amp;$R264&amp;""),"")</f>
        <v/>
      </c>
      <c r="Z264" s="176" t="str">
        <f ca="1">IF(R264&lt;&gt;"",
IFERROR(INT(W264/Y264),""),"")</f>
        <v/>
      </c>
      <c r="AA264" s="176" t="str">
        <f ca="1">IFERROR(MOD(W264,Y264),"")</f>
        <v/>
      </c>
      <c r="AB264" s="176" t="str">
        <f t="array" aca="1" ref="AB264" ca="1">IF($R264&lt;&gt;"",
IF(AND(COUNTIF(INDIRECT("B"&amp;R264&amp;""),"*雙葉*"),COUNTIF(INDIRECT("B"&amp;R264&amp;""),"&lt;&gt;*先生*"),COUNTIF(B:B,"*雙葉*")&gt;=2),
INDIRECT("M"&amp;R264&amp;"")+INDIRECT("M"&amp;MATCH("雙葉'",INDIRECT("B"&amp;R264+1&amp;":B210"),0)+R264&amp;""),
IF(AND(LEFT(INDIRECT("B"&amp;R264&amp;""),2)="博多",COUNTIF(B:B,"*博多*")&gt;=2),
INDIRECT("M"&amp;R264&amp;"")+INDIRECT("M"&amp;MATCH("*"&amp;INDIRECT("B"&amp;R264&amp;"")&amp;"*",INDIRECT("B"&amp;R264+1&amp;":B210"),0)+R264&amp;""),
IF(AND(LEFT(INDIRECT("B"&amp;R264&amp;""),3)="奈良屋",COUNTIF(B:B,"*奈良屋*")&gt;=2),
INDIRECT("M"&amp;R264&amp;"")+INDIRECT("M"&amp;MATCH("*"&amp;INDIRECT("B"&amp;R264&amp;"")&amp;"*",INDIRECT("B"&amp;R264+1&amp;":B210"),0)+R264&amp;"")
+INDIRECT("M"&amp;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&amp;""),
INDIRECT("M"&amp;R264&amp;"")))),"")</f>
        <v/>
      </c>
      <c r="AC264" s="176" t="str">
        <f ca="1">IF(S264&lt;&gt;"",INDEX(A:A, MATCH("*"&amp;LEFT(S264,4)&amp;"*", C:C, 0)),"")</f>
        <v/>
      </c>
      <c r="AD264" s="176" t="str">
        <f t="shared" ca="1" si="111"/>
        <v/>
      </c>
      <c r="AE264" s="176" t="str">
        <f t="shared" ca="1" si="112"/>
        <v/>
      </c>
      <c r="AF264" s="176" t="str">
        <f t="shared" ca="1" si="113"/>
        <v/>
      </c>
      <c r="AG264" s="176" t="str">
        <f t="shared" ca="1" si="114"/>
        <v/>
      </c>
      <c r="AH264" s="183" t="str">
        <f t="shared" ca="1" si="115"/>
        <v/>
      </c>
      <c r="AI264" s="176" t="str">
        <f t="shared" ca="1" si="116"/>
        <v/>
      </c>
      <c r="AJ264" s="176" t="str">
        <f t="shared" ca="1" si="117"/>
        <v/>
      </c>
      <c r="AK264" s="176" t="str">
        <f t="shared" ca="1" si="118"/>
        <v/>
      </c>
      <c r="AL264" s="176" t="str">
        <f t="shared" ca="1" si="119"/>
        <v/>
      </c>
      <c r="AM264" s="176" t="str">
        <f t="shared" ca="1" si="120"/>
        <v/>
      </c>
      <c r="AN264" s="176" t="str">
        <f t="shared" ca="1" si="121"/>
        <v/>
      </c>
      <c r="AO264" s="176" t="str">
        <f t="shared" ca="1" si="122"/>
        <v/>
      </c>
      <c r="AP264" s="176" t="str">
        <f t="shared" ca="1" si="123"/>
        <v/>
      </c>
    </row>
    <row r="265" spans="1:42">
      <c r="A265" s="100" t="str">
        <f ca="1">IF(C265&lt;&gt;"",MATCH("*"&amp;LEFT(C265,4)&amp;"*",数出表_Excel!A:A,0),"")</f>
        <v/>
      </c>
      <c r="B265" s="106"/>
      <c r="C265" s="119" t="str">
        <f ca="1">先生札!R15</f>
        <v/>
      </c>
      <c r="D265" s="119" t="str">
        <f ca="1">先生札!S15</f>
        <v/>
      </c>
      <c r="E265" s="106"/>
      <c r="F265" s="106" t="str">
        <f>""</f>
        <v/>
      </c>
      <c r="G265" s="106" t="str">
        <f>""</f>
        <v/>
      </c>
      <c r="H265" s="106" t="str">
        <f ca="1">先生札!T15</f>
        <v/>
      </c>
      <c r="I265" s="106" t="str">
        <f>""</f>
        <v/>
      </c>
      <c r="J265" s="177" t="str">
        <f ca="1">IF(C265&lt;&gt;"",
VLOOKUP(
"*"&amp;LEFT(IF(COUNTIF(D265,"*学食*"),"キャラ弁（学食）",
IF(COUNTIF(D265,"*赤*"),"赤",
IF(COUNTIF(D265,"*キャラ弁当*"),"キャラ弁当",D265))),4)&amp;"*",注文弁当の抽出!$F$1:$G$15,2,FALSE),"")</f>
        <v/>
      </c>
      <c r="M265" s="106"/>
      <c r="P265" s="106" t="str">
        <f t="shared" ca="1" si="110"/>
        <v/>
      </c>
      <c r="Q265" s="106" t="str">
        <f t="shared" ca="1" si="109"/>
        <v/>
      </c>
      <c r="R265" s="176" t="str">
        <f t="array" aca="1" ref="R265" ca="1">IFERROR(SMALL(IF(P$1:P$311&lt;&gt;0,P$1:P$311),ROW(A265)),"")</f>
        <v/>
      </c>
      <c r="S265" s="176" t="str">
        <f t="array" aca="1" ref="S265" ca="1">IF($R265&lt;&gt;"",
SUBSTITUTE(SUBSTITUTE(INDIRECT("C"&amp;$R265&amp;"")," 週3ｺｰｽ","")," 週5ｺｰｽ",""),"")</f>
        <v/>
      </c>
      <c r="T265" s="176" t="str">
        <f t="array" aca="1" ref="T265" ca="1">IF(IF($R265&lt;&gt;"",
INDIRECT(""&amp;IF(COLUMN(D265)&lt;=26,CHAR(COLUMN(D265)+64),CHAR(INT((COLUMN(D265)-1)/26)+64)&amp;CHAR(MOD(COLUMN(D265)-1,26)+65))&amp;$R265&amp;""),"")=0,"",
IF($R265&lt;&gt;"",
INDIRECT(""&amp;IF(COLUMN(D265)&lt;=26,CHAR(COLUMN(D265)+64),CHAR(INT((COLUMN(D265)-1)/26)+64)&amp;CHAR(MOD(COLUMN(D265)-1,26)+65))&amp;$R265&amp;""),""))</f>
        <v/>
      </c>
      <c r="U265" s="218" t="str">
        <f t="array" aca="1" ref="U265" ca="1">IF($R265&lt;&gt;"",
INDIRECT("F"&amp;$R265&amp;""),"")</f>
        <v/>
      </c>
      <c r="V265" s="219" t="str">
        <f t="array" aca="1" ref="V265" ca="1">IF($R265&lt;&gt;"",
INDIRECT("G"&amp;$R265&amp;""),"")</f>
        <v/>
      </c>
      <c r="W265" s="219" t="str" cm="1">
        <f t="array" aca="1" ref="W265" ca="1">IF($R265&lt;&gt;"",
IF(AND(COUNTIF(INDIRECT("B"&amp;R265&amp;""),"*雙葉*"),COUNTIF($B$71:$B$210,"*雙葉*")&gt;=1),
IF(OR(COUNTIF(INDIRECT("B"&amp;R265&amp;""),"*雙葉先生*"),COUNTIF(INDIRECT("B"&amp;R265-1&amp;""),"*雙葉*")),INDIRECT("H"&amp;R265&amp;""),INDIRECT("H"&amp;R265&amp;"")+INDIRECT("H"&amp;MATCH("雙葉'",INDIRECT("B"&amp;R265+3&amp;":B210"),0)+2+R265&amp;"")),
IF(AND(LEFT(INDIRECT("B"&amp;R265&amp;""),2)="博多",COUNTIF(B:B,"*博多*")&gt;=2),
INDIRECT("H"&amp;R265&amp;"")+IFERROR(INDIRECT("H"&amp;MATCH("*"&amp;INDIRECT("B"&amp;R265&amp;"")&amp;"*",INDIRECT("B"&amp;R265+1&amp;":B210"),0)+R265&amp;""),0),
IF(AND(LEFT(INDIRECT("B"&amp;R265&amp;""),3)="奈良屋",COUNTIF(B:B,"*奈良屋*")&gt;=2),
INDIRECT("H"&amp;R265&amp;"")
+INDIRECT("H"&amp;MATCH("*"&amp;INDIRECT("B"&amp;R265&amp;"")&amp;"*",INDIRECT("B"&amp;R265+1&amp;":B210"),0)+R265&amp;"")
+INDIRECT("H"&amp;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&amp;"")
+INDIRECT("H"&amp;MATCH("*"&amp;INDIRECT("B"&amp;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&amp;"")&amp;"*",INDIRECT("B"&amp;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+1&amp;":B210"),0)+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&amp;""),
INDIRECT("H"&amp;R265&amp;"")))),"")</f>
        <v/>
      </c>
      <c r="X265" s="176" t="str">
        <f t="array" aca="1" ref="X265" ca="1">IF($R265&lt;&gt;"",
INDIRECT(""&amp;IF(COLUMN(I265)&lt;=26,CHAR(COLUMN(I265)+64),CHAR(INT((COLUMN(I265)-1)/26)+64)&amp;CHAR(MOD(COLUMN(I265)-1,26)+65))&amp;$R265&amp;""),"")</f>
        <v/>
      </c>
      <c r="Y265" s="176" t="str">
        <f t="array" aca="1" ref="Y265" ca="1">IF($R265&lt;&gt;"",
INDIRECT(""&amp;IF(COLUMN(J265)&lt;=26,CHAR(COLUMN(J265)+64),CHAR(INT((COLUMN(J265)-1)/26)+64)&amp;CHAR(MOD(COLUMN(J265)-1,26)+65))&amp;$R265&amp;""),"")</f>
        <v/>
      </c>
      <c r="Z265" s="176" t="str">
        <f ca="1">IF(R265&lt;&gt;"",
IFERROR(INT(W265/Y265),""),"")</f>
        <v/>
      </c>
      <c r="AA265" s="176" t="str">
        <f ca="1">IFERROR(MOD(W265,Y265),"")</f>
        <v/>
      </c>
      <c r="AB265" s="176" t="str">
        <f t="array" aca="1" ref="AB265" ca="1">IF($R265&lt;&gt;"",
IF(AND(COUNTIF(INDIRECT("B"&amp;R265&amp;""),"*雙葉*"),COUNTIF(INDIRECT("B"&amp;R265&amp;""),"&lt;&gt;*先生*"),COUNTIF(B:B,"*雙葉*")&gt;=2),
INDIRECT("M"&amp;R265&amp;"")+INDIRECT("M"&amp;MATCH("雙葉'",INDIRECT("B"&amp;R265+1&amp;":B210"),0)+R265&amp;""),
IF(AND(LEFT(INDIRECT("B"&amp;R265&amp;""),2)="博多",COUNTIF(B:B,"*博多*")&gt;=2),
INDIRECT("M"&amp;R265&amp;"")+INDIRECT("M"&amp;MATCH("*"&amp;INDIRECT("B"&amp;R265&amp;"")&amp;"*",INDIRECT("B"&amp;R265+1&amp;":B210"),0)+R265&amp;""),
IF(AND(LEFT(INDIRECT("B"&amp;R265&amp;""),3)="奈良屋",COUNTIF(B:B,"*奈良屋*")&gt;=2),
INDIRECT("M"&amp;R265&amp;"")+INDIRECT("M"&amp;MATCH("*"&amp;INDIRECT("B"&amp;R265&amp;"")&amp;"*",INDIRECT("B"&amp;R265+1&amp;":B210"),0)+R265&amp;"")
+INDIRECT("M"&amp;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&amp;""),
INDIRECT("M"&amp;R265&amp;"")))),"")</f>
        <v/>
      </c>
      <c r="AC265" s="176" t="str">
        <f ca="1">IF(S265&lt;&gt;"",INDEX(A:A, MATCH("*"&amp;LEFT(S265,4)&amp;"*", C:C, 0)),"")</f>
        <v/>
      </c>
      <c r="AD265" s="176" t="str">
        <f t="shared" ca="1" si="111"/>
        <v/>
      </c>
      <c r="AE265" s="176" t="str">
        <f t="shared" ca="1" si="112"/>
        <v/>
      </c>
      <c r="AF265" s="176" t="str">
        <f t="shared" ca="1" si="113"/>
        <v/>
      </c>
      <c r="AG265" s="176" t="str">
        <f t="shared" ca="1" si="114"/>
        <v/>
      </c>
      <c r="AH265" s="183" t="str">
        <f t="shared" ca="1" si="115"/>
        <v/>
      </c>
      <c r="AI265" s="176" t="str">
        <f t="shared" ca="1" si="116"/>
        <v/>
      </c>
      <c r="AJ265" s="176" t="str">
        <f t="shared" ca="1" si="117"/>
        <v/>
      </c>
      <c r="AK265" s="176" t="str">
        <f t="shared" ca="1" si="118"/>
        <v/>
      </c>
      <c r="AL265" s="176" t="str">
        <f t="shared" ca="1" si="119"/>
        <v/>
      </c>
      <c r="AM265" s="176" t="str">
        <f t="shared" ca="1" si="120"/>
        <v/>
      </c>
      <c r="AN265" s="176" t="str">
        <f t="shared" ca="1" si="121"/>
        <v/>
      </c>
      <c r="AO265" s="176" t="str">
        <f t="shared" ca="1" si="122"/>
        <v/>
      </c>
      <c r="AP265" s="176" t="str">
        <f t="shared" ca="1" si="123"/>
        <v/>
      </c>
    </row>
    <row r="266" spans="1:42">
      <c r="U266" s="218"/>
      <c r="V266" s="219"/>
      <c r="W266" s="219"/>
      <c r="AB266" s="176" t="str">
        <f t="array" aca="1" ref="AB266" ca="1">IF($R266&lt;&gt;"",
IF(AND(COUNTIF(INDIRECT("B"&amp;R266&amp;""),"*雙葉*"),COUNTIF(INDIRECT("B"&amp;R266&amp;""),"&lt;&gt;*先生*"),COUNTIF(B:B,"*雙葉*")&gt;=2),
INDIRECT("M"&amp;R266&amp;"")+INDIRECT("M"&amp;MATCH("雙葉'",INDIRECT("B"&amp;R266+1&amp;":B210"),0)+R266&amp;""),
IF(AND(LEFT(INDIRECT("B"&amp;R266&amp;""),2)="博多",COUNTIF(B:B,"*博多*")&gt;=2),
INDIRECT("M"&amp;R266&amp;"")+INDIRECT("M"&amp;MATCH("*"&amp;INDIRECT("B"&amp;R266&amp;"")&amp;"*",INDIRECT("B"&amp;R266+1&amp;":B210"),0)+R266&amp;""),
IF(AND(LEFT(INDIRECT("B"&amp;R266&amp;""),3)="奈良屋",COUNTIF(B:B,"*奈良屋*")&gt;=2),
INDIRECT("M"&amp;R266&amp;"")+INDIRECT("M"&amp;MATCH("*"&amp;INDIRECT("B"&amp;R266&amp;"")&amp;"*",INDIRECT("B"&amp;R266+1&amp;":B210"),0)+R266&amp;"")
+INDIRECT("M"&amp;MATCH("*"&amp;INDIRECT("B"&amp;MATCH("*"&amp;INDIRECT("B"&amp;R266&amp;"")&amp;"*",INDIRECT("B"&amp;R266+1&amp;":B210"),0)+R266&amp;"")&amp;"*",INDIRECT("B"&amp;MATCH("*"&amp;INDIRECT("B"&amp;R266&amp;"")&amp;"*",INDIRECT("B"&amp;R266+1&amp;":B210"),0)+R266+1&amp;":B210"),0)+MATCH("*"&amp;INDIRECT("B"&amp;R266&amp;"")&amp;"*",INDIRECT("B"&amp;R266+1&amp;":B210"),0)+R266&amp;""),
INDIRECT("M"&amp;R266&amp;"")))),"")</f>
        <v/>
      </c>
    </row>
    <row r="267" spans="1:42">
      <c r="U267" s="218"/>
      <c r="V267" s="219"/>
      <c r="W267" s="219"/>
    </row>
    <row r="268" spans="1:42">
      <c r="U268" s="218"/>
      <c r="V268" s="219"/>
      <c r="W268" s="219"/>
    </row>
    <row r="269" spans="1:42">
      <c r="U269" s="218"/>
      <c r="V269" s="219"/>
      <c r="W269" s="219"/>
    </row>
    <row r="270" spans="1:42">
      <c r="U270" s="218"/>
      <c r="V270" s="219"/>
      <c r="W270" s="219"/>
      <c r="Y270" s="176" t="str">
        <f t="array" aca="1" ref="Y270" ca="1">IF($R270&lt;&gt;"",
INDIRECT(""&amp;IF(COLUMN(J270)&lt;=26,CHAR(COLUMN(J270)+64),CHAR(INT((COLUMN(J270)-1)/26)+64)&amp;CHAR(MOD(COLUMN(J270)-1,26)+65))&amp;$R270&amp;""),"")</f>
        <v/>
      </c>
      <c r="AC270" s="176" t="str">
        <f>IF(S270&lt;&gt;"",INDEX(A:A, MATCH("*"&amp;LEFT(S270,4)&amp;"*", C:C, 0)),"")</f>
        <v/>
      </c>
      <c r="AD270" s="176" t="str">
        <f t="shared" ref="AD270:AD301" ca="1" si="124">IFERROR(INDEX(AC:AC,MATCH(SMALL($AU:$AU,ROW()+3),$AU:$AU,0)),"")</f>
        <v/>
      </c>
      <c r="AE270" s="176" t="str">
        <f t="shared" ref="AE270:AE301" ca="1" si="125">IFERROR(INDEX(R:R,MATCH(SMALL($AU:$AU,ROW()+3),$AU:$AU,0)),"")</f>
        <v/>
      </c>
      <c r="AF270" s="176" t="str">
        <f t="shared" ref="AF270:AF301" ca="1" si="126">IFERROR(INDEX(S:S,MATCH(SMALL($AU:$AU,ROW()+3),$AU:$AU,0)),"")</f>
        <v/>
      </c>
      <c r="AG270" s="176" t="str">
        <f t="shared" ref="AG270:AG301" ca="1" si="127">IFERROR(INDEX(T:T,MATCH(SMALL($AU:$AU,ROW()+3),$AU:$AU,0)),"")</f>
        <v/>
      </c>
      <c r="AH270" s="183" t="str">
        <f t="shared" ref="AH270:AH301" ca="1" si="128">IFERROR(INDEX(U:U,MATCH(SMALL($AU:$AU,ROW()+3),$AU:$AU,0)),"")</f>
        <v/>
      </c>
      <c r="AI270" s="176" t="str">
        <f t="shared" ref="AI270:AI301" ca="1" si="129">IFERROR(INDEX(V:V,MATCH(SMALL($AU:$AU,ROW()+3),$AU:$AU,0)),"")</f>
        <v/>
      </c>
      <c r="AJ270" s="176" t="str">
        <f t="shared" ref="AJ270:AJ301" ca="1" si="130">IFERROR(INDEX(W:W,MATCH(SMALL($AU:$AU,ROW()+3),$AU:$AU,0)),"")</f>
        <v/>
      </c>
      <c r="AK270" s="176" t="str">
        <f t="shared" ref="AK270:AK301" ca="1" si="131">IFERROR(INDEX(X:X,MATCH(SMALL($AU:$AU,ROW()+3),$AU:$AU,0)),"")</f>
        <v/>
      </c>
      <c r="AL270" s="176" t="str">
        <f t="shared" ref="AL270:AL301" ca="1" si="132">IFERROR(INDEX(Y:Y,MATCH(SMALL($AU:$AU,ROW()+3),$AU:$AU,0)),"")</f>
        <v/>
      </c>
      <c r="AM270" s="176" t="str">
        <f t="shared" ref="AM270:AM301" ca="1" si="133">IFERROR(INDEX(Z:Z,MATCH(SMALL($AU:$AU,ROW()+3),$AU:$AU,0)),"")</f>
        <v/>
      </c>
      <c r="AN270" s="176" t="str">
        <f t="shared" ref="AN270:AN301" ca="1" si="134">IFERROR(INDEX(AA:AA,MATCH(SMALL($AU:$AU,ROW()+3),$AU:$AU,0)),"")</f>
        <v/>
      </c>
      <c r="AO270" s="176" t="str">
        <f t="shared" ref="AO270:AO301" ca="1" si="135">IFERROR(INDEX(AB:AB,MATCH(SMALL($AU:$AU,ROW()+3),$AU:$AU,0)),"")</f>
        <v/>
      </c>
      <c r="AP270" s="176" t="str">
        <f t="shared" ref="AP270:AP301" ca="1" si="136">IFERROR(INDEX(AC:AC,MATCH(SMALL($AU:$AU,ROW()+3),$AU:$AU,0)),"")</f>
        <v/>
      </c>
    </row>
    <row r="271" spans="1:42">
      <c r="U271" s="218"/>
      <c r="V271" s="219"/>
      <c r="W271" s="219"/>
      <c r="AD271" s="176" t="str">
        <f t="shared" ca="1" si="124"/>
        <v/>
      </c>
      <c r="AE271" s="176" t="str">
        <f t="shared" ca="1" si="125"/>
        <v/>
      </c>
      <c r="AF271" s="176" t="str">
        <f t="shared" ca="1" si="126"/>
        <v/>
      </c>
      <c r="AG271" s="176" t="str">
        <f t="shared" ca="1" si="127"/>
        <v/>
      </c>
      <c r="AH271" s="183" t="str">
        <f t="shared" ca="1" si="128"/>
        <v/>
      </c>
      <c r="AI271" s="176" t="str">
        <f t="shared" ca="1" si="129"/>
        <v/>
      </c>
      <c r="AJ271" s="176" t="str">
        <f t="shared" ca="1" si="130"/>
        <v/>
      </c>
      <c r="AK271" s="176" t="str">
        <f t="shared" ca="1" si="131"/>
        <v/>
      </c>
      <c r="AL271" s="176" t="str">
        <f t="shared" ca="1" si="132"/>
        <v/>
      </c>
      <c r="AM271" s="176" t="str">
        <f t="shared" ca="1" si="133"/>
        <v/>
      </c>
      <c r="AN271" s="176" t="str">
        <f t="shared" ca="1" si="134"/>
        <v/>
      </c>
      <c r="AO271" s="176" t="str">
        <f t="shared" ca="1" si="135"/>
        <v/>
      </c>
      <c r="AP271" s="176" t="str">
        <f t="shared" ca="1" si="136"/>
        <v/>
      </c>
    </row>
    <row r="272" spans="1:42">
      <c r="U272" s="218"/>
      <c r="V272" s="219"/>
      <c r="W272" s="219"/>
      <c r="AD272" s="176" t="str">
        <f t="shared" ca="1" si="124"/>
        <v/>
      </c>
      <c r="AE272" s="176" t="str">
        <f t="shared" ca="1" si="125"/>
        <v/>
      </c>
      <c r="AF272" s="176" t="str">
        <f t="shared" ca="1" si="126"/>
        <v/>
      </c>
      <c r="AG272" s="176" t="str">
        <f t="shared" ca="1" si="127"/>
        <v/>
      </c>
      <c r="AH272" s="183" t="str">
        <f t="shared" ca="1" si="128"/>
        <v/>
      </c>
      <c r="AI272" s="176" t="str">
        <f t="shared" ca="1" si="129"/>
        <v/>
      </c>
      <c r="AJ272" s="176" t="str">
        <f t="shared" ca="1" si="130"/>
        <v/>
      </c>
      <c r="AK272" s="176" t="str">
        <f t="shared" ca="1" si="131"/>
        <v/>
      </c>
      <c r="AL272" s="176" t="str">
        <f t="shared" ca="1" si="132"/>
        <v/>
      </c>
      <c r="AM272" s="176" t="str">
        <f t="shared" ca="1" si="133"/>
        <v/>
      </c>
      <c r="AN272" s="176" t="str">
        <f t="shared" ca="1" si="134"/>
        <v/>
      </c>
      <c r="AO272" s="176" t="str">
        <f t="shared" ca="1" si="135"/>
        <v/>
      </c>
      <c r="AP272" s="176" t="str">
        <f t="shared" ca="1" si="136"/>
        <v/>
      </c>
    </row>
    <row r="273" spans="21:42">
      <c r="U273" s="218"/>
      <c r="V273" s="219"/>
      <c r="W273" s="219"/>
      <c r="AD273" s="176" t="str">
        <f t="shared" ca="1" si="124"/>
        <v/>
      </c>
      <c r="AE273" s="176" t="str">
        <f t="shared" ca="1" si="125"/>
        <v/>
      </c>
      <c r="AF273" s="176" t="str">
        <f t="shared" ca="1" si="126"/>
        <v/>
      </c>
      <c r="AG273" s="176" t="str">
        <f t="shared" ca="1" si="127"/>
        <v/>
      </c>
      <c r="AH273" s="183" t="str">
        <f t="shared" ca="1" si="128"/>
        <v/>
      </c>
      <c r="AI273" s="176" t="str">
        <f t="shared" ca="1" si="129"/>
        <v/>
      </c>
      <c r="AJ273" s="176" t="str">
        <f t="shared" ca="1" si="130"/>
        <v/>
      </c>
      <c r="AK273" s="176" t="str">
        <f t="shared" ca="1" si="131"/>
        <v/>
      </c>
      <c r="AL273" s="176" t="str">
        <f t="shared" ca="1" si="132"/>
        <v/>
      </c>
      <c r="AM273" s="176" t="str">
        <f t="shared" ca="1" si="133"/>
        <v/>
      </c>
      <c r="AN273" s="176" t="str">
        <f t="shared" ca="1" si="134"/>
        <v/>
      </c>
      <c r="AO273" s="176" t="str">
        <f t="shared" ca="1" si="135"/>
        <v/>
      </c>
      <c r="AP273" s="176" t="str">
        <f t="shared" ca="1" si="136"/>
        <v/>
      </c>
    </row>
    <row r="274" spans="21:42">
      <c r="U274" s="218"/>
      <c r="V274" s="219"/>
      <c r="W274" s="219"/>
      <c r="AD274" s="176" t="str">
        <f t="shared" ca="1" si="124"/>
        <v/>
      </c>
      <c r="AE274" s="176" t="str">
        <f t="shared" ca="1" si="125"/>
        <v/>
      </c>
      <c r="AF274" s="176" t="str">
        <f t="shared" ca="1" si="126"/>
        <v/>
      </c>
      <c r="AG274" s="176" t="str">
        <f t="shared" ca="1" si="127"/>
        <v/>
      </c>
      <c r="AH274" s="183" t="str">
        <f t="shared" ca="1" si="128"/>
        <v/>
      </c>
      <c r="AI274" s="176" t="str">
        <f t="shared" ca="1" si="129"/>
        <v/>
      </c>
      <c r="AJ274" s="176" t="str">
        <f t="shared" ca="1" si="130"/>
        <v/>
      </c>
      <c r="AK274" s="176" t="str">
        <f t="shared" ca="1" si="131"/>
        <v/>
      </c>
      <c r="AL274" s="176" t="str">
        <f t="shared" ca="1" si="132"/>
        <v/>
      </c>
      <c r="AM274" s="176" t="str">
        <f t="shared" ca="1" si="133"/>
        <v/>
      </c>
      <c r="AN274" s="176" t="str">
        <f t="shared" ca="1" si="134"/>
        <v/>
      </c>
      <c r="AO274" s="176" t="str">
        <f t="shared" ca="1" si="135"/>
        <v/>
      </c>
      <c r="AP274" s="176" t="str">
        <f t="shared" ca="1" si="136"/>
        <v/>
      </c>
    </row>
    <row r="275" spans="21:42">
      <c r="U275" s="218"/>
      <c r="V275" s="219"/>
      <c r="W275" s="219"/>
      <c r="AD275" s="176" t="str">
        <f t="shared" ca="1" si="124"/>
        <v/>
      </c>
      <c r="AE275" s="176" t="str">
        <f t="shared" ca="1" si="125"/>
        <v/>
      </c>
      <c r="AF275" s="176" t="str">
        <f t="shared" ca="1" si="126"/>
        <v/>
      </c>
      <c r="AG275" s="176" t="str">
        <f t="shared" ca="1" si="127"/>
        <v/>
      </c>
      <c r="AH275" s="183" t="str">
        <f t="shared" ca="1" si="128"/>
        <v/>
      </c>
      <c r="AI275" s="176" t="str">
        <f t="shared" ca="1" si="129"/>
        <v/>
      </c>
      <c r="AJ275" s="176" t="str">
        <f t="shared" ca="1" si="130"/>
        <v/>
      </c>
      <c r="AK275" s="176" t="str">
        <f t="shared" ca="1" si="131"/>
        <v/>
      </c>
      <c r="AL275" s="176" t="str">
        <f t="shared" ca="1" si="132"/>
        <v/>
      </c>
      <c r="AM275" s="176" t="str">
        <f t="shared" ca="1" si="133"/>
        <v/>
      </c>
      <c r="AN275" s="176" t="str">
        <f t="shared" ca="1" si="134"/>
        <v/>
      </c>
      <c r="AO275" s="176" t="str">
        <f t="shared" ca="1" si="135"/>
        <v/>
      </c>
      <c r="AP275" s="176" t="str">
        <f t="shared" ca="1" si="136"/>
        <v/>
      </c>
    </row>
    <row r="276" spans="21:42">
      <c r="U276" s="218"/>
      <c r="V276" s="219"/>
      <c r="W276" s="219"/>
      <c r="AD276" s="176" t="str">
        <f t="shared" ca="1" si="124"/>
        <v/>
      </c>
      <c r="AE276" s="176" t="str">
        <f t="shared" ca="1" si="125"/>
        <v/>
      </c>
      <c r="AF276" s="176" t="str">
        <f t="shared" ca="1" si="126"/>
        <v/>
      </c>
      <c r="AG276" s="176" t="str">
        <f t="shared" ca="1" si="127"/>
        <v/>
      </c>
      <c r="AH276" s="183" t="str">
        <f t="shared" ca="1" si="128"/>
        <v/>
      </c>
      <c r="AI276" s="176" t="str">
        <f t="shared" ca="1" si="129"/>
        <v/>
      </c>
      <c r="AJ276" s="176" t="str">
        <f t="shared" ca="1" si="130"/>
        <v/>
      </c>
      <c r="AK276" s="176" t="str">
        <f t="shared" ca="1" si="131"/>
        <v/>
      </c>
      <c r="AL276" s="176" t="str">
        <f t="shared" ca="1" si="132"/>
        <v/>
      </c>
      <c r="AM276" s="176" t="str">
        <f t="shared" ca="1" si="133"/>
        <v/>
      </c>
      <c r="AN276" s="176" t="str">
        <f t="shared" ca="1" si="134"/>
        <v/>
      </c>
      <c r="AO276" s="176" t="str">
        <f t="shared" ca="1" si="135"/>
        <v/>
      </c>
      <c r="AP276" s="176" t="str">
        <f t="shared" ca="1" si="136"/>
        <v/>
      </c>
    </row>
    <row r="277" spans="21:42">
      <c r="U277" s="218"/>
      <c r="V277" s="219"/>
      <c r="W277" s="219"/>
      <c r="AD277" s="176" t="str">
        <f t="shared" ca="1" si="124"/>
        <v/>
      </c>
      <c r="AE277" s="176" t="str">
        <f t="shared" ca="1" si="125"/>
        <v/>
      </c>
      <c r="AF277" s="176" t="str">
        <f t="shared" ca="1" si="126"/>
        <v/>
      </c>
      <c r="AG277" s="176" t="str">
        <f t="shared" ca="1" si="127"/>
        <v/>
      </c>
      <c r="AH277" s="183" t="str">
        <f t="shared" ca="1" si="128"/>
        <v/>
      </c>
      <c r="AI277" s="176" t="str">
        <f t="shared" ca="1" si="129"/>
        <v/>
      </c>
      <c r="AJ277" s="176" t="str">
        <f t="shared" ca="1" si="130"/>
        <v/>
      </c>
      <c r="AK277" s="176" t="str">
        <f t="shared" ca="1" si="131"/>
        <v/>
      </c>
      <c r="AL277" s="176" t="str">
        <f t="shared" ca="1" si="132"/>
        <v/>
      </c>
      <c r="AM277" s="176" t="str">
        <f t="shared" ca="1" si="133"/>
        <v/>
      </c>
      <c r="AN277" s="176" t="str">
        <f t="shared" ca="1" si="134"/>
        <v/>
      </c>
      <c r="AO277" s="176" t="str">
        <f t="shared" ca="1" si="135"/>
        <v/>
      </c>
      <c r="AP277" s="176" t="str">
        <f t="shared" ca="1" si="136"/>
        <v/>
      </c>
    </row>
    <row r="278" spans="21:42">
      <c r="U278" s="218"/>
      <c r="V278" s="219"/>
      <c r="W278" s="219"/>
      <c r="AD278" s="176" t="str">
        <f t="shared" ca="1" si="124"/>
        <v/>
      </c>
      <c r="AE278" s="176" t="str">
        <f t="shared" ca="1" si="125"/>
        <v/>
      </c>
      <c r="AF278" s="176" t="str">
        <f t="shared" ca="1" si="126"/>
        <v/>
      </c>
      <c r="AG278" s="176" t="str">
        <f t="shared" ca="1" si="127"/>
        <v/>
      </c>
      <c r="AH278" s="183" t="str">
        <f t="shared" ca="1" si="128"/>
        <v/>
      </c>
      <c r="AI278" s="176" t="str">
        <f t="shared" ca="1" si="129"/>
        <v/>
      </c>
      <c r="AJ278" s="176" t="str">
        <f t="shared" ca="1" si="130"/>
        <v/>
      </c>
      <c r="AK278" s="176" t="str">
        <f t="shared" ca="1" si="131"/>
        <v/>
      </c>
      <c r="AL278" s="176" t="str">
        <f t="shared" ca="1" si="132"/>
        <v/>
      </c>
      <c r="AM278" s="176" t="str">
        <f t="shared" ca="1" si="133"/>
        <v/>
      </c>
      <c r="AN278" s="176" t="str">
        <f t="shared" ca="1" si="134"/>
        <v/>
      </c>
      <c r="AO278" s="176" t="str">
        <f t="shared" ca="1" si="135"/>
        <v/>
      </c>
      <c r="AP278" s="176" t="str">
        <f t="shared" ca="1" si="136"/>
        <v/>
      </c>
    </row>
    <row r="279" spans="21:42">
      <c r="U279" s="218"/>
      <c r="V279" s="219"/>
      <c r="W279" s="219"/>
      <c r="AD279" s="176" t="str">
        <f t="shared" ca="1" si="124"/>
        <v/>
      </c>
      <c r="AE279" s="176" t="str">
        <f t="shared" ca="1" si="125"/>
        <v/>
      </c>
      <c r="AF279" s="176" t="str">
        <f t="shared" ca="1" si="126"/>
        <v/>
      </c>
      <c r="AG279" s="176" t="str">
        <f t="shared" ca="1" si="127"/>
        <v/>
      </c>
      <c r="AH279" s="183" t="str">
        <f t="shared" ca="1" si="128"/>
        <v/>
      </c>
      <c r="AI279" s="176" t="str">
        <f t="shared" ca="1" si="129"/>
        <v/>
      </c>
      <c r="AJ279" s="176" t="str">
        <f t="shared" ca="1" si="130"/>
        <v/>
      </c>
      <c r="AK279" s="176" t="str">
        <f t="shared" ca="1" si="131"/>
        <v/>
      </c>
      <c r="AL279" s="176" t="str">
        <f t="shared" ca="1" si="132"/>
        <v/>
      </c>
      <c r="AM279" s="176" t="str">
        <f t="shared" ca="1" si="133"/>
        <v/>
      </c>
      <c r="AN279" s="176" t="str">
        <f t="shared" ca="1" si="134"/>
        <v/>
      </c>
      <c r="AO279" s="176" t="str">
        <f t="shared" ca="1" si="135"/>
        <v/>
      </c>
      <c r="AP279" s="176" t="str">
        <f t="shared" ca="1" si="136"/>
        <v/>
      </c>
    </row>
    <row r="280" spans="21:42">
      <c r="U280" s="218"/>
      <c r="V280" s="219"/>
      <c r="W280" s="219"/>
      <c r="AD280" s="176" t="str">
        <f t="shared" ca="1" si="124"/>
        <v/>
      </c>
      <c r="AE280" s="176" t="str">
        <f t="shared" ca="1" si="125"/>
        <v/>
      </c>
      <c r="AF280" s="176" t="str">
        <f t="shared" ca="1" si="126"/>
        <v/>
      </c>
      <c r="AG280" s="176" t="str">
        <f t="shared" ca="1" si="127"/>
        <v/>
      </c>
      <c r="AH280" s="183" t="str">
        <f t="shared" ca="1" si="128"/>
        <v/>
      </c>
      <c r="AI280" s="176" t="str">
        <f t="shared" ca="1" si="129"/>
        <v/>
      </c>
      <c r="AJ280" s="176" t="str">
        <f t="shared" ca="1" si="130"/>
        <v/>
      </c>
      <c r="AK280" s="176" t="str">
        <f t="shared" ca="1" si="131"/>
        <v/>
      </c>
      <c r="AL280" s="176" t="str">
        <f t="shared" ca="1" si="132"/>
        <v/>
      </c>
      <c r="AM280" s="176" t="str">
        <f t="shared" ca="1" si="133"/>
        <v/>
      </c>
      <c r="AN280" s="176" t="str">
        <f t="shared" ca="1" si="134"/>
        <v/>
      </c>
      <c r="AO280" s="176" t="str">
        <f t="shared" ca="1" si="135"/>
        <v/>
      </c>
      <c r="AP280" s="176" t="str">
        <f t="shared" ca="1" si="136"/>
        <v/>
      </c>
    </row>
    <row r="281" spans="21:42">
      <c r="U281" s="218"/>
      <c r="V281" s="219"/>
      <c r="W281" s="219"/>
      <c r="AD281" s="176" t="str">
        <f t="shared" ca="1" si="124"/>
        <v/>
      </c>
      <c r="AE281" s="176" t="str">
        <f t="shared" ca="1" si="125"/>
        <v/>
      </c>
      <c r="AF281" s="176" t="str">
        <f t="shared" ca="1" si="126"/>
        <v/>
      </c>
      <c r="AG281" s="176" t="str">
        <f t="shared" ca="1" si="127"/>
        <v/>
      </c>
      <c r="AH281" s="183" t="str">
        <f t="shared" ca="1" si="128"/>
        <v/>
      </c>
      <c r="AI281" s="176" t="str">
        <f t="shared" ca="1" si="129"/>
        <v/>
      </c>
      <c r="AJ281" s="176" t="str">
        <f t="shared" ca="1" si="130"/>
        <v/>
      </c>
      <c r="AK281" s="176" t="str">
        <f t="shared" ca="1" si="131"/>
        <v/>
      </c>
      <c r="AL281" s="176" t="str">
        <f t="shared" ca="1" si="132"/>
        <v/>
      </c>
      <c r="AM281" s="176" t="str">
        <f t="shared" ca="1" si="133"/>
        <v/>
      </c>
      <c r="AN281" s="176" t="str">
        <f t="shared" ca="1" si="134"/>
        <v/>
      </c>
      <c r="AO281" s="176" t="str">
        <f t="shared" ca="1" si="135"/>
        <v/>
      </c>
      <c r="AP281" s="176" t="str">
        <f t="shared" ca="1" si="136"/>
        <v/>
      </c>
    </row>
    <row r="282" spans="21:42">
      <c r="U282" s="218"/>
      <c r="V282" s="219"/>
      <c r="W282" s="219"/>
      <c r="AD282" s="176" t="str">
        <f t="shared" ca="1" si="124"/>
        <v/>
      </c>
      <c r="AE282" s="176" t="str">
        <f t="shared" ca="1" si="125"/>
        <v/>
      </c>
      <c r="AF282" s="176" t="str">
        <f t="shared" ca="1" si="126"/>
        <v/>
      </c>
      <c r="AG282" s="176" t="str">
        <f t="shared" ca="1" si="127"/>
        <v/>
      </c>
      <c r="AH282" s="183" t="str">
        <f t="shared" ca="1" si="128"/>
        <v/>
      </c>
      <c r="AI282" s="176" t="str">
        <f t="shared" ca="1" si="129"/>
        <v/>
      </c>
      <c r="AJ282" s="176" t="str">
        <f t="shared" ca="1" si="130"/>
        <v/>
      </c>
      <c r="AK282" s="176" t="str">
        <f t="shared" ca="1" si="131"/>
        <v/>
      </c>
      <c r="AL282" s="176" t="str">
        <f t="shared" ca="1" si="132"/>
        <v/>
      </c>
      <c r="AM282" s="176" t="str">
        <f t="shared" ca="1" si="133"/>
        <v/>
      </c>
      <c r="AN282" s="176" t="str">
        <f t="shared" ca="1" si="134"/>
        <v/>
      </c>
      <c r="AO282" s="176" t="str">
        <f t="shared" ca="1" si="135"/>
        <v/>
      </c>
      <c r="AP282" s="176" t="str">
        <f t="shared" ca="1" si="136"/>
        <v/>
      </c>
    </row>
    <row r="283" spans="21:42">
      <c r="U283" s="218"/>
      <c r="V283" s="219"/>
      <c r="W283" s="219"/>
      <c r="AD283" s="176" t="str">
        <f t="shared" ca="1" si="124"/>
        <v/>
      </c>
      <c r="AE283" s="176" t="str">
        <f t="shared" ca="1" si="125"/>
        <v/>
      </c>
      <c r="AF283" s="176" t="str">
        <f t="shared" ca="1" si="126"/>
        <v/>
      </c>
      <c r="AG283" s="176" t="str">
        <f t="shared" ca="1" si="127"/>
        <v/>
      </c>
      <c r="AH283" s="183" t="str">
        <f t="shared" ca="1" si="128"/>
        <v/>
      </c>
      <c r="AI283" s="176" t="str">
        <f t="shared" ca="1" si="129"/>
        <v/>
      </c>
      <c r="AJ283" s="176" t="str">
        <f t="shared" ca="1" si="130"/>
        <v/>
      </c>
      <c r="AK283" s="176" t="str">
        <f t="shared" ca="1" si="131"/>
        <v/>
      </c>
      <c r="AL283" s="176" t="str">
        <f t="shared" ca="1" si="132"/>
        <v/>
      </c>
      <c r="AM283" s="176" t="str">
        <f t="shared" ca="1" si="133"/>
        <v/>
      </c>
      <c r="AN283" s="176" t="str">
        <f t="shared" ca="1" si="134"/>
        <v/>
      </c>
      <c r="AO283" s="176" t="str">
        <f t="shared" ca="1" si="135"/>
        <v/>
      </c>
      <c r="AP283" s="176" t="str">
        <f t="shared" ca="1" si="136"/>
        <v/>
      </c>
    </row>
    <row r="284" spans="21:42">
      <c r="U284" s="218"/>
      <c r="V284" s="219"/>
      <c r="W284" s="219"/>
      <c r="AD284" s="176" t="str">
        <f t="shared" ca="1" si="124"/>
        <v/>
      </c>
      <c r="AE284" s="176" t="str">
        <f t="shared" ca="1" si="125"/>
        <v/>
      </c>
      <c r="AF284" s="176" t="str">
        <f t="shared" ca="1" si="126"/>
        <v/>
      </c>
      <c r="AG284" s="176" t="str">
        <f t="shared" ca="1" si="127"/>
        <v/>
      </c>
      <c r="AH284" s="183" t="str">
        <f t="shared" ca="1" si="128"/>
        <v/>
      </c>
      <c r="AI284" s="176" t="str">
        <f t="shared" ca="1" si="129"/>
        <v/>
      </c>
      <c r="AJ284" s="176" t="str">
        <f t="shared" ca="1" si="130"/>
        <v/>
      </c>
      <c r="AK284" s="176" t="str">
        <f t="shared" ca="1" si="131"/>
        <v/>
      </c>
      <c r="AL284" s="176" t="str">
        <f t="shared" ca="1" si="132"/>
        <v/>
      </c>
      <c r="AM284" s="176" t="str">
        <f t="shared" ca="1" si="133"/>
        <v/>
      </c>
      <c r="AN284" s="176" t="str">
        <f t="shared" ca="1" si="134"/>
        <v/>
      </c>
      <c r="AO284" s="176" t="str">
        <f t="shared" ca="1" si="135"/>
        <v/>
      </c>
      <c r="AP284" s="176" t="str">
        <f t="shared" ca="1" si="136"/>
        <v/>
      </c>
    </row>
    <row r="285" spans="21:42">
      <c r="U285" s="218"/>
      <c r="V285" s="219"/>
      <c r="W285" s="219"/>
      <c r="AD285" s="176" t="str">
        <f t="shared" ca="1" si="124"/>
        <v/>
      </c>
      <c r="AE285" s="176" t="str">
        <f t="shared" ca="1" si="125"/>
        <v/>
      </c>
      <c r="AF285" s="176" t="str">
        <f t="shared" ca="1" si="126"/>
        <v/>
      </c>
      <c r="AG285" s="176" t="str">
        <f t="shared" ca="1" si="127"/>
        <v/>
      </c>
      <c r="AH285" s="183" t="str">
        <f t="shared" ca="1" si="128"/>
        <v/>
      </c>
      <c r="AI285" s="176" t="str">
        <f t="shared" ca="1" si="129"/>
        <v/>
      </c>
      <c r="AJ285" s="176" t="str">
        <f t="shared" ca="1" si="130"/>
        <v/>
      </c>
      <c r="AK285" s="176" t="str">
        <f t="shared" ca="1" si="131"/>
        <v/>
      </c>
      <c r="AL285" s="176" t="str">
        <f t="shared" ca="1" si="132"/>
        <v/>
      </c>
      <c r="AM285" s="176" t="str">
        <f t="shared" ca="1" si="133"/>
        <v/>
      </c>
      <c r="AN285" s="176" t="str">
        <f t="shared" ca="1" si="134"/>
        <v/>
      </c>
      <c r="AO285" s="176" t="str">
        <f t="shared" ca="1" si="135"/>
        <v/>
      </c>
      <c r="AP285" s="176" t="str">
        <f t="shared" ca="1" si="136"/>
        <v/>
      </c>
    </row>
    <row r="286" spans="21:42">
      <c r="U286" s="218"/>
      <c r="V286" s="219"/>
      <c r="W286" s="219"/>
      <c r="AD286" s="176" t="str">
        <f t="shared" ca="1" si="124"/>
        <v/>
      </c>
      <c r="AE286" s="176" t="str">
        <f t="shared" ca="1" si="125"/>
        <v/>
      </c>
      <c r="AF286" s="176" t="str">
        <f t="shared" ca="1" si="126"/>
        <v/>
      </c>
      <c r="AG286" s="176" t="str">
        <f t="shared" ca="1" si="127"/>
        <v/>
      </c>
      <c r="AH286" s="183" t="str">
        <f t="shared" ca="1" si="128"/>
        <v/>
      </c>
      <c r="AI286" s="176" t="str">
        <f t="shared" ca="1" si="129"/>
        <v/>
      </c>
      <c r="AJ286" s="176" t="str">
        <f t="shared" ca="1" si="130"/>
        <v/>
      </c>
      <c r="AK286" s="176" t="str">
        <f t="shared" ca="1" si="131"/>
        <v/>
      </c>
      <c r="AL286" s="176" t="str">
        <f t="shared" ca="1" si="132"/>
        <v/>
      </c>
      <c r="AM286" s="176" t="str">
        <f t="shared" ca="1" si="133"/>
        <v/>
      </c>
      <c r="AN286" s="176" t="str">
        <f t="shared" ca="1" si="134"/>
        <v/>
      </c>
      <c r="AO286" s="176" t="str">
        <f t="shared" ca="1" si="135"/>
        <v/>
      </c>
      <c r="AP286" s="176" t="str">
        <f t="shared" ca="1" si="136"/>
        <v/>
      </c>
    </row>
    <row r="287" spans="21:42">
      <c r="U287" s="218"/>
      <c r="V287" s="219"/>
      <c r="W287" s="219"/>
      <c r="AD287" s="176" t="str">
        <f t="shared" ca="1" si="124"/>
        <v/>
      </c>
      <c r="AE287" s="176" t="str">
        <f t="shared" ca="1" si="125"/>
        <v/>
      </c>
      <c r="AF287" s="176" t="str">
        <f t="shared" ca="1" si="126"/>
        <v/>
      </c>
      <c r="AG287" s="176" t="str">
        <f t="shared" ca="1" si="127"/>
        <v/>
      </c>
      <c r="AH287" s="183" t="str">
        <f t="shared" ca="1" si="128"/>
        <v/>
      </c>
      <c r="AI287" s="176" t="str">
        <f t="shared" ca="1" si="129"/>
        <v/>
      </c>
      <c r="AJ287" s="176" t="str">
        <f t="shared" ca="1" si="130"/>
        <v/>
      </c>
      <c r="AK287" s="176" t="str">
        <f t="shared" ca="1" si="131"/>
        <v/>
      </c>
      <c r="AL287" s="176" t="str">
        <f t="shared" ca="1" si="132"/>
        <v/>
      </c>
      <c r="AM287" s="176" t="str">
        <f t="shared" ca="1" si="133"/>
        <v/>
      </c>
      <c r="AN287" s="176" t="str">
        <f t="shared" ca="1" si="134"/>
        <v/>
      </c>
      <c r="AO287" s="176" t="str">
        <f t="shared" ca="1" si="135"/>
        <v/>
      </c>
      <c r="AP287" s="176" t="str">
        <f t="shared" ca="1" si="136"/>
        <v/>
      </c>
    </row>
    <row r="288" spans="21:42">
      <c r="U288" s="218"/>
      <c r="V288" s="219"/>
      <c r="W288" s="219"/>
      <c r="AD288" s="176" t="str">
        <f t="shared" ca="1" si="124"/>
        <v/>
      </c>
      <c r="AE288" s="176" t="str">
        <f t="shared" ca="1" si="125"/>
        <v/>
      </c>
      <c r="AF288" s="176" t="str">
        <f t="shared" ca="1" si="126"/>
        <v/>
      </c>
      <c r="AG288" s="176" t="str">
        <f t="shared" ca="1" si="127"/>
        <v/>
      </c>
      <c r="AH288" s="183" t="str">
        <f t="shared" ca="1" si="128"/>
        <v/>
      </c>
      <c r="AI288" s="176" t="str">
        <f t="shared" ca="1" si="129"/>
        <v/>
      </c>
      <c r="AJ288" s="176" t="str">
        <f t="shared" ca="1" si="130"/>
        <v/>
      </c>
      <c r="AK288" s="176" t="str">
        <f t="shared" ca="1" si="131"/>
        <v/>
      </c>
      <c r="AL288" s="176" t="str">
        <f t="shared" ca="1" si="132"/>
        <v/>
      </c>
      <c r="AM288" s="176" t="str">
        <f t="shared" ca="1" si="133"/>
        <v/>
      </c>
      <c r="AN288" s="176" t="str">
        <f t="shared" ca="1" si="134"/>
        <v/>
      </c>
      <c r="AO288" s="176" t="str">
        <f t="shared" ca="1" si="135"/>
        <v/>
      </c>
      <c r="AP288" s="176" t="str">
        <f t="shared" ca="1" si="136"/>
        <v/>
      </c>
    </row>
    <row r="289" spans="21:42">
      <c r="U289" s="218"/>
      <c r="V289" s="219"/>
      <c r="W289" s="219"/>
      <c r="AD289" s="176" t="str">
        <f t="shared" ca="1" si="124"/>
        <v/>
      </c>
      <c r="AE289" s="176" t="str">
        <f t="shared" ca="1" si="125"/>
        <v/>
      </c>
      <c r="AF289" s="176" t="str">
        <f t="shared" ca="1" si="126"/>
        <v/>
      </c>
      <c r="AG289" s="176" t="str">
        <f t="shared" ca="1" si="127"/>
        <v/>
      </c>
      <c r="AH289" s="183" t="str">
        <f t="shared" ca="1" si="128"/>
        <v/>
      </c>
      <c r="AI289" s="176" t="str">
        <f t="shared" ca="1" si="129"/>
        <v/>
      </c>
      <c r="AJ289" s="176" t="str">
        <f t="shared" ca="1" si="130"/>
        <v/>
      </c>
      <c r="AK289" s="176" t="str">
        <f t="shared" ca="1" si="131"/>
        <v/>
      </c>
      <c r="AL289" s="176" t="str">
        <f t="shared" ca="1" si="132"/>
        <v/>
      </c>
      <c r="AM289" s="176" t="str">
        <f t="shared" ca="1" si="133"/>
        <v/>
      </c>
      <c r="AN289" s="176" t="str">
        <f t="shared" ca="1" si="134"/>
        <v/>
      </c>
      <c r="AO289" s="176" t="str">
        <f t="shared" ca="1" si="135"/>
        <v/>
      </c>
      <c r="AP289" s="176" t="str">
        <f t="shared" ca="1" si="136"/>
        <v/>
      </c>
    </row>
    <row r="290" spans="21:42">
      <c r="U290" s="218"/>
      <c r="V290" s="219"/>
      <c r="W290" s="219"/>
      <c r="AD290" s="176" t="str">
        <f t="shared" ca="1" si="124"/>
        <v/>
      </c>
      <c r="AE290" s="176" t="str">
        <f t="shared" ca="1" si="125"/>
        <v/>
      </c>
      <c r="AF290" s="176" t="str">
        <f t="shared" ca="1" si="126"/>
        <v/>
      </c>
      <c r="AG290" s="176" t="str">
        <f t="shared" ca="1" si="127"/>
        <v/>
      </c>
      <c r="AH290" s="183" t="str">
        <f t="shared" ca="1" si="128"/>
        <v/>
      </c>
      <c r="AI290" s="176" t="str">
        <f t="shared" ca="1" si="129"/>
        <v/>
      </c>
      <c r="AJ290" s="176" t="str">
        <f t="shared" ca="1" si="130"/>
        <v/>
      </c>
      <c r="AK290" s="176" t="str">
        <f t="shared" ca="1" si="131"/>
        <v/>
      </c>
      <c r="AL290" s="176" t="str">
        <f t="shared" ca="1" si="132"/>
        <v/>
      </c>
      <c r="AM290" s="176" t="str">
        <f t="shared" ca="1" si="133"/>
        <v/>
      </c>
      <c r="AN290" s="176" t="str">
        <f t="shared" ca="1" si="134"/>
        <v/>
      </c>
      <c r="AO290" s="176" t="str">
        <f t="shared" ca="1" si="135"/>
        <v/>
      </c>
      <c r="AP290" s="176" t="str">
        <f t="shared" ca="1" si="136"/>
        <v/>
      </c>
    </row>
    <row r="291" spans="21:42">
      <c r="U291" s="218"/>
      <c r="V291" s="219"/>
      <c r="W291" s="219"/>
      <c r="AD291" s="176" t="str">
        <f t="shared" ca="1" si="124"/>
        <v/>
      </c>
      <c r="AE291" s="176" t="str">
        <f t="shared" ca="1" si="125"/>
        <v/>
      </c>
      <c r="AF291" s="176" t="str">
        <f t="shared" ca="1" si="126"/>
        <v/>
      </c>
      <c r="AG291" s="176" t="str">
        <f t="shared" ca="1" si="127"/>
        <v/>
      </c>
      <c r="AH291" s="183" t="str">
        <f t="shared" ca="1" si="128"/>
        <v/>
      </c>
      <c r="AI291" s="176" t="str">
        <f t="shared" ca="1" si="129"/>
        <v/>
      </c>
      <c r="AJ291" s="176" t="str">
        <f t="shared" ca="1" si="130"/>
        <v/>
      </c>
      <c r="AK291" s="176" t="str">
        <f t="shared" ca="1" si="131"/>
        <v/>
      </c>
      <c r="AL291" s="176" t="str">
        <f t="shared" ca="1" si="132"/>
        <v/>
      </c>
      <c r="AM291" s="176" t="str">
        <f t="shared" ca="1" si="133"/>
        <v/>
      </c>
      <c r="AN291" s="176" t="str">
        <f t="shared" ca="1" si="134"/>
        <v/>
      </c>
      <c r="AO291" s="176" t="str">
        <f t="shared" ca="1" si="135"/>
        <v/>
      </c>
      <c r="AP291" s="176" t="str">
        <f t="shared" ca="1" si="136"/>
        <v/>
      </c>
    </row>
    <row r="292" spans="21:42">
      <c r="U292" s="218"/>
      <c r="V292" s="219"/>
      <c r="W292" s="219"/>
      <c r="AD292" s="176" t="str">
        <f t="shared" ca="1" si="124"/>
        <v/>
      </c>
      <c r="AE292" s="176" t="str">
        <f t="shared" ca="1" si="125"/>
        <v/>
      </c>
      <c r="AF292" s="176" t="str">
        <f t="shared" ca="1" si="126"/>
        <v/>
      </c>
      <c r="AG292" s="176" t="str">
        <f t="shared" ca="1" si="127"/>
        <v/>
      </c>
      <c r="AH292" s="183" t="str">
        <f t="shared" ca="1" si="128"/>
        <v/>
      </c>
      <c r="AI292" s="176" t="str">
        <f t="shared" ca="1" si="129"/>
        <v/>
      </c>
      <c r="AJ292" s="176" t="str">
        <f t="shared" ca="1" si="130"/>
        <v/>
      </c>
      <c r="AK292" s="176" t="str">
        <f t="shared" ca="1" si="131"/>
        <v/>
      </c>
      <c r="AL292" s="176" t="str">
        <f t="shared" ca="1" si="132"/>
        <v/>
      </c>
      <c r="AM292" s="176" t="str">
        <f t="shared" ca="1" si="133"/>
        <v/>
      </c>
      <c r="AN292" s="176" t="str">
        <f t="shared" ca="1" si="134"/>
        <v/>
      </c>
      <c r="AO292" s="176" t="str">
        <f t="shared" ca="1" si="135"/>
        <v/>
      </c>
      <c r="AP292" s="176" t="str">
        <f t="shared" ca="1" si="136"/>
        <v/>
      </c>
    </row>
    <row r="293" spans="21:42">
      <c r="U293" s="218"/>
      <c r="V293" s="219"/>
      <c r="W293" s="219"/>
      <c r="AD293" s="176" t="str">
        <f t="shared" ca="1" si="124"/>
        <v/>
      </c>
      <c r="AE293" s="176" t="str">
        <f t="shared" ca="1" si="125"/>
        <v/>
      </c>
      <c r="AF293" s="176" t="str">
        <f t="shared" ca="1" si="126"/>
        <v/>
      </c>
      <c r="AG293" s="176" t="str">
        <f t="shared" ca="1" si="127"/>
        <v/>
      </c>
      <c r="AH293" s="183" t="str">
        <f t="shared" ca="1" si="128"/>
        <v/>
      </c>
      <c r="AI293" s="176" t="str">
        <f t="shared" ca="1" si="129"/>
        <v/>
      </c>
      <c r="AJ293" s="176" t="str">
        <f t="shared" ca="1" si="130"/>
        <v/>
      </c>
      <c r="AK293" s="176" t="str">
        <f t="shared" ca="1" si="131"/>
        <v/>
      </c>
      <c r="AL293" s="176" t="str">
        <f t="shared" ca="1" si="132"/>
        <v/>
      </c>
      <c r="AM293" s="176" t="str">
        <f t="shared" ca="1" si="133"/>
        <v/>
      </c>
      <c r="AN293" s="176" t="str">
        <f t="shared" ca="1" si="134"/>
        <v/>
      </c>
      <c r="AO293" s="176" t="str">
        <f t="shared" ca="1" si="135"/>
        <v/>
      </c>
      <c r="AP293" s="176" t="str">
        <f t="shared" ca="1" si="136"/>
        <v/>
      </c>
    </row>
    <row r="294" spans="21:42">
      <c r="U294" s="218"/>
      <c r="V294" s="219"/>
      <c r="W294" s="219"/>
      <c r="AD294" s="176" t="str">
        <f t="shared" ca="1" si="124"/>
        <v/>
      </c>
      <c r="AE294" s="176" t="str">
        <f t="shared" ca="1" si="125"/>
        <v/>
      </c>
      <c r="AF294" s="176" t="str">
        <f t="shared" ca="1" si="126"/>
        <v/>
      </c>
      <c r="AG294" s="176" t="str">
        <f t="shared" ca="1" si="127"/>
        <v/>
      </c>
      <c r="AH294" s="183" t="str">
        <f t="shared" ca="1" si="128"/>
        <v/>
      </c>
      <c r="AI294" s="176" t="str">
        <f t="shared" ca="1" si="129"/>
        <v/>
      </c>
      <c r="AJ294" s="176" t="str">
        <f t="shared" ca="1" si="130"/>
        <v/>
      </c>
      <c r="AK294" s="176" t="str">
        <f t="shared" ca="1" si="131"/>
        <v/>
      </c>
      <c r="AL294" s="176" t="str">
        <f t="shared" ca="1" si="132"/>
        <v/>
      </c>
      <c r="AM294" s="176" t="str">
        <f t="shared" ca="1" si="133"/>
        <v/>
      </c>
      <c r="AN294" s="176" t="str">
        <f t="shared" ca="1" si="134"/>
        <v/>
      </c>
      <c r="AO294" s="176" t="str">
        <f t="shared" ca="1" si="135"/>
        <v/>
      </c>
      <c r="AP294" s="176" t="str">
        <f t="shared" ca="1" si="136"/>
        <v/>
      </c>
    </row>
    <row r="295" spans="21:42">
      <c r="U295" s="218"/>
      <c r="V295" s="219"/>
      <c r="W295" s="219"/>
      <c r="AD295" s="176" t="str">
        <f t="shared" ca="1" si="124"/>
        <v/>
      </c>
      <c r="AE295" s="176" t="str">
        <f t="shared" ca="1" si="125"/>
        <v/>
      </c>
      <c r="AF295" s="176" t="str">
        <f t="shared" ca="1" si="126"/>
        <v/>
      </c>
      <c r="AG295" s="176" t="str">
        <f t="shared" ca="1" si="127"/>
        <v/>
      </c>
      <c r="AH295" s="183" t="str">
        <f t="shared" ca="1" si="128"/>
        <v/>
      </c>
      <c r="AI295" s="176" t="str">
        <f t="shared" ca="1" si="129"/>
        <v/>
      </c>
      <c r="AJ295" s="176" t="str">
        <f t="shared" ca="1" si="130"/>
        <v/>
      </c>
      <c r="AK295" s="176" t="str">
        <f t="shared" ca="1" si="131"/>
        <v/>
      </c>
      <c r="AL295" s="176" t="str">
        <f t="shared" ca="1" si="132"/>
        <v/>
      </c>
      <c r="AM295" s="176" t="str">
        <f t="shared" ca="1" si="133"/>
        <v/>
      </c>
      <c r="AN295" s="176" t="str">
        <f t="shared" ca="1" si="134"/>
        <v/>
      </c>
      <c r="AO295" s="176" t="str">
        <f t="shared" ca="1" si="135"/>
        <v/>
      </c>
      <c r="AP295" s="176" t="str">
        <f t="shared" ca="1" si="136"/>
        <v/>
      </c>
    </row>
    <row r="296" spans="21:42">
      <c r="U296" s="218"/>
      <c r="V296" s="219"/>
      <c r="W296" s="219"/>
      <c r="AD296" s="176" t="str">
        <f t="shared" ca="1" si="124"/>
        <v/>
      </c>
      <c r="AE296" s="176" t="str">
        <f t="shared" ca="1" si="125"/>
        <v/>
      </c>
      <c r="AF296" s="176" t="str">
        <f t="shared" ca="1" si="126"/>
        <v/>
      </c>
      <c r="AG296" s="176" t="str">
        <f t="shared" ca="1" si="127"/>
        <v/>
      </c>
      <c r="AH296" s="183" t="str">
        <f t="shared" ca="1" si="128"/>
        <v/>
      </c>
      <c r="AI296" s="176" t="str">
        <f t="shared" ca="1" si="129"/>
        <v/>
      </c>
      <c r="AJ296" s="176" t="str">
        <f t="shared" ca="1" si="130"/>
        <v/>
      </c>
      <c r="AK296" s="176" t="str">
        <f t="shared" ca="1" si="131"/>
        <v/>
      </c>
      <c r="AL296" s="176" t="str">
        <f t="shared" ca="1" si="132"/>
        <v/>
      </c>
      <c r="AM296" s="176" t="str">
        <f t="shared" ca="1" si="133"/>
        <v/>
      </c>
      <c r="AN296" s="176" t="str">
        <f t="shared" ca="1" si="134"/>
        <v/>
      </c>
      <c r="AO296" s="176" t="str">
        <f t="shared" ca="1" si="135"/>
        <v/>
      </c>
      <c r="AP296" s="176" t="str">
        <f t="shared" ca="1" si="136"/>
        <v/>
      </c>
    </row>
    <row r="297" spans="21:42">
      <c r="U297" s="218"/>
      <c r="V297" s="219"/>
      <c r="W297" s="219"/>
      <c r="AD297" s="176" t="str">
        <f t="shared" ca="1" si="124"/>
        <v/>
      </c>
      <c r="AE297" s="176" t="str">
        <f t="shared" ca="1" si="125"/>
        <v/>
      </c>
      <c r="AF297" s="176" t="str">
        <f t="shared" ca="1" si="126"/>
        <v/>
      </c>
      <c r="AG297" s="176" t="str">
        <f t="shared" ca="1" si="127"/>
        <v/>
      </c>
      <c r="AH297" s="183" t="str">
        <f t="shared" ca="1" si="128"/>
        <v/>
      </c>
      <c r="AI297" s="176" t="str">
        <f t="shared" ca="1" si="129"/>
        <v/>
      </c>
      <c r="AJ297" s="176" t="str">
        <f t="shared" ca="1" si="130"/>
        <v/>
      </c>
      <c r="AK297" s="176" t="str">
        <f t="shared" ca="1" si="131"/>
        <v/>
      </c>
      <c r="AL297" s="176" t="str">
        <f t="shared" ca="1" si="132"/>
        <v/>
      </c>
      <c r="AM297" s="176" t="str">
        <f t="shared" ca="1" si="133"/>
        <v/>
      </c>
      <c r="AN297" s="176" t="str">
        <f t="shared" ca="1" si="134"/>
        <v/>
      </c>
      <c r="AO297" s="176" t="str">
        <f t="shared" ca="1" si="135"/>
        <v/>
      </c>
      <c r="AP297" s="176" t="str">
        <f t="shared" ca="1" si="136"/>
        <v/>
      </c>
    </row>
    <row r="298" spans="21:42">
      <c r="U298" s="218"/>
      <c r="V298" s="219"/>
      <c r="W298" s="219"/>
      <c r="AD298" s="176" t="str">
        <f t="shared" ca="1" si="124"/>
        <v/>
      </c>
      <c r="AE298" s="176" t="str">
        <f t="shared" ca="1" si="125"/>
        <v/>
      </c>
      <c r="AF298" s="176" t="str">
        <f t="shared" ca="1" si="126"/>
        <v/>
      </c>
      <c r="AG298" s="176" t="str">
        <f t="shared" ca="1" si="127"/>
        <v/>
      </c>
      <c r="AH298" s="183" t="str">
        <f t="shared" ca="1" si="128"/>
        <v/>
      </c>
      <c r="AI298" s="176" t="str">
        <f t="shared" ca="1" si="129"/>
        <v/>
      </c>
      <c r="AJ298" s="176" t="str">
        <f t="shared" ca="1" si="130"/>
        <v/>
      </c>
      <c r="AK298" s="176" t="str">
        <f t="shared" ca="1" si="131"/>
        <v/>
      </c>
      <c r="AL298" s="176" t="str">
        <f t="shared" ca="1" si="132"/>
        <v/>
      </c>
      <c r="AM298" s="176" t="str">
        <f t="shared" ca="1" si="133"/>
        <v/>
      </c>
      <c r="AN298" s="176" t="str">
        <f t="shared" ca="1" si="134"/>
        <v/>
      </c>
      <c r="AO298" s="176" t="str">
        <f t="shared" ca="1" si="135"/>
        <v/>
      </c>
      <c r="AP298" s="176" t="str">
        <f t="shared" ca="1" si="136"/>
        <v/>
      </c>
    </row>
    <row r="299" spans="21:42">
      <c r="U299" s="218"/>
      <c r="V299" s="219"/>
      <c r="W299" s="219"/>
      <c r="AD299" s="176" t="str">
        <f t="shared" ca="1" si="124"/>
        <v/>
      </c>
      <c r="AE299" s="176" t="str">
        <f t="shared" ca="1" si="125"/>
        <v/>
      </c>
      <c r="AF299" s="176" t="str">
        <f t="shared" ca="1" si="126"/>
        <v/>
      </c>
      <c r="AG299" s="176" t="str">
        <f t="shared" ca="1" si="127"/>
        <v/>
      </c>
      <c r="AH299" s="183" t="str">
        <f t="shared" ca="1" si="128"/>
        <v/>
      </c>
      <c r="AI299" s="176" t="str">
        <f t="shared" ca="1" si="129"/>
        <v/>
      </c>
      <c r="AJ299" s="176" t="str">
        <f t="shared" ca="1" si="130"/>
        <v/>
      </c>
      <c r="AK299" s="176" t="str">
        <f t="shared" ca="1" si="131"/>
        <v/>
      </c>
      <c r="AL299" s="176" t="str">
        <f t="shared" ca="1" si="132"/>
        <v/>
      </c>
      <c r="AM299" s="176" t="str">
        <f t="shared" ca="1" si="133"/>
        <v/>
      </c>
      <c r="AN299" s="176" t="str">
        <f t="shared" ca="1" si="134"/>
        <v/>
      </c>
      <c r="AO299" s="176" t="str">
        <f t="shared" ca="1" si="135"/>
        <v/>
      </c>
      <c r="AP299" s="176" t="str">
        <f t="shared" ca="1" si="136"/>
        <v/>
      </c>
    </row>
    <row r="300" spans="21:42">
      <c r="U300" s="218"/>
      <c r="V300" s="219"/>
      <c r="W300" s="219"/>
      <c r="AD300" s="176" t="str">
        <f t="shared" ca="1" si="124"/>
        <v/>
      </c>
      <c r="AE300" s="176" t="str">
        <f t="shared" ca="1" si="125"/>
        <v/>
      </c>
      <c r="AF300" s="176" t="str">
        <f t="shared" ca="1" si="126"/>
        <v/>
      </c>
      <c r="AG300" s="176" t="str">
        <f t="shared" ca="1" si="127"/>
        <v/>
      </c>
      <c r="AH300" s="183" t="str">
        <f t="shared" ca="1" si="128"/>
        <v/>
      </c>
      <c r="AI300" s="176" t="str">
        <f t="shared" ca="1" si="129"/>
        <v/>
      </c>
      <c r="AJ300" s="176" t="str">
        <f t="shared" ca="1" si="130"/>
        <v/>
      </c>
      <c r="AK300" s="176" t="str">
        <f t="shared" ca="1" si="131"/>
        <v/>
      </c>
      <c r="AL300" s="176" t="str">
        <f t="shared" ca="1" si="132"/>
        <v/>
      </c>
      <c r="AM300" s="176" t="str">
        <f t="shared" ca="1" si="133"/>
        <v/>
      </c>
      <c r="AN300" s="176" t="str">
        <f t="shared" ca="1" si="134"/>
        <v/>
      </c>
      <c r="AO300" s="176" t="str">
        <f t="shared" ca="1" si="135"/>
        <v/>
      </c>
      <c r="AP300" s="176" t="str">
        <f t="shared" ca="1" si="136"/>
        <v/>
      </c>
    </row>
    <row r="301" spans="21:42">
      <c r="U301" s="218"/>
      <c r="V301" s="219"/>
      <c r="W301" s="219"/>
      <c r="AD301" s="176" t="str">
        <f t="shared" ca="1" si="124"/>
        <v/>
      </c>
      <c r="AE301" s="176" t="str">
        <f t="shared" ca="1" si="125"/>
        <v/>
      </c>
      <c r="AF301" s="176" t="str">
        <f t="shared" ca="1" si="126"/>
        <v/>
      </c>
      <c r="AG301" s="176" t="str">
        <f t="shared" ca="1" si="127"/>
        <v/>
      </c>
      <c r="AH301" s="183" t="str">
        <f t="shared" ca="1" si="128"/>
        <v/>
      </c>
      <c r="AI301" s="176" t="str">
        <f t="shared" ca="1" si="129"/>
        <v/>
      </c>
      <c r="AJ301" s="176" t="str">
        <f t="shared" ca="1" si="130"/>
        <v/>
      </c>
      <c r="AK301" s="176" t="str">
        <f t="shared" ca="1" si="131"/>
        <v/>
      </c>
      <c r="AL301" s="176" t="str">
        <f t="shared" ca="1" si="132"/>
        <v/>
      </c>
      <c r="AM301" s="176" t="str">
        <f t="shared" ca="1" si="133"/>
        <v/>
      </c>
      <c r="AN301" s="176" t="str">
        <f t="shared" ca="1" si="134"/>
        <v/>
      </c>
      <c r="AO301" s="176" t="str">
        <f t="shared" ca="1" si="135"/>
        <v/>
      </c>
      <c r="AP301" s="176" t="str">
        <f t="shared" ca="1" si="136"/>
        <v/>
      </c>
    </row>
    <row r="302" spans="21:42">
      <c r="U302" s="218"/>
      <c r="V302" s="219"/>
      <c r="W302" s="219"/>
      <c r="AD302" s="176" t="str">
        <f t="shared" ref="AD302:AD333" ca="1" si="137">IFERROR(INDEX(AC:AC,MATCH(SMALL($AU:$AU,ROW()+3),$AU:$AU,0)),"")</f>
        <v/>
      </c>
      <c r="AE302" s="176" t="str">
        <f t="shared" ref="AE302:AE333" ca="1" si="138">IFERROR(INDEX(R:R,MATCH(SMALL($AU:$AU,ROW()+3),$AU:$AU,0)),"")</f>
        <v/>
      </c>
      <c r="AF302" s="176" t="str">
        <f t="shared" ref="AF302:AF333" ca="1" si="139">IFERROR(INDEX(S:S,MATCH(SMALL($AU:$AU,ROW()+3),$AU:$AU,0)),"")</f>
        <v/>
      </c>
      <c r="AG302" s="176" t="str">
        <f t="shared" ref="AG302:AG333" ca="1" si="140">IFERROR(INDEX(T:T,MATCH(SMALL($AU:$AU,ROW()+3),$AU:$AU,0)),"")</f>
        <v/>
      </c>
      <c r="AH302" s="183" t="str">
        <f t="shared" ref="AH302:AH333" ca="1" si="141">IFERROR(INDEX(U:U,MATCH(SMALL($AU:$AU,ROW()+3),$AU:$AU,0)),"")</f>
        <v/>
      </c>
      <c r="AI302" s="176" t="str">
        <f t="shared" ref="AI302:AI333" ca="1" si="142">IFERROR(INDEX(V:V,MATCH(SMALL($AU:$AU,ROW()+3),$AU:$AU,0)),"")</f>
        <v/>
      </c>
      <c r="AJ302" s="176" t="str">
        <f t="shared" ref="AJ302:AJ333" ca="1" si="143">IFERROR(INDEX(W:W,MATCH(SMALL($AU:$AU,ROW()+3),$AU:$AU,0)),"")</f>
        <v/>
      </c>
      <c r="AK302" s="176" t="str">
        <f t="shared" ref="AK302:AK333" ca="1" si="144">IFERROR(INDEX(X:X,MATCH(SMALL($AU:$AU,ROW()+3),$AU:$AU,0)),"")</f>
        <v/>
      </c>
      <c r="AL302" s="176" t="str">
        <f t="shared" ref="AL302:AL333" ca="1" si="145">IFERROR(INDEX(Y:Y,MATCH(SMALL($AU:$AU,ROW()+3),$AU:$AU,0)),"")</f>
        <v/>
      </c>
      <c r="AM302" s="176" t="str">
        <f t="shared" ref="AM302:AM333" ca="1" si="146">IFERROR(INDEX(Z:Z,MATCH(SMALL($AU:$AU,ROW()+3),$AU:$AU,0)),"")</f>
        <v/>
      </c>
      <c r="AN302" s="176" t="str">
        <f t="shared" ref="AN302:AN333" ca="1" si="147">IFERROR(INDEX(AA:AA,MATCH(SMALL($AU:$AU,ROW()+3),$AU:$AU,0)),"")</f>
        <v/>
      </c>
      <c r="AO302" s="176" t="str">
        <f t="shared" ref="AO302:AO333" ca="1" si="148">IFERROR(INDEX(AB:AB,MATCH(SMALL($AU:$AU,ROW()+3),$AU:$AU,0)),"")</f>
        <v/>
      </c>
      <c r="AP302" s="176" t="str">
        <f t="shared" ref="AP302:AP333" ca="1" si="149">IFERROR(INDEX(AC:AC,MATCH(SMALL($AU:$AU,ROW()+3),$AU:$AU,0)),"")</f>
        <v/>
      </c>
    </row>
    <row r="303" spans="21:42">
      <c r="U303" s="218"/>
      <c r="V303" s="219"/>
      <c r="W303" s="219"/>
      <c r="AD303" s="176" t="str">
        <f t="shared" ca="1" si="137"/>
        <v/>
      </c>
      <c r="AE303" s="176" t="str">
        <f t="shared" ca="1" si="138"/>
        <v/>
      </c>
      <c r="AF303" s="176" t="str">
        <f t="shared" ca="1" si="139"/>
        <v/>
      </c>
      <c r="AG303" s="176" t="str">
        <f t="shared" ca="1" si="140"/>
        <v/>
      </c>
      <c r="AH303" s="183" t="str">
        <f t="shared" ca="1" si="141"/>
        <v/>
      </c>
      <c r="AI303" s="176" t="str">
        <f t="shared" ca="1" si="142"/>
        <v/>
      </c>
      <c r="AJ303" s="176" t="str">
        <f t="shared" ca="1" si="143"/>
        <v/>
      </c>
      <c r="AK303" s="176" t="str">
        <f t="shared" ca="1" si="144"/>
        <v/>
      </c>
      <c r="AL303" s="176" t="str">
        <f t="shared" ca="1" si="145"/>
        <v/>
      </c>
      <c r="AM303" s="176" t="str">
        <f t="shared" ca="1" si="146"/>
        <v/>
      </c>
      <c r="AN303" s="176" t="str">
        <f t="shared" ca="1" si="147"/>
        <v/>
      </c>
      <c r="AO303" s="176" t="str">
        <f t="shared" ca="1" si="148"/>
        <v/>
      </c>
      <c r="AP303" s="176" t="str">
        <f t="shared" ca="1" si="149"/>
        <v/>
      </c>
    </row>
    <row r="304" spans="21:42">
      <c r="U304" s="218"/>
      <c r="V304" s="219"/>
      <c r="W304" s="219"/>
      <c r="AD304" s="176" t="str">
        <f t="shared" ca="1" si="137"/>
        <v/>
      </c>
      <c r="AE304" s="176" t="str">
        <f t="shared" ca="1" si="138"/>
        <v/>
      </c>
      <c r="AF304" s="176" t="str">
        <f t="shared" ca="1" si="139"/>
        <v/>
      </c>
      <c r="AG304" s="176" t="str">
        <f t="shared" ca="1" si="140"/>
        <v/>
      </c>
      <c r="AH304" s="183" t="str">
        <f t="shared" ca="1" si="141"/>
        <v/>
      </c>
      <c r="AI304" s="176" t="str">
        <f t="shared" ca="1" si="142"/>
        <v/>
      </c>
      <c r="AJ304" s="176" t="str">
        <f t="shared" ca="1" si="143"/>
        <v/>
      </c>
      <c r="AK304" s="176" t="str">
        <f t="shared" ca="1" si="144"/>
        <v/>
      </c>
      <c r="AL304" s="176" t="str">
        <f t="shared" ca="1" si="145"/>
        <v/>
      </c>
      <c r="AM304" s="176" t="str">
        <f t="shared" ca="1" si="146"/>
        <v/>
      </c>
      <c r="AN304" s="176" t="str">
        <f t="shared" ca="1" si="147"/>
        <v/>
      </c>
      <c r="AO304" s="176" t="str">
        <f t="shared" ca="1" si="148"/>
        <v/>
      </c>
      <c r="AP304" s="176" t="str">
        <f t="shared" ca="1" si="149"/>
        <v/>
      </c>
    </row>
    <row r="305" spans="21:42">
      <c r="U305" s="218"/>
      <c r="V305" s="219"/>
      <c r="W305" s="219"/>
      <c r="AD305" s="176" t="str">
        <f t="shared" ca="1" si="137"/>
        <v/>
      </c>
      <c r="AE305" s="176" t="str">
        <f t="shared" ca="1" si="138"/>
        <v/>
      </c>
      <c r="AF305" s="176" t="str">
        <f t="shared" ca="1" si="139"/>
        <v/>
      </c>
      <c r="AG305" s="176" t="str">
        <f t="shared" ca="1" si="140"/>
        <v/>
      </c>
      <c r="AH305" s="183" t="str">
        <f t="shared" ca="1" si="141"/>
        <v/>
      </c>
      <c r="AI305" s="176" t="str">
        <f t="shared" ca="1" si="142"/>
        <v/>
      </c>
      <c r="AJ305" s="176" t="str">
        <f t="shared" ca="1" si="143"/>
        <v/>
      </c>
      <c r="AK305" s="176" t="str">
        <f t="shared" ca="1" si="144"/>
        <v/>
      </c>
      <c r="AL305" s="176" t="str">
        <f t="shared" ca="1" si="145"/>
        <v/>
      </c>
      <c r="AM305" s="176" t="str">
        <f t="shared" ca="1" si="146"/>
        <v/>
      </c>
      <c r="AN305" s="176" t="str">
        <f t="shared" ca="1" si="147"/>
        <v/>
      </c>
      <c r="AO305" s="176" t="str">
        <f t="shared" ca="1" si="148"/>
        <v/>
      </c>
      <c r="AP305" s="176" t="str">
        <f t="shared" ca="1" si="149"/>
        <v/>
      </c>
    </row>
    <row r="306" spans="21:42">
      <c r="U306" s="218"/>
      <c r="V306" s="219"/>
      <c r="W306" s="219"/>
      <c r="AD306" s="176" t="str">
        <f t="shared" ca="1" si="137"/>
        <v/>
      </c>
      <c r="AE306" s="176" t="str">
        <f t="shared" ca="1" si="138"/>
        <v/>
      </c>
      <c r="AF306" s="176" t="str">
        <f t="shared" ca="1" si="139"/>
        <v/>
      </c>
      <c r="AG306" s="176" t="str">
        <f t="shared" ca="1" si="140"/>
        <v/>
      </c>
      <c r="AH306" s="183" t="str">
        <f t="shared" ca="1" si="141"/>
        <v/>
      </c>
      <c r="AI306" s="176" t="str">
        <f t="shared" ca="1" si="142"/>
        <v/>
      </c>
      <c r="AJ306" s="176" t="str">
        <f t="shared" ca="1" si="143"/>
        <v/>
      </c>
      <c r="AK306" s="176" t="str">
        <f t="shared" ca="1" si="144"/>
        <v/>
      </c>
      <c r="AL306" s="176" t="str">
        <f t="shared" ca="1" si="145"/>
        <v/>
      </c>
      <c r="AM306" s="176" t="str">
        <f t="shared" ca="1" si="146"/>
        <v/>
      </c>
      <c r="AN306" s="176" t="str">
        <f t="shared" ca="1" si="147"/>
        <v/>
      </c>
      <c r="AO306" s="176" t="str">
        <f t="shared" ca="1" si="148"/>
        <v/>
      </c>
      <c r="AP306" s="176" t="str">
        <f t="shared" ca="1" si="149"/>
        <v/>
      </c>
    </row>
    <row r="307" spans="21:42">
      <c r="U307" s="218"/>
      <c r="V307" s="219"/>
      <c r="W307" s="219"/>
      <c r="AD307" s="176" t="str">
        <f t="shared" ca="1" si="137"/>
        <v/>
      </c>
      <c r="AE307" s="176" t="str">
        <f t="shared" ca="1" si="138"/>
        <v/>
      </c>
      <c r="AF307" s="176" t="str">
        <f t="shared" ca="1" si="139"/>
        <v/>
      </c>
      <c r="AG307" s="176" t="str">
        <f t="shared" ca="1" si="140"/>
        <v/>
      </c>
      <c r="AH307" s="183" t="str">
        <f t="shared" ca="1" si="141"/>
        <v/>
      </c>
      <c r="AI307" s="176" t="str">
        <f t="shared" ca="1" si="142"/>
        <v/>
      </c>
      <c r="AJ307" s="176" t="str">
        <f t="shared" ca="1" si="143"/>
        <v/>
      </c>
      <c r="AK307" s="176" t="str">
        <f t="shared" ca="1" si="144"/>
        <v/>
      </c>
      <c r="AL307" s="176" t="str">
        <f t="shared" ca="1" si="145"/>
        <v/>
      </c>
      <c r="AM307" s="176" t="str">
        <f t="shared" ca="1" si="146"/>
        <v/>
      </c>
      <c r="AN307" s="176" t="str">
        <f t="shared" ca="1" si="147"/>
        <v/>
      </c>
      <c r="AO307" s="176" t="str">
        <f t="shared" ca="1" si="148"/>
        <v/>
      </c>
      <c r="AP307" s="176" t="str">
        <f t="shared" ca="1" si="149"/>
        <v/>
      </c>
    </row>
    <row r="308" spans="21:42">
      <c r="U308" s="218"/>
      <c r="V308" s="219"/>
      <c r="W308" s="219"/>
      <c r="AD308" s="176" t="str">
        <f t="shared" ca="1" si="137"/>
        <v/>
      </c>
      <c r="AE308" s="176" t="str">
        <f t="shared" ca="1" si="138"/>
        <v/>
      </c>
      <c r="AF308" s="176" t="str">
        <f t="shared" ca="1" si="139"/>
        <v/>
      </c>
      <c r="AG308" s="176" t="str">
        <f t="shared" ca="1" si="140"/>
        <v/>
      </c>
      <c r="AH308" s="183" t="str">
        <f t="shared" ca="1" si="141"/>
        <v/>
      </c>
      <c r="AI308" s="176" t="str">
        <f t="shared" ca="1" si="142"/>
        <v/>
      </c>
      <c r="AJ308" s="176" t="str">
        <f t="shared" ca="1" si="143"/>
        <v/>
      </c>
      <c r="AK308" s="176" t="str">
        <f t="shared" ca="1" si="144"/>
        <v/>
      </c>
      <c r="AL308" s="176" t="str">
        <f t="shared" ca="1" si="145"/>
        <v/>
      </c>
      <c r="AM308" s="176" t="str">
        <f t="shared" ca="1" si="146"/>
        <v/>
      </c>
      <c r="AN308" s="176" t="str">
        <f t="shared" ca="1" si="147"/>
        <v/>
      </c>
      <c r="AO308" s="176" t="str">
        <f t="shared" ca="1" si="148"/>
        <v/>
      </c>
      <c r="AP308" s="176" t="str">
        <f t="shared" ca="1" si="149"/>
        <v/>
      </c>
    </row>
    <row r="309" spans="21:42">
      <c r="U309" s="218"/>
      <c r="V309" s="219"/>
      <c r="W309" s="219"/>
      <c r="AD309" s="176" t="str">
        <f t="shared" ca="1" si="137"/>
        <v/>
      </c>
      <c r="AE309" s="176" t="str">
        <f t="shared" ca="1" si="138"/>
        <v/>
      </c>
      <c r="AF309" s="176" t="str">
        <f t="shared" ca="1" si="139"/>
        <v/>
      </c>
      <c r="AG309" s="176" t="str">
        <f t="shared" ca="1" si="140"/>
        <v/>
      </c>
      <c r="AH309" s="183" t="str">
        <f t="shared" ca="1" si="141"/>
        <v/>
      </c>
      <c r="AI309" s="176" t="str">
        <f t="shared" ca="1" si="142"/>
        <v/>
      </c>
      <c r="AJ309" s="176" t="str">
        <f t="shared" ca="1" si="143"/>
        <v/>
      </c>
      <c r="AK309" s="176" t="str">
        <f t="shared" ca="1" si="144"/>
        <v/>
      </c>
      <c r="AL309" s="176" t="str">
        <f t="shared" ca="1" si="145"/>
        <v/>
      </c>
      <c r="AM309" s="176" t="str">
        <f t="shared" ca="1" si="146"/>
        <v/>
      </c>
      <c r="AN309" s="176" t="str">
        <f t="shared" ca="1" si="147"/>
        <v/>
      </c>
      <c r="AO309" s="176" t="str">
        <f t="shared" ca="1" si="148"/>
        <v/>
      </c>
      <c r="AP309" s="176" t="str">
        <f t="shared" ca="1" si="149"/>
        <v/>
      </c>
    </row>
    <row r="310" spans="21:42">
      <c r="U310" s="218"/>
      <c r="V310" s="219"/>
      <c r="W310" s="219"/>
      <c r="AD310" s="176" t="str">
        <f t="shared" ca="1" si="137"/>
        <v/>
      </c>
      <c r="AE310" s="176" t="str">
        <f t="shared" ca="1" si="138"/>
        <v/>
      </c>
      <c r="AF310" s="176" t="str">
        <f t="shared" ca="1" si="139"/>
        <v/>
      </c>
      <c r="AG310" s="176" t="str">
        <f t="shared" ca="1" si="140"/>
        <v/>
      </c>
      <c r="AH310" s="183" t="str">
        <f t="shared" ca="1" si="141"/>
        <v/>
      </c>
      <c r="AI310" s="176" t="str">
        <f t="shared" ca="1" si="142"/>
        <v/>
      </c>
      <c r="AJ310" s="176" t="str">
        <f t="shared" ca="1" si="143"/>
        <v/>
      </c>
      <c r="AK310" s="176" t="str">
        <f t="shared" ca="1" si="144"/>
        <v/>
      </c>
      <c r="AL310" s="176" t="str">
        <f t="shared" ca="1" si="145"/>
        <v/>
      </c>
      <c r="AM310" s="176" t="str">
        <f t="shared" ca="1" si="146"/>
        <v/>
      </c>
      <c r="AN310" s="176" t="str">
        <f t="shared" ca="1" si="147"/>
        <v/>
      </c>
      <c r="AO310" s="176" t="str">
        <f t="shared" ca="1" si="148"/>
        <v/>
      </c>
      <c r="AP310" s="176" t="str">
        <f t="shared" ca="1" si="149"/>
        <v/>
      </c>
    </row>
    <row r="311" spans="21:42">
      <c r="U311" s="218"/>
      <c r="V311" s="219"/>
      <c r="W311" s="219"/>
      <c r="AD311" s="176" t="str">
        <f t="shared" ca="1" si="137"/>
        <v/>
      </c>
      <c r="AE311" s="176" t="str">
        <f t="shared" ca="1" si="138"/>
        <v/>
      </c>
      <c r="AF311" s="176" t="str">
        <f t="shared" ca="1" si="139"/>
        <v/>
      </c>
      <c r="AG311" s="176" t="str">
        <f t="shared" ca="1" si="140"/>
        <v/>
      </c>
      <c r="AH311" s="183" t="str">
        <f t="shared" ca="1" si="141"/>
        <v/>
      </c>
      <c r="AI311" s="176" t="str">
        <f t="shared" ca="1" si="142"/>
        <v/>
      </c>
      <c r="AJ311" s="176" t="str">
        <f t="shared" ca="1" si="143"/>
        <v/>
      </c>
      <c r="AK311" s="176" t="str">
        <f t="shared" ca="1" si="144"/>
        <v/>
      </c>
      <c r="AL311" s="176" t="str">
        <f t="shared" ca="1" si="145"/>
        <v/>
      </c>
      <c r="AM311" s="176" t="str">
        <f t="shared" ca="1" si="146"/>
        <v/>
      </c>
      <c r="AN311" s="176" t="str">
        <f t="shared" ca="1" si="147"/>
        <v/>
      </c>
      <c r="AO311" s="176" t="str">
        <f t="shared" ca="1" si="148"/>
        <v/>
      </c>
      <c r="AP311" s="176" t="str">
        <f t="shared" ca="1" si="149"/>
        <v/>
      </c>
    </row>
    <row r="312" spans="21:42">
      <c r="U312" s="218"/>
      <c r="V312" s="219"/>
      <c r="W312" s="219"/>
      <c r="AD312" s="176" t="str">
        <f t="shared" ca="1" si="137"/>
        <v/>
      </c>
      <c r="AE312" s="176" t="str">
        <f t="shared" ca="1" si="138"/>
        <v/>
      </c>
      <c r="AF312" s="176" t="str">
        <f t="shared" ca="1" si="139"/>
        <v/>
      </c>
      <c r="AG312" s="176" t="str">
        <f t="shared" ca="1" si="140"/>
        <v/>
      </c>
      <c r="AH312" s="183" t="str">
        <f t="shared" ca="1" si="141"/>
        <v/>
      </c>
      <c r="AI312" s="176" t="str">
        <f t="shared" ca="1" si="142"/>
        <v/>
      </c>
      <c r="AJ312" s="176" t="str">
        <f t="shared" ca="1" si="143"/>
        <v/>
      </c>
      <c r="AK312" s="176" t="str">
        <f t="shared" ca="1" si="144"/>
        <v/>
      </c>
      <c r="AL312" s="176" t="str">
        <f t="shared" ca="1" si="145"/>
        <v/>
      </c>
      <c r="AM312" s="176" t="str">
        <f t="shared" ca="1" si="146"/>
        <v/>
      </c>
      <c r="AN312" s="176" t="str">
        <f t="shared" ca="1" si="147"/>
        <v/>
      </c>
      <c r="AO312" s="176" t="str">
        <f t="shared" ca="1" si="148"/>
        <v/>
      </c>
      <c r="AP312" s="176" t="str">
        <f t="shared" ca="1" si="149"/>
        <v/>
      </c>
    </row>
    <row r="313" spans="21:42">
      <c r="U313" s="218"/>
      <c r="V313" s="219"/>
      <c r="W313" s="219"/>
      <c r="AD313" s="176" t="str">
        <f t="shared" ca="1" si="137"/>
        <v/>
      </c>
      <c r="AE313" s="176" t="str">
        <f t="shared" ca="1" si="138"/>
        <v/>
      </c>
      <c r="AF313" s="176" t="str">
        <f t="shared" ca="1" si="139"/>
        <v/>
      </c>
      <c r="AG313" s="176" t="str">
        <f t="shared" ca="1" si="140"/>
        <v/>
      </c>
      <c r="AH313" s="183" t="str">
        <f t="shared" ca="1" si="141"/>
        <v/>
      </c>
      <c r="AI313" s="176" t="str">
        <f t="shared" ca="1" si="142"/>
        <v/>
      </c>
      <c r="AJ313" s="176" t="str">
        <f t="shared" ca="1" si="143"/>
        <v/>
      </c>
      <c r="AK313" s="176" t="str">
        <f t="shared" ca="1" si="144"/>
        <v/>
      </c>
      <c r="AL313" s="176" t="str">
        <f t="shared" ca="1" si="145"/>
        <v/>
      </c>
      <c r="AM313" s="176" t="str">
        <f t="shared" ca="1" si="146"/>
        <v/>
      </c>
      <c r="AN313" s="176" t="str">
        <f t="shared" ca="1" si="147"/>
        <v/>
      </c>
      <c r="AO313" s="176" t="str">
        <f t="shared" ca="1" si="148"/>
        <v/>
      </c>
      <c r="AP313" s="176" t="str">
        <f t="shared" ca="1" si="149"/>
        <v/>
      </c>
    </row>
    <row r="314" spans="21:42">
      <c r="U314" s="218"/>
      <c r="V314" s="219"/>
      <c r="W314" s="219"/>
      <c r="AD314" s="176" t="str">
        <f t="shared" ca="1" si="137"/>
        <v/>
      </c>
      <c r="AE314" s="176" t="str">
        <f t="shared" ca="1" si="138"/>
        <v/>
      </c>
      <c r="AF314" s="176" t="str">
        <f t="shared" ca="1" si="139"/>
        <v/>
      </c>
      <c r="AG314" s="176" t="str">
        <f t="shared" ca="1" si="140"/>
        <v/>
      </c>
      <c r="AH314" s="183" t="str">
        <f t="shared" ca="1" si="141"/>
        <v/>
      </c>
      <c r="AI314" s="176" t="str">
        <f t="shared" ca="1" si="142"/>
        <v/>
      </c>
      <c r="AJ314" s="176" t="str">
        <f t="shared" ca="1" si="143"/>
        <v/>
      </c>
      <c r="AK314" s="176" t="str">
        <f t="shared" ca="1" si="144"/>
        <v/>
      </c>
      <c r="AL314" s="176" t="str">
        <f t="shared" ca="1" si="145"/>
        <v/>
      </c>
      <c r="AM314" s="176" t="str">
        <f t="shared" ca="1" si="146"/>
        <v/>
      </c>
      <c r="AN314" s="176" t="str">
        <f t="shared" ca="1" si="147"/>
        <v/>
      </c>
      <c r="AO314" s="176" t="str">
        <f t="shared" ca="1" si="148"/>
        <v/>
      </c>
      <c r="AP314" s="176" t="str">
        <f t="shared" ca="1" si="149"/>
        <v/>
      </c>
    </row>
    <row r="315" spans="21:42">
      <c r="U315" s="218"/>
      <c r="V315" s="219"/>
      <c r="W315" s="219"/>
      <c r="AD315" s="176" t="str">
        <f t="shared" ca="1" si="137"/>
        <v/>
      </c>
      <c r="AE315" s="176" t="str">
        <f t="shared" ca="1" si="138"/>
        <v/>
      </c>
      <c r="AF315" s="176" t="str">
        <f t="shared" ca="1" si="139"/>
        <v/>
      </c>
      <c r="AG315" s="176" t="str">
        <f t="shared" ca="1" si="140"/>
        <v/>
      </c>
      <c r="AH315" s="183" t="str">
        <f t="shared" ca="1" si="141"/>
        <v/>
      </c>
      <c r="AI315" s="176" t="str">
        <f t="shared" ca="1" si="142"/>
        <v/>
      </c>
      <c r="AJ315" s="176" t="str">
        <f t="shared" ca="1" si="143"/>
        <v/>
      </c>
      <c r="AK315" s="176" t="str">
        <f t="shared" ca="1" si="144"/>
        <v/>
      </c>
      <c r="AL315" s="176" t="str">
        <f t="shared" ca="1" si="145"/>
        <v/>
      </c>
      <c r="AM315" s="176" t="str">
        <f t="shared" ca="1" si="146"/>
        <v/>
      </c>
      <c r="AN315" s="176" t="str">
        <f t="shared" ca="1" si="147"/>
        <v/>
      </c>
      <c r="AO315" s="176" t="str">
        <f t="shared" ca="1" si="148"/>
        <v/>
      </c>
      <c r="AP315" s="176" t="str">
        <f t="shared" ca="1" si="149"/>
        <v/>
      </c>
    </row>
    <row r="316" spans="21:42">
      <c r="U316" s="218"/>
      <c r="V316" s="219"/>
      <c r="W316" s="219"/>
      <c r="AD316" s="176" t="str">
        <f t="shared" ca="1" si="137"/>
        <v/>
      </c>
      <c r="AE316" s="176" t="str">
        <f t="shared" ca="1" si="138"/>
        <v/>
      </c>
      <c r="AF316" s="176" t="str">
        <f t="shared" ca="1" si="139"/>
        <v/>
      </c>
      <c r="AG316" s="176" t="str">
        <f t="shared" ca="1" si="140"/>
        <v/>
      </c>
      <c r="AH316" s="183" t="str">
        <f t="shared" ca="1" si="141"/>
        <v/>
      </c>
      <c r="AI316" s="176" t="str">
        <f t="shared" ca="1" si="142"/>
        <v/>
      </c>
      <c r="AJ316" s="176" t="str">
        <f t="shared" ca="1" si="143"/>
        <v/>
      </c>
      <c r="AK316" s="176" t="str">
        <f t="shared" ca="1" si="144"/>
        <v/>
      </c>
      <c r="AL316" s="176" t="str">
        <f t="shared" ca="1" si="145"/>
        <v/>
      </c>
      <c r="AM316" s="176" t="str">
        <f t="shared" ca="1" si="146"/>
        <v/>
      </c>
      <c r="AN316" s="176" t="str">
        <f t="shared" ca="1" si="147"/>
        <v/>
      </c>
      <c r="AO316" s="176" t="str">
        <f t="shared" ca="1" si="148"/>
        <v/>
      </c>
      <c r="AP316" s="176" t="str">
        <f t="shared" ca="1" si="149"/>
        <v/>
      </c>
    </row>
    <row r="317" spans="21:42">
      <c r="U317" s="218"/>
      <c r="V317" s="219"/>
      <c r="W317" s="219"/>
      <c r="AD317" s="176" t="str">
        <f t="shared" ca="1" si="137"/>
        <v/>
      </c>
      <c r="AE317" s="176" t="str">
        <f t="shared" ca="1" si="138"/>
        <v/>
      </c>
      <c r="AF317" s="176" t="str">
        <f t="shared" ca="1" si="139"/>
        <v/>
      </c>
      <c r="AG317" s="176" t="str">
        <f t="shared" ca="1" si="140"/>
        <v/>
      </c>
      <c r="AH317" s="183" t="str">
        <f t="shared" ca="1" si="141"/>
        <v/>
      </c>
      <c r="AI317" s="176" t="str">
        <f t="shared" ca="1" si="142"/>
        <v/>
      </c>
      <c r="AJ317" s="176" t="str">
        <f t="shared" ca="1" si="143"/>
        <v/>
      </c>
      <c r="AK317" s="176" t="str">
        <f t="shared" ca="1" si="144"/>
        <v/>
      </c>
      <c r="AL317" s="176" t="str">
        <f t="shared" ca="1" si="145"/>
        <v/>
      </c>
      <c r="AM317" s="176" t="str">
        <f t="shared" ca="1" si="146"/>
        <v/>
      </c>
      <c r="AN317" s="176" t="str">
        <f t="shared" ca="1" si="147"/>
        <v/>
      </c>
      <c r="AO317" s="176" t="str">
        <f t="shared" ca="1" si="148"/>
        <v/>
      </c>
      <c r="AP317" s="176" t="str">
        <f t="shared" ca="1" si="149"/>
        <v/>
      </c>
    </row>
    <row r="318" spans="21:42">
      <c r="U318" s="218"/>
      <c r="V318" s="219"/>
      <c r="W318" s="219"/>
      <c r="AD318" s="176" t="str">
        <f t="shared" ca="1" si="137"/>
        <v/>
      </c>
      <c r="AE318" s="176" t="str">
        <f t="shared" ca="1" si="138"/>
        <v/>
      </c>
      <c r="AF318" s="176" t="str">
        <f t="shared" ca="1" si="139"/>
        <v/>
      </c>
      <c r="AG318" s="176" t="str">
        <f t="shared" ca="1" si="140"/>
        <v/>
      </c>
      <c r="AH318" s="183" t="str">
        <f t="shared" ca="1" si="141"/>
        <v/>
      </c>
      <c r="AI318" s="176" t="str">
        <f t="shared" ca="1" si="142"/>
        <v/>
      </c>
      <c r="AJ318" s="176" t="str">
        <f t="shared" ca="1" si="143"/>
        <v/>
      </c>
      <c r="AK318" s="176" t="str">
        <f t="shared" ca="1" si="144"/>
        <v/>
      </c>
      <c r="AL318" s="176" t="str">
        <f t="shared" ca="1" si="145"/>
        <v/>
      </c>
      <c r="AM318" s="176" t="str">
        <f t="shared" ca="1" si="146"/>
        <v/>
      </c>
      <c r="AN318" s="176" t="str">
        <f t="shared" ca="1" si="147"/>
        <v/>
      </c>
      <c r="AO318" s="176" t="str">
        <f t="shared" ca="1" si="148"/>
        <v/>
      </c>
      <c r="AP318" s="176" t="str">
        <f t="shared" ca="1" si="149"/>
        <v/>
      </c>
    </row>
    <row r="319" spans="21:42">
      <c r="U319" s="218"/>
      <c r="V319" s="219"/>
      <c r="W319" s="219"/>
      <c r="AD319" s="176" t="str">
        <f t="shared" ca="1" si="137"/>
        <v/>
      </c>
      <c r="AE319" s="176" t="str">
        <f t="shared" ca="1" si="138"/>
        <v/>
      </c>
      <c r="AF319" s="176" t="str">
        <f t="shared" ca="1" si="139"/>
        <v/>
      </c>
      <c r="AG319" s="176" t="str">
        <f t="shared" ca="1" si="140"/>
        <v/>
      </c>
      <c r="AH319" s="183" t="str">
        <f t="shared" ca="1" si="141"/>
        <v/>
      </c>
      <c r="AI319" s="176" t="str">
        <f t="shared" ca="1" si="142"/>
        <v/>
      </c>
      <c r="AJ319" s="176" t="str">
        <f t="shared" ca="1" si="143"/>
        <v/>
      </c>
      <c r="AK319" s="176" t="str">
        <f t="shared" ca="1" si="144"/>
        <v/>
      </c>
      <c r="AL319" s="176" t="str">
        <f t="shared" ca="1" si="145"/>
        <v/>
      </c>
      <c r="AM319" s="176" t="str">
        <f t="shared" ca="1" si="146"/>
        <v/>
      </c>
      <c r="AN319" s="176" t="str">
        <f t="shared" ca="1" si="147"/>
        <v/>
      </c>
      <c r="AO319" s="176" t="str">
        <f t="shared" ca="1" si="148"/>
        <v/>
      </c>
      <c r="AP319" s="176" t="str">
        <f t="shared" ca="1" si="149"/>
        <v/>
      </c>
    </row>
    <row r="320" spans="21:42">
      <c r="U320" s="218"/>
      <c r="V320" s="219"/>
      <c r="W320" s="219"/>
      <c r="AD320" s="176" t="str">
        <f t="shared" ca="1" si="137"/>
        <v/>
      </c>
      <c r="AE320" s="176" t="str">
        <f t="shared" ca="1" si="138"/>
        <v/>
      </c>
      <c r="AF320" s="176" t="str">
        <f t="shared" ca="1" si="139"/>
        <v/>
      </c>
      <c r="AG320" s="176" t="str">
        <f t="shared" ca="1" si="140"/>
        <v/>
      </c>
      <c r="AH320" s="183" t="str">
        <f t="shared" ca="1" si="141"/>
        <v/>
      </c>
      <c r="AI320" s="176" t="str">
        <f t="shared" ca="1" si="142"/>
        <v/>
      </c>
      <c r="AJ320" s="176" t="str">
        <f t="shared" ca="1" si="143"/>
        <v/>
      </c>
      <c r="AK320" s="176" t="str">
        <f t="shared" ca="1" si="144"/>
        <v/>
      </c>
      <c r="AL320" s="176" t="str">
        <f t="shared" ca="1" si="145"/>
        <v/>
      </c>
      <c r="AM320" s="176" t="str">
        <f t="shared" ca="1" si="146"/>
        <v/>
      </c>
      <c r="AN320" s="176" t="str">
        <f t="shared" ca="1" si="147"/>
        <v/>
      </c>
      <c r="AO320" s="176" t="str">
        <f t="shared" ca="1" si="148"/>
        <v/>
      </c>
      <c r="AP320" s="176" t="str">
        <f t="shared" ca="1" si="149"/>
        <v/>
      </c>
    </row>
    <row r="321" spans="21:42">
      <c r="U321" s="218"/>
      <c r="V321" s="219"/>
      <c r="W321" s="219"/>
      <c r="AD321" s="176" t="str">
        <f t="shared" ca="1" si="137"/>
        <v/>
      </c>
      <c r="AE321" s="176" t="str">
        <f t="shared" ca="1" si="138"/>
        <v/>
      </c>
      <c r="AF321" s="176" t="str">
        <f t="shared" ca="1" si="139"/>
        <v/>
      </c>
      <c r="AG321" s="176" t="str">
        <f t="shared" ca="1" si="140"/>
        <v/>
      </c>
      <c r="AH321" s="183" t="str">
        <f t="shared" ca="1" si="141"/>
        <v/>
      </c>
      <c r="AI321" s="176" t="str">
        <f t="shared" ca="1" si="142"/>
        <v/>
      </c>
      <c r="AJ321" s="176" t="str">
        <f t="shared" ca="1" si="143"/>
        <v/>
      </c>
      <c r="AK321" s="176" t="str">
        <f t="shared" ca="1" si="144"/>
        <v/>
      </c>
      <c r="AL321" s="176" t="str">
        <f t="shared" ca="1" si="145"/>
        <v/>
      </c>
      <c r="AM321" s="176" t="str">
        <f t="shared" ca="1" si="146"/>
        <v/>
      </c>
      <c r="AN321" s="176" t="str">
        <f t="shared" ca="1" si="147"/>
        <v/>
      </c>
      <c r="AO321" s="176" t="str">
        <f t="shared" ca="1" si="148"/>
        <v/>
      </c>
      <c r="AP321" s="176" t="str">
        <f t="shared" ca="1" si="149"/>
        <v/>
      </c>
    </row>
    <row r="322" spans="21:42">
      <c r="U322" s="218"/>
      <c r="V322" s="219"/>
      <c r="W322" s="219"/>
      <c r="AD322" s="176" t="str">
        <f t="shared" ca="1" si="137"/>
        <v/>
      </c>
      <c r="AE322" s="176" t="str">
        <f t="shared" ca="1" si="138"/>
        <v/>
      </c>
      <c r="AF322" s="176" t="str">
        <f t="shared" ca="1" si="139"/>
        <v/>
      </c>
      <c r="AG322" s="176" t="str">
        <f t="shared" ca="1" si="140"/>
        <v/>
      </c>
      <c r="AH322" s="183" t="str">
        <f t="shared" ca="1" si="141"/>
        <v/>
      </c>
      <c r="AI322" s="176" t="str">
        <f t="shared" ca="1" si="142"/>
        <v/>
      </c>
      <c r="AJ322" s="176" t="str">
        <f t="shared" ca="1" si="143"/>
        <v/>
      </c>
      <c r="AK322" s="176" t="str">
        <f t="shared" ca="1" si="144"/>
        <v/>
      </c>
      <c r="AL322" s="176" t="str">
        <f t="shared" ca="1" si="145"/>
        <v/>
      </c>
      <c r="AM322" s="176" t="str">
        <f t="shared" ca="1" si="146"/>
        <v/>
      </c>
      <c r="AN322" s="176" t="str">
        <f t="shared" ca="1" si="147"/>
        <v/>
      </c>
      <c r="AO322" s="176" t="str">
        <f t="shared" ca="1" si="148"/>
        <v/>
      </c>
      <c r="AP322" s="176" t="str">
        <f t="shared" ca="1" si="149"/>
        <v/>
      </c>
    </row>
    <row r="323" spans="21:42">
      <c r="U323" s="218"/>
      <c r="V323" s="219"/>
      <c r="W323" s="219"/>
      <c r="AD323" s="176" t="str">
        <f t="shared" ca="1" si="137"/>
        <v/>
      </c>
      <c r="AE323" s="176" t="str">
        <f t="shared" ca="1" si="138"/>
        <v/>
      </c>
      <c r="AF323" s="176" t="str">
        <f t="shared" ca="1" si="139"/>
        <v/>
      </c>
      <c r="AG323" s="176" t="str">
        <f t="shared" ca="1" si="140"/>
        <v/>
      </c>
      <c r="AH323" s="183" t="str">
        <f t="shared" ca="1" si="141"/>
        <v/>
      </c>
      <c r="AI323" s="176" t="str">
        <f t="shared" ca="1" si="142"/>
        <v/>
      </c>
      <c r="AJ323" s="176" t="str">
        <f t="shared" ca="1" si="143"/>
        <v/>
      </c>
      <c r="AK323" s="176" t="str">
        <f t="shared" ca="1" si="144"/>
        <v/>
      </c>
      <c r="AL323" s="176" t="str">
        <f t="shared" ca="1" si="145"/>
        <v/>
      </c>
      <c r="AM323" s="176" t="str">
        <f t="shared" ca="1" si="146"/>
        <v/>
      </c>
      <c r="AN323" s="176" t="str">
        <f t="shared" ca="1" si="147"/>
        <v/>
      </c>
      <c r="AO323" s="176" t="str">
        <f t="shared" ca="1" si="148"/>
        <v/>
      </c>
      <c r="AP323" s="176" t="str">
        <f t="shared" ca="1" si="149"/>
        <v/>
      </c>
    </row>
    <row r="324" spans="21:42">
      <c r="U324" s="218"/>
      <c r="V324" s="219"/>
      <c r="W324" s="219"/>
      <c r="AD324" s="176" t="str">
        <f t="shared" ca="1" si="137"/>
        <v/>
      </c>
      <c r="AE324" s="176" t="str">
        <f t="shared" ca="1" si="138"/>
        <v/>
      </c>
      <c r="AF324" s="176" t="str">
        <f t="shared" ca="1" si="139"/>
        <v/>
      </c>
      <c r="AG324" s="176" t="str">
        <f t="shared" ca="1" si="140"/>
        <v/>
      </c>
      <c r="AH324" s="183" t="str">
        <f t="shared" ca="1" si="141"/>
        <v/>
      </c>
      <c r="AI324" s="176" t="str">
        <f t="shared" ca="1" si="142"/>
        <v/>
      </c>
      <c r="AJ324" s="176" t="str">
        <f t="shared" ca="1" si="143"/>
        <v/>
      </c>
      <c r="AK324" s="176" t="str">
        <f t="shared" ca="1" si="144"/>
        <v/>
      </c>
      <c r="AL324" s="176" t="str">
        <f t="shared" ca="1" si="145"/>
        <v/>
      </c>
      <c r="AM324" s="176" t="str">
        <f t="shared" ca="1" si="146"/>
        <v/>
      </c>
      <c r="AN324" s="176" t="str">
        <f t="shared" ca="1" si="147"/>
        <v/>
      </c>
      <c r="AO324" s="176" t="str">
        <f t="shared" ca="1" si="148"/>
        <v/>
      </c>
      <c r="AP324" s="176" t="str">
        <f t="shared" ca="1" si="149"/>
        <v/>
      </c>
    </row>
    <row r="325" spans="21:42">
      <c r="U325" s="218"/>
      <c r="V325" s="219"/>
      <c r="W325" s="219"/>
      <c r="AD325" s="176" t="str">
        <f t="shared" ca="1" si="137"/>
        <v/>
      </c>
      <c r="AE325" s="176" t="str">
        <f t="shared" ca="1" si="138"/>
        <v/>
      </c>
      <c r="AF325" s="176" t="str">
        <f t="shared" ca="1" si="139"/>
        <v/>
      </c>
      <c r="AG325" s="176" t="str">
        <f t="shared" ca="1" si="140"/>
        <v/>
      </c>
      <c r="AH325" s="183" t="str">
        <f t="shared" ca="1" si="141"/>
        <v/>
      </c>
      <c r="AI325" s="176" t="str">
        <f t="shared" ca="1" si="142"/>
        <v/>
      </c>
      <c r="AJ325" s="176" t="str">
        <f t="shared" ca="1" si="143"/>
        <v/>
      </c>
      <c r="AK325" s="176" t="str">
        <f t="shared" ca="1" si="144"/>
        <v/>
      </c>
      <c r="AL325" s="176" t="str">
        <f t="shared" ca="1" si="145"/>
        <v/>
      </c>
      <c r="AM325" s="176" t="str">
        <f t="shared" ca="1" si="146"/>
        <v/>
      </c>
      <c r="AN325" s="176" t="str">
        <f t="shared" ca="1" si="147"/>
        <v/>
      </c>
      <c r="AO325" s="176" t="str">
        <f t="shared" ca="1" si="148"/>
        <v/>
      </c>
      <c r="AP325" s="176" t="str">
        <f t="shared" ca="1" si="149"/>
        <v/>
      </c>
    </row>
    <row r="326" spans="21:42">
      <c r="U326" s="218"/>
      <c r="V326" s="219"/>
      <c r="W326" s="219"/>
      <c r="AD326" s="176" t="str">
        <f t="shared" ca="1" si="137"/>
        <v/>
      </c>
      <c r="AE326" s="176" t="str">
        <f t="shared" ca="1" si="138"/>
        <v/>
      </c>
      <c r="AF326" s="176" t="str">
        <f t="shared" ca="1" si="139"/>
        <v/>
      </c>
      <c r="AG326" s="176" t="str">
        <f t="shared" ca="1" si="140"/>
        <v/>
      </c>
      <c r="AH326" s="183" t="str">
        <f t="shared" ca="1" si="141"/>
        <v/>
      </c>
      <c r="AI326" s="176" t="str">
        <f t="shared" ca="1" si="142"/>
        <v/>
      </c>
      <c r="AJ326" s="176" t="str">
        <f t="shared" ca="1" si="143"/>
        <v/>
      </c>
      <c r="AK326" s="176" t="str">
        <f t="shared" ca="1" si="144"/>
        <v/>
      </c>
      <c r="AL326" s="176" t="str">
        <f t="shared" ca="1" si="145"/>
        <v/>
      </c>
      <c r="AM326" s="176" t="str">
        <f t="shared" ca="1" si="146"/>
        <v/>
      </c>
      <c r="AN326" s="176" t="str">
        <f t="shared" ca="1" si="147"/>
        <v/>
      </c>
      <c r="AO326" s="176" t="str">
        <f t="shared" ca="1" si="148"/>
        <v/>
      </c>
      <c r="AP326" s="176" t="str">
        <f t="shared" ca="1" si="149"/>
        <v/>
      </c>
    </row>
    <row r="327" spans="21:42">
      <c r="U327" s="218"/>
      <c r="V327" s="219"/>
      <c r="W327" s="219"/>
      <c r="AD327" s="176" t="str">
        <f t="shared" ca="1" si="137"/>
        <v/>
      </c>
      <c r="AE327" s="176" t="str">
        <f t="shared" ca="1" si="138"/>
        <v/>
      </c>
      <c r="AF327" s="176" t="str">
        <f t="shared" ca="1" si="139"/>
        <v/>
      </c>
      <c r="AG327" s="176" t="str">
        <f t="shared" ca="1" si="140"/>
        <v/>
      </c>
      <c r="AH327" s="183" t="str">
        <f t="shared" ca="1" si="141"/>
        <v/>
      </c>
      <c r="AI327" s="176" t="str">
        <f t="shared" ca="1" si="142"/>
        <v/>
      </c>
      <c r="AJ327" s="176" t="str">
        <f t="shared" ca="1" si="143"/>
        <v/>
      </c>
      <c r="AK327" s="176" t="str">
        <f t="shared" ca="1" si="144"/>
        <v/>
      </c>
      <c r="AL327" s="176" t="str">
        <f t="shared" ca="1" si="145"/>
        <v/>
      </c>
      <c r="AM327" s="176" t="str">
        <f t="shared" ca="1" si="146"/>
        <v/>
      </c>
      <c r="AN327" s="176" t="str">
        <f t="shared" ca="1" si="147"/>
        <v/>
      </c>
      <c r="AO327" s="176" t="str">
        <f t="shared" ca="1" si="148"/>
        <v/>
      </c>
      <c r="AP327" s="176" t="str">
        <f t="shared" ca="1" si="149"/>
        <v/>
      </c>
    </row>
    <row r="328" spans="21:42">
      <c r="U328" s="218"/>
      <c r="V328" s="219"/>
      <c r="W328" s="219"/>
      <c r="AD328" s="176" t="str">
        <f t="shared" ca="1" si="137"/>
        <v/>
      </c>
      <c r="AE328" s="176" t="str">
        <f t="shared" ca="1" si="138"/>
        <v/>
      </c>
      <c r="AF328" s="176" t="str">
        <f t="shared" ca="1" si="139"/>
        <v/>
      </c>
      <c r="AG328" s="176" t="str">
        <f t="shared" ca="1" si="140"/>
        <v/>
      </c>
      <c r="AH328" s="183" t="str">
        <f t="shared" ca="1" si="141"/>
        <v/>
      </c>
      <c r="AI328" s="176" t="str">
        <f t="shared" ca="1" si="142"/>
        <v/>
      </c>
      <c r="AJ328" s="176" t="str">
        <f t="shared" ca="1" si="143"/>
        <v/>
      </c>
      <c r="AK328" s="176" t="str">
        <f t="shared" ca="1" si="144"/>
        <v/>
      </c>
      <c r="AL328" s="176" t="str">
        <f t="shared" ca="1" si="145"/>
        <v/>
      </c>
      <c r="AM328" s="176" t="str">
        <f t="shared" ca="1" si="146"/>
        <v/>
      </c>
      <c r="AN328" s="176" t="str">
        <f t="shared" ca="1" si="147"/>
        <v/>
      </c>
      <c r="AO328" s="176" t="str">
        <f t="shared" ca="1" si="148"/>
        <v/>
      </c>
      <c r="AP328" s="176" t="str">
        <f t="shared" ca="1" si="149"/>
        <v/>
      </c>
    </row>
    <row r="329" spans="21:42">
      <c r="U329" s="218"/>
      <c r="V329" s="219"/>
      <c r="W329" s="219"/>
      <c r="AD329" s="176" t="str">
        <f t="shared" ca="1" si="137"/>
        <v/>
      </c>
      <c r="AE329" s="176" t="str">
        <f t="shared" ca="1" si="138"/>
        <v/>
      </c>
      <c r="AF329" s="176" t="str">
        <f t="shared" ca="1" si="139"/>
        <v/>
      </c>
      <c r="AG329" s="176" t="str">
        <f t="shared" ca="1" si="140"/>
        <v/>
      </c>
      <c r="AH329" s="183" t="str">
        <f t="shared" ca="1" si="141"/>
        <v/>
      </c>
      <c r="AI329" s="176" t="str">
        <f t="shared" ca="1" si="142"/>
        <v/>
      </c>
      <c r="AJ329" s="176" t="str">
        <f t="shared" ca="1" si="143"/>
        <v/>
      </c>
      <c r="AK329" s="176" t="str">
        <f t="shared" ca="1" si="144"/>
        <v/>
      </c>
      <c r="AL329" s="176" t="str">
        <f t="shared" ca="1" si="145"/>
        <v/>
      </c>
      <c r="AM329" s="176" t="str">
        <f t="shared" ca="1" si="146"/>
        <v/>
      </c>
      <c r="AN329" s="176" t="str">
        <f t="shared" ca="1" si="147"/>
        <v/>
      </c>
      <c r="AO329" s="176" t="str">
        <f t="shared" ca="1" si="148"/>
        <v/>
      </c>
      <c r="AP329" s="176" t="str">
        <f t="shared" ca="1" si="149"/>
        <v/>
      </c>
    </row>
    <row r="330" spans="21:42">
      <c r="U330" s="218"/>
      <c r="V330" s="219"/>
      <c r="W330" s="219"/>
      <c r="AD330" s="176" t="str">
        <f t="shared" ca="1" si="137"/>
        <v/>
      </c>
      <c r="AE330" s="176" t="str">
        <f t="shared" ca="1" si="138"/>
        <v/>
      </c>
      <c r="AF330" s="176" t="str">
        <f t="shared" ca="1" si="139"/>
        <v/>
      </c>
      <c r="AG330" s="176" t="str">
        <f t="shared" ca="1" si="140"/>
        <v/>
      </c>
      <c r="AH330" s="183" t="str">
        <f t="shared" ca="1" si="141"/>
        <v/>
      </c>
      <c r="AI330" s="176" t="str">
        <f t="shared" ca="1" si="142"/>
        <v/>
      </c>
      <c r="AJ330" s="176" t="str">
        <f t="shared" ca="1" si="143"/>
        <v/>
      </c>
      <c r="AK330" s="176" t="str">
        <f t="shared" ca="1" si="144"/>
        <v/>
      </c>
      <c r="AL330" s="176" t="str">
        <f t="shared" ca="1" si="145"/>
        <v/>
      </c>
      <c r="AM330" s="176" t="str">
        <f t="shared" ca="1" si="146"/>
        <v/>
      </c>
      <c r="AN330" s="176" t="str">
        <f t="shared" ca="1" si="147"/>
        <v/>
      </c>
      <c r="AO330" s="176" t="str">
        <f t="shared" ca="1" si="148"/>
        <v/>
      </c>
      <c r="AP330" s="176" t="str">
        <f t="shared" ca="1" si="149"/>
        <v/>
      </c>
    </row>
    <row r="331" spans="21:42">
      <c r="U331" s="218"/>
      <c r="V331" s="219"/>
      <c r="W331" s="219"/>
      <c r="AD331" s="176" t="str">
        <f t="shared" ca="1" si="137"/>
        <v/>
      </c>
      <c r="AE331" s="176" t="str">
        <f t="shared" ca="1" si="138"/>
        <v/>
      </c>
      <c r="AF331" s="176" t="str">
        <f t="shared" ca="1" si="139"/>
        <v/>
      </c>
      <c r="AG331" s="176" t="str">
        <f t="shared" ca="1" si="140"/>
        <v/>
      </c>
      <c r="AH331" s="183" t="str">
        <f t="shared" ca="1" si="141"/>
        <v/>
      </c>
      <c r="AI331" s="176" t="str">
        <f t="shared" ca="1" si="142"/>
        <v/>
      </c>
      <c r="AJ331" s="176" t="str">
        <f t="shared" ca="1" si="143"/>
        <v/>
      </c>
      <c r="AK331" s="176" t="str">
        <f t="shared" ca="1" si="144"/>
        <v/>
      </c>
      <c r="AL331" s="176" t="str">
        <f t="shared" ca="1" si="145"/>
        <v/>
      </c>
      <c r="AM331" s="176" t="str">
        <f t="shared" ca="1" si="146"/>
        <v/>
      </c>
      <c r="AN331" s="176" t="str">
        <f t="shared" ca="1" si="147"/>
        <v/>
      </c>
      <c r="AO331" s="176" t="str">
        <f t="shared" ca="1" si="148"/>
        <v/>
      </c>
      <c r="AP331" s="176" t="str">
        <f t="shared" ca="1" si="149"/>
        <v/>
      </c>
    </row>
    <row r="332" spans="21:42">
      <c r="U332" s="218"/>
      <c r="V332" s="219"/>
      <c r="W332" s="219"/>
      <c r="AD332" s="176" t="str">
        <f t="shared" ca="1" si="137"/>
        <v/>
      </c>
      <c r="AE332" s="176" t="str">
        <f t="shared" ca="1" si="138"/>
        <v/>
      </c>
      <c r="AF332" s="176" t="str">
        <f t="shared" ca="1" si="139"/>
        <v/>
      </c>
      <c r="AG332" s="176" t="str">
        <f t="shared" ca="1" si="140"/>
        <v/>
      </c>
      <c r="AH332" s="183" t="str">
        <f t="shared" ca="1" si="141"/>
        <v/>
      </c>
      <c r="AI332" s="176" t="str">
        <f t="shared" ca="1" si="142"/>
        <v/>
      </c>
      <c r="AJ332" s="176" t="str">
        <f t="shared" ca="1" si="143"/>
        <v/>
      </c>
      <c r="AK332" s="176" t="str">
        <f t="shared" ca="1" si="144"/>
        <v/>
      </c>
      <c r="AL332" s="176" t="str">
        <f t="shared" ca="1" si="145"/>
        <v/>
      </c>
      <c r="AM332" s="176" t="str">
        <f t="shared" ca="1" si="146"/>
        <v/>
      </c>
      <c r="AN332" s="176" t="str">
        <f t="shared" ca="1" si="147"/>
        <v/>
      </c>
      <c r="AO332" s="176" t="str">
        <f t="shared" ca="1" si="148"/>
        <v/>
      </c>
      <c r="AP332" s="176" t="str">
        <f t="shared" ca="1" si="149"/>
        <v/>
      </c>
    </row>
    <row r="333" spans="21:42">
      <c r="U333" s="218"/>
      <c r="V333" s="219"/>
      <c r="W333" s="219"/>
      <c r="AD333" s="176" t="str">
        <f t="shared" ca="1" si="137"/>
        <v/>
      </c>
      <c r="AE333" s="176" t="str">
        <f t="shared" ca="1" si="138"/>
        <v/>
      </c>
      <c r="AF333" s="176" t="str">
        <f t="shared" ca="1" si="139"/>
        <v/>
      </c>
      <c r="AG333" s="176" t="str">
        <f t="shared" ca="1" si="140"/>
        <v/>
      </c>
      <c r="AH333" s="183" t="str">
        <f t="shared" ca="1" si="141"/>
        <v/>
      </c>
      <c r="AI333" s="176" t="str">
        <f t="shared" ca="1" si="142"/>
        <v/>
      </c>
      <c r="AJ333" s="176" t="str">
        <f t="shared" ca="1" si="143"/>
        <v/>
      </c>
      <c r="AK333" s="176" t="str">
        <f t="shared" ca="1" si="144"/>
        <v/>
      </c>
      <c r="AL333" s="176" t="str">
        <f t="shared" ca="1" si="145"/>
        <v/>
      </c>
      <c r="AM333" s="176" t="str">
        <f t="shared" ca="1" si="146"/>
        <v/>
      </c>
      <c r="AN333" s="176" t="str">
        <f t="shared" ca="1" si="147"/>
        <v/>
      </c>
      <c r="AO333" s="176" t="str">
        <f t="shared" ca="1" si="148"/>
        <v/>
      </c>
      <c r="AP333" s="176" t="str">
        <f t="shared" ca="1" si="149"/>
        <v/>
      </c>
    </row>
    <row r="334" spans="21:42">
      <c r="U334" s="218"/>
      <c r="V334" s="219"/>
      <c r="W334" s="219"/>
      <c r="AD334" s="176" t="str">
        <f t="shared" ref="AD334:AD365" ca="1" si="150">IFERROR(INDEX(AC:AC,MATCH(SMALL($AU:$AU,ROW()+3),$AU:$AU,0)),"")</f>
        <v/>
      </c>
      <c r="AE334" s="176" t="str">
        <f t="shared" ref="AE334:AE365" ca="1" si="151">IFERROR(INDEX(R:R,MATCH(SMALL($AU:$AU,ROW()+3),$AU:$AU,0)),"")</f>
        <v/>
      </c>
      <c r="AF334" s="176" t="str">
        <f t="shared" ref="AF334:AF365" ca="1" si="152">IFERROR(INDEX(S:S,MATCH(SMALL($AU:$AU,ROW()+3),$AU:$AU,0)),"")</f>
        <v/>
      </c>
      <c r="AG334" s="176" t="str">
        <f t="shared" ref="AG334:AG365" ca="1" si="153">IFERROR(INDEX(T:T,MATCH(SMALL($AU:$AU,ROW()+3),$AU:$AU,0)),"")</f>
        <v/>
      </c>
      <c r="AH334" s="183" t="str">
        <f t="shared" ref="AH334:AH365" ca="1" si="154">IFERROR(INDEX(U:U,MATCH(SMALL($AU:$AU,ROW()+3),$AU:$AU,0)),"")</f>
        <v/>
      </c>
      <c r="AI334" s="176" t="str">
        <f t="shared" ref="AI334:AI365" ca="1" si="155">IFERROR(INDEX(V:V,MATCH(SMALL($AU:$AU,ROW()+3),$AU:$AU,0)),"")</f>
        <v/>
      </c>
      <c r="AJ334" s="176" t="str">
        <f t="shared" ref="AJ334:AJ365" ca="1" si="156">IFERROR(INDEX(W:W,MATCH(SMALL($AU:$AU,ROW()+3),$AU:$AU,0)),"")</f>
        <v/>
      </c>
      <c r="AK334" s="176" t="str">
        <f t="shared" ref="AK334:AK365" ca="1" si="157">IFERROR(INDEX(X:X,MATCH(SMALL($AU:$AU,ROW()+3),$AU:$AU,0)),"")</f>
        <v/>
      </c>
      <c r="AL334" s="176" t="str">
        <f t="shared" ref="AL334:AL365" ca="1" si="158">IFERROR(INDEX(Y:Y,MATCH(SMALL($AU:$AU,ROW()+3),$AU:$AU,0)),"")</f>
        <v/>
      </c>
      <c r="AM334" s="176" t="str">
        <f t="shared" ref="AM334:AM365" ca="1" si="159">IFERROR(INDEX(Z:Z,MATCH(SMALL($AU:$AU,ROW()+3),$AU:$AU,0)),"")</f>
        <v/>
      </c>
      <c r="AN334" s="176" t="str">
        <f t="shared" ref="AN334:AN365" ca="1" si="160">IFERROR(INDEX(AA:AA,MATCH(SMALL($AU:$AU,ROW()+3),$AU:$AU,0)),"")</f>
        <v/>
      </c>
      <c r="AO334" s="176" t="str">
        <f t="shared" ref="AO334:AO365" ca="1" si="161">IFERROR(INDEX(AB:AB,MATCH(SMALL($AU:$AU,ROW()+3),$AU:$AU,0)),"")</f>
        <v/>
      </c>
      <c r="AP334" s="176" t="str">
        <f t="shared" ref="AP334:AP365" ca="1" si="162">IFERROR(INDEX(AC:AC,MATCH(SMALL($AU:$AU,ROW()+3),$AU:$AU,0)),"")</f>
        <v/>
      </c>
    </row>
    <row r="335" spans="21:42">
      <c r="U335" s="218"/>
      <c r="V335" s="219"/>
      <c r="W335" s="219"/>
      <c r="AD335" s="176" t="str">
        <f t="shared" ca="1" si="150"/>
        <v/>
      </c>
      <c r="AE335" s="176" t="str">
        <f t="shared" ca="1" si="151"/>
        <v/>
      </c>
      <c r="AF335" s="176" t="str">
        <f t="shared" ca="1" si="152"/>
        <v/>
      </c>
      <c r="AG335" s="176" t="str">
        <f t="shared" ca="1" si="153"/>
        <v/>
      </c>
      <c r="AH335" s="183" t="str">
        <f t="shared" ca="1" si="154"/>
        <v/>
      </c>
      <c r="AI335" s="176" t="str">
        <f t="shared" ca="1" si="155"/>
        <v/>
      </c>
      <c r="AJ335" s="176" t="str">
        <f t="shared" ca="1" si="156"/>
        <v/>
      </c>
      <c r="AK335" s="176" t="str">
        <f t="shared" ca="1" si="157"/>
        <v/>
      </c>
      <c r="AL335" s="176" t="str">
        <f t="shared" ca="1" si="158"/>
        <v/>
      </c>
      <c r="AM335" s="176" t="str">
        <f t="shared" ca="1" si="159"/>
        <v/>
      </c>
      <c r="AN335" s="176" t="str">
        <f t="shared" ca="1" si="160"/>
        <v/>
      </c>
      <c r="AO335" s="176" t="str">
        <f t="shared" ca="1" si="161"/>
        <v/>
      </c>
      <c r="AP335" s="176" t="str">
        <f t="shared" ca="1" si="162"/>
        <v/>
      </c>
    </row>
    <row r="336" spans="21:42">
      <c r="U336" s="218"/>
      <c r="V336" s="219"/>
      <c r="W336" s="219"/>
      <c r="AD336" s="176" t="str">
        <f t="shared" ca="1" si="150"/>
        <v/>
      </c>
      <c r="AE336" s="176" t="str">
        <f t="shared" ca="1" si="151"/>
        <v/>
      </c>
      <c r="AF336" s="176" t="str">
        <f t="shared" ca="1" si="152"/>
        <v/>
      </c>
      <c r="AG336" s="176" t="str">
        <f t="shared" ca="1" si="153"/>
        <v/>
      </c>
      <c r="AH336" s="183" t="str">
        <f t="shared" ca="1" si="154"/>
        <v/>
      </c>
      <c r="AI336" s="176" t="str">
        <f t="shared" ca="1" si="155"/>
        <v/>
      </c>
      <c r="AJ336" s="176" t="str">
        <f t="shared" ca="1" si="156"/>
        <v/>
      </c>
      <c r="AK336" s="176" t="str">
        <f t="shared" ca="1" si="157"/>
        <v/>
      </c>
      <c r="AL336" s="176" t="str">
        <f t="shared" ca="1" si="158"/>
        <v/>
      </c>
      <c r="AM336" s="176" t="str">
        <f t="shared" ca="1" si="159"/>
        <v/>
      </c>
      <c r="AN336" s="176" t="str">
        <f t="shared" ca="1" si="160"/>
        <v/>
      </c>
      <c r="AO336" s="176" t="str">
        <f t="shared" ca="1" si="161"/>
        <v/>
      </c>
      <c r="AP336" s="176" t="str">
        <f t="shared" ca="1" si="162"/>
        <v/>
      </c>
    </row>
    <row r="337" spans="21:42">
      <c r="U337" s="218"/>
      <c r="V337" s="219"/>
      <c r="W337" s="219"/>
      <c r="AD337" s="176" t="str">
        <f t="shared" ca="1" si="150"/>
        <v/>
      </c>
      <c r="AE337" s="176" t="str">
        <f t="shared" ca="1" si="151"/>
        <v/>
      </c>
      <c r="AF337" s="176" t="str">
        <f t="shared" ca="1" si="152"/>
        <v/>
      </c>
      <c r="AG337" s="176" t="str">
        <f t="shared" ca="1" si="153"/>
        <v/>
      </c>
      <c r="AH337" s="183" t="str">
        <f t="shared" ca="1" si="154"/>
        <v/>
      </c>
      <c r="AI337" s="176" t="str">
        <f t="shared" ca="1" si="155"/>
        <v/>
      </c>
      <c r="AJ337" s="176" t="str">
        <f t="shared" ca="1" si="156"/>
        <v/>
      </c>
      <c r="AK337" s="176" t="str">
        <f t="shared" ca="1" si="157"/>
        <v/>
      </c>
      <c r="AL337" s="176" t="str">
        <f t="shared" ca="1" si="158"/>
        <v/>
      </c>
      <c r="AM337" s="176" t="str">
        <f t="shared" ca="1" si="159"/>
        <v/>
      </c>
      <c r="AN337" s="176" t="str">
        <f t="shared" ca="1" si="160"/>
        <v/>
      </c>
      <c r="AO337" s="176" t="str">
        <f t="shared" ca="1" si="161"/>
        <v/>
      </c>
      <c r="AP337" s="176" t="str">
        <f t="shared" ca="1" si="162"/>
        <v/>
      </c>
    </row>
    <row r="338" spans="21:42">
      <c r="U338" s="218"/>
      <c r="V338" s="219"/>
      <c r="W338" s="219"/>
      <c r="AD338" s="176" t="str">
        <f t="shared" ca="1" si="150"/>
        <v/>
      </c>
      <c r="AE338" s="176" t="str">
        <f t="shared" ca="1" si="151"/>
        <v/>
      </c>
      <c r="AF338" s="176" t="str">
        <f t="shared" ca="1" si="152"/>
        <v/>
      </c>
      <c r="AG338" s="176" t="str">
        <f t="shared" ca="1" si="153"/>
        <v/>
      </c>
      <c r="AH338" s="183" t="str">
        <f t="shared" ca="1" si="154"/>
        <v/>
      </c>
      <c r="AI338" s="176" t="str">
        <f t="shared" ca="1" si="155"/>
        <v/>
      </c>
      <c r="AJ338" s="176" t="str">
        <f t="shared" ca="1" si="156"/>
        <v/>
      </c>
      <c r="AK338" s="176" t="str">
        <f t="shared" ca="1" si="157"/>
        <v/>
      </c>
      <c r="AL338" s="176" t="str">
        <f t="shared" ca="1" si="158"/>
        <v/>
      </c>
      <c r="AM338" s="176" t="str">
        <f t="shared" ca="1" si="159"/>
        <v/>
      </c>
      <c r="AN338" s="176" t="str">
        <f t="shared" ca="1" si="160"/>
        <v/>
      </c>
      <c r="AO338" s="176" t="str">
        <f t="shared" ca="1" si="161"/>
        <v/>
      </c>
      <c r="AP338" s="176" t="str">
        <f t="shared" ca="1" si="162"/>
        <v/>
      </c>
    </row>
    <row r="339" spans="21:42">
      <c r="U339" s="218"/>
      <c r="V339" s="219"/>
      <c r="W339" s="219"/>
      <c r="AD339" s="176" t="str">
        <f t="shared" ca="1" si="150"/>
        <v/>
      </c>
      <c r="AE339" s="176" t="str">
        <f t="shared" ca="1" si="151"/>
        <v/>
      </c>
      <c r="AF339" s="176" t="str">
        <f t="shared" ca="1" si="152"/>
        <v/>
      </c>
      <c r="AG339" s="176" t="str">
        <f t="shared" ca="1" si="153"/>
        <v/>
      </c>
      <c r="AH339" s="183" t="str">
        <f t="shared" ca="1" si="154"/>
        <v/>
      </c>
      <c r="AI339" s="176" t="str">
        <f t="shared" ca="1" si="155"/>
        <v/>
      </c>
      <c r="AJ339" s="176" t="str">
        <f t="shared" ca="1" si="156"/>
        <v/>
      </c>
      <c r="AK339" s="176" t="str">
        <f t="shared" ca="1" si="157"/>
        <v/>
      </c>
      <c r="AL339" s="176" t="str">
        <f t="shared" ca="1" si="158"/>
        <v/>
      </c>
      <c r="AM339" s="176" t="str">
        <f t="shared" ca="1" si="159"/>
        <v/>
      </c>
      <c r="AN339" s="176" t="str">
        <f t="shared" ca="1" si="160"/>
        <v/>
      </c>
      <c r="AO339" s="176" t="str">
        <f t="shared" ca="1" si="161"/>
        <v/>
      </c>
      <c r="AP339" s="176" t="str">
        <f t="shared" ca="1" si="162"/>
        <v/>
      </c>
    </row>
    <row r="340" spans="21:42">
      <c r="U340" s="218"/>
      <c r="V340" s="219"/>
      <c r="W340" s="219"/>
      <c r="AD340" s="176" t="str">
        <f t="shared" ca="1" si="150"/>
        <v/>
      </c>
      <c r="AE340" s="176" t="str">
        <f t="shared" ca="1" si="151"/>
        <v/>
      </c>
      <c r="AF340" s="176" t="str">
        <f t="shared" ca="1" si="152"/>
        <v/>
      </c>
      <c r="AG340" s="176" t="str">
        <f t="shared" ca="1" si="153"/>
        <v/>
      </c>
      <c r="AH340" s="183" t="str">
        <f t="shared" ca="1" si="154"/>
        <v/>
      </c>
      <c r="AI340" s="176" t="str">
        <f t="shared" ca="1" si="155"/>
        <v/>
      </c>
      <c r="AJ340" s="176" t="str">
        <f t="shared" ca="1" si="156"/>
        <v/>
      </c>
      <c r="AK340" s="176" t="str">
        <f t="shared" ca="1" si="157"/>
        <v/>
      </c>
      <c r="AL340" s="176" t="str">
        <f t="shared" ca="1" si="158"/>
        <v/>
      </c>
      <c r="AM340" s="176" t="str">
        <f t="shared" ca="1" si="159"/>
        <v/>
      </c>
      <c r="AN340" s="176" t="str">
        <f t="shared" ca="1" si="160"/>
        <v/>
      </c>
      <c r="AO340" s="176" t="str">
        <f t="shared" ca="1" si="161"/>
        <v/>
      </c>
      <c r="AP340" s="176" t="str">
        <f t="shared" ca="1" si="162"/>
        <v/>
      </c>
    </row>
    <row r="341" spans="21:42">
      <c r="U341" s="218"/>
      <c r="V341" s="219"/>
      <c r="W341" s="219"/>
      <c r="AD341" s="176" t="str">
        <f t="shared" ca="1" si="150"/>
        <v/>
      </c>
      <c r="AE341" s="176" t="str">
        <f t="shared" ca="1" si="151"/>
        <v/>
      </c>
      <c r="AF341" s="176" t="str">
        <f t="shared" ca="1" si="152"/>
        <v/>
      </c>
      <c r="AG341" s="176" t="str">
        <f t="shared" ca="1" si="153"/>
        <v/>
      </c>
      <c r="AH341" s="183" t="str">
        <f t="shared" ca="1" si="154"/>
        <v/>
      </c>
      <c r="AI341" s="176" t="str">
        <f t="shared" ca="1" si="155"/>
        <v/>
      </c>
      <c r="AJ341" s="176" t="str">
        <f t="shared" ca="1" si="156"/>
        <v/>
      </c>
      <c r="AK341" s="176" t="str">
        <f t="shared" ca="1" si="157"/>
        <v/>
      </c>
      <c r="AL341" s="176" t="str">
        <f t="shared" ca="1" si="158"/>
        <v/>
      </c>
      <c r="AM341" s="176" t="str">
        <f t="shared" ca="1" si="159"/>
        <v/>
      </c>
      <c r="AN341" s="176" t="str">
        <f t="shared" ca="1" si="160"/>
        <v/>
      </c>
      <c r="AO341" s="176" t="str">
        <f t="shared" ca="1" si="161"/>
        <v/>
      </c>
      <c r="AP341" s="176" t="str">
        <f t="shared" ca="1" si="162"/>
        <v/>
      </c>
    </row>
    <row r="342" spans="21:42">
      <c r="U342" s="218"/>
      <c r="V342" s="219"/>
      <c r="W342" s="219"/>
      <c r="AD342" s="176" t="str">
        <f t="shared" ca="1" si="150"/>
        <v/>
      </c>
      <c r="AE342" s="176" t="str">
        <f t="shared" ca="1" si="151"/>
        <v/>
      </c>
      <c r="AF342" s="176" t="str">
        <f t="shared" ca="1" si="152"/>
        <v/>
      </c>
      <c r="AG342" s="176" t="str">
        <f t="shared" ca="1" si="153"/>
        <v/>
      </c>
      <c r="AH342" s="183" t="str">
        <f t="shared" ca="1" si="154"/>
        <v/>
      </c>
      <c r="AI342" s="176" t="str">
        <f t="shared" ca="1" si="155"/>
        <v/>
      </c>
      <c r="AJ342" s="176" t="str">
        <f t="shared" ca="1" si="156"/>
        <v/>
      </c>
      <c r="AK342" s="176" t="str">
        <f t="shared" ca="1" si="157"/>
        <v/>
      </c>
      <c r="AL342" s="176" t="str">
        <f t="shared" ca="1" si="158"/>
        <v/>
      </c>
      <c r="AM342" s="176" t="str">
        <f t="shared" ca="1" si="159"/>
        <v/>
      </c>
      <c r="AN342" s="176" t="str">
        <f t="shared" ca="1" si="160"/>
        <v/>
      </c>
      <c r="AO342" s="176" t="str">
        <f t="shared" ca="1" si="161"/>
        <v/>
      </c>
      <c r="AP342" s="176" t="str">
        <f t="shared" ca="1" si="162"/>
        <v/>
      </c>
    </row>
    <row r="343" spans="21:42">
      <c r="U343" s="218"/>
      <c r="V343" s="219"/>
      <c r="W343" s="219"/>
      <c r="AD343" s="176" t="str">
        <f t="shared" ca="1" si="150"/>
        <v/>
      </c>
      <c r="AE343" s="176" t="str">
        <f t="shared" ca="1" si="151"/>
        <v/>
      </c>
      <c r="AF343" s="176" t="str">
        <f t="shared" ca="1" si="152"/>
        <v/>
      </c>
      <c r="AG343" s="176" t="str">
        <f t="shared" ca="1" si="153"/>
        <v/>
      </c>
      <c r="AH343" s="183" t="str">
        <f t="shared" ca="1" si="154"/>
        <v/>
      </c>
      <c r="AI343" s="176" t="str">
        <f t="shared" ca="1" si="155"/>
        <v/>
      </c>
      <c r="AJ343" s="176" t="str">
        <f t="shared" ca="1" si="156"/>
        <v/>
      </c>
      <c r="AK343" s="176" t="str">
        <f t="shared" ca="1" si="157"/>
        <v/>
      </c>
      <c r="AL343" s="176" t="str">
        <f t="shared" ca="1" si="158"/>
        <v/>
      </c>
      <c r="AM343" s="176" t="str">
        <f t="shared" ca="1" si="159"/>
        <v/>
      </c>
      <c r="AN343" s="176" t="str">
        <f t="shared" ca="1" si="160"/>
        <v/>
      </c>
      <c r="AO343" s="176" t="str">
        <f t="shared" ca="1" si="161"/>
        <v/>
      </c>
      <c r="AP343" s="176" t="str">
        <f t="shared" ca="1" si="162"/>
        <v/>
      </c>
    </row>
    <row r="344" spans="21:42">
      <c r="U344" s="218"/>
      <c r="V344" s="219"/>
      <c r="W344" s="219"/>
      <c r="AD344" s="176" t="str">
        <f t="shared" ca="1" si="150"/>
        <v/>
      </c>
      <c r="AE344" s="176" t="str">
        <f t="shared" ca="1" si="151"/>
        <v/>
      </c>
      <c r="AF344" s="176" t="str">
        <f t="shared" ca="1" si="152"/>
        <v/>
      </c>
      <c r="AG344" s="176" t="str">
        <f t="shared" ca="1" si="153"/>
        <v/>
      </c>
      <c r="AH344" s="183" t="str">
        <f t="shared" ca="1" si="154"/>
        <v/>
      </c>
      <c r="AI344" s="176" t="str">
        <f t="shared" ca="1" si="155"/>
        <v/>
      </c>
      <c r="AJ344" s="176" t="str">
        <f t="shared" ca="1" si="156"/>
        <v/>
      </c>
      <c r="AK344" s="176" t="str">
        <f t="shared" ca="1" si="157"/>
        <v/>
      </c>
      <c r="AL344" s="176" t="str">
        <f t="shared" ca="1" si="158"/>
        <v/>
      </c>
      <c r="AM344" s="176" t="str">
        <f t="shared" ca="1" si="159"/>
        <v/>
      </c>
      <c r="AN344" s="176" t="str">
        <f t="shared" ca="1" si="160"/>
        <v/>
      </c>
      <c r="AO344" s="176" t="str">
        <f t="shared" ca="1" si="161"/>
        <v/>
      </c>
      <c r="AP344" s="176" t="str">
        <f t="shared" ca="1" si="162"/>
        <v/>
      </c>
    </row>
    <row r="345" spans="21:42">
      <c r="U345" s="218"/>
      <c r="V345" s="219"/>
      <c r="W345" s="219"/>
      <c r="AD345" s="176" t="str">
        <f t="shared" ca="1" si="150"/>
        <v/>
      </c>
      <c r="AE345" s="176" t="str">
        <f t="shared" ca="1" si="151"/>
        <v/>
      </c>
      <c r="AF345" s="176" t="str">
        <f t="shared" ca="1" si="152"/>
        <v/>
      </c>
      <c r="AG345" s="176" t="str">
        <f t="shared" ca="1" si="153"/>
        <v/>
      </c>
      <c r="AH345" s="183" t="str">
        <f t="shared" ca="1" si="154"/>
        <v/>
      </c>
      <c r="AI345" s="176" t="str">
        <f t="shared" ca="1" si="155"/>
        <v/>
      </c>
      <c r="AJ345" s="176" t="str">
        <f t="shared" ca="1" si="156"/>
        <v/>
      </c>
      <c r="AK345" s="176" t="str">
        <f t="shared" ca="1" si="157"/>
        <v/>
      </c>
      <c r="AL345" s="176" t="str">
        <f t="shared" ca="1" si="158"/>
        <v/>
      </c>
      <c r="AM345" s="176" t="str">
        <f t="shared" ca="1" si="159"/>
        <v/>
      </c>
      <c r="AN345" s="176" t="str">
        <f t="shared" ca="1" si="160"/>
        <v/>
      </c>
      <c r="AO345" s="176" t="str">
        <f t="shared" ca="1" si="161"/>
        <v/>
      </c>
      <c r="AP345" s="176" t="str">
        <f t="shared" ca="1" si="162"/>
        <v/>
      </c>
    </row>
    <row r="346" spans="21:42">
      <c r="U346" s="218"/>
      <c r="V346" s="219"/>
      <c r="W346" s="219"/>
      <c r="AD346" s="176" t="str">
        <f t="shared" ca="1" si="150"/>
        <v/>
      </c>
      <c r="AE346" s="176" t="str">
        <f t="shared" ca="1" si="151"/>
        <v/>
      </c>
      <c r="AF346" s="176" t="str">
        <f t="shared" ca="1" si="152"/>
        <v/>
      </c>
      <c r="AG346" s="176" t="str">
        <f t="shared" ca="1" si="153"/>
        <v/>
      </c>
      <c r="AH346" s="183" t="str">
        <f t="shared" ca="1" si="154"/>
        <v/>
      </c>
      <c r="AI346" s="176" t="str">
        <f t="shared" ca="1" si="155"/>
        <v/>
      </c>
      <c r="AJ346" s="176" t="str">
        <f t="shared" ca="1" si="156"/>
        <v/>
      </c>
      <c r="AK346" s="176" t="str">
        <f t="shared" ca="1" si="157"/>
        <v/>
      </c>
      <c r="AL346" s="176" t="str">
        <f t="shared" ca="1" si="158"/>
        <v/>
      </c>
      <c r="AM346" s="176" t="str">
        <f t="shared" ca="1" si="159"/>
        <v/>
      </c>
      <c r="AN346" s="176" t="str">
        <f t="shared" ca="1" si="160"/>
        <v/>
      </c>
      <c r="AO346" s="176" t="str">
        <f t="shared" ca="1" si="161"/>
        <v/>
      </c>
      <c r="AP346" s="176" t="str">
        <f t="shared" ca="1" si="162"/>
        <v/>
      </c>
    </row>
    <row r="347" spans="21:42">
      <c r="U347" s="218"/>
      <c r="V347" s="219"/>
      <c r="W347" s="219"/>
      <c r="AD347" s="176" t="str">
        <f t="shared" ca="1" si="150"/>
        <v/>
      </c>
      <c r="AE347" s="176" t="str">
        <f t="shared" ca="1" si="151"/>
        <v/>
      </c>
      <c r="AF347" s="176" t="str">
        <f t="shared" ca="1" si="152"/>
        <v/>
      </c>
      <c r="AG347" s="176" t="str">
        <f t="shared" ca="1" si="153"/>
        <v/>
      </c>
      <c r="AH347" s="183" t="str">
        <f t="shared" ca="1" si="154"/>
        <v/>
      </c>
      <c r="AI347" s="176" t="str">
        <f t="shared" ca="1" si="155"/>
        <v/>
      </c>
      <c r="AJ347" s="176" t="str">
        <f t="shared" ca="1" si="156"/>
        <v/>
      </c>
      <c r="AK347" s="176" t="str">
        <f t="shared" ca="1" si="157"/>
        <v/>
      </c>
      <c r="AL347" s="176" t="str">
        <f t="shared" ca="1" si="158"/>
        <v/>
      </c>
      <c r="AM347" s="176" t="str">
        <f t="shared" ca="1" si="159"/>
        <v/>
      </c>
      <c r="AN347" s="176" t="str">
        <f t="shared" ca="1" si="160"/>
        <v/>
      </c>
      <c r="AO347" s="176" t="str">
        <f t="shared" ca="1" si="161"/>
        <v/>
      </c>
      <c r="AP347" s="176" t="str">
        <f t="shared" ca="1" si="162"/>
        <v/>
      </c>
    </row>
    <row r="348" spans="21:42">
      <c r="U348" s="218"/>
      <c r="V348" s="219"/>
      <c r="W348" s="219"/>
      <c r="AD348" s="176" t="str">
        <f t="shared" ca="1" si="150"/>
        <v/>
      </c>
      <c r="AE348" s="176" t="str">
        <f t="shared" ca="1" si="151"/>
        <v/>
      </c>
      <c r="AF348" s="176" t="str">
        <f t="shared" ca="1" si="152"/>
        <v/>
      </c>
      <c r="AG348" s="176" t="str">
        <f t="shared" ca="1" si="153"/>
        <v/>
      </c>
      <c r="AH348" s="183" t="str">
        <f t="shared" ca="1" si="154"/>
        <v/>
      </c>
      <c r="AI348" s="176" t="str">
        <f t="shared" ca="1" si="155"/>
        <v/>
      </c>
      <c r="AJ348" s="176" t="str">
        <f t="shared" ca="1" si="156"/>
        <v/>
      </c>
      <c r="AK348" s="176" t="str">
        <f t="shared" ca="1" si="157"/>
        <v/>
      </c>
      <c r="AL348" s="176" t="str">
        <f t="shared" ca="1" si="158"/>
        <v/>
      </c>
      <c r="AM348" s="176" t="str">
        <f t="shared" ca="1" si="159"/>
        <v/>
      </c>
      <c r="AN348" s="176" t="str">
        <f t="shared" ca="1" si="160"/>
        <v/>
      </c>
      <c r="AO348" s="176" t="str">
        <f t="shared" ca="1" si="161"/>
        <v/>
      </c>
      <c r="AP348" s="176" t="str">
        <f t="shared" ca="1" si="162"/>
        <v/>
      </c>
    </row>
    <row r="349" spans="21:42">
      <c r="U349" s="218"/>
      <c r="V349" s="219"/>
      <c r="W349" s="219"/>
      <c r="AD349" s="176" t="str">
        <f t="shared" ca="1" si="150"/>
        <v/>
      </c>
      <c r="AE349" s="176" t="str">
        <f t="shared" ca="1" si="151"/>
        <v/>
      </c>
      <c r="AF349" s="176" t="str">
        <f t="shared" ca="1" si="152"/>
        <v/>
      </c>
      <c r="AG349" s="176" t="str">
        <f t="shared" ca="1" si="153"/>
        <v/>
      </c>
      <c r="AH349" s="183" t="str">
        <f t="shared" ca="1" si="154"/>
        <v/>
      </c>
      <c r="AI349" s="176" t="str">
        <f t="shared" ca="1" si="155"/>
        <v/>
      </c>
      <c r="AJ349" s="176" t="str">
        <f t="shared" ca="1" si="156"/>
        <v/>
      </c>
      <c r="AK349" s="176" t="str">
        <f t="shared" ca="1" si="157"/>
        <v/>
      </c>
      <c r="AL349" s="176" t="str">
        <f t="shared" ca="1" si="158"/>
        <v/>
      </c>
      <c r="AM349" s="176" t="str">
        <f t="shared" ca="1" si="159"/>
        <v/>
      </c>
      <c r="AN349" s="176" t="str">
        <f t="shared" ca="1" si="160"/>
        <v/>
      </c>
      <c r="AO349" s="176" t="str">
        <f t="shared" ca="1" si="161"/>
        <v/>
      </c>
      <c r="AP349" s="176" t="str">
        <f t="shared" ca="1" si="162"/>
        <v/>
      </c>
    </row>
    <row r="350" spans="21:42">
      <c r="U350" s="218"/>
      <c r="V350" s="219"/>
      <c r="W350" s="219"/>
      <c r="AD350" s="176" t="str">
        <f t="shared" ca="1" si="150"/>
        <v/>
      </c>
      <c r="AE350" s="176" t="str">
        <f t="shared" ca="1" si="151"/>
        <v/>
      </c>
      <c r="AF350" s="176" t="str">
        <f t="shared" ca="1" si="152"/>
        <v/>
      </c>
      <c r="AG350" s="176" t="str">
        <f t="shared" ca="1" si="153"/>
        <v/>
      </c>
      <c r="AH350" s="183" t="str">
        <f t="shared" ca="1" si="154"/>
        <v/>
      </c>
      <c r="AI350" s="176" t="str">
        <f t="shared" ca="1" si="155"/>
        <v/>
      </c>
      <c r="AJ350" s="176" t="str">
        <f t="shared" ca="1" si="156"/>
        <v/>
      </c>
      <c r="AK350" s="176" t="str">
        <f t="shared" ca="1" si="157"/>
        <v/>
      </c>
      <c r="AL350" s="176" t="str">
        <f t="shared" ca="1" si="158"/>
        <v/>
      </c>
      <c r="AM350" s="176" t="str">
        <f t="shared" ca="1" si="159"/>
        <v/>
      </c>
      <c r="AN350" s="176" t="str">
        <f t="shared" ca="1" si="160"/>
        <v/>
      </c>
      <c r="AO350" s="176" t="str">
        <f t="shared" ca="1" si="161"/>
        <v/>
      </c>
      <c r="AP350" s="176" t="str">
        <f t="shared" ca="1" si="162"/>
        <v/>
      </c>
    </row>
    <row r="351" spans="21:42">
      <c r="AD351" s="176" t="str">
        <f t="shared" ca="1" si="150"/>
        <v/>
      </c>
      <c r="AE351" s="176" t="str">
        <f t="shared" ca="1" si="151"/>
        <v/>
      </c>
      <c r="AF351" s="176" t="str">
        <f t="shared" ca="1" si="152"/>
        <v/>
      </c>
      <c r="AG351" s="176" t="str">
        <f t="shared" ca="1" si="153"/>
        <v/>
      </c>
      <c r="AH351" s="183" t="str">
        <f t="shared" ca="1" si="154"/>
        <v/>
      </c>
      <c r="AI351" s="176" t="str">
        <f t="shared" ca="1" si="155"/>
        <v/>
      </c>
      <c r="AJ351" s="176" t="str">
        <f t="shared" ca="1" si="156"/>
        <v/>
      </c>
      <c r="AK351" s="176" t="str">
        <f t="shared" ca="1" si="157"/>
        <v/>
      </c>
      <c r="AL351" s="176" t="str">
        <f t="shared" ca="1" si="158"/>
        <v/>
      </c>
      <c r="AM351" s="176" t="str">
        <f t="shared" ca="1" si="159"/>
        <v/>
      </c>
      <c r="AN351" s="176" t="str">
        <f t="shared" ca="1" si="160"/>
        <v/>
      </c>
      <c r="AO351" s="176" t="str">
        <f t="shared" ca="1" si="161"/>
        <v/>
      </c>
      <c r="AP351" s="176" t="str">
        <f t="shared" ca="1" si="162"/>
        <v/>
      </c>
    </row>
    <row r="352" spans="21:42">
      <c r="AD352" s="176" t="str">
        <f t="shared" ca="1" si="150"/>
        <v/>
      </c>
      <c r="AE352" s="176" t="str">
        <f t="shared" ca="1" si="151"/>
        <v/>
      </c>
      <c r="AF352" s="176" t="str">
        <f t="shared" ca="1" si="152"/>
        <v/>
      </c>
      <c r="AG352" s="176" t="str">
        <f t="shared" ca="1" si="153"/>
        <v/>
      </c>
      <c r="AH352" s="183" t="str">
        <f t="shared" ca="1" si="154"/>
        <v/>
      </c>
      <c r="AI352" s="176" t="str">
        <f t="shared" ca="1" si="155"/>
        <v/>
      </c>
      <c r="AJ352" s="176" t="str">
        <f t="shared" ca="1" si="156"/>
        <v/>
      </c>
      <c r="AK352" s="176" t="str">
        <f t="shared" ca="1" si="157"/>
        <v/>
      </c>
      <c r="AL352" s="176" t="str">
        <f t="shared" ca="1" si="158"/>
        <v/>
      </c>
      <c r="AM352" s="176" t="str">
        <f t="shared" ca="1" si="159"/>
        <v/>
      </c>
      <c r="AN352" s="176" t="str">
        <f t="shared" ca="1" si="160"/>
        <v/>
      </c>
      <c r="AO352" s="176" t="str">
        <f t="shared" ca="1" si="161"/>
        <v/>
      </c>
      <c r="AP352" s="176" t="str">
        <f t="shared" ca="1" si="162"/>
        <v/>
      </c>
    </row>
    <row r="353" spans="30:42">
      <c r="AD353" s="176" t="str">
        <f t="shared" ca="1" si="150"/>
        <v/>
      </c>
      <c r="AE353" s="176" t="str">
        <f t="shared" ca="1" si="151"/>
        <v/>
      </c>
      <c r="AF353" s="176" t="str">
        <f t="shared" ca="1" si="152"/>
        <v/>
      </c>
      <c r="AG353" s="176" t="str">
        <f t="shared" ca="1" si="153"/>
        <v/>
      </c>
      <c r="AH353" s="183" t="str">
        <f t="shared" ca="1" si="154"/>
        <v/>
      </c>
      <c r="AI353" s="176" t="str">
        <f t="shared" ca="1" si="155"/>
        <v/>
      </c>
      <c r="AJ353" s="176" t="str">
        <f t="shared" ca="1" si="156"/>
        <v/>
      </c>
      <c r="AK353" s="176" t="str">
        <f t="shared" ca="1" si="157"/>
        <v/>
      </c>
      <c r="AL353" s="176" t="str">
        <f t="shared" ca="1" si="158"/>
        <v/>
      </c>
      <c r="AM353" s="176" t="str">
        <f t="shared" ca="1" si="159"/>
        <v/>
      </c>
      <c r="AN353" s="176" t="str">
        <f t="shared" ca="1" si="160"/>
        <v/>
      </c>
      <c r="AO353" s="176" t="str">
        <f t="shared" ca="1" si="161"/>
        <v/>
      </c>
      <c r="AP353" s="176" t="str">
        <f t="shared" ca="1" si="162"/>
        <v/>
      </c>
    </row>
    <row r="354" spans="30:42">
      <c r="AD354" s="176" t="str">
        <f t="shared" ca="1" si="150"/>
        <v/>
      </c>
      <c r="AE354" s="176" t="str">
        <f t="shared" ca="1" si="151"/>
        <v/>
      </c>
      <c r="AF354" s="176" t="str">
        <f t="shared" ca="1" si="152"/>
        <v/>
      </c>
      <c r="AG354" s="176" t="str">
        <f t="shared" ca="1" si="153"/>
        <v/>
      </c>
      <c r="AH354" s="183" t="str">
        <f t="shared" ca="1" si="154"/>
        <v/>
      </c>
      <c r="AI354" s="176" t="str">
        <f t="shared" ca="1" si="155"/>
        <v/>
      </c>
      <c r="AJ354" s="176" t="str">
        <f t="shared" ca="1" si="156"/>
        <v/>
      </c>
      <c r="AK354" s="176" t="str">
        <f t="shared" ca="1" si="157"/>
        <v/>
      </c>
      <c r="AL354" s="176" t="str">
        <f t="shared" ca="1" si="158"/>
        <v/>
      </c>
      <c r="AM354" s="176" t="str">
        <f t="shared" ca="1" si="159"/>
        <v/>
      </c>
      <c r="AN354" s="176" t="str">
        <f t="shared" ca="1" si="160"/>
        <v/>
      </c>
      <c r="AO354" s="176" t="str">
        <f t="shared" ca="1" si="161"/>
        <v/>
      </c>
      <c r="AP354" s="176" t="str">
        <f t="shared" ca="1" si="162"/>
        <v/>
      </c>
    </row>
    <row r="355" spans="30:42">
      <c r="AD355" s="176" t="str">
        <f t="shared" ca="1" si="150"/>
        <v/>
      </c>
      <c r="AE355" s="176" t="str">
        <f t="shared" ca="1" si="151"/>
        <v/>
      </c>
      <c r="AF355" s="176" t="str">
        <f t="shared" ca="1" si="152"/>
        <v/>
      </c>
      <c r="AG355" s="176" t="str">
        <f t="shared" ca="1" si="153"/>
        <v/>
      </c>
      <c r="AH355" s="183" t="str">
        <f t="shared" ca="1" si="154"/>
        <v/>
      </c>
      <c r="AI355" s="176" t="str">
        <f t="shared" ca="1" si="155"/>
        <v/>
      </c>
      <c r="AJ355" s="176" t="str">
        <f t="shared" ca="1" si="156"/>
        <v/>
      </c>
      <c r="AK355" s="176" t="str">
        <f t="shared" ca="1" si="157"/>
        <v/>
      </c>
      <c r="AL355" s="176" t="str">
        <f t="shared" ca="1" si="158"/>
        <v/>
      </c>
      <c r="AM355" s="176" t="str">
        <f t="shared" ca="1" si="159"/>
        <v/>
      </c>
      <c r="AN355" s="176" t="str">
        <f t="shared" ca="1" si="160"/>
        <v/>
      </c>
      <c r="AO355" s="176" t="str">
        <f t="shared" ca="1" si="161"/>
        <v/>
      </c>
      <c r="AP355" s="176" t="str">
        <f t="shared" ca="1" si="162"/>
        <v/>
      </c>
    </row>
    <row r="356" spans="30:42">
      <c r="AD356" s="176" t="str">
        <f t="shared" ca="1" si="150"/>
        <v/>
      </c>
      <c r="AE356" s="176" t="str">
        <f t="shared" ca="1" si="151"/>
        <v/>
      </c>
      <c r="AF356" s="176" t="str">
        <f t="shared" ca="1" si="152"/>
        <v/>
      </c>
      <c r="AG356" s="176" t="str">
        <f t="shared" ca="1" si="153"/>
        <v/>
      </c>
      <c r="AH356" s="183" t="str">
        <f t="shared" ca="1" si="154"/>
        <v/>
      </c>
      <c r="AI356" s="176" t="str">
        <f t="shared" ca="1" si="155"/>
        <v/>
      </c>
      <c r="AJ356" s="176" t="str">
        <f t="shared" ca="1" si="156"/>
        <v/>
      </c>
      <c r="AK356" s="176" t="str">
        <f t="shared" ca="1" si="157"/>
        <v/>
      </c>
      <c r="AL356" s="176" t="str">
        <f t="shared" ca="1" si="158"/>
        <v/>
      </c>
      <c r="AM356" s="176" t="str">
        <f t="shared" ca="1" si="159"/>
        <v/>
      </c>
      <c r="AN356" s="176" t="str">
        <f t="shared" ca="1" si="160"/>
        <v/>
      </c>
      <c r="AO356" s="176" t="str">
        <f t="shared" ca="1" si="161"/>
        <v/>
      </c>
      <c r="AP356" s="176" t="str">
        <f t="shared" ca="1" si="162"/>
        <v/>
      </c>
    </row>
    <row r="357" spans="30:42">
      <c r="AD357" s="176" t="str">
        <f t="shared" ca="1" si="150"/>
        <v/>
      </c>
      <c r="AE357" s="176" t="str">
        <f t="shared" ca="1" si="151"/>
        <v/>
      </c>
      <c r="AF357" s="176" t="str">
        <f t="shared" ca="1" si="152"/>
        <v/>
      </c>
      <c r="AG357" s="176" t="str">
        <f t="shared" ca="1" si="153"/>
        <v/>
      </c>
      <c r="AH357" s="183" t="str">
        <f t="shared" ca="1" si="154"/>
        <v/>
      </c>
      <c r="AI357" s="176" t="str">
        <f t="shared" ca="1" si="155"/>
        <v/>
      </c>
      <c r="AJ357" s="176" t="str">
        <f t="shared" ca="1" si="156"/>
        <v/>
      </c>
      <c r="AK357" s="176" t="str">
        <f t="shared" ca="1" si="157"/>
        <v/>
      </c>
      <c r="AL357" s="176" t="str">
        <f t="shared" ca="1" si="158"/>
        <v/>
      </c>
      <c r="AM357" s="176" t="str">
        <f t="shared" ca="1" si="159"/>
        <v/>
      </c>
      <c r="AN357" s="176" t="str">
        <f t="shared" ca="1" si="160"/>
        <v/>
      </c>
      <c r="AO357" s="176" t="str">
        <f t="shared" ca="1" si="161"/>
        <v/>
      </c>
      <c r="AP357" s="176" t="str">
        <f t="shared" ca="1" si="162"/>
        <v/>
      </c>
    </row>
    <row r="358" spans="30:42">
      <c r="AD358" s="176" t="str">
        <f t="shared" ca="1" si="150"/>
        <v/>
      </c>
      <c r="AE358" s="176" t="str">
        <f t="shared" ca="1" si="151"/>
        <v/>
      </c>
      <c r="AF358" s="176" t="str">
        <f t="shared" ca="1" si="152"/>
        <v/>
      </c>
      <c r="AG358" s="176" t="str">
        <f t="shared" ca="1" si="153"/>
        <v/>
      </c>
      <c r="AH358" s="183" t="str">
        <f t="shared" ca="1" si="154"/>
        <v/>
      </c>
      <c r="AI358" s="176" t="str">
        <f t="shared" ca="1" si="155"/>
        <v/>
      </c>
      <c r="AJ358" s="176" t="str">
        <f t="shared" ca="1" si="156"/>
        <v/>
      </c>
      <c r="AK358" s="176" t="str">
        <f t="shared" ca="1" si="157"/>
        <v/>
      </c>
      <c r="AL358" s="176" t="str">
        <f t="shared" ca="1" si="158"/>
        <v/>
      </c>
      <c r="AM358" s="176" t="str">
        <f t="shared" ca="1" si="159"/>
        <v/>
      </c>
      <c r="AN358" s="176" t="str">
        <f t="shared" ca="1" si="160"/>
        <v/>
      </c>
      <c r="AO358" s="176" t="str">
        <f t="shared" ca="1" si="161"/>
        <v/>
      </c>
      <c r="AP358" s="176" t="str">
        <f t="shared" ca="1" si="162"/>
        <v/>
      </c>
    </row>
    <row r="359" spans="30:42">
      <c r="AD359" s="176" t="str">
        <f t="shared" ca="1" si="150"/>
        <v/>
      </c>
      <c r="AE359" s="176" t="str">
        <f t="shared" ca="1" si="151"/>
        <v/>
      </c>
      <c r="AF359" s="176" t="str">
        <f t="shared" ca="1" si="152"/>
        <v/>
      </c>
      <c r="AG359" s="176" t="str">
        <f t="shared" ca="1" si="153"/>
        <v/>
      </c>
      <c r="AH359" s="183" t="str">
        <f t="shared" ca="1" si="154"/>
        <v/>
      </c>
      <c r="AI359" s="176" t="str">
        <f t="shared" ca="1" si="155"/>
        <v/>
      </c>
      <c r="AJ359" s="176" t="str">
        <f t="shared" ca="1" si="156"/>
        <v/>
      </c>
      <c r="AK359" s="176" t="str">
        <f t="shared" ca="1" si="157"/>
        <v/>
      </c>
      <c r="AL359" s="176" t="str">
        <f t="shared" ca="1" si="158"/>
        <v/>
      </c>
      <c r="AM359" s="176" t="str">
        <f t="shared" ca="1" si="159"/>
        <v/>
      </c>
      <c r="AN359" s="176" t="str">
        <f t="shared" ca="1" si="160"/>
        <v/>
      </c>
      <c r="AO359" s="176" t="str">
        <f t="shared" ca="1" si="161"/>
        <v/>
      </c>
      <c r="AP359" s="176" t="str">
        <f t="shared" ca="1" si="162"/>
        <v/>
      </c>
    </row>
    <row r="360" spans="30:42">
      <c r="AD360" s="176" t="str">
        <f t="shared" ca="1" si="150"/>
        <v/>
      </c>
      <c r="AE360" s="176" t="str">
        <f t="shared" ca="1" si="151"/>
        <v/>
      </c>
      <c r="AF360" s="176" t="str">
        <f t="shared" ca="1" si="152"/>
        <v/>
      </c>
      <c r="AG360" s="176" t="str">
        <f t="shared" ca="1" si="153"/>
        <v/>
      </c>
      <c r="AH360" s="183" t="str">
        <f t="shared" ca="1" si="154"/>
        <v/>
      </c>
      <c r="AI360" s="176" t="str">
        <f t="shared" ca="1" si="155"/>
        <v/>
      </c>
      <c r="AJ360" s="176" t="str">
        <f t="shared" ca="1" si="156"/>
        <v/>
      </c>
      <c r="AK360" s="176" t="str">
        <f t="shared" ca="1" si="157"/>
        <v/>
      </c>
      <c r="AL360" s="176" t="str">
        <f t="shared" ca="1" si="158"/>
        <v/>
      </c>
      <c r="AM360" s="176" t="str">
        <f t="shared" ca="1" si="159"/>
        <v/>
      </c>
      <c r="AN360" s="176" t="str">
        <f t="shared" ca="1" si="160"/>
        <v/>
      </c>
      <c r="AO360" s="176" t="str">
        <f t="shared" ca="1" si="161"/>
        <v/>
      </c>
      <c r="AP360" s="176" t="str">
        <f t="shared" ca="1" si="162"/>
        <v/>
      </c>
    </row>
    <row r="361" spans="30:42">
      <c r="AD361" s="176" t="str">
        <f t="shared" ca="1" si="150"/>
        <v/>
      </c>
      <c r="AE361" s="176" t="str">
        <f t="shared" ca="1" si="151"/>
        <v/>
      </c>
      <c r="AF361" s="176" t="str">
        <f t="shared" ca="1" si="152"/>
        <v/>
      </c>
      <c r="AG361" s="176" t="str">
        <f t="shared" ca="1" si="153"/>
        <v/>
      </c>
      <c r="AH361" s="183" t="str">
        <f t="shared" ca="1" si="154"/>
        <v/>
      </c>
      <c r="AI361" s="176" t="str">
        <f t="shared" ca="1" si="155"/>
        <v/>
      </c>
      <c r="AJ361" s="176" t="str">
        <f t="shared" ca="1" si="156"/>
        <v/>
      </c>
      <c r="AK361" s="176" t="str">
        <f t="shared" ca="1" si="157"/>
        <v/>
      </c>
      <c r="AL361" s="176" t="str">
        <f t="shared" ca="1" si="158"/>
        <v/>
      </c>
      <c r="AM361" s="176" t="str">
        <f t="shared" ca="1" si="159"/>
        <v/>
      </c>
      <c r="AN361" s="176" t="str">
        <f t="shared" ca="1" si="160"/>
        <v/>
      </c>
      <c r="AO361" s="176" t="str">
        <f t="shared" ca="1" si="161"/>
        <v/>
      </c>
      <c r="AP361" s="176" t="str">
        <f t="shared" ca="1" si="162"/>
        <v/>
      </c>
    </row>
    <row r="362" spans="30:42">
      <c r="AD362" s="176" t="str">
        <f t="shared" ca="1" si="150"/>
        <v/>
      </c>
      <c r="AE362" s="176" t="str">
        <f t="shared" ca="1" si="151"/>
        <v/>
      </c>
      <c r="AF362" s="176" t="str">
        <f t="shared" ca="1" si="152"/>
        <v/>
      </c>
      <c r="AG362" s="176" t="str">
        <f t="shared" ca="1" si="153"/>
        <v/>
      </c>
      <c r="AH362" s="183" t="str">
        <f t="shared" ca="1" si="154"/>
        <v/>
      </c>
      <c r="AI362" s="176" t="str">
        <f t="shared" ca="1" si="155"/>
        <v/>
      </c>
      <c r="AJ362" s="176" t="str">
        <f t="shared" ca="1" si="156"/>
        <v/>
      </c>
      <c r="AK362" s="176" t="str">
        <f t="shared" ca="1" si="157"/>
        <v/>
      </c>
      <c r="AL362" s="176" t="str">
        <f t="shared" ca="1" si="158"/>
        <v/>
      </c>
      <c r="AM362" s="176" t="str">
        <f t="shared" ca="1" si="159"/>
        <v/>
      </c>
      <c r="AN362" s="176" t="str">
        <f t="shared" ca="1" si="160"/>
        <v/>
      </c>
      <c r="AO362" s="176" t="str">
        <f t="shared" ca="1" si="161"/>
        <v/>
      </c>
      <c r="AP362" s="176" t="str">
        <f t="shared" ca="1" si="162"/>
        <v/>
      </c>
    </row>
    <row r="363" spans="30:42">
      <c r="AD363" s="176" t="str">
        <f t="shared" ca="1" si="150"/>
        <v/>
      </c>
      <c r="AE363" s="176" t="str">
        <f t="shared" ca="1" si="151"/>
        <v/>
      </c>
      <c r="AF363" s="176" t="str">
        <f t="shared" ca="1" si="152"/>
        <v/>
      </c>
      <c r="AG363" s="176" t="str">
        <f t="shared" ca="1" si="153"/>
        <v/>
      </c>
      <c r="AH363" s="183" t="str">
        <f t="shared" ca="1" si="154"/>
        <v/>
      </c>
      <c r="AI363" s="176" t="str">
        <f t="shared" ca="1" si="155"/>
        <v/>
      </c>
      <c r="AJ363" s="176" t="str">
        <f t="shared" ca="1" si="156"/>
        <v/>
      </c>
      <c r="AK363" s="176" t="str">
        <f t="shared" ca="1" si="157"/>
        <v/>
      </c>
      <c r="AL363" s="176" t="str">
        <f t="shared" ca="1" si="158"/>
        <v/>
      </c>
      <c r="AM363" s="176" t="str">
        <f t="shared" ca="1" si="159"/>
        <v/>
      </c>
      <c r="AN363" s="176" t="str">
        <f t="shared" ca="1" si="160"/>
        <v/>
      </c>
      <c r="AO363" s="176" t="str">
        <f t="shared" ca="1" si="161"/>
        <v/>
      </c>
      <c r="AP363" s="176" t="str">
        <f t="shared" ca="1" si="162"/>
        <v/>
      </c>
    </row>
    <row r="364" spans="30:42">
      <c r="AD364" s="176" t="str">
        <f t="shared" ca="1" si="150"/>
        <v/>
      </c>
      <c r="AE364" s="176" t="str">
        <f t="shared" ca="1" si="151"/>
        <v/>
      </c>
      <c r="AF364" s="176" t="str">
        <f t="shared" ca="1" si="152"/>
        <v/>
      </c>
      <c r="AG364" s="176" t="str">
        <f t="shared" ca="1" si="153"/>
        <v/>
      </c>
      <c r="AH364" s="183" t="str">
        <f t="shared" ca="1" si="154"/>
        <v/>
      </c>
      <c r="AI364" s="176" t="str">
        <f t="shared" ca="1" si="155"/>
        <v/>
      </c>
      <c r="AJ364" s="176" t="str">
        <f t="shared" ca="1" si="156"/>
        <v/>
      </c>
      <c r="AK364" s="176" t="str">
        <f t="shared" ca="1" si="157"/>
        <v/>
      </c>
      <c r="AL364" s="176" t="str">
        <f t="shared" ca="1" si="158"/>
        <v/>
      </c>
      <c r="AM364" s="176" t="str">
        <f t="shared" ca="1" si="159"/>
        <v/>
      </c>
      <c r="AN364" s="176" t="str">
        <f t="shared" ca="1" si="160"/>
        <v/>
      </c>
      <c r="AO364" s="176" t="str">
        <f t="shared" ca="1" si="161"/>
        <v/>
      </c>
      <c r="AP364" s="176" t="str">
        <f t="shared" ca="1" si="162"/>
        <v/>
      </c>
    </row>
    <row r="365" spans="30:42">
      <c r="AD365" s="176" t="str">
        <f t="shared" ca="1" si="150"/>
        <v/>
      </c>
      <c r="AE365" s="176" t="str">
        <f t="shared" ca="1" si="151"/>
        <v/>
      </c>
      <c r="AF365" s="176" t="str">
        <f t="shared" ca="1" si="152"/>
        <v/>
      </c>
      <c r="AG365" s="176" t="str">
        <f t="shared" ca="1" si="153"/>
        <v/>
      </c>
      <c r="AH365" s="183" t="str">
        <f t="shared" ca="1" si="154"/>
        <v/>
      </c>
      <c r="AI365" s="176" t="str">
        <f t="shared" ca="1" si="155"/>
        <v/>
      </c>
      <c r="AJ365" s="176" t="str">
        <f t="shared" ca="1" si="156"/>
        <v/>
      </c>
      <c r="AK365" s="176" t="str">
        <f t="shared" ca="1" si="157"/>
        <v/>
      </c>
      <c r="AL365" s="176" t="str">
        <f t="shared" ca="1" si="158"/>
        <v/>
      </c>
      <c r="AM365" s="176" t="str">
        <f t="shared" ca="1" si="159"/>
        <v/>
      </c>
      <c r="AN365" s="176" t="str">
        <f t="shared" ca="1" si="160"/>
        <v/>
      </c>
      <c r="AO365" s="176" t="str">
        <f t="shared" ca="1" si="161"/>
        <v/>
      </c>
      <c r="AP365" s="176" t="str">
        <f t="shared" ca="1" si="162"/>
        <v/>
      </c>
    </row>
    <row r="366" spans="30:42">
      <c r="AD366" s="176" t="str">
        <f t="shared" ref="AD366:AD397" ca="1" si="163">IFERROR(INDEX(AC:AC,MATCH(SMALL($AU:$AU,ROW()+3),$AU:$AU,0)),"")</f>
        <v/>
      </c>
      <c r="AE366" s="176" t="str">
        <f t="shared" ref="AE366:AE374" ca="1" si="164">IFERROR(INDEX(R:R,MATCH(SMALL($AU:$AU,ROW()+3),$AU:$AU,0)),"")</f>
        <v/>
      </c>
      <c r="AF366" s="176" t="str">
        <f t="shared" ref="AF366:AF374" ca="1" si="165">IFERROR(INDEX(S:S,MATCH(SMALL($AU:$AU,ROW()+3),$AU:$AU,0)),"")</f>
        <v/>
      </c>
      <c r="AG366" s="176" t="str">
        <f t="shared" ref="AG366:AG374" ca="1" si="166">IFERROR(INDEX(T:T,MATCH(SMALL($AU:$AU,ROW()+3),$AU:$AU,0)),"")</f>
        <v/>
      </c>
      <c r="AH366" s="183" t="str">
        <f t="shared" ref="AH366:AH374" ca="1" si="167">IFERROR(INDEX(U:U,MATCH(SMALL($AU:$AU,ROW()+3),$AU:$AU,0)),"")</f>
        <v/>
      </c>
      <c r="AI366" s="176" t="str">
        <f t="shared" ref="AI366:AI374" ca="1" si="168">IFERROR(INDEX(V:V,MATCH(SMALL($AU:$AU,ROW()+3),$AU:$AU,0)),"")</f>
        <v/>
      </c>
      <c r="AJ366" s="176" t="str">
        <f t="shared" ref="AJ366:AJ374" ca="1" si="169">IFERROR(INDEX(W:W,MATCH(SMALL($AU:$AU,ROW()+3),$AU:$AU,0)),"")</f>
        <v/>
      </c>
      <c r="AK366" s="176" t="str">
        <f t="shared" ref="AK366:AK374" ca="1" si="170">IFERROR(INDEX(X:X,MATCH(SMALL($AU:$AU,ROW()+3),$AU:$AU,0)),"")</f>
        <v/>
      </c>
      <c r="AL366" s="176" t="str">
        <f t="shared" ref="AL366:AL374" ca="1" si="171">IFERROR(INDEX(Y:Y,MATCH(SMALL($AU:$AU,ROW()+3),$AU:$AU,0)),"")</f>
        <v/>
      </c>
      <c r="AM366" s="176" t="str">
        <f t="shared" ref="AM366:AM374" ca="1" si="172">IFERROR(INDEX(Z:Z,MATCH(SMALL($AU:$AU,ROW()+3),$AU:$AU,0)),"")</f>
        <v/>
      </c>
      <c r="AN366" s="176" t="str">
        <f t="shared" ref="AN366:AN374" ca="1" si="173">IFERROR(INDEX(AA:AA,MATCH(SMALL($AU:$AU,ROW()+3),$AU:$AU,0)),"")</f>
        <v/>
      </c>
      <c r="AO366" s="176" t="str">
        <f t="shared" ref="AO366:AO374" ca="1" si="174">IFERROR(INDEX(AB:AB,MATCH(SMALL($AU:$AU,ROW()+3),$AU:$AU,0)),"")</f>
        <v/>
      </c>
      <c r="AP366" s="176" t="str">
        <f t="shared" ref="AP366:AP374" ca="1" si="175">IFERROR(INDEX(AC:AC,MATCH(SMALL($AU:$AU,ROW()+3),$AU:$AU,0)),"")</f>
        <v/>
      </c>
    </row>
    <row r="367" spans="30:42">
      <c r="AD367" s="176" t="str">
        <f t="shared" ca="1" si="163"/>
        <v/>
      </c>
      <c r="AE367" s="176" t="str">
        <f t="shared" ca="1" si="164"/>
        <v/>
      </c>
      <c r="AF367" s="176" t="str">
        <f t="shared" ca="1" si="165"/>
        <v/>
      </c>
      <c r="AG367" s="176" t="str">
        <f t="shared" ca="1" si="166"/>
        <v/>
      </c>
      <c r="AH367" s="183" t="str">
        <f t="shared" ca="1" si="167"/>
        <v/>
      </c>
      <c r="AI367" s="176" t="str">
        <f t="shared" ca="1" si="168"/>
        <v/>
      </c>
      <c r="AJ367" s="176" t="str">
        <f t="shared" ca="1" si="169"/>
        <v/>
      </c>
      <c r="AK367" s="176" t="str">
        <f t="shared" ca="1" si="170"/>
        <v/>
      </c>
      <c r="AL367" s="176" t="str">
        <f t="shared" ca="1" si="171"/>
        <v/>
      </c>
      <c r="AM367" s="176" t="str">
        <f t="shared" ca="1" si="172"/>
        <v/>
      </c>
      <c r="AN367" s="176" t="str">
        <f t="shared" ca="1" si="173"/>
        <v/>
      </c>
      <c r="AO367" s="176" t="str">
        <f t="shared" ca="1" si="174"/>
        <v/>
      </c>
      <c r="AP367" s="176" t="str">
        <f t="shared" ca="1" si="175"/>
        <v/>
      </c>
    </row>
    <row r="368" spans="30:42">
      <c r="AD368" s="176" t="str">
        <f t="shared" ca="1" si="163"/>
        <v/>
      </c>
      <c r="AE368" s="176" t="str">
        <f t="shared" ca="1" si="164"/>
        <v/>
      </c>
      <c r="AF368" s="176" t="str">
        <f t="shared" ca="1" si="165"/>
        <v/>
      </c>
      <c r="AG368" s="176" t="str">
        <f t="shared" ca="1" si="166"/>
        <v/>
      </c>
      <c r="AH368" s="183" t="str">
        <f t="shared" ca="1" si="167"/>
        <v/>
      </c>
      <c r="AI368" s="176" t="str">
        <f t="shared" ca="1" si="168"/>
        <v/>
      </c>
      <c r="AJ368" s="176" t="str">
        <f t="shared" ca="1" si="169"/>
        <v/>
      </c>
      <c r="AK368" s="176" t="str">
        <f t="shared" ca="1" si="170"/>
        <v/>
      </c>
      <c r="AL368" s="176" t="str">
        <f t="shared" ca="1" si="171"/>
        <v/>
      </c>
      <c r="AM368" s="176" t="str">
        <f t="shared" ca="1" si="172"/>
        <v/>
      </c>
      <c r="AN368" s="176" t="str">
        <f t="shared" ca="1" si="173"/>
        <v/>
      </c>
      <c r="AO368" s="176" t="str">
        <f t="shared" ca="1" si="174"/>
        <v/>
      </c>
      <c r="AP368" s="176" t="str">
        <f t="shared" ca="1" si="175"/>
        <v/>
      </c>
    </row>
    <row r="369" spans="30:42">
      <c r="AD369" s="176" t="str">
        <f t="shared" ca="1" si="163"/>
        <v/>
      </c>
      <c r="AE369" s="176" t="str">
        <f t="shared" ca="1" si="164"/>
        <v/>
      </c>
      <c r="AF369" s="176" t="str">
        <f t="shared" ca="1" si="165"/>
        <v/>
      </c>
      <c r="AG369" s="176" t="str">
        <f t="shared" ca="1" si="166"/>
        <v/>
      </c>
      <c r="AH369" s="183" t="str">
        <f t="shared" ca="1" si="167"/>
        <v/>
      </c>
      <c r="AI369" s="176" t="str">
        <f t="shared" ca="1" si="168"/>
        <v/>
      </c>
      <c r="AJ369" s="176" t="str">
        <f t="shared" ca="1" si="169"/>
        <v/>
      </c>
      <c r="AK369" s="176" t="str">
        <f t="shared" ca="1" si="170"/>
        <v/>
      </c>
      <c r="AL369" s="176" t="str">
        <f t="shared" ca="1" si="171"/>
        <v/>
      </c>
      <c r="AM369" s="176" t="str">
        <f t="shared" ca="1" si="172"/>
        <v/>
      </c>
      <c r="AN369" s="176" t="str">
        <f t="shared" ca="1" si="173"/>
        <v/>
      </c>
      <c r="AO369" s="176" t="str">
        <f t="shared" ca="1" si="174"/>
        <v/>
      </c>
      <c r="AP369" s="176" t="str">
        <f t="shared" ca="1" si="175"/>
        <v/>
      </c>
    </row>
    <row r="370" spans="30:42">
      <c r="AD370" s="176" t="str">
        <f t="shared" ca="1" si="163"/>
        <v/>
      </c>
      <c r="AE370" s="176" t="str">
        <f t="shared" ca="1" si="164"/>
        <v/>
      </c>
      <c r="AF370" s="176" t="str">
        <f t="shared" ca="1" si="165"/>
        <v/>
      </c>
      <c r="AG370" s="176" t="str">
        <f t="shared" ca="1" si="166"/>
        <v/>
      </c>
      <c r="AH370" s="183" t="str">
        <f t="shared" ca="1" si="167"/>
        <v/>
      </c>
      <c r="AI370" s="176" t="str">
        <f t="shared" ca="1" si="168"/>
        <v/>
      </c>
      <c r="AJ370" s="176" t="str">
        <f t="shared" ca="1" si="169"/>
        <v/>
      </c>
      <c r="AK370" s="176" t="str">
        <f t="shared" ca="1" si="170"/>
        <v/>
      </c>
      <c r="AL370" s="176" t="str">
        <f t="shared" ca="1" si="171"/>
        <v/>
      </c>
      <c r="AM370" s="176" t="str">
        <f t="shared" ca="1" si="172"/>
        <v/>
      </c>
      <c r="AN370" s="176" t="str">
        <f t="shared" ca="1" si="173"/>
        <v/>
      </c>
      <c r="AO370" s="176" t="str">
        <f t="shared" ca="1" si="174"/>
        <v/>
      </c>
      <c r="AP370" s="176" t="str">
        <f t="shared" ca="1" si="175"/>
        <v/>
      </c>
    </row>
    <row r="371" spans="30:42">
      <c r="AD371" s="176" t="str">
        <f t="shared" ca="1" si="163"/>
        <v/>
      </c>
      <c r="AE371" s="176" t="str">
        <f t="shared" ca="1" si="164"/>
        <v/>
      </c>
      <c r="AF371" s="176" t="str">
        <f t="shared" ca="1" si="165"/>
        <v/>
      </c>
      <c r="AG371" s="176" t="str">
        <f t="shared" ca="1" si="166"/>
        <v/>
      </c>
      <c r="AH371" s="183" t="str">
        <f t="shared" ca="1" si="167"/>
        <v/>
      </c>
      <c r="AI371" s="176" t="str">
        <f t="shared" ca="1" si="168"/>
        <v/>
      </c>
      <c r="AJ371" s="176" t="str">
        <f t="shared" ca="1" si="169"/>
        <v/>
      </c>
      <c r="AK371" s="176" t="str">
        <f t="shared" ca="1" si="170"/>
        <v/>
      </c>
      <c r="AL371" s="176" t="str">
        <f t="shared" ca="1" si="171"/>
        <v/>
      </c>
      <c r="AM371" s="176" t="str">
        <f t="shared" ca="1" si="172"/>
        <v/>
      </c>
      <c r="AN371" s="176" t="str">
        <f t="shared" ca="1" si="173"/>
        <v/>
      </c>
      <c r="AO371" s="176" t="str">
        <f t="shared" ca="1" si="174"/>
        <v/>
      </c>
      <c r="AP371" s="176" t="str">
        <f t="shared" ca="1" si="175"/>
        <v/>
      </c>
    </row>
    <row r="372" spans="30:42">
      <c r="AD372" s="176" t="str">
        <f t="shared" ca="1" si="163"/>
        <v/>
      </c>
      <c r="AE372" s="176" t="str">
        <f t="shared" ca="1" si="164"/>
        <v/>
      </c>
      <c r="AF372" s="176" t="str">
        <f t="shared" ca="1" si="165"/>
        <v/>
      </c>
      <c r="AG372" s="176" t="str">
        <f t="shared" ca="1" si="166"/>
        <v/>
      </c>
      <c r="AH372" s="183" t="str">
        <f t="shared" ca="1" si="167"/>
        <v/>
      </c>
      <c r="AI372" s="176" t="str">
        <f t="shared" ca="1" si="168"/>
        <v/>
      </c>
      <c r="AJ372" s="176" t="str">
        <f t="shared" ca="1" si="169"/>
        <v/>
      </c>
      <c r="AK372" s="176" t="str">
        <f t="shared" ca="1" si="170"/>
        <v/>
      </c>
      <c r="AL372" s="176" t="str">
        <f t="shared" ca="1" si="171"/>
        <v/>
      </c>
      <c r="AM372" s="176" t="str">
        <f t="shared" ca="1" si="172"/>
        <v/>
      </c>
      <c r="AN372" s="176" t="str">
        <f t="shared" ca="1" si="173"/>
        <v/>
      </c>
      <c r="AO372" s="176" t="str">
        <f t="shared" ca="1" si="174"/>
        <v/>
      </c>
      <c r="AP372" s="176" t="str">
        <f t="shared" ca="1" si="175"/>
        <v/>
      </c>
    </row>
    <row r="373" spans="30:42">
      <c r="AD373" s="176" t="str">
        <f t="shared" ca="1" si="163"/>
        <v/>
      </c>
      <c r="AE373" s="176" t="str">
        <f t="shared" ca="1" si="164"/>
        <v/>
      </c>
      <c r="AF373" s="176" t="str">
        <f t="shared" ca="1" si="165"/>
        <v/>
      </c>
      <c r="AG373" s="176" t="str">
        <f t="shared" ca="1" si="166"/>
        <v/>
      </c>
      <c r="AH373" s="183" t="str">
        <f t="shared" ca="1" si="167"/>
        <v/>
      </c>
      <c r="AI373" s="176" t="str">
        <f t="shared" ca="1" si="168"/>
        <v/>
      </c>
      <c r="AJ373" s="176" t="str">
        <f t="shared" ca="1" si="169"/>
        <v/>
      </c>
      <c r="AK373" s="176" t="str">
        <f t="shared" ca="1" si="170"/>
        <v/>
      </c>
      <c r="AL373" s="176" t="str">
        <f t="shared" ca="1" si="171"/>
        <v/>
      </c>
      <c r="AM373" s="176" t="str">
        <f t="shared" ca="1" si="172"/>
        <v/>
      </c>
      <c r="AN373" s="176" t="str">
        <f t="shared" ca="1" si="173"/>
        <v/>
      </c>
      <c r="AO373" s="176" t="str">
        <f t="shared" ca="1" si="174"/>
        <v/>
      </c>
      <c r="AP373" s="176" t="str">
        <f t="shared" ca="1" si="175"/>
        <v/>
      </c>
    </row>
    <row r="374" spans="30:42">
      <c r="AD374" s="176" t="str">
        <f t="shared" ca="1" si="163"/>
        <v/>
      </c>
      <c r="AE374" s="176" t="str">
        <f t="shared" ca="1" si="164"/>
        <v/>
      </c>
      <c r="AF374" s="176" t="str">
        <f t="shared" ca="1" si="165"/>
        <v/>
      </c>
      <c r="AG374" s="176" t="str">
        <f t="shared" ca="1" si="166"/>
        <v/>
      </c>
      <c r="AH374" s="183" t="str">
        <f t="shared" ca="1" si="167"/>
        <v/>
      </c>
      <c r="AI374" s="176" t="str">
        <f t="shared" ca="1" si="168"/>
        <v/>
      </c>
      <c r="AJ374" s="176" t="str">
        <f t="shared" ca="1" si="169"/>
        <v/>
      </c>
      <c r="AK374" s="176" t="str">
        <f t="shared" ca="1" si="170"/>
        <v/>
      </c>
      <c r="AL374" s="176" t="str">
        <f t="shared" ca="1" si="171"/>
        <v/>
      </c>
      <c r="AM374" s="176" t="str">
        <f t="shared" ca="1" si="172"/>
        <v/>
      </c>
      <c r="AN374" s="176" t="str">
        <f t="shared" ca="1" si="173"/>
        <v/>
      </c>
      <c r="AO374" s="176" t="str">
        <f t="shared" ca="1" si="174"/>
        <v/>
      </c>
      <c r="AP374" s="176" t="str">
        <f t="shared" ca="1" si="175"/>
        <v/>
      </c>
    </row>
  </sheetData>
  <phoneticPr fontId="1"/>
  <pageMargins left="0.70866141732283472" right="0.70866141732283472" top="0.74803149606299213" bottom="0.74803149606299213" header="0.31496062992125978" footer="0.31496062992125978"/>
  <pageSetup paperSize="9" scale="85" orientation="portrait" horizontalDpi="1200" verticalDpi="1200"/>
  <headerFooter>
    <oddHeader xml:space="preserve">&amp;L
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ET47"/>
  <sheetViews>
    <sheetView topLeftCell="BH8" zoomScale="70" zoomScaleNormal="70" zoomScalePageLayoutView="55" workbookViewId="0">
      <selection activeCell="AS34" sqref="AS34"/>
    </sheetView>
  </sheetViews>
  <sheetFormatPr defaultRowHeight="22.2"/>
  <cols>
    <col min="1" max="1" width="2.8984375" style="46" customWidth="1"/>
    <col min="2" max="2" width="8.09765625" style="180" customWidth="1"/>
    <col min="3" max="5" width="7.59765625" style="180" customWidth="1"/>
    <col min="6" max="6" width="12.19921875" style="180" customWidth="1"/>
    <col min="7" max="7" width="4.19921875" style="38" customWidth="1"/>
    <col min="8" max="8" width="8.5" style="180" hidden="1" customWidth="1"/>
    <col min="9" max="9" width="8.5" style="180" customWidth="1"/>
    <col min="10" max="12" width="7.59765625" style="180" customWidth="1"/>
    <col min="13" max="13" width="12.19921875" style="180" customWidth="1"/>
    <col min="14" max="14" width="4.19921875" style="35" customWidth="1"/>
    <col min="15" max="15" width="2.796875" style="180" customWidth="1"/>
    <col min="16" max="16" width="2.796875" style="46" customWidth="1"/>
    <col min="17" max="17" width="8.09765625" style="180" customWidth="1"/>
    <col min="18" max="20" width="7.59765625" style="180" customWidth="1"/>
    <col min="21" max="21" width="12.19921875" style="180" customWidth="1"/>
    <col min="22" max="22" width="4.19921875" style="38" customWidth="1"/>
    <col min="23" max="23" width="8.5" style="180" hidden="1" customWidth="1"/>
    <col min="24" max="24" width="8.5" style="180" customWidth="1"/>
    <col min="25" max="27" width="7.59765625" style="180" customWidth="1"/>
    <col min="28" max="28" width="12.19921875" style="180" customWidth="1"/>
    <col min="29" max="29" width="4.19921875" style="35" customWidth="1"/>
    <col min="30" max="30" width="2.796875" style="180" customWidth="1"/>
    <col min="31" max="31" width="2.796875" style="46" customWidth="1"/>
    <col min="32" max="32" width="8.09765625" style="180" customWidth="1"/>
    <col min="33" max="35" width="7.59765625" style="180" customWidth="1"/>
    <col min="36" max="36" width="12.19921875" style="180" customWidth="1"/>
    <col min="37" max="37" width="4.19921875" style="38" customWidth="1"/>
    <col min="38" max="38" width="8.5" style="180" hidden="1" customWidth="1"/>
    <col min="39" max="39" width="8.5" style="180" customWidth="1"/>
    <col min="40" max="42" width="7.59765625" style="180" customWidth="1"/>
    <col min="43" max="43" width="12.19921875" style="180" customWidth="1"/>
    <col min="44" max="44" width="4.19921875" style="35" customWidth="1"/>
    <col min="45" max="45" width="2.796875" style="180" customWidth="1"/>
    <col min="46" max="46" width="2.796875" style="46" customWidth="1"/>
    <col min="47" max="47" width="8.09765625" style="180" customWidth="1"/>
    <col min="48" max="50" width="7.59765625" style="180" customWidth="1"/>
    <col min="51" max="51" width="12.19921875" style="180" customWidth="1"/>
    <col min="52" max="52" width="4.19921875" style="38" customWidth="1"/>
    <col min="53" max="53" width="8.5" style="180" hidden="1" customWidth="1"/>
    <col min="54" max="54" width="8.5" style="180" customWidth="1"/>
    <col min="55" max="57" width="7.59765625" style="180" customWidth="1"/>
    <col min="58" max="58" width="12.19921875" style="180" customWidth="1"/>
    <col min="59" max="59" width="4.19921875" style="35" customWidth="1"/>
    <col min="60" max="60" width="2.796875" style="180" customWidth="1"/>
    <col min="61" max="61" width="2.8984375" style="46" customWidth="1"/>
    <col min="62" max="62" width="8.09765625" style="180" customWidth="1"/>
    <col min="63" max="65" width="7.59765625" style="180" customWidth="1"/>
    <col min="66" max="66" width="12.19921875" style="180" customWidth="1"/>
    <col min="67" max="67" width="4.19921875" style="38" customWidth="1"/>
    <col min="68" max="68" width="8.5" style="180" hidden="1" customWidth="1"/>
    <col min="69" max="69" width="8.5" style="180" customWidth="1"/>
    <col min="70" max="72" width="7.59765625" style="180" customWidth="1"/>
    <col min="73" max="73" width="12.19921875" style="180" customWidth="1"/>
    <col min="74" max="74" width="4.19921875" style="35" customWidth="1"/>
    <col min="75" max="75" width="2.796875" style="180" customWidth="1"/>
    <col min="76" max="76" width="2.796875" style="46" customWidth="1"/>
    <col min="77" max="77" width="8.09765625" style="180" customWidth="1"/>
    <col min="78" max="80" width="7.59765625" style="180" customWidth="1"/>
    <col min="81" max="81" width="12.19921875" style="180" customWidth="1"/>
    <col min="82" max="82" width="4.19921875" style="38" customWidth="1"/>
    <col min="83" max="83" width="8.5" style="180" hidden="1" customWidth="1"/>
    <col min="84" max="84" width="8.5" style="180" customWidth="1"/>
    <col min="85" max="87" width="7.59765625" style="180" customWidth="1"/>
    <col min="88" max="88" width="12.19921875" style="180" customWidth="1"/>
    <col min="89" max="89" width="4.19921875" style="35" customWidth="1"/>
    <col min="90" max="90" width="2.796875" style="180" customWidth="1"/>
    <col min="91" max="91" width="2.796875" style="46" customWidth="1"/>
    <col min="92" max="92" width="8.09765625" style="180" customWidth="1"/>
    <col min="93" max="95" width="7.59765625" style="180" customWidth="1"/>
    <col min="96" max="96" width="12.19921875" style="180" customWidth="1"/>
    <col min="97" max="97" width="4.19921875" style="38" customWidth="1"/>
    <col min="98" max="98" width="8.5" style="180" hidden="1" customWidth="1"/>
    <col min="99" max="99" width="8.5" style="180" customWidth="1"/>
    <col min="100" max="102" width="7.59765625" style="180" customWidth="1"/>
    <col min="103" max="103" width="12.19921875" style="180" customWidth="1"/>
    <col min="104" max="104" width="4.19921875" style="35" customWidth="1"/>
    <col min="105" max="105" width="2.796875" style="180" customWidth="1"/>
    <col min="106" max="106" width="2.796875" style="46" customWidth="1"/>
    <col min="107" max="107" width="8.09765625" style="180" customWidth="1"/>
    <col min="108" max="110" width="7.59765625" style="180" customWidth="1"/>
    <col min="111" max="111" width="12.19921875" style="180" customWidth="1"/>
    <col min="112" max="112" width="4.19921875" style="38" customWidth="1"/>
    <col min="113" max="113" width="8.5" style="180" hidden="1" customWidth="1"/>
    <col min="114" max="114" width="8.5" style="180" customWidth="1"/>
    <col min="115" max="117" width="7.59765625" style="180" customWidth="1"/>
    <col min="118" max="118" width="12.19921875" style="180" customWidth="1"/>
    <col min="119" max="119" width="4.19921875" style="35" customWidth="1"/>
    <col min="120" max="120" width="2.796875" style="180" customWidth="1"/>
    <col min="121" max="121" width="2.796875" style="46" customWidth="1"/>
    <col min="122" max="122" width="8.09765625" style="180" customWidth="1"/>
    <col min="123" max="125" width="7.59765625" style="180" customWidth="1"/>
    <col min="126" max="126" width="12.19921875" style="180" customWidth="1"/>
    <col min="127" max="127" width="4.19921875" style="38" customWidth="1"/>
    <col min="128" max="128" width="8.5" style="180" hidden="1" customWidth="1"/>
    <col min="129" max="129" width="8.5" style="180" customWidth="1"/>
    <col min="130" max="132" width="7.59765625" style="180" customWidth="1"/>
    <col min="133" max="133" width="12.19921875" style="180" customWidth="1"/>
    <col min="134" max="134" width="4.19921875" style="35" customWidth="1"/>
    <col min="135" max="135" width="2.796875" style="180" customWidth="1"/>
    <col min="136" max="136" width="2.796875" style="46" customWidth="1"/>
    <col min="137" max="137" width="8.09765625" style="180" customWidth="1"/>
    <col min="138" max="140" width="7.59765625" style="180" customWidth="1"/>
    <col min="141" max="141" width="12.19921875" style="180" customWidth="1"/>
    <col min="142" max="142" width="4.19921875" style="38" customWidth="1"/>
    <col min="143" max="143" width="8.5" style="180" hidden="1" customWidth="1"/>
    <col min="144" max="144" width="8.5" style="180" customWidth="1"/>
    <col min="145" max="147" width="7.59765625" style="180" customWidth="1"/>
    <col min="148" max="148" width="12.19921875" style="180" customWidth="1"/>
    <col min="149" max="149" width="4.19921875" style="35" customWidth="1"/>
    <col min="150" max="150" width="2.796875" style="180" customWidth="1"/>
  </cols>
  <sheetData>
    <row r="1" spans="1:150" s="181" customFormat="1" ht="25.8" customHeight="1">
      <c r="A1" s="30">
        <v>1</v>
      </c>
      <c r="B1" s="40" t="str">
        <f ca="1">IF(C1&lt;&gt;"",
MID(貼り付け用!$A$2, FIND("年",貼り付け用!$A$2)+1,2)&amp;"/"&amp;MID(貼り付け用!$A$2, FIND("月",貼り付け用!$A$2)+1,2),"")</f>
        <v/>
      </c>
      <c r="C1" s="214" t="str">
        <f t="array" aca="1" ref="C1" ca="1">SUBSTITUTE(SUBSTITUTE(SUBSTITUTE(SUBSTITUTE(SUBSTITUTE(SUBSTITUTE(SUBSTITUTE(SUBSTITUTE(SUBSTITUTE(SUBSTITUTE(SUBSTITUTE(
INDIRECT("'盛付札（関数）'!AF"&amp;A1),"０",""),"①",""),"②",""),"③",""),"④",""),"⑤",""),"⑥",""),"⑦",""),"⑧",""),"⑨",""),"⑩","")</f>
        <v/>
      </c>
      <c r="D1" s="215"/>
      <c r="E1" s="215"/>
      <c r="F1" s="215"/>
      <c r="G1" s="39" t="str">
        <f t="array" aca="1" ref="G1" ca="1">IF(C1&lt;&gt;"",
IF(AND(INDIRECT("'盛付札（関数）'!AE"&amp;A1)&gt;=124,INDIRECT("'盛付札（関数）'!AE"&amp;A1)&lt;=144),"",
"様"),"")</f>
        <v/>
      </c>
      <c r="H1" s="33">
        <f>A1+1</f>
        <v>2</v>
      </c>
      <c r="I1" s="40" t="str">
        <f ca="1">IF(J1&lt;&gt;"",
MID(貼り付け用!$A$2, FIND("年",貼り付け用!$A$2)+1,2)&amp;"/"&amp;MID(貼り付け用!$A$2, FIND("月",貼り付け用!$A$2)+1,2),"")</f>
        <v/>
      </c>
      <c r="J1" s="214" t="str">
        <f t="array" aca="1" ref="J1" ca="1">SUBSTITUTE(SUBSTITUTE(SUBSTITUTE(SUBSTITUTE(SUBSTITUTE(SUBSTITUTE(SUBSTITUTE(SUBSTITUTE(SUBSTITUTE(SUBSTITUTE(SUBSTITUTE(
INDIRECT("'盛付札（関数）'!AF"&amp;H1),"０",""),"①",""),"②",""),"③",""),"④",""),"⑤",""),"⑥",""),"⑦",""),"⑧",""),"⑨",""),"⑩","")</f>
        <v/>
      </c>
      <c r="K1" s="215"/>
      <c r="L1" s="215"/>
      <c r="M1" s="215"/>
      <c r="N1" s="39" t="str">
        <f t="array" aca="1" ref="N1" ca="1">IF(J1&lt;&gt;"",
IF(AND(INDIRECT("'盛付札（関数）'!AE"&amp;H1)&gt;=124,INDIRECT("'盛付札（関数）'!AE"&amp;H1)&lt;=144),"",
"様"),"")</f>
        <v/>
      </c>
      <c r="O1" s="22"/>
      <c r="P1" s="30">
        <f>H41+1</f>
        <v>13</v>
      </c>
      <c r="Q1" s="40" t="str">
        <f ca="1">IF(R1&lt;&gt;"",
MID(貼り付け用!$A$2, FIND("年",貼り付け用!$A$2)+1,2)&amp;"/"&amp;MID(貼り付け用!$A$2, FIND("月",貼り付け用!$A$2)+1,2),"")</f>
        <v/>
      </c>
      <c r="R1" s="214" t="str">
        <f t="array" aca="1" ref="R1" ca="1">SUBSTITUTE(SUBSTITUTE(SUBSTITUTE(SUBSTITUTE(SUBSTITUTE(SUBSTITUTE(SUBSTITUTE(SUBSTITUTE(SUBSTITUTE(SUBSTITUTE(SUBSTITUTE(
INDIRECT("'盛付札（関数）'!AF"&amp;P1),"０",""),"①",""),"②",""),"③",""),"④",""),"⑤",""),"⑥",""),"⑦",""),"⑧",""),"⑨",""),"⑩","")</f>
        <v/>
      </c>
      <c r="S1" s="215"/>
      <c r="T1" s="215"/>
      <c r="U1" s="215"/>
      <c r="V1" s="39" t="str">
        <f t="array" aca="1" ref="V1" ca="1">IF(R1&lt;&gt;"",
IF(AND(INDIRECT("'盛付札（関数）'!AE"&amp;P1)&gt;=124,INDIRECT("'盛付札（関数）'!AE"&amp;P1)&lt;=144),"",
"様"),"")</f>
        <v/>
      </c>
      <c r="W1" s="33">
        <f>P1+1</f>
        <v>14</v>
      </c>
      <c r="X1" s="40" t="str">
        <f ca="1">IF(Y1&lt;&gt;"",
MID(貼り付け用!$A$2, FIND("年",貼り付け用!$A$2)+1,2)&amp;"/"&amp;MID(貼り付け用!$A$2, FIND("月",貼り付け用!$A$2)+1,2),"")</f>
        <v/>
      </c>
      <c r="Y1" s="214" t="str">
        <f t="array" aca="1" ref="Y1" ca="1">SUBSTITUTE(SUBSTITUTE(SUBSTITUTE(SUBSTITUTE(SUBSTITUTE(SUBSTITUTE(SUBSTITUTE(SUBSTITUTE(SUBSTITUTE(SUBSTITUTE(SUBSTITUTE(
INDIRECT("'盛付札（関数）'!AF"&amp;W1),"０",""),"①",""),"②",""),"③",""),"④",""),"⑤",""),"⑥",""),"⑦",""),"⑧",""),"⑨",""),"⑩","")</f>
        <v/>
      </c>
      <c r="Z1" s="215"/>
      <c r="AA1" s="215"/>
      <c r="AB1" s="215"/>
      <c r="AC1" s="39" t="str">
        <f t="array" aca="1" ref="AC1" ca="1">IF(Y1&lt;&gt;"",
IF(AND(INDIRECT("'盛付札（関数）'!AE"&amp;W1)&gt;=124,INDIRECT("'盛付札（関数）'!AE"&amp;W1)&lt;=144),"",
"様"),"")</f>
        <v/>
      </c>
      <c r="AD1" s="22"/>
      <c r="AE1" s="30">
        <f>W41+1</f>
        <v>25</v>
      </c>
      <c r="AF1" s="40" t="str">
        <f ca="1">IF(AG1&lt;&gt;"",
MID(貼り付け用!$A$2, FIND("年",貼り付け用!$A$2)+1,2)&amp;"/"&amp;MID(貼り付け用!$A$2, FIND("月",貼り付け用!$A$2)+1,2),"")</f>
        <v/>
      </c>
      <c r="AG1" s="214" t="str">
        <f t="array" aca="1" ref="AG1" ca="1">SUBSTITUTE(SUBSTITUTE(SUBSTITUTE(SUBSTITUTE(SUBSTITUTE(SUBSTITUTE(SUBSTITUTE(SUBSTITUTE(SUBSTITUTE(SUBSTITUTE(SUBSTITUTE(
INDIRECT("'盛付札（関数）'!AF"&amp;AE1),"０",""),"①",""),"②",""),"③",""),"④",""),"⑤",""),"⑥",""),"⑦",""),"⑧",""),"⑨",""),"⑩","")</f>
        <v/>
      </c>
      <c r="AH1" s="215"/>
      <c r="AI1" s="215"/>
      <c r="AJ1" s="215"/>
      <c r="AK1" s="39" t="str">
        <f t="array" aca="1" ref="AK1" ca="1">IF(AG1&lt;&gt;"",
IF(AND(INDIRECT("'盛付札（関数）'!AE"&amp;AE1)&gt;=124,INDIRECT("'盛付札（関数）'!AE"&amp;AE1)&lt;=144),"",
"様"),"")</f>
        <v/>
      </c>
      <c r="AL1" s="33">
        <f>AE1+1</f>
        <v>26</v>
      </c>
      <c r="AM1" s="40" t="str">
        <f ca="1">IF(AN1&lt;&gt;"",
MID(貼り付け用!$A$2, FIND("年",貼り付け用!$A$2)+1,2)&amp;"/"&amp;MID(貼り付け用!$A$2, FIND("月",貼り付け用!$A$2)+1,2),"")</f>
        <v/>
      </c>
      <c r="AN1" s="214" t="str">
        <f t="array" aca="1" ref="AN1" ca="1">SUBSTITUTE(SUBSTITUTE(SUBSTITUTE(SUBSTITUTE(SUBSTITUTE(SUBSTITUTE(SUBSTITUTE(SUBSTITUTE(SUBSTITUTE(SUBSTITUTE(SUBSTITUTE(
INDIRECT("'盛付札（関数）'!AF"&amp;AL1),"０",""),"①",""),"②",""),"③",""),"④",""),"⑤",""),"⑥",""),"⑦",""),"⑧",""),"⑨",""),"⑩","")</f>
        <v/>
      </c>
      <c r="AO1" s="215"/>
      <c r="AP1" s="215"/>
      <c r="AQ1" s="215"/>
      <c r="AR1" s="39" t="str">
        <f t="array" aca="1" ref="AR1" ca="1">IF(AN1&lt;&gt;"",
IF(AND(INDIRECT("'盛付札（関数）'!AE"&amp;AL1)&gt;=124,INDIRECT("'盛付札（関数）'!AE"&amp;AL1)&lt;=144),"",
"様"),"")</f>
        <v/>
      </c>
      <c r="AS1" s="22"/>
      <c r="AT1" s="30">
        <f>AL41+1</f>
        <v>37</v>
      </c>
      <c r="AU1" s="40" t="str">
        <f ca="1">IF(AV1&lt;&gt;"",
MID(貼り付け用!$A$2, FIND("年",貼り付け用!$A$2)+1,2)&amp;"/"&amp;MID(貼り付け用!$A$2, FIND("月",貼り付け用!$A$2)+1,2),"")</f>
        <v/>
      </c>
      <c r="AV1" s="214" t="str">
        <f t="array" aca="1" ref="AV1" ca="1">SUBSTITUTE(SUBSTITUTE(SUBSTITUTE(SUBSTITUTE(SUBSTITUTE(SUBSTITUTE(SUBSTITUTE(SUBSTITUTE(SUBSTITUTE(SUBSTITUTE(SUBSTITUTE(
INDIRECT("'盛付札（関数）'!AF"&amp;AT1),"０",""),"①",""),"②",""),"③",""),"④",""),"⑤",""),"⑥",""),"⑦",""),"⑧",""),"⑨",""),"⑩","")</f>
        <v/>
      </c>
      <c r="AW1" s="215"/>
      <c r="AX1" s="215"/>
      <c r="AY1" s="215"/>
      <c r="AZ1" s="39" t="str">
        <f t="array" aca="1" ref="AZ1" ca="1">IF(AV1&lt;&gt;"",
IF(AND(INDIRECT("'盛付札（関数）'!AE"&amp;AT1)&gt;=124,INDIRECT("'盛付札（関数）'!AE"&amp;AT1)&lt;=144),"",
"様"),"")</f>
        <v/>
      </c>
      <c r="BA1" s="33">
        <f>AT1+1</f>
        <v>38</v>
      </c>
      <c r="BB1" s="40" t="str">
        <f ca="1">IF(BC1&lt;&gt;"",
MID(貼り付け用!$A$2, FIND("年",貼り付け用!$A$2)+1,2)&amp;"/"&amp;MID(貼り付け用!$A$2, FIND("月",貼り付け用!$A$2)+1,2),"")</f>
        <v/>
      </c>
      <c r="BC1" s="214" t="str">
        <f t="array" aca="1" ref="BC1" ca="1">SUBSTITUTE(SUBSTITUTE(SUBSTITUTE(SUBSTITUTE(SUBSTITUTE(SUBSTITUTE(SUBSTITUTE(SUBSTITUTE(SUBSTITUTE(SUBSTITUTE(SUBSTITUTE(
INDIRECT("'盛付札（関数）'!AF"&amp;BA1),"０",""),"①",""),"②",""),"③",""),"④",""),"⑤",""),"⑥",""),"⑦",""),"⑧",""),"⑨",""),"⑩","")</f>
        <v/>
      </c>
      <c r="BD1" s="215"/>
      <c r="BE1" s="215"/>
      <c r="BF1" s="215"/>
      <c r="BG1" s="39" t="str">
        <f t="array" aca="1" ref="BG1" ca="1">IF(BC1&lt;&gt;"",
IF(AND(INDIRECT("'盛付札（関数）'!AE"&amp;BA1)&gt;=124,INDIRECT("'盛付札（関数）'!AE"&amp;BA1)&lt;=144),"",
"様"),"")</f>
        <v/>
      </c>
      <c r="BH1" s="22"/>
      <c r="BI1" s="30">
        <f>BA41+1</f>
        <v>49</v>
      </c>
      <c r="BJ1" s="40" t="str">
        <f ca="1">IF(BK1&lt;&gt;"",
MID(貼り付け用!$A$2, FIND("年",貼り付け用!$A$2)+1,2)&amp;"/"&amp;MID(貼り付け用!$A$2, FIND("月",貼り付け用!$A$2)+1,2),"")</f>
        <v/>
      </c>
      <c r="BK1" s="214" t="str">
        <f t="array" aca="1" ref="BK1" ca="1">SUBSTITUTE(SUBSTITUTE(SUBSTITUTE(SUBSTITUTE(SUBSTITUTE(SUBSTITUTE(SUBSTITUTE(SUBSTITUTE(SUBSTITUTE(SUBSTITUTE(SUBSTITUTE(
INDIRECT("'盛付札（関数）'!AF"&amp;BI1),"０",""),"①",""),"②",""),"③",""),"④",""),"⑤",""),"⑥",""),"⑦",""),"⑧",""),"⑨",""),"⑩","")</f>
        <v/>
      </c>
      <c r="BL1" s="215"/>
      <c r="BM1" s="215"/>
      <c r="BN1" s="215"/>
      <c r="BO1" s="39" t="str">
        <f t="array" aca="1" ref="BO1" ca="1">IF(BK1&lt;&gt;"",
IF(AND(INDIRECT("'盛付札（関数）'!AE"&amp;BI1)&gt;=124,INDIRECT("'盛付札（関数）'!AE"&amp;BI1)&lt;=144),"",
"様"),"")</f>
        <v/>
      </c>
      <c r="BP1" s="33">
        <f>BI1+1</f>
        <v>50</v>
      </c>
      <c r="BQ1" s="40" t="str">
        <f ca="1">IF(BR1&lt;&gt;"",
MID(貼り付け用!$A$2, FIND("年",貼り付け用!$A$2)+1,2)&amp;"/"&amp;MID(貼り付け用!$A$2, FIND("月",貼り付け用!$A$2)+1,2),"")</f>
        <v/>
      </c>
      <c r="BR1" s="214" t="str">
        <f t="array" aca="1" ref="BR1" ca="1">SUBSTITUTE(SUBSTITUTE(SUBSTITUTE(SUBSTITUTE(SUBSTITUTE(SUBSTITUTE(SUBSTITUTE(SUBSTITUTE(SUBSTITUTE(SUBSTITUTE(SUBSTITUTE(
INDIRECT("'盛付札（関数）'!AF"&amp;BP1),"０",""),"①",""),"②",""),"③",""),"④",""),"⑤",""),"⑥",""),"⑦",""),"⑧",""),"⑨",""),"⑩","")</f>
        <v/>
      </c>
      <c r="BS1" s="215"/>
      <c r="BT1" s="215"/>
      <c r="BU1" s="215"/>
      <c r="BV1" s="39" t="str">
        <f t="array" aca="1" ref="BV1" ca="1">IF(BR1&lt;&gt;"",
IF(AND(INDIRECT("'盛付札（関数）'!AE"&amp;BP1)&gt;=124,INDIRECT("'盛付札（関数）'!AE"&amp;BP1)&lt;=144),"",
"様"),"")</f>
        <v/>
      </c>
      <c r="BW1" s="22"/>
      <c r="BX1" s="30">
        <f>BP41+1</f>
        <v>61</v>
      </c>
      <c r="BY1" s="40" t="str">
        <f ca="1">IF(BZ1&lt;&gt;"",
MID(貼り付け用!$A$2, FIND("年",貼り付け用!$A$2)+1,2)&amp;"/"&amp;MID(貼り付け用!$A$2, FIND("月",貼り付け用!$A$2)+1,2),"")</f>
        <v/>
      </c>
      <c r="BZ1" s="214" t="str">
        <f t="array" aca="1" ref="BZ1" ca="1">SUBSTITUTE(SUBSTITUTE(SUBSTITUTE(SUBSTITUTE(SUBSTITUTE(SUBSTITUTE(SUBSTITUTE(SUBSTITUTE(SUBSTITUTE(SUBSTITUTE(SUBSTITUTE(
INDIRECT("'盛付札（関数）'!AF"&amp;BX1),"０",""),"①",""),"②",""),"③",""),"④",""),"⑤",""),"⑥",""),"⑦",""),"⑧",""),"⑨",""),"⑩","")</f>
        <v/>
      </c>
      <c r="CA1" s="215"/>
      <c r="CB1" s="215"/>
      <c r="CC1" s="215"/>
      <c r="CD1" s="39" t="str">
        <f t="array" aca="1" ref="CD1" ca="1">IF(BZ1&lt;&gt;"",
IF(AND(INDIRECT("'盛付札（関数）'!AE"&amp;BX1)&gt;=124,INDIRECT("'盛付札（関数）'!AE"&amp;BX1)&lt;=144),"",
"様"),"")</f>
        <v/>
      </c>
      <c r="CE1" s="33">
        <f>BX1+1</f>
        <v>62</v>
      </c>
      <c r="CF1" s="40" t="str">
        <f ca="1">IF(CG1&lt;&gt;"",
MID(貼り付け用!$A$2, FIND("年",貼り付け用!$A$2)+1,2)&amp;"/"&amp;MID(貼り付け用!$A$2, FIND("月",貼り付け用!$A$2)+1,2),"")</f>
        <v/>
      </c>
      <c r="CG1" s="214" t="str">
        <f t="array" aca="1" ref="CG1" ca="1">SUBSTITUTE(SUBSTITUTE(SUBSTITUTE(SUBSTITUTE(SUBSTITUTE(SUBSTITUTE(SUBSTITUTE(SUBSTITUTE(SUBSTITUTE(SUBSTITUTE(SUBSTITUTE(
INDIRECT("'盛付札（関数）'!AF"&amp;CE1),"０",""),"①",""),"②",""),"③",""),"④",""),"⑤",""),"⑥",""),"⑦",""),"⑧",""),"⑨",""),"⑩","")</f>
        <v/>
      </c>
      <c r="CH1" s="215"/>
      <c r="CI1" s="215"/>
      <c r="CJ1" s="215"/>
      <c r="CK1" s="39" t="str">
        <f t="array" aca="1" ref="CK1" ca="1">IF(CG1&lt;&gt;"",
IF(AND(INDIRECT("'盛付札（関数）'!AE"&amp;CE1)&gt;=124,INDIRECT("'盛付札（関数）'!AE"&amp;CE1)&lt;=144),"",
"様"),"")</f>
        <v/>
      </c>
      <c r="CL1" s="22"/>
      <c r="CM1" s="30">
        <f>CE41+1</f>
        <v>73</v>
      </c>
      <c r="CN1" s="40" t="str">
        <f ca="1">IF(CO1&lt;&gt;"",
MID(貼り付け用!$A$2, FIND("年",貼り付け用!$A$2)+1,2)&amp;"/"&amp;MID(貼り付け用!$A$2, FIND("月",貼り付け用!$A$2)+1,2),"")</f>
        <v/>
      </c>
      <c r="CO1" s="214" t="str">
        <f t="array" aca="1" ref="CO1" ca="1">SUBSTITUTE(SUBSTITUTE(SUBSTITUTE(SUBSTITUTE(SUBSTITUTE(SUBSTITUTE(SUBSTITUTE(SUBSTITUTE(SUBSTITUTE(SUBSTITUTE(SUBSTITUTE(
INDIRECT("'盛付札（関数）'!AF"&amp;CM1),"０",""),"①",""),"②",""),"③",""),"④",""),"⑤",""),"⑥",""),"⑦",""),"⑧",""),"⑨",""),"⑩","")</f>
        <v/>
      </c>
      <c r="CP1" s="215"/>
      <c r="CQ1" s="215"/>
      <c r="CR1" s="215"/>
      <c r="CS1" s="39" t="str">
        <f t="array" aca="1" ref="CS1" ca="1">IF(CO1&lt;&gt;"",
IF(AND(INDIRECT("'盛付札（関数）'!AE"&amp;CM1)&gt;=124,INDIRECT("'盛付札（関数）'!AE"&amp;CM1)&lt;=144),"",
"様"),"")</f>
        <v/>
      </c>
      <c r="CT1" s="33">
        <f>CM1+1</f>
        <v>74</v>
      </c>
      <c r="CU1" s="40" t="str">
        <f ca="1">IF(CV1&lt;&gt;"",
MID(貼り付け用!$A$2, FIND("年",貼り付け用!$A$2)+1,2)&amp;"/"&amp;MID(貼り付け用!$A$2, FIND("月",貼り付け用!$A$2)+1,2),"")</f>
        <v/>
      </c>
      <c r="CV1" s="214" t="str">
        <f t="array" aca="1" ref="CV1" ca="1">SUBSTITUTE(SUBSTITUTE(SUBSTITUTE(SUBSTITUTE(SUBSTITUTE(SUBSTITUTE(SUBSTITUTE(SUBSTITUTE(SUBSTITUTE(SUBSTITUTE(SUBSTITUTE(
INDIRECT("'盛付札（関数）'!AF"&amp;CT1),"０",""),"①",""),"②",""),"③",""),"④",""),"⑤",""),"⑥",""),"⑦",""),"⑧",""),"⑨",""),"⑩","")</f>
        <v/>
      </c>
      <c r="CW1" s="215"/>
      <c r="CX1" s="215"/>
      <c r="CY1" s="215"/>
      <c r="CZ1" s="39" t="str">
        <f t="array" aca="1" ref="CZ1" ca="1">IF(CV1&lt;&gt;"",
IF(AND(INDIRECT("'盛付札（関数）'!AE"&amp;CT1)&gt;=124,INDIRECT("'盛付札（関数）'!AE"&amp;CT1)&lt;=144),"",
"様"),"")</f>
        <v/>
      </c>
      <c r="DA1" s="22"/>
      <c r="DB1" s="30">
        <f>CT41+1</f>
        <v>85</v>
      </c>
      <c r="DC1" s="40" t="str">
        <f ca="1">IF(DD1&lt;&gt;"",
MID(貼り付け用!$A$2, FIND("年",貼り付け用!$A$2)+1,2)&amp;"/"&amp;MID(貼り付け用!$A$2, FIND("月",貼り付け用!$A$2)+1,2),"")</f>
        <v/>
      </c>
      <c r="DD1" s="214" t="str">
        <f t="array" aca="1" ref="DD1" ca="1">SUBSTITUTE(SUBSTITUTE(SUBSTITUTE(SUBSTITUTE(SUBSTITUTE(SUBSTITUTE(SUBSTITUTE(SUBSTITUTE(SUBSTITUTE(SUBSTITUTE(SUBSTITUTE(
INDIRECT("'盛付札（関数）'!AF"&amp;DB1),"０",""),"①",""),"②",""),"③",""),"④",""),"⑤",""),"⑥",""),"⑦",""),"⑧",""),"⑨",""),"⑩","")</f>
        <v/>
      </c>
      <c r="DE1" s="215"/>
      <c r="DF1" s="215"/>
      <c r="DG1" s="215"/>
      <c r="DH1" s="39" t="str">
        <f t="array" aca="1" ref="DH1" ca="1">IF(DD1&lt;&gt;"",
IF(AND(INDIRECT("'盛付札（関数）'!AE"&amp;DB1)&gt;=124,INDIRECT("'盛付札（関数）'!AE"&amp;DB1)&lt;=144),"",
"様"),"")</f>
        <v/>
      </c>
      <c r="DI1" s="33">
        <f>DB1+1</f>
        <v>86</v>
      </c>
      <c r="DJ1" s="40" t="str">
        <f ca="1">IF(DK1&lt;&gt;"",
MID(貼り付け用!$A$2, FIND("年",貼り付け用!$A$2)+1,2)&amp;"/"&amp;MID(貼り付け用!$A$2, FIND("月",貼り付け用!$A$2)+1,2),"")</f>
        <v/>
      </c>
      <c r="DK1" s="214" t="str">
        <f t="array" aca="1" ref="DK1" ca="1">SUBSTITUTE(SUBSTITUTE(SUBSTITUTE(SUBSTITUTE(SUBSTITUTE(SUBSTITUTE(SUBSTITUTE(SUBSTITUTE(SUBSTITUTE(SUBSTITUTE(SUBSTITUTE(
INDIRECT("'盛付札（関数）'!AF"&amp;DI1),"０",""),"①",""),"②",""),"③",""),"④",""),"⑤",""),"⑥",""),"⑦",""),"⑧",""),"⑨",""),"⑩","")</f>
        <v/>
      </c>
      <c r="DL1" s="215"/>
      <c r="DM1" s="215"/>
      <c r="DN1" s="215"/>
      <c r="DO1" s="39" t="str">
        <f t="array" aca="1" ref="DO1" ca="1">IF(DK1&lt;&gt;"",
IF(AND(INDIRECT("'盛付札（関数）'!AE"&amp;DI1)&gt;=124,INDIRECT("'盛付札（関数）'!AE"&amp;DI1)&lt;=144),"",
"様"),"")</f>
        <v/>
      </c>
      <c r="DP1" s="22"/>
      <c r="DQ1" s="30">
        <f>DI41+1</f>
        <v>97</v>
      </c>
      <c r="DR1" s="40" t="str">
        <f ca="1">IF(DS1&lt;&gt;"",
MID(貼り付け用!$A$2, FIND("年",貼り付け用!$A$2)+1,2)&amp;"/"&amp;MID(貼り付け用!$A$2, FIND("月",貼り付け用!$A$2)+1,2),"")</f>
        <v/>
      </c>
      <c r="DS1" s="214" t="str">
        <f t="array" aca="1" ref="DS1" ca="1">SUBSTITUTE(SUBSTITUTE(SUBSTITUTE(SUBSTITUTE(SUBSTITUTE(SUBSTITUTE(SUBSTITUTE(SUBSTITUTE(SUBSTITUTE(SUBSTITUTE(SUBSTITUTE(
INDIRECT("'盛付札（関数）'!AF"&amp;DQ1),"０",""),"①",""),"②",""),"③",""),"④",""),"⑤",""),"⑥",""),"⑦",""),"⑧",""),"⑨",""),"⑩","")</f>
        <v/>
      </c>
      <c r="DT1" s="215"/>
      <c r="DU1" s="215"/>
      <c r="DV1" s="215"/>
      <c r="DW1" s="39" t="str">
        <f t="array" aca="1" ref="DW1" ca="1">IF(DS1&lt;&gt;"",
IF(AND(INDIRECT("'盛付札（関数）'!AE"&amp;DQ1)&gt;=124,INDIRECT("'盛付札（関数）'!AE"&amp;DQ1)&lt;=144),"",
"様"),"")</f>
        <v/>
      </c>
      <c r="DX1" s="33">
        <f>DQ1+1</f>
        <v>98</v>
      </c>
      <c r="DY1" s="40" t="str">
        <f ca="1">IF(DZ1&lt;&gt;"",
MID(貼り付け用!$A$2, FIND("年",貼り付け用!$A$2)+1,2)&amp;"/"&amp;MID(貼り付け用!$A$2, FIND("月",貼り付け用!$A$2)+1,2),"")</f>
        <v/>
      </c>
      <c r="DZ1" s="214" t="str">
        <f t="array" aca="1" ref="DZ1" ca="1">SUBSTITUTE(SUBSTITUTE(SUBSTITUTE(SUBSTITUTE(SUBSTITUTE(SUBSTITUTE(SUBSTITUTE(SUBSTITUTE(SUBSTITUTE(SUBSTITUTE(SUBSTITUTE(
INDIRECT("'盛付札（関数）'!AF"&amp;DX1),"０",""),"①",""),"②",""),"③",""),"④",""),"⑤",""),"⑥",""),"⑦",""),"⑧",""),"⑨",""),"⑩","")</f>
        <v/>
      </c>
      <c r="EA1" s="215"/>
      <c r="EB1" s="215"/>
      <c r="EC1" s="215"/>
      <c r="ED1" s="39" t="str">
        <f t="array" aca="1" ref="ED1" ca="1">IF(DZ1&lt;&gt;"",
IF(AND(INDIRECT("'盛付札（関数）'!AE"&amp;DX1)&gt;=124,INDIRECT("'盛付札（関数）'!AE"&amp;DX1)&lt;=144),"",
"様"),"")</f>
        <v/>
      </c>
      <c r="EE1" s="22"/>
      <c r="EF1" s="30">
        <f>DX41+1</f>
        <v>109</v>
      </c>
      <c r="EG1" s="40" t="str">
        <f ca="1">IF(EH1&lt;&gt;"",
MID(貼り付け用!$A$2, FIND("年",貼り付け用!$A$2)+1,2)&amp;"/"&amp;MID(貼り付け用!$A$2, FIND("月",貼り付け用!$A$2)+1,2),"")</f>
        <v/>
      </c>
      <c r="EH1" s="214" t="str">
        <f t="array" aca="1" ref="EH1" ca="1">SUBSTITUTE(SUBSTITUTE(SUBSTITUTE(SUBSTITUTE(SUBSTITUTE(SUBSTITUTE(SUBSTITUTE(SUBSTITUTE(SUBSTITUTE(SUBSTITUTE(SUBSTITUTE(
INDIRECT("'盛付札（関数）'!AF"&amp;EF1),"０",""),"①",""),"②",""),"③",""),"④",""),"⑤",""),"⑥",""),"⑦",""),"⑧",""),"⑨",""),"⑩","")</f>
        <v/>
      </c>
      <c r="EI1" s="215"/>
      <c r="EJ1" s="215"/>
      <c r="EK1" s="215"/>
      <c r="EL1" s="39" t="str">
        <f t="array" aca="1" ref="EL1" ca="1">IF(EH1&lt;&gt;"",
IF(AND(INDIRECT("'盛付札（関数）'!AE"&amp;EF1)&gt;=124,INDIRECT("'盛付札（関数）'!AE"&amp;EF1)&lt;=144),"",
"様"),"")</f>
        <v/>
      </c>
      <c r="EM1" s="33">
        <f>EF1+1</f>
        <v>110</v>
      </c>
      <c r="EN1" s="40" t="str">
        <f ca="1">IF(EO1&lt;&gt;"",
MID(貼り付け用!$A$2, FIND("年",貼り付け用!$A$2)+1,2)&amp;"/"&amp;MID(貼り付け用!$A$2, FIND("月",貼り付け用!$A$2)+1,2),"")</f>
        <v/>
      </c>
      <c r="EO1" s="214" t="str">
        <f t="array" aca="1" ref="EO1" ca="1">SUBSTITUTE(SUBSTITUTE(SUBSTITUTE(SUBSTITUTE(SUBSTITUTE(SUBSTITUTE(SUBSTITUTE(SUBSTITUTE(SUBSTITUTE(SUBSTITUTE(SUBSTITUTE(
INDIRECT("'盛付札（関数）'!AF"&amp;EM1),"０",""),"①",""),"②",""),"③",""),"④",""),"⑤",""),"⑥",""),"⑦",""),"⑧",""),"⑨",""),"⑩","")</f>
        <v/>
      </c>
      <c r="EP1" s="215"/>
      <c r="EQ1" s="215"/>
      <c r="ER1" s="215"/>
      <c r="ES1" s="39" t="str">
        <f t="array" aca="1" ref="ES1" ca="1">IF(EO1&lt;&gt;"",
IF(AND(INDIRECT("'盛付札（関数）'!AE"&amp;EM1)&gt;=124,INDIRECT("'盛付札（関数）'!AE"&amp;EM1)&lt;=144),"",
"様"),"")</f>
        <v/>
      </c>
      <c r="ET1" s="22"/>
    </row>
    <row r="2" spans="1:150" s="181" customFormat="1">
      <c r="A2" s="30"/>
      <c r="B2" s="102"/>
      <c r="C2" s="136" t="str">
        <f t="array" aca="1" ref="C2" ca="1">IF(C1&lt;&gt;"",
IF(OR(INDIRECT("'盛付札（関数）'!AE"&amp;A1)=211,INDIRECT("'盛付札（関数）'!AE"&amp;A1)=212,INDIRECT("'盛付札（関数）'!AE"&amp;A1)=213),"",
IF(AND(INDIRECT("'盛付札（関数）'!AE"&amp;A1)&gt;=219,INDIRECT("'盛付札（関数）'!AE"&amp;A1)&lt;=246),"",
INDIRECT("'盛付札（関数）'!AG"&amp;A1))),"")</f>
        <v/>
      </c>
      <c r="D2" s="38"/>
      <c r="E2" s="38"/>
      <c r="F2" s="190" t="str">
        <f t="array" aca="1" ref="F2" ca="1">IF(AND(C1&lt;&gt;"",ISERROR(FIND("社食",C1))),
IF(OR(INDIRECT("'盛付札（関数）'!AE"&amp;A1)=211,INDIRECT("'盛付札（関数）'!AE"&amp;A1)=212,INDIRECT("'盛付札（関数）'!AE"&amp;A1)=213),"",
IF(INDIRECT("'盛付札（関数）'!AH"&amp;A1)&lt;&gt;"",
INDIRECT("'盛付札（関数）'!AH"&amp;A1)&amp;"箱"&amp;INDIRECT("'盛付札（関数）'!AI"&amp;A1),"")),"")</f>
        <v/>
      </c>
      <c r="G2" s="36"/>
      <c r="H2" s="43"/>
      <c r="I2" s="102"/>
      <c r="J2" s="136" t="str">
        <f t="array" aca="1" ref="J2" ca="1">IF(J1&lt;&gt;"",
IF(OR(INDIRECT("'盛付札（関数）'!AE"&amp;H1)=211,INDIRECT("'盛付札（関数）'!AE"&amp;H1)=212,INDIRECT("'盛付札（関数）'!AE"&amp;H1)=213),"",
IF(AND(INDIRECT("'盛付札（関数）'!AE"&amp;H1)&gt;=219,INDIRECT("'盛付札（関数）'!AE"&amp;H1)&lt;=246),"",
INDIRECT("'盛付札（関数）'!AG"&amp;H1))),"")</f>
        <v/>
      </c>
      <c r="K2" s="38"/>
      <c r="L2" s="38"/>
      <c r="M2" s="190" t="str">
        <f t="array" aca="1" ref="M2" ca="1">IF(AND(J1&lt;&gt;"",ISERROR(FIND("社食",J1))),
IF(OR(INDIRECT("'盛付札（関数）'!AE"&amp;H1)=211,INDIRECT("'盛付札（関数）'!AE"&amp;H1)=212,INDIRECT("'盛付札（関数）'!AE"&amp;H1)=213),"",
IF(INDIRECT("'盛付札（関数）'!AH"&amp;H1)&lt;&gt;"",
INDIRECT("'盛付札（関数）'!AH"&amp;H1)&amp;"箱"&amp;INDIRECT("'盛付札（関数）'!AI"&amp;H1),"")),"")</f>
        <v/>
      </c>
      <c r="N2" s="36"/>
      <c r="O2" s="22"/>
      <c r="P2" s="30"/>
      <c r="Q2" s="102"/>
      <c r="R2" s="136" t="str">
        <f t="array" aca="1" ref="R2" ca="1">IF(R1&lt;&gt;"",
IF(OR(INDIRECT("'盛付札（関数）'!AE"&amp;P1)=211,INDIRECT("'盛付札（関数）'!AE"&amp;P1)=212,INDIRECT("'盛付札（関数）'!AE"&amp;P1)=213),"",
IF(AND(INDIRECT("'盛付札（関数）'!AE"&amp;P1)&gt;=219,INDIRECT("'盛付札（関数）'!AE"&amp;P1)&lt;=246),"",
INDIRECT("'盛付札（関数）'!AG"&amp;P1))),"")</f>
        <v/>
      </c>
      <c r="S2" s="38"/>
      <c r="T2" s="38"/>
      <c r="U2" s="190" t="str">
        <f t="array" aca="1" ref="U2" ca="1">IF(AND(R1&lt;&gt;"",ISERROR(FIND("社食",R1))),
IF(OR(INDIRECT("'盛付札（関数）'!AE"&amp;P1)=211,INDIRECT("'盛付札（関数）'!AE"&amp;P1)=212,INDIRECT("'盛付札（関数）'!AE"&amp;P1)=213),"",
IF(INDIRECT("'盛付札（関数）'!AH"&amp;P1)&lt;&gt;"",
INDIRECT("'盛付札（関数）'!AH"&amp;P1)&amp;"箱"&amp;INDIRECT("'盛付札（関数）'!AI"&amp;P1),"")),"")</f>
        <v/>
      </c>
      <c r="V2" s="36"/>
      <c r="W2" s="43"/>
      <c r="X2" s="102"/>
      <c r="Y2" s="136" t="str">
        <f t="array" aca="1" ref="Y2" ca="1">IF(Y1&lt;&gt;"",
IF(OR(INDIRECT("'盛付札（関数）'!AE"&amp;W1)=211,INDIRECT("'盛付札（関数）'!AE"&amp;W1)=212,INDIRECT("'盛付札（関数）'!AE"&amp;W1)=213),"",
IF(AND(INDIRECT("'盛付札（関数）'!AE"&amp;W1)&gt;=219,INDIRECT("'盛付札（関数）'!AE"&amp;W1)&lt;=246),"",
INDIRECT("'盛付札（関数）'!AG"&amp;W1))),"")</f>
        <v/>
      </c>
      <c r="Z2" s="38"/>
      <c r="AA2" s="38"/>
      <c r="AB2" s="190" t="str">
        <f t="array" aca="1" ref="AB2" ca="1">IF(AND(Y1&lt;&gt;"",ISERROR(FIND("社食",Y1))),
IF(OR(INDIRECT("'盛付札（関数）'!AE"&amp;W1)=211,INDIRECT("'盛付札（関数）'!AE"&amp;W1)=212,INDIRECT("'盛付札（関数）'!AE"&amp;W1)=213),"",
IF(INDIRECT("'盛付札（関数）'!AH"&amp;W1)&lt;&gt;"",
INDIRECT("'盛付札（関数）'!AH"&amp;W1)&amp;"箱"&amp;INDIRECT("'盛付札（関数）'!AI"&amp;W1),"")),"")</f>
        <v/>
      </c>
      <c r="AC2" s="36"/>
      <c r="AD2" s="22"/>
      <c r="AE2" s="30"/>
      <c r="AF2" s="102"/>
      <c r="AG2" s="136" t="str">
        <f t="array" aca="1" ref="AG2" ca="1">IF(AG1&lt;&gt;"",
IF(OR(INDIRECT("'盛付札（関数）'!AE"&amp;AE1)=211,INDIRECT("'盛付札（関数）'!AE"&amp;AE1)=212,INDIRECT("'盛付札（関数）'!AE"&amp;AE1)=213),"",
IF(AND(INDIRECT("'盛付札（関数）'!AE"&amp;AE1)&gt;=219,INDIRECT("'盛付札（関数）'!AE"&amp;AE1)&lt;=246),"",
INDIRECT("'盛付札（関数）'!AG"&amp;AE1))),"")</f>
        <v/>
      </c>
      <c r="AH2" s="38"/>
      <c r="AI2" s="38"/>
      <c r="AJ2" s="190" t="str">
        <f t="array" aca="1" ref="AJ2" ca="1">IF(AND(AG1&lt;&gt;"",ISERROR(FIND("社食",AG1))),
IF(OR(INDIRECT("'盛付札（関数）'!AE"&amp;AE1)=211,INDIRECT("'盛付札（関数）'!AE"&amp;AE1)=212,INDIRECT("'盛付札（関数）'!AE"&amp;AE1)=213),"",
IF(INDIRECT("'盛付札（関数）'!AH"&amp;AE1)&lt;&gt;"",
INDIRECT("'盛付札（関数）'!AH"&amp;AE1)&amp;"箱"&amp;INDIRECT("'盛付札（関数）'!AI"&amp;AE1),"")),"")</f>
        <v/>
      </c>
      <c r="AK2" s="36"/>
      <c r="AL2" s="43"/>
      <c r="AM2" s="102"/>
      <c r="AN2" s="136" t="str">
        <f t="array" aca="1" ref="AN2" ca="1">IF(AN1&lt;&gt;"",
IF(OR(INDIRECT("'盛付札（関数）'!AE"&amp;AL1)=211,INDIRECT("'盛付札（関数）'!AE"&amp;AL1)=212,INDIRECT("'盛付札（関数）'!AE"&amp;AL1)=213),"",
IF(AND(INDIRECT("'盛付札（関数）'!AE"&amp;AL1)&gt;=219,INDIRECT("'盛付札（関数）'!AE"&amp;AL1)&lt;=246),"",
INDIRECT("'盛付札（関数）'!AG"&amp;AL1))),"")</f>
        <v/>
      </c>
      <c r="AO2" s="38"/>
      <c r="AP2" s="38"/>
      <c r="AQ2" s="190" t="str">
        <f t="array" aca="1" ref="AQ2" ca="1">IF(AND(AN1&lt;&gt;"",ISERROR(FIND("社食",AN1))),
IF(OR(INDIRECT("'盛付札（関数）'!AE"&amp;AL1)=211,INDIRECT("'盛付札（関数）'!AE"&amp;AL1)=212,INDIRECT("'盛付札（関数）'!AE"&amp;AL1)=213),"",
IF(INDIRECT("'盛付札（関数）'!AH"&amp;AL1)&lt;&gt;"",
INDIRECT("'盛付札（関数）'!AH"&amp;AL1)&amp;"箱"&amp;INDIRECT("'盛付札（関数）'!AI"&amp;AL1),"")),"")</f>
        <v/>
      </c>
      <c r="AR2" s="36"/>
      <c r="AS2" s="22"/>
      <c r="AT2" s="30"/>
      <c r="AU2" s="102"/>
      <c r="AV2" s="136" t="str">
        <f t="array" aca="1" ref="AV2" ca="1">IF(AV1&lt;&gt;"",
IF(OR(INDIRECT("'盛付札（関数）'!AE"&amp;AT1)=211,INDIRECT("'盛付札（関数）'!AE"&amp;AT1)=212,INDIRECT("'盛付札（関数）'!AE"&amp;AT1)=213),"",
IF(AND(INDIRECT("'盛付札（関数）'!AE"&amp;AT1)&gt;=219,INDIRECT("'盛付札（関数）'!AE"&amp;AT1)&lt;=246),"",
INDIRECT("'盛付札（関数）'!AG"&amp;AT1))),"")</f>
        <v/>
      </c>
      <c r="AW2" s="38"/>
      <c r="AX2" s="38"/>
      <c r="AY2" s="190" t="str">
        <f t="array" aca="1" ref="AY2" ca="1">IF(AND(AV1&lt;&gt;"",ISERROR(FIND("社食",AV1))),
IF(OR(INDIRECT("'盛付札（関数）'!AE"&amp;AT1)=211,INDIRECT("'盛付札（関数）'!AE"&amp;AT1)=212,INDIRECT("'盛付札（関数）'!AE"&amp;AT1)=213),"",
IF(INDIRECT("'盛付札（関数）'!AH"&amp;AT1)&lt;&gt;"",
INDIRECT("'盛付札（関数）'!AH"&amp;AT1)&amp;"箱"&amp;INDIRECT("'盛付札（関数）'!AI"&amp;AT1),"")),"")</f>
        <v/>
      </c>
      <c r="AZ2" s="36"/>
      <c r="BA2" s="43"/>
      <c r="BB2" s="102"/>
      <c r="BC2" s="136" t="str">
        <f t="array" aca="1" ref="BC2" ca="1">IF(BC1&lt;&gt;"",
IF(OR(INDIRECT("'盛付札（関数）'!AE"&amp;BA1)=211,INDIRECT("'盛付札（関数）'!AE"&amp;BA1)=212,INDIRECT("'盛付札（関数）'!AE"&amp;BA1)=213),"",
IF(AND(INDIRECT("'盛付札（関数）'!AE"&amp;BA1)&gt;=219,INDIRECT("'盛付札（関数）'!AE"&amp;BA1)&lt;=246),"",
INDIRECT("'盛付札（関数）'!AG"&amp;BA1))),"")</f>
        <v/>
      </c>
      <c r="BD2" s="38"/>
      <c r="BE2" s="38"/>
      <c r="BF2" s="190" t="str">
        <f t="array" aca="1" ref="BF2" ca="1">IF(AND(BC1&lt;&gt;"",ISERROR(FIND("社食",BC1))),
IF(OR(INDIRECT("'盛付札（関数）'!AE"&amp;BA1)=211,INDIRECT("'盛付札（関数）'!AE"&amp;BA1)=212,INDIRECT("'盛付札（関数）'!AE"&amp;BA1)=213),"",
IF(INDIRECT("'盛付札（関数）'!AH"&amp;BA1)&lt;&gt;"",
INDIRECT("'盛付札（関数）'!AH"&amp;BA1)&amp;"箱"&amp;INDIRECT("'盛付札（関数）'!AI"&amp;BA1),"")),"")</f>
        <v/>
      </c>
      <c r="BG2" s="36"/>
      <c r="BH2" s="22"/>
      <c r="BI2" s="30"/>
      <c r="BJ2" s="102"/>
      <c r="BK2" s="136" t="str">
        <f t="array" aca="1" ref="BK2" ca="1">IF(BK1&lt;&gt;"",
IF(OR(INDIRECT("'盛付札（関数）'!AE"&amp;BI1)=211,INDIRECT("'盛付札（関数）'!AE"&amp;BI1)=212,INDIRECT("'盛付札（関数）'!AE"&amp;BI1)=213),"",
IF(AND(INDIRECT("'盛付札（関数）'!AE"&amp;BI1)&gt;=219,INDIRECT("'盛付札（関数）'!AE"&amp;BI1)&lt;=246),"",
INDIRECT("'盛付札（関数）'!AG"&amp;BI1))),"")</f>
        <v/>
      </c>
      <c r="BL2" s="38"/>
      <c r="BM2" s="38"/>
      <c r="BN2" s="190" t="str">
        <f t="array" aca="1" ref="BN2" ca="1">IF(AND(BK1&lt;&gt;"",ISERROR(FIND("社食",BK1))),
IF(OR(INDIRECT("'盛付札（関数）'!AE"&amp;BI1)=211,INDIRECT("'盛付札（関数）'!AE"&amp;BI1)=212,INDIRECT("'盛付札（関数）'!AE"&amp;BI1)=213),"",
IF(INDIRECT("'盛付札（関数）'!AH"&amp;BI1)&lt;&gt;"",
INDIRECT("'盛付札（関数）'!AH"&amp;BI1)&amp;"箱"&amp;INDIRECT("'盛付札（関数）'!AI"&amp;BI1),"")),"")</f>
        <v/>
      </c>
      <c r="BO2" s="36"/>
      <c r="BP2" s="43"/>
      <c r="BQ2" s="102"/>
      <c r="BR2" s="136" t="str">
        <f t="array" aca="1" ref="BR2" ca="1">IF(BR1&lt;&gt;"",
IF(OR(INDIRECT("'盛付札（関数）'!AE"&amp;BP1)=211,INDIRECT("'盛付札（関数）'!AE"&amp;BP1)=212,INDIRECT("'盛付札（関数）'!AE"&amp;BP1)=213),"",
IF(AND(INDIRECT("'盛付札（関数）'!AE"&amp;BP1)&gt;=219,INDIRECT("'盛付札（関数）'!AE"&amp;BP1)&lt;=246),"",
INDIRECT("'盛付札（関数）'!AG"&amp;BP1))),"")</f>
        <v/>
      </c>
      <c r="BS2" s="38"/>
      <c r="BT2" s="38"/>
      <c r="BU2" s="190" t="str">
        <f t="array" aca="1" ref="BU2" ca="1">IF(AND(BR1&lt;&gt;"",ISERROR(FIND("社食",BR1))),
IF(OR(INDIRECT("'盛付札（関数）'!AE"&amp;BP1)=211,INDIRECT("'盛付札（関数）'!AE"&amp;BP1)=212,INDIRECT("'盛付札（関数）'!AE"&amp;BP1)=213),"",
IF(INDIRECT("'盛付札（関数）'!AH"&amp;BP1)&lt;&gt;"",
INDIRECT("'盛付札（関数）'!AH"&amp;BP1)&amp;"箱"&amp;INDIRECT("'盛付札（関数）'!AI"&amp;BP1),"")),"")</f>
        <v/>
      </c>
      <c r="BV2" s="36"/>
      <c r="BW2" s="22"/>
      <c r="BX2" s="30"/>
      <c r="BY2" s="102"/>
      <c r="BZ2" s="136" t="str">
        <f t="array" aca="1" ref="BZ2" ca="1">IF(BZ1&lt;&gt;"",
IF(OR(INDIRECT("'盛付札（関数）'!AE"&amp;BX1)=211,INDIRECT("'盛付札（関数）'!AE"&amp;BX1)=212,INDIRECT("'盛付札（関数）'!AE"&amp;BX1)=213),"",
IF(AND(INDIRECT("'盛付札（関数）'!AE"&amp;BX1)&gt;=219,INDIRECT("'盛付札（関数）'!AE"&amp;BX1)&lt;=246),"",
INDIRECT("'盛付札（関数）'!AG"&amp;BX1))),"")</f>
        <v/>
      </c>
      <c r="CA2" s="38"/>
      <c r="CB2" s="38"/>
      <c r="CC2" s="190" t="str">
        <f t="array" aca="1" ref="CC2" ca="1">IF(AND(BZ1&lt;&gt;"",ISERROR(FIND("社食",BZ1))),
IF(OR(INDIRECT("'盛付札（関数）'!AE"&amp;BX1)=211,INDIRECT("'盛付札（関数）'!AE"&amp;BX1)=212,INDIRECT("'盛付札（関数）'!AE"&amp;BX1)=213),"",
IF(INDIRECT("'盛付札（関数）'!AH"&amp;BX1)&lt;&gt;"",
INDIRECT("'盛付札（関数）'!AH"&amp;BX1)&amp;"箱"&amp;INDIRECT("'盛付札（関数）'!AI"&amp;BX1),"")),"")</f>
        <v/>
      </c>
      <c r="CD2" s="36"/>
      <c r="CE2" s="43"/>
      <c r="CF2" s="102"/>
      <c r="CG2" s="136" t="str">
        <f t="array" aca="1" ref="CG2" ca="1">IF(CG1&lt;&gt;"",
IF(OR(INDIRECT("'盛付札（関数）'!AE"&amp;CE1)=211,INDIRECT("'盛付札（関数）'!AE"&amp;CE1)=212,INDIRECT("'盛付札（関数）'!AE"&amp;CE1)=213),"",
IF(AND(INDIRECT("'盛付札（関数）'!AE"&amp;CE1)&gt;=219,INDIRECT("'盛付札（関数）'!AE"&amp;CE1)&lt;=246),"",
INDIRECT("'盛付札（関数）'!AG"&amp;CE1))),"")</f>
        <v/>
      </c>
      <c r="CH2" s="38"/>
      <c r="CI2" s="38"/>
      <c r="CJ2" s="190" t="str">
        <f t="array" aca="1" ref="CJ2" ca="1">IF(AND(CG1&lt;&gt;"",ISERROR(FIND("社食",CG1))),
IF(OR(INDIRECT("'盛付札（関数）'!AE"&amp;CE1)=211,INDIRECT("'盛付札（関数）'!AE"&amp;CE1)=212,INDIRECT("'盛付札（関数）'!AE"&amp;CE1)=213),"",
IF(INDIRECT("'盛付札（関数）'!AH"&amp;CE1)&lt;&gt;"",
INDIRECT("'盛付札（関数）'!AH"&amp;CE1)&amp;"箱"&amp;INDIRECT("'盛付札（関数）'!AI"&amp;CE1),"")),"")</f>
        <v/>
      </c>
      <c r="CK2" s="36"/>
      <c r="CL2" s="22"/>
      <c r="CM2" s="30"/>
      <c r="CN2" s="102"/>
      <c r="CO2" s="136" t="str">
        <f t="array" aca="1" ref="CO2" ca="1">IF(CO1&lt;&gt;"",
IF(OR(INDIRECT("'盛付札（関数）'!AE"&amp;CM1)=211,INDIRECT("'盛付札（関数）'!AE"&amp;CM1)=212,INDIRECT("'盛付札（関数）'!AE"&amp;CM1)=213),"",
IF(AND(INDIRECT("'盛付札（関数）'!AE"&amp;CM1)&gt;=219,INDIRECT("'盛付札（関数）'!AE"&amp;CM1)&lt;=246),"",
INDIRECT("'盛付札（関数）'!AG"&amp;CM1))),"")</f>
        <v/>
      </c>
      <c r="CP2" s="38"/>
      <c r="CQ2" s="38"/>
      <c r="CR2" s="190" t="str">
        <f t="array" aca="1" ref="CR2" ca="1">IF(AND(CO1&lt;&gt;"",ISERROR(FIND("社食",CO1))),
IF(OR(INDIRECT("'盛付札（関数）'!AE"&amp;CM1)=211,INDIRECT("'盛付札（関数）'!AE"&amp;CM1)=212,INDIRECT("'盛付札（関数）'!AE"&amp;CM1)=213),"",
IF(INDIRECT("'盛付札（関数）'!AH"&amp;CM1)&lt;&gt;"",
INDIRECT("'盛付札（関数）'!AH"&amp;CM1)&amp;"箱"&amp;INDIRECT("'盛付札（関数）'!AI"&amp;CM1),"")),"")</f>
        <v/>
      </c>
      <c r="CS2" s="36"/>
      <c r="CT2" s="43"/>
      <c r="CU2" s="102"/>
      <c r="CV2" s="136" t="str">
        <f t="array" aca="1" ref="CV2" ca="1">IF(CV1&lt;&gt;"",
IF(OR(INDIRECT("'盛付札（関数）'!AE"&amp;CT1)=211,INDIRECT("'盛付札（関数）'!AE"&amp;CT1)=212,INDIRECT("'盛付札（関数）'!AE"&amp;CT1)=213),"",
IF(AND(INDIRECT("'盛付札（関数）'!AE"&amp;CT1)&gt;=219,INDIRECT("'盛付札（関数）'!AE"&amp;CT1)&lt;=246),"",
INDIRECT("'盛付札（関数）'!AG"&amp;CT1))),"")</f>
        <v/>
      </c>
      <c r="CW2" s="38"/>
      <c r="CX2" s="38"/>
      <c r="CY2" s="190" t="str">
        <f t="array" aca="1" ref="CY2" ca="1">IF(AND(CV1&lt;&gt;"",ISERROR(FIND("社食",CV1))),
IF(OR(INDIRECT("'盛付札（関数）'!AE"&amp;CT1)=211,INDIRECT("'盛付札（関数）'!AE"&amp;CT1)=212,INDIRECT("'盛付札（関数）'!AE"&amp;CT1)=213),"",
IF(INDIRECT("'盛付札（関数）'!AH"&amp;CT1)&lt;&gt;"",
INDIRECT("'盛付札（関数）'!AH"&amp;CT1)&amp;"箱"&amp;INDIRECT("'盛付札（関数）'!AI"&amp;CT1),"")),"")</f>
        <v/>
      </c>
      <c r="CZ2" s="36"/>
      <c r="DA2" s="22"/>
      <c r="DB2" s="30"/>
      <c r="DC2" s="102"/>
      <c r="DD2" s="136" t="str">
        <f t="array" aca="1" ref="DD2" ca="1">IF(DD1&lt;&gt;"",
IF(OR(INDIRECT("'盛付札（関数）'!AE"&amp;DB1)=211,INDIRECT("'盛付札（関数）'!AE"&amp;DB1)=212,INDIRECT("'盛付札（関数）'!AE"&amp;DB1)=213),"",
IF(AND(INDIRECT("'盛付札（関数）'!AE"&amp;DB1)&gt;=219,INDIRECT("'盛付札（関数）'!AE"&amp;DB1)&lt;=246),"",
INDIRECT("'盛付札（関数）'!AG"&amp;DB1))),"")</f>
        <v/>
      </c>
      <c r="DE2" s="38"/>
      <c r="DF2" s="38"/>
      <c r="DG2" s="190" t="str">
        <f t="array" aca="1" ref="DG2" ca="1">IF(AND(DD1&lt;&gt;"",ISERROR(FIND("社食",DD1))),
IF(OR(INDIRECT("'盛付札（関数）'!AE"&amp;DB1)=211,INDIRECT("'盛付札（関数）'!AE"&amp;DB1)=212,INDIRECT("'盛付札（関数）'!AE"&amp;DB1)=213),"",
IF(INDIRECT("'盛付札（関数）'!AH"&amp;DB1)&lt;&gt;"",
INDIRECT("'盛付札（関数）'!AH"&amp;DB1)&amp;"箱"&amp;INDIRECT("'盛付札（関数）'!AI"&amp;DB1),"")),"")</f>
        <v/>
      </c>
      <c r="DH2" s="36"/>
      <c r="DI2" s="43"/>
      <c r="DJ2" s="102"/>
      <c r="DK2" s="136" t="str">
        <f t="array" aca="1" ref="DK2" ca="1">IF(DK1&lt;&gt;"",
IF(OR(INDIRECT("'盛付札（関数）'!AE"&amp;DI1)=211,INDIRECT("'盛付札（関数）'!AE"&amp;DI1)=212,INDIRECT("'盛付札（関数）'!AE"&amp;DI1)=213),"",
IF(AND(INDIRECT("'盛付札（関数）'!AE"&amp;DI1)&gt;=219,INDIRECT("'盛付札（関数）'!AE"&amp;DI1)&lt;=246),"",
INDIRECT("'盛付札（関数）'!AG"&amp;DI1))),"")</f>
        <v/>
      </c>
      <c r="DL2" s="38"/>
      <c r="DM2" s="38"/>
      <c r="DN2" s="190" t="str">
        <f t="array" aca="1" ref="DN2" ca="1">IF(AND(DK1&lt;&gt;"",ISERROR(FIND("社食",DK1))),
IF(OR(INDIRECT("'盛付札（関数）'!AE"&amp;DI1)=211,INDIRECT("'盛付札（関数）'!AE"&amp;DI1)=212,INDIRECT("'盛付札（関数）'!AE"&amp;DI1)=213),"",
IF(INDIRECT("'盛付札（関数）'!AH"&amp;DI1)&lt;&gt;"",
INDIRECT("'盛付札（関数）'!AH"&amp;DI1)&amp;"箱"&amp;INDIRECT("'盛付札（関数）'!AI"&amp;DI1),"")),"")</f>
        <v/>
      </c>
      <c r="DO2" s="36"/>
      <c r="DP2" s="22"/>
      <c r="DQ2" s="30"/>
      <c r="DR2" s="102"/>
      <c r="DS2" s="136" t="str">
        <f t="array" aca="1" ref="DS2" ca="1">IF(DS1&lt;&gt;"",
IF(OR(INDIRECT("'盛付札（関数）'!AE"&amp;DQ1)=211,INDIRECT("'盛付札（関数）'!AE"&amp;DQ1)=212,INDIRECT("'盛付札（関数）'!AE"&amp;DQ1)=213),"",
IF(AND(INDIRECT("'盛付札（関数）'!AE"&amp;DQ1)&gt;=219,INDIRECT("'盛付札（関数）'!AE"&amp;DQ1)&lt;=246),"",
INDIRECT("'盛付札（関数）'!AG"&amp;DQ1))),"")</f>
        <v/>
      </c>
      <c r="DT2" s="38"/>
      <c r="DU2" s="38"/>
      <c r="DV2" s="190" t="str">
        <f t="array" aca="1" ref="DV2" ca="1">IF(AND(DS1&lt;&gt;"",ISERROR(FIND("社食",DS1))),
IF(OR(INDIRECT("'盛付札（関数）'!AE"&amp;DQ1)=211,INDIRECT("'盛付札（関数）'!AE"&amp;DQ1)=212,INDIRECT("'盛付札（関数）'!AE"&amp;DQ1)=213),"",
IF(INDIRECT("'盛付札（関数）'!AH"&amp;DQ1)&lt;&gt;"",
INDIRECT("'盛付札（関数）'!AH"&amp;DQ1)&amp;"箱"&amp;INDIRECT("'盛付札（関数）'!AI"&amp;DQ1),"")),"")</f>
        <v/>
      </c>
      <c r="DW2" s="36"/>
      <c r="DX2" s="43"/>
      <c r="DY2" s="102"/>
      <c r="DZ2" s="136" t="str">
        <f t="array" aca="1" ref="DZ2" ca="1">IF(DZ1&lt;&gt;"",
IF(OR(INDIRECT("'盛付札（関数）'!AE"&amp;DX1)=211,INDIRECT("'盛付札（関数）'!AE"&amp;DX1)=212,INDIRECT("'盛付札（関数）'!AE"&amp;DX1)=213),"",
IF(AND(INDIRECT("'盛付札（関数）'!AE"&amp;DX1)&gt;=219,INDIRECT("'盛付札（関数）'!AE"&amp;DX1)&lt;=246),"",
INDIRECT("'盛付札（関数）'!AG"&amp;DX1))),"")</f>
        <v/>
      </c>
      <c r="EA2" s="38"/>
      <c r="EB2" s="38"/>
      <c r="EC2" s="190" t="str">
        <f t="array" aca="1" ref="EC2" ca="1">IF(AND(DZ1&lt;&gt;"",ISERROR(FIND("社食",DZ1))),
IF(OR(INDIRECT("'盛付札（関数）'!AE"&amp;DX1)=211,INDIRECT("'盛付札（関数）'!AE"&amp;DX1)=212,INDIRECT("'盛付札（関数）'!AE"&amp;DX1)=213),"",
IF(INDIRECT("'盛付札（関数）'!AH"&amp;DX1)&lt;&gt;"",
INDIRECT("'盛付札（関数）'!AH"&amp;DX1)&amp;"箱"&amp;INDIRECT("'盛付札（関数）'!AI"&amp;DX1),"")),"")</f>
        <v/>
      </c>
      <c r="ED2" s="36"/>
      <c r="EE2" s="22"/>
      <c r="EF2" s="30"/>
      <c r="EG2" s="102"/>
      <c r="EH2" s="136" t="str">
        <f t="array" aca="1" ref="EH2" ca="1">IF(EH1&lt;&gt;"",
IF(OR(INDIRECT("'盛付札（関数）'!AE"&amp;EF1)=211,INDIRECT("'盛付札（関数）'!AE"&amp;EF1)=212,INDIRECT("'盛付札（関数）'!AE"&amp;EF1)=213),"",
IF(AND(INDIRECT("'盛付札（関数）'!AE"&amp;EF1)&gt;=219,INDIRECT("'盛付札（関数）'!AE"&amp;EF1)&lt;=246),"",
INDIRECT("'盛付札（関数）'!AG"&amp;EF1))),"")</f>
        <v/>
      </c>
      <c r="EI2" s="38"/>
      <c r="EJ2" s="38"/>
      <c r="EK2" s="190" t="str">
        <f t="array" aca="1" ref="EK2" ca="1">IF(AND(EH1&lt;&gt;"",ISERROR(FIND("社食",EH1))),
IF(OR(INDIRECT("'盛付札（関数）'!AE"&amp;EF1)=211,INDIRECT("'盛付札（関数）'!AE"&amp;EF1)=212,INDIRECT("'盛付札（関数）'!AE"&amp;EF1)=213),"",
IF(INDIRECT("'盛付札（関数）'!AH"&amp;EF1)&lt;&gt;"",
INDIRECT("'盛付札（関数）'!AH"&amp;EF1)&amp;"箱"&amp;INDIRECT("'盛付札（関数）'!AI"&amp;EF1),"")),"")</f>
        <v/>
      </c>
      <c r="EL2" s="36"/>
      <c r="EM2" s="43"/>
      <c r="EN2" s="102"/>
      <c r="EO2" s="136" t="str">
        <f t="array" aca="1" ref="EO2" ca="1">IF(EO1&lt;&gt;"",
IF(OR(INDIRECT("'盛付札（関数）'!AE"&amp;EM1)=211,INDIRECT("'盛付札（関数）'!AE"&amp;EM1)=212,INDIRECT("'盛付札（関数）'!AE"&amp;EM1)=213),"",
IF(AND(INDIRECT("'盛付札（関数）'!AE"&amp;EM1)&gt;=219,INDIRECT("'盛付札（関数）'!AE"&amp;EM1)&lt;=246),"",
INDIRECT("'盛付札（関数）'!AG"&amp;EM1))),"")</f>
        <v/>
      </c>
      <c r="EP2" s="38"/>
      <c r="EQ2" s="38"/>
      <c r="ER2" s="190" t="str">
        <f t="array" aca="1" ref="ER2" ca="1">IF(AND(EO1&lt;&gt;"",ISERROR(FIND("社食",EO1))),
IF(OR(INDIRECT("'盛付札（関数）'!AE"&amp;EM1)=211,INDIRECT("'盛付札（関数）'!AE"&amp;EM1)=212,INDIRECT("'盛付札（関数）'!AE"&amp;EM1)=213),"",
IF(INDIRECT("'盛付札（関数）'!AH"&amp;EM1)&lt;&gt;"",
INDIRECT("'盛付札（関数）'!AH"&amp;EM1)&amp;"箱"&amp;INDIRECT("'盛付札（関数）'!AI"&amp;EM1),"")),"")</f>
        <v/>
      </c>
      <c r="ES2" s="36"/>
      <c r="ET2" s="22"/>
    </row>
    <row r="3" spans="1:150" s="181" customFormat="1">
      <c r="A3" s="30"/>
      <c r="B3" s="31"/>
      <c r="C3" s="212" t="str">
        <f t="array" aca="1" ref="C3" ca="1">IF(AND(C1&lt;&gt;"",ISERROR(FIND("社食",C1)),ISERROR(FIND("先生",C1)),ISERROR(FIND("学童",C2))),
IF(C4&lt;&gt;"",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IF(AND(INDIRECT("'盛付札（関数）'!AE"&amp;A1)&gt;=247,INDIRECT("'盛付札（関数）'!AE"&amp;A1)&lt;=261),"先生","園児"))),""),"")</f>
        <v/>
      </c>
      <c r="D3" s="213"/>
      <c r="E3" s="22"/>
      <c r="F3" s="135" t="str">
        <f t="array" aca="1" ref="F3" ca="1">IF(AND(C1&lt;&gt;"",ISERROR(FIND("社食",C1)),ISERROR(FIND("先生",C1))),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IF(AND(INDIRECT("'盛付札（関数）'!AE"&amp;A1)&gt;=247,INDIRECT("'盛付札（関数）'!AE"&amp;A1)&lt;=261),"","先生"))),"")</f>
        <v/>
      </c>
      <c r="G3" s="37"/>
      <c r="H3" s="33"/>
      <c r="I3" s="31"/>
      <c r="J3" s="212" t="str">
        <f t="array" aca="1" ref="J3" ca="1">IF(AND(J1&lt;&gt;"",ISERROR(FIND("社食",J1)),ISERROR(FIND("先生",J1)),ISERROR(FIND("学童",J2))),
IF(J4&lt;&gt;"",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IF(AND(INDIRECT("'盛付札（関数）'!AE"&amp;H1)&gt;=247,INDIRECT("'盛付札（関数）'!AE"&amp;H1)&lt;=261),"先生","園児"))),""),"")</f>
        <v/>
      </c>
      <c r="K3" s="213"/>
      <c r="L3" s="22"/>
      <c r="M3" s="135" t="str">
        <f t="array" aca="1" ref="M3" ca="1">IF(AND(J1&lt;&gt;"",ISERROR(FIND("社食",J1)),ISERROR(FIND("先生",J1))),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IF(AND(INDIRECT("'盛付札（関数）'!AE"&amp;H1)&gt;=247,INDIRECT("'盛付札（関数）'!AE"&amp;H1)&lt;=261),"","先生"))),"")</f>
        <v/>
      </c>
      <c r="N3" s="37"/>
      <c r="O3" s="22"/>
      <c r="P3" s="30"/>
      <c r="Q3" s="31"/>
      <c r="R3" s="212" t="str">
        <f t="array" aca="1" ref="R3" ca="1">IF(AND(R1&lt;&gt;"",ISERROR(FIND("社食",R1)),ISERROR(FIND("先生",R1)),ISERROR(FIND("学童",R2))),
IF(R4&lt;&gt;"",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IF(AND(INDIRECT("'盛付札（関数）'!AE"&amp;P1)&gt;=247,INDIRECT("'盛付札（関数）'!AE"&amp;P1)&lt;=261),"先生","園児"))),""),"")</f>
        <v/>
      </c>
      <c r="S3" s="213"/>
      <c r="T3" s="22"/>
      <c r="U3" s="135" t="str">
        <f t="array" aca="1" ref="U3" ca="1">IF(AND(R1&lt;&gt;"",ISERROR(FIND("社食",R1)),ISERROR(FIND("先生",R1))),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IF(AND(INDIRECT("'盛付札（関数）'!AE"&amp;P1)&gt;=247,INDIRECT("'盛付札（関数）'!AE"&amp;P1)&lt;=261),"","先生"))),"")</f>
        <v/>
      </c>
      <c r="V3" s="37"/>
      <c r="W3" s="33"/>
      <c r="X3" s="31"/>
      <c r="Y3" s="212" t="str">
        <f t="array" aca="1" ref="Y3" ca="1">IF(AND(Y1&lt;&gt;"",ISERROR(FIND("社食",Y1)),ISERROR(FIND("先生",Y1)),ISERROR(FIND("学童",Y2))),
IF(Y4&lt;&gt;"",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IF(AND(INDIRECT("'盛付札（関数）'!AE"&amp;W1)&gt;=247,INDIRECT("'盛付札（関数）'!AE"&amp;W1)&lt;=261),"先生","園児"))),""),"")</f>
        <v/>
      </c>
      <c r="Z3" s="213"/>
      <c r="AA3" s="22"/>
      <c r="AB3" s="135" t="str">
        <f t="array" aca="1" ref="AB3" ca="1">IF(AND(Y1&lt;&gt;"",ISERROR(FIND("社食",Y1)),ISERROR(FIND("先生",Y1))),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IF(AND(INDIRECT("'盛付札（関数）'!AE"&amp;W1)&gt;=247,INDIRECT("'盛付札（関数）'!AE"&amp;W1)&lt;=261),"","先生"))),"")</f>
        <v/>
      </c>
      <c r="AC3" s="37"/>
      <c r="AD3" s="22"/>
      <c r="AE3" s="30"/>
      <c r="AF3" s="31"/>
      <c r="AG3" s="212" t="str">
        <f t="array" aca="1" ref="AG3" ca="1">IF(AND(AG1&lt;&gt;"",ISERROR(FIND("社食",AG1)),ISERROR(FIND("先生",AG1)),ISERROR(FIND("学童",AG2))),
IF(AG4&lt;&gt;"",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IF(AND(INDIRECT("'盛付札（関数）'!AE"&amp;AE1)&gt;=247,INDIRECT("'盛付札（関数）'!AE"&amp;AE1)&lt;=261),"先生","園児"))),""),"")</f>
        <v/>
      </c>
      <c r="AH3" s="213"/>
      <c r="AI3" s="22"/>
      <c r="AJ3" s="135" t="str">
        <f t="array" aca="1" ref="AJ3" ca="1">IF(AND(AG1&lt;&gt;"",ISERROR(FIND("社食",AG1)),ISERROR(FIND("先生",AG1))),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IF(AND(INDIRECT("'盛付札（関数）'!AE"&amp;AE1)&gt;=247,INDIRECT("'盛付札（関数）'!AE"&amp;AE1)&lt;=261),"","先生"))),"")</f>
        <v/>
      </c>
      <c r="AK3" s="37"/>
      <c r="AL3" s="33"/>
      <c r="AM3" s="31"/>
      <c r="AN3" s="212" t="str">
        <f t="array" aca="1" ref="AN3" ca="1">IF(AND(AN1&lt;&gt;"",ISERROR(FIND("社食",AN1)),ISERROR(FIND("先生",AN1)),ISERROR(FIND("学童",AN2))),
IF(AN4&lt;&gt;"",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IF(AND(INDIRECT("'盛付札（関数）'!AE"&amp;AL1)&gt;=247,INDIRECT("'盛付札（関数）'!AE"&amp;AL1)&lt;=261),"先生","園児"))),""),"")</f>
        <v/>
      </c>
      <c r="AO3" s="213"/>
      <c r="AP3" s="22"/>
      <c r="AQ3" s="135" t="str">
        <f t="array" aca="1" ref="AQ3" ca="1">IF(AND(AN1&lt;&gt;"",ISERROR(FIND("社食",AN1)),ISERROR(FIND("先生",AN1))),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IF(AND(INDIRECT("'盛付札（関数）'!AE"&amp;AL1)&gt;=247,INDIRECT("'盛付札（関数）'!AE"&amp;AL1)&lt;=261),"","先生"))),"")</f>
        <v/>
      </c>
      <c r="AR3" s="37"/>
      <c r="AS3" s="22"/>
      <c r="AT3" s="30"/>
      <c r="AU3" s="31"/>
      <c r="AV3" s="212" t="str">
        <f t="array" aca="1" ref="AV3" ca="1">IF(AND(AV1&lt;&gt;"",ISERROR(FIND("社食",AV1)),ISERROR(FIND("先生",AV1)),ISERROR(FIND("学童",AV2))),
IF(AV4&lt;&gt;"",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IF(AND(INDIRECT("'盛付札（関数）'!AE"&amp;AT1)&gt;=247,INDIRECT("'盛付札（関数）'!AE"&amp;AT1)&lt;=261),"先生","園児"))),""),"")</f>
        <v/>
      </c>
      <c r="AW3" s="213"/>
      <c r="AX3" s="22"/>
      <c r="AY3" s="135" t="str">
        <f t="array" aca="1" ref="AY3" ca="1">IF(AND(AV1&lt;&gt;"",ISERROR(FIND("社食",AV1)),ISERROR(FIND("先生",AV1))),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IF(AND(INDIRECT("'盛付札（関数）'!AE"&amp;AT1)&gt;=247,INDIRECT("'盛付札（関数）'!AE"&amp;AT1)&lt;=261),"","先生"))),"")</f>
        <v/>
      </c>
      <c r="AZ3" s="37"/>
      <c r="BA3" s="33"/>
      <c r="BB3" s="31"/>
      <c r="BC3" s="212" t="str">
        <f t="array" aca="1" ref="BC3" ca="1">IF(AND(BC1&lt;&gt;"",ISERROR(FIND("社食",BC1)),ISERROR(FIND("先生",BC1)),ISERROR(FIND("学童",BC2))),
IF(BC4&lt;&gt;"",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IF(AND(INDIRECT("'盛付札（関数）'!AE"&amp;BA1)&gt;=247,INDIRECT("'盛付札（関数）'!AE"&amp;BA1)&lt;=261),"先生","園児"))),""),"")</f>
        <v/>
      </c>
      <c r="BD3" s="213"/>
      <c r="BE3" s="22"/>
      <c r="BF3" s="135" t="str">
        <f t="array" aca="1" ref="BF3" ca="1">IF(AND(BC1&lt;&gt;"",ISERROR(FIND("社食",BC1)),ISERROR(FIND("先生",BC1))),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IF(AND(INDIRECT("'盛付札（関数）'!AE"&amp;BA1)&gt;=247,INDIRECT("'盛付札（関数）'!AE"&amp;BA1)&lt;=261),"","先生"))),"")</f>
        <v/>
      </c>
      <c r="BG3" s="37"/>
      <c r="BH3" s="22"/>
      <c r="BI3" s="30"/>
      <c r="BJ3" s="31"/>
      <c r="BK3" s="212" t="str">
        <f t="array" aca="1" ref="BK3" ca="1">IF(AND(BK1&lt;&gt;"",ISERROR(FIND("社食",BK1)),ISERROR(FIND("先生",BK1)),ISERROR(FIND("学童",BK2))),
IF(BK4&lt;&gt;"",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IF(AND(INDIRECT("'盛付札（関数）'!AE"&amp;BI1)&gt;=247,INDIRECT("'盛付札（関数）'!AE"&amp;BI1)&lt;=261),"先生","園児"))),""),"")</f>
        <v/>
      </c>
      <c r="BL3" s="213"/>
      <c r="BM3" s="22"/>
      <c r="BN3" s="135" t="str">
        <f t="array" aca="1" ref="BN3" ca="1">IF(AND(BK1&lt;&gt;"",ISERROR(FIND("社食",BK1)),ISERROR(FIND("先生",BK1))),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IF(AND(INDIRECT("'盛付札（関数）'!AE"&amp;BI1)&gt;=247,INDIRECT("'盛付札（関数）'!AE"&amp;BI1)&lt;=261),"","先生"))),"")</f>
        <v/>
      </c>
      <c r="BO3" s="37"/>
      <c r="BP3" s="33"/>
      <c r="BQ3" s="31"/>
      <c r="BR3" s="212" t="str">
        <f t="array" aca="1" ref="BR3" ca="1">IF(AND(BR1&lt;&gt;"",ISERROR(FIND("社食",BR1)),ISERROR(FIND("先生",BR1)),ISERROR(FIND("学童",BR2))),
IF(BR4&lt;&gt;"",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IF(AND(INDIRECT("'盛付札（関数）'!AE"&amp;BP1)&gt;=247,INDIRECT("'盛付札（関数）'!AE"&amp;BP1)&lt;=261),"先生","園児"))),""),"")</f>
        <v/>
      </c>
      <c r="BS3" s="213"/>
      <c r="BT3" s="22"/>
      <c r="BU3" s="135" t="str">
        <f t="array" aca="1" ref="BU3" ca="1">IF(AND(BR1&lt;&gt;"",ISERROR(FIND("社食",BR1)),ISERROR(FIND("先生",BR1))),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IF(AND(INDIRECT("'盛付札（関数）'!AE"&amp;BP1)&gt;=247,INDIRECT("'盛付札（関数）'!AE"&amp;BP1)&lt;=261),"","先生"))),"")</f>
        <v/>
      </c>
      <c r="BV3" s="37"/>
      <c r="BW3" s="22"/>
      <c r="BX3" s="30"/>
      <c r="BY3" s="31"/>
      <c r="BZ3" s="212" t="str">
        <f t="array" aca="1" ref="BZ3" ca="1">IF(AND(BZ1&lt;&gt;"",ISERROR(FIND("社食",BZ1)),ISERROR(FIND("先生",BZ1)),ISERROR(FIND("学童",BZ2))),
IF(BZ4&lt;&gt;"",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IF(AND(INDIRECT("'盛付札（関数）'!AE"&amp;BX1)&gt;=247,INDIRECT("'盛付札（関数）'!AE"&amp;BX1)&lt;=261),"先生","園児"))),""),"")</f>
        <v/>
      </c>
      <c r="CA3" s="213"/>
      <c r="CB3" s="22"/>
      <c r="CC3" s="135" t="str">
        <f t="array" aca="1" ref="CC3" ca="1">IF(AND(BZ1&lt;&gt;"",ISERROR(FIND("社食",BZ1)),ISERROR(FIND("先生",BZ1))),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IF(AND(INDIRECT("'盛付札（関数）'!AE"&amp;BX1)&gt;=247,INDIRECT("'盛付札（関数）'!AE"&amp;BX1)&lt;=261),"","先生"))),"")</f>
        <v/>
      </c>
      <c r="CD3" s="37"/>
      <c r="CE3" s="33"/>
      <c r="CF3" s="31"/>
      <c r="CG3" s="212" t="str">
        <f t="array" aca="1" ref="CG3" ca="1">IF(AND(CG1&lt;&gt;"",ISERROR(FIND("社食",CG1)),ISERROR(FIND("先生",CG1)),ISERROR(FIND("学童",CG2))),
IF(CG4&lt;&gt;"",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IF(AND(INDIRECT("'盛付札（関数）'!AE"&amp;CE1)&gt;=247,INDIRECT("'盛付札（関数）'!AE"&amp;CE1)&lt;=261),"先生","園児"))),""),"")</f>
        <v/>
      </c>
      <c r="CH3" s="213"/>
      <c r="CI3" s="22"/>
      <c r="CJ3" s="135" t="str">
        <f t="array" aca="1" ref="CJ3" ca="1">IF(AND(CG1&lt;&gt;"",ISERROR(FIND("社食",CG1)),ISERROR(FIND("先生",CG1))),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IF(AND(INDIRECT("'盛付札（関数）'!AE"&amp;CE1)&gt;=247,INDIRECT("'盛付札（関数）'!AE"&amp;CE1)&lt;=261),"","先生"))),"")</f>
        <v/>
      </c>
      <c r="CK3" s="37"/>
      <c r="CL3" s="22"/>
      <c r="CM3" s="30"/>
      <c r="CN3" s="31"/>
      <c r="CO3" s="212" t="str">
        <f t="array" aca="1" ref="CO3" ca="1">IF(AND(CO1&lt;&gt;"",ISERROR(FIND("社食",CO1)),ISERROR(FIND("先生",CO1)),ISERROR(FIND("学童",CO2))),
IF(CO4&lt;&gt;"",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IF(AND(INDIRECT("'盛付札（関数）'!AE"&amp;CM1)&gt;=247,INDIRECT("'盛付札（関数）'!AE"&amp;CM1)&lt;=261),"先生","園児"))),""),"")</f>
        <v/>
      </c>
      <c r="CP3" s="213"/>
      <c r="CQ3" s="22"/>
      <c r="CR3" s="135" t="str">
        <f t="array" aca="1" ref="CR3" ca="1">IF(AND(CO1&lt;&gt;"",ISERROR(FIND("社食",CO1)),ISERROR(FIND("先生",CO1))),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IF(AND(INDIRECT("'盛付札（関数）'!AE"&amp;CM1)&gt;=247,INDIRECT("'盛付札（関数）'!AE"&amp;CM1)&lt;=261),"","先生"))),"")</f>
        <v/>
      </c>
      <c r="CS3" s="37"/>
      <c r="CT3" s="33"/>
      <c r="CU3" s="31"/>
      <c r="CV3" s="212" t="str">
        <f t="array" aca="1" ref="CV3" ca="1">IF(AND(CV1&lt;&gt;"",ISERROR(FIND("社食",CV1)),ISERROR(FIND("先生",CV1)),ISERROR(FIND("学童",CV2))),
IF(CV4&lt;&gt;"",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IF(AND(INDIRECT("'盛付札（関数）'!AE"&amp;CT1)&gt;=247,INDIRECT("'盛付札（関数）'!AE"&amp;CT1)&lt;=261),"先生","園児"))),""),"")</f>
        <v/>
      </c>
      <c r="CW3" s="213"/>
      <c r="CX3" s="22"/>
      <c r="CY3" s="135" t="str">
        <f t="array" aca="1" ref="CY3" ca="1">IF(AND(CV1&lt;&gt;"",ISERROR(FIND("社食",CV1)),ISERROR(FIND("先生",CV1))),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IF(AND(INDIRECT("'盛付札（関数）'!AE"&amp;CT1)&gt;=247,INDIRECT("'盛付札（関数）'!AE"&amp;CT1)&lt;=261),"","先生"))),"")</f>
        <v/>
      </c>
      <c r="CZ3" s="37"/>
      <c r="DA3" s="22"/>
      <c r="DB3" s="30"/>
      <c r="DC3" s="31"/>
      <c r="DD3" s="212" t="str">
        <f t="array" aca="1" ref="DD3" ca="1">IF(AND(DD1&lt;&gt;"",ISERROR(FIND("社食",DD1)),ISERROR(FIND("先生",DD1)),ISERROR(FIND("学童",DD2))),
IF(DD4&lt;&gt;"",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IF(AND(INDIRECT("'盛付札（関数）'!AE"&amp;DB1)&gt;=247,INDIRECT("'盛付札（関数）'!AE"&amp;DB1)&lt;=261),"先生","園児"))),""),"")</f>
        <v/>
      </c>
      <c r="DE3" s="213"/>
      <c r="DF3" s="22"/>
      <c r="DG3" s="135" t="str">
        <f t="array" aca="1" ref="DG3" ca="1">IF(AND(DD1&lt;&gt;"",ISERROR(FIND("社食",DD1)),ISERROR(FIND("先生",DD1))),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IF(AND(INDIRECT("'盛付札（関数）'!AE"&amp;DB1)&gt;=247,INDIRECT("'盛付札（関数）'!AE"&amp;DB1)&lt;=261),"","先生"))),"")</f>
        <v/>
      </c>
      <c r="DH3" s="37"/>
      <c r="DI3" s="33"/>
      <c r="DJ3" s="31"/>
      <c r="DK3" s="212" t="str">
        <f t="array" aca="1" ref="DK3" ca="1">IF(AND(DK1&lt;&gt;"",ISERROR(FIND("社食",DK1)),ISERROR(FIND("先生",DK1)),ISERROR(FIND("学童",DK2))),
IF(DK4&lt;&gt;"",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IF(AND(INDIRECT("'盛付札（関数）'!AE"&amp;DI1)&gt;=247,INDIRECT("'盛付札（関数）'!AE"&amp;DI1)&lt;=261),"先生","園児"))),""),"")</f>
        <v/>
      </c>
      <c r="DL3" s="213"/>
      <c r="DM3" s="22"/>
      <c r="DN3" s="135" t="str">
        <f t="array" aca="1" ref="DN3" ca="1">IF(AND(DK1&lt;&gt;"",ISERROR(FIND("社食",DK1)),ISERROR(FIND("先生",DK1))),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IF(AND(INDIRECT("'盛付札（関数）'!AE"&amp;DI1)&gt;=247,INDIRECT("'盛付札（関数）'!AE"&amp;DI1)&lt;=261),"","先生"))),"")</f>
        <v/>
      </c>
      <c r="DO3" s="37"/>
      <c r="DP3" s="22"/>
      <c r="DQ3" s="30"/>
      <c r="DR3" s="31"/>
      <c r="DS3" s="212" t="str">
        <f t="array" aca="1" ref="DS3" ca="1">IF(AND(DS1&lt;&gt;"",ISERROR(FIND("社食",DS1)),ISERROR(FIND("先生",DS1)),ISERROR(FIND("学童",DS2))),
IF(DS4&lt;&gt;"",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IF(AND(INDIRECT("'盛付札（関数）'!AE"&amp;DQ1)&gt;=247,INDIRECT("'盛付札（関数）'!AE"&amp;DQ1)&lt;=261),"先生","園児"))),""),"")</f>
        <v/>
      </c>
      <c r="DT3" s="213"/>
      <c r="DU3" s="22"/>
      <c r="DV3" s="135" t="str">
        <f t="array" aca="1" ref="DV3" ca="1">IF(AND(DS1&lt;&gt;"",ISERROR(FIND("社食",DS1)),ISERROR(FIND("先生",DS1))),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IF(AND(INDIRECT("'盛付札（関数）'!AE"&amp;DQ1)&gt;=247,INDIRECT("'盛付札（関数）'!AE"&amp;DQ1)&lt;=261),"","先生"))),"")</f>
        <v/>
      </c>
      <c r="DW3" s="37"/>
      <c r="DX3" s="33"/>
      <c r="DY3" s="31"/>
      <c r="DZ3" s="212" t="str">
        <f t="array" aca="1" ref="DZ3" ca="1">IF(AND(DZ1&lt;&gt;"",ISERROR(FIND("社食",DZ1)),ISERROR(FIND("先生",DZ1)),ISERROR(FIND("学童",DZ2))),
IF(DZ4&lt;&gt;"",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IF(AND(INDIRECT("'盛付札（関数）'!AE"&amp;DX1)&gt;=247,INDIRECT("'盛付札（関数）'!AE"&amp;DX1)&lt;=261),"先生","園児"))),""),"")</f>
        <v/>
      </c>
      <c r="EA3" s="213"/>
      <c r="EB3" s="22"/>
      <c r="EC3" s="135" t="str">
        <f t="array" aca="1" ref="EC3" ca="1">IF(AND(DZ1&lt;&gt;"",ISERROR(FIND("社食",DZ1)),ISERROR(FIND("先生",DZ1))),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IF(AND(INDIRECT("'盛付札（関数）'!AE"&amp;DX1)&gt;=247,INDIRECT("'盛付札（関数）'!AE"&amp;DX1)&lt;=261),"","先生"))),"")</f>
        <v/>
      </c>
      <c r="ED3" s="37"/>
      <c r="EE3" s="22"/>
      <c r="EF3" s="30"/>
      <c r="EG3" s="31"/>
      <c r="EH3" s="212" t="str">
        <f t="array" aca="1" ref="EH3" ca="1">IF(AND(EH1&lt;&gt;"",ISERROR(FIND("社食",EH1)),ISERROR(FIND("先生",EH1)),ISERROR(FIND("学童",EH2))),
IF(EH4&lt;&gt;"",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IF(AND(INDIRECT("'盛付札（関数）'!AE"&amp;EF1)&gt;=247,INDIRECT("'盛付札（関数）'!AE"&amp;EF1)&lt;=261),"先生","園児"))),""),"")</f>
        <v/>
      </c>
      <c r="EI3" s="213"/>
      <c r="EJ3" s="22"/>
      <c r="EK3" s="135" t="str">
        <f t="array" aca="1" ref="EK3" ca="1">IF(AND(EH1&lt;&gt;"",ISERROR(FIND("社食",EH1)),ISERROR(FIND("先生",EH1))),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IF(AND(INDIRECT("'盛付札（関数）'!AE"&amp;EF1)&gt;=247,INDIRECT("'盛付札（関数）'!AE"&amp;EF1)&lt;=261),"","先生"))),"")</f>
        <v/>
      </c>
      <c r="EL3" s="37"/>
      <c r="EM3" s="33"/>
      <c r="EN3" s="31"/>
      <c r="EO3" s="212" t="str">
        <f t="array" aca="1" ref="EO3" ca="1">IF(AND(EO1&lt;&gt;"",ISERROR(FIND("社食",EO1)),ISERROR(FIND("先生",EO1)),ISERROR(FIND("学童",EO2))),
IF(EO4&lt;&gt;"",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IF(AND(INDIRECT("'盛付札（関数）'!AE"&amp;EM1)&gt;=247,INDIRECT("'盛付札（関数）'!AE"&amp;EM1)&lt;=261),"先生","園児"))),""),"")</f>
        <v/>
      </c>
      <c r="EP3" s="213"/>
      <c r="EQ3" s="22"/>
      <c r="ER3" s="135" t="str">
        <f t="array" aca="1" ref="ER3" ca="1">IF(AND(EO1&lt;&gt;"",ISERROR(FIND("社食",EO1)),ISERROR(FIND("先生",EO1))),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IF(AND(INDIRECT("'盛付札（関数）'!AE"&amp;EM1)&gt;=247,INDIRECT("'盛付札（関数）'!AE"&amp;EM1)&lt;=261),"","先生"))),"")</f>
        <v/>
      </c>
      <c r="ES3" s="37"/>
      <c r="ET3" s="22"/>
    </row>
    <row r="4" spans="1:150" ht="15.6" customHeight="1">
      <c r="B4" s="25"/>
      <c r="C4" s="210" t="str">
        <f t="array" aca="1" ref="C4" ca="1">IF(C1&lt;&gt;"",INDIRECT("'盛付札（関数）'!AJ"&amp;A1),"")</f>
        <v/>
      </c>
      <c r="D4" s="211"/>
      <c r="E4" s="44"/>
      <c r="F4" s="206" t="str">
        <f t="array" aca="1" ref="F4" ca="1">IF(C1&lt;&gt;"",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INDIRECT("'盛付札（関数）'!AK"&amp;A1))),"")</f>
        <v/>
      </c>
      <c r="G4" s="207"/>
      <c r="H4" s="26"/>
      <c r="I4" s="25"/>
      <c r="J4" s="210" t="str">
        <f t="array" aca="1" ref="J4" ca="1">IF(J1&lt;&gt;"",INDIRECT("'盛付札（関数）'!AJ"&amp;H1),"")</f>
        <v/>
      </c>
      <c r="K4" s="211"/>
      <c r="L4" s="44"/>
      <c r="M4" s="206" t="str">
        <f t="array" aca="1" ref="M4" ca="1">IF(J1&lt;&gt;"",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INDIRECT("'盛付札（関数）'!AK"&amp;H1))),"")</f>
        <v/>
      </c>
      <c r="N4" s="207"/>
      <c r="Q4" s="25"/>
      <c r="R4" s="210" t="str">
        <f t="array" aca="1" ref="R4" ca="1">IF(R1&lt;&gt;"",INDIRECT("'盛付札（関数）'!AJ"&amp;P1),"")</f>
        <v/>
      </c>
      <c r="S4" s="211"/>
      <c r="T4" s="44"/>
      <c r="U4" s="206" t="str">
        <f t="array" aca="1" ref="U4" ca="1">IF(R1&lt;&gt;"",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INDIRECT("'盛付札（関数）'!AK"&amp;P1))),"")</f>
        <v/>
      </c>
      <c r="V4" s="207"/>
      <c r="W4" s="26"/>
      <c r="X4" s="25"/>
      <c r="Y4" s="210" t="str">
        <f t="array" aca="1" ref="Y4" ca="1">IF(Y1&lt;&gt;"",INDIRECT("'盛付札（関数）'!AJ"&amp;W1),"")</f>
        <v/>
      </c>
      <c r="Z4" s="211"/>
      <c r="AA4" s="44"/>
      <c r="AB4" s="206" t="str">
        <f t="array" aca="1" ref="AB4" ca="1">IF(Y1&lt;&gt;"",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INDIRECT("'盛付札（関数）'!AK"&amp;W1))),"")</f>
        <v/>
      </c>
      <c r="AC4" s="207"/>
      <c r="AF4" s="25"/>
      <c r="AG4" s="210" t="str">
        <f t="array" aca="1" ref="AG4" ca="1">IF(AG1&lt;&gt;"",INDIRECT("'盛付札（関数）'!AJ"&amp;AE1),"")</f>
        <v/>
      </c>
      <c r="AH4" s="211"/>
      <c r="AI4" s="44"/>
      <c r="AJ4" s="206" t="str">
        <f t="array" aca="1" ref="AJ4" ca="1">IF(AG1&lt;&gt;"",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INDIRECT("'盛付札（関数）'!AK"&amp;AE1))),"")</f>
        <v/>
      </c>
      <c r="AK4" s="207"/>
      <c r="AL4" s="26"/>
      <c r="AM4" s="25"/>
      <c r="AN4" s="210" t="str">
        <f t="array" aca="1" ref="AN4" ca="1">IF(AN1&lt;&gt;"",INDIRECT("'盛付札（関数）'!AJ"&amp;AL1),"")</f>
        <v/>
      </c>
      <c r="AO4" s="211"/>
      <c r="AP4" s="44"/>
      <c r="AQ4" s="206" t="str">
        <f t="array" aca="1" ref="AQ4" ca="1">IF(AN1&lt;&gt;"",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INDIRECT("'盛付札（関数）'!AK"&amp;AL1))),"")</f>
        <v/>
      </c>
      <c r="AR4" s="207"/>
      <c r="AU4" s="25"/>
      <c r="AV4" s="210" t="str">
        <f t="array" aca="1" ref="AV4" ca="1">IF(AV1&lt;&gt;"",INDIRECT("'盛付札（関数）'!AJ"&amp;AT1),"")</f>
        <v/>
      </c>
      <c r="AW4" s="211"/>
      <c r="AX4" s="44"/>
      <c r="AY4" s="206" t="str">
        <f t="array" aca="1" ref="AY4" ca="1">IF(AV1&lt;&gt;"",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INDIRECT("'盛付札（関数）'!AK"&amp;AT1))),"")</f>
        <v/>
      </c>
      <c r="AZ4" s="207"/>
      <c r="BA4" s="26"/>
      <c r="BB4" s="25"/>
      <c r="BC4" s="210" t="str">
        <f t="array" aca="1" ref="BC4" ca="1">IF(BC1&lt;&gt;"",INDIRECT("'盛付札（関数）'!AJ"&amp;BA1),"")</f>
        <v/>
      </c>
      <c r="BD4" s="211"/>
      <c r="BE4" s="44"/>
      <c r="BF4" s="206" t="str">
        <f t="array" aca="1" ref="BF4" ca="1">IF(BC1&lt;&gt;"",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INDIRECT("'盛付札（関数）'!AK"&amp;BA1))),"")</f>
        <v/>
      </c>
      <c r="BG4" s="207"/>
      <c r="BJ4" s="25"/>
      <c r="BK4" s="210" t="str">
        <f t="array" aca="1" ref="BK4" ca="1">IF(BK1&lt;&gt;"",INDIRECT("'盛付札（関数）'!AJ"&amp;BI1),"")</f>
        <v/>
      </c>
      <c r="BL4" s="211"/>
      <c r="BM4" s="44"/>
      <c r="BN4" s="206" t="str">
        <f t="array" aca="1" ref="BN4" ca="1">IF(BK1&lt;&gt;"",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INDIRECT("'盛付札（関数）'!AK"&amp;BI1))),"")</f>
        <v/>
      </c>
      <c r="BO4" s="207"/>
      <c r="BP4" s="26"/>
      <c r="BQ4" s="25"/>
      <c r="BR4" s="210" t="str">
        <f t="array" aca="1" ref="BR4" ca="1">IF(BR1&lt;&gt;"",INDIRECT("'盛付札（関数）'!AJ"&amp;BP1),"")</f>
        <v/>
      </c>
      <c r="BS4" s="211"/>
      <c r="BT4" s="44"/>
      <c r="BU4" s="206" t="str">
        <f t="array" aca="1" ref="BU4" ca="1">IF(BR1&lt;&gt;"",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INDIRECT("'盛付札（関数）'!AK"&amp;BP1))),"")</f>
        <v/>
      </c>
      <c r="BV4" s="207"/>
      <c r="BY4" s="25"/>
      <c r="BZ4" s="210" t="str">
        <f t="array" aca="1" ref="BZ4" ca="1">IF(BZ1&lt;&gt;"",INDIRECT("'盛付札（関数）'!AJ"&amp;BX1),"")</f>
        <v/>
      </c>
      <c r="CA4" s="211"/>
      <c r="CB4" s="44"/>
      <c r="CC4" s="206" t="str">
        <f t="array" aca="1" ref="CC4" ca="1">IF(BZ1&lt;&gt;"",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INDIRECT("'盛付札（関数）'!AK"&amp;BX1))),"")</f>
        <v/>
      </c>
      <c r="CD4" s="207"/>
      <c r="CE4" s="26"/>
      <c r="CF4" s="25"/>
      <c r="CG4" s="210" t="str">
        <f t="array" aca="1" ref="CG4" ca="1">IF(CG1&lt;&gt;"",INDIRECT("'盛付札（関数）'!AJ"&amp;CE1),"")</f>
        <v/>
      </c>
      <c r="CH4" s="211"/>
      <c r="CI4" s="44"/>
      <c r="CJ4" s="206" t="str">
        <f t="array" aca="1" ref="CJ4" ca="1">IF(CG1&lt;&gt;"",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INDIRECT("'盛付札（関数）'!AK"&amp;CE1))),"")</f>
        <v/>
      </c>
      <c r="CK4" s="207"/>
      <c r="CN4" s="25"/>
      <c r="CO4" s="210" t="str">
        <f t="array" aca="1" ref="CO4" ca="1">IF(CO1&lt;&gt;"",INDIRECT("'盛付札（関数）'!AJ"&amp;CM1),"")</f>
        <v/>
      </c>
      <c r="CP4" s="211"/>
      <c r="CQ4" s="44"/>
      <c r="CR4" s="206" t="str">
        <f t="array" aca="1" ref="CR4" ca="1">IF(CO1&lt;&gt;"",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INDIRECT("'盛付札（関数）'!AK"&amp;CM1))),"")</f>
        <v/>
      </c>
      <c r="CS4" s="207"/>
      <c r="CT4" s="26"/>
      <c r="CU4" s="25"/>
      <c r="CV4" s="210" t="str">
        <f t="array" aca="1" ref="CV4" ca="1">IF(CV1&lt;&gt;"",INDIRECT("'盛付札（関数）'!AJ"&amp;CT1),"")</f>
        <v/>
      </c>
      <c r="CW4" s="211"/>
      <c r="CX4" s="44"/>
      <c r="CY4" s="206" t="str">
        <f t="array" aca="1" ref="CY4" ca="1">IF(CV1&lt;&gt;"",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INDIRECT("'盛付札（関数）'!AK"&amp;CT1))),"")</f>
        <v/>
      </c>
      <c r="CZ4" s="207"/>
      <c r="DC4" s="25"/>
      <c r="DD4" s="210" t="str">
        <f t="array" aca="1" ref="DD4" ca="1">IF(DD1&lt;&gt;"",INDIRECT("'盛付札（関数）'!AJ"&amp;DB1),"")</f>
        <v/>
      </c>
      <c r="DE4" s="211"/>
      <c r="DF4" s="44"/>
      <c r="DG4" s="206" t="str">
        <f t="array" aca="1" ref="DG4" ca="1">IF(DD1&lt;&gt;"",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INDIRECT("'盛付札（関数）'!AK"&amp;DB1))),"")</f>
        <v/>
      </c>
      <c r="DH4" s="207"/>
      <c r="DI4" s="26"/>
      <c r="DJ4" s="25"/>
      <c r="DK4" s="210" t="str">
        <f t="array" aca="1" ref="DK4" ca="1">IF(DK1&lt;&gt;"",INDIRECT("'盛付札（関数）'!AJ"&amp;DI1),"")</f>
        <v/>
      </c>
      <c r="DL4" s="211"/>
      <c r="DM4" s="44"/>
      <c r="DN4" s="206" t="str">
        <f t="array" aca="1" ref="DN4" ca="1">IF(DK1&lt;&gt;"",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INDIRECT("'盛付札（関数）'!AK"&amp;DI1))),"")</f>
        <v/>
      </c>
      <c r="DO4" s="207"/>
      <c r="DR4" s="25"/>
      <c r="DS4" s="210" t="str">
        <f t="array" aca="1" ref="DS4" ca="1">IF(DS1&lt;&gt;"",INDIRECT("'盛付札（関数）'!AJ"&amp;DQ1),"")</f>
        <v/>
      </c>
      <c r="DT4" s="211"/>
      <c r="DU4" s="44"/>
      <c r="DV4" s="206" t="str">
        <f t="array" aca="1" ref="DV4" ca="1">IF(DS1&lt;&gt;"",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INDIRECT("'盛付札（関数）'!AK"&amp;DQ1))),"")</f>
        <v/>
      </c>
      <c r="DW4" s="207"/>
      <c r="DX4" s="26"/>
      <c r="DY4" s="25"/>
      <c r="DZ4" s="210" t="str">
        <f t="array" aca="1" ref="DZ4" ca="1">IF(DZ1&lt;&gt;"",INDIRECT("'盛付札（関数）'!AJ"&amp;DX1),"")</f>
        <v/>
      </c>
      <c r="EA4" s="211"/>
      <c r="EB4" s="44"/>
      <c r="EC4" s="206" t="str">
        <f t="array" aca="1" ref="EC4" ca="1">IF(DZ1&lt;&gt;"",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INDIRECT("'盛付札（関数）'!AK"&amp;DX1))),"")</f>
        <v/>
      </c>
      <c r="ED4" s="207"/>
      <c r="EG4" s="25"/>
      <c r="EH4" s="210" t="str">
        <f t="array" aca="1" ref="EH4" ca="1">IF(EH1&lt;&gt;"",INDIRECT("'盛付札（関数）'!AJ"&amp;EF1),"")</f>
        <v/>
      </c>
      <c r="EI4" s="211"/>
      <c r="EJ4" s="44"/>
      <c r="EK4" s="206" t="str">
        <f t="array" aca="1" ref="EK4" ca="1">IF(EH1&lt;&gt;"",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INDIRECT("'盛付札（関数）'!AK"&amp;EF1))),"")</f>
        <v/>
      </c>
      <c r="EL4" s="207"/>
      <c r="EM4" s="26"/>
      <c r="EN4" s="25"/>
      <c r="EO4" s="210" t="str">
        <f t="array" aca="1" ref="EO4" ca="1">IF(EO1&lt;&gt;"",INDIRECT("'盛付札（関数）'!AJ"&amp;EM1),"")</f>
        <v/>
      </c>
      <c r="EP4" s="211"/>
      <c r="EQ4" s="44"/>
      <c r="ER4" s="206" t="str">
        <f t="array" aca="1" ref="ER4" ca="1">IF(EO1&lt;&gt;"",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INDIRECT("'盛付札（関数）'!AK"&amp;EM1))),"")</f>
        <v/>
      </c>
      <c r="ES4" s="207"/>
    </row>
    <row r="5" spans="1:150" ht="15.6" customHeight="1">
      <c r="B5" s="27"/>
      <c r="C5" s="208"/>
      <c r="D5" s="208"/>
      <c r="E5" s="179"/>
      <c r="F5" s="208"/>
      <c r="G5" s="209"/>
      <c r="H5" s="26"/>
      <c r="I5" s="27"/>
      <c r="J5" s="208"/>
      <c r="K5" s="208"/>
      <c r="L5" s="179"/>
      <c r="M5" s="208"/>
      <c r="N5" s="209"/>
      <c r="Q5" s="27"/>
      <c r="R5" s="208"/>
      <c r="S5" s="208"/>
      <c r="T5" s="179"/>
      <c r="U5" s="208"/>
      <c r="V5" s="209"/>
      <c r="W5" s="26"/>
      <c r="X5" s="27"/>
      <c r="Y5" s="208"/>
      <c r="Z5" s="208"/>
      <c r="AA5" s="179"/>
      <c r="AB5" s="208"/>
      <c r="AC5" s="209"/>
      <c r="AF5" s="27"/>
      <c r="AG5" s="208"/>
      <c r="AH5" s="208"/>
      <c r="AI5" s="179"/>
      <c r="AJ5" s="208"/>
      <c r="AK5" s="209"/>
      <c r="AL5" s="26"/>
      <c r="AM5" s="27"/>
      <c r="AN5" s="208"/>
      <c r="AO5" s="208"/>
      <c r="AP5" s="179"/>
      <c r="AQ5" s="208"/>
      <c r="AR5" s="209"/>
      <c r="AU5" s="27"/>
      <c r="AV5" s="208"/>
      <c r="AW5" s="208"/>
      <c r="AX5" s="179"/>
      <c r="AY5" s="208"/>
      <c r="AZ5" s="209"/>
      <c r="BA5" s="26"/>
      <c r="BB5" s="27"/>
      <c r="BC5" s="208"/>
      <c r="BD5" s="208"/>
      <c r="BE5" s="179"/>
      <c r="BF5" s="208"/>
      <c r="BG5" s="209"/>
      <c r="BJ5" s="27"/>
      <c r="BK5" s="208"/>
      <c r="BL5" s="208"/>
      <c r="BM5" s="179"/>
      <c r="BN5" s="208"/>
      <c r="BO5" s="209"/>
      <c r="BP5" s="26"/>
      <c r="BQ5" s="27"/>
      <c r="BR5" s="208"/>
      <c r="BS5" s="208"/>
      <c r="BT5" s="179"/>
      <c r="BU5" s="208"/>
      <c r="BV5" s="209"/>
      <c r="BY5" s="27"/>
      <c r="BZ5" s="208"/>
      <c r="CA5" s="208"/>
      <c r="CB5" s="179"/>
      <c r="CC5" s="208"/>
      <c r="CD5" s="209"/>
      <c r="CE5" s="26"/>
      <c r="CF5" s="27"/>
      <c r="CG5" s="208"/>
      <c r="CH5" s="208"/>
      <c r="CI5" s="179"/>
      <c r="CJ5" s="208"/>
      <c r="CK5" s="209"/>
      <c r="CN5" s="27"/>
      <c r="CO5" s="208"/>
      <c r="CP5" s="208"/>
      <c r="CQ5" s="179"/>
      <c r="CR5" s="208"/>
      <c r="CS5" s="209"/>
      <c r="CT5" s="26"/>
      <c r="CU5" s="27"/>
      <c r="CV5" s="208"/>
      <c r="CW5" s="208"/>
      <c r="CX5" s="179"/>
      <c r="CY5" s="208"/>
      <c r="CZ5" s="209"/>
      <c r="DC5" s="27"/>
      <c r="DD5" s="208"/>
      <c r="DE5" s="208"/>
      <c r="DF5" s="179"/>
      <c r="DG5" s="208"/>
      <c r="DH5" s="209"/>
      <c r="DI5" s="26"/>
      <c r="DJ5" s="27"/>
      <c r="DK5" s="208"/>
      <c r="DL5" s="208"/>
      <c r="DM5" s="179"/>
      <c r="DN5" s="208"/>
      <c r="DO5" s="209"/>
      <c r="DR5" s="27"/>
      <c r="DS5" s="208"/>
      <c r="DT5" s="208"/>
      <c r="DU5" s="179"/>
      <c r="DV5" s="208"/>
      <c r="DW5" s="209"/>
      <c r="DX5" s="26"/>
      <c r="DY5" s="27"/>
      <c r="DZ5" s="208"/>
      <c r="EA5" s="208"/>
      <c r="EB5" s="179"/>
      <c r="EC5" s="208"/>
      <c r="ED5" s="209"/>
      <c r="EG5" s="27"/>
      <c r="EH5" s="208"/>
      <c r="EI5" s="208"/>
      <c r="EJ5" s="179"/>
      <c r="EK5" s="208"/>
      <c r="EL5" s="209"/>
      <c r="EM5" s="26"/>
      <c r="EN5" s="27"/>
      <c r="EO5" s="208"/>
      <c r="EP5" s="208"/>
      <c r="EQ5" s="179"/>
      <c r="ER5" s="208"/>
      <c r="ES5" s="209"/>
    </row>
    <row r="6" spans="1:150" s="181" customFormat="1">
      <c r="A6" s="30"/>
      <c r="B6" s="34" t="str">
        <f t="array" aca="1" ref="B6" ca="1">IF(AND(C1&lt;&gt;"",C1&lt;&gt;"社食"),
IF(OR(INDIRECT("'盛付札（関数）'!AE"&amp;A1)=211,INDIRECT("'盛付札（関数）'!AE"&amp;A1)=212,INDIRECT("'盛付札（関数）'!AE"&amp;A1)=213),"",
"パン箱"),"")</f>
        <v/>
      </c>
      <c r="C6" s="32" t="str">
        <f t="array" aca="1" ref="C6" ca="1">IF(AND(C1&lt;&gt;"",C1&lt;&gt;"社食"),
IF(OR(INDIRECT("'盛付札（関数）'!AE"&amp;A1)=211,INDIRECT("'盛付札（関数）'!AE"&amp;A1)=212,INDIRECT("'盛付札（関数）'!AE"&amp;A1)=213),"",
INDIRECT("'盛付札（関数）'!AL"&amp;A1)),"")</f>
        <v/>
      </c>
      <c r="D6" s="34" t="str">
        <f t="array" aca="1" ref="D6" ca="1">IF(AND(C1&lt;&gt;"",C1&lt;&gt;"社食"),
IF(OR(INDIRECT("'盛付札（関数）'!AE"&amp;A1)=211,INDIRECT("'盛付札（関数）'!AE"&amp;A1)=212,INDIRECT("'盛付札（関数）'!AE"&amp;A1)=213),"",
"端数"),"")</f>
        <v/>
      </c>
      <c r="E6" s="32"/>
      <c r="F6" s="34" t="str">
        <f t="array" aca="1" ref="F6" ca="1">IF(AND(C1&lt;&gt;"",C1&lt;&gt;"社食"),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"アレルギー")),"")</f>
        <v/>
      </c>
      <c r="G6" s="37"/>
      <c r="H6" s="22"/>
      <c r="I6" s="34" t="str">
        <f t="array" aca="1" ref="I6" ca="1">IF(AND(J1&lt;&gt;"",J1&lt;&gt;"社食"),
IF(OR(INDIRECT("'盛付札（関数）'!AE"&amp;H1)=211,INDIRECT("'盛付札（関数）'!AE"&amp;H1)=212,INDIRECT("'盛付札（関数）'!AE"&amp;H1)=213),"",
"パン箱"),"")</f>
        <v/>
      </c>
      <c r="J6" s="32" t="str">
        <f t="array" aca="1" ref="J6" ca="1">IF(AND(J1&lt;&gt;"",J1&lt;&gt;"社食"),
IF(OR(INDIRECT("'盛付札（関数）'!AE"&amp;H1)=211,INDIRECT("'盛付札（関数）'!AE"&amp;H1)=212,INDIRECT("'盛付札（関数）'!AE"&amp;H1)=213),"",
INDIRECT("'盛付札（関数）'!AL"&amp;H1)),"")</f>
        <v/>
      </c>
      <c r="K6" s="34" t="str">
        <f t="array" aca="1" ref="K6" ca="1">IF(AND(J1&lt;&gt;"",J1&lt;&gt;"社食"),
IF(OR(INDIRECT("'盛付札（関数）'!AE"&amp;H1)=211,INDIRECT("'盛付札（関数）'!AE"&amp;H1)=212,INDIRECT("'盛付札（関数）'!AE"&amp;H1)=213),"",
"端数"),"")</f>
        <v/>
      </c>
      <c r="L6" s="32"/>
      <c r="M6" s="34" t="str">
        <f t="array" aca="1" ref="M6" ca="1">IF(AND(J1&lt;&gt;"",J1&lt;&gt;"社食"),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"アレルギー")),"")</f>
        <v/>
      </c>
      <c r="N6" s="37"/>
      <c r="O6" s="22"/>
      <c r="P6" s="30"/>
      <c r="Q6" s="34" t="str">
        <f t="array" aca="1" ref="Q6" ca="1">IF(AND(R1&lt;&gt;"",R1&lt;&gt;"社食"),
IF(OR(INDIRECT("'盛付札（関数）'!AE"&amp;P1)=211,INDIRECT("'盛付札（関数）'!AE"&amp;P1)=212,INDIRECT("'盛付札（関数）'!AE"&amp;P1)=213),"",
"パン箱"),"")</f>
        <v/>
      </c>
      <c r="R6" s="32" t="str">
        <f t="array" aca="1" ref="R6" ca="1">IF(AND(R1&lt;&gt;"",R1&lt;&gt;"社食"),
IF(OR(INDIRECT("'盛付札（関数）'!AE"&amp;P1)=211,INDIRECT("'盛付札（関数）'!AE"&amp;P1)=212,INDIRECT("'盛付札（関数）'!AE"&amp;P1)=213),"",
INDIRECT("'盛付札（関数）'!AL"&amp;P1)),"")</f>
        <v/>
      </c>
      <c r="S6" s="34" t="str">
        <f t="array" aca="1" ref="S6" ca="1">IF(AND(R1&lt;&gt;"",R1&lt;&gt;"社食"),
IF(OR(INDIRECT("'盛付札（関数）'!AE"&amp;P1)=211,INDIRECT("'盛付札（関数）'!AE"&amp;P1)=212,INDIRECT("'盛付札（関数）'!AE"&amp;P1)=213),"",
"端数"),"")</f>
        <v/>
      </c>
      <c r="T6" s="32"/>
      <c r="U6" s="34" t="str">
        <f t="array" aca="1" ref="U6" ca="1">IF(AND(R1&lt;&gt;"",R1&lt;&gt;"社食"),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"アレルギー")),"")</f>
        <v/>
      </c>
      <c r="V6" s="37"/>
      <c r="W6" s="22"/>
      <c r="X6" s="34" t="str">
        <f t="array" aca="1" ref="X6" ca="1">IF(AND(Y1&lt;&gt;"",Y1&lt;&gt;"社食"),
IF(OR(INDIRECT("'盛付札（関数）'!AE"&amp;W1)=211,INDIRECT("'盛付札（関数）'!AE"&amp;W1)=212,INDIRECT("'盛付札（関数）'!AE"&amp;W1)=213),"",
"パン箱"),"")</f>
        <v/>
      </c>
      <c r="Y6" s="32" t="str">
        <f t="array" aca="1" ref="Y6" ca="1">IF(AND(Y1&lt;&gt;"",Y1&lt;&gt;"社食"),
IF(OR(INDIRECT("'盛付札（関数）'!AE"&amp;W1)=211,INDIRECT("'盛付札（関数）'!AE"&amp;W1)=212,INDIRECT("'盛付札（関数）'!AE"&amp;W1)=213),"",
INDIRECT("'盛付札（関数）'!AL"&amp;W1)),"")</f>
        <v/>
      </c>
      <c r="Z6" s="34" t="str">
        <f t="array" aca="1" ref="Z6" ca="1">IF(AND(Y1&lt;&gt;"",Y1&lt;&gt;"社食"),
IF(OR(INDIRECT("'盛付札（関数）'!AE"&amp;W1)=211,INDIRECT("'盛付札（関数）'!AE"&amp;W1)=212,INDIRECT("'盛付札（関数）'!AE"&amp;W1)=213),"",
"端数"),"")</f>
        <v/>
      </c>
      <c r="AA6" s="32"/>
      <c r="AB6" s="34" t="str">
        <f t="array" aca="1" ref="AB6" ca="1">IF(AND(Y1&lt;&gt;"",Y1&lt;&gt;"社食"),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"アレルギー")),"")</f>
        <v/>
      </c>
      <c r="AC6" s="37"/>
      <c r="AD6" s="22"/>
      <c r="AE6" s="30"/>
      <c r="AF6" s="34" t="str">
        <f t="array" aca="1" ref="AF6" ca="1">IF(AND(AG1&lt;&gt;"",AG1&lt;&gt;"社食"),
IF(OR(INDIRECT("'盛付札（関数）'!AE"&amp;AE1)=211,INDIRECT("'盛付札（関数）'!AE"&amp;AE1)=212,INDIRECT("'盛付札（関数）'!AE"&amp;AE1)=213),"",
"パン箱"),"")</f>
        <v/>
      </c>
      <c r="AG6" s="32" t="str">
        <f t="array" aca="1" ref="AG6" ca="1">IF(AND(AG1&lt;&gt;"",AG1&lt;&gt;"社食"),
IF(OR(INDIRECT("'盛付札（関数）'!AE"&amp;AE1)=211,INDIRECT("'盛付札（関数）'!AE"&amp;AE1)=212,INDIRECT("'盛付札（関数）'!AE"&amp;AE1)=213),"",
INDIRECT("'盛付札（関数）'!AL"&amp;AE1)),"")</f>
        <v/>
      </c>
      <c r="AH6" s="34" t="str">
        <f t="array" aca="1" ref="AH6" ca="1">IF(AND(AG1&lt;&gt;"",AG1&lt;&gt;"社食"),
IF(OR(INDIRECT("'盛付札（関数）'!AE"&amp;AE1)=211,INDIRECT("'盛付札（関数）'!AE"&amp;AE1)=212,INDIRECT("'盛付札（関数）'!AE"&amp;AE1)=213),"",
"端数"),"")</f>
        <v/>
      </c>
      <c r="AI6" s="32"/>
      <c r="AJ6" s="34" t="str">
        <f t="array" aca="1" ref="AJ6" ca="1">IF(AND(AG1&lt;&gt;"",AG1&lt;&gt;"社食"),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"アレルギー")),"")</f>
        <v/>
      </c>
      <c r="AK6" s="37"/>
      <c r="AL6" s="22"/>
      <c r="AM6" s="34" t="str">
        <f t="array" aca="1" ref="AM6" ca="1">IF(AND(AN1&lt;&gt;"",AN1&lt;&gt;"社食"),
IF(OR(INDIRECT("'盛付札（関数）'!AE"&amp;AL1)=211,INDIRECT("'盛付札（関数）'!AE"&amp;AL1)=212,INDIRECT("'盛付札（関数）'!AE"&amp;AL1)=213),"",
"パン箱"),"")</f>
        <v/>
      </c>
      <c r="AN6" s="32" t="str">
        <f t="array" aca="1" ref="AN6" ca="1">IF(AND(AN1&lt;&gt;"",AN1&lt;&gt;"社食"),
IF(OR(INDIRECT("'盛付札（関数）'!AE"&amp;AL1)=211,INDIRECT("'盛付札（関数）'!AE"&amp;AL1)=212,INDIRECT("'盛付札（関数）'!AE"&amp;AL1)=213),"",
INDIRECT("'盛付札（関数）'!AL"&amp;AL1)),"")</f>
        <v/>
      </c>
      <c r="AO6" s="34" t="str">
        <f t="array" aca="1" ref="AO6" ca="1">IF(AND(AN1&lt;&gt;"",AN1&lt;&gt;"社食"),
IF(OR(INDIRECT("'盛付札（関数）'!AE"&amp;AL1)=211,INDIRECT("'盛付札（関数）'!AE"&amp;AL1)=212,INDIRECT("'盛付札（関数）'!AE"&amp;AL1)=213),"",
"端数"),"")</f>
        <v/>
      </c>
      <c r="AP6" s="32"/>
      <c r="AQ6" s="34" t="str">
        <f t="array" aca="1" ref="AQ6" ca="1">IF(AND(AN1&lt;&gt;"",AN1&lt;&gt;"社食"),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"アレルギー")),"")</f>
        <v/>
      </c>
      <c r="AR6" s="37"/>
      <c r="AS6" s="22"/>
      <c r="AT6" s="30"/>
      <c r="AU6" s="34" t="str">
        <f t="array" aca="1" ref="AU6" ca="1">IF(AND(AV1&lt;&gt;"",AV1&lt;&gt;"社食"),
IF(OR(INDIRECT("'盛付札（関数）'!AE"&amp;AT1)=211,INDIRECT("'盛付札（関数）'!AE"&amp;AT1)=212,INDIRECT("'盛付札（関数）'!AE"&amp;AT1)=213),"",
"パン箱"),"")</f>
        <v/>
      </c>
      <c r="AV6" s="32" t="str">
        <f t="array" aca="1" ref="AV6" ca="1">IF(AND(AV1&lt;&gt;"",AV1&lt;&gt;"社食"),
IF(OR(INDIRECT("'盛付札（関数）'!AE"&amp;AT1)=211,INDIRECT("'盛付札（関数）'!AE"&amp;AT1)=212,INDIRECT("'盛付札（関数）'!AE"&amp;AT1)=213),"",
INDIRECT("'盛付札（関数）'!AL"&amp;AT1)),"")</f>
        <v/>
      </c>
      <c r="AW6" s="34" t="str">
        <f t="array" aca="1" ref="AW6" ca="1">IF(AND(AV1&lt;&gt;"",AV1&lt;&gt;"社食"),
IF(OR(INDIRECT("'盛付札（関数）'!AE"&amp;AT1)=211,INDIRECT("'盛付札（関数）'!AE"&amp;AT1)=212,INDIRECT("'盛付札（関数）'!AE"&amp;AT1)=213),"",
"端数"),"")</f>
        <v/>
      </c>
      <c r="AX6" s="32"/>
      <c r="AY6" s="34" t="str">
        <f t="array" aca="1" ref="AY6" ca="1">IF(AND(AV1&lt;&gt;"",AV1&lt;&gt;"社食"),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"アレルギー")),"")</f>
        <v/>
      </c>
      <c r="AZ6" s="37"/>
      <c r="BA6" s="22"/>
      <c r="BB6" s="34" t="str">
        <f t="array" aca="1" ref="BB6" ca="1">IF(AND(BC1&lt;&gt;"",BC1&lt;&gt;"社食"),
IF(OR(INDIRECT("'盛付札（関数）'!AE"&amp;BA1)=211,INDIRECT("'盛付札（関数）'!AE"&amp;BA1)=212,INDIRECT("'盛付札（関数）'!AE"&amp;BA1)=213),"",
"パン箱"),"")</f>
        <v/>
      </c>
      <c r="BC6" s="32" t="str">
        <f t="array" aca="1" ref="BC6" ca="1">IF(AND(BC1&lt;&gt;"",BC1&lt;&gt;"社食"),
IF(OR(INDIRECT("'盛付札（関数）'!AE"&amp;BA1)=211,INDIRECT("'盛付札（関数）'!AE"&amp;BA1)=212,INDIRECT("'盛付札（関数）'!AE"&amp;BA1)=213),"",
INDIRECT("'盛付札（関数）'!AL"&amp;BA1)),"")</f>
        <v/>
      </c>
      <c r="BD6" s="34" t="str">
        <f t="array" aca="1" ref="BD6" ca="1">IF(AND(BC1&lt;&gt;"",BC1&lt;&gt;"社食"),
IF(OR(INDIRECT("'盛付札（関数）'!AE"&amp;BA1)=211,INDIRECT("'盛付札（関数）'!AE"&amp;BA1)=212,INDIRECT("'盛付札（関数）'!AE"&amp;BA1)=213),"",
"端数"),"")</f>
        <v/>
      </c>
      <c r="BE6" s="32"/>
      <c r="BF6" s="34" t="str">
        <f t="array" aca="1" ref="BF6" ca="1">IF(AND(BC1&lt;&gt;"",BC1&lt;&gt;"社食"),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"アレルギー")),"")</f>
        <v/>
      </c>
      <c r="BG6" s="37"/>
      <c r="BH6" s="22"/>
      <c r="BI6" s="30"/>
      <c r="BJ6" s="34" t="str">
        <f t="array" aca="1" ref="BJ6" ca="1">IF(AND(BK1&lt;&gt;"",BK1&lt;&gt;"社食"),
IF(OR(INDIRECT("'盛付札（関数）'!AE"&amp;BI1)=211,INDIRECT("'盛付札（関数）'!AE"&amp;BI1)=212,INDIRECT("'盛付札（関数）'!AE"&amp;BI1)=213),"",
"パン箱"),"")</f>
        <v/>
      </c>
      <c r="BK6" s="32" t="str">
        <f t="array" aca="1" ref="BK6" ca="1">IF(AND(BK1&lt;&gt;"",BK1&lt;&gt;"社食"),
IF(OR(INDIRECT("'盛付札（関数）'!AE"&amp;BI1)=211,INDIRECT("'盛付札（関数）'!AE"&amp;BI1)=212,INDIRECT("'盛付札（関数）'!AE"&amp;BI1)=213),"",
INDIRECT("'盛付札（関数）'!AL"&amp;BI1)),"")</f>
        <v/>
      </c>
      <c r="BL6" s="34" t="str">
        <f t="array" aca="1" ref="BL6" ca="1">IF(AND(BK1&lt;&gt;"",BK1&lt;&gt;"社食"),
IF(OR(INDIRECT("'盛付札（関数）'!AE"&amp;BI1)=211,INDIRECT("'盛付札（関数）'!AE"&amp;BI1)=212,INDIRECT("'盛付札（関数）'!AE"&amp;BI1)=213),"",
"端数"),"")</f>
        <v/>
      </c>
      <c r="BM6" s="32"/>
      <c r="BN6" s="34" t="str">
        <f t="array" aca="1" ref="BN6" ca="1">IF(AND(BK1&lt;&gt;"",BK1&lt;&gt;"社食"),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"アレルギー")),"")</f>
        <v/>
      </c>
      <c r="BO6" s="37"/>
      <c r="BP6" s="22"/>
      <c r="BQ6" s="34" t="str">
        <f t="array" aca="1" ref="BQ6" ca="1">IF(AND(BR1&lt;&gt;"",BR1&lt;&gt;"社食"),
IF(OR(INDIRECT("'盛付札（関数）'!AE"&amp;BP1)=211,INDIRECT("'盛付札（関数）'!AE"&amp;BP1)=212,INDIRECT("'盛付札（関数）'!AE"&amp;BP1)=213),"",
"パン箱"),"")</f>
        <v/>
      </c>
      <c r="BR6" s="32" t="str">
        <f t="array" aca="1" ref="BR6" ca="1">IF(AND(BR1&lt;&gt;"",BR1&lt;&gt;"社食"),
IF(OR(INDIRECT("'盛付札（関数）'!AE"&amp;BP1)=211,INDIRECT("'盛付札（関数）'!AE"&amp;BP1)=212,INDIRECT("'盛付札（関数）'!AE"&amp;BP1)=213),"",
INDIRECT("'盛付札（関数）'!AL"&amp;BP1)),"")</f>
        <v/>
      </c>
      <c r="BS6" s="34" t="str">
        <f t="array" aca="1" ref="BS6" ca="1">IF(AND(BR1&lt;&gt;"",BR1&lt;&gt;"社食"),
IF(OR(INDIRECT("'盛付札（関数）'!AE"&amp;BP1)=211,INDIRECT("'盛付札（関数）'!AE"&amp;BP1)=212,INDIRECT("'盛付札（関数）'!AE"&amp;BP1)=213),"",
"端数"),"")</f>
        <v/>
      </c>
      <c r="BT6" s="32"/>
      <c r="BU6" s="34" t="str">
        <f t="array" aca="1" ref="BU6" ca="1">IF(AND(BR1&lt;&gt;"",BR1&lt;&gt;"社食"),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"アレルギー")),"")</f>
        <v/>
      </c>
      <c r="BV6" s="37"/>
      <c r="BW6" s="22"/>
      <c r="BX6" s="30"/>
      <c r="BY6" s="34" t="str">
        <f t="array" aca="1" ref="BY6" ca="1">IF(AND(BZ1&lt;&gt;"",BZ1&lt;&gt;"社食"),
IF(OR(INDIRECT("'盛付札（関数）'!AE"&amp;BX1)=211,INDIRECT("'盛付札（関数）'!AE"&amp;BX1)=212,INDIRECT("'盛付札（関数）'!AE"&amp;BX1)=213),"",
"パン箱"),"")</f>
        <v/>
      </c>
      <c r="BZ6" s="32" t="str">
        <f t="array" aca="1" ref="BZ6" ca="1">IF(AND(BZ1&lt;&gt;"",BZ1&lt;&gt;"社食"),
IF(OR(INDIRECT("'盛付札（関数）'!AE"&amp;BX1)=211,INDIRECT("'盛付札（関数）'!AE"&amp;BX1)=212,INDIRECT("'盛付札（関数）'!AE"&amp;BX1)=213),"",
INDIRECT("'盛付札（関数）'!AL"&amp;BX1)),"")</f>
        <v/>
      </c>
      <c r="CA6" s="34" t="str">
        <f t="array" aca="1" ref="CA6" ca="1">IF(AND(BZ1&lt;&gt;"",BZ1&lt;&gt;"社食"),
IF(OR(INDIRECT("'盛付札（関数）'!AE"&amp;BX1)=211,INDIRECT("'盛付札（関数）'!AE"&amp;BX1)=212,INDIRECT("'盛付札（関数）'!AE"&amp;BX1)=213),"",
"端数"),"")</f>
        <v/>
      </c>
      <c r="CB6" s="32"/>
      <c r="CC6" s="34" t="str">
        <f t="array" aca="1" ref="CC6" ca="1">IF(AND(BZ1&lt;&gt;"",BZ1&lt;&gt;"社食"),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"アレルギー")),"")</f>
        <v/>
      </c>
      <c r="CD6" s="37"/>
      <c r="CE6" s="22"/>
      <c r="CF6" s="34" t="str">
        <f t="array" aca="1" ref="CF6" ca="1">IF(AND(CG1&lt;&gt;"",CG1&lt;&gt;"社食"),
IF(OR(INDIRECT("'盛付札（関数）'!AE"&amp;CE1)=211,INDIRECT("'盛付札（関数）'!AE"&amp;CE1)=212,INDIRECT("'盛付札（関数）'!AE"&amp;CE1)=213),"",
"パン箱"),"")</f>
        <v/>
      </c>
      <c r="CG6" s="32" t="str">
        <f t="array" aca="1" ref="CG6" ca="1">IF(AND(CG1&lt;&gt;"",CG1&lt;&gt;"社食"),
IF(OR(INDIRECT("'盛付札（関数）'!AE"&amp;CE1)=211,INDIRECT("'盛付札（関数）'!AE"&amp;CE1)=212,INDIRECT("'盛付札（関数）'!AE"&amp;CE1)=213),"",
INDIRECT("'盛付札（関数）'!AL"&amp;CE1)),"")</f>
        <v/>
      </c>
      <c r="CH6" s="34" t="str">
        <f t="array" aca="1" ref="CH6" ca="1">IF(AND(CG1&lt;&gt;"",CG1&lt;&gt;"社食"),
IF(OR(INDIRECT("'盛付札（関数）'!AE"&amp;CE1)=211,INDIRECT("'盛付札（関数）'!AE"&amp;CE1)=212,INDIRECT("'盛付札（関数）'!AE"&amp;CE1)=213),"",
"端数"),"")</f>
        <v/>
      </c>
      <c r="CI6" s="32"/>
      <c r="CJ6" s="34" t="str">
        <f t="array" aca="1" ref="CJ6" ca="1">IF(AND(CG1&lt;&gt;"",CG1&lt;&gt;"社食"),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"アレルギー")),"")</f>
        <v/>
      </c>
      <c r="CK6" s="37"/>
      <c r="CL6" s="22"/>
      <c r="CM6" s="30"/>
      <c r="CN6" s="34" t="str">
        <f t="array" aca="1" ref="CN6" ca="1">IF(AND(CO1&lt;&gt;"",CO1&lt;&gt;"社食"),
IF(OR(INDIRECT("'盛付札（関数）'!AE"&amp;CM1)=211,INDIRECT("'盛付札（関数）'!AE"&amp;CM1)=212,INDIRECT("'盛付札（関数）'!AE"&amp;CM1)=213),"",
"パン箱"),"")</f>
        <v/>
      </c>
      <c r="CO6" s="32" t="str">
        <f t="array" aca="1" ref="CO6" ca="1">IF(AND(CO1&lt;&gt;"",CO1&lt;&gt;"社食"),
IF(OR(INDIRECT("'盛付札（関数）'!AE"&amp;CM1)=211,INDIRECT("'盛付札（関数）'!AE"&amp;CM1)=212,INDIRECT("'盛付札（関数）'!AE"&amp;CM1)=213),"",
INDIRECT("'盛付札（関数）'!AL"&amp;CM1)),"")</f>
        <v/>
      </c>
      <c r="CP6" s="34" t="str">
        <f t="array" aca="1" ref="CP6" ca="1">IF(AND(CO1&lt;&gt;"",CO1&lt;&gt;"社食"),
IF(OR(INDIRECT("'盛付札（関数）'!AE"&amp;CM1)=211,INDIRECT("'盛付札（関数）'!AE"&amp;CM1)=212,INDIRECT("'盛付札（関数）'!AE"&amp;CM1)=213),"",
"端数"),"")</f>
        <v/>
      </c>
      <c r="CQ6" s="32"/>
      <c r="CR6" s="34" t="str">
        <f t="array" aca="1" ref="CR6" ca="1">IF(AND(CO1&lt;&gt;"",CO1&lt;&gt;"社食"),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"アレルギー")),"")</f>
        <v/>
      </c>
      <c r="CS6" s="37"/>
      <c r="CT6" s="22"/>
      <c r="CU6" s="34" t="str">
        <f t="array" aca="1" ref="CU6" ca="1">IF(AND(CV1&lt;&gt;"",CV1&lt;&gt;"社食"),
IF(OR(INDIRECT("'盛付札（関数）'!AE"&amp;CT1)=211,INDIRECT("'盛付札（関数）'!AE"&amp;CT1)=212,INDIRECT("'盛付札（関数）'!AE"&amp;CT1)=213),"",
"パン箱"),"")</f>
        <v/>
      </c>
      <c r="CV6" s="32" t="str">
        <f t="array" aca="1" ref="CV6" ca="1">IF(AND(CV1&lt;&gt;"",CV1&lt;&gt;"社食"),
IF(OR(INDIRECT("'盛付札（関数）'!AE"&amp;CT1)=211,INDIRECT("'盛付札（関数）'!AE"&amp;CT1)=212,INDIRECT("'盛付札（関数）'!AE"&amp;CT1)=213),"",
INDIRECT("'盛付札（関数）'!AL"&amp;CT1)),"")</f>
        <v/>
      </c>
      <c r="CW6" s="34" t="str">
        <f t="array" aca="1" ref="CW6" ca="1">IF(AND(CV1&lt;&gt;"",CV1&lt;&gt;"社食"),
IF(OR(INDIRECT("'盛付札（関数）'!AE"&amp;CT1)=211,INDIRECT("'盛付札（関数）'!AE"&amp;CT1)=212,INDIRECT("'盛付札（関数）'!AE"&amp;CT1)=213),"",
"端数"),"")</f>
        <v/>
      </c>
      <c r="CX6" s="32"/>
      <c r="CY6" s="34" t="str">
        <f t="array" aca="1" ref="CY6" ca="1">IF(AND(CV1&lt;&gt;"",CV1&lt;&gt;"社食"),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"アレルギー")),"")</f>
        <v/>
      </c>
      <c r="CZ6" s="37"/>
      <c r="DA6" s="22"/>
      <c r="DB6" s="30"/>
      <c r="DC6" s="34" t="str">
        <f t="array" aca="1" ref="DC6" ca="1">IF(AND(DD1&lt;&gt;"",DD1&lt;&gt;"社食"),
IF(OR(INDIRECT("'盛付札（関数）'!AE"&amp;DB1)=211,INDIRECT("'盛付札（関数）'!AE"&amp;DB1)=212,INDIRECT("'盛付札（関数）'!AE"&amp;DB1)=213),"",
"パン箱"),"")</f>
        <v/>
      </c>
      <c r="DD6" s="32" t="str">
        <f t="array" aca="1" ref="DD6" ca="1">IF(AND(DD1&lt;&gt;"",DD1&lt;&gt;"社食"),
IF(OR(INDIRECT("'盛付札（関数）'!AE"&amp;DB1)=211,INDIRECT("'盛付札（関数）'!AE"&amp;DB1)=212,INDIRECT("'盛付札（関数）'!AE"&amp;DB1)=213),"",
INDIRECT("'盛付札（関数）'!AL"&amp;DB1)),"")</f>
        <v/>
      </c>
      <c r="DE6" s="34" t="str">
        <f t="array" aca="1" ref="DE6" ca="1">IF(AND(DD1&lt;&gt;"",DD1&lt;&gt;"社食"),
IF(OR(INDIRECT("'盛付札（関数）'!AE"&amp;DB1)=211,INDIRECT("'盛付札（関数）'!AE"&amp;DB1)=212,INDIRECT("'盛付札（関数）'!AE"&amp;DB1)=213),"",
"端数"),"")</f>
        <v/>
      </c>
      <c r="DF6" s="32"/>
      <c r="DG6" s="34" t="str">
        <f t="array" aca="1" ref="DG6" ca="1">IF(AND(DD1&lt;&gt;"",DD1&lt;&gt;"社食"),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"アレルギー")),"")</f>
        <v/>
      </c>
      <c r="DH6" s="37"/>
      <c r="DI6" s="22"/>
      <c r="DJ6" s="34" t="str">
        <f t="array" aca="1" ref="DJ6" ca="1">IF(AND(DK1&lt;&gt;"",DK1&lt;&gt;"社食"),
IF(OR(INDIRECT("'盛付札（関数）'!AE"&amp;DI1)=211,INDIRECT("'盛付札（関数）'!AE"&amp;DI1)=212,INDIRECT("'盛付札（関数）'!AE"&amp;DI1)=213),"",
"パン箱"),"")</f>
        <v/>
      </c>
      <c r="DK6" s="32" t="str">
        <f t="array" aca="1" ref="DK6" ca="1">IF(AND(DK1&lt;&gt;"",DK1&lt;&gt;"社食"),
IF(OR(INDIRECT("'盛付札（関数）'!AE"&amp;DI1)=211,INDIRECT("'盛付札（関数）'!AE"&amp;DI1)=212,INDIRECT("'盛付札（関数）'!AE"&amp;DI1)=213),"",
INDIRECT("'盛付札（関数）'!AL"&amp;DI1)),"")</f>
        <v/>
      </c>
      <c r="DL6" s="34" t="str">
        <f t="array" aca="1" ref="DL6" ca="1">IF(AND(DK1&lt;&gt;"",DK1&lt;&gt;"社食"),
IF(OR(INDIRECT("'盛付札（関数）'!AE"&amp;DI1)=211,INDIRECT("'盛付札（関数）'!AE"&amp;DI1)=212,INDIRECT("'盛付札（関数）'!AE"&amp;DI1)=213),"",
"端数"),"")</f>
        <v/>
      </c>
      <c r="DM6" s="32"/>
      <c r="DN6" s="34" t="str">
        <f t="array" aca="1" ref="DN6" ca="1">IF(AND(DK1&lt;&gt;"",DK1&lt;&gt;"社食"),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"アレルギー")),"")</f>
        <v/>
      </c>
      <c r="DO6" s="37"/>
      <c r="DP6" s="22"/>
      <c r="DQ6" s="30"/>
      <c r="DR6" s="34" t="str">
        <f t="array" aca="1" ref="DR6" ca="1">IF(AND(DS1&lt;&gt;"",DS1&lt;&gt;"社食"),
IF(OR(INDIRECT("'盛付札（関数）'!AE"&amp;DQ1)=211,INDIRECT("'盛付札（関数）'!AE"&amp;DQ1)=212,INDIRECT("'盛付札（関数）'!AE"&amp;DQ1)=213),"",
"パン箱"),"")</f>
        <v/>
      </c>
      <c r="DS6" s="32" t="str">
        <f t="array" aca="1" ref="DS6" ca="1">IF(AND(DS1&lt;&gt;"",DS1&lt;&gt;"社食"),
IF(OR(INDIRECT("'盛付札（関数）'!AE"&amp;DQ1)=211,INDIRECT("'盛付札（関数）'!AE"&amp;DQ1)=212,INDIRECT("'盛付札（関数）'!AE"&amp;DQ1)=213),"",
INDIRECT("'盛付札（関数）'!AL"&amp;DQ1)),"")</f>
        <v/>
      </c>
      <c r="DT6" s="34" t="str">
        <f t="array" aca="1" ref="DT6" ca="1">IF(AND(DS1&lt;&gt;"",DS1&lt;&gt;"社食"),
IF(OR(INDIRECT("'盛付札（関数）'!AE"&amp;DQ1)=211,INDIRECT("'盛付札（関数）'!AE"&amp;DQ1)=212,INDIRECT("'盛付札（関数）'!AE"&amp;DQ1)=213),"",
"端数"),"")</f>
        <v/>
      </c>
      <c r="DU6" s="32"/>
      <c r="DV6" s="34" t="str">
        <f t="array" aca="1" ref="DV6" ca="1">IF(AND(DS1&lt;&gt;"",DS1&lt;&gt;"社食"),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"アレルギー")),"")</f>
        <v/>
      </c>
      <c r="DW6" s="37"/>
      <c r="DX6" s="22"/>
      <c r="DY6" s="34" t="str">
        <f t="array" aca="1" ref="DY6" ca="1">IF(AND(DZ1&lt;&gt;"",DZ1&lt;&gt;"社食"),
IF(OR(INDIRECT("'盛付札（関数）'!AE"&amp;DX1)=211,INDIRECT("'盛付札（関数）'!AE"&amp;DX1)=212,INDIRECT("'盛付札（関数）'!AE"&amp;DX1)=213),"",
"パン箱"),"")</f>
        <v/>
      </c>
      <c r="DZ6" s="32" t="str">
        <f t="array" aca="1" ref="DZ6" ca="1">IF(AND(DZ1&lt;&gt;"",DZ1&lt;&gt;"社食"),
IF(OR(INDIRECT("'盛付札（関数）'!AE"&amp;DX1)=211,INDIRECT("'盛付札（関数）'!AE"&amp;DX1)=212,INDIRECT("'盛付札（関数）'!AE"&amp;DX1)=213),"",
INDIRECT("'盛付札（関数）'!AL"&amp;DX1)),"")</f>
        <v/>
      </c>
      <c r="EA6" s="34" t="str">
        <f t="array" aca="1" ref="EA6" ca="1">IF(AND(DZ1&lt;&gt;"",DZ1&lt;&gt;"社食"),
IF(OR(INDIRECT("'盛付札（関数）'!AE"&amp;DX1)=211,INDIRECT("'盛付札（関数）'!AE"&amp;DX1)=212,INDIRECT("'盛付札（関数）'!AE"&amp;DX1)=213),"",
"端数"),"")</f>
        <v/>
      </c>
      <c r="EB6" s="32"/>
      <c r="EC6" s="34" t="str">
        <f t="array" aca="1" ref="EC6" ca="1">IF(AND(DZ1&lt;&gt;"",DZ1&lt;&gt;"社食"),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"アレルギー")),"")</f>
        <v/>
      </c>
      <c r="ED6" s="37"/>
      <c r="EE6" s="22"/>
      <c r="EF6" s="30"/>
      <c r="EG6" s="34" t="str">
        <f t="array" aca="1" ref="EG6" ca="1">IF(AND(EH1&lt;&gt;"",EH1&lt;&gt;"社食"),
IF(OR(INDIRECT("'盛付札（関数）'!AE"&amp;EF1)=211,INDIRECT("'盛付札（関数）'!AE"&amp;EF1)=212,INDIRECT("'盛付札（関数）'!AE"&amp;EF1)=213),"",
"パン箱"),"")</f>
        <v/>
      </c>
      <c r="EH6" s="32" t="str">
        <f t="array" aca="1" ref="EH6" ca="1">IF(AND(EH1&lt;&gt;"",EH1&lt;&gt;"社食"),
IF(OR(INDIRECT("'盛付札（関数）'!AE"&amp;EF1)=211,INDIRECT("'盛付札（関数）'!AE"&amp;EF1)=212,INDIRECT("'盛付札（関数）'!AE"&amp;EF1)=213),"",
INDIRECT("'盛付札（関数）'!AL"&amp;EF1)),"")</f>
        <v/>
      </c>
      <c r="EI6" s="34" t="str">
        <f t="array" aca="1" ref="EI6" ca="1">IF(AND(EH1&lt;&gt;"",EH1&lt;&gt;"社食"),
IF(OR(INDIRECT("'盛付札（関数）'!AE"&amp;EF1)=211,INDIRECT("'盛付札（関数）'!AE"&amp;EF1)=212,INDIRECT("'盛付札（関数）'!AE"&amp;EF1)=213),"",
"端数"),"")</f>
        <v/>
      </c>
      <c r="EJ6" s="32"/>
      <c r="EK6" s="34" t="str">
        <f t="array" aca="1" ref="EK6" ca="1">IF(AND(EH1&lt;&gt;"",EH1&lt;&gt;"社食"),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"アレルギー")),"")</f>
        <v/>
      </c>
      <c r="EL6" s="37"/>
      <c r="EM6" s="22"/>
      <c r="EN6" s="34" t="str">
        <f t="array" aca="1" ref="EN6" ca="1">IF(AND(EO1&lt;&gt;"",EO1&lt;&gt;"社食"),
IF(OR(INDIRECT("'盛付札（関数）'!AE"&amp;EM1)=211,INDIRECT("'盛付札（関数）'!AE"&amp;EM1)=212,INDIRECT("'盛付札（関数）'!AE"&amp;EM1)=213),"",
"パン箱"),"")</f>
        <v/>
      </c>
      <c r="EO6" s="32" t="str">
        <f t="array" aca="1" ref="EO6" ca="1">IF(AND(EO1&lt;&gt;"",EO1&lt;&gt;"社食"),
IF(OR(INDIRECT("'盛付札（関数）'!AE"&amp;EM1)=211,INDIRECT("'盛付札（関数）'!AE"&amp;EM1)=212,INDIRECT("'盛付札（関数）'!AE"&amp;EM1)=213),"",
INDIRECT("'盛付札（関数）'!AL"&amp;EM1)),"")</f>
        <v/>
      </c>
      <c r="EP6" s="34" t="str">
        <f t="array" aca="1" ref="EP6" ca="1">IF(AND(EO1&lt;&gt;"",EO1&lt;&gt;"社食"),
IF(OR(INDIRECT("'盛付札（関数）'!AE"&amp;EM1)=211,INDIRECT("'盛付札（関数）'!AE"&amp;EM1)=212,INDIRECT("'盛付札（関数）'!AE"&amp;EM1)=213),"",
"端数"),"")</f>
        <v/>
      </c>
      <c r="EQ6" s="32"/>
      <c r="ER6" s="34" t="str">
        <f t="array" aca="1" ref="ER6" ca="1">IF(AND(EO1&lt;&gt;"",EO1&lt;&gt;"社食"),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"アレルギー")),"")</f>
        <v/>
      </c>
      <c r="ES6" s="37"/>
      <c r="ET6" s="22"/>
    </row>
    <row r="7" spans="1:150" ht="27.6" customHeight="1">
      <c r="B7" s="216" t="str">
        <f t="array" aca="1" ref="B7" ca="1">IF(C1&lt;&gt;"",
IF(OR(INDIRECT("'盛付札（関数）'!AE"&amp;A1)=211,INDIRECT("'盛付札（関数）'!AE"&amp;A1)=212,INDIRECT("'盛付札（関数）'!AE"&amp;A1)=213),"",
INDIRECT("'盛付札（関数）'!AM"&amp;A1)),"")</f>
        <v/>
      </c>
      <c r="C7" s="209"/>
      <c r="D7" s="216" t="str">
        <f t="array" aca="1" ref="D7" ca="1">IF(C1&lt;&gt;"",
IF(OR(INDIRECT("'盛付札（関数）'!AE"&amp;A1)=211,INDIRECT("'盛付札（関数）'!AE"&amp;A1)=212,INDIRECT("'盛付札（関数）'!AE"&amp;A1)=213),"",
INDIRECT("'盛付札（関数）'!AN"&amp;A1)),"")</f>
        <v/>
      </c>
      <c r="E7" s="209"/>
      <c r="F7" s="217" t="str">
        <f t="array" aca="1" ref="F7" ca="1">IF(AND(C1&lt;&gt;"",C1&lt;&gt;"社食"),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INDIRECT("'盛付札（関数）'!AO"&amp;A1))),"")</f>
        <v/>
      </c>
      <c r="G7" s="209"/>
      <c r="I7" s="216" t="str">
        <f t="array" aca="1" ref="I7" ca="1">IF(J1&lt;&gt;"",
IF(OR(INDIRECT("'盛付札（関数）'!AE"&amp;H1)=211,INDIRECT("'盛付札（関数）'!AE"&amp;H1)=212,INDIRECT("'盛付札（関数）'!AE"&amp;H1)=213),"",
INDIRECT("'盛付札（関数）'!AM"&amp;H1)),"")</f>
        <v/>
      </c>
      <c r="J7" s="209"/>
      <c r="K7" s="216" t="str">
        <f t="array" aca="1" ref="K7" ca="1">IF(J1&lt;&gt;"",
IF(OR(INDIRECT("'盛付札（関数）'!AE"&amp;H1)=211,INDIRECT("'盛付札（関数）'!AE"&amp;H1)=212,INDIRECT("'盛付札（関数）'!AE"&amp;H1)=213),"",
INDIRECT("'盛付札（関数）'!AN"&amp;H1)),"")</f>
        <v/>
      </c>
      <c r="L7" s="209"/>
      <c r="M7" s="217" t="str">
        <f t="array" aca="1" ref="M7" ca="1">IF(AND(J1&lt;&gt;"",J1&lt;&gt;"社食"),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INDIRECT("'盛付札（関数）'!AO"&amp;H1))),"")</f>
        <v/>
      </c>
      <c r="N7" s="209"/>
      <c r="Q7" s="216" t="str">
        <f t="array" aca="1" ref="Q7" ca="1">IF(R1&lt;&gt;"",
IF(OR(INDIRECT("'盛付札（関数）'!AE"&amp;P1)=211,INDIRECT("'盛付札（関数）'!AE"&amp;P1)=212,INDIRECT("'盛付札（関数）'!AE"&amp;P1)=213),"",
INDIRECT("'盛付札（関数）'!AM"&amp;P1)),"")</f>
        <v/>
      </c>
      <c r="R7" s="209"/>
      <c r="S7" s="216" t="str">
        <f t="array" aca="1" ref="S7" ca="1">IF(R1&lt;&gt;"",
IF(OR(INDIRECT("'盛付札（関数）'!AE"&amp;P1)=211,INDIRECT("'盛付札（関数）'!AE"&amp;P1)=212,INDIRECT("'盛付札（関数）'!AE"&amp;P1)=213),"",
INDIRECT("'盛付札（関数）'!AN"&amp;P1)),"")</f>
        <v/>
      </c>
      <c r="T7" s="209"/>
      <c r="U7" s="217" t="str">
        <f t="array" aca="1" ref="U7" ca="1">IF(AND(R1&lt;&gt;"",R1&lt;&gt;"社食"),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INDIRECT("'盛付札（関数）'!AO"&amp;P1))),"")</f>
        <v/>
      </c>
      <c r="V7" s="209"/>
      <c r="X7" s="216" t="str">
        <f t="array" aca="1" ref="X7" ca="1">IF(Y1&lt;&gt;"",
IF(OR(INDIRECT("'盛付札（関数）'!AE"&amp;W1)=211,INDIRECT("'盛付札（関数）'!AE"&amp;W1)=212,INDIRECT("'盛付札（関数）'!AE"&amp;W1)=213),"",
INDIRECT("'盛付札（関数）'!AM"&amp;W1)),"")</f>
        <v/>
      </c>
      <c r="Y7" s="209"/>
      <c r="Z7" s="216" t="str">
        <f t="array" aca="1" ref="Z7" ca="1">IF(Y1&lt;&gt;"",
IF(OR(INDIRECT("'盛付札（関数）'!AE"&amp;W1)=211,INDIRECT("'盛付札（関数）'!AE"&amp;W1)=212,INDIRECT("'盛付札（関数）'!AE"&amp;W1)=213),"",
INDIRECT("'盛付札（関数）'!AN"&amp;W1)),"")</f>
        <v/>
      </c>
      <c r="AA7" s="209"/>
      <c r="AB7" s="217" t="str">
        <f t="array" aca="1" ref="AB7" ca="1">IF(AND(Y1&lt;&gt;"",Y1&lt;&gt;"社食"),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INDIRECT("'盛付札（関数）'!AO"&amp;W1))),"")</f>
        <v/>
      </c>
      <c r="AC7" s="209"/>
      <c r="AF7" s="216" t="str">
        <f t="array" aca="1" ref="AF7" ca="1">IF(AG1&lt;&gt;"",
IF(OR(INDIRECT("'盛付札（関数）'!AE"&amp;AE1)=211,INDIRECT("'盛付札（関数）'!AE"&amp;AE1)=212,INDIRECT("'盛付札（関数）'!AE"&amp;AE1)=213),"",
INDIRECT("'盛付札（関数）'!AM"&amp;AE1)),"")</f>
        <v/>
      </c>
      <c r="AG7" s="209"/>
      <c r="AH7" s="216" t="str">
        <f t="array" aca="1" ref="AH7" ca="1">IF(AG1&lt;&gt;"",
IF(OR(INDIRECT("'盛付札（関数）'!AE"&amp;AE1)=211,INDIRECT("'盛付札（関数）'!AE"&amp;AE1)=212,INDIRECT("'盛付札（関数）'!AE"&amp;AE1)=213),"",
INDIRECT("'盛付札（関数）'!AN"&amp;AE1)),"")</f>
        <v/>
      </c>
      <c r="AI7" s="209"/>
      <c r="AJ7" s="217" t="str">
        <f t="array" aca="1" ref="AJ7" ca="1">IF(AND(AG1&lt;&gt;"",AG1&lt;&gt;"社食"),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INDIRECT("'盛付札（関数）'!AO"&amp;AE1))),"")</f>
        <v/>
      </c>
      <c r="AK7" s="209"/>
      <c r="AM7" s="216" t="str">
        <f t="array" aca="1" ref="AM7" ca="1">IF(AN1&lt;&gt;"",
IF(OR(INDIRECT("'盛付札（関数）'!AE"&amp;AL1)=211,INDIRECT("'盛付札（関数）'!AE"&amp;AL1)=212,INDIRECT("'盛付札（関数）'!AE"&amp;AL1)=213),"",
INDIRECT("'盛付札（関数）'!AM"&amp;AL1)),"")</f>
        <v/>
      </c>
      <c r="AN7" s="209"/>
      <c r="AO7" s="216" t="str">
        <f t="array" aca="1" ref="AO7" ca="1">IF(AN1&lt;&gt;"",
IF(OR(INDIRECT("'盛付札（関数）'!AE"&amp;AL1)=211,INDIRECT("'盛付札（関数）'!AE"&amp;AL1)=212,INDIRECT("'盛付札（関数）'!AE"&amp;AL1)=213),"",
INDIRECT("'盛付札（関数）'!AN"&amp;AL1)),"")</f>
        <v/>
      </c>
      <c r="AP7" s="209"/>
      <c r="AQ7" s="217" t="str">
        <f t="array" aca="1" ref="AQ7" ca="1">IF(AND(AN1&lt;&gt;"",AN1&lt;&gt;"社食"),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INDIRECT("'盛付札（関数）'!AO"&amp;AL1))),"")</f>
        <v/>
      </c>
      <c r="AR7" s="209"/>
      <c r="AU7" s="216" t="str">
        <f t="array" aca="1" ref="AU7" ca="1">IF(AV1&lt;&gt;"",
IF(OR(INDIRECT("'盛付札（関数）'!AE"&amp;AT1)=211,INDIRECT("'盛付札（関数）'!AE"&amp;AT1)=212,INDIRECT("'盛付札（関数）'!AE"&amp;AT1)=213),"",
INDIRECT("'盛付札（関数）'!AM"&amp;AT1)),"")</f>
        <v/>
      </c>
      <c r="AV7" s="209"/>
      <c r="AW7" s="216" t="str">
        <f t="array" aca="1" ref="AW7" ca="1">IF(AV1&lt;&gt;"",
IF(OR(INDIRECT("'盛付札（関数）'!AE"&amp;AT1)=211,INDIRECT("'盛付札（関数）'!AE"&amp;AT1)=212,INDIRECT("'盛付札（関数）'!AE"&amp;AT1)=213),"",
INDIRECT("'盛付札（関数）'!AN"&amp;AT1)),"")</f>
        <v/>
      </c>
      <c r="AX7" s="209"/>
      <c r="AY7" s="217" t="str">
        <f t="array" aca="1" ref="AY7" ca="1">IF(AND(AV1&lt;&gt;"",AV1&lt;&gt;"社食"),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INDIRECT("'盛付札（関数）'!AO"&amp;AT1))),"")</f>
        <v/>
      </c>
      <c r="AZ7" s="209"/>
      <c r="BB7" s="216" t="str">
        <f t="array" aca="1" ref="BB7" ca="1">IF(BC1&lt;&gt;"",
IF(OR(INDIRECT("'盛付札（関数）'!AE"&amp;BA1)=211,INDIRECT("'盛付札（関数）'!AE"&amp;BA1)=212,INDIRECT("'盛付札（関数）'!AE"&amp;BA1)=213),"",
INDIRECT("'盛付札（関数）'!AM"&amp;BA1)),"")</f>
        <v/>
      </c>
      <c r="BC7" s="209"/>
      <c r="BD7" s="216" t="str">
        <f t="array" aca="1" ref="BD7" ca="1">IF(BC1&lt;&gt;"",
IF(OR(INDIRECT("'盛付札（関数）'!AE"&amp;BA1)=211,INDIRECT("'盛付札（関数）'!AE"&amp;BA1)=212,INDIRECT("'盛付札（関数）'!AE"&amp;BA1)=213),"",
INDIRECT("'盛付札（関数）'!AN"&amp;BA1)),"")</f>
        <v/>
      </c>
      <c r="BE7" s="209"/>
      <c r="BF7" s="217" t="str">
        <f t="array" aca="1" ref="BF7" ca="1">IF(AND(BC1&lt;&gt;"",BC1&lt;&gt;"社食"),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INDIRECT("'盛付札（関数）'!AO"&amp;BA1))),"")</f>
        <v/>
      </c>
      <c r="BG7" s="209"/>
      <c r="BJ7" s="216" t="str">
        <f t="array" aca="1" ref="BJ7" ca="1">IF(BK1&lt;&gt;"",
IF(OR(INDIRECT("'盛付札（関数）'!AE"&amp;BI1)=211,INDIRECT("'盛付札（関数）'!AE"&amp;BI1)=212,INDIRECT("'盛付札（関数）'!AE"&amp;BI1)=213),"",
INDIRECT("'盛付札（関数）'!AM"&amp;BI1)),"")</f>
        <v/>
      </c>
      <c r="BK7" s="209"/>
      <c r="BL7" s="216" t="str">
        <f t="array" aca="1" ref="BL7" ca="1">IF(BK1&lt;&gt;"",
IF(OR(INDIRECT("'盛付札（関数）'!AE"&amp;BI1)=211,INDIRECT("'盛付札（関数）'!AE"&amp;BI1)=212,INDIRECT("'盛付札（関数）'!AE"&amp;BI1)=213),"",
INDIRECT("'盛付札（関数）'!AN"&amp;BI1)),"")</f>
        <v/>
      </c>
      <c r="BM7" s="209"/>
      <c r="BN7" s="217" t="str">
        <f t="array" aca="1" ref="BN7" ca="1">IF(AND(BK1&lt;&gt;"",BK1&lt;&gt;"社食"),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INDIRECT("'盛付札（関数）'!AO"&amp;BI1))),"")</f>
        <v/>
      </c>
      <c r="BO7" s="209"/>
      <c r="BQ7" s="216" t="str">
        <f t="array" aca="1" ref="BQ7" ca="1">IF(BR1&lt;&gt;"",
IF(OR(INDIRECT("'盛付札（関数）'!AE"&amp;BP1)=211,INDIRECT("'盛付札（関数）'!AE"&amp;BP1)=212,INDIRECT("'盛付札（関数）'!AE"&amp;BP1)=213),"",
INDIRECT("'盛付札（関数）'!AM"&amp;BP1)),"")</f>
        <v/>
      </c>
      <c r="BR7" s="209"/>
      <c r="BS7" s="216" t="str">
        <f t="array" aca="1" ref="BS7" ca="1">IF(BR1&lt;&gt;"",
IF(OR(INDIRECT("'盛付札（関数）'!AE"&amp;BP1)=211,INDIRECT("'盛付札（関数）'!AE"&amp;BP1)=212,INDIRECT("'盛付札（関数）'!AE"&amp;BP1)=213),"",
INDIRECT("'盛付札（関数）'!AN"&amp;BP1)),"")</f>
        <v/>
      </c>
      <c r="BT7" s="209"/>
      <c r="BU7" s="217" t="str">
        <f t="array" aca="1" ref="BU7" ca="1">IF(AND(BR1&lt;&gt;"",BR1&lt;&gt;"社食"),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INDIRECT("'盛付札（関数）'!AO"&amp;BP1))),"")</f>
        <v/>
      </c>
      <c r="BV7" s="209"/>
      <c r="BY7" s="216" t="str">
        <f t="array" aca="1" ref="BY7" ca="1">IF(BZ1&lt;&gt;"",
IF(OR(INDIRECT("'盛付札（関数）'!AE"&amp;BX1)=211,INDIRECT("'盛付札（関数）'!AE"&amp;BX1)=212,INDIRECT("'盛付札（関数）'!AE"&amp;BX1)=213),"",
INDIRECT("'盛付札（関数）'!AM"&amp;BX1)),"")</f>
        <v/>
      </c>
      <c r="BZ7" s="209"/>
      <c r="CA7" s="216" t="str">
        <f t="array" aca="1" ref="CA7" ca="1">IF(BZ1&lt;&gt;"",
IF(OR(INDIRECT("'盛付札（関数）'!AE"&amp;BX1)=211,INDIRECT("'盛付札（関数）'!AE"&amp;BX1)=212,INDIRECT("'盛付札（関数）'!AE"&amp;BX1)=213),"",
INDIRECT("'盛付札（関数）'!AN"&amp;BX1)),"")</f>
        <v/>
      </c>
      <c r="CB7" s="209"/>
      <c r="CC7" s="217" t="str">
        <f t="array" aca="1" ref="CC7" ca="1">IF(AND(BZ1&lt;&gt;"",BZ1&lt;&gt;"社食"),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INDIRECT("'盛付札（関数）'!AO"&amp;BX1))),"")</f>
        <v/>
      </c>
      <c r="CD7" s="209"/>
      <c r="CF7" s="216" t="str">
        <f t="array" aca="1" ref="CF7" ca="1">IF(CG1&lt;&gt;"",
IF(OR(INDIRECT("'盛付札（関数）'!AE"&amp;CE1)=211,INDIRECT("'盛付札（関数）'!AE"&amp;CE1)=212,INDIRECT("'盛付札（関数）'!AE"&amp;CE1)=213),"",
INDIRECT("'盛付札（関数）'!AM"&amp;CE1)),"")</f>
        <v/>
      </c>
      <c r="CG7" s="209"/>
      <c r="CH7" s="216" t="str">
        <f t="array" aca="1" ref="CH7" ca="1">IF(CG1&lt;&gt;"",
IF(OR(INDIRECT("'盛付札（関数）'!AE"&amp;CE1)=211,INDIRECT("'盛付札（関数）'!AE"&amp;CE1)=212,INDIRECT("'盛付札（関数）'!AE"&amp;CE1)=213),"",
INDIRECT("'盛付札（関数）'!AN"&amp;CE1)),"")</f>
        <v/>
      </c>
      <c r="CI7" s="209"/>
      <c r="CJ7" s="217" t="str">
        <f t="array" aca="1" ref="CJ7" ca="1">IF(AND(CG1&lt;&gt;"",CG1&lt;&gt;"社食"),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INDIRECT("'盛付札（関数）'!AO"&amp;CE1))),"")</f>
        <v/>
      </c>
      <c r="CK7" s="209"/>
      <c r="CN7" s="216" t="str">
        <f t="array" aca="1" ref="CN7" ca="1">IF(CO1&lt;&gt;"",
IF(OR(INDIRECT("'盛付札（関数）'!AE"&amp;CM1)=211,INDIRECT("'盛付札（関数）'!AE"&amp;CM1)=212,INDIRECT("'盛付札（関数）'!AE"&amp;CM1)=213),"",
INDIRECT("'盛付札（関数）'!AM"&amp;CM1)),"")</f>
        <v/>
      </c>
      <c r="CO7" s="209"/>
      <c r="CP7" s="216" t="str">
        <f t="array" aca="1" ref="CP7" ca="1">IF(CO1&lt;&gt;"",
IF(OR(INDIRECT("'盛付札（関数）'!AE"&amp;CM1)=211,INDIRECT("'盛付札（関数）'!AE"&amp;CM1)=212,INDIRECT("'盛付札（関数）'!AE"&amp;CM1)=213),"",
INDIRECT("'盛付札（関数）'!AN"&amp;CM1)),"")</f>
        <v/>
      </c>
      <c r="CQ7" s="209"/>
      <c r="CR7" s="217" t="str">
        <f t="array" aca="1" ref="CR7" ca="1">IF(AND(CO1&lt;&gt;"",CO1&lt;&gt;"社食"),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INDIRECT("'盛付札（関数）'!AO"&amp;CM1))),"")</f>
        <v/>
      </c>
      <c r="CS7" s="209"/>
      <c r="CU7" s="216" t="str">
        <f t="array" aca="1" ref="CU7" ca="1">IF(CV1&lt;&gt;"",
IF(OR(INDIRECT("'盛付札（関数）'!AE"&amp;CT1)=211,INDIRECT("'盛付札（関数）'!AE"&amp;CT1)=212,INDIRECT("'盛付札（関数）'!AE"&amp;CT1)=213),"",
INDIRECT("'盛付札（関数）'!AM"&amp;CT1)),"")</f>
        <v/>
      </c>
      <c r="CV7" s="209"/>
      <c r="CW7" s="216" t="str">
        <f t="array" aca="1" ref="CW7" ca="1">IF(CV1&lt;&gt;"",
IF(OR(INDIRECT("'盛付札（関数）'!AE"&amp;CT1)=211,INDIRECT("'盛付札（関数）'!AE"&amp;CT1)=212,INDIRECT("'盛付札（関数）'!AE"&amp;CT1)=213),"",
INDIRECT("'盛付札（関数）'!AN"&amp;CT1)),"")</f>
        <v/>
      </c>
      <c r="CX7" s="209"/>
      <c r="CY7" s="217" t="str">
        <f t="array" aca="1" ref="CY7" ca="1">IF(AND(CV1&lt;&gt;"",CV1&lt;&gt;"社食"),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INDIRECT("'盛付札（関数）'!AO"&amp;CT1))),"")</f>
        <v/>
      </c>
      <c r="CZ7" s="209"/>
      <c r="DC7" s="216" t="str">
        <f t="array" aca="1" ref="DC7" ca="1">IF(DD1&lt;&gt;"",
IF(OR(INDIRECT("'盛付札（関数）'!AE"&amp;DB1)=211,INDIRECT("'盛付札（関数）'!AE"&amp;DB1)=212,INDIRECT("'盛付札（関数）'!AE"&amp;DB1)=213),"",
INDIRECT("'盛付札（関数）'!AM"&amp;DB1)),"")</f>
        <v/>
      </c>
      <c r="DD7" s="209"/>
      <c r="DE7" s="216" t="str">
        <f t="array" aca="1" ref="DE7" ca="1">IF(DD1&lt;&gt;"",
IF(OR(INDIRECT("'盛付札（関数）'!AE"&amp;DB1)=211,INDIRECT("'盛付札（関数）'!AE"&amp;DB1)=212,INDIRECT("'盛付札（関数）'!AE"&amp;DB1)=213),"",
INDIRECT("'盛付札（関数）'!AN"&amp;DB1)),"")</f>
        <v/>
      </c>
      <c r="DF7" s="209"/>
      <c r="DG7" s="217" t="str">
        <f t="array" aca="1" ref="DG7" ca="1">IF(AND(DD1&lt;&gt;"",DD1&lt;&gt;"社食"),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INDIRECT("'盛付札（関数）'!AO"&amp;DB1))),"")</f>
        <v/>
      </c>
      <c r="DH7" s="209"/>
      <c r="DJ7" s="216" t="str">
        <f t="array" aca="1" ref="DJ7" ca="1">IF(DK1&lt;&gt;"",
IF(OR(INDIRECT("'盛付札（関数）'!AE"&amp;DI1)=211,INDIRECT("'盛付札（関数）'!AE"&amp;DI1)=212,INDIRECT("'盛付札（関数）'!AE"&amp;DI1)=213),"",
INDIRECT("'盛付札（関数）'!AM"&amp;DI1)),"")</f>
        <v/>
      </c>
      <c r="DK7" s="209"/>
      <c r="DL7" s="216" t="str">
        <f t="array" aca="1" ref="DL7" ca="1">IF(DK1&lt;&gt;"",
IF(OR(INDIRECT("'盛付札（関数）'!AE"&amp;DI1)=211,INDIRECT("'盛付札（関数）'!AE"&amp;DI1)=212,INDIRECT("'盛付札（関数）'!AE"&amp;DI1)=213),"",
INDIRECT("'盛付札（関数）'!AN"&amp;DI1)),"")</f>
        <v/>
      </c>
      <c r="DM7" s="209"/>
      <c r="DN7" s="217" t="str">
        <f t="array" aca="1" ref="DN7" ca="1">IF(AND(DK1&lt;&gt;"",DK1&lt;&gt;"社食"),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INDIRECT("'盛付札（関数）'!AO"&amp;DI1))),"")</f>
        <v/>
      </c>
      <c r="DO7" s="209"/>
      <c r="DR7" s="216" t="str">
        <f t="array" aca="1" ref="DR7" ca="1">IF(DS1&lt;&gt;"",
IF(OR(INDIRECT("'盛付札（関数）'!AE"&amp;DQ1)=211,INDIRECT("'盛付札（関数）'!AE"&amp;DQ1)=212,INDIRECT("'盛付札（関数）'!AE"&amp;DQ1)=213),"",
INDIRECT("'盛付札（関数）'!AM"&amp;DQ1)),"")</f>
        <v/>
      </c>
      <c r="DS7" s="209"/>
      <c r="DT7" s="216" t="str">
        <f t="array" aca="1" ref="DT7" ca="1">IF(DS1&lt;&gt;"",
IF(OR(INDIRECT("'盛付札（関数）'!AE"&amp;DQ1)=211,INDIRECT("'盛付札（関数）'!AE"&amp;DQ1)=212,INDIRECT("'盛付札（関数）'!AE"&amp;DQ1)=213),"",
INDIRECT("'盛付札（関数）'!AN"&amp;DQ1)),"")</f>
        <v/>
      </c>
      <c r="DU7" s="209"/>
      <c r="DV7" s="217" t="str">
        <f t="array" aca="1" ref="DV7" ca="1">IF(AND(DS1&lt;&gt;"",DS1&lt;&gt;"社食"),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INDIRECT("'盛付札（関数）'!AO"&amp;DQ1))),"")</f>
        <v/>
      </c>
      <c r="DW7" s="209"/>
      <c r="DY7" s="216" t="str">
        <f t="array" aca="1" ref="DY7" ca="1">IF(DZ1&lt;&gt;"",
IF(OR(INDIRECT("'盛付札（関数）'!AE"&amp;DX1)=211,INDIRECT("'盛付札（関数）'!AE"&amp;DX1)=212,INDIRECT("'盛付札（関数）'!AE"&amp;DX1)=213),"",
INDIRECT("'盛付札（関数）'!AM"&amp;DX1)),"")</f>
        <v/>
      </c>
      <c r="DZ7" s="209"/>
      <c r="EA7" s="216" t="str">
        <f t="array" aca="1" ref="EA7" ca="1">IF(DZ1&lt;&gt;"",
IF(OR(INDIRECT("'盛付札（関数）'!AE"&amp;DX1)=211,INDIRECT("'盛付札（関数）'!AE"&amp;DX1)=212,INDIRECT("'盛付札（関数）'!AE"&amp;DX1)=213),"",
INDIRECT("'盛付札（関数）'!AN"&amp;DX1)),"")</f>
        <v/>
      </c>
      <c r="EB7" s="209"/>
      <c r="EC7" s="217" t="str">
        <f t="array" aca="1" ref="EC7" ca="1">IF(AND(DZ1&lt;&gt;"",DZ1&lt;&gt;"社食"),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INDIRECT("'盛付札（関数）'!AO"&amp;DX1))),"")</f>
        <v/>
      </c>
      <c r="ED7" s="209"/>
      <c r="EG7" s="216" t="str">
        <f t="array" aca="1" ref="EG7" ca="1">IF(EH1&lt;&gt;"",
IF(OR(INDIRECT("'盛付札（関数）'!AE"&amp;EF1)=211,INDIRECT("'盛付札（関数）'!AE"&amp;EF1)=212,INDIRECT("'盛付札（関数）'!AE"&amp;EF1)=213),"",
INDIRECT("'盛付札（関数）'!AM"&amp;EF1)),"")</f>
        <v/>
      </c>
      <c r="EH7" s="209"/>
      <c r="EI7" s="216" t="str">
        <f t="array" aca="1" ref="EI7" ca="1">IF(EH1&lt;&gt;"",
IF(OR(INDIRECT("'盛付札（関数）'!AE"&amp;EF1)=211,INDIRECT("'盛付札（関数）'!AE"&amp;EF1)=212,INDIRECT("'盛付札（関数）'!AE"&amp;EF1)=213),"",
INDIRECT("'盛付札（関数）'!AN"&amp;EF1)),"")</f>
        <v/>
      </c>
      <c r="EJ7" s="209"/>
      <c r="EK7" s="217" t="str">
        <f t="array" aca="1" ref="EK7" ca="1">IF(AND(EH1&lt;&gt;"",EH1&lt;&gt;"社食"),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INDIRECT("'盛付札（関数）'!AO"&amp;EF1))),"")</f>
        <v/>
      </c>
      <c r="EL7" s="209"/>
      <c r="EN7" s="216" t="str">
        <f t="array" aca="1" ref="EN7" ca="1">IF(EO1&lt;&gt;"",
IF(OR(INDIRECT("'盛付札（関数）'!AE"&amp;EM1)=211,INDIRECT("'盛付札（関数）'!AE"&amp;EM1)=212,INDIRECT("'盛付札（関数）'!AE"&amp;EM1)=213),"",
INDIRECT("'盛付札（関数）'!AM"&amp;EM1)),"")</f>
        <v/>
      </c>
      <c r="EO7" s="209"/>
      <c r="EP7" s="216" t="str">
        <f t="array" aca="1" ref="EP7" ca="1">IF(EO1&lt;&gt;"",
IF(OR(INDIRECT("'盛付札（関数）'!AE"&amp;EM1)=211,INDIRECT("'盛付札（関数）'!AE"&amp;EM1)=212,INDIRECT("'盛付札（関数）'!AE"&amp;EM1)=213),"",
INDIRECT("'盛付札（関数）'!AN"&amp;EM1)),"")</f>
        <v/>
      </c>
      <c r="EQ7" s="209"/>
      <c r="ER7" s="217" t="str">
        <f t="array" aca="1" ref="ER7" ca="1">IF(AND(EO1&lt;&gt;"",EO1&lt;&gt;"社食"),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INDIRECT("'盛付札（関数）'!AO"&amp;EM1))),"")</f>
        <v/>
      </c>
      <c r="ES7" s="209"/>
    </row>
    <row r="8" spans="1:150" ht="6.6" customHeight="1">
      <c r="B8" s="41"/>
      <c r="D8" s="41"/>
      <c r="F8" s="42"/>
      <c r="I8" s="41"/>
      <c r="K8" s="41"/>
      <c r="M8" s="42"/>
      <c r="Q8" s="41"/>
      <c r="S8" s="41"/>
      <c r="U8" s="42"/>
      <c r="X8" s="41"/>
      <c r="Z8" s="41"/>
      <c r="AB8" s="42"/>
      <c r="AF8" s="41"/>
      <c r="AH8" s="41"/>
      <c r="AJ8" s="42"/>
      <c r="AM8" s="41"/>
      <c r="AO8" s="41"/>
      <c r="AQ8" s="42"/>
      <c r="AU8" s="41"/>
      <c r="AW8" s="41"/>
      <c r="AY8" s="42"/>
      <c r="BB8" s="41"/>
      <c r="BD8" s="41"/>
      <c r="BF8" s="42"/>
      <c r="BJ8" s="41"/>
      <c r="BL8" s="41"/>
      <c r="BN8" s="42"/>
      <c r="BQ8" s="41"/>
      <c r="BS8" s="41"/>
      <c r="BU8" s="42"/>
      <c r="BY8" s="41"/>
      <c r="CA8" s="41"/>
      <c r="CC8" s="42"/>
      <c r="CF8" s="41"/>
      <c r="CH8" s="41"/>
      <c r="CJ8" s="42"/>
      <c r="CN8" s="41"/>
      <c r="CP8" s="41"/>
      <c r="CR8" s="42"/>
      <c r="CU8" s="41"/>
      <c r="CW8" s="41"/>
      <c r="CY8" s="42"/>
      <c r="DC8" s="41"/>
      <c r="DE8" s="41"/>
      <c r="DG8" s="42"/>
      <c r="DJ8" s="41"/>
      <c r="DL8" s="41"/>
      <c r="DN8" s="42"/>
      <c r="DR8" s="41"/>
      <c r="DT8" s="41"/>
      <c r="DV8" s="42"/>
      <c r="DY8" s="41"/>
      <c r="EA8" s="41"/>
      <c r="EC8" s="42"/>
      <c r="EG8" s="41"/>
      <c r="EI8" s="41"/>
      <c r="EK8" s="42"/>
      <c r="EN8" s="41"/>
      <c r="EP8" s="41"/>
      <c r="ER8" s="42"/>
    </row>
    <row r="9" spans="1:150" s="181" customFormat="1" ht="25.8" customHeight="1">
      <c r="A9" s="30">
        <f>H1+1</f>
        <v>3</v>
      </c>
      <c r="B9" s="40" t="str">
        <f ca="1">IF(C9&lt;&gt;"",
MID(貼り付け用!$A$2, FIND("年",貼り付け用!$A$2)+1,2)&amp;"/"&amp;MID(貼り付け用!$A$2, FIND("月",貼り付け用!$A$2)+1,2),"")</f>
        <v/>
      </c>
      <c r="C9" s="214" t="str">
        <f t="array" aca="1" ref="C9" ca="1">SUBSTITUTE(SUBSTITUTE(SUBSTITUTE(SUBSTITUTE(SUBSTITUTE(SUBSTITUTE(SUBSTITUTE(SUBSTITUTE(SUBSTITUTE(SUBSTITUTE(SUBSTITUTE(
INDIRECT("'盛付札（関数）'!AF"&amp;A9),"０",""),"①",""),"②",""),"③",""),"④",""),"⑤",""),"⑥",""),"⑦",""),"⑧",""),"⑨",""),"⑩","")</f>
        <v/>
      </c>
      <c r="D9" s="215"/>
      <c r="E9" s="215"/>
      <c r="F9" s="215"/>
      <c r="G9" s="39" t="str">
        <f t="array" aca="1" ref="G9" ca="1">IF(C9&lt;&gt;"",
IF(AND(INDIRECT("'盛付札（関数）'!AE"&amp;A9)&gt;=124,INDIRECT("'盛付札（関数）'!AE"&amp;A9)&lt;=144),"",
"様"),"")</f>
        <v/>
      </c>
      <c r="H9" s="33">
        <f>A9+1</f>
        <v>4</v>
      </c>
      <c r="I9" s="40" t="str">
        <f ca="1">IF(J9&lt;&gt;"",
MID(貼り付け用!$A$2, FIND("年",貼り付け用!$A$2)+1,2)&amp;"/"&amp;MID(貼り付け用!$A$2, FIND("月",貼り付け用!$A$2)+1,2),"")</f>
        <v/>
      </c>
      <c r="J9" s="214" t="str">
        <f t="array" aca="1" ref="J9" ca="1">SUBSTITUTE(SUBSTITUTE(SUBSTITUTE(SUBSTITUTE(SUBSTITUTE(SUBSTITUTE(SUBSTITUTE(SUBSTITUTE(SUBSTITUTE(SUBSTITUTE(SUBSTITUTE(
INDIRECT("'盛付札（関数）'!AF"&amp;H9),"０",""),"①",""),"②",""),"③",""),"④",""),"⑤",""),"⑥",""),"⑦",""),"⑧",""),"⑨",""),"⑩","")</f>
        <v/>
      </c>
      <c r="K9" s="215"/>
      <c r="L9" s="215"/>
      <c r="M9" s="215"/>
      <c r="N9" s="39" t="str">
        <f t="array" aca="1" ref="N9" ca="1">IF(J9&lt;&gt;"",
IF(AND(INDIRECT("'盛付札（関数）'!AE"&amp;H9)&gt;=124,INDIRECT("'盛付札（関数）'!AE"&amp;H9)&lt;=144),"",
"様"),"")</f>
        <v/>
      </c>
      <c r="O9" s="22"/>
      <c r="P9" s="30">
        <f>W1+1</f>
        <v>15</v>
      </c>
      <c r="Q9" s="40" t="str">
        <f ca="1">IF(R9&lt;&gt;"",
MID(貼り付け用!$A$2, FIND("年",貼り付け用!$A$2)+1,2)&amp;"/"&amp;MID(貼り付け用!$A$2, FIND("月",貼り付け用!$A$2)+1,2),"")</f>
        <v/>
      </c>
      <c r="R9" s="214" t="str">
        <f t="array" aca="1" ref="R9" ca="1">SUBSTITUTE(SUBSTITUTE(SUBSTITUTE(SUBSTITUTE(SUBSTITUTE(SUBSTITUTE(SUBSTITUTE(SUBSTITUTE(SUBSTITUTE(SUBSTITUTE(SUBSTITUTE(
INDIRECT("'盛付札（関数）'!AF"&amp;P9),"０",""),"①",""),"②",""),"③",""),"④",""),"⑤",""),"⑥",""),"⑦",""),"⑧",""),"⑨",""),"⑩","")</f>
        <v/>
      </c>
      <c r="S9" s="215"/>
      <c r="T9" s="215"/>
      <c r="U9" s="215"/>
      <c r="V9" s="39" t="str">
        <f t="array" aca="1" ref="V9" ca="1">IF(R9&lt;&gt;"",
IF(AND(INDIRECT("'盛付札（関数）'!AE"&amp;P9)&gt;=124,INDIRECT("'盛付札（関数）'!AE"&amp;P9)&lt;=144),"",
"様"),"")</f>
        <v/>
      </c>
      <c r="W9" s="33">
        <f>P9+1</f>
        <v>16</v>
      </c>
      <c r="X9" s="40" t="str">
        <f ca="1">IF(Y9&lt;&gt;"",
MID(貼り付け用!$A$2, FIND("年",貼り付け用!$A$2)+1,2)&amp;"/"&amp;MID(貼り付け用!$A$2, FIND("月",貼り付け用!$A$2)+1,2),"")</f>
        <v/>
      </c>
      <c r="Y9" s="214" t="str">
        <f t="array" aca="1" ref="Y9" ca="1">SUBSTITUTE(SUBSTITUTE(SUBSTITUTE(SUBSTITUTE(SUBSTITUTE(SUBSTITUTE(SUBSTITUTE(SUBSTITUTE(SUBSTITUTE(SUBSTITUTE(SUBSTITUTE(
INDIRECT("'盛付札（関数）'!AF"&amp;W9),"０",""),"①",""),"②",""),"③",""),"④",""),"⑤",""),"⑥",""),"⑦",""),"⑧",""),"⑨",""),"⑩","")</f>
        <v/>
      </c>
      <c r="Z9" s="215"/>
      <c r="AA9" s="215"/>
      <c r="AB9" s="215"/>
      <c r="AC9" s="39" t="str">
        <f t="array" aca="1" ref="AC9" ca="1">IF(Y9&lt;&gt;"",
IF(AND(INDIRECT("'盛付札（関数）'!AE"&amp;W9)&gt;=124,INDIRECT("'盛付札（関数）'!AE"&amp;W9)&lt;=144),"",
"様"),"")</f>
        <v/>
      </c>
      <c r="AD9" s="22"/>
      <c r="AE9" s="30">
        <f>AL1+1</f>
        <v>27</v>
      </c>
      <c r="AF9" s="40" t="str">
        <f ca="1">IF(AG9&lt;&gt;"",
MID(貼り付け用!$A$2, FIND("年",貼り付け用!$A$2)+1,2)&amp;"/"&amp;MID(貼り付け用!$A$2, FIND("月",貼り付け用!$A$2)+1,2),"")</f>
        <v/>
      </c>
      <c r="AG9" s="214" t="str">
        <f t="array" aca="1" ref="AG9" ca="1">SUBSTITUTE(SUBSTITUTE(SUBSTITUTE(SUBSTITUTE(SUBSTITUTE(SUBSTITUTE(SUBSTITUTE(SUBSTITUTE(SUBSTITUTE(SUBSTITUTE(SUBSTITUTE(
INDIRECT("'盛付札（関数）'!AF"&amp;AE9),"０",""),"①",""),"②",""),"③",""),"④",""),"⑤",""),"⑥",""),"⑦",""),"⑧",""),"⑨",""),"⑩","")</f>
        <v/>
      </c>
      <c r="AH9" s="215"/>
      <c r="AI9" s="215"/>
      <c r="AJ9" s="215"/>
      <c r="AK9" s="39" t="str">
        <f t="array" aca="1" ref="AK9" ca="1">IF(AG9&lt;&gt;"",
IF(AND(INDIRECT("'盛付札（関数）'!AE"&amp;AE9)&gt;=124,INDIRECT("'盛付札（関数）'!AE"&amp;AE9)&lt;=144),"",
"様"),"")</f>
        <v/>
      </c>
      <c r="AL9" s="33">
        <f>AE9+1</f>
        <v>28</v>
      </c>
      <c r="AM9" s="40" t="str">
        <f ca="1">IF(AN9&lt;&gt;"",
MID(貼り付け用!$A$2, FIND("年",貼り付け用!$A$2)+1,2)&amp;"/"&amp;MID(貼り付け用!$A$2, FIND("月",貼り付け用!$A$2)+1,2),"")</f>
        <v/>
      </c>
      <c r="AN9" s="214" t="str">
        <f t="array" aca="1" ref="AN9" ca="1">SUBSTITUTE(SUBSTITUTE(SUBSTITUTE(SUBSTITUTE(SUBSTITUTE(SUBSTITUTE(SUBSTITUTE(SUBSTITUTE(SUBSTITUTE(SUBSTITUTE(SUBSTITUTE(
INDIRECT("'盛付札（関数）'!AF"&amp;AL9),"０",""),"①",""),"②",""),"③",""),"④",""),"⑤",""),"⑥",""),"⑦",""),"⑧",""),"⑨",""),"⑩","")</f>
        <v/>
      </c>
      <c r="AO9" s="215"/>
      <c r="AP9" s="215"/>
      <c r="AQ9" s="215"/>
      <c r="AR9" s="39" t="str">
        <f t="array" aca="1" ref="AR9" ca="1">IF(AN9&lt;&gt;"",
IF(AND(INDIRECT("'盛付札（関数）'!AE"&amp;AL9)&gt;=124,INDIRECT("'盛付札（関数）'!AE"&amp;AL9)&lt;=144),"",
"様"),"")</f>
        <v/>
      </c>
      <c r="AS9" s="22"/>
      <c r="AT9" s="30">
        <f>BA1+1</f>
        <v>39</v>
      </c>
      <c r="AU9" s="40" t="str">
        <f ca="1">IF(AV9&lt;&gt;"",
MID(貼り付け用!$A$2, FIND("年",貼り付け用!$A$2)+1,2)&amp;"/"&amp;MID(貼り付け用!$A$2, FIND("月",貼り付け用!$A$2)+1,2),"")</f>
        <v/>
      </c>
      <c r="AV9" s="214" t="str">
        <f t="array" aca="1" ref="AV9" ca="1">SUBSTITUTE(SUBSTITUTE(SUBSTITUTE(SUBSTITUTE(SUBSTITUTE(SUBSTITUTE(SUBSTITUTE(SUBSTITUTE(SUBSTITUTE(SUBSTITUTE(SUBSTITUTE(
INDIRECT("'盛付札（関数）'!AF"&amp;AT9),"０",""),"①",""),"②",""),"③",""),"④",""),"⑤",""),"⑥",""),"⑦",""),"⑧",""),"⑨",""),"⑩","")</f>
        <v/>
      </c>
      <c r="AW9" s="215"/>
      <c r="AX9" s="215"/>
      <c r="AY9" s="215"/>
      <c r="AZ9" s="39" t="str">
        <f t="array" aca="1" ref="AZ9" ca="1">IF(AV9&lt;&gt;"",
IF(AND(INDIRECT("'盛付札（関数）'!AE"&amp;AT9)&gt;=124,INDIRECT("'盛付札（関数）'!AE"&amp;AT9)&lt;=144),"",
"様"),"")</f>
        <v/>
      </c>
      <c r="BA9" s="33">
        <f>AT9+1</f>
        <v>40</v>
      </c>
      <c r="BB9" s="40" t="str">
        <f ca="1">IF(BC9&lt;&gt;"",
MID(貼り付け用!$A$2, FIND("年",貼り付け用!$A$2)+1,2)&amp;"/"&amp;MID(貼り付け用!$A$2, FIND("月",貼り付け用!$A$2)+1,2),"")</f>
        <v/>
      </c>
      <c r="BC9" s="214" t="str">
        <f t="array" aca="1" ref="BC9" ca="1">SUBSTITUTE(SUBSTITUTE(SUBSTITUTE(SUBSTITUTE(SUBSTITUTE(SUBSTITUTE(SUBSTITUTE(SUBSTITUTE(SUBSTITUTE(SUBSTITUTE(SUBSTITUTE(
INDIRECT("'盛付札（関数）'!AF"&amp;BA9),"０",""),"①",""),"②",""),"③",""),"④",""),"⑤",""),"⑥",""),"⑦",""),"⑧",""),"⑨",""),"⑩","")</f>
        <v/>
      </c>
      <c r="BD9" s="215"/>
      <c r="BE9" s="215"/>
      <c r="BF9" s="215"/>
      <c r="BG9" s="39" t="str">
        <f t="array" aca="1" ref="BG9" ca="1">IF(BC9&lt;&gt;"",
IF(AND(INDIRECT("'盛付札（関数）'!AE"&amp;BA9)&gt;=124,INDIRECT("'盛付札（関数）'!AE"&amp;BA9)&lt;=144),"",
"様"),"")</f>
        <v/>
      </c>
      <c r="BH9" s="22"/>
      <c r="BI9" s="30">
        <f>BP1+1</f>
        <v>51</v>
      </c>
      <c r="BJ9" s="40" t="str">
        <f ca="1">IF(BK9&lt;&gt;"",
MID(貼り付け用!$A$2, FIND("年",貼り付け用!$A$2)+1,2)&amp;"/"&amp;MID(貼り付け用!$A$2, FIND("月",貼り付け用!$A$2)+1,2),"")</f>
        <v/>
      </c>
      <c r="BK9" s="214" t="str">
        <f t="array" aca="1" ref="BK9" ca="1">SUBSTITUTE(SUBSTITUTE(SUBSTITUTE(SUBSTITUTE(SUBSTITUTE(SUBSTITUTE(SUBSTITUTE(SUBSTITUTE(SUBSTITUTE(SUBSTITUTE(SUBSTITUTE(
INDIRECT("'盛付札（関数）'!AF"&amp;BI9),"０",""),"①",""),"②",""),"③",""),"④",""),"⑤",""),"⑥",""),"⑦",""),"⑧",""),"⑨",""),"⑩","")</f>
        <v/>
      </c>
      <c r="BL9" s="215"/>
      <c r="BM9" s="215"/>
      <c r="BN9" s="215"/>
      <c r="BO9" s="39" t="str">
        <f t="array" aca="1" ref="BO9" ca="1">IF(BK9&lt;&gt;"",
IF(AND(INDIRECT("'盛付札（関数）'!AE"&amp;BI9)&gt;=124,INDIRECT("'盛付札（関数）'!AE"&amp;BI9)&lt;=144),"",
"様"),"")</f>
        <v/>
      </c>
      <c r="BP9" s="33">
        <f>BI9+1</f>
        <v>52</v>
      </c>
      <c r="BQ9" s="40" t="str">
        <f ca="1">IF(BR9&lt;&gt;"",
MID(貼り付け用!$A$2, FIND("年",貼り付け用!$A$2)+1,2)&amp;"/"&amp;MID(貼り付け用!$A$2, FIND("月",貼り付け用!$A$2)+1,2),"")</f>
        <v/>
      </c>
      <c r="BR9" s="214" t="str">
        <f t="array" aca="1" ref="BR9" ca="1">SUBSTITUTE(SUBSTITUTE(SUBSTITUTE(SUBSTITUTE(SUBSTITUTE(SUBSTITUTE(SUBSTITUTE(SUBSTITUTE(SUBSTITUTE(SUBSTITUTE(SUBSTITUTE(
INDIRECT("'盛付札（関数）'!AF"&amp;BP9),"０",""),"①",""),"②",""),"③",""),"④",""),"⑤",""),"⑥",""),"⑦",""),"⑧",""),"⑨",""),"⑩","")</f>
        <v/>
      </c>
      <c r="BS9" s="215"/>
      <c r="BT9" s="215"/>
      <c r="BU9" s="215"/>
      <c r="BV9" s="39" t="str">
        <f t="array" aca="1" ref="BV9" ca="1">IF(BR9&lt;&gt;"",
IF(AND(INDIRECT("'盛付札（関数）'!AE"&amp;BP9)&gt;=124,INDIRECT("'盛付札（関数）'!AE"&amp;BP9)&lt;=144),"",
"様"),"")</f>
        <v/>
      </c>
      <c r="BW9" s="22"/>
      <c r="BX9" s="30">
        <f>CE1+1</f>
        <v>63</v>
      </c>
      <c r="BY9" s="40" t="str">
        <f ca="1">IF(BZ9&lt;&gt;"",
MID(貼り付け用!$A$2, FIND("年",貼り付け用!$A$2)+1,2)&amp;"/"&amp;MID(貼り付け用!$A$2, FIND("月",貼り付け用!$A$2)+1,2),"")</f>
        <v/>
      </c>
      <c r="BZ9" s="214" t="str">
        <f t="array" aca="1" ref="BZ9" ca="1">SUBSTITUTE(SUBSTITUTE(SUBSTITUTE(SUBSTITUTE(SUBSTITUTE(SUBSTITUTE(SUBSTITUTE(SUBSTITUTE(SUBSTITUTE(SUBSTITUTE(SUBSTITUTE(
INDIRECT("'盛付札（関数）'!AF"&amp;BX9),"０",""),"①",""),"②",""),"③",""),"④",""),"⑤",""),"⑥",""),"⑦",""),"⑧",""),"⑨",""),"⑩","")</f>
        <v/>
      </c>
      <c r="CA9" s="215"/>
      <c r="CB9" s="215"/>
      <c r="CC9" s="215"/>
      <c r="CD9" s="39" t="str">
        <f t="array" aca="1" ref="CD9" ca="1">IF(BZ9&lt;&gt;"",
IF(AND(INDIRECT("'盛付札（関数）'!AE"&amp;BX9)&gt;=124,INDIRECT("'盛付札（関数）'!AE"&amp;BX9)&lt;=144),"",
"様"),"")</f>
        <v/>
      </c>
      <c r="CE9" s="33">
        <f>BX9+1</f>
        <v>64</v>
      </c>
      <c r="CF9" s="40" t="str">
        <f ca="1">IF(CG9&lt;&gt;"",
MID(貼り付け用!$A$2, FIND("年",貼り付け用!$A$2)+1,2)&amp;"/"&amp;MID(貼り付け用!$A$2, FIND("月",貼り付け用!$A$2)+1,2),"")</f>
        <v/>
      </c>
      <c r="CG9" s="214" t="str">
        <f t="array" aca="1" ref="CG9" ca="1">SUBSTITUTE(SUBSTITUTE(SUBSTITUTE(SUBSTITUTE(SUBSTITUTE(SUBSTITUTE(SUBSTITUTE(SUBSTITUTE(SUBSTITUTE(SUBSTITUTE(SUBSTITUTE(
INDIRECT("'盛付札（関数）'!AF"&amp;CE9),"０",""),"①",""),"②",""),"③",""),"④",""),"⑤",""),"⑥",""),"⑦",""),"⑧",""),"⑨",""),"⑩","")</f>
        <v/>
      </c>
      <c r="CH9" s="215"/>
      <c r="CI9" s="215"/>
      <c r="CJ9" s="215"/>
      <c r="CK9" s="39" t="str">
        <f t="array" aca="1" ref="CK9" ca="1">IF(CG9&lt;&gt;"",
IF(AND(INDIRECT("'盛付札（関数）'!AE"&amp;CE9)&gt;=124,INDIRECT("'盛付札（関数）'!AE"&amp;CE9)&lt;=144),"",
"様"),"")</f>
        <v/>
      </c>
      <c r="CL9" s="22"/>
      <c r="CM9" s="30">
        <f>CT1+1</f>
        <v>75</v>
      </c>
      <c r="CN9" s="40" t="str">
        <f ca="1">IF(CO9&lt;&gt;"",
MID(貼り付け用!$A$2, FIND("年",貼り付け用!$A$2)+1,2)&amp;"/"&amp;MID(貼り付け用!$A$2, FIND("月",貼り付け用!$A$2)+1,2),"")</f>
        <v/>
      </c>
      <c r="CO9" s="214" t="str">
        <f t="array" aca="1" ref="CO9" ca="1">SUBSTITUTE(SUBSTITUTE(SUBSTITUTE(SUBSTITUTE(SUBSTITUTE(SUBSTITUTE(SUBSTITUTE(SUBSTITUTE(SUBSTITUTE(SUBSTITUTE(SUBSTITUTE(
INDIRECT("'盛付札（関数）'!AF"&amp;CM9),"０",""),"①",""),"②",""),"③",""),"④",""),"⑤",""),"⑥",""),"⑦",""),"⑧",""),"⑨",""),"⑩","")</f>
        <v/>
      </c>
      <c r="CP9" s="215"/>
      <c r="CQ9" s="215"/>
      <c r="CR9" s="215"/>
      <c r="CS9" s="39" t="str">
        <f t="array" aca="1" ref="CS9" ca="1">IF(CO9&lt;&gt;"",
IF(AND(INDIRECT("'盛付札（関数）'!AE"&amp;CM9)&gt;=124,INDIRECT("'盛付札（関数）'!AE"&amp;CM9)&lt;=144),"",
"様"),"")</f>
        <v/>
      </c>
      <c r="CT9" s="33">
        <f>CM9+1</f>
        <v>76</v>
      </c>
      <c r="CU9" s="40" t="str">
        <f ca="1">IF(CV9&lt;&gt;"",
MID(貼り付け用!$A$2, FIND("年",貼り付け用!$A$2)+1,2)&amp;"/"&amp;MID(貼り付け用!$A$2, FIND("月",貼り付け用!$A$2)+1,2),"")</f>
        <v/>
      </c>
      <c r="CV9" s="214" t="str">
        <f t="array" aca="1" ref="CV9" ca="1">SUBSTITUTE(SUBSTITUTE(SUBSTITUTE(SUBSTITUTE(SUBSTITUTE(SUBSTITUTE(SUBSTITUTE(SUBSTITUTE(SUBSTITUTE(SUBSTITUTE(SUBSTITUTE(
INDIRECT("'盛付札（関数）'!AF"&amp;CT9),"０",""),"①",""),"②",""),"③",""),"④",""),"⑤",""),"⑥",""),"⑦",""),"⑧",""),"⑨",""),"⑩","")</f>
        <v/>
      </c>
      <c r="CW9" s="215"/>
      <c r="CX9" s="215"/>
      <c r="CY9" s="215"/>
      <c r="CZ9" s="39" t="str">
        <f t="array" aca="1" ref="CZ9" ca="1">IF(CV9&lt;&gt;"",
IF(AND(INDIRECT("'盛付札（関数）'!AE"&amp;CT9)&gt;=124,INDIRECT("'盛付札（関数）'!AE"&amp;CT9)&lt;=144),"",
"様"),"")</f>
        <v/>
      </c>
      <c r="DA9" s="22"/>
      <c r="DB9" s="30">
        <f>DI1+1</f>
        <v>87</v>
      </c>
      <c r="DC9" s="40" t="str">
        <f ca="1">IF(DD9&lt;&gt;"",
MID(貼り付け用!$A$2, FIND("年",貼り付け用!$A$2)+1,2)&amp;"/"&amp;MID(貼り付け用!$A$2, FIND("月",貼り付け用!$A$2)+1,2),"")</f>
        <v/>
      </c>
      <c r="DD9" s="214" t="str">
        <f t="array" aca="1" ref="DD9" ca="1">SUBSTITUTE(SUBSTITUTE(SUBSTITUTE(SUBSTITUTE(SUBSTITUTE(SUBSTITUTE(SUBSTITUTE(SUBSTITUTE(SUBSTITUTE(SUBSTITUTE(SUBSTITUTE(
INDIRECT("'盛付札（関数）'!AF"&amp;DB9),"０",""),"①",""),"②",""),"③",""),"④",""),"⑤",""),"⑥",""),"⑦",""),"⑧",""),"⑨",""),"⑩","")</f>
        <v/>
      </c>
      <c r="DE9" s="215"/>
      <c r="DF9" s="215"/>
      <c r="DG9" s="215"/>
      <c r="DH9" s="39" t="str">
        <f t="array" aca="1" ref="DH9" ca="1">IF(DD9&lt;&gt;"",
IF(AND(INDIRECT("'盛付札（関数）'!AE"&amp;DB9)&gt;=124,INDIRECT("'盛付札（関数）'!AE"&amp;DB9)&lt;=144),"",
"様"),"")</f>
        <v/>
      </c>
      <c r="DI9" s="33">
        <f>DB9+1</f>
        <v>88</v>
      </c>
      <c r="DJ9" s="40" t="str">
        <f ca="1">IF(DK9&lt;&gt;"",
MID(貼り付け用!$A$2, FIND("年",貼り付け用!$A$2)+1,2)&amp;"/"&amp;MID(貼り付け用!$A$2, FIND("月",貼り付け用!$A$2)+1,2),"")</f>
        <v/>
      </c>
      <c r="DK9" s="214" t="str">
        <f t="array" aca="1" ref="DK9" ca="1">SUBSTITUTE(SUBSTITUTE(SUBSTITUTE(SUBSTITUTE(SUBSTITUTE(SUBSTITUTE(SUBSTITUTE(SUBSTITUTE(SUBSTITUTE(SUBSTITUTE(SUBSTITUTE(
INDIRECT("'盛付札（関数）'!AF"&amp;DI9),"０",""),"①",""),"②",""),"③",""),"④",""),"⑤",""),"⑥",""),"⑦",""),"⑧",""),"⑨",""),"⑩","")</f>
        <v/>
      </c>
      <c r="DL9" s="215"/>
      <c r="DM9" s="215"/>
      <c r="DN9" s="215"/>
      <c r="DO9" s="39" t="str">
        <f t="array" aca="1" ref="DO9" ca="1">IF(DK9&lt;&gt;"",
IF(AND(INDIRECT("'盛付札（関数）'!AE"&amp;DI9)&gt;=124,INDIRECT("'盛付札（関数）'!AE"&amp;DI9)&lt;=144),"",
"様"),"")</f>
        <v/>
      </c>
      <c r="DP9" s="22"/>
      <c r="DQ9" s="30">
        <f>DX1+1</f>
        <v>99</v>
      </c>
      <c r="DR9" s="40" t="str">
        <f ca="1">IF(DS9&lt;&gt;"",
MID(貼り付け用!$A$2, FIND("年",貼り付け用!$A$2)+1,2)&amp;"/"&amp;MID(貼り付け用!$A$2, FIND("月",貼り付け用!$A$2)+1,2),"")</f>
        <v/>
      </c>
      <c r="DS9" s="214" t="str">
        <f t="array" aca="1" ref="DS9" ca="1">SUBSTITUTE(SUBSTITUTE(SUBSTITUTE(SUBSTITUTE(SUBSTITUTE(SUBSTITUTE(SUBSTITUTE(SUBSTITUTE(SUBSTITUTE(SUBSTITUTE(SUBSTITUTE(
INDIRECT("'盛付札（関数）'!AF"&amp;DQ9),"０",""),"①",""),"②",""),"③",""),"④",""),"⑤",""),"⑥",""),"⑦",""),"⑧",""),"⑨",""),"⑩","")</f>
        <v/>
      </c>
      <c r="DT9" s="215"/>
      <c r="DU9" s="215"/>
      <c r="DV9" s="215"/>
      <c r="DW9" s="39" t="str">
        <f t="array" aca="1" ref="DW9" ca="1">IF(DS9&lt;&gt;"",
IF(AND(INDIRECT("'盛付札（関数）'!AE"&amp;DQ9)&gt;=124,INDIRECT("'盛付札（関数）'!AE"&amp;DQ9)&lt;=144),"",
"様"),"")</f>
        <v/>
      </c>
      <c r="DX9" s="33">
        <f>DQ9+1</f>
        <v>100</v>
      </c>
      <c r="DY9" s="40" t="str">
        <f ca="1">IF(DZ9&lt;&gt;"",
MID(貼り付け用!$A$2, FIND("年",貼り付け用!$A$2)+1,2)&amp;"/"&amp;MID(貼り付け用!$A$2, FIND("月",貼り付け用!$A$2)+1,2),"")</f>
        <v/>
      </c>
      <c r="DZ9" s="214" t="str">
        <f t="array" aca="1" ref="DZ9" ca="1">SUBSTITUTE(SUBSTITUTE(SUBSTITUTE(SUBSTITUTE(SUBSTITUTE(SUBSTITUTE(SUBSTITUTE(SUBSTITUTE(SUBSTITUTE(SUBSTITUTE(SUBSTITUTE(
INDIRECT("'盛付札（関数）'!AF"&amp;DX9),"０",""),"①",""),"②",""),"③",""),"④",""),"⑤",""),"⑥",""),"⑦",""),"⑧",""),"⑨",""),"⑩","")</f>
        <v/>
      </c>
      <c r="EA9" s="215"/>
      <c r="EB9" s="215"/>
      <c r="EC9" s="215"/>
      <c r="ED9" s="39" t="str">
        <f t="array" aca="1" ref="ED9" ca="1">IF(DZ9&lt;&gt;"",
IF(AND(INDIRECT("'盛付札（関数）'!AE"&amp;DX9)&gt;=124,INDIRECT("'盛付札（関数）'!AE"&amp;DX9)&lt;=144),"",
"様"),"")</f>
        <v/>
      </c>
      <c r="EE9" s="22"/>
      <c r="EF9" s="30">
        <f>EM1+1</f>
        <v>111</v>
      </c>
      <c r="EG9" s="40" t="str">
        <f ca="1">IF(EH9&lt;&gt;"",
MID(貼り付け用!$A$2, FIND("年",貼り付け用!$A$2)+1,2)&amp;"/"&amp;MID(貼り付け用!$A$2, FIND("月",貼り付け用!$A$2)+1,2),"")</f>
        <v/>
      </c>
      <c r="EH9" s="214" t="str">
        <f t="array" aca="1" ref="EH9" ca="1">SUBSTITUTE(SUBSTITUTE(SUBSTITUTE(SUBSTITUTE(SUBSTITUTE(SUBSTITUTE(SUBSTITUTE(SUBSTITUTE(SUBSTITUTE(SUBSTITUTE(SUBSTITUTE(
INDIRECT("'盛付札（関数）'!AF"&amp;EF9),"０",""),"①",""),"②",""),"③",""),"④",""),"⑤",""),"⑥",""),"⑦",""),"⑧",""),"⑨",""),"⑩","")</f>
        <v/>
      </c>
      <c r="EI9" s="215"/>
      <c r="EJ9" s="215"/>
      <c r="EK9" s="215"/>
      <c r="EL9" s="39" t="str">
        <f t="array" aca="1" ref="EL9" ca="1">IF(EH9&lt;&gt;"",
IF(AND(INDIRECT("'盛付札（関数）'!AE"&amp;EF9)&gt;=124,INDIRECT("'盛付札（関数）'!AE"&amp;EF9)&lt;=144),"",
"様"),"")</f>
        <v/>
      </c>
      <c r="EM9" s="33">
        <f>EF9+1</f>
        <v>112</v>
      </c>
      <c r="EN9" s="40" t="str">
        <f ca="1">IF(EO9&lt;&gt;"",
MID(貼り付け用!$A$2, FIND("年",貼り付け用!$A$2)+1,2)&amp;"/"&amp;MID(貼り付け用!$A$2, FIND("月",貼り付け用!$A$2)+1,2),"")</f>
        <v/>
      </c>
      <c r="EO9" s="214" t="str">
        <f t="array" aca="1" ref="EO9" ca="1">SUBSTITUTE(SUBSTITUTE(SUBSTITUTE(SUBSTITUTE(SUBSTITUTE(SUBSTITUTE(SUBSTITUTE(SUBSTITUTE(SUBSTITUTE(SUBSTITUTE(SUBSTITUTE(
INDIRECT("'盛付札（関数）'!AF"&amp;EM9),"０",""),"①",""),"②",""),"③",""),"④",""),"⑤",""),"⑥",""),"⑦",""),"⑧",""),"⑨",""),"⑩","")</f>
        <v/>
      </c>
      <c r="EP9" s="215"/>
      <c r="EQ9" s="215"/>
      <c r="ER9" s="215"/>
      <c r="ES9" s="39" t="str">
        <f t="array" aca="1" ref="ES9" ca="1">IF(EO9&lt;&gt;"",
IF(AND(INDIRECT("'盛付札（関数）'!AE"&amp;EM9)&gt;=124,INDIRECT("'盛付札（関数）'!AE"&amp;EM9)&lt;=144),"",
"様"),"")</f>
        <v/>
      </c>
      <c r="ET9" s="22"/>
    </row>
    <row r="10" spans="1:150" s="181" customFormat="1">
      <c r="A10" s="30"/>
      <c r="B10" s="102"/>
      <c r="C10" s="136" t="str">
        <f t="array" aca="1" ref="C10" ca="1">IF(C9&lt;&gt;"",
IF(OR(INDIRECT("'盛付札（関数）'!AE"&amp;A9)=211,INDIRECT("'盛付札（関数）'!AE"&amp;A9)=212,INDIRECT("'盛付札（関数）'!AE"&amp;A9)=213),"",
IF(AND(INDIRECT("'盛付札（関数）'!AE"&amp;A9)&gt;=219,INDIRECT("'盛付札（関数）'!AE"&amp;A9)&lt;=246),"",
INDIRECT("'盛付札（関数）'!AG"&amp;A9))),"")</f>
        <v/>
      </c>
      <c r="D10" s="38"/>
      <c r="E10" s="38"/>
      <c r="F10" s="190" t="str">
        <f t="array" aca="1" ref="F10" ca="1">IF(AND(C9&lt;&gt;"",ISERROR(FIND("社食",C9))),
IF(OR(INDIRECT("'盛付札（関数）'!AE"&amp;A9)=211,INDIRECT("'盛付札（関数）'!AE"&amp;A9)=212,INDIRECT("'盛付札（関数）'!AE"&amp;A9)=213),"",
IF(INDIRECT("'盛付札（関数）'!AH"&amp;A9)&lt;&gt;"",
INDIRECT("'盛付札（関数）'!AH"&amp;A9)&amp;"箱"&amp;INDIRECT("'盛付札（関数）'!AI"&amp;A9),"")),"")</f>
        <v/>
      </c>
      <c r="G10" s="36"/>
      <c r="H10" s="43"/>
      <c r="I10" s="102"/>
      <c r="J10" s="136" t="str">
        <f t="array" aca="1" ref="J10" ca="1">IF(J9&lt;&gt;"",
IF(OR(INDIRECT("'盛付札（関数）'!AE"&amp;H9)=211,INDIRECT("'盛付札（関数）'!AE"&amp;H9)=212,INDIRECT("'盛付札（関数）'!AE"&amp;H9)=213),"",
IF(AND(INDIRECT("'盛付札（関数）'!AE"&amp;H9)&gt;=219,INDIRECT("'盛付札（関数）'!AE"&amp;H9)&lt;=246),"",
INDIRECT("'盛付札（関数）'!AG"&amp;H9))),"")</f>
        <v/>
      </c>
      <c r="K10" s="38"/>
      <c r="L10" s="38"/>
      <c r="M10" s="190" t="str">
        <f t="array" aca="1" ref="M10" ca="1">IF(AND(J9&lt;&gt;"",ISERROR(FIND("社食",J9))),
IF(OR(INDIRECT("'盛付札（関数）'!AE"&amp;H9)=211,INDIRECT("'盛付札（関数）'!AE"&amp;H9)=212,INDIRECT("'盛付札（関数）'!AE"&amp;H9)=213),"",
IF(INDIRECT("'盛付札（関数）'!AH"&amp;H9)&lt;&gt;"",
INDIRECT("'盛付札（関数）'!AH"&amp;H9)&amp;"箱"&amp;INDIRECT("'盛付札（関数）'!AI"&amp;H9),"")),"")</f>
        <v/>
      </c>
      <c r="N10" s="36"/>
      <c r="O10" s="22"/>
      <c r="P10" s="30"/>
      <c r="Q10" s="102"/>
      <c r="R10" s="136" t="str">
        <f t="array" aca="1" ref="R10" ca="1">IF(R9&lt;&gt;"",
IF(OR(INDIRECT("'盛付札（関数）'!AE"&amp;P9)=211,INDIRECT("'盛付札（関数）'!AE"&amp;P9)=212,INDIRECT("'盛付札（関数）'!AE"&amp;P9)=213),"",
IF(AND(INDIRECT("'盛付札（関数）'!AE"&amp;P9)&gt;=219,INDIRECT("'盛付札（関数）'!AE"&amp;P9)&lt;=246),"",
INDIRECT("'盛付札（関数）'!AG"&amp;P9))),"")</f>
        <v/>
      </c>
      <c r="S10" s="38"/>
      <c r="T10" s="38"/>
      <c r="U10" s="190" t="str">
        <f t="array" aca="1" ref="U10" ca="1">IF(AND(R9&lt;&gt;"",ISERROR(FIND("社食",R9))),
IF(OR(INDIRECT("'盛付札（関数）'!AE"&amp;P9)=211,INDIRECT("'盛付札（関数）'!AE"&amp;P9)=212,INDIRECT("'盛付札（関数）'!AE"&amp;P9)=213),"",
IF(INDIRECT("'盛付札（関数）'!AH"&amp;P9)&lt;&gt;"",
INDIRECT("'盛付札（関数）'!AH"&amp;P9)&amp;"箱"&amp;INDIRECT("'盛付札（関数）'!AI"&amp;P9),"")),"")</f>
        <v/>
      </c>
      <c r="V10" s="36"/>
      <c r="W10" s="43"/>
      <c r="X10" s="102"/>
      <c r="Y10" s="136" t="str">
        <f t="array" aca="1" ref="Y10" ca="1">IF(Y9&lt;&gt;"",
IF(OR(INDIRECT("'盛付札（関数）'!AE"&amp;W9)=211,INDIRECT("'盛付札（関数）'!AE"&amp;W9)=212,INDIRECT("'盛付札（関数）'!AE"&amp;W9)=213),"",
IF(AND(INDIRECT("'盛付札（関数）'!AE"&amp;W9)&gt;=219,INDIRECT("'盛付札（関数）'!AE"&amp;W9)&lt;=246),"",
INDIRECT("'盛付札（関数）'!AG"&amp;W9))),"")</f>
        <v/>
      </c>
      <c r="Z10" s="38"/>
      <c r="AA10" s="38"/>
      <c r="AB10" s="190" t="str">
        <f t="array" aca="1" ref="AB10" ca="1">IF(AND(Y9&lt;&gt;"",ISERROR(FIND("社食",Y9))),
IF(OR(INDIRECT("'盛付札（関数）'!AE"&amp;W9)=211,INDIRECT("'盛付札（関数）'!AE"&amp;W9)=212,INDIRECT("'盛付札（関数）'!AE"&amp;W9)=213),"",
IF(INDIRECT("'盛付札（関数）'!AH"&amp;W9)&lt;&gt;"",
INDIRECT("'盛付札（関数）'!AH"&amp;W9)&amp;"箱"&amp;INDIRECT("'盛付札（関数）'!AI"&amp;W9),"")),"")</f>
        <v/>
      </c>
      <c r="AC10" s="36"/>
      <c r="AD10" s="22"/>
      <c r="AE10" s="30"/>
      <c r="AF10" s="102"/>
      <c r="AG10" s="136" t="str">
        <f t="array" aca="1" ref="AG10" ca="1">IF(AG9&lt;&gt;"",
IF(OR(INDIRECT("'盛付札（関数）'!AE"&amp;AE9)=211,INDIRECT("'盛付札（関数）'!AE"&amp;AE9)=212,INDIRECT("'盛付札（関数）'!AE"&amp;AE9)=213),"",
IF(AND(INDIRECT("'盛付札（関数）'!AE"&amp;AE9)&gt;=219,INDIRECT("'盛付札（関数）'!AE"&amp;AE9)&lt;=246),"",
INDIRECT("'盛付札（関数）'!AG"&amp;AE9))),"")</f>
        <v/>
      </c>
      <c r="AH10" s="38"/>
      <c r="AI10" s="38"/>
      <c r="AJ10" s="190" t="str">
        <f t="array" aca="1" ref="AJ10" ca="1">IF(AND(AG9&lt;&gt;"",ISERROR(FIND("社食",AG9))),
IF(OR(INDIRECT("'盛付札（関数）'!AE"&amp;AE9)=211,INDIRECT("'盛付札（関数）'!AE"&amp;AE9)=212,INDIRECT("'盛付札（関数）'!AE"&amp;AE9)=213),"",
IF(INDIRECT("'盛付札（関数）'!AH"&amp;AE9)&lt;&gt;"",
INDIRECT("'盛付札（関数）'!AH"&amp;AE9)&amp;"箱"&amp;INDIRECT("'盛付札（関数）'!AI"&amp;AE9),"")),"")</f>
        <v/>
      </c>
      <c r="AK10" s="36"/>
      <c r="AL10" s="43"/>
      <c r="AM10" s="102"/>
      <c r="AN10" s="136" t="str">
        <f t="array" aca="1" ref="AN10" ca="1">IF(AN9&lt;&gt;"",
IF(OR(INDIRECT("'盛付札（関数）'!AE"&amp;AL9)=211,INDIRECT("'盛付札（関数）'!AE"&amp;AL9)=212,INDIRECT("'盛付札（関数）'!AE"&amp;AL9)=213),"",
IF(AND(INDIRECT("'盛付札（関数）'!AE"&amp;AL9)&gt;=219,INDIRECT("'盛付札（関数）'!AE"&amp;AL9)&lt;=246),"",
INDIRECT("'盛付札（関数）'!AG"&amp;AL9))),"")</f>
        <v/>
      </c>
      <c r="AO10" s="38"/>
      <c r="AP10" s="38"/>
      <c r="AQ10" s="190" t="str">
        <f t="array" aca="1" ref="AQ10" ca="1">IF(AND(AN9&lt;&gt;"",ISERROR(FIND("社食",AN9))),
IF(OR(INDIRECT("'盛付札（関数）'!AE"&amp;AL9)=211,INDIRECT("'盛付札（関数）'!AE"&amp;AL9)=212,INDIRECT("'盛付札（関数）'!AE"&amp;AL9)=213),"",
IF(INDIRECT("'盛付札（関数）'!AH"&amp;AL9)&lt;&gt;"",
INDIRECT("'盛付札（関数）'!AH"&amp;AL9)&amp;"箱"&amp;INDIRECT("'盛付札（関数）'!AI"&amp;AL9),"")),"")</f>
        <v/>
      </c>
      <c r="AR10" s="36"/>
      <c r="AS10" s="22"/>
      <c r="AT10" s="30"/>
      <c r="AU10" s="102"/>
      <c r="AV10" s="136" t="str">
        <f t="array" aca="1" ref="AV10" ca="1">IF(AV9&lt;&gt;"",
IF(OR(INDIRECT("'盛付札（関数）'!AE"&amp;AT9)=211,INDIRECT("'盛付札（関数）'!AE"&amp;AT9)=212,INDIRECT("'盛付札（関数）'!AE"&amp;AT9)=213),"",
IF(AND(INDIRECT("'盛付札（関数）'!AE"&amp;AT9)&gt;=219,INDIRECT("'盛付札（関数）'!AE"&amp;AT9)&lt;=246),"",
INDIRECT("'盛付札（関数）'!AG"&amp;AT9))),"")</f>
        <v/>
      </c>
      <c r="AW10" s="38"/>
      <c r="AX10" s="38"/>
      <c r="AY10" s="190" t="str">
        <f t="array" aca="1" ref="AY10" ca="1">IF(AND(AV9&lt;&gt;"",ISERROR(FIND("社食",AV9))),
IF(OR(INDIRECT("'盛付札（関数）'!AE"&amp;AT9)=211,INDIRECT("'盛付札（関数）'!AE"&amp;AT9)=212,INDIRECT("'盛付札（関数）'!AE"&amp;AT9)=213),"",
IF(INDIRECT("'盛付札（関数）'!AH"&amp;AT9)&lt;&gt;"",
INDIRECT("'盛付札（関数）'!AH"&amp;AT9)&amp;"箱"&amp;INDIRECT("'盛付札（関数）'!AI"&amp;AT9),"")),"")</f>
        <v/>
      </c>
      <c r="AZ10" s="36"/>
      <c r="BA10" s="43"/>
      <c r="BB10" s="102"/>
      <c r="BC10" s="136" t="str">
        <f t="array" aca="1" ref="BC10" ca="1">IF(BC9&lt;&gt;"",
IF(OR(INDIRECT("'盛付札（関数）'!AE"&amp;BA9)=211,INDIRECT("'盛付札（関数）'!AE"&amp;BA9)=212,INDIRECT("'盛付札（関数）'!AE"&amp;BA9)=213),"",
IF(AND(INDIRECT("'盛付札（関数）'!AE"&amp;BA9)&gt;=219,INDIRECT("'盛付札（関数）'!AE"&amp;BA9)&lt;=246),"",
INDIRECT("'盛付札（関数）'!AG"&amp;BA9))),"")</f>
        <v/>
      </c>
      <c r="BD10" s="38"/>
      <c r="BE10" s="38"/>
      <c r="BF10" s="190" t="str">
        <f t="array" aca="1" ref="BF10" ca="1">IF(AND(BC9&lt;&gt;"",ISERROR(FIND("社食",BC9))),
IF(OR(INDIRECT("'盛付札（関数）'!AE"&amp;BA9)=211,INDIRECT("'盛付札（関数）'!AE"&amp;BA9)=212,INDIRECT("'盛付札（関数）'!AE"&amp;BA9)=213),"",
IF(INDIRECT("'盛付札（関数）'!AH"&amp;BA9)&lt;&gt;"",
INDIRECT("'盛付札（関数）'!AH"&amp;BA9)&amp;"箱"&amp;INDIRECT("'盛付札（関数）'!AI"&amp;BA9),"")),"")</f>
        <v/>
      </c>
      <c r="BG10" s="36"/>
      <c r="BH10" s="22"/>
      <c r="BI10" s="30"/>
      <c r="BJ10" s="102"/>
      <c r="BK10" s="136" t="str">
        <f t="array" aca="1" ref="BK10" ca="1">IF(BK9&lt;&gt;"",
IF(OR(INDIRECT("'盛付札（関数）'!AE"&amp;BI9)=211,INDIRECT("'盛付札（関数）'!AE"&amp;BI9)=212,INDIRECT("'盛付札（関数）'!AE"&amp;BI9)=213),"",
IF(AND(INDIRECT("'盛付札（関数）'!AE"&amp;BI9)&gt;=219,INDIRECT("'盛付札（関数）'!AE"&amp;BI9)&lt;=246),"",
INDIRECT("'盛付札（関数）'!AG"&amp;BI9))),"")</f>
        <v/>
      </c>
      <c r="BL10" s="38"/>
      <c r="BM10" s="38"/>
      <c r="BN10" s="190" t="str">
        <f t="array" aca="1" ref="BN10" ca="1">IF(AND(BK9&lt;&gt;"",ISERROR(FIND("社食",BK9))),
IF(OR(INDIRECT("'盛付札（関数）'!AE"&amp;BI9)=211,INDIRECT("'盛付札（関数）'!AE"&amp;BI9)=212,INDIRECT("'盛付札（関数）'!AE"&amp;BI9)=213),"",
IF(INDIRECT("'盛付札（関数）'!AH"&amp;BI9)&lt;&gt;"",
INDIRECT("'盛付札（関数）'!AH"&amp;BI9)&amp;"箱"&amp;INDIRECT("'盛付札（関数）'!AI"&amp;BI9),"")),"")</f>
        <v/>
      </c>
      <c r="BO10" s="36"/>
      <c r="BP10" s="43"/>
      <c r="BQ10" s="102"/>
      <c r="BR10" s="136" t="str">
        <f t="array" aca="1" ref="BR10" ca="1">IF(BR9&lt;&gt;"",
IF(OR(INDIRECT("'盛付札（関数）'!AE"&amp;BP9)=211,INDIRECT("'盛付札（関数）'!AE"&amp;BP9)=212,INDIRECT("'盛付札（関数）'!AE"&amp;BP9)=213),"",
IF(AND(INDIRECT("'盛付札（関数）'!AE"&amp;BP9)&gt;=219,INDIRECT("'盛付札（関数）'!AE"&amp;BP9)&lt;=246),"",
INDIRECT("'盛付札（関数）'!AG"&amp;BP9))),"")</f>
        <v/>
      </c>
      <c r="BS10" s="38"/>
      <c r="BT10" s="38"/>
      <c r="BU10" s="190" t="str">
        <f t="array" aca="1" ref="BU10" ca="1">IF(AND(BR9&lt;&gt;"",ISERROR(FIND("社食",BR9))),
IF(OR(INDIRECT("'盛付札（関数）'!AE"&amp;BP9)=211,INDIRECT("'盛付札（関数）'!AE"&amp;BP9)=212,INDIRECT("'盛付札（関数）'!AE"&amp;BP9)=213),"",
IF(INDIRECT("'盛付札（関数）'!AH"&amp;BP9)&lt;&gt;"",
INDIRECT("'盛付札（関数）'!AH"&amp;BP9)&amp;"箱"&amp;INDIRECT("'盛付札（関数）'!AI"&amp;BP9),"")),"")</f>
        <v/>
      </c>
      <c r="BV10" s="36"/>
      <c r="BW10" s="22"/>
      <c r="BX10" s="30"/>
      <c r="BY10" s="102"/>
      <c r="BZ10" s="136" t="str">
        <f t="array" aca="1" ref="BZ10" ca="1">IF(BZ9&lt;&gt;"",
IF(OR(INDIRECT("'盛付札（関数）'!AE"&amp;BX9)=211,INDIRECT("'盛付札（関数）'!AE"&amp;BX9)=212,INDIRECT("'盛付札（関数）'!AE"&amp;BX9)=213),"",
IF(AND(INDIRECT("'盛付札（関数）'!AE"&amp;BX9)&gt;=219,INDIRECT("'盛付札（関数）'!AE"&amp;BX9)&lt;=246),"",
INDIRECT("'盛付札（関数）'!AG"&amp;BX9))),"")</f>
        <v/>
      </c>
      <c r="CA10" s="38"/>
      <c r="CB10" s="38"/>
      <c r="CC10" s="190" t="str">
        <f t="array" aca="1" ref="CC10" ca="1">IF(AND(BZ9&lt;&gt;"",ISERROR(FIND("社食",BZ9))),
IF(OR(INDIRECT("'盛付札（関数）'!AE"&amp;BX9)=211,INDIRECT("'盛付札（関数）'!AE"&amp;BX9)=212,INDIRECT("'盛付札（関数）'!AE"&amp;BX9)=213),"",
IF(INDIRECT("'盛付札（関数）'!AH"&amp;BX9)&lt;&gt;"",
INDIRECT("'盛付札（関数）'!AH"&amp;BX9)&amp;"箱"&amp;INDIRECT("'盛付札（関数）'!AI"&amp;BX9),"")),"")</f>
        <v/>
      </c>
      <c r="CD10" s="36"/>
      <c r="CE10" s="43"/>
      <c r="CF10" s="102"/>
      <c r="CG10" s="136" t="str">
        <f t="array" aca="1" ref="CG10" ca="1">IF(CG9&lt;&gt;"",
IF(OR(INDIRECT("'盛付札（関数）'!AE"&amp;CE9)=211,INDIRECT("'盛付札（関数）'!AE"&amp;CE9)=212,INDIRECT("'盛付札（関数）'!AE"&amp;CE9)=213),"",
IF(AND(INDIRECT("'盛付札（関数）'!AE"&amp;CE9)&gt;=219,INDIRECT("'盛付札（関数）'!AE"&amp;CE9)&lt;=246),"",
INDIRECT("'盛付札（関数）'!AG"&amp;CE9))),"")</f>
        <v/>
      </c>
      <c r="CH10" s="38"/>
      <c r="CI10" s="38"/>
      <c r="CJ10" s="190" t="str">
        <f t="array" aca="1" ref="CJ10" ca="1">IF(AND(CG9&lt;&gt;"",ISERROR(FIND("社食",CG9))),
IF(OR(INDIRECT("'盛付札（関数）'!AE"&amp;CE9)=211,INDIRECT("'盛付札（関数）'!AE"&amp;CE9)=212,INDIRECT("'盛付札（関数）'!AE"&amp;CE9)=213),"",
IF(INDIRECT("'盛付札（関数）'!AH"&amp;CE9)&lt;&gt;"",
INDIRECT("'盛付札（関数）'!AH"&amp;CE9)&amp;"箱"&amp;INDIRECT("'盛付札（関数）'!AI"&amp;CE9),"")),"")</f>
        <v/>
      </c>
      <c r="CK10" s="36"/>
      <c r="CL10" s="22"/>
      <c r="CM10" s="30"/>
      <c r="CN10" s="102"/>
      <c r="CO10" s="136" t="str">
        <f t="array" aca="1" ref="CO10" ca="1">IF(CO9&lt;&gt;"",
IF(OR(INDIRECT("'盛付札（関数）'!AE"&amp;CM9)=211,INDIRECT("'盛付札（関数）'!AE"&amp;CM9)=212,INDIRECT("'盛付札（関数）'!AE"&amp;CM9)=213),"",
IF(AND(INDIRECT("'盛付札（関数）'!AE"&amp;CM9)&gt;=219,INDIRECT("'盛付札（関数）'!AE"&amp;CM9)&lt;=246),"",
INDIRECT("'盛付札（関数）'!AG"&amp;CM9))),"")</f>
        <v/>
      </c>
      <c r="CP10" s="38"/>
      <c r="CQ10" s="38"/>
      <c r="CR10" s="190" t="str">
        <f t="array" aca="1" ref="CR10" ca="1">IF(AND(CO9&lt;&gt;"",ISERROR(FIND("社食",CO9))),
IF(OR(INDIRECT("'盛付札（関数）'!AE"&amp;CM9)=211,INDIRECT("'盛付札（関数）'!AE"&amp;CM9)=212,INDIRECT("'盛付札（関数）'!AE"&amp;CM9)=213),"",
IF(INDIRECT("'盛付札（関数）'!AH"&amp;CM9)&lt;&gt;"",
INDIRECT("'盛付札（関数）'!AH"&amp;CM9)&amp;"箱"&amp;INDIRECT("'盛付札（関数）'!AI"&amp;CM9),"")),"")</f>
        <v/>
      </c>
      <c r="CS10" s="36"/>
      <c r="CT10" s="43"/>
      <c r="CU10" s="102"/>
      <c r="CV10" s="136" t="str">
        <f t="array" aca="1" ref="CV10" ca="1">IF(CV9&lt;&gt;"",
IF(OR(INDIRECT("'盛付札（関数）'!AE"&amp;CT9)=211,INDIRECT("'盛付札（関数）'!AE"&amp;CT9)=212,INDIRECT("'盛付札（関数）'!AE"&amp;CT9)=213),"",
IF(AND(INDIRECT("'盛付札（関数）'!AE"&amp;CT9)&gt;=219,INDIRECT("'盛付札（関数）'!AE"&amp;CT9)&lt;=246),"",
INDIRECT("'盛付札（関数）'!AG"&amp;CT9))),"")</f>
        <v/>
      </c>
      <c r="CW10" s="38"/>
      <c r="CX10" s="38"/>
      <c r="CY10" s="190" t="str">
        <f t="array" aca="1" ref="CY10" ca="1">IF(AND(CV9&lt;&gt;"",ISERROR(FIND("社食",CV9))),
IF(OR(INDIRECT("'盛付札（関数）'!AE"&amp;CT9)=211,INDIRECT("'盛付札（関数）'!AE"&amp;CT9)=212,INDIRECT("'盛付札（関数）'!AE"&amp;CT9)=213),"",
IF(INDIRECT("'盛付札（関数）'!AH"&amp;CT9)&lt;&gt;"",
INDIRECT("'盛付札（関数）'!AH"&amp;CT9)&amp;"箱"&amp;INDIRECT("'盛付札（関数）'!AI"&amp;CT9),"")),"")</f>
        <v/>
      </c>
      <c r="CZ10" s="36"/>
      <c r="DA10" s="22"/>
      <c r="DB10" s="30"/>
      <c r="DC10" s="102"/>
      <c r="DD10" s="136" t="str">
        <f t="array" aca="1" ref="DD10" ca="1">IF(DD9&lt;&gt;"",
IF(OR(INDIRECT("'盛付札（関数）'!AE"&amp;DB9)=211,INDIRECT("'盛付札（関数）'!AE"&amp;DB9)=212,INDIRECT("'盛付札（関数）'!AE"&amp;DB9)=213),"",
IF(AND(INDIRECT("'盛付札（関数）'!AE"&amp;DB9)&gt;=219,INDIRECT("'盛付札（関数）'!AE"&amp;DB9)&lt;=246),"",
INDIRECT("'盛付札（関数）'!AG"&amp;DB9))),"")</f>
        <v/>
      </c>
      <c r="DE10" s="38"/>
      <c r="DF10" s="38"/>
      <c r="DG10" s="190" t="str">
        <f t="array" aca="1" ref="DG10" ca="1">IF(AND(DD9&lt;&gt;"",ISERROR(FIND("社食",DD9))),
IF(OR(INDIRECT("'盛付札（関数）'!AE"&amp;DB9)=211,INDIRECT("'盛付札（関数）'!AE"&amp;DB9)=212,INDIRECT("'盛付札（関数）'!AE"&amp;DB9)=213),"",
IF(INDIRECT("'盛付札（関数）'!AH"&amp;DB9)&lt;&gt;"",
INDIRECT("'盛付札（関数）'!AH"&amp;DB9)&amp;"箱"&amp;INDIRECT("'盛付札（関数）'!AI"&amp;DB9),"")),"")</f>
        <v/>
      </c>
      <c r="DH10" s="36"/>
      <c r="DI10" s="43"/>
      <c r="DJ10" s="102"/>
      <c r="DK10" s="136" t="str">
        <f t="array" aca="1" ref="DK10" ca="1">IF(DK9&lt;&gt;"",
IF(OR(INDIRECT("'盛付札（関数）'!AE"&amp;DI9)=211,INDIRECT("'盛付札（関数）'!AE"&amp;DI9)=212,INDIRECT("'盛付札（関数）'!AE"&amp;DI9)=213),"",
IF(AND(INDIRECT("'盛付札（関数）'!AE"&amp;DI9)&gt;=219,INDIRECT("'盛付札（関数）'!AE"&amp;DI9)&lt;=246),"",
INDIRECT("'盛付札（関数）'!AG"&amp;DI9))),"")</f>
        <v/>
      </c>
      <c r="DL10" s="38"/>
      <c r="DM10" s="38"/>
      <c r="DN10" s="190" t="str">
        <f t="array" aca="1" ref="DN10" ca="1">IF(AND(DK9&lt;&gt;"",ISERROR(FIND("社食",DK9))),
IF(OR(INDIRECT("'盛付札（関数）'!AE"&amp;DI9)=211,INDIRECT("'盛付札（関数）'!AE"&amp;DI9)=212,INDIRECT("'盛付札（関数）'!AE"&amp;DI9)=213),"",
IF(INDIRECT("'盛付札（関数）'!AH"&amp;DI9)&lt;&gt;"",
INDIRECT("'盛付札（関数）'!AH"&amp;DI9)&amp;"箱"&amp;INDIRECT("'盛付札（関数）'!AI"&amp;DI9),"")),"")</f>
        <v/>
      </c>
      <c r="DO10" s="36"/>
      <c r="DP10" s="22"/>
      <c r="DQ10" s="30"/>
      <c r="DR10" s="102"/>
      <c r="DS10" s="136" t="str">
        <f t="array" aca="1" ref="DS10" ca="1">IF(DS9&lt;&gt;"",
IF(OR(INDIRECT("'盛付札（関数）'!AE"&amp;DQ9)=211,INDIRECT("'盛付札（関数）'!AE"&amp;DQ9)=212,INDIRECT("'盛付札（関数）'!AE"&amp;DQ9)=213),"",
IF(AND(INDIRECT("'盛付札（関数）'!AE"&amp;DQ9)&gt;=219,INDIRECT("'盛付札（関数）'!AE"&amp;DQ9)&lt;=246),"",
INDIRECT("'盛付札（関数）'!AG"&amp;DQ9))),"")</f>
        <v/>
      </c>
      <c r="DT10" s="38"/>
      <c r="DU10" s="38"/>
      <c r="DV10" s="190" t="str">
        <f t="array" aca="1" ref="DV10" ca="1">IF(AND(DS9&lt;&gt;"",ISERROR(FIND("社食",DS9))),
IF(OR(INDIRECT("'盛付札（関数）'!AE"&amp;DQ9)=211,INDIRECT("'盛付札（関数）'!AE"&amp;DQ9)=212,INDIRECT("'盛付札（関数）'!AE"&amp;DQ9)=213),"",
IF(INDIRECT("'盛付札（関数）'!AH"&amp;DQ9)&lt;&gt;"",
INDIRECT("'盛付札（関数）'!AH"&amp;DQ9)&amp;"箱"&amp;INDIRECT("'盛付札（関数）'!AI"&amp;DQ9),"")),"")</f>
        <v/>
      </c>
      <c r="DW10" s="36"/>
      <c r="DX10" s="43"/>
      <c r="DY10" s="102"/>
      <c r="DZ10" s="136" t="str">
        <f t="array" aca="1" ref="DZ10" ca="1">IF(DZ9&lt;&gt;"",
IF(OR(INDIRECT("'盛付札（関数）'!AE"&amp;DX9)=211,INDIRECT("'盛付札（関数）'!AE"&amp;DX9)=212,INDIRECT("'盛付札（関数）'!AE"&amp;DX9)=213),"",
IF(AND(INDIRECT("'盛付札（関数）'!AE"&amp;DX9)&gt;=219,INDIRECT("'盛付札（関数）'!AE"&amp;DX9)&lt;=246),"",
INDIRECT("'盛付札（関数）'!AG"&amp;DX9))),"")</f>
        <v/>
      </c>
      <c r="EA10" s="38"/>
      <c r="EB10" s="38"/>
      <c r="EC10" s="190" t="str">
        <f t="array" aca="1" ref="EC10" ca="1">IF(AND(DZ9&lt;&gt;"",ISERROR(FIND("社食",DZ9))),
IF(OR(INDIRECT("'盛付札（関数）'!AE"&amp;DX9)=211,INDIRECT("'盛付札（関数）'!AE"&amp;DX9)=212,INDIRECT("'盛付札（関数）'!AE"&amp;DX9)=213),"",
IF(INDIRECT("'盛付札（関数）'!AH"&amp;DX9)&lt;&gt;"",
INDIRECT("'盛付札（関数）'!AH"&amp;DX9)&amp;"箱"&amp;INDIRECT("'盛付札（関数）'!AI"&amp;DX9),"")),"")</f>
        <v/>
      </c>
      <c r="ED10" s="36"/>
      <c r="EE10" s="22"/>
      <c r="EF10" s="30"/>
      <c r="EG10" s="102"/>
      <c r="EH10" s="136" t="str">
        <f t="array" aca="1" ref="EH10" ca="1">IF(EH9&lt;&gt;"",
IF(OR(INDIRECT("'盛付札（関数）'!AE"&amp;EF9)=211,INDIRECT("'盛付札（関数）'!AE"&amp;EF9)=212,INDIRECT("'盛付札（関数）'!AE"&amp;EF9)=213),"",
IF(AND(INDIRECT("'盛付札（関数）'!AE"&amp;EF9)&gt;=219,INDIRECT("'盛付札（関数）'!AE"&amp;EF9)&lt;=246),"",
INDIRECT("'盛付札（関数）'!AG"&amp;EF9))),"")</f>
        <v/>
      </c>
      <c r="EI10" s="38"/>
      <c r="EJ10" s="38"/>
      <c r="EK10" s="190" t="str">
        <f t="array" aca="1" ref="EK10" ca="1">IF(AND(EH9&lt;&gt;"",ISERROR(FIND("社食",EH9))),
IF(OR(INDIRECT("'盛付札（関数）'!AE"&amp;EF9)=211,INDIRECT("'盛付札（関数）'!AE"&amp;EF9)=212,INDIRECT("'盛付札（関数）'!AE"&amp;EF9)=213),"",
IF(INDIRECT("'盛付札（関数）'!AH"&amp;EF9)&lt;&gt;"",
INDIRECT("'盛付札（関数）'!AH"&amp;EF9)&amp;"箱"&amp;INDIRECT("'盛付札（関数）'!AI"&amp;EF9),"")),"")</f>
        <v/>
      </c>
      <c r="EL10" s="36"/>
      <c r="EM10" s="43"/>
      <c r="EN10" s="102"/>
      <c r="EO10" s="136" t="str">
        <f t="array" aca="1" ref="EO10" ca="1">IF(EO9&lt;&gt;"",
IF(OR(INDIRECT("'盛付札（関数）'!AE"&amp;EM9)=211,INDIRECT("'盛付札（関数）'!AE"&amp;EM9)=212,INDIRECT("'盛付札（関数）'!AE"&amp;EM9)=213),"",
IF(AND(INDIRECT("'盛付札（関数）'!AE"&amp;EM9)&gt;=219,INDIRECT("'盛付札（関数）'!AE"&amp;EM9)&lt;=246),"",
INDIRECT("'盛付札（関数）'!AG"&amp;EM9))),"")</f>
        <v/>
      </c>
      <c r="EP10" s="38"/>
      <c r="EQ10" s="38"/>
      <c r="ER10" s="190" t="str">
        <f t="array" aca="1" ref="ER10" ca="1">IF(AND(EO9&lt;&gt;"",ISERROR(FIND("社食",EO9))),
IF(OR(INDIRECT("'盛付札（関数）'!AE"&amp;EM9)=211,INDIRECT("'盛付札（関数）'!AE"&amp;EM9)=212,INDIRECT("'盛付札（関数）'!AE"&amp;EM9)=213),"",
IF(INDIRECT("'盛付札（関数）'!AH"&amp;EM9)&lt;&gt;"",
INDIRECT("'盛付札（関数）'!AH"&amp;EM9)&amp;"箱"&amp;INDIRECT("'盛付札（関数）'!AI"&amp;EM9),"")),"")</f>
        <v/>
      </c>
      <c r="ES10" s="36"/>
      <c r="ET10" s="22"/>
    </row>
    <row r="11" spans="1:150" s="181" customFormat="1">
      <c r="A11" s="30"/>
      <c r="B11" s="31"/>
      <c r="C11" s="212" t="str">
        <f t="array" aca="1" ref="C11" ca="1">IF(AND(C9&lt;&gt;"",ISERROR(FIND("社食",C9)),ISERROR(FIND("先生",C9)),ISERROR(FIND("学童",C10))),
IF(C12&lt;&gt;"",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IF(AND(INDIRECT("'盛付札（関数）'!AE"&amp;A9)&gt;=247,INDIRECT("'盛付札（関数）'!AE"&amp;A9)&lt;=261),"先生","園児"))),""),"")</f>
        <v/>
      </c>
      <c r="D11" s="213"/>
      <c r="E11" s="22"/>
      <c r="F11" s="135" t="str">
        <f t="array" aca="1" ref="F11" ca="1">IF(AND(C9&lt;&gt;"",ISERROR(FIND("社食",C9)),ISERROR(FIND("先生",C9))),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IF(AND(INDIRECT("'盛付札（関数）'!AE"&amp;A9)&gt;=247,INDIRECT("'盛付札（関数）'!AE"&amp;A9)&lt;=261),"","先生"))),"")</f>
        <v/>
      </c>
      <c r="G11" s="37"/>
      <c r="H11" s="33"/>
      <c r="I11" s="31"/>
      <c r="J11" s="212" t="str">
        <f t="array" aca="1" ref="J11" ca="1">IF(AND(J9&lt;&gt;"",ISERROR(FIND("社食",J9)),ISERROR(FIND("先生",J9)),ISERROR(FIND("学童",J10))),
IF(J12&lt;&gt;"",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IF(AND(INDIRECT("'盛付札（関数）'!AE"&amp;H9)&gt;=247,INDIRECT("'盛付札（関数）'!AE"&amp;H9)&lt;=261),"先生","園児"))),""),"")</f>
        <v/>
      </c>
      <c r="K11" s="213"/>
      <c r="L11" s="22"/>
      <c r="M11" s="135" t="str">
        <f t="array" aca="1" ref="M11" ca="1">IF(AND(J9&lt;&gt;"",ISERROR(FIND("社食",J9)),ISERROR(FIND("先生",J9))),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IF(AND(INDIRECT("'盛付札（関数）'!AE"&amp;H9)&gt;=247,INDIRECT("'盛付札（関数）'!AE"&amp;H9)&lt;=261),"","先生"))),"")</f>
        <v/>
      </c>
      <c r="N11" s="37"/>
      <c r="O11" s="22"/>
      <c r="P11" s="30"/>
      <c r="Q11" s="31"/>
      <c r="R11" s="212" t="str">
        <f t="array" aca="1" ref="R11" ca="1">IF(AND(R9&lt;&gt;"",ISERROR(FIND("社食",R9)),ISERROR(FIND("先生",R9)),ISERROR(FIND("学童",R10))),
IF(R12&lt;&gt;"",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IF(AND(INDIRECT("'盛付札（関数）'!AE"&amp;P9)&gt;=247,INDIRECT("'盛付札（関数）'!AE"&amp;P9)&lt;=261),"先生","園児"))),""),"")</f>
        <v/>
      </c>
      <c r="S11" s="213"/>
      <c r="T11" s="22"/>
      <c r="U11" s="135" t="str">
        <f t="array" aca="1" ref="U11" ca="1">IF(AND(R9&lt;&gt;"",ISERROR(FIND("社食",R9)),ISERROR(FIND("先生",R9))),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IF(AND(INDIRECT("'盛付札（関数）'!AE"&amp;P9)&gt;=247,INDIRECT("'盛付札（関数）'!AE"&amp;P9)&lt;=261),"","先生"))),"")</f>
        <v/>
      </c>
      <c r="V11" s="37"/>
      <c r="W11" s="33"/>
      <c r="X11" s="31"/>
      <c r="Y11" s="212" t="str">
        <f t="array" aca="1" ref="Y11" ca="1">IF(AND(Y9&lt;&gt;"",ISERROR(FIND("社食",Y9)),ISERROR(FIND("先生",Y9)),ISERROR(FIND("学童",Y10))),
IF(Y12&lt;&gt;"",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IF(AND(INDIRECT("'盛付札（関数）'!AE"&amp;W9)&gt;=247,INDIRECT("'盛付札（関数）'!AE"&amp;W9)&lt;=261),"先生","園児"))),""),"")</f>
        <v/>
      </c>
      <c r="Z11" s="213"/>
      <c r="AA11" s="22"/>
      <c r="AB11" s="135" t="str">
        <f t="array" aca="1" ref="AB11" ca="1">IF(AND(Y9&lt;&gt;"",ISERROR(FIND("社食",Y9)),ISERROR(FIND("先生",Y9))),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IF(AND(INDIRECT("'盛付札（関数）'!AE"&amp;W9)&gt;=247,INDIRECT("'盛付札（関数）'!AE"&amp;W9)&lt;=261),"","先生"))),"")</f>
        <v/>
      </c>
      <c r="AC11" s="37"/>
      <c r="AD11" s="22"/>
      <c r="AE11" s="30"/>
      <c r="AF11" s="31"/>
      <c r="AG11" s="212" t="str">
        <f t="array" aca="1" ref="AG11" ca="1">IF(AND(AG9&lt;&gt;"",ISERROR(FIND("社食",AG9)),ISERROR(FIND("先生",AG9)),ISERROR(FIND("学童",AG10))),
IF(AG12&lt;&gt;"",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IF(AND(INDIRECT("'盛付札（関数）'!AE"&amp;AE9)&gt;=247,INDIRECT("'盛付札（関数）'!AE"&amp;AE9)&lt;=261),"先生","園児"))),""),"")</f>
        <v/>
      </c>
      <c r="AH11" s="213"/>
      <c r="AI11" s="22"/>
      <c r="AJ11" s="135" t="str">
        <f t="array" aca="1" ref="AJ11" ca="1">IF(AND(AG9&lt;&gt;"",ISERROR(FIND("社食",AG9)),ISERROR(FIND("先生",AG9))),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IF(AND(INDIRECT("'盛付札（関数）'!AE"&amp;AE9)&gt;=247,INDIRECT("'盛付札（関数）'!AE"&amp;AE9)&lt;=261),"","先生"))),"")</f>
        <v/>
      </c>
      <c r="AK11" s="37"/>
      <c r="AL11" s="33"/>
      <c r="AM11" s="31"/>
      <c r="AN11" s="212" t="str">
        <f t="array" aca="1" ref="AN11" ca="1">IF(AND(AN9&lt;&gt;"",ISERROR(FIND("社食",AN9)),ISERROR(FIND("先生",AN9)),ISERROR(FIND("学童",AN10))),
IF(AN12&lt;&gt;"",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IF(AND(INDIRECT("'盛付札（関数）'!AE"&amp;AL9)&gt;=247,INDIRECT("'盛付札（関数）'!AE"&amp;AL9)&lt;=261),"先生","園児"))),""),"")</f>
        <v/>
      </c>
      <c r="AO11" s="213"/>
      <c r="AP11" s="22"/>
      <c r="AQ11" s="135" t="str">
        <f t="array" aca="1" ref="AQ11" ca="1">IF(AND(AN9&lt;&gt;"",ISERROR(FIND("社食",AN9)),ISERROR(FIND("先生",AN9))),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IF(AND(INDIRECT("'盛付札（関数）'!AE"&amp;AL9)&gt;=247,INDIRECT("'盛付札（関数）'!AE"&amp;AL9)&lt;=261),"","先生"))),"")</f>
        <v/>
      </c>
      <c r="AR11" s="37"/>
      <c r="AS11" s="22"/>
      <c r="AT11" s="30"/>
      <c r="AU11" s="31"/>
      <c r="AV11" s="212" t="str">
        <f t="array" aca="1" ref="AV11" ca="1">IF(AND(AV9&lt;&gt;"",ISERROR(FIND("社食",AV9)),ISERROR(FIND("先生",AV9)),ISERROR(FIND("学童",AV10))),
IF(AV12&lt;&gt;"",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IF(AND(INDIRECT("'盛付札（関数）'!AE"&amp;AT9)&gt;=247,INDIRECT("'盛付札（関数）'!AE"&amp;AT9)&lt;=261),"先生","園児"))),""),"")</f>
        <v/>
      </c>
      <c r="AW11" s="213"/>
      <c r="AX11" s="22"/>
      <c r="AY11" s="135" t="str">
        <f t="array" aca="1" ref="AY11" ca="1">IF(AND(AV9&lt;&gt;"",ISERROR(FIND("社食",AV9)),ISERROR(FIND("先生",AV9))),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IF(AND(INDIRECT("'盛付札（関数）'!AE"&amp;AT9)&gt;=247,INDIRECT("'盛付札（関数）'!AE"&amp;AT9)&lt;=261),"","先生"))),"")</f>
        <v/>
      </c>
      <c r="AZ11" s="37"/>
      <c r="BA11" s="33"/>
      <c r="BB11" s="31"/>
      <c r="BC11" s="212" t="str">
        <f t="array" aca="1" ref="BC11" ca="1">IF(AND(BC9&lt;&gt;"",ISERROR(FIND("社食",BC9)),ISERROR(FIND("先生",BC9)),ISERROR(FIND("学童",BC10))),
IF(BC12&lt;&gt;"",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IF(AND(INDIRECT("'盛付札（関数）'!AE"&amp;BA9)&gt;=247,INDIRECT("'盛付札（関数）'!AE"&amp;BA9)&lt;=261),"先生","園児"))),""),"")</f>
        <v/>
      </c>
      <c r="BD11" s="213"/>
      <c r="BE11" s="22"/>
      <c r="BF11" s="135" t="str">
        <f t="array" aca="1" ref="BF11" ca="1">IF(AND(BC9&lt;&gt;"",ISERROR(FIND("社食",BC9)),ISERROR(FIND("先生",BC9))),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IF(AND(INDIRECT("'盛付札（関数）'!AE"&amp;BA9)&gt;=247,INDIRECT("'盛付札（関数）'!AE"&amp;BA9)&lt;=261),"","先生"))),"")</f>
        <v/>
      </c>
      <c r="BG11" s="37"/>
      <c r="BH11" s="22"/>
      <c r="BI11" s="30"/>
      <c r="BJ11" s="31"/>
      <c r="BK11" s="212" t="str">
        <f t="array" aca="1" ref="BK11" ca="1">IF(AND(BK9&lt;&gt;"",ISERROR(FIND("社食",BK9)),ISERROR(FIND("先生",BK9)),ISERROR(FIND("学童",BK10))),
IF(BK12&lt;&gt;"",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IF(AND(INDIRECT("'盛付札（関数）'!AE"&amp;BI9)&gt;=247,INDIRECT("'盛付札（関数）'!AE"&amp;BI9)&lt;=261),"先生","園児"))),""),"")</f>
        <v/>
      </c>
      <c r="BL11" s="213"/>
      <c r="BM11" s="22"/>
      <c r="BN11" s="135" t="str">
        <f t="array" aca="1" ref="BN11" ca="1">IF(AND(BK9&lt;&gt;"",ISERROR(FIND("社食",BK9)),ISERROR(FIND("先生",BK9))),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IF(AND(INDIRECT("'盛付札（関数）'!AE"&amp;BI9)&gt;=247,INDIRECT("'盛付札（関数）'!AE"&amp;BI9)&lt;=261),"","先生"))),"")</f>
        <v/>
      </c>
      <c r="BO11" s="37"/>
      <c r="BP11" s="33"/>
      <c r="BQ11" s="31"/>
      <c r="BR11" s="212" t="str">
        <f t="array" aca="1" ref="BR11" ca="1">IF(AND(BR9&lt;&gt;"",ISERROR(FIND("社食",BR9)),ISERROR(FIND("先生",BR9)),ISERROR(FIND("学童",BR10))),
IF(BR12&lt;&gt;"",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IF(AND(INDIRECT("'盛付札（関数）'!AE"&amp;BP9)&gt;=247,INDIRECT("'盛付札（関数）'!AE"&amp;BP9)&lt;=261),"先生","園児"))),""),"")</f>
        <v/>
      </c>
      <c r="BS11" s="213"/>
      <c r="BT11" s="22"/>
      <c r="BU11" s="135" t="str">
        <f t="array" aca="1" ref="BU11" ca="1">IF(AND(BR9&lt;&gt;"",ISERROR(FIND("社食",BR9)),ISERROR(FIND("先生",BR9))),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IF(AND(INDIRECT("'盛付札（関数）'!AE"&amp;BP9)&gt;=247,INDIRECT("'盛付札（関数）'!AE"&amp;BP9)&lt;=261),"","先生"))),"")</f>
        <v/>
      </c>
      <c r="BV11" s="37"/>
      <c r="BW11" s="22"/>
      <c r="BX11" s="30"/>
      <c r="BY11" s="31"/>
      <c r="BZ11" s="212" t="str">
        <f t="array" aca="1" ref="BZ11" ca="1">IF(AND(BZ9&lt;&gt;"",ISERROR(FIND("社食",BZ9)),ISERROR(FIND("先生",BZ9)),ISERROR(FIND("学童",BZ10))),
IF(BZ12&lt;&gt;"",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IF(AND(INDIRECT("'盛付札（関数）'!AE"&amp;BX9)&gt;=247,INDIRECT("'盛付札（関数）'!AE"&amp;BX9)&lt;=261),"先生","園児"))),""),"")</f>
        <v/>
      </c>
      <c r="CA11" s="213"/>
      <c r="CB11" s="22"/>
      <c r="CC11" s="135" t="str">
        <f t="array" aca="1" ref="CC11" ca="1">IF(AND(BZ9&lt;&gt;"",ISERROR(FIND("社食",BZ9)),ISERROR(FIND("先生",BZ9))),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IF(AND(INDIRECT("'盛付札（関数）'!AE"&amp;BX9)&gt;=247,INDIRECT("'盛付札（関数）'!AE"&amp;BX9)&lt;=261),"","先生"))),"")</f>
        <v/>
      </c>
      <c r="CD11" s="37"/>
      <c r="CE11" s="33"/>
      <c r="CF11" s="31"/>
      <c r="CG11" s="212" t="str">
        <f t="array" aca="1" ref="CG11" ca="1">IF(AND(CG9&lt;&gt;"",ISERROR(FIND("社食",CG9)),ISERROR(FIND("先生",CG9)),ISERROR(FIND("学童",CG10))),
IF(CG12&lt;&gt;"",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IF(AND(INDIRECT("'盛付札（関数）'!AE"&amp;CE9)&gt;=247,INDIRECT("'盛付札（関数）'!AE"&amp;CE9)&lt;=261),"先生","園児"))),""),"")</f>
        <v/>
      </c>
      <c r="CH11" s="213"/>
      <c r="CI11" s="22"/>
      <c r="CJ11" s="135" t="str">
        <f t="array" aca="1" ref="CJ11" ca="1">IF(AND(CG9&lt;&gt;"",ISERROR(FIND("社食",CG9)),ISERROR(FIND("先生",CG9))),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IF(AND(INDIRECT("'盛付札（関数）'!AE"&amp;CE9)&gt;=247,INDIRECT("'盛付札（関数）'!AE"&amp;CE9)&lt;=261),"","先生"))),"")</f>
        <v/>
      </c>
      <c r="CK11" s="37"/>
      <c r="CL11" s="22"/>
      <c r="CM11" s="30"/>
      <c r="CN11" s="31"/>
      <c r="CO11" s="212" t="str">
        <f t="array" aca="1" ref="CO11" ca="1">IF(AND(CO9&lt;&gt;"",ISERROR(FIND("社食",CO9)),ISERROR(FIND("先生",CO9)),ISERROR(FIND("学童",CO10))),
IF(CO12&lt;&gt;"",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IF(AND(INDIRECT("'盛付札（関数）'!AE"&amp;CM9)&gt;=247,INDIRECT("'盛付札（関数）'!AE"&amp;CM9)&lt;=261),"先生","園児"))),""),"")</f>
        <v/>
      </c>
      <c r="CP11" s="213"/>
      <c r="CQ11" s="22"/>
      <c r="CR11" s="135" t="str">
        <f t="array" aca="1" ref="CR11" ca="1">IF(AND(CO9&lt;&gt;"",ISERROR(FIND("社食",CO9)),ISERROR(FIND("先生",CO9))),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IF(AND(INDIRECT("'盛付札（関数）'!AE"&amp;CM9)&gt;=247,INDIRECT("'盛付札（関数）'!AE"&amp;CM9)&lt;=261),"","先生"))),"")</f>
        <v/>
      </c>
      <c r="CS11" s="37"/>
      <c r="CT11" s="33"/>
      <c r="CU11" s="31"/>
      <c r="CV11" s="212" t="str">
        <f t="array" aca="1" ref="CV11" ca="1">IF(AND(CV9&lt;&gt;"",ISERROR(FIND("社食",CV9)),ISERROR(FIND("先生",CV9)),ISERROR(FIND("学童",CV10))),
IF(CV12&lt;&gt;"",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IF(AND(INDIRECT("'盛付札（関数）'!AE"&amp;CT9)&gt;=247,INDIRECT("'盛付札（関数）'!AE"&amp;CT9)&lt;=261),"先生","園児"))),""),"")</f>
        <v/>
      </c>
      <c r="CW11" s="213"/>
      <c r="CX11" s="22"/>
      <c r="CY11" s="135" t="str">
        <f t="array" aca="1" ref="CY11" ca="1">IF(AND(CV9&lt;&gt;"",ISERROR(FIND("社食",CV9)),ISERROR(FIND("先生",CV9))),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IF(AND(INDIRECT("'盛付札（関数）'!AE"&amp;CT9)&gt;=247,INDIRECT("'盛付札（関数）'!AE"&amp;CT9)&lt;=261),"","先生"))),"")</f>
        <v/>
      </c>
      <c r="CZ11" s="37"/>
      <c r="DA11" s="22"/>
      <c r="DB11" s="30"/>
      <c r="DC11" s="31"/>
      <c r="DD11" s="212" t="str">
        <f t="array" aca="1" ref="DD11" ca="1">IF(AND(DD9&lt;&gt;"",ISERROR(FIND("社食",DD9)),ISERROR(FIND("先生",DD9)),ISERROR(FIND("学童",DD10))),
IF(DD12&lt;&gt;"",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IF(AND(INDIRECT("'盛付札（関数）'!AE"&amp;DB9)&gt;=247,INDIRECT("'盛付札（関数）'!AE"&amp;DB9)&lt;=261),"先生","園児"))),""),"")</f>
        <v/>
      </c>
      <c r="DE11" s="213"/>
      <c r="DF11" s="22"/>
      <c r="DG11" s="135" t="str">
        <f t="array" aca="1" ref="DG11" ca="1">IF(AND(DD9&lt;&gt;"",ISERROR(FIND("社食",DD9)),ISERROR(FIND("先生",DD9))),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IF(AND(INDIRECT("'盛付札（関数）'!AE"&amp;DB9)&gt;=247,INDIRECT("'盛付札（関数）'!AE"&amp;DB9)&lt;=261),"","先生"))),"")</f>
        <v/>
      </c>
      <c r="DH11" s="37"/>
      <c r="DI11" s="33"/>
      <c r="DJ11" s="31"/>
      <c r="DK11" s="212" t="str">
        <f t="array" aca="1" ref="DK11" ca="1">IF(AND(DK9&lt;&gt;"",ISERROR(FIND("社食",DK9)),ISERROR(FIND("先生",DK9)),ISERROR(FIND("学童",DK10))),
IF(DK12&lt;&gt;"",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IF(AND(INDIRECT("'盛付札（関数）'!AE"&amp;DI9)&gt;=247,INDIRECT("'盛付札（関数）'!AE"&amp;DI9)&lt;=261),"先生","園児"))),""),"")</f>
        <v/>
      </c>
      <c r="DL11" s="213"/>
      <c r="DM11" s="22"/>
      <c r="DN11" s="135" t="str">
        <f t="array" aca="1" ref="DN11" ca="1">IF(AND(DK9&lt;&gt;"",ISERROR(FIND("社食",DK9)),ISERROR(FIND("先生",DK9))),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IF(AND(INDIRECT("'盛付札（関数）'!AE"&amp;DI9)&gt;=247,INDIRECT("'盛付札（関数）'!AE"&amp;DI9)&lt;=261),"","先生"))),"")</f>
        <v/>
      </c>
      <c r="DO11" s="37"/>
      <c r="DP11" s="22"/>
      <c r="DQ11" s="30"/>
      <c r="DR11" s="31"/>
      <c r="DS11" s="212" t="str">
        <f t="array" aca="1" ref="DS11" ca="1">IF(AND(DS9&lt;&gt;"",ISERROR(FIND("社食",DS9)),ISERROR(FIND("先生",DS9)),ISERROR(FIND("学童",DS10))),
IF(DS12&lt;&gt;"",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IF(AND(INDIRECT("'盛付札（関数）'!AE"&amp;DQ9)&gt;=247,INDIRECT("'盛付札（関数）'!AE"&amp;DQ9)&lt;=261),"先生","園児"))),""),"")</f>
        <v/>
      </c>
      <c r="DT11" s="213"/>
      <c r="DU11" s="22"/>
      <c r="DV11" s="135" t="str">
        <f t="array" aca="1" ref="DV11" ca="1">IF(AND(DS9&lt;&gt;"",ISERROR(FIND("社食",DS9)),ISERROR(FIND("先生",DS9))),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IF(AND(INDIRECT("'盛付札（関数）'!AE"&amp;DQ9)&gt;=247,INDIRECT("'盛付札（関数）'!AE"&amp;DQ9)&lt;=261),"","先生"))),"")</f>
        <v/>
      </c>
      <c r="DW11" s="37"/>
      <c r="DX11" s="33"/>
      <c r="DY11" s="31"/>
      <c r="DZ11" s="212" t="str">
        <f t="array" aca="1" ref="DZ11" ca="1">IF(AND(DZ9&lt;&gt;"",ISERROR(FIND("社食",DZ9)),ISERROR(FIND("先生",DZ9)),ISERROR(FIND("学童",DZ10))),
IF(DZ12&lt;&gt;"",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IF(AND(INDIRECT("'盛付札（関数）'!AE"&amp;DX9)&gt;=247,INDIRECT("'盛付札（関数）'!AE"&amp;DX9)&lt;=261),"先生","園児"))),""),"")</f>
        <v/>
      </c>
      <c r="EA11" s="213"/>
      <c r="EB11" s="22"/>
      <c r="EC11" s="135" t="str">
        <f t="array" aca="1" ref="EC11" ca="1">IF(AND(DZ9&lt;&gt;"",ISERROR(FIND("社食",DZ9)),ISERROR(FIND("先生",DZ9))),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IF(AND(INDIRECT("'盛付札（関数）'!AE"&amp;DX9)&gt;=247,INDIRECT("'盛付札（関数）'!AE"&amp;DX9)&lt;=261),"","先生"))),"")</f>
        <v/>
      </c>
      <c r="ED11" s="37"/>
      <c r="EE11" s="22"/>
      <c r="EF11" s="30"/>
      <c r="EG11" s="31"/>
      <c r="EH11" s="212" t="str">
        <f t="array" aca="1" ref="EH11" ca="1">IF(AND(EH9&lt;&gt;"",ISERROR(FIND("社食",EH9)),ISERROR(FIND("先生",EH9)),ISERROR(FIND("学童",EH10))),
IF(EH12&lt;&gt;"",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IF(AND(INDIRECT("'盛付札（関数）'!AE"&amp;EF9)&gt;=247,INDIRECT("'盛付札（関数）'!AE"&amp;EF9)&lt;=261),"先生","園児"))),""),"")</f>
        <v/>
      </c>
      <c r="EI11" s="213"/>
      <c r="EJ11" s="22"/>
      <c r="EK11" s="135" t="str">
        <f t="array" aca="1" ref="EK11" ca="1">IF(AND(EH9&lt;&gt;"",ISERROR(FIND("社食",EH9)),ISERROR(FIND("先生",EH9))),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IF(AND(INDIRECT("'盛付札（関数）'!AE"&amp;EF9)&gt;=247,INDIRECT("'盛付札（関数）'!AE"&amp;EF9)&lt;=261),"","先生"))),"")</f>
        <v/>
      </c>
      <c r="EL11" s="37"/>
      <c r="EM11" s="33"/>
      <c r="EN11" s="31"/>
      <c r="EO11" s="212" t="str">
        <f t="array" aca="1" ref="EO11" ca="1">IF(AND(EO9&lt;&gt;"",ISERROR(FIND("社食",EO9)),ISERROR(FIND("先生",EO9)),ISERROR(FIND("学童",EO10))),
IF(EO12&lt;&gt;"",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IF(AND(INDIRECT("'盛付札（関数）'!AE"&amp;EM9)&gt;=247,INDIRECT("'盛付札（関数）'!AE"&amp;EM9)&lt;=261),"先生","園児"))),""),"")</f>
        <v/>
      </c>
      <c r="EP11" s="213"/>
      <c r="EQ11" s="22"/>
      <c r="ER11" s="135" t="str">
        <f t="array" aca="1" ref="ER11" ca="1">IF(AND(EO9&lt;&gt;"",ISERROR(FIND("社食",EO9)),ISERROR(FIND("先生",EO9))),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IF(AND(INDIRECT("'盛付札（関数）'!AE"&amp;EM9)&gt;=247,INDIRECT("'盛付札（関数）'!AE"&amp;EM9)&lt;=261),"","先生"))),"")</f>
        <v/>
      </c>
      <c r="ES11" s="37"/>
      <c r="ET11" s="22"/>
    </row>
    <row r="12" spans="1:150" ht="15.6" customHeight="1">
      <c r="B12" s="25"/>
      <c r="C12" s="210" t="str">
        <f t="array" aca="1" ref="C12" ca="1">IF(C9&lt;&gt;"",INDIRECT("'盛付札（関数）'!AJ"&amp;A9),"")</f>
        <v/>
      </c>
      <c r="D12" s="211"/>
      <c r="E12" s="44"/>
      <c r="F12" s="206" t="str">
        <f t="array" aca="1" ref="F12" ca="1">IF(C9&lt;&gt;"",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INDIRECT("'盛付札（関数）'!AK"&amp;A9))),"")</f>
        <v/>
      </c>
      <c r="G12" s="207"/>
      <c r="H12" s="26"/>
      <c r="I12" s="25"/>
      <c r="J12" s="210" t="str">
        <f t="array" aca="1" ref="J12" ca="1">IF(J9&lt;&gt;"",INDIRECT("'盛付札（関数）'!AJ"&amp;H9),"")</f>
        <v/>
      </c>
      <c r="K12" s="211"/>
      <c r="L12" s="44"/>
      <c r="M12" s="206" t="str">
        <f t="array" aca="1" ref="M12" ca="1">IF(J9&lt;&gt;"",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INDIRECT("'盛付札（関数）'!AK"&amp;H9))),"")</f>
        <v/>
      </c>
      <c r="N12" s="207"/>
      <c r="Q12" s="25"/>
      <c r="R12" s="210" t="str">
        <f t="array" aca="1" ref="R12" ca="1">IF(R9&lt;&gt;"",INDIRECT("'盛付札（関数）'!AJ"&amp;P9),"")</f>
        <v/>
      </c>
      <c r="S12" s="211"/>
      <c r="T12" s="44"/>
      <c r="U12" s="206" t="str">
        <f t="array" aca="1" ref="U12" ca="1">IF(R9&lt;&gt;"",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INDIRECT("'盛付札（関数）'!AK"&amp;P9))),"")</f>
        <v/>
      </c>
      <c r="V12" s="207"/>
      <c r="W12" s="26"/>
      <c r="X12" s="25"/>
      <c r="Y12" s="210" t="str">
        <f t="array" aca="1" ref="Y12" ca="1">IF(Y9&lt;&gt;"",INDIRECT("'盛付札（関数）'!AJ"&amp;W9),"")</f>
        <v/>
      </c>
      <c r="Z12" s="211"/>
      <c r="AA12" s="44"/>
      <c r="AB12" s="206" t="str">
        <f t="array" aca="1" ref="AB12" ca="1">IF(Y9&lt;&gt;"",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INDIRECT("'盛付札（関数）'!AK"&amp;W9))),"")</f>
        <v/>
      </c>
      <c r="AC12" s="207"/>
      <c r="AF12" s="25"/>
      <c r="AG12" s="210" t="str">
        <f t="array" aca="1" ref="AG12" ca="1">IF(AG9&lt;&gt;"",INDIRECT("'盛付札（関数）'!AJ"&amp;AE9),"")</f>
        <v/>
      </c>
      <c r="AH12" s="211"/>
      <c r="AI12" s="44"/>
      <c r="AJ12" s="206" t="str">
        <f t="array" aca="1" ref="AJ12" ca="1">IF(AG9&lt;&gt;"",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INDIRECT("'盛付札（関数）'!AK"&amp;AE9))),"")</f>
        <v/>
      </c>
      <c r="AK12" s="207"/>
      <c r="AL12" s="26"/>
      <c r="AM12" s="25"/>
      <c r="AN12" s="210" t="str">
        <f t="array" aca="1" ref="AN12" ca="1">IF(AN9&lt;&gt;"",INDIRECT("'盛付札（関数）'!AJ"&amp;AL9),"")</f>
        <v/>
      </c>
      <c r="AO12" s="211"/>
      <c r="AP12" s="44"/>
      <c r="AQ12" s="206" t="str">
        <f t="array" aca="1" ref="AQ12" ca="1">IF(AN9&lt;&gt;"",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INDIRECT("'盛付札（関数）'!AK"&amp;AL9))),"")</f>
        <v/>
      </c>
      <c r="AR12" s="207"/>
      <c r="AU12" s="25"/>
      <c r="AV12" s="210" t="str">
        <f t="array" aca="1" ref="AV12" ca="1">IF(AV9&lt;&gt;"",INDIRECT("'盛付札（関数）'!AJ"&amp;AT9),"")</f>
        <v/>
      </c>
      <c r="AW12" s="211"/>
      <c r="AX12" s="44"/>
      <c r="AY12" s="206" t="str">
        <f t="array" aca="1" ref="AY12" ca="1">IF(AV9&lt;&gt;"",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INDIRECT("'盛付札（関数）'!AK"&amp;AT9))),"")</f>
        <v/>
      </c>
      <c r="AZ12" s="207"/>
      <c r="BA12" s="26"/>
      <c r="BB12" s="25"/>
      <c r="BC12" s="210" t="str">
        <f t="array" aca="1" ref="BC12" ca="1">IF(BC9&lt;&gt;"",INDIRECT("'盛付札（関数）'!AJ"&amp;BA9),"")</f>
        <v/>
      </c>
      <c r="BD12" s="211"/>
      <c r="BE12" s="44"/>
      <c r="BF12" s="206" t="str">
        <f t="array" aca="1" ref="BF12" ca="1">IF(BC9&lt;&gt;"",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INDIRECT("'盛付札（関数）'!AK"&amp;BA9))),"")</f>
        <v/>
      </c>
      <c r="BG12" s="207"/>
      <c r="BJ12" s="25"/>
      <c r="BK12" s="210" t="str">
        <f t="array" aca="1" ref="BK12" ca="1">IF(BK9&lt;&gt;"",INDIRECT("'盛付札（関数）'!AJ"&amp;BI9),"")</f>
        <v/>
      </c>
      <c r="BL12" s="211"/>
      <c r="BM12" s="44"/>
      <c r="BN12" s="206" t="str">
        <f t="array" aca="1" ref="BN12" ca="1">IF(BK9&lt;&gt;"",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INDIRECT("'盛付札（関数）'!AK"&amp;BI9))),"")</f>
        <v/>
      </c>
      <c r="BO12" s="207"/>
      <c r="BP12" s="26"/>
      <c r="BQ12" s="25"/>
      <c r="BR12" s="210" t="str">
        <f t="array" aca="1" ref="BR12" ca="1">IF(BR9&lt;&gt;"",INDIRECT("'盛付札（関数）'!AJ"&amp;BP9),"")</f>
        <v/>
      </c>
      <c r="BS12" s="211"/>
      <c r="BT12" s="44"/>
      <c r="BU12" s="206" t="str">
        <f t="array" aca="1" ref="BU12" ca="1">IF(BR9&lt;&gt;"",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INDIRECT("'盛付札（関数）'!AK"&amp;BP9))),"")</f>
        <v/>
      </c>
      <c r="BV12" s="207"/>
      <c r="BY12" s="25"/>
      <c r="BZ12" s="210" t="str">
        <f t="array" aca="1" ref="BZ12" ca="1">IF(BZ9&lt;&gt;"",INDIRECT("'盛付札（関数）'!AJ"&amp;BX9),"")</f>
        <v/>
      </c>
      <c r="CA12" s="211"/>
      <c r="CB12" s="44"/>
      <c r="CC12" s="206" t="str">
        <f t="array" aca="1" ref="CC12" ca="1">IF(BZ9&lt;&gt;"",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INDIRECT("'盛付札（関数）'!AK"&amp;BX9))),"")</f>
        <v/>
      </c>
      <c r="CD12" s="207"/>
      <c r="CE12" s="26"/>
      <c r="CF12" s="25"/>
      <c r="CG12" s="210" t="str">
        <f t="array" aca="1" ref="CG12" ca="1">IF(CG9&lt;&gt;"",INDIRECT("'盛付札（関数）'!AJ"&amp;CE9),"")</f>
        <v/>
      </c>
      <c r="CH12" s="211"/>
      <c r="CI12" s="44"/>
      <c r="CJ12" s="206" t="str">
        <f t="array" aca="1" ref="CJ12" ca="1">IF(CG9&lt;&gt;"",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INDIRECT("'盛付札（関数）'!AK"&amp;CE9))),"")</f>
        <v/>
      </c>
      <c r="CK12" s="207"/>
      <c r="CN12" s="25"/>
      <c r="CO12" s="210" t="str">
        <f t="array" aca="1" ref="CO12" ca="1">IF(CO9&lt;&gt;"",INDIRECT("'盛付札（関数）'!AJ"&amp;CM9),"")</f>
        <v/>
      </c>
      <c r="CP12" s="211"/>
      <c r="CQ12" s="44"/>
      <c r="CR12" s="206" t="str">
        <f t="array" aca="1" ref="CR12" ca="1">IF(CO9&lt;&gt;"",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INDIRECT("'盛付札（関数）'!AK"&amp;CM9))),"")</f>
        <v/>
      </c>
      <c r="CS12" s="207"/>
      <c r="CT12" s="26"/>
      <c r="CU12" s="25"/>
      <c r="CV12" s="210" t="str">
        <f t="array" aca="1" ref="CV12" ca="1">IF(CV9&lt;&gt;"",INDIRECT("'盛付札（関数）'!AJ"&amp;CT9),"")</f>
        <v/>
      </c>
      <c r="CW12" s="211"/>
      <c r="CX12" s="44"/>
      <c r="CY12" s="206" t="str">
        <f t="array" aca="1" ref="CY12" ca="1">IF(CV9&lt;&gt;"",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INDIRECT("'盛付札（関数）'!AK"&amp;CT9))),"")</f>
        <v/>
      </c>
      <c r="CZ12" s="207"/>
      <c r="DC12" s="25"/>
      <c r="DD12" s="210" t="str">
        <f t="array" aca="1" ref="DD12" ca="1">IF(DD9&lt;&gt;"",INDIRECT("'盛付札（関数）'!AJ"&amp;DB9),"")</f>
        <v/>
      </c>
      <c r="DE12" s="211"/>
      <c r="DF12" s="44"/>
      <c r="DG12" s="206" t="str">
        <f t="array" aca="1" ref="DG12" ca="1">IF(DD9&lt;&gt;"",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INDIRECT("'盛付札（関数）'!AK"&amp;DB9))),"")</f>
        <v/>
      </c>
      <c r="DH12" s="207"/>
      <c r="DI12" s="26"/>
      <c r="DJ12" s="25"/>
      <c r="DK12" s="210" t="str">
        <f t="array" aca="1" ref="DK12" ca="1">IF(DK9&lt;&gt;"",INDIRECT("'盛付札（関数）'!AJ"&amp;DI9),"")</f>
        <v/>
      </c>
      <c r="DL12" s="211"/>
      <c r="DM12" s="44"/>
      <c r="DN12" s="206" t="str">
        <f t="array" aca="1" ref="DN12" ca="1">IF(DK9&lt;&gt;"",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INDIRECT("'盛付札（関数）'!AK"&amp;DI9))),"")</f>
        <v/>
      </c>
      <c r="DO12" s="207"/>
      <c r="DR12" s="25"/>
      <c r="DS12" s="210" t="str">
        <f t="array" aca="1" ref="DS12" ca="1">IF(DS9&lt;&gt;"",INDIRECT("'盛付札（関数）'!AJ"&amp;DQ9),"")</f>
        <v/>
      </c>
      <c r="DT12" s="211"/>
      <c r="DU12" s="44"/>
      <c r="DV12" s="206" t="str">
        <f t="array" aca="1" ref="DV12" ca="1">IF(DS9&lt;&gt;"",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INDIRECT("'盛付札（関数）'!AK"&amp;DQ9))),"")</f>
        <v/>
      </c>
      <c r="DW12" s="207"/>
      <c r="DX12" s="26"/>
      <c r="DY12" s="25"/>
      <c r="DZ12" s="210" t="str">
        <f t="array" aca="1" ref="DZ12" ca="1">IF(DZ9&lt;&gt;"",INDIRECT("'盛付札（関数）'!AJ"&amp;DX9),"")</f>
        <v/>
      </c>
      <c r="EA12" s="211"/>
      <c r="EB12" s="44"/>
      <c r="EC12" s="206" t="str">
        <f t="array" aca="1" ref="EC12" ca="1">IF(DZ9&lt;&gt;"",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INDIRECT("'盛付札（関数）'!AK"&amp;DX9))),"")</f>
        <v/>
      </c>
      <c r="ED12" s="207"/>
      <c r="EG12" s="25"/>
      <c r="EH12" s="210" t="str">
        <f t="array" aca="1" ref="EH12" ca="1">IF(EH9&lt;&gt;"",INDIRECT("'盛付札（関数）'!AJ"&amp;EF9),"")</f>
        <v/>
      </c>
      <c r="EI12" s="211"/>
      <c r="EJ12" s="44"/>
      <c r="EK12" s="206" t="str">
        <f t="array" aca="1" ref="EK12" ca="1">IF(EH9&lt;&gt;"",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INDIRECT("'盛付札（関数）'!AK"&amp;EF9))),"")</f>
        <v/>
      </c>
      <c r="EL12" s="207"/>
      <c r="EM12" s="26"/>
      <c r="EN12" s="25"/>
      <c r="EO12" s="210" t="str">
        <f t="array" aca="1" ref="EO12" ca="1">IF(EO9&lt;&gt;"",INDIRECT("'盛付札（関数）'!AJ"&amp;EM9),"")</f>
        <v/>
      </c>
      <c r="EP12" s="211"/>
      <c r="EQ12" s="44"/>
      <c r="ER12" s="206" t="str">
        <f t="array" aca="1" ref="ER12" ca="1">IF(EO9&lt;&gt;"",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INDIRECT("'盛付札（関数）'!AK"&amp;EM9))),"")</f>
        <v/>
      </c>
      <c r="ES12" s="207"/>
    </row>
    <row r="13" spans="1:150" ht="15.6" customHeight="1">
      <c r="B13" s="27"/>
      <c r="C13" s="208"/>
      <c r="D13" s="208"/>
      <c r="E13" s="179"/>
      <c r="F13" s="208"/>
      <c r="G13" s="209"/>
      <c r="H13" s="26"/>
      <c r="I13" s="27"/>
      <c r="J13" s="208"/>
      <c r="K13" s="208"/>
      <c r="L13" s="179"/>
      <c r="M13" s="208"/>
      <c r="N13" s="209"/>
      <c r="Q13" s="27"/>
      <c r="R13" s="208"/>
      <c r="S13" s="208"/>
      <c r="T13" s="179"/>
      <c r="U13" s="208"/>
      <c r="V13" s="209"/>
      <c r="W13" s="26"/>
      <c r="X13" s="27"/>
      <c r="Y13" s="208"/>
      <c r="Z13" s="208"/>
      <c r="AA13" s="179"/>
      <c r="AB13" s="208"/>
      <c r="AC13" s="209"/>
      <c r="AF13" s="27"/>
      <c r="AG13" s="208"/>
      <c r="AH13" s="208"/>
      <c r="AI13" s="179"/>
      <c r="AJ13" s="208"/>
      <c r="AK13" s="209"/>
      <c r="AL13" s="26"/>
      <c r="AM13" s="27"/>
      <c r="AN13" s="208"/>
      <c r="AO13" s="208"/>
      <c r="AP13" s="179"/>
      <c r="AQ13" s="208"/>
      <c r="AR13" s="209"/>
      <c r="AU13" s="27"/>
      <c r="AV13" s="208"/>
      <c r="AW13" s="208"/>
      <c r="AX13" s="179"/>
      <c r="AY13" s="208"/>
      <c r="AZ13" s="209"/>
      <c r="BA13" s="26"/>
      <c r="BB13" s="27"/>
      <c r="BC13" s="208"/>
      <c r="BD13" s="208"/>
      <c r="BE13" s="179"/>
      <c r="BF13" s="208"/>
      <c r="BG13" s="209"/>
      <c r="BJ13" s="27"/>
      <c r="BK13" s="208"/>
      <c r="BL13" s="208"/>
      <c r="BM13" s="179"/>
      <c r="BN13" s="208"/>
      <c r="BO13" s="209"/>
      <c r="BP13" s="26"/>
      <c r="BQ13" s="27"/>
      <c r="BR13" s="208"/>
      <c r="BS13" s="208"/>
      <c r="BT13" s="179"/>
      <c r="BU13" s="208"/>
      <c r="BV13" s="209"/>
      <c r="BY13" s="27"/>
      <c r="BZ13" s="208"/>
      <c r="CA13" s="208"/>
      <c r="CB13" s="179"/>
      <c r="CC13" s="208"/>
      <c r="CD13" s="209"/>
      <c r="CE13" s="26"/>
      <c r="CF13" s="27"/>
      <c r="CG13" s="208"/>
      <c r="CH13" s="208"/>
      <c r="CI13" s="179"/>
      <c r="CJ13" s="208"/>
      <c r="CK13" s="209"/>
      <c r="CN13" s="27"/>
      <c r="CO13" s="208"/>
      <c r="CP13" s="208"/>
      <c r="CQ13" s="179"/>
      <c r="CR13" s="208"/>
      <c r="CS13" s="209"/>
      <c r="CT13" s="26"/>
      <c r="CU13" s="27"/>
      <c r="CV13" s="208"/>
      <c r="CW13" s="208"/>
      <c r="CX13" s="179"/>
      <c r="CY13" s="208"/>
      <c r="CZ13" s="209"/>
      <c r="DC13" s="27"/>
      <c r="DD13" s="208"/>
      <c r="DE13" s="208"/>
      <c r="DF13" s="179"/>
      <c r="DG13" s="208"/>
      <c r="DH13" s="209"/>
      <c r="DI13" s="26"/>
      <c r="DJ13" s="27"/>
      <c r="DK13" s="208"/>
      <c r="DL13" s="208"/>
      <c r="DM13" s="179"/>
      <c r="DN13" s="208"/>
      <c r="DO13" s="209"/>
      <c r="DR13" s="27"/>
      <c r="DS13" s="208"/>
      <c r="DT13" s="208"/>
      <c r="DU13" s="179"/>
      <c r="DV13" s="208"/>
      <c r="DW13" s="209"/>
      <c r="DX13" s="26"/>
      <c r="DY13" s="27"/>
      <c r="DZ13" s="208"/>
      <c r="EA13" s="208"/>
      <c r="EB13" s="179"/>
      <c r="EC13" s="208"/>
      <c r="ED13" s="209"/>
      <c r="EG13" s="27"/>
      <c r="EH13" s="208"/>
      <c r="EI13" s="208"/>
      <c r="EJ13" s="179"/>
      <c r="EK13" s="208"/>
      <c r="EL13" s="209"/>
      <c r="EM13" s="26"/>
      <c r="EN13" s="27"/>
      <c r="EO13" s="208"/>
      <c r="EP13" s="208"/>
      <c r="EQ13" s="179"/>
      <c r="ER13" s="208"/>
      <c r="ES13" s="209"/>
    </row>
    <row r="14" spans="1:150" s="181" customFormat="1">
      <c r="A14" s="30"/>
      <c r="B14" s="34" t="str">
        <f t="array" aca="1" ref="B14" ca="1">IF(AND(C9&lt;&gt;"",C9&lt;&gt;"社食"),
IF(OR(INDIRECT("'盛付札（関数）'!AE"&amp;A9)=211,INDIRECT("'盛付札（関数）'!AE"&amp;A9)=212,INDIRECT("'盛付札（関数）'!AE"&amp;A9)=213),"",
"パン箱"),"")</f>
        <v/>
      </c>
      <c r="C14" s="32" t="str">
        <f t="array" aca="1" ref="C14" ca="1">IF(AND(C9&lt;&gt;"",C9&lt;&gt;"社食"),
IF(OR(INDIRECT("'盛付札（関数）'!AE"&amp;A9)=211,INDIRECT("'盛付札（関数）'!AE"&amp;A9)=212,INDIRECT("'盛付札（関数）'!AE"&amp;A9)=213),"",
INDIRECT("'盛付札（関数）'!AL"&amp;A9)),"")</f>
        <v/>
      </c>
      <c r="D14" s="34" t="str">
        <f t="array" aca="1" ref="D14" ca="1">IF(AND(C9&lt;&gt;"",C9&lt;&gt;"社食"),
IF(OR(INDIRECT("'盛付札（関数）'!AE"&amp;A9)=211,INDIRECT("'盛付札（関数）'!AE"&amp;A9)=212,INDIRECT("'盛付札（関数）'!AE"&amp;A9)=213),"",
"端数"),"")</f>
        <v/>
      </c>
      <c r="E14" s="32"/>
      <c r="F14" s="34" t="str">
        <f t="array" aca="1" ref="F14" ca="1">IF(AND(C9&lt;&gt;"",C9&lt;&gt;"社食"),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"アレルギー")),"")</f>
        <v/>
      </c>
      <c r="G14" s="37"/>
      <c r="H14" s="22"/>
      <c r="I14" s="34" t="str">
        <f t="array" aca="1" ref="I14" ca="1">IF(AND(J9&lt;&gt;"",J9&lt;&gt;"社食"),
IF(OR(INDIRECT("'盛付札（関数）'!AE"&amp;H9)=211,INDIRECT("'盛付札（関数）'!AE"&amp;H9)=212,INDIRECT("'盛付札（関数）'!AE"&amp;H9)=213),"",
"パン箱"),"")</f>
        <v/>
      </c>
      <c r="J14" s="32" t="str">
        <f t="array" aca="1" ref="J14" ca="1">IF(AND(J9&lt;&gt;"",J9&lt;&gt;"社食"),
IF(OR(INDIRECT("'盛付札（関数）'!AE"&amp;H9)=211,INDIRECT("'盛付札（関数）'!AE"&amp;H9)=212,INDIRECT("'盛付札（関数）'!AE"&amp;H9)=213),"",
INDIRECT("'盛付札（関数）'!AL"&amp;H9)),"")</f>
        <v/>
      </c>
      <c r="K14" s="34" t="str">
        <f t="array" aca="1" ref="K14" ca="1">IF(AND(J9&lt;&gt;"",J9&lt;&gt;"社食"),
IF(OR(INDIRECT("'盛付札（関数）'!AE"&amp;H9)=211,INDIRECT("'盛付札（関数）'!AE"&amp;H9)=212,INDIRECT("'盛付札（関数）'!AE"&amp;H9)=213),"",
"端数"),"")</f>
        <v/>
      </c>
      <c r="L14" s="32"/>
      <c r="M14" s="34" t="str">
        <f t="array" aca="1" ref="M14" ca="1">IF(AND(J9&lt;&gt;"",J9&lt;&gt;"社食"),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"アレルギー")),"")</f>
        <v/>
      </c>
      <c r="N14" s="37"/>
      <c r="O14" s="22"/>
      <c r="P14" s="30"/>
      <c r="Q14" s="34" t="str">
        <f t="array" aca="1" ref="Q14" ca="1">IF(AND(R9&lt;&gt;"",R9&lt;&gt;"社食"),
IF(OR(INDIRECT("'盛付札（関数）'!AE"&amp;P9)=211,INDIRECT("'盛付札（関数）'!AE"&amp;P9)=212,INDIRECT("'盛付札（関数）'!AE"&amp;P9)=213),"",
"パン箱"),"")</f>
        <v/>
      </c>
      <c r="R14" s="32" t="str">
        <f t="array" aca="1" ref="R14" ca="1">IF(AND(R9&lt;&gt;"",R9&lt;&gt;"社食"),
IF(OR(INDIRECT("'盛付札（関数）'!AE"&amp;P9)=211,INDIRECT("'盛付札（関数）'!AE"&amp;P9)=212,INDIRECT("'盛付札（関数）'!AE"&amp;P9)=213),"",
INDIRECT("'盛付札（関数）'!AL"&amp;P9)),"")</f>
        <v/>
      </c>
      <c r="S14" s="34" t="str">
        <f t="array" aca="1" ref="S14" ca="1">IF(AND(R9&lt;&gt;"",R9&lt;&gt;"社食"),
IF(OR(INDIRECT("'盛付札（関数）'!AE"&amp;P9)=211,INDIRECT("'盛付札（関数）'!AE"&amp;P9)=212,INDIRECT("'盛付札（関数）'!AE"&amp;P9)=213),"",
"端数"),"")</f>
        <v/>
      </c>
      <c r="T14" s="32"/>
      <c r="U14" s="34" t="str">
        <f t="array" aca="1" ref="U14" ca="1">IF(AND(R9&lt;&gt;"",R9&lt;&gt;"社食"),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"アレルギー")),"")</f>
        <v/>
      </c>
      <c r="V14" s="37"/>
      <c r="W14" s="22"/>
      <c r="X14" s="34" t="str">
        <f t="array" aca="1" ref="X14" ca="1">IF(AND(Y9&lt;&gt;"",Y9&lt;&gt;"社食"),
IF(OR(INDIRECT("'盛付札（関数）'!AE"&amp;W9)=211,INDIRECT("'盛付札（関数）'!AE"&amp;W9)=212,INDIRECT("'盛付札（関数）'!AE"&amp;W9)=213),"",
"パン箱"),"")</f>
        <v/>
      </c>
      <c r="Y14" s="32" t="str">
        <f t="array" aca="1" ref="Y14" ca="1">IF(AND(Y9&lt;&gt;"",Y9&lt;&gt;"社食"),
IF(OR(INDIRECT("'盛付札（関数）'!AE"&amp;W9)=211,INDIRECT("'盛付札（関数）'!AE"&amp;W9)=212,INDIRECT("'盛付札（関数）'!AE"&amp;W9)=213),"",
INDIRECT("'盛付札（関数）'!AL"&amp;W9)),"")</f>
        <v/>
      </c>
      <c r="Z14" s="34" t="str">
        <f t="array" aca="1" ref="Z14" ca="1">IF(AND(Y9&lt;&gt;"",Y9&lt;&gt;"社食"),
IF(OR(INDIRECT("'盛付札（関数）'!AE"&amp;W9)=211,INDIRECT("'盛付札（関数）'!AE"&amp;W9)=212,INDIRECT("'盛付札（関数）'!AE"&amp;W9)=213),"",
"端数"),"")</f>
        <v/>
      </c>
      <c r="AA14" s="32"/>
      <c r="AB14" s="34" t="str">
        <f t="array" aca="1" ref="AB14" ca="1">IF(AND(Y9&lt;&gt;"",Y9&lt;&gt;"社食"),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"アレルギー")),"")</f>
        <v/>
      </c>
      <c r="AC14" s="37"/>
      <c r="AD14" s="22"/>
      <c r="AE14" s="30"/>
      <c r="AF14" s="34" t="str">
        <f t="array" aca="1" ref="AF14" ca="1">IF(AND(AG9&lt;&gt;"",AG9&lt;&gt;"社食"),
IF(OR(INDIRECT("'盛付札（関数）'!AE"&amp;AE9)=211,INDIRECT("'盛付札（関数）'!AE"&amp;AE9)=212,INDIRECT("'盛付札（関数）'!AE"&amp;AE9)=213),"",
"パン箱"),"")</f>
        <v/>
      </c>
      <c r="AG14" s="32" t="str">
        <f t="array" aca="1" ref="AG14" ca="1">IF(AND(AG9&lt;&gt;"",AG9&lt;&gt;"社食"),
IF(OR(INDIRECT("'盛付札（関数）'!AE"&amp;AE9)=211,INDIRECT("'盛付札（関数）'!AE"&amp;AE9)=212,INDIRECT("'盛付札（関数）'!AE"&amp;AE9)=213),"",
INDIRECT("'盛付札（関数）'!AL"&amp;AE9)),"")</f>
        <v/>
      </c>
      <c r="AH14" s="34" t="str">
        <f t="array" aca="1" ref="AH14" ca="1">IF(AND(AG9&lt;&gt;"",AG9&lt;&gt;"社食"),
IF(OR(INDIRECT("'盛付札（関数）'!AE"&amp;AE9)=211,INDIRECT("'盛付札（関数）'!AE"&amp;AE9)=212,INDIRECT("'盛付札（関数）'!AE"&amp;AE9)=213),"",
"端数"),"")</f>
        <v/>
      </c>
      <c r="AI14" s="32"/>
      <c r="AJ14" s="34" t="str">
        <f t="array" aca="1" ref="AJ14" ca="1">IF(AND(AG9&lt;&gt;"",AG9&lt;&gt;"社食"),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"アレルギー")),"")</f>
        <v/>
      </c>
      <c r="AK14" s="37"/>
      <c r="AL14" s="22"/>
      <c r="AM14" s="34" t="str">
        <f t="array" aca="1" ref="AM14" ca="1">IF(AND(AN9&lt;&gt;"",AN9&lt;&gt;"社食"),
IF(OR(INDIRECT("'盛付札（関数）'!AE"&amp;AL9)=211,INDIRECT("'盛付札（関数）'!AE"&amp;AL9)=212,INDIRECT("'盛付札（関数）'!AE"&amp;AL9)=213),"",
"パン箱"),"")</f>
        <v/>
      </c>
      <c r="AN14" s="32" t="str">
        <f t="array" aca="1" ref="AN14" ca="1">IF(AND(AN9&lt;&gt;"",AN9&lt;&gt;"社食"),
IF(OR(INDIRECT("'盛付札（関数）'!AE"&amp;AL9)=211,INDIRECT("'盛付札（関数）'!AE"&amp;AL9)=212,INDIRECT("'盛付札（関数）'!AE"&amp;AL9)=213),"",
INDIRECT("'盛付札（関数）'!AL"&amp;AL9)),"")</f>
        <v/>
      </c>
      <c r="AO14" s="34" t="str">
        <f t="array" aca="1" ref="AO14" ca="1">IF(AND(AN9&lt;&gt;"",AN9&lt;&gt;"社食"),
IF(OR(INDIRECT("'盛付札（関数）'!AE"&amp;AL9)=211,INDIRECT("'盛付札（関数）'!AE"&amp;AL9)=212,INDIRECT("'盛付札（関数）'!AE"&amp;AL9)=213),"",
"端数"),"")</f>
        <v/>
      </c>
      <c r="AP14" s="32"/>
      <c r="AQ14" s="34" t="str">
        <f t="array" aca="1" ref="AQ14" ca="1">IF(AND(AN9&lt;&gt;"",AN9&lt;&gt;"社食"),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"アレルギー")),"")</f>
        <v/>
      </c>
      <c r="AR14" s="37"/>
      <c r="AS14" s="22"/>
      <c r="AT14" s="30"/>
      <c r="AU14" s="34" t="str">
        <f t="array" aca="1" ref="AU14" ca="1">IF(AND(AV9&lt;&gt;"",AV9&lt;&gt;"社食"),
IF(OR(INDIRECT("'盛付札（関数）'!AE"&amp;AT9)=211,INDIRECT("'盛付札（関数）'!AE"&amp;AT9)=212,INDIRECT("'盛付札（関数）'!AE"&amp;AT9)=213),"",
"パン箱"),"")</f>
        <v/>
      </c>
      <c r="AV14" s="32" t="str">
        <f t="array" aca="1" ref="AV14" ca="1">IF(AND(AV9&lt;&gt;"",AV9&lt;&gt;"社食"),
IF(OR(INDIRECT("'盛付札（関数）'!AE"&amp;AT9)=211,INDIRECT("'盛付札（関数）'!AE"&amp;AT9)=212,INDIRECT("'盛付札（関数）'!AE"&amp;AT9)=213),"",
INDIRECT("'盛付札（関数）'!AL"&amp;AT9)),"")</f>
        <v/>
      </c>
      <c r="AW14" s="34" t="str">
        <f t="array" aca="1" ref="AW14" ca="1">IF(AND(AV9&lt;&gt;"",AV9&lt;&gt;"社食"),
IF(OR(INDIRECT("'盛付札（関数）'!AE"&amp;AT9)=211,INDIRECT("'盛付札（関数）'!AE"&amp;AT9)=212,INDIRECT("'盛付札（関数）'!AE"&amp;AT9)=213),"",
"端数"),"")</f>
        <v/>
      </c>
      <c r="AX14" s="32"/>
      <c r="AY14" s="34" t="str">
        <f t="array" aca="1" ref="AY14" ca="1">IF(AND(AV9&lt;&gt;"",AV9&lt;&gt;"社食"),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"アレルギー")),"")</f>
        <v/>
      </c>
      <c r="AZ14" s="37"/>
      <c r="BA14" s="22"/>
      <c r="BB14" s="34" t="str">
        <f t="array" aca="1" ref="BB14" ca="1">IF(AND(BC9&lt;&gt;"",BC9&lt;&gt;"社食"),
IF(OR(INDIRECT("'盛付札（関数）'!AE"&amp;BA9)=211,INDIRECT("'盛付札（関数）'!AE"&amp;BA9)=212,INDIRECT("'盛付札（関数）'!AE"&amp;BA9)=213),"",
"パン箱"),"")</f>
        <v/>
      </c>
      <c r="BC14" s="32" t="str">
        <f t="array" aca="1" ref="BC14" ca="1">IF(AND(BC9&lt;&gt;"",BC9&lt;&gt;"社食"),
IF(OR(INDIRECT("'盛付札（関数）'!AE"&amp;BA9)=211,INDIRECT("'盛付札（関数）'!AE"&amp;BA9)=212,INDIRECT("'盛付札（関数）'!AE"&amp;BA9)=213),"",
INDIRECT("'盛付札（関数）'!AL"&amp;BA9)),"")</f>
        <v/>
      </c>
      <c r="BD14" s="34" t="str">
        <f t="array" aca="1" ref="BD14" ca="1">IF(AND(BC9&lt;&gt;"",BC9&lt;&gt;"社食"),
IF(OR(INDIRECT("'盛付札（関数）'!AE"&amp;BA9)=211,INDIRECT("'盛付札（関数）'!AE"&amp;BA9)=212,INDIRECT("'盛付札（関数）'!AE"&amp;BA9)=213),"",
"端数"),"")</f>
        <v/>
      </c>
      <c r="BE14" s="32"/>
      <c r="BF14" s="34" t="str">
        <f t="array" aca="1" ref="BF14" ca="1">IF(AND(BC9&lt;&gt;"",BC9&lt;&gt;"社食"),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"アレルギー")),"")</f>
        <v/>
      </c>
      <c r="BG14" s="37"/>
      <c r="BH14" s="22"/>
      <c r="BI14" s="30"/>
      <c r="BJ14" s="34" t="str">
        <f t="array" aca="1" ref="BJ14" ca="1">IF(AND(BK9&lt;&gt;"",BK9&lt;&gt;"社食"),
IF(OR(INDIRECT("'盛付札（関数）'!AE"&amp;BI9)=211,INDIRECT("'盛付札（関数）'!AE"&amp;BI9)=212,INDIRECT("'盛付札（関数）'!AE"&amp;BI9)=213),"",
"パン箱"),"")</f>
        <v/>
      </c>
      <c r="BK14" s="32" t="str">
        <f t="array" aca="1" ref="BK14" ca="1">IF(AND(BK9&lt;&gt;"",BK9&lt;&gt;"社食"),
IF(OR(INDIRECT("'盛付札（関数）'!AE"&amp;BI9)=211,INDIRECT("'盛付札（関数）'!AE"&amp;BI9)=212,INDIRECT("'盛付札（関数）'!AE"&amp;BI9)=213),"",
INDIRECT("'盛付札（関数）'!AL"&amp;BI9)),"")</f>
        <v/>
      </c>
      <c r="BL14" s="34" t="str">
        <f t="array" aca="1" ref="BL14" ca="1">IF(AND(BK9&lt;&gt;"",BK9&lt;&gt;"社食"),
IF(OR(INDIRECT("'盛付札（関数）'!AE"&amp;BI9)=211,INDIRECT("'盛付札（関数）'!AE"&amp;BI9)=212,INDIRECT("'盛付札（関数）'!AE"&amp;BI9)=213),"",
"端数"),"")</f>
        <v/>
      </c>
      <c r="BM14" s="32"/>
      <c r="BN14" s="34" t="str">
        <f t="array" aca="1" ref="BN14" ca="1">IF(AND(BK9&lt;&gt;"",BK9&lt;&gt;"社食"),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"アレルギー")),"")</f>
        <v/>
      </c>
      <c r="BO14" s="37"/>
      <c r="BP14" s="22"/>
      <c r="BQ14" s="34" t="str">
        <f t="array" aca="1" ref="BQ14" ca="1">IF(AND(BR9&lt;&gt;"",BR9&lt;&gt;"社食"),
IF(OR(INDIRECT("'盛付札（関数）'!AE"&amp;BP9)=211,INDIRECT("'盛付札（関数）'!AE"&amp;BP9)=212,INDIRECT("'盛付札（関数）'!AE"&amp;BP9)=213),"",
"パン箱"),"")</f>
        <v/>
      </c>
      <c r="BR14" s="32" t="str">
        <f t="array" aca="1" ref="BR14" ca="1">IF(AND(BR9&lt;&gt;"",BR9&lt;&gt;"社食"),
IF(OR(INDIRECT("'盛付札（関数）'!AE"&amp;BP9)=211,INDIRECT("'盛付札（関数）'!AE"&amp;BP9)=212,INDIRECT("'盛付札（関数）'!AE"&amp;BP9)=213),"",
INDIRECT("'盛付札（関数）'!AL"&amp;BP9)),"")</f>
        <v/>
      </c>
      <c r="BS14" s="34" t="str">
        <f t="array" aca="1" ref="BS14" ca="1">IF(AND(BR9&lt;&gt;"",BR9&lt;&gt;"社食"),
IF(OR(INDIRECT("'盛付札（関数）'!AE"&amp;BP9)=211,INDIRECT("'盛付札（関数）'!AE"&amp;BP9)=212,INDIRECT("'盛付札（関数）'!AE"&amp;BP9)=213),"",
"端数"),"")</f>
        <v/>
      </c>
      <c r="BT14" s="32"/>
      <c r="BU14" s="34" t="str">
        <f t="array" aca="1" ref="BU14" ca="1">IF(AND(BR9&lt;&gt;"",BR9&lt;&gt;"社食"),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"アレルギー")),"")</f>
        <v/>
      </c>
      <c r="BV14" s="37"/>
      <c r="BW14" s="22"/>
      <c r="BX14" s="30"/>
      <c r="BY14" s="34" t="str">
        <f t="array" aca="1" ref="BY14" ca="1">IF(AND(BZ9&lt;&gt;"",BZ9&lt;&gt;"社食"),
IF(OR(INDIRECT("'盛付札（関数）'!AE"&amp;BX9)=211,INDIRECT("'盛付札（関数）'!AE"&amp;BX9)=212,INDIRECT("'盛付札（関数）'!AE"&amp;BX9)=213),"",
"パン箱"),"")</f>
        <v/>
      </c>
      <c r="BZ14" s="32" t="str">
        <f t="array" aca="1" ref="BZ14" ca="1">IF(AND(BZ9&lt;&gt;"",BZ9&lt;&gt;"社食"),
IF(OR(INDIRECT("'盛付札（関数）'!AE"&amp;BX9)=211,INDIRECT("'盛付札（関数）'!AE"&amp;BX9)=212,INDIRECT("'盛付札（関数）'!AE"&amp;BX9)=213),"",
INDIRECT("'盛付札（関数）'!AL"&amp;BX9)),"")</f>
        <v/>
      </c>
      <c r="CA14" s="34" t="str">
        <f t="array" aca="1" ref="CA14" ca="1">IF(AND(BZ9&lt;&gt;"",BZ9&lt;&gt;"社食"),
IF(OR(INDIRECT("'盛付札（関数）'!AE"&amp;BX9)=211,INDIRECT("'盛付札（関数）'!AE"&amp;BX9)=212,INDIRECT("'盛付札（関数）'!AE"&amp;BX9)=213),"",
"端数"),"")</f>
        <v/>
      </c>
      <c r="CB14" s="32"/>
      <c r="CC14" s="34" t="str">
        <f t="array" aca="1" ref="CC14" ca="1">IF(AND(BZ9&lt;&gt;"",BZ9&lt;&gt;"社食"),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"アレルギー")),"")</f>
        <v/>
      </c>
      <c r="CD14" s="37"/>
      <c r="CE14" s="22"/>
      <c r="CF14" s="34" t="str">
        <f t="array" aca="1" ref="CF14" ca="1">IF(AND(CG9&lt;&gt;"",CG9&lt;&gt;"社食"),
IF(OR(INDIRECT("'盛付札（関数）'!AE"&amp;CE9)=211,INDIRECT("'盛付札（関数）'!AE"&amp;CE9)=212,INDIRECT("'盛付札（関数）'!AE"&amp;CE9)=213),"",
"パン箱"),"")</f>
        <v/>
      </c>
      <c r="CG14" s="32" t="str">
        <f t="array" aca="1" ref="CG14" ca="1">IF(AND(CG9&lt;&gt;"",CG9&lt;&gt;"社食"),
IF(OR(INDIRECT("'盛付札（関数）'!AE"&amp;CE9)=211,INDIRECT("'盛付札（関数）'!AE"&amp;CE9)=212,INDIRECT("'盛付札（関数）'!AE"&amp;CE9)=213),"",
INDIRECT("'盛付札（関数）'!AL"&amp;CE9)),"")</f>
        <v/>
      </c>
      <c r="CH14" s="34" t="str">
        <f t="array" aca="1" ref="CH14" ca="1">IF(AND(CG9&lt;&gt;"",CG9&lt;&gt;"社食"),
IF(OR(INDIRECT("'盛付札（関数）'!AE"&amp;CE9)=211,INDIRECT("'盛付札（関数）'!AE"&amp;CE9)=212,INDIRECT("'盛付札（関数）'!AE"&amp;CE9)=213),"",
"端数"),"")</f>
        <v/>
      </c>
      <c r="CI14" s="32"/>
      <c r="CJ14" s="34" t="str">
        <f t="array" aca="1" ref="CJ14" ca="1">IF(AND(CG9&lt;&gt;"",CG9&lt;&gt;"社食"),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"アレルギー")),"")</f>
        <v/>
      </c>
      <c r="CK14" s="37"/>
      <c r="CL14" s="22"/>
      <c r="CM14" s="30"/>
      <c r="CN14" s="34" t="str">
        <f t="array" aca="1" ref="CN14" ca="1">IF(AND(CO9&lt;&gt;"",CO9&lt;&gt;"社食"),
IF(OR(INDIRECT("'盛付札（関数）'!AE"&amp;CM9)=211,INDIRECT("'盛付札（関数）'!AE"&amp;CM9)=212,INDIRECT("'盛付札（関数）'!AE"&amp;CM9)=213),"",
"パン箱"),"")</f>
        <v/>
      </c>
      <c r="CO14" s="32" t="str">
        <f t="array" aca="1" ref="CO14" ca="1">IF(AND(CO9&lt;&gt;"",CO9&lt;&gt;"社食"),
IF(OR(INDIRECT("'盛付札（関数）'!AE"&amp;CM9)=211,INDIRECT("'盛付札（関数）'!AE"&amp;CM9)=212,INDIRECT("'盛付札（関数）'!AE"&amp;CM9)=213),"",
INDIRECT("'盛付札（関数）'!AL"&amp;CM9)),"")</f>
        <v/>
      </c>
      <c r="CP14" s="34" t="str">
        <f t="array" aca="1" ref="CP14" ca="1">IF(AND(CO9&lt;&gt;"",CO9&lt;&gt;"社食"),
IF(OR(INDIRECT("'盛付札（関数）'!AE"&amp;CM9)=211,INDIRECT("'盛付札（関数）'!AE"&amp;CM9)=212,INDIRECT("'盛付札（関数）'!AE"&amp;CM9)=213),"",
"端数"),"")</f>
        <v/>
      </c>
      <c r="CQ14" s="32"/>
      <c r="CR14" s="34" t="str">
        <f t="array" aca="1" ref="CR14" ca="1">IF(AND(CO9&lt;&gt;"",CO9&lt;&gt;"社食"),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"アレルギー")),"")</f>
        <v/>
      </c>
      <c r="CS14" s="37"/>
      <c r="CT14" s="22"/>
      <c r="CU14" s="34" t="str">
        <f t="array" aca="1" ref="CU14" ca="1">IF(AND(CV9&lt;&gt;"",CV9&lt;&gt;"社食"),
IF(OR(INDIRECT("'盛付札（関数）'!AE"&amp;CT9)=211,INDIRECT("'盛付札（関数）'!AE"&amp;CT9)=212,INDIRECT("'盛付札（関数）'!AE"&amp;CT9)=213),"",
"パン箱"),"")</f>
        <v/>
      </c>
      <c r="CV14" s="32" t="str">
        <f t="array" aca="1" ref="CV14" ca="1">IF(AND(CV9&lt;&gt;"",CV9&lt;&gt;"社食"),
IF(OR(INDIRECT("'盛付札（関数）'!AE"&amp;CT9)=211,INDIRECT("'盛付札（関数）'!AE"&amp;CT9)=212,INDIRECT("'盛付札（関数）'!AE"&amp;CT9)=213),"",
INDIRECT("'盛付札（関数）'!AL"&amp;CT9)),"")</f>
        <v/>
      </c>
      <c r="CW14" s="34" t="str">
        <f t="array" aca="1" ref="CW14" ca="1">IF(AND(CV9&lt;&gt;"",CV9&lt;&gt;"社食"),
IF(OR(INDIRECT("'盛付札（関数）'!AE"&amp;CT9)=211,INDIRECT("'盛付札（関数）'!AE"&amp;CT9)=212,INDIRECT("'盛付札（関数）'!AE"&amp;CT9)=213),"",
"端数"),"")</f>
        <v/>
      </c>
      <c r="CX14" s="32"/>
      <c r="CY14" s="34" t="str">
        <f t="array" aca="1" ref="CY14" ca="1">IF(AND(CV9&lt;&gt;"",CV9&lt;&gt;"社食"),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"アレルギー")),"")</f>
        <v/>
      </c>
      <c r="CZ14" s="37"/>
      <c r="DA14" s="22"/>
      <c r="DB14" s="30"/>
      <c r="DC14" s="34" t="str">
        <f t="array" aca="1" ref="DC14" ca="1">IF(AND(DD9&lt;&gt;"",DD9&lt;&gt;"社食"),
IF(OR(INDIRECT("'盛付札（関数）'!AE"&amp;DB9)=211,INDIRECT("'盛付札（関数）'!AE"&amp;DB9)=212,INDIRECT("'盛付札（関数）'!AE"&amp;DB9)=213),"",
"パン箱"),"")</f>
        <v/>
      </c>
      <c r="DD14" s="32" t="str">
        <f t="array" aca="1" ref="DD14" ca="1">IF(AND(DD9&lt;&gt;"",DD9&lt;&gt;"社食"),
IF(OR(INDIRECT("'盛付札（関数）'!AE"&amp;DB9)=211,INDIRECT("'盛付札（関数）'!AE"&amp;DB9)=212,INDIRECT("'盛付札（関数）'!AE"&amp;DB9)=213),"",
INDIRECT("'盛付札（関数）'!AL"&amp;DB9)),"")</f>
        <v/>
      </c>
      <c r="DE14" s="34" t="str">
        <f t="array" aca="1" ref="DE14" ca="1">IF(AND(DD9&lt;&gt;"",DD9&lt;&gt;"社食"),
IF(OR(INDIRECT("'盛付札（関数）'!AE"&amp;DB9)=211,INDIRECT("'盛付札（関数）'!AE"&amp;DB9)=212,INDIRECT("'盛付札（関数）'!AE"&amp;DB9)=213),"",
"端数"),"")</f>
        <v/>
      </c>
      <c r="DF14" s="32"/>
      <c r="DG14" s="34" t="str">
        <f t="array" aca="1" ref="DG14" ca="1">IF(AND(DD9&lt;&gt;"",DD9&lt;&gt;"社食"),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"アレルギー")),"")</f>
        <v/>
      </c>
      <c r="DH14" s="37"/>
      <c r="DI14" s="22"/>
      <c r="DJ14" s="34" t="str">
        <f t="array" aca="1" ref="DJ14" ca="1">IF(AND(DK9&lt;&gt;"",DK9&lt;&gt;"社食"),
IF(OR(INDIRECT("'盛付札（関数）'!AE"&amp;DI9)=211,INDIRECT("'盛付札（関数）'!AE"&amp;DI9)=212,INDIRECT("'盛付札（関数）'!AE"&amp;DI9)=213),"",
"パン箱"),"")</f>
        <v/>
      </c>
      <c r="DK14" s="32" t="str">
        <f t="array" aca="1" ref="DK14" ca="1">IF(AND(DK9&lt;&gt;"",DK9&lt;&gt;"社食"),
IF(OR(INDIRECT("'盛付札（関数）'!AE"&amp;DI9)=211,INDIRECT("'盛付札（関数）'!AE"&amp;DI9)=212,INDIRECT("'盛付札（関数）'!AE"&amp;DI9)=213),"",
INDIRECT("'盛付札（関数）'!AL"&amp;DI9)),"")</f>
        <v/>
      </c>
      <c r="DL14" s="34" t="str">
        <f t="array" aca="1" ref="DL14" ca="1">IF(AND(DK9&lt;&gt;"",DK9&lt;&gt;"社食"),
IF(OR(INDIRECT("'盛付札（関数）'!AE"&amp;DI9)=211,INDIRECT("'盛付札（関数）'!AE"&amp;DI9)=212,INDIRECT("'盛付札（関数）'!AE"&amp;DI9)=213),"",
"端数"),"")</f>
        <v/>
      </c>
      <c r="DM14" s="32"/>
      <c r="DN14" s="34" t="str">
        <f t="array" aca="1" ref="DN14" ca="1">IF(AND(DK9&lt;&gt;"",DK9&lt;&gt;"社食"),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"アレルギー")),"")</f>
        <v/>
      </c>
      <c r="DO14" s="37"/>
      <c r="DP14" s="22"/>
      <c r="DQ14" s="30"/>
      <c r="DR14" s="34" t="str">
        <f t="array" aca="1" ref="DR14" ca="1">IF(AND(DS9&lt;&gt;"",DS9&lt;&gt;"社食"),
IF(OR(INDIRECT("'盛付札（関数）'!AE"&amp;DQ9)=211,INDIRECT("'盛付札（関数）'!AE"&amp;DQ9)=212,INDIRECT("'盛付札（関数）'!AE"&amp;DQ9)=213),"",
"パン箱"),"")</f>
        <v/>
      </c>
      <c r="DS14" s="32" t="str">
        <f t="array" aca="1" ref="DS14" ca="1">IF(AND(DS9&lt;&gt;"",DS9&lt;&gt;"社食"),
IF(OR(INDIRECT("'盛付札（関数）'!AE"&amp;DQ9)=211,INDIRECT("'盛付札（関数）'!AE"&amp;DQ9)=212,INDIRECT("'盛付札（関数）'!AE"&amp;DQ9)=213),"",
INDIRECT("'盛付札（関数）'!AL"&amp;DQ9)),"")</f>
        <v/>
      </c>
      <c r="DT14" s="34" t="str">
        <f t="array" aca="1" ref="DT14" ca="1">IF(AND(DS9&lt;&gt;"",DS9&lt;&gt;"社食"),
IF(OR(INDIRECT("'盛付札（関数）'!AE"&amp;DQ9)=211,INDIRECT("'盛付札（関数）'!AE"&amp;DQ9)=212,INDIRECT("'盛付札（関数）'!AE"&amp;DQ9)=213),"",
"端数"),"")</f>
        <v/>
      </c>
      <c r="DU14" s="32"/>
      <c r="DV14" s="34" t="str">
        <f t="array" aca="1" ref="DV14" ca="1">IF(AND(DS9&lt;&gt;"",DS9&lt;&gt;"社食"),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"アレルギー")),"")</f>
        <v/>
      </c>
      <c r="DW14" s="37"/>
      <c r="DX14" s="22"/>
      <c r="DY14" s="34" t="str">
        <f t="array" aca="1" ref="DY14" ca="1">IF(AND(DZ9&lt;&gt;"",DZ9&lt;&gt;"社食"),
IF(OR(INDIRECT("'盛付札（関数）'!AE"&amp;DX9)=211,INDIRECT("'盛付札（関数）'!AE"&amp;DX9)=212,INDIRECT("'盛付札（関数）'!AE"&amp;DX9)=213),"",
"パン箱"),"")</f>
        <v/>
      </c>
      <c r="DZ14" s="32" t="str">
        <f t="array" aca="1" ref="DZ14" ca="1">IF(AND(DZ9&lt;&gt;"",DZ9&lt;&gt;"社食"),
IF(OR(INDIRECT("'盛付札（関数）'!AE"&amp;DX9)=211,INDIRECT("'盛付札（関数）'!AE"&amp;DX9)=212,INDIRECT("'盛付札（関数）'!AE"&amp;DX9)=213),"",
INDIRECT("'盛付札（関数）'!AL"&amp;DX9)),"")</f>
        <v/>
      </c>
      <c r="EA14" s="34" t="str">
        <f t="array" aca="1" ref="EA14" ca="1">IF(AND(DZ9&lt;&gt;"",DZ9&lt;&gt;"社食"),
IF(OR(INDIRECT("'盛付札（関数）'!AE"&amp;DX9)=211,INDIRECT("'盛付札（関数）'!AE"&amp;DX9)=212,INDIRECT("'盛付札（関数）'!AE"&amp;DX9)=213),"",
"端数"),"")</f>
        <v/>
      </c>
      <c r="EB14" s="32"/>
      <c r="EC14" s="34" t="str">
        <f t="array" aca="1" ref="EC14" ca="1">IF(AND(DZ9&lt;&gt;"",DZ9&lt;&gt;"社食"),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"アレルギー")),"")</f>
        <v/>
      </c>
      <c r="ED14" s="37"/>
      <c r="EE14" s="22"/>
      <c r="EF14" s="30"/>
      <c r="EG14" s="34" t="str">
        <f t="array" aca="1" ref="EG14" ca="1">IF(AND(EH9&lt;&gt;"",EH9&lt;&gt;"社食"),
IF(OR(INDIRECT("'盛付札（関数）'!AE"&amp;EF9)=211,INDIRECT("'盛付札（関数）'!AE"&amp;EF9)=212,INDIRECT("'盛付札（関数）'!AE"&amp;EF9)=213),"",
"パン箱"),"")</f>
        <v/>
      </c>
      <c r="EH14" s="32" t="str">
        <f t="array" aca="1" ref="EH14" ca="1">IF(AND(EH9&lt;&gt;"",EH9&lt;&gt;"社食"),
IF(OR(INDIRECT("'盛付札（関数）'!AE"&amp;EF9)=211,INDIRECT("'盛付札（関数）'!AE"&amp;EF9)=212,INDIRECT("'盛付札（関数）'!AE"&amp;EF9)=213),"",
INDIRECT("'盛付札（関数）'!AL"&amp;EF9)),"")</f>
        <v/>
      </c>
      <c r="EI14" s="34" t="str">
        <f t="array" aca="1" ref="EI14" ca="1">IF(AND(EH9&lt;&gt;"",EH9&lt;&gt;"社食"),
IF(OR(INDIRECT("'盛付札（関数）'!AE"&amp;EF9)=211,INDIRECT("'盛付札（関数）'!AE"&amp;EF9)=212,INDIRECT("'盛付札（関数）'!AE"&amp;EF9)=213),"",
"端数"),"")</f>
        <v/>
      </c>
      <c r="EJ14" s="32"/>
      <c r="EK14" s="34" t="str">
        <f t="array" aca="1" ref="EK14" ca="1">IF(AND(EH9&lt;&gt;"",EH9&lt;&gt;"社食"),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"アレルギー")),"")</f>
        <v/>
      </c>
      <c r="EL14" s="37"/>
      <c r="EM14" s="22"/>
      <c r="EN14" s="34" t="str">
        <f t="array" aca="1" ref="EN14" ca="1">IF(AND(EO9&lt;&gt;"",EO9&lt;&gt;"社食"),
IF(OR(INDIRECT("'盛付札（関数）'!AE"&amp;EM9)=211,INDIRECT("'盛付札（関数）'!AE"&amp;EM9)=212,INDIRECT("'盛付札（関数）'!AE"&amp;EM9)=213),"",
"パン箱"),"")</f>
        <v/>
      </c>
      <c r="EO14" s="32" t="str">
        <f t="array" aca="1" ref="EO14" ca="1">IF(AND(EO9&lt;&gt;"",EO9&lt;&gt;"社食"),
IF(OR(INDIRECT("'盛付札（関数）'!AE"&amp;EM9)=211,INDIRECT("'盛付札（関数）'!AE"&amp;EM9)=212,INDIRECT("'盛付札（関数）'!AE"&amp;EM9)=213),"",
INDIRECT("'盛付札（関数）'!AL"&amp;EM9)),"")</f>
        <v/>
      </c>
      <c r="EP14" s="34" t="str">
        <f t="array" aca="1" ref="EP14" ca="1">IF(AND(EO9&lt;&gt;"",EO9&lt;&gt;"社食"),
IF(OR(INDIRECT("'盛付札（関数）'!AE"&amp;EM9)=211,INDIRECT("'盛付札（関数）'!AE"&amp;EM9)=212,INDIRECT("'盛付札（関数）'!AE"&amp;EM9)=213),"",
"端数"),"")</f>
        <v/>
      </c>
      <c r="EQ14" s="32"/>
      <c r="ER14" s="34" t="str">
        <f t="array" aca="1" ref="ER14" ca="1">IF(AND(EO9&lt;&gt;"",EO9&lt;&gt;"社食"),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"アレルギー")),"")</f>
        <v/>
      </c>
      <c r="ES14" s="37"/>
      <c r="ET14" s="22"/>
    </row>
    <row r="15" spans="1:150" ht="27.6" customHeight="1">
      <c r="B15" s="216" t="str">
        <f t="array" aca="1" ref="B15" ca="1">IF(C9&lt;&gt;"",
IF(OR(INDIRECT("'盛付札（関数）'!AE"&amp;A9)=211,INDIRECT("'盛付札（関数）'!AE"&amp;A9)=212,INDIRECT("'盛付札（関数）'!AE"&amp;A9)=213),"",
INDIRECT("'盛付札（関数）'!AM"&amp;A9)),"")</f>
        <v/>
      </c>
      <c r="C15" s="209"/>
      <c r="D15" s="216" t="str">
        <f t="array" aca="1" ref="D15" ca="1">IF(C9&lt;&gt;"",
IF(OR(INDIRECT("'盛付札（関数）'!AE"&amp;A9)=211,INDIRECT("'盛付札（関数）'!AE"&amp;A9)=212,INDIRECT("'盛付札（関数）'!AE"&amp;A9)=213),"",
INDIRECT("'盛付札（関数）'!AN"&amp;A9)),"")</f>
        <v/>
      </c>
      <c r="E15" s="209"/>
      <c r="F15" s="217" t="str">
        <f t="array" aca="1" ref="F15" ca="1">IF(AND(C9&lt;&gt;"",C9&lt;&gt;"社食"),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INDIRECT("'盛付札（関数）'!AO"&amp;A9))),"")</f>
        <v/>
      </c>
      <c r="G15" s="209"/>
      <c r="I15" s="216" t="str">
        <f t="array" aca="1" ref="I15" ca="1">IF(J9&lt;&gt;"",
IF(OR(INDIRECT("'盛付札（関数）'!AE"&amp;H9)=211,INDIRECT("'盛付札（関数）'!AE"&amp;H9)=212,INDIRECT("'盛付札（関数）'!AE"&amp;H9)=213),"",
INDIRECT("'盛付札（関数）'!AM"&amp;H9)),"")</f>
        <v/>
      </c>
      <c r="J15" s="209"/>
      <c r="K15" s="216" t="str">
        <f t="array" aca="1" ref="K15" ca="1">IF(J9&lt;&gt;"",
IF(OR(INDIRECT("'盛付札（関数）'!AE"&amp;H9)=211,INDIRECT("'盛付札（関数）'!AE"&amp;H9)=212,INDIRECT("'盛付札（関数）'!AE"&amp;H9)=213),"",
INDIRECT("'盛付札（関数）'!AN"&amp;H9)),"")</f>
        <v/>
      </c>
      <c r="L15" s="209"/>
      <c r="M15" s="217" t="str">
        <f t="array" aca="1" ref="M15" ca="1">IF(AND(J9&lt;&gt;"",J9&lt;&gt;"社食"),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INDIRECT("'盛付札（関数）'!AO"&amp;H9))),"")</f>
        <v/>
      </c>
      <c r="N15" s="209"/>
      <c r="Q15" s="216" t="str">
        <f t="array" aca="1" ref="Q15" ca="1">IF(R9&lt;&gt;"",
IF(OR(INDIRECT("'盛付札（関数）'!AE"&amp;P9)=211,INDIRECT("'盛付札（関数）'!AE"&amp;P9)=212,INDIRECT("'盛付札（関数）'!AE"&amp;P9)=213),"",
INDIRECT("'盛付札（関数）'!AM"&amp;P9)),"")</f>
        <v/>
      </c>
      <c r="R15" s="209"/>
      <c r="S15" s="216" t="str">
        <f t="array" aca="1" ref="S15" ca="1">IF(R9&lt;&gt;"",
IF(OR(INDIRECT("'盛付札（関数）'!AE"&amp;P9)=211,INDIRECT("'盛付札（関数）'!AE"&amp;P9)=212,INDIRECT("'盛付札（関数）'!AE"&amp;P9)=213),"",
INDIRECT("'盛付札（関数）'!AN"&amp;P9)),"")</f>
        <v/>
      </c>
      <c r="T15" s="209"/>
      <c r="U15" s="217" t="str">
        <f t="array" aca="1" ref="U15" ca="1">IF(AND(R9&lt;&gt;"",R9&lt;&gt;"社食"),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INDIRECT("'盛付札（関数）'!AO"&amp;P9))),"")</f>
        <v/>
      </c>
      <c r="V15" s="209"/>
      <c r="X15" s="216" t="str">
        <f t="array" aca="1" ref="X15" ca="1">IF(Y9&lt;&gt;"",
IF(OR(INDIRECT("'盛付札（関数）'!AE"&amp;W9)=211,INDIRECT("'盛付札（関数）'!AE"&amp;W9)=212,INDIRECT("'盛付札（関数）'!AE"&amp;W9)=213),"",
INDIRECT("'盛付札（関数）'!AM"&amp;W9)),"")</f>
        <v/>
      </c>
      <c r="Y15" s="209"/>
      <c r="Z15" s="216" t="str">
        <f t="array" aca="1" ref="Z15" ca="1">IF(Y9&lt;&gt;"",
IF(OR(INDIRECT("'盛付札（関数）'!AE"&amp;W9)=211,INDIRECT("'盛付札（関数）'!AE"&amp;W9)=212,INDIRECT("'盛付札（関数）'!AE"&amp;W9)=213),"",
INDIRECT("'盛付札（関数）'!AN"&amp;W9)),"")</f>
        <v/>
      </c>
      <c r="AA15" s="209"/>
      <c r="AB15" s="217" t="str">
        <f t="array" aca="1" ref="AB15" ca="1">IF(AND(Y9&lt;&gt;"",Y9&lt;&gt;"社食"),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INDIRECT("'盛付札（関数）'!AO"&amp;W9))),"")</f>
        <v/>
      </c>
      <c r="AC15" s="209"/>
      <c r="AF15" s="216" t="str">
        <f t="array" aca="1" ref="AF15" ca="1">IF(AG9&lt;&gt;"",
IF(OR(INDIRECT("'盛付札（関数）'!AE"&amp;AE9)=211,INDIRECT("'盛付札（関数）'!AE"&amp;AE9)=212,INDIRECT("'盛付札（関数）'!AE"&amp;AE9)=213),"",
INDIRECT("'盛付札（関数）'!AM"&amp;AE9)),"")</f>
        <v/>
      </c>
      <c r="AG15" s="209"/>
      <c r="AH15" s="216" t="str">
        <f t="array" aca="1" ref="AH15" ca="1">IF(AG9&lt;&gt;"",
IF(OR(INDIRECT("'盛付札（関数）'!AE"&amp;AE9)=211,INDIRECT("'盛付札（関数）'!AE"&amp;AE9)=212,INDIRECT("'盛付札（関数）'!AE"&amp;AE9)=213),"",
INDIRECT("'盛付札（関数）'!AN"&amp;AE9)),"")</f>
        <v/>
      </c>
      <c r="AI15" s="209"/>
      <c r="AJ15" s="217" t="str">
        <f t="array" aca="1" ref="AJ15" ca="1">IF(AND(AG9&lt;&gt;"",AG9&lt;&gt;"社食"),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INDIRECT("'盛付札（関数）'!AO"&amp;AE9))),"")</f>
        <v/>
      </c>
      <c r="AK15" s="209"/>
      <c r="AM15" s="216" t="str">
        <f t="array" aca="1" ref="AM15" ca="1">IF(AN9&lt;&gt;"",
IF(OR(INDIRECT("'盛付札（関数）'!AE"&amp;AL9)=211,INDIRECT("'盛付札（関数）'!AE"&amp;AL9)=212,INDIRECT("'盛付札（関数）'!AE"&amp;AL9)=213),"",
INDIRECT("'盛付札（関数）'!AM"&amp;AL9)),"")</f>
        <v/>
      </c>
      <c r="AN15" s="209"/>
      <c r="AO15" s="216" t="str">
        <f t="array" aca="1" ref="AO15" ca="1">IF(AN9&lt;&gt;"",
IF(OR(INDIRECT("'盛付札（関数）'!AE"&amp;AL9)=211,INDIRECT("'盛付札（関数）'!AE"&amp;AL9)=212,INDIRECT("'盛付札（関数）'!AE"&amp;AL9)=213),"",
INDIRECT("'盛付札（関数）'!AN"&amp;AL9)),"")</f>
        <v/>
      </c>
      <c r="AP15" s="209"/>
      <c r="AQ15" s="217" t="str">
        <f t="array" aca="1" ref="AQ15" ca="1">IF(AND(AN9&lt;&gt;"",AN9&lt;&gt;"社食"),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INDIRECT("'盛付札（関数）'!AO"&amp;AL9))),"")</f>
        <v/>
      </c>
      <c r="AR15" s="209"/>
      <c r="AU15" s="216" t="str">
        <f t="array" aca="1" ref="AU15" ca="1">IF(AV9&lt;&gt;"",
IF(OR(INDIRECT("'盛付札（関数）'!AE"&amp;AT9)=211,INDIRECT("'盛付札（関数）'!AE"&amp;AT9)=212,INDIRECT("'盛付札（関数）'!AE"&amp;AT9)=213),"",
INDIRECT("'盛付札（関数）'!AM"&amp;AT9)),"")</f>
        <v/>
      </c>
      <c r="AV15" s="209"/>
      <c r="AW15" s="216" t="str">
        <f t="array" aca="1" ref="AW15" ca="1">IF(AV9&lt;&gt;"",
IF(OR(INDIRECT("'盛付札（関数）'!AE"&amp;AT9)=211,INDIRECT("'盛付札（関数）'!AE"&amp;AT9)=212,INDIRECT("'盛付札（関数）'!AE"&amp;AT9)=213),"",
INDIRECT("'盛付札（関数）'!AN"&amp;AT9)),"")</f>
        <v/>
      </c>
      <c r="AX15" s="209"/>
      <c r="AY15" s="217" t="str">
        <f t="array" aca="1" ref="AY15" ca="1">IF(AND(AV9&lt;&gt;"",AV9&lt;&gt;"社食"),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INDIRECT("'盛付札（関数）'!AO"&amp;AT9))),"")</f>
        <v/>
      </c>
      <c r="AZ15" s="209"/>
      <c r="BB15" s="216" t="str">
        <f t="array" aca="1" ref="BB15" ca="1">IF(BC9&lt;&gt;"",
IF(OR(INDIRECT("'盛付札（関数）'!AE"&amp;BA9)=211,INDIRECT("'盛付札（関数）'!AE"&amp;BA9)=212,INDIRECT("'盛付札（関数）'!AE"&amp;BA9)=213),"",
INDIRECT("'盛付札（関数）'!AM"&amp;BA9)),"")</f>
        <v/>
      </c>
      <c r="BC15" s="209"/>
      <c r="BD15" s="216" t="str">
        <f t="array" aca="1" ref="BD15" ca="1">IF(BC9&lt;&gt;"",
IF(OR(INDIRECT("'盛付札（関数）'!AE"&amp;BA9)=211,INDIRECT("'盛付札（関数）'!AE"&amp;BA9)=212,INDIRECT("'盛付札（関数）'!AE"&amp;BA9)=213),"",
INDIRECT("'盛付札（関数）'!AN"&amp;BA9)),"")</f>
        <v/>
      </c>
      <c r="BE15" s="209"/>
      <c r="BF15" s="217" t="str">
        <f t="array" aca="1" ref="BF15" ca="1">IF(AND(BC9&lt;&gt;"",BC9&lt;&gt;"社食"),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INDIRECT("'盛付札（関数）'!AO"&amp;BA9))),"")</f>
        <v/>
      </c>
      <c r="BG15" s="209"/>
      <c r="BJ15" s="216" t="str">
        <f t="array" aca="1" ref="BJ15" ca="1">IF(BK9&lt;&gt;"",
IF(OR(INDIRECT("'盛付札（関数）'!AE"&amp;BI9)=211,INDIRECT("'盛付札（関数）'!AE"&amp;BI9)=212,INDIRECT("'盛付札（関数）'!AE"&amp;BI9)=213),"",
INDIRECT("'盛付札（関数）'!AM"&amp;BI9)),"")</f>
        <v/>
      </c>
      <c r="BK15" s="209"/>
      <c r="BL15" s="216" t="str">
        <f t="array" aca="1" ref="BL15" ca="1">IF(BK9&lt;&gt;"",
IF(OR(INDIRECT("'盛付札（関数）'!AE"&amp;BI9)=211,INDIRECT("'盛付札（関数）'!AE"&amp;BI9)=212,INDIRECT("'盛付札（関数）'!AE"&amp;BI9)=213),"",
INDIRECT("'盛付札（関数）'!AN"&amp;BI9)),"")</f>
        <v/>
      </c>
      <c r="BM15" s="209"/>
      <c r="BN15" s="217" t="str">
        <f t="array" aca="1" ref="BN15" ca="1">IF(AND(BK9&lt;&gt;"",BK9&lt;&gt;"社食"),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INDIRECT("'盛付札（関数）'!AO"&amp;BI9))),"")</f>
        <v/>
      </c>
      <c r="BO15" s="209"/>
      <c r="BQ15" s="216" t="str">
        <f t="array" aca="1" ref="BQ15" ca="1">IF(BR9&lt;&gt;"",
IF(OR(INDIRECT("'盛付札（関数）'!AE"&amp;BP9)=211,INDIRECT("'盛付札（関数）'!AE"&amp;BP9)=212,INDIRECT("'盛付札（関数）'!AE"&amp;BP9)=213),"",
INDIRECT("'盛付札（関数）'!AM"&amp;BP9)),"")</f>
        <v/>
      </c>
      <c r="BR15" s="209"/>
      <c r="BS15" s="216" t="str">
        <f t="array" aca="1" ref="BS15" ca="1">IF(BR9&lt;&gt;"",
IF(OR(INDIRECT("'盛付札（関数）'!AE"&amp;BP9)=211,INDIRECT("'盛付札（関数）'!AE"&amp;BP9)=212,INDIRECT("'盛付札（関数）'!AE"&amp;BP9)=213),"",
INDIRECT("'盛付札（関数）'!AN"&amp;BP9)),"")</f>
        <v/>
      </c>
      <c r="BT15" s="209"/>
      <c r="BU15" s="217" t="str">
        <f t="array" aca="1" ref="BU15" ca="1">IF(AND(BR9&lt;&gt;"",BR9&lt;&gt;"社食"),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INDIRECT("'盛付札（関数）'!AO"&amp;BP9))),"")</f>
        <v/>
      </c>
      <c r="BV15" s="209"/>
      <c r="BY15" s="216" t="str">
        <f t="array" aca="1" ref="BY15" ca="1">IF(BZ9&lt;&gt;"",
IF(OR(INDIRECT("'盛付札（関数）'!AE"&amp;BX9)=211,INDIRECT("'盛付札（関数）'!AE"&amp;BX9)=212,INDIRECT("'盛付札（関数）'!AE"&amp;BX9)=213),"",
INDIRECT("'盛付札（関数）'!AM"&amp;BX9)),"")</f>
        <v/>
      </c>
      <c r="BZ15" s="209"/>
      <c r="CA15" s="216" t="str">
        <f t="array" aca="1" ref="CA15" ca="1">IF(BZ9&lt;&gt;"",
IF(OR(INDIRECT("'盛付札（関数）'!AE"&amp;BX9)=211,INDIRECT("'盛付札（関数）'!AE"&amp;BX9)=212,INDIRECT("'盛付札（関数）'!AE"&amp;BX9)=213),"",
INDIRECT("'盛付札（関数）'!AN"&amp;BX9)),"")</f>
        <v/>
      </c>
      <c r="CB15" s="209"/>
      <c r="CC15" s="217" t="str">
        <f t="array" aca="1" ref="CC15" ca="1">IF(AND(BZ9&lt;&gt;"",BZ9&lt;&gt;"社食"),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INDIRECT("'盛付札（関数）'!AO"&amp;BX9))),"")</f>
        <v/>
      </c>
      <c r="CD15" s="209"/>
      <c r="CF15" s="216" t="str">
        <f t="array" aca="1" ref="CF15" ca="1">IF(CG9&lt;&gt;"",
IF(OR(INDIRECT("'盛付札（関数）'!AE"&amp;CE9)=211,INDIRECT("'盛付札（関数）'!AE"&amp;CE9)=212,INDIRECT("'盛付札（関数）'!AE"&amp;CE9)=213),"",
INDIRECT("'盛付札（関数）'!AM"&amp;CE9)),"")</f>
        <v/>
      </c>
      <c r="CG15" s="209"/>
      <c r="CH15" s="216" t="str">
        <f t="array" aca="1" ref="CH15" ca="1">IF(CG9&lt;&gt;"",
IF(OR(INDIRECT("'盛付札（関数）'!AE"&amp;CE9)=211,INDIRECT("'盛付札（関数）'!AE"&amp;CE9)=212,INDIRECT("'盛付札（関数）'!AE"&amp;CE9)=213),"",
INDIRECT("'盛付札（関数）'!AN"&amp;CE9)),"")</f>
        <v/>
      </c>
      <c r="CI15" s="209"/>
      <c r="CJ15" s="217" t="str">
        <f t="array" aca="1" ref="CJ15" ca="1">IF(AND(CG9&lt;&gt;"",CG9&lt;&gt;"社食"),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INDIRECT("'盛付札（関数）'!AO"&amp;CE9))),"")</f>
        <v/>
      </c>
      <c r="CK15" s="209"/>
      <c r="CN15" s="216" t="str">
        <f t="array" aca="1" ref="CN15" ca="1">IF(CO9&lt;&gt;"",
IF(OR(INDIRECT("'盛付札（関数）'!AE"&amp;CM9)=211,INDIRECT("'盛付札（関数）'!AE"&amp;CM9)=212,INDIRECT("'盛付札（関数）'!AE"&amp;CM9)=213),"",
INDIRECT("'盛付札（関数）'!AM"&amp;CM9)),"")</f>
        <v/>
      </c>
      <c r="CO15" s="209"/>
      <c r="CP15" s="216" t="str">
        <f t="array" aca="1" ref="CP15" ca="1">IF(CO9&lt;&gt;"",
IF(OR(INDIRECT("'盛付札（関数）'!AE"&amp;CM9)=211,INDIRECT("'盛付札（関数）'!AE"&amp;CM9)=212,INDIRECT("'盛付札（関数）'!AE"&amp;CM9)=213),"",
INDIRECT("'盛付札（関数）'!AN"&amp;CM9)),"")</f>
        <v/>
      </c>
      <c r="CQ15" s="209"/>
      <c r="CR15" s="217" t="str">
        <f t="array" aca="1" ref="CR15" ca="1">IF(AND(CO9&lt;&gt;"",CO9&lt;&gt;"社食"),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INDIRECT("'盛付札（関数）'!AO"&amp;CM9))),"")</f>
        <v/>
      </c>
      <c r="CS15" s="209"/>
      <c r="CU15" s="216" t="str">
        <f t="array" aca="1" ref="CU15" ca="1">IF(CV9&lt;&gt;"",
IF(OR(INDIRECT("'盛付札（関数）'!AE"&amp;CT9)=211,INDIRECT("'盛付札（関数）'!AE"&amp;CT9)=212,INDIRECT("'盛付札（関数）'!AE"&amp;CT9)=213),"",
INDIRECT("'盛付札（関数）'!AM"&amp;CT9)),"")</f>
        <v/>
      </c>
      <c r="CV15" s="209"/>
      <c r="CW15" s="216" t="str">
        <f t="array" aca="1" ref="CW15" ca="1">IF(CV9&lt;&gt;"",
IF(OR(INDIRECT("'盛付札（関数）'!AE"&amp;CT9)=211,INDIRECT("'盛付札（関数）'!AE"&amp;CT9)=212,INDIRECT("'盛付札（関数）'!AE"&amp;CT9)=213),"",
INDIRECT("'盛付札（関数）'!AN"&amp;CT9)),"")</f>
        <v/>
      </c>
      <c r="CX15" s="209"/>
      <c r="CY15" s="217" t="str">
        <f t="array" aca="1" ref="CY15" ca="1">IF(AND(CV9&lt;&gt;"",CV9&lt;&gt;"社食"),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INDIRECT("'盛付札（関数）'!AO"&amp;CT9))),"")</f>
        <v/>
      </c>
      <c r="CZ15" s="209"/>
      <c r="DC15" s="216" t="str">
        <f t="array" aca="1" ref="DC15" ca="1">IF(DD9&lt;&gt;"",
IF(OR(INDIRECT("'盛付札（関数）'!AE"&amp;DB9)=211,INDIRECT("'盛付札（関数）'!AE"&amp;DB9)=212,INDIRECT("'盛付札（関数）'!AE"&amp;DB9)=213),"",
INDIRECT("'盛付札（関数）'!AM"&amp;DB9)),"")</f>
        <v/>
      </c>
      <c r="DD15" s="209"/>
      <c r="DE15" s="216" t="str">
        <f t="array" aca="1" ref="DE15" ca="1">IF(DD9&lt;&gt;"",
IF(OR(INDIRECT("'盛付札（関数）'!AE"&amp;DB9)=211,INDIRECT("'盛付札（関数）'!AE"&amp;DB9)=212,INDIRECT("'盛付札（関数）'!AE"&amp;DB9)=213),"",
INDIRECT("'盛付札（関数）'!AN"&amp;DB9)),"")</f>
        <v/>
      </c>
      <c r="DF15" s="209"/>
      <c r="DG15" s="217" t="str">
        <f t="array" aca="1" ref="DG15" ca="1">IF(AND(DD9&lt;&gt;"",DD9&lt;&gt;"社食"),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INDIRECT("'盛付札（関数）'!AO"&amp;DB9))),"")</f>
        <v/>
      </c>
      <c r="DH15" s="209"/>
      <c r="DJ15" s="216" t="str">
        <f t="array" aca="1" ref="DJ15" ca="1">IF(DK9&lt;&gt;"",
IF(OR(INDIRECT("'盛付札（関数）'!AE"&amp;DI9)=211,INDIRECT("'盛付札（関数）'!AE"&amp;DI9)=212,INDIRECT("'盛付札（関数）'!AE"&amp;DI9)=213),"",
INDIRECT("'盛付札（関数）'!AM"&amp;DI9)),"")</f>
        <v/>
      </c>
      <c r="DK15" s="209"/>
      <c r="DL15" s="216" t="str">
        <f t="array" aca="1" ref="DL15" ca="1">IF(DK9&lt;&gt;"",
IF(OR(INDIRECT("'盛付札（関数）'!AE"&amp;DI9)=211,INDIRECT("'盛付札（関数）'!AE"&amp;DI9)=212,INDIRECT("'盛付札（関数）'!AE"&amp;DI9)=213),"",
INDIRECT("'盛付札（関数）'!AN"&amp;DI9)),"")</f>
        <v/>
      </c>
      <c r="DM15" s="209"/>
      <c r="DN15" s="217" t="str">
        <f t="array" aca="1" ref="DN15" ca="1">IF(AND(DK9&lt;&gt;"",DK9&lt;&gt;"社食"),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INDIRECT("'盛付札（関数）'!AO"&amp;DI9))),"")</f>
        <v/>
      </c>
      <c r="DO15" s="209"/>
      <c r="DR15" s="216" t="str">
        <f t="array" aca="1" ref="DR15" ca="1">IF(DS9&lt;&gt;"",
IF(OR(INDIRECT("'盛付札（関数）'!AE"&amp;DQ9)=211,INDIRECT("'盛付札（関数）'!AE"&amp;DQ9)=212,INDIRECT("'盛付札（関数）'!AE"&amp;DQ9)=213),"",
INDIRECT("'盛付札（関数）'!AM"&amp;DQ9)),"")</f>
        <v/>
      </c>
      <c r="DS15" s="209"/>
      <c r="DT15" s="216" t="str">
        <f t="array" aca="1" ref="DT15" ca="1">IF(DS9&lt;&gt;"",
IF(OR(INDIRECT("'盛付札（関数）'!AE"&amp;DQ9)=211,INDIRECT("'盛付札（関数）'!AE"&amp;DQ9)=212,INDIRECT("'盛付札（関数）'!AE"&amp;DQ9)=213),"",
INDIRECT("'盛付札（関数）'!AN"&amp;DQ9)),"")</f>
        <v/>
      </c>
      <c r="DU15" s="209"/>
      <c r="DV15" s="217" t="str">
        <f t="array" aca="1" ref="DV15" ca="1">IF(AND(DS9&lt;&gt;"",DS9&lt;&gt;"社食"),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INDIRECT("'盛付札（関数）'!AO"&amp;DQ9))),"")</f>
        <v/>
      </c>
      <c r="DW15" s="209"/>
      <c r="DY15" s="216" t="str">
        <f t="array" aca="1" ref="DY15" ca="1">IF(DZ9&lt;&gt;"",
IF(OR(INDIRECT("'盛付札（関数）'!AE"&amp;DX9)=211,INDIRECT("'盛付札（関数）'!AE"&amp;DX9)=212,INDIRECT("'盛付札（関数）'!AE"&amp;DX9)=213),"",
INDIRECT("'盛付札（関数）'!AM"&amp;DX9)),"")</f>
        <v/>
      </c>
      <c r="DZ15" s="209"/>
      <c r="EA15" s="216" t="str">
        <f t="array" aca="1" ref="EA15" ca="1">IF(DZ9&lt;&gt;"",
IF(OR(INDIRECT("'盛付札（関数）'!AE"&amp;DX9)=211,INDIRECT("'盛付札（関数）'!AE"&amp;DX9)=212,INDIRECT("'盛付札（関数）'!AE"&amp;DX9)=213),"",
INDIRECT("'盛付札（関数）'!AN"&amp;DX9)),"")</f>
        <v/>
      </c>
      <c r="EB15" s="209"/>
      <c r="EC15" s="217" t="str">
        <f t="array" aca="1" ref="EC15" ca="1">IF(AND(DZ9&lt;&gt;"",DZ9&lt;&gt;"社食"),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INDIRECT("'盛付札（関数）'!AO"&amp;DX9))),"")</f>
        <v/>
      </c>
      <c r="ED15" s="209"/>
      <c r="EG15" s="216" t="str">
        <f t="array" aca="1" ref="EG15" ca="1">IF(EH9&lt;&gt;"",
IF(OR(INDIRECT("'盛付札（関数）'!AE"&amp;EF9)=211,INDIRECT("'盛付札（関数）'!AE"&amp;EF9)=212,INDIRECT("'盛付札（関数）'!AE"&amp;EF9)=213),"",
INDIRECT("'盛付札（関数）'!AM"&amp;EF9)),"")</f>
        <v/>
      </c>
      <c r="EH15" s="209"/>
      <c r="EI15" s="216" t="str">
        <f t="array" aca="1" ref="EI15" ca="1">IF(EH9&lt;&gt;"",
IF(OR(INDIRECT("'盛付札（関数）'!AE"&amp;EF9)=211,INDIRECT("'盛付札（関数）'!AE"&amp;EF9)=212,INDIRECT("'盛付札（関数）'!AE"&amp;EF9)=213),"",
INDIRECT("'盛付札（関数）'!AN"&amp;EF9)),"")</f>
        <v/>
      </c>
      <c r="EJ15" s="209"/>
      <c r="EK15" s="217" t="str">
        <f t="array" aca="1" ref="EK15" ca="1">IF(AND(EH9&lt;&gt;"",EH9&lt;&gt;"社食"),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INDIRECT("'盛付札（関数）'!AO"&amp;EF9))),"")</f>
        <v/>
      </c>
      <c r="EL15" s="209"/>
      <c r="EN15" s="216" t="str">
        <f t="array" aca="1" ref="EN15" ca="1">IF(EO9&lt;&gt;"",
IF(OR(INDIRECT("'盛付札（関数）'!AE"&amp;EM9)=211,INDIRECT("'盛付札（関数）'!AE"&amp;EM9)=212,INDIRECT("'盛付札（関数）'!AE"&amp;EM9)=213),"",
INDIRECT("'盛付札（関数）'!AM"&amp;EM9)),"")</f>
        <v/>
      </c>
      <c r="EO15" s="209"/>
      <c r="EP15" s="216" t="str">
        <f t="array" aca="1" ref="EP15" ca="1">IF(EO9&lt;&gt;"",
IF(OR(INDIRECT("'盛付札（関数）'!AE"&amp;EM9)=211,INDIRECT("'盛付札（関数）'!AE"&amp;EM9)=212,INDIRECT("'盛付札（関数）'!AE"&amp;EM9)=213),"",
INDIRECT("'盛付札（関数）'!AN"&amp;EM9)),"")</f>
        <v/>
      </c>
      <c r="EQ15" s="209"/>
      <c r="ER15" s="217" t="str">
        <f t="array" aca="1" ref="ER15" ca="1">IF(AND(EO9&lt;&gt;"",EO9&lt;&gt;"社食"),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INDIRECT("'盛付札（関数）'!AO"&amp;EM9))),"")</f>
        <v/>
      </c>
      <c r="ES15" s="209"/>
    </row>
    <row r="16" spans="1:150" ht="6.6" customHeight="1">
      <c r="B16" s="41"/>
      <c r="D16" s="41"/>
      <c r="F16" s="42"/>
      <c r="I16" s="41"/>
      <c r="K16" s="41"/>
      <c r="M16" s="42"/>
      <c r="Q16" s="41"/>
      <c r="S16" s="41"/>
      <c r="U16" s="42"/>
      <c r="X16" s="41"/>
      <c r="Z16" s="41"/>
      <c r="AB16" s="42"/>
      <c r="AF16" s="41"/>
      <c r="AH16" s="41"/>
      <c r="AJ16" s="42"/>
      <c r="AM16" s="41"/>
      <c r="AO16" s="41"/>
      <c r="AQ16" s="42"/>
      <c r="AU16" s="41"/>
      <c r="AW16" s="41"/>
      <c r="AY16" s="42"/>
      <c r="BB16" s="41"/>
      <c r="BD16" s="41"/>
      <c r="BF16" s="42"/>
      <c r="BJ16" s="41"/>
      <c r="BL16" s="41"/>
      <c r="BN16" s="42"/>
      <c r="BQ16" s="41"/>
      <c r="BS16" s="41"/>
      <c r="BU16" s="42"/>
      <c r="BY16" s="41"/>
      <c r="CA16" s="41"/>
      <c r="CC16" s="42"/>
      <c r="CF16" s="41"/>
      <c r="CH16" s="41"/>
      <c r="CJ16" s="42"/>
      <c r="CN16" s="41"/>
      <c r="CP16" s="41"/>
      <c r="CR16" s="42"/>
      <c r="CU16" s="41"/>
      <c r="CW16" s="41"/>
      <c r="CY16" s="42"/>
      <c r="DC16" s="41"/>
      <c r="DE16" s="41"/>
      <c r="DG16" s="42"/>
      <c r="DJ16" s="41"/>
      <c r="DL16" s="41"/>
      <c r="DN16" s="42"/>
      <c r="DR16" s="41"/>
      <c r="DT16" s="41"/>
      <c r="DV16" s="42"/>
      <c r="DY16" s="41"/>
      <c r="EA16" s="41"/>
      <c r="EC16" s="42"/>
      <c r="EG16" s="41"/>
      <c r="EI16" s="41"/>
      <c r="EK16" s="42"/>
      <c r="EN16" s="41"/>
      <c r="EP16" s="41"/>
      <c r="ER16" s="42"/>
    </row>
    <row r="17" spans="1:150" s="181" customFormat="1" ht="25.8" customHeight="1">
      <c r="A17" s="30">
        <f>H9+1</f>
        <v>5</v>
      </c>
      <c r="B17" s="40" t="str">
        <f ca="1">IF(C17&lt;&gt;"",
MID(貼り付け用!$A$2, FIND("年",貼り付け用!$A$2)+1,2)&amp;"/"&amp;MID(貼り付け用!$A$2, FIND("月",貼り付け用!$A$2)+1,2),"")</f>
        <v/>
      </c>
      <c r="C17" s="214" t="str">
        <f t="array" aca="1" ref="C17" ca="1">SUBSTITUTE(SUBSTITUTE(SUBSTITUTE(SUBSTITUTE(SUBSTITUTE(SUBSTITUTE(SUBSTITUTE(SUBSTITUTE(SUBSTITUTE(SUBSTITUTE(SUBSTITUTE(
INDIRECT("'盛付札（関数）'!AF"&amp;A17),"０",""),"①",""),"②",""),"③",""),"④",""),"⑤",""),"⑥",""),"⑦",""),"⑧",""),"⑨",""),"⑩","")</f>
        <v/>
      </c>
      <c r="D17" s="215"/>
      <c r="E17" s="215"/>
      <c r="F17" s="215"/>
      <c r="G17" s="39" t="str">
        <f t="array" aca="1" ref="G17" ca="1">IF(C17&lt;&gt;"",
IF(AND(INDIRECT("'盛付札（関数）'!AE"&amp;A17)&gt;=124,INDIRECT("'盛付札（関数）'!AE"&amp;A17)&lt;=144),"",
"様"),"")</f>
        <v/>
      </c>
      <c r="H17" s="33">
        <f>A17+1</f>
        <v>6</v>
      </c>
      <c r="I17" s="40" t="str">
        <f ca="1">IF(J17&lt;&gt;"",
MID(貼り付け用!$A$2, FIND("年",貼り付け用!$A$2)+1,2)&amp;"/"&amp;MID(貼り付け用!$A$2, FIND("月",貼り付け用!$A$2)+1,2),"")</f>
        <v/>
      </c>
      <c r="J17" s="214" t="str">
        <f t="array" aca="1" ref="J17" ca="1">SUBSTITUTE(SUBSTITUTE(SUBSTITUTE(SUBSTITUTE(SUBSTITUTE(SUBSTITUTE(SUBSTITUTE(SUBSTITUTE(SUBSTITUTE(SUBSTITUTE(SUBSTITUTE(
INDIRECT("'盛付札（関数）'!AF"&amp;H17),"０",""),"①",""),"②",""),"③",""),"④",""),"⑤",""),"⑥",""),"⑦",""),"⑧",""),"⑨",""),"⑩","")</f>
        <v/>
      </c>
      <c r="K17" s="215"/>
      <c r="L17" s="215"/>
      <c r="M17" s="215"/>
      <c r="N17" s="39" t="str">
        <f t="array" aca="1" ref="N17" ca="1">IF(J17&lt;&gt;"",
IF(AND(INDIRECT("'盛付札（関数）'!AE"&amp;H17)&gt;=124,INDIRECT("'盛付札（関数）'!AE"&amp;H17)&lt;=144),"",
"様"),"")</f>
        <v/>
      </c>
      <c r="O17" s="22"/>
      <c r="P17" s="30">
        <f>W9+1</f>
        <v>17</v>
      </c>
      <c r="Q17" s="40" t="str">
        <f ca="1">IF(R17&lt;&gt;"",
MID(貼り付け用!$A$2, FIND("年",貼り付け用!$A$2)+1,2)&amp;"/"&amp;MID(貼り付け用!$A$2, FIND("月",貼り付け用!$A$2)+1,2),"")</f>
        <v/>
      </c>
      <c r="R17" s="214" t="str">
        <f t="array" aca="1" ref="R17" ca="1">SUBSTITUTE(SUBSTITUTE(SUBSTITUTE(SUBSTITUTE(SUBSTITUTE(SUBSTITUTE(SUBSTITUTE(SUBSTITUTE(SUBSTITUTE(SUBSTITUTE(SUBSTITUTE(
INDIRECT("'盛付札（関数）'!AF"&amp;P17),"０",""),"①",""),"②",""),"③",""),"④",""),"⑤",""),"⑥",""),"⑦",""),"⑧",""),"⑨",""),"⑩","")</f>
        <v/>
      </c>
      <c r="S17" s="215"/>
      <c r="T17" s="215"/>
      <c r="U17" s="215"/>
      <c r="V17" s="39" t="str">
        <f t="array" aca="1" ref="V17" ca="1">IF(R17&lt;&gt;"",
IF(AND(INDIRECT("'盛付札（関数）'!AE"&amp;P17)&gt;=124,INDIRECT("'盛付札（関数）'!AE"&amp;P17)&lt;=144),"",
"様"),"")</f>
        <v/>
      </c>
      <c r="W17" s="33">
        <f>P17+1</f>
        <v>18</v>
      </c>
      <c r="X17" s="40" t="str">
        <f ca="1">IF(Y17&lt;&gt;"",
MID(貼り付け用!$A$2, FIND("年",貼り付け用!$A$2)+1,2)&amp;"/"&amp;MID(貼り付け用!$A$2, FIND("月",貼り付け用!$A$2)+1,2),"")</f>
        <v/>
      </c>
      <c r="Y17" s="214" t="str">
        <f t="array" aca="1" ref="Y17" ca="1">SUBSTITUTE(SUBSTITUTE(SUBSTITUTE(SUBSTITUTE(SUBSTITUTE(SUBSTITUTE(SUBSTITUTE(SUBSTITUTE(SUBSTITUTE(SUBSTITUTE(SUBSTITUTE(
INDIRECT("'盛付札（関数）'!AF"&amp;W17),"０",""),"①",""),"②",""),"③",""),"④",""),"⑤",""),"⑥",""),"⑦",""),"⑧",""),"⑨",""),"⑩","")</f>
        <v/>
      </c>
      <c r="Z17" s="215"/>
      <c r="AA17" s="215"/>
      <c r="AB17" s="215"/>
      <c r="AC17" s="39" t="str">
        <f t="array" aca="1" ref="AC17" ca="1">IF(Y17&lt;&gt;"",
IF(AND(INDIRECT("'盛付札（関数）'!AE"&amp;W17)&gt;=124,INDIRECT("'盛付札（関数）'!AE"&amp;W17)&lt;=144),"",
"様"),"")</f>
        <v/>
      </c>
      <c r="AD17" s="22"/>
      <c r="AE17" s="30">
        <f>AL9+1</f>
        <v>29</v>
      </c>
      <c r="AF17" s="40" t="str">
        <f ca="1">IF(AG17&lt;&gt;"",
MID(貼り付け用!$A$2, FIND("年",貼り付け用!$A$2)+1,2)&amp;"/"&amp;MID(貼り付け用!$A$2, FIND("月",貼り付け用!$A$2)+1,2),"")</f>
        <v/>
      </c>
      <c r="AG17" s="214" t="str">
        <f t="array" aca="1" ref="AG17" ca="1">SUBSTITUTE(SUBSTITUTE(SUBSTITUTE(SUBSTITUTE(SUBSTITUTE(SUBSTITUTE(SUBSTITUTE(SUBSTITUTE(SUBSTITUTE(SUBSTITUTE(SUBSTITUTE(
INDIRECT("'盛付札（関数）'!AF"&amp;AE17),"０",""),"①",""),"②",""),"③",""),"④",""),"⑤",""),"⑥",""),"⑦",""),"⑧",""),"⑨",""),"⑩","")</f>
        <v/>
      </c>
      <c r="AH17" s="215"/>
      <c r="AI17" s="215"/>
      <c r="AJ17" s="215"/>
      <c r="AK17" s="39" t="str">
        <f t="array" aca="1" ref="AK17" ca="1">IF(AG17&lt;&gt;"",
IF(AND(INDIRECT("'盛付札（関数）'!AE"&amp;AE17)&gt;=124,INDIRECT("'盛付札（関数）'!AE"&amp;AE17)&lt;=144),"",
"様"),"")</f>
        <v/>
      </c>
      <c r="AL17" s="33">
        <f>AE17+1</f>
        <v>30</v>
      </c>
      <c r="AM17" s="40" t="str">
        <f ca="1">IF(AN17&lt;&gt;"",
MID(貼り付け用!$A$2, FIND("年",貼り付け用!$A$2)+1,2)&amp;"/"&amp;MID(貼り付け用!$A$2, FIND("月",貼り付け用!$A$2)+1,2),"")</f>
        <v/>
      </c>
      <c r="AN17" s="214" t="str">
        <f t="array" aca="1" ref="AN17" ca="1">SUBSTITUTE(SUBSTITUTE(SUBSTITUTE(SUBSTITUTE(SUBSTITUTE(SUBSTITUTE(SUBSTITUTE(SUBSTITUTE(SUBSTITUTE(SUBSTITUTE(SUBSTITUTE(
INDIRECT("'盛付札（関数）'!AF"&amp;AL17),"０",""),"①",""),"②",""),"③",""),"④",""),"⑤",""),"⑥",""),"⑦",""),"⑧",""),"⑨",""),"⑩","")</f>
        <v/>
      </c>
      <c r="AO17" s="215"/>
      <c r="AP17" s="215"/>
      <c r="AQ17" s="215"/>
      <c r="AR17" s="39" t="str">
        <f t="array" aca="1" ref="AR17" ca="1">IF(AN17&lt;&gt;"",
IF(AND(INDIRECT("'盛付札（関数）'!AE"&amp;AL17)&gt;=124,INDIRECT("'盛付札（関数）'!AE"&amp;AL17)&lt;=144),"",
"様"),"")</f>
        <v/>
      </c>
      <c r="AS17" s="22"/>
      <c r="AT17" s="30">
        <f>BA9+1</f>
        <v>41</v>
      </c>
      <c r="AU17" s="40" t="str">
        <f ca="1">IF(AV17&lt;&gt;"",
MID(貼り付け用!$A$2, FIND("年",貼り付け用!$A$2)+1,2)&amp;"/"&amp;MID(貼り付け用!$A$2, FIND("月",貼り付け用!$A$2)+1,2),"")</f>
        <v/>
      </c>
      <c r="AV17" s="214" t="str">
        <f t="array" aca="1" ref="AV17" ca="1">SUBSTITUTE(SUBSTITUTE(SUBSTITUTE(SUBSTITUTE(SUBSTITUTE(SUBSTITUTE(SUBSTITUTE(SUBSTITUTE(SUBSTITUTE(SUBSTITUTE(SUBSTITUTE(
INDIRECT("'盛付札（関数）'!AF"&amp;AT17),"０",""),"①",""),"②",""),"③",""),"④",""),"⑤",""),"⑥",""),"⑦",""),"⑧",""),"⑨",""),"⑩","")</f>
        <v/>
      </c>
      <c r="AW17" s="215"/>
      <c r="AX17" s="215"/>
      <c r="AY17" s="215"/>
      <c r="AZ17" s="39" t="str">
        <f t="array" aca="1" ref="AZ17" ca="1">IF(AV17&lt;&gt;"",
IF(AND(INDIRECT("'盛付札（関数）'!AE"&amp;AT17)&gt;=124,INDIRECT("'盛付札（関数）'!AE"&amp;AT17)&lt;=144),"",
"様"),"")</f>
        <v/>
      </c>
      <c r="BA17" s="33">
        <f>AT17+1</f>
        <v>42</v>
      </c>
      <c r="BB17" s="40" t="str">
        <f ca="1">IF(BC17&lt;&gt;"",
MID(貼り付け用!$A$2, FIND("年",貼り付け用!$A$2)+1,2)&amp;"/"&amp;MID(貼り付け用!$A$2, FIND("月",貼り付け用!$A$2)+1,2),"")</f>
        <v/>
      </c>
      <c r="BC17" s="214" t="str">
        <f t="array" aca="1" ref="BC17" ca="1">SUBSTITUTE(SUBSTITUTE(SUBSTITUTE(SUBSTITUTE(SUBSTITUTE(SUBSTITUTE(SUBSTITUTE(SUBSTITUTE(SUBSTITUTE(SUBSTITUTE(SUBSTITUTE(
INDIRECT("'盛付札（関数）'!AF"&amp;BA17),"０",""),"①",""),"②",""),"③",""),"④",""),"⑤",""),"⑥",""),"⑦",""),"⑧",""),"⑨",""),"⑩","")</f>
        <v/>
      </c>
      <c r="BD17" s="215"/>
      <c r="BE17" s="215"/>
      <c r="BF17" s="215"/>
      <c r="BG17" s="39" t="str">
        <f t="array" aca="1" ref="BG17" ca="1">IF(BC17&lt;&gt;"",
IF(AND(INDIRECT("'盛付札（関数）'!AE"&amp;BA17)&gt;=124,INDIRECT("'盛付札（関数）'!AE"&amp;BA17)&lt;=144),"",
"様"),"")</f>
        <v/>
      </c>
      <c r="BH17" s="22"/>
      <c r="BI17" s="30">
        <f>BP9+1</f>
        <v>53</v>
      </c>
      <c r="BJ17" s="40" t="str">
        <f ca="1">IF(BK17&lt;&gt;"",
MID(貼り付け用!$A$2, FIND("年",貼り付け用!$A$2)+1,2)&amp;"/"&amp;MID(貼り付け用!$A$2, FIND("月",貼り付け用!$A$2)+1,2),"")</f>
        <v/>
      </c>
      <c r="BK17" s="214" t="str">
        <f t="array" aca="1" ref="BK17" ca="1">SUBSTITUTE(SUBSTITUTE(SUBSTITUTE(SUBSTITUTE(SUBSTITUTE(SUBSTITUTE(SUBSTITUTE(SUBSTITUTE(SUBSTITUTE(SUBSTITUTE(SUBSTITUTE(
INDIRECT("'盛付札（関数）'!AF"&amp;BI17),"０",""),"①",""),"②",""),"③",""),"④",""),"⑤",""),"⑥",""),"⑦",""),"⑧",""),"⑨",""),"⑩","")</f>
        <v/>
      </c>
      <c r="BL17" s="215"/>
      <c r="BM17" s="215"/>
      <c r="BN17" s="215"/>
      <c r="BO17" s="39" t="str">
        <f t="array" aca="1" ref="BO17" ca="1">IF(BK17&lt;&gt;"",
IF(AND(INDIRECT("'盛付札（関数）'!AE"&amp;BI17)&gt;=124,INDIRECT("'盛付札（関数）'!AE"&amp;BI17)&lt;=144),"",
"様"),"")</f>
        <v/>
      </c>
      <c r="BP17" s="33">
        <f>BI17+1</f>
        <v>54</v>
      </c>
      <c r="BQ17" s="40" t="str">
        <f ca="1">IF(BR17&lt;&gt;"",
MID(貼り付け用!$A$2, FIND("年",貼り付け用!$A$2)+1,2)&amp;"/"&amp;MID(貼り付け用!$A$2, FIND("月",貼り付け用!$A$2)+1,2),"")</f>
        <v/>
      </c>
      <c r="BR17" s="214" t="str">
        <f t="array" aca="1" ref="BR17" ca="1">SUBSTITUTE(SUBSTITUTE(SUBSTITUTE(SUBSTITUTE(SUBSTITUTE(SUBSTITUTE(SUBSTITUTE(SUBSTITUTE(SUBSTITUTE(SUBSTITUTE(SUBSTITUTE(
INDIRECT("'盛付札（関数）'!AF"&amp;BP17),"０",""),"①",""),"②",""),"③",""),"④",""),"⑤",""),"⑥",""),"⑦",""),"⑧",""),"⑨",""),"⑩","")</f>
        <v/>
      </c>
      <c r="BS17" s="215"/>
      <c r="BT17" s="215"/>
      <c r="BU17" s="215"/>
      <c r="BV17" s="39" t="str">
        <f t="array" aca="1" ref="BV17" ca="1">IF(BR17&lt;&gt;"",
IF(AND(INDIRECT("'盛付札（関数）'!AE"&amp;BP17)&gt;=124,INDIRECT("'盛付札（関数）'!AE"&amp;BP17)&lt;=144),"",
"様"),"")</f>
        <v/>
      </c>
      <c r="BW17" s="22"/>
      <c r="BX17" s="30">
        <f>CE9+1</f>
        <v>65</v>
      </c>
      <c r="BY17" s="40" t="str">
        <f ca="1">IF(BZ17&lt;&gt;"",
MID(貼り付け用!$A$2, FIND("年",貼り付け用!$A$2)+1,2)&amp;"/"&amp;MID(貼り付け用!$A$2, FIND("月",貼り付け用!$A$2)+1,2),"")</f>
        <v/>
      </c>
      <c r="BZ17" s="214" t="str">
        <f t="array" aca="1" ref="BZ17" ca="1">SUBSTITUTE(SUBSTITUTE(SUBSTITUTE(SUBSTITUTE(SUBSTITUTE(SUBSTITUTE(SUBSTITUTE(SUBSTITUTE(SUBSTITUTE(SUBSTITUTE(SUBSTITUTE(
INDIRECT("'盛付札（関数）'!AF"&amp;BX17),"０",""),"①",""),"②",""),"③",""),"④",""),"⑤",""),"⑥",""),"⑦",""),"⑧",""),"⑨",""),"⑩","")</f>
        <v/>
      </c>
      <c r="CA17" s="215"/>
      <c r="CB17" s="215"/>
      <c r="CC17" s="215"/>
      <c r="CD17" s="39" t="str">
        <f t="array" aca="1" ref="CD17" ca="1">IF(BZ17&lt;&gt;"",
IF(AND(INDIRECT("'盛付札（関数）'!AE"&amp;BX17)&gt;=124,INDIRECT("'盛付札（関数）'!AE"&amp;BX17)&lt;=144),"",
"様"),"")</f>
        <v/>
      </c>
      <c r="CE17" s="33">
        <f>BX17+1</f>
        <v>66</v>
      </c>
      <c r="CF17" s="40" t="str">
        <f ca="1">IF(CG17&lt;&gt;"",
MID(貼り付け用!$A$2, FIND("年",貼り付け用!$A$2)+1,2)&amp;"/"&amp;MID(貼り付け用!$A$2, FIND("月",貼り付け用!$A$2)+1,2),"")</f>
        <v/>
      </c>
      <c r="CG17" s="214" t="str">
        <f t="array" aca="1" ref="CG17" ca="1">SUBSTITUTE(SUBSTITUTE(SUBSTITUTE(SUBSTITUTE(SUBSTITUTE(SUBSTITUTE(SUBSTITUTE(SUBSTITUTE(SUBSTITUTE(SUBSTITUTE(SUBSTITUTE(
INDIRECT("'盛付札（関数）'!AF"&amp;CE17),"０",""),"①",""),"②",""),"③",""),"④",""),"⑤",""),"⑥",""),"⑦",""),"⑧",""),"⑨",""),"⑩","")</f>
        <v/>
      </c>
      <c r="CH17" s="215"/>
      <c r="CI17" s="215"/>
      <c r="CJ17" s="215"/>
      <c r="CK17" s="39" t="str">
        <f t="array" aca="1" ref="CK17" ca="1">IF(CG17&lt;&gt;"",
IF(AND(INDIRECT("'盛付札（関数）'!AE"&amp;CE17)&gt;=124,INDIRECT("'盛付札（関数）'!AE"&amp;CE17)&lt;=144),"",
"様"),"")</f>
        <v/>
      </c>
      <c r="CL17" s="22"/>
      <c r="CM17" s="30">
        <f>CT9+1</f>
        <v>77</v>
      </c>
      <c r="CN17" s="40" t="str">
        <f ca="1">IF(CO17&lt;&gt;"",
MID(貼り付け用!$A$2, FIND("年",貼り付け用!$A$2)+1,2)&amp;"/"&amp;MID(貼り付け用!$A$2, FIND("月",貼り付け用!$A$2)+1,2),"")</f>
        <v/>
      </c>
      <c r="CO17" s="214" t="str">
        <f t="array" aca="1" ref="CO17" ca="1">SUBSTITUTE(SUBSTITUTE(SUBSTITUTE(SUBSTITUTE(SUBSTITUTE(SUBSTITUTE(SUBSTITUTE(SUBSTITUTE(SUBSTITUTE(SUBSTITUTE(SUBSTITUTE(
INDIRECT("'盛付札（関数）'!AF"&amp;CM17),"０",""),"①",""),"②",""),"③",""),"④",""),"⑤",""),"⑥",""),"⑦",""),"⑧",""),"⑨",""),"⑩","")</f>
        <v/>
      </c>
      <c r="CP17" s="215"/>
      <c r="CQ17" s="215"/>
      <c r="CR17" s="215"/>
      <c r="CS17" s="39" t="str">
        <f t="array" aca="1" ref="CS17" ca="1">IF(CO17&lt;&gt;"",
IF(AND(INDIRECT("'盛付札（関数）'!AE"&amp;CM17)&gt;=124,INDIRECT("'盛付札（関数）'!AE"&amp;CM17)&lt;=144),"",
"様"),"")</f>
        <v/>
      </c>
      <c r="CT17" s="33">
        <f>CM17+1</f>
        <v>78</v>
      </c>
      <c r="CU17" s="40" t="str">
        <f ca="1">IF(CV17&lt;&gt;"",
MID(貼り付け用!$A$2, FIND("年",貼り付け用!$A$2)+1,2)&amp;"/"&amp;MID(貼り付け用!$A$2, FIND("月",貼り付け用!$A$2)+1,2),"")</f>
        <v/>
      </c>
      <c r="CV17" s="214" t="str">
        <f t="array" aca="1" ref="CV17" ca="1">SUBSTITUTE(SUBSTITUTE(SUBSTITUTE(SUBSTITUTE(SUBSTITUTE(SUBSTITUTE(SUBSTITUTE(SUBSTITUTE(SUBSTITUTE(SUBSTITUTE(SUBSTITUTE(
INDIRECT("'盛付札（関数）'!AF"&amp;CT17),"０",""),"①",""),"②",""),"③",""),"④",""),"⑤",""),"⑥",""),"⑦",""),"⑧",""),"⑨",""),"⑩","")</f>
        <v/>
      </c>
      <c r="CW17" s="215"/>
      <c r="CX17" s="215"/>
      <c r="CY17" s="215"/>
      <c r="CZ17" s="39" t="str">
        <f t="array" aca="1" ref="CZ17" ca="1">IF(CV17&lt;&gt;"",
IF(AND(INDIRECT("'盛付札（関数）'!AE"&amp;CT17)&gt;=124,INDIRECT("'盛付札（関数）'!AE"&amp;CT17)&lt;=144),"",
"様"),"")</f>
        <v/>
      </c>
      <c r="DA17" s="22"/>
      <c r="DB17" s="30">
        <f>DI9+1</f>
        <v>89</v>
      </c>
      <c r="DC17" s="40" t="str">
        <f ca="1">IF(DD17&lt;&gt;"",
MID(貼り付け用!$A$2, FIND("年",貼り付け用!$A$2)+1,2)&amp;"/"&amp;MID(貼り付け用!$A$2, FIND("月",貼り付け用!$A$2)+1,2),"")</f>
        <v/>
      </c>
      <c r="DD17" s="214" t="str">
        <f t="array" aca="1" ref="DD17" ca="1">SUBSTITUTE(SUBSTITUTE(SUBSTITUTE(SUBSTITUTE(SUBSTITUTE(SUBSTITUTE(SUBSTITUTE(SUBSTITUTE(SUBSTITUTE(SUBSTITUTE(SUBSTITUTE(
INDIRECT("'盛付札（関数）'!AF"&amp;DB17),"０",""),"①",""),"②",""),"③",""),"④",""),"⑤",""),"⑥",""),"⑦",""),"⑧",""),"⑨",""),"⑩","")</f>
        <v/>
      </c>
      <c r="DE17" s="215"/>
      <c r="DF17" s="215"/>
      <c r="DG17" s="215"/>
      <c r="DH17" s="39" t="str">
        <f t="array" aca="1" ref="DH17" ca="1">IF(DD17&lt;&gt;"",
IF(AND(INDIRECT("'盛付札（関数）'!AE"&amp;DB17)&gt;=124,INDIRECT("'盛付札（関数）'!AE"&amp;DB17)&lt;=144),"",
"様"),"")</f>
        <v/>
      </c>
      <c r="DI17" s="33">
        <f>DB17+1</f>
        <v>90</v>
      </c>
      <c r="DJ17" s="40" t="str">
        <f ca="1">IF(DK17&lt;&gt;"",
MID(貼り付け用!$A$2, FIND("年",貼り付け用!$A$2)+1,2)&amp;"/"&amp;MID(貼り付け用!$A$2, FIND("月",貼り付け用!$A$2)+1,2),"")</f>
        <v/>
      </c>
      <c r="DK17" s="214" t="str">
        <f t="array" aca="1" ref="DK17" ca="1">SUBSTITUTE(SUBSTITUTE(SUBSTITUTE(SUBSTITUTE(SUBSTITUTE(SUBSTITUTE(SUBSTITUTE(SUBSTITUTE(SUBSTITUTE(SUBSTITUTE(SUBSTITUTE(
INDIRECT("'盛付札（関数）'!AF"&amp;DI17),"０",""),"①",""),"②",""),"③",""),"④",""),"⑤",""),"⑥",""),"⑦",""),"⑧",""),"⑨",""),"⑩","")</f>
        <v/>
      </c>
      <c r="DL17" s="215"/>
      <c r="DM17" s="215"/>
      <c r="DN17" s="215"/>
      <c r="DO17" s="39" t="str">
        <f t="array" aca="1" ref="DO17" ca="1">IF(DK17&lt;&gt;"",
IF(AND(INDIRECT("'盛付札（関数）'!AE"&amp;DI17)&gt;=124,INDIRECT("'盛付札（関数）'!AE"&amp;DI17)&lt;=144),"",
"様"),"")</f>
        <v/>
      </c>
      <c r="DP17" s="22"/>
      <c r="DQ17" s="30">
        <f>DX9+1</f>
        <v>101</v>
      </c>
      <c r="DR17" s="40" t="str">
        <f ca="1">IF(DS17&lt;&gt;"",
MID(貼り付け用!$A$2, FIND("年",貼り付け用!$A$2)+1,2)&amp;"/"&amp;MID(貼り付け用!$A$2, FIND("月",貼り付け用!$A$2)+1,2),"")</f>
        <v/>
      </c>
      <c r="DS17" s="214" t="str">
        <f t="array" aca="1" ref="DS17" ca="1">SUBSTITUTE(SUBSTITUTE(SUBSTITUTE(SUBSTITUTE(SUBSTITUTE(SUBSTITUTE(SUBSTITUTE(SUBSTITUTE(SUBSTITUTE(SUBSTITUTE(SUBSTITUTE(
INDIRECT("'盛付札（関数）'!AF"&amp;DQ17),"０",""),"①",""),"②",""),"③",""),"④",""),"⑤",""),"⑥",""),"⑦",""),"⑧",""),"⑨",""),"⑩","")</f>
        <v/>
      </c>
      <c r="DT17" s="215"/>
      <c r="DU17" s="215"/>
      <c r="DV17" s="215"/>
      <c r="DW17" s="39" t="str">
        <f t="array" aca="1" ref="DW17" ca="1">IF(DS17&lt;&gt;"",
IF(AND(INDIRECT("'盛付札（関数）'!AE"&amp;DQ17)&gt;=124,INDIRECT("'盛付札（関数）'!AE"&amp;DQ17)&lt;=144),"",
"様"),"")</f>
        <v/>
      </c>
      <c r="DX17" s="33">
        <f>DQ17+1</f>
        <v>102</v>
      </c>
      <c r="DY17" s="40" t="str">
        <f ca="1">IF(DZ17&lt;&gt;"",
MID(貼り付け用!$A$2, FIND("年",貼り付け用!$A$2)+1,2)&amp;"/"&amp;MID(貼り付け用!$A$2, FIND("月",貼り付け用!$A$2)+1,2),"")</f>
        <v/>
      </c>
      <c r="DZ17" s="214" t="str">
        <f t="array" aca="1" ref="DZ17" ca="1">SUBSTITUTE(SUBSTITUTE(SUBSTITUTE(SUBSTITUTE(SUBSTITUTE(SUBSTITUTE(SUBSTITUTE(SUBSTITUTE(SUBSTITUTE(SUBSTITUTE(SUBSTITUTE(
INDIRECT("'盛付札（関数）'!AF"&amp;DX17),"０",""),"①",""),"②",""),"③",""),"④",""),"⑤",""),"⑥",""),"⑦",""),"⑧",""),"⑨",""),"⑩","")</f>
        <v/>
      </c>
      <c r="EA17" s="215"/>
      <c r="EB17" s="215"/>
      <c r="EC17" s="215"/>
      <c r="ED17" s="39" t="str">
        <f t="array" aca="1" ref="ED17" ca="1">IF(DZ17&lt;&gt;"",
IF(AND(INDIRECT("'盛付札（関数）'!AE"&amp;DX17)&gt;=124,INDIRECT("'盛付札（関数）'!AE"&amp;DX17)&lt;=144),"",
"様"),"")</f>
        <v/>
      </c>
      <c r="EE17" s="22"/>
      <c r="EF17" s="30">
        <f>EM9+1</f>
        <v>113</v>
      </c>
      <c r="EG17" s="40" t="str">
        <f ca="1">IF(EH17&lt;&gt;"",
MID(貼り付け用!$A$2, FIND("年",貼り付け用!$A$2)+1,2)&amp;"/"&amp;MID(貼り付け用!$A$2, FIND("月",貼り付け用!$A$2)+1,2),"")</f>
        <v/>
      </c>
      <c r="EH17" s="214" t="str">
        <f t="array" aca="1" ref="EH17" ca="1">SUBSTITUTE(SUBSTITUTE(SUBSTITUTE(SUBSTITUTE(SUBSTITUTE(SUBSTITUTE(SUBSTITUTE(SUBSTITUTE(SUBSTITUTE(SUBSTITUTE(SUBSTITUTE(
INDIRECT("'盛付札（関数）'!AF"&amp;EF17),"０",""),"①",""),"②",""),"③",""),"④",""),"⑤",""),"⑥",""),"⑦",""),"⑧",""),"⑨",""),"⑩","")</f>
        <v/>
      </c>
      <c r="EI17" s="215"/>
      <c r="EJ17" s="215"/>
      <c r="EK17" s="215"/>
      <c r="EL17" s="39" t="str">
        <f t="array" aca="1" ref="EL17" ca="1">IF(EH17&lt;&gt;"",
IF(AND(INDIRECT("'盛付札（関数）'!AE"&amp;EF17)&gt;=124,INDIRECT("'盛付札（関数）'!AE"&amp;EF17)&lt;=144),"",
"様"),"")</f>
        <v/>
      </c>
      <c r="EM17" s="33">
        <f>EF17+1</f>
        <v>114</v>
      </c>
      <c r="EN17" s="40" t="str">
        <f ca="1">IF(EO17&lt;&gt;"",
MID(貼り付け用!$A$2, FIND("年",貼り付け用!$A$2)+1,2)&amp;"/"&amp;MID(貼り付け用!$A$2, FIND("月",貼り付け用!$A$2)+1,2),"")</f>
        <v/>
      </c>
      <c r="EO17" s="214" t="str">
        <f t="array" aca="1" ref="EO17" ca="1">SUBSTITUTE(SUBSTITUTE(SUBSTITUTE(SUBSTITUTE(SUBSTITUTE(SUBSTITUTE(SUBSTITUTE(SUBSTITUTE(SUBSTITUTE(SUBSTITUTE(SUBSTITUTE(
INDIRECT("'盛付札（関数）'!AF"&amp;EM17),"０",""),"①",""),"②",""),"③",""),"④",""),"⑤",""),"⑥",""),"⑦",""),"⑧",""),"⑨",""),"⑩","")</f>
        <v/>
      </c>
      <c r="EP17" s="215"/>
      <c r="EQ17" s="215"/>
      <c r="ER17" s="215"/>
      <c r="ES17" s="39" t="str">
        <f t="array" aca="1" ref="ES17" ca="1">IF(EO17&lt;&gt;"",
IF(AND(INDIRECT("'盛付札（関数）'!AE"&amp;EM17)&gt;=124,INDIRECT("'盛付札（関数）'!AE"&amp;EM17)&lt;=144),"",
"様"),"")</f>
        <v/>
      </c>
      <c r="ET17" s="22"/>
    </row>
    <row r="18" spans="1:150" s="181" customFormat="1">
      <c r="A18" s="30"/>
      <c r="B18" s="102"/>
      <c r="C18" s="136" t="str">
        <f t="array" aca="1" ref="C18" ca="1">IF(C17&lt;&gt;"",
IF(OR(INDIRECT("'盛付札（関数）'!AE"&amp;A17)=211,INDIRECT("'盛付札（関数）'!AE"&amp;A17)=212,INDIRECT("'盛付札（関数）'!AE"&amp;A17)=213),"",
IF(AND(INDIRECT("'盛付札（関数）'!AE"&amp;A17)&gt;=219,INDIRECT("'盛付札（関数）'!AE"&amp;A17)&lt;=246),"",
INDIRECT("'盛付札（関数）'!AG"&amp;A17))),"")</f>
        <v/>
      </c>
      <c r="D18" s="38"/>
      <c r="E18" s="38"/>
      <c r="F18" s="190" t="str">
        <f t="array" aca="1" ref="F18" ca="1">IF(AND(C17&lt;&gt;"",ISERROR(FIND("社食",C17))),
IF(OR(INDIRECT("'盛付札（関数）'!AE"&amp;A17)=211,INDIRECT("'盛付札（関数）'!AE"&amp;A17)=212,INDIRECT("'盛付札（関数）'!AE"&amp;A17)=213),"",
IF(INDIRECT("'盛付札（関数）'!AH"&amp;A17)&lt;&gt;"",
INDIRECT("'盛付札（関数）'!AH"&amp;A17)&amp;"箱"&amp;INDIRECT("'盛付札（関数）'!AI"&amp;A17),"")),"")</f>
        <v/>
      </c>
      <c r="G18" s="36"/>
      <c r="H18" s="43"/>
      <c r="I18" s="102"/>
      <c r="J18" s="136" t="str">
        <f t="array" aca="1" ref="J18" ca="1">IF(J17&lt;&gt;"",
IF(OR(INDIRECT("'盛付札（関数）'!AE"&amp;H17)=211,INDIRECT("'盛付札（関数）'!AE"&amp;H17)=212,INDIRECT("'盛付札（関数）'!AE"&amp;H17)=213),"",
IF(AND(INDIRECT("'盛付札（関数）'!AE"&amp;H17)&gt;=219,INDIRECT("'盛付札（関数）'!AE"&amp;H17)&lt;=246),"",
INDIRECT("'盛付札（関数）'!AG"&amp;H17))),"")</f>
        <v/>
      </c>
      <c r="K18" s="38"/>
      <c r="L18" s="38"/>
      <c r="M18" s="190" t="str">
        <f t="array" aca="1" ref="M18" ca="1">IF(AND(J17&lt;&gt;"",ISERROR(FIND("社食",J17))),
IF(OR(INDIRECT("'盛付札（関数）'!AE"&amp;H17)=211,INDIRECT("'盛付札（関数）'!AE"&amp;H17)=212,INDIRECT("'盛付札（関数）'!AE"&amp;H17)=213),"",
IF(INDIRECT("'盛付札（関数）'!AH"&amp;H17)&lt;&gt;"",
INDIRECT("'盛付札（関数）'!AH"&amp;H17)&amp;"箱"&amp;INDIRECT("'盛付札（関数）'!AI"&amp;H17),"")),"")</f>
        <v/>
      </c>
      <c r="N18" s="36"/>
      <c r="O18" s="22"/>
      <c r="P18" s="30"/>
      <c r="Q18" s="102"/>
      <c r="R18" s="136" t="str">
        <f t="array" aca="1" ref="R18" ca="1">IF(R17&lt;&gt;"",
IF(OR(INDIRECT("'盛付札（関数）'!AE"&amp;P17)=211,INDIRECT("'盛付札（関数）'!AE"&amp;P17)=212,INDIRECT("'盛付札（関数）'!AE"&amp;P17)=213),"",
IF(AND(INDIRECT("'盛付札（関数）'!AE"&amp;P17)&gt;=219,INDIRECT("'盛付札（関数）'!AE"&amp;P17)&lt;=246),"",
INDIRECT("'盛付札（関数）'!AG"&amp;P17))),"")</f>
        <v/>
      </c>
      <c r="S18" s="38"/>
      <c r="T18" s="38"/>
      <c r="U18" s="190" t="str">
        <f t="array" aca="1" ref="U18" ca="1">IF(AND(R17&lt;&gt;"",ISERROR(FIND("社食",R17))),
IF(OR(INDIRECT("'盛付札（関数）'!AE"&amp;P17)=211,INDIRECT("'盛付札（関数）'!AE"&amp;P17)=212,INDIRECT("'盛付札（関数）'!AE"&amp;P17)=213),"",
IF(INDIRECT("'盛付札（関数）'!AH"&amp;P17)&lt;&gt;"",
INDIRECT("'盛付札（関数）'!AH"&amp;P17)&amp;"箱"&amp;INDIRECT("'盛付札（関数）'!AI"&amp;P17),"")),"")</f>
        <v/>
      </c>
      <c r="V18" s="36"/>
      <c r="W18" s="43"/>
      <c r="X18" s="102"/>
      <c r="Y18" s="136" t="str">
        <f t="array" aca="1" ref="Y18" ca="1">IF(Y17&lt;&gt;"",
IF(OR(INDIRECT("'盛付札（関数）'!AE"&amp;W17)=211,INDIRECT("'盛付札（関数）'!AE"&amp;W17)=212,INDIRECT("'盛付札（関数）'!AE"&amp;W17)=213),"",
IF(AND(INDIRECT("'盛付札（関数）'!AE"&amp;W17)&gt;=219,INDIRECT("'盛付札（関数）'!AE"&amp;W17)&lt;=246),"",
INDIRECT("'盛付札（関数）'!AG"&amp;W17))),"")</f>
        <v/>
      </c>
      <c r="Z18" s="38"/>
      <c r="AA18" s="38"/>
      <c r="AB18" s="190" t="str">
        <f t="array" aca="1" ref="AB18" ca="1">IF(AND(Y17&lt;&gt;"",ISERROR(FIND("社食",Y17))),
IF(OR(INDIRECT("'盛付札（関数）'!AE"&amp;W17)=211,INDIRECT("'盛付札（関数）'!AE"&amp;W17)=212,INDIRECT("'盛付札（関数）'!AE"&amp;W17)=213),"",
IF(INDIRECT("'盛付札（関数）'!AH"&amp;W17)&lt;&gt;"",
INDIRECT("'盛付札（関数）'!AH"&amp;W17)&amp;"箱"&amp;INDIRECT("'盛付札（関数）'!AI"&amp;W17),"")),"")</f>
        <v/>
      </c>
      <c r="AC18" s="36"/>
      <c r="AD18" s="22"/>
      <c r="AE18" s="30"/>
      <c r="AF18" s="102"/>
      <c r="AG18" s="136" t="str">
        <f t="array" aca="1" ref="AG18" ca="1">IF(AG17&lt;&gt;"",
IF(OR(INDIRECT("'盛付札（関数）'!AE"&amp;AE17)=211,INDIRECT("'盛付札（関数）'!AE"&amp;AE17)=212,INDIRECT("'盛付札（関数）'!AE"&amp;AE17)=213),"",
IF(AND(INDIRECT("'盛付札（関数）'!AE"&amp;AE17)&gt;=219,INDIRECT("'盛付札（関数）'!AE"&amp;AE17)&lt;=246),"",
INDIRECT("'盛付札（関数）'!AG"&amp;AE17))),"")</f>
        <v/>
      </c>
      <c r="AH18" s="38"/>
      <c r="AI18" s="38"/>
      <c r="AJ18" s="190" t="str">
        <f t="array" aca="1" ref="AJ18" ca="1">IF(AND(AG17&lt;&gt;"",ISERROR(FIND("社食",AG17))),
IF(OR(INDIRECT("'盛付札（関数）'!AE"&amp;AE17)=211,INDIRECT("'盛付札（関数）'!AE"&amp;AE17)=212,INDIRECT("'盛付札（関数）'!AE"&amp;AE17)=213),"",
IF(INDIRECT("'盛付札（関数）'!AH"&amp;AE17)&lt;&gt;"",
INDIRECT("'盛付札（関数）'!AH"&amp;AE17)&amp;"箱"&amp;INDIRECT("'盛付札（関数）'!AI"&amp;AE17),"")),"")</f>
        <v/>
      </c>
      <c r="AK18" s="36"/>
      <c r="AL18" s="43"/>
      <c r="AM18" s="102"/>
      <c r="AN18" s="136" t="str">
        <f t="array" aca="1" ref="AN18" ca="1">IF(AN17&lt;&gt;"",
IF(OR(INDIRECT("'盛付札（関数）'!AE"&amp;AL17)=211,INDIRECT("'盛付札（関数）'!AE"&amp;AL17)=212,INDIRECT("'盛付札（関数）'!AE"&amp;AL17)=213),"",
IF(AND(INDIRECT("'盛付札（関数）'!AE"&amp;AL17)&gt;=219,INDIRECT("'盛付札（関数）'!AE"&amp;AL17)&lt;=246),"",
INDIRECT("'盛付札（関数）'!AG"&amp;AL17))),"")</f>
        <v/>
      </c>
      <c r="AO18" s="38"/>
      <c r="AP18" s="38"/>
      <c r="AQ18" s="190" t="str">
        <f t="array" aca="1" ref="AQ18" ca="1">IF(AND(AN17&lt;&gt;"",ISERROR(FIND("社食",AN17))),
IF(OR(INDIRECT("'盛付札（関数）'!AE"&amp;AL17)=211,INDIRECT("'盛付札（関数）'!AE"&amp;AL17)=212,INDIRECT("'盛付札（関数）'!AE"&amp;AL17)=213),"",
IF(INDIRECT("'盛付札（関数）'!AH"&amp;AL17)&lt;&gt;"",
INDIRECT("'盛付札（関数）'!AH"&amp;AL17)&amp;"箱"&amp;INDIRECT("'盛付札（関数）'!AI"&amp;AL17),"")),"")</f>
        <v/>
      </c>
      <c r="AR18" s="36"/>
      <c r="AS18" s="22"/>
      <c r="AT18" s="30"/>
      <c r="AU18" s="102"/>
      <c r="AV18" s="136" t="str">
        <f t="array" aca="1" ref="AV18" ca="1">IF(AV17&lt;&gt;"",
IF(OR(INDIRECT("'盛付札（関数）'!AE"&amp;AT17)=211,INDIRECT("'盛付札（関数）'!AE"&amp;AT17)=212,INDIRECT("'盛付札（関数）'!AE"&amp;AT17)=213),"",
IF(AND(INDIRECT("'盛付札（関数）'!AE"&amp;AT17)&gt;=219,INDIRECT("'盛付札（関数）'!AE"&amp;AT17)&lt;=246),"",
INDIRECT("'盛付札（関数）'!AG"&amp;AT17))),"")</f>
        <v/>
      </c>
      <c r="AW18" s="38"/>
      <c r="AX18" s="38"/>
      <c r="AY18" s="190" t="str">
        <f t="array" aca="1" ref="AY18" ca="1">IF(AND(AV17&lt;&gt;"",ISERROR(FIND("社食",AV17))),
IF(OR(INDIRECT("'盛付札（関数）'!AE"&amp;AT17)=211,INDIRECT("'盛付札（関数）'!AE"&amp;AT17)=212,INDIRECT("'盛付札（関数）'!AE"&amp;AT17)=213),"",
IF(INDIRECT("'盛付札（関数）'!AH"&amp;AT17)&lt;&gt;"",
INDIRECT("'盛付札（関数）'!AH"&amp;AT17)&amp;"箱"&amp;INDIRECT("'盛付札（関数）'!AI"&amp;AT17),"")),"")</f>
        <v/>
      </c>
      <c r="AZ18" s="36"/>
      <c r="BA18" s="43"/>
      <c r="BB18" s="102"/>
      <c r="BC18" s="136" t="str">
        <f t="array" aca="1" ref="BC18" ca="1">IF(BC17&lt;&gt;"",
IF(OR(INDIRECT("'盛付札（関数）'!AE"&amp;BA17)=211,INDIRECT("'盛付札（関数）'!AE"&amp;BA17)=212,INDIRECT("'盛付札（関数）'!AE"&amp;BA17)=213),"",
IF(AND(INDIRECT("'盛付札（関数）'!AE"&amp;BA17)&gt;=219,INDIRECT("'盛付札（関数）'!AE"&amp;BA17)&lt;=246),"",
INDIRECT("'盛付札（関数）'!AG"&amp;BA17))),"")</f>
        <v/>
      </c>
      <c r="BD18" s="38"/>
      <c r="BE18" s="38"/>
      <c r="BF18" s="190" t="str">
        <f t="array" aca="1" ref="BF18" ca="1">IF(AND(BC17&lt;&gt;"",ISERROR(FIND("社食",BC17))),
IF(OR(INDIRECT("'盛付札（関数）'!AE"&amp;BA17)=211,INDIRECT("'盛付札（関数）'!AE"&amp;BA17)=212,INDIRECT("'盛付札（関数）'!AE"&amp;BA17)=213),"",
IF(INDIRECT("'盛付札（関数）'!AH"&amp;BA17)&lt;&gt;"",
INDIRECT("'盛付札（関数）'!AH"&amp;BA17)&amp;"箱"&amp;INDIRECT("'盛付札（関数）'!AI"&amp;BA17),"")),"")</f>
        <v/>
      </c>
      <c r="BG18" s="36"/>
      <c r="BH18" s="22"/>
      <c r="BI18" s="30"/>
      <c r="BJ18" s="102"/>
      <c r="BK18" s="136" t="str">
        <f t="array" aca="1" ref="BK18" ca="1">IF(BK17&lt;&gt;"",
IF(OR(INDIRECT("'盛付札（関数）'!AE"&amp;BI17)=211,INDIRECT("'盛付札（関数）'!AE"&amp;BI17)=212,INDIRECT("'盛付札（関数）'!AE"&amp;BI17)=213),"",
IF(AND(INDIRECT("'盛付札（関数）'!AE"&amp;BI17)&gt;=219,INDIRECT("'盛付札（関数）'!AE"&amp;BI17)&lt;=246),"",
INDIRECT("'盛付札（関数）'!AG"&amp;BI17))),"")</f>
        <v/>
      </c>
      <c r="BL18" s="38"/>
      <c r="BM18" s="38"/>
      <c r="BN18" s="190" t="str">
        <f t="array" aca="1" ref="BN18" ca="1">IF(AND(BK17&lt;&gt;"",ISERROR(FIND("社食",BK17))),
IF(OR(INDIRECT("'盛付札（関数）'!AE"&amp;BI17)=211,INDIRECT("'盛付札（関数）'!AE"&amp;BI17)=212,INDIRECT("'盛付札（関数）'!AE"&amp;BI17)=213),"",
IF(INDIRECT("'盛付札（関数）'!AH"&amp;BI17)&lt;&gt;"",
INDIRECT("'盛付札（関数）'!AH"&amp;BI17)&amp;"箱"&amp;INDIRECT("'盛付札（関数）'!AI"&amp;BI17),"")),"")</f>
        <v/>
      </c>
      <c r="BO18" s="36"/>
      <c r="BP18" s="43"/>
      <c r="BQ18" s="102"/>
      <c r="BR18" s="136" t="str">
        <f t="array" aca="1" ref="BR18" ca="1">IF(BR17&lt;&gt;"",
IF(OR(INDIRECT("'盛付札（関数）'!AE"&amp;BP17)=211,INDIRECT("'盛付札（関数）'!AE"&amp;BP17)=212,INDIRECT("'盛付札（関数）'!AE"&amp;BP17)=213),"",
IF(AND(INDIRECT("'盛付札（関数）'!AE"&amp;BP17)&gt;=219,INDIRECT("'盛付札（関数）'!AE"&amp;BP17)&lt;=246),"",
INDIRECT("'盛付札（関数）'!AG"&amp;BP17))),"")</f>
        <v/>
      </c>
      <c r="BS18" s="38"/>
      <c r="BT18" s="38"/>
      <c r="BU18" s="190" t="str">
        <f t="array" aca="1" ref="BU18" ca="1">IF(AND(BR17&lt;&gt;"",ISERROR(FIND("社食",BR17))),
IF(OR(INDIRECT("'盛付札（関数）'!AE"&amp;BP17)=211,INDIRECT("'盛付札（関数）'!AE"&amp;BP17)=212,INDIRECT("'盛付札（関数）'!AE"&amp;BP17)=213),"",
IF(INDIRECT("'盛付札（関数）'!AH"&amp;BP17)&lt;&gt;"",
INDIRECT("'盛付札（関数）'!AH"&amp;BP17)&amp;"箱"&amp;INDIRECT("'盛付札（関数）'!AI"&amp;BP17),"")),"")</f>
        <v/>
      </c>
      <c r="BV18" s="36"/>
      <c r="BW18" s="22"/>
      <c r="BX18" s="30"/>
      <c r="BY18" s="102"/>
      <c r="BZ18" s="136" t="str">
        <f t="array" aca="1" ref="BZ18" ca="1">IF(BZ17&lt;&gt;"",
IF(OR(INDIRECT("'盛付札（関数）'!AE"&amp;BX17)=211,INDIRECT("'盛付札（関数）'!AE"&amp;BX17)=212,INDIRECT("'盛付札（関数）'!AE"&amp;BX17)=213),"",
IF(AND(INDIRECT("'盛付札（関数）'!AE"&amp;BX17)&gt;=219,INDIRECT("'盛付札（関数）'!AE"&amp;BX17)&lt;=246),"",
INDIRECT("'盛付札（関数）'!AG"&amp;BX17))),"")</f>
        <v/>
      </c>
      <c r="CA18" s="38"/>
      <c r="CB18" s="38"/>
      <c r="CC18" s="190" t="str">
        <f t="array" aca="1" ref="CC18" ca="1">IF(AND(BZ17&lt;&gt;"",ISERROR(FIND("社食",BZ17))),
IF(OR(INDIRECT("'盛付札（関数）'!AE"&amp;BX17)=211,INDIRECT("'盛付札（関数）'!AE"&amp;BX17)=212,INDIRECT("'盛付札（関数）'!AE"&amp;BX17)=213),"",
IF(INDIRECT("'盛付札（関数）'!AH"&amp;BX17)&lt;&gt;"",
INDIRECT("'盛付札（関数）'!AH"&amp;BX17)&amp;"箱"&amp;INDIRECT("'盛付札（関数）'!AI"&amp;BX17),"")),"")</f>
        <v/>
      </c>
      <c r="CD18" s="36"/>
      <c r="CE18" s="43"/>
      <c r="CF18" s="102"/>
      <c r="CG18" s="136" t="str">
        <f t="array" aca="1" ref="CG18" ca="1">IF(CG17&lt;&gt;"",
IF(OR(INDIRECT("'盛付札（関数）'!AE"&amp;CE17)=211,INDIRECT("'盛付札（関数）'!AE"&amp;CE17)=212,INDIRECT("'盛付札（関数）'!AE"&amp;CE17)=213),"",
IF(AND(INDIRECT("'盛付札（関数）'!AE"&amp;CE17)&gt;=219,INDIRECT("'盛付札（関数）'!AE"&amp;CE17)&lt;=246),"",
INDIRECT("'盛付札（関数）'!AG"&amp;CE17))),"")</f>
        <v/>
      </c>
      <c r="CH18" s="38"/>
      <c r="CI18" s="38"/>
      <c r="CJ18" s="190" t="str">
        <f t="array" aca="1" ref="CJ18" ca="1">IF(AND(CG17&lt;&gt;"",ISERROR(FIND("社食",CG17))),
IF(OR(INDIRECT("'盛付札（関数）'!AE"&amp;CE17)=211,INDIRECT("'盛付札（関数）'!AE"&amp;CE17)=212,INDIRECT("'盛付札（関数）'!AE"&amp;CE17)=213),"",
IF(INDIRECT("'盛付札（関数）'!AH"&amp;CE17)&lt;&gt;"",
INDIRECT("'盛付札（関数）'!AH"&amp;CE17)&amp;"箱"&amp;INDIRECT("'盛付札（関数）'!AI"&amp;CE17),"")),"")</f>
        <v/>
      </c>
      <c r="CK18" s="36"/>
      <c r="CL18" s="22"/>
      <c r="CM18" s="30"/>
      <c r="CN18" s="102"/>
      <c r="CO18" s="136" t="str">
        <f t="array" aca="1" ref="CO18" ca="1">IF(CO17&lt;&gt;"",
IF(OR(INDIRECT("'盛付札（関数）'!AE"&amp;CM17)=211,INDIRECT("'盛付札（関数）'!AE"&amp;CM17)=212,INDIRECT("'盛付札（関数）'!AE"&amp;CM17)=213),"",
IF(AND(INDIRECT("'盛付札（関数）'!AE"&amp;CM17)&gt;=219,INDIRECT("'盛付札（関数）'!AE"&amp;CM17)&lt;=246),"",
INDIRECT("'盛付札（関数）'!AG"&amp;CM17))),"")</f>
        <v/>
      </c>
      <c r="CP18" s="38"/>
      <c r="CQ18" s="38"/>
      <c r="CR18" s="190" t="str">
        <f t="array" aca="1" ref="CR18" ca="1">IF(AND(CO17&lt;&gt;"",ISERROR(FIND("社食",CO17))),
IF(OR(INDIRECT("'盛付札（関数）'!AE"&amp;CM17)=211,INDIRECT("'盛付札（関数）'!AE"&amp;CM17)=212,INDIRECT("'盛付札（関数）'!AE"&amp;CM17)=213),"",
IF(INDIRECT("'盛付札（関数）'!AH"&amp;CM17)&lt;&gt;"",
INDIRECT("'盛付札（関数）'!AH"&amp;CM17)&amp;"箱"&amp;INDIRECT("'盛付札（関数）'!AI"&amp;CM17),"")),"")</f>
        <v/>
      </c>
      <c r="CS18" s="36"/>
      <c r="CT18" s="43"/>
      <c r="CU18" s="102"/>
      <c r="CV18" s="136" t="str">
        <f t="array" aca="1" ref="CV18" ca="1">IF(CV17&lt;&gt;"",
IF(OR(INDIRECT("'盛付札（関数）'!AE"&amp;CT17)=211,INDIRECT("'盛付札（関数）'!AE"&amp;CT17)=212,INDIRECT("'盛付札（関数）'!AE"&amp;CT17)=213),"",
IF(AND(INDIRECT("'盛付札（関数）'!AE"&amp;CT17)&gt;=219,INDIRECT("'盛付札（関数）'!AE"&amp;CT17)&lt;=246),"",
INDIRECT("'盛付札（関数）'!AG"&amp;CT17))),"")</f>
        <v/>
      </c>
      <c r="CW18" s="38"/>
      <c r="CX18" s="38"/>
      <c r="CY18" s="190" t="str">
        <f t="array" aca="1" ref="CY18" ca="1">IF(AND(CV17&lt;&gt;"",ISERROR(FIND("社食",CV17))),
IF(OR(INDIRECT("'盛付札（関数）'!AE"&amp;CT17)=211,INDIRECT("'盛付札（関数）'!AE"&amp;CT17)=212,INDIRECT("'盛付札（関数）'!AE"&amp;CT17)=213),"",
IF(INDIRECT("'盛付札（関数）'!AH"&amp;CT17)&lt;&gt;"",
INDIRECT("'盛付札（関数）'!AH"&amp;CT17)&amp;"箱"&amp;INDIRECT("'盛付札（関数）'!AI"&amp;CT17),"")),"")</f>
        <v/>
      </c>
      <c r="CZ18" s="36"/>
      <c r="DA18" s="22"/>
      <c r="DB18" s="30"/>
      <c r="DC18" s="102"/>
      <c r="DD18" s="136" t="str">
        <f t="array" aca="1" ref="DD18" ca="1">IF(DD17&lt;&gt;"",
IF(OR(INDIRECT("'盛付札（関数）'!AE"&amp;DB17)=211,INDIRECT("'盛付札（関数）'!AE"&amp;DB17)=212,INDIRECT("'盛付札（関数）'!AE"&amp;DB17)=213),"",
IF(AND(INDIRECT("'盛付札（関数）'!AE"&amp;DB17)&gt;=219,INDIRECT("'盛付札（関数）'!AE"&amp;DB17)&lt;=246),"",
INDIRECT("'盛付札（関数）'!AG"&amp;DB17))),"")</f>
        <v/>
      </c>
      <c r="DE18" s="38"/>
      <c r="DF18" s="38"/>
      <c r="DG18" s="190" t="str">
        <f t="array" aca="1" ref="DG18" ca="1">IF(AND(DD17&lt;&gt;"",ISERROR(FIND("社食",DD17))),
IF(OR(INDIRECT("'盛付札（関数）'!AE"&amp;DB17)=211,INDIRECT("'盛付札（関数）'!AE"&amp;DB17)=212,INDIRECT("'盛付札（関数）'!AE"&amp;DB17)=213),"",
IF(INDIRECT("'盛付札（関数）'!AH"&amp;DB17)&lt;&gt;"",
INDIRECT("'盛付札（関数）'!AH"&amp;DB17)&amp;"箱"&amp;INDIRECT("'盛付札（関数）'!AI"&amp;DB17),"")),"")</f>
        <v/>
      </c>
      <c r="DH18" s="36"/>
      <c r="DI18" s="43"/>
      <c r="DJ18" s="102"/>
      <c r="DK18" s="136" t="str">
        <f t="array" aca="1" ref="DK18" ca="1">IF(DK17&lt;&gt;"",
IF(OR(INDIRECT("'盛付札（関数）'!AE"&amp;DI17)=211,INDIRECT("'盛付札（関数）'!AE"&amp;DI17)=212,INDIRECT("'盛付札（関数）'!AE"&amp;DI17)=213),"",
IF(AND(INDIRECT("'盛付札（関数）'!AE"&amp;DI17)&gt;=219,INDIRECT("'盛付札（関数）'!AE"&amp;DI17)&lt;=246),"",
INDIRECT("'盛付札（関数）'!AG"&amp;DI17))),"")</f>
        <v/>
      </c>
      <c r="DL18" s="38"/>
      <c r="DM18" s="38"/>
      <c r="DN18" s="190" t="str">
        <f t="array" aca="1" ref="DN18" ca="1">IF(AND(DK17&lt;&gt;"",ISERROR(FIND("社食",DK17))),
IF(OR(INDIRECT("'盛付札（関数）'!AE"&amp;DI17)=211,INDIRECT("'盛付札（関数）'!AE"&amp;DI17)=212,INDIRECT("'盛付札（関数）'!AE"&amp;DI17)=213),"",
IF(INDIRECT("'盛付札（関数）'!AH"&amp;DI17)&lt;&gt;"",
INDIRECT("'盛付札（関数）'!AH"&amp;DI17)&amp;"箱"&amp;INDIRECT("'盛付札（関数）'!AI"&amp;DI17),"")),"")</f>
        <v/>
      </c>
      <c r="DO18" s="36"/>
      <c r="DP18" s="22"/>
      <c r="DQ18" s="30"/>
      <c r="DR18" s="102"/>
      <c r="DS18" s="136" t="str">
        <f t="array" aca="1" ref="DS18" ca="1">IF(DS17&lt;&gt;"",
IF(OR(INDIRECT("'盛付札（関数）'!AE"&amp;DQ17)=211,INDIRECT("'盛付札（関数）'!AE"&amp;DQ17)=212,INDIRECT("'盛付札（関数）'!AE"&amp;DQ17)=213),"",
IF(AND(INDIRECT("'盛付札（関数）'!AE"&amp;DQ17)&gt;=219,INDIRECT("'盛付札（関数）'!AE"&amp;DQ17)&lt;=246),"",
INDIRECT("'盛付札（関数）'!AG"&amp;DQ17))),"")</f>
        <v/>
      </c>
      <c r="DT18" s="38"/>
      <c r="DU18" s="38"/>
      <c r="DV18" s="190" t="str">
        <f t="array" aca="1" ref="DV18" ca="1">IF(AND(DS17&lt;&gt;"",ISERROR(FIND("社食",DS17))),
IF(OR(INDIRECT("'盛付札（関数）'!AE"&amp;DQ17)=211,INDIRECT("'盛付札（関数）'!AE"&amp;DQ17)=212,INDIRECT("'盛付札（関数）'!AE"&amp;DQ17)=213),"",
IF(INDIRECT("'盛付札（関数）'!AH"&amp;DQ17)&lt;&gt;"",
INDIRECT("'盛付札（関数）'!AH"&amp;DQ17)&amp;"箱"&amp;INDIRECT("'盛付札（関数）'!AI"&amp;DQ17),"")),"")</f>
        <v/>
      </c>
      <c r="DW18" s="36"/>
      <c r="DX18" s="43"/>
      <c r="DY18" s="102"/>
      <c r="DZ18" s="136" t="str">
        <f t="array" aca="1" ref="DZ18" ca="1">IF(DZ17&lt;&gt;"",
IF(OR(INDIRECT("'盛付札（関数）'!AE"&amp;DX17)=211,INDIRECT("'盛付札（関数）'!AE"&amp;DX17)=212,INDIRECT("'盛付札（関数）'!AE"&amp;DX17)=213),"",
IF(AND(INDIRECT("'盛付札（関数）'!AE"&amp;DX17)&gt;=219,INDIRECT("'盛付札（関数）'!AE"&amp;DX17)&lt;=246),"",
INDIRECT("'盛付札（関数）'!AG"&amp;DX17))),"")</f>
        <v/>
      </c>
      <c r="EA18" s="38"/>
      <c r="EB18" s="38"/>
      <c r="EC18" s="190" t="str">
        <f t="array" aca="1" ref="EC18" ca="1">IF(AND(DZ17&lt;&gt;"",ISERROR(FIND("社食",DZ17))),
IF(OR(INDIRECT("'盛付札（関数）'!AE"&amp;DX17)=211,INDIRECT("'盛付札（関数）'!AE"&amp;DX17)=212,INDIRECT("'盛付札（関数）'!AE"&amp;DX17)=213),"",
IF(INDIRECT("'盛付札（関数）'!AH"&amp;DX17)&lt;&gt;"",
INDIRECT("'盛付札（関数）'!AH"&amp;DX17)&amp;"箱"&amp;INDIRECT("'盛付札（関数）'!AI"&amp;DX17),"")),"")</f>
        <v/>
      </c>
      <c r="ED18" s="36"/>
      <c r="EE18" s="22"/>
      <c r="EF18" s="30"/>
      <c r="EG18" s="102"/>
      <c r="EH18" s="136" t="str">
        <f t="array" aca="1" ref="EH18" ca="1">IF(EH17&lt;&gt;"",
IF(OR(INDIRECT("'盛付札（関数）'!AE"&amp;EF17)=211,INDIRECT("'盛付札（関数）'!AE"&amp;EF17)=212,INDIRECT("'盛付札（関数）'!AE"&amp;EF17)=213),"",
IF(AND(INDIRECT("'盛付札（関数）'!AE"&amp;EF17)&gt;=219,INDIRECT("'盛付札（関数）'!AE"&amp;EF17)&lt;=246),"",
INDIRECT("'盛付札（関数）'!AG"&amp;EF17))),"")</f>
        <v/>
      </c>
      <c r="EI18" s="38"/>
      <c r="EJ18" s="38"/>
      <c r="EK18" s="190" t="str">
        <f t="array" aca="1" ref="EK18" ca="1">IF(AND(EH17&lt;&gt;"",ISERROR(FIND("社食",EH17))),
IF(OR(INDIRECT("'盛付札（関数）'!AE"&amp;EF17)=211,INDIRECT("'盛付札（関数）'!AE"&amp;EF17)=212,INDIRECT("'盛付札（関数）'!AE"&amp;EF17)=213),"",
IF(INDIRECT("'盛付札（関数）'!AH"&amp;EF17)&lt;&gt;"",
INDIRECT("'盛付札（関数）'!AH"&amp;EF17)&amp;"箱"&amp;INDIRECT("'盛付札（関数）'!AI"&amp;EF17),"")),"")</f>
        <v/>
      </c>
      <c r="EL18" s="36"/>
      <c r="EM18" s="43"/>
      <c r="EN18" s="102"/>
      <c r="EO18" s="136" t="str">
        <f t="array" aca="1" ref="EO18" ca="1">IF(EO17&lt;&gt;"",
IF(OR(INDIRECT("'盛付札（関数）'!AE"&amp;EM17)=211,INDIRECT("'盛付札（関数）'!AE"&amp;EM17)=212,INDIRECT("'盛付札（関数）'!AE"&amp;EM17)=213),"",
IF(AND(INDIRECT("'盛付札（関数）'!AE"&amp;EM17)&gt;=219,INDIRECT("'盛付札（関数）'!AE"&amp;EM17)&lt;=246),"",
INDIRECT("'盛付札（関数）'!AG"&amp;EM17))),"")</f>
        <v/>
      </c>
      <c r="EP18" s="38"/>
      <c r="EQ18" s="38"/>
      <c r="ER18" s="190" t="str">
        <f t="array" aca="1" ref="ER18" ca="1">IF(AND(EO17&lt;&gt;"",ISERROR(FIND("社食",EO17))),
IF(OR(INDIRECT("'盛付札（関数）'!AE"&amp;EM17)=211,INDIRECT("'盛付札（関数）'!AE"&amp;EM17)=212,INDIRECT("'盛付札（関数）'!AE"&amp;EM17)=213),"",
IF(INDIRECT("'盛付札（関数）'!AH"&amp;EM17)&lt;&gt;"",
INDIRECT("'盛付札（関数）'!AH"&amp;EM17)&amp;"箱"&amp;INDIRECT("'盛付札（関数）'!AI"&amp;EM17),"")),"")</f>
        <v/>
      </c>
      <c r="ES18" s="36"/>
      <c r="ET18" s="22"/>
    </row>
    <row r="19" spans="1:150" s="181" customFormat="1">
      <c r="A19" s="30"/>
      <c r="B19" s="31"/>
      <c r="C19" s="212" t="str">
        <f t="array" aca="1" ref="C19" ca="1">IF(AND(C17&lt;&gt;"",ISERROR(FIND("社食",C17)),ISERROR(FIND("先生",C17)),ISERROR(FIND("学童",C18))),
IF(C20&lt;&gt;"",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IF(AND(INDIRECT("'盛付札（関数）'!AE"&amp;A17)&gt;=247,INDIRECT("'盛付札（関数）'!AE"&amp;A17)&lt;=261),"先生","園児"))),""),"")</f>
        <v/>
      </c>
      <c r="D19" s="213"/>
      <c r="E19" s="22"/>
      <c r="F19" s="135" t="str">
        <f t="array" aca="1" ref="F19" ca="1">IF(AND(C17&lt;&gt;"",ISERROR(FIND("社食",C17)),ISERROR(FIND("先生",C17))),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IF(AND(INDIRECT("'盛付札（関数）'!AE"&amp;A17)&gt;=247,INDIRECT("'盛付札（関数）'!AE"&amp;A17)&lt;=261),"","先生"))),"")</f>
        <v/>
      </c>
      <c r="G19" s="37"/>
      <c r="H19" s="33"/>
      <c r="I19" s="31"/>
      <c r="J19" s="212" t="str">
        <f t="array" aca="1" ref="J19" ca="1">IF(AND(J17&lt;&gt;"",ISERROR(FIND("社食",J17)),ISERROR(FIND("先生",J17)),ISERROR(FIND("学童",J18))),
IF(J20&lt;&gt;"",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IF(AND(INDIRECT("'盛付札（関数）'!AE"&amp;H17)&gt;=247,INDIRECT("'盛付札（関数）'!AE"&amp;H17)&lt;=261),"先生","園児"))),""),"")</f>
        <v/>
      </c>
      <c r="K19" s="213"/>
      <c r="L19" s="22"/>
      <c r="M19" s="135" t="str">
        <f t="array" aca="1" ref="M19" ca="1">IF(AND(J17&lt;&gt;"",ISERROR(FIND("社食",J17)),ISERROR(FIND("先生",J17))),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IF(AND(INDIRECT("'盛付札（関数）'!AE"&amp;H17)&gt;=247,INDIRECT("'盛付札（関数）'!AE"&amp;H17)&lt;=261),"","先生"))),"")</f>
        <v/>
      </c>
      <c r="N19" s="37"/>
      <c r="O19" s="22"/>
      <c r="P19" s="30"/>
      <c r="Q19" s="31"/>
      <c r="R19" s="212" t="str">
        <f t="array" aca="1" ref="R19" ca="1">IF(AND(R17&lt;&gt;"",ISERROR(FIND("社食",R17)),ISERROR(FIND("先生",R17)),ISERROR(FIND("学童",R18))),
IF(R20&lt;&gt;"",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IF(AND(INDIRECT("'盛付札（関数）'!AE"&amp;P17)&gt;=247,INDIRECT("'盛付札（関数）'!AE"&amp;P17)&lt;=261),"先生","園児"))),""),"")</f>
        <v/>
      </c>
      <c r="S19" s="213"/>
      <c r="T19" s="22"/>
      <c r="U19" s="135" t="str">
        <f t="array" aca="1" ref="U19" ca="1">IF(AND(R17&lt;&gt;"",ISERROR(FIND("社食",R17)),ISERROR(FIND("先生",R17))),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IF(AND(INDIRECT("'盛付札（関数）'!AE"&amp;P17)&gt;=247,INDIRECT("'盛付札（関数）'!AE"&amp;P17)&lt;=261),"","先生"))),"")</f>
        <v/>
      </c>
      <c r="V19" s="37"/>
      <c r="W19" s="33"/>
      <c r="X19" s="31"/>
      <c r="Y19" s="212" t="str">
        <f t="array" aca="1" ref="Y19" ca="1">IF(AND(Y17&lt;&gt;"",ISERROR(FIND("社食",Y17)),ISERROR(FIND("先生",Y17)),ISERROR(FIND("学童",Y18))),
IF(Y20&lt;&gt;"",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IF(AND(INDIRECT("'盛付札（関数）'!AE"&amp;W17)&gt;=247,INDIRECT("'盛付札（関数）'!AE"&amp;W17)&lt;=261),"先生","園児"))),""),"")</f>
        <v/>
      </c>
      <c r="Z19" s="213"/>
      <c r="AA19" s="22"/>
      <c r="AB19" s="135" t="str">
        <f t="array" aca="1" ref="AB19" ca="1">IF(AND(Y17&lt;&gt;"",ISERROR(FIND("社食",Y17)),ISERROR(FIND("先生",Y17))),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IF(AND(INDIRECT("'盛付札（関数）'!AE"&amp;W17)&gt;=247,INDIRECT("'盛付札（関数）'!AE"&amp;W17)&lt;=261),"","先生"))),"")</f>
        <v/>
      </c>
      <c r="AC19" s="37"/>
      <c r="AD19" s="22"/>
      <c r="AE19" s="30"/>
      <c r="AF19" s="31"/>
      <c r="AG19" s="212" t="str">
        <f t="array" aca="1" ref="AG19" ca="1">IF(AND(AG17&lt;&gt;"",ISERROR(FIND("社食",AG17)),ISERROR(FIND("先生",AG17)),ISERROR(FIND("学童",AG18))),
IF(AG20&lt;&gt;"",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IF(AND(INDIRECT("'盛付札（関数）'!AE"&amp;AE17)&gt;=247,INDIRECT("'盛付札（関数）'!AE"&amp;AE17)&lt;=261),"先生","園児"))),""),"")</f>
        <v/>
      </c>
      <c r="AH19" s="213"/>
      <c r="AI19" s="22"/>
      <c r="AJ19" s="135" t="str">
        <f t="array" aca="1" ref="AJ19" ca="1">IF(AND(AG17&lt;&gt;"",ISERROR(FIND("社食",AG17)),ISERROR(FIND("先生",AG17))),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IF(AND(INDIRECT("'盛付札（関数）'!AE"&amp;AE17)&gt;=247,INDIRECT("'盛付札（関数）'!AE"&amp;AE17)&lt;=261),"","先生"))),"")</f>
        <v/>
      </c>
      <c r="AK19" s="37"/>
      <c r="AL19" s="33"/>
      <c r="AM19" s="31"/>
      <c r="AN19" s="212" t="str">
        <f t="array" aca="1" ref="AN19" ca="1">IF(AND(AN17&lt;&gt;"",ISERROR(FIND("社食",AN17)),ISERROR(FIND("先生",AN17)),ISERROR(FIND("学童",AN18))),
IF(AN20&lt;&gt;"",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IF(AND(INDIRECT("'盛付札（関数）'!AE"&amp;AL17)&gt;=247,INDIRECT("'盛付札（関数）'!AE"&amp;AL17)&lt;=261),"先生","園児"))),""),"")</f>
        <v/>
      </c>
      <c r="AO19" s="213"/>
      <c r="AP19" s="22"/>
      <c r="AQ19" s="135" t="str">
        <f t="array" aca="1" ref="AQ19" ca="1">IF(AND(AN17&lt;&gt;"",ISERROR(FIND("社食",AN17)),ISERROR(FIND("先生",AN17))),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IF(AND(INDIRECT("'盛付札（関数）'!AE"&amp;AL17)&gt;=247,INDIRECT("'盛付札（関数）'!AE"&amp;AL17)&lt;=261),"","先生"))),"")</f>
        <v/>
      </c>
      <c r="AR19" s="37"/>
      <c r="AS19" s="22"/>
      <c r="AT19" s="30"/>
      <c r="AU19" s="31"/>
      <c r="AV19" s="212" t="str">
        <f t="array" aca="1" ref="AV19" ca="1">IF(AND(AV17&lt;&gt;"",ISERROR(FIND("社食",AV17)),ISERROR(FIND("先生",AV17)),ISERROR(FIND("学童",AV18))),
IF(AV20&lt;&gt;"",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IF(AND(INDIRECT("'盛付札（関数）'!AE"&amp;AT17)&gt;=247,INDIRECT("'盛付札（関数）'!AE"&amp;AT17)&lt;=261),"先生","園児"))),""),"")</f>
        <v/>
      </c>
      <c r="AW19" s="213"/>
      <c r="AX19" s="22"/>
      <c r="AY19" s="135" t="str">
        <f t="array" aca="1" ref="AY19" ca="1">IF(AND(AV17&lt;&gt;"",ISERROR(FIND("社食",AV17)),ISERROR(FIND("先生",AV17))),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IF(AND(INDIRECT("'盛付札（関数）'!AE"&amp;AT17)&gt;=247,INDIRECT("'盛付札（関数）'!AE"&amp;AT17)&lt;=261),"","先生"))),"")</f>
        <v/>
      </c>
      <c r="AZ19" s="37"/>
      <c r="BA19" s="33"/>
      <c r="BB19" s="31"/>
      <c r="BC19" s="212" t="str">
        <f t="array" aca="1" ref="BC19" ca="1">IF(AND(BC17&lt;&gt;"",ISERROR(FIND("社食",BC17)),ISERROR(FIND("先生",BC17)),ISERROR(FIND("学童",BC18))),
IF(BC20&lt;&gt;"",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IF(AND(INDIRECT("'盛付札（関数）'!AE"&amp;BA17)&gt;=247,INDIRECT("'盛付札（関数）'!AE"&amp;BA17)&lt;=261),"先生","園児"))),""),"")</f>
        <v/>
      </c>
      <c r="BD19" s="213"/>
      <c r="BE19" s="22"/>
      <c r="BF19" s="135" t="str">
        <f t="array" aca="1" ref="BF19" ca="1">IF(AND(BC17&lt;&gt;"",ISERROR(FIND("社食",BC17)),ISERROR(FIND("先生",BC17))),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IF(AND(INDIRECT("'盛付札（関数）'!AE"&amp;BA17)&gt;=247,INDIRECT("'盛付札（関数）'!AE"&amp;BA17)&lt;=261),"","先生"))),"")</f>
        <v/>
      </c>
      <c r="BG19" s="37"/>
      <c r="BH19" s="22"/>
      <c r="BI19" s="30"/>
      <c r="BJ19" s="31"/>
      <c r="BK19" s="212" t="str">
        <f t="array" aca="1" ref="BK19" ca="1">IF(AND(BK17&lt;&gt;"",ISERROR(FIND("社食",BK17)),ISERROR(FIND("先生",BK17)),ISERROR(FIND("学童",BK18))),
IF(BK20&lt;&gt;"",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IF(AND(INDIRECT("'盛付札（関数）'!AE"&amp;BI17)&gt;=247,INDIRECT("'盛付札（関数）'!AE"&amp;BI17)&lt;=261),"先生","園児"))),""),"")</f>
        <v/>
      </c>
      <c r="BL19" s="213"/>
      <c r="BM19" s="22"/>
      <c r="BN19" s="135" t="str">
        <f t="array" aca="1" ref="BN19" ca="1">IF(AND(BK17&lt;&gt;"",ISERROR(FIND("社食",BK17)),ISERROR(FIND("先生",BK17))),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IF(AND(INDIRECT("'盛付札（関数）'!AE"&amp;BI17)&gt;=247,INDIRECT("'盛付札（関数）'!AE"&amp;BI17)&lt;=261),"","先生"))),"")</f>
        <v/>
      </c>
      <c r="BO19" s="37"/>
      <c r="BP19" s="33"/>
      <c r="BQ19" s="31"/>
      <c r="BR19" s="212" t="str">
        <f t="array" aca="1" ref="BR19" ca="1">IF(AND(BR17&lt;&gt;"",ISERROR(FIND("社食",BR17)),ISERROR(FIND("先生",BR17)),ISERROR(FIND("学童",BR18))),
IF(BR20&lt;&gt;"",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IF(AND(INDIRECT("'盛付札（関数）'!AE"&amp;BP17)&gt;=247,INDIRECT("'盛付札（関数）'!AE"&amp;BP17)&lt;=261),"先生","園児"))),""),"")</f>
        <v/>
      </c>
      <c r="BS19" s="213"/>
      <c r="BT19" s="22"/>
      <c r="BU19" s="135" t="str">
        <f t="array" aca="1" ref="BU19" ca="1">IF(AND(BR17&lt;&gt;"",ISERROR(FIND("社食",BR17)),ISERROR(FIND("先生",BR17))),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IF(AND(INDIRECT("'盛付札（関数）'!AE"&amp;BP17)&gt;=247,INDIRECT("'盛付札（関数）'!AE"&amp;BP17)&lt;=261),"","先生"))),"")</f>
        <v/>
      </c>
      <c r="BV19" s="37"/>
      <c r="BW19" s="22"/>
      <c r="BX19" s="30"/>
      <c r="BY19" s="31"/>
      <c r="BZ19" s="212" t="str">
        <f t="array" aca="1" ref="BZ19" ca="1">IF(AND(BZ17&lt;&gt;"",ISERROR(FIND("社食",BZ17)),ISERROR(FIND("先生",BZ17)),ISERROR(FIND("学童",BZ18))),
IF(BZ20&lt;&gt;"",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IF(AND(INDIRECT("'盛付札（関数）'!AE"&amp;BX17)&gt;=247,INDIRECT("'盛付札（関数）'!AE"&amp;BX17)&lt;=261),"先生","園児"))),""),"")</f>
        <v/>
      </c>
      <c r="CA19" s="213"/>
      <c r="CB19" s="22"/>
      <c r="CC19" s="135" t="str">
        <f t="array" aca="1" ref="CC19" ca="1">IF(AND(BZ17&lt;&gt;"",ISERROR(FIND("社食",BZ17)),ISERROR(FIND("先生",BZ17))),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IF(AND(INDIRECT("'盛付札（関数）'!AE"&amp;BX17)&gt;=247,INDIRECT("'盛付札（関数）'!AE"&amp;BX17)&lt;=261),"","先生"))),"")</f>
        <v/>
      </c>
      <c r="CD19" s="37"/>
      <c r="CE19" s="33"/>
      <c r="CF19" s="31"/>
      <c r="CG19" s="212" t="str">
        <f t="array" aca="1" ref="CG19" ca="1">IF(AND(CG17&lt;&gt;"",ISERROR(FIND("社食",CG17)),ISERROR(FIND("先生",CG17)),ISERROR(FIND("学童",CG18))),
IF(CG20&lt;&gt;"",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IF(AND(INDIRECT("'盛付札（関数）'!AE"&amp;CE17)&gt;=247,INDIRECT("'盛付札（関数）'!AE"&amp;CE17)&lt;=261),"先生","園児"))),""),"")</f>
        <v/>
      </c>
      <c r="CH19" s="213"/>
      <c r="CI19" s="22"/>
      <c r="CJ19" s="135" t="str">
        <f t="array" aca="1" ref="CJ19" ca="1">IF(AND(CG17&lt;&gt;"",ISERROR(FIND("社食",CG17)),ISERROR(FIND("先生",CG17))),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IF(AND(INDIRECT("'盛付札（関数）'!AE"&amp;CE17)&gt;=247,INDIRECT("'盛付札（関数）'!AE"&amp;CE17)&lt;=261),"","先生"))),"")</f>
        <v/>
      </c>
      <c r="CK19" s="37"/>
      <c r="CL19" s="22"/>
      <c r="CM19" s="30"/>
      <c r="CN19" s="31"/>
      <c r="CO19" s="212" t="str">
        <f t="array" aca="1" ref="CO19" ca="1">IF(AND(CO17&lt;&gt;"",ISERROR(FIND("社食",CO17)),ISERROR(FIND("先生",CO17)),ISERROR(FIND("学童",CO18))),
IF(CO20&lt;&gt;"",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IF(AND(INDIRECT("'盛付札（関数）'!AE"&amp;CM17)&gt;=247,INDIRECT("'盛付札（関数）'!AE"&amp;CM17)&lt;=261),"先生","園児"))),""),"")</f>
        <v/>
      </c>
      <c r="CP19" s="213"/>
      <c r="CQ19" s="22"/>
      <c r="CR19" s="135" t="str">
        <f t="array" aca="1" ref="CR19" ca="1">IF(AND(CO17&lt;&gt;"",ISERROR(FIND("社食",CO17)),ISERROR(FIND("先生",CO17))),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IF(AND(INDIRECT("'盛付札（関数）'!AE"&amp;CM17)&gt;=247,INDIRECT("'盛付札（関数）'!AE"&amp;CM17)&lt;=261),"","先生"))),"")</f>
        <v/>
      </c>
      <c r="CS19" s="37"/>
      <c r="CT19" s="33"/>
      <c r="CU19" s="31"/>
      <c r="CV19" s="212" t="str">
        <f t="array" aca="1" ref="CV19" ca="1">IF(AND(CV17&lt;&gt;"",ISERROR(FIND("社食",CV17)),ISERROR(FIND("先生",CV17)),ISERROR(FIND("学童",CV18))),
IF(CV20&lt;&gt;"",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IF(AND(INDIRECT("'盛付札（関数）'!AE"&amp;CT17)&gt;=247,INDIRECT("'盛付札（関数）'!AE"&amp;CT17)&lt;=261),"先生","園児"))),""),"")</f>
        <v/>
      </c>
      <c r="CW19" s="213"/>
      <c r="CX19" s="22"/>
      <c r="CY19" s="135" t="str">
        <f t="array" aca="1" ref="CY19" ca="1">IF(AND(CV17&lt;&gt;"",ISERROR(FIND("社食",CV17)),ISERROR(FIND("先生",CV17))),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IF(AND(INDIRECT("'盛付札（関数）'!AE"&amp;CT17)&gt;=247,INDIRECT("'盛付札（関数）'!AE"&amp;CT17)&lt;=261),"","先生"))),"")</f>
        <v/>
      </c>
      <c r="CZ19" s="37"/>
      <c r="DA19" s="22"/>
      <c r="DB19" s="30"/>
      <c r="DC19" s="31"/>
      <c r="DD19" s="212" t="str">
        <f t="array" aca="1" ref="DD19" ca="1">IF(AND(DD17&lt;&gt;"",ISERROR(FIND("社食",DD17)),ISERROR(FIND("先生",DD17)),ISERROR(FIND("学童",DD18))),
IF(DD20&lt;&gt;"",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IF(AND(INDIRECT("'盛付札（関数）'!AE"&amp;DB17)&gt;=247,INDIRECT("'盛付札（関数）'!AE"&amp;DB17)&lt;=261),"先生","園児"))),""),"")</f>
        <v/>
      </c>
      <c r="DE19" s="213"/>
      <c r="DF19" s="22"/>
      <c r="DG19" s="135" t="str">
        <f t="array" aca="1" ref="DG19" ca="1">IF(AND(DD17&lt;&gt;"",ISERROR(FIND("社食",DD17)),ISERROR(FIND("先生",DD17))),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IF(AND(INDIRECT("'盛付札（関数）'!AE"&amp;DB17)&gt;=247,INDIRECT("'盛付札（関数）'!AE"&amp;DB17)&lt;=261),"","先生"))),"")</f>
        <v/>
      </c>
      <c r="DH19" s="37"/>
      <c r="DI19" s="33"/>
      <c r="DJ19" s="31"/>
      <c r="DK19" s="212" t="str">
        <f t="array" aca="1" ref="DK19" ca="1">IF(AND(DK17&lt;&gt;"",ISERROR(FIND("社食",DK17)),ISERROR(FIND("先生",DK17)),ISERROR(FIND("学童",DK18))),
IF(DK20&lt;&gt;"",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IF(AND(INDIRECT("'盛付札（関数）'!AE"&amp;DI17)&gt;=247,INDIRECT("'盛付札（関数）'!AE"&amp;DI17)&lt;=261),"先生","園児"))),""),"")</f>
        <v/>
      </c>
      <c r="DL19" s="213"/>
      <c r="DM19" s="22"/>
      <c r="DN19" s="135" t="str">
        <f t="array" aca="1" ref="DN19" ca="1">IF(AND(DK17&lt;&gt;"",ISERROR(FIND("社食",DK17)),ISERROR(FIND("先生",DK17))),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IF(AND(INDIRECT("'盛付札（関数）'!AE"&amp;DI17)&gt;=247,INDIRECT("'盛付札（関数）'!AE"&amp;DI17)&lt;=261),"","先生"))),"")</f>
        <v/>
      </c>
      <c r="DO19" s="37"/>
      <c r="DP19" s="22"/>
      <c r="DQ19" s="30"/>
      <c r="DR19" s="31"/>
      <c r="DS19" s="212" t="str">
        <f t="array" aca="1" ref="DS19" ca="1">IF(AND(DS17&lt;&gt;"",ISERROR(FIND("社食",DS17)),ISERROR(FIND("先生",DS17)),ISERROR(FIND("学童",DS18))),
IF(DS20&lt;&gt;"",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IF(AND(INDIRECT("'盛付札（関数）'!AE"&amp;DQ17)&gt;=247,INDIRECT("'盛付札（関数）'!AE"&amp;DQ17)&lt;=261),"先生","園児"))),""),"")</f>
        <v/>
      </c>
      <c r="DT19" s="213"/>
      <c r="DU19" s="22"/>
      <c r="DV19" s="135" t="str">
        <f t="array" aca="1" ref="DV19" ca="1">IF(AND(DS17&lt;&gt;"",ISERROR(FIND("社食",DS17)),ISERROR(FIND("先生",DS17))),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IF(AND(INDIRECT("'盛付札（関数）'!AE"&amp;DQ17)&gt;=247,INDIRECT("'盛付札（関数）'!AE"&amp;DQ17)&lt;=261),"","先生"))),"")</f>
        <v/>
      </c>
      <c r="DW19" s="37"/>
      <c r="DX19" s="33"/>
      <c r="DY19" s="31"/>
      <c r="DZ19" s="212" t="str">
        <f t="array" aca="1" ref="DZ19" ca="1">IF(AND(DZ17&lt;&gt;"",ISERROR(FIND("社食",DZ17)),ISERROR(FIND("先生",DZ17)),ISERROR(FIND("学童",DZ18))),
IF(DZ20&lt;&gt;"",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IF(AND(INDIRECT("'盛付札（関数）'!AE"&amp;DX17)&gt;=247,INDIRECT("'盛付札（関数）'!AE"&amp;DX17)&lt;=261),"先生","園児"))),""),"")</f>
        <v/>
      </c>
      <c r="EA19" s="213"/>
      <c r="EB19" s="22"/>
      <c r="EC19" s="135" t="str">
        <f t="array" aca="1" ref="EC19" ca="1">IF(AND(DZ17&lt;&gt;"",ISERROR(FIND("社食",DZ17)),ISERROR(FIND("先生",DZ17))),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IF(AND(INDIRECT("'盛付札（関数）'!AE"&amp;DX17)&gt;=247,INDIRECT("'盛付札（関数）'!AE"&amp;DX17)&lt;=261),"","先生"))),"")</f>
        <v/>
      </c>
      <c r="ED19" s="37"/>
      <c r="EE19" s="22"/>
      <c r="EF19" s="30"/>
      <c r="EG19" s="31"/>
      <c r="EH19" s="212" t="str">
        <f t="array" aca="1" ref="EH19" ca="1">IF(AND(EH17&lt;&gt;"",ISERROR(FIND("社食",EH17)),ISERROR(FIND("先生",EH17)),ISERROR(FIND("学童",EH18))),
IF(EH20&lt;&gt;"",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IF(AND(INDIRECT("'盛付札（関数）'!AE"&amp;EF17)&gt;=247,INDIRECT("'盛付札（関数）'!AE"&amp;EF17)&lt;=261),"先生","園児"))),""),"")</f>
        <v/>
      </c>
      <c r="EI19" s="213"/>
      <c r="EJ19" s="22"/>
      <c r="EK19" s="135" t="str">
        <f t="array" aca="1" ref="EK19" ca="1">IF(AND(EH17&lt;&gt;"",ISERROR(FIND("社食",EH17)),ISERROR(FIND("先生",EH17))),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IF(AND(INDIRECT("'盛付札（関数）'!AE"&amp;EF17)&gt;=247,INDIRECT("'盛付札（関数）'!AE"&amp;EF17)&lt;=261),"","先生"))),"")</f>
        <v/>
      </c>
      <c r="EL19" s="37"/>
      <c r="EM19" s="33"/>
      <c r="EN19" s="31"/>
      <c r="EO19" s="212" t="str">
        <f t="array" aca="1" ref="EO19" ca="1">IF(AND(EO17&lt;&gt;"",ISERROR(FIND("社食",EO17)),ISERROR(FIND("先生",EO17)),ISERROR(FIND("学童",EO18))),
IF(EO20&lt;&gt;"",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IF(AND(INDIRECT("'盛付札（関数）'!AE"&amp;EM17)&gt;=247,INDIRECT("'盛付札（関数）'!AE"&amp;EM17)&lt;=261),"先生","園児"))),""),"")</f>
        <v/>
      </c>
      <c r="EP19" s="213"/>
      <c r="EQ19" s="22"/>
      <c r="ER19" s="135" t="str">
        <f t="array" aca="1" ref="ER19" ca="1">IF(AND(EO17&lt;&gt;"",ISERROR(FIND("社食",EO17)),ISERROR(FIND("先生",EO17))),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IF(AND(INDIRECT("'盛付札（関数）'!AE"&amp;EM17)&gt;=247,INDIRECT("'盛付札（関数）'!AE"&amp;EM17)&lt;=261),"","先生"))),"")</f>
        <v/>
      </c>
      <c r="ES19" s="37"/>
      <c r="ET19" s="22"/>
    </row>
    <row r="20" spans="1:150" ht="15.6" customHeight="1">
      <c r="B20" s="25"/>
      <c r="C20" s="210" t="str">
        <f t="array" aca="1" ref="C20" ca="1">IF(C17&lt;&gt;"",INDIRECT("'盛付札（関数）'!AJ"&amp;A17),"")</f>
        <v/>
      </c>
      <c r="D20" s="211"/>
      <c r="E20" s="44"/>
      <c r="F20" s="206" t="str">
        <f t="array" aca="1" ref="F20" ca="1">IF(C17&lt;&gt;"",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INDIRECT("'盛付札（関数）'!AK"&amp;A17))),"")</f>
        <v/>
      </c>
      <c r="G20" s="207"/>
      <c r="H20" s="26"/>
      <c r="I20" s="25"/>
      <c r="J20" s="210" t="str">
        <f t="array" aca="1" ref="J20" ca="1">IF(J17&lt;&gt;"",INDIRECT("'盛付札（関数）'!AJ"&amp;H17),"")</f>
        <v/>
      </c>
      <c r="K20" s="211"/>
      <c r="L20" s="44"/>
      <c r="M20" s="206" t="str">
        <f t="array" aca="1" ref="M20" ca="1">IF(J17&lt;&gt;"",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INDIRECT("'盛付札（関数）'!AK"&amp;H17))),"")</f>
        <v/>
      </c>
      <c r="N20" s="207"/>
      <c r="Q20" s="25"/>
      <c r="R20" s="210" t="str">
        <f t="array" aca="1" ref="R20" ca="1">IF(R17&lt;&gt;"",INDIRECT("'盛付札（関数）'!AJ"&amp;P17),"")</f>
        <v/>
      </c>
      <c r="S20" s="211"/>
      <c r="T20" s="44"/>
      <c r="U20" s="206" t="str">
        <f t="array" aca="1" ref="U20" ca="1">IF(R17&lt;&gt;"",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INDIRECT("'盛付札（関数）'!AK"&amp;P17))),"")</f>
        <v/>
      </c>
      <c r="V20" s="207"/>
      <c r="W20" s="26"/>
      <c r="X20" s="25"/>
      <c r="Y20" s="210" t="str">
        <f t="array" aca="1" ref="Y20" ca="1">IF(Y17&lt;&gt;"",INDIRECT("'盛付札（関数）'!AJ"&amp;W17),"")</f>
        <v/>
      </c>
      <c r="Z20" s="211"/>
      <c r="AA20" s="44"/>
      <c r="AB20" s="206" t="str">
        <f t="array" aca="1" ref="AB20" ca="1">IF(Y17&lt;&gt;"",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INDIRECT("'盛付札（関数）'!AK"&amp;W17))),"")</f>
        <v/>
      </c>
      <c r="AC20" s="207"/>
      <c r="AF20" s="25"/>
      <c r="AG20" s="210" t="str">
        <f t="array" aca="1" ref="AG20" ca="1">IF(AG17&lt;&gt;"",INDIRECT("'盛付札（関数）'!AJ"&amp;AE17),"")</f>
        <v/>
      </c>
      <c r="AH20" s="211"/>
      <c r="AI20" s="44"/>
      <c r="AJ20" s="206" t="str">
        <f t="array" aca="1" ref="AJ20" ca="1">IF(AG17&lt;&gt;"",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INDIRECT("'盛付札（関数）'!AK"&amp;AE17))),"")</f>
        <v/>
      </c>
      <c r="AK20" s="207"/>
      <c r="AL20" s="26"/>
      <c r="AM20" s="25"/>
      <c r="AN20" s="210" t="str">
        <f t="array" aca="1" ref="AN20" ca="1">IF(AN17&lt;&gt;"",INDIRECT("'盛付札（関数）'!AJ"&amp;AL17),"")</f>
        <v/>
      </c>
      <c r="AO20" s="211"/>
      <c r="AP20" s="44"/>
      <c r="AQ20" s="206" t="str">
        <f t="array" aca="1" ref="AQ20" ca="1">IF(AN17&lt;&gt;"",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INDIRECT("'盛付札（関数）'!AK"&amp;AL17))),"")</f>
        <v/>
      </c>
      <c r="AR20" s="207"/>
      <c r="AU20" s="25"/>
      <c r="AV20" s="210" t="str">
        <f t="array" aca="1" ref="AV20" ca="1">IF(AV17&lt;&gt;"",INDIRECT("'盛付札（関数）'!AJ"&amp;AT17),"")</f>
        <v/>
      </c>
      <c r="AW20" s="211"/>
      <c r="AX20" s="44"/>
      <c r="AY20" s="206" t="str">
        <f t="array" aca="1" ref="AY20" ca="1">IF(AV17&lt;&gt;"",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INDIRECT("'盛付札（関数）'!AK"&amp;AT17))),"")</f>
        <v/>
      </c>
      <c r="AZ20" s="207"/>
      <c r="BA20" s="26"/>
      <c r="BB20" s="25"/>
      <c r="BC20" s="210" t="str">
        <f t="array" aca="1" ref="BC20" ca="1">IF(BC17&lt;&gt;"",INDIRECT("'盛付札（関数）'!AJ"&amp;BA17),"")</f>
        <v/>
      </c>
      <c r="BD20" s="211"/>
      <c r="BE20" s="44"/>
      <c r="BF20" s="206" t="str">
        <f t="array" aca="1" ref="BF20" ca="1">IF(BC17&lt;&gt;"",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INDIRECT("'盛付札（関数）'!AK"&amp;BA17))),"")</f>
        <v/>
      </c>
      <c r="BG20" s="207"/>
      <c r="BJ20" s="25"/>
      <c r="BK20" s="210" t="str">
        <f t="array" aca="1" ref="BK20" ca="1">IF(BK17&lt;&gt;"",INDIRECT("'盛付札（関数）'!AJ"&amp;BI17),"")</f>
        <v/>
      </c>
      <c r="BL20" s="211"/>
      <c r="BM20" s="44"/>
      <c r="BN20" s="206" t="str">
        <f t="array" aca="1" ref="BN20" ca="1">IF(BK17&lt;&gt;"",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INDIRECT("'盛付札（関数）'!AK"&amp;BI17))),"")</f>
        <v/>
      </c>
      <c r="BO20" s="207"/>
      <c r="BP20" s="26"/>
      <c r="BQ20" s="25"/>
      <c r="BR20" s="210" t="str">
        <f t="array" aca="1" ref="BR20" ca="1">IF(BR17&lt;&gt;"",INDIRECT("'盛付札（関数）'!AJ"&amp;BP17),"")</f>
        <v/>
      </c>
      <c r="BS20" s="211"/>
      <c r="BT20" s="44"/>
      <c r="BU20" s="206" t="str">
        <f t="array" aca="1" ref="BU20" ca="1">IF(BR17&lt;&gt;"",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INDIRECT("'盛付札（関数）'!AK"&amp;BP17))),"")</f>
        <v/>
      </c>
      <c r="BV20" s="207"/>
      <c r="BY20" s="25"/>
      <c r="BZ20" s="210" t="str">
        <f t="array" aca="1" ref="BZ20" ca="1">IF(BZ17&lt;&gt;"",INDIRECT("'盛付札（関数）'!AJ"&amp;BX17),"")</f>
        <v/>
      </c>
      <c r="CA20" s="211"/>
      <c r="CB20" s="44"/>
      <c r="CC20" s="206" t="str">
        <f t="array" aca="1" ref="CC20" ca="1">IF(BZ17&lt;&gt;"",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INDIRECT("'盛付札（関数）'!AK"&amp;BX17))),"")</f>
        <v/>
      </c>
      <c r="CD20" s="207"/>
      <c r="CE20" s="26"/>
      <c r="CF20" s="25"/>
      <c r="CG20" s="210" t="str">
        <f t="array" aca="1" ref="CG20" ca="1">IF(CG17&lt;&gt;"",INDIRECT("'盛付札（関数）'!AJ"&amp;CE17),"")</f>
        <v/>
      </c>
      <c r="CH20" s="211"/>
      <c r="CI20" s="44"/>
      <c r="CJ20" s="206" t="str">
        <f t="array" aca="1" ref="CJ20" ca="1">IF(CG17&lt;&gt;"",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INDIRECT("'盛付札（関数）'!AK"&amp;CE17))),"")</f>
        <v/>
      </c>
      <c r="CK20" s="207"/>
      <c r="CN20" s="25"/>
      <c r="CO20" s="210" t="str">
        <f t="array" aca="1" ref="CO20" ca="1">IF(CO17&lt;&gt;"",INDIRECT("'盛付札（関数）'!AJ"&amp;CM17),"")</f>
        <v/>
      </c>
      <c r="CP20" s="211"/>
      <c r="CQ20" s="44"/>
      <c r="CR20" s="206" t="str">
        <f t="array" aca="1" ref="CR20" ca="1">IF(CO17&lt;&gt;"",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INDIRECT("'盛付札（関数）'!AK"&amp;CM17))),"")</f>
        <v/>
      </c>
      <c r="CS20" s="207"/>
      <c r="CT20" s="26"/>
      <c r="CU20" s="25"/>
      <c r="CV20" s="210" t="str">
        <f t="array" aca="1" ref="CV20" ca="1">IF(CV17&lt;&gt;"",INDIRECT("'盛付札（関数）'!AJ"&amp;CT17),"")</f>
        <v/>
      </c>
      <c r="CW20" s="211"/>
      <c r="CX20" s="44"/>
      <c r="CY20" s="206" t="str">
        <f t="array" aca="1" ref="CY20" ca="1">IF(CV17&lt;&gt;"",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INDIRECT("'盛付札（関数）'!AK"&amp;CT17))),"")</f>
        <v/>
      </c>
      <c r="CZ20" s="207"/>
      <c r="DC20" s="25"/>
      <c r="DD20" s="210" t="str">
        <f t="array" aca="1" ref="DD20" ca="1">IF(DD17&lt;&gt;"",INDIRECT("'盛付札（関数）'!AJ"&amp;DB17),"")</f>
        <v/>
      </c>
      <c r="DE20" s="211"/>
      <c r="DF20" s="44"/>
      <c r="DG20" s="206" t="str">
        <f t="array" aca="1" ref="DG20" ca="1">IF(DD17&lt;&gt;"",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INDIRECT("'盛付札（関数）'!AK"&amp;DB17))),"")</f>
        <v/>
      </c>
      <c r="DH20" s="207"/>
      <c r="DI20" s="26"/>
      <c r="DJ20" s="25"/>
      <c r="DK20" s="210" t="str">
        <f t="array" aca="1" ref="DK20" ca="1">IF(DK17&lt;&gt;"",INDIRECT("'盛付札（関数）'!AJ"&amp;DI17),"")</f>
        <v/>
      </c>
      <c r="DL20" s="211"/>
      <c r="DM20" s="44"/>
      <c r="DN20" s="206" t="str">
        <f t="array" aca="1" ref="DN20" ca="1">IF(DK17&lt;&gt;"",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INDIRECT("'盛付札（関数）'!AK"&amp;DI17))),"")</f>
        <v/>
      </c>
      <c r="DO20" s="207"/>
      <c r="DR20" s="25"/>
      <c r="DS20" s="210" t="str">
        <f t="array" aca="1" ref="DS20" ca="1">IF(DS17&lt;&gt;"",INDIRECT("'盛付札（関数）'!AJ"&amp;DQ17),"")</f>
        <v/>
      </c>
      <c r="DT20" s="211"/>
      <c r="DU20" s="44"/>
      <c r="DV20" s="206" t="str">
        <f t="array" aca="1" ref="DV20" ca="1">IF(DS17&lt;&gt;"",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INDIRECT("'盛付札（関数）'!AK"&amp;DQ17))),"")</f>
        <v/>
      </c>
      <c r="DW20" s="207"/>
      <c r="DX20" s="26"/>
      <c r="DY20" s="25"/>
      <c r="DZ20" s="210" t="str">
        <f t="array" aca="1" ref="DZ20" ca="1">IF(DZ17&lt;&gt;"",INDIRECT("'盛付札（関数）'!AJ"&amp;DX17),"")</f>
        <v/>
      </c>
      <c r="EA20" s="211"/>
      <c r="EB20" s="44"/>
      <c r="EC20" s="206" t="str">
        <f t="array" aca="1" ref="EC20" ca="1">IF(DZ17&lt;&gt;"",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INDIRECT("'盛付札（関数）'!AK"&amp;DX17))),"")</f>
        <v/>
      </c>
      <c r="ED20" s="207"/>
      <c r="EG20" s="25"/>
      <c r="EH20" s="210" t="str">
        <f t="array" aca="1" ref="EH20" ca="1">IF(EH17&lt;&gt;"",INDIRECT("'盛付札（関数）'!AJ"&amp;EF17),"")</f>
        <v/>
      </c>
      <c r="EI20" s="211"/>
      <c r="EJ20" s="44"/>
      <c r="EK20" s="206" t="str">
        <f t="array" aca="1" ref="EK20" ca="1">IF(EH17&lt;&gt;"",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INDIRECT("'盛付札（関数）'!AK"&amp;EF17))),"")</f>
        <v/>
      </c>
      <c r="EL20" s="207"/>
      <c r="EM20" s="26"/>
      <c r="EN20" s="25"/>
      <c r="EO20" s="210" t="str">
        <f t="array" aca="1" ref="EO20" ca="1">IF(EO17&lt;&gt;"",INDIRECT("'盛付札（関数）'!AJ"&amp;EM17),"")</f>
        <v/>
      </c>
      <c r="EP20" s="211"/>
      <c r="EQ20" s="44"/>
      <c r="ER20" s="206" t="str">
        <f t="array" aca="1" ref="ER20" ca="1">IF(EO17&lt;&gt;"",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INDIRECT("'盛付札（関数）'!AK"&amp;EM17))),"")</f>
        <v/>
      </c>
      <c r="ES20" s="207"/>
    </row>
    <row r="21" spans="1:150" ht="15.6" customHeight="1">
      <c r="B21" s="27"/>
      <c r="C21" s="208"/>
      <c r="D21" s="208"/>
      <c r="E21" s="179"/>
      <c r="F21" s="208"/>
      <c r="G21" s="209"/>
      <c r="H21" s="26"/>
      <c r="I21" s="27"/>
      <c r="J21" s="208"/>
      <c r="K21" s="208"/>
      <c r="L21" s="179"/>
      <c r="M21" s="208"/>
      <c r="N21" s="209"/>
      <c r="Q21" s="27"/>
      <c r="R21" s="208"/>
      <c r="S21" s="208"/>
      <c r="T21" s="179"/>
      <c r="U21" s="208"/>
      <c r="V21" s="209"/>
      <c r="W21" s="26"/>
      <c r="X21" s="27"/>
      <c r="Y21" s="208"/>
      <c r="Z21" s="208"/>
      <c r="AA21" s="179"/>
      <c r="AB21" s="208"/>
      <c r="AC21" s="209"/>
      <c r="AF21" s="27"/>
      <c r="AG21" s="208"/>
      <c r="AH21" s="208"/>
      <c r="AI21" s="179"/>
      <c r="AJ21" s="208"/>
      <c r="AK21" s="209"/>
      <c r="AL21" s="26"/>
      <c r="AM21" s="27"/>
      <c r="AN21" s="208"/>
      <c r="AO21" s="208"/>
      <c r="AP21" s="179"/>
      <c r="AQ21" s="208"/>
      <c r="AR21" s="209"/>
      <c r="AU21" s="27"/>
      <c r="AV21" s="208"/>
      <c r="AW21" s="208"/>
      <c r="AX21" s="179"/>
      <c r="AY21" s="208"/>
      <c r="AZ21" s="209"/>
      <c r="BA21" s="26"/>
      <c r="BB21" s="27"/>
      <c r="BC21" s="208"/>
      <c r="BD21" s="208"/>
      <c r="BE21" s="179"/>
      <c r="BF21" s="208"/>
      <c r="BG21" s="209"/>
      <c r="BJ21" s="27"/>
      <c r="BK21" s="208"/>
      <c r="BL21" s="208"/>
      <c r="BM21" s="179"/>
      <c r="BN21" s="208"/>
      <c r="BO21" s="209"/>
      <c r="BP21" s="26"/>
      <c r="BQ21" s="27"/>
      <c r="BR21" s="208"/>
      <c r="BS21" s="208"/>
      <c r="BT21" s="179"/>
      <c r="BU21" s="208"/>
      <c r="BV21" s="209"/>
      <c r="BY21" s="27"/>
      <c r="BZ21" s="208"/>
      <c r="CA21" s="208"/>
      <c r="CB21" s="179"/>
      <c r="CC21" s="208"/>
      <c r="CD21" s="209"/>
      <c r="CE21" s="26"/>
      <c r="CF21" s="27"/>
      <c r="CG21" s="208"/>
      <c r="CH21" s="208"/>
      <c r="CI21" s="179"/>
      <c r="CJ21" s="208"/>
      <c r="CK21" s="209"/>
      <c r="CN21" s="27"/>
      <c r="CO21" s="208"/>
      <c r="CP21" s="208"/>
      <c r="CQ21" s="179"/>
      <c r="CR21" s="208"/>
      <c r="CS21" s="209"/>
      <c r="CT21" s="26"/>
      <c r="CU21" s="27"/>
      <c r="CV21" s="208"/>
      <c r="CW21" s="208"/>
      <c r="CX21" s="179"/>
      <c r="CY21" s="208"/>
      <c r="CZ21" s="209"/>
      <c r="DC21" s="27"/>
      <c r="DD21" s="208"/>
      <c r="DE21" s="208"/>
      <c r="DF21" s="179"/>
      <c r="DG21" s="208"/>
      <c r="DH21" s="209"/>
      <c r="DI21" s="26"/>
      <c r="DJ21" s="27"/>
      <c r="DK21" s="208"/>
      <c r="DL21" s="208"/>
      <c r="DM21" s="179"/>
      <c r="DN21" s="208"/>
      <c r="DO21" s="209"/>
      <c r="DR21" s="27"/>
      <c r="DS21" s="208"/>
      <c r="DT21" s="208"/>
      <c r="DU21" s="179"/>
      <c r="DV21" s="208"/>
      <c r="DW21" s="209"/>
      <c r="DX21" s="26"/>
      <c r="DY21" s="27"/>
      <c r="DZ21" s="208"/>
      <c r="EA21" s="208"/>
      <c r="EB21" s="179"/>
      <c r="EC21" s="208"/>
      <c r="ED21" s="209"/>
      <c r="EG21" s="27"/>
      <c r="EH21" s="208"/>
      <c r="EI21" s="208"/>
      <c r="EJ21" s="179"/>
      <c r="EK21" s="208"/>
      <c r="EL21" s="209"/>
      <c r="EM21" s="26"/>
      <c r="EN21" s="27"/>
      <c r="EO21" s="208"/>
      <c r="EP21" s="208"/>
      <c r="EQ21" s="179"/>
      <c r="ER21" s="208"/>
      <c r="ES21" s="209"/>
    </row>
    <row r="22" spans="1:150" s="181" customFormat="1">
      <c r="A22" s="30"/>
      <c r="B22" s="34" t="str">
        <f t="array" aca="1" ref="B22" ca="1">IF(AND(C17&lt;&gt;"",C17&lt;&gt;"社食"),
IF(OR(INDIRECT("'盛付札（関数）'!AE"&amp;A17)=211,INDIRECT("'盛付札（関数）'!AE"&amp;A17)=212,INDIRECT("'盛付札（関数）'!AE"&amp;A17)=213),"",
"パン箱"),"")</f>
        <v/>
      </c>
      <c r="C22" s="32" t="str">
        <f t="array" aca="1" ref="C22" ca="1">IF(AND(C17&lt;&gt;"",C17&lt;&gt;"社食"),
IF(OR(INDIRECT("'盛付札（関数）'!AE"&amp;A17)=211,INDIRECT("'盛付札（関数）'!AE"&amp;A17)=212,INDIRECT("'盛付札（関数）'!AE"&amp;A17)=213),"",
INDIRECT("'盛付札（関数）'!AL"&amp;A17)),"")</f>
        <v/>
      </c>
      <c r="D22" s="34" t="str">
        <f t="array" aca="1" ref="D22" ca="1">IF(AND(C17&lt;&gt;"",C17&lt;&gt;"社食"),
IF(OR(INDIRECT("'盛付札（関数）'!AE"&amp;A17)=211,INDIRECT("'盛付札（関数）'!AE"&amp;A17)=212,INDIRECT("'盛付札（関数）'!AE"&amp;A17)=213),"",
"端数"),"")</f>
        <v/>
      </c>
      <c r="E22" s="32"/>
      <c r="F22" s="34" t="str">
        <f t="array" aca="1" ref="F22" ca="1">IF(AND(C17&lt;&gt;"",C17&lt;&gt;"社食"),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"アレルギー")),"")</f>
        <v/>
      </c>
      <c r="G22" s="37"/>
      <c r="H22" s="22"/>
      <c r="I22" s="34" t="str">
        <f t="array" aca="1" ref="I22" ca="1">IF(AND(J17&lt;&gt;"",J17&lt;&gt;"社食"),
IF(OR(INDIRECT("'盛付札（関数）'!AE"&amp;H17)=211,INDIRECT("'盛付札（関数）'!AE"&amp;H17)=212,INDIRECT("'盛付札（関数）'!AE"&amp;H17)=213),"",
"パン箱"),"")</f>
        <v/>
      </c>
      <c r="J22" s="32" t="str">
        <f t="array" aca="1" ref="J22" ca="1">IF(AND(J17&lt;&gt;"",J17&lt;&gt;"社食"),
IF(OR(INDIRECT("'盛付札（関数）'!AE"&amp;H17)=211,INDIRECT("'盛付札（関数）'!AE"&amp;H17)=212,INDIRECT("'盛付札（関数）'!AE"&amp;H17)=213),"",
INDIRECT("'盛付札（関数）'!AL"&amp;H17)),"")</f>
        <v/>
      </c>
      <c r="K22" s="34" t="str">
        <f t="array" aca="1" ref="K22" ca="1">IF(AND(J17&lt;&gt;"",J17&lt;&gt;"社食"),
IF(OR(INDIRECT("'盛付札（関数）'!AE"&amp;H17)=211,INDIRECT("'盛付札（関数）'!AE"&amp;H17)=212,INDIRECT("'盛付札（関数）'!AE"&amp;H17)=213),"",
"端数"),"")</f>
        <v/>
      </c>
      <c r="L22" s="32"/>
      <c r="M22" s="34" t="str">
        <f t="array" aca="1" ref="M22" ca="1">IF(AND(J17&lt;&gt;"",J17&lt;&gt;"社食"),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"アレルギー")),"")</f>
        <v/>
      </c>
      <c r="N22" s="37"/>
      <c r="O22" s="22"/>
      <c r="P22" s="30"/>
      <c r="Q22" s="34" t="str">
        <f t="array" aca="1" ref="Q22" ca="1">IF(AND(R17&lt;&gt;"",R17&lt;&gt;"社食"),
IF(OR(INDIRECT("'盛付札（関数）'!AE"&amp;P17)=211,INDIRECT("'盛付札（関数）'!AE"&amp;P17)=212,INDIRECT("'盛付札（関数）'!AE"&amp;P17)=213),"",
"パン箱"),"")</f>
        <v/>
      </c>
      <c r="R22" s="32" t="str">
        <f t="array" aca="1" ref="R22" ca="1">IF(AND(R17&lt;&gt;"",R17&lt;&gt;"社食"),
IF(OR(INDIRECT("'盛付札（関数）'!AE"&amp;P17)=211,INDIRECT("'盛付札（関数）'!AE"&amp;P17)=212,INDIRECT("'盛付札（関数）'!AE"&amp;P17)=213),"",
INDIRECT("'盛付札（関数）'!AL"&amp;P17)),"")</f>
        <v/>
      </c>
      <c r="S22" s="34" t="str">
        <f t="array" aca="1" ref="S22" ca="1">IF(AND(R17&lt;&gt;"",R17&lt;&gt;"社食"),
IF(OR(INDIRECT("'盛付札（関数）'!AE"&amp;P17)=211,INDIRECT("'盛付札（関数）'!AE"&amp;P17)=212,INDIRECT("'盛付札（関数）'!AE"&amp;P17)=213),"",
"端数"),"")</f>
        <v/>
      </c>
      <c r="T22" s="32"/>
      <c r="U22" s="34" t="str">
        <f t="array" aca="1" ref="U22" ca="1">IF(AND(R17&lt;&gt;"",R17&lt;&gt;"社食"),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"アレルギー")),"")</f>
        <v/>
      </c>
      <c r="V22" s="37"/>
      <c r="W22" s="22"/>
      <c r="X22" s="34" t="str">
        <f t="array" aca="1" ref="X22" ca="1">IF(AND(Y17&lt;&gt;"",Y17&lt;&gt;"社食"),
IF(OR(INDIRECT("'盛付札（関数）'!AE"&amp;W17)=211,INDIRECT("'盛付札（関数）'!AE"&amp;W17)=212,INDIRECT("'盛付札（関数）'!AE"&amp;W17)=213),"",
"パン箱"),"")</f>
        <v/>
      </c>
      <c r="Y22" s="32" t="str">
        <f t="array" aca="1" ref="Y22" ca="1">IF(AND(Y17&lt;&gt;"",Y17&lt;&gt;"社食"),
IF(OR(INDIRECT("'盛付札（関数）'!AE"&amp;W17)=211,INDIRECT("'盛付札（関数）'!AE"&amp;W17)=212,INDIRECT("'盛付札（関数）'!AE"&amp;W17)=213),"",
INDIRECT("'盛付札（関数）'!AL"&amp;W17)),"")</f>
        <v/>
      </c>
      <c r="Z22" s="34" t="str">
        <f t="array" aca="1" ref="Z22" ca="1">IF(AND(Y17&lt;&gt;"",Y17&lt;&gt;"社食"),
IF(OR(INDIRECT("'盛付札（関数）'!AE"&amp;W17)=211,INDIRECT("'盛付札（関数）'!AE"&amp;W17)=212,INDIRECT("'盛付札（関数）'!AE"&amp;W17)=213),"",
"端数"),"")</f>
        <v/>
      </c>
      <c r="AA22" s="32"/>
      <c r="AB22" s="34" t="str">
        <f t="array" aca="1" ref="AB22" ca="1">IF(AND(Y17&lt;&gt;"",Y17&lt;&gt;"社食"),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"アレルギー")),"")</f>
        <v/>
      </c>
      <c r="AC22" s="37"/>
      <c r="AD22" s="22"/>
      <c r="AE22" s="30"/>
      <c r="AF22" s="34" t="str">
        <f t="array" aca="1" ref="AF22" ca="1">IF(AND(AG17&lt;&gt;"",AG17&lt;&gt;"社食"),
IF(OR(INDIRECT("'盛付札（関数）'!AE"&amp;AE17)=211,INDIRECT("'盛付札（関数）'!AE"&amp;AE17)=212,INDIRECT("'盛付札（関数）'!AE"&amp;AE17)=213),"",
"パン箱"),"")</f>
        <v/>
      </c>
      <c r="AG22" s="32" t="str">
        <f t="array" aca="1" ref="AG22" ca="1">IF(AND(AG17&lt;&gt;"",AG17&lt;&gt;"社食"),
IF(OR(INDIRECT("'盛付札（関数）'!AE"&amp;AE17)=211,INDIRECT("'盛付札（関数）'!AE"&amp;AE17)=212,INDIRECT("'盛付札（関数）'!AE"&amp;AE17)=213),"",
INDIRECT("'盛付札（関数）'!AL"&amp;AE17)),"")</f>
        <v/>
      </c>
      <c r="AH22" s="34" t="str">
        <f t="array" aca="1" ref="AH22" ca="1">IF(AND(AG17&lt;&gt;"",AG17&lt;&gt;"社食"),
IF(OR(INDIRECT("'盛付札（関数）'!AE"&amp;AE17)=211,INDIRECT("'盛付札（関数）'!AE"&amp;AE17)=212,INDIRECT("'盛付札（関数）'!AE"&amp;AE17)=213),"",
"端数"),"")</f>
        <v/>
      </c>
      <c r="AI22" s="32"/>
      <c r="AJ22" s="34" t="str">
        <f t="array" aca="1" ref="AJ22" ca="1">IF(AND(AG17&lt;&gt;"",AG17&lt;&gt;"社食"),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"アレルギー")),"")</f>
        <v/>
      </c>
      <c r="AK22" s="37"/>
      <c r="AL22" s="22"/>
      <c r="AM22" s="34" t="str">
        <f t="array" aca="1" ref="AM22" ca="1">IF(AND(AN17&lt;&gt;"",AN17&lt;&gt;"社食"),
IF(OR(INDIRECT("'盛付札（関数）'!AE"&amp;AL17)=211,INDIRECT("'盛付札（関数）'!AE"&amp;AL17)=212,INDIRECT("'盛付札（関数）'!AE"&amp;AL17)=213),"",
"パン箱"),"")</f>
        <v/>
      </c>
      <c r="AN22" s="32" t="str">
        <f t="array" aca="1" ref="AN22" ca="1">IF(AND(AN17&lt;&gt;"",AN17&lt;&gt;"社食"),
IF(OR(INDIRECT("'盛付札（関数）'!AE"&amp;AL17)=211,INDIRECT("'盛付札（関数）'!AE"&amp;AL17)=212,INDIRECT("'盛付札（関数）'!AE"&amp;AL17)=213),"",
INDIRECT("'盛付札（関数）'!AL"&amp;AL17)),"")</f>
        <v/>
      </c>
      <c r="AO22" s="34" t="str">
        <f t="array" aca="1" ref="AO22" ca="1">IF(AND(AN17&lt;&gt;"",AN17&lt;&gt;"社食"),
IF(OR(INDIRECT("'盛付札（関数）'!AE"&amp;AL17)=211,INDIRECT("'盛付札（関数）'!AE"&amp;AL17)=212,INDIRECT("'盛付札（関数）'!AE"&amp;AL17)=213),"",
"端数"),"")</f>
        <v/>
      </c>
      <c r="AP22" s="32"/>
      <c r="AQ22" s="34" t="str">
        <f t="array" aca="1" ref="AQ22" ca="1">IF(AND(AN17&lt;&gt;"",AN17&lt;&gt;"社食"),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"アレルギー")),"")</f>
        <v/>
      </c>
      <c r="AR22" s="37"/>
      <c r="AS22" s="22"/>
      <c r="AT22" s="30"/>
      <c r="AU22" s="34" t="str">
        <f t="array" aca="1" ref="AU22" ca="1">IF(AND(AV17&lt;&gt;"",AV17&lt;&gt;"社食"),
IF(OR(INDIRECT("'盛付札（関数）'!AE"&amp;AT17)=211,INDIRECT("'盛付札（関数）'!AE"&amp;AT17)=212,INDIRECT("'盛付札（関数）'!AE"&amp;AT17)=213),"",
"パン箱"),"")</f>
        <v/>
      </c>
      <c r="AV22" s="32" t="str">
        <f t="array" aca="1" ref="AV22" ca="1">IF(AND(AV17&lt;&gt;"",AV17&lt;&gt;"社食"),
IF(OR(INDIRECT("'盛付札（関数）'!AE"&amp;AT17)=211,INDIRECT("'盛付札（関数）'!AE"&amp;AT17)=212,INDIRECT("'盛付札（関数）'!AE"&amp;AT17)=213),"",
INDIRECT("'盛付札（関数）'!AL"&amp;AT17)),"")</f>
        <v/>
      </c>
      <c r="AW22" s="34" t="str">
        <f t="array" aca="1" ref="AW22" ca="1">IF(AND(AV17&lt;&gt;"",AV17&lt;&gt;"社食"),
IF(OR(INDIRECT("'盛付札（関数）'!AE"&amp;AT17)=211,INDIRECT("'盛付札（関数）'!AE"&amp;AT17)=212,INDIRECT("'盛付札（関数）'!AE"&amp;AT17)=213),"",
"端数"),"")</f>
        <v/>
      </c>
      <c r="AX22" s="32"/>
      <c r="AY22" s="34" t="str">
        <f t="array" aca="1" ref="AY22" ca="1">IF(AND(AV17&lt;&gt;"",AV17&lt;&gt;"社食"),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"アレルギー")),"")</f>
        <v/>
      </c>
      <c r="AZ22" s="37"/>
      <c r="BA22" s="22"/>
      <c r="BB22" s="34" t="str">
        <f t="array" aca="1" ref="BB22" ca="1">IF(AND(BC17&lt;&gt;"",BC17&lt;&gt;"社食"),
IF(OR(INDIRECT("'盛付札（関数）'!AE"&amp;BA17)=211,INDIRECT("'盛付札（関数）'!AE"&amp;BA17)=212,INDIRECT("'盛付札（関数）'!AE"&amp;BA17)=213),"",
"パン箱"),"")</f>
        <v/>
      </c>
      <c r="BC22" s="32" t="str">
        <f t="array" aca="1" ref="BC22" ca="1">IF(AND(BC17&lt;&gt;"",BC17&lt;&gt;"社食"),
IF(OR(INDIRECT("'盛付札（関数）'!AE"&amp;BA17)=211,INDIRECT("'盛付札（関数）'!AE"&amp;BA17)=212,INDIRECT("'盛付札（関数）'!AE"&amp;BA17)=213),"",
INDIRECT("'盛付札（関数）'!AL"&amp;BA17)),"")</f>
        <v/>
      </c>
      <c r="BD22" s="34" t="str">
        <f t="array" aca="1" ref="BD22" ca="1">IF(AND(BC17&lt;&gt;"",BC17&lt;&gt;"社食"),
IF(OR(INDIRECT("'盛付札（関数）'!AE"&amp;BA17)=211,INDIRECT("'盛付札（関数）'!AE"&amp;BA17)=212,INDIRECT("'盛付札（関数）'!AE"&amp;BA17)=213),"",
"端数"),"")</f>
        <v/>
      </c>
      <c r="BE22" s="32"/>
      <c r="BF22" s="34" t="str">
        <f t="array" aca="1" ref="BF22" ca="1">IF(AND(BC17&lt;&gt;"",BC17&lt;&gt;"社食"),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"アレルギー")),"")</f>
        <v/>
      </c>
      <c r="BG22" s="37"/>
      <c r="BH22" s="22"/>
      <c r="BI22" s="30"/>
      <c r="BJ22" s="34" t="str">
        <f t="array" aca="1" ref="BJ22" ca="1">IF(AND(BK17&lt;&gt;"",BK17&lt;&gt;"社食"),
IF(OR(INDIRECT("'盛付札（関数）'!AE"&amp;BI17)=211,INDIRECT("'盛付札（関数）'!AE"&amp;BI17)=212,INDIRECT("'盛付札（関数）'!AE"&amp;BI17)=213),"",
"パン箱"),"")</f>
        <v/>
      </c>
      <c r="BK22" s="32" t="str">
        <f t="array" aca="1" ref="BK22" ca="1">IF(AND(BK17&lt;&gt;"",BK17&lt;&gt;"社食"),
IF(OR(INDIRECT("'盛付札（関数）'!AE"&amp;BI17)=211,INDIRECT("'盛付札（関数）'!AE"&amp;BI17)=212,INDIRECT("'盛付札（関数）'!AE"&amp;BI17)=213),"",
INDIRECT("'盛付札（関数）'!AL"&amp;BI17)),"")</f>
        <v/>
      </c>
      <c r="BL22" s="34" t="str">
        <f t="array" aca="1" ref="BL22" ca="1">IF(AND(BK17&lt;&gt;"",BK17&lt;&gt;"社食"),
IF(OR(INDIRECT("'盛付札（関数）'!AE"&amp;BI17)=211,INDIRECT("'盛付札（関数）'!AE"&amp;BI17)=212,INDIRECT("'盛付札（関数）'!AE"&amp;BI17)=213),"",
"端数"),"")</f>
        <v/>
      </c>
      <c r="BM22" s="32"/>
      <c r="BN22" s="34" t="str">
        <f t="array" aca="1" ref="BN22" ca="1">IF(AND(BK17&lt;&gt;"",BK17&lt;&gt;"社食"),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"アレルギー")),"")</f>
        <v/>
      </c>
      <c r="BO22" s="37"/>
      <c r="BP22" s="22"/>
      <c r="BQ22" s="34" t="str">
        <f t="array" aca="1" ref="BQ22" ca="1">IF(AND(BR17&lt;&gt;"",BR17&lt;&gt;"社食"),
IF(OR(INDIRECT("'盛付札（関数）'!AE"&amp;BP17)=211,INDIRECT("'盛付札（関数）'!AE"&amp;BP17)=212,INDIRECT("'盛付札（関数）'!AE"&amp;BP17)=213),"",
"パン箱"),"")</f>
        <v/>
      </c>
      <c r="BR22" s="32" t="str">
        <f t="array" aca="1" ref="BR22" ca="1">IF(AND(BR17&lt;&gt;"",BR17&lt;&gt;"社食"),
IF(OR(INDIRECT("'盛付札（関数）'!AE"&amp;BP17)=211,INDIRECT("'盛付札（関数）'!AE"&amp;BP17)=212,INDIRECT("'盛付札（関数）'!AE"&amp;BP17)=213),"",
INDIRECT("'盛付札（関数）'!AL"&amp;BP17)),"")</f>
        <v/>
      </c>
      <c r="BS22" s="34" t="str">
        <f t="array" aca="1" ref="BS22" ca="1">IF(AND(BR17&lt;&gt;"",BR17&lt;&gt;"社食"),
IF(OR(INDIRECT("'盛付札（関数）'!AE"&amp;BP17)=211,INDIRECT("'盛付札（関数）'!AE"&amp;BP17)=212,INDIRECT("'盛付札（関数）'!AE"&amp;BP17)=213),"",
"端数"),"")</f>
        <v/>
      </c>
      <c r="BT22" s="32"/>
      <c r="BU22" s="34" t="str">
        <f t="array" aca="1" ref="BU22" ca="1">IF(AND(BR17&lt;&gt;"",BR17&lt;&gt;"社食"),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"アレルギー")),"")</f>
        <v/>
      </c>
      <c r="BV22" s="37"/>
      <c r="BW22" s="22"/>
      <c r="BX22" s="30"/>
      <c r="BY22" s="34" t="str">
        <f t="array" aca="1" ref="BY22" ca="1">IF(AND(BZ17&lt;&gt;"",BZ17&lt;&gt;"社食"),
IF(OR(INDIRECT("'盛付札（関数）'!AE"&amp;BX17)=211,INDIRECT("'盛付札（関数）'!AE"&amp;BX17)=212,INDIRECT("'盛付札（関数）'!AE"&amp;BX17)=213),"",
"パン箱"),"")</f>
        <v/>
      </c>
      <c r="BZ22" s="32" t="str">
        <f t="array" aca="1" ref="BZ22" ca="1">IF(AND(BZ17&lt;&gt;"",BZ17&lt;&gt;"社食"),
IF(OR(INDIRECT("'盛付札（関数）'!AE"&amp;BX17)=211,INDIRECT("'盛付札（関数）'!AE"&amp;BX17)=212,INDIRECT("'盛付札（関数）'!AE"&amp;BX17)=213),"",
INDIRECT("'盛付札（関数）'!AL"&amp;BX17)),"")</f>
        <v/>
      </c>
      <c r="CA22" s="34" t="str">
        <f t="array" aca="1" ref="CA22" ca="1">IF(AND(BZ17&lt;&gt;"",BZ17&lt;&gt;"社食"),
IF(OR(INDIRECT("'盛付札（関数）'!AE"&amp;BX17)=211,INDIRECT("'盛付札（関数）'!AE"&amp;BX17)=212,INDIRECT("'盛付札（関数）'!AE"&amp;BX17)=213),"",
"端数"),"")</f>
        <v/>
      </c>
      <c r="CB22" s="32"/>
      <c r="CC22" s="34" t="str">
        <f t="array" aca="1" ref="CC22" ca="1">IF(AND(BZ17&lt;&gt;"",BZ17&lt;&gt;"社食"),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"アレルギー")),"")</f>
        <v/>
      </c>
      <c r="CD22" s="37"/>
      <c r="CE22" s="22"/>
      <c r="CF22" s="34" t="str">
        <f t="array" aca="1" ref="CF22" ca="1">IF(AND(CG17&lt;&gt;"",CG17&lt;&gt;"社食"),
IF(OR(INDIRECT("'盛付札（関数）'!AE"&amp;CE17)=211,INDIRECT("'盛付札（関数）'!AE"&amp;CE17)=212,INDIRECT("'盛付札（関数）'!AE"&amp;CE17)=213),"",
"パン箱"),"")</f>
        <v/>
      </c>
      <c r="CG22" s="32" t="str">
        <f t="array" aca="1" ref="CG22" ca="1">IF(AND(CG17&lt;&gt;"",CG17&lt;&gt;"社食"),
IF(OR(INDIRECT("'盛付札（関数）'!AE"&amp;CE17)=211,INDIRECT("'盛付札（関数）'!AE"&amp;CE17)=212,INDIRECT("'盛付札（関数）'!AE"&amp;CE17)=213),"",
INDIRECT("'盛付札（関数）'!AL"&amp;CE17)),"")</f>
        <v/>
      </c>
      <c r="CH22" s="34" t="str">
        <f t="array" aca="1" ref="CH22" ca="1">IF(AND(CG17&lt;&gt;"",CG17&lt;&gt;"社食"),
IF(OR(INDIRECT("'盛付札（関数）'!AE"&amp;CE17)=211,INDIRECT("'盛付札（関数）'!AE"&amp;CE17)=212,INDIRECT("'盛付札（関数）'!AE"&amp;CE17)=213),"",
"端数"),"")</f>
        <v/>
      </c>
      <c r="CI22" s="32"/>
      <c r="CJ22" s="34" t="str">
        <f t="array" aca="1" ref="CJ22" ca="1">IF(AND(CG17&lt;&gt;"",CG17&lt;&gt;"社食"),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"アレルギー")),"")</f>
        <v/>
      </c>
      <c r="CK22" s="37"/>
      <c r="CL22" s="22"/>
      <c r="CM22" s="30"/>
      <c r="CN22" s="34" t="str">
        <f t="array" aca="1" ref="CN22" ca="1">IF(AND(CO17&lt;&gt;"",CO17&lt;&gt;"社食"),
IF(OR(INDIRECT("'盛付札（関数）'!AE"&amp;CM17)=211,INDIRECT("'盛付札（関数）'!AE"&amp;CM17)=212,INDIRECT("'盛付札（関数）'!AE"&amp;CM17)=213),"",
"パン箱"),"")</f>
        <v/>
      </c>
      <c r="CO22" s="32" t="str">
        <f t="array" aca="1" ref="CO22" ca="1">IF(AND(CO17&lt;&gt;"",CO17&lt;&gt;"社食"),
IF(OR(INDIRECT("'盛付札（関数）'!AE"&amp;CM17)=211,INDIRECT("'盛付札（関数）'!AE"&amp;CM17)=212,INDIRECT("'盛付札（関数）'!AE"&amp;CM17)=213),"",
INDIRECT("'盛付札（関数）'!AL"&amp;CM17)),"")</f>
        <v/>
      </c>
      <c r="CP22" s="34" t="str">
        <f t="array" aca="1" ref="CP22" ca="1">IF(AND(CO17&lt;&gt;"",CO17&lt;&gt;"社食"),
IF(OR(INDIRECT("'盛付札（関数）'!AE"&amp;CM17)=211,INDIRECT("'盛付札（関数）'!AE"&amp;CM17)=212,INDIRECT("'盛付札（関数）'!AE"&amp;CM17)=213),"",
"端数"),"")</f>
        <v/>
      </c>
      <c r="CQ22" s="32"/>
      <c r="CR22" s="34" t="str">
        <f t="array" aca="1" ref="CR22" ca="1">IF(AND(CO17&lt;&gt;"",CO17&lt;&gt;"社食"),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"アレルギー")),"")</f>
        <v/>
      </c>
      <c r="CS22" s="37"/>
      <c r="CT22" s="22"/>
      <c r="CU22" s="34" t="str">
        <f t="array" aca="1" ref="CU22" ca="1">IF(AND(CV17&lt;&gt;"",CV17&lt;&gt;"社食"),
IF(OR(INDIRECT("'盛付札（関数）'!AE"&amp;CT17)=211,INDIRECT("'盛付札（関数）'!AE"&amp;CT17)=212,INDIRECT("'盛付札（関数）'!AE"&amp;CT17)=213),"",
"パン箱"),"")</f>
        <v/>
      </c>
      <c r="CV22" s="32" t="str">
        <f t="array" aca="1" ref="CV22" ca="1">IF(AND(CV17&lt;&gt;"",CV17&lt;&gt;"社食"),
IF(OR(INDIRECT("'盛付札（関数）'!AE"&amp;CT17)=211,INDIRECT("'盛付札（関数）'!AE"&amp;CT17)=212,INDIRECT("'盛付札（関数）'!AE"&amp;CT17)=213),"",
INDIRECT("'盛付札（関数）'!AL"&amp;CT17)),"")</f>
        <v/>
      </c>
      <c r="CW22" s="34" t="str">
        <f t="array" aca="1" ref="CW22" ca="1">IF(AND(CV17&lt;&gt;"",CV17&lt;&gt;"社食"),
IF(OR(INDIRECT("'盛付札（関数）'!AE"&amp;CT17)=211,INDIRECT("'盛付札（関数）'!AE"&amp;CT17)=212,INDIRECT("'盛付札（関数）'!AE"&amp;CT17)=213),"",
"端数"),"")</f>
        <v/>
      </c>
      <c r="CX22" s="32"/>
      <c r="CY22" s="34" t="str">
        <f t="array" aca="1" ref="CY22" ca="1">IF(AND(CV17&lt;&gt;"",CV17&lt;&gt;"社食"),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"アレルギー")),"")</f>
        <v/>
      </c>
      <c r="CZ22" s="37"/>
      <c r="DA22" s="22"/>
      <c r="DB22" s="30"/>
      <c r="DC22" s="34" t="str">
        <f t="array" aca="1" ref="DC22" ca="1">IF(AND(DD17&lt;&gt;"",DD17&lt;&gt;"社食"),
IF(OR(INDIRECT("'盛付札（関数）'!AE"&amp;DB17)=211,INDIRECT("'盛付札（関数）'!AE"&amp;DB17)=212,INDIRECT("'盛付札（関数）'!AE"&amp;DB17)=213),"",
"パン箱"),"")</f>
        <v/>
      </c>
      <c r="DD22" s="32" t="str">
        <f t="array" aca="1" ref="DD22" ca="1">IF(AND(DD17&lt;&gt;"",DD17&lt;&gt;"社食"),
IF(OR(INDIRECT("'盛付札（関数）'!AE"&amp;DB17)=211,INDIRECT("'盛付札（関数）'!AE"&amp;DB17)=212,INDIRECT("'盛付札（関数）'!AE"&amp;DB17)=213),"",
INDIRECT("'盛付札（関数）'!AL"&amp;DB17)),"")</f>
        <v/>
      </c>
      <c r="DE22" s="34" t="str">
        <f t="array" aca="1" ref="DE22" ca="1">IF(AND(DD17&lt;&gt;"",DD17&lt;&gt;"社食"),
IF(OR(INDIRECT("'盛付札（関数）'!AE"&amp;DB17)=211,INDIRECT("'盛付札（関数）'!AE"&amp;DB17)=212,INDIRECT("'盛付札（関数）'!AE"&amp;DB17)=213),"",
"端数"),"")</f>
        <v/>
      </c>
      <c r="DF22" s="32"/>
      <c r="DG22" s="34" t="str">
        <f t="array" aca="1" ref="DG22" ca="1">IF(AND(DD17&lt;&gt;"",DD17&lt;&gt;"社食"),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"アレルギー")),"")</f>
        <v/>
      </c>
      <c r="DH22" s="37"/>
      <c r="DI22" s="22"/>
      <c r="DJ22" s="34" t="str">
        <f t="array" aca="1" ref="DJ22" ca="1">IF(AND(DK17&lt;&gt;"",DK17&lt;&gt;"社食"),
IF(OR(INDIRECT("'盛付札（関数）'!AE"&amp;DI17)=211,INDIRECT("'盛付札（関数）'!AE"&amp;DI17)=212,INDIRECT("'盛付札（関数）'!AE"&amp;DI17)=213),"",
"パン箱"),"")</f>
        <v/>
      </c>
      <c r="DK22" s="32" t="str">
        <f t="array" aca="1" ref="DK22" ca="1">IF(AND(DK17&lt;&gt;"",DK17&lt;&gt;"社食"),
IF(OR(INDIRECT("'盛付札（関数）'!AE"&amp;DI17)=211,INDIRECT("'盛付札（関数）'!AE"&amp;DI17)=212,INDIRECT("'盛付札（関数）'!AE"&amp;DI17)=213),"",
INDIRECT("'盛付札（関数）'!AL"&amp;DI17)),"")</f>
        <v/>
      </c>
      <c r="DL22" s="34" t="str">
        <f t="array" aca="1" ref="DL22" ca="1">IF(AND(DK17&lt;&gt;"",DK17&lt;&gt;"社食"),
IF(OR(INDIRECT("'盛付札（関数）'!AE"&amp;DI17)=211,INDIRECT("'盛付札（関数）'!AE"&amp;DI17)=212,INDIRECT("'盛付札（関数）'!AE"&amp;DI17)=213),"",
"端数"),"")</f>
        <v/>
      </c>
      <c r="DM22" s="32"/>
      <c r="DN22" s="34" t="str">
        <f t="array" aca="1" ref="DN22" ca="1">IF(AND(DK17&lt;&gt;"",DK17&lt;&gt;"社食"),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"アレルギー")),"")</f>
        <v/>
      </c>
      <c r="DO22" s="37"/>
      <c r="DP22" s="22"/>
      <c r="DQ22" s="30"/>
      <c r="DR22" s="34" t="str">
        <f t="array" aca="1" ref="DR22" ca="1">IF(AND(DS17&lt;&gt;"",DS17&lt;&gt;"社食"),
IF(OR(INDIRECT("'盛付札（関数）'!AE"&amp;DQ17)=211,INDIRECT("'盛付札（関数）'!AE"&amp;DQ17)=212,INDIRECT("'盛付札（関数）'!AE"&amp;DQ17)=213),"",
"パン箱"),"")</f>
        <v/>
      </c>
      <c r="DS22" s="32" t="str">
        <f t="array" aca="1" ref="DS22" ca="1">IF(AND(DS17&lt;&gt;"",DS17&lt;&gt;"社食"),
IF(OR(INDIRECT("'盛付札（関数）'!AE"&amp;DQ17)=211,INDIRECT("'盛付札（関数）'!AE"&amp;DQ17)=212,INDIRECT("'盛付札（関数）'!AE"&amp;DQ17)=213),"",
INDIRECT("'盛付札（関数）'!AL"&amp;DQ17)),"")</f>
        <v/>
      </c>
      <c r="DT22" s="34" t="str">
        <f t="array" aca="1" ref="DT22" ca="1">IF(AND(DS17&lt;&gt;"",DS17&lt;&gt;"社食"),
IF(OR(INDIRECT("'盛付札（関数）'!AE"&amp;DQ17)=211,INDIRECT("'盛付札（関数）'!AE"&amp;DQ17)=212,INDIRECT("'盛付札（関数）'!AE"&amp;DQ17)=213),"",
"端数"),"")</f>
        <v/>
      </c>
      <c r="DU22" s="32"/>
      <c r="DV22" s="34" t="str">
        <f t="array" aca="1" ref="DV22" ca="1">IF(AND(DS17&lt;&gt;"",DS17&lt;&gt;"社食"),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"アレルギー")),"")</f>
        <v/>
      </c>
      <c r="DW22" s="37"/>
      <c r="DX22" s="22"/>
      <c r="DY22" s="34" t="str">
        <f t="array" aca="1" ref="DY22" ca="1">IF(AND(DZ17&lt;&gt;"",DZ17&lt;&gt;"社食"),
IF(OR(INDIRECT("'盛付札（関数）'!AE"&amp;DX17)=211,INDIRECT("'盛付札（関数）'!AE"&amp;DX17)=212,INDIRECT("'盛付札（関数）'!AE"&amp;DX17)=213),"",
"パン箱"),"")</f>
        <v/>
      </c>
      <c r="DZ22" s="32" t="str">
        <f t="array" aca="1" ref="DZ22" ca="1">IF(AND(DZ17&lt;&gt;"",DZ17&lt;&gt;"社食"),
IF(OR(INDIRECT("'盛付札（関数）'!AE"&amp;DX17)=211,INDIRECT("'盛付札（関数）'!AE"&amp;DX17)=212,INDIRECT("'盛付札（関数）'!AE"&amp;DX17)=213),"",
INDIRECT("'盛付札（関数）'!AL"&amp;DX17)),"")</f>
        <v/>
      </c>
      <c r="EA22" s="34" t="str">
        <f t="array" aca="1" ref="EA22" ca="1">IF(AND(DZ17&lt;&gt;"",DZ17&lt;&gt;"社食"),
IF(OR(INDIRECT("'盛付札（関数）'!AE"&amp;DX17)=211,INDIRECT("'盛付札（関数）'!AE"&amp;DX17)=212,INDIRECT("'盛付札（関数）'!AE"&amp;DX17)=213),"",
"端数"),"")</f>
        <v/>
      </c>
      <c r="EB22" s="32"/>
      <c r="EC22" s="34" t="str">
        <f t="array" aca="1" ref="EC22" ca="1">IF(AND(DZ17&lt;&gt;"",DZ17&lt;&gt;"社食"),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"アレルギー")),"")</f>
        <v/>
      </c>
      <c r="ED22" s="37"/>
      <c r="EE22" s="22"/>
      <c r="EF22" s="30"/>
      <c r="EG22" s="34" t="str">
        <f t="array" aca="1" ref="EG22" ca="1">IF(AND(EH17&lt;&gt;"",EH17&lt;&gt;"社食"),
IF(OR(INDIRECT("'盛付札（関数）'!AE"&amp;EF17)=211,INDIRECT("'盛付札（関数）'!AE"&amp;EF17)=212,INDIRECT("'盛付札（関数）'!AE"&amp;EF17)=213),"",
"パン箱"),"")</f>
        <v/>
      </c>
      <c r="EH22" s="32" t="str">
        <f t="array" aca="1" ref="EH22" ca="1">IF(AND(EH17&lt;&gt;"",EH17&lt;&gt;"社食"),
IF(OR(INDIRECT("'盛付札（関数）'!AE"&amp;EF17)=211,INDIRECT("'盛付札（関数）'!AE"&amp;EF17)=212,INDIRECT("'盛付札（関数）'!AE"&amp;EF17)=213),"",
INDIRECT("'盛付札（関数）'!AL"&amp;EF17)),"")</f>
        <v/>
      </c>
      <c r="EI22" s="34" t="str">
        <f t="array" aca="1" ref="EI22" ca="1">IF(AND(EH17&lt;&gt;"",EH17&lt;&gt;"社食"),
IF(OR(INDIRECT("'盛付札（関数）'!AE"&amp;EF17)=211,INDIRECT("'盛付札（関数）'!AE"&amp;EF17)=212,INDIRECT("'盛付札（関数）'!AE"&amp;EF17)=213),"",
"端数"),"")</f>
        <v/>
      </c>
      <c r="EJ22" s="32"/>
      <c r="EK22" s="34" t="str">
        <f t="array" aca="1" ref="EK22" ca="1">IF(AND(EH17&lt;&gt;"",EH17&lt;&gt;"社食"),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"アレルギー")),"")</f>
        <v/>
      </c>
      <c r="EL22" s="37"/>
      <c r="EM22" s="22"/>
      <c r="EN22" s="34" t="str">
        <f t="array" aca="1" ref="EN22" ca="1">IF(AND(EO17&lt;&gt;"",EO17&lt;&gt;"社食"),
IF(OR(INDIRECT("'盛付札（関数）'!AE"&amp;EM17)=211,INDIRECT("'盛付札（関数）'!AE"&amp;EM17)=212,INDIRECT("'盛付札（関数）'!AE"&amp;EM17)=213),"",
"パン箱"),"")</f>
        <v/>
      </c>
      <c r="EO22" s="32" t="str">
        <f t="array" aca="1" ref="EO22" ca="1">IF(AND(EO17&lt;&gt;"",EO17&lt;&gt;"社食"),
IF(OR(INDIRECT("'盛付札（関数）'!AE"&amp;EM17)=211,INDIRECT("'盛付札（関数）'!AE"&amp;EM17)=212,INDIRECT("'盛付札（関数）'!AE"&amp;EM17)=213),"",
INDIRECT("'盛付札（関数）'!AL"&amp;EM17)),"")</f>
        <v/>
      </c>
      <c r="EP22" s="34" t="str">
        <f t="array" aca="1" ref="EP22" ca="1">IF(AND(EO17&lt;&gt;"",EO17&lt;&gt;"社食"),
IF(OR(INDIRECT("'盛付札（関数）'!AE"&amp;EM17)=211,INDIRECT("'盛付札（関数）'!AE"&amp;EM17)=212,INDIRECT("'盛付札（関数）'!AE"&amp;EM17)=213),"",
"端数"),"")</f>
        <v/>
      </c>
      <c r="EQ22" s="32"/>
      <c r="ER22" s="34" t="str">
        <f t="array" aca="1" ref="ER22" ca="1">IF(AND(EO17&lt;&gt;"",EO17&lt;&gt;"社食"),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"アレルギー")),"")</f>
        <v/>
      </c>
      <c r="ES22" s="37"/>
      <c r="ET22" s="22"/>
    </row>
    <row r="23" spans="1:150" ht="27.6" customHeight="1">
      <c r="B23" s="216" t="str">
        <f t="array" aca="1" ref="B23" ca="1">IF(C17&lt;&gt;"",
IF(OR(INDIRECT("'盛付札（関数）'!AE"&amp;A17)=211,INDIRECT("'盛付札（関数）'!AE"&amp;A17)=212,INDIRECT("'盛付札（関数）'!AE"&amp;A17)=213),"",
INDIRECT("'盛付札（関数）'!AM"&amp;A17)),"")</f>
        <v/>
      </c>
      <c r="C23" s="209"/>
      <c r="D23" s="216" t="str">
        <f t="array" aca="1" ref="D23" ca="1">IF(C17&lt;&gt;"",
IF(OR(INDIRECT("'盛付札（関数）'!AE"&amp;A17)=211,INDIRECT("'盛付札（関数）'!AE"&amp;A17)=212,INDIRECT("'盛付札（関数）'!AE"&amp;A17)=213),"",
INDIRECT("'盛付札（関数）'!AN"&amp;A17)),"")</f>
        <v/>
      </c>
      <c r="E23" s="209"/>
      <c r="F23" s="217" t="str">
        <f t="array" aca="1" ref="F23" ca="1">IF(AND(C17&lt;&gt;"",C17&lt;&gt;"社食"),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INDIRECT("'盛付札（関数）'!AO"&amp;A17))),"")</f>
        <v/>
      </c>
      <c r="G23" s="209"/>
      <c r="I23" s="216" t="str">
        <f t="array" aca="1" ref="I23" ca="1">IF(J17&lt;&gt;"",
IF(OR(INDIRECT("'盛付札（関数）'!AE"&amp;H17)=211,INDIRECT("'盛付札（関数）'!AE"&amp;H17)=212,INDIRECT("'盛付札（関数）'!AE"&amp;H17)=213),"",
INDIRECT("'盛付札（関数）'!AM"&amp;H17)),"")</f>
        <v/>
      </c>
      <c r="J23" s="209"/>
      <c r="K23" s="216" t="str">
        <f t="array" aca="1" ref="K23" ca="1">IF(J17&lt;&gt;"",
IF(OR(INDIRECT("'盛付札（関数）'!AE"&amp;H17)=211,INDIRECT("'盛付札（関数）'!AE"&amp;H17)=212,INDIRECT("'盛付札（関数）'!AE"&amp;H17)=213),"",
INDIRECT("'盛付札（関数）'!AN"&amp;H17)),"")</f>
        <v/>
      </c>
      <c r="L23" s="209"/>
      <c r="M23" s="217" t="str">
        <f t="array" aca="1" ref="M23" ca="1">IF(AND(J17&lt;&gt;"",J17&lt;&gt;"社食"),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INDIRECT("'盛付札（関数）'!AO"&amp;H17))),"")</f>
        <v/>
      </c>
      <c r="N23" s="209"/>
      <c r="Q23" s="216" t="str">
        <f t="array" aca="1" ref="Q23" ca="1">IF(R17&lt;&gt;"",
IF(OR(INDIRECT("'盛付札（関数）'!AE"&amp;P17)=211,INDIRECT("'盛付札（関数）'!AE"&amp;P17)=212,INDIRECT("'盛付札（関数）'!AE"&amp;P17)=213),"",
INDIRECT("'盛付札（関数）'!AM"&amp;P17)),"")</f>
        <v/>
      </c>
      <c r="R23" s="209"/>
      <c r="S23" s="216" t="str">
        <f t="array" aca="1" ref="S23" ca="1">IF(R17&lt;&gt;"",
IF(OR(INDIRECT("'盛付札（関数）'!AE"&amp;P17)=211,INDIRECT("'盛付札（関数）'!AE"&amp;P17)=212,INDIRECT("'盛付札（関数）'!AE"&amp;P17)=213),"",
INDIRECT("'盛付札（関数）'!AN"&amp;P17)),"")</f>
        <v/>
      </c>
      <c r="T23" s="209"/>
      <c r="U23" s="217" t="str">
        <f t="array" aca="1" ref="U23" ca="1">IF(AND(R17&lt;&gt;"",R17&lt;&gt;"社食"),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INDIRECT("'盛付札（関数）'!AO"&amp;P17))),"")</f>
        <v/>
      </c>
      <c r="V23" s="209"/>
      <c r="X23" s="216" t="str">
        <f t="array" aca="1" ref="X23" ca="1">IF(Y17&lt;&gt;"",
IF(OR(INDIRECT("'盛付札（関数）'!AE"&amp;W17)=211,INDIRECT("'盛付札（関数）'!AE"&amp;W17)=212,INDIRECT("'盛付札（関数）'!AE"&amp;W17)=213),"",
INDIRECT("'盛付札（関数）'!AM"&amp;W17)),"")</f>
        <v/>
      </c>
      <c r="Y23" s="209"/>
      <c r="Z23" s="216" t="str">
        <f t="array" aca="1" ref="Z23" ca="1">IF(Y17&lt;&gt;"",
IF(OR(INDIRECT("'盛付札（関数）'!AE"&amp;W17)=211,INDIRECT("'盛付札（関数）'!AE"&amp;W17)=212,INDIRECT("'盛付札（関数）'!AE"&amp;W17)=213),"",
INDIRECT("'盛付札（関数）'!AN"&amp;W17)),"")</f>
        <v/>
      </c>
      <c r="AA23" s="209"/>
      <c r="AB23" s="217" t="str">
        <f t="array" aca="1" ref="AB23" ca="1">IF(AND(Y17&lt;&gt;"",Y17&lt;&gt;"社食"),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INDIRECT("'盛付札（関数）'!AO"&amp;W17))),"")</f>
        <v/>
      </c>
      <c r="AC23" s="209"/>
      <c r="AF23" s="216" t="str">
        <f t="array" aca="1" ref="AF23" ca="1">IF(AG17&lt;&gt;"",
IF(OR(INDIRECT("'盛付札（関数）'!AE"&amp;AE17)=211,INDIRECT("'盛付札（関数）'!AE"&amp;AE17)=212,INDIRECT("'盛付札（関数）'!AE"&amp;AE17)=213),"",
INDIRECT("'盛付札（関数）'!AM"&amp;AE17)),"")</f>
        <v/>
      </c>
      <c r="AG23" s="209"/>
      <c r="AH23" s="216" t="str">
        <f t="array" aca="1" ref="AH23" ca="1">IF(AG17&lt;&gt;"",
IF(OR(INDIRECT("'盛付札（関数）'!AE"&amp;AE17)=211,INDIRECT("'盛付札（関数）'!AE"&amp;AE17)=212,INDIRECT("'盛付札（関数）'!AE"&amp;AE17)=213),"",
INDIRECT("'盛付札（関数）'!AN"&amp;AE17)),"")</f>
        <v/>
      </c>
      <c r="AI23" s="209"/>
      <c r="AJ23" s="217" t="str">
        <f t="array" aca="1" ref="AJ23" ca="1">IF(AND(AG17&lt;&gt;"",AG17&lt;&gt;"社食"),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INDIRECT("'盛付札（関数）'!AO"&amp;AE17))),"")</f>
        <v/>
      </c>
      <c r="AK23" s="209"/>
      <c r="AM23" s="216" t="str">
        <f t="array" aca="1" ref="AM23" ca="1">IF(AN17&lt;&gt;"",
IF(OR(INDIRECT("'盛付札（関数）'!AE"&amp;AL17)=211,INDIRECT("'盛付札（関数）'!AE"&amp;AL17)=212,INDIRECT("'盛付札（関数）'!AE"&amp;AL17)=213),"",
INDIRECT("'盛付札（関数）'!AM"&amp;AL17)),"")</f>
        <v/>
      </c>
      <c r="AN23" s="209"/>
      <c r="AO23" s="216" t="str">
        <f t="array" aca="1" ref="AO23" ca="1">IF(AN17&lt;&gt;"",
IF(OR(INDIRECT("'盛付札（関数）'!AE"&amp;AL17)=211,INDIRECT("'盛付札（関数）'!AE"&amp;AL17)=212,INDIRECT("'盛付札（関数）'!AE"&amp;AL17)=213),"",
INDIRECT("'盛付札（関数）'!AN"&amp;AL17)),"")</f>
        <v/>
      </c>
      <c r="AP23" s="209"/>
      <c r="AQ23" s="217" t="str">
        <f t="array" aca="1" ref="AQ23" ca="1">IF(AND(AN17&lt;&gt;"",AN17&lt;&gt;"社食"),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INDIRECT("'盛付札（関数）'!AO"&amp;AL17))),"")</f>
        <v/>
      </c>
      <c r="AR23" s="209"/>
      <c r="AU23" s="216" t="str">
        <f t="array" aca="1" ref="AU23" ca="1">IF(AV17&lt;&gt;"",
IF(OR(INDIRECT("'盛付札（関数）'!AE"&amp;AT17)=211,INDIRECT("'盛付札（関数）'!AE"&amp;AT17)=212,INDIRECT("'盛付札（関数）'!AE"&amp;AT17)=213),"",
INDIRECT("'盛付札（関数）'!AM"&amp;AT17)),"")</f>
        <v/>
      </c>
      <c r="AV23" s="209"/>
      <c r="AW23" s="216" t="str">
        <f t="array" aca="1" ref="AW23" ca="1">IF(AV17&lt;&gt;"",
IF(OR(INDIRECT("'盛付札（関数）'!AE"&amp;AT17)=211,INDIRECT("'盛付札（関数）'!AE"&amp;AT17)=212,INDIRECT("'盛付札（関数）'!AE"&amp;AT17)=213),"",
INDIRECT("'盛付札（関数）'!AN"&amp;AT17)),"")</f>
        <v/>
      </c>
      <c r="AX23" s="209"/>
      <c r="AY23" s="217" t="str">
        <f t="array" aca="1" ref="AY23" ca="1">IF(AND(AV17&lt;&gt;"",AV17&lt;&gt;"社食"),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INDIRECT("'盛付札（関数）'!AO"&amp;AT17))),"")</f>
        <v/>
      </c>
      <c r="AZ23" s="209"/>
      <c r="BB23" s="216" t="str">
        <f t="array" aca="1" ref="BB23" ca="1">IF(BC17&lt;&gt;"",
IF(OR(INDIRECT("'盛付札（関数）'!AE"&amp;BA17)=211,INDIRECT("'盛付札（関数）'!AE"&amp;BA17)=212,INDIRECT("'盛付札（関数）'!AE"&amp;BA17)=213),"",
INDIRECT("'盛付札（関数）'!AM"&amp;BA17)),"")</f>
        <v/>
      </c>
      <c r="BC23" s="209"/>
      <c r="BD23" s="216" t="str">
        <f t="array" aca="1" ref="BD23" ca="1">IF(BC17&lt;&gt;"",
IF(OR(INDIRECT("'盛付札（関数）'!AE"&amp;BA17)=211,INDIRECT("'盛付札（関数）'!AE"&amp;BA17)=212,INDIRECT("'盛付札（関数）'!AE"&amp;BA17)=213),"",
INDIRECT("'盛付札（関数）'!AN"&amp;BA17)),"")</f>
        <v/>
      </c>
      <c r="BE23" s="209"/>
      <c r="BF23" s="217" t="str">
        <f t="array" aca="1" ref="BF23" ca="1">IF(AND(BC17&lt;&gt;"",BC17&lt;&gt;"社食"),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INDIRECT("'盛付札（関数）'!AO"&amp;BA17))),"")</f>
        <v/>
      </c>
      <c r="BG23" s="209"/>
      <c r="BJ23" s="216" t="str">
        <f t="array" aca="1" ref="BJ23" ca="1">IF(BK17&lt;&gt;"",
IF(OR(INDIRECT("'盛付札（関数）'!AE"&amp;BI17)=211,INDIRECT("'盛付札（関数）'!AE"&amp;BI17)=212,INDIRECT("'盛付札（関数）'!AE"&amp;BI17)=213),"",
INDIRECT("'盛付札（関数）'!AM"&amp;BI17)),"")</f>
        <v/>
      </c>
      <c r="BK23" s="209"/>
      <c r="BL23" s="216" t="str">
        <f t="array" aca="1" ref="BL23" ca="1">IF(BK17&lt;&gt;"",
IF(OR(INDIRECT("'盛付札（関数）'!AE"&amp;BI17)=211,INDIRECT("'盛付札（関数）'!AE"&amp;BI17)=212,INDIRECT("'盛付札（関数）'!AE"&amp;BI17)=213),"",
INDIRECT("'盛付札（関数）'!AN"&amp;BI17)),"")</f>
        <v/>
      </c>
      <c r="BM23" s="209"/>
      <c r="BN23" s="217" t="str">
        <f t="array" aca="1" ref="BN23" ca="1">IF(AND(BK17&lt;&gt;"",BK17&lt;&gt;"社食"),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INDIRECT("'盛付札（関数）'!AO"&amp;BI17))),"")</f>
        <v/>
      </c>
      <c r="BO23" s="209"/>
      <c r="BQ23" s="216" t="str">
        <f t="array" aca="1" ref="BQ23" ca="1">IF(BR17&lt;&gt;"",
IF(OR(INDIRECT("'盛付札（関数）'!AE"&amp;BP17)=211,INDIRECT("'盛付札（関数）'!AE"&amp;BP17)=212,INDIRECT("'盛付札（関数）'!AE"&amp;BP17)=213),"",
INDIRECT("'盛付札（関数）'!AM"&amp;BP17)),"")</f>
        <v/>
      </c>
      <c r="BR23" s="209"/>
      <c r="BS23" s="216" t="str">
        <f t="array" aca="1" ref="BS23" ca="1">IF(BR17&lt;&gt;"",
IF(OR(INDIRECT("'盛付札（関数）'!AE"&amp;BP17)=211,INDIRECT("'盛付札（関数）'!AE"&amp;BP17)=212,INDIRECT("'盛付札（関数）'!AE"&amp;BP17)=213),"",
INDIRECT("'盛付札（関数）'!AN"&amp;BP17)),"")</f>
        <v/>
      </c>
      <c r="BT23" s="209"/>
      <c r="BU23" s="217" t="str">
        <f t="array" aca="1" ref="BU23" ca="1">IF(AND(BR17&lt;&gt;"",BR17&lt;&gt;"社食"),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INDIRECT("'盛付札（関数）'!AO"&amp;BP17))),"")</f>
        <v/>
      </c>
      <c r="BV23" s="209"/>
      <c r="BY23" s="216" t="str">
        <f t="array" aca="1" ref="BY23" ca="1">IF(BZ17&lt;&gt;"",
IF(OR(INDIRECT("'盛付札（関数）'!AE"&amp;BX17)=211,INDIRECT("'盛付札（関数）'!AE"&amp;BX17)=212,INDIRECT("'盛付札（関数）'!AE"&amp;BX17)=213),"",
INDIRECT("'盛付札（関数）'!AM"&amp;BX17)),"")</f>
        <v/>
      </c>
      <c r="BZ23" s="209"/>
      <c r="CA23" s="216" t="str">
        <f t="array" aca="1" ref="CA23" ca="1">IF(BZ17&lt;&gt;"",
IF(OR(INDIRECT("'盛付札（関数）'!AE"&amp;BX17)=211,INDIRECT("'盛付札（関数）'!AE"&amp;BX17)=212,INDIRECT("'盛付札（関数）'!AE"&amp;BX17)=213),"",
INDIRECT("'盛付札（関数）'!AN"&amp;BX17)),"")</f>
        <v/>
      </c>
      <c r="CB23" s="209"/>
      <c r="CC23" s="217" t="str">
        <f t="array" aca="1" ref="CC23" ca="1">IF(AND(BZ17&lt;&gt;"",BZ17&lt;&gt;"社食"),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INDIRECT("'盛付札（関数）'!AO"&amp;BX17))),"")</f>
        <v/>
      </c>
      <c r="CD23" s="209"/>
      <c r="CF23" s="216" t="str">
        <f t="array" aca="1" ref="CF23" ca="1">IF(CG17&lt;&gt;"",
IF(OR(INDIRECT("'盛付札（関数）'!AE"&amp;CE17)=211,INDIRECT("'盛付札（関数）'!AE"&amp;CE17)=212,INDIRECT("'盛付札（関数）'!AE"&amp;CE17)=213),"",
INDIRECT("'盛付札（関数）'!AM"&amp;CE17)),"")</f>
        <v/>
      </c>
      <c r="CG23" s="209"/>
      <c r="CH23" s="216" t="str">
        <f t="array" aca="1" ref="CH23" ca="1">IF(CG17&lt;&gt;"",
IF(OR(INDIRECT("'盛付札（関数）'!AE"&amp;CE17)=211,INDIRECT("'盛付札（関数）'!AE"&amp;CE17)=212,INDIRECT("'盛付札（関数）'!AE"&amp;CE17)=213),"",
INDIRECT("'盛付札（関数）'!AN"&amp;CE17)),"")</f>
        <v/>
      </c>
      <c r="CI23" s="209"/>
      <c r="CJ23" s="217" t="str">
        <f t="array" aca="1" ref="CJ23" ca="1">IF(AND(CG17&lt;&gt;"",CG17&lt;&gt;"社食"),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INDIRECT("'盛付札（関数）'!AO"&amp;CE17))),"")</f>
        <v/>
      </c>
      <c r="CK23" s="209"/>
      <c r="CN23" s="216" t="str">
        <f t="array" aca="1" ref="CN23" ca="1">IF(CO17&lt;&gt;"",
IF(OR(INDIRECT("'盛付札（関数）'!AE"&amp;CM17)=211,INDIRECT("'盛付札（関数）'!AE"&amp;CM17)=212,INDIRECT("'盛付札（関数）'!AE"&amp;CM17)=213),"",
INDIRECT("'盛付札（関数）'!AM"&amp;CM17)),"")</f>
        <v/>
      </c>
      <c r="CO23" s="209"/>
      <c r="CP23" s="216" t="str">
        <f t="array" aca="1" ref="CP23" ca="1">IF(CO17&lt;&gt;"",
IF(OR(INDIRECT("'盛付札（関数）'!AE"&amp;CM17)=211,INDIRECT("'盛付札（関数）'!AE"&amp;CM17)=212,INDIRECT("'盛付札（関数）'!AE"&amp;CM17)=213),"",
INDIRECT("'盛付札（関数）'!AN"&amp;CM17)),"")</f>
        <v/>
      </c>
      <c r="CQ23" s="209"/>
      <c r="CR23" s="217" t="str">
        <f t="array" aca="1" ref="CR23" ca="1">IF(AND(CO17&lt;&gt;"",CO17&lt;&gt;"社食"),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INDIRECT("'盛付札（関数）'!AO"&amp;CM17))),"")</f>
        <v/>
      </c>
      <c r="CS23" s="209"/>
      <c r="CU23" s="216" t="str">
        <f t="array" aca="1" ref="CU23" ca="1">IF(CV17&lt;&gt;"",
IF(OR(INDIRECT("'盛付札（関数）'!AE"&amp;CT17)=211,INDIRECT("'盛付札（関数）'!AE"&amp;CT17)=212,INDIRECT("'盛付札（関数）'!AE"&amp;CT17)=213),"",
INDIRECT("'盛付札（関数）'!AM"&amp;CT17)),"")</f>
        <v/>
      </c>
      <c r="CV23" s="209"/>
      <c r="CW23" s="216" t="str">
        <f t="array" aca="1" ref="CW23" ca="1">IF(CV17&lt;&gt;"",
IF(OR(INDIRECT("'盛付札（関数）'!AE"&amp;CT17)=211,INDIRECT("'盛付札（関数）'!AE"&amp;CT17)=212,INDIRECT("'盛付札（関数）'!AE"&amp;CT17)=213),"",
INDIRECT("'盛付札（関数）'!AN"&amp;CT17)),"")</f>
        <v/>
      </c>
      <c r="CX23" s="209"/>
      <c r="CY23" s="217" t="str">
        <f t="array" aca="1" ref="CY23" ca="1">IF(AND(CV17&lt;&gt;"",CV17&lt;&gt;"社食"),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INDIRECT("'盛付札（関数）'!AO"&amp;CT17))),"")</f>
        <v/>
      </c>
      <c r="CZ23" s="209"/>
      <c r="DC23" s="216" t="str">
        <f t="array" aca="1" ref="DC23" ca="1">IF(DD17&lt;&gt;"",
IF(OR(INDIRECT("'盛付札（関数）'!AE"&amp;DB17)=211,INDIRECT("'盛付札（関数）'!AE"&amp;DB17)=212,INDIRECT("'盛付札（関数）'!AE"&amp;DB17)=213),"",
INDIRECT("'盛付札（関数）'!AM"&amp;DB17)),"")</f>
        <v/>
      </c>
      <c r="DD23" s="209"/>
      <c r="DE23" s="216" t="str">
        <f t="array" aca="1" ref="DE23" ca="1">IF(DD17&lt;&gt;"",
IF(OR(INDIRECT("'盛付札（関数）'!AE"&amp;DB17)=211,INDIRECT("'盛付札（関数）'!AE"&amp;DB17)=212,INDIRECT("'盛付札（関数）'!AE"&amp;DB17)=213),"",
INDIRECT("'盛付札（関数）'!AN"&amp;DB17)),"")</f>
        <v/>
      </c>
      <c r="DF23" s="209"/>
      <c r="DG23" s="217" t="str">
        <f t="array" aca="1" ref="DG23" ca="1">IF(AND(DD17&lt;&gt;"",DD17&lt;&gt;"社食"),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INDIRECT("'盛付札（関数）'!AO"&amp;DB17))),"")</f>
        <v/>
      </c>
      <c r="DH23" s="209"/>
      <c r="DJ23" s="216" t="str">
        <f t="array" aca="1" ref="DJ23" ca="1">IF(DK17&lt;&gt;"",
IF(OR(INDIRECT("'盛付札（関数）'!AE"&amp;DI17)=211,INDIRECT("'盛付札（関数）'!AE"&amp;DI17)=212,INDIRECT("'盛付札（関数）'!AE"&amp;DI17)=213),"",
INDIRECT("'盛付札（関数）'!AM"&amp;DI17)),"")</f>
        <v/>
      </c>
      <c r="DK23" s="209"/>
      <c r="DL23" s="216" t="str">
        <f t="array" aca="1" ref="DL23" ca="1">IF(DK17&lt;&gt;"",
IF(OR(INDIRECT("'盛付札（関数）'!AE"&amp;DI17)=211,INDIRECT("'盛付札（関数）'!AE"&amp;DI17)=212,INDIRECT("'盛付札（関数）'!AE"&amp;DI17)=213),"",
INDIRECT("'盛付札（関数）'!AN"&amp;DI17)),"")</f>
        <v/>
      </c>
      <c r="DM23" s="209"/>
      <c r="DN23" s="217" t="str">
        <f t="array" aca="1" ref="DN23" ca="1">IF(AND(DK17&lt;&gt;"",DK17&lt;&gt;"社食"),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INDIRECT("'盛付札（関数）'!AO"&amp;DI17))),"")</f>
        <v/>
      </c>
      <c r="DO23" s="209"/>
      <c r="DR23" s="216" t="str">
        <f t="array" aca="1" ref="DR23" ca="1">IF(DS17&lt;&gt;"",
IF(OR(INDIRECT("'盛付札（関数）'!AE"&amp;DQ17)=211,INDIRECT("'盛付札（関数）'!AE"&amp;DQ17)=212,INDIRECT("'盛付札（関数）'!AE"&amp;DQ17)=213),"",
INDIRECT("'盛付札（関数）'!AM"&amp;DQ17)),"")</f>
        <v/>
      </c>
      <c r="DS23" s="209"/>
      <c r="DT23" s="216" t="str">
        <f t="array" aca="1" ref="DT23" ca="1">IF(DS17&lt;&gt;"",
IF(OR(INDIRECT("'盛付札（関数）'!AE"&amp;DQ17)=211,INDIRECT("'盛付札（関数）'!AE"&amp;DQ17)=212,INDIRECT("'盛付札（関数）'!AE"&amp;DQ17)=213),"",
INDIRECT("'盛付札（関数）'!AN"&amp;DQ17)),"")</f>
        <v/>
      </c>
      <c r="DU23" s="209"/>
      <c r="DV23" s="217" t="str">
        <f t="array" aca="1" ref="DV23" ca="1">IF(AND(DS17&lt;&gt;"",DS17&lt;&gt;"社食"),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INDIRECT("'盛付札（関数）'!AO"&amp;DQ17))),"")</f>
        <v/>
      </c>
      <c r="DW23" s="209"/>
      <c r="DY23" s="216" t="str">
        <f t="array" aca="1" ref="DY23" ca="1">IF(DZ17&lt;&gt;"",
IF(OR(INDIRECT("'盛付札（関数）'!AE"&amp;DX17)=211,INDIRECT("'盛付札（関数）'!AE"&amp;DX17)=212,INDIRECT("'盛付札（関数）'!AE"&amp;DX17)=213),"",
INDIRECT("'盛付札（関数）'!AM"&amp;DX17)),"")</f>
        <v/>
      </c>
      <c r="DZ23" s="209"/>
      <c r="EA23" s="216" t="str">
        <f t="array" aca="1" ref="EA23" ca="1">IF(DZ17&lt;&gt;"",
IF(OR(INDIRECT("'盛付札（関数）'!AE"&amp;DX17)=211,INDIRECT("'盛付札（関数）'!AE"&amp;DX17)=212,INDIRECT("'盛付札（関数）'!AE"&amp;DX17)=213),"",
INDIRECT("'盛付札（関数）'!AN"&amp;DX17)),"")</f>
        <v/>
      </c>
      <c r="EB23" s="209"/>
      <c r="EC23" s="217" t="str">
        <f t="array" aca="1" ref="EC23" ca="1">IF(AND(DZ17&lt;&gt;"",DZ17&lt;&gt;"社食"),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INDIRECT("'盛付札（関数）'!AO"&amp;DX17))),"")</f>
        <v/>
      </c>
      <c r="ED23" s="209"/>
      <c r="EG23" s="216" t="str">
        <f t="array" aca="1" ref="EG23" ca="1">IF(EH17&lt;&gt;"",
IF(OR(INDIRECT("'盛付札（関数）'!AE"&amp;EF17)=211,INDIRECT("'盛付札（関数）'!AE"&amp;EF17)=212,INDIRECT("'盛付札（関数）'!AE"&amp;EF17)=213),"",
INDIRECT("'盛付札（関数）'!AM"&amp;EF17)),"")</f>
        <v/>
      </c>
      <c r="EH23" s="209"/>
      <c r="EI23" s="216" t="str">
        <f t="array" aca="1" ref="EI23" ca="1">IF(EH17&lt;&gt;"",
IF(OR(INDIRECT("'盛付札（関数）'!AE"&amp;EF17)=211,INDIRECT("'盛付札（関数）'!AE"&amp;EF17)=212,INDIRECT("'盛付札（関数）'!AE"&amp;EF17)=213),"",
INDIRECT("'盛付札（関数）'!AN"&amp;EF17)),"")</f>
        <v/>
      </c>
      <c r="EJ23" s="209"/>
      <c r="EK23" s="217" t="str">
        <f t="array" aca="1" ref="EK23" ca="1">IF(AND(EH17&lt;&gt;"",EH17&lt;&gt;"社食"),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INDIRECT("'盛付札（関数）'!AO"&amp;EF17))),"")</f>
        <v/>
      </c>
      <c r="EL23" s="209"/>
      <c r="EN23" s="216" t="str">
        <f t="array" aca="1" ref="EN23" ca="1">IF(EO17&lt;&gt;"",
IF(OR(INDIRECT("'盛付札（関数）'!AE"&amp;EM17)=211,INDIRECT("'盛付札（関数）'!AE"&amp;EM17)=212,INDIRECT("'盛付札（関数）'!AE"&amp;EM17)=213),"",
INDIRECT("'盛付札（関数）'!AM"&amp;EM17)),"")</f>
        <v/>
      </c>
      <c r="EO23" s="209"/>
      <c r="EP23" s="216" t="str">
        <f t="array" aca="1" ref="EP23" ca="1">IF(EO17&lt;&gt;"",
IF(OR(INDIRECT("'盛付札（関数）'!AE"&amp;EM17)=211,INDIRECT("'盛付札（関数）'!AE"&amp;EM17)=212,INDIRECT("'盛付札（関数）'!AE"&amp;EM17)=213),"",
INDIRECT("'盛付札（関数）'!AN"&amp;EM17)),"")</f>
        <v/>
      </c>
      <c r="EQ23" s="209"/>
      <c r="ER23" s="217" t="str">
        <f t="array" aca="1" ref="ER23" ca="1">IF(AND(EO17&lt;&gt;"",EO17&lt;&gt;"社食"),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INDIRECT("'盛付札（関数）'!AO"&amp;EM17))),"")</f>
        <v/>
      </c>
      <c r="ES23" s="209"/>
    </row>
    <row r="24" spans="1:150" ht="6.6" customHeight="1">
      <c r="B24" s="41"/>
      <c r="D24" s="41"/>
      <c r="F24" s="42"/>
      <c r="I24" s="41"/>
      <c r="K24" s="41"/>
      <c r="M24" s="42"/>
      <c r="Q24" s="41"/>
      <c r="S24" s="41"/>
      <c r="U24" s="42"/>
      <c r="X24" s="41"/>
      <c r="Z24" s="41"/>
      <c r="AB24" s="42"/>
      <c r="AF24" s="41"/>
      <c r="AH24" s="41"/>
      <c r="AJ24" s="42"/>
      <c r="AM24" s="41"/>
      <c r="AO24" s="41"/>
      <c r="AQ24" s="42"/>
      <c r="AU24" s="41"/>
      <c r="AW24" s="41"/>
      <c r="AY24" s="42"/>
      <c r="BB24" s="41"/>
      <c r="BD24" s="41"/>
      <c r="BF24" s="42"/>
      <c r="BJ24" s="41"/>
      <c r="BL24" s="41"/>
      <c r="BN24" s="42"/>
      <c r="BQ24" s="41"/>
      <c r="BS24" s="41"/>
      <c r="BU24" s="42"/>
      <c r="BY24" s="41"/>
      <c r="CA24" s="41"/>
      <c r="CC24" s="42"/>
      <c r="CF24" s="41"/>
      <c r="CH24" s="41"/>
      <c r="CJ24" s="42"/>
      <c r="CN24" s="41"/>
      <c r="CP24" s="41"/>
      <c r="CR24" s="42"/>
      <c r="CU24" s="41"/>
      <c r="CW24" s="41"/>
      <c r="CY24" s="42"/>
      <c r="DC24" s="41"/>
      <c r="DE24" s="41"/>
      <c r="DG24" s="42"/>
      <c r="DJ24" s="41"/>
      <c r="DL24" s="41"/>
      <c r="DN24" s="42"/>
      <c r="DR24" s="41"/>
      <c r="DT24" s="41"/>
      <c r="DV24" s="42"/>
      <c r="DY24" s="41"/>
      <c r="EA24" s="41"/>
      <c r="EC24" s="42"/>
      <c r="EG24" s="41"/>
      <c r="EI24" s="41"/>
      <c r="EK24" s="42"/>
      <c r="EN24" s="41"/>
      <c r="EP24" s="41"/>
      <c r="ER24" s="42"/>
    </row>
    <row r="25" spans="1:150" s="181" customFormat="1" ht="25.8" customHeight="1">
      <c r="A25" s="30">
        <f>H17+1</f>
        <v>7</v>
      </c>
      <c r="B25" s="40" t="str">
        <f ca="1">IF(C25&lt;&gt;"",
MID(貼り付け用!$A$2, FIND("年",貼り付け用!$A$2)+1,2)&amp;"/"&amp;MID(貼り付け用!$A$2, FIND("月",貼り付け用!$A$2)+1,2),"")</f>
        <v/>
      </c>
      <c r="C25" s="214" t="str">
        <f t="array" aca="1" ref="C25" ca="1">SUBSTITUTE(SUBSTITUTE(SUBSTITUTE(SUBSTITUTE(SUBSTITUTE(SUBSTITUTE(SUBSTITUTE(SUBSTITUTE(SUBSTITUTE(SUBSTITUTE(SUBSTITUTE(
INDIRECT("'盛付札（関数）'!AF"&amp;A25),"０",""),"①",""),"②",""),"③",""),"④",""),"⑤",""),"⑥",""),"⑦",""),"⑧",""),"⑨",""),"⑩","")</f>
        <v/>
      </c>
      <c r="D25" s="215"/>
      <c r="E25" s="215"/>
      <c r="F25" s="215"/>
      <c r="G25" s="39" t="str">
        <f t="array" aca="1" ref="G25" ca="1">IF(C25&lt;&gt;"",
IF(AND(INDIRECT("'盛付札（関数）'!AE"&amp;A25)&gt;=124,INDIRECT("'盛付札（関数）'!AE"&amp;A25)&lt;=144),"",
"様"),"")</f>
        <v/>
      </c>
      <c r="H25" s="33">
        <f>A25+1</f>
        <v>8</v>
      </c>
      <c r="I25" s="40" t="str">
        <f ca="1">IF(J25&lt;&gt;"",
MID(貼り付け用!$A$2, FIND("年",貼り付け用!$A$2)+1,2)&amp;"/"&amp;MID(貼り付け用!$A$2, FIND("月",貼り付け用!$A$2)+1,2),"")</f>
        <v/>
      </c>
      <c r="J25" s="214" t="str">
        <f t="array" aca="1" ref="J25" ca="1">SUBSTITUTE(SUBSTITUTE(SUBSTITUTE(SUBSTITUTE(SUBSTITUTE(SUBSTITUTE(SUBSTITUTE(SUBSTITUTE(SUBSTITUTE(SUBSTITUTE(SUBSTITUTE(
INDIRECT("'盛付札（関数）'!AF"&amp;H25),"０",""),"①",""),"②",""),"③",""),"④",""),"⑤",""),"⑥",""),"⑦",""),"⑧",""),"⑨",""),"⑩","")</f>
        <v/>
      </c>
      <c r="K25" s="215"/>
      <c r="L25" s="215"/>
      <c r="M25" s="215"/>
      <c r="N25" s="39" t="str">
        <f t="array" aca="1" ref="N25" ca="1">IF(J25&lt;&gt;"",
IF(AND(INDIRECT("'盛付札（関数）'!AE"&amp;H25)&gt;=124,INDIRECT("'盛付札（関数）'!AE"&amp;H25)&lt;=144),"",
"様"),"")</f>
        <v/>
      </c>
      <c r="O25" s="22"/>
      <c r="P25" s="30">
        <f>W17+1</f>
        <v>19</v>
      </c>
      <c r="Q25" s="40" t="str">
        <f ca="1">IF(R25&lt;&gt;"",
MID(貼り付け用!$A$2, FIND("年",貼り付け用!$A$2)+1,2)&amp;"/"&amp;MID(貼り付け用!$A$2, FIND("月",貼り付け用!$A$2)+1,2),"")</f>
        <v/>
      </c>
      <c r="R25" s="214" t="str">
        <f t="array" aca="1" ref="R25" ca="1">SUBSTITUTE(SUBSTITUTE(SUBSTITUTE(SUBSTITUTE(SUBSTITUTE(SUBSTITUTE(SUBSTITUTE(SUBSTITUTE(SUBSTITUTE(SUBSTITUTE(SUBSTITUTE(
INDIRECT("'盛付札（関数）'!AF"&amp;P25),"０",""),"①",""),"②",""),"③",""),"④",""),"⑤",""),"⑥",""),"⑦",""),"⑧",""),"⑨",""),"⑩","")</f>
        <v/>
      </c>
      <c r="S25" s="215"/>
      <c r="T25" s="215"/>
      <c r="U25" s="215"/>
      <c r="V25" s="39" t="str">
        <f t="array" aca="1" ref="V25" ca="1">IF(R25&lt;&gt;"",
IF(AND(INDIRECT("'盛付札（関数）'!AE"&amp;P25)&gt;=124,INDIRECT("'盛付札（関数）'!AE"&amp;P25)&lt;=144),"",
"様"),"")</f>
        <v/>
      </c>
      <c r="W25" s="33">
        <f>P25+1</f>
        <v>20</v>
      </c>
      <c r="X25" s="40" t="str">
        <f ca="1">IF(Y25&lt;&gt;"",
MID(貼り付け用!$A$2, FIND("年",貼り付け用!$A$2)+1,2)&amp;"/"&amp;MID(貼り付け用!$A$2, FIND("月",貼り付け用!$A$2)+1,2),"")</f>
        <v/>
      </c>
      <c r="Y25" s="214" t="str">
        <f t="array" aca="1" ref="Y25" ca="1">SUBSTITUTE(SUBSTITUTE(SUBSTITUTE(SUBSTITUTE(SUBSTITUTE(SUBSTITUTE(SUBSTITUTE(SUBSTITUTE(SUBSTITUTE(SUBSTITUTE(SUBSTITUTE(
INDIRECT("'盛付札（関数）'!AF"&amp;W25),"０",""),"①",""),"②",""),"③",""),"④",""),"⑤",""),"⑥",""),"⑦",""),"⑧",""),"⑨",""),"⑩","")</f>
        <v/>
      </c>
      <c r="Z25" s="215"/>
      <c r="AA25" s="215"/>
      <c r="AB25" s="215"/>
      <c r="AC25" s="39" t="str">
        <f t="array" aca="1" ref="AC25" ca="1">IF(Y25&lt;&gt;"",
IF(AND(INDIRECT("'盛付札（関数）'!AE"&amp;W25)&gt;=124,INDIRECT("'盛付札（関数）'!AE"&amp;W25)&lt;=144),"",
"様"),"")</f>
        <v/>
      </c>
      <c r="AD25" s="22"/>
      <c r="AE25" s="30">
        <f>AL17+1</f>
        <v>31</v>
      </c>
      <c r="AF25" s="40" t="str">
        <f ca="1">IF(AG25&lt;&gt;"",
MID(貼り付け用!$A$2, FIND("年",貼り付け用!$A$2)+1,2)&amp;"/"&amp;MID(貼り付け用!$A$2, FIND("月",貼り付け用!$A$2)+1,2),"")</f>
        <v/>
      </c>
      <c r="AG25" s="214" t="str">
        <f t="array" aca="1" ref="AG25" ca="1">SUBSTITUTE(SUBSTITUTE(SUBSTITUTE(SUBSTITUTE(SUBSTITUTE(SUBSTITUTE(SUBSTITUTE(SUBSTITUTE(SUBSTITUTE(SUBSTITUTE(SUBSTITUTE(
INDIRECT("'盛付札（関数）'!AF"&amp;AE25),"０",""),"①",""),"②",""),"③",""),"④",""),"⑤",""),"⑥",""),"⑦",""),"⑧",""),"⑨",""),"⑩","")</f>
        <v/>
      </c>
      <c r="AH25" s="215"/>
      <c r="AI25" s="215"/>
      <c r="AJ25" s="215"/>
      <c r="AK25" s="39" t="str">
        <f t="array" aca="1" ref="AK25" ca="1">IF(AG25&lt;&gt;"",
IF(AND(INDIRECT("'盛付札（関数）'!AE"&amp;AE25)&gt;=124,INDIRECT("'盛付札（関数）'!AE"&amp;AE25)&lt;=144),"",
"様"),"")</f>
        <v/>
      </c>
      <c r="AL25" s="33">
        <f>AE25+1</f>
        <v>32</v>
      </c>
      <c r="AM25" s="40" t="str">
        <f ca="1">IF(AN25&lt;&gt;"",
MID(貼り付け用!$A$2, FIND("年",貼り付け用!$A$2)+1,2)&amp;"/"&amp;MID(貼り付け用!$A$2, FIND("月",貼り付け用!$A$2)+1,2),"")</f>
        <v/>
      </c>
      <c r="AN25" s="214" t="str">
        <f t="array" aca="1" ref="AN25" ca="1">SUBSTITUTE(SUBSTITUTE(SUBSTITUTE(SUBSTITUTE(SUBSTITUTE(SUBSTITUTE(SUBSTITUTE(SUBSTITUTE(SUBSTITUTE(SUBSTITUTE(SUBSTITUTE(
INDIRECT("'盛付札（関数）'!AF"&amp;AL25),"０",""),"①",""),"②",""),"③",""),"④",""),"⑤",""),"⑥",""),"⑦",""),"⑧",""),"⑨",""),"⑩","")</f>
        <v/>
      </c>
      <c r="AO25" s="215"/>
      <c r="AP25" s="215"/>
      <c r="AQ25" s="215"/>
      <c r="AR25" s="39" t="str">
        <f t="array" aca="1" ref="AR25" ca="1">IF(AN25&lt;&gt;"",
IF(AND(INDIRECT("'盛付札（関数）'!AE"&amp;AL25)&gt;=124,INDIRECT("'盛付札（関数）'!AE"&amp;AL25)&lt;=144),"",
"様"),"")</f>
        <v/>
      </c>
      <c r="AS25" s="22"/>
      <c r="AT25" s="30">
        <f>BA17+1</f>
        <v>43</v>
      </c>
      <c r="AU25" s="40" t="str">
        <f ca="1">IF(AV25&lt;&gt;"",
MID(貼り付け用!$A$2, FIND("年",貼り付け用!$A$2)+1,2)&amp;"/"&amp;MID(貼り付け用!$A$2, FIND("月",貼り付け用!$A$2)+1,2),"")</f>
        <v/>
      </c>
      <c r="AV25" s="214" t="str">
        <f t="array" aca="1" ref="AV25" ca="1">SUBSTITUTE(SUBSTITUTE(SUBSTITUTE(SUBSTITUTE(SUBSTITUTE(SUBSTITUTE(SUBSTITUTE(SUBSTITUTE(SUBSTITUTE(SUBSTITUTE(SUBSTITUTE(
INDIRECT("'盛付札（関数）'!AF"&amp;AT25),"０",""),"①",""),"②",""),"③",""),"④",""),"⑤",""),"⑥",""),"⑦",""),"⑧",""),"⑨",""),"⑩","")</f>
        <v/>
      </c>
      <c r="AW25" s="215"/>
      <c r="AX25" s="215"/>
      <c r="AY25" s="215"/>
      <c r="AZ25" s="39" t="str">
        <f t="array" aca="1" ref="AZ25" ca="1">IF(AV25&lt;&gt;"",
IF(AND(INDIRECT("'盛付札（関数）'!AE"&amp;AT25)&gt;=124,INDIRECT("'盛付札（関数）'!AE"&amp;AT25)&lt;=144),"",
"様"),"")</f>
        <v/>
      </c>
      <c r="BA25" s="33">
        <f>AT25+1</f>
        <v>44</v>
      </c>
      <c r="BB25" s="40" t="str">
        <f ca="1">IF(BC25&lt;&gt;"",
MID(貼り付け用!$A$2, FIND("年",貼り付け用!$A$2)+1,2)&amp;"/"&amp;MID(貼り付け用!$A$2, FIND("月",貼り付け用!$A$2)+1,2),"")</f>
        <v/>
      </c>
      <c r="BC25" s="214" t="str">
        <f t="array" aca="1" ref="BC25" ca="1">SUBSTITUTE(SUBSTITUTE(SUBSTITUTE(SUBSTITUTE(SUBSTITUTE(SUBSTITUTE(SUBSTITUTE(SUBSTITUTE(SUBSTITUTE(SUBSTITUTE(SUBSTITUTE(
INDIRECT("'盛付札（関数）'!AF"&amp;BA25),"０",""),"①",""),"②",""),"③",""),"④",""),"⑤",""),"⑥",""),"⑦",""),"⑧",""),"⑨",""),"⑩","")</f>
        <v/>
      </c>
      <c r="BD25" s="215"/>
      <c r="BE25" s="215"/>
      <c r="BF25" s="215"/>
      <c r="BG25" s="39" t="str">
        <f t="array" aca="1" ref="BG25" ca="1">IF(BC25&lt;&gt;"",
IF(AND(INDIRECT("'盛付札（関数）'!AE"&amp;BA25)&gt;=124,INDIRECT("'盛付札（関数）'!AE"&amp;BA25)&lt;=144),"",
"様"),"")</f>
        <v/>
      </c>
      <c r="BH25" s="22"/>
      <c r="BI25" s="30">
        <f>BP17+1</f>
        <v>55</v>
      </c>
      <c r="BJ25" s="40" t="str">
        <f ca="1">IF(BK25&lt;&gt;"",
MID(貼り付け用!$A$2, FIND("年",貼り付け用!$A$2)+1,2)&amp;"/"&amp;MID(貼り付け用!$A$2, FIND("月",貼り付け用!$A$2)+1,2),"")</f>
        <v/>
      </c>
      <c r="BK25" s="214" t="str">
        <f t="array" aca="1" ref="BK25" ca="1">SUBSTITUTE(SUBSTITUTE(SUBSTITUTE(SUBSTITUTE(SUBSTITUTE(SUBSTITUTE(SUBSTITUTE(SUBSTITUTE(SUBSTITUTE(SUBSTITUTE(SUBSTITUTE(
INDIRECT("'盛付札（関数）'!AF"&amp;BI25),"０",""),"①",""),"②",""),"③",""),"④",""),"⑤",""),"⑥",""),"⑦",""),"⑧",""),"⑨",""),"⑩","")</f>
        <v/>
      </c>
      <c r="BL25" s="215"/>
      <c r="BM25" s="215"/>
      <c r="BN25" s="215"/>
      <c r="BO25" s="39" t="str">
        <f t="array" aca="1" ref="BO25" ca="1">IF(BK25&lt;&gt;"",
IF(AND(INDIRECT("'盛付札（関数）'!AE"&amp;BI25)&gt;=124,INDIRECT("'盛付札（関数）'!AE"&amp;BI25)&lt;=144),"",
"様"),"")</f>
        <v/>
      </c>
      <c r="BP25" s="33">
        <f>BI25+1</f>
        <v>56</v>
      </c>
      <c r="BQ25" s="40" t="str">
        <f ca="1">IF(BR25&lt;&gt;"",
MID(貼り付け用!$A$2, FIND("年",貼り付け用!$A$2)+1,2)&amp;"/"&amp;MID(貼り付け用!$A$2, FIND("月",貼り付け用!$A$2)+1,2),"")</f>
        <v/>
      </c>
      <c r="BR25" s="214" t="str">
        <f t="array" aca="1" ref="BR25" ca="1">SUBSTITUTE(SUBSTITUTE(SUBSTITUTE(SUBSTITUTE(SUBSTITUTE(SUBSTITUTE(SUBSTITUTE(SUBSTITUTE(SUBSTITUTE(SUBSTITUTE(SUBSTITUTE(
INDIRECT("'盛付札（関数）'!AF"&amp;BP25),"０",""),"①",""),"②",""),"③",""),"④",""),"⑤",""),"⑥",""),"⑦",""),"⑧",""),"⑨",""),"⑩","")</f>
        <v/>
      </c>
      <c r="BS25" s="215"/>
      <c r="BT25" s="215"/>
      <c r="BU25" s="215"/>
      <c r="BV25" s="39" t="str">
        <f t="array" aca="1" ref="BV25" ca="1">IF(BR25&lt;&gt;"",
IF(AND(INDIRECT("'盛付札（関数）'!AE"&amp;BP25)&gt;=124,INDIRECT("'盛付札（関数）'!AE"&amp;BP25)&lt;=144),"",
"様"),"")</f>
        <v/>
      </c>
      <c r="BW25" s="22"/>
      <c r="BX25" s="30">
        <f>CE17+1</f>
        <v>67</v>
      </c>
      <c r="BY25" s="40" t="str">
        <f ca="1">IF(BZ25&lt;&gt;"",
MID(貼り付け用!$A$2, FIND("年",貼り付け用!$A$2)+1,2)&amp;"/"&amp;MID(貼り付け用!$A$2, FIND("月",貼り付け用!$A$2)+1,2),"")</f>
        <v/>
      </c>
      <c r="BZ25" s="214" t="str">
        <f t="array" aca="1" ref="BZ25" ca="1">SUBSTITUTE(SUBSTITUTE(SUBSTITUTE(SUBSTITUTE(SUBSTITUTE(SUBSTITUTE(SUBSTITUTE(SUBSTITUTE(SUBSTITUTE(SUBSTITUTE(SUBSTITUTE(
INDIRECT("'盛付札（関数）'!AF"&amp;BX25),"０",""),"①",""),"②",""),"③",""),"④",""),"⑤",""),"⑥",""),"⑦",""),"⑧",""),"⑨",""),"⑩","")</f>
        <v/>
      </c>
      <c r="CA25" s="215"/>
      <c r="CB25" s="215"/>
      <c r="CC25" s="215"/>
      <c r="CD25" s="39" t="str">
        <f t="array" aca="1" ref="CD25" ca="1">IF(BZ25&lt;&gt;"",
IF(AND(INDIRECT("'盛付札（関数）'!AE"&amp;BX25)&gt;=124,INDIRECT("'盛付札（関数）'!AE"&amp;BX25)&lt;=144),"",
"様"),"")</f>
        <v/>
      </c>
      <c r="CE25" s="33">
        <f>BX25+1</f>
        <v>68</v>
      </c>
      <c r="CF25" s="40" t="str">
        <f ca="1">IF(CG25&lt;&gt;"",
MID(貼り付け用!$A$2, FIND("年",貼り付け用!$A$2)+1,2)&amp;"/"&amp;MID(貼り付け用!$A$2, FIND("月",貼り付け用!$A$2)+1,2),"")</f>
        <v/>
      </c>
      <c r="CG25" s="214" t="str">
        <f t="array" aca="1" ref="CG25" ca="1">SUBSTITUTE(SUBSTITUTE(SUBSTITUTE(SUBSTITUTE(SUBSTITUTE(SUBSTITUTE(SUBSTITUTE(SUBSTITUTE(SUBSTITUTE(SUBSTITUTE(SUBSTITUTE(
INDIRECT("'盛付札（関数）'!AF"&amp;CE25),"０",""),"①",""),"②",""),"③",""),"④",""),"⑤",""),"⑥",""),"⑦",""),"⑧",""),"⑨",""),"⑩","")</f>
        <v/>
      </c>
      <c r="CH25" s="215"/>
      <c r="CI25" s="215"/>
      <c r="CJ25" s="215"/>
      <c r="CK25" s="39" t="str">
        <f t="array" aca="1" ref="CK25" ca="1">IF(CG25&lt;&gt;"",
IF(AND(INDIRECT("'盛付札（関数）'!AE"&amp;CE25)&gt;=124,INDIRECT("'盛付札（関数）'!AE"&amp;CE25)&lt;=144),"",
"様"),"")</f>
        <v/>
      </c>
      <c r="CL25" s="22"/>
      <c r="CM25" s="30">
        <f>CT17+1</f>
        <v>79</v>
      </c>
      <c r="CN25" s="40" t="str">
        <f ca="1">IF(CO25&lt;&gt;"",
MID(貼り付け用!$A$2, FIND("年",貼り付け用!$A$2)+1,2)&amp;"/"&amp;MID(貼り付け用!$A$2, FIND("月",貼り付け用!$A$2)+1,2),"")</f>
        <v/>
      </c>
      <c r="CO25" s="214" t="str">
        <f t="array" aca="1" ref="CO25" ca="1">SUBSTITUTE(SUBSTITUTE(SUBSTITUTE(SUBSTITUTE(SUBSTITUTE(SUBSTITUTE(SUBSTITUTE(SUBSTITUTE(SUBSTITUTE(SUBSTITUTE(SUBSTITUTE(
INDIRECT("'盛付札（関数）'!AF"&amp;CM25),"０",""),"①",""),"②",""),"③",""),"④",""),"⑤",""),"⑥",""),"⑦",""),"⑧",""),"⑨",""),"⑩","")</f>
        <v/>
      </c>
      <c r="CP25" s="215"/>
      <c r="CQ25" s="215"/>
      <c r="CR25" s="215"/>
      <c r="CS25" s="39" t="str">
        <f t="array" aca="1" ref="CS25" ca="1">IF(CO25&lt;&gt;"",
IF(AND(INDIRECT("'盛付札（関数）'!AE"&amp;CM25)&gt;=124,INDIRECT("'盛付札（関数）'!AE"&amp;CM25)&lt;=144),"",
"様"),"")</f>
        <v/>
      </c>
      <c r="CT25" s="33">
        <f>CM25+1</f>
        <v>80</v>
      </c>
      <c r="CU25" s="40" t="str">
        <f ca="1">IF(CV25&lt;&gt;"",
MID(貼り付け用!$A$2, FIND("年",貼り付け用!$A$2)+1,2)&amp;"/"&amp;MID(貼り付け用!$A$2, FIND("月",貼り付け用!$A$2)+1,2),"")</f>
        <v/>
      </c>
      <c r="CV25" s="214" t="str">
        <f t="array" aca="1" ref="CV25" ca="1">SUBSTITUTE(SUBSTITUTE(SUBSTITUTE(SUBSTITUTE(SUBSTITUTE(SUBSTITUTE(SUBSTITUTE(SUBSTITUTE(SUBSTITUTE(SUBSTITUTE(SUBSTITUTE(
INDIRECT("'盛付札（関数）'!AF"&amp;CT25),"０",""),"①",""),"②",""),"③",""),"④",""),"⑤",""),"⑥",""),"⑦",""),"⑧",""),"⑨",""),"⑩","")</f>
        <v/>
      </c>
      <c r="CW25" s="215"/>
      <c r="CX25" s="215"/>
      <c r="CY25" s="215"/>
      <c r="CZ25" s="39" t="str">
        <f t="array" aca="1" ref="CZ25" ca="1">IF(CV25&lt;&gt;"",
IF(AND(INDIRECT("'盛付札（関数）'!AE"&amp;CT25)&gt;=124,INDIRECT("'盛付札（関数）'!AE"&amp;CT25)&lt;=144),"",
"様"),"")</f>
        <v/>
      </c>
      <c r="DA25" s="22"/>
      <c r="DB25" s="30">
        <f>DI17+1</f>
        <v>91</v>
      </c>
      <c r="DC25" s="40" t="str">
        <f ca="1">IF(DD25&lt;&gt;"",
MID(貼り付け用!$A$2, FIND("年",貼り付け用!$A$2)+1,2)&amp;"/"&amp;MID(貼り付け用!$A$2, FIND("月",貼り付け用!$A$2)+1,2),"")</f>
        <v/>
      </c>
      <c r="DD25" s="214" t="str">
        <f t="array" aca="1" ref="DD25" ca="1">SUBSTITUTE(SUBSTITUTE(SUBSTITUTE(SUBSTITUTE(SUBSTITUTE(SUBSTITUTE(SUBSTITUTE(SUBSTITUTE(SUBSTITUTE(SUBSTITUTE(SUBSTITUTE(
INDIRECT("'盛付札（関数）'!AF"&amp;DB25),"０",""),"①",""),"②",""),"③",""),"④",""),"⑤",""),"⑥",""),"⑦",""),"⑧",""),"⑨",""),"⑩","")</f>
        <v/>
      </c>
      <c r="DE25" s="215"/>
      <c r="DF25" s="215"/>
      <c r="DG25" s="215"/>
      <c r="DH25" s="39" t="str">
        <f t="array" aca="1" ref="DH25" ca="1">IF(DD25&lt;&gt;"",
IF(AND(INDIRECT("'盛付札（関数）'!AE"&amp;DB25)&gt;=124,INDIRECT("'盛付札（関数）'!AE"&amp;DB25)&lt;=144),"",
"様"),"")</f>
        <v/>
      </c>
      <c r="DI25" s="33">
        <f>DB25+1</f>
        <v>92</v>
      </c>
      <c r="DJ25" s="40" t="str">
        <f ca="1">IF(DK25&lt;&gt;"",
MID(貼り付け用!$A$2, FIND("年",貼り付け用!$A$2)+1,2)&amp;"/"&amp;MID(貼り付け用!$A$2, FIND("月",貼り付け用!$A$2)+1,2),"")</f>
        <v/>
      </c>
      <c r="DK25" s="214" t="str">
        <f t="array" aca="1" ref="DK25" ca="1">SUBSTITUTE(SUBSTITUTE(SUBSTITUTE(SUBSTITUTE(SUBSTITUTE(SUBSTITUTE(SUBSTITUTE(SUBSTITUTE(SUBSTITUTE(SUBSTITUTE(SUBSTITUTE(
INDIRECT("'盛付札（関数）'!AF"&amp;DI25),"０",""),"①",""),"②",""),"③",""),"④",""),"⑤",""),"⑥",""),"⑦",""),"⑧",""),"⑨",""),"⑩","")</f>
        <v/>
      </c>
      <c r="DL25" s="215"/>
      <c r="DM25" s="215"/>
      <c r="DN25" s="215"/>
      <c r="DO25" s="39" t="str">
        <f t="array" aca="1" ref="DO25" ca="1">IF(DK25&lt;&gt;"",
IF(AND(INDIRECT("'盛付札（関数）'!AE"&amp;DI25)&gt;=124,INDIRECT("'盛付札（関数）'!AE"&amp;DI25)&lt;=144),"",
"様"),"")</f>
        <v/>
      </c>
      <c r="DP25" s="22"/>
      <c r="DQ25" s="30">
        <f>DX17+1</f>
        <v>103</v>
      </c>
      <c r="DR25" s="40" t="str">
        <f ca="1">IF(DS25&lt;&gt;"",
MID(貼り付け用!$A$2, FIND("年",貼り付け用!$A$2)+1,2)&amp;"/"&amp;MID(貼り付け用!$A$2, FIND("月",貼り付け用!$A$2)+1,2),"")</f>
        <v/>
      </c>
      <c r="DS25" s="214" t="str">
        <f t="array" aca="1" ref="DS25" ca="1">SUBSTITUTE(SUBSTITUTE(SUBSTITUTE(SUBSTITUTE(SUBSTITUTE(SUBSTITUTE(SUBSTITUTE(SUBSTITUTE(SUBSTITUTE(SUBSTITUTE(SUBSTITUTE(
INDIRECT("'盛付札（関数）'!AF"&amp;DQ25),"０",""),"①",""),"②",""),"③",""),"④",""),"⑤",""),"⑥",""),"⑦",""),"⑧",""),"⑨",""),"⑩","")</f>
        <v/>
      </c>
      <c r="DT25" s="215"/>
      <c r="DU25" s="215"/>
      <c r="DV25" s="215"/>
      <c r="DW25" s="39" t="str">
        <f t="array" aca="1" ref="DW25" ca="1">IF(DS25&lt;&gt;"",
IF(AND(INDIRECT("'盛付札（関数）'!AE"&amp;DQ25)&gt;=124,INDIRECT("'盛付札（関数）'!AE"&amp;DQ25)&lt;=144),"",
"様"),"")</f>
        <v/>
      </c>
      <c r="DX25" s="33">
        <f>DQ25+1</f>
        <v>104</v>
      </c>
      <c r="DY25" s="40" t="str">
        <f ca="1">IF(DZ25&lt;&gt;"",
MID(貼り付け用!$A$2, FIND("年",貼り付け用!$A$2)+1,2)&amp;"/"&amp;MID(貼り付け用!$A$2, FIND("月",貼り付け用!$A$2)+1,2),"")</f>
        <v/>
      </c>
      <c r="DZ25" s="214" t="str">
        <f t="array" aca="1" ref="DZ25" ca="1">SUBSTITUTE(SUBSTITUTE(SUBSTITUTE(SUBSTITUTE(SUBSTITUTE(SUBSTITUTE(SUBSTITUTE(SUBSTITUTE(SUBSTITUTE(SUBSTITUTE(SUBSTITUTE(
INDIRECT("'盛付札（関数）'!AF"&amp;DX25),"０",""),"①",""),"②",""),"③",""),"④",""),"⑤",""),"⑥",""),"⑦",""),"⑧",""),"⑨",""),"⑩","")</f>
        <v/>
      </c>
      <c r="EA25" s="215"/>
      <c r="EB25" s="215"/>
      <c r="EC25" s="215"/>
      <c r="ED25" s="39" t="str">
        <f t="array" aca="1" ref="ED25" ca="1">IF(DZ25&lt;&gt;"",
IF(AND(INDIRECT("'盛付札（関数）'!AE"&amp;DX25)&gt;=124,INDIRECT("'盛付札（関数）'!AE"&amp;DX25)&lt;=144),"",
"様"),"")</f>
        <v/>
      </c>
      <c r="EE25" s="22"/>
      <c r="EF25" s="30">
        <f>EM17+1</f>
        <v>115</v>
      </c>
      <c r="EG25" s="40" t="str">
        <f ca="1">IF(EH25&lt;&gt;"",
MID(貼り付け用!$A$2, FIND("年",貼り付け用!$A$2)+1,2)&amp;"/"&amp;MID(貼り付け用!$A$2, FIND("月",貼り付け用!$A$2)+1,2),"")</f>
        <v/>
      </c>
      <c r="EH25" s="214" t="str">
        <f t="array" aca="1" ref="EH25" ca="1">SUBSTITUTE(SUBSTITUTE(SUBSTITUTE(SUBSTITUTE(SUBSTITUTE(SUBSTITUTE(SUBSTITUTE(SUBSTITUTE(SUBSTITUTE(SUBSTITUTE(SUBSTITUTE(
INDIRECT("'盛付札（関数）'!AF"&amp;EF25),"０",""),"①",""),"②",""),"③",""),"④",""),"⑤",""),"⑥",""),"⑦",""),"⑧",""),"⑨",""),"⑩","")</f>
        <v/>
      </c>
      <c r="EI25" s="215"/>
      <c r="EJ25" s="215"/>
      <c r="EK25" s="215"/>
      <c r="EL25" s="39" t="str">
        <f t="array" aca="1" ref="EL25" ca="1">IF(EH25&lt;&gt;"",
IF(AND(INDIRECT("'盛付札（関数）'!AE"&amp;EF25)&gt;=124,INDIRECT("'盛付札（関数）'!AE"&amp;EF25)&lt;=144),"",
"様"),"")</f>
        <v/>
      </c>
      <c r="EM25" s="33">
        <f>EF25+1</f>
        <v>116</v>
      </c>
      <c r="EN25" s="40" t="str">
        <f ca="1">IF(EO25&lt;&gt;"",
MID(貼り付け用!$A$2, FIND("年",貼り付け用!$A$2)+1,2)&amp;"/"&amp;MID(貼り付け用!$A$2, FIND("月",貼り付け用!$A$2)+1,2),"")</f>
        <v/>
      </c>
      <c r="EO25" s="214" t="str">
        <f t="array" aca="1" ref="EO25" ca="1">SUBSTITUTE(SUBSTITUTE(SUBSTITUTE(SUBSTITUTE(SUBSTITUTE(SUBSTITUTE(SUBSTITUTE(SUBSTITUTE(SUBSTITUTE(SUBSTITUTE(SUBSTITUTE(
INDIRECT("'盛付札（関数）'!AF"&amp;EM25),"０",""),"①",""),"②",""),"③",""),"④",""),"⑤",""),"⑥",""),"⑦",""),"⑧",""),"⑨",""),"⑩","")</f>
        <v/>
      </c>
      <c r="EP25" s="215"/>
      <c r="EQ25" s="215"/>
      <c r="ER25" s="215"/>
      <c r="ES25" s="39" t="str">
        <f t="array" aca="1" ref="ES25" ca="1">IF(EO25&lt;&gt;"",
IF(AND(INDIRECT("'盛付札（関数）'!AE"&amp;EM25)&gt;=124,INDIRECT("'盛付札（関数）'!AE"&amp;EM25)&lt;=144),"",
"様"),"")</f>
        <v/>
      </c>
      <c r="ET25" s="22"/>
    </row>
    <row r="26" spans="1:150" s="181" customFormat="1">
      <c r="A26" s="30"/>
      <c r="B26" s="102"/>
      <c r="C26" s="136" t="str">
        <f t="array" aca="1" ref="C26" ca="1">IF(C25&lt;&gt;"",
IF(OR(INDIRECT("'盛付札（関数）'!AE"&amp;A25)=211,INDIRECT("'盛付札（関数）'!AE"&amp;A25)=212,INDIRECT("'盛付札（関数）'!AE"&amp;A25)=213),"",
IF(AND(INDIRECT("'盛付札（関数）'!AE"&amp;A25)&gt;=219,INDIRECT("'盛付札（関数）'!AE"&amp;A25)&lt;=246),"",
INDIRECT("'盛付札（関数）'!AG"&amp;A25))),"")</f>
        <v/>
      </c>
      <c r="D26" s="38"/>
      <c r="E26" s="38"/>
      <c r="F26" s="190" t="str">
        <f t="array" aca="1" ref="F26" ca="1">IF(AND(C25&lt;&gt;"",ISERROR(FIND("社食",C25))),
IF(OR(INDIRECT("'盛付札（関数）'!AE"&amp;A25)=211,INDIRECT("'盛付札（関数）'!AE"&amp;A25)=212,INDIRECT("'盛付札（関数）'!AE"&amp;A25)=213),"",
IF(INDIRECT("'盛付札（関数）'!AH"&amp;A25)&lt;&gt;"",
INDIRECT("'盛付札（関数）'!AH"&amp;A25)&amp;"箱"&amp;INDIRECT("'盛付札（関数）'!AI"&amp;A25),"")),"")</f>
        <v/>
      </c>
      <c r="G26" s="36"/>
      <c r="H26" s="43"/>
      <c r="I26" s="102"/>
      <c r="J26" s="136" t="str">
        <f t="array" aca="1" ref="J26" ca="1">IF(J25&lt;&gt;"",
IF(OR(INDIRECT("'盛付札（関数）'!AE"&amp;H25)=211,INDIRECT("'盛付札（関数）'!AE"&amp;H25)=212,INDIRECT("'盛付札（関数）'!AE"&amp;H25)=213),"",
IF(AND(INDIRECT("'盛付札（関数）'!AE"&amp;H25)&gt;=219,INDIRECT("'盛付札（関数）'!AE"&amp;H25)&lt;=246),"",
INDIRECT("'盛付札（関数）'!AG"&amp;H25))),"")</f>
        <v/>
      </c>
      <c r="K26" s="38"/>
      <c r="L26" s="38"/>
      <c r="M26" s="190" t="str">
        <f t="array" aca="1" ref="M26" ca="1">IF(AND(J25&lt;&gt;"",ISERROR(FIND("社食",J25))),
IF(OR(INDIRECT("'盛付札（関数）'!AE"&amp;H25)=211,INDIRECT("'盛付札（関数）'!AE"&amp;H25)=212,INDIRECT("'盛付札（関数）'!AE"&amp;H25)=213),"",
IF(INDIRECT("'盛付札（関数）'!AH"&amp;H25)&lt;&gt;"",
INDIRECT("'盛付札（関数）'!AH"&amp;H25)&amp;"箱"&amp;INDIRECT("'盛付札（関数）'!AI"&amp;H25),"")),"")</f>
        <v/>
      </c>
      <c r="N26" s="36"/>
      <c r="O26" s="22"/>
      <c r="P26" s="30"/>
      <c r="Q26" s="102"/>
      <c r="R26" s="136" t="str">
        <f t="array" aca="1" ref="R26" ca="1">IF(R25&lt;&gt;"",
IF(OR(INDIRECT("'盛付札（関数）'!AE"&amp;P25)=211,INDIRECT("'盛付札（関数）'!AE"&amp;P25)=212,INDIRECT("'盛付札（関数）'!AE"&amp;P25)=213),"",
IF(AND(INDIRECT("'盛付札（関数）'!AE"&amp;P25)&gt;=219,INDIRECT("'盛付札（関数）'!AE"&amp;P25)&lt;=246),"",
INDIRECT("'盛付札（関数）'!AG"&amp;P25))),"")</f>
        <v/>
      </c>
      <c r="S26" s="38"/>
      <c r="T26" s="38"/>
      <c r="U26" s="190" t="str">
        <f t="array" aca="1" ref="U26" ca="1">IF(AND(R25&lt;&gt;"",ISERROR(FIND("社食",R25))),
IF(OR(INDIRECT("'盛付札（関数）'!AE"&amp;P25)=211,INDIRECT("'盛付札（関数）'!AE"&amp;P25)=212,INDIRECT("'盛付札（関数）'!AE"&amp;P25)=213),"",
IF(INDIRECT("'盛付札（関数）'!AH"&amp;P25)&lt;&gt;"",
INDIRECT("'盛付札（関数）'!AH"&amp;P25)&amp;"箱"&amp;INDIRECT("'盛付札（関数）'!AI"&amp;P25),"")),"")</f>
        <v/>
      </c>
      <c r="V26" s="36"/>
      <c r="W26" s="43"/>
      <c r="X26" s="102"/>
      <c r="Y26" s="136" t="str">
        <f t="array" aca="1" ref="Y26" ca="1">IF(Y25&lt;&gt;"",
IF(OR(INDIRECT("'盛付札（関数）'!AE"&amp;W25)=211,INDIRECT("'盛付札（関数）'!AE"&amp;W25)=212,INDIRECT("'盛付札（関数）'!AE"&amp;W25)=213),"",
IF(AND(INDIRECT("'盛付札（関数）'!AE"&amp;W25)&gt;=219,INDIRECT("'盛付札（関数）'!AE"&amp;W25)&lt;=246),"",
INDIRECT("'盛付札（関数）'!AG"&amp;W25))),"")</f>
        <v/>
      </c>
      <c r="Z26" s="38"/>
      <c r="AA26" s="38"/>
      <c r="AB26" s="190" t="str">
        <f t="array" aca="1" ref="AB26" ca="1">IF(AND(Y25&lt;&gt;"",ISERROR(FIND("社食",Y25))),
IF(OR(INDIRECT("'盛付札（関数）'!AE"&amp;W25)=211,INDIRECT("'盛付札（関数）'!AE"&amp;W25)=212,INDIRECT("'盛付札（関数）'!AE"&amp;W25)=213),"",
IF(INDIRECT("'盛付札（関数）'!AH"&amp;W25)&lt;&gt;"",
INDIRECT("'盛付札（関数）'!AH"&amp;W25)&amp;"箱"&amp;INDIRECT("'盛付札（関数）'!AI"&amp;W25),"")),"")</f>
        <v/>
      </c>
      <c r="AC26" s="36"/>
      <c r="AD26" s="22"/>
      <c r="AE26" s="30"/>
      <c r="AF26" s="102"/>
      <c r="AG26" s="136" t="str">
        <f t="array" aca="1" ref="AG26" ca="1">IF(AG25&lt;&gt;"",
IF(OR(INDIRECT("'盛付札（関数）'!AE"&amp;AE25)=211,INDIRECT("'盛付札（関数）'!AE"&amp;AE25)=212,INDIRECT("'盛付札（関数）'!AE"&amp;AE25)=213),"",
IF(AND(INDIRECT("'盛付札（関数）'!AE"&amp;AE25)&gt;=219,INDIRECT("'盛付札（関数）'!AE"&amp;AE25)&lt;=246),"",
INDIRECT("'盛付札（関数）'!AG"&amp;AE25))),"")</f>
        <v/>
      </c>
      <c r="AH26" s="38"/>
      <c r="AI26" s="38"/>
      <c r="AJ26" s="190" t="str">
        <f t="array" aca="1" ref="AJ26" ca="1">IF(AND(AG25&lt;&gt;"",ISERROR(FIND("社食",AG25))),
IF(OR(INDIRECT("'盛付札（関数）'!AE"&amp;AE25)=211,INDIRECT("'盛付札（関数）'!AE"&amp;AE25)=212,INDIRECT("'盛付札（関数）'!AE"&amp;AE25)=213),"",
IF(INDIRECT("'盛付札（関数）'!AH"&amp;AE25)&lt;&gt;"",
INDIRECT("'盛付札（関数）'!AH"&amp;AE25)&amp;"箱"&amp;INDIRECT("'盛付札（関数）'!AI"&amp;AE25),"")),"")</f>
        <v/>
      </c>
      <c r="AK26" s="36"/>
      <c r="AL26" s="43"/>
      <c r="AM26" s="102"/>
      <c r="AN26" s="136" t="str">
        <f t="array" aca="1" ref="AN26" ca="1">IF(AN25&lt;&gt;"",
IF(OR(INDIRECT("'盛付札（関数）'!AE"&amp;AL25)=211,INDIRECT("'盛付札（関数）'!AE"&amp;AL25)=212,INDIRECT("'盛付札（関数）'!AE"&amp;AL25)=213),"",
IF(AND(INDIRECT("'盛付札（関数）'!AE"&amp;AL25)&gt;=219,INDIRECT("'盛付札（関数）'!AE"&amp;AL25)&lt;=246),"",
INDIRECT("'盛付札（関数）'!AG"&amp;AL25))),"")</f>
        <v/>
      </c>
      <c r="AO26" s="38"/>
      <c r="AP26" s="38"/>
      <c r="AQ26" s="190" t="str">
        <f t="array" aca="1" ref="AQ26" ca="1">IF(AND(AN25&lt;&gt;"",ISERROR(FIND("社食",AN25))),
IF(OR(INDIRECT("'盛付札（関数）'!AE"&amp;AL25)=211,INDIRECT("'盛付札（関数）'!AE"&amp;AL25)=212,INDIRECT("'盛付札（関数）'!AE"&amp;AL25)=213),"",
IF(INDIRECT("'盛付札（関数）'!AH"&amp;AL25)&lt;&gt;"",
INDIRECT("'盛付札（関数）'!AH"&amp;AL25)&amp;"箱"&amp;INDIRECT("'盛付札（関数）'!AI"&amp;AL25),"")),"")</f>
        <v/>
      </c>
      <c r="AR26" s="36"/>
      <c r="AS26" s="22"/>
      <c r="AT26" s="30"/>
      <c r="AU26" s="102"/>
      <c r="AV26" s="136" t="str">
        <f t="array" aca="1" ref="AV26" ca="1">IF(AV25&lt;&gt;"",
IF(OR(INDIRECT("'盛付札（関数）'!AE"&amp;AT25)=211,INDIRECT("'盛付札（関数）'!AE"&amp;AT25)=212,INDIRECT("'盛付札（関数）'!AE"&amp;AT25)=213),"",
IF(AND(INDIRECT("'盛付札（関数）'!AE"&amp;AT25)&gt;=219,INDIRECT("'盛付札（関数）'!AE"&amp;AT25)&lt;=246),"",
INDIRECT("'盛付札（関数）'!AG"&amp;AT25))),"")</f>
        <v/>
      </c>
      <c r="AW26" s="38"/>
      <c r="AX26" s="38"/>
      <c r="AY26" s="190" t="str">
        <f t="array" aca="1" ref="AY26" ca="1">IF(AND(AV25&lt;&gt;"",ISERROR(FIND("社食",AV25))),
IF(OR(INDIRECT("'盛付札（関数）'!AE"&amp;AT25)=211,INDIRECT("'盛付札（関数）'!AE"&amp;AT25)=212,INDIRECT("'盛付札（関数）'!AE"&amp;AT25)=213),"",
IF(INDIRECT("'盛付札（関数）'!AH"&amp;AT25)&lt;&gt;"",
INDIRECT("'盛付札（関数）'!AH"&amp;AT25)&amp;"箱"&amp;INDIRECT("'盛付札（関数）'!AI"&amp;AT25),"")),"")</f>
        <v/>
      </c>
      <c r="AZ26" s="36"/>
      <c r="BA26" s="43"/>
      <c r="BB26" s="102"/>
      <c r="BC26" s="136" t="str">
        <f t="array" aca="1" ref="BC26" ca="1">IF(BC25&lt;&gt;"",
IF(OR(INDIRECT("'盛付札（関数）'!AE"&amp;BA25)=211,INDIRECT("'盛付札（関数）'!AE"&amp;BA25)=212,INDIRECT("'盛付札（関数）'!AE"&amp;BA25)=213),"",
IF(AND(INDIRECT("'盛付札（関数）'!AE"&amp;BA25)&gt;=219,INDIRECT("'盛付札（関数）'!AE"&amp;BA25)&lt;=246),"",
INDIRECT("'盛付札（関数）'!AG"&amp;BA25))),"")</f>
        <v/>
      </c>
      <c r="BD26" s="38"/>
      <c r="BE26" s="38"/>
      <c r="BF26" s="190" t="str">
        <f t="array" aca="1" ref="BF26" ca="1">IF(AND(BC25&lt;&gt;"",ISERROR(FIND("社食",BC25))),
IF(OR(INDIRECT("'盛付札（関数）'!AE"&amp;BA25)=211,INDIRECT("'盛付札（関数）'!AE"&amp;BA25)=212,INDIRECT("'盛付札（関数）'!AE"&amp;BA25)=213),"",
IF(INDIRECT("'盛付札（関数）'!AH"&amp;BA25)&lt;&gt;"",
INDIRECT("'盛付札（関数）'!AH"&amp;BA25)&amp;"箱"&amp;INDIRECT("'盛付札（関数）'!AI"&amp;BA25),"")),"")</f>
        <v/>
      </c>
      <c r="BG26" s="36"/>
      <c r="BH26" s="22"/>
      <c r="BI26" s="30"/>
      <c r="BJ26" s="102"/>
      <c r="BK26" s="136" t="str">
        <f t="array" aca="1" ref="BK26" ca="1">IF(BK25&lt;&gt;"",
IF(OR(INDIRECT("'盛付札（関数）'!AE"&amp;BI25)=211,INDIRECT("'盛付札（関数）'!AE"&amp;BI25)=212,INDIRECT("'盛付札（関数）'!AE"&amp;BI25)=213),"",
IF(AND(INDIRECT("'盛付札（関数）'!AE"&amp;BI25)&gt;=219,INDIRECT("'盛付札（関数）'!AE"&amp;BI25)&lt;=246),"",
INDIRECT("'盛付札（関数）'!AG"&amp;BI25))),"")</f>
        <v/>
      </c>
      <c r="BL26" s="38"/>
      <c r="BM26" s="38"/>
      <c r="BN26" s="190" t="str">
        <f t="array" aca="1" ref="BN26" ca="1">IF(AND(BK25&lt;&gt;"",ISERROR(FIND("社食",BK25))),
IF(OR(INDIRECT("'盛付札（関数）'!AE"&amp;BI25)=211,INDIRECT("'盛付札（関数）'!AE"&amp;BI25)=212,INDIRECT("'盛付札（関数）'!AE"&amp;BI25)=213),"",
IF(INDIRECT("'盛付札（関数）'!AH"&amp;BI25)&lt;&gt;"",
INDIRECT("'盛付札（関数）'!AH"&amp;BI25)&amp;"箱"&amp;INDIRECT("'盛付札（関数）'!AI"&amp;BI25),"")),"")</f>
        <v/>
      </c>
      <c r="BO26" s="36"/>
      <c r="BP26" s="43"/>
      <c r="BQ26" s="102"/>
      <c r="BR26" s="136" t="str">
        <f t="array" aca="1" ref="BR26" ca="1">IF(BR25&lt;&gt;"",
IF(OR(INDIRECT("'盛付札（関数）'!AE"&amp;BP25)=211,INDIRECT("'盛付札（関数）'!AE"&amp;BP25)=212,INDIRECT("'盛付札（関数）'!AE"&amp;BP25)=213),"",
IF(AND(INDIRECT("'盛付札（関数）'!AE"&amp;BP25)&gt;=219,INDIRECT("'盛付札（関数）'!AE"&amp;BP25)&lt;=246),"",
INDIRECT("'盛付札（関数）'!AG"&amp;BP25))),"")</f>
        <v/>
      </c>
      <c r="BS26" s="38"/>
      <c r="BT26" s="38"/>
      <c r="BU26" s="190" t="str">
        <f t="array" aca="1" ref="BU26" ca="1">IF(AND(BR25&lt;&gt;"",ISERROR(FIND("社食",BR25))),
IF(OR(INDIRECT("'盛付札（関数）'!AE"&amp;BP25)=211,INDIRECT("'盛付札（関数）'!AE"&amp;BP25)=212,INDIRECT("'盛付札（関数）'!AE"&amp;BP25)=213),"",
IF(INDIRECT("'盛付札（関数）'!AH"&amp;BP25)&lt;&gt;"",
INDIRECT("'盛付札（関数）'!AH"&amp;BP25)&amp;"箱"&amp;INDIRECT("'盛付札（関数）'!AI"&amp;BP25),"")),"")</f>
        <v/>
      </c>
      <c r="BV26" s="36"/>
      <c r="BW26" s="22"/>
      <c r="BX26" s="30"/>
      <c r="BY26" s="102"/>
      <c r="BZ26" s="136" t="str">
        <f t="array" aca="1" ref="BZ26" ca="1">IF(BZ25&lt;&gt;"",
IF(OR(INDIRECT("'盛付札（関数）'!AE"&amp;BX25)=211,INDIRECT("'盛付札（関数）'!AE"&amp;BX25)=212,INDIRECT("'盛付札（関数）'!AE"&amp;BX25)=213),"",
IF(AND(INDIRECT("'盛付札（関数）'!AE"&amp;BX25)&gt;=219,INDIRECT("'盛付札（関数）'!AE"&amp;BX25)&lt;=246),"",
INDIRECT("'盛付札（関数）'!AG"&amp;BX25))),"")</f>
        <v/>
      </c>
      <c r="CA26" s="38"/>
      <c r="CB26" s="38"/>
      <c r="CC26" s="190" t="str">
        <f t="array" aca="1" ref="CC26" ca="1">IF(AND(BZ25&lt;&gt;"",ISERROR(FIND("社食",BZ25))),
IF(OR(INDIRECT("'盛付札（関数）'!AE"&amp;BX25)=211,INDIRECT("'盛付札（関数）'!AE"&amp;BX25)=212,INDIRECT("'盛付札（関数）'!AE"&amp;BX25)=213),"",
IF(INDIRECT("'盛付札（関数）'!AH"&amp;BX25)&lt;&gt;"",
INDIRECT("'盛付札（関数）'!AH"&amp;BX25)&amp;"箱"&amp;INDIRECT("'盛付札（関数）'!AI"&amp;BX25),"")),"")</f>
        <v/>
      </c>
      <c r="CD26" s="36"/>
      <c r="CE26" s="43"/>
      <c r="CF26" s="102"/>
      <c r="CG26" s="136" t="str">
        <f t="array" aca="1" ref="CG26" ca="1">IF(CG25&lt;&gt;"",
IF(OR(INDIRECT("'盛付札（関数）'!AE"&amp;CE25)=211,INDIRECT("'盛付札（関数）'!AE"&amp;CE25)=212,INDIRECT("'盛付札（関数）'!AE"&amp;CE25)=213),"",
IF(AND(INDIRECT("'盛付札（関数）'!AE"&amp;CE25)&gt;=219,INDIRECT("'盛付札（関数）'!AE"&amp;CE25)&lt;=246),"",
INDIRECT("'盛付札（関数）'!AG"&amp;CE25))),"")</f>
        <v/>
      </c>
      <c r="CH26" s="38"/>
      <c r="CI26" s="38"/>
      <c r="CJ26" s="190" t="str">
        <f t="array" aca="1" ref="CJ26" ca="1">IF(AND(CG25&lt;&gt;"",ISERROR(FIND("社食",CG25))),
IF(OR(INDIRECT("'盛付札（関数）'!AE"&amp;CE25)=211,INDIRECT("'盛付札（関数）'!AE"&amp;CE25)=212,INDIRECT("'盛付札（関数）'!AE"&amp;CE25)=213),"",
IF(INDIRECT("'盛付札（関数）'!AH"&amp;CE25)&lt;&gt;"",
INDIRECT("'盛付札（関数）'!AH"&amp;CE25)&amp;"箱"&amp;INDIRECT("'盛付札（関数）'!AI"&amp;CE25),"")),"")</f>
        <v/>
      </c>
      <c r="CK26" s="36"/>
      <c r="CL26" s="22"/>
      <c r="CM26" s="30"/>
      <c r="CN26" s="102"/>
      <c r="CO26" s="136" t="str">
        <f t="array" aca="1" ref="CO26" ca="1">IF(CO25&lt;&gt;"",
IF(OR(INDIRECT("'盛付札（関数）'!AE"&amp;CM25)=211,INDIRECT("'盛付札（関数）'!AE"&amp;CM25)=212,INDIRECT("'盛付札（関数）'!AE"&amp;CM25)=213),"",
IF(AND(INDIRECT("'盛付札（関数）'!AE"&amp;CM25)&gt;=219,INDIRECT("'盛付札（関数）'!AE"&amp;CM25)&lt;=246),"",
INDIRECT("'盛付札（関数）'!AG"&amp;CM25))),"")</f>
        <v/>
      </c>
      <c r="CP26" s="38"/>
      <c r="CQ26" s="38"/>
      <c r="CR26" s="190" t="str">
        <f t="array" aca="1" ref="CR26" ca="1">IF(AND(CO25&lt;&gt;"",ISERROR(FIND("社食",CO25))),
IF(OR(INDIRECT("'盛付札（関数）'!AE"&amp;CM25)=211,INDIRECT("'盛付札（関数）'!AE"&amp;CM25)=212,INDIRECT("'盛付札（関数）'!AE"&amp;CM25)=213),"",
IF(INDIRECT("'盛付札（関数）'!AH"&amp;CM25)&lt;&gt;"",
INDIRECT("'盛付札（関数）'!AH"&amp;CM25)&amp;"箱"&amp;INDIRECT("'盛付札（関数）'!AI"&amp;CM25),"")),"")</f>
        <v/>
      </c>
      <c r="CS26" s="36"/>
      <c r="CT26" s="43"/>
      <c r="CU26" s="102"/>
      <c r="CV26" s="136" t="str">
        <f t="array" aca="1" ref="CV26" ca="1">IF(CV25&lt;&gt;"",
IF(OR(INDIRECT("'盛付札（関数）'!AE"&amp;CT25)=211,INDIRECT("'盛付札（関数）'!AE"&amp;CT25)=212,INDIRECT("'盛付札（関数）'!AE"&amp;CT25)=213),"",
IF(AND(INDIRECT("'盛付札（関数）'!AE"&amp;CT25)&gt;=219,INDIRECT("'盛付札（関数）'!AE"&amp;CT25)&lt;=246),"",
INDIRECT("'盛付札（関数）'!AG"&amp;CT25))),"")</f>
        <v/>
      </c>
      <c r="CW26" s="38"/>
      <c r="CX26" s="38"/>
      <c r="CY26" s="190" t="str">
        <f t="array" aca="1" ref="CY26" ca="1">IF(AND(CV25&lt;&gt;"",ISERROR(FIND("社食",CV25))),
IF(OR(INDIRECT("'盛付札（関数）'!AE"&amp;CT25)=211,INDIRECT("'盛付札（関数）'!AE"&amp;CT25)=212,INDIRECT("'盛付札（関数）'!AE"&amp;CT25)=213),"",
IF(INDIRECT("'盛付札（関数）'!AH"&amp;CT25)&lt;&gt;"",
INDIRECT("'盛付札（関数）'!AH"&amp;CT25)&amp;"箱"&amp;INDIRECT("'盛付札（関数）'!AI"&amp;CT25),"")),"")</f>
        <v/>
      </c>
      <c r="CZ26" s="36"/>
      <c r="DA26" s="22"/>
      <c r="DB26" s="30"/>
      <c r="DC26" s="102"/>
      <c r="DD26" s="136" t="str">
        <f t="array" aca="1" ref="DD26" ca="1">IF(DD25&lt;&gt;"",
IF(OR(INDIRECT("'盛付札（関数）'!AE"&amp;DB25)=211,INDIRECT("'盛付札（関数）'!AE"&amp;DB25)=212,INDIRECT("'盛付札（関数）'!AE"&amp;DB25)=213),"",
IF(AND(INDIRECT("'盛付札（関数）'!AE"&amp;DB25)&gt;=219,INDIRECT("'盛付札（関数）'!AE"&amp;DB25)&lt;=246),"",
INDIRECT("'盛付札（関数）'!AG"&amp;DB25))),"")</f>
        <v/>
      </c>
      <c r="DE26" s="38"/>
      <c r="DF26" s="38"/>
      <c r="DG26" s="190" t="str">
        <f t="array" aca="1" ref="DG26" ca="1">IF(AND(DD25&lt;&gt;"",ISERROR(FIND("社食",DD25))),
IF(OR(INDIRECT("'盛付札（関数）'!AE"&amp;DB25)=211,INDIRECT("'盛付札（関数）'!AE"&amp;DB25)=212,INDIRECT("'盛付札（関数）'!AE"&amp;DB25)=213),"",
IF(INDIRECT("'盛付札（関数）'!AH"&amp;DB25)&lt;&gt;"",
INDIRECT("'盛付札（関数）'!AH"&amp;DB25)&amp;"箱"&amp;INDIRECT("'盛付札（関数）'!AI"&amp;DB25),"")),"")</f>
        <v/>
      </c>
      <c r="DH26" s="36"/>
      <c r="DI26" s="43"/>
      <c r="DJ26" s="102"/>
      <c r="DK26" s="136" t="str">
        <f t="array" aca="1" ref="DK26" ca="1">IF(DK25&lt;&gt;"",
IF(OR(INDIRECT("'盛付札（関数）'!AE"&amp;DI25)=211,INDIRECT("'盛付札（関数）'!AE"&amp;DI25)=212,INDIRECT("'盛付札（関数）'!AE"&amp;DI25)=213),"",
IF(AND(INDIRECT("'盛付札（関数）'!AE"&amp;DI25)&gt;=219,INDIRECT("'盛付札（関数）'!AE"&amp;DI25)&lt;=246),"",
INDIRECT("'盛付札（関数）'!AG"&amp;DI25))),"")</f>
        <v/>
      </c>
      <c r="DL26" s="38"/>
      <c r="DM26" s="38"/>
      <c r="DN26" s="190" t="str">
        <f t="array" aca="1" ref="DN26" ca="1">IF(AND(DK25&lt;&gt;"",ISERROR(FIND("社食",DK25))),
IF(OR(INDIRECT("'盛付札（関数）'!AE"&amp;DI25)=211,INDIRECT("'盛付札（関数）'!AE"&amp;DI25)=212,INDIRECT("'盛付札（関数）'!AE"&amp;DI25)=213),"",
IF(INDIRECT("'盛付札（関数）'!AH"&amp;DI25)&lt;&gt;"",
INDIRECT("'盛付札（関数）'!AH"&amp;DI25)&amp;"箱"&amp;INDIRECT("'盛付札（関数）'!AI"&amp;DI25),"")),"")</f>
        <v/>
      </c>
      <c r="DO26" s="36"/>
      <c r="DP26" s="22"/>
      <c r="DQ26" s="30"/>
      <c r="DR26" s="102"/>
      <c r="DS26" s="136" t="str">
        <f t="array" aca="1" ref="DS26" ca="1">IF(DS25&lt;&gt;"",
IF(OR(INDIRECT("'盛付札（関数）'!AE"&amp;DQ25)=211,INDIRECT("'盛付札（関数）'!AE"&amp;DQ25)=212,INDIRECT("'盛付札（関数）'!AE"&amp;DQ25)=213),"",
IF(AND(INDIRECT("'盛付札（関数）'!AE"&amp;DQ25)&gt;=219,INDIRECT("'盛付札（関数）'!AE"&amp;DQ25)&lt;=246),"",
INDIRECT("'盛付札（関数）'!AG"&amp;DQ25))),"")</f>
        <v/>
      </c>
      <c r="DT26" s="38"/>
      <c r="DU26" s="38"/>
      <c r="DV26" s="190" t="str">
        <f t="array" aca="1" ref="DV26" ca="1">IF(AND(DS25&lt;&gt;"",ISERROR(FIND("社食",DS25))),
IF(OR(INDIRECT("'盛付札（関数）'!AE"&amp;DQ25)=211,INDIRECT("'盛付札（関数）'!AE"&amp;DQ25)=212,INDIRECT("'盛付札（関数）'!AE"&amp;DQ25)=213),"",
IF(INDIRECT("'盛付札（関数）'!AH"&amp;DQ25)&lt;&gt;"",
INDIRECT("'盛付札（関数）'!AH"&amp;DQ25)&amp;"箱"&amp;INDIRECT("'盛付札（関数）'!AI"&amp;DQ25),"")),"")</f>
        <v/>
      </c>
      <c r="DW26" s="36"/>
      <c r="DX26" s="43"/>
      <c r="DY26" s="102"/>
      <c r="DZ26" s="136" t="str">
        <f t="array" aca="1" ref="DZ26" ca="1">IF(DZ25&lt;&gt;"",
IF(OR(INDIRECT("'盛付札（関数）'!AE"&amp;DX25)=211,INDIRECT("'盛付札（関数）'!AE"&amp;DX25)=212,INDIRECT("'盛付札（関数）'!AE"&amp;DX25)=213),"",
IF(AND(INDIRECT("'盛付札（関数）'!AE"&amp;DX25)&gt;=219,INDIRECT("'盛付札（関数）'!AE"&amp;DX25)&lt;=246),"",
INDIRECT("'盛付札（関数）'!AG"&amp;DX25))),"")</f>
        <v/>
      </c>
      <c r="EA26" s="38"/>
      <c r="EB26" s="38"/>
      <c r="EC26" s="190" t="str">
        <f t="array" aca="1" ref="EC26" ca="1">IF(AND(DZ25&lt;&gt;"",ISERROR(FIND("社食",DZ25))),
IF(OR(INDIRECT("'盛付札（関数）'!AE"&amp;DX25)=211,INDIRECT("'盛付札（関数）'!AE"&amp;DX25)=212,INDIRECT("'盛付札（関数）'!AE"&amp;DX25)=213),"",
IF(INDIRECT("'盛付札（関数）'!AH"&amp;DX25)&lt;&gt;"",
INDIRECT("'盛付札（関数）'!AH"&amp;DX25)&amp;"箱"&amp;INDIRECT("'盛付札（関数）'!AI"&amp;DX25),"")),"")</f>
        <v/>
      </c>
      <c r="ED26" s="36"/>
      <c r="EE26" s="22"/>
      <c r="EF26" s="30"/>
      <c r="EG26" s="102"/>
      <c r="EH26" s="136" t="str">
        <f t="array" aca="1" ref="EH26" ca="1">IF(EH25&lt;&gt;"",
IF(OR(INDIRECT("'盛付札（関数）'!AE"&amp;EF25)=211,INDIRECT("'盛付札（関数）'!AE"&amp;EF25)=212,INDIRECT("'盛付札（関数）'!AE"&amp;EF25)=213),"",
IF(AND(INDIRECT("'盛付札（関数）'!AE"&amp;EF25)&gt;=219,INDIRECT("'盛付札（関数）'!AE"&amp;EF25)&lt;=246),"",
INDIRECT("'盛付札（関数）'!AG"&amp;EF25))),"")</f>
        <v/>
      </c>
      <c r="EI26" s="38"/>
      <c r="EJ26" s="38"/>
      <c r="EK26" s="190" t="str">
        <f t="array" aca="1" ref="EK26" ca="1">IF(AND(EH25&lt;&gt;"",ISERROR(FIND("社食",EH25))),
IF(OR(INDIRECT("'盛付札（関数）'!AE"&amp;EF25)=211,INDIRECT("'盛付札（関数）'!AE"&amp;EF25)=212,INDIRECT("'盛付札（関数）'!AE"&amp;EF25)=213),"",
IF(INDIRECT("'盛付札（関数）'!AH"&amp;EF25)&lt;&gt;"",
INDIRECT("'盛付札（関数）'!AH"&amp;EF25)&amp;"箱"&amp;INDIRECT("'盛付札（関数）'!AI"&amp;EF25),"")),"")</f>
        <v/>
      </c>
      <c r="EL26" s="36"/>
      <c r="EM26" s="43"/>
      <c r="EN26" s="102"/>
      <c r="EO26" s="136" t="str">
        <f t="array" aca="1" ref="EO26" ca="1">IF(EO25&lt;&gt;"",
IF(OR(INDIRECT("'盛付札（関数）'!AE"&amp;EM25)=211,INDIRECT("'盛付札（関数）'!AE"&amp;EM25)=212,INDIRECT("'盛付札（関数）'!AE"&amp;EM25)=213),"",
IF(AND(INDIRECT("'盛付札（関数）'!AE"&amp;EM25)&gt;=219,INDIRECT("'盛付札（関数）'!AE"&amp;EM25)&lt;=246),"",
INDIRECT("'盛付札（関数）'!AG"&amp;EM25))),"")</f>
        <v/>
      </c>
      <c r="EP26" s="38"/>
      <c r="EQ26" s="38"/>
      <c r="ER26" s="190" t="str">
        <f t="array" aca="1" ref="ER26" ca="1">IF(AND(EO25&lt;&gt;"",ISERROR(FIND("社食",EO25))),
IF(OR(INDIRECT("'盛付札（関数）'!AE"&amp;EM25)=211,INDIRECT("'盛付札（関数）'!AE"&amp;EM25)=212,INDIRECT("'盛付札（関数）'!AE"&amp;EM25)=213),"",
IF(INDIRECT("'盛付札（関数）'!AH"&amp;EM25)&lt;&gt;"",
INDIRECT("'盛付札（関数）'!AH"&amp;EM25)&amp;"箱"&amp;INDIRECT("'盛付札（関数）'!AI"&amp;EM25),"")),"")</f>
        <v/>
      </c>
      <c r="ES26" s="36"/>
      <c r="ET26" s="22"/>
    </row>
    <row r="27" spans="1:150" s="181" customFormat="1">
      <c r="A27" s="30"/>
      <c r="B27" s="31"/>
      <c r="C27" s="212" t="str">
        <f t="array" aca="1" ref="C27" ca="1">IF(AND(C25&lt;&gt;"",ISERROR(FIND("社食",C25)),ISERROR(FIND("先生",C25)),ISERROR(FIND("学童",C26))),
IF(C28&lt;&gt;"",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IF(AND(INDIRECT("'盛付札（関数）'!AE"&amp;A25)&gt;=247,INDIRECT("'盛付札（関数）'!AE"&amp;A25)&lt;=261),"先生","園児"))),""),"")</f>
        <v/>
      </c>
      <c r="D27" s="213"/>
      <c r="E27" s="22"/>
      <c r="F27" s="135" t="str">
        <f t="array" aca="1" ref="F27" ca="1">IF(AND(C25&lt;&gt;"",ISERROR(FIND("社食",C25)),ISERROR(FIND("先生",C25))),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IF(AND(INDIRECT("'盛付札（関数）'!AE"&amp;A25)&gt;=247,INDIRECT("'盛付札（関数）'!AE"&amp;A25)&lt;=261),"","先生"))),"")</f>
        <v/>
      </c>
      <c r="G27" s="37"/>
      <c r="H27" s="33"/>
      <c r="I27" s="31"/>
      <c r="J27" s="212" t="str">
        <f t="array" aca="1" ref="J27" ca="1">IF(AND(J25&lt;&gt;"",ISERROR(FIND("社食",J25)),ISERROR(FIND("先生",J25)),ISERROR(FIND("学童",J26))),
IF(J28&lt;&gt;"",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IF(AND(INDIRECT("'盛付札（関数）'!AE"&amp;H25)&gt;=247,INDIRECT("'盛付札（関数）'!AE"&amp;H25)&lt;=261),"先生","園児"))),""),"")</f>
        <v/>
      </c>
      <c r="K27" s="213"/>
      <c r="L27" s="22"/>
      <c r="M27" s="135" t="str">
        <f t="array" aca="1" ref="M27" ca="1">IF(AND(J25&lt;&gt;"",ISERROR(FIND("社食",J25)),ISERROR(FIND("先生",J25))),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IF(AND(INDIRECT("'盛付札（関数）'!AE"&amp;H25)&gt;=247,INDIRECT("'盛付札（関数）'!AE"&amp;H25)&lt;=261),"","先生"))),"")</f>
        <v/>
      </c>
      <c r="N27" s="37"/>
      <c r="O27" s="22"/>
      <c r="P27" s="30"/>
      <c r="Q27" s="31"/>
      <c r="R27" s="212" t="str">
        <f t="array" aca="1" ref="R27" ca="1">IF(AND(R25&lt;&gt;"",ISERROR(FIND("社食",R25)),ISERROR(FIND("先生",R25)),ISERROR(FIND("学童",R26))),
IF(R28&lt;&gt;"",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IF(AND(INDIRECT("'盛付札（関数）'!AE"&amp;P25)&gt;=247,INDIRECT("'盛付札（関数）'!AE"&amp;P25)&lt;=261),"先生","園児"))),""),"")</f>
        <v/>
      </c>
      <c r="S27" s="213"/>
      <c r="T27" s="22"/>
      <c r="U27" s="135" t="str">
        <f t="array" aca="1" ref="U27" ca="1">IF(AND(R25&lt;&gt;"",ISERROR(FIND("社食",R25)),ISERROR(FIND("先生",R25))),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IF(AND(INDIRECT("'盛付札（関数）'!AE"&amp;P25)&gt;=247,INDIRECT("'盛付札（関数）'!AE"&amp;P25)&lt;=261),"","先生"))),"")</f>
        <v/>
      </c>
      <c r="V27" s="37"/>
      <c r="W27" s="33"/>
      <c r="X27" s="31"/>
      <c r="Y27" s="212" t="str">
        <f t="array" aca="1" ref="Y27" ca="1">IF(AND(Y25&lt;&gt;"",ISERROR(FIND("社食",Y25)),ISERROR(FIND("先生",Y25)),ISERROR(FIND("学童",Y26))),
IF(Y28&lt;&gt;"",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IF(AND(INDIRECT("'盛付札（関数）'!AE"&amp;W25)&gt;=247,INDIRECT("'盛付札（関数）'!AE"&amp;W25)&lt;=261),"先生","園児"))),""),"")</f>
        <v/>
      </c>
      <c r="Z27" s="213"/>
      <c r="AA27" s="22"/>
      <c r="AB27" s="135" t="str">
        <f t="array" aca="1" ref="AB27" ca="1">IF(AND(Y25&lt;&gt;"",ISERROR(FIND("社食",Y25)),ISERROR(FIND("先生",Y25))),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IF(AND(INDIRECT("'盛付札（関数）'!AE"&amp;W25)&gt;=247,INDIRECT("'盛付札（関数）'!AE"&amp;W25)&lt;=261),"","先生"))),"")</f>
        <v/>
      </c>
      <c r="AC27" s="37"/>
      <c r="AD27" s="22"/>
      <c r="AE27" s="30"/>
      <c r="AF27" s="31"/>
      <c r="AG27" s="212" t="str">
        <f t="array" aca="1" ref="AG27" ca="1">IF(AND(AG25&lt;&gt;"",ISERROR(FIND("社食",AG25)),ISERROR(FIND("先生",AG25)),ISERROR(FIND("学童",AG26))),
IF(AG28&lt;&gt;"",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IF(AND(INDIRECT("'盛付札（関数）'!AE"&amp;AE25)&gt;=247,INDIRECT("'盛付札（関数）'!AE"&amp;AE25)&lt;=261),"先生","園児"))),""),"")</f>
        <v/>
      </c>
      <c r="AH27" s="213"/>
      <c r="AI27" s="22"/>
      <c r="AJ27" s="135" t="str">
        <f t="array" aca="1" ref="AJ27" ca="1">IF(AND(AG25&lt;&gt;"",ISERROR(FIND("社食",AG25)),ISERROR(FIND("先生",AG25))),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IF(AND(INDIRECT("'盛付札（関数）'!AE"&amp;AE25)&gt;=247,INDIRECT("'盛付札（関数）'!AE"&amp;AE25)&lt;=261),"","先生"))),"")</f>
        <v/>
      </c>
      <c r="AK27" s="37"/>
      <c r="AL27" s="33"/>
      <c r="AM27" s="31"/>
      <c r="AN27" s="212" t="str">
        <f t="array" aca="1" ref="AN27" ca="1">IF(AND(AN25&lt;&gt;"",ISERROR(FIND("社食",AN25)),ISERROR(FIND("先生",AN25)),ISERROR(FIND("学童",AN26))),
IF(AN28&lt;&gt;"",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IF(AND(INDIRECT("'盛付札（関数）'!AE"&amp;AL25)&gt;=247,INDIRECT("'盛付札（関数）'!AE"&amp;AL25)&lt;=261),"先生","園児"))),""),"")</f>
        <v/>
      </c>
      <c r="AO27" s="213"/>
      <c r="AP27" s="22"/>
      <c r="AQ27" s="135" t="str">
        <f t="array" aca="1" ref="AQ27" ca="1">IF(AND(AN25&lt;&gt;"",ISERROR(FIND("社食",AN25)),ISERROR(FIND("先生",AN25))),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IF(AND(INDIRECT("'盛付札（関数）'!AE"&amp;AL25)&gt;=247,INDIRECT("'盛付札（関数）'!AE"&amp;AL25)&lt;=261),"","先生"))),"")</f>
        <v/>
      </c>
      <c r="AR27" s="37"/>
      <c r="AS27" s="22"/>
      <c r="AT27" s="30"/>
      <c r="AU27" s="31"/>
      <c r="AV27" s="212" t="str">
        <f t="array" aca="1" ref="AV27" ca="1">IF(AND(AV25&lt;&gt;"",ISERROR(FIND("社食",AV25)),ISERROR(FIND("先生",AV25)),ISERROR(FIND("学童",AV26))),
IF(AV28&lt;&gt;"",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IF(AND(INDIRECT("'盛付札（関数）'!AE"&amp;AT25)&gt;=247,INDIRECT("'盛付札（関数）'!AE"&amp;AT25)&lt;=261),"先生","園児"))),""),"")</f>
        <v/>
      </c>
      <c r="AW27" s="213"/>
      <c r="AX27" s="22"/>
      <c r="AY27" s="135" t="str">
        <f t="array" aca="1" ref="AY27" ca="1">IF(AND(AV25&lt;&gt;"",ISERROR(FIND("社食",AV25)),ISERROR(FIND("先生",AV25))),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IF(AND(INDIRECT("'盛付札（関数）'!AE"&amp;AT25)&gt;=247,INDIRECT("'盛付札（関数）'!AE"&amp;AT25)&lt;=261),"","先生"))),"")</f>
        <v/>
      </c>
      <c r="AZ27" s="37"/>
      <c r="BA27" s="33"/>
      <c r="BB27" s="31"/>
      <c r="BC27" s="212" t="str">
        <f t="array" aca="1" ref="BC27" ca="1">IF(AND(BC25&lt;&gt;"",ISERROR(FIND("社食",BC25)),ISERROR(FIND("先生",BC25)),ISERROR(FIND("学童",BC26))),
IF(BC28&lt;&gt;"",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IF(AND(INDIRECT("'盛付札（関数）'!AE"&amp;BA25)&gt;=247,INDIRECT("'盛付札（関数）'!AE"&amp;BA25)&lt;=261),"先生","園児"))),""),"")</f>
        <v/>
      </c>
      <c r="BD27" s="213"/>
      <c r="BE27" s="22"/>
      <c r="BF27" s="135" t="str">
        <f t="array" aca="1" ref="BF27" ca="1">IF(AND(BC25&lt;&gt;"",ISERROR(FIND("社食",BC25)),ISERROR(FIND("先生",BC25))),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IF(AND(INDIRECT("'盛付札（関数）'!AE"&amp;BA25)&gt;=247,INDIRECT("'盛付札（関数）'!AE"&amp;BA25)&lt;=261),"","先生"))),"")</f>
        <v/>
      </c>
      <c r="BG27" s="37"/>
      <c r="BH27" s="22"/>
      <c r="BI27" s="30"/>
      <c r="BJ27" s="31"/>
      <c r="BK27" s="212" t="str">
        <f t="array" aca="1" ref="BK27" ca="1">IF(AND(BK25&lt;&gt;"",ISERROR(FIND("社食",BK25)),ISERROR(FIND("先生",BK25)),ISERROR(FIND("学童",BK26))),
IF(BK28&lt;&gt;"",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IF(AND(INDIRECT("'盛付札（関数）'!AE"&amp;BI25)&gt;=247,INDIRECT("'盛付札（関数）'!AE"&amp;BI25)&lt;=261),"先生","園児"))),""),"")</f>
        <v/>
      </c>
      <c r="BL27" s="213"/>
      <c r="BM27" s="22"/>
      <c r="BN27" s="135" t="str">
        <f t="array" aca="1" ref="BN27" ca="1">IF(AND(BK25&lt;&gt;"",ISERROR(FIND("社食",BK25)),ISERROR(FIND("先生",BK25))),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IF(AND(INDIRECT("'盛付札（関数）'!AE"&amp;BI25)&gt;=247,INDIRECT("'盛付札（関数）'!AE"&amp;BI25)&lt;=261),"","先生"))),"")</f>
        <v/>
      </c>
      <c r="BO27" s="37"/>
      <c r="BP27" s="33"/>
      <c r="BQ27" s="31"/>
      <c r="BR27" s="212" t="str">
        <f t="array" aca="1" ref="BR27" ca="1">IF(AND(BR25&lt;&gt;"",ISERROR(FIND("社食",BR25)),ISERROR(FIND("先生",BR25)),ISERROR(FIND("学童",BR26))),
IF(BR28&lt;&gt;"",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IF(AND(INDIRECT("'盛付札（関数）'!AE"&amp;BP25)&gt;=247,INDIRECT("'盛付札（関数）'!AE"&amp;BP25)&lt;=261),"先生","園児"))),""),"")</f>
        <v/>
      </c>
      <c r="BS27" s="213"/>
      <c r="BT27" s="22"/>
      <c r="BU27" s="135" t="str">
        <f t="array" aca="1" ref="BU27" ca="1">IF(AND(BR25&lt;&gt;"",ISERROR(FIND("社食",BR25)),ISERROR(FIND("先生",BR25))),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IF(AND(INDIRECT("'盛付札（関数）'!AE"&amp;BP25)&gt;=247,INDIRECT("'盛付札（関数）'!AE"&amp;BP25)&lt;=261),"","先生"))),"")</f>
        <v/>
      </c>
      <c r="BV27" s="37"/>
      <c r="BW27" s="22"/>
      <c r="BX27" s="30"/>
      <c r="BY27" s="31"/>
      <c r="BZ27" s="212" t="str">
        <f t="array" aca="1" ref="BZ27" ca="1">IF(AND(BZ25&lt;&gt;"",ISERROR(FIND("社食",BZ25)),ISERROR(FIND("先生",BZ25)),ISERROR(FIND("学童",BZ26))),
IF(BZ28&lt;&gt;"",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IF(AND(INDIRECT("'盛付札（関数）'!AE"&amp;BX25)&gt;=247,INDIRECT("'盛付札（関数）'!AE"&amp;BX25)&lt;=261),"先生","園児"))),""),"")</f>
        <v/>
      </c>
      <c r="CA27" s="213"/>
      <c r="CB27" s="22"/>
      <c r="CC27" s="135" t="str">
        <f t="array" aca="1" ref="CC27" ca="1">IF(AND(BZ25&lt;&gt;"",ISERROR(FIND("社食",BZ25)),ISERROR(FIND("先生",BZ25))),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IF(AND(INDIRECT("'盛付札（関数）'!AE"&amp;BX25)&gt;=247,INDIRECT("'盛付札（関数）'!AE"&amp;BX25)&lt;=261),"","先生"))),"")</f>
        <v/>
      </c>
      <c r="CD27" s="37"/>
      <c r="CE27" s="33"/>
      <c r="CF27" s="31"/>
      <c r="CG27" s="212" t="str">
        <f t="array" aca="1" ref="CG27" ca="1">IF(AND(CG25&lt;&gt;"",ISERROR(FIND("社食",CG25)),ISERROR(FIND("先生",CG25)),ISERROR(FIND("学童",CG26))),
IF(CG28&lt;&gt;"",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IF(AND(INDIRECT("'盛付札（関数）'!AE"&amp;CE25)&gt;=247,INDIRECT("'盛付札（関数）'!AE"&amp;CE25)&lt;=261),"先生","園児"))),""),"")</f>
        <v/>
      </c>
      <c r="CH27" s="213"/>
      <c r="CI27" s="22"/>
      <c r="CJ27" s="135" t="str">
        <f t="array" aca="1" ref="CJ27" ca="1">IF(AND(CG25&lt;&gt;"",ISERROR(FIND("社食",CG25)),ISERROR(FIND("先生",CG25))),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IF(AND(INDIRECT("'盛付札（関数）'!AE"&amp;CE25)&gt;=247,INDIRECT("'盛付札（関数）'!AE"&amp;CE25)&lt;=261),"","先生"))),"")</f>
        <v/>
      </c>
      <c r="CK27" s="37"/>
      <c r="CL27" s="22"/>
      <c r="CM27" s="30"/>
      <c r="CN27" s="31"/>
      <c r="CO27" s="212" t="str">
        <f t="array" aca="1" ref="CO27" ca="1">IF(AND(CO25&lt;&gt;"",ISERROR(FIND("社食",CO25)),ISERROR(FIND("先生",CO25)),ISERROR(FIND("学童",CO26))),
IF(CO28&lt;&gt;"",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IF(AND(INDIRECT("'盛付札（関数）'!AE"&amp;CM25)&gt;=247,INDIRECT("'盛付札（関数）'!AE"&amp;CM25)&lt;=261),"先生","園児"))),""),"")</f>
        <v/>
      </c>
      <c r="CP27" s="213"/>
      <c r="CQ27" s="22"/>
      <c r="CR27" s="135" t="str">
        <f t="array" aca="1" ref="CR27" ca="1">IF(AND(CO25&lt;&gt;"",ISERROR(FIND("社食",CO25)),ISERROR(FIND("先生",CO25))),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IF(AND(INDIRECT("'盛付札（関数）'!AE"&amp;CM25)&gt;=247,INDIRECT("'盛付札（関数）'!AE"&amp;CM25)&lt;=261),"","先生"))),"")</f>
        <v/>
      </c>
      <c r="CS27" s="37"/>
      <c r="CT27" s="33"/>
      <c r="CU27" s="31"/>
      <c r="CV27" s="212" t="str">
        <f t="array" aca="1" ref="CV27" ca="1">IF(AND(CV25&lt;&gt;"",ISERROR(FIND("社食",CV25)),ISERROR(FIND("先生",CV25)),ISERROR(FIND("学童",CV26))),
IF(CV28&lt;&gt;"",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IF(AND(INDIRECT("'盛付札（関数）'!AE"&amp;CT25)&gt;=247,INDIRECT("'盛付札（関数）'!AE"&amp;CT25)&lt;=261),"先生","園児"))),""),"")</f>
        <v/>
      </c>
      <c r="CW27" s="213"/>
      <c r="CX27" s="22"/>
      <c r="CY27" s="135" t="str">
        <f t="array" aca="1" ref="CY27" ca="1">IF(AND(CV25&lt;&gt;"",ISERROR(FIND("社食",CV25)),ISERROR(FIND("先生",CV25))),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IF(AND(INDIRECT("'盛付札（関数）'!AE"&amp;CT25)&gt;=247,INDIRECT("'盛付札（関数）'!AE"&amp;CT25)&lt;=261),"","先生"))),"")</f>
        <v/>
      </c>
      <c r="CZ27" s="37"/>
      <c r="DA27" s="22"/>
      <c r="DB27" s="30"/>
      <c r="DC27" s="31"/>
      <c r="DD27" s="212" t="str">
        <f t="array" aca="1" ref="DD27" ca="1">IF(AND(DD25&lt;&gt;"",ISERROR(FIND("社食",DD25)),ISERROR(FIND("先生",DD25)),ISERROR(FIND("学童",DD26))),
IF(DD28&lt;&gt;"",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IF(AND(INDIRECT("'盛付札（関数）'!AE"&amp;DB25)&gt;=247,INDIRECT("'盛付札（関数）'!AE"&amp;DB25)&lt;=261),"先生","園児"))),""),"")</f>
        <v/>
      </c>
      <c r="DE27" s="213"/>
      <c r="DF27" s="22"/>
      <c r="DG27" s="135" t="str">
        <f t="array" aca="1" ref="DG27" ca="1">IF(AND(DD25&lt;&gt;"",ISERROR(FIND("社食",DD25)),ISERROR(FIND("先生",DD25))),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IF(AND(INDIRECT("'盛付札（関数）'!AE"&amp;DB25)&gt;=247,INDIRECT("'盛付札（関数）'!AE"&amp;DB25)&lt;=261),"","先生"))),"")</f>
        <v/>
      </c>
      <c r="DH27" s="37"/>
      <c r="DI27" s="33"/>
      <c r="DJ27" s="31"/>
      <c r="DK27" s="212" t="str">
        <f t="array" aca="1" ref="DK27" ca="1">IF(AND(DK25&lt;&gt;"",ISERROR(FIND("社食",DK25)),ISERROR(FIND("先生",DK25)),ISERROR(FIND("学童",DK26))),
IF(DK28&lt;&gt;"",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IF(AND(INDIRECT("'盛付札（関数）'!AE"&amp;DI25)&gt;=247,INDIRECT("'盛付札（関数）'!AE"&amp;DI25)&lt;=261),"先生","園児"))),""),"")</f>
        <v/>
      </c>
      <c r="DL27" s="213"/>
      <c r="DM27" s="22"/>
      <c r="DN27" s="135" t="str">
        <f t="array" aca="1" ref="DN27" ca="1">IF(AND(DK25&lt;&gt;"",ISERROR(FIND("社食",DK25)),ISERROR(FIND("先生",DK25))),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IF(AND(INDIRECT("'盛付札（関数）'!AE"&amp;DI25)&gt;=247,INDIRECT("'盛付札（関数）'!AE"&amp;DI25)&lt;=261),"","先生"))),"")</f>
        <v/>
      </c>
      <c r="DO27" s="37"/>
      <c r="DP27" s="22"/>
      <c r="DQ27" s="30"/>
      <c r="DR27" s="31"/>
      <c r="DS27" s="212" t="str">
        <f t="array" aca="1" ref="DS27" ca="1">IF(AND(DS25&lt;&gt;"",ISERROR(FIND("社食",DS25)),ISERROR(FIND("先生",DS25)),ISERROR(FIND("学童",DS26))),
IF(DS28&lt;&gt;"",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IF(AND(INDIRECT("'盛付札（関数）'!AE"&amp;DQ25)&gt;=247,INDIRECT("'盛付札（関数）'!AE"&amp;DQ25)&lt;=261),"先生","園児"))),""),"")</f>
        <v/>
      </c>
      <c r="DT27" s="213"/>
      <c r="DU27" s="22"/>
      <c r="DV27" s="135" t="str">
        <f t="array" aca="1" ref="DV27" ca="1">IF(AND(DS25&lt;&gt;"",ISERROR(FIND("社食",DS25)),ISERROR(FIND("先生",DS25))),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IF(AND(INDIRECT("'盛付札（関数）'!AE"&amp;DQ25)&gt;=247,INDIRECT("'盛付札（関数）'!AE"&amp;DQ25)&lt;=261),"","先生"))),"")</f>
        <v/>
      </c>
      <c r="DW27" s="37"/>
      <c r="DX27" s="33"/>
      <c r="DY27" s="31"/>
      <c r="DZ27" s="212" t="str">
        <f t="array" aca="1" ref="DZ27" ca="1">IF(AND(DZ25&lt;&gt;"",ISERROR(FIND("社食",DZ25)),ISERROR(FIND("先生",DZ25)),ISERROR(FIND("学童",DZ26))),
IF(DZ28&lt;&gt;"",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IF(AND(INDIRECT("'盛付札（関数）'!AE"&amp;DX25)&gt;=247,INDIRECT("'盛付札（関数）'!AE"&amp;DX25)&lt;=261),"先生","園児"))),""),"")</f>
        <v/>
      </c>
      <c r="EA27" s="213"/>
      <c r="EB27" s="22"/>
      <c r="EC27" s="135" t="str">
        <f t="array" aca="1" ref="EC27" ca="1">IF(AND(DZ25&lt;&gt;"",ISERROR(FIND("社食",DZ25)),ISERROR(FIND("先生",DZ25))),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IF(AND(INDIRECT("'盛付札（関数）'!AE"&amp;DX25)&gt;=247,INDIRECT("'盛付札（関数）'!AE"&amp;DX25)&lt;=261),"","先生"))),"")</f>
        <v/>
      </c>
      <c r="ED27" s="37"/>
      <c r="EE27" s="22"/>
      <c r="EF27" s="30"/>
      <c r="EG27" s="31"/>
      <c r="EH27" s="212" t="str">
        <f t="array" aca="1" ref="EH27" ca="1">IF(AND(EH25&lt;&gt;"",ISERROR(FIND("社食",EH25)),ISERROR(FIND("先生",EH25)),ISERROR(FIND("学童",EH26))),
IF(EH28&lt;&gt;"",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IF(AND(INDIRECT("'盛付札（関数）'!AE"&amp;EF25)&gt;=247,INDIRECT("'盛付札（関数）'!AE"&amp;EF25)&lt;=261),"先生","園児"))),""),"")</f>
        <v/>
      </c>
      <c r="EI27" s="213"/>
      <c r="EJ27" s="22"/>
      <c r="EK27" s="135" t="str">
        <f t="array" aca="1" ref="EK27" ca="1">IF(AND(EH25&lt;&gt;"",ISERROR(FIND("社食",EH25)),ISERROR(FIND("先生",EH25))),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IF(AND(INDIRECT("'盛付札（関数）'!AE"&amp;EF25)&gt;=247,INDIRECT("'盛付札（関数）'!AE"&amp;EF25)&lt;=261),"","先生"))),"")</f>
        <v/>
      </c>
      <c r="EL27" s="37"/>
      <c r="EM27" s="33"/>
      <c r="EN27" s="31"/>
      <c r="EO27" s="212" t="str">
        <f t="array" aca="1" ref="EO27" ca="1">IF(AND(EO25&lt;&gt;"",ISERROR(FIND("社食",EO25)),ISERROR(FIND("先生",EO25)),ISERROR(FIND("学童",EO26))),
IF(EO28&lt;&gt;"",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IF(AND(INDIRECT("'盛付札（関数）'!AE"&amp;EM25)&gt;=247,INDIRECT("'盛付札（関数）'!AE"&amp;EM25)&lt;=261),"先生","園児"))),""),"")</f>
        <v/>
      </c>
      <c r="EP27" s="213"/>
      <c r="EQ27" s="22"/>
      <c r="ER27" s="135" t="str">
        <f t="array" aca="1" ref="ER27" ca="1">IF(AND(EO25&lt;&gt;"",ISERROR(FIND("社食",EO25)),ISERROR(FIND("先生",EO25))),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IF(AND(INDIRECT("'盛付札（関数）'!AE"&amp;EM25)&gt;=247,INDIRECT("'盛付札（関数）'!AE"&amp;EM25)&lt;=261),"","先生"))),"")</f>
        <v/>
      </c>
      <c r="ES27" s="37"/>
      <c r="ET27" s="22"/>
    </row>
    <row r="28" spans="1:150" ht="15.6" customHeight="1">
      <c r="B28" s="25"/>
      <c r="C28" s="210" t="str">
        <f t="array" aca="1" ref="C28" ca="1">IF(C25&lt;&gt;"",INDIRECT("'盛付札（関数）'!AJ"&amp;A25),"")</f>
        <v/>
      </c>
      <c r="D28" s="211"/>
      <c r="E28" s="44"/>
      <c r="F28" s="206" t="str">
        <f t="array" aca="1" ref="F28" ca="1">IF(C25&lt;&gt;"",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INDIRECT("'盛付札（関数）'!AK"&amp;A25))),"")</f>
        <v/>
      </c>
      <c r="G28" s="207"/>
      <c r="H28" s="26"/>
      <c r="I28" s="25"/>
      <c r="J28" s="210" t="str">
        <f t="array" aca="1" ref="J28" ca="1">IF(J25&lt;&gt;"",INDIRECT("'盛付札（関数）'!AJ"&amp;H25),"")</f>
        <v/>
      </c>
      <c r="K28" s="211"/>
      <c r="L28" s="44"/>
      <c r="M28" s="206" t="str">
        <f t="array" aca="1" ref="M28" ca="1">IF(J25&lt;&gt;"",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INDIRECT("'盛付札（関数）'!AK"&amp;H25))),"")</f>
        <v/>
      </c>
      <c r="N28" s="207"/>
      <c r="Q28" s="25"/>
      <c r="R28" s="210" t="str">
        <f t="array" aca="1" ref="R28" ca="1">IF(R25&lt;&gt;"",INDIRECT("'盛付札（関数）'!AJ"&amp;P25),"")</f>
        <v/>
      </c>
      <c r="S28" s="211"/>
      <c r="T28" s="44"/>
      <c r="U28" s="206" t="str">
        <f t="array" aca="1" ref="U28" ca="1">IF(R25&lt;&gt;"",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INDIRECT("'盛付札（関数）'!AK"&amp;P25))),"")</f>
        <v/>
      </c>
      <c r="V28" s="207"/>
      <c r="W28" s="26"/>
      <c r="X28" s="25"/>
      <c r="Y28" s="210" t="str">
        <f t="array" aca="1" ref="Y28" ca="1">IF(Y25&lt;&gt;"",INDIRECT("'盛付札（関数）'!AJ"&amp;W25),"")</f>
        <v/>
      </c>
      <c r="Z28" s="211"/>
      <c r="AA28" s="44"/>
      <c r="AB28" s="206" t="str">
        <f t="array" aca="1" ref="AB28" ca="1">IF(Y25&lt;&gt;"",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INDIRECT("'盛付札（関数）'!AK"&amp;W25))),"")</f>
        <v/>
      </c>
      <c r="AC28" s="207"/>
      <c r="AF28" s="25"/>
      <c r="AG28" s="210" t="str">
        <f t="array" aca="1" ref="AG28" ca="1">IF(AG25&lt;&gt;"",INDIRECT("'盛付札（関数）'!AJ"&amp;AE25),"")</f>
        <v/>
      </c>
      <c r="AH28" s="211"/>
      <c r="AI28" s="44"/>
      <c r="AJ28" s="206" t="str">
        <f t="array" aca="1" ref="AJ28" ca="1">IF(AG25&lt;&gt;"",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INDIRECT("'盛付札（関数）'!AK"&amp;AE25))),"")</f>
        <v/>
      </c>
      <c r="AK28" s="207"/>
      <c r="AL28" s="26"/>
      <c r="AM28" s="25"/>
      <c r="AN28" s="210" t="str">
        <f t="array" aca="1" ref="AN28" ca="1">IF(AN25&lt;&gt;"",INDIRECT("'盛付札（関数）'!AJ"&amp;AL25),"")</f>
        <v/>
      </c>
      <c r="AO28" s="211"/>
      <c r="AP28" s="44"/>
      <c r="AQ28" s="206" t="str">
        <f t="array" aca="1" ref="AQ28" ca="1">IF(AN25&lt;&gt;"",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INDIRECT("'盛付札（関数）'!AK"&amp;AL25))),"")</f>
        <v/>
      </c>
      <c r="AR28" s="207"/>
      <c r="AU28" s="25"/>
      <c r="AV28" s="210" t="str">
        <f t="array" aca="1" ref="AV28" ca="1">IF(AV25&lt;&gt;"",INDIRECT("'盛付札（関数）'!AJ"&amp;AT25),"")</f>
        <v/>
      </c>
      <c r="AW28" s="211"/>
      <c r="AX28" s="44"/>
      <c r="AY28" s="206" t="str">
        <f t="array" aca="1" ref="AY28" ca="1">IF(AV25&lt;&gt;"",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INDIRECT("'盛付札（関数）'!AK"&amp;AT25))),"")</f>
        <v/>
      </c>
      <c r="AZ28" s="207"/>
      <c r="BA28" s="26"/>
      <c r="BB28" s="25"/>
      <c r="BC28" s="210" t="str">
        <f t="array" aca="1" ref="BC28" ca="1">IF(BC25&lt;&gt;"",INDIRECT("'盛付札（関数）'!AJ"&amp;BA25),"")</f>
        <v/>
      </c>
      <c r="BD28" s="211"/>
      <c r="BE28" s="44"/>
      <c r="BF28" s="206" t="str">
        <f t="array" aca="1" ref="BF28" ca="1">IF(BC25&lt;&gt;"",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INDIRECT("'盛付札（関数）'!AK"&amp;BA25))),"")</f>
        <v/>
      </c>
      <c r="BG28" s="207"/>
      <c r="BJ28" s="25"/>
      <c r="BK28" s="210" t="str">
        <f t="array" aca="1" ref="BK28" ca="1">IF(BK25&lt;&gt;"",INDIRECT("'盛付札（関数）'!AJ"&amp;BI25),"")</f>
        <v/>
      </c>
      <c r="BL28" s="211"/>
      <c r="BM28" s="44"/>
      <c r="BN28" s="206" t="str">
        <f t="array" aca="1" ref="BN28" ca="1">IF(BK25&lt;&gt;"",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INDIRECT("'盛付札（関数）'!AK"&amp;BI25))),"")</f>
        <v/>
      </c>
      <c r="BO28" s="207"/>
      <c r="BP28" s="26"/>
      <c r="BQ28" s="25"/>
      <c r="BR28" s="210" t="str">
        <f t="array" aca="1" ref="BR28" ca="1">IF(BR25&lt;&gt;"",INDIRECT("'盛付札（関数）'!AJ"&amp;BP25),"")</f>
        <v/>
      </c>
      <c r="BS28" s="211"/>
      <c r="BT28" s="44"/>
      <c r="BU28" s="206" t="str">
        <f t="array" aca="1" ref="BU28" ca="1">IF(BR25&lt;&gt;"",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INDIRECT("'盛付札（関数）'!AK"&amp;BP25))),"")</f>
        <v/>
      </c>
      <c r="BV28" s="207"/>
      <c r="BY28" s="25"/>
      <c r="BZ28" s="210" t="str">
        <f t="array" aca="1" ref="BZ28" ca="1">IF(BZ25&lt;&gt;"",INDIRECT("'盛付札（関数）'!AJ"&amp;BX25),"")</f>
        <v/>
      </c>
      <c r="CA28" s="211"/>
      <c r="CB28" s="44"/>
      <c r="CC28" s="206" t="str">
        <f t="array" aca="1" ref="CC28" ca="1">IF(BZ25&lt;&gt;"",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INDIRECT("'盛付札（関数）'!AK"&amp;BX25))),"")</f>
        <v/>
      </c>
      <c r="CD28" s="207"/>
      <c r="CE28" s="26"/>
      <c r="CF28" s="25"/>
      <c r="CG28" s="210" t="str">
        <f t="array" aca="1" ref="CG28" ca="1">IF(CG25&lt;&gt;"",INDIRECT("'盛付札（関数）'!AJ"&amp;CE25),"")</f>
        <v/>
      </c>
      <c r="CH28" s="211"/>
      <c r="CI28" s="44"/>
      <c r="CJ28" s="206" t="str">
        <f t="array" aca="1" ref="CJ28" ca="1">IF(CG25&lt;&gt;"",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INDIRECT("'盛付札（関数）'!AK"&amp;CE25))),"")</f>
        <v/>
      </c>
      <c r="CK28" s="207"/>
      <c r="CN28" s="25"/>
      <c r="CO28" s="210" t="str">
        <f t="array" aca="1" ref="CO28" ca="1">IF(CO25&lt;&gt;"",INDIRECT("'盛付札（関数）'!AJ"&amp;CM25),"")</f>
        <v/>
      </c>
      <c r="CP28" s="211"/>
      <c r="CQ28" s="44"/>
      <c r="CR28" s="206" t="str">
        <f t="array" aca="1" ref="CR28" ca="1">IF(CO25&lt;&gt;"",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INDIRECT("'盛付札（関数）'!AK"&amp;CM25))),"")</f>
        <v/>
      </c>
      <c r="CS28" s="207"/>
      <c r="CT28" s="26"/>
      <c r="CU28" s="25"/>
      <c r="CV28" s="210" t="str">
        <f t="array" aca="1" ref="CV28" ca="1">IF(CV25&lt;&gt;"",INDIRECT("'盛付札（関数）'!AJ"&amp;CT25),"")</f>
        <v/>
      </c>
      <c r="CW28" s="211"/>
      <c r="CX28" s="44"/>
      <c r="CY28" s="206" t="str">
        <f t="array" aca="1" ref="CY28" ca="1">IF(CV25&lt;&gt;"",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INDIRECT("'盛付札（関数）'!AK"&amp;CT25))),"")</f>
        <v/>
      </c>
      <c r="CZ28" s="207"/>
      <c r="DC28" s="25"/>
      <c r="DD28" s="210" t="str">
        <f t="array" aca="1" ref="DD28" ca="1">IF(DD25&lt;&gt;"",INDIRECT("'盛付札（関数）'!AJ"&amp;DB25),"")</f>
        <v/>
      </c>
      <c r="DE28" s="211"/>
      <c r="DF28" s="44"/>
      <c r="DG28" s="206" t="str">
        <f t="array" aca="1" ref="DG28" ca="1">IF(DD25&lt;&gt;"",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INDIRECT("'盛付札（関数）'!AK"&amp;DB25))),"")</f>
        <v/>
      </c>
      <c r="DH28" s="207"/>
      <c r="DI28" s="26"/>
      <c r="DJ28" s="25"/>
      <c r="DK28" s="210" t="str">
        <f t="array" aca="1" ref="DK28" ca="1">IF(DK25&lt;&gt;"",INDIRECT("'盛付札（関数）'!AJ"&amp;DI25),"")</f>
        <v/>
      </c>
      <c r="DL28" s="211"/>
      <c r="DM28" s="44"/>
      <c r="DN28" s="206" t="str">
        <f t="array" aca="1" ref="DN28" ca="1">IF(DK25&lt;&gt;"",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INDIRECT("'盛付札（関数）'!AK"&amp;DI25))),"")</f>
        <v/>
      </c>
      <c r="DO28" s="207"/>
      <c r="DR28" s="25"/>
      <c r="DS28" s="210" t="str">
        <f t="array" aca="1" ref="DS28" ca="1">IF(DS25&lt;&gt;"",INDIRECT("'盛付札（関数）'!AJ"&amp;DQ25),"")</f>
        <v/>
      </c>
      <c r="DT28" s="211"/>
      <c r="DU28" s="44"/>
      <c r="DV28" s="206" t="str">
        <f t="array" aca="1" ref="DV28" ca="1">IF(DS25&lt;&gt;"",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INDIRECT("'盛付札（関数）'!AK"&amp;DQ25))),"")</f>
        <v/>
      </c>
      <c r="DW28" s="207"/>
      <c r="DX28" s="26"/>
      <c r="DY28" s="25"/>
      <c r="DZ28" s="210" t="str">
        <f t="array" aca="1" ref="DZ28" ca="1">IF(DZ25&lt;&gt;"",INDIRECT("'盛付札（関数）'!AJ"&amp;DX25),"")</f>
        <v/>
      </c>
      <c r="EA28" s="211"/>
      <c r="EB28" s="44"/>
      <c r="EC28" s="206" t="str">
        <f t="array" aca="1" ref="EC28" ca="1">IF(DZ25&lt;&gt;"",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INDIRECT("'盛付札（関数）'!AK"&amp;DX25))),"")</f>
        <v/>
      </c>
      <c r="ED28" s="207"/>
      <c r="EG28" s="25"/>
      <c r="EH28" s="210" t="str">
        <f t="array" aca="1" ref="EH28" ca="1">IF(EH25&lt;&gt;"",INDIRECT("'盛付札（関数）'!AJ"&amp;EF25),"")</f>
        <v/>
      </c>
      <c r="EI28" s="211"/>
      <c r="EJ28" s="44"/>
      <c r="EK28" s="206" t="str">
        <f t="array" aca="1" ref="EK28" ca="1">IF(EH25&lt;&gt;"",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INDIRECT("'盛付札（関数）'!AK"&amp;EF25))),"")</f>
        <v/>
      </c>
      <c r="EL28" s="207"/>
      <c r="EM28" s="26"/>
      <c r="EN28" s="25"/>
      <c r="EO28" s="210" t="str">
        <f t="array" aca="1" ref="EO28" ca="1">IF(EO25&lt;&gt;"",INDIRECT("'盛付札（関数）'!AJ"&amp;EM25),"")</f>
        <v/>
      </c>
      <c r="EP28" s="211"/>
      <c r="EQ28" s="44"/>
      <c r="ER28" s="206" t="str">
        <f t="array" aca="1" ref="ER28" ca="1">IF(EO25&lt;&gt;"",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INDIRECT("'盛付札（関数）'!AK"&amp;EM25))),"")</f>
        <v/>
      </c>
      <c r="ES28" s="207"/>
    </row>
    <row r="29" spans="1:150" ht="15.6" customHeight="1">
      <c r="B29" s="27"/>
      <c r="C29" s="208"/>
      <c r="D29" s="208"/>
      <c r="E29" s="179"/>
      <c r="F29" s="208"/>
      <c r="G29" s="209"/>
      <c r="H29" s="26"/>
      <c r="I29" s="27"/>
      <c r="J29" s="208"/>
      <c r="K29" s="208"/>
      <c r="L29" s="179"/>
      <c r="M29" s="208"/>
      <c r="N29" s="209"/>
      <c r="Q29" s="27"/>
      <c r="R29" s="208"/>
      <c r="S29" s="208"/>
      <c r="T29" s="179"/>
      <c r="U29" s="208"/>
      <c r="V29" s="209"/>
      <c r="W29" s="26"/>
      <c r="X29" s="27"/>
      <c r="Y29" s="208"/>
      <c r="Z29" s="208"/>
      <c r="AA29" s="179"/>
      <c r="AB29" s="208"/>
      <c r="AC29" s="209"/>
      <c r="AF29" s="27"/>
      <c r="AG29" s="208"/>
      <c r="AH29" s="208"/>
      <c r="AI29" s="179"/>
      <c r="AJ29" s="208"/>
      <c r="AK29" s="209"/>
      <c r="AL29" s="26"/>
      <c r="AM29" s="27"/>
      <c r="AN29" s="208"/>
      <c r="AO29" s="208"/>
      <c r="AP29" s="179"/>
      <c r="AQ29" s="208"/>
      <c r="AR29" s="209"/>
      <c r="AU29" s="27"/>
      <c r="AV29" s="208"/>
      <c r="AW29" s="208"/>
      <c r="AX29" s="179"/>
      <c r="AY29" s="208"/>
      <c r="AZ29" s="209"/>
      <c r="BA29" s="26"/>
      <c r="BB29" s="27"/>
      <c r="BC29" s="208"/>
      <c r="BD29" s="208"/>
      <c r="BE29" s="179"/>
      <c r="BF29" s="208"/>
      <c r="BG29" s="209"/>
      <c r="BJ29" s="27"/>
      <c r="BK29" s="208"/>
      <c r="BL29" s="208"/>
      <c r="BM29" s="179"/>
      <c r="BN29" s="208"/>
      <c r="BO29" s="209"/>
      <c r="BP29" s="26"/>
      <c r="BQ29" s="27"/>
      <c r="BR29" s="208"/>
      <c r="BS29" s="208"/>
      <c r="BT29" s="179"/>
      <c r="BU29" s="208"/>
      <c r="BV29" s="209"/>
      <c r="BY29" s="27"/>
      <c r="BZ29" s="208"/>
      <c r="CA29" s="208"/>
      <c r="CB29" s="179"/>
      <c r="CC29" s="208"/>
      <c r="CD29" s="209"/>
      <c r="CE29" s="26"/>
      <c r="CF29" s="27"/>
      <c r="CG29" s="208"/>
      <c r="CH29" s="208"/>
      <c r="CI29" s="179"/>
      <c r="CJ29" s="208"/>
      <c r="CK29" s="209"/>
      <c r="CN29" s="27"/>
      <c r="CO29" s="208"/>
      <c r="CP29" s="208"/>
      <c r="CQ29" s="179"/>
      <c r="CR29" s="208"/>
      <c r="CS29" s="209"/>
      <c r="CT29" s="26"/>
      <c r="CU29" s="27"/>
      <c r="CV29" s="208"/>
      <c r="CW29" s="208"/>
      <c r="CX29" s="179"/>
      <c r="CY29" s="208"/>
      <c r="CZ29" s="209"/>
      <c r="DC29" s="27"/>
      <c r="DD29" s="208"/>
      <c r="DE29" s="208"/>
      <c r="DF29" s="179"/>
      <c r="DG29" s="208"/>
      <c r="DH29" s="209"/>
      <c r="DI29" s="26"/>
      <c r="DJ29" s="27"/>
      <c r="DK29" s="208"/>
      <c r="DL29" s="208"/>
      <c r="DM29" s="179"/>
      <c r="DN29" s="208"/>
      <c r="DO29" s="209"/>
      <c r="DR29" s="27"/>
      <c r="DS29" s="208"/>
      <c r="DT29" s="208"/>
      <c r="DU29" s="179"/>
      <c r="DV29" s="208"/>
      <c r="DW29" s="209"/>
      <c r="DX29" s="26"/>
      <c r="DY29" s="27"/>
      <c r="DZ29" s="208"/>
      <c r="EA29" s="208"/>
      <c r="EB29" s="179"/>
      <c r="EC29" s="208"/>
      <c r="ED29" s="209"/>
      <c r="EG29" s="27"/>
      <c r="EH29" s="208"/>
      <c r="EI29" s="208"/>
      <c r="EJ29" s="179"/>
      <c r="EK29" s="208"/>
      <c r="EL29" s="209"/>
      <c r="EM29" s="26"/>
      <c r="EN29" s="27"/>
      <c r="EO29" s="208"/>
      <c r="EP29" s="208"/>
      <c r="EQ29" s="179"/>
      <c r="ER29" s="208"/>
      <c r="ES29" s="209"/>
    </row>
    <row r="30" spans="1:150" s="181" customFormat="1">
      <c r="A30" s="30"/>
      <c r="B30" s="34" t="str">
        <f t="array" aca="1" ref="B30" ca="1">IF(AND(C25&lt;&gt;"",C25&lt;&gt;"社食"),
IF(OR(INDIRECT("'盛付札（関数）'!AE"&amp;A25)=211,INDIRECT("'盛付札（関数）'!AE"&amp;A25)=212,INDIRECT("'盛付札（関数）'!AE"&amp;A25)=213),"",
"パン箱"),"")</f>
        <v/>
      </c>
      <c r="C30" s="32" t="str">
        <f t="array" aca="1" ref="C30" ca="1">IF(AND(C25&lt;&gt;"",C25&lt;&gt;"社食"),
IF(OR(INDIRECT("'盛付札（関数）'!AE"&amp;A25)=211,INDIRECT("'盛付札（関数）'!AE"&amp;A25)=212,INDIRECT("'盛付札（関数）'!AE"&amp;A25)=213),"",
INDIRECT("'盛付札（関数）'!AL"&amp;A25)),"")</f>
        <v/>
      </c>
      <c r="D30" s="34" t="str">
        <f t="array" aca="1" ref="D30" ca="1">IF(AND(C25&lt;&gt;"",C25&lt;&gt;"社食"),
IF(OR(INDIRECT("'盛付札（関数）'!AE"&amp;A25)=211,INDIRECT("'盛付札（関数）'!AE"&amp;A25)=212,INDIRECT("'盛付札（関数）'!AE"&amp;A25)=213),"",
"端数"),"")</f>
        <v/>
      </c>
      <c r="E30" s="32"/>
      <c r="F30" s="34" t="str">
        <f t="array" aca="1" ref="F30" ca="1">IF(AND(C25&lt;&gt;"",C25&lt;&gt;"社食"),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"アレルギー")),"")</f>
        <v/>
      </c>
      <c r="G30" s="37"/>
      <c r="H30" s="22"/>
      <c r="I30" s="34" t="str">
        <f t="array" aca="1" ref="I30" ca="1">IF(AND(J25&lt;&gt;"",J25&lt;&gt;"社食"),
IF(OR(INDIRECT("'盛付札（関数）'!AE"&amp;H25)=211,INDIRECT("'盛付札（関数）'!AE"&amp;H25)=212,INDIRECT("'盛付札（関数）'!AE"&amp;H25)=213),"",
"パン箱"),"")</f>
        <v/>
      </c>
      <c r="J30" s="32" t="str">
        <f t="array" aca="1" ref="J30" ca="1">IF(AND(J25&lt;&gt;"",J25&lt;&gt;"社食"),
IF(OR(INDIRECT("'盛付札（関数）'!AE"&amp;H25)=211,INDIRECT("'盛付札（関数）'!AE"&amp;H25)=212,INDIRECT("'盛付札（関数）'!AE"&amp;H25)=213),"",
INDIRECT("'盛付札（関数）'!AL"&amp;H25)),"")</f>
        <v/>
      </c>
      <c r="K30" s="34" t="str">
        <f t="array" aca="1" ref="K30" ca="1">IF(AND(J25&lt;&gt;"",J25&lt;&gt;"社食"),
IF(OR(INDIRECT("'盛付札（関数）'!AE"&amp;H25)=211,INDIRECT("'盛付札（関数）'!AE"&amp;H25)=212,INDIRECT("'盛付札（関数）'!AE"&amp;H25)=213),"",
"端数"),"")</f>
        <v/>
      </c>
      <c r="L30" s="32"/>
      <c r="M30" s="34" t="str">
        <f t="array" aca="1" ref="M30" ca="1">IF(AND(J25&lt;&gt;"",J25&lt;&gt;"社食"),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"アレルギー")),"")</f>
        <v/>
      </c>
      <c r="N30" s="37"/>
      <c r="O30" s="22"/>
      <c r="P30" s="30"/>
      <c r="Q30" s="34" t="str">
        <f t="array" aca="1" ref="Q30" ca="1">IF(AND(R25&lt;&gt;"",R25&lt;&gt;"社食"),
IF(OR(INDIRECT("'盛付札（関数）'!AE"&amp;P25)=211,INDIRECT("'盛付札（関数）'!AE"&amp;P25)=212,INDIRECT("'盛付札（関数）'!AE"&amp;P25)=213),"",
"パン箱"),"")</f>
        <v/>
      </c>
      <c r="R30" s="32" t="str">
        <f t="array" aca="1" ref="R30" ca="1">IF(AND(R25&lt;&gt;"",R25&lt;&gt;"社食"),
IF(OR(INDIRECT("'盛付札（関数）'!AE"&amp;P25)=211,INDIRECT("'盛付札（関数）'!AE"&amp;P25)=212,INDIRECT("'盛付札（関数）'!AE"&amp;P25)=213),"",
INDIRECT("'盛付札（関数）'!AL"&amp;P25)),"")</f>
        <v/>
      </c>
      <c r="S30" s="34" t="str">
        <f t="array" aca="1" ref="S30" ca="1">IF(AND(R25&lt;&gt;"",R25&lt;&gt;"社食"),
IF(OR(INDIRECT("'盛付札（関数）'!AE"&amp;P25)=211,INDIRECT("'盛付札（関数）'!AE"&amp;P25)=212,INDIRECT("'盛付札（関数）'!AE"&amp;P25)=213),"",
"端数"),"")</f>
        <v/>
      </c>
      <c r="T30" s="32"/>
      <c r="U30" s="34" t="str">
        <f t="array" aca="1" ref="U30" ca="1">IF(AND(R25&lt;&gt;"",R25&lt;&gt;"社食"),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"アレルギー")),"")</f>
        <v/>
      </c>
      <c r="V30" s="37"/>
      <c r="W30" s="22"/>
      <c r="X30" s="34" t="str">
        <f t="array" aca="1" ref="X30" ca="1">IF(AND(Y25&lt;&gt;"",Y25&lt;&gt;"社食"),
IF(OR(INDIRECT("'盛付札（関数）'!AE"&amp;W25)=211,INDIRECT("'盛付札（関数）'!AE"&amp;W25)=212,INDIRECT("'盛付札（関数）'!AE"&amp;W25)=213),"",
"パン箱"),"")</f>
        <v/>
      </c>
      <c r="Y30" s="32" t="str">
        <f t="array" aca="1" ref="Y30" ca="1">IF(AND(Y25&lt;&gt;"",Y25&lt;&gt;"社食"),
IF(OR(INDIRECT("'盛付札（関数）'!AE"&amp;W25)=211,INDIRECT("'盛付札（関数）'!AE"&amp;W25)=212,INDIRECT("'盛付札（関数）'!AE"&amp;W25)=213),"",
INDIRECT("'盛付札（関数）'!AL"&amp;W25)),"")</f>
        <v/>
      </c>
      <c r="Z30" s="34" t="str">
        <f t="array" aca="1" ref="Z30" ca="1">IF(AND(Y25&lt;&gt;"",Y25&lt;&gt;"社食"),
IF(OR(INDIRECT("'盛付札（関数）'!AE"&amp;W25)=211,INDIRECT("'盛付札（関数）'!AE"&amp;W25)=212,INDIRECT("'盛付札（関数）'!AE"&amp;W25)=213),"",
"端数"),"")</f>
        <v/>
      </c>
      <c r="AA30" s="32"/>
      <c r="AB30" s="34" t="str">
        <f t="array" aca="1" ref="AB30" ca="1">IF(AND(Y25&lt;&gt;"",Y25&lt;&gt;"社食"),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"アレルギー")),"")</f>
        <v/>
      </c>
      <c r="AC30" s="37"/>
      <c r="AD30" s="22"/>
      <c r="AE30" s="30"/>
      <c r="AF30" s="34" t="str">
        <f t="array" aca="1" ref="AF30" ca="1">IF(AND(AG25&lt;&gt;"",AG25&lt;&gt;"社食"),
IF(OR(INDIRECT("'盛付札（関数）'!AE"&amp;AE25)=211,INDIRECT("'盛付札（関数）'!AE"&amp;AE25)=212,INDIRECT("'盛付札（関数）'!AE"&amp;AE25)=213),"",
"パン箱"),"")</f>
        <v/>
      </c>
      <c r="AG30" s="32" t="str">
        <f t="array" aca="1" ref="AG30" ca="1">IF(AND(AG25&lt;&gt;"",AG25&lt;&gt;"社食"),
IF(OR(INDIRECT("'盛付札（関数）'!AE"&amp;AE25)=211,INDIRECT("'盛付札（関数）'!AE"&amp;AE25)=212,INDIRECT("'盛付札（関数）'!AE"&amp;AE25)=213),"",
INDIRECT("'盛付札（関数）'!AL"&amp;AE25)),"")</f>
        <v/>
      </c>
      <c r="AH30" s="34" t="str">
        <f t="array" aca="1" ref="AH30" ca="1">IF(AND(AG25&lt;&gt;"",AG25&lt;&gt;"社食"),
IF(OR(INDIRECT("'盛付札（関数）'!AE"&amp;AE25)=211,INDIRECT("'盛付札（関数）'!AE"&amp;AE25)=212,INDIRECT("'盛付札（関数）'!AE"&amp;AE25)=213),"",
"端数"),"")</f>
        <v/>
      </c>
      <c r="AI30" s="32"/>
      <c r="AJ30" s="34" t="str">
        <f t="array" aca="1" ref="AJ30" ca="1">IF(AND(AG25&lt;&gt;"",AG25&lt;&gt;"社食"),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"アレルギー")),"")</f>
        <v/>
      </c>
      <c r="AK30" s="37"/>
      <c r="AL30" s="22"/>
      <c r="AM30" s="34" t="str">
        <f t="array" aca="1" ref="AM30" ca="1">IF(AND(AN25&lt;&gt;"",AN25&lt;&gt;"社食"),
IF(OR(INDIRECT("'盛付札（関数）'!AE"&amp;AL25)=211,INDIRECT("'盛付札（関数）'!AE"&amp;AL25)=212,INDIRECT("'盛付札（関数）'!AE"&amp;AL25)=213),"",
"パン箱"),"")</f>
        <v/>
      </c>
      <c r="AN30" s="32" t="str">
        <f t="array" aca="1" ref="AN30" ca="1">IF(AND(AN25&lt;&gt;"",AN25&lt;&gt;"社食"),
IF(OR(INDIRECT("'盛付札（関数）'!AE"&amp;AL25)=211,INDIRECT("'盛付札（関数）'!AE"&amp;AL25)=212,INDIRECT("'盛付札（関数）'!AE"&amp;AL25)=213),"",
INDIRECT("'盛付札（関数）'!AL"&amp;AL25)),"")</f>
        <v/>
      </c>
      <c r="AO30" s="34" t="str">
        <f t="array" aca="1" ref="AO30" ca="1">IF(AND(AN25&lt;&gt;"",AN25&lt;&gt;"社食"),
IF(OR(INDIRECT("'盛付札（関数）'!AE"&amp;AL25)=211,INDIRECT("'盛付札（関数）'!AE"&amp;AL25)=212,INDIRECT("'盛付札（関数）'!AE"&amp;AL25)=213),"",
"端数"),"")</f>
        <v/>
      </c>
      <c r="AP30" s="32"/>
      <c r="AQ30" s="34" t="str">
        <f t="array" aca="1" ref="AQ30" ca="1">IF(AND(AN25&lt;&gt;"",AN25&lt;&gt;"社食"),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"アレルギー")),"")</f>
        <v/>
      </c>
      <c r="AR30" s="37"/>
      <c r="AS30" s="22"/>
      <c r="AT30" s="30"/>
      <c r="AU30" s="34" t="str">
        <f t="array" aca="1" ref="AU30" ca="1">IF(AND(AV25&lt;&gt;"",AV25&lt;&gt;"社食"),
IF(OR(INDIRECT("'盛付札（関数）'!AE"&amp;AT25)=211,INDIRECT("'盛付札（関数）'!AE"&amp;AT25)=212,INDIRECT("'盛付札（関数）'!AE"&amp;AT25)=213),"",
"パン箱"),"")</f>
        <v/>
      </c>
      <c r="AV30" s="32" t="str">
        <f t="array" aca="1" ref="AV30" ca="1">IF(AND(AV25&lt;&gt;"",AV25&lt;&gt;"社食"),
IF(OR(INDIRECT("'盛付札（関数）'!AE"&amp;AT25)=211,INDIRECT("'盛付札（関数）'!AE"&amp;AT25)=212,INDIRECT("'盛付札（関数）'!AE"&amp;AT25)=213),"",
INDIRECT("'盛付札（関数）'!AL"&amp;AT25)),"")</f>
        <v/>
      </c>
      <c r="AW30" s="34" t="str">
        <f t="array" aca="1" ref="AW30" ca="1">IF(AND(AV25&lt;&gt;"",AV25&lt;&gt;"社食"),
IF(OR(INDIRECT("'盛付札（関数）'!AE"&amp;AT25)=211,INDIRECT("'盛付札（関数）'!AE"&amp;AT25)=212,INDIRECT("'盛付札（関数）'!AE"&amp;AT25)=213),"",
"端数"),"")</f>
        <v/>
      </c>
      <c r="AX30" s="32"/>
      <c r="AY30" s="34" t="str">
        <f t="array" aca="1" ref="AY30" ca="1">IF(AND(AV25&lt;&gt;"",AV25&lt;&gt;"社食"),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"アレルギー")),"")</f>
        <v/>
      </c>
      <c r="AZ30" s="37"/>
      <c r="BA30" s="22"/>
      <c r="BB30" s="34" t="str">
        <f t="array" aca="1" ref="BB30" ca="1">IF(AND(BC25&lt;&gt;"",BC25&lt;&gt;"社食"),
IF(OR(INDIRECT("'盛付札（関数）'!AE"&amp;BA25)=211,INDIRECT("'盛付札（関数）'!AE"&amp;BA25)=212,INDIRECT("'盛付札（関数）'!AE"&amp;BA25)=213),"",
"パン箱"),"")</f>
        <v/>
      </c>
      <c r="BC30" s="32" t="str">
        <f t="array" aca="1" ref="BC30" ca="1">IF(AND(BC25&lt;&gt;"",BC25&lt;&gt;"社食"),
IF(OR(INDIRECT("'盛付札（関数）'!AE"&amp;BA25)=211,INDIRECT("'盛付札（関数）'!AE"&amp;BA25)=212,INDIRECT("'盛付札（関数）'!AE"&amp;BA25)=213),"",
INDIRECT("'盛付札（関数）'!AL"&amp;BA25)),"")</f>
        <v/>
      </c>
      <c r="BD30" s="34" t="str">
        <f t="array" aca="1" ref="BD30" ca="1">IF(AND(BC25&lt;&gt;"",BC25&lt;&gt;"社食"),
IF(OR(INDIRECT("'盛付札（関数）'!AE"&amp;BA25)=211,INDIRECT("'盛付札（関数）'!AE"&amp;BA25)=212,INDIRECT("'盛付札（関数）'!AE"&amp;BA25)=213),"",
"端数"),"")</f>
        <v/>
      </c>
      <c r="BE30" s="32"/>
      <c r="BF30" s="34" t="str">
        <f t="array" aca="1" ref="BF30" ca="1">IF(AND(BC25&lt;&gt;"",BC25&lt;&gt;"社食"),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"アレルギー")),"")</f>
        <v/>
      </c>
      <c r="BG30" s="37"/>
      <c r="BH30" s="22"/>
      <c r="BI30" s="30"/>
      <c r="BJ30" s="34" t="str">
        <f t="array" aca="1" ref="BJ30" ca="1">IF(AND(BK25&lt;&gt;"",BK25&lt;&gt;"社食"),
IF(OR(INDIRECT("'盛付札（関数）'!AE"&amp;BI25)=211,INDIRECT("'盛付札（関数）'!AE"&amp;BI25)=212,INDIRECT("'盛付札（関数）'!AE"&amp;BI25)=213),"",
"パン箱"),"")</f>
        <v/>
      </c>
      <c r="BK30" s="32" t="str">
        <f t="array" aca="1" ref="BK30" ca="1">IF(AND(BK25&lt;&gt;"",BK25&lt;&gt;"社食"),
IF(OR(INDIRECT("'盛付札（関数）'!AE"&amp;BI25)=211,INDIRECT("'盛付札（関数）'!AE"&amp;BI25)=212,INDIRECT("'盛付札（関数）'!AE"&amp;BI25)=213),"",
INDIRECT("'盛付札（関数）'!AL"&amp;BI25)),"")</f>
        <v/>
      </c>
      <c r="BL30" s="34" t="str">
        <f t="array" aca="1" ref="BL30" ca="1">IF(AND(BK25&lt;&gt;"",BK25&lt;&gt;"社食"),
IF(OR(INDIRECT("'盛付札（関数）'!AE"&amp;BI25)=211,INDIRECT("'盛付札（関数）'!AE"&amp;BI25)=212,INDIRECT("'盛付札（関数）'!AE"&amp;BI25)=213),"",
"端数"),"")</f>
        <v/>
      </c>
      <c r="BM30" s="32"/>
      <c r="BN30" s="34" t="str">
        <f t="array" aca="1" ref="BN30" ca="1">IF(AND(BK25&lt;&gt;"",BK25&lt;&gt;"社食"),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"アレルギー")),"")</f>
        <v/>
      </c>
      <c r="BO30" s="37"/>
      <c r="BP30" s="22"/>
      <c r="BQ30" s="34" t="str">
        <f t="array" aca="1" ref="BQ30" ca="1">IF(AND(BR25&lt;&gt;"",BR25&lt;&gt;"社食"),
IF(OR(INDIRECT("'盛付札（関数）'!AE"&amp;BP25)=211,INDIRECT("'盛付札（関数）'!AE"&amp;BP25)=212,INDIRECT("'盛付札（関数）'!AE"&amp;BP25)=213),"",
"パン箱"),"")</f>
        <v/>
      </c>
      <c r="BR30" s="32" t="str">
        <f t="array" aca="1" ref="BR30" ca="1">IF(AND(BR25&lt;&gt;"",BR25&lt;&gt;"社食"),
IF(OR(INDIRECT("'盛付札（関数）'!AE"&amp;BP25)=211,INDIRECT("'盛付札（関数）'!AE"&amp;BP25)=212,INDIRECT("'盛付札（関数）'!AE"&amp;BP25)=213),"",
INDIRECT("'盛付札（関数）'!AL"&amp;BP25)),"")</f>
        <v/>
      </c>
      <c r="BS30" s="34" t="str">
        <f t="array" aca="1" ref="BS30" ca="1">IF(AND(BR25&lt;&gt;"",BR25&lt;&gt;"社食"),
IF(OR(INDIRECT("'盛付札（関数）'!AE"&amp;BP25)=211,INDIRECT("'盛付札（関数）'!AE"&amp;BP25)=212,INDIRECT("'盛付札（関数）'!AE"&amp;BP25)=213),"",
"端数"),"")</f>
        <v/>
      </c>
      <c r="BT30" s="32"/>
      <c r="BU30" s="34" t="str">
        <f t="array" aca="1" ref="BU30" ca="1">IF(AND(BR25&lt;&gt;"",BR25&lt;&gt;"社食"),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"アレルギー")),"")</f>
        <v/>
      </c>
      <c r="BV30" s="37"/>
      <c r="BW30" s="22"/>
      <c r="BX30" s="30"/>
      <c r="BY30" s="34" t="str">
        <f t="array" aca="1" ref="BY30" ca="1">IF(AND(BZ25&lt;&gt;"",BZ25&lt;&gt;"社食"),
IF(OR(INDIRECT("'盛付札（関数）'!AE"&amp;BX25)=211,INDIRECT("'盛付札（関数）'!AE"&amp;BX25)=212,INDIRECT("'盛付札（関数）'!AE"&amp;BX25)=213),"",
"パン箱"),"")</f>
        <v/>
      </c>
      <c r="BZ30" s="32" t="str">
        <f t="array" aca="1" ref="BZ30" ca="1">IF(AND(BZ25&lt;&gt;"",BZ25&lt;&gt;"社食"),
IF(OR(INDIRECT("'盛付札（関数）'!AE"&amp;BX25)=211,INDIRECT("'盛付札（関数）'!AE"&amp;BX25)=212,INDIRECT("'盛付札（関数）'!AE"&amp;BX25)=213),"",
INDIRECT("'盛付札（関数）'!AL"&amp;BX25)),"")</f>
        <v/>
      </c>
      <c r="CA30" s="34" t="str">
        <f t="array" aca="1" ref="CA30" ca="1">IF(AND(BZ25&lt;&gt;"",BZ25&lt;&gt;"社食"),
IF(OR(INDIRECT("'盛付札（関数）'!AE"&amp;BX25)=211,INDIRECT("'盛付札（関数）'!AE"&amp;BX25)=212,INDIRECT("'盛付札（関数）'!AE"&amp;BX25)=213),"",
"端数"),"")</f>
        <v/>
      </c>
      <c r="CB30" s="32"/>
      <c r="CC30" s="34" t="str">
        <f t="array" aca="1" ref="CC30" ca="1">IF(AND(BZ25&lt;&gt;"",BZ25&lt;&gt;"社食"),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"アレルギー")),"")</f>
        <v/>
      </c>
      <c r="CD30" s="37"/>
      <c r="CE30" s="22"/>
      <c r="CF30" s="34" t="str">
        <f t="array" aca="1" ref="CF30" ca="1">IF(AND(CG25&lt;&gt;"",CG25&lt;&gt;"社食"),
IF(OR(INDIRECT("'盛付札（関数）'!AE"&amp;CE25)=211,INDIRECT("'盛付札（関数）'!AE"&amp;CE25)=212,INDIRECT("'盛付札（関数）'!AE"&amp;CE25)=213),"",
"パン箱"),"")</f>
        <v/>
      </c>
      <c r="CG30" s="32" t="str">
        <f t="array" aca="1" ref="CG30" ca="1">IF(AND(CG25&lt;&gt;"",CG25&lt;&gt;"社食"),
IF(OR(INDIRECT("'盛付札（関数）'!AE"&amp;CE25)=211,INDIRECT("'盛付札（関数）'!AE"&amp;CE25)=212,INDIRECT("'盛付札（関数）'!AE"&amp;CE25)=213),"",
INDIRECT("'盛付札（関数）'!AL"&amp;CE25)),"")</f>
        <v/>
      </c>
      <c r="CH30" s="34" t="str">
        <f t="array" aca="1" ref="CH30" ca="1">IF(AND(CG25&lt;&gt;"",CG25&lt;&gt;"社食"),
IF(OR(INDIRECT("'盛付札（関数）'!AE"&amp;CE25)=211,INDIRECT("'盛付札（関数）'!AE"&amp;CE25)=212,INDIRECT("'盛付札（関数）'!AE"&amp;CE25)=213),"",
"端数"),"")</f>
        <v/>
      </c>
      <c r="CI30" s="32"/>
      <c r="CJ30" s="34" t="str">
        <f t="array" aca="1" ref="CJ30" ca="1">IF(AND(CG25&lt;&gt;"",CG25&lt;&gt;"社食"),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"アレルギー")),"")</f>
        <v/>
      </c>
      <c r="CK30" s="37"/>
      <c r="CL30" s="22"/>
      <c r="CM30" s="30"/>
      <c r="CN30" s="34" t="str">
        <f t="array" aca="1" ref="CN30" ca="1">IF(AND(CO25&lt;&gt;"",CO25&lt;&gt;"社食"),
IF(OR(INDIRECT("'盛付札（関数）'!AE"&amp;CM25)=211,INDIRECT("'盛付札（関数）'!AE"&amp;CM25)=212,INDIRECT("'盛付札（関数）'!AE"&amp;CM25)=213),"",
"パン箱"),"")</f>
        <v/>
      </c>
      <c r="CO30" s="32" t="str">
        <f t="array" aca="1" ref="CO30" ca="1">IF(AND(CO25&lt;&gt;"",CO25&lt;&gt;"社食"),
IF(OR(INDIRECT("'盛付札（関数）'!AE"&amp;CM25)=211,INDIRECT("'盛付札（関数）'!AE"&amp;CM25)=212,INDIRECT("'盛付札（関数）'!AE"&amp;CM25)=213),"",
INDIRECT("'盛付札（関数）'!AL"&amp;CM25)),"")</f>
        <v/>
      </c>
      <c r="CP30" s="34" t="str">
        <f t="array" aca="1" ref="CP30" ca="1">IF(AND(CO25&lt;&gt;"",CO25&lt;&gt;"社食"),
IF(OR(INDIRECT("'盛付札（関数）'!AE"&amp;CM25)=211,INDIRECT("'盛付札（関数）'!AE"&amp;CM25)=212,INDIRECT("'盛付札（関数）'!AE"&amp;CM25)=213),"",
"端数"),"")</f>
        <v/>
      </c>
      <c r="CQ30" s="32"/>
      <c r="CR30" s="34" t="str">
        <f t="array" aca="1" ref="CR30" ca="1">IF(AND(CO25&lt;&gt;"",CO25&lt;&gt;"社食"),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"アレルギー")),"")</f>
        <v/>
      </c>
      <c r="CS30" s="37"/>
      <c r="CT30" s="22"/>
      <c r="CU30" s="34" t="str">
        <f t="array" aca="1" ref="CU30" ca="1">IF(AND(CV25&lt;&gt;"",CV25&lt;&gt;"社食"),
IF(OR(INDIRECT("'盛付札（関数）'!AE"&amp;CT25)=211,INDIRECT("'盛付札（関数）'!AE"&amp;CT25)=212,INDIRECT("'盛付札（関数）'!AE"&amp;CT25)=213),"",
"パン箱"),"")</f>
        <v/>
      </c>
      <c r="CV30" s="32" t="str">
        <f t="array" aca="1" ref="CV30" ca="1">IF(AND(CV25&lt;&gt;"",CV25&lt;&gt;"社食"),
IF(OR(INDIRECT("'盛付札（関数）'!AE"&amp;CT25)=211,INDIRECT("'盛付札（関数）'!AE"&amp;CT25)=212,INDIRECT("'盛付札（関数）'!AE"&amp;CT25)=213),"",
INDIRECT("'盛付札（関数）'!AL"&amp;CT25)),"")</f>
        <v/>
      </c>
      <c r="CW30" s="34" t="str">
        <f t="array" aca="1" ref="CW30" ca="1">IF(AND(CV25&lt;&gt;"",CV25&lt;&gt;"社食"),
IF(OR(INDIRECT("'盛付札（関数）'!AE"&amp;CT25)=211,INDIRECT("'盛付札（関数）'!AE"&amp;CT25)=212,INDIRECT("'盛付札（関数）'!AE"&amp;CT25)=213),"",
"端数"),"")</f>
        <v/>
      </c>
      <c r="CX30" s="32"/>
      <c r="CY30" s="34" t="str">
        <f t="array" aca="1" ref="CY30" ca="1">IF(AND(CV25&lt;&gt;"",CV25&lt;&gt;"社食"),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"アレルギー")),"")</f>
        <v/>
      </c>
      <c r="CZ30" s="37"/>
      <c r="DA30" s="22"/>
      <c r="DB30" s="30"/>
      <c r="DC30" s="34" t="str">
        <f t="array" aca="1" ref="DC30" ca="1">IF(AND(DD25&lt;&gt;"",DD25&lt;&gt;"社食"),
IF(OR(INDIRECT("'盛付札（関数）'!AE"&amp;DB25)=211,INDIRECT("'盛付札（関数）'!AE"&amp;DB25)=212,INDIRECT("'盛付札（関数）'!AE"&amp;DB25)=213),"",
"パン箱"),"")</f>
        <v/>
      </c>
      <c r="DD30" s="32" t="str">
        <f t="array" aca="1" ref="DD30" ca="1">IF(AND(DD25&lt;&gt;"",DD25&lt;&gt;"社食"),
IF(OR(INDIRECT("'盛付札（関数）'!AE"&amp;DB25)=211,INDIRECT("'盛付札（関数）'!AE"&amp;DB25)=212,INDIRECT("'盛付札（関数）'!AE"&amp;DB25)=213),"",
INDIRECT("'盛付札（関数）'!AL"&amp;DB25)),"")</f>
        <v/>
      </c>
      <c r="DE30" s="34" t="str">
        <f t="array" aca="1" ref="DE30" ca="1">IF(AND(DD25&lt;&gt;"",DD25&lt;&gt;"社食"),
IF(OR(INDIRECT("'盛付札（関数）'!AE"&amp;DB25)=211,INDIRECT("'盛付札（関数）'!AE"&amp;DB25)=212,INDIRECT("'盛付札（関数）'!AE"&amp;DB25)=213),"",
"端数"),"")</f>
        <v/>
      </c>
      <c r="DF30" s="32"/>
      <c r="DG30" s="34" t="str">
        <f t="array" aca="1" ref="DG30" ca="1">IF(AND(DD25&lt;&gt;"",DD25&lt;&gt;"社食"),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"アレルギー")),"")</f>
        <v/>
      </c>
      <c r="DH30" s="37"/>
      <c r="DI30" s="22"/>
      <c r="DJ30" s="34" t="str">
        <f t="array" aca="1" ref="DJ30" ca="1">IF(AND(DK25&lt;&gt;"",DK25&lt;&gt;"社食"),
IF(OR(INDIRECT("'盛付札（関数）'!AE"&amp;DI25)=211,INDIRECT("'盛付札（関数）'!AE"&amp;DI25)=212,INDIRECT("'盛付札（関数）'!AE"&amp;DI25)=213),"",
"パン箱"),"")</f>
        <v/>
      </c>
      <c r="DK30" s="32" t="str">
        <f t="array" aca="1" ref="DK30" ca="1">IF(AND(DK25&lt;&gt;"",DK25&lt;&gt;"社食"),
IF(OR(INDIRECT("'盛付札（関数）'!AE"&amp;DI25)=211,INDIRECT("'盛付札（関数）'!AE"&amp;DI25)=212,INDIRECT("'盛付札（関数）'!AE"&amp;DI25)=213),"",
INDIRECT("'盛付札（関数）'!AL"&amp;DI25)),"")</f>
        <v/>
      </c>
      <c r="DL30" s="34" t="str">
        <f t="array" aca="1" ref="DL30" ca="1">IF(AND(DK25&lt;&gt;"",DK25&lt;&gt;"社食"),
IF(OR(INDIRECT("'盛付札（関数）'!AE"&amp;DI25)=211,INDIRECT("'盛付札（関数）'!AE"&amp;DI25)=212,INDIRECT("'盛付札（関数）'!AE"&amp;DI25)=213),"",
"端数"),"")</f>
        <v/>
      </c>
      <c r="DM30" s="32"/>
      <c r="DN30" s="34" t="str">
        <f t="array" aca="1" ref="DN30" ca="1">IF(AND(DK25&lt;&gt;"",DK25&lt;&gt;"社食"),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"アレルギー")),"")</f>
        <v/>
      </c>
      <c r="DO30" s="37"/>
      <c r="DP30" s="22"/>
      <c r="DQ30" s="30"/>
      <c r="DR30" s="34" t="str">
        <f t="array" aca="1" ref="DR30" ca="1">IF(AND(DS25&lt;&gt;"",DS25&lt;&gt;"社食"),
IF(OR(INDIRECT("'盛付札（関数）'!AE"&amp;DQ25)=211,INDIRECT("'盛付札（関数）'!AE"&amp;DQ25)=212,INDIRECT("'盛付札（関数）'!AE"&amp;DQ25)=213),"",
"パン箱"),"")</f>
        <v/>
      </c>
      <c r="DS30" s="32" t="str">
        <f t="array" aca="1" ref="DS30" ca="1">IF(AND(DS25&lt;&gt;"",DS25&lt;&gt;"社食"),
IF(OR(INDIRECT("'盛付札（関数）'!AE"&amp;DQ25)=211,INDIRECT("'盛付札（関数）'!AE"&amp;DQ25)=212,INDIRECT("'盛付札（関数）'!AE"&amp;DQ25)=213),"",
INDIRECT("'盛付札（関数）'!AL"&amp;DQ25)),"")</f>
        <v/>
      </c>
      <c r="DT30" s="34" t="str">
        <f t="array" aca="1" ref="DT30" ca="1">IF(AND(DS25&lt;&gt;"",DS25&lt;&gt;"社食"),
IF(OR(INDIRECT("'盛付札（関数）'!AE"&amp;DQ25)=211,INDIRECT("'盛付札（関数）'!AE"&amp;DQ25)=212,INDIRECT("'盛付札（関数）'!AE"&amp;DQ25)=213),"",
"端数"),"")</f>
        <v/>
      </c>
      <c r="DU30" s="32"/>
      <c r="DV30" s="34" t="str">
        <f t="array" aca="1" ref="DV30" ca="1">IF(AND(DS25&lt;&gt;"",DS25&lt;&gt;"社食"),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"アレルギー")),"")</f>
        <v/>
      </c>
      <c r="DW30" s="37"/>
      <c r="DX30" s="22"/>
      <c r="DY30" s="34" t="str">
        <f t="array" aca="1" ref="DY30" ca="1">IF(AND(DZ25&lt;&gt;"",DZ25&lt;&gt;"社食"),
IF(OR(INDIRECT("'盛付札（関数）'!AE"&amp;DX25)=211,INDIRECT("'盛付札（関数）'!AE"&amp;DX25)=212,INDIRECT("'盛付札（関数）'!AE"&amp;DX25)=213),"",
"パン箱"),"")</f>
        <v/>
      </c>
      <c r="DZ30" s="32" t="str">
        <f t="array" aca="1" ref="DZ30" ca="1">IF(AND(DZ25&lt;&gt;"",DZ25&lt;&gt;"社食"),
IF(OR(INDIRECT("'盛付札（関数）'!AE"&amp;DX25)=211,INDIRECT("'盛付札（関数）'!AE"&amp;DX25)=212,INDIRECT("'盛付札（関数）'!AE"&amp;DX25)=213),"",
INDIRECT("'盛付札（関数）'!AL"&amp;DX25)),"")</f>
        <v/>
      </c>
      <c r="EA30" s="34" t="str">
        <f t="array" aca="1" ref="EA30" ca="1">IF(AND(DZ25&lt;&gt;"",DZ25&lt;&gt;"社食"),
IF(OR(INDIRECT("'盛付札（関数）'!AE"&amp;DX25)=211,INDIRECT("'盛付札（関数）'!AE"&amp;DX25)=212,INDIRECT("'盛付札（関数）'!AE"&amp;DX25)=213),"",
"端数"),"")</f>
        <v/>
      </c>
      <c r="EB30" s="32"/>
      <c r="EC30" s="34" t="str">
        <f t="array" aca="1" ref="EC30" ca="1">IF(AND(DZ25&lt;&gt;"",DZ25&lt;&gt;"社食"),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"アレルギー")),"")</f>
        <v/>
      </c>
      <c r="ED30" s="37"/>
      <c r="EE30" s="22"/>
      <c r="EF30" s="30"/>
      <c r="EG30" s="34" t="str">
        <f t="array" aca="1" ref="EG30" ca="1">IF(AND(EH25&lt;&gt;"",EH25&lt;&gt;"社食"),
IF(OR(INDIRECT("'盛付札（関数）'!AE"&amp;EF25)=211,INDIRECT("'盛付札（関数）'!AE"&amp;EF25)=212,INDIRECT("'盛付札（関数）'!AE"&amp;EF25)=213),"",
"パン箱"),"")</f>
        <v/>
      </c>
      <c r="EH30" s="32" t="str">
        <f t="array" aca="1" ref="EH30" ca="1">IF(AND(EH25&lt;&gt;"",EH25&lt;&gt;"社食"),
IF(OR(INDIRECT("'盛付札（関数）'!AE"&amp;EF25)=211,INDIRECT("'盛付札（関数）'!AE"&amp;EF25)=212,INDIRECT("'盛付札（関数）'!AE"&amp;EF25)=213),"",
INDIRECT("'盛付札（関数）'!AL"&amp;EF25)),"")</f>
        <v/>
      </c>
      <c r="EI30" s="34" t="str">
        <f t="array" aca="1" ref="EI30" ca="1">IF(AND(EH25&lt;&gt;"",EH25&lt;&gt;"社食"),
IF(OR(INDIRECT("'盛付札（関数）'!AE"&amp;EF25)=211,INDIRECT("'盛付札（関数）'!AE"&amp;EF25)=212,INDIRECT("'盛付札（関数）'!AE"&amp;EF25)=213),"",
"端数"),"")</f>
        <v/>
      </c>
      <c r="EJ30" s="32"/>
      <c r="EK30" s="34" t="str">
        <f t="array" aca="1" ref="EK30" ca="1">IF(AND(EH25&lt;&gt;"",EH25&lt;&gt;"社食"),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"アレルギー")),"")</f>
        <v/>
      </c>
      <c r="EL30" s="37"/>
      <c r="EM30" s="22"/>
      <c r="EN30" s="34" t="str">
        <f t="array" aca="1" ref="EN30" ca="1">IF(AND(EO25&lt;&gt;"",EO25&lt;&gt;"社食"),
IF(OR(INDIRECT("'盛付札（関数）'!AE"&amp;EM25)=211,INDIRECT("'盛付札（関数）'!AE"&amp;EM25)=212,INDIRECT("'盛付札（関数）'!AE"&amp;EM25)=213),"",
"パン箱"),"")</f>
        <v/>
      </c>
      <c r="EO30" s="32" t="str">
        <f t="array" aca="1" ref="EO30" ca="1">IF(AND(EO25&lt;&gt;"",EO25&lt;&gt;"社食"),
IF(OR(INDIRECT("'盛付札（関数）'!AE"&amp;EM25)=211,INDIRECT("'盛付札（関数）'!AE"&amp;EM25)=212,INDIRECT("'盛付札（関数）'!AE"&amp;EM25)=213),"",
INDIRECT("'盛付札（関数）'!AL"&amp;EM25)),"")</f>
        <v/>
      </c>
      <c r="EP30" s="34" t="str">
        <f t="array" aca="1" ref="EP30" ca="1">IF(AND(EO25&lt;&gt;"",EO25&lt;&gt;"社食"),
IF(OR(INDIRECT("'盛付札（関数）'!AE"&amp;EM25)=211,INDIRECT("'盛付札（関数）'!AE"&amp;EM25)=212,INDIRECT("'盛付札（関数）'!AE"&amp;EM25)=213),"",
"端数"),"")</f>
        <v/>
      </c>
      <c r="EQ30" s="32"/>
      <c r="ER30" s="34" t="str">
        <f t="array" aca="1" ref="ER30" ca="1">IF(AND(EO25&lt;&gt;"",EO25&lt;&gt;"社食"),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"アレルギー")),"")</f>
        <v/>
      </c>
      <c r="ES30" s="37"/>
      <c r="ET30" s="22"/>
    </row>
    <row r="31" spans="1:150" ht="27.6" customHeight="1">
      <c r="B31" s="216" t="str">
        <f t="array" aca="1" ref="B31" ca="1">IF(C25&lt;&gt;"",
IF(OR(INDIRECT("'盛付札（関数）'!AE"&amp;A25)=211,INDIRECT("'盛付札（関数）'!AE"&amp;A25)=212,INDIRECT("'盛付札（関数）'!AE"&amp;A25)=213),"",
INDIRECT("'盛付札（関数）'!AM"&amp;A25)),"")</f>
        <v/>
      </c>
      <c r="C31" s="209"/>
      <c r="D31" s="216" t="str">
        <f t="array" aca="1" ref="D31" ca="1">IF(C25&lt;&gt;"",
IF(OR(INDIRECT("'盛付札（関数）'!AE"&amp;A25)=211,INDIRECT("'盛付札（関数）'!AE"&amp;A25)=212,INDIRECT("'盛付札（関数）'!AE"&amp;A25)=213),"",
INDIRECT("'盛付札（関数）'!AN"&amp;A25)),"")</f>
        <v/>
      </c>
      <c r="E31" s="209"/>
      <c r="F31" s="217" t="str">
        <f t="array" aca="1" ref="F31" ca="1">IF(AND(C25&lt;&gt;"",C25&lt;&gt;"社食"),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INDIRECT("'盛付札（関数）'!AO"&amp;A25))),"")</f>
        <v/>
      </c>
      <c r="G31" s="209"/>
      <c r="I31" s="216" t="str">
        <f t="array" aca="1" ref="I31" ca="1">IF(J25&lt;&gt;"",
IF(OR(INDIRECT("'盛付札（関数）'!AE"&amp;H25)=211,INDIRECT("'盛付札（関数）'!AE"&amp;H25)=212,INDIRECT("'盛付札（関数）'!AE"&amp;H25)=213),"",
INDIRECT("'盛付札（関数）'!AM"&amp;H25)),"")</f>
        <v/>
      </c>
      <c r="J31" s="209"/>
      <c r="K31" s="216" t="str">
        <f t="array" aca="1" ref="K31" ca="1">IF(J25&lt;&gt;"",
IF(OR(INDIRECT("'盛付札（関数）'!AE"&amp;H25)=211,INDIRECT("'盛付札（関数）'!AE"&amp;H25)=212,INDIRECT("'盛付札（関数）'!AE"&amp;H25)=213),"",
INDIRECT("'盛付札（関数）'!AN"&amp;H25)),"")</f>
        <v/>
      </c>
      <c r="L31" s="209"/>
      <c r="M31" s="217" t="str">
        <f t="array" aca="1" ref="M31" ca="1">IF(AND(J25&lt;&gt;"",J25&lt;&gt;"社食"),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INDIRECT("'盛付札（関数）'!AO"&amp;H25))),"")</f>
        <v/>
      </c>
      <c r="N31" s="209"/>
      <c r="Q31" s="216" t="str">
        <f t="array" aca="1" ref="Q31" ca="1">IF(R25&lt;&gt;"",
IF(OR(INDIRECT("'盛付札（関数）'!AE"&amp;P25)=211,INDIRECT("'盛付札（関数）'!AE"&amp;P25)=212,INDIRECT("'盛付札（関数）'!AE"&amp;P25)=213),"",
INDIRECT("'盛付札（関数）'!AM"&amp;P25)),"")</f>
        <v/>
      </c>
      <c r="R31" s="209"/>
      <c r="S31" s="216" t="str">
        <f t="array" aca="1" ref="S31" ca="1">IF(R25&lt;&gt;"",
IF(OR(INDIRECT("'盛付札（関数）'!AE"&amp;P25)=211,INDIRECT("'盛付札（関数）'!AE"&amp;P25)=212,INDIRECT("'盛付札（関数）'!AE"&amp;P25)=213),"",
INDIRECT("'盛付札（関数）'!AN"&amp;P25)),"")</f>
        <v/>
      </c>
      <c r="T31" s="209"/>
      <c r="U31" s="217" t="str">
        <f t="array" aca="1" ref="U31" ca="1">IF(AND(R25&lt;&gt;"",R25&lt;&gt;"社食"),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INDIRECT("'盛付札（関数）'!AO"&amp;P25))),"")</f>
        <v/>
      </c>
      <c r="V31" s="209"/>
      <c r="X31" s="216" t="str">
        <f t="array" aca="1" ref="X31" ca="1">IF(Y25&lt;&gt;"",
IF(OR(INDIRECT("'盛付札（関数）'!AE"&amp;W25)=211,INDIRECT("'盛付札（関数）'!AE"&amp;W25)=212,INDIRECT("'盛付札（関数）'!AE"&amp;W25)=213),"",
INDIRECT("'盛付札（関数）'!AM"&amp;W25)),"")</f>
        <v/>
      </c>
      <c r="Y31" s="209"/>
      <c r="Z31" s="216" t="str">
        <f t="array" aca="1" ref="Z31" ca="1">IF(Y25&lt;&gt;"",
IF(OR(INDIRECT("'盛付札（関数）'!AE"&amp;W25)=211,INDIRECT("'盛付札（関数）'!AE"&amp;W25)=212,INDIRECT("'盛付札（関数）'!AE"&amp;W25)=213),"",
INDIRECT("'盛付札（関数）'!AN"&amp;W25)),"")</f>
        <v/>
      </c>
      <c r="AA31" s="209"/>
      <c r="AB31" s="217" t="str">
        <f t="array" aca="1" ref="AB31" ca="1">IF(AND(Y25&lt;&gt;"",Y25&lt;&gt;"社食"),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INDIRECT("'盛付札（関数）'!AO"&amp;W25))),"")</f>
        <v/>
      </c>
      <c r="AC31" s="209"/>
      <c r="AF31" s="216" t="str">
        <f t="array" aca="1" ref="AF31" ca="1">IF(AG25&lt;&gt;"",
IF(OR(INDIRECT("'盛付札（関数）'!AE"&amp;AE25)=211,INDIRECT("'盛付札（関数）'!AE"&amp;AE25)=212,INDIRECT("'盛付札（関数）'!AE"&amp;AE25)=213),"",
INDIRECT("'盛付札（関数）'!AM"&amp;AE25)),"")</f>
        <v/>
      </c>
      <c r="AG31" s="209"/>
      <c r="AH31" s="216" t="str">
        <f t="array" aca="1" ref="AH31" ca="1">IF(AG25&lt;&gt;"",
IF(OR(INDIRECT("'盛付札（関数）'!AE"&amp;AE25)=211,INDIRECT("'盛付札（関数）'!AE"&amp;AE25)=212,INDIRECT("'盛付札（関数）'!AE"&amp;AE25)=213),"",
INDIRECT("'盛付札（関数）'!AN"&amp;AE25)),"")</f>
        <v/>
      </c>
      <c r="AI31" s="209"/>
      <c r="AJ31" s="217" t="str">
        <f t="array" aca="1" ref="AJ31" ca="1">IF(AND(AG25&lt;&gt;"",AG25&lt;&gt;"社食"),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INDIRECT("'盛付札（関数）'!AO"&amp;AE25))),"")</f>
        <v/>
      </c>
      <c r="AK31" s="209"/>
      <c r="AM31" s="216" t="str">
        <f t="array" aca="1" ref="AM31" ca="1">IF(AN25&lt;&gt;"",
IF(OR(INDIRECT("'盛付札（関数）'!AE"&amp;AL25)=211,INDIRECT("'盛付札（関数）'!AE"&amp;AL25)=212,INDIRECT("'盛付札（関数）'!AE"&amp;AL25)=213),"",
INDIRECT("'盛付札（関数）'!AM"&amp;AL25)),"")</f>
        <v/>
      </c>
      <c r="AN31" s="209"/>
      <c r="AO31" s="216" t="str">
        <f t="array" aca="1" ref="AO31" ca="1">IF(AN25&lt;&gt;"",
IF(OR(INDIRECT("'盛付札（関数）'!AE"&amp;AL25)=211,INDIRECT("'盛付札（関数）'!AE"&amp;AL25)=212,INDIRECT("'盛付札（関数）'!AE"&amp;AL25)=213),"",
INDIRECT("'盛付札（関数）'!AN"&amp;AL25)),"")</f>
        <v/>
      </c>
      <c r="AP31" s="209"/>
      <c r="AQ31" s="217" t="str">
        <f t="array" aca="1" ref="AQ31" ca="1">IF(AND(AN25&lt;&gt;"",AN25&lt;&gt;"社食"),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INDIRECT("'盛付札（関数）'!AO"&amp;AL25))),"")</f>
        <v/>
      </c>
      <c r="AR31" s="209"/>
      <c r="AU31" s="216" t="str">
        <f t="array" aca="1" ref="AU31" ca="1">IF(AV25&lt;&gt;"",
IF(OR(INDIRECT("'盛付札（関数）'!AE"&amp;AT25)=211,INDIRECT("'盛付札（関数）'!AE"&amp;AT25)=212,INDIRECT("'盛付札（関数）'!AE"&amp;AT25)=213),"",
INDIRECT("'盛付札（関数）'!AM"&amp;AT25)),"")</f>
        <v/>
      </c>
      <c r="AV31" s="209"/>
      <c r="AW31" s="216" t="str">
        <f t="array" aca="1" ref="AW31" ca="1">IF(AV25&lt;&gt;"",
IF(OR(INDIRECT("'盛付札（関数）'!AE"&amp;AT25)=211,INDIRECT("'盛付札（関数）'!AE"&amp;AT25)=212,INDIRECT("'盛付札（関数）'!AE"&amp;AT25)=213),"",
INDIRECT("'盛付札（関数）'!AN"&amp;AT25)),"")</f>
        <v/>
      </c>
      <c r="AX31" s="209"/>
      <c r="AY31" s="217" t="str">
        <f t="array" aca="1" ref="AY31" ca="1">IF(AND(AV25&lt;&gt;"",AV25&lt;&gt;"社食"),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INDIRECT("'盛付札（関数）'!AO"&amp;AT25))),"")</f>
        <v/>
      </c>
      <c r="AZ31" s="209"/>
      <c r="BB31" s="216" t="str">
        <f t="array" aca="1" ref="BB31" ca="1">IF(BC25&lt;&gt;"",
IF(OR(INDIRECT("'盛付札（関数）'!AE"&amp;BA25)=211,INDIRECT("'盛付札（関数）'!AE"&amp;BA25)=212,INDIRECT("'盛付札（関数）'!AE"&amp;BA25)=213),"",
INDIRECT("'盛付札（関数）'!AM"&amp;BA25)),"")</f>
        <v/>
      </c>
      <c r="BC31" s="209"/>
      <c r="BD31" s="216" t="str">
        <f t="array" aca="1" ref="BD31" ca="1">IF(BC25&lt;&gt;"",
IF(OR(INDIRECT("'盛付札（関数）'!AE"&amp;BA25)=211,INDIRECT("'盛付札（関数）'!AE"&amp;BA25)=212,INDIRECT("'盛付札（関数）'!AE"&amp;BA25)=213),"",
INDIRECT("'盛付札（関数）'!AN"&amp;BA25)),"")</f>
        <v/>
      </c>
      <c r="BE31" s="209"/>
      <c r="BF31" s="217" t="str">
        <f t="array" aca="1" ref="BF31" ca="1">IF(AND(BC25&lt;&gt;"",BC25&lt;&gt;"社食"),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INDIRECT("'盛付札（関数）'!AO"&amp;BA25))),"")</f>
        <v/>
      </c>
      <c r="BG31" s="209"/>
      <c r="BJ31" s="216" t="str">
        <f t="array" aca="1" ref="BJ31" ca="1">IF(BK25&lt;&gt;"",
IF(OR(INDIRECT("'盛付札（関数）'!AE"&amp;BI25)=211,INDIRECT("'盛付札（関数）'!AE"&amp;BI25)=212,INDIRECT("'盛付札（関数）'!AE"&amp;BI25)=213),"",
INDIRECT("'盛付札（関数）'!AM"&amp;BI25)),"")</f>
        <v/>
      </c>
      <c r="BK31" s="209"/>
      <c r="BL31" s="216" t="str">
        <f t="array" aca="1" ref="BL31" ca="1">IF(BK25&lt;&gt;"",
IF(OR(INDIRECT("'盛付札（関数）'!AE"&amp;BI25)=211,INDIRECT("'盛付札（関数）'!AE"&amp;BI25)=212,INDIRECT("'盛付札（関数）'!AE"&amp;BI25)=213),"",
INDIRECT("'盛付札（関数）'!AN"&amp;BI25)),"")</f>
        <v/>
      </c>
      <c r="BM31" s="209"/>
      <c r="BN31" s="217" t="str">
        <f t="array" aca="1" ref="BN31" ca="1">IF(AND(BK25&lt;&gt;"",BK25&lt;&gt;"社食"),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INDIRECT("'盛付札（関数）'!AO"&amp;BI25))),"")</f>
        <v/>
      </c>
      <c r="BO31" s="209"/>
      <c r="BQ31" s="216" t="str">
        <f t="array" aca="1" ref="BQ31" ca="1">IF(BR25&lt;&gt;"",
IF(OR(INDIRECT("'盛付札（関数）'!AE"&amp;BP25)=211,INDIRECT("'盛付札（関数）'!AE"&amp;BP25)=212,INDIRECT("'盛付札（関数）'!AE"&amp;BP25)=213),"",
INDIRECT("'盛付札（関数）'!AM"&amp;BP25)),"")</f>
        <v/>
      </c>
      <c r="BR31" s="209"/>
      <c r="BS31" s="216" t="str">
        <f t="array" aca="1" ref="BS31" ca="1">IF(BR25&lt;&gt;"",
IF(OR(INDIRECT("'盛付札（関数）'!AE"&amp;BP25)=211,INDIRECT("'盛付札（関数）'!AE"&amp;BP25)=212,INDIRECT("'盛付札（関数）'!AE"&amp;BP25)=213),"",
INDIRECT("'盛付札（関数）'!AN"&amp;BP25)),"")</f>
        <v/>
      </c>
      <c r="BT31" s="209"/>
      <c r="BU31" s="217" t="str">
        <f t="array" aca="1" ref="BU31" ca="1">IF(AND(BR25&lt;&gt;"",BR25&lt;&gt;"社食"),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INDIRECT("'盛付札（関数）'!AO"&amp;BP25))),"")</f>
        <v/>
      </c>
      <c r="BV31" s="209"/>
      <c r="BY31" s="216" t="str">
        <f t="array" aca="1" ref="BY31" ca="1">IF(BZ25&lt;&gt;"",
IF(OR(INDIRECT("'盛付札（関数）'!AE"&amp;BX25)=211,INDIRECT("'盛付札（関数）'!AE"&amp;BX25)=212,INDIRECT("'盛付札（関数）'!AE"&amp;BX25)=213),"",
INDIRECT("'盛付札（関数）'!AM"&amp;BX25)),"")</f>
        <v/>
      </c>
      <c r="BZ31" s="209"/>
      <c r="CA31" s="216" t="str">
        <f t="array" aca="1" ref="CA31" ca="1">IF(BZ25&lt;&gt;"",
IF(OR(INDIRECT("'盛付札（関数）'!AE"&amp;BX25)=211,INDIRECT("'盛付札（関数）'!AE"&amp;BX25)=212,INDIRECT("'盛付札（関数）'!AE"&amp;BX25)=213),"",
INDIRECT("'盛付札（関数）'!AN"&amp;BX25)),"")</f>
        <v/>
      </c>
      <c r="CB31" s="209"/>
      <c r="CC31" s="217" t="str">
        <f t="array" aca="1" ref="CC31" ca="1">IF(AND(BZ25&lt;&gt;"",BZ25&lt;&gt;"社食"),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INDIRECT("'盛付札（関数）'!AO"&amp;BX25))),"")</f>
        <v/>
      </c>
      <c r="CD31" s="209"/>
      <c r="CF31" s="216" t="str">
        <f t="array" aca="1" ref="CF31" ca="1">IF(CG25&lt;&gt;"",
IF(OR(INDIRECT("'盛付札（関数）'!AE"&amp;CE25)=211,INDIRECT("'盛付札（関数）'!AE"&amp;CE25)=212,INDIRECT("'盛付札（関数）'!AE"&amp;CE25)=213),"",
INDIRECT("'盛付札（関数）'!AM"&amp;CE25)),"")</f>
        <v/>
      </c>
      <c r="CG31" s="209"/>
      <c r="CH31" s="216" t="str">
        <f t="array" aca="1" ref="CH31" ca="1">IF(CG25&lt;&gt;"",
IF(OR(INDIRECT("'盛付札（関数）'!AE"&amp;CE25)=211,INDIRECT("'盛付札（関数）'!AE"&amp;CE25)=212,INDIRECT("'盛付札（関数）'!AE"&amp;CE25)=213),"",
INDIRECT("'盛付札（関数）'!AN"&amp;CE25)),"")</f>
        <v/>
      </c>
      <c r="CI31" s="209"/>
      <c r="CJ31" s="217" t="str">
        <f t="array" aca="1" ref="CJ31" ca="1">IF(AND(CG25&lt;&gt;"",CG25&lt;&gt;"社食"),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INDIRECT("'盛付札（関数）'!AO"&amp;CE25))),"")</f>
        <v/>
      </c>
      <c r="CK31" s="209"/>
      <c r="CN31" s="216" t="str">
        <f t="array" aca="1" ref="CN31" ca="1">IF(CO25&lt;&gt;"",
IF(OR(INDIRECT("'盛付札（関数）'!AE"&amp;CM25)=211,INDIRECT("'盛付札（関数）'!AE"&amp;CM25)=212,INDIRECT("'盛付札（関数）'!AE"&amp;CM25)=213),"",
INDIRECT("'盛付札（関数）'!AM"&amp;CM25)),"")</f>
        <v/>
      </c>
      <c r="CO31" s="209"/>
      <c r="CP31" s="216" t="str">
        <f t="array" aca="1" ref="CP31" ca="1">IF(CO25&lt;&gt;"",
IF(OR(INDIRECT("'盛付札（関数）'!AE"&amp;CM25)=211,INDIRECT("'盛付札（関数）'!AE"&amp;CM25)=212,INDIRECT("'盛付札（関数）'!AE"&amp;CM25)=213),"",
INDIRECT("'盛付札（関数）'!AN"&amp;CM25)),"")</f>
        <v/>
      </c>
      <c r="CQ31" s="209"/>
      <c r="CR31" s="217" t="str">
        <f t="array" aca="1" ref="CR31" ca="1">IF(AND(CO25&lt;&gt;"",CO25&lt;&gt;"社食"),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INDIRECT("'盛付札（関数）'!AO"&amp;CM25))),"")</f>
        <v/>
      </c>
      <c r="CS31" s="209"/>
      <c r="CU31" s="216" t="str">
        <f t="array" aca="1" ref="CU31" ca="1">IF(CV25&lt;&gt;"",
IF(OR(INDIRECT("'盛付札（関数）'!AE"&amp;CT25)=211,INDIRECT("'盛付札（関数）'!AE"&amp;CT25)=212,INDIRECT("'盛付札（関数）'!AE"&amp;CT25)=213),"",
INDIRECT("'盛付札（関数）'!AM"&amp;CT25)),"")</f>
        <v/>
      </c>
      <c r="CV31" s="209"/>
      <c r="CW31" s="216" t="str">
        <f t="array" aca="1" ref="CW31" ca="1">IF(CV25&lt;&gt;"",
IF(OR(INDIRECT("'盛付札（関数）'!AE"&amp;CT25)=211,INDIRECT("'盛付札（関数）'!AE"&amp;CT25)=212,INDIRECT("'盛付札（関数）'!AE"&amp;CT25)=213),"",
INDIRECT("'盛付札（関数）'!AN"&amp;CT25)),"")</f>
        <v/>
      </c>
      <c r="CX31" s="209"/>
      <c r="CY31" s="217" t="str">
        <f t="array" aca="1" ref="CY31" ca="1">IF(AND(CV25&lt;&gt;"",CV25&lt;&gt;"社食"),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INDIRECT("'盛付札（関数）'!AO"&amp;CT25))),"")</f>
        <v/>
      </c>
      <c r="CZ31" s="209"/>
      <c r="DC31" s="216" t="str">
        <f t="array" aca="1" ref="DC31" ca="1">IF(DD25&lt;&gt;"",
IF(OR(INDIRECT("'盛付札（関数）'!AE"&amp;DB25)=211,INDIRECT("'盛付札（関数）'!AE"&amp;DB25)=212,INDIRECT("'盛付札（関数）'!AE"&amp;DB25)=213),"",
INDIRECT("'盛付札（関数）'!AM"&amp;DB25)),"")</f>
        <v/>
      </c>
      <c r="DD31" s="209"/>
      <c r="DE31" s="216" t="str">
        <f t="array" aca="1" ref="DE31" ca="1">IF(DD25&lt;&gt;"",
IF(OR(INDIRECT("'盛付札（関数）'!AE"&amp;DB25)=211,INDIRECT("'盛付札（関数）'!AE"&amp;DB25)=212,INDIRECT("'盛付札（関数）'!AE"&amp;DB25)=213),"",
INDIRECT("'盛付札（関数）'!AN"&amp;DB25)),"")</f>
        <v/>
      </c>
      <c r="DF31" s="209"/>
      <c r="DG31" s="217" t="str">
        <f t="array" aca="1" ref="DG31" ca="1">IF(AND(DD25&lt;&gt;"",DD25&lt;&gt;"社食"),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INDIRECT("'盛付札（関数）'!AO"&amp;DB25))),"")</f>
        <v/>
      </c>
      <c r="DH31" s="209"/>
      <c r="DJ31" s="216" t="str">
        <f t="array" aca="1" ref="DJ31" ca="1">IF(DK25&lt;&gt;"",
IF(OR(INDIRECT("'盛付札（関数）'!AE"&amp;DI25)=211,INDIRECT("'盛付札（関数）'!AE"&amp;DI25)=212,INDIRECT("'盛付札（関数）'!AE"&amp;DI25)=213),"",
INDIRECT("'盛付札（関数）'!AM"&amp;DI25)),"")</f>
        <v/>
      </c>
      <c r="DK31" s="209"/>
      <c r="DL31" s="216" t="str">
        <f t="array" aca="1" ref="DL31" ca="1">IF(DK25&lt;&gt;"",
IF(OR(INDIRECT("'盛付札（関数）'!AE"&amp;DI25)=211,INDIRECT("'盛付札（関数）'!AE"&amp;DI25)=212,INDIRECT("'盛付札（関数）'!AE"&amp;DI25)=213),"",
INDIRECT("'盛付札（関数）'!AN"&amp;DI25)),"")</f>
        <v/>
      </c>
      <c r="DM31" s="209"/>
      <c r="DN31" s="217" t="str">
        <f t="array" aca="1" ref="DN31" ca="1">IF(AND(DK25&lt;&gt;"",DK25&lt;&gt;"社食"),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INDIRECT("'盛付札（関数）'!AO"&amp;DI25))),"")</f>
        <v/>
      </c>
      <c r="DO31" s="209"/>
      <c r="DR31" s="216" t="str">
        <f t="array" aca="1" ref="DR31" ca="1">IF(DS25&lt;&gt;"",
IF(OR(INDIRECT("'盛付札（関数）'!AE"&amp;DQ25)=211,INDIRECT("'盛付札（関数）'!AE"&amp;DQ25)=212,INDIRECT("'盛付札（関数）'!AE"&amp;DQ25)=213),"",
INDIRECT("'盛付札（関数）'!AM"&amp;DQ25)),"")</f>
        <v/>
      </c>
      <c r="DS31" s="209"/>
      <c r="DT31" s="216" t="str">
        <f t="array" aca="1" ref="DT31" ca="1">IF(DS25&lt;&gt;"",
IF(OR(INDIRECT("'盛付札（関数）'!AE"&amp;DQ25)=211,INDIRECT("'盛付札（関数）'!AE"&amp;DQ25)=212,INDIRECT("'盛付札（関数）'!AE"&amp;DQ25)=213),"",
INDIRECT("'盛付札（関数）'!AN"&amp;DQ25)),"")</f>
        <v/>
      </c>
      <c r="DU31" s="209"/>
      <c r="DV31" s="217" t="str">
        <f t="array" aca="1" ref="DV31" ca="1">IF(AND(DS25&lt;&gt;"",DS25&lt;&gt;"社食"),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INDIRECT("'盛付札（関数）'!AO"&amp;DQ25))),"")</f>
        <v/>
      </c>
      <c r="DW31" s="209"/>
      <c r="DY31" s="216" t="str">
        <f t="array" aca="1" ref="DY31" ca="1">IF(DZ25&lt;&gt;"",
IF(OR(INDIRECT("'盛付札（関数）'!AE"&amp;DX25)=211,INDIRECT("'盛付札（関数）'!AE"&amp;DX25)=212,INDIRECT("'盛付札（関数）'!AE"&amp;DX25)=213),"",
INDIRECT("'盛付札（関数）'!AM"&amp;DX25)),"")</f>
        <v/>
      </c>
      <c r="DZ31" s="209"/>
      <c r="EA31" s="216" t="str">
        <f t="array" aca="1" ref="EA31" ca="1">IF(DZ25&lt;&gt;"",
IF(OR(INDIRECT("'盛付札（関数）'!AE"&amp;DX25)=211,INDIRECT("'盛付札（関数）'!AE"&amp;DX25)=212,INDIRECT("'盛付札（関数）'!AE"&amp;DX25)=213),"",
INDIRECT("'盛付札（関数）'!AN"&amp;DX25)),"")</f>
        <v/>
      </c>
      <c r="EB31" s="209"/>
      <c r="EC31" s="217" t="str">
        <f t="array" aca="1" ref="EC31" ca="1">IF(AND(DZ25&lt;&gt;"",DZ25&lt;&gt;"社食"),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INDIRECT("'盛付札（関数）'!AO"&amp;DX25))),"")</f>
        <v/>
      </c>
      <c r="ED31" s="209"/>
      <c r="EG31" s="216" t="str">
        <f t="array" aca="1" ref="EG31" ca="1">IF(EH25&lt;&gt;"",
IF(OR(INDIRECT("'盛付札（関数）'!AE"&amp;EF25)=211,INDIRECT("'盛付札（関数）'!AE"&amp;EF25)=212,INDIRECT("'盛付札（関数）'!AE"&amp;EF25)=213),"",
INDIRECT("'盛付札（関数）'!AM"&amp;EF25)),"")</f>
        <v/>
      </c>
      <c r="EH31" s="209"/>
      <c r="EI31" s="216" t="str">
        <f t="array" aca="1" ref="EI31" ca="1">IF(EH25&lt;&gt;"",
IF(OR(INDIRECT("'盛付札（関数）'!AE"&amp;EF25)=211,INDIRECT("'盛付札（関数）'!AE"&amp;EF25)=212,INDIRECT("'盛付札（関数）'!AE"&amp;EF25)=213),"",
INDIRECT("'盛付札（関数）'!AN"&amp;EF25)),"")</f>
        <v/>
      </c>
      <c r="EJ31" s="209"/>
      <c r="EK31" s="217" t="str">
        <f t="array" aca="1" ref="EK31" ca="1">IF(AND(EH25&lt;&gt;"",EH25&lt;&gt;"社食"),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INDIRECT("'盛付札（関数）'!AO"&amp;EF25))),"")</f>
        <v/>
      </c>
      <c r="EL31" s="209"/>
      <c r="EN31" s="216" t="str">
        <f t="array" aca="1" ref="EN31" ca="1">IF(EO25&lt;&gt;"",
IF(OR(INDIRECT("'盛付札（関数）'!AE"&amp;EM25)=211,INDIRECT("'盛付札（関数）'!AE"&amp;EM25)=212,INDIRECT("'盛付札（関数）'!AE"&amp;EM25)=213),"",
INDIRECT("'盛付札（関数）'!AM"&amp;EM25)),"")</f>
        <v/>
      </c>
      <c r="EO31" s="209"/>
      <c r="EP31" s="216" t="str">
        <f t="array" aca="1" ref="EP31" ca="1">IF(EO25&lt;&gt;"",
IF(OR(INDIRECT("'盛付札（関数）'!AE"&amp;EM25)=211,INDIRECT("'盛付札（関数）'!AE"&amp;EM25)=212,INDIRECT("'盛付札（関数）'!AE"&amp;EM25)=213),"",
INDIRECT("'盛付札（関数）'!AN"&amp;EM25)),"")</f>
        <v/>
      </c>
      <c r="EQ31" s="209"/>
      <c r="ER31" s="217" t="str">
        <f t="array" aca="1" ref="ER31" ca="1">IF(AND(EO25&lt;&gt;"",EO25&lt;&gt;"社食"),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INDIRECT("'盛付札（関数）'!AO"&amp;EM25))),"")</f>
        <v/>
      </c>
      <c r="ES31" s="209"/>
    </row>
    <row r="32" spans="1:150" ht="6.6" customHeight="1">
      <c r="B32" s="41"/>
      <c r="D32" s="41"/>
      <c r="F32" s="42"/>
      <c r="I32" s="41"/>
      <c r="K32" s="41"/>
      <c r="M32" s="42"/>
      <c r="Q32" s="41"/>
      <c r="S32" s="41"/>
      <c r="U32" s="42"/>
      <c r="X32" s="41"/>
      <c r="Z32" s="41"/>
      <c r="AB32" s="42"/>
      <c r="AF32" s="41"/>
      <c r="AH32" s="41"/>
      <c r="AJ32" s="42"/>
      <c r="AM32" s="41"/>
      <c r="AO32" s="41"/>
      <c r="AQ32" s="42"/>
      <c r="AU32" s="41"/>
      <c r="AW32" s="41"/>
      <c r="AY32" s="42"/>
      <c r="BB32" s="41"/>
      <c r="BD32" s="41"/>
      <c r="BF32" s="42"/>
      <c r="BJ32" s="41"/>
      <c r="BL32" s="41"/>
      <c r="BN32" s="42"/>
      <c r="BQ32" s="41"/>
      <c r="BS32" s="41"/>
      <c r="BU32" s="42"/>
      <c r="BY32" s="41"/>
      <c r="CA32" s="41"/>
      <c r="CC32" s="42"/>
      <c r="CF32" s="41"/>
      <c r="CH32" s="41"/>
      <c r="CJ32" s="42"/>
      <c r="CN32" s="41"/>
      <c r="CP32" s="41"/>
      <c r="CR32" s="42"/>
      <c r="CU32" s="41"/>
      <c r="CW32" s="41"/>
      <c r="CY32" s="42"/>
      <c r="DC32" s="41"/>
      <c r="DE32" s="41"/>
      <c r="DG32" s="42"/>
      <c r="DJ32" s="41"/>
      <c r="DL32" s="41"/>
      <c r="DN32" s="42"/>
      <c r="DR32" s="41"/>
      <c r="DT32" s="41"/>
      <c r="DV32" s="42"/>
      <c r="DY32" s="41"/>
      <c r="EA32" s="41"/>
      <c r="EC32" s="42"/>
      <c r="EG32" s="41"/>
      <c r="EI32" s="41"/>
      <c r="EK32" s="42"/>
      <c r="EN32" s="41"/>
      <c r="EP32" s="41"/>
      <c r="ER32" s="42"/>
    </row>
    <row r="33" spans="1:150" s="181" customFormat="1" ht="25.8" customHeight="1">
      <c r="A33" s="30">
        <f>H25+1</f>
        <v>9</v>
      </c>
      <c r="B33" s="40" t="str">
        <f ca="1">IF(C33&lt;&gt;"",
MID(貼り付け用!$A$2, FIND("年",貼り付け用!$A$2)+1,2)&amp;"/"&amp;MID(貼り付け用!$A$2, FIND("月",貼り付け用!$A$2)+1,2),"")</f>
        <v/>
      </c>
      <c r="C33" s="214" t="str">
        <f t="array" aca="1" ref="C33" ca="1">SUBSTITUTE(SUBSTITUTE(SUBSTITUTE(SUBSTITUTE(SUBSTITUTE(SUBSTITUTE(SUBSTITUTE(SUBSTITUTE(SUBSTITUTE(SUBSTITUTE(SUBSTITUTE(
INDIRECT("'盛付札（関数）'!AF"&amp;A33),"０",""),"①",""),"②",""),"③",""),"④",""),"⑤",""),"⑥",""),"⑦",""),"⑧",""),"⑨",""),"⑩","")</f>
        <v/>
      </c>
      <c r="D33" s="215"/>
      <c r="E33" s="215"/>
      <c r="F33" s="215"/>
      <c r="G33" s="39" t="str">
        <f t="array" aca="1" ref="G33" ca="1">IF(C33&lt;&gt;"",
IF(AND(INDIRECT("'盛付札（関数）'!AE"&amp;A33)&gt;=124,INDIRECT("'盛付札（関数）'!AE"&amp;A33)&lt;=144),"",
"様"),"")</f>
        <v/>
      </c>
      <c r="H33" s="33">
        <f>A33+1</f>
        <v>10</v>
      </c>
      <c r="I33" s="40" t="str">
        <f ca="1">IF(J33&lt;&gt;"",
MID(貼り付け用!$A$2, FIND("年",貼り付け用!$A$2)+1,2)&amp;"/"&amp;MID(貼り付け用!$A$2, FIND("月",貼り付け用!$A$2)+1,2),"")</f>
        <v/>
      </c>
      <c r="J33" s="214" t="str">
        <f t="array" aca="1" ref="J33" ca="1">SUBSTITUTE(SUBSTITUTE(SUBSTITUTE(SUBSTITUTE(SUBSTITUTE(SUBSTITUTE(SUBSTITUTE(SUBSTITUTE(SUBSTITUTE(SUBSTITUTE(SUBSTITUTE(
INDIRECT("'盛付札（関数）'!AF"&amp;H33),"０",""),"①",""),"②",""),"③",""),"④",""),"⑤",""),"⑥",""),"⑦",""),"⑧",""),"⑨",""),"⑩","")</f>
        <v/>
      </c>
      <c r="K33" s="215"/>
      <c r="L33" s="215"/>
      <c r="M33" s="215"/>
      <c r="N33" s="39" t="str">
        <f t="array" aca="1" ref="N33" ca="1">IF(J33&lt;&gt;"",
IF(AND(INDIRECT("'盛付札（関数）'!AE"&amp;H33)&gt;=124,INDIRECT("'盛付札（関数）'!AE"&amp;H33)&lt;=144),"",
"様"),"")</f>
        <v/>
      </c>
      <c r="O33" s="22"/>
      <c r="P33" s="30">
        <f>W25+1</f>
        <v>21</v>
      </c>
      <c r="Q33" s="40" t="str">
        <f ca="1">IF(R33&lt;&gt;"",
MID(貼り付け用!$A$2, FIND("年",貼り付け用!$A$2)+1,2)&amp;"/"&amp;MID(貼り付け用!$A$2, FIND("月",貼り付け用!$A$2)+1,2),"")</f>
        <v/>
      </c>
      <c r="R33" s="214" t="str">
        <f t="array" aca="1" ref="R33" ca="1">SUBSTITUTE(SUBSTITUTE(SUBSTITUTE(SUBSTITUTE(SUBSTITUTE(SUBSTITUTE(SUBSTITUTE(SUBSTITUTE(SUBSTITUTE(SUBSTITUTE(SUBSTITUTE(
INDIRECT("'盛付札（関数）'!AF"&amp;P33),"０",""),"①",""),"②",""),"③",""),"④",""),"⑤",""),"⑥",""),"⑦",""),"⑧",""),"⑨",""),"⑩","")</f>
        <v/>
      </c>
      <c r="S33" s="215"/>
      <c r="T33" s="215"/>
      <c r="U33" s="215"/>
      <c r="V33" s="39" t="str">
        <f t="array" aca="1" ref="V33" ca="1">IF(R33&lt;&gt;"",
IF(AND(INDIRECT("'盛付札（関数）'!AE"&amp;P33)&gt;=124,INDIRECT("'盛付札（関数）'!AE"&amp;P33)&lt;=144),"",
"様"),"")</f>
        <v/>
      </c>
      <c r="W33" s="33">
        <f>P33+1</f>
        <v>22</v>
      </c>
      <c r="X33" s="40" t="str">
        <f ca="1">IF(Y33&lt;&gt;"",
MID(貼り付け用!$A$2, FIND("年",貼り付け用!$A$2)+1,2)&amp;"/"&amp;MID(貼り付け用!$A$2, FIND("月",貼り付け用!$A$2)+1,2),"")</f>
        <v/>
      </c>
      <c r="Y33" s="214" t="str">
        <f t="array" aca="1" ref="Y33" ca="1">SUBSTITUTE(SUBSTITUTE(SUBSTITUTE(SUBSTITUTE(SUBSTITUTE(SUBSTITUTE(SUBSTITUTE(SUBSTITUTE(SUBSTITUTE(SUBSTITUTE(SUBSTITUTE(
INDIRECT("'盛付札（関数）'!AF"&amp;W33),"０",""),"①",""),"②",""),"③",""),"④",""),"⑤",""),"⑥",""),"⑦",""),"⑧",""),"⑨",""),"⑩","")</f>
        <v/>
      </c>
      <c r="Z33" s="215"/>
      <c r="AA33" s="215"/>
      <c r="AB33" s="215"/>
      <c r="AC33" s="39" t="str">
        <f t="array" aca="1" ref="AC33" ca="1">IF(Y33&lt;&gt;"",
IF(AND(INDIRECT("'盛付札（関数）'!AE"&amp;W33)&gt;=124,INDIRECT("'盛付札（関数）'!AE"&amp;W33)&lt;=144),"",
"様"),"")</f>
        <v/>
      </c>
      <c r="AD33" s="22"/>
      <c r="AE33" s="30">
        <f>AL25+1</f>
        <v>33</v>
      </c>
      <c r="AF33" s="40" t="str">
        <f ca="1">IF(AG33&lt;&gt;"",
MID(貼り付け用!$A$2, FIND("年",貼り付け用!$A$2)+1,2)&amp;"/"&amp;MID(貼り付け用!$A$2, FIND("月",貼り付け用!$A$2)+1,2),"")</f>
        <v/>
      </c>
      <c r="AG33" s="214" t="str">
        <f t="array" aca="1" ref="AG33" ca="1">SUBSTITUTE(SUBSTITUTE(SUBSTITUTE(SUBSTITUTE(SUBSTITUTE(SUBSTITUTE(SUBSTITUTE(SUBSTITUTE(SUBSTITUTE(SUBSTITUTE(SUBSTITUTE(
INDIRECT("'盛付札（関数）'!AF"&amp;AE33),"０",""),"①",""),"②",""),"③",""),"④",""),"⑤",""),"⑥",""),"⑦",""),"⑧",""),"⑨",""),"⑩","")</f>
        <v/>
      </c>
      <c r="AH33" s="215"/>
      <c r="AI33" s="215"/>
      <c r="AJ33" s="215"/>
      <c r="AK33" s="39" t="str">
        <f t="array" aca="1" ref="AK33" ca="1">IF(AG33&lt;&gt;"",
IF(AND(INDIRECT("'盛付札（関数）'!AE"&amp;AE33)&gt;=124,INDIRECT("'盛付札（関数）'!AE"&amp;AE33)&lt;=144),"",
"様"),"")</f>
        <v/>
      </c>
      <c r="AL33" s="33">
        <f>AE33+1</f>
        <v>34</v>
      </c>
      <c r="AM33" s="40" t="str">
        <f ca="1">IF(AN33&lt;&gt;"",
MID(貼り付け用!$A$2, FIND("年",貼り付け用!$A$2)+1,2)&amp;"/"&amp;MID(貼り付け用!$A$2, FIND("月",貼り付け用!$A$2)+1,2),"")</f>
        <v/>
      </c>
      <c r="AN33" s="214" t="str">
        <f t="array" aca="1" ref="AN33" ca="1">SUBSTITUTE(SUBSTITUTE(SUBSTITUTE(SUBSTITUTE(SUBSTITUTE(SUBSTITUTE(SUBSTITUTE(SUBSTITUTE(SUBSTITUTE(SUBSTITUTE(SUBSTITUTE(
INDIRECT("'盛付札（関数）'!AF"&amp;AL33),"０",""),"①",""),"②",""),"③",""),"④",""),"⑤",""),"⑥",""),"⑦",""),"⑧",""),"⑨",""),"⑩","")</f>
        <v/>
      </c>
      <c r="AO33" s="215"/>
      <c r="AP33" s="215"/>
      <c r="AQ33" s="215"/>
      <c r="AR33" s="39" t="str">
        <f t="array" aca="1" ref="AR33" ca="1">IF(AN33&lt;&gt;"",
IF(AND(INDIRECT("'盛付札（関数）'!AE"&amp;AL33)&gt;=124,INDIRECT("'盛付札（関数）'!AE"&amp;AL33)&lt;=144),"",
"様"),"")</f>
        <v/>
      </c>
      <c r="AS33" s="22"/>
      <c r="AT33" s="30">
        <f>BA25+1</f>
        <v>45</v>
      </c>
      <c r="AU33" s="40" t="str">
        <f ca="1">IF(AV33&lt;&gt;"",
MID(貼り付け用!$A$2, FIND("年",貼り付け用!$A$2)+1,2)&amp;"/"&amp;MID(貼り付け用!$A$2, FIND("月",貼り付け用!$A$2)+1,2),"")</f>
        <v/>
      </c>
      <c r="AV33" s="214" t="str">
        <f t="array" aca="1" ref="AV33" ca="1">SUBSTITUTE(SUBSTITUTE(SUBSTITUTE(SUBSTITUTE(SUBSTITUTE(SUBSTITUTE(SUBSTITUTE(SUBSTITUTE(SUBSTITUTE(SUBSTITUTE(SUBSTITUTE(
INDIRECT("'盛付札（関数）'!AF"&amp;AT33),"０",""),"①",""),"②",""),"③",""),"④",""),"⑤",""),"⑥",""),"⑦",""),"⑧",""),"⑨",""),"⑩","")</f>
        <v/>
      </c>
      <c r="AW33" s="215"/>
      <c r="AX33" s="215"/>
      <c r="AY33" s="215"/>
      <c r="AZ33" s="39" t="str">
        <f t="array" aca="1" ref="AZ33" ca="1">IF(AV33&lt;&gt;"",
IF(AND(INDIRECT("'盛付札（関数）'!AE"&amp;AT33)&gt;=124,INDIRECT("'盛付札（関数）'!AE"&amp;AT33)&lt;=144),"",
"様"),"")</f>
        <v/>
      </c>
      <c r="BA33" s="33">
        <f>AT33+1</f>
        <v>46</v>
      </c>
      <c r="BB33" s="40" t="str">
        <f ca="1">IF(BC33&lt;&gt;"",
MID(貼り付け用!$A$2, FIND("年",貼り付け用!$A$2)+1,2)&amp;"/"&amp;MID(貼り付け用!$A$2, FIND("月",貼り付け用!$A$2)+1,2),"")</f>
        <v/>
      </c>
      <c r="BC33" s="214" t="str">
        <f t="array" aca="1" ref="BC33" ca="1">SUBSTITUTE(SUBSTITUTE(SUBSTITUTE(SUBSTITUTE(SUBSTITUTE(SUBSTITUTE(SUBSTITUTE(SUBSTITUTE(SUBSTITUTE(SUBSTITUTE(SUBSTITUTE(
INDIRECT("'盛付札（関数）'!AF"&amp;BA33),"０",""),"①",""),"②",""),"③",""),"④",""),"⑤",""),"⑥",""),"⑦",""),"⑧",""),"⑨",""),"⑩","")</f>
        <v/>
      </c>
      <c r="BD33" s="215"/>
      <c r="BE33" s="215"/>
      <c r="BF33" s="215"/>
      <c r="BG33" s="39" t="str">
        <f t="array" aca="1" ref="BG33" ca="1">IF(BC33&lt;&gt;"",
IF(AND(INDIRECT("'盛付札（関数）'!AE"&amp;BA33)&gt;=124,INDIRECT("'盛付札（関数）'!AE"&amp;BA33)&lt;=144),"",
"様"),"")</f>
        <v/>
      </c>
      <c r="BH33" s="22"/>
      <c r="BI33" s="30">
        <f>BP25+1</f>
        <v>57</v>
      </c>
      <c r="BJ33" s="40" t="str">
        <f ca="1">IF(BK33&lt;&gt;"",
MID(貼り付け用!$A$2, FIND("年",貼り付け用!$A$2)+1,2)&amp;"/"&amp;MID(貼り付け用!$A$2, FIND("月",貼り付け用!$A$2)+1,2),"")</f>
        <v/>
      </c>
      <c r="BK33" s="214" t="str">
        <f t="array" aca="1" ref="BK33" ca="1">SUBSTITUTE(SUBSTITUTE(SUBSTITUTE(SUBSTITUTE(SUBSTITUTE(SUBSTITUTE(SUBSTITUTE(SUBSTITUTE(SUBSTITUTE(SUBSTITUTE(SUBSTITUTE(
INDIRECT("'盛付札（関数）'!AF"&amp;BI33),"０",""),"①",""),"②",""),"③",""),"④",""),"⑤",""),"⑥",""),"⑦",""),"⑧",""),"⑨",""),"⑩","")</f>
        <v/>
      </c>
      <c r="BL33" s="215"/>
      <c r="BM33" s="215"/>
      <c r="BN33" s="215"/>
      <c r="BO33" s="39" t="str">
        <f t="array" aca="1" ref="BO33" ca="1">IF(BK33&lt;&gt;"",
IF(AND(INDIRECT("'盛付札（関数）'!AE"&amp;BI33)&gt;=124,INDIRECT("'盛付札（関数）'!AE"&amp;BI33)&lt;=144),"",
"様"),"")</f>
        <v/>
      </c>
      <c r="BP33" s="33">
        <f>BI33+1</f>
        <v>58</v>
      </c>
      <c r="BQ33" s="40" t="str">
        <f ca="1">IF(BR33&lt;&gt;"",
MID(貼り付け用!$A$2, FIND("年",貼り付け用!$A$2)+1,2)&amp;"/"&amp;MID(貼り付け用!$A$2, FIND("月",貼り付け用!$A$2)+1,2),"")</f>
        <v/>
      </c>
      <c r="BR33" s="214" t="str">
        <f t="array" aca="1" ref="BR33" ca="1">SUBSTITUTE(SUBSTITUTE(SUBSTITUTE(SUBSTITUTE(SUBSTITUTE(SUBSTITUTE(SUBSTITUTE(SUBSTITUTE(SUBSTITUTE(SUBSTITUTE(SUBSTITUTE(
INDIRECT("'盛付札（関数）'!AF"&amp;BP33),"０",""),"①",""),"②",""),"③",""),"④",""),"⑤",""),"⑥",""),"⑦",""),"⑧",""),"⑨",""),"⑩","")</f>
        <v/>
      </c>
      <c r="BS33" s="215"/>
      <c r="BT33" s="215"/>
      <c r="BU33" s="215"/>
      <c r="BV33" s="39" t="str">
        <f t="array" aca="1" ref="BV33" ca="1">IF(BR33&lt;&gt;"",
IF(AND(INDIRECT("'盛付札（関数）'!AE"&amp;BP33)&gt;=124,INDIRECT("'盛付札（関数）'!AE"&amp;BP33)&lt;=144),"",
"様"),"")</f>
        <v/>
      </c>
      <c r="BW33" s="22"/>
      <c r="BX33" s="30">
        <f>CE25+1</f>
        <v>69</v>
      </c>
      <c r="BY33" s="40" t="str">
        <f ca="1">IF(BZ33&lt;&gt;"",
MID(貼り付け用!$A$2, FIND("年",貼り付け用!$A$2)+1,2)&amp;"/"&amp;MID(貼り付け用!$A$2, FIND("月",貼り付け用!$A$2)+1,2),"")</f>
        <v/>
      </c>
      <c r="BZ33" s="214" t="str">
        <f t="array" aca="1" ref="BZ33" ca="1">SUBSTITUTE(SUBSTITUTE(SUBSTITUTE(SUBSTITUTE(SUBSTITUTE(SUBSTITUTE(SUBSTITUTE(SUBSTITUTE(SUBSTITUTE(SUBSTITUTE(SUBSTITUTE(
INDIRECT("'盛付札（関数）'!AF"&amp;BX33),"０",""),"①",""),"②",""),"③",""),"④",""),"⑤",""),"⑥",""),"⑦",""),"⑧",""),"⑨",""),"⑩","")</f>
        <v/>
      </c>
      <c r="CA33" s="215"/>
      <c r="CB33" s="215"/>
      <c r="CC33" s="215"/>
      <c r="CD33" s="39" t="str">
        <f t="array" aca="1" ref="CD33" ca="1">IF(BZ33&lt;&gt;"",
IF(AND(INDIRECT("'盛付札（関数）'!AE"&amp;BX33)&gt;=124,INDIRECT("'盛付札（関数）'!AE"&amp;BX33)&lt;=144),"",
"様"),"")</f>
        <v/>
      </c>
      <c r="CE33" s="33">
        <f>BX33+1</f>
        <v>70</v>
      </c>
      <c r="CF33" s="40" t="str">
        <f ca="1">IF(CG33&lt;&gt;"",
MID(貼り付け用!$A$2, FIND("年",貼り付け用!$A$2)+1,2)&amp;"/"&amp;MID(貼り付け用!$A$2, FIND("月",貼り付け用!$A$2)+1,2),"")</f>
        <v/>
      </c>
      <c r="CG33" s="214" t="str">
        <f t="array" aca="1" ref="CG33" ca="1">SUBSTITUTE(SUBSTITUTE(SUBSTITUTE(SUBSTITUTE(SUBSTITUTE(SUBSTITUTE(SUBSTITUTE(SUBSTITUTE(SUBSTITUTE(SUBSTITUTE(SUBSTITUTE(
INDIRECT("'盛付札（関数）'!AF"&amp;CE33),"０",""),"①",""),"②",""),"③",""),"④",""),"⑤",""),"⑥",""),"⑦",""),"⑧",""),"⑨",""),"⑩","")</f>
        <v/>
      </c>
      <c r="CH33" s="215"/>
      <c r="CI33" s="215"/>
      <c r="CJ33" s="215"/>
      <c r="CK33" s="39" t="str">
        <f t="array" aca="1" ref="CK33" ca="1">IF(CG33&lt;&gt;"",
IF(AND(INDIRECT("'盛付札（関数）'!AE"&amp;CE33)&gt;=124,INDIRECT("'盛付札（関数）'!AE"&amp;CE33)&lt;=144),"",
"様"),"")</f>
        <v/>
      </c>
      <c r="CL33" s="22"/>
      <c r="CM33" s="30">
        <f>CT25+1</f>
        <v>81</v>
      </c>
      <c r="CN33" s="40" t="str">
        <f ca="1">IF(CO33&lt;&gt;"",
MID(貼り付け用!$A$2, FIND("年",貼り付け用!$A$2)+1,2)&amp;"/"&amp;MID(貼り付け用!$A$2, FIND("月",貼り付け用!$A$2)+1,2),"")</f>
        <v/>
      </c>
      <c r="CO33" s="214" t="str">
        <f t="array" aca="1" ref="CO33" ca="1">SUBSTITUTE(SUBSTITUTE(SUBSTITUTE(SUBSTITUTE(SUBSTITUTE(SUBSTITUTE(SUBSTITUTE(SUBSTITUTE(SUBSTITUTE(SUBSTITUTE(SUBSTITUTE(
INDIRECT("'盛付札（関数）'!AF"&amp;CM33),"０",""),"①",""),"②",""),"③",""),"④",""),"⑤",""),"⑥",""),"⑦",""),"⑧",""),"⑨",""),"⑩","")</f>
        <v/>
      </c>
      <c r="CP33" s="215"/>
      <c r="CQ33" s="215"/>
      <c r="CR33" s="215"/>
      <c r="CS33" s="39" t="str">
        <f t="array" aca="1" ref="CS33" ca="1">IF(CO33&lt;&gt;"",
IF(AND(INDIRECT("'盛付札（関数）'!AE"&amp;CM33)&gt;=124,INDIRECT("'盛付札（関数）'!AE"&amp;CM33)&lt;=144),"",
"様"),"")</f>
        <v/>
      </c>
      <c r="CT33" s="33">
        <f>CM33+1</f>
        <v>82</v>
      </c>
      <c r="CU33" s="40" t="str">
        <f ca="1">IF(CV33&lt;&gt;"",
MID(貼り付け用!$A$2, FIND("年",貼り付け用!$A$2)+1,2)&amp;"/"&amp;MID(貼り付け用!$A$2, FIND("月",貼り付け用!$A$2)+1,2),"")</f>
        <v/>
      </c>
      <c r="CV33" s="214" t="str">
        <f t="array" aca="1" ref="CV33" ca="1">SUBSTITUTE(SUBSTITUTE(SUBSTITUTE(SUBSTITUTE(SUBSTITUTE(SUBSTITUTE(SUBSTITUTE(SUBSTITUTE(SUBSTITUTE(SUBSTITUTE(SUBSTITUTE(
INDIRECT("'盛付札（関数）'!AF"&amp;CT33),"０",""),"①",""),"②",""),"③",""),"④",""),"⑤",""),"⑥",""),"⑦",""),"⑧",""),"⑨",""),"⑩","")</f>
        <v/>
      </c>
      <c r="CW33" s="215"/>
      <c r="CX33" s="215"/>
      <c r="CY33" s="215"/>
      <c r="CZ33" s="39" t="str">
        <f t="array" aca="1" ref="CZ33" ca="1">IF(CV33&lt;&gt;"",
IF(AND(INDIRECT("'盛付札（関数）'!AE"&amp;CT33)&gt;=124,INDIRECT("'盛付札（関数）'!AE"&amp;CT33)&lt;=144),"",
"様"),"")</f>
        <v/>
      </c>
      <c r="DA33" s="22"/>
      <c r="DB33" s="30">
        <f>DI25+1</f>
        <v>93</v>
      </c>
      <c r="DC33" s="40" t="str">
        <f ca="1">IF(DD33&lt;&gt;"",
MID(貼り付け用!$A$2, FIND("年",貼り付け用!$A$2)+1,2)&amp;"/"&amp;MID(貼り付け用!$A$2, FIND("月",貼り付け用!$A$2)+1,2),"")</f>
        <v/>
      </c>
      <c r="DD33" s="214" t="str">
        <f t="array" aca="1" ref="DD33" ca="1">SUBSTITUTE(SUBSTITUTE(SUBSTITUTE(SUBSTITUTE(SUBSTITUTE(SUBSTITUTE(SUBSTITUTE(SUBSTITUTE(SUBSTITUTE(SUBSTITUTE(SUBSTITUTE(
INDIRECT("'盛付札（関数）'!AF"&amp;DB33),"０",""),"①",""),"②",""),"③",""),"④",""),"⑤",""),"⑥",""),"⑦",""),"⑧",""),"⑨",""),"⑩","")</f>
        <v/>
      </c>
      <c r="DE33" s="215"/>
      <c r="DF33" s="215"/>
      <c r="DG33" s="215"/>
      <c r="DH33" s="39" t="str">
        <f t="array" aca="1" ref="DH33" ca="1">IF(DD33&lt;&gt;"",
IF(AND(INDIRECT("'盛付札（関数）'!AE"&amp;DB33)&gt;=124,INDIRECT("'盛付札（関数）'!AE"&amp;DB33)&lt;=144),"",
"様"),"")</f>
        <v/>
      </c>
      <c r="DI33" s="33">
        <f>DB33+1</f>
        <v>94</v>
      </c>
      <c r="DJ33" s="40" t="str">
        <f ca="1">IF(DK33&lt;&gt;"",
MID(貼り付け用!$A$2, FIND("年",貼り付け用!$A$2)+1,2)&amp;"/"&amp;MID(貼り付け用!$A$2, FIND("月",貼り付け用!$A$2)+1,2),"")</f>
        <v/>
      </c>
      <c r="DK33" s="214" t="str">
        <f t="array" aca="1" ref="DK33" ca="1">SUBSTITUTE(SUBSTITUTE(SUBSTITUTE(SUBSTITUTE(SUBSTITUTE(SUBSTITUTE(SUBSTITUTE(SUBSTITUTE(SUBSTITUTE(SUBSTITUTE(SUBSTITUTE(
INDIRECT("'盛付札（関数）'!AF"&amp;DI33),"０",""),"①",""),"②",""),"③",""),"④",""),"⑤",""),"⑥",""),"⑦",""),"⑧",""),"⑨",""),"⑩","")</f>
        <v/>
      </c>
      <c r="DL33" s="215"/>
      <c r="DM33" s="215"/>
      <c r="DN33" s="215"/>
      <c r="DO33" s="39" t="str">
        <f t="array" aca="1" ref="DO33" ca="1">IF(DK33&lt;&gt;"",
IF(AND(INDIRECT("'盛付札（関数）'!AE"&amp;DI33)&gt;=124,INDIRECT("'盛付札（関数）'!AE"&amp;DI33)&lt;=144),"",
"様"),"")</f>
        <v/>
      </c>
      <c r="DP33" s="22"/>
      <c r="DQ33" s="30">
        <f>DX25+1</f>
        <v>105</v>
      </c>
      <c r="DR33" s="40" t="str">
        <f ca="1">IF(DS33&lt;&gt;"",
MID(貼り付け用!$A$2, FIND("年",貼り付け用!$A$2)+1,2)&amp;"/"&amp;MID(貼り付け用!$A$2, FIND("月",貼り付け用!$A$2)+1,2),"")</f>
        <v/>
      </c>
      <c r="DS33" s="214" t="str">
        <f t="array" aca="1" ref="DS33" ca="1">SUBSTITUTE(SUBSTITUTE(SUBSTITUTE(SUBSTITUTE(SUBSTITUTE(SUBSTITUTE(SUBSTITUTE(SUBSTITUTE(SUBSTITUTE(SUBSTITUTE(SUBSTITUTE(
INDIRECT("'盛付札（関数）'!AF"&amp;DQ33),"０",""),"①",""),"②",""),"③",""),"④",""),"⑤",""),"⑥",""),"⑦",""),"⑧",""),"⑨",""),"⑩","")</f>
        <v/>
      </c>
      <c r="DT33" s="215"/>
      <c r="DU33" s="215"/>
      <c r="DV33" s="215"/>
      <c r="DW33" s="39" t="str">
        <f t="array" aca="1" ref="DW33" ca="1">IF(DS33&lt;&gt;"",
IF(AND(INDIRECT("'盛付札（関数）'!AE"&amp;DQ33)&gt;=124,INDIRECT("'盛付札（関数）'!AE"&amp;DQ33)&lt;=144),"",
"様"),"")</f>
        <v/>
      </c>
      <c r="DX33" s="33">
        <f>DQ33+1</f>
        <v>106</v>
      </c>
      <c r="DY33" s="40" t="str">
        <f ca="1">IF(DZ33&lt;&gt;"",
MID(貼り付け用!$A$2, FIND("年",貼り付け用!$A$2)+1,2)&amp;"/"&amp;MID(貼り付け用!$A$2, FIND("月",貼り付け用!$A$2)+1,2),"")</f>
        <v/>
      </c>
      <c r="DZ33" s="214" t="str">
        <f t="array" aca="1" ref="DZ33" ca="1">SUBSTITUTE(SUBSTITUTE(SUBSTITUTE(SUBSTITUTE(SUBSTITUTE(SUBSTITUTE(SUBSTITUTE(SUBSTITUTE(SUBSTITUTE(SUBSTITUTE(SUBSTITUTE(
INDIRECT("'盛付札（関数）'!AF"&amp;DX33),"０",""),"①",""),"②",""),"③",""),"④",""),"⑤",""),"⑥",""),"⑦",""),"⑧",""),"⑨",""),"⑩","")</f>
        <v/>
      </c>
      <c r="EA33" s="215"/>
      <c r="EB33" s="215"/>
      <c r="EC33" s="215"/>
      <c r="ED33" s="39" t="str">
        <f t="array" aca="1" ref="ED33" ca="1">IF(DZ33&lt;&gt;"",
IF(AND(INDIRECT("'盛付札（関数）'!AE"&amp;DX33)&gt;=124,INDIRECT("'盛付札（関数）'!AE"&amp;DX33)&lt;=144),"",
"様"),"")</f>
        <v/>
      </c>
      <c r="EE33" s="22"/>
      <c r="EF33" s="30">
        <f>EM25+1</f>
        <v>117</v>
      </c>
      <c r="EG33" s="40" t="str">
        <f ca="1">IF(EH33&lt;&gt;"",
MID(貼り付け用!$A$2, FIND("年",貼り付け用!$A$2)+1,2)&amp;"/"&amp;MID(貼り付け用!$A$2, FIND("月",貼り付け用!$A$2)+1,2),"")</f>
        <v/>
      </c>
      <c r="EH33" s="214" t="str">
        <f t="array" aca="1" ref="EH33" ca="1">SUBSTITUTE(SUBSTITUTE(SUBSTITUTE(SUBSTITUTE(SUBSTITUTE(SUBSTITUTE(SUBSTITUTE(SUBSTITUTE(SUBSTITUTE(SUBSTITUTE(SUBSTITUTE(
INDIRECT("'盛付札（関数）'!AF"&amp;EF33),"０",""),"①",""),"②",""),"③",""),"④",""),"⑤",""),"⑥",""),"⑦",""),"⑧",""),"⑨",""),"⑩","")</f>
        <v/>
      </c>
      <c r="EI33" s="215"/>
      <c r="EJ33" s="215"/>
      <c r="EK33" s="215"/>
      <c r="EL33" s="39" t="str">
        <f t="array" aca="1" ref="EL33" ca="1">IF(EH33&lt;&gt;"",
IF(AND(INDIRECT("'盛付札（関数）'!AE"&amp;EF33)&gt;=124,INDIRECT("'盛付札（関数）'!AE"&amp;EF33)&lt;=144),"",
"様"),"")</f>
        <v/>
      </c>
      <c r="EM33" s="33">
        <f>EF33+1</f>
        <v>118</v>
      </c>
      <c r="EN33" s="40" t="str">
        <f ca="1">IF(EO33&lt;&gt;"",
MID(貼り付け用!$A$2, FIND("年",貼り付け用!$A$2)+1,2)&amp;"/"&amp;MID(貼り付け用!$A$2, FIND("月",貼り付け用!$A$2)+1,2),"")</f>
        <v/>
      </c>
      <c r="EO33" s="214" t="str">
        <f t="array" aca="1" ref="EO33" ca="1">SUBSTITUTE(SUBSTITUTE(SUBSTITUTE(SUBSTITUTE(SUBSTITUTE(SUBSTITUTE(SUBSTITUTE(SUBSTITUTE(SUBSTITUTE(SUBSTITUTE(SUBSTITUTE(
INDIRECT("'盛付札（関数）'!AF"&amp;EM33),"０",""),"①",""),"②",""),"③",""),"④",""),"⑤",""),"⑥",""),"⑦",""),"⑧",""),"⑨",""),"⑩","")</f>
        <v/>
      </c>
      <c r="EP33" s="215"/>
      <c r="EQ33" s="215"/>
      <c r="ER33" s="215"/>
      <c r="ES33" s="39" t="str">
        <f t="array" aca="1" ref="ES33" ca="1">IF(EO33&lt;&gt;"",
IF(AND(INDIRECT("'盛付札（関数）'!AE"&amp;EM33)&gt;=124,INDIRECT("'盛付札（関数）'!AE"&amp;EM33)&lt;=144),"",
"様"),"")</f>
        <v/>
      </c>
      <c r="ET33" s="22"/>
    </row>
    <row r="34" spans="1:150" s="181" customFormat="1">
      <c r="A34" s="30"/>
      <c r="B34" s="102"/>
      <c r="C34" s="136" t="str">
        <f t="array" aca="1" ref="C34" ca="1">IF(C33&lt;&gt;"",
IF(OR(INDIRECT("'盛付札（関数）'!AE"&amp;A33)=211,INDIRECT("'盛付札（関数）'!AE"&amp;A33)=212,INDIRECT("'盛付札（関数）'!AE"&amp;A33)=213),"",
IF(AND(INDIRECT("'盛付札（関数）'!AE"&amp;A33)&gt;=219,INDIRECT("'盛付札（関数）'!AE"&amp;A33)&lt;=246),"",
INDIRECT("'盛付札（関数）'!AG"&amp;A33))),"")</f>
        <v/>
      </c>
      <c r="D34" s="38"/>
      <c r="E34" s="38"/>
      <c r="F34" s="190" t="str">
        <f t="array" aca="1" ref="F34" ca="1">IF(AND(C33&lt;&gt;"",ISERROR(FIND("社食",C33))),
IF(OR(INDIRECT("'盛付札（関数）'!AE"&amp;A33)=211,INDIRECT("'盛付札（関数）'!AE"&amp;A33)=212,INDIRECT("'盛付札（関数）'!AE"&amp;A33)=213),"",
IF(INDIRECT("'盛付札（関数）'!AH"&amp;A33)&lt;&gt;"",
INDIRECT("'盛付札（関数）'!AH"&amp;A33)&amp;"箱"&amp;INDIRECT("'盛付札（関数）'!AI"&amp;A33),"")),"")</f>
        <v/>
      </c>
      <c r="G34" s="36"/>
      <c r="H34" s="43"/>
      <c r="I34" s="102"/>
      <c r="J34" s="136" t="str">
        <f t="array" aca="1" ref="J34" ca="1">IF(J33&lt;&gt;"",
IF(OR(INDIRECT("'盛付札（関数）'!AE"&amp;H33)=211,INDIRECT("'盛付札（関数）'!AE"&amp;H33)=212,INDIRECT("'盛付札（関数）'!AE"&amp;H33)=213),"",
IF(AND(INDIRECT("'盛付札（関数）'!AE"&amp;H33)&gt;=219,INDIRECT("'盛付札（関数）'!AE"&amp;H33)&lt;=246),"",
INDIRECT("'盛付札（関数）'!AG"&amp;H33))),"")</f>
        <v/>
      </c>
      <c r="K34" s="38"/>
      <c r="L34" s="38"/>
      <c r="M34" s="190" t="str">
        <f t="array" aca="1" ref="M34" ca="1">IF(AND(J33&lt;&gt;"",ISERROR(FIND("社食",J33))),
IF(OR(INDIRECT("'盛付札（関数）'!AE"&amp;H33)=211,INDIRECT("'盛付札（関数）'!AE"&amp;H33)=212,INDIRECT("'盛付札（関数）'!AE"&amp;H33)=213),"",
IF(INDIRECT("'盛付札（関数）'!AH"&amp;H33)&lt;&gt;"",
INDIRECT("'盛付札（関数）'!AH"&amp;H33)&amp;"箱"&amp;INDIRECT("'盛付札（関数）'!AI"&amp;H33),"")),"")</f>
        <v/>
      </c>
      <c r="N34" s="36"/>
      <c r="O34" s="22"/>
      <c r="P34" s="30"/>
      <c r="Q34" s="102"/>
      <c r="R34" s="136" t="str">
        <f t="array" aca="1" ref="R34" ca="1">IF(R33&lt;&gt;"",
IF(OR(INDIRECT("'盛付札（関数）'!AE"&amp;P33)=211,INDIRECT("'盛付札（関数）'!AE"&amp;P33)=212,INDIRECT("'盛付札（関数）'!AE"&amp;P33)=213),"",
IF(AND(INDIRECT("'盛付札（関数）'!AE"&amp;P33)&gt;=219,INDIRECT("'盛付札（関数）'!AE"&amp;P33)&lt;=246),"",
INDIRECT("'盛付札（関数）'!AG"&amp;P33))),"")</f>
        <v/>
      </c>
      <c r="S34" s="38"/>
      <c r="T34" s="38"/>
      <c r="U34" s="190" t="str">
        <f t="array" aca="1" ref="U34" ca="1">IF(AND(R33&lt;&gt;"",ISERROR(FIND("社食",R33))),
IF(OR(INDIRECT("'盛付札（関数）'!AE"&amp;P33)=211,INDIRECT("'盛付札（関数）'!AE"&amp;P33)=212,INDIRECT("'盛付札（関数）'!AE"&amp;P33)=213),"",
IF(INDIRECT("'盛付札（関数）'!AH"&amp;P33)&lt;&gt;"",
INDIRECT("'盛付札（関数）'!AH"&amp;P33)&amp;"箱"&amp;INDIRECT("'盛付札（関数）'!AI"&amp;P33),"")),"")</f>
        <v/>
      </c>
      <c r="V34" s="36"/>
      <c r="W34" s="43"/>
      <c r="X34" s="102"/>
      <c r="Y34" s="136" t="str">
        <f t="array" aca="1" ref="Y34" ca="1">IF(Y33&lt;&gt;"",
IF(OR(INDIRECT("'盛付札（関数）'!AE"&amp;W33)=211,INDIRECT("'盛付札（関数）'!AE"&amp;W33)=212,INDIRECT("'盛付札（関数）'!AE"&amp;W33)=213),"",
IF(AND(INDIRECT("'盛付札（関数）'!AE"&amp;W33)&gt;=219,INDIRECT("'盛付札（関数）'!AE"&amp;W33)&lt;=246),"",
INDIRECT("'盛付札（関数）'!AG"&amp;W33))),"")</f>
        <v/>
      </c>
      <c r="Z34" s="38"/>
      <c r="AA34" s="38"/>
      <c r="AB34" s="190" t="str">
        <f t="array" aca="1" ref="AB34" ca="1">IF(AND(Y33&lt;&gt;"",ISERROR(FIND("社食",Y33))),
IF(OR(INDIRECT("'盛付札（関数）'!AE"&amp;W33)=211,INDIRECT("'盛付札（関数）'!AE"&amp;W33)=212,INDIRECT("'盛付札（関数）'!AE"&amp;W33)=213),"",
IF(INDIRECT("'盛付札（関数）'!AH"&amp;W33)&lt;&gt;"",
INDIRECT("'盛付札（関数）'!AH"&amp;W33)&amp;"箱"&amp;INDIRECT("'盛付札（関数）'!AI"&amp;W33),"")),"")</f>
        <v/>
      </c>
      <c r="AC34" s="36"/>
      <c r="AD34" s="22"/>
      <c r="AE34" s="30"/>
      <c r="AF34" s="102"/>
      <c r="AG34" s="136" t="str">
        <f t="array" aca="1" ref="AG34" ca="1">IF(AG33&lt;&gt;"",
IF(OR(INDIRECT("'盛付札（関数）'!AE"&amp;AE33)=211,INDIRECT("'盛付札（関数）'!AE"&amp;AE33)=212,INDIRECT("'盛付札（関数）'!AE"&amp;AE33)=213),"",
IF(AND(INDIRECT("'盛付札（関数）'!AE"&amp;AE33)&gt;=219,INDIRECT("'盛付札（関数）'!AE"&amp;AE33)&lt;=246),"",
INDIRECT("'盛付札（関数）'!AG"&amp;AE33))),"")</f>
        <v/>
      </c>
      <c r="AH34" s="38"/>
      <c r="AI34" s="38"/>
      <c r="AJ34" s="190" t="str">
        <f t="array" aca="1" ref="AJ34" ca="1">IF(AND(AG33&lt;&gt;"",ISERROR(FIND("社食",AG33))),
IF(OR(INDIRECT("'盛付札（関数）'!AE"&amp;AE33)=211,INDIRECT("'盛付札（関数）'!AE"&amp;AE33)=212,INDIRECT("'盛付札（関数）'!AE"&amp;AE33)=213),"",
IF(INDIRECT("'盛付札（関数）'!AH"&amp;AE33)&lt;&gt;"",
INDIRECT("'盛付札（関数）'!AH"&amp;AE33)&amp;"箱"&amp;INDIRECT("'盛付札（関数）'!AI"&amp;AE33),"")),"")</f>
        <v/>
      </c>
      <c r="AK34" s="36"/>
      <c r="AL34" s="43"/>
      <c r="AM34" s="102"/>
      <c r="AN34" s="136" t="str">
        <f t="array" aca="1" ref="AN34" ca="1">IF(AN33&lt;&gt;"",
IF(OR(INDIRECT("'盛付札（関数）'!AE"&amp;AL33)=211,INDIRECT("'盛付札（関数）'!AE"&amp;AL33)=212,INDIRECT("'盛付札（関数）'!AE"&amp;AL33)=213),"",
IF(AND(INDIRECT("'盛付札（関数）'!AE"&amp;AL33)&gt;=219,INDIRECT("'盛付札（関数）'!AE"&amp;AL33)&lt;=246),"",
INDIRECT("'盛付札（関数）'!AG"&amp;AL33))),"")</f>
        <v/>
      </c>
      <c r="AO34" s="38"/>
      <c r="AP34" s="38"/>
      <c r="AQ34" s="190" t="str">
        <f t="array" aca="1" ref="AQ34" ca="1">IF(AND(AN33&lt;&gt;"",ISERROR(FIND("社食",AN33))),
IF(OR(INDIRECT("'盛付札（関数）'!AE"&amp;AL33)=211,INDIRECT("'盛付札（関数）'!AE"&amp;AL33)=212,INDIRECT("'盛付札（関数）'!AE"&amp;AL33)=213),"",
IF(INDIRECT("'盛付札（関数）'!AH"&amp;AL33)&lt;&gt;"",
INDIRECT("'盛付札（関数）'!AH"&amp;AL33)&amp;"箱"&amp;INDIRECT("'盛付札（関数）'!AI"&amp;AL33),"")),"")</f>
        <v/>
      </c>
      <c r="AR34" s="36"/>
      <c r="AS34" s="22"/>
      <c r="AT34" s="30"/>
      <c r="AU34" s="102"/>
      <c r="AV34" s="136" t="str">
        <f t="array" aca="1" ref="AV34" ca="1">IF(AV33&lt;&gt;"",
IF(OR(INDIRECT("'盛付札（関数）'!AE"&amp;AT33)=211,INDIRECT("'盛付札（関数）'!AE"&amp;AT33)=212,INDIRECT("'盛付札（関数）'!AE"&amp;AT33)=213),"",
IF(AND(INDIRECT("'盛付札（関数）'!AE"&amp;AT33)&gt;=219,INDIRECT("'盛付札（関数）'!AE"&amp;AT33)&lt;=246),"",
INDIRECT("'盛付札（関数）'!AG"&amp;AT33))),"")</f>
        <v/>
      </c>
      <c r="AW34" s="38"/>
      <c r="AX34" s="38"/>
      <c r="AY34" s="190" t="str">
        <f t="array" aca="1" ref="AY34" ca="1">IF(AND(AV33&lt;&gt;"",ISERROR(FIND("社食",AV33))),
IF(OR(INDIRECT("'盛付札（関数）'!AE"&amp;AT33)=211,INDIRECT("'盛付札（関数）'!AE"&amp;AT33)=212,INDIRECT("'盛付札（関数）'!AE"&amp;AT33)=213),"",
IF(INDIRECT("'盛付札（関数）'!AH"&amp;AT33)&lt;&gt;"",
INDIRECT("'盛付札（関数）'!AH"&amp;AT33)&amp;"箱"&amp;INDIRECT("'盛付札（関数）'!AI"&amp;AT33),"")),"")</f>
        <v/>
      </c>
      <c r="AZ34" s="36"/>
      <c r="BA34" s="43"/>
      <c r="BB34" s="102"/>
      <c r="BC34" s="136" t="str">
        <f t="array" aca="1" ref="BC34" ca="1">IF(BC33&lt;&gt;"",
IF(OR(INDIRECT("'盛付札（関数）'!AE"&amp;BA33)=211,INDIRECT("'盛付札（関数）'!AE"&amp;BA33)=212,INDIRECT("'盛付札（関数）'!AE"&amp;BA33)=213),"",
IF(AND(INDIRECT("'盛付札（関数）'!AE"&amp;BA33)&gt;=219,INDIRECT("'盛付札（関数）'!AE"&amp;BA33)&lt;=246),"",
INDIRECT("'盛付札（関数）'!AG"&amp;BA33))),"")</f>
        <v/>
      </c>
      <c r="BD34" s="38"/>
      <c r="BE34" s="38"/>
      <c r="BF34" s="190" t="str">
        <f t="array" aca="1" ref="BF34" ca="1">IF(AND(BC33&lt;&gt;"",ISERROR(FIND("社食",BC33))),
IF(OR(INDIRECT("'盛付札（関数）'!AE"&amp;BA33)=211,INDIRECT("'盛付札（関数）'!AE"&amp;BA33)=212,INDIRECT("'盛付札（関数）'!AE"&amp;BA33)=213),"",
IF(INDIRECT("'盛付札（関数）'!AH"&amp;BA33)&lt;&gt;"",
INDIRECT("'盛付札（関数）'!AH"&amp;BA33)&amp;"箱"&amp;INDIRECT("'盛付札（関数）'!AI"&amp;BA33),"")),"")</f>
        <v/>
      </c>
      <c r="BG34" s="36"/>
      <c r="BH34" s="22"/>
      <c r="BI34" s="30"/>
      <c r="BJ34" s="102"/>
      <c r="BK34" s="136" t="str">
        <f t="array" aca="1" ref="BK34" ca="1">IF(BK33&lt;&gt;"",
IF(OR(INDIRECT("'盛付札（関数）'!AE"&amp;BI33)=211,INDIRECT("'盛付札（関数）'!AE"&amp;BI33)=212,INDIRECT("'盛付札（関数）'!AE"&amp;BI33)=213),"",
IF(AND(INDIRECT("'盛付札（関数）'!AE"&amp;BI33)&gt;=219,INDIRECT("'盛付札（関数）'!AE"&amp;BI33)&lt;=246),"",
INDIRECT("'盛付札（関数）'!AG"&amp;BI33))),"")</f>
        <v/>
      </c>
      <c r="BL34" s="38"/>
      <c r="BM34" s="38"/>
      <c r="BN34" s="190" t="str">
        <f t="array" aca="1" ref="BN34" ca="1">IF(AND(BK33&lt;&gt;"",ISERROR(FIND("社食",BK33))),
IF(OR(INDIRECT("'盛付札（関数）'!AE"&amp;BI33)=211,INDIRECT("'盛付札（関数）'!AE"&amp;BI33)=212,INDIRECT("'盛付札（関数）'!AE"&amp;BI33)=213),"",
IF(INDIRECT("'盛付札（関数）'!AH"&amp;BI33)&lt;&gt;"",
INDIRECT("'盛付札（関数）'!AH"&amp;BI33)&amp;"箱"&amp;INDIRECT("'盛付札（関数）'!AI"&amp;BI33),"")),"")</f>
        <v/>
      </c>
      <c r="BO34" s="36"/>
      <c r="BP34" s="43"/>
      <c r="BQ34" s="102"/>
      <c r="BR34" s="136" t="str">
        <f t="array" aca="1" ref="BR34" ca="1">IF(BR33&lt;&gt;"",
IF(OR(INDIRECT("'盛付札（関数）'!AE"&amp;BP33)=211,INDIRECT("'盛付札（関数）'!AE"&amp;BP33)=212,INDIRECT("'盛付札（関数）'!AE"&amp;BP33)=213),"",
IF(AND(INDIRECT("'盛付札（関数）'!AE"&amp;BP33)&gt;=219,INDIRECT("'盛付札（関数）'!AE"&amp;BP33)&lt;=246),"",
INDIRECT("'盛付札（関数）'!AG"&amp;BP33))),"")</f>
        <v/>
      </c>
      <c r="BS34" s="38"/>
      <c r="BT34" s="38"/>
      <c r="BU34" s="190" t="str">
        <f t="array" aca="1" ref="BU34" ca="1">IF(AND(BR33&lt;&gt;"",ISERROR(FIND("社食",BR33))),
IF(OR(INDIRECT("'盛付札（関数）'!AE"&amp;BP33)=211,INDIRECT("'盛付札（関数）'!AE"&amp;BP33)=212,INDIRECT("'盛付札（関数）'!AE"&amp;BP33)=213),"",
IF(INDIRECT("'盛付札（関数）'!AH"&amp;BP33)&lt;&gt;"",
INDIRECT("'盛付札（関数）'!AH"&amp;BP33)&amp;"箱"&amp;INDIRECT("'盛付札（関数）'!AI"&amp;BP33),"")),"")</f>
        <v/>
      </c>
      <c r="BV34" s="36"/>
      <c r="BW34" s="22"/>
      <c r="BX34" s="30"/>
      <c r="BY34" s="102"/>
      <c r="BZ34" s="136" t="str">
        <f t="array" aca="1" ref="BZ34" ca="1">IF(BZ33&lt;&gt;"",
IF(OR(INDIRECT("'盛付札（関数）'!AE"&amp;BX33)=211,INDIRECT("'盛付札（関数）'!AE"&amp;BX33)=212,INDIRECT("'盛付札（関数）'!AE"&amp;BX33)=213),"",
IF(AND(INDIRECT("'盛付札（関数）'!AE"&amp;BX33)&gt;=219,INDIRECT("'盛付札（関数）'!AE"&amp;BX33)&lt;=246),"",
INDIRECT("'盛付札（関数）'!AG"&amp;BX33))),"")</f>
        <v/>
      </c>
      <c r="CA34" s="38"/>
      <c r="CB34" s="38"/>
      <c r="CC34" s="190" t="str">
        <f t="array" aca="1" ref="CC34" ca="1">IF(AND(BZ33&lt;&gt;"",ISERROR(FIND("社食",BZ33))),
IF(OR(INDIRECT("'盛付札（関数）'!AE"&amp;BX33)=211,INDIRECT("'盛付札（関数）'!AE"&amp;BX33)=212,INDIRECT("'盛付札（関数）'!AE"&amp;BX33)=213),"",
IF(INDIRECT("'盛付札（関数）'!AH"&amp;BX33)&lt;&gt;"",
INDIRECT("'盛付札（関数）'!AH"&amp;BX33)&amp;"箱"&amp;INDIRECT("'盛付札（関数）'!AI"&amp;BX33),"")),"")</f>
        <v/>
      </c>
      <c r="CD34" s="36"/>
      <c r="CE34" s="43"/>
      <c r="CF34" s="102"/>
      <c r="CG34" s="136" t="str">
        <f t="array" aca="1" ref="CG34" ca="1">IF(CG33&lt;&gt;"",
IF(OR(INDIRECT("'盛付札（関数）'!AE"&amp;CE33)=211,INDIRECT("'盛付札（関数）'!AE"&amp;CE33)=212,INDIRECT("'盛付札（関数）'!AE"&amp;CE33)=213),"",
IF(AND(INDIRECT("'盛付札（関数）'!AE"&amp;CE33)&gt;=219,INDIRECT("'盛付札（関数）'!AE"&amp;CE33)&lt;=246),"",
INDIRECT("'盛付札（関数）'!AG"&amp;CE33))),"")</f>
        <v/>
      </c>
      <c r="CH34" s="38"/>
      <c r="CI34" s="38"/>
      <c r="CJ34" s="190" t="str">
        <f t="array" aca="1" ref="CJ34" ca="1">IF(AND(CG33&lt;&gt;"",ISERROR(FIND("社食",CG33))),
IF(OR(INDIRECT("'盛付札（関数）'!AE"&amp;CE33)=211,INDIRECT("'盛付札（関数）'!AE"&amp;CE33)=212,INDIRECT("'盛付札（関数）'!AE"&amp;CE33)=213),"",
IF(INDIRECT("'盛付札（関数）'!AH"&amp;CE33)&lt;&gt;"",
INDIRECT("'盛付札（関数）'!AH"&amp;CE33)&amp;"箱"&amp;INDIRECT("'盛付札（関数）'!AI"&amp;CE33),"")),"")</f>
        <v/>
      </c>
      <c r="CK34" s="36"/>
      <c r="CL34" s="22"/>
      <c r="CM34" s="30"/>
      <c r="CN34" s="102"/>
      <c r="CO34" s="136" t="str">
        <f t="array" aca="1" ref="CO34" ca="1">IF(CO33&lt;&gt;"",
IF(OR(INDIRECT("'盛付札（関数）'!AE"&amp;CM33)=211,INDIRECT("'盛付札（関数）'!AE"&amp;CM33)=212,INDIRECT("'盛付札（関数）'!AE"&amp;CM33)=213),"",
IF(AND(INDIRECT("'盛付札（関数）'!AE"&amp;CM33)&gt;=219,INDIRECT("'盛付札（関数）'!AE"&amp;CM33)&lt;=246),"",
INDIRECT("'盛付札（関数）'!AG"&amp;CM33))),"")</f>
        <v/>
      </c>
      <c r="CP34" s="38"/>
      <c r="CQ34" s="38"/>
      <c r="CR34" s="190" t="str">
        <f t="array" aca="1" ref="CR34" ca="1">IF(AND(CO33&lt;&gt;"",ISERROR(FIND("社食",CO33))),
IF(OR(INDIRECT("'盛付札（関数）'!AE"&amp;CM33)=211,INDIRECT("'盛付札（関数）'!AE"&amp;CM33)=212,INDIRECT("'盛付札（関数）'!AE"&amp;CM33)=213),"",
IF(INDIRECT("'盛付札（関数）'!AH"&amp;CM33)&lt;&gt;"",
INDIRECT("'盛付札（関数）'!AH"&amp;CM33)&amp;"箱"&amp;INDIRECT("'盛付札（関数）'!AI"&amp;CM33),"")),"")</f>
        <v/>
      </c>
      <c r="CS34" s="36"/>
      <c r="CT34" s="43"/>
      <c r="CU34" s="102"/>
      <c r="CV34" s="136" t="str">
        <f t="array" aca="1" ref="CV34" ca="1">IF(CV33&lt;&gt;"",
IF(OR(INDIRECT("'盛付札（関数）'!AE"&amp;CT33)=211,INDIRECT("'盛付札（関数）'!AE"&amp;CT33)=212,INDIRECT("'盛付札（関数）'!AE"&amp;CT33)=213),"",
IF(AND(INDIRECT("'盛付札（関数）'!AE"&amp;CT33)&gt;=219,INDIRECT("'盛付札（関数）'!AE"&amp;CT33)&lt;=246),"",
INDIRECT("'盛付札（関数）'!AG"&amp;CT33))),"")</f>
        <v/>
      </c>
      <c r="CW34" s="38"/>
      <c r="CX34" s="38"/>
      <c r="CY34" s="190" t="str">
        <f t="array" aca="1" ref="CY34" ca="1">IF(AND(CV33&lt;&gt;"",ISERROR(FIND("社食",CV33))),
IF(OR(INDIRECT("'盛付札（関数）'!AE"&amp;CT33)=211,INDIRECT("'盛付札（関数）'!AE"&amp;CT33)=212,INDIRECT("'盛付札（関数）'!AE"&amp;CT33)=213),"",
IF(INDIRECT("'盛付札（関数）'!AH"&amp;CT33)&lt;&gt;"",
INDIRECT("'盛付札（関数）'!AH"&amp;CT33)&amp;"箱"&amp;INDIRECT("'盛付札（関数）'!AI"&amp;CT33),"")),"")</f>
        <v/>
      </c>
      <c r="CZ34" s="36"/>
      <c r="DA34" s="22"/>
      <c r="DB34" s="30"/>
      <c r="DC34" s="102"/>
      <c r="DD34" s="136" t="str">
        <f t="array" aca="1" ref="DD34" ca="1">IF(DD33&lt;&gt;"",
IF(OR(INDIRECT("'盛付札（関数）'!AE"&amp;DB33)=211,INDIRECT("'盛付札（関数）'!AE"&amp;DB33)=212,INDIRECT("'盛付札（関数）'!AE"&amp;DB33)=213),"",
IF(AND(INDIRECT("'盛付札（関数）'!AE"&amp;DB33)&gt;=219,INDIRECT("'盛付札（関数）'!AE"&amp;DB33)&lt;=246),"",
INDIRECT("'盛付札（関数）'!AG"&amp;DB33))),"")</f>
        <v/>
      </c>
      <c r="DE34" s="38"/>
      <c r="DF34" s="38"/>
      <c r="DG34" s="190" t="str">
        <f t="array" aca="1" ref="DG34" ca="1">IF(AND(DD33&lt;&gt;"",ISERROR(FIND("社食",DD33))),
IF(OR(INDIRECT("'盛付札（関数）'!AE"&amp;DB33)=211,INDIRECT("'盛付札（関数）'!AE"&amp;DB33)=212,INDIRECT("'盛付札（関数）'!AE"&amp;DB33)=213),"",
IF(INDIRECT("'盛付札（関数）'!AH"&amp;DB33)&lt;&gt;"",
INDIRECT("'盛付札（関数）'!AH"&amp;DB33)&amp;"箱"&amp;INDIRECT("'盛付札（関数）'!AI"&amp;DB33),"")),"")</f>
        <v/>
      </c>
      <c r="DH34" s="36"/>
      <c r="DI34" s="43"/>
      <c r="DJ34" s="102"/>
      <c r="DK34" s="136" t="str">
        <f t="array" aca="1" ref="DK34" ca="1">IF(DK33&lt;&gt;"",
IF(OR(INDIRECT("'盛付札（関数）'!AE"&amp;DI33)=211,INDIRECT("'盛付札（関数）'!AE"&amp;DI33)=212,INDIRECT("'盛付札（関数）'!AE"&amp;DI33)=213),"",
IF(AND(INDIRECT("'盛付札（関数）'!AE"&amp;DI33)&gt;=219,INDIRECT("'盛付札（関数）'!AE"&amp;DI33)&lt;=246),"",
INDIRECT("'盛付札（関数）'!AG"&amp;DI33))),"")</f>
        <v/>
      </c>
      <c r="DL34" s="38"/>
      <c r="DM34" s="38"/>
      <c r="DN34" s="190" t="str">
        <f t="array" aca="1" ref="DN34" ca="1">IF(AND(DK33&lt;&gt;"",ISERROR(FIND("社食",DK33))),
IF(OR(INDIRECT("'盛付札（関数）'!AE"&amp;DI33)=211,INDIRECT("'盛付札（関数）'!AE"&amp;DI33)=212,INDIRECT("'盛付札（関数）'!AE"&amp;DI33)=213),"",
IF(INDIRECT("'盛付札（関数）'!AH"&amp;DI33)&lt;&gt;"",
INDIRECT("'盛付札（関数）'!AH"&amp;DI33)&amp;"箱"&amp;INDIRECT("'盛付札（関数）'!AI"&amp;DI33),"")),"")</f>
        <v/>
      </c>
      <c r="DO34" s="36"/>
      <c r="DP34" s="22"/>
      <c r="DQ34" s="30"/>
      <c r="DR34" s="102"/>
      <c r="DS34" s="136" t="str">
        <f t="array" aca="1" ref="DS34" ca="1">IF(DS33&lt;&gt;"",
IF(OR(INDIRECT("'盛付札（関数）'!AE"&amp;DQ33)=211,INDIRECT("'盛付札（関数）'!AE"&amp;DQ33)=212,INDIRECT("'盛付札（関数）'!AE"&amp;DQ33)=213),"",
IF(AND(INDIRECT("'盛付札（関数）'!AE"&amp;DQ33)&gt;=219,INDIRECT("'盛付札（関数）'!AE"&amp;DQ33)&lt;=246),"",
INDIRECT("'盛付札（関数）'!AG"&amp;DQ33))),"")</f>
        <v/>
      </c>
      <c r="DT34" s="38"/>
      <c r="DU34" s="38"/>
      <c r="DV34" s="190" t="str">
        <f t="array" aca="1" ref="DV34" ca="1">IF(AND(DS33&lt;&gt;"",ISERROR(FIND("社食",DS33))),
IF(OR(INDIRECT("'盛付札（関数）'!AE"&amp;DQ33)=211,INDIRECT("'盛付札（関数）'!AE"&amp;DQ33)=212,INDIRECT("'盛付札（関数）'!AE"&amp;DQ33)=213),"",
IF(INDIRECT("'盛付札（関数）'!AH"&amp;DQ33)&lt;&gt;"",
INDIRECT("'盛付札（関数）'!AH"&amp;DQ33)&amp;"箱"&amp;INDIRECT("'盛付札（関数）'!AI"&amp;DQ33),"")),"")</f>
        <v/>
      </c>
      <c r="DW34" s="36"/>
      <c r="DX34" s="43"/>
      <c r="DY34" s="102"/>
      <c r="DZ34" s="136" t="str">
        <f t="array" aca="1" ref="DZ34" ca="1">IF(DZ33&lt;&gt;"",
IF(OR(INDIRECT("'盛付札（関数）'!AE"&amp;DX33)=211,INDIRECT("'盛付札（関数）'!AE"&amp;DX33)=212,INDIRECT("'盛付札（関数）'!AE"&amp;DX33)=213),"",
IF(AND(INDIRECT("'盛付札（関数）'!AE"&amp;DX33)&gt;=219,INDIRECT("'盛付札（関数）'!AE"&amp;DX33)&lt;=246),"",
INDIRECT("'盛付札（関数）'!AG"&amp;DX33))),"")</f>
        <v/>
      </c>
      <c r="EA34" s="38"/>
      <c r="EB34" s="38"/>
      <c r="EC34" s="190" t="str">
        <f t="array" aca="1" ref="EC34" ca="1">IF(AND(DZ33&lt;&gt;"",ISERROR(FIND("社食",DZ33))),
IF(OR(INDIRECT("'盛付札（関数）'!AE"&amp;DX33)=211,INDIRECT("'盛付札（関数）'!AE"&amp;DX33)=212,INDIRECT("'盛付札（関数）'!AE"&amp;DX33)=213),"",
IF(INDIRECT("'盛付札（関数）'!AH"&amp;DX33)&lt;&gt;"",
INDIRECT("'盛付札（関数）'!AH"&amp;DX33)&amp;"箱"&amp;INDIRECT("'盛付札（関数）'!AI"&amp;DX33),"")),"")</f>
        <v/>
      </c>
      <c r="ED34" s="36"/>
      <c r="EE34" s="22"/>
      <c r="EF34" s="30"/>
      <c r="EG34" s="102"/>
      <c r="EH34" s="136" t="str">
        <f t="array" aca="1" ref="EH34" ca="1">IF(EH33&lt;&gt;"",
IF(OR(INDIRECT("'盛付札（関数）'!AE"&amp;EF33)=211,INDIRECT("'盛付札（関数）'!AE"&amp;EF33)=212,INDIRECT("'盛付札（関数）'!AE"&amp;EF33)=213),"",
IF(AND(INDIRECT("'盛付札（関数）'!AE"&amp;EF33)&gt;=219,INDIRECT("'盛付札（関数）'!AE"&amp;EF33)&lt;=246),"",
INDIRECT("'盛付札（関数）'!AG"&amp;EF33))),"")</f>
        <v/>
      </c>
      <c r="EI34" s="38"/>
      <c r="EJ34" s="38"/>
      <c r="EK34" s="190" t="str">
        <f t="array" aca="1" ref="EK34" ca="1">IF(AND(EH33&lt;&gt;"",ISERROR(FIND("社食",EH33))),
IF(OR(INDIRECT("'盛付札（関数）'!AE"&amp;EF33)=211,INDIRECT("'盛付札（関数）'!AE"&amp;EF33)=212,INDIRECT("'盛付札（関数）'!AE"&amp;EF33)=213),"",
IF(INDIRECT("'盛付札（関数）'!AH"&amp;EF33)&lt;&gt;"",
INDIRECT("'盛付札（関数）'!AH"&amp;EF33)&amp;"箱"&amp;INDIRECT("'盛付札（関数）'!AI"&amp;EF33),"")),"")</f>
        <v/>
      </c>
      <c r="EL34" s="36"/>
      <c r="EM34" s="43"/>
      <c r="EN34" s="102"/>
      <c r="EO34" s="136" t="str">
        <f t="array" aca="1" ref="EO34" ca="1">IF(EO33&lt;&gt;"",
IF(OR(INDIRECT("'盛付札（関数）'!AE"&amp;EM33)=211,INDIRECT("'盛付札（関数）'!AE"&amp;EM33)=212,INDIRECT("'盛付札（関数）'!AE"&amp;EM33)=213),"",
IF(AND(INDIRECT("'盛付札（関数）'!AE"&amp;EM33)&gt;=219,INDIRECT("'盛付札（関数）'!AE"&amp;EM33)&lt;=246),"",
INDIRECT("'盛付札（関数）'!AG"&amp;EM33))),"")</f>
        <v/>
      </c>
      <c r="EP34" s="38"/>
      <c r="EQ34" s="38"/>
      <c r="ER34" s="190" t="str">
        <f t="array" aca="1" ref="ER34" ca="1">IF(AND(EO33&lt;&gt;"",ISERROR(FIND("社食",EO33))),
IF(OR(INDIRECT("'盛付札（関数）'!AE"&amp;EM33)=211,INDIRECT("'盛付札（関数）'!AE"&amp;EM33)=212,INDIRECT("'盛付札（関数）'!AE"&amp;EM33)=213),"",
IF(INDIRECT("'盛付札（関数）'!AH"&amp;EM33)&lt;&gt;"",
INDIRECT("'盛付札（関数）'!AH"&amp;EM33)&amp;"箱"&amp;INDIRECT("'盛付札（関数）'!AI"&amp;EM33),"")),"")</f>
        <v/>
      </c>
      <c r="ES34" s="36"/>
      <c r="ET34" s="22"/>
    </row>
    <row r="35" spans="1:150" s="181" customFormat="1">
      <c r="A35" s="30"/>
      <c r="B35" s="31"/>
      <c r="C35" s="212" t="str">
        <f t="array" aca="1" ref="C35" ca="1">IF(AND(C33&lt;&gt;"",ISERROR(FIND("社食",C33)),ISERROR(FIND("先生",C33)),ISERROR(FIND("学童",C34))),
IF(C36&lt;&gt;"",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IF(AND(INDIRECT("'盛付札（関数）'!AE"&amp;A33)&gt;=247,INDIRECT("'盛付札（関数）'!AE"&amp;A33)&lt;=261),"先生","園児"))),""),"")</f>
        <v/>
      </c>
      <c r="D35" s="213"/>
      <c r="E35" s="22"/>
      <c r="F35" s="135" t="str">
        <f t="array" aca="1" ref="F35" ca="1">IF(AND(C33&lt;&gt;"",ISERROR(FIND("社食",C33)),ISERROR(FIND("先生",C33))),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IF(AND(INDIRECT("'盛付札（関数）'!AE"&amp;A33)&gt;=247,INDIRECT("'盛付札（関数）'!AE"&amp;A33)&lt;=261),"","先生"))),"")</f>
        <v/>
      </c>
      <c r="G35" s="37"/>
      <c r="H35" s="33"/>
      <c r="I35" s="31"/>
      <c r="J35" s="212" t="str">
        <f t="array" aca="1" ref="J35" ca="1">IF(AND(J33&lt;&gt;"",ISERROR(FIND("社食",J33)),ISERROR(FIND("先生",J33)),ISERROR(FIND("学童",J34))),
IF(J36&lt;&gt;"",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IF(AND(INDIRECT("'盛付札（関数）'!AE"&amp;H33)&gt;=247,INDIRECT("'盛付札（関数）'!AE"&amp;H33)&lt;=261),"先生","園児"))),""),"")</f>
        <v/>
      </c>
      <c r="K35" s="213"/>
      <c r="L35" s="22"/>
      <c r="M35" s="135" t="str">
        <f t="array" aca="1" ref="M35" ca="1">IF(AND(J33&lt;&gt;"",ISERROR(FIND("社食",J33)),ISERROR(FIND("先生",J33))),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IF(AND(INDIRECT("'盛付札（関数）'!AE"&amp;H33)&gt;=247,INDIRECT("'盛付札（関数）'!AE"&amp;H33)&lt;=261),"","先生"))),"")</f>
        <v/>
      </c>
      <c r="N35" s="37"/>
      <c r="O35" s="22"/>
      <c r="P35" s="30"/>
      <c r="Q35" s="31"/>
      <c r="R35" s="212" t="str">
        <f t="array" aca="1" ref="R35" ca="1">IF(AND(R33&lt;&gt;"",ISERROR(FIND("社食",R33)),ISERROR(FIND("先生",R33)),ISERROR(FIND("学童",R34))),
IF(R36&lt;&gt;"",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IF(AND(INDIRECT("'盛付札（関数）'!AE"&amp;P33)&gt;=247,INDIRECT("'盛付札（関数）'!AE"&amp;P33)&lt;=261),"先生","園児"))),""),"")</f>
        <v/>
      </c>
      <c r="S35" s="213"/>
      <c r="T35" s="22"/>
      <c r="U35" s="135" t="str">
        <f t="array" aca="1" ref="U35" ca="1">IF(AND(R33&lt;&gt;"",ISERROR(FIND("社食",R33)),ISERROR(FIND("先生",R33))),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IF(AND(INDIRECT("'盛付札（関数）'!AE"&amp;P33)&gt;=247,INDIRECT("'盛付札（関数）'!AE"&amp;P33)&lt;=261),"","先生"))),"")</f>
        <v/>
      </c>
      <c r="V35" s="37"/>
      <c r="W35" s="33"/>
      <c r="X35" s="31"/>
      <c r="Y35" s="212" t="str">
        <f t="array" aca="1" ref="Y35" ca="1">IF(AND(Y33&lt;&gt;"",ISERROR(FIND("社食",Y33)),ISERROR(FIND("先生",Y33)),ISERROR(FIND("学童",Y34))),
IF(Y36&lt;&gt;"",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IF(AND(INDIRECT("'盛付札（関数）'!AE"&amp;W33)&gt;=247,INDIRECT("'盛付札（関数）'!AE"&amp;W33)&lt;=261),"先生","園児"))),""),"")</f>
        <v/>
      </c>
      <c r="Z35" s="213"/>
      <c r="AA35" s="22"/>
      <c r="AB35" s="135" t="str">
        <f t="array" aca="1" ref="AB35" ca="1">IF(AND(Y33&lt;&gt;"",ISERROR(FIND("社食",Y33)),ISERROR(FIND("先生",Y33))),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IF(AND(INDIRECT("'盛付札（関数）'!AE"&amp;W33)&gt;=247,INDIRECT("'盛付札（関数）'!AE"&amp;W33)&lt;=261),"","先生"))),"")</f>
        <v/>
      </c>
      <c r="AC35" s="37"/>
      <c r="AD35" s="22"/>
      <c r="AE35" s="30"/>
      <c r="AF35" s="31"/>
      <c r="AG35" s="212" t="str">
        <f t="array" aca="1" ref="AG35" ca="1">IF(AND(AG33&lt;&gt;"",ISERROR(FIND("社食",AG33)),ISERROR(FIND("先生",AG33)),ISERROR(FIND("学童",AG34))),
IF(AG36&lt;&gt;"",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IF(AND(INDIRECT("'盛付札（関数）'!AE"&amp;AE33)&gt;=247,INDIRECT("'盛付札（関数）'!AE"&amp;AE33)&lt;=261),"先生","園児"))),""),"")</f>
        <v/>
      </c>
      <c r="AH35" s="213"/>
      <c r="AI35" s="22"/>
      <c r="AJ35" s="135" t="str">
        <f t="array" aca="1" ref="AJ35" ca="1">IF(AND(AG33&lt;&gt;"",ISERROR(FIND("社食",AG33)),ISERROR(FIND("先生",AG33))),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IF(AND(INDIRECT("'盛付札（関数）'!AE"&amp;AE33)&gt;=247,INDIRECT("'盛付札（関数）'!AE"&amp;AE33)&lt;=261),"","先生"))),"")</f>
        <v/>
      </c>
      <c r="AK35" s="37"/>
      <c r="AL35" s="33"/>
      <c r="AM35" s="31"/>
      <c r="AN35" s="212" t="str">
        <f t="array" aca="1" ref="AN35" ca="1">IF(AND(AN33&lt;&gt;"",ISERROR(FIND("社食",AN33)),ISERROR(FIND("先生",AN33)),ISERROR(FIND("学童",AN34))),
IF(AN36&lt;&gt;"",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IF(AND(INDIRECT("'盛付札（関数）'!AE"&amp;AL33)&gt;=247,INDIRECT("'盛付札（関数）'!AE"&amp;AL33)&lt;=261),"先生","園児"))),""),"")</f>
        <v/>
      </c>
      <c r="AO35" s="213"/>
      <c r="AP35" s="22"/>
      <c r="AQ35" s="135" t="str">
        <f t="array" aca="1" ref="AQ35" ca="1">IF(AND(AN33&lt;&gt;"",ISERROR(FIND("社食",AN33)),ISERROR(FIND("先生",AN33))),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IF(AND(INDIRECT("'盛付札（関数）'!AE"&amp;AL33)&gt;=247,INDIRECT("'盛付札（関数）'!AE"&amp;AL33)&lt;=261),"","先生"))),"")</f>
        <v/>
      </c>
      <c r="AR35" s="37"/>
      <c r="AS35" s="22"/>
      <c r="AT35" s="30"/>
      <c r="AU35" s="31"/>
      <c r="AV35" s="212" t="str">
        <f t="array" aca="1" ref="AV35" ca="1">IF(AND(AV33&lt;&gt;"",ISERROR(FIND("社食",AV33)),ISERROR(FIND("先生",AV33)),ISERROR(FIND("学童",AV34))),
IF(AV36&lt;&gt;"",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IF(AND(INDIRECT("'盛付札（関数）'!AE"&amp;AT33)&gt;=247,INDIRECT("'盛付札（関数）'!AE"&amp;AT33)&lt;=261),"先生","園児"))),""),"")</f>
        <v/>
      </c>
      <c r="AW35" s="213"/>
      <c r="AX35" s="22"/>
      <c r="AY35" s="135" t="str">
        <f t="array" aca="1" ref="AY35" ca="1">IF(AND(AV33&lt;&gt;"",ISERROR(FIND("社食",AV33)),ISERROR(FIND("先生",AV33))),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IF(AND(INDIRECT("'盛付札（関数）'!AE"&amp;AT33)&gt;=247,INDIRECT("'盛付札（関数）'!AE"&amp;AT33)&lt;=261),"","先生"))),"")</f>
        <v/>
      </c>
      <c r="AZ35" s="37"/>
      <c r="BA35" s="33"/>
      <c r="BB35" s="31"/>
      <c r="BC35" s="212" t="str">
        <f t="array" aca="1" ref="BC35" ca="1">IF(AND(BC33&lt;&gt;"",ISERROR(FIND("社食",BC33)),ISERROR(FIND("先生",BC33)),ISERROR(FIND("学童",BC34))),
IF(BC36&lt;&gt;"",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IF(AND(INDIRECT("'盛付札（関数）'!AE"&amp;BA33)&gt;=247,INDIRECT("'盛付札（関数）'!AE"&amp;BA33)&lt;=261),"先生","園児"))),""),"")</f>
        <v/>
      </c>
      <c r="BD35" s="213"/>
      <c r="BE35" s="22"/>
      <c r="BF35" s="135" t="str">
        <f t="array" aca="1" ref="BF35" ca="1">IF(AND(BC33&lt;&gt;"",ISERROR(FIND("社食",BC33)),ISERROR(FIND("先生",BC33))),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IF(AND(INDIRECT("'盛付札（関数）'!AE"&amp;BA33)&gt;=247,INDIRECT("'盛付札（関数）'!AE"&amp;BA33)&lt;=261),"","先生"))),"")</f>
        <v/>
      </c>
      <c r="BG35" s="37"/>
      <c r="BH35" s="22"/>
      <c r="BI35" s="30"/>
      <c r="BJ35" s="31"/>
      <c r="BK35" s="212" t="str">
        <f t="array" aca="1" ref="BK35" ca="1">IF(AND(BK33&lt;&gt;"",ISERROR(FIND("社食",BK33)),ISERROR(FIND("先生",BK33)),ISERROR(FIND("学童",BK34))),
IF(BK36&lt;&gt;"",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IF(AND(INDIRECT("'盛付札（関数）'!AE"&amp;BI33)&gt;=247,INDIRECT("'盛付札（関数）'!AE"&amp;BI33)&lt;=261),"先生","園児"))),""),"")</f>
        <v/>
      </c>
      <c r="BL35" s="213"/>
      <c r="BM35" s="22"/>
      <c r="BN35" s="135" t="str">
        <f t="array" aca="1" ref="BN35" ca="1">IF(AND(BK33&lt;&gt;"",ISERROR(FIND("社食",BK33)),ISERROR(FIND("先生",BK33))),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IF(AND(INDIRECT("'盛付札（関数）'!AE"&amp;BI33)&gt;=247,INDIRECT("'盛付札（関数）'!AE"&amp;BI33)&lt;=261),"","先生"))),"")</f>
        <v/>
      </c>
      <c r="BO35" s="37"/>
      <c r="BP35" s="33"/>
      <c r="BQ35" s="31"/>
      <c r="BR35" s="212" t="str">
        <f t="array" aca="1" ref="BR35" ca="1">IF(AND(BR33&lt;&gt;"",ISERROR(FIND("社食",BR33)),ISERROR(FIND("先生",BR33)),ISERROR(FIND("学童",BR34))),
IF(BR36&lt;&gt;"",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IF(AND(INDIRECT("'盛付札（関数）'!AE"&amp;BP33)&gt;=247,INDIRECT("'盛付札（関数）'!AE"&amp;BP33)&lt;=261),"先生","園児"))),""),"")</f>
        <v/>
      </c>
      <c r="BS35" s="213"/>
      <c r="BT35" s="22"/>
      <c r="BU35" s="135" t="str">
        <f t="array" aca="1" ref="BU35" ca="1">IF(AND(BR33&lt;&gt;"",ISERROR(FIND("社食",BR33)),ISERROR(FIND("先生",BR33))),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IF(AND(INDIRECT("'盛付札（関数）'!AE"&amp;BP33)&gt;=247,INDIRECT("'盛付札（関数）'!AE"&amp;BP33)&lt;=261),"","先生"))),"")</f>
        <v/>
      </c>
      <c r="BV35" s="37"/>
      <c r="BW35" s="22"/>
      <c r="BX35" s="30"/>
      <c r="BY35" s="31"/>
      <c r="BZ35" s="212" t="str">
        <f t="array" aca="1" ref="BZ35" ca="1">IF(AND(BZ33&lt;&gt;"",ISERROR(FIND("社食",BZ33)),ISERROR(FIND("先生",BZ33)),ISERROR(FIND("学童",BZ34))),
IF(BZ36&lt;&gt;"",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IF(AND(INDIRECT("'盛付札（関数）'!AE"&amp;BX33)&gt;=247,INDIRECT("'盛付札（関数）'!AE"&amp;BX33)&lt;=261),"先生","園児"))),""),"")</f>
        <v/>
      </c>
      <c r="CA35" s="213"/>
      <c r="CB35" s="22"/>
      <c r="CC35" s="135" t="str">
        <f t="array" aca="1" ref="CC35" ca="1">IF(AND(BZ33&lt;&gt;"",ISERROR(FIND("社食",BZ33)),ISERROR(FIND("先生",BZ33))),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IF(AND(INDIRECT("'盛付札（関数）'!AE"&amp;BX33)&gt;=247,INDIRECT("'盛付札（関数）'!AE"&amp;BX33)&lt;=261),"","先生"))),"")</f>
        <v/>
      </c>
      <c r="CD35" s="37"/>
      <c r="CE35" s="33"/>
      <c r="CF35" s="31"/>
      <c r="CG35" s="212" t="str">
        <f t="array" aca="1" ref="CG35" ca="1">IF(AND(CG33&lt;&gt;"",ISERROR(FIND("社食",CG33)),ISERROR(FIND("先生",CG33)),ISERROR(FIND("学童",CG34))),
IF(CG36&lt;&gt;"",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IF(AND(INDIRECT("'盛付札（関数）'!AE"&amp;CE33)&gt;=247,INDIRECT("'盛付札（関数）'!AE"&amp;CE33)&lt;=261),"先生","園児"))),""),"")</f>
        <v/>
      </c>
      <c r="CH35" s="213"/>
      <c r="CI35" s="22"/>
      <c r="CJ35" s="135" t="str">
        <f t="array" aca="1" ref="CJ35" ca="1">IF(AND(CG33&lt;&gt;"",ISERROR(FIND("社食",CG33)),ISERROR(FIND("先生",CG33))),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IF(AND(INDIRECT("'盛付札（関数）'!AE"&amp;CE33)&gt;=247,INDIRECT("'盛付札（関数）'!AE"&amp;CE33)&lt;=261),"","先生"))),"")</f>
        <v/>
      </c>
      <c r="CK35" s="37"/>
      <c r="CL35" s="22"/>
      <c r="CM35" s="30"/>
      <c r="CN35" s="31"/>
      <c r="CO35" s="212" t="str">
        <f t="array" aca="1" ref="CO35" ca="1">IF(AND(CO33&lt;&gt;"",ISERROR(FIND("社食",CO33)),ISERROR(FIND("先生",CO33)),ISERROR(FIND("学童",CO34))),
IF(CO36&lt;&gt;"",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IF(AND(INDIRECT("'盛付札（関数）'!AE"&amp;CM33)&gt;=247,INDIRECT("'盛付札（関数）'!AE"&amp;CM33)&lt;=261),"先生","園児"))),""),"")</f>
        <v/>
      </c>
      <c r="CP35" s="213"/>
      <c r="CQ35" s="22"/>
      <c r="CR35" s="135" t="str">
        <f t="array" aca="1" ref="CR35" ca="1">IF(AND(CO33&lt;&gt;"",ISERROR(FIND("社食",CO33)),ISERROR(FIND("先生",CO33))),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IF(AND(INDIRECT("'盛付札（関数）'!AE"&amp;CM33)&gt;=247,INDIRECT("'盛付札（関数）'!AE"&amp;CM33)&lt;=261),"","先生"))),"")</f>
        <v/>
      </c>
      <c r="CS35" s="37"/>
      <c r="CT35" s="33"/>
      <c r="CU35" s="31"/>
      <c r="CV35" s="212" t="str">
        <f t="array" aca="1" ref="CV35" ca="1">IF(AND(CV33&lt;&gt;"",ISERROR(FIND("社食",CV33)),ISERROR(FIND("先生",CV33)),ISERROR(FIND("学童",CV34))),
IF(CV36&lt;&gt;"",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IF(AND(INDIRECT("'盛付札（関数）'!AE"&amp;CT33)&gt;=247,INDIRECT("'盛付札（関数）'!AE"&amp;CT33)&lt;=261),"先生","園児"))),""),"")</f>
        <v/>
      </c>
      <c r="CW35" s="213"/>
      <c r="CX35" s="22"/>
      <c r="CY35" s="135" t="str">
        <f t="array" aca="1" ref="CY35" ca="1">IF(AND(CV33&lt;&gt;"",ISERROR(FIND("社食",CV33)),ISERROR(FIND("先生",CV33))),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IF(AND(INDIRECT("'盛付札（関数）'!AE"&amp;CT33)&gt;=247,INDIRECT("'盛付札（関数）'!AE"&amp;CT33)&lt;=261),"","先生"))),"")</f>
        <v/>
      </c>
      <c r="CZ35" s="37"/>
      <c r="DA35" s="22"/>
      <c r="DB35" s="30"/>
      <c r="DC35" s="31"/>
      <c r="DD35" s="212" t="str">
        <f t="array" aca="1" ref="DD35" ca="1">IF(AND(DD33&lt;&gt;"",ISERROR(FIND("社食",DD33)),ISERROR(FIND("先生",DD33)),ISERROR(FIND("学童",DD34))),
IF(DD36&lt;&gt;"",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IF(AND(INDIRECT("'盛付札（関数）'!AE"&amp;DB33)&gt;=247,INDIRECT("'盛付札（関数）'!AE"&amp;DB33)&lt;=261),"先生","園児"))),""),"")</f>
        <v/>
      </c>
      <c r="DE35" s="213"/>
      <c r="DF35" s="22"/>
      <c r="DG35" s="135" t="str">
        <f t="array" aca="1" ref="DG35" ca="1">IF(AND(DD33&lt;&gt;"",ISERROR(FIND("社食",DD33)),ISERROR(FIND("先生",DD33))),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IF(AND(INDIRECT("'盛付札（関数）'!AE"&amp;DB33)&gt;=247,INDIRECT("'盛付札（関数）'!AE"&amp;DB33)&lt;=261),"","先生"))),"")</f>
        <v/>
      </c>
      <c r="DH35" s="37"/>
      <c r="DI35" s="33"/>
      <c r="DJ35" s="31"/>
      <c r="DK35" s="212" t="str">
        <f t="array" aca="1" ref="DK35" ca="1">IF(AND(DK33&lt;&gt;"",ISERROR(FIND("社食",DK33)),ISERROR(FIND("先生",DK33)),ISERROR(FIND("学童",DK34))),
IF(DK36&lt;&gt;"",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IF(AND(INDIRECT("'盛付札（関数）'!AE"&amp;DI33)&gt;=247,INDIRECT("'盛付札（関数）'!AE"&amp;DI33)&lt;=261),"先生","園児"))),""),"")</f>
        <v/>
      </c>
      <c r="DL35" s="213"/>
      <c r="DM35" s="22"/>
      <c r="DN35" s="135" t="str">
        <f t="array" aca="1" ref="DN35" ca="1">IF(AND(DK33&lt;&gt;"",ISERROR(FIND("社食",DK33)),ISERROR(FIND("先生",DK33))),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IF(AND(INDIRECT("'盛付札（関数）'!AE"&amp;DI33)&gt;=247,INDIRECT("'盛付札（関数）'!AE"&amp;DI33)&lt;=261),"","先生"))),"")</f>
        <v/>
      </c>
      <c r="DO35" s="37"/>
      <c r="DP35" s="22"/>
      <c r="DQ35" s="30"/>
      <c r="DR35" s="31"/>
      <c r="DS35" s="212" t="str">
        <f t="array" aca="1" ref="DS35" ca="1">IF(AND(DS33&lt;&gt;"",ISERROR(FIND("社食",DS33)),ISERROR(FIND("先生",DS33)),ISERROR(FIND("学童",DS34))),
IF(DS36&lt;&gt;"",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IF(AND(INDIRECT("'盛付札（関数）'!AE"&amp;DQ33)&gt;=247,INDIRECT("'盛付札（関数）'!AE"&amp;DQ33)&lt;=261),"先生","園児"))),""),"")</f>
        <v/>
      </c>
      <c r="DT35" s="213"/>
      <c r="DU35" s="22"/>
      <c r="DV35" s="135" t="str">
        <f t="array" aca="1" ref="DV35" ca="1">IF(AND(DS33&lt;&gt;"",ISERROR(FIND("社食",DS33)),ISERROR(FIND("先生",DS33))),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IF(AND(INDIRECT("'盛付札（関数）'!AE"&amp;DQ33)&gt;=247,INDIRECT("'盛付札（関数）'!AE"&amp;DQ33)&lt;=261),"","先生"))),"")</f>
        <v/>
      </c>
      <c r="DW35" s="37"/>
      <c r="DX35" s="33"/>
      <c r="DY35" s="31"/>
      <c r="DZ35" s="212" t="str">
        <f t="array" aca="1" ref="DZ35" ca="1">IF(AND(DZ33&lt;&gt;"",ISERROR(FIND("社食",DZ33)),ISERROR(FIND("先生",DZ33)),ISERROR(FIND("学童",DZ34))),
IF(DZ36&lt;&gt;"",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IF(AND(INDIRECT("'盛付札（関数）'!AE"&amp;DX33)&gt;=247,INDIRECT("'盛付札（関数）'!AE"&amp;DX33)&lt;=261),"先生","園児"))),""),"")</f>
        <v/>
      </c>
      <c r="EA35" s="213"/>
      <c r="EB35" s="22"/>
      <c r="EC35" s="135" t="str">
        <f t="array" aca="1" ref="EC35" ca="1">IF(AND(DZ33&lt;&gt;"",ISERROR(FIND("社食",DZ33)),ISERROR(FIND("先生",DZ33))),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IF(AND(INDIRECT("'盛付札（関数）'!AE"&amp;DX33)&gt;=247,INDIRECT("'盛付札（関数）'!AE"&amp;DX33)&lt;=261),"","先生"))),"")</f>
        <v/>
      </c>
      <c r="ED35" s="37"/>
      <c r="EE35" s="22"/>
      <c r="EF35" s="30"/>
      <c r="EG35" s="31"/>
      <c r="EH35" s="212" t="str">
        <f t="array" aca="1" ref="EH35" ca="1">IF(AND(EH33&lt;&gt;"",ISERROR(FIND("社食",EH33)),ISERROR(FIND("先生",EH33)),ISERROR(FIND("学童",EH34))),
IF(EH36&lt;&gt;"",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IF(AND(INDIRECT("'盛付札（関数）'!AE"&amp;EF33)&gt;=247,INDIRECT("'盛付札（関数）'!AE"&amp;EF33)&lt;=261),"先生","園児"))),""),"")</f>
        <v/>
      </c>
      <c r="EI35" s="213"/>
      <c r="EJ35" s="22"/>
      <c r="EK35" s="135" t="str">
        <f t="array" aca="1" ref="EK35" ca="1">IF(AND(EH33&lt;&gt;"",ISERROR(FIND("社食",EH33)),ISERROR(FIND("先生",EH33))),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IF(AND(INDIRECT("'盛付札（関数）'!AE"&amp;EF33)&gt;=247,INDIRECT("'盛付札（関数）'!AE"&amp;EF33)&lt;=261),"","先生"))),"")</f>
        <v/>
      </c>
      <c r="EL35" s="37"/>
      <c r="EM35" s="33"/>
      <c r="EN35" s="31"/>
      <c r="EO35" s="212" t="str">
        <f t="array" aca="1" ref="EO35" ca="1">IF(AND(EO33&lt;&gt;"",ISERROR(FIND("社食",EO33)),ISERROR(FIND("先生",EO33)),ISERROR(FIND("学童",EO34))),
IF(EO36&lt;&gt;"",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IF(AND(INDIRECT("'盛付札（関数）'!AE"&amp;EM33)&gt;=247,INDIRECT("'盛付札（関数）'!AE"&amp;EM33)&lt;=261),"先生","園児"))),""),"")</f>
        <v/>
      </c>
      <c r="EP35" s="213"/>
      <c r="EQ35" s="22"/>
      <c r="ER35" s="135" t="str">
        <f t="array" aca="1" ref="ER35" ca="1">IF(AND(EO33&lt;&gt;"",ISERROR(FIND("社食",EO33)),ISERROR(FIND("先生",EO33))),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IF(AND(INDIRECT("'盛付札（関数）'!AE"&amp;EM33)&gt;=247,INDIRECT("'盛付札（関数）'!AE"&amp;EM33)&lt;=261),"","先生"))),"")</f>
        <v/>
      </c>
      <c r="ES35" s="37"/>
      <c r="ET35" s="22"/>
    </row>
    <row r="36" spans="1:150" ht="15.6" customHeight="1">
      <c r="B36" s="25"/>
      <c r="C36" s="210" t="str">
        <f t="array" aca="1" ref="C36" ca="1">IF(C33&lt;&gt;"",INDIRECT("'盛付札（関数）'!AJ"&amp;A33),"")</f>
        <v/>
      </c>
      <c r="D36" s="211"/>
      <c r="E36" s="44"/>
      <c r="F36" s="206" t="str">
        <f t="array" aca="1" ref="F36" ca="1">IF(C33&lt;&gt;"",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INDIRECT("'盛付札（関数）'!AK"&amp;A33))),"")</f>
        <v/>
      </c>
      <c r="G36" s="207"/>
      <c r="H36" s="26"/>
      <c r="I36" s="25"/>
      <c r="J36" s="210" t="str">
        <f t="array" aca="1" ref="J36" ca="1">IF(J33&lt;&gt;"",INDIRECT("'盛付札（関数）'!AJ"&amp;H33),"")</f>
        <v/>
      </c>
      <c r="K36" s="211"/>
      <c r="L36" s="44"/>
      <c r="M36" s="206" t="str">
        <f t="array" aca="1" ref="M36" ca="1">IF(J33&lt;&gt;"",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INDIRECT("'盛付札（関数）'!AK"&amp;H33))),"")</f>
        <v/>
      </c>
      <c r="N36" s="207"/>
      <c r="Q36" s="25"/>
      <c r="R36" s="210" t="str">
        <f t="array" aca="1" ref="R36" ca="1">IF(R33&lt;&gt;"",INDIRECT("'盛付札（関数）'!AJ"&amp;P33),"")</f>
        <v/>
      </c>
      <c r="S36" s="211"/>
      <c r="T36" s="44"/>
      <c r="U36" s="206" t="str">
        <f t="array" aca="1" ref="U36" ca="1">IF(R33&lt;&gt;"",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INDIRECT("'盛付札（関数）'!AK"&amp;P33))),"")</f>
        <v/>
      </c>
      <c r="V36" s="207"/>
      <c r="W36" s="26"/>
      <c r="X36" s="25"/>
      <c r="Y36" s="210" t="str">
        <f t="array" aca="1" ref="Y36" ca="1">IF(Y33&lt;&gt;"",INDIRECT("'盛付札（関数）'!AJ"&amp;W33),"")</f>
        <v/>
      </c>
      <c r="Z36" s="211"/>
      <c r="AA36" s="44"/>
      <c r="AB36" s="206" t="str">
        <f t="array" aca="1" ref="AB36" ca="1">IF(Y33&lt;&gt;"",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INDIRECT("'盛付札（関数）'!AK"&amp;W33))),"")</f>
        <v/>
      </c>
      <c r="AC36" s="207"/>
      <c r="AF36" s="25"/>
      <c r="AG36" s="210" t="str">
        <f t="array" aca="1" ref="AG36" ca="1">IF(AG33&lt;&gt;"",INDIRECT("'盛付札（関数）'!AJ"&amp;AE33),"")</f>
        <v/>
      </c>
      <c r="AH36" s="211"/>
      <c r="AI36" s="44"/>
      <c r="AJ36" s="206" t="str">
        <f t="array" aca="1" ref="AJ36" ca="1">IF(AG33&lt;&gt;"",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INDIRECT("'盛付札（関数）'!AK"&amp;AE33))),"")</f>
        <v/>
      </c>
      <c r="AK36" s="207"/>
      <c r="AL36" s="26"/>
      <c r="AM36" s="25"/>
      <c r="AN36" s="210" t="str">
        <f t="array" aca="1" ref="AN36" ca="1">IF(AN33&lt;&gt;"",INDIRECT("'盛付札（関数）'!AJ"&amp;AL33),"")</f>
        <v/>
      </c>
      <c r="AO36" s="211"/>
      <c r="AP36" s="44"/>
      <c r="AQ36" s="206" t="str">
        <f t="array" aca="1" ref="AQ36" ca="1">IF(AN33&lt;&gt;"",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INDIRECT("'盛付札（関数）'!AK"&amp;AL33))),"")</f>
        <v/>
      </c>
      <c r="AR36" s="207"/>
      <c r="AU36" s="25"/>
      <c r="AV36" s="210" t="str">
        <f t="array" aca="1" ref="AV36" ca="1">IF(AV33&lt;&gt;"",INDIRECT("'盛付札（関数）'!AJ"&amp;AT33),"")</f>
        <v/>
      </c>
      <c r="AW36" s="211"/>
      <c r="AX36" s="44"/>
      <c r="AY36" s="206" t="str">
        <f t="array" aca="1" ref="AY36" ca="1">IF(AV33&lt;&gt;"",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INDIRECT("'盛付札（関数）'!AK"&amp;AT33))),"")</f>
        <v/>
      </c>
      <c r="AZ36" s="207"/>
      <c r="BA36" s="26"/>
      <c r="BB36" s="25"/>
      <c r="BC36" s="210" t="str">
        <f t="array" aca="1" ref="BC36" ca="1">IF(BC33&lt;&gt;"",INDIRECT("'盛付札（関数）'!AJ"&amp;BA33),"")</f>
        <v/>
      </c>
      <c r="BD36" s="211"/>
      <c r="BE36" s="44"/>
      <c r="BF36" s="206" t="str">
        <f t="array" aca="1" ref="BF36" ca="1">IF(BC33&lt;&gt;"",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INDIRECT("'盛付札（関数）'!AK"&amp;BA33))),"")</f>
        <v/>
      </c>
      <c r="BG36" s="207"/>
      <c r="BJ36" s="25"/>
      <c r="BK36" s="210" t="str">
        <f t="array" aca="1" ref="BK36" ca="1">IF(BK33&lt;&gt;"",INDIRECT("'盛付札（関数）'!AJ"&amp;BI33),"")</f>
        <v/>
      </c>
      <c r="BL36" s="211"/>
      <c r="BM36" s="44"/>
      <c r="BN36" s="206" t="str">
        <f t="array" aca="1" ref="BN36" ca="1">IF(BK33&lt;&gt;"",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INDIRECT("'盛付札（関数）'!AK"&amp;BI33))),"")</f>
        <v/>
      </c>
      <c r="BO36" s="207"/>
      <c r="BP36" s="26"/>
      <c r="BQ36" s="25"/>
      <c r="BR36" s="210" t="str">
        <f t="array" aca="1" ref="BR36" ca="1">IF(BR33&lt;&gt;"",INDIRECT("'盛付札（関数）'!AJ"&amp;BP33),"")</f>
        <v/>
      </c>
      <c r="BS36" s="211"/>
      <c r="BT36" s="44"/>
      <c r="BU36" s="206" t="str">
        <f t="array" aca="1" ref="BU36" ca="1">IF(BR33&lt;&gt;"",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INDIRECT("'盛付札（関数）'!AK"&amp;BP33))),"")</f>
        <v/>
      </c>
      <c r="BV36" s="207"/>
      <c r="BY36" s="25"/>
      <c r="BZ36" s="210" t="str">
        <f t="array" aca="1" ref="BZ36" ca="1">IF(BZ33&lt;&gt;"",INDIRECT("'盛付札（関数）'!AJ"&amp;BX33),"")</f>
        <v/>
      </c>
      <c r="CA36" s="211"/>
      <c r="CB36" s="44"/>
      <c r="CC36" s="206" t="str">
        <f t="array" aca="1" ref="CC36" ca="1">IF(BZ33&lt;&gt;"",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INDIRECT("'盛付札（関数）'!AK"&amp;BX33))),"")</f>
        <v/>
      </c>
      <c r="CD36" s="207"/>
      <c r="CE36" s="26"/>
      <c r="CF36" s="25"/>
      <c r="CG36" s="210" t="str">
        <f t="array" aca="1" ref="CG36" ca="1">IF(CG33&lt;&gt;"",INDIRECT("'盛付札（関数）'!AJ"&amp;CE33),"")</f>
        <v/>
      </c>
      <c r="CH36" s="211"/>
      <c r="CI36" s="44"/>
      <c r="CJ36" s="206" t="str">
        <f t="array" aca="1" ref="CJ36" ca="1">IF(CG33&lt;&gt;"",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INDIRECT("'盛付札（関数）'!AK"&amp;CE33))),"")</f>
        <v/>
      </c>
      <c r="CK36" s="207"/>
      <c r="CN36" s="25"/>
      <c r="CO36" s="210" t="str">
        <f t="array" aca="1" ref="CO36" ca="1">IF(CO33&lt;&gt;"",INDIRECT("'盛付札（関数）'!AJ"&amp;CM33),"")</f>
        <v/>
      </c>
      <c r="CP36" s="211"/>
      <c r="CQ36" s="44"/>
      <c r="CR36" s="206" t="str">
        <f t="array" aca="1" ref="CR36" ca="1">IF(CO33&lt;&gt;"",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INDIRECT("'盛付札（関数）'!AK"&amp;CM33))),"")</f>
        <v/>
      </c>
      <c r="CS36" s="207"/>
      <c r="CT36" s="26"/>
      <c r="CU36" s="25"/>
      <c r="CV36" s="210" t="str">
        <f t="array" aca="1" ref="CV36" ca="1">IF(CV33&lt;&gt;"",INDIRECT("'盛付札（関数）'!AJ"&amp;CT33),"")</f>
        <v/>
      </c>
      <c r="CW36" s="211"/>
      <c r="CX36" s="44"/>
      <c r="CY36" s="206" t="str">
        <f t="array" aca="1" ref="CY36" ca="1">IF(CV33&lt;&gt;"",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INDIRECT("'盛付札（関数）'!AK"&amp;CT33))),"")</f>
        <v/>
      </c>
      <c r="CZ36" s="207"/>
      <c r="DC36" s="25"/>
      <c r="DD36" s="210" t="str">
        <f t="array" aca="1" ref="DD36" ca="1">IF(DD33&lt;&gt;"",INDIRECT("'盛付札（関数）'!AJ"&amp;DB33),"")</f>
        <v/>
      </c>
      <c r="DE36" s="211"/>
      <c r="DF36" s="44"/>
      <c r="DG36" s="206" t="str">
        <f t="array" aca="1" ref="DG36" ca="1">IF(DD33&lt;&gt;"",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INDIRECT("'盛付札（関数）'!AK"&amp;DB33))),"")</f>
        <v/>
      </c>
      <c r="DH36" s="207"/>
      <c r="DI36" s="26"/>
      <c r="DJ36" s="25"/>
      <c r="DK36" s="210" t="str">
        <f t="array" aca="1" ref="DK36" ca="1">IF(DK33&lt;&gt;"",INDIRECT("'盛付札（関数）'!AJ"&amp;DI33),"")</f>
        <v/>
      </c>
      <c r="DL36" s="211"/>
      <c r="DM36" s="44"/>
      <c r="DN36" s="206" t="str">
        <f t="array" aca="1" ref="DN36" ca="1">IF(DK33&lt;&gt;"",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INDIRECT("'盛付札（関数）'!AK"&amp;DI33))),"")</f>
        <v/>
      </c>
      <c r="DO36" s="207"/>
      <c r="DR36" s="25"/>
      <c r="DS36" s="210" t="str">
        <f t="array" aca="1" ref="DS36" ca="1">IF(DS33&lt;&gt;"",INDIRECT("'盛付札（関数）'!AJ"&amp;DQ33),"")</f>
        <v/>
      </c>
      <c r="DT36" s="211"/>
      <c r="DU36" s="44"/>
      <c r="DV36" s="206" t="str">
        <f t="array" aca="1" ref="DV36" ca="1">IF(DS33&lt;&gt;"",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INDIRECT("'盛付札（関数）'!AK"&amp;DQ33))),"")</f>
        <v/>
      </c>
      <c r="DW36" s="207"/>
      <c r="DX36" s="26"/>
      <c r="DY36" s="25"/>
      <c r="DZ36" s="210" t="str">
        <f t="array" aca="1" ref="DZ36" ca="1">IF(DZ33&lt;&gt;"",INDIRECT("'盛付札（関数）'!AJ"&amp;DX33),"")</f>
        <v/>
      </c>
      <c r="EA36" s="211"/>
      <c r="EB36" s="44"/>
      <c r="EC36" s="206" t="str">
        <f t="array" aca="1" ref="EC36" ca="1">IF(DZ33&lt;&gt;"",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INDIRECT("'盛付札（関数）'!AK"&amp;DX33))),"")</f>
        <v/>
      </c>
      <c r="ED36" s="207"/>
      <c r="EG36" s="25"/>
      <c r="EH36" s="210" t="str">
        <f t="array" aca="1" ref="EH36" ca="1">IF(EH33&lt;&gt;"",INDIRECT("'盛付札（関数）'!AJ"&amp;EF33),"")</f>
        <v/>
      </c>
      <c r="EI36" s="211"/>
      <c r="EJ36" s="44"/>
      <c r="EK36" s="206" t="str">
        <f t="array" aca="1" ref="EK36" ca="1">IF(EH33&lt;&gt;"",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INDIRECT("'盛付札（関数）'!AK"&amp;EF33))),"")</f>
        <v/>
      </c>
      <c r="EL36" s="207"/>
      <c r="EM36" s="26"/>
      <c r="EN36" s="25"/>
      <c r="EO36" s="210" t="str">
        <f t="array" aca="1" ref="EO36" ca="1">IF(EO33&lt;&gt;"",INDIRECT("'盛付札（関数）'!AJ"&amp;EM33),"")</f>
        <v/>
      </c>
      <c r="EP36" s="211"/>
      <c r="EQ36" s="44"/>
      <c r="ER36" s="206" t="str">
        <f t="array" aca="1" ref="ER36" ca="1">IF(EO33&lt;&gt;"",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INDIRECT("'盛付札（関数）'!AK"&amp;EM33))),"")</f>
        <v/>
      </c>
      <c r="ES36" s="207"/>
    </row>
    <row r="37" spans="1:150" ht="15.6" customHeight="1">
      <c r="B37" s="27"/>
      <c r="C37" s="208"/>
      <c r="D37" s="208"/>
      <c r="E37" s="179"/>
      <c r="F37" s="208"/>
      <c r="G37" s="209"/>
      <c r="H37" s="26"/>
      <c r="I37" s="27"/>
      <c r="J37" s="208"/>
      <c r="K37" s="208"/>
      <c r="L37" s="179"/>
      <c r="M37" s="208"/>
      <c r="N37" s="209"/>
      <c r="Q37" s="27"/>
      <c r="R37" s="208"/>
      <c r="S37" s="208"/>
      <c r="T37" s="179"/>
      <c r="U37" s="208"/>
      <c r="V37" s="209"/>
      <c r="W37" s="26"/>
      <c r="X37" s="27"/>
      <c r="Y37" s="208"/>
      <c r="Z37" s="208"/>
      <c r="AA37" s="179"/>
      <c r="AB37" s="208"/>
      <c r="AC37" s="209"/>
      <c r="AF37" s="27"/>
      <c r="AG37" s="208"/>
      <c r="AH37" s="208"/>
      <c r="AI37" s="179"/>
      <c r="AJ37" s="208"/>
      <c r="AK37" s="209"/>
      <c r="AL37" s="26"/>
      <c r="AM37" s="27"/>
      <c r="AN37" s="208"/>
      <c r="AO37" s="208"/>
      <c r="AP37" s="179"/>
      <c r="AQ37" s="208"/>
      <c r="AR37" s="209"/>
      <c r="AU37" s="27"/>
      <c r="AV37" s="208"/>
      <c r="AW37" s="208"/>
      <c r="AX37" s="179"/>
      <c r="AY37" s="208"/>
      <c r="AZ37" s="209"/>
      <c r="BA37" s="26"/>
      <c r="BB37" s="27"/>
      <c r="BC37" s="208"/>
      <c r="BD37" s="208"/>
      <c r="BE37" s="179"/>
      <c r="BF37" s="208"/>
      <c r="BG37" s="209"/>
      <c r="BJ37" s="27"/>
      <c r="BK37" s="208"/>
      <c r="BL37" s="208"/>
      <c r="BM37" s="179"/>
      <c r="BN37" s="208"/>
      <c r="BO37" s="209"/>
      <c r="BP37" s="26"/>
      <c r="BQ37" s="27"/>
      <c r="BR37" s="208"/>
      <c r="BS37" s="208"/>
      <c r="BT37" s="179"/>
      <c r="BU37" s="208"/>
      <c r="BV37" s="209"/>
      <c r="BY37" s="27"/>
      <c r="BZ37" s="208"/>
      <c r="CA37" s="208"/>
      <c r="CB37" s="179"/>
      <c r="CC37" s="208"/>
      <c r="CD37" s="209"/>
      <c r="CE37" s="26"/>
      <c r="CF37" s="27"/>
      <c r="CG37" s="208"/>
      <c r="CH37" s="208"/>
      <c r="CI37" s="179"/>
      <c r="CJ37" s="208"/>
      <c r="CK37" s="209"/>
      <c r="CN37" s="27"/>
      <c r="CO37" s="208"/>
      <c r="CP37" s="208"/>
      <c r="CQ37" s="179"/>
      <c r="CR37" s="208"/>
      <c r="CS37" s="209"/>
      <c r="CT37" s="26"/>
      <c r="CU37" s="27"/>
      <c r="CV37" s="208"/>
      <c r="CW37" s="208"/>
      <c r="CX37" s="179"/>
      <c r="CY37" s="208"/>
      <c r="CZ37" s="209"/>
      <c r="DC37" s="27"/>
      <c r="DD37" s="208"/>
      <c r="DE37" s="208"/>
      <c r="DF37" s="179"/>
      <c r="DG37" s="208"/>
      <c r="DH37" s="209"/>
      <c r="DI37" s="26"/>
      <c r="DJ37" s="27"/>
      <c r="DK37" s="208"/>
      <c r="DL37" s="208"/>
      <c r="DM37" s="179"/>
      <c r="DN37" s="208"/>
      <c r="DO37" s="209"/>
      <c r="DR37" s="27"/>
      <c r="DS37" s="208"/>
      <c r="DT37" s="208"/>
      <c r="DU37" s="179"/>
      <c r="DV37" s="208"/>
      <c r="DW37" s="209"/>
      <c r="DX37" s="26"/>
      <c r="DY37" s="27"/>
      <c r="DZ37" s="208"/>
      <c r="EA37" s="208"/>
      <c r="EB37" s="179"/>
      <c r="EC37" s="208"/>
      <c r="ED37" s="209"/>
      <c r="EG37" s="27"/>
      <c r="EH37" s="208"/>
      <c r="EI37" s="208"/>
      <c r="EJ37" s="179"/>
      <c r="EK37" s="208"/>
      <c r="EL37" s="209"/>
      <c r="EM37" s="26"/>
      <c r="EN37" s="27"/>
      <c r="EO37" s="208"/>
      <c r="EP37" s="208"/>
      <c r="EQ37" s="179"/>
      <c r="ER37" s="208"/>
      <c r="ES37" s="209"/>
    </row>
    <row r="38" spans="1:150" s="181" customFormat="1">
      <c r="A38" s="30"/>
      <c r="B38" s="34" t="str">
        <f t="array" aca="1" ref="B38" ca="1">IF(AND(C33&lt;&gt;"",C33&lt;&gt;"社食"),
IF(OR(INDIRECT("'盛付札（関数）'!AE"&amp;A33)=211,INDIRECT("'盛付札（関数）'!AE"&amp;A33)=212,INDIRECT("'盛付札（関数）'!AE"&amp;A33)=213),"",
"パン箱"),"")</f>
        <v/>
      </c>
      <c r="C38" s="32" t="str">
        <f t="array" aca="1" ref="C38" ca="1">IF(AND(C33&lt;&gt;"",C33&lt;&gt;"社食"),
IF(OR(INDIRECT("'盛付札（関数）'!AE"&amp;A33)=211,INDIRECT("'盛付札（関数）'!AE"&amp;A33)=212,INDIRECT("'盛付札（関数）'!AE"&amp;A33)=213),"",
INDIRECT("'盛付札（関数）'!AL"&amp;A33)),"")</f>
        <v/>
      </c>
      <c r="D38" s="34" t="str">
        <f t="array" aca="1" ref="D38" ca="1">IF(AND(C33&lt;&gt;"",C33&lt;&gt;"社食"),
IF(OR(INDIRECT("'盛付札（関数）'!AE"&amp;A33)=211,INDIRECT("'盛付札（関数）'!AE"&amp;A33)=212,INDIRECT("'盛付札（関数）'!AE"&amp;A33)=213),"",
"端数"),"")</f>
        <v/>
      </c>
      <c r="E38" s="32"/>
      <c r="F38" s="34" t="str">
        <f t="array" aca="1" ref="F38" ca="1">IF(AND(C33&lt;&gt;"",C33&lt;&gt;"社食"),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"アレルギー")),"")</f>
        <v/>
      </c>
      <c r="G38" s="37"/>
      <c r="H38" s="22"/>
      <c r="I38" s="34" t="str">
        <f t="array" aca="1" ref="I38" ca="1">IF(AND(J33&lt;&gt;"",J33&lt;&gt;"社食"),
IF(OR(INDIRECT("'盛付札（関数）'!AE"&amp;H33)=211,INDIRECT("'盛付札（関数）'!AE"&amp;H33)=212,INDIRECT("'盛付札（関数）'!AE"&amp;H33)=213),"",
"パン箱"),"")</f>
        <v/>
      </c>
      <c r="J38" s="32" t="str">
        <f t="array" aca="1" ref="J38" ca="1">IF(AND(J33&lt;&gt;"",J33&lt;&gt;"社食"),
IF(OR(INDIRECT("'盛付札（関数）'!AE"&amp;H33)=211,INDIRECT("'盛付札（関数）'!AE"&amp;H33)=212,INDIRECT("'盛付札（関数）'!AE"&amp;H33)=213),"",
INDIRECT("'盛付札（関数）'!AL"&amp;H33)),"")</f>
        <v/>
      </c>
      <c r="K38" s="34" t="str">
        <f t="array" aca="1" ref="K38" ca="1">IF(AND(J33&lt;&gt;"",J33&lt;&gt;"社食"),
IF(OR(INDIRECT("'盛付札（関数）'!AE"&amp;H33)=211,INDIRECT("'盛付札（関数）'!AE"&amp;H33)=212,INDIRECT("'盛付札（関数）'!AE"&amp;H33)=213),"",
"端数"),"")</f>
        <v/>
      </c>
      <c r="L38" s="32"/>
      <c r="M38" s="34" t="str">
        <f t="array" aca="1" ref="M38" ca="1">IF(AND(J33&lt;&gt;"",J33&lt;&gt;"社食"),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"アレルギー")),"")</f>
        <v/>
      </c>
      <c r="N38" s="37"/>
      <c r="O38" s="22"/>
      <c r="P38" s="30"/>
      <c r="Q38" s="34" t="str">
        <f t="array" aca="1" ref="Q38" ca="1">IF(AND(R33&lt;&gt;"",R33&lt;&gt;"社食"),
IF(OR(INDIRECT("'盛付札（関数）'!AE"&amp;P33)=211,INDIRECT("'盛付札（関数）'!AE"&amp;P33)=212,INDIRECT("'盛付札（関数）'!AE"&amp;P33)=213),"",
"パン箱"),"")</f>
        <v/>
      </c>
      <c r="R38" s="32" t="str">
        <f t="array" aca="1" ref="R38" ca="1">IF(AND(R33&lt;&gt;"",R33&lt;&gt;"社食"),
IF(OR(INDIRECT("'盛付札（関数）'!AE"&amp;P33)=211,INDIRECT("'盛付札（関数）'!AE"&amp;P33)=212,INDIRECT("'盛付札（関数）'!AE"&amp;P33)=213),"",
INDIRECT("'盛付札（関数）'!AL"&amp;P33)),"")</f>
        <v/>
      </c>
      <c r="S38" s="34" t="str">
        <f t="array" aca="1" ref="S38" ca="1">IF(AND(R33&lt;&gt;"",R33&lt;&gt;"社食"),
IF(OR(INDIRECT("'盛付札（関数）'!AE"&amp;P33)=211,INDIRECT("'盛付札（関数）'!AE"&amp;P33)=212,INDIRECT("'盛付札（関数）'!AE"&amp;P33)=213),"",
"端数"),"")</f>
        <v/>
      </c>
      <c r="T38" s="32"/>
      <c r="U38" s="34" t="str">
        <f t="array" aca="1" ref="U38" ca="1">IF(AND(R33&lt;&gt;"",R33&lt;&gt;"社食"),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"アレルギー")),"")</f>
        <v/>
      </c>
      <c r="V38" s="37"/>
      <c r="W38" s="22"/>
      <c r="X38" s="34" t="str">
        <f t="array" aca="1" ref="X38" ca="1">IF(AND(Y33&lt;&gt;"",Y33&lt;&gt;"社食"),
IF(OR(INDIRECT("'盛付札（関数）'!AE"&amp;W33)=211,INDIRECT("'盛付札（関数）'!AE"&amp;W33)=212,INDIRECT("'盛付札（関数）'!AE"&amp;W33)=213),"",
"パン箱"),"")</f>
        <v/>
      </c>
      <c r="Y38" s="32" t="str">
        <f t="array" aca="1" ref="Y38" ca="1">IF(AND(Y33&lt;&gt;"",Y33&lt;&gt;"社食"),
IF(OR(INDIRECT("'盛付札（関数）'!AE"&amp;W33)=211,INDIRECT("'盛付札（関数）'!AE"&amp;W33)=212,INDIRECT("'盛付札（関数）'!AE"&amp;W33)=213),"",
INDIRECT("'盛付札（関数）'!AL"&amp;W33)),"")</f>
        <v/>
      </c>
      <c r="Z38" s="34" t="str">
        <f t="array" aca="1" ref="Z38" ca="1">IF(AND(Y33&lt;&gt;"",Y33&lt;&gt;"社食"),
IF(OR(INDIRECT("'盛付札（関数）'!AE"&amp;W33)=211,INDIRECT("'盛付札（関数）'!AE"&amp;W33)=212,INDIRECT("'盛付札（関数）'!AE"&amp;W33)=213),"",
"端数"),"")</f>
        <v/>
      </c>
      <c r="AA38" s="32"/>
      <c r="AB38" s="34" t="str">
        <f t="array" aca="1" ref="AB38" ca="1">IF(AND(Y33&lt;&gt;"",Y33&lt;&gt;"社食"),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"アレルギー")),"")</f>
        <v/>
      </c>
      <c r="AC38" s="37"/>
      <c r="AD38" s="22"/>
      <c r="AE38" s="30"/>
      <c r="AF38" s="34" t="str">
        <f t="array" aca="1" ref="AF38" ca="1">IF(AND(AG33&lt;&gt;"",AG33&lt;&gt;"社食"),
IF(OR(INDIRECT("'盛付札（関数）'!AE"&amp;AE33)=211,INDIRECT("'盛付札（関数）'!AE"&amp;AE33)=212,INDIRECT("'盛付札（関数）'!AE"&amp;AE33)=213),"",
"パン箱"),"")</f>
        <v/>
      </c>
      <c r="AG38" s="32" t="str">
        <f t="array" aca="1" ref="AG38" ca="1">IF(AND(AG33&lt;&gt;"",AG33&lt;&gt;"社食"),
IF(OR(INDIRECT("'盛付札（関数）'!AE"&amp;AE33)=211,INDIRECT("'盛付札（関数）'!AE"&amp;AE33)=212,INDIRECT("'盛付札（関数）'!AE"&amp;AE33)=213),"",
INDIRECT("'盛付札（関数）'!AL"&amp;AE33)),"")</f>
        <v/>
      </c>
      <c r="AH38" s="34" t="str">
        <f t="array" aca="1" ref="AH38" ca="1">IF(AND(AG33&lt;&gt;"",AG33&lt;&gt;"社食"),
IF(OR(INDIRECT("'盛付札（関数）'!AE"&amp;AE33)=211,INDIRECT("'盛付札（関数）'!AE"&amp;AE33)=212,INDIRECT("'盛付札（関数）'!AE"&amp;AE33)=213),"",
"端数"),"")</f>
        <v/>
      </c>
      <c r="AI38" s="32"/>
      <c r="AJ38" s="34" t="str">
        <f t="array" aca="1" ref="AJ38" ca="1">IF(AND(AG33&lt;&gt;"",AG33&lt;&gt;"社食"),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"アレルギー")),"")</f>
        <v/>
      </c>
      <c r="AK38" s="37"/>
      <c r="AL38" s="22"/>
      <c r="AM38" s="34" t="str">
        <f t="array" aca="1" ref="AM38" ca="1">IF(AND(AN33&lt;&gt;"",AN33&lt;&gt;"社食"),
IF(OR(INDIRECT("'盛付札（関数）'!AE"&amp;AL33)=211,INDIRECT("'盛付札（関数）'!AE"&amp;AL33)=212,INDIRECT("'盛付札（関数）'!AE"&amp;AL33)=213),"",
"パン箱"),"")</f>
        <v/>
      </c>
      <c r="AN38" s="32" t="str">
        <f t="array" aca="1" ref="AN38" ca="1">IF(AND(AN33&lt;&gt;"",AN33&lt;&gt;"社食"),
IF(OR(INDIRECT("'盛付札（関数）'!AE"&amp;AL33)=211,INDIRECT("'盛付札（関数）'!AE"&amp;AL33)=212,INDIRECT("'盛付札（関数）'!AE"&amp;AL33)=213),"",
INDIRECT("'盛付札（関数）'!AL"&amp;AL33)),"")</f>
        <v/>
      </c>
      <c r="AO38" s="34" t="str">
        <f t="array" aca="1" ref="AO38" ca="1">IF(AND(AN33&lt;&gt;"",AN33&lt;&gt;"社食"),
IF(OR(INDIRECT("'盛付札（関数）'!AE"&amp;AL33)=211,INDIRECT("'盛付札（関数）'!AE"&amp;AL33)=212,INDIRECT("'盛付札（関数）'!AE"&amp;AL33)=213),"",
"端数"),"")</f>
        <v/>
      </c>
      <c r="AP38" s="32"/>
      <c r="AQ38" s="34" t="str">
        <f t="array" aca="1" ref="AQ38" ca="1">IF(AND(AN33&lt;&gt;"",AN33&lt;&gt;"社食"),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"アレルギー")),"")</f>
        <v/>
      </c>
      <c r="AR38" s="37"/>
      <c r="AS38" s="22"/>
      <c r="AT38" s="30"/>
      <c r="AU38" s="34" t="str">
        <f t="array" aca="1" ref="AU38" ca="1">IF(AND(AV33&lt;&gt;"",AV33&lt;&gt;"社食"),
IF(OR(INDIRECT("'盛付札（関数）'!AE"&amp;AT33)=211,INDIRECT("'盛付札（関数）'!AE"&amp;AT33)=212,INDIRECT("'盛付札（関数）'!AE"&amp;AT33)=213),"",
"パン箱"),"")</f>
        <v/>
      </c>
      <c r="AV38" s="32" t="str">
        <f t="array" aca="1" ref="AV38" ca="1">IF(AND(AV33&lt;&gt;"",AV33&lt;&gt;"社食"),
IF(OR(INDIRECT("'盛付札（関数）'!AE"&amp;AT33)=211,INDIRECT("'盛付札（関数）'!AE"&amp;AT33)=212,INDIRECT("'盛付札（関数）'!AE"&amp;AT33)=213),"",
INDIRECT("'盛付札（関数）'!AL"&amp;AT33)),"")</f>
        <v/>
      </c>
      <c r="AW38" s="34" t="str">
        <f t="array" aca="1" ref="AW38" ca="1">IF(AND(AV33&lt;&gt;"",AV33&lt;&gt;"社食"),
IF(OR(INDIRECT("'盛付札（関数）'!AE"&amp;AT33)=211,INDIRECT("'盛付札（関数）'!AE"&amp;AT33)=212,INDIRECT("'盛付札（関数）'!AE"&amp;AT33)=213),"",
"端数"),"")</f>
        <v/>
      </c>
      <c r="AX38" s="32"/>
      <c r="AY38" s="34" t="str">
        <f t="array" aca="1" ref="AY38" ca="1">IF(AND(AV33&lt;&gt;"",AV33&lt;&gt;"社食"),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"アレルギー")),"")</f>
        <v/>
      </c>
      <c r="AZ38" s="37"/>
      <c r="BA38" s="22"/>
      <c r="BB38" s="34" t="str">
        <f t="array" aca="1" ref="BB38" ca="1">IF(AND(BC33&lt;&gt;"",BC33&lt;&gt;"社食"),
IF(OR(INDIRECT("'盛付札（関数）'!AE"&amp;BA33)=211,INDIRECT("'盛付札（関数）'!AE"&amp;BA33)=212,INDIRECT("'盛付札（関数）'!AE"&amp;BA33)=213),"",
"パン箱"),"")</f>
        <v/>
      </c>
      <c r="BC38" s="32" t="str">
        <f t="array" aca="1" ref="BC38" ca="1">IF(AND(BC33&lt;&gt;"",BC33&lt;&gt;"社食"),
IF(OR(INDIRECT("'盛付札（関数）'!AE"&amp;BA33)=211,INDIRECT("'盛付札（関数）'!AE"&amp;BA33)=212,INDIRECT("'盛付札（関数）'!AE"&amp;BA33)=213),"",
INDIRECT("'盛付札（関数）'!AL"&amp;BA33)),"")</f>
        <v/>
      </c>
      <c r="BD38" s="34" t="str">
        <f t="array" aca="1" ref="BD38" ca="1">IF(AND(BC33&lt;&gt;"",BC33&lt;&gt;"社食"),
IF(OR(INDIRECT("'盛付札（関数）'!AE"&amp;BA33)=211,INDIRECT("'盛付札（関数）'!AE"&amp;BA33)=212,INDIRECT("'盛付札（関数）'!AE"&amp;BA33)=213),"",
"端数"),"")</f>
        <v/>
      </c>
      <c r="BE38" s="32"/>
      <c r="BF38" s="34" t="str">
        <f t="array" aca="1" ref="BF38" ca="1">IF(AND(BC33&lt;&gt;"",BC33&lt;&gt;"社食"),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"アレルギー")),"")</f>
        <v/>
      </c>
      <c r="BG38" s="37"/>
      <c r="BH38" s="22"/>
      <c r="BI38" s="30"/>
      <c r="BJ38" s="34" t="str">
        <f t="array" aca="1" ref="BJ38" ca="1">IF(AND(BK33&lt;&gt;"",BK33&lt;&gt;"社食"),
IF(OR(INDIRECT("'盛付札（関数）'!AE"&amp;BI33)=211,INDIRECT("'盛付札（関数）'!AE"&amp;BI33)=212,INDIRECT("'盛付札（関数）'!AE"&amp;BI33)=213),"",
"パン箱"),"")</f>
        <v/>
      </c>
      <c r="BK38" s="32" t="str">
        <f t="array" aca="1" ref="BK38" ca="1">IF(AND(BK33&lt;&gt;"",BK33&lt;&gt;"社食"),
IF(OR(INDIRECT("'盛付札（関数）'!AE"&amp;BI33)=211,INDIRECT("'盛付札（関数）'!AE"&amp;BI33)=212,INDIRECT("'盛付札（関数）'!AE"&amp;BI33)=213),"",
INDIRECT("'盛付札（関数）'!AL"&amp;BI33)),"")</f>
        <v/>
      </c>
      <c r="BL38" s="34" t="str">
        <f t="array" aca="1" ref="BL38" ca="1">IF(AND(BK33&lt;&gt;"",BK33&lt;&gt;"社食"),
IF(OR(INDIRECT("'盛付札（関数）'!AE"&amp;BI33)=211,INDIRECT("'盛付札（関数）'!AE"&amp;BI33)=212,INDIRECT("'盛付札（関数）'!AE"&amp;BI33)=213),"",
"端数"),"")</f>
        <v/>
      </c>
      <c r="BM38" s="32"/>
      <c r="BN38" s="34" t="str">
        <f t="array" aca="1" ref="BN38" ca="1">IF(AND(BK33&lt;&gt;"",BK33&lt;&gt;"社食"),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"アレルギー")),"")</f>
        <v/>
      </c>
      <c r="BO38" s="37"/>
      <c r="BP38" s="22"/>
      <c r="BQ38" s="34" t="str">
        <f t="array" aca="1" ref="BQ38" ca="1">IF(AND(BR33&lt;&gt;"",BR33&lt;&gt;"社食"),
IF(OR(INDIRECT("'盛付札（関数）'!AE"&amp;BP33)=211,INDIRECT("'盛付札（関数）'!AE"&amp;BP33)=212,INDIRECT("'盛付札（関数）'!AE"&amp;BP33)=213),"",
"パン箱"),"")</f>
        <v/>
      </c>
      <c r="BR38" s="32" t="str">
        <f t="array" aca="1" ref="BR38" ca="1">IF(AND(BR33&lt;&gt;"",BR33&lt;&gt;"社食"),
IF(OR(INDIRECT("'盛付札（関数）'!AE"&amp;BP33)=211,INDIRECT("'盛付札（関数）'!AE"&amp;BP33)=212,INDIRECT("'盛付札（関数）'!AE"&amp;BP33)=213),"",
INDIRECT("'盛付札（関数）'!AL"&amp;BP33)),"")</f>
        <v/>
      </c>
      <c r="BS38" s="34" t="str">
        <f t="array" aca="1" ref="BS38" ca="1">IF(AND(BR33&lt;&gt;"",BR33&lt;&gt;"社食"),
IF(OR(INDIRECT("'盛付札（関数）'!AE"&amp;BP33)=211,INDIRECT("'盛付札（関数）'!AE"&amp;BP33)=212,INDIRECT("'盛付札（関数）'!AE"&amp;BP33)=213),"",
"端数"),"")</f>
        <v/>
      </c>
      <c r="BT38" s="32"/>
      <c r="BU38" s="34" t="str">
        <f t="array" aca="1" ref="BU38" ca="1">IF(AND(BR33&lt;&gt;"",BR33&lt;&gt;"社食"),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"アレルギー")),"")</f>
        <v/>
      </c>
      <c r="BV38" s="37"/>
      <c r="BW38" s="22"/>
      <c r="BX38" s="30"/>
      <c r="BY38" s="34" t="str">
        <f t="array" aca="1" ref="BY38" ca="1">IF(AND(BZ33&lt;&gt;"",BZ33&lt;&gt;"社食"),
IF(OR(INDIRECT("'盛付札（関数）'!AE"&amp;BX33)=211,INDIRECT("'盛付札（関数）'!AE"&amp;BX33)=212,INDIRECT("'盛付札（関数）'!AE"&amp;BX33)=213),"",
"パン箱"),"")</f>
        <v/>
      </c>
      <c r="BZ38" s="32" t="str">
        <f t="array" aca="1" ref="BZ38" ca="1">IF(AND(BZ33&lt;&gt;"",BZ33&lt;&gt;"社食"),
IF(OR(INDIRECT("'盛付札（関数）'!AE"&amp;BX33)=211,INDIRECT("'盛付札（関数）'!AE"&amp;BX33)=212,INDIRECT("'盛付札（関数）'!AE"&amp;BX33)=213),"",
INDIRECT("'盛付札（関数）'!AL"&amp;BX33)),"")</f>
        <v/>
      </c>
      <c r="CA38" s="34" t="str">
        <f t="array" aca="1" ref="CA38" ca="1">IF(AND(BZ33&lt;&gt;"",BZ33&lt;&gt;"社食"),
IF(OR(INDIRECT("'盛付札（関数）'!AE"&amp;BX33)=211,INDIRECT("'盛付札（関数）'!AE"&amp;BX33)=212,INDIRECT("'盛付札（関数）'!AE"&amp;BX33)=213),"",
"端数"),"")</f>
        <v/>
      </c>
      <c r="CB38" s="32"/>
      <c r="CC38" s="34" t="str">
        <f t="array" aca="1" ref="CC38" ca="1">IF(AND(BZ33&lt;&gt;"",BZ33&lt;&gt;"社食"),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"アレルギー")),"")</f>
        <v/>
      </c>
      <c r="CD38" s="37"/>
      <c r="CE38" s="22"/>
      <c r="CF38" s="34" t="str">
        <f t="array" aca="1" ref="CF38" ca="1">IF(AND(CG33&lt;&gt;"",CG33&lt;&gt;"社食"),
IF(OR(INDIRECT("'盛付札（関数）'!AE"&amp;CE33)=211,INDIRECT("'盛付札（関数）'!AE"&amp;CE33)=212,INDIRECT("'盛付札（関数）'!AE"&amp;CE33)=213),"",
"パン箱"),"")</f>
        <v/>
      </c>
      <c r="CG38" s="32" t="str">
        <f t="array" aca="1" ref="CG38" ca="1">IF(AND(CG33&lt;&gt;"",CG33&lt;&gt;"社食"),
IF(OR(INDIRECT("'盛付札（関数）'!AE"&amp;CE33)=211,INDIRECT("'盛付札（関数）'!AE"&amp;CE33)=212,INDIRECT("'盛付札（関数）'!AE"&amp;CE33)=213),"",
INDIRECT("'盛付札（関数）'!AL"&amp;CE33)),"")</f>
        <v/>
      </c>
      <c r="CH38" s="34" t="str">
        <f t="array" aca="1" ref="CH38" ca="1">IF(AND(CG33&lt;&gt;"",CG33&lt;&gt;"社食"),
IF(OR(INDIRECT("'盛付札（関数）'!AE"&amp;CE33)=211,INDIRECT("'盛付札（関数）'!AE"&amp;CE33)=212,INDIRECT("'盛付札（関数）'!AE"&amp;CE33)=213),"",
"端数"),"")</f>
        <v/>
      </c>
      <c r="CI38" s="32"/>
      <c r="CJ38" s="34" t="str">
        <f t="array" aca="1" ref="CJ38" ca="1">IF(AND(CG33&lt;&gt;"",CG33&lt;&gt;"社食"),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"アレルギー")),"")</f>
        <v/>
      </c>
      <c r="CK38" s="37"/>
      <c r="CL38" s="22"/>
      <c r="CM38" s="30"/>
      <c r="CN38" s="34" t="str">
        <f t="array" aca="1" ref="CN38" ca="1">IF(AND(CO33&lt;&gt;"",CO33&lt;&gt;"社食"),
IF(OR(INDIRECT("'盛付札（関数）'!AE"&amp;CM33)=211,INDIRECT("'盛付札（関数）'!AE"&amp;CM33)=212,INDIRECT("'盛付札（関数）'!AE"&amp;CM33)=213),"",
"パン箱"),"")</f>
        <v/>
      </c>
      <c r="CO38" s="32" t="str">
        <f t="array" aca="1" ref="CO38" ca="1">IF(AND(CO33&lt;&gt;"",CO33&lt;&gt;"社食"),
IF(OR(INDIRECT("'盛付札（関数）'!AE"&amp;CM33)=211,INDIRECT("'盛付札（関数）'!AE"&amp;CM33)=212,INDIRECT("'盛付札（関数）'!AE"&amp;CM33)=213),"",
INDIRECT("'盛付札（関数）'!AL"&amp;CM33)),"")</f>
        <v/>
      </c>
      <c r="CP38" s="34" t="str">
        <f t="array" aca="1" ref="CP38" ca="1">IF(AND(CO33&lt;&gt;"",CO33&lt;&gt;"社食"),
IF(OR(INDIRECT("'盛付札（関数）'!AE"&amp;CM33)=211,INDIRECT("'盛付札（関数）'!AE"&amp;CM33)=212,INDIRECT("'盛付札（関数）'!AE"&amp;CM33)=213),"",
"端数"),"")</f>
        <v/>
      </c>
      <c r="CQ38" s="32"/>
      <c r="CR38" s="34" t="str">
        <f t="array" aca="1" ref="CR38" ca="1">IF(AND(CO33&lt;&gt;"",CO33&lt;&gt;"社食"),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"アレルギー")),"")</f>
        <v/>
      </c>
      <c r="CS38" s="37"/>
      <c r="CT38" s="22"/>
      <c r="CU38" s="34" t="str">
        <f t="array" aca="1" ref="CU38" ca="1">IF(AND(CV33&lt;&gt;"",CV33&lt;&gt;"社食"),
IF(OR(INDIRECT("'盛付札（関数）'!AE"&amp;CT33)=211,INDIRECT("'盛付札（関数）'!AE"&amp;CT33)=212,INDIRECT("'盛付札（関数）'!AE"&amp;CT33)=213),"",
"パン箱"),"")</f>
        <v/>
      </c>
      <c r="CV38" s="32" t="str">
        <f t="array" aca="1" ref="CV38" ca="1">IF(AND(CV33&lt;&gt;"",CV33&lt;&gt;"社食"),
IF(OR(INDIRECT("'盛付札（関数）'!AE"&amp;CT33)=211,INDIRECT("'盛付札（関数）'!AE"&amp;CT33)=212,INDIRECT("'盛付札（関数）'!AE"&amp;CT33)=213),"",
INDIRECT("'盛付札（関数）'!AL"&amp;CT33)),"")</f>
        <v/>
      </c>
      <c r="CW38" s="34" t="str">
        <f t="array" aca="1" ref="CW38" ca="1">IF(AND(CV33&lt;&gt;"",CV33&lt;&gt;"社食"),
IF(OR(INDIRECT("'盛付札（関数）'!AE"&amp;CT33)=211,INDIRECT("'盛付札（関数）'!AE"&amp;CT33)=212,INDIRECT("'盛付札（関数）'!AE"&amp;CT33)=213),"",
"端数"),"")</f>
        <v/>
      </c>
      <c r="CX38" s="32"/>
      <c r="CY38" s="34" t="str">
        <f t="array" aca="1" ref="CY38" ca="1">IF(AND(CV33&lt;&gt;"",CV33&lt;&gt;"社食"),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"アレルギー")),"")</f>
        <v/>
      </c>
      <c r="CZ38" s="37"/>
      <c r="DA38" s="22"/>
      <c r="DB38" s="30"/>
      <c r="DC38" s="34" t="str">
        <f t="array" aca="1" ref="DC38" ca="1">IF(AND(DD33&lt;&gt;"",DD33&lt;&gt;"社食"),
IF(OR(INDIRECT("'盛付札（関数）'!AE"&amp;DB33)=211,INDIRECT("'盛付札（関数）'!AE"&amp;DB33)=212,INDIRECT("'盛付札（関数）'!AE"&amp;DB33)=213),"",
"パン箱"),"")</f>
        <v/>
      </c>
      <c r="DD38" s="32" t="str">
        <f t="array" aca="1" ref="DD38" ca="1">IF(AND(DD33&lt;&gt;"",DD33&lt;&gt;"社食"),
IF(OR(INDIRECT("'盛付札（関数）'!AE"&amp;DB33)=211,INDIRECT("'盛付札（関数）'!AE"&amp;DB33)=212,INDIRECT("'盛付札（関数）'!AE"&amp;DB33)=213),"",
INDIRECT("'盛付札（関数）'!AL"&amp;DB33)),"")</f>
        <v/>
      </c>
      <c r="DE38" s="34" t="str">
        <f t="array" aca="1" ref="DE38" ca="1">IF(AND(DD33&lt;&gt;"",DD33&lt;&gt;"社食"),
IF(OR(INDIRECT("'盛付札（関数）'!AE"&amp;DB33)=211,INDIRECT("'盛付札（関数）'!AE"&amp;DB33)=212,INDIRECT("'盛付札（関数）'!AE"&amp;DB33)=213),"",
"端数"),"")</f>
        <v/>
      </c>
      <c r="DF38" s="32"/>
      <c r="DG38" s="34" t="str">
        <f t="array" aca="1" ref="DG38" ca="1">IF(AND(DD33&lt;&gt;"",DD33&lt;&gt;"社食"),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"アレルギー")),"")</f>
        <v/>
      </c>
      <c r="DH38" s="37"/>
      <c r="DI38" s="22"/>
      <c r="DJ38" s="34" t="str">
        <f t="array" aca="1" ref="DJ38" ca="1">IF(AND(DK33&lt;&gt;"",DK33&lt;&gt;"社食"),
IF(OR(INDIRECT("'盛付札（関数）'!AE"&amp;DI33)=211,INDIRECT("'盛付札（関数）'!AE"&amp;DI33)=212,INDIRECT("'盛付札（関数）'!AE"&amp;DI33)=213),"",
"パン箱"),"")</f>
        <v/>
      </c>
      <c r="DK38" s="32" t="str">
        <f t="array" aca="1" ref="DK38" ca="1">IF(AND(DK33&lt;&gt;"",DK33&lt;&gt;"社食"),
IF(OR(INDIRECT("'盛付札（関数）'!AE"&amp;DI33)=211,INDIRECT("'盛付札（関数）'!AE"&amp;DI33)=212,INDIRECT("'盛付札（関数）'!AE"&amp;DI33)=213),"",
INDIRECT("'盛付札（関数）'!AL"&amp;DI33)),"")</f>
        <v/>
      </c>
      <c r="DL38" s="34" t="str">
        <f t="array" aca="1" ref="DL38" ca="1">IF(AND(DK33&lt;&gt;"",DK33&lt;&gt;"社食"),
IF(OR(INDIRECT("'盛付札（関数）'!AE"&amp;DI33)=211,INDIRECT("'盛付札（関数）'!AE"&amp;DI33)=212,INDIRECT("'盛付札（関数）'!AE"&amp;DI33)=213),"",
"端数"),"")</f>
        <v/>
      </c>
      <c r="DM38" s="32"/>
      <c r="DN38" s="34" t="str">
        <f t="array" aca="1" ref="DN38" ca="1">IF(AND(DK33&lt;&gt;"",DK33&lt;&gt;"社食"),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"アレルギー")),"")</f>
        <v/>
      </c>
      <c r="DO38" s="37"/>
      <c r="DP38" s="22"/>
      <c r="DQ38" s="30"/>
      <c r="DR38" s="34" t="str">
        <f t="array" aca="1" ref="DR38" ca="1">IF(AND(DS33&lt;&gt;"",DS33&lt;&gt;"社食"),
IF(OR(INDIRECT("'盛付札（関数）'!AE"&amp;DQ33)=211,INDIRECT("'盛付札（関数）'!AE"&amp;DQ33)=212,INDIRECT("'盛付札（関数）'!AE"&amp;DQ33)=213),"",
"パン箱"),"")</f>
        <v/>
      </c>
      <c r="DS38" s="32" t="str">
        <f t="array" aca="1" ref="DS38" ca="1">IF(AND(DS33&lt;&gt;"",DS33&lt;&gt;"社食"),
IF(OR(INDIRECT("'盛付札（関数）'!AE"&amp;DQ33)=211,INDIRECT("'盛付札（関数）'!AE"&amp;DQ33)=212,INDIRECT("'盛付札（関数）'!AE"&amp;DQ33)=213),"",
INDIRECT("'盛付札（関数）'!AL"&amp;DQ33)),"")</f>
        <v/>
      </c>
      <c r="DT38" s="34" t="str">
        <f t="array" aca="1" ref="DT38" ca="1">IF(AND(DS33&lt;&gt;"",DS33&lt;&gt;"社食"),
IF(OR(INDIRECT("'盛付札（関数）'!AE"&amp;DQ33)=211,INDIRECT("'盛付札（関数）'!AE"&amp;DQ33)=212,INDIRECT("'盛付札（関数）'!AE"&amp;DQ33)=213),"",
"端数"),"")</f>
        <v/>
      </c>
      <c r="DU38" s="32"/>
      <c r="DV38" s="34" t="str">
        <f t="array" aca="1" ref="DV38" ca="1">IF(AND(DS33&lt;&gt;"",DS33&lt;&gt;"社食"),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"アレルギー")),"")</f>
        <v/>
      </c>
      <c r="DW38" s="37"/>
      <c r="DX38" s="22"/>
      <c r="DY38" s="34" t="str">
        <f t="array" aca="1" ref="DY38" ca="1">IF(AND(DZ33&lt;&gt;"",DZ33&lt;&gt;"社食"),
IF(OR(INDIRECT("'盛付札（関数）'!AE"&amp;DX33)=211,INDIRECT("'盛付札（関数）'!AE"&amp;DX33)=212,INDIRECT("'盛付札（関数）'!AE"&amp;DX33)=213),"",
"パン箱"),"")</f>
        <v/>
      </c>
      <c r="DZ38" s="32" t="str">
        <f t="array" aca="1" ref="DZ38" ca="1">IF(AND(DZ33&lt;&gt;"",DZ33&lt;&gt;"社食"),
IF(OR(INDIRECT("'盛付札（関数）'!AE"&amp;DX33)=211,INDIRECT("'盛付札（関数）'!AE"&amp;DX33)=212,INDIRECT("'盛付札（関数）'!AE"&amp;DX33)=213),"",
INDIRECT("'盛付札（関数）'!AL"&amp;DX33)),"")</f>
        <v/>
      </c>
      <c r="EA38" s="34" t="str">
        <f t="array" aca="1" ref="EA38" ca="1">IF(AND(DZ33&lt;&gt;"",DZ33&lt;&gt;"社食"),
IF(OR(INDIRECT("'盛付札（関数）'!AE"&amp;DX33)=211,INDIRECT("'盛付札（関数）'!AE"&amp;DX33)=212,INDIRECT("'盛付札（関数）'!AE"&amp;DX33)=213),"",
"端数"),"")</f>
        <v/>
      </c>
      <c r="EB38" s="32"/>
      <c r="EC38" s="34" t="str">
        <f t="array" aca="1" ref="EC38" ca="1">IF(AND(DZ33&lt;&gt;"",DZ33&lt;&gt;"社食"),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"アレルギー")),"")</f>
        <v/>
      </c>
      <c r="ED38" s="37"/>
      <c r="EE38" s="22"/>
      <c r="EF38" s="30"/>
      <c r="EG38" s="34" t="str">
        <f t="array" aca="1" ref="EG38" ca="1">IF(AND(EH33&lt;&gt;"",EH33&lt;&gt;"社食"),
IF(OR(INDIRECT("'盛付札（関数）'!AE"&amp;EF33)=211,INDIRECT("'盛付札（関数）'!AE"&amp;EF33)=212,INDIRECT("'盛付札（関数）'!AE"&amp;EF33)=213),"",
"パン箱"),"")</f>
        <v/>
      </c>
      <c r="EH38" s="32" t="str">
        <f t="array" aca="1" ref="EH38" ca="1">IF(AND(EH33&lt;&gt;"",EH33&lt;&gt;"社食"),
IF(OR(INDIRECT("'盛付札（関数）'!AE"&amp;EF33)=211,INDIRECT("'盛付札（関数）'!AE"&amp;EF33)=212,INDIRECT("'盛付札（関数）'!AE"&amp;EF33)=213),"",
INDIRECT("'盛付札（関数）'!AL"&amp;EF33)),"")</f>
        <v/>
      </c>
      <c r="EI38" s="34" t="str">
        <f t="array" aca="1" ref="EI38" ca="1">IF(AND(EH33&lt;&gt;"",EH33&lt;&gt;"社食"),
IF(OR(INDIRECT("'盛付札（関数）'!AE"&amp;EF33)=211,INDIRECT("'盛付札（関数）'!AE"&amp;EF33)=212,INDIRECT("'盛付札（関数）'!AE"&amp;EF33)=213),"",
"端数"),"")</f>
        <v/>
      </c>
      <c r="EJ38" s="32"/>
      <c r="EK38" s="34" t="str">
        <f t="array" aca="1" ref="EK38" ca="1">IF(AND(EH33&lt;&gt;"",EH33&lt;&gt;"社食"),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"アレルギー")),"")</f>
        <v/>
      </c>
      <c r="EL38" s="37"/>
      <c r="EM38" s="22"/>
      <c r="EN38" s="34" t="str">
        <f t="array" aca="1" ref="EN38" ca="1">IF(AND(EO33&lt;&gt;"",EO33&lt;&gt;"社食"),
IF(OR(INDIRECT("'盛付札（関数）'!AE"&amp;EM33)=211,INDIRECT("'盛付札（関数）'!AE"&amp;EM33)=212,INDIRECT("'盛付札（関数）'!AE"&amp;EM33)=213),"",
"パン箱"),"")</f>
        <v/>
      </c>
      <c r="EO38" s="32" t="str">
        <f t="array" aca="1" ref="EO38" ca="1">IF(AND(EO33&lt;&gt;"",EO33&lt;&gt;"社食"),
IF(OR(INDIRECT("'盛付札（関数）'!AE"&amp;EM33)=211,INDIRECT("'盛付札（関数）'!AE"&amp;EM33)=212,INDIRECT("'盛付札（関数）'!AE"&amp;EM33)=213),"",
INDIRECT("'盛付札（関数）'!AL"&amp;EM33)),"")</f>
        <v/>
      </c>
      <c r="EP38" s="34" t="str">
        <f t="array" aca="1" ref="EP38" ca="1">IF(AND(EO33&lt;&gt;"",EO33&lt;&gt;"社食"),
IF(OR(INDIRECT("'盛付札（関数）'!AE"&amp;EM33)=211,INDIRECT("'盛付札（関数）'!AE"&amp;EM33)=212,INDIRECT("'盛付札（関数）'!AE"&amp;EM33)=213),"",
"端数"),"")</f>
        <v/>
      </c>
      <c r="EQ38" s="32"/>
      <c r="ER38" s="34" t="str">
        <f t="array" aca="1" ref="ER38" ca="1">IF(AND(EO33&lt;&gt;"",EO33&lt;&gt;"社食"),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"アレルギー")),"")</f>
        <v/>
      </c>
      <c r="ES38" s="37"/>
      <c r="ET38" s="22"/>
    </row>
    <row r="39" spans="1:150" ht="27.6" customHeight="1">
      <c r="B39" s="216" t="str">
        <f t="array" aca="1" ref="B39" ca="1">IF(C33&lt;&gt;"",
IF(OR(INDIRECT("'盛付札（関数）'!AE"&amp;A33)=211,INDIRECT("'盛付札（関数）'!AE"&amp;A33)=212,INDIRECT("'盛付札（関数）'!AE"&amp;A33)=213),"",
INDIRECT("'盛付札（関数）'!AM"&amp;A33)),"")</f>
        <v/>
      </c>
      <c r="C39" s="209"/>
      <c r="D39" s="216" t="str">
        <f t="array" aca="1" ref="D39" ca="1">IF(C33&lt;&gt;"",
IF(OR(INDIRECT("'盛付札（関数）'!AE"&amp;A33)=211,INDIRECT("'盛付札（関数）'!AE"&amp;A33)=212,INDIRECT("'盛付札（関数）'!AE"&amp;A33)=213),"",
INDIRECT("'盛付札（関数）'!AN"&amp;A33)),"")</f>
        <v/>
      </c>
      <c r="E39" s="209"/>
      <c r="F39" s="217" t="str">
        <f t="array" aca="1" ref="F39" ca="1">IF(AND(C33&lt;&gt;"",C33&lt;&gt;"社食"),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INDIRECT("'盛付札（関数）'!AO"&amp;A33))),"")</f>
        <v/>
      </c>
      <c r="G39" s="209"/>
      <c r="I39" s="216" t="str">
        <f t="array" aca="1" ref="I39" ca="1">IF(J33&lt;&gt;"",
IF(OR(INDIRECT("'盛付札（関数）'!AE"&amp;H33)=211,INDIRECT("'盛付札（関数）'!AE"&amp;H33)=212,INDIRECT("'盛付札（関数）'!AE"&amp;H33)=213),"",
INDIRECT("'盛付札（関数）'!AM"&amp;H33)),"")</f>
        <v/>
      </c>
      <c r="J39" s="209"/>
      <c r="K39" s="216" t="str">
        <f t="array" aca="1" ref="K39" ca="1">IF(J33&lt;&gt;"",
IF(OR(INDIRECT("'盛付札（関数）'!AE"&amp;H33)=211,INDIRECT("'盛付札（関数）'!AE"&amp;H33)=212,INDIRECT("'盛付札（関数）'!AE"&amp;H33)=213),"",
INDIRECT("'盛付札（関数）'!AN"&amp;H33)),"")</f>
        <v/>
      </c>
      <c r="L39" s="209"/>
      <c r="M39" s="217" t="str">
        <f t="array" aca="1" ref="M39" ca="1">IF(AND(J33&lt;&gt;"",J33&lt;&gt;"社食"),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INDIRECT("'盛付札（関数）'!AO"&amp;H33))),"")</f>
        <v/>
      </c>
      <c r="N39" s="209"/>
      <c r="Q39" s="216" t="str">
        <f t="array" aca="1" ref="Q39" ca="1">IF(R33&lt;&gt;"",
IF(OR(INDIRECT("'盛付札（関数）'!AE"&amp;P33)=211,INDIRECT("'盛付札（関数）'!AE"&amp;P33)=212,INDIRECT("'盛付札（関数）'!AE"&amp;P33)=213),"",
INDIRECT("'盛付札（関数）'!AM"&amp;P33)),"")</f>
        <v/>
      </c>
      <c r="R39" s="209"/>
      <c r="S39" s="216" t="str">
        <f t="array" aca="1" ref="S39" ca="1">IF(R33&lt;&gt;"",
IF(OR(INDIRECT("'盛付札（関数）'!AE"&amp;P33)=211,INDIRECT("'盛付札（関数）'!AE"&amp;P33)=212,INDIRECT("'盛付札（関数）'!AE"&amp;P33)=213),"",
INDIRECT("'盛付札（関数）'!AN"&amp;P33)),"")</f>
        <v/>
      </c>
      <c r="T39" s="209"/>
      <c r="U39" s="217" t="str">
        <f t="array" aca="1" ref="U39" ca="1">IF(AND(R33&lt;&gt;"",R33&lt;&gt;"社食"),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INDIRECT("'盛付札（関数）'!AO"&amp;P33))),"")</f>
        <v/>
      </c>
      <c r="V39" s="209"/>
      <c r="X39" s="216" t="str">
        <f t="array" aca="1" ref="X39" ca="1">IF(Y33&lt;&gt;"",
IF(OR(INDIRECT("'盛付札（関数）'!AE"&amp;W33)=211,INDIRECT("'盛付札（関数）'!AE"&amp;W33)=212,INDIRECT("'盛付札（関数）'!AE"&amp;W33)=213),"",
INDIRECT("'盛付札（関数）'!AM"&amp;W33)),"")</f>
        <v/>
      </c>
      <c r="Y39" s="209"/>
      <c r="Z39" s="216" t="str">
        <f t="array" aca="1" ref="Z39" ca="1">IF(Y33&lt;&gt;"",
IF(OR(INDIRECT("'盛付札（関数）'!AE"&amp;W33)=211,INDIRECT("'盛付札（関数）'!AE"&amp;W33)=212,INDIRECT("'盛付札（関数）'!AE"&amp;W33)=213),"",
INDIRECT("'盛付札（関数）'!AN"&amp;W33)),"")</f>
        <v/>
      </c>
      <c r="AA39" s="209"/>
      <c r="AB39" s="217" t="str">
        <f t="array" aca="1" ref="AB39" ca="1">IF(AND(Y33&lt;&gt;"",Y33&lt;&gt;"社食"),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INDIRECT("'盛付札（関数）'!AO"&amp;W33))),"")</f>
        <v/>
      </c>
      <c r="AC39" s="209"/>
      <c r="AF39" s="216" t="str">
        <f t="array" aca="1" ref="AF39" ca="1">IF(AG33&lt;&gt;"",
IF(OR(INDIRECT("'盛付札（関数）'!AE"&amp;AE33)=211,INDIRECT("'盛付札（関数）'!AE"&amp;AE33)=212,INDIRECT("'盛付札（関数）'!AE"&amp;AE33)=213),"",
INDIRECT("'盛付札（関数）'!AM"&amp;AE33)),"")</f>
        <v/>
      </c>
      <c r="AG39" s="209"/>
      <c r="AH39" s="216" t="str">
        <f t="array" aca="1" ref="AH39" ca="1">IF(AG33&lt;&gt;"",
IF(OR(INDIRECT("'盛付札（関数）'!AE"&amp;AE33)=211,INDIRECT("'盛付札（関数）'!AE"&amp;AE33)=212,INDIRECT("'盛付札（関数）'!AE"&amp;AE33)=213),"",
INDIRECT("'盛付札（関数）'!AN"&amp;AE33)),"")</f>
        <v/>
      </c>
      <c r="AI39" s="209"/>
      <c r="AJ39" s="217" t="str">
        <f t="array" aca="1" ref="AJ39" ca="1">IF(AND(AG33&lt;&gt;"",AG33&lt;&gt;"社食"),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INDIRECT("'盛付札（関数）'!AO"&amp;AE33))),"")</f>
        <v/>
      </c>
      <c r="AK39" s="209"/>
      <c r="AM39" s="216" t="str">
        <f t="array" aca="1" ref="AM39" ca="1">IF(AN33&lt;&gt;"",
IF(OR(INDIRECT("'盛付札（関数）'!AE"&amp;AL33)=211,INDIRECT("'盛付札（関数）'!AE"&amp;AL33)=212,INDIRECT("'盛付札（関数）'!AE"&amp;AL33)=213),"",
INDIRECT("'盛付札（関数）'!AM"&amp;AL33)),"")</f>
        <v/>
      </c>
      <c r="AN39" s="209"/>
      <c r="AO39" s="216" t="str">
        <f t="array" aca="1" ref="AO39" ca="1">IF(AN33&lt;&gt;"",
IF(OR(INDIRECT("'盛付札（関数）'!AE"&amp;AL33)=211,INDIRECT("'盛付札（関数）'!AE"&amp;AL33)=212,INDIRECT("'盛付札（関数）'!AE"&amp;AL33)=213),"",
INDIRECT("'盛付札（関数）'!AN"&amp;AL33)),"")</f>
        <v/>
      </c>
      <c r="AP39" s="209"/>
      <c r="AQ39" s="217" t="str">
        <f t="array" aca="1" ref="AQ39" ca="1">IF(AND(AN33&lt;&gt;"",AN33&lt;&gt;"社食"),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INDIRECT("'盛付札（関数）'!AO"&amp;AL33))),"")</f>
        <v/>
      </c>
      <c r="AR39" s="209"/>
      <c r="AU39" s="216" t="str">
        <f t="array" aca="1" ref="AU39" ca="1">IF(AV33&lt;&gt;"",
IF(OR(INDIRECT("'盛付札（関数）'!AE"&amp;AT33)=211,INDIRECT("'盛付札（関数）'!AE"&amp;AT33)=212,INDIRECT("'盛付札（関数）'!AE"&amp;AT33)=213),"",
INDIRECT("'盛付札（関数）'!AM"&amp;AT33)),"")</f>
        <v/>
      </c>
      <c r="AV39" s="209"/>
      <c r="AW39" s="216" t="str">
        <f t="array" aca="1" ref="AW39" ca="1">IF(AV33&lt;&gt;"",
IF(OR(INDIRECT("'盛付札（関数）'!AE"&amp;AT33)=211,INDIRECT("'盛付札（関数）'!AE"&amp;AT33)=212,INDIRECT("'盛付札（関数）'!AE"&amp;AT33)=213),"",
INDIRECT("'盛付札（関数）'!AN"&amp;AT33)),"")</f>
        <v/>
      </c>
      <c r="AX39" s="209"/>
      <c r="AY39" s="217" t="str">
        <f t="array" aca="1" ref="AY39" ca="1">IF(AND(AV33&lt;&gt;"",AV33&lt;&gt;"社食"),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INDIRECT("'盛付札（関数）'!AO"&amp;AT33))),"")</f>
        <v/>
      </c>
      <c r="AZ39" s="209"/>
      <c r="BB39" s="216" t="str">
        <f t="array" aca="1" ref="BB39" ca="1">IF(BC33&lt;&gt;"",
IF(OR(INDIRECT("'盛付札（関数）'!AE"&amp;BA33)=211,INDIRECT("'盛付札（関数）'!AE"&amp;BA33)=212,INDIRECT("'盛付札（関数）'!AE"&amp;BA33)=213),"",
INDIRECT("'盛付札（関数）'!AM"&amp;BA33)),"")</f>
        <v/>
      </c>
      <c r="BC39" s="209"/>
      <c r="BD39" s="216" t="str">
        <f t="array" aca="1" ref="BD39" ca="1">IF(BC33&lt;&gt;"",
IF(OR(INDIRECT("'盛付札（関数）'!AE"&amp;BA33)=211,INDIRECT("'盛付札（関数）'!AE"&amp;BA33)=212,INDIRECT("'盛付札（関数）'!AE"&amp;BA33)=213),"",
INDIRECT("'盛付札（関数）'!AN"&amp;BA33)),"")</f>
        <v/>
      </c>
      <c r="BE39" s="209"/>
      <c r="BF39" s="217" t="str">
        <f t="array" aca="1" ref="BF39" ca="1">IF(AND(BC33&lt;&gt;"",BC33&lt;&gt;"社食"),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INDIRECT("'盛付札（関数）'!AO"&amp;BA33))),"")</f>
        <v/>
      </c>
      <c r="BG39" s="209"/>
      <c r="BJ39" s="216" t="str">
        <f t="array" aca="1" ref="BJ39" ca="1">IF(BK33&lt;&gt;"",
IF(OR(INDIRECT("'盛付札（関数）'!AE"&amp;BI33)=211,INDIRECT("'盛付札（関数）'!AE"&amp;BI33)=212,INDIRECT("'盛付札（関数）'!AE"&amp;BI33)=213),"",
INDIRECT("'盛付札（関数）'!AM"&amp;BI33)),"")</f>
        <v/>
      </c>
      <c r="BK39" s="209"/>
      <c r="BL39" s="216" t="str">
        <f t="array" aca="1" ref="BL39" ca="1">IF(BK33&lt;&gt;"",
IF(OR(INDIRECT("'盛付札（関数）'!AE"&amp;BI33)=211,INDIRECT("'盛付札（関数）'!AE"&amp;BI33)=212,INDIRECT("'盛付札（関数）'!AE"&amp;BI33)=213),"",
INDIRECT("'盛付札（関数）'!AN"&amp;BI33)),"")</f>
        <v/>
      </c>
      <c r="BM39" s="209"/>
      <c r="BN39" s="217" t="str">
        <f t="array" aca="1" ref="BN39" ca="1">IF(AND(BK33&lt;&gt;"",BK33&lt;&gt;"社食"),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INDIRECT("'盛付札（関数）'!AO"&amp;BI33))),"")</f>
        <v/>
      </c>
      <c r="BO39" s="209"/>
      <c r="BQ39" s="216" t="str">
        <f t="array" aca="1" ref="BQ39" ca="1">IF(BR33&lt;&gt;"",
IF(OR(INDIRECT("'盛付札（関数）'!AE"&amp;BP33)=211,INDIRECT("'盛付札（関数）'!AE"&amp;BP33)=212,INDIRECT("'盛付札（関数）'!AE"&amp;BP33)=213),"",
INDIRECT("'盛付札（関数）'!AM"&amp;BP33)),"")</f>
        <v/>
      </c>
      <c r="BR39" s="209"/>
      <c r="BS39" s="216" t="str">
        <f t="array" aca="1" ref="BS39" ca="1">IF(BR33&lt;&gt;"",
IF(OR(INDIRECT("'盛付札（関数）'!AE"&amp;BP33)=211,INDIRECT("'盛付札（関数）'!AE"&amp;BP33)=212,INDIRECT("'盛付札（関数）'!AE"&amp;BP33)=213),"",
INDIRECT("'盛付札（関数）'!AN"&amp;BP33)),"")</f>
        <v/>
      </c>
      <c r="BT39" s="209"/>
      <c r="BU39" s="217" t="str">
        <f t="array" aca="1" ref="BU39" ca="1">IF(AND(BR33&lt;&gt;"",BR33&lt;&gt;"社食"),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INDIRECT("'盛付札（関数）'!AO"&amp;BP33))),"")</f>
        <v/>
      </c>
      <c r="BV39" s="209"/>
      <c r="BY39" s="216" t="str">
        <f t="array" aca="1" ref="BY39" ca="1">IF(BZ33&lt;&gt;"",
IF(OR(INDIRECT("'盛付札（関数）'!AE"&amp;BX33)=211,INDIRECT("'盛付札（関数）'!AE"&amp;BX33)=212,INDIRECT("'盛付札（関数）'!AE"&amp;BX33)=213),"",
INDIRECT("'盛付札（関数）'!AM"&amp;BX33)),"")</f>
        <v/>
      </c>
      <c r="BZ39" s="209"/>
      <c r="CA39" s="216" t="str">
        <f t="array" aca="1" ref="CA39" ca="1">IF(BZ33&lt;&gt;"",
IF(OR(INDIRECT("'盛付札（関数）'!AE"&amp;BX33)=211,INDIRECT("'盛付札（関数）'!AE"&amp;BX33)=212,INDIRECT("'盛付札（関数）'!AE"&amp;BX33)=213),"",
INDIRECT("'盛付札（関数）'!AN"&amp;BX33)),"")</f>
        <v/>
      </c>
      <c r="CB39" s="209"/>
      <c r="CC39" s="217" t="str">
        <f t="array" aca="1" ref="CC39" ca="1">IF(AND(BZ33&lt;&gt;"",BZ33&lt;&gt;"社食"),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INDIRECT("'盛付札（関数）'!AO"&amp;BX33))),"")</f>
        <v/>
      </c>
      <c r="CD39" s="209"/>
      <c r="CF39" s="216" t="str">
        <f t="array" aca="1" ref="CF39" ca="1">IF(CG33&lt;&gt;"",
IF(OR(INDIRECT("'盛付札（関数）'!AE"&amp;CE33)=211,INDIRECT("'盛付札（関数）'!AE"&amp;CE33)=212,INDIRECT("'盛付札（関数）'!AE"&amp;CE33)=213),"",
INDIRECT("'盛付札（関数）'!AM"&amp;CE33)),"")</f>
        <v/>
      </c>
      <c r="CG39" s="209"/>
      <c r="CH39" s="216" t="str">
        <f t="array" aca="1" ref="CH39" ca="1">IF(CG33&lt;&gt;"",
IF(OR(INDIRECT("'盛付札（関数）'!AE"&amp;CE33)=211,INDIRECT("'盛付札（関数）'!AE"&amp;CE33)=212,INDIRECT("'盛付札（関数）'!AE"&amp;CE33)=213),"",
INDIRECT("'盛付札（関数）'!AN"&amp;CE33)),"")</f>
        <v/>
      </c>
      <c r="CI39" s="209"/>
      <c r="CJ39" s="217" t="str">
        <f t="array" aca="1" ref="CJ39" ca="1">IF(AND(CG33&lt;&gt;"",CG33&lt;&gt;"社食"),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INDIRECT("'盛付札（関数）'!AO"&amp;CE33))),"")</f>
        <v/>
      </c>
      <c r="CK39" s="209"/>
      <c r="CN39" s="216" t="str">
        <f t="array" aca="1" ref="CN39" ca="1">IF(CO33&lt;&gt;"",
IF(OR(INDIRECT("'盛付札（関数）'!AE"&amp;CM33)=211,INDIRECT("'盛付札（関数）'!AE"&amp;CM33)=212,INDIRECT("'盛付札（関数）'!AE"&amp;CM33)=213),"",
INDIRECT("'盛付札（関数）'!AM"&amp;CM33)),"")</f>
        <v/>
      </c>
      <c r="CO39" s="209"/>
      <c r="CP39" s="216" t="str">
        <f t="array" aca="1" ref="CP39" ca="1">IF(CO33&lt;&gt;"",
IF(OR(INDIRECT("'盛付札（関数）'!AE"&amp;CM33)=211,INDIRECT("'盛付札（関数）'!AE"&amp;CM33)=212,INDIRECT("'盛付札（関数）'!AE"&amp;CM33)=213),"",
INDIRECT("'盛付札（関数）'!AN"&amp;CM33)),"")</f>
        <v/>
      </c>
      <c r="CQ39" s="209"/>
      <c r="CR39" s="217" t="str">
        <f t="array" aca="1" ref="CR39" ca="1">IF(AND(CO33&lt;&gt;"",CO33&lt;&gt;"社食"),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INDIRECT("'盛付札（関数）'!AO"&amp;CM33))),"")</f>
        <v/>
      </c>
      <c r="CS39" s="209"/>
      <c r="CU39" s="216" t="str">
        <f t="array" aca="1" ref="CU39" ca="1">IF(CV33&lt;&gt;"",
IF(OR(INDIRECT("'盛付札（関数）'!AE"&amp;CT33)=211,INDIRECT("'盛付札（関数）'!AE"&amp;CT33)=212,INDIRECT("'盛付札（関数）'!AE"&amp;CT33)=213),"",
INDIRECT("'盛付札（関数）'!AM"&amp;CT33)),"")</f>
        <v/>
      </c>
      <c r="CV39" s="209"/>
      <c r="CW39" s="216" t="str">
        <f t="array" aca="1" ref="CW39" ca="1">IF(CV33&lt;&gt;"",
IF(OR(INDIRECT("'盛付札（関数）'!AE"&amp;CT33)=211,INDIRECT("'盛付札（関数）'!AE"&amp;CT33)=212,INDIRECT("'盛付札（関数）'!AE"&amp;CT33)=213),"",
INDIRECT("'盛付札（関数）'!AN"&amp;CT33)),"")</f>
        <v/>
      </c>
      <c r="CX39" s="209"/>
      <c r="CY39" s="217" t="str">
        <f t="array" aca="1" ref="CY39" ca="1">IF(AND(CV33&lt;&gt;"",CV33&lt;&gt;"社食"),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INDIRECT("'盛付札（関数）'!AO"&amp;CT33))),"")</f>
        <v/>
      </c>
      <c r="CZ39" s="209"/>
      <c r="DC39" s="216" t="str">
        <f t="array" aca="1" ref="DC39" ca="1">IF(DD33&lt;&gt;"",
IF(OR(INDIRECT("'盛付札（関数）'!AE"&amp;DB33)=211,INDIRECT("'盛付札（関数）'!AE"&amp;DB33)=212,INDIRECT("'盛付札（関数）'!AE"&amp;DB33)=213),"",
INDIRECT("'盛付札（関数）'!AM"&amp;DB33)),"")</f>
        <v/>
      </c>
      <c r="DD39" s="209"/>
      <c r="DE39" s="216" t="str">
        <f t="array" aca="1" ref="DE39" ca="1">IF(DD33&lt;&gt;"",
IF(OR(INDIRECT("'盛付札（関数）'!AE"&amp;DB33)=211,INDIRECT("'盛付札（関数）'!AE"&amp;DB33)=212,INDIRECT("'盛付札（関数）'!AE"&amp;DB33)=213),"",
INDIRECT("'盛付札（関数）'!AN"&amp;DB33)),"")</f>
        <v/>
      </c>
      <c r="DF39" s="209"/>
      <c r="DG39" s="217" t="str">
        <f t="array" aca="1" ref="DG39" ca="1">IF(AND(DD33&lt;&gt;"",DD33&lt;&gt;"社食"),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INDIRECT("'盛付札（関数）'!AO"&amp;DB33))),"")</f>
        <v/>
      </c>
      <c r="DH39" s="209"/>
      <c r="DJ39" s="216" t="str">
        <f t="array" aca="1" ref="DJ39" ca="1">IF(DK33&lt;&gt;"",
IF(OR(INDIRECT("'盛付札（関数）'!AE"&amp;DI33)=211,INDIRECT("'盛付札（関数）'!AE"&amp;DI33)=212,INDIRECT("'盛付札（関数）'!AE"&amp;DI33)=213),"",
INDIRECT("'盛付札（関数）'!AM"&amp;DI33)),"")</f>
        <v/>
      </c>
      <c r="DK39" s="209"/>
      <c r="DL39" s="216" t="str">
        <f t="array" aca="1" ref="DL39" ca="1">IF(DK33&lt;&gt;"",
IF(OR(INDIRECT("'盛付札（関数）'!AE"&amp;DI33)=211,INDIRECT("'盛付札（関数）'!AE"&amp;DI33)=212,INDIRECT("'盛付札（関数）'!AE"&amp;DI33)=213),"",
INDIRECT("'盛付札（関数）'!AN"&amp;DI33)),"")</f>
        <v/>
      </c>
      <c r="DM39" s="209"/>
      <c r="DN39" s="217" t="str">
        <f t="array" aca="1" ref="DN39" ca="1">IF(AND(DK33&lt;&gt;"",DK33&lt;&gt;"社食"),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INDIRECT("'盛付札（関数）'!AO"&amp;DI33))),"")</f>
        <v/>
      </c>
      <c r="DO39" s="209"/>
      <c r="DR39" s="216" t="str">
        <f t="array" aca="1" ref="DR39" ca="1">IF(DS33&lt;&gt;"",
IF(OR(INDIRECT("'盛付札（関数）'!AE"&amp;DQ33)=211,INDIRECT("'盛付札（関数）'!AE"&amp;DQ33)=212,INDIRECT("'盛付札（関数）'!AE"&amp;DQ33)=213),"",
INDIRECT("'盛付札（関数）'!AM"&amp;DQ33)),"")</f>
        <v/>
      </c>
      <c r="DS39" s="209"/>
      <c r="DT39" s="216" t="str">
        <f t="array" aca="1" ref="DT39" ca="1">IF(DS33&lt;&gt;"",
IF(OR(INDIRECT("'盛付札（関数）'!AE"&amp;DQ33)=211,INDIRECT("'盛付札（関数）'!AE"&amp;DQ33)=212,INDIRECT("'盛付札（関数）'!AE"&amp;DQ33)=213),"",
INDIRECT("'盛付札（関数）'!AN"&amp;DQ33)),"")</f>
        <v/>
      </c>
      <c r="DU39" s="209"/>
      <c r="DV39" s="217" t="str">
        <f t="array" aca="1" ref="DV39" ca="1">IF(AND(DS33&lt;&gt;"",DS33&lt;&gt;"社食"),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INDIRECT("'盛付札（関数）'!AO"&amp;DQ33))),"")</f>
        <v/>
      </c>
      <c r="DW39" s="209"/>
      <c r="DY39" s="216" t="str">
        <f t="array" aca="1" ref="DY39" ca="1">IF(DZ33&lt;&gt;"",
IF(OR(INDIRECT("'盛付札（関数）'!AE"&amp;DX33)=211,INDIRECT("'盛付札（関数）'!AE"&amp;DX33)=212,INDIRECT("'盛付札（関数）'!AE"&amp;DX33)=213),"",
INDIRECT("'盛付札（関数）'!AM"&amp;DX33)),"")</f>
        <v/>
      </c>
      <c r="DZ39" s="209"/>
      <c r="EA39" s="216" t="str">
        <f t="array" aca="1" ref="EA39" ca="1">IF(DZ33&lt;&gt;"",
IF(OR(INDIRECT("'盛付札（関数）'!AE"&amp;DX33)=211,INDIRECT("'盛付札（関数）'!AE"&amp;DX33)=212,INDIRECT("'盛付札（関数）'!AE"&amp;DX33)=213),"",
INDIRECT("'盛付札（関数）'!AN"&amp;DX33)),"")</f>
        <v/>
      </c>
      <c r="EB39" s="209"/>
      <c r="EC39" s="217" t="str">
        <f t="array" aca="1" ref="EC39" ca="1">IF(AND(DZ33&lt;&gt;"",DZ33&lt;&gt;"社食"),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INDIRECT("'盛付札（関数）'!AO"&amp;DX33))),"")</f>
        <v/>
      </c>
      <c r="ED39" s="209"/>
      <c r="EG39" s="216" t="str">
        <f t="array" aca="1" ref="EG39" ca="1">IF(EH33&lt;&gt;"",
IF(OR(INDIRECT("'盛付札（関数）'!AE"&amp;EF33)=211,INDIRECT("'盛付札（関数）'!AE"&amp;EF33)=212,INDIRECT("'盛付札（関数）'!AE"&amp;EF33)=213),"",
INDIRECT("'盛付札（関数）'!AM"&amp;EF33)),"")</f>
        <v/>
      </c>
      <c r="EH39" s="209"/>
      <c r="EI39" s="216" t="str">
        <f t="array" aca="1" ref="EI39" ca="1">IF(EH33&lt;&gt;"",
IF(OR(INDIRECT("'盛付札（関数）'!AE"&amp;EF33)=211,INDIRECT("'盛付札（関数）'!AE"&amp;EF33)=212,INDIRECT("'盛付札（関数）'!AE"&amp;EF33)=213),"",
INDIRECT("'盛付札（関数）'!AN"&amp;EF33)),"")</f>
        <v/>
      </c>
      <c r="EJ39" s="209"/>
      <c r="EK39" s="217" t="str">
        <f t="array" aca="1" ref="EK39" ca="1">IF(AND(EH33&lt;&gt;"",EH33&lt;&gt;"社食"),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INDIRECT("'盛付札（関数）'!AO"&amp;EF33))),"")</f>
        <v/>
      </c>
      <c r="EL39" s="209"/>
      <c r="EN39" s="216" t="str">
        <f t="array" aca="1" ref="EN39" ca="1">IF(EO33&lt;&gt;"",
IF(OR(INDIRECT("'盛付札（関数）'!AE"&amp;EM33)=211,INDIRECT("'盛付札（関数）'!AE"&amp;EM33)=212,INDIRECT("'盛付札（関数）'!AE"&amp;EM33)=213),"",
INDIRECT("'盛付札（関数）'!AM"&amp;EM33)),"")</f>
        <v/>
      </c>
      <c r="EO39" s="209"/>
      <c r="EP39" s="216" t="str">
        <f t="array" aca="1" ref="EP39" ca="1">IF(EO33&lt;&gt;"",
IF(OR(INDIRECT("'盛付札（関数）'!AE"&amp;EM33)=211,INDIRECT("'盛付札（関数）'!AE"&amp;EM33)=212,INDIRECT("'盛付札（関数）'!AE"&amp;EM33)=213),"",
INDIRECT("'盛付札（関数）'!AN"&amp;EM33)),"")</f>
        <v/>
      </c>
      <c r="EQ39" s="209"/>
      <c r="ER39" s="217" t="str">
        <f t="array" aca="1" ref="ER39" ca="1">IF(AND(EO33&lt;&gt;"",EO33&lt;&gt;"社食"),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INDIRECT("'盛付札（関数）'!AO"&amp;EM33))),"")</f>
        <v/>
      </c>
      <c r="ES39" s="209"/>
    </row>
    <row r="40" spans="1:150" ht="6.6" customHeight="1">
      <c r="B40" s="41"/>
      <c r="D40" s="41"/>
      <c r="F40" s="42"/>
      <c r="I40" s="41"/>
      <c r="K40" s="41"/>
      <c r="M40" s="42"/>
      <c r="Q40" s="41"/>
      <c r="S40" s="41"/>
      <c r="U40" s="42"/>
      <c r="X40" s="41"/>
      <c r="Z40" s="41"/>
      <c r="AB40" s="42"/>
      <c r="AF40" s="41"/>
      <c r="AH40" s="41"/>
      <c r="AJ40" s="42"/>
      <c r="AM40" s="41"/>
      <c r="AO40" s="41"/>
      <c r="AQ40" s="42"/>
      <c r="AU40" s="41"/>
      <c r="AW40" s="41"/>
      <c r="AY40" s="42"/>
      <c r="BB40" s="41"/>
      <c r="BD40" s="41"/>
      <c r="BF40" s="42"/>
      <c r="BJ40" s="41"/>
      <c r="BL40" s="41"/>
      <c r="BN40" s="42"/>
      <c r="BQ40" s="41"/>
      <c r="BS40" s="41"/>
      <c r="BU40" s="42"/>
      <c r="BY40" s="41"/>
      <c r="CA40" s="41"/>
      <c r="CC40" s="42"/>
      <c r="CF40" s="41"/>
      <c r="CH40" s="41"/>
      <c r="CJ40" s="42"/>
      <c r="CN40" s="41"/>
      <c r="CP40" s="41"/>
      <c r="CR40" s="42"/>
      <c r="CU40" s="41"/>
      <c r="CW40" s="41"/>
      <c r="CY40" s="42"/>
      <c r="DC40" s="41"/>
      <c r="DE40" s="41"/>
      <c r="DG40" s="42"/>
      <c r="DJ40" s="41"/>
      <c r="DL40" s="41"/>
      <c r="DN40" s="42"/>
      <c r="DR40" s="41"/>
      <c r="DT40" s="41"/>
      <c r="DV40" s="42"/>
      <c r="DY40" s="41"/>
      <c r="EA40" s="41"/>
      <c r="EC40" s="42"/>
      <c r="EG40" s="41"/>
      <c r="EI40" s="41"/>
      <c r="EK40" s="42"/>
      <c r="EN40" s="41"/>
      <c r="EP40" s="41"/>
      <c r="ER40" s="42"/>
    </row>
    <row r="41" spans="1:150" s="181" customFormat="1" ht="25.8" customHeight="1">
      <c r="A41" s="30">
        <f>H33+1</f>
        <v>11</v>
      </c>
      <c r="B41" s="40" t="str">
        <f ca="1">IF(C41&lt;&gt;"",
MID(貼り付け用!$A$2, FIND("年",貼り付け用!$A$2)+1,2)&amp;"/"&amp;MID(貼り付け用!$A$2, FIND("月",貼り付け用!$A$2)+1,2),"")</f>
        <v/>
      </c>
      <c r="C41" s="214" t="str">
        <f t="array" aca="1" ref="C41" ca="1">SUBSTITUTE(SUBSTITUTE(SUBSTITUTE(SUBSTITUTE(SUBSTITUTE(SUBSTITUTE(SUBSTITUTE(SUBSTITUTE(SUBSTITUTE(SUBSTITUTE(SUBSTITUTE(
INDIRECT("'盛付札（関数）'!AF"&amp;A41),"０",""),"①",""),"②",""),"③",""),"④",""),"⑤",""),"⑥",""),"⑦",""),"⑧",""),"⑨",""),"⑩","")</f>
        <v/>
      </c>
      <c r="D41" s="215"/>
      <c r="E41" s="215"/>
      <c r="F41" s="215"/>
      <c r="G41" s="39" t="str">
        <f t="array" aca="1" ref="G41" ca="1">IF(C41&lt;&gt;"",
IF(AND(INDIRECT("'盛付札（関数）'!AE"&amp;A41)&gt;=124,INDIRECT("'盛付札（関数）'!AE"&amp;A41)&lt;=144),"",
"様"),"")</f>
        <v/>
      </c>
      <c r="H41" s="33">
        <f>A41+1</f>
        <v>12</v>
      </c>
      <c r="I41" s="40" t="str">
        <f ca="1">IF(J41&lt;&gt;"",
MID(貼り付け用!$A$2, FIND("年",貼り付け用!$A$2)+1,2)&amp;"/"&amp;MID(貼り付け用!$A$2, FIND("月",貼り付け用!$A$2)+1,2),"")</f>
        <v/>
      </c>
      <c r="J41" s="214" t="str">
        <f t="array" aca="1" ref="J41" ca="1">SUBSTITUTE(SUBSTITUTE(SUBSTITUTE(SUBSTITUTE(SUBSTITUTE(SUBSTITUTE(SUBSTITUTE(SUBSTITUTE(SUBSTITUTE(SUBSTITUTE(SUBSTITUTE(
INDIRECT("'盛付札（関数）'!AF"&amp;H41),"０",""),"①",""),"②",""),"③",""),"④",""),"⑤",""),"⑥",""),"⑦",""),"⑧",""),"⑨",""),"⑩","")</f>
        <v/>
      </c>
      <c r="K41" s="215"/>
      <c r="L41" s="215"/>
      <c r="M41" s="215"/>
      <c r="N41" s="39" t="str">
        <f t="array" aca="1" ref="N41" ca="1">IF(J41&lt;&gt;"",
IF(AND(INDIRECT("'盛付札（関数）'!AE"&amp;H41)&gt;=124,INDIRECT("'盛付札（関数）'!AE"&amp;H41)&lt;=144),"",
"様"),"")</f>
        <v/>
      </c>
      <c r="O41" s="22"/>
      <c r="P41" s="30">
        <f>W33+1</f>
        <v>23</v>
      </c>
      <c r="Q41" s="40" t="str">
        <f ca="1">IF(R41&lt;&gt;"",
MID(貼り付け用!$A$2, FIND("年",貼り付け用!$A$2)+1,2)&amp;"/"&amp;MID(貼り付け用!$A$2, FIND("月",貼り付け用!$A$2)+1,2),"")</f>
        <v/>
      </c>
      <c r="R41" s="214" t="str">
        <f t="array" aca="1" ref="R41" ca="1">SUBSTITUTE(SUBSTITUTE(SUBSTITUTE(SUBSTITUTE(SUBSTITUTE(SUBSTITUTE(SUBSTITUTE(SUBSTITUTE(SUBSTITUTE(SUBSTITUTE(SUBSTITUTE(
INDIRECT("'盛付札（関数）'!AF"&amp;P41),"０",""),"①",""),"②",""),"③",""),"④",""),"⑤",""),"⑥",""),"⑦",""),"⑧",""),"⑨",""),"⑩","")</f>
        <v/>
      </c>
      <c r="S41" s="215"/>
      <c r="T41" s="215"/>
      <c r="U41" s="215"/>
      <c r="V41" s="39" t="str">
        <f t="array" aca="1" ref="V41" ca="1">IF(R41&lt;&gt;"",
IF(AND(INDIRECT("'盛付札（関数）'!AE"&amp;P41)&gt;=124,INDIRECT("'盛付札（関数）'!AE"&amp;P41)&lt;=144),"",
"様"),"")</f>
        <v/>
      </c>
      <c r="W41" s="33">
        <f>P41+1</f>
        <v>24</v>
      </c>
      <c r="X41" s="40" t="str">
        <f ca="1">IF(Y41&lt;&gt;"",
MID(貼り付け用!$A$2, FIND("年",貼り付け用!$A$2)+1,2)&amp;"/"&amp;MID(貼り付け用!$A$2, FIND("月",貼り付け用!$A$2)+1,2),"")</f>
        <v/>
      </c>
      <c r="Y41" s="214" t="str">
        <f t="array" aca="1" ref="Y41" ca="1">SUBSTITUTE(SUBSTITUTE(SUBSTITUTE(SUBSTITUTE(SUBSTITUTE(SUBSTITUTE(SUBSTITUTE(SUBSTITUTE(SUBSTITUTE(SUBSTITUTE(SUBSTITUTE(
INDIRECT("'盛付札（関数）'!AF"&amp;W41),"０",""),"①",""),"②",""),"③",""),"④",""),"⑤",""),"⑥",""),"⑦",""),"⑧",""),"⑨",""),"⑩","")</f>
        <v/>
      </c>
      <c r="Z41" s="215"/>
      <c r="AA41" s="215"/>
      <c r="AB41" s="215"/>
      <c r="AC41" s="39" t="str">
        <f t="array" aca="1" ref="AC41" ca="1">IF(Y41&lt;&gt;"",
IF(AND(INDIRECT("'盛付札（関数）'!AE"&amp;W41)&gt;=124,INDIRECT("'盛付札（関数）'!AE"&amp;W41)&lt;=144),"",
"様"),"")</f>
        <v/>
      </c>
      <c r="AD41" s="22"/>
      <c r="AE41" s="30">
        <f>AL33+1</f>
        <v>35</v>
      </c>
      <c r="AF41" s="40" t="str">
        <f ca="1">IF(AG41&lt;&gt;"",
MID(貼り付け用!$A$2, FIND("年",貼り付け用!$A$2)+1,2)&amp;"/"&amp;MID(貼り付け用!$A$2, FIND("月",貼り付け用!$A$2)+1,2),"")</f>
        <v/>
      </c>
      <c r="AG41" s="214" t="str">
        <f t="array" aca="1" ref="AG41" ca="1">SUBSTITUTE(SUBSTITUTE(SUBSTITUTE(SUBSTITUTE(SUBSTITUTE(SUBSTITUTE(SUBSTITUTE(SUBSTITUTE(SUBSTITUTE(SUBSTITUTE(SUBSTITUTE(
INDIRECT("'盛付札（関数）'!AF"&amp;AE41),"０",""),"①",""),"②",""),"③",""),"④",""),"⑤",""),"⑥",""),"⑦",""),"⑧",""),"⑨",""),"⑩","")</f>
        <v/>
      </c>
      <c r="AH41" s="215"/>
      <c r="AI41" s="215"/>
      <c r="AJ41" s="215"/>
      <c r="AK41" s="39" t="str">
        <f t="array" aca="1" ref="AK41" ca="1">IF(AG41&lt;&gt;"",
IF(AND(INDIRECT("'盛付札（関数）'!AE"&amp;AE41)&gt;=124,INDIRECT("'盛付札（関数）'!AE"&amp;AE41)&lt;=144),"",
"様"),"")</f>
        <v/>
      </c>
      <c r="AL41" s="33">
        <f>AE41+1</f>
        <v>36</v>
      </c>
      <c r="AM41" s="40" t="str">
        <f ca="1">IF(AN41&lt;&gt;"",
MID(貼り付け用!$A$2, FIND("年",貼り付け用!$A$2)+1,2)&amp;"/"&amp;MID(貼り付け用!$A$2, FIND("月",貼り付け用!$A$2)+1,2),"")</f>
        <v/>
      </c>
      <c r="AN41" s="214" t="str">
        <f t="array" aca="1" ref="AN41" ca="1">SUBSTITUTE(SUBSTITUTE(SUBSTITUTE(SUBSTITUTE(SUBSTITUTE(SUBSTITUTE(SUBSTITUTE(SUBSTITUTE(SUBSTITUTE(SUBSTITUTE(SUBSTITUTE(
INDIRECT("'盛付札（関数）'!AF"&amp;AL41),"０",""),"①",""),"②",""),"③",""),"④",""),"⑤",""),"⑥",""),"⑦",""),"⑧",""),"⑨",""),"⑩","")</f>
        <v/>
      </c>
      <c r="AO41" s="215"/>
      <c r="AP41" s="215"/>
      <c r="AQ41" s="215"/>
      <c r="AR41" s="39" t="str">
        <f t="array" aca="1" ref="AR41" ca="1">IF(AN41&lt;&gt;"",
IF(AND(INDIRECT("'盛付札（関数）'!AE"&amp;AL41)&gt;=124,INDIRECT("'盛付札（関数）'!AE"&amp;AL41)&lt;=144),"",
"様"),"")</f>
        <v/>
      </c>
      <c r="AS41" s="22"/>
      <c r="AT41" s="30">
        <f>BA33+1</f>
        <v>47</v>
      </c>
      <c r="AU41" s="40" t="str">
        <f ca="1">IF(AV41&lt;&gt;"",
MID(貼り付け用!$A$2, FIND("年",貼り付け用!$A$2)+1,2)&amp;"/"&amp;MID(貼り付け用!$A$2, FIND("月",貼り付け用!$A$2)+1,2),"")</f>
        <v/>
      </c>
      <c r="AV41" s="214" t="str">
        <f t="array" aca="1" ref="AV41" ca="1">SUBSTITUTE(SUBSTITUTE(SUBSTITUTE(SUBSTITUTE(SUBSTITUTE(SUBSTITUTE(SUBSTITUTE(SUBSTITUTE(SUBSTITUTE(SUBSTITUTE(SUBSTITUTE(
INDIRECT("'盛付札（関数）'!AF"&amp;AT41),"０",""),"①",""),"②",""),"③",""),"④",""),"⑤",""),"⑥",""),"⑦",""),"⑧",""),"⑨",""),"⑩","")</f>
        <v/>
      </c>
      <c r="AW41" s="215"/>
      <c r="AX41" s="215"/>
      <c r="AY41" s="215"/>
      <c r="AZ41" s="39" t="str">
        <f t="array" aca="1" ref="AZ41" ca="1">IF(AV41&lt;&gt;"",
IF(AND(INDIRECT("'盛付札（関数）'!AE"&amp;AT41)&gt;=124,INDIRECT("'盛付札（関数）'!AE"&amp;AT41)&lt;=144),"",
"様"),"")</f>
        <v/>
      </c>
      <c r="BA41" s="33">
        <f>AT41+1</f>
        <v>48</v>
      </c>
      <c r="BB41" s="40" t="str">
        <f ca="1">IF(BC41&lt;&gt;"",
MID(貼り付け用!$A$2, FIND("年",貼り付け用!$A$2)+1,2)&amp;"/"&amp;MID(貼り付け用!$A$2, FIND("月",貼り付け用!$A$2)+1,2),"")</f>
        <v/>
      </c>
      <c r="BC41" s="214" t="str">
        <f t="array" aca="1" ref="BC41" ca="1">SUBSTITUTE(SUBSTITUTE(SUBSTITUTE(SUBSTITUTE(SUBSTITUTE(SUBSTITUTE(SUBSTITUTE(SUBSTITUTE(SUBSTITUTE(SUBSTITUTE(SUBSTITUTE(
INDIRECT("'盛付札（関数）'!AF"&amp;BA41),"０",""),"①",""),"②",""),"③",""),"④",""),"⑤",""),"⑥",""),"⑦",""),"⑧",""),"⑨",""),"⑩","")</f>
        <v/>
      </c>
      <c r="BD41" s="215"/>
      <c r="BE41" s="215"/>
      <c r="BF41" s="215"/>
      <c r="BG41" s="39" t="str">
        <f t="array" aca="1" ref="BG41" ca="1">IF(BC41&lt;&gt;"",
IF(AND(INDIRECT("'盛付札（関数）'!AE"&amp;BA41)&gt;=124,INDIRECT("'盛付札（関数）'!AE"&amp;BA41)&lt;=144),"",
"様"),"")</f>
        <v/>
      </c>
      <c r="BH41" s="22"/>
      <c r="BI41" s="30">
        <f>BP33+1</f>
        <v>59</v>
      </c>
      <c r="BJ41" s="40" t="str">
        <f ca="1">IF(BK41&lt;&gt;"",
MID(貼り付け用!$A$2, FIND("年",貼り付け用!$A$2)+1,2)&amp;"/"&amp;MID(貼り付け用!$A$2, FIND("月",貼り付け用!$A$2)+1,2),"")</f>
        <v/>
      </c>
      <c r="BK41" s="214" t="str">
        <f t="array" aca="1" ref="BK41" ca="1">SUBSTITUTE(SUBSTITUTE(SUBSTITUTE(SUBSTITUTE(SUBSTITUTE(SUBSTITUTE(SUBSTITUTE(SUBSTITUTE(SUBSTITUTE(SUBSTITUTE(SUBSTITUTE(
INDIRECT("'盛付札（関数）'!AF"&amp;BI41),"０",""),"①",""),"②",""),"③",""),"④",""),"⑤",""),"⑥",""),"⑦",""),"⑧",""),"⑨",""),"⑩","")</f>
        <v/>
      </c>
      <c r="BL41" s="215"/>
      <c r="BM41" s="215"/>
      <c r="BN41" s="215"/>
      <c r="BO41" s="39" t="str">
        <f t="array" aca="1" ref="BO41" ca="1">IF(BK41&lt;&gt;"",
IF(AND(INDIRECT("'盛付札（関数）'!AE"&amp;BI41)&gt;=124,INDIRECT("'盛付札（関数）'!AE"&amp;BI41)&lt;=144),"",
"様"),"")</f>
        <v/>
      </c>
      <c r="BP41" s="33">
        <f>BI41+1</f>
        <v>60</v>
      </c>
      <c r="BQ41" s="40" t="str">
        <f ca="1">IF(BR41&lt;&gt;"",
MID(貼り付け用!$A$2, FIND("年",貼り付け用!$A$2)+1,2)&amp;"/"&amp;MID(貼り付け用!$A$2, FIND("月",貼り付け用!$A$2)+1,2),"")</f>
        <v/>
      </c>
      <c r="BR41" s="214" t="str">
        <f t="array" aca="1" ref="BR41" ca="1">SUBSTITUTE(SUBSTITUTE(SUBSTITUTE(SUBSTITUTE(SUBSTITUTE(SUBSTITUTE(SUBSTITUTE(SUBSTITUTE(SUBSTITUTE(SUBSTITUTE(SUBSTITUTE(
INDIRECT("'盛付札（関数）'!AF"&amp;BP41),"０",""),"①",""),"②",""),"③",""),"④",""),"⑤",""),"⑥",""),"⑦",""),"⑧",""),"⑨",""),"⑩","")</f>
        <v/>
      </c>
      <c r="BS41" s="215"/>
      <c r="BT41" s="215"/>
      <c r="BU41" s="215"/>
      <c r="BV41" s="39" t="str">
        <f t="array" aca="1" ref="BV41" ca="1">IF(BR41&lt;&gt;"",
IF(AND(INDIRECT("'盛付札（関数）'!AE"&amp;BP41)&gt;=124,INDIRECT("'盛付札（関数）'!AE"&amp;BP41)&lt;=144),"",
"様"),"")</f>
        <v/>
      </c>
      <c r="BW41" s="22"/>
      <c r="BX41" s="30">
        <f>CE33+1</f>
        <v>71</v>
      </c>
      <c r="BY41" s="40" t="str">
        <f ca="1">IF(BZ41&lt;&gt;"",
MID(貼り付け用!$A$2, FIND("年",貼り付け用!$A$2)+1,2)&amp;"/"&amp;MID(貼り付け用!$A$2, FIND("月",貼り付け用!$A$2)+1,2),"")</f>
        <v/>
      </c>
      <c r="BZ41" s="214" t="str">
        <f t="array" aca="1" ref="BZ41" ca="1">SUBSTITUTE(SUBSTITUTE(SUBSTITUTE(SUBSTITUTE(SUBSTITUTE(SUBSTITUTE(SUBSTITUTE(SUBSTITUTE(SUBSTITUTE(SUBSTITUTE(SUBSTITUTE(
INDIRECT("'盛付札（関数）'!AF"&amp;BX41),"０",""),"①",""),"②",""),"③",""),"④",""),"⑤",""),"⑥",""),"⑦",""),"⑧",""),"⑨",""),"⑩","")</f>
        <v/>
      </c>
      <c r="CA41" s="215"/>
      <c r="CB41" s="215"/>
      <c r="CC41" s="215"/>
      <c r="CD41" s="39" t="str">
        <f t="array" aca="1" ref="CD41" ca="1">IF(BZ41&lt;&gt;"",
IF(AND(INDIRECT("'盛付札（関数）'!AE"&amp;BX41)&gt;=124,INDIRECT("'盛付札（関数）'!AE"&amp;BX41)&lt;=144),"",
"様"),"")</f>
        <v/>
      </c>
      <c r="CE41" s="33">
        <f>BX41+1</f>
        <v>72</v>
      </c>
      <c r="CF41" s="40" t="str">
        <f ca="1">IF(CG41&lt;&gt;"",
MID(貼り付け用!$A$2, FIND("年",貼り付け用!$A$2)+1,2)&amp;"/"&amp;MID(貼り付け用!$A$2, FIND("月",貼り付け用!$A$2)+1,2),"")</f>
        <v/>
      </c>
      <c r="CG41" s="214" t="str">
        <f t="array" aca="1" ref="CG41" ca="1">SUBSTITUTE(SUBSTITUTE(SUBSTITUTE(SUBSTITUTE(SUBSTITUTE(SUBSTITUTE(SUBSTITUTE(SUBSTITUTE(SUBSTITUTE(SUBSTITUTE(SUBSTITUTE(
INDIRECT("'盛付札（関数）'!AF"&amp;CE41),"０",""),"①",""),"②",""),"③",""),"④",""),"⑤",""),"⑥",""),"⑦",""),"⑧",""),"⑨",""),"⑩","")</f>
        <v/>
      </c>
      <c r="CH41" s="215"/>
      <c r="CI41" s="215"/>
      <c r="CJ41" s="215"/>
      <c r="CK41" s="39" t="str">
        <f t="array" aca="1" ref="CK41" ca="1">IF(CG41&lt;&gt;"",
IF(AND(INDIRECT("'盛付札（関数）'!AE"&amp;CE41)&gt;=124,INDIRECT("'盛付札（関数）'!AE"&amp;CE41)&lt;=144),"",
"様"),"")</f>
        <v/>
      </c>
      <c r="CL41" s="22"/>
      <c r="CM41" s="30">
        <f>CT33+1</f>
        <v>83</v>
      </c>
      <c r="CN41" s="40" t="str">
        <f ca="1">IF(CO41&lt;&gt;"",
MID(貼り付け用!$A$2, FIND("年",貼り付け用!$A$2)+1,2)&amp;"/"&amp;MID(貼り付け用!$A$2, FIND("月",貼り付け用!$A$2)+1,2),"")</f>
        <v/>
      </c>
      <c r="CO41" s="214" t="str">
        <f t="array" aca="1" ref="CO41" ca="1">SUBSTITUTE(SUBSTITUTE(SUBSTITUTE(SUBSTITUTE(SUBSTITUTE(SUBSTITUTE(SUBSTITUTE(SUBSTITUTE(SUBSTITUTE(SUBSTITUTE(SUBSTITUTE(
INDIRECT("'盛付札（関数）'!AF"&amp;CM41),"０",""),"①",""),"②",""),"③",""),"④",""),"⑤",""),"⑥",""),"⑦",""),"⑧",""),"⑨",""),"⑩","")</f>
        <v/>
      </c>
      <c r="CP41" s="215"/>
      <c r="CQ41" s="215"/>
      <c r="CR41" s="215"/>
      <c r="CS41" s="39" t="str">
        <f t="array" aca="1" ref="CS41" ca="1">IF(CO41&lt;&gt;"",
IF(AND(INDIRECT("'盛付札（関数）'!AE"&amp;CM41)&gt;=124,INDIRECT("'盛付札（関数）'!AE"&amp;CM41)&lt;=144),"",
"様"),"")</f>
        <v/>
      </c>
      <c r="CT41" s="33">
        <f>CM41+1</f>
        <v>84</v>
      </c>
      <c r="CU41" s="40" t="str">
        <f ca="1">IF(CV41&lt;&gt;"",
MID(貼り付け用!$A$2, FIND("年",貼り付け用!$A$2)+1,2)&amp;"/"&amp;MID(貼り付け用!$A$2, FIND("月",貼り付け用!$A$2)+1,2),"")</f>
        <v/>
      </c>
      <c r="CV41" s="214" t="str">
        <f t="array" aca="1" ref="CV41" ca="1">SUBSTITUTE(SUBSTITUTE(SUBSTITUTE(SUBSTITUTE(SUBSTITUTE(SUBSTITUTE(SUBSTITUTE(SUBSTITUTE(SUBSTITUTE(SUBSTITUTE(SUBSTITUTE(
INDIRECT("'盛付札（関数）'!AF"&amp;CT41),"０",""),"①",""),"②",""),"③",""),"④",""),"⑤",""),"⑥",""),"⑦",""),"⑧",""),"⑨",""),"⑩","")</f>
        <v/>
      </c>
      <c r="CW41" s="215"/>
      <c r="CX41" s="215"/>
      <c r="CY41" s="215"/>
      <c r="CZ41" s="39" t="str">
        <f t="array" aca="1" ref="CZ41" ca="1">IF(CV41&lt;&gt;"",
IF(AND(INDIRECT("'盛付札（関数）'!AE"&amp;CT41)&gt;=124,INDIRECT("'盛付札（関数）'!AE"&amp;CT41)&lt;=144),"",
"様"),"")</f>
        <v/>
      </c>
      <c r="DA41" s="22"/>
      <c r="DB41" s="30">
        <f>DI33+1</f>
        <v>95</v>
      </c>
      <c r="DC41" s="40" t="str">
        <f ca="1">IF(DD41&lt;&gt;"",
MID(貼り付け用!$A$2, FIND("年",貼り付け用!$A$2)+1,2)&amp;"/"&amp;MID(貼り付け用!$A$2, FIND("月",貼り付け用!$A$2)+1,2),"")</f>
        <v/>
      </c>
      <c r="DD41" s="214" t="str">
        <f t="array" aca="1" ref="DD41" ca="1">SUBSTITUTE(SUBSTITUTE(SUBSTITUTE(SUBSTITUTE(SUBSTITUTE(SUBSTITUTE(SUBSTITUTE(SUBSTITUTE(SUBSTITUTE(SUBSTITUTE(SUBSTITUTE(
INDIRECT("'盛付札（関数）'!AF"&amp;DB41),"０",""),"①",""),"②",""),"③",""),"④",""),"⑤",""),"⑥",""),"⑦",""),"⑧",""),"⑨",""),"⑩","")</f>
        <v/>
      </c>
      <c r="DE41" s="215"/>
      <c r="DF41" s="215"/>
      <c r="DG41" s="215"/>
      <c r="DH41" s="39" t="str">
        <f t="array" aca="1" ref="DH41" ca="1">IF(DD41&lt;&gt;"",
IF(AND(INDIRECT("'盛付札（関数）'!AE"&amp;DB41)&gt;=124,INDIRECT("'盛付札（関数）'!AE"&amp;DB41)&lt;=144),"",
"様"),"")</f>
        <v/>
      </c>
      <c r="DI41" s="33">
        <f>DB41+1</f>
        <v>96</v>
      </c>
      <c r="DJ41" s="40" t="str">
        <f ca="1">IF(DK41&lt;&gt;"",
MID(貼り付け用!$A$2, FIND("年",貼り付け用!$A$2)+1,2)&amp;"/"&amp;MID(貼り付け用!$A$2, FIND("月",貼り付け用!$A$2)+1,2),"")</f>
        <v/>
      </c>
      <c r="DK41" s="214" t="str">
        <f t="array" aca="1" ref="DK41" ca="1">SUBSTITUTE(SUBSTITUTE(SUBSTITUTE(SUBSTITUTE(SUBSTITUTE(SUBSTITUTE(SUBSTITUTE(SUBSTITUTE(SUBSTITUTE(SUBSTITUTE(SUBSTITUTE(
INDIRECT("'盛付札（関数）'!AF"&amp;DI41),"０",""),"①",""),"②",""),"③",""),"④",""),"⑤",""),"⑥",""),"⑦",""),"⑧",""),"⑨",""),"⑩","")</f>
        <v/>
      </c>
      <c r="DL41" s="215"/>
      <c r="DM41" s="215"/>
      <c r="DN41" s="215"/>
      <c r="DO41" s="39" t="str">
        <f t="array" aca="1" ref="DO41" ca="1">IF(DK41&lt;&gt;"",
IF(AND(INDIRECT("'盛付札（関数）'!AE"&amp;DI41)&gt;=124,INDIRECT("'盛付札（関数）'!AE"&amp;DI41)&lt;=144),"",
"様"),"")</f>
        <v/>
      </c>
      <c r="DP41" s="22"/>
      <c r="DQ41" s="30">
        <f>DX33+1</f>
        <v>107</v>
      </c>
      <c r="DR41" s="40" t="str">
        <f ca="1">IF(DS41&lt;&gt;"",
MID(貼り付け用!$A$2, FIND("年",貼り付け用!$A$2)+1,2)&amp;"/"&amp;MID(貼り付け用!$A$2, FIND("月",貼り付け用!$A$2)+1,2),"")</f>
        <v/>
      </c>
      <c r="DS41" s="214" t="str">
        <f t="array" aca="1" ref="DS41" ca="1">SUBSTITUTE(SUBSTITUTE(SUBSTITUTE(SUBSTITUTE(SUBSTITUTE(SUBSTITUTE(SUBSTITUTE(SUBSTITUTE(SUBSTITUTE(SUBSTITUTE(SUBSTITUTE(
INDIRECT("'盛付札（関数）'!AF"&amp;DQ41),"０",""),"①",""),"②",""),"③",""),"④",""),"⑤",""),"⑥",""),"⑦",""),"⑧",""),"⑨",""),"⑩","")</f>
        <v/>
      </c>
      <c r="DT41" s="215"/>
      <c r="DU41" s="215"/>
      <c r="DV41" s="215"/>
      <c r="DW41" s="39" t="str">
        <f t="array" aca="1" ref="DW41" ca="1">IF(DS41&lt;&gt;"",
IF(AND(INDIRECT("'盛付札（関数）'!AE"&amp;DQ41)&gt;=124,INDIRECT("'盛付札（関数）'!AE"&amp;DQ41)&lt;=144),"",
"様"),"")</f>
        <v/>
      </c>
      <c r="DX41" s="33">
        <f>DQ41+1</f>
        <v>108</v>
      </c>
      <c r="DY41" s="40" t="str">
        <f ca="1">IF(DZ41&lt;&gt;"",
MID(貼り付け用!$A$2, FIND("年",貼り付け用!$A$2)+1,2)&amp;"/"&amp;MID(貼り付け用!$A$2, FIND("月",貼り付け用!$A$2)+1,2),"")</f>
        <v/>
      </c>
      <c r="DZ41" s="214" t="str">
        <f t="array" aca="1" ref="DZ41" ca="1">SUBSTITUTE(SUBSTITUTE(SUBSTITUTE(SUBSTITUTE(SUBSTITUTE(SUBSTITUTE(SUBSTITUTE(SUBSTITUTE(SUBSTITUTE(SUBSTITUTE(SUBSTITUTE(
INDIRECT("'盛付札（関数）'!AF"&amp;DX41),"０",""),"①",""),"②",""),"③",""),"④",""),"⑤",""),"⑥",""),"⑦",""),"⑧",""),"⑨",""),"⑩","")</f>
        <v/>
      </c>
      <c r="EA41" s="215"/>
      <c r="EB41" s="215"/>
      <c r="EC41" s="215"/>
      <c r="ED41" s="39" t="str">
        <f t="array" aca="1" ref="ED41" ca="1">IF(DZ41&lt;&gt;"",
IF(AND(INDIRECT("'盛付札（関数）'!AE"&amp;DX41)&gt;=124,INDIRECT("'盛付札（関数）'!AE"&amp;DX41)&lt;=144),"",
"様"),"")</f>
        <v/>
      </c>
      <c r="EE41" s="22"/>
      <c r="EF41" s="30">
        <f>EM33+1</f>
        <v>119</v>
      </c>
      <c r="EG41" s="40" t="str">
        <f ca="1">IF(EH41&lt;&gt;"",
MID(貼り付け用!$A$2, FIND("年",貼り付け用!$A$2)+1,2)&amp;"/"&amp;MID(貼り付け用!$A$2, FIND("月",貼り付け用!$A$2)+1,2),"")</f>
        <v/>
      </c>
      <c r="EH41" s="214" t="str">
        <f t="array" aca="1" ref="EH41" ca="1">SUBSTITUTE(SUBSTITUTE(SUBSTITUTE(SUBSTITUTE(SUBSTITUTE(SUBSTITUTE(SUBSTITUTE(SUBSTITUTE(SUBSTITUTE(SUBSTITUTE(SUBSTITUTE(
INDIRECT("'盛付札（関数）'!AF"&amp;EF41),"０",""),"①",""),"②",""),"③",""),"④",""),"⑤",""),"⑥",""),"⑦",""),"⑧",""),"⑨",""),"⑩","")</f>
        <v/>
      </c>
      <c r="EI41" s="215"/>
      <c r="EJ41" s="215"/>
      <c r="EK41" s="215"/>
      <c r="EL41" s="39" t="str">
        <f t="array" aca="1" ref="EL41" ca="1">IF(EH41&lt;&gt;"",
IF(AND(INDIRECT("'盛付札（関数）'!AE"&amp;EF41)&gt;=124,INDIRECT("'盛付札（関数）'!AE"&amp;EF41)&lt;=144),"",
"様"),"")</f>
        <v/>
      </c>
      <c r="EM41" s="33">
        <f>EF41+1</f>
        <v>120</v>
      </c>
      <c r="EN41" s="40" t="str">
        <f ca="1">IF(EO41&lt;&gt;"",
MID(貼り付け用!$A$2, FIND("年",貼り付け用!$A$2)+1,2)&amp;"/"&amp;MID(貼り付け用!$A$2, FIND("月",貼り付け用!$A$2)+1,2),"")</f>
        <v/>
      </c>
      <c r="EO41" s="214" t="str">
        <f t="array" aca="1" ref="EO41" ca="1">SUBSTITUTE(SUBSTITUTE(SUBSTITUTE(SUBSTITUTE(SUBSTITUTE(SUBSTITUTE(SUBSTITUTE(SUBSTITUTE(SUBSTITUTE(SUBSTITUTE(SUBSTITUTE(
INDIRECT("'盛付札（関数）'!AF"&amp;EM41),"０",""),"①",""),"②",""),"③",""),"④",""),"⑤",""),"⑥",""),"⑦",""),"⑧",""),"⑨",""),"⑩","")</f>
        <v/>
      </c>
      <c r="EP41" s="215"/>
      <c r="EQ41" s="215"/>
      <c r="ER41" s="215"/>
      <c r="ES41" s="39" t="str">
        <f t="array" aca="1" ref="ES41" ca="1">IF(EO41&lt;&gt;"",
IF(AND(INDIRECT("'盛付札（関数）'!AE"&amp;EM41)&gt;=124,INDIRECT("'盛付札（関数）'!AE"&amp;EM41)&lt;=144),"",
"様"),"")</f>
        <v/>
      </c>
      <c r="ET41" s="22"/>
    </row>
    <row r="42" spans="1:150" s="181" customFormat="1">
      <c r="A42" s="30"/>
      <c r="B42" s="102"/>
      <c r="C42" s="136" t="str">
        <f t="array" aca="1" ref="C42" ca="1">IF(C41&lt;&gt;"",
IF(OR(INDIRECT("'盛付札（関数）'!AE"&amp;A41)=211,INDIRECT("'盛付札（関数）'!AE"&amp;A41)=212,INDIRECT("'盛付札（関数）'!AE"&amp;A41)=213),"",
IF(AND(INDIRECT("'盛付札（関数）'!AE"&amp;A41)&gt;=219,INDIRECT("'盛付札（関数）'!AE"&amp;A41)&lt;=246),"",
INDIRECT("'盛付札（関数）'!AG"&amp;A41))),"")</f>
        <v/>
      </c>
      <c r="D42" s="38"/>
      <c r="E42" s="38"/>
      <c r="F42" s="190" t="str">
        <f t="array" aca="1" ref="F42" ca="1">IF(AND(C41&lt;&gt;"",ISERROR(FIND("社食",C41))),
IF(OR(INDIRECT("'盛付札（関数）'!AE"&amp;A41)=211,INDIRECT("'盛付札（関数）'!AE"&amp;A41)=212,INDIRECT("'盛付札（関数）'!AE"&amp;A41)=213),"",
IF(INDIRECT("'盛付札（関数）'!AH"&amp;A41)&lt;&gt;"",
INDIRECT("'盛付札（関数）'!AH"&amp;A41)&amp;"箱"&amp;INDIRECT("'盛付札（関数）'!AI"&amp;A41),"")),"")</f>
        <v/>
      </c>
      <c r="G42" s="36"/>
      <c r="H42" s="43"/>
      <c r="I42" s="102"/>
      <c r="J42" s="136" t="str">
        <f t="array" aca="1" ref="J42" ca="1">IF(J41&lt;&gt;"",
IF(OR(INDIRECT("'盛付札（関数）'!AE"&amp;H41)=211,INDIRECT("'盛付札（関数）'!AE"&amp;H41)=212,INDIRECT("'盛付札（関数）'!AE"&amp;H41)=213),"",
IF(AND(INDIRECT("'盛付札（関数）'!AE"&amp;H41)&gt;=219,INDIRECT("'盛付札（関数）'!AE"&amp;H41)&lt;=246),"",
INDIRECT("'盛付札（関数）'!AG"&amp;H41))),"")</f>
        <v/>
      </c>
      <c r="K42" s="38"/>
      <c r="L42" s="38"/>
      <c r="M42" s="190" t="str">
        <f t="array" aca="1" ref="M42" ca="1">IF(AND(J41&lt;&gt;"",ISERROR(FIND("社食",J41))),
IF(OR(INDIRECT("'盛付札（関数）'!AE"&amp;H41)=211,INDIRECT("'盛付札（関数）'!AE"&amp;H41)=212,INDIRECT("'盛付札（関数）'!AE"&amp;H41)=213),"",
IF(INDIRECT("'盛付札（関数）'!AH"&amp;H41)&lt;&gt;"",
INDIRECT("'盛付札（関数）'!AH"&amp;H41)&amp;"箱"&amp;INDIRECT("'盛付札（関数）'!AI"&amp;H41),"")),"")</f>
        <v/>
      </c>
      <c r="N42" s="36"/>
      <c r="O42" s="22"/>
      <c r="P42" s="30"/>
      <c r="Q42" s="102"/>
      <c r="R42" s="136" t="str">
        <f t="array" aca="1" ref="R42" ca="1">IF(R41&lt;&gt;"",
IF(OR(INDIRECT("'盛付札（関数）'!AE"&amp;P41)=211,INDIRECT("'盛付札（関数）'!AE"&amp;P41)=212,INDIRECT("'盛付札（関数）'!AE"&amp;P41)=213),"",
IF(AND(INDIRECT("'盛付札（関数）'!AE"&amp;P41)&gt;=219,INDIRECT("'盛付札（関数）'!AE"&amp;P41)&lt;=246),"",
INDIRECT("'盛付札（関数）'!AG"&amp;P41))),"")</f>
        <v/>
      </c>
      <c r="S42" s="38"/>
      <c r="T42" s="38"/>
      <c r="U42" s="190" t="str">
        <f t="array" aca="1" ref="U42" ca="1">IF(AND(R41&lt;&gt;"",ISERROR(FIND("社食",R41))),
IF(OR(INDIRECT("'盛付札（関数）'!AE"&amp;P41)=211,INDIRECT("'盛付札（関数）'!AE"&amp;P41)=212,INDIRECT("'盛付札（関数）'!AE"&amp;P41)=213),"",
IF(INDIRECT("'盛付札（関数）'!AH"&amp;P41)&lt;&gt;"",
INDIRECT("'盛付札（関数）'!AH"&amp;P41)&amp;"箱"&amp;INDIRECT("'盛付札（関数）'!AI"&amp;P41),"")),"")</f>
        <v/>
      </c>
      <c r="V42" s="36"/>
      <c r="W42" s="43"/>
      <c r="X42" s="102"/>
      <c r="Y42" s="136" t="str">
        <f t="array" aca="1" ref="Y42" ca="1">IF(Y41&lt;&gt;"",
IF(OR(INDIRECT("'盛付札（関数）'!AE"&amp;W41)=211,INDIRECT("'盛付札（関数）'!AE"&amp;W41)=212,INDIRECT("'盛付札（関数）'!AE"&amp;W41)=213),"",
IF(AND(INDIRECT("'盛付札（関数）'!AE"&amp;W41)&gt;=219,INDIRECT("'盛付札（関数）'!AE"&amp;W41)&lt;=246),"",
INDIRECT("'盛付札（関数）'!AG"&amp;W41))),"")</f>
        <v/>
      </c>
      <c r="Z42" s="38"/>
      <c r="AA42" s="38"/>
      <c r="AB42" s="190" t="str">
        <f t="array" aca="1" ref="AB42" ca="1">IF(AND(Y41&lt;&gt;"",ISERROR(FIND("社食",Y41))),
IF(OR(INDIRECT("'盛付札（関数）'!AE"&amp;W41)=211,INDIRECT("'盛付札（関数）'!AE"&amp;W41)=212,INDIRECT("'盛付札（関数）'!AE"&amp;W41)=213),"",
IF(INDIRECT("'盛付札（関数）'!AH"&amp;W41)&lt;&gt;"",
INDIRECT("'盛付札（関数）'!AH"&amp;W41)&amp;"箱"&amp;INDIRECT("'盛付札（関数）'!AI"&amp;W41),"")),"")</f>
        <v/>
      </c>
      <c r="AC42" s="36"/>
      <c r="AD42" s="22"/>
      <c r="AE42" s="30"/>
      <c r="AF42" s="102"/>
      <c r="AG42" s="136" t="str">
        <f t="array" aca="1" ref="AG42" ca="1">IF(AG41&lt;&gt;"",
IF(OR(INDIRECT("'盛付札（関数）'!AE"&amp;AE41)=211,INDIRECT("'盛付札（関数）'!AE"&amp;AE41)=212,INDIRECT("'盛付札（関数）'!AE"&amp;AE41)=213),"",
IF(AND(INDIRECT("'盛付札（関数）'!AE"&amp;AE41)&gt;=219,INDIRECT("'盛付札（関数）'!AE"&amp;AE41)&lt;=246),"",
INDIRECT("'盛付札（関数）'!AG"&amp;AE41))),"")</f>
        <v/>
      </c>
      <c r="AH42" s="38"/>
      <c r="AI42" s="38"/>
      <c r="AJ42" s="190" t="str">
        <f t="array" aca="1" ref="AJ42" ca="1">IF(AND(AG41&lt;&gt;"",ISERROR(FIND("社食",AG41))),
IF(OR(INDIRECT("'盛付札（関数）'!AE"&amp;AE41)=211,INDIRECT("'盛付札（関数）'!AE"&amp;AE41)=212,INDIRECT("'盛付札（関数）'!AE"&amp;AE41)=213),"",
IF(INDIRECT("'盛付札（関数）'!AH"&amp;AE41)&lt;&gt;"",
INDIRECT("'盛付札（関数）'!AH"&amp;AE41)&amp;"箱"&amp;INDIRECT("'盛付札（関数）'!AI"&amp;AE41),"")),"")</f>
        <v/>
      </c>
      <c r="AK42" s="36"/>
      <c r="AL42" s="43"/>
      <c r="AM42" s="102"/>
      <c r="AN42" s="136" t="str">
        <f t="array" aca="1" ref="AN42" ca="1">IF(AN41&lt;&gt;"",
IF(OR(INDIRECT("'盛付札（関数）'!AE"&amp;AL41)=211,INDIRECT("'盛付札（関数）'!AE"&amp;AL41)=212,INDIRECT("'盛付札（関数）'!AE"&amp;AL41)=213),"",
IF(AND(INDIRECT("'盛付札（関数）'!AE"&amp;AL41)&gt;=219,INDIRECT("'盛付札（関数）'!AE"&amp;AL41)&lt;=246),"",
INDIRECT("'盛付札（関数）'!AG"&amp;AL41))),"")</f>
        <v/>
      </c>
      <c r="AO42" s="38"/>
      <c r="AP42" s="38"/>
      <c r="AQ42" s="190" t="str">
        <f t="array" aca="1" ref="AQ42" ca="1">IF(AND(AN41&lt;&gt;"",ISERROR(FIND("社食",AN41))),
IF(OR(INDIRECT("'盛付札（関数）'!AE"&amp;AL41)=211,INDIRECT("'盛付札（関数）'!AE"&amp;AL41)=212,INDIRECT("'盛付札（関数）'!AE"&amp;AL41)=213),"",
IF(INDIRECT("'盛付札（関数）'!AH"&amp;AL41)&lt;&gt;"",
INDIRECT("'盛付札（関数）'!AH"&amp;AL41)&amp;"箱"&amp;INDIRECT("'盛付札（関数）'!AI"&amp;AL41),"")),"")</f>
        <v/>
      </c>
      <c r="AR42" s="36"/>
      <c r="AS42" s="22"/>
      <c r="AT42" s="30"/>
      <c r="AU42" s="102"/>
      <c r="AV42" s="136" t="str">
        <f t="array" aca="1" ref="AV42" ca="1">IF(AV41&lt;&gt;"",
IF(OR(INDIRECT("'盛付札（関数）'!AE"&amp;AT41)=211,INDIRECT("'盛付札（関数）'!AE"&amp;AT41)=212,INDIRECT("'盛付札（関数）'!AE"&amp;AT41)=213),"",
IF(AND(INDIRECT("'盛付札（関数）'!AE"&amp;AT41)&gt;=219,INDIRECT("'盛付札（関数）'!AE"&amp;AT41)&lt;=246),"",
INDIRECT("'盛付札（関数）'!AG"&amp;AT41))),"")</f>
        <v/>
      </c>
      <c r="AW42" s="38"/>
      <c r="AX42" s="38"/>
      <c r="AY42" s="190" t="str">
        <f t="array" aca="1" ref="AY42" ca="1">IF(AND(AV41&lt;&gt;"",ISERROR(FIND("社食",AV41))),
IF(OR(INDIRECT("'盛付札（関数）'!AE"&amp;AT41)=211,INDIRECT("'盛付札（関数）'!AE"&amp;AT41)=212,INDIRECT("'盛付札（関数）'!AE"&amp;AT41)=213),"",
IF(INDIRECT("'盛付札（関数）'!AH"&amp;AT41)&lt;&gt;"",
INDIRECT("'盛付札（関数）'!AH"&amp;AT41)&amp;"箱"&amp;INDIRECT("'盛付札（関数）'!AI"&amp;AT41),"")),"")</f>
        <v/>
      </c>
      <c r="AZ42" s="36"/>
      <c r="BA42" s="43"/>
      <c r="BB42" s="102"/>
      <c r="BC42" s="136" t="str">
        <f t="array" aca="1" ref="BC42" ca="1">IF(BC41&lt;&gt;"",
IF(OR(INDIRECT("'盛付札（関数）'!AE"&amp;BA41)=211,INDIRECT("'盛付札（関数）'!AE"&amp;BA41)=212,INDIRECT("'盛付札（関数）'!AE"&amp;BA41)=213),"",
IF(AND(INDIRECT("'盛付札（関数）'!AE"&amp;BA41)&gt;=219,INDIRECT("'盛付札（関数）'!AE"&amp;BA41)&lt;=246),"",
INDIRECT("'盛付札（関数）'!AG"&amp;BA41))),"")</f>
        <v/>
      </c>
      <c r="BD42" s="38"/>
      <c r="BE42" s="38"/>
      <c r="BF42" s="190" t="str">
        <f t="array" aca="1" ref="BF42" ca="1">IF(AND(BC41&lt;&gt;"",ISERROR(FIND("社食",BC41))),
IF(OR(INDIRECT("'盛付札（関数）'!AE"&amp;BA41)=211,INDIRECT("'盛付札（関数）'!AE"&amp;BA41)=212,INDIRECT("'盛付札（関数）'!AE"&amp;BA41)=213),"",
IF(INDIRECT("'盛付札（関数）'!AH"&amp;BA41)&lt;&gt;"",
INDIRECT("'盛付札（関数）'!AH"&amp;BA41)&amp;"箱"&amp;INDIRECT("'盛付札（関数）'!AI"&amp;BA41),"")),"")</f>
        <v/>
      </c>
      <c r="BG42" s="36"/>
      <c r="BH42" s="22"/>
      <c r="BI42" s="30"/>
      <c r="BJ42" s="102"/>
      <c r="BK42" s="136" t="str">
        <f t="array" aca="1" ref="BK42" ca="1">IF(BK41&lt;&gt;"",
IF(OR(INDIRECT("'盛付札（関数）'!AE"&amp;BI41)=211,INDIRECT("'盛付札（関数）'!AE"&amp;BI41)=212,INDIRECT("'盛付札（関数）'!AE"&amp;BI41)=213),"",
IF(AND(INDIRECT("'盛付札（関数）'!AE"&amp;BI41)&gt;=219,INDIRECT("'盛付札（関数）'!AE"&amp;BI41)&lt;=246),"",
INDIRECT("'盛付札（関数）'!AG"&amp;BI41))),"")</f>
        <v/>
      </c>
      <c r="BL42" s="38"/>
      <c r="BM42" s="38"/>
      <c r="BN42" s="190" t="str">
        <f t="array" aca="1" ref="BN42" ca="1">IF(AND(BK41&lt;&gt;"",ISERROR(FIND("社食",BK41))),
IF(OR(INDIRECT("'盛付札（関数）'!AE"&amp;BI41)=211,INDIRECT("'盛付札（関数）'!AE"&amp;BI41)=212,INDIRECT("'盛付札（関数）'!AE"&amp;BI41)=213),"",
IF(INDIRECT("'盛付札（関数）'!AH"&amp;BI41)&lt;&gt;"",
INDIRECT("'盛付札（関数）'!AH"&amp;BI41)&amp;"箱"&amp;INDIRECT("'盛付札（関数）'!AI"&amp;BI41),"")),"")</f>
        <v/>
      </c>
      <c r="BO42" s="36"/>
      <c r="BP42" s="43"/>
      <c r="BQ42" s="102"/>
      <c r="BR42" s="136" t="str">
        <f t="array" aca="1" ref="BR42" ca="1">IF(BR41&lt;&gt;"",
IF(OR(INDIRECT("'盛付札（関数）'!AE"&amp;BP41)=211,INDIRECT("'盛付札（関数）'!AE"&amp;BP41)=212,INDIRECT("'盛付札（関数）'!AE"&amp;BP41)=213),"",
IF(AND(INDIRECT("'盛付札（関数）'!AE"&amp;BP41)&gt;=219,INDIRECT("'盛付札（関数）'!AE"&amp;BP41)&lt;=246),"",
INDIRECT("'盛付札（関数）'!AG"&amp;BP41))),"")</f>
        <v/>
      </c>
      <c r="BS42" s="38"/>
      <c r="BT42" s="38"/>
      <c r="BU42" s="190" t="str">
        <f t="array" aca="1" ref="BU42" ca="1">IF(AND(BR41&lt;&gt;"",ISERROR(FIND("社食",BR41))),
IF(OR(INDIRECT("'盛付札（関数）'!AE"&amp;BP41)=211,INDIRECT("'盛付札（関数）'!AE"&amp;BP41)=212,INDIRECT("'盛付札（関数）'!AE"&amp;BP41)=213),"",
IF(INDIRECT("'盛付札（関数）'!AH"&amp;BP41)&lt;&gt;"",
INDIRECT("'盛付札（関数）'!AH"&amp;BP41)&amp;"箱"&amp;INDIRECT("'盛付札（関数）'!AI"&amp;BP41),"")),"")</f>
        <v/>
      </c>
      <c r="BV42" s="36"/>
      <c r="BW42" s="22"/>
      <c r="BX42" s="30"/>
      <c r="BY42" s="102"/>
      <c r="BZ42" s="136" t="str">
        <f t="array" aca="1" ref="BZ42" ca="1">IF(BZ41&lt;&gt;"",
IF(OR(INDIRECT("'盛付札（関数）'!AE"&amp;BX41)=211,INDIRECT("'盛付札（関数）'!AE"&amp;BX41)=212,INDIRECT("'盛付札（関数）'!AE"&amp;BX41)=213),"",
IF(AND(INDIRECT("'盛付札（関数）'!AE"&amp;BX41)&gt;=219,INDIRECT("'盛付札（関数）'!AE"&amp;BX41)&lt;=246),"",
INDIRECT("'盛付札（関数）'!AG"&amp;BX41))),"")</f>
        <v/>
      </c>
      <c r="CA42" s="38"/>
      <c r="CB42" s="38"/>
      <c r="CC42" s="190" t="str">
        <f t="array" aca="1" ref="CC42" ca="1">IF(AND(BZ41&lt;&gt;"",ISERROR(FIND("社食",BZ41))),
IF(OR(INDIRECT("'盛付札（関数）'!AE"&amp;BX41)=211,INDIRECT("'盛付札（関数）'!AE"&amp;BX41)=212,INDIRECT("'盛付札（関数）'!AE"&amp;BX41)=213),"",
IF(INDIRECT("'盛付札（関数）'!AH"&amp;BX41)&lt;&gt;"",
INDIRECT("'盛付札（関数）'!AH"&amp;BX41)&amp;"箱"&amp;INDIRECT("'盛付札（関数）'!AI"&amp;BX41),"")),"")</f>
        <v/>
      </c>
      <c r="CD42" s="36"/>
      <c r="CE42" s="43"/>
      <c r="CF42" s="102"/>
      <c r="CG42" s="136" t="str">
        <f t="array" aca="1" ref="CG42" ca="1">IF(CG41&lt;&gt;"",
IF(OR(INDIRECT("'盛付札（関数）'!AE"&amp;CE41)=211,INDIRECT("'盛付札（関数）'!AE"&amp;CE41)=212,INDIRECT("'盛付札（関数）'!AE"&amp;CE41)=213),"",
IF(AND(INDIRECT("'盛付札（関数）'!AE"&amp;CE41)&gt;=219,INDIRECT("'盛付札（関数）'!AE"&amp;CE41)&lt;=246),"",
INDIRECT("'盛付札（関数）'!AG"&amp;CE41))),"")</f>
        <v/>
      </c>
      <c r="CH42" s="38"/>
      <c r="CI42" s="38"/>
      <c r="CJ42" s="190" t="str">
        <f t="array" aca="1" ref="CJ42" ca="1">IF(AND(CG41&lt;&gt;"",ISERROR(FIND("社食",CG41))),
IF(OR(INDIRECT("'盛付札（関数）'!AE"&amp;CE41)=211,INDIRECT("'盛付札（関数）'!AE"&amp;CE41)=212,INDIRECT("'盛付札（関数）'!AE"&amp;CE41)=213),"",
IF(INDIRECT("'盛付札（関数）'!AH"&amp;CE41)&lt;&gt;"",
INDIRECT("'盛付札（関数）'!AH"&amp;CE41)&amp;"箱"&amp;INDIRECT("'盛付札（関数）'!AI"&amp;CE41),"")),"")</f>
        <v/>
      </c>
      <c r="CK42" s="36"/>
      <c r="CL42" s="22"/>
      <c r="CM42" s="30"/>
      <c r="CN42" s="102"/>
      <c r="CO42" s="136" t="str">
        <f t="array" aca="1" ref="CO42" ca="1">IF(CO41&lt;&gt;"",
IF(OR(INDIRECT("'盛付札（関数）'!AE"&amp;CM41)=211,INDIRECT("'盛付札（関数）'!AE"&amp;CM41)=212,INDIRECT("'盛付札（関数）'!AE"&amp;CM41)=213),"",
IF(AND(INDIRECT("'盛付札（関数）'!AE"&amp;CM41)&gt;=219,INDIRECT("'盛付札（関数）'!AE"&amp;CM41)&lt;=246),"",
INDIRECT("'盛付札（関数）'!AG"&amp;CM41))),"")</f>
        <v/>
      </c>
      <c r="CP42" s="38"/>
      <c r="CQ42" s="38"/>
      <c r="CR42" s="190" t="str">
        <f t="array" aca="1" ref="CR42" ca="1">IF(AND(CO41&lt;&gt;"",ISERROR(FIND("社食",CO41))),
IF(OR(INDIRECT("'盛付札（関数）'!AE"&amp;CM41)=211,INDIRECT("'盛付札（関数）'!AE"&amp;CM41)=212,INDIRECT("'盛付札（関数）'!AE"&amp;CM41)=213),"",
IF(INDIRECT("'盛付札（関数）'!AH"&amp;CM41)&lt;&gt;"",
INDIRECT("'盛付札（関数）'!AH"&amp;CM41)&amp;"箱"&amp;INDIRECT("'盛付札（関数）'!AI"&amp;CM41),"")),"")</f>
        <v/>
      </c>
      <c r="CS42" s="36"/>
      <c r="CT42" s="43"/>
      <c r="CU42" s="102"/>
      <c r="CV42" s="136" t="str">
        <f t="array" aca="1" ref="CV42" ca="1">IF(CV41&lt;&gt;"",
IF(OR(INDIRECT("'盛付札（関数）'!AE"&amp;CT41)=211,INDIRECT("'盛付札（関数）'!AE"&amp;CT41)=212,INDIRECT("'盛付札（関数）'!AE"&amp;CT41)=213),"",
IF(AND(INDIRECT("'盛付札（関数）'!AE"&amp;CT41)&gt;=219,INDIRECT("'盛付札（関数）'!AE"&amp;CT41)&lt;=246),"",
INDIRECT("'盛付札（関数）'!AG"&amp;CT41))),"")</f>
        <v/>
      </c>
      <c r="CW42" s="38"/>
      <c r="CX42" s="38"/>
      <c r="CY42" s="190" t="str">
        <f t="array" aca="1" ref="CY42" ca="1">IF(AND(CV41&lt;&gt;"",ISERROR(FIND("社食",CV41))),
IF(OR(INDIRECT("'盛付札（関数）'!AE"&amp;CT41)=211,INDIRECT("'盛付札（関数）'!AE"&amp;CT41)=212,INDIRECT("'盛付札（関数）'!AE"&amp;CT41)=213),"",
IF(INDIRECT("'盛付札（関数）'!AH"&amp;CT41)&lt;&gt;"",
INDIRECT("'盛付札（関数）'!AH"&amp;CT41)&amp;"箱"&amp;INDIRECT("'盛付札（関数）'!AI"&amp;CT41),"")),"")</f>
        <v/>
      </c>
      <c r="CZ42" s="36"/>
      <c r="DA42" s="22"/>
      <c r="DB42" s="30"/>
      <c r="DC42" s="102"/>
      <c r="DD42" s="136" t="str">
        <f t="array" aca="1" ref="DD42" ca="1">IF(DD41&lt;&gt;"",
IF(OR(INDIRECT("'盛付札（関数）'!AE"&amp;DB41)=211,INDIRECT("'盛付札（関数）'!AE"&amp;DB41)=212,INDIRECT("'盛付札（関数）'!AE"&amp;DB41)=213),"",
IF(AND(INDIRECT("'盛付札（関数）'!AE"&amp;DB41)&gt;=219,INDIRECT("'盛付札（関数）'!AE"&amp;DB41)&lt;=246),"",
INDIRECT("'盛付札（関数）'!AG"&amp;DB41))),"")</f>
        <v/>
      </c>
      <c r="DE42" s="38"/>
      <c r="DF42" s="38"/>
      <c r="DG42" s="190" t="str">
        <f t="array" aca="1" ref="DG42" ca="1">IF(AND(DD41&lt;&gt;"",ISERROR(FIND("社食",DD41))),
IF(OR(INDIRECT("'盛付札（関数）'!AE"&amp;DB41)=211,INDIRECT("'盛付札（関数）'!AE"&amp;DB41)=212,INDIRECT("'盛付札（関数）'!AE"&amp;DB41)=213),"",
IF(INDIRECT("'盛付札（関数）'!AH"&amp;DB41)&lt;&gt;"",
INDIRECT("'盛付札（関数）'!AH"&amp;DB41)&amp;"箱"&amp;INDIRECT("'盛付札（関数）'!AI"&amp;DB41),"")),"")</f>
        <v/>
      </c>
      <c r="DH42" s="36"/>
      <c r="DI42" s="43"/>
      <c r="DJ42" s="102"/>
      <c r="DK42" s="136" t="str">
        <f t="array" aca="1" ref="DK42" ca="1">IF(DK41&lt;&gt;"",
IF(OR(INDIRECT("'盛付札（関数）'!AE"&amp;DI41)=211,INDIRECT("'盛付札（関数）'!AE"&amp;DI41)=212,INDIRECT("'盛付札（関数）'!AE"&amp;DI41)=213),"",
IF(AND(INDIRECT("'盛付札（関数）'!AE"&amp;DI41)&gt;=219,INDIRECT("'盛付札（関数）'!AE"&amp;DI41)&lt;=246),"",
INDIRECT("'盛付札（関数）'!AG"&amp;DI41))),"")</f>
        <v/>
      </c>
      <c r="DL42" s="38"/>
      <c r="DM42" s="38"/>
      <c r="DN42" s="190" t="str">
        <f t="array" aca="1" ref="DN42" ca="1">IF(AND(DK41&lt;&gt;"",ISERROR(FIND("社食",DK41))),
IF(OR(INDIRECT("'盛付札（関数）'!AE"&amp;DI41)=211,INDIRECT("'盛付札（関数）'!AE"&amp;DI41)=212,INDIRECT("'盛付札（関数）'!AE"&amp;DI41)=213),"",
IF(INDIRECT("'盛付札（関数）'!AH"&amp;DI41)&lt;&gt;"",
INDIRECT("'盛付札（関数）'!AH"&amp;DI41)&amp;"箱"&amp;INDIRECT("'盛付札（関数）'!AI"&amp;DI41),"")),"")</f>
        <v/>
      </c>
      <c r="DO42" s="36"/>
      <c r="DP42" s="22"/>
      <c r="DQ42" s="30"/>
      <c r="DR42" s="102"/>
      <c r="DS42" s="136" t="str">
        <f t="array" aca="1" ref="DS42" ca="1">IF(DS41&lt;&gt;"",
IF(OR(INDIRECT("'盛付札（関数）'!AE"&amp;DQ41)=211,INDIRECT("'盛付札（関数）'!AE"&amp;DQ41)=212,INDIRECT("'盛付札（関数）'!AE"&amp;DQ41)=213),"",
IF(AND(INDIRECT("'盛付札（関数）'!AE"&amp;DQ41)&gt;=219,INDIRECT("'盛付札（関数）'!AE"&amp;DQ41)&lt;=246),"",
INDIRECT("'盛付札（関数）'!AG"&amp;DQ41))),"")</f>
        <v/>
      </c>
      <c r="DT42" s="38"/>
      <c r="DU42" s="38"/>
      <c r="DV42" s="190" t="str">
        <f t="array" aca="1" ref="DV42" ca="1">IF(AND(DS41&lt;&gt;"",ISERROR(FIND("社食",DS41))),
IF(OR(INDIRECT("'盛付札（関数）'!AE"&amp;DQ41)=211,INDIRECT("'盛付札（関数）'!AE"&amp;DQ41)=212,INDIRECT("'盛付札（関数）'!AE"&amp;DQ41)=213),"",
IF(INDIRECT("'盛付札（関数）'!AH"&amp;DQ41)&lt;&gt;"",
INDIRECT("'盛付札（関数）'!AH"&amp;DQ41)&amp;"箱"&amp;INDIRECT("'盛付札（関数）'!AI"&amp;DQ41),"")),"")</f>
        <v/>
      </c>
      <c r="DW42" s="36"/>
      <c r="DX42" s="43"/>
      <c r="DY42" s="102"/>
      <c r="DZ42" s="136" t="str">
        <f t="array" aca="1" ref="DZ42" ca="1">IF(DZ41&lt;&gt;"",
IF(OR(INDIRECT("'盛付札（関数）'!AE"&amp;DX41)=211,INDIRECT("'盛付札（関数）'!AE"&amp;DX41)=212,INDIRECT("'盛付札（関数）'!AE"&amp;DX41)=213),"",
IF(AND(INDIRECT("'盛付札（関数）'!AE"&amp;DX41)&gt;=219,INDIRECT("'盛付札（関数）'!AE"&amp;DX41)&lt;=246),"",
INDIRECT("'盛付札（関数）'!AG"&amp;DX41))),"")</f>
        <v/>
      </c>
      <c r="EA42" s="38"/>
      <c r="EB42" s="38"/>
      <c r="EC42" s="190" t="str">
        <f t="array" aca="1" ref="EC42" ca="1">IF(AND(DZ41&lt;&gt;"",ISERROR(FIND("社食",DZ41))),
IF(OR(INDIRECT("'盛付札（関数）'!AE"&amp;DX41)=211,INDIRECT("'盛付札（関数）'!AE"&amp;DX41)=212,INDIRECT("'盛付札（関数）'!AE"&amp;DX41)=213),"",
IF(INDIRECT("'盛付札（関数）'!AH"&amp;DX41)&lt;&gt;"",
INDIRECT("'盛付札（関数）'!AH"&amp;DX41)&amp;"箱"&amp;INDIRECT("'盛付札（関数）'!AI"&amp;DX41),"")),"")</f>
        <v/>
      </c>
      <c r="ED42" s="36"/>
      <c r="EE42" s="22"/>
      <c r="EF42" s="30"/>
      <c r="EG42" s="102"/>
      <c r="EH42" s="136" t="str">
        <f t="array" aca="1" ref="EH42" ca="1">IF(EH41&lt;&gt;"",
IF(OR(INDIRECT("'盛付札（関数）'!AE"&amp;EF41)=211,INDIRECT("'盛付札（関数）'!AE"&amp;EF41)=212,INDIRECT("'盛付札（関数）'!AE"&amp;EF41)=213),"",
IF(AND(INDIRECT("'盛付札（関数）'!AE"&amp;EF41)&gt;=219,INDIRECT("'盛付札（関数）'!AE"&amp;EF41)&lt;=246),"",
INDIRECT("'盛付札（関数）'!AG"&amp;EF41))),"")</f>
        <v/>
      </c>
      <c r="EI42" s="38"/>
      <c r="EJ42" s="38"/>
      <c r="EK42" s="190" t="str">
        <f t="array" aca="1" ref="EK42" ca="1">IF(AND(EH41&lt;&gt;"",ISERROR(FIND("社食",EH41))),
IF(OR(INDIRECT("'盛付札（関数）'!AE"&amp;EF41)=211,INDIRECT("'盛付札（関数）'!AE"&amp;EF41)=212,INDIRECT("'盛付札（関数）'!AE"&amp;EF41)=213),"",
IF(INDIRECT("'盛付札（関数）'!AH"&amp;EF41)&lt;&gt;"",
INDIRECT("'盛付札（関数）'!AH"&amp;EF41)&amp;"箱"&amp;INDIRECT("'盛付札（関数）'!AI"&amp;EF41),"")),"")</f>
        <v/>
      </c>
      <c r="EL42" s="36"/>
      <c r="EM42" s="43"/>
      <c r="EN42" s="102"/>
      <c r="EO42" s="136" t="str">
        <f t="array" aca="1" ref="EO42" ca="1">IF(EO41&lt;&gt;"",
IF(OR(INDIRECT("'盛付札（関数）'!AE"&amp;EM41)=211,INDIRECT("'盛付札（関数）'!AE"&amp;EM41)=212,INDIRECT("'盛付札（関数）'!AE"&amp;EM41)=213),"",
IF(AND(INDIRECT("'盛付札（関数）'!AE"&amp;EM41)&gt;=219,INDIRECT("'盛付札（関数）'!AE"&amp;EM41)&lt;=246),"",
INDIRECT("'盛付札（関数）'!AG"&amp;EM41))),"")</f>
        <v/>
      </c>
      <c r="EP42" s="38"/>
      <c r="EQ42" s="38"/>
      <c r="ER42" s="190" t="str">
        <f t="array" aca="1" ref="ER42" ca="1">IF(AND(EO41&lt;&gt;"",ISERROR(FIND("社食",EO41))),
IF(OR(INDIRECT("'盛付札（関数）'!AE"&amp;EM41)=211,INDIRECT("'盛付札（関数）'!AE"&amp;EM41)=212,INDIRECT("'盛付札（関数）'!AE"&amp;EM41)=213),"",
IF(INDIRECT("'盛付札（関数）'!AH"&amp;EM41)&lt;&gt;"",
INDIRECT("'盛付札（関数）'!AH"&amp;EM41)&amp;"箱"&amp;INDIRECT("'盛付札（関数）'!AI"&amp;EM41),"")),"")</f>
        <v/>
      </c>
      <c r="ES42" s="36"/>
      <c r="ET42" s="22"/>
    </row>
    <row r="43" spans="1:150" s="181" customFormat="1">
      <c r="A43" s="30"/>
      <c r="B43" s="31"/>
      <c r="C43" s="212" t="str">
        <f t="array" aca="1" ref="C43" ca="1">IF(AND(C41&lt;&gt;"",ISERROR(FIND("社食",C41)),ISERROR(FIND("先生",C41)),ISERROR(FIND("学童",C42))),
IF(C44&lt;&gt;"",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IF(AND(INDIRECT("'盛付札（関数）'!AE"&amp;A41)&gt;=247,INDIRECT("'盛付札（関数）'!AE"&amp;A41)&lt;=261),"先生","園児"))),""),"")</f>
        <v/>
      </c>
      <c r="D43" s="213"/>
      <c r="E43" s="22"/>
      <c r="F43" s="135" t="str">
        <f t="array" aca="1" ref="F43" ca="1">IF(AND(C41&lt;&gt;"",ISERROR(FIND("社食",C41)),ISERROR(FIND("先生",C41))),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IF(AND(INDIRECT("'盛付札（関数）'!AE"&amp;A41)&gt;=247,INDIRECT("'盛付札（関数）'!AE"&amp;A41)&lt;=261),"","先生"))),"")</f>
        <v/>
      </c>
      <c r="G43" s="37"/>
      <c r="H43" s="33"/>
      <c r="I43" s="31"/>
      <c r="J43" s="212" t="str">
        <f t="array" aca="1" ref="J43" ca="1">IF(AND(J41&lt;&gt;"",ISERROR(FIND("社食",J41)),ISERROR(FIND("先生",J41)),ISERROR(FIND("学童",J42))),
IF(J44&lt;&gt;"",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IF(AND(INDIRECT("'盛付札（関数）'!AE"&amp;H41)&gt;=247,INDIRECT("'盛付札（関数）'!AE"&amp;H41)&lt;=261),"先生","園児"))),""),"")</f>
        <v/>
      </c>
      <c r="K43" s="213"/>
      <c r="L43" s="22"/>
      <c r="M43" s="135" t="str">
        <f t="array" aca="1" ref="M43" ca="1">IF(AND(J41&lt;&gt;"",ISERROR(FIND("社食",J41)),ISERROR(FIND("先生",J41))),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IF(AND(INDIRECT("'盛付札（関数）'!AE"&amp;H41)&gt;=247,INDIRECT("'盛付札（関数）'!AE"&amp;H41)&lt;=261),"","先生"))),"")</f>
        <v/>
      </c>
      <c r="N43" s="37"/>
      <c r="O43" s="22"/>
      <c r="P43" s="30"/>
      <c r="Q43" s="31"/>
      <c r="R43" s="212" t="str">
        <f t="array" aca="1" ref="R43" ca="1">IF(AND(R41&lt;&gt;"",ISERROR(FIND("社食",R41)),ISERROR(FIND("先生",R41)),ISERROR(FIND("学童",R42))),
IF(R44&lt;&gt;"",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IF(AND(INDIRECT("'盛付札（関数）'!AE"&amp;P41)&gt;=247,INDIRECT("'盛付札（関数）'!AE"&amp;P41)&lt;=261),"先生","園児"))),""),"")</f>
        <v/>
      </c>
      <c r="S43" s="213"/>
      <c r="T43" s="22"/>
      <c r="U43" s="135" t="str">
        <f t="array" aca="1" ref="U43" ca="1">IF(AND(R41&lt;&gt;"",ISERROR(FIND("社食",R41)),ISERROR(FIND("先生",R41))),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IF(AND(INDIRECT("'盛付札（関数）'!AE"&amp;P41)&gt;=247,INDIRECT("'盛付札（関数）'!AE"&amp;P41)&lt;=261),"","先生"))),"")</f>
        <v/>
      </c>
      <c r="V43" s="37"/>
      <c r="W43" s="33"/>
      <c r="X43" s="31"/>
      <c r="Y43" s="212" t="str">
        <f t="array" aca="1" ref="Y43" ca="1">IF(AND(Y41&lt;&gt;"",ISERROR(FIND("社食",Y41)),ISERROR(FIND("先生",Y41)),ISERROR(FIND("学童",Y42))),
IF(Y44&lt;&gt;"",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IF(AND(INDIRECT("'盛付札（関数）'!AE"&amp;W41)&gt;=247,INDIRECT("'盛付札（関数）'!AE"&amp;W41)&lt;=261),"先生","園児"))),""),"")</f>
        <v/>
      </c>
      <c r="Z43" s="213"/>
      <c r="AA43" s="22"/>
      <c r="AB43" s="135" t="str">
        <f t="array" aca="1" ref="AB43" ca="1">IF(AND(Y41&lt;&gt;"",ISERROR(FIND("社食",Y41)),ISERROR(FIND("先生",Y41))),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IF(AND(INDIRECT("'盛付札（関数）'!AE"&amp;W41)&gt;=247,INDIRECT("'盛付札（関数）'!AE"&amp;W41)&lt;=261),"","先生"))),"")</f>
        <v/>
      </c>
      <c r="AC43" s="37"/>
      <c r="AD43" s="22"/>
      <c r="AE43" s="30"/>
      <c r="AF43" s="31"/>
      <c r="AG43" s="212" t="str">
        <f t="array" aca="1" ref="AG43" ca="1">IF(AND(AG41&lt;&gt;"",ISERROR(FIND("社食",AG41)),ISERROR(FIND("先生",AG41)),ISERROR(FIND("学童",AG42))),
IF(AG44&lt;&gt;"",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IF(AND(INDIRECT("'盛付札（関数）'!AE"&amp;AE41)&gt;=247,INDIRECT("'盛付札（関数）'!AE"&amp;AE41)&lt;=261),"先生","園児"))),""),"")</f>
        <v/>
      </c>
      <c r="AH43" s="213"/>
      <c r="AI43" s="22"/>
      <c r="AJ43" s="135" t="str">
        <f t="array" aca="1" ref="AJ43" ca="1">IF(AND(AG41&lt;&gt;"",ISERROR(FIND("社食",AG41)),ISERROR(FIND("先生",AG41))),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IF(AND(INDIRECT("'盛付札（関数）'!AE"&amp;AE41)&gt;=247,INDIRECT("'盛付札（関数）'!AE"&amp;AE41)&lt;=261),"","先生"))),"")</f>
        <v/>
      </c>
      <c r="AK43" s="37"/>
      <c r="AL43" s="33"/>
      <c r="AM43" s="31"/>
      <c r="AN43" s="212" t="str">
        <f t="array" aca="1" ref="AN43" ca="1">IF(AND(AN41&lt;&gt;"",ISERROR(FIND("社食",AN41)),ISERROR(FIND("先生",AN41)),ISERROR(FIND("学童",AN42))),
IF(AN44&lt;&gt;"",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IF(AND(INDIRECT("'盛付札（関数）'!AE"&amp;AL41)&gt;=247,INDIRECT("'盛付札（関数）'!AE"&amp;AL41)&lt;=261),"先生","園児"))),""),"")</f>
        <v/>
      </c>
      <c r="AO43" s="213"/>
      <c r="AP43" s="22"/>
      <c r="AQ43" s="135" t="str">
        <f t="array" aca="1" ref="AQ43" ca="1">IF(AND(AN41&lt;&gt;"",ISERROR(FIND("社食",AN41)),ISERROR(FIND("先生",AN41))),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IF(AND(INDIRECT("'盛付札（関数）'!AE"&amp;AL41)&gt;=247,INDIRECT("'盛付札（関数）'!AE"&amp;AL41)&lt;=261),"","先生"))),"")</f>
        <v/>
      </c>
      <c r="AR43" s="37"/>
      <c r="AS43" s="22"/>
      <c r="AT43" s="30"/>
      <c r="AU43" s="31"/>
      <c r="AV43" s="212" t="str">
        <f t="array" aca="1" ref="AV43" ca="1">IF(AND(AV41&lt;&gt;"",ISERROR(FIND("社食",AV41)),ISERROR(FIND("先生",AV41)),ISERROR(FIND("学童",AV42))),
IF(AV44&lt;&gt;"",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IF(AND(INDIRECT("'盛付札（関数）'!AE"&amp;AT41)&gt;=247,INDIRECT("'盛付札（関数）'!AE"&amp;AT41)&lt;=261),"先生","園児"))),""),"")</f>
        <v/>
      </c>
      <c r="AW43" s="213"/>
      <c r="AX43" s="22"/>
      <c r="AY43" s="135" t="str">
        <f t="array" aca="1" ref="AY43" ca="1">IF(AND(AV41&lt;&gt;"",ISERROR(FIND("社食",AV41)),ISERROR(FIND("先生",AV41))),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IF(AND(INDIRECT("'盛付札（関数）'!AE"&amp;AT41)&gt;=247,INDIRECT("'盛付札（関数）'!AE"&amp;AT41)&lt;=261),"","先生"))),"")</f>
        <v/>
      </c>
      <c r="AZ43" s="37"/>
      <c r="BA43" s="33"/>
      <c r="BB43" s="31"/>
      <c r="BC43" s="212" t="str">
        <f t="array" aca="1" ref="BC43" ca="1">IF(AND(BC41&lt;&gt;"",ISERROR(FIND("社食",BC41)),ISERROR(FIND("先生",BC41)),ISERROR(FIND("学童",BC42))),
IF(BC44&lt;&gt;"",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IF(AND(INDIRECT("'盛付札（関数）'!AE"&amp;BA41)&gt;=247,INDIRECT("'盛付札（関数）'!AE"&amp;BA41)&lt;=261),"先生","園児"))),""),"")</f>
        <v/>
      </c>
      <c r="BD43" s="213"/>
      <c r="BE43" s="22"/>
      <c r="BF43" s="135" t="str">
        <f t="array" aca="1" ref="BF43" ca="1">IF(AND(BC41&lt;&gt;"",ISERROR(FIND("社食",BC41)),ISERROR(FIND("先生",BC41))),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IF(AND(INDIRECT("'盛付札（関数）'!AE"&amp;BA41)&gt;=247,INDIRECT("'盛付札（関数）'!AE"&amp;BA41)&lt;=261),"","先生"))),"")</f>
        <v/>
      </c>
      <c r="BG43" s="37"/>
      <c r="BH43" s="22"/>
      <c r="BI43" s="30"/>
      <c r="BJ43" s="31"/>
      <c r="BK43" s="212" t="str">
        <f t="array" aca="1" ref="BK43" ca="1">IF(AND(BK41&lt;&gt;"",ISERROR(FIND("社食",BK41)),ISERROR(FIND("先生",BK41)),ISERROR(FIND("学童",BK42))),
IF(BK44&lt;&gt;"",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IF(AND(INDIRECT("'盛付札（関数）'!AE"&amp;BI41)&gt;=247,INDIRECT("'盛付札（関数）'!AE"&amp;BI41)&lt;=261),"先生","園児"))),""),"")</f>
        <v/>
      </c>
      <c r="BL43" s="213"/>
      <c r="BM43" s="22"/>
      <c r="BN43" s="135" t="str">
        <f t="array" aca="1" ref="BN43" ca="1">IF(AND(BK41&lt;&gt;"",ISERROR(FIND("社食",BK41)),ISERROR(FIND("先生",BK41))),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IF(AND(INDIRECT("'盛付札（関数）'!AE"&amp;BI41)&gt;=247,INDIRECT("'盛付札（関数）'!AE"&amp;BI41)&lt;=261),"","先生"))),"")</f>
        <v/>
      </c>
      <c r="BO43" s="37"/>
      <c r="BP43" s="33"/>
      <c r="BQ43" s="31"/>
      <c r="BR43" s="212" t="str">
        <f t="array" aca="1" ref="BR43" ca="1">IF(AND(BR41&lt;&gt;"",ISERROR(FIND("社食",BR41)),ISERROR(FIND("先生",BR41)),ISERROR(FIND("学童",BR42))),
IF(BR44&lt;&gt;"",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IF(AND(INDIRECT("'盛付札（関数）'!AE"&amp;BP41)&gt;=247,INDIRECT("'盛付札（関数）'!AE"&amp;BP41)&lt;=261),"先生","園児"))),""),"")</f>
        <v/>
      </c>
      <c r="BS43" s="213"/>
      <c r="BT43" s="22"/>
      <c r="BU43" s="135" t="str">
        <f t="array" aca="1" ref="BU43" ca="1">IF(AND(BR41&lt;&gt;"",ISERROR(FIND("社食",BR41)),ISERROR(FIND("先生",BR41))),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IF(AND(INDIRECT("'盛付札（関数）'!AE"&amp;BP41)&gt;=247,INDIRECT("'盛付札（関数）'!AE"&amp;BP41)&lt;=261),"","先生"))),"")</f>
        <v/>
      </c>
      <c r="BV43" s="37"/>
      <c r="BW43" s="22"/>
      <c r="BX43" s="30"/>
      <c r="BY43" s="31"/>
      <c r="BZ43" s="212" t="str">
        <f t="array" aca="1" ref="BZ43" ca="1">IF(AND(BZ41&lt;&gt;"",ISERROR(FIND("社食",BZ41)),ISERROR(FIND("先生",BZ41)),ISERROR(FIND("学童",BZ42))),
IF(BZ44&lt;&gt;"",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IF(AND(INDIRECT("'盛付札（関数）'!AE"&amp;BX41)&gt;=247,INDIRECT("'盛付札（関数）'!AE"&amp;BX41)&lt;=261),"先生","園児"))),""),"")</f>
        <v/>
      </c>
      <c r="CA43" s="213"/>
      <c r="CB43" s="22"/>
      <c r="CC43" s="135" t="str">
        <f t="array" aca="1" ref="CC43" ca="1">IF(AND(BZ41&lt;&gt;"",ISERROR(FIND("社食",BZ41)),ISERROR(FIND("先生",BZ41))),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IF(AND(INDIRECT("'盛付札（関数）'!AE"&amp;BX41)&gt;=247,INDIRECT("'盛付札（関数）'!AE"&amp;BX41)&lt;=261),"","先生"))),"")</f>
        <v/>
      </c>
      <c r="CD43" s="37"/>
      <c r="CE43" s="33"/>
      <c r="CF43" s="31"/>
      <c r="CG43" s="212" t="str">
        <f t="array" aca="1" ref="CG43" ca="1">IF(AND(CG41&lt;&gt;"",ISERROR(FIND("社食",CG41)),ISERROR(FIND("先生",CG41)),ISERROR(FIND("学童",CG42))),
IF(CG44&lt;&gt;"",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IF(AND(INDIRECT("'盛付札（関数）'!AE"&amp;CE41)&gt;=247,INDIRECT("'盛付札（関数）'!AE"&amp;CE41)&lt;=261),"先生","園児"))),""),"")</f>
        <v/>
      </c>
      <c r="CH43" s="213"/>
      <c r="CI43" s="22"/>
      <c r="CJ43" s="135" t="str">
        <f t="array" aca="1" ref="CJ43" ca="1">IF(AND(CG41&lt;&gt;"",ISERROR(FIND("社食",CG41)),ISERROR(FIND("先生",CG41))),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IF(AND(INDIRECT("'盛付札（関数）'!AE"&amp;CE41)&gt;=247,INDIRECT("'盛付札（関数）'!AE"&amp;CE41)&lt;=261),"","先生"))),"")</f>
        <v/>
      </c>
      <c r="CK43" s="37"/>
      <c r="CL43" s="22"/>
      <c r="CM43" s="30"/>
      <c r="CN43" s="31"/>
      <c r="CO43" s="212" t="str">
        <f t="array" aca="1" ref="CO43" ca="1">IF(AND(CO41&lt;&gt;"",ISERROR(FIND("社食",CO41)),ISERROR(FIND("先生",CO41)),ISERROR(FIND("学童",CO42))),
IF(CO44&lt;&gt;"",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IF(AND(INDIRECT("'盛付札（関数）'!AE"&amp;CM41)&gt;=247,INDIRECT("'盛付札（関数）'!AE"&amp;CM41)&lt;=261),"先生","園児"))),""),"")</f>
        <v/>
      </c>
      <c r="CP43" s="213"/>
      <c r="CQ43" s="22"/>
      <c r="CR43" s="135" t="str">
        <f t="array" aca="1" ref="CR43" ca="1">IF(AND(CO41&lt;&gt;"",ISERROR(FIND("社食",CO41)),ISERROR(FIND("先生",CO41))),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IF(AND(INDIRECT("'盛付札（関数）'!AE"&amp;CM41)&gt;=247,INDIRECT("'盛付札（関数）'!AE"&amp;CM41)&lt;=261),"","先生"))),"")</f>
        <v/>
      </c>
      <c r="CS43" s="37"/>
      <c r="CT43" s="33"/>
      <c r="CU43" s="31"/>
      <c r="CV43" s="212" t="str">
        <f t="array" aca="1" ref="CV43" ca="1">IF(AND(CV41&lt;&gt;"",ISERROR(FIND("社食",CV41)),ISERROR(FIND("先生",CV41)),ISERROR(FIND("学童",CV42))),
IF(CV44&lt;&gt;"",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IF(AND(INDIRECT("'盛付札（関数）'!AE"&amp;CT41)&gt;=247,INDIRECT("'盛付札（関数）'!AE"&amp;CT41)&lt;=261),"先生","園児"))),""),"")</f>
        <v/>
      </c>
      <c r="CW43" s="213"/>
      <c r="CX43" s="22"/>
      <c r="CY43" s="135" t="str">
        <f t="array" aca="1" ref="CY43" ca="1">IF(AND(CV41&lt;&gt;"",ISERROR(FIND("社食",CV41)),ISERROR(FIND("先生",CV41))),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IF(AND(INDIRECT("'盛付札（関数）'!AE"&amp;CT41)&gt;=247,INDIRECT("'盛付札（関数）'!AE"&amp;CT41)&lt;=261),"","先生"))),"")</f>
        <v/>
      </c>
      <c r="CZ43" s="37"/>
      <c r="DA43" s="22"/>
      <c r="DB43" s="30"/>
      <c r="DC43" s="31"/>
      <c r="DD43" s="212" t="str">
        <f t="array" aca="1" ref="DD43" ca="1">IF(AND(DD41&lt;&gt;"",ISERROR(FIND("社食",DD41)),ISERROR(FIND("先生",DD41)),ISERROR(FIND("学童",DD42))),
IF(DD44&lt;&gt;"",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IF(AND(INDIRECT("'盛付札（関数）'!AE"&amp;DB41)&gt;=247,INDIRECT("'盛付札（関数）'!AE"&amp;DB41)&lt;=261),"先生","園児"))),""),"")</f>
        <v/>
      </c>
      <c r="DE43" s="213"/>
      <c r="DF43" s="22"/>
      <c r="DG43" s="135" t="str">
        <f t="array" aca="1" ref="DG43" ca="1">IF(AND(DD41&lt;&gt;"",ISERROR(FIND("社食",DD41)),ISERROR(FIND("先生",DD41))),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IF(AND(INDIRECT("'盛付札（関数）'!AE"&amp;DB41)&gt;=247,INDIRECT("'盛付札（関数）'!AE"&amp;DB41)&lt;=261),"","先生"))),"")</f>
        <v/>
      </c>
      <c r="DH43" s="37"/>
      <c r="DI43" s="33"/>
      <c r="DJ43" s="31"/>
      <c r="DK43" s="212" t="str">
        <f t="array" aca="1" ref="DK43" ca="1">IF(AND(DK41&lt;&gt;"",ISERROR(FIND("社食",DK41)),ISERROR(FIND("先生",DK41)),ISERROR(FIND("学童",DK42))),
IF(DK44&lt;&gt;"",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IF(AND(INDIRECT("'盛付札（関数）'!AE"&amp;DI41)&gt;=247,INDIRECT("'盛付札（関数）'!AE"&amp;DI41)&lt;=261),"先生","園児"))),""),"")</f>
        <v/>
      </c>
      <c r="DL43" s="213"/>
      <c r="DM43" s="22"/>
      <c r="DN43" s="135" t="str">
        <f t="array" aca="1" ref="DN43" ca="1">IF(AND(DK41&lt;&gt;"",ISERROR(FIND("社食",DK41)),ISERROR(FIND("先生",DK41))),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IF(AND(INDIRECT("'盛付札（関数）'!AE"&amp;DI41)&gt;=247,INDIRECT("'盛付札（関数）'!AE"&amp;DI41)&lt;=261),"","先生"))),"")</f>
        <v/>
      </c>
      <c r="DO43" s="37"/>
      <c r="DP43" s="22"/>
      <c r="DQ43" s="30"/>
      <c r="DR43" s="31"/>
      <c r="DS43" s="212" t="str">
        <f t="array" aca="1" ref="DS43" ca="1">IF(AND(DS41&lt;&gt;"",ISERROR(FIND("社食",DS41)),ISERROR(FIND("先生",DS41)),ISERROR(FIND("学童",DS42))),
IF(DS44&lt;&gt;"",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IF(AND(INDIRECT("'盛付札（関数）'!AE"&amp;DQ41)&gt;=247,INDIRECT("'盛付札（関数）'!AE"&amp;DQ41)&lt;=261),"先生","園児"))),""),"")</f>
        <v/>
      </c>
      <c r="DT43" s="213"/>
      <c r="DU43" s="22"/>
      <c r="DV43" s="135" t="str">
        <f t="array" aca="1" ref="DV43" ca="1">IF(AND(DS41&lt;&gt;"",ISERROR(FIND("社食",DS41)),ISERROR(FIND("先生",DS41))),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IF(AND(INDIRECT("'盛付札（関数）'!AE"&amp;DQ41)&gt;=247,INDIRECT("'盛付札（関数）'!AE"&amp;DQ41)&lt;=261),"","先生"))),"")</f>
        <v/>
      </c>
      <c r="DW43" s="37"/>
      <c r="DX43" s="33"/>
      <c r="DY43" s="31"/>
      <c r="DZ43" s="212" t="str">
        <f t="array" aca="1" ref="DZ43" ca="1">IF(AND(DZ41&lt;&gt;"",ISERROR(FIND("社食",DZ41)),ISERROR(FIND("先生",DZ41)),ISERROR(FIND("学童",DZ42))),
IF(DZ44&lt;&gt;"",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IF(AND(INDIRECT("'盛付札（関数）'!AE"&amp;DX41)&gt;=247,INDIRECT("'盛付札（関数）'!AE"&amp;DX41)&lt;=261),"先生","園児"))),""),"")</f>
        <v/>
      </c>
      <c r="EA43" s="213"/>
      <c r="EB43" s="22"/>
      <c r="EC43" s="135" t="str">
        <f t="array" aca="1" ref="EC43" ca="1">IF(AND(DZ41&lt;&gt;"",ISERROR(FIND("社食",DZ41)),ISERROR(FIND("先生",DZ41))),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IF(AND(INDIRECT("'盛付札（関数）'!AE"&amp;DX41)&gt;=247,INDIRECT("'盛付札（関数）'!AE"&amp;DX41)&lt;=261),"","先生"))),"")</f>
        <v/>
      </c>
      <c r="ED43" s="37"/>
      <c r="EE43" s="22"/>
      <c r="EF43" s="30"/>
      <c r="EG43" s="31"/>
      <c r="EH43" s="212" t="str">
        <f t="array" aca="1" ref="EH43" ca="1">IF(AND(EH41&lt;&gt;"",ISERROR(FIND("社食",EH41)),ISERROR(FIND("先生",EH41)),ISERROR(FIND("学童",EH42))),
IF(EH44&lt;&gt;"",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IF(AND(INDIRECT("'盛付札（関数）'!AE"&amp;EF41)&gt;=247,INDIRECT("'盛付札（関数）'!AE"&amp;EF41)&lt;=261),"先生","園児"))),""),"")</f>
        <v/>
      </c>
      <c r="EI43" s="213"/>
      <c r="EJ43" s="22"/>
      <c r="EK43" s="135" t="str">
        <f t="array" aca="1" ref="EK43" ca="1">IF(AND(EH41&lt;&gt;"",ISERROR(FIND("社食",EH41)),ISERROR(FIND("先生",EH41))),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IF(AND(INDIRECT("'盛付札（関数）'!AE"&amp;EF41)&gt;=247,INDIRECT("'盛付札（関数）'!AE"&amp;EF41)&lt;=261),"","先生"))),"")</f>
        <v/>
      </c>
      <c r="EL43" s="37"/>
      <c r="EM43" s="33"/>
      <c r="EN43" s="31"/>
      <c r="EO43" s="212" t="str">
        <f t="array" aca="1" ref="EO43" ca="1">IF(AND(EO41&lt;&gt;"",ISERROR(FIND("社食",EO41)),ISERROR(FIND("先生",EO41)),ISERROR(FIND("学童",EO42))),
IF(EO44&lt;&gt;"",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IF(AND(INDIRECT("'盛付札（関数）'!AE"&amp;EM41)&gt;=247,INDIRECT("'盛付札（関数）'!AE"&amp;EM41)&lt;=261),"先生","園児"))),""),"")</f>
        <v/>
      </c>
      <c r="EP43" s="213"/>
      <c r="EQ43" s="22"/>
      <c r="ER43" s="135" t="str">
        <f t="array" aca="1" ref="ER43" ca="1">IF(AND(EO41&lt;&gt;"",ISERROR(FIND("社食",EO41)),ISERROR(FIND("先生",EO41))),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IF(AND(INDIRECT("'盛付札（関数）'!AE"&amp;EM41)&gt;=247,INDIRECT("'盛付札（関数）'!AE"&amp;EM41)&lt;=261),"","先生"))),"")</f>
        <v/>
      </c>
      <c r="ES43" s="37"/>
      <c r="ET43" s="22"/>
    </row>
    <row r="44" spans="1:150" ht="15.6" customHeight="1">
      <c r="B44" s="25"/>
      <c r="C44" s="210" t="str">
        <f t="array" aca="1" ref="C44" ca="1">IF(C41&lt;&gt;"",INDIRECT("'盛付札（関数）'!AJ"&amp;A41),"")</f>
        <v/>
      </c>
      <c r="D44" s="211"/>
      <c r="E44" s="44"/>
      <c r="F44" s="206" t="str">
        <f t="array" aca="1" ref="F44" ca="1">IF(C41&lt;&gt;"",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INDIRECT("'盛付札（関数）'!AK"&amp;A41))),"")</f>
        <v/>
      </c>
      <c r="G44" s="207"/>
      <c r="H44" s="26"/>
      <c r="I44" s="25"/>
      <c r="J44" s="210" t="str">
        <f t="array" aca="1" ref="J44" ca="1">IF(J41&lt;&gt;"",INDIRECT("'盛付札（関数）'!AJ"&amp;H41),"")</f>
        <v/>
      </c>
      <c r="K44" s="211"/>
      <c r="L44" s="44"/>
      <c r="M44" s="206" t="str">
        <f t="array" aca="1" ref="M44" ca="1">IF(J41&lt;&gt;"",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INDIRECT("'盛付札（関数）'!AK"&amp;H41))),"")</f>
        <v/>
      </c>
      <c r="N44" s="207"/>
      <c r="Q44" s="25"/>
      <c r="R44" s="210" t="str">
        <f t="array" aca="1" ref="R44" ca="1">IF(R41&lt;&gt;"",INDIRECT("'盛付札（関数）'!AJ"&amp;P41),"")</f>
        <v/>
      </c>
      <c r="S44" s="211"/>
      <c r="T44" s="44"/>
      <c r="U44" s="206" t="str">
        <f t="array" aca="1" ref="U44" ca="1">IF(R41&lt;&gt;"",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INDIRECT("'盛付札（関数）'!AK"&amp;P41))),"")</f>
        <v/>
      </c>
      <c r="V44" s="207"/>
      <c r="W44" s="26"/>
      <c r="X44" s="25"/>
      <c r="Y44" s="210" t="str">
        <f t="array" aca="1" ref="Y44" ca="1">IF(Y41&lt;&gt;"",INDIRECT("'盛付札（関数）'!AJ"&amp;W41),"")</f>
        <v/>
      </c>
      <c r="Z44" s="211"/>
      <c r="AA44" s="44"/>
      <c r="AB44" s="206" t="str">
        <f t="array" aca="1" ref="AB44" ca="1">IF(Y41&lt;&gt;"",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INDIRECT("'盛付札（関数）'!AK"&amp;W41))),"")</f>
        <v/>
      </c>
      <c r="AC44" s="207"/>
      <c r="AF44" s="25"/>
      <c r="AG44" s="210" t="str">
        <f t="array" aca="1" ref="AG44" ca="1">IF(AG41&lt;&gt;"",INDIRECT("'盛付札（関数）'!AJ"&amp;AE41),"")</f>
        <v/>
      </c>
      <c r="AH44" s="211"/>
      <c r="AI44" s="44"/>
      <c r="AJ44" s="206" t="str">
        <f t="array" aca="1" ref="AJ44" ca="1">IF(AG41&lt;&gt;"",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INDIRECT("'盛付札（関数）'!AK"&amp;AE41))),"")</f>
        <v/>
      </c>
      <c r="AK44" s="207"/>
      <c r="AL44" s="26"/>
      <c r="AM44" s="25"/>
      <c r="AN44" s="210" t="str">
        <f t="array" aca="1" ref="AN44" ca="1">IF(AN41&lt;&gt;"",INDIRECT("'盛付札（関数）'!AJ"&amp;AL41),"")</f>
        <v/>
      </c>
      <c r="AO44" s="211"/>
      <c r="AP44" s="44"/>
      <c r="AQ44" s="206" t="str">
        <f t="array" aca="1" ref="AQ44" ca="1">IF(AN41&lt;&gt;"",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INDIRECT("'盛付札（関数）'!AK"&amp;AL41))),"")</f>
        <v/>
      </c>
      <c r="AR44" s="207"/>
      <c r="AU44" s="25"/>
      <c r="AV44" s="210" t="str">
        <f t="array" aca="1" ref="AV44" ca="1">IF(AV41&lt;&gt;"",INDIRECT("'盛付札（関数）'!AJ"&amp;AT41),"")</f>
        <v/>
      </c>
      <c r="AW44" s="211"/>
      <c r="AX44" s="44"/>
      <c r="AY44" s="206" t="str">
        <f t="array" aca="1" ref="AY44" ca="1">IF(AV41&lt;&gt;"",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INDIRECT("'盛付札（関数）'!AK"&amp;AT41))),"")</f>
        <v/>
      </c>
      <c r="AZ44" s="207"/>
      <c r="BA44" s="26"/>
      <c r="BB44" s="25"/>
      <c r="BC44" s="210" t="str">
        <f t="array" aca="1" ref="BC44" ca="1">IF(BC41&lt;&gt;"",INDIRECT("'盛付札（関数）'!AJ"&amp;BA41),"")</f>
        <v/>
      </c>
      <c r="BD44" s="211"/>
      <c r="BE44" s="44"/>
      <c r="BF44" s="206" t="str">
        <f t="array" aca="1" ref="BF44" ca="1">IF(BC41&lt;&gt;"",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INDIRECT("'盛付札（関数）'!AK"&amp;BA41))),"")</f>
        <v/>
      </c>
      <c r="BG44" s="207"/>
      <c r="BJ44" s="25"/>
      <c r="BK44" s="210" t="str">
        <f t="array" aca="1" ref="BK44" ca="1">IF(BK41&lt;&gt;"",INDIRECT("'盛付札（関数）'!AJ"&amp;BI41),"")</f>
        <v/>
      </c>
      <c r="BL44" s="211"/>
      <c r="BM44" s="44"/>
      <c r="BN44" s="206" t="str">
        <f t="array" aca="1" ref="BN44" ca="1">IF(BK41&lt;&gt;"",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INDIRECT("'盛付札（関数）'!AK"&amp;BI41))),"")</f>
        <v/>
      </c>
      <c r="BO44" s="207"/>
      <c r="BP44" s="26"/>
      <c r="BQ44" s="25"/>
      <c r="BR44" s="210" t="str">
        <f t="array" aca="1" ref="BR44" ca="1">IF(BR41&lt;&gt;"",INDIRECT("'盛付札（関数）'!AJ"&amp;BP41),"")</f>
        <v/>
      </c>
      <c r="BS44" s="211"/>
      <c r="BT44" s="44"/>
      <c r="BU44" s="206" t="str">
        <f t="array" aca="1" ref="BU44" ca="1">IF(BR41&lt;&gt;"",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INDIRECT("'盛付札（関数）'!AK"&amp;BP41))),"")</f>
        <v/>
      </c>
      <c r="BV44" s="207"/>
      <c r="BY44" s="25"/>
      <c r="BZ44" s="210" t="str">
        <f t="array" aca="1" ref="BZ44" ca="1">IF(BZ41&lt;&gt;"",INDIRECT("'盛付札（関数）'!AJ"&amp;BX41),"")</f>
        <v/>
      </c>
      <c r="CA44" s="211"/>
      <c r="CB44" s="44"/>
      <c r="CC44" s="206" t="str">
        <f t="array" aca="1" ref="CC44" ca="1">IF(BZ41&lt;&gt;"",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INDIRECT("'盛付札（関数）'!AK"&amp;BX41))),"")</f>
        <v/>
      </c>
      <c r="CD44" s="207"/>
      <c r="CE44" s="26"/>
      <c r="CF44" s="25"/>
      <c r="CG44" s="210" t="str">
        <f t="array" aca="1" ref="CG44" ca="1">IF(CG41&lt;&gt;"",INDIRECT("'盛付札（関数）'!AJ"&amp;CE41),"")</f>
        <v/>
      </c>
      <c r="CH44" s="211"/>
      <c r="CI44" s="44"/>
      <c r="CJ44" s="206" t="str">
        <f t="array" aca="1" ref="CJ44" ca="1">IF(CG41&lt;&gt;"",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INDIRECT("'盛付札（関数）'!AK"&amp;CE41))),"")</f>
        <v/>
      </c>
      <c r="CK44" s="207"/>
      <c r="CN44" s="25"/>
      <c r="CO44" s="210" t="str">
        <f t="array" aca="1" ref="CO44" ca="1">IF(CO41&lt;&gt;"",INDIRECT("'盛付札（関数）'!AJ"&amp;CM41),"")</f>
        <v/>
      </c>
      <c r="CP44" s="211"/>
      <c r="CQ44" s="44"/>
      <c r="CR44" s="206" t="str">
        <f t="array" aca="1" ref="CR44" ca="1">IF(CO41&lt;&gt;"",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INDIRECT("'盛付札（関数）'!AK"&amp;CM41))),"")</f>
        <v/>
      </c>
      <c r="CS44" s="207"/>
      <c r="CT44" s="26"/>
      <c r="CU44" s="25"/>
      <c r="CV44" s="210" t="str">
        <f t="array" aca="1" ref="CV44" ca="1">IF(CV41&lt;&gt;"",INDIRECT("'盛付札（関数）'!AJ"&amp;CT41),"")</f>
        <v/>
      </c>
      <c r="CW44" s="211"/>
      <c r="CX44" s="44"/>
      <c r="CY44" s="206" t="str">
        <f t="array" aca="1" ref="CY44" ca="1">IF(CV41&lt;&gt;"",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INDIRECT("'盛付札（関数）'!AK"&amp;CT41))),"")</f>
        <v/>
      </c>
      <c r="CZ44" s="207"/>
      <c r="DC44" s="25"/>
      <c r="DD44" s="210" t="str">
        <f t="array" aca="1" ref="DD44" ca="1">IF(DD41&lt;&gt;"",INDIRECT("'盛付札（関数）'!AJ"&amp;DB41),"")</f>
        <v/>
      </c>
      <c r="DE44" s="211"/>
      <c r="DF44" s="44"/>
      <c r="DG44" s="206" t="str">
        <f t="array" aca="1" ref="DG44" ca="1">IF(DD41&lt;&gt;"",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INDIRECT("'盛付札（関数）'!AK"&amp;DB41))),"")</f>
        <v/>
      </c>
      <c r="DH44" s="207"/>
      <c r="DI44" s="26"/>
      <c r="DJ44" s="25"/>
      <c r="DK44" s="210" t="str">
        <f t="array" aca="1" ref="DK44" ca="1">IF(DK41&lt;&gt;"",INDIRECT("'盛付札（関数）'!AJ"&amp;DI41),"")</f>
        <v/>
      </c>
      <c r="DL44" s="211"/>
      <c r="DM44" s="44"/>
      <c r="DN44" s="206" t="str">
        <f t="array" aca="1" ref="DN44" ca="1">IF(DK41&lt;&gt;"",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INDIRECT("'盛付札（関数）'!AK"&amp;DI41))),"")</f>
        <v/>
      </c>
      <c r="DO44" s="207"/>
      <c r="DR44" s="25"/>
      <c r="DS44" s="210" t="str">
        <f t="array" aca="1" ref="DS44" ca="1">IF(DS41&lt;&gt;"",INDIRECT("'盛付札（関数）'!AJ"&amp;DQ41),"")</f>
        <v/>
      </c>
      <c r="DT44" s="211"/>
      <c r="DU44" s="44"/>
      <c r="DV44" s="206" t="str">
        <f t="array" aca="1" ref="DV44" ca="1">IF(DS41&lt;&gt;"",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INDIRECT("'盛付札（関数）'!AK"&amp;DQ41))),"")</f>
        <v/>
      </c>
      <c r="DW44" s="207"/>
      <c r="DX44" s="26"/>
      <c r="DY44" s="25"/>
      <c r="DZ44" s="210" t="str">
        <f t="array" aca="1" ref="DZ44" ca="1">IF(DZ41&lt;&gt;"",INDIRECT("'盛付札（関数）'!AJ"&amp;DX41),"")</f>
        <v/>
      </c>
      <c r="EA44" s="211"/>
      <c r="EB44" s="44"/>
      <c r="EC44" s="206" t="str">
        <f t="array" aca="1" ref="EC44" ca="1">IF(DZ41&lt;&gt;"",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INDIRECT("'盛付札（関数）'!AK"&amp;DX41))),"")</f>
        <v/>
      </c>
      <c r="ED44" s="207"/>
      <c r="EG44" s="25"/>
      <c r="EH44" s="210" t="str">
        <f t="array" aca="1" ref="EH44" ca="1">IF(EH41&lt;&gt;"",INDIRECT("'盛付札（関数）'!AJ"&amp;EF41),"")</f>
        <v/>
      </c>
      <c r="EI44" s="211"/>
      <c r="EJ44" s="44"/>
      <c r="EK44" s="206" t="str">
        <f t="array" aca="1" ref="EK44" ca="1">IF(EH41&lt;&gt;"",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INDIRECT("'盛付札（関数）'!AK"&amp;EF41))),"")</f>
        <v/>
      </c>
      <c r="EL44" s="207"/>
      <c r="EM44" s="26"/>
      <c r="EN44" s="25"/>
      <c r="EO44" s="210" t="str">
        <f t="array" aca="1" ref="EO44" ca="1">IF(EO41&lt;&gt;"",INDIRECT("'盛付札（関数）'!AJ"&amp;EM41),"")</f>
        <v/>
      </c>
      <c r="EP44" s="211"/>
      <c r="EQ44" s="44"/>
      <c r="ER44" s="206" t="str">
        <f t="array" aca="1" ref="ER44" ca="1">IF(EO41&lt;&gt;"",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INDIRECT("'盛付札（関数）'!AK"&amp;EM41))),"")</f>
        <v/>
      </c>
      <c r="ES44" s="207"/>
    </row>
    <row r="45" spans="1:150" ht="15.6" customHeight="1">
      <c r="B45" s="27"/>
      <c r="C45" s="208"/>
      <c r="D45" s="208"/>
      <c r="E45" s="179"/>
      <c r="F45" s="208"/>
      <c r="G45" s="209"/>
      <c r="H45" s="26"/>
      <c r="I45" s="27"/>
      <c r="J45" s="208"/>
      <c r="K45" s="208"/>
      <c r="L45" s="179"/>
      <c r="M45" s="208"/>
      <c r="N45" s="209"/>
      <c r="Q45" s="27"/>
      <c r="R45" s="208"/>
      <c r="S45" s="208"/>
      <c r="T45" s="179"/>
      <c r="U45" s="208"/>
      <c r="V45" s="209"/>
      <c r="W45" s="26"/>
      <c r="X45" s="27"/>
      <c r="Y45" s="208"/>
      <c r="Z45" s="208"/>
      <c r="AA45" s="179"/>
      <c r="AB45" s="208"/>
      <c r="AC45" s="209"/>
      <c r="AF45" s="27"/>
      <c r="AG45" s="208"/>
      <c r="AH45" s="208"/>
      <c r="AI45" s="179"/>
      <c r="AJ45" s="208"/>
      <c r="AK45" s="209"/>
      <c r="AL45" s="26"/>
      <c r="AM45" s="27"/>
      <c r="AN45" s="208"/>
      <c r="AO45" s="208"/>
      <c r="AP45" s="179"/>
      <c r="AQ45" s="208"/>
      <c r="AR45" s="209"/>
      <c r="AU45" s="27"/>
      <c r="AV45" s="208"/>
      <c r="AW45" s="208"/>
      <c r="AX45" s="179"/>
      <c r="AY45" s="208"/>
      <c r="AZ45" s="209"/>
      <c r="BA45" s="26"/>
      <c r="BB45" s="27"/>
      <c r="BC45" s="208"/>
      <c r="BD45" s="208"/>
      <c r="BE45" s="179"/>
      <c r="BF45" s="208"/>
      <c r="BG45" s="209"/>
      <c r="BJ45" s="27"/>
      <c r="BK45" s="208"/>
      <c r="BL45" s="208"/>
      <c r="BM45" s="179"/>
      <c r="BN45" s="208"/>
      <c r="BO45" s="209"/>
      <c r="BP45" s="26"/>
      <c r="BQ45" s="27"/>
      <c r="BR45" s="208"/>
      <c r="BS45" s="208"/>
      <c r="BT45" s="179"/>
      <c r="BU45" s="208"/>
      <c r="BV45" s="209"/>
      <c r="BY45" s="27"/>
      <c r="BZ45" s="208"/>
      <c r="CA45" s="208"/>
      <c r="CB45" s="179"/>
      <c r="CC45" s="208"/>
      <c r="CD45" s="209"/>
      <c r="CE45" s="26"/>
      <c r="CF45" s="27"/>
      <c r="CG45" s="208"/>
      <c r="CH45" s="208"/>
      <c r="CI45" s="179"/>
      <c r="CJ45" s="208"/>
      <c r="CK45" s="209"/>
      <c r="CN45" s="27"/>
      <c r="CO45" s="208"/>
      <c r="CP45" s="208"/>
      <c r="CQ45" s="179"/>
      <c r="CR45" s="208"/>
      <c r="CS45" s="209"/>
      <c r="CT45" s="26"/>
      <c r="CU45" s="27"/>
      <c r="CV45" s="208"/>
      <c r="CW45" s="208"/>
      <c r="CX45" s="179"/>
      <c r="CY45" s="208"/>
      <c r="CZ45" s="209"/>
      <c r="DC45" s="27"/>
      <c r="DD45" s="208"/>
      <c r="DE45" s="208"/>
      <c r="DF45" s="179"/>
      <c r="DG45" s="208"/>
      <c r="DH45" s="209"/>
      <c r="DI45" s="26"/>
      <c r="DJ45" s="27"/>
      <c r="DK45" s="208"/>
      <c r="DL45" s="208"/>
      <c r="DM45" s="179"/>
      <c r="DN45" s="208"/>
      <c r="DO45" s="209"/>
      <c r="DR45" s="27"/>
      <c r="DS45" s="208"/>
      <c r="DT45" s="208"/>
      <c r="DU45" s="179"/>
      <c r="DV45" s="208"/>
      <c r="DW45" s="209"/>
      <c r="DX45" s="26"/>
      <c r="DY45" s="27"/>
      <c r="DZ45" s="208"/>
      <c r="EA45" s="208"/>
      <c r="EB45" s="179"/>
      <c r="EC45" s="208"/>
      <c r="ED45" s="209"/>
      <c r="EG45" s="27"/>
      <c r="EH45" s="208"/>
      <c r="EI45" s="208"/>
      <c r="EJ45" s="179"/>
      <c r="EK45" s="208"/>
      <c r="EL45" s="209"/>
      <c r="EM45" s="26"/>
      <c r="EN45" s="27"/>
      <c r="EO45" s="208"/>
      <c r="EP45" s="208"/>
      <c r="EQ45" s="179"/>
      <c r="ER45" s="208"/>
      <c r="ES45" s="209"/>
    </row>
    <row r="46" spans="1:150" s="181" customFormat="1">
      <c r="A46" s="30"/>
      <c r="B46" s="34" t="str">
        <f t="array" aca="1" ref="B46" ca="1">IF(AND(C41&lt;&gt;"",C41&lt;&gt;"社食"),
IF(OR(INDIRECT("'盛付札（関数）'!AE"&amp;A41)=211,INDIRECT("'盛付札（関数）'!AE"&amp;A41)=212,INDIRECT("'盛付札（関数）'!AE"&amp;A41)=213),"",
"パン箱"),"")</f>
        <v/>
      </c>
      <c r="C46" s="32" t="str">
        <f t="array" aca="1" ref="C46" ca="1">IF(AND(C41&lt;&gt;"",C41&lt;&gt;"社食"),
IF(OR(INDIRECT("'盛付札（関数）'!AE"&amp;A41)=211,INDIRECT("'盛付札（関数）'!AE"&amp;A41)=212,INDIRECT("'盛付札（関数）'!AE"&amp;A41)=213),"",
INDIRECT("'盛付札（関数）'!AL"&amp;A41)),"")</f>
        <v/>
      </c>
      <c r="D46" s="34" t="str">
        <f t="array" aca="1" ref="D46" ca="1">IF(AND(C41&lt;&gt;"",C41&lt;&gt;"社食"),
IF(OR(INDIRECT("'盛付札（関数）'!AE"&amp;A41)=211,INDIRECT("'盛付札（関数）'!AE"&amp;A41)=212,INDIRECT("'盛付札（関数）'!AE"&amp;A41)=213),"",
"端数"),"")</f>
        <v/>
      </c>
      <c r="E46" s="32"/>
      <c r="F46" s="34" t="str">
        <f t="array" aca="1" ref="F46" ca="1">IF(AND(C41&lt;&gt;"",C41&lt;&gt;"社食"),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"アレルギー")),"")</f>
        <v/>
      </c>
      <c r="G46" s="37"/>
      <c r="H46" s="22"/>
      <c r="I46" s="34" t="str">
        <f t="array" aca="1" ref="I46" ca="1">IF(AND(J41&lt;&gt;"",J41&lt;&gt;"社食"),
IF(OR(INDIRECT("'盛付札（関数）'!AE"&amp;H41)=211,INDIRECT("'盛付札（関数）'!AE"&amp;H41)=212,INDIRECT("'盛付札（関数）'!AE"&amp;H41)=213),"",
"パン箱"),"")</f>
        <v/>
      </c>
      <c r="J46" s="32" t="str">
        <f t="array" aca="1" ref="J46" ca="1">IF(AND(J41&lt;&gt;"",J41&lt;&gt;"社食"),
IF(OR(INDIRECT("'盛付札（関数）'!AE"&amp;H41)=211,INDIRECT("'盛付札（関数）'!AE"&amp;H41)=212,INDIRECT("'盛付札（関数）'!AE"&amp;H41)=213),"",
INDIRECT("'盛付札（関数）'!AL"&amp;H41)),"")</f>
        <v/>
      </c>
      <c r="K46" s="34" t="str">
        <f t="array" aca="1" ref="K46" ca="1">IF(AND(J41&lt;&gt;"",J41&lt;&gt;"社食"),
IF(OR(INDIRECT("'盛付札（関数）'!AE"&amp;H41)=211,INDIRECT("'盛付札（関数）'!AE"&amp;H41)=212,INDIRECT("'盛付札（関数）'!AE"&amp;H41)=213),"",
"端数"),"")</f>
        <v/>
      </c>
      <c r="L46" s="32"/>
      <c r="M46" s="34" t="str">
        <f t="array" aca="1" ref="M46" ca="1">IF(AND(J41&lt;&gt;"",J41&lt;&gt;"社食"),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"アレルギー")),"")</f>
        <v/>
      </c>
      <c r="N46" s="37"/>
      <c r="O46" s="22"/>
      <c r="P46" s="30"/>
      <c r="Q46" s="34" t="str">
        <f t="array" aca="1" ref="Q46" ca="1">IF(AND(R41&lt;&gt;"",R41&lt;&gt;"社食"),
IF(OR(INDIRECT("'盛付札（関数）'!AE"&amp;P41)=211,INDIRECT("'盛付札（関数）'!AE"&amp;P41)=212,INDIRECT("'盛付札（関数）'!AE"&amp;P41)=213),"",
"パン箱"),"")</f>
        <v/>
      </c>
      <c r="R46" s="32" t="str">
        <f t="array" aca="1" ref="R46" ca="1">IF(AND(R41&lt;&gt;"",R41&lt;&gt;"社食"),
IF(OR(INDIRECT("'盛付札（関数）'!AE"&amp;P41)=211,INDIRECT("'盛付札（関数）'!AE"&amp;P41)=212,INDIRECT("'盛付札（関数）'!AE"&amp;P41)=213),"",
INDIRECT("'盛付札（関数）'!AL"&amp;P41)),"")</f>
        <v/>
      </c>
      <c r="S46" s="34" t="str">
        <f t="array" aca="1" ref="S46" ca="1">IF(AND(R41&lt;&gt;"",R41&lt;&gt;"社食"),
IF(OR(INDIRECT("'盛付札（関数）'!AE"&amp;P41)=211,INDIRECT("'盛付札（関数）'!AE"&amp;P41)=212,INDIRECT("'盛付札（関数）'!AE"&amp;P41)=213),"",
"端数"),"")</f>
        <v/>
      </c>
      <c r="T46" s="32"/>
      <c r="U46" s="34" t="str">
        <f t="array" aca="1" ref="U46" ca="1">IF(AND(R41&lt;&gt;"",R41&lt;&gt;"社食"),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"アレルギー")),"")</f>
        <v/>
      </c>
      <c r="V46" s="37"/>
      <c r="W46" s="22"/>
      <c r="X46" s="34" t="str">
        <f t="array" aca="1" ref="X46" ca="1">IF(AND(Y41&lt;&gt;"",Y41&lt;&gt;"社食"),
IF(OR(INDIRECT("'盛付札（関数）'!AE"&amp;W41)=211,INDIRECT("'盛付札（関数）'!AE"&amp;W41)=212,INDIRECT("'盛付札（関数）'!AE"&amp;W41)=213),"",
"パン箱"),"")</f>
        <v/>
      </c>
      <c r="Y46" s="32" t="str">
        <f t="array" aca="1" ref="Y46" ca="1">IF(AND(Y41&lt;&gt;"",Y41&lt;&gt;"社食"),
IF(OR(INDIRECT("'盛付札（関数）'!AE"&amp;W41)=211,INDIRECT("'盛付札（関数）'!AE"&amp;W41)=212,INDIRECT("'盛付札（関数）'!AE"&amp;W41)=213),"",
INDIRECT("'盛付札（関数）'!AL"&amp;W41)),"")</f>
        <v/>
      </c>
      <c r="Z46" s="34" t="str">
        <f t="array" aca="1" ref="Z46" ca="1">IF(AND(Y41&lt;&gt;"",Y41&lt;&gt;"社食"),
IF(OR(INDIRECT("'盛付札（関数）'!AE"&amp;W41)=211,INDIRECT("'盛付札（関数）'!AE"&amp;W41)=212,INDIRECT("'盛付札（関数）'!AE"&amp;W41)=213),"",
"端数"),"")</f>
        <v/>
      </c>
      <c r="AA46" s="32"/>
      <c r="AB46" s="34" t="str">
        <f t="array" aca="1" ref="AB46" ca="1">IF(AND(Y41&lt;&gt;"",Y41&lt;&gt;"社食"),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"アレルギー")),"")</f>
        <v/>
      </c>
      <c r="AC46" s="37"/>
      <c r="AD46" s="22"/>
      <c r="AE46" s="30"/>
      <c r="AF46" s="34" t="str">
        <f t="array" aca="1" ref="AF46" ca="1">IF(AND(AG41&lt;&gt;"",AG41&lt;&gt;"社食"),
IF(OR(INDIRECT("'盛付札（関数）'!AE"&amp;AE41)=211,INDIRECT("'盛付札（関数）'!AE"&amp;AE41)=212,INDIRECT("'盛付札（関数）'!AE"&amp;AE41)=213),"",
"パン箱"),"")</f>
        <v/>
      </c>
      <c r="AG46" s="32" t="str">
        <f t="array" aca="1" ref="AG46" ca="1">IF(AND(AG41&lt;&gt;"",AG41&lt;&gt;"社食"),
IF(OR(INDIRECT("'盛付札（関数）'!AE"&amp;AE41)=211,INDIRECT("'盛付札（関数）'!AE"&amp;AE41)=212,INDIRECT("'盛付札（関数）'!AE"&amp;AE41)=213),"",
INDIRECT("'盛付札（関数）'!AL"&amp;AE41)),"")</f>
        <v/>
      </c>
      <c r="AH46" s="34" t="str">
        <f t="array" aca="1" ref="AH46" ca="1">IF(AND(AG41&lt;&gt;"",AG41&lt;&gt;"社食"),
IF(OR(INDIRECT("'盛付札（関数）'!AE"&amp;AE41)=211,INDIRECT("'盛付札（関数）'!AE"&amp;AE41)=212,INDIRECT("'盛付札（関数）'!AE"&amp;AE41)=213),"",
"端数"),"")</f>
        <v/>
      </c>
      <c r="AI46" s="32"/>
      <c r="AJ46" s="34" t="str">
        <f t="array" aca="1" ref="AJ46" ca="1">IF(AND(AG41&lt;&gt;"",AG41&lt;&gt;"社食"),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"アレルギー")),"")</f>
        <v/>
      </c>
      <c r="AK46" s="37"/>
      <c r="AL46" s="22"/>
      <c r="AM46" s="34" t="str">
        <f t="array" aca="1" ref="AM46" ca="1">IF(AND(AN41&lt;&gt;"",AN41&lt;&gt;"社食"),
IF(OR(INDIRECT("'盛付札（関数）'!AE"&amp;AL41)=211,INDIRECT("'盛付札（関数）'!AE"&amp;AL41)=212,INDIRECT("'盛付札（関数）'!AE"&amp;AL41)=213),"",
"パン箱"),"")</f>
        <v/>
      </c>
      <c r="AN46" s="32" t="str">
        <f t="array" aca="1" ref="AN46" ca="1">IF(AND(AN41&lt;&gt;"",AN41&lt;&gt;"社食"),
IF(OR(INDIRECT("'盛付札（関数）'!AE"&amp;AL41)=211,INDIRECT("'盛付札（関数）'!AE"&amp;AL41)=212,INDIRECT("'盛付札（関数）'!AE"&amp;AL41)=213),"",
INDIRECT("'盛付札（関数）'!AL"&amp;AL41)),"")</f>
        <v/>
      </c>
      <c r="AO46" s="34" t="str">
        <f t="array" aca="1" ref="AO46" ca="1">IF(AND(AN41&lt;&gt;"",AN41&lt;&gt;"社食"),
IF(OR(INDIRECT("'盛付札（関数）'!AE"&amp;AL41)=211,INDIRECT("'盛付札（関数）'!AE"&amp;AL41)=212,INDIRECT("'盛付札（関数）'!AE"&amp;AL41)=213),"",
"端数"),"")</f>
        <v/>
      </c>
      <c r="AP46" s="32"/>
      <c r="AQ46" s="34" t="str">
        <f t="array" aca="1" ref="AQ46" ca="1">IF(AND(AN41&lt;&gt;"",AN41&lt;&gt;"社食"),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"アレルギー")),"")</f>
        <v/>
      </c>
      <c r="AR46" s="37"/>
      <c r="AS46" s="22"/>
      <c r="AT46" s="30"/>
      <c r="AU46" s="34" t="str">
        <f t="array" aca="1" ref="AU46" ca="1">IF(AND(AV41&lt;&gt;"",AV41&lt;&gt;"社食"),
IF(OR(INDIRECT("'盛付札（関数）'!AE"&amp;AT41)=211,INDIRECT("'盛付札（関数）'!AE"&amp;AT41)=212,INDIRECT("'盛付札（関数）'!AE"&amp;AT41)=213),"",
"パン箱"),"")</f>
        <v/>
      </c>
      <c r="AV46" s="32" t="str">
        <f t="array" aca="1" ref="AV46" ca="1">IF(AND(AV41&lt;&gt;"",AV41&lt;&gt;"社食"),
IF(OR(INDIRECT("'盛付札（関数）'!AE"&amp;AT41)=211,INDIRECT("'盛付札（関数）'!AE"&amp;AT41)=212,INDIRECT("'盛付札（関数）'!AE"&amp;AT41)=213),"",
INDIRECT("'盛付札（関数）'!AL"&amp;AT41)),"")</f>
        <v/>
      </c>
      <c r="AW46" s="34" t="str">
        <f t="array" aca="1" ref="AW46" ca="1">IF(AND(AV41&lt;&gt;"",AV41&lt;&gt;"社食"),
IF(OR(INDIRECT("'盛付札（関数）'!AE"&amp;AT41)=211,INDIRECT("'盛付札（関数）'!AE"&amp;AT41)=212,INDIRECT("'盛付札（関数）'!AE"&amp;AT41)=213),"",
"端数"),"")</f>
        <v/>
      </c>
      <c r="AX46" s="32"/>
      <c r="AY46" s="34" t="str">
        <f t="array" aca="1" ref="AY46" ca="1">IF(AND(AV41&lt;&gt;"",AV41&lt;&gt;"社食"),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"アレルギー")),"")</f>
        <v/>
      </c>
      <c r="AZ46" s="37"/>
      <c r="BA46" s="22"/>
      <c r="BB46" s="34" t="str">
        <f t="array" aca="1" ref="BB46" ca="1">IF(AND(BC41&lt;&gt;"",BC41&lt;&gt;"社食"),
IF(OR(INDIRECT("'盛付札（関数）'!AE"&amp;BA41)=211,INDIRECT("'盛付札（関数）'!AE"&amp;BA41)=212,INDIRECT("'盛付札（関数）'!AE"&amp;BA41)=213),"",
"パン箱"),"")</f>
        <v/>
      </c>
      <c r="BC46" s="32" t="str">
        <f t="array" aca="1" ref="BC46" ca="1">IF(AND(BC41&lt;&gt;"",BC41&lt;&gt;"社食"),
IF(OR(INDIRECT("'盛付札（関数）'!AE"&amp;BA41)=211,INDIRECT("'盛付札（関数）'!AE"&amp;BA41)=212,INDIRECT("'盛付札（関数）'!AE"&amp;BA41)=213),"",
INDIRECT("'盛付札（関数）'!AL"&amp;BA41)),"")</f>
        <v/>
      </c>
      <c r="BD46" s="34" t="str">
        <f t="array" aca="1" ref="BD46" ca="1">IF(AND(BC41&lt;&gt;"",BC41&lt;&gt;"社食"),
IF(OR(INDIRECT("'盛付札（関数）'!AE"&amp;BA41)=211,INDIRECT("'盛付札（関数）'!AE"&amp;BA41)=212,INDIRECT("'盛付札（関数）'!AE"&amp;BA41)=213),"",
"端数"),"")</f>
        <v/>
      </c>
      <c r="BE46" s="32"/>
      <c r="BF46" s="34" t="str">
        <f t="array" aca="1" ref="BF46" ca="1">IF(AND(BC41&lt;&gt;"",BC41&lt;&gt;"社食"),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"アレルギー")),"")</f>
        <v/>
      </c>
      <c r="BG46" s="37"/>
      <c r="BH46" s="22"/>
      <c r="BI46" s="30"/>
      <c r="BJ46" s="34" t="str">
        <f t="array" aca="1" ref="BJ46" ca="1">IF(AND(BK41&lt;&gt;"",BK41&lt;&gt;"社食"),
IF(OR(INDIRECT("'盛付札（関数）'!AE"&amp;BI41)=211,INDIRECT("'盛付札（関数）'!AE"&amp;BI41)=212,INDIRECT("'盛付札（関数）'!AE"&amp;BI41)=213),"",
"パン箱"),"")</f>
        <v/>
      </c>
      <c r="BK46" s="32" t="str">
        <f t="array" aca="1" ref="BK46" ca="1">IF(AND(BK41&lt;&gt;"",BK41&lt;&gt;"社食"),
IF(OR(INDIRECT("'盛付札（関数）'!AE"&amp;BI41)=211,INDIRECT("'盛付札（関数）'!AE"&amp;BI41)=212,INDIRECT("'盛付札（関数）'!AE"&amp;BI41)=213),"",
INDIRECT("'盛付札（関数）'!AL"&amp;BI41)),"")</f>
        <v/>
      </c>
      <c r="BL46" s="34" t="str">
        <f t="array" aca="1" ref="BL46" ca="1">IF(AND(BK41&lt;&gt;"",BK41&lt;&gt;"社食"),
IF(OR(INDIRECT("'盛付札（関数）'!AE"&amp;BI41)=211,INDIRECT("'盛付札（関数）'!AE"&amp;BI41)=212,INDIRECT("'盛付札（関数）'!AE"&amp;BI41)=213),"",
"端数"),"")</f>
        <v/>
      </c>
      <c r="BM46" s="32"/>
      <c r="BN46" s="34" t="str">
        <f t="array" aca="1" ref="BN46" ca="1">IF(AND(BK41&lt;&gt;"",BK41&lt;&gt;"社食"),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"アレルギー")),"")</f>
        <v/>
      </c>
      <c r="BO46" s="37"/>
      <c r="BP46" s="22"/>
      <c r="BQ46" s="34" t="str">
        <f t="array" aca="1" ref="BQ46" ca="1">IF(AND(BR41&lt;&gt;"",BR41&lt;&gt;"社食"),
IF(OR(INDIRECT("'盛付札（関数）'!AE"&amp;BP41)=211,INDIRECT("'盛付札（関数）'!AE"&amp;BP41)=212,INDIRECT("'盛付札（関数）'!AE"&amp;BP41)=213),"",
"パン箱"),"")</f>
        <v/>
      </c>
      <c r="BR46" s="32" t="str">
        <f t="array" aca="1" ref="BR46" ca="1">IF(AND(BR41&lt;&gt;"",BR41&lt;&gt;"社食"),
IF(OR(INDIRECT("'盛付札（関数）'!AE"&amp;BP41)=211,INDIRECT("'盛付札（関数）'!AE"&amp;BP41)=212,INDIRECT("'盛付札（関数）'!AE"&amp;BP41)=213),"",
INDIRECT("'盛付札（関数）'!AL"&amp;BP41)),"")</f>
        <v/>
      </c>
      <c r="BS46" s="34" t="str">
        <f t="array" aca="1" ref="BS46" ca="1">IF(AND(BR41&lt;&gt;"",BR41&lt;&gt;"社食"),
IF(OR(INDIRECT("'盛付札（関数）'!AE"&amp;BP41)=211,INDIRECT("'盛付札（関数）'!AE"&amp;BP41)=212,INDIRECT("'盛付札（関数）'!AE"&amp;BP41)=213),"",
"端数"),"")</f>
        <v/>
      </c>
      <c r="BT46" s="32"/>
      <c r="BU46" s="34" t="str">
        <f t="array" aca="1" ref="BU46" ca="1">IF(AND(BR41&lt;&gt;"",BR41&lt;&gt;"社食"),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"アレルギー")),"")</f>
        <v/>
      </c>
      <c r="BV46" s="37"/>
      <c r="BW46" s="22"/>
      <c r="BX46" s="30"/>
      <c r="BY46" s="34" t="str">
        <f t="array" aca="1" ref="BY46" ca="1">IF(AND(BZ41&lt;&gt;"",BZ41&lt;&gt;"社食"),
IF(OR(INDIRECT("'盛付札（関数）'!AE"&amp;BX41)=211,INDIRECT("'盛付札（関数）'!AE"&amp;BX41)=212,INDIRECT("'盛付札（関数）'!AE"&amp;BX41)=213),"",
"パン箱"),"")</f>
        <v/>
      </c>
      <c r="BZ46" s="32" t="str">
        <f t="array" aca="1" ref="BZ46" ca="1">IF(AND(BZ41&lt;&gt;"",BZ41&lt;&gt;"社食"),
IF(OR(INDIRECT("'盛付札（関数）'!AE"&amp;BX41)=211,INDIRECT("'盛付札（関数）'!AE"&amp;BX41)=212,INDIRECT("'盛付札（関数）'!AE"&amp;BX41)=213),"",
INDIRECT("'盛付札（関数）'!AL"&amp;BX41)),"")</f>
        <v/>
      </c>
      <c r="CA46" s="34" t="str">
        <f t="array" aca="1" ref="CA46" ca="1">IF(AND(BZ41&lt;&gt;"",BZ41&lt;&gt;"社食"),
IF(OR(INDIRECT("'盛付札（関数）'!AE"&amp;BX41)=211,INDIRECT("'盛付札（関数）'!AE"&amp;BX41)=212,INDIRECT("'盛付札（関数）'!AE"&amp;BX41)=213),"",
"端数"),"")</f>
        <v/>
      </c>
      <c r="CB46" s="32"/>
      <c r="CC46" s="34" t="str">
        <f t="array" aca="1" ref="CC46" ca="1">IF(AND(BZ41&lt;&gt;"",BZ41&lt;&gt;"社食"),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"アレルギー")),"")</f>
        <v/>
      </c>
      <c r="CD46" s="37"/>
      <c r="CE46" s="22"/>
      <c r="CF46" s="34" t="str">
        <f t="array" aca="1" ref="CF46" ca="1">IF(AND(CG41&lt;&gt;"",CG41&lt;&gt;"社食"),
IF(OR(INDIRECT("'盛付札（関数）'!AE"&amp;CE41)=211,INDIRECT("'盛付札（関数）'!AE"&amp;CE41)=212,INDIRECT("'盛付札（関数）'!AE"&amp;CE41)=213),"",
"パン箱"),"")</f>
        <v/>
      </c>
      <c r="CG46" s="32" t="str">
        <f t="array" aca="1" ref="CG46" ca="1">IF(AND(CG41&lt;&gt;"",CG41&lt;&gt;"社食"),
IF(OR(INDIRECT("'盛付札（関数）'!AE"&amp;CE41)=211,INDIRECT("'盛付札（関数）'!AE"&amp;CE41)=212,INDIRECT("'盛付札（関数）'!AE"&amp;CE41)=213),"",
INDIRECT("'盛付札（関数）'!AL"&amp;CE41)),"")</f>
        <v/>
      </c>
      <c r="CH46" s="34" t="str">
        <f t="array" aca="1" ref="CH46" ca="1">IF(AND(CG41&lt;&gt;"",CG41&lt;&gt;"社食"),
IF(OR(INDIRECT("'盛付札（関数）'!AE"&amp;CE41)=211,INDIRECT("'盛付札（関数）'!AE"&amp;CE41)=212,INDIRECT("'盛付札（関数）'!AE"&amp;CE41)=213),"",
"端数"),"")</f>
        <v/>
      </c>
      <c r="CI46" s="32"/>
      <c r="CJ46" s="34" t="str">
        <f t="array" aca="1" ref="CJ46" ca="1">IF(AND(CG41&lt;&gt;"",CG41&lt;&gt;"社食"),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"アレルギー")),"")</f>
        <v/>
      </c>
      <c r="CK46" s="37"/>
      <c r="CL46" s="22"/>
      <c r="CM46" s="30"/>
      <c r="CN46" s="34" t="str">
        <f t="array" aca="1" ref="CN46" ca="1">IF(AND(CO41&lt;&gt;"",CO41&lt;&gt;"社食"),
IF(OR(INDIRECT("'盛付札（関数）'!AE"&amp;CM41)=211,INDIRECT("'盛付札（関数）'!AE"&amp;CM41)=212,INDIRECT("'盛付札（関数）'!AE"&amp;CM41)=213),"",
"パン箱"),"")</f>
        <v/>
      </c>
      <c r="CO46" s="32" t="str">
        <f t="array" aca="1" ref="CO46" ca="1">IF(AND(CO41&lt;&gt;"",CO41&lt;&gt;"社食"),
IF(OR(INDIRECT("'盛付札（関数）'!AE"&amp;CM41)=211,INDIRECT("'盛付札（関数）'!AE"&amp;CM41)=212,INDIRECT("'盛付札（関数）'!AE"&amp;CM41)=213),"",
INDIRECT("'盛付札（関数）'!AL"&amp;CM41)),"")</f>
        <v/>
      </c>
      <c r="CP46" s="34" t="str">
        <f t="array" aca="1" ref="CP46" ca="1">IF(AND(CO41&lt;&gt;"",CO41&lt;&gt;"社食"),
IF(OR(INDIRECT("'盛付札（関数）'!AE"&amp;CM41)=211,INDIRECT("'盛付札（関数）'!AE"&amp;CM41)=212,INDIRECT("'盛付札（関数）'!AE"&amp;CM41)=213),"",
"端数"),"")</f>
        <v/>
      </c>
      <c r="CQ46" s="32"/>
      <c r="CR46" s="34" t="str">
        <f t="array" aca="1" ref="CR46" ca="1">IF(AND(CO41&lt;&gt;"",CO41&lt;&gt;"社食"),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"アレルギー")),"")</f>
        <v/>
      </c>
      <c r="CS46" s="37"/>
      <c r="CT46" s="22"/>
      <c r="CU46" s="34" t="str">
        <f t="array" aca="1" ref="CU46" ca="1">IF(AND(CV41&lt;&gt;"",CV41&lt;&gt;"社食"),
IF(OR(INDIRECT("'盛付札（関数）'!AE"&amp;CT41)=211,INDIRECT("'盛付札（関数）'!AE"&amp;CT41)=212,INDIRECT("'盛付札（関数）'!AE"&amp;CT41)=213),"",
"パン箱"),"")</f>
        <v/>
      </c>
      <c r="CV46" s="32" t="str">
        <f t="array" aca="1" ref="CV46" ca="1">IF(AND(CV41&lt;&gt;"",CV41&lt;&gt;"社食"),
IF(OR(INDIRECT("'盛付札（関数）'!AE"&amp;CT41)=211,INDIRECT("'盛付札（関数）'!AE"&amp;CT41)=212,INDIRECT("'盛付札（関数）'!AE"&amp;CT41)=213),"",
INDIRECT("'盛付札（関数）'!AL"&amp;CT41)),"")</f>
        <v/>
      </c>
      <c r="CW46" s="34" t="str">
        <f t="array" aca="1" ref="CW46" ca="1">IF(AND(CV41&lt;&gt;"",CV41&lt;&gt;"社食"),
IF(OR(INDIRECT("'盛付札（関数）'!AE"&amp;CT41)=211,INDIRECT("'盛付札（関数）'!AE"&amp;CT41)=212,INDIRECT("'盛付札（関数）'!AE"&amp;CT41)=213),"",
"端数"),"")</f>
        <v/>
      </c>
      <c r="CX46" s="32"/>
      <c r="CY46" s="34" t="str">
        <f t="array" aca="1" ref="CY46" ca="1">IF(AND(CV41&lt;&gt;"",CV41&lt;&gt;"社食"),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"アレルギー")),"")</f>
        <v/>
      </c>
      <c r="CZ46" s="37"/>
      <c r="DA46" s="22"/>
      <c r="DB46" s="30"/>
      <c r="DC46" s="34" t="str">
        <f t="array" aca="1" ref="DC46" ca="1">IF(AND(DD41&lt;&gt;"",DD41&lt;&gt;"社食"),
IF(OR(INDIRECT("'盛付札（関数）'!AE"&amp;DB41)=211,INDIRECT("'盛付札（関数）'!AE"&amp;DB41)=212,INDIRECT("'盛付札（関数）'!AE"&amp;DB41)=213),"",
"パン箱"),"")</f>
        <v/>
      </c>
      <c r="DD46" s="32" t="str">
        <f t="array" aca="1" ref="DD46" ca="1">IF(AND(DD41&lt;&gt;"",DD41&lt;&gt;"社食"),
IF(OR(INDIRECT("'盛付札（関数）'!AE"&amp;DB41)=211,INDIRECT("'盛付札（関数）'!AE"&amp;DB41)=212,INDIRECT("'盛付札（関数）'!AE"&amp;DB41)=213),"",
INDIRECT("'盛付札（関数）'!AL"&amp;DB41)),"")</f>
        <v/>
      </c>
      <c r="DE46" s="34" t="str">
        <f t="array" aca="1" ref="DE46" ca="1">IF(AND(DD41&lt;&gt;"",DD41&lt;&gt;"社食"),
IF(OR(INDIRECT("'盛付札（関数）'!AE"&amp;DB41)=211,INDIRECT("'盛付札（関数）'!AE"&amp;DB41)=212,INDIRECT("'盛付札（関数）'!AE"&amp;DB41)=213),"",
"端数"),"")</f>
        <v/>
      </c>
      <c r="DF46" s="32"/>
      <c r="DG46" s="34" t="str">
        <f t="array" aca="1" ref="DG46" ca="1">IF(AND(DD41&lt;&gt;"",DD41&lt;&gt;"社食"),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"アレルギー")),"")</f>
        <v/>
      </c>
      <c r="DH46" s="37"/>
      <c r="DI46" s="22"/>
      <c r="DJ46" s="34" t="str">
        <f t="array" aca="1" ref="DJ46" ca="1">IF(AND(DK41&lt;&gt;"",DK41&lt;&gt;"社食"),
IF(OR(INDIRECT("'盛付札（関数）'!AE"&amp;DI41)=211,INDIRECT("'盛付札（関数）'!AE"&amp;DI41)=212,INDIRECT("'盛付札（関数）'!AE"&amp;DI41)=213),"",
"パン箱"),"")</f>
        <v/>
      </c>
      <c r="DK46" s="32" t="str">
        <f t="array" aca="1" ref="DK46" ca="1">IF(AND(DK41&lt;&gt;"",DK41&lt;&gt;"社食"),
IF(OR(INDIRECT("'盛付札（関数）'!AE"&amp;DI41)=211,INDIRECT("'盛付札（関数）'!AE"&amp;DI41)=212,INDIRECT("'盛付札（関数）'!AE"&amp;DI41)=213),"",
INDIRECT("'盛付札（関数）'!AL"&amp;DI41)),"")</f>
        <v/>
      </c>
      <c r="DL46" s="34" t="str">
        <f t="array" aca="1" ref="DL46" ca="1">IF(AND(DK41&lt;&gt;"",DK41&lt;&gt;"社食"),
IF(OR(INDIRECT("'盛付札（関数）'!AE"&amp;DI41)=211,INDIRECT("'盛付札（関数）'!AE"&amp;DI41)=212,INDIRECT("'盛付札（関数）'!AE"&amp;DI41)=213),"",
"端数"),"")</f>
        <v/>
      </c>
      <c r="DM46" s="32"/>
      <c r="DN46" s="34" t="str">
        <f t="array" aca="1" ref="DN46" ca="1">IF(AND(DK41&lt;&gt;"",DK41&lt;&gt;"社食"),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"アレルギー")),"")</f>
        <v/>
      </c>
      <c r="DO46" s="37"/>
      <c r="DP46" s="22"/>
      <c r="DQ46" s="30"/>
      <c r="DR46" s="34" t="str">
        <f t="array" aca="1" ref="DR46" ca="1">IF(AND(DS41&lt;&gt;"",DS41&lt;&gt;"社食"),
IF(OR(INDIRECT("'盛付札（関数）'!AE"&amp;DQ41)=211,INDIRECT("'盛付札（関数）'!AE"&amp;DQ41)=212,INDIRECT("'盛付札（関数）'!AE"&amp;DQ41)=213),"",
"パン箱"),"")</f>
        <v/>
      </c>
      <c r="DS46" s="32" t="str">
        <f t="array" aca="1" ref="DS46" ca="1">IF(AND(DS41&lt;&gt;"",DS41&lt;&gt;"社食"),
IF(OR(INDIRECT("'盛付札（関数）'!AE"&amp;DQ41)=211,INDIRECT("'盛付札（関数）'!AE"&amp;DQ41)=212,INDIRECT("'盛付札（関数）'!AE"&amp;DQ41)=213),"",
INDIRECT("'盛付札（関数）'!AL"&amp;DQ41)),"")</f>
        <v/>
      </c>
      <c r="DT46" s="34" t="str">
        <f t="array" aca="1" ref="DT46" ca="1">IF(AND(DS41&lt;&gt;"",DS41&lt;&gt;"社食"),
IF(OR(INDIRECT("'盛付札（関数）'!AE"&amp;DQ41)=211,INDIRECT("'盛付札（関数）'!AE"&amp;DQ41)=212,INDIRECT("'盛付札（関数）'!AE"&amp;DQ41)=213),"",
"端数"),"")</f>
        <v/>
      </c>
      <c r="DU46" s="32"/>
      <c r="DV46" s="34" t="str">
        <f t="array" aca="1" ref="DV46" ca="1">IF(AND(DS41&lt;&gt;"",DS41&lt;&gt;"社食"),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"アレルギー")),"")</f>
        <v/>
      </c>
      <c r="DW46" s="37"/>
      <c r="DX46" s="22"/>
      <c r="DY46" s="34" t="str">
        <f t="array" aca="1" ref="DY46" ca="1">IF(AND(DZ41&lt;&gt;"",DZ41&lt;&gt;"社食"),
IF(OR(INDIRECT("'盛付札（関数）'!AE"&amp;DX41)=211,INDIRECT("'盛付札（関数）'!AE"&amp;DX41)=212,INDIRECT("'盛付札（関数）'!AE"&amp;DX41)=213),"",
"パン箱"),"")</f>
        <v/>
      </c>
      <c r="DZ46" s="32" t="str">
        <f t="array" aca="1" ref="DZ46" ca="1">IF(AND(DZ41&lt;&gt;"",DZ41&lt;&gt;"社食"),
IF(OR(INDIRECT("'盛付札（関数）'!AE"&amp;DX41)=211,INDIRECT("'盛付札（関数）'!AE"&amp;DX41)=212,INDIRECT("'盛付札（関数）'!AE"&amp;DX41)=213),"",
INDIRECT("'盛付札（関数）'!AL"&amp;DX41)),"")</f>
        <v/>
      </c>
      <c r="EA46" s="34" t="str">
        <f t="array" aca="1" ref="EA46" ca="1">IF(AND(DZ41&lt;&gt;"",DZ41&lt;&gt;"社食"),
IF(OR(INDIRECT("'盛付札（関数）'!AE"&amp;DX41)=211,INDIRECT("'盛付札（関数）'!AE"&amp;DX41)=212,INDIRECT("'盛付札（関数）'!AE"&amp;DX41)=213),"",
"端数"),"")</f>
        <v/>
      </c>
      <c r="EB46" s="32"/>
      <c r="EC46" s="34" t="str">
        <f t="array" aca="1" ref="EC46" ca="1">IF(AND(DZ41&lt;&gt;"",DZ41&lt;&gt;"社食"),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"アレルギー")),"")</f>
        <v/>
      </c>
      <c r="ED46" s="37"/>
      <c r="EE46" s="22"/>
      <c r="EF46" s="30"/>
      <c r="EG46" s="34" t="str">
        <f t="array" aca="1" ref="EG46" ca="1">IF(AND(EH41&lt;&gt;"",EH41&lt;&gt;"社食"),
IF(OR(INDIRECT("'盛付札（関数）'!AE"&amp;EF41)=211,INDIRECT("'盛付札（関数）'!AE"&amp;EF41)=212,INDIRECT("'盛付札（関数）'!AE"&amp;EF41)=213),"",
"パン箱"),"")</f>
        <v/>
      </c>
      <c r="EH46" s="32" t="str">
        <f t="array" aca="1" ref="EH46" ca="1">IF(AND(EH41&lt;&gt;"",EH41&lt;&gt;"社食"),
IF(OR(INDIRECT("'盛付札（関数）'!AE"&amp;EF41)=211,INDIRECT("'盛付札（関数）'!AE"&amp;EF41)=212,INDIRECT("'盛付札（関数）'!AE"&amp;EF41)=213),"",
INDIRECT("'盛付札（関数）'!AL"&amp;EF41)),"")</f>
        <v/>
      </c>
      <c r="EI46" s="34" t="str">
        <f t="array" aca="1" ref="EI46" ca="1">IF(AND(EH41&lt;&gt;"",EH41&lt;&gt;"社食"),
IF(OR(INDIRECT("'盛付札（関数）'!AE"&amp;EF41)=211,INDIRECT("'盛付札（関数）'!AE"&amp;EF41)=212,INDIRECT("'盛付札（関数）'!AE"&amp;EF41)=213),"",
"端数"),"")</f>
        <v/>
      </c>
      <c r="EJ46" s="32"/>
      <c r="EK46" s="34" t="str">
        <f t="array" aca="1" ref="EK46" ca="1">IF(AND(EH41&lt;&gt;"",EH41&lt;&gt;"社食"),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"アレルギー")),"")</f>
        <v/>
      </c>
      <c r="EL46" s="37"/>
      <c r="EM46" s="22"/>
      <c r="EN46" s="34" t="str">
        <f t="array" aca="1" ref="EN46" ca="1">IF(AND(EO41&lt;&gt;"",EO41&lt;&gt;"社食"),
IF(OR(INDIRECT("'盛付札（関数）'!AE"&amp;EM41)=211,INDIRECT("'盛付札（関数）'!AE"&amp;EM41)=212,INDIRECT("'盛付札（関数）'!AE"&amp;EM41)=213),"",
"パン箱"),"")</f>
        <v/>
      </c>
      <c r="EO46" s="32" t="str">
        <f t="array" aca="1" ref="EO46" ca="1">IF(AND(EO41&lt;&gt;"",EO41&lt;&gt;"社食"),
IF(OR(INDIRECT("'盛付札（関数）'!AE"&amp;EM41)=211,INDIRECT("'盛付札（関数）'!AE"&amp;EM41)=212,INDIRECT("'盛付札（関数）'!AE"&amp;EM41)=213),"",
INDIRECT("'盛付札（関数）'!AL"&amp;EM41)),"")</f>
        <v/>
      </c>
      <c r="EP46" s="34" t="str">
        <f t="array" aca="1" ref="EP46" ca="1">IF(AND(EO41&lt;&gt;"",EO41&lt;&gt;"社食"),
IF(OR(INDIRECT("'盛付札（関数）'!AE"&amp;EM41)=211,INDIRECT("'盛付札（関数）'!AE"&amp;EM41)=212,INDIRECT("'盛付札（関数）'!AE"&amp;EM41)=213),"",
"端数"),"")</f>
        <v/>
      </c>
      <c r="EQ46" s="32"/>
      <c r="ER46" s="34" t="str">
        <f t="array" aca="1" ref="ER46" ca="1">IF(AND(EO41&lt;&gt;"",EO41&lt;&gt;"社食"),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"アレルギー")),"")</f>
        <v/>
      </c>
      <c r="ES46" s="37"/>
      <c r="ET46" s="22"/>
    </row>
    <row r="47" spans="1:150" ht="27.6" customHeight="1">
      <c r="B47" s="216" t="str">
        <f t="array" aca="1" ref="B47" ca="1">IF(C41&lt;&gt;"",
IF(OR(INDIRECT("'盛付札（関数）'!AE"&amp;A41)=211,INDIRECT("'盛付札（関数）'!AE"&amp;A41)=212,INDIRECT("'盛付札（関数）'!AE"&amp;A41)=213),"",
INDIRECT("'盛付札（関数）'!AM"&amp;A41)),"")</f>
        <v/>
      </c>
      <c r="C47" s="209"/>
      <c r="D47" s="216" t="str">
        <f t="array" aca="1" ref="D47" ca="1">IF(C41&lt;&gt;"",
IF(OR(INDIRECT("'盛付札（関数）'!AE"&amp;A41)=211,INDIRECT("'盛付札（関数）'!AE"&amp;A41)=212,INDIRECT("'盛付札（関数）'!AE"&amp;A41)=213),"",
INDIRECT("'盛付札（関数）'!AN"&amp;A41)),"")</f>
        <v/>
      </c>
      <c r="E47" s="209"/>
      <c r="F47" s="217" t="str">
        <f t="array" aca="1" ref="F47" ca="1">IF(AND(C41&lt;&gt;"",C41&lt;&gt;"社食"),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INDIRECT("'盛付札（関数）'!AO"&amp;A41))),"")</f>
        <v/>
      </c>
      <c r="G47" s="209"/>
      <c r="I47" s="216" t="str">
        <f t="array" aca="1" ref="I47" ca="1">IF(J41&lt;&gt;"",
IF(OR(INDIRECT("'盛付札（関数）'!AE"&amp;H41)=211,INDIRECT("'盛付札（関数）'!AE"&amp;H41)=212,INDIRECT("'盛付札（関数）'!AE"&amp;H41)=213),"",
INDIRECT("'盛付札（関数）'!AM"&amp;H41)),"")</f>
        <v/>
      </c>
      <c r="J47" s="209"/>
      <c r="K47" s="216" t="str">
        <f t="array" aca="1" ref="K47" ca="1">IF(J41&lt;&gt;"",
IF(OR(INDIRECT("'盛付札（関数）'!AE"&amp;H41)=211,INDIRECT("'盛付札（関数）'!AE"&amp;H41)=212,INDIRECT("'盛付札（関数）'!AE"&amp;H41)=213),"",
INDIRECT("'盛付札（関数）'!AN"&amp;H41)),"")</f>
        <v/>
      </c>
      <c r="L47" s="209"/>
      <c r="M47" s="217" t="str">
        <f t="array" aca="1" ref="M47" ca="1">IF(AND(J41&lt;&gt;"",J41&lt;&gt;"社食"),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INDIRECT("'盛付札（関数）'!AO"&amp;H41))),"")</f>
        <v/>
      </c>
      <c r="N47" s="209"/>
      <c r="Q47" s="216" t="str">
        <f t="array" aca="1" ref="Q47" ca="1">IF(R41&lt;&gt;"",
IF(OR(INDIRECT("'盛付札（関数）'!AE"&amp;P41)=211,INDIRECT("'盛付札（関数）'!AE"&amp;P41)=212,INDIRECT("'盛付札（関数）'!AE"&amp;P41)=213),"",
INDIRECT("'盛付札（関数）'!AM"&amp;P41)),"")</f>
        <v/>
      </c>
      <c r="R47" s="209"/>
      <c r="S47" s="216" t="str">
        <f t="array" aca="1" ref="S47" ca="1">IF(R41&lt;&gt;"",
IF(OR(INDIRECT("'盛付札（関数）'!AE"&amp;P41)=211,INDIRECT("'盛付札（関数）'!AE"&amp;P41)=212,INDIRECT("'盛付札（関数）'!AE"&amp;P41)=213),"",
INDIRECT("'盛付札（関数）'!AN"&amp;P41)),"")</f>
        <v/>
      </c>
      <c r="T47" s="209"/>
      <c r="U47" s="217" t="str">
        <f t="array" aca="1" ref="U47" ca="1">IF(AND(R41&lt;&gt;"",R41&lt;&gt;"社食"),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INDIRECT("'盛付札（関数）'!AO"&amp;P41))),"")</f>
        <v/>
      </c>
      <c r="V47" s="209"/>
      <c r="X47" s="216" t="str">
        <f t="array" aca="1" ref="X47" ca="1">IF(Y41&lt;&gt;"",
IF(OR(INDIRECT("'盛付札（関数）'!AE"&amp;W41)=211,INDIRECT("'盛付札（関数）'!AE"&amp;W41)=212,INDIRECT("'盛付札（関数）'!AE"&amp;W41)=213),"",
INDIRECT("'盛付札（関数）'!AM"&amp;W41)),"")</f>
        <v/>
      </c>
      <c r="Y47" s="209"/>
      <c r="Z47" s="216" t="str">
        <f t="array" aca="1" ref="Z47" ca="1">IF(Y41&lt;&gt;"",
IF(OR(INDIRECT("'盛付札（関数）'!AE"&amp;W41)=211,INDIRECT("'盛付札（関数）'!AE"&amp;W41)=212,INDIRECT("'盛付札（関数）'!AE"&amp;W41)=213),"",
INDIRECT("'盛付札（関数）'!AN"&amp;W41)),"")</f>
        <v/>
      </c>
      <c r="AA47" s="209"/>
      <c r="AB47" s="217" t="str">
        <f t="array" aca="1" ref="AB47" ca="1">IF(AND(Y41&lt;&gt;"",Y41&lt;&gt;"社食"),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INDIRECT("'盛付札（関数）'!AO"&amp;W41))),"")</f>
        <v/>
      </c>
      <c r="AC47" s="209"/>
      <c r="AF47" s="216" t="str">
        <f t="array" aca="1" ref="AF47" ca="1">IF(AG41&lt;&gt;"",
IF(OR(INDIRECT("'盛付札（関数）'!AE"&amp;AE41)=211,INDIRECT("'盛付札（関数）'!AE"&amp;AE41)=212,INDIRECT("'盛付札（関数）'!AE"&amp;AE41)=213),"",
INDIRECT("'盛付札（関数）'!AM"&amp;AE41)),"")</f>
        <v/>
      </c>
      <c r="AG47" s="209"/>
      <c r="AH47" s="216" t="str">
        <f t="array" aca="1" ref="AH47" ca="1">IF(AG41&lt;&gt;"",
IF(OR(INDIRECT("'盛付札（関数）'!AE"&amp;AE41)=211,INDIRECT("'盛付札（関数）'!AE"&amp;AE41)=212,INDIRECT("'盛付札（関数）'!AE"&amp;AE41)=213),"",
INDIRECT("'盛付札（関数）'!AN"&amp;AE41)),"")</f>
        <v/>
      </c>
      <c r="AI47" s="209"/>
      <c r="AJ47" s="217" t="str">
        <f t="array" aca="1" ref="AJ47" ca="1">IF(AND(AG41&lt;&gt;"",AG41&lt;&gt;"社食"),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INDIRECT("'盛付札（関数）'!AO"&amp;AE41))),"")</f>
        <v/>
      </c>
      <c r="AK47" s="209"/>
      <c r="AM47" s="216" t="str">
        <f t="array" aca="1" ref="AM47" ca="1">IF(AN41&lt;&gt;"",
IF(OR(INDIRECT("'盛付札（関数）'!AE"&amp;AL41)=211,INDIRECT("'盛付札（関数）'!AE"&amp;AL41)=212,INDIRECT("'盛付札（関数）'!AE"&amp;AL41)=213),"",
INDIRECT("'盛付札（関数）'!AM"&amp;AL41)),"")</f>
        <v/>
      </c>
      <c r="AN47" s="209"/>
      <c r="AO47" s="216" t="str">
        <f t="array" aca="1" ref="AO47" ca="1">IF(AN41&lt;&gt;"",
IF(OR(INDIRECT("'盛付札（関数）'!AE"&amp;AL41)=211,INDIRECT("'盛付札（関数）'!AE"&amp;AL41)=212,INDIRECT("'盛付札（関数）'!AE"&amp;AL41)=213),"",
INDIRECT("'盛付札（関数）'!AN"&amp;AL41)),"")</f>
        <v/>
      </c>
      <c r="AP47" s="209"/>
      <c r="AQ47" s="217" t="str">
        <f t="array" aca="1" ref="AQ47" ca="1">IF(AND(AN41&lt;&gt;"",AN41&lt;&gt;"社食"),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INDIRECT("'盛付札（関数）'!AO"&amp;AL41))),"")</f>
        <v/>
      </c>
      <c r="AR47" s="209"/>
      <c r="AU47" s="216" t="str">
        <f t="array" aca="1" ref="AU47" ca="1">IF(AV41&lt;&gt;"",
IF(OR(INDIRECT("'盛付札（関数）'!AE"&amp;AT41)=211,INDIRECT("'盛付札（関数）'!AE"&amp;AT41)=212,INDIRECT("'盛付札（関数）'!AE"&amp;AT41)=213),"",
INDIRECT("'盛付札（関数）'!AM"&amp;AT41)),"")</f>
        <v/>
      </c>
      <c r="AV47" s="209"/>
      <c r="AW47" s="216" t="str">
        <f t="array" aca="1" ref="AW47" ca="1">IF(AV41&lt;&gt;"",
IF(OR(INDIRECT("'盛付札（関数）'!AE"&amp;AT41)=211,INDIRECT("'盛付札（関数）'!AE"&amp;AT41)=212,INDIRECT("'盛付札（関数）'!AE"&amp;AT41)=213),"",
INDIRECT("'盛付札（関数）'!AN"&amp;AT41)),"")</f>
        <v/>
      </c>
      <c r="AX47" s="209"/>
      <c r="AY47" s="217" t="str">
        <f t="array" aca="1" ref="AY47" ca="1">IF(AND(AV41&lt;&gt;"",AV41&lt;&gt;"社食"),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INDIRECT("'盛付札（関数）'!AO"&amp;AT41))),"")</f>
        <v/>
      </c>
      <c r="AZ47" s="209"/>
      <c r="BB47" s="216" t="str">
        <f t="array" aca="1" ref="BB47" ca="1">IF(BC41&lt;&gt;"",
IF(OR(INDIRECT("'盛付札（関数）'!AE"&amp;BA41)=211,INDIRECT("'盛付札（関数）'!AE"&amp;BA41)=212,INDIRECT("'盛付札（関数）'!AE"&amp;BA41)=213),"",
INDIRECT("'盛付札（関数）'!AM"&amp;BA41)),"")</f>
        <v/>
      </c>
      <c r="BC47" s="209"/>
      <c r="BD47" s="216" t="str">
        <f t="array" aca="1" ref="BD47" ca="1">IF(BC41&lt;&gt;"",
IF(OR(INDIRECT("'盛付札（関数）'!AE"&amp;BA41)=211,INDIRECT("'盛付札（関数）'!AE"&amp;BA41)=212,INDIRECT("'盛付札（関数）'!AE"&amp;BA41)=213),"",
INDIRECT("'盛付札（関数）'!AN"&amp;BA41)),"")</f>
        <v/>
      </c>
      <c r="BE47" s="209"/>
      <c r="BF47" s="217" t="str">
        <f t="array" aca="1" ref="BF47" ca="1">IF(AND(BC41&lt;&gt;"",BC41&lt;&gt;"社食"),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INDIRECT("'盛付札（関数）'!AO"&amp;BA41))),"")</f>
        <v/>
      </c>
      <c r="BG47" s="209"/>
      <c r="BJ47" s="216" t="str">
        <f t="array" aca="1" ref="BJ47" ca="1">IF(BK41&lt;&gt;"",
IF(OR(INDIRECT("'盛付札（関数）'!AE"&amp;BI41)=211,INDIRECT("'盛付札（関数）'!AE"&amp;BI41)=212,INDIRECT("'盛付札（関数）'!AE"&amp;BI41)=213),"",
INDIRECT("'盛付札（関数）'!AM"&amp;BI41)),"")</f>
        <v/>
      </c>
      <c r="BK47" s="209"/>
      <c r="BL47" s="216" t="str">
        <f t="array" aca="1" ref="BL47" ca="1">IF(BK41&lt;&gt;"",
IF(OR(INDIRECT("'盛付札（関数）'!AE"&amp;BI41)=211,INDIRECT("'盛付札（関数）'!AE"&amp;BI41)=212,INDIRECT("'盛付札（関数）'!AE"&amp;BI41)=213),"",
INDIRECT("'盛付札（関数）'!AN"&amp;BI41)),"")</f>
        <v/>
      </c>
      <c r="BM47" s="209"/>
      <c r="BN47" s="217" t="str">
        <f t="array" aca="1" ref="BN47" ca="1">IF(AND(BK41&lt;&gt;"",BK41&lt;&gt;"社食"),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INDIRECT("'盛付札（関数）'!AO"&amp;BI41))),"")</f>
        <v/>
      </c>
      <c r="BO47" s="209"/>
      <c r="BQ47" s="216" t="str">
        <f t="array" aca="1" ref="BQ47" ca="1">IF(BR41&lt;&gt;"",
IF(OR(INDIRECT("'盛付札（関数）'!AE"&amp;BP41)=211,INDIRECT("'盛付札（関数）'!AE"&amp;BP41)=212,INDIRECT("'盛付札（関数）'!AE"&amp;BP41)=213),"",
INDIRECT("'盛付札（関数）'!AM"&amp;BP41)),"")</f>
        <v/>
      </c>
      <c r="BR47" s="209"/>
      <c r="BS47" s="216" t="str">
        <f t="array" aca="1" ref="BS47" ca="1">IF(BR41&lt;&gt;"",
IF(OR(INDIRECT("'盛付札（関数）'!AE"&amp;BP41)=211,INDIRECT("'盛付札（関数）'!AE"&amp;BP41)=212,INDIRECT("'盛付札（関数）'!AE"&amp;BP41)=213),"",
INDIRECT("'盛付札（関数）'!AN"&amp;BP41)),"")</f>
        <v/>
      </c>
      <c r="BT47" s="209"/>
      <c r="BU47" s="217" t="str">
        <f t="array" aca="1" ref="BU47" ca="1">IF(AND(BR41&lt;&gt;"",BR41&lt;&gt;"社食"),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INDIRECT("'盛付札（関数）'!AO"&amp;BP41))),"")</f>
        <v/>
      </c>
      <c r="BV47" s="209"/>
      <c r="BY47" s="216" t="str">
        <f t="array" aca="1" ref="BY47" ca="1">IF(BZ41&lt;&gt;"",
IF(OR(INDIRECT("'盛付札（関数）'!AE"&amp;BX41)=211,INDIRECT("'盛付札（関数）'!AE"&amp;BX41)=212,INDIRECT("'盛付札（関数）'!AE"&amp;BX41)=213),"",
INDIRECT("'盛付札（関数）'!AM"&amp;BX41)),"")</f>
        <v/>
      </c>
      <c r="BZ47" s="209"/>
      <c r="CA47" s="216" t="str">
        <f t="array" aca="1" ref="CA47" ca="1">IF(BZ41&lt;&gt;"",
IF(OR(INDIRECT("'盛付札（関数）'!AE"&amp;BX41)=211,INDIRECT("'盛付札（関数）'!AE"&amp;BX41)=212,INDIRECT("'盛付札（関数）'!AE"&amp;BX41)=213),"",
INDIRECT("'盛付札（関数）'!AN"&amp;BX41)),"")</f>
        <v/>
      </c>
      <c r="CB47" s="209"/>
      <c r="CC47" s="217" t="str">
        <f t="array" aca="1" ref="CC47" ca="1">IF(AND(BZ41&lt;&gt;"",BZ41&lt;&gt;"社食"),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INDIRECT("'盛付札（関数）'!AO"&amp;BX41))),"")</f>
        <v/>
      </c>
      <c r="CD47" s="209"/>
      <c r="CF47" s="216" t="str">
        <f t="array" aca="1" ref="CF47" ca="1">IF(CG41&lt;&gt;"",
IF(OR(INDIRECT("'盛付札（関数）'!AE"&amp;CE41)=211,INDIRECT("'盛付札（関数）'!AE"&amp;CE41)=212,INDIRECT("'盛付札（関数）'!AE"&amp;CE41)=213),"",
INDIRECT("'盛付札（関数）'!AM"&amp;CE41)),"")</f>
        <v/>
      </c>
      <c r="CG47" s="209"/>
      <c r="CH47" s="216" t="str">
        <f t="array" aca="1" ref="CH47" ca="1">IF(CG41&lt;&gt;"",
IF(OR(INDIRECT("'盛付札（関数）'!AE"&amp;CE41)=211,INDIRECT("'盛付札（関数）'!AE"&amp;CE41)=212,INDIRECT("'盛付札（関数）'!AE"&amp;CE41)=213),"",
INDIRECT("'盛付札（関数）'!AN"&amp;CE41)),"")</f>
        <v/>
      </c>
      <c r="CI47" s="209"/>
      <c r="CJ47" s="217" t="str">
        <f t="array" aca="1" ref="CJ47" ca="1">IF(AND(CG41&lt;&gt;"",CG41&lt;&gt;"社食"),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INDIRECT("'盛付札（関数）'!AO"&amp;CE41))),"")</f>
        <v/>
      </c>
      <c r="CK47" s="209"/>
      <c r="CN47" s="216" t="str">
        <f t="array" aca="1" ref="CN47" ca="1">IF(CO41&lt;&gt;"",
IF(OR(INDIRECT("'盛付札（関数）'!AE"&amp;CM41)=211,INDIRECT("'盛付札（関数）'!AE"&amp;CM41)=212,INDIRECT("'盛付札（関数）'!AE"&amp;CM41)=213),"",
INDIRECT("'盛付札（関数）'!AM"&amp;CM41)),"")</f>
        <v/>
      </c>
      <c r="CO47" s="209"/>
      <c r="CP47" s="216" t="str">
        <f t="array" aca="1" ref="CP47" ca="1">IF(CO41&lt;&gt;"",
IF(OR(INDIRECT("'盛付札（関数）'!AE"&amp;CM41)=211,INDIRECT("'盛付札（関数）'!AE"&amp;CM41)=212,INDIRECT("'盛付札（関数）'!AE"&amp;CM41)=213),"",
INDIRECT("'盛付札（関数）'!AN"&amp;CM41)),"")</f>
        <v/>
      </c>
      <c r="CQ47" s="209"/>
      <c r="CR47" s="217" t="str">
        <f t="array" aca="1" ref="CR47" ca="1">IF(AND(CO41&lt;&gt;"",CO41&lt;&gt;"社食"),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INDIRECT("'盛付札（関数）'!AO"&amp;CM41))),"")</f>
        <v/>
      </c>
      <c r="CS47" s="209"/>
      <c r="CU47" s="216" t="str">
        <f t="array" aca="1" ref="CU47" ca="1">IF(CV41&lt;&gt;"",
IF(OR(INDIRECT("'盛付札（関数）'!AE"&amp;CT41)=211,INDIRECT("'盛付札（関数）'!AE"&amp;CT41)=212,INDIRECT("'盛付札（関数）'!AE"&amp;CT41)=213),"",
INDIRECT("'盛付札（関数）'!AM"&amp;CT41)),"")</f>
        <v/>
      </c>
      <c r="CV47" s="209"/>
      <c r="CW47" s="216" t="str">
        <f t="array" aca="1" ref="CW47" ca="1">IF(CV41&lt;&gt;"",
IF(OR(INDIRECT("'盛付札（関数）'!AE"&amp;CT41)=211,INDIRECT("'盛付札（関数）'!AE"&amp;CT41)=212,INDIRECT("'盛付札（関数）'!AE"&amp;CT41)=213),"",
INDIRECT("'盛付札（関数）'!AN"&amp;CT41)),"")</f>
        <v/>
      </c>
      <c r="CX47" s="209"/>
      <c r="CY47" s="217" t="str">
        <f t="array" aca="1" ref="CY47" ca="1">IF(AND(CV41&lt;&gt;"",CV41&lt;&gt;"社食"),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INDIRECT("'盛付札（関数）'!AO"&amp;CT41))),"")</f>
        <v/>
      </c>
      <c r="CZ47" s="209"/>
      <c r="DC47" s="216" t="str">
        <f t="array" aca="1" ref="DC47" ca="1">IF(DD41&lt;&gt;"",
IF(OR(INDIRECT("'盛付札（関数）'!AE"&amp;DB41)=211,INDIRECT("'盛付札（関数）'!AE"&amp;DB41)=212,INDIRECT("'盛付札（関数）'!AE"&amp;DB41)=213),"",
INDIRECT("'盛付札（関数）'!AM"&amp;DB41)),"")</f>
        <v/>
      </c>
      <c r="DD47" s="209"/>
      <c r="DE47" s="216" t="str">
        <f t="array" aca="1" ref="DE47" ca="1">IF(DD41&lt;&gt;"",
IF(OR(INDIRECT("'盛付札（関数）'!AE"&amp;DB41)=211,INDIRECT("'盛付札（関数）'!AE"&amp;DB41)=212,INDIRECT("'盛付札（関数）'!AE"&amp;DB41)=213),"",
INDIRECT("'盛付札（関数）'!AN"&amp;DB41)),"")</f>
        <v/>
      </c>
      <c r="DF47" s="209"/>
      <c r="DG47" s="217" t="str">
        <f t="array" aca="1" ref="DG47" ca="1">IF(AND(DD41&lt;&gt;"",DD41&lt;&gt;"社食"),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INDIRECT("'盛付札（関数）'!AO"&amp;DB41))),"")</f>
        <v/>
      </c>
      <c r="DH47" s="209"/>
      <c r="DJ47" s="216" t="str">
        <f t="array" aca="1" ref="DJ47" ca="1">IF(DK41&lt;&gt;"",
IF(OR(INDIRECT("'盛付札（関数）'!AE"&amp;DI41)=211,INDIRECT("'盛付札（関数）'!AE"&amp;DI41)=212,INDIRECT("'盛付札（関数）'!AE"&amp;DI41)=213),"",
INDIRECT("'盛付札（関数）'!AM"&amp;DI41)),"")</f>
        <v/>
      </c>
      <c r="DK47" s="209"/>
      <c r="DL47" s="216" t="str">
        <f t="array" aca="1" ref="DL47" ca="1">IF(DK41&lt;&gt;"",
IF(OR(INDIRECT("'盛付札（関数）'!AE"&amp;DI41)=211,INDIRECT("'盛付札（関数）'!AE"&amp;DI41)=212,INDIRECT("'盛付札（関数）'!AE"&amp;DI41)=213),"",
INDIRECT("'盛付札（関数）'!AN"&amp;DI41)),"")</f>
        <v/>
      </c>
      <c r="DM47" s="209"/>
      <c r="DN47" s="217" t="str">
        <f t="array" aca="1" ref="DN47" ca="1">IF(AND(DK41&lt;&gt;"",DK41&lt;&gt;"社食"),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INDIRECT("'盛付札（関数）'!AO"&amp;DI41))),"")</f>
        <v/>
      </c>
      <c r="DO47" s="209"/>
      <c r="DR47" s="216" t="str">
        <f t="array" aca="1" ref="DR47" ca="1">IF(DS41&lt;&gt;"",
IF(OR(INDIRECT("'盛付札（関数）'!AE"&amp;DQ41)=211,INDIRECT("'盛付札（関数）'!AE"&amp;DQ41)=212,INDIRECT("'盛付札（関数）'!AE"&amp;DQ41)=213),"",
INDIRECT("'盛付札（関数）'!AM"&amp;DQ41)),"")</f>
        <v/>
      </c>
      <c r="DS47" s="209"/>
      <c r="DT47" s="216" t="str">
        <f t="array" aca="1" ref="DT47" ca="1">IF(DS41&lt;&gt;"",
IF(OR(INDIRECT("'盛付札（関数）'!AE"&amp;DQ41)=211,INDIRECT("'盛付札（関数）'!AE"&amp;DQ41)=212,INDIRECT("'盛付札（関数）'!AE"&amp;DQ41)=213),"",
INDIRECT("'盛付札（関数）'!AN"&amp;DQ41)),"")</f>
        <v/>
      </c>
      <c r="DU47" s="209"/>
      <c r="DV47" s="217" t="str">
        <f t="array" aca="1" ref="DV47" ca="1">IF(AND(DS41&lt;&gt;"",DS41&lt;&gt;"社食"),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INDIRECT("'盛付札（関数）'!AO"&amp;DQ41))),"")</f>
        <v/>
      </c>
      <c r="DW47" s="209"/>
      <c r="DY47" s="216" t="str">
        <f t="array" aca="1" ref="DY47" ca="1">IF(DZ41&lt;&gt;"",
IF(OR(INDIRECT("'盛付札（関数）'!AE"&amp;DX41)=211,INDIRECT("'盛付札（関数）'!AE"&amp;DX41)=212,INDIRECT("'盛付札（関数）'!AE"&amp;DX41)=213),"",
INDIRECT("'盛付札（関数）'!AM"&amp;DX41)),"")</f>
        <v/>
      </c>
      <c r="DZ47" s="209"/>
      <c r="EA47" s="216" t="str">
        <f t="array" aca="1" ref="EA47" ca="1">IF(DZ41&lt;&gt;"",
IF(OR(INDIRECT("'盛付札（関数）'!AE"&amp;DX41)=211,INDIRECT("'盛付札（関数）'!AE"&amp;DX41)=212,INDIRECT("'盛付札（関数）'!AE"&amp;DX41)=213),"",
INDIRECT("'盛付札（関数）'!AN"&amp;DX41)),"")</f>
        <v/>
      </c>
      <c r="EB47" s="209"/>
      <c r="EC47" s="217" t="str">
        <f t="array" aca="1" ref="EC47" ca="1">IF(AND(DZ41&lt;&gt;"",DZ41&lt;&gt;"社食"),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INDIRECT("'盛付札（関数）'!AO"&amp;DX41))),"")</f>
        <v/>
      </c>
      <c r="ED47" s="209"/>
      <c r="EG47" s="216" t="str">
        <f t="array" aca="1" ref="EG47" ca="1">IF(EH41&lt;&gt;"",
IF(OR(INDIRECT("'盛付札（関数）'!AE"&amp;EF41)=211,INDIRECT("'盛付札（関数）'!AE"&amp;EF41)=212,INDIRECT("'盛付札（関数）'!AE"&amp;EF41)=213),"",
INDIRECT("'盛付札（関数）'!AM"&amp;EF41)),"")</f>
        <v/>
      </c>
      <c r="EH47" s="209"/>
      <c r="EI47" s="216" t="str">
        <f t="array" aca="1" ref="EI47" ca="1">IF(EH41&lt;&gt;"",
IF(OR(INDIRECT("'盛付札（関数）'!AE"&amp;EF41)=211,INDIRECT("'盛付札（関数）'!AE"&amp;EF41)=212,INDIRECT("'盛付札（関数）'!AE"&amp;EF41)=213),"",
INDIRECT("'盛付札（関数）'!AN"&amp;EF41)),"")</f>
        <v/>
      </c>
      <c r="EJ47" s="209"/>
      <c r="EK47" s="217" t="str">
        <f t="array" aca="1" ref="EK47" ca="1">IF(AND(EH41&lt;&gt;"",EH41&lt;&gt;"社食"),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INDIRECT("'盛付札（関数）'!AO"&amp;EF41))),"")</f>
        <v/>
      </c>
      <c r="EL47" s="209"/>
      <c r="EN47" s="216" t="str">
        <f t="array" aca="1" ref="EN47" ca="1">IF(EO41&lt;&gt;"",
IF(OR(INDIRECT("'盛付札（関数）'!AE"&amp;EM41)=211,INDIRECT("'盛付札（関数）'!AE"&amp;EM41)=212,INDIRECT("'盛付札（関数）'!AE"&amp;EM41)=213),"",
INDIRECT("'盛付札（関数）'!AM"&amp;EM41)),"")</f>
        <v/>
      </c>
      <c r="EO47" s="209"/>
      <c r="EP47" s="216" t="str">
        <f t="array" aca="1" ref="EP47" ca="1">IF(EO41&lt;&gt;"",
IF(OR(INDIRECT("'盛付札（関数）'!AE"&amp;EM41)=211,INDIRECT("'盛付札（関数）'!AE"&amp;EM41)=212,INDIRECT("'盛付札（関数）'!AE"&amp;EM41)=213),"",
INDIRECT("'盛付札（関数）'!AN"&amp;EM41)),"")</f>
        <v/>
      </c>
      <c r="EQ47" s="209"/>
      <c r="ER47" s="217" t="str">
        <f t="array" aca="1" ref="ER47" ca="1">IF(AND(EO41&lt;&gt;"",EO41&lt;&gt;"社食"),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INDIRECT("'盛付札（関数）'!AO"&amp;EM41))),"")</f>
        <v/>
      </c>
      <c r="ES47" s="209"/>
    </row>
  </sheetData>
  <mergeCells count="840">
    <mergeCell ref="R3:S3"/>
    <mergeCell ref="BC25:BF25"/>
    <mergeCell ref="U39:V39"/>
    <mergeCell ref="C9:F9"/>
    <mergeCell ref="J43:K43"/>
    <mergeCell ref="CV12:CW13"/>
    <mergeCell ref="Y17:AB17"/>
    <mergeCell ref="CY31:CZ31"/>
    <mergeCell ref="AQ12:AR13"/>
    <mergeCell ref="AG36:AH37"/>
    <mergeCell ref="AY15:AZ15"/>
    <mergeCell ref="B39:C39"/>
    <mergeCell ref="EH11:EI11"/>
    <mergeCell ref="EK31:EL31"/>
    <mergeCell ref="F28:G29"/>
    <mergeCell ref="DZ35:EA35"/>
    <mergeCell ref="AJ36:AK37"/>
    <mergeCell ref="CF31:CG31"/>
    <mergeCell ref="BB15:BC15"/>
    <mergeCell ref="CG41:CJ41"/>
    <mergeCell ref="Y19:Z19"/>
    <mergeCell ref="AH31:AI31"/>
    <mergeCell ref="DL23:DM23"/>
    <mergeCell ref="DR39:DS39"/>
    <mergeCell ref="CJ15:CK15"/>
    <mergeCell ref="M20:N21"/>
    <mergeCell ref="EA39:EB39"/>
    <mergeCell ref="DS27:DT27"/>
    <mergeCell ref="DS41:DV41"/>
    <mergeCell ref="DS4:DT5"/>
    <mergeCell ref="DC47:DD47"/>
    <mergeCell ref="BN39:BO39"/>
    <mergeCell ref="AV9:AY9"/>
    <mergeCell ref="AV35:AW35"/>
    <mergeCell ref="AO7:AP7"/>
    <mergeCell ref="DD44:DE45"/>
    <mergeCell ref="EO12:EP13"/>
    <mergeCell ref="BN4:BO5"/>
    <mergeCell ref="BF44:BG45"/>
    <mergeCell ref="BJ7:BK7"/>
    <mergeCell ref="BL7:BM7"/>
    <mergeCell ref="DR7:DS7"/>
    <mergeCell ref="F36:G37"/>
    <mergeCell ref="EO41:ER41"/>
    <mergeCell ref="K7:L7"/>
    <mergeCell ref="AU47:AV47"/>
    <mergeCell ref="M23:N23"/>
    <mergeCell ref="CC39:CD39"/>
    <mergeCell ref="DG20:DH21"/>
    <mergeCell ref="BK9:BN9"/>
    <mergeCell ref="CO28:CP29"/>
    <mergeCell ref="DG7:DH7"/>
    <mergeCell ref="CV11:CW11"/>
    <mergeCell ref="DE15:DF15"/>
    <mergeCell ref="CV25:CY25"/>
    <mergeCell ref="DG15:DH15"/>
    <mergeCell ref="BL39:BM39"/>
    <mergeCell ref="DD19:DE19"/>
    <mergeCell ref="X47:Y47"/>
    <mergeCell ref="Z47:AA47"/>
    <mergeCell ref="CH47:CI47"/>
    <mergeCell ref="BU20:BV21"/>
    <mergeCell ref="Y9:AB9"/>
    <mergeCell ref="CY36:CZ37"/>
    <mergeCell ref="AN43:AO43"/>
    <mergeCell ref="CO20:CP21"/>
    <mergeCell ref="EO27:EP27"/>
    <mergeCell ref="DJ23:DK23"/>
    <mergeCell ref="BC36:BD37"/>
    <mergeCell ref="DS33:DV33"/>
    <mergeCell ref="BR19:BS19"/>
    <mergeCell ref="AY44:AZ45"/>
    <mergeCell ref="Y12:Z13"/>
    <mergeCell ref="EN23:EO23"/>
    <mergeCell ref="Y36:Z37"/>
    <mergeCell ref="CN7:CO7"/>
    <mergeCell ref="AG20:AH21"/>
    <mergeCell ref="CO17:CR17"/>
    <mergeCell ref="R35:S35"/>
    <mergeCell ref="J35:K35"/>
    <mergeCell ref="AQ39:AR39"/>
    <mergeCell ref="EH43:EI43"/>
    <mergeCell ref="EK15:EL15"/>
    <mergeCell ref="F12:G13"/>
    <mergeCell ref="CP39:CQ39"/>
    <mergeCell ref="BK35:BL35"/>
    <mergeCell ref="DK11:DL11"/>
    <mergeCell ref="EO4:EP5"/>
    <mergeCell ref="D23:E23"/>
    <mergeCell ref="BQ7:BR7"/>
    <mergeCell ref="BS7:BT7"/>
    <mergeCell ref="X31:Y31"/>
    <mergeCell ref="BU7:BV7"/>
    <mergeCell ref="Z31:AA31"/>
    <mergeCell ref="DK25:DN25"/>
    <mergeCell ref="DR15:DS15"/>
    <mergeCell ref="CY4:CZ5"/>
    <mergeCell ref="X39:Y39"/>
    <mergeCell ref="DK27:DL27"/>
    <mergeCell ref="BB7:BC7"/>
    <mergeCell ref="AJ28:AK29"/>
    <mergeCell ref="CY12:CZ13"/>
    <mergeCell ref="BD7:BE7"/>
    <mergeCell ref="DK41:DN41"/>
    <mergeCell ref="CY20:CZ21"/>
    <mergeCell ref="ER44:ES45"/>
    <mergeCell ref="CR28:CS29"/>
    <mergeCell ref="AW23:AX23"/>
    <mergeCell ref="BC20:BD21"/>
    <mergeCell ref="DS17:DV17"/>
    <mergeCell ref="DJ7:DK7"/>
    <mergeCell ref="AN35:AO35"/>
    <mergeCell ref="CO35:CP35"/>
    <mergeCell ref="AU31:AV31"/>
    <mergeCell ref="BU39:BV39"/>
    <mergeCell ref="BC9:BF9"/>
    <mergeCell ref="DK44:DL45"/>
    <mergeCell ref="BC28:BD29"/>
    <mergeCell ref="CW15:CX15"/>
    <mergeCell ref="CY15:CZ15"/>
    <mergeCell ref="CG36:CH37"/>
    <mergeCell ref="EO33:ER33"/>
    <mergeCell ref="AV19:AW19"/>
    <mergeCell ref="EC20:ED21"/>
    <mergeCell ref="DK28:DL29"/>
    <mergeCell ref="EC7:ED7"/>
    <mergeCell ref="DZ11:EA11"/>
    <mergeCell ref="BK12:BL13"/>
    <mergeCell ref="EI15:EJ15"/>
    <mergeCell ref="Y1:AB1"/>
    <mergeCell ref="DD28:DE29"/>
    <mergeCell ref="DV36:DW37"/>
    <mergeCell ref="DL47:DM47"/>
    <mergeCell ref="Y20:Z21"/>
    <mergeCell ref="DN47:DO47"/>
    <mergeCell ref="BF28:BG29"/>
    <mergeCell ref="CN39:CO39"/>
    <mergeCell ref="BL23:BM23"/>
    <mergeCell ref="BN23:BO23"/>
    <mergeCell ref="BB47:BC47"/>
    <mergeCell ref="BC12:BD13"/>
    <mergeCell ref="BU4:BV5"/>
    <mergeCell ref="DV4:DW5"/>
    <mergeCell ref="AH39:AI39"/>
    <mergeCell ref="BY47:BZ47"/>
    <mergeCell ref="AB44:AC45"/>
    <mergeCell ref="CJ44:CK45"/>
    <mergeCell ref="CR47:CS47"/>
    <mergeCell ref="AM47:AN47"/>
    <mergeCell ref="AH23:AI23"/>
    <mergeCell ref="BC1:BF1"/>
    <mergeCell ref="AJ23:AK23"/>
    <mergeCell ref="AG12:AH13"/>
    <mergeCell ref="BD39:BE39"/>
    <mergeCell ref="CU47:CV47"/>
    <mergeCell ref="EC12:ED13"/>
    <mergeCell ref="AN9:AQ9"/>
    <mergeCell ref="AV25:AY25"/>
    <mergeCell ref="DK9:DN9"/>
    <mergeCell ref="BN36:BO37"/>
    <mergeCell ref="C43:D43"/>
    <mergeCell ref="F4:G5"/>
    <mergeCell ref="CP31:CQ31"/>
    <mergeCell ref="CR31:CS31"/>
    <mergeCell ref="AJ12:AK13"/>
    <mergeCell ref="DL39:DM39"/>
    <mergeCell ref="EC47:ED47"/>
    <mergeCell ref="Z23:AA23"/>
    <mergeCell ref="DN4:DO5"/>
    <mergeCell ref="AB23:AC23"/>
    <mergeCell ref="AG19:AH19"/>
    <mergeCell ref="R41:U41"/>
    <mergeCell ref="S47:T47"/>
    <mergeCell ref="J27:K27"/>
    <mergeCell ref="R25:U25"/>
    <mergeCell ref="M39:N39"/>
    <mergeCell ref="F7:G7"/>
    <mergeCell ref="BC41:BF41"/>
    <mergeCell ref="EP47:EQ47"/>
    <mergeCell ref="EO1:ER1"/>
    <mergeCell ref="ER47:ES47"/>
    <mergeCell ref="CO11:CP11"/>
    <mergeCell ref="DJ39:DK39"/>
    <mergeCell ref="CG17:CJ17"/>
    <mergeCell ref="AM31:AN31"/>
    <mergeCell ref="CH23:CI23"/>
    <mergeCell ref="AN41:AQ41"/>
    <mergeCell ref="EO3:EP3"/>
    <mergeCell ref="EN7:EO7"/>
    <mergeCell ref="EO17:ER17"/>
    <mergeCell ref="DT31:DU31"/>
    <mergeCell ref="BZ27:CA27"/>
    <mergeCell ref="BU31:BV31"/>
    <mergeCell ref="DV31:DW31"/>
    <mergeCell ref="AU23:AV23"/>
    <mergeCell ref="BZ41:CC41"/>
    <mergeCell ref="CG28:CH29"/>
    <mergeCell ref="EH27:EI27"/>
    <mergeCell ref="DC23:DD23"/>
    <mergeCell ref="DD43:DE43"/>
    <mergeCell ref="BB39:BC39"/>
    <mergeCell ref="J36:K37"/>
    <mergeCell ref="BR11:BS11"/>
    <mergeCell ref="CH39:CI39"/>
    <mergeCell ref="BY7:BZ7"/>
    <mergeCell ref="BR25:BU25"/>
    <mergeCell ref="C35:D35"/>
    <mergeCell ref="AJ39:AK39"/>
    <mergeCell ref="CR36:CS37"/>
    <mergeCell ref="R9:U9"/>
    <mergeCell ref="AB28:AC29"/>
    <mergeCell ref="BL15:BM15"/>
    <mergeCell ref="BN15:BO15"/>
    <mergeCell ref="AV36:AW37"/>
    <mergeCell ref="AG25:AJ25"/>
    <mergeCell ref="BB31:BC31"/>
    <mergeCell ref="AF7:AG7"/>
    <mergeCell ref="AH7:AI7"/>
    <mergeCell ref="F20:G21"/>
    <mergeCell ref="Q7:R7"/>
    <mergeCell ref="U15:V15"/>
    <mergeCell ref="J19:K19"/>
    <mergeCell ref="J33:M33"/>
    <mergeCell ref="F15:G15"/>
    <mergeCell ref="AV11:AW11"/>
    <mergeCell ref="F44:G45"/>
    <mergeCell ref="EO9:ER9"/>
    <mergeCell ref="CC44:CD45"/>
    <mergeCell ref="AQ20:AR21"/>
    <mergeCell ref="DV23:DW23"/>
    <mergeCell ref="DD27:DE27"/>
    <mergeCell ref="AU7:AV7"/>
    <mergeCell ref="BZ33:CC33"/>
    <mergeCell ref="AF47:AG47"/>
    <mergeCell ref="BN12:BO13"/>
    <mergeCell ref="CF23:CG23"/>
    <mergeCell ref="DD41:DG41"/>
    <mergeCell ref="AQ15:AR15"/>
    <mergeCell ref="AN19:AO19"/>
    <mergeCell ref="CJ20:CK21"/>
    <mergeCell ref="DS20:DT21"/>
    <mergeCell ref="BF36:BG37"/>
    <mergeCell ref="J25:M25"/>
    <mergeCell ref="AN44:AO45"/>
    <mergeCell ref="Q47:R47"/>
    <mergeCell ref="BN20:BO21"/>
    <mergeCell ref="R12:S13"/>
    <mergeCell ref="EG23:EH23"/>
    <mergeCell ref="DZ43:EA43"/>
    <mergeCell ref="D39:E39"/>
    <mergeCell ref="CR20:CS21"/>
    <mergeCell ref="J3:K3"/>
    <mergeCell ref="F39:G39"/>
    <mergeCell ref="AB4:AC5"/>
    <mergeCell ref="R28:S29"/>
    <mergeCell ref="J28:K29"/>
    <mergeCell ref="CY7:CZ7"/>
    <mergeCell ref="AN36:AO37"/>
    <mergeCell ref="AB12:AC13"/>
    <mergeCell ref="AJ31:AK31"/>
    <mergeCell ref="AG35:AH35"/>
    <mergeCell ref="BF4:BG5"/>
    <mergeCell ref="CN15:CO15"/>
    <mergeCell ref="AV28:AW29"/>
    <mergeCell ref="BN7:BO7"/>
    <mergeCell ref="CP15:CQ15"/>
    <mergeCell ref="CR15:CS15"/>
    <mergeCell ref="X7:Y7"/>
    <mergeCell ref="Z7:AA7"/>
    <mergeCell ref="BR27:BS27"/>
    <mergeCell ref="M15:N15"/>
    <mergeCell ref="CG4:CH5"/>
    <mergeCell ref="CG20:CH21"/>
    <mergeCell ref="F31:G31"/>
    <mergeCell ref="AN11:AO11"/>
    <mergeCell ref="BU15:BV15"/>
    <mergeCell ref="DK33:DN33"/>
    <mergeCell ref="BZ36:CA37"/>
    <mergeCell ref="AN25:AQ25"/>
    <mergeCell ref="EO20:EP21"/>
    <mergeCell ref="BR44:BS45"/>
    <mergeCell ref="R4:S5"/>
    <mergeCell ref="AG43:AH43"/>
    <mergeCell ref="DD17:DG17"/>
    <mergeCell ref="DK4:DL5"/>
    <mergeCell ref="DN36:DO37"/>
    <mergeCell ref="CV44:CW45"/>
    <mergeCell ref="EH19:EI19"/>
    <mergeCell ref="EK7:EL7"/>
    <mergeCell ref="EH33:EK33"/>
    <mergeCell ref="EA31:EB31"/>
    <mergeCell ref="EC31:ED31"/>
    <mergeCell ref="DV20:DW21"/>
    <mergeCell ref="DL31:DM31"/>
    <mergeCell ref="U44:V45"/>
    <mergeCell ref="DT15:DU15"/>
    <mergeCell ref="BR41:BU41"/>
    <mergeCell ref="EN39:EO39"/>
    <mergeCell ref="I7:J7"/>
    <mergeCell ref="Q23:R23"/>
    <mergeCell ref="DV47:DW47"/>
    <mergeCell ref="CF7:CG7"/>
    <mergeCell ref="S23:T23"/>
    <mergeCell ref="DK20:DL21"/>
    <mergeCell ref="BF20:BG21"/>
    <mergeCell ref="J1:M1"/>
    <mergeCell ref="Q31:R31"/>
    <mergeCell ref="CR4:CS5"/>
    <mergeCell ref="DE47:DF47"/>
    <mergeCell ref="DZ27:EA27"/>
    <mergeCell ref="DG47:DH47"/>
    <mergeCell ref="CU23:CV23"/>
    <mergeCell ref="DD33:DG33"/>
    <mergeCell ref="BS15:BT15"/>
    <mergeCell ref="DK1:DN1"/>
    <mergeCell ref="BN47:BO47"/>
    <mergeCell ref="I47:J47"/>
    <mergeCell ref="R1:U1"/>
    <mergeCell ref="K47:L47"/>
    <mergeCell ref="EH4:EI5"/>
    <mergeCell ref="DS44:DT45"/>
    <mergeCell ref="ER36:ES37"/>
    <mergeCell ref="EH36:EI37"/>
    <mergeCell ref="DZ44:EA45"/>
    <mergeCell ref="CJ4:CK5"/>
    <mergeCell ref="C19:D19"/>
    <mergeCell ref="CP7:CQ7"/>
    <mergeCell ref="U36:V37"/>
    <mergeCell ref="BZ28:CA29"/>
    <mergeCell ref="C44:D45"/>
    <mergeCell ref="DJ15:DK15"/>
    <mergeCell ref="BR28:BS29"/>
    <mergeCell ref="EH25:EK25"/>
    <mergeCell ref="DL15:DM15"/>
    <mergeCell ref="CG11:CH11"/>
    <mergeCell ref="U28:V29"/>
    <mergeCell ref="CO43:CP43"/>
    <mergeCell ref="AU39:AV39"/>
    <mergeCell ref="BC17:BF17"/>
    <mergeCell ref="AW39:AX39"/>
    <mergeCell ref="R20:S21"/>
    <mergeCell ref="DV12:DW13"/>
    <mergeCell ref="BK28:BL29"/>
    <mergeCell ref="EN31:EO31"/>
    <mergeCell ref="EP31:EQ31"/>
    <mergeCell ref="Z39:AA39"/>
    <mergeCell ref="DN20:DO21"/>
    <mergeCell ref="BQ47:BR47"/>
    <mergeCell ref="AB39:AC39"/>
    <mergeCell ref="J9:M9"/>
    <mergeCell ref="AN28:AO29"/>
    <mergeCell ref="EH3:EI3"/>
    <mergeCell ref="AV12:AW13"/>
    <mergeCell ref="DD9:DG9"/>
    <mergeCell ref="BK43:BL43"/>
    <mergeCell ref="BD15:BE15"/>
    <mergeCell ref="EH17:EK17"/>
    <mergeCell ref="BF15:BG15"/>
    <mergeCell ref="EA15:EB15"/>
    <mergeCell ref="DZ4:EA5"/>
    <mergeCell ref="BN31:BO31"/>
    <mergeCell ref="EC15:ED15"/>
    <mergeCell ref="CV33:CY33"/>
    <mergeCell ref="DN28:DO29"/>
    <mergeCell ref="CJ12:CK13"/>
    <mergeCell ref="BC35:BD35"/>
    <mergeCell ref="CJ47:CK47"/>
    <mergeCell ref="DT7:DU7"/>
    <mergeCell ref="DV7:DW7"/>
    <mergeCell ref="EH1:EK1"/>
    <mergeCell ref="EA47:EB47"/>
    <mergeCell ref="BZ3:CA3"/>
    <mergeCell ref="AB31:AC31"/>
    <mergeCell ref="AG27:AH27"/>
    <mergeCell ref="BY23:BZ23"/>
    <mergeCell ref="BZ17:CC17"/>
    <mergeCell ref="DD36:DE37"/>
    <mergeCell ref="AV4:AW5"/>
    <mergeCell ref="AG41:AJ41"/>
    <mergeCell ref="AQ44:AR45"/>
    <mergeCell ref="AW47:AX47"/>
    <mergeCell ref="AY47:AZ47"/>
    <mergeCell ref="CG12:CH13"/>
    <mergeCell ref="CF39:CG39"/>
    <mergeCell ref="BZ44:CA45"/>
    <mergeCell ref="AJ4:AK5"/>
    <mergeCell ref="DK12:DL13"/>
    <mergeCell ref="DN31:DO31"/>
    <mergeCell ref="DD11:DE11"/>
    <mergeCell ref="DT39:DU39"/>
    <mergeCell ref="DV28:DW29"/>
    <mergeCell ref="BK44:BL45"/>
    <mergeCell ref="DD25:DG25"/>
    <mergeCell ref="BF47:BG47"/>
    <mergeCell ref="CJ31:CK31"/>
    <mergeCell ref="AH15:AI15"/>
    <mergeCell ref="C11:D11"/>
    <mergeCell ref="AJ15:AK15"/>
    <mergeCell ref="AY36:AZ37"/>
    <mergeCell ref="C25:F25"/>
    <mergeCell ref="DL7:DM7"/>
    <mergeCell ref="AG44:AH45"/>
    <mergeCell ref="CV28:CW29"/>
    <mergeCell ref="AW31:AX31"/>
    <mergeCell ref="BY39:BZ39"/>
    <mergeCell ref="AY31:AZ31"/>
    <mergeCell ref="BK11:BL11"/>
    <mergeCell ref="DG44:DH45"/>
    <mergeCell ref="I31:J31"/>
    <mergeCell ref="J41:M41"/>
    <mergeCell ref="CC36:CD37"/>
    <mergeCell ref="BU44:BV45"/>
    <mergeCell ref="DE31:DF31"/>
    <mergeCell ref="CR23:CS23"/>
    <mergeCell ref="M28:N29"/>
    <mergeCell ref="AM23:AN23"/>
    <mergeCell ref="AN17:AQ17"/>
    <mergeCell ref="CW47:CX47"/>
    <mergeCell ref="CY47:CZ47"/>
    <mergeCell ref="CA15:CB15"/>
    <mergeCell ref="DD20:DE21"/>
    <mergeCell ref="EK28:EL29"/>
    <mergeCell ref="AV33:AY33"/>
    <mergeCell ref="B47:C47"/>
    <mergeCell ref="R17:U17"/>
    <mergeCell ref="J4:K5"/>
    <mergeCell ref="AN12:AO13"/>
    <mergeCell ref="AB36:AC37"/>
    <mergeCell ref="EG47:EH47"/>
    <mergeCell ref="CR39:CS39"/>
    <mergeCell ref="EI47:EJ47"/>
    <mergeCell ref="BZ9:CC9"/>
    <mergeCell ref="BK27:BL27"/>
    <mergeCell ref="AG33:AJ33"/>
    <mergeCell ref="CV17:CY17"/>
    <mergeCell ref="DZ36:EA37"/>
    <mergeCell ref="CV43:CW43"/>
    <mergeCell ref="DC39:DD39"/>
    <mergeCell ref="BR4:BS5"/>
    <mergeCell ref="Y35:Z35"/>
    <mergeCell ref="U20:V21"/>
    <mergeCell ref="ER4:ES5"/>
    <mergeCell ref="BF23:BG23"/>
    <mergeCell ref="EK44:EL45"/>
    <mergeCell ref="CH31:CI31"/>
    <mergeCell ref="AN27:AO27"/>
    <mergeCell ref="I23:J23"/>
    <mergeCell ref="K23:L23"/>
    <mergeCell ref="DD4:DE5"/>
    <mergeCell ref="DG36:DH37"/>
    <mergeCell ref="DG23:DH23"/>
    <mergeCell ref="CO44:CP45"/>
    <mergeCell ref="AY4:AZ5"/>
    <mergeCell ref="EO36:EP37"/>
    <mergeCell ref="BZ12:CA13"/>
    <mergeCell ref="BR12:BS13"/>
    <mergeCell ref="EH9:EK9"/>
    <mergeCell ref="CG43:CH43"/>
    <mergeCell ref="AM39:AN39"/>
    <mergeCell ref="AO39:AP39"/>
    <mergeCell ref="DZ33:EC33"/>
    <mergeCell ref="CO27:CP27"/>
    <mergeCell ref="BJ23:BK23"/>
    <mergeCell ref="DN12:DO13"/>
    <mergeCell ref="EN15:EO15"/>
    <mergeCell ref="B7:C7"/>
    <mergeCell ref="EG39:EH39"/>
    <mergeCell ref="AB15:AC15"/>
    <mergeCell ref="CV20:CW21"/>
    <mergeCell ref="BZ4:CA5"/>
    <mergeCell ref="AY20:AZ21"/>
    <mergeCell ref="CG35:CH35"/>
    <mergeCell ref="CJ36:CK37"/>
    <mergeCell ref="DZ25:EC25"/>
    <mergeCell ref="CO19:CP19"/>
    <mergeCell ref="CJ23:CK23"/>
    <mergeCell ref="AJ7:AK7"/>
    <mergeCell ref="CO33:CR33"/>
    <mergeCell ref="AG11:AH11"/>
    <mergeCell ref="Y11:Z11"/>
    <mergeCell ref="EH20:EI21"/>
    <mergeCell ref="BU36:BV37"/>
    <mergeCell ref="M4:N5"/>
    <mergeCell ref="DS35:DT35"/>
    <mergeCell ref="BY31:BZ31"/>
    <mergeCell ref="C28:D29"/>
    <mergeCell ref="CR7:CS7"/>
    <mergeCell ref="CU39:CV39"/>
    <mergeCell ref="DN7:DO7"/>
    <mergeCell ref="U47:V47"/>
    <mergeCell ref="DY47:DZ47"/>
    <mergeCell ref="AB20:AC21"/>
    <mergeCell ref="DZ1:EC1"/>
    <mergeCell ref="DC15:DD15"/>
    <mergeCell ref="EI31:EJ31"/>
    <mergeCell ref="Y27:Z27"/>
    <mergeCell ref="CA47:CB47"/>
    <mergeCell ref="CV27:CW27"/>
    <mergeCell ref="AM7:AN7"/>
    <mergeCell ref="CC47:CD47"/>
    <mergeCell ref="BQ23:BR23"/>
    <mergeCell ref="AN4:AO5"/>
    <mergeCell ref="DE23:DF23"/>
    <mergeCell ref="BK19:BL19"/>
    <mergeCell ref="DZ3:EA3"/>
    <mergeCell ref="CG27:CH27"/>
    <mergeCell ref="BK33:BN33"/>
    <mergeCell ref="DC31:DD31"/>
    <mergeCell ref="BD31:BE31"/>
    <mergeCell ref="BF31:BG31"/>
    <mergeCell ref="BC44:BD45"/>
    <mergeCell ref="BR1:BU1"/>
    <mergeCell ref="DD1:DG1"/>
    <mergeCell ref="U4:V5"/>
    <mergeCell ref="EO35:EP35"/>
    <mergeCell ref="CU31:CV31"/>
    <mergeCell ref="Y28:Z29"/>
    <mergeCell ref="CW31:CX31"/>
    <mergeCell ref="AV1:AY1"/>
    <mergeCell ref="AU15:AV15"/>
    <mergeCell ref="AW15:AX15"/>
    <mergeCell ref="AV43:AW43"/>
    <mergeCell ref="AN33:AQ33"/>
    <mergeCell ref="DG28:DH29"/>
    <mergeCell ref="EP7:EQ7"/>
    <mergeCell ref="EO43:EP43"/>
    <mergeCell ref="DD3:DE3"/>
    <mergeCell ref="CV3:CW3"/>
    <mergeCell ref="EP15:EQ15"/>
    <mergeCell ref="DV39:DW39"/>
    <mergeCell ref="DS43:DT43"/>
    <mergeCell ref="EP23:EQ23"/>
    <mergeCell ref="AN3:AO3"/>
    <mergeCell ref="BZ1:CC1"/>
    <mergeCell ref="AO23:AP23"/>
    <mergeCell ref="DK17:DN17"/>
    <mergeCell ref="AV27:AW27"/>
    <mergeCell ref="M47:N47"/>
    <mergeCell ref="R43:S43"/>
    <mergeCell ref="EH41:EK41"/>
    <mergeCell ref="AG17:AJ17"/>
    <mergeCell ref="Z15:AA15"/>
    <mergeCell ref="DZ20:EA21"/>
    <mergeCell ref="CV4:CW5"/>
    <mergeCell ref="BR33:BU33"/>
    <mergeCell ref="BF12:BG13"/>
    <mergeCell ref="DK35:DL35"/>
    <mergeCell ref="Y44:Z45"/>
    <mergeCell ref="DV15:DW15"/>
    <mergeCell ref="DS19:DT19"/>
    <mergeCell ref="DN23:DO23"/>
    <mergeCell ref="DN39:DO39"/>
    <mergeCell ref="CF15:CG15"/>
    <mergeCell ref="BF7:BG7"/>
    <mergeCell ref="DK43:DL43"/>
    <mergeCell ref="CH15:CI15"/>
    <mergeCell ref="BC11:BD11"/>
    <mergeCell ref="EH12:EI13"/>
    <mergeCell ref="BU28:BV29"/>
    <mergeCell ref="Q39:R39"/>
    <mergeCell ref="CG44:CH45"/>
    <mergeCell ref="ER23:ES23"/>
    <mergeCell ref="CV41:CY41"/>
    <mergeCell ref="BJ39:BK39"/>
    <mergeCell ref="C27:D27"/>
    <mergeCell ref="EK12:EL13"/>
    <mergeCell ref="AV17:AY17"/>
    <mergeCell ref="EI23:EJ23"/>
    <mergeCell ref="DY23:DZ23"/>
    <mergeCell ref="C41:F41"/>
    <mergeCell ref="EA23:EB23"/>
    <mergeCell ref="CG19:CH19"/>
    <mergeCell ref="EG31:EH31"/>
    <mergeCell ref="CG33:CJ33"/>
    <mergeCell ref="C12:D13"/>
    <mergeCell ref="I15:J15"/>
    <mergeCell ref="K15:L15"/>
    <mergeCell ref="ER28:ES29"/>
    <mergeCell ref="S39:T39"/>
    <mergeCell ref="CR12:CS13"/>
    <mergeCell ref="AG28:AH29"/>
    <mergeCell ref="ER12:ES13"/>
    <mergeCell ref="BZ20:CA21"/>
    <mergeCell ref="AV41:AY41"/>
    <mergeCell ref="DZ19:EA19"/>
    <mergeCell ref="C4:D5"/>
    <mergeCell ref="EO19:EP19"/>
    <mergeCell ref="EP39:EQ39"/>
    <mergeCell ref="DS25:DV25"/>
    <mergeCell ref="AM15:AN15"/>
    <mergeCell ref="ER39:ES39"/>
    <mergeCell ref="CH7:CI7"/>
    <mergeCell ref="U23:V23"/>
    <mergeCell ref="CO3:CP3"/>
    <mergeCell ref="CJ7:CK7"/>
    <mergeCell ref="S31:T31"/>
    <mergeCell ref="DS36:DT37"/>
    <mergeCell ref="DG12:DH13"/>
    <mergeCell ref="U31:V31"/>
    <mergeCell ref="DY39:DZ39"/>
    <mergeCell ref="AY28:AZ29"/>
    <mergeCell ref="J20:K21"/>
    <mergeCell ref="CW23:CX23"/>
    <mergeCell ref="DY31:DZ31"/>
    <mergeCell ref="AQ4:AR5"/>
    <mergeCell ref="AW7:AX7"/>
    <mergeCell ref="BY15:BZ15"/>
    <mergeCell ref="B31:C31"/>
    <mergeCell ref="BQ15:BR15"/>
    <mergeCell ref="B23:C23"/>
    <mergeCell ref="DV44:DW45"/>
    <mergeCell ref="C33:F33"/>
    <mergeCell ref="BR17:BU17"/>
    <mergeCell ref="DN15:DO15"/>
    <mergeCell ref="CV36:CW37"/>
    <mergeCell ref="DK19:DL19"/>
    <mergeCell ref="AV20:AW21"/>
    <mergeCell ref="CG25:CJ25"/>
    <mergeCell ref="AY39:AZ39"/>
    <mergeCell ref="BC43:BD43"/>
    <mergeCell ref="I39:J39"/>
    <mergeCell ref="K39:L39"/>
    <mergeCell ref="AF23:AG23"/>
    <mergeCell ref="BK36:BL37"/>
    <mergeCell ref="BZ43:CA43"/>
    <mergeCell ref="D31:E31"/>
    <mergeCell ref="CO25:CR25"/>
    <mergeCell ref="AY23:AZ23"/>
    <mergeCell ref="CA31:CB31"/>
    <mergeCell ref="BN44:BO45"/>
    <mergeCell ref="J17:M17"/>
    <mergeCell ref="CV19:CW19"/>
    <mergeCell ref="M44:N45"/>
    <mergeCell ref="EO44:EP45"/>
    <mergeCell ref="CR44:CS45"/>
    <mergeCell ref="BS47:BT47"/>
    <mergeCell ref="Y43:Z43"/>
    <mergeCell ref="BU47:BV47"/>
    <mergeCell ref="AF39:AG39"/>
    <mergeCell ref="R11:S11"/>
    <mergeCell ref="EG7:EH7"/>
    <mergeCell ref="EI7:EJ7"/>
    <mergeCell ref="DY7:DZ7"/>
    <mergeCell ref="EA7:EB7"/>
    <mergeCell ref="AV44:AW45"/>
    <mergeCell ref="BD47:BE47"/>
    <mergeCell ref="DZ41:EC41"/>
    <mergeCell ref="EG15:EH15"/>
    <mergeCell ref="BJ31:BK31"/>
    <mergeCell ref="BR9:BU9"/>
    <mergeCell ref="BL31:BM31"/>
    <mergeCell ref="CN47:CO47"/>
    <mergeCell ref="CP47:CQ47"/>
    <mergeCell ref="AG9:AJ9"/>
    <mergeCell ref="DZ12:EA13"/>
    <mergeCell ref="BU12:BV13"/>
    <mergeCell ref="DS11:DT11"/>
    <mergeCell ref="EO11:EP11"/>
    <mergeCell ref="AY12:AZ13"/>
    <mergeCell ref="Y4:Z5"/>
    <mergeCell ref="ER31:ES31"/>
    <mergeCell ref="AQ36:AR37"/>
    <mergeCell ref="DS3:DT3"/>
    <mergeCell ref="AQ23:AR23"/>
    <mergeCell ref="DK3:DL3"/>
    <mergeCell ref="DG39:DH39"/>
    <mergeCell ref="EK20:EL21"/>
    <mergeCell ref="CO9:CR9"/>
    <mergeCell ref="DS28:DT29"/>
    <mergeCell ref="AO31:AP31"/>
    <mergeCell ref="BQ39:BR39"/>
    <mergeCell ref="AQ31:AR31"/>
    <mergeCell ref="AN20:AO21"/>
    <mergeCell ref="BK4:BL5"/>
    <mergeCell ref="CC31:CD31"/>
    <mergeCell ref="CU15:CV15"/>
    <mergeCell ref="CC23:CD23"/>
    <mergeCell ref="ER7:ES7"/>
    <mergeCell ref="EK4:EL5"/>
    <mergeCell ref="BR3:BS3"/>
    <mergeCell ref="BK3:BL3"/>
    <mergeCell ref="CG1:CJ1"/>
    <mergeCell ref="EH35:EI35"/>
    <mergeCell ref="CN31:CO31"/>
    <mergeCell ref="Y3:Z3"/>
    <mergeCell ref="CA23:CB23"/>
    <mergeCell ref="BC27:BD27"/>
    <mergeCell ref="X23:Y23"/>
    <mergeCell ref="Y33:AB33"/>
    <mergeCell ref="BK20:BL21"/>
    <mergeCell ref="CG3:CH3"/>
    <mergeCell ref="DS1:DV1"/>
    <mergeCell ref="DD12:DE13"/>
    <mergeCell ref="AG4:AH5"/>
    <mergeCell ref="AN1:AQ1"/>
    <mergeCell ref="BK1:BN1"/>
    <mergeCell ref="BC3:BD3"/>
    <mergeCell ref="CO1:CR1"/>
    <mergeCell ref="CC4:CD5"/>
    <mergeCell ref="EC28:ED29"/>
    <mergeCell ref="DC7:DD7"/>
    <mergeCell ref="DE7:DF7"/>
    <mergeCell ref="DY15:DZ15"/>
    <mergeCell ref="AG1:AJ1"/>
    <mergeCell ref="DZ9:EC9"/>
    <mergeCell ref="EK39:EL39"/>
    <mergeCell ref="BS39:BT39"/>
    <mergeCell ref="DS9:DV9"/>
    <mergeCell ref="U7:V7"/>
    <mergeCell ref="EO28:EP29"/>
    <mergeCell ref="BQ31:BR31"/>
    <mergeCell ref="D47:E47"/>
    <mergeCell ref="M7:N7"/>
    <mergeCell ref="BS31:BT31"/>
    <mergeCell ref="J11:K11"/>
    <mergeCell ref="F47:G47"/>
    <mergeCell ref="CO12:CP13"/>
    <mergeCell ref="Q15:R15"/>
    <mergeCell ref="S15:T15"/>
    <mergeCell ref="EC44:ED45"/>
    <mergeCell ref="EK47:EL47"/>
    <mergeCell ref="CU7:CV7"/>
    <mergeCell ref="CC28:CD29"/>
    <mergeCell ref="CW7:CX7"/>
    <mergeCell ref="R44:S45"/>
    <mergeCell ref="CV35:CW35"/>
    <mergeCell ref="J44:K45"/>
    <mergeCell ref="EO25:ER25"/>
    <mergeCell ref="CY23:CZ23"/>
    <mergeCell ref="ER20:ES21"/>
    <mergeCell ref="CV9:CY9"/>
    <mergeCell ref="Y25:AB25"/>
    <mergeCell ref="C3:D3"/>
    <mergeCell ref="BC33:BF33"/>
    <mergeCell ref="AH47:AI47"/>
    <mergeCell ref="AJ47:AK47"/>
    <mergeCell ref="C17:F17"/>
    <mergeCell ref="U12:V13"/>
    <mergeCell ref="ER15:ES15"/>
    <mergeCell ref="M12:N13"/>
    <mergeCell ref="CW39:CX39"/>
    <mergeCell ref="BR35:BS35"/>
    <mergeCell ref="EN47:EO47"/>
    <mergeCell ref="CY39:CZ39"/>
    <mergeCell ref="CG9:CJ9"/>
    <mergeCell ref="M36:N37"/>
    <mergeCell ref="C36:D37"/>
    <mergeCell ref="R19:S19"/>
    <mergeCell ref="EK23:EL23"/>
    <mergeCell ref="CO41:CR41"/>
    <mergeCell ref="R33:U33"/>
    <mergeCell ref="DK36:DL37"/>
    <mergeCell ref="BC4:BD5"/>
    <mergeCell ref="EC4:ED5"/>
    <mergeCell ref="C1:F1"/>
    <mergeCell ref="CJ28:CK29"/>
    <mergeCell ref="CN23:CO23"/>
    <mergeCell ref="C20:D21"/>
    <mergeCell ref="CP23:CQ23"/>
    <mergeCell ref="DR31:DS31"/>
    <mergeCell ref="DJ31:DK31"/>
    <mergeCell ref="CF47:CG47"/>
    <mergeCell ref="BC19:BD19"/>
    <mergeCell ref="BJ15:BK15"/>
    <mergeCell ref="AQ28:AR29"/>
    <mergeCell ref="CC15:CD15"/>
    <mergeCell ref="DT23:DU23"/>
    <mergeCell ref="BZ19:CA19"/>
    <mergeCell ref="CO4:CP5"/>
    <mergeCell ref="DE39:DF39"/>
    <mergeCell ref="BF39:BG39"/>
    <mergeCell ref="AF31:AG31"/>
    <mergeCell ref="BZ35:CA35"/>
    <mergeCell ref="B15:C15"/>
    <mergeCell ref="D15:E15"/>
    <mergeCell ref="DN44:DO45"/>
    <mergeCell ref="CV1:CY1"/>
    <mergeCell ref="EI39:EJ39"/>
    <mergeCell ref="D7:E7"/>
    <mergeCell ref="AF15:AG15"/>
    <mergeCell ref="DD35:DE35"/>
    <mergeCell ref="CA7:CB7"/>
    <mergeCell ref="X15:Y15"/>
    <mergeCell ref="EH44:EI45"/>
    <mergeCell ref="CC7:CD7"/>
    <mergeCell ref="F23:G23"/>
    <mergeCell ref="EC39:ED39"/>
    <mergeCell ref="BK41:BN41"/>
    <mergeCell ref="AY7:AZ7"/>
    <mergeCell ref="BN28:BO29"/>
    <mergeCell ref="BR36:BS37"/>
    <mergeCell ref="CA39:CB39"/>
    <mergeCell ref="BR43:BS43"/>
    <mergeCell ref="CJ39:CK39"/>
    <mergeCell ref="K31:L31"/>
    <mergeCell ref="M31:N31"/>
    <mergeCell ref="R27:S27"/>
    <mergeCell ref="CY44:CZ45"/>
    <mergeCell ref="AB7:AC7"/>
    <mergeCell ref="AJ20:AK21"/>
    <mergeCell ref="J12:K13"/>
    <mergeCell ref="AV3:AW3"/>
    <mergeCell ref="AQ7:AR7"/>
    <mergeCell ref="BU23:BV23"/>
    <mergeCell ref="Y41:AB41"/>
    <mergeCell ref="AB47:AC47"/>
    <mergeCell ref="S7:T7"/>
    <mergeCell ref="DS12:DT13"/>
    <mergeCell ref="BK25:BN25"/>
    <mergeCell ref="AO15:AP15"/>
    <mergeCell ref="BR20:BS21"/>
    <mergeCell ref="BB23:BC23"/>
    <mergeCell ref="CY28:CZ29"/>
    <mergeCell ref="BD23:BE23"/>
    <mergeCell ref="AJ44:AK45"/>
    <mergeCell ref="DG31:DH31"/>
    <mergeCell ref="DG4:DH5"/>
    <mergeCell ref="DR47:DS47"/>
    <mergeCell ref="DJ47:DK47"/>
    <mergeCell ref="DT47:DU47"/>
    <mergeCell ref="AO47:AP47"/>
    <mergeCell ref="AQ47:AR47"/>
    <mergeCell ref="AG3:AH3"/>
    <mergeCell ref="BJ47:BK47"/>
    <mergeCell ref="BL47:BM47"/>
    <mergeCell ref="EK36:EL37"/>
    <mergeCell ref="EC36:ED37"/>
    <mergeCell ref="CC20:CD21"/>
    <mergeCell ref="R36:S37"/>
    <mergeCell ref="BZ11:CA11"/>
    <mergeCell ref="BK17:BN17"/>
    <mergeCell ref="CO36:CP37"/>
    <mergeCell ref="CC12:CD13"/>
    <mergeCell ref="BZ25:CC25"/>
    <mergeCell ref="DR23:DS23"/>
    <mergeCell ref="BS23:BT23"/>
    <mergeCell ref="DZ17:EC17"/>
    <mergeCell ref="EC23:ED23"/>
    <mergeCell ref="DZ28:EA29"/>
    <mergeCell ref="EH28:EI29"/>
  </mergeCells>
  <phoneticPr fontId="1"/>
  <pageMargins left="0.51181102362204722" right="0.51181102362204722" top="0.15748031496062989" bottom="0.15748031496062989" header="0" footer="0"/>
  <pageSetup paperSize="9" scale="84" orientation="portrait" horizontalDpi="1200" verticalDpi="1200"/>
  <headerFooter>
    <oddHeader xml:space="preserve">&amp;L
</oddHeader>
    <oddFooter>&amp;C&amp;P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5"/>
  <dimension ref="A1:AS139"/>
  <sheetViews>
    <sheetView workbookViewId="0">
      <selection activeCell="AE6" sqref="AE6"/>
    </sheetView>
  </sheetViews>
  <sheetFormatPr defaultRowHeight="18"/>
  <cols>
    <col min="1" max="1" width="4.59765625" style="180" bestFit="1" customWidth="1"/>
    <col min="2" max="2" width="2.59765625" style="180" bestFit="1" customWidth="1"/>
    <col min="3" max="3" width="3.3984375" style="180" bestFit="1" customWidth="1"/>
    <col min="4" max="4" width="3.3984375" style="180" customWidth="1"/>
    <col min="5" max="5" width="6.3984375" style="180" bestFit="1" customWidth="1"/>
    <col min="6" max="6" width="20.19921875" style="180" bestFit="1" customWidth="1"/>
    <col min="7" max="9" width="1.5" style="180" customWidth="1"/>
    <col min="10" max="10" width="14.796875" style="180" customWidth="1"/>
    <col min="11" max="13" width="6" style="180" customWidth="1"/>
    <col min="14" max="14" width="2.3984375" style="180" bestFit="1" customWidth="1"/>
    <col min="15" max="17" width="8.796875" style="180" customWidth="1"/>
    <col min="18" max="18" width="24.296875" style="180" customWidth="1"/>
    <col min="19" max="19" width="8.796875" style="180" customWidth="1"/>
    <col min="20" max="20" width="6.3984375" style="180" bestFit="1" customWidth="1"/>
    <col min="21" max="21" width="3.3984375" style="180" bestFit="1" customWidth="1"/>
    <col min="22" max="22" width="3.3984375" style="180" customWidth="1"/>
    <col min="23" max="23" width="3.3984375" style="180" bestFit="1" customWidth="1"/>
    <col min="24" max="24" width="3.3984375" style="180" customWidth="1"/>
    <col min="25" max="25" width="8.796875" style="180" customWidth="1"/>
    <col min="28" max="28" width="2.8984375" style="180" customWidth="1"/>
    <col min="31" max="32" width="8.796875" customWidth="1"/>
    <col min="41" max="42" width="5.796875" style="180" bestFit="1" customWidth="1"/>
    <col min="43" max="43" width="8.8984375" style="180" bestFit="1" customWidth="1"/>
  </cols>
  <sheetData>
    <row r="1" spans="1:45">
      <c r="A1" t="str">
        <f>IF('数出表_Excel（アレルギー入力）'!AO1&lt;&gt;"",'数出表_Excel（アレルギー入力）'!AO1,"")</f>
        <v/>
      </c>
      <c r="B1" t="str">
        <f t="shared" ref="B1:B14" ca="1" si="0">SUBSTITUTE(A1,C1,"")</f>
        <v/>
      </c>
      <c r="C1" t="str">
        <f t="array" aca="1" ref="C1" ca="1">_xlfn.TEXTJOIN("",TRUE,IF(ISERROR(MID(A1,ROW(INDIRECT("1:"&amp;LEN(A1))),1)*1),"",MID(A1,ROW(INDIRECT("1:"&amp;LEN(A1))),1)))</f>
        <v/>
      </c>
      <c r="D1" t="str">
        <f t="array" aca="1" ref="D1" ca="1">IF(A1&lt;&gt;"",COLUMN(INDIRECT($B1&amp;"1")),"")</f>
        <v/>
      </c>
      <c r="E1" t="str">
        <f ca="1">IF(A1&lt;&gt;"",
IF(ISEVEN($C1),
OFFSET('数出表_Excel（アレルギー入力）'!$A$1,$C1-1,0),
OFFSET('数出表_Excel（アレルギー入力）'!$A$1,$C1-2,0)),"")</f>
        <v/>
      </c>
      <c r="F1" t="str">
        <f ca="1">IF(A1&lt;&gt;"",
IF(ISEVEN($C1),
OFFSET('数出表_Excel（アレルギー入力）'!$A$1,$C1,0),
OFFSET('数出表_Excel（アレルギー入力）'!$A$1,$C1-1,0)),"")</f>
        <v/>
      </c>
      <c r="G1" t="str">
        <f ca="1">IF(A1&lt;&gt;"",
IF(AND(OFFSET('数出表_Excel（アレルギー入力）'!$A$1,2,D1-1)&lt;&gt;"",ISTEXT(OFFSET('数出表_Excel（アレルギー入力）'!$A$1,2,D1-1))),OFFSET('数出表_Excel（アレルギー入力）'!$A$1,2,D1-1),""),"")</f>
        <v/>
      </c>
      <c r="H1" t="str">
        <f ca="1">IF(A1&lt;&gt;"",
IF(AND(OFFSET('数出表_Excel（アレルギー入力）'!$A$1,3,D1-1)&lt;&gt;"",ISTEXT(OFFSET('数出表_Excel（アレルギー入力）'!$A$1,3,D1-1))),OFFSET('数出表_Excel（アレルギー入力）'!$A$1,3,D1-1),""),"")</f>
        <v/>
      </c>
      <c r="I1" t="str">
        <f ca="1">IF(A1&lt;&gt;"",
IF(OFFSET('数出表_Excel（アレルギー入力）'!$A$1,4,D1-1)&lt;&gt;"",OFFSET('数出表_Excel（アレルギー入力）'!$A$1,4,D1-1),""),"")</f>
        <v/>
      </c>
      <c r="J1" t="str">
        <f t="shared" ref="J1:J15" ca="1" si="1">G1&amp;H1&amp;I1</f>
        <v/>
      </c>
      <c r="K1" t="str">
        <f ca="1">IF(A1&lt;&gt;"",
IF(ISEVEN($D1),
IF(ISEVEN($C1),
OFFSET('数出表_Excel（アレルギー入力）'!$A$1,$C1-1,D1-1),
OFFSET('数出表_Excel（アレルギー入力）'!$A$1,$C1-2,D1-1)),
IF(ISEVEN($C1),
OFFSET('数出表_Excel（アレルギー入力）'!$A$1,$C1-1,D1-2),
OFFSET('数出表_Excel（アレルギー入力）'!$A$1,$C1-2,D1-2))),"")</f>
        <v/>
      </c>
      <c r="L1" t="str">
        <f ca="1">IF(A1&lt;&gt;"",
IF(ISEVEN($D1),
IF(ISEVEN($C1),
OFFSET('数出表_Excel（アレルギー入力）'!$A$1,$C1,D1-1),
OFFSET('数出表_Excel（アレルギー入力）'!$A$1,$C1-1,D1-1)),
IF(ISEVEN($C1),
OFFSET('数出表_Excel（アレルギー入力）'!$A$1,$C1,D1-2),
OFFSET('数出表_Excel（アレルギー入力）'!$A$1,$C1-1,D1-2))),"")</f>
        <v/>
      </c>
      <c r="M1" t="str">
        <f ca="1">IF(A1&lt;&gt;"",
IF(ISEVEN($D1),
OFFSET('数出表_Excel（アレルギー入力）'!$A$1,$C1-1,D1),
OFFSET('数出表_Excel（アレルギー入力）'!$A$1,$C1-1,D1-1)),"")</f>
        <v/>
      </c>
      <c r="O1" t="str">
        <f>IF(A1&lt;&gt;"",VLOOKUP(G1,注文弁当の抽出!F:G,2,FALSE),"")</f>
        <v/>
      </c>
      <c r="P1" t="str">
        <f ca="1">IF(AND(N1=0, COUNTIFS($E$1:E1,E1)=1), E1,
IF(COUNTIF(F1,"*雙葉*"),E1,""))</f>
        <v/>
      </c>
      <c r="Q1" s="126" t="str" cm="1">
        <f t="array" aca="1" ref="Q1" ca="1">IFERROR(INDEX($P$1:$P$100, SMALL(IF($P$1:$P$100&lt;&gt;"", ROW($P$1:$P$100)), ROW(Q1))), "")</f>
        <v/>
      </c>
      <c r="R1" s="126" t="str">
        <f ca="1">IF($Q1&lt;&gt;"",VLOOKUP($Q1,$E$1:$O$100,COLUMN()-16,FALSE),"")</f>
        <v/>
      </c>
      <c r="S1" s="126" t="str">
        <f ca="1">IF($Q1&lt;&gt;"",VLOOKUP($Q1,$E$1:$O$100,COLUMN()-13,FALSE),"")</f>
        <v/>
      </c>
      <c r="T1" s="126" t="str">
        <f ca="1">IF($Q1&lt;&gt;"",VLOOKUP($Q1,$E$1:$O$100,COLUMN()-13,FALSE),"")</f>
        <v/>
      </c>
      <c r="U1" s="126" t="str">
        <f ca="1">IF($Q1&lt;&gt;"",VLOOKUP($Q1,$E$1:$O$100,COLUMN()-13,FALSE),"")</f>
        <v/>
      </c>
      <c r="V1" s="126" t="str">
        <f ca="1">IF($Q1&lt;&gt;"",VLOOKUP($Q1,$E$1:$O$100,COLUMN()-13,FALSE),"")</f>
        <v/>
      </c>
      <c r="W1" s="126" t="str">
        <f ca="1">IF($Q1&lt;&gt;"",VLOOKUP($Q1,$E$1:$O$100,COLUMN()-12,FALSE),"")</f>
        <v/>
      </c>
      <c r="X1" s="126" t="str" cm="1">
        <f t="array" aca="1" ref="X1" ca="1">IF($Q1&lt;&gt;"",INDIRECT("A"&amp;MATCH(Q1,$E$1:$E$100,0)+ROW()-1&amp;""),"")</f>
        <v/>
      </c>
      <c r="Y1" t="str">
        <f ca="1">IF(Q1&lt;&gt;"",
IF(COUNTIF(S1,"*キャラ*"),
VLOOKUP("*キャラ*",商品マスタ!$D:$E,2,FALSE),
IF(COUNTIF(S1,"*赤*"),
VLOOKUP("*赤*",商品マスタ!$D:$E,2,FALSE),
VLOOKUP("*"&amp;S1&amp;"*",商品マスタ!$D:$E,2,FALSE))),"")</f>
        <v/>
      </c>
      <c r="Z1" t="str">
        <f t="shared" ref="Z1:Z2" ca="1" si="2">IF(Q1&lt;&gt;"",
IF(OR(COUNTIF(R1,"*雙葉*"),COUNTIF(R1,"*香蘭*")),
IF(ROUND((T1-V1)/Y1,0)&lt;=0,1,
ROUND((T1-V1)/Y1,0)),
IF(OR(COUNTIF(S1,"*キャラ*"),COUNTIF(S1,"*赤*")),"",
IF(Y1=0,"",
IF(ROUND((T1-V1)/Y1,0)&lt;=0,1,
ROUND((T1-V1)/Y1,0))))),"")</f>
        <v/>
      </c>
      <c r="AA1" t="str">
        <f t="shared" ref="AA1:AA32" ca="1" si="3">IF(Z1&lt;&gt;"",
IF(VALUE(T1-V1)&gt;VALUE(Y1*Z1),
"+"&amp;(T1-V1)-Y1*Z1,
(T1-V1)-Y1*Z1),"")</f>
        <v/>
      </c>
      <c r="AC1" t="str">
        <f t="shared" ref="AC1:AC32" ca="1" si="4">IF(R1&lt;&gt;"",ROW(),"")</f>
        <v/>
      </c>
      <c r="AD1" s="78" t="str">
        <f t="array" aca="1" ref="AD1" ca="1">IFERROR(SMALL(IF(AC$1:AC$140&lt;&gt;0,AC$1:AC$140),ROW(A1)),"")</f>
        <v/>
      </c>
      <c r="AE1" s="78" t="str">
        <f t="array" aca="1" ref="AE1" ca="1">IF($AD1&lt;&gt;"",INDIRECT("R"&amp;$AD1&amp;""),"")</f>
        <v/>
      </c>
      <c r="AF1" s="78" t="str">
        <f t="array" aca="1" ref="AF1" ca="1">IF($AD1&lt;&gt;"",
IF(INDIRECT("S"&amp;$AD1&amp;"")&lt;&gt;"",INDIRECT("S"&amp;$AD1&amp;""),""),"")</f>
        <v/>
      </c>
      <c r="AG1" s="78" t="str" cm="1">
        <f t="array" aca="1" ref="AG1" ca="1">IFERROR(IF($AD1&lt;&gt;"",INDIRECT("T"&amp;$AD1&amp;""),"")
+IF(COUNTIF(AE1,"*雙葉*"),
IFERROR(INDIRECT("T"&amp;MATCH("*雙葉*",INDIRECT("R"&amp;AD1+1&amp;":$R$140"),0)+ROW()&amp;""),0),0)
+IF(OR(COUNTIF(AO1,"*管理*"),COUNTIF(AO1,"予備")),
AQ1,0),"")</f>
        <v/>
      </c>
      <c r="AH1" s="78" t="str" cm="1">
        <f t="array" aca="1" ref="AH1" ca="1">IFERROR(IF($AD1&lt;&gt;"",INDIRECT("U"&amp;$AD1&amp;""),"")
+IF(COUNTIF(AE1,"*雙葉*"),
IFERROR(INDIRECT("U"&amp;MATCH("*雙葉*",INDIRECT("R"&amp;AD1+1&amp;":$R$140"),0)+ROW()&amp;""),0),0),"")</f>
        <v/>
      </c>
      <c r="AI1" s="78" t="str" cm="1">
        <f t="array" aca="1" ref="AI1" ca="1">IFERROR(IF($AD1&lt;&gt;"",INDIRECT("V"&amp;$AD1&amp;""),"")
+IF(COUNTIF(AE1,"*雙葉*"),
IFERROR(INDIRECT("V"&amp;MATCH("*雙葉*",INDIRECT("R"&amp;AD1+1&amp;":$R$140"),0)+ROW()&amp;""),0),0),"")</f>
        <v/>
      </c>
      <c r="AJ1" s="78" t="str">
        <f t="array" aca="1" ref="AJ1" ca="1">IF($AD1&lt;&gt;"",INDIRECT("W"&amp;$AD1&amp;""),"")</f>
        <v/>
      </c>
      <c r="AK1" s="78" t="str">
        <f t="array" aca="1" ref="AK1" ca="1">IF($AD1&lt;&gt;"",INDIRECT("Y"&amp;$AD1&amp;""),"")</f>
        <v/>
      </c>
      <c r="AL1" s="78" t="str">
        <f t="shared" ref="AL1:AL3" ca="1" si="5">IF(AD1&lt;&gt;"",
IFERROR(
IF(OR(COUNTIF(AE1,"*雙葉*"),COUNTIF(AE1,"*香蘭*")),
IF(ROUND((AG1-AI1)/AK1,0)&lt;=0,1,
ROUND((AG1-AI1)/AK1,0)),
IF(OR(COUNTIF(AF1,"*キャラ*"),COUNTIF(AF1,"*赤*")),"",
IF(AK1=0,"",
IF(ROUND((AG1-AI1)/AK1,0)&lt;=0,1,
ROUND((AG1-AI1)/AK1,0))))),""),"")</f>
        <v/>
      </c>
      <c r="AM1" s="78" t="str">
        <f t="array" aca="1" ref="AM1" ca="1">IF($AD1&lt;&gt;"",INDIRECT("AA"&amp;$AD1&amp;""),"")</f>
        <v/>
      </c>
      <c r="AN1" s="78" t="str">
        <f t="array" aca="1" ref="AN1" ca="1">IF($AD1&lt;&gt;"",INDIRECT("Q"&amp;$AD1&amp;""),"")</f>
        <v/>
      </c>
      <c r="AO1" s="78" t="str">
        <f ca="1">IFERROR(IF(AND(AN1&lt;&gt;"",VLOOKUP(AN1,得意先マスタ!$A$1:$Z$800,24,FALSE)&lt;&gt;0),
VLOOKUP(AN1,得意先マスタ!$A$1:$Z$800,24,FALSE),""),"")</f>
        <v/>
      </c>
      <c r="AP1" s="78" t="str">
        <f ca="1">IFERROR(IF(AND(AN1&lt;&gt;"",VLOOKUP(AN1,得意先マスタ!$A$1:$Z$800,25,FALSE)&lt;&gt;0),
VLOOKUP(AN1,得意先マスタ!$A$1:$Z$800,25,FALSE),""),"")</f>
        <v/>
      </c>
      <c r="AQ1" s="78" t="str">
        <f t="shared" ref="AQ1:AQ64" ca="1" si="6">IF(AP1&lt;&gt;0,
IF(COUNTIF(AP1,"*.*"),LEFT(AP1, FIND(".", AP1) - 1),AP1),0)</f>
        <v/>
      </c>
      <c r="AR1" s="78">
        <f t="shared" ref="AR1:AR9" ca="1" si="7">IF(AP1&lt;&gt;0,
IF(COUNTIF(AP1,"*.*"),
IF(COUNTIF(AP1,"*.*")=1,MID(AP1, FIND(".", AP1) + 1,LEN(AP1) - FIND(".", AP1)),
MID(AP1, FIND(".", AP1) + 1, FIND(".", AP1, FIND(".", AP1) + 1) - FIND(".", AP1) - 1)),0),0)</f>
        <v>0</v>
      </c>
      <c r="AS1" s="78">
        <f t="shared" ref="AS1:AS9" ca="1" si="8">IF(AP1&lt;&gt;0,
IF(COUNTIF(AP1,"*.*"),
IF(COUNTIF(AP1,"*.*")=1,"",RIGHT(AP1, LEN(AP1) - FIND(".", AP1, FIND(".", AP1) + 1))),0),0)</f>
        <v>0</v>
      </c>
    </row>
    <row r="2" spans="1:45">
      <c r="A2" t="str">
        <f>IF('数出表_Excel（アレルギー入力）'!AO2&lt;&gt;"",'数出表_Excel（アレルギー入力）'!AO2,"")</f>
        <v/>
      </c>
      <c r="B2" t="str">
        <f t="shared" ca="1" si="0"/>
        <v/>
      </c>
      <c r="C2" t="str">
        <f t="array" aca="1" ref="C2" ca="1">_xlfn.TEXTJOIN("",TRUE,IF(ISERROR(MID(A2,ROW(INDIRECT("1:"&amp;LEN(A2))),1)*1),"",MID(A2,ROW(INDIRECT("1:"&amp;LEN(A2))),1)))</f>
        <v/>
      </c>
      <c r="D2" t="str">
        <f t="array" aca="1" ref="D2" ca="1">IF(A2&lt;&gt;"",COLUMN(INDIRECT($B2&amp;"1")),"")</f>
        <v/>
      </c>
      <c r="E2" t="str">
        <f ca="1">IF(A2&lt;&gt;"",
IF(ISEVEN($C2),
OFFSET('数出表_Excel（アレルギー入力）'!$A$1,$C2-1,0),
OFFSET('数出表_Excel（アレルギー入力）'!$A$1,$C2-2,0)),"")</f>
        <v/>
      </c>
      <c r="F2" t="str">
        <f ca="1">IF(A2&lt;&gt;"",
IF(ISEVEN($C2),
OFFSET('数出表_Excel（アレルギー入力）'!$A$1,$C2,0),
OFFSET('数出表_Excel（アレルギー入力）'!$A$1,$C2-1,0)),"")</f>
        <v/>
      </c>
      <c r="G2" t="str">
        <f ca="1">IF(A2&lt;&gt;"",
IF(AND(OFFSET('数出表_Excel（アレルギー入力）'!$A$1,2,D2-1)&lt;&gt;"",ISTEXT(OFFSET('数出表_Excel（アレルギー入力）'!$A$1,2,D2-1))),OFFSET('数出表_Excel（アレルギー入力）'!$A$1,2,D2-1),""),"")</f>
        <v/>
      </c>
      <c r="H2" t="str">
        <f ca="1">IF(A2&lt;&gt;"",
IF(AND(OFFSET('数出表_Excel（アレルギー入力）'!$A$1,3,D2-1)&lt;&gt;"",ISTEXT(OFFSET('数出表_Excel（アレルギー入力）'!$A$1,3,D2-1))),OFFSET('数出表_Excel（アレルギー入力）'!$A$1,3,D2-1),""),"")</f>
        <v/>
      </c>
      <c r="I2" t="str">
        <f ca="1">IF(A2&lt;&gt;"",
IF(OFFSET('数出表_Excel（アレルギー入力）'!$A$1,4,D2-1)&lt;&gt;"",OFFSET('数出表_Excel（アレルギー入力）'!$A$1,4,D2-1),""),"")</f>
        <v/>
      </c>
      <c r="J2" t="str">
        <f t="shared" ca="1" si="1"/>
        <v/>
      </c>
      <c r="K2" t="str">
        <f ca="1">IF(A2&lt;&gt;"",
IF(ISEVEN($D2),
IF(ISEVEN($C2),
OFFSET('数出表_Excel（アレルギー入力）'!$A$1,$C2-1,D2-1),
OFFSET('数出表_Excel（アレルギー入力）'!$A$1,$C2-2,D2-1)),
IF(ISEVEN($C2),
OFFSET('数出表_Excel（アレルギー入力）'!$A$1,$C2-1,D2-2),
OFFSET('数出表_Excel（アレルギー入力）'!$A$1,$C2-2,D2-2))),"")</f>
        <v/>
      </c>
      <c r="L2" t="str">
        <f ca="1">IF(A2&lt;&gt;"",
IF(ISEVEN($D2),
IF(ISEVEN($C2),
OFFSET('数出表_Excel（アレルギー入力）'!$A$1,$C2,D2-1),
OFFSET('数出表_Excel（アレルギー入力）'!$A$1,$C2-1,D2-1)),
IF(ISEVEN($C2),
OFFSET('数出表_Excel（アレルギー入力）'!$A$1,$C2,D2-2),
OFFSET('数出表_Excel（アレルギー入力）'!$A$1,$C2-1,D2-2))),"")</f>
        <v/>
      </c>
      <c r="M2" t="str">
        <f ca="1">IF(A2&lt;&gt;"",
IF(ISEVEN($D2),
OFFSET('数出表_Excel（アレルギー入力）'!$A$1,$C2-1,D2),
OFFSET('数出表_Excel（アレルギー入力）'!$A$1,$C2-1,D2-1)),"")</f>
        <v/>
      </c>
      <c r="O2" t="str">
        <f>IF(A2&lt;&gt;"",VLOOKUP(G2,注文弁当の抽出!F:G,2,FALSE),"")</f>
        <v/>
      </c>
      <c r="P2" t="str">
        <f ca="1">IF(AND(N2=0, COUNTIFS($E$1:E2,E2)=1), E2,
IF(COUNTIF(F2,"*雙葉*"),E2,""))</f>
        <v/>
      </c>
      <c r="Q2" s="126" t="str" cm="1">
        <f t="array" aca="1" ref="Q2" ca="1">IFERROR(INDEX($P$1:$P$100, SMALL(IF($P$1:$P$100&lt;&gt;"", ROW($P$1:$P$100)), ROW(Q2))), "")</f>
        <v/>
      </c>
      <c r="R2" s="126" t="str">
        <f t="shared" ref="R2:R50" ca="1" si="9">IF($Q2&lt;&gt;"",VLOOKUP($Q2,$E$1:$O$100,COLUMN()-16,FALSE),"")</f>
        <v/>
      </c>
      <c r="S2" s="126" t="str">
        <f t="shared" ref="S2:V50" ca="1" si="10">IF($Q2&lt;&gt;"",VLOOKUP($Q2,$E$1:$O$100,COLUMN()-13,FALSE),"")</f>
        <v/>
      </c>
      <c r="T2" s="126" t="str">
        <f t="shared" ca="1" si="10"/>
        <v/>
      </c>
      <c r="U2" s="126" t="str">
        <f t="shared" ca="1" si="10"/>
        <v/>
      </c>
      <c r="V2" s="126" t="str">
        <f t="shared" ca="1" si="10"/>
        <v/>
      </c>
      <c r="W2" s="126" t="str">
        <f t="shared" ref="W2:W50" ca="1" si="11">IF($Q2&lt;&gt;"",VLOOKUP($Q2,$E$1:$O$100,COLUMN()-12,FALSE),"")</f>
        <v/>
      </c>
      <c r="X2" s="126" t="str" cm="1">
        <f t="array" aca="1" ref="X2" ca="1">IF($Q2&lt;&gt;"",INDIRECT("A"&amp;MATCH(Q2,$E$1:$E$100,0)+ROW()-1&amp;""),"")</f>
        <v/>
      </c>
      <c r="Y2" t="str">
        <f ca="1">IF(Q2&lt;&gt;"",
IF(COUNTIF(S2,"*キャラ*"),
VLOOKUP("*キャラ*",商品マスタ!$D:$E,2,FALSE),
IF(COUNTIF(S2,"*赤*"),
VLOOKUP("*赤*",商品マスタ!$D:$E,2,FALSE),
VLOOKUP("*"&amp;S2&amp;"*",商品マスタ!$D:$E,2,FALSE))),"")</f>
        <v/>
      </c>
      <c r="Z2" t="str">
        <f t="shared" ca="1" si="2"/>
        <v/>
      </c>
      <c r="AA2" t="str">
        <f t="shared" ca="1" si="3"/>
        <v/>
      </c>
      <c r="AC2" t="str">
        <f t="shared" ca="1" si="4"/>
        <v/>
      </c>
      <c r="AD2" s="78" t="str">
        <f t="array" aca="1" ref="AD2" ca="1">IF(AND(IFERROR(COUNTIF(INDIRECT("R"&amp;IFERROR(SMALL(IF(AC$1:AC$140&lt;&gt;0,AC$1:AC$140),ROW(A2)),"")&amp;""),"*雙葉*"),0),COUNTIF(AE$1:AE1,"*雙葉*")),"",
IFERROR(SMALL(IF(AC$1:AC$140&lt;&gt;0,AC$1:AC$140),ROW(A2)),""))</f>
        <v/>
      </c>
      <c r="AE2" s="78" t="str">
        <f t="array" aca="1" ref="AE2" ca="1">IF($AD2&lt;&gt;"",INDIRECT("R"&amp;$AD2&amp;""),"")</f>
        <v/>
      </c>
      <c r="AF2" s="78" t="str">
        <f t="array" aca="1" ref="AF2" ca="1">IF($AD2&lt;&gt;"",
IF(INDIRECT("S"&amp;$AD2&amp;"")&lt;&gt;"",INDIRECT("S"&amp;$AD2&amp;""),""),"")</f>
        <v/>
      </c>
      <c r="AG2" s="78" t="str" cm="1">
        <f t="array" aca="1" ref="AG2" ca="1">IFERROR(IF($AD2&lt;&gt;"",INDIRECT("T"&amp;$AD2&amp;""),"")
+IF(COUNTIF(AE2,"*雙葉*"),
IFERROR(INDIRECT("T"&amp;MATCH("*雙葉*",INDIRECT("R"&amp;AD2+1&amp;":$R$140"),0)+ROW()&amp;""),0),0)
+IF(OR(COUNTIF(AO2,"*管理*"),COUNTIF(AO2,"予備")),
AQ2,0),"")</f>
        <v/>
      </c>
      <c r="AH2" s="78" t="str" cm="1">
        <f t="array" aca="1" ref="AH2" ca="1">IFERROR(IF($AD2&lt;&gt;"",INDIRECT("U"&amp;$AD2&amp;""),"")
+IF(COUNTIF(AE2,"*雙葉*"),
IFERROR(INDIRECT("U"&amp;MATCH("*雙葉*",INDIRECT("R"&amp;AD2+1&amp;":$R$140"),0)+ROW()&amp;""),0),0),"")</f>
        <v/>
      </c>
      <c r="AI2" s="78" t="str" cm="1">
        <f t="array" aca="1" ref="AI2" ca="1">IFERROR(IF($AD2&lt;&gt;"",INDIRECT("V"&amp;$AD2&amp;""),"")
+IF(COUNTIF(AE2,"*雙葉*"),
IFERROR(INDIRECT("V"&amp;MATCH("*雙葉*",INDIRECT("R"&amp;AD2+1&amp;":$R$140"),0)+ROW()&amp;""),0),0),"")</f>
        <v/>
      </c>
      <c r="AJ2" s="78" t="str">
        <f t="array" aca="1" ref="AJ2" ca="1">IF($AD2&lt;&gt;"",INDIRECT("W"&amp;$AD2&amp;""),"")</f>
        <v/>
      </c>
      <c r="AK2" s="78" t="str">
        <f t="array" aca="1" ref="AK2" ca="1">IF($AD2&lt;&gt;"",INDIRECT("Y"&amp;$AD2&amp;""),"")</f>
        <v/>
      </c>
      <c r="AL2" s="78" t="str">
        <f t="shared" ca="1" si="5"/>
        <v/>
      </c>
      <c r="AM2" s="78" t="str">
        <f t="shared" ref="AM2:AM33" ca="1" si="12">IF(AL2&lt;&gt;"",
IF(VALUE(AG2-AI2)&gt;VALUE(AK2*AL2),
"+"&amp;(AG2-AI2)-AK2*AL2,
(AG2-AI2)-AK2*AL2),"")</f>
        <v/>
      </c>
      <c r="AN2" s="78" t="str">
        <f t="array" aca="1" ref="AN2" ca="1">IF($AD2&lt;&gt;"",INDIRECT("Q"&amp;$AD2&amp;""),"")</f>
        <v/>
      </c>
      <c r="AO2" s="78" t="str">
        <f ca="1">IFERROR(IF(AND(AN2&lt;&gt;"",VLOOKUP(AN2,得意先マスタ!$A$1:$Z$800,24,FALSE)&lt;&gt;0),
VLOOKUP(AN2,得意先マスタ!$A$1:$Z$800,24,FALSE),""),"")</f>
        <v/>
      </c>
      <c r="AP2" s="78" t="str">
        <f ca="1">IFERROR(IF(AND(AN2&lt;&gt;"",VLOOKUP(AN2,得意先マスタ!$A$1:$Z$800,25,FALSE)&lt;&gt;0),
VLOOKUP(AN2,得意先マスタ!$A$1:$Z$800,25,FALSE),""),"")</f>
        <v/>
      </c>
      <c r="AQ2" s="78" t="str">
        <f t="shared" ca="1" si="6"/>
        <v/>
      </c>
      <c r="AR2" s="78">
        <f t="shared" ca="1" si="7"/>
        <v>0</v>
      </c>
      <c r="AS2" s="78">
        <f t="shared" ca="1" si="8"/>
        <v>0</v>
      </c>
    </row>
    <row r="3" spans="1:45">
      <c r="A3" t="str">
        <f>IF('数出表_Excel（アレルギー入力）'!AO3&lt;&gt;"",'数出表_Excel（アレルギー入力）'!AO3,"")</f>
        <v/>
      </c>
      <c r="B3" t="str">
        <f t="shared" ca="1" si="0"/>
        <v/>
      </c>
      <c r="C3" t="str">
        <f t="array" aca="1" ref="C3" ca="1">_xlfn.TEXTJOIN("",TRUE,IF(ISERROR(MID(A3,ROW(INDIRECT("1:"&amp;LEN(A3))),1)*1),"",MID(A3,ROW(INDIRECT("1:"&amp;LEN(A3))),1)))</f>
        <v/>
      </c>
      <c r="D3" t="str">
        <f t="array" aca="1" ref="D3" ca="1">IF(A3&lt;&gt;"",COLUMN(INDIRECT($B3&amp;"1")),"")</f>
        <v/>
      </c>
      <c r="E3" t="str">
        <f ca="1">IF(A3&lt;&gt;"",
IF(ISEVEN($C3),
OFFSET('数出表_Excel（アレルギー入力）'!$A$1,$C3-1,0),
OFFSET('数出表_Excel（アレルギー入力）'!$A$1,$C3-2,0)),"")</f>
        <v/>
      </c>
      <c r="F3" t="str">
        <f ca="1">IF(A3&lt;&gt;"",
IF(ISEVEN($C3),
OFFSET('数出表_Excel（アレルギー入力）'!$A$1,$C3,0),
OFFSET('数出表_Excel（アレルギー入力）'!$A$1,$C3-1,0)),"")</f>
        <v/>
      </c>
      <c r="G3" t="str">
        <f ca="1">IF(A3&lt;&gt;"",
IF(AND(OFFSET('数出表_Excel（アレルギー入力）'!$A$1,2,D3-1)&lt;&gt;"",ISTEXT(OFFSET('数出表_Excel（アレルギー入力）'!$A$1,2,D3-1))),OFFSET('数出表_Excel（アレルギー入力）'!$A$1,2,D3-1),""),"")</f>
        <v/>
      </c>
      <c r="H3" t="str">
        <f ca="1">IF(A3&lt;&gt;"",
IF(AND(OFFSET('数出表_Excel（アレルギー入力）'!$A$1,3,D3-1)&lt;&gt;"",ISTEXT(OFFSET('数出表_Excel（アレルギー入力）'!$A$1,3,D3-1))),OFFSET('数出表_Excel（アレルギー入力）'!$A$1,3,D3-1),""),"")</f>
        <v/>
      </c>
      <c r="I3" t="str">
        <f ca="1">IF(A3&lt;&gt;"",
IF(OFFSET('数出表_Excel（アレルギー入力）'!$A$1,4,D3-1)&lt;&gt;"",OFFSET('数出表_Excel（アレルギー入力）'!$A$1,4,D3-1),""),"")</f>
        <v/>
      </c>
      <c r="J3" t="str">
        <f t="shared" ca="1" si="1"/>
        <v/>
      </c>
      <c r="K3" t="str">
        <f ca="1">IF(A3&lt;&gt;"",
IF(ISEVEN($D3),
IF(ISEVEN($C3),
OFFSET('数出表_Excel（アレルギー入力）'!$A$1,$C3-1,D3-1),
OFFSET('数出表_Excel（アレルギー入力）'!$A$1,$C3-2,D3-1)),
IF(ISEVEN($C3),
OFFSET('数出表_Excel（アレルギー入力）'!$A$1,$C3-1,D3-2),
OFFSET('数出表_Excel（アレルギー入力）'!$A$1,$C3-2,D3-2))),"")</f>
        <v/>
      </c>
      <c r="L3" t="str">
        <f ca="1">IF(A3&lt;&gt;"",
IF(ISEVEN($D3),
IF(ISEVEN($C3),
OFFSET('数出表_Excel（アレルギー入力）'!$A$1,$C3,D3-1),
OFFSET('数出表_Excel（アレルギー入力）'!$A$1,$C3-1,D3-1)),
IF(ISEVEN($C3),
OFFSET('数出表_Excel（アレルギー入力）'!$A$1,$C3,D3-2),
OFFSET('数出表_Excel（アレルギー入力）'!$A$1,$C3-1,D3-2))),"")</f>
        <v/>
      </c>
      <c r="M3" t="str">
        <f ca="1">IF(A3&lt;&gt;"",
IF(ISEVEN($D3),
OFFSET('数出表_Excel（アレルギー入力）'!$A$1,$C3-1,D3),
OFFSET('数出表_Excel（アレルギー入力）'!$A$1,$C3-1,D3-1)),"")</f>
        <v/>
      </c>
      <c r="O3" t="str">
        <f>IF(A3&lt;&gt;"",VLOOKUP(G3,注文弁当の抽出!F:G,2,FALSE),"")</f>
        <v/>
      </c>
      <c r="P3" t="str">
        <f ca="1">IF(AND(N3=0, COUNTIFS($E$1:E3,E3)=1), E3,
IF(COUNTIF(F3,"*雙葉*"),E3,""))</f>
        <v/>
      </c>
      <c r="Q3" s="126" t="str" cm="1">
        <f t="array" aca="1" ref="Q3" ca="1">IFERROR(INDEX($P$1:$P$100, SMALL(IF($P$1:$P$100&lt;&gt;"", ROW($P$1:$P$100)), ROW(Q3))), "")</f>
        <v/>
      </c>
      <c r="R3" s="126" t="str">
        <f t="shared" ca="1" si="9"/>
        <v/>
      </c>
      <c r="S3" s="126" t="str">
        <f t="shared" ca="1" si="10"/>
        <v/>
      </c>
      <c r="T3" s="126" t="str">
        <f t="shared" ca="1" si="10"/>
        <v/>
      </c>
      <c r="U3" s="126" t="str">
        <f t="shared" ca="1" si="10"/>
        <v/>
      </c>
      <c r="V3" s="126" t="str">
        <f t="shared" ca="1" si="10"/>
        <v/>
      </c>
      <c r="W3" s="126" t="str">
        <f t="shared" ca="1" si="11"/>
        <v/>
      </c>
      <c r="X3" s="126" t="str" cm="1">
        <f t="array" aca="1" ref="X3" ca="1">IF($Q3&lt;&gt;"",INDIRECT("A"&amp;MATCH(Q3,$E$1:$E$100,0)+ROW()-1&amp;""),"")</f>
        <v/>
      </c>
      <c r="Y3" t="str">
        <f ca="1">IF(Q3&lt;&gt;"",
IF(COUNTIF(S3,"*キャラ*"),
VLOOKUP("*キャラ*",商品マスタ!$D:$E,2,FALSE),
IF(COUNTIF(S3,"*赤*"),
VLOOKUP("*赤*",商品マスタ!$D:$E,2,FALSE),
VLOOKUP("*"&amp;S3&amp;"*",商品マスタ!$D:$E,2,FALSE))),"")</f>
        <v/>
      </c>
      <c r="Z3" t="str">
        <f ca="1">IF(Q3&lt;&gt;"",
IF(OR(COUNTIF(R3,"*雙葉*"),COUNTIF(R3,"*香蘭*")),
IF(ROUND((T3-V3)/Y3,0)&lt;=0,1,
ROUND((T3-V3)/Y3,0)),
IF(OR(COUNTIF(S3,"*キャラ*"),COUNTIF(S3,"*赤*")),"",
IF(Y3=0,"",
IF(ROUND((T3-V3)/Y3,0)&lt;=0,1,
ROUND((T3-V3)/Y3,0))))),"")</f>
        <v/>
      </c>
      <c r="AA3" t="str">
        <f t="shared" ca="1" si="3"/>
        <v/>
      </c>
      <c r="AC3" t="str">
        <f t="shared" ca="1" si="4"/>
        <v/>
      </c>
      <c r="AD3" s="78" t="str">
        <f t="array" aca="1" ref="AD3" ca="1">IF(AND(IFERROR(COUNTIF(INDIRECT("R"&amp;IFERROR(SMALL(IF(AC$1:AC$140&lt;&gt;0,AC$1:AC$140),ROW(A3)),"")&amp;""),"*雙葉*"),0),COUNTIF(AE$1:AE2,"*雙葉*")),"",
IFERROR(SMALL(IF(AC$1:AC$140&lt;&gt;0,AC$1:AC$140),ROW(A3)),""))</f>
        <v/>
      </c>
      <c r="AE3" s="78" t="str">
        <f t="array" aca="1" ref="AE3" ca="1">IF($AD3&lt;&gt;"",INDIRECT("R"&amp;$AD3&amp;""),"")</f>
        <v/>
      </c>
      <c r="AF3" s="78" t="str">
        <f t="array" aca="1" ref="AF3" ca="1">IF($AD3&lt;&gt;"",
IF(INDIRECT("S"&amp;$AD3&amp;"")&lt;&gt;"",INDIRECT("S"&amp;$AD3&amp;""),""),"")</f>
        <v/>
      </c>
      <c r="AG3" s="78" t="str" cm="1">
        <f t="array" aca="1" ref="AG3" ca="1">IFERROR(IF($AD3&lt;&gt;"",INDIRECT("T"&amp;$AD3&amp;""),"")
+IF(COUNTIF(AE3,"*雙葉*"),
IFERROR(INDIRECT("T"&amp;MATCH("*雙葉*",INDIRECT("R"&amp;AD3+1&amp;":$R$140"),0)+ROW()&amp;""),0),0)
+IF(OR(COUNTIF(AO3,"*管理*"),COUNTIF(AO3,"予備")),
AQ3,0),"")</f>
        <v/>
      </c>
      <c r="AH3" s="78" t="str" cm="1">
        <f t="array" aca="1" ref="AH3" ca="1">IFERROR(IF($AD3&lt;&gt;"",INDIRECT("U"&amp;$AD3&amp;""),"")
+IF(COUNTIF(AE3,"*雙葉*"),
IFERROR(INDIRECT("U"&amp;MATCH("*雙葉*",INDIRECT("R"&amp;AD3+1&amp;":$R$140"),0)+ROW()&amp;""),0),0),"")</f>
        <v/>
      </c>
      <c r="AI3" s="78" t="str" cm="1">
        <f t="array" aca="1" ref="AI3" ca="1">IFERROR(IF($AD3&lt;&gt;"",INDIRECT("V"&amp;$AD3&amp;""),"")
+IF(COUNTIF(AE3,"*雙葉*"),
IFERROR(INDIRECT("V"&amp;MATCH("*雙葉*",INDIRECT("R"&amp;AD3+1&amp;":$R$140"),0)+ROW()&amp;""),0),0),"")</f>
        <v/>
      </c>
      <c r="AJ3" s="78" t="str">
        <f t="array" aca="1" ref="AJ3" ca="1">IF($AD3&lt;&gt;"",INDIRECT("W"&amp;$AD3&amp;""),"")</f>
        <v/>
      </c>
      <c r="AK3" s="78" t="str">
        <f t="array" aca="1" ref="AK3" ca="1">IF($AD3&lt;&gt;"",INDIRECT("Y"&amp;$AD3&amp;""),"")</f>
        <v/>
      </c>
      <c r="AL3" s="78" t="str">
        <f t="shared" ca="1" si="5"/>
        <v/>
      </c>
      <c r="AM3" s="78" t="str">
        <f t="shared" ca="1" si="12"/>
        <v/>
      </c>
      <c r="AN3" s="78" t="str">
        <f t="array" aca="1" ref="AN3" ca="1">IF($AD3&lt;&gt;"",INDIRECT("Q"&amp;$AD3&amp;""),"")</f>
        <v/>
      </c>
      <c r="AO3" s="78" t="str">
        <f ca="1">IFERROR(IF(AND(AN3&lt;&gt;"",VLOOKUP(AN3,得意先マスタ!$A$1:$Z$800,24,FALSE)&lt;&gt;0),
VLOOKUP(AN3,得意先マスタ!$A$1:$Z$800,24,FALSE),""),"")</f>
        <v/>
      </c>
      <c r="AP3" s="78" t="str">
        <f ca="1">IFERROR(IF(AND(AN3&lt;&gt;"",VLOOKUP(AN3,得意先マスタ!$A$1:$Z$800,25,FALSE)&lt;&gt;0),
VLOOKUP(AN3,得意先マスタ!$A$1:$Z$800,25,FALSE),""),"")</f>
        <v/>
      </c>
      <c r="AQ3" s="78" t="str">
        <f t="shared" ca="1" si="6"/>
        <v/>
      </c>
      <c r="AR3" s="78">
        <f t="shared" ca="1" si="7"/>
        <v>0</v>
      </c>
      <c r="AS3" s="78">
        <f t="shared" ca="1" si="8"/>
        <v>0</v>
      </c>
    </row>
    <row r="4" spans="1:45">
      <c r="A4" t="str">
        <f>IF('数出表_Excel（アレルギー入力）'!AO4&lt;&gt;"",'数出表_Excel（アレルギー入力）'!AO4,"")</f>
        <v/>
      </c>
      <c r="B4" t="str">
        <f t="shared" ca="1" si="0"/>
        <v/>
      </c>
      <c r="C4" t="str">
        <f t="array" aca="1" ref="C4" ca="1">_xlfn.TEXTJOIN("",TRUE,IF(ISERROR(MID(A4,ROW(INDIRECT("1:"&amp;LEN(A4))),1)*1),"",MID(A4,ROW(INDIRECT("1:"&amp;LEN(A4))),1)))</f>
        <v/>
      </c>
      <c r="D4" t="str">
        <f t="array" aca="1" ref="D4" ca="1">IF(A4&lt;&gt;"",COLUMN(INDIRECT($B4&amp;"1")),"")</f>
        <v/>
      </c>
      <c r="E4" t="str">
        <f ca="1">IF(A4&lt;&gt;"",
IF(ISEVEN($C4),
OFFSET('数出表_Excel（アレルギー入力）'!$A$1,$C4-1,0),
OFFSET('数出表_Excel（アレルギー入力）'!$A$1,$C4-2,0)),"")</f>
        <v/>
      </c>
      <c r="F4" t="str">
        <f ca="1">IF(A4&lt;&gt;"",
IF(ISEVEN($C4),
OFFSET('数出表_Excel（アレルギー入力）'!$A$1,$C4,0),
OFFSET('数出表_Excel（アレルギー入力）'!$A$1,$C4-1,0)),"")</f>
        <v/>
      </c>
      <c r="G4" t="str">
        <f ca="1">IF(A4&lt;&gt;"",
IF(AND(OFFSET('数出表_Excel（アレルギー入力）'!$A$1,2,D4-1)&lt;&gt;"",ISTEXT(OFFSET('数出表_Excel（アレルギー入力）'!$A$1,2,D4-1))),OFFSET('数出表_Excel（アレルギー入力）'!$A$1,2,D4-1),""),"")</f>
        <v/>
      </c>
      <c r="H4" t="str">
        <f ca="1">IF(A4&lt;&gt;"",
IF(AND(OFFSET('数出表_Excel（アレルギー入力）'!$A$1,3,D4-1)&lt;&gt;"",ISTEXT(OFFSET('数出表_Excel（アレルギー入力）'!$A$1,3,D4-1))),OFFSET('数出表_Excel（アレルギー入力）'!$A$1,3,D4-1),""),"")</f>
        <v/>
      </c>
      <c r="I4" t="str">
        <f ca="1">IF(A4&lt;&gt;"",
IF(OFFSET('数出表_Excel（アレルギー入力）'!$A$1,4,D4-1)&lt;&gt;"",OFFSET('数出表_Excel（アレルギー入力）'!$A$1,4,D4-1),""),"")</f>
        <v/>
      </c>
      <c r="J4" t="str">
        <f t="shared" ca="1" si="1"/>
        <v/>
      </c>
      <c r="K4" t="str">
        <f ca="1">IF(A4&lt;&gt;"",
IF(ISEVEN($D4),
IF(ISEVEN($C4),
OFFSET('数出表_Excel（アレルギー入力）'!$A$1,$C4-1,D4-1),
OFFSET('数出表_Excel（アレルギー入力）'!$A$1,$C4-2,D4-1)),
IF(ISEVEN($C4),
OFFSET('数出表_Excel（アレルギー入力）'!$A$1,$C4-1,D4-2),
OFFSET('数出表_Excel（アレルギー入力）'!$A$1,$C4-2,D4-2))),"")</f>
        <v/>
      </c>
      <c r="L4" t="str">
        <f ca="1">IF(A4&lt;&gt;"",
IF(ISEVEN($D4),
IF(ISEVEN($C4),
OFFSET('数出表_Excel（アレルギー入力）'!$A$1,$C4,D4-1),
OFFSET('数出表_Excel（アレルギー入力）'!$A$1,$C4-1,D4-1)),
IF(ISEVEN($C4),
OFFSET('数出表_Excel（アレルギー入力）'!$A$1,$C4,D4-2),
OFFSET('数出表_Excel（アレルギー入力）'!$A$1,$C4-1,D4-2))),"")</f>
        <v/>
      </c>
      <c r="M4" t="str">
        <f ca="1">IF(A4&lt;&gt;"",
IF(ISEVEN($D4),
OFFSET('数出表_Excel（アレルギー入力）'!$A$1,$C4-1,D4),
OFFSET('数出表_Excel（アレルギー入力）'!$A$1,$C4-1,D4-1)),"")</f>
        <v/>
      </c>
      <c r="O4" t="str">
        <f>IF(A4&lt;&gt;"",VLOOKUP(G4,注文弁当の抽出!F:G,2,FALSE),"")</f>
        <v/>
      </c>
      <c r="P4" t="str">
        <f ca="1">IF(AND(N4=0, COUNTIFS($E$1:E4,E4)=1), E4,
IF(COUNTIF(F4,"*雙葉*"),E4,""))</f>
        <v/>
      </c>
      <c r="Q4" s="126" t="str" cm="1">
        <f t="array" aca="1" ref="Q4" ca="1">IFERROR(INDEX($P$1:$P$100, SMALL(IF($P$1:$P$100&lt;&gt;"", ROW($P$1:$P$100)), ROW(Q4))), "")</f>
        <v/>
      </c>
      <c r="R4" s="126" t="str">
        <f t="shared" ca="1" si="9"/>
        <v/>
      </c>
      <c r="S4" s="126" t="str">
        <f t="shared" ca="1" si="10"/>
        <v/>
      </c>
      <c r="T4" s="126" t="str">
        <f t="shared" ca="1" si="10"/>
        <v/>
      </c>
      <c r="U4" s="126" t="str">
        <f t="shared" ca="1" si="10"/>
        <v/>
      </c>
      <c r="V4" s="126" t="str">
        <f t="shared" ca="1" si="10"/>
        <v/>
      </c>
      <c r="W4" s="126" t="str">
        <f t="shared" ca="1" si="11"/>
        <v/>
      </c>
      <c r="X4" s="126" t="str" cm="1">
        <f t="array" aca="1" ref="X4" ca="1">IF($Q4&lt;&gt;"",INDIRECT("A"&amp;MATCH(Q4,$E$1:$E$100,0)+ROW()-1&amp;""),"")</f>
        <v/>
      </c>
      <c r="Y4" t="str">
        <f ca="1">IF(Q4&lt;&gt;"",
IF(COUNTIF(S4,"*キャラ*"),
VLOOKUP("*キャラ*",商品マスタ!$D:$E,2,FALSE),
IF(COUNTIF(S4,"*赤*"),
VLOOKUP("*赤*",商品マスタ!$D:$E,2,FALSE),
VLOOKUP("*"&amp;S4&amp;"*",商品マスタ!$D:$E,2,FALSE))),"")</f>
        <v/>
      </c>
      <c r="Z4" t="str">
        <f t="shared" ref="Z4:Z67" ca="1" si="13">IF(Q4&lt;&gt;"",
IF(OR(COUNTIF(R4,"*雙葉*"),COUNTIF(R4,"*香蘭*")),
IF(ROUND((T4-V4)/Y4,0)&lt;=0,1,
ROUND((T4-V4)/Y4,0)),
IF(OR(COUNTIF(S4,"*キャラ*"),COUNTIF(S4,"*赤*")),"",
IF(Y4=0,"",
IF(ROUND((T4-V4)/Y4,0)&lt;=0,1,
ROUND((T4-V4)/Y4,0))))),"")</f>
        <v/>
      </c>
      <c r="AA4" t="str">
        <f ca="1">IF(Z4&lt;&gt;"",
IF(VALUE(T4-V4)&gt;VALUE(Y4*Z4),
"+"&amp;(T4-V4)-Y4*Z4,
(T4-V4)-Y4*Z4),"")</f>
        <v/>
      </c>
      <c r="AC4" t="str">
        <f t="shared" ca="1" si="4"/>
        <v/>
      </c>
      <c r="AD4" s="78" t="str">
        <f t="array" aca="1" ref="AD4" ca="1">IF(AND(IFERROR(COUNTIF(INDIRECT("R"&amp;IFERROR(SMALL(IF(AC$1:AC$140&lt;&gt;0,AC$1:AC$140),ROW(A4)),"")&amp;""),"*雙葉*"),0),COUNTIF(AE$1:AE3,"*雙葉*")),"",
IFERROR(SMALL(IF(AC$1:AC$140&lt;&gt;0,AC$1:AC$140),ROW(A4)),""))</f>
        <v/>
      </c>
      <c r="AE4" s="78" t="str">
        <f t="array" aca="1" ref="AE4" ca="1">IF($AD4&lt;&gt;"",INDIRECT("R"&amp;$AD4&amp;""),"")</f>
        <v/>
      </c>
      <c r="AF4" s="78" t="str">
        <f t="array" aca="1" ref="AF4" ca="1">IF($AD4&lt;&gt;"",
IF(INDIRECT("S"&amp;$AD4&amp;"")&lt;&gt;"",INDIRECT("S"&amp;$AD4&amp;""),""),"")</f>
        <v/>
      </c>
      <c r="AG4" s="78" t="str" cm="1">
        <f t="array" aca="1" ref="AG4" ca="1">IFERROR(IF($AD4&lt;&gt;"",INDIRECT("T"&amp;$AD4&amp;""),"")
+IF(COUNTIF(AE4,"*雙葉*"),
IFERROR(INDIRECT("T"&amp;MATCH("*雙葉*",INDIRECT("R"&amp;AD4+1&amp;":$R$140"),0)+ROW()&amp;""),0),0)
+IF(OR(COUNTIF(AO4,"*管理*"),COUNTIF(AO4,"予備")),
AQ4,0),"")</f>
        <v/>
      </c>
      <c r="AH4" s="78" t="str" cm="1">
        <f t="array" aca="1" ref="AH4" ca="1">IFERROR(IF($AD4&lt;&gt;"",INDIRECT("U"&amp;$AD4&amp;""),"")
+IF(COUNTIF(AE4,"*雙葉*"),
IFERROR(INDIRECT("U"&amp;MATCH("*雙葉*",INDIRECT("R"&amp;AD4+1&amp;":$R$140"),0)+ROW()&amp;""),0),0),"")</f>
        <v/>
      </c>
      <c r="AI4" s="78" t="str" cm="1">
        <f t="array" aca="1" ref="AI4" ca="1">IFERROR(IF($AD4&lt;&gt;"",INDIRECT("V"&amp;$AD4&amp;""),"")
+IF(COUNTIF(AE4,"*雙葉*"),
IFERROR(INDIRECT("V"&amp;MATCH("*雙葉*",INDIRECT("R"&amp;AD4+1&amp;":$R$140"),0)+ROW()&amp;""),0),0),"")</f>
        <v/>
      </c>
      <c r="AJ4" s="78" t="str">
        <f t="array" aca="1" ref="AJ4" ca="1">IF($AD4&lt;&gt;"",INDIRECT("W"&amp;$AD4&amp;""),"")</f>
        <v/>
      </c>
      <c r="AK4" s="78" t="str">
        <f t="array" aca="1" ref="AK4" ca="1">IF($AD4&lt;&gt;"",INDIRECT("Y"&amp;$AD4&amp;""),"")</f>
        <v/>
      </c>
      <c r="AL4" s="78" t="str">
        <f ca="1">IF(AD4&lt;&gt;"",
IFERROR(
IF(OR(COUNTIF(AE4,"*雙葉*"),COUNTIF(AE4,"*香蘭*")),
IF(ROUND((AG4-AI4)/AK4,0)&lt;=0,1,
ROUND((AG4-AI4)/AK4,0)),
IF(OR(COUNTIF(AF4,"*キャラ*"),COUNTIF(AF4,"*赤*")),"",
IF(AK4=0,"",
IF(ROUND((AG4-AI4)/AK4,0)&lt;=0,1,
ROUND((AG4-AI4)/AK4,0))))),""),"")</f>
        <v/>
      </c>
      <c r="AM4" s="78" t="str">
        <f t="shared" ca="1" si="12"/>
        <v/>
      </c>
      <c r="AN4" s="78" t="str">
        <f t="array" aca="1" ref="AN4" ca="1">IF($AD4&lt;&gt;"",INDIRECT("Q"&amp;$AD4&amp;""),"")</f>
        <v/>
      </c>
      <c r="AO4" s="78" t="str">
        <f ca="1">IFERROR(IF(AND(AN4&lt;&gt;"",VLOOKUP(AN4,得意先マスタ!$A$1:$Z$800,24,FALSE)&lt;&gt;0),
VLOOKUP(AN4,得意先マスタ!$A$1:$Z$800,24,FALSE),""),"")</f>
        <v/>
      </c>
      <c r="AP4" s="78" t="str">
        <f ca="1">IFERROR(IF(AND(AN4&lt;&gt;"",VLOOKUP(AN4,得意先マスタ!$A$1:$Z$800,25,FALSE)&lt;&gt;0),
VLOOKUP(AN4,得意先マスタ!$A$1:$Z$800,25,FALSE),""),"")</f>
        <v/>
      </c>
      <c r="AQ4" s="78" t="str">
        <f t="shared" ca="1" si="6"/>
        <v/>
      </c>
      <c r="AR4" s="78">
        <f t="shared" ca="1" si="7"/>
        <v>0</v>
      </c>
      <c r="AS4" s="78">
        <f t="shared" ca="1" si="8"/>
        <v>0</v>
      </c>
    </row>
    <row r="5" spans="1:45">
      <c r="A5" t="str">
        <f>IF('数出表_Excel（アレルギー入力）'!AO5&lt;&gt;"",'数出表_Excel（アレルギー入力）'!AO5,"")</f>
        <v/>
      </c>
      <c r="B5" t="str">
        <f t="shared" ca="1" si="0"/>
        <v/>
      </c>
      <c r="C5" t="str">
        <f t="array" aca="1" ref="C5" ca="1">_xlfn.TEXTJOIN("",TRUE,IF(ISERROR(MID(A5,ROW(INDIRECT("1:"&amp;LEN(A5))),1)*1),"",MID(A5,ROW(INDIRECT("1:"&amp;LEN(A5))),1)))</f>
        <v/>
      </c>
      <c r="D5" t="str">
        <f t="array" aca="1" ref="D5" ca="1">IF(A5&lt;&gt;"",COLUMN(INDIRECT($B5&amp;"1")),"")</f>
        <v/>
      </c>
      <c r="E5" t="str">
        <f ca="1">IF(A5&lt;&gt;"",
IF(ISEVEN($C5),
OFFSET('数出表_Excel（アレルギー入力）'!$A$1,$C5-1,0),
OFFSET('数出表_Excel（アレルギー入力）'!$A$1,$C5-2,0)),"")</f>
        <v/>
      </c>
      <c r="F5" t="str">
        <f ca="1">IF(A5&lt;&gt;"",
IF(ISEVEN($C5),
OFFSET('数出表_Excel（アレルギー入力）'!$A$1,$C5,0),
OFFSET('数出表_Excel（アレルギー入力）'!$A$1,$C5-1,0)),"")</f>
        <v/>
      </c>
      <c r="G5" t="str">
        <f ca="1">IF(A5&lt;&gt;"",
IF(AND(OFFSET('数出表_Excel（アレルギー入力）'!$A$1,2,D5-1)&lt;&gt;"",ISTEXT(OFFSET('数出表_Excel（アレルギー入力）'!$A$1,2,D5-1))),OFFSET('数出表_Excel（アレルギー入力）'!$A$1,2,D5-1),""),"")</f>
        <v/>
      </c>
      <c r="H5" t="str">
        <f ca="1">IF(A5&lt;&gt;"",
IF(AND(OFFSET('数出表_Excel（アレルギー入力）'!$A$1,3,D5-1)&lt;&gt;"",ISTEXT(OFFSET('数出表_Excel（アレルギー入力）'!$A$1,3,D5-1))),OFFSET('数出表_Excel（アレルギー入力）'!$A$1,3,D5-1),""),"")</f>
        <v/>
      </c>
      <c r="I5" t="str">
        <f ca="1">IF(A5&lt;&gt;"",
IF(OFFSET('数出表_Excel（アレルギー入力）'!$A$1,4,D5-1)&lt;&gt;"",OFFSET('数出表_Excel（アレルギー入力）'!$A$1,4,D5-1),""),"")</f>
        <v/>
      </c>
      <c r="J5" t="str">
        <f t="shared" ca="1" si="1"/>
        <v/>
      </c>
      <c r="K5" t="str">
        <f ca="1">IF(A5&lt;&gt;"",
IF(ISEVEN($D5),
IF(ISEVEN($C5),
OFFSET('数出表_Excel（アレルギー入力）'!$A$1,$C5-1,D5-1),
OFFSET('数出表_Excel（アレルギー入力）'!$A$1,$C5-2,D5-1)),
IF(ISEVEN($C5),
OFFSET('数出表_Excel（アレルギー入力）'!$A$1,$C5-1,D5-2),
OFFSET('数出表_Excel（アレルギー入力）'!$A$1,$C5-2,D5-2))),"")</f>
        <v/>
      </c>
      <c r="L5" t="str">
        <f ca="1">IF(A5&lt;&gt;"",
IF(ISEVEN($D5),
IF(ISEVEN($C5),
OFFSET('数出表_Excel（アレルギー入力）'!$A$1,$C5,D5-1),
OFFSET('数出表_Excel（アレルギー入力）'!$A$1,$C5-1,D5-1)),
IF(ISEVEN($C5),
OFFSET('数出表_Excel（アレルギー入力）'!$A$1,$C5,D5-2),
OFFSET('数出表_Excel（アレルギー入力）'!$A$1,$C5-1,D5-2))),"")</f>
        <v/>
      </c>
      <c r="M5" t="str">
        <f ca="1">IF(A5&lt;&gt;"",
IF(ISEVEN($D5),
OFFSET('数出表_Excel（アレルギー入力）'!$A$1,$C5-1,D5),
OFFSET('数出表_Excel（アレルギー入力）'!$A$1,$C5-1,D5-1)),"")</f>
        <v/>
      </c>
      <c r="O5" t="str">
        <f>IF(A5&lt;&gt;"",VLOOKUP(G5,注文弁当の抽出!F:G,2,FALSE),"")</f>
        <v/>
      </c>
      <c r="P5" t="str">
        <f ca="1">IF(AND(N5=0, COUNTIFS($E$1:E5,E5)=1), E5,
IF(COUNTIF(F5,"*雙葉*"),E5,""))</f>
        <v/>
      </c>
      <c r="Q5" s="126" t="str" cm="1">
        <f t="array" aca="1" ref="Q5" ca="1">IFERROR(INDEX($P$1:$P$100, SMALL(IF($P$1:$P$100&lt;&gt;"", ROW($P$1:$P$100)), ROW(Q5))), "")</f>
        <v/>
      </c>
      <c r="R5" s="126" t="str">
        <f t="shared" ca="1" si="9"/>
        <v/>
      </c>
      <c r="S5" s="126" t="str">
        <f t="shared" ca="1" si="10"/>
        <v/>
      </c>
      <c r="T5" s="126" t="str">
        <f t="shared" ca="1" si="10"/>
        <v/>
      </c>
      <c r="U5" s="126" t="str">
        <f t="shared" ca="1" si="10"/>
        <v/>
      </c>
      <c r="V5" s="126" t="str">
        <f t="shared" ca="1" si="10"/>
        <v/>
      </c>
      <c r="W5" s="126" t="str">
        <f t="shared" ca="1" si="11"/>
        <v/>
      </c>
      <c r="X5" s="126" t="str" cm="1">
        <f t="array" aca="1" ref="X5" ca="1">IF($Q5&lt;&gt;"",INDIRECT("A"&amp;MATCH(Q5,$E$1:$E$100,0)+ROW()-1&amp;""),"")</f>
        <v/>
      </c>
      <c r="Y5" t="str">
        <f ca="1">IF(Q5&lt;&gt;"",
IF(COUNTIF(S5,"*キャラ*"),
VLOOKUP("*キャラ*",商品マスタ!$D:$E,2,FALSE),
IF(COUNTIF(S5,"*赤*"),
VLOOKUP("*赤*",商品マスタ!$D:$E,2,FALSE),
VLOOKUP("*"&amp;S5&amp;"*",商品マスタ!$D:$E,2,FALSE))),"")</f>
        <v/>
      </c>
      <c r="Z5" t="str">
        <f t="shared" ca="1" si="13"/>
        <v/>
      </c>
      <c r="AA5" t="str">
        <f t="shared" ca="1" si="3"/>
        <v/>
      </c>
      <c r="AC5" t="str">
        <f t="shared" ca="1" si="4"/>
        <v/>
      </c>
      <c r="AD5" s="78" t="str">
        <f t="array" aca="1" ref="AD5" ca="1">IF(AND(IFERROR(COUNTIF(INDIRECT("R"&amp;IFERROR(SMALL(IF(AC$1:AC$140&lt;&gt;0,AC$1:AC$140),ROW(A5)),"")&amp;""),"*雙葉*"),0),COUNTIF(AE$1:AE4,"*雙葉*")),"",
IFERROR(SMALL(IF(AC$1:AC$140&lt;&gt;0,AC$1:AC$140),ROW(A5)),""))</f>
        <v/>
      </c>
      <c r="AE5" s="78" t="str">
        <f t="array" aca="1" ref="AE5" ca="1">IF($AD5&lt;&gt;"",INDIRECT("R"&amp;$AD5&amp;""),"")</f>
        <v/>
      </c>
      <c r="AF5" s="78" t="str">
        <f t="array" aca="1" ref="AF5" ca="1">IF($AD5&lt;&gt;"",
IF(INDIRECT("S"&amp;$AD5&amp;"")&lt;&gt;"",INDIRECT("S"&amp;$AD5&amp;""),""),"")</f>
        <v/>
      </c>
      <c r="AG5" s="78" t="str" cm="1">
        <f t="array" aca="1" ref="AG5" ca="1">IFERROR(IF($AD5&lt;&gt;"",INDIRECT("T"&amp;$AD5&amp;""),"")
+IF(COUNTIF(AE5,"*雙葉*"),
IFERROR(INDIRECT("T"&amp;MATCH("*雙葉*",INDIRECT("R"&amp;AD5+1&amp;":$R$140"),0)+ROW()&amp;""),0),0)
+IF(OR(COUNTIF(AO5,"*管理*"),COUNTIF(AO5,"予備")),
AQ5,0),"")</f>
        <v/>
      </c>
      <c r="AH5" s="78" t="str" cm="1">
        <f t="array" aca="1" ref="AH5" ca="1">IFERROR(IF($AD5&lt;&gt;"",INDIRECT("U"&amp;$AD5&amp;""),"")
+IF(COUNTIF(AE5,"*雙葉*"),
IFERROR(INDIRECT("U"&amp;MATCH("*雙葉*",INDIRECT("R"&amp;AD5+1&amp;":$R$140"),0)+ROW()&amp;""),0),0),"")</f>
        <v/>
      </c>
      <c r="AI5" s="78" t="str" cm="1">
        <f t="array" aca="1" ref="AI5" ca="1">IFERROR(IF($AD5&lt;&gt;"",INDIRECT("V"&amp;$AD5&amp;""),"")
+IF(COUNTIF(AE5,"*雙葉*"),
IFERROR(INDIRECT("V"&amp;MATCH("*雙葉*",INDIRECT("R"&amp;AD5+1&amp;":$R$140"),0)+ROW()&amp;""),0),0),"")</f>
        <v/>
      </c>
      <c r="AJ5" s="78" t="str">
        <f t="array" aca="1" ref="AJ5" ca="1">IF($AD5&lt;&gt;"",INDIRECT("W"&amp;$AD5&amp;""),"")</f>
        <v/>
      </c>
      <c r="AK5" s="78" t="str">
        <f t="array" aca="1" ref="AK5" ca="1">IF($AD5&lt;&gt;"",INDIRECT("Y"&amp;$AD5&amp;""),"")</f>
        <v/>
      </c>
      <c r="AL5" s="78" t="str">
        <f t="shared" ref="AL5:AL68" ca="1" si="14">IF(AD5&lt;&gt;"",
IFERROR(
IF(OR(COUNTIF(AE5,"*雙葉*"),COUNTIF(AE5,"*香蘭*")),
IF(ROUND((AG5-AI5)/AK5,0)&lt;=0,1,
ROUND((AG5-AI5)/AK5,0)),
IF(OR(COUNTIF(AF5,"*キャラ*"),COUNTIF(AF5,"*赤*")),"",
IF(AK5=0,"",
IF(ROUND((AG5-AI5)/AK5,0)&lt;=0,1,
ROUND((AG5-AI5)/AK5,0))))),""),"")</f>
        <v/>
      </c>
      <c r="AM5" s="78" t="str">
        <f t="shared" ca="1" si="12"/>
        <v/>
      </c>
      <c r="AN5" s="78" t="str">
        <f t="array" aca="1" ref="AN5" ca="1">IF($AD5&lt;&gt;"",INDIRECT("Q"&amp;$AD5&amp;""),"")</f>
        <v/>
      </c>
      <c r="AO5" s="78" t="str">
        <f ca="1">IFERROR(IF(AND(AN5&lt;&gt;"",VLOOKUP(AN5,得意先マスタ!$A$1:$Z$800,24,FALSE)&lt;&gt;0),
VLOOKUP(AN5,得意先マスタ!$A$1:$Z$800,24,FALSE),""),"")</f>
        <v/>
      </c>
      <c r="AP5" s="78" t="str">
        <f ca="1">IFERROR(IF(AND(AN5&lt;&gt;"",VLOOKUP(AN5,得意先マスタ!$A$1:$Z$800,25,FALSE)&lt;&gt;0),
VLOOKUP(AN5,得意先マスタ!$A$1:$Z$800,25,FALSE),""),"")</f>
        <v/>
      </c>
      <c r="AQ5" s="78" t="str">
        <f t="shared" ca="1" si="6"/>
        <v/>
      </c>
      <c r="AR5" s="78">
        <f t="shared" ca="1" si="7"/>
        <v>0</v>
      </c>
      <c r="AS5" s="78">
        <f t="shared" ca="1" si="8"/>
        <v>0</v>
      </c>
    </row>
    <row r="6" spans="1:45">
      <c r="A6" t="str">
        <f>IF('数出表_Excel（アレルギー入力）'!AO6&lt;&gt;"",'数出表_Excel（アレルギー入力）'!AO6,"")</f>
        <v/>
      </c>
      <c r="B6" t="str">
        <f t="shared" ca="1" si="0"/>
        <v/>
      </c>
      <c r="C6" t="str">
        <f t="array" aca="1" ref="C6" ca="1">_xlfn.TEXTJOIN("",TRUE,IF(ISERROR(MID(A6,ROW(INDIRECT("1:"&amp;LEN(A6))),1)*1),"",MID(A6,ROW(INDIRECT("1:"&amp;LEN(A6))),1)))</f>
        <v/>
      </c>
      <c r="D6" t="str">
        <f t="array" aca="1" ref="D6" ca="1">IF(A6&lt;&gt;"",COLUMN(INDIRECT($B6&amp;"1")),"")</f>
        <v/>
      </c>
      <c r="E6" t="str">
        <f ca="1">IF(A6&lt;&gt;"",
IF(ISEVEN($C6),
OFFSET('数出表_Excel（アレルギー入力）'!$A$1,$C6-1,0),
OFFSET('数出表_Excel（アレルギー入力）'!$A$1,$C6-2,0)),"")</f>
        <v/>
      </c>
      <c r="F6" t="str">
        <f ca="1">IF(A6&lt;&gt;"",
IF(ISEVEN($C6),
OFFSET('数出表_Excel（アレルギー入力）'!$A$1,$C6,0),
OFFSET('数出表_Excel（アレルギー入力）'!$A$1,$C6-1,0)),"")</f>
        <v/>
      </c>
      <c r="G6" t="str">
        <f ca="1">IF(A6&lt;&gt;"",
IF(AND(OFFSET('数出表_Excel（アレルギー入力）'!$A$1,2,D6-1)&lt;&gt;"",ISTEXT(OFFSET('数出表_Excel（アレルギー入力）'!$A$1,2,D6-1))),OFFSET('数出表_Excel（アレルギー入力）'!$A$1,2,D6-1),""),"")</f>
        <v/>
      </c>
      <c r="H6" t="str">
        <f ca="1">IF(A6&lt;&gt;"",
IF(AND(OFFSET('数出表_Excel（アレルギー入力）'!$A$1,3,D6-1)&lt;&gt;"",ISTEXT(OFFSET('数出表_Excel（アレルギー入力）'!$A$1,3,D6-1))),OFFSET('数出表_Excel（アレルギー入力）'!$A$1,3,D6-1),""),"")</f>
        <v/>
      </c>
      <c r="I6" t="str">
        <f ca="1">IF(A6&lt;&gt;"",
IF(OFFSET('数出表_Excel（アレルギー入力）'!$A$1,4,D6-1)&lt;&gt;"",OFFSET('数出表_Excel（アレルギー入力）'!$A$1,4,D6-1),""),"")</f>
        <v/>
      </c>
      <c r="J6" t="str">
        <f t="shared" ca="1" si="1"/>
        <v/>
      </c>
      <c r="K6" t="str">
        <f ca="1">IF(A6&lt;&gt;"",
IF(ISEVEN($D6),
IF(ISEVEN($C6),
OFFSET('数出表_Excel（アレルギー入力）'!$A$1,$C6-1,D6-1),
OFFSET('数出表_Excel（アレルギー入力）'!$A$1,$C6-2,D6-1)),
IF(ISEVEN($C6),
OFFSET('数出表_Excel（アレルギー入力）'!$A$1,$C6-1,D6-2),
OFFSET('数出表_Excel（アレルギー入力）'!$A$1,$C6-2,D6-2))),"")</f>
        <v/>
      </c>
      <c r="L6" t="str">
        <f ca="1">IF(A6&lt;&gt;"",
IF(ISEVEN($D6),
IF(ISEVEN($C6),
OFFSET('数出表_Excel（アレルギー入力）'!$A$1,$C6,D6-1),
OFFSET('数出表_Excel（アレルギー入力）'!$A$1,$C6-1,D6-1)),
IF(ISEVEN($C6),
OFFSET('数出表_Excel（アレルギー入力）'!$A$1,$C6,D6-2),
OFFSET('数出表_Excel（アレルギー入力）'!$A$1,$C6-1,D6-2))),"")</f>
        <v/>
      </c>
      <c r="M6" t="str">
        <f ca="1">IF(A6&lt;&gt;"",
IF(ISEVEN($D6),
OFFSET('数出表_Excel（アレルギー入力）'!$A$1,$C6-1,D6),
OFFSET('数出表_Excel（アレルギー入力）'!$A$1,$C6-1,D6-1)),"")</f>
        <v/>
      </c>
      <c r="O6" t="str">
        <f>IF(A6&lt;&gt;"",VLOOKUP(G6,注文弁当の抽出!F:G,2,FALSE),"")</f>
        <v/>
      </c>
      <c r="P6" t="str">
        <f ca="1">IF(AND(N6=0, COUNTIFS($E$1:E6,E6)=1), E6,
IF(COUNTIF(F6,"*雙葉*"),E6,""))</f>
        <v/>
      </c>
      <c r="Q6" s="126" t="str" cm="1">
        <f t="array" aca="1" ref="Q6" ca="1">IFERROR(INDEX($P$1:$P$100, SMALL(IF($P$1:$P$100&lt;&gt;"", ROW($P$1:$P$100)), ROW(Q6))), "")</f>
        <v/>
      </c>
      <c r="R6" s="126" t="str">
        <f t="shared" ca="1" si="9"/>
        <v/>
      </c>
      <c r="S6" s="126" t="str">
        <f t="shared" ca="1" si="10"/>
        <v/>
      </c>
      <c r="T6" s="126" t="str">
        <f t="shared" ca="1" si="10"/>
        <v/>
      </c>
      <c r="U6" s="126" t="str">
        <f t="shared" ca="1" si="10"/>
        <v/>
      </c>
      <c r="V6" s="126" t="str">
        <f t="shared" ca="1" si="10"/>
        <v/>
      </c>
      <c r="W6" s="126" t="str">
        <f t="shared" ca="1" si="11"/>
        <v/>
      </c>
      <c r="X6" s="126" t="str" cm="1">
        <f t="array" aca="1" ref="X6" ca="1">IF($Q6&lt;&gt;"",INDIRECT("A"&amp;MATCH(Q6,$E$1:$E$100,0)+ROW()-1&amp;""),"")</f>
        <v/>
      </c>
      <c r="Y6" t="str">
        <f ca="1">IF(Q6&lt;&gt;"",
IF(COUNTIF(S6,"*キャラ*"),
VLOOKUP("*キャラ*",商品マスタ!$D:$E,2,FALSE),
IF(COUNTIF(S6,"*赤*"),
VLOOKUP("*赤*",商品マスタ!$D:$E,2,FALSE),
VLOOKUP("*"&amp;S6&amp;"*",商品マスタ!$D:$E,2,FALSE))),"")</f>
        <v/>
      </c>
      <c r="Z6" t="str">
        <f t="shared" ca="1" si="13"/>
        <v/>
      </c>
      <c r="AA6" t="str">
        <f t="shared" ca="1" si="3"/>
        <v/>
      </c>
      <c r="AC6" t="str">
        <f t="shared" ca="1" si="4"/>
        <v/>
      </c>
      <c r="AD6" s="78" t="str" cm="1">
        <f t="array" aca="1" ref="AD6" ca="1">IF(AND(IFERROR(COUNTIF(INDIRECT("R"&amp;IFERROR(SMALL(IF(AC$1:AC$140&lt;&gt;0,AC$1:AC$140),ROW(A6)),"")&amp;""),"*雙葉*"),0),COUNTIF(AE$1:AE5,"*雙葉*")),"",
IFERROR(SMALL(IF(AC$1:AC$140&lt;&gt;0,AC$1:AC$140),ROW(A6)),""))</f>
        <v/>
      </c>
      <c r="AE6" s="78" t="str">
        <f t="array" aca="1" ref="AE6" ca="1">IF($AD6&lt;&gt;"",INDIRECT("R"&amp;$AD6&amp;""),"")</f>
        <v/>
      </c>
      <c r="AF6" s="78" t="str">
        <f t="array" aca="1" ref="AF6" ca="1">IF($AD6&lt;&gt;"",
IF(INDIRECT("S"&amp;$AD6&amp;"")&lt;&gt;"",INDIRECT("S"&amp;$AD6&amp;""),""),"")</f>
        <v/>
      </c>
      <c r="AG6" s="78" t="str" cm="1">
        <f t="array" aca="1" ref="AG6" ca="1">IFERROR(IF($AD6&lt;&gt;"",INDIRECT("T"&amp;$AD6&amp;""),"")
+IF(COUNTIF(AE6,"*雙葉*"),
IFERROR(INDIRECT("T"&amp;MATCH("*雙葉*",INDIRECT("R"&amp;AD6+1&amp;":$R$140"),0)+ROW()&amp;""),0),0)
+IF(OR(COUNTIF(AO6,"*管理*"),COUNTIF(AO6,"予備")),
AQ6,0),"")</f>
        <v/>
      </c>
      <c r="AH6" s="78" t="str" cm="1">
        <f t="array" aca="1" ref="AH6" ca="1">IFERROR(IF($AD6&lt;&gt;"",INDIRECT("U"&amp;$AD6&amp;""),"")
+IF(COUNTIF(AE6,"*雙葉*"),
IFERROR(INDIRECT("U"&amp;MATCH("*雙葉*",INDIRECT("R"&amp;AD6+1&amp;":$R$140"),0)+ROW()&amp;""),0),0),"")</f>
        <v/>
      </c>
      <c r="AI6" s="78" t="str" cm="1">
        <f t="array" aca="1" ref="AI6" ca="1">IFERROR(IF($AD6&lt;&gt;"",INDIRECT("V"&amp;$AD6&amp;""),"")
+IF(COUNTIF(AE6,"*雙葉*"),
IFERROR(INDIRECT("V"&amp;MATCH("*雙葉*",INDIRECT("R"&amp;AD6+1&amp;":$R$140"),0)+ROW()&amp;""),0),0),"")</f>
        <v/>
      </c>
      <c r="AJ6" s="78" t="str">
        <f t="array" aca="1" ref="AJ6" ca="1">IF($AD6&lt;&gt;"",INDIRECT("W"&amp;$AD6&amp;""),"")</f>
        <v/>
      </c>
      <c r="AK6" s="78" t="str">
        <f t="array" aca="1" ref="AK6" ca="1">IF($AD6&lt;&gt;"",INDIRECT("Y"&amp;$AD6&amp;""),"")</f>
        <v/>
      </c>
      <c r="AL6" s="78" t="str">
        <f t="shared" ca="1" si="14"/>
        <v/>
      </c>
      <c r="AM6" s="78" t="str">
        <f t="shared" ca="1" si="12"/>
        <v/>
      </c>
      <c r="AN6" s="78" t="str">
        <f t="array" aca="1" ref="AN6" ca="1">IF($AD6&lt;&gt;"",INDIRECT("Q"&amp;$AD6&amp;""),"")</f>
        <v/>
      </c>
      <c r="AO6" s="78" t="str">
        <f ca="1">IFERROR(IF(AND(AN6&lt;&gt;"",VLOOKUP(AN6,得意先マスタ!$A$1:$Z$800,24,FALSE)&lt;&gt;0),
VLOOKUP(AN6,得意先マスタ!$A$1:$Z$800,24,FALSE),""),"")</f>
        <v/>
      </c>
      <c r="AP6" s="78" t="str">
        <f ca="1">IFERROR(IF(AND(AN6&lt;&gt;"",VLOOKUP(AN6,得意先マスタ!$A$1:$Z$800,25,FALSE)&lt;&gt;0),
VLOOKUP(AN6,得意先マスタ!$A$1:$Z$800,25,FALSE),""),"")</f>
        <v/>
      </c>
      <c r="AQ6" s="78" t="str">
        <f t="shared" ca="1" si="6"/>
        <v/>
      </c>
      <c r="AR6" s="78">
        <f t="shared" ca="1" si="7"/>
        <v>0</v>
      </c>
      <c r="AS6" s="78">
        <f t="shared" ca="1" si="8"/>
        <v>0</v>
      </c>
    </row>
    <row r="7" spans="1:45">
      <c r="A7" t="str">
        <f>IF('数出表_Excel（アレルギー入力）'!AO7&lt;&gt;"",'数出表_Excel（アレルギー入力）'!AO7,"")</f>
        <v/>
      </c>
      <c r="B7" t="str">
        <f t="shared" ca="1" si="0"/>
        <v/>
      </c>
      <c r="C7" t="str">
        <f t="array" aca="1" ref="C7" ca="1">_xlfn.TEXTJOIN("",TRUE,IF(ISERROR(MID(A7,ROW(INDIRECT("1:"&amp;LEN(A7))),1)*1),"",MID(A7,ROW(INDIRECT("1:"&amp;LEN(A7))),1)))</f>
        <v/>
      </c>
      <c r="D7" t="str">
        <f t="array" aca="1" ref="D7" ca="1">IF(A7&lt;&gt;"",COLUMN(INDIRECT($B7&amp;"1")),"")</f>
        <v/>
      </c>
      <c r="E7" t="str">
        <f ca="1">IF(A7&lt;&gt;"",
IF(ISEVEN($C7),
OFFSET('数出表_Excel（アレルギー入力）'!$A$1,$C7-1,0),
OFFSET('数出表_Excel（アレルギー入力）'!$A$1,$C7-2,0)),"")</f>
        <v/>
      </c>
      <c r="F7" t="str">
        <f ca="1">IF(A7&lt;&gt;"",
IF(ISEVEN($C7),
OFFSET('数出表_Excel（アレルギー入力）'!$A$1,$C7,0),
OFFSET('数出表_Excel（アレルギー入力）'!$A$1,$C7-1,0)),"")</f>
        <v/>
      </c>
      <c r="G7" t="str">
        <f ca="1">IF(A7&lt;&gt;"",
IF(AND(OFFSET('数出表_Excel（アレルギー入力）'!$A$1,2,D7-1)&lt;&gt;"",ISTEXT(OFFSET('数出表_Excel（アレルギー入力）'!$A$1,2,D7-1))),OFFSET('数出表_Excel（アレルギー入力）'!$A$1,2,D7-1),""),"")</f>
        <v/>
      </c>
      <c r="H7" t="str">
        <f ca="1">IF(A7&lt;&gt;"",
IF(AND(OFFSET('数出表_Excel（アレルギー入力）'!$A$1,3,D7-1)&lt;&gt;"",ISTEXT(OFFSET('数出表_Excel（アレルギー入力）'!$A$1,3,D7-1))),OFFSET('数出表_Excel（アレルギー入力）'!$A$1,3,D7-1),""),"")</f>
        <v/>
      </c>
      <c r="I7" t="str">
        <f ca="1">IF(A7&lt;&gt;"",
IF(OFFSET('数出表_Excel（アレルギー入力）'!$A$1,4,D7-1)&lt;&gt;"",OFFSET('数出表_Excel（アレルギー入力）'!$A$1,4,D7-1),""),"")</f>
        <v/>
      </c>
      <c r="J7" t="str">
        <f t="shared" ca="1" si="1"/>
        <v/>
      </c>
      <c r="K7" t="str">
        <f ca="1">IF(A7&lt;&gt;"",
IF(ISEVEN($D7),
IF(ISEVEN($C7),
OFFSET('数出表_Excel（アレルギー入力）'!$A$1,$C7-1,D7-1),
OFFSET('数出表_Excel（アレルギー入力）'!$A$1,$C7-2,D7-1)),
IF(ISEVEN($C7),
OFFSET('数出表_Excel（アレルギー入力）'!$A$1,$C7-1,D7-2),
OFFSET('数出表_Excel（アレルギー入力）'!$A$1,$C7-2,D7-2))),"")</f>
        <v/>
      </c>
      <c r="L7" t="str">
        <f ca="1">IF(A7&lt;&gt;"",
IF(ISEVEN($D7),
IF(ISEVEN($C7),
OFFSET('数出表_Excel（アレルギー入力）'!$A$1,$C7,D7-1),
OFFSET('数出表_Excel（アレルギー入力）'!$A$1,$C7-1,D7-1)),
IF(ISEVEN($C7),
OFFSET('数出表_Excel（アレルギー入力）'!$A$1,$C7,D7-2),
OFFSET('数出表_Excel（アレルギー入力）'!$A$1,$C7-1,D7-2))),"")</f>
        <v/>
      </c>
      <c r="M7" t="str">
        <f ca="1">IF(A7&lt;&gt;"",
IF(ISEVEN($D7),
OFFSET('数出表_Excel（アレルギー入力）'!$A$1,$C7-1,D7),
OFFSET('数出表_Excel（アレルギー入力）'!$A$1,$C7-1,D7-1)),"")</f>
        <v/>
      </c>
      <c r="O7" t="str">
        <f>IF(A7&lt;&gt;"",VLOOKUP(G7,注文弁当の抽出!F:G,2,FALSE),"")</f>
        <v/>
      </c>
      <c r="P7" t="str">
        <f ca="1">IF(AND(N7=0, COUNTIFS($E$1:E7,E7)=1), E7,
IF(COUNTIF(F7,"*雙葉*"),E7,""))</f>
        <v/>
      </c>
      <c r="Q7" s="126" t="str" cm="1">
        <f t="array" aca="1" ref="Q7" ca="1">IFERROR(INDEX($P$1:$P$100, SMALL(IF($P$1:$P$100&lt;&gt;"", ROW($P$1:$P$100)), ROW(Q7))), "")</f>
        <v/>
      </c>
      <c r="R7" s="126" t="str">
        <f t="shared" ca="1" si="9"/>
        <v/>
      </c>
      <c r="S7" s="126" t="str">
        <f t="shared" ca="1" si="10"/>
        <v/>
      </c>
      <c r="T7" s="126" t="str">
        <f t="shared" ca="1" si="10"/>
        <v/>
      </c>
      <c r="U7" s="126" t="str">
        <f t="shared" ca="1" si="10"/>
        <v/>
      </c>
      <c r="V7" s="126" t="str">
        <f t="shared" ca="1" si="10"/>
        <v/>
      </c>
      <c r="W7" s="126" t="str">
        <f t="shared" ca="1" si="11"/>
        <v/>
      </c>
      <c r="X7" s="126" t="str" cm="1">
        <f t="array" aca="1" ref="X7" ca="1">IF($Q7&lt;&gt;"",INDIRECT("A"&amp;MATCH(Q7,$E$1:$E$100,0)+ROW()-1&amp;""),"")</f>
        <v/>
      </c>
      <c r="Y7" t="str">
        <f ca="1">IF(Q7&lt;&gt;"",
IF(COUNTIF(S7,"*キャラ*"),
VLOOKUP("*キャラ*",商品マスタ!$D:$E,2,FALSE),
IF(COUNTIF(S7,"*赤*"),
VLOOKUP("*赤*",商品マスタ!$D:$E,2,FALSE),
VLOOKUP("*"&amp;S7&amp;"*",商品マスタ!$D:$E,2,FALSE))),"")</f>
        <v/>
      </c>
      <c r="Z7" t="str">
        <f t="shared" ca="1" si="13"/>
        <v/>
      </c>
      <c r="AA7" t="str">
        <f t="shared" ca="1" si="3"/>
        <v/>
      </c>
      <c r="AC7" t="str">
        <f t="shared" ca="1" si="4"/>
        <v/>
      </c>
      <c r="AD7" s="78" t="str">
        <f t="array" aca="1" ref="AD7" ca="1">IF(AND(IFERROR(COUNTIF(INDIRECT("R"&amp;IFERROR(SMALL(IF(AC$1:AC$140&lt;&gt;0,AC$1:AC$140),ROW(A7)),"")&amp;""),"*雙葉*"),0),COUNTIF(AE$1:AE6,"*雙葉*")),"",
IFERROR(SMALL(IF(AC$1:AC$140&lt;&gt;0,AC$1:AC$140),ROW(A7)),""))</f>
        <v/>
      </c>
      <c r="AE7" s="78" t="str">
        <f t="array" aca="1" ref="AE7" ca="1">IF($AD7&lt;&gt;"",INDIRECT("R"&amp;$AD7&amp;""),"")</f>
        <v/>
      </c>
      <c r="AF7" s="78" t="str">
        <f t="array" aca="1" ref="AF7" ca="1">IF($AD7&lt;&gt;"",
IF(INDIRECT("S"&amp;$AD7&amp;"")&lt;&gt;"",INDIRECT("S"&amp;$AD7&amp;""),""),"")</f>
        <v/>
      </c>
      <c r="AG7" s="78" t="str" cm="1">
        <f t="array" aca="1" ref="AG7" ca="1">IFERROR(IF($AD7&lt;&gt;"",INDIRECT("T"&amp;$AD7&amp;""),"")
+IF(COUNTIF(AE7,"*雙葉*"),
IFERROR(INDIRECT("T"&amp;MATCH("*雙葉*",INDIRECT("R"&amp;AD7+1&amp;":$R$140"),0)+ROW()&amp;""),0),0)
+IF(OR(COUNTIF(AO7,"*管理*"),COUNTIF(AO7,"予備")),
AQ7,0),"")</f>
        <v/>
      </c>
      <c r="AH7" s="78" t="str" cm="1">
        <f t="array" aca="1" ref="AH7" ca="1">IFERROR(IF($AD7&lt;&gt;"",INDIRECT("U"&amp;$AD7&amp;""),"")
+IF(COUNTIF(AE7,"*雙葉*"),
IFERROR(INDIRECT("U"&amp;MATCH("*雙葉*",INDIRECT("R"&amp;AD7+1&amp;":$R$140"),0)+ROW()&amp;""),0),0),"")</f>
        <v/>
      </c>
      <c r="AI7" s="78" t="str" cm="1">
        <f t="array" aca="1" ref="AI7" ca="1">IFERROR(IF($AD7&lt;&gt;"",INDIRECT("V"&amp;$AD7&amp;""),"")
+IF(COUNTIF(AE7,"*雙葉*"),
IFERROR(INDIRECT("V"&amp;MATCH("*雙葉*",INDIRECT("R"&amp;AD7+1&amp;":$R$140"),0)+ROW()&amp;""),0),0),"")</f>
        <v/>
      </c>
      <c r="AJ7" s="78" t="str">
        <f t="array" aca="1" ref="AJ7" ca="1">IF($AD7&lt;&gt;"",INDIRECT("W"&amp;$AD7&amp;""),"")</f>
        <v/>
      </c>
      <c r="AK7" s="78" t="str">
        <f t="array" aca="1" ref="AK7" ca="1">IF($AD7&lt;&gt;"",INDIRECT("Y"&amp;$AD7&amp;""),"")</f>
        <v/>
      </c>
      <c r="AL7" s="78" t="str">
        <f t="shared" ca="1" si="14"/>
        <v/>
      </c>
      <c r="AM7" s="78" t="str">
        <f t="shared" ca="1" si="12"/>
        <v/>
      </c>
      <c r="AN7" s="78" t="str">
        <f t="array" aca="1" ref="AN7" ca="1">IF($AD7&lt;&gt;"",INDIRECT("Q"&amp;$AD7&amp;""),"")</f>
        <v/>
      </c>
      <c r="AO7" s="78" t="str">
        <f ca="1">IFERROR(IF(AND(AN7&lt;&gt;"",VLOOKUP(AN7,得意先マスタ!$A$1:$Z$800,24,FALSE)&lt;&gt;0),
VLOOKUP(AN7,得意先マスタ!$A$1:$Z$800,24,FALSE),""),"")</f>
        <v/>
      </c>
      <c r="AP7" s="78" t="str">
        <f ca="1">IFERROR(IF(AND(AN7&lt;&gt;"",VLOOKUP(AN7,得意先マスタ!$A$1:$Z$800,25,FALSE)&lt;&gt;0),
VLOOKUP(AN7,得意先マスタ!$A$1:$Z$800,25,FALSE),""),"")</f>
        <v/>
      </c>
      <c r="AQ7" s="78" t="str">
        <f t="shared" ca="1" si="6"/>
        <v/>
      </c>
      <c r="AR7" s="78">
        <f t="shared" ca="1" si="7"/>
        <v>0</v>
      </c>
      <c r="AS7" s="78">
        <f t="shared" ca="1" si="8"/>
        <v>0</v>
      </c>
    </row>
    <row r="8" spans="1:45">
      <c r="A8" t="str">
        <f>IF('数出表_Excel（アレルギー入力）'!AO8&lt;&gt;"",'数出表_Excel（アレルギー入力）'!AO8,"")</f>
        <v/>
      </c>
      <c r="B8" t="str">
        <f t="shared" ca="1" si="0"/>
        <v/>
      </c>
      <c r="C8" t="str">
        <f t="array" aca="1" ref="C8" ca="1">_xlfn.TEXTJOIN("",TRUE,IF(ISERROR(MID(A8,ROW(INDIRECT("1:"&amp;LEN(A8))),1)*1),"",MID(A8,ROW(INDIRECT("1:"&amp;LEN(A8))),1)))</f>
        <v/>
      </c>
      <c r="D8" t="str">
        <f t="array" aca="1" ref="D8" ca="1">IF(A8&lt;&gt;"",COLUMN(INDIRECT($B8&amp;"1")),"")</f>
        <v/>
      </c>
      <c r="E8" t="str">
        <f ca="1">IF(A8&lt;&gt;"",
IF(ISEVEN($C8),
OFFSET('数出表_Excel（アレルギー入力）'!$A$1,$C8-1,0),
OFFSET('数出表_Excel（アレルギー入力）'!$A$1,$C8-2,0)),"")</f>
        <v/>
      </c>
      <c r="F8" t="str">
        <f ca="1">IF(A8&lt;&gt;"",
IF(ISEVEN($C8),
OFFSET('数出表_Excel（アレルギー入力）'!$A$1,$C8,0),
OFFSET('数出表_Excel（アレルギー入力）'!$A$1,$C8-1,0)),"")</f>
        <v/>
      </c>
      <c r="G8" t="str">
        <f ca="1">IF(A8&lt;&gt;"",
IF(AND(OFFSET('数出表_Excel（アレルギー入力）'!$A$1,2,D8-1)&lt;&gt;"",ISTEXT(OFFSET('数出表_Excel（アレルギー入力）'!$A$1,2,D8-1))),OFFSET('数出表_Excel（アレルギー入力）'!$A$1,2,D8-1),""),"")</f>
        <v/>
      </c>
      <c r="H8" t="str">
        <f ca="1">IF(A8&lt;&gt;"",
IF(AND(OFFSET('数出表_Excel（アレルギー入力）'!$A$1,3,D8-1)&lt;&gt;"",ISTEXT(OFFSET('数出表_Excel（アレルギー入力）'!$A$1,3,D8-1))),OFFSET('数出表_Excel（アレルギー入力）'!$A$1,3,D8-1),""),"")</f>
        <v/>
      </c>
      <c r="I8" t="str">
        <f ca="1">IF(A8&lt;&gt;"",
IF(OFFSET('数出表_Excel（アレルギー入力）'!$A$1,4,D8-1)&lt;&gt;"",OFFSET('数出表_Excel（アレルギー入力）'!$A$1,4,D8-1),""),"")</f>
        <v/>
      </c>
      <c r="J8" t="str">
        <f t="shared" ca="1" si="1"/>
        <v/>
      </c>
      <c r="K8" t="str">
        <f ca="1">IF(A8&lt;&gt;"",
IF(ISEVEN($D8),
IF(ISEVEN($C8),
OFFSET('数出表_Excel（アレルギー入力）'!$A$1,$C8-1,D8-1),
OFFSET('数出表_Excel（アレルギー入力）'!$A$1,$C8-2,D8-1)),
IF(ISEVEN($C8),
OFFSET('数出表_Excel（アレルギー入力）'!$A$1,$C8-1,D8-2),
OFFSET('数出表_Excel（アレルギー入力）'!$A$1,$C8-2,D8-2))),"")</f>
        <v/>
      </c>
      <c r="L8" t="str">
        <f ca="1">IF(A8&lt;&gt;"",
IF(ISEVEN($D8),
IF(ISEVEN($C8),
OFFSET('数出表_Excel（アレルギー入力）'!$A$1,$C8,D8-1),
OFFSET('数出表_Excel（アレルギー入力）'!$A$1,$C8-1,D8-1)),
IF(ISEVEN($C8),
OFFSET('数出表_Excel（アレルギー入力）'!$A$1,$C8,D8-2),
OFFSET('数出表_Excel（アレルギー入力）'!$A$1,$C8-1,D8-2))),"")</f>
        <v/>
      </c>
      <c r="M8" t="str">
        <f ca="1">IF(A8&lt;&gt;"",
IF(ISEVEN($D8),
OFFSET('数出表_Excel（アレルギー入力）'!$A$1,$C8-1,D8),
OFFSET('数出表_Excel（アレルギー入力）'!$A$1,$C8-1,D8-1)),"")</f>
        <v/>
      </c>
      <c r="O8" t="str">
        <f>IF(A8&lt;&gt;"",VLOOKUP(G8,注文弁当の抽出!F:G,2,FALSE),"")</f>
        <v/>
      </c>
      <c r="P8" t="str">
        <f ca="1">IF(AND(N8=0, COUNTIFS($E$1:E8,E8)=1), E8,
IF(COUNTIF(F8,"*雙葉*"),E8,""))</f>
        <v/>
      </c>
      <c r="Q8" s="126" t="str" cm="1">
        <f t="array" aca="1" ref="Q8" ca="1">IFERROR(INDEX($P$1:$P$100, SMALL(IF($P$1:$P$100&lt;&gt;"", ROW($P$1:$P$100)), ROW(Q8))), "")</f>
        <v/>
      </c>
      <c r="R8" s="126" t="str">
        <f t="shared" ca="1" si="9"/>
        <v/>
      </c>
      <c r="S8" s="126" t="str">
        <f t="shared" ca="1" si="10"/>
        <v/>
      </c>
      <c r="T8" s="126" t="str">
        <f t="shared" ca="1" si="10"/>
        <v/>
      </c>
      <c r="U8" s="126" t="str">
        <f t="shared" ca="1" si="10"/>
        <v/>
      </c>
      <c r="V8" s="126" t="str">
        <f t="shared" ca="1" si="10"/>
        <v/>
      </c>
      <c r="W8" s="126" t="str">
        <f t="shared" ca="1" si="11"/>
        <v/>
      </c>
      <c r="X8" s="126" t="str" cm="1">
        <f t="array" aca="1" ref="X8" ca="1">IF($Q8&lt;&gt;"",INDIRECT("A"&amp;MATCH(Q8,$E$1:$E$100,0)+ROW()-1&amp;""),"")</f>
        <v/>
      </c>
      <c r="Y8" t="str">
        <f ca="1">IF(Q8&lt;&gt;"",
IF(COUNTIF(S8,"*キャラ*"),
VLOOKUP("*キャラ*",商品マスタ!$D:$E,2,FALSE),
IF(COUNTIF(S8,"*赤*"),
VLOOKUP("*赤*",商品マスタ!$D:$E,2,FALSE),
VLOOKUP("*"&amp;S8&amp;"*",商品マスタ!$D:$E,2,FALSE))),"")</f>
        <v/>
      </c>
      <c r="Z8" t="str">
        <f t="shared" ca="1" si="13"/>
        <v/>
      </c>
      <c r="AA8" t="str">
        <f t="shared" ca="1" si="3"/>
        <v/>
      </c>
      <c r="AC8" t="str">
        <f t="shared" ca="1" si="4"/>
        <v/>
      </c>
      <c r="AD8" s="78" t="str">
        <f t="array" aca="1" ref="AD8" ca="1">IF(AND(IFERROR(COUNTIF(INDIRECT("R"&amp;IFERROR(SMALL(IF(AC$1:AC$140&lt;&gt;0,AC$1:AC$140),ROW(A8)),"")&amp;""),"*雙葉*"),0),COUNTIF(AE$1:AE7,"*雙葉*")),"",
IFERROR(SMALL(IF(AC$1:AC$140&lt;&gt;0,AC$1:AC$140),ROW(A8)),""))</f>
        <v/>
      </c>
      <c r="AE8" s="78" t="str">
        <f t="array" aca="1" ref="AE8" ca="1">IF($AD8&lt;&gt;"",INDIRECT("R"&amp;$AD8&amp;""),"")</f>
        <v/>
      </c>
      <c r="AF8" s="78" t="str">
        <f t="array" aca="1" ref="AF8" ca="1">IF($AD8&lt;&gt;"",
IF(INDIRECT("S"&amp;$AD8&amp;"")&lt;&gt;"",INDIRECT("S"&amp;$AD8&amp;""),""),"")</f>
        <v/>
      </c>
      <c r="AG8" s="78" t="str" cm="1">
        <f t="array" aca="1" ref="AG8" ca="1">IFERROR(IF($AD8&lt;&gt;"",INDIRECT("T"&amp;$AD8&amp;""),"")
+IF(COUNTIF(AE8,"*雙葉*"),
IFERROR(INDIRECT("T"&amp;MATCH("*雙葉*",INDIRECT("R"&amp;AD8+1&amp;":$R$140"),0)+ROW()&amp;""),0),0)
+IF(OR(COUNTIF(AO8,"*管理*"),COUNTIF(AO8,"予備")),
AQ8,0),"")</f>
        <v/>
      </c>
      <c r="AH8" s="78" t="str" cm="1">
        <f t="array" aca="1" ref="AH8" ca="1">IFERROR(IF($AD8&lt;&gt;"",INDIRECT("U"&amp;$AD8&amp;""),"")
+IF(COUNTIF(AE8,"*雙葉*"),
IFERROR(INDIRECT("U"&amp;MATCH("*雙葉*",INDIRECT("R"&amp;AD8+1&amp;":$R$140"),0)+ROW()&amp;""),0),0),"")</f>
        <v/>
      </c>
      <c r="AI8" s="78" t="str" cm="1">
        <f t="array" aca="1" ref="AI8" ca="1">IFERROR(IF($AD8&lt;&gt;"",INDIRECT("V"&amp;$AD8&amp;""),"")
+IF(COUNTIF(AE8,"*雙葉*"),
IFERROR(INDIRECT("V"&amp;MATCH("*雙葉*",INDIRECT("R"&amp;AD8+1&amp;":$R$140"),0)+ROW()&amp;""),0),0),"")</f>
        <v/>
      </c>
      <c r="AJ8" s="78" t="str">
        <f t="array" aca="1" ref="AJ8" ca="1">IF($AD8&lt;&gt;"",INDIRECT("W"&amp;$AD8&amp;""),"")</f>
        <v/>
      </c>
      <c r="AK8" s="78" t="str">
        <f t="array" aca="1" ref="AK8" ca="1">IF($AD8&lt;&gt;"",INDIRECT("Y"&amp;$AD8&amp;""),"")</f>
        <v/>
      </c>
      <c r="AL8" s="78" t="str">
        <f t="shared" ca="1" si="14"/>
        <v/>
      </c>
      <c r="AM8" s="78" t="str">
        <f t="shared" ca="1" si="12"/>
        <v/>
      </c>
      <c r="AN8" s="78" t="str">
        <f t="array" aca="1" ref="AN8" ca="1">IF($AD8&lt;&gt;"",INDIRECT("Q"&amp;$AD8&amp;""),"")</f>
        <v/>
      </c>
      <c r="AO8" s="78" t="str">
        <f ca="1">IFERROR(IF(AND(AN8&lt;&gt;"",VLOOKUP(AN8,得意先マスタ!$A$1:$Z$800,24,FALSE)&lt;&gt;0),
VLOOKUP(AN8,得意先マスタ!$A$1:$Z$800,24,FALSE),""),"")</f>
        <v/>
      </c>
      <c r="AP8" s="78" t="str">
        <f ca="1">IFERROR(IF(AND(AN8&lt;&gt;"",VLOOKUP(AN8,得意先マスタ!$A$1:$Z$800,25,FALSE)&lt;&gt;0),
VLOOKUP(AN8,得意先マスタ!$A$1:$Z$800,25,FALSE),""),"")</f>
        <v/>
      </c>
      <c r="AQ8" s="78" t="str">
        <f t="shared" ca="1" si="6"/>
        <v/>
      </c>
      <c r="AR8" s="78">
        <f t="shared" ca="1" si="7"/>
        <v>0</v>
      </c>
      <c r="AS8" s="78">
        <f t="shared" ca="1" si="8"/>
        <v>0</v>
      </c>
    </row>
    <row r="9" spans="1:45">
      <c r="A9" t="str">
        <f>IF('数出表_Excel（アレルギー入力）'!AO9&lt;&gt;"",'数出表_Excel（アレルギー入力）'!AO9,"")</f>
        <v/>
      </c>
      <c r="B9" t="str">
        <f t="shared" ca="1" si="0"/>
        <v/>
      </c>
      <c r="C9" t="str">
        <f t="array" aca="1" ref="C9" ca="1">_xlfn.TEXTJOIN("",TRUE,IF(ISERROR(MID(A9,ROW(INDIRECT("1:"&amp;LEN(A9))),1)*1),"",MID(A9,ROW(INDIRECT("1:"&amp;LEN(A9))),1)))</f>
        <v/>
      </c>
      <c r="D9" t="str">
        <f t="array" aca="1" ref="D9" ca="1">IF(A9&lt;&gt;"",COLUMN(INDIRECT($B9&amp;"1")),"")</f>
        <v/>
      </c>
      <c r="E9" t="str">
        <f ca="1">IF(A9&lt;&gt;"",
IF(ISEVEN($C9),
OFFSET('数出表_Excel（アレルギー入力）'!$A$1,$C9-1,0),
OFFSET('数出表_Excel（アレルギー入力）'!$A$1,$C9-2,0)),"")</f>
        <v/>
      </c>
      <c r="F9" t="str">
        <f ca="1">IF(A9&lt;&gt;"",
IF(ISEVEN($C9),
OFFSET('数出表_Excel（アレルギー入力）'!$A$1,$C9,0),
OFFSET('数出表_Excel（アレルギー入力）'!$A$1,$C9-1,0)),"")</f>
        <v/>
      </c>
      <c r="G9" t="str">
        <f ca="1">IF(A9&lt;&gt;"",
IF(AND(OFFSET('数出表_Excel（アレルギー入力）'!$A$1,2,D9-1)&lt;&gt;"",ISTEXT(OFFSET('数出表_Excel（アレルギー入力）'!$A$1,2,D9-1))),OFFSET('数出表_Excel（アレルギー入力）'!$A$1,2,D9-1),""),"")</f>
        <v/>
      </c>
      <c r="H9" t="str">
        <f ca="1">IF(A9&lt;&gt;"",
IF(AND(OFFSET('数出表_Excel（アレルギー入力）'!$A$1,3,D9-1)&lt;&gt;"",ISTEXT(OFFSET('数出表_Excel（アレルギー入力）'!$A$1,3,D9-1))),OFFSET('数出表_Excel（アレルギー入力）'!$A$1,3,D9-1),""),"")</f>
        <v/>
      </c>
      <c r="I9" t="str">
        <f ca="1">IF(A9&lt;&gt;"",
IF(OFFSET('数出表_Excel（アレルギー入力）'!$A$1,4,D9-1)&lt;&gt;"",OFFSET('数出表_Excel（アレルギー入力）'!$A$1,4,D9-1),""),"")</f>
        <v/>
      </c>
      <c r="J9" t="str">
        <f t="shared" ca="1" si="1"/>
        <v/>
      </c>
      <c r="K9" t="str">
        <f ca="1">IF(A9&lt;&gt;"",
IF(ISEVEN($D9),
IF(ISEVEN($C9),
OFFSET('数出表_Excel（アレルギー入力）'!$A$1,$C9-1,D9-1),
OFFSET('数出表_Excel（アレルギー入力）'!$A$1,$C9-2,D9-1)),
IF(ISEVEN($C9),
OFFSET('数出表_Excel（アレルギー入力）'!$A$1,$C9-1,D9-2),
OFFSET('数出表_Excel（アレルギー入力）'!$A$1,$C9-2,D9-2))),"")</f>
        <v/>
      </c>
      <c r="L9" t="str">
        <f ca="1">IF(A9&lt;&gt;"",
IF(ISEVEN($D9),
IF(ISEVEN($C9),
OFFSET('数出表_Excel（アレルギー入力）'!$A$1,$C9,D9-1),
OFFSET('数出表_Excel（アレルギー入力）'!$A$1,$C9-1,D9-1)),
IF(ISEVEN($C9),
OFFSET('数出表_Excel（アレルギー入力）'!$A$1,$C9,D9-2),
OFFSET('数出表_Excel（アレルギー入力）'!$A$1,$C9-1,D9-2))),"")</f>
        <v/>
      </c>
      <c r="M9" t="str">
        <f ca="1">IF(A9&lt;&gt;"",
IF(ISEVEN($D9),
OFFSET('数出表_Excel（アレルギー入力）'!$A$1,$C9-1,D9),
OFFSET('数出表_Excel（アレルギー入力）'!$A$1,$C9-1,D9-1)),"")</f>
        <v/>
      </c>
      <c r="O9" t="str">
        <f>IF(A9&lt;&gt;"",VLOOKUP(G9,注文弁当の抽出!F:G,2,FALSE),"")</f>
        <v/>
      </c>
      <c r="P9" t="str">
        <f ca="1">IF(AND(N9=0, COUNTIFS($E$1:E9,E9)=1), E9,
IF(COUNTIF(F9,"*雙葉*"),E9,""))</f>
        <v/>
      </c>
      <c r="Q9" s="126" t="str" cm="1">
        <f t="array" aca="1" ref="Q9" ca="1">IFERROR(INDEX($P$1:$P$100, SMALL(IF($P$1:$P$100&lt;&gt;"", ROW($P$1:$P$100)), ROW(Q9))), "")</f>
        <v/>
      </c>
      <c r="R9" s="126" t="str">
        <f t="shared" ca="1" si="9"/>
        <v/>
      </c>
      <c r="S9" s="126" t="str">
        <f t="shared" ca="1" si="10"/>
        <v/>
      </c>
      <c r="T9" s="126" t="str">
        <f t="shared" ca="1" si="10"/>
        <v/>
      </c>
      <c r="U9" s="126" t="str">
        <f t="shared" ca="1" si="10"/>
        <v/>
      </c>
      <c r="V9" s="126" t="str">
        <f t="shared" ca="1" si="10"/>
        <v/>
      </c>
      <c r="W9" s="126" t="str">
        <f t="shared" ca="1" si="11"/>
        <v/>
      </c>
      <c r="X9" s="126" t="str" cm="1">
        <f t="array" aca="1" ref="X9" ca="1">IF($Q9&lt;&gt;"",INDIRECT("A"&amp;MATCH(Q9,$E$1:$E$100,0)+ROW()-1&amp;""),"")</f>
        <v/>
      </c>
      <c r="Y9" t="str">
        <f ca="1">IF(Q9&lt;&gt;"",
IF(COUNTIF(S9,"*キャラ*"),
VLOOKUP("*キャラ*",商品マスタ!$D:$E,2,FALSE),
IF(COUNTIF(S9,"*赤*"),
VLOOKUP("*赤*",商品マスタ!$D:$E,2,FALSE),
VLOOKUP("*"&amp;S9&amp;"*",商品マスタ!$D:$E,2,FALSE))),"")</f>
        <v/>
      </c>
      <c r="Z9" t="str">
        <f t="shared" ca="1" si="13"/>
        <v/>
      </c>
      <c r="AA9" t="str">
        <f t="shared" ca="1" si="3"/>
        <v/>
      </c>
      <c r="AC9" t="str">
        <f t="shared" ca="1" si="4"/>
        <v/>
      </c>
      <c r="AD9" s="78" t="str">
        <f t="array" aca="1" ref="AD9" ca="1">IF(AND(IFERROR(COUNTIF(INDIRECT("R"&amp;IFERROR(SMALL(IF(AC$1:AC$140&lt;&gt;0,AC$1:AC$140),ROW(A9)),"")&amp;""),"*雙葉*"),0),COUNTIF(AE$1:AE8,"*雙葉*")),"",
IFERROR(SMALL(IF(AC$1:AC$140&lt;&gt;0,AC$1:AC$140),ROW(A9)),""))</f>
        <v/>
      </c>
      <c r="AE9" s="78" t="str">
        <f t="array" aca="1" ref="AE9" ca="1">IF($AD9&lt;&gt;"",INDIRECT("R"&amp;$AD9&amp;""),"")</f>
        <v/>
      </c>
      <c r="AF9" s="78" t="str">
        <f t="array" aca="1" ref="AF9" ca="1">IF($AD9&lt;&gt;"",
IF(INDIRECT("S"&amp;$AD9&amp;"")&lt;&gt;"",INDIRECT("S"&amp;$AD9&amp;""),""),"")</f>
        <v/>
      </c>
      <c r="AG9" s="78" t="str" cm="1">
        <f t="array" aca="1" ref="AG9" ca="1">IFERROR(IF($AD9&lt;&gt;"",INDIRECT("T"&amp;$AD9&amp;""),"")
+IF(COUNTIF(AE9,"*雙葉*"),
IFERROR(INDIRECT("T"&amp;MATCH("*雙葉*",INDIRECT("R"&amp;AD9+1&amp;":$R$140"),0)+ROW()&amp;""),0),0)
+IF(OR(COUNTIF(AO9,"*管理*"),COUNTIF(AO9,"予備")),
AQ9,0),"")</f>
        <v/>
      </c>
      <c r="AH9" s="78" t="str" cm="1">
        <f t="array" aca="1" ref="AH9" ca="1">IFERROR(IF($AD9&lt;&gt;"",INDIRECT("U"&amp;$AD9&amp;""),"")
+IF(COUNTIF(AE9,"*雙葉*"),
IFERROR(INDIRECT("U"&amp;MATCH("*雙葉*",INDIRECT("R"&amp;AD9+1&amp;":$R$140"),0)+ROW()&amp;""),0),0),"")</f>
        <v/>
      </c>
      <c r="AI9" s="78" t="str" cm="1">
        <f t="array" aca="1" ref="AI9" ca="1">IFERROR(IF($AD9&lt;&gt;"",INDIRECT("V"&amp;$AD9&amp;""),"")
+IF(COUNTIF(AE9,"*雙葉*"),
IFERROR(INDIRECT("V"&amp;MATCH("*雙葉*",INDIRECT("R"&amp;AD9+1&amp;":$R$140"),0)+ROW()&amp;""),0),0),"")</f>
        <v/>
      </c>
      <c r="AJ9" s="78" t="str">
        <f t="array" aca="1" ref="AJ9" ca="1">IF($AD9&lt;&gt;"",INDIRECT("W"&amp;$AD9&amp;""),"")</f>
        <v/>
      </c>
      <c r="AK9" s="78" t="str">
        <f t="array" aca="1" ref="AK9" ca="1">IF($AD9&lt;&gt;"",INDIRECT("Y"&amp;$AD9&amp;""),"")</f>
        <v/>
      </c>
      <c r="AL9" s="78" t="str">
        <f t="shared" ca="1" si="14"/>
        <v/>
      </c>
      <c r="AM9" s="78" t="str">
        <f t="shared" ca="1" si="12"/>
        <v/>
      </c>
      <c r="AN9" s="78" t="str">
        <f t="array" aca="1" ref="AN9" ca="1">IF($AD9&lt;&gt;"",INDIRECT("Q"&amp;$AD9&amp;""),"")</f>
        <v/>
      </c>
      <c r="AO9" s="78" t="str">
        <f ca="1">IFERROR(IF(AND(AN9&lt;&gt;"",VLOOKUP(AN9,得意先マスタ!$A$1:$Z$800,24,FALSE)&lt;&gt;0),
VLOOKUP(AN9,得意先マスタ!$A$1:$Z$800,24,FALSE),""),"")</f>
        <v/>
      </c>
      <c r="AP9" s="78" t="str">
        <f ca="1">IFERROR(IF(AND(AN9&lt;&gt;"",VLOOKUP(AN9,得意先マスタ!$A$1:$Z$800,25,FALSE)&lt;&gt;0),
VLOOKUP(AN9,得意先マスタ!$A$1:$Z$800,25,FALSE),""),"")</f>
        <v/>
      </c>
      <c r="AQ9" s="78" t="str">
        <f t="shared" ca="1" si="6"/>
        <v/>
      </c>
      <c r="AR9" s="78">
        <f t="shared" ca="1" si="7"/>
        <v>0</v>
      </c>
      <c r="AS9" s="78">
        <f t="shared" ca="1" si="8"/>
        <v>0</v>
      </c>
    </row>
    <row r="10" spans="1:45">
      <c r="A10" t="str">
        <f>IF('数出表_Excel（アレルギー入力）'!AO10&lt;&gt;"",'数出表_Excel（アレルギー入力）'!AO10,"")</f>
        <v/>
      </c>
      <c r="B10" t="str">
        <f t="shared" ca="1" si="0"/>
        <v/>
      </c>
      <c r="C10" t="str">
        <f t="array" aca="1" ref="C10" ca="1">_xlfn.TEXTJOIN("",TRUE,IF(ISERROR(MID(A10,ROW(INDIRECT("1:"&amp;LEN(A10))),1)*1),"",MID(A10,ROW(INDIRECT("1:"&amp;LEN(A10))),1)))</f>
        <v/>
      </c>
      <c r="D10" t="str">
        <f t="array" aca="1" ref="D10" ca="1">IF(A10&lt;&gt;"",COLUMN(INDIRECT($B10&amp;"1")),"")</f>
        <v/>
      </c>
      <c r="E10" t="str">
        <f ca="1">IF(A10&lt;&gt;"",
IF(ISEVEN($C10),
OFFSET('数出表_Excel（アレルギー入力）'!$A$1,$C10-1,0),
OFFSET('数出表_Excel（アレルギー入力）'!$A$1,$C10-2,0)),"")</f>
        <v/>
      </c>
      <c r="F10" t="str">
        <f ca="1">IF(A10&lt;&gt;"",
IF(ISEVEN($C10),
OFFSET('数出表_Excel（アレルギー入力）'!$A$1,$C10,0),
OFFSET('数出表_Excel（アレルギー入力）'!$A$1,$C10-1,0)),"")</f>
        <v/>
      </c>
      <c r="G10" t="str">
        <f ca="1">IF(A10&lt;&gt;"",
IF(AND(OFFSET('数出表_Excel（アレルギー入力）'!$A$1,2,D10-1)&lt;&gt;"",ISTEXT(OFFSET('数出表_Excel（アレルギー入力）'!$A$1,2,D10-1))),OFFSET('数出表_Excel（アレルギー入力）'!$A$1,2,D10-1),""),"")</f>
        <v/>
      </c>
      <c r="H10" t="str">
        <f ca="1">IF(A10&lt;&gt;"",
IF(AND(OFFSET('数出表_Excel（アレルギー入力）'!$A$1,3,D10-1)&lt;&gt;"",ISTEXT(OFFSET('数出表_Excel（アレルギー入力）'!$A$1,3,D10-1))),OFFSET('数出表_Excel（アレルギー入力）'!$A$1,3,D10-1),""),"")</f>
        <v/>
      </c>
      <c r="I10" t="str">
        <f ca="1">IF(A10&lt;&gt;"",
IF(OFFSET('数出表_Excel（アレルギー入力）'!$A$1,4,D10-1)&lt;&gt;"",OFFSET('数出表_Excel（アレルギー入力）'!$A$1,4,D10-1),""),"")</f>
        <v/>
      </c>
      <c r="J10" t="str">
        <f t="shared" ca="1" si="1"/>
        <v/>
      </c>
      <c r="K10" t="str">
        <f ca="1">IF(A10&lt;&gt;"",
IF(ISEVEN($D10),
IF(ISEVEN($C10),
OFFSET('数出表_Excel（アレルギー入力）'!$A$1,$C10-1,D10-1),
OFFSET('数出表_Excel（アレルギー入力）'!$A$1,$C10-2,D10-1)),
IF(ISEVEN($C10),
OFFSET('数出表_Excel（アレルギー入力）'!$A$1,$C10-1,D10-2),
OFFSET('数出表_Excel（アレルギー入力）'!$A$1,$C10-2,D10-2))),"")</f>
        <v/>
      </c>
      <c r="L10" t="str">
        <f ca="1">IF(A10&lt;&gt;"",
IF(ISEVEN($D10),
IF(ISEVEN($C10),
OFFSET('数出表_Excel（アレルギー入力）'!$A$1,$C10,D10-1),
OFFSET('数出表_Excel（アレルギー入力）'!$A$1,$C10-1,D10-1)),
IF(ISEVEN($C10),
OFFSET('数出表_Excel（アレルギー入力）'!$A$1,$C10,D10-2),
OFFSET('数出表_Excel（アレルギー入力）'!$A$1,$C10-1,D10-2))),"")</f>
        <v/>
      </c>
      <c r="M10" t="str">
        <f ca="1">IF(A10&lt;&gt;"",
IF(ISEVEN($D10),
OFFSET('数出表_Excel（アレルギー入力）'!$A$1,$C10-1,D10),
OFFSET('数出表_Excel（アレルギー入力）'!$A$1,$C10-1,D10-1)),"")</f>
        <v/>
      </c>
      <c r="O10" t="str">
        <f>IF(A10&lt;&gt;"",VLOOKUP(G10,注文弁当の抽出!F:G,2,FALSE),"")</f>
        <v/>
      </c>
      <c r="P10" t="str">
        <f ca="1">IF(AND(N10=0, COUNTIFS($E$1:E10,E10)=1), E10,
IF(COUNTIF(F10,"*雙葉*"),E10,""))</f>
        <v/>
      </c>
      <c r="Q10" s="126" t="str" cm="1">
        <f t="array" aca="1" ref="Q10" ca="1">IFERROR(INDEX($P$1:$P$100, SMALL(IF($P$1:$P$100&lt;&gt;"", ROW($P$1:$P$100)), ROW(Q10))), "")</f>
        <v/>
      </c>
      <c r="R10" s="126" t="str">
        <f t="shared" ca="1" si="9"/>
        <v/>
      </c>
      <c r="S10" s="126" t="str">
        <f t="shared" ca="1" si="10"/>
        <v/>
      </c>
      <c r="T10" s="126" t="str">
        <f t="shared" ca="1" si="10"/>
        <v/>
      </c>
      <c r="U10" s="126" t="str">
        <f t="shared" ca="1" si="10"/>
        <v/>
      </c>
      <c r="V10" s="126" t="str">
        <f t="shared" ca="1" si="10"/>
        <v/>
      </c>
      <c r="W10" s="126" t="str">
        <f t="shared" ca="1" si="11"/>
        <v/>
      </c>
      <c r="X10" s="126" t="str" cm="1">
        <f t="array" aca="1" ref="X10" ca="1">IF($Q10&lt;&gt;"",INDIRECT("A"&amp;MATCH(Q10,$E$1:$E$100,0)+ROW()-1&amp;""),"")</f>
        <v/>
      </c>
      <c r="Y10" t="str">
        <f ca="1">IF(Q10&lt;&gt;"",
IF(COUNTIF(S10,"*キャラ*"),
VLOOKUP("*キャラ*",商品マスタ!$D:$E,2,FALSE),
IF(COUNTIF(S10,"*赤*"),
VLOOKUP("*赤*",商品マスタ!$D:$E,2,FALSE),
VLOOKUP("*"&amp;S10&amp;"*",商品マスタ!$D:$E,2,FALSE))),"")</f>
        <v/>
      </c>
      <c r="Z10" t="str">
        <f t="shared" ca="1" si="13"/>
        <v/>
      </c>
      <c r="AA10" t="str">
        <f t="shared" ca="1" si="3"/>
        <v/>
      </c>
      <c r="AC10" t="str">
        <f t="shared" ca="1" si="4"/>
        <v/>
      </c>
      <c r="AD10" s="78" t="str">
        <f t="array" aca="1" ref="AD10" ca="1">IF(AND(IFERROR(COUNTIF(INDIRECT("R"&amp;IFERROR(SMALL(IF(AC$1:AC$140&lt;&gt;0,AC$1:AC$140),ROW(A10)),"")&amp;""),"*雙葉*"),0),COUNTIF(AE$1:AE9,"*雙葉*")),"",
IFERROR(SMALL(IF(AC$1:AC$140&lt;&gt;0,AC$1:AC$140),ROW(A10)),""))</f>
        <v/>
      </c>
      <c r="AE10" s="78" t="str">
        <f t="array" aca="1" ref="AE10" ca="1">IF($AD10&lt;&gt;"",INDIRECT("R"&amp;$AD10&amp;""),"")</f>
        <v/>
      </c>
      <c r="AF10" s="78" t="str">
        <f t="array" aca="1" ref="AF10" ca="1">IF($AD10&lt;&gt;"",
IF(INDIRECT("S"&amp;$AD10&amp;"")&lt;&gt;"",INDIRECT("S"&amp;$AD10&amp;""),""),"")</f>
        <v/>
      </c>
      <c r="AG10" s="78" t="str" cm="1">
        <f t="array" aca="1" ref="AG10" ca="1">IFERROR(IF($AD10&lt;&gt;"",INDIRECT("T"&amp;$AD10&amp;""),"")
+IF(COUNTIF(AE10,"*雙葉*"),
IFERROR(INDIRECT("T"&amp;MATCH("*雙葉*",INDIRECT("R"&amp;AD10+1&amp;":$R$140"),0)+ROW()&amp;""),0),0)
+IF(OR(COUNTIF(AO10,"*管理*"),COUNTIF(AO10,"予備")),
AQ10,0),"")</f>
        <v/>
      </c>
      <c r="AH10" s="78" t="str" cm="1">
        <f t="array" aca="1" ref="AH10" ca="1">IFERROR(IF($AD10&lt;&gt;"",INDIRECT("U"&amp;$AD10&amp;""),"")
+IF(COUNTIF(AE10,"*雙葉*"),
IFERROR(INDIRECT("U"&amp;MATCH("*雙葉*",INDIRECT("R"&amp;AD10+1&amp;":$R$140"),0)+ROW()&amp;""),0),0),"")</f>
        <v/>
      </c>
      <c r="AI10" s="78" t="str" cm="1">
        <f t="array" aca="1" ref="AI10" ca="1">IFERROR(IF($AD10&lt;&gt;"",INDIRECT("V"&amp;$AD10&amp;""),"")
+IF(COUNTIF(AE10,"*雙葉*"),
IFERROR(INDIRECT("V"&amp;MATCH("*雙葉*",INDIRECT("R"&amp;AD10+1&amp;":$R$140"),0)+ROW()&amp;""),0),0),"")</f>
        <v/>
      </c>
      <c r="AJ10" s="78" t="str">
        <f t="array" aca="1" ref="AJ10" ca="1">IF($AD10&lt;&gt;"",INDIRECT("W"&amp;$AD10&amp;""),"")</f>
        <v/>
      </c>
      <c r="AK10" s="78" t="str">
        <f t="array" aca="1" ref="AK10" ca="1">IF($AD10&lt;&gt;"",INDIRECT("Y"&amp;$AD10&amp;""),"")</f>
        <v/>
      </c>
      <c r="AL10" s="78" t="str">
        <f t="shared" ca="1" si="14"/>
        <v/>
      </c>
      <c r="AM10" s="78" t="str">
        <f t="shared" ca="1" si="12"/>
        <v/>
      </c>
      <c r="AN10" s="78" t="str">
        <f t="array" aca="1" ref="AN10" ca="1">IF($AD10&lt;&gt;"",INDIRECT("Q"&amp;$AD10&amp;""),"")</f>
        <v/>
      </c>
      <c r="AO10" s="78" t="str">
        <f ca="1">IFERROR(IF(AND(AN10&lt;&gt;"",VLOOKUP(AN10,得意先マスタ!$A$1:$Z$800,24,FALSE)&lt;&gt;0),
VLOOKUP(AN10,得意先マスタ!$A$1:$Z$800,24,FALSE),""),"")</f>
        <v/>
      </c>
      <c r="AP10" s="78" t="str">
        <f ca="1">IFERROR(IF(AND(AN10&lt;&gt;"",VLOOKUP(AN10,得意先マスタ!$A$1:$Z$800,25,FALSE)&lt;&gt;0),
VLOOKUP(AN10,得意先マスタ!$A$1:$Z$800,25,FALSE),""),"")</f>
        <v/>
      </c>
      <c r="AQ10" s="78" t="str">
        <f t="shared" ref="AQ10" ca="1" si="15">IF(AP10&lt;&gt;0,
IF(COUNTIF(AP10,"*.*"),LEFT(AP10, FIND(".", AP10) - 1),AP10),0)</f>
        <v/>
      </c>
      <c r="AR10" s="78">
        <f t="shared" ref="AR10:AR19" ca="1" si="16">IF(AP10&lt;&gt;0,
IF(COUNTIF(AP10,"*.*"),
IF(COUNTIF(AP10,"*.*")=1,MID(AP10, FIND(".", AP10) + 1,LEN(AP10) - FIND(".", AP10)),
MID(AP10, FIND(".", AP10) + 1, FIND(".", AP10, FIND(".", AP10) + 1) - FIND(".", AP10) - 1)),0),0)</f>
        <v>0</v>
      </c>
      <c r="AS10" s="78">
        <f ca="1">IF(AP10&lt;&gt;0,
IF(COUNTIF(AP10,"*.*"),
IF(COUNTIF(AP10,"*.*")=1,"",RIGHT(AP10, LEN(AP10) - FIND(".", AP10, FIND(".", AP10) + 1))),0),0)</f>
        <v>0</v>
      </c>
    </row>
    <row r="11" spans="1:45">
      <c r="A11" t="str">
        <f>IF('数出表_Excel（アレルギー入力）'!AO11&lt;&gt;"",'数出表_Excel（アレルギー入力）'!AO11,"")</f>
        <v/>
      </c>
      <c r="B11" t="str">
        <f t="shared" ca="1" si="0"/>
        <v/>
      </c>
      <c r="C11" t="str">
        <f t="array" aca="1" ref="C11" ca="1">_xlfn.TEXTJOIN("",TRUE,IF(ISERROR(MID(A11,ROW(INDIRECT("1:"&amp;LEN(A11))),1)*1),"",MID(A11,ROW(INDIRECT("1:"&amp;LEN(A11))),1)))</f>
        <v/>
      </c>
      <c r="D11" t="str">
        <f t="array" aca="1" ref="D11" ca="1">IF(A11&lt;&gt;"",COLUMN(INDIRECT($B11&amp;"1")),"")</f>
        <v/>
      </c>
      <c r="E11" t="str">
        <f ca="1">IF(A11&lt;&gt;"",
IF(ISEVEN($C11),
OFFSET('数出表_Excel（アレルギー入力）'!$A$1,$C11-1,0),
OFFSET('数出表_Excel（アレルギー入力）'!$A$1,$C11-2,0)),"")</f>
        <v/>
      </c>
      <c r="F11" t="str">
        <f ca="1">IF(A11&lt;&gt;"",
IF(ISEVEN($C11),
OFFSET('数出表_Excel（アレルギー入力）'!$A$1,$C11,0),
OFFSET('数出表_Excel（アレルギー入力）'!$A$1,$C11-1,0)),"")</f>
        <v/>
      </c>
      <c r="G11" t="str">
        <f ca="1">IF(A11&lt;&gt;"",
IF(AND(OFFSET('数出表_Excel（アレルギー入力）'!$A$1,2,D11-1)&lt;&gt;"",ISTEXT(OFFSET('数出表_Excel（アレルギー入力）'!$A$1,2,D11-1))),OFFSET('数出表_Excel（アレルギー入力）'!$A$1,2,D11-1),""),"")</f>
        <v/>
      </c>
      <c r="H11" t="str">
        <f ca="1">IF(A11&lt;&gt;"",
IF(AND(OFFSET('数出表_Excel（アレルギー入力）'!$A$1,3,D11-1)&lt;&gt;"",ISTEXT(OFFSET('数出表_Excel（アレルギー入力）'!$A$1,3,D11-1))),OFFSET('数出表_Excel（アレルギー入力）'!$A$1,3,D11-1),""),"")</f>
        <v/>
      </c>
      <c r="I11" t="str">
        <f ca="1">IF(A11&lt;&gt;"",
IF(OFFSET('数出表_Excel（アレルギー入力）'!$A$1,4,D11-1)&lt;&gt;"",OFFSET('数出表_Excel（アレルギー入力）'!$A$1,4,D11-1),""),"")</f>
        <v/>
      </c>
      <c r="J11" t="str">
        <f t="shared" ca="1" si="1"/>
        <v/>
      </c>
      <c r="K11" t="str">
        <f ca="1">IF(A11&lt;&gt;"",
IF(ISEVEN($C11),
OFFSET('数出表_Excel（アレルギー入力）'!$A$1,$C11-1,D11-1),
OFFSET('数出表_Excel（アレルギー入力）'!$A$1,$C11-2,D11-1)),"")</f>
        <v/>
      </c>
      <c r="L11" t="str">
        <f ca="1">IF(A11&lt;&gt;"",
IF(ISEVEN($C11),
OFFSET('数出表_Excel（アレルギー入力）'!$A$1,$C11,D11-1),
OFFSET('数出表_Excel（アレルギー入力）'!$A$1,$C11-1,D11-1)),"")</f>
        <v/>
      </c>
      <c r="M11" t="str">
        <f ca="1">IF(A11&lt;&gt;"",
OFFSET('数出表_Excel（アレルギー入力）'!$A$1,$C11-1,D11),"")</f>
        <v/>
      </c>
      <c r="O11" t="str">
        <f>IF(A11&lt;&gt;"",VLOOKUP(G11,注文弁当の抽出!F:G,2,FALSE),"")</f>
        <v/>
      </c>
      <c r="P11" t="str">
        <f ca="1">IF(AND(N11=0, COUNTIFS($E$1:E11,E11)=1), E11,
IF(COUNTIF(F11,"*雙葉*"),E11,""))</f>
        <v/>
      </c>
      <c r="Q11" s="126" t="str" cm="1">
        <f t="array" aca="1" ref="Q11" ca="1">IFERROR(INDEX($P$1:$P$100, SMALL(IF($P$1:$P$100&lt;&gt;"", ROW($P$1:$P$100)), ROW(Q11))), "")</f>
        <v/>
      </c>
      <c r="R11" s="126" t="str">
        <f t="shared" ca="1" si="9"/>
        <v/>
      </c>
      <c r="S11" s="126" t="str">
        <f t="shared" ca="1" si="10"/>
        <v/>
      </c>
      <c r="T11" s="126" t="str">
        <f t="shared" ca="1" si="10"/>
        <v/>
      </c>
      <c r="U11" s="126" t="str">
        <f t="shared" ca="1" si="10"/>
        <v/>
      </c>
      <c r="V11" s="126" t="str">
        <f t="shared" ca="1" si="10"/>
        <v/>
      </c>
      <c r="W11" s="126" t="str">
        <f t="shared" ca="1" si="11"/>
        <v/>
      </c>
      <c r="X11" s="126" t="str" cm="1">
        <f t="array" aca="1" ref="X11" ca="1">IF($Q11&lt;&gt;"",INDIRECT("A"&amp;MATCH(Q11,$E$1:$E$100,0)+ROW()-1&amp;""),"")</f>
        <v/>
      </c>
      <c r="Y11" t="str">
        <f ca="1">IF(Q11&lt;&gt;"",
IF(COUNTIF(S11,"*キャラ*"),
VLOOKUP("*キャラ*",商品マスタ!$D:$E,2,FALSE),
IF(COUNTIF(S11,"*赤*"),
VLOOKUP("*赤*",商品マスタ!$D:$E,2,FALSE),
VLOOKUP("*"&amp;S11&amp;"*",商品マスタ!$D:$E,2,FALSE))),"")</f>
        <v/>
      </c>
      <c r="Z11" t="str">
        <f t="shared" ca="1" si="13"/>
        <v/>
      </c>
      <c r="AA11" t="str">
        <f t="shared" ca="1" si="3"/>
        <v/>
      </c>
      <c r="AC11" t="str">
        <f t="shared" ca="1" si="4"/>
        <v/>
      </c>
      <c r="AD11" s="78" t="str">
        <f t="array" aca="1" ref="AD11" ca="1">IF(AND(IFERROR(COUNTIF(INDIRECT("R"&amp;IFERROR(SMALL(IF(AC$1:AC$140&lt;&gt;0,AC$1:AC$140),ROW(A11)),"")&amp;""),"*雙葉*"),0),COUNTIF(AE$1:AE10,"*雙葉*")),"",
IFERROR(SMALL(IF(AC$1:AC$140&lt;&gt;0,AC$1:AC$140),ROW(A11)),""))</f>
        <v/>
      </c>
      <c r="AE11" s="78" t="str">
        <f t="array" aca="1" ref="AE11" ca="1">IF($AD11&lt;&gt;"",INDIRECT("R"&amp;$AD11&amp;""),"")</f>
        <v/>
      </c>
      <c r="AF11" s="78" t="str">
        <f t="array" aca="1" ref="AF11" ca="1">IF($AD11&lt;&gt;"",
IF(INDIRECT("S"&amp;$AD11&amp;"")&lt;&gt;"",INDIRECT("S"&amp;$AD11&amp;""),""),"")</f>
        <v/>
      </c>
      <c r="AG11" s="78" t="str" cm="1">
        <f t="array" aca="1" ref="AG11" ca="1">IFERROR(IF($AD11&lt;&gt;"",INDIRECT("T"&amp;$AD11&amp;""),"")
+IF(COUNTIF(AE11,"*雙葉*"),
IFERROR(INDIRECT("T"&amp;MATCH("*雙葉*",INDIRECT("R"&amp;AD11+1&amp;":$R$140"),0)+ROW()&amp;""),0),0)
+IF(OR(COUNTIF(AO11,"*管理*"),COUNTIF(AO11,"予備")),
AQ11,0),"")</f>
        <v/>
      </c>
      <c r="AH11" s="78" t="str" cm="1">
        <f t="array" aca="1" ref="AH11" ca="1">IFERROR(IF($AD11&lt;&gt;"",INDIRECT("U"&amp;$AD11&amp;""),"")
+IF(COUNTIF(AE11,"*雙葉*"),
IFERROR(INDIRECT("U"&amp;MATCH("*雙葉*",INDIRECT("R"&amp;AD11+1&amp;":$R$140"),0)+ROW()&amp;""),0),0),"")</f>
        <v/>
      </c>
      <c r="AI11" s="78" t="str" cm="1">
        <f t="array" aca="1" ref="AI11" ca="1">IFERROR(IF($AD11&lt;&gt;"",INDIRECT("V"&amp;$AD11&amp;""),"")
+IF(COUNTIF(AE11,"*雙葉*"),
IFERROR(INDIRECT("V"&amp;MATCH("*雙葉*",INDIRECT("R"&amp;AD11+1&amp;":$R$140"),0)+ROW()&amp;""),0),0),"")</f>
        <v/>
      </c>
      <c r="AJ11" s="78" t="str">
        <f t="array" aca="1" ref="AJ11" ca="1">IF($AD11&lt;&gt;"",INDIRECT("W"&amp;$AD11&amp;""),"")</f>
        <v/>
      </c>
      <c r="AK11" s="78" t="str">
        <f t="array" aca="1" ref="AK11" ca="1">IF($AD11&lt;&gt;"",INDIRECT("Y"&amp;$AD11&amp;""),"")</f>
        <v/>
      </c>
      <c r="AL11" s="78" t="str">
        <f t="shared" ca="1" si="14"/>
        <v/>
      </c>
      <c r="AM11" s="78" t="str">
        <f t="shared" ca="1" si="12"/>
        <v/>
      </c>
      <c r="AN11" s="78" t="str">
        <f t="array" aca="1" ref="AN11" ca="1">IF($AD11&lt;&gt;"",INDIRECT("Q"&amp;$AD11&amp;""),"")</f>
        <v/>
      </c>
      <c r="AO11" s="78" t="str">
        <f ca="1">IFERROR(IF(AND(AN11&lt;&gt;"",VLOOKUP(AN11,得意先マスタ!$A$1:$Z$800,24,FALSE)&lt;&gt;0),
VLOOKUP(AN11,得意先マスタ!$A$1:$Z$800,24,FALSE),""),"")</f>
        <v/>
      </c>
      <c r="AP11" s="78" t="str">
        <f ca="1">IFERROR(IF(AND(AN11&lt;&gt;"",VLOOKUP(AN11,得意先マスタ!$A$1:$Z$800,25,FALSE)&lt;&gt;0),
VLOOKUP(AN11,得意先マスタ!$A$1:$Z$800,25,FALSE),""),"")</f>
        <v/>
      </c>
      <c r="AQ11" s="78" t="str">
        <f t="shared" ca="1" si="6"/>
        <v/>
      </c>
      <c r="AR11" s="78">
        <f t="shared" ca="1" si="16"/>
        <v>0</v>
      </c>
      <c r="AS11" s="78">
        <f t="shared" ref="AS11:AS74" ca="1" si="17">IF(AP11&lt;&gt;0,
IF(COUNTIF(AP11,"*.*"),
IF(COUNTIF(AP11,"*.*")=1,"",RIGHT(AP11, LEN(AP11) - FIND(".", AP11, FIND(".", AP11) + 1))),0),0)</f>
        <v>0</v>
      </c>
    </row>
    <row r="12" spans="1:45">
      <c r="A12" t="str">
        <f>IF('数出表_Excel（アレルギー入力）'!AO12&lt;&gt;"",'数出表_Excel（アレルギー入力）'!AO12,"")</f>
        <v/>
      </c>
      <c r="B12" t="str">
        <f t="shared" ca="1" si="0"/>
        <v/>
      </c>
      <c r="C12" t="str">
        <f t="array" aca="1" ref="C12" ca="1">_xlfn.TEXTJOIN("",TRUE,IF(ISERROR(MID(A12,ROW(INDIRECT("1:"&amp;LEN(A12))),1)*1),"",MID(A12,ROW(INDIRECT("1:"&amp;LEN(A12))),1)))</f>
        <v/>
      </c>
      <c r="D12" t="str">
        <f t="array" aca="1" ref="D12" ca="1">IF(A12&lt;&gt;"",COLUMN(INDIRECT($B12&amp;"1")),"")</f>
        <v/>
      </c>
      <c r="E12" t="str">
        <f ca="1">IF(A12&lt;&gt;"",
IF(ISEVEN($C12),
OFFSET('数出表_Excel（アレルギー入力）'!$A$1,$C12-1,0),
OFFSET('数出表_Excel（アレルギー入力）'!$A$1,$C12-2,0)),"")</f>
        <v/>
      </c>
      <c r="F12" t="str">
        <f ca="1">IF(A12&lt;&gt;"",
IF(ISEVEN($C12),
OFFSET('数出表_Excel（アレルギー入力）'!$A$1,$C12,0),
OFFSET('数出表_Excel（アレルギー入力）'!$A$1,$C12+1,0)),"")</f>
        <v/>
      </c>
      <c r="G12" t="str">
        <f ca="1">IF(A12&lt;&gt;"",
IF(AND(OFFSET('数出表_Excel（アレルギー入力）'!$A$1,2,D12-1)&lt;&gt;"",ISTEXT(OFFSET('数出表_Excel（アレルギー入力）'!$A$1,2,D12-1))),OFFSET('数出表_Excel（アレルギー入力）'!$A$1,2,D12-1),""),"")</f>
        <v/>
      </c>
      <c r="H12" t="str">
        <f ca="1">IF(A12&lt;&gt;"",
IF(AND(OFFSET('数出表_Excel（アレルギー入力）'!$A$1,3,D12-1)&lt;&gt;"",ISTEXT(OFFSET('数出表_Excel（アレルギー入力）'!$A$1,3,D12-1))),OFFSET('数出表_Excel（アレルギー入力）'!$A$1,3,D12-1),""),"")</f>
        <v/>
      </c>
      <c r="I12" t="str">
        <f ca="1">IF(A12&lt;&gt;"",
IF(OFFSET('数出表_Excel（アレルギー入力）'!$A$1,4,D12-1)&lt;&gt;"",OFFSET('数出表_Excel（アレルギー入力）'!$A$1,4,D12-1),""),"")</f>
        <v/>
      </c>
      <c r="J12" t="str">
        <f t="shared" ca="1" si="1"/>
        <v/>
      </c>
      <c r="K12" t="str">
        <f ca="1">IF(A12&lt;&gt;"",
IF(ISEVEN($C12),
OFFSET('数出表_Excel（アレルギー入力）'!$A$1,$C12-1,D12-1),
OFFSET('数出表_Excel（アレルギー入力）'!$A$1,$C12-2,D12-1)),"")</f>
        <v/>
      </c>
      <c r="L12" t="str">
        <f ca="1">IF(A12&lt;&gt;"",
IF(ISEVEN($C12),
OFFSET('数出表_Excel（アレルギー入力）'!$A$1,$C12,D12-1),
OFFSET('数出表_Excel（アレルギー入力）'!$A$1,$C12-1,D12-1)),"")</f>
        <v/>
      </c>
      <c r="M12" t="str">
        <f ca="1">IF(A12&lt;&gt;"",
OFFSET('数出表_Excel（アレルギー入力）'!$A$1,$C12-1,D12),"")</f>
        <v/>
      </c>
      <c r="O12" t="str">
        <f>IF(A12&lt;&gt;"",VLOOKUP(G12,注文弁当の抽出!F:G,2,FALSE),"")</f>
        <v/>
      </c>
      <c r="P12" t="str">
        <f ca="1">IF(AND(N12=0, COUNTIFS($E$1:E12,E12)=1), E12,
IF(COUNTIF(F12,"*雙葉*"),E12,""))</f>
        <v/>
      </c>
      <c r="Q12" s="126" t="str" cm="1">
        <f t="array" aca="1" ref="Q12" ca="1">IFERROR(INDEX($P$1:$P$100, SMALL(IF($P$1:$P$100&lt;&gt;"", ROW($P$1:$P$100)), ROW(Q12))), "")</f>
        <v/>
      </c>
      <c r="R12" s="126" t="str">
        <f t="shared" ca="1" si="9"/>
        <v/>
      </c>
      <c r="S12" s="126" t="str">
        <f t="shared" ca="1" si="10"/>
        <v/>
      </c>
      <c r="T12" s="126" t="str">
        <f t="shared" ca="1" si="10"/>
        <v/>
      </c>
      <c r="U12" s="126" t="str">
        <f t="shared" ca="1" si="10"/>
        <v/>
      </c>
      <c r="V12" s="126" t="str">
        <f t="shared" ca="1" si="10"/>
        <v/>
      </c>
      <c r="W12" s="126" t="str">
        <f t="shared" ca="1" si="11"/>
        <v/>
      </c>
      <c r="X12" s="126" t="str" cm="1">
        <f t="array" aca="1" ref="X12" ca="1">IF($Q12&lt;&gt;"",INDIRECT("A"&amp;MATCH(Q12,$E$1:$E$100,0)+ROW()-1&amp;""),"")</f>
        <v/>
      </c>
      <c r="Y12" t="str">
        <f ca="1">IF(Q12&lt;&gt;"",
IF(COUNTIF(S12,"*キャラ*"),
VLOOKUP("*キャラ*",商品マスタ!$D:$E,2,FALSE),
IF(COUNTIF(S12,"*赤*"),
VLOOKUP("*赤*",商品マスタ!$D:$E,2,FALSE),
VLOOKUP("*"&amp;S12&amp;"*",商品マスタ!$D:$E,2,FALSE))),"")</f>
        <v/>
      </c>
      <c r="Z12" t="str">
        <f t="shared" ca="1" si="13"/>
        <v/>
      </c>
      <c r="AA12" t="str">
        <f t="shared" ca="1" si="3"/>
        <v/>
      </c>
      <c r="AC12" t="str">
        <f t="shared" ca="1" si="4"/>
        <v/>
      </c>
      <c r="AD12" s="78" t="str">
        <f t="array" aca="1" ref="AD12" ca="1">IF(AND(IFERROR(COUNTIF(INDIRECT("R"&amp;IFERROR(SMALL(IF(AC$1:AC$140&lt;&gt;0,AC$1:AC$140),ROW(A12)),"")&amp;""),"*雙葉*"),0),COUNTIF(AE$1:AE11,"*雙葉*")),"",
IFERROR(SMALL(IF(AC$1:AC$140&lt;&gt;0,AC$1:AC$140),ROW(A12)),""))</f>
        <v/>
      </c>
      <c r="AE12" s="78" t="str">
        <f t="array" aca="1" ref="AE12" ca="1">IF($AD12&lt;&gt;"",INDIRECT("R"&amp;$AD12&amp;""),"")</f>
        <v/>
      </c>
      <c r="AF12" s="78" t="str">
        <f t="array" aca="1" ref="AF12" ca="1">IF($AD12&lt;&gt;"",
IF(INDIRECT("S"&amp;$AD12&amp;"")&lt;&gt;"",INDIRECT("S"&amp;$AD12&amp;""),""),"")</f>
        <v/>
      </c>
      <c r="AG12" s="78" t="str" cm="1">
        <f t="array" aca="1" ref="AG12" ca="1">IFERROR(IF($AD12&lt;&gt;"",INDIRECT("T"&amp;$AD12&amp;""),"")
+IF(COUNTIF(AE12,"*雙葉*"),
IFERROR(INDIRECT("T"&amp;MATCH("*雙葉*",INDIRECT("R"&amp;AD12+1&amp;":$R$140"),0)+ROW()&amp;""),0),0)
+IF(OR(COUNTIF(AO12,"*管理*"),COUNTIF(AO12,"予備")),
AQ12,0),"")</f>
        <v/>
      </c>
      <c r="AH12" s="78" t="str" cm="1">
        <f t="array" aca="1" ref="AH12" ca="1">IFERROR(IF($AD12&lt;&gt;"",INDIRECT("U"&amp;$AD12&amp;""),"")
+IF(COUNTIF(AE12,"*雙葉*"),
IFERROR(INDIRECT("U"&amp;MATCH("*雙葉*",INDIRECT("R"&amp;AD12+1&amp;":$R$140"),0)+ROW()&amp;""),0),0),"")</f>
        <v/>
      </c>
      <c r="AI12" s="78" t="str" cm="1">
        <f t="array" aca="1" ref="AI12" ca="1">IFERROR(IF($AD12&lt;&gt;"",INDIRECT("V"&amp;$AD12&amp;""),"")
+IF(COUNTIF(AE12,"*雙葉*"),
IFERROR(INDIRECT("V"&amp;MATCH("*雙葉*",INDIRECT("R"&amp;AD12+1&amp;":$R$140"),0)+ROW()&amp;""),0),0),"")</f>
        <v/>
      </c>
      <c r="AJ12" s="78" t="str">
        <f t="array" aca="1" ref="AJ12" ca="1">IF($AD12&lt;&gt;"",INDIRECT("W"&amp;$AD12&amp;""),"")</f>
        <v/>
      </c>
      <c r="AK12" s="78" t="str">
        <f t="array" aca="1" ref="AK12" ca="1">IF($AD12&lt;&gt;"",INDIRECT("Y"&amp;$AD12&amp;""),"")</f>
        <v/>
      </c>
      <c r="AL12" s="78" t="str">
        <f t="shared" ca="1" si="14"/>
        <v/>
      </c>
      <c r="AM12" s="78" t="str">
        <f t="shared" ca="1" si="12"/>
        <v/>
      </c>
      <c r="AN12" s="78" t="str">
        <f t="array" aca="1" ref="AN12" ca="1">IF($AD12&lt;&gt;"",INDIRECT("Q"&amp;$AD12&amp;""),"")</f>
        <v/>
      </c>
      <c r="AO12" s="78" t="str">
        <f ca="1">IFERROR(IF(AND(AN12&lt;&gt;"",VLOOKUP(AN12,得意先マスタ!$A$1:$Z$800,24,FALSE)&lt;&gt;0),
VLOOKUP(AN12,得意先マスタ!$A$1:$Z$800,24,FALSE),""),"")</f>
        <v/>
      </c>
      <c r="AP12" s="78" t="str">
        <f ca="1">IFERROR(IF(AND(AN12&lt;&gt;"",VLOOKUP(AN12,得意先マスタ!$A$1:$Z$800,25,FALSE)&lt;&gt;0),
VLOOKUP(AN12,得意先マスタ!$A$1:$Z$800,25,FALSE),""),"")</f>
        <v/>
      </c>
      <c r="AQ12" s="78" t="str">
        <f t="shared" ca="1" si="6"/>
        <v/>
      </c>
      <c r="AR12" s="78">
        <f t="shared" ca="1" si="16"/>
        <v>0</v>
      </c>
      <c r="AS12" s="78">
        <f t="shared" ca="1" si="17"/>
        <v>0</v>
      </c>
    </row>
    <row r="13" spans="1:45">
      <c r="A13" t="str">
        <f>IF('数出表_Excel（アレルギー入力）'!AO13&lt;&gt;"",'数出表_Excel（アレルギー入力）'!AO13,"")</f>
        <v/>
      </c>
      <c r="B13" t="str">
        <f t="shared" ca="1" si="0"/>
        <v/>
      </c>
      <c r="C13" t="str">
        <f t="array" aca="1" ref="C13" ca="1">_xlfn.TEXTJOIN("",TRUE,IF(ISERROR(MID(A13,ROW(INDIRECT("1:"&amp;LEN(A13))),1)*1),"",MID(A13,ROW(INDIRECT("1:"&amp;LEN(A13))),1)))</f>
        <v/>
      </c>
      <c r="D13" t="str">
        <f t="array" aca="1" ref="D13" ca="1">IF(A13&lt;&gt;"",COLUMN(INDIRECT($B13&amp;"1")),"")</f>
        <v/>
      </c>
      <c r="E13" t="str">
        <f ca="1">IF(A13&lt;&gt;"",
IF(ISEVEN($C13),
OFFSET('数出表_Excel（アレルギー入力）'!$A$1,$C13-1,0),
OFFSET('数出表_Excel（アレルギー入力）'!$A$1,$C13,0)),"")</f>
        <v/>
      </c>
      <c r="F13" t="str">
        <f ca="1">IF(A13&lt;&gt;"",
IF(ISEVEN($C13),
OFFSET('数出表_Excel（アレルギー入力）'!$A$1,$C13,0),
OFFSET('数出表_Excel（アレルギー入力）'!$A$1,$C13+1,0)),"")</f>
        <v/>
      </c>
      <c r="G13" t="str">
        <f ca="1">IF(A13&lt;&gt;"",
IF(AND(OFFSET('数出表_Excel（アレルギー入力）'!$A$1,2,D13-1)&lt;&gt;"",ISTEXT(OFFSET('数出表_Excel（アレルギー入力）'!$A$1,2,D13-1))),OFFSET('数出表_Excel（アレルギー入力）'!$A$1,2,D13-1),""),"")</f>
        <v/>
      </c>
      <c r="H13" t="str">
        <f ca="1">IF(A13&lt;&gt;"",
IF(AND(OFFSET('数出表_Excel（アレルギー入力）'!$A$1,3,D13-1)&lt;&gt;"",ISTEXT(OFFSET('数出表_Excel（アレルギー入力）'!$A$1,3,D13-1))),OFFSET('数出表_Excel（アレルギー入力）'!$A$1,3,D13-1),""),"")</f>
        <v/>
      </c>
      <c r="I13" t="str">
        <f ca="1">IF(A13&lt;&gt;"",
IF(OFFSET('数出表_Excel（アレルギー入力）'!$A$1,4,D13-1)&lt;&gt;"",OFFSET('数出表_Excel（アレルギー入力）'!$A$1,4,D13-1),""),"")</f>
        <v/>
      </c>
      <c r="J13" t="str">
        <f t="shared" ca="1" si="1"/>
        <v/>
      </c>
      <c r="K13" t="str">
        <f ca="1">IF(A13&lt;&gt;"",
OFFSET('数出表_Excel（アレルギー入力）'!$A$1,$C13-1,D13-1),"")</f>
        <v/>
      </c>
      <c r="L13" t="str">
        <f ca="1">IF(A13&lt;&gt;"",
IF(ISEVEN($C13),
OFFSET('数出表_Excel（アレルギー入力）'!$A$1,$C13,D13-1),
OFFSET('数出表_Excel（アレルギー入力）'!$A$1,$C13-1,D13-1)),"")</f>
        <v/>
      </c>
      <c r="M13" t="str">
        <f ca="1">IF(A13&lt;&gt;"",
IF(ISODD(D13),
"アレルギー",
OFFSET('数出表_Excel（アレルギー入力）'!$A$1,$C13-1,D13)),"")</f>
        <v/>
      </c>
      <c r="O13" t="str">
        <f>IF(A13&lt;&gt;"",VLOOKUP(G13,注文弁当の抽出!F:G,2,FALSE),"")</f>
        <v/>
      </c>
      <c r="P13" t="str">
        <f ca="1">IF(AND(N13=0, COUNTIFS($E$1:E13,E13)=1), E13,
IF(COUNTIF(F13,"*雙葉*"),E13,""))</f>
        <v/>
      </c>
      <c r="Q13" s="126" t="str" cm="1">
        <f t="array" aca="1" ref="Q13" ca="1">IFERROR(INDEX($P$1:$P$100, SMALL(IF($P$1:$P$100&lt;&gt;"", ROW($P$1:$P$100)), ROW(Q13))), "")</f>
        <v/>
      </c>
      <c r="R13" s="126" t="str">
        <f t="shared" ca="1" si="9"/>
        <v/>
      </c>
      <c r="S13" s="126" t="str">
        <f t="shared" ca="1" si="10"/>
        <v/>
      </c>
      <c r="T13" s="126" t="str">
        <f t="shared" ca="1" si="10"/>
        <v/>
      </c>
      <c r="U13" s="126" t="str">
        <f t="shared" ca="1" si="10"/>
        <v/>
      </c>
      <c r="V13" s="126" t="str">
        <f t="shared" ca="1" si="10"/>
        <v/>
      </c>
      <c r="W13" s="126" t="str">
        <f t="shared" ca="1" si="11"/>
        <v/>
      </c>
      <c r="X13" s="126" t="str" cm="1">
        <f t="array" aca="1" ref="X13" ca="1">IF($Q13&lt;&gt;"",INDIRECT("A"&amp;MATCH(Q13,$E$1:$E$100,0)+ROW()-1&amp;""),"")</f>
        <v/>
      </c>
      <c r="Y13" t="str">
        <f ca="1">IF(Q13&lt;&gt;"",
IF(COUNTIF(S13,"*キャラ*"),
VLOOKUP("*キャラ*",商品マスタ!$D:$E,2,FALSE),
IF(COUNTIF(S13,"*赤*"),
VLOOKUP("*赤*",商品マスタ!$D:$E,2,FALSE),
VLOOKUP("*"&amp;S13&amp;"*",商品マスタ!$D:$E,2,FALSE))),"")</f>
        <v/>
      </c>
      <c r="Z13" t="str">
        <f t="shared" ca="1" si="13"/>
        <v/>
      </c>
      <c r="AA13" t="str">
        <f t="shared" ca="1" si="3"/>
        <v/>
      </c>
      <c r="AC13" t="str">
        <f t="shared" ca="1" si="4"/>
        <v/>
      </c>
      <c r="AD13" s="78" t="str">
        <f t="array" aca="1" ref="AD13" ca="1">IF(AND(IFERROR(COUNTIF(INDIRECT("R"&amp;IFERROR(SMALL(IF(AC$1:AC$140&lt;&gt;0,AC$1:AC$140),ROW(A13)),"")&amp;""),"*雙葉*"),0),COUNTIF(AE$1:AE12,"*雙葉*")),"",
IFERROR(SMALL(IF(AC$1:AC$140&lt;&gt;0,AC$1:AC$140),ROW(A13)),""))</f>
        <v/>
      </c>
      <c r="AE13" s="78" t="str">
        <f t="array" aca="1" ref="AE13" ca="1">IF($AD13&lt;&gt;"",INDIRECT("R"&amp;$AD13&amp;""),"")</f>
        <v/>
      </c>
      <c r="AF13" s="78" t="str">
        <f t="array" aca="1" ref="AF13" ca="1">IF($AD13&lt;&gt;"",
IF(INDIRECT("S"&amp;$AD13&amp;"")&lt;&gt;"",INDIRECT("S"&amp;$AD13&amp;""),""),"")</f>
        <v/>
      </c>
      <c r="AG13" s="78" t="str" cm="1">
        <f t="array" aca="1" ref="AG13" ca="1">IFERROR(IF($AD13&lt;&gt;"",INDIRECT("T"&amp;$AD13&amp;""),"")
+IF(COUNTIF(AE13,"*雙葉*"),
IFERROR(INDIRECT("T"&amp;MATCH("*雙葉*",INDIRECT("R"&amp;AD13+1&amp;":$R$140"),0)+ROW()&amp;""),0),0)
+IF(OR(COUNTIF(AO13,"*管理*"),COUNTIF(AO13,"予備")),
AQ13,0),"")</f>
        <v/>
      </c>
      <c r="AH13" s="78" t="str" cm="1">
        <f t="array" aca="1" ref="AH13" ca="1">IFERROR(IF($AD13&lt;&gt;"",INDIRECT("U"&amp;$AD13&amp;""),"")
+IF(COUNTIF(AE13,"*雙葉*"),
IFERROR(INDIRECT("U"&amp;MATCH("*雙葉*",INDIRECT("R"&amp;AD13+1&amp;":$R$140"),0)+ROW()&amp;""),0),0),"")</f>
        <v/>
      </c>
      <c r="AI13" s="78" t="str" cm="1">
        <f t="array" aca="1" ref="AI13" ca="1">IFERROR(IF($AD13&lt;&gt;"",INDIRECT("V"&amp;$AD13&amp;""),"")
+IF(COUNTIF(AE13,"*雙葉*"),
IFERROR(INDIRECT("V"&amp;MATCH("*雙葉*",INDIRECT("R"&amp;AD13+1&amp;":$R$140"),0)+ROW()&amp;""),0),0),"")</f>
        <v/>
      </c>
      <c r="AJ13" s="78" t="str">
        <f t="array" aca="1" ref="AJ13" ca="1">IF($AD13&lt;&gt;"",INDIRECT("W"&amp;$AD13&amp;""),"")</f>
        <v/>
      </c>
      <c r="AK13" s="78" t="str">
        <f t="array" aca="1" ref="AK13" ca="1">IF($AD13&lt;&gt;"",INDIRECT("Y"&amp;$AD13&amp;""),"")</f>
        <v/>
      </c>
      <c r="AL13" s="78" t="str">
        <f t="shared" ca="1" si="14"/>
        <v/>
      </c>
      <c r="AM13" s="78" t="str">
        <f t="shared" ca="1" si="12"/>
        <v/>
      </c>
      <c r="AN13" s="78" t="str">
        <f t="array" aca="1" ref="AN13" ca="1">IF($AD13&lt;&gt;"",INDIRECT("Q"&amp;$AD13&amp;""),"")</f>
        <v/>
      </c>
      <c r="AO13" s="78" t="str">
        <f ca="1">IFERROR(IF(AND(AN13&lt;&gt;"",VLOOKUP(AN13,得意先マスタ!$A$1:$Z$800,24,FALSE)&lt;&gt;0),
VLOOKUP(AN13,得意先マスタ!$A$1:$Z$800,24,FALSE),""),"")</f>
        <v/>
      </c>
      <c r="AP13" s="78" t="str">
        <f ca="1">IFERROR(IF(AND(AN13&lt;&gt;"",VLOOKUP(AN13,得意先マスタ!$A$1:$Z$800,25,FALSE)&lt;&gt;0),
VLOOKUP(AN13,得意先マスタ!$A$1:$Z$800,25,FALSE),""),"")</f>
        <v/>
      </c>
      <c r="AQ13" s="78" t="str">
        <f t="shared" ca="1" si="6"/>
        <v/>
      </c>
      <c r="AR13" s="78">
        <f t="shared" ca="1" si="16"/>
        <v>0</v>
      </c>
      <c r="AS13" s="78">
        <f t="shared" ca="1" si="17"/>
        <v>0</v>
      </c>
    </row>
    <row r="14" spans="1:45">
      <c r="A14" t="str">
        <f>IF('数出表_Excel（アレルギー入力）'!AO14&lt;&gt;"",'数出表_Excel（アレルギー入力）'!AO14,"")</f>
        <v/>
      </c>
      <c r="B14" t="str">
        <f t="shared" ca="1" si="0"/>
        <v/>
      </c>
      <c r="C14" t="str">
        <f t="array" aca="1" ref="C14" ca="1">_xlfn.TEXTJOIN("",TRUE,IF(ISERROR(MID(A14,ROW(INDIRECT("1:"&amp;LEN(A14))),1)*1),"",MID(A14,ROW(INDIRECT("1:"&amp;LEN(A14))),1)))</f>
        <v/>
      </c>
      <c r="D14" t="str">
        <f t="array" aca="1" ref="D14" ca="1">IF(A14&lt;&gt;"",COLUMN(INDIRECT($B14&amp;"1")),"")</f>
        <v/>
      </c>
      <c r="E14" t="str">
        <f ca="1">IF(A14&lt;&gt;"",
IF(ISEVEN($C14),
OFFSET('数出表_Excel（アレルギー入力）'!$A$1,$C14-1,0),
OFFSET('数出表_Excel（アレルギー入力）'!$A$1,$C14,0)),"")</f>
        <v/>
      </c>
      <c r="F14" t="str">
        <f ca="1">IF(A14&lt;&gt;"",
IF(ISEVEN($C14),
OFFSET('数出表_Excel（アレルギー入力）'!$A$1,$C14,0),
OFFSET('数出表_Excel（アレルギー入力）'!$A$1,$C14+1,0)),"")</f>
        <v/>
      </c>
      <c r="G14" t="str">
        <f ca="1">IF(A14&lt;&gt;"",
IF(AND(OFFSET('数出表_Excel（アレルギー入力）'!$A$1,2,D14-1)&lt;&gt;"",ISTEXT(OFFSET('数出表_Excel（アレルギー入力）'!$A$1,2,D14-1))),OFFSET('数出表_Excel（アレルギー入力）'!$A$1,2,D14-1),""),"")</f>
        <v/>
      </c>
      <c r="H14" t="str">
        <f ca="1">IF(A14&lt;&gt;"",
IF(AND(OFFSET('数出表_Excel（アレルギー入力）'!$A$1,3,D14-1)&lt;&gt;"",ISTEXT(OFFSET('数出表_Excel（アレルギー入力）'!$A$1,3,D14-1))),OFFSET('数出表_Excel（アレルギー入力）'!$A$1,3,D14-1),""),"")</f>
        <v/>
      </c>
      <c r="I14" t="str">
        <f ca="1">IF(A14&lt;&gt;"",
IF(OFFSET('数出表_Excel（アレルギー入力）'!$A$1,4,D14-1)&lt;&gt;"",OFFSET('数出表_Excel（アレルギー入力）'!$A$1,4,D14-1),""),"")</f>
        <v/>
      </c>
      <c r="J14" t="str">
        <f t="shared" ca="1" si="1"/>
        <v/>
      </c>
      <c r="K14" t="str">
        <f ca="1">IF(A14&lt;&gt;"",
OFFSET('数出表_Excel（アレルギー入力）'!$A$1,$C14-1,D14-1),"")</f>
        <v/>
      </c>
      <c r="L14" t="str">
        <f ca="1">IF(A14&lt;&gt;"",
IF(ISEVEN($C14),
OFFSET('数出表_Excel（アレルギー入力）'!$A$1,$C14,D14-1),
OFFSET('数出表_Excel（アレルギー入力）'!$A$1,$C14-1,D14-1)),"")</f>
        <v/>
      </c>
      <c r="M14" t="str">
        <f ca="1">IF(A14&lt;&gt;"",
IF(ISODD(D14),
"アレルギー",
OFFSET('数出表_Excel（アレルギー入力）'!$A$1,$C14-1,D14)),"")</f>
        <v/>
      </c>
      <c r="O14" t="str">
        <f>IF(A14&lt;&gt;"",VLOOKUP(G14,注文弁当の抽出!F:G,2,FALSE),"")</f>
        <v/>
      </c>
      <c r="P14" t="str">
        <f ca="1">IF(AND(N14=0, COUNTIFS($E$1:E14,E14)=1), E14,
IF(COUNTIF(F14,"*雙葉*"),E14,""))</f>
        <v/>
      </c>
      <c r="Q14" s="126" t="str" cm="1">
        <f t="array" aca="1" ref="Q14" ca="1">IFERROR(INDEX($P$1:$P$100, SMALL(IF($P$1:$P$100&lt;&gt;"", ROW($P$1:$P$100)), ROW(Q14))), "")</f>
        <v/>
      </c>
      <c r="R14" s="126" t="str">
        <f t="shared" ca="1" si="9"/>
        <v/>
      </c>
      <c r="S14" s="126" t="str">
        <f t="shared" ca="1" si="10"/>
        <v/>
      </c>
      <c r="T14" s="126" t="str">
        <f t="shared" ca="1" si="10"/>
        <v/>
      </c>
      <c r="U14" s="126" t="str">
        <f t="shared" ca="1" si="10"/>
        <v/>
      </c>
      <c r="V14" s="126" t="str">
        <f t="shared" ca="1" si="10"/>
        <v/>
      </c>
      <c r="W14" s="126" t="str">
        <f t="shared" ca="1" si="11"/>
        <v/>
      </c>
      <c r="X14" s="126" t="str" cm="1">
        <f t="array" aca="1" ref="X14" ca="1">IF($Q14&lt;&gt;"",INDIRECT("A"&amp;MATCH(Q14,$E$1:$E$100,0)+ROW()-1&amp;""),"")</f>
        <v/>
      </c>
      <c r="Y14" t="str">
        <f ca="1">IF(Q14&lt;&gt;"",
IF(COUNTIF(S14,"*キャラ*"),
VLOOKUP("*キャラ*",商品マスタ!$D:$E,2,FALSE),
IF(COUNTIF(S14,"*赤*"),
VLOOKUP("*赤*",商品マスタ!$D:$E,2,FALSE),
VLOOKUP("*"&amp;S14&amp;"*",商品マスタ!$D:$E,2,FALSE))),"")</f>
        <v/>
      </c>
      <c r="Z14" t="str">
        <f t="shared" ca="1" si="13"/>
        <v/>
      </c>
      <c r="AA14" t="str">
        <f t="shared" ca="1" si="3"/>
        <v/>
      </c>
      <c r="AC14" t="str">
        <f t="shared" ca="1" si="4"/>
        <v/>
      </c>
      <c r="AD14" s="78" t="str">
        <f t="array" aca="1" ref="AD14" ca="1">IF(AND(IFERROR(COUNTIF(INDIRECT("R"&amp;IFERROR(SMALL(IF(AC$1:AC$140&lt;&gt;0,AC$1:AC$140),ROW(A14)),"")&amp;""),"*雙葉*"),0),COUNTIF(AE$1:AE13,"*雙葉*")),"",
IFERROR(SMALL(IF(AC$1:AC$140&lt;&gt;0,AC$1:AC$140),ROW(A14)),""))</f>
        <v/>
      </c>
      <c r="AE14" s="78" t="str">
        <f t="array" aca="1" ref="AE14" ca="1">IF($AD14&lt;&gt;"",INDIRECT("R"&amp;$AD14&amp;""),"")</f>
        <v/>
      </c>
      <c r="AF14" s="78" t="str">
        <f t="array" aca="1" ref="AF14" ca="1">IF($AD14&lt;&gt;"",
IF(INDIRECT("S"&amp;$AD14&amp;"")&lt;&gt;"",INDIRECT("S"&amp;$AD14&amp;""),""),"")</f>
        <v/>
      </c>
      <c r="AG14" s="78" t="str" cm="1">
        <f t="array" aca="1" ref="AG14" ca="1">IFERROR(IF($AD14&lt;&gt;"",INDIRECT("T"&amp;$AD14&amp;""),"")
+IF(COUNTIF(AE14,"*雙葉*"),
IFERROR(INDIRECT("T"&amp;MATCH("*雙葉*",INDIRECT("R"&amp;AD14+1&amp;":$R$140"),0)+ROW()&amp;""),0),0)
+IF(OR(COUNTIF(AO14,"*管理*"),COUNTIF(AO14,"予備")),
AQ14,0),"")</f>
        <v/>
      </c>
      <c r="AH14" s="78" t="str" cm="1">
        <f t="array" aca="1" ref="AH14" ca="1">IFERROR(IF($AD14&lt;&gt;"",INDIRECT("U"&amp;$AD14&amp;""),"")
+IF(COUNTIF(AE14,"*雙葉*"),
IFERROR(INDIRECT("U"&amp;MATCH("*雙葉*",INDIRECT("R"&amp;AD14+1&amp;":$R$140"),0)+ROW()&amp;""),0),0),"")</f>
        <v/>
      </c>
      <c r="AI14" s="78" t="str" cm="1">
        <f t="array" aca="1" ref="AI14" ca="1">IFERROR(IF($AD14&lt;&gt;"",INDIRECT("V"&amp;$AD14&amp;""),"")
+IF(COUNTIF(AE14,"*雙葉*"),
IFERROR(INDIRECT("V"&amp;MATCH("*雙葉*",INDIRECT("R"&amp;AD14+1&amp;":$R$140"),0)+ROW()&amp;""),0),0),"")</f>
        <v/>
      </c>
      <c r="AJ14" s="78" t="str">
        <f t="array" aca="1" ref="AJ14" ca="1">IF($AD14&lt;&gt;"",INDIRECT("W"&amp;$AD14&amp;""),"")</f>
        <v/>
      </c>
      <c r="AK14" s="78" t="str">
        <f t="array" aca="1" ref="AK14" ca="1">IF($AD14&lt;&gt;"",INDIRECT("Y"&amp;$AD14&amp;""),"")</f>
        <v/>
      </c>
      <c r="AL14" s="78" t="str">
        <f t="shared" ca="1" si="14"/>
        <v/>
      </c>
      <c r="AM14" s="78" t="str">
        <f t="shared" ca="1" si="12"/>
        <v/>
      </c>
      <c r="AN14" s="78" t="str">
        <f t="array" aca="1" ref="AN14" ca="1">IF($AD14&lt;&gt;"",INDIRECT("Q"&amp;$AD14&amp;""),"")</f>
        <v/>
      </c>
      <c r="AO14" s="78" t="str">
        <f ca="1">IFERROR(IF(AND(AN14&lt;&gt;"",VLOOKUP(AN14,得意先マスタ!$A$1:$Z$800,24,FALSE)&lt;&gt;0),
VLOOKUP(AN14,得意先マスタ!$A$1:$Z$800,24,FALSE),""),"")</f>
        <v/>
      </c>
      <c r="AP14" s="78" t="str">
        <f ca="1">IFERROR(IF(AND(AN14&lt;&gt;"",VLOOKUP(AN14,得意先マスタ!$A$1:$Z$800,25,FALSE)&lt;&gt;0),
VLOOKUP(AN14,得意先マスタ!$A$1:$Z$800,25,FALSE),""),"")</f>
        <v/>
      </c>
      <c r="AQ14" s="78" t="str">
        <f t="shared" ca="1" si="6"/>
        <v/>
      </c>
      <c r="AR14" s="78">
        <f t="shared" ca="1" si="16"/>
        <v>0</v>
      </c>
      <c r="AS14" s="78">
        <f t="shared" ca="1" si="17"/>
        <v>0</v>
      </c>
    </row>
    <row r="15" spans="1:45">
      <c r="D15" t="str">
        <f t="array" aca="1" ref="D15" ca="1">IF(A15&lt;&gt;"",COLUMN(INDIRECT($B15&amp;"1")),"")</f>
        <v/>
      </c>
      <c r="E15" t="str">
        <f ca="1">IF(A15&lt;&gt;"",
IF(ISEVEN($C15),
OFFSET('数出表_Excel（アレルギー入力）'!$A$1,$C15-1,0),
OFFSET('数出表_Excel（アレルギー入力）'!$A$1,$C15,0)),"")</f>
        <v/>
      </c>
      <c r="F15" t="str">
        <f ca="1">IF(A15&lt;&gt;"",
IF(ISEVEN($C15),
OFFSET('数出表_Excel（アレルギー入力）'!$A$1,$C15,0),
OFFSET('数出表_Excel（アレルギー入力）'!$A$1,$C15+1,0)),"")</f>
        <v/>
      </c>
      <c r="G15" t="str">
        <f ca="1">IF(A15&lt;&gt;"",
IF(AND(OFFSET('数出表_Excel（アレルギー入力）'!$A$1,2,D15-1)&lt;&gt;"",ISTEXT(OFFSET('数出表_Excel（アレルギー入力）'!$A$1,2,D15-1))),OFFSET('数出表_Excel（アレルギー入力）'!$A$1,2,D15-1),""),"")</f>
        <v/>
      </c>
      <c r="H15" t="str">
        <f ca="1">IF(A15&lt;&gt;"",
IF(AND(OFFSET('数出表_Excel（アレルギー入力）'!$A$1,3,D15-1)&lt;&gt;"",ISTEXT(OFFSET('数出表_Excel（アレルギー入力）'!$A$1,3,D15-1))),OFFSET('数出表_Excel（アレルギー入力）'!$A$1,3,D15-1),""),"")</f>
        <v/>
      </c>
      <c r="I15" t="str">
        <f ca="1">IF(A15&lt;&gt;"",
IF(OFFSET('数出表_Excel（アレルギー入力）'!$A$1,4,D15-1)&lt;&gt;"",OFFSET('数出表_Excel（アレルギー入力）'!$A$1,4,D15-1),""),"")</f>
        <v/>
      </c>
      <c r="J15" t="str">
        <f t="shared" ca="1" si="1"/>
        <v/>
      </c>
      <c r="K15" t="str">
        <f ca="1">IF(A15&lt;&gt;"",
OFFSET('数出表_Excel（アレルギー入力）'!$A$1,$C15-1,D15-1),"")</f>
        <v/>
      </c>
      <c r="L15" t="str">
        <f ca="1">IF(A15&lt;&gt;"",
IF(ISEVEN($C15),
OFFSET('数出表_Excel（アレルギー入力）'!$A$1,$C15,D15-1),
OFFSET('数出表_Excel（アレルギー入力）'!$A$1,$C15-1,D15-1)),"")</f>
        <v/>
      </c>
      <c r="M15" t="str">
        <f ca="1">IF(A15&lt;&gt;"",
IF(ISODD(D15),
"アレルギー",
OFFSET('数出表_Excel（アレルギー入力）'!$A$1,$C15-1,D15)),"")</f>
        <v/>
      </c>
      <c r="O15" t="str">
        <f>IF(A15&lt;&gt;"",VLOOKUP(G15,注文弁当の抽出!F:G,2,FALSE),"")</f>
        <v/>
      </c>
      <c r="P15" t="str">
        <f ca="1">IF(AND(N15=0, COUNTIFS($E$1:E15,E15)=1), E15,
IF(COUNTIF(F15,"*雙葉*"),E15,""))</f>
        <v/>
      </c>
      <c r="Q15" s="126" t="str" cm="1">
        <f t="array" aca="1" ref="Q15" ca="1">IFERROR(INDEX($P$1:$P$100, SMALL(IF($P$1:$P$100&lt;&gt;"", ROW($P$1:$P$100)), ROW(Q15))), "")</f>
        <v/>
      </c>
      <c r="R15" s="126" t="str">
        <f t="shared" ca="1" si="9"/>
        <v/>
      </c>
      <c r="S15" s="126" t="str">
        <f t="shared" ca="1" si="10"/>
        <v/>
      </c>
      <c r="T15" s="126" t="str">
        <f t="shared" ca="1" si="10"/>
        <v/>
      </c>
      <c r="U15" s="126" t="str">
        <f t="shared" ca="1" si="10"/>
        <v/>
      </c>
      <c r="V15" s="126" t="str">
        <f t="shared" ca="1" si="10"/>
        <v/>
      </c>
      <c r="W15" s="126" t="str">
        <f t="shared" ca="1" si="11"/>
        <v/>
      </c>
      <c r="X15" s="126" t="str" cm="1">
        <f t="array" aca="1" ref="X15" ca="1">IF($Q15&lt;&gt;"",INDIRECT("A"&amp;MATCH(Q15,$E$1:$E$100,0)+ROW()-1&amp;""),"")</f>
        <v/>
      </c>
      <c r="Y15" t="str">
        <f ca="1">IF(Q15&lt;&gt;"",
IF(COUNTIF(S15,"*キャラ*"),
VLOOKUP("*キャラ*",商品マスタ!$D:$E,2,FALSE),
IF(COUNTIF(S15,"*赤*"),
VLOOKUP("*赤*",商品マスタ!$D:$E,2,FALSE),
VLOOKUP("*"&amp;S15&amp;"*",商品マスタ!$D:$E,2,FALSE))),"")</f>
        <v/>
      </c>
      <c r="Z15" t="str">
        <f t="shared" ca="1" si="13"/>
        <v/>
      </c>
      <c r="AA15" t="str">
        <f t="shared" ca="1" si="3"/>
        <v/>
      </c>
      <c r="AC15" t="str">
        <f t="shared" ca="1" si="4"/>
        <v/>
      </c>
      <c r="AD15" s="78" t="str">
        <f t="array" aca="1" ref="AD15" ca="1">IF(AND(IFERROR(COUNTIF(INDIRECT("R"&amp;IFERROR(SMALL(IF(AC$1:AC$140&lt;&gt;0,AC$1:AC$140),ROW(A15)),"")&amp;""),"*雙葉*"),0),COUNTIF(AE$1:AE14,"*雙葉*")),"",
IFERROR(SMALL(IF(AC$1:AC$140&lt;&gt;0,AC$1:AC$140),ROW(A15)),""))</f>
        <v/>
      </c>
      <c r="AE15" s="78" t="str">
        <f t="array" aca="1" ref="AE15" ca="1">IF($AD15&lt;&gt;"",INDIRECT("R"&amp;$AD15&amp;""),"")</f>
        <v/>
      </c>
      <c r="AF15" s="78" t="str">
        <f t="array" aca="1" ref="AF15" ca="1">IF($AD15&lt;&gt;"",
IF(INDIRECT("S"&amp;$AD15&amp;"")&lt;&gt;"",INDIRECT("S"&amp;$AD15&amp;""),""),"")</f>
        <v/>
      </c>
      <c r="AG15" s="78" t="str" cm="1">
        <f t="array" aca="1" ref="AG15" ca="1">IFERROR(IF($AD15&lt;&gt;"",INDIRECT("T"&amp;$AD15&amp;""),"")
+IF(COUNTIF(AE15,"*雙葉*"),
IFERROR(INDIRECT("T"&amp;MATCH("*雙葉*",INDIRECT("R"&amp;AD15+1&amp;":$R$140"),0)+ROW()&amp;""),0),0)
+IF(OR(COUNTIF(AO15,"*管理*"),COUNTIF(AO15,"予備")),
AQ15,0),"")</f>
        <v/>
      </c>
      <c r="AH15" s="78" t="str" cm="1">
        <f t="array" aca="1" ref="AH15" ca="1">IFERROR(IF($AD15&lt;&gt;"",INDIRECT("U"&amp;$AD15&amp;""),"")
+IF(COUNTIF(AE15,"*雙葉*"),
IFERROR(INDIRECT("U"&amp;MATCH("*雙葉*",INDIRECT("R"&amp;AD15+1&amp;":$R$140"),0)+ROW()&amp;""),0),0),"")</f>
        <v/>
      </c>
      <c r="AI15" s="78" t="str" cm="1">
        <f t="array" aca="1" ref="AI15" ca="1">IFERROR(IF($AD15&lt;&gt;"",INDIRECT("V"&amp;$AD15&amp;""),"")
+IF(COUNTIF(AE15,"*雙葉*"),
IFERROR(INDIRECT("V"&amp;MATCH("*雙葉*",INDIRECT("R"&amp;AD15+1&amp;":$R$140"),0)+ROW()&amp;""),0),0),"")</f>
        <v/>
      </c>
      <c r="AJ15" s="78" t="str">
        <f t="array" aca="1" ref="AJ15" ca="1">IF($AD15&lt;&gt;"",INDIRECT("W"&amp;$AD15&amp;""),"")</f>
        <v/>
      </c>
      <c r="AK15" s="78" t="str">
        <f t="array" aca="1" ref="AK15" ca="1">IF($AD15&lt;&gt;"",INDIRECT("Y"&amp;$AD15&amp;""),"")</f>
        <v/>
      </c>
      <c r="AL15" s="78" t="str">
        <f t="shared" ca="1" si="14"/>
        <v/>
      </c>
      <c r="AM15" s="78" t="str">
        <f t="shared" ca="1" si="12"/>
        <v/>
      </c>
      <c r="AN15" s="78" t="str">
        <f t="array" aca="1" ref="AN15" ca="1">IF($AD15&lt;&gt;"",INDIRECT("Q"&amp;$AD15&amp;""),"")</f>
        <v/>
      </c>
      <c r="AO15" s="78" t="str">
        <f ca="1">IFERROR(IF(AND(AN15&lt;&gt;"",VLOOKUP(AN15,得意先マスタ!$A$1:$Z$800,24,FALSE)&lt;&gt;0),
VLOOKUP(AN15,得意先マスタ!$A$1:$Z$800,24,FALSE),""),"")</f>
        <v/>
      </c>
      <c r="AP15" s="78" t="str">
        <f ca="1">IFERROR(IF(AND(AN15&lt;&gt;"",VLOOKUP(AN15,得意先マスタ!$A$1:$Z$800,25,FALSE)&lt;&gt;0),
VLOOKUP(AN15,得意先マスタ!$A$1:$Z$800,25,FALSE),""),"")</f>
        <v/>
      </c>
      <c r="AQ15" s="78" t="str">
        <f t="shared" ca="1" si="6"/>
        <v/>
      </c>
      <c r="AR15" s="78">
        <f t="shared" ca="1" si="16"/>
        <v>0</v>
      </c>
      <c r="AS15" s="78">
        <f t="shared" ca="1" si="17"/>
        <v>0</v>
      </c>
    </row>
    <row r="16" spans="1:45">
      <c r="D16" t="str">
        <f t="array" aca="1" ref="D16" ca="1">IF(A16&lt;&gt;"",COLUMN(INDIRECT($B16&amp;"1")),"")</f>
        <v/>
      </c>
      <c r="L16" t="str">
        <f t="array" aca="1" ref="L16" ca="1">IF(A16&lt;&gt;"",
IF(ISEVEN($C16),
OFFSET('数出表_Excel（アレルギー入力）'!$A$1,$C16,COLUMN(INDIRECT($B16&amp;"1"))-1),
OFFSET('数出表_Excel（アレルギー入力）'!$A$1,$C16+1,COLUMN(INDIRECT($B16&amp;"1"))-1)),"")</f>
        <v/>
      </c>
      <c r="M16" t="str">
        <f ca="1">IF(A16&lt;&gt;"",
IF(ISODD(D16),
OFFSET('数出表_Excel（アレルギー入力）'!$A$1,$C16-1,D16),
OFFSET('数出表_Excel（アレルギー入力）'!$A$1,$C16-1,D16+1)),"")</f>
        <v/>
      </c>
      <c r="O16" t="str">
        <f>IF(A16&lt;&gt;"",VLOOKUP(G16,注文弁当の抽出!F:G,2,FALSE),"")</f>
        <v/>
      </c>
      <c r="P16" t="str">
        <f ca="1">IF(AND(N16=0, COUNTIFS($E$1:E16,E16)=1), E16,
IF(COUNTIF(F16,"*雙葉*"),E16,""))</f>
        <v/>
      </c>
      <c r="Q16" s="126" t="str" cm="1">
        <f t="array" aca="1" ref="Q16" ca="1">IFERROR(INDEX($P$1:$P$100, SMALL(IF($P$1:$P$100&lt;&gt;"", ROW($P$1:$P$100)), ROW(Q16))), "")</f>
        <v/>
      </c>
      <c r="R16" s="126" t="str">
        <f t="shared" ca="1" si="9"/>
        <v/>
      </c>
      <c r="S16" s="126" t="str">
        <f t="shared" ca="1" si="10"/>
        <v/>
      </c>
      <c r="T16" s="126" t="str">
        <f t="shared" ca="1" si="10"/>
        <v/>
      </c>
      <c r="U16" s="126" t="str">
        <f t="shared" ca="1" si="10"/>
        <v/>
      </c>
      <c r="V16" s="126" t="str">
        <f t="shared" ca="1" si="10"/>
        <v/>
      </c>
      <c r="W16" s="126" t="str">
        <f t="shared" ca="1" si="11"/>
        <v/>
      </c>
      <c r="X16" s="126" t="str" cm="1">
        <f t="array" aca="1" ref="X16" ca="1">IF($Q16&lt;&gt;"",INDIRECT("A"&amp;MATCH(Q16,$E$1:$E$100,0)+ROW()-1&amp;""),"")</f>
        <v/>
      </c>
      <c r="Y16" t="str">
        <f ca="1">IF(Q16&lt;&gt;"",
IF(COUNTIF(S16,"*キャラ*"),
VLOOKUP("*キャラ*",商品マスタ!$D:$E,2,FALSE),
IF(COUNTIF(S16,"*赤*"),
VLOOKUP("*赤*",商品マスタ!$D:$E,2,FALSE),
VLOOKUP("*"&amp;S16&amp;"*",商品マスタ!$D:$E,2,FALSE))),"")</f>
        <v/>
      </c>
      <c r="Z16" t="str">
        <f t="shared" ca="1" si="13"/>
        <v/>
      </c>
      <c r="AA16" t="str">
        <f t="shared" ca="1" si="3"/>
        <v/>
      </c>
      <c r="AC16" t="str">
        <f t="shared" ca="1" si="4"/>
        <v/>
      </c>
      <c r="AD16" s="78" t="str">
        <f t="array" aca="1" ref="AD16" ca="1">IF(AND(IFERROR(COUNTIF(INDIRECT("R"&amp;IFERROR(SMALL(IF(AC$1:AC$140&lt;&gt;0,AC$1:AC$140),ROW(A16)),"")&amp;""),"*雙葉*"),0),COUNTIF(AE$1:AE15,"*雙葉*")),"",
IFERROR(SMALL(IF(AC$1:AC$140&lt;&gt;0,AC$1:AC$140),ROW(A16)),""))</f>
        <v/>
      </c>
      <c r="AE16" s="78" t="str">
        <f t="array" aca="1" ref="AE16" ca="1">IF($AD16&lt;&gt;"",INDIRECT("R"&amp;$AD16&amp;""),"")</f>
        <v/>
      </c>
      <c r="AF16" s="78" t="str">
        <f t="array" aca="1" ref="AF16" ca="1">IF($AD16&lt;&gt;"",
IF(INDIRECT("S"&amp;$AD16&amp;"")&lt;&gt;"",INDIRECT("S"&amp;$AD16&amp;""),""),"")</f>
        <v/>
      </c>
      <c r="AG16" s="78" t="str" cm="1">
        <f t="array" aca="1" ref="AG16" ca="1">IFERROR(IF($AD16&lt;&gt;"",INDIRECT("T"&amp;$AD16&amp;""),"")
+IF(COUNTIF(AE16,"*雙葉*"),
IFERROR(INDIRECT("T"&amp;MATCH("*雙葉*",INDIRECT("R"&amp;AD16+1&amp;":$R$140"),0)+ROW()&amp;""),0),0)
+IF(OR(COUNTIF(AO16,"*管理*"),COUNTIF(AO16,"予備")),
AQ16,0),"")</f>
        <v/>
      </c>
      <c r="AH16" s="78" t="str" cm="1">
        <f t="array" aca="1" ref="AH16" ca="1">IFERROR(IF($AD16&lt;&gt;"",INDIRECT("U"&amp;$AD16&amp;""),"")
+IF(COUNTIF(AE16,"*雙葉*"),
IFERROR(INDIRECT("U"&amp;MATCH("*雙葉*",INDIRECT("R"&amp;AD16+1&amp;":$R$140"),0)+ROW()&amp;""),0),0),"")</f>
        <v/>
      </c>
      <c r="AI16" s="78" t="str" cm="1">
        <f t="array" aca="1" ref="AI16" ca="1">IFERROR(IF($AD16&lt;&gt;"",INDIRECT("V"&amp;$AD16&amp;""),"")
+IF(COUNTIF(AE16,"*雙葉*"),
IFERROR(INDIRECT("V"&amp;MATCH("*雙葉*",INDIRECT("R"&amp;AD16+1&amp;":$R$140"),0)+ROW()&amp;""),0),0),"")</f>
        <v/>
      </c>
      <c r="AJ16" s="78" t="str">
        <f t="array" aca="1" ref="AJ16" ca="1">IF($AD16&lt;&gt;"",INDIRECT("W"&amp;$AD16&amp;""),"")</f>
        <v/>
      </c>
      <c r="AK16" s="78" t="str">
        <f t="array" aca="1" ref="AK16" ca="1">IF($AD16&lt;&gt;"",INDIRECT("Y"&amp;$AD16&amp;""),"")</f>
        <v/>
      </c>
      <c r="AL16" s="78" t="str">
        <f t="shared" ca="1" si="14"/>
        <v/>
      </c>
      <c r="AM16" s="78" t="str">
        <f t="shared" ca="1" si="12"/>
        <v/>
      </c>
      <c r="AN16" s="78" t="str">
        <f t="array" aca="1" ref="AN16" ca="1">IF($AD16&lt;&gt;"",INDIRECT("Q"&amp;$AD16&amp;""),"")</f>
        <v/>
      </c>
      <c r="AO16" s="78" t="str">
        <f ca="1">IFERROR(IF(AND(AN16&lt;&gt;"",VLOOKUP(AN16,得意先マスタ!$A$1:$Z$800,24,FALSE)&lt;&gt;0),
VLOOKUP(AN16,得意先マスタ!$A$1:$Z$800,24,FALSE),""),"")</f>
        <v/>
      </c>
      <c r="AP16" s="78" t="str">
        <f ca="1">IFERROR(IF(AND(AN16&lt;&gt;"",VLOOKUP(AN16,得意先マスタ!$A$1:$Z$800,25,FALSE)&lt;&gt;0),
VLOOKUP(AN16,得意先マスタ!$A$1:$Z$800,25,FALSE),""),"")</f>
        <v/>
      </c>
      <c r="AQ16" s="78" t="str">
        <f t="shared" ca="1" si="6"/>
        <v/>
      </c>
      <c r="AR16" s="78">
        <f t="shared" ca="1" si="16"/>
        <v>0</v>
      </c>
      <c r="AS16" s="78">
        <f t="shared" ca="1" si="17"/>
        <v>0</v>
      </c>
    </row>
    <row r="17" spans="12:45">
      <c r="L17" t="str">
        <f t="array" aca="1" ref="L17" ca="1">IF(A17&lt;&gt;"",
IF(ISEVEN($C17),
OFFSET('数出表_Excel（アレルギー入力）'!$A$1,$C17,COLUMN(INDIRECT($B17&amp;"1"))-1),
OFFSET('数出表_Excel（アレルギー入力）'!$A$1,$C17+1,COLUMN(INDIRECT($B17&amp;"1"))-1)),"")</f>
        <v/>
      </c>
      <c r="M17" t="str">
        <f ca="1">IF(A17&lt;&gt;"",
IF(ISODD(D17),
OFFSET('数出表_Excel（アレルギー入力）'!$A$1,$C17-1,D17),
OFFSET('数出表_Excel（アレルギー入力）'!$A$1,$C17-1,D17+1)),"")</f>
        <v/>
      </c>
      <c r="O17" t="str">
        <f>IF(A17&lt;&gt;"",VLOOKUP(G17,注文弁当の抽出!F:G,2,FALSE),"")</f>
        <v/>
      </c>
      <c r="P17" t="str">
        <f ca="1">IF(AND(N17=0, COUNTIFS($E$1:E17,E17)=1), E17,
IF(COUNTIF(F17,"*雙葉*"),E17,""))</f>
        <v/>
      </c>
      <c r="Q17" s="126" t="str" cm="1">
        <f t="array" aca="1" ref="Q17" ca="1">IFERROR(INDEX($P$1:$P$100, SMALL(IF($P$1:$P$100&lt;&gt;"", ROW($P$1:$P$100)), ROW(Q17))), "")</f>
        <v/>
      </c>
      <c r="R17" s="126" t="str">
        <f t="shared" ca="1" si="9"/>
        <v/>
      </c>
      <c r="S17" s="126" t="str">
        <f t="shared" ca="1" si="10"/>
        <v/>
      </c>
      <c r="T17" s="126" t="str">
        <f t="shared" ca="1" si="10"/>
        <v/>
      </c>
      <c r="U17" s="126" t="str">
        <f t="shared" ca="1" si="10"/>
        <v/>
      </c>
      <c r="V17" s="126" t="str">
        <f t="shared" ca="1" si="10"/>
        <v/>
      </c>
      <c r="W17" s="126" t="str">
        <f t="shared" ca="1" si="11"/>
        <v/>
      </c>
      <c r="X17" s="126" t="str" cm="1">
        <f t="array" aca="1" ref="X17" ca="1">IF($Q17&lt;&gt;"",INDIRECT("A"&amp;MATCH(Q17,$E$1:$E$100,0)+ROW()-1&amp;""),"")</f>
        <v/>
      </c>
      <c r="Y17" t="str">
        <f ca="1">IF(Q17&lt;&gt;"",
IF(COUNTIF(S17,"*キャラ*"),
VLOOKUP("*キャラ*",商品マスタ!$D:$E,2,FALSE),
IF(COUNTIF(S17,"*赤*"),
VLOOKUP("*赤*",商品マスタ!$D:$E,2,FALSE),
VLOOKUP("*"&amp;S17&amp;"*",商品マスタ!$D:$E,2,FALSE))),"")</f>
        <v/>
      </c>
      <c r="Z17" t="str">
        <f t="shared" ca="1" si="13"/>
        <v/>
      </c>
      <c r="AA17" t="str">
        <f t="shared" ca="1" si="3"/>
        <v/>
      </c>
      <c r="AC17" t="str">
        <f t="shared" ca="1" si="4"/>
        <v/>
      </c>
      <c r="AD17" s="78" t="str">
        <f t="array" aca="1" ref="AD17" ca="1">IF(AND(IFERROR(COUNTIF(INDIRECT("R"&amp;IFERROR(SMALL(IF(AC$1:AC$140&lt;&gt;0,AC$1:AC$140),ROW(A17)),"")&amp;""),"*雙葉*"),0),COUNTIF(AE$1:AE16,"*雙葉*")),"",
IFERROR(SMALL(IF(AC$1:AC$140&lt;&gt;0,AC$1:AC$140),ROW(A17)),""))</f>
        <v/>
      </c>
      <c r="AE17" s="78" t="str">
        <f t="array" aca="1" ref="AE17" ca="1">IF($AD17&lt;&gt;"",INDIRECT("R"&amp;$AD17&amp;""),"")</f>
        <v/>
      </c>
      <c r="AF17" s="78" t="str">
        <f t="array" aca="1" ref="AF17" ca="1">IF($AD17&lt;&gt;"",
IF(INDIRECT("S"&amp;$AD17&amp;"")&lt;&gt;"",INDIRECT("S"&amp;$AD17&amp;""),""),"")</f>
        <v/>
      </c>
      <c r="AG17" s="78" t="str" cm="1">
        <f t="array" aca="1" ref="AG17" ca="1">IFERROR(IF($AD17&lt;&gt;"",INDIRECT("T"&amp;$AD17&amp;""),"")
+IF(COUNTIF(AE17,"*雙葉*"),
IFERROR(INDIRECT("T"&amp;MATCH("*雙葉*",INDIRECT("R"&amp;AD17+1&amp;":$R$140"),0)+ROW()&amp;""),0),0)
+IF(OR(COUNTIF(AO17,"*管理*"),COUNTIF(AO17,"予備")),
AQ17,0),"")</f>
        <v/>
      </c>
      <c r="AH17" s="78" t="str" cm="1">
        <f t="array" aca="1" ref="AH17" ca="1">IFERROR(IF($AD17&lt;&gt;"",INDIRECT("U"&amp;$AD17&amp;""),"")
+IF(COUNTIF(AE17,"*雙葉*"),
IFERROR(INDIRECT("U"&amp;MATCH("*雙葉*",INDIRECT("R"&amp;AD17+1&amp;":$R$140"),0)+ROW()&amp;""),0),0),"")</f>
        <v/>
      </c>
      <c r="AI17" s="78" t="str" cm="1">
        <f t="array" aca="1" ref="AI17" ca="1">IFERROR(IF($AD17&lt;&gt;"",INDIRECT("V"&amp;$AD17&amp;""),"")
+IF(COUNTIF(AE17,"*雙葉*"),
IFERROR(INDIRECT("V"&amp;MATCH("*雙葉*",INDIRECT("R"&amp;AD17+1&amp;":$R$140"),0)+ROW()&amp;""),0),0),"")</f>
        <v/>
      </c>
      <c r="AJ17" s="78" t="str">
        <f t="array" aca="1" ref="AJ17" ca="1">IF($AD17&lt;&gt;"",INDIRECT("W"&amp;$AD17&amp;""),"")</f>
        <v/>
      </c>
      <c r="AK17" s="78" t="str">
        <f t="array" aca="1" ref="AK17" ca="1">IF($AD17&lt;&gt;"",INDIRECT("Y"&amp;$AD17&amp;""),"")</f>
        <v/>
      </c>
      <c r="AL17" s="78" t="str">
        <f t="shared" ca="1" si="14"/>
        <v/>
      </c>
      <c r="AM17" s="78" t="str">
        <f t="shared" ca="1" si="12"/>
        <v/>
      </c>
      <c r="AN17" s="78" t="str">
        <f t="array" aca="1" ref="AN17" ca="1">IF($AD17&lt;&gt;"",INDIRECT("Q"&amp;$AD17&amp;""),"")</f>
        <v/>
      </c>
      <c r="AO17" s="78" t="str">
        <f ca="1">IFERROR(IF(AND(AN17&lt;&gt;"",VLOOKUP(AN17,得意先マスタ!$A$1:$Z$800,24,FALSE)&lt;&gt;0),
VLOOKUP(AN17,得意先マスタ!$A$1:$Z$800,24,FALSE),""),"")</f>
        <v/>
      </c>
      <c r="AP17" s="78" t="str">
        <f ca="1">IFERROR(IF(AND(AN17&lt;&gt;"",VLOOKUP(AN17,得意先マスタ!$A$1:$Z$800,25,FALSE)&lt;&gt;0),
VLOOKUP(AN17,得意先マスタ!$A$1:$Z$800,25,FALSE),""),"")</f>
        <v/>
      </c>
      <c r="AQ17" s="78" t="str">
        <f t="shared" ca="1" si="6"/>
        <v/>
      </c>
      <c r="AR17" s="78">
        <f t="shared" ca="1" si="16"/>
        <v>0</v>
      </c>
      <c r="AS17" s="78">
        <f t="shared" ca="1" si="17"/>
        <v>0</v>
      </c>
    </row>
    <row r="18" spans="12:45">
      <c r="L18" t="str">
        <f t="array" aca="1" ref="L18" ca="1">IF(A18&lt;&gt;"",
IF(ISEVEN($C18),
OFFSET('数出表_Excel（アレルギー入力）'!$A$1,$C18,COLUMN(INDIRECT($B18&amp;"1"))-1),
OFFSET('数出表_Excel（アレルギー入力）'!$A$1,$C18+1,COLUMN(INDIRECT($B18&amp;"1"))-1)),"")</f>
        <v/>
      </c>
      <c r="M18" t="str">
        <f ca="1">IF(A18&lt;&gt;"",
IF(ISODD(D18),
OFFSET('数出表_Excel（アレルギー入力）'!$A$1,$C18-1,D18),
OFFSET('数出表_Excel（アレルギー入力）'!$A$1,$C18-1,D18+1)),"")</f>
        <v/>
      </c>
      <c r="O18" t="str">
        <f>IF(A18&lt;&gt;"",VLOOKUP(G18,注文弁当の抽出!F:G,2,FALSE),"")</f>
        <v/>
      </c>
      <c r="P18" t="str">
        <f ca="1">IF(AND(N18=0, COUNTIFS($E$1:E18,E18)=1), E18,
IF(COUNTIF(F18,"*雙葉*"),E18,""))</f>
        <v/>
      </c>
      <c r="Q18" s="126" t="str" cm="1">
        <f t="array" aca="1" ref="Q18" ca="1">IFERROR(INDEX($P$1:$P$100, SMALL(IF($P$1:$P$100&lt;&gt;"", ROW($P$1:$P$100)), ROW(Q18))), "")</f>
        <v/>
      </c>
      <c r="R18" s="126" t="str">
        <f t="shared" ca="1" si="9"/>
        <v/>
      </c>
      <c r="S18" s="126" t="str">
        <f t="shared" ca="1" si="10"/>
        <v/>
      </c>
      <c r="T18" s="126" t="str">
        <f t="shared" ca="1" si="10"/>
        <v/>
      </c>
      <c r="U18" s="126" t="str">
        <f t="shared" ca="1" si="10"/>
        <v/>
      </c>
      <c r="V18" s="126" t="str">
        <f t="shared" ca="1" si="10"/>
        <v/>
      </c>
      <c r="W18" s="126" t="str">
        <f t="shared" ca="1" si="11"/>
        <v/>
      </c>
      <c r="X18" s="126" t="str" cm="1">
        <f t="array" aca="1" ref="X18" ca="1">IF($Q18&lt;&gt;"",INDIRECT("A"&amp;MATCH(Q18,$E$1:$E$100,0)+ROW()-1&amp;""),"")</f>
        <v/>
      </c>
      <c r="Y18" t="str">
        <f ca="1">IF(Q18&lt;&gt;"",
IF(COUNTIF(S18,"*キャラ*"),
VLOOKUP("*キャラ*",商品マスタ!$D:$E,2,FALSE),
IF(COUNTIF(S18,"*赤*"),
VLOOKUP("*赤*",商品マスタ!$D:$E,2,FALSE),
VLOOKUP("*"&amp;S18&amp;"*",商品マスタ!$D:$E,2,FALSE))),"")</f>
        <v/>
      </c>
      <c r="Z18" t="str">
        <f t="shared" ca="1" si="13"/>
        <v/>
      </c>
      <c r="AA18" t="str">
        <f t="shared" ca="1" si="3"/>
        <v/>
      </c>
      <c r="AC18" t="str">
        <f t="shared" ca="1" si="4"/>
        <v/>
      </c>
      <c r="AD18" s="78" t="str">
        <f t="array" aca="1" ref="AD18" ca="1">IF(AND(IFERROR(COUNTIF(INDIRECT("R"&amp;IFERROR(SMALL(IF(AC$1:AC$140&lt;&gt;0,AC$1:AC$140),ROW(A18)),"")&amp;""),"*雙葉*"),0),COUNTIF(AE$1:AE17,"*雙葉*")),"",
IFERROR(SMALL(IF(AC$1:AC$140&lt;&gt;0,AC$1:AC$140),ROW(A18)),""))</f>
        <v/>
      </c>
      <c r="AE18" s="78" t="str">
        <f t="array" aca="1" ref="AE18" ca="1">IF($AD18&lt;&gt;"",INDIRECT("R"&amp;$AD18&amp;""),"")</f>
        <v/>
      </c>
      <c r="AF18" s="78" t="str">
        <f t="array" aca="1" ref="AF18" ca="1">IF($AD18&lt;&gt;"",
IF(INDIRECT("S"&amp;$AD18&amp;"")&lt;&gt;"",INDIRECT("S"&amp;$AD18&amp;""),""),"")</f>
        <v/>
      </c>
      <c r="AG18" s="78" t="str" cm="1">
        <f t="array" aca="1" ref="AG18" ca="1">IFERROR(IF($AD18&lt;&gt;"",INDIRECT("T"&amp;$AD18&amp;""),"")
+IF(COUNTIF(AE18,"*雙葉*"),
IFERROR(INDIRECT("T"&amp;MATCH("*雙葉*",INDIRECT("R"&amp;AD18+1&amp;":$R$140"),0)+ROW()&amp;""),0),0)
+IF(OR(COUNTIF(AO18,"*管理*"),COUNTIF(AO18,"予備")),
AQ18,0),"")</f>
        <v/>
      </c>
      <c r="AH18" s="78" t="str" cm="1">
        <f t="array" aca="1" ref="AH18" ca="1">IFERROR(IF($AD18&lt;&gt;"",INDIRECT("U"&amp;$AD18&amp;""),"")
+IF(COUNTIF(AE18,"*雙葉*"),
IFERROR(INDIRECT("U"&amp;MATCH("*雙葉*",INDIRECT("R"&amp;AD18+1&amp;":$R$140"),0)+ROW()&amp;""),0),0),"")</f>
        <v/>
      </c>
      <c r="AI18" s="78" t="str" cm="1">
        <f t="array" aca="1" ref="AI18" ca="1">IFERROR(IF($AD18&lt;&gt;"",INDIRECT("V"&amp;$AD18&amp;""),"")
+IF(COUNTIF(AE18,"*雙葉*"),
IFERROR(INDIRECT("V"&amp;MATCH("*雙葉*",INDIRECT("R"&amp;AD18+1&amp;":$R$140"),0)+ROW()&amp;""),0),0),"")</f>
        <v/>
      </c>
      <c r="AJ18" s="78" t="str">
        <f t="array" aca="1" ref="AJ18" ca="1">IF($AD18&lt;&gt;"",INDIRECT("W"&amp;$AD18&amp;""),"")</f>
        <v/>
      </c>
      <c r="AK18" s="78" t="str">
        <f t="array" aca="1" ref="AK18" ca="1">IF($AD18&lt;&gt;"",INDIRECT("Y"&amp;$AD18&amp;""),"")</f>
        <v/>
      </c>
      <c r="AL18" s="78" t="str">
        <f t="shared" ca="1" si="14"/>
        <v/>
      </c>
      <c r="AM18" s="78" t="str">
        <f t="shared" ca="1" si="12"/>
        <v/>
      </c>
      <c r="AN18" s="78" t="str">
        <f t="array" aca="1" ref="AN18" ca="1">IF($AD18&lt;&gt;"",INDIRECT("Q"&amp;$AD18&amp;""),"")</f>
        <v/>
      </c>
      <c r="AO18" s="78" t="str">
        <f ca="1">IFERROR(IF(AND(AN18&lt;&gt;"",VLOOKUP(AN18,得意先マスタ!$A$1:$Z$800,24,FALSE)&lt;&gt;0),
VLOOKUP(AN18,得意先マスタ!$A$1:$Z$800,24,FALSE),""),"")</f>
        <v/>
      </c>
      <c r="AP18" s="78" t="str">
        <f ca="1">IFERROR(IF(AND(AN18&lt;&gt;"",VLOOKUP(AN18,得意先マスタ!$A$1:$Z$800,25,FALSE)&lt;&gt;0),
VLOOKUP(AN18,得意先マスタ!$A$1:$Z$800,25,FALSE),""),"")</f>
        <v/>
      </c>
      <c r="AQ18" s="78" t="str">
        <f t="shared" ca="1" si="6"/>
        <v/>
      </c>
      <c r="AR18" s="78">
        <f t="shared" ca="1" si="16"/>
        <v>0</v>
      </c>
      <c r="AS18" s="78">
        <f t="shared" ca="1" si="17"/>
        <v>0</v>
      </c>
    </row>
    <row r="19" spans="12:45">
      <c r="L19" t="str">
        <f t="array" aca="1" ref="L19" ca="1">IF(A19&lt;&gt;"",
IF(ISEVEN($C19),
OFFSET('数出表_Excel（アレルギー入力）'!$A$1,$C19,COLUMN(INDIRECT($B19&amp;"1"))-1),
OFFSET('数出表_Excel（アレルギー入力）'!$A$1,$C19+1,COLUMN(INDIRECT($B19&amp;"1"))-1)),"")</f>
        <v/>
      </c>
      <c r="P19" t="str">
        <f ca="1">IF(AND(N19=0, COUNTIFS($E$1:E19,E19)=1), E19,
IF(COUNTIF(F19,"*雙葉*"),E19,""))</f>
        <v/>
      </c>
      <c r="Q19" s="126" t="str" cm="1">
        <f t="array" aca="1" ref="Q19" ca="1">IFERROR(INDEX($P$1:$P$100, SMALL(IF($P$1:$P$100&lt;&gt;"", ROW($P$1:$P$100)), ROW(Q19))), "")</f>
        <v/>
      </c>
      <c r="R19" s="126" t="str">
        <f t="shared" ca="1" si="9"/>
        <v/>
      </c>
      <c r="S19" s="126" t="str">
        <f t="shared" ca="1" si="10"/>
        <v/>
      </c>
      <c r="T19" s="126" t="str">
        <f t="shared" ca="1" si="10"/>
        <v/>
      </c>
      <c r="U19" s="126" t="str">
        <f t="shared" ca="1" si="10"/>
        <v/>
      </c>
      <c r="V19" s="126" t="str">
        <f t="shared" ca="1" si="10"/>
        <v/>
      </c>
      <c r="W19" s="126" t="str">
        <f t="shared" ca="1" si="11"/>
        <v/>
      </c>
      <c r="X19" s="126" t="str" cm="1">
        <f t="array" aca="1" ref="X19" ca="1">IF($Q19&lt;&gt;"",INDIRECT("A"&amp;MATCH(Q19,$E$1:$E$100,0)+ROW()-1&amp;""),"")</f>
        <v/>
      </c>
      <c r="Y19" t="str">
        <f ca="1">IF(Q19&lt;&gt;"",
IF(COUNTIF(S19,"*キャラ*"),
VLOOKUP("*キャラ*",商品マスタ!$D:$E,2,FALSE),
IF(COUNTIF(S19,"*赤*"),
VLOOKUP("*赤*",商品マスタ!$D:$E,2,FALSE),
VLOOKUP("*"&amp;S19&amp;"*",商品マスタ!$D:$E,2,FALSE))),"")</f>
        <v/>
      </c>
      <c r="Z19" t="str">
        <f t="shared" ca="1" si="13"/>
        <v/>
      </c>
      <c r="AA19" t="str">
        <f t="shared" ca="1" si="3"/>
        <v/>
      </c>
      <c r="AC19" t="str">
        <f t="shared" ca="1" si="4"/>
        <v/>
      </c>
      <c r="AD19" s="78" t="str">
        <f t="array" aca="1" ref="AD19" ca="1">IF(AND(IFERROR(COUNTIF(INDIRECT("R"&amp;IFERROR(SMALL(IF(AC$1:AC$140&lt;&gt;0,AC$1:AC$140),ROW(A19)),"")&amp;""),"*雙葉*"),0),COUNTIF(AE$1:AE18,"*雙葉*")),"",
IFERROR(SMALL(IF(AC$1:AC$140&lt;&gt;0,AC$1:AC$140),ROW(A19)),""))</f>
        <v/>
      </c>
      <c r="AE19" s="78" t="str">
        <f t="array" aca="1" ref="AE19" ca="1">IF($AD19&lt;&gt;"",INDIRECT("R"&amp;$AD19&amp;""),"")</f>
        <v/>
      </c>
      <c r="AF19" s="78" t="str">
        <f t="array" aca="1" ref="AF19" ca="1">IF($AD19&lt;&gt;"",
IF(INDIRECT("S"&amp;$AD19&amp;"")&lt;&gt;"",INDIRECT("S"&amp;$AD19&amp;""),""),"")</f>
        <v/>
      </c>
      <c r="AG19" s="78" t="str" cm="1">
        <f t="array" aca="1" ref="AG19" ca="1">IFERROR(IF($AD19&lt;&gt;"",INDIRECT("T"&amp;$AD19&amp;""),"")
+IF(COUNTIF(AE19,"*雙葉*"),
IFERROR(INDIRECT("T"&amp;MATCH("*雙葉*",INDIRECT("R"&amp;AD19+1&amp;":$R$140"),0)+ROW()&amp;""),0),0)
+IF(OR(COUNTIF(AO19,"*管理*"),COUNTIF(AO19,"予備")),
AQ19,0),"")</f>
        <v/>
      </c>
      <c r="AH19" s="78" t="str" cm="1">
        <f t="array" aca="1" ref="AH19" ca="1">IFERROR(IF($AD19&lt;&gt;"",INDIRECT("U"&amp;$AD19&amp;""),"")
+IF(COUNTIF(AE19,"*雙葉*"),
IFERROR(INDIRECT("U"&amp;MATCH("*雙葉*",INDIRECT("R"&amp;AD19+1&amp;":$R$140"),0)+ROW()&amp;""),0),0),"")</f>
        <v/>
      </c>
      <c r="AI19" s="78" t="str" cm="1">
        <f t="array" aca="1" ref="AI19" ca="1">IFERROR(IF($AD19&lt;&gt;"",INDIRECT("V"&amp;$AD19&amp;""),"")
+IF(COUNTIF(AE19,"*雙葉*"),
IFERROR(INDIRECT("V"&amp;MATCH("*雙葉*",INDIRECT("R"&amp;AD19+1&amp;":$R$140"),0)+ROW()&amp;""),0),0),"")</f>
        <v/>
      </c>
      <c r="AJ19" s="78" t="str">
        <f t="array" aca="1" ref="AJ19" ca="1">IF($AD19&lt;&gt;"",INDIRECT("W"&amp;$AD19&amp;""),"")</f>
        <v/>
      </c>
      <c r="AK19" s="78" t="str">
        <f t="array" aca="1" ref="AK19" ca="1">IF($AD19&lt;&gt;"",INDIRECT("Y"&amp;$AD19&amp;""),"")</f>
        <v/>
      </c>
      <c r="AL19" s="78" t="str">
        <f t="shared" ca="1" si="14"/>
        <v/>
      </c>
      <c r="AM19" s="78" t="str">
        <f t="shared" ca="1" si="12"/>
        <v/>
      </c>
      <c r="AN19" s="78" t="str">
        <f t="array" aca="1" ref="AN19" ca="1">IF($AD19&lt;&gt;"",INDIRECT("Q"&amp;$AD19&amp;""),"")</f>
        <v/>
      </c>
      <c r="AO19" s="78" t="str">
        <f ca="1">IFERROR(IF(AND(AN19&lt;&gt;"",VLOOKUP(AN19,得意先マスタ!$A$1:$Z$800,24,FALSE)&lt;&gt;0),
VLOOKUP(AN19,得意先マスタ!$A$1:$Z$800,24,FALSE),""),"")</f>
        <v/>
      </c>
      <c r="AP19" s="78" t="str">
        <f ca="1">IFERROR(IF(AND(AN19&lt;&gt;"",VLOOKUP(AN19,得意先マスタ!$A$1:$Z$800,25,FALSE)&lt;&gt;0),
VLOOKUP(AN19,得意先マスタ!$A$1:$Z$800,25,FALSE),""),"")</f>
        <v/>
      </c>
      <c r="AQ19" s="78" t="str">
        <f t="shared" ca="1" si="6"/>
        <v/>
      </c>
      <c r="AR19" s="78">
        <f t="shared" ca="1" si="16"/>
        <v>0</v>
      </c>
      <c r="AS19" s="78">
        <f t="shared" ca="1" si="17"/>
        <v>0</v>
      </c>
    </row>
    <row r="20" spans="12:45">
      <c r="L20" t="str">
        <f t="array" aca="1" ref="L20" ca="1">IF(A20&lt;&gt;"",
IF(ISEVEN($C20),
OFFSET('数出表_Excel（アレルギー入力）'!$A$1,$C20,COLUMN(INDIRECT($B20&amp;"1"))-1),
OFFSET('数出表_Excel（アレルギー入力）'!$A$1,$C20+1,COLUMN(INDIRECT($B20&amp;"1"))-1)),"")</f>
        <v/>
      </c>
      <c r="P20" t="str">
        <f ca="1">IF(AND(N20=0, COUNTIFS($E$1:E20,E20)=1), E20,
IF(COUNTIF(F20,"*雙葉*"),E20,""))</f>
        <v/>
      </c>
      <c r="Q20" s="126" t="str" cm="1">
        <f t="array" aca="1" ref="Q20" ca="1">IFERROR(INDEX($P$1:$P$100, SMALL(IF($P$1:$P$100&lt;&gt;"", ROW($P$1:$P$100)), ROW(Q20))), "")</f>
        <v/>
      </c>
      <c r="R20" s="126" t="str">
        <f t="shared" ca="1" si="9"/>
        <v/>
      </c>
      <c r="S20" s="126" t="str">
        <f t="shared" ca="1" si="10"/>
        <v/>
      </c>
      <c r="T20" s="126" t="str">
        <f t="shared" ca="1" si="10"/>
        <v/>
      </c>
      <c r="U20" s="126" t="str">
        <f t="shared" ca="1" si="10"/>
        <v/>
      </c>
      <c r="V20" s="126" t="str">
        <f t="shared" ca="1" si="10"/>
        <v/>
      </c>
      <c r="W20" s="126" t="str">
        <f t="shared" ca="1" si="11"/>
        <v/>
      </c>
      <c r="X20" s="126" t="str" cm="1">
        <f t="array" aca="1" ref="X20" ca="1">IF($Q20&lt;&gt;"",INDIRECT("A"&amp;MATCH(Q20,$E$1:$E$100,0)+ROW()-1&amp;""),"")</f>
        <v/>
      </c>
      <c r="Y20" t="str">
        <f ca="1">IF(Q20&lt;&gt;"",
IF(COUNTIF(S20,"*キャラ*"),
VLOOKUP("*キャラ*",商品マスタ!$D:$E,2,FALSE),
IF(COUNTIF(S20,"*赤*"),
VLOOKUP("*赤*",商品マスタ!$D:$E,2,FALSE),
VLOOKUP("*"&amp;S20&amp;"*",商品マスタ!$D:$E,2,FALSE))),"")</f>
        <v/>
      </c>
      <c r="Z20" t="str">
        <f t="shared" ca="1" si="13"/>
        <v/>
      </c>
      <c r="AA20" t="str">
        <f t="shared" ca="1" si="3"/>
        <v/>
      </c>
      <c r="AC20" t="str">
        <f t="shared" ca="1" si="4"/>
        <v/>
      </c>
      <c r="AD20" s="78" t="str">
        <f t="array" aca="1" ref="AD20" ca="1">IF(AND(IFERROR(COUNTIF(INDIRECT("R"&amp;IFERROR(SMALL(IF(AC$1:AC$140&lt;&gt;0,AC$1:AC$140),ROW(A20)),"")&amp;""),"*雙葉*"),0),COUNTIF(AE$1:AE19,"*雙葉*")),"",
IFERROR(SMALL(IF(AC$1:AC$140&lt;&gt;0,AC$1:AC$140),ROW(A20)),""))</f>
        <v/>
      </c>
      <c r="AE20" s="78" t="str">
        <f t="array" aca="1" ref="AE20" ca="1">IF($AD20&lt;&gt;"",INDIRECT("R"&amp;$AD20&amp;""),"")</f>
        <v/>
      </c>
      <c r="AF20" s="78" t="str">
        <f t="array" aca="1" ref="AF20" ca="1">IF($AD20&lt;&gt;"",
IF(INDIRECT("S"&amp;$AD20&amp;"")&lt;&gt;"",INDIRECT("S"&amp;$AD20&amp;""),""),"")</f>
        <v/>
      </c>
      <c r="AG20" s="78" t="str" cm="1">
        <f t="array" aca="1" ref="AG20" ca="1">IFERROR(IF($AD20&lt;&gt;"",INDIRECT("T"&amp;$AD20&amp;""),"")
+IF(COUNTIF(AE20,"*雙葉*"),
IFERROR(INDIRECT("T"&amp;MATCH("*雙葉*",INDIRECT("R"&amp;AD20+1&amp;":$R$140"),0)+ROW()&amp;""),0),0)
+IF(OR(COUNTIF(AO20,"*管理*"),COUNTIF(AO20,"予備")),
AQ20,0),"")</f>
        <v/>
      </c>
      <c r="AH20" s="78" t="str" cm="1">
        <f t="array" aca="1" ref="AH20" ca="1">IFERROR(IF($AD20&lt;&gt;"",INDIRECT("U"&amp;$AD20&amp;""),"")
+IF(COUNTIF(AE20,"*雙葉*"),
IFERROR(INDIRECT("U"&amp;MATCH("*雙葉*",INDIRECT("R"&amp;AD20+1&amp;":$R$140"),0)+ROW()&amp;""),0),0),"")</f>
        <v/>
      </c>
      <c r="AI20" s="78" t="str" cm="1">
        <f t="array" aca="1" ref="AI20" ca="1">IFERROR(IF($AD20&lt;&gt;"",INDIRECT("V"&amp;$AD20&amp;""),"")
+IF(COUNTIF(AE20,"*雙葉*"),
IFERROR(INDIRECT("V"&amp;MATCH("*雙葉*",INDIRECT("R"&amp;AD20+1&amp;":$R$140"),0)+ROW()&amp;""),0),0),"")</f>
        <v/>
      </c>
      <c r="AJ20" s="78" t="str">
        <f t="array" aca="1" ref="AJ20" ca="1">IF($AD20&lt;&gt;"",INDIRECT("W"&amp;$AD20&amp;""),"")</f>
        <v/>
      </c>
      <c r="AK20" s="78" t="str">
        <f t="array" aca="1" ref="AK20" ca="1">IF($AD20&lt;&gt;"",INDIRECT("Y"&amp;$AD20&amp;""),"")</f>
        <v/>
      </c>
      <c r="AL20" s="78" t="str">
        <f t="shared" ca="1" si="14"/>
        <v/>
      </c>
      <c r="AM20" s="78" t="str">
        <f t="shared" ca="1" si="12"/>
        <v/>
      </c>
      <c r="AN20" s="78" t="str">
        <f t="array" aca="1" ref="AN20" ca="1">IF($AD20&lt;&gt;"",INDIRECT("Q"&amp;$AD20&amp;""),"")</f>
        <v/>
      </c>
      <c r="AO20" s="78" t="str">
        <f ca="1">IFERROR(IF(AND(AN20&lt;&gt;"",VLOOKUP(AN20,得意先マスタ!$A$1:$Z$800,24,FALSE)&lt;&gt;0),
VLOOKUP(AN20,得意先マスタ!$A$1:$Z$800,24,FALSE),""),"")</f>
        <v/>
      </c>
      <c r="AP20" s="78" t="str">
        <f ca="1">IFERROR(IF(AND(AN20&lt;&gt;"",VLOOKUP(AN20,得意先マスタ!$A$1:$Z$800,25,FALSE)&lt;&gt;0),
VLOOKUP(AN20,得意先マスタ!$A$1:$Z$800,25,FALSE),""),"")</f>
        <v/>
      </c>
      <c r="AQ20" s="78" t="str">
        <f t="shared" ca="1" si="6"/>
        <v/>
      </c>
      <c r="AR20" s="78">
        <f t="shared" ref="AR20:AR83" ca="1" si="18">IF(AP20&lt;&gt;0,
IF(COUNTIF(AP20,"*.*"),
IF(COUNTIF(AP20,"*.*")=1,MID(AP20, FIND(".", AP20) + 1,LEN(AP20) - FIND(".", AP20)),
MID(AP20, FIND(".", AP20) + 1, FIND(".", AP20, FIND(".", AP20) + 1) - FIND(".", AP20) - 1)),0),0)</f>
        <v>0</v>
      </c>
      <c r="AS20" s="78">
        <f t="shared" ca="1" si="17"/>
        <v>0</v>
      </c>
    </row>
    <row r="21" spans="12:45">
      <c r="P21" t="str">
        <f ca="1">IF(AND(N21=0, COUNTIFS($E$1:E21,E21)=1), E21,
IF(COUNTIF(F21,"*雙葉*"),E21,""))</f>
        <v/>
      </c>
      <c r="Q21" s="126" t="str" cm="1">
        <f t="array" aca="1" ref="Q21" ca="1">IFERROR(INDEX($P$1:$P$100, SMALL(IF($P$1:$P$100&lt;&gt;"", ROW($P$1:$P$100)), ROW(Q21))), "")</f>
        <v/>
      </c>
      <c r="R21" s="126" t="str">
        <f t="shared" ca="1" si="9"/>
        <v/>
      </c>
      <c r="S21" s="126" t="str">
        <f t="shared" ca="1" si="10"/>
        <v/>
      </c>
      <c r="T21" s="126" t="str">
        <f t="shared" ca="1" si="10"/>
        <v/>
      </c>
      <c r="U21" s="126" t="str">
        <f t="shared" ca="1" si="10"/>
        <v/>
      </c>
      <c r="V21" s="126" t="str">
        <f t="shared" ca="1" si="10"/>
        <v/>
      </c>
      <c r="W21" s="126" t="str">
        <f t="shared" ca="1" si="11"/>
        <v/>
      </c>
      <c r="X21" s="126" t="str" cm="1">
        <f t="array" aca="1" ref="X21" ca="1">IF($Q21&lt;&gt;"",INDIRECT("A"&amp;MATCH(Q21,$E$1:$E$100,0)+ROW()-1&amp;""),"")</f>
        <v/>
      </c>
      <c r="Y21" t="str">
        <f ca="1">IF(Q21&lt;&gt;"",
IF(COUNTIF(S21,"*キャラ*"),
VLOOKUP("*キャラ*",商品マスタ!$D:$E,2,FALSE),
IF(COUNTIF(S21,"*赤*"),
VLOOKUP("*赤*",商品マスタ!$D:$E,2,FALSE),
VLOOKUP("*"&amp;S21&amp;"*",商品マスタ!$D:$E,2,FALSE))),"")</f>
        <v/>
      </c>
      <c r="Z21" t="str">
        <f t="shared" ca="1" si="13"/>
        <v/>
      </c>
      <c r="AA21" t="str">
        <f t="shared" ca="1" si="3"/>
        <v/>
      </c>
      <c r="AC21" t="str">
        <f t="shared" ca="1" si="4"/>
        <v/>
      </c>
      <c r="AD21" s="78" t="str">
        <f t="array" aca="1" ref="AD21" ca="1">IF(AND(IFERROR(COUNTIF(INDIRECT("R"&amp;IFERROR(SMALL(IF(AC$1:AC$140&lt;&gt;0,AC$1:AC$140),ROW(A21)),"")&amp;""),"*雙葉*"),0),COUNTIF(AE$1:AE20,"*雙葉*")),"",
IFERROR(SMALL(IF(AC$1:AC$140&lt;&gt;0,AC$1:AC$140),ROW(A21)),""))</f>
        <v/>
      </c>
      <c r="AE21" s="78" t="str">
        <f t="array" aca="1" ref="AE21" ca="1">IF($AD21&lt;&gt;"",INDIRECT("R"&amp;$AD21&amp;""),"")</f>
        <v/>
      </c>
      <c r="AF21" s="78" t="str">
        <f t="array" aca="1" ref="AF21" ca="1">IF($AD21&lt;&gt;"",
IF(INDIRECT("S"&amp;$AD21&amp;"")&lt;&gt;"",INDIRECT("S"&amp;$AD21&amp;""),""),"")</f>
        <v/>
      </c>
      <c r="AG21" s="78" t="str" cm="1">
        <f t="array" aca="1" ref="AG21" ca="1">IFERROR(IF($AD21&lt;&gt;"",INDIRECT("T"&amp;$AD21&amp;""),"")
+IF(COUNTIF(AE21,"*雙葉*"),
IFERROR(INDIRECT("T"&amp;MATCH("*雙葉*",INDIRECT("R"&amp;AD21+1&amp;":$R$140"),0)+ROW()&amp;""),0),0)
+IF(OR(COUNTIF(AO21,"*管理*"),COUNTIF(AO21,"予備")),
AQ21,0),"")</f>
        <v/>
      </c>
      <c r="AH21" s="78" t="str" cm="1">
        <f t="array" aca="1" ref="AH21" ca="1">IFERROR(IF($AD21&lt;&gt;"",INDIRECT("U"&amp;$AD21&amp;""),"")
+IF(COUNTIF(AE21,"*雙葉*"),
IFERROR(INDIRECT("U"&amp;MATCH("*雙葉*",INDIRECT("R"&amp;AD21+1&amp;":$R$140"),0)+ROW()&amp;""),0),0),"")</f>
        <v/>
      </c>
      <c r="AI21" s="78" t="str" cm="1">
        <f t="array" aca="1" ref="AI21" ca="1">IFERROR(IF($AD21&lt;&gt;"",INDIRECT("V"&amp;$AD21&amp;""),"")
+IF(COUNTIF(AE21,"*雙葉*"),
IFERROR(INDIRECT("V"&amp;MATCH("*雙葉*",INDIRECT("R"&amp;AD21+1&amp;":$R$140"),0)+ROW()&amp;""),0),0),"")</f>
        <v/>
      </c>
      <c r="AJ21" s="78" t="str">
        <f t="array" aca="1" ref="AJ21" ca="1">IF($AD21&lt;&gt;"",INDIRECT("W"&amp;$AD21&amp;""),"")</f>
        <v/>
      </c>
      <c r="AK21" s="78" t="str">
        <f t="array" aca="1" ref="AK21" ca="1">IF($AD21&lt;&gt;"",INDIRECT("Y"&amp;$AD21&amp;""),"")</f>
        <v/>
      </c>
      <c r="AL21" s="78" t="str">
        <f t="shared" ca="1" si="14"/>
        <v/>
      </c>
      <c r="AM21" s="78" t="str">
        <f t="shared" ca="1" si="12"/>
        <v/>
      </c>
      <c r="AN21" s="78" t="str">
        <f t="array" aca="1" ref="AN21" ca="1">IF($AD21&lt;&gt;"",INDIRECT("Q"&amp;$AD21&amp;""),"")</f>
        <v/>
      </c>
      <c r="AO21" s="78" t="str">
        <f ca="1">IFERROR(IF(AND(AN21&lt;&gt;"",VLOOKUP(AN21,得意先マスタ!$A$1:$Z$800,24,FALSE)&lt;&gt;0),
VLOOKUP(AN21,得意先マスタ!$A$1:$Z$800,24,FALSE),""),"")</f>
        <v/>
      </c>
      <c r="AP21" s="78" t="str">
        <f ca="1">IFERROR(IF(AND(AN21&lt;&gt;"",VLOOKUP(AN21,得意先マスタ!$A$1:$Z$800,25,FALSE)&lt;&gt;0),
VLOOKUP(AN21,得意先マスタ!$A$1:$Z$800,25,FALSE),""),"")</f>
        <v/>
      </c>
      <c r="AQ21" s="78" t="str">
        <f t="shared" ca="1" si="6"/>
        <v/>
      </c>
      <c r="AR21" s="78">
        <f t="shared" ca="1" si="18"/>
        <v>0</v>
      </c>
      <c r="AS21" s="78">
        <f t="shared" ca="1" si="17"/>
        <v>0</v>
      </c>
    </row>
    <row r="22" spans="12:45">
      <c r="P22" t="str">
        <f ca="1">IF(AND(N22=0, COUNTIFS($E$1:E22,E22)=1), E22,
IF(COUNTIF(F22,"*雙葉*"),E22,""))</f>
        <v/>
      </c>
      <c r="Q22" s="126" t="str" cm="1">
        <f t="array" aca="1" ref="Q22" ca="1">IFERROR(INDEX($P$1:$P$100, SMALL(IF($P$1:$P$100&lt;&gt;"", ROW($P$1:$P$100)), ROW(Q22))), "")</f>
        <v/>
      </c>
      <c r="R22" s="126" t="str">
        <f t="shared" ca="1" si="9"/>
        <v/>
      </c>
      <c r="S22" s="126" t="str">
        <f t="shared" ca="1" si="10"/>
        <v/>
      </c>
      <c r="T22" s="126" t="str">
        <f t="shared" ca="1" si="10"/>
        <v/>
      </c>
      <c r="U22" s="126" t="str">
        <f t="shared" ca="1" si="10"/>
        <v/>
      </c>
      <c r="V22" s="126" t="str">
        <f t="shared" ca="1" si="10"/>
        <v/>
      </c>
      <c r="W22" s="126" t="str">
        <f t="shared" ca="1" si="11"/>
        <v/>
      </c>
      <c r="X22" s="126" t="str" cm="1">
        <f t="array" aca="1" ref="X22" ca="1">IF($Q22&lt;&gt;"",INDIRECT("A"&amp;MATCH(Q22,$E$1:$E$100,0)+ROW()-1&amp;""),"")</f>
        <v/>
      </c>
      <c r="Y22" t="str">
        <f ca="1">IF(Q22&lt;&gt;"",
IF(COUNTIF(S22,"*キャラ*"),
VLOOKUP("*キャラ*",商品マスタ!$D:$E,2,FALSE),
IF(COUNTIF(S22,"*赤*"),
VLOOKUP("*赤*",商品マスタ!$D:$E,2,FALSE),
VLOOKUP("*"&amp;S22&amp;"*",商品マスタ!$D:$E,2,FALSE))),"")</f>
        <v/>
      </c>
      <c r="Z22" t="str">
        <f t="shared" ca="1" si="13"/>
        <v/>
      </c>
      <c r="AA22" t="str">
        <f t="shared" ca="1" si="3"/>
        <v/>
      </c>
      <c r="AC22" t="str">
        <f t="shared" ca="1" si="4"/>
        <v/>
      </c>
      <c r="AD22" s="78" t="str">
        <f t="array" aca="1" ref="AD22" ca="1">IF(AND(IFERROR(COUNTIF(INDIRECT("R"&amp;IFERROR(SMALL(IF(AC$1:AC$140&lt;&gt;0,AC$1:AC$140),ROW(A22)),"")&amp;""),"*雙葉*"),0),COUNTIF(AE$1:AE21,"*雙葉*")),"",
IFERROR(SMALL(IF(AC$1:AC$140&lt;&gt;0,AC$1:AC$140),ROW(A22)),""))</f>
        <v/>
      </c>
      <c r="AE22" s="78" t="str">
        <f t="array" aca="1" ref="AE22" ca="1">IF($AD22&lt;&gt;"",INDIRECT("R"&amp;$AD22&amp;""),"")</f>
        <v/>
      </c>
      <c r="AF22" s="78" t="str">
        <f t="array" aca="1" ref="AF22" ca="1">IF($AD22&lt;&gt;"",
IF(INDIRECT("S"&amp;$AD22&amp;"")&lt;&gt;"",INDIRECT("S"&amp;$AD22&amp;""),""),"")</f>
        <v/>
      </c>
      <c r="AG22" s="78" t="str" cm="1">
        <f t="array" aca="1" ref="AG22" ca="1">IFERROR(IF($AD22&lt;&gt;"",INDIRECT("T"&amp;$AD22&amp;""),"")
+IF(COUNTIF(AE22,"*雙葉*"),
IFERROR(INDIRECT("T"&amp;MATCH("*雙葉*",INDIRECT("R"&amp;AD22+1&amp;":$R$140"),0)+ROW()&amp;""),0),0)
+IF(OR(COUNTIF(AO22,"*管理*"),COUNTIF(AO22,"予備")),
AQ22,0),"")</f>
        <v/>
      </c>
      <c r="AH22" s="78" t="str" cm="1">
        <f t="array" aca="1" ref="AH22" ca="1">IFERROR(IF($AD22&lt;&gt;"",INDIRECT("U"&amp;$AD22&amp;""),"")
+IF(COUNTIF(AE22,"*雙葉*"),
IFERROR(INDIRECT("U"&amp;MATCH("*雙葉*",INDIRECT("R"&amp;AD22+1&amp;":$R$140"),0)+ROW()&amp;""),0),0),"")</f>
        <v/>
      </c>
      <c r="AI22" s="78" t="str" cm="1">
        <f t="array" aca="1" ref="AI22" ca="1">IFERROR(IF($AD22&lt;&gt;"",INDIRECT("V"&amp;$AD22&amp;""),"")
+IF(COUNTIF(AE22,"*雙葉*"),
IFERROR(INDIRECT("V"&amp;MATCH("*雙葉*",INDIRECT("R"&amp;AD22+1&amp;":$R$140"),0)+ROW()&amp;""),0),0),"")</f>
        <v/>
      </c>
      <c r="AJ22" s="78" t="str">
        <f t="array" aca="1" ref="AJ22" ca="1">IF($AD22&lt;&gt;"",INDIRECT("W"&amp;$AD22&amp;""),"")</f>
        <v/>
      </c>
      <c r="AK22" s="78" t="str">
        <f t="array" aca="1" ref="AK22" ca="1">IF($AD22&lt;&gt;"",INDIRECT("Y"&amp;$AD22&amp;""),"")</f>
        <v/>
      </c>
      <c r="AL22" s="78" t="str">
        <f t="shared" ca="1" si="14"/>
        <v/>
      </c>
      <c r="AM22" s="78" t="str">
        <f t="shared" ca="1" si="12"/>
        <v/>
      </c>
      <c r="AN22" s="78" t="str">
        <f t="array" aca="1" ref="AN22" ca="1">IF($AD22&lt;&gt;"",INDIRECT("Q"&amp;$AD22&amp;""),"")</f>
        <v/>
      </c>
      <c r="AO22" s="78" t="str">
        <f ca="1">IFERROR(IF(AND(AN22&lt;&gt;"",VLOOKUP(AN22,得意先マスタ!$A$1:$Z$800,24,FALSE)&lt;&gt;0),
VLOOKUP(AN22,得意先マスタ!$A$1:$Z$800,24,FALSE),""),"")</f>
        <v/>
      </c>
      <c r="AP22" s="78" t="str">
        <f ca="1">IFERROR(IF(AND(AN22&lt;&gt;"",VLOOKUP(AN22,得意先マスタ!$A$1:$Z$800,25,FALSE)&lt;&gt;0),
VLOOKUP(AN22,得意先マスタ!$A$1:$Z$800,25,FALSE),""),"")</f>
        <v/>
      </c>
      <c r="AQ22" s="78" t="str">
        <f t="shared" ca="1" si="6"/>
        <v/>
      </c>
      <c r="AR22" s="78">
        <f t="shared" ca="1" si="18"/>
        <v>0</v>
      </c>
      <c r="AS22" s="78">
        <f t="shared" ca="1" si="17"/>
        <v>0</v>
      </c>
    </row>
    <row r="23" spans="12:45">
      <c r="P23" t="str">
        <f ca="1">IF(AND(N23=0, COUNTIFS($E$1:E23,E23)=1), E23,
IF(COUNTIF(F23,"*雙葉*"),E23,""))</f>
        <v/>
      </c>
      <c r="Q23" s="126" t="str" cm="1">
        <f t="array" aca="1" ref="Q23" ca="1">IFERROR(INDEX($P$1:$P$100, SMALL(IF($P$1:$P$100&lt;&gt;"", ROW($P$1:$P$100)), ROW(Q23))), "")</f>
        <v/>
      </c>
      <c r="R23" s="126" t="str">
        <f t="shared" ca="1" si="9"/>
        <v/>
      </c>
      <c r="S23" s="126" t="str">
        <f t="shared" ref="S23:V50" ca="1" si="19">IF($Q23&lt;&gt;"",VLOOKUP($Q23,$E$1:$O$100,COLUMN()-13,FALSE),"")</f>
        <v/>
      </c>
      <c r="T23" s="126" t="str">
        <f t="shared" ca="1" si="19"/>
        <v/>
      </c>
      <c r="U23" s="126" t="str">
        <f t="shared" ca="1" si="19"/>
        <v/>
      </c>
      <c r="V23" s="126" t="str">
        <f t="shared" ca="1" si="19"/>
        <v/>
      </c>
      <c r="W23" s="126" t="str">
        <f t="shared" ca="1" si="11"/>
        <v/>
      </c>
      <c r="X23" s="126" t="str" cm="1">
        <f t="array" aca="1" ref="X23" ca="1">IF($Q23&lt;&gt;"",INDIRECT("A"&amp;MATCH(Q23,$E$1:$E$100,0)+ROW()-1&amp;""),"")</f>
        <v/>
      </c>
      <c r="Y23" t="str">
        <f ca="1">IF(Q23&lt;&gt;"",
IF(COUNTIF(S23,"*キャラ*"),
VLOOKUP("*キャラ*",商品マスタ!$D:$E,2,FALSE),
IF(COUNTIF(S23,"*赤*"),
VLOOKUP("*赤*",商品マスタ!$D:$E,2,FALSE),
VLOOKUP("*"&amp;S23&amp;"*",商品マスタ!$D:$E,2,FALSE))),"")</f>
        <v/>
      </c>
      <c r="Z23" t="str">
        <f t="shared" ca="1" si="13"/>
        <v/>
      </c>
      <c r="AA23" t="str">
        <f t="shared" ca="1" si="3"/>
        <v/>
      </c>
      <c r="AC23" t="str">
        <f t="shared" ca="1" si="4"/>
        <v/>
      </c>
      <c r="AD23" s="78" t="str">
        <f t="array" aca="1" ref="AD23" ca="1">IF(AND(IFERROR(COUNTIF(INDIRECT("R"&amp;IFERROR(SMALL(IF(AC$1:AC$140&lt;&gt;0,AC$1:AC$140),ROW(A23)),"")&amp;""),"*雙葉*"),0),COUNTIF(AE$1:AE22,"*雙葉*")),"",
IFERROR(SMALL(IF(AC$1:AC$140&lt;&gt;0,AC$1:AC$140),ROW(A23)),""))</f>
        <v/>
      </c>
      <c r="AE23" s="78" t="str">
        <f t="array" aca="1" ref="AE23" ca="1">IF($AD23&lt;&gt;"",INDIRECT("R"&amp;$AD23&amp;""),"")</f>
        <v/>
      </c>
      <c r="AF23" s="78" t="str">
        <f t="array" aca="1" ref="AF23" ca="1">IF($AD23&lt;&gt;"",
IF(INDIRECT("S"&amp;$AD23&amp;"")&lt;&gt;"",INDIRECT("S"&amp;$AD23&amp;""),""),"")</f>
        <v/>
      </c>
      <c r="AG23" s="78" t="str" cm="1">
        <f t="array" aca="1" ref="AG23" ca="1">IFERROR(IF($AD23&lt;&gt;"",INDIRECT("T"&amp;$AD23&amp;""),"")
+IF(COUNTIF(AE23,"*雙葉*"),
IFERROR(INDIRECT("T"&amp;MATCH("*雙葉*",INDIRECT("R"&amp;AD23+1&amp;":$R$140"),0)+ROW()&amp;""),0),0)
+IF(OR(COUNTIF(AO23,"*管理*"),COUNTIF(AO23,"予備")),
AQ23,0),"")</f>
        <v/>
      </c>
      <c r="AH23" s="78" t="str" cm="1">
        <f t="array" aca="1" ref="AH23" ca="1">IFERROR(IF($AD23&lt;&gt;"",INDIRECT("U"&amp;$AD23&amp;""),"")
+IF(COUNTIF(AE23,"*雙葉*"),
IFERROR(INDIRECT("U"&amp;MATCH("*雙葉*",INDIRECT("R"&amp;AD23+1&amp;":$R$140"),0)+ROW()&amp;""),0),0),"")</f>
        <v/>
      </c>
      <c r="AI23" s="78" t="str" cm="1">
        <f t="array" aca="1" ref="AI23" ca="1">IFERROR(IF($AD23&lt;&gt;"",INDIRECT("V"&amp;$AD23&amp;""),"")
+IF(COUNTIF(AE23,"*雙葉*"),
IFERROR(INDIRECT("V"&amp;MATCH("*雙葉*",INDIRECT("R"&amp;AD23+1&amp;":$R$140"),0)+ROW()&amp;""),0),0),"")</f>
        <v/>
      </c>
      <c r="AJ23" s="78" t="str">
        <f t="array" aca="1" ref="AJ23" ca="1">IF($AD23&lt;&gt;"",INDIRECT("W"&amp;$AD23&amp;""),"")</f>
        <v/>
      </c>
      <c r="AK23" s="78" t="str">
        <f t="array" aca="1" ref="AK23" ca="1">IF($AD23&lt;&gt;"",INDIRECT("Y"&amp;$AD23&amp;""),"")</f>
        <v/>
      </c>
      <c r="AL23" s="78" t="str">
        <f t="shared" ca="1" si="14"/>
        <v/>
      </c>
      <c r="AM23" s="78" t="str">
        <f t="shared" ca="1" si="12"/>
        <v/>
      </c>
      <c r="AN23" s="78" t="str">
        <f t="array" aca="1" ref="AN23" ca="1">IF($AD23&lt;&gt;"",INDIRECT("Q"&amp;$AD23&amp;""),"")</f>
        <v/>
      </c>
      <c r="AO23" s="78" t="str">
        <f ca="1">IFERROR(IF(AND(AN23&lt;&gt;"",VLOOKUP(AN23,得意先マスタ!$A$1:$Z$800,24,FALSE)&lt;&gt;0),
VLOOKUP(AN23,得意先マスタ!$A$1:$Z$800,24,FALSE),""),"")</f>
        <v/>
      </c>
      <c r="AP23" s="78" t="str">
        <f ca="1">IFERROR(IF(AND(AN23&lt;&gt;"",VLOOKUP(AN23,得意先マスタ!$A$1:$Z$800,25,FALSE)&lt;&gt;0),
VLOOKUP(AN23,得意先マスタ!$A$1:$Z$800,25,FALSE),""),"")</f>
        <v/>
      </c>
      <c r="AQ23" s="78" t="str">
        <f t="shared" ca="1" si="6"/>
        <v/>
      </c>
      <c r="AR23" s="78">
        <f t="shared" ca="1" si="18"/>
        <v>0</v>
      </c>
      <c r="AS23" s="78">
        <f t="shared" ca="1" si="17"/>
        <v>0</v>
      </c>
    </row>
    <row r="24" spans="12:45">
      <c r="P24" t="str">
        <f ca="1">IF(AND(N24=0, COUNTIFS($E$1:E24,E24)=1), E24,
IF(COUNTIF(F24,"*雙葉*"),E24,""))</f>
        <v/>
      </c>
      <c r="Q24" s="126" t="str" cm="1">
        <f t="array" aca="1" ref="Q24" ca="1">IFERROR(INDEX($P$1:$P$100, SMALL(IF($P$1:$P$100&lt;&gt;"", ROW($P$1:$P$100)), ROW(Q24))), "")</f>
        <v/>
      </c>
      <c r="R24" s="126" t="str">
        <f t="shared" ca="1" si="9"/>
        <v/>
      </c>
      <c r="S24" s="126" t="str">
        <f t="shared" ca="1" si="10"/>
        <v/>
      </c>
      <c r="T24" s="126" t="str">
        <f t="shared" ca="1" si="10"/>
        <v/>
      </c>
      <c r="U24" s="126" t="str">
        <f t="shared" ca="1" si="10"/>
        <v/>
      </c>
      <c r="V24" s="126" t="str">
        <f t="shared" ca="1" si="10"/>
        <v/>
      </c>
      <c r="W24" s="126" t="str">
        <f t="shared" ca="1" si="11"/>
        <v/>
      </c>
      <c r="X24" s="126" t="str" cm="1">
        <f t="array" aca="1" ref="X24" ca="1">IF($Q24&lt;&gt;"",INDIRECT("A"&amp;MATCH(Q24,$E$1:$E$100,0)+ROW()-1&amp;""),"")</f>
        <v/>
      </c>
      <c r="Y24" t="str">
        <f ca="1">IF(Q24&lt;&gt;"",
IF(COUNTIF(S24,"*キャラ*"),
VLOOKUP("*キャラ*",商品マスタ!$D:$E,2,FALSE),
IF(COUNTIF(S24,"*赤*"),
VLOOKUP("*赤*",商品マスタ!$D:$E,2,FALSE),
VLOOKUP("*"&amp;S24&amp;"*",商品マスタ!$D:$E,2,FALSE))),"")</f>
        <v/>
      </c>
      <c r="Z24" t="str">
        <f t="shared" ca="1" si="13"/>
        <v/>
      </c>
      <c r="AA24" t="str">
        <f t="shared" ca="1" si="3"/>
        <v/>
      </c>
      <c r="AC24" t="str">
        <f t="shared" ca="1" si="4"/>
        <v/>
      </c>
      <c r="AD24" s="78" t="str">
        <f t="array" aca="1" ref="AD24" ca="1">IF(AND(IFERROR(COUNTIF(INDIRECT("R"&amp;IFERROR(SMALL(IF(AC$1:AC$140&lt;&gt;0,AC$1:AC$140),ROW(A24)),"")&amp;""),"*雙葉*"),0),COUNTIF(AE$1:AE23,"*雙葉*")),"",
IFERROR(SMALL(IF(AC$1:AC$140&lt;&gt;0,AC$1:AC$140),ROW(A24)),""))</f>
        <v/>
      </c>
      <c r="AE24" s="78" t="str">
        <f t="array" aca="1" ref="AE24" ca="1">IF($AD24&lt;&gt;"",INDIRECT("R"&amp;$AD24&amp;""),"")</f>
        <v/>
      </c>
      <c r="AF24" s="78" t="str">
        <f t="array" aca="1" ref="AF24" ca="1">IF($AD24&lt;&gt;"",
IF(INDIRECT("S"&amp;$AD24&amp;"")&lt;&gt;"",INDIRECT("S"&amp;$AD24&amp;""),""),"")</f>
        <v/>
      </c>
      <c r="AG24" s="78" t="str" cm="1">
        <f t="array" aca="1" ref="AG24" ca="1">IFERROR(IF($AD24&lt;&gt;"",INDIRECT("T"&amp;$AD24&amp;""),"")
+IF(COUNTIF(AE24,"*雙葉*"),
IFERROR(INDIRECT("T"&amp;MATCH("*雙葉*",INDIRECT("R"&amp;AD24+1&amp;":$R$140"),0)+ROW()&amp;""),0),0)
+IF(OR(COUNTIF(AO24,"*管理*"),COUNTIF(AO24,"予備")),
AQ24,0),"")</f>
        <v/>
      </c>
      <c r="AH24" s="78" t="str" cm="1">
        <f t="array" aca="1" ref="AH24" ca="1">IFERROR(IF($AD24&lt;&gt;"",INDIRECT("U"&amp;$AD24&amp;""),"")
+IF(COUNTIF(AE24,"*雙葉*"),
IFERROR(INDIRECT("U"&amp;MATCH("*雙葉*",INDIRECT("R"&amp;AD24+1&amp;":$R$140"),0)+ROW()&amp;""),0),0),"")</f>
        <v/>
      </c>
      <c r="AI24" s="78" t="str" cm="1">
        <f t="array" aca="1" ref="AI24" ca="1">IFERROR(IF($AD24&lt;&gt;"",INDIRECT("V"&amp;$AD24&amp;""),"")
+IF(COUNTIF(AE24,"*雙葉*"),
IFERROR(INDIRECT("V"&amp;MATCH("*雙葉*",INDIRECT("R"&amp;AD24+1&amp;":$R$140"),0)+ROW()&amp;""),0),0),"")</f>
        <v/>
      </c>
      <c r="AJ24" s="78" t="str">
        <f t="array" aca="1" ref="AJ24" ca="1">IF($AD24&lt;&gt;"",INDIRECT("W"&amp;$AD24&amp;""),"")</f>
        <v/>
      </c>
      <c r="AK24" s="78" t="str">
        <f t="array" aca="1" ref="AK24" ca="1">IF($AD24&lt;&gt;"",INDIRECT("Y"&amp;$AD24&amp;""),"")</f>
        <v/>
      </c>
      <c r="AL24" s="78" t="str">
        <f t="shared" ca="1" si="14"/>
        <v/>
      </c>
      <c r="AM24" s="78" t="str">
        <f t="shared" ca="1" si="12"/>
        <v/>
      </c>
      <c r="AN24" s="78" t="str">
        <f t="array" aca="1" ref="AN24" ca="1">IF($AD24&lt;&gt;"",INDIRECT("Q"&amp;$AD24&amp;""),"")</f>
        <v/>
      </c>
      <c r="AO24" s="78" t="str">
        <f ca="1">IFERROR(IF(AND(AN24&lt;&gt;"",VLOOKUP(AN24,得意先マスタ!$A$1:$Z$800,24,FALSE)&lt;&gt;0),
VLOOKUP(AN24,得意先マスタ!$A$1:$Z$800,24,FALSE),""),"")</f>
        <v/>
      </c>
      <c r="AP24" s="78" t="str">
        <f ca="1">IFERROR(IF(AND(AN24&lt;&gt;"",VLOOKUP(AN24,得意先マスタ!$A$1:$Z$800,25,FALSE)&lt;&gt;0),
VLOOKUP(AN24,得意先マスタ!$A$1:$Z$800,25,FALSE),""),"")</f>
        <v/>
      </c>
      <c r="AQ24" s="78" t="str">
        <f t="shared" ca="1" si="6"/>
        <v/>
      </c>
      <c r="AR24" s="78">
        <f t="shared" ca="1" si="18"/>
        <v>0</v>
      </c>
      <c r="AS24" s="78">
        <f t="shared" ca="1" si="17"/>
        <v>0</v>
      </c>
    </row>
    <row r="25" spans="12:45">
      <c r="P25" t="str">
        <f ca="1">IF(AND(N25=0, COUNTIFS($E$1:E25,E25)=1), E25,
IF(COUNTIF(F25,"*雙葉*"),E25,""))</f>
        <v/>
      </c>
      <c r="Q25" s="126" t="str" cm="1">
        <f t="array" aca="1" ref="Q25" ca="1">IFERROR(INDEX($P$1:$P$100, SMALL(IF($P$1:$P$100&lt;&gt;"", ROW($P$1:$P$100)), ROW(Q25))), "")</f>
        <v/>
      </c>
      <c r="R25" s="126" t="str">
        <f t="shared" ca="1" si="9"/>
        <v/>
      </c>
      <c r="S25" s="126" t="str">
        <f t="shared" ca="1" si="10"/>
        <v/>
      </c>
      <c r="T25" s="126" t="str">
        <f t="shared" ca="1" si="10"/>
        <v/>
      </c>
      <c r="U25" s="126" t="str">
        <f t="shared" ca="1" si="10"/>
        <v/>
      </c>
      <c r="V25" s="126" t="str">
        <f t="shared" ca="1" si="10"/>
        <v/>
      </c>
      <c r="W25" s="126" t="str">
        <f t="shared" ca="1" si="11"/>
        <v/>
      </c>
      <c r="X25" s="126" t="str" cm="1">
        <f t="array" aca="1" ref="X25" ca="1">IF($Q25&lt;&gt;"",INDIRECT("A"&amp;MATCH(Q25,$E$1:$E$100,0)+ROW()-1&amp;""),"")</f>
        <v/>
      </c>
      <c r="Y25" t="str">
        <f ca="1">IF(Q25&lt;&gt;"",
IF(COUNTIF(S25,"*キャラ*"),
VLOOKUP("*キャラ*",商品マスタ!$D:$E,2,FALSE),
IF(COUNTIF(S25,"*赤*"),
VLOOKUP("*赤*",商品マスタ!$D:$E,2,FALSE),
VLOOKUP("*"&amp;S25&amp;"*",商品マスタ!$D:$E,2,FALSE))),"")</f>
        <v/>
      </c>
      <c r="Z25" t="str">
        <f t="shared" ca="1" si="13"/>
        <v/>
      </c>
      <c r="AA25" t="str">
        <f t="shared" ca="1" si="3"/>
        <v/>
      </c>
      <c r="AC25" t="str">
        <f t="shared" ca="1" si="4"/>
        <v/>
      </c>
      <c r="AD25" s="78" t="str">
        <f t="array" aca="1" ref="AD25" ca="1">IF(AND(IFERROR(COUNTIF(INDIRECT("R"&amp;IFERROR(SMALL(IF(AC$1:AC$140&lt;&gt;0,AC$1:AC$140),ROW(A25)),"")&amp;""),"*雙葉*"),0),COUNTIF(AE$1:AE24,"*雙葉*")),"",
IFERROR(SMALL(IF(AC$1:AC$140&lt;&gt;0,AC$1:AC$140),ROW(A25)),""))</f>
        <v/>
      </c>
      <c r="AE25" s="78" t="str">
        <f t="array" aca="1" ref="AE25" ca="1">IF($AD25&lt;&gt;"",INDIRECT("R"&amp;$AD25&amp;""),"")</f>
        <v/>
      </c>
      <c r="AF25" s="78" t="str">
        <f t="array" aca="1" ref="AF25" ca="1">IF($AD25&lt;&gt;"",
IF(INDIRECT("S"&amp;$AD25&amp;"")&lt;&gt;"",INDIRECT("S"&amp;$AD25&amp;""),""),"")</f>
        <v/>
      </c>
      <c r="AG25" s="78" t="str" cm="1">
        <f t="array" aca="1" ref="AG25" ca="1">IFERROR(IF($AD25&lt;&gt;"",INDIRECT("T"&amp;$AD25&amp;""),"")
+IF(COUNTIF(AE25,"*雙葉*"),
IFERROR(INDIRECT("T"&amp;MATCH("*雙葉*",INDIRECT("R"&amp;AD25+1&amp;":$R$140"),0)+ROW()&amp;""),0),0)
+IF(OR(COUNTIF(AO25,"*管理*"),COUNTIF(AO25,"予備")),
AQ25,0),"")</f>
        <v/>
      </c>
      <c r="AH25" s="78" t="str" cm="1">
        <f t="array" aca="1" ref="AH25" ca="1">IFERROR(IF($AD25&lt;&gt;"",INDIRECT("U"&amp;$AD25&amp;""),"")
+IF(COUNTIF(AE25,"*雙葉*"),
IFERROR(INDIRECT("U"&amp;MATCH("*雙葉*",INDIRECT("R"&amp;AD25+1&amp;":$R$140"),0)+ROW()&amp;""),0),0),"")</f>
        <v/>
      </c>
      <c r="AI25" s="78" t="str" cm="1">
        <f t="array" aca="1" ref="AI25" ca="1">IFERROR(IF($AD25&lt;&gt;"",INDIRECT("V"&amp;$AD25&amp;""),"")
+IF(COUNTIF(AE25,"*雙葉*"),
IFERROR(INDIRECT("V"&amp;MATCH("*雙葉*",INDIRECT("R"&amp;AD25+1&amp;":$R$140"),0)+ROW()&amp;""),0),0),"")</f>
        <v/>
      </c>
      <c r="AJ25" s="78" t="str">
        <f t="array" aca="1" ref="AJ25" ca="1">IF($AD25&lt;&gt;"",INDIRECT("W"&amp;$AD25&amp;""),"")</f>
        <v/>
      </c>
      <c r="AK25" s="78" t="str">
        <f t="array" aca="1" ref="AK25" ca="1">IF($AD25&lt;&gt;"",INDIRECT("Y"&amp;$AD25&amp;""),"")</f>
        <v/>
      </c>
      <c r="AL25" s="78" t="str">
        <f t="shared" ca="1" si="14"/>
        <v/>
      </c>
      <c r="AM25" s="78" t="str">
        <f t="shared" ca="1" si="12"/>
        <v/>
      </c>
      <c r="AN25" s="78" t="str">
        <f t="array" aca="1" ref="AN25" ca="1">IF($AD25&lt;&gt;"",INDIRECT("Q"&amp;$AD25&amp;""),"")</f>
        <v/>
      </c>
      <c r="AO25" s="78" t="str">
        <f ca="1">IFERROR(IF(AND(AN25&lt;&gt;"",VLOOKUP(AN25,得意先マスタ!$A$1:$Z$800,24,FALSE)&lt;&gt;0),
VLOOKUP(AN25,得意先マスタ!$A$1:$Z$800,24,FALSE),""),"")</f>
        <v/>
      </c>
      <c r="AP25" s="78" t="str">
        <f ca="1">IFERROR(IF(AND(AN25&lt;&gt;"",VLOOKUP(AN25,得意先マスタ!$A$1:$Z$800,25,FALSE)&lt;&gt;0),
VLOOKUP(AN25,得意先マスタ!$A$1:$Z$800,25,FALSE),""),"")</f>
        <v/>
      </c>
      <c r="AQ25" s="78" t="str">
        <f t="shared" ca="1" si="6"/>
        <v/>
      </c>
      <c r="AR25" s="78">
        <f t="shared" ca="1" si="18"/>
        <v>0</v>
      </c>
      <c r="AS25" s="78">
        <f t="shared" ca="1" si="17"/>
        <v>0</v>
      </c>
    </row>
    <row r="26" spans="12:45">
      <c r="P26" t="str">
        <f ca="1">IF(AND(N26=0, COUNTIFS($E$1:E26,E26)=1), E26,
IF(COUNTIF(F26,"*雙葉*"),E26,""))</f>
        <v/>
      </c>
      <c r="Q26" s="126" t="str" cm="1">
        <f t="array" aca="1" ref="Q26" ca="1">IFERROR(INDEX($P$1:$P$100, SMALL(IF($P$1:$P$100&lt;&gt;"", ROW($P$1:$P$100)), ROW(Q26))), "")</f>
        <v/>
      </c>
      <c r="R26" s="126" t="str">
        <f t="shared" ca="1" si="9"/>
        <v/>
      </c>
      <c r="S26" s="126" t="str">
        <f t="shared" ca="1" si="10"/>
        <v/>
      </c>
      <c r="T26" s="126" t="str">
        <f t="shared" ca="1" si="10"/>
        <v/>
      </c>
      <c r="U26" s="126" t="str">
        <f t="shared" ca="1" si="10"/>
        <v/>
      </c>
      <c r="V26" s="126" t="str">
        <f t="shared" ca="1" si="10"/>
        <v/>
      </c>
      <c r="W26" s="126" t="str">
        <f t="shared" ca="1" si="11"/>
        <v/>
      </c>
      <c r="X26" s="126" t="str" cm="1">
        <f t="array" aca="1" ref="X26" ca="1">IF($Q26&lt;&gt;"",INDIRECT("A"&amp;MATCH(Q26,$E$1:$E$100,0)+ROW()-1&amp;""),"")</f>
        <v/>
      </c>
      <c r="Y26" t="str">
        <f ca="1">IF(Q26&lt;&gt;"",
IF(COUNTIF(S26,"*キャラ*"),
VLOOKUP("*キャラ*",商品マスタ!$D:$E,2,FALSE),
IF(COUNTIF(S26,"*赤*"),
VLOOKUP("*赤*",商品マスタ!$D:$E,2,FALSE),
VLOOKUP("*"&amp;S26&amp;"*",商品マスタ!$D:$E,2,FALSE))),"")</f>
        <v/>
      </c>
      <c r="Z26" t="str">
        <f t="shared" ca="1" si="13"/>
        <v/>
      </c>
      <c r="AA26" t="str">
        <f t="shared" ca="1" si="3"/>
        <v/>
      </c>
      <c r="AC26" t="str">
        <f t="shared" ca="1" si="4"/>
        <v/>
      </c>
      <c r="AD26" s="78" t="str">
        <f t="array" aca="1" ref="AD26" ca="1">IF(AND(IFERROR(COUNTIF(INDIRECT("R"&amp;IFERROR(SMALL(IF(AC$1:AC$140&lt;&gt;0,AC$1:AC$140),ROW(A26)),"")&amp;""),"*雙葉*"),0),COUNTIF(AE$1:AE25,"*雙葉*")),"",
IFERROR(SMALL(IF(AC$1:AC$140&lt;&gt;0,AC$1:AC$140),ROW(A26)),""))</f>
        <v/>
      </c>
      <c r="AE26" s="78" t="str">
        <f t="array" aca="1" ref="AE26" ca="1">IF($AD26&lt;&gt;"",INDIRECT("R"&amp;$AD26&amp;""),"")</f>
        <v/>
      </c>
      <c r="AF26" s="78" t="str">
        <f t="array" aca="1" ref="AF26" ca="1">IF($AD26&lt;&gt;"",
IF(INDIRECT("S"&amp;$AD26&amp;"")&lt;&gt;"",INDIRECT("S"&amp;$AD26&amp;""),""),"")</f>
        <v/>
      </c>
      <c r="AG26" s="78" t="str" cm="1">
        <f t="array" aca="1" ref="AG26" ca="1">IFERROR(IF($AD26&lt;&gt;"",INDIRECT("T"&amp;$AD26&amp;""),"")
+IF(COUNTIF(AE26,"*雙葉*"),
IFERROR(INDIRECT("T"&amp;MATCH("*雙葉*",INDIRECT("R"&amp;AD26+1&amp;":$R$140"),0)+ROW()&amp;""),0),0)
+IF(OR(COUNTIF(AO26,"*管理*"),COUNTIF(AO26,"予備")),
AQ26,0),"")</f>
        <v/>
      </c>
      <c r="AH26" s="78" t="str" cm="1">
        <f t="array" aca="1" ref="AH26" ca="1">IFERROR(IF($AD26&lt;&gt;"",INDIRECT("U"&amp;$AD26&amp;""),"")
+IF(COUNTIF(AE26,"*雙葉*"),
IFERROR(INDIRECT("U"&amp;MATCH("*雙葉*",INDIRECT("R"&amp;AD26+1&amp;":$R$140"),0)+ROW()&amp;""),0),0),"")</f>
        <v/>
      </c>
      <c r="AI26" s="78" t="str" cm="1">
        <f t="array" aca="1" ref="AI26" ca="1">IFERROR(IF($AD26&lt;&gt;"",INDIRECT("V"&amp;$AD26&amp;""),"")
+IF(COUNTIF(AE26,"*雙葉*"),
IFERROR(INDIRECT("V"&amp;MATCH("*雙葉*",INDIRECT("R"&amp;AD26+1&amp;":$R$140"),0)+ROW()&amp;""),0),0),"")</f>
        <v/>
      </c>
      <c r="AJ26" s="78" t="str">
        <f t="array" aca="1" ref="AJ26" ca="1">IF($AD26&lt;&gt;"",INDIRECT("W"&amp;$AD26&amp;""),"")</f>
        <v/>
      </c>
      <c r="AK26" s="78" t="str">
        <f t="array" aca="1" ref="AK26" ca="1">IF($AD26&lt;&gt;"",INDIRECT("Y"&amp;$AD26&amp;""),"")</f>
        <v/>
      </c>
      <c r="AL26" s="78" t="str">
        <f t="shared" ca="1" si="14"/>
        <v/>
      </c>
      <c r="AM26" s="78" t="str">
        <f t="shared" ca="1" si="12"/>
        <v/>
      </c>
      <c r="AN26" s="78" t="str">
        <f t="array" aca="1" ref="AN26" ca="1">IF($AD26&lt;&gt;"",INDIRECT("Q"&amp;$AD26&amp;""),"")</f>
        <v/>
      </c>
      <c r="AO26" s="78" t="str">
        <f ca="1">IFERROR(IF(AND(AN26&lt;&gt;"",VLOOKUP(AN26,得意先マスタ!$A$1:$Z$800,24,FALSE)&lt;&gt;0),
VLOOKUP(AN26,得意先マスタ!$A$1:$Z$800,24,FALSE),""),"")</f>
        <v/>
      </c>
      <c r="AP26" s="78" t="str">
        <f ca="1">IFERROR(IF(AND(AN26&lt;&gt;"",VLOOKUP(AN26,得意先マスタ!$A$1:$Z$800,25,FALSE)&lt;&gt;0),
VLOOKUP(AN26,得意先マスタ!$A$1:$Z$800,25,FALSE),""),"")</f>
        <v/>
      </c>
      <c r="AQ26" s="78" t="str">
        <f t="shared" ca="1" si="6"/>
        <v/>
      </c>
      <c r="AR26" s="78">
        <f t="shared" ca="1" si="18"/>
        <v>0</v>
      </c>
      <c r="AS26" s="78">
        <f t="shared" ca="1" si="17"/>
        <v>0</v>
      </c>
    </row>
    <row r="27" spans="12:45">
      <c r="P27" t="str">
        <f ca="1">IF(AND(N27=0, COUNTIFS($E$1:E27,E27)=1), E27,
IF(COUNTIF(F27,"*雙葉*"),E27,""))</f>
        <v/>
      </c>
      <c r="Q27" s="126" t="str" cm="1">
        <f t="array" aca="1" ref="Q27" ca="1">IFERROR(INDEX($P$1:$P$100, SMALL(IF($P$1:$P$100&lt;&gt;"", ROW($P$1:$P$100)), ROW(Q27))), "")</f>
        <v/>
      </c>
      <c r="R27" s="126" t="str">
        <f t="shared" ca="1" si="9"/>
        <v/>
      </c>
      <c r="S27" s="126" t="str">
        <f t="shared" ca="1" si="10"/>
        <v/>
      </c>
      <c r="T27" s="126" t="str">
        <f t="shared" ca="1" si="10"/>
        <v/>
      </c>
      <c r="U27" s="126" t="str">
        <f t="shared" ca="1" si="10"/>
        <v/>
      </c>
      <c r="V27" s="126" t="str">
        <f t="shared" ca="1" si="10"/>
        <v/>
      </c>
      <c r="W27" s="126" t="str">
        <f t="shared" ca="1" si="11"/>
        <v/>
      </c>
      <c r="X27" s="126" t="str" cm="1">
        <f t="array" aca="1" ref="X27" ca="1">IF($Q27&lt;&gt;"",INDIRECT("A"&amp;MATCH(Q27,$E$1:$E$100,0)+ROW()-1&amp;""),"")</f>
        <v/>
      </c>
      <c r="Y27" t="str">
        <f ca="1">IF(Q27&lt;&gt;"",
IF(COUNTIF(S27,"*キャラ*"),
VLOOKUP("*キャラ*",商品マスタ!$D:$E,2,FALSE),
IF(COUNTIF(S27,"*赤*"),
VLOOKUP("*赤*",商品マスタ!$D:$E,2,FALSE),
VLOOKUP("*"&amp;S27&amp;"*",商品マスタ!$D:$E,2,FALSE))),"")</f>
        <v/>
      </c>
      <c r="Z27" t="str">
        <f t="shared" ca="1" si="13"/>
        <v/>
      </c>
      <c r="AA27" t="str">
        <f t="shared" ca="1" si="3"/>
        <v/>
      </c>
      <c r="AC27" t="str">
        <f t="shared" ca="1" si="4"/>
        <v/>
      </c>
      <c r="AD27" s="78" t="str">
        <f t="array" aca="1" ref="AD27" ca="1">IF(AND(IFERROR(COUNTIF(INDIRECT("R"&amp;IFERROR(SMALL(IF(AC$1:AC$140&lt;&gt;0,AC$1:AC$140),ROW(A27)),"")&amp;""),"*雙葉*"),0),COUNTIF(AE$1:AE26,"*雙葉*")),"",
IFERROR(SMALL(IF(AC$1:AC$140&lt;&gt;0,AC$1:AC$140),ROW(A27)),""))</f>
        <v/>
      </c>
      <c r="AE27" s="78" t="str">
        <f t="array" aca="1" ref="AE27" ca="1">IF($AD27&lt;&gt;"",INDIRECT("R"&amp;$AD27&amp;""),"")</f>
        <v/>
      </c>
      <c r="AF27" s="78" t="str">
        <f t="array" aca="1" ref="AF27" ca="1">IF($AD27&lt;&gt;"",
IF(INDIRECT("S"&amp;$AD27&amp;"")&lt;&gt;"",INDIRECT("S"&amp;$AD27&amp;""),""),"")</f>
        <v/>
      </c>
      <c r="AG27" s="78" t="str" cm="1">
        <f t="array" aca="1" ref="AG27" ca="1">IFERROR(IF($AD27&lt;&gt;"",INDIRECT("T"&amp;$AD27&amp;""),"")
+IF(COUNTIF(AE27,"*雙葉*"),
IFERROR(INDIRECT("T"&amp;MATCH("*雙葉*",INDIRECT("R"&amp;AD27+1&amp;":$R$140"),0)+ROW()&amp;""),0),0)
+IF(OR(COUNTIF(AO27,"*管理*"),COUNTIF(AO27,"予備")),
AQ27,0),"")</f>
        <v/>
      </c>
      <c r="AH27" s="78" t="str" cm="1">
        <f t="array" aca="1" ref="AH27" ca="1">IFERROR(IF($AD27&lt;&gt;"",INDIRECT("U"&amp;$AD27&amp;""),"")
+IF(COUNTIF(AE27,"*雙葉*"),
IFERROR(INDIRECT("U"&amp;MATCH("*雙葉*",INDIRECT("R"&amp;AD27+1&amp;":$R$140"),0)+ROW()&amp;""),0),0),"")</f>
        <v/>
      </c>
      <c r="AI27" s="78" t="str" cm="1">
        <f t="array" aca="1" ref="AI27" ca="1">IFERROR(IF($AD27&lt;&gt;"",INDIRECT("V"&amp;$AD27&amp;""),"")
+IF(COUNTIF(AE27,"*雙葉*"),
IFERROR(INDIRECT("V"&amp;MATCH("*雙葉*",INDIRECT("R"&amp;AD27+1&amp;":$R$140"),0)+ROW()&amp;""),0),0),"")</f>
        <v/>
      </c>
      <c r="AJ27" s="78" t="str">
        <f t="array" aca="1" ref="AJ27" ca="1">IF($AD27&lt;&gt;"",INDIRECT("W"&amp;$AD27&amp;""),"")</f>
        <v/>
      </c>
      <c r="AK27" s="78" t="str">
        <f t="array" aca="1" ref="AK27" ca="1">IF($AD27&lt;&gt;"",INDIRECT("Y"&amp;$AD27&amp;""),"")</f>
        <v/>
      </c>
      <c r="AL27" s="78" t="str">
        <f t="shared" ca="1" si="14"/>
        <v/>
      </c>
      <c r="AM27" s="78" t="str">
        <f t="shared" ca="1" si="12"/>
        <v/>
      </c>
      <c r="AN27" s="78" t="str">
        <f t="array" aca="1" ref="AN27" ca="1">IF($AD27&lt;&gt;"",INDIRECT("Q"&amp;$AD27&amp;""),"")</f>
        <v/>
      </c>
      <c r="AO27" s="78" t="str">
        <f ca="1">IFERROR(IF(AND(AN27&lt;&gt;"",VLOOKUP(AN27,得意先マスタ!$A$1:$Z$800,24,FALSE)&lt;&gt;0),
VLOOKUP(AN27,得意先マスタ!$A$1:$Z$800,24,FALSE),""),"")</f>
        <v/>
      </c>
      <c r="AP27" s="78" t="str">
        <f ca="1">IFERROR(IF(AND(AN27&lt;&gt;"",VLOOKUP(AN27,得意先マスタ!$A$1:$Z$800,25,FALSE)&lt;&gt;0),
VLOOKUP(AN27,得意先マスタ!$A$1:$Z$800,25,FALSE),""),"")</f>
        <v/>
      </c>
      <c r="AQ27" s="78" t="str">
        <f t="shared" ca="1" si="6"/>
        <v/>
      </c>
      <c r="AR27" s="78">
        <f t="shared" ca="1" si="18"/>
        <v>0</v>
      </c>
      <c r="AS27" s="78">
        <f t="shared" ca="1" si="17"/>
        <v>0</v>
      </c>
    </row>
    <row r="28" spans="12:45">
      <c r="P28" t="str">
        <f ca="1">IF(AND(N28=0, COUNTIFS($E$1:E28,E28)=1), E28,
IF(COUNTIF(F28,"*雙葉*"),E28,""))</f>
        <v/>
      </c>
      <c r="Q28" s="126" t="str" cm="1">
        <f t="array" aca="1" ref="Q28" ca="1">IFERROR(INDEX($P$1:$P$100, SMALL(IF($P$1:$P$100&lt;&gt;"", ROW($P$1:$P$100)), ROW(Q28))), "")</f>
        <v/>
      </c>
      <c r="R28" s="126" t="str">
        <f t="shared" ca="1" si="9"/>
        <v/>
      </c>
      <c r="S28" s="126" t="str">
        <f t="shared" ca="1" si="10"/>
        <v/>
      </c>
      <c r="T28" s="126" t="str">
        <f t="shared" ca="1" si="10"/>
        <v/>
      </c>
      <c r="U28" s="126" t="str">
        <f t="shared" ca="1" si="10"/>
        <v/>
      </c>
      <c r="V28" s="126" t="str">
        <f t="shared" ca="1" si="10"/>
        <v/>
      </c>
      <c r="W28" s="126" t="str">
        <f t="shared" ca="1" si="11"/>
        <v/>
      </c>
      <c r="X28" s="126" t="str" cm="1">
        <f t="array" aca="1" ref="X28" ca="1">IF($Q28&lt;&gt;"",INDIRECT("A"&amp;MATCH(Q28,$E$1:$E$100,0)+ROW()-1&amp;""),"")</f>
        <v/>
      </c>
      <c r="Y28" t="str">
        <f ca="1">IF(Q28&lt;&gt;"",
IF(COUNTIF(S28,"*キャラ*"),
VLOOKUP("*キャラ*",商品マスタ!$D:$E,2,FALSE),
IF(COUNTIF(S28,"*赤*"),
VLOOKUP("*赤*",商品マスタ!$D:$E,2,FALSE),
VLOOKUP("*"&amp;S28&amp;"*",商品マスタ!$D:$E,2,FALSE))),"")</f>
        <v/>
      </c>
      <c r="Z28" t="str">
        <f t="shared" ca="1" si="13"/>
        <v/>
      </c>
      <c r="AA28" t="str">
        <f t="shared" ca="1" si="3"/>
        <v/>
      </c>
      <c r="AC28" t="str">
        <f t="shared" ca="1" si="4"/>
        <v/>
      </c>
      <c r="AD28" s="78" t="str">
        <f t="array" aca="1" ref="AD28" ca="1">IF(AND(IFERROR(COUNTIF(INDIRECT("R"&amp;IFERROR(SMALL(IF(AC$1:AC$140&lt;&gt;0,AC$1:AC$140),ROW(A28)),"")&amp;""),"*雙葉*"),0),COUNTIF(AE$1:AE27,"*雙葉*")),"",
IFERROR(SMALL(IF(AC$1:AC$140&lt;&gt;0,AC$1:AC$140),ROW(A28)),""))</f>
        <v/>
      </c>
      <c r="AE28" s="78" t="str">
        <f t="array" aca="1" ref="AE28" ca="1">IF($AD28&lt;&gt;"",INDIRECT("R"&amp;$AD28&amp;""),"")</f>
        <v/>
      </c>
      <c r="AF28" s="78" t="str">
        <f t="array" aca="1" ref="AF28" ca="1">IF($AD28&lt;&gt;"",
IF(INDIRECT("S"&amp;$AD28&amp;"")&lt;&gt;"",INDIRECT("S"&amp;$AD28&amp;""),""),"")</f>
        <v/>
      </c>
      <c r="AG28" s="78" t="str" cm="1">
        <f t="array" aca="1" ref="AG28" ca="1">IFERROR(IF($AD28&lt;&gt;"",INDIRECT("T"&amp;$AD28&amp;""),"")
+IF(COUNTIF(AE28,"*雙葉*"),
IFERROR(INDIRECT("T"&amp;MATCH("*雙葉*",INDIRECT("R"&amp;AD28+1&amp;":$R$140"),0)+ROW()&amp;""),0),0)
+IF(OR(COUNTIF(AO28,"*管理*"),COUNTIF(AO28,"予備")),
AQ28,0),"")</f>
        <v/>
      </c>
      <c r="AH28" s="78" t="str" cm="1">
        <f t="array" aca="1" ref="AH28" ca="1">IFERROR(IF($AD28&lt;&gt;"",INDIRECT("U"&amp;$AD28&amp;""),"")
+IF(COUNTIF(AE28,"*雙葉*"),
IFERROR(INDIRECT("U"&amp;MATCH("*雙葉*",INDIRECT("R"&amp;AD28+1&amp;":$R$140"),0)+ROW()&amp;""),0),0),"")</f>
        <v/>
      </c>
      <c r="AI28" s="78" t="str" cm="1">
        <f t="array" aca="1" ref="AI28" ca="1">IFERROR(IF($AD28&lt;&gt;"",INDIRECT("V"&amp;$AD28&amp;""),"")
+IF(COUNTIF(AE28,"*雙葉*"),
IFERROR(INDIRECT("V"&amp;MATCH("*雙葉*",INDIRECT("R"&amp;AD28+1&amp;":$R$140"),0)+ROW()&amp;""),0),0),"")</f>
        <v/>
      </c>
      <c r="AJ28" s="78" t="str">
        <f t="array" aca="1" ref="AJ28" ca="1">IF($AD28&lt;&gt;"",INDIRECT("W"&amp;$AD28&amp;""),"")</f>
        <v/>
      </c>
      <c r="AK28" s="78" t="str">
        <f t="array" aca="1" ref="AK28" ca="1">IF($AD28&lt;&gt;"",INDIRECT("Y"&amp;$AD28&amp;""),"")</f>
        <v/>
      </c>
      <c r="AL28" s="78" t="str">
        <f t="shared" ca="1" si="14"/>
        <v/>
      </c>
      <c r="AM28" s="78" t="str">
        <f t="shared" ca="1" si="12"/>
        <v/>
      </c>
      <c r="AN28" s="78" t="str">
        <f t="array" aca="1" ref="AN28" ca="1">IF($AD28&lt;&gt;"",INDIRECT("Q"&amp;$AD28&amp;""),"")</f>
        <v/>
      </c>
      <c r="AO28" s="78" t="str">
        <f ca="1">IFERROR(IF(AND(AN28&lt;&gt;"",VLOOKUP(AN28,得意先マスタ!$A$1:$Z$800,24,FALSE)&lt;&gt;0),
VLOOKUP(AN28,得意先マスタ!$A$1:$Z$800,24,FALSE),""),"")</f>
        <v/>
      </c>
      <c r="AP28" s="78" t="str">
        <f ca="1">IFERROR(IF(AND(AN28&lt;&gt;"",VLOOKUP(AN28,得意先マスタ!$A$1:$Z$800,25,FALSE)&lt;&gt;0),
VLOOKUP(AN28,得意先マスタ!$A$1:$Z$800,25,FALSE),""),"")</f>
        <v/>
      </c>
      <c r="AQ28" s="78" t="str">
        <f t="shared" ca="1" si="6"/>
        <v/>
      </c>
      <c r="AR28" s="78">
        <f t="shared" ca="1" si="18"/>
        <v>0</v>
      </c>
      <c r="AS28" s="78">
        <f t="shared" ca="1" si="17"/>
        <v>0</v>
      </c>
    </row>
    <row r="29" spans="12:45">
      <c r="P29" t="str">
        <f ca="1">IF(AND(N29=0, COUNTIFS($E$1:E29,E29)=1), E29,
IF(COUNTIF(F29,"*雙葉*"),E29,""))</f>
        <v/>
      </c>
      <c r="Q29" s="126" t="str" cm="1">
        <f t="array" aca="1" ref="Q29" ca="1">IFERROR(INDEX($P$1:$P$100, SMALL(IF($P$1:$P$100&lt;&gt;"", ROW($P$1:$P$100)), ROW(Q29))), "")</f>
        <v/>
      </c>
      <c r="R29" s="126" t="str">
        <f t="shared" ca="1" si="9"/>
        <v/>
      </c>
      <c r="S29" s="126" t="str">
        <f t="shared" ca="1" si="10"/>
        <v/>
      </c>
      <c r="T29" s="126" t="str">
        <f t="shared" ca="1" si="10"/>
        <v/>
      </c>
      <c r="U29" s="126" t="str">
        <f t="shared" ca="1" si="10"/>
        <v/>
      </c>
      <c r="V29" s="126" t="str">
        <f t="shared" ca="1" si="10"/>
        <v/>
      </c>
      <c r="W29" s="126" t="str">
        <f t="shared" ca="1" si="11"/>
        <v/>
      </c>
      <c r="X29" s="126" t="str" cm="1">
        <f t="array" aca="1" ref="X29" ca="1">IF($Q29&lt;&gt;"",INDIRECT("A"&amp;MATCH(Q29,$E$1:$E$100,0)+ROW()-1&amp;""),"")</f>
        <v/>
      </c>
      <c r="Y29" t="str">
        <f ca="1">IF(Q29&lt;&gt;"",
IF(COUNTIF(S29,"*キャラ*"),
VLOOKUP("*キャラ*",商品マスタ!$D:$E,2,FALSE),
IF(COUNTIF(S29,"*赤*"),
VLOOKUP("*赤*",商品マスタ!$D:$E,2,FALSE),
VLOOKUP("*"&amp;S29&amp;"*",商品マスタ!$D:$E,2,FALSE))),"")</f>
        <v/>
      </c>
      <c r="Z29" t="str">
        <f t="shared" ca="1" si="13"/>
        <v/>
      </c>
      <c r="AA29" t="str">
        <f t="shared" ca="1" si="3"/>
        <v/>
      </c>
      <c r="AC29" t="str">
        <f t="shared" ca="1" si="4"/>
        <v/>
      </c>
      <c r="AD29" s="78" t="str">
        <f t="array" aca="1" ref="AD29" ca="1">IF(AND(IFERROR(COUNTIF(INDIRECT("R"&amp;IFERROR(SMALL(IF(AC$1:AC$140&lt;&gt;0,AC$1:AC$140),ROW(A29)),"")&amp;""),"*雙葉*"),0),COUNTIF(AE$1:AE28,"*雙葉*")),"",
IFERROR(SMALL(IF(AC$1:AC$140&lt;&gt;0,AC$1:AC$140),ROW(A29)),""))</f>
        <v/>
      </c>
      <c r="AE29" s="78" t="str">
        <f t="array" aca="1" ref="AE29" ca="1">IF($AD29&lt;&gt;"",INDIRECT("R"&amp;$AD29&amp;""),"")</f>
        <v/>
      </c>
      <c r="AF29" s="78" t="str">
        <f t="array" aca="1" ref="AF29" ca="1">IF($AD29&lt;&gt;"",
IF(INDIRECT("S"&amp;$AD29&amp;"")&lt;&gt;"",INDIRECT("S"&amp;$AD29&amp;""),""),"")</f>
        <v/>
      </c>
      <c r="AG29" s="78" t="str" cm="1">
        <f t="array" aca="1" ref="AG29" ca="1">IFERROR(IF($AD29&lt;&gt;"",INDIRECT("T"&amp;$AD29&amp;""),"")
+IF(COUNTIF(AE29,"*雙葉*"),
IFERROR(INDIRECT("T"&amp;MATCH("*雙葉*",INDIRECT("R"&amp;AD29+1&amp;":$R$140"),0)+ROW()&amp;""),0),0)
+IF(OR(COUNTIF(AO29,"*管理*"),COUNTIF(AO29,"予備")),
AQ29,0),"")</f>
        <v/>
      </c>
      <c r="AH29" s="78" t="str" cm="1">
        <f t="array" aca="1" ref="AH29" ca="1">IFERROR(IF($AD29&lt;&gt;"",INDIRECT("U"&amp;$AD29&amp;""),"")
+IF(COUNTIF(AE29,"*雙葉*"),
IFERROR(INDIRECT("U"&amp;MATCH("*雙葉*",INDIRECT("R"&amp;AD29+1&amp;":$R$140"),0)+ROW()&amp;""),0),0),"")</f>
        <v/>
      </c>
      <c r="AI29" s="78" t="str" cm="1">
        <f t="array" aca="1" ref="AI29" ca="1">IFERROR(IF($AD29&lt;&gt;"",INDIRECT("V"&amp;$AD29&amp;""),"")
+IF(COUNTIF(AE29,"*雙葉*"),
IFERROR(INDIRECT("V"&amp;MATCH("*雙葉*",INDIRECT("R"&amp;AD29+1&amp;":$R$140"),0)+ROW()&amp;""),0),0),"")</f>
        <v/>
      </c>
      <c r="AJ29" s="78" t="str">
        <f t="array" aca="1" ref="AJ29" ca="1">IF($AD29&lt;&gt;"",INDIRECT("W"&amp;$AD29&amp;""),"")</f>
        <v/>
      </c>
      <c r="AK29" s="78" t="str">
        <f t="array" aca="1" ref="AK29" ca="1">IF($AD29&lt;&gt;"",INDIRECT("Y"&amp;$AD29&amp;""),"")</f>
        <v/>
      </c>
      <c r="AL29" s="78" t="str">
        <f t="shared" ca="1" si="14"/>
        <v/>
      </c>
      <c r="AM29" s="78" t="str">
        <f t="shared" ca="1" si="12"/>
        <v/>
      </c>
      <c r="AN29" s="78" t="str">
        <f t="array" aca="1" ref="AN29" ca="1">IF($AD29&lt;&gt;"",INDIRECT("Q"&amp;$AD29&amp;""),"")</f>
        <v/>
      </c>
      <c r="AO29" s="78" t="str">
        <f ca="1">IFERROR(IF(AND(AN29&lt;&gt;"",VLOOKUP(AN29,得意先マスタ!$A$1:$Z$800,24,FALSE)&lt;&gt;0),
VLOOKUP(AN29,得意先マスタ!$A$1:$Z$800,24,FALSE),""),"")</f>
        <v/>
      </c>
      <c r="AP29" s="78" t="str">
        <f ca="1">IFERROR(IF(AND(AN29&lt;&gt;"",VLOOKUP(AN29,得意先マスタ!$A$1:$Z$800,25,FALSE)&lt;&gt;0),
VLOOKUP(AN29,得意先マスタ!$A$1:$Z$800,25,FALSE),""),"")</f>
        <v/>
      </c>
      <c r="AQ29" s="78" t="str">
        <f t="shared" ca="1" si="6"/>
        <v/>
      </c>
      <c r="AR29" s="78">
        <f t="shared" ca="1" si="18"/>
        <v>0</v>
      </c>
      <c r="AS29" s="78">
        <f t="shared" ca="1" si="17"/>
        <v>0</v>
      </c>
    </row>
    <row r="30" spans="12:45">
      <c r="P30" t="str">
        <f ca="1">IF(AND(N30=0, COUNTIFS($E$1:E30,E30)=1), E30,
IF(COUNTIF(F30,"*雙葉*"),E30,""))</f>
        <v/>
      </c>
      <c r="Q30" s="126" t="str" cm="1">
        <f t="array" aca="1" ref="Q30" ca="1">IFERROR(INDEX($P$1:$P$100, SMALL(IF($P$1:$P$100&lt;&gt;"", ROW($P$1:$P$100)), ROW(Q30))), "")</f>
        <v/>
      </c>
      <c r="R30" s="126" t="str">
        <f t="shared" ca="1" si="9"/>
        <v/>
      </c>
      <c r="S30" s="126" t="str">
        <f t="shared" ca="1" si="10"/>
        <v/>
      </c>
      <c r="T30" s="126" t="str">
        <f t="shared" ca="1" si="10"/>
        <v/>
      </c>
      <c r="U30" s="126" t="str">
        <f t="shared" ca="1" si="10"/>
        <v/>
      </c>
      <c r="V30" s="126" t="str">
        <f t="shared" ca="1" si="10"/>
        <v/>
      </c>
      <c r="W30" s="126" t="str">
        <f t="shared" ca="1" si="11"/>
        <v/>
      </c>
      <c r="X30" s="126" t="str" cm="1">
        <f t="array" aca="1" ref="X30" ca="1">IF($Q30&lt;&gt;"",INDIRECT("A"&amp;MATCH(Q30,$E$1:$E$100,0)+ROW()-1&amp;""),"")</f>
        <v/>
      </c>
      <c r="Y30" t="str">
        <f ca="1">IF(Q30&lt;&gt;"",
IF(COUNTIF(S30,"*キャラ*"),
VLOOKUP("*キャラ*",商品マスタ!$D:$E,2,FALSE),
IF(COUNTIF(S30,"*赤*"),
VLOOKUP("*赤*",商品マスタ!$D:$E,2,FALSE),
VLOOKUP("*"&amp;S30&amp;"*",商品マスタ!$D:$E,2,FALSE))),"")</f>
        <v/>
      </c>
      <c r="Z30" t="str">
        <f t="shared" ca="1" si="13"/>
        <v/>
      </c>
      <c r="AA30" t="str">
        <f t="shared" ca="1" si="3"/>
        <v/>
      </c>
      <c r="AC30" t="str">
        <f t="shared" ca="1" si="4"/>
        <v/>
      </c>
      <c r="AD30" s="78" t="str">
        <f t="array" aca="1" ref="AD30" ca="1">IF(AND(IFERROR(COUNTIF(INDIRECT("R"&amp;IFERROR(SMALL(IF(AC$1:AC$140&lt;&gt;0,AC$1:AC$140),ROW(A30)),"")&amp;""),"*雙葉*"),0),COUNTIF(AE$1:AE29,"*雙葉*")),"",
IFERROR(SMALL(IF(AC$1:AC$140&lt;&gt;0,AC$1:AC$140),ROW(A30)),""))</f>
        <v/>
      </c>
      <c r="AE30" s="78" t="str">
        <f t="array" aca="1" ref="AE30" ca="1">IF($AD30&lt;&gt;"",INDIRECT("R"&amp;$AD30&amp;""),"")</f>
        <v/>
      </c>
      <c r="AF30" s="78" t="str">
        <f t="array" aca="1" ref="AF30" ca="1">IF($AD30&lt;&gt;"",
IF(INDIRECT("S"&amp;$AD30&amp;"")&lt;&gt;"",INDIRECT("S"&amp;$AD30&amp;""),""),"")</f>
        <v/>
      </c>
      <c r="AG30" s="78" t="str" cm="1">
        <f t="array" aca="1" ref="AG30" ca="1">IFERROR(IF($AD30&lt;&gt;"",INDIRECT("T"&amp;$AD30&amp;""),"")
+IF(COUNTIF(AE30,"*雙葉*"),
IFERROR(INDIRECT("T"&amp;MATCH("*雙葉*",INDIRECT("R"&amp;AD30+1&amp;":$R$140"),0)+ROW()&amp;""),0),0)
+IF(OR(COUNTIF(AO30,"*管理*"),COUNTIF(AO30,"予備")),
AQ30,0),"")</f>
        <v/>
      </c>
      <c r="AH30" s="78" t="str" cm="1">
        <f t="array" aca="1" ref="AH30" ca="1">IFERROR(IF($AD30&lt;&gt;"",INDIRECT("U"&amp;$AD30&amp;""),"")
+IF(COUNTIF(AE30,"*雙葉*"),
IFERROR(INDIRECT("U"&amp;MATCH("*雙葉*",INDIRECT("R"&amp;AD30+1&amp;":$R$140"),0)+ROW()&amp;""),0),0),"")</f>
        <v/>
      </c>
      <c r="AI30" s="78" t="str" cm="1">
        <f t="array" aca="1" ref="AI30" ca="1">IFERROR(IF($AD30&lt;&gt;"",INDIRECT("V"&amp;$AD30&amp;""),"")
+IF(COUNTIF(AE30,"*雙葉*"),
IFERROR(INDIRECT("V"&amp;MATCH("*雙葉*",INDIRECT("R"&amp;AD30+1&amp;":$R$140"),0)+ROW()&amp;""),0),0),"")</f>
        <v/>
      </c>
      <c r="AJ30" s="78" t="str">
        <f t="array" aca="1" ref="AJ30" ca="1">IF($AD30&lt;&gt;"",INDIRECT("W"&amp;$AD30&amp;""),"")</f>
        <v/>
      </c>
      <c r="AK30" s="78" t="str">
        <f t="array" aca="1" ref="AK30" ca="1">IF($AD30&lt;&gt;"",INDIRECT("Y"&amp;$AD30&amp;""),"")</f>
        <v/>
      </c>
      <c r="AL30" s="78" t="str">
        <f t="shared" ca="1" si="14"/>
        <v/>
      </c>
      <c r="AM30" s="78" t="str">
        <f t="shared" ca="1" si="12"/>
        <v/>
      </c>
      <c r="AN30" s="78" t="str">
        <f t="array" aca="1" ref="AN30" ca="1">IF($AD30&lt;&gt;"",INDIRECT("Q"&amp;$AD30&amp;""),"")</f>
        <v/>
      </c>
      <c r="AO30" s="78" t="str">
        <f ca="1">IFERROR(IF(AND(AN30&lt;&gt;"",VLOOKUP(AN30,得意先マスタ!$A$1:$Z$800,24,FALSE)&lt;&gt;0),
VLOOKUP(AN30,得意先マスタ!$A$1:$Z$800,24,FALSE),""),"")</f>
        <v/>
      </c>
      <c r="AP30" s="78" t="str">
        <f ca="1">IFERROR(IF(AND(AN30&lt;&gt;"",VLOOKUP(AN30,得意先マスタ!$A$1:$Z$800,25,FALSE)&lt;&gt;0),
VLOOKUP(AN30,得意先マスタ!$A$1:$Z$800,25,FALSE),""),"")</f>
        <v/>
      </c>
      <c r="AQ30" s="78" t="str">
        <f t="shared" ca="1" si="6"/>
        <v/>
      </c>
      <c r="AR30" s="78">
        <f t="shared" ca="1" si="18"/>
        <v>0</v>
      </c>
      <c r="AS30" s="78">
        <f t="shared" ca="1" si="17"/>
        <v>0</v>
      </c>
    </row>
    <row r="31" spans="12:45">
      <c r="P31" t="str">
        <f ca="1">IF(AND(N31=0, COUNTIFS($E$1:E31,E31)=1), E31,
IF(COUNTIF(F31,"*雙葉*"),E31,""))</f>
        <v/>
      </c>
      <c r="Q31" s="126" t="str" cm="1">
        <f t="array" aca="1" ref="Q31" ca="1">IFERROR(INDEX($P$1:$P$100, SMALL(IF($P$1:$P$100&lt;&gt;"", ROW($P$1:$P$100)), ROW(Q31))), "")</f>
        <v/>
      </c>
      <c r="R31" s="126" t="str">
        <f t="shared" ca="1" si="9"/>
        <v/>
      </c>
      <c r="S31" s="126" t="str">
        <f t="shared" ca="1" si="10"/>
        <v/>
      </c>
      <c r="T31" s="126" t="str">
        <f t="shared" ca="1" si="10"/>
        <v/>
      </c>
      <c r="U31" s="126" t="str">
        <f t="shared" ca="1" si="10"/>
        <v/>
      </c>
      <c r="V31" s="126" t="str">
        <f t="shared" ca="1" si="10"/>
        <v/>
      </c>
      <c r="W31" s="126" t="str">
        <f t="shared" ca="1" si="11"/>
        <v/>
      </c>
      <c r="X31" s="126" t="str" cm="1">
        <f t="array" aca="1" ref="X31" ca="1">IF($Q31&lt;&gt;"",INDIRECT("A"&amp;MATCH(Q31,$E$1:$E$100,0)+ROW()-1&amp;""),"")</f>
        <v/>
      </c>
      <c r="Y31" t="str">
        <f ca="1">IF(Q31&lt;&gt;"",
IF(COUNTIF(S31,"*キャラ*"),
VLOOKUP("*キャラ*",商品マスタ!$D:$E,2,FALSE),
IF(COUNTIF(S31,"*赤*"),
VLOOKUP("*赤*",商品マスタ!$D:$E,2,FALSE),
VLOOKUP("*"&amp;S31&amp;"*",商品マスタ!$D:$E,2,FALSE))),"")</f>
        <v/>
      </c>
      <c r="Z31" t="str">
        <f t="shared" ca="1" si="13"/>
        <v/>
      </c>
      <c r="AA31" t="str">
        <f t="shared" ca="1" si="3"/>
        <v/>
      </c>
      <c r="AC31" t="str">
        <f t="shared" ca="1" si="4"/>
        <v/>
      </c>
      <c r="AD31" s="78" t="str">
        <f t="array" aca="1" ref="AD31" ca="1">IF(AND(IFERROR(COUNTIF(INDIRECT("R"&amp;IFERROR(SMALL(IF(AC$1:AC$140&lt;&gt;0,AC$1:AC$140),ROW(A31)),"")&amp;""),"*雙葉*"),0),COUNTIF(AE$1:AE30,"*雙葉*")),"",
IFERROR(SMALL(IF(AC$1:AC$140&lt;&gt;0,AC$1:AC$140),ROW(A31)),""))</f>
        <v/>
      </c>
      <c r="AE31" s="78" t="str">
        <f t="array" aca="1" ref="AE31" ca="1">IF($AD31&lt;&gt;"",INDIRECT("R"&amp;$AD31&amp;""),"")</f>
        <v/>
      </c>
      <c r="AF31" s="78" t="str">
        <f t="array" aca="1" ref="AF31" ca="1">IF($AD31&lt;&gt;"",
IF(INDIRECT("S"&amp;$AD31&amp;"")&lt;&gt;"",INDIRECT("S"&amp;$AD31&amp;""),""),"")</f>
        <v/>
      </c>
      <c r="AG31" s="78" t="str" cm="1">
        <f t="array" aca="1" ref="AG31" ca="1">IFERROR(IF($AD31&lt;&gt;"",INDIRECT("T"&amp;$AD31&amp;""),"")
+IF(COUNTIF(AE31,"*雙葉*"),
IFERROR(INDIRECT("T"&amp;MATCH("*雙葉*",INDIRECT("R"&amp;AD31+1&amp;":$R$140"),0)+ROW()&amp;""),0),0)
+IF(OR(COUNTIF(AO31,"*管理*"),COUNTIF(AO31,"予備")),
AQ31,0),"")</f>
        <v/>
      </c>
      <c r="AH31" s="78" t="str" cm="1">
        <f t="array" aca="1" ref="AH31" ca="1">IFERROR(IF($AD31&lt;&gt;"",INDIRECT("U"&amp;$AD31&amp;""),"")
+IF(COUNTIF(AE31,"*雙葉*"),
IFERROR(INDIRECT("U"&amp;MATCH("*雙葉*",INDIRECT("R"&amp;AD31+1&amp;":$R$140"),0)+ROW()&amp;""),0),0),"")</f>
        <v/>
      </c>
      <c r="AI31" s="78" t="str" cm="1">
        <f t="array" aca="1" ref="AI31" ca="1">IFERROR(IF($AD31&lt;&gt;"",INDIRECT("V"&amp;$AD31&amp;""),"")
+IF(COUNTIF(AE31,"*雙葉*"),
IFERROR(INDIRECT("V"&amp;MATCH("*雙葉*",INDIRECT("R"&amp;AD31+1&amp;":$R$140"),0)+ROW()&amp;""),0),0),"")</f>
        <v/>
      </c>
      <c r="AJ31" s="78" t="str">
        <f t="array" aca="1" ref="AJ31" ca="1">IF($AD31&lt;&gt;"",INDIRECT("W"&amp;$AD31&amp;""),"")</f>
        <v/>
      </c>
      <c r="AK31" s="78" t="str">
        <f t="array" aca="1" ref="AK31" ca="1">IF($AD31&lt;&gt;"",INDIRECT("Y"&amp;$AD31&amp;""),"")</f>
        <v/>
      </c>
      <c r="AL31" s="78" t="str">
        <f t="shared" ca="1" si="14"/>
        <v/>
      </c>
      <c r="AM31" s="78" t="str">
        <f t="shared" ca="1" si="12"/>
        <v/>
      </c>
      <c r="AN31" s="78" t="str">
        <f t="array" aca="1" ref="AN31" ca="1">IF($AD31&lt;&gt;"",INDIRECT("Q"&amp;$AD31&amp;""),"")</f>
        <v/>
      </c>
      <c r="AO31" s="78" t="str">
        <f ca="1">IFERROR(IF(AND(AN31&lt;&gt;"",VLOOKUP(AN31,得意先マスタ!$A$1:$Z$800,24,FALSE)&lt;&gt;0),
VLOOKUP(AN31,得意先マスタ!$A$1:$Z$800,24,FALSE),""),"")</f>
        <v/>
      </c>
      <c r="AP31" s="78" t="str">
        <f ca="1">IFERROR(IF(AND(AN31&lt;&gt;"",VLOOKUP(AN31,得意先マスタ!$A$1:$Z$800,25,FALSE)&lt;&gt;0),
VLOOKUP(AN31,得意先マスタ!$A$1:$Z$800,25,FALSE),""),"")</f>
        <v/>
      </c>
      <c r="AQ31" s="78" t="str">
        <f t="shared" ca="1" si="6"/>
        <v/>
      </c>
      <c r="AR31" s="78">
        <f t="shared" ca="1" si="18"/>
        <v>0</v>
      </c>
      <c r="AS31" s="78">
        <f t="shared" ca="1" si="17"/>
        <v>0</v>
      </c>
    </row>
    <row r="32" spans="12:45">
      <c r="P32" t="str">
        <f ca="1">IF(AND(N32=0, COUNTIFS($E$1:E32,E32)=1), E32,
IF(COUNTIF(F32,"*雙葉*"),E32,""))</f>
        <v/>
      </c>
      <c r="Q32" s="126" t="str" cm="1">
        <f t="array" aca="1" ref="Q32" ca="1">IFERROR(INDEX($P$1:$P$100, SMALL(IF($P$1:$P$100&lt;&gt;"", ROW($P$1:$P$100)), ROW(Q32))), "")</f>
        <v/>
      </c>
      <c r="R32" s="126" t="str">
        <f t="shared" ca="1" si="9"/>
        <v/>
      </c>
      <c r="S32" s="126" t="str">
        <f t="shared" ca="1" si="10"/>
        <v/>
      </c>
      <c r="T32" s="126" t="str">
        <f t="shared" ca="1" si="10"/>
        <v/>
      </c>
      <c r="U32" s="126" t="str">
        <f t="shared" ca="1" si="10"/>
        <v/>
      </c>
      <c r="V32" s="126" t="str">
        <f t="shared" ca="1" si="10"/>
        <v/>
      </c>
      <c r="W32" s="126" t="str">
        <f t="shared" ca="1" si="11"/>
        <v/>
      </c>
      <c r="X32" s="126" t="str" cm="1">
        <f t="array" aca="1" ref="X32" ca="1">IF($Q32&lt;&gt;"",INDIRECT("A"&amp;MATCH(Q32,$E$1:$E$100,0)+ROW()-1&amp;""),"")</f>
        <v/>
      </c>
      <c r="Y32" t="str">
        <f ca="1">IF(Q32&lt;&gt;"",
IF(COUNTIF(S32,"*キャラ*"),
VLOOKUP("*キャラ*",商品マスタ!$D:$E,2,FALSE),
IF(COUNTIF(S32,"*赤*"),
VLOOKUP("*赤*",商品マスタ!$D:$E,2,FALSE),
VLOOKUP("*"&amp;S32&amp;"*",商品マスタ!$D:$E,2,FALSE))),"")</f>
        <v/>
      </c>
      <c r="Z32" t="str">
        <f t="shared" ca="1" si="13"/>
        <v/>
      </c>
      <c r="AA32" t="str">
        <f t="shared" ca="1" si="3"/>
        <v/>
      </c>
      <c r="AC32" t="str">
        <f t="shared" ca="1" si="4"/>
        <v/>
      </c>
      <c r="AD32" s="78" t="str">
        <f t="array" aca="1" ref="AD32" ca="1">IF(AND(IFERROR(COUNTIF(INDIRECT("R"&amp;IFERROR(SMALL(IF(AC$1:AC$140&lt;&gt;0,AC$1:AC$140),ROW(A32)),"")&amp;""),"*雙葉*"),0),COUNTIF(AE$1:AE31,"*雙葉*")),"",
IFERROR(SMALL(IF(AC$1:AC$140&lt;&gt;0,AC$1:AC$140),ROW(A32)),""))</f>
        <v/>
      </c>
      <c r="AE32" s="78" t="str">
        <f t="array" aca="1" ref="AE32" ca="1">IF($AD32&lt;&gt;"",INDIRECT("R"&amp;$AD32&amp;""),"")</f>
        <v/>
      </c>
      <c r="AF32" s="78" t="str">
        <f t="array" aca="1" ref="AF32" ca="1">IF($AD32&lt;&gt;"",
IF(INDIRECT("S"&amp;$AD32&amp;"")&lt;&gt;"",INDIRECT("S"&amp;$AD32&amp;""),""),"")</f>
        <v/>
      </c>
      <c r="AG32" s="78" t="str" cm="1">
        <f t="array" aca="1" ref="AG32" ca="1">IFERROR(IF($AD32&lt;&gt;"",INDIRECT("T"&amp;$AD32&amp;""),"")
+IF(COUNTIF(AE32,"*雙葉*"),
IFERROR(INDIRECT("T"&amp;MATCH("*雙葉*",INDIRECT("R"&amp;AD32+1&amp;":$R$140"),0)+ROW()&amp;""),0),0)
+IF(OR(COUNTIF(AO32,"*管理*"),COUNTIF(AO32,"予備")),
AQ32,0),"")</f>
        <v/>
      </c>
      <c r="AH32" s="78" t="str" cm="1">
        <f t="array" aca="1" ref="AH32" ca="1">IFERROR(IF($AD32&lt;&gt;"",INDIRECT("U"&amp;$AD32&amp;""),"")
+IF(COUNTIF(AE32,"*雙葉*"),
IFERROR(INDIRECT("U"&amp;MATCH("*雙葉*",INDIRECT("R"&amp;AD32+1&amp;":$R$140"),0)+ROW()&amp;""),0),0),"")</f>
        <v/>
      </c>
      <c r="AI32" s="78" t="str" cm="1">
        <f t="array" aca="1" ref="AI32" ca="1">IFERROR(IF($AD32&lt;&gt;"",INDIRECT("V"&amp;$AD32&amp;""),"")
+IF(COUNTIF(AE32,"*雙葉*"),
IFERROR(INDIRECT("V"&amp;MATCH("*雙葉*",INDIRECT("R"&amp;AD32+1&amp;":$R$140"),0)+ROW()&amp;""),0),0),"")</f>
        <v/>
      </c>
      <c r="AJ32" s="78" t="str">
        <f t="array" aca="1" ref="AJ32" ca="1">IF($AD32&lt;&gt;"",INDIRECT("W"&amp;$AD32&amp;""),"")</f>
        <v/>
      </c>
      <c r="AK32" s="78" t="str">
        <f t="array" aca="1" ref="AK32" ca="1">IF($AD32&lt;&gt;"",INDIRECT("Y"&amp;$AD32&amp;""),"")</f>
        <v/>
      </c>
      <c r="AL32" s="78" t="str">
        <f t="shared" ca="1" si="14"/>
        <v/>
      </c>
      <c r="AM32" s="78" t="str">
        <f t="shared" ca="1" si="12"/>
        <v/>
      </c>
      <c r="AN32" s="78" t="str">
        <f t="array" aca="1" ref="AN32" ca="1">IF($AD32&lt;&gt;"",INDIRECT("Q"&amp;$AD32&amp;""),"")</f>
        <v/>
      </c>
      <c r="AO32" s="78" t="str">
        <f ca="1">IFERROR(IF(AND(AN32&lt;&gt;"",VLOOKUP(AN32,得意先マスタ!$A$1:$Z$800,24,FALSE)&lt;&gt;0),
VLOOKUP(AN32,得意先マスタ!$A$1:$Z$800,24,FALSE),""),"")</f>
        <v/>
      </c>
      <c r="AP32" s="78" t="str">
        <f ca="1">IFERROR(IF(AND(AN32&lt;&gt;"",VLOOKUP(AN32,得意先マスタ!$A$1:$Z$800,25,FALSE)&lt;&gt;0),
VLOOKUP(AN32,得意先マスタ!$A$1:$Z$800,25,FALSE),""),"")</f>
        <v/>
      </c>
      <c r="AQ32" s="78" t="str">
        <f t="shared" ca="1" si="6"/>
        <v/>
      </c>
      <c r="AR32" s="78">
        <f t="shared" ca="1" si="18"/>
        <v>0</v>
      </c>
      <c r="AS32" s="78">
        <f t="shared" ca="1" si="17"/>
        <v>0</v>
      </c>
    </row>
    <row r="33" spans="16:45">
      <c r="P33" t="str">
        <f ca="1">IF(AND(N33=0, COUNTIFS($E$1:E33,E33)=1), E33,
IF(COUNTIF(F33,"*雙葉*"),E33,""))</f>
        <v/>
      </c>
      <c r="Q33" s="126" t="str" cm="1">
        <f t="array" aca="1" ref="Q33" ca="1">IFERROR(INDEX($P$1:$P$100, SMALL(IF($P$1:$P$100&lt;&gt;"", ROW($P$1:$P$100)), ROW(Q33))), "")</f>
        <v/>
      </c>
      <c r="R33" s="126" t="str">
        <f t="shared" ca="1" si="9"/>
        <v/>
      </c>
      <c r="S33" s="126" t="str">
        <f t="shared" ca="1" si="10"/>
        <v/>
      </c>
      <c r="T33" s="126" t="str">
        <f t="shared" ca="1" si="10"/>
        <v/>
      </c>
      <c r="U33" s="126" t="str">
        <f t="shared" ca="1" si="10"/>
        <v/>
      </c>
      <c r="V33" s="126" t="str">
        <f t="shared" ca="1" si="10"/>
        <v/>
      </c>
      <c r="W33" s="126" t="str">
        <f t="shared" ca="1" si="11"/>
        <v/>
      </c>
      <c r="X33" s="126" t="str" cm="1">
        <f t="array" aca="1" ref="X33" ca="1">IF($Q33&lt;&gt;"",INDIRECT("A"&amp;MATCH(Q33,$E$1:$E$100,0)+ROW()-1&amp;""),"")</f>
        <v/>
      </c>
      <c r="Y33" t="str">
        <f ca="1">IF(Q33&lt;&gt;"",
IF(COUNTIF(S33,"*キャラ*"),
VLOOKUP("*キャラ*",商品マスタ!$D:$E,2,FALSE),
IF(COUNTIF(S33,"*赤*"),
VLOOKUP("*赤*",商品マスタ!$D:$E,2,FALSE),
VLOOKUP("*"&amp;S33&amp;"*",商品マスタ!$D:$E,2,FALSE))),"")</f>
        <v/>
      </c>
      <c r="Z33" t="str">
        <f t="shared" ca="1" si="13"/>
        <v/>
      </c>
      <c r="AA33" t="str">
        <f t="shared" ref="AA33:AA64" ca="1" si="20">IF(Z33&lt;&gt;"",
IF(VALUE(T33-V33)&gt;VALUE(Y33*Z33),
"+"&amp;(T33-V33)-Y33*Z33,
(T33-V33)-Y33*Z33),"")</f>
        <v/>
      </c>
      <c r="AC33" t="str">
        <f t="shared" ref="AC33:AC64" ca="1" si="21">IF(R33&lt;&gt;"",ROW(),"")</f>
        <v/>
      </c>
      <c r="AD33" s="78" t="str">
        <f t="array" aca="1" ref="AD33" ca="1">IF(AND(IFERROR(COUNTIF(INDIRECT("R"&amp;IFERROR(SMALL(IF(AC$1:AC$140&lt;&gt;0,AC$1:AC$140),ROW(A33)),"")&amp;""),"*雙葉*"),0),COUNTIF(AE$1:AE32,"*雙葉*")),"",
IFERROR(SMALL(IF(AC$1:AC$140&lt;&gt;0,AC$1:AC$140),ROW(A33)),""))</f>
        <v/>
      </c>
      <c r="AE33" s="78" t="str">
        <f t="array" aca="1" ref="AE33" ca="1">IF($AD33&lt;&gt;"",INDIRECT("R"&amp;$AD33&amp;""),"")</f>
        <v/>
      </c>
      <c r="AF33" s="78" t="str">
        <f t="array" aca="1" ref="AF33" ca="1">IF($AD33&lt;&gt;"",
IF(INDIRECT("S"&amp;$AD33&amp;"")&lt;&gt;"",INDIRECT("S"&amp;$AD33&amp;""),""),"")</f>
        <v/>
      </c>
      <c r="AG33" s="78" t="str" cm="1">
        <f t="array" aca="1" ref="AG33" ca="1">IFERROR(IF($AD33&lt;&gt;"",INDIRECT("T"&amp;$AD33&amp;""),"")
+IF(COUNTIF(AE33,"*雙葉*"),
IFERROR(INDIRECT("T"&amp;MATCH("*雙葉*",INDIRECT("R"&amp;AD33+1&amp;":$R$140"),0)+ROW()&amp;""),0),0)
+IF(OR(COUNTIF(AO33,"*管理*"),COUNTIF(AO33,"予備")),
AQ33,0),"")</f>
        <v/>
      </c>
      <c r="AH33" s="78" t="str" cm="1">
        <f t="array" aca="1" ref="AH33" ca="1">IFERROR(IF($AD33&lt;&gt;"",INDIRECT("U"&amp;$AD33&amp;""),"")
+IF(COUNTIF(AE33,"*雙葉*"),
IFERROR(INDIRECT("U"&amp;MATCH("*雙葉*",INDIRECT("R"&amp;AD33+1&amp;":$R$140"),0)+ROW()&amp;""),0),0),"")</f>
        <v/>
      </c>
      <c r="AI33" s="78" t="str" cm="1">
        <f t="array" aca="1" ref="AI33" ca="1">IFERROR(IF($AD33&lt;&gt;"",INDIRECT("V"&amp;$AD33&amp;""),"")
+IF(COUNTIF(AE33,"*雙葉*"),
IFERROR(INDIRECT("V"&amp;MATCH("*雙葉*",INDIRECT("R"&amp;AD33+1&amp;":$R$140"),0)+ROW()&amp;""),0),0),"")</f>
        <v/>
      </c>
      <c r="AJ33" s="78" t="str">
        <f t="array" aca="1" ref="AJ33" ca="1">IF($AD33&lt;&gt;"",INDIRECT("W"&amp;$AD33&amp;""),"")</f>
        <v/>
      </c>
      <c r="AK33" s="78" t="str">
        <f t="array" aca="1" ref="AK33" ca="1">IF($AD33&lt;&gt;"",INDIRECT("Y"&amp;$AD33&amp;""),"")</f>
        <v/>
      </c>
      <c r="AL33" s="78" t="str">
        <f t="shared" ca="1" si="14"/>
        <v/>
      </c>
      <c r="AM33" s="78" t="str">
        <f t="shared" ca="1" si="12"/>
        <v/>
      </c>
      <c r="AN33" s="78" t="str">
        <f t="array" aca="1" ref="AN33" ca="1">IF($AD33&lt;&gt;"",INDIRECT("Q"&amp;$AD33&amp;""),"")</f>
        <v/>
      </c>
      <c r="AO33" s="78" t="str">
        <f ca="1">IFERROR(IF(AND(AN33&lt;&gt;"",VLOOKUP(AN33,得意先マスタ!$A$1:$Z$800,24,FALSE)&lt;&gt;0),
VLOOKUP(AN33,得意先マスタ!$A$1:$Z$800,24,FALSE),""),"")</f>
        <v/>
      </c>
      <c r="AP33" s="78" t="str">
        <f ca="1">IFERROR(IF(AND(AN33&lt;&gt;"",VLOOKUP(AN33,得意先マスタ!$A$1:$Z$800,25,FALSE)&lt;&gt;0),
VLOOKUP(AN33,得意先マスタ!$A$1:$Z$800,25,FALSE),""),"")</f>
        <v/>
      </c>
      <c r="AQ33" s="78" t="str">
        <f t="shared" ca="1" si="6"/>
        <v/>
      </c>
      <c r="AR33" s="78">
        <f t="shared" ca="1" si="18"/>
        <v>0</v>
      </c>
      <c r="AS33" s="78">
        <f t="shared" ca="1" si="17"/>
        <v>0</v>
      </c>
    </row>
    <row r="34" spans="16:45">
      <c r="P34" t="str">
        <f ca="1">IF(AND(N34=0, COUNTIFS($E$1:E34,E34)=1), E34,
IF(COUNTIF(F34,"*雙葉*"),E34,""))</f>
        <v/>
      </c>
      <c r="Q34" s="126" t="str" cm="1">
        <f t="array" aca="1" ref="Q34" ca="1">IFERROR(INDEX($P$1:$P$100, SMALL(IF($P$1:$P$100&lt;&gt;"", ROW($P$1:$P$100)), ROW(Q34))), "")</f>
        <v/>
      </c>
      <c r="R34" s="126" t="str">
        <f t="shared" ca="1" si="9"/>
        <v/>
      </c>
      <c r="S34" s="126" t="str">
        <f t="shared" ref="S34:V50" ca="1" si="22">IF($Q34&lt;&gt;"",VLOOKUP($Q34,$E$1:$O$100,COLUMN()-13,FALSE),"")</f>
        <v/>
      </c>
      <c r="T34" s="126" t="str">
        <f t="shared" ca="1" si="22"/>
        <v/>
      </c>
      <c r="U34" s="126" t="str">
        <f t="shared" ca="1" si="22"/>
        <v/>
      </c>
      <c r="V34" s="126" t="str">
        <f t="shared" ca="1" si="22"/>
        <v/>
      </c>
      <c r="W34" s="126" t="str">
        <f t="shared" ca="1" si="11"/>
        <v/>
      </c>
      <c r="X34" s="126" t="str" cm="1">
        <f t="array" aca="1" ref="X34" ca="1">IF($Q34&lt;&gt;"",INDIRECT("A"&amp;MATCH(Q34,$E$1:$E$100,0)+ROW()-1&amp;""),"")</f>
        <v/>
      </c>
      <c r="Y34" t="str">
        <f ca="1">IF(Q34&lt;&gt;"",
IF(COUNTIF(S34,"*キャラ*"),
VLOOKUP("*キャラ*",商品マスタ!$D:$E,2,FALSE),
IF(COUNTIF(S34,"*赤*"),
VLOOKUP("*赤*",商品マスタ!$D:$E,2,FALSE),
VLOOKUP("*"&amp;S34&amp;"*",商品マスタ!$D:$E,2,FALSE))),"")</f>
        <v/>
      </c>
      <c r="Z34" t="str">
        <f t="shared" ca="1" si="13"/>
        <v/>
      </c>
      <c r="AA34" t="str">
        <f t="shared" ca="1" si="20"/>
        <v/>
      </c>
      <c r="AC34" t="str">
        <f t="shared" ca="1" si="21"/>
        <v/>
      </c>
      <c r="AD34" s="78" t="str">
        <f t="array" aca="1" ref="AD34" ca="1">IF(AND(IFERROR(COUNTIF(INDIRECT("R"&amp;IFERROR(SMALL(IF(AC$1:AC$140&lt;&gt;0,AC$1:AC$140),ROW(A34)),"")&amp;""),"*雙葉*"),0),COUNTIF(AE$1:AE33,"*雙葉*")),"",
IFERROR(SMALL(IF(AC$1:AC$140&lt;&gt;0,AC$1:AC$140),ROW(A34)),""))</f>
        <v/>
      </c>
      <c r="AE34" s="78" t="str">
        <f t="array" aca="1" ref="AE34" ca="1">IF($AD34&lt;&gt;"",INDIRECT("R"&amp;$AD34&amp;""),"")</f>
        <v/>
      </c>
      <c r="AF34" s="78" t="str">
        <f t="array" aca="1" ref="AF34" ca="1">IF($AD34&lt;&gt;"",
IF(INDIRECT("S"&amp;$AD34&amp;"")&lt;&gt;"",INDIRECT("S"&amp;$AD34&amp;""),""),"")</f>
        <v/>
      </c>
      <c r="AG34" s="78" t="str" cm="1">
        <f t="array" aca="1" ref="AG34" ca="1">IFERROR(IF($AD34&lt;&gt;"",INDIRECT("T"&amp;$AD34&amp;""),"")
+IF(COUNTIF(AE34,"*雙葉*"),
IFERROR(INDIRECT("T"&amp;MATCH("*雙葉*",INDIRECT("R"&amp;AD34+1&amp;":$R$140"),0)+ROW()&amp;""),0),0)
+IF(OR(COUNTIF(AO34,"*管理*"),COUNTIF(AO34,"予備")),
AQ34,0),"")</f>
        <v/>
      </c>
      <c r="AH34" s="78" t="str" cm="1">
        <f t="array" aca="1" ref="AH34" ca="1">IFERROR(IF($AD34&lt;&gt;"",INDIRECT("U"&amp;$AD34&amp;""),"")
+IF(COUNTIF(AE34,"*雙葉*"),
IFERROR(INDIRECT("U"&amp;MATCH("*雙葉*",INDIRECT("R"&amp;AD34+1&amp;":$R$140"),0)+ROW()&amp;""),0),0),"")</f>
        <v/>
      </c>
      <c r="AI34" s="78" t="str" cm="1">
        <f t="array" aca="1" ref="AI34" ca="1">IFERROR(IF($AD34&lt;&gt;"",INDIRECT("V"&amp;$AD34&amp;""),"")
+IF(COUNTIF(AE34,"*雙葉*"),
IFERROR(INDIRECT("V"&amp;MATCH("*雙葉*",INDIRECT("R"&amp;AD34+1&amp;":$R$140"),0)+ROW()&amp;""),0),0),"")</f>
        <v/>
      </c>
      <c r="AJ34" s="78" t="str">
        <f t="array" aca="1" ref="AJ34" ca="1">IF($AD34&lt;&gt;"",INDIRECT("W"&amp;$AD34&amp;""),"")</f>
        <v/>
      </c>
      <c r="AK34" s="78" t="str">
        <f t="array" aca="1" ref="AK34" ca="1">IF($AD34&lt;&gt;"",INDIRECT("Y"&amp;$AD34&amp;""),"")</f>
        <v/>
      </c>
      <c r="AL34" s="78" t="str">
        <f t="shared" ca="1" si="14"/>
        <v/>
      </c>
      <c r="AM34" s="78" t="str">
        <f t="shared" ref="AM34:AM65" ca="1" si="23">IF(AL34&lt;&gt;"",
IF(VALUE(AG34-AI34)&gt;VALUE(AK34*AL34),
"+"&amp;(AG34-AI34)-AK34*AL34,
(AG34-AI34)-AK34*AL34),"")</f>
        <v/>
      </c>
      <c r="AN34" s="78" t="str">
        <f t="array" aca="1" ref="AN34" ca="1">IF($AD34&lt;&gt;"",INDIRECT("Q"&amp;$AD34&amp;""),"")</f>
        <v/>
      </c>
      <c r="AO34" s="78" t="str">
        <f ca="1">IFERROR(IF(AND(AN34&lt;&gt;"",VLOOKUP(AN34,得意先マスタ!$A$1:$Z$800,24,FALSE)&lt;&gt;0),
VLOOKUP(AN34,得意先マスタ!$A$1:$Z$800,24,FALSE),""),"")</f>
        <v/>
      </c>
      <c r="AP34" s="78" t="str">
        <f ca="1">IFERROR(IF(AND(AN34&lt;&gt;"",VLOOKUP(AN34,得意先マスタ!$A$1:$Z$800,25,FALSE)&lt;&gt;0),
VLOOKUP(AN34,得意先マスタ!$A$1:$Z$800,25,FALSE),""),"")</f>
        <v/>
      </c>
      <c r="AQ34" s="78" t="str">
        <f t="shared" ca="1" si="6"/>
        <v/>
      </c>
      <c r="AR34" s="78">
        <f t="shared" ca="1" si="18"/>
        <v>0</v>
      </c>
      <c r="AS34" s="78">
        <f t="shared" ca="1" si="17"/>
        <v>0</v>
      </c>
    </row>
    <row r="35" spans="16:45">
      <c r="P35" t="str">
        <f ca="1">IF(AND(N35=0, COUNTIFS($E$1:E35,E35)=1), E35,
IF(COUNTIF(F35,"*雙葉*"),E35,""))</f>
        <v/>
      </c>
      <c r="Q35" s="126" t="str" cm="1">
        <f t="array" aca="1" ref="Q35" ca="1">IFERROR(INDEX($P$1:$P$100, SMALL(IF($P$1:$P$100&lt;&gt;"", ROW($P$1:$P$100)), ROW(Q35))), "")</f>
        <v/>
      </c>
      <c r="R35" s="126" t="str">
        <f t="shared" ca="1" si="9"/>
        <v/>
      </c>
      <c r="S35" s="126" t="str">
        <f t="shared" ca="1" si="10"/>
        <v/>
      </c>
      <c r="T35" s="126" t="str">
        <f t="shared" ca="1" si="10"/>
        <v/>
      </c>
      <c r="U35" s="126" t="str">
        <f t="shared" ca="1" si="10"/>
        <v/>
      </c>
      <c r="V35" s="126" t="str">
        <f t="shared" ca="1" si="10"/>
        <v/>
      </c>
      <c r="W35" s="126" t="str">
        <f t="shared" ca="1" si="11"/>
        <v/>
      </c>
      <c r="X35" s="126" t="str" cm="1">
        <f t="array" aca="1" ref="X35" ca="1">IF($Q35&lt;&gt;"",INDIRECT("A"&amp;MATCH(Q35,$E$1:$E$100,0)+ROW()-1&amp;""),"")</f>
        <v/>
      </c>
      <c r="Y35" t="str">
        <f ca="1">IF(Q35&lt;&gt;"",
IF(COUNTIF(S35,"*キャラ*"),
VLOOKUP("*キャラ*",商品マスタ!$D:$E,2,FALSE),
IF(COUNTIF(S35,"*赤*"),
VLOOKUP("*赤*",商品マスタ!$D:$E,2,FALSE),
VLOOKUP("*"&amp;S35&amp;"*",商品マスタ!$D:$E,2,FALSE))),"")</f>
        <v/>
      </c>
      <c r="Z35" t="str">
        <f t="shared" ca="1" si="13"/>
        <v/>
      </c>
      <c r="AA35" t="str">
        <f t="shared" ca="1" si="20"/>
        <v/>
      </c>
      <c r="AC35" t="str">
        <f t="shared" ca="1" si="21"/>
        <v/>
      </c>
      <c r="AD35" s="78" t="str">
        <f t="array" aca="1" ref="AD35" ca="1">IF(AND(IFERROR(COUNTIF(INDIRECT("R"&amp;IFERROR(SMALL(IF(AC$1:AC$140&lt;&gt;0,AC$1:AC$140),ROW(A35)),"")&amp;""),"*雙葉*"),0),COUNTIF(AE$1:AE34,"*雙葉*")),"",
IFERROR(SMALL(IF(AC$1:AC$140&lt;&gt;0,AC$1:AC$140),ROW(A35)),""))</f>
        <v/>
      </c>
      <c r="AE35" s="78" t="str">
        <f t="array" aca="1" ref="AE35" ca="1">IF($AD35&lt;&gt;"",INDIRECT("R"&amp;$AD35&amp;""),"")</f>
        <v/>
      </c>
      <c r="AF35" s="78" t="str">
        <f t="array" aca="1" ref="AF35" ca="1">IF($AD35&lt;&gt;"",
IF(INDIRECT("S"&amp;$AD35&amp;"")&lt;&gt;"",INDIRECT("S"&amp;$AD35&amp;""),""),"")</f>
        <v/>
      </c>
      <c r="AG35" s="78" t="str" cm="1">
        <f t="array" aca="1" ref="AG35" ca="1">IFERROR(IF($AD35&lt;&gt;"",INDIRECT("T"&amp;$AD35&amp;""),"")
+IF(COUNTIF(AE35,"*雙葉*"),
IFERROR(INDIRECT("T"&amp;MATCH("*雙葉*",INDIRECT("R"&amp;AD35+1&amp;":$R$140"),0)+ROW()&amp;""),0),0)
+IF(OR(COUNTIF(AO35,"*管理*"),COUNTIF(AO35,"予備")),
AQ35,0),"")</f>
        <v/>
      </c>
      <c r="AH35" s="78" t="str" cm="1">
        <f t="array" aca="1" ref="AH35" ca="1">IFERROR(IF($AD35&lt;&gt;"",INDIRECT("U"&amp;$AD35&amp;""),"")
+IF(COUNTIF(AE35,"*雙葉*"),
IFERROR(INDIRECT("U"&amp;MATCH("*雙葉*",INDIRECT("R"&amp;AD35+1&amp;":$R$140"),0)+ROW()&amp;""),0),0),"")</f>
        <v/>
      </c>
      <c r="AI35" s="78" t="str" cm="1">
        <f t="array" aca="1" ref="AI35" ca="1">IFERROR(IF($AD35&lt;&gt;"",INDIRECT("V"&amp;$AD35&amp;""),"")
+IF(COUNTIF(AE35,"*雙葉*"),
IFERROR(INDIRECT("V"&amp;MATCH("*雙葉*",INDIRECT("R"&amp;AD35+1&amp;":$R$140"),0)+ROW()&amp;""),0),0),"")</f>
        <v/>
      </c>
      <c r="AJ35" s="78" t="str">
        <f t="array" aca="1" ref="AJ35" ca="1">IF($AD35&lt;&gt;"",INDIRECT("W"&amp;$AD35&amp;""),"")</f>
        <v/>
      </c>
      <c r="AK35" s="78" t="str">
        <f t="array" aca="1" ref="AK35" ca="1">IF($AD35&lt;&gt;"",INDIRECT("Y"&amp;$AD35&amp;""),"")</f>
        <v/>
      </c>
      <c r="AL35" s="78" t="str">
        <f t="shared" ca="1" si="14"/>
        <v/>
      </c>
      <c r="AM35" s="78" t="str">
        <f t="shared" ca="1" si="23"/>
        <v/>
      </c>
      <c r="AN35" s="78" t="str">
        <f t="array" aca="1" ref="AN35" ca="1">IF($AD35&lt;&gt;"",INDIRECT("Q"&amp;$AD35&amp;""),"")</f>
        <v/>
      </c>
      <c r="AO35" s="78" t="str">
        <f ca="1">IFERROR(IF(AND(AN35&lt;&gt;"",VLOOKUP(AN35,得意先マスタ!$A$1:$Z$800,24,FALSE)&lt;&gt;0),
VLOOKUP(AN35,得意先マスタ!$A$1:$Z$800,24,FALSE),""),"")</f>
        <v/>
      </c>
      <c r="AP35" s="78" t="str">
        <f ca="1">IFERROR(IF(AND(AN35&lt;&gt;"",VLOOKUP(AN35,得意先マスタ!$A$1:$Z$800,25,FALSE)&lt;&gt;0),
VLOOKUP(AN35,得意先マスタ!$A$1:$Z$800,25,FALSE),""),"")</f>
        <v/>
      </c>
      <c r="AQ35" s="78" t="str">
        <f t="shared" ca="1" si="6"/>
        <v/>
      </c>
      <c r="AR35" s="78">
        <f t="shared" ca="1" si="18"/>
        <v>0</v>
      </c>
      <c r="AS35" s="78">
        <f t="shared" ca="1" si="17"/>
        <v>0</v>
      </c>
    </row>
    <row r="36" spans="16:45">
      <c r="P36" t="str">
        <f ca="1">IF(AND(N36=0, COUNTIFS($E$1:E36,E36)=1), E36,
IF(COUNTIF(F36,"*雙葉*"),E36,""))</f>
        <v/>
      </c>
      <c r="Q36" s="126" t="str" cm="1">
        <f t="array" aca="1" ref="Q36" ca="1">IFERROR(INDEX($P$1:$P$100, SMALL(IF($P$1:$P$100&lt;&gt;"", ROW($P$1:$P$100)), ROW(Q36))), "")</f>
        <v/>
      </c>
      <c r="R36" s="126" t="str">
        <f t="shared" ca="1" si="9"/>
        <v/>
      </c>
      <c r="S36" s="126" t="str">
        <f t="shared" ca="1" si="10"/>
        <v/>
      </c>
      <c r="T36" s="126" t="str">
        <f t="shared" ca="1" si="10"/>
        <v/>
      </c>
      <c r="U36" s="126" t="str">
        <f t="shared" ca="1" si="10"/>
        <v/>
      </c>
      <c r="V36" s="126" t="str">
        <f t="shared" ca="1" si="10"/>
        <v/>
      </c>
      <c r="W36" s="126" t="str">
        <f t="shared" ca="1" si="11"/>
        <v/>
      </c>
      <c r="X36" s="126" t="str" cm="1">
        <f t="array" aca="1" ref="X36" ca="1">IF($Q36&lt;&gt;"",INDIRECT("A"&amp;MATCH(Q36,$E$1:$E$100,0)+ROW()-1&amp;""),"")</f>
        <v/>
      </c>
      <c r="Y36" t="str">
        <f ca="1">IF(Q36&lt;&gt;"",
IF(COUNTIF(S36,"*キャラ*"),
VLOOKUP("*キャラ*",商品マスタ!$D:$E,2,FALSE),
IF(COUNTIF(S36,"*赤*"),
VLOOKUP("*赤*",商品マスタ!$D:$E,2,FALSE),
VLOOKUP("*"&amp;S36&amp;"*",商品マスタ!$D:$E,2,FALSE))),"")</f>
        <v/>
      </c>
      <c r="Z36" t="str">
        <f t="shared" ca="1" si="13"/>
        <v/>
      </c>
      <c r="AA36" t="str">
        <f t="shared" ca="1" si="20"/>
        <v/>
      </c>
      <c r="AC36" t="str">
        <f t="shared" ca="1" si="21"/>
        <v/>
      </c>
      <c r="AD36" s="78" t="str">
        <f t="array" aca="1" ref="AD36" ca="1">IF(AND(IFERROR(COUNTIF(INDIRECT("R"&amp;IFERROR(SMALL(IF(AC$1:AC$140&lt;&gt;0,AC$1:AC$140),ROW(A36)),"")&amp;""),"*雙葉*"),0),COUNTIF(AE$1:AE35,"*雙葉*")),"",
IFERROR(SMALL(IF(AC$1:AC$140&lt;&gt;0,AC$1:AC$140),ROW(A36)),""))</f>
        <v/>
      </c>
      <c r="AE36" s="78" t="str">
        <f t="array" aca="1" ref="AE36" ca="1">IF($AD36&lt;&gt;"",INDIRECT("R"&amp;$AD36&amp;""),"")</f>
        <v/>
      </c>
      <c r="AF36" s="78" t="str">
        <f t="array" aca="1" ref="AF36" ca="1">IF($AD36&lt;&gt;"",
IF(INDIRECT("S"&amp;$AD36&amp;"")&lt;&gt;"",INDIRECT("S"&amp;$AD36&amp;""),""),"")</f>
        <v/>
      </c>
      <c r="AG36" s="78" t="str" cm="1">
        <f t="array" aca="1" ref="AG36" ca="1">IFERROR(IF($AD36&lt;&gt;"",INDIRECT("T"&amp;$AD36&amp;""),"")
+IF(COUNTIF(AE36,"*雙葉*"),
IFERROR(INDIRECT("T"&amp;MATCH("*雙葉*",INDIRECT("R"&amp;AD36+1&amp;":$R$140"),0)+ROW()&amp;""),0),0)
+IF(OR(COUNTIF(AO36,"*管理*"),COUNTIF(AO36,"予備")),
AQ36,0),"")</f>
        <v/>
      </c>
      <c r="AH36" s="78" t="str" cm="1">
        <f t="array" aca="1" ref="AH36" ca="1">IFERROR(IF($AD36&lt;&gt;"",INDIRECT("U"&amp;$AD36&amp;""),"")
+IF(COUNTIF(AE36,"*雙葉*"),
IFERROR(INDIRECT("U"&amp;MATCH("*雙葉*",INDIRECT("R"&amp;AD36+1&amp;":$R$140"),0)+ROW()&amp;""),0),0),"")</f>
        <v/>
      </c>
      <c r="AI36" s="78" t="str" cm="1">
        <f t="array" aca="1" ref="AI36" ca="1">IFERROR(IF($AD36&lt;&gt;"",INDIRECT("V"&amp;$AD36&amp;""),"")
+IF(COUNTIF(AE36,"*雙葉*"),
IFERROR(INDIRECT("V"&amp;MATCH("*雙葉*",INDIRECT("R"&amp;AD36+1&amp;":$R$140"),0)+ROW()&amp;""),0),0),"")</f>
        <v/>
      </c>
      <c r="AJ36" s="78" t="str">
        <f t="array" aca="1" ref="AJ36" ca="1">IF($AD36&lt;&gt;"",INDIRECT("W"&amp;$AD36&amp;""),"")</f>
        <v/>
      </c>
      <c r="AK36" s="78" t="str">
        <f t="array" aca="1" ref="AK36" ca="1">IF($AD36&lt;&gt;"",INDIRECT("Y"&amp;$AD36&amp;""),"")</f>
        <v/>
      </c>
      <c r="AL36" s="78" t="str">
        <f t="shared" ca="1" si="14"/>
        <v/>
      </c>
      <c r="AM36" s="78" t="str">
        <f t="shared" ca="1" si="23"/>
        <v/>
      </c>
      <c r="AN36" s="78" t="str">
        <f t="array" aca="1" ref="AN36" ca="1">IF($AD36&lt;&gt;"",INDIRECT("Q"&amp;$AD36&amp;""),"")</f>
        <v/>
      </c>
      <c r="AO36" s="78" t="str">
        <f ca="1">IFERROR(IF(AND(AN36&lt;&gt;"",VLOOKUP(AN36,得意先マスタ!$A$1:$Z$800,24,FALSE)&lt;&gt;0),
VLOOKUP(AN36,得意先マスタ!$A$1:$Z$800,24,FALSE),""),"")</f>
        <v/>
      </c>
      <c r="AP36" s="78" t="str">
        <f ca="1">IFERROR(IF(AND(AN36&lt;&gt;"",VLOOKUP(AN36,得意先マスタ!$A$1:$Z$800,25,FALSE)&lt;&gt;0),
VLOOKUP(AN36,得意先マスタ!$A$1:$Z$800,25,FALSE),""),"")</f>
        <v/>
      </c>
      <c r="AQ36" s="78" t="str">
        <f t="shared" ca="1" si="6"/>
        <v/>
      </c>
      <c r="AR36" s="78">
        <f t="shared" ca="1" si="18"/>
        <v>0</v>
      </c>
      <c r="AS36" s="78">
        <f t="shared" ca="1" si="17"/>
        <v>0</v>
      </c>
    </row>
    <row r="37" spans="16:45">
      <c r="P37" t="str">
        <f ca="1">IF(AND(N37=0, COUNTIFS($E$1:E37,E37)=1), E37,
IF(COUNTIF(F37,"*雙葉*"),E37,""))</f>
        <v/>
      </c>
      <c r="Q37" s="126" t="str" cm="1">
        <f t="array" aca="1" ref="Q37" ca="1">IFERROR(INDEX($P$1:$P$100, SMALL(IF($P$1:$P$100&lt;&gt;"", ROW($P$1:$P$100)), ROW(Q37))), "")</f>
        <v/>
      </c>
      <c r="R37" s="126" t="str">
        <f t="shared" ca="1" si="9"/>
        <v/>
      </c>
      <c r="S37" s="126" t="str">
        <f t="shared" ca="1" si="10"/>
        <v/>
      </c>
      <c r="T37" s="126" t="str">
        <f t="shared" ca="1" si="10"/>
        <v/>
      </c>
      <c r="U37" s="126" t="str">
        <f t="shared" ca="1" si="10"/>
        <v/>
      </c>
      <c r="V37" s="126" t="str">
        <f t="shared" ca="1" si="10"/>
        <v/>
      </c>
      <c r="W37" s="126" t="str">
        <f t="shared" ca="1" si="11"/>
        <v/>
      </c>
      <c r="X37" s="126" t="str" cm="1">
        <f t="array" aca="1" ref="X37" ca="1">IF($Q37&lt;&gt;"",INDIRECT("A"&amp;MATCH(Q37,$E$1:$E$100,0)+ROW()-1&amp;""),"")</f>
        <v/>
      </c>
      <c r="Y37" t="str">
        <f ca="1">IF(Q37&lt;&gt;"",
IF(COUNTIF(S37,"*キャラ*"),
VLOOKUP("*キャラ*",商品マスタ!$D:$E,2,FALSE),
IF(COUNTIF(S37,"*赤*"),
VLOOKUP("*赤*",商品マスタ!$D:$E,2,FALSE),
VLOOKUP("*"&amp;S37&amp;"*",商品マスタ!$D:$E,2,FALSE))),"")</f>
        <v/>
      </c>
      <c r="Z37" t="str">
        <f t="shared" ca="1" si="13"/>
        <v/>
      </c>
      <c r="AA37" t="str">
        <f t="shared" ca="1" si="20"/>
        <v/>
      </c>
      <c r="AC37" t="str">
        <f t="shared" ca="1" si="21"/>
        <v/>
      </c>
      <c r="AD37" s="78" t="str">
        <f t="array" aca="1" ref="AD37" ca="1">IF(AND(IFERROR(COUNTIF(INDIRECT("R"&amp;IFERROR(SMALL(IF(AC$1:AC$140&lt;&gt;0,AC$1:AC$140),ROW(A37)),"")&amp;""),"*雙葉*"),0),COUNTIF(AE$1:AE36,"*雙葉*")),"",
IFERROR(SMALL(IF(AC$1:AC$140&lt;&gt;0,AC$1:AC$140),ROW(A37)),""))</f>
        <v/>
      </c>
      <c r="AE37" s="78" t="str">
        <f t="array" aca="1" ref="AE37" ca="1">IF($AD37&lt;&gt;"",INDIRECT("R"&amp;$AD37&amp;""),"")</f>
        <v/>
      </c>
      <c r="AF37" s="78" t="str">
        <f t="array" aca="1" ref="AF37" ca="1">IF($AD37&lt;&gt;"",
IF(INDIRECT("S"&amp;$AD37&amp;"")&lt;&gt;"",INDIRECT("S"&amp;$AD37&amp;""),""),"")</f>
        <v/>
      </c>
      <c r="AG37" s="78" t="str" cm="1">
        <f t="array" aca="1" ref="AG37" ca="1">IFERROR(IF($AD37&lt;&gt;"",INDIRECT("T"&amp;$AD37&amp;""),"")
+IF(COUNTIF(AE37,"*雙葉*"),
IFERROR(INDIRECT("T"&amp;MATCH("*雙葉*",INDIRECT("R"&amp;AD37+1&amp;":$R$140"),0)+ROW()&amp;""),0),0)
+IF(OR(COUNTIF(AO37,"*管理*"),COUNTIF(AO37,"予備")),
AQ37,0),"")</f>
        <v/>
      </c>
      <c r="AH37" s="78" t="str" cm="1">
        <f t="array" aca="1" ref="AH37" ca="1">IFERROR(IF($AD37&lt;&gt;"",INDIRECT("U"&amp;$AD37&amp;""),"")
+IF(COUNTIF(AE37,"*雙葉*"),
IFERROR(INDIRECT("U"&amp;MATCH("*雙葉*",INDIRECT("R"&amp;AD37+1&amp;":$R$140"),0)+ROW()&amp;""),0),0),"")</f>
        <v/>
      </c>
      <c r="AI37" s="78" t="str" cm="1">
        <f t="array" aca="1" ref="AI37" ca="1">IFERROR(IF($AD37&lt;&gt;"",INDIRECT("V"&amp;$AD37&amp;""),"")
+IF(COUNTIF(AE37,"*雙葉*"),
IFERROR(INDIRECT("V"&amp;MATCH("*雙葉*",INDIRECT("R"&amp;AD37+1&amp;":$R$140"),0)+ROW()&amp;""),0),0),"")</f>
        <v/>
      </c>
      <c r="AJ37" s="78" t="str">
        <f t="array" aca="1" ref="AJ37" ca="1">IF($AD37&lt;&gt;"",INDIRECT("W"&amp;$AD37&amp;""),"")</f>
        <v/>
      </c>
      <c r="AK37" s="78" t="str">
        <f t="array" aca="1" ref="AK37" ca="1">IF($AD37&lt;&gt;"",INDIRECT("Y"&amp;$AD37&amp;""),"")</f>
        <v/>
      </c>
      <c r="AL37" s="78" t="str">
        <f t="shared" ca="1" si="14"/>
        <v/>
      </c>
      <c r="AM37" s="78" t="str">
        <f t="shared" ca="1" si="23"/>
        <v/>
      </c>
      <c r="AN37" s="78" t="str">
        <f t="array" aca="1" ref="AN37" ca="1">IF($AD37&lt;&gt;"",INDIRECT("Q"&amp;$AD37&amp;""),"")</f>
        <v/>
      </c>
      <c r="AO37" s="78" t="str">
        <f ca="1">IFERROR(IF(AND(AN37&lt;&gt;"",VLOOKUP(AN37,得意先マスタ!$A$1:$Z$800,24,FALSE)&lt;&gt;0),
VLOOKUP(AN37,得意先マスタ!$A$1:$Z$800,24,FALSE),""),"")</f>
        <v/>
      </c>
      <c r="AP37" s="78" t="str">
        <f ca="1">IFERROR(IF(AND(AN37&lt;&gt;"",VLOOKUP(AN37,得意先マスタ!$A$1:$Z$800,25,FALSE)&lt;&gt;0),
VLOOKUP(AN37,得意先マスタ!$A$1:$Z$800,25,FALSE),""),"")</f>
        <v/>
      </c>
      <c r="AQ37" s="78" t="str">
        <f t="shared" ca="1" si="6"/>
        <v/>
      </c>
      <c r="AR37" s="78">
        <f t="shared" ca="1" si="18"/>
        <v>0</v>
      </c>
      <c r="AS37" s="78">
        <f t="shared" ca="1" si="17"/>
        <v>0</v>
      </c>
    </row>
    <row r="38" spans="16:45">
      <c r="P38" t="str">
        <f ca="1">IF(AND(N38=0, COUNTIFS($E$1:E38,E38)=1), E38,
IF(COUNTIF(F38,"*雙葉*"),E38,""))</f>
        <v/>
      </c>
      <c r="Q38" s="126" t="str" cm="1">
        <f t="array" aca="1" ref="Q38" ca="1">IFERROR(INDEX($P$1:$P$100, SMALL(IF($P$1:$P$100&lt;&gt;"", ROW($P$1:$P$100)), ROW(Q38))), "")</f>
        <v/>
      </c>
      <c r="R38" s="126" t="str">
        <f t="shared" ca="1" si="9"/>
        <v/>
      </c>
      <c r="S38" s="126" t="str">
        <f t="shared" ca="1" si="10"/>
        <v/>
      </c>
      <c r="T38" s="126" t="str">
        <f t="shared" ca="1" si="10"/>
        <v/>
      </c>
      <c r="U38" s="126" t="str">
        <f t="shared" ca="1" si="10"/>
        <v/>
      </c>
      <c r="V38" s="126" t="str">
        <f t="shared" ca="1" si="10"/>
        <v/>
      </c>
      <c r="W38" s="126" t="str">
        <f t="shared" ca="1" si="11"/>
        <v/>
      </c>
      <c r="X38" s="126" t="str" cm="1">
        <f t="array" aca="1" ref="X38" ca="1">IF($Q38&lt;&gt;"",INDIRECT("A"&amp;MATCH(Q38,$E$1:$E$100,0)+ROW()-1&amp;""),"")</f>
        <v/>
      </c>
      <c r="Y38" t="str">
        <f ca="1">IF(Q38&lt;&gt;"",
IF(COUNTIF(S38,"*キャラ*"),
VLOOKUP("*キャラ*",商品マスタ!$D:$E,2,FALSE),
IF(COUNTIF(S38,"*赤*"),
VLOOKUP("*赤*",商品マスタ!$D:$E,2,FALSE),
VLOOKUP("*"&amp;S38&amp;"*",商品マスタ!$D:$E,2,FALSE))),"")</f>
        <v/>
      </c>
      <c r="Z38" t="str">
        <f t="shared" ca="1" si="13"/>
        <v/>
      </c>
      <c r="AA38" t="str">
        <f t="shared" ca="1" si="20"/>
        <v/>
      </c>
      <c r="AC38" t="str">
        <f t="shared" ca="1" si="21"/>
        <v/>
      </c>
      <c r="AD38" s="78" t="str">
        <f t="array" aca="1" ref="AD38" ca="1">IF(AND(IFERROR(COUNTIF(INDIRECT("R"&amp;IFERROR(SMALL(IF(AC$1:AC$140&lt;&gt;0,AC$1:AC$140),ROW(A38)),"")&amp;""),"*雙葉*"),0),COUNTIF(AE$1:AE37,"*雙葉*")),"",
IFERROR(SMALL(IF(AC$1:AC$140&lt;&gt;0,AC$1:AC$140),ROW(A38)),""))</f>
        <v/>
      </c>
      <c r="AE38" s="78" t="str">
        <f t="array" aca="1" ref="AE38" ca="1">IF($AD38&lt;&gt;"",INDIRECT("R"&amp;$AD38&amp;""),"")</f>
        <v/>
      </c>
      <c r="AF38" s="78" t="str">
        <f t="array" aca="1" ref="AF38" ca="1">IF($AD38&lt;&gt;"",
IF(INDIRECT("S"&amp;$AD38&amp;"")&lt;&gt;"",INDIRECT("S"&amp;$AD38&amp;""),""),"")</f>
        <v/>
      </c>
      <c r="AG38" s="78" t="str" cm="1">
        <f t="array" aca="1" ref="AG38" ca="1">IFERROR(IF($AD38&lt;&gt;"",INDIRECT("T"&amp;$AD38&amp;""),"")
+IF(COUNTIF(AE38,"*雙葉*"),
IFERROR(INDIRECT("T"&amp;MATCH("*雙葉*",INDIRECT("R"&amp;AD38+1&amp;":$R$140"),0)+ROW()&amp;""),0),0)
+IF(OR(COUNTIF(AO38,"*管理*"),COUNTIF(AO38,"予備")),
AQ38,0),"")</f>
        <v/>
      </c>
      <c r="AH38" s="78" t="str" cm="1">
        <f t="array" aca="1" ref="AH38" ca="1">IFERROR(IF($AD38&lt;&gt;"",INDIRECT("U"&amp;$AD38&amp;""),"")
+IF(COUNTIF(AE38,"*雙葉*"),
IFERROR(INDIRECT("U"&amp;MATCH("*雙葉*",INDIRECT("R"&amp;AD38+1&amp;":$R$140"),0)+ROW()&amp;""),0),0),"")</f>
        <v/>
      </c>
      <c r="AI38" s="78" t="str" cm="1">
        <f t="array" aca="1" ref="AI38" ca="1">IFERROR(IF($AD38&lt;&gt;"",INDIRECT("V"&amp;$AD38&amp;""),"")
+IF(COUNTIF(AE38,"*雙葉*"),
IFERROR(INDIRECT("V"&amp;MATCH("*雙葉*",INDIRECT("R"&amp;AD38+1&amp;":$R$140"),0)+ROW()&amp;""),0),0),"")</f>
        <v/>
      </c>
      <c r="AJ38" s="78" t="str">
        <f t="array" aca="1" ref="AJ38" ca="1">IF($AD38&lt;&gt;"",INDIRECT("W"&amp;$AD38&amp;""),"")</f>
        <v/>
      </c>
      <c r="AK38" s="78" t="str">
        <f t="array" aca="1" ref="AK38" ca="1">IF($AD38&lt;&gt;"",INDIRECT("Y"&amp;$AD38&amp;""),"")</f>
        <v/>
      </c>
      <c r="AL38" s="78" t="str">
        <f t="shared" ca="1" si="14"/>
        <v/>
      </c>
      <c r="AM38" s="78" t="str">
        <f t="shared" ca="1" si="23"/>
        <v/>
      </c>
      <c r="AN38" s="78" t="str">
        <f t="array" aca="1" ref="AN38" ca="1">IF($AD38&lt;&gt;"",INDIRECT("Q"&amp;$AD38&amp;""),"")</f>
        <v/>
      </c>
      <c r="AO38" s="78" t="str">
        <f ca="1">IFERROR(IF(AND(AN38&lt;&gt;"",VLOOKUP(AN38,得意先マスタ!$A$1:$Z$800,24,FALSE)&lt;&gt;0),
VLOOKUP(AN38,得意先マスタ!$A$1:$Z$800,24,FALSE),""),"")</f>
        <v/>
      </c>
      <c r="AP38" s="78" t="str">
        <f ca="1">IFERROR(IF(AND(AN38&lt;&gt;"",VLOOKUP(AN38,得意先マスタ!$A$1:$Z$800,25,FALSE)&lt;&gt;0),
VLOOKUP(AN38,得意先マスタ!$A$1:$Z$800,25,FALSE),""),"")</f>
        <v/>
      </c>
      <c r="AQ38" s="78" t="str">
        <f t="shared" ca="1" si="6"/>
        <v/>
      </c>
      <c r="AR38" s="78">
        <f t="shared" ca="1" si="18"/>
        <v>0</v>
      </c>
      <c r="AS38" s="78">
        <f t="shared" ca="1" si="17"/>
        <v>0</v>
      </c>
    </row>
    <row r="39" spans="16:45">
      <c r="P39" t="str">
        <f ca="1">IF(AND(N39=0, COUNTIFS($E$1:E39,E39)=1), E39,
IF(COUNTIF(F39,"*雙葉*"),E39,""))</f>
        <v/>
      </c>
      <c r="Q39" s="126" t="str" cm="1">
        <f t="array" aca="1" ref="Q39" ca="1">IFERROR(INDEX($P$1:$P$100, SMALL(IF($P$1:$P$100&lt;&gt;"", ROW($P$1:$P$100)), ROW(Q39))), "")</f>
        <v/>
      </c>
      <c r="R39" s="126" t="str">
        <f t="shared" ca="1" si="9"/>
        <v/>
      </c>
      <c r="S39" s="126" t="str">
        <f t="shared" ca="1" si="10"/>
        <v/>
      </c>
      <c r="T39" s="126" t="str">
        <f t="shared" ca="1" si="10"/>
        <v/>
      </c>
      <c r="U39" s="126" t="str">
        <f t="shared" ca="1" si="10"/>
        <v/>
      </c>
      <c r="V39" s="126" t="str">
        <f t="shared" ca="1" si="10"/>
        <v/>
      </c>
      <c r="W39" s="126" t="str">
        <f t="shared" ca="1" si="11"/>
        <v/>
      </c>
      <c r="X39" s="126" t="str" cm="1">
        <f t="array" aca="1" ref="X39" ca="1">IF($Q39&lt;&gt;"",INDIRECT("A"&amp;MATCH(Q39,$E$1:$E$100,0)+ROW()-1&amp;""),"")</f>
        <v/>
      </c>
      <c r="Y39" t="str">
        <f ca="1">IF(Q39&lt;&gt;"",
IF(COUNTIF(S39,"*キャラ*"),
VLOOKUP("*キャラ*",商品マスタ!$D:$E,2,FALSE),
IF(COUNTIF(S39,"*赤*"),
VLOOKUP("*赤*",商品マスタ!$D:$E,2,FALSE),
VLOOKUP("*"&amp;S39&amp;"*",商品マスタ!$D:$E,2,FALSE))),"")</f>
        <v/>
      </c>
      <c r="Z39" t="str">
        <f t="shared" ca="1" si="13"/>
        <v/>
      </c>
      <c r="AA39" t="str">
        <f t="shared" ca="1" si="20"/>
        <v/>
      </c>
      <c r="AC39" t="str">
        <f t="shared" ca="1" si="21"/>
        <v/>
      </c>
      <c r="AD39" s="78" t="str">
        <f t="array" aca="1" ref="AD39" ca="1">IF(AND(IFERROR(COUNTIF(INDIRECT("R"&amp;IFERROR(SMALL(IF(AC$1:AC$140&lt;&gt;0,AC$1:AC$140),ROW(A39)),"")&amp;""),"*雙葉*"),0),COUNTIF(AE$1:AE38,"*雙葉*")),"",
IFERROR(SMALL(IF(AC$1:AC$140&lt;&gt;0,AC$1:AC$140),ROW(A39)),""))</f>
        <v/>
      </c>
      <c r="AE39" s="78" t="str">
        <f t="array" aca="1" ref="AE39" ca="1">IF($AD39&lt;&gt;"",INDIRECT("R"&amp;$AD39&amp;""),"")</f>
        <v/>
      </c>
      <c r="AF39" s="78" t="str">
        <f t="array" aca="1" ref="AF39" ca="1">IF($AD39&lt;&gt;"",
IF(INDIRECT("S"&amp;$AD39&amp;"")&lt;&gt;"",INDIRECT("S"&amp;$AD39&amp;""),""),"")</f>
        <v/>
      </c>
      <c r="AG39" s="78" t="str" cm="1">
        <f t="array" aca="1" ref="AG39" ca="1">IFERROR(IF($AD39&lt;&gt;"",INDIRECT("T"&amp;$AD39&amp;""),"")
+IF(COUNTIF(AE39,"*雙葉*"),
IFERROR(INDIRECT("T"&amp;MATCH("*雙葉*",INDIRECT("R"&amp;AD39+1&amp;":$R$140"),0)+ROW()&amp;""),0),0)
+IF(OR(COUNTIF(AO39,"*管理*"),COUNTIF(AO39,"予備")),
AQ39,0),"")</f>
        <v/>
      </c>
      <c r="AH39" s="78" t="str" cm="1">
        <f t="array" aca="1" ref="AH39" ca="1">IFERROR(IF($AD39&lt;&gt;"",INDIRECT("U"&amp;$AD39&amp;""),"")
+IF(COUNTIF(AE39,"*雙葉*"),
IFERROR(INDIRECT("U"&amp;MATCH("*雙葉*",INDIRECT("R"&amp;AD39+1&amp;":$R$140"),0)+ROW()&amp;""),0),0),"")</f>
        <v/>
      </c>
      <c r="AI39" s="78" t="str" cm="1">
        <f t="array" aca="1" ref="AI39" ca="1">IFERROR(IF($AD39&lt;&gt;"",INDIRECT("V"&amp;$AD39&amp;""),"")
+IF(COUNTIF(AE39,"*雙葉*"),
IFERROR(INDIRECT("V"&amp;MATCH("*雙葉*",INDIRECT("R"&amp;AD39+1&amp;":$R$140"),0)+ROW()&amp;""),0),0),"")</f>
        <v/>
      </c>
      <c r="AJ39" s="78" t="str">
        <f t="array" aca="1" ref="AJ39" ca="1">IF($AD39&lt;&gt;"",INDIRECT("W"&amp;$AD39&amp;""),"")</f>
        <v/>
      </c>
      <c r="AK39" s="78" t="str">
        <f t="array" aca="1" ref="AK39" ca="1">IF($AD39&lt;&gt;"",INDIRECT("Y"&amp;$AD39&amp;""),"")</f>
        <v/>
      </c>
      <c r="AL39" s="78" t="str">
        <f t="shared" ca="1" si="14"/>
        <v/>
      </c>
      <c r="AM39" s="78" t="str">
        <f t="shared" ca="1" si="23"/>
        <v/>
      </c>
      <c r="AN39" s="78" t="str">
        <f t="array" aca="1" ref="AN39" ca="1">IF($AD39&lt;&gt;"",INDIRECT("Q"&amp;$AD39&amp;""),"")</f>
        <v/>
      </c>
      <c r="AO39" s="78" t="str">
        <f ca="1">IFERROR(IF(AND(AN39&lt;&gt;"",VLOOKUP(AN39,得意先マスタ!$A$1:$Z$800,24,FALSE)&lt;&gt;0),
VLOOKUP(AN39,得意先マスタ!$A$1:$Z$800,24,FALSE),""),"")</f>
        <v/>
      </c>
      <c r="AP39" s="78" t="str">
        <f ca="1">IFERROR(IF(AND(AN39&lt;&gt;"",VLOOKUP(AN39,得意先マスタ!$A$1:$Z$800,25,FALSE)&lt;&gt;0),
VLOOKUP(AN39,得意先マスタ!$A$1:$Z$800,25,FALSE),""),"")</f>
        <v/>
      </c>
      <c r="AQ39" s="78" t="str">
        <f t="shared" ca="1" si="6"/>
        <v/>
      </c>
      <c r="AR39" s="78">
        <f t="shared" ca="1" si="18"/>
        <v>0</v>
      </c>
      <c r="AS39" s="78">
        <f t="shared" ca="1" si="17"/>
        <v>0</v>
      </c>
    </row>
    <row r="40" spans="16:45">
      <c r="P40" t="str">
        <f ca="1">IF(AND(N40=0, COUNTIFS($E$1:E40,E40)=1), E40,
IF(COUNTIF(F40,"*雙葉*"),E40,""))</f>
        <v/>
      </c>
      <c r="Q40" s="126" t="str" cm="1">
        <f t="array" aca="1" ref="Q40" ca="1">IFERROR(INDEX($P$1:$P$100, SMALL(IF($P$1:$P$100&lt;&gt;"", ROW($P$1:$P$100)), ROW(Q40))), "")</f>
        <v/>
      </c>
      <c r="R40" s="126" t="str">
        <f t="shared" ca="1" si="9"/>
        <v/>
      </c>
      <c r="S40" s="126" t="str">
        <f t="shared" ca="1" si="10"/>
        <v/>
      </c>
      <c r="T40" s="126" t="str">
        <f t="shared" ca="1" si="10"/>
        <v/>
      </c>
      <c r="U40" s="126" t="str">
        <f t="shared" ca="1" si="10"/>
        <v/>
      </c>
      <c r="V40" s="126" t="str">
        <f t="shared" ca="1" si="10"/>
        <v/>
      </c>
      <c r="W40" s="126" t="str">
        <f t="shared" ca="1" si="11"/>
        <v/>
      </c>
      <c r="X40" s="126" t="str" cm="1">
        <f t="array" aca="1" ref="X40" ca="1">IF($Q40&lt;&gt;"",INDIRECT("A"&amp;MATCH(Q40,$E$1:$E$100,0)+ROW()-1&amp;""),"")</f>
        <v/>
      </c>
      <c r="Y40" t="str">
        <f ca="1">IF(Q40&lt;&gt;"",
IF(COUNTIF(S40,"*キャラ*"),
VLOOKUP("*キャラ*",商品マスタ!$D:$E,2,FALSE),
IF(COUNTIF(S40,"*赤*"),
VLOOKUP("*赤*",商品マスタ!$D:$E,2,FALSE),
VLOOKUP("*"&amp;S40&amp;"*",商品マスタ!$D:$E,2,FALSE))),"")</f>
        <v/>
      </c>
      <c r="Z40" t="str">
        <f t="shared" ca="1" si="13"/>
        <v/>
      </c>
      <c r="AA40" t="str">
        <f t="shared" ca="1" si="20"/>
        <v/>
      </c>
      <c r="AC40" t="str">
        <f t="shared" ca="1" si="21"/>
        <v/>
      </c>
      <c r="AD40" s="78" t="str">
        <f t="array" aca="1" ref="AD40" ca="1">IF(AND(IFERROR(COUNTIF(INDIRECT("R"&amp;IFERROR(SMALL(IF(AC$1:AC$140&lt;&gt;0,AC$1:AC$140),ROW(A40)),"")&amp;""),"*雙葉*"),0),COUNTIF(AE$1:AE39,"*雙葉*")),"",
IFERROR(SMALL(IF(AC$1:AC$140&lt;&gt;0,AC$1:AC$140),ROW(A40)),""))</f>
        <v/>
      </c>
      <c r="AE40" s="78" t="str">
        <f t="array" aca="1" ref="AE40" ca="1">IF($AD40&lt;&gt;"",INDIRECT("R"&amp;$AD40&amp;""),"")</f>
        <v/>
      </c>
      <c r="AF40" s="78" t="str">
        <f t="array" aca="1" ref="AF40" ca="1">IF($AD40&lt;&gt;"",
IF(INDIRECT("S"&amp;$AD40&amp;"")&lt;&gt;"",INDIRECT("S"&amp;$AD40&amp;""),""),"")</f>
        <v/>
      </c>
      <c r="AG40" s="78" t="str" cm="1">
        <f t="array" aca="1" ref="AG40" ca="1">IFERROR(IF($AD40&lt;&gt;"",INDIRECT("T"&amp;$AD40&amp;""),"")
+IF(COUNTIF(AE40,"*雙葉*"),
IFERROR(INDIRECT("T"&amp;MATCH("*雙葉*",INDIRECT("R"&amp;AD40+1&amp;":$R$140"),0)+ROW()&amp;""),0),0)
+IF(OR(COUNTIF(AO40,"*管理*"),COUNTIF(AO40,"予備")),
AQ40,0),"")</f>
        <v/>
      </c>
      <c r="AH40" s="78" t="str" cm="1">
        <f t="array" aca="1" ref="AH40" ca="1">IFERROR(IF($AD40&lt;&gt;"",INDIRECT("U"&amp;$AD40&amp;""),"")
+IF(COUNTIF(AE40,"*雙葉*"),
IFERROR(INDIRECT("U"&amp;MATCH("*雙葉*",INDIRECT("R"&amp;AD40+1&amp;":$R$140"),0)+ROW()&amp;""),0),0),"")</f>
        <v/>
      </c>
      <c r="AI40" s="78" t="str" cm="1">
        <f t="array" aca="1" ref="AI40" ca="1">IFERROR(IF($AD40&lt;&gt;"",INDIRECT("V"&amp;$AD40&amp;""),"")
+IF(COUNTIF(AE40,"*雙葉*"),
IFERROR(INDIRECT("V"&amp;MATCH("*雙葉*",INDIRECT("R"&amp;AD40+1&amp;":$R$140"),0)+ROW()&amp;""),0),0),"")</f>
        <v/>
      </c>
      <c r="AJ40" s="78" t="str">
        <f t="array" aca="1" ref="AJ40" ca="1">IF($AD40&lt;&gt;"",INDIRECT("W"&amp;$AD40&amp;""),"")</f>
        <v/>
      </c>
      <c r="AK40" s="78" t="str">
        <f t="array" aca="1" ref="AK40" ca="1">IF($AD40&lt;&gt;"",INDIRECT("Y"&amp;$AD40&amp;""),"")</f>
        <v/>
      </c>
      <c r="AL40" s="78" t="str">
        <f t="shared" ca="1" si="14"/>
        <v/>
      </c>
      <c r="AM40" s="78" t="str">
        <f t="shared" ca="1" si="23"/>
        <v/>
      </c>
      <c r="AN40" s="78" t="str">
        <f t="array" aca="1" ref="AN40" ca="1">IF($AD40&lt;&gt;"",INDIRECT("Q"&amp;$AD40&amp;""),"")</f>
        <v/>
      </c>
      <c r="AO40" s="78" t="str">
        <f ca="1">IFERROR(IF(AND(AN40&lt;&gt;"",VLOOKUP(AN40,得意先マスタ!$A$1:$Z$800,24,FALSE)&lt;&gt;0),
VLOOKUP(AN40,得意先マスタ!$A$1:$Z$800,24,FALSE),""),"")</f>
        <v/>
      </c>
      <c r="AP40" s="78" t="str">
        <f ca="1">IFERROR(IF(AND(AN40&lt;&gt;"",VLOOKUP(AN40,得意先マスタ!$A$1:$Z$800,25,FALSE)&lt;&gt;0),
VLOOKUP(AN40,得意先マスタ!$A$1:$Z$800,25,FALSE),""),"")</f>
        <v/>
      </c>
      <c r="AQ40" s="78" t="str">
        <f t="shared" ca="1" si="6"/>
        <v/>
      </c>
      <c r="AR40" s="78">
        <f t="shared" ca="1" si="18"/>
        <v>0</v>
      </c>
      <c r="AS40" s="78">
        <f t="shared" ca="1" si="17"/>
        <v>0</v>
      </c>
    </row>
    <row r="41" spans="16:45">
      <c r="P41" t="str">
        <f ca="1">IF(AND(N41=0, COUNTIFS($E$1:E41,E41)=1), E41,
IF(COUNTIF(F41,"*雙葉*"),E41,""))</f>
        <v/>
      </c>
      <c r="Q41" s="126" t="str" cm="1">
        <f t="array" aca="1" ref="Q41" ca="1">IFERROR(INDEX($P$1:$P$100, SMALL(IF($P$1:$P$100&lt;&gt;"", ROW($P$1:$P$100)), ROW(Q41))), "")</f>
        <v/>
      </c>
      <c r="R41" s="126" t="str">
        <f t="shared" ca="1" si="9"/>
        <v/>
      </c>
      <c r="S41" s="126" t="str">
        <f t="shared" ca="1" si="10"/>
        <v/>
      </c>
      <c r="T41" s="126" t="str">
        <f t="shared" ca="1" si="10"/>
        <v/>
      </c>
      <c r="U41" s="126" t="str">
        <f t="shared" ca="1" si="10"/>
        <v/>
      </c>
      <c r="V41" s="126" t="str">
        <f t="shared" ca="1" si="10"/>
        <v/>
      </c>
      <c r="W41" s="126" t="str">
        <f t="shared" ca="1" si="11"/>
        <v/>
      </c>
      <c r="X41" s="126" t="str" cm="1">
        <f t="array" aca="1" ref="X41" ca="1">IF($Q41&lt;&gt;"",INDIRECT("A"&amp;MATCH(Q41,$E$1:$E$100,0)+ROW()-1&amp;""),"")</f>
        <v/>
      </c>
      <c r="Y41" t="str">
        <f ca="1">IF(Q41&lt;&gt;"",
IF(COUNTIF(S41,"*キャラ*"),
VLOOKUP("*キャラ*",商品マスタ!$D:$E,2,FALSE),
IF(COUNTIF(S41,"*赤*"),
VLOOKUP("*赤*",商品マスタ!$D:$E,2,FALSE),
VLOOKUP("*"&amp;S41&amp;"*",商品マスタ!$D:$E,2,FALSE))),"")</f>
        <v/>
      </c>
      <c r="Z41" t="str">
        <f t="shared" ca="1" si="13"/>
        <v/>
      </c>
      <c r="AA41" t="str">
        <f t="shared" ca="1" si="20"/>
        <v/>
      </c>
      <c r="AC41" t="str">
        <f t="shared" ca="1" si="21"/>
        <v/>
      </c>
      <c r="AD41" s="78" t="str">
        <f t="array" aca="1" ref="AD41" ca="1">IF(AND(IFERROR(COUNTIF(INDIRECT("R"&amp;IFERROR(SMALL(IF(AC$1:AC$140&lt;&gt;0,AC$1:AC$140),ROW(A41)),"")&amp;""),"*雙葉*"),0),COUNTIF(AE$1:AE40,"*雙葉*")),"",
IFERROR(SMALL(IF(AC$1:AC$140&lt;&gt;0,AC$1:AC$140),ROW(A41)),""))</f>
        <v/>
      </c>
      <c r="AE41" s="78" t="str">
        <f t="array" aca="1" ref="AE41" ca="1">IF($AD41&lt;&gt;"",INDIRECT("R"&amp;$AD41&amp;""),"")</f>
        <v/>
      </c>
      <c r="AF41" s="78" t="str">
        <f t="array" aca="1" ref="AF41" ca="1">IF($AD41&lt;&gt;"",
IF(INDIRECT("S"&amp;$AD41&amp;"")&lt;&gt;"",INDIRECT("S"&amp;$AD41&amp;""),""),"")</f>
        <v/>
      </c>
      <c r="AG41" s="78" t="str" cm="1">
        <f t="array" aca="1" ref="AG41" ca="1">IFERROR(IF($AD41&lt;&gt;"",INDIRECT("T"&amp;$AD41&amp;""),"")
+IF(COUNTIF(AE41,"*雙葉*"),
IFERROR(INDIRECT("T"&amp;MATCH("*雙葉*",INDIRECT("R"&amp;AD41+1&amp;":$R$140"),0)+ROW()&amp;""),0),0)
+IF(OR(COUNTIF(AO41,"*管理*"),COUNTIF(AO41,"予備")),
AQ41,0),"")</f>
        <v/>
      </c>
      <c r="AH41" s="78" t="str" cm="1">
        <f t="array" aca="1" ref="AH41" ca="1">IFERROR(IF($AD41&lt;&gt;"",INDIRECT("U"&amp;$AD41&amp;""),"")
+IF(COUNTIF(AE41,"*雙葉*"),
IFERROR(INDIRECT("U"&amp;MATCH("*雙葉*",INDIRECT("R"&amp;AD41+1&amp;":$R$140"),0)+ROW()&amp;""),0),0),"")</f>
        <v/>
      </c>
      <c r="AI41" s="78" t="str" cm="1">
        <f t="array" aca="1" ref="AI41" ca="1">IFERROR(IF($AD41&lt;&gt;"",INDIRECT("V"&amp;$AD41&amp;""),"")
+IF(COUNTIF(AE41,"*雙葉*"),
IFERROR(INDIRECT("V"&amp;MATCH("*雙葉*",INDIRECT("R"&amp;AD41+1&amp;":$R$140"),0)+ROW()&amp;""),0),0),"")</f>
        <v/>
      </c>
      <c r="AJ41" s="78" t="str">
        <f t="array" aca="1" ref="AJ41" ca="1">IF($AD41&lt;&gt;"",INDIRECT("W"&amp;$AD41&amp;""),"")</f>
        <v/>
      </c>
      <c r="AK41" s="78" t="str">
        <f t="array" aca="1" ref="AK41" ca="1">IF($AD41&lt;&gt;"",INDIRECT("Y"&amp;$AD41&amp;""),"")</f>
        <v/>
      </c>
      <c r="AL41" s="78" t="str">
        <f t="shared" ca="1" si="14"/>
        <v/>
      </c>
      <c r="AM41" s="78" t="str">
        <f t="shared" ca="1" si="23"/>
        <v/>
      </c>
      <c r="AN41" s="78" t="str">
        <f t="array" aca="1" ref="AN41" ca="1">IF($AD41&lt;&gt;"",INDIRECT("Q"&amp;$AD41&amp;""),"")</f>
        <v/>
      </c>
      <c r="AO41" s="78" t="str">
        <f ca="1">IFERROR(IF(AND(AN41&lt;&gt;"",VLOOKUP(AN41,得意先マスタ!$A$1:$Z$800,24,FALSE)&lt;&gt;0),
VLOOKUP(AN41,得意先マスタ!$A$1:$Z$800,24,FALSE),""),"")</f>
        <v/>
      </c>
      <c r="AP41" s="78" t="str">
        <f ca="1">IFERROR(IF(AND(AN41&lt;&gt;"",VLOOKUP(AN41,得意先マスタ!$A$1:$Z$800,25,FALSE)&lt;&gt;0),
VLOOKUP(AN41,得意先マスタ!$A$1:$Z$800,25,FALSE),""),"")</f>
        <v/>
      </c>
      <c r="AQ41" s="78" t="str">
        <f t="shared" ca="1" si="6"/>
        <v/>
      </c>
      <c r="AR41" s="78">
        <f t="shared" ca="1" si="18"/>
        <v>0</v>
      </c>
      <c r="AS41" s="78">
        <f t="shared" ca="1" si="17"/>
        <v>0</v>
      </c>
    </row>
    <row r="42" spans="16:45">
      <c r="P42" t="str">
        <f ca="1">IF(AND(N42=0, COUNTIFS($E$1:E42,E42)=1), E42,
IF(COUNTIF(F42,"*雙葉*"),E42,""))</f>
        <v/>
      </c>
      <c r="Q42" s="126" t="str" cm="1">
        <f t="array" aca="1" ref="Q42" ca="1">IFERROR(INDEX($P$1:$P$100, SMALL(IF($P$1:$P$100&lt;&gt;"", ROW($P$1:$P$100)), ROW(Q42))), "")</f>
        <v/>
      </c>
      <c r="R42" s="126" t="str">
        <f t="shared" ca="1" si="9"/>
        <v/>
      </c>
      <c r="S42" s="126" t="str">
        <f t="shared" ca="1" si="10"/>
        <v/>
      </c>
      <c r="T42" s="126" t="str">
        <f t="shared" ca="1" si="10"/>
        <v/>
      </c>
      <c r="U42" s="126" t="str">
        <f t="shared" ca="1" si="10"/>
        <v/>
      </c>
      <c r="V42" s="126" t="str">
        <f t="shared" ca="1" si="10"/>
        <v/>
      </c>
      <c r="W42" s="126" t="str">
        <f t="shared" ca="1" si="11"/>
        <v/>
      </c>
      <c r="X42" s="126" t="str" cm="1">
        <f t="array" aca="1" ref="X42" ca="1">IF($Q42&lt;&gt;"",INDIRECT("A"&amp;MATCH(Q42,$E$1:$E$100,0)+ROW()-1&amp;""),"")</f>
        <v/>
      </c>
      <c r="Y42" t="str">
        <f ca="1">IF(Q42&lt;&gt;"",
IF(COUNTIF(S42,"*キャラ*"),
VLOOKUP("*キャラ*",商品マスタ!$D:$E,2,FALSE),
IF(COUNTIF(S42,"*赤*"),
VLOOKUP("*赤*",商品マスタ!$D:$E,2,FALSE),
VLOOKUP("*"&amp;S42&amp;"*",商品マスタ!$D:$E,2,FALSE))),"")</f>
        <v/>
      </c>
      <c r="Z42" t="str">
        <f t="shared" ca="1" si="13"/>
        <v/>
      </c>
      <c r="AA42" t="str">
        <f t="shared" ca="1" si="20"/>
        <v/>
      </c>
      <c r="AC42" t="str">
        <f t="shared" ca="1" si="21"/>
        <v/>
      </c>
      <c r="AD42" s="78" t="str">
        <f t="array" aca="1" ref="AD42" ca="1">IF(AND(IFERROR(COUNTIF(INDIRECT("R"&amp;IFERROR(SMALL(IF(AC$1:AC$140&lt;&gt;0,AC$1:AC$140),ROW(A42)),"")&amp;""),"*雙葉*"),0),COUNTIF(AE$1:AE41,"*雙葉*")),"",
IFERROR(SMALL(IF(AC$1:AC$140&lt;&gt;0,AC$1:AC$140),ROW(A42)),""))</f>
        <v/>
      </c>
      <c r="AE42" s="78" t="str">
        <f t="array" aca="1" ref="AE42" ca="1">IF($AD42&lt;&gt;"",INDIRECT("R"&amp;$AD42&amp;""),"")</f>
        <v/>
      </c>
      <c r="AF42" s="78" t="str">
        <f t="array" aca="1" ref="AF42" ca="1">IF($AD42&lt;&gt;"",
IF(INDIRECT("S"&amp;$AD42&amp;"")&lt;&gt;"",INDIRECT("S"&amp;$AD42&amp;""),""),"")</f>
        <v/>
      </c>
      <c r="AG42" s="78" t="str" cm="1">
        <f t="array" aca="1" ref="AG42" ca="1">IFERROR(IF($AD42&lt;&gt;"",INDIRECT("T"&amp;$AD42&amp;""),"")
+IF(COUNTIF(AE42,"*雙葉*"),
IFERROR(INDIRECT("T"&amp;MATCH("*雙葉*",INDIRECT("R"&amp;AD42+1&amp;":$R$140"),0)+ROW()&amp;""),0),0)
+IF(OR(COUNTIF(AO42,"*管理*"),COUNTIF(AO42,"予備")),
AQ42,0),"")</f>
        <v/>
      </c>
      <c r="AH42" s="78" t="str" cm="1">
        <f t="array" aca="1" ref="AH42" ca="1">IFERROR(IF($AD42&lt;&gt;"",INDIRECT("U"&amp;$AD42&amp;""),"")
+IF(COUNTIF(AE42,"*雙葉*"),
IFERROR(INDIRECT("U"&amp;MATCH("*雙葉*",INDIRECT("R"&amp;AD42+1&amp;":$R$140"),0)+ROW()&amp;""),0),0),"")</f>
        <v/>
      </c>
      <c r="AI42" s="78" t="str" cm="1">
        <f t="array" aca="1" ref="AI42" ca="1">IFERROR(IF($AD42&lt;&gt;"",INDIRECT("V"&amp;$AD42&amp;""),"")
+IF(COUNTIF(AE42,"*雙葉*"),
IFERROR(INDIRECT("V"&amp;MATCH("*雙葉*",INDIRECT("R"&amp;AD42+1&amp;":$R$140"),0)+ROW()&amp;""),0),0),"")</f>
        <v/>
      </c>
      <c r="AJ42" s="78" t="str">
        <f t="array" aca="1" ref="AJ42" ca="1">IF($AD42&lt;&gt;"",INDIRECT("W"&amp;$AD42&amp;""),"")</f>
        <v/>
      </c>
      <c r="AK42" s="78" t="str">
        <f t="array" aca="1" ref="AK42" ca="1">IF($AD42&lt;&gt;"",INDIRECT("Y"&amp;$AD42&amp;""),"")</f>
        <v/>
      </c>
      <c r="AL42" s="78" t="str">
        <f t="shared" ca="1" si="14"/>
        <v/>
      </c>
      <c r="AM42" s="78" t="str">
        <f t="shared" ca="1" si="23"/>
        <v/>
      </c>
      <c r="AN42" s="78" t="str">
        <f t="array" aca="1" ref="AN42" ca="1">IF($AD42&lt;&gt;"",INDIRECT("Q"&amp;$AD42&amp;""),"")</f>
        <v/>
      </c>
      <c r="AO42" s="78" t="str">
        <f ca="1">IFERROR(IF(AND(AN42&lt;&gt;"",VLOOKUP(AN42,得意先マスタ!$A$1:$Z$800,24,FALSE)&lt;&gt;0),
VLOOKUP(AN42,得意先マスタ!$A$1:$Z$800,24,FALSE),""),"")</f>
        <v/>
      </c>
      <c r="AP42" s="78" t="str">
        <f ca="1">IFERROR(IF(AND(AN42&lt;&gt;"",VLOOKUP(AN42,得意先マスタ!$A$1:$Z$800,25,FALSE)&lt;&gt;0),
VLOOKUP(AN42,得意先マスタ!$A$1:$Z$800,25,FALSE),""),"")</f>
        <v/>
      </c>
      <c r="AQ42" s="78" t="str">
        <f t="shared" ca="1" si="6"/>
        <v/>
      </c>
      <c r="AR42" s="78">
        <f t="shared" ca="1" si="18"/>
        <v>0</v>
      </c>
      <c r="AS42" s="78">
        <f t="shared" ca="1" si="17"/>
        <v>0</v>
      </c>
    </row>
    <row r="43" spans="16:45">
      <c r="P43" t="str">
        <f ca="1">IF(AND(N43=0, COUNTIFS($E$1:E43,E43)=1), E43,
IF(COUNTIF(F43,"*雙葉*"),E43,""))</f>
        <v/>
      </c>
      <c r="Q43" s="126" t="str" cm="1">
        <f t="array" aca="1" ref="Q43" ca="1">IFERROR(INDEX($P$1:$P$100, SMALL(IF($P$1:$P$100&lt;&gt;"", ROW($P$1:$P$100)), ROW(Q43))), "")</f>
        <v/>
      </c>
      <c r="R43" s="126" t="str">
        <f t="shared" ca="1" si="9"/>
        <v/>
      </c>
      <c r="S43" s="126" t="str">
        <f t="shared" ca="1" si="10"/>
        <v/>
      </c>
      <c r="T43" s="126" t="str">
        <f t="shared" ca="1" si="10"/>
        <v/>
      </c>
      <c r="U43" s="126" t="str">
        <f t="shared" ca="1" si="10"/>
        <v/>
      </c>
      <c r="V43" s="126" t="str">
        <f t="shared" ca="1" si="10"/>
        <v/>
      </c>
      <c r="W43" s="126" t="str">
        <f t="shared" ca="1" si="11"/>
        <v/>
      </c>
      <c r="X43" s="126" t="str" cm="1">
        <f t="array" aca="1" ref="X43" ca="1">IF($Q43&lt;&gt;"",INDIRECT("A"&amp;MATCH(Q43,$E$1:$E$100,0)+ROW()-1&amp;""),"")</f>
        <v/>
      </c>
      <c r="Y43" t="str">
        <f ca="1">IF(Q43&lt;&gt;"",
IF(COUNTIF(S43,"*キャラ*"),
VLOOKUP("*キャラ*",商品マスタ!$D:$E,2,FALSE),
IF(COUNTIF(S43,"*赤*"),
VLOOKUP("*赤*",商品マスタ!$D:$E,2,FALSE),
VLOOKUP("*"&amp;S43&amp;"*",商品マスタ!$D:$E,2,FALSE))),"")</f>
        <v/>
      </c>
      <c r="Z43" t="str">
        <f t="shared" ca="1" si="13"/>
        <v/>
      </c>
      <c r="AA43" t="str">
        <f t="shared" ca="1" si="20"/>
        <v/>
      </c>
      <c r="AC43" t="str">
        <f t="shared" ca="1" si="21"/>
        <v/>
      </c>
      <c r="AD43" s="78" t="str">
        <f t="array" aca="1" ref="AD43" ca="1">IF(AND(IFERROR(COUNTIF(INDIRECT("R"&amp;IFERROR(SMALL(IF(AC$1:AC$140&lt;&gt;0,AC$1:AC$140),ROW(A43)),"")&amp;""),"*雙葉*"),0),COUNTIF(AE$1:AE42,"*雙葉*")),"",
IFERROR(SMALL(IF(AC$1:AC$140&lt;&gt;0,AC$1:AC$140),ROW(A43)),""))</f>
        <v/>
      </c>
      <c r="AE43" s="78" t="str">
        <f t="array" aca="1" ref="AE43" ca="1">IF($AD43&lt;&gt;"",INDIRECT("R"&amp;$AD43&amp;""),"")</f>
        <v/>
      </c>
      <c r="AF43" s="78" t="str">
        <f t="array" aca="1" ref="AF43" ca="1">IF($AD43&lt;&gt;"",
IF(INDIRECT("S"&amp;$AD43&amp;"")&lt;&gt;"",INDIRECT("S"&amp;$AD43&amp;""),""),"")</f>
        <v/>
      </c>
      <c r="AG43" s="78" t="str" cm="1">
        <f t="array" aca="1" ref="AG43" ca="1">IFERROR(IF($AD43&lt;&gt;"",INDIRECT("T"&amp;$AD43&amp;""),"")
+IF(COUNTIF(AE43,"*雙葉*"),
IFERROR(INDIRECT("T"&amp;MATCH("*雙葉*",INDIRECT("R"&amp;AD43+1&amp;":$R$140"),0)+ROW()&amp;""),0),0)
+IF(OR(COUNTIF(AO43,"*管理*"),COUNTIF(AO43,"予備")),
AQ43,0),"")</f>
        <v/>
      </c>
      <c r="AH43" s="78" t="str" cm="1">
        <f t="array" aca="1" ref="AH43" ca="1">IFERROR(IF($AD43&lt;&gt;"",INDIRECT("U"&amp;$AD43&amp;""),"")
+IF(COUNTIF(AE43,"*雙葉*"),
IFERROR(INDIRECT("U"&amp;MATCH("*雙葉*",INDIRECT("R"&amp;AD43+1&amp;":$R$140"),0)+ROW()&amp;""),0),0),"")</f>
        <v/>
      </c>
      <c r="AI43" s="78" t="str" cm="1">
        <f t="array" aca="1" ref="AI43" ca="1">IFERROR(IF($AD43&lt;&gt;"",INDIRECT("V"&amp;$AD43&amp;""),"")
+IF(COUNTIF(AE43,"*雙葉*"),
IFERROR(INDIRECT("V"&amp;MATCH("*雙葉*",INDIRECT("R"&amp;AD43+1&amp;":$R$140"),0)+ROW()&amp;""),0),0),"")</f>
        <v/>
      </c>
      <c r="AJ43" s="78" t="str">
        <f t="array" aca="1" ref="AJ43" ca="1">IF($AD43&lt;&gt;"",INDIRECT("W"&amp;$AD43&amp;""),"")</f>
        <v/>
      </c>
      <c r="AK43" s="78" t="str">
        <f t="array" aca="1" ref="AK43" ca="1">IF($AD43&lt;&gt;"",INDIRECT("Y"&amp;$AD43&amp;""),"")</f>
        <v/>
      </c>
      <c r="AL43" s="78" t="str">
        <f t="shared" ca="1" si="14"/>
        <v/>
      </c>
      <c r="AM43" s="78" t="str">
        <f t="shared" ca="1" si="23"/>
        <v/>
      </c>
      <c r="AN43" s="78" t="str">
        <f t="array" aca="1" ref="AN43" ca="1">IF($AD43&lt;&gt;"",INDIRECT("Q"&amp;$AD43&amp;""),"")</f>
        <v/>
      </c>
      <c r="AO43" s="78" t="str">
        <f ca="1">IFERROR(IF(AND(AN43&lt;&gt;"",VLOOKUP(AN43,得意先マスタ!$A$1:$Z$800,24,FALSE)&lt;&gt;0),
VLOOKUP(AN43,得意先マスタ!$A$1:$Z$800,24,FALSE),""),"")</f>
        <v/>
      </c>
      <c r="AP43" s="78" t="str">
        <f ca="1">IFERROR(IF(AND(AN43&lt;&gt;"",VLOOKUP(AN43,得意先マスタ!$A$1:$Z$800,25,FALSE)&lt;&gt;0),
VLOOKUP(AN43,得意先マスタ!$A$1:$Z$800,25,FALSE),""),"")</f>
        <v/>
      </c>
      <c r="AQ43" s="78" t="str">
        <f t="shared" ca="1" si="6"/>
        <v/>
      </c>
      <c r="AR43" s="78">
        <f t="shared" ca="1" si="18"/>
        <v>0</v>
      </c>
      <c r="AS43" s="78">
        <f t="shared" ca="1" si="17"/>
        <v>0</v>
      </c>
    </row>
    <row r="44" spans="16:45">
      <c r="P44" t="str">
        <f ca="1">IF(AND(N44=0, COUNTIFS($E$1:E44,E44)=1), E44,
IF(COUNTIF(F44,"*雙葉*"),E44,""))</f>
        <v/>
      </c>
      <c r="Q44" s="126" t="str" cm="1">
        <f t="array" aca="1" ref="Q44" ca="1">IFERROR(INDEX($P$1:$P$100, SMALL(IF($P$1:$P$100&lt;&gt;"", ROW($P$1:$P$100)), ROW(Q44))), "")</f>
        <v/>
      </c>
      <c r="R44" s="126" t="str">
        <f t="shared" ca="1" si="9"/>
        <v/>
      </c>
      <c r="S44" s="126" t="str">
        <f t="shared" ca="1" si="10"/>
        <v/>
      </c>
      <c r="T44" s="126" t="str">
        <f t="shared" ca="1" si="10"/>
        <v/>
      </c>
      <c r="U44" s="126" t="str">
        <f t="shared" ca="1" si="10"/>
        <v/>
      </c>
      <c r="V44" s="126" t="str">
        <f t="shared" ca="1" si="10"/>
        <v/>
      </c>
      <c r="W44" s="126" t="str">
        <f t="shared" ca="1" si="11"/>
        <v/>
      </c>
      <c r="X44" s="126" t="str" cm="1">
        <f t="array" aca="1" ref="X44" ca="1">IF($Q44&lt;&gt;"",INDIRECT("A"&amp;MATCH(Q44,$E$1:$E$100,0)+ROW()-1&amp;""),"")</f>
        <v/>
      </c>
      <c r="Y44" t="str">
        <f ca="1">IF(Q44&lt;&gt;"",
IF(COUNTIF(S44,"*キャラ*"),
VLOOKUP("*キャラ*",商品マスタ!$D:$E,2,FALSE),
IF(COUNTIF(S44,"*赤*"),
VLOOKUP("*赤*",商品マスタ!$D:$E,2,FALSE),
VLOOKUP("*"&amp;S44&amp;"*",商品マスタ!$D:$E,2,FALSE))),"")</f>
        <v/>
      </c>
      <c r="Z44" t="str">
        <f t="shared" ca="1" si="13"/>
        <v/>
      </c>
      <c r="AA44" t="str">
        <f t="shared" ca="1" si="20"/>
        <v/>
      </c>
      <c r="AC44" t="str">
        <f t="shared" ca="1" si="21"/>
        <v/>
      </c>
      <c r="AD44" s="78" t="str">
        <f t="array" aca="1" ref="AD44" ca="1">IF(AND(IFERROR(COUNTIF(INDIRECT("R"&amp;IFERROR(SMALL(IF(AC$1:AC$140&lt;&gt;0,AC$1:AC$140),ROW(A44)),"")&amp;""),"*雙葉*"),0),COUNTIF(AE$1:AE43,"*雙葉*")),"",
IFERROR(SMALL(IF(AC$1:AC$140&lt;&gt;0,AC$1:AC$140),ROW(A44)),""))</f>
        <v/>
      </c>
      <c r="AE44" s="78" t="str">
        <f t="array" aca="1" ref="AE44" ca="1">IF($AD44&lt;&gt;"",INDIRECT("R"&amp;$AD44&amp;""),"")</f>
        <v/>
      </c>
      <c r="AF44" s="78" t="str">
        <f t="array" aca="1" ref="AF44" ca="1">IF($AD44&lt;&gt;"",
IF(INDIRECT("S"&amp;$AD44&amp;"")&lt;&gt;"",INDIRECT("S"&amp;$AD44&amp;""),""),"")</f>
        <v/>
      </c>
      <c r="AG44" s="78" t="str" cm="1">
        <f t="array" aca="1" ref="AG44" ca="1">IFERROR(IF($AD44&lt;&gt;"",INDIRECT("T"&amp;$AD44&amp;""),"")
+IF(COUNTIF(AE44,"*雙葉*"),
IFERROR(INDIRECT("T"&amp;MATCH("*雙葉*",INDIRECT("R"&amp;AD44+1&amp;":$R$140"),0)+ROW()&amp;""),0),0)
+IF(OR(COUNTIF(AO44,"*管理*"),COUNTIF(AO44,"予備")),
AQ44,0),"")</f>
        <v/>
      </c>
      <c r="AH44" s="78" t="str" cm="1">
        <f t="array" aca="1" ref="AH44" ca="1">IFERROR(IF($AD44&lt;&gt;"",INDIRECT("U"&amp;$AD44&amp;""),"")
+IF(COUNTIF(AE44,"*雙葉*"),
IFERROR(INDIRECT("U"&amp;MATCH("*雙葉*",INDIRECT("R"&amp;AD44+1&amp;":$R$140"),0)+ROW()&amp;""),0),0),"")</f>
        <v/>
      </c>
      <c r="AI44" s="78" t="str" cm="1">
        <f t="array" aca="1" ref="AI44" ca="1">IFERROR(IF($AD44&lt;&gt;"",INDIRECT("V"&amp;$AD44&amp;""),"")
+IF(COUNTIF(AE44,"*雙葉*"),
IFERROR(INDIRECT("V"&amp;MATCH("*雙葉*",INDIRECT("R"&amp;AD44+1&amp;":$R$140"),0)+ROW()&amp;""),0),0),"")</f>
        <v/>
      </c>
      <c r="AJ44" s="78" t="str">
        <f t="array" aca="1" ref="AJ44" ca="1">IF($AD44&lt;&gt;"",INDIRECT("W"&amp;$AD44&amp;""),"")</f>
        <v/>
      </c>
      <c r="AK44" s="78" t="str">
        <f t="array" aca="1" ref="AK44" ca="1">IF($AD44&lt;&gt;"",INDIRECT("Y"&amp;$AD44&amp;""),"")</f>
        <v/>
      </c>
      <c r="AL44" s="78" t="str">
        <f t="shared" ca="1" si="14"/>
        <v/>
      </c>
      <c r="AM44" s="78" t="str">
        <f t="shared" ca="1" si="23"/>
        <v/>
      </c>
      <c r="AN44" s="78" t="str">
        <f t="array" aca="1" ref="AN44" ca="1">IF($AD44&lt;&gt;"",INDIRECT("Q"&amp;$AD44&amp;""),"")</f>
        <v/>
      </c>
      <c r="AO44" s="78" t="str">
        <f ca="1">IFERROR(IF(AND(AN44&lt;&gt;"",VLOOKUP(AN44,得意先マスタ!$A$1:$Z$800,24,FALSE)&lt;&gt;0),
VLOOKUP(AN44,得意先マスタ!$A$1:$Z$800,24,FALSE),""),"")</f>
        <v/>
      </c>
      <c r="AP44" s="78" t="str">
        <f ca="1">IFERROR(IF(AND(AN44&lt;&gt;"",VLOOKUP(AN44,得意先マスタ!$A$1:$Z$800,25,FALSE)&lt;&gt;0),
VLOOKUP(AN44,得意先マスタ!$A$1:$Z$800,25,FALSE),""),"")</f>
        <v/>
      </c>
      <c r="AQ44" s="78" t="str">
        <f t="shared" ca="1" si="6"/>
        <v/>
      </c>
      <c r="AR44" s="78">
        <f t="shared" ca="1" si="18"/>
        <v>0</v>
      </c>
      <c r="AS44" s="78">
        <f t="shared" ca="1" si="17"/>
        <v>0</v>
      </c>
    </row>
    <row r="45" spans="16:45">
      <c r="P45" t="str">
        <f ca="1">IF(AND(N45=0, COUNTIFS($E$1:E45,E45)=1), E45,
IF(COUNTIF(F45,"*雙葉*"),E45,""))</f>
        <v/>
      </c>
      <c r="Q45" s="126" t="str" cm="1">
        <f t="array" aca="1" ref="Q45" ca="1">IFERROR(INDEX($P$1:$P$100, SMALL(IF($P$1:$P$100&lt;&gt;"", ROW($P$1:$P$100)), ROW(Q45))), "")</f>
        <v/>
      </c>
      <c r="R45" s="126" t="str">
        <f t="shared" ca="1" si="9"/>
        <v/>
      </c>
      <c r="S45" s="126" t="str">
        <f t="shared" ref="S45:V50" ca="1" si="24">IF($Q45&lt;&gt;"",VLOOKUP($Q45,$E$1:$O$100,COLUMN()-13,FALSE),"")</f>
        <v/>
      </c>
      <c r="T45" s="126" t="str">
        <f t="shared" ca="1" si="24"/>
        <v/>
      </c>
      <c r="U45" s="126" t="str">
        <f t="shared" ca="1" si="24"/>
        <v/>
      </c>
      <c r="V45" s="126" t="str">
        <f t="shared" ca="1" si="24"/>
        <v/>
      </c>
      <c r="W45" s="126" t="str">
        <f t="shared" ca="1" si="11"/>
        <v/>
      </c>
      <c r="X45" s="126" t="str" cm="1">
        <f t="array" aca="1" ref="X45" ca="1">IF($Q45&lt;&gt;"",INDIRECT("A"&amp;MATCH(Q45,$E$1:$E$100,0)+ROW()-1&amp;""),"")</f>
        <v/>
      </c>
      <c r="Y45" t="str">
        <f ca="1">IF(Q45&lt;&gt;"",
IF(COUNTIF(S45,"*キャラ*"),
VLOOKUP("*キャラ*",商品マスタ!$D:$E,2,FALSE),
IF(COUNTIF(S45,"*赤*"),
VLOOKUP("*赤*",商品マスタ!$D:$E,2,FALSE),
VLOOKUP("*"&amp;S45&amp;"*",商品マスタ!$D:$E,2,FALSE))),"")</f>
        <v/>
      </c>
      <c r="Z45" t="str">
        <f t="shared" ca="1" si="13"/>
        <v/>
      </c>
      <c r="AA45" t="str">
        <f t="shared" ca="1" si="20"/>
        <v/>
      </c>
      <c r="AC45" t="str">
        <f t="shared" ca="1" si="21"/>
        <v/>
      </c>
      <c r="AD45" s="78" t="str">
        <f t="array" aca="1" ref="AD45" ca="1">IF(AND(IFERROR(COUNTIF(INDIRECT("R"&amp;IFERROR(SMALL(IF(AC$1:AC$140&lt;&gt;0,AC$1:AC$140),ROW(A45)),"")&amp;""),"*雙葉*"),0),COUNTIF(AE$1:AE44,"*雙葉*")),"",
IFERROR(SMALL(IF(AC$1:AC$140&lt;&gt;0,AC$1:AC$140),ROW(A45)),""))</f>
        <v/>
      </c>
      <c r="AE45" s="78" t="str">
        <f t="array" aca="1" ref="AE45" ca="1">IF($AD45&lt;&gt;"",INDIRECT("R"&amp;$AD45&amp;""),"")</f>
        <v/>
      </c>
      <c r="AF45" s="78" t="str">
        <f t="array" aca="1" ref="AF45" ca="1">IF($AD45&lt;&gt;"",
IF(INDIRECT("S"&amp;$AD45&amp;"")&lt;&gt;"",INDIRECT("S"&amp;$AD45&amp;""),""),"")</f>
        <v/>
      </c>
      <c r="AG45" s="78" t="str" cm="1">
        <f t="array" aca="1" ref="AG45" ca="1">IFERROR(IF($AD45&lt;&gt;"",INDIRECT("T"&amp;$AD45&amp;""),"")
+IF(COUNTIF(AE45,"*雙葉*"),
IFERROR(INDIRECT("T"&amp;MATCH("*雙葉*",INDIRECT("R"&amp;AD45+1&amp;":$R$140"),0)+ROW()&amp;""),0),0)
+IF(OR(COUNTIF(AO45,"*管理*"),COUNTIF(AO45,"予備")),
AQ45,0),"")</f>
        <v/>
      </c>
      <c r="AH45" s="78" t="str" cm="1">
        <f t="array" aca="1" ref="AH45" ca="1">IFERROR(IF($AD45&lt;&gt;"",INDIRECT("U"&amp;$AD45&amp;""),"")
+IF(COUNTIF(AE45,"*雙葉*"),
IFERROR(INDIRECT("U"&amp;MATCH("*雙葉*",INDIRECT("R"&amp;AD45+1&amp;":$R$140"),0)+ROW()&amp;""),0),0),"")</f>
        <v/>
      </c>
      <c r="AI45" s="78" t="str" cm="1">
        <f t="array" aca="1" ref="AI45" ca="1">IFERROR(IF($AD45&lt;&gt;"",INDIRECT("V"&amp;$AD45&amp;""),"")
+IF(COUNTIF(AE45,"*雙葉*"),
IFERROR(INDIRECT("V"&amp;MATCH("*雙葉*",INDIRECT("R"&amp;AD45+1&amp;":$R$140"),0)+ROW()&amp;""),0),0),"")</f>
        <v/>
      </c>
      <c r="AJ45" s="78" t="str">
        <f t="array" aca="1" ref="AJ45" ca="1">IF($AD45&lt;&gt;"",INDIRECT("W"&amp;$AD45&amp;""),"")</f>
        <v/>
      </c>
      <c r="AK45" s="78" t="str">
        <f t="array" aca="1" ref="AK45" ca="1">IF($AD45&lt;&gt;"",INDIRECT("Y"&amp;$AD45&amp;""),"")</f>
        <v/>
      </c>
      <c r="AL45" s="78" t="str">
        <f t="shared" ca="1" si="14"/>
        <v/>
      </c>
      <c r="AM45" s="78" t="str">
        <f t="shared" ca="1" si="23"/>
        <v/>
      </c>
      <c r="AN45" s="78" t="str">
        <f t="array" aca="1" ref="AN45" ca="1">IF($AD45&lt;&gt;"",INDIRECT("Q"&amp;$AD45&amp;""),"")</f>
        <v/>
      </c>
      <c r="AO45" s="78" t="str">
        <f ca="1">IFERROR(IF(AND(AN45&lt;&gt;"",VLOOKUP(AN45,得意先マスタ!$A$1:$Z$800,24,FALSE)&lt;&gt;0),
VLOOKUP(AN45,得意先マスタ!$A$1:$Z$800,24,FALSE),""),"")</f>
        <v/>
      </c>
      <c r="AP45" s="78" t="str">
        <f ca="1">IFERROR(IF(AND(AN45&lt;&gt;"",VLOOKUP(AN45,得意先マスタ!$A$1:$Z$800,25,FALSE)&lt;&gt;0),
VLOOKUP(AN45,得意先マスタ!$A$1:$Z$800,25,FALSE),""),"")</f>
        <v/>
      </c>
      <c r="AQ45" s="78" t="str">
        <f t="shared" ca="1" si="6"/>
        <v/>
      </c>
      <c r="AR45" s="78">
        <f t="shared" ca="1" si="18"/>
        <v>0</v>
      </c>
      <c r="AS45" s="78">
        <f t="shared" ca="1" si="17"/>
        <v>0</v>
      </c>
    </row>
    <row r="46" spans="16:45">
      <c r="P46" t="str">
        <f ca="1">IF(AND(N46=0, COUNTIFS($E$1:E46,E46)=1), E46,
IF(COUNTIF(F46,"*雙葉*"),E46,""))</f>
        <v/>
      </c>
      <c r="Q46" s="126" t="str" cm="1">
        <f t="array" aca="1" ref="Q46" ca="1">IFERROR(INDEX($P$1:$P$100, SMALL(IF($P$1:$P$100&lt;&gt;"", ROW($P$1:$P$100)), ROW(Q46))), "")</f>
        <v/>
      </c>
      <c r="R46" s="126" t="str">
        <f t="shared" ca="1" si="9"/>
        <v/>
      </c>
      <c r="S46" s="126" t="str">
        <f t="shared" ca="1" si="10"/>
        <v/>
      </c>
      <c r="T46" s="126" t="str">
        <f t="shared" ca="1" si="10"/>
        <v/>
      </c>
      <c r="U46" s="126" t="str">
        <f t="shared" ca="1" si="10"/>
        <v/>
      </c>
      <c r="V46" s="126" t="str">
        <f t="shared" ca="1" si="10"/>
        <v/>
      </c>
      <c r="W46" s="126" t="str">
        <f t="shared" ca="1" si="11"/>
        <v/>
      </c>
      <c r="X46" s="126" t="str" cm="1">
        <f t="array" aca="1" ref="X46" ca="1">IF($Q46&lt;&gt;"",INDIRECT("A"&amp;MATCH(Q46,$E$1:$E$100,0)+ROW()-1&amp;""),"")</f>
        <v/>
      </c>
      <c r="Y46" t="str">
        <f ca="1">IF(Q46&lt;&gt;"",
IF(COUNTIF(S46,"*キャラ*"),
VLOOKUP("*キャラ*",商品マスタ!$D:$E,2,FALSE),
IF(COUNTIF(S46,"*赤*"),
VLOOKUP("*赤*",商品マスタ!$D:$E,2,FALSE),
VLOOKUP("*"&amp;S46&amp;"*",商品マスタ!$D:$E,2,FALSE))),"")</f>
        <v/>
      </c>
      <c r="Z46" t="str">
        <f t="shared" ca="1" si="13"/>
        <v/>
      </c>
      <c r="AA46" t="str">
        <f t="shared" ca="1" si="20"/>
        <v/>
      </c>
      <c r="AC46" t="str">
        <f t="shared" ca="1" si="21"/>
        <v/>
      </c>
      <c r="AD46" s="78" t="str">
        <f t="array" aca="1" ref="AD46" ca="1">IF(AND(IFERROR(COUNTIF(INDIRECT("R"&amp;IFERROR(SMALL(IF(AC$1:AC$140&lt;&gt;0,AC$1:AC$140),ROW(A46)),"")&amp;""),"*雙葉*"),0),COUNTIF(AE$1:AE45,"*雙葉*")),"",
IFERROR(SMALL(IF(AC$1:AC$140&lt;&gt;0,AC$1:AC$140),ROW(A46)),""))</f>
        <v/>
      </c>
      <c r="AE46" s="78" t="str">
        <f t="array" aca="1" ref="AE46" ca="1">IF($AD46&lt;&gt;"",INDIRECT("R"&amp;$AD46&amp;""),"")</f>
        <v/>
      </c>
      <c r="AF46" s="78" t="str">
        <f t="array" aca="1" ref="AF46" ca="1">IF($AD46&lt;&gt;"",
IF(INDIRECT("S"&amp;$AD46&amp;"")&lt;&gt;"",INDIRECT("S"&amp;$AD46&amp;""),""),"")</f>
        <v/>
      </c>
      <c r="AG46" s="78" t="str" cm="1">
        <f t="array" aca="1" ref="AG46" ca="1">IFERROR(IF($AD46&lt;&gt;"",INDIRECT("T"&amp;$AD46&amp;""),"")
+IF(COUNTIF(AE46,"*雙葉*"),
IFERROR(INDIRECT("T"&amp;MATCH("*雙葉*",INDIRECT("R"&amp;AD46+1&amp;":$R$140"),0)+ROW()&amp;""),0),0)
+IF(OR(COUNTIF(AO46,"*管理*"),COUNTIF(AO46,"予備")),
AQ46,0),"")</f>
        <v/>
      </c>
      <c r="AH46" s="78" t="str" cm="1">
        <f t="array" aca="1" ref="AH46" ca="1">IFERROR(IF($AD46&lt;&gt;"",INDIRECT("U"&amp;$AD46&amp;""),"")
+IF(COUNTIF(AE46,"*雙葉*"),
IFERROR(INDIRECT("U"&amp;MATCH("*雙葉*",INDIRECT("R"&amp;AD46+1&amp;":$R$140"),0)+ROW()&amp;""),0),0),"")</f>
        <v/>
      </c>
      <c r="AI46" s="78" t="str" cm="1">
        <f t="array" aca="1" ref="AI46" ca="1">IFERROR(IF($AD46&lt;&gt;"",INDIRECT("V"&amp;$AD46&amp;""),"")
+IF(COUNTIF(AE46,"*雙葉*"),
IFERROR(INDIRECT("V"&amp;MATCH("*雙葉*",INDIRECT("R"&amp;AD46+1&amp;":$R$140"),0)+ROW()&amp;""),0),0),"")</f>
        <v/>
      </c>
      <c r="AJ46" s="78" t="str">
        <f t="array" aca="1" ref="AJ46" ca="1">IF($AD46&lt;&gt;"",INDIRECT("W"&amp;$AD46&amp;""),"")</f>
        <v/>
      </c>
      <c r="AK46" s="78" t="str">
        <f t="array" aca="1" ref="AK46" ca="1">IF($AD46&lt;&gt;"",INDIRECT("Y"&amp;$AD46&amp;""),"")</f>
        <v/>
      </c>
      <c r="AL46" s="78" t="str">
        <f t="shared" ca="1" si="14"/>
        <v/>
      </c>
      <c r="AM46" s="78" t="str">
        <f t="shared" ca="1" si="23"/>
        <v/>
      </c>
      <c r="AN46" s="78" t="str">
        <f t="array" aca="1" ref="AN46" ca="1">IF($AD46&lt;&gt;"",INDIRECT("Q"&amp;$AD46&amp;""),"")</f>
        <v/>
      </c>
      <c r="AO46" s="78" t="str">
        <f ca="1">IFERROR(IF(AND(AN46&lt;&gt;"",VLOOKUP(AN46,得意先マスタ!$A$1:$Z$800,24,FALSE)&lt;&gt;0),
VLOOKUP(AN46,得意先マスタ!$A$1:$Z$800,24,FALSE),""),"")</f>
        <v/>
      </c>
      <c r="AP46" s="78" t="str">
        <f ca="1">IFERROR(IF(AND(AN46&lt;&gt;"",VLOOKUP(AN46,得意先マスタ!$A$1:$Z$800,25,FALSE)&lt;&gt;0),
VLOOKUP(AN46,得意先マスタ!$A$1:$Z$800,25,FALSE),""),"")</f>
        <v/>
      </c>
      <c r="AQ46" s="78" t="str">
        <f t="shared" ca="1" si="6"/>
        <v/>
      </c>
      <c r="AR46" s="78">
        <f t="shared" ca="1" si="18"/>
        <v>0</v>
      </c>
      <c r="AS46" s="78">
        <f t="shared" ca="1" si="17"/>
        <v>0</v>
      </c>
    </row>
    <row r="47" spans="16:45">
      <c r="P47" t="str">
        <f ca="1">IF(AND(N47=0, COUNTIFS($E$1:E47,E47)=1), E47,
IF(COUNTIF(F47,"*雙葉*"),E47,""))</f>
        <v/>
      </c>
      <c r="Q47" s="126" t="str" cm="1">
        <f t="array" aca="1" ref="Q47" ca="1">IFERROR(INDEX($P$1:$P$100, SMALL(IF($P$1:$P$100&lt;&gt;"", ROW($P$1:$P$100)), ROW(Q47))), "")</f>
        <v/>
      </c>
      <c r="R47" s="126" t="str">
        <f t="shared" ca="1" si="9"/>
        <v/>
      </c>
      <c r="S47" s="126" t="str">
        <f t="shared" ca="1" si="10"/>
        <v/>
      </c>
      <c r="T47" s="126" t="str">
        <f t="shared" ca="1" si="10"/>
        <v/>
      </c>
      <c r="U47" s="126" t="str">
        <f t="shared" ca="1" si="10"/>
        <v/>
      </c>
      <c r="V47" s="126" t="str">
        <f t="shared" ca="1" si="10"/>
        <v/>
      </c>
      <c r="W47" s="126" t="str">
        <f t="shared" ca="1" si="11"/>
        <v/>
      </c>
      <c r="X47" s="126" t="str" cm="1">
        <f t="array" aca="1" ref="X47" ca="1">IF($Q47&lt;&gt;"",INDIRECT("A"&amp;MATCH(Q47,$E$1:$E$100,0)+ROW()-1&amp;""),"")</f>
        <v/>
      </c>
      <c r="Y47" t="str">
        <f ca="1">IF(Q47&lt;&gt;"",
IF(COUNTIF(S47,"*キャラ*"),
VLOOKUP("*キャラ*",商品マスタ!$D:$E,2,FALSE),
IF(COUNTIF(S47,"*赤*"),
VLOOKUP("*赤*",商品マスタ!$D:$E,2,FALSE),
VLOOKUP("*"&amp;S47&amp;"*",商品マスタ!$D:$E,2,FALSE))),"")</f>
        <v/>
      </c>
      <c r="Z47" t="str">
        <f t="shared" ca="1" si="13"/>
        <v/>
      </c>
      <c r="AA47" t="str">
        <f t="shared" ca="1" si="20"/>
        <v/>
      </c>
      <c r="AC47" t="str">
        <f t="shared" ca="1" si="21"/>
        <v/>
      </c>
      <c r="AD47" s="78" t="str">
        <f t="array" aca="1" ref="AD47" ca="1">IF(AND(IFERROR(COUNTIF(INDIRECT("R"&amp;IFERROR(SMALL(IF(AC$1:AC$140&lt;&gt;0,AC$1:AC$140),ROW(A47)),"")&amp;""),"*雙葉*"),0),COUNTIF(AE$1:AE46,"*雙葉*")),"",
IFERROR(SMALL(IF(AC$1:AC$140&lt;&gt;0,AC$1:AC$140),ROW(A47)),""))</f>
        <v/>
      </c>
      <c r="AE47" s="78" t="str">
        <f t="array" aca="1" ref="AE47" ca="1">IF($AD47&lt;&gt;"",INDIRECT("R"&amp;$AD47&amp;""),"")</f>
        <v/>
      </c>
      <c r="AF47" s="78" t="str">
        <f t="array" aca="1" ref="AF47" ca="1">IF($AD47&lt;&gt;"",
IF(INDIRECT("S"&amp;$AD47&amp;"")&lt;&gt;"",INDIRECT("S"&amp;$AD47&amp;""),""),"")</f>
        <v/>
      </c>
      <c r="AG47" s="78" t="str" cm="1">
        <f t="array" aca="1" ref="AG47" ca="1">IFERROR(IF($AD47&lt;&gt;"",INDIRECT("T"&amp;$AD47&amp;""),"")
+IF(COUNTIF(AE47,"*雙葉*"),
IFERROR(INDIRECT("T"&amp;MATCH("*雙葉*",INDIRECT("R"&amp;AD47+1&amp;":$R$140"),0)+ROW()&amp;""),0),0)
+IF(OR(COUNTIF(AO47,"*管理*"),COUNTIF(AO47,"予備")),
AQ47,0),"")</f>
        <v/>
      </c>
      <c r="AH47" s="78" t="str" cm="1">
        <f t="array" aca="1" ref="AH47" ca="1">IFERROR(IF($AD47&lt;&gt;"",INDIRECT("U"&amp;$AD47&amp;""),"")
+IF(COUNTIF(AE47,"*雙葉*"),
IFERROR(INDIRECT("U"&amp;MATCH("*雙葉*",INDIRECT("R"&amp;AD47+1&amp;":$R$140"),0)+ROW()&amp;""),0),0),"")</f>
        <v/>
      </c>
      <c r="AI47" s="78" t="str" cm="1">
        <f t="array" aca="1" ref="AI47" ca="1">IFERROR(IF($AD47&lt;&gt;"",INDIRECT("V"&amp;$AD47&amp;""),"")
+IF(COUNTIF(AE47,"*雙葉*"),
IFERROR(INDIRECT("V"&amp;MATCH("*雙葉*",INDIRECT("R"&amp;AD47+1&amp;":$R$140"),0)+ROW()&amp;""),0),0),"")</f>
        <v/>
      </c>
      <c r="AJ47" s="78" t="str">
        <f t="array" aca="1" ref="AJ47" ca="1">IF($AD47&lt;&gt;"",INDIRECT("W"&amp;$AD47&amp;""),"")</f>
        <v/>
      </c>
      <c r="AK47" s="78" t="str">
        <f t="array" aca="1" ref="AK47" ca="1">IF($AD47&lt;&gt;"",INDIRECT("Y"&amp;$AD47&amp;""),"")</f>
        <v/>
      </c>
      <c r="AL47" s="78" t="str">
        <f t="shared" ca="1" si="14"/>
        <v/>
      </c>
      <c r="AM47" s="78" t="str">
        <f t="shared" ca="1" si="23"/>
        <v/>
      </c>
      <c r="AN47" s="78" t="str">
        <f t="array" aca="1" ref="AN47" ca="1">IF($AD47&lt;&gt;"",INDIRECT("Q"&amp;$AD47&amp;""),"")</f>
        <v/>
      </c>
      <c r="AO47" s="78" t="str">
        <f ca="1">IFERROR(IF(AND(AN47&lt;&gt;"",VLOOKUP(AN47,得意先マスタ!$A$1:$Z$800,24,FALSE)&lt;&gt;0),
VLOOKUP(AN47,得意先マスタ!$A$1:$Z$800,24,FALSE),""),"")</f>
        <v/>
      </c>
      <c r="AP47" s="78" t="str">
        <f ca="1">IFERROR(IF(AND(AN47&lt;&gt;"",VLOOKUP(AN47,得意先マスタ!$A$1:$Z$800,25,FALSE)&lt;&gt;0),
VLOOKUP(AN47,得意先マスタ!$A$1:$Z$800,25,FALSE),""),"")</f>
        <v/>
      </c>
      <c r="AQ47" s="78" t="str">
        <f t="shared" ca="1" si="6"/>
        <v/>
      </c>
      <c r="AR47" s="78">
        <f t="shared" ca="1" si="18"/>
        <v>0</v>
      </c>
      <c r="AS47" s="78">
        <f t="shared" ca="1" si="17"/>
        <v>0</v>
      </c>
    </row>
    <row r="48" spans="16:45">
      <c r="P48" t="str">
        <f ca="1">IF(AND(N48=0, COUNTIFS($E$1:E48,E48)=1), E48,
IF(COUNTIF(F48,"*雙葉*"),E48,""))</f>
        <v/>
      </c>
      <c r="Q48" s="126" t="str" cm="1">
        <f t="array" aca="1" ref="Q48" ca="1">IFERROR(INDEX($P$1:$P$100, SMALL(IF($P$1:$P$100&lt;&gt;"", ROW($P$1:$P$100)), ROW(Q48))), "")</f>
        <v/>
      </c>
      <c r="R48" s="126" t="str">
        <f t="shared" ca="1" si="9"/>
        <v/>
      </c>
      <c r="S48" s="126" t="str">
        <f t="shared" ca="1" si="10"/>
        <v/>
      </c>
      <c r="T48" s="126" t="str">
        <f t="shared" ca="1" si="10"/>
        <v/>
      </c>
      <c r="U48" s="126" t="str">
        <f t="shared" ca="1" si="10"/>
        <v/>
      </c>
      <c r="V48" s="126" t="str">
        <f t="shared" ca="1" si="10"/>
        <v/>
      </c>
      <c r="W48" s="126" t="str">
        <f t="shared" ca="1" si="11"/>
        <v/>
      </c>
      <c r="X48" s="126" t="str" cm="1">
        <f t="array" aca="1" ref="X48" ca="1">IF($Q48&lt;&gt;"",INDIRECT("A"&amp;MATCH(Q48,$E$1:$E$100,0)+ROW()-1&amp;""),"")</f>
        <v/>
      </c>
      <c r="Y48" t="str">
        <f ca="1">IF(Q48&lt;&gt;"",
IF(COUNTIF(S48,"*キャラ*"),
VLOOKUP("*キャラ*",商品マスタ!$D:$E,2,FALSE),
IF(COUNTIF(S48,"*赤*"),
VLOOKUP("*赤*",商品マスタ!$D:$E,2,FALSE),
VLOOKUP("*"&amp;S48&amp;"*",商品マスタ!$D:$E,2,FALSE))),"")</f>
        <v/>
      </c>
      <c r="Z48" t="str">
        <f t="shared" ca="1" si="13"/>
        <v/>
      </c>
      <c r="AA48" t="str">
        <f t="shared" ca="1" si="20"/>
        <v/>
      </c>
      <c r="AC48" t="str">
        <f t="shared" ca="1" si="21"/>
        <v/>
      </c>
      <c r="AD48" s="78" t="str">
        <f t="array" aca="1" ref="AD48" ca="1">IF(AND(IFERROR(COUNTIF(INDIRECT("R"&amp;IFERROR(SMALL(IF(AC$1:AC$140&lt;&gt;0,AC$1:AC$140),ROW(A48)),"")&amp;""),"*雙葉*"),0),COUNTIF(AE$1:AE47,"*雙葉*")),"",
IFERROR(SMALL(IF(AC$1:AC$140&lt;&gt;0,AC$1:AC$140),ROW(A48)),""))</f>
        <v/>
      </c>
      <c r="AE48" s="78" t="str">
        <f t="array" aca="1" ref="AE48" ca="1">IF($AD48&lt;&gt;"",INDIRECT("R"&amp;$AD48&amp;""),"")</f>
        <v/>
      </c>
      <c r="AF48" s="78" t="str">
        <f t="array" aca="1" ref="AF48" ca="1">IF($AD48&lt;&gt;"",
IF(INDIRECT("S"&amp;$AD48&amp;"")&lt;&gt;"",INDIRECT("S"&amp;$AD48&amp;""),""),"")</f>
        <v/>
      </c>
      <c r="AG48" s="78" t="str" cm="1">
        <f t="array" aca="1" ref="AG48" ca="1">IFERROR(IF($AD48&lt;&gt;"",INDIRECT("T"&amp;$AD48&amp;""),"")
+IF(COUNTIF(AE48,"*雙葉*"),
IFERROR(INDIRECT("T"&amp;MATCH("*雙葉*",INDIRECT("R"&amp;AD48+1&amp;":$R$140"),0)+ROW()&amp;""),0),0)
+IF(OR(COUNTIF(AO48,"*管理*"),COUNTIF(AO48,"予備")),
AQ48,0),"")</f>
        <v/>
      </c>
      <c r="AH48" s="78" t="str" cm="1">
        <f t="array" aca="1" ref="AH48" ca="1">IFERROR(IF($AD48&lt;&gt;"",INDIRECT("U"&amp;$AD48&amp;""),"")
+IF(COUNTIF(AE48,"*雙葉*"),
IFERROR(INDIRECT("U"&amp;MATCH("*雙葉*",INDIRECT("R"&amp;AD48+1&amp;":$R$140"),0)+ROW()&amp;""),0),0),"")</f>
        <v/>
      </c>
      <c r="AI48" s="78" t="str" cm="1">
        <f t="array" aca="1" ref="AI48" ca="1">IFERROR(IF($AD48&lt;&gt;"",INDIRECT("V"&amp;$AD48&amp;""),"")
+IF(COUNTIF(AE48,"*雙葉*"),
IFERROR(INDIRECT("V"&amp;MATCH("*雙葉*",INDIRECT("R"&amp;AD48+1&amp;":$R$140"),0)+ROW()&amp;""),0),0),"")</f>
        <v/>
      </c>
      <c r="AJ48" s="78" t="str">
        <f t="array" aca="1" ref="AJ48" ca="1">IF($AD48&lt;&gt;"",INDIRECT("W"&amp;$AD48&amp;""),"")</f>
        <v/>
      </c>
      <c r="AK48" s="78" t="str">
        <f t="array" aca="1" ref="AK48" ca="1">IF($AD48&lt;&gt;"",INDIRECT("Y"&amp;$AD48&amp;""),"")</f>
        <v/>
      </c>
      <c r="AL48" s="78" t="str">
        <f t="shared" ca="1" si="14"/>
        <v/>
      </c>
      <c r="AM48" s="78" t="str">
        <f t="shared" ca="1" si="23"/>
        <v/>
      </c>
      <c r="AN48" s="78" t="str">
        <f t="array" aca="1" ref="AN48" ca="1">IF($AD48&lt;&gt;"",INDIRECT("Q"&amp;$AD48&amp;""),"")</f>
        <v/>
      </c>
      <c r="AO48" s="78" t="str">
        <f ca="1">IFERROR(IF(AND(AN48&lt;&gt;"",VLOOKUP(AN48,得意先マスタ!$A$1:$Z$800,24,FALSE)&lt;&gt;0),
VLOOKUP(AN48,得意先マスタ!$A$1:$Z$800,24,FALSE),""),"")</f>
        <v/>
      </c>
      <c r="AP48" s="78" t="str">
        <f ca="1">IFERROR(IF(AND(AN48&lt;&gt;"",VLOOKUP(AN48,得意先マスタ!$A$1:$Z$800,25,FALSE)&lt;&gt;0),
VLOOKUP(AN48,得意先マスタ!$A$1:$Z$800,25,FALSE),""),"")</f>
        <v/>
      </c>
      <c r="AQ48" s="78" t="str">
        <f t="shared" ca="1" si="6"/>
        <v/>
      </c>
      <c r="AR48" s="78">
        <f t="shared" ca="1" si="18"/>
        <v>0</v>
      </c>
      <c r="AS48" s="78">
        <f t="shared" ca="1" si="17"/>
        <v>0</v>
      </c>
    </row>
    <row r="49" spans="16:45">
      <c r="P49" t="str">
        <f ca="1">IF(AND(N49=0, COUNTIFS($E$1:E49,E49)=1), E49,
IF(COUNTIF(F49,"*雙葉*"),E49,""))</f>
        <v/>
      </c>
      <c r="Q49" s="126" t="str" cm="1">
        <f t="array" aca="1" ref="Q49" ca="1">IFERROR(INDEX($P$1:$P$100, SMALL(IF($P$1:$P$100&lt;&gt;"", ROW($P$1:$P$100)), ROW(Q49))), "")</f>
        <v/>
      </c>
      <c r="R49" s="126" t="str">
        <f t="shared" ca="1" si="9"/>
        <v/>
      </c>
      <c r="S49" s="126" t="str">
        <f t="shared" ca="1" si="10"/>
        <v/>
      </c>
      <c r="T49" s="126" t="str">
        <f t="shared" ca="1" si="10"/>
        <v/>
      </c>
      <c r="U49" s="126" t="str">
        <f t="shared" ca="1" si="10"/>
        <v/>
      </c>
      <c r="V49" s="126" t="str">
        <f t="shared" ca="1" si="10"/>
        <v/>
      </c>
      <c r="W49" s="126" t="str">
        <f t="shared" ca="1" si="11"/>
        <v/>
      </c>
      <c r="X49" s="126" t="str" cm="1">
        <f t="array" aca="1" ref="X49" ca="1">IF($Q49&lt;&gt;"",INDIRECT("A"&amp;MATCH(Q49,$E$1:$E$100,0)+ROW()-1&amp;""),"")</f>
        <v/>
      </c>
      <c r="Y49" t="str">
        <f ca="1">IF(Q49&lt;&gt;"",
IF(COUNTIF(S49,"*キャラ*"),
VLOOKUP("*キャラ*",商品マスタ!$D:$E,2,FALSE),
IF(COUNTIF(S49,"*赤*"),
VLOOKUP("*赤*",商品マスタ!$D:$E,2,FALSE),
VLOOKUP("*"&amp;S49&amp;"*",商品マスタ!$D:$E,2,FALSE))),"")</f>
        <v/>
      </c>
      <c r="Z49" t="str">
        <f t="shared" ca="1" si="13"/>
        <v/>
      </c>
      <c r="AA49" t="str">
        <f t="shared" ca="1" si="20"/>
        <v/>
      </c>
      <c r="AC49" t="str">
        <f t="shared" ca="1" si="21"/>
        <v/>
      </c>
      <c r="AD49" s="78" t="str">
        <f t="array" aca="1" ref="AD49" ca="1">IF(AND(IFERROR(COUNTIF(INDIRECT("R"&amp;IFERROR(SMALL(IF(AC$1:AC$140&lt;&gt;0,AC$1:AC$140),ROW(A49)),"")&amp;""),"*雙葉*"),0),COUNTIF(AE$1:AE48,"*雙葉*")),"",
IFERROR(SMALL(IF(AC$1:AC$140&lt;&gt;0,AC$1:AC$140),ROW(A49)),""))</f>
        <v/>
      </c>
      <c r="AE49" s="78" t="str">
        <f t="array" aca="1" ref="AE49" ca="1">IF($AD49&lt;&gt;"",INDIRECT("R"&amp;$AD49&amp;""),"")</f>
        <v/>
      </c>
      <c r="AF49" s="78" t="str">
        <f t="array" aca="1" ref="AF49" ca="1">IF($AD49&lt;&gt;"",
IF(INDIRECT("S"&amp;$AD49&amp;"")&lt;&gt;"",INDIRECT("S"&amp;$AD49&amp;""),""),"")</f>
        <v/>
      </c>
      <c r="AG49" s="78" t="str" cm="1">
        <f t="array" aca="1" ref="AG49" ca="1">IFERROR(IF($AD49&lt;&gt;"",INDIRECT("T"&amp;$AD49&amp;""),"")
+IF(COUNTIF(AE49,"*雙葉*"),
IFERROR(INDIRECT("T"&amp;MATCH("*雙葉*",INDIRECT("R"&amp;AD49+1&amp;":$R$140"),0)+ROW()&amp;""),0),0)
+IF(OR(COUNTIF(AO49,"*管理*"),COUNTIF(AO49,"予備")),
AQ49,0),"")</f>
        <v/>
      </c>
      <c r="AH49" s="78" t="str" cm="1">
        <f t="array" aca="1" ref="AH49" ca="1">IFERROR(IF($AD49&lt;&gt;"",INDIRECT("U"&amp;$AD49&amp;""),"")
+IF(COUNTIF(AE49,"*雙葉*"),
IFERROR(INDIRECT("U"&amp;MATCH("*雙葉*",INDIRECT("R"&amp;AD49+1&amp;":$R$140"),0)+ROW()&amp;""),0),0),"")</f>
        <v/>
      </c>
      <c r="AI49" s="78" t="str" cm="1">
        <f t="array" aca="1" ref="AI49" ca="1">IFERROR(IF($AD49&lt;&gt;"",INDIRECT("V"&amp;$AD49&amp;""),"")
+IF(COUNTIF(AE49,"*雙葉*"),
IFERROR(INDIRECT("V"&amp;MATCH("*雙葉*",INDIRECT("R"&amp;AD49+1&amp;":$R$140"),0)+ROW()&amp;""),0),0),"")</f>
        <v/>
      </c>
      <c r="AJ49" s="78" t="str">
        <f t="array" aca="1" ref="AJ49" ca="1">IF($AD49&lt;&gt;"",INDIRECT("W"&amp;$AD49&amp;""),"")</f>
        <v/>
      </c>
      <c r="AK49" s="78" t="str">
        <f t="array" aca="1" ref="AK49" ca="1">IF($AD49&lt;&gt;"",INDIRECT("Y"&amp;$AD49&amp;""),"")</f>
        <v/>
      </c>
      <c r="AL49" s="78" t="str">
        <f t="shared" ca="1" si="14"/>
        <v/>
      </c>
      <c r="AM49" s="78" t="str">
        <f t="shared" ca="1" si="23"/>
        <v/>
      </c>
      <c r="AN49" s="78" t="str">
        <f t="array" aca="1" ref="AN49" ca="1">IF($AD49&lt;&gt;"",INDIRECT("Q"&amp;$AD49&amp;""),"")</f>
        <v/>
      </c>
      <c r="AO49" s="78" t="str">
        <f ca="1">IFERROR(IF(AND(AN49&lt;&gt;"",VLOOKUP(AN49,得意先マスタ!$A$1:$Z$800,24,FALSE)&lt;&gt;0),
VLOOKUP(AN49,得意先マスタ!$A$1:$Z$800,24,FALSE),""),"")</f>
        <v/>
      </c>
      <c r="AP49" s="78" t="str">
        <f ca="1">IFERROR(IF(AND(AN49&lt;&gt;"",VLOOKUP(AN49,得意先マスタ!$A$1:$Z$800,25,FALSE)&lt;&gt;0),
VLOOKUP(AN49,得意先マスタ!$A$1:$Z$800,25,FALSE),""),"")</f>
        <v/>
      </c>
      <c r="AQ49" s="78" t="str">
        <f t="shared" ca="1" si="6"/>
        <v/>
      </c>
      <c r="AR49" s="78">
        <f t="shared" ca="1" si="18"/>
        <v>0</v>
      </c>
      <c r="AS49" s="78">
        <f t="shared" ca="1" si="17"/>
        <v>0</v>
      </c>
    </row>
    <row r="50" spans="16:45">
      <c r="P50" t="str">
        <f ca="1">IF(AND(N50=0, COUNTIFS($E$1:E50,E50)=1), E50,
IF(COUNTIF(F50,"*雙葉*"),E50,""))</f>
        <v/>
      </c>
      <c r="Q50" s="126" t="str" cm="1">
        <f t="array" aca="1" ref="Q50" ca="1">IFERROR(INDEX($P$1:$P$100, SMALL(IF($P$1:$P$100&lt;&gt;"", ROW($P$1:$P$100)), ROW(Q50))), "")</f>
        <v/>
      </c>
      <c r="R50" s="126" t="str">
        <f t="shared" ca="1" si="9"/>
        <v/>
      </c>
      <c r="S50" s="126" t="str">
        <f t="shared" ca="1" si="10"/>
        <v/>
      </c>
      <c r="T50" s="126" t="str">
        <f t="shared" ca="1" si="10"/>
        <v/>
      </c>
      <c r="U50" s="126" t="str">
        <f t="shared" ca="1" si="10"/>
        <v/>
      </c>
      <c r="V50" s="126" t="str">
        <f t="shared" ca="1" si="10"/>
        <v/>
      </c>
      <c r="W50" s="126" t="str">
        <f t="shared" ca="1" si="11"/>
        <v/>
      </c>
      <c r="X50" s="126" t="str" cm="1">
        <f t="array" aca="1" ref="X50" ca="1">IF($Q50&lt;&gt;"",INDIRECT("A"&amp;MATCH(Q50,$E$1:$E$100,0)+ROW()-1&amp;""),"")</f>
        <v/>
      </c>
      <c r="Y50" t="str">
        <f ca="1">IF(Q50&lt;&gt;"",
IF(COUNTIF(S50,"*キャラ*"),
VLOOKUP("*キャラ*",商品マスタ!$D:$E,2,FALSE),
IF(COUNTIF(S50,"*赤*"),
VLOOKUP("*赤*",商品マスタ!$D:$E,2,FALSE),
VLOOKUP("*"&amp;S50&amp;"*",商品マスタ!$D:$E,2,FALSE))),"")</f>
        <v/>
      </c>
      <c r="Z50" t="str">
        <f t="shared" ca="1" si="13"/>
        <v/>
      </c>
      <c r="AA50" t="str">
        <f t="shared" ca="1" si="20"/>
        <v/>
      </c>
      <c r="AC50" t="str">
        <f t="shared" ca="1" si="21"/>
        <v/>
      </c>
      <c r="AD50" s="78" t="str">
        <f t="array" aca="1" ref="AD50" ca="1">IF(AND(IFERROR(COUNTIF(INDIRECT("R"&amp;IFERROR(SMALL(IF(AC$1:AC$140&lt;&gt;0,AC$1:AC$140),ROW(A50)),"")&amp;""),"*雙葉*"),0),COUNTIF(AE$1:AE49,"*雙葉*")),"",
IFERROR(SMALL(IF(AC$1:AC$140&lt;&gt;0,AC$1:AC$140),ROW(A50)),""))</f>
        <v/>
      </c>
      <c r="AE50" s="78" t="str">
        <f t="array" aca="1" ref="AE50" ca="1">IF($AD50&lt;&gt;"",INDIRECT("R"&amp;$AD50&amp;""),"")</f>
        <v/>
      </c>
      <c r="AF50" s="78" t="str">
        <f t="array" aca="1" ref="AF50" ca="1">IF($AD50&lt;&gt;"",
IF(INDIRECT("S"&amp;$AD50&amp;"")&lt;&gt;"",INDIRECT("S"&amp;$AD50&amp;""),""),"")</f>
        <v/>
      </c>
      <c r="AG50" s="78" t="str" cm="1">
        <f t="array" aca="1" ref="AG50" ca="1">IFERROR(IF($AD50&lt;&gt;"",INDIRECT("T"&amp;$AD50&amp;""),"")
+IF(COUNTIF(AE50,"*雙葉*"),
IFERROR(INDIRECT("T"&amp;MATCH("*雙葉*",INDIRECT("R"&amp;AD50+1&amp;":$R$140"),0)+ROW()&amp;""),0),0)
+IF(OR(COUNTIF(AO50,"*管理*"),COUNTIF(AO50,"予備")),
AQ50,0),"")</f>
        <v/>
      </c>
      <c r="AH50" s="78" t="str" cm="1">
        <f t="array" aca="1" ref="AH50" ca="1">IFERROR(IF($AD50&lt;&gt;"",INDIRECT("U"&amp;$AD50&amp;""),"")
+IF(COUNTIF(AE50,"*雙葉*"),
IFERROR(INDIRECT("U"&amp;MATCH("*雙葉*",INDIRECT("R"&amp;AD50+1&amp;":$R$140"),0)+ROW()&amp;""),0),0),"")</f>
        <v/>
      </c>
      <c r="AI50" s="78" t="str" cm="1">
        <f t="array" aca="1" ref="AI50" ca="1">IFERROR(IF($AD50&lt;&gt;"",INDIRECT("V"&amp;$AD50&amp;""),"")
+IF(COUNTIF(AE50,"*雙葉*"),
IFERROR(INDIRECT("V"&amp;MATCH("*雙葉*",INDIRECT("R"&amp;AD50+1&amp;":$R$140"),0)+ROW()&amp;""),0),0),"")</f>
        <v/>
      </c>
      <c r="AJ50" s="78" t="str">
        <f t="array" aca="1" ref="AJ50" ca="1">IF($AD50&lt;&gt;"",INDIRECT("W"&amp;$AD50&amp;""),"")</f>
        <v/>
      </c>
      <c r="AK50" s="78" t="str">
        <f t="array" aca="1" ref="AK50" ca="1">IF($AD50&lt;&gt;"",INDIRECT("Y"&amp;$AD50&amp;""),"")</f>
        <v/>
      </c>
      <c r="AL50" s="78" t="str">
        <f t="shared" ca="1" si="14"/>
        <v/>
      </c>
      <c r="AM50" s="78" t="str">
        <f t="shared" ca="1" si="23"/>
        <v/>
      </c>
      <c r="AN50" s="78" t="str">
        <f t="array" aca="1" ref="AN50" ca="1">IF($AD50&lt;&gt;"",INDIRECT("Q"&amp;$AD50&amp;""),"")</f>
        <v/>
      </c>
      <c r="AO50" s="78" t="str">
        <f ca="1">IFERROR(IF(AND(AN50&lt;&gt;"",VLOOKUP(AN50,得意先マスタ!$A$1:$Z$800,24,FALSE)&lt;&gt;0),
VLOOKUP(AN50,得意先マスタ!$A$1:$Z$800,24,FALSE),""),"")</f>
        <v/>
      </c>
      <c r="AP50" s="78" t="str">
        <f ca="1">IFERROR(IF(AND(AN50&lt;&gt;"",VLOOKUP(AN50,得意先マスタ!$A$1:$Z$800,25,FALSE)&lt;&gt;0),
VLOOKUP(AN50,得意先マスタ!$A$1:$Z$800,25,FALSE),""),"")</f>
        <v/>
      </c>
      <c r="AQ50" s="78" t="str">
        <f t="shared" ca="1" si="6"/>
        <v/>
      </c>
      <c r="AR50" s="78">
        <f t="shared" ca="1" si="18"/>
        <v>0</v>
      </c>
      <c r="AS50" s="78">
        <f t="shared" ca="1" si="17"/>
        <v>0</v>
      </c>
    </row>
    <row r="51" spans="16:45">
      <c r="P51" t="str">
        <f ca="1">IF(AND(N51=0, COUNTIFS($E$1:E51,E51)=1), E51,
IF(COUNTIF(F51,"*雙葉*"),E51,""))</f>
        <v/>
      </c>
      <c r="Q51" s="57" t="str">
        <f ca="1">IF(AND('盛付札（関数）'!AX1&lt;&gt;0,COUNTIF($Q$1:$Q$50,'盛付札（関数）'!AW1)=0),'盛付札（関数）'!AW1,"")</f>
        <v/>
      </c>
      <c r="R51" s="57" t="str">
        <f ca="1">IF($Q51&lt;&gt;"",OFFSET(得意先マスタ!$A$1,MATCH(Q51,得意先マスタ!A:A,0)-1,1),"")</f>
        <v/>
      </c>
      <c r="S51" s="57" t="str">
        <f ca="1">IF($Q51&lt;&gt;"",OFFSET('盛付札（関数）'!$AF$1,MATCH(X51,'盛付札（関数）'!$AE$1:$AE$70,0)-1,1),"")</f>
        <v/>
      </c>
      <c r="T51" s="57" t="str">
        <f ca="1">IF($Q51&lt;&gt;"",OFFSET('盛付札（関数）'!$AF$1,MATCH(X51,'盛付札（関数）'!$AE$1:$AE$70,0)-1,4),"")</f>
        <v/>
      </c>
      <c r="U51" s="57" t="str">
        <f ca="1">IF($Q51&lt;&gt;"",OFFSET('盛付札（関数）'!$AF$1,MATCH(X51,'盛付札（関数）'!$AE$1:$AE$70,0)-1,5),"")</f>
        <v/>
      </c>
      <c r="V51" s="57" t="str">
        <f ca="1">IF($Q51&lt;&gt;"",OFFSET('盛付札（関数）'!$AF$1,MATCH(X51,'盛付札（関数）'!$AE$1:$AE$70,0)-1,9),"")</f>
        <v/>
      </c>
      <c r="W51" s="57" t="str">
        <f ca="1">IF($Q51&lt;&gt;"",OFFSET('盛付札（関数）'!$AF$1,MATCH(X51,'盛付札（関数）'!$AE$1:$AE$70,0)-1,6),"")</f>
        <v/>
      </c>
      <c r="X51" s="57" t="str">
        <f ca="1">IF(AND('盛付札（関数）'!AX1&lt;&gt;0,COUNTIF($Q$1:$Q$50,'盛付札（関数）'!AW1)=0),'盛付札（関数）'!AE1,"")</f>
        <v/>
      </c>
      <c r="Y51" t="str">
        <f ca="1">IF(Q51&lt;&gt;"",
IF(COUNTIF(S51,"*キャラ*"),
VLOOKUP("*キャラ*",商品マスタ!$D:$E,2,FALSE),
IF(COUNTIF(S51,"*赤*"),
VLOOKUP("*赤*",商品マスタ!$D:$E,2,FALSE),
VLOOKUP("*"&amp;S51&amp;"*",商品マスタ!$D:$E,2,FALSE))),"")</f>
        <v/>
      </c>
      <c r="Z51" t="str">
        <f t="shared" ca="1" si="13"/>
        <v/>
      </c>
      <c r="AA51" t="str">
        <f t="shared" ca="1" si="20"/>
        <v/>
      </c>
      <c r="AC51" t="str">
        <f t="shared" ca="1" si="21"/>
        <v/>
      </c>
      <c r="AD51" s="78" t="str">
        <f t="array" aca="1" ref="AD51" ca="1">IF(AND(IFERROR(COUNTIF(INDIRECT("R"&amp;IFERROR(SMALL(IF(AC$1:AC$140&lt;&gt;0,AC$1:AC$140),ROW(A51)),"")&amp;""),"*雙葉*"),0),COUNTIF(AE$1:AE50,"*雙葉*")),"",
IFERROR(SMALL(IF(AC$1:AC$140&lt;&gt;0,AC$1:AC$140),ROW(A51)),""))</f>
        <v/>
      </c>
      <c r="AE51" s="78" t="str">
        <f t="array" aca="1" ref="AE51" ca="1">IF($AD51&lt;&gt;"",INDIRECT("R"&amp;$AD51&amp;""),"")</f>
        <v/>
      </c>
      <c r="AF51" s="78" t="str">
        <f t="array" aca="1" ref="AF51" ca="1">IF($AD51&lt;&gt;"",
IF(INDIRECT("S"&amp;$AD51&amp;"")&lt;&gt;"",INDIRECT("S"&amp;$AD51&amp;""),""),"")</f>
        <v/>
      </c>
      <c r="AG51" s="78" t="str" cm="1">
        <f t="array" aca="1" ref="AG51" ca="1">IFERROR(IF($AD51&lt;&gt;"",INDIRECT("T"&amp;$AD51&amp;""),"")
+IF(COUNTIF(AE51,"*雙葉*"),
IFERROR(INDIRECT("T"&amp;MATCH("*雙葉*",INDIRECT("R"&amp;AD51+1&amp;":$R$140"),0)+ROW()&amp;""),0),0)
+IF(OR(COUNTIF(AO51,"*管理*"),COUNTIF(AO51,"予備")),
AQ51,0),"")</f>
        <v/>
      </c>
      <c r="AH51" s="78" t="str" cm="1">
        <f t="array" aca="1" ref="AH51" ca="1">IFERROR(IF($AD51&lt;&gt;"",INDIRECT("U"&amp;$AD51&amp;""),"")
+IF(COUNTIF(AE51,"*雙葉*"),
IFERROR(INDIRECT("U"&amp;MATCH("*雙葉*",INDIRECT("R"&amp;AD51+1&amp;":$R$140"),0)+ROW()&amp;""),0),0),"")</f>
        <v/>
      </c>
      <c r="AI51" s="78" t="str" cm="1">
        <f t="array" aca="1" ref="AI51" ca="1">IFERROR(IF($AD51&lt;&gt;"",INDIRECT("V"&amp;$AD51&amp;""),"")
+IF(COUNTIF(AE51,"*雙葉*"),
IFERROR(INDIRECT("V"&amp;MATCH("*雙葉*",INDIRECT("R"&amp;AD51+1&amp;":$R$140"),0)+ROW()&amp;""),0),0),"")</f>
        <v/>
      </c>
      <c r="AJ51" s="78" t="str">
        <f t="array" aca="1" ref="AJ51" ca="1">IF($AD51&lt;&gt;"",INDIRECT("W"&amp;$AD51&amp;""),"")</f>
        <v/>
      </c>
      <c r="AK51" s="78" t="str">
        <f t="array" aca="1" ref="AK51" ca="1">IF($AD51&lt;&gt;"",INDIRECT("Y"&amp;$AD51&amp;""),"")</f>
        <v/>
      </c>
      <c r="AL51" s="78" t="str">
        <f t="shared" ca="1" si="14"/>
        <v/>
      </c>
      <c r="AM51" s="78" t="str">
        <f t="shared" ca="1" si="23"/>
        <v/>
      </c>
      <c r="AN51" s="78" t="str">
        <f t="array" aca="1" ref="AN51" ca="1">IF($AD51&lt;&gt;"",INDIRECT("Q"&amp;$AD51&amp;""),"")</f>
        <v/>
      </c>
      <c r="AO51" s="78" t="str">
        <f ca="1">IFERROR(IF(AND(AN51&lt;&gt;"",VLOOKUP(AN51,得意先マスタ!$A$1:$Z$800,24,FALSE)&lt;&gt;0),
VLOOKUP(AN51,得意先マスタ!$A$1:$Z$800,24,FALSE),""),"")</f>
        <v/>
      </c>
      <c r="AP51" s="78" t="str">
        <f ca="1">IFERROR(IF(AND(AN51&lt;&gt;"",VLOOKUP(AN51,得意先マスタ!$A$1:$Z$800,25,FALSE)&lt;&gt;0),
VLOOKUP(AN51,得意先マスタ!$A$1:$Z$800,25,FALSE),""),"")</f>
        <v/>
      </c>
      <c r="AQ51" s="78" t="str">
        <f t="shared" ca="1" si="6"/>
        <v/>
      </c>
      <c r="AR51" s="78">
        <f t="shared" ca="1" si="18"/>
        <v>0</v>
      </c>
      <c r="AS51" s="78">
        <f t="shared" ca="1" si="17"/>
        <v>0</v>
      </c>
    </row>
    <row r="52" spans="16:45">
      <c r="P52" t="str">
        <f ca="1">IF(AND(N52=0, COUNTIFS($E$1:E52,E52)=1), E52,
IF(COUNTIF(F52,"*雙葉*"),E52,""))</f>
        <v/>
      </c>
      <c r="Q52" s="57" t="str">
        <f ca="1">IF(AND('盛付札（関数）'!AX2&lt;&gt;0,COUNTIF($Q$1:$Q$50,'盛付札（関数）'!AW2)=0),'盛付札（関数）'!AW2,"")</f>
        <v/>
      </c>
      <c r="R52" s="57" t="str">
        <f ca="1">IF($Q52&lt;&gt;"",OFFSET(得意先マスタ!$A$1,MATCH(Q52,得意先マスタ!A:A,0)-1,1),"")</f>
        <v/>
      </c>
      <c r="S52" s="57" t="str">
        <f ca="1">IF($Q52&lt;&gt;"",OFFSET('盛付札（関数）'!$AF$1,MATCH(X52,'盛付札（関数）'!$AE$1:$AE$70,0)-1,1),"")</f>
        <v/>
      </c>
      <c r="T52" s="57" t="str">
        <f ca="1">IF($Q52&lt;&gt;"",OFFSET('盛付札（関数）'!$AF$1,MATCH(X52,'盛付札（関数）'!$AE$1:$AE$70,0)-1,4),"")</f>
        <v/>
      </c>
      <c r="U52" s="57" t="str">
        <f ca="1">IF($Q52&lt;&gt;"",OFFSET('盛付札（関数）'!$AF$1,MATCH(X52,'盛付札（関数）'!$AE$1:$AE$70,0)-1,5),"")</f>
        <v/>
      </c>
      <c r="V52" s="57" t="str">
        <f ca="1">IF($Q52&lt;&gt;"",OFFSET('盛付札（関数）'!$AF$1,MATCH(X52,'盛付札（関数）'!$AE$1:$AE$70,0)-1,9),"")</f>
        <v/>
      </c>
      <c r="W52" s="57" t="str">
        <f ca="1">IF($Q52&lt;&gt;"",OFFSET('盛付札（関数）'!$AF$1,MATCH(X52,'盛付札（関数）'!$AE$1:$AE$70,0)-1,6),"")</f>
        <v/>
      </c>
      <c r="X52" s="57" t="str">
        <f ca="1">IF(AND('盛付札（関数）'!AX2&lt;&gt;0,COUNTIF($Q$1:$Q$50,'盛付札（関数）'!AW2)=0),'盛付札（関数）'!AE2,"")</f>
        <v/>
      </c>
      <c r="Y52" t="str">
        <f ca="1">IF(Q52&lt;&gt;"",
IF(COUNTIF(S52,"*キャラ*"),
VLOOKUP("*キャラ*",商品マスタ!$D:$E,2,FALSE),
IF(COUNTIF(S52,"*赤*"),
VLOOKUP("*赤*",商品マスタ!$D:$E,2,FALSE),
VLOOKUP("*"&amp;S52&amp;"*",商品マスタ!$D:$E,2,FALSE))),"")</f>
        <v/>
      </c>
      <c r="Z52" t="str">
        <f t="shared" ca="1" si="13"/>
        <v/>
      </c>
      <c r="AA52" t="str">
        <f t="shared" ca="1" si="20"/>
        <v/>
      </c>
      <c r="AC52" t="str">
        <f t="shared" ca="1" si="21"/>
        <v/>
      </c>
      <c r="AD52" s="78" t="str">
        <f t="array" aca="1" ref="AD52" ca="1">IF(AND(IFERROR(COUNTIF(INDIRECT("R"&amp;IFERROR(SMALL(IF(AC$1:AC$140&lt;&gt;0,AC$1:AC$140),ROW(A52)),"")&amp;""),"*雙葉*"),0),COUNTIF(AE$1:AE51,"*雙葉*")),"",
IFERROR(SMALL(IF(AC$1:AC$140&lt;&gt;0,AC$1:AC$140),ROW(A52)),""))</f>
        <v/>
      </c>
      <c r="AE52" s="78" t="str">
        <f t="array" aca="1" ref="AE52" ca="1">IF($AD52&lt;&gt;"",INDIRECT("R"&amp;$AD52&amp;""),"")</f>
        <v/>
      </c>
      <c r="AF52" s="78" t="str">
        <f t="array" aca="1" ref="AF52" ca="1">IF($AD52&lt;&gt;"",
IF(INDIRECT("S"&amp;$AD52&amp;"")&lt;&gt;"",INDIRECT("S"&amp;$AD52&amp;""),""),"")</f>
        <v/>
      </c>
      <c r="AG52" s="78" t="str" cm="1">
        <f t="array" aca="1" ref="AG52" ca="1">IFERROR(IF($AD52&lt;&gt;"",INDIRECT("T"&amp;$AD52&amp;""),"")
+IF(COUNTIF(AE52,"*雙葉*"),
IFERROR(INDIRECT("T"&amp;MATCH("*雙葉*",INDIRECT("R"&amp;AD52+1&amp;":$R$140"),0)+ROW()&amp;""),0),0)
+IF(OR(COUNTIF(AO52,"*管理*"),COUNTIF(AO52,"予備")),
AQ52,0),"")</f>
        <v/>
      </c>
      <c r="AH52" s="78" t="str" cm="1">
        <f t="array" aca="1" ref="AH52" ca="1">IFERROR(IF($AD52&lt;&gt;"",INDIRECT("U"&amp;$AD52&amp;""),"")
+IF(COUNTIF(AE52,"*雙葉*"),
IFERROR(INDIRECT("U"&amp;MATCH("*雙葉*",INDIRECT("R"&amp;AD52+1&amp;":$R$140"),0)+ROW()&amp;""),0),0),"")</f>
        <v/>
      </c>
      <c r="AI52" s="78" t="str" cm="1">
        <f t="array" aca="1" ref="AI52" ca="1">IFERROR(IF($AD52&lt;&gt;"",INDIRECT("V"&amp;$AD52&amp;""),"")
+IF(COUNTIF(AE52,"*雙葉*"),
IFERROR(INDIRECT("V"&amp;MATCH("*雙葉*",INDIRECT("R"&amp;AD52+1&amp;":$R$140"),0)+ROW()&amp;""),0),0),"")</f>
        <v/>
      </c>
      <c r="AJ52" s="78" t="str">
        <f t="array" aca="1" ref="AJ52" ca="1">IF($AD52&lt;&gt;"",INDIRECT("W"&amp;$AD52&amp;""),"")</f>
        <v/>
      </c>
      <c r="AK52" s="78" t="str">
        <f t="array" aca="1" ref="AK52" ca="1">IF($AD52&lt;&gt;"",INDIRECT("Y"&amp;$AD52&amp;""),"")</f>
        <v/>
      </c>
      <c r="AL52" s="78" t="str">
        <f t="shared" ca="1" si="14"/>
        <v/>
      </c>
      <c r="AM52" s="78" t="str">
        <f t="shared" ca="1" si="23"/>
        <v/>
      </c>
      <c r="AN52" s="78" t="str">
        <f t="array" aca="1" ref="AN52" ca="1">IF($AD52&lt;&gt;"",INDIRECT("Q"&amp;$AD52&amp;""),"")</f>
        <v/>
      </c>
      <c r="AO52" s="78" t="str">
        <f ca="1">IFERROR(IF(AND(AN52&lt;&gt;"",VLOOKUP(AN52,得意先マスタ!$A$1:$Z$800,24,FALSE)&lt;&gt;0),
VLOOKUP(AN52,得意先マスタ!$A$1:$Z$800,24,FALSE),""),"")</f>
        <v/>
      </c>
      <c r="AP52" s="78" t="str">
        <f ca="1">IFERROR(IF(AND(AN52&lt;&gt;"",VLOOKUP(AN52,得意先マスタ!$A$1:$Z$800,25,FALSE)&lt;&gt;0),
VLOOKUP(AN52,得意先マスタ!$A$1:$Z$800,25,FALSE),""),"")</f>
        <v/>
      </c>
      <c r="AQ52" s="78" t="str">
        <f t="shared" ca="1" si="6"/>
        <v/>
      </c>
      <c r="AR52" s="78">
        <f t="shared" ca="1" si="18"/>
        <v>0</v>
      </c>
      <c r="AS52" s="78">
        <f t="shared" ca="1" si="17"/>
        <v>0</v>
      </c>
    </row>
    <row r="53" spans="16:45">
      <c r="P53" t="str">
        <f ca="1">IF(AND(N53=0, COUNTIFS($E$1:E53,E53)=1), E53,
IF(COUNTIF(F53,"*雙葉*"),E53,""))</f>
        <v/>
      </c>
      <c r="Q53" s="57" t="str">
        <f ca="1">IF(AND('盛付札（関数）'!AX3&lt;&gt;0,COUNTIF($Q$1:$Q$50,'盛付札（関数）'!AW3)=0),'盛付札（関数）'!AW3,"")</f>
        <v/>
      </c>
      <c r="R53" s="57" t="str">
        <f ca="1">IF($Q53&lt;&gt;"",OFFSET(得意先マスタ!$A$1,MATCH(Q53,得意先マスタ!A:A,0)-1,1),"")</f>
        <v/>
      </c>
      <c r="S53" s="57" t="str">
        <f ca="1">IF($Q53&lt;&gt;"",OFFSET('盛付札（関数）'!$AF$1,MATCH(X53,'盛付札（関数）'!$AE$1:$AE$70,0)-1,1),"")</f>
        <v/>
      </c>
      <c r="T53" s="57" t="str">
        <f ca="1">IF($Q53&lt;&gt;"",OFFSET('盛付札（関数）'!$AF$1,MATCH(X53,'盛付札（関数）'!$AE$1:$AE$70,0)-1,4),"")</f>
        <v/>
      </c>
      <c r="U53" s="57" t="str">
        <f ca="1">IF($Q53&lt;&gt;"",OFFSET('盛付札（関数）'!$AF$1,MATCH(X53,'盛付札（関数）'!$AE$1:$AE$70,0)-1,5),"")</f>
        <v/>
      </c>
      <c r="V53" s="57" t="str">
        <f ca="1">IF($Q53&lt;&gt;"",OFFSET('盛付札（関数）'!$AF$1,MATCH(X53,'盛付札（関数）'!$AE$1:$AE$70,0)-1,9),"")</f>
        <v/>
      </c>
      <c r="W53" s="57" t="str">
        <f ca="1">IF($Q53&lt;&gt;"",OFFSET('盛付札（関数）'!$AF$1,MATCH(X53,'盛付札（関数）'!$AE$1:$AE$70,0)-1,6),"")</f>
        <v/>
      </c>
      <c r="X53" s="57" t="str">
        <f ca="1">IF(AND('盛付札（関数）'!AX3&lt;&gt;0,COUNTIF($Q$1:$Q$50,'盛付札（関数）'!AW3)=0),'盛付札（関数）'!AE3,"")</f>
        <v/>
      </c>
      <c r="Y53" t="str">
        <f ca="1">IF(Q53&lt;&gt;"",
IF(COUNTIF(S53,"*キャラ*"),
VLOOKUP("*キャラ*",商品マスタ!$D:$E,2,FALSE),
IF(COUNTIF(S53,"*赤*"),
VLOOKUP("*赤*",商品マスタ!$D:$E,2,FALSE),
VLOOKUP("*"&amp;S53&amp;"*",商品マスタ!$D:$E,2,FALSE))),"")</f>
        <v/>
      </c>
      <c r="Z53" t="str">
        <f t="shared" ca="1" si="13"/>
        <v/>
      </c>
      <c r="AA53" t="str">
        <f t="shared" ca="1" si="20"/>
        <v/>
      </c>
      <c r="AC53" t="str">
        <f t="shared" ca="1" si="21"/>
        <v/>
      </c>
      <c r="AD53" s="78" t="str">
        <f t="array" aca="1" ref="AD53" ca="1">IF(AND(IFERROR(COUNTIF(INDIRECT("R"&amp;IFERROR(SMALL(IF(AC$1:AC$140&lt;&gt;0,AC$1:AC$140),ROW(A53)),"")&amp;""),"*雙葉*"),0),COUNTIF(AE$1:AE52,"*雙葉*")),"",
IFERROR(SMALL(IF(AC$1:AC$140&lt;&gt;0,AC$1:AC$140),ROW(A53)),""))</f>
        <v/>
      </c>
      <c r="AE53" s="78" t="str">
        <f t="array" aca="1" ref="AE53" ca="1">IF($AD53&lt;&gt;"",INDIRECT("R"&amp;$AD53&amp;""),"")</f>
        <v/>
      </c>
      <c r="AF53" s="78" t="str">
        <f t="array" aca="1" ref="AF53" ca="1">IF($AD53&lt;&gt;"",
IF(INDIRECT("S"&amp;$AD53&amp;"")&lt;&gt;"",INDIRECT("S"&amp;$AD53&amp;""),""),"")</f>
        <v/>
      </c>
      <c r="AG53" s="78" t="str" cm="1">
        <f t="array" aca="1" ref="AG53" ca="1">IFERROR(IF($AD53&lt;&gt;"",INDIRECT("T"&amp;$AD53&amp;""),"")
+IF(COUNTIF(AE53,"*雙葉*"),
IFERROR(INDIRECT("T"&amp;MATCH("*雙葉*",INDIRECT("R"&amp;AD53+1&amp;":$R$140"),0)+ROW()&amp;""),0),0)
+IF(OR(COUNTIF(AO53,"*管理*"),COUNTIF(AO53,"予備")),
AQ53,0),"")</f>
        <v/>
      </c>
      <c r="AH53" s="78" t="str" cm="1">
        <f t="array" aca="1" ref="AH53" ca="1">IFERROR(IF($AD53&lt;&gt;"",INDIRECT("U"&amp;$AD53&amp;""),"")
+IF(COUNTIF(AE53,"*雙葉*"),
IFERROR(INDIRECT("U"&amp;MATCH("*雙葉*",INDIRECT("R"&amp;AD53+1&amp;":$R$140"),0)+ROW()&amp;""),0),0),"")</f>
        <v/>
      </c>
      <c r="AI53" s="78" t="str" cm="1">
        <f t="array" aca="1" ref="AI53" ca="1">IFERROR(IF($AD53&lt;&gt;"",INDIRECT("V"&amp;$AD53&amp;""),"")
+IF(COUNTIF(AE53,"*雙葉*"),
IFERROR(INDIRECT("V"&amp;MATCH("*雙葉*",INDIRECT("R"&amp;AD53+1&amp;":$R$140"),0)+ROW()&amp;""),0),0),"")</f>
        <v/>
      </c>
      <c r="AJ53" s="78" t="str">
        <f t="array" aca="1" ref="AJ53" ca="1">IF($AD53&lt;&gt;"",INDIRECT("W"&amp;$AD53&amp;""),"")</f>
        <v/>
      </c>
      <c r="AK53" s="78" t="str">
        <f t="array" aca="1" ref="AK53" ca="1">IF($AD53&lt;&gt;"",INDIRECT("Y"&amp;$AD53&amp;""),"")</f>
        <v/>
      </c>
      <c r="AL53" s="78" t="str">
        <f t="shared" ca="1" si="14"/>
        <v/>
      </c>
      <c r="AM53" s="78" t="str">
        <f t="shared" ca="1" si="23"/>
        <v/>
      </c>
      <c r="AN53" s="78" t="str">
        <f t="array" aca="1" ref="AN53" ca="1">IF($AD53&lt;&gt;"",INDIRECT("Q"&amp;$AD53&amp;""),"")</f>
        <v/>
      </c>
      <c r="AO53" s="78" t="str">
        <f ca="1">IFERROR(IF(AND(AN53&lt;&gt;"",VLOOKUP(AN53,得意先マスタ!$A$1:$Z$800,24,FALSE)&lt;&gt;0),
VLOOKUP(AN53,得意先マスタ!$A$1:$Z$800,24,FALSE),""),"")</f>
        <v/>
      </c>
      <c r="AP53" s="78" t="str">
        <f ca="1">IFERROR(IF(AND(AN53&lt;&gt;"",VLOOKUP(AN53,得意先マスタ!$A$1:$Z$800,25,FALSE)&lt;&gt;0),
VLOOKUP(AN53,得意先マスタ!$A$1:$Z$800,25,FALSE),""),"")</f>
        <v/>
      </c>
      <c r="AQ53" s="78" t="str">
        <f t="shared" ca="1" si="6"/>
        <v/>
      </c>
      <c r="AR53" s="78">
        <f t="shared" ca="1" si="18"/>
        <v>0</v>
      </c>
      <c r="AS53" s="78">
        <f t="shared" ca="1" si="17"/>
        <v>0</v>
      </c>
    </row>
    <row r="54" spans="16:45">
      <c r="P54" t="str">
        <f ca="1">IF(AND(N54=0, COUNTIFS($E$1:E54,E54)=1), E54,
IF(COUNTIF(F54,"*雙葉*"),E54,""))</f>
        <v/>
      </c>
      <c r="Q54" s="57" t="str">
        <f ca="1">IF(AND('盛付札（関数）'!AX4&lt;&gt;0,COUNTIF($Q$1:$Q$50,'盛付札（関数）'!AW4)=0),'盛付札（関数）'!AW4,"")</f>
        <v/>
      </c>
      <c r="R54" s="57" t="str">
        <f ca="1">IF($Q54&lt;&gt;"",OFFSET(得意先マスタ!$A$1,MATCH(Q54,得意先マスタ!A:A,0)-1,1),"")</f>
        <v/>
      </c>
      <c r="S54" s="57" t="str">
        <f ca="1">IF($Q54&lt;&gt;"",OFFSET('盛付札（関数）'!$AF$1,MATCH(X54,'盛付札（関数）'!$AE$1:$AE$70,0)-1,1),"")</f>
        <v/>
      </c>
      <c r="T54" s="57" t="str">
        <f ca="1">IF($Q54&lt;&gt;"",OFFSET('盛付札（関数）'!$AF$1,MATCH(X54,'盛付札（関数）'!$AE$1:$AE$70,0)-1,4),"")</f>
        <v/>
      </c>
      <c r="U54" s="57" t="str">
        <f ca="1">IF($Q54&lt;&gt;"",OFFSET('盛付札（関数）'!$AF$1,MATCH(X54,'盛付札（関数）'!$AE$1:$AE$70,0)-1,5),"")</f>
        <v/>
      </c>
      <c r="V54" s="57" t="str">
        <f ca="1">IF($Q54&lt;&gt;"",OFFSET('盛付札（関数）'!$AF$1,MATCH(X54,'盛付札（関数）'!$AE$1:$AE$70,0)-1,9),"")</f>
        <v/>
      </c>
      <c r="W54" s="57" t="str">
        <f ca="1">IF($Q54&lt;&gt;"",OFFSET('盛付札（関数）'!$AF$1,MATCH(X54,'盛付札（関数）'!$AE$1:$AE$70,0)-1,6),"")</f>
        <v/>
      </c>
      <c r="X54" s="57" t="str">
        <f ca="1">IF(AND('盛付札（関数）'!AX4&lt;&gt;0,COUNTIF($Q$1:$Q$50,'盛付札（関数）'!AW4)=0),'盛付札（関数）'!AE4,"")</f>
        <v/>
      </c>
      <c r="Y54" t="str">
        <f ca="1">IF(Q54&lt;&gt;"",
IF(COUNTIF(S54,"*キャラ*"),
VLOOKUP("*キャラ*",商品マスタ!$D:$E,2,FALSE),
IF(COUNTIF(S54,"*赤*"),
VLOOKUP("*赤*",商品マスタ!$D:$E,2,FALSE),
VLOOKUP("*"&amp;S54&amp;"*",商品マスタ!$D:$E,2,FALSE))),"")</f>
        <v/>
      </c>
      <c r="Z54" t="str">
        <f t="shared" ca="1" si="13"/>
        <v/>
      </c>
      <c r="AA54" t="str">
        <f t="shared" ca="1" si="20"/>
        <v/>
      </c>
      <c r="AC54" t="str">
        <f t="shared" ca="1" si="21"/>
        <v/>
      </c>
      <c r="AD54" s="78" t="str">
        <f t="array" aca="1" ref="AD54" ca="1">IF(AND(IFERROR(COUNTIF(INDIRECT("R"&amp;IFERROR(SMALL(IF(AC$1:AC$140&lt;&gt;0,AC$1:AC$140),ROW(A54)),"")&amp;""),"*雙葉*"),0),COUNTIF(AE$1:AE53,"*雙葉*")),"",
IFERROR(SMALL(IF(AC$1:AC$140&lt;&gt;0,AC$1:AC$140),ROW(A54)),""))</f>
        <v/>
      </c>
      <c r="AE54" s="78" t="str">
        <f t="array" aca="1" ref="AE54" ca="1">IF($AD54&lt;&gt;"",INDIRECT("R"&amp;$AD54&amp;""),"")</f>
        <v/>
      </c>
      <c r="AF54" s="78" t="str">
        <f t="array" aca="1" ref="AF54" ca="1">IF($AD54&lt;&gt;"",
IF(INDIRECT("S"&amp;$AD54&amp;"")&lt;&gt;"",INDIRECT("S"&amp;$AD54&amp;""),""),"")</f>
        <v/>
      </c>
      <c r="AG54" s="78" t="str" cm="1">
        <f t="array" aca="1" ref="AG54" ca="1">IFERROR(IF($AD54&lt;&gt;"",INDIRECT("T"&amp;$AD54&amp;""),"")
+IF(COUNTIF(AE54,"*雙葉*"),
IFERROR(INDIRECT("T"&amp;MATCH("*雙葉*",INDIRECT("R"&amp;AD54+1&amp;":$R$140"),0)+ROW()&amp;""),0),0)
+IF(OR(COUNTIF(AO54,"*管理*"),COUNTIF(AO54,"予備")),
AQ54,0),"")</f>
        <v/>
      </c>
      <c r="AH54" s="78" t="str" cm="1">
        <f t="array" aca="1" ref="AH54" ca="1">IFERROR(IF($AD54&lt;&gt;"",INDIRECT("U"&amp;$AD54&amp;""),"")
+IF(COUNTIF(AE54,"*雙葉*"),
IFERROR(INDIRECT("U"&amp;MATCH("*雙葉*",INDIRECT("R"&amp;AD54+1&amp;":$R$140"),0)+ROW()&amp;""),0),0),"")</f>
        <v/>
      </c>
      <c r="AI54" s="78" t="str" cm="1">
        <f t="array" aca="1" ref="AI54" ca="1">IFERROR(IF($AD54&lt;&gt;"",INDIRECT("V"&amp;$AD54&amp;""),"")
+IF(COUNTIF(AE54,"*雙葉*"),
IFERROR(INDIRECT("V"&amp;MATCH("*雙葉*",INDIRECT("R"&amp;AD54+1&amp;":$R$140"),0)+ROW()&amp;""),0),0),"")</f>
        <v/>
      </c>
      <c r="AJ54" s="78" t="str">
        <f t="array" aca="1" ref="AJ54" ca="1">IF($AD54&lt;&gt;"",INDIRECT("W"&amp;$AD54&amp;""),"")</f>
        <v/>
      </c>
      <c r="AK54" s="78" t="str">
        <f t="array" aca="1" ref="AK54" ca="1">IF($AD54&lt;&gt;"",INDIRECT("Y"&amp;$AD54&amp;""),"")</f>
        <v/>
      </c>
      <c r="AL54" s="78" t="str">
        <f t="shared" ca="1" si="14"/>
        <v/>
      </c>
      <c r="AM54" s="78" t="str">
        <f t="shared" ca="1" si="23"/>
        <v/>
      </c>
      <c r="AN54" s="78" t="str">
        <f t="array" aca="1" ref="AN54" ca="1">IF($AD54&lt;&gt;"",INDIRECT("Q"&amp;$AD54&amp;""),"")</f>
        <v/>
      </c>
      <c r="AO54" s="78" t="str">
        <f ca="1">IFERROR(IF(AND(AN54&lt;&gt;"",VLOOKUP(AN54,得意先マスタ!$A$1:$Z$800,24,FALSE)&lt;&gt;0),
VLOOKUP(AN54,得意先マスタ!$A$1:$Z$800,24,FALSE),""),"")</f>
        <v/>
      </c>
      <c r="AP54" s="78" t="str">
        <f ca="1">IFERROR(IF(AND(AN54&lt;&gt;"",VLOOKUP(AN54,得意先マスタ!$A$1:$Z$800,25,FALSE)&lt;&gt;0),
VLOOKUP(AN54,得意先マスタ!$A$1:$Z$800,25,FALSE),""),"")</f>
        <v/>
      </c>
      <c r="AQ54" s="78" t="str">
        <f t="shared" ca="1" si="6"/>
        <v/>
      </c>
      <c r="AR54" s="78">
        <f t="shared" ca="1" si="18"/>
        <v>0</v>
      </c>
      <c r="AS54" s="78">
        <f t="shared" ca="1" si="17"/>
        <v>0</v>
      </c>
    </row>
    <row r="55" spans="16:45">
      <c r="P55" t="str">
        <f ca="1">IF(AND(N55=0, COUNTIFS($E$1:E55,E55)=1), E55,
IF(COUNTIF(F55,"*雙葉*"),E55,""))</f>
        <v/>
      </c>
      <c r="Q55" s="57" t="str">
        <f ca="1">IF(AND('盛付札（関数）'!AX5&lt;&gt;0,COUNTIF($Q$1:$Q$50,'盛付札（関数）'!AW5)=0),'盛付札（関数）'!AW5,"")</f>
        <v/>
      </c>
      <c r="R55" s="57" t="str">
        <f ca="1">IF($Q55&lt;&gt;"",OFFSET(得意先マスタ!$A$1,MATCH(Q55,得意先マスタ!A:A,0)-1,1),"")</f>
        <v/>
      </c>
      <c r="S55" s="57" t="str">
        <f ca="1">IF($Q55&lt;&gt;"",OFFSET('盛付札（関数）'!$AF$1,MATCH(X55,'盛付札（関数）'!$AE$1:$AE$70,0)-1,1),"")</f>
        <v/>
      </c>
      <c r="T55" s="57" t="str">
        <f ca="1">IF($Q55&lt;&gt;"",OFFSET('盛付札（関数）'!$AF$1,MATCH(X55,'盛付札（関数）'!$AE$1:$AE$70,0)-1,4),"")</f>
        <v/>
      </c>
      <c r="U55" s="57" t="str">
        <f ca="1">IF($Q55&lt;&gt;"",OFFSET('盛付札（関数）'!$AF$1,MATCH(X55,'盛付札（関数）'!$AE$1:$AE$70,0)-1,5),"")</f>
        <v/>
      </c>
      <c r="V55" s="57" t="str">
        <f ca="1">IF($Q55&lt;&gt;"",OFFSET('盛付札（関数）'!$AF$1,MATCH(X55,'盛付札（関数）'!$AE$1:$AE$70,0)-1,9),"")</f>
        <v/>
      </c>
      <c r="W55" s="57" t="str">
        <f ca="1">IF($Q55&lt;&gt;"",OFFSET('盛付札（関数）'!$AF$1,MATCH(X55,'盛付札（関数）'!$AE$1:$AE$70,0)-1,6),"")</f>
        <v/>
      </c>
      <c r="X55" s="57" t="str">
        <f ca="1">IF(AND('盛付札（関数）'!AX5&lt;&gt;0,COUNTIF($Q$1:$Q$50,'盛付札（関数）'!AW5)=0),'盛付札（関数）'!AE5,"")</f>
        <v/>
      </c>
      <c r="Y55" t="str">
        <f ca="1">IF(Q55&lt;&gt;"",
IF(COUNTIF(S55,"*キャラ*"),
VLOOKUP("*キャラ*",商品マスタ!$D:$E,2,FALSE),
IF(COUNTIF(S55,"*赤*"),
VLOOKUP("*赤*",商品マスタ!$D:$E,2,FALSE),
VLOOKUP("*"&amp;S55&amp;"*",商品マスタ!$D:$E,2,FALSE))),"")</f>
        <v/>
      </c>
      <c r="Z55" t="str">
        <f t="shared" ca="1" si="13"/>
        <v/>
      </c>
      <c r="AA55" t="str">
        <f t="shared" ca="1" si="20"/>
        <v/>
      </c>
      <c r="AC55" t="str">
        <f t="shared" ca="1" si="21"/>
        <v/>
      </c>
      <c r="AD55" s="78" t="str">
        <f t="array" aca="1" ref="AD55" ca="1">IF(AND(IFERROR(COUNTIF(INDIRECT("R"&amp;IFERROR(SMALL(IF(AC$1:AC$140&lt;&gt;0,AC$1:AC$140),ROW(A55)),"")&amp;""),"*雙葉*"),0),COUNTIF(AE$1:AE54,"*雙葉*")),"",
IFERROR(SMALL(IF(AC$1:AC$140&lt;&gt;0,AC$1:AC$140),ROW(A55)),""))</f>
        <v/>
      </c>
      <c r="AE55" s="78" t="str">
        <f t="array" aca="1" ref="AE55" ca="1">IF($AD55&lt;&gt;"",INDIRECT("R"&amp;$AD55&amp;""),"")</f>
        <v/>
      </c>
      <c r="AF55" s="78" t="str">
        <f t="array" aca="1" ref="AF55" ca="1">IF($AD55&lt;&gt;"",
IF(INDIRECT("S"&amp;$AD55&amp;"")&lt;&gt;"",INDIRECT("S"&amp;$AD55&amp;""),""),"")</f>
        <v/>
      </c>
      <c r="AG55" s="78" t="str" cm="1">
        <f t="array" aca="1" ref="AG55" ca="1">IFERROR(IF($AD55&lt;&gt;"",INDIRECT("T"&amp;$AD55&amp;""),"")
+IF(COUNTIF(AE55,"*雙葉*"),
IFERROR(INDIRECT("T"&amp;MATCH("*雙葉*",INDIRECT("R"&amp;AD55+1&amp;":$R$140"),0)+ROW()&amp;""),0),0)
+IF(OR(COUNTIF(AO55,"*管理*"),COUNTIF(AO55,"予備")),
AQ55,0),"")</f>
        <v/>
      </c>
      <c r="AH55" s="78" t="str" cm="1">
        <f t="array" aca="1" ref="AH55" ca="1">IFERROR(IF($AD55&lt;&gt;"",INDIRECT("U"&amp;$AD55&amp;""),"")
+IF(COUNTIF(AE55,"*雙葉*"),
IFERROR(INDIRECT("U"&amp;MATCH("*雙葉*",INDIRECT("R"&amp;AD55+1&amp;":$R$140"),0)+ROW()&amp;""),0),0),"")</f>
        <v/>
      </c>
      <c r="AI55" s="78" t="str" cm="1">
        <f t="array" aca="1" ref="AI55" ca="1">IFERROR(IF($AD55&lt;&gt;"",INDIRECT("V"&amp;$AD55&amp;""),"")
+IF(COUNTIF(AE55,"*雙葉*"),
IFERROR(INDIRECT("V"&amp;MATCH("*雙葉*",INDIRECT("R"&amp;AD55+1&amp;":$R$140"),0)+ROW()&amp;""),0),0),"")</f>
        <v/>
      </c>
      <c r="AJ55" s="78" t="str">
        <f t="array" aca="1" ref="AJ55" ca="1">IF($AD55&lt;&gt;"",INDIRECT("W"&amp;$AD55&amp;""),"")</f>
        <v/>
      </c>
      <c r="AK55" s="78" t="str">
        <f t="array" aca="1" ref="AK55" ca="1">IF($AD55&lt;&gt;"",INDIRECT("Y"&amp;$AD55&amp;""),"")</f>
        <v/>
      </c>
      <c r="AL55" s="78" t="str">
        <f t="shared" ca="1" si="14"/>
        <v/>
      </c>
      <c r="AM55" s="78" t="str">
        <f t="shared" ca="1" si="23"/>
        <v/>
      </c>
      <c r="AN55" s="78" t="str">
        <f t="array" aca="1" ref="AN55" ca="1">IF($AD55&lt;&gt;"",INDIRECT("Q"&amp;$AD55&amp;""),"")</f>
        <v/>
      </c>
      <c r="AO55" s="78" t="str">
        <f ca="1">IFERROR(IF(AND(AN55&lt;&gt;"",VLOOKUP(AN55,得意先マスタ!$A$1:$Z$800,24,FALSE)&lt;&gt;0),
VLOOKUP(AN55,得意先マスタ!$A$1:$Z$800,24,FALSE),""),"")</f>
        <v/>
      </c>
      <c r="AP55" s="78" t="str">
        <f ca="1">IFERROR(IF(AND(AN55&lt;&gt;"",VLOOKUP(AN55,得意先マスタ!$A$1:$Z$800,25,FALSE)&lt;&gt;0),
VLOOKUP(AN55,得意先マスタ!$A$1:$Z$800,25,FALSE),""),"")</f>
        <v/>
      </c>
      <c r="AQ55" s="78" t="str">
        <f t="shared" ca="1" si="6"/>
        <v/>
      </c>
      <c r="AR55" s="78">
        <f t="shared" ca="1" si="18"/>
        <v>0</v>
      </c>
      <c r="AS55" s="78">
        <f t="shared" ca="1" si="17"/>
        <v>0</v>
      </c>
    </row>
    <row r="56" spans="16:45">
      <c r="P56" t="str">
        <f ca="1">IF(AND(N56=0, COUNTIFS($E$1:E56,E56)=1), E56,
IF(COUNTIF(F56,"*雙葉*"),E56,""))</f>
        <v/>
      </c>
      <c r="Q56" s="57" t="str">
        <f ca="1">IF(AND('盛付札（関数）'!AX6&lt;&gt;0,COUNTIF($Q$1:$Q$50,'盛付札（関数）'!AW6)=0),'盛付札（関数）'!AW6,"")</f>
        <v/>
      </c>
      <c r="R56" s="57" t="str">
        <f ca="1">IF($Q56&lt;&gt;"",OFFSET(得意先マスタ!$A$1,MATCH(Q56,得意先マスタ!A:A,0)-1,1),"")</f>
        <v/>
      </c>
      <c r="S56" s="57" t="str">
        <f ca="1">IF($Q56&lt;&gt;"",OFFSET('盛付札（関数）'!$AF$1,MATCH(X56,'盛付札（関数）'!$AE$1:$AE$70,0)-1,1),"")</f>
        <v/>
      </c>
      <c r="T56" s="57" t="str">
        <f ca="1">IF($Q56&lt;&gt;"",OFFSET('盛付札（関数）'!$AF$1,MATCH(X56,'盛付札（関数）'!$AE$1:$AE$70,0)-1,4),"")</f>
        <v/>
      </c>
      <c r="U56" s="57" t="str">
        <f ca="1">IF($Q56&lt;&gt;"",OFFSET('盛付札（関数）'!$AF$1,MATCH(X56,'盛付札（関数）'!$AE$1:$AE$70,0)-1,5),"")</f>
        <v/>
      </c>
      <c r="V56" s="57" t="str">
        <f ca="1">IF($Q56&lt;&gt;"",OFFSET('盛付札（関数）'!$AF$1,MATCH(X56,'盛付札（関数）'!$AE$1:$AE$70,0)-1,9),"")</f>
        <v/>
      </c>
      <c r="W56" s="57" t="str">
        <f ca="1">IF($Q56&lt;&gt;"",OFFSET('盛付札（関数）'!$AF$1,MATCH(X56,'盛付札（関数）'!$AE$1:$AE$70,0)-1,6),"")</f>
        <v/>
      </c>
      <c r="X56" s="57" t="str">
        <f ca="1">IF(AND('盛付札（関数）'!AX6&lt;&gt;0,COUNTIF($Q$1:$Q$50,'盛付札（関数）'!AW6)=0),'盛付札（関数）'!AE6,"")</f>
        <v/>
      </c>
      <c r="Y56" t="str">
        <f ca="1">IF(Q56&lt;&gt;"",
IF(COUNTIF(S56,"*キャラ*"),
VLOOKUP("*キャラ*",商品マスタ!$D:$E,2,FALSE),
IF(COUNTIF(S56,"*赤*"),
VLOOKUP("*赤*",商品マスタ!$D:$E,2,FALSE),
VLOOKUP("*"&amp;S56&amp;"*",商品マスタ!$D:$E,2,FALSE))),"")</f>
        <v/>
      </c>
      <c r="Z56" t="str">
        <f t="shared" ca="1" si="13"/>
        <v/>
      </c>
      <c r="AA56" t="str">
        <f t="shared" ca="1" si="20"/>
        <v/>
      </c>
      <c r="AC56" t="str">
        <f t="shared" ca="1" si="21"/>
        <v/>
      </c>
      <c r="AD56" s="78" t="str">
        <f t="array" aca="1" ref="AD56" ca="1">IF(AND(IFERROR(COUNTIF(INDIRECT("R"&amp;IFERROR(SMALL(IF(AC$1:AC$140&lt;&gt;0,AC$1:AC$140),ROW(A56)),"")&amp;""),"*雙葉*"),0),COUNTIF(AE$1:AE55,"*雙葉*")),"",
IFERROR(SMALL(IF(AC$1:AC$140&lt;&gt;0,AC$1:AC$140),ROW(A56)),""))</f>
        <v/>
      </c>
      <c r="AE56" s="78" t="str">
        <f t="array" aca="1" ref="AE56" ca="1">IF($AD56&lt;&gt;"",INDIRECT("R"&amp;$AD56&amp;""),"")</f>
        <v/>
      </c>
      <c r="AF56" s="78" t="str">
        <f t="array" aca="1" ref="AF56" ca="1">IF($AD56&lt;&gt;"",
IF(INDIRECT("S"&amp;$AD56&amp;"")&lt;&gt;"",INDIRECT("S"&amp;$AD56&amp;""),""),"")</f>
        <v/>
      </c>
      <c r="AG56" s="78" t="str" cm="1">
        <f t="array" aca="1" ref="AG56" ca="1">IFERROR(IF($AD56&lt;&gt;"",INDIRECT("T"&amp;$AD56&amp;""),"")
+IF(COUNTIF(AE56,"*雙葉*"),
IFERROR(INDIRECT("T"&amp;MATCH("*雙葉*",INDIRECT("R"&amp;AD56+1&amp;":$R$140"),0)+ROW()&amp;""),0),0)
+IF(OR(COUNTIF(AO56,"*管理*"),COUNTIF(AO56,"予備")),
AQ56,0),"")</f>
        <v/>
      </c>
      <c r="AH56" s="78" t="str" cm="1">
        <f t="array" aca="1" ref="AH56" ca="1">IFERROR(IF($AD56&lt;&gt;"",INDIRECT("U"&amp;$AD56&amp;""),"")
+IF(COUNTIF(AE56,"*雙葉*"),
IFERROR(INDIRECT("U"&amp;MATCH("*雙葉*",INDIRECT("R"&amp;AD56+1&amp;":$R$140"),0)+ROW()&amp;""),0),0),"")</f>
        <v/>
      </c>
      <c r="AI56" s="78" t="str" cm="1">
        <f t="array" aca="1" ref="AI56" ca="1">IFERROR(IF($AD56&lt;&gt;"",INDIRECT("V"&amp;$AD56&amp;""),"")
+IF(COUNTIF(AE56,"*雙葉*"),
IFERROR(INDIRECT("V"&amp;MATCH("*雙葉*",INDIRECT("R"&amp;AD56+1&amp;":$R$140"),0)+ROW()&amp;""),0),0),"")</f>
        <v/>
      </c>
      <c r="AJ56" s="78" t="str">
        <f t="array" aca="1" ref="AJ56" ca="1">IF($AD56&lt;&gt;"",INDIRECT("W"&amp;$AD56&amp;""),"")</f>
        <v/>
      </c>
      <c r="AK56" s="78" t="str">
        <f t="array" aca="1" ref="AK56" ca="1">IF($AD56&lt;&gt;"",INDIRECT("Y"&amp;$AD56&amp;""),"")</f>
        <v/>
      </c>
      <c r="AL56" s="78" t="str">
        <f t="shared" ca="1" si="14"/>
        <v/>
      </c>
      <c r="AM56" s="78" t="str">
        <f t="shared" ca="1" si="23"/>
        <v/>
      </c>
      <c r="AN56" s="78" t="str">
        <f t="array" aca="1" ref="AN56" ca="1">IF($AD56&lt;&gt;"",INDIRECT("Q"&amp;$AD56&amp;""),"")</f>
        <v/>
      </c>
      <c r="AO56" s="78" t="str">
        <f ca="1">IFERROR(IF(AND(AN56&lt;&gt;"",VLOOKUP(AN56,得意先マスタ!$A$1:$Z$800,24,FALSE)&lt;&gt;0),
VLOOKUP(AN56,得意先マスタ!$A$1:$Z$800,24,FALSE),""),"")</f>
        <v/>
      </c>
      <c r="AP56" s="78" t="str">
        <f ca="1">IFERROR(IF(AND(AN56&lt;&gt;"",VLOOKUP(AN56,得意先マスタ!$A$1:$Z$800,25,FALSE)&lt;&gt;0),
VLOOKUP(AN56,得意先マスタ!$A$1:$Z$800,25,FALSE),""),"")</f>
        <v/>
      </c>
      <c r="AQ56" s="78" t="str">
        <f t="shared" ca="1" si="6"/>
        <v/>
      </c>
      <c r="AR56" s="78">
        <f t="shared" ca="1" si="18"/>
        <v>0</v>
      </c>
      <c r="AS56" s="78">
        <f t="shared" ca="1" si="17"/>
        <v>0</v>
      </c>
    </row>
    <row r="57" spans="16:45">
      <c r="P57" t="str">
        <f ca="1">IF(AND(N57=0, COUNTIFS($E$1:E57,E57)=1), E57,
IF(COUNTIF(F57,"*雙葉*"),E57,""))</f>
        <v/>
      </c>
      <c r="Q57" s="57" t="str">
        <f ca="1">IF(AND('盛付札（関数）'!AX7&lt;&gt;0,COUNTIF($Q$1:$Q$50,'盛付札（関数）'!AW7)=0),'盛付札（関数）'!AW7,"")</f>
        <v/>
      </c>
      <c r="R57" s="57" t="str">
        <f ca="1">IF($Q57&lt;&gt;"",OFFSET(得意先マスタ!$A$1,MATCH(Q57,得意先マスタ!A:A,0)-1,1),"")</f>
        <v/>
      </c>
      <c r="S57" s="57" t="str">
        <f ca="1">IF($Q57&lt;&gt;"",OFFSET('盛付札（関数）'!$AF$1,MATCH(X57,'盛付札（関数）'!$AE$1:$AE$70,0)-1,1),"")</f>
        <v/>
      </c>
      <c r="T57" s="57" t="str">
        <f ca="1">IF($Q57&lt;&gt;"",OFFSET('盛付札（関数）'!$AF$1,MATCH(X57,'盛付札（関数）'!$AE$1:$AE$70,0)-1,4),"")</f>
        <v/>
      </c>
      <c r="U57" s="57" t="str">
        <f ca="1">IF($Q57&lt;&gt;"",OFFSET('盛付札（関数）'!$AF$1,MATCH(X57,'盛付札（関数）'!$AE$1:$AE$70,0)-1,5),"")</f>
        <v/>
      </c>
      <c r="V57" s="57" t="str">
        <f ca="1">IF($Q57&lt;&gt;"",OFFSET('盛付札（関数）'!$AF$1,MATCH(X57,'盛付札（関数）'!$AE$1:$AE$70,0)-1,9),"")</f>
        <v/>
      </c>
      <c r="W57" s="57" t="str">
        <f ca="1">IF($Q57&lt;&gt;"",OFFSET('盛付札（関数）'!$AF$1,MATCH(X57,'盛付札（関数）'!$AE$1:$AE$70,0)-1,6),"")</f>
        <v/>
      </c>
      <c r="X57" s="57" t="str">
        <f ca="1">IF(AND('盛付札（関数）'!AX7&lt;&gt;0,COUNTIF($Q$1:$Q$50,'盛付札（関数）'!AW7)=0),'盛付札（関数）'!AE7,"")</f>
        <v/>
      </c>
      <c r="Y57" t="str">
        <f ca="1">IF(Q57&lt;&gt;"",
IF(COUNTIF(S57,"*キャラ*"),
VLOOKUP("*キャラ*",商品マスタ!$D:$E,2,FALSE),
IF(COUNTIF(S57,"*赤*"),
VLOOKUP("*赤*",商品マスタ!$D:$E,2,FALSE),
VLOOKUP("*"&amp;S57&amp;"*",商品マスタ!$D:$E,2,FALSE))),"")</f>
        <v/>
      </c>
      <c r="Z57" t="str">
        <f t="shared" ca="1" si="13"/>
        <v/>
      </c>
      <c r="AA57" t="str">
        <f t="shared" ca="1" si="20"/>
        <v/>
      </c>
      <c r="AC57" t="str">
        <f t="shared" ca="1" si="21"/>
        <v/>
      </c>
      <c r="AD57" s="78" t="str">
        <f t="array" aca="1" ref="AD57" ca="1">IF(AND(IFERROR(COUNTIF(INDIRECT("R"&amp;IFERROR(SMALL(IF(AC$1:AC$140&lt;&gt;0,AC$1:AC$140),ROW(A57)),"")&amp;""),"*雙葉*"),0),COUNTIF(AE$1:AE56,"*雙葉*")),"",
IFERROR(SMALL(IF(AC$1:AC$140&lt;&gt;0,AC$1:AC$140),ROW(A57)),""))</f>
        <v/>
      </c>
      <c r="AE57" s="78" t="str">
        <f t="array" aca="1" ref="AE57" ca="1">IF($AD57&lt;&gt;"",INDIRECT("R"&amp;$AD57&amp;""),"")</f>
        <v/>
      </c>
      <c r="AF57" s="78" t="str">
        <f t="array" aca="1" ref="AF57" ca="1">IF($AD57&lt;&gt;"",
IF(INDIRECT("S"&amp;$AD57&amp;"")&lt;&gt;"",INDIRECT("S"&amp;$AD57&amp;""),""),"")</f>
        <v/>
      </c>
      <c r="AG57" s="78" t="str" cm="1">
        <f t="array" aca="1" ref="AG57" ca="1">IFERROR(IF($AD57&lt;&gt;"",INDIRECT("T"&amp;$AD57&amp;""),"")
+IF(COUNTIF(AE57,"*雙葉*"),
IFERROR(INDIRECT("T"&amp;MATCH("*雙葉*",INDIRECT("R"&amp;AD57+1&amp;":$R$140"),0)+ROW()&amp;""),0),0)
+IF(OR(COUNTIF(AO57,"*管理*"),COUNTIF(AO57,"予備")),
AQ57,0),"")</f>
        <v/>
      </c>
      <c r="AH57" s="78" t="str" cm="1">
        <f t="array" aca="1" ref="AH57" ca="1">IFERROR(IF($AD57&lt;&gt;"",INDIRECT("U"&amp;$AD57&amp;""),"")
+IF(COUNTIF(AE57,"*雙葉*"),
IFERROR(INDIRECT("U"&amp;MATCH("*雙葉*",INDIRECT("R"&amp;AD57+1&amp;":$R$140"),0)+ROW()&amp;""),0),0),"")</f>
        <v/>
      </c>
      <c r="AI57" s="78" t="str" cm="1">
        <f t="array" aca="1" ref="AI57" ca="1">IFERROR(IF($AD57&lt;&gt;"",INDIRECT("V"&amp;$AD57&amp;""),"")
+IF(COUNTIF(AE57,"*雙葉*"),
IFERROR(INDIRECT("V"&amp;MATCH("*雙葉*",INDIRECT("R"&amp;AD57+1&amp;":$R$140"),0)+ROW()&amp;""),0),0),"")</f>
        <v/>
      </c>
      <c r="AJ57" s="78" t="str">
        <f t="array" aca="1" ref="AJ57" ca="1">IF($AD57&lt;&gt;"",INDIRECT("W"&amp;$AD57&amp;""),"")</f>
        <v/>
      </c>
      <c r="AK57" s="78" t="str">
        <f t="array" aca="1" ref="AK57" ca="1">IF($AD57&lt;&gt;"",INDIRECT("Y"&amp;$AD57&amp;""),"")</f>
        <v/>
      </c>
      <c r="AL57" s="78" t="str">
        <f t="shared" ca="1" si="14"/>
        <v/>
      </c>
      <c r="AM57" s="78" t="str">
        <f t="shared" ca="1" si="23"/>
        <v/>
      </c>
      <c r="AN57" s="78" t="str">
        <f t="array" aca="1" ref="AN57" ca="1">IF($AD57&lt;&gt;"",INDIRECT("Q"&amp;$AD57&amp;""),"")</f>
        <v/>
      </c>
      <c r="AO57" s="78" t="str">
        <f ca="1">IFERROR(IF(AND(AN57&lt;&gt;"",VLOOKUP(AN57,得意先マスタ!$A$1:$Z$800,24,FALSE)&lt;&gt;0),
VLOOKUP(AN57,得意先マスタ!$A$1:$Z$800,24,FALSE),""),"")</f>
        <v/>
      </c>
      <c r="AP57" s="78" t="str">
        <f ca="1">IFERROR(IF(AND(AN57&lt;&gt;"",VLOOKUP(AN57,得意先マスタ!$A$1:$Z$800,25,FALSE)&lt;&gt;0),
VLOOKUP(AN57,得意先マスタ!$A$1:$Z$800,25,FALSE),""),"")</f>
        <v/>
      </c>
      <c r="AQ57" s="78" t="str">
        <f t="shared" ca="1" si="6"/>
        <v/>
      </c>
      <c r="AR57" s="78">
        <f t="shared" ca="1" si="18"/>
        <v>0</v>
      </c>
      <c r="AS57" s="78">
        <f t="shared" ca="1" si="17"/>
        <v>0</v>
      </c>
    </row>
    <row r="58" spans="16:45">
      <c r="P58" t="str">
        <f ca="1">IF(AND(N58=0, COUNTIFS($E$1:E58,E58)=1), E58,
IF(COUNTIF(F58,"*雙葉*"),E58,""))</f>
        <v/>
      </c>
      <c r="Q58" s="57" t="str">
        <f ca="1">IF(AND('盛付札（関数）'!AX8&lt;&gt;0,COUNTIF($Q$1:$Q$50,'盛付札（関数）'!AW8)=0),'盛付札（関数）'!AW8,"")</f>
        <v/>
      </c>
      <c r="R58" s="57" t="str">
        <f ca="1">IF($Q58&lt;&gt;"",OFFSET(得意先マスタ!$A$1,MATCH(Q58,得意先マスタ!A:A,0)-1,1),"")</f>
        <v/>
      </c>
      <c r="S58" s="57" t="str">
        <f ca="1">IF($Q58&lt;&gt;"",OFFSET('盛付札（関数）'!$AF$1,MATCH(X58,'盛付札（関数）'!$AE$1:$AE$70,0)-1,1),"")</f>
        <v/>
      </c>
      <c r="T58" s="57" t="str">
        <f ca="1">IF($Q58&lt;&gt;"",OFFSET('盛付札（関数）'!$AF$1,MATCH(X58,'盛付札（関数）'!$AE$1:$AE$70,0)-1,4),"")</f>
        <v/>
      </c>
      <c r="U58" s="57" t="str">
        <f ca="1">IF($Q58&lt;&gt;"",OFFSET('盛付札（関数）'!$AF$1,MATCH(X58,'盛付札（関数）'!$AE$1:$AE$70,0)-1,5),"")</f>
        <v/>
      </c>
      <c r="V58" s="57" t="str">
        <f ca="1">IF($Q58&lt;&gt;"",OFFSET('盛付札（関数）'!$AF$1,MATCH(X58,'盛付札（関数）'!$AE$1:$AE$70,0)-1,9),"")</f>
        <v/>
      </c>
      <c r="W58" s="57" t="str">
        <f ca="1">IF($Q58&lt;&gt;"",OFFSET('盛付札（関数）'!$AF$1,MATCH(X58,'盛付札（関数）'!$AE$1:$AE$70,0)-1,6),"")</f>
        <v/>
      </c>
      <c r="X58" s="57" t="str">
        <f ca="1">IF(AND('盛付札（関数）'!AX8&lt;&gt;0,COUNTIF($Q$1:$Q$50,'盛付札（関数）'!AW8)=0),'盛付札（関数）'!AE8,"")</f>
        <v/>
      </c>
      <c r="Y58" t="str">
        <f ca="1">IF(Q58&lt;&gt;"",
IF(COUNTIF(S58,"*キャラ*"),
VLOOKUP("*キャラ*",商品マスタ!$D:$E,2,FALSE),
IF(COUNTIF(S58,"*赤*"),
VLOOKUP("*赤*",商品マスタ!$D:$E,2,FALSE),
VLOOKUP("*"&amp;S58&amp;"*",商品マスタ!$D:$E,2,FALSE))),"")</f>
        <v/>
      </c>
      <c r="Z58" t="str">
        <f t="shared" ca="1" si="13"/>
        <v/>
      </c>
      <c r="AA58" t="str">
        <f t="shared" ca="1" si="20"/>
        <v/>
      </c>
      <c r="AC58" t="str">
        <f t="shared" ca="1" si="21"/>
        <v/>
      </c>
      <c r="AD58" s="78" t="str">
        <f t="array" aca="1" ref="AD58" ca="1">IF(AND(IFERROR(COUNTIF(INDIRECT("R"&amp;IFERROR(SMALL(IF(AC$1:AC$140&lt;&gt;0,AC$1:AC$140),ROW(A58)),"")&amp;""),"*雙葉*"),0),COUNTIF(AE$1:AE57,"*雙葉*")),"",
IFERROR(SMALL(IF(AC$1:AC$140&lt;&gt;0,AC$1:AC$140),ROW(A58)),""))</f>
        <v/>
      </c>
      <c r="AE58" s="78" t="str">
        <f t="array" aca="1" ref="AE58" ca="1">IF($AD58&lt;&gt;"",INDIRECT("R"&amp;$AD58&amp;""),"")</f>
        <v/>
      </c>
      <c r="AF58" s="78" t="str">
        <f t="array" aca="1" ref="AF58" ca="1">IF($AD58&lt;&gt;"",
IF(INDIRECT("S"&amp;$AD58&amp;"")&lt;&gt;"",INDIRECT("S"&amp;$AD58&amp;""),""),"")</f>
        <v/>
      </c>
      <c r="AG58" s="78" t="str" cm="1">
        <f t="array" aca="1" ref="AG58" ca="1">IFERROR(IF($AD58&lt;&gt;"",INDIRECT("T"&amp;$AD58&amp;""),"")
+IF(COUNTIF(AE58,"*雙葉*"),
IFERROR(INDIRECT("T"&amp;MATCH("*雙葉*",INDIRECT("R"&amp;AD58+1&amp;":$R$140"),0)+ROW()&amp;""),0),0)
+IF(OR(COUNTIF(AO58,"*管理*"),COUNTIF(AO58,"予備")),
AQ58,0),"")</f>
        <v/>
      </c>
      <c r="AH58" s="78" t="str" cm="1">
        <f t="array" aca="1" ref="AH58" ca="1">IFERROR(IF($AD58&lt;&gt;"",INDIRECT("U"&amp;$AD58&amp;""),"")
+IF(COUNTIF(AE58,"*雙葉*"),
IFERROR(INDIRECT("U"&amp;MATCH("*雙葉*",INDIRECT("R"&amp;AD58+1&amp;":$R$140"),0)+ROW()&amp;""),0),0),"")</f>
        <v/>
      </c>
      <c r="AI58" s="78" t="str" cm="1">
        <f t="array" aca="1" ref="AI58" ca="1">IFERROR(IF($AD58&lt;&gt;"",INDIRECT("V"&amp;$AD58&amp;""),"")
+IF(COUNTIF(AE58,"*雙葉*"),
IFERROR(INDIRECT("V"&amp;MATCH("*雙葉*",INDIRECT("R"&amp;AD58+1&amp;":$R$140"),0)+ROW()&amp;""),0),0),"")</f>
        <v/>
      </c>
      <c r="AJ58" s="78" t="str">
        <f t="array" aca="1" ref="AJ58" ca="1">IF($AD58&lt;&gt;"",INDIRECT("W"&amp;$AD58&amp;""),"")</f>
        <v/>
      </c>
      <c r="AK58" s="78" t="str">
        <f t="array" aca="1" ref="AK58" ca="1">IF($AD58&lt;&gt;"",INDIRECT("Y"&amp;$AD58&amp;""),"")</f>
        <v/>
      </c>
      <c r="AL58" s="78" t="str">
        <f t="shared" ca="1" si="14"/>
        <v/>
      </c>
      <c r="AM58" s="78" t="str">
        <f t="shared" ca="1" si="23"/>
        <v/>
      </c>
      <c r="AN58" s="78" t="str">
        <f t="array" aca="1" ref="AN58" ca="1">IF($AD58&lt;&gt;"",INDIRECT("Q"&amp;$AD58&amp;""),"")</f>
        <v/>
      </c>
      <c r="AO58" s="78" t="str">
        <f ca="1">IFERROR(IF(AND(AN58&lt;&gt;"",VLOOKUP(AN58,得意先マスタ!$A$1:$Z$800,24,FALSE)&lt;&gt;0),
VLOOKUP(AN58,得意先マスタ!$A$1:$Z$800,24,FALSE),""),"")</f>
        <v/>
      </c>
      <c r="AP58" s="78" t="str">
        <f ca="1">IFERROR(IF(AND(AN58&lt;&gt;"",VLOOKUP(AN58,得意先マスタ!$A$1:$Z$800,25,FALSE)&lt;&gt;0),
VLOOKUP(AN58,得意先マスタ!$A$1:$Z$800,25,FALSE),""),"")</f>
        <v/>
      </c>
      <c r="AQ58" s="78" t="str">
        <f t="shared" ca="1" si="6"/>
        <v/>
      </c>
      <c r="AR58" s="78">
        <f t="shared" ca="1" si="18"/>
        <v>0</v>
      </c>
      <c r="AS58" s="78">
        <f t="shared" ca="1" si="17"/>
        <v>0</v>
      </c>
    </row>
    <row r="59" spans="16:45">
      <c r="P59" t="str">
        <f ca="1">IF(AND(N59=0, COUNTIFS($E$1:E59,E59)=1), E59,
IF(COUNTIF(F59,"*雙葉*"),E59,""))</f>
        <v/>
      </c>
      <c r="Q59" s="57" t="str">
        <f ca="1">IF(AND('盛付札（関数）'!AX9&lt;&gt;0,COUNTIF($Q$1:$Q$50,'盛付札（関数）'!AW9)=0),'盛付札（関数）'!AW9,"")</f>
        <v/>
      </c>
      <c r="R59" s="57" t="str">
        <f ca="1">IF($Q59&lt;&gt;"",OFFSET(得意先マスタ!$A$1,MATCH(Q59,得意先マスタ!A:A,0)-1,1),"")</f>
        <v/>
      </c>
      <c r="S59" s="57" t="str">
        <f ca="1">IF($Q59&lt;&gt;"",OFFSET('盛付札（関数）'!$AF$1,MATCH(X59,'盛付札（関数）'!$AE$1:$AE$70,0)-1,1),"")</f>
        <v/>
      </c>
      <c r="T59" s="57" t="str">
        <f ca="1">IF($Q59&lt;&gt;"",OFFSET('盛付札（関数）'!$AF$1,MATCH(X59,'盛付札（関数）'!$AE$1:$AE$70,0)-1,4),"")</f>
        <v/>
      </c>
      <c r="U59" s="57" t="str">
        <f ca="1">IF($Q59&lt;&gt;"",OFFSET('盛付札（関数）'!$AF$1,MATCH(X59,'盛付札（関数）'!$AE$1:$AE$70,0)-1,5),"")</f>
        <v/>
      </c>
      <c r="V59" s="57" t="str">
        <f ca="1">IF($Q59&lt;&gt;"",OFFSET('盛付札（関数）'!$AF$1,MATCH(X59,'盛付札（関数）'!$AE$1:$AE$70,0)-1,9),"")</f>
        <v/>
      </c>
      <c r="W59" s="57" t="str">
        <f ca="1">IF($Q59&lt;&gt;"",OFFSET('盛付札（関数）'!$AF$1,MATCH(X59,'盛付札（関数）'!$AE$1:$AE$70,0)-1,6),"")</f>
        <v/>
      </c>
      <c r="X59" s="57" t="str">
        <f ca="1">IF(AND('盛付札（関数）'!AX9&lt;&gt;0,COUNTIF($Q$1:$Q$50,'盛付札（関数）'!AW9)=0),'盛付札（関数）'!AE9,"")</f>
        <v/>
      </c>
      <c r="Y59" t="str">
        <f ca="1">IF(Q59&lt;&gt;"",
IF(COUNTIF(S59,"*キャラ*"),
VLOOKUP("*キャラ*",商品マスタ!$D:$E,2,FALSE),
IF(COUNTIF(S59,"*赤*"),
VLOOKUP("*赤*",商品マスタ!$D:$E,2,FALSE),
VLOOKUP("*"&amp;S59&amp;"*",商品マスタ!$D:$E,2,FALSE))),"")</f>
        <v/>
      </c>
      <c r="Z59" t="str">
        <f t="shared" ca="1" si="13"/>
        <v/>
      </c>
      <c r="AA59" t="str">
        <f t="shared" ca="1" si="20"/>
        <v/>
      </c>
      <c r="AC59" t="str">
        <f t="shared" ca="1" si="21"/>
        <v/>
      </c>
      <c r="AD59" s="78" t="str">
        <f t="array" aca="1" ref="AD59" ca="1">IF(AND(IFERROR(COUNTIF(INDIRECT("R"&amp;IFERROR(SMALL(IF(AC$1:AC$140&lt;&gt;0,AC$1:AC$140),ROW(A59)),"")&amp;""),"*雙葉*"),0),COUNTIF(AE$1:AE58,"*雙葉*")),"",
IFERROR(SMALL(IF(AC$1:AC$140&lt;&gt;0,AC$1:AC$140),ROW(A59)),""))</f>
        <v/>
      </c>
      <c r="AE59" s="78" t="str">
        <f t="array" aca="1" ref="AE59" ca="1">IF($AD59&lt;&gt;"",INDIRECT("R"&amp;$AD59&amp;""),"")</f>
        <v/>
      </c>
      <c r="AF59" s="78" t="str">
        <f t="array" aca="1" ref="AF59" ca="1">IF($AD59&lt;&gt;"",
IF(INDIRECT("S"&amp;$AD59&amp;"")&lt;&gt;"",INDIRECT("S"&amp;$AD59&amp;""),""),"")</f>
        <v/>
      </c>
      <c r="AG59" s="78" t="str" cm="1">
        <f t="array" aca="1" ref="AG59" ca="1">IFERROR(IF($AD59&lt;&gt;"",INDIRECT("T"&amp;$AD59&amp;""),"")
+IF(COUNTIF(AE59,"*雙葉*"),
IFERROR(INDIRECT("T"&amp;MATCH("*雙葉*",INDIRECT("R"&amp;AD59+1&amp;":$R$140"),0)+ROW()&amp;""),0),0)
+IF(OR(COUNTIF(AO59,"*管理*"),COUNTIF(AO59,"予備")),
AQ59,0),"")</f>
        <v/>
      </c>
      <c r="AH59" s="78" t="str" cm="1">
        <f t="array" aca="1" ref="AH59" ca="1">IFERROR(IF($AD59&lt;&gt;"",INDIRECT("U"&amp;$AD59&amp;""),"")
+IF(COUNTIF(AE59,"*雙葉*"),
IFERROR(INDIRECT("U"&amp;MATCH("*雙葉*",INDIRECT("R"&amp;AD59+1&amp;":$R$140"),0)+ROW()&amp;""),0),0),"")</f>
        <v/>
      </c>
      <c r="AI59" s="78" t="str" cm="1">
        <f t="array" aca="1" ref="AI59" ca="1">IFERROR(IF($AD59&lt;&gt;"",INDIRECT("V"&amp;$AD59&amp;""),"")
+IF(COUNTIF(AE59,"*雙葉*"),
IFERROR(INDIRECT("V"&amp;MATCH("*雙葉*",INDIRECT("R"&amp;AD59+1&amp;":$R$140"),0)+ROW()&amp;""),0),0),"")</f>
        <v/>
      </c>
      <c r="AJ59" s="78" t="str">
        <f t="array" aca="1" ref="AJ59" ca="1">IF($AD59&lt;&gt;"",INDIRECT("W"&amp;$AD59&amp;""),"")</f>
        <v/>
      </c>
      <c r="AK59" s="78" t="str">
        <f t="array" aca="1" ref="AK59" ca="1">IF($AD59&lt;&gt;"",INDIRECT("Y"&amp;$AD59&amp;""),"")</f>
        <v/>
      </c>
      <c r="AL59" s="78" t="str">
        <f t="shared" ca="1" si="14"/>
        <v/>
      </c>
      <c r="AM59" s="78" t="str">
        <f t="shared" ca="1" si="23"/>
        <v/>
      </c>
      <c r="AN59" s="78" t="str">
        <f t="array" aca="1" ref="AN59" ca="1">IF($AD59&lt;&gt;"",INDIRECT("Q"&amp;$AD59&amp;""),"")</f>
        <v/>
      </c>
      <c r="AO59" s="78" t="str">
        <f ca="1">IFERROR(IF(AND(AN59&lt;&gt;"",VLOOKUP(AN59,得意先マスタ!$A$1:$Z$800,24,FALSE)&lt;&gt;0),
VLOOKUP(AN59,得意先マスタ!$A$1:$Z$800,24,FALSE),""),"")</f>
        <v/>
      </c>
      <c r="AP59" s="78" t="str">
        <f ca="1">IFERROR(IF(AND(AN59&lt;&gt;"",VLOOKUP(AN59,得意先マスタ!$A$1:$Z$800,25,FALSE)&lt;&gt;0),
VLOOKUP(AN59,得意先マスタ!$A$1:$Z$800,25,FALSE),""),"")</f>
        <v/>
      </c>
      <c r="AQ59" s="78" t="str">
        <f t="shared" ca="1" si="6"/>
        <v/>
      </c>
      <c r="AR59" s="78">
        <f t="shared" ca="1" si="18"/>
        <v>0</v>
      </c>
      <c r="AS59" s="78">
        <f t="shared" ca="1" si="17"/>
        <v>0</v>
      </c>
    </row>
    <row r="60" spans="16:45">
      <c r="P60" t="str">
        <f ca="1">IF(AND(N60=0, COUNTIFS($E$1:E60,E60)=1), E60,
IF(COUNTIF(F60,"*雙葉*"),E60,""))</f>
        <v/>
      </c>
      <c r="Q60" s="57" t="str">
        <f ca="1">IF(AND('盛付札（関数）'!AX10&lt;&gt;0,COUNTIF($Q$1:$Q$50,'盛付札（関数）'!AW10)=0),'盛付札（関数）'!AW10,"")</f>
        <v/>
      </c>
      <c r="R60" s="57" t="str">
        <f ca="1">IF($Q60&lt;&gt;"",OFFSET(得意先マスタ!$A$1,MATCH(Q60,得意先マスタ!A:A,0)-1,1),"")</f>
        <v/>
      </c>
      <c r="S60" s="57" t="str">
        <f ca="1">IF($Q60&lt;&gt;"",OFFSET('盛付札（関数）'!$AF$1,MATCH(X60,'盛付札（関数）'!$AE$1:$AE$70,0)-1,1),"")</f>
        <v/>
      </c>
      <c r="T60" s="57" t="str">
        <f ca="1">IF($Q60&lt;&gt;"",OFFSET('盛付札（関数）'!$AF$1,MATCH(X60,'盛付札（関数）'!$AE$1:$AE$70,0)-1,4),"")</f>
        <v/>
      </c>
      <c r="U60" s="57" t="str">
        <f ca="1">IF($Q60&lt;&gt;"",OFFSET('盛付札（関数）'!$AF$1,MATCH(X60,'盛付札（関数）'!$AE$1:$AE$70,0)-1,5),"")</f>
        <v/>
      </c>
      <c r="V60" s="57" t="str">
        <f ca="1">IF($Q60&lt;&gt;"",OFFSET('盛付札（関数）'!$AF$1,MATCH(X60,'盛付札（関数）'!$AE$1:$AE$70,0)-1,9),"")</f>
        <v/>
      </c>
      <c r="W60" s="57" t="str">
        <f ca="1">IF($Q60&lt;&gt;"",OFFSET('盛付札（関数）'!$AF$1,MATCH(X60,'盛付札（関数）'!$AE$1:$AE$70,0)-1,6),"")</f>
        <v/>
      </c>
      <c r="X60" s="57" t="str">
        <f ca="1">IF(AND('盛付札（関数）'!AX10&lt;&gt;0,COUNTIF($Q$1:$Q$50,'盛付札（関数）'!AW10)=0),'盛付札（関数）'!AE10,"")</f>
        <v/>
      </c>
      <c r="Y60" t="str">
        <f ca="1">IF(Q60&lt;&gt;"",
IF(COUNTIF(S60,"*キャラ*"),
VLOOKUP("*キャラ*",商品マスタ!$D:$E,2,FALSE),
IF(COUNTIF(S60,"*赤*"),
VLOOKUP("*赤*",商品マスタ!$D:$E,2,FALSE),
VLOOKUP("*"&amp;S60&amp;"*",商品マスタ!$D:$E,2,FALSE))),"")</f>
        <v/>
      </c>
      <c r="Z60" t="str">
        <f t="shared" ca="1" si="13"/>
        <v/>
      </c>
      <c r="AA60" t="str">
        <f t="shared" ca="1" si="20"/>
        <v/>
      </c>
      <c r="AC60" t="str">
        <f t="shared" ca="1" si="21"/>
        <v/>
      </c>
      <c r="AD60" s="78" t="str">
        <f t="array" aca="1" ref="AD60" ca="1">IF(AND(IFERROR(COUNTIF(INDIRECT("R"&amp;IFERROR(SMALL(IF(AC$1:AC$140&lt;&gt;0,AC$1:AC$140),ROW(A60)),"")&amp;""),"*雙葉*"),0),COUNTIF(AE$1:AE59,"*雙葉*")),"",
IFERROR(SMALL(IF(AC$1:AC$140&lt;&gt;0,AC$1:AC$140),ROW(A60)),""))</f>
        <v/>
      </c>
      <c r="AE60" s="78" t="str">
        <f t="array" aca="1" ref="AE60" ca="1">IF($AD60&lt;&gt;"",INDIRECT("R"&amp;$AD60&amp;""),"")</f>
        <v/>
      </c>
      <c r="AF60" s="78" t="str">
        <f t="array" aca="1" ref="AF60" ca="1">IF($AD60&lt;&gt;"",
IF(INDIRECT("S"&amp;$AD60&amp;"")&lt;&gt;"",INDIRECT("S"&amp;$AD60&amp;""),""),"")</f>
        <v/>
      </c>
      <c r="AG60" s="78" t="str" cm="1">
        <f t="array" aca="1" ref="AG60" ca="1">IFERROR(IF($AD60&lt;&gt;"",INDIRECT("T"&amp;$AD60&amp;""),"")
+IF(COUNTIF(AE60,"*雙葉*"),
IFERROR(INDIRECT("T"&amp;MATCH("*雙葉*",INDIRECT("R"&amp;AD60+1&amp;":$R$140"),0)+ROW()&amp;""),0),0)
+IF(OR(COUNTIF(AO60,"*管理*"),COUNTIF(AO60,"予備")),
AQ60,0),"")</f>
        <v/>
      </c>
      <c r="AH60" s="78" t="str" cm="1">
        <f t="array" aca="1" ref="AH60" ca="1">IFERROR(IF($AD60&lt;&gt;"",INDIRECT("U"&amp;$AD60&amp;""),"")
+IF(COUNTIF(AE60,"*雙葉*"),
IFERROR(INDIRECT("U"&amp;MATCH("*雙葉*",INDIRECT("R"&amp;AD60+1&amp;":$R$140"),0)+ROW()&amp;""),0),0),"")</f>
        <v/>
      </c>
      <c r="AI60" s="78" t="str" cm="1">
        <f t="array" aca="1" ref="AI60" ca="1">IFERROR(IF($AD60&lt;&gt;"",INDIRECT("V"&amp;$AD60&amp;""),"")
+IF(COUNTIF(AE60,"*雙葉*"),
IFERROR(INDIRECT("V"&amp;MATCH("*雙葉*",INDIRECT("R"&amp;AD60+1&amp;":$R$140"),0)+ROW()&amp;""),0),0),"")</f>
        <v/>
      </c>
      <c r="AJ60" s="78" t="str">
        <f t="array" aca="1" ref="AJ60" ca="1">IF($AD60&lt;&gt;"",INDIRECT("W"&amp;$AD60&amp;""),"")</f>
        <v/>
      </c>
      <c r="AK60" s="78" t="str">
        <f t="array" aca="1" ref="AK60" ca="1">IF($AD60&lt;&gt;"",INDIRECT("Y"&amp;$AD60&amp;""),"")</f>
        <v/>
      </c>
      <c r="AL60" s="78" t="str">
        <f t="shared" ca="1" si="14"/>
        <v/>
      </c>
      <c r="AM60" s="78" t="str">
        <f t="shared" ca="1" si="23"/>
        <v/>
      </c>
      <c r="AN60" s="78" t="str">
        <f t="array" aca="1" ref="AN60" ca="1">IF($AD60&lt;&gt;"",INDIRECT("Q"&amp;$AD60&amp;""),"")</f>
        <v/>
      </c>
      <c r="AO60" s="78" t="str">
        <f ca="1">IFERROR(IF(AND(AN60&lt;&gt;"",VLOOKUP(AN60,得意先マスタ!$A$1:$Z$800,24,FALSE)&lt;&gt;0),
VLOOKUP(AN60,得意先マスタ!$A$1:$Z$800,24,FALSE),""),"")</f>
        <v/>
      </c>
      <c r="AP60" s="78" t="str">
        <f ca="1">IFERROR(IF(AND(AN60&lt;&gt;"",VLOOKUP(AN60,得意先マスタ!$A$1:$Z$800,25,FALSE)&lt;&gt;0),
VLOOKUP(AN60,得意先マスタ!$A$1:$Z$800,25,FALSE),""),"")</f>
        <v/>
      </c>
      <c r="AQ60" s="78" t="str">
        <f t="shared" ca="1" si="6"/>
        <v/>
      </c>
      <c r="AR60" s="78">
        <f t="shared" ca="1" si="18"/>
        <v>0</v>
      </c>
      <c r="AS60" s="78">
        <f t="shared" ca="1" si="17"/>
        <v>0</v>
      </c>
    </row>
    <row r="61" spans="16:45">
      <c r="P61" t="str">
        <f ca="1">IF(AND(N61=0, COUNTIFS($E$1:E61,E61)=1), E61,
IF(COUNTIF(F61,"*雙葉*"),E61,""))</f>
        <v/>
      </c>
      <c r="Q61" s="57" t="str">
        <f ca="1">IF(AND('盛付札（関数）'!AX11&lt;&gt;0,COUNTIF($Q$1:$Q$50,'盛付札（関数）'!AW11)=0),'盛付札（関数）'!AW11,"")</f>
        <v/>
      </c>
      <c r="R61" s="57" t="str">
        <f ca="1">IF($Q61&lt;&gt;"",OFFSET(得意先マスタ!$A$1,MATCH(Q61,得意先マスタ!A:A,0)-1,1),"")</f>
        <v/>
      </c>
      <c r="S61" s="57" t="str">
        <f ca="1">IF($Q61&lt;&gt;"",OFFSET('盛付札（関数）'!$AF$1,MATCH(X61,'盛付札（関数）'!$AE$1:$AE$70,0)-1,1),"")</f>
        <v/>
      </c>
      <c r="T61" s="57" t="str">
        <f ca="1">IF($Q61&lt;&gt;"",OFFSET('盛付札（関数）'!$AF$1,MATCH(X61,'盛付札（関数）'!$AE$1:$AE$70,0)-1,4),"")</f>
        <v/>
      </c>
      <c r="U61" s="57" t="str">
        <f ca="1">IF($Q61&lt;&gt;"",OFFSET('盛付札（関数）'!$AF$1,MATCH(X61,'盛付札（関数）'!$AE$1:$AE$70,0)-1,5),"")</f>
        <v/>
      </c>
      <c r="V61" s="57" t="str">
        <f ca="1">IF($Q61&lt;&gt;"",OFFSET('盛付札（関数）'!$AF$1,MATCH(X61,'盛付札（関数）'!$AE$1:$AE$70,0)-1,9),"")</f>
        <v/>
      </c>
      <c r="W61" s="57" t="str">
        <f ca="1">IF($Q61&lt;&gt;"",OFFSET('盛付札（関数）'!$AF$1,MATCH(X61,'盛付札（関数）'!$AE$1:$AE$70,0)-1,6),"")</f>
        <v/>
      </c>
      <c r="X61" s="57" t="str">
        <f ca="1">IF(AND('盛付札（関数）'!AX11&lt;&gt;0,COUNTIF($Q$1:$Q$50,'盛付札（関数）'!AW11)=0),'盛付札（関数）'!AE11,"")</f>
        <v/>
      </c>
      <c r="Y61" t="str">
        <f ca="1">IF(Q61&lt;&gt;"",
IF(COUNTIF(S61,"*キャラ*"),
VLOOKUP("*キャラ*",商品マスタ!$D:$E,2,FALSE),
IF(COUNTIF(S61,"*赤*"),
VLOOKUP("*赤*",商品マスタ!$D:$E,2,FALSE),
VLOOKUP("*"&amp;S61&amp;"*",商品マスタ!$D:$E,2,FALSE))),"")</f>
        <v/>
      </c>
      <c r="Z61" t="str">
        <f t="shared" ca="1" si="13"/>
        <v/>
      </c>
      <c r="AA61" t="str">
        <f t="shared" ca="1" si="20"/>
        <v/>
      </c>
      <c r="AC61" t="str">
        <f t="shared" ca="1" si="21"/>
        <v/>
      </c>
      <c r="AD61" s="78" t="str">
        <f t="array" aca="1" ref="AD61" ca="1">IF(AND(IFERROR(COUNTIF(INDIRECT("R"&amp;IFERROR(SMALL(IF(AC$1:AC$140&lt;&gt;0,AC$1:AC$140),ROW(A61)),"")&amp;""),"*雙葉*"),0),COUNTIF(AE$1:AE60,"*雙葉*")),"",
IFERROR(SMALL(IF(AC$1:AC$140&lt;&gt;0,AC$1:AC$140),ROW(A61)),""))</f>
        <v/>
      </c>
      <c r="AE61" s="78" t="str">
        <f t="array" aca="1" ref="AE61" ca="1">IF($AD61&lt;&gt;"",INDIRECT("R"&amp;$AD61&amp;""),"")</f>
        <v/>
      </c>
      <c r="AF61" s="78" t="str">
        <f t="array" aca="1" ref="AF61" ca="1">IF($AD61&lt;&gt;"",
IF(INDIRECT("S"&amp;$AD61&amp;"")&lt;&gt;"",INDIRECT("S"&amp;$AD61&amp;""),""),"")</f>
        <v/>
      </c>
      <c r="AG61" s="78" t="str" cm="1">
        <f t="array" aca="1" ref="AG61" ca="1">IFERROR(IF($AD61&lt;&gt;"",INDIRECT("T"&amp;$AD61&amp;""),"")
+IF(COUNTIF(AE61,"*雙葉*"),
IFERROR(INDIRECT("T"&amp;MATCH("*雙葉*",INDIRECT("R"&amp;AD61+1&amp;":$R$140"),0)+ROW()&amp;""),0),0)
+IF(OR(COUNTIF(AO61,"*管理*"),COUNTIF(AO61,"予備")),
AQ61,0),"")</f>
        <v/>
      </c>
      <c r="AH61" s="78" t="str" cm="1">
        <f t="array" aca="1" ref="AH61" ca="1">IFERROR(IF($AD61&lt;&gt;"",INDIRECT("U"&amp;$AD61&amp;""),"")
+IF(COUNTIF(AE61,"*雙葉*"),
IFERROR(INDIRECT("U"&amp;MATCH("*雙葉*",INDIRECT("R"&amp;AD61+1&amp;":$R$140"),0)+ROW()&amp;""),0),0),"")</f>
        <v/>
      </c>
      <c r="AI61" s="78" t="str" cm="1">
        <f t="array" aca="1" ref="AI61" ca="1">IFERROR(IF($AD61&lt;&gt;"",INDIRECT("V"&amp;$AD61&amp;""),"")
+IF(COUNTIF(AE61,"*雙葉*"),
IFERROR(INDIRECT("V"&amp;MATCH("*雙葉*",INDIRECT("R"&amp;AD61+1&amp;":$R$140"),0)+ROW()&amp;""),0),0),"")</f>
        <v/>
      </c>
      <c r="AJ61" s="78" t="str">
        <f t="array" aca="1" ref="AJ61" ca="1">IF($AD61&lt;&gt;"",INDIRECT("W"&amp;$AD61&amp;""),"")</f>
        <v/>
      </c>
      <c r="AK61" s="78" t="str">
        <f t="array" aca="1" ref="AK61" ca="1">IF($AD61&lt;&gt;"",INDIRECT("Y"&amp;$AD61&amp;""),"")</f>
        <v/>
      </c>
      <c r="AL61" s="78" t="str">
        <f t="shared" ca="1" si="14"/>
        <v/>
      </c>
      <c r="AM61" s="78" t="str">
        <f t="shared" ca="1" si="23"/>
        <v/>
      </c>
      <c r="AN61" s="78" t="str">
        <f t="array" aca="1" ref="AN61" ca="1">IF($AD61&lt;&gt;"",INDIRECT("Q"&amp;$AD61&amp;""),"")</f>
        <v/>
      </c>
      <c r="AO61" s="78" t="str">
        <f ca="1">IFERROR(IF(AND(AN61&lt;&gt;"",VLOOKUP(AN61,得意先マスタ!$A$1:$Z$800,24,FALSE)&lt;&gt;0),
VLOOKUP(AN61,得意先マスタ!$A$1:$Z$800,24,FALSE),""),"")</f>
        <v/>
      </c>
      <c r="AP61" s="78" t="str">
        <f ca="1">IFERROR(IF(AND(AN61&lt;&gt;"",VLOOKUP(AN61,得意先マスタ!$A$1:$Z$800,25,FALSE)&lt;&gt;0),
VLOOKUP(AN61,得意先マスタ!$A$1:$Z$800,25,FALSE),""),"")</f>
        <v/>
      </c>
      <c r="AQ61" s="78" t="str">
        <f t="shared" ca="1" si="6"/>
        <v/>
      </c>
      <c r="AR61" s="78">
        <f t="shared" ca="1" si="18"/>
        <v>0</v>
      </c>
      <c r="AS61" s="78">
        <f t="shared" ca="1" si="17"/>
        <v>0</v>
      </c>
    </row>
    <row r="62" spans="16:45">
      <c r="P62" t="str">
        <f ca="1">IF(AND(N62=0, COUNTIFS($E$1:E62,E62)=1), E62,
IF(COUNTIF(F62,"*雙葉*"),E62,""))</f>
        <v/>
      </c>
      <c r="Q62" s="57" t="str">
        <f ca="1">IF(AND('盛付札（関数）'!AX12&lt;&gt;0,COUNTIF($Q$1:$Q$50,'盛付札（関数）'!AW12)=0),'盛付札（関数）'!AW12,"")</f>
        <v/>
      </c>
      <c r="R62" s="57" t="str">
        <f ca="1">IF($Q62&lt;&gt;"",OFFSET(得意先マスタ!$A$1,MATCH(Q62,得意先マスタ!A:A,0)-1,1),"")</f>
        <v/>
      </c>
      <c r="S62" s="57" t="str">
        <f ca="1">IF($Q62&lt;&gt;"",OFFSET('盛付札（関数）'!$AF$1,MATCH(X62,'盛付札（関数）'!$AE$1:$AE$70,0)-1,1),"")</f>
        <v/>
      </c>
      <c r="T62" s="57" t="str">
        <f ca="1">IF($Q62&lt;&gt;"",OFFSET('盛付札（関数）'!$AF$1,MATCH(X62,'盛付札（関数）'!$AE$1:$AE$70,0)-1,4),"")</f>
        <v/>
      </c>
      <c r="U62" s="57" t="str">
        <f ca="1">IF($Q62&lt;&gt;"",OFFSET('盛付札（関数）'!$AF$1,MATCH(X62,'盛付札（関数）'!$AE$1:$AE$70,0)-1,5),"")</f>
        <v/>
      </c>
      <c r="V62" s="57" t="str">
        <f ca="1">IF($Q62&lt;&gt;"",OFFSET('盛付札（関数）'!$AF$1,MATCH(X62,'盛付札（関数）'!$AE$1:$AE$70,0)-1,9),"")</f>
        <v/>
      </c>
      <c r="W62" s="57" t="str">
        <f ca="1">IF($Q62&lt;&gt;"",OFFSET('盛付札（関数）'!$AF$1,MATCH(X62,'盛付札（関数）'!$AE$1:$AE$70,0)-1,6),"")</f>
        <v/>
      </c>
      <c r="X62" s="57" t="str">
        <f ca="1">IF(AND('盛付札（関数）'!AX12&lt;&gt;0,COUNTIF($Q$1:$Q$50,'盛付札（関数）'!AW12)=0),'盛付札（関数）'!AE12,"")</f>
        <v/>
      </c>
      <c r="Y62" t="str">
        <f ca="1">IF(Q62&lt;&gt;"",
IF(COUNTIF(S62,"*キャラ*"),
VLOOKUP("*キャラ*",商品マスタ!$D:$E,2,FALSE),
IF(COUNTIF(S62,"*赤*"),
VLOOKUP("*赤*",商品マスタ!$D:$E,2,FALSE),
VLOOKUP("*"&amp;S62&amp;"*",商品マスタ!$D:$E,2,FALSE))),"")</f>
        <v/>
      </c>
      <c r="Z62" t="str">
        <f t="shared" ca="1" si="13"/>
        <v/>
      </c>
      <c r="AA62" t="str">
        <f t="shared" ca="1" si="20"/>
        <v/>
      </c>
      <c r="AC62" t="str">
        <f t="shared" ca="1" si="21"/>
        <v/>
      </c>
      <c r="AD62" s="78" t="str">
        <f t="array" aca="1" ref="AD62" ca="1">IF(AND(IFERROR(COUNTIF(INDIRECT("R"&amp;IFERROR(SMALL(IF(AC$1:AC$140&lt;&gt;0,AC$1:AC$140),ROW(A62)),"")&amp;""),"*雙葉*"),0),COUNTIF(AE$1:AE61,"*雙葉*")),"",
IFERROR(SMALL(IF(AC$1:AC$140&lt;&gt;0,AC$1:AC$140),ROW(A62)),""))</f>
        <v/>
      </c>
      <c r="AE62" s="78" t="str">
        <f t="array" aca="1" ref="AE62" ca="1">IF($AD62&lt;&gt;"",INDIRECT("R"&amp;$AD62&amp;""),"")</f>
        <v/>
      </c>
      <c r="AF62" s="78" t="str">
        <f t="array" aca="1" ref="AF62" ca="1">IF($AD62&lt;&gt;"",
IF(INDIRECT("S"&amp;$AD62&amp;"")&lt;&gt;"",INDIRECT("S"&amp;$AD62&amp;""),""),"")</f>
        <v/>
      </c>
      <c r="AG62" s="78" t="str" cm="1">
        <f t="array" aca="1" ref="AG62" ca="1">IFERROR(IF($AD62&lt;&gt;"",INDIRECT("T"&amp;$AD62&amp;""),"")
+IF(COUNTIF(AE62,"*雙葉*"),
IFERROR(INDIRECT("T"&amp;MATCH("*雙葉*",INDIRECT("R"&amp;AD62+1&amp;":$R$140"),0)+ROW()&amp;""),0),0)
+IF(OR(COUNTIF(AO62,"*管理*"),COUNTIF(AO62,"予備")),
AQ62,0),"")</f>
        <v/>
      </c>
      <c r="AH62" s="78" t="str" cm="1">
        <f t="array" aca="1" ref="AH62" ca="1">IFERROR(IF($AD62&lt;&gt;"",INDIRECT("U"&amp;$AD62&amp;""),"")
+IF(COUNTIF(AE62,"*雙葉*"),
IFERROR(INDIRECT("U"&amp;MATCH("*雙葉*",INDIRECT("R"&amp;AD62+1&amp;":$R$140"),0)+ROW()&amp;""),0),0),"")</f>
        <v/>
      </c>
      <c r="AI62" s="78" t="str" cm="1">
        <f t="array" aca="1" ref="AI62" ca="1">IFERROR(IF($AD62&lt;&gt;"",INDIRECT("V"&amp;$AD62&amp;""),"")
+IF(COUNTIF(AE62,"*雙葉*"),
IFERROR(INDIRECT("V"&amp;MATCH("*雙葉*",INDIRECT("R"&amp;AD62+1&amp;":$R$140"),0)+ROW()&amp;""),0),0),"")</f>
        <v/>
      </c>
      <c r="AJ62" s="78" t="str">
        <f t="array" aca="1" ref="AJ62" ca="1">IF($AD62&lt;&gt;"",INDIRECT("W"&amp;$AD62&amp;""),"")</f>
        <v/>
      </c>
      <c r="AK62" s="78" t="str">
        <f t="array" aca="1" ref="AK62" ca="1">IF($AD62&lt;&gt;"",INDIRECT("Y"&amp;$AD62&amp;""),"")</f>
        <v/>
      </c>
      <c r="AL62" s="78" t="str">
        <f t="shared" ca="1" si="14"/>
        <v/>
      </c>
      <c r="AM62" s="78" t="str">
        <f t="shared" ca="1" si="23"/>
        <v/>
      </c>
      <c r="AN62" s="78" t="str">
        <f t="array" aca="1" ref="AN62" ca="1">IF($AD62&lt;&gt;"",INDIRECT("Q"&amp;$AD62&amp;""),"")</f>
        <v/>
      </c>
      <c r="AO62" s="78" t="str">
        <f ca="1">IFERROR(IF(AND(AN62&lt;&gt;"",VLOOKUP(AN62,得意先マスタ!$A$1:$Z$800,24,FALSE)&lt;&gt;0),
VLOOKUP(AN62,得意先マスタ!$A$1:$Z$800,24,FALSE),""),"")</f>
        <v/>
      </c>
      <c r="AP62" s="78" t="str">
        <f ca="1">IFERROR(IF(AND(AN62&lt;&gt;"",VLOOKUP(AN62,得意先マスタ!$A$1:$Z$800,25,FALSE)&lt;&gt;0),
VLOOKUP(AN62,得意先マスタ!$A$1:$Z$800,25,FALSE),""),"")</f>
        <v/>
      </c>
      <c r="AQ62" s="78" t="str">
        <f t="shared" ca="1" si="6"/>
        <v/>
      </c>
      <c r="AR62" s="78">
        <f t="shared" ca="1" si="18"/>
        <v>0</v>
      </c>
      <c r="AS62" s="78">
        <f t="shared" ca="1" si="17"/>
        <v>0</v>
      </c>
    </row>
    <row r="63" spans="16:45">
      <c r="P63" t="str">
        <f ca="1">IF(AND(N63=0, COUNTIFS($E$1:E63,E63)=1), E63,
IF(COUNTIF(F63,"*雙葉*"),E63,""))</f>
        <v/>
      </c>
      <c r="Q63" s="57" t="str">
        <f ca="1">IF(AND('盛付札（関数）'!AX13&lt;&gt;0,COUNTIF($Q$1:$Q$50,'盛付札（関数）'!AW13)=0),'盛付札（関数）'!AW13,"")</f>
        <v/>
      </c>
      <c r="R63" s="57" t="str">
        <f ca="1">IF($Q63&lt;&gt;"",OFFSET(得意先マスタ!$A$1,MATCH(Q63,得意先マスタ!A:A,0)-1,1),"")</f>
        <v/>
      </c>
      <c r="S63" s="57" t="str">
        <f ca="1">IF($Q63&lt;&gt;"",OFFSET('盛付札（関数）'!$AF$1,MATCH(X63,'盛付札（関数）'!$AE$1:$AE$70,0)-1,1),"")</f>
        <v/>
      </c>
      <c r="T63" s="57" t="str">
        <f ca="1">IF($Q63&lt;&gt;"",OFFSET('盛付札（関数）'!$AF$1,MATCH(X63,'盛付札（関数）'!$AE$1:$AE$70,0)-1,4),"")</f>
        <v/>
      </c>
      <c r="U63" s="57" t="str">
        <f ca="1">IF($Q63&lt;&gt;"",OFFSET('盛付札（関数）'!$AF$1,MATCH(X63,'盛付札（関数）'!$AE$1:$AE$70,0)-1,5),"")</f>
        <v/>
      </c>
      <c r="V63" s="57" t="str">
        <f ca="1">IF($Q63&lt;&gt;"",OFFSET('盛付札（関数）'!$AF$1,MATCH(X63,'盛付札（関数）'!$AE$1:$AE$70,0)-1,9),"")</f>
        <v/>
      </c>
      <c r="W63" s="57" t="str">
        <f ca="1">IF($Q63&lt;&gt;"",OFFSET('盛付札（関数）'!$AF$1,MATCH(X63,'盛付札（関数）'!$AE$1:$AE$70,0)-1,6),"")</f>
        <v/>
      </c>
      <c r="X63" s="57" t="str">
        <f ca="1">IF(AND('盛付札（関数）'!AX13&lt;&gt;0,COUNTIF($Q$1:$Q$50,'盛付札（関数）'!AW13)=0),'盛付札（関数）'!AE13,"")</f>
        <v/>
      </c>
      <c r="Y63" t="str">
        <f ca="1">IF(Q63&lt;&gt;"",
IF(COUNTIF(S63,"*キャラ*"),
VLOOKUP("*キャラ*",商品マスタ!$D:$E,2,FALSE),
IF(COUNTIF(S63,"*赤*"),
VLOOKUP("*赤*",商品マスタ!$D:$E,2,FALSE),
VLOOKUP("*"&amp;S63&amp;"*",商品マスタ!$D:$E,2,FALSE))),"")</f>
        <v/>
      </c>
      <c r="Z63" t="str">
        <f t="shared" ca="1" si="13"/>
        <v/>
      </c>
      <c r="AA63" t="str">
        <f t="shared" ca="1" si="20"/>
        <v/>
      </c>
      <c r="AC63" t="str">
        <f t="shared" ca="1" si="21"/>
        <v/>
      </c>
      <c r="AD63" s="78" t="str">
        <f t="array" aca="1" ref="AD63" ca="1">IF(AND(IFERROR(COUNTIF(INDIRECT("R"&amp;IFERROR(SMALL(IF(AC$1:AC$140&lt;&gt;0,AC$1:AC$140),ROW(A63)),"")&amp;""),"*雙葉*"),0),COUNTIF(AE$1:AE62,"*雙葉*")),"",
IFERROR(SMALL(IF(AC$1:AC$140&lt;&gt;0,AC$1:AC$140),ROW(A63)),""))</f>
        <v/>
      </c>
      <c r="AE63" s="78" t="str">
        <f t="array" aca="1" ref="AE63" ca="1">IF($AD63&lt;&gt;"",INDIRECT("R"&amp;$AD63&amp;""),"")</f>
        <v/>
      </c>
      <c r="AF63" s="78" t="str">
        <f t="array" aca="1" ref="AF63" ca="1">IF($AD63&lt;&gt;"",
IF(INDIRECT("S"&amp;$AD63&amp;"")&lt;&gt;"",INDIRECT("S"&amp;$AD63&amp;""),""),"")</f>
        <v/>
      </c>
      <c r="AG63" s="78" t="str" cm="1">
        <f t="array" aca="1" ref="AG63" ca="1">IFERROR(IF($AD63&lt;&gt;"",INDIRECT("T"&amp;$AD63&amp;""),"")
+IF(COUNTIF(AE63,"*雙葉*"),
IFERROR(INDIRECT("T"&amp;MATCH("*雙葉*",INDIRECT("R"&amp;AD63+1&amp;":$R$140"),0)+ROW()&amp;""),0),0)
+IF(OR(COUNTIF(AO63,"*管理*"),COUNTIF(AO63,"予備")),
AQ63,0),"")</f>
        <v/>
      </c>
      <c r="AH63" s="78" t="str" cm="1">
        <f t="array" aca="1" ref="AH63" ca="1">IFERROR(IF($AD63&lt;&gt;"",INDIRECT("U"&amp;$AD63&amp;""),"")
+IF(COUNTIF(AE63,"*雙葉*"),
IFERROR(INDIRECT("U"&amp;MATCH("*雙葉*",INDIRECT("R"&amp;AD63+1&amp;":$R$140"),0)+ROW()&amp;""),0),0),"")</f>
        <v/>
      </c>
      <c r="AI63" s="78" t="str" cm="1">
        <f t="array" aca="1" ref="AI63" ca="1">IFERROR(IF($AD63&lt;&gt;"",INDIRECT("V"&amp;$AD63&amp;""),"")
+IF(COUNTIF(AE63,"*雙葉*"),
IFERROR(INDIRECT("V"&amp;MATCH("*雙葉*",INDIRECT("R"&amp;AD63+1&amp;":$R$140"),0)+ROW()&amp;""),0),0),"")</f>
        <v/>
      </c>
      <c r="AJ63" s="78" t="str">
        <f t="array" aca="1" ref="AJ63" ca="1">IF($AD63&lt;&gt;"",INDIRECT("W"&amp;$AD63&amp;""),"")</f>
        <v/>
      </c>
      <c r="AK63" s="78" t="str">
        <f t="array" aca="1" ref="AK63" ca="1">IF($AD63&lt;&gt;"",INDIRECT("Y"&amp;$AD63&amp;""),"")</f>
        <v/>
      </c>
      <c r="AL63" s="78" t="str">
        <f t="shared" ca="1" si="14"/>
        <v/>
      </c>
      <c r="AM63" s="78" t="str">
        <f t="shared" ca="1" si="23"/>
        <v/>
      </c>
      <c r="AN63" s="78" t="str">
        <f t="array" aca="1" ref="AN63" ca="1">IF($AD63&lt;&gt;"",INDIRECT("Q"&amp;$AD63&amp;""),"")</f>
        <v/>
      </c>
      <c r="AO63" s="78" t="str">
        <f ca="1">IFERROR(IF(AND(AN63&lt;&gt;"",VLOOKUP(AN63,得意先マスタ!$A$1:$Z$800,24,FALSE)&lt;&gt;0),
VLOOKUP(AN63,得意先マスタ!$A$1:$Z$800,24,FALSE),""),"")</f>
        <v/>
      </c>
      <c r="AP63" s="78" t="str">
        <f ca="1">IFERROR(IF(AND(AN63&lt;&gt;"",VLOOKUP(AN63,得意先マスタ!$A$1:$Z$800,25,FALSE)&lt;&gt;0),
VLOOKUP(AN63,得意先マスタ!$A$1:$Z$800,25,FALSE),""),"")</f>
        <v/>
      </c>
      <c r="AQ63" s="78" t="str">
        <f t="shared" ca="1" si="6"/>
        <v/>
      </c>
      <c r="AR63" s="78">
        <f t="shared" ca="1" si="18"/>
        <v>0</v>
      </c>
      <c r="AS63" s="78">
        <f t="shared" ca="1" si="17"/>
        <v>0</v>
      </c>
    </row>
    <row r="64" spans="16:45">
      <c r="P64" t="str">
        <f ca="1">IF(AND(N64=0, COUNTIFS($E$1:E64,E64)=1), E64,
IF(COUNTIF(F64,"*雙葉*"),E64,""))</f>
        <v/>
      </c>
      <c r="Q64" s="57" t="str">
        <f ca="1">IF(AND('盛付札（関数）'!AX14&lt;&gt;0,COUNTIF($Q$1:$Q$50,'盛付札（関数）'!AW14)=0),'盛付札（関数）'!AW14,"")</f>
        <v/>
      </c>
      <c r="R64" s="57" t="str">
        <f ca="1">IF($Q64&lt;&gt;"",OFFSET(得意先マスタ!$A$1,MATCH(Q64,得意先マスタ!A:A,0)-1,1),"")</f>
        <v/>
      </c>
      <c r="S64" s="57" t="str">
        <f ca="1">IF($Q64&lt;&gt;"",OFFSET('盛付札（関数）'!$AF$1,MATCH(X64,'盛付札（関数）'!$AE$1:$AE$70,0)-1,1),"")</f>
        <v/>
      </c>
      <c r="T64" s="57" t="str">
        <f ca="1">IF($Q64&lt;&gt;"",OFFSET('盛付札（関数）'!$AF$1,MATCH(X64,'盛付札（関数）'!$AE$1:$AE$70,0)-1,4),"")</f>
        <v/>
      </c>
      <c r="U64" s="57" t="str">
        <f ca="1">IF($Q64&lt;&gt;"",OFFSET('盛付札（関数）'!$AF$1,MATCH(X64,'盛付札（関数）'!$AE$1:$AE$70,0)-1,5),"")</f>
        <v/>
      </c>
      <c r="V64" s="57" t="str">
        <f ca="1">IF($Q64&lt;&gt;"",OFFSET('盛付札（関数）'!$AF$1,MATCH(X64,'盛付札（関数）'!$AE$1:$AE$70,0)-1,9),"")</f>
        <v/>
      </c>
      <c r="W64" s="57" t="str">
        <f ca="1">IF($Q64&lt;&gt;"",OFFSET('盛付札（関数）'!$AF$1,MATCH(X64,'盛付札（関数）'!$AE$1:$AE$70,0)-1,6),"")</f>
        <v/>
      </c>
      <c r="X64" s="57" t="str">
        <f ca="1">IF(AND('盛付札（関数）'!AX14&lt;&gt;0,COUNTIF($Q$1:$Q$50,'盛付札（関数）'!AW14)=0),'盛付札（関数）'!AE14,"")</f>
        <v/>
      </c>
      <c r="Y64" t="str">
        <f ca="1">IF(Q64&lt;&gt;"",
IF(COUNTIF(S64,"*キャラ*"),
VLOOKUP("*キャラ*",商品マスタ!$D:$E,2,FALSE),
IF(COUNTIF(S64,"*赤*"),
VLOOKUP("*赤*",商品マスタ!$D:$E,2,FALSE),
VLOOKUP("*"&amp;S64&amp;"*",商品マスタ!$D:$E,2,FALSE))),"")</f>
        <v/>
      </c>
      <c r="Z64" t="str">
        <f t="shared" ca="1" si="13"/>
        <v/>
      </c>
      <c r="AA64" t="str">
        <f t="shared" ca="1" si="20"/>
        <v/>
      </c>
      <c r="AC64" t="str">
        <f t="shared" ca="1" si="21"/>
        <v/>
      </c>
      <c r="AD64" s="78" t="str">
        <f t="array" aca="1" ref="AD64" ca="1">IF(AND(IFERROR(COUNTIF(INDIRECT("R"&amp;IFERROR(SMALL(IF(AC$1:AC$140&lt;&gt;0,AC$1:AC$140),ROW(A64)),"")&amp;""),"*雙葉*"),0),COUNTIF(AE$1:AE63,"*雙葉*")),"",
IFERROR(SMALL(IF(AC$1:AC$140&lt;&gt;0,AC$1:AC$140),ROW(A64)),""))</f>
        <v/>
      </c>
      <c r="AE64" s="78" t="str">
        <f t="array" aca="1" ref="AE64" ca="1">IF($AD64&lt;&gt;"",INDIRECT("R"&amp;$AD64&amp;""),"")</f>
        <v/>
      </c>
      <c r="AF64" s="78" t="str">
        <f t="array" aca="1" ref="AF64" ca="1">IF($AD64&lt;&gt;"",
IF(INDIRECT("S"&amp;$AD64&amp;"")&lt;&gt;"",INDIRECT("S"&amp;$AD64&amp;""),""),"")</f>
        <v/>
      </c>
      <c r="AG64" s="78" t="str" cm="1">
        <f t="array" aca="1" ref="AG64" ca="1">IFERROR(IF($AD64&lt;&gt;"",INDIRECT("T"&amp;$AD64&amp;""),"")
+IF(COUNTIF(AE64,"*雙葉*"),
IFERROR(INDIRECT("T"&amp;MATCH("*雙葉*",INDIRECT("R"&amp;AD64+1&amp;":$R$140"),0)+ROW()&amp;""),0),0)
+IF(OR(COUNTIF(AO64,"*管理*"),COUNTIF(AO64,"予備")),
AQ64,0),"")</f>
        <v/>
      </c>
      <c r="AH64" s="78" t="str" cm="1">
        <f t="array" aca="1" ref="AH64" ca="1">IFERROR(IF($AD64&lt;&gt;"",INDIRECT("U"&amp;$AD64&amp;""),"")
+IF(COUNTIF(AE64,"*雙葉*"),
IFERROR(INDIRECT("U"&amp;MATCH("*雙葉*",INDIRECT("R"&amp;AD64+1&amp;":$R$140"),0)+ROW()&amp;""),0),0),"")</f>
        <v/>
      </c>
      <c r="AI64" s="78" t="str" cm="1">
        <f t="array" aca="1" ref="AI64" ca="1">IFERROR(IF($AD64&lt;&gt;"",INDIRECT("V"&amp;$AD64&amp;""),"")
+IF(COUNTIF(AE64,"*雙葉*"),
IFERROR(INDIRECT("V"&amp;MATCH("*雙葉*",INDIRECT("R"&amp;AD64+1&amp;":$R$140"),0)+ROW()&amp;""),0),0),"")</f>
        <v/>
      </c>
      <c r="AJ64" s="78" t="str">
        <f t="array" aca="1" ref="AJ64" ca="1">IF($AD64&lt;&gt;"",INDIRECT("W"&amp;$AD64&amp;""),"")</f>
        <v/>
      </c>
      <c r="AK64" s="78" t="str">
        <f t="array" aca="1" ref="AK64" ca="1">IF($AD64&lt;&gt;"",INDIRECT("Y"&amp;$AD64&amp;""),"")</f>
        <v/>
      </c>
      <c r="AL64" s="78" t="str">
        <f t="shared" ca="1" si="14"/>
        <v/>
      </c>
      <c r="AM64" s="78" t="str">
        <f t="shared" ca="1" si="23"/>
        <v/>
      </c>
      <c r="AN64" s="78" t="str">
        <f t="array" aca="1" ref="AN64" ca="1">IF($AD64&lt;&gt;"",INDIRECT("Q"&amp;$AD64&amp;""),"")</f>
        <v/>
      </c>
      <c r="AO64" s="78" t="str">
        <f ca="1">IFERROR(IF(AND(AN64&lt;&gt;"",VLOOKUP(AN64,得意先マスタ!$A$1:$Z$800,24,FALSE)&lt;&gt;0),
VLOOKUP(AN64,得意先マスタ!$A$1:$Z$800,24,FALSE),""),"")</f>
        <v/>
      </c>
      <c r="AP64" s="78" t="str">
        <f ca="1">IFERROR(IF(AND(AN64&lt;&gt;"",VLOOKUP(AN64,得意先マスタ!$A$1:$Z$800,25,FALSE)&lt;&gt;0),
VLOOKUP(AN64,得意先マスタ!$A$1:$Z$800,25,FALSE),""),"")</f>
        <v/>
      </c>
      <c r="AQ64" s="78" t="str">
        <f t="shared" ca="1" si="6"/>
        <v/>
      </c>
      <c r="AR64" s="78">
        <f t="shared" ca="1" si="18"/>
        <v>0</v>
      </c>
      <c r="AS64" s="78">
        <f t="shared" ca="1" si="17"/>
        <v>0</v>
      </c>
    </row>
    <row r="65" spans="16:45">
      <c r="P65" t="str">
        <f ca="1">IF(AND(N65=0, COUNTIFS($E$1:E65,E65)=1), E65,
IF(COUNTIF(F65,"*雙葉*"),E65,""))</f>
        <v/>
      </c>
      <c r="Q65" s="57" t="str">
        <f ca="1">IF(AND('盛付札（関数）'!AX15&lt;&gt;0,COUNTIF($Q$1:$Q$50,'盛付札（関数）'!AW15)=0),'盛付札（関数）'!AW15,"")</f>
        <v/>
      </c>
      <c r="R65" s="57" t="str">
        <f ca="1">IF($Q65&lt;&gt;"",OFFSET(得意先マスタ!$A$1,MATCH(Q65,得意先マスタ!A:A,0)-1,1),"")</f>
        <v/>
      </c>
      <c r="S65" s="57" t="str">
        <f ca="1">IF($Q65&lt;&gt;"",OFFSET('盛付札（関数）'!$AF$1,MATCH(X65,'盛付札（関数）'!$AE$1:$AE$70,0)-1,1),"")</f>
        <v/>
      </c>
      <c r="T65" s="57" t="str">
        <f ca="1">IF($Q65&lt;&gt;"",OFFSET('盛付札（関数）'!$AF$1,MATCH(X65,'盛付札（関数）'!$AE$1:$AE$70,0)-1,4),"")</f>
        <v/>
      </c>
      <c r="U65" s="57" t="str">
        <f ca="1">IF($Q65&lt;&gt;"",OFFSET('盛付札（関数）'!$AF$1,MATCH(X65,'盛付札（関数）'!$AE$1:$AE$70,0)-1,5),"")</f>
        <v/>
      </c>
      <c r="V65" s="57" t="str">
        <f ca="1">IF($Q65&lt;&gt;"",OFFSET('盛付札（関数）'!$AF$1,MATCH(X65,'盛付札（関数）'!$AE$1:$AE$70,0)-1,9),"")</f>
        <v/>
      </c>
      <c r="W65" s="57" t="str">
        <f ca="1">IF($Q65&lt;&gt;"",OFFSET('盛付札（関数）'!$AF$1,MATCH(X65,'盛付札（関数）'!$AE$1:$AE$70,0)-1,6),"")</f>
        <v/>
      </c>
      <c r="X65" s="57" t="str">
        <f ca="1">IF(AND('盛付札（関数）'!AX15&lt;&gt;0,COUNTIF($Q$1:$Q$50,'盛付札（関数）'!AW15)=0),'盛付札（関数）'!AE15,"")</f>
        <v/>
      </c>
      <c r="Y65" t="str">
        <f ca="1">IF(Q65&lt;&gt;"",
IF(COUNTIF(S65,"*キャラ*"),
VLOOKUP("*キャラ*",商品マスタ!$D:$E,2,FALSE),
IF(COUNTIF(S65,"*赤*"),
VLOOKUP("*赤*",商品マスタ!$D:$E,2,FALSE),
VLOOKUP("*"&amp;S65&amp;"*",商品マスタ!$D:$E,2,FALSE))),"")</f>
        <v/>
      </c>
      <c r="Z65" t="str">
        <f t="shared" ca="1" si="13"/>
        <v/>
      </c>
      <c r="AA65" t="str">
        <f t="shared" ref="AA65:AA96" ca="1" si="25">IF(Z65&lt;&gt;"",
IF(VALUE(T65-V65)&gt;VALUE(Y65*Z65),
"+"&amp;(T65-V65)-Y65*Z65,
(T65-V65)-Y65*Z65),"")</f>
        <v/>
      </c>
      <c r="AC65" t="str">
        <f t="shared" ref="AC65:AC96" ca="1" si="26">IF(R65&lt;&gt;"",ROW(),"")</f>
        <v/>
      </c>
      <c r="AD65" s="78" t="str">
        <f t="array" aca="1" ref="AD65" ca="1">IF(AND(IFERROR(COUNTIF(INDIRECT("R"&amp;IFERROR(SMALL(IF(AC$1:AC$140&lt;&gt;0,AC$1:AC$140),ROW(A65)),"")&amp;""),"*雙葉*"),0),COUNTIF(AE$1:AE64,"*雙葉*")),"",
IFERROR(SMALL(IF(AC$1:AC$140&lt;&gt;0,AC$1:AC$140),ROW(A65)),""))</f>
        <v/>
      </c>
      <c r="AE65" s="78" t="str">
        <f t="array" aca="1" ref="AE65" ca="1">IF($AD65&lt;&gt;"",INDIRECT("R"&amp;$AD65&amp;""),"")</f>
        <v/>
      </c>
      <c r="AF65" s="78" t="str">
        <f t="array" aca="1" ref="AF65" ca="1">IF($AD65&lt;&gt;"",
IF(INDIRECT("S"&amp;$AD65&amp;"")&lt;&gt;"",INDIRECT("S"&amp;$AD65&amp;""),""),"")</f>
        <v/>
      </c>
      <c r="AG65" s="78" t="str" cm="1">
        <f t="array" aca="1" ref="AG65" ca="1">IFERROR(IF($AD65&lt;&gt;"",INDIRECT("T"&amp;$AD65&amp;""),"")
+IF(COUNTIF(AE65,"*雙葉*"),
IFERROR(INDIRECT("T"&amp;MATCH("*雙葉*",INDIRECT("R"&amp;AD65+1&amp;":$R$140"),0)+ROW()&amp;""),0),0)
+IF(OR(COUNTIF(AO65,"*管理*"),COUNTIF(AO65,"予備")),
AQ65,0),"")</f>
        <v/>
      </c>
      <c r="AH65" s="78" t="str" cm="1">
        <f t="array" aca="1" ref="AH65" ca="1">IFERROR(IF($AD65&lt;&gt;"",INDIRECT("U"&amp;$AD65&amp;""),"")
+IF(COUNTIF(AE65,"*雙葉*"),
IFERROR(INDIRECT("U"&amp;MATCH("*雙葉*",INDIRECT("R"&amp;AD65+1&amp;":$R$140"),0)+ROW()&amp;""),0),0),"")</f>
        <v/>
      </c>
      <c r="AI65" s="78" t="str" cm="1">
        <f t="array" aca="1" ref="AI65" ca="1">IFERROR(IF($AD65&lt;&gt;"",INDIRECT("V"&amp;$AD65&amp;""),"")
+IF(COUNTIF(AE65,"*雙葉*"),
IFERROR(INDIRECT("V"&amp;MATCH("*雙葉*",INDIRECT("R"&amp;AD65+1&amp;":$R$140"),0)+ROW()&amp;""),0),0),"")</f>
        <v/>
      </c>
      <c r="AJ65" s="78" t="str">
        <f t="array" aca="1" ref="AJ65" ca="1">IF($AD65&lt;&gt;"",INDIRECT("W"&amp;$AD65&amp;""),"")</f>
        <v/>
      </c>
      <c r="AK65" s="78" t="str">
        <f t="array" aca="1" ref="AK65" ca="1">IF($AD65&lt;&gt;"",INDIRECT("Y"&amp;$AD65&amp;""),"")</f>
        <v/>
      </c>
      <c r="AL65" s="78" t="str">
        <f t="shared" ca="1" si="14"/>
        <v/>
      </c>
      <c r="AM65" s="78" t="str">
        <f t="shared" ca="1" si="23"/>
        <v/>
      </c>
      <c r="AN65" s="78" t="str">
        <f t="array" aca="1" ref="AN65" ca="1">IF($AD65&lt;&gt;"",INDIRECT("Q"&amp;$AD65&amp;""),"")</f>
        <v/>
      </c>
      <c r="AO65" s="78" t="str">
        <f ca="1">IFERROR(IF(AND(AN65&lt;&gt;"",VLOOKUP(AN65,得意先マスタ!$A$1:$Z$800,24,FALSE)&lt;&gt;0),
VLOOKUP(AN65,得意先マスタ!$A$1:$Z$800,24,FALSE),""),"")</f>
        <v/>
      </c>
      <c r="AP65" s="78" t="str">
        <f ca="1">IFERROR(IF(AND(AN65&lt;&gt;"",VLOOKUP(AN65,得意先マスタ!$A$1:$Z$800,25,FALSE)&lt;&gt;0),
VLOOKUP(AN65,得意先マスタ!$A$1:$Z$800,25,FALSE),""),"")</f>
        <v/>
      </c>
      <c r="AQ65" s="78" t="str">
        <f t="shared" ref="AQ65:AQ100" ca="1" si="27">IF(AP65&lt;&gt;0,
IF(COUNTIF(AP65,"*.*"),LEFT(AP65, FIND(".", AP65) - 1),AP65),0)</f>
        <v/>
      </c>
      <c r="AR65" s="78">
        <f t="shared" ca="1" si="18"/>
        <v>0</v>
      </c>
      <c r="AS65" s="78">
        <f t="shared" ca="1" si="17"/>
        <v>0</v>
      </c>
    </row>
    <row r="66" spans="16:45">
      <c r="P66" t="str">
        <f ca="1">IF(AND(N66=0, COUNTIFS($E$1:E66,E66)=1), E66,
IF(COUNTIF(F66,"*雙葉*"),E66,""))</f>
        <v/>
      </c>
      <c r="Q66" s="57" t="str">
        <f ca="1">IF(AND('盛付札（関数）'!AX16&lt;&gt;0,COUNTIF($Q$1:$Q$50,'盛付札（関数）'!AW16)=0),'盛付札（関数）'!AW16,"")</f>
        <v/>
      </c>
      <c r="R66" s="57" t="str">
        <f ca="1">IF($Q66&lt;&gt;"",OFFSET(得意先マスタ!$A$1,MATCH(Q66,得意先マスタ!A:A,0)-1,1),"")</f>
        <v/>
      </c>
      <c r="S66" s="57" t="str">
        <f ca="1">IF($Q66&lt;&gt;"",OFFSET('盛付札（関数）'!$AF$1,MATCH(X66,'盛付札（関数）'!$AE$1:$AE$70,0)-1,1),"")</f>
        <v/>
      </c>
      <c r="T66" s="57" t="str">
        <f ca="1">IF($Q66&lt;&gt;"",OFFSET('盛付札（関数）'!$AF$1,MATCH(X66,'盛付札（関数）'!$AE$1:$AE$70,0)-1,4),"")</f>
        <v/>
      </c>
      <c r="U66" s="57" t="str">
        <f ca="1">IF($Q66&lt;&gt;"",OFFSET('盛付札（関数）'!$AF$1,MATCH(X66,'盛付札（関数）'!$AE$1:$AE$70,0)-1,5),"")</f>
        <v/>
      </c>
      <c r="V66" s="57" t="str">
        <f ca="1">IF($Q66&lt;&gt;"",OFFSET('盛付札（関数）'!$AF$1,MATCH(X66,'盛付札（関数）'!$AE$1:$AE$70,0)-1,9),"")</f>
        <v/>
      </c>
      <c r="W66" s="57" t="str">
        <f ca="1">IF($Q66&lt;&gt;"",OFFSET('盛付札（関数）'!$AF$1,MATCH(X66,'盛付札（関数）'!$AE$1:$AE$70,0)-1,6),"")</f>
        <v/>
      </c>
      <c r="X66" s="57" t="str">
        <f ca="1">IF(AND('盛付札（関数）'!AX16&lt;&gt;0,COUNTIF($Q$1:$Q$50,'盛付札（関数）'!AW16)=0),'盛付札（関数）'!AE16,"")</f>
        <v/>
      </c>
      <c r="Y66" t="str">
        <f ca="1">IF(Q66&lt;&gt;"",
IF(COUNTIF(S66,"*キャラ*"),
VLOOKUP("*キャラ*",商品マスタ!$D:$E,2,FALSE),
IF(COUNTIF(S66,"*赤*"),
VLOOKUP("*赤*",商品マスタ!$D:$E,2,FALSE),
VLOOKUP("*"&amp;S66&amp;"*",商品マスタ!$D:$E,2,FALSE))),"")</f>
        <v/>
      </c>
      <c r="Z66" t="str">
        <f t="shared" ca="1" si="13"/>
        <v/>
      </c>
      <c r="AA66" t="str">
        <f t="shared" ca="1" si="25"/>
        <v/>
      </c>
      <c r="AC66" t="str">
        <f t="shared" ca="1" si="26"/>
        <v/>
      </c>
      <c r="AD66" s="78" t="str">
        <f t="array" aca="1" ref="AD66" ca="1">IF(AND(IFERROR(COUNTIF(INDIRECT("R"&amp;IFERROR(SMALL(IF(AC$1:AC$140&lt;&gt;0,AC$1:AC$140),ROW(A66)),"")&amp;""),"*雙葉*"),0),COUNTIF(AE$1:AE65,"*雙葉*")),"",
IFERROR(SMALL(IF(AC$1:AC$140&lt;&gt;0,AC$1:AC$140),ROW(A66)),""))</f>
        <v/>
      </c>
      <c r="AE66" s="78" t="str">
        <f t="array" aca="1" ref="AE66" ca="1">IF($AD66&lt;&gt;"",INDIRECT("R"&amp;$AD66&amp;""),"")</f>
        <v/>
      </c>
      <c r="AF66" s="78" t="str">
        <f t="array" aca="1" ref="AF66" ca="1">IF($AD66&lt;&gt;"",
IF(INDIRECT("S"&amp;$AD66&amp;"")&lt;&gt;"",INDIRECT("S"&amp;$AD66&amp;""),""),"")</f>
        <v/>
      </c>
      <c r="AG66" s="78" t="str" cm="1">
        <f t="array" aca="1" ref="AG66" ca="1">IFERROR(IF($AD66&lt;&gt;"",INDIRECT("T"&amp;$AD66&amp;""),"")
+IF(COUNTIF(AE66,"*雙葉*"),
IFERROR(INDIRECT("T"&amp;MATCH("*雙葉*",INDIRECT("R"&amp;AD66+1&amp;":$R$140"),0)+ROW()&amp;""),0),0)
+IF(OR(COUNTIF(AO66,"*管理*"),COUNTIF(AO66,"予備")),
AQ66,0),"")</f>
        <v/>
      </c>
      <c r="AH66" s="78" t="str" cm="1">
        <f t="array" aca="1" ref="AH66" ca="1">IFERROR(IF($AD66&lt;&gt;"",INDIRECT("U"&amp;$AD66&amp;""),"")
+IF(COUNTIF(AE66,"*雙葉*"),
IFERROR(INDIRECT("U"&amp;MATCH("*雙葉*",INDIRECT("R"&amp;AD66+1&amp;":$R$140"),0)+ROW()&amp;""),0),0),"")</f>
        <v/>
      </c>
      <c r="AI66" s="78" t="str" cm="1">
        <f t="array" aca="1" ref="AI66" ca="1">IFERROR(IF($AD66&lt;&gt;"",INDIRECT("V"&amp;$AD66&amp;""),"")
+IF(COUNTIF(AE66,"*雙葉*"),
IFERROR(INDIRECT("V"&amp;MATCH("*雙葉*",INDIRECT("R"&amp;AD66+1&amp;":$R$140"),0)+ROW()&amp;""),0),0),"")</f>
        <v/>
      </c>
      <c r="AJ66" s="78" t="str">
        <f t="array" aca="1" ref="AJ66" ca="1">IF($AD66&lt;&gt;"",INDIRECT("W"&amp;$AD66&amp;""),"")</f>
        <v/>
      </c>
      <c r="AK66" s="78" t="str">
        <f t="array" aca="1" ref="AK66" ca="1">IF($AD66&lt;&gt;"",INDIRECT("Y"&amp;$AD66&amp;""),"")</f>
        <v/>
      </c>
      <c r="AL66" s="78" t="str">
        <f t="shared" ca="1" si="14"/>
        <v/>
      </c>
      <c r="AM66" s="78" t="str">
        <f t="shared" ref="AM66:AM97" ca="1" si="28">IF(AL66&lt;&gt;"",
IF(VALUE(AG66-AI66)&gt;VALUE(AK66*AL66),
"+"&amp;(AG66-AI66)-AK66*AL66,
(AG66-AI66)-AK66*AL66),"")</f>
        <v/>
      </c>
      <c r="AN66" s="78" t="str">
        <f t="array" aca="1" ref="AN66" ca="1">IF($AD66&lt;&gt;"",INDIRECT("Q"&amp;$AD66&amp;""),"")</f>
        <v/>
      </c>
      <c r="AO66" s="78" t="str">
        <f ca="1">IFERROR(IF(AND(AN66&lt;&gt;"",VLOOKUP(AN66,得意先マスタ!$A$1:$Z$800,24,FALSE)&lt;&gt;0),
VLOOKUP(AN66,得意先マスタ!$A$1:$Z$800,24,FALSE),""),"")</f>
        <v/>
      </c>
      <c r="AP66" s="78" t="str">
        <f ca="1">IFERROR(IF(AND(AN66&lt;&gt;"",VLOOKUP(AN66,得意先マスタ!$A$1:$Z$800,25,FALSE)&lt;&gt;0),
VLOOKUP(AN66,得意先マスタ!$A$1:$Z$800,25,FALSE),""),"")</f>
        <v/>
      </c>
      <c r="AQ66" s="78" t="str">
        <f t="shared" ca="1" si="27"/>
        <v/>
      </c>
      <c r="AR66" s="78">
        <f t="shared" ca="1" si="18"/>
        <v>0</v>
      </c>
      <c r="AS66" s="78">
        <f t="shared" ca="1" si="17"/>
        <v>0</v>
      </c>
    </row>
    <row r="67" spans="16:45">
      <c r="P67" t="str">
        <f ca="1">IF(AND(N67=0, COUNTIFS($E$1:E67,E67)=1), E67,
IF(COUNTIF(F67,"*雙葉*"),E67,""))</f>
        <v/>
      </c>
      <c r="Q67" s="57" t="str">
        <f ca="1">IF(AND('盛付札（関数）'!AX17&lt;&gt;0,COUNTIF($Q$1:$Q$50,'盛付札（関数）'!AW17)=0),'盛付札（関数）'!AW17,"")</f>
        <v/>
      </c>
      <c r="R67" s="57" t="str">
        <f ca="1">IF($Q67&lt;&gt;"",OFFSET(得意先マスタ!$A$1,MATCH(Q67,得意先マスタ!A:A,0)-1,1),"")</f>
        <v/>
      </c>
      <c r="S67" s="57" t="str">
        <f ca="1">IF($Q67&lt;&gt;"",OFFSET('盛付札（関数）'!$AF$1,MATCH(X67,'盛付札（関数）'!$AE$1:$AE$70,0)-1,1),"")</f>
        <v/>
      </c>
      <c r="T67" s="57" t="str">
        <f ca="1">IF($Q67&lt;&gt;"",OFFSET('盛付札（関数）'!$AF$1,MATCH(X67,'盛付札（関数）'!$AE$1:$AE$70,0)-1,4),"")</f>
        <v/>
      </c>
      <c r="U67" s="57" t="str">
        <f ca="1">IF($Q67&lt;&gt;"",OFFSET('盛付札（関数）'!$AF$1,MATCH(X67,'盛付札（関数）'!$AE$1:$AE$70,0)-1,5),"")</f>
        <v/>
      </c>
      <c r="V67" s="57" t="str">
        <f ca="1">IF($Q67&lt;&gt;"",OFFSET('盛付札（関数）'!$AF$1,MATCH(X67,'盛付札（関数）'!$AE$1:$AE$70,0)-1,9),"")</f>
        <v/>
      </c>
      <c r="W67" s="57" t="str">
        <f ca="1">IF($Q67&lt;&gt;"",OFFSET('盛付札（関数）'!$AF$1,MATCH(X67,'盛付札（関数）'!$AE$1:$AE$70,0)-1,6),"")</f>
        <v/>
      </c>
      <c r="X67" s="57" t="str">
        <f ca="1">IF(AND('盛付札（関数）'!AX17&lt;&gt;0,COUNTIF($Q$1:$Q$50,'盛付札（関数）'!AW17)=0),'盛付札（関数）'!AE17,"")</f>
        <v/>
      </c>
      <c r="Y67" t="str">
        <f ca="1">IF(Q67&lt;&gt;"",
IF(COUNTIF(S67,"*キャラ*"),
VLOOKUP("*キャラ*",商品マスタ!$D:$E,2,FALSE),
IF(COUNTIF(S67,"*赤*"),
VLOOKUP("*赤*",商品マスタ!$D:$E,2,FALSE),
VLOOKUP("*"&amp;S67&amp;"*",商品マスタ!$D:$E,2,FALSE))),"")</f>
        <v/>
      </c>
      <c r="Z67" t="str">
        <f t="shared" ca="1" si="13"/>
        <v/>
      </c>
      <c r="AA67" t="str">
        <f t="shared" ca="1" si="25"/>
        <v/>
      </c>
      <c r="AC67" t="str">
        <f t="shared" ca="1" si="26"/>
        <v/>
      </c>
      <c r="AD67" s="78" t="str">
        <f t="array" aca="1" ref="AD67" ca="1">IF(AND(IFERROR(COUNTIF(INDIRECT("R"&amp;IFERROR(SMALL(IF(AC$1:AC$140&lt;&gt;0,AC$1:AC$140),ROW(A67)),"")&amp;""),"*雙葉*"),0),COUNTIF(AE$1:AE66,"*雙葉*")),"",
IFERROR(SMALL(IF(AC$1:AC$140&lt;&gt;0,AC$1:AC$140),ROW(A67)),""))</f>
        <v/>
      </c>
      <c r="AE67" s="78" t="str">
        <f t="array" aca="1" ref="AE67" ca="1">IF($AD67&lt;&gt;"",INDIRECT("R"&amp;$AD67&amp;""),"")</f>
        <v/>
      </c>
      <c r="AF67" s="78" t="str">
        <f t="array" aca="1" ref="AF67" ca="1">IF($AD67&lt;&gt;"",
IF(INDIRECT("S"&amp;$AD67&amp;"")&lt;&gt;"",INDIRECT("S"&amp;$AD67&amp;""),""),"")</f>
        <v/>
      </c>
      <c r="AG67" s="78" t="str" cm="1">
        <f t="array" aca="1" ref="AG67" ca="1">IFERROR(IF($AD67&lt;&gt;"",INDIRECT("T"&amp;$AD67&amp;""),"")
+IF(COUNTIF(AE67,"*雙葉*"),
IFERROR(INDIRECT("T"&amp;MATCH("*雙葉*",INDIRECT("R"&amp;AD67+1&amp;":$R$140"),0)+ROW()&amp;""),0),0)
+IF(OR(COUNTIF(AO67,"*管理*"),COUNTIF(AO67,"予備")),
AQ67,0),"")</f>
        <v/>
      </c>
      <c r="AH67" s="78" t="str" cm="1">
        <f t="array" aca="1" ref="AH67" ca="1">IFERROR(IF($AD67&lt;&gt;"",INDIRECT("U"&amp;$AD67&amp;""),"")
+IF(COUNTIF(AE67,"*雙葉*"),
IFERROR(INDIRECT("U"&amp;MATCH("*雙葉*",INDIRECT("R"&amp;AD67+1&amp;":$R$140"),0)+ROW()&amp;""),0),0),"")</f>
        <v/>
      </c>
      <c r="AI67" s="78" t="str" cm="1">
        <f t="array" aca="1" ref="AI67" ca="1">IFERROR(IF($AD67&lt;&gt;"",INDIRECT("V"&amp;$AD67&amp;""),"")
+IF(COUNTIF(AE67,"*雙葉*"),
IFERROR(INDIRECT("V"&amp;MATCH("*雙葉*",INDIRECT("R"&amp;AD67+1&amp;":$R$140"),0)+ROW()&amp;""),0),0),"")</f>
        <v/>
      </c>
      <c r="AJ67" s="78" t="str">
        <f t="array" aca="1" ref="AJ67" ca="1">IF($AD67&lt;&gt;"",INDIRECT("W"&amp;$AD67&amp;""),"")</f>
        <v/>
      </c>
      <c r="AK67" s="78" t="str">
        <f t="array" aca="1" ref="AK67" ca="1">IF($AD67&lt;&gt;"",INDIRECT("Y"&amp;$AD67&amp;""),"")</f>
        <v/>
      </c>
      <c r="AL67" s="78" t="str">
        <f t="shared" ca="1" si="14"/>
        <v/>
      </c>
      <c r="AM67" s="78" t="str">
        <f t="shared" ca="1" si="28"/>
        <v/>
      </c>
      <c r="AN67" s="78" t="str">
        <f t="array" aca="1" ref="AN67" ca="1">IF($AD67&lt;&gt;"",INDIRECT("Q"&amp;$AD67&amp;""),"")</f>
        <v/>
      </c>
      <c r="AO67" s="78" t="str">
        <f ca="1">IFERROR(IF(AND(AN67&lt;&gt;"",VLOOKUP(AN67,得意先マスタ!$A$1:$Z$800,24,FALSE)&lt;&gt;0),
VLOOKUP(AN67,得意先マスタ!$A$1:$Z$800,24,FALSE),""),"")</f>
        <v/>
      </c>
      <c r="AP67" s="78" t="str">
        <f ca="1">IFERROR(IF(AND(AN67&lt;&gt;"",VLOOKUP(AN67,得意先マスタ!$A$1:$Z$800,25,FALSE)&lt;&gt;0),
VLOOKUP(AN67,得意先マスタ!$A$1:$Z$800,25,FALSE),""),"")</f>
        <v/>
      </c>
      <c r="AQ67" s="78" t="str">
        <f t="shared" ca="1" si="27"/>
        <v/>
      </c>
      <c r="AR67" s="78">
        <f t="shared" ca="1" si="18"/>
        <v>0</v>
      </c>
      <c r="AS67" s="78">
        <f t="shared" ca="1" si="17"/>
        <v>0</v>
      </c>
    </row>
    <row r="68" spans="16:45">
      <c r="P68" t="str">
        <f ca="1">IF(AND(N68=0, COUNTIFS($E$1:E68,E68)=1), E68,
IF(COUNTIF(F68,"*雙葉*"),E68,""))</f>
        <v/>
      </c>
      <c r="Q68" s="57" t="str">
        <f ca="1">IF(AND('盛付札（関数）'!AX18&lt;&gt;0,COUNTIF($Q$1:$Q$50,'盛付札（関数）'!AW18)=0),'盛付札（関数）'!AW18,"")</f>
        <v/>
      </c>
      <c r="R68" s="57" t="str">
        <f ca="1">IF($Q68&lt;&gt;"",OFFSET(得意先マスタ!$A$1,MATCH(Q68,得意先マスタ!A:A,0)-1,1),"")</f>
        <v/>
      </c>
      <c r="S68" s="57" t="str">
        <f ca="1">IF($Q68&lt;&gt;"",OFFSET('盛付札（関数）'!$AF$1,MATCH(X68,'盛付札（関数）'!$AE$1:$AE$70,0)-1,1),"")</f>
        <v/>
      </c>
      <c r="T68" s="57" t="str">
        <f ca="1">IF($Q68&lt;&gt;"",OFFSET('盛付札（関数）'!$AF$1,MATCH(X68,'盛付札（関数）'!$AE$1:$AE$70,0)-1,4),"")</f>
        <v/>
      </c>
      <c r="U68" s="57" t="str">
        <f ca="1">IF($Q68&lt;&gt;"",OFFSET('盛付札（関数）'!$AF$1,MATCH(X68,'盛付札（関数）'!$AE$1:$AE$70,0)-1,5),"")</f>
        <v/>
      </c>
      <c r="V68" s="57" t="str">
        <f ca="1">IF($Q68&lt;&gt;"",OFFSET('盛付札（関数）'!$AF$1,MATCH(X68,'盛付札（関数）'!$AE$1:$AE$70,0)-1,9),"")</f>
        <v/>
      </c>
      <c r="W68" s="57" t="str">
        <f ca="1">IF($Q68&lt;&gt;"",OFFSET('盛付札（関数）'!$AF$1,MATCH(X68,'盛付札（関数）'!$AE$1:$AE$70,0)-1,6),"")</f>
        <v/>
      </c>
      <c r="X68" s="57" t="str">
        <f ca="1">IF(AND('盛付札（関数）'!AX18&lt;&gt;0,COUNTIF($Q$1:$Q$50,'盛付札（関数）'!AW18)=0),'盛付札（関数）'!AE18,"")</f>
        <v/>
      </c>
      <c r="Y68" t="str">
        <f ca="1">IF(Q68&lt;&gt;"",
IF(COUNTIF(S68,"*キャラ*"),
VLOOKUP("*キャラ*",商品マスタ!$D:$E,2,FALSE),
IF(COUNTIF(S68,"*赤*"),
VLOOKUP("*赤*",商品マスタ!$D:$E,2,FALSE),
VLOOKUP("*"&amp;S68&amp;"*",商品マスタ!$D:$E,2,FALSE))),"")</f>
        <v/>
      </c>
      <c r="Z68" t="str">
        <f t="shared" ref="Z68:Z131" ca="1" si="29">IF(Q68&lt;&gt;"",
IF(OR(COUNTIF(R68,"*雙葉*"),COUNTIF(R68,"*香蘭*")),
IF(ROUND((T68-V68)/Y68,0)&lt;=0,1,
ROUND((T68-V68)/Y68,0)),
IF(OR(COUNTIF(S68,"*キャラ*"),COUNTIF(S68,"*赤*")),"",
IF(Y68=0,"",
IF(ROUND((T68-V68)/Y68,0)&lt;=0,1,
ROUND((T68-V68)/Y68,0))))),"")</f>
        <v/>
      </c>
      <c r="AA68" t="str">
        <f t="shared" ca="1" si="25"/>
        <v/>
      </c>
      <c r="AC68" t="str">
        <f t="shared" ca="1" si="26"/>
        <v/>
      </c>
      <c r="AD68" s="78" t="str">
        <f t="array" aca="1" ref="AD68" ca="1">IF(AND(IFERROR(COUNTIF(INDIRECT("R"&amp;IFERROR(SMALL(IF(AC$1:AC$140&lt;&gt;0,AC$1:AC$140),ROW(A68)),"")&amp;""),"*雙葉*"),0),COUNTIF(AE$1:AE67,"*雙葉*")),"",
IFERROR(SMALL(IF(AC$1:AC$140&lt;&gt;0,AC$1:AC$140),ROW(A68)),""))</f>
        <v/>
      </c>
      <c r="AE68" s="78" t="str">
        <f t="array" aca="1" ref="AE68" ca="1">IF($AD68&lt;&gt;"",INDIRECT("R"&amp;$AD68&amp;""),"")</f>
        <v/>
      </c>
      <c r="AF68" s="78" t="str">
        <f t="array" aca="1" ref="AF68" ca="1">IF($AD68&lt;&gt;"",
IF(INDIRECT("S"&amp;$AD68&amp;"")&lt;&gt;"",INDIRECT("S"&amp;$AD68&amp;""),""),"")</f>
        <v/>
      </c>
      <c r="AG68" s="78" t="str" cm="1">
        <f t="array" aca="1" ref="AG68" ca="1">IFERROR(IF($AD68&lt;&gt;"",INDIRECT("T"&amp;$AD68&amp;""),"")
+IF(COUNTIF(AE68,"*雙葉*"),
IFERROR(INDIRECT("T"&amp;MATCH("*雙葉*",INDIRECT("R"&amp;AD68+1&amp;":$R$140"),0)+ROW()&amp;""),0),0)
+IF(OR(COUNTIF(AO68,"*管理*"),COUNTIF(AO68,"予備")),
AQ68,0),"")</f>
        <v/>
      </c>
      <c r="AH68" s="78" t="str" cm="1">
        <f t="array" aca="1" ref="AH68" ca="1">IFERROR(IF($AD68&lt;&gt;"",INDIRECT("U"&amp;$AD68&amp;""),"")
+IF(COUNTIF(AE68,"*雙葉*"),
IFERROR(INDIRECT("U"&amp;MATCH("*雙葉*",INDIRECT("R"&amp;AD68+1&amp;":$R$140"),0)+ROW()&amp;""),0),0),"")</f>
        <v/>
      </c>
      <c r="AI68" s="78" t="str" cm="1">
        <f t="array" aca="1" ref="AI68" ca="1">IFERROR(IF($AD68&lt;&gt;"",INDIRECT("V"&amp;$AD68&amp;""),"")
+IF(COUNTIF(AE68,"*雙葉*"),
IFERROR(INDIRECT("V"&amp;MATCH("*雙葉*",INDIRECT("R"&amp;AD68+1&amp;":$R$140"),0)+ROW()&amp;""),0),0),"")</f>
        <v/>
      </c>
      <c r="AJ68" s="78" t="str">
        <f t="array" aca="1" ref="AJ68" ca="1">IF($AD68&lt;&gt;"",INDIRECT("W"&amp;$AD68&amp;""),"")</f>
        <v/>
      </c>
      <c r="AK68" s="78" t="str">
        <f t="array" aca="1" ref="AK68" ca="1">IF($AD68&lt;&gt;"",INDIRECT("Y"&amp;$AD68&amp;""),"")</f>
        <v/>
      </c>
      <c r="AL68" s="78" t="str">
        <f t="shared" ca="1" si="14"/>
        <v/>
      </c>
      <c r="AM68" s="78" t="str">
        <f t="shared" ca="1" si="28"/>
        <v/>
      </c>
      <c r="AN68" s="78" t="str">
        <f t="array" aca="1" ref="AN68" ca="1">IF($AD68&lt;&gt;"",INDIRECT("Q"&amp;$AD68&amp;""),"")</f>
        <v/>
      </c>
      <c r="AO68" s="78" t="str">
        <f ca="1">IFERROR(IF(AND(AN68&lt;&gt;"",VLOOKUP(AN68,得意先マスタ!$A$1:$Z$800,24,FALSE)&lt;&gt;0),
VLOOKUP(AN68,得意先マスタ!$A$1:$Z$800,24,FALSE),""),"")</f>
        <v/>
      </c>
      <c r="AP68" s="78" t="str">
        <f ca="1">IFERROR(IF(AND(AN68&lt;&gt;"",VLOOKUP(AN68,得意先マスタ!$A$1:$Z$800,25,FALSE)&lt;&gt;0),
VLOOKUP(AN68,得意先マスタ!$A$1:$Z$800,25,FALSE),""),"")</f>
        <v/>
      </c>
      <c r="AQ68" s="78" t="str">
        <f t="shared" ca="1" si="27"/>
        <v/>
      </c>
      <c r="AR68" s="78">
        <f t="shared" ca="1" si="18"/>
        <v>0</v>
      </c>
      <c r="AS68" s="78">
        <f t="shared" ca="1" si="17"/>
        <v>0</v>
      </c>
    </row>
    <row r="69" spans="16:45">
      <c r="P69" t="str">
        <f ca="1">IF(AND(N69=0, COUNTIFS($E$1:E69,E69)=1), E69,
IF(COUNTIF(F69,"*雙葉*"),E69,""))</f>
        <v/>
      </c>
      <c r="Q69" s="57" t="str">
        <f ca="1">IF(AND('盛付札（関数）'!AX19&lt;&gt;0,COUNTIF($Q$1:$Q$50,'盛付札（関数）'!AW19)=0),'盛付札（関数）'!AW19,"")</f>
        <v/>
      </c>
      <c r="R69" s="57" t="str">
        <f ca="1">IF($Q69&lt;&gt;"",OFFSET(得意先マスタ!$A$1,MATCH(Q69,得意先マスタ!A:A,0)-1,1),"")</f>
        <v/>
      </c>
      <c r="S69" s="57" t="str">
        <f ca="1">IF($Q69&lt;&gt;"",OFFSET('盛付札（関数）'!$AF$1,MATCH(X69,'盛付札（関数）'!$AE$1:$AE$70,0)-1,1),"")</f>
        <v/>
      </c>
      <c r="T69" s="57" t="str">
        <f ca="1">IF($Q69&lt;&gt;"",OFFSET('盛付札（関数）'!$AF$1,MATCH(X69,'盛付札（関数）'!$AE$1:$AE$70,0)-1,4),"")</f>
        <v/>
      </c>
      <c r="U69" s="57" t="str">
        <f ca="1">IF($Q69&lt;&gt;"",OFFSET('盛付札（関数）'!$AF$1,MATCH(X69,'盛付札（関数）'!$AE$1:$AE$70,0)-1,5),"")</f>
        <v/>
      </c>
      <c r="V69" s="57" t="str">
        <f ca="1">IF($Q69&lt;&gt;"",OFFSET('盛付札（関数）'!$AF$1,MATCH(X69,'盛付札（関数）'!$AE$1:$AE$70,0)-1,9),"")</f>
        <v/>
      </c>
      <c r="W69" s="57" t="str">
        <f ca="1">IF($Q69&lt;&gt;"",OFFSET('盛付札（関数）'!$AF$1,MATCH(X69,'盛付札（関数）'!$AE$1:$AE$70,0)-1,6),"")</f>
        <v/>
      </c>
      <c r="X69" s="57" t="str">
        <f ca="1">IF(AND('盛付札（関数）'!AX19&lt;&gt;0,COUNTIF($Q$1:$Q$50,'盛付札（関数）'!AW19)=0),'盛付札（関数）'!AE19,"")</f>
        <v/>
      </c>
      <c r="Y69" t="str">
        <f ca="1">IF(Q69&lt;&gt;"",
IF(COUNTIF(S69,"*キャラ*"),
VLOOKUP("*キャラ*",商品マスタ!$D:$E,2,FALSE),
IF(COUNTIF(S69,"*赤*"),
VLOOKUP("*赤*",商品マスタ!$D:$E,2,FALSE),
VLOOKUP("*"&amp;S69&amp;"*",商品マスタ!$D:$E,2,FALSE))),"")</f>
        <v/>
      </c>
      <c r="Z69" t="str">
        <f t="shared" ca="1" si="29"/>
        <v/>
      </c>
      <c r="AA69" t="str">
        <f t="shared" ca="1" si="25"/>
        <v/>
      </c>
      <c r="AC69" t="str">
        <f t="shared" ca="1" si="26"/>
        <v/>
      </c>
      <c r="AD69" s="78" t="str">
        <f t="array" aca="1" ref="AD69" ca="1">IF(AND(IFERROR(COUNTIF(INDIRECT("R"&amp;IFERROR(SMALL(IF(AC$1:AC$140&lt;&gt;0,AC$1:AC$140),ROW(A69)),"")&amp;""),"*雙葉*"),0),COUNTIF(AE$1:AE68,"*雙葉*")),"",
IFERROR(SMALL(IF(AC$1:AC$140&lt;&gt;0,AC$1:AC$140),ROW(A69)),""))</f>
        <v/>
      </c>
      <c r="AE69" s="78" t="str">
        <f t="array" aca="1" ref="AE69" ca="1">IF($AD69&lt;&gt;"",INDIRECT("R"&amp;$AD69&amp;""),"")</f>
        <v/>
      </c>
      <c r="AF69" s="78" t="str">
        <f t="array" aca="1" ref="AF69" ca="1">IF($AD69&lt;&gt;"",
IF(INDIRECT("S"&amp;$AD69&amp;"")&lt;&gt;"",INDIRECT("S"&amp;$AD69&amp;""),""),"")</f>
        <v/>
      </c>
      <c r="AG69" s="78" t="str" cm="1">
        <f t="array" aca="1" ref="AG69" ca="1">IFERROR(IF($AD69&lt;&gt;"",INDIRECT("T"&amp;$AD69&amp;""),"")
+IF(COUNTIF(AE69,"*雙葉*"),
IFERROR(INDIRECT("T"&amp;MATCH("*雙葉*",INDIRECT("R"&amp;AD69+1&amp;":$R$140"),0)+ROW()&amp;""),0),0)
+IF(OR(COUNTIF(AO69,"*管理*"),COUNTIF(AO69,"予備")),
AQ69,0),"")</f>
        <v/>
      </c>
      <c r="AH69" s="78" t="str" cm="1">
        <f t="array" aca="1" ref="AH69" ca="1">IFERROR(IF($AD69&lt;&gt;"",INDIRECT("U"&amp;$AD69&amp;""),"")
+IF(COUNTIF(AE69,"*雙葉*"),
IFERROR(INDIRECT("U"&amp;MATCH("*雙葉*",INDIRECT("R"&amp;AD69+1&amp;":$R$140"),0)+ROW()&amp;""),0),0),"")</f>
        <v/>
      </c>
      <c r="AI69" s="78" t="str" cm="1">
        <f t="array" aca="1" ref="AI69" ca="1">IFERROR(IF($AD69&lt;&gt;"",INDIRECT("V"&amp;$AD69&amp;""),"")
+IF(COUNTIF(AE69,"*雙葉*"),
IFERROR(INDIRECT("V"&amp;MATCH("*雙葉*",INDIRECT("R"&amp;AD69+1&amp;":$R$140"),0)+ROW()&amp;""),0),0),"")</f>
        <v/>
      </c>
      <c r="AJ69" s="78" t="str">
        <f t="array" aca="1" ref="AJ69" ca="1">IF($AD69&lt;&gt;"",INDIRECT("W"&amp;$AD69&amp;""),"")</f>
        <v/>
      </c>
      <c r="AK69" s="78" t="str">
        <f t="array" aca="1" ref="AK69" ca="1">IF($AD69&lt;&gt;"",INDIRECT("Y"&amp;$AD69&amp;""),"")</f>
        <v/>
      </c>
      <c r="AL69" s="78" t="str">
        <f t="shared" ref="AL69:AL100" ca="1" si="30">IF(AD69&lt;&gt;"",
IFERROR(
IF(OR(COUNTIF(AE69,"*雙葉*"),COUNTIF(AE69,"*香蘭*")),
IF(ROUND((AG69-AI69)/AK69,0)&lt;=0,1,
ROUND((AG69-AI69)/AK69,0)),
IF(OR(COUNTIF(AF69,"*キャラ*"),COUNTIF(AF69,"*赤*")),"",
IF(AK69=0,"",
IF(ROUND((AG69-AI69)/AK69,0)&lt;=0,1,
ROUND((AG69-AI69)/AK69,0))))),""),"")</f>
        <v/>
      </c>
      <c r="AM69" s="78" t="str">
        <f t="shared" ca="1" si="28"/>
        <v/>
      </c>
      <c r="AN69" s="78" t="str">
        <f t="array" aca="1" ref="AN69" ca="1">IF($AD69&lt;&gt;"",INDIRECT("Q"&amp;$AD69&amp;""),"")</f>
        <v/>
      </c>
      <c r="AO69" s="78" t="str">
        <f ca="1">IFERROR(IF(AND(AN69&lt;&gt;"",VLOOKUP(AN69,得意先マスタ!$A$1:$Z$800,24,FALSE)&lt;&gt;0),
VLOOKUP(AN69,得意先マスタ!$A$1:$Z$800,24,FALSE),""),"")</f>
        <v/>
      </c>
      <c r="AP69" s="78" t="str">
        <f ca="1">IFERROR(IF(AND(AN69&lt;&gt;"",VLOOKUP(AN69,得意先マスタ!$A$1:$Z$800,25,FALSE)&lt;&gt;0),
VLOOKUP(AN69,得意先マスタ!$A$1:$Z$800,25,FALSE),""),"")</f>
        <v/>
      </c>
      <c r="AQ69" s="78" t="str">
        <f t="shared" ca="1" si="27"/>
        <v/>
      </c>
      <c r="AR69" s="78">
        <f t="shared" ca="1" si="18"/>
        <v>0</v>
      </c>
      <c r="AS69" s="78">
        <f t="shared" ca="1" si="17"/>
        <v>0</v>
      </c>
    </row>
    <row r="70" spans="16:45">
      <c r="P70" t="str">
        <f ca="1">IF(AND(N70=0, COUNTIFS($E$1:E70,E70)=1), E70,
IF(COUNTIF(F70,"*雙葉*"),E70,""))</f>
        <v/>
      </c>
      <c r="Q70" s="57" t="str">
        <f ca="1">IF(AND('盛付札（関数）'!AX20&lt;&gt;0,COUNTIF($Q$1:$Q$50,'盛付札（関数）'!AW20)=0),'盛付札（関数）'!AW20,"")</f>
        <v/>
      </c>
      <c r="R70" s="57" t="str">
        <f ca="1">IF($Q70&lt;&gt;"",OFFSET(得意先マスタ!$A$1,MATCH(Q70,得意先マスタ!A:A,0)-1,1),"")</f>
        <v/>
      </c>
      <c r="S70" s="57" t="str">
        <f ca="1">IF($Q70&lt;&gt;"",OFFSET('盛付札（関数）'!$AF$1,MATCH(X70,'盛付札（関数）'!$AE$1:$AE$70,0)-1,1),"")</f>
        <v/>
      </c>
      <c r="T70" s="57" t="str">
        <f ca="1">IF($Q70&lt;&gt;"",OFFSET('盛付札（関数）'!$AF$1,MATCH(X70,'盛付札（関数）'!$AE$1:$AE$70,0)-1,4),"")</f>
        <v/>
      </c>
      <c r="U70" s="57" t="str">
        <f ca="1">IF($Q70&lt;&gt;"",OFFSET('盛付札（関数）'!$AF$1,MATCH(X70,'盛付札（関数）'!$AE$1:$AE$70,0)-1,5),"")</f>
        <v/>
      </c>
      <c r="V70" s="57" t="str">
        <f ca="1">IF($Q70&lt;&gt;"",OFFSET('盛付札（関数）'!$AF$1,MATCH(X70,'盛付札（関数）'!$AE$1:$AE$70,0)-1,9),"")</f>
        <v/>
      </c>
      <c r="W70" s="57" t="str">
        <f ca="1">IF($Q70&lt;&gt;"",OFFSET('盛付札（関数）'!$AF$1,MATCH(X70,'盛付札（関数）'!$AE$1:$AE$70,0)-1,6),"")</f>
        <v/>
      </c>
      <c r="X70" s="57" t="str">
        <f ca="1">IF(AND('盛付札（関数）'!AX20&lt;&gt;0,COUNTIF($Q$1:$Q$50,'盛付札（関数）'!AW20)=0),'盛付札（関数）'!AE20,"")</f>
        <v/>
      </c>
      <c r="Y70" t="str">
        <f ca="1">IF(Q70&lt;&gt;"",
IF(COUNTIF(S70,"*キャラ*"),
VLOOKUP("*キャラ*",商品マスタ!$D:$E,2,FALSE),
IF(COUNTIF(S70,"*赤*"),
VLOOKUP("*赤*",商品マスタ!$D:$E,2,FALSE),
VLOOKUP("*"&amp;S70&amp;"*",商品マスタ!$D:$E,2,FALSE))),"")</f>
        <v/>
      </c>
      <c r="Z70" t="str">
        <f t="shared" ca="1" si="29"/>
        <v/>
      </c>
      <c r="AA70" t="str">
        <f t="shared" ca="1" si="25"/>
        <v/>
      </c>
      <c r="AC70" t="str">
        <f t="shared" ca="1" si="26"/>
        <v/>
      </c>
      <c r="AD70" s="78" t="str">
        <f t="array" aca="1" ref="AD70" ca="1">IF(AND(IFERROR(COUNTIF(INDIRECT("R"&amp;IFERROR(SMALL(IF(AC$1:AC$140&lt;&gt;0,AC$1:AC$140),ROW(A70)),"")&amp;""),"*雙葉*"),0),COUNTIF(AE$1:AE69,"*雙葉*")),"",
IFERROR(SMALL(IF(AC$1:AC$140&lt;&gt;0,AC$1:AC$140),ROW(A70)),""))</f>
        <v/>
      </c>
      <c r="AE70" s="78" t="str">
        <f t="array" aca="1" ref="AE70" ca="1">IF($AD70&lt;&gt;"",INDIRECT("R"&amp;$AD70&amp;""),"")</f>
        <v/>
      </c>
      <c r="AF70" s="78" t="str">
        <f t="array" aca="1" ref="AF70" ca="1">IF($AD70&lt;&gt;"",
IF(INDIRECT("S"&amp;$AD70&amp;"")&lt;&gt;"",INDIRECT("S"&amp;$AD70&amp;""),""),"")</f>
        <v/>
      </c>
      <c r="AG70" s="78" t="str" cm="1">
        <f t="array" aca="1" ref="AG70" ca="1">IFERROR(IF($AD70&lt;&gt;"",INDIRECT("T"&amp;$AD70&amp;""),"")
+IF(COUNTIF(AE70,"*雙葉*"),
IFERROR(INDIRECT("T"&amp;MATCH("*雙葉*",INDIRECT("R"&amp;AD70+1&amp;":$R$140"),0)+ROW()&amp;""),0),0)
+IF(OR(COUNTIF(AO70,"*管理*"),COUNTIF(AO70,"予備")),
AQ70,0),"")</f>
        <v/>
      </c>
      <c r="AH70" s="78" t="str" cm="1">
        <f t="array" aca="1" ref="AH70" ca="1">IFERROR(IF($AD70&lt;&gt;"",INDIRECT("U"&amp;$AD70&amp;""),"")
+IF(COUNTIF(AE70,"*雙葉*"),
IFERROR(INDIRECT("U"&amp;MATCH("*雙葉*",INDIRECT("R"&amp;AD70+1&amp;":$R$140"),0)+ROW()&amp;""),0),0),"")</f>
        <v/>
      </c>
      <c r="AI70" s="78" t="str" cm="1">
        <f t="array" aca="1" ref="AI70" ca="1">IFERROR(IF($AD70&lt;&gt;"",INDIRECT("V"&amp;$AD70&amp;""),"")
+IF(COUNTIF(AE70,"*雙葉*"),
IFERROR(INDIRECT("V"&amp;MATCH("*雙葉*",INDIRECT("R"&amp;AD70+1&amp;":$R$140"),0)+ROW()&amp;""),0),0),"")</f>
        <v/>
      </c>
      <c r="AJ70" s="78" t="str">
        <f t="array" aca="1" ref="AJ70" ca="1">IF($AD70&lt;&gt;"",INDIRECT("W"&amp;$AD70&amp;""),"")</f>
        <v/>
      </c>
      <c r="AK70" s="78" t="str">
        <f t="array" aca="1" ref="AK70" ca="1">IF($AD70&lt;&gt;"",INDIRECT("Y"&amp;$AD70&amp;""),"")</f>
        <v/>
      </c>
      <c r="AL70" s="78" t="str">
        <f t="shared" ca="1" si="30"/>
        <v/>
      </c>
      <c r="AM70" s="78" t="str">
        <f t="shared" ca="1" si="28"/>
        <v/>
      </c>
      <c r="AN70" s="78" t="str">
        <f t="array" aca="1" ref="AN70" ca="1">IF($AD70&lt;&gt;"",INDIRECT("Q"&amp;$AD70&amp;""),"")</f>
        <v/>
      </c>
      <c r="AO70" s="78" t="str">
        <f ca="1">IFERROR(IF(AND(AN70&lt;&gt;"",VLOOKUP(AN70,得意先マスタ!$A$1:$Z$800,24,FALSE)&lt;&gt;0),
VLOOKUP(AN70,得意先マスタ!$A$1:$Z$800,24,FALSE),""),"")</f>
        <v/>
      </c>
      <c r="AP70" s="78" t="str">
        <f ca="1">IFERROR(IF(AND(AN70&lt;&gt;"",VLOOKUP(AN70,得意先マスタ!$A$1:$Z$800,25,FALSE)&lt;&gt;0),
VLOOKUP(AN70,得意先マスタ!$A$1:$Z$800,25,FALSE),""),"")</f>
        <v/>
      </c>
      <c r="AQ70" s="78" t="str">
        <f t="shared" ca="1" si="27"/>
        <v/>
      </c>
      <c r="AR70" s="78">
        <f t="shared" ca="1" si="18"/>
        <v>0</v>
      </c>
      <c r="AS70" s="78">
        <f t="shared" ca="1" si="17"/>
        <v>0</v>
      </c>
    </row>
    <row r="71" spans="16:45">
      <c r="P71" t="str">
        <f ca="1">IF(AND(N71=0, COUNTIFS($E$1:E71,E71)=1), E71,
IF(COUNTIF(F71,"*雙葉*"),E71,""))</f>
        <v/>
      </c>
      <c r="Q71" s="57" t="str">
        <f ca="1">IF(AND('盛付札（関数）'!AX21&lt;&gt;0,COUNTIF($Q$1:$Q$50,'盛付札（関数）'!AW21)=0),'盛付札（関数）'!AW21,"")</f>
        <v/>
      </c>
      <c r="R71" s="57" t="str">
        <f ca="1">IF($Q71&lt;&gt;"",OFFSET(得意先マスタ!$A$1,MATCH(Q71,得意先マスタ!A:A,0)-1,1),"")</f>
        <v/>
      </c>
      <c r="S71" s="57" t="str">
        <f ca="1">IF($Q71&lt;&gt;"",OFFSET('盛付札（関数）'!$AF$1,MATCH(X71,'盛付札（関数）'!$AE$1:$AE$70,0)-1,1),"")</f>
        <v/>
      </c>
      <c r="T71" s="57" t="str">
        <f ca="1">IF($Q71&lt;&gt;"",OFFSET('盛付札（関数）'!$AF$1,MATCH(X71,'盛付札（関数）'!$AE$1:$AE$70,0)-1,4),"")</f>
        <v/>
      </c>
      <c r="U71" s="57" t="str">
        <f ca="1">IF($Q71&lt;&gt;"",OFFSET('盛付札（関数）'!$AF$1,MATCH(X71,'盛付札（関数）'!$AE$1:$AE$70,0)-1,5),"")</f>
        <v/>
      </c>
      <c r="V71" s="57" t="str">
        <f ca="1">IF($Q71&lt;&gt;"",OFFSET('盛付札（関数）'!$AF$1,MATCH(X71,'盛付札（関数）'!$AE$1:$AE$70,0)-1,9),"")</f>
        <v/>
      </c>
      <c r="W71" s="57" t="str">
        <f ca="1">IF($Q71&lt;&gt;"",OFFSET('盛付札（関数）'!$AF$1,MATCH(X71,'盛付札（関数）'!$AE$1:$AE$70,0)-1,6),"")</f>
        <v/>
      </c>
      <c r="X71" s="57" t="str">
        <f ca="1">IF(AND('盛付札（関数）'!AX21&lt;&gt;0,COUNTIF($Q$1:$Q$50,'盛付札（関数）'!AW21)=0),'盛付札（関数）'!AE21,"")</f>
        <v/>
      </c>
      <c r="Y71" t="str">
        <f ca="1">IF(Q71&lt;&gt;"",
IF(COUNTIF(S71,"*キャラ*"),
VLOOKUP("*キャラ*",商品マスタ!$D:$E,2,FALSE),
IF(COUNTIF(S71,"*赤*"),
VLOOKUP("*赤*",商品マスタ!$D:$E,2,FALSE),
VLOOKUP("*"&amp;S71&amp;"*",商品マスタ!$D:$E,2,FALSE))),"")</f>
        <v/>
      </c>
      <c r="Z71" t="str">
        <f t="shared" ca="1" si="29"/>
        <v/>
      </c>
      <c r="AA71" t="str">
        <f t="shared" ca="1" si="25"/>
        <v/>
      </c>
      <c r="AC71" t="str">
        <f t="shared" ca="1" si="26"/>
        <v/>
      </c>
      <c r="AD71" s="78" t="str">
        <f t="array" aca="1" ref="AD71" ca="1">IF(AND(IFERROR(COUNTIF(INDIRECT("R"&amp;IFERROR(SMALL(IF(AC$1:AC$140&lt;&gt;0,AC$1:AC$140),ROW(A71)),"")&amp;""),"*雙葉*"),0),COUNTIF(AE$1:AE70,"*雙葉*")),"",
IFERROR(SMALL(IF(AC$1:AC$140&lt;&gt;0,AC$1:AC$140),ROW(A71)),""))</f>
        <v/>
      </c>
      <c r="AE71" s="78" t="str">
        <f t="array" aca="1" ref="AE71" ca="1">IF($AD71&lt;&gt;"",INDIRECT("R"&amp;$AD71&amp;""),"")</f>
        <v/>
      </c>
      <c r="AF71" s="78" t="str">
        <f t="array" aca="1" ref="AF71" ca="1">IF($AD71&lt;&gt;"",
IF(INDIRECT("S"&amp;$AD71&amp;"")&lt;&gt;"",INDIRECT("S"&amp;$AD71&amp;""),""),"")</f>
        <v/>
      </c>
      <c r="AG71" s="78" t="str" cm="1">
        <f t="array" aca="1" ref="AG71" ca="1">IFERROR(IF($AD71&lt;&gt;"",INDIRECT("T"&amp;$AD71&amp;""),"")
+IF(COUNTIF(AE71,"*雙葉*"),
IFERROR(INDIRECT("T"&amp;MATCH("*雙葉*",INDIRECT("R"&amp;AD71+1&amp;":$R$140"),0)+ROW()&amp;""),0),0)
+IF(OR(COUNTIF(AO71,"*管理*"),COUNTIF(AO71,"予備")),
AQ71,0),"")</f>
        <v/>
      </c>
      <c r="AH71" s="78" t="str" cm="1">
        <f t="array" aca="1" ref="AH71" ca="1">IFERROR(IF($AD71&lt;&gt;"",INDIRECT("U"&amp;$AD71&amp;""),"")
+IF(COUNTIF(AE71,"*雙葉*"),
IFERROR(INDIRECT("U"&amp;MATCH("*雙葉*",INDIRECT("R"&amp;AD71+1&amp;":$R$140"),0)+ROW()&amp;""),0),0),"")</f>
        <v/>
      </c>
      <c r="AI71" s="78" t="str" cm="1">
        <f t="array" aca="1" ref="AI71" ca="1">IFERROR(IF($AD71&lt;&gt;"",INDIRECT("V"&amp;$AD71&amp;""),"")
+IF(COUNTIF(AE71,"*雙葉*"),
IFERROR(INDIRECT("V"&amp;MATCH("*雙葉*",INDIRECT("R"&amp;AD71+1&amp;":$R$140"),0)+ROW()&amp;""),0),0),"")</f>
        <v/>
      </c>
      <c r="AJ71" s="78" t="str">
        <f t="array" aca="1" ref="AJ71" ca="1">IF($AD71&lt;&gt;"",INDIRECT("W"&amp;$AD71&amp;""),"")</f>
        <v/>
      </c>
      <c r="AK71" s="78" t="str">
        <f t="array" aca="1" ref="AK71" ca="1">IF($AD71&lt;&gt;"",INDIRECT("Y"&amp;$AD71&amp;""),"")</f>
        <v/>
      </c>
      <c r="AL71" s="78" t="str">
        <f t="shared" ca="1" si="30"/>
        <v/>
      </c>
      <c r="AM71" s="78" t="str">
        <f t="shared" ca="1" si="28"/>
        <v/>
      </c>
      <c r="AN71" s="78" t="str">
        <f t="array" aca="1" ref="AN71" ca="1">IF($AD71&lt;&gt;"",INDIRECT("Q"&amp;$AD71&amp;""),"")</f>
        <v/>
      </c>
      <c r="AO71" s="78" t="str">
        <f ca="1">IFERROR(IF(AND(AN71&lt;&gt;"",VLOOKUP(AN71,得意先マスタ!$A$1:$Z$800,24,FALSE)&lt;&gt;0),
VLOOKUP(AN71,得意先マスタ!$A$1:$Z$800,24,FALSE),""),"")</f>
        <v/>
      </c>
      <c r="AP71" s="78" t="str">
        <f ca="1">IFERROR(IF(AND(AN71&lt;&gt;"",VLOOKUP(AN71,得意先マスタ!$A$1:$Z$800,25,FALSE)&lt;&gt;0),
VLOOKUP(AN71,得意先マスタ!$A$1:$Z$800,25,FALSE),""),"")</f>
        <v/>
      </c>
      <c r="AQ71" s="78" t="str">
        <f t="shared" ca="1" si="27"/>
        <v/>
      </c>
      <c r="AR71" s="78">
        <f t="shared" ca="1" si="18"/>
        <v>0</v>
      </c>
      <c r="AS71" s="78">
        <f t="shared" ca="1" si="17"/>
        <v>0</v>
      </c>
    </row>
    <row r="72" spans="16:45">
      <c r="P72" t="str">
        <f ca="1">IF(AND(N72=0, COUNTIFS($E$1:E72,E72)=1), E72,
IF(COUNTIF(F72,"*雙葉*"),E72,""))</f>
        <v/>
      </c>
      <c r="Q72" s="57" t="str">
        <f ca="1">IF(AND('盛付札（関数）'!AX22&lt;&gt;0,COUNTIF($Q$1:$Q$50,'盛付札（関数）'!AW22)=0),'盛付札（関数）'!AW22,"")</f>
        <v/>
      </c>
      <c r="R72" s="57" t="str">
        <f ca="1">IF($Q72&lt;&gt;"",OFFSET(得意先マスタ!$A$1,MATCH(Q72,得意先マスタ!A:A,0)-1,1),"")</f>
        <v/>
      </c>
      <c r="S72" s="57" t="str">
        <f ca="1">IF($Q72&lt;&gt;"",OFFSET('盛付札（関数）'!$AF$1,MATCH(X72,'盛付札（関数）'!$AE$1:$AE$70,0)-1,1),"")</f>
        <v/>
      </c>
      <c r="T72" s="57" t="str">
        <f ca="1">IF($Q72&lt;&gt;"",OFFSET('盛付札（関数）'!$AF$1,MATCH(X72,'盛付札（関数）'!$AE$1:$AE$70,0)-1,4),"")</f>
        <v/>
      </c>
      <c r="U72" s="57" t="str">
        <f ca="1">IF($Q72&lt;&gt;"",OFFSET('盛付札（関数）'!$AF$1,MATCH(X72,'盛付札（関数）'!$AE$1:$AE$70,0)-1,5),"")</f>
        <v/>
      </c>
      <c r="V72" s="57" t="str">
        <f ca="1">IF($Q72&lt;&gt;"",OFFSET('盛付札（関数）'!$AF$1,MATCH(X72,'盛付札（関数）'!$AE$1:$AE$70,0)-1,9),"")</f>
        <v/>
      </c>
      <c r="W72" s="57" t="str">
        <f ca="1">IF($Q72&lt;&gt;"",OFFSET('盛付札（関数）'!$AF$1,MATCH(X72,'盛付札（関数）'!$AE$1:$AE$70,0)-1,6),"")</f>
        <v/>
      </c>
      <c r="X72" s="57" t="str">
        <f ca="1">IF(AND('盛付札（関数）'!AX22&lt;&gt;0,COUNTIF($Q$1:$Q$50,'盛付札（関数）'!AW22)=0),'盛付札（関数）'!AE22,"")</f>
        <v/>
      </c>
      <c r="Y72" t="str">
        <f ca="1">IF(Q72&lt;&gt;"",
IF(COUNTIF(S72,"*キャラ*"),
VLOOKUP("*キャラ*",商品マスタ!$D:$E,2,FALSE),
IF(COUNTIF(S72,"*赤*"),
VLOOKUP("*赤*",商品マスタ!$D:$E,2,FALSE),
VLOOKUP("*"&amp;S72&amp;"*",商品マスタ!$D:$E,2,FALSE))),"")</f>
        <v/>
      </c>
      <c r="Z72" t="str">
        <f t="shared" ca="1" si="29"/>
        <v/>
      </c>
      <c r="AA72" t="str">
        <f t="shared" ca="1" si="25"/>
        <v/>
      </c>
      <c r="AC72" t="str">
        <f t="shared" ca="1" si="26"/>
        <v/>
      </c>
      <c r="AD72" s="78" t="str">
        <f t="array" aca="1" ref="AD72" ca="1">IF(AND(IFERROR(COUNTIF(INDIRECT("R"&amp;IFERROR(SMALL(IF(AC$1:AC$140&lt;&gt;0,AC$1:AC$140),ROW(A72)),"")&amp;""),"*雙葉*"),0),COUNTIF(AE$1:AE71,"*雙葉*")),"",
IFERROR(SMALL(IF(AC$1:AC$140&lt;&gt;0,AC$1:AC$140),ROW(A72)),""))</f>
        <v/>
      </c>
      <c r="AE72" s="78" t="str">
        <f t="array" aca="1" ref="AE72" ca="1">IF($AD72&lt;&gt;"",INDIRECT("R"&amp;$AD72&amp;""),"")</f>
        <v/>
      </c>
      <c r="AF72" s="78" t="str">
        <f t="array" aca="1" ref="AF72" ca="1">IF($AD72&lt;&gt;"",
IF(INDIRECT("S"&amp;$AD72&amp;"")&lt;&gt;"",INDIRECT("S"&amp;$AD72&amp;""),""),"")</f>
        <v/>
      </c>
      <c r="AG72" s="78" t="str" cm="1">
        <f t="array" aca="1" ref="AG72" ca="1">IFERROR(IF($AD72&lt;&gt;"",INDIRECT("T"&amp;$AD72&amp;""),"")
+IF(COUNTIF(AE72,"*雙葉*"),
IFERROR(INDIRECT("T"&amp;MATCH("*雙葉*",INDIRECT("R"&amp;AD72+1&amp;":$R$140"),0)+ROW()&amp;""),0),0)
+IF(OR(COUNTIF(AO72,"*管理*"),COUNTIF(AO72,"予備")),
AQ72,0),"")</f>
        <v/>
      </c>
      <c r="AH72" s="78" t="str" cm="1">
        <f t="array" aca="1" ref="AH72" ca="1">IFERROR(IF($AD72&lt;&gt;"",INDIRECT("U"&amp;$AD72&amp;""),"")
+IF(COUNTIF(AE72,"*雙葉*"),
IFERROR(INDIRECT("U"&amp;MATCH("*雙葉*",INDIRECT("R"&amp;AD72+1&amp;":$R$140"),0)+ROW()&amp;""),0),0),"")</f>
        <v/>
      </c>
      <c r="AI72" s="78" t="str" cm="1">
        <f t="array" aca="1" ref="AI72" ca="1">IFERROR(IF($AD72&lt;&gt;"",INDIRECT("V"&amp;$AD72&amp;""),"")
+IF(COUNTIF(AE72,"*雙葉*"),
IFERROR(INDIRECT("V"&amp;MATCH("*雙葉*",INDIRECT("R"&amp;AD72+1&amp;":$R$140"),0)+ROW()&amp;""),0),0),"")</f>
        <v/>
      </c>
      <c r="AJ72" s="78" t="str">
        <f t="array" aca="1" ref="AJ72" ca="1">IF($AD72&lt;&gt;"",INDIRECT("W"&amp;$AD72&amp;""),"")</f>
        <v/>
      </c>
      <c r="AK72" s="78" t="str">
        <f t="array" aca="1" ref="AK72" ca="1">IF($AD72&lt;&gt;"",INDIRECT("Y"&amp;$AD72&amp;""),"")</f>
        <v/>
      </c>
      <c r="AL72" s="78" t="str">
        <f t="shared" ca="1" si="30"/>
        <v/>
      </c>
      <c r="AM72" s="78" t="str">
        <f t="shared" ca="1" si="28"/>
        <v/>
      </c>
      <c r="AN72" s="78" t="str">
        <f t="array" aca="1" ref="AN72" ca="1">IF($AD72&lt;&gt;"",INDIRECT("Q"&amp;$AD72&amp;""),"")</f>
        <v/>
      </c>
      <c r="AO72" s="78" t="str">
        <f ca="1">IFERROR(IF(AND(AN72&lt;&gt;"",VLOOKUP(AN72,得意先マスタ!$A$1:$Z$800,24,FALSE)&lt;&gt;0),
VLOOKUP(AN72,得意先マスタ!$A$1:$Z$800,24,FALSE),""),"")</f>
        <v/>
      </c>
      <c r="AP72" s="78" t="str">
        <f ca="1">IFERROR(IF(AND(AN72&lt;&gt;"",VLOOKUP(AN72,得意先マスタ!$A$1:$Z$800,25,FALSE)&lt;&gt;0),
VLOOKUP(AN72,得意先マスタ!$A$1:$Z$800,25,FALSE),""),"")</f>
        <v/>
      </c>
      <c r="AQ72" s="78" t="str">
        <f t="shared" ca="1" si="27"/>
        <v/>
      </c>
      <c r="AR72" s="78">
        <f t="shared" ca="1" si="18"/>
        <v>0</v>
      </c>
      <c r="AS72" s="78">
        <f t="shared" ca="1" si="17"/>
        <v>0</v>
      </c>
    </row>
    <row r="73" spans="16:45">
      <c r="P73" t="str">
        <f ca="1">IF(AND(N73=0, COUNTIFS($E$1:E73,E73)=1), E73,
IF(COUNTIF(F73,"*雙葉*"),E73,""))</f>
        <v/>
      </c>
      <c r="Q73" s="57" t="str">
        <f ca="1">IF(AND('盛付札（関数）'!AX23&lt;&gt;0,COUNTIF($Q$1:$Q$50,'盛付札（関数）'!AW23)=0),'盛付札（関数）'!AW23,"")</f>
        <v/>
      </c>
      <c r="R73" s="57" t="str">
        <f ca="1">IF($Q73&lt;&gt;"",OFFSET(得意先マスタ!$A$1,MATCH(Q73,得意先マスタ!A:A,0)-1,1),"")</f>
        <v/>
      </c>
      <c r="S73" s="57" t="str">
        <f ca="1">IF($Q73&lt;&gt;"",OFFSET('盛付札（関数）'!$AF$1,MATCH(X73,'盛付札（関数）'!$AE$1:$AE$70,0)-1,1),"")</f>
        <v/>
      </c>
      <c r="T73" s="57" t="str">
        <f ca="1">IF($Q73&lt;&gt;"",OFFSET('盛付札（関数）'!$AF$1,MATCH(X73,'盛付札（関数）'!$AE$1:$AE$70,0)-1,4),"")</f>
        <v/>
      </c>
      <c r="U73" s="57" t="str">
        <f ca="1">IF($Q73&lt;&gt;"",OFFSET('盛付札（関数）'!$AF$1,MATCH(X73,'盛付札（関数）'!$AE$1:$AE$70,0)-1,5),"")</f>
        <v/>
      </c>
      <c r="V73" s="57" t="str">
        <f ca="1">IF($Q73&lt;&gt;"",OFFSET('盛付札（関数）'!$AF$1,MATCH(X73,'盛付札（関数）'!$AE$1:$AE$70,0)-1,9),"")</f>
        <v/>
      </c>
      <c r="W73" s="57" t="str">
        <f ca="1">IF($Q73&lt;&gt;"",OFFSET('盛付札（関数）'!$AF$1,MATCH(X73,'盛付札（関数）'!$AE$1:$AE$70,0)-1,6),"")</f>
        <v/>
      </c>
      <c r="X73" s="57" t="str">
        <f ca="1">IF(AND('盛付札（関数）'!AX23&lt;&gt;0,COUNTIF($Q$1:$Q$50,'盛付札（関数）'!AW23)=0),'盛付札（関数）'!AE23,"")</f>
        <v/>
      </c>
      <c r="Y73" t="str">
        <f ca="1">IF(Q73&lt;&gt;"",
IF(COUNTIF(S73,"*キャラ*"),
VLOOKUP("*キャラ*",商品マスタ!$D:$E,2,FALSE),
IF(COUNTIF(S73,"*赤*"),
VLOOKUP("*赤*",商品マスタ!$D:$E,2,FALSE),
VLOOKUP("*"&amp;S73&amp;"*",商品マスタ!$D:$E,2,FALSE))),"")</f>
        <v/>
      </c>
      <c r="Z73" t="str">
        <f t="shared" ca="1" si="29"/>
        <v/>
      </c>
      <c r="AA73" t="str">
        <f t="shared" ca="1" si="25"/>
        <v/>
      </c>
      <c r="AC73" t="str">
        <f t="shared" ca="1" si="26"/>
        <v/>
      </c>
      <c r="AD73" s="78" t="str">
        <f t="array" aca="1" ref="AD73" ca="1">IF(AND(IFERROR(COUNTIF(INDIRECT("R"&amp;IFERROR(SMALL(IF(AC$1:AC$140&lt;&gt;0,AC$1:AC$140),ROW(A73)),"")&amp;""),"*雙葉*"),0),COUNTIF(AE$1:AE72,"*雙葉*")),"",
IFERROR(SMALL(IF(AC$1:AC$140&lt;&gt;0,AC$1:AC$140),ROW(A73)),""))</f>
        <v/>
      </c>
      <c r="AE73" s="78" t="str">
        <f t="array" aca="1" ref="AE73" ca="1">IF($AD73&lt;&gt;"",INDIRECT("R"&amp;$AD73&amp;""),"")</f>
        <v/>
      </c>
      <c r="AF73" s="78" t="str">
        <f t="array" aca="1" ref="AF73" ca="1">IF($AD73&lt;&gt;"",
IF(INDIRECT("S"&amp;$AD73&amp;"")&lt;&gt;"",INDIRECT("S"&amp;$AD73&amp;""),""),"")</f>
        <v/>
      </c>
      <c r="AG73" s="78" t="str" cm="1">
        <f t="array" aca="1" ref="AG73" ca="1">IFERROR(IF($AD73&lt;&gt;"",INDIRECT("T"&amp;$AD73&amp;""),"")
+IF(COUNTIF(AE73,"*雙葉*"),
IFERROR(INDIRECT("T"&amp;MATCH("*雙葉*",INDIRECT("R"&amp;AD73+1&amp;":$R$140"),0)+ROW()&amp;""),0),0)
+IF(OR(COUNTIF(AO73,"*管理*"),COUNTIF(AO73,"予備")),
AQ73,0),"")</f>
        <v/>
      </c>
      <c r="AH73" s="78" t="str" cm="1">
        <f t="array" aca="1" ref="AH73" ca="1">IFERROR(IF($AD73&lt;&gt;"",INDIRECT("U"&amp;$AD73&amp;""),"")
+IF(COUNTIF(AE73,"*雙葉*"),
IFERROR(INDIRECT("U"&amp;MATCH("*雙葉*",INDIRECT("R"&amp;AD73+1&amp;":$R$140"),0)+ROW()&amp;""),0),0),"")</f>
        <v/>
      </c>
      <c r="AI73" s="78" t="str" cm="1">
        <f t="array" aca="1" ref="AI73" ca="1">IFERROR(IF($AD73&lt;&gt;"",INDIRECT("V"&amp;$AD73&amp;""),"")
+IF(COUNTIF(AE73,"*雙葉*"),
IFERROR(INDIRECT("V"&amp;MATCH("*雙葉*",INDIRECT("R"&amp;AD73+1&amp;":$R$140"),0)+ROW()&amp;""),0),0),"")</f>
        <v/>
      </c>
      <c r="AJ73" s="78" t="str">
        <f t="array" aca="1" ref="AJ73" ca="1">IF($AD73&lt;&gt;"",INDIRECT("W"&amp;$AD73&amp;""),"")</f>
        <v/>
      </c>
      <c r="AK73" s="78" t="str">
        <f t="array" aca="1" ref="AK73" ca="1">IF($AD73&lt;&gt;"",INDIRECT("Y"&amp;$AD73&amp;""),"")</f>
        <v/>
      </c>
      <c r="AL73" s="78" t="str">
        <f t="shared" ca="1" si="30"/>
        <v/>
      </c>
      <c r="AM73" s="78" t="str">
        <f t="shared" ca="1" si="28"/>
        <v/>
      </c>
      <c r="AN73" s="78" t="str">
        <f t="array" aca="1" ref="AN73" ca="1">IF($AD73&lt;&gt;"",INDIRECT("Q"&amp;$AD73&amp;""),"")</f>
        <v/>
      </c>
      <c r="AO73" s="78" t="str">
        <f ca="1">IFERROR(IF(AND(AN73&lt;&gt;"",VLOOKUP(AN73,得意先マスタ!$A$1:$Z$800,24,FALSE)&lt;&gt;0),
VLOOKUP(AN73,得意先マスタ!$A$1:$Z$800,24,FALSE),""),"")</f>
        <v/>
      </c>
      <c r="AP73" s="78" t="str">
        <f ca="1">IFERROR(IF(AND(AN73&lt;&gt;"",VLOOKUP(AN73,得意先マスタ!$A$1:$Z$800,25,FALSE)&lt;&gt;0),
VLOOKUP(AN73,得意先マスタ!$A$1:$Z$800,25,FALSE),""),"")</f>
        <v/>
      </c>
      <c r="AQ73" s="78" t="str">
        <f t="shared" ca="1" si="27"/>
        <v/>
      </c>
      <c r="AR73" s="78">
        <f t="shared" ca="1" si="18"/>
        <v>0</v>
      </c>
      <c r="AS73" s="78">
        <f t="shared" ca="1" si="17"/>
        <v>0</v>
      </c>
    </row>
    <row r="74" spans="16:45">
      <c r="P74" t="str">
        <f ca="1">IF(AND(N74=0, COUNTIFS($E$1:E74,E74)=1), E74,
IF(COUNTIF(F74,"*雙葉*"),E74,""))</f>
        <v/>
      </c>
      <c r="Q74" s="57" t="str">
        <f ca="1">IF(AND('盛付札（関数）'!AX24&lt;&gt;0,COUNTIF($Q$1:$Q$50,'盛付札（関数）'!AW24)=0),'盛付札（関数）'!AW24,"")</f>
        <v/>
      </c>
      <c r="R74" s="57" t="str">
        <f ca="1">IF($Q74&lt;&gt;"",OFFSET(得意先マスタ!$A$1,MATCH(Q74,得意先マスタ!A:A,0)-1,1),"")</f>
        <v/>
      </c>
      <c r="S74" s="57" t="str">
        <f ca="1">IF($Q74&lt;&gt;"",OFFSET('盛付札（関数）'!$AF$1,MATCH(X74,'盛付札（関数）'!$AE$1:$AE$70,0)-1,1),"")</f>
        <v/>
      </c>
      <c r="T74" s="57" t="str">
        <f ca="1">IF($Q74&lt;&gt;"",OFFSET('盛付札（関数）'!$AF$1,MATCH(X74,'盛付札（関数）'!$AE$1:$AE$70,0)-1,4),"")</f>
        <v/>
      </c>
      <c r="U74" s="57" t="str">
        <f ca="1">IF($Q74&lt;&gt;"",OFFSET('盛付札（関数）'!$AF$1,MATCH(X74,'盛付札（関数）'!$AE$1:$AE$70,0)-1,5),"")</f>
        <v/>
      </c>
      <c r="V74" s="57" t="str">
        <f ca="1">IF($Q74&lt;&gt;"",OFFSET('盛付札（関数）'!$AF$1,MATCH(X74,'盛付札（関数）'!$AE$1:$AE$70,0)-1,9),"")</f>
        <v/>
      </c>
      <c r="W74" s="57" t="str">
        <f ca="1">IF($Q74&lt;&gt;"",OFFSET('盛付札（関数）'!$AF$1,MATCH(X74,'盛付札（関数）'!$AE$1:$AE$70,0)-1,6),"")</f>
        <v/>
      </c>
      <c r="X74" s="57" t="str">
        <f ca="1">IF(AND('盛付札（関数）'!AX24&lt;&gt;0,COUNTIF($Q$1:$Q$50,'盛付札（関数）'!AW24)=0),'盛付札（関数）'!AE24,"")</f>
        <v/>
      </c>
      <c r="Y74" t="str">
        <f ca="1">IF(Q74&lt;&gt;"",
IF(COUNTIF(S74,"*キャラ*"),
VLOOKUP("*キャラ*",商品マスタ!$D:$E,2,FALSE),
IF(COUNTIF(S74,"*赤*"),
VLOOKUP("*赤*",商品マスタ!$D:$E,2,FALSE),
VLOOKUP("*"&amp;S74&amp;"*",商品マスタ!$D:$E,2,FALSE))),"")</f>
        <v/>
      </c>
      <c r="Z74" t="str">
        <f t="shared" ca="1" si="29"/>
        <v/>
      </c>
      <c r="AA74" t="str">
        <f t="shared" ca="1" si="25"/>
        <v/>
      </c>
      <c r="AC74" t="str">
        <f t="shared" ca="1" si="26"/>
        <v/>
      </c>
      <c r="AD74" s="78" t="str">
        <f t="array" aca="1" ref="AD74" ca="1">IF(AND(IFERROR(COUNTIF(INDIRECT("R"&amp;IFERROR(SMALL(IF(AC$1:AC$140&lt;&gt;0,AC$1:AC$140),ROW(A74)),"")&amp;""),"*雙葉*"),0),COUNTIF(AE$1:AE73,"*雙葉*")),"",
IFERROR(SMALL(IF(AC$1:AC$140&lt;&gt;0,AC$1:AC$140),ROW(A74)),""))</f>
        <v/>
      </c>
      <c r="AE74" s="78" t="str">
        <f t="array" aca="1" ref="AE74" ca="1">IF($AD74&lt;&gt;"",INDIRECT("R"&amp;$AD74&amp;""),"")</f>
        <v/>
      </c>
      <c r="AF74" s="78" t="str">
        <f t="array" aca="1" ref="AF74" ca="1">IF($AD74&lt;&gt;"",
IF(INDIRECT("S"&amp;$AD74&amp;"")&lt;&gt;"",INDIRECT("S"&amp;$AD74&amp;""),""),"")</f>
        <v/>
      </c>
      <c r="AG74" s="78" t="str" cm="1">
        <f t="array" aca="1" ref="AG74" ca="1">IFERROR(IF($AD74&lt;&gt;"",INDIRECT("T"&amp;$AD74&amp;""),"")
+IF(COUNTIF(AE74,"*雙葉*"),
IFERROR(INDIRECT("T"&amp;MATCH("*雙葉*",INDIRECT("R"&amp;AD74+1&amp;":$R$140"),0)+ROW()&amp;""),0),0)
+IF(OR(COUNTIF(AO74,"*管理*"),COUNTIF(AO74,"予備")),
AQ74,0),"")</f>
        <v/>
      </c>
      <c r="AH74" s="78" t="str" cm="1">
        <f t="array" aca="1" ref="AH74" ca="1">IFERROR(IF($AD74&lt;&gt;"",INDIRECT("U"&amp;$AD74&amp;""),"")
+IF(COUNTIF(AE74,"*雙葉*"),
IFERROR(INDIRECT("U"&amp;MATCH("*雙葉*",INDIRECT("R"&amp;AD74+1&amp;":$R$140"),0)+ROW()&amp;""),0),0),"")</f>
        <v/>
      </c>
      <c r="AI74" s="78" t="str" cm="1">
        <f t="array" aca="1" ref="AI74" ca="1">IFERROR(IF($AD74&lt;&gt;"",INDIRECT("V"&amp;$AD74&amp;""),"")
+IF(COUNTIF(AE74,"*雙葉*"),
IFERROR(INDIRECT("V"&amp;MATCH("*雙葉*",INDIRECT("R"&amp;AD74+1&amp;":$R$140"),0)+ROW()&amp;""),0),0),"")</f>
        <v/>
      </c>
      <c r="AJ74" s="78" t="str">
        <f t="array" aca="1" ref="AJ74" ca="1">IF($AD74&lt;&gt;"",INDIRECT("W"&amp;$AD74&amp;""),"")</f>
        <v/>
      </c>
      <c r="AK74" s="78" t="str">
        <f t="array" aca="1" ref="AK74" ca="1">IF($AD74&lt;&gt;"",INDIRECT("Y"&amp;$AD74&amp;""),"")</f>
        <v/>
      </c>
      <c r="AL74" s="78" t="str">
        <f t="shared" ca="1" si="30"/>
        <v/>
      </c>
      <c r="AM74" s="78" t="str">
        <f t="shared" ca="1" si="28"/>
        <v/>
      </c>
      <c r="AN74" s="78" t="str">
        <f t="array" aca="1" ref="AN74" ca="1">IF($AD74&lt;&gt;"",INDIRECT("Q"&amp;$AD74&amp;""),"")</f>
        <v/>
      </c>
      <c r="AO74" s="78" t="str">
        <f ca="1">IFERROR(IF(AND(AN74&lt;&gt;"",VLOOKUP(AN74,得意先マスタ!$A$1:$Z$800,24,FALSE)&lt;&gt;0),
VLOOKUP(AN74,得意先マスタ!$A$1:$Z$800,24,FALSE),""),"")</f>
        <v/>
      </c>
      <c r="AP74" s="78" t="str">
        <f ca="1">IFERROR(IF(AND(AN74&lt;&gt;"",VLOOKUP(AN74,得意先マスタ!$A$1:$Z$800,25,FALSE)&lt;&gt;0),
VLOOKUP(AN74,得意先マスタ!$A$1:$Z$800,25,FALSE),""),"")</f>
        <v/>
      </c>
      <c r="AQ74" s="78" t="str">
        <f t="shared" ca="1" si="27"/>
        <v/>
      </c>
      <c r="AR74" s="78">
        <f t="shared" ca="1" si="18"/>
        <v>0</v>
      </c>
      <c r="AS74" s="78">
        <f t="shared" ca="1" si="17"/>
        <v>0</v>
      </c>
    </row>
    <row r="75" spans="16:45">
      <c r="P75" t="str">
        <f ca="1">IF(AND(N75=0, COUNTIFS($E$1:E75,E75)=1), E75,
IF(COUNTIF(F75,"*雙葉*"),E75,""))</f>
        <v/>
      </c>
      <c r="Q75" s="57" t="str">
        <f ca="1">IF(AND('盛付札（関数）'!AX25&lt;&gt;0,COUNTIF($Q$1:$Q$50,'盛付札（関数）'!AW25)=0),'盛付札（関数）'!AW25,"")</f>
        <v/>
      </c>
      <c r="R75" s="57" t="str">
        <f ca="1">IF($Q75&lt;&gt;"",OFFSET(得意先マスタ!$A$1,MATCH(Q75,得意先マスタ!A:A,0)-1,1),"")</f>
        <v/>
      </c>
      <c r="S75" s="57" t="str">
        <f ca="1">IF($Q75&lt;&gt;"",OFFSET('盛付札（関数）'!$AF$1,MATCH(X75,'盛付札（関数）'!$AE$1:$AE$70,0)-1,1),"")</f>
        <v/>
      </c>
      <c r="T75" s="57" t="str">
        <f ca="1">IF($Q75&lt;&gt;"",OFFSET('盛付札（関数）'!$AF$1,MATCH(X75,'盛付札（関数）'!$AE$1:$AE$70,0)-1,4),"")</f>
        <v/>
      </c>
      <c r="U75" s="57" t="str">
        <f ca="1">IF($Q75&lt;&gt;"",OFFSET('盛付札（関数）'!$AF$1,MATCH(X75,'盛付札（関数）'!$AE$1:$AE$70,0)-1,5),"")</f>
        <v/>
      </c>
      <c r="V75" s="57" t="str">
        <f ca="1">IF($Q75&lt;&gt;"",OFFSET('盛付札（関数）'!$AF$1,MATCH(X75,'盛付札（関数）'!$AE$1:$AE$70,0)-1,9),"")</f>
        <v/>
      </c>
      <c r="W75" s="57" t="str">
        <f ca="1">IF($Q75&lt;&gt;"",OFFSET('盛付札（関数）'!$AF$1,MATCH(X75,'盛付札（関数）'!$AE$1:$AE$70,0)-1,6),"")</f>
        <v/>
      </c>
      <c r="X75" s="57" t="str">
        <f ca="1">IF(AND('盛付札（関数）'!AX25&lt;&gt;0,COUNTIF($Q$1:$Q$50,'盛付札（関数）'!AW25)=0),'盛付札（関数）'!AE25,"")</f>
        <v/>
      </c>
      <c r="Y75" t="str">
        <f ca="1">IF(Q75&lt;&gt;"",
IF(COUNTIF(S75,"*キャラ*"),
VLOOKUP("*キャラ*",商品マスタ!$D:$E,2,FALSE),
IF(COUNTIF(S75,"*赤*"),
VLOOKUP("*赤*",商品マスタ!$D:$E,2,FALSE),
VLOOKUP("*"&amp;S75&amp;"*",商品マスタ!$D:$E,2,FALSE))),"")</f>
        <v/>
      </c>
      <c r="Z75" t="str">
        <f t="shared" ca="1" si="29"/>
        <v/>
      </c>
      <c r="AA75" t="str">
        <f t="shared" ca="1" si="25"/>
        <v/>
      </c>
      <c r="AC75" t="str">
        <f t="shared" ca="1" si="26"/>
        <v/>
      </c>
      <c r="AD75" s="78" t="str">
        <f t="array" aca="1" ref="AD75" ca="1">IF(AND(IFERROR(COUNTIF(INDIRECT("R"&amp;IFERROR(SMALL(IF(AC$1:AC$140&lt;&gt;0,AC$1:AC$140),ROW(A75)),"")&amp;""),"*雙葉*"),0),COUNTIF(AE$1:AE74,"*雙葉*")),"",
IFERROR(SMALL(IF(AC$1:AC$140&lt;&gt;0,AC$1:AC$140),ROW(A75)),""))</f>
        <v/>
      </c>
      <c r="AE75" s="78" t="str">
        <f t="array" aca="1" ref="AE75" ca="1">IF($AD75&lt;&gt;"",INDIRECT("R"&amp;$AD75&amp;""),"")</f>
        <v/>
      </c>
      <c r="AF75" s="78" t="str">
        <f t="array" aca="1" ref="AF75" ca="1">IF($AD75&lt;&gt;"",
IF(INDIRECT("S"&amp;$AD75&amp;"")&lt;&gt;"",INDIRECT("S"&amp;$AD75&amp;""),""),"")</f>
        <v/>
      </c>
      <c r="AG75" s="78" t="str" cm="1">
        <f t="array" aca="1" ref="AG75" ca="1">IFERROR(IF($AD75&lt;&gt;"",INDIRECT("T"&amp;$AD75&amp;""),"")
+IF(COUNTIF(AE75,"*雙葉*"),
IFERROR(INDIRECT("T"&amp;MATCH("*雙葉*",INDIRECT("R"&amp;AD75+1&amp;":$R$140"),0)+ROW()&amp;""),0),0)
+IF(OR(COUNTIF(AO75,"*管理*"),COUNTIF(AO75,"予備")),
AQ75,0),"")</f>
        <v/>
      </c>
      <c r="AH75" s="78" t="str" cm="1">
        <f t="array" aca="1" ref="AH75" ca="1">IFERROR(IF($AD75&lt;&gt;"",INDIRECT("U"&amp;$AD75&amp;""),"")
+IF(COUNTIF(AE75,"*雙葉*"),
IFERROR(INDIRECT("U"&amp;MATCH("*雙葉*",INDIRECT("R"&amp;AD75+1&amp;":$R$140"),0)+ROW()&amp;""),0),0),"")</f>
        <v/>
      </c>
      <c r="AI75" s="78" t="str" cm="1">
        <f t="array" aca="1" ref="AI75" ca="1">IFERROR(IF($AD75&lt;&gt;"",INDIRECT("V"&amp;$AD75&amp;""),"")
+IF(COUNTIF(AE75,"*雙葉*"),
IFERROR(INDIRECT("V"&amp;MATCH("*雙葉*",INDIRECT("R"&amp;AD75+1&amp;":$R$140"),0)+ROW()&amp;""),0),0),"")</f>
        <v/>
      </c>
      <c r="AJ75" s="78" t="str">
        <f t="array" aca="1" ref="AJ75" ca="1">IF($AD75&lt;&gt;"",INDIRECT("W"&amp;$AD75&amp;""),"")</f>
        <v/>
      </c>
      <c r="AK75" s="78" t="str">
        <f t="array" aca="1" ref="AK75" ca="1">IF($AD75&lt;&gt;"",INDIRECT("Y"&amp;$AD75&amp;""),"")</f>
        <v/>
      </c>
      <c r="AL75" s="78" t="str">
        <f t="shared" ca="1" si="30"/>
        <v/>
      </c>
      <c r="AM75" s="78" t="str">
        <f t="shared" ca="1" si="28"/>
        <v/>
      </c>
      <c r="AN75" s="78" t="str">
        <f t="array" aca="1" ref="AN75" ca="1">IF($AD75&lt;&gt;"",INDIRECT("Q"&amp;$AD75&amp;""),"")</f>
        <v/>
      </c>
      <c r="AO75" s="78" t="str">
        <f ca="1">IFERROR(IF(AND(AN75&lt;&gt;"",VLOOKUP(AN75,得意先マスタ!$A$1:$Z$800,24,FALSE)&lt;&gt;0),
VLOOKUP(AN75,得意先マスタ!$A$1:$Z$800,24,FALSE),""),"")</f>
        <v/>
      </c>
      <c r="AP75" s="78" t="str">
        <f ca="1">IFERROR(IF(AND(AN75&lt;&gt;"",VLOOKUP(AN75,得意先マスタ!$A$1:$Z$800,25,FALSE)&lt;&gt;0),
VLOOKUP(AN75,得意先マスタ!$A$1:$Z$800,25,FALSE),""),"")</f>
        <v/>
      </c>
      <c r="AQ75" s="78" t="str">
        <f t="shared" ca="1" si="27"/>
        <v/>
      </c>
      <c r="AR75" s="78">
        <f t="shared" ca="1" si="18"/>
        <v>0</v>
      </c>
      <c r="AS75" s="78">
        <f t="shared" ref="AS75:AS100" ca="1" si="31">IF(AP75&lt;&gt;0,
IF(COUNTIF(AP75,"*.*"),
IF(COUNTIF(AP75,"*.*")=1,"",RIGHT(AP75, LEN(AP75) - FIND(".", AP75, FIND(".", AP75) + 1))),0),0)</f>
        <v>0</v>
      </c>
    </row>
    <row r="76" spans="16:45">
      <c r="P76" t="str">
        <f ca="1">IF(AND(N76=0, COUNTIFS($E$1:E76,E76)=1), E76,
IF(COUNTIF(F76,"*雙葉*"),E76,""))</f>
        <v/>
      </c>
      <c r="Q76" s="57" t="str">
        <f ca="1">IF(AND('盛付札（関数）'!AX26&lt;&gt;0,COUNTIF($Q$1:$Q$50,'盛付札（関数）'!AW26)=0),'盛付札（関数）'!AW26,"")</f>
        <v/>
      </c>
      <c r="R76" s="57" t="str">
        <f ca="1">IF($Q76&lt;&gt;"",OFFSET(得意先マスタ!$A$1,MATCH(Q76,得意先マスタ!A:A,0)-1,1),"")</f>
        <v/>
      </c>
      <c r="S76" s="57" t="str">
        <f ca="1">IF($Q76&lt;&gt;"",OFFSET('盛付札（関数）'!$AF$1,MATCH(X76,'盛付札（関数）'!$AE$1:$AE$70,0)-1,1),"")</f>
        <v/>
      </c>
      <c r="T76" s="57" t="str">
        <f ca="1">IF($Q76&lt;&gt;"",OFFSET('盛付札（関数）'!$AF$1,MATCH(X76,'盛付札（関数）'!$AE$1:$AE$70,0)-1,4),"")</f>
        <v/>
      </c>
      <c r="U76" s="57" t="str">
        <f ca="1">IF($Q76&lt;&gt;"",OFFSET('盛付札（関数）'!$AF$1,MATCH(X76,'盛付札（関数）'!$AE$1:$AE$70,0)-1,5),"")</f>
        <v/>
      </c>
      <c r="V76" s="57" t="str">
        <f ca="1">IF($Q76&lt;&gt;"",OFFSET('盛付札（関数）'!$AF$1,MATCH(X76,'盛付札（関数）'!$AE$1:$AE$70,0)-1,9),"")</f>
        <v/>
      </c>
      <c r="W76" s="57" t="str">
        <f ca="1">IF($Q76&lt;&gt;"",OFFSET('盛付札（関数）'!$AF$1,MATCH(X76,'盛付札（関数）'!$AE$1:$AE$70,0)-1,6),"")</f>
        <v/>
      </c>
      <c r="X76" s="57" t="str">
        <f ca="1">IF(AND('盛付札（関数）'!AX26&lt;&gt;0,COUNTIF($Q$1:$Q$50,'盛付札（関数）'!AW26)=0),'盛付札（関数）'!AE26,"")</f>
        <v/>
      </c>
      <c r="Y76" t="str">
        <f ca="1">IF(Q76&lt;&gt;"",
IF(COUNTIF(S76,"*キャラ*"),
VLOOKUP("*キャラ*",商品マスタ!$D:$E,2,FALSE),
IF(COUNTIF(S76,"*赤*"),
VLOOKUP("*赤*",商品マスタ!$D:$E,2,FALSE),
VLOOKUP("*"&amp;S76&amp;"*",商品マスタ!$D:$E,2,FALSE))),"")</f>
        <v/>
      </c>
      <c r="Z76" t="str">
        <f t="shared" ca="1" si="29"/>
        <v/>
      </c>
      <c r="AA76" t="str">
        <f t="shared" ca="1" si="25"/>
        <v/>
      </c>
      <c r="AC76" t="str">
        <f t="shared" ca="1" si="26"/>
        <v/>
      </c>
      <c r="AD76" s="78" t="str">
        <f t="array" aca="1" ref="AD76" ca="1">IF(AND(IFERROR(COUNTIF(INDIRECT("R"&amp;IFERROR(SMALL(IF(AC$1:AC$140&lt;&gt;0,AC$1:AC$140),ROW(A76)),"")&amp;""),"*雙葉*"),0),COUNTIF(AE$1:AE75,"*雙葉*")),"",
IFERROR(SMALL(IF(AC$1:AC$140&lt;&gt;0,AC$1:AC$140),ROW(A76)),""))</f>
        <v/>
      </c>
      <c r="AE76" s="78" t="str">
        <f t="array" aca="1" ref="AE76" ca="1">IF($AD76&lt;&gt;"",INDIRECT("R"&amp;$AD76&amp;""),"")</f>
        <v/>
      </c>
      <c r="AF76" s="78" t="str">
        <f t="array" aca="1" ref="AF76" ca="1">IF($AD76&lt;&gt;"",
IF(INDIRECT("S"&amp;$AD76&amp;"")&lt;&gt;"",INDIRECT("S"&amp;$AD76&amp;""),""),"")</f>
        <v/>
      </c>
      <c r="AG76" s="78" t="str" cm="1">
        <f t="array" aca="1" ref="AG76" ca="1">IFERROR(IF($AD76&lt;&gt;"",INDIRECT("T"&amp;$AD76&amp;""),"")
+IF(COUNTIF(AE76,"*雙葉*"),
IFERROR(INDIRECT("T"&amp;MATCH("*雙葉*",INDIRECT("R"&amp;AD76+1&amp;":$R$140"),0)+ROW()&amp;""),0),0)
+IF(OR(COUNTIF(AO76,"*管理*"),COUNTIF(AO76,"予備")),
AQ76,0),"")</f>
        <v/>
      </c>
      <c r="AH76" s="78" t="str" cm="1">
        <f t="array" aca="1" ref="AH76" ca="1">IFERROR(IF($AD76&lt;&gt;"",INDIRECT("U"&amp;$AD76&amp;""),"")
+IF(COUNTIF(AE76,"*雙葉*"),
IFERROR(INDIRECT("U"&amp;MATCH("*雙葉*",INDIRECT("R"&amp;AD76+1&amp;":$R$140"),0)+ROW()&amp;""),0),0),"")</f>
        <v/>
      </c>
      <c r="AI76" s="78" t="str" cm="1">
        <f t="array" aca="1" ref="AI76" ca="1">IFERROR(IF($AD76&lt;&gt;"",INDIRECT("V"&amp;$AD76&amp;""),"")
+IF(COUNTIF(AE76,"*雙葉*"),
IFERROR(INDIRECT("V"&amp;MATCH("*雙葉*",INDIRECT("R"&amp;AD76+1&amp;":$R$140"),0)+ROW()&amp;""),0),0),"")</f>
        <v/>
      </c>
      <c r="AJ76" s="78" t="str">
        <f t="array" aca="1" ref="AJ76" ca="1">IF($AD76&lt;&gt;"",INDIRECT("W"&amp;$AD76&amp;""),"")</f>
        <v/>
      </c>
      <c r="AK76" s="78" t="str">
        <f t="array" aca="1" ref="AK76" ca="1">IF($AD76&lt;&gt;"",INDIRECT("Y"&amp;$AD76&amp;""),"")</f>
        <v/>
      </c>
      <c r="AL76" s="78" t="str">
        <f t="shared" ca="1" si="30"/>
        <v/>
      </c>
      <c r="AM76" s="78" t="str">
        <f t="shared" ca="1" si="28"/>
        <v/>
      </c>
      <c r="AN76" s="78" t="str">
        <f t="array" aca="1" ref="AN76" ca="1">IF($AD76&lt;&gt;"",INDIRECT("Q"&amp;$AD76&amp;""),"")</f>
        <v/>
      </c>
      <c r="AO76" s="78" t="str">
        <f ca="1">IFERROR(IF(AND(AN76&lt;&gt;"",VLOOKUP(AN76,得意先マスタ!$A$1:$Z$800,24,FALSE)&lt;&gt;0),
VLOOKUP(AN76,得意先マスタ!$A$1:$Z$800,24,FALSE),""),"")</f>
        <v/>
      </c>
      <c r="AP76" s="78" t="str">
        <f ca="1">IFERROR(IF(AND(AN76&lt;&gt;"",VLOOKUP(AN76,得意先マスタ!$A$1:$Z$800,25,FALSE)&lt;&gt;0),
VLOOKUP(AN76,得意先マスタ!$A$1:$Z$800,25,FALSE),""),"")</f>
        <v/>
      </c>
      <c r="AQ76" s="78" t="str">
        <f t="shared" ca="1" si="27"/>
        <v/>
      </c>
      <c r="AR76" s="78">
        <f t="shared" ca="1" si="18"/>
        <v>0</v>
      </c>
      <c r="AS76" s="78">
        <f t="shared" ca="1" si="31"/>
        <v>0</v>
      </c>
    </row>
    <row r="77" spans="16:45">
      <c r="P77" t="str">
        <f ca="1">IF(AND(N77=0, COUNTIFS($E$1:E77,E77)=1), E77,
IF(COUNTIF(F77,"*雙葉*"),E77,""))</f>
        <v/>
      </c>
      <c r="Q77" s="57" t="str">
        <f ca="1">IF(AND('盛付札（関数）'!AX27&lt;&gt;0,COUNTIF($Q$1:$Q$50,'盛付札（関数）'!AW27)=0),'盛付札（関数）'!AW27,"")</f>
        <v/>
      </c>
      <c r="R77" s="57" t="str">
        <f ca="1">IF($Q77&lt;&gt;"",OFFSET(得意先マスタ!$A$1,MATCH(Q77,得意先マスタ!A:A,0)-1,1),"")</f>
        <v/>
      </c>
      <c r="S77" s="57" t="str">
        <f ca="1">IF($Q77&lt;&gt;"",OFFSET('盛付札（関数）'!$AF$1,MATCH(X77,'盛付札（関数）'!$AE$1:$AE$70,0)-1,1),"")</f>
        <v/>
      </c>
      <c r="T77" s="57" t="str">
        <f ca="1">IF($Q77&lt;&gt;"",OFFSET('盛付札（関数）'!$AF$1,MATCH(X77,'盛付札（関数）'!$AE$1:$AE$70,0)-1,4),"")</f>
        <v/>
      </c>
      <c r="U77" s="57" t="str">
        <f ca="1">IF($Q77&lt;&gt;"",OFFSET('盛付札（関数）'!$AF$1,MATCH(X77,'盛付札（関数）'!$AE$1:$AE$70,0)-1,5),"")</f>
        <v/>
      </c>
      <c r="V77" s="57" t="str">
        <f ca="1">IF($Q77&lt;&gt;"",OFFSET('盛付札（関数）'!$AF$1,MATCH(X77,'盛付札（関数）'!$AE$1:$AE$70,0)-1,9),"")</f>
        <v/>
      </c>
      <c r="W77" s="57" t="str">
        <f ca="1">IF($Q77&lt;&gt;"",OFFSET('盛付札（関数）'!$AF$1,MATCH(X77,'盛付札（関数）'!$AE$1:$AE$70,0)-1,6),"")</f>
        <v/>
      </c>
      <c r="X77" s="57" t="str">
        <f ca="1">IF(AND('盛付札（関数）'!AX27&lt;&gt;0,COUNTIF($Q$1:$Q$50,'盛付札（関数）'!AW27)=0),'盛付札（関数）'!AE27,"")</f>
        <v/>
      </c>
      <c r="Y77" t="str">
        <f ca="1">IF(Q77&lt;&gt;"",
IF(COUNTIF(S77,"*キャラ*"),
VLOOKUP("*キャラ*",商品マスタ!$D:$E,2,FALSE),
IF(COUNTIF(S77,"*赤*"),
VLOOKUP("*赤*",商品マスタ!$D:$E,2,FALSE),
VLOOKUP("*"&amp;S77&amp;"*",商品マスタ!$D:$E,2,FALSE))),"")</f>
        <v/>
      </c>
      <c r="Z77" t="str">
        <f t="shared" ca="1" si="29"/>
        <v/>
      </c>
      <c r="AA77" t="str">
        <f t="shared" ca="1" si="25"/>
        <v/>
      </c>
      <c r="AC77" t="str">
        <f t="shared" ca="1" si="26"/>
        <v/>
      </c>
      <c r="AD77" s="78" t="str">
        <f t="array" aca="1" ref="AD77" ca="1">IF(AND(IFERROR(COUNTIF(INDIRECT("R"&amp;IFERROR(SMALL(IF(AC$1:AC$140&lt;&gt;0,AC$1:AC$140),ROW(A77)),"")&amp;""),"*雙葉*"),0),COUNTIF(AE$1:AE76,"*雙葉*")),"",
IFERROR(SMALL(IF(AC$1:AC$140&lt;&gt;0,AC$1:AC$140),ROW(A77)),""))</f>
        <v/>
      </c>
      <c r="AE77" s="78" t="str">
        <f t="array" aca="1" ref="AE77" ca="1">IF($AD77&lt;&gt;"",INDIRECT("R"&amp;$AD77&amp;""),"")</f>
        <v/>
      </c>
      <c r="AF77" s="78" t="str">
        <f t="array" aca="1" ref="AF77" ca="1">IF($AD77&lt;&gt;"",
IF(INDIRECT("S"&amp;$AD77&amp;"")&lt;&gt;"",INDIRECT("S"&amp;$AD77&amp;""),""),"")</f>
        <v/>
      </c>
      <c r="AG77" s="78" t="str" cm="1">
        <f t="array" aca="1" ref="AG77" ca="1">IFERROR(IF($AD77&lt;&gt;"",INDIRECT("T"&amp;$AD77&amp;""),"")
+IF(COUNTIF(AE77,"*雙葉*"),
IFERROR(INDIRECT("T"&amp;MATCH("*雙葉*",INDIRECT("R"&amp;AD77+1&amp;":$R$140"),0)+ROW()&amp;""),0),0)
+IF(OR(COUNTIF(AO77,"*管理*"),COUNTIF(AO77,"予備")),
AQ77,0),"")</f>
        <v/>
      </c>
      <c r="AH77" s="78" t="str" cm="1">
        <f t="array" aca="1" ref="AH77" ca="1">IFERROR(IF($AD77&lt;&gt;"",INDIRECT("U"&amp;$AD77&amp;""),"")
+IF(COUNTIF(AE77,"*雙葉*"),
IFERROR(INDIRECT("U"&amp;MATCH("*雙葉*",INDIRECT("R"&amp;AD77+1&amp;":$R$140"),0)+ROW()&amp;""),0),0),"")</f>
        <v/>
      </c>
      <c r="AI77" s="78" t="str" cm="1">
        <f t="array" aca="1" ref="AI77" ca="1">IFERROR(IF($AD77&lt;&gt;"",INDIRECT("V"&amp;$AD77&amp;""),"")
+IF(COUNTIF(AE77,"*雙葉*"),
IFERROR(INDIRECT("V"&amp;MATCH("*雙葉*",INDIRECT("R"&amp;AD77+1&amp;":$R$140"),0)+ROW()&amp;""),0),0),"")</f>
        <v/>
      </c>
      <c r="AJ77" s="78" t="str">
        <f t="array" aca="1" ref="AJ77" ca="1">IF($AD77&lt;&gt;"",INDIRECT("W"&amp;$AD77&amp;""),"")</f>
        <v/>
      </c>
      <c r="AK77" s="78" t="str">
        <f t="array" aca="1" ref="AK77" ca="1">IF($AD77&lt;&gt;"",INDIRECT("Y"&amp;$AD77&amp;""),"")</f>
        <v/>
      </c>
      <c r="AL77" s="78" t="str">
        <f t="shared" ca="1" si="30"/>
        <v/>
      </c>
      <c r="AM77" s="78" t="str">
        <f t="shared" ca="1" si="28"/>
        <v/>
      </c>
      <c r="AN77" s="78" t="str">
        <f t="array" aca="1" ref="AN77" ca="1">IF($AD77&lt;&gt;"",INDIRECT("Q"&amp;$AD77&amp;""),"")</f>
        <v/>
      </c>
      <c r="AO77" s="78" t="str">
        <f ca="1">IFERROR(IF(AND(AN77&lt;&gt;"",VLOOKUP(AN77,得意先マスタ!$A$1:$Z$800,24,FALSE)&lt;&gt;0),
VLOOKUP(AN77,得意先マスタ!$A$1:$Z$800,24,FALSE),""),"")</f>
        <v/>
      </c>
      <c r="AP77" s="78" t="str">
        <f ca="1">IFERROR(IF(AND(AN77&lt;&gt;"",VLOOKUP(AN77,得意先マスタ!$A$1:$Z$800,25,FALSE)&lt;&gt;0),
VLOOKUP(AN77,得意先マスタ!$A$1:$Z$800,25,FALSE),""),"")</f>
        <v/>
      </c>
      <c r="AQ77" s="78" t="str">
        <f t="shared" ca="1" si="27"/>
        <v/>
      </c>
      <c r="AR77" s="78">
        <f t="shared" ca="1" si="18"/>
        <v>0</v>
      </c>
      <c r="AS77" s="78">
        <f t="shared" ca="1" si="31"/>
        <v>0</v>
      </c>
    </row>
    <row r="78" spans="16:45">
      <c r="P78" t="str">
        <f ca="1">IF(AND(N78=0, COUNTIFS($E$1:E78,E78)=1), E78,
IF(COUNTIF(F78,"*雙葉*"),E78,""))</f>
        <v/>
      </c>
      <c r="Q78" s="57" t="str">
        <f ca="1">IF(AND('盛付札（関数）'!AX28&lt;&gt;0,COUNTIF($Q$1:$Q$50,'盛付札（関数）'!AW28)=0),'盛付札（関数）'!AW28,"")</f>
        <v/>
      </c>
      <c r="R78" s="57" t="str">
        <f ca="1">IF($Q78&lt;&gt;"",OFFSET(得意先マスタ!$A$1,MATCH(Q78,得意先マスタ!A:A,0)-1,1),"")</f>
        <v/>
      </c>
      <c r="S78" s="57" t="str">
        <f ca="1">IF($Q78&lt;&gt;"",OFFSET('盛付札（関数）'!$AF$1,MATCH(X78,'盛付札（関数）'!$AE$1:$AE$70,0)-1,1),"")</f>
        <v/>
      </c>
      <c r="T78" s="57" t="str">
        <f ca="1">IF($Q78&lt;&gt;"",OFFSET('盛付札（関数）'!$AF$1,MATCH(X78,'盛付札（関数）'!$AE$1:$AE$70,0)-1,4),"")</f>
        <v/>
      </c>
      <c r="U78" s="57" t="str">
        <f ca="1">IF($Q78&lt;&gt;"",OFFSET('盛付札（関数）'!$AF$1,MATCH(X78,'盛付札（関数）'!$AE$1:$AE$70,0)-1,5),"")</f>
        <v/>
      </c>
      <c r="V78" s="57" t="str">
        <f ca="1">IF($Q78&lt;&gt;"",OFFSET('盛付札（関数）'!$AF$1,MATCH(X78,'盛付札（関数）'!$AE$1:$AE$70,0)-1,9),"")</f>
        <v/>
      </c>
      <c r="W78" s="57" t="str">
        <f ca="1">IF($Q78&lt;&gt;"",OFFSET('盛付札（関数）'!$AF$1,MATCH(X78,'盛付札（関数）'!$AE$1:$AE$70,0)-1,6),"")</f>
        <v/>
      </c>
      <c r="X78" s="57" t="str">
        <f ca="1">IF(AND('盛付札（関数）'!AX28&lt;&gt;0,COUNTIF($Q$1:$Q$50,'盛付札（関数）'!AW28)=0),'盛付札（関数）'!AE28,"")</f>
        <v/>
      </c>
      <c r="Y78" t="str">
        <f ca="1">IF(Q78&lt;&gt;"",
IF(COUNTIF(S78,"*キャラ*"),
VLOOKUP("*キャラ*",商品マスタ!$D:$E,2,FALSE),
IF(COUNTIF(S78,"*赤*"),
VLOOKUP("*赤*",商品マスタ!$D:$E,2,FALSE),
VLOOKUP("*"&amp;S78&amp;"*",商品マスタ!$D:$E,2,FALSE))),"")</f>
        <v/>
      </c>
      <c r="Z78" t="str">
        <f t="shared" ca="1" si="29"/>
        <v/>
      </c>
      <c r="AA78" t="str">
        <f t="shared" ca="1" si="25"/>
        <v/>
      </c>
      <c r="AC78" t="str">
        <f t="shared" ca="1" si="26"/>
        <v/>
      </c>
      <c r="AD78" s="78" t="str">
        <f t="array" aca="1" ref="AD78" ca="1">IF(AND(IFERROR(COUNTIF(INDIRECT("R"&amp;IFERROR(SMALL(IF(AC$1:AC$140&lt;&gt;0,AC$1:AC$140),ROW(A78)),"")&amp;""),"*雙葉*"),0),COUNTIF(AE$1:AE77,"*雙葉*")),"",
IFERROR(SMALL(IF(AC$1:AC$140&lt;&gt;0,AC$1:AC$140),ROW(A78)),""))</f>
        <v/>
      </c>
      <c r="AE78" s="78" t="str">
        <f t="array" aca="1" ref="AE78" ca="1">IF($AD78&lt;&gt;"",INDIRECT("R"&amp;$AD78&amp;""),"")</f>
        <v/>
      </c>
      <c r="AF78" s="78" t="str">
        <f t="array" aca="1" ref="AF78" ca="1">IF($AD78&lt;&gt;"",
IF(INDIRECT("S"&amp;$AD78&amp;"")&lt;&gt;"",INDIRECT("S"&amp;$AD78&amp;""),""),"")</f>
        <v/>
      </c>
      <c r="AG78" s="78" t="str" cm="1">
        <f t="array" aca="1" ref="AG78" ca="1">IFERROR(IF($AD78&lt;&gt;"",INDIRECT("T"&amp;$AD78&amp;""),"")
+IF(COUNTIF(AE78,"*雙葉*"),
IFERROR(INDIRECT("T"&amp;MATCH("*雙葉*",INDIRECT("R"&amp;AD78+1&amp;":$R$140"),0)+ROW()&amp;""),0),0)
+IF(OR(COUNTIF(AO78,"*管理*"),COUNTIF(AO78,"予備")),
AQ78,0),"")</f>
        <v/>
      </c>
      <c r="AH78" s="78" t="str" cm="1">
        <f t="array" aca="1" ref="AH78" ca="1">IFERROR(IF($AD78&lt;&gt;"",INDIRECT("U"&amp;$AD78&amp;""),"")
+IF(COUNTIF(AE78,"*雙葉*"),
IFERROR(INDIRECT("U"&amp;MATCH("*雙葉*",INDIRECT("R"&amp;AD78+1&amp;":$R$140"),0)+ROW()&amp;""),0),0),"")</f>
        <v/>
      </c>
      <c r="AI78" s="78" t="str" cm="1">
        <f t="array" aca="1" ref="AI78" ca="1">IFERROR(IF($AD78&lt;&gt;"",INDIRECT("V"&amp;$AD78&amp;""),"")
+IF(COUNTIF(AE78,"*雙葉*"),
IFERROR(INDIRECT("V"&amp;MATCH("*雙葉*",INDIRECT("R"&amp;AD78+1&amp;":$R$140"),0)+ROW()&amp;""),0),0),"")</f>
        <v/>
      </c>
      <c r="AJ78" s="78" t="str">
        <f t="array" aca="1" ref="AJ78" ca="1">IF($AD78&lt;&gt;"",INDIRECT("W"&amp;$AD78&amp;""),"")</f>
        <v/>
      </c>
      <c r="AK78" s="78" t="str">
        <f t="array" aca="1" ref="AK78" ca="1">IF($AD78&lt;&gt;"",INDIRECT("Y"&amp;$AD78&amp;""),"")</f>
        <v/>
      </c>
      <c r="AL78" s="78" t="str">
        <f t="shared" ca="1" si="30"/>
        <v/>
      </c>
      <c r="AM78" s="78" t="str">
        <f t="shared" ca="1" si="28"/>
        <v/>
      </c>
      <c r="AN78" s="78" t="str">
        <f t="array" aca="1" ref="AN78" ca="1">IF($AD78&lt;&gt;"",INDIRECT("Q"&amp;$AD78&amp;""),"")</f>
        <v/>
      </c>
      <c r="AO78" s="78" t="str">
        <f ca="1">IFERROR(IF(AND(AN78&lt;&gt;"",VLOOKUP(AN78,得意先マスタ!$A$1:$Z$800,24,FALSE)&lt;&gt;0),
VLOOKUP(AN78,得意先マスタ!$A$1:$Z$800,24,FALSE),""),"")</f>
        <v/>
      </c>
      <c r="AP78" s="78" t="str">
        <f ca="1">IFERROR(IF(AND(AN78&lt;&gt;"",VLOOKUP(AN78,得意先マスタ!$A$1:$Z$800,25,FALSE)&lt;&gt;0),
VLOOKUP(AN78,得意先マスタ!$A$1:$Z$800,25,FALSE),""),"")</f>
        <v/>
      </c>
      <c r="AQ78" s="78" t="str">
        <f t="shared" ca="1" si="27"/>
        <v/>
      </c>
      <c r="AR78" s="78">
        <f t="shared" ca="1" si="18"/>
        <v>0</v>
      </c>
      <c r="AS78" s="78">
        <f t="shared" ca="1" si="31"/>
        <v>0</v>
      </c>
    </row>
    <row r="79" spans="16:45">
      <c r="P79" t="str">
        <f ca="1">IF(AND(N79=0, COUNTIFS($E$1:E79,E79)=1), E79,
IF(COUNTIF(F79,"*雙葉*"),E79,""))</f>
        <v/>
      </c>
      <c r="Q79" s="57" t="str">
        <f ca="1">IF(AND('盛付札（関数）'!AX29&lt;&gt;0,COUNTIF($Q$1:$Q$50,'盛付札（関数）'!AW29)=0),'盛付札（関数）'!AW29,"")</f>
        <v/>
      </c>
      <c r="R79" s="57" t="str">
        <f ca="1">IF($Q79&lt;&gt;"",OFFSET(得意先マスタ!$A$1,MATCH(Q79,得意先マスタ!A:A,0)-1,1),"")</f>
        <v/>
      </c>
      <c r="S79" s="57" t="str">
        <f ca="1">IF($Q79&lt;&gt;"",OFFSET('盛付札（関数）'!$AF$1,MATCH(X79,'盛付札（関数）'!$AE$1:$AE$70,0)-1,1),"")</f>
        <v/>
      </c>
      <c r="T79" s="57" t="str">
        <f ca="1">IF($Q79&lt;&gt;"",OFFSET('盛付札（関数）'!$AF$1,MATCH(X79,'盛付札（関数）'!$AE$1:$AE$70,0)-1,4),"")</f>
        <v/>
      </c>
      <c r="U79" s="57" t="str">
        <f ca="1">IF($Q79&lt;&gt;"",OFFSET('盛付札（関数）'!$AF$1,MATCH(X79,'盛付札（関数）'!$AE$1:$AE$70,0)-1,5),"")</f>
        <v/>
      </c>
      <c r="V79" s="57" t="str">
        <f ca="1">IF($Q79&lt;&gt;"",OFFSET('盛付札（関数）'!$AF$1,MATCH(X79,'盛付札（関数）'!$AE$1:$AE$70,0)-1,9),"")</f>
        <v/>
      </c>
      <c r="W79" s="57" t="str">
        <f ca="1">IF($Q79&lt;&gt;"",OFFSET('盛付札（関数）'!$AF$1,MATCH(X79,'盛付札（関数）'!$AE$1:$AE$70,0)-1,6),"")</f>
        <v/>
      </c>
      <c r="X79" s="57" t="str">
        <f ca="1">IF(AND('盛付札（関数）'!AX29&lt;&gt;0,COUNTIF($Q$1:$Q$50,'盛付札（関数）'!AW29)=0),'盛付札（関数）'!AE29,"")</f>
        <v/>
      </c>
      <c r="Y79" t="str">
        <f ca="1">IF(Q79&lt;&gt;"",
IF(COUNTIF(S79,"*キャラ*"),
VLOOKUP("*キャラ*",商品マスタ!$D:$E,2,FALSE),
IF(COUNTIF(S79,"*赤*"),
VLOOKUP("*赤*",商品マスタ!$D:$E,2,FALSE),
VLOOKUP("*"&amp;S79&amp;"*",商品マスタ!$D:$E,2,FALSE))),"")</f>
        <v/>
      </c>
      <c r="Z79" t="str">
        <f t="shared" ca="1" si="29"/>
        <v/>
      </c>
      <c r="AA79" t="str">
        <f t="shared" ca="1" si="25"/>
        <v/>
      </c>
      <c r="AC79" t="str">
        <f t="shared" ca="1" si="26"/>
        <v/>
      </c>
      <c r="AD79" s="78" t="str">
        <f t="array" aca="1" ref="AD79" ca="1">IF(AND(IFERROR(COUNTIF(INDIRECT("R"&amp;IFERROR(SMALL(IF(AC$1:AC$140&lt;&gt;0,AC$1:AC$140),ROW(A79)),"")&amp;""),"*雙葉*"),0),COUNTIF(AE$1:AE78,"*雙葉*")),"",
IFERROR(SMALL(IF(AC$1:AC$140&lt;&gt;0,AC$1:AC$140),ROW(A79)),""))</f>
        <v/>
      </c>
      <c r="AE79" s="78" t="str">
        <f t="array" aca="1" ref="AE79" ca="1">IF($AD79&lt;&gt;"",INDIRECT("R"&amp;$AD79&amp;""),"")</f>
        <v/>
      </c>
      <c r="AF79" s="78" t="str">
        <f t="array" aca="1" ref="AF79" ca="1">IF($AD79&lt;&gt;"",
IF(INDIRECT("S"&amp;$AD79&amp;"")&lt;&gt;"",INDIRECT("S"&amp;$AD79&amp;""),""),"")</f>
        <v/>
      </c>
      <c r="AG79" s="78" t="str" cm="1">
        <f t="array" aca="1" ref="AG79" ca="1">IFERROR(IF($AD79&lt;&gt;"",INDIRECT("T"&amp;$AD79&amp;""),"")
+IF(COUNTIF(AE79,"*雙葉*"),
IFERROR(INDIRECT("T"&amp;MATCH("*雙葉*",INDIRECT("R"&amp;AD79+1&amp;":$R$140"),0)+ROW()&amp;""),0),0)
+IF(OR(COUNTIF(AO79,"*管理*"),COUNTIF(AO79,"予備")),
AQ79,0),"")</f>
        <v/>
      </c>
      <c r="AH79" s="78" t="str" cm="1">
        <f t="array" aca="1" ref="AH79" ca="1">IFERROR(IF($AD79&lt;&gt;"",INDIRECT("U"&amp;$AD79&amp;""),"")
+IF(COUNTIF(AE79,"*雙葉*"),
IFERROR(INDIRECT("U"&amp;MATCH("*雙葉*",INDIRECT("R"&amp;AD79+1&amp;":$R$140"),0)+ROW()&amp;""),0),0),"")</f>
        <v/>
      </c>
      <c r="AI79" s="78" t="str" cm="1">
        <f t="array" aca="1" ref="AI79" ca="1">IFERROR(IF($AD79&lt;&gt;"",INDIRECT("V"&amp;$AD79&amp;""),"")
+IF(COUNTIF(AE79,"*雙葉*"),
IFERROR(INDIRECT("V"&amp;MATCH("*雙葉*",INDIRECT("R"&amp;AD79+1&amp;":$R$140"),0)+ROW()&amp;""),0),0),"")</f>
        <v/>
      </c>
      <c r="AJ79" s="78" t="str">
        <f t="array" aca="1" ref="AJ79" ca="1">IF($AD79&lt;&gt;"",INDIRECT("W"&amp;$AD79&amp;""),"")</f>
        <v/>
      </c>
      <c r="AK79" s="78" t="str">
        <f t="array" aca="1" ref="AK79" ca="1">IF($AD79&lt;&gt;"",INDIRECT("Y"&amp;$AD79&amp;""),"")</f>
        <v/>
      </c>
      <c r="AL79" s="78" t="str">
        <f t="shared" ca="1" si="30"/>
        <v/>
      </c>
      <c r="AM79" s="78" t="str">
        <f t="shared" ca="1" si="28"/>
        <v/>
      </c>
      <c r="AN79" s="78" t="str">
        <f t="array" aca="1" ref="AN79" ca="1">IF($AD79&lt;&gt;"",INDIRECT("Q"&amp;$AD79&amp;""),"")</f>
        <v/>
      </c>
      <c r="AO79" s="78" t="str">
        <f ca="1">IFERROR(IF(AND(AN79&lt;&gt;"",VLOOKUP(AN79,得意先マスタ!$A$1:$Z$800,24,FALSE)&lt;&gt;0),
VLOOKUP(AN79,得意先マスタ!$A$1:$Z$800,24,FALSE),""),"")</f>
        <v/>
      </c>
      <c r="AP79" s="78" t="str">
        <f ca="1">IFERROR(IF(AND(AN79&lt;&gt;"",VLOOKUP(AN79,得意先マスタ!$A$1:$Z$800,25,FALSE)&lt;&gt;0),
VLOOKUP(AN79,得意先マスタ!$A$1:$Z$800,25,FALSE),""),"")</f>
        <v/>
      </c>
      <c r="AQ79" s="78" t="str">
        <f t="shared" ca="1" si="27"/>
        <v/>
      </c>
      <c r="AR79" s="78">
        <f t="shared" ca="1" si="18"/>
        <v>0</v>
      </c>
      <c r="AS79" s="78">
        <f t="shared" ca="1" si="31"/>
        <v>0</v>
      </c>
    </row>
    <row r="80" spans="16:45">
      <c r="P80" t="str">
        <f ca="1">IF(AND(N80=0, COUNTIFS($E$1:E80,E80)=1), E80,
IF(COUNTIF(F80,"*雙葉*"),E80,""))</f>
        <v/>
      </c>
      <c r="Q80" s="57" t="str">
        <f ca="1">IF(AND('盛付札（関数）'!AX30&lt;&gt;0,COUNTIF($Q$1:$Q$50,'盛付札（関数）'!AW30)=0),'盛付札（関数）'!AW30,"")</f>
        <v/>
      </c>
      <c r="R80" s="57" t="str">
        <f ca="1">IF($Q80&lt;&gt;"",OFFSET(得意先マスタ!$A$1,MATCH(Q80,得意先マスタ!A:A,0)-1,1),"")</f>
        <v/>
      </c>
      <c r="S80" s="57" t="str">
        <f ca="1">IF($Q80&lt;&gt;"",OFFSET('盛付札（関数）'!$AF$1,MATCH(X80,'盛付札（関数）'!$AE$1:$AE$70,0)-1,1),"")</f>
        <v/>
      </c>
      <c r="T80" s="57" t="str">
        <f ca="1">IF($Q80&lt;&gt;"",OFFSET('盛付札（関数）'!$AF$1,MATCH(X80,'盛付札（関数）'!$AE$1:$AE$70,0)-1,4),"")</f>
        <v/>
      </c>
      <c r="U80" s="57" t="str">
        <f ca="1">IF($Q80&lt;&gt;"",OFFSET('盛付札（関数）'!$AF$1,MATCH(X80,'盛付札（関数）'!$AE$1:$AE$70,0)-1,5),"")</f>
        <v/>
      </c>
      <c r="V80" s="57" t="str">
        <f ca="1">IF($Q80&lt;&gt;"",OFFSET('盛付札（関数）'!$AF$1,MATCH(X80,'盛付札（関数）'!$AE$1:$AE$70,0)-1,9),"")</f>
        <v/>
      </c>
      <c r="W80" s="57" t="str">
        <f ca="1">IF($Q80&lt;&gt;"",OFFSET('盛付札（関数）'!$AF$1,MATCH(X80,'盛付札（関数）'!$AE$1:$AE$70,0)-1,6),"")</f>
        <v/>
      </c>
      <c r="X80" s="57" t="str">
        <f ca="1">IF(AND('盛付札（関数）'!AX30&lt;&gt;0,COUNTIF($Q$1:$Q$50,'盛付札（関数）'!AW30)=0),'盛付札（関数）'!AE30,"")</f>
        <v/>
      </c>
      <c r="Y80" t="str">
        <f ca="1">IF(Q80&lt;&gt;"",
IF(COUNTIF(S80,"*キャラ*"),
VLOOKUP("*キャラ*",商品マスタ!$D:$E,2,FALSE),
IF(COUNTIF(S80,"*赤*"),
VLOOKUP("*赤*",商品マスタ!$D:$E,2,FALSE),
VLOOKUP("*"&amp;S80&amp;"*",商品マスタ!$D:$E,2,FALSE))),"")</f>
        <v/>
      </c>
      <c r="Z80" t="str">
        <f t="shared" ca="1" si="29"/>
        <v/>
      </c>
      <c r="AA80" t="str">
        <f t="shared" ca="1" si="25"/>
        <v/>
      </c>
      <c r="AC80" t="str">
        <f t="shared" ca="1" si="26"/>
        <v/>
      </c>
      <c r="AD80" s="78" t="str">
        <f t="array" aca="1" ref="AD80" ca="1">IF(AND(IFERROR(COUNTIF(INDIRECT("R"&amp;IFERROR(SMALL(IF(AC$1:AC$140&lt;&gt;0,AC$1:AC$140),ROW(A80)),"")&amp;""),"*雙葉*"),0),COUNTIF(AE$1:AE79,"*雙葉*")),"",
IFERROR(SMALL(IF(AC$1:AC$140&lt;&gt;0,AC$1:AC$140),ROW(A80)),""))</f>
        <v/>
      </c>
      <c r="AE80" s="78" t="str">
        <f t="array" aca="1" ref="AE80" ca="1">IF($AD80&lt;&gt;"",INDIRECT("R"&amp;$AD80&amp;""),"")</f>
        <v/>
      </c>
      <c r="AF80" s="78" t="str">
        <f t="array" aca="1" ref="AF80" ca="1">IF($AD80&lt;&gt;"",
IF(INDIRECT("S"&amp;$AD80&amp;"")&lt;&gt;"",INDIRECT("S"&amp;$AD80&amp;""),""),"")</f>
        <v/>
      </c>
      <c r="AG80" s="78" t="str" cm="1">
        <f t="array" aca="1" ref="AG80" ca="1">IFERROR(IF($AD80&lt;&gt;"",INDIRECT("T"&amp;$AD80&amp;""),"")
+IF(COUNTIF(AE80,"*雙葉*"),
IFERROR(INDIRECT("T"&amp;MATCH("*雙葉*",INDIRECT("R"&amp;AD80+1&amp;":$R$140"),0)+ROW()&amp;""),0),0)
+IF(OR(COUNTIF(AO80,"*管理*"),COUNTIF(AO80,"予備")),
AQ80,0),"")</f>
        <v/>
      </c>
      <c r="AH80" s="78" t="str" cm="1">
        <f t="array" aca="1" ref="AH80" ca="1">IFERROR(IF($AD80&lt;&gt;"",INDIRECT("U"&amp;$AD80&amp;""),"")
+IF(COUNTIF(AE80,"*雙葉*"),
IFERROR(INDIRECT("U"&amp;MATCH("*雙葉*",INDIRECT("R"&amp;AD80+1&amp;":$R$140"),0)+ROW()&amp;""),0),0),"")</f>
        <v/>
      </c>
      <c r="AI80" s="78" t="str" cm="1">
        <f t="array" aca="1" ref="AI80" ca="1">IFERROR(IF($AD80&lt;&gt;"",INDIRECT("V"&amp;$AD80&amp;""),"")
+IF(COUNTIF(AE80,"*雙葉*"),
IFERROR(INDIRECT("V"&amp;MATCH("*雙葉*",INDIRECT("R"&amp;AD80+1&amp;":$R$140"),0)+ROW()&amp;""),0),0),"")</f>
        <v/>
      </c>
      <c r="AJ80" s="78" t="str">
        <f t="array" aca="1" ref="AJ80" ca="1">IF($AD80&lt;&gt;"",INDIRECT("W"&amp;$AD80&amp;""),"")</f>
        <v/>
      </c>
      <c r="AK80" s="78" t="str">
        <f t="array" aca="1" ref="AK80" ca="1">IF($AD80&lt;&gt;"",INDIRECT("Y"&amp;$AD80&amp;""),"")</f>
        <v/>
      </c>
      <c r="AL80" s="78" t="str">
        <f t="shared" ca="1" si="30"/>
        <v/>
      </c>
      <c r="AM80" s="78" t="str">
        <f t="shared" ca="1" si="28"/>
        <v/>
      </c>
      <c r="AN80" s="78" t="str">
        <f t="array" aca="1" ref="AN80" ca="1">IF($AD80&lt;&gt;"",INDIRECT("Q"&amp;$AD80&amp;""),"")</f>
        <v/>
      </c>
      <c r="AO80" s="78" t="str">
        <f ca="1">IFERROR(IF(AND(AN80&lt;&gt;"",VLOOKUP(AN80,得意先マスタ!$A$1:$Z$800,24,FALSE)&lt;&gt;0),
VLOOKUP(AN80,得意先マスタ!$A$1:$Z$800,24,FALSE),""),"")</f>
        <v/>
      </c>
      <c r="AP80" s="78" t="str">
        <f ca="1">IFERROR(IF(AND(AN80&lt;&gt;"",VLOOKUP(AN80,得意先マスタ!$A$1:$Z$800,25,FALSE)&lt;&gt;0),
VLOOKUP(AN80,得意先マスタ!$A$1:$Z$800,25,FALSE),""),"")</f>
        <v/>
      </c>
      <c r="AQ80" s="78" t="str">
        <f t="shared" ca="1" si="27"/>
        <v/>
      </c>
      <c r="AR80" s="78">
        <f t="shared" ca="1" si="18"/>
        <v>0</v>
      </c>
      <c r="AS80" s="78">
        <f t="shared" ca="1" si="31"/>
        <v>0</v>
      </c>
    </row>
    <row r="81" spans="16:45">
      <c r="P81" t="str">
        <f ca="1">IF(AND(N81=0, COUNTIFS($E$1:E81,E81)=1), E81,
IF(COUNTIF(F81,"*雙葉*"),E81,""))</f>
        <v/>
      </c>
      <c r="Q81" s="57" t="str">
        <f ca="1">IF(AND('盛付札（関数）'!AX31&lt;&gt;0,COUNTIF($Q$1:$Q$50,'盛付札（関数）'!AW31)=0),'盛付札（関数）'!AW31,"")</f>
        <v/>
      </c>
      <c r="R81" s="57" t="str">
        <f ca="1">IF($Q81&lt;&gt;"",OFFSET(得意先マスタ!$A$1,MATCH(Q81,得意先マスタ!A:A,0)-1,1),"")</f>
        <v/>
      </c>
      <c r="S81" s="57" t="str">
        <f ca="1">IF($Q81&lt;&gt;"",OFFSET('盛付札（関数）'!$AF$1,MATCH(X81,'盛付札（関数）'!$AE$1:$AE$70,0)-1,1),"")</f>
        <v/>
      </c>
      <c r="T81" s="57" t="str">
        <f ca="1">IF($Q81&lt;&gt;"",OFFSET('盛付札（関数）'!$AF$1,MATCH(X81,'盛付札（関数）'!$AE$1:$AE$70,0)-1,4),"")</f>
        <v/>
      </c>
      <c r="U81" s="57" t="str">
        <f ca="1">IF($Q81&lt;&gt;"",OFFSET('盛付札（関数）'!$AF$1,MATCH(X81,'盛付札（関数）'!$AE$1:$AE$70,0)-1,5),"")</f>
        <v/>
      </c>
      <c r="V81" s="57" t="str">
        <f ca="1">IF($Q81&lt;&gt;"",OFFSET('盛付札（関数）'!$AF$1,MATCH(X81,'盛付札（関数）'!$AE$1:$AE$70,0)-1,9),"")</f>
        <v/>
      </c>
      <c r="W81" s="57" t="str">
        <f ca="1">IF($Q81&lt;&gt;"",OFFSET('盛付札（関数）'!$AF$1,MATCH(X81,'盛付札（関数）'!$AE$1:$AE$70,0)-1,6),"")</f>
        <v/>
      </c>
      <c r="X81" s="57" t="str">
        <f ca="1">IF(AND('盛付札（関数）'!AX31&lt;&gt;0,COUNTIF($Q$1:$Q$50,'盛付札（関数）'!AW31)=0),'盛付札（関数）'!AE31,"")</f>
        <v/>
      </c>
      <c r="Y81" t="str">
        <f ca="1">IF(Q81&lt;&gt;"",
IF(COUNTIF(S81,"*キャラ*"),
VLOOKUP("*キャラ*",商品マスタ!$D:$E,2,FALSE),
IF(COUNTIF(S81,"*赤*"),
VLOOKUP("*赤*",商品マスタ!$D:$E,2,FALSE),
VLOOKUP("*"&amp;S81&amp;"*",商品マスタ!$D:$E,2,FALSE))),"")</f>
        <v/>
      </c>
      <c r="Z81" t="str">
        <f t="shared" ca="1" si="29"/>
        <v/>
      </c>
      <c r="AA81" t="str">
        <f t="shared" ca="1" si="25"/>
        <v/>
      </c>
      <c r="AC81" t="str">
        <f t="shared" ca="1" si="26"/>
        <v/>
      </c>
      <c r="AD81" s="78" t="str">
        <f t="array" aca="1" ref="AD81" ca="1">IF(AND(IFERROR(COUNTIF(INDIRECT("R"&amp;IFERROR(SMALL(IF(AC$1:AC$140&lt;&gt;0,AC$1:AC$140),ROW(A81)),"")&amp;""),"*雙葉*"),0),COUNTIF(AE$1:AE80,"*雙葉*")),"",
IFERROR(SMALL(IF(AC$1:AC$140&lt;&gt;0,AC$1:AC$140),ROW(A81)),""))</f>
        <v/>
      </c>
      <c r="AE81" s="78" t="str">
        <f t="array" aca="1" ref="AE81" ca="1">IF($AD81&lt;&gt;"",INDIRECT("R"&amp;$AD81&amp;""),"")</f>
        <v/>
      </c>
      <c r="AF81" s="78" t="str">
        <f t="array" aca="1" ref="AF81" ca="1">IF($AD81&lt;&gt;"",
IF(INDIRECT("S"&amp;$AD81&amp;"")&lt;&gt;"",INDIRECT("S"&amp;$AD81&amp;""),""),"")</f>
        <v/>
      </c>
      <c r="AG81" s="78" t="str" cm="1">
        <f t="array" aca="1" ref="AG81" ca="1">IFERROR(IF($AD81&lt;&gt;"",INDIRECT("T"&amp;$AD81&amp;""),"")
+IF(COUNTIF(AE81,"*雙葉*"),
IFERROR(INDIRECT("T"&amp;MATCH("*雙葉*",INDIRECT("R"&amp;AD81+1&amp;":$R$140"),0)+ROW()&amp;""),0),0)
+IF(OR(COUNTIF(AO81,"*管理*"),COUNTIF(AO81,"予備")),
AQ81,0),"")</f>
        <v/>
      </c>
      <c r="AH81" s="78" t="str" cm="1">
        <f t="array" aca="1" ref="AH81" ca="1">IFERROR(IF($AD81&lt;&gt;"",INDIRECT("U"&amp;$AD81&amp;""),"")
+IF(COUNTIF(AE81,"*雙葉*"),
IFERROR(INDIRECT("U"&amp;MATCH("*雙葉*",INDIRECT("R"&amp;AD81+1&amp;":$R$140"),0)+ROW()&amp;""),0),0),"")</f>
        <v/>
      </c>
      <c r="AI81" s="78" t="str" cm="1">
        <f t="array" aca="1" ref="AI81" ca="1">IFERROR(IF($AD81&lt;&gt;"",INDIRECT("V"&amp;$AD81&amp;""),"")
+IF(COUNTIF(AE81,"*雙葉*"),
IFERROR(INDIRECT("V"&amp;MATCH("*雙葉*",INDIRECT("R"&amp;AD81+1&amp;":$R$140"),0)+ROW()&amp;""),0),0),"")</f>
        <v/>
      </c>
      <c r="AJ81" s="78" t="str">
        <f t="array" aca="1" ref="AJ81" ca="1">IF($AD81&lt;&gt;"",INDIRECT("W"&amp;$AD81&amp;""),"")</f>
        <v/>
      </c>
      <c r="AK81" s="78" t="str">
        <f t="array" aca="1" ref="AK81" ca="1">IF($AD81&lt;&gt;"",INDIRECT("Y"&amp;$AD81&amp;""),"")</f>
        <v/>
      </c>
      <c r="AL81" s="78" t="str">
        <f t="shared" ca="1" si="30"/>
        <v/>
      </c>
      <c r="AM81" s="78" t="str">
        <f t="shared" ca="1" si="28"/>
        <v/>
      </c>
      <c r="AN81" s="78" t="str">
        <f t="array" aca="1" ref="AN81" ca="1">IF($AD81&lt;&gt;"",INDIRECT("Q"&amp;$AD81&amp;""),"")</f>
        <v/>
      </c>
      <c r="AO81" s="78" t="str">
        <f ca="1">IFERROR(IF(AND(AN81&lt;&gt;"",VLOOKUP(AN81,得意先マスタ!$A$1:$Z$800,24,FALSE)&lt;&gt;0),
VLOOKUP(AN81,得意先マスタ!$A$1:$Z$800,24,FALSE),""),"")</f>
        <v/>
      </c>
      <c r="AP81" s="78" t="str">
        <f ca="1">IFERROR(IF(AND(AN81&lt;&gt;"",VLOOKUP(AN81,得意先マスタ!$A$1:$Z$800,25,FALSE)&lt;&gt;0),
VLOOKUP(AN81,得意先マスタ!$A$1:$Z$800,25,FALSE),""),"")</f>
        <v/>
      </c>
      <c r="AQ81" s="78" t="str">
        <f t="shared" ca="1" si="27"/>
        <v/>
      </c>
      <c r="AR81" s="78">
        <f t="shared" ca="1" si="18"/>
        <v>0</v>
      </c>
      <c r="AS81" s="78">
        <f t="shared" ca="1" si="31"/>
        <v>0</v>
      </c>
    </row>
    <row r="82" spans="16:45">
      <c r="P82" t="str">
        <f ca="1">IF(AND(N82=0, COUNTIFS($E$1:E82,E82)=1), E82,
IF(COUNTIF(F82,"*雙葉*"),E82,""))</f>
        <v/>
      </c>
      <c r="Q82" s="57" t="str">
        <f ca="1">IF(AND('盛付札（関数）'!AX32&lt;&gt;0,COUNTIF($Q$1:$Q$50,'盛付札（関数）'!AW32)=0),'盛付札（関数）'!AW32,"")</f>
        <v/>
      </c>
      <c r="R82" s="57" t="str">
        <f ca="1">IF($Q82&lt;&gt;"",OFFSET(得意先マスタ!$A$1,MATCH(Q82,得意先マスタ!A:A,0)-1,1),"")</f>
        <v/>
      </c>
      <c r="S82" s="57" t="str">
        <f ca="1">IF($Q82&lt;&gt;"",OFFSET('盛付札（関数）'!$AF$1,MATCH(X82,'盛付札（関数）'!$AE$1:$AE$70,0)-1,1),"")</f>
        <v/>
      </c>
      <c r="T82" s="57" t="str">
        <f ca="1">IF($Q82&lt;&gt;"",OFFSET('盛付札（関数）'!$AF$1,MATCH(X82,'盛付札（関数）'!$AE$1:$AE$70,0)-1,4),"")</f>
        <v/>
      </c>
      <c r="U82" s="57" t="str">
        <f ca="1">IF($Q82&lt;&gt;"",OFFSET('盛付札（関数）'!$AF$1,MATCH(X82,'盛付札（関数）'!$AE$1:$AE$70,0)-1,5),"")</f>
        <v/>
      </c>
      <c r="V82" s="57" t="str">
        <f ca="1">IF($Q82&lt;&gt;"",OFFSET('盛付札（関数）'!$AF$1,MATCH(X82,'盛付札（関数）'!$AE$1:$AE$70,0)-1,9),"")</f>
        <v/>
      </c>
      <c r="W82" s="57" t="str">
        <f ca="1">IF($Q82&lt;&gt;"",OFFSET('盛付札（関数）'!$AF$1,MATCH(X82,'盛付札（関数）'!$AE$1:$AE$70,0)-1,6),"")</f>
        <v/>
      </c>
      <c r="X82" s="57" t="str">
        <f ca="1">IF(AND('盛付札（関数）'!AX32&lt;&gt;0,COUNTIF($Q$1:$Q$50,'盛付札（関数）'!AW32)=0),'盛付札（関数）'!AE32,"")</f>
        <v/>
      </c>
      <c r="Y82" t="str">
        <f ca="1">IF(Q82&lt;&gt;"",
IF(COUNTIF(S82,"*キャラ*"),
VLOOKUP("*キャラ*",商品マスタ!$D:$E,2,FALSE),
IF(COUNTIF(S82,"*赤*"),
VLOOKUP("*赤*",商品マスタ!$D:$E,2,FALSE),
VLOOKUP("*"&amp;S82&amp;"*",商品マスタ!$D:$E,2,FALSE))),"")</f>
        <v/>
      </c>
      <c r="Z82" t="str">
        <f t="shared" ca="1" si="29"/>
        <v/>
      </c>
      <c r="AA82" t="str">
        <f t="shared" ca="1" si="25"/>
        <v/>
      </c>
      <c r="AC82" t="str">
        <f t="shared" ca="1" si="26"/>
        <v/>
      </c>
      <c r="AD82" s="78" t="str">
        <f t="array" aca="1" ref="AD82" ca="1">IF(AND(IFERROR(COUNTIF(INDIRECT("R"&amp;IFERROR(SMALL(IF(AC$1:AC$140&lt;&gt;0,AC$1:AC$140),ROW(A82)),"")&amp;""),"*雙葉*"),0),COUNTIF(AE$1:AE81,"*雙葉*")),"",
IFERROR(SMALL(IF(AC$1:AC$140&lt;&gt;0,AC$1:AC$140),ROW(A82)),""))</f>
        <v/>
      </c>
      <c r="AE82" s="78" t="str">
        <f t="array" aca="1" ref="AE82" ca="1">IF($AD82&lt;&gt;"",INDIRECT("R"&amp;$AD82&amp;""),"")</f>
        <v/>
      </c>
      <c r="AF82" s="78" t="str">
        <f t="array" aca="1" ref="AF82" ca="1">IF($AD82&lt;&gt;"",
IF(INDIRECT("S"&amp;$AD82&amp;"")&lt;&gt;"",INDIRECT("S"&amp;$AD82&amp;""),""),"")</f>
        <v/>
      </c>
      <c r="AG82" s="78" t="str" cm="1">
        <f t="array" aca="1" ref="AG82" ca="1">IFERROR(IF($AD82&lt;&gt;"",INDIRECT("T"&amp;$AD82&amp;""),"")
+IF(COUNTIF(AE82,"*雙葉*"),
IFERROR(INDIRECT("T"&amp;MATCH("*雙葉*",INDIRECT("R"&amp;AD82+1&amp;":$R$140"),0)+ROW()&amp;""),0),0)
+IF(OR(COUNTIF(AO82,"*管理*"),COUNTIF(AO82,"予備")),
AQ82,0),"")</f>
        <v/>
      </c>
      <c r="AH82" s="78" t="str" cm="1">
        <f t="array" aca="1" ref="AH82" ca="1">IFERROR(IF($AD82&lt;&gt;"",INDIRECT("U"&amp;$AD82&amp;""),"")
+IF(COUNTIF(AE82,"*雙葉*"),
IFERROR(INDIRECT("U"&amp;MATCH("*雙葉*",INDIRECT("R"&amp;AD82+1&amp;":$R$140"),0)+ROW()&amp;""),0),0),"")</f>
        <v/>
      </c>
      <c r="AI82" s="78" t="str" cm="1">
        <f t="array" aca="1" ref="AI82" ca="1">IFERROR(IF($AD82&lt;&gt;"",INDIRECT("V"&amp;$AD82&amp;""),"")
+IF(COUNTIF(AE82,"*雙葉*"),
IFERROR(INDIRECT("V"&amp;MATCH("*雙葉*",INDIRECT("R"&amp;AD82+1&amp;":$R$140"),0)+ROW()&amp;""),0),0),"")</f>
        <v/>
      </c>
      <c r="AJ82" s="78" t="str">
        <f t="array" aca="1" ref="AJ82" ca="1">IF($AD82&lt;&gt;"",INDIRECT("W"&amp;$AD82&amp;""),"")</f>
        <v/>
      </c>
      <c r="AK82" s="78" t="str">
        <f t="array" aca="1" ref="AK82" ca="1">IF($AD82&lt;&gt;"",INDIRECT("Y"&amp;$AD82&amp;""),"")</f>
        <v/>
      </c>
      <c r="AL82" s="78" t="str">
        <f t="shared" ca="1" si="30"/>
        <v/>
      </c>
      <c r="AM82" s="78" t="str">
        <f t="shared" ca="1" si="28"/>
        <v/>
      </c>
      <c r="AN82" s="78" t="str">
        <f t="array" aca="1" ref="AN82" ca="1">IF($AD82&lt;&gt;"",INDIRECT("Q"&amp;$AD82&amp;""),"")</f>
        <v/>
      </c>
      <c r="AO82" s="78" t="str">
        <f ca="1">IFERROR(IF(AND(AN82&lt;&gt;"",VLOOKUP(AN82,得意先マスタ!$A$1:$Z$800,24,FALSE)&lt;&gt;0),
VLOOKUP(AN82,得意先マスタ!$A$1:$Z$800,24,FALSE),""),"")</f>
        <v/>
      </c>
      <c r="AP82" s="78" t="str">
        <f ca="1">IFERROR(IF(AND(AN82&lt;&gt;"",VLOOKUP(AN82,得意先マスタ!$A$1:$Z$800,25,FALSE)&lt;&gt;0),
VLOOKUP(AN82,得意先マスタ!$A$1:$Z$800,25,FALSE),""),"")</f>
        <v/>
      </c>
      <c r="AQ82" s="78" t="str">
        <f t="shared" ca="1" si="27"/>
        <v/>
      </c>
      <c r="AR82" s="78">
        <f t="shared" ca="1" si="18"/>
        <v>0</v>
      </c>
      <c r="AS82" s="78">
        <f t="shared" ca="1" si="31"/>
        <v>0</v>
      </c>
    </row>
    <row r="83" spans="16:45">
      <c r="P83" t="str">
        <f ca="1">IF(AND(N83=0, COUNTIFS($E$1:E83,E83)=1), E83,
IF(COUNTIF(F83,"*雙葉*"),E83,""))</f>
        <v/>
      </c>
      <c r="Q83" s="57" t="str">
        <f ca="1">IF(AND('盛付札（関数）'!AX33&lt;&gt;0,COUNTIF($Q$1:$Q$50,'盛付札（関数）'!AW33)=0),'盛付札（関数）'!AW33,"")</f>
        <v/>
      </c>
      <c r="R83" s="57" t="str">
        <f ca="1">IF($Q83&lt;&gt;"",OFFSET(得意先マスタ!$A$1,MATCH(Q83,得意先マスタ!A:A,0)-1,1),"")</f>
        <v/>
      </c>
      <c r="S83" s="57" t="str">
        <f ca="1">IF($Q83&lt;&gt;"",OFFSET('盛付札（関数）'!$AF$1,MATCH(X83,'盛付札（関数）'!$AE$1:$AE$70,0)-1,1),"")</f>
        <v/>
      </c>
      <c r="T83" s="57" t="str">
        <f ca="1">IF($Q83&lt;&gt;"",OFFSET('盛付札（関数）'!$AF$1,MATCH(X83,'盛付札（関数）'!$AE$1:$AE$70,0)-1,4),"")</f>
        <v/>
      </c>
      <c r="U83" s="57" t="str">
        <f ca="1">IF($Q83&lt;&gt;"",OFFSET('盛付札（関数）'!$AF$1,MATCH(X83,'盛付札（関数）'!$AE$1:$AE$70,0)-1,5),"")</f>
        <v/>
      </c>
      <c r="V83" s="57" t="str">
        <f ca="1">IF($Q83&lt;&gt;"",OFFSET('盛付札（関数）'!$AF$1,MATCH(X83,'盛付札（関数）'!$AE$1:$AE$70,0)-1,9),"")</f>
        <v/>
      </c>
      <c r="W83" s="57" t="str">
        <f ca="1">IF($Q83&lt;&gt;"",OFFSET('盛付札（関数）'!$AF$1,MATCH(X83,'盛付札（関数）'!$AE$1:$AE$70,0)-1,6),"")</f>
        <v/>
      </c>
      <c r="X83" s="57" t="str">
        <f ca="1">IF(AND('盛付札（関数）'!AX33&lt;&gt;0,COUNTIF($Q$1:$Q$50,'盛付札（関数）'!AW33)=0),'盛付札（関数）'!AE33,"")</f>
        <v/>
      </c>
      <c r="Y83" t="str">
        <f ca="1">IF(Q83&lt;&gt;"",
IF(COUNTIF(S83,"*キャラ*"),
VLOOKUP("*キャラ*",商品マスタ!$D:$E,2,FALSE),
IF(COUNTIF(S83,"*赤*"),
VLOOKUP("*赤*",商品マスタ!$D:$E,2,FALSE),
VLOOKUP("*"&amp;S83&amp;"*",商品マスタ!$D:$E,2,FALSE))),"")</f>
        <v/>
      </c>
      <c r="Z83" t="str">
        <f t="shared" ca="1" si="29"/>
        <v/>
      </c>
      <c r="AA83" t="str">
        <f t="shared" ca="1" si="25"/>
        <v/>
      </c>
      <c r="AC83" t="str">
        <f t="shared" ca="1" si="26"/>
        <v/>
      </c>
      <c r="AD83" s="78" t="str">
        <f t="array" aca="1" ref="AD83" ca="1">IF(AND(IFERROR(COUNTIF(INDIRECT("R"&amp;IFERROR(SMALL(IF(AC$1:AC$140&lt;&gt;0,AC$1:AC$140),ROW(A83)),"")&amp;""),"*雙葉*"),0),COUNTIF(AE$1:AE82,"*雙葉*")),"",
IFERROR(SMALL(IF(AC$1:AC$140&lt;&gt;0,AC$1:AC$140),ROW(A83)),""))</f>
        <v/>
      </c>
      <c r="AE83" s="78" t="str">
        <f t="array" aca="1" ref="AE83" ca="1">IF($AD83&lt;&gt;"",INDIRECT("R"&amp;$AD83&amp;""),"")</f>
        <v/>
      </c>
      <c r="AF83" s="78" t="str">
        <f t="array" aca="1" ref="AF83" ca="1">IF($AD83&lt;&gt;"",
IF(INDIRECT("S"&amp;$AD83&amp;"")&lt;&gt;"",INDIRECT("S"&amp;$AD83&amp;""),""),"")</f>
        <v/>
      </c>
      <c r="AG83" s="78" t="str" cm="1">
        <f t="array" aca="1" ref="AG83" ca="1">IFERROR(IF($AD83&lt;&gt;"",INDIRECT("T"&amp;$AD83&amp;""),"")
+IF(COUNTIF(AE83,"*雙葉*"),
IFERROR(INDIRECT("T"&amp;MATCH("*雙葉*",INDIRECT("R"&amp;AD83+1&amp;":$R$140"),0)+ROW()&amp;""),0),0)
+IF(OR(COUNTIF(AO83,"*管理*"),COUNTIF(AO83,"予備")),
AQ83,0),"")</f>
        <v/>
      </c>
      <c r="AH83" s="78" t="str" cm="1">
        <f t="array" aca="1" ref="AH83" ca="1">IFERROR(IF($AD83&lt;&gt;"",INDIRECT("U"&amp;$AD83&amp;""),"")
+IF(COUNTIF(AE83,"*雙葉*"),
IFERROR(INDIRECT("U"&amp;MATCH("*雙葉*",INDIRECT("R"&amp;AD83+1&amp;":$R$140"),0)+ROW()&amp;""),0),0),"")</f>
        <v/>
      </c>
      <c r="AI83" s="78" t="str" cm="1">
        <f t="array" aca="1" ref="AI83" ca="1">IFERROR(IF($AD83&lt;&gt;"",INDIRECT("V"&amp;$AD83&amp;""),"")
+IF(COUNTIF(AE83,"*雙葉*"),
IFERROR(INDIRECT("V"&amp;MATCH("*雙葉*",INDIRECT("R"&amp;AD83+1&amp;":$R$140"),0)+ROW()&amp;""),0),0),"")</f>
        <v/>
      </c>
      <c r="AJ83" s="78" t="str">
        <f t="array" aca="1" ref="AJ83" ca="1">IF($AD83&lt;&gt;"",INDIRECT("W"&amp;$AD83&amp;""),"")</f>
        <v/>
      </c>
      <c r="AK83" s="78" t="str">
        <f t="array" aca="1" ref="AK83" ca="1">IF($AD83&lt;&gt;"",INDIRECT("Y"&amp;$AD83&amp;""),"")</f>
        <v/>
      </c>
      <c r="AL83" s="78" t="str">
        <f t="shared" ca="1" si="30"/>
        <v/>
      </c>
      <c r="AM83" s="78" t="str">
        <f t="shared" ca="1" si="28"/>
        <v/>
      </c>
      <c r="AN83" s="78" t="str">
        <f t="array" aca="1" ref="AN83" ca="1">IF($AD83&lt;&gt;"",INDIRECT("Q"&amp;$AD83&amp;""),"")</f>
        <v/>
      </c>
      <c r="AO83" s="78" t="str">
        <f ca="1">IFERROR(IF(AND(AN83&lt;&gt;"",VLOOKUP(AN83,得意先マスタ!$A$1:$Z$800,24,FALSE)&lt;&gt;0),
VLOOKUP(AN83,得意先マスタ!$A$1:$Z$800,24,FALSE),""),"")</f>
        <v/>
      </c>
      <c r="AP83" s="78" t="str">
        <f ca="1">IFERROR(IF(AND(AN83&lt;&gt;"",VLOOKUP(AN83,得意先マスタ!$A$1:$Z$800,25,FALSE)&lt;&gt;0),
VLOOKUP(AN83,得意先マスタ!$A$1:$Z$800,25,FALSE),""),"")</f>
        <v/>
      </c>
      <c r="AQ83" s="78" t="str">
        <f t="shared" ca="1" si="27"/>
        <v/>
      </c>
      <c r="AR83" s="78">
        <f t="shared" ca="1" si="18"/>
        <v>0</v>
      </c>
      <c r="AS83" s="78">
        <f t="shared" ca="1" si="31"/>
        <v>0</v>
      </c>
    </row>
    <row r="84" spans="16:45">
      <c r="P84" t="str">
        <f ca="1">IF(AND(N84=0, COUNTIFS($E$1:E84,E84)=1), E84,
IF(COUNTIF(F84,"*雙葉*"),E84,""))</f>
        <v/>
      </c>
      <c r="Q84" s="57" t="str">
        <f ca="1">IF(AND('盛付札（関数）'!AX34&lt;&gt;0,COUNTIF($Q$1:$Q$50,'盛付札（関数）'!AW34)=0),'盛付札（関数）'!AW34,"")</f>
        <v/>
      </c>
      <c r="R84" s="57" t="str">
        <f ca="1">IF($Q84&lt;&gt;"",OFFSET(得意先マスタ!$A$1,MATCH(Q84,得意先マスタ!A:A,0)-1,1),"")</f>
        <v/>
      </c>
      <c r="S84" s="57" t="str">
        <f ca="1">IF($Q84&lt;&gt;"",OFFSET('盛付札（関数）'!$AF$1,MATCH(X84,'盛付札（関数）'!$AE$1:$AE$70,0)-1,1),"")</f>
        <v/>
      </c>
      <c r="T84" s="57" t="str">
        <f ca="1">IF($Q84&lt;&gt;"",OFFSET('盛付札（関数）'!$AF$1,MATCH(X84,'盛付札（関数）'!$AE$1:$AE$70,0)-1,4),"")</f>
        <v/>
      </c>
      <c r="U84" s="57" t="str">
        <f ca="1">IF($Q84&lt;&gt;"",OFFSET('盛付札（関数）'!$AF$1,MATCH(X84,'盛付札（関数）'!$AE$1:$AE$70,0)-1,5),"")</f>
        <v/>
      </c>
      <c r="V84" s="57" t="str">
        <f ca="1">IF($Q84&lt;&gt;"",OFFSET('盛付札（関数）'!$AF$1,MATCH(X84,'盛付札（関数）'!$AE$1:$AE$70,0)-1,9),"")</f>
        <v/>
      </c>
      <c r="W84" s="57" t="str">
        <f ca="1">IF($Q84&lt;&gt;"",OFFSET('盛付札（関数）'!$AF$1,MATCH(X84,'盛付札（関数）'!$AE$1:$AE$70,0)-1,6),"")</f>
        <v/>
      </c>
      <c r="X84" s="57" t="str">
        <f ca="1">IF(AND('盛付札（関数）'!AX34&lt;&gt;0,COUNTIF($Q$1:$Q$50,'盛付札（関数）'!AW34)=0),'盛付札（関数）'!AE34,"")</f>
        <v/>
      </c>
      <c r="Y84" t="str">
        <f ca="1">IF(Q84&lt;&gt;"",
IF(COUNTIF(S84,"*キャラ*"),
VLOOKUP("*キャラ*",商品マスタ!$D:$E,2,FALSE),
IF(COUNTIF(S84,"*赤*"),
VLOOKUP("*赤*",商品マスタ!$D:$E,2,FALSE),
VLOOKUP("*"&amp;S84&amp;"*",商品マスタ!$D:$E,2,FALSE))),"")</f>
        <v/>
      </c>
      <c r="Z84" t="str">
        <f t="shared" ca="1" si="29"/>
        <v/>
      </c>
      <c r="AA84" t="str">
        <f t="shared" ca="1" si="25"/>
        <v/>
      </c>
      <c r="AC84" t="str">
        <f t="shared" ca="1" si="26"/>
        <v/>
      </c>
      <c r="AD84" s="78" t="str">
        <f t="array" aca="1" ref="AD84" ca="1">IF(AND(IFERROR(COUNTIF(INDIRECT("R"&amp;IFERROR(SMALL(IF(AC$1:AC$140&lt;&gt;0,AC$1:AC$140),ROW(A84)),"")&amp;""),"*雙葉*"),0),COUNTIF(AE$1:AE83,"*雙葉*")),"",
IFERROR(SMALL(IF(AC$1:AC$140&lt;&gt;0,AC$1:AC$140),ROW(A84)),""))</f>
        <v/>
      </c>
      <c r="AE84" s="78" t="str">
        <f t="array" aca="1" ref="AE84" ca="1">IF($AD84&lt;&gt;"",INDIRECT("R"&amp;$AD84&amp;""),"")</f>
        <v/>
      </c>
      <c r="AF84" s="78" t="str">
        <f t="array" aca="1" ref="AF84" ca="1">IF($AD84&lt;&gt;"",
IF(INDIRECT("S"&amp;$AD84&amp;"")&lt;&gt;"",INDIRECT("S"&amp;$AD84&amp;""),""),"")</f>
        <v/>
      </c>
      <c r="AG84" s="78" t="str" cm="1">
        <f t="array" aca="1" ref="AG84" ca="1">IFERROR(IF($AD84&lt;&gt;"",INDIRECT("T"&amp;$AD84&amp;""),"")
+IF(COUNTIF(AE84,"*雙葉*"),
IFERROR(INDIRECT("T"&amp;MATCH("*雙葉*",INDIRECT("R"&amp;AD84+1&amp;":$R$140"),0)+ROW()&amp;""),0),0)
+IF(OR(COUNTIF(AO84,"*管理*"),COUNTIF(AO84,"予備")),
AQ84,0),"")</f>
        <v/>
      </c>
      <c r="AH84" s="78" t="str" cm="1">
        <f t="array" aca="1" ref="AH84" ca="1">IFERROR(IF($AD84&lt;&gt;"",INDIRECT("U"&amp;$AD84&amp;""),"")
+IF(COUNTIF(AE84,"*雙葉*"),
IFERROR(INDIRECT("U"&amp;MATCH("*雙葉*",INDIRECT("R"&amp;AD84+1&amp;":$R$140"),0)+ROW()&amp;""),0),0),"")</f>
        <v/>
      </c>
      <c r="AI84" s="78" t="str" cm="1">
        <f t="array" aca="1" ref="AI84" ca="1">IFERROR(IF($AD84&lt;&gt;"",INDIRECT("V"&amp;$AD84&amp;""),"")
+IF(COUNTIF(AE84,"*雙葉*"),
IFERROR(INDIRECT("V"&amp;MATCH("*雙葉*",INDIRECT("R"&amp;AD84+1&amp;":$R$140"),0)+ROW()&amp;""),0),0),"")</f>
        <v/>
      </c>
      <c r="AJ84" s="78" t="str">
        <f t="array" aca="1" ref="AJ84" ca="1">IF($AD84&lt;&gt;"",INDIRECT("W"&amp;$AD84&amp;""),"")</f>
        <v/>
      </c>
      <c r="AK84" s="78" t="str">
        <f t="array" aca="1" ref="AK84" ca="1">IF($AD84&lt;&gt;"",INDIRECT("Y"&amp;$AD84&amp;""),"")</f>
        <v/>
      </c>
      <c r="AL84" s="78" t="str">
        <f t="shared" ca="1" si="30"/>
        <v/>
      </c>
      <c r="AM84" s="78" t="str">
        <f t="shared" ca="1" si="28"/>
        <v/>
      </c>
      <c r="AN84" s="78" t="str">
        <f t="array" aca="1" ref="AN84" ca="1">IF($AD84&lt;&gt;"",INDIRECT("Q"&amp;$AD84&amp;""),"")</f>
        <v/>
      </c>
      <c r="AO84" s="78" t="str">
        <f ca="1">IFERROR(IF(AND(AN84&lt;&gt;"",VLOOKUP(AN84,得意先マスタ!$A$1:$Z$800,24,FALSE)&lt;&gt;0),
VLOOKUP(AN84,得意先マスタ!$A$1:$Z$800,24,FALSE),""),"")</f>
        <v/>
      </c>
      <c r="AP84" s="78" t="str">
        <f ca="1">IFERROR(IF(AND(AN84&lt;&gt;"",VLOOKUP(AN84,得意先マスタ!$A$1:$Z$800,25,FALSE)&lt;&gt;0),
VLOOKUP(AN84,得意先マスタ!$A$1:$Z$800,25,FALSE),""),"")</f>
        <v/>
      </c>
      <c r="AQ84" s="78" t="str">
        <f t="shared" ca="1" si="27"/>
        <v/>
      </c>
      <c r="AR84" s="78">
        <f t="shared" ref="AR84:AR100" ca="1" si="32">IF(AP84&lt;&gt;0,
IF(COUNTIF(AP84,"*.*"),
IF(COUNTIF(AP84,"*.*")=1,MID(AP84, FIND(".", AP84) + 1,LEN(AP84) - FIND(".", AP84)),
MID(AP84, FIND(".", AP84) + 1, FIND(".", AP84, FIND(".", AP84) + 1) - FIND(".", AP84) - 1)),0),0)</f>
        <v>0</v>
      </c>
      <c r="AS84" s="78">
        <f t="shared" ca="1" si="31"/>
        <v>0</v>
      </c>
    </row>
    <row r="85" spans="16:45">
      <c r="P85" t="str">
        <f ca="1">IF(AND(N85=0, COUNTIFS($E$1:E85,E85)=1), E85,
IF(COUNTIF(F85,"*雙葉*"),E85,""))</f>
        <v/>
      </c>
      <c r="Q85" s="57" t="str">
        <f ca="1">IF(AND('盛付札（関数）'!AX35&lt;&gt;0,COUNTIF($Q$1:$Q$50,'盛付札（関数）'!AW35)=0),'盛付札（関数）'!AW35,"")</f>
        <v/>
      </c>
      <c r="R85" s="57" t="str">
        <f ca="1">IF($Q85&lt;&gt;"",OFFSET(得意先マスタ!$A$1,MATCH(Q85,得意先マスタ!A:A,0)-1,1),"")</f>
        <v/>
      </c>
      <c r="S85" s="57" t="str">
        <f ca="1">IF($Q85&lt;&gt;"",OFFSET('盛付札（関数）'!$AF$1,MATCH(X85,'盛付札（関数）'!$AE$1:$AE$70,0)-1,1),"")</f>
        <v/>
      </c>
      <c r="T85" s="57" t="str">
        <f ca="1">IF($Q85&lt;&gt;"",OFFSET('盛付札（関数）'!$AF$1,MATCH(X85,'盛付札（関数）'!$AE$1:$AE$70,0)-1,4),"")</f>
        <v/>
      </c>
      <c r="U85" s="57" t="str">
        <f ca="1">IF($Q85&lt;&gt;"",OFFSET('盛付札（関数）'!$AF$1,MATCH(X85,'盛付札（関数）'!$AE$1:$AE$70,0)-1,5),"")</f>
        <v/>
      </c>
      <c r="V85" s="57" t="str">
        <f ca="1">IF($Q85&lt;&gt;"",OFFSET('盛付札（関数）'!$AF$1,MATCH(X85,'盛付札（関数）'!$AE$1:$AE$70,0)-1,9),"")</f>
        <v/>
      </c>
      <c r="W85" s="57" t="str">
        <f ca="1">IF($Q85&lt;&gt;"",OFFSET('盛付札（関数）'!$AF$1,MATCH(X85,'盛付札（関数）'!$AE$1:$AE$70,0)-1,6),"")</f>
        <v/>
      </c>
      <c r="X85" s="57" t="str">
        <f ca="1">IF(AND('盛付札（関数）'!AX35&lt;&gt;0,COUNTIF($Q$1:$Q$50,'盛付札（関数）'!AW35)=0),'盛付札（関数）'!AE35,"")</f>
        <v/>
      </c>
      <c r="Y85" t="str">
        <f ca="1">IF(Q85&lt;&gt;"",
IF(COUNTIF(S85,"*キャラ*"),
VLOOKUP("*キャラ*",商品マスタ!$D:$E,2,FALSE),
IF(COUNTIF(S85,"*赤*"),
VLOOKUP("*赤*",商品マスタ!$D:$E,2,FALSE),
VLOOKUP("*"&amp;S85&amp;"*",商品マスタ!$D:$E,2,FALSE))),"")</f>
        <v/>
      </c>
      <c r="Z85" t="str">
        <f t="shared" ca="1" si="29"/>
        <v/>
      </c>
      <c r="AA85" t="str">
        <f t="shared" ca="1" si="25"/>
        <v/>
      </c>
      <c r="AC85" t="str">
        <f t="shared" ca="1" si="26"/>
        <v/>
      </c>
      <c r="AD85" s="78" t="str">
        <f t="array" aca="1" ref="AD85" ca="1">IF(AND(IFERROR(COUNTIF(INDIRECT("R"&amp;IFERROR(SMALL(IF(AC$1:AC$140&lt;&gt;0,AC$1:AC$140),ROW(A85)),"")&amp;""),"*雙葉*"),0),COUNTIF(AE$1:AE84,"*雙葉*")),"",
IFERROR(SMALL(IF(AC$1:AC$140&lt;&gt;0,AC$1:AC$140),ROW(A85)),""))</f>
        <v/>
      </c>
      <c r="AE85" s="78" t="str">
        <f t="array" aca="1" ref="AE85" ca="1">IF($AD85&lt;&gt;"",INDIRECT("R"&amp;$AD85&amp;""),"")</f>
        <v/>
      </c>
      <c r="AF85" s="78" t="str">
        <f t="array" aca="1" ref="AF85" ca="1">IF($AD85&lt;&gt;"",
IF(INDIRECT("S"&amp;$AD85&amp;"")&lt;&gt;"",INDIRECT("S"&amp;$AD85&amp;""),""),"")</f>
        <v/>
      </c>
      <c r="AG85" s="78" t="str" cm="1">
        <f t="array" aca="1" ref="AG85" ca="1">IFERROR(IF($AD85&lt;&gt;"",INDIRECT("T"&amp;$AD85&amp;""),"")
+IF(COUNTIF(AE85,"*雙葉*"),
IFERROR(INDIRECT("T"&amp;MATCH("*雙葉*",INDIRECT("R"&amp;AD85+1&amp;":$R$140"),0)+ROW()&amp;""),0),0)
+IF(OR(COUNTIF(AO85,"*管理*"),COUNTIF(AO85,"予備")),
AQ85,0),"")</f>
        <v/>
      </c>
      <c r="AH85" s="78" t="str" cm="1">
        <f t="array" aca="1" ref="AH85" ca="1">IFERROR(IF($AD85&lt;&gt;"",INDIRECT("U"&amp;$AD85&amp;""),"")
+IF(COUNTIF(AE85,"*雙葉*"),
IFERROR(INDIRECT("U"&amp;MATCH("*雙葉*",INDIRECT("R"&amp;AD85+1&amp;":$R$140"),0)+ROW()&amp;""),0),0),"")</f>
        <v/>
      </c>
      <c r="AI85" s="78" t="str" cm="1">
        <f t="array" aca="1" ref="AI85" ca="1">IFERROR(IF($AD85&lt;&gt;"",INDIRECT("V"&amp;$AD85&amp;""),"")
+IF(COUNTIF(AE85,"*雙葉*"),
IFERROR(INDIRECT("V"&amp;MATCH("*雙葉*",INDIRECT("R"&amp;AD85+1&amp;":$R$140"),0)+ROW()&amp;""),0),0),"")</f>
        <v/>
      </c>
      <c r="AJ85" s="78" t="str">
        <f t="array" aca="1" ref="AJ85" ca="1">IF($AD85&lt;&gt;"",INDIRECT("W"&amp;$AD85&amp;""),"")</f>
        <v/>
      </c>
      <c r="AK85" s="78" t="str">
        <f t="array" aca="1" ref="AK85" ca="1">IF($AD85&lt;&gt;"",INDIRECT("Y"&amp;$AD85&amp;""),"")</f>
        <v/>
      </c>
      <c r="AL85" s="78" t="str">
        <f t="shared" ca="1" si="30"/>
        <v/>
      </c>
      <c r="AM85" s="78" t="str">
        <f t="shared" ca="1" si="28"/>
        <v/>
      </c>
      <c r="AN85" s="78" t="str">
        <f t="array" aca="1" ref="AN85" ca="1">IF($AD85&lt;&gt;"",INDIRECT("Q"&amp;$AD85&amp;""),"")</f>
        <v/>
      </c>
      <c r="AO85" s="78" t="str">
        <f ca="1">IFERROR(IF(AND(AN85&lt;&gt;"",VLOOKUP(AN85,得意先マスタ!$A$1:$Z$800,24,FALSE)&lt;&gt;0),
VLOOKUP(AN85,得意先マスタ!$A$1:$Z$800,24,FALSE),""),"")</f>
        <v/>
      </c>
      <c r="AP85" s="78" t="str">
        <f ca="1">IFERROR(IF(AND(AN85&lt;&gt;"",VLOOKUP(AN85,得意先マスタ!$A$1:$Z$800,25,FALSE)&lt;&gt;0),
VLOOKUP(AN85,得意先マスタ!$A$1:$Z$800,25,FALSE),""),"")</f>
        <v/>
      </c>
      <c r="AQ85" s="78" t="str">
        <f t="shared" ca="1" si="27"/>
        <v/>
      </c>
      <c r="AR85" s="78">
        <f t="shared" ca="1" si="32"/>
        <v>0</v>
      </c>
      <c r="AS85" s="78">
        <f t="shared" ca="1" si="31"/>
        <v>0</v>
      </c>
    </row>
    <row r="86" spans="16:45">
      <c r="P86" t="str">
        <f ca="1">IF(AND(N86=0, COUNTIFS($E$1:E86,E86)=1), E86,
IF(COUNTIF(F86,"*雙葉*"),E86,""))</f>
        <v/>
      </c>
      <c r="Q86" s="57" t="str">
        <f ca="1">IF(AND('盛付札（関数）'!AX36&lt;&gt;0,COUNTIF($Q$1:$Q$50,'盛付札（関数）'!AW36)=0),'盛付札（関数）'!AW36,"")</f>
        <v/>
      </c>
      <c r="R86" s="57" t="str">
        <f ca="1">IF($Q86&lt;&gt;"",OFFSET(得意先マスタ!$A$1,MATCH(Q86,得意先マスタ!A:A,0)-1,1),"")</f>
        <v/>
      </c>
      <c r="S86" s="57" t="str">
        <f ca="1">IF($Q86&lt;&gt;"",OFFSET('盛付札（関数）'!$AF$1,MATCH(X86,'盛付札（関数）'!$AE$1:$AE$70,0)-1,1),"")</f>
        <v/>
      </c>
      <c r="T86" s="57" t="str">
        <f ca="1">IF($Q86&lt;&gt;"",OFFSET('盛付札（関数）'!$AF$1,MATCH(X86,'盛付札（関数）'!$AE$1:$AE$70,0)-1,4),"")</f>
        <v/>
      </c>
      <c r="U86" s="57" t="str">
        <f ca="1">IF($Q86&lt;&gt;"",OFFSET('盛付札（関数）'!$AF$1,MATCH(X86,'盛付札（関数）'!$AE$1:$AE$70,0)-1,5),"")</f>
        <v/>
      </c>
      <c r="V86" s="57" t="str">
        <f ca="1">IF($Q86&lt;&gt;"",OFFSET('盛付札（関数）'!$AF$1,MATCH(X86,'盛付札（関数）'!$AE$1:$AE$70,0)-1,9),"")</f>
        <v/>
      </c>
      <c r="W86" s="57" t="str">
        <f ca="1">IF($Q86&lt;&gt;"",OFFSET('盛付札（関数）'!$AF$1,MATCH(X86,'盛付札（関数）'!$AE$1:$AE$70,0)-1,6),"")</f>
        <v/>
      </c>
      <c r="X86" s="57" t="str">
        <f ca="1">IF(AND('盛付札（関数）'!AX36&lt;&gt;0,COUNTIF($Q$1:$Q$50,'盛付札（関数）'!AW36)=0),'盛付札（関数）'!AE36,"")</f>
        <v/>
      </c>
      <c r="Y86" t="str">
        <f ca="1">IF(Q86&lt;&gt;"",
IF(COUNTIF(S86,"*キャラ*"),
VLOOKUP("*キャラ*",商品マスタ!$D:$E,2,FALSE),
IF(COUNTIF(S86,"*赤*"),
VLOOKUP("*赤*",商品マスタ!$D:$E,2,FALSE),
VLOOKUP("*"&amp;S86&amp;"*",商品マスタ!$D:$E,2,FALSE))),"")</f>
        <v/>
      </c>
      <c r="Z86" t="str">
        <f t="shared" ca="1" si="29"/>
        <v/>
      </c>
      <c r="AA86" t="str">
        <f t="shared" ca="1" si="25"/>
        <v/>
      </c>
      <c r="AC86" t="str">
        <f t="shared" ca="1" si="26"/>
        <v/>
      </c>
      <c r="AD86" s="78" t="str">
        <f t="array" aca="1" ref="AD86" ca="1">IF(AND(IFERROR(COUNTIF(INDIRECT("R"&amp;IFERROR(SMALL(IF(AC$1:AC$140&lt;&gt;0,AC$1:AC$140),ROW(A86)),"")&amp;""),"*雙葉*"),0),COUNTIF(AE$1:AE85,"*雙葉*")),"",
IFERROR(SMALL(IF(AC$1:AC$140&lt;&gt;0,AC$1:AC$140),ROW(A86)),""))</f>
        <v/>
      </c>
      <c r="AE86" s="78" t="str">
        <f t="array" aca="1" ref="AE86" ca="1">IF($AD86&lt;&gt;"",INDIRECT("R"&amp;$AD86&amp;""),"")</f>
        <v/>
      </c>
      <c r="AF86" s="78" t="str">
        <f t="array" aca="1" ref="AF86" ca="1">IF($AD86&lt;&gt;"",
IF(INDIRECT("S"&amp;$AD86&amp;"")&lt;&gt;"",INDIRECT("S"&amp;$AD86&amp;""),""),"")</f>
        <v/>
      </c>
      <c r="AG86" s="78" t="str" cm="1">
        <f t="array" aca="1" ref="AG86" ca="1">IFERROR(IF($AD86&lt;&gt;"",INDIRECT("T"&amp;$AD86&amp;""),"")
+IF(COUNTIF(AE86,"*雙葉*"),
IFERROR(INDIRECT("T"&amp;MATCH("*雙葉*",INDIRECT("R"&amp;AD86+1&amp;":$R$140"),0)+ROW()&amp;""),0),0)
+IF(OR(COUNTIF(AO86,"*管理*"),COUNTIF(AO86,"予備")),
AQ86,0),"")</f>
        <v/>
      </c>
      <c r="AH86" s="78" t="str" cm="1">
        <f t="array" aca="1" ref="AH86" ca="1">IFERROR(IF($AD86&lt;&gt;"",INDIRECT("U"&amp;$AD86&amp;""),"")
+IF(COUNTIF(AE86,"*雙葉*"),
IFERROR(INDIRECT("U"&amp;MATCH("*雙葉*",INDIRECT("R"&amp;AD86+1&amp;":$R$140"),0)+ROW()&amp;""),0),0),"")</f>
        <v/>
      </c>
      <c r="AI86" s="78" t="str" cm="1">
        <f t="array" aca="1" ref="AI86" ca="1">IFERROR(IF($AD86&lt;&gt;"",INDIRECT("V"&amp;$AD86&amp;""),"")
+IF(COUNTIF(AE86,"*雙葉*"),
IFERROR(INDIRECT("V"&amp;MATCH("*雙葉*",INDIRECT("R"&amp;AD86+1&amp;":$R$140"),0)+ROW()&amp;""),0),0),"")</f>
        <v/>
      </c>
      <c r="AJ86" s="78" t="str">
        <f t="array" aca="1" ref="AJ86" ca="1">IF($AD86&lt;&gt;"",INDIRECT("W"&amp;$AD86&amp;""),"")</f>
        <v/>
      </c>
      <c r="AK86" s="78" t="str">
        <f t="array" aca="1" ref="AK86" ca="1">IF($AD86&lt;&gt;"",INDIRECT("Y"&amp;$AD86&amp;""),"")</f>
        <v/>
      </c>
      <c r="AL86" s="78" t="str">
        <f t="shared" ca="1" si="30"/>
        <v/>
      </c>
      <c r="AM86" s="78" t="str">
        <f t="shared" ca="1" si="28"/>
        <v/>
      </c>
      <c r="AN86" s="78" t="str">
        <f t="array" aca="1" ref="AN86" ca="1">IF($AD86&lt;&gt;"",INDIRECT("Q"&amp;$AD86&amp;""),"")</f>
        <v/>
      </c>
      <c r="AO86" s="78" t="str">
        <f ca="1">IFERROR(IF(AND(AN86&lt;&gt;"",VLOOKUP(AN86,得意先マスタ!$A$1:$Z$800,24,FALSE)&lt;&gt;0),
VLOOKUP(AN86,得意先マスタ!$A$1:$Z$800,24,FALSE),""),"")</f>
        <v/>
      </c>
      <c r="AP86" s="78" t="str">
        <f ca="1">IFERROR(IF(AND(AN86&lt;&gt;"",VLOOKUP(AN86,得意先マスタ!$A$1:$Z$800,25,FALSE)&lt;&gt;0),
VLOOKUP(AN86,得意先マスタ!$A$1:$Z$800,25,FALSE),""),"")</f>
        <v/>
      </c>
      <c r="AQ86" s="78" t="str">
        <f t="shared" ca="1" si="27"/>
        <v/>
      </c>
      <c r="AR86" s="78">
        <f t="shared" ca="1" si="32"/>
        <v>0</v>
      </c>
      <c r="AS86" s="78">
        <f t="shared" ca="1" si="31"/>
        <v>0</v>
      </c>
    </row>
    <row r="87" spans="16:45">
      <c r="P87" t="str">
        <f ca="1">IF(AND(N87=0, COUNTIFS($E$1:E87,E87)=1), E87,
IF(COUNTIF(F87,"*雙葉*"),E87,""))</f>
        <v/>
      </c>
      <c r="Q87" s="57" t="str">
        <f ca="1">IF(AND('盛付札（関数）'!AX37&lt;&gt;0,COUNTIF($Q$1:$Q$50,'盛付札（関数）'!AW37)=0),'盛付札（関数）'!AW37,"")</f>
        <v/>
      </c>
      <c r="R87" s="57" t="str">
        <f ca="1">IF($Q87&lt;&gt;"",OFFSET(得意先マスタ!$A$1,MATCH(Q87,得意先マスタ!A:A,0)-1,1),"")</f>
        <v/>
      </c>
      <c r="S87" s="57" t="str">
        <f ca="1">IF($Q87&lt;&gt;"",OFFSET('盛付札（関数）'!$AF$1,MATCH(X87,'盛付札（関数）'!$AE$1:$AE$70,0)-1,1),"")</f>
        <v/>
      </c>
      <c r="T87" s="57" t="str">
        <f ca="1">IF($Q87&lt;&gt;"",OFFSET('盛付札（関数）'!$AF$1,MATCH(X87,'盛付札（関数）'!$AE$1:$AE$70,0)-1,4),"")</f>
        <v/>
      </c>
      <c r="U87" s="57" t="str">
        <f ca="1">IF($Q87&lt;&gt;"",OFFSET('盛付札（関数）'!$AF$1,MATCH(X87,'盛付札（関数）'!$AE$1:$AE$70,0)-1,5),"")</f>
        <v/>
      </c>
      <c r="V87" s="57" t="str">
        <f ca="1">IF($Q87&lt;&gt;"",OFFSET('盛付札（関数）'!$AF$1,MATCH(X87,'盛付札（関数）'!$AE$1:$AE$70,0)-1,9),"")</f>
        <v/>
      </c>
      <c r="W87" s="57" t="str">
        <f ca="1">IF($Q87&lt;&gt;"",OFFSET('盛付札（関数）'!$AF$1,MATCH(X87,'盛付札（関数）'!$AE$1:$AE$70,0)-1,6),"")</f>
        <v/>
      </c>
      <c r="X87" s="57" t="str">
        <f ca="1">IF(AND('盛付札（関数）'!AX37&lt;&gt;0,COUNTIF($Q$1:$Q$50,'盛付札（関数）'!AW37)=0),'盛付札（関数）'!AE37,"")</f>
        <v/>
      </c>
      <c r="Y87" t="str">
        <f ca="1">IF(Q87&lt;&gt;"",
IF(COUNTIF(S87,"*キャラ*"),
VLOOKUP("*キャラ*",商品マスタ!$D:$E,2,FALSE),
IF(COUNTIF(S87,"*赤*"),
VLOOKUP("*赤*",商品マスタ!$D:$E,2,FALSE),
VLOOKUP("*"&amp;S87&amp;"*",商品マスタ!$D:$E,2,FALSE))),"")</f>
        <v/>
      </c>
      <c r="Z87" t="str">
        <f t="shared" ca="1" si="29"/>
        <v/>
      </c>
      <c r="AA87" t="str">
        <f t="shared" ca="1" si="25"/>
        <v/>
      </c>
      <c r="AC87" t="str">
        <f t="shared" ca="1" si="26"/>
        <v/>
      </c>
      <c r="AD87" s="78" t="str">
        <f t="array" aca="1" ref="AD87" ca="1">IF(AND(IFERROR(COUNTIF(INDIRECT("R"&amp;IFERROR(SMALL(IF(AC$1:AC$140&lt;&gt;0,AC$1:AC$140),ROW(A87)),"")&amp;""),"*雙葉*"),0),COUNTIF(AE$1:AE86,"*雙葉*")),"",
IFERROR(SMALL(IF(AC$1:AC$140&lt;&gt;0,AC$1:AC$140),ROW(A87)),""))</f>
        <v/>
      </c>
      <c r="AE87" s="78" t="str">
        <f t="array" aca="1" ref="AE87" ca="1">IF($AD87&lt;&gt;"",INDIRECT("R"&amp;$AD87&amp;""),"")</f>
        <v/>
      </c>
      <c r="AF87" s="78" t="str">
        <f t="array" aca="1" ref="AF87" ca="1">IF($AD87&lt;&gt;"",
IF(INDIRECT("S"&amp;$AD87&amp;"")&lt;&gt;"",INDIRECT("S"&amp;$AD87&amp;""),""),"")</f>
        <v/>
      </c>
      <c r="AG87" s="78" t="str" cm="1">
        <f t="array" aca="1" ref="AG87" ca="1">IFERROR(IF($AD87&lt;&gt;"",INDIRECT("T"&amp;$AD87&amp;""),"")
+IF(COUNTIF(AE87,"*雙葉*"),
IFERROR(INDIRECT("T"&amp;MATCH("*雙葉*",INDIRECT("R"&amp;AD87+1&amp;":$R$140"),0)+ROW()&amp;""),0),0)
+IF(OR(COUNTIF(AO87,"*管理*"),COUNTIF(AO87,"予備")),
AQ87,0),"")</f>
        <v/>
      </c>
      <c r="AH87" s="78" t="str" cm="1">
        <f t="array" aca="1" ref="AH87" ca="1">IFERROR(IF($AD87&lt;&gt;"",INDIRECT("U"&amp;$AD87&amp;""),"")
+IF(COUNTIF(AE87,"*雙葉*"),
IFERROR(INDIRECT("U"&amp;MATCH("*雙葉*",INDIRECT("R"&amp;AD87+1&amp;":$R$140"),0)+ROW()&amp;""),0),0),"")</f>
        <v/>
      </c>
      <c r="AI87" s="78" t="str" cm="1">
        <f t="array" aca="1" ref="AI87" ca="1">IFERROR(IF($AD87&lt;&gt;"",INDIRECT("V"&amp;$AD87&amp;""),"")
+IF(COUNTIF(AE87,"*雙葉*"),
IFERROR(INDIRECT("V"&amp;MATCH("*雙葉*",INDIRECT("R"&amp;AD87+1&amp;":$R$140"),0)+ROW()&amp;""),0),0),"")</f>
        <v/>
      </c>
      <c r="AJ87" s="78" t="str">
        <f t="array" aca="1" ref="AJ87" ca="1">IF($AD87&lt;&gt;"",INDIRECT("W"&amp;$AD87&amp;""),"")</f>
        <v/>
      </c>
      <c r="AK87" s="78" t="str">
        <f t="array" aca="1" ref="AK87" ca="1">IF($AD87&lt;&gt;"",INDIRECT("Y"&amp;$AD87&amp;""),"")</f>
        <v/>
      </c>
      <c r="AL87" s="78" t="str">
        <f t="shared" ca="1" si="30"/>
        <v/>
      </c>
      <c r="AM87" s="78" t="str">
        <f t="shared" ca="1" si="28"/>
        <v/>
      </c>
      <c r="AN87" s="78" t="str">
        <f t="array" aca="1" ref="AN87" ca="1">IF($AD87&lt;&gt;"",INDIRECT("Q"&amp;$AD87&amp;""),"")</f>
        <v/>
      </c>
      <c r="AO87" s="78" t="str">
        <f ca="1">IFERROR(IF(AND(AN87&lt;&gt;"",VLOOKUP(AN87,得意先マスタ!$A$1:$Z$800,24,FALSE)&lt;&gt;0),
VLOOKUP(AN87,得意先マスタ!$A$1:$Z$800,24,FALSE),""),"")</f>
        <v/>
      </c>
      <c r="AP87" s="78" t="str">
        <f ca="1">IFERROR(IF(AND(AN87&lt;&gt;"",VLOOKUP(AN87,得意先マスタ!$A$1:$Z$800,25,FALSE)&lt;&gt;0),
VLOOKUP(AN87,得意先マスタ!$A$1:$Z$800,25,FALSE),""),"")</f>
        <v/>
      </c>
      <c r="AQ87" s="78" t="str">
        <f t="shared" ca="1" si="27"/>
        <v/>
      </c>
      <c r="AR87" s="78">
        <f t="shared" ca="1" si="32"/>
        <v>0</v>
      </c>
      <c r="AS87" s="78">
        <f t="shared" ca="1" si="31"/>
        <v>0</v>
      </c>
    </row>
    <row r="88" spans="16:45">
      <c r="P88" t="str">
        <f ca="1">IF(AND(N88=0, COUNTIFS($E$1:E88,E88)=1), E88,
IF(COUNTIF(F88,"*雙葉*"),E88,""))</f>
        <v/>
      </c>
      <c r="Q88" s="57" t="str">
        <f ca="1">IF(AND('盛付札（関数）'!AX38&lt;&gt;0,COUNTIF($Q$1:$Q$50,'盛付札（関数）'!AW38)=0),'盛付札（関数）'!AW38,"")</f>
        <v/>
      </c>
      <c r="R88" s="57" t="str">
        <f ca="1">IF($Q88&lt;&gt;"",OFFSET(得意先マスタ!$A$1,MATCH(Q88,得意先マスタ!A:A,0)-1,1),"")</f>
        <v/>
      </c>
      <c r="S88" s="57" t="str">
        <f ca="1">IF($Q88&lt;&gt;"",OFFSET('盛付札（関数）'!$AF$1,MATCH(X88,'盛付札（関数）'!$AE$1:$AE$70,0)-1,1),"")</f>
        <v/>
      </c>
      <c r="T88" s="57" t="str">
        <f ca="1">IF($Q88&lt;&gt;"",OFFSET('盛付札（関数）'!$AF$1,MATCH(X88,'盛付札（関数）'!$AE$1:$AE$70,0)-1,4),"")</f>
        <v/>
      </c>
      <c r="U88" s="57" t="str">
        <f ca="1">IF($Q88&lt;&gt;"",OFFSET('盛付札（関数）'!$AF$1,MATCH(X88,'盛付札（関数）'!$AE$1:$AE$70,0)-1,5),"")</f>
        <v/>
      </c>
      <c r="V88" s="57" t="str">
        <f ca="1">IF($Q88&lt;&gt;"",OFFSET('盛付札（関数）'!$AF$1,MATCH(X88,'盛付札（関数）'!$AE$1:$AE$70,0)-1,9),"")</f>
        <v/>
      </c>
      <c r="W88" s="57" t="str">
        <f ca="1">IF($Q88&lt;&gt;"",OFFSET('盛付札（関数）'!$AF$1,MATCH(X88,'盛付札（関数）'!$AE$1:$AE$70,0)-1,6),"")</f>
        <v/>
      </c>
      <c r="X88" s="57" t="str">
        <f ca="1">IF(AND('盛付札（関数）'!AX38&lt;&gt;0,COUNTIF($Q$1:$Q$50,'盛付札（関数）'!AW38)=0),'盛付札（関数）'!AE38,"")</f>
        <v/>
      </c>
      <c r="Y88" t="str">
        <f ca="1">IF(Q88&lt;&gt;"",
IF(COUNTIF(S88,"*キャラ*"),
VLOOKUP("*キャラ*",商品マスタ!$D:$E,2,FALSE),
IF(COUNTIF(S88,"*赤*"),
VLOOKUP("*赤*",商品マスタ!$D:$E,2,FALSE),
VLOOKUP("*"&amp;S88&amp;"*",商品マスタ!$D:$E,2,FALSE))),"")</f>
        <v/>
      </c>
      <c r="Z88" t="str">
        <f t="shared" ca="1" si="29"/>
        <v/>
      </c>
      <c r="AA88" t="str">
        <f t="shared" ca="1" si="25"/>
        <v/>
      </c>
      <c r="AC88" t="str">
        <f t="shared" ca="1" si="26"/>
        <v/>
      </c>
      <c r="AD88" s="78" t="str">
        <f t="array" aca="1" ref="AD88" ca="1">IF(AND(IFERROR(COUNTIF(INDIRECT("R"&amp;IFERROR(SMALL(IF(AC$1:AC$140&lt;&gt;0,AC$1:AC$140),ROW(A88)),"")&amp;""),"*雙葉*"),0),COUNTIF(AE$1:AE87,"*雙葉*")),"",
IFERROR(SMALL(IF(AC$1:AC$140&lt;&gt;0,AC$1:AC$140),ROW(A88)),""))</f>
        <v/>
      </c>
      <c r="AE88" s="78" t="str">
        <f t="array" aca="1" ref="AE88" ca="1">IF($AD88&lt;&gt;"",INDIRECT("R"&amp;$AD88&amp;""),"")</f>
        <v/>
      </c>
      <c r="AF88" s="78" t="str">
        <f t="array" aca="1" ref="AF88" ca="1">IF($AD88&lt;&gt;"",
IF(INDIRECT("S"&amp;$AD88&amp;"")&lt;&gt;"",INDIRECT("S"&amp;$AD88&amp;""),""),"")</f>
        <v/>
      </c>
      <c r="AG88" s="78" t="str" cm="1">
        <f t="array" aca="1" ref="AG88" ca="1">IFERROR(IF($AD88&lt;&gt;"",INDIRECT("T"&amp;$AD88&amp;""),"")
+IF(COUNTIF(AE88,"*雙葉*"),
IFERROR(INDIRECT("T"&amp;MATCH("*雙葉*",INDIRECT("R"&amp;AD88+1&amp;":$R$140"),0)+ROW()&amp;""),0),0)
+IF(OR(COUNTIF(AO88,"*管理*"),COUNTIF(AO88,"予備")),
AQ88,0),"")</f>
        <v/>
      </c>
      <c r="AH88" s="78" t="str" cm="1">
        <f t="array" aca="1" ref="AH88" ca="1">IFERROR(IF($AD88&lt;&gt;"",INDIRECT("U"&amp;$AD88&amp;""),"")
+IF(COUNTIF(AE88,"*雙葉*"),
IFERROR(INDIRECT("U"&amp;MATCH("*雙葉*",INDIRECT("R"&amp;AD88+1&amp;":$R$140"),0)+ROW()&amp;""),0),0),"")</f>
        <v/>
      </c>
      <c r="AI88" s="78" t="str" cm="1">
        <f t="array" aca="1" ref="AI88" ca="1">IFERROR(IF($AD88&lt;&gt;"",INDIRECT("V"&amp;$AD88&amp;""),"")
+IF(COUNTIF(AE88,"*雙葉*"),
IFERROR(INDIRECT("V"&amp;MATCH("*雙葉*",INDIRECT("R"&amp;AD88+1&amp;":$R$140"),0)+ROW()&amp;""),0),0),"")</f>
        <v/>
      </c>
      <c r="AJ88" s="78" t="str">
        <f t="array" aca="1" ref="AJ88" ca="1">IF($AD88&lt;&gt;"",INDIRECT("W"&amp;$AD88&amp;""),"")</f>
        <v/>
      </c>
      <c r="AK88" s="78" t="str">
        <f t="array" aca="1" ref="AK88" ca="1">IF($AD88&lt;&gt;"",INDIRECT("Y"&amp;$AD88&amp;""),"")</f>
        <v/>
      </c>
      <c r="AL88" s="78" t="str">
        <f t="shared" ca="1" si="30"/>
        <v/>
      </c>
      <c r="AM88" s="78" t="str">
        <f t="shared" ca="1" si="28"/>
        <v/>
      </c>
      <c r="AN88" s="78" t="str">
        <f t="array" aca="1" ref="AN88" ca="1">IF($AD88&lt;&gt;"",INDIRECT("Q"&amp;$AD88&amp;""),"")</f>
        <v/>
      </c>
      <c r="AO88" s="78" t="str">
        <f ca="1">IFERROR(IF(AND(AN88&lt;&gt;"",VLOOKUP(AN88,得意先マスタ!$A$1:$Z$800,24,FALSE)&lt;&gt;0),
VLOOKUP(AN88,得意先マスタ!$A$1:$Z$800,24,FALSE),""),"")</f>
        <v/>
      </c>
      <c r="AP88" s="78" t="str">
        <f ca="1">IFERROR(IF(AND(AN88&lt;&gt;"",VLOOKUP(AN88,得意先マスタ!$A$1:$Z$800,25,FALSE)&lt;&gt;0),
VLOOKUP(AN88,得意先マスタ!$A$1:$Z$800,25,FALSE),""),"")</f>
        <v/>
      </c>
      <c r="AQ88" s="78" t="str">
        <f t="shared" ca="1" si="27"/>
        <v/>
      </c>
      <c r="AR88" s="78">
        <f t="shared" ca="1" si="32"/>
        <v>0</v>
      </c>
      <c r="AS88" s="78">
        <f t="shared" ca="1" si="31"/>
        <v>0</v>
      </c>
    </row>
    <row r="89" spans="16:45">
      <c r="P89" t="str">
        <f ca="1">IF(AND(N89=0, COUNTIFS($E$1:E89,E89)=1), E89,
IF(COUNTIF(F89,"*雙葉*"),E89,""))</f>
        <v/>
      </c>
      <c r="Q89" s="57" t="str">
        <f ca="1">IF(AND('盛付札（関数）'!AX39&lt;&gt;0,COUNTIF($Q$1:$Q$50,'盛付札（関数）'!AW39)=0),'盛付札（関数）'!AW39,"")</f>
        <v/>
      </c>
      <c r="R89" s="57" t="str">
        <f ca="1">IF($Q89&lt;&gt;"",OFFSET(得意先マスタ!$A$1,MATCH(Q89,得意先マスタ!A:A,0)-1,1),"")</f>
        <v/>
      </c>
      <c r="S89" s="57" t="str">
        <f ca="1">IF($Q89&lt;&gt;"",OFFSET('盛付札（関数）'!$AF$1,MATCH(X89,'盛付札（関数）'!$AE$1:$AE$70,0)-1,1),"")</f>
        <v/>
      </c>
      <c r="T89" s="57" t="str">
        <f ca="1">IF($Q89&lt;&gt;"",OFFSET('盛付札（関数）'!$AF$1,MATCH(X89,'盛付札（関数）'!$AE$1:$AE$70,0)-1,4),"")</f>
        <v/>
      </c>
      <c r="U89" s="57" t="str">
        <f ca="1">IF($Q89&lt;&gt;"",OFFSET('盛付札（関数）'!$AF$1,MATCH(X89,'盛付札（関数）'!$AE$1:$AE$70,0)-1,5),"")</f>
        <v/>
      </c>
      <c r="V89" s="57" t="str">
        <f ca="1">IF($Q89&lt;&gt;"",OFFSET('盛付札（関数）'!$AF$1,MATCH(X89,'盛付札（関数）'!$AE$1:$AE$70,0)-1,9),"")</f>
        <v/>
      </c>
      <c r="W89" s="57" t="str">
        <f ca="1">IF($Q89&lt;&gt;"",OFFSET('盛付札（関数）'!$AF$1,MATCH(X89,'盛付札（関数）'!$AE$1:$AE$70,0)-1,6),"")</f>
        <v/>
      </c>
      <c r="X89" s="57" t="str">
        <f ca="1">IF(AND('盛付札（関数）'!AX39&lt;&gt;0,COUNTIF($Q$1:$Q$50,'盛付札（関数）'!AW39)=0),'盛付札（関数）'!AE39,"")</f>
        <v/>
      </c>
      <c r="Y89" t="str">
        <f ca="1">IF(Q89&lt;&gt;"",
IF(COUNTIF(S89,"*キャラ*"),
VLOOKUP("*キャラ*",商品マスタ!$D:$E,2,FALSE),
IF(COUNTIF(S89,"*赤*"),
VLOOKUP("*赤*",商品マスタ!$D:$E,2,FALSE),
VLOOKUP("*"&amp;S89&amp;"*",商品マスタ!$D:$E,2,FALSE))),"")</f>
        <v/>
      </c>
      <c r="Z89" t="str">
        <f t="shared" ca="1" si="29"/>
        <v/>
      </c>
      <c r="AA89" t="str">
        <f t="shared" ca="1" si="25"/>
        <v/>
      </c>
      <c r="AC89" t="str">
        <f t="shared" ca="1" si="26"/>
        <v/>
      </c>
      <c r="AD89" s="78" t="str">
        <f t="array" aca="1" ref="AD89" ca="1">IF(AND(IFERROR(COUNTIF(INDIRECT("R"&amp;IFERROR(SMALL(IF(AC$1:AC$140&lt;&gt;0,AC$1:AC$140),ROW(A89)),"")&amp;""),"*雙葉*"),0),COUNTIF(AE$1:AE88,"*雙葉*")),"",
IFERROR(SMALL(IF(AC$1:AC$140&lt;&gt;0,AC$1:AC$140),ROW(A89)),""))</f>
        <v/>
      </c>
      <c r="AE89" s="78" t="str">
        <f t="array" aca="1" ref="AE89" ca="1">IF($AD89&lt;&gt;"",INDIRECT("R"&amp;$AD89&amp;""),"")</f>
        <v/>
      </c>
      <c r="AF89" s="78" t="str">
        <f t="array" aca="1" ref="AF89" ca="1">IF($AD89&lt;&gt;"",
IF(INDIRECT("S"&amp;$AD89&amp;"")&lt;&gt;"",INDIRECT("S"&amp;$AD89&amp;""),""),"")</f>
        <v/>
      </c>
      <c r="AG89" s="78" t="str" cm="1">
        <f t="array" aca="1" ref="AG89" ca="1">IFERROR(IF($AD89&lt;&gt;"",INDIRECT("T"&amp;$AD89&amp;""),"")
+IF(COUNTIF(AE89,"*雙葉*"),
IFERROR(INDIRECT("T"&amp;MATCH("*雙葉*",INDIRECT("R"&amp;AD89+1&amp;":$R$140"),0)+ROW()&amp;""),0),0)
+IF(OR(COUNTIF(AO89,"*管理*"),COUNTIF(AO89,"予備")),
AQ89,0),"")</f>
        <v/>
      </c>
      <c r="AH89" s="78" t="str" cm="1">
        <f t="array" aca="1" ref="AH89" ca="1">IFERROR(IF($AD89&lt;&gt;"",INDIRECT("U"&amp;$AD89&amp;""),"")
+IF(COUNTIF(AE89,"*雙葉*"),
IFERROR(INDIRECT("U"&amp;MATCH("*雙葉*",INDIRECT("R"&amp;AD89+1&amp;":$R$140"),0)+ROW()&amp;""),0),0),"")</f>
        <v/>
      </c>
      <c r="AI89" s="78" t="str" cm="1">
        <f t="array" aca="1" ref="AI89" ca="1">IFERROR(IF($AD89&lt;&gt;"",INDIRECT("V"&amp;$AD89&amp;""),"")
+IF(COUNTIF(AE89,"*雙葉*"),
IFERROR(INDIRECT("V"&amp;MATCH("*雙葉*",INDIRECT("R"&amp;AD89+1&amp;":$R$140"),0)+ROW()&amp;""),0),0),"")</f>
        <v/>
      </c>
      <c r="AJ89" s="78" t="str">
        <f t="array" aca="1" ref="AJ89" ca="1">IF($AD89&lt;&gt;"",INDIRECT("W"&amp;$AD89&amp;""),"")</f>
        <v/>
      </c>
      <c r="AK89" s="78" t="str">
        <f t="array" aca="1" ref="AK89" ca="1">IF($AD89&lt;&gt;"",INDIRECT("Y"&amp;$AD89&amp;""),"")</f>
        <v/>
      </c>
      <c r="AL89" s="78" t="str">
        <f t="shared" ca="1" si="30"/>
        <v/>
      </c>
      <c r="AM89" s="78" t="str">
        <f t="shared" ca="1" si="28"/>
        <v/>
      </c>
      <c r="AN89" s="78" t="str">
        <f t="array" aca="1" ref="AN89" ca="1">IF($AD89&lt;&gt;"",INDIRECT("Q"&amp;$AD89&amp;""),"")</f>
        <v/>
      </c>
      <c r="AO89" s="78" t="str">
        <f ca="1">IFERROR(IF(AND(AN89&lt;&gt;"",VLOOKUP(AN89,得意先マスタ!$A$1:$Z$800,24,FALSE)&lt;&gt;0),
VLOOKUP(AN89,得意先マスタ!$A$1:$Z$800,24,FALSE),""),"")</f>
        <v/>
      </c>
      <c r="AP89" s="78" t="str">
        <f ca="1">IFERROR(IF(AND(AN89&lt;&gt;"",VLOOKUP(AN89,得意先マスタ!$A$1:$Z$800,25,FALSE)&lt;&gt;0),
VLOOKUP(AN89,得意先マスタ!$A$1:$Z$800,25,FALSE),""),"")</f>
        <v/>
      </c>
      <c r="AQ89" s="78" t="str">
        <f t="shared" ca="1" si="27"/>
        <v/>
      </c>
      <c r="AR89" s="78">
        <f t="shared" ca="1" si="32"/>
        <v>0</v>
      </c>
      <c r="AS89" s="78">
        <f t="shared" ca="1" si="31"/>
        <v>0</v>
      </c>
    </row>
    <row r="90" spans="16:45">
      <c r="P90" t="str">
        <f ca="1">IF(AND(N90=0, COUNTIFS($E$1:E90,E90)=1), E90,
IF(COUNTIF(F90,"*雙葉*"),E90,""))</f>
        <v/>
      </c>
      <c r="Q90" s="57" t="str">
        <f ca="1">IF(AND('盛付札（関数）'!AX40&lt;&gt;0,COUNTIF($Q$1:$Q$50,'盛付札（関数）'!AW40)=0),'盛付札（関数）'!AW40,"")</f>
        <v/>
      </c>
      <c r="R90" s="57" t="str">
        <f ca="1">IF($Q90&lt;&gt;"",OFFSET(得意先マスタ!$A$1,MATCH(Q90,得意先マスタ!A:A,0)-1,1),"")</f>
        <v/>
      </c>
      <c r="S90" s="57" t="str">
        <f ca="1">IF($Q90&lt;&gt;"",OFFSET('盛付札（関数）'!$AF$1,MATCH(X90,'盛付札（関数）'!$AE$1:$AE$70,0)-1,1),"")</f>
        <v/>
      </c>
      <c r="T90" s="57" t="str">
        <f ca="1">IF($Q90&lt;&gt;"",OFFSET('盛付札（関数）'!$AF$1,MATCH(X90,'盛付札（関数）'!$AE$1:$AE$70,0)-1,4),"")</f>
        <v/>
      </c>
      <c r="U90" s="57" t="str">
        <f ca="1">IF($Q90&lt;&gt;"",OFFSET('盛付札（関数）'!$AF$1,MATCH(X90,'盛付札（関数）'!$AE$1:$AE$70,0)-1,5),"")</f>
        <v/>
      </c>
      <c r="V90" s="57" t="str">
        <f ca="1">IF($Q90&lt;&gt;"",OFFSET('盛付札（関数）'!$AF$1,MATCH(X90,'盛付札（関数）'!$AE$1:$AE$70,0)-1,9),"")</f>
        <v/>
      </c>
      <c r="W90" s="57" t="str">
        <f ca="1">IF($Q90&lt;&gt;"",OFFSET('盛付札（関数）'!$AF$1,MATCH(X90,'盛付札（関数）'!$AE$1:$AE$70,0)-1,6),"")</f>
        <v/>
      </c>
      <c r="X90" s="57" t="str">
        <f ca="1">IF(AND('盛付札（関数）'!AX40&lt;&gt;0,COUNTIF($Q$1:$Q$50,'盛付札（関数）'!AW40)=0),'盛付札（関数）'!AE40,"")</f>
        <v/>
      </c>
      <c r="Y90" t="str">
        <f ca="1">IF(Q90&lt;&gt;"",
IF(COUNTIF(S90,"*キャラ*"),
VLOOKUP("*キャラ*",商品マスタ!$D:$E,2,FALSE),
IF(COUNTIF(S90,"*赤*"),
VLOOKUP("*赤*",商品マスタ!$D:$E,2,FALSE),
VLOOKUP("*"&amp;S90&amp;"*",商品マスタ!$D:$E,2,FALSE))),"")</f>
        <v/>
      </c>
      <c r="Z90" t="str">
        <f t="shared" ca="1" si="29"/>
        <v/>
      </c>
      <c r="AA90" t="str">
        <f t="shared" ca="1" si="25"/>
        <v/>
      </c>
      <c r="AC90" t="str">
        <f t="shared" ca="1" si="26"/>
        <v/>
      </c>
      <c r="AD90" s="78" t="str">
        <f t="array" aca="1" ref="AD90" ca="1">IF(AND(IFERROR(COUNTIF(INDIRECT("R"&amp;IFERROR(SMALL(IF(AC$1:AC$140&lt;&gt;0,AC$1:AC$140),ROW(A90)),"")&amp;""),"*雙葉*"),0),COUNTIF(AE$1:AE89,"*雙葉*")),"",
IFERROR(SMALL(IF(AC$1:AC$140&lt;&gt;0,AC$1:AC$140),ROW(A90)),""))</f>
        <v/>
      </c>
      <c r="AE90" s="78" t="str">
        <f t="array" aca="1" ref="AE90" ca="1">IF($AD90&lt;&gt;"",INDIRECT("R"&amp;$AD90&amp;""),"")</f>
        <v/>
      </c>
      <c r="AF90" s="78" t="str">
        <f t="array" aca="1" ref="AF90" ca="1">IF($AD90&lt;&gt;"",
IF(INDIRECT("S"&amp;$AD90&amp;"")&lt;&gt;"",INDIRECT("S"&amp;$AD90&amp;""),""),"")</f>
        <v/>
      </c>
      <c r="AG90" s="78" t="str" cm="1">
        <f t="array" aca="1" ref="AG90" ca="1">IFERROR(IF($AD90&lt;&gt;"",INDIRECT("T"&amp;$AD90&amp;""),"")
+IF(COUNTIF(AE90,"*雙葉*"),
IFERROR(INDIRECT("T"&amp;MATCH("*雙葉*",INDIRECT("R"&amp;AD90+1&amp;":$R$140"),0)+ROW()&amp;""),0),0)
+IF(OR(COUNTIF(AO90,"*管理*"),COUNTIF(AO90,"予備")),
AQ90,0),"")</f>
        <v/>
      </c>
      <c r="AH90" s="78" t="str" cm="1">
        <f t="array" aca="1" ref="AH90" ca="1">IFERROR(IF($AD90&lt;&gt;"",INDIRECT("U"&amp;$AD90&amp;""),"")
+IF(COUNTIF(AE90,"*雙葉*"),
IFERROR(INDIRECT("U"&amp;MATCH("*雙葉*",INDIRECT("R"&amp;AD90+1&amp;":$R$140"),0)+ROW()&amp;""),0),0),"")</f>
        <v/>
      </c>
      <c r="AI90" s="78" t="str" cm="1">
        <f t="array" aca="1" ref="AI90" ca="1">IFERROR(IF($AD90&lt;&gt;"",INDIRECT("V"&amp;$AD90&amp;""),"")
+IF(COUNTIF(AE90,"*雙葉*"),
IFERROR(INDIRECT("V"&amp;MATCH("*雙葉*",INDIRECT("R"&amp;AD90+1&amp;":$R$140"),0)+ROW()&amp;""),0),0),"")</f>
        <v/>
      </c>
      <c r="AJ90" s="78" t="str">
        <f t="array" aca="1" ref="AJ90" ca="1">IF($AD90&lt;&gt;"",INDIRECT("W"&amp;$AD90&amp;""),"")</f>
        <v/>
      </c>
      <c r="AK90" s="78" t="str">
        <f t="array" aca="1" ref="AK90" ca="1">IF($AD90&lt;&gt;"",INDIRECT("Y"&amp;$AD90&amp;""),"")</f>
        <v/>
      </c>
      <c r="AL90" s="78" t="str">
        <f t="shared" ca="1" si="30"/>
        <v/>
      </c>
      <c r="AM90" s="78" t="str">
        <f t="shared" ca="1" si="28"/>
        <v/>
      </c>
      <c r="AN90" s="78" t="str">
        <f t="array" aca="1" ref="AN90" ca="1">IF($AD90&lt;&gt;"",INDIRECT("Q"&amp;$AD90&amp;""),"")</f>
        <v/>
      </c>
      <c r="AO90" s="78" t="str">
        <f ca="1">IFERROR(IF(AND(AN90&lt;&gt;"",VLOOKUP(AN90,得意先マスタ!$A$1:$Z$800,24,FALSE)&lt;&gt;0),
VLOOKUP(AN90,得意先マスタ!$A$1:$Z$800,24,FALSE),""),"")</f>
        <v/>
      </c>
      <c r="AP90" s="78" t="str">
        <f ca="1">IFERROR(IF(AND(AN90&lt;&gt;"",VLOOKUP(AN90,得意先マスタ!$A$1:$Z$800,25,FALSE)&lt;&gt;0),
VLOOKUP(AN90,得意先マスタ!$A$1:$Z$800,25,FALSE),""),"")</f>
        <v/>
      </c>
      <c r="AQ90" s="78" t="str">
        <f t="shared" ca="1" si="27"/>
        <v/>
      </c>
      <c r="AR90" s="78">
        <f t="shared" ca="1" si="32"/>
        <v>0</v>
      </c>
      <c r="AS90" s="78">
        <f t="shared" ca="1" si="31"/>
        <v>0</v>
      </c>
    </row>
    <row r="91" spans="16:45">
      <c r="P91" t="str">
        <f ca="1">IF(AND(N91=0, COUNTIFS($E$1:E91,E91)=1), E91,
IF(COUNTIF(F91,"*雙葉*"),E91,""))</f>
        <v/>
      </c>
      <c r="Q91" s="57" t="str">
        <f ca="1">IF(AND('盛付札（関数）'!AX41&lt;&gt;0,COUNTIF($Q$1:$Q$50,'盛付札（関数）'!AW41)=0),'盛付札（関数）'!AW41,"")</f>
        <v/>
      </c>
      <c r="R91" s="57" t="str">
        <f ca="1">IF($Q91&lt;&gt;"",OFFSET(得意先マスタ!$A$1,MATCH(Q91,得意先マスタ!A:A,0)-1,1),"")</f>
        <v/>
      </c>
      <c r="S91" s="57" t="str">
        <f ca="1">IF($Q91&lt;&gt;"",OFFSET('盛付札（関数）'!$AF$1,MATCH(X91,'盛付札（関数）'!$AE$1:$AE$70,0)-1,1),"")</f>
        <v/>
      </c>
      <c r="T91" s="57" t="str">
        <f ca="1">IF($Q91&lt;&gt;"",OFFSET('盛付札（関数）'!$AF$1,MATCH(X91,'盛付札（関数）'!$AE$1:$AE$70,0)-1,4),"")</f>
        <v/>
      </c>
      <c r="U91" s="57" t="str">
        <f ca="1">IF($Q91&lt;&gt;"",OFFSET('盛付札（関数）'!$AF$1,MATCH(X91,'盛付札（関数）'!$AE$1:$AE$70,0)-1,5),"")</f>
        <v/>
      </c>
      <c r="V91" s="57" t="str">
        <f ca="1">IF($Q91&lt;&gt;"",OFFSET('盛付札（関数）'!$AF$1,MATCH(X91,'盛付札（関数）'!$AE$1:$AE$70,0)-1,9),"")</f>
        <v/>
      </c>
      <c r="W91" s="57" t="str">
        <f ca="1">IF($Q91&lt;&gt;"",OFFSET('盛付札（関数）'!$AF$1,MATCH(X91,'盛付札（関数）'!$AE$1:$AE$70,0)-1,6),"")</f>
        <v/>
      </c>
      <c r="X91" s="57" t="str">
        <f ca="1">IF(AND('盛付札（関数）'!AX41&lt;&gt;0,COUNTIF($Q$1:$Q$50,'盛付札（関数）'!AW41)=0),'盛付札（関数）'!AE41,"")</f>
        <v/>
      </c>
      <c r="Y91" t="str">
        <f ca="1">IF(Q91&lt;&gt;"",
IF(COUNTIF(S91,"*キャラ*"),
VLOOKUP("*キャラ*",商品マスタ!$D:$E,2,FALSE),
IF(COUNTIF(S91,"*赤*"),
VLOOKUP("*赤*",商品マスタ!$D:$E,2,FALSE),
VLOOKUP("*"&amp;S91&amp;"*",商品マスタ!$D:$E,2,FALSE))),"")</f>
        <v/>
      </c>
      <c r="Z91" t="str">
        <f t="shared" ca="1" si="29"/>
        <v/>
      </c>
      <c r="AA91" t="str">
        <f t="shared" ca="1" si="25"/>
        <v/>
      </c>
      <c r="AC91" t="str">
        <f t="shared" ca="1" si="26"/>
        <v/>
      </c>
      <c r="AD91" s="78" t="str">
        <f t="array" aca="1" ref="AD91" ca="1">IF(AND(IFERROR(COUNTIF(INDIRECT("R"&amp;IFERROR(SMALL(IF(AC$1:AC$140&lt;&gt;0,AC$1:AC$140),ROW(A91)),"")&amp;""),"*雙葉*"),0),COUNTIF(AE$1:AE90,"*雙葉*")),"",
IFERROR(SMALL(IF(AC$1:AC$140&lt;&gt;0,AC$1:AC$140),ROW(A91)),""))</f>
        <v/>
      </c>
      <c r="AE91" s="78" t="str">
        <f t="array" aca="1" ref="AE91" ca="1">IF($AD91&lt;&gt;"",INDIRECT("R"&amp;$AD91&amp;""),"")</f>
        <v/>
      </c>
      <c r="AF91" s="78" t="str">
        <f t="array" aca="1" ref="AF91" ca="1">IF($AD91&lt;&gt;"",
IF(INDIRECT("S"&amp;$AD91&amp;"")&lt;&gt;"",INDIRECT("S"&amp;$AD91&amp;""),""),"")</f>
        <v/>
      </c>
      <c r="AG91" s="78" t="str" cm="1">
        <f t="array" aca="1" ref="AG91" ca="1">IFERROR(IF($AD91&lt;&gt;"",INDIRECT("T"&amp;$AD91&amp;""),"")
+IF(COUNTIF(AE91,"*雙葉*"),
IFERROR(INDIRECT("T"&amp;MATCH("*雙葉*",INDIRECT("R"&amp;AD91+1&amp;":$R$140"),0)+ROW()&amp;""),0),0)
+IF(OR(COUNTIF(AO91,"*管理*"),COUNTIF(AO91,"予備")),
AQ91,0),"")</f>
        <v/>
      </c>
      <c r="AH91" s="78" t="str" cm="1">
        <f t="array" aca="1" ref="AH91" ca="1">IFERROR(IF($AD91&lt;&gt;"",INDIRECT("U"&amp;$AD91&amp;""),"")
+IF(COUNTIF(AE91,"*雙葉*"),
IFERROR(INDIRECT("U"&amp;MATCH("*雙葉*",INDIRECT("R"&amp;AD91+1&amp;":$R$140"),0)+ROW()&amp;""),0),0),"")</f>
        <v/>
      </c>
      <c r="AI91" s="78" t="str" cm="1">
        <f t="array" aca="1" ref="AI91" ca="1">IFERROR(IF($AD91&lt;&gt;"",INDIRECT("V"&amp;$AD91&amp;""),"")
+IF(COUNTIF(AE91,"*雙葉*"),
IFERROR(INDIRECT("V"&amp;MATCH("*雙葉*",INDIRECT("R"&amp;AD91+1&amp;":$R$140"),0)+ROW()&amp;""),0),0),"")</f>
        <v/>
      </c>
      <c r="AJ91" s="78" t="str">
        <f t="array" aca="1" ref="AJ91" ca="1">IF($AD91&lt;&gt;"",INDIRECT("W"&amp;$AD91&amp;""),"")</f>
        <v/>
      </c>
      <c r="AK91" s="78" t="str">
        <f t="array" aca="1" ref="AK91" ca="1">IF($AD91&lt;&gt;"",INDIRECT("Y"&amp;$AD91&amp;""),"")</f>
        <v/>
      </c>
      <c r="AL91" s="78" t="str">
        <f t="shared" ca="1" si="30"/>
        <v/>
      </c>
      <c r="AM91" s="78" t="str">
        <f t="shared" ca="1" si="28"/>
        <v/>
      </c>
      <c r="AN91" s="78" t="str">
        <f t="array" aca="1" ref="AN91" ca="1">IF($AD91&lt;&gt;"",INDIRECT("Q"&amp;$AD91&amp;""),"")</f>
        <v/>
      </c>
      <c r="AO91" s="78" t="str">
        <f ca="1">IFERROR(IF(AND(AN91&lt;&gt;"",VLOOKUP(AN91,得意先マスタ!$A$1:$Z$800,24,FALSE)&lt;&gt;0),
VLOOKUP(AN91,得意先マスタ!$A$1:$Z$800,24,FALSE),""),"")</f>
        <v/>
      </c>
      <c r="AP91" s="78" t="str">
        <f ca="1">IFERROR(IF(AND(AN91&lt;&gt;"",VLOOKUP(AN91,得意先マスタ!$A$1:$Z$800,25,FALSE)&lt;&gt;0),
VLOOKUP(AN91,得意先マスタ!$A$1:$Z$800,25,FALSE),""),"")</f>
        <v/>
      </c>
      <c r="AQ91" s="78" t="str">
        <f t="shared" ca="1" si="27"/>
        <v/>
      </c>
      <c r="AR91" s="78">
        <f t="shared" ca="1" si="32"/>
        <v>0</v>
      </c>
      <c r="AS91" s="78">
        <f t="shared" ca="1" si="31"/>
        <v>0</v>
      </c>
    </row>
    <row r="92" spans="16:45">
      <c r="P92" t="str">
        <f ca="1">IF(AND(N92=0, COUNTIFS($E$1:E92,E92)=1), E92,
IF(COUNTIF(F92,"*雙葉*"),E92,""))</f>
        <v/>
      </c>
      <c r="Q92" s="57" t="str">
        <f ca="1">IF(AND('盛付札（関数）'!AX42&lt;&gt;0,COUNTIF($Q$1:$Q$50,'盛付札（関数）'!AW42)=0),'盛付札（関数）'!AW42,"")</f>
        <v/>
      </c>
      <c r="R92" s="57" t="str">
        <f ca="1">IF($Q92&lt;&gt;"",OFFSET(得意先マスタ!$A$1,MATCH(Q92,得意先マスタ!A:A,0)-1,1),"")</f>
        <v/>
      </c>
      <c r="S92" s="57" t="str">
        <f ca="1">IF($Q92&lt;&gt;"",OFFSET('盛付札（関数）'!$AF$1,MATCH(X92,'盛付札（関数）'!$AE$1:$AE$70,0)-1,1),"")</f>
        <v/>
      </c>
      <c r="T92" s="57" t="str">
        <f ca="1">IF($Q92&lt;&gt;"",OFFSET('盛付札（関数）'!$AF$1,MATCH(X92,'盛付札（関数）'!$AE$1:$AE$70,0)-1,4),"")</f>
        <v/>
      </c>
      <c r="U92" s="57" t="str">
        <f ca="1">IF($Q92&lt;&gt;"",OFFSET('盛付札（関数）'!$AF$1,MATCH(X92,'盛付札（関数）'!$AE$1:$AE$70,0)-1,5),"")</f>
        <v/>
      </c>
      <c r="V92" s="57" t="str">
        <f ca="1">IF($Q92&lt;&gt;"",OFFSET('盛付札（関数）'!$AF$1,MATCH(X92,'盛付札（関数）'!$AE$1:$AE$70,0)-1,9),"")</f>
        <v/>
      </c>
      <c r="W92" s="57" t="str">
        <f ca="1">IF($Q92&lt;&gt;"",OFFSET('盛付札（関数）'!$AF$1,MATCH(X92,'盛付札（関数）'!$AE$1:$AE$70,0)-1,6),"")</f>
        <v/>
      </c>
      <c r="X92" s="57" t="str">
        <f ca="1">IF(AND('盛付札（関数）'!AX42&lt;&gt;0,COUNTIF($Q$1:$Q$50,'盛付札（関数）'!AW42)=0),'盛付札（関数）'!AE42,"")</f>
        <v/>
      </c>
      <c r="Y92" t="str">
        <f ca="1">IF(Q92&lt;&gt;"",
IF(COUNTIF(S92,"*キャラ*"),
VLOOKUP("*キャラ*",商品マスタ!$D:$E,2,FALSE),
IF(COUNTIF(S92,"*赤*"),
VLOOKUP("*赤*",商品マスタ!$D:$E,2,FALSE),
VLOOKUP("*"&amp;S92&amp;"*",商品マスタ!$D:$E,2,FALSE))),"")</f>
        <v/>
      </c>
      <c r="Z92" t="str">
        <f t="shared" ca="1" si="29"/>
        <v/>
      </c>
      <c r="AA92" t="str">
        <f t="shared" ca="1" si="25"/>
        <v/>
      </c>
      <c r="AC92" t="str">
        <f t="shared" ca="1" si="26"/>
        <v/>
      </c>
      <c r="AD92" s="78" t="str">
        <f t="array" aca="1" ref="AD92" ca="1">IF(AND(IFERROR(COUNTIF(INDIRECT("R"&amp;IFERROR(SMALL(IF(AC$1:AC$140&lt;&gt;0,AC$1:AC$140),ROW(A92)),"")&amp;""),"*雙葉*"),0),COUNTIF(AE$1:AE91,"*雙葉*")),"",
IFERROR(SMALL(IF(AC$1:AC$140&lt;&gt;0,AC$1:AC$140),ROW(A92)),""))</f>
        <v/>
      </c>
      <c r="AE92" s="78" t="str">
        <f t="array" aca="1" ref="AE92" ca="1">IF($AD92&lt;&gt;"",INDIRECT("R"&amp;$AD92&amp;""),"")</f>
        <v/>
      </c>
      <c r="AF92" s="78" t="str">
        <f t="array" aca="1" ref="AF92" ca="1">IF($AD92&lt;&gt;"",
IF(INDIRECT("S"&amp;$AD92&amp;"")&lt;&gt;"",INDIRECT("S"&amp;$AD92&amp;""),""),"")</f>
        <v/>
      </c>
      <c r="AG92" s="78" t="str" cm="1">
        <f t="array" aca="1" ref="AG92" ca="1">IFERROR(IF($AD92&lt;&gt;"",INDIRECT("T"&amp;$AD92&amp;""),"")
+IF(COUNTIF(AE92,"*雙葉*"),
IFERROR(INDIRECT("T"&amp;MATCH("*雙葉*",INDIRECT("R"&amp;AD92+1&amp;":$R$140"),0)+ROW()&amp;""),0),0)
+IF(OR(COUNTIF(AO92,"*管理*"),COUNTIF(AO92,"予備")),
AQ92,0),"")</f>
        <v/>
      </c>
      <c r="AH92" s="78" t="str" cm="1">
        <f t="array" aca="1" ref="AH92" ca="1">IFERROR(IF($AD92&lt;&gt;"",INDIRECT("U"&amp;$AD92&amp;""),"")
+IF(COUNTIF(AE92,"*雙葉*"),
IFERROR(INDIRECT("U"&amp;MATCH("*雙葉*",INDIRECT("R"&amp;AD92+1&amp;":$R$140"),0)+ROW()&amp;""),0),0),"")</f>
        <v/>
      </c>
      <c r="AI92" s="78" t="str" cm="1">
        <f t="array" aca="1" ref="AI92" ca="1">IFERROR(IF($AD92&lt;&gt;"",INDIRECT("V"&amp;$AD92&amp;""),"")
+IF(COUNTIF(AE92,"*雙葉*"),
IFERROR(INDIRECT("V"&amp;MATCH("*雙葉*",INDIRECT("R"&amp;AD92+1&amp;":$R$140"),0)+ROW()&amp;""),0),0),"")</f>
        <v/>
      </c>
      <c r="AJ92" s="78" t="str">
        <f t="array" aca="1" ref="AJ92" ca="1">IF($AD92&lt;&gt;"",INDIRECT("W"&amp;$AD92&amp;""),"")</f>
        <v/>
      </c>
      <c r="AK92" s="78" t="str">
        <f t="array" aca="1" ref="AK92" ca="1">IF($AD92&lt;&gt;"",INDIRECT("Y"&amp;$AD92&amp;""),"")</f>
        <v/>
      </c>
      <c r="AL92" s="78" t="str">
        <f t="shared" ca="1" si="30"/>
        <v/>
      </c>
      <c r="AM92" s="78" t="str">
        <f t="shared" ca="1" si="28"/>
        <v/>
      </c>
      <c r="AN92" s="78" t="str">
        <f t="array" aca="1" ref="AN92" ca="1">IF($AD92&lt;&gt;"",INDIRECT("Q"&amp;$AD92&amp;""),"")</f>
        <v/>
      </c>
      <c r="AO92" s="78" t="str">
        <f ca="1">IFERROR(IF(AND(AN92&lt;&gt;"",VLOOKUP(AN92,得意先マスタ!$A$1:$Z$800,24,FALSE)&lt;&gt;0),
VLOOKUP(AN92,得意先マスタ!$A$1:$Z$800,24,FALSE),""),"")</f>
        <v/>
      </c>
      <c r="AP92" s="78" t="str">
        <f ca="1">IFERROR(IF(AND(AN92&lt;&gt;"",VLOOKUP(AN92,得意先マスタ!$A$1:$Z$800,25,FALSE)&lt;&gt;0),
VLOOKUP(AN92,得意先マスタ!$A$1:$Z$800,25,FALSE),""),"")</f>
        <v/>
      </c>
      <c r="AQ92" s="78" t="str">
        <f t="shared" ca="1" si="27"/>
        <v/>
      </c>
      <c r="AR92" s="78">
        <f t="shared" ca="1" si="32"/>
        <v>0</v>
      </c>
      <c r="AS92" s="78">
        <f t="shared" ca="1" si="31"/>
        <v>0</v>
      </c>
    </row>
    <row r="93" spans="16:45">
      <c r="P93" t="str">
        <f ca="1">IF(AND(N93=0, COUNTIFS($E$1:E93,E93)=1), E93,
IF(COUNTIF(F93,"*雙葉*"),E93,""))</f>
        <v/>
      </c>
      <c r="Q93" s="57" t="str">
        <f ca="1">IF(AND('盛付札（関数）'!AX43&lt;&gt;0,COUNTIF($Q$1:$Q$50,'盛付札（関数）'!AW43)=0),'盛付札（関数）'!AW43,"")</f>
        <v/>
      </c>
      <c r="R93" s="57" t="str">
        <f ca="1">IF($Q93&lt;&gt;"",OFFSET(得意先マスタ!$A$1,MATCH(Q93,得意先マスタ!A:A,0)-1,1),"")</f>
        <v/>
      </c>
      <c r="S93" s="57" t="str">
        <f ca="1">IF($Q93&lt;&gt;"",OFFSET('盛付札（関数）'!$AF$1,MATCH(X93,'盛付札（関数）'!$AE$1:$AE$70,0)-1,1),"")</f>
        <v/>
      </c>
      <c r="T93" s="57" t="str">
        <f ca="1">IF($Q93&lt;&gt;"",OFFSET('盛付札（関数）'!$AF$1,MATCH(X93,'盛付札（関数）'!$AE$1:$AE$70,0)-1,4),"")</f>
        <v/>
      </c>
      <c r="U93" s="57" t="str">
        <f ca="1">IF($Q93&lt;&gt;"",OFFSET('盛付札（関数）'!$AF$1,MATCH(X93,'盛付札（関数）'!$AE$1:$AE$70,0)-1,5),"")</f>
        <v/>
      </c>
      <c r="V93" s="57" t="str">
        <f ca="1">IF($Q93&lt;&gt;"",OFFSET('盛付札（関数）'!$AF$1,MATCH(X93,'盛付札（関数）'!$AE$1:$AE$70,0)-1,9),"")</f>
        <v/>
      </c>
      <c r="W93" s="57" t="str">
        <f ca="1">IF($Q93&lt;&gt;"",OFFSET('盛付札（関数）'!$AF$1,MATCH(X93,'盛付札（関数）'!$AE$1:$AE$70,0)-1,6),"")</f>
        <v/>
      </c>
      <c r="X93" s="57" t="str">
        <f ca="1">IF(AND('盛付札（関数）'!AX43&lt;&gt;0,COUNTIF($Q$1:$Q$50,'盛付札（関数）'!AW43)=0),'盛付札（関数）'!AE43,"")</f>
        <v/>
      </c>
      <c r="Y93" t="str">
        <f ca="1">IF(Q93&lt;&gt;"",
IF(COUNTIF(S93,"*キャラ*"),
VLOOKUP("*キャラ*",商品マスタ!$D:$E,2,FALSE),
IF(COUNTIF(S93,"*赤*"),
VLOOKUP("*赤*",商品マスタ!$D:$E,2,FALSE),
VLOOKUP("*"&amp;S93&amp;"*",商品マスタ!$D:$E,2,FALSE))),"")</f>
        <v/>
      </c>
      <c r="Z93" t="str">
        <f t="shared" ca="1" si="29"/>
        <v/>
      </c>
      <c r="AA93" t="str">
        <f t="shared" ca="1" si="25"/>
        <v/>
      </c>
      <c r="AC93" t="str">
        <f t="shared" ca="1" si="26"/>
        <v/>
      </c>
      <c r="AD93" s="78" t="str">
        <f t="array" aca="1" ref="AD93" ca="1">IF(AND(IFERROR(COUNTIF(INDIRECT("R"&amp;IFERROR(SMALL(IF(AC$1:AC$140&lt;&gt;0,AC$1:AC$140),ROW(A93)),"")&amp;""),"*雙葉*"),0),COUNTIF(AE$1:AE92,"*雙葉*")),"",
IFERROR(SMALL(IF(AC$1:AC$140&lt;&gt;0,AC$1:AC$140),ROW(A93)),""))</f>
        <v/>
      </c>
      <c r="AE93" s="78" t="str">
        <f t="array" aca="1" ref="AE93" ca="1">IF($AD93&lt;&gt;"",INDIRECT("R"&amp;$AD93&amp;""),"")</f>
        <v/>
      </c>
      <c r="AF93" s="78" t="str">
        <f t="array" aca="1" ref="AF93" ca="1">IF($AD93&lt;&gt;"",
IF(INDIRECT("S"&amp;$AD93&amp;"")&lt;&gt;"",INDIRECT("S"&amp;$AD93&amp;""),""),"")</f>
        <v/>
      </c>
      <c r="AG93" s="78" t="str" cm="1">
        <f t="array" aca="1" ref="AG93" ca="1">IFERROR(IF($AD93&lt;&gt;"",INDIRECT("T"&amp;$AD93&amp;""),"")
+IF(COUNTIF(AE93,"*雙葉*"),
IFERROR(INDIRECT("T"&amp;MATCH("*雙葉*",INDIRECT("R"&amp;AD93+1&amp;":$R$140"),0)+ROW()&amp;""),0),0)
+IF(OR(COUNTIF(AO93,"*管理*"),COUNTIF(AO93,"予備")),
AQ93,0),"")</f>
        <v/>
      </c>
      <c r="AH93" s="78" t="str" cm="1">
        <f t="array" aca="1" ref="AH93" ca="1">IFERROR(IF($AD93&lt;&gt;"",INDIRECT("U"&amp;$AD93&amp;""),"")
+IF(COUNTIF(AE93,"*雙葉*"),
IFERROR(INDIRECT("U"&amp;MATCH("*雙葉*",INDIRECT("R"&amp;AD93+1&amp;":$R$140"),0)+ROW()&amp;""),0),0),"")</f>
        <v/>
      </c>
      <c r="AI93" s="78" t="str" cm="1">
        <f t="array" aca="1" ref="AI93" ca="1">IFERROR(IF($AD93&lt;&gt;"",INDIRECT("V"&amp;$AD93&amp;""),"")
+IF(COUNTIF(AE93,"*雙葉*"),
IFERROR(INDIRECT("V"&amp;MATCH("*雙葉*",INDIRECT("R"&amp;AD93+1&amp;":$R$140"),0)+ROW()&amp;""),0),0),"")</f>
        <v/>
      </c>
      <c r="AJ93" s="78" t="str">
        <f t="array" aca="1" ref="AJ93" ca="1">IF($AD93&lt;&gt;"",INDIRECT("W"&amp;$AD93&amp;""),"")</f>
        <v/>
      </c>
      <c r="AK93" s="78" t="str">
        <f t="array" aca="1" ref="AK93" ca="1">IF($AD93&lt;&gt;"",INDIRECT("Y"&amp;$AD93&amp;""),"")</f>
        <v/>
      </c>
      <c r="AL93" s="78" t="str">
        <f t="shared" ca="1" si="30"/>
        <v/>
      </c>
      <c r="AM93" s="78" t="str">
        <f t="shared" ca="1" si="28"/>
        <v/>
      </c>
      <c r="AN93" s="78" t="str">
        <f t="array" aca="1" ref="AN93" ca="1">IF($AD93&lt;&gt;"",INDIRECT("Q"&amp;$AD93&amp;""),"")</f>
        <v/>
      </c>
      <c r="AO93" s="78" t="str">
        <f ca="1">IFERROR(IF(AND(AN93&lt;&gt;"",VLOOKUP(AN93,得意先マスタ!$A$1:$Z$800,24,FALSE)&lt;&gt;0),
VLOOKUP(AN93,得意先マスタ!$A$1:$Z$800,24,FALSE),""),"")</f>
        <v/>
      </c>
      <c r="AP93" s="78" t="str">
        <f ca="1">IFERROR(IF(AND(AN93&lt;&gt;"",VLOOKUP(AN93,得意先マスタ!$A$1:$Z$800,25,FALSE)&lt;&gt;0),
VLOOKUP(AN93,得意先マスタ!$A$1:$Z$800,25,FALSE),""),"")</f>
        <v/>
      </c>
      <c r="AQ93" s="78" t="str">
        <f t="shared" ca="1" si="27"/>
        <v/>
      </c>
      <c r="AR93" s="78">
        <f t="shared" ca="1" si="32"/>
        <v>0</v>
      </c>
      <c r="AS93" s="78">
        <f t="shared" ca="1" si="31"/>
        <v>0</v>
      </c>
    </row>
    <row r="94" spans="16:45">
      <c r="P94" t="str">
        <f ca="1">IF(AND(N94=0, COUNTIFS($E$1:E94,E94)=1), E94,
IF(COUNTIF(F94,"*雙葉*"),E94,""))</f>
        <v/>
      </c>
      <c r="Q94" s="57" t="str">
        <f ca="1">IF(AND('盛付札（関数）'!AX44&lt;&gt;0,COUNTIF($Q$1:$Q$50,'盛付札（関数）'!AW44)=0),'盛付札（関数）'!AW44,"")</f>
        <v/>
      </c>
      <c r="R94" s="57" t="str">
        <f ca="1">IF($Q94&lt;&gt;"",OFFSET(得意先マスタ!$A$1,MATCH(Q94,得意先マスタ!A:A,0)-1,1),"")</f>
        <v/>
      </c>
      <c r="S94" s="57" t="str">
        <f ca="1">IF($Q94&lt;&gt;"",OFFSET('盛付札（関数）'!$AF$1,MATCH(X94,'盛付札（関数）'!$AE$1:$AE$70,0)-1,1),"")</f>
        <v/>
      </c>
      <c r="T94" s="57" t="str">
        <f ca="1">IF($Q94&lt;&gt;"",OFFSET('盛付札（関数）'!$AF$1,MATCH(X94,'盛付札（関数）'!$AE$1:$AE$70,0)-1,4),"")</f>
        <v/>
      </c>
      <c r="U94" s="57" t="str">
        <f ca="1">IF($Q94&lt;&gt;"",OFFSET('盛付札（関数）'!$AF$1,MATCH(X94,'盛付札（関数）'!$AE$1:$AE$70,0)-1,5),"")</f>
        <v/>
      </c>
      <c r="V94" s="57" t="str">
        <f ca="1">IF($Q94&lt;&gt;"",OFFSET('盛付札（関数）'!$AF$1,MATCH(X94,'盛付札（関数）'!$AE$1:$AE$70,0)-1,9),"")</f>
        <v/>
      </c>
      <c r="W94" s="57" t="str">
        <f ca="1">IF($Q94&lt;&gt;"",OFFSET('盛付札（関数）'!$AF$1,MATCH(X94,'盛付札（関数）'!$AE$1:$AE$70,0)-1,6),"")</f>
        <v/>
      </c>
      <c r="X94" s="57" t="str">
        <f ca="1">IF(AND('盛付札（関数）'!AX44&lt;&gt;0,COUNTIF($Q$1:$Q$50,'盛付札（関数）'!AW44)=0),'盛付札（関数）'!AE44,"")</f>
        <v/>
      </c>
      <c r="Y94" t="str">
        <f ca="1">IF(Q94&lt;&gt;"",
IF(COUNTIF(S94,"*キャラ*"),
VLOOKUP("*キャラ*",商品マスタ!$D:$E,2,FALSE),
IF(COUNTIF(S94,"*赤*"),
VLOOKUP("*赤*",商品マスタ!$D:$E,2,FALSE),
VLOOKUP("*"&amp;S94&amp;"*",商品マスタ!$D:$E,2,FALSE))),"")</f>
        <v/>
      </c>
      <c r="Z94" t="str">
        <f t="shared" ca="1" si="29"/>
        <v/>
      </c>
      <c r="AA94" t="str">
        <f t="shared" ca="1" si="25"/>
        <v/>
      </c>
      <c r="AC94" t="str">
        <f t="shared" ca="1" si="26"/>
        <v/>
      </c>
      <c r="AD94" s="78" t="str">
        <f t="array" aca="1" ref="AD94" ca="1">IF(AND(IFERROR(COUNTIF(INDIRECT("R"&amp;IFERROR(SMALL(IF(AC$1:AC$140&lt;&gt;0,AC$1:AC$140),ROW(A94)),"")&amp;""),"*雙葉*"),0),COUNTIF(AE$1:AE93,"*雙葉*")),"",
IFERROR(SMALL(IF(AC$1:AC$140&lt;&gt;0,AC$1:AC$140),ROW(A94)),""))</f>
        <v/>
      </c>
      <c r="AE94" s="78" t="str">
        <f t="array" aca="1" ref="AE94" ca="1">IF($AD94&lt;&gt;"",INDIRECT("R"&amp;$AD94&amp;""),"")</f>
        <v/>
      </c>
      <c r="AF94" s="78" t="str">
        <f t="array" aca="1" ref="AF94" ca="1">IF($AD94&lt;&gt;"",
IF(INDIRECT("S"&amp;$AD94&amp;"")&lt;&gt;"",INDIRECT("S"&amp;$AD94&amp;""),""),"")</f>
        <v/>
      </c>
      <c r="AG94" s="78" t="str" cm="1">
        <f t="array" aca="1" ref="AG94" ca="1">IFERROR(IF($AD94&lt;&gt;"",INDIRECT("T"&amp;$AD94&amp;""),"")
+IF(COUNTIF(AE94,"*雙葉*"),
IFERROR(INDIRECT("T"&amp;MATCH("*雙葉*",INDIRECT("R"&amp;AD94+1&amp;":$R$140"),0)+ROW()&amp;""),0),0)
+IF(OR(COUNTIF(AO94,"*管理*"),COUNTIF(AO94,"予備")),
AQ94,0),"")</f>
        <v/>
      </c>
      <c r="AH94" s="78" t="str" cm="1">
        <f t="array" aca="1" ref="AH94" ca="1">IFERROR(IF($AD94&lt;&gt;"",INDIRECT("U"&amp;$AD94&amp;""),"")
+IF(COUNTIF(AE94,"*雙葉*"),
IFERROR(INDIRECT("U"&amp;MATCH("*雙葉*",INDIRECT("R"&amp;AD94+1&amp;":$R$140"),0)+ROW()&amp;""),0),0),"")</f>
        <v/>
      </c>
      <c r="AI94" s="78" t="str" cm="1">
        <f t="array" aca="1" ref="AI94" ca="1">IFERROR(IF($AD94&lt;&gt;"",INDIRECT("V"&amp;$AD94&amp;""),"")
+IF(COUNTIF(AE94,"*雙葉*"),
IFERROR(INDIRECT("V"&amp;MATCH("*雙葉*",INDIRECT("R"&amp;AD94+1&amp;":$R$140"),0)+ROW()&amp;""),0),0),"")</f>
        <v/>
      </c>
      <c r="AJ94" s="78" t="str">
        <f t="array" aca="1" ref="AJ94" ca="1">IF($AD94&lt;&gt;"",INDIRECT("W"&amp;$AD94&amp;""),"")</f>
        <v/>
      </c>
      <c r="AK94" s="78" t="str">
        <f t="array" aca="1" ref="AK94" ca="1">IF($AD94&lt;&gt;"",INDIRECT("Y"&amp;$AD94&amp;""),"")</f>
        <v/>
      </c>
      <c r="AL94" s="78" t="str">
        <f t="shared" ca="1" si="30"/>
        <v/>
      </c>
      <c r="AM94" s="78" t="str">
        <f t="shared" ca="1" si="28"/>
        <v/>
      </c>
      <c r="AN94" s="78" t="str">
        <f t="array" aca="1" ref="AN94" ca="1">IF($AD94&lt;&gt;"",INDIRECT("Q"&amp;$AD94&amp;""),"")</f>
        <v/>
      </c>
      <c r="AO94" s="78" t="str">
        <f ca="1">IFERROR(IF(AND(AN94&lt;&gt;"",VLOOKUP(AN94,得意先マスタ!$A$1:$Z$800,24,FALSE)&lt;&gt;0),
VLOOKUP(AN94,得意先マスタ!$A$1:$Z$800,24,FALSE),""),"")</f>
        <v/>
      </c>
      <c r="AP94" s="78" t="str">
        <f ca="1">IFERROR(IF(AND(AN94&lt;&gt;"",VLOOKUP(AN94,得意先マスタ!$A$1:$Z$800,25,FALSE)&lt;&gt;0),
VLOOKUP(AN94,得意先マスタ!$A$1:$Z$800,25,FALSE),""),"")</f>
        <v/>
      </c>
      <c r="AQ94" s="78" t="str">
        <f t="shared" ca="1" si="27"/>
        <v/>
      </c>
      <c r="AR94" s="78">
        <f t="shared" ca="1" si="32"/>
        <v>0</v>
      </c>
      <c r="AS94" s="78">
        <f t="shared" ca="1" si="31"/>
        <v>0</v>
      </c>
    </row>
    <row r="95" spans="16:45">
      <c r="P95" t="str">
        <f ca="1">IF(AND(N95=0, COUNTIFS($E$1:E95,E95)=1), E95,
IF(COUNTIF(F95,"*雙葉*"),E95,""))</f>
        <v/>
      </c>
      <c r="Q95" s="57" t="str">
        <f ca="1">IF(AND('盛付札（関数）'!AX45&lt;&gt;0,COUNTIF($Q$1:$Q$50,'盛付札（関数）'!AW45)=0),'盛付札（関数）'!AW45,"")</f>
        <v/>
      </c>
      <c r="R95" s="57" t="str">
        <f ca="1">IF($Q95&lt;&gt;"",OFFSET(得意先マスタ!$A$1,MATCH(Q95,得意先マスタ!A:A,0)-1,1),"")</f>
        <v/>
      </c>
      <c r="S95" s="57" t="str">
        <f ca="1">IF($Q95&lt;&gt;"",OFFSET('盛付札（関数）'!$AF$1,MATCH(X95,'盛付札（関数）'!$AE$1:$AE$70,0)-1,1),"")</f>
        <v/>
      </c>
      <c r="T95" s="57" t="str">
        <f ca="1">IF($Q95&lt;&gt;"",OFFSET('盛付札（関数）'!$AF$1,MATCH(X95,'盛付札（関数）'!$AE$1:$AE$70,0)-1,4),"")</f>
        <v/>
      </c>
      <c r="U95" s="57" t="str">
        <f ca="1">IF($Q95&lt;&gt;"",OFFSET('盛付札（関数）'!$AF$1,MATCH(X95,'盛付札（関数）'!$AE$1:$AE$70,0)-1,5),"")</f>
        <v/>
      </c>
      <c r="V95" s="57" t="str">
        <f ca="1">IF($Q95&lt;&gt;"",OFFSET('盛付札（関数）'!$AF$1,MATCH(X95,'盛付札（関数）'!$AE$1:$AE$70,0)-1,9),"")</f>
        <v/>
      </c>
      <c r="W95" s="57" t="str">
        <f ca="1">IF($Q95&lt;&gt;"",OFFSET('盛付札（関数）'!$AF$1,MATCH(X95,'盛付札（関数）'!$AE$1:$AE$70,0)-1,6),"")</f>
        <v/>
      </c>
      <c r="X95" s="57" t="str">
        <f ca="1">IF(AND('盛付札（関数）'!AX45&lt;&gt;0,COUNTIF($Q$1:$Q$50,'盛付札（関数）'!AW45)=0),'盛付札（関数）'!AE45,"")</f>
        <v/>
      </c>
      <c r="Y95" t="str">
        <f ca="1">IF(Q95&lt;&gt;"",
IF(COUNTIF(S95,"*キャラ*"),
VLOOKUP("*キャラ*",商品マスタ!$D:$E,2,FALSE),
IF(COUNTIF(S95,"*赤*"),
VLOOKUP("*赤*",商品マスタ!$D:$E,2,FALSE),
VLOOKUP("*"&amp;S95&amp;"*",商品マスタ!$D:$E,2,FALSE))),"")</f>
        <v/>
      </c>
      <c r="Z95" t="str">
        <f t="shared" ca="1" si="29"/>
        <v/>
      </c>
      <c r="AA95" t="str">
        <f t="shared" ca="1" si="25"/>
        <v/>
      </c>
      <c r="AC95" t="str">
        <f t="shared" ca="1" si="26"/>
        <v/>
      </c>
      <c r="AD95" s="78" t="str">
        <f t="array" aca="1" ref="AD95" ca="1">IF(AND(IFERROR(COUNTIF(INDIRECT("R"&amp;IFERROR(SMALL(IF(AC$1:AC$140&lt;&gt;0,AC$1:AC$140),ROW(A95)),"")&amp;""),"*雙葉*"),0),COUNTIF(AE$1:AE94,"*雙葉*")),"",
IFERROR(SMALL(IF(AC$1:AC$140&lt;&gt;0,AC$1:AC$140),ROW(A95)),""))</f>
        <v/>
      </c>
      <c r="AE95" s="78" t="str">
        <f t="array" aca="1" ref="AE95" ca="1">IF($AD95&lt;&gt;"",INDIRECT("R"&amp;$AD95&amp;""),"")</f>
        <v/>
      </c>
      <c r="AF95" s="78" t="str">
        <f t="array" aca="1" ref="AF95" ca="1">IF($AD95&lt;&gt;"",
IF(INDIRECT("S"&amp;$AD95&amp;"")&lt;&gt;"",INDIRECT("S"&amp;$AD95&amp;""),""),"")</f>
        <v/>
      </c>
      <c r="AG95" s="78" t="str" cm="1">
        <f t="array" aca="1" ref="AG95" ca="1">IFERROR(IF($AD95&lt;&gt;"",INDIRECT("T"&amp;$AD95&amp;""),"")
+IF(COUNTIF(AE95,"*雙葉*"),
IFERROR(INDIRECT("T"&amp;MATCH("*雙葉*",INDIRECT("R"&amp;AD95+1&amp;":$R$140"),0)+ROW()&amp;""),0),0)
+IF(OR(COUNTIF(AO95,"*管理*"),COUNTIF(AO95,"予備")),
AQ95,0),"")</f>
        <v/>
      </c>
      <c r="AH95" s="78" t="str" cm="1">
        <f t="array" aca="1" ref="AH95" ca="1">IFERROR(IF($AD95&lt;&gt;"",INDIRECT("U"&amp;$AD95&amp;""),"")
+IF(COUNTIF(AE95,"*雙葉*"),
IFERROR(INDIRECT("U"&amp;MATCH("*雙葉*",INDIRECT("R"&amp;AD95+1&amp;":$R$140"),0)+ROW()&amp;""),0),0),"")</f>
        <v/>
      </c>
      <c r="AI95" s="78" t="str" cm="1">
        <f t="array" aca="1" ref="AI95" ca="1">IFERROR(IF($AD95&lt;&gt;"",INDIRECT("V"&amp;$AD95&amp;""),"")
+IF(COUNTIF(AE95,"*雙葉*"),
IFERROR(INDIRECT("V"&amp;MATCH("*雙葉*",INDIRECT("R"&amp;AD95+1&amp;":$R$140"),0)+ROW()&amp;""),0),0),"")</f>
        <v/>
      </c>
      <c r="AJ95" s="78" t="str">
        <f t="array" aca="1" ref="AJ95" ca="1">IF($AD95&lt;&gt;"",INDIRECT("W"&amp;$AD95&amp;""),"")</f>
        <v/>
      </c>
      <c r="AK95" s="78" t="str">
        <f t="array" aca="1" ref="AK95" ca="1">IF($AD95&lt;&gt;"",INDIRECT("Y"&amp;$AD95&amp;""),"")</f>
        <v/>
      </c>
      <c r="AL95" s="78" t="str">
        <f t="shared" ca="1" si="30"/>
        <v/>
      </c>
      <c r="AM95" s="78" t="str">
        <f t="shared" ca="1" si="28"/>
        <v/>
      </c>
      <c r="AN95" s="78" t="str">
        <f t="array" aca="1" ref="AN95" ca="1">IF($AD95&lt;&gt;"",INDIRECT("Q"&amp;$AD95&amp;""),"")</f>
        <v/>
      </c>
      <c r="AO95" s="78" t="str">
        <f ca="1">IFERROR(IF(AND(AN95&lt;&gt;"",VLOOKUP(AN95,得意先マスタ!$A$1:$Z$800,24,FALSE)&lt;&gt;0),
VLOOKUP(AN95,得意先マスタ!$A$1:$Z$800,24,FALSE),""),"")</f>
        <v/>
      </c>
      <c r="AP95" s="78" t="str">
        <f ca="1">IFERROR(IF(AND(AN95&lt;&gt;"",VLOOKUP(AN95,得意先マスタ!$A$1:$Z$800,25,FALSE)&lt;&gt;0),
VLOOKUP(AN95,得意先マスタ!$A$1:$Z$800,25,FALSE),""),"")</f>
        <v/>
      </c>
      <c r="AQ95" s="78" t="str">
        <f t="shared" ca="1" si="27"/>
        <v/>
      </c>
      <c r="AR95" s="78">
        <f t="shared" ca="1" si="32"/>
        <v>0</v>
      </c>
      <c r="AS95" s="78">
        <f t="shared" ca="1" si="31"/>
        <v>0</v>
      </c>
    </row>
    <row r="96" spans="16:45">
      <c r="P96" t="str">
        <f ca="1">IF(AND(N96=0, COUNTIFS($E$1:E96,E96)=1), E96,
IF(COUNTIF(F96,"*雙葉*"),E96,""))</f>
        <v/>
      </c>
      <c r="Q96" s="57" t="str">
        <f ca="1">IF(AND('盛付札（関数）'!AX46&lt;&gt;0,COUNTIF($Q$1:$Q$50,'盛付札（関数）'!AW46)=0),'盛付札（関数）'!AW46,"")</f>
        <v/>
      </c>
      <c r="R96" s="57" t="str">
        <f ca="1">IF($Q96&lt;&gt;"",OFFSET(得意先マスタ!$A$1,MATCH(Q96,得意先マスタ!A:A,0)-1,1),"")</f>
        <v/>
      </c>
      <c r="S96" s="57" t="str">
        <f ca="1">IF($Q96&lt;&gt;"",OFFSET('盛付札（関数）'!$AF$1,MATCH(X96,'盛付札（関数）'!$AE$1:$AE$70,0)-1,1),"")</f>
        <v/>
      </c>
      <c r="T96" s="57" t="str">
        <f ca="1">IF($Q96&lt;&gt;"",OFFSET('盛付札（関数）'!$AF$1,MATCH(X96,'盛付札（関数）'!$AE$1:$AE$70,0)-1,4),"")</f>
        <v/>
      </c>
      <c r="U96" s="57" t="str">
        <f ca="1">IF($Q96&lt;&gt;"",OFFSET('盛付札（関数）'!$AF$1,MATCH(X96,'盛付札（関数）'!$AE$1:$AE$70,0)-1,5),"")</f>
        <v/>
      </c>
      <c r="V96" s="57" t="str">
        <f ca="1">IF($Q96&lt;&gt;"",OFFSET('盛付札（関数）'!$AF$1,MATCH(X96,'盛付札（関数）'!$AE$1:$AE$70,0)-1,9),"")</f>
        <v/>
      </c>
      <c r="W96" s="57" t="str">
        <f ca="1">IF($Q96&lt;&gt;"",OFFSET('盛付札（関数）'!$AF$1,MATCH(X96,'盛付札（関数）'!$AE$1:$AE$70,0)-1,6),"")</f>
        <v/>
      </c>
      <c r="X96" s="57" t="str">
        <f ca="1">IF(AND('盛付札（関数）'!AX46&lt;&gt;0,COUNTIF($Q$1:$Q$50,'盛付札（関数）'!AW46)=0),'盛付札（関数）'!AE46,"")</f>
        <v/>
      </c>
      <c r="Y96" t="str">
        <f ca="1">IF(Q96&lt;&gt;"",
IF(COUNTIF(S96,"*キャラ*"),
VLOOKUP("*キャラ*",商品マスタ!$D:$E,2,FALSE),
IF(COUNTIF(S96,"*赤*"),
VLOOKUP("*赤*",商品マスタ!$D:$E,2,FALSE),
VLOOKUP("*"&amp;S96&amp;"*",商品マスタ!$D:$E,2,FALSE))),"")</f>
        <v/>
      </c>
      <c r="Z96" t="str">
        <f t="shared" ca="1" si="29"/>
        <v/>
      </c>
      <c r="AA96" t="str">
        <f t="shared" ca="1" si="25"/>
        <v/>
      </c>
      <c r="AC96" t="str">
        <f t="shared" ca="1" si="26"/>
        <v/>
      </c>
      <c r="AD96" s="78" t="str">
        <f t="array" aca="1" ref="AD96" ca="1">IF(AND(IFERROR(COUNTIF(INDIRECT("R"&amp;IFERROR(SMALL(IF(AC$1:AC$140&lt;&gt;0,AC$1:AC$140),ROW(A96)),"")&amp;""),"*雙葉*"),0),COUNTIF(AE$1:AE95,"*雙葉*")),"",
IFERROR(SMALL(IF(AC$1:AC$140&lt;&gt;0,AC$1:AC$140),ROW(A96)),""))</f>
        <v/>
      </c>
      <c r="AE96" s="78" t="str">
        <f t="array" aca="1" ref="AE96" ca="1">IF($AD96&lt;&gt;"",INDIRECT("R"&amp;$AD96&amp;""),"")</f>
        <v/>
      </c>
      <c r="AF96" s="78" t="str">
        <f t="array" aca="1" ref="AF96" ca="1">IF($AD96&lt;&gt;"",
IF(INDIRECT("S"&amp;$AD96&amp;"")&lt;&gt;"",INDIRECT("S"&amp;$AD96&amp;""),""),"")</f>
        <v/>
      </c>
      <c r="AG96" s="78" t="str" cm="1">
        <f t="array" aca="1" ref="AG96" ca="1">IFERROR(IF($AD96&lt;&gt;"",INDIRECT("T"&amp;$AD96&amp;""),"")
+IF(COUNTIF(AE96,"*雙葉*"),
IFERROR(INDIRECT("T"&amp;MATCH("*雙葉*",INDIRECT("R"&amp;AD96+1&amp;":$R$140"),0)+ROW()&amp;""),0),0)
+IF(OR(COUNTIF(AO96,"*管理*"),COUNTIF(AO96,"予備")),
AQ96,0),"")</f>
        <v/>
      </c>
      <c r="AH96" s="78" t="str" cm="1">
        <f t="array" aca="1" ref="AH96" ca="1">IFERROR(IF($AD96&lt;&gt;"",INDIRECT("U"&amp;$AD96&amp;""),"")
+IF(COUNTIF(AE96,"*雙葉*"),
IFERROR(INDIRECT("U"&amp;MATCH("*雙葉*",INDIRECT("R"&amp;AD96+1&amp;":$R$140"),0)+ROW()&amp;""),0),0),"")</f>
        <v/>
      </c>
      <c r="AI96" s="78" t="str" cm="1">
        <f t="array" aca="1" ref="AI96" ca="1">IFERROR(IF($AD96&lt;&gt;"",INDIRECT("V"&amp;$AD96&amp;""),"")
+IF(COUNTIF(AE96,"*雙葉*"),
IFERROR(INDIRECT("V"&amp;MATCH("*雙葉*",INDIRECT("R"&amp;AD96+1&amp;":$R$140"),0)+ROW()&amp;""),0),0),"")</f>
        <v/>
      </c>
      <c r="AJ96" s="78" t="str">
        <f t="array" aca="1" ref="AJ96" ca="1">IF($AD96&lt;&gt;"",INDIRECT("W"&amp;$AD96&amp;""),"")</f>
        <v/>
      </c>
      <c r="AK96" s="78" t="str">
        <f t="array" aca="1" ref="AK96" ca="1">IF($AD96&lt;&gt;"",INDIRECT("Y"&amp;$AD96&amp;""),"")</f>
        <v/>
      </c>
      <c r="AL96" s="78" t="str">
        <f t="shared" ca="1" si="30"/>
        <v/>
      </c>
      <c r="AM96" s="78" t="str">
        <f t="shared" ca="1" si="28"/>
        <v/>
      </c>
      <c r="AN96" s="78" t="str">
        <f t="array" aca="1" ref="AN96" ca="1">IF($AD96&lt;&gt;"",INDIRECT("Q"&amp;$AD96&amp;""),"")</f>
        <v/>
      </c>
      <c r="AO96" s="78" t="str">
        <f ca="1">IFERROR(IF(AND(AN96&lt;&gt;"",VLOOKUP(AN96,得意先マスタ!$A$1:$Z$800,24,FALSE)&lt;&gt;0),
VLOOKUP(AN96,得意先マスタ!$A$1:$Z$800,24,FALSE),""),"")</f>
        <v/>
      </c>
      <c r="AP96" s="78" t="str">
        <f ca="1">IFERROR(IF(AND(AN96&lt;&gt;"",VLOOKUP(AN96,得意先マスタ!$A$1:$Z$800,25,FALSE)&lt;&gt;0),
VLOOKUP(AN96,得意先マスタ!$A$1:$Z$800,25,FALSE),""),"")</f>
        <v/>
      </c>
      <c r="AQ96" s="78" t="str">
        <f t="shared" ca="1" si="27"/>
        <v/>
      </c>
      <c r="AR96" s="78">
        <f t="shared" ca="1" si="32"/>
        <v>0</v>
      </c>
      <c r="AS96" s="78">
        <f t="shared" ca="1" si="31"/>
        <v>0</v>
      </c>
    </row>
    <row r="97" spans="16:45">
      <c r="P97" t="str">
        <f ca="1">IF(AND(N97=0, COUNTIFS($E$1:E97,E97)=1), E97,
IF(COUNTIF(F97,"*雙葉*"),E97,""))</f>
        <v/>
      </c>
      <c r="Q97" s="57" t="str">
        <f ca="1">IF(AND('盛付札（関数）'!AX47&lt;&gt;0,COUNTIF($Q$1:$Q$50,'盛付札（関数）'!AW47)=0),'盛付札（関数）'!AW47,"")</f>
        <v/>
      </c>
      <c r="R97" s="57" t="str">
        <f ca="1">IF($Q97&lt;&gt;"",OFFSET(得意先マスタ!$A$1,MATCH(Q97,得意先マスタ!A:A,0)-1,1),"")</f>
        <v/>
      </c>
      <c r="S97" s="57" t="str">
        <f ca="1">IF($Q97&lt;&gt;"",OFFSET('盛付札（関数）'!$AF$1,MATCH(X97,'盛付札（関数）'!$AE$1:$AE$70,0)-1,1),"")</f>
        <v/>
      </c>
      <c r="T97" s="57" t="str">
        <f ca="1">IF($Q97&lt;&gt;"",OFFSET('盛付札（関数）'!$AF$1,MATCH(X97,'盛付札（関数）'!$AE$1:$AE$70,0)-1,4),"")</f>
        <v/>
      </c>
      <c r="U97" s="57" t="str">
        <f ca="1">IF($Q97&lt;&gt;"",OFFSET('盛付札（関数）'!$AF$1,MATCH(X97,'盛付札（関数）'!$AE$1:$AE$70,0)-1,5),"")</f>
        <v/>
      </c>
      <c r="V97" s="57" t="str">
        <f ca="1">IF($Q97&lt;&gt;"",OFFSET('盛付札（関数）'!$AF$1,MATCH(X97,'盛付札（関数）'!$AE$1:$AE$70,0)-1,9),"")</f>
        <v/>
      </c>
      <c r="W97" s="57" t="str">
        <f ca="1">IF($Q97&lt;&gt;"",OFFSET('盛付札（関数）'!$AF$1,MATCH(X97,'盛付札（関数）'!$AE$1:$AE$70,0)-1,6),"")</f>
        <v/>
      </c>
      <c r="X97" s="57" t="str">
        <f ca="1">IF(AND('盛付札（関数）'!AX47&lt;&gt;0,COUNTIF($Q$1:$Q$50,'盛付札（関数）'!AW47)=0),'盛付札（関数）'!AE47,"")</f>
        <v/>
      </c>
      <c r="Y97" t="str">
        <f ca="1">IF(Q97&lt;&gt;"",
IF(COUNTIF(S97,"*キャラ*"),
VLOOKUP("*キャラ*",商品マスタ!$D:$E,2,FALSE),
IF(COUNTIF(S97,"*赤*"),
VLOOKUP("*赤*",商品マスタ!$D:$E,2,FALSE),
VLOOKUP("*"&amp;S97&amp;"*",商品マスタ!$D:$E,2,FALSE))),"")</f>
        <v/>
      </c>
      <c r="Z97" t="str">
        <f t="shared" ca="1" si="29"/>
        <v/>
      </c>
      <c r="AA97" t="str">
        <f t="shared" ref="AA97:AA128" ca="1" si="33">IF(Z97&lt;&gt;"",
IF(VALUE(T97-V97)&gt;VALUE(Y97*Z97),
"+"&amp;(T97-V97)-Y97*Z97,
(T97-V97)-Y97*Z97),"")</f>
        <v/>
      </c>
      <c r="AC97" t="str">
        <f t="shared" ref="AC97:AC128" ca="1" si="34">IF(R97&lt;&gt;"",ROW(),"")</f>
        <v/>
      </c>
      <c r="AD97" s="78" t="str">
        <f t="array" aca="1" ref="AD97" ca="1">IF(AND(IFERROR(COUNTIF(INDIRECT("R"&amp;IFERROR(SMALL(IF(AC$1:AC$140&lt;&gt;0,AC$1:AC$140),ROW(A97)),"")&amp;""),"*雙葉*"),0),COUNTIF(AE$1:AE96,"*雙葉*")),"",
IFERROR(SMALL(IF(AC$1:AC$140&lt;&gt;0,AC$1:AC$140),ROW(A97)),""))</f>
        <v/>
      </c>
      <c r="AE97" s="78" t="str">
        <f t="array" aca="1" ref="AE97" ca="1">IF($AD97&lt;&gt;"",INDIRECT("R"&amp;$AD97&amp;""),"")</f>
        <v/>
      </c>
      <c r="AF97" s="78" t="str">
        <f t="array" aca="1" ref="AF97" ca="1">IF($AD97&lt;&gt;"",
IF(INDIRECT("S"&amp;$AD97&amp;"")&lt;&gt;"",INDIRECT("S"&amp;$AD97&amp;""),""),"")</f>
        <v/>
      </c>
      <c r="AG97" s="78" t="str" cm="1">
        <f t="array" aca="1" ref="AG97" ca="1">IFERROR(IF($AD97&lt;&gt;"",INDIRECT("T"&amp;$AD97&amp;""),"")
+IF(COUNTIF(AE97,"*雙葉*"),
IFERROR(INDIRECT("T"&amp;MATCH("*雙葉*",INDIRECT("R"&amp;AD97+1&amp;":$R$140"),0)+ROW()&amp;""),0),0)
+IF(OR(COUNTIF(AO97,"*管理*"),COUNTIF(AO97,"予備")),
AQ97,0),"")</f>
        <v/>
      </c>
      <c r="AH97" s="78" t="str" cm="1">
        <f t="array" aca="1" ref="AH97" ca="1">IFERROR(IF($AD97&lt;&gt;"",INDIRECT("U"&amp;$AD97&amp;""),"")
+IF(COUNTIF(AE97,"*雙葉*"),
IFERROR(INDIRECT("U"&amp;MATCH("*雙葉*",INDIRECT("R"&amp;AD97+1&amp;":$R$140"),0)+ROW()&amp;""),0),0),"")</f>
        <v/>
      </c>
      <c r="AI97" s="78" t="str" cm="1">
        <f t="array" aca="1" ref="AI97" ca="1">IFERROR(IF($AD97&lt;&gt;"",INDIRECT("V"&amp;$AD97&amp;""),"")
+IF(COUNTIF(AE97,"*雙葉*"),
IFERROR(INDIRECT("V"&amp;MATCH("*雙葉*",INDIRECT("R"&amp;AD97+1&amp;":$R$140"),0)+ROW()&amp;""),0),0),"")</f>
        <v/>
      </c>
      <c r="AJ97" s="78" t="str">
        <f t="array" aca="1" ref="AJ97" ca="1">IF($AD97&lt;&gt;"",INDIRECT("W"&amp;$AD97&amp;""),"")</f>
        <v/>
      </c>
      <c r="AK97" s="78" t="str">
        <f t="array" aca="1" ref="AK97" ca="1">IF($AD97&lt;&gt;"",INDIRECT("Y"&amp;$AD97&amp;""),"")</f>
        <v/>
      </c>
      <c r="AL97" s="78" t="str">
        <f t="shared" ca="1" si="30"/>
        <v/>
      </c>
      <c r="AM97" s="78" t="str">
        <f t="shared" ca="1" si="28"/>
        <v/>
      </c>
      <c r="AN97" s="78" t="str">
        <f t="array" aca="1" ref="AN97" ca="1">IF($AD97&lt;&gt;"",INDIRECT("Q"&amp;$AD97&amp;""),"")</f>
        <v/>
      </c>
      <c r="AO97" s="78" t="str">
        <f ca="1">IFERROR(IF(AND(AN97&lt;&gt;"",VLOOKUP(AN97,得意先マスタ!$A$1:$Z$800,24,FALSE)&lt;&gt;0),
VLOOKUP(AN97,得意先マスタ!$A$1:$Z$800,24,FALSE),""),"")</f>
        <v/>
      </c>
      <c r="AP97" s="78" t="str">
        <f ca="1">IFERROR(IF(AND(AN97&lt;&gt;"",VLOOKUP(AN97,得意先マスタ!$A$1:$Z$800,25,FALSE)&lt;&gt;0),
VLOOKUP(AN97,得意先マスタ!$A$1:$Z$800,25,FALSE),""),"")</f>
        <v/>
      </c>
      <c r="AQ97" s="78" t="str">
        <f t="shared" ca="1" si="27"/>
        <v/>
      </c>
      <c r="AR97" s="78">
        <f t="shared" ca="1" si="32"/>
        <v>0</v>
      </c>
      <c r="AS97" s="78">
        <f t="shared" ca="1" si="31"/>
        <v>0</v>
      </c>
    </row>
    <row r="98" spans="16:45">
      <c r="P98" t="str">
        <f ca="1">IF(AND(N98=0, COUNTIFS($E$1:E98,E98)=1), E98,
IF(COUNTIF(F98,"*雙葉*"),E98,""))</f>
        <v/>
      </c>
      <c r="Q98" s="57" t="str">
        <f ca="1">IF(AND('盛付札（関数）'!AX48&lt;&gt;0,COUNTIF($Q$1:$Q$50,'盛付札（関数）'!AW48)=0),'盛付札（関数）'!AW48,"")</f>
        <v/>
      </c>
      <c r="R98" s="57" t="str">
        <f ca="1">IF($Q98&lt;&gt;"",OFFSET(得意先マスタ!$A$1,MATCH(Q98,得意先マスタ!A:A,0)-1,1),"")</f>
        <v/>
      </c>
      <c r="S98" s="57" t="str">
        <f ca="1">IF($Q98&lt;&gt;"",OFFSET('盛付札（関数）'!$AF$1,MATCH(X98,'盛付札（関数）'!$AE$1:$AE$70,0)-1,1),"")</f>
        <v/>
      </c>
      <c r="T98" s="57" t="str">
        <f ca="1">IF($Q98&lt;&gt;"",OFFSET('盛付札（関数）'!$AF$1,MATCH(X98,'盛付札（関数）'!$AE$1:$AE$70,0)-1,4),"")</f>
        <v/>
      </c>
      <c r="U98" s="57" t="str">
        <f ca="1">IF($Q98&lt;&gt;"",OFFSET('盛付札（関数）'!$AF$1,MATCH(X98,'盛付札（関数）'!$AE$1:$AE$70,0)-1,5),"")</f>
        <v/>
      </c>
      <c r="V98" s="57" t="str">
        <f ca="1">IF($Q98&lt;&gt;"",OFFSET('盛付札（関数）'!$AF$1,MATCH(X98,'盛付札（関数）'!$AE$1:$AE$70,0)-1,9),"")</f>
        <v/>
      </c>
      <c r="W98" s="57" t="str">
        <f ca="1">IF($Q98&lt;&gt;"",OFFSET('盛付札（関数）'!$AF$1,MATCH(X98,'盛付札（関数）'!$AE$1:$AE$70,0)-1,6),"")</f>
        <v/>
      </c>
      <c r="X98" s="57" t="str">
        <f ca="1">IF(AND('盛付札（関数）'!AX48&lt;&gt;0,COUNTIF($Q$1:$Q$50,'盛付札（関数）'!AW48)=0),'盛付札（関数）'!AE48,"")</f>
        <v/>
      </c>
      <c r="Y98" t="str">
        <f ca="1">IF(Q98&lt;&gt;"",
IF(COUNTIF(S98,"*キャラ*"),
VLOOKUP("*キャラ*",商品マスタ!$D:$E,2,FALSE),
IF(COUNTIF(S98,"*赤*"),
VLOOKUP("*赤*",商品マスタ!$D:$E,2,FALSE),
VLOOKUP("*"&amp;S98&amp;"*",商品マスタ!$D:$E,2,FALSE))),"")</f>
        <v/>
      </c>
      <c r="Z98" t="str">
        <f t="shared" ca="1" si="29"/>
        <v/>
      </c>
      <c r="AA98" t="str">
        <f t="shared" ca="1" si="33"/>
        <v/>
      </c>
      <c r="AC98" t="str">
        <f t="shared" ca="1" si="34"/>
        <v/>
      </c>
      <c r="AD98" s="78" t="str">
        <f t="array" aca="1" ref="AD98" ca="1">IF(AND(IFERROR(COUNTIF(INDIRECT("R"&amp;IFERROR(SMALL(IF(AC$1:AC$140&lt;&gt;0,AC$1:AC$140),ROW(A98)),"")&amp;""),"*雙葉*"),0),COUNTIF(AE$1:AE97,"*雙葉*")),"",
IFERROR(SMALL(IF(AC$1:AC$140&lt;&gt;0,AC$1:AC$140),ROW(A98)),""))</f>
        <v/>
      </c>
      <c r="AE98" s="78" t="str">
        <f t="array" aca="1" ref="AE98" ca="1">IF($AD98&lt;&gt;"",INDIRECT("R"&amp;$AD98&amp;""),"")</f>
        <v/>
      </c>
      <c r="AF98" s="78" t="str">
        <f t="array" aca="1" ref="AF98" ca="1">IF($AD98&lt;&gt;"",
IF(INDIRECT("S"&amp;$AD98&amp;"")&lt;&gt;"",INDIRECT("S"&amp;$AD98&amp;""),""),"")</f>
        <v/>
      </c>
      <c r="AG98" s="78" t="str" cm="1">
        <f t="array" aca="1" ref="AG98" ca="1">IFERROR(IF($AD98&lt;&gt;"",INDIRECT("T"&amp;$AD98&amp;""),"")
+IF(COUNTIF(AE98,"*雙葉*"),
IFERROR(INDIRECT("T"&amp;MATCH("*雙葉*",INDIRECT("R"&amp;AD98+1&amp;":$R$140"),0)+ROW()&amp;""),0),0)
+IF(OR(COUNTIF(AO98,"*管理*"),COUNTIF(AO98,"予備")),
AQ98,0),"")</f>
        <v/>
      </c>
      <c r="AH98" s="78" t="str" cm="1">
        <f t="array" aca="1" ref="AH98" ca="1">IFERROR(IF($AD98&lt;&gt;"",INDIRECT("U"&amp;$AD98&amp;""),"")
+IF(COUNTIF(AE98,"*雙葉*"),
IFERROR(INDIRECT("U"&amp;MATCH("*雙葉*",INDIRECT("R"&amp;AD98+1&amp;":$R$140"),0)+ROW()&amp;""),0),0),"")</f>
        <v/>
      </c>
      <c r="AI98" s="78" t="str" cm="1">
        <f t="array" aca="1" ref="AI98" ca="1">IFERROR(IF($AD98&lt;&gt;"",INDIRECT("V"&amp;$AD98&amp;""),"")
+IF(COUNTIF(AE98,"*雙葉*"),
IFERROR(INDIRECT("V"&amp;MATCH("*雙葉*",INDIRECT("R"&amp;AD98+1&amp;":$R$140"),0)+ROW()&amp;""),0),0),"")</f>
        <v/>
      </c>
      <c r="AJ98" s="78" t="str">
        <f t="array" aca="1" ref="AJ98" ca="1">IF($AD98&lt;&gt;"",INDIRECT("W"&amp;$AD98&amp;""),"")</f>
        <v/>
      </c>
      <c r="AK98" s="78" t="str">
        <f t="array" aca="1" ref="AK98" ca="1">IF($AD98&lt;&gt;"",INDIRECT("Y"&amp;$AD98&amp;""),"")</f>
        <v/>
      </c>
      <c r="AL98" s="78" t="str">
        <f t="shared" ca="1" si="30"/>
        <v/>
      </c>
      <c r="AM98" s="78" t="str">
        <f t="shared" ref="AM98:AM129" ca="1" si="35">IF(AL98&lt;&gt;"",
IF(VALUE(AG98-AI98)&gt;VALUE(AK98*AL98),
"+"&amp;(AG98-AI98)-AK98*AL98,
(AG98-AI98)-AK98*AL98),"")</f>
        <v/>
      </c>
      <c r="AN98" s="78" t="str">
        <f t="array" aca="1" ref="AN98" ca="1">IF($AD98&lt;&gt;"",INDIRECT("Q"&amp;$AD98&amp;""),"")</f>
        <v/>
      </c>
      <c r="AO98" s="78" t="str">
        <f ca="1">IFERROR(IF(AND(AN98&lt;&gt;"",VLOOKUP(AN98,得意先マスタ!$A$1:$Z$800,24,FALSE)&lt;&gt;0),
VLOOKUP(AN98,得意先マスタ!$A$1:$Z$800,24,FALSE),""),"")</f>
        <v/>
      </c>
      <c r="AP98" s="78" t="str">
        <f ca="1">IFERROR(IF(AND(AN98&lt;&gt;"",VLOOKUP(AN98,得意先マスタ!$A$1:$Z$800,25,FALSE)&lt;&gt;0),
VLOOKUP(AN98,得意先マスタ!$A$1:$Z$800,25,FALSE),""),"")</f>
        <v/>
      </c>
      <c r="AQ98" s="78" t="str">
        <f t="shared" ca="1" si="27"/>
        <v/>
      </c>
      <c r="AR98" s="78">
        <f t="shared" ca="1" si="32"/>
        <v>0</v>
      </c>
      <c r="AS98" s="78">
        <f t="shared" ca="1" si="31"/>
        <v>0</v>
      </c>
    </row>
    <row r="99" spans="16:45">
      <c r="P99" t="str">
        <f ca="1">IF(AND(N99=0, COUNTIFS($E$1:E99,E99)=1), E99,
IF(COUNTIF(F99,"*雙葉*"),E99,""))</f>
        <v/>
      </c>
      <c r="Q99" s="57" t="str">
        <f ca="1">IF(AND('盛付札（関数）'!AX49&lt;&gt;0,COUNTIF($Q$1:$Q$50,'盛付札（関数）'!AW49)=0),'盛付札（関数）'!AW49,"")</f>
        <v/>
      </c>
      <c r="R99" s="57" t="str">
        <f ca="1">IF($Q99&lt;&gt;"",OFFSET(得意先マスタ!$A$1,MATCH(Q99,得意先マスタ!A:A,0)-1,1),"")</f>
        <v/>
      </c>
      <c r="S99" s="57" t="str">
        <f ca="1">IF($Q99&lt;&gt;"",OFFSET('盛付札（関数）'!$AF$1,MATCH(X99,'盛付札（関数）'!$AE$1:$AE$70,0)-1,1),"")</f>
        <v/>
      </c>
      <c r="T99" s="57" t="str">
        <f ca="1">IF($Q99&lt;&gt;"",OFFSET('盛付札（関数）'!$AF$1,MATCH(X99,'盛付札（関数）'!$AE$1:$AE$70,0)-1,4),"")</f>
        <v/>
      </c>
      <c r="U99" s="57" t="str">
        <f ca="1">IF($Q99&lt;&gt;"",OFFSET('盛付札（関数）'!$AF$1,MATCH(X99,'盛付札（関数）'!$AE$1:$AE$70,0)-1,5),"")</f>
        <v/>
      </c>
      <c r="V99" s="57" t="str">
        <f ca="1">IF($Q99&lt;&gt;"",OFFSET('盛付札（関数）'!$AF$1,MATCH(X99,'盛付札（関数）'!$AE$1:$AE$70,0)-1,9),"")</f>
        <v/>
      </c>
      <c r="W99" s="57" t="str">
        <f ca="1">IF($Q99&lt;&gt;"",OFFSET('盛付札（関数）'!$AF$1,MATCH(X99,'盛付札（関数）'!$AE$1:$AE$70,0)-1,6),"")</f>
        <v/>
      </c>
      <c r="X99" s="57" t="str">
        <f ca="1">IF(AND('盛付札（関数）'!AX49&lt;&gt;0,COUNTIF($Q$1:$Q$50,'盛付札（関数）'!AW49)=0),'盛付札（関数）'!AE49,"")</f>
        <v/>
      </c>
      <c r="Y99" t="str">
        <f ca="1">IF(Q99&lt;&gt;"",
IF(COUNTIF(S99,"*キャラ*"),
VLOOKUP("*キャラ*",商品マスタ!$D:$E,2,FALSE),
IF(COUNTIF(S99,"*赤*"),
VLOOKUP("*赤*",商品マスタ!$D:$E,2,FALSE),
VLOOKUP("*"&amp;S99&amp;"*",商品マスタ!$D:$E,2,FALSE))),"")</f>
        <v/>
      </c>
      <c r="Z99" t="str">
        <f t="shared" ca="1" si="29"/>
        <v/>
      </c>
      <c r="AA99" t="str">
        <f t="shared" ca="1" si="33"/>
        <v/>
      </c>
      <c r="AC99" t="str">
        <f t="shared" ca="1" si="34"/>
        <v/>
      </c>
      <c r="AD99" s="78" t="str">
        <f t="array" aca="1" ref="AD99" ca="1">IF(AND(IFERROR(COUNTIF(INDIRECT("R"&amp;IFERROR(SMALL(IF(AC$1:AC$140&lt;&gt;0,AC$1:AC$140),ROW(A99)),"")&amp;""),"*雙葉*"),0),COUNTIF(AE$1:AE98,"*雙葉*")),"",
IFERROR(SMALL(IF(AC$1:AC$140&lt;&gt;0,AC$1:AC$140),ROW(A99)),""))</f>
        <v/>
      </c>
      <c r="AE99" s="78" t="str">
        <f t="array" aca="1" ref="AE99" ca="1">IF($AD99&lt;&gt;"",INDIRECT("R"&amp;$AD99&amp;""),"")</f>
        <v/>
      </c>
      <c r="AF99" s="78" t="str">
        <f t="array" aca="1" ref="AF99" ca="1">IF($AD99&lt;&gt;"",
IF(INDIRECT("S"&amp;$AD99&amp;"")&lt;&gt;"",INDIRECT("S"&amp;$AD99&amp;""),""),"")</f>
        <v/>
      </c>
      <c r="AG99" s="78" t="str" cm="1">
        <f t="array" aca="1" ref="AG99" ca="1">IFERROR(IF($AD99&lt;&gt;"",INDIRECT("T"&amp;$AD99&amp;""),"")
+IF(COUNTIF(AE99,"*雙葉*"),
IFERROR(INDIRECT("T"&amp;MATCH("*雙葉*",INDIRECT("R"&amp;AD99+1&amp;":$R$140"),0)+ROW()&amp;""),0),0)
+IF(OR(COUNTIF(AO99,"*管理*"),COUNTIF(AO99,"予備")),
AQ99,0),"")</f>
        <v/>
      </c>
      <c r="AH99" s="78" t="str" cm="1">
        <f t="array" aca="1" ref="AH99" ca="1">IFERROR(IF($AD99&lt;&gt;"",INDIRECT("U"&amp;$AD99&amp;""),"")
+IF(COUNTIF(AE99,"*雙葉*"),
IFERROR(INDIRECT("U"&amp;MATCH("*雙葉*",INDIRECT("R"&amp;AD99+1&amp;":$R$140"),0)+ROW()&amp;""),0),0),"")</f>
        <v/>
      </c>
      <c r="AI99" s="78" t="str" cm="1">
        <f t="array" aca="1" ref="AI99" ca="1">IFERROR(IF($AD99&lt;&gt;"",INDIRECT("V"&amp;$AD99&amp;""),"")
+IF(COUNTIF(AE99,"*雙葉*"),
IFERROR(INDIRECT("V"&amp;MATCH("*雙葉*",INDIRECT("R"&amp;AD99+1&amp;":$R$140"),0)+ROW()&amp;""),0),0),"")</f>
        <v/>
      </c>
      <c r="AJ99" s="78" t="str">
        <f t="array" aca="1" ref="AJ99" ca="1">IF($AD99&lt;&gt;"",INDIRECT("W"&amp;$AD99&amp;""),"")</f>
        <v/>
      </c>
      <c r="AK99" s="78" t="str">
        <f t="array" aca="1" ref="AK99" ca="1">IF($AD99&lt;&gt;"",INDIRECT("Y"&amp;$AD99&amp;""),"")</f>
        <v/>
      </c>
      <c r="AL99" s="78" t="str">
        <f t="shared" ca="1" si="30"/>
        <v/>
      </c>
      <c r="AM99" s="78" t="str">
        <f t="shared" ca="1" si="35"/>
        <v/>
      </c>
      <c r="AN99" s="78" t="str">
        <f t="array" aca="1" ref="AN99" ca="1">IF($AD99&lt;&gt;"",INDIRECT("Q"&amp;$AD99&amp;""),"")</f>
        <v/>
      </c>
      <c r="AO99" s="78" t="str">
        <f ca="1">IFERROR(IF(AND(AN99&lt;&gt;"",VLOOKUP(AN99,得意先マスタ!$A$1:$Z$800,24,FALSE)&lt;&gt;0),
VLOOKUP(AN99,得意先マスタ!$A$1:$Z$800,24,FALSE),""),"")</f>
        <v/>
      </c>
      <c r="AP99" s="78" t="str">
        <f ca="1">IFERROR(IF(AND(AN99&lt;&gt;"",VLOOKUP(AN99,得意先マスタ!$A$1:$Z$800,25,FALSE)&lt;&gt;0),
VLOOKUP(AN99,得意先マスタ!$A$1:$Z$800,25,FALSE),""),"")</f>
        <v/>
      </c>
      <c r="AQ99" s="78" t="str">
        <f t="shared" ca="1" si="27"/>
        <v/>
      </c>
      <c r="AR99" s="78">
        <f t="shared" ca="1" si="32"/>
        <v>0</v>
      </c>
      <c r="AS99" s="78">
        <f t="shared" ca="1" si="31"/>
        <v>0</v>
      </c>
    </row>
    <row r="100" spans="16:45">
      <c r="P100" t="str">
        <f ca="1">IF(AND(N100=0, COUNTIFS($E$1:E100,E100)=1), E100,
IF(COUNTIF(F100,"*雙葉*"),E100,""))</f>
        <v/>
      </c>
      <c r="Q100" s="57" t="str">
        <f ca="1">IF(AND('盛付札（関数）'!AX50&lt;&gt;0,COUNTIF($Q$1:$Q$50,'盛付札（関数）'!AW50)=0),'盛付札（関数）'!AW50,"")</f>
        <v/>
      </c>
      <c r="R100" s="57" t="str">
        <f ca="1">IF($Q100&lt;&gt;"",OFFSET(得意先マスタ!$A$1,MATCH(Q100,得意先マスタ!A:A,0)-1,1),"")</f>
        <v/>
      </c>
      <c r="S100" s="57" t="str">
        <f ca="1">IF($Q100&lt;&gt;"",OFFSET('盛付札（関数）'!$AF$1,MATCH(X100,'盛付札（関数）'!$AE$1:$AE$70,0)-1,1),"")</f>
        <v/>
      </c>
      <c r="T100" s="57" t="str">
        <f ca="1">IF($Q100&lt;&gt;"",OFFSET('盛付札（関数）'!$AF$1,MATCH(X100,'盛付札（関数）'!$AE$1:$AE$70,0)-1,4),"")</f>
        <v/>
      </c>
      <c r="U100" s="57" t="str">
        <f ca="1">IF($Q100&lt;&gt;"",OFFSET('盛付札（関数）'!$AF$1,MATCH(X100,'盛付札（関数）'!$AE$1:$AE$70,0)-1,5),"")</f>
        <v/>
      </c>
      <c r="V100" s="57" t="str">
        <f ca="1">IF($Q100&lt;&gt;"",OFFSET('盛付札（関数）'!$AF$1,MATCH(X100,'盛付札（関数）'!$AE$1:$AE$70,0)-1,9),"")</f>
        <v/>
      </c>
      <c r="W100" s="57" t="str">
        <f ca="1">IF($Q100&lt;&gt;"",OFFSET('盛付札（関数）'!$AF$1,MATCH(X100,'盛付札（関数）'!$AE$1:$AE$70,0)-1,6),"")</f>
        <v/>
      </c>
      <c r="X100" s="57" t="str">
        <f ca="1">IF(AND('盛付札（関数）'!AX50&lt;&gt;0,COUNTIF($Q$1:$Q$50,'盛付札（関数）'!AW50)=0),'盛付札（関数）'!AE50,"")</f>
        <v/>
      </c>
      <c r="Y100" t="str">
        <f ca="1">IF(Q100&lt;&gt;"",
IF(COUNTIF(S100,"*キャラ*"),
VLOOKUP("*キャラ*",商品マスタ!$D:$E,2,FALSE),
IF(COUNTIF(S100,"*赤*"),
VLOOKUP("*赤*",商品マスタ!$D:$E,2,FALSE),
VLOOKUP("*"&amp;S100&amp;"*",商品マスタ!$D:$E,2,FALSE))),"")</f>
        <v/>
      </c>
      <c r="Z100" t="str">
        <f t="shared" ca="1" si="29"/>
        <v/>
      </c>
      <c r="AA100" t="str">
        <f t="shared" ca="1" si="33"/>
        <v/>
      </c>
      <c r="AC100" t="str">
        <f t="shared" ca="1" si="34"/>
        <v/>
      </c>
      <c r="AD100" s="78" t="str">
        <f t="array" aca="1" ref="AD100" ca="1">IF(AND(IFERROR(COUNTIF(INDIRECT("R"&amp;IFERROR(SMALL(IF(AC$1:AC$140&lt;&gt;0,AC$1:AC$140),ROW(A100)),"")&amp;""),"*雙葉*"),0),COUNTIF(AE$1:AE99,"*雙葉*")),"",
IFERROR(SMALL(IF(AC$1:AC$140&lt;&gt;0,AC$1:AC$140),ROW(A100)),""))</f>
        <v/>
      </c>
      <c r="AE100" s="78" t="str">
        <f t="array" aca="1" ref="AE100" ca="1">IF($AD100&lt;&gt;"",INDIRECT("R"&amp;$AD100&amp;""),"")</f>
        <v/>
      </c>
      <c r="AF100" s="78" t="str">
        <f t="array" aca="1" ref="AF100" ca="1">IF($AD100&lt;&gt;"",
IF(INDIRECT("S"&amp;$AD100&amp;"")&lt;&gt;"",INDIRECT("S"&amp;$AD100&amp;""),""),"")</f>
        <v/>
      </c>
      <c r="AG100" s="78" t="str" cm="1">
        <f t="array" aca="1" ref="AG100" ca="1">IFERROR(IF($AD100&lt;&gt;"",INDIRECT("T"&amp;$AD100&amp;""),"")
+IF(COUNTIF(AE100,"*雙葉*"),
IFERROR(INDIRECT("T"&amp;MATCH("*雙葉*",INDIRECT("R"&amp;AD100+1&amp;":$R$140"),0)+ROW()&amp;""),0),0)
+IF(OR(COUNTIF(AO100,"*管理*"),COUNTIF(AO100,"予備")),
AQ100,0),"")</f>
        <v/>
      </c>
      <c r="AH100" s="78" t="str" cm="1">
        <f t="array" aca="1" ref="AH100" ca="1">IFERROR(IF($AD100&lt;&gt;"",INDIRECT("U"&amp;$AD100&amp;""),"")
+IF(COUNTIF(AE100,"*雙葉*"),
IFERROR(INDIRECT("U"&amp;MATCH("*雙葉*",INDIRECT("R"&amp;AD100+1&amp;":$R$140"),0)+ROW()&amp;""),0),0),"")</f>
        <v/>
      </c>
      <c r="AI100" s="78" t="str" cm="1">
        <f t="array" aca="1" ref="AI100" ca="1">IFERROR(IF($AD100&lt;&gt;"",INDIRECT("V"&amp;$AD100&amp;""),"")
+IF(COUNTIF(AE100,"*雙葉*"),
IFERROR(INDIRECT("V"&amp;MATCH("*雙葉*",INDIRECT("R"&amp;AD100+1&amp;":$R$140"),0)+ROW()&amp;""),0),0),"")</f>
        <v/>
      </c>
      <c r="AJ100" s="78" t="str">
        <f t="array" aca="1" ref="AJ100" ca="1">IF($AD100&lt;&gt;"",INDIRECT("W"&amp;$AD100&amp;""),"")</f>
        <v/>
      </c>
      <c r="AK100" s="78" t="str">
        <f t="array" aca="1" ref="AK100" ca="1">IF($AD100&lt;&gt;"",INDIRECT("Y"&amp;$AD100&amp;""),"")</f>
        <v/>
      </c>
      <c r="AL100" s="78" t="str">
        <f t="shared" ca="1" si="30"/>
        <v/>
      </c>
      <c r="AM100" s="78" t="str">
        <f t="shared" ca="1" si="35"/>
        <v/>
      </c>
      <c r="AN100" s="78" t="str">
        <f t="array" aca="1" ref="AN100" ca="1">IF($AD100&lt;&gt;"",INDIRECT("Q"&amp;$AD100&amp;""),"")</f>
        <v/>
      </c>
      <c r="AO100" s="78" t="str">
        <f ca="1">IFERROR(IF(AND(AN100&lt;&gt;"",VLOOKUP(AN100,得意先マスタ!$A$1:$Z$800,24,FALSE)&lt;&gt;0),
VLOOKUP(AN100,得意先マスタ!$A$1:$Z$800,24,FALSE),""),"")</f>
        <v/>
      </c>
      <c r="AP100" s="78" t="str">
        <f ca="1">IFERROR(IF(AND(AN100&lt;&gt;"",VLOOKUP(AN100,得意先マスタ!$A$1:$Z$800,25,FALSE)&lt;&gt;0),
VLOOKUP(AN100,得意先マスタ!$A$1:$Z$800,25,FALSE),""),"")</f>
        <v/>
      </c>
      <c r="AQ100" s="78" t="str">
        <f t="shared" ca="1" si="27"/>
        <v/>
      </c>
      <c r="AR100" s="78">
        <f t="shared" ca="1" si="32"/>
        <v>0</v>
      </c>
      <c r="AS100" s="78">
        <f t="shared" ca="1" si="31"/>
        <v>0</v>
      </c>
    </row>
    <row r="101" spans="16:45">
      <c r="Q101" s="191" t="str">
        <f>""</f>
        <v/>
      </c>
      <c r="R101" s="191" t="str">
        <f ca="1">IF(まとめ札【15時】!K2&lt;&gt;"",まとめ札【15時】!A2&amp;"【１】","")</f>
        <v/>
      </c>
      <c r="S101" s="191" t="str">
        <f>""</f>
        <v/>
      </c>
      <c r="T101" s="191" t="str">
        <f ca="1">IF(まとめ札【15時】!K2&lt;&gt;"",まとめ札【15時】!K2,"")</f>
        <v/>
      </c>
      <c r="U101" s="191" t="str">
        <f>""</f>
        <v/>
      </c>
      <c r="V101" s="191" t="str">
        <f>""</f>
        <v/>
      </c>
      <c r="W101" s="191" t="str">
        <f t="shared" ref="W101:W110" ca="1" si="36">IF(R101&lt;&gt;"",24,"")</f>
        <v/>
      </c>
      <c r="Y101" t="str">
        <f>IF(Q101&lt;&gt;"",
IF(COUNTIF(S101,"*キャラ*"),
VLOOKUP("*キャラ*",商品マスタ!$D:$E,2,FALSE),
IF(COUNTIF(S101,"*赤*"),
VLOOKUP("*赤*",商品マスタ!$D:$E,2,FALSE),
VLOOKUP("*"&amp;S101&amp;"*",商品マスタ!$D:$E,2,FALSE))),"")</f>
        <v/>
      </c>
      <c r="Z101" t="str">
        <f t="shared" si="29"/>
        <v/>
      </c>
      <c r="AA101" t="str">
        <f t="shared" si="33"/>
        <v/>
      </c>
      <c r="AC101" t="str">
        <f t="shared" ca="1" si="34"/>
        <v/>
      </c>
      <c r="AD101" t="str">
        <f t="array" aca="1" ref="AD101" ca="1">IFERROR(SMALL(IF(AC$1:AC$311&lt;&gt;0,AC$1:AC$311),ROW(A101)),"")</f>
        <v/>
      </c>
    </row>
    <row r="102" spans="16:45">
      <c r="Q102" s="191" t="str">
        <f>""</f>
        <v/>
      </c>
      <c r="R102" s="191" t="str">
        <f ca="1">IF(まとめ札【15時】!K3&lt;&gt;"",まとめ札【15時】!A3&amp;"【１】","")</f>
        <v/>
      </c>
      <c r="S102" s="191" t="str">
        <f>""</f>
        <v/>
      </c>
      <c r="T102" s="191" t="str">
        <f ca="1">IF(まとめ札【15時】!K3&lt;&gt;"",まとめ札【15時】!K3,"")</f>
        <v/>
      </c>
      <c r="U102" s="191" t="str">
        <f>""</f>
        <v/>
      </c>
      <c r="V102" s="191" t="str">
        <f>""</f>
        <v/>
      </c>
      <c r="W102" s="191" t="str">
        <f t="shared" ca="1" si="36"/>
        <v/>
      </c>
      <c r="Y102" t="str">
        <f>IF(Q102&lt;&gt;"",
IF(COUNTIF(S102,"*キャラ*"),
VLOOKUP("*キャラ*",商品マスタ!$D:$E,2,FALSE),
IF(COUNTIF(S102,"*赤*"),
VLOOKUP("*赤*",商品マスタ!$D:$E,2,FALSE),
VLOOKUP("*"&amp;S102&amp;"*",商品マスタ!$D:$E,2,FALSE))),"")</f>
        <v/>
      </c>
      <c r="Z102" t="str">
        <f t="shared" si="29"/>
        <v/>
      </c>
      <c r="AA102" t="str">
        <f t="shared" si="33"/>
        <v/>
      </c>
      <c r="AC102" t="str">
        <f t="shared" ca="1" si="34"/>
        <v/>
      </c>
      <c r="AD102" t="str">
        <f t="array" aca="1" ref="AD102" ca="1">IFERROR(SMALL(IF(AC$1:AC$311&lt;&gt;0,AC$1:AC$311),ROW(A102)),"")</f>
        <v/>
      </c>
    </row>
    <row r="103" spans="16:45">
      <c r="Q103" s="191" t="str">
        <f>""</f>
        <v/>
      </c>
      <c r="R103" s="191" t="str">
        <f ca="1">IF(まとめ札【15時】!K4&lt;&gt;"",まとめ札【15時】!A4&amp;"【１】","")</f>
        <v/>
      </c>
      <c r="S103" s="191" t="str">
        <f>""</f>
        <v/>
      </c>
      <c r="T103" s="191" t="str">
        <f ca="1">IF(まとめ札【15時】!K4&lt;&gt;"",まとめ札【15時】!K4,"")</f>
        <v/>
      </c>
      <c r="U103" s="191" t="str">
        <f>""</f>
        <v/>
      </c>
      <c r="V103" s="191" t="str">
        <f>""</f>
        <v/>
      </c>
      <c r="W103" s="191" t="str">
        <f t="shared" ca="1" si="36"/>
        <v/>
      </c>
      <c r="Y103" t="str">
        <f>IF(Q103&lt;&gt;"",
IF(COUNTIF(S103,"*キャラ*"),
VLOOKUP("*キャラ*",商品マスタ!$D:$E,2,FALSE),
IF(COUNTIF(S103,"*赤*"),
VLOOKUP("*赤*",商品マスタ!$D:$E,2,FALSE),
VLOOKUP("*"&amp;S103&amp;"*",商品マスタ!$D:$E,2,FALSE))),"")</f>
        <v/>
      </c>
      <c r="Z103" t="str">
        <f t="shared" si="29"/>
        <v/>
      </c>
      <c r="AA103" t="str">
        <f t="shared" si="33"/>
        <v/>
      </c>
      <c r="AC103" t="str">
        <f t="shared" ca="1" si="34"/>
        <v/>
      </c>
      <c r="AD103" t="str">
        <f t="array" aca="1" ref="AD103" ca="1">IFERROR(SMALL(IF(AC$1:AC$311&lt;&gt;0,AC$1:AC$311),ROW(A103)),"")</f>
        <v/>
      </c>
    </row>
    <row r="104" spans="16:45">
      <c r="Q104" s="191" t="str">
        <f>""</f>
        <v/>
      </c>
      <c r="R104" s="191" t="str">
        <f ca="1">IF(まとめ札【15時】!K5&lt;&gt;"",まとめ札【15時】!A5&amp;"【１】","")</f>
        <v/>
      </c>
      <c r="S104" s="191" t="str">
        <f>""</f>
        <v/>
      </c>
      <c r="T104" s="191" t="str">
        <f ca="1">IF(まとめ札【15時】!K5&lt;&gt;"",まとめ札【15時】!K5,"")</f>
        <v/>
      </c>
      <c r="U104" s="191" t="str">
        <f>""</f>
        <v/>
      </c>
      <c r="V104" s="191" t="str">
        <f>""</f>
        <v/>
      </c>
      <c r="W104" s="191" t="str">
        <f t="shared" ca="1" si="36"/>
        <v/>
      </c>
      <c r="Y104" t="str">
        <f>IF(Q104&lt;&gt;"",
IF(COUNTIF(S104,"*キャラ*"),
VLOOKUP("*キャラ*",商品マスタ!$D:$E,2,FALSE),
IF(COUNTIF(S104,"*赤*"),
VLOOKUP("*赤*",商品マスタ!$D:$E,2,FALSE),
VLOOKUP("*"&amp;S104&amp;"*",商品マスタ!$D:$E,2,FALSE))),"")</f>
        <v/>
      </c>
      <c r="Z104" t="str">
        <f t="shared" si="29"/>
        <v/>
      </c>
      <c r="AA104" t="str">
        <f t="shared" si="33"/>
        <v/>
      </c>
      <c r="AC104" t="str">
        <f t="shared" ca="1" si="34"/>
        <v/>
      </c>
      <c r="AD104" t="str">
        <f t="array" aca="1" ref="AD104" ca="1">IFERROR(SMALL(IF(AC$1:AC$311&lt;&gt;0,AC$1:AC$311),ROW(A104)),"")</f>
        <v/>
      </c>
    </row>
    <row r="105" spans="16:45">
      <c r="Q105" s="191" t="str">
        <f>""</f>
        <v/>
      </c>
      <c r="R105" s="191" t="str">
        <f ca="1">IF(まとめ札【15時】!K6&lt;&gt;"",まとめ札【15時】!A6&amp;"【１】","")</f>
        <v/>
      </c>
      <c r="S105" s="191" t="str">
        <f>""</f>
        <v/>
      </c>
      <c r="T105" s="191" t="str">
        <f ca="1">IF(まとめ札【15時】!K6&lt;&gt;"",まとめ札【15時】!K6,"")</f>
        <v/>
      </c>
      <c r="U105" s="191" t="str">
        <f>""</f>
        <v/>
      </c>
      <c r="V105" s="191" t="str">
        <f>""</f>
        <v/>
      </c>
      <c r="W105" s="191" t="str">
        <f t="shared" ca="1" si="36"/>
        <v/>
      </c>
      <c r="Y105" t="str">
        <f>IF(Q105&lt;&gt;"",
IF(COUNTIF(S105,"*キャラ*"),
VLOOKUP("*キャラ*",商品マスタ!$D:$E,2,FALSE),
IF(COUNTIF(S105,"*赤*"),
VLOOKUP("*赤*",商品マスタ!$D:$E,2,FALSE),
VLOOKUP("*"&amp;S105&amp;"*",商品マスタ!$D:$E,2,FALSE))),"")</f>
        <v/>
      </c>
      <c r="Z105" t="str">
        <f t="shared" si="29"/>
        <v/>
      </c>
      <c r="AA105" t="str">
        <f t="shared" si="33"/>
        <v/>
      </c>
      <c r="AC105" t="str">
        <f t="shared" ca="1" si="34"/>
        <v/>
      </c>
      <c r="AD105" t="str">
        <f t="array" aca="1" ref="AD105" ca="1">IFERROR(SMALL(IF(AC$1:AC$311&lt;&gt;0,AC$1:AC$311),ROW(A105)),"")</f>
        <v/>
      </c>
    </row>
    <row r="106" spans="16:45">
      <c r="Q106" s="191" t="str">
        <f>""</f>
        <v/>
      </c>
      <c r="R106" s="191" t="str">
        <f ca="1">IF(まとめ札【15時】!K7&lt;&gt;"",まとめ札【15時】!A7&amp;"【１】","")</f>
        <v/>
      </c>
      <c r="S106" s="191" t="str">
        <f>""</f>
        <v/>
      </c>
      <c r="T106" s="191" t="str">
        <f ca="1">IF(まとめ札【15時】!K7&lt;&gt;"",まとめ札【15時】!K7,"")</f>
        <v/>
      </c>
      <c r="U106" s="191" t="str">
        <f>""</f>
        <v/>
      </c>
      <c r="V106" s="191" t="str">
        <f>""</f>
        <v/>
      </c>
      <c r="W106" s="191" t="str">
        <f t="shared" ca="1" si="36"/>
        <v/>
      </c>
      <c r="Y106" t="str">
        <f>IF(Q106&lt;&gt;"",
IF(COUNTIF(S106,"*キャラ*"),
VLOOKUP("*キャラ*",商品マスタ!$D:$E,2,FALSE),
IF(COUNTIF(S106,"*赤*"),
VLOOKUP("*赤*",商品マスタ!$D:$E,2,FALSE),
VLOOKUP("*"&amp;S106&amp;"*",商品マスタ!$D:$E,2,FALSE))),"")</f>
        <v/>
      </c>
      <c r="Z106" t="str">
        <f t="shared" si="29"/>
        <v/>
      </c>
      <c r="AA106" t="str">
        <f t="shared" si="33"/>
        <v/>
      </c>
      <c r="AC106" t="str">
        <f t="shared" ca="1" si="34"/>
        <v/>
      </c>
      <c r="AD106" t="str">
        <f t="array" aca="1" ref="AD106" ca="1">IFERROR(SMALL(IF(AC$1:AC$311&lt;&gt;0,AC$1:AC$311),ROW(A106)),"")</f>
        <v/>
      </c>
    </row>
    <row r="107" spans="16:45">
      <c r="Q107" s="191" t="str">
        <f>""</f>
        <v/>
      </c>
      <c r="R107" s="191" t="str">
        <f ca="1">IF(まとめ札【15時】!K8&lt;&gt;"",まとめ札【15時】!A8&amp;"【１】","")</f>
        <v/>
      </c>
      <c r="S107" s="191" t="str">
        <f>""</f>
        <v/>
      </c>
      <c r="T107" s="191" t="str">
        <f ca="1">IF(まとめ札【15時】!K8&lt;&gt;"",まとめ札【15時】!K8,"")</f>
        <v/>
      </c>
      <c r="U107" s="191" t="str">
        <f>""</f>
        <v/>
      </c>
      <c r="V107" s="191" t="str">
        <f>""</f>
        <v/>
      </c>
      <c r="W107" s="191" t="str">
        <f t="shared" ca="1" si="36"/>
        <v/>
      </c>
      <c r="Y107" t="str">
        <f>IF(Q107&lt;&gt;"",
IF(COUNTIF(S107,"*キャラ*"),
VLOOKUP("*キャラ*",商品マスタ!$D:$E,2,FALSE),
IF(COUNTIF(S107,"*赤*"),
VLOOKUP("*赤*",商品マスタ!$D:$E,2,FALSE),
VLOOKUP("*"&amp;S107&amp;"*",商品マスタ!$D:$E,2,FALSE))),"")</f>
        <v/>
      </c>
      <c r="Z107" t="str">
        <f t="shared" si="29"/>
        <v/>
      </c>
      <c r="AA107" t="str">
        <f t="shared" si="33"/>
        <v/>
      </c>
      <c r="AC107" t="str">
        <f t="shared" ca="1" si="34"/>
        <v/>
      </c>
      <c r="AD107" t="str">
        <f t="array" aca="1" ref="AD107" ca="1">IFERROR(SMALL(IF(AC$1:AC$311&lt;&gt;0,AC$1:AC$311),ROW(A107)),"")</f>
        <v/>
      </c>
    </row>
    <row r="108" spans="16:45">
      <c r="Q108" s="191" t="str">
        <f>""</f>
        <v/>
      </c>
      <c r="R108" s="191" t="str">
        <f>IF(まとめ札【15時】!K9&lt;&gt;"",まとめ札【15時】!A9&amp;"【１】","")</f>
        <v/>
      </c>
      <c r="S108" s="191" t="str">
        <f>""</f>
        <v/>
      </c>
      <c r="T108" s="191" t="str">
        <f>IF(まとめ札【15時】!K9&lt;&gt;"",まとめ札【15時】!K9,"")</f>
        <v/>
      </c>
      <c r="U108" s="191" t="str">
        <f>""</f>
        <v/>
      </c>
      <c r="V108" s="191" t="str">
        <f>""</f>
        <v/>
      </c>
      <c r="W108" s="191" t="str">
        <f t="shared" si="36"/>
        <v/>
      </c>
      <c r="Y108" t="str">
        <f>IF(Q108&lt;&gt;"",
IF(COUNTIF(S108,"*キャラ*"),
VLOOKUP("*キャラ*",商品マスタ!$D:$E,2,FALSE),
IF(COUNTIF(S108,"*赤*"),
VLOOKUP("*赤*",商品マスタ!$D:$E,2,FALSE),
VLOOKUP("*"&amp;S108&amp;"*",商品マスタ!$D:$E,2,FALSE))),"")</f>
        <v/>
      </c>
      <c r="Z108" t="str">
        <f t="shared" si="29"/>
        <v/>
      </c>
      <c r="AA108" t="str">
        <f t="shared" si="33"/>
        <v/>
      </c>
      <c r="AC108" t="str">
        <f t="shared" si="34"/>
        <v/>
      </c>
      <c r="AD108" t="str">
        <f t="array" aca="1" ref="AD108" ca="1">IFERROR(SMALL(IF(AC$1:AC$311&lt;&gt;0,AC$1:AC$311),ROW(A108)),"")</f>
        <v/>
      </c>
    </row>
    <row r="109" spans="16:45">
      <c r="Q109" s="191" t="str">
        <f>""</f>
        <v/>
      </c>
      <c r="R109" s="191" t="str">
        <f>IF(まとめ札【15時】!K10&lt;&gt;"",まとめ札【15時】!A10&amp;"【１】","")</f>
        <v/>
      </c>
      <c r="S109" s="191" t="str">
        <f>""</f>
        <v/>
      </c>
      <c r="T109" s="191" t="str">
        <f>IF(まとめ札【15時】!K10&lt;&gt;"",まとめ札【15時】!K10,"")</f>
        <v/>
      </c>
      <c r="U109" s="191" t="str">
        <f>""</f>
        <v/>
      </c>
      <c r="V109" s="191" t="str">
        <f>""</f>
        <v/>
      </c>
      <c r="W109" s="191" t="str">
        <f t="shared" si="36"/>
        <v/>
      </c>
      <c r="Y109" t="str">
        <f>IF(Q109&lt;&gt;"",
IF(COUNTIF(S109,"*キャラ*"),
VLOOKUP("*キャラ*",商品マスタ!$D:$E,2,FALSE),
IF(COUNTIF(S109,"*赤*"),
VLOOKUP("*赤*",商品マスタ!$D:$E,2,FALSE),
VLOOKUP("*"&amp;S109&amp;"*",商品マスタ!$D:$E,2,FALSE))),"")</f>
        <v/>
      </c>
      <c r="Z109" t="str">
        <f t="shared" si="29"/>
        <v/>
      </c>
      <c r="AA109" t="str">
        <f t="shared" si="33"/>
        <v/>
      </c>
      <c r="AC109" t="str">
        <f t="shared" si="34"/>
        <v/>
      </c>
      <c r="AD109" t="str">
        <f t="array" aca="1" ref="AD109" ca="1">IFERROR(SMALL(IF(AC$1:AC$311&lt;&gt;0,AC$1:AC$311),ROW(A109)),"")</f>
        <v/>
      </c>
    </row>
    <row r="110" spans="16:45">
      <c r="Q110" s="191" t="str">
        <f>""</f>
        <v/>
      </c>
      <c r="R110" s="191" t="str">
        <f>IF(まとめ札【15時】!K11&lt;&gt;"",まとめ札【15時】!A11&amp;"【１】","")</f>
        <v/>
      </c>
      <c r="S110" s="191" t="str">
        <f>""</f>
        <v/>
      </c>
      <c r="T110" s="191" t="str">
        <f>IF(まとめ札【15時】!K11&lt;&gt;"",まとめ札【15時】!K11,"")</f>
        <v/>
      </c>
      <c r="U110" s="191" t="str">
        <f>""</f>
        <v/>
      </c>
      <c r="V110" s="191" t="str">
        <f>""</f>
        <v/>
      </c>
      <c r="W110" s="191" t="str">
        <f t="shared" si="36"/>
        <v/>
      </c>
      <c r="Y110" t="str">
        <f>IF(Q110&lt;&gt;"",
IF(COUNTIF(S110,"*キャラ*"),
VLOOKUP("*キャラ*",商品マスタ!$D:$E,2,FALSE),
IF(COUNTIF(S110,"*赤*"),
VLOOKUP("*赤*",商品マスタ!$D:$E,2,FALSE),
VLOOKUP("*"&amp;S110&amp;"*",商品マスタ!$D:$E,2,FALSE))),"")</f>
        <v/>
      </c>
      <c r="Z110" t="str">
        <f t="shared" si="29"/>
        <v/>
      </c>
      <c r="AA110" t="str">
        <f t="shared" si="33"/>
        <v/>
      </c>
      <c r="AC110" t="str">
        <f t="shared" si="34"/>
        <v/>
      </c>
      <c r="AD110" t="str">
        <f t="array" aca="1" ref="AD110" ca="1">IFERROR(SMALL(IF(AC$1:AC$311&lt;&gt;0,AC$1:AC$311),ROW(A110)),"")</f>
        <v/>
      </c>
    </row>
    <row r="111" spans="16:45">
      <c r="Q111" s="191" t="str">
        <f>""</f>
        <v/>
      </c>
      <c r="R111" s="192" t="str">
        <f ca="1">IF(T111&lt;&gt;"",まとめ札【15時】!A2&amp;"【2】","")</f>
        <v/>
      </c>
      <c r="S111" s="191" t="str">
        <f>""</f>
        <v/>
      </c>
      <c r="T111" s="192" t="str">
        <f ca="1">IF(まとめ札【15時】!L2&lt;&gt;"",まとめ札【15時】!L2,"")</f>
        <v/>
      </c>
      <c r="U111" s="191" t="str">
        <f>""</f>
        <v/>
      </c>
      <c r="V111" s="191" t="str">
        <f>""</f>
        <v/>
      </c>
      <c r="W111" s="193" t="str">
        <f t="shared" ref="W111:W137" ca="1" si="37">IF(T111&lt;&gt;"",24,"")</f>
        <v/>
      </c>
      <c r="Y111" t="str">
        <f>IF(Q111&lt;&gt;"",
IF(COUNTIF(S111,"*キャラ*"),
VLOOKUP("*キャラ*",商品マスタ!$D:$E,2,FALSE),
IF(COUNTIF(S111,"*赤*"),
VLOOKUP("*赤*",商品マスタ!$D:$E,2,FALSE),
VLOOKUP("*"&amp;S111&amp;"*",商品マスタ!$D:$E,2,FALSE))),"")</f>
        <v/>
      </c>
      <c r="Z111" t="str">
        <f t="shared" si="29"/>
        <v/>
      </c>
      <c r="AA111" t="str">
        <f t="shared" si="33"/>
        <v/>
      </c>
      <c r="AC111" t="str">
        <f t="shared" ca="1" si="34"/>
        <v/>
      </c>
      <c r="AD111" t="str">
        <f t="array" aca="1" ref="AD111" ca="1">IFERROR(SMALL(IF(AC$1:AC$311&lt;&gt;0,AC$1:AC$311),ROW(A111)),"")</f>
        <v/>
      </c>
    </row>
    <row r="112" spans="16:45">
      <c r="Q112" s="191" t="str">
        <f>""</f>
        <v/>
      </c>
      <c r="R112" s="191" t="str">
        <f ca="1">IF(T112&lt;&gt;"",まとめ札【15時】!A3&amp;"【2】","")</f>
        <v/>
      </c>
      <c r="S112" s="191" t="str">
        <f>""</f>
        <v/>
      </c>
      <c r="T112" s="191" t="str">
        <f ca="1">IF(まとめ札【15時】!L3&lt;&gt;"",まとめ札【15時】!L3,"")</f>
        <v/>
      </c>
      <c r="U112" s="191" t="str">
        <f>""</f>
        <v/>
      </c>
      <c r="V112" s="191" t="str">
        <f>""</f>
        <v/>
      </c>
      <c r="W112" s="194" t="str">
        <f t="shared" ca="1" si="37"/>
        <v/>
      </c>
      <c r="Y112" t="str">
        <f>IF(Q112&lt;&gt;"",
IF(COUNTIF(S112,"*キャラ*"),
VLOOKUP("*キャラ*",商品マスタ!$D:$E,2,FALSE),
IF(COUNTIF(S112,"*赤*"),
VLOOKUP("*赤*",商品マスタ!$D:$E,2,FALSE),
VLOOKUP("*"&amp;S112&amp;"*",商品マスタ!$D:$E,2,FALSE))),"")</f>
        <v/>
      </c>
      <c r="Z112" t="str">
        <f t="shared" si="29"/>
        <v/>
      </c>
      <c r="AA112" t="str">
        <f t="shared" si="33"/>
        <v/>
      </c>
      <c r="AC112" t="str">
        <f t="shared" ca="1" si="34"/>
        <v/>
      </c>
      <c r="AD112" t="str">
        <f t="array" aca="1" ref="AD112" ca="1">IFERROR(SMALL(IF(AC$1:AC$311&lt;&gt;0,AC$1:AC$311),ROW(A112)),"")</f>
        <v/>
      </c>
    </row>
    <row r="113" spans="17:30">
      <c r="Q113" s="191" t="str">
        <f>""</f>
        <v/>
      </c>
      <c r="R113" s="191" t="str">
        <f ca="1">IF(T113&lt;&gt;"",まとめ札【15時】!A4&amp;"【2】","")</f>
        <v/>
      </c>
      <c r="S113" s="191" t="str">
        <f>""</f>
        <v/>
      </c>
      <c r="T113" s="191" t="str">
        <f ca="1">IF(まとめ札【15時】!L4&lt;&gt;"",まとめ札【15時】!L4,"")</f>
        <v/>
      </c>
      <c r="U113" s="191" t="str">
        <f>""</f>
        <v/>
      </c>
      <c r="V113" s="191" t="str">
        <f>""</f>
        <v/>
      </c>
      <c r="W113" s="194" t="str">
        <f t="shared" ca="1" si="37"/>
        <v/>
      </c>
      <c r="Y113" t="str">
        <f>IF(Q113&lt;&gt;"",
IF(COUNTIF(S113,"*キャラ*"),
VLOOKUP("*キャラ*",商品マスタ!$D:$E,2,FALSE),
IF(COUNTIF(S113,"*赤*"),
VLOOKUP("*赤*",商品マスタ!$D:$E,2,FALSE),
VLOOKUP("*"&amp;S113&amp;"*",商品マスタ!$D:$E,2,FALSE))),"")</f>
        <v/>
      </c>
      <c r="Z113" t="str">
        <f t="shared" si="29"/>
        <v/>
      </c>
      <c r="AA113" t="str">
        <f t="shared" si="33"/>
        <v/>
      </c>
      <c r="AC113" t="str">
        <f t="shared" ca="1" si="34"/>
        <v/>
      </c>
      <c r="AD113" t="str">
        <f t="array" aca="1" ref="AD113" ca="1">IFERROR(SMALL(IF(AC$1:AC$311&lt;&gt;0,AC$1:AC$311),ROW(A113)),"")</f>
        <v/>
      </c>
    </row>
    <row r="114" spans="17:30">
      <c r="Q114" s="191" t="str">
        <f>""</f>
        <v/>
      </c>
      <c r="R114" s="191" t="str">
        <f ca="1">IF(T114&lt;&gt;"",まとめ札【15時】!A5&amp;"【2】","")</f>
        <v/>
      </c>
      <c r="S114" s="191" t="str">
        <f>""</f>
        <v/>
      </c>
      <c r="T114" s="191" t="str">
        <f ca="1">IF(まとめ札【15時】!L5&lt;&gt;"",まとめ札【15時】!L5,"")</f>
        <v/>
      </c>
      <c r="U114" s="191" t="str">
        <f>""</f>
        <v/>
      </c>
      <c r="V114" s="191" t="str">
        <f>""</f>
        <v/>
      </c>
      <c r="W114" s="194" t="str">
        <f t="shared" ca="1" si="37"/>
        <v/>
      </c>
      <c r="Y114" t="str">
        <f>IF(Q114&lt;&gt;"",
IF(COUNTIF(S114,"*キャラ*"),
VLOOKUP("*キャラ*",商品マスタ!$D:$E,2,FALSE),
IF(COUNTIF(S114,"*赤*"),
VLOOKUP("*赤*",商品マスタ!$D:$E,2,FALSE),
VLOOKUP("*"&amp;S114&amp;"*",商品マスタ!$D:$E,2,FALSE))),"")</f>
        <v/>
      </c>
      <c r="Z114" t="str">
        <f t="shared" si="29"/>
        <v/>
      </c>
      <c r="AA114" t="str">
        <f t="shared" si="33"/>
        <v/>
      </c>
      <c r="AC114" t="str">
        <f t="shared" ca="1" si="34"/>
        <v/>
      </c>
      <c r="AD114" t="str">
        <f t="array" aca="1" ref="AD114" ca="1">IFERROR(SMALL(IF(AC$1:AC$311&lt;&gt;0,AC$1:AC$311),ROW(A114)),"")</f>
        <v/>
      </c>
    </row>
    <row r="115" spans="17:30">
      <c r="Q115" s="191" t="str">
        <f>""</f>
        <v/>
      </c>
      <c r="R115" s="191" t="str">
        <f ca="1">IF(T115&lt;&gt;"",まとめ札【15時】!A6&amp;"【2】","")</f>
        <v/>
      </c>
      <c r="S115" s="191" t="str">
        <f>""</f>
        <v/>
      </c>
      <c r="T115" s="191" t="str">
        <f ca="1">IF(まとめ札【15時】!L6&lt;&gt;"",まとめ札【15時】!L6,"")</f>
        <v/>
      </c>
      <c r="U115" s="191" t="str">
        <f>""</f>
        <v/>
      </c>
      <c r="V115" s="191" t="str">
        <f>""</f>
        <v/>
      </c>
      <c r="W115" s="194" t="str">
        <f t="shared" ca="1" si="37"/>
        <v/>
      </c>
      <c r="Y115" t="str">
        <f>IF(Q115&lt;&gt;"",
IF(COUNTIF(S115,"*キャラ*"),
VLOOKUP("*キャラ*",商品マスタ!$D:$E,2,FALSE),
IF(COUNTIF(S115,"*赤*"),
VLOOKUP("*赤*",商品マスタ!$D:$E,2,FALSE),
VLOOKUP("*"&amp;S115&amp;"*",商品マスタ!$D:$E,2,FALSE))),"")</f>
        <v/>
      </c>
      <c r="Z115" t="str">
        <f t="shared" si="29"/>
        <v/>
      </c>
      <c r="AA115" t="str">
        <f t="shared" si="33"/>
        <v/>
      </c>
      <c r="AC115" t="str">
        <f t="shared" ca="1" si="34"/>
        <v/>
      </c>
      <c r="AD115" t="str">
        <f t="array" aca="1" ref="AD115" ca="1">IFERROR(SMALL(IF(AC$1:AC$311&lt;&gt;0,AC$1:AC$311),ROW(A115)),"")</f>
        <v/>
      </c>
    </row>
    <row r="116" spans="17:30">
      <c r="Q116" s="191" t="str">
        <f>""</f>
        <v/>
      </c>
      <c r="R116" s="191" t="str">
        <f ca="1">IF(T116&lt;&gt;"",まとめ札【15時】!A7&amp;"【2】","")</f>
        <v/>
      </c>
      <c r="S116" s="191" t="str">
        <f>""</f>
        <v/>
      </c>
      <c r="T116" s="191" t="str">
        <f ca="1">IF(まとめ札【15時】!L7&lt;&gt;"",まとめ札【15時】!L7,"")</f>
        <v/>
      </c>
      <c r="U116" s="191" t="str">
        <f>""</f>
        <v/>
      </c>
      <c r="V116" s="191" t="str">
        <f>""</f>
        <v/>
      </c>
      <c r="W116" s="194" t="str">
        <f t="shared" ca="1" si="37"/>
        <v/>
      </c>
      <c r="Y116" t="str">
        <f>IF(Q116&lt;&gt;"",
IF(COUNTIF(S116,"*キャラ*"),
VLOOKUP("*キャラ*",商品マスタ!$D:$E,2,FALSE),
IF(COUNTIF(S116,"*赤*"),
VLOOKUP("*赤*",商品マスタ!$D:$E,2,FALSE),
VLOOKUP("*"&amp;S116&amp;"*",商品マスタ!$D:$E,2,FALSE))),"")</f>
        <v/>
      </c>
      <c r="Z116" t="str">
        <f t="shared" si="29"/>
        <v/>
      </c>
      <c r="AA116" t="str">
        <f t="shared" si="33"/>
        <v/>
      </c>
      <c r="AC116" t="str">
        <f t="shared" ca="1" si="34"/>
        <v/>
      </c>
      <c r="AD116" t="str">
        <f t="array" aca="1" ref="AD116" ca="1">IFERROR(SMALL(IF(AC$1:AC$311&lt;&gt;0,AC$1:AC$311),ROW(A116)),"")</f>
        <v/>
      </c>
    </row>
    <row r="117" spans="17:30">
      <c r="Q117" s="191" t="str">
        <f>""</f>
        <v/>
      </c>
      <c r="R117" s="191" t="str">
        <f ca="1">IF(T117&lt;&gt;"",まとめ札【15時】!A8&amp;"【2】","")</f>
        <v/>
      </c>
      <c r="S117" s="191" t="str">
        <f>""</f>
        <v/>
      </c>
      <c r="T117" s="191" t="str">
        <f ca="1">IF(まとめ札【15時】!L8&lt;&gt;"",まとめ札【15時】!L8,"")</f>
        <v/>
      </c>
      <c r="U117" s="191" t="str">
        <f>""</f>
        <v/>
      </c>
      <c r="V117" s="191" t="str">
        <f>""</f>
        <v/>
      </c>
      <c r="W117" s="194" t="str">
        <f t="shared" ca="1" si="37"/>
        <v/>
      </c>
      <c r="Y117" t="str">
        <f>IF(Q117&lt;&gt;"",
IF(COUNTIF(S117,"*キャラ*"),
VLOOKUP("*キャラ*",商品マスタ!$D:$E,2,FALSE),
IF(COUNTIF(S117,"*赤*"),
VLOOKUP("*赤*",商品マスタ!$D:$E,2,FALSE),
VLOOKUP("*"&amp;S117&amp;"*",商品マスタ!$D:$E,2,FALSE))),"")</f>
        <v/>
      </c>
      <c r="Z117" t="str">
        <f t="shared" si="29"/>
        <v/>
      </c>
      <c r="AA117" t="str">
        <f t="shared" si="33"/>
        <v/>
      </c>
      <c r="AC117" t="str">
        <f t="shared" ca="1" si="34"/>
        <v/>
      </c>
      <c r="AD117" t="str">
        <f t="array" aca="1" ref="AD117" ca="1">IFERROR(SMALL(IF(AC$1:AC$311&lt;&gt;0,AC$1:AC$311),ROW(A117)),"")</f>
        <v/>
      </c>
    </row>
    <row r="118" spans="17:30">
      <c r="Q118" s="191" t="str">
        <f>""</f>
        <v/>
      </c>
      <c r="R118" s="191" t="str">
        <f>IF(T118&lt;&gt;"",まとめ札【15時】!A9&amp;"【2】","")</f>
        <v/>
      </c>
      <c r="S118" s="191" t="str">
        <f>""</f>
        <v/>
      </c>
      <c r="T118" s="191" t="str">
        <f>IF(まとめ札【15時】!L9&lt;&gt;"",まとめ札【15時】!L9,"")</f>
        <v/>
      </c>
      <c r="U118" s="191" t="str">
        <f>""</f>
        <v/>
      </c>
      <c r="V118" s="191" t="str">
        <f>""</f>
        <v/>
      </c>
      <c r="W118" s="194" t="str">
        <f t="shared" si="37"/>
        <v/>
      </c>
      <c r="Y118" t="str">
        <f>IF(Q118&lt;&gt;"",
IF(COUNTIF(S118,"*キャラ*"),
VLOOKUP("*キャラ*",商品マスタ!$D:$E,2,FALSE),
IF(COUNTIF(S118,"*赤*"),
VLOOKUP("*赤*",商品マスタ!$D:$E,2,FALSE),
VLOOKUP("*"&amp;S118&amp;"*",商品マスタ!$D:$E,2,FALSE))),"")</f>
        <v/>
      </c>
      <c r="Z118" t="str">
        <f t="shared" si="29"/>
        <v/>
      </c>
      <c r="AA118" t="str">
        <f t="shared" si="33"/>
        <v/>
      </c>
      <c r="AC118" t="str">
        <f t="shared" si="34"/>
        <v/>
      </c>
      <c r="AD118" t="str">
        <f t="array" aca="1" ref="AD118" ca="1">IFERROR(SMALL(IF(AC$1:AC$311&lt;&gt;0,AC$1:AC$311),ROW(A118)),"")</f>
        <v/>
      </c>
    </row>
    <row r="119" spans="17:30">
      <c r="Q119" s="191" t="str">
        <f>""</f>
        <v/>
      </c>
      <c r="R119" s="191" t="str">
        <f>IF(T119&lt;&gt;"",まとめ札【15時】!A10&amp;"【2】","")</f>
        <v/>
      </c>
      <c r="S119" s="191" t="str">
        <f>""</f>
        <v/>
      </c>
      <c r="T119" s="195" t="str">
        <f>IF(まとめ札【15時】!L10&lt;&gt;"",まとめ札【15時】!L10,"")</f>
        <v/>
      </c>
      <c r="U119" s="191" t="str">
        <f>""</f>
        <v/>
      </c>
      <c r="V119" s="191" t="str">
        <f>""</f>
        <v/>
      </c>
      <c r="W119" s="196" t="str">
        <f t="shared" si="37"/>
        <v/>
      </c>
      <c r="Y119" t="str">
        <f>IF(Q119&lt;&gt;"",
IF(COUNTIF(S119,"*キャラ*"),
VLOOKUP("*キャラ*",商品マスタ!$D:$E,2,FALSE),
IF(COUNTIF(S119,"*赤*"),
VLOOKUP("*赤*",商品マスタ!$D:$E,2,FALSE),
VLOOKUP("*"&amp;S119&amp;"*",商品マスタ!$D:$E,2,FALSE))),"")</f>
        <v/>
      </c>
      <c r="Z119" t="str">
        <f t="shared" si="29"/>
        <v/>
      </c>
      <c r="AA119" t="str">
        <f t="shared" si="33"/>
        <v/>
      </c>
      <c r="AC119" t="str">
        <f t="shared" si="34"/>
        <v/>
      </c>
      <c r="AD119" t="str">
        <f t="array" aca="1" ref="AD119" ca="1">IFERROR(SMALL(IF(AC$1:AC$311&lt;&gt;0,AC$1:AC$311),ROW(A119)),"")</f>
        <v/>
      </c>
    </row>
    <row r="120" spans="17:30">
      <c r="Q120" s="191" t="str">
        <f>""</f>
        <v/>
      </c>
      <c r="R120" s="192" t="str">
        <f ca="1">IF(T120&lt;&gt;"",まとめ札【15時】!A2&amp;"【3】","")</f>
        <v/>
      </c>
      <c r="S120" s="191" t="str">
        <f>""</f>
        <v/>
      </c>
      <c r="T120" s="192" t="str">
        <f ca="1">IF(まとめ札【15時】!M2&lt;&gt;"",まとめ札【15時】!M2,"")</f>
        <v/>
      </c>
      <c r="U120" s="191" t="str">
        <f>""</f>
        <v/>
      </c>
      <c r="V120" s="191" t="str">
        <f>""</f>
        <v/>
      </c>
      <c r="W120" s="193" t="str">
        <f t="shared" ca="1" si="37"/>
        <v/>
      </c>
      <c r="Y120" t="str">
        <f>IF(Q120&lt;&gt;"",
IF(COUNTIF(S120,"*キャラ*"),
VLOOKUP("*キャラ*",商品マスタ!$D:$E,2,FALSE),
IF(COUNTIF(S120,"*赤*"),
VLOOKUP("*赤*",商品マスタ!$D:$E,2,FALSE),
VLOOKUP("*"&amp;S120&amp;"*",商品マスタ!$D:$E,2,FALSE))),"")</f>
        <v/>
      </c>
      <c r="Z120" t="str">
        <f t="shared" si="29"/>
        <v/>
      </c>
      <c r="AA120" t="str">
        <f t="shared" si="33"/>
        <v/>
      </c>
      <c r="AC120" t="str">
        <f t="shared" ca="1" si="34"/>
        <v/>
      </c>
      <c r="AD120" t="str">
        <f t="array" aca="1" ref="AD120" ca="1">IFERROR(SMALL(IF(AC$1:AC$311&lt;&gt;0,AC$1:AC$311),ROW(A120)),"")</f>
        <v/>
      </c>
    </row>
    <row r="121" spans="17:30">
      <c r="Q121" s="191" t="str">
        <f>""</f>
        <v/>
      </c>
      <c r="R121" s="191" t="str">
        <f ca="1">IF(T121&lt;&gt;"",まとめ札【15時】!A3&amp;"【3】","")</f>
        <v/>
      </c>
      <c r="S121" s="191" t="str">
        <f>""</f>
        <v/>
      </c>
      <c r="T121" s="191" t="str">
        <f ca="1">IF(まとめ札【15時】!M3&lt;&gt;"",まとめ札【15時】!M3,"")</f>
        <v/>
      </c>
      <c r="U121" s="191" t="str">
        <f>""</f>
        <v/>
      </c>
      <c r="V121" s="191" t="str">
        <f>""</f>
        <v/>
      </c>
      <c r="W121" s="194" t="str">
        <f t="shared" ca="1" si="37"/>
        <v/>
      </c>
      <c r="Y121" t="str">
        <f>IF(Q121&lt;&gt;"",
IF(COUNTIF(S121,"*キャラ*"),
VLOOKUP("*キャラ*",商品マスタ!$D:$E,2,FALSE),
IF(COUNTIF(S121,"*赤*"),
VLOOKUP("*赤*",商品マスタ!$D:$E,2,FALSE),
VLOOKUP("*"&amp;S121&amp;"*",商品マスタ!$D:$E,2,FALSE))),"")</f>
        <v/>
      </c>
      <c r="Z121" t="str">
        <f t="shared" si="29"/>
        <v/>
      </c>
      <c r="AA121" t="str">
        <f t="shared" si="33"/>
        <v/>
      </c>
      <c r="AC121" t="str">
        <f t="shared" ca="1" si="34"/>
        <v/>
      </c>
      <c r="AD121" t="str">
        <f t="array" aca="1" ref="AD121" ca="1">IFERROR(SMALL(IF(AC$1:AC$311&lt;&gt;0,AC$1:AC$311),ROW(A121)),"")</f>
        <v/>
      </c>
    </row>
    <row r="122" spans="17:30">
      <c r="Q122" s="191" t="str">
        <f>""</f>
        <v/>
      </c>
      <c r="R122" s="191" t="str">
        <f ca="1">IF(T122&lt;&gt;"",まとめ札【15時】!A4&amp;"【3】","")</f>
        <v/>
      </c>
      <c r="S122" s="191" t="str">
        <f>""</f>
        <v/>
      </c>
      <c r="T122" s="191" t="str">
        <f ca="1">IF(まとめ札【15時】!M4&lt;&gt;"",まとめ札【15時】!M4,"")</f>
        <v/>
      </c>
      <c r="U122" s="191" t="str">
        <f>""</f>
        <v/>
      </c>
      <c r="V122" s="191" t="str">
        <f>""</f>
        <v/>
      </c>
      <c r="W122" s="194" t="str">
        <f t="shared" ca="1" si="37"/>
        <v/>
      </c>
      <c r="Y122" t="str">
        <f>IF(Q122&lt;&gt;"",
IF(COUNTIF(S122,"*キャラ*"),
VLOOKUP("*キャラ*",商品マスタ!$D:$E,2,FALSE),
IF(COUNTIF(S122,"*赤*"),
VLOOKUP("*赤*",商品マスタ!$D:$E,2,FALSE),
VLOOKUP("*"&amp;S122&amp;"*",商品マスタ!$D:$E,2,FALSE))),"")</f>
        <v/>
      </c>
      <c r="Z122" t="str">
        <f t="shared" si="29"/>
        <v/>
      </c>
      <c r="AA122" t="str">
        <f t="shared" si="33"/>
        <v/>
      </c>
      <c r="AC122" t="str">
        <f t="shared" ca="1" si="34"/>
        <v/>
      </c>
      <c r="AD122" t="str">
        <f t="array" aca="1" ref="AD122" ca="1">IFERROR(SMALL(IF(AC$1:AC$311&lt;&gt;0,AC$1:AC$311),ROW(A122)),"")</f>
        <v/>
      </c>
    </row>
    <row r="123" spans="17:30">
      <c r="Q123" s="191" t="str">
        <f>""</f>
        <v/>
      </c>
      <c r="R123" s="191" t="str">
        <f ca="1">IF(T123&lt;&gt;"",まとめ札【15時】!A5&amp;"【3】","")</f>
        <v/>
      </c>
      <c r="S123" s="191" t="str">
        <f>""</f>
        <v/>
      </c>
      <c r="T123" s="191" t="str">
        <f ca="1">IF(まとめ札【15時】!M5&lt;&gt;"",まとめ札【15時】!M5,"")</f>
        <v/>
      </c>
      <c r="U123" s="191" t="str">
        <f>""</f>
        <v/>
      </c>
      <c r="V123" s="191" t="str">
        <f>""</f>
        <v/>
      </c>
      <c r="W123" s="194" t="str">
        <f t="shared" ca="1" si="37"/>
        <v/>
      </c>
      <c r="Y123" t="str">
        <f>IF(Q123&lt;&gt;"",
IF(COUNTIF(S123,"*キャラ*"),
VLOOKUP("*キャラ*",商品マスタ!$D:$E,2,FALSE),
IF(COUNTIF(S123,"*赤*"),
VLOOKUP("*赤*",商品マスタ!$D:$E,2,FALSE),
VLOOKUP("*"&amp;S123&amp;"*",商品マスタ!$D:$E,2,FALSE))),"")</f>
        <v/>
      </c>
      <c r="Z123" t="str">
        <f t="shared" si="29"/>
        <v/>
      </c>
      <c r="AA123" t="str">
        <f t="shared" si="33"/>
        <v/>
      </c>
      <c r="AC123" t="str">
        <f t="shared" ca="1" si="34"/>
        <v/>
      </c>
      <c r="AD123" t="str">
        <f t="array" aca="1" ref="AD123" ca="1">IFERROR(SMALL(IF(AC$1:AC$311&lt;&gt;0,AC$1:AC$311),ROW(A123)),"")</f>
        <v/>
      </c>
    </row>
    <row r="124" spans="17:30">
      <c r="Q124" s="191" t="str">
        <f>""</f>
        <v/>
      </c>
      <c r="R124" s="191" t="str">
        <f ca="1">IF(T124&lt;&gt;"",まとめ札【15時】!A6&amp;"【3】","")</f>
        <v/>
      </c>
      <c r="S124" s="191" t="str">
        <f>""</f>
        <v/>
      </c>
      <c r="T124" s="191" t="str">
        <f ca="1">IF(まとめ札【15時】!M6&lt;&gt;"",まとめ札【15時】!M6,"")</f>
        <v/>
      </c>
      <c r="U124" s="191" t="str">
        <f>""</f>
        <v/>
      </c>
      <c r="V124" s="191" t="str">
        <f>""</f>
        <v/>
      </c>
      <c r="W124" s="194" t="str">
        <f t="shared" ca="1" si="37"/>
        <v/>
      </c>
      <c r="Y124" t="str">
        <f>IF(Q124&lt;&gt;"",
IF(COUNTIF(S124,"*キャラ*"),
VLOOKUP("*キャラ*",商品マスタ!$D:$E,2,FALSE),
IF(COUNTIF(S124,"*赤*"),
VLOOKUP("*赤*",商品マスタ!$D:$E,2,FALSE),
VLOOKUP("*"&amp;S124&amp;"*",商品マスタ!$D:$E,2,FALSE))),"")</f>
        <v/>
      </c>
      <c r="Z124" t="str">
        <f t="shared" si="29"/>
        <v/>
      </c>
      <c r="AA124" t="str">
        <f t="shared" si="33"/>
        <v/>
      </c>
      <c r="AC124" t="str">
        <f t="shared" ca="1" si="34"/>
        <v/>
      </c>
      <c r="AD124" t="str">
        <f t="array" aca="1" ref="AD124" ca="1">IFERROR(SMALL(IF(AC$1:AC$311&lt;&gt;0,AC$1:AC$311),ROW(A124)),"")</f>
        <v/>
      </c>
    </row>
    <row r="125" spans="17:30">
      <c r="Q125" s="191" t="str">
        <f>""</f>
        <v/>
      </c>
      <c r="R125" s="191" t="str">
        <f ca="1">IF(T125&lt;&gt;"",まとめ札【15時】!A7&amp;"【3】","")</f>
        <v/>
      </c>
      <c r="S125" s="191" t="str">
        <f>""</f>
        <v/>
      </c>
      <c r="T125" s="191" t="str">
        <f ca="1">IF(まとめ札【15時】!M7&lt;&gt;"",まとめ札【15時】!M7,"")</f>
        <v/>
      </c>
      <c r="U125" s="191" t="str">
        <f>""</f>
        <v/>
      </c>
      <c r="V125" s="191" t="str">
        <f>""</f>
        <v/>
      </c>
      <c r="W125" s="194" t="str">
        <f t="shared" ca="1" si="37"/>
        <v/>
      </c>
      <c r="Y125" t="str">
        <f>IF(Q125&lt;&gt;"",
IF(COUNTIF(S125,"*キャラ*"),
VLOOKUP("*キャラ*",商品マスタ!$D:$E,2,FALSE),
IF(COUNTIF(S125,"*赤*"),
VLOOKUP("*赤*",商品マスタ!$D:$E,2,FALSE),
VLOOKUP("*"&amp;S125&amp;"*",商品マスタ!$D:$E,2,FALSE))),"")</f>
        <v/>
      </c>
      <c r="Z125" t="str">
        <f t="shared" si="29"/>
        <v/>
      </c>
      <c r="AA125" t="str">
        <f t="shared" si="33"/>
        <v/>
      </c>
      <c r="AC125" t="str">
        <f t="shared" ca="1" si="34"/>
        <v/>
      </c>
      <c r="AD125" t="str">
        <f t="array" aca="1" ref="AD125" ca="1">IFERROR(SMALL(IF(AC$1:AC$311&lt;&gt;0,AC$1:AC$311),ROW(A125)),"")</f>
        <v/>
      </c>
    </row>
    <row r="126" spans="17:30">
      <c r="Q126" s="191" t="str">
        <f>""</f>
        <v/>
      </c>
      <c r="R126" s="191" t="str">
        <f ca="1">IF(T126&lt;&gt;"",まとめ札【15時】!A8&amp;"【3】","")</f>
        <v/>
      </c>
      <c r="S126" s="191" t="str">
        <f>""</f>
        <v/>
      </c>
      <c r="T126" s="191" t="str">
        <f ca="1">IF(まとめ札【15時】!M8&lt;&gt;"",まとめ札【15時】!M8,"")</f>
        <v/>
      </c>
      <c r="U126" s="191" t="str">
        <f>""</f>
        <v/>
      </c>
      <c r="V126" s="191" t="str">
        <f>""</f>
        <v/>
      </c>
      <c r="W126" s="194" t="str">
        <f t="shared" ca="1" si="37"/>
        <v/>
      </c>
      <c r="Y126" t="str">
        <f>IF(Q126&lt;&gt;"",
IF(COUNTIF(S126,"*キャラ*"),
VLOOKUP("*キャラ*",商品マスタ!$D:$E,2,FALSE),
IF(COUNTIF(S126,"*赤*"),
VLOOKUP("*赤*",商品マスタ!$D:$E,2,FALSE),
VLOOKUP("*"&amp;S126&amp;"*",商品マスタ!$D:$E,2,FALSE))),"")</f>
        <v/>
      </c>
      <c r="Z126" t="str">
        <f t="shared" si="29"/>
        <v/>
      </c>
      <c r="AA126" t="str">
        <f t="shared" si="33"/>
        <v/>
      </c>
      <c r="AC126" t="str">
        <f t="shared" ca="1" si="34"/>
        <v/>
      </c>
      <c r="AD126" t="str">
        <f t="array" aca="1" ref="AD126" ca="1">IFERROR(SMALL(IF(AC$1:AC$311&lt;&gt;0,AC$1:AC$311),ROW(A126)),"")</f>
        <v/>
      </c>
    </row>
    <row r="127" spans="17:30">
      <c r="Q127" s="191" t="str">
        <f>""</f>
        <v/>
      </c>
      <c r="R127" s="191" t="str">
        <f>IF(T127&lt;&gt;"",まとめ札【15時】!A9&amp;"【3】","")</f>
        <v/>
      </c>
      <c r="S127" s="191" t="str">
        <f>""</f>
        <v/>
      </c>
      <c r="T127" s="191" t="str">
        <f>IF(まとめ札【15時】!M9&lt;&gt;"",まとめ札【15時】!M9,"")</f>
        <v/>
      </c>
      <c r="U127" s="191" t="str">
        <f>""</f>
        <v/>
      </c>
      <c r="V127" s="191" t="str">
        <f>""</f>
        <v/>
      </c>
      <c r="W127" s="194" t="str">
        <f t="shared" si="37"/>
        <v/>
      </c>
      <c r="Y127" t="str">
        <f>IF(Q127&lt;&gt;"",
IF(COUNTIF(S127,"*キャラ*"),
VLOOKUP("*キャラ*",商品マスタ!$D:$E,2,FALSE),
IF(COUNTIF(S127,"*赤*"),
VLOOKUP("*赤*",商品マスタ!$D:$E,2,FALSE),
VLOOKUP("*"&amp;S127&amp;"*",商品マスタ!$D:$E,2,FALSE))),"")</f>
        <v/>
      </c>
      <c r="Z127" t="str">
        <f t="shared" si="29"/>
        <v/>
      </c>
      <c r="AA127" t="str">
        <f t="shared" si="33"/>
        <v/>
      </c>
      <c r="AC127" t="str">
        <f t="shared" si="34"/>
        <v/>
      </c>
      <c r="AD127" t="str">
        <f t="array" aca="1" ref="AD127" ca="1">IFERROR(SMALL(IF(AC$1:AC$311&lt;&gt;0,AC$1:AC$311),ROW(A127)),"")</f>
        <v/>
      </c>
    </row>
    <row r="128" spans="17:30">
      <c r="Q128" s="191" t="str">
        <f>""</f>
        <v/>
      </c>
      <c r="R128" s="195" t="str">
        <f>IF(T128&lt;&gt;"",まとめ札【15時】!A10&amp;"【3】","")</f>
        <v/>
      </c>
      <c r="S128" s="191" t="str">
        <f>""</f>
        <v/>
      </c>
      <c r="T128" s="195" t="str">
        <f>IF(まとめ札【15時】!M10&lt;&gt;"",まとめ札【15時】!M10,"")</f>
        <v/>
      </c>
      <c r="U128" s="191" t="str">
        <f>""</f>
        <v/>
      </c>
      <c r="V128" s="191" t="str">
        <f>""</f>
        <v/>
      </c>
      <c r="W128" s="196" t="str">
        <f t="shared" si="37"/>
        <v/>
      </c>
      <c r="Y128" t="str">
        <f>IF(Q128&lt;&gt;"",
IF(COUNTIF(S128,"*キャラ*"),
VLOOKUP("*キャラ*",商品マスタ!$D:$E,2,FALSE),
IF(COUNTIF(S128,"*赤*"),
VLOOKUP("*赤*",商品マスタ!$D:$E,2,FALSE),
VLOOKUP("*"&amp;S128&amp;"*",商品マスタ!$D:$E,2,FALSE))),"")</f>
        <v/>
      </c>
      <c r="Z128" t="str">
        <f t="shared" si="29"/>
        <v/>
      </c>
      <c r="AA128" t="str">
        <f t="shared" si="33"/>
        <v/>
      </c>
      <c r="AC128" t="str">
        <f t="shared" si="34"/>
        <v/>
      </c>
      <c r="AD128" t="str">
        <f t="array" aca="1" ref="AD128" ca="1">IFERROR(SMALL(IF(AC$1:AC$311&lt;&gt;0,AC$1:AC$311),ROW(A128)),"")</f>
        <v/>
      </c>
    </row>
    <row r="129" spans="17:30">
      <c r="Q129" s="191" t="str">
        <f>""</f>
        <v/>
      </c>
      <c r="R129" s="192" t="str">
        <f ca="1">IF(T129&lt;&gt;"",まとめ札【15時】!A2&amp;"【4】","")</f>
        <v/>
      </c>
      <c r="S129" s="191" t="str">
        <f>""</f>
        <v/>
      </c>
      <c r="T129" s="192" t="str">
        <f ca="1">IF(まとめ札【15時】!N2&lt;&gt;"",まとめ札【15時】!N2,"")</f>
        <v/>
      </c>
      <c r="U129" s="191" t="str">
        <f>""</f>
        <v/>
      </c>
      <c r="V129" s="191" t="str">
        <f>""</f>
        <v/>
      </c>
      <c r="W129" s="193" t="str">
        <f t="shared" ca="1" si="37"/>
        <v/>
      </c>
      <c r="Y129" t="str">
        <f>IF(Q129&lt;&gt;"",
IF(COUNTIF(S129,"*キャラ*"),
VLOOKUP("*キャラ*",商品マスタ!$D:$E,2,FALSE),
IF(COUNTIF(S129,"*赤*"),
VLOOKUP("*赤*",商品マスタ!$D:$E,2,FALSE),
VLOOKUP("*"&amp;S129&amp;"*",商品マスタ!$D:$E,2,FALSE))),"")</f>
        <v/>
      </c>
      <c r="Z129" t="str">
        <f t="shared" si="29"/>
        <v/>
      </c>
      <c r="AA129" t="str">
        <f t="shared" ref="AA129:AA160" si="38">IF(Z129&lt;&gt;"",
IF(VALUE(T129-V129)&gt;VALUE(Y129*Z129),
"+"&amp;(T129-V129)-Y129*Z129,
(T129-V129)-Y129*Z129),"")</f>
        <v/>
      </c>
      <c r="AC129" t="str">
        <f t="shared" ref="AC129:AC139" ca="1" si="39">IF(R129&lt;&gt;"",ROW(),"")</f>
        <v/>
      </c>
      <c r="AD129" t="str">
        <f t="array" aca="1" ref="AD129" ca="1">IFERROR(SMALL(IF(AC$1:AC$311&lt;&gt;0,AC$1:AC$311),ROW(A129)),"")</f>
        <v/>
      </c>
    </row>
    <row r="130" spans="17:30">
      <c r="Q130" s="191" t="str">
        <f>""</f>
        <v/>
      </c>
      <c r="R130" s="191" t="str">
        <f ca="1">IF(T130&lt;&gt;"",まとめ札【15時】!A3&amp;"【4】","")</f>
        <v/>
      </c>
      <c r="S130" s="191" t="str">
        <f>""</f>
        <v/>
      </c>
      <c r="T130" s="191" t="str">
        <f ca="1">IF(まとめ札【15時】!N3&lt;&gt;"",まとめ札【15時】!N3,"")</f>
        <v/>
      </c>
      <c r="U130" s="191" t="str">
        <f>""</f>
        <v/>
      </c>
      <c r="V130" s="191" t="str">
        <f>""</f>
        <v/>
      </c>
      <c r="W130" s="194" t="str">
        <f t="shared" ca="1" si="37"/>
        <v/>
      </c>
      <c r="Y130" t="str">
        <f>IF(Q130&lt;&gt;"",
IF(COUNTIF(S130,"*キャラ*"),
VLOOKUP("*キャラ*",商品マスタ!$D:$E,2,FALSE),
IF(COUNTIF(S130,"*赤*"),
VLOOKUP("*赤*",商品マスタ!$D:$E,2,FALSE),
VLOOKUP("*"&amp;S130&amp;"*",商品マスタ!$D:$E,2,FALSE))),"")</f>
        <v/>
      </c>
      <c r="Z130" t="str">
        <f t="shared" si="29"/>
        <v/>
      </c>
      <c r="AA130" t="str">
        <f t="shared" si="38"/>
        <v/>
      </c>
      <c r="AC130" t="str">
        <f t="shared" ca="1" si="39"/>
        <v/>
      </c>
      <c r="AD130" t="str">
        <f t="array" aca="1" ref="AD130" ca="1">IFERROR(SMALL(IF(AC$1:AC$311&lt;&gt;0,AC$1:AC$311),ROW(A130)),"")</f>
        <v/>
      </c>
    </row>
    <row r="131" spans="17:30">
      <c r="Q131" s="191" t="str">
        <f>""</f>
        <v/>
      </c>
      <c r="R131" s="191" t="str">
        <f ca="1">IF(T131&lt;&gt;"",まとめ札【15時】!A4&amp;"【4】","")</f>
        <v/>
      </c>
      <c r="S131" s="191" t="str">
        <f>""</f>
        <v/>
      </c>
      <c r="T131" s="191" t="str">
        <f ca="1">IF(まとめ札【15時】!N4&lt;&gt;"",まとめ札【15時】!N4,"")</f>
        <v/>
      </c>
      <c r="U131" s="191" t="str">
        <f>""</f>
        <v/>
      </c>
      <c r="V131" s="191" t="str">
        <f>""</f>
        <v/>
      </c>
      <c r="W131" s="194" t="str">
        <f t="shared" ca="1" si="37"/>
        <v/>
      </c>
      <c r="Y131" t="str">
        <f>IF(Q131&lt;&gt;"",
IF(COUNTIF(S131,"*キャラ*"),
VLOOKUP("*キャラ*",商品マスタ!$D:$E,2,FALSE),
IF(COUNTIF(S131,"*赤*"),
VLOOKUP("*赤*",商品マスタ!$D:$E,2,FALSE),
VLOOKUP("*"&amp;S131&amp;"*",商品マスタ!$D:$E,2,FALSE))),"")</f>
        <v/>
      </c>
      <c r="Z131" t="str">
        <f t="shared" si="29"/>
        <v/>
      </c>
      <c r="AA131" t="str">
        <f t="shared" si="38"/>
        <v/>
      </c>
      <c r="AC131" t="str">
        <f t="shared" ca="1" si="39"/>
        <v/>
      </c>
      <c r="AD131" t="str">
        <f t="array" aca="1" ref="AD131" ca="1">IFERROR(SMALL(IF(AC$1:AC$311&lt;&gt;0,AC$1:AC$311),ROW(A131)),"")</f>
        <v/>
      </c>
    </row>
    <row r="132" spans="17:30">
      <c r="Q132" s="191" t="str">
        <f>""</f>
        <v/>
      </c>
      <c r="R132" s="191" t="str">
        <f ca="1">IF(T132&lt;&gt;"",まとめ札【15時】!A5&amp;"【4】","")</f>
        <v/>
      </c>
      <c r="S132" s="191" t="str">
        <f>""</f>
        <v/>
      </c>
      <c r="T132" s="191" t="str">
        <f ca="1">IF(まとめ札【15時】!N5&lt;&gt;"",まとめ札【15時】!N5,"")</f>
        <v/>
      </c>
      <c r="U132" s="191" t="str">
        <f>""</f>
        <v/>
      </c>
      <c r="V132" s="191" t="str">
        <f>""</f>
        <v/>
      </c>
      <c r="W132" s="194" t="str">
        <f t="shared" ca="1" si="37"/>
        <v/>
      </c>
      <c r="Y132" t="str">
        <f>IF(Q132&lt;&gt;"",
IF(COUNTIF(S132,"*キャラ*"),
VLOOKUP("*キャラ*",商品マスタ!$D:$E,2,FALSE),
IF(COUNTIF(S132,"*赤*"),
VLOOKUP("*赤*",商品マスタ!$D:$E,2,FALSE),
VLOOKUP("*"&amp;S132&amp;"*",商品マスタ!$D:$E,2,FALSE))),"")</f>
        <v/>
      </c>
      <c r="Z132" t="str">
        <f t="shared" ref="Z132:Z139" si="40">IF(Q132&lt;&gt;"",
IF(OR(COUNTIF(R132,"*雙葉*"),COUNTIF(R132,"*香蘭*")),
IF(ROUND((T132-V132)/Y132,0)&lt;=0,1,
ROUND((T132-V132)/Y132,0)),
IF(OR(COUNTIF(S132,"*キャラ*"),COUNTIF(S132,"*赤*")),"",
IF(Y132=0,"",
IF(ROUND((T132-V132)/Y132,0)&lt;=0,1,
ROUND((T132-V132)/Y132,0))))),"")</f>
        <v/>
      </c>
      <c r="AA132" t="str">
        <f t="shared" si="38"/>
        <v/>
      </c>
      <c r="AC132" t="str">
        <f t="shared" ca="1" si="39"/>
        <v/>
      </c>
      <c r="AD132" t="str">
        <f t="array" aca="1" ref="AD132" ca="1">IFERROR(SMALL(IF(AC$1:AC$311&lt;&gt;0,AC$1:AC$311),ROW(A132)),"")</f>
        <v/>
      </c>
    </row>
    <row r="133" spans="17:30">
      <c r="Q133" s="191" t="str">
        <f>""</f>
        <v/>
      </c>
      <c r="R133" s="191" t="str">
        <f ca="1">IF(T133&lt;&gt;"",まとめ札【15時】!A6&amp;"【4】","")</f>
        <v/>
      </c>
      <c r="S133" s="191" t="str">
        <f>""</f>
        <v/>
      </c>
      <c r="T133" s="191" t="str">
        <f ca="1">IF(まとめ札【15時】!N6&lt;&gt;"",まとめ札【15時】!N6,"")</f>
        <v/>
      </c>
      <c r="U133" s="191" t="str">
        <f>""</f>
        <v/>
      </c>
      <c r="V133" s="191" t="str">
        <f>""</f>
        <v/>
      </c>
      <c r="W133" s="194" t="str">
        <f t="shared" ca="1" si="37"/>
        <v/>
      </c>
      <c r="Y133" t="str">
        <f>IF(Q133&lt;&gt;"",
IF(COUNTIF(S133,"*キャラ*"),
VLOOKUP("*キャラ*",商品マスタ!$D:$E,2,FALSE),
IF(COUNTIF(S133,"*赤*"),
VLOOKUP("*赤*",商品マスタ!$D:$E,2,FALSE),
VLOOKUP("*"&amp;S133&amp;"*",商品マスタ!$D:$E,2,FALSE))),"")</f>
        <v/>
      </c>
      <c r="Z133" t="str">
        <f t="shared" si="40"/>
        <v/>
      </c>
      <c r="AA133" t="str">
        <f t="shared" si="38"/>
        <v/>
      </c>
      <c r="AC133" t="str">
        <f t="shared" ca="1" si="39"/>
        <v/>
      </c>
      <c r="AD133" t="str">
        <f t="array" aca="1" ref="AD133" ca="1">IFERROR(SMALL(IF(AC$1:AC$311&lt;&gt;0,AC$1:AC$311),ROW(A133)),"")</f>
        <v/>
      </c>
    </row>
    <row r="134" spans="17:30">
      <c r="Q134" s="191" t="str">
        <f>""</f>
        <v/>
      </c>
      <c r="R134" s="191" t="str">
        <f ca="1">IF(T134&lt;&gt;"",まとめ札【15時】!A7&amp;"【4】","")</f>
        <v/>
      </c>
      <c r="S134" s="191" t="str">
        <f>""</f>
        <v/>
      </c>
      <c r="T134" s="191" t="str">
        <f ca="1">IF(まとめ札【15時】!N7&lt;&gt;"",まとめ札【15時】!N7,"")</f>
        <v/>
      </c>
      <c r="U134" s="191" t="str">
        <f>""</f>
        <v/>
      </c>
      <c r="V134" s="191" t="str">
        <f>""</f>
        <v/>
      </c>
      <c r="W134" s="194" t="str">
        <f t="shared" ca="1" si="37"/>
        <v/>
      </c>
      <c r="Y134" t="str">
        <f>IF(Q134&lt;&gt;"",
IF(COUNTIF(S134,"*キャラ*"),
VLOOKUP("*キャラ*",商品マスタ!$D:$E,2,FALSE),
IF(COUNTIF(S134,"*赤*"),
VLOOKUP("*赤*",商品マスタ!$D:$E,2,FALSE),
VLOOKUP("*"&amp;S134&amp;"*",商品マスタ!$D:$E,2,FALSE))),"")</f>
        <v/>
      </c>
      <c r="Z134" t="str">
        <f t="shared" si="40"/>
        <v/>
      </c>
      <c r="AA134" t="str">
        <f t="shared" si="38"/>
        <v/>
      </c>
      <c r="AC134" t="str">
        <f t="shared" ca="1" si="39"/>
        <v/>
      </c>
      <c r="AD134" t="str">
        <f t="array" aca="1" ref="AD134" ca="1">IFERROR(SMALL(IF(AC$1:AC$311&lt;&gt;0,AC$1:AC$311),ROW(A134)),"")</f>
        <v/>
      </c>
    </row>
    <row r="135" spans="17:30">
      <c r="Q135" s="191" t="str">
        <f>""</f>
        <v/>
      </c>
      <c r="R135" s="191" t="str">
        <f ca="1">IF(T135&lt;&gt;"",まとめ札【15時】!A8&amp;"【4】","")</f>
        <v/>
      </c>
      <c r="S135" s="191" t="str">
        <f>""</f>
        <v/>
      </c>
      <c r="T135" s="191" t="str">
        <f ca="1">IF(まとめ札【15時】!N8&lt;&gt;"",まとめ札【15時】!N8,"")</f>
        <v/>
      </c>
      <c r="U135" s="191" t="str">
        <f>""</f>
        <v/>
      </c>
      <c r="V135" s="191" t="str">
        <f>""</f>
        <v/>
      </c>
      <c r="W135" s="194" t="str">
        <f t="shared" ca="1" si="37"/>
        <v/>
      </c>
      <c r="Y135" t="str">
        <f>IF(Q135&lt;&gt;"",
IF(COUNTIF(S135,"*キャラ*"),
VLOOKUP("*キャラ*",商品マスタ!$D:$E,2,FALSE),
IF(COUNTIF(S135,"*赤*"),
VLOOKUP("*赤*",商品マスタ!$D:$E,2,FALSE),
VLOOKUP("*"&amp;S135&amp;"*",商品マスタ!$D:$E,2,FALSE))),"")</f>
        <v/>
      </c>
      <c r="Z135" t="str">
        <f t="shared" si="40"/>
        <v/>
      </c>
      <c r="AA135" t="str">
        <f t="shared" si="38"/>
        <v/>
      </c>
      <c r="AC135" t="str">
        <f t="shared" ca="1" si="39"/>
        <v/>
      </c>
      <c r="AD135" t="str">
        <f t="array" aca="1" ref="AD135" ca="1">IFERROR(SMALL(IF(AC$1:AC$311&lt;&gt;0,AC$1:AC$311),ROW(A135)),"")</f>
        <v/>
      </c>
    </row>
    <row r="136" spans="17:30">
      <c r="Q136" s="191" t="str">
        <f>""</f>
        <v/>
      </c>
      <c r="R136" s="191" t="str">
        <f>IF(T136&lt;&gt;"",まとめ札【15時】!A9&amp;"【4】","")</f>
        <v/>
      </c>
      <c r="S136" s="191" t="str">
        <f>""</f>
        <v/>
      </c>
      <c r="T136" s="191" t="str">
        <f>IF(まとめ札【15時】!N9&lt;&gt;"",まとめ札【15時】!N9,"")</f>
        <v/>
      </c>
      <c r="U136" s="191" t="str">
        <f>""</f>
        <v/>
      </c>
      <c r="V136" s="191" t="str">
        <f>""</f>
        <v/>
      </c>
      <c r="W136" s="194" t="str">
        <f t="shared" si="37"/>
        <v/>
      </c>
      <c r="Y136" t="str">
        <f>IF(Q136&lt;&gt;"",
IF(COUNTIF(S136,"*キャラ*"),
VLOOKUP("*キャラ*",商品マスタ!$D:$E,2,FALSE),
IF(COUNTIF(S136,"*赤*"),
VLOOKUP("*赤*",商品マスタ!$D:$E,2,FALSE),
VLOOKUP("*"&amp;S136&amp;"*",商品マスタ!$D:$E,2,FALSE))),"")</f>
        <v/>
      </c>
      <c r="Z136" t="str">
        <f t="shared" si="40"/>
        <v/>
      </c>
      <c r="AA136" t="str">
        <f t="shared" si="38"/>
        <v/>
      </c>
      <c r="AC136" t="str">
        <f t="shared" si="39"/>
        <v/>
      </c>
      <c r="AD136" t="str">
        <f t="array" aca="1" ref="AD136" ca="1">IFERROR(SMALL(IF(AC$1:AC$311&lt;&gt;0,AC$1:AC$311),ROW(A136)),"")</f>
        <v/>
      </c>
    </row>
    <row r="137" spans="17:30">
      <c r="Q137" s="191" t="str">
        <f>""</f>
        <v/>
      </c>
      <c r="R137" s="191" t="str">
        <f>IF(T137&lt;&gt;"",まとめ札【15時】!A10&amp;"【4】","")</f>
        <v/>
      </c>
      <c r="S137" s="191" t="str">
        <f>""</f>
        <v/>
      </c>
      <c r="T137" s="191" t="str">
        <f>IF(まとめ札【15時】!N10&lt;&gt;"",まとめ札【15時】!N10,"")</f>
        <v/>
      </c>
      <c r="U137" s="191" t="str">
        <f>""</f>
        <v/>
      </c>
      <c r="V137" s="191" t="str">
        <f>""</f>
        <v/>
      </c>
      <c r="W137" s="194" t="str">
        <f t="shared" si="37"/>
        <v/>
      </c>
      <c r="Y137" t="str">
        <f>IF(Q137&lt;&gt;"",
IF(COUNTIF(S137,"*キャラ*"),
VLOOKUP("*キャラ*",商品マスタ!$D:$E,2,FALSE),
IF(COUNTIF(S137,"*赤*"),
VLOOKUP("*赤*",商品マスタ!$D:$E,2,FALSE),
VLOOKUP("*"&amp;S137&amp;"*",商品マスタ!$D:$E,2,FALSE))),"")</f>
        <v/>
      </c>
      <c r="Z137" t="str">
        <f t="shared" si="40"/>
        <v/>
      </c>
      <c r="AA137" t="str">
        <f t="shared" si="38"/>
        <v/>
      </c>
      <c r="AC137" t="str">
        <f t="shared" si="39"/>
        <v/>
      </c>
      <c r="AD137" t="str">
        <f t="array" aca="1" ref="AD137" ca="1">IFERROR(SMALL(IF(AC$1:AC$311&lt;&gt;0,AC$1:AC$311),ROW(A137)),"")</f>
        <v/>
      </c>
    </row>
    <row r="138" spans="17:30">
      <c r="Q138" s="197" t="str">
        <f ca="1">IF(R138&lt;&gt;"",5100,"")</f>
        <v/>
      </c>
      <c r="R138" s="197" t="str">
        <f ca="1">IF(COUNTIF(R1:R50,"*雙葉*"),
IF(COUNTIF(X1:X50,"*B*"),"",
"雙葉小学校 web"),"")</f>
        <v/>
      </c>
      <c r="S138" s="197" t="str" cm="1">
        <f t="array" aca="1" ref="S138" ca="1">IF(R138&lt;&gt;"",
IF(COUNTIF($R$1:$R$50,"*雙葉*")=1,INDIRECT("S"&amp;MATCH("*雙葉*",$R$1:$R$50,0)),""),"")</f>
        <v/>
      </c>
      <c r="T138" s="197" t="str">
        <f t="array" aca="1" ref="T138" ca="1">IF(R138&lt;&gt;"",
INDIRECT("'盛付札（関数）'!H"&amp;MATCH("*雙葉*",'盛付札（関数）'!C1:C70,0)&amp;""),"")</f>
        <v/>
      </c>
      <c r="U138" s="197" t="str">
        <f t="array" aca="1" ref="U138" ca="1">IF(R138&lt;&gt;"",
INDIRECT("'盛付札（関数）'!I"&amp;MATCH("*雙葉*",'盛付札（関数）'!C1:C70,0)&amp;""),"")</f>
        <v/>
      </c>
      <c r="V138" s="197" t="str">
        <f t="array" aca="1" ref="V138" ca="1">IF(R138&lt;&gt;"",
INDIRECT("'盛付札（関数）'!M"&amp;MATCH("*雙葉*",'盛付札（関数）'!C1:C70,0)&amp;""),"")</f>
        <v/>
      </c>
      <c r="W138" s="197" t="str">
        <f t="array" aca="1" ref="W138" ca="1">IF(R138&lt;&gt;"",
INDIRECT("'盛付札（関数）'!J"&amp;MATCH("*雙葉*",'盛付札（関数）'!C1:C70,0)&amp;""),"")</f>
        <v/>
      </c>
      <c r="Y138" t="str">
        <f ca="1">IF(Q138&lt;&gt;"",
IF(COUNTIF(S138,"*キャラ*"),
VLOOKUP("*キャラ*",商品マスタ!$D:$E,2,FALSE),
IF(COUNTIF(S138,"*赤*"),
VLOOKUP("*赤*",商品マスタ!$D:$E,2,FALSE),
VLOOKUP("*"&amp;S138&amp;"*",商品マスタ!$D:$E,2,FALSE))),"")</f>
        <v/>
      </c>
      <c r="Z138" t="str">
        <f t="shared" ca="1" si="40"/>
        <v/>
      </c>
      <c r="AA138" t="str">
        <f t="shared" ca="1" si="38"/>
        <v/>
      </c>
      <c r="AC138" t="str">
        <f t="shared" ca="1" si="39"/>
        <v/>
      </c>
      <c r="AD138" t="str">
        <f t="array" aca="1" ref="AD138" ca="1">IFERROR(SMALL(IF(AC$1:AC$311&lt;&gt;0,AC$1:AC$311),ROW(A138)),"")</f>
        <v/>
      </c>
    </row>
    <row r="139" spans="17:30">
      <c r="Q139" s="197" t="str">
        <f ca="1">IF(R139&lt;&gt;"",5100,"")</f>
        <v/>
      </c>
      <c r="R139" s="197" t="str">
        <f ca="1">IF(COUNTIF(R1:R50,"*雙葉*"),
IF(COUNTIF(X1:X50,"*D*"),"",
"雙葉小学校 web"),"")</f>
        <v/>
      </c>
      <c r="S139" s="197" t="str" cm="1">
        <f t="array" aca="1" ref="S139" ca="1">IF(R139&lt;&gt;"",
IF(COUNTIF($R$1:$R$50,"*雙葉*")=1,INDIRECT("S"&amp;MATCH("*雙葉*",$R$1:$R$50,0)),""),"")</f>
        <v/>
      </c>
      <c r="T139" s="197" t="str">
        <f t="array" aca="1" ref="T139" ca="1">IF(R139&lt;&gt;"",
INDIRECT("'盛付札（関数）'!H"&amp;MATCH("*雙葉*",'盛付札（関数）'!C71:C140,0)+70&amp;""),"")</f>
        <v/>
      </c>
      <c r="U139" s="197" t="str">
        <f t="array" aca="1" ref="U139" ca="1">IF(R139&lt;&gt;"",
INDIRECT("'盛付札（関数）'!I"&amp;MATCH("*雙葉*",'盛付札（関数）'!C71:C140,0)+70&amp;""),"")</f>
        <v/>
      </c>
      <c r="V139" s="197" t="str">
        <f t="array" aca="1" ref="V139" ca="1">IF(R139&lt;&gt;"",
INDIRECT("'盛付札（関数）'!M"&amp;MATCH("*雙葉*",'盛付札（関数）'!C71:C140,0)+70&amp;""),"")</f>
        <v/>
      </c>
      <c r="W139" s="197" t="str">
        <f t="array" aca="1" ref="W139" ca="1">IF(R139&lt;&gt;"",
INDIRECT("'盛付札（関数）'!J"&amp;MATCH("*雙葉*",'盛付札（関数）'!C71:C140,0)+70&amp;""),"")</f>
        <v/>
      </c>
      <c r="Y139" t="str">
        <f ca="1">IF(Q139&lt;&gt;"",
IF(COUNTIF(S139,"*キャラ*"),
VLOOKUP("*キャラ*",商品マスタ!$D:$E,2,FALSE),
IF(COUNTIF(S139,"*赤*"),
VLOOKUP("*赤*",商品マスタ!$D:$E,2,FALSE),
VLOOKUP("*"&amp;S139&amp;"*",商品マスタ!$D:$E,2,FALSE))),"")</f>
        <v/>
      </c>
      <c r="Z139" t="str">
        <f t="shared" ca="1" si="40"/>
        <v/>
      </c>
      <c r="AA139" t="str">
        <f t="shared" ca="1" si="38"/>
        <v/>
      </c>
      <c r="AC139" t="str">
        <f t="shared" ca="1" si="39"/>
        <v/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R9"/>
  <sheetViews>
    <sheetView zoomScaleNormal="100" workbookViewId="0">
      <selection activeCell="R2" sqref="R2"/>
    </sheetView>
  </sheetViews>
  <sheetFormatPr defaultRowHeight="18"/>
  <cols>
    <col min="1" max="1" width="23.8984375" style="180" customWidth="1"/>
    <col min="10" max="10" width="8.796875" style="57" customWidth="1"/>
    <col min="15" max="15" width="3.296875" style="180" customWidth="1"/>
  </cols>
  <sheetData>
    <row r="1" spans="1:18">
      <c r="A1"/>
    </row>
    <row r="2" spans="1:18">
      <c r="A2" t="str">
        <f>'数出表_Excel（アレルギー入力）'!H3&amp;" "&amp;'数出表_Excel（アレルギー入力）'!F4</f>
        <v>キャラ弁当 飯あり</v>
      </c>
      <c r="C2">
        <f ca="1">IF('数出表_Excel（アレルギー入力）'!F146&lt;&gt;"",'数出表_Excel（アレルギー入力）'!F146,0)</f>
        <v>0</v>
      </c>
      <c r="D2">
        <f>'数出表_Excel（アレルギー入力）'!G150</f>
        <v>0</v>
      </c>
      <c r="E2">
        <f>IF('数出表_Excel（アレルギー入力）'!F153&lt;&gt;"",'数出表_Excel（アレルギー入力）'!F153,0)</f>
        <v>0</v>
      </c>
      <c r="F2" t="str">
        <f ca="1">IF('数出表_Excel（アレルギー入力）'!F150=0,
IF(AND(K2&lt;&gt;0,K2&gt;-10,K2&lt;10),0,
IF(AND(L2&lt;&gt;0,L2&gt;-13,L2&lt;13),
K2+L2,K2)),'数出表_Excel（アレルギー入力）'!F150)</f>
        <v/>
      </c>
      <c r="G2" t="str">
        <f t="shared" ref="G2:H8" ca="1" si="0">IF(AND(L2&lt;&gt;0,L2&gt;-10,L2&lt;10),0,
IF(AND(M2&lt;&gt;0,M2&gt;-13,M2&lt;13),
L2+M2,L2))</f>
        <v/>
      </c>
      <c r="H2" t="str">
        <f t="shared" ca="1" si="0"/>
        <v/>
      </c>
      <c r="I2" t="str">
        <f t="shared" ref="I2:I8" ca="1" si="1">IF(H2&lt;&gt;"",C2-D2-E2-K2-L2-M2,"")</f>
        <v/>
      </c>
      <c r="K2" t="str">
        <f ca="1">IFERROR(IF(COUNTIF('数出表_Excel（アレルギー入力）'!$AO$1:$AO$147,"*F*"),
IF('数出表_Excel（アレルギー入力）'!F150=0,
IF(C2-D2-E2=0,"",C2-D2-E2),'数出表_Excel（アレルギー入力）'!F150),"")+R2,"")</f>
        <v/>
      </c>
      <c r="L2" t="str">
        <f ca="1">IF(K2&lt;&gt;"",
IF('数出表_Excel（アレルギー入力）'!F150=0,"",
IF('数出表_Excel（アレルギー入力）'!F151=0,C2-D2-E2-'数出表_Excel（アレルギー入力）'!F150,'数出表_Excel（アレルギー入力）'!F151)),"")</f>
        <v/>
      </c>
      <c r="M2" t="str">
        <f ca="1">IF(L2&lt;&gt;"",
IF('数出表_Excel（アレルギー入力）'!F150=0,"",
IF('数出表_Excel（アレルギー入力）'!F151=0,"",
IF('数出表_Excel（アレルギー入力）'!F152=0,C2-D2-E2-'数出表_Excel（アレルギー入力）'!F150-'数出表_Excel（アレルギー入力）'!F151,'数出表_Excel（アレルギー入力）'!F152))),"")</f>
        <v/>
      </c>
      <c r="N2" t="str">
        <f t="shared" ref="N2:N8" ca="1" si="2">IF(M2&lt;&gt;"",C2-D2-E2-K2-L2-M2,"")</f>
        <v/>
      </c>
      <c r="P2" t="str">
        <f>IF(COUNTIF(A2,"*赤*"),"赤","キャラ")</f>
        <v>キャラ</v>
      </c>
      <c r="Q2" t="str">
        <f>IF(COUNTIF(P2,"*キャラ*"),SUBSTITUTE(A2,"キャラ弁当 ",""),SUBSTITUTE(A2,"赤 ",""))</f>
        <v>飯あり</v>
      </c>
      <c r="R2">
        <f ca="1">IF(SUMIFS('盛付札（関数）'!BB:BB,'盛付札（関数）'!AG:AG,"*"&amp;P2&amp;"*",'盛付札（関数）'!AG:AG,"*"&amp;Q2&amp;"*")&lt;0,
0,SUMIFS('盛付札（関数）'!BB:BB,'盛付札（関数）'!AG:AG,"*"&amp;P2&amp;"*",'盛付札（関数）'!AG:AG,"*"&amp;Q2&amp;"*"))</f>
        <v>0</v>
      </c>
    </row>
    <row r="3" spans="1:18">
      <c r="A3" t="str">
        <f>'数出表_Excel（アレルギー入力）'!H3&amp;" "&amp;'数出表_Excel（アレルギー入力）'!H4</f>
        <v>キャラ弁当 おにぎり</v>
      </c>
      <c r="C3">
        <f ca="1">IF('数出表_Excel（アレルギー入力）'!H146&lt;&gt;"",'数出表_Excel（アレルギー入力）'!H146,0)</f>
        <v>0</v>
      </c>
      <c r="D3">
        <f>'数出表_Excel（アレルギー入力）'!I150</f>
        <v>0</v>
      </c>
      <c r="E3">
        <f>IF('数出表_Excel（アレルギー入力）'!H153&lt;&gt;"",'数出表_Excel（アレルギー入力）'!H153,0)</f>
        <v>0</v>
      </c>
      <c r="F3" t="str">
        <f ca="1">IF('数出表_Excel（アレルギー入力）'!H150=0,
IF(AND(K3&lt;&gt;0,K3&gt;-10,K3&lt;10),0,
IF(AND(L3&lt;&gt;0,L3&gt;-13,L3&lt;13),
K3+L3,K3)),'数出表_Excel（アレルギー入力）'!H150)</f>
        <v/>
      </c>
      <c r="G3" t="str">
        <f t="shared" ca="1" si="0"/>
        <v/>
      </c>
      <c r="H3" t="str">
        <f t="shared" ca="1" si="0"/>
        <v/>
      </c>
      <c r="I3" t="str">
        <f t="shared" ca="1" si="1"/>
        <v/>
      </c>
      <c r="K3" t="str">
        <f ca="1">IFERROR(IF(COUNTIF('数出表_Excel（アレルギー入力）'!$AO$1:$AO$147,"*M*"),
IF('数出表_Excel（アレルギー入力）'!H150=0,
IF(C3-D3-E3=0,"",C3-D3-E3),'数出表_Excel（アレルギー入力）'!H150),"")+R3,"")</f>
        <v/>
      </c>
      <c r="L3" t="str">
        <f ca="1">IF(K3&lt;&gt;"",
IF('数出表_Excel（アレルギー入力）'!H150=0,"",
IF('数出表_Excel（アレルギー入力）'!H151=0,C3-D3-E3-'数出表_Excel（アレルギー入力）'!H150,'数出表_Excel（アレルギー入力）'!H151)),"")</f>
        <v/>
      </c>
      <c r="M3" t="str">
        <f ca="1">IF(L3&lt;&gt;"",
IF('数出表_Excel（アレルギー入力）'!H150=0,"",
IF('数出表_Excel（アレルギー入力）'!H151=0,"",
IF('数出表_Excel（アレルギー入力）'!H152=0,C3-D3-E3-'数出表_Excel（アレルギー入力）'!H150-'数出表_Excel（アレルギー入力）'!H151,'数出表_Excel（アレルギー入力）'!H152))),"")</f>
        <v/>
      </c>
      <c r="N3" t="str">
        <f t="shared" ca="1" si="2"/>
        <v/>
      </c>
      <c r="P3" t="str">
        <f t="shared" ref="P3:P8" si="3">IF(COUNTIF(A3,"*赤*"),"赤","キャラ")</f>
        <v>キャラ</v>
      </c>
      <c r="Q3" t="str">
        <f t="shared" ref="Q3:Q8" si="4">IF(COUNTIF(P3,"*キャラ*"),SUBSTITUTE(A3,"キャラ弁当 ",""),SUBSTITUTE(A3,"赤 ",""))</f>
        <v>おにぎり</v>
      </c>
      <c r="R3">
        <f ca="1">IF(SUMIFS('盛付札（関数）'!BB:BB,'盛付札（関数）'!AG:AG,"*"&amp;P3&amp;"*",'盛付札（関数）'!AG:AG,"*"&amp;Q3&amp;"*")&lt;0,
0,SUMIFS('盛付札（関数）'!BB:BB,'盛付札（関数）'!AG:AG,"*"&amp;P3&amp;"*",'盛付札（関数）'!AG:AG,"*"&amp;Q3&amp;"*"))</f>
        <v>0</v>
      </c>
    </row>
    <row r="4" spans="1:18">
      <c r="A4" t="str">
        <f>'数出表_Excel（アレルギー入力）'!H3&amp;" "&amp;'数出表_Excel（アレルギー入力）'!J4</f>
        <v>キャラ弁当 飯なし</v>
      </c>
      <c r="C4">
        <f ca="1">IF('数出表_Excel（アレルギー入力）'!J146&lt;&gt;"",'数出表_Excel（アレルギー入力）'!J146,0)</f>
        <v>0</v>
      </c>
      <c r="D4">
        <f>'数出表_Excel（アレルギー入力）'!K150</f>
        <v>0</v>
      </c>
      <c r="E4">
        <f>IF('数出表_Excel（アレルギー入力）'!J153&lt;&gt;"",'数出表_Excel（アレルギー入力）'!J153,0)</f>
        <v>0</v>
      </c>
      <c r="F4" t="str">
        <f ca="1">IF('数出表_Excel（アレルギー入力）'!J150=0,
IF(AND(K4&lt;&gt;0,K4&gt;-10,K4&lt;10),0,
IF(AND(L4&lt;&gt;0,L4&gt;-13,L4&lt;13),
K4+L4,K4)),'数出表_Excel（アレルギー入力）'!J150)</f>
        <v/>
      </c>
      <c r="G4" t="str">
        <f t="shared" ca="1" si="0"/>
        <v/>
      </c>
      <c r="H4" t="str">
        <f t="shared" ca="1" si="0"/>
        <v/>
      </c>
      <c r="I4" t="str">
        <f t="shared" ca="1" si="1"/>
        <v/>
      </c>
      <c r="K4" t="str">
        <f ca="1">IFERROR(IF(COUNTIF('数出表_Excel（アレルギー入力）'!$AO$1:$AO$147,"*J*"),
IF('数出表_Excel（アレルギー入力）'!J150=0,
IF(C4-D4-E4=0,"",C4-D4-E4),'数出表_Excel（アレルギー入力）'!J150),"")+R4,"")</f>
        <v/>
      </c>
      <c r="L4" t="str">
        <f ca="1">IF(K4&lt;&gt;"",
IF('数出表_Excel（アレルギー入力）'!J150=0,"",
IF('数出表_Excel（アレルギー入力）'!J151=0,C4-D4-E4-'数出表_Excel（アレルギー入力）'!J150,'数出表_Excel（アレルギー入力）'!J151)),"")</f>
        <v/>
      </c>
      <c r="M4" t="str">
        <f ca="1">IF(L4&lt;&gt;"",
IF('数出表_Excel（アレルギー入力）'!J150=0,"",
IF('数出表_Excel（アレルギー入力）'!J151=0,"",
IF('数出表_Excel（アレルギー入力）'!J152=0,C4-D4-E4-'数出表_Excel（アレルギー入力）'!J150-'数出表_Excel（アレルギー入力）'!J151,'数出表_Excel（アレルギー入力）'!J152))),"")</f>
        <v/>
      </c>
      <c r="N4" t="str">
        <f t="shared" ca="1" si="2"/>
        <v/>
      </c>
      <c r="P4" t="str">
        <f t="shared" si="3"/>
        <v>キャラ</v>
      </c>
      <c r="Q4" t="str">
        <f t="shared" si="4"/>
        <v>飯なし</v>
      </c>
      <c r="R4">
        <f ca="1">IF(SUMIFS('盛付札（関数）'!BB:BB,'盛付札（関数）'!AG:AG,"*"&amp;P4&amp;"*",'盛付札（関数）'!AG:AG,"*"&amp;Q4&amp;"*")&lt;0,
0,SUMIFS('盛付札（関数）'!BB:BB,'盛付札（関数）'!AG:AG,"*"&amp;P4&amp;"*",'盛付札（関数）'!AG:AG,"*"&amp;Q4&amp;"*"))</f>
        <v>0</v>
      </c>
    </row>
    <row r="5" spans="1:18">
      <c r="A5" t="str">
        <f>'数出表_Excel（アレルギー入力）'!P3&amp;" "&amp;'数出表_Excel（アレルギー入力）'!L4</f>
        <v>赤 飯あり</v>
      </c>
      <c r="C5">
        <f ca="1">IF('数出表_Excel（アレルギー入力）'!L146&lt;&gt;"",'数出表_Excel（アレルギー入力）'!L146,0)
+IF('数出表_Excel（アレルギー入力）'!N146&lt;&gt;"",'数出表_Excel（アレルギー入力）'!N146,0)</f>
        <v>0</v>
      </c>
      <c r="D5">
        <f>'数出表_Excel（アレルギー入力）'!M150+'数出表_Excel（アレルギー入力）'!O150</f>
        <v>0</v>
      </c>
      <c r="E5">
        <f>IF('数出表_Excel（アレルギー入力）'!L153&lt;&gt;"",'数出表_Excel（アレルギー入力）'!L153,0)</f>
        <v>0</v>
      </c>
      <c r="F5" t="str">
        <f ca="1">IF('数出表_Excel（アレルギー入力）'!L150=0,
IF(AND(K5&lt;&gt;0,K5&gt;-10,K5&lt;10),0,
IF(AND(L5&lt;&gt;0,L5&gt;-13,L5&lt;13),
K5+L5,K5)),'数出表_Excel（アレルギー入力）'!L150)</f>
        <v/>
      </c>
      <c r="G5" t="str">
        <f t="shared" ca="1" si="0"/>
        <v/>
      </c>
      <c r="H5" t="str">
        <f t="shared" ca="1" si="0"/>
        <v/>
      </c>
      <c r="I5" t="str">
        <f t="shared" ca="1" si="1"/>
        <v/>
      </c>
      <c r="K5" t="str">
        <f ca="1">IFERROR(IF(COUNTIF('数出表_Excel（アレルギー入力）'!$AO$1:$AO$147,"*L*"),
IF('数出表_Excel（アレルギー入力）'!L150=0,
IF(C5-D5-E5=0,"",C5-D5-E5),'数出表_Excel（アレルギー入力）'!L150),"")+R5,"")</f>
        <v/>
      </c>
      <c r="L5" t="str">
        <f ca="1">IF(K5&lt;&gt;"",
IF('数出表_Excel（アレルギー入力）'!L150=0,"",
IF('数出表_Excel（アレルギー入力）'!L151=0,C5-D5-E5-'数出表_Excel（アレルギー入力）'!L150,'数出表_Excel（アレルギー入力）'!L151)),"")</f>
        <v/>
      </c>
      <c r="M5" t="str">
        <f ca="1">IF(L5&lt;&gt;"",
IF('数出表_Excel（アレルギー入力）'!L150=0,"",
IF('数出表_Excel（アレルギー入力）'!L151=0,"",
IF('数出表_Excel（アレルギー入力）'!L152=0,C5-D5-E5-'数出表_Excel（アレルギー入力）'!L150-'数出表_Excel（アレルギー入力）'!L151,'数出表_Excel（アレルギー入力）'!L152))),"")</f>
        <v/>
      </c>
      <c r="N5" t="str">
        <f t="shared" ca="1" si="2"/>
        <v/>
      </c>
      <c r="P5" t="str">
        <f t="shared" si="3"/>
        <v>赤</v>
      </c>
      <c r="Q5" t="str">
        <f t="shared" si="4"/>
        <v>飯あり</v>
      </c>
      <c r="R5">
        <f ca="1">IF(SUMIFS('盛付札（関数）'!BB:BB,'盛付札（関数）'!AG:AG,"*"&amp;P5&amp;"*",'盛付札（関数）'!AG:AG,"*"&amp;Q5&amp;"*")&lt;0,
0,SUMIFS('盛付札（関数）'!BB:BB,'盛付札（関数）'!AG:AG,"*"&amp;P5&amp;"*",'盛付札（関数）'!AG:AG,"*"&amp;Q5&amp;"*"))</f>
        <v>0</v>
      </c>
    </row>
    <row r="6" spans="1:18">
      <c r="A6" t="str">
        <f>'数出表_Excel（アレルギー入力）'!P3&amp;" "&amp;'数出表_Excel（アレルギー入力）'!P4&amp;" "&amp;'数出表_Excel（アレルギー入力）'!P5</f>
        <v>赤 おにぎり 三角</v>
      </c>
      <c r="C6">
        <f ca="1">IF('数出表_Excel（アレルギー入力）'!P146&lt;&gt;"",'数出表_Excel（アレルギー入力）'!P146,0)</f>
        <v>0</v>
      </c>
      <c r="D6">
        <f>'数出表_Excel（アレルギー入力）'!Q150</f>
        <v>0</v>
      </c>
      <c r="E6">
        <f>IF('数出表_Excel（アレルギー入力）'!P153&lt;&gt;"",'数出表_Excel（アレルギー入力）'!P153,0)</f>
        <v>0</v>
      </c>
      <c r="F6" t="str">
        <f ca="1">IF('数出表_Excel（アレルギー入力）'!P150=0,
IF(AND(K6&lt;&gt;0,K6&gt;-10,K6&lt;10),0,
IF(AND(L6&lt;&gt;0,L6&gt;-13,L6&lt;13),
K6+L6,K6)),'数出表_Excel（アレルギー入力）'!P150)</f>
        <v/>
      </c>
      <c r="G6" t="str">
        <f t="shared" ca="1" si="0"/>
        <v/>
      </c>
      <c r="H6" t="str">
        <f t="shared" ca="1" si="0"/>
        <v/>
      </c>
      <c r="I6" t="str">
        <f t="shared" ca="1" si="1"/>
        <v/>
      </c>
      <c r="K6" t="str">
        <f ca="1">IFERROR(IF(COUNTIF('数出表_Excel（アレルギー入力）'!$AO$1:$AO$147,"*P*"),
IF('数出表_Excel（アレルギー入力）'!P150=0,
IF(C6-D6-E6=0,"",C6-D6-E6),'数出表_Excel（アレルギー入力）'!P150),"")+R6,"")</f>
        <v/>
      </c>
      <c r="L6" t="str">
        <f ca="1">IF(K6&lt;&gt;"",
IF('数出表_Excel（アレルギー入力）'!P150=0,"",
IF('数出表_Excel（アレルギー入力）'!P151=0,C6-D6-E6-'数出表_Excel（アレルギー入力）'!P150,'数出表_Excel（アレルギー入力）'!P151)),"")</f>
        <v/>
      </c>
      <c r="M6" t="str">
        <f ca="1">IF(L6&lt;&gt;"",
IF('数出表_Excel（アレルギー入力）'!P150=0,"",
IF('数出表_Excel（アレルギー入力）'!P151=0,"",
IF('数出表_Excel（アレルギー入力）'!P152=0,C6-D6-E6-'数出表_Excel（アレルギー入力）'!P150-'数出表_Excel（アレルギー入力）'!P151,'数出表_Excel（アレルギー入力）'!P152))),"")</f>
        <v/>
      </c>
      <c r="N6" t="str">
        <f t="shared" ca="1" si="2"/>
        <v/>
      </c>
      <c r="P6" t="str">
        <f t="shared" si="3"/>
        <v>赤</v>
      </c>
      <c r="Q6" t="str">
        <f t="shared" si="4"/>
        <v>おにぎり 三角</v>
      </c>
      <c r="R6">
        <f ca="1">IF(SUMIFS('盛付札（関数）'!BB:BB,'盛付札（関数）'!AG:AG,"*"&amp;P6&amp;"*",'盛付札（関数）'!AG:AG,"*"&amp;Q6&amp;"*")&lt;0,
0,SUMIFS('盛付札（関数）'!BB:BB,'盛付札（関数）'!AG:AG,"*"&amp;P6&amp;"*",'盛付札（関数）'!AG:AG,"*"&amp;Q6&amp;"*"))</f>
        <v>0</v>
      </c>
    </row>
    <row r="7" spans="1:18">
      <c r="A7" t="str">
        <f>'数出表_Excel（アレルギー入力）'!P3&amp;" "&amp;'数出表_Excel（アレルギー入力）'!R4&amp;" "&amp;'数出表_Excel（アレルギー入力）'!R5</f>
        <v>赤 おにぎり 半俵</v>
      </c>
      <c r="C7">
        <f ca="1">IF('数出表_Excel（アレルギー入力）'!R146&lt;&gt;"",'数出表_Excel（アレルギー入力）'!R146,0)</f>
        <v>0</v>
      </c>
      <c r="D7">
        <f>'数出表_Excel（アレルギー入力）'!S150</f>
        <v>0</v>
      </c>
      <c r="E7">
        <f>IF('数出表_Excel（アレルギー入力）'!R153&lt;&gt;"",'数出表_Excel（アレルギー入力）'!R153,0)</f>
        <v>0</v>
      </c>
      <c r="F7" t="str">
        <f ca="1">IF('数出表_Excel（アレルギー入力）'!R150=0,
IF(AND(K7&lt;&gt;0,K7&gt;-10,K7&lt;10),0,
IF(AND(L7&lt;&gt;0,L7&gt;-13,L7&lt;13),
K7+L7,K7)),'数出表_Excel（アレルギー入力）'!R150)</f>
        <v/>
      </c>
      <c r="G7" t="str">
        <f t="shared" ca="1" si="0"/>
        <v/>
      </c>
      <c r="H7" t="str">
        <f t="shared" ca="1" si="0"/>
        <v/>
      </c>
      <c r="I7" t="str">
        <f t="shared" ca="1" si="1"/>
        <v/>
      </c>
      <c r="K7" t="str">
        <f ca="1">IFERROR(IF(COUNTIF('数出表_Excel（アレルギー入力）'!$AO$1:$AO$147,"*R*"),
IF('数出表_Excel（アレルギー入力）'!R150=0,
IF(C7-D7-E7=0,"",C7-D7-E7),'数出表_Excel（アレルギー入力）'!R150),"")+R7,"")</f>
        <v/>
      </c>
      <c r="L7" t="str">
        <f ca="1">IF(K7&lt;&gt;"",
IF('数出表_Excel（アレルギー入力）'!R150=0,"",
IF('数出表_Excel（アレルギー入力）'!R151=0,C7-D7-E7-'数出表_Excel（アレルギー入力）'!R150,'数出表_Excel（アレルギー入力）'!R151)),"")</f>
        <v/>
      </c>
      <c r="M7" t="str">
        <f ca="1">IF(L7&lt;&gt;"",
IF('数出表_Excel（アレルギー入力）'!R150=0,"",
IF('数出表_Excel（アレルギー入力）'!R151=0,"",
IF('数出表_Excel（アレルギー入力）'!R152=0,C7-D7-E7-'数出表_Excel（アレルギー入力）'!R150-'数出表_Excel（アレルギー入力）'!R151,'数出表_Excel（アレルギー入力）'!R152))),"")</f>
        <v/>
      </c>
      <c r="N7" t="str">
        <f t="shared" ca="1" si="2"/>
        <v/>
      </c>
      <c r="P7" t="str">
        <f t="shared" si="3"/>
        <v>赤</v>
      </c>
      <c r="Q7" t="str">
        <f t="shared" si="4"/>
        <v>おにぎり 半俵</v>
      </c>
      <c r="R7">
        <f ca="1">IF(SUMIFS('盛付札（関数）'!BB:BB,'盛付札（関数）'!AG:AG,"*"&amp;P7&amp;"*",'盛付札（関数）'!AG:AG,"*"&amp;Q7&amp;"*")&lt;0,
0,SUMIFS('盛付札（関数）'!BB:BB,'盛付札（関数）'!AG:AG,"*"&amp;P7&amp;"*",'盛付札（関数）'!AG:AG,"*"&amp;Q7&amp;"*"))</f>
        <v>0</v>
      </c>
    </row>
    <row r="8" spans="1:18">
      <c r="A8" t="str">
        <f>'数出表_Excel（アレルギー入力）'!P3&amp;" "&amp;'数出表_Excel（アレルギー入力）'!T4</f>
        <v>赤 飯なし</v>
      </c>
      <c r="C8">
        <f ca="1">IF('数出表_Excel（アレルギー入力）'!T146&lt;&gt;"",'数出表_Excel（アレルギー入力）'!T146,0)</f>
        <v>0</v>
      </c>
      <c r="D8">
        <f>'数出表_Excel（アレルギー入力）'!U150</f>
        <v>0</v>
      </c>
      <c r="E8">
        <f>IF('数出表_Excel（アレルギー入力）'!T153&lt;&gt;"",'数出表_Excel（アレルギー入力）'!T153,0)</f>
        <v>0</v>
      </c>
      <c r="F8" t="str">
        <f ca="1">IF('数出表_Excel（アレルギー入力）'!T150=0,
IF(AND(K8&lt;&gt;0,K8&gt;-10,K8&lt;10),0,
IF(AND(L8&lt;&gt;0,L8&gt;-13,L8&lt;13),
K8+L8,K8)),'数出表_Excel（アレルギー入力）'!T150)</f>
        <v/>
      </c>
      <c r="G8" t="str">
        <f t="shared" ca="1" si="0"/>
        <v/>
      </c>
      <c r="H8" t="str">
        <f t="shared" ca="1" si="0"/>
        <v/>
      </c>
      <c r="I8" t="str">
        <f t="shared" ca="1" si="1"/>
        <v/>
      </c>
      <c r="K8" t="str">
        <f ca="1">IFERROR(IF(COUNTIF('数出表_Excel（アレルギー入力）'!$AO$1:$AO$147,"*T*"),
IF('数出表_Excel（アレルギー入力）'!T150=0,
IF(C8-D8-E8=0,"",C8-D8-E8),'数出表_Excel（アレルギー入力）'!T150),"")+R8,"")</f>
        <v/>
      </c>
      <c r="L8" t="str">
        <f ca="1">IF(K8&lt;&gt;"",
IF('数出表_Excel（アレルギー入力）'!T150=0,"",
IF('数出表_Excel（アレルギー入力）'!T151=0,C8-D8-E8-'数出表_Excel（アレルギー入力）'!T150,'数出表_Excel（アレルギー入力）'!T151)),"")</f>
        <v/>
      </c>
      <c r="M8" t="str">
        <f ca="1">IF(L8&lt;&gt;"",
IF('数出表_Excel（アレルギー入力）'!T150=0,"",
IF('数出表_Excel（アレルギー入力）'!T151=0,"",
IF('数出表_Excel（アレルギー入力）'!T152=0,C8-D8-E8-'数出表_Excel（アレルギー入力）'!T150-'数出表_Excel（アレルギー入力）'!T151,'数出表_Excel（アレルギー入力）'!T152))),"")</f>
        <v/>
      </c>
      <c r="N8" t="str">
        <f t="shared" ca="1" si="2"/>
        <v/>
      </c>
      <c r="P8" t="str">
        <f t="shared" si="3"/>
        <v>赤</v>
      </c>
      <c r="Q8" t="str">
        <f t="shared" si="4"/>
        <v>飯なし</v>
      </c>
      <c r="R8">
        <f ca="1">IF(SUMIFS('盛付札（関数）'!BB:BB,'盛付札（関数）'!AG:AG,"*"&amp;P8&amp;"*",'盛付札（関数）'!AG:AG,"*"&amp;Q8&amp;"*")&lt;0,
0,SUMIFS('盛付札（関数）'!BB:BB,'盛付札（関数）'!AG:AG,"*"&amp;P8&amp;"*",'盛付札（関数）'!AG:AG,"*"&amp;Q8&amp;"*"))</f>
        <v>0</v>
      </c>
    </row>
    <row r="9" spans="1:18">
      <c r="A9" t="str">
        <f ca="1">社食等の札!A1&amp;" "&amp;社食等の札!H1&amp;" "&amp;社食等の札!I1</f>
        <v xml:space="preserve">社食  </v>
      </c>
      <c r="C9" t="e">
        <f ca="1">社食等の札!E1</f>
        <v>#N/A</v>
      </c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ET47"/>
  <sheetViews>
    <sheetView zoomScale="70" zoomScaleNormal="70" zoomScalePageLayoutView="55" workbookViewId="0">
      <selection activeCell="J33" sqref="J33:M33"/>
    </sheetView>
  </sheetViews>
  <sheetFormatPr defaultRowHeight="22.2"/>
  <cols>
    <col min="1" max="1" width="2.796875" style="46" customWidth="1"/>
    <col min="2" max="2" width="8.09765625" style="180" customWidth="1"/>
    <col min="3" max="5" width="7.59765625" style="180" customWidth="1"/>
    <col min="6" max="6" width="12.19921875" style="180" customWidth="1"/>
    <col min="7" max="7" width="4.09765625" style="38" customWidth="1"/>
    <col min="8" max="8" width="8.8984375" style="180" hidden="1" customWidth="1"/>
    <col min="9" max="9" width="8.19921875" style="180" customWidth="1"/>
    <col min="10" max="12" width="7.59765625" style="180" customWidth="1"/>
    <col min="13" max="13" width="12.19921875" style="180" customWidth="1"/>
    <col min="14" max="14" width="4.19921875" style="35" customWidth="1"/>
    <col min="15" max="15" width="2.796875" style="180" customWidth="1"/>
    <col min="16" max="16" width="2.796875" style="46" customWidth="1"/>
    <col min="17" max="17" width="8.09765625" style="180" customWidth="1"/>
    <col min="18" max="20" width="7.59765625" style="180" customWidth="1"/>
    <col min="21" max="21" width="12.19921875" style="180" customWidth="1"/>
    <col min="22" max="22" width="4.09765625" style="38" customWidth="1"/>
    <col min="23" max="23" width="8.8984375" style="180" hidden="1" customWidth="1"/>
    <col min="24" max="24" width="8.19921875" style="180" customWidth="1"/>
    <col min="25" max="27" width="7.59765625" style="180" customWidth="1"/>
    <col min="28" max="28" width="12.19921875" style="180" customWidth="1"/>
    <col min="29" max="29" width="4.19921875" style="35" customWidth="1"/>
    <col min="30" max="30" width="2.796875" style="180" customWidth="1"/>
    <col min="31" max="31" width="2.796875" style="46" customWidth="1"/>
    <col min="32" max="32" width="8.09765625" style="180" customWidth="1"/>
    <col min="33" max="35" width="7.59765625" style="180" customWidth="1"/>
    <col min="36" max="36" width="12.19921875" style="180" customWidth="1"/>
    <col min="37" max="37" width="4.09765625" style="38" customWidth="1"/>
    <col min="38" max="38" width="8.8984375" style="180" hidden="1" customWidth="1"/>
    <col min="39" max="39" width="8.19921875" style="180" customWidth="1"/>
    <col min="40" max="42" width="7.59765625" style="180" customWidth="1"/>
    <col min="43" max="43" width="12.19921875" style="180" customWidth="1"/>
    <col min="44" max="44" width="4.19921875" style="35" customWidth="1"/>
    <col min="45" max="45" width="2.796875" style="180" customWidth="1"/>
    <col min="46" max="46" width="2.796875" style="46" customWidth="1"/>
    <col min="47" max="47" width="8.09765625" style="180" customWidth="1"/>
    <col min="48" max="50" width="7.59765625" style="180" customWidth="1"/>
    <col min="51" max="51" width="12.19921875" style="180" customWidth="1"/>
    <col min="52" max="52" width="4.09765625" style="38" customWidth="1"/>
    <col min="53" max="53" width="8.8984375" style="180" hidden="1" customWidth="1"/>
    <col min="54" max="54" width="8.19921875" style="180" customWidth="1"/>
    <col min="55" max="57" width="7.59765625" style="180" customWidth="1"/>
    <col min="58" max="58" width="12.19921875" style="180" customWidth="1"/>
    <col min="59" max="59" width="4.19921875" style="35" customWidth="1"/>
    <col min="60" max="60" width="2.796875" style="180" customWidth="1"/>
    <col min="61" max="61" width="2.796875" style="46" customWidth="1"/>
    <col min="62" max="62" width="8.09765625" style="180" customWidth="1"/>
    <col min="63" max="65" width="7.59765625" style="180" customWidth="1"/>
    <col min="66" max="66" width="12.19921875" style="180" customWidth="1"/>
    <col min="67" max="67" width="4.09765625" style="38" customWidth="1"/>
    <col min="68" max="68" width="8.8984375" style="180" hidden="1" customWidth="1"/>
    <col min="69" max="69" width="8.19921875" style="180" customWidth="1"/>
    <col min="70" max="72" width="7.59765625" style="180" customWidth="1"/>
    <col min="73" max="73" width="12.19921875" style="180" customWidth="1"/>
    <col min="74" max="74" width="4.19921875" style="35" customWidth="1"/>
    <col min="75" max="75" width="2.796875" style="180" customWidth="1"/>
    <col min="76" max="76" width="2.796875" style="46" customWidth="1"/>
    <col min="77" max="77" width="8.09765625" style="180" customWidth="1"/>
    <col min="78" max="80" width="7.59765625" style="180" customWidth="1"/>
    <col min="81" max="81" width="12.19921875" style="180" customWidth="1"/>
    <col min="82" max="82" width="4.09765625" style="38" customWidth="1"/>
    <col min="83" max="83" width="8.8984375" style="180" hidden="1" customWidth="1"/>
    <col min="84" max="84" width="8.19921875" style="180" customWidth="1"/>
    <col min="85" max="87" width="7.59765625" style="180" customWidth="1"/>
    <col min="88" max="88" width="12.19921875" style="180" customWidth="1"/>
    <col min="89" max="89" width="4.19921875" style="35" customWidth="1"/>
    <col min="90" max="90" width="2.796875" style="180" customWidth="1"/>
    <col min="91" max="91" width="2.796875" style="46" customWidth="1"/>
    <col min="92" max="92" width="8.09765625" style="180" customWidth="1"/>
    <col min="93" max="95" width="7.59765625" style="180" customWidth="1"/>
    <col min="96" max="96" width="12.19921875" style="180" customWidth="1"/>
    <col min="97" max="97" width="4.09765625" style="38" customWidth="1"/>
    <col min="98" max="98" width="8.8984375" style="180" hidden="1" customWidth="1"/>
    <col min="99" max="99" width="8.19921875" style="180" customWidth="1"/>
    <col min="100" max="102" width="7.59765625" style="180" customWidth="1"/>
    <col min="103" max="103" width="12.19921875" style="180" customWidth="1"/>
    <col min="104" max="104" width="4.19921875" style="35" customWidth="1"/>
    <col min="105" max="105" width="2.796875" style="180" customWidth="1"/>
    <col min="106" max="106" width="2.796875" style="46" customWidth="1"/>
    <col min="107" max="107" width="8.09765625" style="180" customWidth="1"/>
    <col min="108" max="110" width="7.59765625" style="180" customWidth="1"/>
    <col min="111" max="111" width="12.19921875" style="180" customWidth="1"/>
    <col min="112" max="112" width="4.09765625" style="38" customWidth="1"/>
    <col min="113" max="113" width="8.8984375" style="180" hidden="1" customWidth="1"/>
    <col min="114" max="114" width="8.19921875" style="180" customWidth="1"/>
    <col min="115" max="117" width="7.59765625" style="180" customWidth="1"/>
    <col min="118" max="118" width="12.19921875" style="180" customWidth="1"/>
    <col min="119" max="119" width="4.19921875" style="35" customWidth="1"/>
    <col min="120" max="120" width="2.796875" style="180" customWidth="1"/>
    <col min="121" max="121" width="2.796875" style="46" customWidth="1"/>
    <col min="122" max="122" width="8.09765625" style="180" customWidth="1"/>
    <col min="123" max="125" width="7.59765625" style="180" customWidth="1"/>
    <col min="126" max="126" width="12.19921875" style="180" customWidth="1"/>
    <col min="127" max="127" width="4.09765625" style="38" customWidth="1"/>
    <col min="128" max="128" width="8.8984375" style="180" hidden="1" customWidth="1"/>
    <col min="129" max="129" width="8.19921875" style="180" customWidth="1"/>
    <col min="130" max="132" width="7.59765625" style="180" customWidth="1"/>
    <col min="133" max="133" width="12.19921875" style="180" customWidth="1"/>
    <col min="134" max="134" width="4.19921875" style="35" customWidth="1"/>
    <col min="135" max="135" width="2.796875" style="180" customWidth="1"/>
    <col min="136" max="136" width="2.796875" style="46" customWidth="1"/>
    <col min="137" max="137" width="8.09765625" style="180" customWidth="1"/>
    <col min="138" max="140" width="7.59765625" style="180" customWidth="1"/>
    <col min="141" max="141" width="12.19921875" style="180" customWidth="1"/>
    <col min="142" max="142" width="4.09765625" style="38" customWidth="1"/>
    <col min="143" max="143" width="8.8984375" style="180" hidden="1" customWidth="1"/>
    <col min="144" max="144" width="8.19921875" style="180" customWidth="1"/>
    <col min="145" max="147" width="7.59765625" style="180" customWidth="1"/>
    <col min="148" max="148" width="12.19921875" style="180" customWidth="1"/>
    <col min="149" max="149" width="4.19921875" style="35" customWidth="1"/>
    <col min="150" max="150" width="2.796875" style="180" customWidth="1"/>
  </cols>
  <sheetData>
    <row r="1" spans="1:150" s="181" customFormat="1" ht="25.8" customHeight="1">
      <c r="A1" s="30">
        <v>1</v>
      </c>
      <c r="B1" s="40" t="str">
        <f ca="1">IF(C1&lt;&gt;"",
MID(貼り付け用!$A$2, FIND("年",貼り付け用!$A$2)+1,2)&amp;"/"&amp;MID(貼り付け用!$A$2, FIND("月",貼り付け用!$A$2)+1,2),"")</f>
        <v/>
      </c>
      <c r="C1" s="214" t="str">
        <f ca="1">IF(OFFSET(変更先抽出【15時】!$A$1,A1-1,29)&lt;&gt;"",OFFSET(変更先抽出【15時】!$A$1,A1-1,30),"")</f>
        <v/>
      </c>
      <c r="D1" s="215"/>
      <c r="E1" s="215"/>
      <c r="F1" s="215"/>
      <c r="G1" s="39" t="str">
        <f ca="1">IF(C1&lt;&gt;"","様","")</f>
        <v/>
      </c>
      <c r="H1" s="33">
        <f ca="1">IF(OFFSET(変更先抽出【15時】!$A$1,A1+1-1,29)="",A1+2,A1+1)</f>
        <v>3</v>
      </c>
      <c r="I1" s="40" t="str">
        <f ca="1">IF(J1&lt;&gt;"",
MID(貼り付け用!$A$2, FIND("年",貼り付け用!$A$2)+1,2)&amp;"/"&amp;MID(貼り付け用!$A$2, FIND("月",貼り付け用!$A$2)+1,2),"")</f>
        <v/>
      </c>
      <c r="J1" s="214" t="str">
        <f ca="1">IF(OFFSET(変更先抽出【15時】!$A$1,H1-1,29)&lt;&gt;"",OFFSET(変更先抽出【15時】!$A$1,H1-1,30),"")</f>
        <v/>
      </c>
      <c r="K1" s="215"/>
      <c r="L1" s="215"/>
      <c r="M1" s="215"/>
      <c r="N1" s="39" t="str">
        <f ca="1">IF(J1&lt;&gt;"","様","")</f>
        <v/>
      </c>
      <c r="O1" s="22"/>
      <c r="P1" s="30">
        <f ca="1">IF(OFFSET(変更先抽出【15時】!$A$1,H41+1-1,29)="",H41+2,H41+1)</f>
        <v>25</v>
      </c>
      <c r="Q1" s="40" t="str">
        <f ca="1">IF(R1&lt;&gt;"",
MID(貼り付け用!$A$2, FIND("年",貼り付け用!$A$2)+1,2)&amp;"/"&amp;MID(貼り付け用!$A$2, FIND("月",貼り付け用!$A$2)+1,2),"")</f>
        <v/>
      </c>
      <c r="R1" s="214" t="str">
        <f ca="1">IF(OFFSET(変更先抽出【15時】!$A$1,P1-1,29)&lt;&gt;"",OFFSET(変更先抽出【15時】!$A$1,P1-1,30),"")</f>
        <v/>
      </c>
      <c r="S1" s="215"/>
      <c r="T1" s="215"/>
      <c r="U1" s="215"/>
      <c r="V1" s="39" t="str">
        <f ca="1">IF(R1&lt;&gt;"","様","")</f>
        <v/>
      </c>
      <c r="W1" s="33">
        <f ca="1">IF(OFFSET(変更先抽出【15時】!$A$1,P1+1-1,29)="",P1+2,P1+1)</f>
        <v>27</v>
      </c>
      <c r="X1" s="40" t="str">
        <f ca="1">IF(Y1&lt;&gt;"",
MID(貼り付け用!$A$2, FIND("年",貼り付け用!$A$2)+1,2)&amp;"/"&amp;MID(貼り付け用!$A$2, FIND("月",貼り付け用!$A$2)+1,2),"")</f>
        <v/>
      </c>
      <c r="Y1" s="214" t="str">
        <f ca="1">IF(OFFSET(変更先抽出【15時】!$A$1,W1-1,29)&lt;&gt;"",OFFSET(変更先抽出【15時】!$A$1,W1-1,30),"")</f>
        <v/>
      </c>
      <c r="Z1" s="215"/>
      <c r="AA1" s="215"/>
      <c r="AB1" s="215"/>
      <c r="AC1" s="39" t="str">
        <f ca="1">IF(Y1&lt;&gt;"","様","")</f>
        <v/>
      </c>
      <c r="AD1" s="22"/>
      <c r="AE1" s="30">
        <f ca="1">IF(OFFSET(変更先抽出【15時】!$A$1,W41+1-1,29)="",W41+2,W41+1)</f>
        <v>49</v>
      </c>
      <c r="AF1" s="40" t="str">
        <f ca="1">IF(AG1&lt;&gt;"",
MID(貼り付け用!$A$2, FIND("年",貼り付け用!$A$2)+1,2)&amp;"/"&amp;MID(貼り付け用!$A$2, FIND("月",貼り付け用!$A$2)+1,2),"")</f>
        <v/>
      </c>
      <c r="AG1" s="214" t="str">
        <f ca="1">IF(OFFSET(変更先抽出【15時】!$A$1,AE1-1,29)&lt;&gt;"",OFFSET(変更先抽出【15時】!$A$1,AE1-1,30),"")</f>
        <v/>
      </c>
      <c r="AH1" s="215"/>
      <c r="AI1" s="215"/>
      <c r="AJ1" s="215"/>
      <c r="AK1" s="39" t="str">
        <f ca="1">IF(AG1&lt;&gt;"","様","")</f>
        <v/>
      </c>
      <c r="AL1" s="33">
        <f ca="1">IF(OFFSET(変更先抽出【15時】!$A$1,AE1+1-1,29)="",AE1+2,AE1+1)</f>
        <v>51</v>
      </c>
      <c r="AM1" s="40" t="str">
        <f ca="1">IF(AN1&lt;&gt;"",
MID(貼り付け用!$A$2, FIND("年",貼り付け用!$A$2)+1,2)&amp;"/"&amp;MID(貼り付け用!$A$2, FIND("月",貼り付け用!$A$2)+1,2),"")</f>
        <v/>
      </c>
      <c r="AN1" s="214" t="str">
        <f ca="1">IF(OFFSET(変更先抽出【15時】!$A$1,AL1-1,29)&lt;&gt;"",OFFSET(変更先抽出【15時】!$A$1,AL1-1,30),"")</f>
        <v/>
      </c>
      <c r="AO1" s="215"/>
      <c r="AP1" s="215"/>
      <c r="AQ1" s="215"/>
      <c r="AR1" s="39" t="str">
        <f ca="1">IF(AN1&lt;&gt;"","様","")</f>
        <v/>
      </c>
      <c r="AS1" s="22"/>
      <c r="AT1" s="30">
        <f ca="1">IF(OFFSET(変更先抽出【15時】!$A$1,AL41+1-1,29)="",AL41+2,AL41+1)</f>
        <v>73</v>
      </c>
      <c r="AU1" s="40" t="str">
        <f ca="1">IF(AV1&lt;&gt;"",
MID(貼り付け用!$A$2, FIND("年",貼り付け用!$A$2)+1,2)&amp;"/"&amp;MID(貼り付け用!$A$2, FIND("月",貼り付け用!$A$2)+1,2),"")</f>
        <v/>
      </c>
      <c r="AV1" s="214" t="str">
        <f ca="1">IF(OFFSET(変更先抽出【15時】!$A$1,AT1-1,29)&lt;&gt;"",OFFSET(変更先抽出【15時】!$A$1,AT1-1,30),"")</f>
        <v/>
      </c>
      <c r="AW1" s="215"/>
      <c r="AX1" s="215"/>
      <c r="AY1" s="215"/>
      <c r="AZ1" s="39" t="str">
        <f ca="1">IF(AV1&lt;&gt;"","様","")</f>
        <v/>
      </c>
      <c r="BA1" s="33">
        <f ca="1">IF(OFFSET(変更先抽出【15時】!$A$1,AT1+1-1,29)="",AT1+2,AT1+1)</f>
        <v>75</v>
      </c>
      <c r="BB1" s="40" t="str">
        <f ca="1">IF(BC1&lt;&gt;"",
MID(貼り付け用!$A$2, FIND("年",貼り付け用!$A$2)+1,2)&amp;"/"&amp;MID(貼り付け用!$A$2, FIND("月",貼り付け用!$A$2)+1,2),"")</f>
        <v/>
      </c>
      <c r="BC1" s="214" t="str">
        <f ca="1">IF(OFFSET(変更先抽出【15時】!$A$1,BA1-1,29)&lt;&gt;"",OFFSET(変更先抽出【15時】!$A$1,BA1-1,30),"")</f>
        <v/>
      </c>
      <c r="BD1" s="215"/>
      <c r="BE1" s="215"/>
      <c r="BF1" s="215"/>
      <c r="BG1" s="39" t="str">
        <f ca="1">IF(BC1&lt;&gt;"","様","")</f>
        <v/>
      </c>
      <c r="BH1" s="22"/>
      <c r="BI1" s="30">
        <f ca="1">IF(OFFSET(変更先抽出【15時】!$A$1,BA41+1-1,29)="",BA41+2,BA41+1)</f>
        <v>97</v>
      </c>
      <c r="BJ1" s="40" t="str">
        <f ca="1">IF(BK1&lt;&gt;"",
MID(貼り付け用!$A$2, FIND("年",貼り付け用!$A$2)+1,2)&amp;"/"&amp;MID(貼り付け用!$A$2, FIND("月",貼り付け用!$A$2)+1,2),"")</f>
        <v/>
      </c>
      <c r="BK1" s="214" t="str">
        <f ca="1">IF(OFFSET(変更先抽出【15時】!$A$1,BI1-1,29)&lt;&gt;"",OFFSET(変更先抽出【15時】!$A$1,BI1-1,30),"")</f>
        <v/>
      </c>
      <c r="BL1" s="215"/>
      <c r="BM1" s="215"/>
      <c r="BN1" s="215"/>
      <c r="BO1" s="39" t="str">
        <f ca="1">IF(BK1&lt;&gt;"","様","")</f>
        <v/>
      </c>
      <c r="BP1" s="33">
        <f ca="1">IF(OFFSET(変更先抽出【15時】!$A$1,BI1+1-1,29)="",BI1+2,BI1+1)</f>
        <v>99</v>
      </c>
      <c r="BQ1" s="40" t="str">
        <f ca="1">IF(BR1&lt;&gt;"",
MID(貼り付け用!$A$2, FIND("年",貼り付け用!$A$2)+1,2)&amp;"/"&amp;MID(貼り付け用!$A$2, FIND("月",貼り付け用!$A$2)+1,2),"")</f>
        <v/>
      </c>
      <c r="BR1" s="214" t="str">
        <f ca="1">IF(OFFSET(変更先抽出【15時】!$A$1,BP1-1,29)&lt;&gt;"",OFFSET(変更先抽出【15時】!$A$1,BP1-1,30),"")</f>
        <v/>
      </c>
      <c r="BS1" s="215"/>
      <c r="BT1" s="215"/>
      <c r="BU1" s="215"/>
      <c r="BV1" s="39" t="str">
        <f ca="1">IF(BR1&lt;&gt;"","様","")</f>
        <v/>
      </c>
      <c r="BW1" s="22"/>
      <c r="BX1" s="30">
        <f ca="1">IF(OFFSET(変更先抽出【15時】!$A$1,BP41+1-1,29)="",BP41+2,BP41+1)</f>
        <v>121</v>
      </c>
      <c r="BY1" s="40" t="str">
        <f ca="1">IF(BZ1&lt;&gt;"",
MID(貼り付け用!$A$2, FIND("年",貼り付け用!$A$2)+1,2)&amp;"/"&amp;MID(貼り付け用!$A$2, FIND("月",貼り付け用!$A$2)+1,2),"")</f>
        <v/>
      </c>
      <c r="BZ1" s="214" t="str">
        <f ca="1">IF(OFFSET(変更先抽出【15時】!$A$1,BX1-1,29)&lt;&gt;"",OFFSET(変更先抽出【15時】!$A$1,BX1-1,30),"")</f>
        <v/>
      </c>
      <c r="CA1" s="215"/>
      <c r="CB1" s="215"/>
      <c r="CC1" s="215"/>
      <c r="CD1" s="39" t="str">
        <f ca="1">IF(BZ1&lt;&gt;"","様","")</f>
        <v/>
      </c>
      <c r="CE1" s="33">
        <f ca="1">IF(OFFSET(変更先抽出【15時】!$A$1,BX1+1-1,29)="",BX1+2,BX1+1)</f>
        <v>123</v>
      </c>
      <c r="CF1" s="40" t="str">
        <f ca="1">IF(CG1&lt;&gt;"",
MID(貼り付け用!$A$2, FIND("年",貼り付け用!$A$2)+1,2)&amp;"/"&amp;MID(貼り付け用!$A$2, FIND("月",貼り付け用!$A$2)+1,2),"")</f>
        <v/>
      </c>
      <c r="CG1" s="214" t="str">
        <f ca="1">IF(OFFSET(変更先抽出【15時】!$A$1,CE1-1,29)&lt;&gt;"",OFFSET(変更先抽出【15時】!$A$1,CE1-1,30),"")</f>
        <v/>
      </c>
      <c r="CH1" s="215"/>
      <c r="CI1" s="215"/>
      <c r="CJ1" s="215"/>
      <c r="CK1" s="39" t="str">
        <f ca="1">IF(CG1&lt;&gt;"","様","")</f>
        <v/>
      </c>
      <c r="CL1" s="22"/>
      <c r="CM1" s="30">
        <f ca="1">IF(OFFSET(変更先抽出【15時】!$A$1,CE41+1-1,29)="",CE41+2,CE41+1)</f>
        <v>145</v>
      </c>
      <c r="CN1" s="40" t="str">
        <f ca="1">IF(CO1&lt;&gt;"",
MID(貼り付け用!$A$2, FIND("年",貼り付け用!$A$2)+1,2)&amp;"/"&amp;MID(貼り付け用!$A$2, FIND("月",貼り付け用!$A$2)+1,2),"")</f>
        <v/>
      </c>
      <c r="CO1" s="214" t="str">
        <f ca="1">IF(OFFSET(変更先抽出【15時】!$A$1,CM1-1,29)&lt;&gt;"",OFFSET(変更先抽出【15時】!$A$1,CM1-1,30),"")</f>
        <v/>
      </c>
      <c r="CP1" s="215"/>
      <c r="CQ1" s="215"/>
      <c r="CR1" s="215"/>
      <c r="CS1" s="39" t="str">
        <f ca="1">IF(CO1&lt;&gt;"","様","")</f>
        <v/>
      </c>
      <c r="CT1" s="33">
        <f ca="1">IF(OFFSET(変更先抽出【15時】!$A$1,CM1+1-1,29)="",CM1+2,CM1+1)</f>
        <v>147</v>
      </c>
      <c r="CU1" s="40" t="str">
        <f ca="1">IF(CV1&lt;&gt;"",
MID(貼り付け用!$A$2, FIND("年",貼り付け用!$A$2)+1,2)&amp;"/"&amp;MID(貼り付け用!$A$2, FIND("月",貼り付け用!$A$2)+1,2),"")</f>
        <v/>
      </c>
      <c r="CV1" s="214" t="str">
        <f ca="1">IF(OFFSET(変更先抽出【15時】!$A$1,CT1-1,29)&lt;&gt;"",OFFSET(変更先抽出【15時】!$A$1,CT1-1,30),"")</f>
        <v/>
      </c>
      <c r="CW1" s="215"/>
      <c r="CX1" s="215"/>
      <c r="CY1" s="215"/>
      <c r="CZ1" s="39" t="str">
        <f ca="1">IF(CV1&lt;&gt;"","様","")</f>
        <v/>
      </c>
      <c r="DA1" s="22"/>
      <c r="DB1" s="30">
        <f ca="1">IF(OFFSET(変更先抽出【15時】!$A$1,CT41+1-1,29)="",CT41+2,CT41+1)</f>
        <v>169</v>
      </c>
      <c r="DC1" s="40" t="str">
        <f ca="1">IF(DD1&lt;&gt;"",
MID(貼り付け用!$A$2, FIND("年",貼り付け用!$A$2)+1,2)&amp;"/"&amp;MID(貼り付け用!$A$2, FIND("月",貼り付け用!$A$2)+1,2),"")</f>
        <v/>
      </c>
      <c r="DD1" s="214" t="str">
        <f ca="1">IF(OFFSET(変更先抽出【15時】!$A$1,DB1-1,29)&lt;&gt;"",OFFSET(変更先抽出【15時】!$A$1,DB1-1,30),"")</f>
        <v/>
      </c>
      <c r="DE1" s="215"/>
      <c r="DF1" s="215"/>
      <c r="DG1" s="215"/>
      <c r="DH1" s="39" t="str">
        <f ca="1">IF(DD1&lt;&gt;"","様","")</f>
        <v/>
      </c>
      <c r="DI1" s="33">
        <f ca="1">IF(OFFSET(変更先抽出【15時】!$A$1,DB1+1-1,29)="",DB1+2,DB1+1)</f>
        <v>171</v>
      </c>
      <c r="DJ1" s="40" t="str">
        <f ca="1">IF(DK1&lt;&gt;"",
MID(貼り付け用!$A$2, FIND("年",貼り付け用!$A$2)+1,2)&amp;"/"&amp;MID(貼り付け用!$A$2, FIND("月",貼り付け用!$A$2)+1,2),"")</f>
        <v/>
      </c>
      <c r="DK1" s="214" t="str">
        <f ca="1">IF(OFFSET(変更先抽出【15時】!$A$1,DI1-1,29)&lt;&gt;"",OFFSET(変更先抽出【15時】!$A$1,DI1-1,30),"")</f>
        <v/>
      </c>
      <c r="DL1" s="215"/>
      <c r="DM1" s="215"/>
      <c r="DN1" s="215"/>
      <c r="DO1" s="39" t="str">
        <f ca="1">IF(DK1&lt;&gt;"","様","")</f>
        <v/>
      </c>
      <c r="DP1" s="22"/>
      <c r="DQ1" s="30">
        <f ca="1">IF(OFFSET(変更先抽出【15時】!$A$1,DI41+1-1,29)="",DI41+2,DI41+1)</f>
        <v>193</v>
      </c>
      <c r="DR1" s="40" t="str">
        <f ca="1">IF(DS1&lt;&gt;"",
MID(貼り付け用!$A$2, FIND("年",貼り付け用!$A$2)+1,2)&amp;"/"&amp;MID(貼り付け用!$A$2, FIND("月",貼り付け用!$A$2)+1,2),"")</f>
        <v/>
      </c>
      <c r="DS1" s="214" t="str">
        <f ca="1">IF(OFFSET(変更先抽出【15時】!$A$1,DQ1-1,29)&lt;&gt;"",OFFSET(変更先抽出【15時】!$A$1,DQ1-1,30),"")</f>
        <v/>
      </c>
      <c r="DT1" s="215"/>
      <c r="DU1" s="215"/>
      <c r="DV1" s="215"/>
      <c r="DW1" s="39" t="str">
        <f ca="1">IF(DS1&lt;&gt;"","様","")</f>
        <v/>
      </c>
      <c r="DX1" s="33">
        <f ca="1">IF(OFFSET(変更先抽出【15時】!$A$1,DQ1+1-1,29)="",DQ1+2,DQ1+1)</f>
        <v>195</v>
      </c>
      <c r="DY1" s="40" t="str">
        <f ca="1">IF(DZ1&lt;&gt;"",
MID(貼り付け用!$A$2, FIND("年",貼り付け用!$A$2)+1,2)&amp;"/"&amp;MID(貼り付け用!$A$2, FIND("月",貼り付け用!$A$2)+1,2),"")</f>
        <v/>
      </c>
      <c r="DZ1" s="214" t="str">
        <f ca="1">IF(OFFSET(変更先抽出【15時】!$A$1,DX1-1,29)&lt;&gt;"",OFFSET(変更先抽出【15時】!$A$1,DX1-1,30),"")</f>
        <v/>
      </c>
      <c r="EA1" s="215"/>
      <c r="EB1" s="215"/>
      <c r="EC1" s="215"/>
      <c r="ED1" s="39" t="str">
        <f ca="1">IF(DZ1&lt;&gt;"","様","")</f>
        <v/>
      </c>
      <c r="EE1" s="22"/>
      <c r="EF1" s="30">
        <f ca="1">IF(OFFSET(変更先抽出【15時】!$A$1,DX41+1-1,29)="",DX41+2,DX41+1)</f>
        <v>217</v>
      </c>
      <c r="EG1" s="40" t="str">
        <f ca="1">IF(EH1&lt;&gt;"",
MID(貼り付け用!$A$2, FIND("年",貼り付け用!$A$2)+1,2)&amp;"/"&amp;MID(貼り付け用!$A$2, FIND("月",貼り付け用!$A$2)+1,2),"")</f>
        <v/>
      </c>
      <c r="EH1" s="214" t="str">
        <f ca="1">IF(OFFSET(変更先抽出【15時】!$A$1,EF1-1,29)&lt;&gt;"",OFFSET(変更先抽出【15時】!$A$1,EF1-1,30),"")</f>
        <v/>
      </c>
      <c r="EI1" s="215"/>
      <c r="EJ1" s="215"/>
      <c r="EK1" s="215"/>
      <c r="EL1" s="39" t="str">
        <f ca="1">IF(EH1&lt;&gt;"","様","")</f>
        <v/>
      </c>
      <c r="EM1" s="33">
        <f ca="1">IF(OFFSET(変更先抽出【15時】!$A$1,EF1+1-1,29)="",EF1+2,EF1+1)</f>
        <v>219</v>
      </c>
      <c r="EN1" s="40" t="str">
        <f ca="1">IF(EO1&lt;&gt;"",
MID(貼り付け用!$A$2, FIND("年",貼り付け用!$A$2)+1,2)&amp;"/"&amp;MID(貼り付け用!$A$2, FIND("月",貼り付け用!$A$2)+1,2),"")</f>
        <v/>
      </c>
      <c r="EO1" s="214" t="str">
        <f ca="1">IF(OFFSET(変更先抽出【15時】!$A$1,EM1-1,29)&lt;&gt;"",OFFSET(変更先抽出【15時】!$A$1,EM1-1,30),"")</f>
        <v/>
      </c>
      <c r="EP1" s="215"/>
      <c r="EQ1" s="215"/>
      <c r="ER1" s="215"/>
      <c r="ES1" s="39" t="str">
        <f ca="1">IF(EO1&lt;&gt;"","様","")</f>
        <v/>
      </c>
      <c r="ET1" s="22"/>
    </row>
    <row r="2" spans="1:150" s="181" customFormat="1">
      <c r="A2" s="30"/>
      <c r="B2" s="102"/>
      <c r="C2" s="136" t="str">
        <f ca="1">IF(C1&lt;&gt;"",OFFSET(変更先抽出【15時】!$A$1,A1-1,31),"")</f>
        <v/>
      </c>
      <c r="D2" s="38"/>
      <c r="E2" s="38"/>
      <c r="F2" s="190" t="str">
        <f ca="1">IF(OFFSET(変更先抽出【15時】!$A$1,A1-1,29)&lt;&gt;"",OFFSET(変更先抽出【15時】!$A$1,A1-1,37)&amp;"箱"&amp;OFFSET(変更先抽出【15時】!$A$1,A1-1,38),"")</f>
        <v/>
      </c>
      <c r="G2" s="36"/>
      <c r="H2" s="43"/>
      <c r="I2" s="102"/>
      <c r="J2" s="136" t="str">
        <f ca="1">IF(J1&lt;&gt;"",OFFSET(変更先抽出【15時】!$A$1,H1-1,31),"")</f>
        <v/>
      </c>
      <c r="K2" s="38"/>
      <c r="L2" s="38"/>
      <c r="M2" s="190" t="str">
        <f ca="1">IF(OFFSET(変更先抽出【15時】!$A$1,H1-1,29)&lt;&gt;"",OFFSET(変更先抽出【15時】!$A$1,H1-1,37)&amp;"箱"&amp;OFFSET(変更先抽出【15時】!$A$1,H1-1,38),"")</f>
        <v/>
      </c>
      <c r="N2" s="36"/>
      <c r="O2" s="22"/>
      <c r="P2" s="30"/>
      <c r="Q2" s="102"/>
      <c r="R2" s="136" t="str">
        <f ca="1">IF(R1&lt;&gt;"",OFFSET(変更先抽出【15時】!$A$1,P1-1,31),"")</f>
        <v/>
      </c>
      <c r="S2" s="38"/>
      <c r="T2" s="38"/>
      <c r="U2" s="190" t="str">
        <f ca="1">IF(OFFSET(変更先抽出【15時】!$A$1,P1-1,29)&lt;&gt;"",OFFSET(変更先抽出【15時】!$A$1,P1-1,37)&amp;"箱"&amp;OFFSET(変更先抽出【15時】!$A$1,P1-1,38),"")</f>
        <v/>
      </c>
      <c r="V2" s="36"/>
      <c r="W2" s="43"/>
      <c r="X2" s="102"/>
      <c r="Y2" s="136" t="str">
        <f ca="1">IF(Y1&lt;&gt;"",OFFSET(変更先抽出【15時】!$A$1,W1-1,31),"")</f>
        <v/>
      </c>
      <c r="Z2" s="38"/>
      <c r="AA2" s="38"/>
      <c r="AB2" s="190" t="str">
        <f ca="1">IF(OFFSET(変更先抽出【15時】!$A$1,W1-1,29)&lt;&gt;"",OFFSET(変更先抽出【15時】!$A$1,W1-1,37)&amp;"箱"&amp;OFFSET(変更先抽出【15時】!$A$1,W1-1,38),"")</f>
        <v/>
      </c>
      <c r="AC2" s="36"/>
      <c r="AD2" s="22"/>
      <c r="AE2" s="30"/>
      <c r="AF2" s="102"/>
      <c r="AG2" s="136" t="str">
        <f ca="1">IF(AG1&lt;&gt;"",OFFSET(変更先抽出【15時】!$A$1,AE1-1,31),"")</f>
        <v/>
      </c>
      <c r="AH2" s="38"/>
      <c r="AI2" s="38"/>
      <c r="AJ2" s="190" t="str">
        <f ca="1">IF(OFFSET(変更先抽出【15時】!$A$1,AE1-1,29)&lt;&gt;"",OFFSET(変更先抽出【15時】!$A$1,AE1-1,37)&amp;"箱"&amp;OFFSET(変更先抽出【15時】!$A$1,AE1-1,38),"")</f>
        <v/>
      </c>
      <c r="AK2" s="36"/>
      <c r="AL2" s="43"/>
      <c r="AM2" s="102"/>
      <c r="AN2" s="136" t="str">
        <f ca="1">IF(AN1&lt;&gt;"",OFFSET(変更先抽出【15時】!$A$1,AL1-1,31),"")</f>
        <v/>
      </c>
      <c r="AO2" s="38"/>
      <c r="AP2" s="38"/>
      <c r="AQ2" s="190" t="str">
        <f ca="1">IF(OFFSET(変更先抽出【15時】!$A$1,AL1-1,29)&lt;&gt;"",OFFSET(変更先抽出【15時】!$A$1,AL1-1,37)&amp;"箱"&amp;OFFSET(変更先抽出【15時】!$A$1,AL1-1,38),"")</f>
        <v/>
      </c>
      <c r="AR2" s="36"/>
      <c r="AS2" s="22"/>
      <c r="AT2" s="30"/>
      <c r="AU2" s="102"/>
      <c r="AV2" s="136" t="str">
        <f ca="1">IF(AV1&lt;&gt;"",OFFSET(変更先抽出【15時】!$A$1,AT1-1,31),"")</f>
        <v/>
      </c>
      <c r="AW2" s="38"/>
      <c r="AX2" s="38"/>
      <c r="AY2" s="190" t="str">
        <f ca="1">IF(OFFSET(変更先抽出【15時】!$A$1,AT1-1,29)&lt;&gt;"",OFFSET(変更先抽出【15時】!$A$1,AT1-1,37)&amp;"箱"&amp;OFFSET(変更先抽出【15時】!$A$1,AT1-1,38),"")</f>
        <v/>
      </c>
      <c r="AZ2" s="36"/>
      <c r="BA2" s="43"/>
      <c r="BB2" s="102"/>
      <c r="BC2" s="136" t="str">
        <f ca="1">IF(BC1&lt;&gt;"",OFFSET(変更先抽出【15時】!$A$1,BA1-1,31),"")</f>
        <v/>
      </c>
      <c r="BD2" s="38"/>
      <c r="BE2" s="38"/>
      <c r="BF2" s="190" t="str">
        <f ca="1">IF(OFFSET(変更先抽出【15時】!$A$1,BA1-1,29)&lt;&gt;"",OFFSET(変更先抽出【15時】!$A$1,BA1-1,37)&amp;"箱"&amp;OFFSET(変更先抽出【15時】!$A$1,BA1-1,38),"")</f>
        <v/>
      </c>
      <c r="BG2" s="36"/>
      <c r="BH2" s="22"/>
      <c r="BI2" s="30"/>
      <c r="BJ2" s="102"/>
      <c r="BK2" s="136" t="str">
        <f ca="1">IF(BK1&lt;&gt;"",OFFSET(変更先抽出【15時】!$A$1,BI1-1,31),"")</f>
        <v/>
      </c>
      <c r="BL2" s="38"/>
      <c r="BM2" s="38"/>
      <c r="BN2" s="190" t="str">
        <f ca="1">IF(OFFSET(変更先抽出【15時】!$A$1,BI1-1,29)&lt;&gt;"",OFFSET(変更先抽出【15時】!$A$1,BI1-1,37)&amp;"箱"&amp;OFFSET(変更先抽出【15時】!$A$1,BI1-1,38),"")</f>
        <v/>
      </c>
      <c r="BO2" s="36"/>
      <c r="BP2" s="43"/>
      <c r="BQ2" s="102"/>
      <c r="BR2" s="136" t="str">
        <f ca="1">IF(BR1&lt;&gt;"",OFFSET(変更先抽出【15時】!$A$1,BP1-1,31),"")</f>
        <v/>
      </c>
      <c r="BS2" s="38"/>
      <c r="BT2" s="38"/>
      <c r="BU2" s="190" t="str">
        <f ca="1">IF(OFFSET(変更先抽出【15時】!$A$1,BP1-1,29)&lt;&gt;"",OFFSET(変更先抽出【15時】!$A$1,BP1-1,37)&amp;"箱"&amp;OFFSET(変更先抽出【15時】!$A$1,BP1-1,38),"")</f>
        <v/>
      </c>
      <c r="BV2" s="36"/>
      <c r="BW2" s="22"/>
      <c r="BX2" s="30"/>
      <c r="BY2" s="102"/>
      <c r="BZ2" s="136" t="str">
        <f ca="1">IF(BZ1&lt;&gt;"",OFFSET(変更先抽出【15時】!$A$1,BX1-1,31),"")</f>
        <v/>
      </c>
      <c r="CA2" s="38"/>
      <c r="CB2" s="38"/>
      <c r="CC2" s="190" t="str">
        <f ca="1">IF(OFFSET(変更先抽出【15時】!$A$1,BX1-1,29)&lt;&gt;"",OFFSET(変更先抽出【15時】!$A$1,BX1-1,37)&amp;"箱"&amp;OFFSET(変更先抽出【15時】!$A$1,BX1-1,38),"")</f>
        <v/>
      </c>
      <c r="CD2" s="36"/>
      <c r="CE2" s="43"/>
      <c r="CF2" s="102"/>
      <c r="CG2" s="136" t="str">
        <f ca="1">IF(CG1&lt;&gt;"",OFFSET(変更先抽出【15時】!$A$1,CE1-1,31),"")</f>
        <v/>
      </c>
      <c r="CH2" s="38"/>
      <c r="CI2" s="38"/>
      <c r="CJ2" s="190" t="str">
        <f ca="1">IF(OFFSET(変更先抽出【15時】!$A$1,CE1-1,29)&lt;&gt;"",OFFSET(変更先抽出【15時】!$A$1,CE1-1,37)&amp;"箱"&amp;OFFSET(変更先抽出【15時】!$A$1,CE1-1,38),"")</f>
        <v/>
      </c>
      <c r="CK2" s="36"/>
      <c r="CL2" s="22"/>
      <c r="CM2" s="30"/>
      <c r="CN2" s="102"/>
      <c r="CO2" s="136" t="str">
        <f ca="1">IF(CO1&lt;&gt;"",OFFSET(変更先抽出【15時】!$A$1,CM1-1,31),"")</f>
        <v/>
      </c>
      <c r="CP2" s="38"/>
      <c r="CQ2" s="38"/>
      <c r="CR2" s="190" t="str">
        <f ca="1">IF(OFFSET(変更先抽出【15時】!$A$1,CM1-1,29)&lt;&gt;"",OFFSET(変更先抽出【15時】!$A$1,CM1-1,37)&amp;"箱"&amp;OFFSET(変更先抽出【15時】!$A$1,CM1-1,38),"")</f>
        <v/>
      </c>
      <c r="CS2" s="36"/>
      <c r="CT2" s="43"/>
      <c r="CU2" s="102"/>
      <c r="CV2" s="136" t="str">
        <f ca="1">IF(CV1&lt;&gt;"",OFFSET(変更先抽出【15時】!$A$1,CT1-1,31),"")</f>
        <v/>
      </c>
      <c r="CW2" s="38"/>
      <c r="CX2" s="38"/>
      <c r="CY2" s="190" t="str">
        <f ca="1">IF(OFFSET(変更先抽出【15時】!$A$1,CT1-1,29)&lt;&gt;"",OFFSET(変更先抽出【15時】!$A$1,CT1-1,37)&amp;"箱"&amp;OFFSET(変更先抽出【15時】!$A$1,CT1-1,38),"")</f>
        <v/>
      </c>
      <c r="CZ2" s="36"/>
      <c r="DA2" s="22"/>
      <c r="DB2" s="30"/>
      <c r="DC2" s="102"/>
      <c r="DD2" s="136" t="str">
        <f ca="1">IF(DD1&lt;&gt;"",OFFSET(変更先抽出【15時】!$A$1,DB1-1,31),"")</f>
        <v/>
      </c>
      <c r="DE2" s="38"/>
      <c r="DF2" s="38"/>
      <c r="DG2" s="190" t="str">
        <f ca="1">IF(OFFSET(変更先抽出【15時】!$A$1,DB1-1,29)&lt;&gt;"",OFFSET(変更先抽出【15時】!$A$1,DB1-1,37)&amp;"箱"&amp;OFFSET(変更先抽出【15時】!$A$1,DB1-1,38),"")</f>
        <v/>
      </c>
      <c r="DH2" s="36"/>
      <c r="DI2" s="43"/>
      <c r="DJ2" s="102"/>
      <c r="DK2" s="136" t="str">
        <f ca="1">IF(DK1&lt;&gt;"",OFFSET(変更先抽出【15時】!$A$1,DI1-1,31),"")</f>
        <v/>
      </c>
      <c r="DL2" s="38"/>
      <c r="DM2" s="38"/>
      <c r="DN2" s="190" t="str">
        <f ca="1">IF(OFFSET(変更先抽出【15時】!$A$1,DI1-1,29)&lt;&gt;"",OFFSET(変更先抽出【15時】!$A$1,DI1-1,37)&amp;"箱"&amp;OFFSET(変更先抽出【15時】!$A$1,DI1-1,38),"")</f>
        <v/>
      </c>
      <c r="DO2" s="36"/>
      <c r="DP2" s="22"/>
      <c r="DQ2" s="30"/>
      <c r="DR2" s="102"/>
      <c r="DS2" s="136" t="str">
        <f ca="1">IF(DS1&lt;&gt;"",OFFSET(変更先抽出【15時】!$A$1,DQ1-1,31),"")</f>
        <v/>
      </c>
      <c r="DT2" s="38"/>
      <c r="DU2" s="38"/>
      <c r="DV2" s="190" t="str">
        <f ca="1">IF(OFFSET(変更先抽出【15時】!$A$1,DQ1-1,29)&lt;&gt;"",OFFSET(変更先抽出【15時】!$A$1,DQ1-1,37)&amp;"箱"&amp;OFFSET(変更先抽出【15時】!$A$1,DQ1-1,38),"")</f>
        <v/>
      </c>
      <c r="DW2" s="36"/>
      <c r="DX2" s="43"/>
      <c r="DY2" s="102"/>
      <c r="DZ2" s="136" t="str">
        <f ca="1">IF(DZ1&lt;&gt;"",OFFSET(変更先抽出【15時】!$A$1,DX1-1,31),"")</f>
        <v/>
      </c>
      <c r="EA2" s="38"/>
      <c r="EB2" s="38"/>
      <c r="EC2" s="190" t="str">
        <f ca="1">IF(OFFSET(変更先抽出【15時】!$A$1,DX1-1,29)&lt;&gt;"",OFFSET(変更先抽出【15時】!$A$1,DX1-1,37)&amp;"箱"&amp;OFFSET(変更先抽出【15時】!$A$1,DX1-1,38),"")</f>
        <v/>
      </c>
      <c r="ED2" s="36"/>
      <c r="EE2" s="22"/>
      <c r="EF2" s="30"/>
      <c r="EG2" s="102"/>
      <c r="EH2" s="136" t="str">
        <f ca="1">IF(EH1&lt;&gt;"",OFFSET(変更先抽出【15時】!$A$1,EF1-1,31),"")</f>
        <v/>
      </c>
      <c r="EI2" s="38"/>
      <c r="EJ2" s="38"/>
      <c r="EK2" s="190" t="str">
        <f ca="1">IF(OFFSET(変更先抽出【15時】!$A$1,EF1-1,29)&lt;&gt;"",OFFSET(変更先抽出【15時】!$A$1,EF1-1,37)&amp;"箱"&amp;OFFSET(変更先抽出【15時】!$A$1,EF1-1,38),"")</f>
        <v/>
      </c>
      <c r="EL2" s="36"/>
      <c r="EM2" s="43"/>
      <c r="EN2" s="102"/>
      <c r="EO2" s="136" t="str">
        <f ca="1">IF(EO1&lt;&gt;"",OFFSET(変更先抽出【15時】!$A$1,EM1-1,31),"")</f>
        <v/>
      </c>
      <c r="EP2" s="38"/>
      <c r="EQ2" s="38"/>
      <c r="ER2" s="190" t="str">
        <f ca="1">IF(OFFSET(変更先抽出【15時】!$A$1,EM1-1,29)&lt;&gt;"",OFFSET(変更先抽出【15時】!$A$1,EM1-1,37)&amp;"箱"&amp;OFFSET(変更先抽出【15時】!$A$1,EM1-1,38),"")</f>
        <v/>
      </c>
      <c r="ES2" s="36"/>
      <c r="ET2" s="22"/>
    </row>
    <row r="3" spans="1:150" s="181" customFormat="1">
      <c r="A3" s="30"/>
      <c r="B3" s="31"/>
      <c r="C3" s="212" t="str">
        <f ca="1">IF(OR(C1&lt;&gt;"",COUNTIF(C1,"*【*")),"園児","")</f>
        <v/>
      </c>
      <c r="D3" s="213"/>
      <c r="E3" s="22"/>
      <c r="F3" s="135" t="str">
        <f ca="1">IF(OR(C1&lt;&gt;"",COUNTIF(C1,"*【*")),"先生","")</f>
        <v/>
      </c>
      <c r="G3" s="37"/>
      <c r="H3" s="33"/>
      <c r="I3" s="31"/>
      <c r="J3" s="212" t="str">
        <f ca="1">IF(OR(J1&lt;&gt;"",COUNTIF(J1,"*【*")),"園児","")</f>
        <v/>
      </c>
      <c r="K3" s="213"/>
      <c r="L3" s="22"/>
      <c r="M3" s="135" t="str">
        <f ca="1">IF(OR(J1&lt;&gt;"",COUNTIF(J1,"*【*")),"先生","")</f>
        <v/>
      </c>
      <c r="N3" s="37"/>
      <c r="O3" s="22"/>
      <c r="P3" s="30"/>
      <c r="Q3" s="31"/>
      <c r="R3" s="212" t="str">
        <f ca="1">IF(OR(R1&lt;&gt;"",COUNTIF(R1,"*【*")),"園児","")</f>
        <v/>
      </c>
      <c r="S3" s="213"/>
      <c r="T3" s="22"/>
      <c r="U3" s="135" t="str">
        <f ca="1">IF(OR(R1&lt;&gt;"",COUNTIF(R1,"*【*")),"先生","")</f>
        <v/>
      </c>
      <c r="V3" s="37"/>
      <c r="W3" s="33"/>
      <c r="X3" s="31"/>
      <c r="Y3" s="212" t="str">
        <f ca="1">IF(OR(Y1&lt;&gt;"",COUNTIF(Y1,"*【*")),"園児","")</f>
        <v/>
      </c>
      <c r="Z3" s="213"/>
      <c r="AA3" s="22"/>
      <c r="AB3" s="135" t="str">
        <f ca="1">IF(OR(Y1&lt;&gt;"",COUNTIF(Y1,"*【*")),"先生","")</f>
        <v/>
      </c>
      <c r="AC3" s="37"/>
      <c r="AD3" s="22"/>
      <c r="AE3" s="30"/>
      <c r="AF3" s="31"/>
      <c r="AG3" s="212" t="str">
        <f ca="1">IF(OR(AG1&lt;&gt;"",COUNTIF(AG1,"*【*")),"園児","")</f>
        <v/>
      </c>
      <c r="AH3" s="213"/>
      <c r="AI3" s="22"/>
      <c r="AJ3" s="135" t="str">
        <f ca="1">IF(OR(AG1&lt;&gt;"",COUNTIF(AG1,"*【*")),"先生","")</f>
        <v/>
      </c>
      <c r="AK3" s="37"/>
      <c r="AL3" s="33"/>
      <c r="AM3" s="31"/>
      <c r="AN3" s="212" t="str">
        <f ca="1">IF(OR(AN1&lt;&gt;"",COUNTIF(AN1,"*【*")),"園児","")</f>
        <v/>
      </c>
      <c r="AO3" s="213"/>
      <c r="AP3" s="22"/>
      <c r="AQ3" s="135" t="str">
        <f ca="1">IF(OR(AN1&lt;&gt;"",COUNTIF(AN1,"*【*")),"先生","")</f>
        <v/>
      </c>
      <c r="AR3" s="37"/>
      <c r="AS3" s="22"/>
      <c r="AT3" s="30"/>
      <c r="AU3" s="31"/>
      <c r="AV3" s="212" t="str">
        <f ca="1">IF(OR(AV1&lt;&gt;"",COUNTIF(AV1,"*【*")),"園児","")</f>
        <v/>
      </c>
      <c r="AW3" s="213"/>
      <c r="AX3" s="22"/>
      <c r="AY3" s="135" t="str">
        <f ca="1">IF(OR(AV1&lt;&gt;"",COUNTIF(AV1,"*【*")),"先生","")</f>
        <v/>
      </c>
      <c r="AZ3" s="37"/>
      <c r="BA3" s="33"/>
      <c r="BB3" s="31"/>
      <c r="BC3" s="212" t="str">
        <f ca="1">IF(OR(BC1&lt;&gt;"",COUNTIF(BC1,"*【*")),"園児","")</f>
        <v/>
      </c>
      <c r="BD3" s="213"/>
      <c r="BE3" s="22"/>
      <c r="BF3" s="135" t="str">
        <f ca="1">IF(OR(BC1&lt;&gt;"",COUNTIF(BC1,"*【*")),"先生","")</f>
        <v/>
      </c>
      <c r="BG3" s="37"/>
      <c r="BH3" s="22"/>
      <c r="BI3" s="30"/>
      <c r="BJ3" s="31"/>
      <c r="BK3" s="212" t="str">
        <f ca="1">IF(OR(BK1&lt;&gt;"",COUNTIF(BK1,"*【*")),"園児","")</f>
        <v/>
      </c>
      <c r="BL3" s="213"/>
      <c r="BM3" s="22"/>
      <c r="BN3" s="135" t="str">
        <f ca="1">IF(OR(BK1&lt;&gt;"",COUNTIF(BK1,"*【*")),"先生","")</f>
        <v/>
      </c>
      <c r="BO3" s="37"/>
      <c r="BP3" s="33"/>
      <c r="BQ3" s="31"/>
      <c r="BR3" s="212" t="str">
        <f ca="1">IF(OR(BR1&lt;&gt;"",COUNTIF(BR1,"*【*")),"園児","")</f>
        <v/>
      </c>
      <c r="BS3" s="213"/>
      <c r="BT3" s="22"/>
      <c r="BU3" s="135" t="str">
        <f ca="1">IF(OR(BR1&lt;&gt;"",COUNTIF(BR1,"*【*")),"先生","")</f>
        <v/>
      </c>
      <c r="BV3" s="37"/>
      <c r="BW3" s="22"/>
      <c r="BX3" s="30"/>
      <c r="BY3" s="31"/>
      <c r="BZ3" s="212" t="str">
        <f ca="1">IF(OR(BZ1&lt;&gt;"",COUNTIF(BZ1,"*【*")),"園児","")</f>
        <v/>
      </c>
      <c r="CA3" s="213"/>
      <c r="CB3" s="22"/>
      <c r="CC3" s="135" t="str">
        <f ca="1">IF(OR(BZ1&lt;&gt;"",COUNTIF(BZ1,"*【*")),"先生","")</f>
        <v/>
      </c>
      <c r="CD3" s="37"/>
      <c r="CE3" s="33"/>
      <c r="CF3" s="31"/>
      <c r="CG3" s="212" t="str">
        <f ca="1">IF(OR(CG1&lt;&gt;"",COUNTIF(CG1,"*【*")),"園児","")</f>
        <v/>
      </c>
      <c r="CH3" s="213"/>
      <c r="CI3" s="22"/>
      <c r="CJ3" s="135" t="str">
        <f ca="1">IF(OR(CG1&lt;&gt;"",COUNTIF(CG1,"*【*")),"先生","")</f>
        <v/>
      </c>
      <c r="CK3" s="37"/>
      <c r="CL3" s="22"/>
      <c r="CM3" s="30"/>
      <c r="CN3" s="31"/>
      <c r="CO3" s="212" t="str">
        <f ca="1">IF(OR(CO1&lt;&gt;"",COUNTIF(CO1,"*【*")),"園児","")</f>
        <v/>
      </c>
      <c r="CP3" s="213"/>
      <c r="CQ3" s="22"/>
      <c r="CR3" s="135" t="str">
        <f ca="1">IF(OR(CO1&lt;&gt;"",COUNTIF(CO1,"*【*")),"先生","")</f>
        <v/>
      </c>
      <c r="CS3" s="37"/>
      <c r="CT3" s="33"/>
      <c r="CU3" s="31"/>
      <c r="CV3" s="212" t="str">
        <f ca="1">IF(OR(CV1&lt;&gt;"",COUNTIF(CV1,"*【*")),"園児","")</f>
        <v/>
      </c>
      <c r="CW3" s="213"/>
      <c r="CX3" s="22"/>
      <c r="CY3" s="135" t="str">
        <f ca="1">IF(OR(CV1&lt;&gt;"",COUNTIF(CV1,"*【*")),"先生","")</f>
        <v/>
      </c>
      <c r="CZ3" s="37"/>
      <c r="DA3" s="22"/>
      <c r="DB3" s="30"/>
      <c r="DC3" s="31"/>
      <c r="DD3" s="212" t="str">
        <f ca="1">IF(OR(DD1&lt;&gt;"",COUNTIF(DD1,"*【*")),"園児","")</f>
        <v/>
      </c>
      <c r="DE3" s="213"/>
      <c r="DF3" s="22"/>
      <c r="DG3" s="135" t="str">
        <f ca="1">IF(OR(DD1&lt;&gt;"",COUNTIF(DD1,"*【*")),"先生","")</f>
        <v/>
      </c>
      <c r="DH3" s="37"/>
      <c r="DI3" s="33"/>
      <c r="DJ3" s="31"/>
      <c r="DK3" s="212" t="str">
        <f ca="1">IF(OR(DK1&lt;&gt;"",COUNTIF(DK1,"*【*")),"園児","")</f>
        <v/>
      </c>
      <c r="DL3" s="213"/>
      <c r="DM3" s="22"/>
      <c r="DN3" s="135" t="str">
        <f ca="1">IF(OR(DK1&lt;&gt;"",COUNTIF(DK1,"*【*")),"先生","")</f>
        <v/>
      </c>
      <c r="DO3" s="37"/>
      <c r="DP3" s="22"/>
      <c r="DQ3" s="30"/>
      <c r="DR3" s="31"/>
      <c r="DS3" s="212" t="str">
        <f ca="1">IF(OR(DS1&lt;&gt;"",COUNTIF(DS1,"*【*")),"園児","")</f>
        <v/>
      </c>
      <c r="DT3" s="213"/>
      <c r="DU3" s="22"/>
      <c r="DV3" s="135" t="str">
        <f ca="1">IF(OR(DS1&lt;&gt;"",COUNTIF(DS1,"*【*")),"先生","")</f>
        <v/>
      </c>
      <c r="DW3" s="37"/>
      <c r="DX3" s="33"/>
      <c r="DY3" s="31"/>
      <c r="DZ3" s="212" t="str">
        <f ca="1">IF(OR(DZ1&lt;&gt;"",COUNTIF(DZ1,"*【*")),"園児","")</f>
        <v/>
      </c>
      <c r="EA3" s="213"/>
      <c r="EB3" s="22"/>
      <c r="EC3" s="135" t="str">
        <f ca="1">IF(OR(DZ1&lt;&gt;"",COUNTIF(DZ1,"*【*")),"先生","")</f>
        <v/>
      </c>
      <c r="ED3" s="37"/>
      <c r="EE3" s="22"/>
      <c r="EF3" s="30"/>
      <c r="EG3" s="31"/>
      <c r="EH3" s="212" t="str">
        <f ca="1">IF(OR(EH1&lt;&gt;"",COUNTIF(EH1,"*【*")),"園児","")</f>
        <v/>
      </c>
      <c r="EI3" s="213"/>
      <c r="EJ3" s="22"/>
      <c r="EK3" s="135" t="str">
        <f ca="1">IF(OR(EH1&lt;&gt;"",COUNTIF(EH1,"*【*")),"先生","")</f>
        <v/>
      </c>
      <c r="EL3" s="37"/>
      <c r="EM3" s="33"/>
      <c r="EN3" s="31"/>
      <c r="EO3" s="212" t="str">
        <f ca="1">IF(OR(EO1&lt;&gt;"",COUNTIF(EO1,"*【*")),"園児","")</f>
        <v/>
      </c>
      <c r="EP3" s="213"/>
      <c r="EQ3" s="22"/>
      <c r="ER3" s="135" t="str">
        <f ca="1">IF(OR(EO1&lt;&gt;"",COUNTIF(EO1,"*【*")),"先生","")</f>
        <v/>
      </c>
      <c r="ES3" s="37"/>
      <c r="ET3" s="22"/>
    </row>
    <row r="4" spans="1:150" ht="15.6" customHeight="1">
      <c r="B4" s="25"/>
      <c r="C4" s="210" t="str">
        <f ca="1">IF(C1&lt;&gt;"",OFFSET(変更先抽出【15時】!$A$1,A1-1,32),"")</f>
        <v/>
      </c>
      <c r="D4" s="211"/>
      <c r="E4" s="44"/>
      <c r="F4" s="206" t="str">
        <f ca="1">IF(C1&lt;&gt;"",OFFSET(変更先抽出【15時】!$A$1,A1-1,33),"")</f>
        <v/>
      </c>
      <c r="G4" s="207"/>
      <c r="H4" s="26"/>
      <c r="I4" s="25"/>
      <c r="J4" s="210" t="str">
        <f ca="1">IF(J1&lt;&gt;"",OFFSET(変更先抽出【15時】!$A$1,H1-1,32),"")</f>
        <v/>
      </c>
      <c r="K4" s="211"/>
      <c r="L4" s="44"/>
      <c r="M4" s="206" t="str">
        <f ca="1">IF(J1&lt;&gt;"",OFFSET(変更先抽出【15時】!$A$1,H1-1,33),"")</f>
        <v/>
      </c>
      <c r="N4" s="207"/>
      <c r="Q4" s="25"/>
      <c r="R4" s="210" t="str">
        <f ca="1">IF(R1&lt;&gt;"",OFFSET(変更先抽出【15時】!$A$1,P1-1,32),"")</f>
        <v/>
      </c>
      <c r="S4" s="211"/>
      <c r="T4" s="44"/>
      <c r="U4" s="206" t="str">
        <f ca="1">IF(R1&lt;&gt;"",OFFSET(変更先抽出【15時】!$A$1,P1-1,33),"")</f>
        <v/>
      </c>
      <c r="V4" s="207"/>
      <c r="W4" s="26"/>
      <c r="X4" s="25"/>
      <c r="Y4" s="210" t="str">
        <f ca="1">IF(Y1&lt;&gt;"",OFFSET(変更先抽出【15時】!$A$1,W1-1,32),"")</f>
        <v/>
      </c>
      <c r="Z4" s="211"/>
      <c r="AA4" s="44"/>
      <c r="AB4" s="206" t="str">
        <f ca="1">IF(Y1&lt;&gt;"",OFFSET(変更先抽出【15時】!$A$1,W1-1,33),"")</f>
        <v/>
      </c>
      <c r="AC4" s="207"/>
      <c r="AF4" s="25"/>
      <c r="AG4" s="210" t="str">
        <f ca="1">IF(AG1&lt;&gt;"",OFFSET(変更先抽出【15時】!$A$1,AE1-1,32),"")</f>
        <v/>
      </c>
      <c r="AH4" s="211"/>
      <c r="AI4" s="44"/>
      <c r="AJ4" s="206" t="str">
        <f ca="1">IF(AG1&lt;&gt;"",OFFSET(変更先抽出【15時】!$A$1,AE1-1,33),"")</f>
        <v/>
      </c>
      <c r="AK4" s="207"/>
      <c r="AL4" s="26"/>
      <c r="AM4" s="25"/>
      <c r="AN4" s="210" t="str">
        <f ca="1">IF(AN1&lt;&gt;"",OFFSET(変更先抽出【15時】!$A$1,AL1-1,32),"")</f>
        <v/>
      </c>
      <c r="AO4" s="211"/>
      <c r="AP4" s="44"/>
      <c r="AQ4" s="206" t="str">
        <f ca="1">IF(AN1&lt;&gt;"",OFFSET(変更先抽出【15時】!$A$1,AL1-1,33),"")</f>
        <v/>
      </c>
      <c r="AR4" s="207"/>
      <c r="AU4" s="25"/>
      <c r="AV4" s="210" t="str">
        <f ca="1">IF(AV1&lt;&gt;"",OFFSET(変更先抽出【15時】!$A$1,AT1-1,32),"")</f>
        <v/>
      </c>
      <c r="AW4" s="211"/>
      <c r="AX4" s="44"/>
      <c r="AY4" s="206" t="str">
        <f ca="1">IF(AV1&lt;&gt;"",OFFSET(変更先抽出【15時】!$A$1,AT1-1,33),"")</f>
        <v/>
      </c>
      <c r="AZ4" s="207"/>
      <c r="BA4" s="26"/>
      <c r="BB4" s="25"/>
      <c r="BC4" s="210" t="str">
        <f ca="1">IF(BC1&lt;&gt;"",OFFSET(変更先抽出【15時】!$A$1,BA1-1,32),"")</f>
        <v/>
      </c>
      <c r="BD4" s="211"/>
      <c r="BE4" s="44"/>
      <c r="BF4" s="206" t="str">
        <f ca="1">IF(BC1&lt;&gt;"",OFFSET(変更先抽出【15時】!$A$1,BA1-1,33),"")</f>
        <v/>
      </c>
      <c r="BG4" s="207"/>
      <c r="BJ4" s="25"/>
      <c r="BK4" s="210" t="str">
        <f ca="1">IF(BK1&lt;&gt;"",OFFSET(変更先抽出【15時】!$A$1,BI1-1,32),"")</f>
        <v/>
      </c>
      <c r="BL4" s="211"/>
      <c r="BM4" s="44"/>
      <c r="BN4" s="206" t="str">
        <f ca="1">IF(BK1&lt;&gt;"",OFFSET(変更先抽出【15時】!$A$1,BI1-1,33),"")</f>
        <v/>
      </c>
      <c r="BO4" s="207"/>
      <c r="BP4" s="26"/>
      <c r="BQ4" s="25"/>
      <c r="BR4" s="210" t="str">
        <f ca="1">IF(BR1&lt;&gt;"",OFFSET(変更先抽出【15時】!$A$1,BP1-1,32),"")</f>
        <v/>
      </c>
      <c r="BS4" s="211"/>
      <c r="BT4" s="44"/>
      <c r="BU4" s="206" t="str">
        <f ca="1">IF(BR1&lt;&gt;"",OFFSET(変更先抽出【15時】!$A$1,BP1-1,33),"")</f>
        <v/>
      </c>
      <c r="BV4" s="207"/>
      <c r="BY4" s="25"/>
      <c r="BZ4" s="210" t="str">
        <f ca="1">IF(BZ1&lt;&gt;"",OFFSET(変更先抽出【15時】!$A$1,BX1-1,32),"")</f>
        <v/>
      </c>
      <c r="CA4" s="211"/>
      <c r="CB4" s="44"/>
      <c r="CC4" s="206" t="str">
        <f ca="1">IF(BZ1&lt;&gt;"",OFFSET(変更先抽出【15時】!$A$1,BX1-1,33),"")</f>
        <v/>
      </c>
      <c r="CD4" s="207"/>
      <c r="CE4" s="26"/>
      <c r="CF4" s="25"/>
      <c r="CG4" s="210" t="str">
        <f ca="1">IF(CG1&lt;&gt;"",OFFSET(変更先抽出【15時】!$A$1,CE1-1,32),"")</f>
        <v/>
      </c>
      <c r="CH4" s="211"/>
      <c r="CI4" s="44"/>
      <c r="CJ4" s="206" t="str">
        <f ca="1">IF(CG1&lt;&gt;"",OFFSET(変更先抽出【15時】!$A$1,CE1-1,33),"")</f>
        <v/>
      </c>
      <c r="CK4" s="207"/>
      <c r="CN4" s="25"/>
      <c r="CO4" s="210" t="str">
        <f ca="1">IF(CO1&lt;&gt;"",OFFSET(変更先抽出【15時】!$A$1,CM1-1,32),"")</f>
        <v/>
      </c>
      <c r="CP4" s="211"/>
      <c r="CQ4" s="44"/>
      <c r="CR4" s="206" t="str">
        <f ca="1">IF(CO1&lt;&gt;"",OFFSET(変更先抽出【15時】!$A$1,CM1-1,33),"")</f>
        <v/>
      </c>
      <c r="CS4" s="207"/>
      <c r="CT4" s="26"/>
      <c r="CU4" s="25"/>
      <c r="CV4" s="210" t="str">
        <f ca="1">IF(CV1&lt;&gt;"",OFFSET(変更先抽出【15時】!$A$1,CT1-1,32),"")</f>
        <v/>
      </c>
      <c r="CW4" s="211"/>
      <c r="CX4" s="44"/>
      <c r="CY4" s="206" t="str">
        <f ca="1">IF(CV1&lt;&gt;"",OFFSET(変更先抽出【15時】!$A$1,CT1-1,33),"")</f>
        <v/>
      </c>
      <c r="CZ4" s="207"/>
      <c r="DC4" s="25"/>
      <c r="DD4" s="210" t="str">
        <f ca="1">IF(DD1&lt;&gt;"",OFFSET(変更先抽出【15時】!$A$1,DB1-1,32),"")</f>
        <v/>
      </c>
      <c r="DE4" s="211"/>
      <c r="DF4" s="44"/>
      <c r="DG4" s="206" t="str">
        <f ca="1">IF(DD1&lt;&gt;"",OFFSET(変更先抽出【15時】!$A$1,DB1-1,33),"")</f>
        <v/>
      </c>
      <c r="DH4" s="207"/>
      <c r="DI4" s="26"/>
      <c r="DJ4" s="25"/>
      <c r="DK4" s="210" t="str">
        <f ca="1">IF(DK1&lt;&gt;"",OFFSET(変更先抽出【15時】!$A$1,DI1-1,32),"")</f>
        <v/>
      </c>
      <c r="DL4" s="211"/>
      <c r="DM4" s="44"/>
      <c r="DN4" s="206" t="str">
        <f ca="1">IF(DK1&lt;&gt;"",OFFSET(変更先抽出【15時】!$A$1,DI1-1,33),"")</f>
        <v/>
      </c>
      <c r="DO4" s="207"/>
      <c r="DR4" s="25"/>
      <c r="DS4" s="210" t="str">
        <f ca="1">IF(DS1&lt;&gt;"",OFFSET(変更先抽出【15時】!$A$1,DQ1-1,32),"")</f>
        <v/>
      </c>
      <c r="DT4" s="211"/>
      <c r="DU4" s="44"/>
      <c r="DV4" s="206" t="str">
        <f ca="1">IF(DS1&lt;&gt;"",OFFSET(変更先抽出【15時】!$A$1,DQ1-1,33),"")</f>
        <v/>
      </c>
      <c r="DW4" s="207"/>
      <c r="DX4" s="26"/>
      <c r="DY4" s="25"/>
      <c r="DZ4" s="210" t="str">
        <f ca="1">IF(DZ1&lt;&gt;"",OFFSET(変更先抽出【15時】!$A$1,DX1-1,32),"")</f>
        <v/>
      </c>
      <c r="EA4" s="211"/>
      <c r="EB4" s="44"/>
      <c r="EC4" s="206" t="str">
        <f ca="1">IF(DZ1&lt;&gt;"",OFFSET(変更先抽出【15時】!$A$1,DX1-1,33),"")</f>
        <v/>
      </c>
      <c r="ED4" s="207"/>
      <c r="EG4" s="25"/>
      <c r="EH4" s="210" t="str">
        <f ca="1">IF(EH1&lt;&gt;"",OFFSET(変更先抽出【15時】!$A$1,EF1-1,32),"")</f>
        <v/>
      </c>
      <c r="EI4" s="211"/>
      <c r="EJ4" s="44"/>
      <c r="EK4" s="206" t="str">
        <f ca="1">IF(EH1&lt;&gt;"",OFFSET(変更先抽出【15時】!$A$1,EF1-1,33),"")</f>
        <v/>
      </c>
      <c r="EL4" s="207"/>
      <c r="EM4" s="26"/>
      <c r="EN4" s="25"/>
      <c r="EO4" s="210" t="str">
        <f ca="1">IF(EO1&lt;&gt;"",OFFSET(変更先抽出【15時】!$A$1,EM1-1,32),"")</f>
        <v/>
      </c>
      <c r="EP4" s="211"/>
      <c r="EQ4" s="44"/>
      <c r="ER4" s="206" t="str">
        <f ca="1">IF(EO1&lt;&gt;"",OFFSET(変更先抽出【15時】!$A$1,EM1-1,33),"")</f>
        <v/>
      </c>
      <c r="ES4" s="207"/>
    </row>
    <row r="5" spans="1:150" ht="15.6" customHeight="1">
      <c r="B5" s="27"/>
      <c r="C5" s="208"/>
      <c r="D5" s="208"/>
      <c r="E5" s="179"/>
      <c r="F5" s="208"/>
      <c r="G5" s="209"/>
      <c r="H5" s="26"/>
      <c r="I5" s="27"/>
      <c r="J5" s="208"/>
      <c r="K5" s="208"/>
      <c r="L5" s="179"/>
      <c r="M5" s="208"/>
      <c r="N5" s="209"/>
      <c r="Q5" s="27"/>
      <c r="R5" s="208"/>
      <c r="S5" s="208"/>
      <c r="T5" s="179"/>
      <c r="U5" s="208"/>
      <c r="V5" s="209"/>
      <c r="W5" s="26"/>
      <c r="X5" s="27"/>
      <c r="Y5" s="208"/>
      <c r="Z5" s="208"/>
      <c r="AA5" s="179"/>
      <c r="AB5" s="208"/>
      <c r="AC5" s="209"/>
      <c r="AF5" s="27"/>
      <c r="AG5" s="208"/>
      <c r="AH5" s="208"/>
      <c r="AI5" s="179"/>
      <c r="AJ5" s="208"/>
      <c r="AK5" s="209"/>
      <c r="AL5" s="26"/>
      <c r="AM5" s="27"/>
      <c r="AN5" s="208"/>
      <c r="AO5" s="208"/>
      <c r="AP5" s="179"/>
      <c r="AQ5" s="208"/>
      <c r="AR5" s="209"/>
      <c r="AU5" s="27"/>
      <c r="AV5" s="208"/>
      <c r="AW5" s="208"/>
      <c r="AX5" s="179"/>
      <c r="AY5" s="208"/>
      <c r="AZ5" s="209"/>
      <c r="BA5" s="26"/>
      <c r="BB5" s="27"/>
      <c r="BC5" s="208"/>
      <c r="BD5" s="208"/>
      <c r="BE5" s="179"/>
      <c r="BF5" s="208"/>
      <c r="BG5" s="209"/>
      <c r="BJ5" s="27"/>
      <c r="BK5" s="208"/>
      <c r="BL5" s="208"/>
      <c r="BM5" s="179"/>
      <c r="BN5" s="208"/>
      <c r="BO5" s="209"/>
      <c r="BP5" s="26"/>
      <c r="BQ5" s="27"/>
      <c r="BR5" s="208"/>
      <c r="BS5" s="208"/>
      <c r="BT5" s="179"/>
      <c r="BU5" s="208"/>
      <c r="BV5" s="209"/>
      <c r="BY5" s="27"/>
      <c r="BZ5" s="208"/>
      <c r="CA5" s="208"/>
      <c r="CB5" s="179"/>
      <c r="CC5" s="208"/>
      <c r="CD5" s="209"/>
      <c r="CE5" s="26"/>
      <c r="CF5" s="27"/>
      <c r="CG5" s="208"/>
      <c r="CH5" s="208"/>
      <c r="CI5" s="179"/>
      <c r="CJ5" s="208"/>
      <c r="CK5" s="209"/>
      <c r="CN5" s="27"/>
      <c r="CO5" s="208"/>
      <c r="CP5" s="208"/>
      <c r="CQ5" s="179"/>
      <c r="CR5" s="208"/>
      <c r="CS5" s="209"/>
      <c r="CT5" s="26"/>
      <c r="CU5" s="27"/>
      <c r="CV5" s="208"/>
      <c r="CW5" s="208"/>
      <c r="CX5" s="179"/>
      <c r="CY5" s="208"/>
      <c r="CZ5" s="209"/>
      <c r="DC5" s="27"/>
      <c r="DD5" s="208"/>
      <c r="DE5" s="208"/>
      <c r="DF5" s="179"/>
      <c r="DG5" s="208"/>
      <c r="DH5" s="209"/>
      <c r="DI5" s="26"/>
      <c r="DJ5" s="27"/>
      <c r="DK5" s="208"/>
      <c r="DL5" s="208"/>
      <c r="DM5" s="179"/>
      <c r="DN5" s="208"/>
      <c r="DO5" s="209"/>
      <c r="DR5" s="27"/>
      <c r="DS5" s="208"/>
      <c r="DT5" s="208"/>
      <c r="DU5" s="179"/>
      <c r="DV5" s="208"/>
      <c r="DW5" s="209"/>
      <c r="DX5" s="26"/>
      <c r="DY5" s="27"/>
      <c r="DZ5" s="208"/>
      <c r="EA5" s="208"/>
      <c r="EB5" s="179"/>
      <c r="EC5" s="208"/>
      <c r="ED5" s="209"/>
      <c r="EG5" s="27"/>
      <c r="EH5" s="208"/>
      <c r="EI5" s="208"/>
      <c r="EJ5" s="179"/>
      <c r="EK5" s="208"/>
      <c r="EL5" s="209"/>
      <c r="EM5" s="26"/>
      <c r="EN5" s="27"/>
      <c r="EO5" s="208"/>
      <c r="EP5" s="208"/>
      <c r="EQ5" s="179"/>
      <c r="ER5" s="208"/>
      <c r="ES5" s="209"/>
    </row>
    <row r="6" spans="1:150" s="181" customFormat="1">
      <c r="A6" s="30"/>
      <c r="B6" s="34" t="str">
        <f ca="1">IF(C1&lt;&gt;"","パン箱","")</f>
        <v/>
      </c>
      <c r="C6" s="32" t="str">
        <f ca="1">IF(C1&lt;&gt;"",OFFSET(変更先抽出【15時】!$A$1,A1-1,35),"")</f>
        <v/>
      </c>
      <c r="D6" s="34" t="str">
        <f ca="1">IF(C1&lt;&gt;"","端数","")</f>
        <v/>
      </c>
      <c r="E6" s="32"/>
      <c r="F6" s="34" t="str">
        <f ca="1">IF(C1&lt;&gt;"","アレルギー","")</f>
        <v/>
      </c>
      <c r="G6" s="37"/>
      <c r="H6" s="22"/>
      <c r="I6" s="34" t="str">
        <f ca="1">IF(J1&lt;&gt;"","パン箱","")</f>
        <v/>
      </c>
      <c r="J6" s="32" t="str">
        <f ca="1">IF(J1&lt;&gt;"",OFFSET(変更先抽出【15時】!$A$1,H1-1,35),"")</f>
        <v/>
      </c>
      <c r="K6" s="34" t="str">
        <f ca="1">IF(J1&lt;&gt;"","端数","")</f>
        <v/>
      </c>
      <c r="L6" s="32"/>
      <c r="M6" s="34" t="str">
        <f ca="1">IF(J1&lt;&gt;"","アレルギー","")</f>
        <v/>
      </c>
      <c r="N6" s="37"/>
      <c r="O6" s="22"/>
      <c r="P6" s="30"/>
      <c r="Q6" s="34" t="str">
        <f ca="1">IF(R1&lt;&gt;"","パン箱","")</f>
        <v/>
      </c>
      <c r="R6" s="32" t="str">
        <f ca="1">IF(R1&lt;&gt;"",OFFSET(変更先抽出【15時】!$A$1,P1-1,35),"")</f>
        <v/>
      </c>
      <c r="S6" s="34" t="str">
        <f ca="1">IF(R1&lt;&gt;"","端数","")</f>
        <v/>
      </c>
      <c r="T6" s="32"/>
      <c r="U6" s="34" t="str">
        <f ca="1">IF(R1&lt;&gt;"","アレルギー","")</f>
        <v/>
      </c>
      <c r="V6" s="37"/>
      <c r="W6" s="22"/>
      <c r="X6" s="34" t="str">
        <f ca="1">IF(Y1&lt;&gt;"","パン箱","")</f>
        <v/>
      </c>
      <c r="Y6" s="32" t="str">
        <f ca="1">IF(Y1&lt;&gt;"",OFFSET(変更先抽出【15時】!$A$1,W1-1,35),"")</f>
        <v/>
      </c>
      <c r="Z6" s="34" t="str">
        <f ca="1">IF(Y1&lt;&gt;"","端数","")</f>
        <v/>
      </c>
      <c r="AA6" s="32"/>
      <c r="AB6" s="34" t="str">
        <f ca="1">IF(Y1&lt;&gt;"","アレルギー","")</f>
        <v/>
      </c>
      <c r="AC6" s="37"/>
      <c r="AD6" s="22"/>
      <c r="AE6" s="30"/>
      <c r="AF6" s="34" t="str">
        <f ca="1">IF(AG1&lt;&gt;"","パン箱","")</f>
        <v/>
      </c>
      <c r="AG6" s="32" t="str">
        <f ca="1">IF(AG1&lt;&gt;"",OFFSET(変更先抽出【15時】!$A$1,AE1-1,35),"")</f>
        <v/>
      </c>
      <c r="AH6" s="34" t="str">
        <f ca="1">IF(AG1&lt;&gt;"","端数","")</f>
        <v/>
      </c>
      <c r="AI6" s="32"/>
      <c r="AJ6" s="34" t="str">
        <f ca="1">IF(AG1&lt;&gt;"","アレルギー","")</f>
        <v/>
      </c>
      <c r="AK6" s="37"/>
      <c r="AL6" s="22"/>
      <c r="AM6" s="34" t="str">
        <f ca="1">IF(AN1&lt;&gt;"","パン箱","")</f>
        <v/>
      </c>
      <c r="AN6" s="32" t="str">
        <f ca="1">IF(AN1&lt;&gt;"",OFFSET(変更先抽出【15時】!$A$1,AL1-1,35),"")</f>
        <v/>
      </c>
      <c r="AO6" s="34" t="str">
        <f ca="1">IF(AN1&lt;&gt;"","端数","")</f>
        <v/>
      </c>
      <c r="AP6" s="32"/>
      <c r="AQ6" s="34" t="str">
        <f ca="1">IF(AN1&lt;&gt;"","アレルギー","")</f>
        <v/>
      </c>
      <c r="AR6" s="37"/>
      <c r="AS6" s="22"/>
      <c r="AT6" s="30"/>
      <c r="AU6" s="34" t="str">
        <f ca="1">IF(AV1&lt;&gt;"","パン箱","")</f>
        <v/>
      </c>
      <c r="AV6" s="32" t="str">
        <f ca="1">IF(AV1&lt;&gt;"",OFFSET(変更先抽出【15時】!$A$1,AT1-1,35),"")</f>
        <v/>
      </c>
      <c r="AW6" s="34" t="str">
        <f ca="1">IF(AV1&lt;&gt;"","端数","")</f>
        <v/>
      </c>
      <c r="AX6" s="32"/>
      <c r="AY6" s="34" t="str">
        <f ca="1">IF(AV1&lt;&gt;"","アレルギー","")</f>
        <v/>
      </c>
      <c r="AZ6" s="37"/>
      <c r="BA6" s="22"/>
      <c r="BB6" s="34" t="str">
        <f ca="1">IF(BC1&lt;&gt;"","パン箱","")</f>
        <v/>
      </c>
      <c r="BC6" s="32" t="str">
        <f ca="1">IF(BC1&lt;&gt;"",OFFSET(変更先抽出【15時】!$A$1,BA1-1,35),"")</f>
        <v/>
      </c>
      <c r="BD6" s="34" t="str">
        <f ca="1">IF(BC1&lt;&gt;"","端数","")</f>
        <v/>
      </c>
      <c r="BE6" s="32"/>
      <c r="BF6" s="34" t="str">
        <f ca="1">IF(BC1&lt;&gt;"","アレルギー","")</f>
        <v/>
      </c>
      <c r="BG6" s="37"/>
      <c r="BH6" s="22"/>
      <c r="BI6" s="30"/>
      <c r="BJ6" s="34" t="str">
        <f ca="1">IF(BK1&lt;&gt;"","パン箱","")</f>
        <v/>
      </c>
      <c r="BK6" s="32" t="str">
        <f ca="1">IF(BK1&lt;&gt;"",OFFSET(変更先抽出【15時】!$A$1,BI1-1,35),"")</f>
        <v/>
      </c>
      <c r="BL6" s="34" t="str">
        <f ca="1">IF(BK1&lt;&gt;"","端数","")</f>
        <v/>
      </c>
      <c r="BM6" s="32"/>
      <c r="BN6" s="34" t="str">
        <f ca="1">IF(BK1&lt;&gt;"","アレルギー","")</f>
        <v/>
      </c>
      <c r="BO6" s="37"/>
      <c r="BP6" s="22"/>
      <c r="BQ6" s="34" t="str">
        <f ca="1">IF(BR1&lt;&gt;"","パン箱","")</f>
        <v/>
      </c>
      <c r="BR6" s="32" t="str">
        <f ca="1">IF(BR1&lt;&gt;"",OFFSET(変更先抽出【15時】!$A$1,BP1-1,35),"")</f>
        <v/>
      </c>
      <c r="BS6" s="34" t="str">
        <f ca="1">IF(BR1&lt;&gt;"","端数","")</f>
        <v/>
      </c>
      <c r="BT6" s="32"/>
      <c r="BU6" s="34" t="str">
        <f ca="1">IF(BR1&lt;&gt;"","アレルギー","")</f>
        <v/>
      </c>
      <c r="BV6" s="37"/>
      <c r="BW6" s="22"/>
      <c r="BX6" s="30"/>
      <c r="BY6" s="34" t="str">
        <f ca="1">IF(BZ1&lt;&gt;"","パン箱","")</f>
        <v/>
      </c>
      <c r="BZ6" s="32" t="str">
        <f ca="1">IF(BZ1&lt;&gt;"",OFFSET(変更先抽出【15時】!$A$1,BX1-1,35),"")</f>
        <v/>
      </c>
      <c r="CA6" s="34" t="str">
        <f ca="1">IF(BZ1&lt;&gt;"","端数","")</f>
        <v/>
      </c>
      <c r="CB6" s="32"/>
      <c r="CC6" s="34" t="str">
        <f ca="1">IF(BZ1&lt;&gt;"","アレルギー","")</f>
        <v/>
      </c>
      <c r="CD6" s="37"/>
      <c r="CE6" s="22"/>
      <c r="CF6" s="34" t="str">
        <f ca="1">IF(CG1&lt;&gt;"","パン箱","")</f>
        <v/>
      </c>
      <c r="CG6" s="32" t="str">
        <f ca="1">IF(CG1&lt;&gt;"",OFFSET(変更先抽出【15時】!$A$1,CE1-1,35),"")</f>
        <v/>
      </c>
      <c r="CH6" s="34" t="str">
        <f ca="1">IF(CG1&lt;&gt;"","端数","")</f>
        <v/>
      </c>
      <c r="CI6" s="32"/>
      <c r="CJ6" s="34" t="str">
        <f ca="1">IF(CG1&lt;&gt;"","アレルギー","")</f>
        <v/>
      </c>
      <c r="CK6" s="37"/>
      <c r="CL6" s="22"/>
      <c r="CM6" s="30"/>
      <c r="CN6" s="34" t="str">
        <f ca="1">IF(CO1&lt;&gt;"","パン箱","")</f>
        <v/>
      </c>
      <c r="CO6" s="32" t="str">
        <f ca="1">IF(CO1&lt;&gt;"",OFFSET(変更先抽出【15時】!$A$1,CM1-1,35),"")</f>
        <v/>
      </c>
      <c r="CP6" s="34" t="str">
        <f ca="1">IF(CO1&lt;&gt;"","端数","")</f>
        <v/>
      </c>
      <c r="CQ6" s="32"/>
      <c r="CR6" s="34" t="str">
        <f ca="1">IF(CO1&lt;&gt;"","アレルギー","")</f>
        <v/>
      </c>
      <c r="CS6" s="37"/>
      <c r="CT6" s="22"/>
      <c r="CU6" s="34" t="str">
        <f ca="1">IF(CV1&lt;&gt;"","パン箱","")</f>
        <v/>
      </c>
      <c r="CV6" s="32" t="str">
        <f ca="1">IF(CV1&lt;&gt;"",OFFSET(変更先抽出【15時】!$A$1,CT1-1,35),"")</f>
        <v/>
      </c>
      <c r="CW6" s="34" t="str">
        <f ca="1">IF(CV1&lt;&gt;"","端数","")</f>
        <v/>
      </c>
      <c r="CX6" s="32"/>
      <c r="CY6" s="34" t="str">
        <f ca="1">IF(CV1&lt;&gt;"","アレルギー","")</f>
        <v/>
      </c>
      <c r="CZ6" s="37"/>
      <c r="DA6" s="22"/>
      <c r="DB6" s="30"/>
      <c r="DC6" s="34" t="str">
        <f ca="1">IF(DD1&lt;&gt;"","パン箱","")</f>
        <v/>
      </c>
      <c r="DD6" s="32" t="str">
        <f ca="1">IF(DD1&lt;&gt;"",OFFSET(変更先抽出【15時】!$A$1,DB1-1,35),"")</f>
        <v/>
      </c>
      <c r="DE6" s="34" t="str">
        <f ca="1">IF(DD1&lt;&gt;"","端数","")</f>
        <v/>
      </c>
      <c r="DF6" s="32"/>
      <c r="DG6" s="34" t="str">
        <f ca="1">IF(DD1&lt;&gt;"","アレルギー","")</f>
        <v/>
      </c>
      <c r="DH6" s="37"/>
      <c r="DI6" s="22"/>
      <c r="DJ6" s="34" t="str">
        <f ca="1">IF(DK1&lt;&gt;"","パン箱","")</f>
        <v/>
      </c>
      <c r="DK6" s="32" t="str">
        <f ca="1">IF(DK1&lt;&gt;"",OFFSET(変更先抽出【15時】!$A$1,DI1-1,35),"")</f>
        <v/>
      </c>
      <c r="DL6" s="34" t="str">
        <f ca="1">IF(DK1&lt;&gt;"","端数","")</f>
        <v/>
      </c>
      <c r="DM6" s="32"/>
      <c r="DN6" s="34" t="str">
        <f ca="1">IF(DK1&lt;&gt;"","アレルギー","")</f>
        <v/>
      </c>
      <c r="DO6" s="37"/>
      <c r="DP6" s="22"/>
      <c r="DQ6" s="30"/>
      <c r="DR6" s="34" t="str">
        <f ca="1">IF(DS1&lt;&gt;"","パン箱","")</f>
        <v/>
      </c>
      <c r="DS6" s="32" t="str">
        <f ca="1">IF(DS1&lt;&gt;"",OFFSET(変更先抽出【15時】!$A$1,DQ1-1,35),"")</f>
        <v/>
      </c>
      <c r="DT6" s="34" t="str">
        <f ca="1">IF(DS1&lt;&gt;"","端数","")</f>
        <v/>
      </c>
      <c r="DU6" s="32"/>
      <c r="DV6" s="34" t="str">
        <f ca="1">IF(DS1&lt;&gt;"","アレルギー","")</f>
        <v/>
      </c>
      <c r="DW6" s="37"/>
      <c r="DX6" s="22"/>
      <c r="DY6" s="34" t="str">
        <f ca="1">IF(DZ1&lt;&gt;"","パン箱","")</f>
        <v/>
      </c>
      <c r="DZ6" s="32" t="str">
        <f ca="1">IF(DZ1&lt;&gt;"",OFFSET(変更先抽出【15時】!$A$1,DX1-1,35),"")</f>
        <v/>
      </c>
      <c r="EA6" s="34" t="str">
        <f ca="1">IF(DZ1&lt;&gt;"","端数","")</f>
        <v/>
      </c>
      <c r="EB6" s="32"/>
      <c r="EC6" s="34" t="str">
        <f ca="1">IF(DZ1&lt;&gt;"","アレルギー","")</f>
        <v/>
      </c>
      <c r="ED6" s="37"/>
      <c r="EE6" s="22"/>
      <c r="EF6" s="30"/>
      <c r="EG6" s="34" t="str">
        <f ca="1">IF(EH1&lt;&gt;"","パン箱","")</f>
        <v/>
      </c>
      <c r="EH6" s="32" t="str">
        <f ca="1">IF(EH1&lt;&gt;"",OFFSET(変更先抽出【15時】!$A$1,EF1-1,35),"")</f>
        <v/>
      </c>
      <c r="EI6" s="34" t="str">
        <f ca="1">IF(EH1&lt;&gt;"","端数","")</f>
        <v/>
      </c>
      <c r="EJ6" s="32"/>
      <c r="EK6" s="34" t="str">
        <f ca="1">IF(EH1&lt;&gt;"","アレルギー","")</f>
        <v/>
      </c>
      <c r="EL6" s="37"/>
      <c r="EM6" s="22"/>
      <c r="EN6" s="34" t="str">
        <f ca="1">IF(EO1&lt;&gt;"","パン箱","")</f>
        <v/>
      </c>
      <c r="EO6" s="32" t="str">
        <f ca="1">IF(EO1&lt;&gt;"",OFFSET(変更先抽出【15時】!$A$1,EM1-1,35),"")</f>
        <v/>
      </c>
      <c r="EP6" s="34" t="str">
        <f ca="1">IF(EO1&lt;&gt;"","端数","")</f>
        <v/>
      </c>
      <c r="EQ6" s="32"/>
      <c r="ER6" s="34" t="str">
        <f ca="1">IF(EO1&lt;&gt;"","アレルギー","")</f>
        <v/>
      </c>
      <c r="ES6" s="37"/>
      <c r="ET6" s="22"/>
    </row>
    <row r="7" spans="1:150" ht="27.6" customHeight="1">
      <c r="B7" s="216" t="str">
        <f ca="1">IF(C1&lt;&gt;"",IFERROR(INT(C4/C6),""),"")</f>
        <v/>
      </c>
      <c r="C7" s="209"/>
      <c r="D7" s="216" t="str">
        <f ca="1">IF(C1&lt;&gt;"",IFERROR(MOD(C4,C6),""),"")</f>
        <v/>
      </c>
      <c r="E7" s="209"/>
      <c r="F7" s="217" t="str">
        <f ca="1">IF(C1&lt;&gt;"",OFFSET(変更先抽出【15時】!$A$1,A1-1,34),"")</f>
        <v/>
      </c>
      <c r="G7" s="209"/>
      <c r="I7" s="216" t="str">
        <f ca="1">IF(J1&lt;&gt;"",IFERROR(INT(J4/J6),""),"")</f>
        <v/>
      </c>
      <c r="J7" s="209"/>
      <c r="K7" s="216" t="str">
        <f ca="1">IF(J1&lt;&gt;"",IFERROR(MOD(J4,J6),""),"")</f>
        <v/>
      </c>
      <c r="L7" s="209"/>
      <c r="M7" s="217" t="str">
        <f ca="1">IF(J1&lt;&gt;"",OFFSET(変更先抽出【15時】!$A$1,H1-1,34),"")</f>
        <v/>
      </c>
      <c r="N7" s="209"/>
      <c r="Q7" s="216" t="str">
        <f ca="1">IF(R1&lt;&gt;"",IFERROR(INT(R4/R6),""),"")</f>
        <v/>
      </c>
      <c r="R7" s="209"/>
      <c r="S7" s="216" t="str">
        <f ca="1">IF(R1&lt;&gt;"",IFERROR(MOD(R4,R6),""),"")</f>
        <v/>
      </c>
      <c r="T7" s="209"/>
      <c r="U7" s="217" t="str">
        <f ca="1">IF(R1&lt;&gt;"",OFFSET(変更先抽出【15時】!$A$1,P1-1,34),"")</f>
        <v/>
      </c>
      <c r="V7" s="209"/>
      <c r="X7" s="216" t="str">
        <f ca="1">IF(Y1&lt;&gt;"",IFERROR(INT(Y4/Y6),""),"")</f>
        <v/>
      </c>
      <c r="Y7" s="209"/>
      <c r="Z7" s="216" t="str">
        <f ca="1">IF(Y1&lt;&gt;"",IFERROR(MOD(Y4,Y6),""),"")</f>
        <v/>
      </c>
      <c r="AA7" s="209"/>
      <c r="AB7" s="217" t="str">
        <f ca="1">IF(Y1&lt;&gt;"",OFFSET(変更先抽出【15時】!$A$1,W1-1,34),"")</f>
        <v/>
      </c>
      <c r="AC7" s="209"/>
      <c r="AF7" s="216" t="str">
        <f ca="1">IF(AG1&lt;&gt;"",IFERROR(INT(AG4/AG6),""),"")</f>
        <v/>
      </c>
      <c r="AG7" s="209"/>
      <c r="AH7" s="216" t="str">
        <f ca="1">IF(AG1&lt;&gt;"",IFERROR(MOD(AG4,AG6),""),"")</f>
        <v/>
      </c>
      <c r="AI7" s="209"/>
      <c r="AJ7" s="217" t="str">
        <f ca="1">IF(AG1&lt;&gt;"",OFFSET(変更先抽出【15時】!$A$1,AE1-1,34),"")</f>
        <v/>
      </c>
      <c r="AK7" s="209"/>
      <c r="AM7" s="216" t="str">
        <f ca="1">IF(AN1&lt;&gt;"",IFERROR(INT(AN4/AN6),""),"")</f>
        <v/>
      </c>
      <c r="AN7" s="209"/>
      <c r="AO7" s="216" t="str">
        <f ca="1">IF(AN1&lt;&gt;"",IFERROR(MOD(AN4,AN6),""),"")</f>
        <v/>
      </c>
      <c r="AP7" s="209"/>
      <c r="AQ7" s="217" t="str">
        <f ca="1">IF(AN1&lt;&gt;"",OFFSET(変更先抽出【15時】!$A$1,AL1-1,34),"")</f>
        <v/>
      </c>
      <c r="AR7" s="209"/>
      <c r="AU7" s="216" t="str">
        <f ca="1">IF(AV1&lt;&gt;"",IFERROR(INT(AV4/AV6),""),"")</f>
        <v/>
      </c>
      <c r="AV7" s="209"/>
      <c r="AW7" s="216" t="str">
        <f ca="1">IF(AV1&lt;&gt;"",IFERROR(MOD(AV4,AV6),""),"")</f>
        <v/>
      </c>
      <c r="AX7" s="209"/>
      <c r="AY7" s="217" t="str">
        <f ca="1">IF(AV1&lt;&gt;"",OFFSET(変更先抽出【15時】!$A$1,AT1-1,34),"")</f>
        <v/>
      </c>
      <c r="AZ7" s="209"/>
      <c r="BB7" s="216" t="str">
        <f ca="1">IF(BC1&lt;&gt;"",IFERROR(INT(BC4/BC6),""),"")</f>
        <v/>
      </c>
      <c r="BC7" s="209"/>
      <c r="BD7" s="216" t="str">
        <f ca="1">IF(BC1&lt;&gt;"",IFERROR(MOD(BC4,BC6),""),"")</f>
        <v/>
      </c>
      <c r="BE7" s="209"/>
      <c r="BF7" s="217" t="str">
        <f ca="1">IF(BC1&lt;&gt;"",OFFSET(変更先抽出【15時】!$A$1,BA1-1,34),"")</f>
        <v/>
      </c>
      <c r="BG7" s="209"/>
      <c r="BJ7" s="216" t="str">
        <f ca="1">IF(BK1&lt;&gt;"",IFERROR(INT(BK4/BK6),""),"")</f>
        <v/>
      </c>
      <c r="BK7" s="209"/>
      <c r="BL7" s="216" t="str">
        <f ca="1">IF(BK1&lt;&gt;"",IFERROR(MOD(BK4,BK6),""),"")</f>
        <v/>
      </c>
      <c r="BM7" s="209"/>
      <c r="BN7" s="217" t="str">
        <f ca="1">IF(BK1&lt;&gt;"",OFFSET(変更先抽出【15時】!$A$1,BI1-1,34),"")</f>
        <v/>
      </c>
      <c r="BO7" s="209"/>
      <c r="BQ7" s="216" t="str">
        <f ca="1">IF(BR1&lt;&gt;"",IFERROR(INT(BR4/BR6),""),"")</f>
        <v/>
      </c>
      <c r="BR7" s="209"/>
      <c r="BS7" s="216" t="str">
        <f ca="1">IF(BR1&lt;&gt;"",IFERROR(MOD(BR4,BR6),""),"")</f>
        <v/>
      </c>
      <c r="BT7" s="209"/>
      <c r="BU7" s="217" t="str">
        <f ca="1">IF(BR1&lt;&gt;"",OFFSET(変更先抽出【15時】!$A$1,BP1-1,34),"")</f>
        <v/>
      </c>
      <c r="BV7" s="209"/>
      <c r="BY7" s="216" t="str">
        <f ca="1">IF(BZ1&lt;&gt;"",IFERROR(INT(BZ4/BZ6),""),"")</f>
        <v/>
      </c>
      <c r="BZ7" s="209"/>
      <c r="CA7" s="216" t="str">
        <f ca="1">IF(BZ1&lt;&gt;"",IFERROR(MOD(BZ4,BZ6),""),"")</f>
        <v/>
      </c>
      <c r="CB7" s="209"/>
      <c r="CC7" s="217" t="str">
        <f ca="1">IF(BZ1&lt;&gt;"",OFFSET(変更先抽出【15時】!$A$1,BX1-1,34),"")</f>
        <v/>
      </c>
      <c r="CD7" s="209"/>
      <c r="CF7" s="216" t="str">
        <f ca="1">IF(CG1&lt;&gt;"",IFERROR(INT(CG4/CG6),""),"")</f>
        <v/>
      </c>
      <c r="CG7" s="209"/>
      <c r="CH7" s="216" t="str">
        <f ca="1">IF(CG1&lt;&gt;"",IFERROR(MOD(CG4,CG6),""),"")</f>
        <v/>
      </c>
      <c r="CI7" s="209"/>
      <c r="CJ7" s="217" t="str">
        <f ca="1">IF(CG1&lt;&gt;"",OFFSET(変更先抽出【15時】!$A$1,CE1-1,34),"")</f>
        <v/>
      </c>
      <c r="CK7" s="209"/>
      <c r="CN7" s="216" t="str">
        <f ca="1">IF(CO1&lt;&gt;"",IFERROR(INT(CO4/CO6),""),"")</f>
        <v/>
      </c>
      <c r="CO7" s="209"/>
      <c r="CP7" s="216" t="str">
        <f ca="1">IF(CO1&lt;&gt;"",IFERROR(MOD(CO4,CO6),""),"")</f>
        <v/>
      </c>
      <c r="CQ7" s="209"/>
      <c r="CR7" s="217" t="str">
        <f ca="1">IF(CO1&lt;&gt;"",OFFSET(変更先抽出【15時】!$A$1,CM1-1,34),"")</f>
        <v/>
      </c>
      <c r="CS7" s="209"/>
      <c r="CU7" s="216" t="str">
        <f ca="1">IF(CV1&lt;&gt;"",IFERROR(INT(CV4/CV6),""),"")</f>
        <v/>
      </c>
      <c r="CV7" s="209"/>
      <c r="CW7" s="216" t="str">
        <f ca="1">IF(CV1&lt;&gt;"",IFERROR(MOD(CV4,CV6),""),"")</f>
        <v/>
      </c>
      <c r="CX7" s="209"/>
      <c r="CY7" s="217" t="str">
        <f ca="1">IF(CV1&lt;&gt;"",OFFSET(変更先抽出【15時】!$A$1,CT1-1,34),"")</f>
        <v/>
      </c>
      <c r="CZ7" s="209"/>
      <c r="DC7" s="216" t="str">
        <f ca="1">IF(DD1&lt;&gt;"",IFERROR(INT(DD4/DD6),""),"")</f>
        <v/>
      </c>
      <c r="DD7" s="209"/>
      <c r="DE7" s="216" t="str">
        <f ca="1">IF(DD1&lt;&gt;"",IFERROR(MOD(DD4,DD6),""),"")</f>
        <v/>
      </c>
      <c r="DF7" s="209"/>
      <c r="DG7" s="217" t="str">
        <f ca="1">IF(DD1&lt;&gt;"",OFFSET(変更先抽出【15時】!$A$1,DB1-1,34),"")</f>
        <v/>
      </c>
      <c r="DH7" s="209"/>
      <c r="DJ7" s="216" t="str">
        <f ca="1">IF(DK1&lt;&gt;"",IFERROR(INT(DK4/DK6),""),"")</f>
        <v/>
      </c>
      <c r="DK7" s="209"/>
      <c r="DL7" s="216" t="str">
        <f ca="1">IF(DK1&lt;&gt;"",IFERROR(MOD(DK4,DK6),""),"")</f>
        <v/>
      </c>
      <c r="DM7" s="209"/>
      <c r="DN7" s="217" t="str">
        <f ca="1">IF(DK1&lt;&gt;"",OFFSET(変更先抽出【15時】!$A$1,DI1-1,34),"")</f>
        <v/>
      </c>
      <c r="DO7" s="209"/>
      <c r="DR7" s="216" t="str">
        <f ca="1">IF(DS1&lt;&gt;"",IFERROR(INT(DS4/DS6),""),"")</f>
        <v/>
      </c>
      <c r="DS7" s="209"/>
      <c r="DT7" s="216" t="str">
        <f ca="1">IF(DS1&lt;&gt;"",IFERROR(MOD(DS4,DS6),""),"")</f>
        <v/>
      </c>
      <c r="DU7" s="209"/>
      <c r="DV7" s="217" t="str">
        <f ca="1">IF(DS1&lt;&gt;"",OFFSET(変更先抽出【15時】!$A$1,DQ1-1,34),"")</f>
        <v/>
      </c>
      <c r="DW7" s="209"/>
      <c r="DY7" s="216" t="str">
        <f ca="1">IF(DZ1&lt;&gt;"",IFERROR(INT(DZ4/DZ6),""),"")</f>
        <v/>
      </c>
      <c r="DZ7" s="209"/>
      <c r="EA7" s="216" t="str">
        <f ca="1">IF(DZ1&lt;&gt;"",IFERROR(MOD(DZ4,DZ6),""),"")</f>
        <v/>
      </c>
      <c r="EB7" s="209"/>
      <c r="EC7" s="217" t="str">
        <f ca="1">IF(DZ1&lt;&gt;"",OFFSET(変更先抽出【15時】!$A$1,DX1-1,34),"")</f>
        <v/>
      </c>
      <c r="ED7" s="209"/>
      <c r="EG7" s="216" t="str">
        <f ca="1">IF(EH1&lt;&gt;"",IFERROR(INT(EH4/EH6),""),"")</f>
        <v/>
      </c>
      <c r="EH7" s="209"/>
      <c r="EI7" s="216" t="str">
        <f ca="1">IF(EH1&lt;&gt;"",IFERROR(MOD(EH4,EH6),""),"")</f>
        <v/>
      </c>
      <c r="EJ7" s="209"/>
      <c r="EK7" s="217" t="str">
        <f ca="1">IF(EH1&lt;&gt;"",OFFSET(変更先抽出【15時】!$A$1,EF1-1,34),"")</f>
        <v/>
      </c>
      <c r="EL7" s="209"/>
      <c r="EN7" s="216" t="str">
        <f ca="1">IF(EO1&lt;&gt;"",IFERROR(INT(EO4/EO6),""),"")</f>
        <v/>
      </c>
      <c r="EO7" s="209"/>
      <c r="EP7" s="216" t="str">
        <f ca="1">IF(EO1&lt;&gt;"",IFERROR(MOD(EO4,EO6),""),"")</f>
        <v/>
      </c>
      <c r="EQ7" s="209"/>
      <c r="ER7" s="217" t="str">
        <f ca="1">IF(EO1&lt;&gt;"",OFFSET(変更先抽出【15時】!$A$1,EM1-1,34),"")</f>
        <v/>
      </c>
      <c r="ES7" s="209"/>
    </row>
    <row r="8" spans="1:150" ht="6.6" customHeight="1">
      <c r="B8" s="41"/>
      <c r="D8" s="41"/>
      <c r="F8" s="42"/>
      <c r="I8" s="41"/>
      <c r="K8" s="41"/>
      <c r="M8" s="42"/>
      <c r="Q8" s="41"/>
      <c r="S8" s="41"/>
      <c r="U8" s="42"/>
      <c r="X8" s="41"/>
      <c r="Z8" s="41"/>
      <c r="AB8" s="42"/>
      <c r="AF8" s="41"/>
      <c r="AH8" s="41"/>
      <c r="AJ8" s="42"/>
      <c r="AM8" s="41"/>
      <c r="AO8" s="41"/>
      <c r="AQ8" s="42"/>
      <c r="AU8" s="41"/>
      <c r="AW8" s="41"/>
      <c r="AY8" s="42"/>
      <c r="BB8" s="41"/>
      <c r="BD8" s="41"/>
      <c r="BF8" s="42"/>
      <c r="BJ8" s="41"/>
      <c r="BL8" s="41"/>
      <c r="BN8" s="42"/>
      <c r="BQ8" s="41"/>
      <c r="BS8" s="41"/>
      <c r="BU8" s="42"/>
      <c r="BY8" s="41"/>
      <c r="CA8" s="41"/>
      <c r="CC8" s="42"/>
      <c r="CF8" s="41"/>
      <c r="CH8" s="41"/>
      <c r="CJ8" s="42"/>
      <c r="CN8" s="41"/>
      <c r="CP8" s="41"/>
      <c r="CR8" s="42"/>
      <c r="CU8" s="41"/>
      <c r="CW8" s="41"/>
      <c r="CY8" s="42"/>
      <c r="DC8" s="41"/>
      <c r="DE8" s="41"/>
      <c r="DG8" s="42"/>
      <c r="DJ8" s="41"/>
      <c r="DL8" s="41"/>
      <c r="DN8" s="42"/>
      <c r="DR8" s="41"/>
      <c r="DT8" s="41"/>
      <c r="DV8" s="42"/>
      <c r="DY8" s="41"/>
      <c r="EA8" s="41"/>
      <c r="EC8" s="42"/>
      <c r="EG8" s="41"/>
      <c r="EI8" s="41"/>
      <c r="EK8" s="42"/>
      <c r="EN8" s="41"/>
      <c r="EP8" s="41"/>
      <c r="ER8" s="42"/>
    </row>
    <row r="9" spans="1:150" s="181" customFormat="1" ht="25.8" customHeight="1">
      <c r="A9" s="30">
        <f ca="1">IF(OFFSET(変更先抽出【15時】!$A$1,H1+1-1,29)="",H1+2,H1+1)</f>
        <v>5</v>
      </c>
      <c r="B9" s="40" t="str">
        <f ca="1">IF(C9&lt;&gt;"",
MID(貼り付け用!$A$2, FIND("年",貼り付け用!$A$2)+1,2)&amp;"/"&amp;MID(貼り付け用!$A$2, FIND("月",貼り付け用!$A$2)+1,2),"")</f>
        <v/>
      </c>
      <c r="C9" s="214" t="str">
        <f ca="1">IF(OFFSET(変更先抽出【15時】!$A$1,A9-1,16)&lt;&gt;"",OFFSET(変更先抽出【15時】!$A$1,A9-1,17),"")</f>
        <v/>
      </c>
      <c r="D9" s="215"/>
      <c r="E9" s="215"/>
      <c r="F9" s="215"/>
      <c r="G9" s="39" t="str">
        <f ca="1">IF(C9&lt;&gt;"","様","")</f>
        <v/>
      </c>
      <c r="H9" s="33">
        <f ca="1">IF(OFFSET(変更先抽出【15時】!$A$1,A9+1-1,29)="",A9+2,A9+1)</f>
        <v>7</v>
      </c>
      <c r="I9" s="40" t="str">
        <f ca="1">IF(J9&lt;&gt;"",
MID(貼り付け用!$A$2, FIND("年",貼り付け用!$A$2)+1,2)&amp;"/"&amp;MID(貼り付け用!$A$2, FIND("月",貼り付け用!$A$2)+1,2),"")</f>
        <v/>
      </c>
      <c r="J9" s="214" t="str">
        <f ca="1">IF(OFFSET(変更先抽出【15時】!$A$1,H9-1,29)&lt;&gt;"",OFFSET(変更先抽出【15時】!$A$1,H9-1,30),"")</f>
        <v/>
      </c>
      <c r="K9" s="215"/>
      <c r="L9" s="215"/>
      <c r="M9" s="215"/>
      <c r="N9" s="39" t="str">
        <f ca="1">IF(J9&lt;&gt;"","様","")</f>
        <v/>
      </c>
      <c r="O9" s="22"/>
      <c r="P9" s="30">
        <f ca="1">IF(OFFSET(変更先抽出【15時】!$A$1,W1+1-1,29)="",W1+2,W1+1)</f>
        <v>29</v>
      </c>
      <c r="Q9" s="40" t="str">
        <f ca="1">IF(R9&lt;&gt;"",
MID(貼り付け用!$A$2, FIND("年",貼り付け用!$A$2)+1,2)&amp;"/"&amp;MID(貼り付け用!$A$2, FIND("月",貼り付け用!$A$2)+1,2),"")</f>
        <v/>
      </c>
      <c r="R9" s="214" t="str">
        <f ca="1">IF(OFFSET(変更先抽出【15時】!$A$1,P9-1,16)&lt;&gt;"",OFFSET(変更先抽出【15時】!$A$1,P9-1,17),"")</f>
        <v/>
      </c>
      <c r="S9" s="215"/>
      <c r="T9" s="215"/>
      <c r="U9" s="215"/>
      <c r="V9" s="39" t="str">
        <f ca="1">IF(R9&lt;&gt;"","様","")</f>
        <v/>
      </c>
      <c r="W9" s="33">
        <f ca="1">IF(OFFSET(変更先抽出【15時】!$A$1,P9+1-1,29)="",P9+2,P9+1)</f>
        <v>31</v>
      </c>
      <c r="X9" s="40" t="str">
        <f ca="1">IF(Y9&lt;&gt;"",
MID(貼り付け用!$A$2, FIND("年",貼り付け用!$A$2)+1,2)&amp;"/"&amp;MID(貼り付け用!$A$2, FIND("月",貼り付け用!$A$2)+1,2),"")</f>
        <v/>
      </c>
      <c r="Y9" s="214" t="str">
        <f ca="1">IF(OFFSET(変更先抽出【15時】!$A$1,W9-1,29)&lt;&gt;"",OFFSET(変更先抽出【15時】!$A$1,W9-1,30),"")</f>
        <v/>
      </c>
      <c r="Z9" s="215"/>
      <c r="AA9" s="215"/>
      <c r="AB9" s="215"/>
      <c r="AC9" s="39" t="str">
        <f ca="1">IF(Y9&lt;&gt;"","様","")</f>
        <v/>
      </c>
      <c r="AD9" s="22"/>
      <c r="AE9" s="30">
        <f ca="1">IF(OFFSET(変更先抽出【15時】!$A$1,AL1+1-1,29)="",AL1+2,AL1+1)</f>
        <v>53</v>
      </c>
      <c r="AF9" s="40" t="str">
        <f ca="1">IF(AG9&lt;&gt;"",
MID(貼り付け用!$A$2, FIND("年",貼り付け用!$A$2)+1,2)&amp;"/"&amp;MID(貼り付け用!$A$2, FIND("月",貼り付け用!$A$2)+1,2),"")</f>
        <v/>
      </c>
      <c r="AG9" s="214" t="str">
        <f ca="1">IF(OFFSET(変更先抽出【15時】!$A$1,AE9-1,16)&lt;&gt;"",OFFSET(変更先抽出【15時】!$A$1,AE9-1,17),"")</f>
        <v/>
      </c>
      <c r="AH9" s="215"/>
      <c r="AI9" s="215"/>
      <c r="AJ9" s="215"/>
      <c r="AK9" s="39" t="str">
        <f ca="1">IF(AG9&lt;&gt;"","様","")</f>
        <v/>
      </c>
      <c r="AL9" s="33">
        <f ca="1">IF(OFFSET(変更先抽出【15時】!$A$1,AE9+1-1,29)="",AE9+2,AE9+1)</f>
        <v>55</v>
      </c>
      <c r="AM9" s="40" t="str">
        <f ca="1">IF(AN9&lt;&gt;"",
MID(貼り付け用!$A$2, FIND("年",貼り付け用!$A$2)+1,2)&amp;"/"&amp;MID(貼り付け用!$A$2, FIND("月",貼り付け用!$A$2)+1,2),"")</f>
        <v/>
      </c>
      <c r="AN9" s="214" t="str">
        <f ca="1">IF(OFFSET(変更先抽出【15時】!$A$1,AL9-1,29)&lt;&gt;"",OFFSET(変更先抽出【15時】!$A$1,AL9-1,30),"")</f>
        <v/>
      </c>
      <c r="AO9" s="215"/>
      <c r="AP9" s="215"/>
      <c r="AQ9" s="215"/>
      <c r="AR9" s="39" t="str">
        <f ca="1">IF(AN9&lt;&gt;"","様","")</f>
        <v/>
      </c>
      <c r="AS9" s="22"/>
      <c r="AT9" s="30">
        <f ca="1">IF(OFFSET(変更先抽出【15時】!$A$1,BA1+1-1,29)="",BA1+2,BA1+1)</f>
        <v>77</v>
      </c>
      <c r="AU9" s="40" t="str">
        <f ca="1">IF(AV9&lt;&gt;"",
MID(貼り付け用!$A$2, FIND("年",貼り付け用!$A$2)+1,2)&amp;"/"&amp;MID(貼り付け用!$A$2, FIND("月",貼り付け用!$A$2)+1,2),"")</f>
        <v/>
      </c>
      <c r="AV9" s="214" t="str">
        <f ca="1">IF(OFFSET(変更先抽出【15時】!$A$1,AT9-1,16)&lt;&gt;"",OFFSET(変更先抽出【15時】!$A$1,AT9-1,17),"")</f>
        <v/>
      </c>
      <c r="AW9" s="215"/>
      <c r="AX9" s="215"/>
      <c r="AY9" s="215"/>
      <c r="AZ9" s="39" t="str">
        <f ca="1">IF(AV9&lt;&gt;"","様","")</f>
        <v/>
      </c>
      <c r="BA9" s="33">
        <f ca="1">IF(OFFSET(変更先抽出【15時】!$A$1,AT9+1-1,29)="",AT9+2,AT9+1)</f>
        <v>79</v>
      </c>
      <c r="BB9" s="40" t="str">
        <f ca="1">IF(BC9&lt;&gt;"",
MID(貼り付け用!$A$2, FIND("年",貼り付け用!$A$2)+1,2)&amp;"/"&amp;MID(貼り付け用!$A$2, FIND("月",貼り付け用!$A$2)+1,2),"")</f>
        <v/>
      </c>
      <c r="BC9" s="214" t="str">
        <f ca="1">IF(OFFSET(変更先抽出【15時】!$A$1,BA9-1,29)&lt;&gt;"",OFFSET(変更先抽出【15時】!$A$1,BA9-1,30),"")</f>
        <v/>
      </c>
      <c r="BD9" s="215"/>
      <c r="BE9" s="215"/>
      <c r="BF9" s="215"/>
      <c r="BG9" s="39" t="str">
        <f ca="1">IF(BC9&lt;&gt;"","様","")</f>
        <v/>
      </c>
      <c r="BH9" s="22"/>
      <c r="BI9" s="30">
        <f ca="1">IF(OFFSET(変更先抽出【15時】!$A$1,BP1+1-1,29)="",BP1+2,BP1+1)</f>
        <v>101</v>
      </c>
      <c r="BJ9" s="40" t="str">
        <f ca="1">IF(BK9&lt;&gt;"",
MID(貼り付け用!$A$2, FIND("年",貼り付け用!$A$2)+1,2)&amp;"/"&amp;MID(貼り付け用!$A$2, FIND("月",貼り付け用!$A$2)+1,2),"")</f>
        <v/>
      </c>
      <c r="BK9" s="214" t="str">
        <f ca="1">IF(OFFSET(変更先抽出【15時】!$A$1,BI9-1,16)&lt;&gt;"",OFFSET(変更先抽出【15時】!$A$1,BI9-1,17),"")</f>
        <v/>
      </c>
      <c r="BL9" s="215"/>
      <c r="BM9" s="215"/>
      <c r="BN9" s="215"/>
      <c r="BO9" s="39" t="str">
        <f ca="1">IF(BK9&lt;&gt;"","様","")</f>
        <v/>
      </c>
      <c r="BP9" s="33">
        <f ca="1">IF(OFFSET(変更先抽出【15時】!$A$1,BI9+1-1,29)="",BI9+2,BI9+1)</f>
        <v>103</v>
      </c>
      <c r="BQ9" s="40" t="str">
        <f ca="1">IF(BR9&lt;&gt;"",
MID(貼り付け用!$A$2, FIND("年",貼り付け用!$A$2)+1,2)&amp;"/"&amp;MID(貼り付け用!$A$2, FIND("月",貼り付け用!$A$2)+1,2),"")</f>
        <v/>
      </c>
      <c r="BR9" s="214" t="str">
        <f ca="1">IF(OFFSET(変更先抽出【15時】!$A$1,BP9-1,29)&lt;&gt;"",OFFSET(変更先抽出【15時】!$A$1,BP9-1,30),"")</f>
        <v/>
      </c>
      <c r="BS9" s="215"/>
      <c r="BT9" s="215"/>
      <c r="BU9" s="215"/>
      <c r="BV9" s="39" t="str">
        <f ca="1">IF(BR9&lt;&gt;"","様","")</f>
        <v/>
      </c>
      <c r="BW9" s="22"/>
      <c r="BX9" s="30">
        <f ca="1">IF(OFFSET(変更先抽出【15時】!$A$1,CE1+1-1,29)="",CE1+2,CE1+1)</f>
        <v>125</v>
      </c>
      <c r="BY9" s="40" t="str">
        <f ca="1">IF(BZ9&lt;&gt;"",
MID(貼り付け用!$A$2, FIND("年",貼り付け用!$A$2)+1,2)&amp;"/"&amp;MID(貼り付け用!$A$2, FIND("月",貼り付け用!$A$2)+1,2),"")</f>
        <v/>
      </c>
      <c r="BZ9" s="214" t="str">
        <f ca="1">IF(OFFSET(変更先抽出【15時】!$A$1,BX9-1,16)&lt;&gt;"",OFFSET(変更先抽出【15時】!$A$1,BX9-1,17),"")</f>
        <v/>
      </c>
      <c r="CA9" s="215"/>
      <c r="CB9" s="215"/>
      <c r="CC9" s="215"/>
      <c r="CD9" s="39" t="str">
        <f ca="1">IF(BZ9&lt;&gt;"","様","")</f>
        <v/>
      </c>
      <c r="CE9" s="33">
        <f ca="1">IF(OFFSET(変更先抽出【15時】!$A$1,BX9+1-1,29)="",BX9+2,BX9+1)</f>
        <v>127</v>
      </c>
      <c r="CF9" s="40" t="str">
        <f ca="1">IF(CG9&lt;&gt;"",
MID(貼り付け用!$A$2, FIND("年",貼り付け用!$A$2)+1,2)&amp;"/"&amp;MID(貼り付け用!$A$2, FIND("月",貼り付け用!$A$2)+1,2),"")</f>
        <v/>
      </c>
      <c r="CG9" s="214" t="str">
        <f ca="1">IF(OFFSET(変更先抽出【15時】!$A$1,CE9-1,29)&lt;&gt;"",OFFSET(変更先抽出【15時】!$A$1,CE9-1,30),"")</f>
        <v/>
      </c>
      <c r="CH9" s="215"/>
      <c r="CI9" s="215"/>
      <c r="CJ9" s="215"/>
      <c r="CK9" s="39" t="str">
        <f ca="1">IF(CG9&lt;&gt;"","様","")</f>
        <v/>
      </c>
      <c r="CL9" s="22"/>
      <c r="CM9" s="30">
        <f ca="1">IF(OFFSET(変更先抽出【15時】!$A$1,CT1+1-1,29)="",CT1+2,CT1+1)</f>
        <v>149</v>
      </c>
      <c r="CN9" s="40" t="str">
        <f ca="1">IF(CO9&lt;&gt;"",
MID(貼り付け用!$A$2, FIND("年",貼り付け用!$A$2)+1,2)&amp;"/"&amp;MID(貼り付け用!$A$2, FIND("月",貼り付け用!$A$2)+1,2),"")</f>
        <v/>
      </c>
      <c r="CO9" s="214" t="str">
        <f ca="1">IF(OFFSET(変更先抽出【15時】!$A$1,CM9-1,16)&lt;&gt;"",OFFSET(変更先抽出【15時】!$A$1,CM9-1,17),"")</f>
        <v/>
      </c>
      <c r="CP9" s="215"/>
      <c r="CQ9" s="215"/>
      <c r="CR9" s="215"/>
      <c r="CS9" s="39" t="str">
        <f ca="1">IF(CO9&lt;&gt;"","様","")</f>
        <v/>
      </c>
      <c r="CT9" s="33">
        <f ca="1">IF(OFFSET(変更先抽出【15時】!$A$1,CM9+1-1,29)="",CM9+2,CM9+1)</f>
        <v>151</v>
      </c>
      <c r="CU9" s="40" t="str">
        <f ca="1">IF(CV9&lt;&gt;"",
MID(貼り付け用!$A$2, FIND("年",貼り付け用!$A$2)+1,2)&amp;"/"&amp;MID(貼り付け用!$A$2, FIND("月",貼り付け用!$A$2)+1,2),"")</f>
        <v/>
      </c>
      <c r="CV9" s="214" t="str">
        <f ca="1">IF(OFFSET(変更先抽出【15時】!$A$1,CT9-1,29)&lt;&gt;"",OFFSET(変更先抽出【15時】!$A$1,CT9-1,30),"")</f>
        <v/>
      </c>
      <c r="CW9" s="215"/>
      <c r="CX9" s="215"/>
      <c r="CY9" s="215"/>
      <c r="CZ9" s="39" t="str">
        <f ca="1">IF(CV9&lt;&gt;"","様","")</f>
        <v/>
      </c>
      <c r="DA9" s="22"/>
      <c r="DB9" s="30">
        <f ca="1">IF(OFFSET(変更先抽出【15時】!$A$1,DI1+1-1,29)="",DI1+2,DI1+1)</f>
        <v>173</v>
      </c>
      <c r="DC9" s="40" t="str">
        <f ca="1">IF(DD9&lt;&gt;"",
MID(貼り付け用!$A$2, FIND("年",貼り付け用!$A$2)+1,2)&amp;"/"&amp;MID(貼り付け用!$A$2, FIND("月",貼り付け用!$A$2)+1,2),"")</f>
        <v/>
      </c>
      <c r="DD9" s="214" t="str">
        <f ca="1">IF(OFFSET(変更先抽出【15時】!$A$1,DB9-1,16)&lt;&gt;"",OFFSET(変更先抽出【15時】!$A$1,DB9-1,17),"")</f>
        <v/>
      </c>
      <c r="DE9" s="215"/>
      <c r="DF9" s="215"/>
      <c r="DG9" s="215"/>
      <c r="DH9" s="39" t="str">
        <f ca="1">IF(DD9&lt;&gt;"","様","")</f>
        <v/>
      </c>
      <c r="DI9" s="33">
        <f ca="1">IF(OFFSET(変更先抽出【15時】!$A$1,DB9+1-1,29)="",DB9+2,DB9+1)</f>
        <v>175</v>
      </c>
      <c r="DJ9" s="40" t="str">
        <f ca="1">IF(DK9&lt;&gt;"",
MID(貼り付け用!$A$2, FIND("年",貼り付け用!$A$2)+1,2)&amp;"/"&amp;MID(貼り付け用!$A$2, FIND("月",貼り付け用!$A$2)+1,2),"")</f>
        <v/>
      </c>
      <c r="DK9" s="214" t="str">
        <f ca="1">IF(OFFSET(変更先抽出【15時】!$A$1,DI9-1,29)&lt;&gt;"",OFFSET(変更先抽出【15時】!$A$1,DI9-1,30),"")</f>
        <v/>
      </c>
      <c r="DL9" s="215"/>
      <c r="DM9" s="215"/>
      <c r="DN9" s="215"/>
      <c r="DO9" s="39" t="str">
        <f ca="1">IF(DK9&lt;&gt;"","様","")</f>
        <v/>
      </c>
      <c r="DP9" s="22"/>
      <c r="DQ9" s="30">
        <f ca="1">IF(OFFSET(変更先抽出【15時】!$A$1,DX1+1-1,29)="",DX1+2,DX1+1)</f>
        <v>197</v>
      </c>
      <c r="DR9" s="40" t="str">
        <f ca="1">IF(DS9&lt;&gt;"",
MID(貼り付け用!$A$2, FIND("年",貼り付け用!$A$2)+1,2)&amp;"/"&amp;MID(貼り付け用!$A$2, FIND("月",貼り付け用!$A$2)+1,2),"")</f>
        <v/>
      </c>
      <c r="DS9" s="214" t="str">
        <f ca="1">IF(OFFSET(変更先抽出【15時】!$A$1,DQ9-1,16)&lt;&gt;"",OFFSET(変更先抽出【15時】!$A$1,DQ9-1,17),"")</f>
        <v/>
      </c>
      <c r="DT9" s="215"/>
      <c r="DU9" s="215"/>
      <c r="DV9" s="215"/>
      <c r="DW9" s="39" t="str">
        <f ca="1">IF(DS9&lt;&gt;"","様","")</f>
        <v/>
      </c>
      <c r="DX9" s="33">
        <f ca="1">IF(OFFSET(変更先抽出【15時】!$A$1,DQ9+1-1,29)="",DQ9+2,DQ9+1)</f>
        <v>199</v>
      </c>
      <c r="DY9" s="40" t="str">
        <f ca="1">IF(DZ9&lt;&gt;"",
MID(貼り付け用!$A$2, FIND("年",貼り付け用!$A$2)+1,2)&amp;"/"&amp;MID(貼り付け用!$A$2, FIND("月",貼り付け用!$A$2)+1,2),"")</f>
        <v/>
      </c>
      <c r="DZ9" s="214" t="str">
        <f ca="1">IF(OFFSET(変更先抽出【15時】!$A$1,DX9-1,29)&lt;&gt;"",OFFSET(変更先抽出【15時】!$A$1,DX9-1,30),"")</f>
        <v/>
      </c>
      <c r="EA9" s="215"/>
      <c r="EB9" s="215"/>
      <c r="EC9" s="215"/>
      <c r="ED9" s="39" t="str">
        <f ca="1">IF(DZ9&lt;&gt;"","様","")</f>
        <v/>
      </c>
      <c r="EE9" s="22"/>
      <c r="EF9" s="30">
        <f ca="1">IF(OFFSET(変更先抽出【15時】!$A$1,EM1+1-1,29)="",EM1+2,EM1+1)</f>
        <v>221</v>
      </c>
      <c r="EG9" s="40" t="str">
        <f ca="1">IF(EH9&lt;&gt;"",
MID(貼り付け用!$A$2, FIND("年",貼り付け用!$A$2)+1,2)&amp;"/"&amp;MID(貼り付け用!$A$2, FIND("月",貼り付け用!$A$2)+1,2),"")</f>
        <v/>
      </c>
      <c r="EH9" s="214" t="str">
        <f ca="1">IF(OFFSET(変更先抽出【15時】!$A$1,EF9-1,16)&lt;&gt;"",OFFSET(変更先抽出【15時】!$A$1,EF9-1,17),"")</f>
        <v/>
      </c>
      <c r="EI9" s="215"/>
      <c r="EJ9" s="215"/>
      <c r="EK9" s="215"/>
      <c r="EL9" s="39" t="str">
        <f ca="1">IF(EH9&lt;&gt;"","様","")</f>
        <v/>
      </c>
      <c r="EM9" s="33">
        <f ca="1">IF(OFFSET(変更先抽出【15時】!$A$1,EF9+1-1,29)="",EF9+2,EF9+1)</f>
        <v>223</v>
      </c>
      <c r="EN9" s="40" t="str">
        <f ca="1">IF(EO9&lt;&gt;"",
MID(貼り付け用!$A$2, FIND("年",貼り付け用!$A$2)+1,2)&amp;"/"&amp;MID(貼り付け用!$A$2, FIND("月",貼り付け用!$A$2)+1,2),"")</f>
        <v/>
      </c>
      <c r="EO9" s="214" t="str">
        <f ca="1">IF(OFFSET(変更先抽出【15時】!$A$1,EM9-1,29)&lt;&gt;"",OFFSET(変更先抽出【15時】!$A$1,EM9-1,30),"")</f>
        <v/>
      </c>
      <c r="EP9" s="215"/>
      <c r="EQ9" s="215"/>
      <c r="ER9" s="215"/>
      <c r="ES9" s="39" t="str">
        <f ca="1">IF(EO9&lt;&gt;"","様","")</f>
        <v/>
      </c>
      <c r="ET9" s="22"/>
    </row>
    <row r="10" spans="1:150" s="181" customFormat="1">
      <c r="A10" s="30"/>
      <c r="B10" s="102"/>
      <c r="C10" s="136" t="str">
        <f ca="1">IF(C9&lt;&gt;"",OFFSET(変更先抽出【15時】!$A$1,A9-1,18),"")</f>
        <v/>
      </c>
      <c r="D10" s="38"/>
      <c r="E10" s="38"/>
      <c r="F10" s="190" t="str">
        <f ca="1">IF(OFFSET(変更先抽出【15時】!$A$1,A9-1,25)&lt;&gt;"",OFFSET(変更先抽出【15時】!$A$1,A9-1,25)&amp;"箱"&amp;OFFSET(変更先抽出【15時】!$A$1,A9-1,26),"")</f>
        <v/>
      </c>
      <c r="G10" s="36"/>
      <c r="H10" s="43"/>
      <c r="I10" s="102"/>
      <c r="J10" s="136" t="str">
        <f ca="1">IF(J9&lt;&gt;"",OFFSET(変更先抽出【15時】!$A$1,H9-1,31),"")</f>
        <v/>
      </c>
      <c r="K10" s="38"/>
      <c r="L10" s="38"/>
      <c r="M10" s="190" t="str">
        <f ca="1">IF(OFFSET(変更先抽出【15時】!$A$1,H9-1,29)&lt;&gt;"",OFFSET(変更先抽出【15時】!$A$1,H9-1,37)&amp;"箱"&amp;OFFSET(変更先抽出【15時】!$A$1,H9-1,38),"")</f>
        <v/>
      </c>
      <c r="N10" s="36"/>
      <c r="O10" s="22"/>
      <c r="P10" s="30"/>
      <c r="Q10" s="102"/>
      <c r="R10" s="136" t="str">
        <f ca="1">IF(R9&lt;&gt;"",OFFSET(変更先抽出【15時】!$A$1,P9-1,18),"")</f>
        <v/>
      </c>
      <c r="S10" s="38"/>
      <c r="T10" s="38"/>
      <c r="U10" s="190" t="str">
        <f ca="1">IF(OFFSET(変更先抽出【15時】!$A$1,P9-1,25)&lt;&gt;"",OFFSET(変更先抽出【15時】!$A$1,P9-1,25)&amp;"箱"&amp;OFFSET(変更先抽出【15時】!$A$1,P9-1,26),"")</f>
        <v/>
      </c>
      <c r="V10" s="36"/>
      <c r="W10" s="43"/>
      <c r="X10" s="102"/>
      <c r="Y10" s="136" t="str">
        <f ca="1">IF(Y9&lt;&gt;"",OFFSET(変更先抽出【15時】!$A$1,W9-1,31),"")</f>
        <v/>
      </c>
      <c r="Z10" s="38"/>
      <c r="AA10" s="38"/>
      <c r="AB10" s="190" t="str">
        <f ca="1">IF(OFFSET(変更先抽出【15時】!$A$1,W9-1,29)&lt;&gt;"",OFFSET(変更先抽出【15時】!$A$1,W9-1,37)&amp;"箱"&amp;OFFSET(変更先抽出【15時】!$A$1,W9-1,38),"")</f>
        <v/>
      </c>
      <c r="AC10" s="36"/>
      <c r="AD10" s="22"/>
      <c r="AE10" s="30"/>
      <c r="AF10" s="102"/>
      <c r="AG10" s="136" t="str">
        <f ca="1">IF(AG9&lt;&gt;"",OFFSET(変更先抽出【15時】!$A$1,AE9-1,18),"")</f>
        <v/>
      </c>
      <c r="AH10" s="38"/>
      <c r="AI10" s="38"/>
      <c r="AJ10" s="190" t="str">
        <f ca="1">IF(OFFSET(変更先抽出【15時】!$A$1,AE9-1,25)&lt;&gt;"",OFFSET(変更先抽出【15時】!$A$1,AE9-1,25)&amp;"箱"&amp;OFFSET(変更先抽出【15時】!$A$1,AE9-1,26),"")</f>
        <v/>
      </c>
      <c r="AK10" s="36"/>
      <c r="AL10" s="43"/>
      <c r="AM10" s="102"/>
      <c r="AN10" s="136" t="str">
        <f ca="1">IF(AN9&lt;&gt;"",OFFSET(変更先抽出【15時】!$A$1,AL9-1,31),"")</f>
        <v/>
      </c>
      <c r="AO10" s="38"/>
      <c r="AP10" s="38"/>
      <c r="AQ10" s="190" t="str">
        <f ca="1">IF(OFFSET(変更先抽出【15時】!$A$1,AL9-1,29)&lt;&gt;"",OFFSET(変更先抽出【15時】!$A$1,AL9-1,37)&amp;"箱"&amp;OFFSET(変更先抽出【15時】!$A$1,AL9-1,38),"")</f>
        <v/>
      </c>
      <c r="AR10" s="36"/>
      <c r="AS10" s="22"/>
      <c r="AT10" s="30"/>
      <c r="AU10" s="102"/>
      <c r="AV10" s="136" t="str">
        <f ca="1">IF(AV9&lt;&gt;"",OFFSET(変更先抽出【15時】!$A$1,AT9-1,18),"")</f>
        <v/>
      </c>
      <c r="AW10" s="38"/>
      <c r="AX10" s="38"/>
      <c r="AY10" s="190" t="str">
        <f ca="1">IF(OFFSET(変更先抽出【15時】!$A$1,AT9-1,25)&lt;&gt;"",OFFSET(変更先抽出【15時】!$A$1,AT9-1,25)&amp;"箱"&amp;OFFSET(変更先抽出【15時】!$A$1,AT9-1,26),"")</f>
        <v/>
      </c>
      <c r="AZ10" s="36"/>
      <c r="BA10" s="43"/>
      <c r="BB10" s="102"/>
      <c r="BC10" s="136" t="str">
        <f ca="1">IF(BC9&lt;&gt;"",OFFSET(変更先抽出【15時】!$A$1,BA9-1,31),"")</f>
        <v/>
      </c>
      <c r="BD10" s="38"/>
      <c r="BE10" s="38"/>
      <c r="BF10" s="190" t="str">
        <f ca="1">IF(OFFSET(変更先抽出【15時】!$A$1,BA9-1,29)&lt;&gt;"",OFFSET(変更先抽出【15時】!$A$1,BA9-1,37)&amp;"箱"&amp;OFFSET(変更先抽出【15時】!$A$1,BA9-1,38),"")</f>
        <v/>
      </c>
      <c r="BG10" s="36"/>
      <c r="BH10" s="22"/>
      <c r="BI10" s="30"/>
      <c r="BJ10" s="102"/>
      <c r="BK10" s="136" t="str">
        <f ca="1">IF(BK9&lt;&gt;"",OFFSET(変更先抽出【15時】!$A$1,BI9-1,18),"")</f>
        <v/>
      </c>
      <c r="BL10" s="38"/>
      <c r="BM10" s="38"/>
      <c r="BN10" s="190" t="str">
        <f ca="1">IF(OFFSET(変更先抽出【15時】!$A$1,BI9-1,25)&lt;&gt;"",OFFSET(変更先抽出【15時】!$A$1,BI9-1,25)&amp;"箱"&amp;OFFSET(変更先抽出【15時】!$A$1,BI9-1,26),"")</f>
        <v/>
      </c>
      <c r="BO10" s="36"/>
      <c r="BP10" s="43"/>
      <c r="BQ10" s="102"/>
      <c r="BR10" s="136" t="str">
        <f ca="1">IF(BR9&lt;&gt;"",OFFSET(変更先抽出【15時】!$A$1,BP9-1,31),"")</f>
        <v/>
      </c>
      <c r="BS10" s="38"/>
      <c r="BT10" s="38"/>
      <c r="BU10" s="190" t="str">
        <f ca="1">IF(OFFSET(変更先抽出【15時】!$A$1,BP9-1,29)&lt;&gt;"",OFFSET(変更先抽出【15時】!$A$1,BP9-1,37)&amp;"箱"&amp;OFFSET(変更先抽出【15時】!$A$1,BP9-1,38),"")</f>
        <v/>
      </c>
      <c r="BV10" s="36"/>
      <c r="BW10" s="22"/>
      <c r="BX10" s="30"/>
      <c r="BY10" s="102"/>
      <c r="BZ10" s="136" t="str">
        <f ca="1">IF(BZ9&lt;&gt;"",OFFSET(変更先抽出【15時】!$A$1,BX9-1,18),"")</f>
        <v/>
      </c>
      <c r="CA10" s="38"/>
      <c r="CB10" s="38"/>
      <c r="CC10" s="190" t="str">
        <f ca="1">IF(OFFSET(変更先抽出【15時】!$A$1,BX9-1,25)&lt;&gt;"",OFFSET(変更先抽出【15時】!$A$1,BX9-1,25)&amp;"箱"&amp;OFFSET(変更先抽出【15時】!$A$1,BX9-1,26),"")</f>
        <v/>
      </c>
      <c r="CD10" s="36"/>
      <c r="CE10" s="43"/>
      <c r="CF10" s="102"/>
      <c r="CG10" s="136" t="str">
        <f ca="1">IF(CG9&lt;&gt;"",OFFSET(変更先抽出【15時】!$A$1,CE9-1,31),"")</f>
        <v/>
      </c>
      <c r="CH10" s="38"/>
      <c r="CI10" s="38"/>
      <c r="CJ10" s="190" t="str">
        <f ca="1">IF(OFFSET(変更先抽出【15時】!$A$1,CE9-1,29)&lt;&gt;"",OFFSET(変更先抽出【15時】!$A$1,CE9-1,37)&amp;"箱"&amp;OFFSET(変更先抽出【15時】!$A$1,CE9-1,38),"")</f>
        <v/>
      </c>
      <c r="CK10" s="36"/>
      <c r="CL10" s="22"/>
      <c r="CM10" s="30"/>
      <c r="CN10" s="102"/>
      <c r="CO10" s="136" t="str">
        <f ca="1">IF(CO9&lt;&gt;"",OFFSET(変更先抽出【15時】!$A$1,CM9-1,18),"")</f>
        <v/>
      </c>
      <c r="CP10" s="38"/>
      <c r="CQ10" s="38"/>
      <c r="CR10" s="190" t="str">
        <f ca="1">IF(OFFSET(変更先抽出【15時】!$A$1,CM9-1,25)&lt;&gt;"",OFFSET(変更先抽出【15時】!$A$1,CM9-1,25)&amp;"箱"&amp;OFFSET(変更先抽出【15時】!$A$1,CM9-1,26),"")</f>
        <v/>
      </c>
      <c r="CS10" s="36"/>
      <c r="CT10" s="43"/>
      <c r="CU10" s="102"/>
      <c r="CV10" s="136" t="str">
        <f ca="1">IF(CV9&lt;&gt;"",OFFSET(変更先抽出【15時】!$A$1,CT9-1,31),"")</f>
        <v/>
      </c>
      <c r="CW10" s="38"/>
      <c r="CX10" s="38"/>
      <c r="CY10" s="190" t="str">
        <f ca="1">IF(OFFSET(変更先抽出【15時】!$A$1,CT9-1,29)&lt;&gt;"",OFFSET(変更先抽出【15時】!$A$1,CT9-1,37)&amp;"箱"&amp;OFFSET(変更先抽出【15時】!$A$1,CT9-1,38),"")</f>
        <v/>
      </c>
      <c r="CZ10" s="36"/>
      <c r="DA10" s="22"/>
      <c r="DB10" s="30"/>
      <c r="DC10" s="102"/>
      <c r="DD10" s="136" t="str">
        <f ca="1">IF(DD9&lt;&gt;"",OFFSET(変更先抽出【15時】!$A$1,DB9-1,18),"")</f>
        <v/>
      </c>
      <c r="DE10" s="38"/>
      <c r="DF10" s="38"/>
      <c r="DG10" s="190" t="str">
        <f ca="1">IF(OFFSET(変更先抽出【15時】!$A$1,DB9-1,25)&lt;&gt;"",OFFSET(変更先抽出【15時】!$A$1,DB9-1,25)&amp;"箱"&amp;OFFSET(変更先抽出【15時】!$A$1,DB9-1,26),"")</f>
        <v/>
      </c>
      <c r="DH10" s="36"/>
      <c r="DI10" s="43"/>
      <c r="DJ10" s="102"/>
      <c r="DK10" s="136" t="str">
        <f ca="1">IF(DK9&lt;&gt;"",OFFSET(変更先抽出【15時】!$A$1,DI9-1,31),"")</f>
        <v/>
      </c>
      <c r="DL10" s="38"/>
      <c r="DM10" s="38"/>
      <c r="DN10" s="190" t="str">
        <f ca="1">IF(OFFSET(変更先抽出【15時】!$A$1,DI9-1,29)&lt;&gt;"",OFFSET(変更先抽出【15時】!$A$1,DI9-1,37)&amp;"箱"&amp;OFFSET(変更先抽出【15時】!$A$1,DI9-1,38),"")</f>
        <v/>
      </c>
      <c r="DO10" s="36"/>
      <c r="DP10" s="22"/>
      <c r="DQ10" s="30"/>
      <c r="DR10" s="102"/>
      <c r="DS10" s="136" t="str">
        <f ca="1">IF(DS9&lt;&gt;"",OFFSET(変更先抽出【15時】!$A$1,DQ9-1,18),"")</f>
        <v/>
      </c>
      <c r="DT10" s="38"/>
      <c r="DU10" s="38"/>
      <c r="DV10" s="190" t="str">
        <f ca="1">IF(OFFSET(変更先抽出【15時】!$A$1,DQ9-1,25)&lt;&gt;"",OFFSET(変更先抽出【15時】!$A$1,DQ9-1,25)&amp;"箱"&amp;OFFSET(変更先抽出【15時】!$A$1,DQ9-1,26),"")</f>
        <v/>
      </c>
      <c r="DW10" s="36"/>
      <c r="DX10" s="43"/>
      <c r="DY10" s="102"/>
      <c r="DZ10" s="136" t="str">
        <f ca="1">IF(DZ9&lt;&gt;"",OFFSET(変更先抽出【15時】!$A$1,DX9-1,31),"")</f>
        <v/>
      </c>
      <c r="EA10" s="38"/>
      <c r="EB10" s="38"/>
      <c r="EC10" s="190" t="str">
        <f ca="1">IF(OFFSET(変更先抽出【15時】!$A$1,DX9-1,29)&lt;&gt;"",OFFSET(変更先抽出【15時】!$A$1,DX9-1,37)&amp;"箱"&amp;OFFSET(変更先抽出【15時】!$A$1,DX9-1,38),"")</f>
        <v/>
      </c>
      <c r="ED10" s="36"/>
      <c r="EE10" s="22"/>
      <c r="EF10" s="30"/>
      <c r="EG10" s="102"/>
      <c r="EH10" s="136" t="str">
        <f ca="1">IF(EH9&lt;&gt;"",OFFSET(変更先抽出【15時】!$A$1,EF9-1,18),"")</f>
        <v/>
      </c>
      <c r="EI10" s="38"/>
      <c r="EJ10" s="38"/>
      <c r="EK10" s="190" t="str">
        <f ca="1">IF(OFFSET(変更先抽出【15時】!$A$1,EF9-1,25)&lt;&gt;"",OFFSET(変更先抽出【15時】!$A$1,EF9-1,25)&amp;"箱"&amp;OFFSET(変更先抽出【15時】!$A$1,EF9-1,26),"")</f>
        <v/>
      </c>
      <c r="EL10" s="36"/>
      <c r="EM10" s="43"/>
      <c r="EN10" s="102"/>
      <c r="EO10" s="136" t="str">
        <f ca="1">IF(EO9&lt;&gt;"",OFFSET(変更先抽出【15時】!$A$1,EM9-1,31),"")</f>
        <v/>
      </c>
      <c r="EP10" s="38"/>
      <c r="EQ10" s="38"/>
      <c r="ER10" s="190" t="str">
        <f ca="1">IF(OFFSET(変更先抽出【15時】!$A$1,EM9-1,29)&lt;&gt;"",OFFSET(変更先抽出【15時】!$A$1,EM9-1,37)&amp;"箱"&amp;OFFSET(変更先抽出【15時】!$A$1,EM9-1,38),"")</f>
        <v/>
      </c>
      <c r="ES10" s="36"/>
      <c r="ET10" s="22"/>
    </row>
    <row r="11" spans="1:150" s="181" customFormat="1">
      <c r="A11" s="30"/>
      <c r="B11" s="31"/>
      <c r="C11" s="212" t="str">
        <f ca="1">IF(C9&lt;&gt;"","園児","")</f>
        <v/>
      </c>
      <c r="D11" s="213"/>
      <c r="E11" s="22"/>
      <c r="F11" s="135" t="str">
        <f ca="1">IF(C9&lt;&gt;"","先生","")</f>
        <v/>
      </c>
      <c r="G11" s="37"/>
      <c r="H11" s="33"/>
      <c r="I11" s="31"/>
      <c r="J11" s="212" t="str">
        <f ca="1">IF(OR(J9&lt;&gt;"",COUNTIF(J9,"*【*")),"園児","")</f>
        <v/>
      </c>
      <c r="K11" s="213"/>
      <c r="L11" s="22"/>
      <c r="M11" s="135" t="str">
        <f ca="1">IF(OR(J9&lt;&gt;"",COUNTIF(J9,"*【*")),"先生","")</f>
        <v/>
      </c>
      <c r="N11" s="37"/>
      <c r="O11" s="22"/>
      <c r="P11" s="30"/>
      <c r="Q11" s="31"/>
      <c r="R11" s="212" t="str">
        <f ca="1">IF(R9&lt;&gt;"","園児","")</f>
        <v/>
      </c>
      <c r="S11" s="213"/>
      <c r="T11" s="22"/>
      <c r="U11" s="135" t="str">
        <f ca="1">IF(R9&lt;&gt;"","先生","")</f>
        <v/>
      </c>
      <c r="V11" s="37"/>
      <c r="W11" s="33"/>
      <c r="X11" s="31"/>
      <c r="Y11" s="212" t="str">
        <f ca="1">IF(OR(Y9&lt;&gt;"",COUNTIF(Y9,"*【*")),"園児","")</f>
        <v/>
      </c>
      <c r="Z11" s="213"/>
      <c r="AA11" s="22"/>
      <c r="AB11" s="135" t="str">
        <f ca="1">IF(OR(Y9&lt;&gt;"",COUNTIF(Y9,"*【*")),"先生","")</f>
        <v/>
      </c>
      <c r="AC11" s="37"/>
      <c r="AD11" s="22"/>
      <c r="AE11" s="30"/>
      <c r="AF11" s="31"/>
      <c r="AG11" s="212" t="str">
        <f ca="1">IF(AG9&lt;&gt;"","園児","")</f>
        <v/>
      </c>
      <c r="AH11" s="213"/>
      <c r="AI11" s="22"/>
      <c r="AJ11" s="135" t="str">
        <f ca="1">IF(AG9&lt;&gt;"","先生","")</f>
        <v/>
      </c>
      <c r="AK11" s="37"/>
      <c r="AL11" s="33"/>
      <c r="AM11" s="31"/>
      <c r="AN11" s="212" t="str">
        <f ca="1">IF(OR(AN9&lt;&gt;"",COUNTIF(AN9,"*【*")),"園児","")</f>
        <v/>
      </c>
      <c r="AO11" s="213"/>
      <c r="AP11" s="22"/>
      <c r="AQ11" s="135" t="str">
        <f ca="1">IF(OR(AN9&lt;&gt;"",COUNTIF(AN9,"*【*")),"先生","")</f>
        <v/>
      </c>
      <c r="AR11" s="37"/>
      <c r="AS11" s="22"/>
      <c r="AT11" s="30"/>
      <c r="AU11" s="31"/>
      <c r="AV11" s="212" t="str">
        <f ca="1">IF(AV9&lt;&gt;"","園児","")</f>
        <v/>
      </c>
      <c r="AW11" s="213"/>
      <c r="AX11" s="22"/>
      <c r="AY11" s="135" t="str">
        <f ca="1">IF(AV9&lt;&gt;"","先生","")</f>
        <v/>
      </c>
      <c r="AZ11" s="37"/>
      <c r="BA11" s="33"/>
      <c r="BB11" s="31"/>
      <c r="BC11" s="212" t="str">
        <f ca="1">IF(OR(BC9&lt;&gt;"",COUNTIF(BC9,"*【*")),"園児","")</f>
        <v/>
      </c>
      <c r="BD11" s="213"/>
      <c r="BE11" s="22"/>
      <c r="BF11" s="135" t="str">
        <f ca="1">IF(OR(BC9&lt;&gt;"",COUNTIF(BC9,"*【*")),"先生","")</f>
        <v/>
      </c>
      <c r="BG11" s="37"/>
      <c r="BH11" s="22"/>
      <c r="BI11" s="30"/>
      <c r="BJ11" s="31"/>
      <c r="BK11" s="212" t="str">
        <f ca="1">IF(BK9&lt;&gt;"","園児","")</f>
        <v/>
      </c>
      <c r="BL11" s="213"/>
      <c r="BM11" s="22"/>
      <c r="BN11" s="135" t="str">
        <f ca="1">IF(BK9&lt;&gt;"","先生","")</f>
        <v/>
      </c>
      <c r="BO11" s="37"/>
      <c r="BP11" s="33"/>
      <c r="BQ11" s="31"/>
      <c r="BR11" s="212" t="str">
        <f ca="1">IF(OR(BR9&lt;&gt;"",COUNTIF(BR9,"*【*")),"園児","")</f>
        <v/>
      </c>
      <c r="BS11" s="213"/>
      <c r="BT11" s="22"/>
      <c r="BU11" s="135" t="str">
        <f ca="1">IF(OR(BR9&lt;&gt;"",COUNTIF(BR9,"*【*")),"先生","")</f>
        <v/>
      </c>
      <c r="BV11" s="37"/>
      <c r="BW11" s="22"/>
      <c r="BX11" s="30"/>
      <c r="BY11" s="31"/>
      <c r="BZ11" s="212" t="str">
        <f ca="1">IF(BZ9&lt;&gt;"","園児","")</f>
        <v/>
      </c>
      <c r="CA11" s="213"/>
      <c r="CB11" s="22"/>
      <c r="CC11" s="135" t="str">
        <f ca="1">IF(BZ9&lt;&gt;"","先生","")</f>
        <v/>
      </c>
      <c r="CD11" s="37"/>
      <c r="CE11" s="33"/>
      <c r="CF11" s="31"/>
      <c r="CG11" s="212" t="str">
        <f ca="1">IF(OR(CG9&lt;&gt;"",COUNTIF(CG9,"*【*")),"園児","")</f>
        <v/>
      </c>
      <c r="CH11" s="213"/>
      <c r="CI11" s="22"/>
      <c r="CJ11" s="135" t="str">
        <f ca="1">IF(OR(CG9&lt;&gt;"",COUNTIF(CG9,"*【*")),"先生","")</f>
        <v/>
      </c>
      <c r="CK11" s="37"/>
      <c r="CL11" s="22"/>
      <c r="CM11" s="30"/>
      <c r="CN11" s="31"/>
      <c r="CO11" s="212" t="str">
        <f ca="1">IF(CO9&lt;&gt;"","園児","")</f>
        <v/>
      </c>
      <c r="CP11" s="213"/>
      <c r="CQ11" s="22"/>
      <c r="CR11" s="135" t="str">
        <f ca="1">IF(CO9&lt;&gt;"","先生","")</f>
        <v/>
      </c>
      <c r="CS11" s="37"/>
      <c r="CT11" s="33"/>
      <c r="CU11" s="31"/>
      <c r="CV11" s="212" t="str">
        <f ca="1">IF(OR(CV9&lt;&gt;"",COUNTIF(CV9,"*【*")),"園児","")</f>
        <v/>
      </c>
      <c r="CW11" s="213"/>
      <c r="CX11" s="22"/>
      <c r="CY11" s="135" t="str">
        <f ca="1">IF(OR(CV9&lt;&gt;"",COUNTIF(CV9,"*【*")),"先生","")</f>
        <v/>
      </c>
      <c r="CZ11" s="37"/>
      <c r="DA11" s="22"/>
      <c r="DB11" s="30"/>
      <c r="DC11" s="31"/>
      <c r="DD11" s="212" t="str">
        <f ca="1">IF(DD9&lt;&gt;"","園児","")</f>
        <v/>
      </c>
      <c r="DE11" s="213"/>
      <c r="DF11" s="22"/>
      <c r="DG11" s="135" t="str">
        <f ca="1">IF(DD9&lt;&gt;"","先生","")</f>
        <v/>
      </c>
      <c r="DH11" s="37"/>
      <c r="DI11" s="33"/>
      <c r="DJ11" s="31"/>
      <c r="DK11" s="212" t="str">
        <f ca="1">IF(OR(DK9&lt;&gt;"",COUNTIF(DK9,"*【*")),"園児","")</f>
        <v/>
      </c>
      <c r="DL11" s="213"/>
      <c r="DM11" s="22"/>
      <c r="DN11" s="135" t="str">
        <f ca="1">IF(OR(DK9&lt;&gt;"",COUNTIF(DK9,"*【*")),"先生","")</f>
        <v/>
      </c>
      <c r="DO11" s="37"/>
      <c r="DP11" s="22"/>
      <c r="DQ11" s="30"/>
      <c r="DR11" s="31"/>
      <c r="DS11" s="212" t="str">
        <f ca="1">IF(DS9&lt;&gt;"","園児","")</f>
        <v/>
      </c>
      <c r="DT11" s="213"/>
      <c r="DU11" s="22"/>
      <c r="DV11" s="135" t="str">
        <f ca="1">IF(DS9&lt;&gt;"","先生","")</f>
        <v/>
      </c>
      <c r="DW11" s="37"/>
      <c r="DX11" s="33"/>
      <c r="DY11" s="31"/>
      <c r="DZ11" s="212" t="str">
        <f ca="1">IF(OR(DZ9&lt;&gt;"",COUNTIF(DZ9,"*【*")),"園児","")</f>
        <v/>
      </c>
      <c r="EA11" s="213"/>
      <c r="EB11" s="22"/>
      <c r="EC11" s="135" t="str">
        <f ca="1">IF(OR(DZ9&lt;&gt;"",COUNTIF(DZ9,"*【*")),"先生","")</f>
        <v/>
      </c>
      <c r="ED11" s="37"/>
      <c r="EE11" s="22"/>
      <c r="EF11" s="30"/>
      <c r="EG11" s="31"/>
      <c r="EH11" s="212" t="str">
        <f ca="1">IF(EH9&lt;&gt;"","園児","")</f>
        <v/>
      </c>
      <c r="EI11" s="213"/>
      <c r="EJ11" s="22"/>
      <c r="EK11" s="135" t="str">
        <f ca="1">IF(EH9&lt;&gt;"","先生","")</f>
        <v/>
      </c>
      <c r="EL11" s="37"/>
      <c r="EM11" s="33"/>
      <c r="EN11" s="31"/>
      <c r="EO11" s="212" t="str">
        <f ca="1">IF(OR(EO9&lt;&gt;"",COUNTIF(EO9,"*【*")),"園児","")</f>
        <v/>
      </c>
      <c r="EP11" s="213"/>
      <c r="EQ11" s="22"/>
      <c r="ER11" s="135" t="str">
        <f ca="1">IF(OR(EO9&lt;&gt;"",COUNTIF(EO9,"*【*")),"先生","")</f>
        <v/>
      </c>
      <c r="ES11" s="37"/>
      <c r="ET11" s="22"/>
    </row>
    <row r="12" spans="1:150" ht="15.6" customHeight="1">
      <c r="B12" s="25"/>
      <c r="C12" s="210" t="str">
        <f ca="1">IF(C9&lt;&gt;"",OFFSET(変更先抽出【15時】!$A$1,A9-1,19),"")</f>
        <v/>
      </c>
      <c r="D12" s="211"/>
      <c r="E12" s="44"/>
      <c r="F12" s="206" t="str">
        <f ca="1">IF(C9&lt;&gt;"",OFFSET(変更先抽出【15時】!$A$1,A9-1,20),"")</f>
        <v/>
      </c>
      <c r="G12" s="207"/>
      <c r="H12" s="26"/>
      <c r="I12" s="25"/>
      <c r="J12" s="210" t="str">
        <f ca="1">IF(J9&lt;&gt;"",OFFSET(変更先抽出【15時】!$A$1,H9-1,32),"")</f>
        <v/>
      </c>
      <c r="K12" s="211"/>
      <c r="L12" s="44"/>
      <c r="M12" s="206" t="str">
        <f ca="1">IF(J9&lt;&gt;"",OFFSET(変更先抽出【15時】!$A$1,H9-1,33),"")</f>
        <v/>
      </c>
      <c r="N12" s="207"/>
      <c r="Q12" s="25"/>
      <c r="R12" s="210" t="str">
        <f ca="1">IF(R9&lt;&gt;"",OFFSET(変更先抽出【15時】!$A$1,P9-1,19),"")</f>
        <v/>
      </c>
      <c r="S12" s="211"/>
      <c r="T12" s="44"/>
      <c r="U12" s="206" t="str">
        <f ca="1">IF(R9&lt;&gt;"",OFFSET(変更先抽出【15時】!$A$1,P9-1,20),"")</f>
        <v/>
      </c>
      <c r="V12" s="207"/>
      <c r="W12" s="26"/>
      <c r="X12" s="25"/>
      <c r="Y12" s="210" t="str">
        <f ca="1">IF(Y9&lt;&gt;"",OFFSET(変更先抽出【15時】!$A$1,W9-1,32),"")</f>
        <v/>
      </c>
      <c r="Z12" s="211"/>
      <c r="AA12" s="44"/>
      <c r="AB12" s="206" t="str">
        <f ca="1">IF(Y9&lt;&gt;"",OFFSET(変更先抽出【15時】!$A$1,W9-1,33),"")</f>
        <v/>
      </c>
      <c r="AC12" s="207"/>
      <c r="AF12" s="25"/>
      <c r="AG12" s="210" t="str">
        <f ca="1">IF(AG9&lt;&gt;"",OFFSET(変更先抽出【15時】!$A$1,AE9-1,19),"")</f>
        <v/>
      </c>
      <c r="AH12" s="211"/>
      <c r="AI12" s="44"/>
      <c r="AJ12" s="206" t="str">
        <f ca="1">IF(AG9&lt;&gt;"",OFFSET(変更先抽出【15時】!$A$1,AE9-1,20),"")</f>
        <v/>
      </c>
      <c r="AK12" s="207"/>
      <c r="AL12" s="26"/>
      <c r="AM12" s="25"/>
      <c r="AN12" s="210" t="str">
        <f ca="1">IF(AN9&lt;&gt;"",OFFSET(変更先抽出【15時】!$A$1,AL9-1,32),"")</f>
        <v/>
      </c>
      <c r="AO12" s="211"/>
      <c r="AP12" s="44"/>
      <c r="AQ12" s="206" t="str">
        <f ca="1">IF(AN9&lt;&gt;"",OFFSET(変更先抽出【15時】!$A$1,AL9-1,33),"")</f>
        <v/>
      </c>
      <c r="AR12" s="207"/>
      <c r="AU12" s="25"/>
      <c r="AV12" s="210" t="str">
        <f ca="1">IF(AV9&lt;&gt;"",OFFSET(変更先抽出【15時】!$A$1,AT9-1,19),"")</f>
        <v/>
      </c>
      <c r="AW12" s="211"/>
      <c r="AX12" s="44"/>
      <c r="AY12" s="206" t="str">
        <f ca="1">IF(AV9&lt;&gt;"",OFFSET(変更先抽出【15時】!$A$1,AT9-1,20),"")</f>
        <v/>
      </c>
      <c r="AZ12" s="207"/>
      <c r="BA12" s="26"/>
      <c r="BB12" s="25"/>
      <c r="BC12" s="210" t="str">
        <f ca="1">IF(BC9&lt;&gt;"",OFFSET(変更先抽出【15時】!$A$1,BA9-1,32),"")</f>
        <v/>
      </c>
      <c r="BD12" s="211"/>
      <c r="BE12" s="44"/>
      <c r="BF12" s="206" t="str">
        <f ca="1">IF(BC9&lt;&gt;"",OFFSET(変更先抽出【15時】!$A$1,BA9-1,33),"")</f>
        <v/>
      </c>
      <c r="BG12" s="207"/>
      <c r="BJ12" s="25"/>
      <c r="BK12" s="210" t="str">
        <f ca="1">IF(BK9&lt;&gt;"",OFFSET(変更先抽出【15時】!$A$1,BI9-1,19),"")</f>
        <v/>
      </c>
      <c r="BL12" s="211"/>
      <c r="BM12" s="44"/>
      <c r="BN12" s="206" t="str">
        <f ca="1">IF(BK9&lt;&gt;"",OFFSET(変更先抽出【15時】!$A$1,BI9-1,20),"")</f>
        <v/>
      </c>
      <c r="BO12" s="207"/>
      <c r="BP12" s="26"/>
      <c r="BQ12" s="25"/>
      <c r="BR12" s="210" t="str">
        <f ca="1">IF(BR9&lt;&gt;"",OFFSET(変更先抽出【15時】!$A$1,BP9-1,32),"")</f>
        <v/>
      </c>
      <c r="BS12" s="211"/>
      <c r="BT12" s="44"/>
      <c r="BU12" s="206" t="str">
        <f ca="1">IF(BR9&lt;&gt;"",OFFSET(変更先抽出【15時】!$A$1,BP9-1,33),"")</f>
        <v/>
      </c>
      <c r="BV12" s="207"/>
      <c r="BY12" s="25"/>
      <c r="BZ12" s="210" t="str">
        <f ca="1">IF(BZ9&lt;&gt;"",OFFSET(変更先抽出【15時】!$A$1,BX9-1,19),"")</f>
        <v/>
      </c>
      <c r="CA12" s="211"/>
      <c r="CB12" s="44"/>
      <c r="CC12" s="206" t="str">
        <f ca="1">IF(BZ9&lt;&gt;"",OFFSET(変更先抽出【15時】!$A$1,BX9-1,20),"")</f>
        <v/>
      </c>
      <c r="CD12" s="207"/>
      <c r="CE12" s="26"/>
      <c r="CF12" s="25"/>
      <c r="CG12" s="210" t="str">
        <f ca="1">IF(CG9&lt;&gt;"",OFFSET(変更先抽出【15時】!$A$1,CE9-1,32),"")</f>
        <v/>
      </c>
      <c r="CH12" s="211"/>
      <c r="CI12" s="44"/>
      <c r="CJ12" s="206" t="str">
        <f ca="1">IF(CG9&lt;&gt;"",OFFSET(変更先抽出【15時】!$A$1,CE9-1,33),"")</f>
        <v/>
      </c>
      <c r="CK12" s="207"/>
      <c r="CN12" s="25"/>
      <c r="CO12" s="210" t="str">
        <f ca="1">IF(CO9&lt;&gt;"",OFFSET(変更先抽出【15時】!$A$1,CM9-1,19),"")</f>
        <v/>
      </c>
      <c r="CP12" s="211"/>
      <c r="CQ12" s="44"/>
      <c r="CR12" s="206" t="str">
        <f ca="1">IF(CO9&lt;&gt;"",OFFSET(変更先抽出【15時】!$A$1,CM9-1,20),"")</f>
        <v/>
      </c>
      <c r="CS12" s="207"/>
      <c r="CT12" s="26"/>
      <c r="CU12" s="25"/>
      <c r="CV12" s="210" t="str">
        <f ca="1">IF(CV9&lt;&gt;"",OFFSET(変更先抽出【15時】!$A$1,CT9-1,32),"")</f>
        <v/>
      </c>
      <c r="CW12" s="211"/>
      <c r="CX12" s="44"/>
      <c r="CY12" s="206" t="str">
        <f ca="1">IF(CV9&lt;&gt;"",OFFSET(変更先抽出【15時】!$A$1,CT9-1,33),"")</f>
        <v/>
      </c>
      <c r="CZ12" s="207"/>
      <c r="DC12" s="25"/>
      <c r="DD12" s="210" t="str">
        <f ca="1">IF(DD9&lt;&gt;"",OFFSET(変更先抽出【15時】!$A$1,DB9-1,19),"")</f>
        <v/>
      </c>
      <c r="DE12" s="211"/>
      <c r="DF12" s="44"/>
      <c r="DG12" s="206" t="str">
        <f ca="1">IF(DD9&lt;&gt;"",OFFSET(変更先抽出【15時】!$A$1,DB9-1,20),"")</f>
        <v/>
      </c>
      <c r="DH12" s="207"/>
      <c r="DI12" s="26"/>
      <c r="DJ12" s="25"/>
      <c r="DK12" s="210" t="str">
        <f ca="1">IF(DK9&lt;&gt;"",OFFSET(変更先抽出【15時】!$A$1,DI9-1,32),"")</f>
        <v/>
      </c>
      <c r="DL12" s="211"/>
      <c r="DM12" s="44"/>
      <c r="DN12" s="206" t="str">
        <f ca="1">IF(DK9&lt;&gt;"",OFFSET(変更先抽出【15時】!$A$1,DI9-1,33),"")</f>
        <v/>
      </c>
      <c r="DO12" s="207"/>
      <c r="DR12" s="25"/>
      <c r="DS12" s="210" t="str">
        <f ca="1">IF(DS9&lt;&gt;"",OFFSET(変更先抽出【15時】!$A$1,DQ9-1,19),"")</f>
        <v/>
      </c>
      <c r="DT12" s="211"/>
      <c r="DU12" s="44"/>
      <c r="DV12" s="206" t="str">
        <f ca="1">IF(DS9&lt;&gt;"",OFFSET(変更先抽出【15時】!$A$1,DQ9-1,20),"")</f>
        <v/>
      </c>
      <c r="DW12" s="207"/>
      <c r="DX12" s="26"/>
      <c r="DY12" s="25"/>
      <c r="DZ12" s="210" t="str">
        <f ca="1">IF(DZ9&lt;&gt;"",OFFSET(変更先抽出【15時】!$A$1,DX9-1,32),"")</f>
        <v/>
      </c>
      <c r="EA12" s="211"/>
      <c r="EB12" s="44"/>
      <c r="EC12" s="206" t="str">
        <f ca="1">IF(DZ9&lt;&gt;"",OFFSET(変更先抽出【15時】!$A$1,DX9-1,33),"")</f>
        <v/>
      </c>
      <c r="ED12" s="207"/>
      <c r="EG12" s="25"/>
      <c r="EH12" s="210" t="str">
        <f ca="1">IF(EH9&lt;&gt;"",OFFSET(変更先抽出【15時】!$A$1,EF9-1,19),"")</f>
        <v/>
      </c>
      <c r="EI12" s="211"/>
      <c r="EJ12" s="44"/>
      <c r="EK12" s="206" t="str">
        <f ca="1">IF(EH9&lt;&gt;"",OFFSET(変更先抽出【15時】!$A$1,EF9-1,20),"")</f>
        <v/>
      </c>
      <c r="EL12" s="207"/>
      <c r="EM12" s="26"/>
      <c r="EN12" s="25"/>
      <c r="EO12" s="210" t="str">
        <f ca="1">IF(EO9&lt;&gt;"",OFFSET(変更先抽出【15時】!$A$1,EM9-1,32),"")</f>
        <v/>
      </c>
      <c r="EP12" s="211"/>
      <c r="EQ12" s="44"/>
      <c r="ER12" s="206" t="str">
        <f ca="1">IF(EO9&lt;&gt;"",OFFSET(変更先抽出【15時】!$A$1,EM9-1,33),"")</f>
        <v/>
      </c>
      <c r="ES12" s="207"/>
    </row>
    <row r="13" spans="1:150" ht="15.6" customHeight="1">
      <c r="B13" s="27"/>
      <c r="C13" s="208"/>
      <c r="D13" s="208"/>
      <c r="E13" s="179"/>
      <c r="F13" s="208"/>
      <c r="G13" s="209"/>
      <c r="H13" s="26"/>
      <c r="I13" s="27"/>
      <c r="J13" s="208"/>
      <c r="K13" s="208"/>
      <c r="L13" s="179"/>
      <c r="M13" s="208"/>
      <c r="N13" s="209"/>
      <c r="Q13" s="27"/>
      <c r="R13" s="208"/>
      <c r="S13" s="208"/>
      <c r="T13" s="179"/>
      <c r="U13" s="208"/>
      <c r="V13" s="209"/>
      <c r="W13" s="26"/>
      <c r="X13" s="27"/>
      <c r="Y13" s="208"/>
      <c r="Z13" s="208"/>
      <c r="AA13" s="179"/>
      <c r="AB13" s="208"/>
      <c r="AC13" s="209"/>
      <c r="AF13" s="27"/>
      <c r="AG13" s="208"/>
      <c r="AH13" s="208"/>
      <c r="AI13" s="179"/>
      <c r="AJ13" s="208"/>
      <c r="AK13" s="209"/>
      <c r="AL13" s="26"/>
      <c r="AM13" s="27"/>
      <c r="AN13" s="208"/>
      <c r="AO13" s="208"/>
      <c r="AP13" s="179"/>
      <c r="AQ13" s="208"/>
      <c r="AR13" s="209"/>
      <c r="AU13" s="27"/>
      <c r="AV13" s="208"/>
      <c r="AW13" s="208"/>
      <c r="AX13" s="179"/>
      <c r="AY13" s="208"/>
      <c r="AZ13" s="209"/>
      <c r="BA13" s="26"/>
      <c r="BB13" s="27"/>
      <c r="BC13" s="208"/>
      <c r="BD13" s="208"/>
      <c r="BE13" s="179"/>
      <c r="BF13" s="208"/>
      <c r="BG13" s="209"/>
      <c r="BJ13" s="27"/>
      <c r="BK13" s="208"/>
      <c r="BL13" s="208"/>
      <c r="BM13" s="179"/>
      <c r="BN13" s="208"/>
      <c r="BO13" s="209"/>
      <c r="BP13" s="26"/>
      <c r="BQ13" s="27"/>
      <c r="BR13" s="208"/>
      <c r="BS13" s="208"/>
      <c r="BT13" s="179"/>
      <c r="BU13" s="208"/>
      <c r="BV13" s="209"/>
      <c r="BY13" s="27"/>
      <c r="BZ13" s="208"/>
      <c r="CA13" s="208"/>
      <c r="CB13" s="179"/>
      <c r="CC13" s="208"/>
      <c r="CD13" s="209"/>
      <c r="CE13" s="26"/>
      <c r="CF13" s="27"/>
      <c r="CG13" s="208"/>
      <c r="CH13" s="208"/>
      <c r="CI13" s="179"/>
      <c r="CJ13" s="208"/>
      <c r="CK13" s="209"/>
      <c r="CN13" s="27"/>
      <c r="CO13" s="208"/>
      <c r="CP13" s="208"/>
      <c r="CQ13" s="179"/>
      <c r="CR13" s="208"/>
      <c r="CS13" s="209"/>
      <c r="CT13" s="26"/>
      <c r="CU13" s="27"/>
      <c r="CV13" s="208"/>
      <c r="CW13" s="208"/>
      <c r="CX13" s="179"/>
      <c r="CY13" s="208"/>
      <c r="CZ13" s="209"/>
      <c r="DC13" s="27"/>
      <c r="DD13" s="208"/>
      <c r="DE13" s="208"/>
      <c r="DF13" s="179"/>
      <c r="DG13" s="208"/>
      <c r="DH13" s="209"/>
      <c r="DI13" s="26"/>
      <c r="DJ13" s="27"/>
      <c r="DK13" s="208"/>
      <c r="DL13" s="208"/>
      <c r="DM13" s="179"/>
      <c r="DN13" s="208"/>
      <c r="DO13" s="209"/>
      <c r="DR13" s="27"/>
      <c r="DS13" s="208"/>
      <c r="DT13" s="208"/>
      <c r="DU13" s="179"/>
      <c r="DV13" s="208"/>
      <c r="DW13" s="209"/>
      <c r="DX13" s="26"/>
      <c r="DY13" s="27"/>
      <c r="DZ13" s="208"/>
      <c r="EA13" s="208"/>
      <c r="EB13" s="179"/>
      <c r="EC13" s="208"/>
      <c r="ED13" s="209"/>
      <c r="EG13" s="27"/>
      <c r="EH13" s="208"/>
      <c r="EI13" s="208"/>
      <c r="EJ13" s="179"/>
      <c r="EK13" s="208"/>
      <c r="EL13" s="209"/>
      <c r="EM13" s="26"/>
      <c r="EN13" s="27"/>
      <c r="EO13" s="208"/>
      <c r="EP13" s="208"/>
      <c r="EQ13" s="179"/>
      <c r="ER13" s="208"/>
      <c r="ES13" s="209"/>
    </row>
    <row r="14" spans="1:150" s="181" customFormat="1">
      <c r="A14" s="30"/>
      <c r="B14" s="34" t="str">
        <f ca="1">IF(C9&lt;&gt;"","パン箱","")</f>
        <v/>
      </c>
      <c r="C14" s="32" t="str">
        <f ca="1">IF(C9&lt;&gt;"",OFFSET(変更先抽出【15時】!$A$1,A9-1,22),"")</f>
        <v/>
      </c>
      <c r="D14" s="34" t="str">
        <f ca="1">IF(C9&lt;&gt;"","端数","")</f>
        <v/>
      </c>
      <c r="E14" s="32"/>
      <c r="F14" s="34" t="str">
        <f ca="1">IF(C9&lt;&gt;"","アレルギー","")</f>
        <v/>
      </c>
      <c r="G14" s="37"/>
      <c r="H14" s="22"/>
      <c r="I14" s="34" t="str">
        <f ca="1">IF(J9&lt;&gt;"","パン箱","")</f>
        <v/>
      </c>
      <c r="J14" s="32" t="str">
        <f ca="1">IF(J9&lt;&gt;"",OFFSET(変更先抽出【15時】!$A$1,H9-1,35),"")</f>
        <v/>
      </c>
      <c r="K14" s="34" t="str">
        <f ca="1">IF(J9&lt;&gt;"","端数","")</f>
        <v/>
      </c>
      <c r="L14" s="32"/>
      <c r="M14" s="34" t="str">
        <f ca="1">IF(J9&lt;&gt;"","アレルギー","")</f>
        <v/>
      </c>
      <c r="N14" s="37"/>
      <c r="O14" s="22"/>
      <c r="P14" s="30"/>
      <c r="Q14" s="34" t="str">
        <f ca="1">IF(R9&lt;&gt;"","パン箱","")</f>
        <v/>
      </c>
      <c r="R14" s="32" t="str">
        <f ca="1">IF(R9&lt;&gt;"",OFFSET(変更先抽出【15時】!$A$1,P9-1,22),"")</f>
        <v/>
      </c>
      <c r="S14" s="34" t="str">
        <f ca="1">IF(R9&lt;&gt;"","端数","")</f>
        <v/>
      </c>
      <c r="T14" s="32"/>
      <c r="U14" s="34" t="str">
        <f ca="1">IF(R9&lt;&gt;"","アレルギー","")</f>
        <v/>
      </c>
      <c r="V14" s="37"/>
      <c r="W14" s="22"/>
      <c r="X14" s="34" t="str">
        <f ca="1">IF(Y9&lt;&gt;"","パン箱","")</f>
        <v/>
      </c>
      <c r="Y14" s="32" t="str">
        <f ca="1">IF(Y9&lt;&gt;"",OFFSET(変更先抽出【15時】!$A$1,W9-1,35),"")</f>
        <v/>
      </c>
      <c r="Z14" s="34" t="str">
        <f ca="1">IF(Y9&lt;&gt;"","端数","")</f>
        <v/>
      </c>
      <c r="AA14" s="32"/>
      <c r="AB14" s="34" t="str">
        <f ca="1">IF(Y9&lt;&gt;"","アレルギー","")</f>
        <v/>
      </c>
      <c r="AC14" s="37"/>
      <c r="AD14" s="22"/>
      <c r="AE14" s="30"/>
      <c r="AF14" s="34" t="str">
        <f ca="1">IF(AG9&lt;&gt;"","パン箱","")</f>
        <v/>
      </c>
      <c r="AG14" s="32" t="str">
        <f ca="1">IF(AG9&lt;&gt;"",OFFSET(変更先抽出【15時】!$A$1,AE9-1,22),"")</f>
        <v/>
      </c>
      <c r="AH14" s="34" t="str">
        <f ca="1">IF(AG9&lt;&gt;"","端数","")</f>
        <v/>
      </c>
      <c r="AI14" s="32"/>
      <c r="AJ14" s="34" t="str">
        <f ca="1">IF(AG9&lt;&gt;"","アレルギー","")</f>
        <v/>
      </c>
      <c r="AK14" s="37"/>
      <c r="AL14" s="22"/>
      <c r="AM14" s="34" t="str">
        <f ca="1">IF(AN9&lt;&gt;"","パン箱","")</f>
        <v/>
      </c>
      <c r="AN14" s="32" t="str">
        <f ca="1">IF(AN9&lt;&gt;"",OFFSET(変更先抽出【15時】!$A$1,AL9-1,35),"")</f>
        <v/>
      </c>
      <c r="AO14" s="34" t="str">
        <f ca="1">IF(AN9&lt;&gt;"","端数","")</f>
        <v/>
      </c>
      <c r="AP14" s="32"/>
      <c r="AQ14" s="34" t="str">
        <f ca="1">IF(AN9&lt;&gt;"","アレルギー","")</f>
        <v/>
      </c>
      <c r="AR14" s="37"/>
      <c r="AS14" s="22"/>
      <c r="AT14" s="30"/>
      <c r="AU14" s="34" t="str">
        <f ca="1">IF(AV9&lt;&gt;"","パン箱","")</f>
        <v/>
      </c>
      <c r="AV14" s="32" t="str">
        <f ca="1">IF(AV9&lt;&gt;"",OFFSET(変更先抽出【15時】!$A$1,AT9-1,22),"")</f>
        <v/>
      </c>
      <c r="AW14" s="34" t="str">
        <f ca="1">IF(AV9&lt;&gt;"","端数","")</f>
        <v/>
      </c>
      <c r="AX14" s="32"/>
      <c r="AY14" s="34" t="str">
        <f ca="1">IF(AV9&lt;&gt;"","アレルギー","")</f>
        <v/>
      </c>
      <c r="AZ14" s="37"/>
      <c r="BA14" s="22"/>
      <c r="BB14" s="34" t="str">
        <f ca="1">IF(BC9&lt;&gt;"","パン箱","")</f>
        <v/>
      </c>
      <c r="BC14" s="32" t="str">
        <f ca="1">IF(BC9&lt;&gt;"",OFFSET(変更先抽出【15時】!$A$1,BA9-1,35),"")</f>
        <v/>
      </c>
      <c r="BD14" s="34" t="str">
        <f ca="1">IF(BC9&lt;&gt;"","端数","")</f>
        <v/>
      </c>
      <c r="BE14" s="32"/>
      <c r="BF14" s="34" t="str">
        <f ca="1">IF(BC9&lt;&gt;"","アレルギー","")</f>
        <v/>
      </c>
      <c r="BG14" s="37"/>
      <c r="BH14" s="22"/>
      <c r="BI14" s="30"/>
      <c r="BJ14" s="34" t="str">
        <f ca="1">IF(BK9&lt;&gt;"","パン箱","")</f>
        <v/>
      </c>
      <c r="BK14" s="32" t="str">
        <f ca="1">IF(BK9&lt;&gt;"",OFFSET(変更先抽出【15時】!$A$1,BI9-1,22),"")</f>
        <v/>
      </c>
      <c r="BL14" s="34" t="str">
        <f ca="1">IF(BK9&lt;&gt;"","端数","")</f>
        <v/>
      </c>
      <c r="BM14" s="32"/>
      <c r="BN14" s="34" t="str">
        <f ca="1">IF(BK9&lt;&gt;"","アレルギー","")</f>
        <v/>
      </c>
      <c r="BO14" s="37"/>
      <c r="BP14" s="22"/>
      <c r="BQ14" s="34" t="str">
        <f ca="1">IF(BR9&lt;&gt;"","パン箱","")</f>
        <v/>
      </c>
      <c r="BR14" s="32" t="str">
        <f ca="1">IF(BR9&lt;&gt;"",OFFSET(変更先抽出【15時】!$A$1,BP9-1,35),"")</f>
        <v/>
      </c>
      <c r="BS14" s="34" t="str">
        <f ca="1">IF(BR9&lt;&gt;"","端数","")</f>
        <v/>
      </c>
      <c r="BT14" s="32"/>
      <c r="BU14" s="34" t="str">
        <f ca="1">IF(BR9&lt;&gt;"","アレルギー","")</f>
        <v/>
      </c>
      <c r="BV14" s="37"/>
      <c r="BW14" s="22"/>
      <c r="BX14" s="30"/>
      <c r="BY14" s="34" t="str">
        <f ca="1">IF(BZ9&lt;&gt;"","パン箱","")</f>
        <v/>
      </c>
      <c r="BZ14" s="32" t="str">
        <f ca="1">IF(BZ9&lt;&gt;"",OFFSET(変更先抽出【15時】!$A$1,BX9-1,22),"")</f>
        <v/>
      </c>
      <c r="CA14" s="34" t="str">
        <f ca="1">IF(BZ9&lt;&gt;"","端数","")</f>
        <v/>
      </c>
      <c r="CB14" s="32"/>
      <c r="CC14" s="34" t="str">
        <f ca="1">IF(BZ9&lt;&gt;"","アレルギー","")</f>
        <v/>
      </c>
      <c r="CD14" s="37"/>
      <c r="CE14" s="22"/>
      <c r="CF14" s="34" t="str">
        <f ca="1">IF(CG9&lt;&gt;"","パン箱","")</f>
        <v/>
      </c>
      <c r="CG14" s="32" t="str">
        <f ca="1">IF(CG9&lt;&gt;"",OFFSET(変更先抽出【15時】!$A$1,CE9-1,35),"")</f>
        <v/>
      </c>
      <c r="CH14" s="34" t="str">
        <f ca="1">IF(CG9&lt;&gt;"","端数","")</f>
        <v/>
      </c>
      <c r="CI14" s="32"/>
      <c r="CJ14" s="34" t="str">
        <f ca="1">IF(CG9&lt;&gt;"","アレルギー","")</f>
        <v/>
      </c>
      <c r="CK14" s="37"/>
      <c r="CL14" s="22"/>
      <c r="CM14" s="30"/>
      <c r="CN14" s="34" t="str">
        <f ca="1">IF(CO9&lt;&gt;"","パン箱","")</f>
        <v/>
      </c>
      <c r="CO14" s="32" t="str">
        <f ca="1">IF(CO9&lt;&gt;"",OFFSET(変更先抽出【15時】!$A$1,CM9-1,22),"")</f>
        <v/>
      </c>
      <c r="CP14" s="34" t="str">
        <f ca="1">IF(CO9&lt;&gt;"","端数","")</f>
        <v/>
      </c>
      <c r="CQ14" s="32"/>
      <c r="CR14" s="34" t="str">
        <f ca="1">IF(CO9&lt;&gt;"","アレルギー","")</f>
        <v/>
      </c>
      <c r="CS14" s="37"/>
      <c r="CT14" s="22"/>
      <c r="CU14" s="34" t="str">
        <f ca="1">IF(CV9&lt;&gt;"","パン箱","")</f>
        <v/>
      </c>
      <c r="CV14" s="32" t="str">
        <f ca="1">IF(CV9&lt;&gt;"",OFFSET(変更先抽出【15時】!$A$1,CT9-1,35),"")</f>
        <v/>
      </c>
      <c r="CW14" s="34" t="str">
        <f ca="1">IF(CV9&lt;&gt;"","端数","")</f>
        <v/>
      </c>
      <c r="CX14" s="32"/>
      <c r="CY14" s="34" t="str">
        <f ca="1">IF(CV9&lt;&gt;"","アレルギー","")</f>
        <v/>
      </c>
      <c r="CZ14" s="37"/>
      <c r="DA14" s="22"/>
      <c r="DB14" s="30"/>
      <c r="DC14" s="34" t="str">
        <f ca="1">IF(DD9&lt;&gt;"","パン箱","")</f>
        <v/>
      </c>
      <c r="DD14" s="32" t="str">
        <f ca="1">IF(DD9&lt;&gt;"",OFFSET(変更先抽出【15時】!$A$1,DB9-1,22),"")</f>
        <v/>
      </c>
      <c r="DE14" s="34" t="str">
        <f ca="1">IF(DD9&lt;&gt;"","端数","")</f>
        <v/>
      </c>
      <c r="DF14" s="32"/>
      <c r="DG14" s="34" t="str">
        <f ca="1">IF(DD9&lt;&gt;"","アレルギー","")</f>
        <v/>
      </c>
      <c r="DH14" s="37"/>
      <c r="DI14" s="22"/>
      <c r="DJ14" s="34" t="str">
        <f ca="1">IF(DK9&lt;&gt;"","パン箱","")</f>
        <v/>
      </c>
      <c r="DK14" s="32" t="str">
        <f ca="1">IF(DK9&lt;&gt;"",OFFSET(変更先抽出【15時】!$A$1,DI9-1,35),"")</f>
        <v/>
      </c>
      <c r="DL14" s="34" t="str">
        <f ca="1">IF(DK9&lt;&gt;"","端数","")</f>
        <v/>
      </c>
      <c r="DM14" s="32"/>
      <c r="DN14" s="34" t="str">
        <f ca="1">IF(DK9&lt;&gt;"","アレルギー","")</f>
        <v/>
      </c>
      <c r="DO14" s="37"/>
      <c r="DP14" s="22"/>
      <c r="DQ14" s="30"/>
      <c r="DR14" s="34" t="str">
        <f ca="1">IF(DS9&lt;&gt;"","パン箱","")</f>
        <v/>
      </c>
      <c r="DS14" s="32" t="str">
        <f ca="1">IF(DS9&lt;&gt;"",OFFSET(変更先抽出【15時】!$A$1,DQ9-1,22),"")</f>
        <v/>
      </c>
      <c r="DT14" s="34" t="str">
        <f ca="1">IF(DS9&lt;&gt;"","端数","")</f>
        <v/>
      </c>
      <c r="DU14" s="32"/>
      <c r="DV14" s="34" t="str">
        <f ca="1">IF(DS9&lt;&gt;"","アレルギー","")</f>
        <v/>
      </c>
      <c r="DW14" s="37"/>
      <c r="DX14" s="22"/>
      <c r="DY14" s="34" t="str">
        <f ca="1">IF(DZ9&lt;&gt;"","パン箱","")</f>
        <v/>
      </c>
      <c r="DZ14" s="32" t="str">
        <f ca="1">IF(DZ9&lt;&gt;"",OFFSET(変更先抽出【15時】!$A$1,DX9-1,35),"")</f>
        <v/>
      </c>
      <c r="EA14" s="34" t="str">
        <f ca="1">IF(DZ9&lt;&gt;"","端数","")</f>
        <v/>
      </c>
      <c r="EB14" s="32"/>
      <c r="EC14" s="34" t="str">
        <f ca="1">IF(DZ9&lt;&gt;"","アレルギー","")</f>
        <v/>
      </c>
      <c r="ED14" s="37"/>
      <c r="EE14" s="22"/>
      <c r="EF14" s="30"/>
      <c r="EG14" s="34" t="str">
        <f ca="1">IF(EH9&lt;&gt;"","パン箱","")</f>
        <v/>
      </c>
      <c r="EH14" s="32" t="str">
        <f ca="1">IF(EH9&lt;&gt;"",OFFSET(変更先抽出【15時】!$A$1,EF9-1,22),"")</f>
        <v/>
      </c>
      <c r="EI14" s="34" t="str">
        <f ca="1">IF(EH9&lt;&gt;"","端数","")</f>
        <v/>
      </c>
      <c r="EJ14" s="32"/>
      <c r="EK14" s="34" t="str">
        <f ca="1">IF(EH9&lt;&gt;"","アレルギー","")</f>
        <v/>
      </c>
      <c r="EL14" s="37"/>
      <c r="EM14" s="22"/>
      <c r="EN14" s="34" t="str">
        <f ca="1">IF(EO9&lt;&gt;"","パン箱","")</f>
        <v/>
      </c>
      <c r="EO14" s="32" t="str">
        <f ca="1">IF(EO9&lt;&gt;"",OFFSET(変更先抽出【15時】!$A$1,EM9-1,35),"")</f>
        <v/>
      </c>
      <c r="EP14" s="34" t="str">
        <f ca="1">IF(EO9&lt;&gt;"","端数","")</f>
        <v/>
      </c>
      <c r="EQ14" s="32"/>
      <c r="ER14" s="34" t="str">
        <f ca="1">IF(EO9&lt;&gt;"","アレルギー","")</f>
        <v/>
      </c>
      <c r="ES14" s="37"/>
      <c r="ET14" s="22"/>
    </row>
    <row r="15" spans="1:150" ht="27.6" customHeight="1">
      <c r="B15" s="216" t="str">
        <f ca="1">IF(C9&lt;&gt;"",IFERROR(INT(C12/C14),""),"")</f>
        <v/>
      </c>
      <c r="C15" s="209"/>
      <c r="D15" s="216" t="str">
        <f ca="1">IF(C9&lt;&gt;"",IFERROR(MOD(C12,C14),""),"")</f>
        <v/>
      </c>
      <c r="E15" s="209"/>
      <c r="F15" s="217" t="str">
        <f ca="1">IF(C9&lt;&gt;"",OFFSET(変更先抽出【15時】!$A$1,A9-1,21),"")</f>
        <v/>
      </c>
      <c r="G15" s="209"/>
      <c r="I15" s="216" t="str">
        <f ca="1">IF(J9&lt;&gt;"",IFERROR(INT(J12/J14),""),"")</f>
        <v/>
      </c>
      <c r="J15" s="209"/>
      <c r="K15" s="216" t="str">
        <f ca="1">IF(J9&lt;&gt;"",IFERROR(MOD(J12,J14),""),"")</f>
        <v/>
      </c>
      <c r="L15" s="209"/>
      <c r="M15" s="217" t="str">
        <f ca="1">IF(J9&lt;&gt;"",OFFSET(変更先抽出【15時】!$A$1,H9-1,34),"")</f>
        <v/>
      </c>
      <c r="N15" s="209"/>
      <c r="Q15" s="216" t="str">
        <f ca="1">IF(R9&lt;&gt;"",IFERROR(INT(R12/R14),""),"")</f>
        <v/>
      </c>
      <c r="R15" s="209"/>
      <c r="S15" s="216" t="str">
        <f ca="1">IF(R9&lt;&gt;"",IFERROR(MOD(R12,R14),""),"")</f>
        <v/>
      </c>
      <c r="T15" s="209"/>
      <c r="U15" s="217" t="str">
        <f ca="1">IF(R9&lt;&gt;"",OFFSET(変更先抽出【15時】!$A$1,P9-1,21),"")</f>
        <v/>
      </c>
      <c r="V15" s="209"/>
      <c r="X15" s="216" t="str">
        <f ca="1">IF(Y9&lt;&gt;"",IFERROR(INT(Y12/Y14),""),"")</f>
        <v/>
      </c>
      <c r="Y15" s="209"/>
      <c r="Z15" s="216" t="str">
        <f ca="1">IF(Y9&lt;&gt;"",IFERROR(MOD(Y12,Y14),""),"")</f>
        <v/>
      </c>
      <c r="AA15" s="209"/>
      <c r="AB15" s="217" t="str">
        <f ca="1">IF(Y9&lt;&gt;"",OFFSET(変更先抽出【15時】!$A$1,W9-1,34),"")</f>
        <v/>
      </c>
      <c r="AC15" s="209"/>
      <c r="AF15" s="216" t="str">
        <f ca="1">IF(AG9&lt;&gt;"",IFERROR(INT(AG12/AG14),""),"")</f>
        <v/>
      </c>
      <c r="AG15" s="209"/>
      <c r="AH15" s="216" t="str">
        <f ca="1">IF(AG9&lt;&gt;"",IFERROR(MOD(AG12,AG14),""),"")</f>
        <v/>
      </c>
      <c r="AI15" s="209"/>
      <c r="AJ15" s="217" t="str">
        <f ca="1">IF(AG9&lt;&gt;"",OFFSET(変更先抽出【15時】!$A$1,AE9-1,21),"")</f>
        <v/>
      </c>
      <c r="AK15" s="209"/>
      <c r="AM15" s="216" t="str">
        <f ca="1">IF(AN9&lt;&gt;"",IFERROR(INT(AN12/AN14),""),"")</f>
        <v/>
      </c>
      <c r="AN15" s="209"/>
      <c r="AO15" s="216" t="str">
        <f ca="1">IF(AN9&lt;&gt;"",IFERROR(MOD(AN12,AN14),""),"")</f>
        <v/>
      </c>
      <c r="AP15" s="209"/>
      <c r="AQ15" s="217" t="str">
        <f ca="1">IF(AN9&lt;&gt;"",OFFSET(変更先抽出【15時】!$A$1,AL9-1,34),"")</f>
        <v/>
      </c>
      <c r="AR15" s="209"/>
      <c r="AU15" s="216" t="str">
        <f ca="1">IF(AV9&lt;&gt;"",IFERROR(INT(AV12/AV14),""),"")</f>
        <v/>
      </c>
      <c r="AV15" s="209"/>
      <c r="AW15" s="216" t="str">
        <f ca="1">IF(AV9&lt;&gt;"",IFERROR(MOD(AV12,AV14),""),"")</f>
        <v/>
      </c>
      <c r="AX15" s="209"/>
      <c r="AY15" s="217" t="str">
        <f ca="1">IF(AV9&lt;&gt;"",OFFSET(変更先抽出【15時】!$A$1,AT9-1,21),"")</f>
        <v/>
      </c>
      <c r="AZ15" s="209"/>
      <c r="BB15" s="216" t="str">
        <f ca="1">IF(BC9&lt;&gt;"",IFERROR(INT(BC12/BC14),""),"")</f>
        <v/>
      </c>
      <c r="BC15" s="209"/>
      <c r="BD15" s="216" t="str">
        <f ca="1">IF(BC9&lt;&gt;"",IFERROR(MOD(BC12,BC14),""),"")</f>
        <v/>
      </c>
      <c r="BE15" s="209"/>
      <c r="BF15" s="217" t="str">
        <f ca="1">IF(BC9&lt;&gt;"",OFFSET(変更先抽出【15時】!$A$1,BA9-1,34),"")</f>
        <v/>
      </c>
      <c r="BG15" s="209"/>
      <c r="BJ15" s="216" t="str">
        <f ca="1">IF(BK9&lt;&gt;"",IFERROR(INT(BK12/BK14),""),"")</f>
        <v/>
      </c>
      <c r="BK15" s="209"/>
      <c r="BL15" s="216" t="str">
        <f ca="1">IF(BK9&lt;&gt;"",IFERROR(MOD(BK12,BK14),""),"")</f>
        <v/>
      </c>
      <c r="BM15" s="209"/>
      <c r="BN15" s="217" t="str">
        <f ca="1">IF(BK9&lt;&gt;"",OFFSET(変更先抽出【15時】!$A$1,BI9-1,21),"")</f>
        <v/>
      </c>
      <c r="BO15" s="209"/>
      <c r="BQ15" s="216" t="str">
        <f ca="1">IF(BR9&lt;&gt;"",IFERROR(INT(BR12/BR14),""),"")</f>
        <v/>
      </c>
      <c r="BR15" s="209"/>
      <c r="BS15" s="216" t="str">
        <f ca="1">IF(BR9&lt;&gt;"",IFERROR(MOD(BR12,BR14),""),"")</f>
        <v/>
      </c>
      <c r="BT15" s="209"/>
      <c r="BU15" s="217" t="str">
        <f ca="1">IF(BR9&lt;&gt;"",OFFSET(変更先抽出【15時】!$A$1,BP9-1,34),"")</f>
        <v/>
      </c>
      <c r="BV15" s="209"/>
      <c r="BY15" s="216" t="str">
        <f ca="1">IF(BZ9&lt;&gt;"",IFERROR(INT(BZ12/BZ14),""),"")</f>
        <v/>
      </c>
      <c r="BZ15" s="209"/>
      <c r="CA15" s="216" t="str">
        <f ca="1">IF(BZ9&lt;&gt;"",IFERROR(MOD(BZ12,BZ14),""),"")</f>
        <v/>
      </c>
      <c r="CB15" s="209"/>
      <c r="CC15" s="217" t="str">
        <f ca="1">IF(BZ9&lt;&gt;"",OFFSET(変更先抽出【15時】!$A$1,BX9-1,21),"")</f>
        <v/>
      </c>
      <c r="CD15" s="209"/>
      <c r="CF15" s="216" t="str">
        <f ca="1">IF(CG9&lt;&gt;"",IFERROR(INT(CG12/CG14),""),"")</f>
        <v/>
      </c>
      <c r="CG15" s="209"/>
      <c r="CH15" s="216" t="str">
        <f ca="1">IF(CG9&lt;&gt;"",IFERROR(MOD(CG12,CG14),""),"")</f>
        <v/>
      </c>
      <c r="CI15" s="209"/>
      <c r="CJ15" s="217" t="str">
        <f ca="1">IF(CG9&lt;&gt;"",OFFSET(変更先抽出【15時】!$A$1,CE9-1,34),"")</f>
        <v/>
      </c>
      <c r="CK15" s="209"/>
      <c r="CN15" s="216" t="str">
        <f ca="1">IF(CO9&lt;&gt;"",IFERROR(INT(CO12/CO14),""),"")</f>
        <v/>
      </c>
      <c r="CO15" s="209"/>
      <c r="CP15" s="216" t="str">
        <f ca="1">IF(CO9&lt;&gt;"",IFERROR(MOD(CO12,CO14),""),"")</f>
        <v/>
      </c>
      <c r="CQ15" s="209"/>
      <c r="CR15" s="217" t="str">
        <f ca="1">IF(CO9&lt;&gt;"",OFFSET(変更先抽出【15時】!$A$1,CM9-1,21),"")</f>
        <v/>
      </c>
      <c r="CS15" s="209"/>
      <c r="CU15" s="216" t="str">
        <f ca="1">IF(CV9&lt;&gt;"",IFERROR(INT(CV12/CV14),""),"")</f>
        <v/>
      </c>
      <c r="CV15" s="209"/>
      <c r="CW15" s="216" t="str">
        <f ca="1">IF(CV9&lt;&gt;"",IFERROR(MOD(CV12,CV14),""),"")</f>
        <v/>
      </c>
      <c r="CX15" s="209"/>
      <c r="CY15" s="217" t="str">
        <f ca="1">IF(CV9&lt;&gt;"",OFFSET(変更先抽出【15時】!$A$1,CT9-1,34),"")</f>
        <v/>
      </c>
      <c r="CZ15" s="209"/>
      <c r="DC15" s="216" t="str">
        <f ca="1">IF(DD9&lt;&gt;"",IFERROR(INT(DD12/DD14),""),"")</f>
        <v/>
      </c>
      <c r="DD15" s="209"/>
      <c r="DE15" s="216" t="str">
        <f ca="1">IF(DD9&lt;&gt;"",IFERROR(MOD(DD12,DD14),""),"")</f>
        <v/>
      </c>
      <c r="DF15" s="209"/>
      <c r="DG15" s="217" t="str">
        <f ca="1">IF(DD9&lt;&gt;"",OFFSET(変更先抽出【15時】!$A$1,DB9-1,21),"")</f>
        <v/>
      </c>
      <c r="DH15" s="209"/>
      <c r="DJ15" s="216" t="str">
        <f ca="1">IF(DK9&lt;&gt;"",IFERROR(INT(DK12/DK14),""),"")</f>
        <v/>
      </c>
      <c r="DK15" s="209"/>
      <c r="DL15" s="216" t="str">
        <f ca="1">IF(DK9&lt;&gt;"",IFERROR(MOD(DK12,DK14),""),"")</f>
        <v/>
      </c>
      <c r="DM15" s="209"/>
      <c r="DN15" s="217" t="str">
        <f ca="1">IF(DK9&lt;&gt;"",OFFSET(変更先抽出【15時】!$A$1,DI9-1,34),"")</f>
        <v/>
      </c>
      <c r="DO15" s="209"/>
      <c r="DR15" s="216" t="str">
        <f ca="1">IF(DS9&lt;&gt;"",IFERROR(INT(DS12/DS14),""),"")</f>
        <v/>
      </c>
      <c r="DS15" s="209"/>
      <c r="DT15" s="216" t="str">
        <f ca="1">IF(DS9&lt;&gt;"",IFERROR(MOD(DS12,DS14),""),"")</f>
        <v/>
      </c>
      <c r="DU15" s="209"/>
      <c r="DV15" s="217" t="str">
        <f ca="1">IF(DS9&lt;&gt;"",OFFSET(変更先抽出【15時】!$A$1,DQ9-1,21),"")</f>
        <v/>
      </c>
      <c r="DW15" s="209"/>
      <c r="DY15" s="216" t="str">
        <f ca="1">IF(DZ9&lt;&gt;"",IFERROR(INT(DZ12/DZ14),""),"")</f>
        <v/>
      </c>
      <c r="DZ15" s="209"/>
      <c r="EA15" s="216" t="str">
        <f ca="1">IF(DZ9&lt;&gt;"",IFERROR(MOD(DZ12,DZ14),""),"")</f>
        <v/>
      </c>
      <c r="EB15" s="209"/>
      <c r="EC15" s="217" t="str">
        <f ca="1">IF(DZ9&lt;&gt;"",OFFSET(変更先抽出【15時】!$A$1,DX9-1,34),"")</f>
        <v/>
      </c>
      <c r="ED15" s="209"/>
      <c r="EG15" s="216" t="str">
        <f ca="1">IF(EH9&lt;&gt;"",IFERROR(INT(EH12/EH14),""),"")</f>
        <v/>
      </c>
      <c r="EH15" s="209"/>
      <c r="EI15" s="216" t="str">
        <f ca="1">IF(EH9&lt;&gt;"",IFERROR(MOD(EH12,EH14),""),"")</f>
        <v/>
      </c>
      <c r="EJ15" s="209"/>
      <c r="EK15" s="217" t="str">
        <f ca="1">IF(EH9&lt;&gt;"",OFFSET(変更先抽出【15時】!$A$1,EF9-1,21),"")</f>
        <v/>
      </c>
      <c r="EL15" s="209"/>
      <c r="EN15" s="216" t="str">
        <f ca="1">IF(EO9&lt;&gt;"",IFERROR(INT(EO12/EO14),""),"")</f>
        <v/>
      </c>
      <c r="EO15" s="209"/>
      <c r="EP15" s="216" t="str">
        <f ca="1">IF(EO9&lt;&gt;"",IFERROR(MOD(EO12,EO14),""),"")</f>
        <v/>
      </c>
      <c r="EQ15" s="209"/>
      <c r="ER15" s="217" t="str">
        <f ca="1">IF(EO9&lt;&gt;"",OFFSET(変更先抽出【15時】!$A$1,EM9-1,34),"")</f>
        <v/>
      </c>
      <c r="ES15" s="209"/>
    </row>
    <row r="16" spans="1:150" ht="6.6" customHeight="1">
      <c r="B16" s="41"/>
      <c r="D16" s="41"/>
      <c r="F16" s="42"/>
      <c r="I16" s="41"/>
      <c r="K16" s="41"/>
      <c r="M16" s="42"/>
      <c r="Q16" s="41"/>
      <c r="S16" s="41"/>
      <c r="U16" s="42"/>
      <c r="X16" s="41"/>
      <c r="Z16" s="41"/>
      <c r="AB16" s="42"/>
      <c r="AF16" s="41"/>
      <c r="AH16" s="41"/>
      <c r="AJ16" s="42"/>
      <c r="AM16" s="41"/>
      <c r="AO16" s="41"/>
      <c r="AQ16" s="42"/>
      <c r="AU16" s="41"/>
      <c r="AW16" s="41"/>
      <c r="AY16" s="42"/>
      <c r="BB16" s="41"/>
      <c r="BD16" s="41"/>
      <c r="BF16" s="42"/>
      <c r="BJ16" s="41"/>
      <c r="BL16" s="41"/>
      <c r="BN16" s="42"/>
      <c r="BQ16" s="41"/>
      <c r="BS16" s="41"/>
      <c r="BU16" s="42"/>
      <c r="BY16" s="41"/>
      <c r="CA16" s="41"/>
      <c r="CC16" s="42"/>
      <c r="CF16" s="41"/>
      <c r="CH16" s="41"/>
      <c r="CJ16" s="42"/>
      <c r="CN16" s="41"/>
      <c r="CP16" s="41"/>
      <c r="CR16" s="42"/>
      <c r="CU16" s="41"/>
      <c r="CW16" s="41"/>
      <c r="CY16" s="42"/>
      <c r="DC16" s="41"/>
      <c r="DE16" s="41"/>
      <c r="DG16" s="42"/>
      <c r="DJ16" s="41"/>
      <c r="DL16" s="41"/>
      <c r="DN16" s="42"/>
      <c r="DR16" s="41"/>
      <c r="DT16" s="41"/>
      <c r="DV16" s="42"/>
      <c r="DY16" s="41"/>
      <c r="EA16" s="41"/>
      <c r="EC16" s="42"/>
      <c r="EG16" s="41"/>
      <c r="EI16" s="41"/>
      <c r="EK16" s="42"/>
      <c r="EN16" s="41"/>
      <c r="EP16" s="41"/>
      <c r="ER16" s="42"/>
    </row>
    <row r="17" spans="1:150" s="181" customFormat="1" ht="25.8" customHeight="1">
      <c r="A17" s="30">
        <f ca="1">IF(OFFSET(変更先抽出【15時】!$A$1,H9+1-1,29)="",H9+2,H9+1)</f>
        <v>9</v>
      </c>
      <c r="B17" s="40" t="str">
        <f ca="1">IF(C17&lt;&gt;"",
MID(貼り付け用!$A$2, FIND("年",貼り付け用!$A$2)+1,2)&amp;"/"&amp;MID(貼り付け用!$A$2, FIND("月",貼り付け用!$A$2)+1,2),"")</f>
        <v/>
      </c>
      <c r="C17" s="214" t="str">
        <f ca="1">IF(OFFSET(変更先抽出【15時】!$A$1,A17-1,29)&lt;&gt;"",OFFSET(変更先抽出【15時】!$A$1,A17-1,30),"")</f>
        <v/>
      </c>
      <c r="D17" s="215"/>
      <c r="E17" s="215"/>
      <c r="F17" s="215"/>
      <c r="G17" s="39" t="str">
        <f ca="1">IF(C17&lt;&gt;"","様","")</f>
        <v/>
      </c>
      <c r="H17" s="33">
        <f ca="1">IF(OFFSET(変更先抽出【15時】!$A$1,A17+1-1,29)="",A17+2,A17+1)</f>
        <v>11</v>
      </c>
      <c r="I17" s="40" t="str">
        <f ca="1">IF(J17&lt;&gt;"",
MID(貼り付け用!$A$2, FIND("年",貼り付け用!$A$2)+1,2)&amp;"/"&amp;MID(貼り付け用!$A$2, FIND("月",貼り付け用!$A$2)+1,2),"")</f>
        <v/>
      </c>
      <c r="J17" s="214" t="str">
        <f ca="1">IF(OFFSET(変更先抽出【15時】!$A$1,H17-1,29)&lt;&gt;"",OFFSET(変更先抽出【15時】!$A$1,H17-1,30),"")</f>
        <v/>
      </c>
      <c r="K17" s="215"/>
      <c r="L17" s="215"/>
      <c r="M17" s="215"/>
      <c r="N17" s="39" t="str">
        <f ca="1">IF(J17&lt;&gt;"","様","")</f>
        <v/>
      </c>
      <c r="O17" s="22"/>
      <c r="P17" s="30">
        <f ca="1">IF(OFFSET(変更先抽出【15時】!$A$1,W9+1-1,29)="",W9+2,W9+1)</f>
        <v>33</v>
      </c>
      <c r="Q17" s="40" t="str">
        <f ca="1">IF(R17&lt;&gt;"",
MID(貼り付け用!$A$2, FIND("年",貼り付け用!$A$2)+1,2)&amp;"/"&amp;MID(貼り付け用!$A$2, FIND("月",貼り付け用!$A$2)+1,2),"")</f>
        <v/>
      </c>
      <c r="R17" s="214" t="str">
        <f ca="1">IF(OFFSET(変更先抽出【15時】!$A$1,P17-1,29)&lt;&gt;"",OFFSET(変更先抽出【15時】!$A$1,P17-1,30),"")</f>
        <v/>
      </c>
      <c r="S17" s="215"/>
      <c r="T17" s="215"/>
      <c r="U17" s="215"/>
      <c r="V17" s="39" t="str">
        <f ca="1">IF(R17&lt;&gt;"","様","")</f>
        <v/>
      </c>
      <c r="W17" s="33">
        <f ca="1">IF(OFFSET(変更先抽出【15時】!$A$1,P17+1-1,29)="",P17+2,P17+1)</f>
        <v>35</v>
      </c>
      <c r="X17" s="40" t="str">
        <f ca="1">IF(Y17&lt;&gt;"",
MID(貼り付け用!$A$2, FIND("年",貼り付け用!$A$2)+1,2)&amp;"/"&amp;MID(貼り付け用!$A$2, FIND("月",貼り付け用!$A$2)+1,2),"")</f>
        <v/>
      </c>
      <c r="Y17" s="214" t="str">
        <f ca="1">IF(OFFSET(変更先抽出【15時】!$A$1,W17-1,29)&lt;&gt;"",OFFSET(変更先抽出【15時】!$A$1,W17-1,30),"")</f>
        <v/>
      </c>
      <c r="Z17" s="215"/>
      <c r="AA17" s="215"/>
      <c r="AB17" s="215"/>
      <c r="AC17" s="39" t="str">
        <f ca="1">IF(Y17&lt;&gt;"","様","")</f>
        <v/>
      </c>
      <c r="AD17" s="22"/>
      <c r="AE17" s="30">
        <f ca="1">IF(OFFSET(変更先抽出【15時】!$A$1,AL9+1-1,29)="",AL9+2,AL9+1)</f>
        <v>57</v>
      </c>
      <c r="AF17" s="40" t="str">
        <f ca="1">IF(AG17&lt;&gt;"",
MID(貼り付け用!$A$2, FIND("年",貼り付け用!$A$2)+1,2)&amp;"/"&amp;MID(貼り付け用!$A$2, FIND("月",貼り付け用!$A$2)+1,2),"")</f>
        <v/>
      </c>
      <c r="AG17" s="214" t="str">
        <f ca="1">IF(OFFSET(変更先抽出【15時】!$A$1,AE17-1,29)&lt;&gt;"",OFFSET(変更先抽出【15時】!$A$1,AE17-1,30),"")</f>
        <v/>
      </c>
      <c r="AH17" s="215"/>
      <c r="AI17" s="215"/>
      <c r="AJ17" s="215"/>
      <c r="AK17" s="39" t="str">
        <f ca="1">IF(AG17&lt;&gt;"","様","")</f>
        <v/>
      </c>
      <c r="AL17" s="33">
        <f ca="1">IF(OFFSET(変更先抽出【15時】!$A$1,AE17+1-1,29)="",AE17+2,AE17+1)</f>
        <v>59</v>
      </c>
      <c r="AM17" s="40" t="str">
        <f ca="1">IF(AN17&lt;&gt;"",
MID(貼り付け用!$A$2, FIND("年",貼り付け用!$A$2)+1,2)&amp;"/"&amp;MID(貼り付け用!$A$2, FIND("月",貼り付け用!$A$2)+1,2),"")</f>
        <v/>
      </c>
      <c r="AN17" s="214" t="str">
        <f ca="1">IF(OFFSET(変更先抽出【15時】!$A$1,AL17-1,29)&lt;&gt;"",OFFSET(変更先抽出【15時】!$A$1,AL17-1,30),"")</f>
        <v/>
      </c>
      <c r="AO17" s="215"/>
      <c r="AP17" s="215"/>
      <c r="AQ17" s="215"/>
      <c r="AR17" s="39" t="str">
        <f ca="1">IF(AN17&lt;&gt;"","様","")</f>
        <v/>
      </c>
      <c r="AS17" s="22"/>
      <c r="AT17" s="30">
        <f ca="1">IF(OFFSET(変更先抽出【15時】!$A$1,BA9+1-1,29)="",BA9+2,BA9+1)</f>
        <v>81</v>
      </c>
      <c r="AU17" s="40" t="str">
        <f ca="1">IF(AV17&lt;&gt;"",
MID(貼り付け用!$A$2, FIND("年",貼り付け用!$A$2)+1,2)&amp;"/"&amp;MID(貼り付け用!$A$2, FIND("月",貼り付け用!$A$2)+1,2),"")</f>
        <v/>
      </c>
      <c r="AV17" s="214" t="str">
        <f ca="1">IF(OFFSET(変更先抽出【15時】!$A$1,AT17-1,29)&lt;&gt;"",OFFSET(変更先抽出【15時】!$A$1,AT17-1,30),"")</f>
        <v/>
      </c>
      <c r="AW17" s="215"/>
      <c r="AX17" s="215"/>
      <c r="AY17" s="215"/>
      <c r="AZ17" s="39" t="str">
        <f ca="1">IF(AV17&lt;&gt;"","様","")</f>
        <v/>
      </c>
      <c r="BA17" s="33">
        <f ca="1">IF(OFFSET(変更先抽出【15時】!$A$1,AT17+1-1,29)="",AT17+2,AT17+1)</f>
        <v>83</v>
      </c>
      <c r="BB17" s="40" t="str">
        <f ca="1">IF(BC17&lt;&gt;"",
MID(貼り付け用!$A$2, FIND("年",貼り付け用!$A$2)+1,2)&amp;"/"&amp;MID(貼り付け用!$A$2, FIND("月",貼り付け用!$A$2)+1,2),"")</f>
        <v/>
      </c>
      <c r="BC17" s="214" t="str">
        <f ca="1">IF(OFFSET(変更先抽出【15時】!$A$1,BA17-1,29)&lt;&gt;"",OFFSET(変更先抽出【15時】!$A$1,BA17-1,30),"")</f>
        <v/>
      </c>
      <c r="BD17" s="215"/>
      <c r="BE17" s="215"/>
      <c r="BF17" s="215"/>
      <c r="BG17" s="39" t="str">
        <f ca="1">IF(BC17&lt;&gt;"","様","")</f>
        <v/>
      </c>
      <c r="BH17" s="22"/>
      <c r="BI17" s="30">
        <f ca="1">IF(OFFSET(変更先抽出【15時】!$A$1,BP9+1-1,29)="",BP9+2,BP9+1)</f>
        <v>105</v>
      </c>
      <c r="BJ17" s="40" t="str">
        <f ca="1">IF(BK17&lt;&gt;"",
MID(貼り付け用!$A$2, FIND("年",貼り付け用!$A$2)+1,2)&amp;"/"&amp;MID(貼り付け用!$A$2, FIND("月",貼り付け用!$A$2)+1,2),"")</f>
        <v/>
      </c>
      <c r="BK17" s="214" t="str">
        <f ca="1">IF(OFFSET(変更先抽出【15時】!$A$1,BI17-1,29)&lt;&gt;"",OFFSET(変更先抽出【15時】!$A$1,BI17-1,30),"")</f>
        <v/>
      </c>
      <c r="BL17" s="215"/>
      <c r="BM17" s="215"/>
      <c r="BN17" s="215"/>
      <c r="BO17" s="39" t="str">
        <f ca="1">IF(BK17&lt;&gt;"","様","")</f>
        <v/>
      </c>
      <c r="BP17" s="33">
        <f ca="1">IF(OFFSET(変更先抽出【15時】!$A$1,BI17+1-1,29)="",BI17+2,BI17+1)</f>
        <v>107</v>
      </c>
      <c r="BQ17" s="40" t="str">
        <f ca="1">IF(BR17&lt;&gt;"",
MID(貼り付け用!$A$2, FIND("年",貼り付け用!$A$2)+1,2)&amp;"/"&amp;MID(貼り付け用!$A$2, FIND("月",貼り付け用!$A$2)+1,2),"")</f>
        <v/>
      </c>
      <c r="BR17" s="214" t="str">
        <f ca="1">IF(OFFSET(変更先抽出【15時】!$A$1,BP17-1,29)&lt;&gt;"",OFFSET(変更先抽出【15時】!$A$1,BP17-1,30),"")</f>
        <v/>
      </c>
      <c r="BS17" s="215"/>
      <c r="BT17" s="215"/>
      <c r="BU17" s="215"/>
      <c r="BV17" s="39" t="str">
        <f ca="1">IF(BR17&lt;&gt;"","様","")</f>
        <v/>
      </c>
      <c r="BW17" s="22"/>
      <c r="BX17" s="30">
        <f ca="1">IF(OFFSET(変更先抽出【15時】!$A$1,CE9+1-1,29)="",CE9+2,CE9+1)</f>
        <v>129</v>
      </c>
      <c r="BY17" s="40" t="str">
        <f ca="1">IF(BZ17&lt;&gt;"",
MID(貼り付け用!$A$2, FIND("年",貼り付け用!$A$2)+1,2)&amp;"/"&amp;MID(貼り付け用!$A$2, FIND("月",貼り付け用!$A$2)+1,2),"")</f>
        <v/>
      </c>
      <c r="BZ17" s="214" t="str">
        <f ca="1">IF(OFFSET(変更先抽出【15時】!$A$1,BX17-1,29)&lt;&gt;"",OFFSET(変更先抽出【15時】!$A$1,BX17-1,30),"")</f>
        <v/>
      </c>
      <c r="CA17" s="215"/>
      <c r="CB17" s="215"/>
      <c r="CC17" s="215"/>
      <c r="CD17" s="39" t="str">
        <f ca="1">IF(BZ17&lt;&gt;"","様","")</f>
        <v/>
      </c>
      <c r="CE17" s="33">
        <f ca="1">IF(OFFSET(変更先抽出【15時】!$A$1,BX17+1-1,29)="",BX17+2,BX17+1)</f>
        <v>131</v>
      </c>
      <c r="CF17" s="40" t="str">
        <f ca="1">IF(CG17&lt;&gt;"",
MID(貼り付け用!$A$2, FIND("年",貼り付け用!$A$2)+1,2)&amp;"/"&amp;MID(貼り付け用!$A$2, FIND("月",貼り付け用!$A$2)+1,2),"")</f>
        <v/>
      </c>
      <c r="CG17" s="214" t="str">
        <f ca="1">IF(OFFSET(変更先抽出【15時】!$A$1,CE17-1,29)&lt;&gt;"",OFFSET(変更先抽出【15時】!$A$1,CE17-1,30),"")</f>
        <v/>
      </c>
      <c r="CH17" s="215"/>
      <c r="CI17" s="215"/>
      <c r="CJ17" s="215"/>
      <c r="CK17" s="39" t="str">
        <f ca="1">IF(CG17&lt;&gt;"","様","")</f>
        <v/>
      </c>
      <c r="CL17" s="22"/>
      <c r="CM17" s="30">
        <f ca="1">IF(OFFSET(変更先抽出【15時】!$A$1,CT9+1-1,29)="",CT9+2,CT9+1)</f>
        <v>153</v>
      </c>
      <c r="CN17" s="40" t="str">
        <f ca="1">IF(CO17&lt;&gt;"",
MID(貼り付け用!$A$2, FIND("年",貼り付け用!$A$2)+1,2)&amp;"/"&amp;MID(貼り付け用!$A$2, FIND("月",貼り付け用!$A$2)+1,2),"")</f>
        <v/>
      </c>
      <c r="CO17" s="214" t="str">
        <f ca="1">IF(OFFSET(変更先抽出【15時】!$A$1,CM17-1,29)&lt;&gt;"",OFFSET(変更先抽出【15時】!$A$1,CM17-1,30),"")</f>
        <v/>
      </c>
      <c r="CP17" s="215"/>
      <c r="CQ17" s="215"/>
      <c r="CR17" s="215"/>
      <c r="CS17" s="39" t="str">
        <f ca="1">IF(CO17&lt;&gt;"","様","")</f>
        <v/>
      </c>
      <c r="CT17" s="33">
        <f ca="1">IF(OFFSET(変更先抽出【15時】!$A$1,CM17+1-1,29)="",CM17+2,CM17+1)</f>
        <v>155</v>
      </c>
      <c r="CU17" s="40" t="str">
        <f ca="1">IF(CV17&lt;&gt;"",
MID(貼り付け用!$A$2, FIND("年",貼り付け用!$A$2)+1,2)&amp;"/"&amp;MID(貼り付け用!$A$2, FIND("月",貼り付け用!$A$2)+1,2),"")</f>
        <v/>
      </c>
      <c r="CV17" s="214" t="str">
        <f ca="1">IF(OFFSET(変更先抽出【15時】!$A$1,CT17-1,29)&lt;&gt;"",OFFSET(変更先抽出【15時】!$A$1,CT17-1,30),"")</f>
        <v/>
      </c>
      <c r="CW17" s="215"/>
      <c r="CX17" s="215"/>
      <c r="CY17" s="215"/>
      <c r="CZ17" s="39" t="str">
        <f ca="1">IF(CV17&lt;&gt;"","様","")</f>
        <v/>
      </c>
      <c r="DA17" s="22"/>
      <c r="DB17" s="30">
        <f ca="1">IF(OFFSET(変更先抽出【15時】!$A$1,DI9+1-1,29)="",DI9+2,DI9+1)</f>
        <v>177</v>
      </c>
      <c r="DC17" s="40" t="str">
        <f ca="1">IF(DD17&lt;&gt;"",
MID(貼り付け用!$A$2, FIND("年",貼り付け用!$A$2)+1,2)&amp;"/"&amp;MID(貼り付け用!$A$2, FIND("月",貼り付け用!$A$2)+1,2),"")</f>
        <v/>
      </c>
      <c r="DD17" s="214" t="str">
        <f ca="1">IF(OFFSET(変更先抽出【15時】!$A$1,DB17-1,29)&lt;&gt;"",OFFSET(変更先抽出【15時】!$A$1,DB17-1,30),"")</f>
        <v/>
      </c>
      <c r="DE17" s="215"/>
      <c r="DF17" s="215"/>
      <c r="DG17" s="215"/>
      <c r="DH17" s="39" t="str">
        <f ca="1">IF(DD17&lt;&gt;"","様","")</f>
        <v/>
      </c>
      <c r="DI17" s="33">
        <f ca="1">IF(OFFSET(変更先抽出【15時】!$A$1,DB17+1-1,29)="",DB17+2,DB17+1)</f>
        <v>179</v>
      </c>
      <c r="DJ17" s="40" t="str">
        <f ca="1">IF(DK17&lt;&gt;"",
MID(貼り付け用!$A$2, FIND("年",貼り付け用!$A$2)+1,2)&amp;"/"&amp;MID(貼り付け用!$A$2, FIND("月",貼り付け用!$A$2)+1,2),"")</f>
        <v/>
      </c>
      <c r="DK17" s="214" t="str">
        <f ca="1">IF(OFFSET(変更先抽出【15時】!$A$1,DI17-1,29)&lt;&gt;"",OFFSET(変更先抽出【15時】!$A$1,DI17-1,30),"")</f>
        <v/>
      </c>
      <c r="DL17" s="215"/>
      <c r="DM17" s="215"/>
      <c r="DN17" s="215"/>
      <c r="DO17" s="39" t="str">
        <f ca="1">IF(DK17&lt;&gt;"","様","")</f>
        <v/>
      </c>
      <c r="DP17" s="22"/>
      <c r="DQ17" s="30">
        <f ca="1">IF(OFFSET(変更先抽出【15時】!$A$1,DX9+1-1,29)="",DX9+2,DX9+1)</f>
        <v>201</v>
      </c>
      <c r="DR17" s="40" t="str">
        <f ca="1">IF(DS17&lt;&gt;"",
MID(貼り付け用!$A$2, FIND("年",貼り付け用!$A$2)+1,2)&amp;"/"&amp;MID(貼り付け用!$A$2, FIND("月",貼り付け用!$A$2)+1,2),"")</f>
        <v/>
      </c>
      <c r="DS17" s="214" t="str">
        <f ca="1">IF(OFFSET(変更先抽出【15時】!$A$1,DQ17-1,29)&lt;&gt;"",OFFSET(変更先抽出【15時】!$A$1,DQ17-1,30),"")</f>
        <v/>
      </c>
      <c r="DT17" s="215"/>
      <c r="DU17" s="215"/>
      <c r="DV17" s="215"/>
      <c r="DW17" s="39" t="str">
        <f ca="1">IF(DS17&lt;&gt;"","様","")</f>
        <v/>
      </c>
      <c r="DX17" s="33">
        <f ca="1">IF(OFFSET(変更先抽出【15時】!$A$1,DQ17+1-1,29)="",DQ17+2,DQ17+1)</f>
        <v>203</v>
      </c>
      <c r="DY17" s="40" t="str">
        <f ca="1">IF(DZ17&lt;&gt;"",
MID(貼り付け用!$A$2, FIND("年",貼り付け用!$A$2)+1,2)&amp;"/"&amp;MID(貼り付け用!$A$2, FIND("月",貼り付け用!$A$2)+1,2),"")</f>
        <v/>
      </c>
      <c r="DZ17" s="214" t="str">
        <f ca="1">IF(OFFSET(変更先抽出【15時】!$A$1,DX17-1,29)&lt;&gt;"",OFFSET(変更先抽出【15時】!$A$1,DX17-1,30),"")</f>
        <v/>
      </c>
      <c r="EA17" s="215"/>
      <c r="EB17" s="215"/>
      <c r="EC17" s="215"/>
      <c r="ED17" s="39" t="str">
        <f ca="1">IF(DZ17&lt;&gt;"","様","")</f>
        <v/>
      </c>
      <c r="EE17" s="22"/>
      <c r="EF17" s="30">
        <f ca="1">IF(OFFSET(変更先抽出【15時】!$A$1,EM9+1-1,29)="",EM9+2,EM9+1)</f>
        <v>225</v>
      </c>
      <c r="EG17" s="40" t="str">
        <f ca="1">IF(EH17&lt;&gt;"",
MID(貼り付け用!$A$2, FIND("年",貼り付け用!$A$2)+1,2)&amp;"/"&amp;MID(貼り付け用!$A$2, FIND("月",貼り付け用!$A$2)+1,2),"")</f>
        <v/>
      </c>
      <c r="EH17" s="214" t="str">
        <f ca="1">IF(OFFSET(変更先抽出【15時】!$A$1,EF17-1,29)&lt;&gt;"",OFFSET(変更先抽出【15時】!$A$1,EF17-1,30),"")</f>
        <v/>
      </c>
      <c r="EI17" s="215"/>
      <c r="EJ17" s="215"/>
      <c r="EK17" s="215"/>
      <c r="EL17" s="39" t="str">
        <f ca="1">IF(EH17&lt;&gt;"","様","")</f>
        <v/>
      </c>
      <c r="EM17" s="33">
        <f ca="1">IF(OFFSET(変更先抽出【15時】!$A$1,EF17+1-1,29)="",EF17+2,EF17+1)</f>
        <v>227</v>
      </c>
      <c r="EN17" s="40" t="str">
        <f ca="1">IF(EO17&lt;&gt;"",
MID(貼り付け用!$A$2, FIND("年",貼り付け用!$A$2)+1,2)&amp;"/"&amp;MID(貼り付け用!$A$2, FIND("月",貼り付け用!$A$2)+1,2),"")</f>
        <v/>
      </c>
      <c r="EO17" s="214" t="str">
        <f ca="1">IF(OFFSET(変更先抽出【15時】!$A$1,EM17-1,29)&lt;&gt;"",OFFSET(変更先抽出【15時】!$A$1,EM17-1,30),"")</f>
        <v/>
      </c>
      <c r="EP17" s="215"/>
      <c r="EQ17" s="215"/>
      <c r="ER17" s="215"/>
      <c r="ES17" s="39" t="str">
        <f ca="1">IF(EO17&lt;&gt;"","様","")</f>
        <v/>
      </c>
      <c r="ET17" s="22"/>
    </row>
    <row r="18" spans="1:150" s="181" customFormat="1">
      <c r="A18" s="30"/>
      <c r="B18" s="102"/>
      <c r="C18" s="136" t="str">
        <f ca="1">IF(C17&lt;&gt;"",OFFSET(変更先抽出【15時】!$A$1,A17-1,31),"")</f>
        <v/>
      </c>
      <c r="D18" s="38"/>
      <c r="E18" s="38"/>
      <c r="F18" s="190" t="str">
        <f ca="1">IF(OFFSET(変更先抽出【15時】!$A$1,A17-1,29)&lt;&gt;"",OFFSET(変更先抽出【15時】!$A$1,A17-1,37)&amp;"箱"&amp;OFFSET(変更先抽出【15時】!$A$1,A17-1,38),"")</f>
        <v/>
      </c>
      <c r="G18" s="36"/>
      <c r="H18" s="43"/>
      <c r="I18" s="102"/>
      <c r="J18" s="136" t="str">
        <f ca="1">IF(J17&lt;&gt;"",OFFSET(変更先抽出【15時】!$A$1,H17-1,31),"")</f>
        <v/>
      </c>
      <c r="K18" s="38"/>
      <c r="L18" s="38"/>
      <c r="M18" s="190" t="str">
        <f ca="1">IF(OFFSET(変更先抽出【15時】!$A$1,H17-1,29)&lt;&gt;"",OFFSET(変更先抽出【15時】!$A$1,H17-1,37)&amp;"箱"&amp;OFFSET(変更先抽出【15時】!$A$1,H17-1,38),"")</f>
        <v/>
      </c>
      <c r="N18" s="36"/>
      <c r="O18" s="22"/>
      <c r="P18" s="30"/>
      <c r="Q18" s="102"/>
      <c r="R18" s="136" t="str">
        <f ca="1">IF(R17&lt;&gt;"",OFFSET(変更先抽出【15時】!$A$1,P17-1,31),"")</f>
        <v/>
      </c>
      <c r="S18" s="38"/>
      <c r="T18" s="38"/>
      <c r="U18" s="190" t="str">
        <f ca="1">IF(OFFSET(変更先抽出【15時】!$A$1,P17-1,29)&lt;&gt;"",OFFSET(変更先抽出【15時】!$A$1,P17-1,37)&amp;"箱"&amp;OFFSET(変更先抽出【15時】!$A$1,P17-1,38),"")</f>
        <v/>
      </c>
      <c r="V18" s="36"/>
      <c r="W18" s="43"/>
      <c r="X18" s="102"/>
      <c r="Y18" s="136" t="str">
        <f ca="1">IF(Y17&lt;&gt;"",OFFSET(変更先抽出【15時】!$A$1,W17-1,31),"")</f>
        <v/>
      </c>
      <c r="Z18" s="38"/>
      <c r="AA18" s="38"/>
      <c r="AB18" s="190" t="str">
        <f ca="1">IF(OFFSET(変更先抽出【15時】!$A$1,W17-1,29)&lt;&gt;"",OFFSET(変更先抽出【15時】!$A$1,W17-1,37)&amp;"箱"&amp;OFFSET(変更先抽出【15時】!$A$1,W17-1,38),"")</f>
        <v/>
      </c>
      <c r="AC18" s="36"/>
      <c r="AD18" s="22"/>
      <c r="AE18" s="30"/>
      <c r="AF18" s="102"/>
      <c r="AG18" s="136" t="str">
        <f ca="1">IF(AG17&lt;&gt;"",OFFSET(変更先抽出【15時】!$A$1,AE17-1,31),"")</f>
        <v/>
      </c>
      <c r="AH18" s="38"/>
      <c r="AI18" s="38"/>
      <c r="AJ18" s="190" t="str">
        <f ca="1">IF(OFFSET(変更先抽出【15時】!$A$1,AE17-1,29)&lt;&gt;"",OFFSET(変更先抽出【15時】!$A$1,AE17-1,37)&amp;"箱"&amp;OFFSET(変更先抽出【15時】!$A$1,AE17-1,38),"")</f>
        <v/>
      </c>
      <c r="AK18" s="36"/>
      <c r="AL18" s="43"/>
      <c r="AM18" s="102"/>
      <c r="AN18" s="136" t="str">
        <f ca="1">IF(AN17&lt;&gt;"",OFFSET(変更先抽出【15時】!$A$1,AL17-1,31),"")</f>
        <v/>
      </c>
      <c r="AO18" s="38"/>
      <c r="AP18" s="38"/>
      <c r="AQ18" s="190" t="str">
        <f ca="1">IF(OFFSET(変更先抽出【15時】!$A$1,AL17-1,29)&lt;&gt;"",OFFSET(変更先抽出【15時】!$A$1,AL17-1,37)&amp;"箱"&amp;OFFSET(変更先抽出【15時】!$A$1,AL17-1,38),"")</f>
        <v/>
      </c>
      <c r="AR18" s="36"/>
      <c r="AS18" s="22"/>
      <c r="AT18" s="30"/>
      <c r="AU18" s="102"/>
      <c r="AV18" s="136" t="str">
        <f ca="1">IF(AV17&lt;&gt;"",OFFSET(変更先抽出【15時】!$A$1,AT17-1,31),"")</f>
        <v/>
      </c>
      <c r="AW18" s="38"/>
      <c r="AX18" s="38"/>
      <c r="AY18" s="190" t="str">
        <f ca="1">IF(OFFSET(変更先抽出【15時】!$A$1,AT17-1,29)&lt;&gt;"",OFFSET(変更先抽出【15時】!$A$1,AT17-1,37)&amp;"箱"&amp;OFFSET(変更先抽出【15時】!$A$1,AT17-1,38),"")</f>
        <v/>
      </c>
      <c r="AZ18" s="36"/>
      <c r="BA18" s="43"/>
      <c r="BB18" s="102"/>
      <c r="BC18" s="136" t="str">
        <f ca="1">IF(BC17&lt;&gt;"",OFFSET(変更先抽出【15時】!$A$1,BA17-1,31),"")</f>
        <v/>
      </c>
      <c r="BD18" s="38"/>
      <c r="BE18" s="38"/>
      <c r="BF18" s="190" t="str">
        <f ca="1">IF(OFFSET(変更先抽出【15時】!$A$1,BA17-1,29)&lt;&gt;"",OFFSET(変更先抽出【15時】!$A$1,BA17-1,37)&amp;"箱"&amp;OFFSET(変更先抽出【15時】!$A$1,BA17-1,38),"")</f>
        <v/>
      </c>
      <c r="BG18" s="36"/>
      <c r="BH18" s="22"/>
      <c r="BI18" s="30"/>
      <c r="BJ18" s="102"/>
      <c r="BK18" s="136" t="str">
        <f ca="1">IF(BK17&lt;&gt;"",OFFSET(変更先抽出【15時】!$A$1,BI17-1,31),"")</f>
        <v/>
      </c>
      <c r="BL18" s="38"/>
      <c r="BM18" s="38"/>
      <c r="BN18" s="190" t="str">
        <f ca="1">IF(OFFSET(変更先抽出【15時】!$A$1,BI17-1,29)&lt;&gt;"",OFFSET(変更先抽出【15時】!$A$1,BI17-1,37)&amp;"箱"&amp;OFFSET(変更先抽出【15時】!$A$1,BI17-1,38),"")</f>
        <v/>
      </c>
      <c r="BO18" s="36"/>
      <c r="BP18" s="43"/>
      <c r="BQ18" s="102"/>
      <c r="BR18" s="136" t="str">
        <f ca="1">IF(BR17&lt;&gt;"",OFFSET(変更先抽出【15時】!$A$1,BP17-1,31),"")</f>
        <v/>
      </c>
      <c r="BS18" s="38"/>
      <c r="BT18" s="38"/>
      <c r="BU18" s="190" t="str">
        <f ca="1">IF(OFFSET(変更先抽出【15時】!$A$1,BP17-1,29)&lt;&gt;"",OFFSET(変更先抽出【15時】!$A$1,BP17-1,37)&amp;"箱"&amp;OFFSET(変更先抽出【15時】!$A$1,BP17-1,38),"")</f>
        <v/>
      </c>
      <c r="BV18" s="36"/>
      <c r="BW18" s="22"/>
      <c r="BX18" s="30"/>
      <c r="BY18" s="102"/>
      <c r="BZ18" s="136" t="str">
        <f ca="1">IF(BZ17&lt;&gt;"",OFFSET(変更先抽出【15時】!$A$1,BX17-1,31),"")</f>
        <v/>
      </c>
      <c r="CA18" s="38"/>
      <c r="CB18" s="38"/>
      <c r="CC18" s="190" t="str">
        <f ca="1">IF(OFFSET(変更先抽出【15時】!$A$1,BX17-1,29)&lt;&gt;"",OFFSET(変更先抽出【15時】!$A$1,BX17-1,37)&amp;"箱"&amp;OFFSET(変更先抽出【15時】!$A$1,BX17-1,38),"")</f>
        <v/>
      </c>
      <c r="CD18" s="36"/>
      <c r="CE18" s="43"/>
      <c r="CF18" s="102"/>
      <c r="CG18" s="136" t="str">
        <f ca="1">IF(CG17&lt;&gt;"",OFFSET(変更先抽出【15時】!$A$1,CE17-1,31),"")</f>
        <v/>
      </c>
      <c r="CH18" s="38"/>
      <c r="CI18" s="38"/>
      <c r="CJ18" s="190" t="str">
        <f ca="1">IF(OFFSET(変更先抽出【15時】!$A$1,CE17-1,29)&lt;&gt;"",OFFSET(変更先抽出【15時】!$A$1,CE17-1,37)&amp;"箱"&amp;OFFSET(変更先抽出【15時】!$A$1,CE17-1,38),"")</f>
        <v/>
      </c>
      <c r="CK18" s="36"/>
      <c r="CL18" s="22"/>
      <c r="CM18" s="30"/>
      <c r="CN18" s="102"/>
      <c r="CO18" s="136" t="str">
        <f ca="1">IF(CO17&lt;&gt;"",OFFSET(変更先抽出【15時】!$A$1,CM17-1,31),"")</f>
        <v/>
      </c>
      <c r="CP18" s="38"/>
      <c r="CQ18" s="38"/>
      <c r="CR18" s="190" t="str">
        <f ca="1">IF(OFFSET(変更先抽出【15時】!$A$1,CM17-1,29)&lt;&gt;"",OFFSET(変更先抽出【15時】!$A$1,CM17-1,37)&amp;"箱"&amp;OFFSET(変更先抽出【15時】!$A$1,CM17-1,38),"")</f>
        <v/>
      </c>
      <c r="CS18" s="36"/>
      <c r="CT18" s="43"/>
      <c r="CU18" s="102"/>
      <c r="CV18" s="136" t="str">
        <f ca="1">IF(CV17&lt;&gt;"",OFFSET(変更先抽出【15時】!$A$1,CT17-1,31),"")</f>
        <v/>
      </c>
      <c r="CW18" s="38"/>
      <c r="CX18" s="38"/>
      <c r="CY18" s="190" t="str">
        <f ca="1">IF(OFFSET(変更先抽出【15時】!$A$1,CT17-1,29)&lt;&gt;"",OFFSET(変更先抽出【15時】!$A$1,CT17-1,37)&amp;"箱"&amp;OFFSET(変更先抽出【15時】!$A$1,CT17-1,38),"")</f>
        <v/>
      </c>
      <c r="CZ18" s="36"/>
      <c r="DA18" s="22"/>
      <c r="DB18" s="30"/>
      <c r="DC18" s="102"/>
      <c r="DD18" s="136" t="str">
        <f ca="1">IF(DD17&lt;&gt;"",OFFSET(変更先抽出【15時】!$A$1,DB17-1,31),"")</f>
        <v/>
      </c>
      <c r="DE18" s="38"/>
      <c r="DF18" s="38"/>
      <c r="DG18" s="190" t="str">
        <f ca="1">IF(OFFSET(変更先抽出【15時】!$A$1,DB17-1,29)&lt;&gt;"",OFFSET(変更先抽出【15時】!$A$1,DB17-1,37)&amp;"箱"&amp;OFFSET(変更先抽出【15時】!$A$1,DB17-1,38),"")</f>
        <v/>
      </c>
      <c r="DH18" s="36"/>
      <c r="DI18" s="43"/>
      <c r="DJ18" s="102"/>
      <c r="DK18" s="136" t="str">
        <f ca="1">IF(DK17&lt;&gt;"",OFFSET(変更先抽出【15時】!$A$1,DI17-1,31),"")</f>
        <v/>
      </c>
      <c r="DL18" s="38"/>
      <c r="DM18" s="38"/>
      <c r="DN18" s="190" t="str">
        <f ca="1">IF(OFFSET(変更先抽出【15時】!$A$1,DI17-1,29)&lt;&gt;"",OFFSET(変更先抽出【15時】!$A$1,DI17-1,37)&amp;"箱"&amp;OFFSET(変更先抽出【15時】!$A$1,DI17-1,38),"")</f>
        <v/>
      </c>
      <c r="DO18" s="36"/>
      <c r="DP18" s="22"/>
      <c r="DQ18" s="30"/>
      <c r="DR18" s="102"/>
      <c r="DS18" s="136" t="str">
        <f ca="1">IF(DS17&lt;&gt;"",OFFSET(変更先抽出【15時】!$A$1,DQ17-1,31),"")</f>
        <v/>
      </c>
      <c r="DT18" s="38"/>
      <c r="DU18" s="38"/>
      <c r="DV18" s="190" t="str">
        <f ca="1">IF(OFFSET(変更先抽出【15時】!$A$1,DQ17-1,29)&lt;&gt;"",OFFSET(変更先抽出【15時】!$A$1,DQ17-1,37)&amp;"箱"&amp;OFFSET(変更先抽出【15時】!$A$1,DQ17-1,38),"")</f>
        <v/>
      </c>
      <c r="DW18" s="36"/>
      <c r="DX18" s="43"/>
      <c r="DY18" s="102"/>
      <c r="DZ18" s="136" t="str">
        <f ca="1">IF(DZ17&lt;&gt;"",OFFSET(変更先抽出【15時】!$A$1,DX17-1,31),"")</f>
        <v/>
      </c>
      <c r="EA18" s="38"/>
      <c r="EB18" s="38"/>
      <c r="EC18" s="190" t="str">
        <f ca="1">IF(OFFSET(変更先抽出【15時】!$A$1,DX17-1,29)&lt;&gt;"",OFFSET(変更先抽出【15時】!$A$1,DX17-1,37)&amp;"箱"&amp;OFFSET(変更先抽出【15時】!$A$1,DX17-1,38),"")</f>
        <v/>
      </c>
      <c r="ED18" s="36"/>
      <c r="EE18" s="22"/>
      <c r="EF18" s="30"/>
      <c r="EG18" s="102"/>
      <c r="EH18" s="136" t="str">
        <f ca="1">IF(EH17&lt;&gt;"",OFFSET(変更先抽出【15時】!$A$1,EF17-1,31),"")</f>
        <v/>
      </c>
      <c r="EI18" s="38"/>
      <c r="EJ18" s="38"/>
      <c r="EK18" s="190" t="str">
        <f ca="1">IF(OFFSET(変更先抽出【15時】!$A$1,EF17-1,29)&lt;&gt;"",OFFSET(変更先抽出【15時】!$A$1,EF17-1,37)&amp;"箱"&amp;OFFSET(変更先抽出【15時】!$A$1,EF17-1,38),"")</f>
        <v/>
      </c>
      <c r="EL18" s="36"/>
      <c r="EM18" s="43"/>
      <c r="EN18" s="102"/>
      <c r="EO18" s="136" t="str">
        <f ca="1">IF(EO17&lt;&gt;"",OFFSET(変更先抽出【15時】!$A$1,EM17-1,31),"")</f>
        <v/>
      </c>
      <c r="EP18" s="38"/>
      <c r="EQ18" s="38"/>
      <c r="ER18" s="190" t="str">
        <f ca="1">IF(OFFSET(変更先抽出【15時】!$A$1,EM17-1,29)&lt;&gt;"",OFFSET(変更先抽出【15時】!$A$1,EM17-1,37)&amp;"箱"&amp;OFFSET(変更先抽出【15時】!$A$1,EM17-1,38),"")</f>
        <v/>
      </c>
      <c r="ES18" s="36"/>
      <c r="ET18" s="22"/>
    </row>
    <row r="19" spans="1:150" s="181" customFormat="1">
      <c r="A19" s="30"/>
      <c r="B19" s="31"/>
      <c r="C19" s="212" t="str">
        <f ca="1">IF(OR(C17&lt;&gt;"",COUNTIF(C17,"*【*")),"園児","")</f>
        <v/>
      </c>
      <c r="D19" s="213"/>
      <c r="E19" s="22"/>
      <c r="F19" s="135" t="str">
        <f ca="1">IF(OR(C17&lt;&gt;"",COUNTIF(C17,"*【*")),"先生","")</f>
        <v/>
      </c>
      <c r="G19" s="37"/>
      <c r="H19" s="33"/>
      <c r="I19" s="31"/>
      <c r="J19" s="212" t="str">
        <f ca="1">IF(OR(J17&lt;&gt;"",COUNTIF(J17,"*【*")),"園児","")</f>
        <v/>
      </c>
      <c r="K19" s="213"/>
      <c r="L19" s="22"/>
      <c r="M19" s="135" t="str">
        <f ca="1">IF(OR(J17&lt;&gt;"",COUNTIF(J17,"*【*")),"先生","")</f>
        <v/>
      </c>
      <c r="N19" s="37"/>
      <c r="O19" s="22"/>
      <c r="P19" s="30"/>
      <c r="Q19" s="31"/>
      <c r="R19" s="212" t="str">
        <f ca="1">IF(OR(R17&lt;&gt;"",COUNTIF(R17,"*【*")),"園児","")</f>
        <v/>
      </c>
      <c r="S19" s="213"/>
      <c r="T19" s="22"/>
      <c r="U19" s="135" t="str">
        <f ca="1">IF(OR(R17&lt;&gt;"",COUNTIF(R17,"*【*")),"先生","")</f>
        <v/>
      </c>
      <c r="V19" s="37"/>
      <c r="W19" s="33"/>
      <c r="X19" s="31"/>
      <c r="Y19" s="212" t="str">
        <f ca="1">IF(OR(Y17&lt;&gt;"",COUNTIF(Y17,"*【*")),"園児","")</f>
        <v/>
      </c>
      <c r="Z19" s="213"/>
      <c r="AA19" s="22"/>
      <c r="AB19" s="135" t="str">
        <f ca="1">IF(OR(Y17&lt;&gt;"",COUNTIF(Y17,"*【*")),"先生","")</f>
        <v/>
      </c>
      <c r="AC19" s="37"/>
      <c r="AD19" s="22"/>
      <c r="AE19" s="30"/>
      <c r="AF19" s="31"/>
      <c r="AG19" s="212" t="str">
        <f ca="1">IF(OR(AG17&lt;&gt;"",COUNTIF(AG17,"*【*")),"園児","")</f>
        <v/>
      </c>
      <c r="AH19" s="213"/>
      <c r="AI19" s="22"/>
      <c r="AJ19" s="135" t="str">
        <f ca="1">IF(OR(AG17&lt;&gt;"",COUNTIF(AG17,"*【*")),"先生","")</f>
        <v/>
      </c>
      <c r="AK19" s="37"/>
      <c r="AL19" s="33"/>
      <c r="AM19" s="31"/>
      <c r="AN19" s="212" t="str">
        <f ca="1">IF(OR(AN17&lt;&gt;"",COUNTIF(AN17,"*【*")),"園児","")</f>
        <v/>
      </c>
      <c r="AO19" s="213"/>
      <c r="AP19" s="22"/>
      <c r="AQ19" s="135" t="str">
        <f ca="1">IF(OR(AN17&lt;&gt;"",COUNTIF(AN17,"*【*")),"先生","")</f>
        <v/>
      </c>
      <c r="AR19" s="37"/>
      <c r="AS19" s="22"/>
      <c r="AT19" s="30"/>
      <c r="AU19" s="31"/>
      <c r="AV19" s="212" t="str">
        <f ca="1">IF(OR(AV17&lt;&gt;"",COUNTIF(AV17,"*【*")),"園児","")</f>
        <v/>
      </c>
      <c r="AW19" s="213"/>
      <c r="AX19" s="22"/>
      <c r="AY19" s="135" t="str">
        <f ca="1">IF(OR(AV17&lt;&gt;"",COUNTIF(AV17,"*【*")),"先生","")</f>
        <v/>
      </c>
      <c r="AZ19" s="37"/>
      <c r="BA19" s="33"/>
      <c r="BB19" s="31"/>
      <c r="BC19" s="212" t="str">
        <f ca="1">IF(OR(BC17&lt;&gt;"",COUNTIF(BC17,"*【*")),"園児","")</f>
        <v/>
      </c>
      <c r="BD19" s="213"/>
      <c r="BE19" s="22"/>
      <c r="BF19" s="135" t="str">
        <f ca="1">IF(OR(BC17&lt;&gt;"",COUNTIF(BC17,"*【*")),"先生","")</f>
        <v/>
      </c>
      <c r="BG19" s="37"/>
      <c r="BH19" s="22"/>
      <c r="BI19" s="30"/>
      <c r="BJ19" s="31"/>
      <c r="BK19" s="212" t="str">
        <f ca="1">IF(OR(BK17&lt;&gt;"",COUNTIF(BK17,"*【*")),"園児","")</f>
        <v/>
      </c>
      <c r="BL19" s="213"/>
      <c r="BM19" s="22"/>
      <c r="BN19" s="135" t="str">
        <f ca="1">IF(OR(BK17&lt;&gt;"",COUNTIF(BK17,"*【*")),"先生","")</f>
        <v/>
      </c>
      <c r="BO19" s="37"/>
      <c r="BP19" s="33"/>
      <c r="BQ19" s="31"/>
      <c r="BR19" s="212" t="str">
        <f ca="1">IF(OR(BR17&lt;&gt;"",COUNTIF(BR17,"*【*")),"園児","")</f>
        <v/>
      </c>
      <c r="BS19" s="213"/>
      <c r="BT19" s="22"/>
      <c r="BU19" s="135" t="str">
        <f ca="1">IF(OR(BR17&lt;&gt;"",COUNTIF(BR17,"*【*")),"先生","")</f>
        <v/>
      </c>
      <c r="BV19" s="37"/>
      <c r="BW19" s="22"/>
      <c r="BX19" s="30"/>
      <c r="BY19" s="31"/>
      <c r="BZ19" s="212" t="str">
        <f ca="1">IF(OR(BZ17&lt;&gt;"",COUNTIF(BZ17,"*【*")),"園児","")</f>
        <v/>
      </c>
      <c r="CA19" s="213"/>
      <c r="CB19" s="22"/>
      <c r="CC19" s="135" t="str">
        <f ca="1">IF(OR(BZ17&lt;&gt;"",COUNTIF(BZ17,"*【*")),"先生","")</f>
        <v/>
      </c>
      <c r="CD19" s="37"/>
      <c r="CE19" s="33"/>
      <c r="CF19" s="31"/>
      <c r="CG19" s="212" t="str">
        <f ca="1">IF(OR(CG17&lt;&gt;"",COUNTIF(CG17,"*【*")),"園児","")</f>
        <v/>
      </c>
      <c r="CH19" s="213"/>
      <c r="CI19" s="22"/>
      <c r="CJ19" s="135" t="str">
        <f ca="1">IF(OR(CG17&lt;&gt;"",COUNTIF(CG17,"*【*")),"先生","")</f>
        <v/>
      </c>
      <c r="CK19" s="37"/>
      <c r="CL19" s="22"/>
      <c r="CM19" s="30"/>
      <c r="CN19" s="31"/>
      <c r="CO19" s="212" t="str">
        <f ca="1">IF(OR(CO17&lt;&gt;"",COUNTIF(CO17,"*【*")),"園児","")</f>
        <v/>
      </c>
      <c r="CP19" s="213"/>
      <c r="CQ19" s="22"/>
      <c r="CR19" s="135" t="str">
        <f ca="1">IF(OR(CO17&lt;&gt;"",COUNTIF(CO17,"*【*")),"先生","")</f>
        <v/>
      </c>
      <c r="CS19" s="37"/>
      <c r="CT19" s="33"/>
      <c r="CU19" s="31"/>
      <c r="CV19" s="212" t="str">
        <f ca="1">IF(OR(CV17&lt;&gt;"",COUNTIF(CV17,"*【*")),"園児","")</f>
        <v/>
      </c>
      <c r="CW19" s="213"/>
      <c r="CX19" s="22"/>
      <c r="CY19" s="135" t="str">
        <f ca="1">IF(OR(CV17&lt;&gt;"",COUNTIF(CV17,"*【*")),"先生","")</f>
        <v/>
      </c>
      <c r="CZ19" s="37"/>
      <c r="DA19" s="22"/>
      <c r="DB19" s="30"/>
      <c r="DC19" s="31"/>
      <c r="DD19" s="212" t="str">
        <f ca="1">IF(OR(DD17&lt;&gt;"",COUNTIF(DD17,"*【*")),"園児","")</f>
        <v/>
      </c>
      <c r="DE19" s="213"/>
      <c r="DF19" s="22"/>
      <c r="DG19" s="135" t="str">
        <f ca="1">IF(OR(DD17&lt;&gt;"",COUNTIF(DD17,"*【*")),"先生","")</f>
        <v/>
      </c>
      <c r="DH19" s="37"/>
      <c r="DI19" s="33"/>
      <c r="DJ19" s="31"/>
      <c r="DK19" s="212" t="str">
        <f ca="1">IF(OR(DK17&lt;&gt;"",COUNTIF(DK17,"*【*")),"園児","")</f>
        <v/>
      </c>
      <c r="DL19" s="213"/>
      <c r="DM19" s="22"/>
      <c r="DN19" s="135" t="str">
        <f ca="1">IF(OR(DK17&lt;&gt;"",COUNTIF(DK17,"*【*")),"先生","")</f>
        <v/>
      </c>
      <c r="DO19" s="37"/>
      <c r="DP19" s="22"/>
      <c r="DQ19" s="30"/>
      <c r="DR19" s="31"/>
      <c r="DS19" s="212" t="str">
        <f ca="1">IF(OR(DS17&lt;&gt;"",COUNTIF(DS17,"*【*")),"園児","")</f>
        <v/>
      </c>
      <c r="DT19" s="213"/>
      <c r="DU19" s="22"/>
      <c r="DV19" s="135" t="str">
        <f ca="1">IF(OR(DS17&lt;&gt;"",COUNTIF(DS17,"*【*")),"先生","")</f>
        <v/>
      </c>
      <c r="DW19" s="37"/>
      <c r="DX19" s="33"/>
      <c r="DY19" s="31"/>
      <c r="DZ19" s="212" t="str">
        <f ca="1">IF(OR(DZ17&lt;&gt;"",COUNTIF(DZ17,"*【*")),"園児","")</f>
        <v/>
      </c>
      <c r="EA19" s="213"/>
      <c r="EB19" s="22"/>
      <c r="EC19" s="135" t="str">
        <f ca="1">IF(OR(DZ17&lt;&gt;"",COUNTIF(DZ17,"*【*")),"先生","")</f>
        <v/>
      </c>
      <c r="ED19" s="37"/>
      <c r="EE19" s="22"/>
      <c r="EF19" s="30"/>
      <c r="EG19" s="31"/>
      <c r="EH19" s="212" t="str">
        <f ca="1">IF(OR(EH17&lt;&gt;"",COUNTIF(EH17,"*【*")),"園児","")</f>
        <v/>
      </c>
      <c r="EI19" s="213"/>
      <c r="EJ19" s="22"/>
      <c r="EK19" s="135" t="str">
        <f ca="1">IF(OR(EH17&lt;&gt;"",COUNTIF(EH17,"*【*")),"先生","")</f>
        <v/>
      </c>
      <c r="EL19" s="37"/>
      <c r="EM19" s="33"/>
      <c r="EN19" s="31"/>
      <c r="EO19" s="212" t="str">
        <f ca="1">IF(OR(EO17&lt;&gt;"",COUNTIF(EO17,"*【*")),"園児","")</f>
        <v/>
      </c>
      <c r="EP19" s="213"/>
      <c r="EQ19" s="22"/>
      <c r="ER19" s="135" t="str">
        <f ca="1">IF(OR(EO17&lt;&gt;"",COUNTIF(EO17,"*【*")),"先生","")</f>
        <v/>
      </c>
      <c r="ES19" s="37"/>
      <c r="ET19" s="22"/>
    </row>
    <row r="20" spans="1:150" ht="15.6" customHeight="1">
      <c r="B20" s="25"/>
      <c r="C20" s="210" t="str">
        <f ca="1">IF(C17&lt;&gt;"",OFFSET(変更先抽出【15時】!$A$1,A17-1,32),"")</f>
        <v/>
      </c>
      <c r="D20" s="211"/>
      <c r="E20" s="44"/>
      <c r="F20" s="206" t="str">
        <f ca="1">IF(C17&lt;&gt;"",OFFSET(変更先抽出【15時】!$A$1,A17-1,33),"")</f>
        <v/>
      </c>
      <c r="G20" s="207"/>
      <c r="H20" s="26"/>
      <c r="I20" s="25"/>
      <c r="J20" s="210" t="str">
        <f ca="1">IF(J17&lt;&gt;"",OFFSET(変更先抽出【15時】!$A$1,H17-1,32),"")</f>
        <v/>
      </c>
      <c r="K20" s="211"/>
      <c r="L20" s="44"/>
      <c r="M20" s="206" t="str">
        <f ca="1">IF(J17&lt;&gt;"",OFFSET(変更先抽出【15時】!$A$1,H17-1,33),"")</f>
        <v/>
      </c>
      <c r="N20" s="207"/>
      <c r="Q20" s="25"/>
      <c r="R20" s="210" t="str">
        <f ca="1">IF(R17&lt;&gt;"",OFFSET(変更先抽出【15時】!$A$1,P17-1,32),"")</f>
        <v/>
      </c>
      <c r="S20" s="211"/>
      <c r="T20" s="44"/>
      <c r="U20" s="206" t="str">
        <f ca="1">IF(R17&lt;&gt;"",OFFSET(変更先抽出【15時】!$A$1,P17-1,33),"")</f>
        <v/>
      </c>
      <c r="V20" s="207"/>
      <c r="W20" s="26"/>
      <c r="X20" s="25"/>
      <c r="Y20" s="210" t="str">
        <f ca="1">IF(Y17&lt;&gt;"",OFFSET(変更先抽出【15時】!$A$1,W17-1,32),"")</f>
        <v/>
      </c>
      <c r="Z20" s="211"/>
      <c r="AA20" s="44"/>
      <c r="AB20" s="206" t="str">
        <f ca="1">IF(Y17&lt;&gt;"",OFFSET(変更先抽出【15時】!$A$1,W17-1,33),"")</f>
        <v/>
      </c>
      <c r="AC20" s="207"/>
      <c r="AF20" s="25"/>
      <c r="AG20" s="210" t="str">
        <f ca="1">IF(AG17&lt;&gt;"",OFFSET(変更先抽出【15時】!$A$1,AE17-1,32),"")</f>
        <v/>
      </c>
      <c r="AH20" s="211"/>
      <c r="AI20" s="44"/>
      <c r="AJ20" s="206" t="str">
        <f ca="1">IF(AG17&lt;&gt;"",OFFSET(変更先抽出【15時】!$A$1,AE17-1,33),"")</f>
        <v/>
      </c>
      <c r="AK20" s="207"/>
      <c r="AL20" s="26"/>
      <c r="AM20" s="25"/>
      <c r="AN20" s="210" t="str">
        <f ca="1">IF(AN17&lt;&gt;"",OFFSET(変更先抽出【15時】!$A$1,AL17-1,32),"")</f>
        <v/>
      </c>
      <c r="AO20" s="211"/>
      <c r="AP20" s="44"/>
      <c r="AQ20" s="206" t="str">
        <f ca="1">IF(AN17&lt;&gt;"",OFFSET(変更先抽出【15時】!$A$1,AL17-1,33),"")</f>
        <v/>
      </c>
      <c r="AR20" s="207"/>
      <c r="AU20" s="25"/>
      <c r="AV20" s="210" t="str">
        <f ca="1">IF(AV17&lt;&gt;"",OFFSET(変更先抽出【15時】!$A$1,AT17-1,32),"")</f>
        <v/>
      </c>
      <c r="AW20" s="211"/>
      <c r="AX20" s="44"/>
      <c r="AY20" s="206" t="str">
        <f ca="1">IF(AV17&lt;&gt;"",OFFSET(変更先抽出【15時】!$A$1,AT17-1,33),"")</f>
        <v/>
      </c>
      <c r="AZ20" s="207"/>
      <c r="BA20" s="26"/>
      <c r="BB20" s="25"/>
      <c r="BC20" s="210" t="str">
        <f ca="1">IF(BC17&lt;&gt;"",OFFSET(変更先抽出【15時】!$A$1,BA17-1,32),"")</f>
        <v/>
      </c>
      <c r="BD20" s="211"/>
      <c r="BE20" s="44"/>
      <c r="BF20" s="206" t="str">
        <f ca="1">IF(BC17&lt;&gt;"",OFFSET(変更先抽出【15時】!$A$1,BA17-1,33),"")</f>
        <v/>
      </c>
      <c r="BG20" s="207"/>
      <c r="BJ20" s="25"/>
      <c r="BK20" s="210" t="str">
        <f ca="1">IF(BK17&lt;&gt;"",OFFSET(変更先抽出【15時】!$A$1,BI17-1,32),"")</f>
        <v/>
      </c>
      <c r="BL20" s="211"/>
      <c r="BM20" s="44"/>
      <c r="BN20" s="206" t="str">
        <f ca="1">IF(BK17&lt;&gt;"",OFFSET(変更先抽出【15時】!$A$1,BI17-1,33),"")</f>
        <v/>
      </c>
      <c r="BO20" s="207"/>
      <c r="BP20" s="26"/>
      <c r="BQ20" s="25"/>
      <c r="BR20" s="210" t="str">
        <f ca="1">IF(BR17&lt;&gt;"",OFFSET(変更先抽出【15時】!$A$1,BP17-1,32),"")</f>
        <v/>
      </c>
      <c r="BS20" s="211"/>
      <c r="BT20" s="44"/>
      <c r="BU20" s="206" t="str">
        <f ca="1">IF(BR17&lt;&gt;"",OFFSET(変更先抽出【15時】!$A$1,BP17-1,33),"")</f>
        <v/>
      </c>
      <c r="BV20" s="207"/>
      <c r="BY20" s="25"/>
      <c r="BZ20" s="210" t="str">
        <f ca="1">IF(BZ17&lt;&gt;"",OFFSET(変更先抽出【15時】!$A$1,BX17-1,32),"")</f>
        <v/>
      </c>
      <c r="CA20" s="211"/>
      <c r="CB20" s="44"/>
      <c r="CC20" s="206" t="str">
        <f ca="1">IF(BZ17&lt;&gt;"",OFFSET(変更先抽出【15時】!$A$1,BX17-1,33),"")</f>
        <v/>
      </c>
      <c r="CD20" s="207"/>
      <c r="CE20" s="26"/>
      <c r="CF20" s="25"/>
      <c r="CG20" s="210" t="str">
        <f ca="1">IF(CG17&lt;&gt;"",OFFSET(変更先抽出【15時】!$A$1,CE17-1,32),"")</f>
        <v/>
      </c>
      <c r="CH20" s="211"/>
      <c r="CI20" s="44"/>
      <c r="CJ20" s="206" t="str">
        <f ca="1">IF(CG17&lt;&gt;"",OFFSET(変更先抽出【15時】!$A$1,CE17-1,33),"")</f>
        <v/>
      </c>
      <c r="CK20" s="207"/>
      <c r="CN20" s="25"/>
      <c r="CO20" s="210" t="str">
        <f ca="1">IF(CO17&lt;&gt;"",OFFSET(変更先抽出【15時】!$A$1,CM17-1,32),"")</f>
        <v/>
      </c>
      <c r="CP20" s="211"/>
      <c r="CQ20" s="44"/>
      <c r="CR20" s="206" t="str">
        <f ca="1">IF(CO17&lt;&gt;"",OFFSET(変更先抽出【15時】!$A$1,CM17-1,33),"")</f>
        <v/>
      </c>
      <c r="CS20" s="207"/>
      <c r="CT20" s="26"/>
      <c r="CU20" s="25"/>
      <c r="CV20" s="210" t="str">
        <f ca="1">IF(CV17&lt;&gt;"",OFFSET(変更先抽出【15時】!$A$1,CT17-1,32),"")</f>
        <v/>
      </c>
      <c r="CW20" s="211"/>
      <c r="CX20" s="44"/>
      <c r="CY20" s="206" t="str">
        <f ca="1">IF(CV17&lt;&gt;"",OFFSET(変更先抽出【15時】!$A$1,CT17-1,33),"")</f>
        <v/>
      </c>
      <c r="CZ20" s="207"/>
      <c r="DC20" s="25"/>
      <c r="DD20" s="210" t="str">
        <f ca="1">IF(DD17&lt;&gt;"",OFFSET(変更先抽出【15時】!$A$1,DB17-1,32),"")</f>
        <v/>
      </c>
      <c r="DE20" s="211"/>
      <c r="DF20" s="44"/>
      <c r="DG20" s="206" t="str">
        <f ca="1">IF(DD17&lt;&gt;"",OFFSET(変更先抽出【15時】!$A$1,DB17-1,33),"")</f>
        <v/>
      </c>
      <c r="DH20" s="207"/>
      <c r="DI20" s="26"/>
      <c r="DJ20" s="25"/>
      <c r="DK20" s="210" t="str">
        <f ca="1">IF(DK17&lt;&gt;"",OFFSET(変更先抽出【15時】!$A$1,DI17-1,32),"")</f>
        <v/>
      </c>
      <c r="DL20" s="211"/>
      <c r="DM20" s="44"/>
      <c r="DN20" s="206" t="str">
        <f ca="1">IF(DK17&lt;&gt;"",OFFSET(変更先抽出【15時】!$A$1,DI17-1,33),"")</f>
        <v/>
      </c>
      <c r="DO20" s="207"/>
      <c r="DR20" s="25"/>
      <c r="DS20" s="210" t="str">
        <f ca="1">IF(DS17&lt;&gt;"",OFFSET(変更先抽出【15時】!$A$1,DQ17-1,32),"")</f>
        <v/>
      </c>
      <c r="DT20" s="211"/>
      <c r="DU20" s="44"/>
      <c r="DV20" s="206" t="str">
        <f ca="1">IF(DS17&lt;&gt;"",OFFSET(変更先抽出【15時】!$A$1,DQ17-1,33),"")</f>
        <v/>
      </c>
      <c r="DW20" s="207"/>
      <c r="DX20" s="26"/>
      <c r="DY20" s="25"/>
      <c r="DZ20" s="210" t="str">
        <f ca="1">IF(DZ17&lt;&gt;"",OFFSET(変更先抽出【15時】!$A$1,DX17-1,32),"")</f>
        <v/>
      </c>
      <c r="EA20" s="211"/>
      <c r="EB20" s="44"/>
      <c r="EC20" s="206" t="str">
        <f ca="1">IF(DZ17&lt;&gt;"",OFFSET(変更先抽出【15時】!$A$1,DX17-1,33),"")</f>
        <v/>
      </c>
      <c r="ED20" s="207"/>
      <c r="EG20" s="25"/>
      <c r="EH20" s="210" t="str">
        <f ca="1">IF(EH17&lt;&gt;"",OFFSET(変更先抽出【15時】!$A$1,EF17-1,32),"")</f>
        <v/>
      </c>
      <c r="EI20" s="211"/>
      <c r="EJ20" s="44"/>
      <c r="EK20" s="206" t="str">
        <f ca="1">IF(EH17&lt;&gt;"",OFFSET(変更先抽出【15時】!$A$1,EF17-1,33),"")</f>
        <v/>
      </c>
      <c r="EL20" s="207"/>
      <c r="EM20" s="26"/>
      <c r="EN20" s="25"/>
      <c r="EO20" s="210" t="str">
        <f ca="1">IF(EO17&lt;&gt;"",OFFSET(変更先抽出【15時】!$A$1,EM17-1,32),"")</f>
        <v/>
      </c>
      <c r="EP20" s="211"/>
      <c r="EQ20" s="44"/>
      <c r="ER20" s="206" t="str">
        <f ca="1">IF(EO17&lt;&gt;"",OFFSET(変更先抽出【15時】!$A$1,EM17-1,33),"")</f>
        <v/>
      </c>
      <c r="ES20" s="207"/>
    </row>
    <row r="21" spans="1:150" ht="15.6" customHeight="1">
      <c r="B21" s="27"/>
      <c r="C21" s="208"/>
      <c r="D21" s="208"/>
      <c r="E21" s="179"/>
      <c r="F21" s="208"/>
      <c r="G21" s="209"/>
      <c r="H21" s="26"/>
      <c r="I21" s="27"/>
      <c r="J21" s="208"/>
      <c r="K21" s="208"/>
      <c r="L21" s="179"/>
      <c r="M21" s="208"/>
      <c r="N21" s="209"/>
      <c r="Q21" s="27"/>
      <c r="R21" s="208"/>
      <c r="S21" s="208"/>
      <c r="T21" s="179"/>
      <c r="U21" s="208"/>
      <c r="V21" s="209"/>
      <c r="W21" s="26"/>
      <c r="X21" s="27"/>
      <c r="Y21" s="208"/>
      <c r="Z21" s="208"/>
      <c r="AA21" s="179"/>
      <c r="AB21" s="208"/>
      <c r="AC21" s="209"/>
      <c r="AF21" s="27"/>
      <c r="AG21" s="208"/>
      <c r="AH21" s="208"/>
      <c r="AI21" s="179"/>
      <c r="AJ21" s="208"/>
      <c r="AK21" s="209"/>
      <c r="AL21" s="26"/>
      <c r="AM21" s="27"/>
      <c r="AN21" s="208"/>
      <c r="AO21" s="208"/>
      <c r="AP21" s="179"/>
      <c r="AQ21" s="208"/>
      <c r="AR21" s="209"/>
      <c r="AU21" s="27"/>
      <c r="AV21" s="208"/>
      <c r="AW21" s="208"/>
      <c r="AX21" s="179"/>
      <c r="AY21" s="208"/>
      <c r="AZ21" s="209"/>
      <c r="BA21" s="26"/>
      <c r="BB21" s="27"/>
      <c r="BC21" s="208"/>
      <c r="BD21" s="208"/>
      <c r="BE21" s="179"/>
      <c r="BF21" s="208"/>
      <c r="BG21" s="209"/>
      <c r="BJ21" s="27"/>
      <c r="BK21" s="208"/>
      <c r="BL21" s="208"/>
      <c r="BM21" s="179"/>
      <c r="BN21" s="208"/>
      <c r="BO21" s="209"/>
      <c r="BP21" s="26"/>
      <c r="BQ21" s="27"/>
      <c r="BR21" s="208"/>
      <c r="BS21" s="208"/>
      <c r="BT21" s="179"/>
      <c r="BU21" s="208"/>
      <c r="BV21" s="209"/>
      <c r="BY21" s="27"/>
      <c r="BZ21" s="208"/>
      <c r="CA21" s="208"/>
      <c r="CB21" s="179"/>
      <c r="CC21" s="208"/>
      <c r="CD21" s="209"/>
      <c r="CE21" s="26"/>
      <c r="CF21" s="27"/>
      <c r="CG21" s="208"/>
      <c r="CH21" s="208"/>
      <c r="CI21" s="179"/>
      <c r="CJ21" s="208"/>
      <c r="CK21" s="209"/>
      <c r="CN21" s="27"/>
      <c r="CO21" s="208"/>
      <c r="CP21" s="208"/>
      <c r="CQ21" s="179"/>
      <c r="CR21" s="208"/>
      <c r="CS21" s="209"/>
      <c r="CT21" s="26"/>
      <c r="CU21" s="27"/>
      <c r="CV21" s="208"/>
      <c r="CW21" s="208"/>
      <c r="CX21" s="179"/>
      <c r="CY21" s="208"/>
      <c r="CZ21" s="209"/>
      <c r="DC21" s="27"/>
      <c r="DD21" s="208"/>
      <c r="DE21" s="208"/>
      <c r="DF21" s="179"/>
      <c r="DG21" s="208"/>
      <c r="DH21" s="209"/>
      <c r="DI21" s="26"/>
      <c r="DJ21" s="27"/>
      <c r="DK21" s="208"/>
      <c r="DL21" s="208"/>
      <c r="DM21" s="179"/>
      <c r="DN21" s="208"/>
      <c r="DO21" s="209"/>
      <c r="DR21" s="27"/>
      <c r="DS21" s="208"/>
      <c r="DT21" s="208"/>
      <c r="DU21" s="179"/>
      <c r="DV21" s="208"/>
      <c r="DW21" s="209"/>
      <c r="DX21" s="26"/>
      <c r="DY21" s="27"/>
      <c r="DZ21" s="208"/>
      <c r="EA21" s="208"/>
      <c r="EB21" s="179"/>
      <c r="EC21" s="208"/>
      <c r="ED21" s="209"/>
      <c r="EG21" s="27"/>
      <c r="EH21" s="208"/>
      <c r="EI21" s="208"/>
      <c r="EJ21" s="179"/>
      <c r="EK21" s="208"/>
      <c r="EL21" s="209"/>
      <c r="EM21" s="26"/>
      <c r="EN21" s="27"/>
      <c r="EO21" s="208"/>
      <c r="EP21" s="208"/>
      <c r="EQ21" s="179"/>
      <c r="ER21" s="208"/>
      <c r="ES21" s="209"/>
    </row>
    <row r="22" spans="1:150" s="181" customFormat="1">
      <c r="A22" s="30"/>
      <c r="B22" s="34" t="str">
        <f ca="1">IF(C17&lt;&gt;"","パン箱","")</f>
        <v/>
      </c>
      <c r="C22" s="32" t="str">
        <f ca="1">IF(C17&lt;&gt;"",OFFSET(変更先抽出【15時】!$A$1,A17-1,35),"")</f>
        <v/>
      </c>
      <c r="D22" s="34" t="str">
        <f ca="1">IF(C17&lt;&gt;"","端数","")</f>
        <v/>
      </c>
      <c r="E22" s="32"/>
      <c r="F22" s="34" t="str">
        <f ca="1">IF(C17&lt;&gt;"","アレルギー","")</f>
        <v/>
      </c>
      <c r="G22" s="37"/>
      <c r="H22" s="22"/>
      <c r="I22" s="34" t="str">
        <f ca="1">IF(J17&lt;&gt;"","パン箱","")</f>
        <v/>
      </c>
      <c r="J22" s="32" t="str">
        <f ca="1">IF(J17&lt;&gt;"",OFFSET(変更先抽出【15時】!$A$1,H17-1,35),"")</f>
        <v/>
      </c>
      <c r="K22" s="34" t="str">
        <f ca="1">IF(J17&lt;&gt;"","端数","")</f>
        <v/>
      </c>
      <c r="L22" s="32"/>
      <c r="M22" s="34" t="str">
        <f ca="1">IF(J17&lt;&gt;"","アレルギー","")</f>
        <v/>
      </c>
      <c r="N22" s="37"/>
      <c r="O22" s="22"/>
      <c r="P22" s="30"/>
      <c r="Q22" s="34" t="str">
        <f ca="1">IF(R17&lt;&gt;"","パン箱","")</f>
        <v/>
      </c>
      <c r="R22" s="32" t="str">
        <f ca="1">IF(R17&lt;&gt;"",OFFSET(変更先抽出【15時】!$A$1,P17-1,35),"")</f>
        <v/>
      </c>
      <c r="S22" s="34" t="str">
        <f ca="1">IF(R17&lt;&gt;"","端数","")</f>
        <v/>
      </c>
      <c r="T22" s="32"/>
      <c r="U22" s="34" t="str">
        <f ca="1">IF(R17&lt;&gt;"","アレルギー","")</f>
        <v/>
      </c>
      <c r="V22" s="37"/>
      <c r="W22" s="22"/>
      <c r="X22" s="34" t="str">
        <f ca="1">IF(Y17&lt;&gt;"","パン箱","")</f>
        <v/>
      </c>
      <c r="Y22" s="32" t="str">
        <f ca="1">IF(Y17&lt;&gt;"",OFFSET(変更先抽出【15時】!$A$1,W17-1,35),"")</f>
        <v/>
      </c>
      <c r="Z22" s="34" t="str">
        <f ca="1">IF(Y17&lt;&gt;"","端数","")</f>
        <v/>
      </c>
      <c r="AA22" s="32"/>
      <c r="AB22" s="34" t="str">
        <f ca="1">IF(Y17&lt;&gt;"","アレルギー","")</f>
        <v/>
      </c>
      <c r="AC22" s="37"/>
      <c r="AD22" s="22"/>
      <c r="AE22" s="30"/>
      <c r="AF22" s="34" t="str">
        <f ca="1">IF(AG17&lt;&gt;"","パン箱","")</f>
        <v/>
      </c>
      <c r="AG22" s="32" t="str">
        <f ca="1">IF(AG17&lt;&gt;"",OFFSET(変更先抽出【15時】!$A$1,AE17-1,35),"")</f>
        <v/>
      </c>
      <c r="AH22" s="34" t="str">
        <f ca="1">IF(AG17&lt;&gt;"","端数","")</f>
        <v/>
      </c>
      <c r="AI22" s="32"/>
      <c r="AJ22" s="34" t="str">
        <f ca="1">IF(AG17&lt;&gt;"","アレルギー","")</f>
        <v/>
      </c>
      <c r="AK22" s="37"/>
      <c r="AL22" s="22"/>
      <c r="AM22" s="34" t="str">
        <f ca="1">IF(AN17&lt;&gt;"","パン箱","")</f>
        <v/>
      </c>
      <c r="AN22" s="32" t="str">
        <f ca="1">IF(AN17&lt;&gt;"",OFFSET(変更先抽出【15時】!$A$1,AL17-1,35),"")</f>
        <v/>
      </c>
      <c r="AO22" s="34" t="str">
        <f ca="1">IF(AN17&lt;&gt;"","端数","")</f>
        <v/>
      </c>
      <c r="AP22" s="32"/>
      <c r="AQ22" s="34" t="str">
        <f ca="1">IF(AN17&lt;&gt;"","アレルギー","")</f>
        <v/>
      </c>
      <c r="AR22" s="37"/>
      <c r="AS22" s="22"/>
      <c r="AT22" s="30"/>
      <c r="AU22" s="34" t="str">
        <f ca="1">IF(AV17&lt;&gt;"","パン箱","")</f>
        <v/>
      </c>
      <c r="AV22" s="32" t="str">
        <f ca="1">IF(AV17&lt;&gt;"",OFFSET(変更先抽出【15時】!$A$1,AT17-1,35),"")</f>
        <v/>
      </c>
      <c r="AW22" s="34" t="str">
        <f ca="1">IF(AV17&lt;&gt;"","端数","")</f>
        <v/>
      </c>
      <c r="AX22" s="32"/>
      <c r="AY22" s="34" t="str">
        <f ca="1">IF(AV17&lt;&gt;"","アレルギー","")</f>
        <v/>
      </c>
      <c r="AZ22" s="37"/>
      <c r="BA22" s="22"/>
      <c r="BB22" s="34" t="str">
        <f ca="1">IF(BC17&lt;&gt;"","パン箱","")</f>
        <v/>
      </c>
      <c r="BC22" s="32" t="str">
        <f ca="1">IF(BC17&lt;&gt;"",OFFSET(変更先抽出【15時】!$A$1,BA17-1,35),"")</f>
        <v/>
      </c>
      <c r="BD22" s="34" t="str">
        <f ca="1">IF(BC17&lt;&gt;"","端数","")</f>
        <v/>
      </c>
      <c r="BE22" s="32"/>
      <c r="BF22" s="34" t="str">
        <f ca="1">IF(BC17&lt;&gt;"","アレルギー","")</f>
        <v/>
      </c>
      <c r="BG22" s="37"/>
      <c r="BH22" s="22"/>
      <c r="BI22" s="30"/>
      <c r="BJ22" s="34" t="str">
        <f ca="1">IF(BK17&lt;&gt;"","パン箱","")</f>
        <v/>
      </c>
      <c r="BK22" s="32" t="str">
        <f ca="1">IF(BK17&lt;&gt;"",OFFSET(変更先抽出【15時】!$A$1,BI17-1,35),"")</f>
        <v/>
      </c>
      <c r="BL22" s="34" t="str">
        <f ca="1">IF(BK17&lt;&gt;"","端数","")</f>
        <v/>
      </c>
      <c r="BM22" s="32"/>
      <c r="BN22" s="34" t="str">
        <f ca="1">IF(BK17&lt;&gt;"","アレルギー","")</f>
        <v/>
      </c>
      <c r="BO22" s="37"/>
      <c r="BP22" s="22"/>
      <c r="BQ22" s="34" t="str">
        <f ca="1">IF(BR17&lt;&gt;"","パン箱","")</f>
        <v/>
      </c>
      <c r="BR22" s="32" t="str">
        <f ca="1">IF(BR17&lt;&gt;"",OFFSET(変更先抽出【15時】!$A$1,BP17-1,35),"")</f>
        <v/>
      </c>
      <c r="BS22" s="34" t="str">
        <f ca="1">IF(BR17&lt;&gt;"","端数","")</f>
        <v/>
      </c>
      <c r="BT22" s="32"/>
      <c r="BU22" s="34" t="str">
        <f ca="1">IF(BR17&lt;&gt;"","アレルギー","")</f>
        <v/>
      </c>
      <c r="BV22" s="37"/>
      <c r="BW22" s="22"/>
      <c r="BX22" s="30"/>
      <c r="BY22" s="34" t="str">
        <f ca="1">IF(BZ17&lt;&gt;"","パン箱","")</f>
        <v/>
      </c>
      <c r="BZ22" s="32" t="str">
        <f ca="1">IF(BZ17&lt;&gt;"",OFFSET(変更先抽出【15時】!$A$1,BX17-1,35),"")</f>
        <v/>
      </c>
      <c r="CA22" s="34" t="str">
        <f ca="1">IF(BZ17&lt;&gt;"","端数","")</f>
        <v/>
      </c>
      <c r="CB22" s="32"/>
      <c r="CC22" s="34" t="str">
        <f ca="1">IF(BZ17&lt;&gt;"","アレルギー","")</f>
        <v/>
      </c>
      <c r="CD22" s="37"/>
      <c r="CE22" s="22"/>
      <c r="CF22" s="34" t="str">
        <f ca="1">IF(CG17&lt;&gt;"","パン箱","")</f>
        <v/>
      </c>
      <c r="CG22" s="32" t="str">
        <f ca="1">IF(CG17&lt;&gt;"",OFFSET(変更先抽出【15時】!$A$1,CE17-1,35),"")</f>
        <v/>
      </c>
      <c r="CH22" s="34" t="str">
        <f ca="1">IF(CG17&lt;&gt;"","端数","")</f>
        <v/>
      </c>
      <c r="CI22" s="32"/>
      <c r="CJ22" s="34" t="str">
        <f ca="1">IF(CG17&lt;&gt;"","アレルギー","")</f>
        <v/>
      </c>
      <c r="CK22" s="37"/>
      <c r="CL22" s="22"/>
      <c r="CM22" s="30"/>
      <c r="CN22" s="34" t="str">
        <f ca="1">IF(CO17&lt;&gt;"","パン箱","")</f>
        <v/>
      </c>
      <c r="CO22" s="32" t="str">
        <f ca="1">IF(CO17&lt;&gt;"",OFFSET(変更先抽出【15時】!$A$1,CM17-1,35),"")</f>
        <v/>
      </c>
      <c r="CP22" s="34" t="str">
        <f ca="1">IF(CO17&lt;&gt;"","端数","")</f>
        <v/>
      </c>
      <c r="CQ22" s="32"/>
      <c r="CR22" s="34" t="str">
        <f ca="1">IF(CO17&lt;&gt;"","アレルギー","")</f>
        <v/>
      </c>
      <c r="CS22" s="37"/>
      <c r="CT22" s="22"/>
      <c r="CU22" s="34" t="str">
        <f ca="1">IF(CV17&lt;&gt;"","パン箱","")</f>
        <v/>
      </c>
      <c r="CV22" s="32" t="str">
        <f ca="1">IF(CV17&lt;&gt;"",OFFSET(変更先抽出【15時】!$A$1,CT17-1,35),"")</f>
        <v/>
      </c>
      <c r="CW22" s="34" t="str">
        <f ca="1">IF(CV17&lt;&gt;"","端数","")</f>
        <v/>
      </c>
      <c r="CX22" s="32"/>
      <c r="CY22" s="34" t="str">
        <f ca="1">IF(CV17&lt;&gt;"","アレルギー","")</f>
        <v/>
      </c>
      <c r="CZ22" s="37"/>
      <c r="DA22" s="22"/>
      <c r="DB22" s="30"/>
      <c r="DC22" s="34" t="str">
        <f ca="1">IF(DD17&lt;&gt;"","パン箱","")</f>
        <v/>
      </c>
      <c r="DD22" s="32" t="str">
        <f ca="1">IF(DD17&lt;&gt;"",OFFSET(変更先抽出【15時】!$A$1,DB17-1,35),"")</f>
        <v/>
      </c>
      <c r="DE22" s="34" t="str">
        <f ca="1">IF(DD17&lt;&gt;"","端数","")</f>
        <v/>
      </c>
      <c r="DF22" s="32"/>
      <c r="DG22" s="34" t="str">
        <f ca="1">IF(DD17&lt;&gt;"","アレルギー","")</f>
        <v/>
      </c>
      <c r="DH22" s="37"/>
      <c r="DI22" s="22"/>
      <c r="DJ22" s="34" t="str">
        <f ca="1">IF(DK17&lt;&gt;"","パン箱","")</f>
        <v/>
      </c>
      <c r="DK22" s="32" t="str">
        <f ca="1">IF(DK17&lt;&gt;"",OFFSET(変更先抽出【15時】!$A$1,DI17-1,35),"")</f>
        <v/>
      </c>
      <c r="DL22" s="34" t="str">
        <f ca="1">IF(DK17&lt;&gt;"","端数","")</f>
        <v/>
      </c>
      <c r="DM22" s="32"/>
      <c r="DN22" s="34" t="str">
        <f ca="1">IF(DK17&lt;&gt;"","アレルギー","")</f>
        <v/>
      </c>
      <c r="DO22" s="37"/>
      <c r="DP22" s="22"/>
      <c r="DQ22" s="30"/>
      <c r="DR22" s="34" t="str">
        <f ca="1">IF(DS17&lt;&gt;"","パン箱","")</f>
        <v/>
      </c>
      <c r="DS22" s="32" t="str">
        <f ca="1">IF(DS17&lt;&gt;"",OFFSET(変更先抽出【15時】!$A$1,DQ17-1,35),"")</f>
        <v/>
      </c>
      <c r="DT22" s="34" t="str">
        <f ca="1">IF(DS17&lt;&gt;"","端数","")</f>
        <v/>
      </c>
      <c r="DU22" s="32"/>
      <c r="DV22" s="34" t="str">
        <f ca="1">IF(DS17&lt;&gt;"","アレルギー","")</f>
        <v/>
      </c>
      <c r="DW22" s="37"/>
      <c r="DX22" s="22"/>
      <c r="DY22" s="34" t="str">
        <f ca="1">IF(DZ17&lt;&gt;"","パン箱","")</f>
        <v/>
      </c>
      <c r="DZ22" s="32" t="str">
        <f ca="1">IF(DZ17&lt;&gt;"",OFFSET(変更先抽出【15時】!$A$1,DX17-1,35),"")</f>
        <v/>
      </c>
      <c r="EA22" s="34" t="str">
        <f ca="1">IF(DZ17&lt;&gt;"","端数","")</f>
        <v/>
      </c>
      <c r="EB22" s="32"/>
      <c r="EC22" s="34" t="str">
        <f ca="1">IF(DZ17&lt;&gt;"","アレルギー","")</f>
        <v/>
      </c>
      <c r="ED22" s="37"/>
      <c r="EE22" s="22"/>
      <c r="EF22" s="30"/>
      <c r="EG22" s="34" t="str">
        <f ca="1">IF(EH17&lt;&gt;"","パン箱","")</f>
        <v/>
      </c>
      <c r="EH22" s="32" t="str">
        <f ca="1">IF(EH17&lt;&gt;"",OFFSET(変更先抽出【15時】!$A$1,EF17-1,35),"")</f>
        <v/>
      </c>
      <c r="EI22" s="34" t="str">
        <f ca="1">IF(EH17&lt;&gt;"","端数","")</f>
        <v/>
      </c>
      <c r="EJ22" s="32"/>
      <c r="EK22" s="34" t="str">
        <f ca="1">IF(EH17&lt;&gt;"","アレルギー","")</f>
        <v/>
      </c>
      <c r="EL22" s="37"/>
      <c r="EM22" s="22"/>
      <c r="EN22" s="34" t="str">
        <f ca="1">IF(EO17&lt;&gt;"","パン箱","")</f>
        <v/>
      </c>
      <c r="EO22" s="32" t="str">
        <f ca="1">IF(EO17&lt;&gt;"",OFFSET(変更先抽出【15時】!$A$1,EM17-1,35),"")</f>
        <v/>
      </c>
      <c r="EP22" s="34" t="str">
        <f ca="1">IF(EO17&lt;&gt;"","端数","")</f>
        <v/>
      </c>
      <c r="EQ22" s="32"/>
      <c r="ER22" s="34" t="str">
        <f ca="1">IF(EO17&lt;&gt;"","アレルギー","")</f>
        <v/>
      </c>
      <c r="ES22" s="37"/>
      <c r="ET22" s="22"/>
    </row>
    <row r="23" spans="1:150" ht="27.6" customHeight="1">
      <c r="B23" s="216" t="str">
        <f ca="1">IF(C17&lt;&gt;"",IFERROR(INT(C20/C22),""),"")</f>
        <v/>
      </c>
      <c r="C23" s="209"/>
      <c r="D23" s="216" t="str">
        <f ca="1">IF(C17&lt;&gt;"",IFERROR(MOD(C20,C22),""),"")</f>
        <v/>
      </c>
      <c r="E23" s="209"/>
      <c r="F23" s="217" t="str">
        <f ca="1">IF(C17&lt;&gt;"",OFFSET(変更先抽出【15時】!$A$1,A17-1,34),"")</f>
        <v/>
      </c>
      <c r="G23" s="209"/>
      <c r="I23" s="216" t="str">
        <f ca="1">IF(J17&lt;&gt;"",IFERROR(INT(J20/J22),""),"")</f>
        <v/>
      </c>
      <c r="J23" s="209"/>
      <c r="K23" s="216" t="str">
        <f ca="1">IF(J17&lt;&gt;"",IFERROR(MOD(J20,J22),""),"")</f>
        <v/>
      </c>
      <c r="L23" s="209"/>
      <c r="M23" s="217" t="str">
        <f ca="1">IF(J17&lt;&gt;"",OFFSET(変更先抽出【15時】!$A$1,H17-1,34),"")</f>
        <v/>
      </c>
      <c r="N23" s="209"/>
      <c r="Q23" s="216" t="str">
        <f ca="1">IF(R17&lt;&gt;"",IFERROR(INT(R20/R22),""),"")</f>
        <v/>
      </c>
      <c r="R23" s="209"/>
      <c r="S23" s="216" t="str">
        <f ca="1">IF(R17&lt;&gt;"",IFERROR(MOD(R20,R22),""),"")</f>
        <v/>
      </c>
      <c r="T23" s="209"/>
      <c r="U23" s="217" t="str">
        <f ca="1">IF(R17&lt;&gt;"",OFFSET(変更先抽出【15時】!$A$1,P17-1,34),"")</f>
        <v/>
      </c>
      <c r="V23" s="209"/>
      <c r="X23" s="216" t="str">
        <f ca="1">IF(Y17&lt;&gt;"",IFERROR(INT(Y20/Y22),""),"")</f>
        <v/>
      </c>
      <c r="Y23" s="209"/>
      <c r="Z23" s="216" t="str">
        <f ca="1">IF(Y17&lt;&gt;"",IFERROR(MOD(Y20,Y22),""),"")</f>
        <v/>
      </c>
      <c r="AA23" s="209"/>
      <c r="AB23" s="217" t="str">
        <f ca="1">IF(Y17&lt;&gt;"",OFFSET(変更先抽出【15時】!$A$1,W17-1,34),"")</f>
        <v/>
      </c>
      <c r="AC23" s="209"/>
      <c r="AF23" s="216" t="str">
        <f ca="1">IF(AG17&lt;&gt;"",IFERROR(INT(AG20/AG22),""),"")</f>
        <v/>
      </c>
      <c r="AG23" s="209"/>
      <c r="AH23" s="216" t="str">
        <f ca="1">IF(AG17&lt;&gt;"",IFERROR(MOD(AG20,AG22),""),"")</f>
        <v/>
      </c>
      <c r="AI23" s="209"/>
      <c r="AJ23" s="217" t="str">
        <f ca="1">IF(AG17&lt;&gt;"",OFFSET(変更先抽出【15時】!$A$1,AE17-1,34),"")</f>
        <v/>
      </c>
      <c r="AK23" s="209"/>
      <c r="AM23" s="216" t="str">
        <f ca="1">IF(AN17&lt;&gt;"",IFERROR(INT(AN20/AN22),""),"")</f>
        <v/>
      </c>
      <c r="AN23" s="209"/>
      <c r="AO23" s="216" t="str">
        <f ca="1">IF(AN17&lt;&gt;"",IFERROR(MOD(AN20,AN22),""),"")</f>
        <v/>
      </c>
      <c r="AP23" s="209"/>
      <c r="AQ23" s="217" t="str">
        <f ca="1">IF(AN17&lt;&gt;"",OFFSET(変更先抽出【15時】!$A$1,AL17-1,34),"")</f>
        <v/>
      </c>
      <c r="AR23" s="209"/>
      <c r="AU23" s="216" t="str">
        <f ca="1">IF(AV17&lt;&gt;"",IFERROR(INT(AV20/AV22),""),"")</f>
        <v/>
      </c>
      <c r="AV23" s="209"/>
      <c r="AW23" s="216" t="str">
        <f ca="1">IF(AV17&lt;&gt;"",IFERROR(MOD(AV20,AV22),""),"")</f>
        <v/>
      </c>
      <c r="AX23" s="209"/>
      <c r="AY23" s="217" t="str">
        <f ca="1">IF(AV17&lt;&gt;"",OFFSET(変更先抽出【15時】!$A$1,AT17-1,34),"")</f>
        <v/>
      </c>
      <c r="AZ23" s="209"/>
      <c r="BB23" s="216" t="str">
        <f ca="1">IF(BC17&lt;&gt;"",IFERROR(INT(BC20/BC22),""),"")</f>
        <v/>
      </c>
      <c r="BC23" s="209"/>
      <c r="BD23" s="216" t="str">
        <f ca="1">IF(BC17&lt;&gt;"",IFERROR(MOD(BC20,BC22),""),"")</f>
        <v/>
      </c>
      <c r="BE23" s="209"/>
      <c r="BF23" s="217" t="str">
        <f ca="1">IF(BC17&lt;&gt;"",OFFSET(変更先抽出【15時】!$A$1,BA17-1,34),"")</f>
        <v/>
      </c>
      <c r="BG23" s="209"/>
      <c r="BJ23" s="216" t="str">
        <f ca="1">IF(BK17&lt;&gt;"",IFERROR(INT(BK20/BK22),""),"")</f>
        <v/>
      </c>
      <c r="BK23" s="209"/>
      <c r="BL23" s="216" t="str">
        <f ca="1">IF(BK17&lt;&gt;"",IFERROR(MOD(BK20,BK22),""),"")</f>
        <v/>
      </c>
      <c r="BM23" s="209"/>
      <c r="BN23" s="217" t="str">
        <f ca="1">IF(BK17&lt;&gt;"",OFFSET(変更先抽出【15時】!$A$1,BI17-1,34),"")</f>
        <v/>
      </c>
      <c r="BO23" s="209"/>
      <c r="BQ23" s="216" t="str">
        <f ca="1">IF(BR17&lt;&gt;"",IFERROR(INT(BR20/BR22),""),"")</f>
        <v/>
      </c>
      <c r="BR23" s="209"/>
      <c r="BS23" s="216" t="str">
        <f ca="1">IF(BR17&lt;&gt;"",IFERROR(MOD(BR20,BR22),""),"")</f>
        <v/>
      </c>
      <c r="BT23" s="209"/>
      <c r="BU23" s="217" t="str">
        <f ca="1">IF(BR17&lt;&gt;"",OFFSET(変更先抽出【15時】!$A$1,BP17-1,34),"")</f>
        <v/>
      </c>
      <c r="BV23" s="209"/>
      <c r="BY23" s="216" t="str">
        <f ca="1">IF(BZ17&lt;&gt;"",IFERROR(INT(BZ20/BZ22),""),"")</f>
        <v/>
      </c>
      <c r="BZ23" s="209"/>
      <c r="CA23" s="216" t="str">
        <f ca="1">IF(BZ17&lt;&gt;"",IFERROR(MOD(BZ20,BZ22),""),"")</f>
        <v/>
      </c>
      <c r="CB23" s="209"/>
      <c r="CC23" s="217" t="str">
        <f ca="1">IF(BZ17&lt;&gt;"",OFFSET(変更先抽出【15時】!$A$1,BX17-1,34),"")</f>
        <v/>
      </c>
      <c r="CD23" s="209"/>
      <c r="CF23" s="216" t="str">
        <f ca="1">IF(CG17&lt;&gt;"",IFERROR(INT(CG20/CG22),""),"")</f>
        <v/>
      </c>
      <c r="CG23" s="209"/>
      <c r="CH23" s="216" t="str">
        <f ca="1">IF(CG17&lt;&gt;"",IFERROR(MOD(CG20,CG22),""),"")</f>
        <v/>
      </c>
      <c r="CI23" s="209"/>
      <c r="CJ23" s="217" t="str">
        <f ca="1">IF(CG17&lt;&gt;"",OFFSET(変更先抽出【15時】!$A$1,CE17-1,34),"")</f>
        <v/>
      </c>
      <c r="CK23" s="209"/>
      <c r="CN23" s="216" t="str">
        <f ca="1">IF(CO17&lt;&gt;"",IFERROR(INT(CO20/CO22),""),"")</f>
        <v/>
      </c>
      <c r="CO23" s="209"/>
      <c r="CP23" s="216" t="str">
        <f ca="1">IF(CO17&lt;&gt;"",IFERROR(MOD(CO20,CO22),""),"")</f>
        <v/>
      </c>
      <c r="CQ23" s="209"/>
      <c r="CR23" s="217" t="str">
        <f ca="1">IF(CO17&lt;&gt;"",OFFSET(変更先抽出【15時】!$A$1,CM17-1,34),"")</f>
        <v/>
      </c>
      <c r="CS23" s="209"/>
      <c r="CU23" s="216" t="str">
        <f ca="1">IF(CV17&lt;&gt;"",IFERROR(INT(CV20/CV22),""),"")</f>
        <v/>
      </c>
      <c r="CV23" s="209"/>
      <c r="CW23" s="216" t="str">
        <f ca="1">IF(CV17&lt;&gt;"",IFERROR(MOD(CV20,CV22),""),"")</f>
        <v/>
      </c>
      <c r="CX23" s="209"/>
      <c r="CY23" s="217" t="str">
        <f ca="1">IF(CV17&lt;&gt;"",OFFSET(変更先抽出【15時】!$A$1,CT17-1,34),"")</f>
        <v/>
      </c>
      <c r="CZ23" s="209"/>
      <c r="DC23" s="216" t="str">
        <f ca="1">IF(DD17&lt;&gt;"",IFERROR(INT(DD20/DD22),""),"")</f>
        <v/>
      </c>
      <c r="DD23" s="209"/>
      <c r="DE23" s="216" t="str">
        <f ca="1">IF(DD17&lt;&gt;"",IFERROR(MOD(DD20,DD22),""),"")</f>
        <v/>
      </c>
      <c r="DF23" s="209"/>
      <c r="DG23" s="217" t="str">
        <f ca="1">IF(DD17&lt;&gt;"",OFFSET(変更先抽出【15時】!$A$1,DB17-1,34),"")</f>
        <v/>
      </c>
      <c r="DH23" s="209"/>
      <c r="DJ23" s="216" t="str">
        <f ca="1">IF(DK17&lt;&gt;"",IFERROR(INT(DK20/DK22),""),"")</f>
        <v/>
      </c>
      <c r="DK23" s="209"/>
      <c r="DL23" s="216" t="str">
        <f ca="1">IF(DK17&lt;&gt;"",IFERROR(MOD(DK20,DK22),""),"")</f>
        <v/>
      </c>
      <c r="DM23" s="209"/>
      <c r="DN23" s="217" t="str">
        <f ca="1">IF(DK17&lt;&gt;"",OFFSET(変更先抽出【15時】!$A$1,DI17-1,34),"")</f>
        <v/>
      </c>
      <c r="DO23" s="209"/>
      <c r="DR23" s="216" t="str">
        <f ca="1">IF(DS17&lt;&gt;"",IFERROR(INT(DS20/DS22),""),"")</f>
        <v/>
      </c>
      <c r="DS23" s="209"/>
      <c r="DT23" s="216" t="str">
        <f ca="1">IF(DS17&lt;&gt;"",IFERROR(MOD(DS20,DS22),""),"")</f>
        <v/>
      </c>
      <c r="DU23" s="209"/>
      <c r="DV23" s="217" t="str">
        <f ca="1">IF(DS17&lt;&gt;"",OFFSET(変更先抽出【15時】!$A$1,DQ17-1,34),"")</f>
        <v/>
      </c>
      <c r="DW23" s="209"/>
      <c r="DY23" s="216" t="str">
        <f ca="1">IF(DZ17&lt;&gt;"",IFERROR(INT(DZ20/DZ22),""),"")</f>
        <v/>
      </c>
      <c r="DZ23" s="209"/>
      <c r="EA23" s="216" t="str">
        <f ca="1">IF(DZ17&lt;&gt;"",IFERROR(MOD(DZ20,DZ22),""),"")</f>
        <v/>
      </c>
      <c r="EB23" s="209"/>
      <c r="EC23" s="217" t="str">
        <f ca="1">IF(DZ17&lt;&gt;"",OFFSET(変更先抽出【15時】!$A$1,DX17-1,34),"")</f>
        <v/>
      </c>
      <c r="ED23" s="209"/>
      <c r="EG23" s="216" t="str">
        <f ca="1">IF(EH17&lt;&gt;"",IFERROR(INT(EH20/EH22),""),"")</f>
        <v/>
      </c>
      <c r="EH23" s="209"/>
      <c r="EI23" s="216" t="str">
        <f ca="1">IF(EH17&lt;&gt;"",IFERROR(MOD(EH20,EH22),""),"")</f>
        <v/>
      </c>
      <c r="EJ23" s="209"/>
      <c r="EK23" s="217" t="str">
        <f ca="1">IF(EH17&lt;&gt;"",OFFSET(変更先抽出【15時】!$A$1,EF17-1,34),"")</f>
        <v/>
      </c>
      <c r="EL23" s="209"/>
      <c r="EN23" s="216" t="str">
        <f ca="1">IF(EO17&lt;&gt;"",IFERROR(INT(EO20/EO22),""),"")</f>
        <v/>
      </c>
      <c r="EO23" s="209"/>
      <c r="EP23" s="216" t="str">
        <f ca="1">IF(EO17&lt;&gt;"",IFERROR(MOD(EO20,EO22),""),"")</f>
        <v/>
      </c>
      <c r="EQ23" s="209"/>
      <c r="ER23" s="217" t="str">
        <f ca="1">IF(EO17&lt;&gt;"",OFFSET(変更先抽出【15時】!$A$1,EM17-1,34),"")</f>
        <v/>
      </c>
      <c r="ES23" s="209"/>
    </row>
    <row r="24" spans="1:150" ht="6.6" customHeight="1">
      <c r="B24" s="41"/>
      <c r="D24" s="41"/>
      <c r="F24" s="42"/>
      <c r="I24" s="41"/>
      <c r="K24" s="41"/>
      <c r="M24" s="42"/>
      <c r="Q24" s="41"/>
      <c r="S24" s="41"/>
      <c r="U24" s="42"/>
      <c r="X24" s="41"/>
      <c r="Z24" s="41"/>
      <c r="AB24" s="42"/>
      <c r="AF24" s="41"/>
      <c r="AH24" s="41"/>
      <c r="AJ24" s="42"/>
      <c r="AM24" s="41"/>
      <c r="AO24" s="41"/>
      <c r="AQ24" s="42"/>
      <c r="AU24" s="41"/>
      <c r="AW24" s="41"/>
      <c r="AY24" s="42"/>
      <c r="BB24" s="41"/>
      <c r="BD24" s="41"/>
      <c r="BF24" s="42"/>
      <c r="BJ24" s="41"/>
      <c r="BL24" s="41"/>
      <c r="BN24" s="42"/>
      <c r="BQ24" s="41"/>
      <c r="BS24" s="41"/>
      <c r="BU24" s="42"/>
      <c r="BY24" s="41"/>
      <c r="CA24" s="41"/>
      <c r="CC24" s="42"/>
      <c r="CF24" s="41"/>
      <c r="CH24" s="41"/>
      <c r="CJ24" s="42"/>
      <c r="CN24" s="41"/>
      <c r="CP24" s="41"/>
      <c r="CR24" s="42"/>
      <c r="CU24" s="41"/>
      <c r="CW24" s="41"/>
      <c r="CY24" s="42"/>
      <c r="DC24" s="41"/>
      <c r="DE24" s="41"/>
      <c r="DG24" s="42"/>
      <c r="DJ24" s="41"/>
      <c r="DL24" s="41"/>
      <c r="DN24" s="42"/>
      <c r="DR24" s="41"/>
      <c r="DT24" s="41"/>
      <c r="DV24" s="42"/>
      <c r="DY24" s="41"/>
      <c r="EA24" s="41"/>
      <c r="EC24" s="42"/>
      <c r="EG24" s="41"/>
      <c r="EI24" s="41"/>
      <c r="EK24" s="42"/>
      <c r="EN24" s="41"/>
      <c r="EP24" s="41"/>
      <c r="ER24" s="42"/>
    </row>
    <row r="25" spans="1:150" s="181" customFormat="1" ht="25.8" customHeight="1">
      <c r="A25" s="30">
        <f ca="1">IF(OFFSET(変更先抽出【15時】!$A$1,H17+1-1,29)="",H17+2,H17+1)</f>
        <v>13</v>
      </c>
      <c r="B25" s="40" t="str">
        <f ca="1">IF(C25&lt;&gt;"",
MID(貼り付け用!$A$2, FIND("年",貼り付け用!$A$2)+1,2)&amp;"/"&amp;MID(貼り付け用!$A$2, FIND("月",貼り付け用!$A$2)+1,2),"")</f>
        <v/>
      </c>
      <c r="C25" s="214" t="str">
        <f ca="1">IF(OFFSET(変更先抽出【15時】!$A$1,A25-1,29)&lt;&gt;"",OFFSET(変更先抽出【15時】!$A$1,A25-1,30),"")</f>
        <v/>
      </c>
      <c r="D25" s="215"/>
      <c r="E25" s="215"/>
      <c r="F25" s="215"/>
      <c r="G25" s="39" t="str">
        <f ca="1">IF(C25&lt;&gt;"","様","")</f>
        <v/>
      </c>
      <c r="H25" s="33">
        <f ca="1">IF(OFFSET(変更先抽出【15時】!$A$1,A25+1-1,29)="",A25+2,A25+1)</f>
        <v>15</v>
      </c>
      <c r="I25" s="40" t="str">
        <f ca="1">IF(J25&lt;&gt;"",
MID(貼り付け用!$A$2, FIND("年",貼り付け用!$A$2)+1,2)&amp;"/"&amp;MID(貼り付け用!$A$2, FIND("月",貼り付け用!$A$2)+1,2),"")</f>
        <v/>
      </c>
      <c r="J25" s="214" t="str">
        <f ca="1">IF(OFFSET(変更先抽出【15時】!$A$1,H25-1,29)&lt;&gt;"",OFFSET(変更先抽出【15時】!$A$1,H25-1,30),"")</f>
        <v/>
      </c>
      <c r="K25" s="215"/>
      <c r="L25" s="215"/>
      <c r="M25" s="215"/>
      <c r="N25" s="39" t="str">
        <f ca="1">IF(J25&lt;&gt;"","様","")</f>
        <v/>
      </c>
      <c r="O25" s="22"/>
      <c r="P25" s="30">
        <f ca="1">IF(OFFSET(変更先抽出【15時】!$A$1,W17+1-1,29)="",W17+2,W17+1)</f>
        <v>37</v>
      </c>
      <c r="Q25" s="40" t="str">
        <f ca="1">IF(R25&lt;&gt;"",
MID(貼り付け用!$A$2, FIND("年",貼り付け用!$A$2)+1,2)&amp;"/"&amp;MID(貼り付け用!$A$2, FIND("月",貼り付け用!$A$2)+1,2),"")</f>
        <v/>
      </c>
      <c r="R25" s="214" t="str">
        <f ca="1">IF(OFFSET(変更先抽出【15時】!$A$1,P25-1,29)&lt;&gt;"",OFFSET(変更先抽出【15時】!$A$1,P25-1,30),"")</f>
        <v/>
      </c>
      <c r="S25" s="215"/>
      <c r="T25" s="215"/>
      <c r="U25" s="215"/>
      <c r="V25" s="39" t="str">
        <f ca="1">IF(R25&lt;&gt;"","様","")</f>
        <v/>
      </c>
      <c r="W25" s="33">
        <f ca="1">IF(OFFSET(変更先抽出【15時】!$A$1,P25+1-1,29)="",P25+2,P25+1)</f>
        <v>39</v>
      </c>
      <c r="X25" s="40" t="str">
        <f ca="1">IF(Y25&lt;&gt;"",
MID(貼り付け用!$A$2, FIND("年",貼り付け用!$A$2)+1,2)&amp;"/"&amp;MID(貼り付け用!$A$2, FIND("月",貼り付け用!$A$2)+1,2),"")</f>
        <v/>
      </c>
      <c r="Y25" s="214" t="str">
        <f ca="1">IF(OFFSET(変更先抽出【15時】!$A$1,W25-1,29)&lt;&gt;"",OFFSET(変更先抽出【15時】!$A$1,W25-1,30),"")</f>
        <v/>
      </c>
      <c r="Z25" s="215"/>
      <c r="AA25" s="215"/>
      <c r="AB25" s="215"/>
      <c r="AC25" s="39" t="str">
        <f ca="1">IF(Y25&lt;&gt;"","様","")</f>
        <v/>
      </c>
      <c r="AD25" s="22"/>
      <c r="AE25" s="30">
        <f ca="1">IF(OFFSET(変更先抽出【15時】!$A$1,AL17+1-1,29)="",AL17+2,AL17+1)</f>
        <v>61</v>
      </c>
      <c r="AF25" s="40" t="str">
        <f ca="1">IF(AG25&lt;&gt;"",
MID(貼り付け用!$A$2, FIND("年",貼り付け用!$A$2)+1,2)&amp;"/"&amp;MID(貼り付け用!$A$2, FIND("月",貼り付け用!$A$2)+1,2),"")</f>
        <v/>
      </c>
      <c r="AG25" s="214" t="str">
        <f ca="1">IF(OFFSET(変更先抽出【15時】!$A$1,AE25-1,29)&lt;&gt;"",OFFSET(変更先抽出【15時】!$A$1,AE25-1,30),"")</f>
        <v/>
      </c>
      <c r="AH25" s="215"/>
      <c r="AI25" s="215"/>
      <c r="AJ25" s="215"/>
      <c r="AK25" s="39" t="str">
        <f ca="1">IF(AG25&lt;&gt;"","様","")</f>
        <v/>
      </c>
      <c r="AL25" s="33">
        <f ca="1">IF(OFFSET(変更先抽出【15時】!$A$1,AE25+1-1,29)="",AE25+2,AE25+1)</f>
        <v>63</v>
      </c>
      <c r="AM25" s="40" t="str">
        <f ca="1">IF(AN25&lt;&gt;"",
MID(貼り付け用!$A$2, FIND("年",貼り付け用!$A$2)+1,2)&amp;"/"&amp;MID(貼り付け用!$A$2, FIND("月",貼り付け用!$A$2)+1,2),"")</f>
        <v/>
      </c>
      <c r="AN25" s="214" t="str">
        <f ca="1">IF(OFFSET(変更先抽出【15時】!$A$1,AL25-1,29)&lt;&gt;"",OFFSET(変更先抽出【15時】!$A$1,AL25-1,30),"")</f>
        <v/>
      </c>
      <c r="AO25" s="215"/>
      <c r="AP25" s="215"/>
      <c r="AQ25" s="215"/>
      <c r="AR25" s="39" t="str">
        <f ca="1">IF(AN25&lt;&gt;"","様","")</f>
        <v/>
      </c>
      <c r="AS25" s="22"/>
      <c r="AT25" s="30">
        <f ca="1">IF(OFFSET(変更先抽出【15時】!$A$1,BA17+1-1,29)="",BA17+2,BA17+1)</f>
        <v>85</v>
      </c>
      <c r="AU25" s="40" t="str">
        <f ca="1">IF(AV25&lt;&gt;"",
MID(貼り付け用!$A$2, FIND("年",貼り付け用!$A$2)+1,2)&amp;"/"&amp;MID(貼り付け用!$A$2, FIND("月",貼り付け用!$A$2)+1,2),"")</f>
        <v/>
      </c>
      <c r="AV25" s="214" t="str">
        <f ca="1">IF(OFFSET(変更先抽出【15時】!$A$1,AT25-1,29)&lt;&gt;"",OFFSET(変更先抽出【15時】!$A$1,AT25-1,30),"")</f>
        <v/>
      </c>
      <c r="AW25" s="215"/>
      <c r="AX25" s="215"/>
      <c r="AY25" s="215"/>
      <c r="AZ25" s="39" t="str">
        <f ca="1">IF(AV25&lt;&gt;"","様","")</f>
        <v/>
      </c>
      <c r="BA25" s="33">
        <f ca="1">IF(OFFSET(変更先抽出【15時】!$A$1,AT25+1-1,29)="",AT25+2,AT25+1)</f>
        <v>87</v>
      </c>
      <c r="BB25" s="40" t="str">
        <f ca="1">IF(BC25&lt;&gt;"",
MID(貼り付け用!$A$2, FIND("年",貼り付け用!$A$2)+1,2)&amp;"/"&amp;MID(貼り付け用!$A$2, FIND("月",貼り付け用!$A$2)+1,2),"")</f>
        <v/>
      </c>
      <c r="BC25" s="214" t="str">
        <f ca="1">IF(OFFSET(変更先抽出【15時】!$A$1,BA25-1,29)&lt;&gt;"",OFFSET(変更先抽出【15時】!$A$1,BA25-1,30),"")</f>
        <v/>
      </c>
      <c r="BD25" s="215"/>
      <c r="BE25" s="215"/>
      <c r="BF25" s="215"/>
      <c r="BG25" s="39" t="str">
        <f ca="1">IF(BC25&lt;&gt;"","様","")</f>
        <v/>
      </c>
      <c r="BH25" s="22"/>
      <c r="BI25" s="30">
        <f ca="1">IF(OFFSET(変更先抽出【15時】!$A$1,BP17+1-1,29)="",BP17+2,BP17+1)</f>
        <v>109</v>
      </c>
      <c r="BJ25" s="40" t="str">
        <f ca="1">IF(BK25&lt;&gt;"",
MID(貼り付け用!$A$2, FIND("年",貼り付け用!$A$2)+1,2)&amp;"/"&amp;MID(貼り付け用!$A$2, FIND("月",貼り付け用!$A$2)+1,2),"")</f>
        <v/>
      </c>
      <c r="BK25" s="214" t="str">
        <f ca="1">IF(OFFSET(変更先抽出【15時】!$A$1,BI25-1,29)&lt;&gt;"",OFFSET(変更先抽出【15時】!$A$1,BI25-1,30),"")</f>
        <v/>
      </c>
      <c r="BL25" s="215"/>
      <c r="BM25" s="215"/>
      <c r="BN25" s="215"/>
      <c r="BO25" s="39" t="str">
        <f ca="1">IF(BK25&lt;&gt;"","様","")</f>
        <v/>
      </c>
      <c r="BP25" s="33">
        <f ca="1">IF(OFFSET(変更先抽出【15時】!$A$1,BI25+1-1,29)="",BI25+2,BI25+1)</f>
        <v>111</v>
      </c>
      <c r="BQ25" s="40" t="str">
        <f ca="1">IF(BR25&lt;&gt;"",
MID(貼り付け用!$A$2, FIND("年",貼り付け用!$A$2)+1,2)&amp;"/"&amp;MID(貼り付け用!$A$2, FIND("月",貼り付け用!$A$2)+1,2),"")</f>
        <v/>
      </c>
      <c r="BR25" s="214" t="str">
        <f ca="1">IF(OFFSET(変更先抽出【15時】!$A$1,BP25-1,29)&lt;&gt;"",OFFSET(変更先抽出【15時】!$A$1,BP25-1,30),"")</f>
        <v/>
      </c>
      <c r="BS25" s="215"/>
      <c r="BT25" s="215"/>
      <c r="BU25" s="215"/>
      <c r="BV25" s="39" t="str">
        <f ca="1">IF(BR25&lt;&gt;"","様","")</f>
        <v/>
      </c>
      <c r="BW25" s="22"/>
      <c r="BX25" s="30">
        <f ca="1">IF(OFFSET(変更先抽出【15時】!$A$1,CE17+1-1,29)="",CE17+2,CE17+1)</f>
        <v>133</v>
      </c>
      <c r="BY25" s="40" t="str">
        <f ca="1">IF(BZ25&lt;&gt;"",
MID(貼り付け用!$A$2, FIND("年",貼り付け用!$A$2)+1,2)&amp;"/"&amp;MID(貼り付け用!$A$2, FIND("月",貼り付け用!$A$2)+1,2),"")</f>
        <v/>
      </c>
      <c r="BZ25" s="214" t="str">
        <f ca="1">IF(OFFSET(変更先抽出【15時】!$A$1,BX25-1,29)&lt;&gt;"",OFFSET(変更先抽出【15時】!$A$1,BX25-1,30),"")</f>
        <v/>
      </c>
      <c r="CA25" s="215"/>
      <c r="CB25" s="215"/>
      <c r="CC25" s="215"/>
      <c r="CD25" s="39" t="str">
        <f ca="1">IF(BZ25&lt;&gt;"","様","")</f>
        <v/>
      </c>
      <c r="CE25" s="33">
        <f ca="1">IF(OFFSET(変更先抽出【15時】!$A$1,BX25+1-1,29)="",BX25+2,BX25+1)</f>
        <v>135</v>
      </c>
      <c r="CF25" s="40" t="str">
        <f ca="1">IF(CG25&lt;&gt;"",
MID(貼り付け用!$A$2, FIND("年",貼り付け用!$A$2)+1,2)&amp;"/"&amp;MID(貼り付け用!$A$2, FIND("月",貼り付け用!$A$2)+1,2),"")</f>
        <v/>
      </c>
      <c r="CG25" s="214" t="str">
        <f ca="1">IF(OFFSET(変更先抽出【15時】!$A$1,CE25-1,29)&lt;&gt;"",OFFSET(変更先抽出【15時】!$A$1,CE25-1,30),"")</f>
        <v/>
      </c>
      <c r="CH25" s="215"/>
      <c r="CI25" s="215"/>
      <c r="CJ25" s="215"/>
      <c r="CK25" s="39" t="str">
        <f ca="1">IF(CG25&lt;&gt;"","様","")</f>
        <v/>
      </c>
      <c r="CL25" s="22"/>
      <c r="CM25" s="30">
        <f ca="1">IF(OFFSET(変更先抽出【15時】!$A$1,CT17+1-1,29)="",CT17+2,CT17+1)</f>
        <v>157</v>
      </c>
      <c r="CN25" s="40" t="str">
        <f ca="1">IF(CO25&lt;&gt;"",
MID(貼り付け用!$A$2, FIND("年",貼り付け用!$A$2)+1,2)&amp;"/"&amp;MID(貼り付け用!$A$2, FIND("月",貼り付け用!$A$2)+1,2),"")</f>
        <v/>
      </c>
      <c r="CO25" s="214" t="str">
        <f ca="1">IF(OFFSET(変更先抽出【15時】!$A$1,CM25-1,29)&lt;&gt;"",OFFSET(変更先抽出【15時】!$A$1,CM25-1,30),"")</f>
        <v/>
      </c>
      <c r="CP25" s="215"/>
      <c r="CQ25" s="215"/>
      <c r="CR25" s="215"/>
      <c r="CS25" s="39" t="str">
        <f ca="1">IF(CO25&lt;&gt;"","様","")</f>
        <v/>
      </c>
      <c r="CT25" s="33">
        <f ca="1">IF(OFFSET(変更先抽出【15時】!$A$1,CM25+1-1,29)="",CM25+2,CM25+1)</f>
        <v>159</v>
      </c>
      <c r="CU25" s="40" t="str">
        <f ca="1">IF(CV25&lt;&gt;"",
MID(貼り付け用!$A$2, FIND("年",貼り付け用!$A$2)+1,2)&amp;"/"&amp;MID(貼り付け用!$A$2, FIND("月",貼り付け用!$A$2)+1,2),"")</f>
        <v/>
      </c>
      <c r="CV25" s="214" t="str">
        <f ca="1">IF(OFFSET(変更先抽出【15時】!$A$1,CT25-1,29)&lt;&gt;"",OFFSET(変更先抽出【15時】!$A$1,CT25-1,30),"")</f>
        <v/>
      </c>
      <c r="CW25" s="215"/>
      <c r="CX25" s="215"/>
      <c r="CY25" s="215"/>
      <c r="CZ25" s="39" t="str">
        <f ca="1">IF(CV25&lt;&gt;"","様","")</f>
        <v/>
      </c>
      <c r="DA25" s="22"/>
      <c r="DB25" s="30">
        <f ca="1">IF(OFFSET(変更先抽出【15時】!$A$1,DI17+1-1,29)="",DI17+2,DI17+1)</f>
        <v>181</v>
      </c>
      <c r="DC25" s="40" t="str">
        <f ca="1">IF(DD25&lt;&gt;"",
MID(貼り付け用!$A$2, FIND("年",貼り付け用!$A$2)+1,2)&amp;"/"&amp;MID(貼り付け用!$A$2, FIND("月",貼り付け用!$A$2)+1,2),"")</f>
        <v/>
      </c>
      <c r="DD25" s="214" t="str">
        <f ca="1">IF(OFFSET(変更先抽出【15時】!$A$1,DB25-1,29)&lt;&gt;"",OFFSET(変更先抽出【15時】!$A$1,DB25-1,30),"")</f>
        <v/>
      </c>
      <c r="DE25" s="215"/>
      <c r="DF25" s="215"/>
      <c r="DG25" s="215"/>
      <c r="DH25" s="39" t="str">
        <f ca="1">IF(DD25&lt;&gt;"","様","")</f>
        <v/>
      </c>
      <c r="DI25" s="33">
        <f ca="1">IF(OFFSET(変更先抽出【15時】!$A$1,DB25+1-1,29)="",DB25+2,DB25+1)</f>
        <v>183</v>
      </c>
      <c r="DJ25" s="40" t="str">
        <f ca="1">IF(DK25&lt;&gt;"",
MID(貼り付け用!$A$2, FIND("年",貼り付け用!$A$2)+1,2)&amp;"/"&amp;MID(貼り付け用!$A$2, FIND("月",貼り付け用!$A$2)+1,2),"")</f>
        <v/>
      </c>
      <c r="DK25" s="214" t="str">
        <f ca="1">IF(OFFSET(変更先抽出【15時】!$A$1,DI25-1,29)&lt;&gt;"",OFFSET(変更先抽出【15時】!$A$1,DI25-1,30),"")</f>
        <v/>
      </c>
      <c r="DL25" s="215"/>
      <c r="DM25" s="215"/>
      <c r="DN25" s="215"/>
      <c r="DO25" s="39" t="str">
        <f ca="1">IF(DK25&lt;&gt;"","様","")</f>
        <v/>
      </c>
      <c r="DP25" s="22"/>
      <c r="DQ25" s="30">
        <f ca="1">IF(OFFSET(変更先抽出【15時】!$A$1,DX17+1-1,29)="",DX17+2,DX17+1)</f>
        <v>205</v>
      </c>
      <c r="DR25" s="40" t="str">
        <f ca="1">IF(DS25&lt;&gt;"",
MID(貼り付け用!$A$2, FIND("年",貼り付け用!$A$2)+1,2)&amp;"/"&amp;MID(貼り付け用!$A$2, FIND("月",貼り付け用!$A$2)+1,2),"")</f>
        <v/>
      </c>
      <c r="DS25" s="214" t="str">
        <f ca="1">IF(OFFSET(変更先抽出【15時】!$A$1,DQ25-1,29)&lt;&gt;"",OFFSET(変更先抽出【15時】!$A$1,DQ25-1,30),"")</f>
        <v/>
      </c>
      <c r="DT25" s="215"/>
      <c r="DU25" s="215"/>
      <c r="DV25" s="215"/>
      <c r="DW25" s="39" t="str">
        <f ca="1">IF(DS25&lt;&gt;"","様","")</f>
        <v/>
      </c>
      <c r="DX25" s="33">
        <f ca="1">IF(OFFSET(変更先抽出【15時】!$A$1,DQ25+1-1,29)="",DQ25+2,DQ25+1)</f>
        <v>207</v>
      </c>
      <c r="DY25" s="40" t="str">
        <f ca="1">IF(DZ25&lt;&gt;"",
MID(貼り付け用!$A$2, FIND("年",貼り付け用!$A$2)+1,2)&amp;"/"&amp;MID(貼り付け用!$A$2, FIND("月",貼り付け用!$A$2)+1,2),"")</f>
        <v/>
      </c>
      <c r="DZ25" s="214" t="str">
        <f ca="1">IF(OFFSET(変更先抽出【15時】!$A$1,DX25-1,29)&lt;&gt;"",OFFSET(変更先抽出【15時】!$A$1,DX25-1,30),"")</f>
        <v/>
      </c>
      <c r="EA25" s="215"/>
      <c r="EB25" s="215"/>
      <c r="EC25" s="215"/>
      <c r="ED25" s="39" t="str">
        <f ca="1">IF(DZ25&lt;&gt;"","様","")</f>
        <v/>
      </c>
      <c r="EE25" s="22"/>
      <c r="EF25" s="30">
        <f ca="1">IF(OFFSET(変更先抽出【15時】!$A$1,EM17+1-1,29)="",EM17+2,EM17+1)</f>
        <v>229</v>
      </c>
      <c r="EG25" s="40" t="str">
        <f ca="1">IF(EH25&lt;&gt;"",
MID(貼り付け用!$A$2, FIND("年",貼り付け用!$A$2)+1,2)&amp;"/"&amp;MID(貼り付け用!$A$2, FIND("月",貼り付け用!$A$2)+1,2),"")</f>
        <v/>
      </c>
      <c r="EH25" s="214" t="str">
        <f ca="1">IF(OFFSET(変更先抽出【15時】!$A$1,EF25-1,29)&lt;&gt;"",OFFSET(変更先抽出【15時】!$A$1,EF25-1,30),"")</f>
        <v/>
      </c>
      <c r="EI25" s="215"/>
      <c r="EJ25" s="215"/>
      <c r="EK25" s="215"/>
      <c r="EL25" s="39" t="str">
        <f ca="1">IF(EH25&lt;&gt;"","様","")</f>
        <v/>
      </c>
      <c r="EM25" s="33">
        <f ca="1">IF(OFFSET(変更先抽出【15時】!$A$1,EF25+1-1,29)="",EF25+2,EF25+1)</f>
        <v>231</v>
      </c>
      <c r="EN25" s="40" t="str">
        <f ca="1">IF(EO25&lt;&gt;"",
MID(貼り付け用!$A$2, FIND("年",貼り付け用!$A$2)+1,2)&amp;"/"&amp;MID(貼り付け用!$A$2, FIND("月",貼り付け用!$A$2)+1,2),"")</f>
        <v/>
      </c>
      <c r="EO25" s="214" t="str">
        <f ca="1">IF(OFFSET(変更先抽出【15時】!$A$1,EM25-1,29)&lt;&gt;"",OFFSET(変更先抽出【15時】!$A$1,EM25-1,30),"")</f>
        <v/>
      </c>
      <c r="EP25" s="215"/>
      <c r="EQ25" s="215"/>
      <c r="ER25" s="215"/>
      <c r="ES25" s="39" t="str">
        <f ca="1">IF(EO25&lt;&gt;"","様","")</f>
        <v/>
      </c>
      <c r="ET25" s="22"/>
    </row>
    <row r="26" spans="1:150" s="181" customFormat="1">
      <c r="A26" s="30"/>
      <c r="B26" s="102"/>
      <c r="C26" s="136" t="str">
        <f ca="1">IF(C25&lt;&gt;"",OFFSET(変更先抽出【15時】!$A$1,A25-1,31),"")</f>
        <v/>
      </c>
      <c r="D26" s="38"/>
      <c r="E26" s="38"/>
      <c r="F26" s="190" t="str">
        <f ca="1">IF(OFFSET(変更先抽出【15時】!$A$1,A25-1,29)&lt;&gt;"",OFFSET(変更先抽出【15時】!$A$1,A25-1,37)&amp;"箱"&amp;OFFSET(変更先抽出【15時】!$A$1,A25-1,38),"")</f>
        <v/>
      </c>
      <c r="G26" s="36"/>
      <c r="H26" s="43"/>
      <c r="I26" s="102"/>
      <c r="J26" s="136" t="str">
        <f ca="1">IF(J25&lt;&gt;"",OFFSET(変更先抽出【15時】!$A$1,H25-1,31),"")</f>
        <v/>
      </c>
      <c r="K26" s="38"/>
      <c r="L26" s="38"/>
      <c r="M26" s="190" t="str">
        <f ca="1">IF(OFFSET(変更先抽出【15時】!$A$1,H25-1,29)&lt;&gt;"",OFFSET(変更先抽出【15時】!$A$1,H25-1,37)&amp;"箱"&amp;OFFSET(変更先抽出【15時】!$A$1,H25-1,38),"")</f>
        <v/>
      </c>
      <c r="N26" s="36"/>
      <c r="O26" s="22"/>
      <c r="P26" s="30"/>
      <c r="Q26" s="102"/>
      <c r="R26" s="136" t="str">
        <f ca="1">IF(R25&lt;&gt;"",OFFSET(変更先抽出【15時】!$A$1,P25-1,31),"")</f>
        <v/>
      </c>
      <c r="S26" s="38"/>
      <c r="T26" s="38"/>
      <c r="U26" s="190" t="str">
        <f ca="1">IF(OFFSET(変更先抽出【15時】!$A$1,P25-1,29)&lt;&gt;"",OFFSET(変更先抽出【15時】!$A$1,P25-1,37)&amp;"箱"&amp;OFFSET(変更先抽出【15時】!$A$1,P25-1,38),"")</f>
        <v/>
      </c>
      <c r="V26" s="36"/>
      <c r="W26" s="43"/>
      <c r="X26" s="102"/>
      <c r="Y26" s="136" t="str">
        <f ca="1">IF(Y25&lt;&gt;"",OFFSET(変更先抽出【15時】!$A$1,W25-1,31),"")</f>
        <v/>
      </c>
      <c r="Z26" s="38"/>
      <c r="AA26" s="38"/>
      <c r="AB26" s="190" t="str">
        <f ca="1">IF(OFFSET(変更先抽出【15時】!$A$1,W25-1,29)&lt;&gt;"",OFFSET(変更先抽出【15時】!$A$1,W25-1,37)&amp;"箱"&amp;OFFSET(変更先抽出【15時】!$A$1,W25-1,38),"")</f>
        <v/>
      </c>
      <c r="AC26" s="36"/>
      <c r="AD26" s="22"/>
      <c r="AE26" s="30"/>
      <c r="AF26" s="102"/>
      <c r="AG26" s="136" t="str">
        <f ca="1">IF(AG25&lt;&gt;"",OFFSET(変更先抽出【15時】!$A$1,AE25-1,31),"")</f>
        <v/>
      </c>
      <c r="AH26" s="38"/>
      <c r="AI26" s="38"/>
      <c r="AJ26" s="190" t="str">
        <f ca="1">IF(OFFSET(変更先抽出【15時】!$A$1,AE25-1,29)&lt;&gt;"",OFFSET(変更先抽出【15時】!$A$1,AE25-1,37)&amp;"箱"&amp;OFFSET(変更先抽出【15時】!$A$1,AE25-1,38),"")</f>
        <v/>
      </c>
      <c r="AK26" s="36"/>
      <c r="AL26" s="43"/>
      <c r="AM26" s="102"/>
      <c r="AN26" s="136" t="str">
        <f ca="1">IF(AN25&lt;&gt;"",OFFSET(変更先抽出【15時】!$A$1,AL25-1,31),"")</f>
        <v/>
      </c>
      <c r="AO26" s="38"/>
      <c r="AP26" s="38"/>
      <c r="AQ26" s="190" t="str">
        <f ca="1">IF(OFFSET(変更先抽出【15時】!$A$1,AL25-1,29)&lt;&gt;"",OFFSET(変更先抽出【15時】!$A$1,AL25-1,37)&amp;"箱"&amp;OFFSET(変更先抽出【15時】!$A$1,AL25-1,38),"")</f>
        <v/>
      </c>
      <c r="AR26" s="36"/>
      <c r="AS26" s="22"/>
      <c r="AT26" s="30"/>
      <c r="AU26" s="102"/>
      <c r="AV26" s="136" t="str">
        <f ca="1">IF(AV25&lt;&gt;"",OFFSET(変更先抽出【15時】!$A$1,AT25-1,31),"")</f>
        <v/>
      </c>
      <c r="AW26" s="38"/>
      <c r="AX26" s="38"/>
      <c r="AY26" s="190" t="str">
        <f ca="1">IF(OFFSET(変更先抽出【15時】!$A$1,AT25-1,29)&lt;&gt;"",OFFSET(変更先抽出【15時】!$A$1,AT25-1,37)&amp;"箱"&amp;OFFSET(変更先抽出【15時】!$A$1,AT25-1,38),"")</f>
        <v/>
      </c>
      <c r="AZ26" s="36"/>
      <c r="BA26" s="43"/>
      <c r="BB26" s="102"/>
      <c r="BC26" s="136" t="str">
        <f ca="1">IF(BC25&lt;&gt;"",OFFSET(変更先抽出【15時】!$A$1,BA25-1,31),"")</f>
        <v/>
      </c>
      <c r="BD26" s="38"/>
      <c r="BE26" s="38"/>
      <c r="BF26" s="190" t="str">
        <f ca="1">IF(OFFSET(変更先抽出【15時】!$A$1,BA25-1,29)&lt;&gt;"",OFFSET(変更先抽出【15時】!$A$1,BA25-1,37)&amp;"箱"&amp;OFFSET(変更先抽出【15時】!$A$1,BA25-1,38),"")</f>
        <v/>
      </c>
      <c r="BG26" s="36"/>
      <c r="BH26" s="22"/>
      <c r="BI26" s="30"/>
      <c r="BJ26" s="102"/>
      <c r="BK26" s="136" t="str">
        <f ca="1">IF(BK25&lt;&gt;"",OFFSET(変更先抽出【15時】!$A$1,BI25-1,31),"")</f>
        <v/>
      </c>
      <c r="BL26" s="38"/>
      <c r="BM26" s="38"/>
      <c r="BN26" s="190" t="str">
        <f ca="1">IF(OFFSET(変更先抽出【15時】!$A$1,BI25-1,29)&lt;&gt;"",OFFSET(変更先抽出【15時】!$A$1,BI25-1,37)&amp;"箱"&amp;OFFSET(変更先抽出【15時】!$A$1,BI25-1,38),"")</f>
        <v/>
      </c>
      <c r="BO26" s="36"/>
      <c r="BP26" s="43"/>
      <c r="BQ26" s="102"/>
      <c r="BR26" s="136" t="str">
        <f ca="1">IF(BR25&lt;&gt;"",OFFSET(変更先抽出【15時】!$A$1,BP25-1,31),"")</f>
        <v/>
      </c>
      <c r="BS26" s="38"/>
      <c r="BT26" s="38"/>
      <c r="BU26" s="190" t="str">
        <f ca="1">IF(OFFSET(変更先抽出【15時】!$A$1,BP25-1,29)&lt;&gt;"",OFFSET(変更先抽出【15時】!$A$1,BP25-1,37)&amp;"箱"&amp;OFFSET(変更先抽出【15時】!$A$1,BP25-1,38),"")</f>
        <v/>
      </c>
      <c r="BV26" s="36"/>
      <c r="BW26" s="22"/>
      <c r="BX26" s="30"/>
      <c r="BY26" s="102"/>
      <c r="BZ26" s="136" t="str">
        <f ca="1">IF(BZ25&lt;&gt;"",OFFSET(変更先抽出【15時】!$A$1,BX25-1,31),"")</f>
        <v/>
      </c>
      <c r="CA26" s="38"/>
      <c r="CB26" s="38"/>
      <c r="CC26" s="190" t="str">
        <f ca="1">IF(OFFSET(変更先抽出【15時】!$A$1,BX25-1,29)&lt;&gt;"",OFFSET(変更先抽出【15時】!$A$1,BX25-1,37)&amp;"箱"&amp;OFFSET(変更先抽出【15時】!$A$1,BX25-1,38),"")</f>
        <v/>
      </c>
      <c r="CD26" s="36"/>
      <c r="CE26" s="43"/>
      <c r="CF26" s="102"/>
      <c r="CG26" s="136" t="str">
        <f ca="1">IF(CG25&lt;&gt;"",OFFSET(変更先抽出【15時】!$A$1,CE25-1,31),"")</f>
        <v/>
      </c>
      <c r="CH26" s="38"/>
      <c r="CI26" s="38"/>
      <c r="CJ26" s="190" t="str">
        <f ca="1">IF(OFFSET(変更先抽出【15時】!$A$1,CE25-1,29)&lt;&gt;"",OFFSET(変更先抽出【15時】!$A$1,CE25-1,37)&amp;"箱"&amp;OFFSET(変更先抽出【15時】!$A$1,CE25-1,38),"")</f>
        <v/>
      </c>
      <c r="CK26" s="36"/>
      <c r="CL26" s="22"/>
      <c r="CM26" s="30"/>
      <c r="CN26" s="102"/>
      <c r="CO26" s="136" t="str">
        <f ca="1">IF(CO25&lt;&gt;"",OFFSET(変更先抽出【15時】!$A$1,CM25-1,31),"")</f>
        <v/>
      </c>
      <c r="CP26" s="38"/>
      <c r="CQ26" s="38"/>
      <c r="CR26" s="190" t="str">
        <f ca="1">IF(OFFSET(変更先抽出【15時】!$A$1,CM25-1,29)&lt;&gt;"",OFFSET(変更先抽出【15時】!$A$1,CM25-1,37)&amp;"箱"&amp;OFFSET(変更先抽出【15時】!$A$1,CM25-1,38),"")</f>
        <v/>
      </c>
      <c r="CS26" s="36"/>
      <c r="CT26" s="43"/>
      <c r="CU26" s="102"/>
      <c r="CV26" s="136" t="str">
        <f ca="1">IF(CV25&lt;&gt;"",OFFSET(変更先抽出【15時】!$A$1,CT25-1,31),"")</f>
        <v/>
      </c>
      <c r="CW26" s="38"/>
      <c r="CX26" s="38"/>
      <c r="CY26" s="190" t="str">
        <f ca="1">IF(OFFSET(変更先抽出【15時】!$A$1,CT25-1,29)&lt;&gt;"",OFFSET(変更先抽出【15時】!$A$1,CT25-1,37)&amp;"箱"&amp;OFFSET(変更先抽出【15時】!$A$1,CT25-1,38),"")</f>
        <v/>
      </c>
      <c r="CZ26" s="36"/>
      <c r="DA26" s="22"/>
      <c r="DB26" s="30"/>
      <c r="DC26" s="102"/>
      <c r="DD26" s="136" t="str">
        <f ca="1">IF(DD25&lt;&gt;"",OFFSET(変更先抽出【15時】!$A$1,DB25-1,31),"")</f>
        <v/>
      </c>
      <c r="DE26" s="38"/>
      <c r="DF26" s="38"/>
      <c r="DG26" s="190" t="str">
        <f ca="1">IF(OFFSET(変更先抽出【15時】!$A$1,DB25-1,29)&lt;&gt;"",OFFSET(変更先抽出【15時】!$A$1,DB25-1,37)&amp;"箱"&amp;OFFSET(変更先抽出【15時】!$A$1,DB25-1,38),"")</f>
        <v/>
      </c>
      <c r="DH26" s="36"/>
      <c r="DI26" s="43"/>
      <c r="DJ26" s="102"/>
      <c r="DK26" s="136" t="str">
        <f ca="1">IF(DK25&lt;&gt;"",OFFSET(変更先抽出【15時】!$A$1,DI25-1,31),"")</f>
        <v/>
      </c>
      <c r="DL26" s="38"/>
      <c r="DM26" s="38"/>
      <c r="DN26" s="190" t="str">
        <f ca="1">IF(OFFSET(変更先抽出【15時】!$A$1,DI25-1,29)&lt;&gt;"",OFFSET(変更先抽出【15時】!$A$1,DI25-1,37)&amp;"箱"&amp;OFFSET(変更先抽出【15時】!$A$1,DI25-1,38),"")</f>
        <v/>
      </c>
      <c r="DO26" s="36"/>
      <c r="DP26" s="22"/>
      <c r="DQ26" s="30"/>
      <c r="DR26" s="102"/>
      <c r="DS26" s="136" t="str">
        <f ca="1">IF(DS25&lt;&gt;"",OFFSET(変更先抽出【15時】!$A$1,DQ25-1,31),"")</f>
        <v/>
      </c>
      <c r="DT26" s="38"/>
      <c r="DU26" s="38"/>
      <c r="DV26" s="190" t="str">
        <f ca="1">IF(OFFSET(変更先抽出【15時】!$A$1,DQ25-1,29)&lt;&gt;"",OFFSET(変更先抽出【15時】!$A$1,DQ25-1,37)&amp;"箱"&amp;OFFSET(変更先抽出【15時】!$A$1,DQ25-1,38),"")</f>
        <v/>
      </c>
      <c r="DW26" s="36"/>
      <c r="DX26" s="43"/>
      <c r="DY26" s="102"/>
      <c r="DZ26" s="136" t="str">
        <f ca="1">IF(DZ25&lt;&gt;"",OFFSET(変更先抽出【15時】!$A$1,DX25-1,31),"")</f>
        <v/>
      </c>
      <c r="EA26" s="38"/>
      <c r="EB26" s="38"/>
      <c r="EC26" s="190" t="str">
        <f ca="1">IF(OFFSET(変更先抽出【15時】!$A$1,DX25-1,29)&lt;&gt;"",OFFSET(変更先抽出【15時】!$A$1,DX25-1,37)&amp;"箱"&amp;OFFSET(変更先抽出【15時】!$A$1,DX25-1,38),"")</f>
        <v/>
      </c>
      <c r="ED26" s="36"/>
      <c r="EE26" s="22"/>
      <c r="EF26" s="30"/>
      <c r="EG26" s="102"/>
      <c r="EH26" s="136" t="str">
        <f ca="1">IF(EH25&lt;&gt;"",OFFSET(変更先抽出【15時】!$A$1,EF25-1,31),"")</f>
        <v/>
      </c>
      <c r="EI26" s="38"/>
      <c r="EJ26" s="38"/>
      <c r="EK26" s="190" t="str">
        <f ca="1">IF(OFFSET(変更先抽出【15時】!$A$1,EF25-1,29)&lt;&gt;"",OFFSET(変更先抽出【15時】!$A$1,EF25-1,37)&amp;"箱"&amp;OFFSET(変更先抽出【15時】!$A$1,EF25-1,38),"")</f>
        <v/>
      </c>
      <c r="EL26" s="36"/>
      <c r="EM26" s="43"/>
      <c r="EN26" s="102"/>
      <c r="EO26" s="136" t="str">
        <f ca="1">IF(EO25&lt;&gt;"",OFFSET(変更先抽出【15時】!$A$1,EM25-1,31),"")</f>
        <v/>
      </c>
      <c r="EP26" s="38"/>
      <c r="EQ26" s="38"/>
      <c r="ER26" s="190" t="str">
        <f ca="1">IF(OFFSET(変更先抽出【15時】!$A$1,EM25-1,29)&lt;&gt;"",OFFSET(変更先抽出【15時】!$A$1,EM25-1,37)&amp;"箱"&amp;OFFSET(変更先抽出【15時】!$A$1,EM25-1,38),"")</f>
        <v/>
      </c>
      <c r="ES26" s="36"/>
      <c r="ET26" s="22"/>
    </row>
    <row r="27" spans="1:150" s="181" customFormat="1">
      <c r="A27" s="30"/>
      <c r="B27" s="31"/>
      <c r="C27" s="212" t="str">
        <f ca="1">IF(OR(C25&lt;&gt;"",COUNTIF(C25,"*【*")),"園児","")</f>
        <v/>
      </c>
      <c r="D27" s="213"/>
      <c r="E27" s="22"/>
      <c r="F27" s="135" t="str">
        <f ca="1">IF(OR(C25&lt;&gt;"",COUNTIF(C25,"*【*")),"先生","")</f>
        <v/>
      </c>
      <c r="G27" s="37"/>
      <c r="H27" s="33"/>
      <c r="I27" s="31"/>
      <c r="J27" s="212" t="str">
        <f ca="1">IF(OR(J25&lt;&gt;"",COUNTIF(J25,"*【*")),"園児","")</f>
        <v/>
      </c>
      <c r="K27" s="213"/>
      <c r="L27" s="22"/>
      <c r="M27" s="135" t="str">
        <f ca="1">IF(OR(J25&lt;&gt;"",COUNTIF(J25,"*【*")),"先生","")</f>
        <v/>
      </c>
      <c r="N27" s="37"/>
      <c r="O27" s="22"/>
      <c r="P27" s="30"/>
      <c r="Q27" s="31"/>
      <c r="R27" s="212" t="str">
        <f ca="1">IF(OR(R25&lt;&gt;"",COUNTIF(R25,"*【*")),"園児","")</f>
        <v/>
      </c>
      <c r="S27" s="213"/>
      <c r="T27" s="22"/>
      <c r="U27" s="135" t="str">
        <f ca="1">IF(OR(R25&lt;&gt;"",COUNTIF(R25,"*【*")),"先生","")</f>
        <v/>
      </c>
      <c r="V27" s="37"/>
      <c r="W27" s="33"/>
      <c r="X27" s="31"/>
      <c r="Y27" s="212" t="str">
        <f ca="1">IF(OR(Y25&lt;&gt;"",COUNTIF(Y25,"*【*")),"園児","")</f>
        <v/>
      </c>
      <c r="Z27" s="213"/>
      <c r="AA27" s="22"/>
      <c r="AB27" s="135" t="str">
        <f ca="1">IF(OR(Y25&lt;&gt;"",COUNTIF(Y25,"*【*")),"先生","")</f>
        <v/>
      </c>
      <c r="AC27" s="37"/>
      <c r="AD27" s="22"/>
      <c r="AE27" s="30"/>
      <c r="AF27" s="31"/>
      <c r="AG27" s="212" t="str">
        <f ca="1">IF(OR(AG25&lt;&gt;"",COUNTIF(AG25,"*【*")),"園児","")</f>
        <v/>
      </c>
      <c r="AH27" s="213"/>
      <c r="AI27" s="22"/>
      <c r="AJ27" s="135" t="str">
        <f ca="1">IF(OR(AG25&lt;&gt;"",COUNTIF(AG25,"*【*")),"先生","")</f>
        <v/>
      </c>
      <c r="AK27" s="37"/>
      <c r="AL27" s="33"/>
      <c r="AM27" s="31"/>
      <c r="AN27" s="212" t="str">
        <f ca="1">IF(OR(AN25&lt;&gt;"",COUNTIF(AN25,"*【*")),"園児","")</f>
        <v/>
      </c>
      <c r="AO27" s="213"/>
      <c r="AP27" s="22"/>
      <c r="AQ27" s="135" t="str">
        <f ca="1">IF(OR(AN25&lt;&gt;"",COUNTIF(AN25,"*【*")),"先生","")</f>
        <v/>
      </c>
      <c r="AR27" s="37"/>
      <c r="AS27" s="22"/>
      <c r="AT27" s="30"/>
      <c r="AU27" s="31"/>
      <c r="AV27" s="212" t="str">
        <f ca="1">IF(OR(AV25&lt;&gt;"",COUNTIF(AV25,"*【*")),"園児","")</f>
        <v/>
      </c>
      <c r="AW27" s="213"/>
      <c r="AX27" s="22"/>
      <c r="AY27" s="135" t="str">
        <f ca="1">IF(OR(AV25&lt;&gt;"",COUNTIF(AV25,"*【*")),"先生","")</f>
        <v/>
      </c>
      <c r="AZ27" s="37"/>
      <c r="BA27" s="33"/>
      <c r="BB27" s="31"/>
      <c r="BC27" s="212" t="str">
        <f ca="1">IF(OR(BC25&lt;&gt;"",COUNTIF(BC25,"*【*")),"園児","")</f>
        <v/>
      </c>
      <c r="BD27" s="213"/>
      <c r="BE27" s="22"/>
      <c r="BF27" s="135" t="str">
        <f ca="1">IF(OR(BC25&lt;&gt;"",COUNTIF(BC25,"*【*")),"先生","")</f>
        <v/>
      </c>
      <c r="BG27" s="37"/>
      <c r="BH27" s="22"/>
      <c r="BI27" s="30"/>
      <c r="BJ27" s="31"/>
      <c r="BK27" s="212" t="str">
        <f ca="1">IF(OR(BK25&lt;&gt;"",COUNTIF(BK25,"*【*")),"園児","")</f>
        <v/>
      </c>
      <c r="BL27" s="213"/>
      <c r="BM27" s="22"/>
      <c r="BN27" s="135" t="str">
        <f ca="1">IF(OR(BK25&lt;&gt;"",COUNTIF(BK25,"*【*")),"先生","")</f>
        <v/>
      </c>
      <c r="BO27" s="37"/>
      <c r="BP27" s="33"/>
      <c r="BQ27" s="31"/>
      <c r="BR27" s="212" t="str">
        <f ca="1">IF(OR(BR25&lt;&gt;"",COUNTIF(BR25,"*【*")),"園児","")</f>
        <v/>
      </c>
      <c r="BS27" s="213"/>
      <c r="BT27" s="22"/>
      <c r="BU27" s="135" t="str">
        <f ca="1">IF(OR(BR25&lt;&gt;"",COUNTIF(BR25,"*【*")),"先生","")</f>
        <v/>
      </c>
      <c r="BV27" s="37"/>
      <c r="BW27" s="22"/>
      <c r="BX27" s="30"/>
      <c r="BY27" s="31"/>
      <c r="BZ27" s="212" t="str">
        <f ca="1">IF(OR(BZ25&lt;&gt;"",COUNTIF(BZ25,"*【*")),"園児","")</f>
        <v/>
      </c>
      <c r="CA27" s="213"/>
      <c r="CB27" s="22"/>
      <c r="CC27" s="135" t="str">
        <f ca="1">IF(OR(BZ25&lt;&gt;"",COUNTIF(BZ25,"*【*")),"先生","")</f>
        <v/>
      </c>
      <c r="CD27" s="37"/>
      <c r="CE27" s="33"/>
      <c r="CF27" s="31"/>
      <c r="CG27" s="212" t="str">
        <f ca="1">IF(OR(CG25&lt;&gt;"",COUNTIF(CG25,"*【*")),"園児","")</f>
        <v/>
      </c>
      <c r="CH27" s="213"/>
      <c r="CI27" s="22"/>
      <c r="CJ27" s="135" t="str">
        <f ca="1">IF(OR(CG25&lt;&gt;"",COUNTIF(CG25,"*【*")),"先生","")</f>
        <v/>
      </c>
      <c r="CK27" s="37"/>
      <c r="CL27" s="22"/>
      <c r="CM27" s="30"/>
      <c r="CN27" s="31"/>
      <c r="CO27" s="212" t="str">
        <f ca="1">IF(OR(CO25&lt;&gt;"",COUNTIF(CO25,"*【*")),"園児","")</f>
        <v/>
      </c>
      <c r="CP27" s="213"/>
      <c r="CQ27" s="22"/>
      <c r="CR27" s="135" t="str">
        <f ca="1">IF(OR(CO25&lt;&gt;"",COUNTIF(CO25,"*【*")),"先生","")</f>
        <v/>
      </c>
      <c r="CS27" s="37"/>
      <c r="CT27" s="33"/>
      <c r="CU27" s="31"/>
      <c r="CV27" s="212" t="str">
        <f ca="1">IF(OR(CV25&lt;&gt;"",COUNTIF(CV25,"*【*")),"園児","")</f>
        <v/>
      </c>
      <c r="CW27" s="213"/>
      <c r="CX27" s="22"/>
      <c r="CY27" s="135" t="str">
        <f ca="1">IF(OR(CV25&lt;&gt;"",COUNTIF(CV25,"*【*")),"先生","")</f>
        <v/>
      </c>
      <c r="CZ27" s="37"/>
      <c r="DA27" s="22"/>
      <c r="DB27" s="30"/>
      <c r="DC27" s="31"/>
      <c r="DD27" s="212" t="str">
        <f ca="1">IF(OR(DD25&lt;&gt;"",COUNTIF(DD25,"*【*")),"園児","")</f>
        <v/>
      </c>
      <c r="DE27" s="213"/>
      <c r="DF27" s="22"/>
      <c r="DG27" s="135" t="str">
        <f ca="1">IF(OR(DD25&lt;&gt;"",COUNTIF(DD25,"*【*")),"先生","")</f>
        <v/>
      </c>
      <c r="DH27" s="37"/>
      <c r="DI27" s="33"/>
      <c r="DJ27" s="31"/>
      <c r="DK27" s="212" t="str">
        <f ca="1">IF(OR(DK25&lt;&gt;"",COUNTIF(DK25,"*【*")),"園児","")</f>
        <v/>
      </c>
      <c r="DL27" s="213"/>
      <c r="DM27" s="22"/>
      <c r="DN27" s="135" t="str">
        <f ca="1">IF(OR(DK25&lt;&gt;"",COUNTIF(DK25,"*【*")),"先生","")</f>
        <v/>
      </c>
      <c r="DO27" s="37"/>
      <c r="DP27" s="22"/>
      <c r="DQ27" s="30"/>
      <c r="DR27" s="31"/>
      <c r="DS27" s="212" t="str">
        <f ca="1">IF(OR(DS25&lt;&gt;"",COUNTIF(DS25,"*【*")),"園児","")</f>
        <v/>
      </c>
      <c r="DT27" s="213"/>
      <c r="DU27" s="22"/>
      <c r="DV27" s="135" t="str">
        <f ca="1">IF(OR(DS25&lt;&gt;"",COUNTIF(DS25,"*【*")),"先生","")</f>
        <v/>
      </c>
      <c r="DW27" s="37"/>
      <c r="DX27" s="33"/>
      <c r="DY27" s="31"/>
      <c r="DZ27" s="212" t="str">
        <f ca="1">IF(OR(DZ25&lt;&gt;"",COUNTIF(DZ25,"*【*")),"園児","")</f>
        <v/>
      </c>
      <c r="EA27" s="213"/>
      <c r="EB27" s="22"/>
      <c r="EC27" s="135" t="str">
        <f ca="1">IF(OR(DZ25&lt;&gt;"",COUNTIF(DZ25,"*【*")),"先生","")</f>
        <v/>
      </c>
      <c r="ED27" s="37"/>
      <c r="EE27" s="22"/>
      <c r="EF27" s="30"/>
      <c r="EG27" s="31"/>
      <c r="EH27" s="212" t="str">
        <f ca="1">IF(OR(EH25&lt;&gt;"",COUNTIF(EH25,"*【*")),"園児","")</f>
        <v/>
      </c>
      <c r="EI27" s="213"/>
      <c r="EJ27" s="22"/>
      <c r="EK27" s="135" t="str">
        <f ca="1">IF(OR(EH25&lt;&gt;"",COUNTIF(EH25,"*【*")),"先生","")</f>
        <v/>
      </c>
      <c r="EL27" s="37"/>
      <c r="EM27" s="33"/>
      <c r="EN27" s="31"/>
      <c r="EO27" s="212" t="str">
        <f ca="1">IF(OR(EO25&lt;&gt;"",COUNTIF(EO25,"*【*")),"園児","")</f>
        <v/>
      </c>
      <c r="EP27" s="213"/>
      <c r="EQ27" s="22"/>
      <c r="ER27" s="135" t="str">
        <f ca="1">IF(OR(EO25&lt;&gt;"",COUNTIF(EO25,"*【*")),"先生","")</f>
        <v/>
      </c>
      <c r="ES27" s="37"/>
      <c r="ET27" s="22"/>
    </row>
    <row r="28" spans="1:150" ht="15.6" customHeight="1">
      <c r="B28" s="25"/>
      <c r="C28" s="210" t="str">
        <f ca="1">IF(C25&lt;&gt;"",OFFSET(変更先抽出【15時】!$A$1,A25-1,32),"")</f>
        <v/>
      </c>
      <c r="D28" s="211"/>
      <c r="E28" s="44"/>
      <c r="F28" s="206" t="str">
        <f ca="1">IF(C25&lt;&gt;"",OFFSET(変更先抽出【15時】!$A$1,A25-1,33),"")</f>
        <v/>
      </c>
      <c r="G28" s="207"/>
      <c r="H28" s="26"/>
      <c r="I28" s="25"/>
      <c r="J28" s="210" t="str">
        <f ca="1">IF(J25&lt;&gt;"",OFFSET(変更先抽出【15時】!$A$1,H25-1,32),"")</f>
        <v/>
      </c>
      <c r="K28" s="211"/>
      <c r="L28" s="44"/>
      <c r="M28" s="206" t="str">
        <f ca="1">IF(J25&lt;&gt;"",OFFSET(変更先抽出【15時】!$A$1,H25-1,33),"")</f>
        <v/>
      </c>
      <c r="N28" s="207"/>
      <c r="Q28" s="25"/>
      <c r="R28" s="210" t="str">
        <f ca="1">IF(R25&lt;&gt;"",OFFSET(変更先抽出【15時】!$A$1,P25-1,32),"")</f>
        <v/>
      </c>
      <c r="S28" s="211"/>
      <c r="T28" s="44"/>
      <c r="U28" s="206" t="str">
        <f ca="1">IF(R25&lt;&gt;"",OFFSET(変更先抽出【15時】!$A$1,P25-1,33),"")</f>
        <v/>
      </c>
      <c r="V28" s="207"/>
      <c r="W28" s="26"/>
      <c r="X28" s="25"/>
      <c r="Y28" s="210" t="str">
        <f ca="1">IF(Y25&lt;&gt;"",OFFSET(変更先抽出【15時】!$A$1,W25-1,32),"")</f>
        <v/>
      </c>
      <c r="Z28" s="211"/>
      <c r="AA28" s="44"/>
      <c r="AB28" s="206" t="str">
        <f ca="1">IF(Y25&lt;&gt;"",OFFSET(変更先抽出【15時】!$A$1,W25-1,33),"")</f>
        <v/>
      </c>
      <c r="AC28" s="207"/>
      <c r="AF28" s="25"/>
      <c r="AG28" s="210" t="str">
        <f ca="1">IF(AG25&lt;&gt;"",OFFSET(変更先抽出【15時】!$A$1,AE25-1,32),"")</f>
        <v/>
      </c>
      <c r="AH28" s="211"/>
      <c r="AI28" s="44"/>
      <c r="AJ28" s="206" t="str">
        <f ca="1">IF(AG25&lt;&gt;"",OFFSET(変更先抽出【15時】!$A$1,AE25-1,33),"")</f>
        <v/>
      </c>
      <c r="AK28" s="207"/>
      <c r="AL28" s="26"/>
      <c r="AM28" s="25"/>
      <c r="AN28" s="210" t="str">
        <f ca="1">IF(AN25&lt;&gt;"",OFFSET(変更先抽出【15時】!$A$1,AL25-1,32),"")</f>
        <v/>
      </c>
      <c r="AO28" s="211"/>
      <c r="AP28" s="44"/>
      <c r="AQ28" s="206" t="str">
        <f ca="1">IF(AN25&lt;&gt;"",OFFSET(変更先抽出【15時】!$A$1,AL25-1,33),"")</f>
        <v/>
      </c>
      <c r="AR28" s="207"/>
      <c r="AU28" s="25"/>
      <c r="AV28" s="210" t="str">
        <f ca="1">IF(AV25&lt;&gt;"",OFFSET(変更先抽出【15時】!$A$1,AT25-1,32),"")</f>
        <v/>
      </c>
      <c r="AW28" s="211"/>
      <c r="AX28" s="44"/>
      <c r="AY28" s="206" t="str">
        <f ca="1">IF(AV25&lt;&gt;"",OFFSET(変更先抽出【15時】!$A$1,AT25-1,33),"")</f>
        <v/>
      </c>
      <c r="AZ28" s="207"/>
      <c r="BA28" s="26"/>
      <c r="BB28" s="25"/>
      <c r="BC28" s="210" t="str">
        <f ca="1">IF(BC25&lt;&gt;"",OFFSET(変更先抽出【15時】!$A$1,BA25-1,32),"")</f>
        <v/>
      </c>
      <c r="BD28" s="211"/>
      <c r="BE28" s="44"/>
      <c r="BF28" s="206" t="str">
        <f ca="1">IF(BC25&lt;&gt;"",OFFSET(変更先抽出【15時】!$A$1,BA25-1,33),"")</f>
        <v/>
      </c>
      <c r="BG28" s="207"/>
      <c r="BJ28" s="25"/>
      <c r="BK28" s="210" t="str">
        <f ca="1">IF(BK25&lt;&gt;"",OFFSET(変更先抽出【15時】!$A$1,BI25-1,32),"")</f>
        <v/>
      </c>
      <c r="BL28" s="211"/>
      <c r="BM28" s="44"/>
      <c r="BN28" s="206" t="str">
        <f ca="1">IF(BK25&lt;&gt;"",OFFSET(変更先抽出【15時】!$A$1,BI25-1,33),"")</f>
        <v/>
      </c>
      <c r="BO28" s="207"/>
      <c r="BP28" s="26"/>
      <c r="BQ28" s="25"/>
      <c r="BR28" s="210" t="str">
        <f ca="1">IF(BR25&lt;&gt;"",OFFSET(変更先抽出【15時】!$A$1,BP25-1,32),"")</f>
        <v/>
      </c>
      <c r="BS28" s="211"/>
      <c r="BT28" s="44"/>
      <c r="BU28" s="206" t="str">
        <f ca="1">IF(BR25&lt;&gt;"",OFFSET(変更先抽出【15時】!$A$1,BP25-1,33),"")</f>
        <v/>
      </c>
      <c r="BV28" s="207"/>
      <c r="BY28" s="25"/>
      <c r="BZ28" s="210" t="str">
        <f ca="1">IF(BZ25&lt;&gt;"",OFFSET(変更先抽出【15時】!$A$1,BX25-1,32),"")</f>
        <v/>
      </c>
      <c r="CA28" s="211"/>
      <c r="CB28" s="44"/>
      <c r="CC28" s="206" t="str">
        <f ca="1">IF(BZ25&lt;&gt;"",OFFSET(変更先抽出【15時】!$A$1,BX25-1,33),"")</f>
        <v/>
      </c>
      <c r="CD28" s="207"/>
      <c r="CE28" s="26"/>
      <c r="CF28" s="25"/>
      <c r="CG28" s="210" t="str">
        <f ca="1">IF(CG25&lt;&gt;"",OFFSET(変更先抽出【15時】!$A$1,CE25-1,32),"")</f>
        <v/>
      </c>
      <c r="CH28" s="211"/>
      <c r="CI28" s="44"/>
      <c r="CJ28" s="206" t="str">
        <f ca="1">IF(CG25&lt;&gt;"",OFFSET(変更先抽出【15時】!$A$1,CE25-1,33),"")</f>
        <v/>
      </c>
      <c r="CK28" s="207"/>
      <c r="CN28" s="25"/>
      <c r="CO28" s="210" t="str">
        <f ca="1">IF(CO25&lt;&gt;"",OFFSET(変更先抽出【15時】!$A$1,CM25-1,32),"")</f>
        <v/>
      </c>
      <c r="CP28" s="211"/>
      <c r="CQ28" s="44"/>
      <c r="CR28" s="206" t="str">
        <f ca="1">IF(CO25&lt;&gt;"",OFFSET(変更先抽出【15時】!$A$1,CM25-1,33),"")</f>
        <v/>
      </c>
      <c r="CS28" s="207"/>
      <c r="CT28" s="26"/>
      <c r="CU28" s="25"/>
      <c r="CV28" s="210" t="str">
        <f ca="1">IF(CV25&lt;&gt;"",OFFSET(変更先抽出【15時】!$A$1,CT25-1,32),"")</f>
        <v/>
      </c>
      <c r="CW28" s="211"/>
      <c r="CX28" s="44"/>
      <c r="CY28" s="206" t="str">
        <f ca="1">IF(CV25&lt;&gt;"",OFFSET(変更先抽出【15時】!$A$1,CT25-1,33),"")</f>
        <v/>
      </c>
      <c r="CZ28" s="207"/>
      <c r="DC28" s="25"/>
      <c r="DD28" s="210" t="str">
        <f ca="1">IF(DD25&lt;&gt;"",OFFSET(変更先抽出【15時】!$A$1,DB25-1,32),"")</f>
        <v/>
      </c>
      <c r="DE28" s="211"/>
      <c r="DF28" s="44"/>
      <c r="DG28" s="206" t="str">
        <f ca="1">IF(DD25&lt;&gt;"",OFFSET(変更先抽出【15時】!$A$1,DB25-1,33),"")</f>
        <v/>
      </c>
      <c r="DH28" s="207"/>
      <c r="DI28" s="26"/>
      <c r="DJ28" s="25"/>
      <c r="DK28" s="210" t="str">
        <f ca="1">IF(DK25&lt;&gt;"",OFFSET(変更先抽出【15時】!$A$1,DI25-1,32),"")</f>
        <v/>
      </c>
      <c r="DL28" s="211"/>
      <c r="DM28" s="44"/>
      <c r="DN28" s="206" t="str">
        <f ca="1">IF(DK25&lt;&gt;"",OFFSET(変更先抽出【15時】!$A$1,DI25-1,33),"")</f>
        <v/>
      </c>
      <c r="DO28" s="207"/>
      <c r="DR28" s="25"/>
      <c r="DS28" s="210" t="str">
        <f ca="1">IF(DS25&lt;&gt;"",OFFSET(変更先抽出【15時】!$A$1,DQ25-1,32),"")</f>
        <v/>
      </c>
      <c r="DT28" s="211"/>
      <c r="DU28" s="44"/>
      <c r="DV28" s="206" t="str">
        <f ca="1">IF(DS25&lt;&gt;"",OFFSET(変更先抽出【15時】!$A$1,DQ25-1,33),"")</f>
        <v/>
      </c>
      <c r="DW28" s="207"/>
      <c r="DX28" s="26"/>
      <c r="DY28" s="25"/>
      <c r="DZ28" s="210" t="str">
        <f ca="1">IF(DZ25&lt;&gt;"",OFFSET(変更先抽出【15時】!$A$1,DX25-1,32),"")</f>
        <v/>
      </c>
      <c r="EA28" s="211"/>
      <c r="EB28" s="44"/>
      <c r="EC28" s="206" t="str">
        <f ca="1">IF(DZ25&lt;&gt;"",OFFSET(変更先抽出【15時】!$A$1,DX25-1,33),"")</f>
        <v/>
      </c>
      <c r="ED28" s="207"/>
      <c r="EG28" s="25"/>
      <c r="EH28" s="210" t="str">
        <f ca="1">IF(EH25&lt;&gt;"",OFFSET(変更先抽出【15時】!$A$1,EF25-1,32),"")</f>
        <v/>
      </c>
      <c r="EI28" s="211"/>
      <c r="EJ28" s="44"/>
      <c r="EK28" s="206" t="str">
        <f ca="1">IF(EH25&lt;&gt;"",OFFSET(変更先抽出【15時】!$A$1,EF25-1,33),"")</f>
        <v/>
      </c>
      <c r="EL28" s="207"/>
      <c r="EM28" s="26"/>
      <c r="EN28" s="25"/>
      <c r="EO28" s="210" t="str">
        <f ca="1">IF(EO25&lt;&gt;"",OFFSET(変更先抽出【15時】!$A$1,EM25-1,32),"")</f>
        <v/>
      </c>
      <c r="EP28" s="211"/>
      <c r="EQ28" s="44"/>
      <c r="ER28" s="206" t="str">
        <f ca="1">IF(EO25&lt;&gt;"",OFFSET(変更先抽出【15時】!$A$1,EM25-1,33),"")</f>
        <v/>
      </c>
      <c r="ES28" s="207"/>
    </row>
    <row r="29" spans="1:150" ht="15.6" customHeight="1">
      <c r="B29" s="27"/>
      <c r="C29" s="208"/>
      <c r="D29" s="208"/>
      <c r="E29" s="179"/>
      <c r="F29" s="208"/>
      <c r="G29" s="209"/>
      <c r="H29" s="26"/>
      <c r="I29" s="27"/>
      <c r="J29" s="208"/>
      <c r="K29" s="208"/>
      <c r="L29" s="179"/>
      <c r="M29" s="208"/>
      <c r="N29" s="209"/>
      <c r="Q29" s="27"/>
      <c r="R29" s="208"/>
      <c r="S29" s="208"/>
      <c r="T29" s="179"/>
      <c r="U29" s="208"/>
      <c r="V29" s="209"/>
      <c r="W29" s="26"/>
      <c r="X29" s="27"/>
      <c r="Y29" s="208"/>
      <c r="Z29" s="208"/>
      <c r="AA29" s="179"/>
      <c r="AB29" s="208"/>
      <c r="AC29" s="209"/>
      <c r="AF29" s="27"/>
      <c r="AG29" s="208"/>
      <c r="AH29" s="208"/>
      <c r="AI29" s="179"/>
      <c r="AJ29" s="208"/>
      <c r="AK29" s="209"/>
      <c r="AL29" s="26"/>
      <c r="AM29" s="27"/>
      <c r="AN29" s="208"/>
      <c r="AO29" s="208"/>
      <c r="AP29" s="179"/>
      <c r="AQ29" s="208"/>
      <c r="AR29" s="209"/>
      <c r="AU29" s="27"/>
      <c r="AV29" s="208"/>
      <c r="AW29" s="208"/>
      <c r="AX29" s="179"/>
      <c r="AY29" s="208"/>
      <c r="AZ29" s="209"/>
      <c r="BA29" s="26"/>
      <c r="BB29" s="27"/>
      <c r="BC29" s="208"/>
      <c r="BD29" s="208"/>
      <c r="BE29" s="179"/>
      <c r="BF29" s="208"/>
      <c r="BG29" s="209"/>
      <c r="BJ29" s="27"/>
      <c r="BK29" s="208"/>
      <c r="BL29" s="208"/>
      <c r="BM29" s="179"/>
      <c r="BN29" s="208"/>
      <c r="BO29" s="209"/>
      <c r="BP29" s="26"/>
      <c r="BQ29" s="27"/>
      <c r="BR29" s="208"/>
      <c r="BS29" s="208"/>
      <c r="BT29" s="179"/>
      <c r="BU29" s="208"/>
      <c r="BV29" s="209"/>
      <c r="BY29" s="27"/>
      <c r="BZ29" s="208"/>
      <c r="CA29" s="208"/>
      <c r="CB29" s="179"/>
      <c r="CC29" s="208"/>
      <c r="CD29" s="209"/>
      <c r="CE29" s="26"/>
      <c r="CF29" s="27"/>
      <c r="CG29" s="208"/>
      <c r="CH29" s="208"/>
      <c r="CI29" s="179"/>
      <c r="CJ29" s="208"/>
      <c r="CK29" s="209"/>
      <c r="CN29" s="27"/>
      <c r="CO29" s="208"/>
      <c r="CP29" s="208"/>
      <c r="CQ29" s="179"/>
      <c r="CR29" s="208"/>
      <c r="CS29" s="209"/>
      <c r="CT29" s="26"/>
      <c r="CU29" s="27"/>
      <c r="CV29" s="208"/>
      <c r="CW29" s="208"/>
      <c r="CX29" s="179"/>
      <c r="CY29" s="208"/>
      <c r="CZ29" s="209"/>
      <c r="DC29" s="27"/>
      <c r="DD29" s="208"/>
      <c r="DE29" s="208"/>
      <c r="DF29" s="179"/>
      <c r="DG29" s="208"/>
      <c r="DH29" s="209"/>
      <c r="DI29" s="26"/>
      <c r="DJ29" s="27"/>
      <c r="DK29" s="208"/>
      <c r="DL29" s="208"/>
      <c r="DM29" s="179"/>
      <c r="DN29" s="208"/>
      <c r="DO29" s="209"/>
      <c r="DR29" s="27"/>
      <c r="DS29" s="208"/>
      <c r="DT29" s="208"/>
      <c r="DU29" s="179"/>
      <c r="DV29" s="208"/>
      <c r="DW29" s="209"/>
      <c r="DX29" s="26"/>
      <c r="DY29" s="27"/>
      <c r="DZ29" s="208"/>
      <c r="EA29" s="208"/>
      <c r="EB29" s="179"/>
      <c r="EC29" s="208"/>
      <c r="ED29" s="209"/>
      <c r="EG29" s="27"/>
      <c r="EH29" s="208"/>
      <c r="EI29" s="208"/>
      <c r="EJ29" s="179"/>
      <c r="EK29" s="208"/>
      <c r="EL29" s="209"/>
      <c r="EM29" s="26"/>
      <c r="EN29" s="27"/>
      <c r="EO29" s="208"/>
      <c r="EP29" s="208"/>
      <c r="EQ29" s="179"/>
      <c r="ER29" s="208"/>
      <c r="ES29" s="209"/>
    </row>
    <row r="30" spans="1:150" s="181" customFormat="1">
      <c r="A30" s="30"/>
      <c r="B30" s="34" t="str">
        <f ca="1">IF(C25&lt;&gt;"","パン箱","")</f>
        <v/>
      </c>
      <c r="C30" s="32" t="str">
        <f ca="1">IF(C25&lt;&gt;"",OFFSET(変更先抽出【15時】!$A$1,A25-1,35),"")</f>
        <v/>
      </c>
      <c r="D30" s="34" t="str">
        <f ca="1">IF(C25&lt;&gt;"","端数","")</f>
        <v/>
      </c>
      <c r="E30" s="32"/>
      <c r="F30" s="34" t="str">
        <f ca="1">IF(C25&lt;&gt;"","アレルギー","")</f>
        <v/>
      </c>
      <c r="G30" s="37"/>
      <c r="H30" s="22"/>
      <c r="I30" s="34" t="str">
        <f ca="1">IF(J25&lt;&gt;"","パン箱","")</f>
        <v/>
      </c>
      <c r="J30" s="32" t="str">
        <f ca="1">IF(J25&lt;&gt;"",OFFSET(変更先抽出【15時】!$A$1,H25-1,35),"")</f>
        <v/>
      </c>
      <c r="K30" s="34" t="str">
        <f ca="1">IF(J25&lt;&gt;"","端数","")</f>
        <v/>
      </c>
      <c r="L30" s="32"/>
      <c r="M30" s="34" t="str">
        <f ca="1">IF(J25&lt;&gt;"","アレルギー","")</f>
        <v/>
      </c>
      <c r="N30" s="37"/>
      <c r="O30" s="22"/>
      <c r="P30" s="30"/>
      <c r="Q30" s="34" t="str">
        <f ca="1">IF(R25&lt;&gt;"","パン箱","")</f>
        <v/>
      </c>
      <c r="R30" s="32" t="str">
        <f ca="1">IF(R25&lt;&gt;"",OFFSET(変更先抽出【15時】!$A$1,P25-1,35),"")</f>
        <v/>
      </c>
      <c r="S30" s="34" t="str">
        <f ca="1">IF(R25&lt;&gt;"","端数","")</f>
        <v/>
      </c>
      <c r="T30" s="32"/>
      <c r="U30" s="34" t="str">
        <f ca="1">IF(R25&lt;&gt;"","アレルギー","")</f>
        <v/>
      </c>
      <c r="V30" s="37"/>
      <c r="W30" s="22"/>
      <c r="X30" s="34" t="str">
        <f ca="1">IF(Y25&lt;&gt;"","パン箱","")</f>
        <v/>
      </c>
      <c r="Y30" s="32" t="str">
        <f ca="1">IF(Y25&lt;&gt;"",OFFSET(変更先抽出【15時】!$A$1,W25-1,35),"")</f>
        <v/>
      </c>
      <c r="Z30" s="34" t="str">
        <f ca="1">IF(Y25&lt;&gt;"","端数","")</f>
        <v/>
      </c>
      <c r="AA30" s="32"/>
      <c r="AB30" s="34" t="str">
        <f ca="1">IF(Y25&lt;&gt;"","アレルギー","")</f>
        <v/>
      </c>
      <c r="AC30" s="37"/>
      <c r="AD30" s="22"/>
      <c r="AE30" s="30"/>
      <c r="AF30" s="34" t="str">
        <f ca="1">IF(AG25&lt;&gt;"","パン箱","")</f>
        <v/>
      </c>
      <c r="AG30" s="32" t="str">
        <f ca="1">IF(AG25&lt;&gt;"",OFFSET(変更先抽出【15時】!$A$1,AE25-1,35),"")</f>
        <v/>
      </c>
      <c r="AH30" s="34" t="str">
        <f ca="1">IF(AG25&lt;&gt;"","端数","")</f>
        <v/>
      </c>
      <c r="AI30" s="32"/>
      <c r="AJ30" s="34" t="str">
        <f ca="1">IF(AG25&lt;&gt;"","アレルギー","")</f>
        <v/>
      </c>
      <c r="AK30" s="37"/>
      <c r="AL30" s="22"/>
      <c r="AM30" s="34" t="str">
        <f ca="1">IF(AN25&lt;&gt;"","パン箱","")</f>
        <v/>
      </c>
      <c r="AN30" s="32" t="str">
        <f ca="1">IF(AN25&lt;&gt;"",OFFSET(変更先抽出【15時】!$A$1,AL25-1,35),"")</f>
        <v/>
      </c>
      <c r="AO30" s="34" t="str">
        <f ca="1">IF(AN25&lt;&gt;"","端数","")</f>
        <v/>
      </c>
      <c r="AP30" s="32"/>
      <c r="AQ30" s="34" t="str">
        <f ca="1">IF(AN25&lt;&gt;"","アレルギー","")</f>
        <v/>
      </c>
      <c r="AR30" s="37"/>
      <c r="AS30" s="22"/>
      <c r="AT30" s="30"/>
      <c r="AU30" s="34" t="str">
        <f ca="1">IF(AV25&lt;&gt;"","パン箱","")</f>
        <v/>
      </c>
      <c r="AV30" s="32" t="str">
        <f ca="1">IF(AV25&lt;&gt;"",OFFSET(変更先抽出【15時】!$A$1,AT25-1,35),"")</f>
        <v/>
      </c>
      <c r="AW30" s="34" t="str">
        <f ca="1">IF(AV25&lt;&gt;"","端数","")</f>
        <v/>
      </c>
      <c r="AX30" s="32"/>
      <c r="AY30" s="34" t="str">
        <f ca="1">IF(AV25&lt;&gt;"","アレルギー","")</f>
        <v/>
      </c>
      <c r="AZ30" s="37"/>
      <c r="BA30" s="22"/>
      <c r="BB30" s="34" t="str">
        <f ca="1">IF(BC25&lt;&gt;"","パン箱","")</f>
        <v/>
      </c>
      <c r="BC30" s="32" t="str">
        <f ca="1">IF(BC25&lt;&gt;"",OFFSET(変更先抽出【15時】!$A$1,BA25-1,35),"")</f>
        <v/>
      </c>
      <c r="BD30" s="34" t="str">
        <f ca="1">IF(BC25&lt;&gt;"","端数","")</f>
        <v/>
      </c>
      <c r="BE30" s="32"/>
      <c r="BF30" s="34" t="str">
        <f ca="1">IF(BC25&lt;&gt;"","アレルギー","")</f>
        <v/>
      </c>
      <c r="BG30" s="37"/>
      <c r="BH30" s="22"/>
      <c r="BI30" s="30"/>
      <c r="BJ30" s="34" t="str">
        <f ca="1">IF(BK25&lt;&gt;"","パン箱","")</f>
        <v/>
      </c>
      <c r="BK30" s="32" t="str">
        <f ca="1">IF(BK25&lt;&gt;"",OFFSET(変更先抽出【15時】!$A$1,BI25-1,35),"")</f>
        <v/>
      </c>
      <c r="BL30" s="34" t="str">
        <f ca="1">IF(BK25&lt;&gt;"","端数","")</f>
        <v/>
      </c>
      <c r="BM30" s="32"/>
      <c r="BN30" s="34" t="str">
        <f ca="1">IF(BK25&lt;&gt;"","アレルギー","")</f>
        <v/>
      </c>
      <c r="BO30" s="37"/>
      <c r="BP30" s="22"/>
      <c r="BQ30" s="34" t="str">
        <f ca="1">IF(BR25&lt;&gt;"","パン箱","")</f>
        <v/>
      </c>
      <c r="BR30" s="32" t="str">
        <f ca="1">IF(BR25&lt;&gt;"",OFFSET(変更先抽出【15時】!$A$1,BP25-1,35),"")</f>
        <v/>
      </c>
      <c r="BS30" s="34" t="str">
        <f ca="1">IF(BR25&lt;&gt;"","端数","")</f>
        <v/>
      </c>
      <c r="BT30" s="32"/>
      <c r="BU30" s="34" t="str">
        <f ca="1">IF(BR25&lt;&gt;"","アレルギー","")</f>
        <v/>
      </c>
      <c r="BV30" s="37"/>
      <c r="BW30" s="22"/>
      <c r="BX30" s="30"/>
      <c r="BY30" s="34" t="str">
        <f ca="1">IF(BZ25&lt;&gt;"","パン箱","")</f>
        <v/>
      </c>
      <c r="BZ30" s="32" t="str">
        <f ca="1">IF(BZ25&lt;&gt;"",OFFSET(変更先抽出【15時】!$A$1,BX25-1,35),"")</f>
        <v/>
      </c>
      <c r="CA30" s="34" t="str">
        <f ca="1">IF(BZ25&lt;&gt;"","端数","")</f>
        <v/>
      </c>
      <c r="CB30" s="32"/>
      <c r="CC30" s="34" t="str">
        <f ca="1">IF(BZ25&lt;&gt;"","アレルギー","")</f>
        <v/>
      </c>
      <c r="CD30" s="37"/>
      <c r="CE30" s="22"/>
      <c r="CF30" s="34" t="str">
        <f ca="1">IF(CG25&lt;&gt;"","パン箱","")</f>
        <v/>
      </c>
      <c r="CG30" s="32" t="str">
        <f ca="1">IF(CG25&lt;&gt;"",OFFSET(変更先抽出【15時】!$A$1,CE25-1,35),"")</f>
        <v/>
      </c>
      <c r="CH30" s="34" t="str">
        <f ca="1">IF(CG25&lt;&gt;"","端数","")</f>
        <v/>
      </c>
      <c r="CI30" s="32"/>
      <c r="CJ30" s="34" t="str">
        <f ca="1">IF(CG25&lt;&gt;"","アレルギー","")</f>
        <v/>
      </c>
      <c r="CK30" s="37"/>
      <c r="CL30" s="22"/>
      <c r="CM30" s="30"/>
      <c r="CN30" s="34" t="str">
        <f ca="1">IF(CO25&lt;&gt;"","パン箱","")</f>
        <v/>
      </c>
      <c r="CO30" s="32" t="str">
        <f ca="1">IF(CO25&lt;&gt;"",OFFSET(変更先抽出【15時】!$A$1,CM25-1,35),"")</f>
        <v/>
      </c>
      <c r="CP30" s="34" t="str">
        <f ca="1">IF(CO25&lt;&gt;"","端数","")</f>
        <v/>
      </c>
      <c r="CQ30" s="32"/>
      <c r="CR30" s="34" t="str">
        <f ca="1">IF(CO25&lt;&gt;"","アレルギー","")</f>
        <v/>
      </c>
      <c r="CS30" s="37"/>
      <c r="CT30" s="22"/>
      <c r="CU30" s="34" t="str">
        <f ca="1">IF(CV25&lt;&gt;"","パン箱","")</f>
        <v/>
      </c>
      <c r="CV30" s="32" t="str">
        <f ca="1">IF(CV25&lt;&gt;"",OFFSET(変更先抽出【15時】!$A$1,CT25-1,35),"")</f>
        <v/>
      </c>
      <c r="CW30" s="34" t="str">
        <f ca="1">IF(CV25&lt;&gt;"","端数","")</f>
        <v/>
      </c>
      <c r="CX30" s="32"/>
      <c r="CY30" s="34" t="str">
        <f ca="1">IF(CV25&lt;&gt;"","アレルギー","")</f>
        <v/>
      </c>
      <c r="CZ30" s="37"/>
      <c r="DA30" s="22"/>
      <c r="DB30" s="30"/>
      <c r="DC30" s="34" t="str">
        <f ca="1">IF(DD25&lt;&gt;"","パン箱","")</f>
        <v/>
      </c>
      <c r="DD30" s="32" t="str">
        <f ca="1">IF(DD25&lt;&gt;"",OFFSET(変更先抽出【15時】!$A$1,DB25-1,35),"")</f>
        <v/>
      </c>
      <c r="DE30" s="34" t="str">
        <f ca="1">IF(DD25&lt;&gt;"","端数","")</f>
        <v/>
      </c>
      <c r="DF30" s="32"/>
      <c r="DG30" s="34" t="str">
        <f ca="1">IF(DD25&lt;&gt;"","アレルギー","")</f>
        <v/>
      </c>
      <c r="DH30" s="37"/>
      <c r="DI30" s="22"/>
      <c r="DJ30" s="34" t="str">
        <f ca="1">IF(DK25&lt;&gt;"","パン箱","")</f>
        <v/>
      </c>
      <c r="DK30" s="32" t="str">
        <f ca="1">IF(DK25&lt;&gt;"",OFFSET(変更先抽出【15時】!$A$1,DI25-1,35),"")</f>
        <v/>
      </c>
      <c r="DL30" s="34" t="str">
        <f ca="1">IF(DK25&lt;&gt;"","端数","")</f>
        <v/>
      </c>
      <c r="DM30" s="32"/>
      <c r="DN30" s="34" t="str">
        <f ca="1">IF(DK25&lt;&gt;"","アレルギー","")</f>
        <v/>
      </c>
      <c r="DO30" s="37"/>
      <c r="DP30" s="22"/>
      <c r="DQ30" s="30"/>
      <c r="DR30" s="34" t="str">
        <f ca="1">IF(DS25&lt;&gt;"","パン箱","")</f>
        <v/>
      </c>
      <c r="DS30" s="32" t="str">
        <f ca="1">IF(DS25&lt;&gt;"",OFFSET(変更先抽出【15時】!$A$1,DQ25-1,35),"")</f>
        <v/>
      </c>
      <c r="DT30" s="34" t="str">
        <f ca="1">IF(DS25&lt;&gt;"","端数","")</f>
        <v/>
      </c>
      <c r="DU30" s="32"/>
      <c r="DV30" s="34" t="str">
        <f ca="1">IF(DS25&lt;&gt;"","アレルギー","")</f>
        <v/>
      </c>
      <c r="DW30" s="37"/>
      <c r="DX30" s="22"/>
      <c r="DY30" s="34" t="str">
        <f ca="1">IF(DZ25&lt;&gt;"","パン箱","")</f>
        <v/>
      </c>
      <c r="DZ30" s="32" t="str">
        <f ca="1">IF(DZ25&lt;&gt;"",OFFSET(変更先抽出【15時】!$A$1,DX25-1,35),"")</f>
        <v/>
      </c>
      <c r="EA30" s="34" t="str">
        <f ca="1">IF(DZ25&lt;&gt;"","端数","")</f>
        <v/>
      </c>
      <c r="EB30" s="32"/>
      <c r="EC30" s="34" t="str">
        <f ca="1">IF(DZ25&lt;&gt;"","アレルギー","")</f>
        <v/>
      </c>
      <c r="ED30" s="37"/>
      <c r="EE30" s="22"/>
      <c r="EF30" s="30"/>
      <c r="EG30" s="34" t="str">
        <f ca="1">IF(EH25&lt;&gt;"","パン箱","")</f>
        <v/>
      </c>
      <c r="EH30" s="32" t="str">
        <f ca="1">IF(EH25&lt;&gt;"",OFFSET(変更先抽出【15時】!$A$1,EF25-1,35),"")</f>
        <v/>
      </c>
      <c r="EI30" s="34" t="str">
        <f ca="1">IF(EH25&lt;&gt;"","端数","")</f>
        <v/>
      </c>
      <c r="EJ30" s="32"/>
      <c r="EK30" s="34" t="str">
        <f ca="1">IF(EH25&lt;&gt;"","アレルギー","")</f>
        <v/>
      </c>
      <c r="EL30" s="37"/>
      <c r="EM30" s="22"/>
      <c r="EN30" s="34" t="str">
        <f ca="1">IF(EO25&lt;&gt;"","パン箱","")</f>
        <v/>
      </c>
      <c r="EO30" s="32" t="str">
        <f ca="1">IF(EO25&lt;&gt;"",OFFSET(変更先抽出【15時】!$A$1,EM25-1,35),"")</f>
        <v/>
      </c>
      <c r="EP30" s="34" t="str">
        <f ca="1">IF(EO25&lt;&gt;"","端数","")</f>
        <v/>
      </c>
      <c r="EQ30" s="32"/>
      <c r="ER30" s="34" t="str">
        <f ca="1">IF(EO25&lt;&gt;"","アレルギー","")</f>
        <v/>
      </c>
      <c r="ES30" s="37"/>
      <c r="ET30" s="22"/>
    </row>
    <row r="31" spans="1:150" ht="27.6" customHeight="1">
      <c r="B31" s="216" t="str">
        <f ca="1">IF(C25&lt;&gt;"",IFERROR(INT(C28/C30),""),"")</f>
        <v/>
      </c>
      <c r="C31" s="209"/>
      <c r="D31" s="216" t="str">
        <f ca="1">IF(C25&lt;&gt;"",IFERROR(MOD(C28,C30),""),"")</f>
        <v/>
      </c>
      <c r="E31" s="209"/>
      <c r="F31" s="217" t="str">
        <f ca="1">IF(C25&lt;&gt;"",OFFSET(変更先抽出【15時】!$A$1,A25-1,34),"")</f>
        <v/>
      </c>
      <c r="G31" s="209"/>
      <c r="I31" s="216" t="str">
        <f ca="1">IF(J25&lt;&gt;"",IFERROR(INT(J28/J30),""),"")</f>
        <v/>
      </c>
      <c r="J31" s="209"/>
      <c r="K31" s="216" t="str">
        <f ca="1">IF(J25&lt;&gt;"",IFERROR(MOD(J28,J30),""),"")</f>
        <v/>
      </c>
      <c r="L31" s="209"/>
      <c r="M31" s="217" t="str">
        <f ca="1">IF(J25&lt;&gt;"",OFFSET(変更先抽出【15時】!$A$1,H25-1,34),"")</f>
        <v/>
      </c>
      <c r="N31" s="209"/>
      <c r="Q31" s="216" t="str">
        <f ca="1">IF(R25&lt;&gt;"",IFERROR(INT(R28/R30),""),"")</f>
        <v/>
      </c>
      <c r="R31" s="209"/>
      <c r="S31" s="216" t="str">
        <f ca="1">IF(R25&lt;&gt;"",IFERROR(MOD(R28,R30),""),"")</f>
        <v/>
      </c>
      <c r="T31" s="209"/>
      <c r="U31" s="217" t="str">
        <f ca="1">IF(R25&lt;&gt;"",OFFSET(変更先抽出【15時】!$A$1,P25-1,34),"")</f>
        <v/>
      </c>
      <c r="V31" s="209"/>
      <c r="X31" s="216" t="str">
        <f ca="1">IF(Y25&lt;&gt;"",IFERROR(INT(Y28/Y30),""),"")</f>
        <v/>
      </c>
      <c r="Y31" s="209"/>
      <c r="Z31" s="216" t="str">
        <f ca="1">IF(Y25&lt;&gt;"",IFERROR(MOD(Y28,Y30),""),"")</f>
        <v/>
      </c>
      <c r="AA31" s="209"/>
      <c r="AB31" s="217" t="str">
        <f ca="1">IF(Y25&lt;&gt;"",OFFSET(変更先抽出【15時】!$A$1,W25-1,34),"")</f>
        <v/>
      </c>
      <c r="AC31" s="209"/>
      <c r="AF31" s="216" t="str">
        <f ca="1">IF(AG25&lt;&gt;"",IFERROR(INT(AG28/AG30),""),"")</f>
        <v/>
      </c>
      <c r="AG31" s="209"/>
      <c r="AH31" s="216" t="str">
        <f ca="1">IF(AG25&lt;&gt;"",IFERROR(MOD(AG28,AG30),""),"")</f>
        <v/>
      </c>
      <c r="AI31" s="209"/>
      <c r="AJ31" s="217" t="str">
        <f ca="1">IF(AG25&lt;&gt;"",OFFSET(変更先抽出【15時】!$A$1,AE25-1,34),"")</f>
        <v/>
      </c>
      <c r="AK31" s="209"/>
      <c r="AM31" s="216" t="str">
        <f ca="1">IF(AN25&lt;&gt;"",IFERROR(INT(AN28/AN30),""),"")</f>
        <v/>
      </c>
      <c r="AN31" s="209"/>
      <c r="AO31" s="216" t="str">
        <f ca="1">IF(AN25&lt;&gt;"",IFERROR(MOD(AN28,AN30),""),"")</f>
        <v/>
      </c>
      <c r="AP31" s="209"/>
      <c r="AQ31" s="217" t="str">
        <f ca="1">IF(AN25&lt;&gt;"",OFFSET(変更先抽出【15時】!$A$1,AL25-1,34),"")</f>
        <v/>
      </c>
      <c r="AR31" s="209"/>
      <c r="AU31" s="216" t="str">
        <f ca="1">IF(AV25&lt;&gt;"",IFERROR(INT(AV28/AV30),""),"")</f>
        <v/>
      </c>
      <c r="AV31" s="209"/>
      <c r="AW31" s="216" t="str">
        <f ca="1">IF(AV25&lt;&gt;"",IFERROR(MOD(AV28,AV30),""),"")</f>
        <v/>
      </c>
      <c r="AX31" s="209"/>
      <c r="AY31" s="217" t="str">
        <f ca="1">IF(AV25&lt;&gt;"",OFFSET(変更先抽出【15時】!$A$1,AT25-1,34),"")</f>
        <v/>
      </c>
      <c r="AZ31" s="209"/>
      <c r="BB31" s="216" t="str">
        <f ca="1">IF(BC25&lt;&gt;"",IFERROR(INT(BC28/BC30),""),"")</f>
        <v/>
      </c>
      <c r="BC31" s="209"/>
      <c r="BD31" s="216" t="str">
        <f ca="1">IF(BC25&lt;&gt;"",IFERROR(MOD(BC28,BC30),""),"")</f>
        <v/>
      </c>
      <c r="BE31" s="209"/>
      <c r="BF31" s="217" t="str">
        <f ca="1">IF(BC25&lt;&gt;"",OFFSET(変更先抽出【15時】!$A$1,BA25-1,34),"")</f>
        <v/>
      </c>
      <c r="BG31" s="209"/>
      <c r="BJ31" s="216" t="str">
        <f ca="1">IF(BK25&lt;&gt;"",IFERROR(INT(BK28/BK30),""),"")</f>
        <v/>
      </c>
      <c r="BK31" s="209"/>
      <c r="BL31" s="216" t="str">
        <f ca="1">IF(BK25&lt;&gt;"",IFERROR(MOD(BK28,BK30),""),"")</f>
        <v/>
      </c>
      <c r="BM31" s="209"/>
      <c r="BN31" s="217" t="str">
        <f ca="1">IF(BK25&lt;&gt;"",OFFSET(変更先抽出【15時】!$A$1,BI25-1,34),"")</f>
        <v/>
      </c>
      <c r="BO31" s="209"/>
      <c r="BQ31" s="216" t="str">
        <f ca="1">IF(BR25&lt;&gt;"",IFERROR(INT(BR28/BR30),""),"")</f>
        <v/>
      </c>
      <c r="BR31" s="209"/>
      <c r="BS31" s="216" t="str">
        <f ca="1">IF(BR25&lt;&gt;"",IFERROR(MOD(BR28,BR30),""),"")</f>
        <v/>
      </c>
      <c r="BT31" s="209"/>
      <c r="BU31" s="217" t="str">
        <f ca="1">IF(BR25&lt;&gt;"",OFFSET(変更先抽出【15時】!$A$1,BP25-1,34),"")</f>
        <v/>
      </c>
      <c r="BV31" s="209"/>
      <c r="BY31" s="216" t="str">
        <f ca="1">IF(BZ25&lt;&gt;"",IFERROR(INT(BZ28/BZ30),""),"")</f>
        <v/>
      </c>
      <c r="BZ31" s="209"/>
      <c r="CA31" s="216" t="str">
        <f ca="1">IF(BZ25&lt;&gt;"",IFERROR(MOD(BZ28,BZ30),""),"")</f>
        <v/>
      </c>
      <c r="CB31" s="209"/>
      <c r="CC31" s="217" t="str">
        <f ca="1">IF(BZ25&lt;&gt;"",OFFSET(変更先抽出【15時】!$A$1,BX25-1,34),"")</f>
        <v/>
      </c>
      <c r="CD31" s="209"/>
      <c r="CF31" s="216" t="str">
        <f ca="1">IF(CG25&lt;&gt;"",IFERROR(INT(CG28/CG30),""),"")</f>
        <v/>
      </c>
      <c r="CG31" s="209"/>
      <c r="CH31" s="216" t="str">
        <f ca="1">IF(CG25&lt;&gt;"",IFERROR(MOD(CG28,CG30),""),"")</f>
        <v/>
      </c>
      <c r="CI31" s="209"/>
      <c r="CJ31" s="217" t="str">
        <f ca="1">IF(CG25&lt;&gt;"",OFFSET(変更先抽出【15時】!$A$1,CE25-1,34),"")</f>
        <v/>
      </c>
      <c r="CK31" s="209"/>
      <c r="CN31" s="216" t="str">
        <f ca="1">IF(CO25&lt;&gt;"",IFERROR(INT(CO28/CO30),""),"")</f>
        <v/>
      </c>
      <c r="CO31" s="209"/>
      <c r="CP31" s="216" t="str">
        <f ca="1">IF(CO25&lt;&gt;"",IFERROR(MOD(CO28,CO30),""),"")</f>
        <v/>
      </c>
      <c r="CQ31" s="209"/>
      <c r="CR31" s="217" t="str">
        <f ca="1">IF(CO25&lt;&gt;"",OFFSET(変更先抽出【15時】!$A$1,CM25-1,34),"")</f>
        <v/>
      </c>
      <c r="CS31" s="209"/>
      <c r="CU31" s="216" t="str">
        <f ca="1">IF(CV25&lt;&gt;"",IFERROR(INT(CV28/CV30),""),"")</f>
        <v/>
      </c>
      <c r="CV31" s="209"/>
      <c r="CW31" s="216" t="str">
        <f ca="1">IF(CV25&lt;&gt;"",IFERROR(MOD(CV28,CV30),""),"")</f>
        <v/>
      </c>
      <c r="CX31" s="209"/>
      <c r="CY31" s="217" t="str">
        <f ca="1">IF(CV25&lt;&gt;"",OFFSET(変更先抽出【15時】!$A$1,CT25-1,34),"")</f>
        <v/>
      </c>
      <c r="CZ31" s="209"/>
      <c r="DC31" s="216" t="str">
        <f ca="1">IF(DD25&lt;&gt;"",IFERROR(INT(DD28/DD30),""),"")</f>
        <v/>
      </c>
      <c r="DD31" s="209"/>
      <c r="DE31" s="216" t="str">
        <f ca="1">IF(DD25&lt;&gt;"",IFERROR(MOD(DD28,DD30),""),"")</f>
        <v/>
      </c>
      <c r="DF31" s="209"/>
      <c r="DG31" s="217" t="str">
        <f ca="1">IF(DD25&lt;&gt;"",OFFSET(変更先抽出【15時】!$A$1,DB25-1,34),"")</f>
        <v/>
      </c>
      <c r="DH31" s="209"/>
      <c r="DJ31" s="216" t="str">
        <f ca="1">IF(DK25&lt;&gt;"",IFERROR(INT(DK28/DK30),""),"")</f>
        <v/>
      </c>
      <c r="DK31" s="209"/>
      <c r="DL31" s="216" t="str">
        <f ca="1">IF(DK25&lt;&gt;"",IFERROR(MOD(DK28,DK30),""),"")</f>
        <v/>
      </c>
      <c r="DM31" s="209"/>
      <c r="DN31" s="217" t="str">
        <f ca="1">IF(DK25&lt;&gt;"",OFFSET(変更先抽出【15時】!$A$1,DI25-1,34),"")</f>
        <v/>
      </c>
      <c r="DO31" s="209"/>
      <c r="DR31" s="216" t="str">
        <f ca="1">IF(DS25&lt;&gt;"",IFERROR(INT(DS28/DS30),""),"")</f>
        <v/>
      </c>
      <c r="DS31" s="209"/>
      <c r="DT31" s="216" t="str">
        <f ca="1">IF(DS25&lt;&gt;"",IFERROR(MOD(DS28,DS30),""),"")</f>
        <v/>
      </c>
      <c r="DU31" s="209"/>
      <c r="DV31" s="217" t="str">
        <f ca="1">IF(DS25&lt;&gt;"",OFFSET(変更先抽出【15時】!$A$1,DQ25-1,34),"")</f>
        <v/>
      </c>
      <c r="DW31" s="209"/>
      <c r="DY31" s="216" t="str">
        <f ca="1">IF(DZ25&lt;&gt;"",IFERROR(INT(DZ28/DZ30),""),"")</f>
        <v/>
      </c>
      <c r="DZ31" s="209"/>
      <c r="EA31" s="216" t="str">
        <f ca="1">IF(DZ25&lt;&gt;"",IFERROR(MOD(DZ28,DZ30),""),"")</f>
        <v/>
      </c>
      <c r="EB31" s="209"/>
      <c r="EC31" s="217" t="str">
        <f ca="1">IF(DZ25&lt;&gt;"",OFFSET(変更先抽出【15時】!$A$1,DX25-1,34),"")</f>
        <v/>
      </c>
      <c r="ED31" s="209"/>
      <c r="EG31" s="216" t="str">
        <f ca="1">IF(EH25&lt;&gt;"",IFERROR(INT(EH28/EH30),""),"")</f>
        <v/>
      </c>
      <c r="EH31" s="209"/>
      <c r="EI31" s="216" t="str">
        <f ca="1">IF(EH25&lt;&gt;"",IFERROR(MOD(EH28,EH30),""),"")</f>
        <v/>
      </c>
      <c r="EJ31" s="209"/>
      <c r="EK31" s="217" t="str">
        <f ca="1">IF(EH25&lt;&gt;"",OFFSET(変更先抽出【15時】!$A$1,EF25-1,34),"")</f>
        <v/>
      </c>
      <c r="EL31" s="209"/>
      <c r="EN31" s="216" t="str">
        <f ca="1">IF(EO25&lt;&gt;"",IFERROR(INT(EO28/EO30),""),"")</f>
        <v/>
      </c>
      <c r="EO31" s="209"/>
      <c r="EP31" s="216" t="str">
        <f ca="1">IF(EO25&lt;&gt;"",IFERROR(MOD(EO28,EO30),""),"")</f>
        <v/>
      </c>
      <c r="EQ31" s="209"/>
      <c r="ER31" s="217" t="str">
        <f ca="1">IF(EO25&lt;&gt;"",OFFSET(変更先抽出【15時】!$A$1,EM25-1,34),"")</f>
        <v/>
      </c>
      <c r="ES31" s="209"/>
    </row>
    <row r="32" spans="1:150" ht="6.6" customHeight="1">
      <c r="B32" s="41"/>
      <c r="D32" s="41"/>
      <c r="F32" s="42"/>
      <c r="I32" s="41"/>
      <c r="K32" s="41"/>
      <c r="M32" s="42"/>
      <c r="Q32" s="41"/>
      <c r="S32" s="41"/>
      <c r="U32" s="42"/>
      <c r="X32" s="41"/>
      <c r="Z32" s="41"/>
      <c r="AB32" s="42"/>
      <c r="AF32" s="41"/>
      <c r="AH32" s="41"/>
      <c r="AJ32" s="42"/>
      <c r="AM32" s="41"/>
      <c r="AO32" s="41"/>
      <c r="AQ32" s="42"/>
      <c r="AU32" s="41"/>
      <c r="AW32" s="41"/>
      <c r="AY32" s="42"/>
      <c r="BB32" s="41"/>
      <c r="BD32" s="41"/>
      <c r="BF32" s="42"/>
      <c r="BJ32" s="41"/>
      <c r="BL32" s="41"/>
      <c r="BN32" s="42"/>
      <c r="BQ32" s="41"/>
      <c r="BS32" s="41"/>
      <c r="BU32" s="42"/>
      <c r="BY32" s="41"/>
      <c r="CA32" s="41"/>
      <c r="CC32" s="42"/>
      <c r="CF32" s="41"/>
      <c r="CH32" s="41"/>
      <c r="CJ32" s="42"/>
      <c r="CN32" s="41"/>
      <c r="CP32" s="41"/>
      <c r="CR32" s="42"/>
      <c r="CU32" s="41"/>
      <c r="CW32" s="41"/>
      <c r="CY32" s="42"/>
      <c r="DC32" s="41"/>
      <c r="DE32" s="41"/>
      <c r="DG32" s="42"/>
      <c r="DJ32" s="41"/>
      <c r="DL32" s="41"/>
      <c r="DN32" s="42"/>
      <c r="DR32" s="41"/>
      <c r="DT32" s="41"/>
      <c r="DV32" s="42"/>
      <c r="DY32" s="41"/>
      <c r="EA32" s="41"/>
      <c r="EC32" s="42"/>
      <c r="EG32" s="41"/>
      <c r="EI32" s="41"/>
      <c r="EK32" s="42"/>
      <c r="EN32" s="41"/>
      <c r="EP32" s="41"/>
      <c r="ER32" s="42"/>
    </row>
    <row r="33" spans="1:150" s="181" customFormat="1" ht="25.8" customHeight="1">
      <c r="A33" s="30">
        <f ca="1">IF(OFFSET(変更先抽出【15時】!$A$1,H25+1-1,29)="",H25+2,H25+1)</f>
        <v>17</v>
      </c>
      <c r="B33" s="40" t="str">
        <f ca="1">IF(C33&lt;&gt;"",
MID(貼り付け用!$A$2, FIND("年",貼り付け用!$A$2)+1,2)&amp;"/"&amp;MID(貼り付け用!$A$2, FIND("月",貼り付け用!$A$2)+1,2),"")</f>
        <v/>
      </c>
      <c r="C33" s="214" t="str">
        <f ca="1">IF(OFFSET(変更先抽出【15時】!$A$1,A33-1,29)&lt;&gt;"",OFFSET(変更先抽出【15時】!$A$1,A33-1,30),"")</f>
        <v/>
      </c>
      <c r="D33" s="215"/>
      <c r="E33" s="215"/>
      <c r="F33" s="215"/>
      <c r="G33" s="39" t="str">
        <f ca="1">IF(C33&lt;&gt;"","様","")</f>
        <v/>
      </c>
      <c r="H33" s="33">
        <f ca="1">IF(OFFSET(変更先抽出【15時】!$A$1,A33+1-1,29)="",A33+2,A33+1)</f>
        <v>19</v>
      </c>
      <c r="I33" s="40" t="str">
        <f ca="1">IF(J33&lt;&gt;"",
MID(貼り付け用!$A$2, FIND("年",貼り付け用!$A$2)+1,2)&amp;"/"&amp;MID(貼り付け用!$A$2, FIND("月",貼り付け用!$A$2)+1,2),"")</f>
        <v/>
      </c>
      <c r="J33" s="214" t="str">
        <f ca="1">IF(OFFSET(変更先抽出【15時】!$A$1,H33-1,29)&lt;&gt;"",OFFSET(変更先抽出【15時】!$A$1,H33-1,30),"")</f>
        <v/>
      </c>
      <c r="K33" s="215"/>
      <c r="L33" s="215"/>
      <c r="M33" s="215"/>
      <c r="N33" s="39" t="str">
        <f ca="1">IF(J33&lt;&gt;"","様","")</f>
        <v/>
      </c>
      <c r="O33" s="22"/>
      <c r="P33" s="30">
        <f ca="1">IF(OFFSET(変更先抽出【15時】!$A$1,W25+1-1,29)="",W25+2,W25+1)</f>
        <v>41</v>
      </c>
      <c r="Q33" s="40" t="str">
        <f ca="1">IF(R33&lt;&gt;"",
MID(貼り付け用!$A$2, FIND("年",貼り付け用!$A$2)+1,2)&amp;"/"&amp;MID(貼り付け用!$A$2, FIND("月",貼り付け用!$A$2)+1,2),"")</f>
        <v/>
      </c>
      <c r="R33" s="214" t="str">
        <f ca="1">IF(OFFSET(変更先抽出【15時】!$A$1,P33-1,29)&lt;&gt;"",OFFSET(変更先抽出【15時】!$A$1,P33-1,30),"")</f>
        <v/>
      </c>
      <c r="S33" s="215"/>
      <c r="T33" s="215"/>
      <c r="U33" s="215"/>
      <c r="V33" s="39" t="str">
        <f ca="1">IF(R33&lt;&gt;"","様","")</f>
        <v/>
      </c>
      <c r="W33" s="33">
        <f ca="1">IF(OFFSET(変更先抽出【15時】!$A$1,P33+1-1,29)="",P33+2,P33+1)</f>
        <v>43</v>
      </c>
      <c r="X33" s="40" t="str">
        <f ca="1">IF(Y33&lt;&gt;"",
MID(貼り付け用!$A$2, FIND("年",貼り付け用!$A$2)+1,2)&amp;"/"&amp;MID(貼り付け用!$A$2, FIND("月",貼り付け用!$A$2)+1,2),"")</f>
        <v/>
      </c>
      <c r="Y33" s="214" t="str">
        <f ca="1">IF(OFFSET(変更先抽出【15時】!$A$1,W33-1,29)&lt;&gt;"",OFFSET(変更先抽出【15時】!$A$1,W33-1,30),"")</f>
        <v/>
      </c>
      <c r="Z33" s="215"/>
      <c r="AA33" s="215"/>
      <c r="AB33" s="215"/>
      <c r="AC33" s="39" t="str">
        <f ca="1">IF(Y33&lt;&gt;"","様","")</f>
        <v/>
      </c>
      <c r="AD33" s="22"/>
      <c r="AE33" s="30">
        <f ca="1">IF(OFFSET(変更先抽出【15時】!$A$1,AL25+1-1,29)="",AL25+2,AL25+1)</f>
        <v>65</v>
      </c>
      <c r="AF33" s="40" t="str">
        <f ca="1">IF(AG33&lt;&gt;"",
MID(貼り付け用!$A$2, FIND("年",貼り付け用!$A$2)+1,2)&amp;"/"&amp;MID(貼り付け用!$A$2, FIND("月",貼り付け用!$A$2)+1,2),"")</f>
        <v/>
      </c>
      <c r="AG33" s="214" t="str">
        <f ca="1">IF(OFFSET(変更先抽出【15時】!$A$1,AE33-1,29)&lt;&gt;"",OFFSET(変更先抽出【15時】!$A$1,AE33-1,30),"")</f>
        <v/>
      </c>
      <c r="AH33" s="215"/>
      <c r="AI33" s="215"/>
      <c r="AJ33" s="215"/>
      <c r="AK33" s="39" t="str">
        <f ca="1">IF(AG33&lt;&gt;"","様","")</f>
        <v/>
      </c>
      <c r="AL33" s="33">
        <f ca="1">IF(OFFSET(変更先抽出【15時】!$A$1,AE33+1-1,29)="",AE33+2,AE33+1)</f>
        <v>67</v>
      </c>
      <c r="AM33" s="40" t="str">
        <f ca="1">IF(AN33&lt;&gt;"",
MID(貼り付け用!$A$2, FIND("年",貼り付け用!$A$2)+1,2)&amp;"/"&amp;MID(貼り付け用!$A$2, FIND("月",貼り付け用!$A$2)+1,2),"")</f>
        <v/>
      </c>
      <c r="AN33" s="214" t="str">
        <f ca="1">IF(OFFSET(変更先抽出【15時】!$A$1,AL33-1,29)&lt;&gt;"",OFFSET(変更先抽出【15時】!$A$1,AL33-1,30),"")</f>
        <v/>
      </c>
      <c r="AO33" s="215"/>
      <c r="AP33" s="215"/>
      <c r="AQ33" s="215"/>
      <c r="AR33" s="39" t="str">
        <f ca="1">IF(AN33&lt;&gt;"","様","")</f>
        <v/>
      </c>
      <c r="AS33" s="22"/>
      <c r="AT33" s="30">
        <f ca="1">IF(OFFSET(変更先抽出【15時】!$A$1,BA25+1-1,29)="",BA25+2,BA25+1)</f>
        <v>89</v>
      </c>
      <c r="AU33" s="40" t="str">
        <f ca="1">IF(AV33&lt;&gt;"",
MID(貼り付け用!$A$2, FIND("年",貼り付け用!$A$2)+1,2)&amp;"/"&amp;MID(貼り付け用!$A$2, FIND("月",貼り付け用!$A$2)+1,2),"")</f>
        <v/>
      </c>
      <c r="AV33" s="214" t="str">
        <f ca="1">IF(OFFSET(変更先抽出【15時】!$A$1,AT33-1,29)&lt;&gt;"",OFFSET(変更先抽出【15時】!$A$1,AT33-1,30),"")</f>
        <v/>
      </c>
      <c r="AW33" s="215"/>
      <c r="AX33" s="215"/>
      <c r="AY33" s="215"/>
      <c r="AZ33" s="39" t="str">
        <f ca="1">IF(AV33&lt;&gt;"","様","")</f>
        <v/>
      </c>
      <c r="BA33" s="33">
        <f ca="1">IF(OFFSET(変更先抽出【15時】!$A$1,AT33+1-1,29)="",AT33+2,AT33+1)</f>
        <v>91</v>
      </c>
      <c r="BB33" s="40" t="str">
        <f ca="1">IF(BC33&lt;&gt;"",
MID(貼り付け用!$A$2, FIND("年",貼り付け用!$A$2)+1,2)&amp;"/"&amp;MID(貼り付け用!$A$2, FIND("月",貼り付け用!$A$2)+1,2),"")</f>
        <v/>
      </c>
      <c r="BC33" s="214" t="str">
        <f ca="1">IF(OFFSET(変更先抽出【15時】!$A$1,BA33-1,29)&lt;&gt;"",OFFSET(変更先抽出【15時】!$A$1,BA33-1,30),"")</f>
        <v/>
      </c>
      <c r="BD33" s="215"/>
      <c r="BE33" s="215"/>
      <c r="BF33" s="215"/>
      <c r="BG33" s="39" t="str">
        <f ca="1">IF(BC33&lt;&gt;"","様","")</f>
        <v/>
      </c>
      <c r="BH33" s="22"/>
      <c r="BI33" s="30">
        <f ca="1">IF(OFFSET(変更先抽出【15時】!$A$1,BP25+1-1,29)="",BP25+2,BP25+1)</f>
        <v>113</v>
      </c>
      <c r="BJ33" s="40" t="str">
        <f ca="1">IF(BK33&lt;&gt;"",
MID(貼り付け用!$A$2, FIND("年",貼り付け用!$A$2)+1,2)&amp;"/"&amp;MID(貼り付け用!$A$2, FIND("月",貼り付け用!$A$2)+1,2),"")</f>
        <v/>
      </c>
      <c r="BK33" s="214" t="str">
        <f ca="1">IF(OFFSET(変更先抽出【15時】!$A$1,BI33-1,29)&lt;&gt;"",OFFSET(変更先抽出【15時】!$A$1,BI33-1,30),"")</f>
        <v/>
      </c>
      <c r="BL33" s="215"/>
      <c r="BM33" s="215"/>
      <c r="BN33" s="215"/>
      <c r="BO33" s="39" t="str">
        <f ca="1">IF(BK33&lt;&gt;"","様","")</f>
        <v/>
      </c>
      <c r="BP33" s="33">
        <f ca="1">IF(OFFSET(変更先抽出【15時】!$A$1,BI33+1-1,29)="",BI33+2,BI33+1)</f>
        <v>115</v>
      </c>
      <c r="BQ33" s="40" t="str">
        <f ca="1">IF(BR33&lt;&gt;"",
MID(貼り付け用!$A$2, FIND("年",貼り付け用!$A$2)+1,2)&amp;"/"&amp;MID(貼り付け用!$A$2, FIND("月",貼り付け用!$A$2)+1,2),"")</f>
        <v/>
      </c>
      <c r="BR33" s="214" t="str">
        <f ca="1">IF(OFFSET(変更先抽出【15時】!$A$1,BP33-1,29)&lt;&gt;"",OFFSET(変更先抽出【15時】!$A$1,BP33-1,30),"")</f>
        <v/>
      </c>
      <c r="BS33" s="215"/>
      <c r="BT33" s="215"/>
      <c r="BU33" s="215"/>
      <c r="BV33" s="39" t="str">
        <f ca="1">IF(BR33&lt;&gt;"","様","")</f>
        <v/>
      </c>
      <c r="BW33" s="22"/>
      <c r="BX33" s="30">
        <f ca="1">IF(OFFSET(変更先抽出【15時】!$A$1,CE25+1-1,29)="",CE25+2,CE25+1)</f>
        <v>137</v>
      </c>
      <c r="BY33" s="40" t="str">
        <f ca="1">IF(BZ33&lt;&gt;"",
MID(貼り付け用!$A$2, FIND("年",貼り付け用!$A$2)+1,2)&amp;"/"&amp;MID(貼り付け用!$A$2, FIND("月",貼り付け用!$A$2)+1,2),"")</f>
        <v/>
      </c>
      <c r="BZ33" s="214" t="str">
        <f ca="1">IF(OFFSET(変更先抽出【15時】!$A$1,BX33-1,29)&lt;&gt;"",OFFSET(変更先抽出【15時】!$A$1,BX33-1,30),"")</f>
        <v/>
      </c>
      <c r="CA33" s="215"/>
      <c r="CB33" s="215"/>
      <c r="CC33" s="215"/>
      <c r="CD33" s="39" t="str">
        <f ca="1">IF(BZ33&lt;&gt;"","様","")</f>
        <v/>
      </c>
      <c r="CE33" s="33">
        <f ca="1">IF(OFFSET(変更先抽出【15時】!$A$1,BX33+1-1,29)="",BX33+2,BX33+1)</f>
        <v>139</v>
      </c>
      <c r="CF33" s="40" t="str">
        <f ca="1">IF(CG33&lt;&gt;"",
MID(貼り付け用!$A$2, FIND("年",貼り付け用!$A$2)+1,2)&amp;"/"&amp;MID(貼り付け用!$A$2, FIND("月",貼り付け用!$A$2)+1,2),"")</f>
        <v/>
      </c>
      <c r="CG33" s="214" t="str">
        <f ca="1">IF(OFFSET(変更先抽出【15時】!$A$1,CE33-1,29)&lt;&gt;"",OFFSET(変更先抽出【15時】!$A$1,CE33-1,30),"")</f>
        <v/>
      </c>
      <c r="CH33" s="215"/>
      <c r="CI33" s="215"/>
      <c r="CJ33" s="215"/>
      <c r="CK33" s="39" t="str">
        <f ca="1">IF(CG33&lt;&gt;"","様","")</f>
        <v/>
      </c>
      <c r="CL33" s="22"/>
      <c r="CM33" s="30">
        <f ca="1">IF(OFFSET(変更先抽出【15時】!$A$1,CT25+1-1,29)="",CT25+2,CT25+1)</f>
        <v>161</v>
      </c>
      <c r="CN33" s="40" t="str">
        <f ca="1">IF(CO33&lt;&gt;"",
MID(貼り付け用!$A$2, FIND("年",貼り付け用!$A$2)+1,2)&amp;"/"&amp;MID(貼り付け用!$A$2, FIND("月",貼り付け用!$A$2)+1,2),"")</f>
        <v/>
      </c>
      <c r="CO33" s="214" t="str">
        <f ca="1">IF(OFFSET(変更先抽出【15時】!$A$1,CM33-1,29)&lt;&gt;"",OFFSET(変更先抽出【15時】!$A$1,CM33-1,30),"")</f>
        <v/>
      </c>
      <c r="CP33" s="215"/>
      <c r="CQ33" s="215"/>
      <c r="CR33" s="215"/>
      <c r="CS33" s="39" t="str">
        <f ca="1">IF(CO33&lt;&gt;"","様","")</f>
        <v/>
      </c>
      <c r="CT33" s="33">
        <f ca="1">IF(OFFSET(変更先抽出【15時】!$A$1,CM33+1-1,29)="",CM33+2,CM33+1)</f>
        <v>163</v>
      </c>
      <c r="CU33" s="40" t="str">
        <f ca="1">IF(CV33&lt;&gt;"",
MID(貼り付け用!$A$2, FIND("年",貼り付け用!$A$2)+1,2)&amp;"/"&amp;MID(貼り付け用!$A$2, FIND("月",貼り付け用!$A$2)+1,2),"")</f>
        <v/>
      </c>
      <c r="CV33" s="214" t="str">
        <f ca="1">IF(OFFSET(変更先抽出【15時】!$A$1,CT33-1,29)&lt;&gt;"",OFFSET(変更先抽出【15時】!$A$1,CT33-1,30),"")</f>
        <v/>
      </c>
      <c r="CW33" s="215"/>
      <c r="CX33" s="215"/>
      <c r="CY33" s="215"/>
      <c r="CZ33" s="39" t="str">
        <f ca="1">IF(CV33&lt;&gt;"","様","")</f>
        <v/>
      </c>
      <c r="DA33" s="22"/>
      <c r="DB33" s="30">
        <f ca="1">IF(OFFSET(変更先抽出【15時】!$A$1,DI25+1-1,29)="",DI25+2,DI25+1)</f>
        <v>185</v>
      </c>
      <c r="DC33" s="40" t="str">
        <f ca="1">IF(DD33&lt;&gt;"",
MID(貼り付け用!$A$2, FIND("年",貼り付け用!$A$2)+1,2)&amp;"/"&amp;MID(貼り付け用!$A$2, FIND("月",貼り付け用!$A$2)+1,2),"")</f>
        <v/>
      </c>
      <c r="DD33" s="214" t="str">
        <f ca="1">IF(OFFSET(変更先抽出【15時】!$A$1,DB33-1,29)&lt;&gt;"",OFFSET(変更先抽出【15時】!$A$1,DB33-1,30),"")</f>
        <v/>
      </c>
      <c r="DE33" s="215"/>
      <c r="DF33" s="215"/>
      <c r="DG33" s="215"/>
      <c r="DH33" s="39" t="str">
        <f ca="1">IF(DD33&lt;&gt;"","様","")</f>
        <v/>
      </c>
      <c r="DI33" s="33">
        <f ca="1">IF(OFFSET(変更先抽出【15時】!$A$1,DB33+1-1,29)="",DB33+2,DB33+1)</f>
        <v>187</v>
      </c>
      <c r="DJ33" s="40" t="str">
        <f ca="1">IF(DK33&lt;&gt;"",
MID(貼り付け用!$A$2, FIND("年",貼り付け用!$A$2)+1,2)&amp;"/"&amp;MID(貼り付け用!$A$2, FIND("月",貼り付け用!$A$2)+1,2),"")</f>
        <v/>
      </c>
      <c r="DK33" s="214" t="str">
        <f ca="1">IF(OFFSET(変更先抽出【15時】!$A$1,DI33-1,29)&lt;&gt;"",OFFSET(変更先抽出【15時】!$A$1,DI33-1,30),"")</f>
        <v/>
      </c>
      <c r="DL33" s="215"/>
      <c r="DM33" s="215"/>
      <c r="DN33" s="215"/>
      <c r="DO33" s="39" t="str">
        <f ca="1">IF(DK33&lt;&gt;"","様","")</f>
        <v/>
      </c>
      <c r="DP33" s="22"/>
      <c r="DQ33" s="30">
        <f ca="1">IF(OFFSET(変更先抽出【15時】!$A$1,DX25+1-1,29)="",DX25+2,DX25+1)</f>
        <v>209</v>
      </c>
      <c r="DR33" s="40" t="str">
        <f ca="1">IF(DS33&lt;&gt;"",
MID(貼り付け用!$A$2, FIND("年",貼り付け用!$A$2)+1,2)&amp;"/"&amp;MID(貼り付け用!$A$2, FIND("月",貼り付け用!$A$2)+1,2),"")</f>
        <v/>
      </c>
      <c r="DS33" s="214" t="str">
        <f ca="1">IF(OFFSET(変更先抽出【15時】!$A$1,DQ33-1,29)&lt;&gt;"",OFFSET(変更先抽出【15時】!$A$1,DQ33-1,30),"")</f>
        <v/>
      </c>
      <c r="DT33" s="215"/>
      <c r="DU33" s="215"/>
      <c r="DV33" s="215"/>
      <c r="DW33" s="39" t="str">
        <f ca="1">IF(DS33&lt;&gt;"","様","")</f>
        <v/>
      </c>
      <c r="DX33" s="33">
        <f ca="1">IF(OFFSET(変更先抽出【15時】!$A$1,DQ33+1-1,29)="",DQ33+2,DQ33+1)</f>
        <v>211</v>
      </c>
      <c r="DY33" s="40" t="str">
        <f ca="1">IF(DZ33&lt;&gt;"",
MID(貼り付け用!$A$2, FIND("年",貼り付け用!$A$2)+1,2)&amp;"/"&amp;MID(貼り付け用!$A$2, FIND("月",貼り付け用!$A$2)+1,2),"")</f>
        <v/>
      </c>
      <c r="DZ33" s="214" t="str">
        <f ca="1">IF(OFFSET(変更先抽出【15時】!$A$1,DX33-1,29)&lt;&gt;"",OFFSET(変更先抽出【15時】!$A$1,DX33-1,30),"")</f>
        <v/>
      </c>
      <c r="EA33" s="215"/>
      <c r="EB33" s="215"/>
      <c r="EC33" s="215"/>
      <c r="ED33" s="39" t="str">
        <f ca="1">IF(DZ33&lt;&gt;"","様","")</f>
        <v/>
      </c>
      <c r="EE33" s="22"/>
      <c r="EF33" s="30">
        <f ca="1">IF(OFFSET(変更先抽出【15時】!$A$1,EM25+1-1,29)="",EM25+2,EM25+1)</f>
        <v>233</v>
      </c>
      <c r="EG33" s="40" t="str">
        <f ca="1">IF(EH33&lt;&gt;"",
MID(貼り付け用!$A$2, FIND("年",貼り付け用!$A$2)+1,2)&amp;"/"&amp;MID(貼り付け用!$A$2, FIND("月",貼り付け用!$A$2)+1,2),"")</f>
        <v/>
      </c>
      <c r="EH33" s="214" t="str">
        <f ca="1">IF(OFFSET(変更先抽出【15時】!$A$1,EF33-1,29)&lt;&gt;"",OFFSET(変更先抽出【15時】!$A$1,EF33-1,30),"")</f>
        <v/>
      </c>
      <c r="EI33" s="215"/>
      <c r="EJ33" s="215"/>
      <c r="EK33" s="215"/>
      <c r="EL33" s="39" t="str">
        <f ca="1">IF(EH33&lt;&gt;"","様","")</f>
        <v/>
      </c>
      <c r="EM33" s="33">
        <f ca="1">IF(OFFSET(変更先抽出【15時】!$A$1,EF33+1-1,29)="",EF33+2,EF33+1)</f>
        <v>235</v>
      </c>
      <c r="EN33" s="40" t="str">
        <f ca="1">IF(EO33&lt;&gt;"",
MID(貼り付け用!$A$2, FIND("年",貼り付け用!$A$2)+1,2)&amp;"/"&amp;MID(貼り付け用!$A$2, FIND("月",貼り付け用!$A$2)+1,2),"")</f>
        <v/>
      </c>
      <c r="EO33" s="214" t="str">
        <f ca="1">IF(OFFSET(変更先抽出【15時】!$A$1,EM33-1,29)&lt;&gt;"",OFFSET(変更先抽出【15時】!$A$1,EM33-1,30),"")</f>
        <v/>
      </c>
      <c r="EP33" s="215"/>
      <c r="EQ33" s="215"/>
      <c r="ER33" s="215"/>
      <c r="ES33" s="39" t="str">
        <f ca="1">IF(EO33&lt;&gt;"","様","")</f>
        <v/>
      </c>
      <c r="ET33" s="22"/>
    </row>
    <row r="34" spans="1:150" s="181" customFormat="1">
      <c r="A34" s="30"/>
      <c r="B34" s="102"/>
      <c r="C34" s="136" t="str">
        <f ca="1">IF(C33&lt;&gt;"",OFFSET(変更先抽出【15時】!$A$1,A33-1,31),"")</f>
        <v/>
      </c>
      <c r="D34" s="38"/>
      <c r="E34" s="38"/>
      <c r="F34" s="190" t="str">
        <f ca="1">IF(OFFSET(変更先抽出【15時】!$A$1,A33-1,29)&lt;&gt;"",OFFSET(変更先抽出【15時】!$A$1,A33-1,37)&amp;"箱"&amp;OFFSET(変更先抽出【15時】!$A$1,A33-1,38),"")</f>
        <v/>
      </c>
      <c r="G34" s="36"/>
      <c r="H34" s="43"/>
      <c r="I34" s="102"/>
      <c r="J34" s="136" t="str">
        <f ca="1">IF(J33&lt;&gt;"",OFFSET(変更先抽出【15時】!$A$1,H33-1,31),"")</f>
        <v/>
      </c>
      <c r="K34" s="38"/>
      <c r="L34" s="38"/>
      <c r="M34" s="190" t="str">
        <f ca="1">IF(OFFSET(変更先抽出【15時】!$A$1,H33-1,29)&lt;&gt;"",OFFSET(変更先抽出【15時】!$A$1,H33-1,37)&amp;"箱"&amp;OFFSET(変更先抽出【15時】!$A$1,H33-1,38),"")</f>
        <v/>
      </c>
      <c r="N34" s="36"/>
      <c r="O34" s="22"/>
      <c r="P34" s="30"/>
      <c r="Q34" s="102"/>
      <c r="R34" s="136" t="str">
        <f ca="1">IF(R33&lt;&gt;"",OFFSET(変更先抽出【15時】!$A$1,P33-1,31),"")</f>
        <v/>
      </c>
      <c r="S34" s="38"/>
      <c r="T34" s="38"/>
      <c r="U34" s="190" t="str">
        <f ca="1">IF(OFFSET(変更先抽出【15時】!$A$1,P33-1,29)&lt;&gt;"",OFFSET(変更先抽出【15時】!$A$1,P33-1,37)&amp;"箱"&amp;OFFSET(変更先抽出【15時】!$A$1,P33-1,38),"")</f>
        <v/>
      </c>
      <c r="V34" s="36"/>
      <c r="W34" s="43"/>
      <c r="X34" s="102"/>
      <c r="Y34" s="136" t="str">
        <f ca="1">IF(Y33&lt;&gt;"",OFFSET(変更先抽出【15時】!$A$1,W33-1,31),"")</f>
        <v/>
      </c>
      <c r="Z34" s="38"/>
      <c r="AA34" s="38"/>
      <c r="AB34" s="190" t="str">
        <f ca="1">IF(OFFSET(変更先抽出【15時】!$A$1,W33-1,29)&lt;&gt;"",OFFSET(変更先抽出【15時】!$A$1,W33-1,37)&amp;"箱"&amp;OFFSET(変更先抽出【15時】!$A$1,W33-1,38),"")</f>
        <v/>
      </c>
      <c r="AC34" s="36"/>
      <c r="AD34" s="22"/>
      <c r="AE34" s="30"/>
      <c r="AF34" s="102"/>
      <c r="AG34" s="136" t="str">
        <f ca="1">IF(AG33&lt;&gt;"",OFFSET(変更先抽出【15時】!$A$1,AE33-1,31),"")</f>
        <v/>
      </c>
      <c r="AH34" s="38"/>
      <c r="AI34" s="38"/>
      <c r="AJ34" s="190" t="str">
        <f ca="1">IF(OFFSET(変更先抽出【15時】!$A$1,AE33-1,29)&lt;&gt;"",OFFSET(変更先抽出【15時】!$A$1,AE33-1,37)&amp;"箱"&amp;OFFSET(変更先抽出【15時】!$A$1,AE33-1,38),"")</f>
        <v/>
      </c>
      <c r="AK34" s="36"/>
      <c r="AL34" s="43"/>
      <c r="AM34" s="102"/>
      <c r="AN34" s="136" t="str">
        <f ca="1">IF(AN33&lt;&gt;"",OFFSET(変更先抽出【15時】!$A$1,AL33-1,31),"")</f>
        <v/>
      </c>
      <c r="AO34" s="38"/>
      <c r="AP34" s="38"/>
      <c r="AQ34" s="190" t="str">
        <f ca="1">IF(OFFSET(変更先抽出【15時】!$A$1,AL33-1,29)&lt;&gt;"",OFFSET(変更先抽出【15時】!$A$1,AL33-1,37)&amp;"箱"&amp;OFFSET(変更先抽出【15時】!$A$1,AL33-1,38),"")</f>
        <v/>
      </c>
      <c r="AR34" s="36"/>
      <c r="AS34" s="22"/>
      <c r="AT34" s="30"/>
      <c r="AU34" s="102"/>
      <c r="AV34" s="136" t="str">
        <f ca="1">IF(AV33&lt;&gt;"",OFFSET(変更先抽出【15時】!$A$1,AT33-1,31),"")</f>
        <v/>
      </c>
      <c r="AW34" s="38"/>
      <c r="AX34" s="38"/>
      <c r="AY34" s="190" t="str">
        <f ca="1">IF(OFFSET(変更先抽出【15時】!$A$1,AT33-1,29)&lt;&gt;"",OFFSET(変更先抽出【15時】!$A$1,AT33-1,37)&amp;"箱"&amp;OFFSET(変更先抽出【15時】!$A$1,AT33-1,38),"")</f>
        <v/>
      </c>
      <c r="AZ34" s="36"/>
      <c r="BA34" s="43"/>
      <c r="BB34" s="102"/>
      <c r="BC34" s="136" t="str">
        <f ca="1">IF(BC33&lt;&gt;"",OFFSET(変更先抽出【15時】!$A$1,BA33-1,31),"")</f>
        <v/>
      </c>
      <c r="BD34" s="38"/>
      <c r="BE34" s="38"/>
      <c r="BF34" s="190" t="str">
        <f ca="1">IF(OFFSET(変更先抽出【15時】!$A$1,BA33-1,29)&lt;&gt;"",OFFSET(変更先抽出【15時】!$A$1,BA33-1,37)&amp;"箱"&amp;OFFSET(変更先抽出【15時】!$A$1,BA33-1,38),"")</f>
        <v/>
      </c>
      <c r="BG34" s="36"/>
      <c r="BH34" s="22"/>
      <c r="BI34" s="30"/>
      <c r="BJ34" s="102"/>
      <c r="BK34" s="136" t="str">
        <f ca="1">IF(BK33&lt;&gt;"",OFFSET(変更先抽出【15時】!$A$1,BI33-1,31),"")</f>
        <v/>
      </c>
      <c r="BL34" s="38"/>
      <c r="BM34" s="38"/>
      <c r="BN34" s="190" t="str">
        <f ca="1">IF(OFFSET(変更先抽出【15時】!$A$1,BI33-1,29)&lt;&gt;"",OFFSET(変更先抽出【15時】!$A$1,BI33-1,37)&amp;"箱"&amp;OFFSET(変更先抽出【15時】!$A$1,BI33-1,38),"")</f>
        <v/>
      </c>
      <c r="BO34" s="36"/>
      <c r="BP34" s="43"/>
      <c r="BQ34" s="102"/>
      <c r="BR34" s="136" t="str">
        <f ca="1">IF(BR33&lt;&gt;"",OFFSET(変更先抽出【15時】!$A$1,BP33-1,31),"")</f>
        <v/>
      </c>
      <c r="BS34" s="38"/>
      <c r="BT34" s="38"/>
      <c r="BU34" s="190" t="str">
        <f ca="1">IF(OFFSET(変更先抽出【15時】!$A$1,BP33-1,29)&lt;&gt;"",OFFSET(変更先抽出【15時】!$A$1,BP33-1,37)&amp;"箱"&amp;OFFSET(変更先抽出【15時】!$A$1,BP33-1,38),"")</f>
        <v/>
      </c>
      <c r="BV34" s="36"/>
      <c r="BW34" s="22"/>
      <c r="BX34" s="30"/>
      <c r="BY34" s="102"/>
      <c r="BZ34" s="136" t="str">
        <f ca="1">IF(BZ33&lt;&gt;"",OFFSET(変更先抽出【15時】!$A$1,BX33-1,31),"")</f>
        <v/>
      </c>
      <c r="CA34" s="38"/>
      <c r="CB34" s="38"/>
      <c r="CC34" s="190" t="str">
        <f ca="1">IF(OFFSET(変更先抽出【15時】!$A$1,BX33-1,29)&lt;&gt;"",OFFSET(変更先抽出【15時】!$A$1,BX33-1,37)&amp;"箱"&amp;OFFSET(変更先抽出【15時】!$A$1,BX33-1,38),"")</f>
        <v/>
      </c>
      <c r="CD34" s="36"/>
      <c r="CE34" s="43"/>
      <c r="CF34" s="102"/>
      <c r="CG34" s="136" t="str">
        <f ca="1">IF(CG33&lt;&gt;"",OFFSET(変更先抽出【15時】!$A$1,CE33-1,31),"")</f>
        <v/>
      </c>
      <c r="CH34" s="38"/>
      <c r="CI34" s="38"/>
      <c r="CJ34" s="190" t="str">
        <f ca="1">IF(OFFSET(変更先抽出【15時】!$A$1,CE33-1,29)&lt;&gt;"",OFFSET(変更先抽出【15時】!$A$1,CE33-1,37)&amp;"箱"&amp;OFFSET(変更先抽出【15時】!$A$1,CE33-1,38),"")</f>
        <v/>
      </c>
      <c r="CK34" s="36"/>
      <c r="CL34" s="22"/>
      <c r="CM34" s="30"/>
      <c r="CN34" s="102"/>
      <c r="CO34" s="136" t="str">
        <f ca="1">IF(CO33&lt;&gt;"",OFFSET(変更先抽出【15時】!$A$1,CM33-1,31),"")</f>
        <v/>
      </c>
      <c r="CP34" s="38"/>
      <c r="CQ34" s="38"/>
      <c r="CR34" s="190" t="str">
        <f ca="1">IF(OFFSET(変更先抽出【15時】!$A$1,CM33-1,29)&lt;&gt;"",OFFSET(変更先抽出【15時】!$A$1,CM33-1,37)&amp;"箱"&amp;OFFSET(変更先抽出【15時】!$A$1,CM33-1,38),"")</f>
        <v/>
      </c>
      <c r="CS34" s="36"/>
      <c r="CT34" s="43"/>
      <c r="CU34" s="102"/>
      <c r="CV34" s="136" t="str">
        <f ca="1">IF(CV33&lt;&gt;"",OFFSET(変更先抽出【15時】!$A$1,CT33-1,31),"")</f>
        <v/>
      </c>
      <c r="CW34" s="38"/>
      <c r="CX34" s="38"/>
      <c r="CY34" s="190" t="str">
        <f ca="1">IF(OFFSET(変更先抽出【15時】!$A$1,CT33-1,29)&lt;&gt;"",OFFSET(変更先抽出【15時】!$A$1,CT33-1,37)&amp;"箱"&amp;OFFSET(変更先抽出【15時】!$A$1,CT33-1,38),"")</f>
        <v/>
      </c>
      <c r="CZ34" s="36"/>
      <c r="DA34" s="22"/>
      <c r="DB34" s="30"/>
      <c r="DC34" s="102"/>
      <c r="DD34" s="136" t="str">
        <f ca="1">IF(DD33&lt;&gt;"",OFFSET(変更先抽出【15時】!$A$1,DB33-1,31),"")</f>
        <v/>
      </c>
      <c r="DE34" s="38"/>
      <c r="DF34" s="38"/>
      <c r="DG34" s="190" t="str">
        <f ca="1">IF(OFFSET(変更先抽出【15時】!$A$1,DB33-1,29)&lt;&gt;"",OFFSET(変更先抽出【15時】!$A$1,DB33-1,37)&amp;"箱"&amp;OFFSET(変更先抽出【15時】!$A$1,DB33-1,38),"")</f>
        <v/>
      </c>
      <c r="DH34" s="36"/>
      <c r="DI34" s="43"/>
      <c r="DJ34" s="102"/>
      <c r="DK34" s="136" t="str">
        <f ca="1">IF(DK33&lt;&gt;"",OFFSET(変更先抽出【15時】!$A$1,DI33-1,31),"")</f>
        <v/>
      </c>
      <c r="DL34" s="38"/>
      <c r="DM34" s="38"/>
      <c r="DN34" s="190" t="str">
        <f ca="1">IF(OFFSET(変更先抽出【15時】!$A$1,DI33-1,29)&lt;&gt;"",OFFSET(変更先抽出【15時】!$A$1,DI33-1,37)&amp;"箱"&amp;OFFSET(変更先抽出【15時】!$A$1,DI33-1,38),"")</f>
        <v/>
      </c>
      <c r="DO34" s="36"/>
      <c r="DP34" s="22"/>
      <c r="DQ34" s="30"/>
      <c r="DR34" s="102"/>
      <c r="DS34" s="136" t="str">
        <f ca="1">IF(DS33&lt;&gt;"",OFFSET(変更先抽出【15時】!$A$1,DQ33-1,31),"")</f>
        <v/>
      </c>
      <c r="DT34" s="38"/>
      <c r="DU34" s="38"/>
      <c r="DV34" s="190" t="str">
        <f ca="1">IF(OFFSET(変更先抽出【15時】!$A$1,DQ33-1,29)&lt;&gt;"",OFFSET(変更先抽出【15時】!$A$1,DQ33-1,37)&amp;"箱"&amp;OFFSET(変更先抽出【15時】!$A$1,DQ33-1,38),"")</f>
        <v/>
      </c>
      <c r="DW34" s="36"/>
      <c r="DX34" s="43"/>
      <c r="DY34" s="102"/>
      <c r="DZ34" s="136" t="str">
        <f ca="1">IF(DZ33&lt;&gt;"",OFFSET(変更先抽出【15時】!$A$1,DX33-1,31),"")</f>
        <v/>
      </c>
      <c r="EA34" s="38"/>
      <c r="EB34" s="38"/>
      <c r="EC34" s="190" t="str">
        <f ca="1">IF(OFFSET(変更先抽出【15時】!$A$1,DX33-1,29)&lt;&gt;"",OFFSET(変更先抽出【15時】!$A$1,DX33-1,37)&amp;"箱"&amp;OFFSET(変更先抽出【15時】!$A$1,DX33-1,38),"")</f>
        <v/>
      </c>
      <c r="ED34" s="36"/>
      <c r="EE34" s="22"/>
      <c r="EF34" s="30"/>
      <c r="EG34" s="102"/>
      <c r="EH34" s="136" t="str">
        <f ca="1">IF(EH33&lt;&gt;"",OFFSET(変更先抽出【15時】!$A$1,EF33-1,31),"")</f>
        <v/>
      </c>
      <c r="EI34" s="38"/>
      <c r="EJ34" s="38"/>
      <c r="EK34" s="190" t="str">
        <f ca="1">IF(OFFSET(変更先抽出【15時】!$A$1,EF33-1,29)&lt;&gt;"",OFFSET(変更先抽出【15時】!$A$1,EF33-1,37)&amp;"箱"&amp;OFFSET(変更先抽出【15時】!$A$1,EF33-1,38),"")</f>
        <v/>
      </c>
      <c r="EL34" s="36"/>
      <c r="EM34" s="43"/>
      <c r="EN34" s="102"/>
      <c r="EO34" s="136" t="str">
        <f ca="1">IF(EO33&lt;&gt;"",OFFSET(変更先抽出【15時】!$A$1,EM33-1,31),"")</f>
        <v/>
      </c>
      <c r="EP34" s="38"/>
      <c r="EQ34" s="38"/>
      <c r="ER34" s="190" t="str">
        <f ca="1">IF(OFFSET(変更先抽出【15時】!$A$1,EM33-1,29)&lt;&gt;"",OFFSET(変更先抽出【15時】!$A$1,EM33-1,37)&amp;"箱"&amp;OFFSET(変更先抽出【15時】!$A$1,EM33-1,38),"")</f>
        <v/>
      </c>
      <c r="ES34" s="36"/>
      <c r="ET34" s="22"/>
    </row>
    <row r="35" spans="1:150" s="181" customFormat="1">
      <c r="A35" s="30"/>
      <c r="B35" s="31"/>
      <c r="C35" s="212" t="str">
        <f ca="1">IF(OR(C33&lt;&gt;"",COUNTIF(C33,"*【*")),"園児","")</f>
        <v/>
      </c>
      <c r="D35" s="213"/>
      <c r="E35" s="22"/>
      <c r="F35" s="135" t="str">
        <f ca="1">IF(OR(C33&lt;&gt;"",COUNTIF(C33,"*【*")),"先生","")</f>
        <v/>
      </c>
      <c r="G35" s="37"/>
      <c r="H35" s="33"/>
      <c r="I35" s="31"/>
      <c r="J35" s="212" t="str">
        <f ca="1">IF(OR(J33&lt;&gt;"",COUNTIF(J33,"*【*")),"園児","")</f>
        <v/>
      </c>
      <c r="K35" s="213"/>
      <c r="L35" s="22"/>
      <c r="M35" s="135" t="str">
        <f ca="1">IF(OR(J33&lt;&gt;"",COUNTIF(J33,"*【*")),"先生","")</f>
        <v/>
      </c>
      <c r="N35" s="37"/>
      <c r="O35" s="22"/>
      <c r="P35" s="30"/>
      <c r="Q35" s="31"/>
      <c r="R35" s="212" t="str">
        <f ca="1">IF(OR(R33&lt;&gt;"",COUNTIF(R33,"*【*")),"園児","")</f>
        <v/>
      </c>
      <c r="S35" s="213"/>
      <c r="T35" s="22"/>
      <c r="U35" s="135" t="str">
        <f ca="1">IF(OR(R33&lt;&gt;"",COUNTIF(R33,"*【*")),"先生","")</f>
        <v/>
      </c>
      <c r="V35" s="37"/>
      <c r="W35" s="33"/>
      <c r="X35" s="31"/>
      <c r="Y35" s="212" t="str">
        <f ca="1">IF(OR(Y33&lt;&gt;"",COUNTIF(Y33,"*【*")),"園児","")</f>
        <v/>
      </c>
      <c r="Z35" s="213"/>
      <c r="AA35" s="22"/>
      <c r="AB35" s="135" t="str">
        <f ca="1">IF(OR(Y33&lt;&gt;"",COUNTIF(Y33,"*【*")),"先生","")</f>
        <v/>
      </c>
      <c r="AC35" s="37"/>
      <c r="AD35" s="22"/>
      <c r="AE35" s="30"/>
      <c r="AF35" s="31"/>
      <c r="AG35" s="212" t="str">
        <f ca="1">IF(OR(AG33&lt;&gt;"",COUNTIF(AG33,"*【*")),"園児","")</f>
        <v/>
      </c>
      <c r="AH35" s="213"/>
      <c r="AI35" s="22"/>
      <c r="AJ35" s="135" t="str">
        <f ca="1">IF(OR(AG33&lt;&gt;"",COUNTIF(AG33,"*【*")),"先生","")</f>
        <v/>
      </c>
      <c r="AK35" s="37"/>
      <c r="AL35" s="33"/>
      <c r="AM35" s="31"/>
      <c r="AN35" s="212" t="str">
        <f ca="1">IF(OR(AN33&lt;&gt;"",COUNTIF(AN33,"*【*")),"園児","")</f>
        <v/>
      </c>
      <c r="AO35" s="213"/>
      <c r="AP35" s="22"/>
      <c r="AQ35" s="135" t="str">
        <f ca="1">IF(OR(AN33&lt;&gt;"",COUNTIF(AN33,"*【*")),"先生","")</f>
        <v/>
      </c>
      <c r="AR35" s="37"/>
      <c r="AS35" s="22"/>
      <c r="AT35" s="30"/>
      <c r="AU35" s="31"/>
      <c r="AV35" s="212" t="str">
        <f ca="1">IF(OR(AV33&lt;&gt;"",COUNTIF(AV33,"*【*")),"園児","")</f>
        <v/>
      </c>
      <c r="AW35" s="213"/>
      <c r="AX35" s="22"/>
      <c r="AY35" s="135" t="str">
        <f ca="1">IF(OR(AV33&lt;&gt;"",COUNTIF(AV33,"*【*")),"先生","")</f>
        <v/>
      </c>
      <c r="AZ35" s="37"/>
      <c r="BA35" s="33"/>
      <c r="BB35" s="31"/>
      <c r="BC35" s="212" t="str">
        <f ca="1">IF(OR(BC33&lt;&gt;"",COUNTIF(BC33,"*【*")),"園児","")</f>
        <v/>
      </c>
      <c r="BD35" s="213"/>
      <c r="BE35" s="22"/>
      <c r="BF35" s="135" t="str">
        <f ca="1">IF(OR(BC33&lt;&gt;"",COUNTIF(BC33,"*【*")),"先生","")</f>
        <v/>
      </c>
      <c r="BG35" s="37"/>
      <c r="BH35" s="22"/>
      <c r="BI35" s="30"/>
      <c r="BJ35" s="31"/>
      <c r="BK35" s="212" t="str">
        <f ca="1">IF(OR(BK33&lt;&gt;"",COUNTIF(BK33,"*【*")),"園児","")</f>
        <v/>
      </c>
      <c r="BL35" s="213"/>
      <c r="BM35" s="22"/>
      <c r="BN35" s="135" t="str">
        <f ca="1">IF(OR(BK33&lt;&gt;"",COUNTIF(BK33,"*【*")),"先生","")</f>
        <v/>
      </c>
      <c r="BO35" s="37"/>
      <c r="BP35" s="33"/>
      <c r="BQ35" s="31"/>
      <c r="BR35" s="212" t="str">
        <f ca="1">IF(OR(BR33&lt;&gt;"",COUNTIF(BR33,"*【*")),"園児","")</f>
        <v/>
      </c>
      <c r="BS35" s="213"/>
      <c r="BT35" s="22"/>
      <c r="BU35" s="135" t="str">
        <f ca="1">IF(OR(BR33&lt;&gt;"",COUNTIF(BR33,"*【*")),"先生","")</f>
        <v/>
      </c>
      <c r="BV35" s="37"/>
      <c r="BW35" s="22"/>
      <c r="BX35" s="30"/>
      <c r="BY35" s="31"/>
      <c r="BZ35" s="212" t="str">
        <f ca="1">IF(OR(BZ33&lt;&gt;"",COUNTIF(BZ33,"*【*")),"園児","")</f>
        <v/>
      </c>
      <c r="CA35" s="213"/>
      <c r="CB35" s="22"/>
      <c r="CC35" s="135" t="str">
        <f ca="1">IF(OR(BZ33&lt;&gt;"",COUNTIF(BZ33,"*【*")),"先生","")</f>
        <v/>
      </c>
      <c r="CD35" s="37"/>
      <c r="CE35" s="33"/>
      <c r="CF35" s="31"/>
      <c r="CG35" s="212" t="str">
        <f ca="1">IF(OR(CG33&lt;&gt;"",COUNTIF(CG33,"*【*")),"園児","")</f>
        <v/>
      </c>
      <c r="CH35" s="213"/>
      <c r="CI35" s="22"/>
      <c r="CJ35" s="135" t="str">
        <f ca="1">IF(OR(CG33&lt;&gt;"",COUNTIF(CG33,"*【*")),"先生","")</f>
        <v/>
      </c>
      <c r="CK35" s="37"/>
      <c r="CL35" s="22"/>
      <c r="CM35" s="30"/>
      <c r="CN35" s="31"/>
      <c r="CO35" s="212" t="str">
        <f ca="1">IF(OR(CO33&lt;&gt;"",COUNTIF(CO33,"*【*")),"園児","")</f>
        <v/>
      </c>
      <c r="CP35" s="213"/>
      <c r="CQ35" s="22"/>
      <c r="CR35" s="135" t="str">
        <f ca="1">IF(OR(CO33&lt;&gt;"",COUNTIF(CO33,"*【*")),"先生","")</f>
        <v/>
      </c>
      <c r="CS35" s="37"/>
      <c r="CT35" s="33"/>
      <c r="CU35" s="31"/>
      <c r="CV35" s="212" t="str">
        <f ca="1">IF(OR(CV33&lt;&gt;"",COUNTIF(CV33,"*【*")),"園児","")</f>
        <v/>
      </c>
      <c r="CW35" s="213"/>
      <c r="CX35" s="22"/>
      <c r="CY35" s="135" t="str">
        <f ca="1">IF(OR(CV33&lt;&gt;"",COUNTIF(CV33,"*【*")),"先生","")</f>
        <v/>
      </c>
      <c r="CZ35" s="37"/>
      <c r="DA35" s="22"/>
      <c r="DB35" s="30"/>
      <c r="DC35" s="31"/>
      <c r="DD35" s="212" t="str">
        <f ca="1">IF(OR(DD33&lt;&gt;"",COUNTIF(DD33,"*【*")),"園児","")</f>
        <v/>
      </c>
      <c r="DE35" s="213"/>
      <c r="DF35" s="22"/>
      <c r="DG35" s="135" t="str">
        <f ca="1">IF(OR(DD33&lt;&gt;"",COUNTIF(DD33,"*【*")),"先生","")</f>
        <v/>
      </c>
      <c r="DH35" s="37"/>
      <c r="DI35" s="33"/>
      <c r="DJ35" s="31"/>
      <c r="DK35" s="212" t="str">
        <f ca="1">IF(OR(DK33&lt;&gt;"",COUNTIF(DK33,"*【*")),"園児","")</f>
        <v/>
      </c>
      <c r="DL35" s="213"/>
      <c r="DM35" s="22"/>
      <c r="DN35" s="135" t="str">
        <f ca="1">IF(OR(DK33&lt;&gt;"",COUNTIF(DK33,"*【*")),"先生","")</f>
        <v/>
      </c>
      <c r="DO35" s="37"/>
      <c r="DP35" s="22"/>
      <c r="DQ35" s="30"/>
      <c r="DR35" s="31"/>
      <c r="DS35" s="212" t="str">
        <f ca="1">IF(OR(DS33&lt;&gt;"",COUNTIF(DS33,"*【*")),"園児","")</f>
        <v/>
      </c>
      <c r="DT35" s="213"/>
      <c r="DU35" s="22"/>
      <c r="DV35" s="135" t="str">
        <f ca="1">IF(OR(DS33&lt;&gt;"",COUNTIF(DS33,"*【*")),"先生","")</f>
        <v/>
      </c>
      <c r="DW35" s="37"/>
      <c r="DX35" s="33"/>
      <c r="DY35" s="31"/>
      <c r="DZ35" s="212" t="str">
        <f ca="1">IF(OR(DZ33&lt;&gt;"",COUNTIF(DZ33,"*【*")),"園児","")</f>
        <v/>
      </c>
      <c r="EA35" s="213"/>
      <c r="EB35" s="22"/>
      <c r="EC35" s="135" t="str">
        <f ca="1">IF(OR(DZ33&lt;&gt;"",COUNTIF(DZ33,"*【*")),"先生","")</f>
        <v/>
      </c>
      <c r="ED35" s="37"/>
      <c r="EE35" s="22"/>
      <c r="EF35" s="30"/>
      <c r="EG35" s="31"/>
      <c r="EH35" s="212" t="str">
        <f ca="1">IF(OR(EH33&lt;&gt;"",COUNTIF(EH33,"*【*")),"園児","")</f>
        <v/>
      </c>
      <c r="EI35" s="213"/>
      <c r="EJ35" s="22"/>
      <c r="EK35" s="135" t="str">
        <f ca="1">IF(OR(EH33&lt;&gt;"",COUNTIF(EH33,"*【*")),"先生","")</f>
        <v/>
      </c>
      <c r="EL35" s="37"/>
      <c r="EM35" s="33"/>
      <c r="EN35" s="31"/>
      <c r="EO35" s="212" t="str">
        <f ca="1">IF(OR(EO33&lt;&gt;"",COUNTIF(EO33,"*【*")),"園児","")</f>
        <v/>
      </c>
      <c r="EP35" s="213"/>
      <c r="EQ35" s="22"/>
      <c r="ER35" s="135" t="str">
        <f ca="1">IF(OR(EO33&lt;&gt;"",COUNTIF(EO33,"*【*")),"先生","")</f>
        <v/>
      </c>
      <c r="ES35" s="37"/>
      <c r="ET35" s="22"/>
    </row>
    <row r="36" spans="1:150" ht="15.6" customHeight="1">
      <c r="B36" s="25"/>
      <c r="C36" s="210" t="str">
        <f ca="1">IF(C33&lt;&gt;"",OFFSET(変更先抽出【15時】!$A$1,A33-1,32),"")</f>
        <v/>
      </c>
      <c r="D36" s="211"/>
      <c r="E36" s="44"/>
      <c r="F36" s="206" t="str">
        <f ca="1">IF(C33&lt;&gt;"",OFFSET(変更先抽出【15時】!$A$1,A33-1,33),"")</f>
        <v/>
      </c>
      <c r="G36" s="207"/>
      <c r="H36" s="26"/>
      <c r="I36" s="25"/>
      <c r="J36" s="210" t="str">
        <f ca="1">IF(J33&lt;&gt;"",OFFSET(変更先抽出【15時】!$A$1,H33-1,32),"")</f>
        <v/>
      </c>
      <c r="K36" s="211"/>
      <c r="L36" s="44"/>
      <c r="M36" s="206" t="str">
        <f ca="1">IF(J33&lt;&gt;"",OFFSET(変更先抽出【15時】!$A$1,H33-1,33),"")</f>
        <v/>
      </c>
      <c r="N36" s="207"/>
      <c r="Q36" s="25"/>
      <c r="R36" s="210" t="str">
        <f ca="1">IF(R33&lt;&gt;"",OFFSET(変更先抽出【15時】!$A$1,P33-1,32),"")</f>
        <v/>
      </c>
      <c r="S36" s="211"/>
      <c r="T36" s="44"/>
      <c r="U36" s="206" t="str">
        <f ca="1">IF(R33&lt;&gt;"",OFFSET(変更先抽出【15時】!$A$1,P33-1,33),"")</f>
        <v/>
      </c>
      <c r="V36" s="207"/>
      <c r="W36" s="26"/>
      <c r="X36" s="25"/>
      <c r="Y36" s="210" t="str">
        <f ca="1">IF(Y33&lt;&gt;"",OFFSET(変更先抽出【15時】!$A$1,W33-1,32),"")</f>
        <v/>
      </c>
      <c r="Z36" s="211"/>
      <c r="AA36" s="44"/>
      <c r="AB36" s="206" t="str">
        <f ca="1">IF(Y33&lt;&gt;"",OFFSET(変更先抽出【15時】!$A$1,W33-1,33),"")</f>
        <v/>
      </c>
      <c r="AC36" s="207"/>
      <c r="AF36" s="25"/>
      <c r="AG36" s="210" t="str">
        <f ca="1">IF(AG33&lt;&gt;"",OFFSET(変更先抽出【15時】!$A$1,AE33-1,32),"")</f>
        <v/>
      </c>
      <c r="AH36" s="211"/>
      <c r="AI36" s="44"/>
      <c r="AJ36" s="206" t="str">
        <f ca="1">IF(AG33&lt;&gt;"",OFFSET(変更先抽出【15時】!$A$1,AE33-1,33),"")</f>
        <v/>
      </c>
      <c r="AK36" s="207"/>
      <c r="AL36" s="26"/>
      <c r="AM36" s="25"/>
      <c r="AN36" s="210" t="str">
        <f ca="1">IF(AN33&lt;&gt;"",OFFSET(変更先抽出【15時】!$A$1,AL33-1,32),"")</f>
        <v/>
      </c>
      <c r="AO36" s="211"/>
      <c r="AP36" s="44"/>
      <c r="AQ36" s="206" t="str">
        <f ca="1">IF(AN33&lt;&gt;"",OFFSET(変更先抽出【15時】!$A$1,AL33-1,33),"")</f>
        <v/>
      </c>
      <c r="AR36" s="207"/>
      <c r="AU36" s="25"/>
      <c r="AV36" s="210" t="str">
        <f ca="1">IF(AV33&lt;&gt;"",OFFSET(変更先抽出【15時】!$A$1,AT33-1,32),"")</f>
        <v/>
      </c>
      <c r="AW36" s="211"/>
      <c r="AX36" s="44"/>
      <c r="AY36" s="206" t="str">
        <f ca="1">IF(AV33&lt;&gt;"",OFFSET(変更先抽出【15時】!$A$1,AT33-1,33),"")</f>
        <v/>
      </c>
      <c r="AZ36" s="207"/>
      <c r="BA36" s="26"/>
      <c r="BB36" s="25"/>
      <c r="BC36" s="210" t="str">
        <f ca="1">IF(BC33&lt;&gt;"",OFFSET(変更先抽出【15時】!$A$1,BA33-1,32),"")</f>
        <v/>
      </c>
      <c r="BD36" s="211"/>
      <c r="BE36" s="44"/>
      <c r="BF36" s="206" t="str">
        <f ca="1">IF(BC33&lt;&gt;"",OFFSET(変更先抽出【15時】!$A$1,BA33-1,33),"")</f>
        <v/>
      </c>
      <c r="BG36" s="207"/>
      <c r="BJ36" s="25"/>
      <c r="BK36" s="210" t="str">
        <f ca="1">IF(BK33&lt;&gt;"",OFFSET(変更先抽出【15時】!$A$1,BI33-1,32),"")</f>
        <v/>
      </c>
      <c r="BL36" s="211"/>
      <c r="BM36" s="44"/>
      <c r="BN36" s="206" t="str">
        <f ca="1">IF(BK33&lt;&gt;"",OFFSET(変更先抽出【15時】!$A$1,BI33-1,33),"")</f>
        <v/>
      </c>
      <c r="BO36" s="207"/>
      <c r="BP36" s="26"/>
      <c r="BQ36" s="25"/>
      <c r="BR36" s="210" t="str">
        <f ca="1">IF(BR33&lt;&gt;"",OFFSET(変更先抽出【15時】!$A$1,BP33-1,32),"")</f>
        <v/>
      </c>
      <c r="BS36" s="211"/>
      <c r="BT36" s="44"/>
      <c r="BU36" s="206" t="str">
        <f ca="1">IF(BR33&lt;&gt;"",OFFSET(変更先抽出【15時】!$A$1,BP33-1,33),"")</f>
        <v/>
      </c>
      <c r="BV36" s="207"/>
      <c r="BY36" s="25"/>
      <c r="BZ36" s="210" t="str">
        <f ca="1">IF(BZ33&lt;&gt;"",OFFSET(変更先抽出【15時】!$A$1,BX33-1,32),"")</f>
        <v/>
      </c>
      <c r="CA36" s="211"/>
      <c r="CB36" s="44"/>
      <c r="CC36" s="206" t="str">
        <f ca="1">IF(BZ33&lt;&gt;"",OFFSET(変更先抽出【15時】!$A$1,BX33-1,33),"")</f>
        <v/>
      </c>
      <c r="CD36" s="207"/>
      <c r="CE36" s="26"/>
      <c r="CF36" s="25"/>
      <c r="CG36" s="210" t="str">
        <f ca="1">IF(CG33&lt;&gt;"",OFFSET(変更先抽出【15時】!$A$1,CE33-1,32),"")</f>
        <v/>
      </c>
      <c r="CH36" s="211"/>
      <c r="CI36" s="44"/>
      <c r="CJ36" s="206" t="str">
        <f ca="1">IF(CG33&lt;&gt;"",OFFSET(変更先抽出【15時】!$A$1,CE33-1,33),"")</f>
        <v/>
      </c>
      <c r="CK36" s="207"/>
      <c r="CN36" s="25"/>
      <c r="CO36" s="210" t="str">
        <f ca="1">IF(CO33&lt;&gt;"",OFFSET(変更先抽出【15時】!$A$1,CM33-1,32),"")</f>
        <v/>
      </c>
      <c r="CP36" s="211"/>
      <c r="CQ36" s="44"/>
      <c r="CR36" s="206" t="str">
        <f ca="1">IF(CO33&lt;&gt;"",OFFSET(変更先抽出【15時】!$A$1,CM33-1,33),"")</f>
        <v/>
      </c>
      <c r="CS36" s="207"/>
      <c r="CT36" s="26"/>
      <c r="CU36" s="25"/>
      <c r="CV36" s="210" t="str">
        <f ca="1">IF(CV33&lt;&gt;"",OFFSET(変更先抽出【15時】!$A$1,CT33-1,32),"")</f>
        <v/>
      </c>
      <c r="CW36" s="211"/>
      <c r="CX36" s="44"/>
      <c r="CY36" s="206" t="str">
        <f ca="1">IF(CV33&lt;&gt;"",OFFSET(変更先抽出【15時】!$A$1,CT33-1,33),"")</f>
        <v/>
      </c>
      <c r="CZ36" s="207"/>
      <c r="DC36" s="25"/>
      <c r="DD36" s="210" t="str">
        <f ca="1">IF(DD33&lt;&gt;"",OFFSET(変更先抽出【15時】!$A$1,DB33-1,32),"")</f>
        <v/>
      </c>
      <c r="DE36" s="211"/>
      <c r="DF36" s="44"/>
      <c r="DG36" s="206" t="str">
        <f ca="1">IF(DD33&lt;&gt;"",OFFSET(変更先抽出【15時】!$A$1,DB33-1,33),"")</f>
        <v/>
      </c>
      <c r="DH36" s="207"/>
      <c r="DI36" s="26"/>
      <c r="DJ36" s="25"/>
      <c r="DK36" s="210" t="str">
        <f ca="1">IF(DK33&lt;&gt;"",OFFSET(変更先抽出【15時】!$A$1,DI33-1,32),"")</f>
        <v/>
      </c>
      <c r="DL36" s="211"/>
      <c r="DM36" s="44"/>
      <c r="DN36" s="206" t="str">
        <f ca="1">IF(DK33&lt;&gt;"",OFFSET(変更先抽出【15時】!$A$1,DI33-1,33),"")</f>
        <v/>
      </c>
      <c r="DO36" s="207"/>
      <c r="DR36" s="25"/>
      <c r="DS36" s="210" t="str">
        <f ca="1">IF(DS33&lt;&gt;"",OFFSET(変更先抽出【15時】!$A$1,DQ33-1,32),"")</f>
        <v/>
      </c>
      <c r="DT36" s="211"/>
      <c r="DU36" s="44"/>
      <c r="DV36" s="206" t="str">
        <f ca="1">IF(DS33&lt;&gt;"",OFFSET(変更先抽出【15時】!$A$1,DQ33-1,33),"")</f>
        <v/>
      </c>
      <c r="DW36" s="207"/>
      <c r="DX36" s="26"/>
      <c r="DY36" s="25"/>
      <c r="DZ36" s="210" t="str">
        <f ca="1">IF(DZ33&lt;&gt;"",OFFSET(変更先抽出【15時】!$A$1,DX33-1,32),"")</f>
        <v/>
      </c>
      <c r="EA36" s="211"/>
      <c r="EB36" s="44"/>
      <c r="EC36" s="206" t="str">
        <f ca="1">IF(DZ33&lt;&gt;"",OFFSET(変更先抽出【15時】!$A$1,DX33-1,33),"")</f>
        <v/>
      </c>
      <c r="ED36" s="207"/>
      <c r="EG36" s="25"/>
      <c r="EH36" s="210" t="str">
        <f ca="1">IF(EH33&lt;&gt;"",OFFSET(変更先抽出【15時】!$A$1,EF33-1,32),"")</f>
        <v/>
      </c>
      <c r="EI36" s="211"/>
      <c r="EJ36" s="44"/>
      <c r="EK36" s="206" t="str">
        <f ca="1">IF(EH33&lt;&gt;"",OFFSET(変更先抽出【15時】!$A$1,EF33-1,33),"")</f>
        <v/>
      </c>
      <c r="EL36" s="207"/>
      <c r="EM36" s="26"/>
      <c r="EN36" s="25"/>
      <c r="EO36" s="210" t="str">
        <f ca="1">IF(EO33&lt;&gt;"",OFFSET(変更先抽出【15時】!$A$1,EM33-1,32),"")</f>
        <v/>
      </c>
      <c r="EP36" s="211"/>
      <c r="EQ36" s="44"/>
      <c r="ER36" s="206" t="str">
        <f ca="1">IF(EO33&lt;&gt;"",OFFSET(変更先抽出【15時】!$A$1,EM33-1,33),"")</f>
        <v/>
      </c>
      <c r="ES36" s="207"/>
    </row>
    <row r="37" spans="1:150" ht="15.6" customHeight="1">
      <c r="B37" s="27"/>
      <c r="C37" s="208"/>
      <c r="D37" s="208"/>
      <c r="E37" s="179"/>
      <c r="F37" s="208"/>
      <c r="G37" s="209"/>
      <c r="H37" s="26"/>
      <c r="I37" s="27"/>
      <c r="J37" s="208"/>
      <c r="K37" s="208"/>
      <c r="L37" s="179"/>
      <c r="M37" s="208"/>
      <c r="N37" s="209"/>
      <c r="Q37" s="27"/>
      <c r="R37" s="208"/>
      <c r="S37" s="208"/>
      <c r="T37" s="179"/>
      <c r="U37" s="208"/>
      <c r="V37" s="209"/>
      <c r="W37" s="26"/>
      <c r="X37" s="27"/>
      <c r="Y37" s="208"/>
      <c r="Z37" s="208"/>
      <c r="AA37" s="179"/>
      <c r="AB37" s="208"/>
      <c r="AC37" s="209"/>
      <c r="AF37" s="27"/>
      <c r="AG37" s="208"/>
      <c r="AH37" s="208"/>
      <c r="AI37" s="179"/>
      <c r="AJ37" s="208"/>
      <c r="AK37" s="209"/>
      <c r="AL37" s="26"/>
      <c r="AM37" s="27"/>
      <c r="AN37" s="208"/>
      <c r="AO37" s="208"/>
      <c r="AP37" s="179"/>
      <c r="AQ37" s="208"/>
      <c r="AR37" s="209"/>
      <c r="AU37" s="27"/>
      <c r="AV37" s="208"/>
      <c r="AW37" s="208"/>
      <c r="AX37" s="179"/>
      <c r="AY37" s="208"/>
      <c r="AZ37" s="209"/>
      <c r="BA37" s="26"/>
      <c r="BB37" s="27"/>
      <c r="BC37" s="208"/>
      <c r="BD37" s="208"/>
      <c r="BE37" s="179"/>
      <c r="BF37" s="208"/>
      <c r="BG37" s="209"/>
      <c r="BJ37" s="27"/>
      <c r="BK37" s="208"/>
      <c r="BL37" s="208"/>
      <c r="BM37" s="179"/>
      <c r="BN37" s="208"/>
      <c r="BO37" s="209"/>
      <c r="BP37" s="26"/>
      <c r="BQ37" s="27"/>
      <c r="BR37" s="208"/>
      <c r="BS37" s="208"/>
      <c r="BT37" s="179"/>
      <c r="BU37" s="208"/>
      <c r="BV37" s="209"/>
      <c r="BY37" s="27"/>
      <c r="BZ37" s="208"/>
      <c r="CA37" s="208"/>
      <c r="CB37" s="179"/>
      <c r="CC37" s="208"/>
      <c r="CD37" s="209"/>
      <c r="CE37" s="26"/>
      <c r="CF37" s="27"/>
      <c r="CG37" s="208"/>
      <c r="CH37" s="208"/>
      <c r="CI37" s="179"/>
      <c r="CJ37" s="208"/>
      <c r="CK37" s="209"/>
      <c r="CN37" s="27"/>
      <c r="CO37" s="208"/>
      <c r="CP37" s="208"/>
      <c r="CQ37" s="179"/>
      <c r="CR37" s="208"/>
      <c r="CS37" s="209"/>
      <c r="CT37" s="26"/>
      <c r="CU37" s="27"/>
      <c r="CV37" s="208"/>
      <c r="CW37" s="208"/>
      <c r="CX37" s="179"/>
      <c r="CY37" s="208"/>
      <c r="CZ37" s="209"/>
      <c r="DC37" s="27"/>
      <c r="DD37" s="208"/>
      <c r="DE37" s="208"/>
      <c r="DF37" s="179"/>
      <c r="DG37" s="208"/>
      <c r="DH37" s="209"/>
      <c r="DI37" s="26"/>
      <c r="DJ37" s="27"/>
      <c r="DK37" s="208"/>
      <c r="DL37" s="208"/>
      <c r="DM37" s="179"/>
      <c r="DN37" s="208"/>
      <c r="DO37" s="209"/>
      <c r="DR37" s="27"/>
      <c r="DS37" s="208"/>
      <c r="DT37" s="208"/>
      <c r="DU37" s="179"/>
      <c r="DV37" s="208"/>
      <c r="DW37" s="209"/>
      <c r="DX37" s="26"/>
      <c r="DY37" s="27"/>
      <c r="DZ37" s="208"/>
      <c r="EA37" s="208"/>
      <c r="EB37" s="179"/>
      <c r="EC37" s="208"/>
      <c r="ED37" s="209"/>
      <c r="EG37" s="27"/>
      <c r="EH37" s="208"/>
      <c r="EI37" s="208"/>
      <c r="EJ37" s="179"/>
      <c r="EK37" s="208"/>
      <c r="EL37" s="209"/>
      <c r="EM37" s="26"/>
      <c r="EN37" s="27"/>
      <c r="EO37" s="208"/>
      <c r="EP37" s="208"/>
      <c r="EQ37" s="179"/>
      <c r="ER37" s="208"/>
      <c r="ES37" s="209"/>
    </row>
    <row r="38" spans="1:150" s="181" customFormat="1">
      <c r="A38" s="30"/>
      <c r="B38" s="34" t="str">
        <f ca="1">IF(C33&lt;&gt;"","パン箱","")</f>
        <v/>
      </c>
      <c r="C38" s="32" t="str">
        <f ca="1">IF(C33&lt;&gt;"",OFFSET(変更先抽出【15時】!$A$1,A33-1,35),"")</f>
        <v/>
      </c>
      <c r="D38" s="34" t="str">
        <f ca="1">IF(C33&lt;&gt;"","端数","")</f>
        <v/>
      </c>
      <c r="E38" s="32"/>
      <c r="F38" s="34" t="str">
        <f ca="1">IF(C33&lt;&gt;"","アレルギー","")</f>
        <v/>
      </c>
      <c r="G38" s="37"/>
      <c r="H38" s="22"/>
      <c r="I38" s="34" t="str">
        <f ca="1">IF(J33&lt;&gt;"","パン箱","")</f>
        <v/>
      </c>
      <c r="J38" s="32" t="str">
        <f ca="1">IF(J33&lt;&gt;"",OFFSET(変更先抽出【15時】!$A$1,H33-1,35),"")</f>
        <v/>
      </c>
      <c r="K38" s="34" t="str">
        <f ca="1">IF(J33&lt;&gt;"","端数","")</f>
        <v/>
      </c>
      <c r="L38" s="32"/>
      <c r="M38" s="34" t="str">
        <f ca="1">IF(J33&lt;&gt;"","アレルギー","")</f>
        <v/>
      </c>
      <c r="N38" s="37"/>
      <c r="O38" s="22"/>
      <c r="P38" s="30"/>
      <c r="Q38" s="34" t="str">
        <f ca="1">IF(R33&lt;&gt;"","パン箱","")</f>
        <v/>
      </c>
      <c r="R38" s="32" t="str">
        <f ca="1">IF(R33&lt;&gt;"",OFFSET(変更先抽出【15時】!$A$1,P33-1,35),"")</f>
        <v/>
      </c>
      <c r="S38" s="34" t="str">
        <f ca="1">IF(R33&lt;&gt;"","端数","")</f>
        <v/>
      </c>
      <c r="T38" s="32"/>
      <c r="U38" s="34" t="str">
        <f ca="1">IF(R33&lt;&gt;"","アレルギー","")</f>
        <v/>
      </c>
      <c r="V38" s="37"/>
      <c r="W38" s="22"/>
      <c r="X38" s="34" t="str">
        <f ca="1">IF(Y33&lt;&gt;"","パン箱","")</f>
        <v/>
      </c>
      <c r="Y38" s="32" t="str">
        <f ca="1">IF(Y33&lt;&gt;"",OFFSET(変更先抽出【15時】!$A$1,W33-1,35),"")</f>
        <v/>
      </c>
      <c r="Z38" s="34" t="str">
        <f ca="1">IF(Y33&lt;&gt;"","端数","")</f>
        <v/>
      </c>
      <c r="AA38" s="32"/>
      <c r="AB38" s="34" t="str">
        <f ca="1">IF(Y33&lt;&gt;"","アレルギー","")</f>
        <v/>
      </c>
      <c r="AC38" s="37"/>
      <c r="AD38" s="22"/>
      <c r="AE38" s="30"/>
      <c r="AF38" s="34" t="str">
        <f ca="1">IF(AG33&lt;&gt;"","パン箱","")</f>
        <v/>
      </c>
      <c r="AG38" s="32" t="str">
        <f ca="1">IF(AG33&lt;&gt;"",OFFSET(変更先抽出【15時】!$A$1,AE33-1,35),"")</f>
        <v/>
      </c>
      <c r="AH38" s="34" t="str">
        <f ca="1">IF(AG33&lt;&gt;"","端数","")</f>
        <v/>
      </c>
      <c r="AI38" s="32"/>
      <c r="AJ38" s="34" t="str">
        <f ca="1">IF(AG33&lt;&gt;"","アレルギー","")</f>
        <v/>
      </c>
      <c r="AK38" s="37"/>
      <c r="AL38" s="22"/>
      <c r="AM38" s="34" t="str">
        <f ca="1">IF(AN33&lt;&gt;"","パン箱","")</f>
        <v/>
      </c>
      <c r="AN38" s="32" t="str">
        <f ca="1">IF(AN33&lt;&gt;"",OFFSET(変更先抽出【15時】!$A$1,AL33-1,35),"")</f>
        <v/>
      </c>
      <c r="AO38" s="34" t="str">
        <f ca="1">IF(AN33&lt;&gt;"","端数","")</f>
        <v/>
      </c>
      <c r="AP38" s="32"/>
      <c r="AQ38" s="34" t="str">
        <f ca="1">IF(AN33&lt;&gt;"","アレルギー","")</f>
        <v/>
      </c>
      <c r="AR38" s="37"/>
      <c r="AS38" s="22"/>
      <c r="AT38" s="30"/>
      <c r="AU38" s="34" t="str">
        <f ca="1">IF(AV33&lt;&gt;"","パン箱","")</f>
        <v/>
      </c>
      <c r="AV38" s="32" t="str">
        <f ca="1">IF(AV33&lt;&gt;"",OFFSET(変更先抽出【15時】!$A$1,AT33-1,35),"")</f>
        <v/>
      </c>
      <c r="AW38" s="34" t="str">
        <f ca="1">IF(AV33&lt;&gt;"","端数","")</f>
        <v/>
      </c>
      <c r="AX38" s="32"/>
      <c r="AY38" s="34" t="str">
        <f ca="1">IF(AV33&lt;&gt;"","アレルギー","")</f>
        <v/>
      </c>
      <c r="AZ38" s="37"/>
      <c r="BA38" s="22"/>
      <c r="BB38" s="34" t="str">
        <f ca="1">IF(BC33&lt;&gt;"","パン箱","")</f>
        <v/>
      </c>
      <c r="BC38" s="32" t="str">
        <f ca="1">IF(BC33&lt;&gt;"",OFFSET(変更先抽出【15時】!$A$1,BA33-1,35),"")</f>
        <v/>
      </c>
      <c r="BD38" s="34" t="str">
        <f ca="1">IF(BC33&lt;&gt;"","端数","")</f>
        <v/>
      </c>
      <c r="BE38" s="32"/>
      <c r="BF38" s="34" t="str">
        <f ca="1">IF(BC33&lt;&gt;"","アレルギー","")</f>
        <v/>
      </c>
      <c r="BG38" s="37"/>
      <c r="BH38" s="22"/>
      <c r="BI38" s="30"/>
      <c r="BJ38" s="34" t="str">
        <f ca="1">IF(BK33&lt;&gt;"","パン箱","")</f>
        <v/>
      </c>
      <c r="BK38" s="32" t="str">
        <f ca="1">IF(BK33&lt;&gt;"",OFFSET(変更先抽出【15時】!$A$1,BI33-1,35),"")</f>
        <v/>
      </c>
      <c r="BL38" s="34" t="str">
        <f ca="1">IF(BK33&lt;&gt;"","端数","")</f>
        <v/>
      </c>
      <c r="BM38" s="32"/>
      <c r="BN38" s="34" t="str">
        <f ca="1">IF(BK33&lt;&gt;"","アレルギー","")</f>
        <v/>
      </c>
      <c r="BO38" s="37"/>
      <c r="BP38" s="22"/>
      <c r="BQ38" s="34" t="str">
        <f ca="1">IF(BR33&lt;&gt;"","パン箱","")</f>
        <v/>
      </c>
      <c r="BR38" s="32" t="str">
        <f ca="1">IF(BR33&lt;&gt;"",OFFSET(変更先抽出【15時】!$A$1,BP33-1,35),"")</f>
        <v/>
      </c>
      <c r="BS38" s="34" t="str">
        <f ca="1">IF(BR33&lt;&gt;"","端数","")</f>
        <v/>
      </c>
      <c r="BT38" s="32"/>
      <c r="BU38" s="34" t="str">
        <f ca="1">IF(BR33&lt;&gt;"","アレルギー","")</f>
        <v/>
      </c>
      <c r="BV38" s="37"/>
      <c r="BW38" s="22"/>
      <c r="BX38" s="30"/>
      <c r="BY38" s="34" t="str">
        <f ca="1">IF(BZ33&lt;&gt;"","パン箱","")</f>
        <v/>
      </c>
      <c r="BZ38" s="32" t="str">
        <f ca="1">IF(BZ33&lt;&gt;"",OFFSET(変更先抽出【15時】!$A$1,BX33-1,35),"")</f>
        <v/>
      </c>
      <c r="CA38" s="34" t="str">
        <f ca="1">IF(BZ33&lt;&gt;"","端数","")</f>
        <v/>
      </c>
      <c r="CB38" s="32"/>
      <c r="CC38" s="34" t="str">
        <f ca="1">IF(BZ33&lt;&gt;"","アレルギー","")</f>
        <v/>
      </c>
      <c r="CD38" s="37"/>
      <c r="CE38" s="22"/>
      <c r="CF38" s="34" t="str">
        <f ca="1">IF(CG33&lt;&gt;"","パン箱","")</f>
        <v/>
      </c>
      <c r="CG38" s="32" t="str">
        <f ca="1">IF(CG33&lt;&gt;"",OFFSET(変更先抽出【15時】!$A$1,CE33-1,35),"")</f>
        <v/>
      </c>
      <c r="CH38" s="34" t="str">
        <f ca="1">IF(CG33&lt;&gt;"","端数","")</f>
        <v/>
      </c>
      <c r="CI38" s="32"/>
      <c r="CJ38" s="34" t="str">
        <f ca="1">IF(CG33&lt;&gt;"","アレルギー","")</f>
        <v/>
      </c>
      <c r="CK38" s="37"/>
      <c r="CL38" s="22"/>
      <c r="CM38" s="30"/>
      <c r="CN38" s="34" t="str">
        <f ca="1">IF(CO33&lt;&gt;"","パン箱","")</f>
        <v/>
      </c>
      <c r="CO38" s="32" t="str">
        <f ca="1">IF(CO33&lt;&gt;"",OFFSET(変更先抽出【15時】!$A$1,CM33-1,35),"")</f>
        <v/>
      </c>
      <c r="CP38" s="34" t="str">
        <f ca="1">IF(CO33&lt;&gt;"","端数","")</f>
        <v/>
      </c>
      <c r="CQ38" s="32"/>
      <c r="CR38" s="34" t="str">
        <f ca="1">IF(CO33&lt;&gt;"","アレルギー","")</f>
        <v/>
      </c>
      <c r="CS38" s="37"/>
      <c r="CT38" s="22"/>
      <c r="CU38" s="34" t="str">
        <f ca="1">IF(CV33&lt;&gt;"","パン箱","")</f>
        <v/>
      </c>
      <c r="CV38" s="32" t="str">
        <f ca="1">IF(CV33&lt;&gt;"",OFFSET(変更先抽出【15時】!$A$1,CT33-1,35),"")</f>
        <v/>
      </c>
      <c r="CW38" s="34" t="str">
        <f ca="1">IF(CV33&lt;&gt;"","端数","")</f>
        <v/>
      </c>
      <c r="CX38" s="32"/>
      <c r="CY38" s="34" t="str">
        <f ca="1">IF(CV33&lt;&gt;"","アレルギー","")</f>
        <v/>
      </c>
      <c r="CZ38" s="37"/>
      <c r="DA38" s="22"/>
      <c r="DB38" s="30"/>
      <c r="DC38" s="34" t="str">
        <f ca="1">IF(DD33&lt;&gt;"","パン箱","")</f>
        <v/>
      </c>
      <c r="DD38" s="32" t="str">
        <f ca="1">IF(DD33&lt;&gt;"",OFFSET(変更先抽出【15時】!$A$1,DB33-1,35),"")</f>
        <v/>
      </c>
      <c r="DE38" s="34" t="str">
        <f ca="1">IF(DD33&lt;&gt;"","端数","")</f>
        <v/>
      </c>
      <c r="DF38" s="32"/>
      <c r="DG38" s="34" t="str">
        <f ca="1">IF(DD33&lt;&gt;"","アレルギー","")</f>
        <v/>
      </c>
      <c r="DH38" s="37"/>
      <c r="DI38" s="22"/>
      <c r="DJ38" s="34" t="str">
        <f ca="1">IF(DK33&lt;&gt;"","パン箱","")</f>
        <v/>
      </c>
      <c r="DK38" s="32" t="str">
        <f ca="1">IF(DK33&lt;&gt;"",OFFSET(変更先抽出【15時】!$A$1,DI33-1,35),"")</f>
        <v/>
      </c>
      <c r="DL38" s="34" t="str">
        <f ca="1">IF(DK33&lt;&gt;"","端数","")</f>
        <v/>
      </c>
      <c r="DM38" s="32"/>
      <c r="DN38" s="34" t="str">
        <f ca="1">IF(DK33&lt;&gt;"","アレルギー","")</f>
        <v/>
      </c>
      <c r="DO38" s="37"/>
      <c r="DP38" s="22"/>
      <c r="DQ38" s="30"/>
      <c r="DR38" s="34" t="str">
        <f ca="1">IF(DS33&lt;&gt;"","パン箱","")</f>
        <v/>
      </c>
      <c r="DS38" s="32" t="str">
        <f ca="1">IF(DS33&lt;&gt;"",OFFSET(変更先抽出【15時】!$A$1,DQ33-1,35),"")</f>
        <v/>
      </c>
      <c r="DT38" s="34" t="str">
        <f ca="1">IF(DS33&lt;&gt;"","端数","")</f>
        <v/>
      </c>
      <c r="DU38" s="32"/>
      <c r="DV38" s="34" t="str">
        <f ca="1">IF(DS33&lt;&gt;"","アレルギー","")</f>
        <v/>
      </c>
      <c r="DW38" s="37"/>
      <c r="DX38" s="22"/>
      <c r="DY38" s="34" t="str">
        <f ca="1">IF(DZ33&lt;&gt;"","パン箱","")</f>
        <v/>
      </c>
      <c r="DZ38" s="32" t="str">
        <f ca="1">IF(DZ33&lt;&gt;"",OFFSET(変更先抽出【15時】!$A$1,DX33-1,35),"")</f>
        <v/>
      </c>
      <c r="EA38" s="34" t="str">
        <f ca="1">IF(DZ33&lt;&gt;"","端数","")</f>
        <v/>
      </c>
      <c r="EB38" s="32"/>
      <c r="EC38" s="34" t="str">
        <f ca="1">IF(DZ33&lt;&gt;"","アレルギー","")</f>
        <v/>
      </c>
      <c r="ED38" s="37"/>
      <c r="EE38" s="22"/>
      <c r="EF38" s="30"/>
      <c r="EG38" s="34" t="str">
        <f ca="1">IF(EH33&lt;&gt;"","パン箱","")</f>
        <v/>
      </c>
      <c r="EH38" s="32" t="str">
        <f ca="1">IF(EH33&lt;&gt;"",OFFSET(変更先抽出【15時】!$A$1,EF33-1,35),"")</f>
        <v/>
      </c>
      <c r="EI38" s="34" t="str">
        <f ca="1">IF(EH33&lt;&gt;"","端数","")</f>
        <v/>
      </c>
      <c r="EJ38" s="32"/>
      <c r="EK38" s="34" t="str">
        <f ca="1">IF(EH33&lt;&gt;"","アレルギー","")</f>
        <v/>
      </c>
      <c r="EL38" s="37"/>
      <c r="EM38" s="22"/>
      <c r="EN38" s="34" t="str">
        <f ca="1">IF(EO33&lt;&gt;"","パン箱","")</f>
        <v/>
      </c>
      <c r="EO38" s="32" t="str">
        <f ca="1">IF(EO33&lt;&gt;"",OFFSET(変更先抽出【15時】!$A$1,EM33-1,35),"")</f>
        <v/>
      </c>
      <c r="EP38" s="34" t="str">
        <f ca="1">IF(EO33&lt;&gt;"","端数","")</f>
        <v/>
      </c>
      <c r="EQ38" s="32"/>
      <c r="ER38" s="34" t="str">
        <f ca="1">IF(EO33&lt;&gt;"","アレルギー","")</f>
        <v/>
      </c>
      <c r="ES38" s="37"/>
      <c r="ET38" s="22"/>
    </row>
    <row r="39" spans="1:150" ht="27.6" customHeight="1">
      <c r="B39" s="216" t="str">
        <f ca="1">IF(C33&lt;&gt;"",IFERROR(INT(C36/C38),""),"")</f>
        <v/>
      </c>
      <c r="C39" s="209"/>
      <c r="D39" s="216" t="str">
        <f ca="1">IF(C33&lt;&gt;"",IFERROR(MOD(C36,C38),""),"")</f>
        <v/>
      </c>
      <c r="E39" s="209"/>
      <c r="F39" s="217" t="str">
        <f ca="1">IF(C33&lt;&gt;"",OFFSET(変更先抽出【15時】!$A$1,A33-1,34),"")</f>
        <v/>
      </c>
      <c r="G39" s="209"/>
      <c r="I39" s="216" t="str">
        <f ca="1">IF(J33&lt;&gt;"",IFERROR(INT(J36/J38),""),"")</f>
        <v/>
      </c>
      <c r="J39" s="209"/>
      <c r="K39" s="216" t="str">
        <f ca="1">IF(J33&lt;&gt;"",IFERROR(MOD(J36,J38),""),"")</f>
        <v/>
      </c>
      <c r="L39" s="209"/>
      <c r="M39" s="217" t="str">
        <f ca="1">IF(J33&lt;&gt;"",OFFSET(変更先抽出【15時】!$A$1,H33-1,34),"")</f>
        <v/>
      </c>
      <c r="N39" s="209"/>
      <c r="Q39" s="216" t="str">
        <f ca="1">IF(R33&lt;&gt;"",IFERROR(INT(R36/R38),""),"")</f>
        <v/>
      </c>
      <c r="R39" s="209"/>
      <c r="S39" s="216" t="str">
        <f ca="1">IF(R33&lt;&gt;"",IFERROR(MOD(R36,R38),""),"")</f>
        <v/>
      </c>
      <c r="T39" s="209"/>
      <c r="U39" s="217" t="str">
        <f ca="1">IF(R33&lt;&gt;"",OFFSET(変更先抽出【15時】!$A$1,P33-1,34),"")</f>
        <v/>
      </c>
      <c r="V39" s="209"/>
      <c r="X39" s="216" t="str">
        <f ca="1">IF(Y33&lt;&gt;"",IFERROR(INT(Y36/Y38),""),"")</f>
        <v/>
      </c>
      <c r="Y39" s="209"/>
      <c r="Z39" s="216" t="str">
        <f ca="1">IF(Y33&lt;&gt;"",IFERROR(MOD(Y36,Y38),""),"")</f>
        <v/>
      </c>
      <c r="AA39" s="209"/>
      <c r="AB39" s="217" t="str">
        <f ca="1">IF(Y33&lt;&gt;"",OFFSET(変更先抽出【15時】!$A$1,W33-1,34),"")</f>
        <v/>
      </c>
      <c r="AC39" s="209"/>
      <c r="AF39" s="216" t="str">
        <f ca="1">IF(AG33&lt;&gt;"",IFERROR(INT(AG36/AG38),""),"")</f>
        <v/>
      </c>
      <c r="AG39" s="209"/>
      <c r="AH39" s="216" t="str">
        <f ca="1">IF(AG33&lt;&gt;"",IFERROR(MOD(AG36,AG38),""),"")</f>
        <v/>
      </c>
      <c r="AI39" s="209"/>
      <c r="AJ39" s="217" t="str">
        <f ca="1">IF(AG33&lt;&gt;"",OFFSET(変更先抽出【15時】!$A$1,AE33-1,34),"")</f>
        <v/>
      </c>
      <c r="AK39" s="209"/>
      <c r="AM39" s="216" t="str">
        <f ca="1">IF(AN33&lt;&gt;"",IFERROR(INT(AN36/AN38),""),"")</f>
        <v/>
      </c>
      <c r="AN39" s="209"/>
      <c r="AO39" s="216" t="str">
        <f ca="1">IF(AN33&lt;&gt;"",IFERROR(MOD(AN36,AN38),""),"")</f>
        <v/>
      </c>
      <c r="AP39" s="209"/>
      <c r="AQ39" s="217" t="str">
        <f ca="1">IF(AN33&lt;&gt;"",OFFSET(変更先抽出【15時】!$A$1,AL33-1,34),"")</f>
        <v/>
      </c>
      <c r="AR39" s="209"/>
      <c r="AU39" s="216" t="str">
        <f ca="1">IF(AV33&lt;&gt;"",IFERROR(INT(AV36/AV38),""),"")</f>
        <v/>
      </c>
      <c r="AV39" s="209"/>
      <c r="AW39" s="216" t="str">
        <f ca="1">IF(AV33&lt;&gt;"",IFERROR(MOD(AV36,AV38),""),"")</f>
        <v/>
      </c>
      <c r="AX39" s="209"/>
      <c r="AY39" s="217" t="str">
        <f ca="1">IF(AV33&lt;&gt;"",OFFSET(変更先抽出【15時】!$A$1,AT33-1,34),"")</f>
        <v/>
      </c>
      <c r="AZ39" s="209"/>
      <c r="BB39" s="216" t="str">
        <f ca="1">IF(BC33&lt;&gt;"",IFERROR(INT(BC36/BC38),""),"")</f>
        <v/>
      </c>
      <c r="BC39" s="209"/>
      <c r="BD39" s="216" t="str">
        <f ca="1">IF(BC33&lt;&gt;"",IFERROR(MOD(BC36,BC38),""),"")</f>
        <v/>
      </c>
      <c r="BE39" s="209"/>
      <c r="BF39" s="217" t="str">
        <f ca="1">IF(BC33&lt;&gt;"",OFFSET(変更先抽出【15時】!$A$1,BA33-1,34),"")</f>
        <v/>
      </c>
      <c r="BG39" s="209"/>
      <c r="BJ39" s="216" t="str">
        <f ca="1">IF(BK33&lt;&gt;"",IFERROR(INT(BK36/BK38),""),"")</f>
        <v/>
      </c>
      <c r="BK39" s="209"/>
      <c r="BL39" s="216" t="str">
        <f ca="1">IF(BK33&lt;&gt;"",IFERROR(MOD(BK36,BK38),""),"")</f>
        <v/>
      </c>
      <c r="BM39" s="209"/>
      <c r="BN39" s="217" t="str">
        <f ca="1">IF(BK33&lt;&gt;"",OFFSET(変更先抽出【15時】!$A$1,BI33-1,34),"")</f>
        <v/>
      </c>
      <c r="BO39" s="209"/>
      <c r="BQ39" s="216" t="str">
        <f ca="1">IF(BR33&lt;&gt;"",IFERROR(INT(BR36/BR38),""),"")</f>
        <v/>
      </c>
      <c r="BR39" s="209"/>
      <c r="BS39" s="216" t="str">
        <f ca="1">IF(BR33&lt;&gt;"",IFERROR(MOD(BR36,BR38),""),"")</f>
        <v/>
      </c>
      <c r="BT39" s="209"/>
      <c r="BU39" s="217" t="str">
        <f ca="1">IF(BR33&lt;&gt;"",OFFSET(変更先抽出【15時】!$A$1,BP33-1,34),"")</f>
        <v/>
      </c>
      <c r="BV39" s="209"/>
      <c r="BY39" s="216" t="str">
        <f ca="1">IF(BZ33&lt;&gt;"",IFERROR(INT(BZ36/BZ38),""),"")</f>
        <v/>
      </c>
      <c r="BZ39" s="209"/>
      <c r="CA39" s="216" t="str">
        <f ca="1">IF(BZ33&lt;&gt;"",IFERROR(MOD(BZ36,BZ38),""),"")</f>
        <v/>
      </c>
      <c r="CB39" s="209"/>
      <c r="CC39" s="217" t="str">
        <f ca="1">IF(BZ33&lt;&gt;"",OFFSET(変更先抽出【15時】!$A$1,BX33-1,34),"")</f>
        <v/>
      </c>
      <c r="CD39" s="209"/>
      <c r="CF39" s="216" t="str">
        <f ca="1">IF(CG33&lt;&gt;"",IFERROR(INT(CG36/CG38),""),"")</f>
        <v/>
      </c>
      <c r="CG39" s="209"/>
      <c r="CH39" s="216" t="str">
        <f ca="1">IF(CG33&lt;&gt;"",IFERROR(MOD(CG36,CG38),""),"")</f>
        <v/>
      </c>
      <c r="CI39" s="209"/>
      <c r="CJ39" s="217" t="str">
        <f ca="1">IF(CG33&lt;&gt;"",OFFSET(変更先抽出【15時】!$A$1,CE33-1,34),"")</f>
        <v/>
      </c>
      <c r="CK39" s="209"/>
      <c r="CN39" s="216" t="str">
        <f ca="1">IF(CO33&lt;&gt;"",IFERROR(INT(CO36/CO38),""),"")</f>
        <v/>
      </c>
      <c r="CO39" s="209"/>
      <c r="CP39" s="216" t="str">
        <f ca="1">IF(CO33&lt;&gt;"",IFERROR(MOD(CO36,CO38),""),"")</f>
        <v/>
      </c>
      <c r="CQ39" s="209"/>
      <c r="CR39" s="217" t="str">
        <f ca="1">IF(CO33&lt;&gt;"",OFFSET(変更先抽出【15時】!$A$1,CM33-1,34),"")</f>
        <v/>
      </c>
      <c r="CS39" s="209"/>
      <c r="CU39" s="216" t="str">
        <f ca="1">IF(CV33&lt;&gt;"",IFERROR(INT(CV36/CV38),""),"")</f>
        <v/>
      </c>
      <c r="CV39" s="209"/>
      <c r="CW39" s="216" t="str">
        <f ca="1">IF(CV33&lt;&gt;"",IFERROR(MOD(CV36,CV38),""),"")</f>
        <v/>
      </c>
      <c r="CX39" s="209"/>
      <c r="CY39" s="217" t="str">
        <f ca="1">IF(CV33&lt;&gt;"",OFFSET(変更先抽出【15時】!$A$1,CT33-1,34),"")</f>
        <v/>
      </c>
      <c r="CZ39" s="209"/>
      <c r="DC39" s="216" t="str">
        <f ca="1">IF(DD33&lt;&gt;"",IFERROR(INT(DD36/DD38),""),"")</f>
        <v/>
      </c>
      <c r="DD39" s="209"/>
      <c r="DE39" s="216" t="str">
        <f ca="1">IF(DD33&lt;&gt;"",IFERROR(MOD(DD36,DD38),""),"")</f>
        <v/>
      </c>
      <c r="DF39" s="209"/>
      <c r="DG39" s="217" t="str">
        <f ca="1">IF(DD33&lt;&gt;"",OFFSET(変更先抽出【15時】!$A$1,DB33-1,34),"")</f>
        <v/>
      </c>
      <c r="DH39" s="209"/>
      <c r="DJ39" s="216" t="str">
        <f ca="1">IF(DK33&lt;&gt;"",IFERROR(INT(DK36/DK38),""),"")</f>
        <v/>
      </c>
      <c r="DK39" s="209"/>
      <c r="DL39" s="216" t="str">
        <f ca="1">IF(DK33&lt;&gt;"",IFERROR(MOD(DK36,DK38),""),"")</f>
        <v/>
      </c>
      <c r="DM39" s="209"/>
      <c r="DN39" s="217" t="str">
        <f ca="1">IF(DK33&lt;&gt;"",OFFSET(変更先抽出【15時】!$A$1,DI33-1,34),"")</f>
        <v/>
      </c>
      <c r="DO39" s="209"/>
      <c r="DR39" s="216" t="str">
        <f ca="1">IF(DS33&lt;&gt;"",IFERROR(INT(DS36/DS38),""),"")</f>
        <v/>
      </c>
      <c r="DS39" s="209"/>
      <c r="DT39" s="216" t="str">
        <f ca="1">IF(DS33&lt;&gt;"",IFERROR(MOD(DS36,DS38),""),"")</f>
        <v/>
      </c>
      <c r="DU39" s="209"/>
      <c r="DV39" s="217" t="str">
        <f ca="1">IF(DS33&lt;&gt;"",OFFSET(変更先抽出【15時】!$A$1,DQ33-1,34),"")</f>
        <v/>
      </c>
      <c r="DW39" s="209"/>
      <c r="DY39" s="216" t="str">
        <f ca="1">IF(DZ33&lt;&gt;"",IFERROR(INT(DZ36/DZ38),""),"")</f>
        <v/>
      </c>
      <c r="DZ39" s="209"/>
      <c r="EA39" s="216" t="str">
        <f ca="1">IF(DZ33&lt;&gt;"",IFERROR(MOD(DZ36,DZ38),""),"")</f>
        <v/>
      </c>
      <c r="EB39" s="209"/>
      <c r="EC39" s="217" t="str">
        <f ca="1">IF(DZ33&lt;&gt;"",OFFSET(変更先抽出【15時】!$A$1,DX33-1,34),"")</f>
        <v/>
      </c>
      <c r="ED39" s="209"/>
      <c r="EG39" s="216" t="str">
        <f ca="1">IF(EH33&lt;&gt;"",IFERROR(INT(EH36/EH38),""),"")</f>
        <v/>
      </c>
      <c r="EH39" s="209"/>
      <c r="EI39" s="216" t="str">
        <f ca="1">IF(EH33&lt;&gt;"",IFERROR(MOD(EH36,EH38),""),"")</f>
        <v/>
      </c>
      <c r="EJ39" s="209"/>
      <c r="EK39" s="217" t="str">
        <f ca="1">IF(EH33&lt;&gt;"",OFFSET(変更先抽出【15時】!$A$1,EF33-1,34),"")</f>
        <v/>
      </c>
      <c r="EL39" s="209"/>
      <c r="EN39" s="216" t="str">
        <f ca="1">IF(EO33&lt;&gt;"",IFERROR(INT(EO36/EO38),""),"")</f>
        <v/>
      </c>
      <c r="EO39" s="209"/>
      <c r="EP39" s="216" t="str">
        <f ca="1">IF(EO33&lt;&gt;"",IFERROR(MOD(EO36,EO38),""),"")</f>
        <v/>
      </c>
      <c r="EQ39" s="209"/>
      <c r="ER39" s="217" t="str">
        <f ca="1">IF(EO33&lt;&gt;"",OFFSET(変更先抽出【15時】!$A$1,EM33-1,34),"")</f>
        <v/>
      </c>
      <c r="ES39" s="209"/>
    </row>
    <row r="40" spans="1:150" ht="6.6" customHeight="1">
      <c r="B40" s="41"/>
      <c r="D40" s="41"/>
      <c r="F40" s="42"/>
      <c r="I40" s="41"/>
      <c r="K40" s="41"/>
      <c r="M40" s="42"/>
      <c r="Q40" s="41"/>
      <c r="S40" s="41"/>
      <c r="U40" s="42"/>
      <c r="X40" s="41"/>
      <c r="Z40" s="41"/>
      <c r="AB40" s="42"/>
      <c r="AF40" s="41"/>
      <c r="AH40" s="41"/>
      <c r="AJ40" s="42"/>
      <c r="AM40" s="41"/>
      <c r="AO40" s="41"/>
      <c r="AQ40" s="42"/>
      <c r="AU40" s="41"/>
      <c r="AW40" s="41"/>
      <c r="AY40" s="42"/>
      <c r="BB40" s="41"/>
      <c r="BD40" s="41"/>
      <c r="BF40" s="42"/>
      <c r="BJ40" s="41"/>
      <c r="BL40" s="41"/>
      <c r="BN40" s="42"/>
      <c r="BQ40" s="41"/>
      <c r="BS40" s="41"/>
      <c r="BU40" s="42"/>
      <c r="BY40" s="41"/>
      <c r="CA40" s="41"/>
      <c r="CC40" s="42"/>
      <c r="CF40" s="41"/>
      <c r="CH40" s="41"/>
      <c r="CJ40" s="42"/>
      <c r="CN40" s="41"/>
      <c r="CP40" s="41"/>
      <c r="CR40" s="42"/>
      <c r="CU40" s="41"/>
      <c r="CW40" s="41"/>
      <c r="CY40" s="42"/>
      <c r="DC40" s="41"/>
      <c r="DE40" s="41"/>
      <c r="DG40" s="42"/>
      <c r="DJ40" s="41"/>
      <c r="DL40" s="41"/>
      <c r="DN40" s="42"/>
      <c r="DR40" s="41"/>
      <c r="DT40" s="41"/>
      <c r="DV40" s="42"/>
      <c r="DY40" s="41"/>
      <c r="EA40" s="41"/>
      <c r="EC40" s="42"/>
      <c r="EG40" s="41"/>
      <c r="EI40" s="41"/>
      <c r="EK40" s="42"/>
      <c r="EN40" s="41"/>
      <c r="EP40" s="41"/>
      <c r="ER40" s="42"/>
    </row>
    <row r="41" spans="1:150" s="181" customFormat="1" ht="25.8" customHeight="1">
      <c r="A41" s="30">
        <f ca="1">IF(OFFSET(変更先抽出【15時】!$A$1,H33+1-1,29)="",H33+2,H33+1)</f>
        <v>21</v>
      </c>
      <c r="B41" s="40" t="str">
        <f ca="1">IF(C41&lt;&gt;"",
MID(貼り付け用!$A$2, FIND("年",貼り付け用!$A$2)+1,2)&amp;"/"&amp;MID(貼り付け用!$A$2, FIND("月",貼り付け用!$A$2)+1,2),"")</f>
        <v/>
      </c>
      <c r="C41" s="214" t="str">
        <f ca="1">IF(OFFSET(変更先抽出【15時】!$A$1,A41-1,29)&lt;&gt;"",OFFSET(変更先抽出【15時】!$A$1,A41-1,30),"")</f>
        <v/>
      </c>
      <c r="D41" s="215"/>
      <c r="E41" s="215"/>
      <c r="F41" s="215"/>
      <c r="G41" s="39" t="str">
        <f ca="1">IF(C41&lt;&gt;"","様","")</f>
        <v/>
      </c>
      <c r="H41" s="33">
        <f ca="1">IF(OFFSET(変更先抽出【15時】!$A$1,A41+1-1,29)="",A41+2,A41+1)</f>
        <v>23</v>
      </c>
      <c r="I41" s="40" t="str">
        <f ca="1">IF(J41&lt;&gt;"",
MID(貼り付け用!$A$2, FIND("年",貼り付け用!$A$2)+1,2)&amp;"/"&amp;MID(貼り付け用!$A$2, FIND("月",貼り付け用!$A$2)+1,2),"")</f>
        <v/>
      </c>
      <c r="J41" s="214" t="str">
        <f ca="1">IF(OFFSET(変更先抽出【15時】!$A$1,H41-1,29)&lt;&gt;"",OFFSET(変更先抽出【15時】!$A$1,H41-1,30),"")</f>
        <v/>
      </c>
      <c r="K41" s="215"/>
      <c r="L41" s="215"/>
      <c r="M41" s="215"/>
      <c r="N41" s="39" t="str">
        <f ca="1">IF(J41&lt;&gt;"","様","")</f>
        <v/>
      </c>
      <c r="O41" s="22"/>
      <c r="P41" s="30">
        <f ca="1">IF(OFFSET(変更先抽出【15時】!$A$1,W33+1-1,29)="",W33+2,W33+1)</f>
        <v>45</v>
      </c>
      <c r="Q41" s="40" t="str">
        <f ca="1">IF(R41&lt;&gt;"",
MID(貼り付け用!$A$2, FIND("年",貼り付け用!$A$2)+1,2)&amp;"/"&amp;MID(貼り付け用!$A$2, FIND("月",貼り付け用!$A$2)+1,2),"")</f>
        <v/>
      </c>
      <c r="R41" s="214" t="str">
        <f ca="1">IF(OFFSET(変更先抽出【15時】!$A$1,P41-1,29)&lt;&gt;"",OFFSET(変更先抽出【15時】!$A$1,P41-1,30),"")</f>
        <v/>
      </c>
      <c r="S41" s="215"/>
      <c r="T41" s="215"/>
      <c r="U41" s="215"/>
      <c r="V41" s="39" t="str">
        <f ca="1">IF(R41&lt;&gt;"","様","")</f>
        <v/>
      </c>
      <c r="W41" s="33">
        <f ca="1">IF(OFFSET(変更先抽出【15時】!$A$1,P41+1-1,29)="",P41+2,P41+1)</f>
        <v>47</v>
      </c>
      <c r="X41" s="40" t="str">
        <f ca="1">IF(Y41&lt;&gt;"",
MID(貼り付け用!$A$2, FIND("年",貼り付け用!$A$2)+1,2)&amp;"/"&amp;MID(貼り付け用!$A$2, FIND("月",貼り付け用!$A$2)+1,2),"")</f>
        <v/>
      </c>
      <c r="Y41" s="214" t="str">
        <f ca="1">IF(OFFSET(変更先抽出【15時】!$A$1,W41-1,29)&lt;&gt;"",OFFSET(変更先抽出【15時】!$A$1,W41-1,30),"")</f>
        <v/>
      </c>
      <c r="Z41" s="215"/>
      <c r="AA41" s="215"/>
      <c r="AB41" s="215"/>
      <c r="AC41" s="39" t="str">
        <f ca="1">IF(Y41&lt;&gt;"","様","")</f>
        <v/>
      </c>
      <c r="AD41" s="22"/>
      <c r="AE41" s="30">
        <f ca="1">IF(OFFSET(変更先抽出【15時】!$A$1,AL33+1-1,29)="",AL33+2,AL33+1)</f>
        <v>69</v>
      </c>
      <c r="AF41" s="40" t="str">
        <f ca="1">IF(AG41&lt;&gt;"",
MID(貼り付け用!$A$2, FIND("年",貼り付け用!$A$2)+1,2)&amp;"/"&amp;MID(貼り付け用!$A$2, FIND("月",貼り付け用!$A$2)+1,2),"")</f>
        <v/>
      </c>
      <c r="AG41" s="214" t="str">
        <f ca="1">IF(OFFSET(変更先抽出【15時】!$A$1,AE41-1,29)&lt;&gt;"",OFFSET(変更先抽出【15時】!$A$1,AE41-1,30),"")</f>
        <v/>
      </c>
      <c r="AH41" s="215"/>
      <c r="AI41" s="215"/>
      <c r="AJ41" s="215"/>
      <c r="AK41" s="39" t="str">
        <f ca="1">IF(AG41&lt;&gt;"","様","")</f>
        <v/>
      </c>
      <c r="AL41" s="33">
        <f ca="1">IF(OFFSET(変更先抽出【15時】!$A$1,AE41+1-1,29)="",AE41+2,AE41+1)</f>
        <v>71</v>
      </c>
      <c r="AM41" s="40" t="str">
        <f ca="1">IF(AN41&lt;&gt;"",
MID(貼り付け用!$A$2, FIND("年",貼り付け用!$A$2)+1,2)&amp;"/"&amp;MID(貼り付け用!$A$2, FIND("月",貼り付け用!$A$2)+1,2),"")</f>
        <v/>
      </c>
      <c r="AN41" s="214" t="str">
        <f ca="1">IF(OFFSET(変更先抽出【15時】!$A$1,AL41-1,29)&lt;&gt;"",OFFSET(変更先抽出【15時】!$A$1,AL41-1,30),"")</f>
        <v/>
      </c>
      <c r="AO41" s="215"/>
      <c r="AP41" s="215"/>
      <c r="AQ41" s="215"/>
      <c r="AR41" s="39" t="str">
        <f ca="1">IF(AN41&lt;&gt;"","様","")</f>
        <v/>
      </c>
      <c r="AS41" s="22"/>
      <c r="AT41" s="30">
        <f ca="1">IF(OFFSET(変更先抽出【15時】!$A$1,BA33+1-1,29)="",BA33+2,BA33+1)</f>
        <v>93</v>
      </c>
      <c r="AU41" s="40" t="str">
        <f ca="1">IF(AV41&lt;&gt;"",
MID(貼り付け用!$A$2, FIND("年",貼り付け用!$A$2)+1,2)&amp;"/"&amp;MID(貼り付け用!$A$2, FIND("月",貼り付け用!$A$2)+1,2),"")</f>
        <v/>
      </c>
      <c r="AV41" s="214" t="str">
        <f ca="1">IF(OFFSET(変更先抽出【15時】!$A$1,AT41-1,29)&lt;&gt;"",OFFSET(変更先抽出【15時】!$A$1,AT41-1,30),"")</f>
        <v/>
      </c>
      <c r="AW41" s="215"/>
      <c r="AX41" s="215"/>
      <c r="AY41" s="215"/>
      <c r="AZ41" s="39" t="str">
        <f ca="1">IF(AV41&lt;&gt;"","様","")</f>
        <v/>
      </c>
      <c r="BA41" s="33">
        <f ca="1">IF(OFFSET(変更先抽出【15時】!$A$1,AT41+1-1,29)="",AT41+2,AT41+1)</f>
        <v>95</v>
      </c>
      <c r="BB41" s="40" t="str">
        <f ca="1">IF(BC41&lt;&gt;"",
MID(貼り付け用!$A$2, FIND("年",貼り付け用!$A$2)+1,2)&amp;"/"&amp;MID(貼り付け用!$A$2, FIND("月",貼り付け用!$A$2)+1,2),"")</f>
        <v/>
      </c>
      <c r="BC41" s="214" t="str">
        <f ca="1">IF(OFFSET(変更先抽出【15時】!$A$1,BA41-1,29)&lt;&gt;"",OFFSET(変更先抽出【15時】!$A$1,BA41-1,30),"")</f>
        <v/>
      </c>
      <c r="BD41" s="215"/>
      <c r="BE41" s="215"/>
      <c r="BF41" s="215"/>
      <c r="BG41" s="39" t="str">
        <f ca="1">IF(BC41&lt;&gt;"","様","")</f>
        <v/>
      </c>
      <c r="BH41" s="22"/>
      <c r="BI41" s="30">
        <f ca="1">IF(OFFSET(変更先抽出【15時】!$A$1,BP33+1-1,29)="",BP33+2,BP33+1)</f>
        <v>117</v>
      </c>
      <c r="BJ41" s="40" t="str">
        <f ca="1">IF(BK41&lt;&gt;"",
MID(貼り付け用!$A$2, FIND("年",貼り付け用!$A$2)+1,2)&amp;"/"&amp;MID(貼り付け用!$A$2, FIND("月",貼り付け用!$A$2)+1,2),"")</f>
        <v/>
      </c>
      <c r="BK41" s="214" t="str">
        <f ca="1">IF(OFFSET(変更先抽出【15時】!$A$1,BI41-1,29)&lt;&gt;"",OFFSET(変更先抽出【15時】!$A$1,BI41-1,30),"")</f>
        <v/>
      </c>
      <c r="BL41" s="215"/>
      <c r="BM41" s="215"/>
      <c r="BN41" s="215"/>
      <c r="BO41" s="39" t="str">
        <f ca="1">IF(BK41&lt;&gt;"","様","")</f>
        <v/>
      </c>
      <c r="BP41" s="33">
        <f ca="1">IF(OFFSET(変更先抽出【15時】!$A$1,BI41+1-1,29)="",BI41+2,BI41+1)</f>
        <v>119</v>
      </c>
      <c r="BQ41" s="40" t="str">
        <f ca="1">IF(BR41&lt;&gt;"",
MID(貼り付け用!$A$2, FIND("年",貼り付け用!$A$2)+1,2)&amp;"/"&amp;MID(貼り付け用!$A$2, FIND("月",貼り付け用!$A$2)+1,2),"")</f>
        <v/>
      </c>
      <c r="BR41" s="214" t="str">
        <f ca="1">IF(OFFSET(変更先抽出【15時】!$A$1,BP41-1,29)&lt;&gt;"",OFFSET(変更先抽出【15時】!$A$1,BP41-1,30),"")</f>
        <v/>
      </c>
      <c r="BS41" s="215"/>
      <c r="BT41" s="215"/>
      <c r="BU41" s="215"/>
      <c r="BV41" s="39" t="str">
        <f ca="1">IF(BR41&lt;&gt;"","様","")</f>
        <v/>
      </c>
      <c r="BW41" s="22"/>
      <c r="BX41" s="30">
        <f ca="1">IF(OFFSET(変更先抽出【15時】!$A$1,CE33+1-1,29)="",CE33+2,CE33+1)</f>
        <v>141</v>
      </c>
      <c r="BY41" s="40" t="str">
        <f ca="1">IF(BZ41&lt;&gt;"",
MID(貼り付け用!$A$2, FIND("年",貼り付け用!$A$2)+1,2)&amp;"/"&amp;MID(貼り付け用!$A$2, FIND("月",貼り付け用!$A$2)+1,2),"")</f>
        <v/>
      </c>
      <c r="BZ41" s="214" t="str">
        <f ca="1">IF(OFFSET(変更先抽出【15時】!$A$1,BX41-1,29)&lt;&gt;"",OFFSET(変更先抽出【15時】!$A$1,BX41-1,30),"")</f>
        <v/>
      </c>
      <c r="CA41" s="215"/>
      <c r="CB41" s="215"/>
      <c r="CC41" s="215"/>
      <c r="CD41" s="39" t="str">
        <f ca="1">IF(BZ41&lt;&gt;"","様","")</f>
        <v/>
      </c>
      <c r="CE41" s="33">
        <f ca="1">IF(OFFSET(変更先抽出【15時】!$A$1,BX41+1-1,29)="",BX41+2,BX41+1)</f>
        <v>143</v>
      </c>
      <c r="CF41" s="40" t="str">
        <f ca="1">IF(CG41&lt;&gt;"",
MID(貼り付け用!$A$2, FIND("年",貼り付け用!$A$2)+1,2)&amp;"/"&amp;MID(貼り付け用!$A$2, FIND("月",貼り付け用!$A$2)+1,2),"")</f>
        <v/>
      </c>
      <c r="CG41" s="214" t="str">
        <f ca="1">IF(OFFSET(変更先抽出【15時】!$A$1,CE41-1,29)&lt;&gt;"",OFFSET(変更先抽出【15時】!$A$1,CE41-1,30),"")</f>
        <v/>
      </c>
      <c r="CH41" s="215"/>
      <c r="CI41" s="215"/>
      <c r="CJ41" s="215"/>
      <c r="CK41" s="39" t="str">
        <f ca="1">IF(CG41&lt;&gt;"","様","")</f>
        <v/>
      </c>
      <c r="CL41" s="22"/>
      <c r="CM41" s="30">
        <f ca="1">IF(OFFSET(変更先抽出【15時】!$A$1,CT33+1-1,29)="",CT33+2,CT33+1)</f>
        <v>165</v>
      </c>
      <c r="CN41" s="40" t="str">
        <f ca="1">IF(CO41&lt;&gt;"",
MID(貼り付け用!$A$2, FIND("年",貼り付け用!$A$2)+1,2)&amp;"/"&amp;MID(貼り付け用!$A$2, FIND("月",貼り付け用!$A$2)+1,2),"")</f>
        <v/>
      </c>
      <c r="CO41" s="214" t="str">
        <f ca="1">IF(OFFSET(変更先抽出【15時】!$A$1,CM41-1,29)&lt;&gt;"",OFFSET(変更先抽出【15時】!$A$1,CM41-1,30),"")</f>
        <v/>
      </c>
      <c r="CP41" s="215"/>
      <c r="CQ41" s="215"/>
      <c r="CR41" s="215"/>
      <c r="CS41" s="39" t="str">
        <f ca="1">IF(CO41&lt;&gt;"","様","")</f>
        <v/>
      </c>
      <c r="CT41" s="33">
        <f ca="1">IF(OFFSET(変更先抽出【15時】!$A$1,CM41+1-1,29)="",CM41+2,CM41+1)</f>
        <v>167</v>
      </c>
      <c r="CU41" s="40" t="str">
        <f ca="1">IF(CV41&lt;&gt;"",
MID(貼り付け用!$A$2, FIND("年",貼り付け用!$A$2)+1,2)&amp;"/"&amp;MID(貼り付け用!$A$2, FIND("月",貼り付け用!$A$2)+1,2),"")</f>
        <v/>
      </c>
      <c r="CV41" s="214" t="str">
        <f ca="1">IF(OFFSET(変更先抽出【15時】!$A$1,CT41-1,29)&lt;&gt;"",OFFSET(変更先抽出【15時】!$A$1,CT41-1,30),"")</f>
        <v/>
      </c>
      <c r="CW41" s="215"/>
      <c r="CX41" s="215"/>
      <c r="CY41" s="215"/>
      <c r="CZ41" s="39" t="str">
        <f ca="1">IF(CV41&lt;&gt;"","様","")</f>
        <v/>
      </c>
      <c r="DA41" s="22"/>
      <c r="DB41" s="30">
        <f ca="1">IF(OFFSET(変更先抽出【15時】!$A$1,DI33+1-1,29)="",DI33+2,DI33+1)</f>
        <v>189</v>
      </c>
      <c r="DC41" s="40" t="str">
        <f ca="1">IF(DD41&lt;&gt;"",
MID(貼り付け用!$A$2, FIND("年",貼り付け用!$A$2)+1,2)&amp;"/"&amp;MID(貼り付け用!$A$2, FIND("月",貼り付け用!$A$2)+1,2),"")</f>
        <v/>
      </c>
      <c r="DD41" s="214" t="str">
        <f ca="1">IF(OFFSET(変更先抽出【15時】!$A$1,DB41-1,29)&lt;&gt;"",OFFSET(変更先抽出【15時】!$A$1,DB41-1,30),"")</f>
        <v/>
      </c>
      <c r="DE41" s="215"/>
      <c r="DF41" s="215"/>
      <c r="DG41" s="215"/>
      <c r="DH41" s="39" t="str">
        <f ca="1">IF(DD41&lt;&gt;"","様","")</f>
        <v/>
      </c>
      <c r="DI41" s="33">
        <f ca="1">IF(OFFSET(変更先抽出【15時】!$A$1,DB41+1-1,29)="",DB41+2,DB41+1)</f>
        <v>191</v>
      </c>
      <c r="DJ41" s="40" t="str">
        <f ca="1">IF(DK41&lt;&gt;"",
MID(貼り付け用!$A$2, FIND("年",貼り付け用!$A$2)+1,2)&amp;"/"&amp;MID(貼り付け用!$A$2, FIND("月",貼り付け用!$A$2)+1,2),"")</f>
        <v/>
      </c>
      <c r="DK41" s="214" t="str">
        <f ca="1">IF(OFFSET(変更先抽出【15時】!$A$1,DI41-1,29)&lt;&gt;"",OFFSET(変更先抽出【15時】!$A$1,DI41-1,30),"")</f>
        <v/>
      </c>
      <c r="DL41" s="215"/>
      <c r="DM41" s="215"/>
      <c r="DN41" s="215"/>
      <c r="DO41" s="39" t="str">
        <f ca="1">IF(DK41&lt;&gt;"","様","")</f>
        <v/>
      </c>
      <c r="DP41" s="22"/>
      <c r="DQ41" s="30">
        <f ca="1">IF(OFFSET(変更先抽出【15時】!$A$1,DX33+1-1,29)="",DX33+2,DX33+1)</f>
        <v>213</v>
      </c>
      <c r="DR41" s="40" t="str">
        <f ca="1">IF(DS41&lt;&gt;"",
MID(貼り付け用!$A$2, FIND("年",貼り付け用!$A$2)+1,2)&amp;"/"&amp;MID(貼り付け用!$A$2, FIND("月",貼り付け用!$A$2)+1,2),"")</f>
        <v/>
      </c>
      <c r="DS41" s="214" t="str">
        <f ca="1">IF(OFFSET(変更先抽出【15時】!$A$1,DQ41-1,29)&lt;&gt;"",OFFSET(変更先抽出【15時】!$A$1,DQ41-1,30),"")</f>
        <v/>
      </c>
      <c r="DT41" s="215"/>
      <c r="DU41" s="215"/>
      <c r="DV41" s="215"/>
      <c r="DW41" s="39" t="str">
        <f ca="1">IF(DS41&lt;&gt;"","様","")</f>
        <v/>
      </c>
      <c r="DX41" s="33">
        <f ca="1">IF(OFFSET(変更先抽出【15時】!$A$1,DQ41+1-1,29)="",DQ41+2,DQ41+1)</f>
        <v>215</v>
      </c>
      <c r="DY41" s="40" t="str">
        <f ca="1">IF(DZ41&lt;&gt;"",
MID(貼り付け用!$A$2, FIND("年",貼り付け用!$A$2)+1,2)&amp;"/"&amp;MID(貼り付け用!$A$2, FIND("月",貼り付け用!$A$2)+1,2),"")</f>
        <v/>
      </c>
      <c r="DZ41" s="214" t="str">
        <f ca="1">IF(OFFSET(変更先抽出【15時】!$A$1,DX41-1,29)&lt;&gt;"",OFFSET(変更先抽出【15時】!$A$1,DX41-1,30),"")</f>
        <v/>
      </c>
      <c r="EA41" s="215"/>
      <c r="EB41" s="215"/>
      <c r="EC41" s="215"/>
      <c r="ED41" s="39" t="str">
        <f ca="1">IF(DZ41&lt;&gt;"","様","")</f>
        <v/>
      </c>
      <c r="EE41" s="22"/>
      <c r="EF41" s="30">
        <f ca="1">IF(OFFSET(変更先抽出【15時】!$A$1,EM33+1-1,29)="",EM33+2,EM33+1)</f>
        <v>237</v>
      </c>
      <c r="EG41" s="40" t="str">
        <f ca="1">IF(EH41&lt;&gt;"",
MID(貼り付け用!$A$2, FIND("年",貼り付け用!$A$2)+1,2)&amp;"/"&amp;MID(貼り付け用!$A$2, FIND("月",貼り付け用!$A$2)+1,2),"")</f>
        <v/>
      </c>
      <c r="EH41" s="214" t="str">
        <f ca="1">IF(OFFSET(変更先抽出【15時】!$A$1,EF41-1,29)&lt;&gt;"",OFFSET(変更先抽出【15時】!$A$1,EF41-1,30),"")</f>
        <v/>
      </c>
      <c r="EI41" s="215"/>
      <c r="EJ41" s="215"/>
      <c r="EK41" s="215"/>
      <c r="EL41" s="39" t="str">
        <f ca="1">IF(EH41&lt;&gt;"","様","")</f>
        <v/>
      </c>
      <c r="EM41" s="33">
        <f ca="1">IF(OFFSET(変更先抽出【15時】!$A$1,EF41+1-1,29)="",EF41+2,EF41+1)</f>
        <v>239</v>
      </c>
      <c r="EN41" s="40" t="str">
        <f ca="1">IF(EO41&lt;&gt;"",
MID(貼り付け用!$A$2, FIND("年",貼り付け用!$A$2)+1,2)&amp;"/"&amp;MID(貼り付け用!$A$2, FIND("月",貼り付け用!$A$2)+1,2),"")</f>
        <v/>
      </c>
      <c r="EO41" s="214" t="str">
        <f ca="1">IF(OFFSET(変更先抽出【15時】!$A$1,EM41-1,29)&lt;&gt;"",OFFSET(変更先抽出【15時】!$A$1,EM41-1,30),"")</f>
        <v/>
      </c>
      <c r="EP41" s="215"/>
      <c r="EQ41" s="215"/>
      <c r="ER41" s="215"/>
      <c r="ES41" s="39" t="str">
        <f ca="1">IF(EO41&lt;&gt;"","様","")</f>
        <v/>
      </c>
      <c r="ET41" s="22"/>
    </row>
    <row r="42" spans="1:150" s="181" customFormat="1">
      <c r="A42" s="30"/>
      <c r="B42" s="102"/>
      <c r="C42" s="136" t="str">
        <f ca="1">IF(C41&lt;&gt;"",OFFSET(変更先抽出【15時】!$A$1,A41-1,31),"")</f>
        <v/>
      </c>
      <c r="D42" s="38"/>
      <c r="E42" s="38"/>
      <c r="F42" s="190" t="str">
        <f ca="1">IF(OFFSET(変更先抽出【15時】!$A$1,A41-1,29)&lt;&gt;"",OFFSET(変更先抽出【15時】!$A$1,A41-1,37)&amp;"箱"&amp;OFFSET(変更先抽出【15時】!$A$1,A41-1,38),"")</f>
        <v/>
      </c>
      <c r="G42" s="36"/>
      <c r="H42" s="43"/>
      <c r="I42" s="102"/>
      <c r="J42" s="136" t="str">
        <f ca="1">IF(J41&lt;&gt;"",OFFSET(変更先抽出【15時】!$A$1,H41-1,31),"")</f>
        <v/>
      </c>
      <c r="K42" s="38"/>
      <c r="L42" s="38"/>
      <c r="M42" s="190" t="str">
        <f ca="1">IF(OFFSET(変更先抽出【15時】!$A$1,H41-1,29)&lt;&gt;"",OFFSET(変更先抽出【15時】!$A$1,H41-1,37)&amp;"箱"&amp;OFFSET(変更先抽出【15時】!$A$1,H41-1,38),"")</f>
        <v/>
      </c>
      <c r="N42" s="36"/>
      <c r="O42" s="22"/>
      <c r="P42" s="30"/>
      <c r="Q42" s="102"/>
      <c r="R42" s="136" t="str">
        <f ca="1">IF(R41&lt;&gt;"",OFFSET(変更先抽出【15時】!$A$1,P41-1,31),"")</f>
        <v/>
      </c>
      <c r="S42" s="38"/>
      <c r="T42" s="38"/>
      <c r="U42" s="190" t="str">
        <f ca="1">IF(OFFSET(変更先抽出【15時】!$A$1,P41-1,29)&lt;&gt;"",OFFSET(変更先抽出【15時】!$A$1,P41-1,37)&amp;"箱"&amp;OFFSET(変更先抽出【15時】!$A$1,P41-1,38),"")</f>
        <v/>
      </c>
      <c r="V42" s="36"/>
      <c r="W42" s="43"/>
      <c r="X42" s="102"/>
      <c r="Y42" s="136" t="str">
        <f ca="1">IF(Y41&lt;&gt;"",OFFSET(変更先抽出【15時】!$A$1,W41-1,31),"")</f>
        <v/>
      </c>
      <c r="Z42" s="38"/>
      <c r="AA42" s="38"/>
      <c r="AB42" s="190" t="str">
        <f ca="1">IF(OFFSET(変更先抽出【15時】!$A$1,W41-1,29)&lt;&gt;"",OFFSET(変更先抽出【15時】!$A$1,W41-1,37)&amp;"箱"&amp;OFFSET(変更先抽出【15時】!$A$1,W41-1,38),"")</f>
        <v/>
      </c>
      <c r="AC42" s="36"/>
      <c r="AD42" s="22"/>
      <c r="AE42" s="30"/>
      <c r="AF42" s="102"/>
      <c r="AG42" s="136" t="str">
        <f ca="1">IF(AG41&lt;&gt;"",OFFSET(変更先抽出【15時】!$A$1,AE41-1,31),"")</f>
        <v/>
      </c>
      <c r="AH42" s="38"/>
      <c r="AI42" s="38"/>
      <c r="AJ42" s="190" t="str">
        <f ca="1">IF(OFFSET(変更先抽出【15時】!$A$1,AE41-1,29)&lt;&gt;"",OFFSET(変更先抽出【15時】!$A$1,AE41-1,37)&amp;"箱"&amp;OFFSET(変更先抽出【15時】!$A$1,AE41-1,38),"")</f>
        <v/>
      </c>
      <c r="AK42" s="36"/>
      <c r="AL42" s="43"/>
      <c r="AM42" s="102"/>
      <c r="AN42" s="136" t="str">
        <f ca="1">IF(AN41&lt;&gt;"",OFFSET(変更先抽出【15時】!$A$1,AL41-1,31),"")</f>
        <v/>
      </c>
      <c r="AO42" s="38"/>
      <c r="AP42" s="38"/>
      <c r="AQ42" s="190" t="str">
        <f ca="1">IF(OFFSET(変更先抽出【15時】!$A$1,AL41-1,29)&lt;&gt;"",OFFSET(変更先抽出【15時】!$A$1,AL41-1,37)&amp;"箱"&amp;OFFSET(変更先抽出【15時】!$A$1,AL41-1,38),"")</f>
        <v/>
      </c>
      <c r="AR42" s="36"/>
      <c r="AS42" s="22"/>
      <c r="AT42" s="30"/>
      <c r="AU42" s="102"/>
      <c r="AV42" s="136" t="str">
        <f ca="1">IF(AV41&lt;&gt;"",OFFSET(変更先抽出【15時】!$A$1,AT41-1,31),"")</f>
        <v/>
      </c>
      <c r="AW42" s="38"/>
      <c r="AX42" s="38"/>
      <c r="AY42" s="190" t="str">
        <f ca="1">IF(OFFSET(変更先抽出【15時】!$A$1,AT41-1,29)&lt;&gt;"",OFFSET(変更先抽出【15時】!$A$1,AT41-1,37)&amp;"箱"&amp;OFFSET(変更先抽出【15時】!$A$1,AT41-1,38),"")</f>
        <v/>
      </c>
      <c r="AZ42" s="36"/>
      <c r="BA42" s="43"/>
      <c r="BB42" s="102"/>
      <c r="BC42" s="136" t="str">
        <f ca="1">IF(BC41&lt;&gt;"",OFFSET(変更先抽出【15時】!$A$1,BA41-1,31),"")</f>
        <v/>
      </c>
      <c r="BD42" s="38"/>
      <c r="BE42" s="38"/>
      <c r="BF42" s="190" t="str">
        <f ca="1">IF(OFFSET(変更先抽出【15時】!$A$1,BA41-1,29)&lt;&gt;"",OFFSET(変更先抽出【15時】!$A$1,BA41-1,37)&amp;"箱"&amp;OFFSET(変更先抽出【15時】!$A$1,BA41-1,38),"")</f>
        <v/>
      </c>
      <c r="BG42" s="36"/>
      <c r="BH42" s="22"/>
      <c r="BI42" s="30"/>
      <c r="BJ42" s="102"/>
      <c r="BK42" s="136" t="str">
        <f ca="1">IF(BK41&lt;&gt;"",OFFSET(変更先抽出【15時】!$A$1,BI41-1,31),"")</f>
        <v/>
      </c>
      <c r="BL42" s="38"/>
      <c r="BM42" s="38"/>
      <c r="BN42" s="190" t="str">
        <f ca="1">IF(OFFSET(変更先抽出【15時】!$A$1,BI41-1,29)&lt;&gt;"",OFFSET(変更先抽出【15時】!$A$1,BI41-1,37)&amp;"箱"&amp;OFFSET(変更先抽出【15時】!$A$1,BI41-1,38),"")</f>
        <v/>
      </c>
      <c r="BO42" s="36"/>
      <c r="BP42" s="43"/>
      <c r="BQ42" s="102"/>
      <c r="BR42" s="136" t="str">
        <f ca="1">IF(BR41&lt;&gt;"",OFFSET(変更先抽出【15時】!$A$1,BP41-1,31),"")</f>
        <v/>
      </c>
      <c r="BS42" s="38"/>
      <c r="BT42" s="38"/>
      <c r="BU42" s="190" t="str">
        <f ca="1">IF(OFFSET(変更先抽出【15時】!$A$1,BP41-1,29)&lt;&gt;"",OFFSET(変更先抽出【15時】!$A$1,BP41-1,37)&amp;"箱"&amp;OFFSET(変更先抽出【15時】!$A$1,BP41-1,38),"")</f>
        <v/>
      </c>
      <c r="BV42" s="36"/>
      <c r="BW42" s="22"/>
      <c r="BX42" s="30"/>
      <c r="BY42" s="102"/>
      <c r="BZ42" s="136" t="str">
        <f ca="1">IF(BZ41&lt;&gt;"",OFFSET(変更先抽出【15時】!$A$1,BX41-1,31),"")</f>
        <v/>
      </c>
      <c r="CA42" s="38"/>
      <c r="CB42" s="38"/>
      <c r="CC42" s="190" t="str">
        <f ca="1">IF(OFFSET(変更先抽出【15時】!$A$1,BX41-1,29)&lt;&gt;"",OFFSET(変更先抽出【15時】!$A$1,BX41-1,37)&amp;"箱"&amp;OFFSET(変更先抽出【15時】!$A$1,BX41-1,38),"")</f>
        <v/>
      </c>
      <c r="CD42" s="36"/>
      <c r="CE42" s="43"/>
      <c r="CF42" s="102"/>
      <c r="CG42" s="136" t="str">
        <f ca="1">IF(CG41&lt;&gt;"",OFFSET(変更先抽出【15時】!$A$1,CE41-1,31),"")</f>
        <v/>
      </c>
      <c r="CH42" s="38"/>
      <c r="CI42" s="38"/>
      <c r="CJ42" s="190" t="str">
        <f ca="1">IF(OFFSET(変更先抽出【15時】!$A$1,CE41-1,29)&lt;&gt;"",OFFSET(変更先抽出【15時】!$A$1,CE41-1,37)&amp;"箱"&amp;OFFSET(変更先抽出【15時】!$A$1,CE41-1,38),"")</f>
        <v/>
      </c>
      <c r="CK42" s="36"/>
      <c r="CL42" s="22"/>
      <c r="CM42" s="30"/>
      <c r="CN42" s="102"/>
      <c r="CO42" s="136" t="str">
        <f ca="1">IF(CO41&lt;&gt;"",OFFSET(変更先抽出【15時】!$A$1,CM41-1,31),"")</f>
        <v/>
      </c>
      <c r="CP42" s="38"/>
      <c r="CQ42" s="38"/>
      <c r="CR42" s="190" t="str">
        <f ca="1">IF(OFFSET(変更先抽出【15時】!$A$1,CM41-1,29)&lt;&gt;"",OFFSET(変更先抽出【15時】!$A$1,CM41-1,37)&amp;"箱"&amp;OFFSET(変更先抽出【15時】!$A$1,CM41-1,38),"")</f>
        <v/>
      </c>
      <c r="CS42" s="36"/>
      <c r="CT42" s="43"/>
      <c r="CU42" s="102"/>
      <c r="CV42" s="136" t="str">
        <f ca="1">IF(CV41&lt;&gt;"",OFFSET(変更先抽出【15時】!$A$1,CT41-1,31),"")</f>
        <v/>
      </c>
      <c r="CW42" s="38"/>
      <c r="CX42" s="38"/>
      <c r="CY42" s="190" t="str">
        <f ca="1">IF(OFFSET(変更先抽出【15時】!$A$1,CT41-1,29)&lt;&gt;"",OFFSET(変更先抽出【15時】!$A$1,CT41-1,37)&amp;"箱"&amp;OFFSET(変更先抽出【15時】!$A$1,CT41-1,38),"")</f>
        <v/>
      </c>
      <c r="CZ42" s="36"/>
      <c r="DA42" s="22"/>
      <c r="DB42" s="30"/>
      <c r="DC42" s="102"/>
      <c r="DD42" s="136" t="str">
        <f ca="1">IF(DD41&lt;&gt;"",OFFSET(変更先抽出【15時】!$A$1,DB41-1,31),"")</f>
        <v/>
      </c>
      <c r="DE42" s="38"/>
      <c r="DF42" s="38"/>
      <c r="DG42" s="190" t="str">
        <f ca="1">IF(OFFSET(変更先抽出【15時】!$A$1,DB41-1,29)&lt;&gt;"",OFFSET(変更先抽出【15時】!$A$1,DB41-1,37)&amp;"箱"&amp;OFFSET(変更先抽出【15時】!$A$1,DB41-1,38),"")</f>
        <v/>
      </c>
      <c r="DH42" s="36"/>
      <c r="DI42" s="43"/>
      <c r="DJ42" s="102"/>
      <c r="DK42" s="136" t="str">
        <f ca="1">IF(DK41&lt;&gt;"",OFFSET(変更先抽出【15時】!$A$1,DI41-1,31),"")</f>
        <v/>
      </c>
      <c r="DL42" s="38"/>
      <c r="DM42" s="38"/>
      <c r="DN42" s="190" t="str">
        <f ca="1">IF(OFFSET(変更先抽出【15時】!$A$1,DI41-1,29)&lt;&gt;"",OFFSET(変更先抽出【15時】!$A$1,DI41-1,37)&amp;"箱"&amp;OFFSET(変更先抽出【15時】!$A$1,DI41-1,38),"")</f>
        <v/>
      </c>
      <c r="DO42" s="36"/>
      <c r="DP42" s="22"/>
      <c r="DQ42" s="30"/>
      <c r="DR42" s="102"/>
      <c r="DS42" s="136" t="str">
        <f ca="1">IF(DS41&lt;&gt;"",OFFSET(変更先抽出【15時】!$A$1,DQ41-1,31),"")</f>
        <v/>
      </c>
      <c r="DT42" s="38"/>
      <c r="DU42" s="38"/>
      <c r="DV42" s="190" t="str">
        <f ca="1">IF(OFFSET(変更先抽出【15時】!$A$1,DQ41-1,29)&lt;&gt;"",OFFSET(変更先抽出【15時】!$A$1,DQ41-1,37)&amp;"箱"&amp;OFFSET(変更先抽出【15時】!$A$1,DQ41-1,38),"")</f>
        <v/>
      </c>
      <c r="DW42" s="36"/>
      <c r="DX42" s="43"/>
      <c r="DY42" s="102"/>
      <c r="DZ42" s="136" t="str">
        <f ca="1">IF(DZ41&lt;&gt;"",OFFSET(変更先抽出【15時】!$A$1,DX41-1,31),"")</f>
        <v/>
      </c>
      <c r="EA42" s="38"/>
      <c r="EB42" s="38"/>
      <c r="EC42" s="190" t="str">
        <f ca="1">IF(OFFSET(変更先抽出【15時】!$A$1,DX41-1,29)&lt;&gt;"",OFFSET(変更先抽出【15時】!$A$1,DX41-1,37)&amp;"箱"&amp;OFFSET(変更先抽出【15時】!$A$1,DX41-1,38),"")</f>
        <v/>
      </c>
      <c r="ED42" s="36"/>
      <c r="EE42" s="22"/>
      <c r="EF42" s="30"/>
      <c r="EG42" s="102"/>
      <c r="EH42" s="136" t="str">
        <f ca="1">IF(EH41&lt;&gt;"",OFFSET(変更先抽出【15時】!$A$1,EF41-1,31),"")</f>
        <v/>
      </c>
      <c r="EI42" s="38"/>
      <c r="EJ42" s="38"/>
      <c r="EK42" s="190" t="str">
        <f ca="1">IF(OFFSET(変更先抽出【15時】!$A$1,EF41-1,29)&lt;&gt;"",OFFSET(変更先抽出【15時】!$A$1,EF41-1,37)&amp;"箱"&amp;OFFSET(変更先抽出【15時】!$A$1,EF41-1,38),"")</f>
        <v/>
      </c>
      <c r="EL42" s="36"/>
      <c r="EM42" s="43"/>
      <c r="EN42" s="102"/>
      <c r="EO42" s="136" t="str">
        <f ca="1">IF(EO41&lt;&gt;"",OFFSET(変更先抽出【15時】!$A$1,EM41-1,31),"")</f>
        <v/>
      </c>
      <c r="EP42" s="38"/>
      <c r="EQ42" s="38"/>
      <c r="ER42" s="190" t="str">
        <f ca="1">IF(OFFSET(変更先抽出【15時】!$A$1,EM41-1,29)&lt;&gt;"",OFFSET(変更先抽出【15時】!$A$1,EM41-1,37)&amp;"箱"&amp;OFFSET(変更先抽出【15時】!$A$1,EM41-1,38),"")</f>
        <v/>
      </c>
      <c r="ES42" s="36"/>
      <c r="ET42" s="22"/>
    </row>
    <row r="43" spans="1:150" s="181" customFormat="1">
      <c r="A43" s="30"/>
      <c r="B43" s="31"/>
      <c r="C43" s="212" t="str">
        <f ca="1">IF(OR(C41&lt;&gt;"",COUNTIF(C41,"*【*")),"園児","")</f>
        <v/>
      </c>
      <c r="D43" s="213"/>
      <c r="E43" s="22"/>
      <c r="F43" s="135" t="str">
        <f ca="1">IF(OR(C41&lt;&gt;"",COUNTIF(C41,"*【*")),"先生","")</f>
        <v/>
      </c>
      <c r="G43" s="37"/>
      <c r="H43" s="33"/>
      <c r="I43" s="31"/>
      <c r="J43" s="212" t="str">
        <f ca="1">IF(OR(J41&lt;&gt;"",COUNTIF(J41,"*【*")),"園児","")</f>
        <v/>
      </c>
      <c r="K43" s="213"/>
      <c r="L43" s="22"/>
      <c r="M43" s="135" t="str">
        <f ca="1">IF(OR(J41&lt;&gt;"",COUNTIF(J41,"*【*")),"先生","")</f>
        <v/>
      </c>
      <c r="N43" s="37"/>
      <c r="O43" s="22"/>
      <c r="P43" s="30"/>
      <c r="Q43" s="31"/>
      <c r="R43" s="212" t="str">
        <f ca="1">IF(OR(R41&lt;&gt;"",COUNTIF(R41,"*【*")),"園児","")</f>
        <v/>
      </c>
      <c r="S43" s="213"/>
      <c r="T43" s="22"/>
      <c r="U43" s="135" t="str">
        <f ca="1">IF(OR(R41&lt;&gt;"",COUNTIF(R41,"*【*")),"先生","")</f>
        <v/>
      </c>
      <c r="V43" s="37"/>
      <c r="W43" s="33"/>
      <c r="X43" s="31"/>
      <c r="Y43" s="212" t="str">
        <f ca="1">IF(OR(Y41&lt;&gt;"",COUNTIF(Y41,"*【*")),"園児","")</f>
        <v/>
      </c>
      <c r="Z43" s="213"/>
      <c r="AA43" s="22"/>
      <c r="AB43" s="135" t="str">
        <f ca="1">IF(OR(Y41&lt;&gt;"",COUNTIF(Y41,"*【*")),"先生","")</f>
        <v/>
      </c>
      <c r="AC43" s="37"/>
      <c r="AD43" s="22"/>
      <c r="AE43" s="30"/>
      <c r="AF43" s="31"/>
      <c r="AG43" s="212" t="str">
        <f ca="1">IF(OR(AG41&lt;&gt;"",COUNTIF(AG41,"*【*")),"園児","")</f>
        <v/>
      </c>
      <c r="AH43" s="213"/>
      <c r="AI43" s="22"/>
      <c r="AJ43" s="135" t="str">
        <f ca="1">IF(OR(AG41&lt;&gt;"",COUNTIF(AG41,"*【*")),"先生","")</f>
        <v/>
      </c>
      <c r="AK43" s="37"/>
      <c r="AL43" s="33"/>
      <c r="AM43" s="31"/>
      <c r="AN43" s="212" t="str">
        <f ca="1">IF(OR(AN41&lt;&gt;"",COUNTIF(AN41,"*【*")),"園児","")</f>
        <v/>
      </c>
      <c r="AO43" s="213"/>
      <c r="AP43" s="22"/>
      <c r="AQ43" s="135" t="str">
        <f ca="1">IF(OR(AN41&lt;&gt;"",COUNTIF(AN41,"*【*")),"先生","")</f>
        <v/>
      </c>
      <c r="AR43" s="37"/>
      <c r="AS43" s="22"/>
      <c r="AT43" s="30"/>
      <c r="AU43" s="31"/>
      <c r="AV43" s="212" t="str">
        <f ca="1">IF(OR(AV41&lt;&gt;"",COUNTIF(AV41,"*【*")),"園児","")</f>
        <v/>
      </c>
      <c r="AW43" s="213"/>
      <c r="AX43" s="22"/>
      <c r="AY43" s="135" t="str">
        <f ca="1">IF(OR(AV41&lt;&gt;"",COUNTIF(AV41,"*【*")),"先生","")</f>
        <v/>
      </c>
      <c r="AZ43" s="37"/>
      <c r="BA43" s="33"/>
      <c r="BB43" s="31"/>
      <c r="BC43" s="212" t="str">
        <f ca="1">IF(OR(BC41&lt;&gt;"",COUNTIF(BC41,"*【*")),"園児","")</f>
        <v/>
      </c>
      <c r="BD43" s="213"/>
      <c r="BE43" s="22"/>
      <c r="BF43" s="135" t="str">
        <f ca="1">IF(OR(BC41&lt;&gt;"",COUNTIF(BC41,"*【*")),"先生","")</f>
        <v/>
      </c>
      <c r="BG43" s="37"/>
      <c r="BH43" s="22"/>
      <c r="BI43" s="30"/>
      <c r="BJ43" s="31"/>
      <c r="BK43" s="212" t="str">
        <f ca="1">IF(OR(BK41&lt;&gt;"",COUNTIF(BK41,"*【*")),"園児","")</f>
        <v/>
      </c>
      <c r="BL43" s="213"/>
      <c r="BM43" s="22"/>
      <c r="BN43" s="135" t="str">
        <f ca="1">IF(OR(BK41&lt;&gt;"",COUNTIF(BK41,"*【*")),"先生","")</f>
        <v/>
      </c>
      <c r="BO43" s="37"/>
      <c r="BP43" s="33"/>
      <c r="BQ43" s="31"/>
      <c r="BR43" s="212" t="str">
        <f ca="1">IF(OR(BR41&lt;&gt;"",COUNTIF(BR41,"*【*")),"園児","")</f>
        <v/>
      </c>
      <c r="BS43" s="213"/>
      <c r="BT43" s="22"/>
      <c r="BU43" s="135" t="str">
        <f ca="1">IF(OR(BR41&lt;&gt;"",COUNTIF(BR41,"*【*")),"先生","")</f>
        <v/>
      </c>
      <c r="BV43" s="37"/>
      <c r="BW43" s="22"/>
      <c r="BX43" s="30"/>
      <c r="BY43" s="31"/>
      <c r="BZ43" s="212" t="str">
        <f ca="1">IF(OR(BZ41&lt;&gt;"",COUNTIF(BZ41,"*【*")),"園児","")</f>
        <v/>
      </c>
      <c r="CA43" s="213"/>
      <c r="CB43" s="22"/>
      <c r="CC43" s="135" t="str">
        <f ca="1">IF(OR(BZ41&lt;&gt;"",COUNTIF(BZ41,"*【*")),"先生","")</f>
        <v/>
      </c>
      <c r="CD43" s="37"/>
      <c r="CE43" s="33"/>
      <c r="CF43" s="31"/>
      <c r="CG43" s="212" t="str">
        <f ca="1">IF(OR(CG41&lt;&gt;"",COUNTIF(CG41,"*【*")),"園児","")</f>
        <v/>
      </c>
      <c r="CH43" s="213"/>
      <c r="CI43" s="22"/>
      <c r="CJ43" s="135" t="str">
        <f ca="1">IF(OR(CG41&lt;&gt;"",COUNTIF(CG41,"*【*")),"先生","")</f>
        <v/>
      </c>
      <c r="CK43" s="37"/>
      <c r="CL43" s="22"/>
      <c r="CM43" s="30"/>
      <c r="CN43" s="31"/>
      <c r="CO43" s="212" t="str">
        <f ca="1">IF(OR(CO41&lt;&gt;"",COUNTIF(CO41,"*【*")),"園児","")</f>
        <v/>
      </c>
      <c r="CP43" s="213"/>
      <c r="CQ43" s="22"/>
      <c r="CR43" s="135" t="str">
        <f ca="1">IF(OR(CO41&lt;&gt;"",COUNTIF(CO41,"*【*")),"先生","")</f>
        <v/>
      </c>
      <c r="CS43" s="37"/>
      <c r="CT43" s="33"/>
      <c r="CU43" s="31"/>
      <c r="CV43" s="212" t="str">
        <f ca="1">IF(OR(CV41&lt;&gt;"",COUNTIF(CV41,"*【*")),"園児","")</f>
        <v/>
      </c>
      <c r="CW43" s="213"/>
      <c r="CX43" s="22"/>
      <c r="CY43" s="135" t="str">
        <f ca="1">IF(OR(CV41&lt;&gt;"",COUNTIF(CV41,"*【*")),"先生","")</f>
        <v/>
      </c>
      <c r="CZ43" s="37"/>
      <c r="DA43" s="22"/>
      <c r="DB43" s="30"/>
      <c r="DC43" s="31"/>
      <c r="DD43" s="212" t="str">
        <f ca="1">IF(OR(DD41&lt;&gt;"",COUNTIF(DD41,"*【*")),"園児","")</f>
        <v/>
      </c>
      <c r="DE43" s="213"/>
      <c r="DF43" s="22"/>
      <c r="DG43" s="135" t="str">
        <f ca="1">IF(OR(DD41&lt;&gt;"",COUNTIF(DD41,"*【*")),"先生","")</f>
        <v/>
      </c>
      <c r="DH43" s="37"/>
      <c r="DI43" s="33"/>
      <c r="DJ43" s="31"/>
      <c r="DK43" s="212" t="str">
        <f ca="1">IF(OR(DK41&lt;&gt;"",COUNTIF(DK41,"*【*")),"園児","")</f>
        <v/>
      </c>
      <c r="DL43" s="213"/>
      <c r="DM43" s="22"/>
      <c r="DN43" s="135" t="str">
        <f ca="1">IF(OR(DK41&lt;&gt;"",COUNTIF(DK41,"*【*")),"先生","")</f>
        <v/>
      </c>
      <c r="DO43" s="37"/>
      <c r="DP43" s="22"/>
      <c r="DQ43" s="30"/>
      <c r="DR43" s="31"/>
      <c r="DS43" s="212" t="str">
        <f ca="1">IF(OR(DS41&lt;&gt;"",COUNTIF(DS41,"*【*")),"園児","")</f>
        <v/>
      </c>
      <c r="DT43" s="213"/>
      <c r="DU43" s="22"/>
      <c r="DV43" s="135" t="str">
        <f ca="1">IF(OR(DS41&lt;&gt;"",COUNTIF(DS41,"*【*")),"先生","")</f>
        <v/>
      </c>
      <c r="DW43" s="37"/>
      <c r="DX43" s="33"/>
      <c r="DY43" s="31"/>
      <c r="DZ43" s="212" t="str">
        <f ca="1">IF(OR(DZ41&lt;&gt;"",COUNTIF(DZ41,"*【*")),"園児","")</f>
        <v/>
      </c>
      <c r="EA43" s="213"/>
      <c r="EB43" s="22"/>
      <c r="EC43" s="135" t="str">
        <f ca="1">IF(OR(DZ41&lt;&gt;"",COUNTIF(DZ41,"*【*")),"先生","")</f>
        <v/>
      </c>
      <c r="ED43" s="37"/>
      <c r="EE43" s="22"/>
      <c r="EF43" s="30"/>
      <c r="EG43" s="31"/>
      <c r="EH43" s="212" t="str">
        <f ca="1">IF(OR(EH41&lt;&gt;"",COUNTIF(EH41,"*【*")),"園児","")</f>
        <v/>
      </c>
      <c r="EI43" s="213"/>
      <c r="EJ43" s="22"/>
      <c r="EK43" s="135" t="str">
        <f ca="1">IF(OR(EH41&lt;&gt;"",COUNTIF(EH41,"*【*")),"先生","")</f>
        <v/>
      </c>
      <c r="EL43" s="37"/>
      <c r="EM43" s="33"/>
      <c r="EN43" s="31"/>
      <c r="EO43" s="212" t="str">
        <f ca="1">IF(OR(EO41&lt;&gt;"",COUNTIF(EO41,"*【*")),"園児","")</f>
        <v/>
      </c>
      <c r="EP43" s="213"/>
      <c r="EQ43" s="22"/>
      <c r="ER43" s="135" t="str">
        <f ca="1">IF(OR(EO41&lt;&gt;"",COUNTIF(EO41,"*【*")),"先生","")</f>
        <v/>
      </c>
      <c r="ES43" s="37"/>
      <c r="ET43" s="22"/>
    </row>
    <row r="44" spans="1:150" ht="15.6" customHeight="1">
      <c r="B44" s="25"/>
      <c r="C44" s="210" t="str">
        <f ca="1">IF(C41&lt;&gt;"",OFFSET(変更先抽出【15時】!$A$1,A41-1,32),"")</f>
        <v/>
      </c>
      <c r="D44" s="211"/>
      <c r="E44" s="44"/>
      <c r="F44" s="206" t="str">
        <f ca="1">IF(C41&lt;&gt;"",OFFSET(変更先抽出【15時】!$A$1,A41-1,33),"")</f>
        <v/>
      </c>
      <c r="G44" s="207"/>
      <c r="H44" s="26"/>
      <c r="I44" s="25"/>
      <c r="J44" s="210" t="str">
        <f ca="1">IF(J41&lt;&gt;"",OFFSET(変更先抽出【15時】!$A$1,H41-1,32),"")</f>
        <v/>
      </c>
      <c r="K44" s="211"/>
      <c r="L44" s="44"/>
      <c r="M44" s="206" t="str">
        <f ca="1">IF(J41&lt;&gt;"",OFFSET(変更先抽出【15時】!$A$1,H41-1,33),"")</f>
        <v/>
      </c>
      <c r="N44" s="207"/>
      <c r="Q44" s="25"/>
      <c r="R44" s="210" t="str">
        <f ca="1">IF(R41&lt;&gt;"",OFFSET(変更先抽出【15時】!$A$1,P41-1,32),"")</f>
        <v/>
      </c>
      <c r="S44" s="211"/>
      <c r="T44" s="44"/>
      <c r="U44" s="206" t="str">
        <f ca="1">IF(R41&lt;&gt;"",OFFSET(変更先抽出【15時】!$A$1,P41-1,33),"")</f>
        <v/>
      </c>
      <c r="V44" s="207"/>
      <c r="W44" s="26"/>
      <c r="X44" s="25"/>
      <c r="Y44" s="210" t="str">
        <f ca="1">IF(Y41&lt;&gt;"",OFFSET(変更先抽出【15時】!$A$1,W41-1,32),"")</f>
        <v/>
      </c>
      <c r="Z44" s="211"/>
      <c r="AA44" s="44"/>
      <c r="AB44" s="206" t="str">
        <f ca="1">IF(Y41&lt;&gt;"",OFFSET(変更先抽出【15時】!$A$1,W41-1,33),"")</f>
        <v/>
      </c>
      <c r="AC44" s="207"/>
      <c r="AF44" s="25"/>
      <c r="AG44" s="210" t="str">
        <f ca="1">IF(AG41&lt;&gt;"",OFFSET(変更先抽出【15時】!$A$1,AE41-1,32),"")</f>
        <v/>
      </c>
      <c r="AH44" s="211"/>
      <c r="AI44" s="44"/>
      <c r="AJ44" s="206" t="str">
        <f ca="1">IF(AG41&lt;&gt;"",OFFSET(変更先抽出【15時】!$A$1,AE41-1,33),"")</f>
        <v/>
      </c>
      <c r="AK44" s="207"/>
      <c r="AL44" s="26"/>
      <c r="AM44" s="25"/>
      <c r="AN44" s="210" t="str">
        <f ca="1">IF(AN41&lt;&gt;"",OFFSET(変更先抽出【15時】!$A$1,AL41-1,32),"")</f>
        <v/>
      </c>
      <c r="AO44" s="211"/>
      <c r="AP44" s="44"/>
      <c r="AQ44" s="206" t="str">
        <f ca="1">IF(AN41&lt;&gt;"",OFFSET(変更先抽出【15時】!$A$1,AL41-1,33),"")</f>
        <v/>
      </c>
      <c r="AR44" s="207"/>
      <c r="AU44" s="25"/>
      <c r="AV44" s="210" t="str">
        <f ca="1">IF(AV41&lt;&gt;"",OFFSET(変更先抽出【15時】!$A$1,AT41-1,32),"")</f>
        <v/>
      </c>
      <c r="AW44" s="211"/>
      <c r="AX44" s="44"/>
      <c r="AY44" s="206" t="str">
        <f ca="1">IF(AV41&lt;&gt;"",OFFSET(変更先抽出【15時】!$A$1,AT41-1,33),"")</f>
        <v/>
      </c>
      <c r="AZ44" s="207"/>
      <c r="BA44" s="26"/>
      <c r="BB44" s="25"/>
      <c r="BC44" s="210" t="str">
        <f ca="1">IF(BC41&lt;&gt;"",OFFSET(変更先抽出【15時】!$A$1,BA41-1,32),"")</f>
        <v/>
      </c>
      <c r="BD44" s="211"/>
      <c r="BE44" s="44"/>
      <c r="BF44" s="206" t="str">
        <f ca="1">IF(BC41&lt;&gt;"",OFFSET(変更先抽出【15時】!$A$1,BA41-1,33),"")</f>
        <v/>
      </c>
      <c r="BG44" s="207"/>
      <c r="BJ44" s="25"/>
      <c r="BK44" s="210" t="str">
        <f ca="1">IF(BK41&lt;&gt;"",OFFSET(変更先抽出【15時】!$A$1,BI41-1,32),"")</f>
        <v/>
      </c>
      <c r="BL44" s="211"/>
      <c r="BM44" s="44"/>
      <c r="BN44" s="206" t="str">
        <f ca="1">IF(BK41&lt;&gt;"",OFFSET(変更先抽出【15時】!$A$1,BI41-1,33),"")</f>
        <v/>
      </c>
      <c r="BO44" s="207"/>
      <c r="BP44" s="26"/>
      <c r="BQ44" s="25"/>
      <c r="BR44" s="210" t="str">
        <f ca="1">IF(BR41&lt;&gt;"",OFFSET(変更先抽出【15時】!$A$1,BP41-1,32),"")</f>
        <v/>
      </c>
      <c r="BS44" s="211"/>
      <c r="BT44" s="44"/>
      <c r="BU44" s="206" t="str">
        <f ca="1">IF(BR41&lt;&gt;"",OFFSET(変更先抽出【15時】!$A$1,BP41-1,33),"")</f>
        <v/>
      </c>
      <c r="BV44" s="207"/>
      <c r="BY44" s="25"/>
      <c r="BZ44" s="210" t="str">
        <f ca="1">IF(BZ41&lt;&gt;"",OFFSET(変更先抽出【15時】!$A$1,BX41-1,32),"")</f>
        <v/>
      </c>
      <c r="CA44" s="211"/>
      <c r="CB44" s="44"/>
      <c r="CC44" s="206" t="str">
        <f ca="1">IF(BZ41&lt;&gt;"",OFFSET(変更先抽出【15時】!$A$1,BX41-1,33),"")</f>
        <v/>
      </c>
      <c r="CD44" s="207"/>
      <c r="CE44" s="26"/>
      <c r="CF44" s="25"/>
      <c r="CG44" s="210" t="str">
        <f ca="1">IF(CG41&lt;&gt;"",OFFSET(変更先抽出【15時】!$A$1,CE41-1,32),"")</f>
        <v/>
      </c>
      <c r="CH44" s="211"/>
      <c r="CI44" s="44"/>
      <c r="CJ44" s="206" t="str">
        <f ca="1">IF(CG41&lt;&gt;"",OFFSET(変更先抽出【15時】!$A$1,CE41-1,33),"")</f>
        <v/>
      </c>
      <c r="CK44" s="207"/>
      <c r="CN44" s="25"/>
      <c r="CO44" s="210" t="str">
        <f ca="1">IF(CO41&lt;&gt;"",OFFSET(変更先抽出【15時】!$A$1,CM41-1,32),"")</f>
        <v/>
      </c>
      <c r="CP44" s="211"/>
      <c r="CQ44" s="44"/>
      <c r="CR44" s="206" t="str">
        <f ca="1">IF(CO41&lt;&gt;"",OFFSET(変更先抽出【15時】!$A$1,CM41-1,33),"")</f>
        <v/>
      </c>
      <c r="CS44" s="207"/>
      <c r="CT44" s="26"/>
      <c r="CU44" s="25"/>
      <c r="CV44" s="210" t="str">
        <f ca="1">IF(CV41&lt;&gt;"",OFFSET(変更先抽出【15時】!$A$1,CT41-1,32),"")</f>
        <v/>
      </c>
      <c r="CW44" s="211"/>
      <c r="CX44" s="44"/>
      <c r="CY44" s="206" t="str">
        <f ca="1">IF(CV41&lt;&gt;"",OFFSET(変更先抽出【15時】!$A$1,CT41-1,33),"")</f>
        <v/>
      </c>
      <c r="CZ44" s="207"/>
      <c r="DC44" s="25"/>
      <c r="DD44" s="210" t="str">
        <f ca="1">IF(DD41&lt;&gt;"",OFFSET(変更先抽出【15時】!$A$1,DB41-1,32),"")</f>
        <v/>
      </c>
      <c r="DE44" s="211"/>
      <c r="DF44" s="44"/>
      <c r="DG44" s="206" t="str">
        <f ca="1">IF(DD41&lt;&gt;"",OFFSET(変更先抽出【15時】!$A$1,DB41-1,33),"")</f>
        <v/>
      </c>
      <c r="DH44" s="207"/>
      <c r="DI44" s="26"/>
      <c r="DJ44" s="25"/>
      <c r="DK44" s="210" t="str">
        <f ca="1">IF(DK41&lt;&gt;"",OFFSET(変更先抽出【15時】!$A$1,DI41-1,32),"")</f>
        <v/>
      </c>
      <c r="DL44" s="211"/>
      <c r="DM44" s="44"/>
      <c r="DN44" s="206" t="str">
        <f ca="1">IF(DK41&lt;&gt;"",OFFSET(変更先抽出【15時】!$A$1,DI41-1,33),"")</f>
        <v/>
      </c>
      <c r="DO44" s="207"/>
      <c r="DR44" s="25"/>
      <c r="DS44" s="210" t="str">
        <f ca="1">IF(DS41&lt;&gt;"",OFFSET(変更先抽出【15時】!$A$1,DQ41-1,32),"")</f>
        <v/>
      </c>
      <c r="DT44" s="211"/>
      <c r="DU44" s="44"/>
      <c r="DV44" s="206" t="str">
        <f ca="1">IF(DS41&lt;&gt;"",OFFSET(変更先抽出【15時】!$A$1,DQ41-1,33),"")</f>
        <v/>
      </c>
      <c r="DW44" s="207"/>
      <c r="DX44" s="26"/>
      <c r="DY44" s="25"/>
      <c r="DZ44" s="210" t="str">
        <f ca="1">IF(DZ41&lt;&gt;"",OFFSET(変更先抽出【15時】!$A$1,DX41-1,32),"")</f>
        <v/>
      </c>
      <c r="EA44" s="211"/>
      <c r="EB44" s="44"/>
      <c r="EC44" s="206" t="str">
        <f ca="1">IF(DZ41&lt;&gt;"",OFFSET(変更先抽出【15時】!$A$1,DX41-1,33),"")</f>
        <v/>
      </c>
      <c r="ED44" s="207"/>
      <c r="EG44" s="25"/>
      <c r="EH44" s="210" t="str">
        <f ca="1">IF(EH41&lt;&gt;"",OFFSET(変更先抽出【15時】!$A$1,EF41-1,32),"")</f>
        <v/>
      </c>
      <c r="EI44" s="211"/>
      <c r="EJ44" s="44"/>
      <c r="EK44" s="206" t="str">
        <f ca="1">IF(EH41&lt;&gt;"",OFFSET(変更先抽出【15時】!$A$1,EF41-1,33),"")</f>
        <v/>
      </c>
      <c r="EL44" s="207"/>
      <c r="EM44" s="26"/>
      <c r="EN44" s="25"/>
      <c r="EO44" s="210" t="str">
        <f ca="1">IF(EO41&lt;&gt;"",OFFSET(変更先抽出【15時】!$A$1,EM41-1,32),"")</f>
        <v/>
      </c>
      <c r="EP44" s="211"/>
      <c r="EQ44" s="44"/>
      <c r="ER44" s="206" t="str">
        <f ca="1">IF(EO41&lt;&gt;"",OFFSET(変更先抽出【15時】!$A$1,EM41-1,33),"")</f>
        <v/>
      </c>
      <c r="ES44" s="207"/>
    </row>
    <row r="45" spans="1:150" ht="15.6" customHeight="1">
      <c r="B45" s="27"/>
      <c r="C45" s="208"/>
      <c r="D45" s="208"/>
      <c r="E45" s="179"/>
      <c r="F45" s="208"/>
      <c r="G45" s="209"/>
      <c r="H45" s="26"/>
      <c r="I45" s="27"/>
      <c r="J45" s="208"/>
      <c r="K45" s="208"/>
      <c r="L45" s="179"/>
      <c r="M45" s="208"/>
      <c r="N45" s="209"/>
      <c r="Q45" s="27"/>
      <c r="R45" s="208"/>
      <c r="S45" s="208"/>
      <c r="T45" s="179"/>
      <c r="U45" s="208"/>
      <c r="V45" s="209"/>
      <c r="W45" s="26"/>
      <c r="X45" s="27"/>
      <c r="Y45" s="208"/>
      <c r="Z45" s="208"/>
      <c r="AA45" s="179"/>
      <c r="AB45" s="208"/>
      <c r="AC45" s="209"/>
      <c r="AF45" s="27"/>
      <c r="AG45" s="208"/>
      <c r="AH45" s="208"/>
      <c r="AI45" s="179"/>
      <c r="AJ45" s="208"/>
      <c r="AK45" s="209"/>
      <c r="AL45" s="26"/>
      <c r="AM45" s="27"/>
      <c r="AN45" s="208"/>
      <c r="AO45" s="208"/>
      <c r="AP45" s="179"/>
      <c r="AQ45" s="208"/>
      <c r="AR45" s="209"/>
      <c r="AU45" s="27"/>
      <c r="AV45" s="208"/>
      <c r="AW45" s="208"/>
      <c r="AX45" s="179"/>
      <c r="AY45" s="208"/>
      <c r="AZ45" s="209"/>
      <c r="BA45" s="26"/>
      <c r="BB45" s="27"/>
      <c r="BC45" s="208"/>
      <c r="BD45" s="208"/>
      <c r="BE45" s="179"/>
      <c r="BF45" s="208"/>
      <c r="BG45" s="209"/>
      <c r="BJ45" s="27"/>
      <c r="BK45" s="208"/>
      <c r="BL45" s="208"/>
      <c r="BM45" s="179"/>
      <c r="BN45" s="208"/>
      <c r="BO45" s="209"/>
      <c r="BP45" s="26"/>
      <c r="BQ45" s="27"/>
      <c r="BR45" s="208"/>
      <c r="BS45" s="208"/>
      <c r="BT45" s="179"/>
      <c r="BU45" s="208"/>
      <c r="BV45" s="209"/>
      <c r="BY45" s="27"/>
      <c r="BZ45" s="208"/>
      <c r="CA45" s="208"/>
      <c r="CB45" s="179"/>
      <c r="CC45" s="208"/>
      <c r="CD45" s="209"/>
      <c r="CE45" s="26"/>
      <c r="CF45" s="27"/>
      <c r="CG45" s="208"/>
      <c r="CH45" s="208"/>
      <c r="CI45" s="179"/>
      <c r="CJ45" s="208"/>
      <c r="CK45" s="209"/>
      <c r="CN45" s="27"/>
      <c r="CO45" s="208"/>
      <c r="CP45" s="208"/>
      <c r="CQ45" s="179"/>
      <c r="CR45" s="208"/>
      <c r="CS45" s="209"/>
      <c r="CT45" s="26"/>
      <c r="CU45" s="27"/>
      <c r="CV45" s="208"/>
      <c r="CW45" s="208"/>
      <c r="CX45" s="179"/>
      <c r="CY45" s="208"/>
      <c r="CZ45" s="209"/>
      <c r="DC45" s="27"/>
      <c r="DD45" s="208"/>
      <c r="DE45" s="208"/>
      <c r="DF45" s="179"/>
      <c r="DG45" s="208"/>
      <c r="DH45" s="209"/>
      <c r="DI45" s="26"/>
      <c r="DJ45" s="27"/>
      <c r="DK45" s="208"/>
      <c r="DL45" s="208"/>
      <c r="DM45" s="179"/>
      <c r="DN45" s="208"/>
      <c r="DO45" s="209"/>
      <c r="DR45" s="27"/>
      <c r="DS45" s="208"/>
      <c r="DT45" s="208"/>
      <c r="DU45" s="179"/>
      <c r="DV45" s="208"/>
      <c r="DW45" s="209"/>
      <c r="DX45" s="26"/>
      <c r="DY45" s="27"/>
      <c r="DZ45" s="208"/>
      <c r="EA45" s="208"/>
      <c r="EB45" s="179"/>
      <c r="EC45" s="208"/>
      <c r="ED45" s="209"/>
      <c r="EG45" s="27"/>
      <c r="EH45" s="208"/>
      <c r="EI45" s="208"/>
      <c r="EJ45" s="179"/>
      <c r="EK45" s="208"/>
      <c r="EL45" s="209"/>
      <c r="EM45" s="26"/>
      <c r="EN45" s="27"/>
      <c r="EO45" s="208"/>
      <c r="EP45" s="208"/>
      <c r="EQ45" s="179"/>
      <c r="ER45" s="208"/>
      <c r="ES45" s="209"/>
    </row>
    <row r="46" spans="1:150" s="181" customFormat="1">
      <c r="A46" s="30"/>
      <c r="B46" s="34" t="str">
        <f ca="1">IF(C41&lt;&gt;"","パン箱","")</f>
        <v/>
      </c>
      <c r="C46" s="32" t="str">
        <f ca="1">IF(C41&lt;&gt;"",OFFSET(変更先抽出【15時】!$A$1,A41-1,35),"")</f>
        <v/>
      </c>
      <c r="D46" s="34" t="str">
        <f ca="1">IF(C41&lt;&gt;"","端数","")</f>
        <v/>
      </c>
      <c r="E46" s="32"/>
      <c r="F46" s="34" t="str">
        <f ca="1">IF(C41&lt;&gt;"","アレルギー","")</f>
        <v/>
      </c>
      <c r="G46" s="37"/>
      <c r="H46" s="22"/>
      <c r="I46" s="34" t="str">
        <f ca="1">IF(J41&lt;&gt;"","パン箱","")</f>
        <v/>
      </c>
      <c r="J46" s="32" t="str">
        <f ca="1">IF(J41&lt;&gt;"",OFFSET(変更先抽出【15時】!$A$1,H41-1,35),"")</f>
        <v/>
      </c>
      <c r="K46" s="34" t="str">
        <f ca="1">IF(J41&lt;&gt;"","端数","")</f>
        <v/>
      </c>
      <c r="L46" s="32"/>
      <c r="M46" s="34" t="str">
        <f ca="1">IF(J41&lt;&gt;"","アレルギー","")</f>
        <v/>
      </c>
      <c r="N46" s="37"/>
      <c r="O46" s="22"/>
      <c r="P46" s="30"/>
      <c r="Q46" s="34" t="str">
        <f ca="1">IF(R41&lt;&gt;"","パン箱","")</f>
        <v/>
      </c>
      <c r="R46" s="32" t="str">
        <f ca="1">IF(R41&lt;&gt;"",OFFSET(変更先抽出【15時】!$A$1,P41-1,35),"")</f>
        <v/>
      </c>
      <c r="S46" s="34" t="str">
        <f ca="1">IF(R41&lt;&gt;"","端数","")</f>
        <v/>
      </c>
      <c r="T46" s="32"/>
      <c r="U46" s="34" t="str">
        <f ca="1">IF(R41&lt;&gt;"","アレルギー","")</f>
        <v/>
      </c>
      <c r="V46" s="37"/>
      <c r="W46" s="22"/>
      <c r="X46" s="34" t="str">
        <f ca="1">IF(Y41&lt;&gt;"","パン箱","")</f>
        <v/>
      </c>
      <c r="Y46" s="32" t="str">
        <f ca="1">IF(Y41&lt;&gt;"",OFFSET(変更先抽出【15時】!$A$1,W41-1,35),"")</f>
        <v/>
      </c>
      <c r="Z46" s="34" t="str">
        <f ca="1">IF(Y41&lt;&gt;"","端数","")</f>
        <v/>
      </c>
      <c r="AA46" s="32"/>
      <c r="AB46" s="34" t="str">
        <f ca="1">IF(Y41&lt;&gt;"","アレルギー","")</f>
        <v/>
      </c>
      <c r="AC46" s="37"/>
      <c r="AD46" s="22"/>
      <c r="AE46" s="30"/>
      <c r="AF46" s="34" t="str">
        <f ca="1">IF(AG41&lt;&gt;"","パン箱","")</f>
        <v/>
      </c>
      <c r="AG46" s="32" t="str">
        <f ca="1">IF(AG41&lt;&gt;"",OFFSET(変更先抽出【15時】!$A$1,AE41-1,35),"")</f>
        <v/>
      </c>
      <c r="AH46" s="34" t="str">
        <f ca="1">IF(AG41&lt;&gt;"","端数","")</f>
        <v/>
      </c>
      <c r="AI46" s="32"/>
      <c r="AJ46" s="34" t="str">
        <f ca="1">IF(AG41&lt;&gt;"","アレルギー","")</f>
        <v/>
      </c>
      <c r="AK46" s="37"/>
      <c r="AL46" s="22"/>
      <c r="AM46" s="34" t="str">
        <f ca="1">IF(AN41&lt;&gt;"","パン箱","")</f>
        <v/>
      </c>
      <c r="AN46" s="32" t="str">
        <f ca="1">IF(AN41&lt;&gt;"",OFFSET(変更先抽出【15時】!$A$1,AL41-1,35),"")</f>
        <v/>
      </c>
      <c r="AO46" s="34" t="str">
        <f ca="1">IF(AN41&lt;&gt;"","端数","")</f>
        <v/>
      </c>
      <c r="AP46" s="32"/>
      <c r="AQ46" s="34" t="str">
        <f ca="1">IF(AN41&lt;&gt;"","アレルギー","")</f>
        <v/>
      </c>
      <c r="AR46" s="37"/>
      <c r="AS46" s="22"/>
      <c r="AT46" s="30"/>
      <c r="AU46" s="34" t="str">
        <f ca="1">IF(AV41&lt;&gt;"","パン箱","")</f>
        <v/>
      </c>
      <c r="AV46" s="32" t="str">
        <f ca="1">IF(AV41&lt;&gt;"",OFFSET(変更先抽出【15時】!$A$1,AT41-1,35),"")</f>
        <v/>
      </c>
      <c r="AW46" s="34" t="str">
        <f ca="1">IF(AV41&lt;&gt;"","端数","")</f>
        <v/>
      </c>
      <c r="AX46" s="32"/>
      <c r="AY46" s="34" t="str">
        <f ca="1">IF(AV41&lt;&gt;"","アレルギー","")</f>
        <v/>
      </c>
      <c r="AZ46" s="37"/>
      <c r="BA46" s="22"/>
      <c r="BB46" s="34" t="str">
        <f ca="1">IF(BC41&lt;&gt;"","パン箱","")</f>
        <v/>
      </c>
      <c r="BC46" s="32" t="str">
        <f ca="1">IF(BC41&lt;&gt;"",OFFSET(変更先抽出【15時】!$A$1,BA41-1,35),"")</f>
        <v/>
      </c>
      <c r="BD46" s="34" t="str">
        <f ca="1">IF(BC41&lt;&gt;"","端数","")</f>
        <v/>
      </c>
      <c r="BE46" s="32"/>
      <c r="BF46" s="34" t="str">
        <f ca="1">IF(BC41&lt;&gt;"","アレルギー","")</f>
        <v/>
      </c>
      <c r="BG46" s="37"/>
      <c r="BH46" s="22"/>
      <c r="BI46" s="30"/>
      <c r="BJ46" s="34" t="str">
        <f ca="1">IF(BK41&lt;&gt;"","パン箱","")</f>
        <v/>
      </c>
      <c r="BK46" s="32" t="str">
        <f ca="1">IF(BK41&lt;&gt;"",OFFSET(変更先抽出【15時】!$A$1,BI41-1,35),"")</f>
        <v/>
      </c>
      <c r="BL46" s="34" t="str">
        <f ca="1">IF(BK41&lt;&gt;"","端数","")</f>
        <v/>
      </c>
      <c r="BM46" s="32"/>
      <c r="BN46" s="34" t="str">
        <f ca="1">IF(BK41&lt;&gt;"","アレルギー","")</f>
        <v/>
      </c>
      <c r="BO46" s="37"/>
      <c r="BP46" s="22"/>
      <c r="BQ46" s="34" t="str">
        <f ca="1">IF(BR41&lt;&gt;"","パン箱","")</f>
        <v/>
      </c>
      <c r="BR46" s="32" t="str">
        <f ca="1">IF(BR41&lt;&gt;"",OFFSET(変更先抽出【15時】!$A$1,BP41-1,35),"")</f>
        <v/>
      </c>
      <c r="BS46" s="34" t="str">
        <f ca="1">IF(BR41&lt;&gt;"","端数","")</f>
        <v/>
      </c>
      <c r="BT46" s="32"/>
      <c r="BU46" s="34" t="str">
        <f ca="1">IF(BR41&lt;&gt;"","アレルギー","")</f>
        <v/>
      </c>
      <c r="BV46" s="37"/>
      <c r="BW46" s="22"/>
      <c r="BX46" s="30"/>
      <c r="BY46" s="34" t="str">
        <f ca="1">IF(BZ41&lt;&gt;"","パン箱","")</f>
        <v/>
      </c>
      <c r="BZ46" s="32" t="str">
        <f ca="1">IF(BZ41&lt;&gt;"",OFFSET(変更先抽出【15時】!$A$1,BX41-1,35),"")</f>
        <v/>
      </c>
      <c r="CA46" s="34" t="str">
        <f ca="1">IF(BZ41&lt;&gt;"","端数","")</f>
        <v/>
      </c>
      <c r="CB46" s="32"/>
      <c r="CC46" s="34" t="str">
        <f ca="1">IF(BZ41&lt;&gt;"","アレルギー","")</f>
        <v/>
      </c>
      <c r="CD46" s="37"/>
      <c r="CE46" s="22"/>
      <c r="CF46" s="34" t="str">
        <f ca="1">IF(CG41&lt;&gt;"","パン箱","")</f>
        <v/>
      </c>
      <c r="CG46" s="32" t="str">
        <f ca="1">IF(CG41&lt;&gt;"",OFFSET(変更先抽出【15時】!$A$1,CE41-1,35),"")</f>
        <v/>
      </c>
      <c r="CH46" s="34" t="str">
        <f ca="1">IF(CG41&lt;&gt;"","端数","")</f>
        <v/>
      </c>
      <c r="CI46" s="32"/>
      <c r="CJ46" s="34" t="str">
        <f ca="1">IF(CG41&lt;&gt;"","アレルギー","")</f>
        <v/>
      </c>
      <c r="CK46" s="37"/>
      <c r="CL46" s="22"/>
      <c r="CM46" s="30"/>
      <c r="CN46" s="34" t="str">
        <f ca="1">IF(CO41&lt;&gt;"","パン箱","")</f>
        <v/>
      </c>
      <c r="CO46" s="32" t="str">
        <f ca="1">IF(CO41&lt;&gt;"",OFFSET(変更先抽出【15時】!$A$1,CM41-1,35),"")</f>
        <v/>
      </c>
      <c r="CP46" s="34" t="str">
        <f ca="1">IF(CO41&lt;&gt;"","端数","")</f>
        <v/>
      </c>
      <c r="CQ46" s="32"/>
      <c r="CR46" s="34" t="str">
        <f ca="1">IF(CO41&lt;&gt;"","アレルギー","")</f>
        <v/>
      </c>
      <c r="CS46" s="37"/>
      <c r="CT46" s="22"/>
      <c r="CU46" s="34" t="str">
        <f ca="1">IF(CV41&lt;&gt;"","パン箱","")</f>
        <v/>
      </c>
      <c r="CV46" s="32" t="str">
        <f ca="1">IF(CV41&lt;&gt;"",OFFSET(変更先抽出【15時】!$A$1,CT41-1,35),"")</f>
        <v/>
      </c>
      <c r="CW46" s="34" t="str">
        <f ca="1">IF(CV41&lt;&gt;"","端数","")</f>
        <v/>
      </c>
      <c r="CX46" s="32"/>
      <c r="CY46" s="34" t="str">
        <f ca="1">IF(CV41&lt;&gt;"","アレルギー","")</f>
        <v/>
      </c>
      <c r="CZ46" s="37"/>
      <c r="DA46" s="22"/>
      <c r="DB46" s="30"/>
      <c r="DC46" s="34" t="str">
        <f ca="1">IF(DD41&lt;&gt;"","パン箱","")</f>
        <v/>
      </c>
      <c r="DD46" s="32" t="str">
        <f ca="1">IF(DD41&lt;&gt;"",OFFSET(変更先抽出【15時】!$A$1,DB41-1,35),"")</f>
        <v/>
      </c>
      <c r="DE46" s="34" t="str">
        <f ca="1">IF(DD41&lt;&gt;"","端数","")</f>
        <v/>
      </c>
      <c r="DF46" s="32"/>
      <c r="DG46" s="34" t="str">
        <f ca="1">IF(DD41&lt;&gt;"","アレルギー","")</f>
        <v/>
      </c>
      <c r="DH46" s="37"/>
      <c r="DI46" s="22"/>
      <c r="DJ46" s="34" t="str">
        <f ca="1">IF(DK41&lt;&gt;"","パン箱","")</f>
        <v/>
      </c>
      <c r="DK46" s="32" t="str">
        <f ca="1">IF(DK41&lt;&gt;"",OFFSET(変更先抽出【15時】!$A$1,DI41-1,35),"")</f>
        <v/>
      </c>
      <c r="DL46" s="34" t="str">
        <f ca="1">IF(DK41&lt;&gt;"","端数","")</f>
        <v/>
      </c>
      <c r="DM46" s="32"/>
      <c r="DN46" s="34" t="str">
        <f ca="1">IF(DK41&lt;&gt;"","アレルギー","")</f>
        <v/>
      </c>
      <c r="DO46" s="37"/>
      <c r="DP46" s="22"/>
      <c r="DQ46" s="30"/>
      <c r="DR46" s="34" t="str">
        <f ca="1">IF(DS41&lt;&gt;"","パン箱","")</f>
        <v/>
      </c>
      <c r="DS46" s="32" t="str">
        <f ca="1">IF(DS41&lt;&gt;"",OFFSET(変更先抽出【15時】!$A$1,DQ41-1,35),"")</f>
        <v/>
      </c>
      <c r="DT46" s="34" t="str">
        <f ca="1">IF(DS41&lt;&gt;"","端数","")</f>
        <v/>
      </c>
      <c r="DU46" s="32"/>
      <c r="DV46" s="34" t="str">
        <f ca="1">IF(DS41&lt;&gt;"","アレルギー","")</f>
        <v/>
      </c>
      <c r="DW46" s="37"/>
      <c r="DX46" s="22"/>
      <c r="DY46" s="34" t="str">
        <f ca="1">IF(DZ41&lt;&gt;"","パン箱","")</f>
        <v/>
      </c>
      <c r="DZ46" s="32" t="str">
        <f ca="1">IF(DZ41&lt;&gt;"",OFFSET(変更先抽出【15時】!$A$1,DX41-1,35),"")</f>
        <v/>
      </c>
      <c r="EA46" s="34" t="str">
        <f ca="1">IF(DZ41&lt;&gt;"","端数","")</f>
        <v/>
      </c>
      <c r="EB46" s="32"/>
      <c r="EC46" s="34" t="str">
        <f ca="1">IF(DZ41&lt;&gt;"","アレルギー","")</f>
        <v/>
      </c>
      <c r="ED46" s="37"/>
      <c r="EE46" s="22"/>
      <c r="EF46" s="30"/>
      <c r="EG46" s="34" t="str">
        <f ca="1">IF(EH41&lt;&gt;"","パン箱","")</f>
        <v/>
      </c>
      <c r="EH46" s="32" t="str">
        <f ca="1">IF(EH41&lt;&gt;"",OFFSET(変更先抽出【15時】!$A$1,EF41-1,35),"")</f>
        <v/>
      </c>
      <c r="EI46" s="34" t="str">
        <f ca="1">IF(EH41&lt;&gt;"","端数","")</f>
        <v/>
      </c>
      <c r="EJ46" s="32"/>
      <c r="EK46" s="34" t="str">
        <f ca="1">IF(EH41&lt;&gt;"","アレルギー","")</f>
        <v/>
      </c>
      <c r="EL46" s="37"/>
      <c r="EM46" s="22"/>
      <c r="EN46" s="34" t="str">
        <f ca="1">IF(EO41&lt;&gt;"","パン箱","")</f>
        <v/>
      </c>
      <c r="EO46" s="32" t="str">
        <f ca="1">IF(EO41&lt;&gt;"",OFFSET(変更先抽出【15時】!$A$1,EM41-1,35),"")</f>
        <v/>
      </c>
      <c r="EP46" s="34" t="str">
        <f ca="1">IF(EO41&lt;&gt;"","端数","")</f>
        <v/>
      </c>
      <c r="EQ46" s="32"/>
      <c r="ER46" s="34" t="str">
        <f ca="1">IF(EO41&lt;&gt;"","アレルギー","")</f>
        <v/>
      </c>
      <c r="ES46" s="37"/>
      <c r="ET46" s="22"/>
    </row>
    <row r="47" spans="1:150" ht="27.6" customHeight="1">
      <c r="B47" s="216" t="str">
        <f ca="1">IF(C41&lt;&gt;"",IFERROR(INT(C44/C46),""),"")</f>
        <v/>
      </c>
      <c r="C47" s="209"/>
      <c r="D47" s="216" t="str">
        <f ca="1">IF(C41&lt;&gt;"",IFERROR(MOD(C44,C46),""),"")</f>
        <v/>
      </c>
      <c r="E47" s="209"/>
      <c r="F47" s="217" t="str">
        <f ca="1">IF(C41&lt;&gt;"",OFFSET(変更先抽出【15時】!$A$1,A41-1,34),"")</f>
        <v/>
      </c>
      <c r="G47" s="209"/>
      <c r="I47" s="216" t="str">
        <f ca="1">IF(J41&lt;&gt;"",IFERROR(INT(J44/J46),""),"")</f>
        <v/>
      </c>
      <c r="J47" s="209"/>
      <c r="K47" s="216" t="str">
        <f ca="1">IF(J41&lt;&gt;"",IFERROR(MOD(J44,J46),""),"")</f>
        <v/>
      </c>
      <c r="L47" s="209"/>
      <c r="M47" s="217" t="str">
        <f ca="1">IF(J41&lt;&gt;"",OFFSET(変更先抽出【15時】!$A$1,H41-1,34),"")</f>
        <v/>
      </c>
      <c r="N47" s="209"/>
      <c r="Q47" s="216" t="str">
        <f ca="1">IF(R41&lt;&gt;"",IFERROR(INT(R44/R46),""),"")</f>
        <v/>
      </c>
      <c r="R47" s="209"/>
      <c r="S47" s="216" t="str">
        <f ca="1">IF(R41&lt;&gt;"",IFERROR(MOD(R44,R46),""),"")</f>
        <v/>
      </c>
      <c r="T47" s="209"/>
      <c r="U47" s="217" t="str">
        <f ca="1">IF(R41&lt;&gt;"",OFFSET(変更先抽出【15時】!$A$1,P41-1,34),"")</f>
        <v/>
      </c>
      <c r="V47" s="209"/>
      <c r="X47" s="216" t="str">
        <f ca="1">IF(Y41&lt;&gt;"",IFERROR(INT(Y44/Y46),""),"")</f>
        <v/>
      </c>
      <c r="Y47" s="209"/>
      <c r="Z47" s="216" t="str">
        <f ca="1">IF(Y41&lt;&gt;"",IFERROR(MOD(Y44,Y46),""),"")</f>
        <v/>
      </c>
      <c r="AA47" s="209"/>
      <c r="AB47" s="217" t="str">
        <f ca="1">IF(Y41&lt;&gt;"",OFFSET(変更先抽出【15時】!$A$1,W41-1,34),"")</f>
        <v/>
      </c>
      <c r="AC47" s="209"/>
      <c r="AF47" s="216" t="str">
        <f ca="1">IF(AG41&lt;&gt;"",IFERROR(INT(AG44/AG46),""),"")</f>
        <v/>
      </c>
      <c r="AG47" s="209"/>
      <c r="AH47" s="216" t="str">
        <f ca="1">IF(AG41&lt;&gt;"",IFERROR(MOD(AG44,AG46),""),"")</f>
        <v/>
      </c>
      <c r="AI47" s="209"/>
      <c r="AJ47" s="217" t="str">
        <f ca="1">IF(AG41&lt;&gt;"",OFFSET(変更先抽出【15時】!$A$1,AE41-1,34),"")</f>
        <v/>
      </c>
      <c r="AK47" s="209"/>
      <c r="AM47" s="216" t="str">
        <f ca="1">IF(AN41&lt;&gt;"",IFERROR(INT(AN44/AN46),""),"")</f>
        <v/>
      </c>
      <c r="AN47" s="209"/>
      <c r="AO47" s="216" t="str">
        <f ca="1">IF(AN41&lt;&gt;"",IFERROR(MOD(AN44,AN46),""),"")</f>
        <v/>
      </c>
      <c r="AP47" s="209"/>
      <c r="AQ47" s="217" t="str">
        <f ca="1">IF(AN41&lt;&gt;"",OFFSET(変更先抽出【15時】!$A$1,AL41-1,34),"")</f>
        <v/>
      </c>
      <c r="AR47" s="209"/>
      <c r="AU47" s="216" t="str">
        <f ca="1">IF(AV41&lt;&gt;"",IFERROR(INT(AV44/AV46),""),"")</f>
        <v/>
      </c>
      <c r="AV47" s="209"/>
      <c r="AW47" s="216" t="str">
        <f ca="1">IF(AV41&lt;&gt;"",IFERROR(MOD(AV44,AV46),""),"")</f>
        <v/>
      </c>
      <c r="AX47" s="209"/>
      <c r="AY47" s="217" t="str">
        <f ca="1">IF(AV41&lt;&gt;"",OFFSET(変更先抽出【15時】!$A$1,AT41-1,34),"")</f>
        <v/>
      </c>
      <c r="AZ47" s="209"/>
      <c r="BB47" s="216" t="str">
        <f ca="1">IF(BC41&lt;&gt;"",IFERROR(INT(BC44/BC46),""),"")</f>
        <v/>
      </c>
      <c r="BC47" s="209"/>
      <c r="BD47" s="216" t="str">
        <f ca="1">IF(BC41&lt;&gt;"",IFERROR(MOD(BC44,BC46),""),"")</f>
        <v/>
      </c>
      <c r="BE47" s="209"/>
      <c r="BF47" s="217" t="str">
        <f ca="1">IF(BC41&lt;&gt;"",OFFSET(変更先抽出【15時】!$A$1,BA41-1,34),"")</f>
        <v/>
      </c>
      <c r="BG47" s="209"/>
      <c r="BJ47" s="216" t="str">
        <f ca="1">IF(BK41&lt;&gt;"",IFERROR(INT(BK44/BK46),""),"")</f>
        <v/>
      </c>
      <c r="BK47" s="209"/>
      <c r="BL47" s="216" t="str">
        <f ca="1">IF(BK41&lt;&gt;"",IFERROR(MOD(BK44,BK46),""),"")</f>
        <v/>
      </c>
      <c r="BM47" s="209"/>
      <c r="BN47" s="217" t="str">
        <f ca="1">IF(BK41&lt;&gt;"",OFFSET(変更先抽出【15時】!$A$1,BI41-1,34),"")</f>
        <v/>
      </c>
      <c r="BO47" s="209"/>
      <c r="BQ47" s="216" t="str">
        <f ca="1">IF(BR41&lt;&gt;"",IFERROR(INT(BR44/BR46),""),"")</f>
        <v/>
      </c>
      <c r="BR47" s="209"/>
      <c r="BS47" s="216" t="str">
        <f ca="1">IF(BR41&lt;&gt;"",IFERROR(MOD(BR44,BR46),""),"")</f>
        <v/>
      </c>
      <c r="BT47" s="209"/>
      <c r="BU47" s="217" t="str">
        <f ca="1">IF(BR41&lt;&gt;"",OFFSET(変更先抽出【15時】!$A$1,BP41-1,34),"")</f>
        <v/>
      </c>
      <c r="BV47" s="209"/>
      <c r="BY47" s="216" t="str">
        <f ca="1">IF(BZ41&lt;&gt;"",IFERROR(INT(BZ44/BZ46),""),"")</f>
        <v/>
      </c>
      <c r="BZ47" s="209"/>
      <c r="CA47" s="216" t="str">
        <f ca="1">IF(BZ41&lt;&gt;"",IFERROR(MOD(BZ44,BZ46),""),"")</f>
        <v/>
      </c>
      <c r="CB47" s="209"/>
      <c r="CC47" s="217" t="str">
        <f ca="1">IF(BZ41&lt;&gt;"",OFFSET(変更先抽出【15時】!$A$1,BX41-1,34),"")</f>
        <v/>
      </c>
      <c r="CD47" s="209"/>
      <c r="CF47" s="216" t="str">
        <f ca="1">IF(CG41&lt;&gt;"",IFERROR(INT(CG44/CG46),""),"")</f>
        <v/>
      </c>
      <c r="CG47" s="209"/>
      <c r="CH47" s="216" t="str">
        <f ca="1">IF(CG41&lt;&gt;"",IFERROR(MOD(CG44,CG46),""),"")</f>
        <v/>
      </c>
      <c r="CI47" s="209"/>
      <c r="CJ47" s="217" t="str">
        <f ca="1">IF(CG41&lt;&gt;"",OFFSET(変更先抽出【15時】!$A$1,CE41-1,34),"")</f>
        <v/>
      </c>
      <c r="CK47" s="209"/>
      <c r="CN47" s="216" t="str">
        <f ca="1">IF(CO41&lt;&gt;"",IFERROR(INT(CO44/CO46),""),"")</f>
        <v/>
      </c>
      <c r="CO47" s="209"/>
      <c r="CP47" s="216" t="str">
        <f ca="1">IF(CO41&lt;&gt;"",IFERROR(MOD(CO44,CO46),""),"")</f>
        <v/>
      </c>
      <c r="CQ47" s="209"/>
      <c r="CR47" s="217" t="str">
        <f ca="1">IF(CO41&lt;&gt;"",OFFSET(変更先抽出【15時】!$A$1,CM41-1,34),"")</f>
        <v/>
      </c>
      <c r="CS47" s="209"/>
      <c r="CU47" s="216" t="str">
        <f ca="1">IF(CV41&lt;&gt;"",IFERROR(INT(CV44/CV46),""),"")</f>
        <v/>
      </c>
      <c r="CV47" s="209"/>
      <c r="CW47" s="216" t="str">
        <f ca="1">IF(CV41&lt;&gt;"",IFERROR(MOD(CV44,CV46),""),"")</f>
        <v/>
      </c>
      <c r="CX47" s="209"/>
      <c r="CY47" s="217" t="str">
        <f ca="1">IF(CV41&lt;&gt;"",OFFSET(変更先抽出【15時】!$A$1,CT41-1,34),"")</f>
        <v/>
      </c>
      <c r="CZ47" s="209"/>
      <c r="DC47" s="216" t="str">
        <f ca="1">IF(DD41&lt;&gt;"",IFERROR(INT(DD44/DD46),""),"")</f>
        <v/>
      </c>
      <c r="DD47" s="209"/>
      <c r="DE47" s="216" t="str">
        <f ca="1">IF(DD41&lt;&gt;"",IFERROR(MOD(DD44,DD46),""),"")</f>
        <v/>
      </c>
      <c r="DF47" s="209"/>
      <c r="DG47" s="217" t="str">
        <f ca="1">IF(DD41&lt;&gt;"",OFFSET(変更先抽出【15時】!$A$1,DB41-1,34),"")</f>
        <v/>
      </c>
      <c r="DH47" s="209"/>
      <c r="DJ47" s="216" t="str">
        <f ca="1">IF(DK41&lt;&gt;"",IFERROR(INT(DK44/DK46),""),"")</f>
        <v/>
      </c>
      <c r="DK47" s="209"/>
      <c r="DL47" s="216" t="str">
        <f ca="1">IF(DK41&lt;&gt;"",IFERROR(MOD(DK44,DK46),""),"")</f>
        <v/>
      </c>
      <c r="DM47" s="209"/>
      <c r="DN47" s="217" t="str">
        <f ca="1">IF(DK41&lt;&gt;"",OFFSET(変更先抽出【15時】!$A$1,DI41-1,34),"")</f>
        <v/>
      </c>
      <c r="DO47" s="209"/>
      <c r="DR47" s="216" t="str">
        <f ca="1">IF(DS41&lt;&gt;"",IFERROR(INT(DS44/DS46),""),"")</f>
        <v/>
      </c>
      <c r="DS47" s="209"/>
      <c r="DT47" s="216" t="str">
        <f ca="1">IF(DS41&lt;&gt;"",IFERROR(MOD(DS44,DS46),""),"")</f>
        <v/>
      </c>
      <c r="DU47" s="209"/>
      <c r="DV47" s="217" t="str">
        <f ca="1">IF(DS41&lt;&gt;"",OFFSET(変更先抽出【15時】!$A$1,DQ41-1,34),"")</f>
        <v/>
      </c>
      <c r="DW47" s="209"/>
      <c r="DY47" s="216" t="str">
        <f ca="1">IF(DZ41&lt;&gt;"",IFERROR(INT(DZ44/DZ46),""),"")</f>
        <v/>
      </c>
      <c r="DZ47" s="209"/>
      <c r="EA47" s="216" t="str">
        <f ca="1">IF(DZ41&lt;&gt;"",IFERROR(MOD(DZ44,DZ46),""),"")</f>
        <v/>
      </c>
      <c r="EB47" s="209"/>
      <c r="EC47" s="217" t="str">
        <f ca="1">IF(DZ41&lt;&gt;"",OFFSET(変更先抽出【15時】!$A$1,DX41-1,34),"")</f>
        <v/>
      </c>
      <c r="ED47" s="209"/>
      <c r="EG47" s="216" t="str">
        <f ca="1">IF(EH41&lt;&gt;"",IFERROR(INT(EH44/EH46),""),"")</f>
        <v/>
      </c>
      <c r="EH47" s="209"/>
      <c r="EI47" s="216" t="str">
        <f ca="1">IF(EH41&lt;&gt;"",IFERROR(MOD(EH44,EH46),""),"")</f>
        <v/>
      </c>
      <c r="EJ47" s="209"/>
      <c r="EK47" s="217" t="str">
        <f ca="1">IF(EH41&lt;&gt;"",OFFSET(変更先抽出【15時】!$A$1,EF41-1,34),"")</f>
        <v/>
      </c>
      <c r="EL47" s="209"/>
      <c r="EN47" s="216" t="str">
        <f ca="1">IF(EO41&lt;&gt;"",IFERROR(INT(EO44/EO46),""),"")</f>
        <v/>
      </c>
      <c r="EO47" s="209"/>
      <c r="EP47" s="216" t="str">
        <f ca="1">IF(EO41&lt;&gt;"",IFERROR(MOD(EO44,EO46),""),"")</f>
        <v/>
      </c>
      <c r="EQ47" s="209"/>
      <c r="ER47" s="217" t="str">
        <f ca="1">IF(EO41&lt;&gt;"",OFFSET(変更先抽出【15時】!$A$1,EM41-1,34),"")</f>
        <v/>
      </c>
      <c r="ES47" s="209"/>
    </row>
  </sheetData>
  <mergeCells count="840">
    <mergeCell ref="R3:S3"/>
    <mergeCell ref="BC25:BF25"/>
    <mergeCell ref="U39:V39"/>
    <mergeCell ref="C9:F9"/>
    <mergeCell ref="J43:K43"/>
    <mergeCell ref="CV12:CW13"/>
    <mergeCell ref="Y17:AB17"/>
    <mergeCell ref="CY31:CZ31"/>
    <mergeCell ref="AQ12:AR13"/>
    <mergeCell ref="AY15:AZ15"/>
    <mergeCell ref="AG36:AH37"/>
    <mergeCell ref="B39:C39"/>
    <mergeCell ref="EH11:EI11"/>
    <mergeCell ref="EK31:EL31"/>
    <mergeCell ref="F28:G29"/>
    <mergeCell ref="DZ35:EA35"/>
    <mergeCell ref="AJ36:AK37"/>
    <mergeCell ref="BB15:BC15"/>
    <mergeCell ref="CF31:CG31"/>
    <mergeCell ref="CG41:CJ41"/>
    <mergeCell ref="Y19:Z19"/>
    <mergeCell ref="AH31:AI31"/>
    <mergeCell ref="DL23:DM23"/>
    <mergeCell ref="DR39:DS39"/>
    <mergeCell ref="CJ15:CK15"/>
    <mergeCell ref="M20:N21"/>
    <mergeCell ref="EA39:EB39"/>
    <mergeCell ref="DS27:DT27"/>
    <mergeCell ref="DS41:DV41"/>
    <mergeCell ref="EO41:ER41"/>
    <mergeCell ref="K7:L7"/>
    <mergeCell ref="AU47:AV47"/>
    <mergeCell ref="M23:N23"/>
    <mergeCell ref="CC39:CD39"/>
    <mergeCell ref="DG20:DH21"/>
    <mergeCell ref="BK9:BN9"/>
    <mergeCell ref="CO28:CP29"/>
    <mergeCell ref="DG7:DH7"/>
    <mergeCell ref="CV11:CW11"/>
    <mergeCell ref="DE15:DF15"/>
    <mergeCell ref="CV25:CY25"/>
    <mergeCell ref="DG15:DH15"/>
    <mergeCell ref="BL39:BM39"/>
    <mergeCell ref="DD19:DE19"/>
    <mergeCell ref="DC47:DD47"/>
    <mergeCell ref="BN39:BO39"/>
    <mergeCell ref="AV9:AY9"/>
    <mergeCell ref="DD44:DE45"/>
    <mergeCell ref="AV35:AW35"/>
    <mergeCell ref="EO12:EP13"/>
    <mergeCell ref="AO7:AP7"/>
    <mergeCell ref="BF44:BG45"/>
    <mergeCell ref="X47:Y47"/>
    <mergeCell ref="BC1:BF1"/>
    <mergeCell ref="AH23:AI23"/>
    <mergeCell ref="EH28:EI29"/>
    <mergeCell ref="F7:G7"/>
    <mergeCell ref="AJ23:AK23"/>
    <mergeCell ref="AG12:AH13"/>
    <mergeCell ref="AY44:AZ45"/>
    <mergeCell ref="Y12:Z13"/>
    <mergeCell ref="EN23:EO23"/>
    <mergeCell ref="Y36:Z37"/>
    <mergeCell ref="CN7:CO7"/>
    <mergeCell ref="AG20:AH21"/>
    <mergeCell ref="CO17:CR17"/>
    <mergeCell ref="R35:S35"/>
    <mergeCell ref="J35:K35"/>
    <mergeCell ref="AQ39:AR39"/>
    <mergeCell ref="BU20:BV21"/>
    <mergeCell ref="AN43:AO43"/>
    <mergeCell ref="Y9:AB9"/>
    <mergeCell ref="CY36:CZ37"/>
    <mergeCell ref="CO20:CP21"/>
    <mergeCell ref="EO27:EP27"/>
    <mergeCell ref="DJ23:DK23"/>
    <mergeCell ref="BC36:BD37"/>
    <mergeCell ref="CJ44:CK45"/>
    <mergeCell ref="X39:Y39"/>
    <mergeCell ref="CR47:CS47"/>
    <mergeCell ref="DK27:DL27"/>
    <mergeCell ref="AJ28:AK29"/>
    <mergeCell ref="BB7:BC7"/>
    <mergeCell ref="CY12:CZ13"/>
    <mergeCell ref="BD7:BE7"/>
    <mergeCell ref="AM47:AN47"/>
    <mergeCell ref="DK41:DN41"/>
    <mergeCell ref="CY20:CZ21"/>
    <mergeCell ref="CH47:CI47"/>
    <mergeCell ref="BR19:BS19"/>
    <mergeCell ref="Z47:AA47"/>
    <mergeCell ref="BJ7:BK7"/>
    <mergeCell ref="BL7:BM7"/>
    <mergeCell ref="F12:G13"/>
    <mergeCell ref="CP39:CQ39"/>
    <mergeCell ref="BK35:BL35"/>
    <mergeCell ref="DK11:DL11"/>
    <mergeCell ref="EO4:EP5"/>
    <mergeCell ref="D23:E23"/>
    <mergeCell ref="BQ7:BR7"/>
    <mergeCell ref="BS7:BT7"/>
    <mergeCell ref="X31:Y31"/>
    <mergeCell ref="BU7:BV7"/>
    <mergeCell ref="Z31:AA31"/>
    <mergeCell ref="DK25:DN25"/>
    <mergeCell ref="DR15:DS15"/>
    <mergeCell ref="CY4:CZ5"/>
    <mergeCell ref="M39:N39"/>
    <mergeCell ref="DS33:DV33"/>
    <mergeCell ref="F36:G37"/>
    <mergeCell ref="DS4:DT5"/>
    <mergeCell ref="BN4:BO5"/>
    <mergeCell ref="DR7:DS7"/>
    <mergeCell ref="BU4:BV5"/>
    <mergeCell ref="DV4:DW5"/>
    <mergeCell ref="J27:K27"/>
    <mergeCell ref="BC28:BD29"/>
    <mergeCell ref="CW15:CX15"/>
    <mergeCell ref="CG36:CH37"/>
    <mergeCell ref="CY15:CZ15"/>
    <mergeCell ref="EO33:ER33"/>
    <mergeCell ref="AH39:AI39"/>
    <mergeCell ref="AV19:AW19"/>
    <mergeCell ref="R25:U25"/>
    <mergeCell ref="EC20:ED21"/>
    <mergeCell ref="DK28:DL29"/>
    <mergeCell ref="EC7:ED7"/>
    <mergeCell ref="DZ11:EA11"/>
    <mergeCell ref="BK12:BL13"/>
    <mergeCell ref="EI15:EJ15"/>
    <mergeCell ref="EK15:EL15"/>
    <mergeCell ref="C43:D43"/>
    <mergeCell ref="F4:G5"/>
    <mergeCell ref="CP31:CQ31"/>
    <mergeCell ref="CR31:CS31"/>
    <mergeCell ref="AJ12:AK13"/>
    <mergeCell ref="DL39:DM39"/>
    <mergeCell ref="EC47:ED47"/>
    <mergeCell ref="Z23:AA23"/>
    <mergeCell ref="DN4:DO5"/>
    <mergeCell ref="AG19:AH19"/>
    <mergeCell ref="AB23:AC23"/>
    <mergeCell ref="DD28:DE29"/>
    <mergeCell ref="DV36:DW37"/>
    <mergeCell ref="DL47:DM47"/>
    <mergeCell ref="Y20:Z21"/>
    <mergeCell ref="DN47:DO47"/>
    <mergeCell ref="BF28:BG29"/>
    <mergeCell ref="CN39:CO39"/>
    <mergeCell ref="BL23:BM23"/>
    <mergeCell ref="R41:U41"/>
    <mergeCell ref="BN23:BO23"/>
    <mergeCell ref="S47:T47"/>
    <mergeCell ref="BB47:BC47"/>
    <mergeCell ref="BC12:BD13"/>
    <mergeCell ref="J33:M33"/>
    <mergeCell ref="EH27:EI27"/>
    <mergeCell ref="DC23:DD23"/>
    <mergeCell ref="DD43:DE43"/>
    <mergeCell ref="F15:G15"/>
    <mergeCell ref="AV11:AW11"/>
    <mergeCell ref="BB39:BC39"/>
    <mergeCell ref="BD39:BE39"/>
    <mergeCell ref="CU47:CV47"/>
    <mergeCell ref="EC12:ED13"/>
    <mergeCell ref="AV25:AY25"/>
    <mergeCell ref="BN36:BO37"/>
    <mergeCell ref="CR28:CS29"/>
    <mergeCell ref="AW23:AX23"/>
    <mergeCell ref="DS17:DV17"/>
    <mergeCell ref="BC20:BD21"/>
    <mergeCell ref="AN35:AO35"/>
    <mergeCell ref="CO35:CP35"/>
    <mergeCell ref="AU31:AV31"/>
    <mergeCell ref="BU39:BV39"/>
    <mergeCell ref="DK44:DL45"/>
    <mergeCell ref="BY47:BZ47"/>
    <mergeCell ref="AB44:AC45"/>
    <mergeCell ref="EH43:EI43"/>
    <mergeCell ref="EP47:EQ47"/>
    <mergeCell ref="EO1:ER1"/>
    <mergeCell ref="ER47:ES47"/>
    <mergeCell ref="CO11:CP11"/>
    <mergeCell ref="DJ39:DK39"/>
    <mergeCell ref="CG17:CJ17"/>
    <mergeCell ref="AM31:AN31"/>
    <mergeCell ref="CH23:CI23"/>
    <mergeCell ref="AN41:AQ41"/>
    <mergeCell ref="EO3:EP3"/>
    <mergeCell ref="EN7:EO7"/>
    <mergeCell ref="EO17:ER17"/>
    <mergeCell ref="DT31:DU31"/>
    <mergeCell ref="BU31:BV31"/>
    <mergeCell ref="AU23:AV23"/>
    <mergeCell ref="DV31:DW31"/>
    <mergeCell ref="BZ27:CA27"/>
    <mergeCell ref="BZ41:CC41"/>
    <mergeCell ref="CG28:CH29"/>
    <mergeCell ref="AN9:AQ9"/>
    <mergeCell ref="DK9:DN9"/>
    <mergeCell ref="ER44:ES45"/>
    <mergeCell ref="DJ7:DK7"/>
    <mergeCell ref="BC9:BF9"/>
    <mergeCell ref="C35:D35"/>
    <mergeCell ref="AJ39:AK39"/>
    <mergeCell ref="CR36:CS37"/>
    <mergeCell ref="R9:U9"/>
    <mergeCell ref="BZ44:CA45"/>
    <mergeCell ref="AJ4:AK5"/>
    <mergeCell ref="DK12:DL13"/>
    <mergeCell ref="DN31:DO31"/>
    <mergeCell ref="AB28:AC29"/>
    <mergeCell ref="BL15:BM15"/>
    <mergeCell ref="BN15:BO15"/>
    <mergeCell ref="AV36:AW37"/>
    <mergeCell ref="DD11:DE11"/>
    <mergeCell ref="AG25:AJ25"/>
    <mergeCell ref="BK44:BL45"/>
    <mergeCell ref="DD25:DG25"/>
    <mergeCell ref="BB31:BC31"/>
    <mergeCell ref="BC41:BF41"/>
    <mergeCell ref="AF7:AG7"/>
    <mergeCell ref="AH7:AI7"/>
    <mergeCell ref="F20:G21"/>
    <mergeCell ref="Q7:R7"/>
    <mergeCell ref="U15:V15"/>
    <mergeCell ref="J19:K19"/>
    <mergeCell ref="F44:G45"/>
    <mergeCell ref="EO9:ER9"/>
    <mergeCell ref="CC44:CD45"/>
    <mergeCell ref="AQ20:AR21"/>
    <mergeCell ref="DV23:DW23"/>
    <mergeCell ref="DD27:DE27"/>
    <mergeCell ref="AU7:AV7"/>
    <mergeCell ref="BZ33:CC33"/>
    <mergeCell ref="AF47:AG47"/>
    <mergeCell ref="BN12:BO13"/>
    <mergeCell ref="CF23:CG23"/>
    <mergeCell ref="AQ15:AR15"/>
    <mergeCell ref="DD41:DG41"/>
    <mergeCell ref="AN19:AO19"/>
    <mergeCell ref="CJ20:CK21"/>
    <mergeCell ref="DS20:DT21"/>
    <mergeCell ref="BF36:BG37"/>
    <mergeCell ref="J25:M25"/>
    <mergeCell ref="AN44:AO45"/>
    <mergeCell ref="Q47:R47"/>
    <mergeCell ref="BN20:BO21"/>
    <mergeCell ref="R12:S13"/>
    <mergeCell ref="EG23:EH23"/>
    <mergeCell ref="DZ43:EA43"/>
    <mergeCell ref="X7:Y7"/>
    <mergeCell ref="EC31:ED31"/>
    <mergeCell ref="Z7:AA7"/>
    <mergeCell ref="I47:J47"/>
    <mergeCell ref="R1:U1"/>
    <mergeCell ref="K47:L47"/>
    <mergeCell ref="DV20:DW21"/>
    <mergeCell ref="DL31:DM31"/>
    <mergeCell ref="BR27:BS27"/>
    <mergeCell ref="U44:V45"/>
    <mergeCell ref="DT15:DU15"/>
    <mergeCell ref="M15:N15"/>
    <mergeCell ref="BR41:BU41"/>
    <mergeCell ref="CG4:CH5"/>
    <mergeCell ref="DS44:DT45"/>
    <mergeCell ref="CG20:CH21"/>
    <mergeCell ref="CG12:CH13"/>
    <mergeCell ref="CF39:CG39"/>
    <mergeCell ref="J36:K37"/>
    <mergeCell ref="BR11:BS11"/>
    <mergeCell ref="CH39:CI39"/>
    <mergeCell ref="BY7:BZ7"/>
    <mergeCell ref="BR25:BU25"/>
    <mergeCell ref="DT39:DU39"/>
    <mergeCell ref="F31:G31"/>
    <mergeCell ref="AN11:AO11"/>
    <mergeCell ref="BU15:BV15"/>
    <mergeCell ref="DK33:DN33"/>
    <mergeCell ref="BZ36:CA37"/>
    <mergeCell ref="AN25:AQ25"/>
    <mergeCell ref="EO20:EP21"/>
    <mergeCell ref="BR44:BS45"/>
    <mergeCell ref="D39:E39"/>
    <mergeCell ref="CR20:CS21"/>
    <mergeCell ref="F39:G39"/>
    <mergeCell ref="R28:S29"/>
    <mergeCell ref="J28:K29"/>
    <mergeCell ref="AN36:AO37"/>
    <mergeCell ref="AB12:AC13"/>
    <mergeCell ref="AG43:AH43"/>
    <mergeCell ref="DD17:DG17"/>
    <mergeCell ref="AJ31:AK31"/>
    <mergeCell ref="AG35:AH35"/>
    <mergeCell ref="DN36:DO37"/>
    <mergeCell ref="CV44:CW45"/>
    <mergeCell ref="EH19:EI19"/>
    <mergeCell ref="CN15:CO15"/>
    <mergeCell ref="AV28:AW29"/>
    <mergeCell ref="EN39:EO39"/>
    <mergeCell ref="I7:J7"/>
    <mergeCell ref="Q23:R23"/>
    <mergeCell ref="DV47:DW47"/>
    <mergeCell ref="CF7:CG7"/>
    <mergeCell ref="S23:T23"/>
    <mergeCell ref="DK20:DL21"/>
    <mergeCell ref="BF20:BG21"/>
    <mergeCell ref="J1:M1"/>
    <mergeCell ref="Q31:R31"/>
    <mergeCell ref="CR4:CS5"/>
    <mergeCell ref="DE47:DF47"/>
    <mergeCell ref="DG47:DH47"/>
    <mergeCell ref="DZ27:EA27"/>
    <mergeCell ref="CU23:CV23"/>
    <mergeCell ref="DD33:DG33"/>
    <mergeCell ref="BS15:BT15"/>
    <mergeCell ref="R4:S5"/>
    <mergeCell ref="J3:K3"/>
    <mergeCell ref="AB4:AC5"/>
    <mergeCell ref="CY7:CZ7"/>
    <mergeCell ref="DK4:DL5"/>
    <mergeCell ref="BF4:BG5"/>
    <mergeCell ref="DK1:DN1"/>
    <mergeCell ref="ER36:ES37"/>
    <mergeCell ref="EH36:EI37"/>
    <mergeCell ref="DZ44:EA45"/>
    <mergeCell ref="CJ4:CK5"/>
    <mergeCell ref="C19:D19"/>
    <mergeCell ref="CP7:CQ7"/>
    <mergeCell ref="U36:V37"/>
    <mergeCell ref="BZ28:CA29"/>
    <mergeCell ref="C44:D45"/>
    <mergeCell ref="DJ15:DK15"/>
    <mergeCell ref="BR28:BS29"/>
    <mergeCell ref="EH25:EK25"/>
    <mergeCell ref="DL15:DM15"/>
    <mergeCell ref="CG11:CH11"/>
    <mergeCell ref="U28:V29"/>
    <mergeCell ref="CO43:CP43"/>
    <mergeCell ref="AU39:AV39"/>
    <mergeCell ref="BC17:BF17"/>
    <mergeCell ref="AW39:AX39"/>
    <mergeCell ref="R20:S21"/>
    <mergeCell ref="DV12:DW13"/>
    <mergeCell ref="BK28:BL29"/>
    <mergeCell ref="EN31:EO31"/>
    <mergeCell ref="EP31:EQ31"/>
    <mergeCell ref="Z39:AA39"/>
    <mergeCell ref="BQ47:BR47"/>
    <mergeCell ref="AB39:AC39"/>
    <mergeCell ref="DN20:DO21"/>
    <mergeCell ref="J9:M9"/>
    <mergeCell ref="AN28:AO29"/>
    <mergeCell ref="EH3:EI3"/>
    <mergeCell ref="AV12:AW13"/>
    <mergeCell ref="DD9:DG9"/>
    <mergeCell ref="BK43:BL43"/>
    <mergeCell ref="BD15:BE15"/>
    <mergeCell ref="EH17:EK17"/>
    <mergeCell ref="BF15:BG15"/>
    <mergeCell ref="EA15:EB15"/>
    <mergeCell ref="BN31:BO31"/>
    <mergeCell ref="DZ4:EA5"/>
    <mergeCell ref="CV33:CY33"/>
    <mergeCell ref="EC15:ED15"/>
    <mergeCell ref="CJ12:CK13"/>
    <mergeCell ref="DN28:DO29"/>
    <mergeCell ref="BC35:BD35"/>
    <mergeCell ref="CJ47:CK47"/>
    <mergeCell ref="DT7:DU7"/>
    <mergeCell ref="DV7:DW7"/>
    <mergeCell ref="EH1:EK1"/>
    <mergeCell ref="EA47:EB47"/>
    <mergeCell ref="BZ3:CA3"/>
    <mergeCell ref="AB31:AC31"/>
    <mergeCell ref="AG27:AH27"/>
    <mergeCell ref="BZ17:CC17"/>
    <mergeCell ref="BY23:BZ23"/>
    <mergeCell ref="DD36:DE37"/>
    <mergeCell ref="AG41:AJ41"/>
    <mergeCell ref="AV4:AW5"/>
    <mergeCell ref="AQ44:AR45"/>
    <mergeCell ref="AW47:AX47"/>
    <mergeCell ref="AY47:AZ47"/>
    <mergeCell ref="BN7:BO7"/>
    <mergeCell ref="CP15:CQ15"/>
    <mergeCell ref="EK7:EL7"/>
    <mergeCell ref="CR15:CS15"/>
    <mergeCell ref="EH33:EK33"/>
    <mergeCell ref="EA31:EB31"/>
    <mergeCell ref="BN47:BO47"/>
    <mergeCell ref="EH4:EI5"/>
    <mergeCell ref="DV28:DW29"/>
    <mergeCell ref="DZ28:EA29"/>
    <mergeCell ref="Y1:AB1"/>
    <mergeCell ref="BF47:BG47"/>
    <mergeCell ref="BJ23:BK23"/>
    <mergeCell ref="AH15:AI15"/>
    <mergeCell ref="C11:D11"/>
    <mergeCell ref="AJ15:AK15"/>
    <mergeCell ref="AY36:AZ37"/>
    <mergeCell ref="C25:F25"/>
    <mergeCell ref="DL7:DM7"/>
    <mergeCell ref="AG44:AH45"/>
    <mergeCell ref="CV28:CW29"/>
    <mergeCell ref="AW31:AX31"/>
    <mergeCell ref="BY39:BZ39"/>
    <mergeCell ref="AY31:AZ31"/>
    <mergeCell ref="BK11:BL11"/>
    <mergeCell ref="DG44:DH45"/>
    <mergeCell ref="I31:J31"/>
    <mergeCell ref="J41:M41"/>
    <mergeCell ref="CC36:CD37"/>
    <mergeCell ref="BU44:BV45"/>
    <mergeCell ref="DE31:DF31"/>
    <mergeCell ref="CR23:CS23"/>
    <mergeCell ref="M28:N29"/>
    <mergeCell ref="AM23:AN23"/>
    <mergeCell ref="AN17:AQ17"/>
    <mergeCell ref="CW47:CX47"/>
    <mergeCell ref="CY47:CZ47"/>
    <mergeCell ref="CA15:CB15"/>
    <mergeCell ref="DD20:DE21"/>
    <mergeCell ref="EK28:EL29"/>
    <mergeCell ref="AV33:AY33"/>
    <mergeCell ref="B47:C47"/>
    <mergeCell ref="R17:U17"/>
    <mergeCell ref="J4:K5"/>
    <mergeCell ref="AN12:AO13"/>
    <mergeCell ref="AB36:AC37"/>
    <mergeCell ref="EG47:EH47"/>
    <mergeCell ref="CR39:CS39"/>
    <mergeCell ref="EI47:EJ47"/>
    <mergeCell ref="BZ9:CC9"/>
    <mergeCell ref="BK27:BL27"/>
    <mergeCell ref="AG33:AJ33"/>
    <mergeCell ref="CV17:CY17"/>
    <mergeCell ref="DZ36:EA37"/>
    <mergeCell ref="CV43:CW43"/>
    <mergeCell ref="DC39:DD39"/>
    <mergeCell ref="BR4:BS5"/>
    <mergeCell ref="Y35:Z35"/>
    <mergeCell ref="U20:V21"/>
    <mergeCell ref="ER4:ES5"/>
    <mergeCell ref="BF23:BG23"/>
    <mergeCell ref="CH31:CI31"/>
    <mergeCell ref="AN27:AO27"/>
    <mergeCell ref="EK44:EL45"/>
    <mergeCell ref="I23:J23"/>
    <mergeCell ref="K23:L23"/>
    <mergeCell ref="DD4:DE5"/>
    <mergeCell ref="DG36:DH37"/>
    <mergeCell ref="DG23:DH23"/>
    <mergeCell ref="AY4:AZ5"/>
    <mergeCell ref="CO44:CP45"/>
    <mergeCell ref="EO36:EP37"/>
    <mergeCell ref="BZ12:CA13"/>
    <mergeCell ref="BR12:BS13"/>
    <mergeCell ref="EH9:EK9"/>
    <mergeCell ref="CG43:CH43"/>
    <mergeCell ref="AM39:AN39"/>
    <mergeCell ref="AO39:AP39"/>
    <mergeCell ref="DZ33:EC33"/>
    <mergeCell ref="CO27:CP27"/>
    <mergeCell ref="CJ31:CK31"/>
    <mergeCell ref="DN12:DO13"/>
    <mergeCell ref="EN15:EO15"/>
    <mergeCell ref="B7:C7"/>
    <mergeCell ref="EG39:EH39"/>
    <mergeCell ref="BF31:BG31"/>
    <mergeCell ref="CV20:CW21"/>
    <mergeCell ref="BZ4:CA5"/>
    <mergeCell ref="AY20:AZ21"/>
    <mergeCell ref="CG35:CH35"/>
    <mergeCell ref="CJ36:CK37"/>
    <mergeCell ref="DZ25:EC25"/>
    <mergeCell ref="CO19:CP19"/>
    <mergeCell ref="CJ23:CK23"/>
    <mergeCell ref="AJ7:AK7"/>
    <mergeCell ref="CO33:CR33"/>
    <mergeCell ref="AG11:AH11"/>
    <mergeCell ref="Y11:Z11"/>
    <mergeCell ref="EH20:EI21"/>
    <mergeCell ref="BU36:BV37"/>
    <mergeCell ref="M4:N5"/>
    <mergeCell ref="DS35:DT35"/>
    <mergeCell ref="BY31:BZ31"/>
    <mergeCell ref="C28:D29"/>
    <mergeCell ref="CR7:CS7"/>
    <mergeCell ref="CU39:CV39"/>
    <mergeCell ref="DN7:DO7"/>
    <mergeCell ref="U47:V47"/>
    <mergeCell ref="DY47:DZ47"/>
    <mergeCell ref="AB20:AC21"/>
    <mergeCell ref="DZ1:EC1"/>
    <mergeCell ref="DC15:DD15"/>
    <mergeCell ref="EI31:EJ31"/>
    <mergeCell ref="Y27:Z27"/>
    <mergeCell ref="CA47:CB47"/>
    <mergeCell ref="CV27:CW27"/>
    <mergeCell ref="AM7:AN7"/>
    <mergeCell ref="BQ23:BR23"/>
    <mergeCell ref="CC47:CD47"/>
    <mergeCell ref="AN4:AO5"/>
    <mergeCell ref="DE23:DF23"/>
    <mergeCell ref="BK19:BL19"/>
    <mergeCell ref="DZ3:EA3"/>
    <mergeCell ref="CG27:CH27"/>
    <mergeCell ref="BK33:BN33"/>
    <mergeCell ref="DC31:DD31"/>
    <mergeCell ref="BD31:BE31"/>
    <mergeCell ref="AB15:AC15"/>
    <mergeCell ref="BC44:BD45"/>
    <mergeCell ref="BR1:BU1"/>
    <mergeCell ref="DD1:DG1"/>
    <mergeCell ref="U4:V5"/>
    <mergeCell ref="EO35:EP35"/>
    <mergeCell ref="CU31:CV31"/>
    <mergeCell ref="Y28:Z29"/>
    <mergeCell ref="CW31:CX31"/>
    <mergeCell ref="AV1:AY1"/>
    <mergeCell ref="AU15:AV15"/>
    <mergeCell ref="AW15:AX15"/>
    <mergeCell ref="AV43:AW43"/>
    <mergeCell ref="AN33:AQ33"/>
    <mergeCell ref="DG28:DH29"/>
    <mergeCell ref="EP7:EQ7"/>
    <mergeCell ref="EO43:EP43"/>
    <mergeCell ref="DD3:DE3"/>
    <mergeCell ref="CV3:CW3"/>
    <mergeCell ref="EP15:EQ15"/>
    <mergeCell ref="DV39:DW39"/>
    <mergeCell ref="DS43:DT43"/>
    <mergeCell ref="EP23:EQ23"/>
    <mergeCell ref="AN3:AO3"/>
    <mergeCell ref="BZ1:CC1"/>
    <mergeCell ref="AO23:AP23"/>
    <mergeCell ref="DK17:DN17"/>
    <mergeCell ref="BZ20:CA21"/>
    <mergeCell ref="M47:N47"/>
    <mergeCell ref="R43:S43"/>
    <mergeCell ref="EH41:EK41"/>
    <mergeCell ref="AG17:AJ17"/>
    <mergeCell ref="Z15:AA15"/>
    <mergeCell ref="DZ20:EA21"/>
    <mergeCell ref="CV4:CW5"/>
    <mergeCell ref="BR33:BU33"/>
    <mergeCell ref="BF12:BG13"/>
    <mergeCell ref="DK35:DL35"/>
    <mergeCell ref="Y44:Z45"/>
    <mergeCell ref="DV15:DW15"/>
    <mergeCell ref="DN23:DO23"/>
    <mergeCell ref="DS19:DT19"/>
    <mergeCell ref="DN39:DO39"/>
    <mergeCell ref="CF15:CG15"/>
    <mergeCell ref="BF7:BG7"/>
    <mergeCell ref="DK43:DL43"/>
    <mergeCell ref="CH15:CI15"/>
    <mergeCell ref="BC11:BD11"/>
    <mergeCell ref="EH12:EI13"/>
    <mergeCell ref="BU28:BV29"/>
    <mergeCell ref="Q39:R39"/>
    <mergeCell ref="CG44:CH45"/>
    <mergeCell ref="ER23:ES23"/>
    <mergeCell ref="CV41:CY41"/>
    <mergeCell ref="BJ39:BK39"/>
    <mergeCell ref="C27:D27"/>
    <mergeCell ref="EK12:EL13"/>
    <mergeCell ref="AV17:AY17"/>
    <mergeCell ref="DY23:DZ23"/>
    <mergeCell ref="EI23:EJ23"/>
    <mergeCell ref="C41:F41"/>
    <mergeCell ref="EA23:EB23"/>
    <mergeCell ref="CG19:CH19"/>
    <mergeCell ref="EG31:EH31"/>
    <mergeCell ref="CG33:CJ33"/>
    <mergeCell ref="C12:D13"/>
    <mergeCell ref="I15:J15"/>
    <mergeCell ref="K15:L15"/>
    <mergeCell ref="ER28:ES29"/>
    <mergeCell ref="S39:T39"/>
    <mergeCell ref="CR12:CS13"/>
    <mergeCell ref="AG28:AH29"/>
    <mergeCell ref="ER12:ES13"/>
    <mergeCell ref="AV27:AW27"/>
    <mergeCell ref="AV41:AY41"/>
    <mergeCell ref="DZ19:EA19"/>
    <mergeCell ref="C4:D5"/>
    <mergeCell ref="EO19:EP19"/>
    <mergeCell ref="EP39:EQ39"/>
    <mergeCell ref="DS25:DV25"/>
    <mergeCell ref="AM15:AN15"/>
    <mergeCell ref="ER39:ES39"/>
    <mergeCell ref="CH7:CI7"/>
    <mergeCell ref="U23:V23"/>
    <mergeCell ref="CO3:CP3"/>
    <mergeCell ref="CJ7:CK7"/>
    <mergeCell ref="S31:T31"/>
    <mergeCell ref="DS36:DT37"/>
    <mergeCell ref="DG12:DH13"/>
    <mergeCell ref="U31:V31"/>
    <mergeCell ref="DY39:DZ39"/>
    <mergeCell ref="AY28:AZ29"/>
    <mergeCell ref="J20:K21"/>
    <mergeCell ref="CW23:CX23"/>
    <mergeCell ref="DY31:DZ31"/>
    <mergeCell ref="AQ4:AR5"/>
    <mergeCell ref="AW7:AX7"/>
    <mergeCell ref="BY15:BZ15"/>
    <mergeCell ref="B31:C31"/>
    <mergeCell ref="BQ15:BR15"/>
    <mergeCell ref="B23:C23"/>
    <mergeCell ref="DV44:DW45"/>
    <mergeCell ref="C33:F33"/>
    <mergeCell ref="BR17:BU17"/>
    <mergeCell ref="CV36:CW37"/>
    <mergeCell ref="DN15:DO15"/>
    <mergeCell ref="DK19:DL19"/>
    <mergeCell ref="AV20:AW21"/>
    <mergeCell ref="CG25:CJ25"/>
    <mergeCell ref="AY39:AZ39"/>
    <mergeCell ref="BC43:BD43"/>
    <mergeCell ref="I39:J39"/>
    <mergeCell ref="K39:L39"/>
    <mergeCell ref="AF23:AG23"/>
    <mergeCell ref="BK36:BL37"/>
    <mergeCell ref="BZ43:CA43"/>
    <mergeCell ref="D31:E31"/>
    <mergeCell ref="CO25:CR25"/>
    <mergeCell ref="AY23:AZ23"/>
    <mergeCell ref="CA31:CB31"/>
    <mergeCell ref="BN44:BO45"/>
    <mergeCell ref="J17:M17"/>
    <mergeCell ref="CV19:CW19"/>
    <mergeCell ref="M44:N45"/>
    <mergeCell ref="EO44:EP45"/>
    <mergeCell ref="CR44:CS45"/>
    <mergeCell ref="Y43:Z43"/>
    <mergeCell ref="BS47:BT47"/>
    <mergeCell ref="BU47:BV47"/>
    <mergeCell ref="AF39:AG39"/>
    <mergeCell ref="R11:S11"/>
    <mergeCell ref="EG7:EH7"/>
    <mergeCell ref="DY7:DZ7"/>
    <mergeCell ref="EI7:EJ7"/>
    <mergeCell ref="EA7:EB7"/>
    <mergeCell ref="AV44:AW45"/>
    <mergeCell ref="BD47:BE47"/>
    <mergeCell ref="DZ41:EC41"/>
    <mergeCell ref="EG15:EH15"/>
    <mergeCell ref="BJ31:BK31"/>
    <mergeCell ref="BR9:BU9"/>
    <mergeCell ref="BL31:BM31"/>
    <mergeCell ref="CN47:CO47"/>
    <mergeCell ref="CP47:CQ47"/>
    <mergeCell ref="AG9:AJ9"/>
    <mergeCell ref="DZ12:EA13"/>
    <mergeCell ref="BU12:BV13"/>
    <mergeCell ref="DS11:DT11"/>
    <mergeCell ref="EO11:EP11"/>
    <mergeCell ref="AY12:AZ13"/>
    <mergeCell ref="Y4:Z5"/>
    <mergeCell ref="ER31:ES31"/>
    <mergeCell ref="AQ36:AR37"/>
    <mergeCell ref="DS3:DT3"/>
    <mergeCell ref="AQ23:AR23"/>
    <mergeCell ref="DG39:DH39"/>
    <mergeCell ref="DK3:DL3"/>
    <mergeCell ref="EK20:EL21"/>
    <mergeCell ref="CO9:CR9"/>
    <mergeCell ref="DS28:DT29"/>
    <mergeCell ref="AO31:AP31"/>
    <mergeCell ref="BQ39:BR39"/>
    <mergeCell ref="AQ31:AR31"/>
    <mergeCell ref="AN20:AO21"/>
    <mergeCell ref="BK4:BL5"/>
    <mergeCell ref="CC31:CD31"/>
    <mergeCell ref="CU15:CV15"/>
    <mergeCell ref="CC23:CD23"/>
    <mergeCell ref="ER7:ES7"/>
    <mergeCell ref="EK4:EL5"/>
    <mergeCell ref="BR3:BS3"/>
    <mergeCell ref="BK3:BL3"/>
    <mergeCell ref="CG1:CJ1"/>
    <mergeCell ref="EH35:EI35"/>
    <mergeCell ref="CN31:CO31"/>
    <mergeCell ref="Y3:Z3"/>
    <mergeCell ref="CA23:CB23"/>
    <mergeCell ref="BC27:BD27"/>
    <mergeCell ref="X23:Y23"/>
    <mergeCell ref="Y33:AB33"/>
    <mergeCell ref="BK20:BL21"/>
    <mergeCell ref="CG3:CH3"/>
    <mergeCell ref="DS1:DV1"/>
    <mergeCell ref="DD12:DE13"/>
    <mergeCell ref="AG4:AH5"/>
    <mergeCell ref="AN1:AQ1"/>
    <mergeCell ref="BK1:BN1"/>
    <mergeCell ref="BC3:BD3"/>
    <mergeCell ref="CO1:CR1"/>
    <mergeCell ref="CC4:CD5"/>
    <mergeCell ref="EC28:ED29"/>
    <mergeCell ref="DC7:DD7"/>
    <mergeCell ref="DE7:DF7"/>
    <mergeCell ref="DY15:DZ15"/>
    <mergeCell ref="AG1:AJ1"/>
    <mergeCell ref="DZ9:EC9"/>
    <mergeCell ref="EK39:EL39"/>
    <mergeCell ref="DS9:DV9"/>
    <mergeCell ref="BS39:BT39"/>
    <mergeCell ref="U7:V7"/>
    <mergeCell ref="EO28:EP29"/>
    <mergeCell ref="BQ31:BR31"/>
    <mergeCell ref="D47:E47"/>
    <mergeCell ref="M7:N7"/>
    <mergeCell ref="BS31:BT31"/>
    <mergeCell ref="J11:K11"/>
    <mergeCell ref="F47:G47"/>
    <mergeCell ref="CO12:CP13"/>
    <mergeCell ref="Q15:R15"/>
    <mergeCell ref="S15:T15"/>
    <mergeCell ref="EC44:ED45"/>
    <mergeCell ref="EK47:EL47"/>
    <mergeCell ref="CC28:CD29"/>
    <mergeCell ref="CU7:CV7"/>
    <mergeCell ref="CW7:CX7"/>
    <mergeCell ref="R44:S45"/>
    <mergeCell ref="CV35:CW35"/>
    <mergeCell ref="J44:K45"/>
    <mergeCell ref="EO25:ER25"/>
    <mergeCell ref="CY23:CZ23"/>
    <mergeCell ref="ER20:ES21"/>
    <mergeCell ref="CV9:CY9"/>
    <mergeCell ref="Y25:AB25"/>
    <mergeCell ref="C3:D3"/>
    <mergeCell ref="BC33:BF33"/>
    <mergeCell ref="AH47:AI47"/>
    <mergeCell ref="AJ47:AK47"/>
    <mergeCell ref="C17:F17"/>
    <mergeCell ref="U12:V13"/>
    <mergeCell ref="ER15:ES15"/>
    <mergeCell ref="M12:N13"/>
    <mergeCell ref="CW39:CX39"/>
    <mergeCell ref="BR35:BS35"/>
    <mergeCell ref="EN47:EO47"/>
    <mergeCell ref="CY39:CZ39"/>
    <mergeCell ref="CG9:CJ9"/>
    <mergeCell ref="C36:D37"/>
    <mergeCell ref="M36:N37"/>
    <mergeCell ref="R19:S19"/>
    <mergeCell ref="EK23:EL23"/>
    <mergeCell ref="CO41:CR41"/>
    <mergeCell ref="R33:U33"/>
    <mergeCell ref="DK36:DL37"/>
    <mergeCell ref="BC4:BD5"/>
    <mergeCell ref="EC4:ED5"/>
    <mergeCell ref="C1:F1"/>
    <mergeCell ref="CJ28:CK29"/>
    <mergeCell ref="CN23:CO23"/>
    <mergeCell ref="C20:D21"/>
    <mergeCell ref="CP23:CQ23"/>
    <mergeCell ref="DR31:DS31"/>
    <mergeCell ref="DJ31:DK31"/>
    <mergeCell ref="CF47:CG47"/>
    <mergeCell ref="BC19:BD19"/>
    <mergeCell ref="BJ15:BK15"/>
    <mergeCell ref="AQ28:AR29"/>
    <mergeCell ref="CC15:CD15"/>
    <mergeCell ref="DT23:DU23"/>
    <mergeCell ref="BZ19:CA19"/>
    <mergeCell ref="CO4:CP5"/>
    <mergeCell ref="DE39:DF39"/>
    <mergeCell ref="BF39:BG39"/>
    <mergeCell ref="B15:C15"/>
    <mergeCell ref="BZ35:CA35"/>
    <mergeCell ref="CV1:CY1"/>
    <mergeCell ref="AF31:AG31"/>
    <mergeCell ref="D15:E15"/>
    <mergeCell ref="DN44:DO45"/>
    <mergeCell ref="EI39:EJ39"/>
    <mergeCell ref="D7:E7"/>
    <mergeCell ref="AF15:AG15"/>
    <mergeCell ref="DD35:DE35"/>
    <mergeCell ref="CA7:CB7"/>
    <mergeCell ref="X15:Y15"/>
    <mergeCell ref="EC39:ED39"/>
    <mergeCell ref="CC7:CD7"/>
    <mergeCell ref="EH44:EI45"/>
    <mergeCell ref="BK41:BN41"/>
    <mergeCell ref="F23:G23"/>
    <mergeCell ref="AY7:AZ7"/>
    <mergeCell ref="BN28:BO29"/>
    <mergeCell ref="BR36:BS37"/>
    <mergeCell ref="CA39:CB39"/>
    <mergeCell ref="BR43:BS43"/>
    <mergeCell ref="CJ39:CK39"/>
    <mergeCell ref="K31:L31"/>
    <mergeCell ref="R27:S27"/>
    <mergeCell ref="M31:N31"/>
    <mergeCell ref="CY44:CZ45"/>
    <mergeCell ref="AB7:AC7"/>
    <mergeCell ref="AJ20:AK21"/>
    <mergeCell ref="J12:K13"/>
    <mergeCell ref="Y41:AB41"/>
    <mergeCell ref="AV3:AW3"/>
    <mergeCell ref="BU23:BV23"/>
    <mergeCell ref="AQ7:AR7"/>
    <mergeCell ref="AB47:AC47"/>
    <mergeCell ref="DS12:DT13"/>
    <mergeCell ref="S7:T7"/>
    <mergeCell ref="BK25:BN25"/>
    <mergeCell ref="AO15:AP15"/>
    <mergeCell ref="BB23:BC23"/>
    <mergeCell ref="AJ44:AK45"/>
    <mergeCell ref="BR20:BS21"/>
    <mergeCell ref="CY28:CZ29"/>
    <mergeCell ref="BD23:BE23"/>
    <mergeCell ref="DG31:DH31"/>
    <mergeCell ref="DG4:DH5"/>
    <mergeCell ref="DR47:DS47"/>
    <mergeCell ref="DJ47:DK47"/>
    <mergeCell ref="DT47:DU47"/>
    <mergeCell ref="AO47:AP47"/>
    <mergeCell ref="AQ47:AR47"/>
    <mergeCell ref="AG3:AH3"/>
    <mergeCell ref="BJ47:BK47"/>
    <mergeCell ref="BL47:BM47"/>
    <mergeCell ref="EK36:EL37"/>
    <mergeCell ref="EC36:ED37"/>
    <mergeCell ref="CC20:CD21"/>
    <mergeCell ref="R36:S37"/>
    <mergeCell ref="BZ11:CA11"/>
    <mergeCell ref="BK17:BN17"/>
    <mergeCell ref="CO36:CP37"/>
    <mergeCell ref="CC12:CD13"/>
    <mergeCell ref="BZ25:CC25"/>
    <mergeCell ref="DR23:DS23"/>
    <mergeCell ref="BS23:BT23"/>
    <mergeCell ref="DZ17:EC17"/>
    <mergeCell ref="EC23:ED23"/>
  </mergeCells>
  <phoneticPr fontId="1"/>
  <pageMargins left="0.51181102362204722" right="0.51181102362204722" top="0.15748031496062989" bottom="0.15748031496062989" header="0" footer="0"/>
  <pageSetup paperSize="9" scale="84" orientation="portrait" horizontalDpi="1200" verticalDpi="1200"/>
  <headerFooter>
    <oddHeader xml:space="preserve">&amp;L
</oddHeader>
    <oddFooter>&amp;C&amp;P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U438"/>
  <sheetViews>
    <sheetView topLeftCell="A52" workbookViewId="0">
      <selection activeCell="C9" sqref="C9"/>
    </sheetView>
  </sheetViews>
  <sheetFormatPr defaultRowHeight="18"/>
  <cols>
    <col min="3" max="3" width="25.296875" style="180" customWidth="1"/>
    <col min="4" max="4" width="20.296875" style="180" customWidth="1"/>
    <col min="6" max="6" width="12.19921875" style="180" customWidth="1"/>
    <col min="10" max="19" width="6.796875" style="180" customWidth="1"/>
  </cols>
  <sheetData>
    <row r="1" spans="1:21">
      <c r="A1" t="s">
        <v>186</v>
      </c>
      <c r="B1" t="s">
        <v>187</v>
      </c>
      <c r="C1" t="s">
        <v>188</v>
      </c>
      <c r="D1" t="s">
        <v>189</v>
      </c>
      <c r="E1" t="s">
        <v>190</v>
      </c>
      <c r="F1" t="s">
        <v>191</v>
      </c>
      <c r="G1" t="s">
        <v>192</v>
      </c>
      <c r="H1" t="s">
        <v>4431</v>
      </c>
      <c r="I1" t="s">
        <v>193</v>
      </c>
      <c r="J1" t="s">
        <v>194</v>
      </c>
      <c r="K1" t="s">
        <v>195</v>
      </c>
      <c r="L1" t="s">
        <v>196</v>
      </c>
      <c r="M1" t="s">
        <v>197</v>
      </c>
      <c r="N1" t="s">
        <v>198</v>
      </c>
      <c r="O1" t="s">
        <v>199</v>
      </c>
      <c r="P1" t="s">
        <v>200</v>
      </c>
      <c r="Q1" t="s">
        <v>201</v>
      </c>
      <c r="R1" t="s">
        <v>202</v>
      </c>
      <c r="S1" t="s">
        <v>203</v>
      </c>
      <c r="T1" t="s">
        <v>204</v>
      </c>
      <c r="U1" t="s">
        <v>205</v>
      </c>
    </row>
    <row r="2" spans="1:21">
      <c r="A2" t="s">
        <v>8</v>
      </c>
      <c r="B2" t="s">
        <v>8</v>
      </c>
      <c r="C2" t="s">
        <v>206</v>
      </c>
      <c r="D2" t="s">
        <v>0</v>
      </c>
      <c r="E2" s="111" t="s">
        <v>2</v>
      </c>
      <c r="F2" t="s">
        <v>111</v>
      </c>
      <c r="G2" t="s">
        <v>3</v>
      </c>
      <c r="H2" t="s">
        <v>8</v>
      </c>
      <c r="I2" t="s">
        <v>1</v>
      </c>
      <c r="J2"/>
      <c r="K2" t="s">
        <v>3</v>
      </c>
      <c r="L2"/>
      <c r="M2" t="s">
        <v>3</v>
      </c>
      <c r="N2"/>
      <c r="O2" t="s">
        <v>3</v>
      </c>
      <c r="P2"/>
      <c r="Q2" t="s">
        <v>3</v>
      </c>
      <c r="R2"/>
      <c r="S2" t="s">
        <v>3</v>
      </c>
      <c r="T2" t="s">
        <v>111</v>
      </c>
      <c r="U2" s="109" t="s">
        <v>207</v>
      </c>
    </row>
    <row r="3" spans="1:21">
      <c r="A3" t="s">
        <v>111</v>
      </c>
      <c r="B3" t="s">
        <v>3</v>
      </c>
      <c r="C3" t="s">
        <v>208</v>
      </c>
      <c r="D3" t="s">
        <v>209</v>
      </c>
      <c r="E3" s="111" t="s">
        <v>6</v>
      </c>
      <c r="F3" t="s">
        <v>3</v>
      </c>
      <c r="G3" t="s">
        <v>3</v>
      </c>
      <c r="H3" t="s">
        <v>8</v>
      </c>
      <c r="I3" t="s">
        <v>108</v>
      </c>
      <c r="J3"/>
      <c r="K3" t="s">
        <v>3</v>
      </c>
      <c r="L3"/>
      <c r="M3" t="s">
        <v>3</v>
      </c>
      <c r="N3"/>
      <c r="O3" t="s">
        <v>3</v>
      </c>
      <c r="P3"/>
      <c r="Q3" t="s">
        <v>3</v>
      </c>
      <c r="R3"/>
      <c r="S3" t="s">
        <v>3</v>
      </c>
      <c r="T3" t="s">
        <v>111</v>
      </c>
      <c r="U3" s="109" t="s">
        <v>210</v>
      </c>
    </row>
    <row r="4" spans="1:21">
      <c r="A4" t="s">
        <v>67</v>
      </c>
      <c r="B4" t="s">
        <v>8</v>
      </c>
      <c r="C4" t="s">
        <v>211</v>
      </c>
      <c r="D4" t="s">
        <v>212</v>
      </c>
      <c r="E4" s="111" t="s">
        <v>3</v>
      </c>
      <c r="F4" t="s">
        <v>67</v>
      </c>
      <c r="G4" t="s">
        <v>3</v>
      </c>
      <c r="H4" t="s">
        <v>8</v>
      </c>
      <c r="I4" t="s">
        <v>108</v>
      </c>
      <c r="J4"/>
      <c r="K4" t="s">
        <v>3</v>
      </c>
      <c r="L4"/>
      <c r="M4" t="s">
        <v>3</v>
      </c>
      <c r="N4"/>
      <c r="O4" t="s">
        <v>3</v>
      </c>
      <c r="P4"/>
      <c r="Q4" t="s">
        <v>3</v>
      </c>
      <c r="R4"/>
      <c r="S4" t="s">
        <v>3</v>
      </c>
      <c r="T4" t="s">
        <v>111</v>
      </c>
      <c r="U4" s="109" t="s">
        <v>213</v>
      </c>
    </row>
    <row r="5" spans="1:21">
      <c r="A5" t="s">
        <v>116</v>
      </c>
      <c r="B5" t="s">
        <v>3</v>
      </c>
      <c r="C5" t="s">
        <v>214</v>
      </c>
      <c r="D5" t="s">
        <v>215</v>
      </c>
      <c r="E5" s="111" t="s">
        <v>3</v>
      </c>
      <c r="F5" t="s">
        <v>116</v>
      </c>
      <c r="G5" t="s">
        <v>3</v>
      </c>
      <c r="H5" t="s">
        <v>8</v>
      </c>
      <c r="I5" t="s">
        <v>108</v>
      </c>
      <c r="J5"/>
      <c r="K5" t="s">
        <v>3</v>
      </c>
      <c r="L5"/>
      <c r="M5" t="s">
        <v>3</v>
      </c>
      <c r="N5"/>
      <c r="O5" t="s">
        <v>3</v>
      </c>
      <c r="P5"/>
      <c r="Q5" t="s">
        <v>3</v>
      </c>
      <c r="R5"/>
      <c r="S5" t="s">
        <v>3</v>
      </c>
      <c r="T5" t="s">
        <v>111</v>
      </c>
      <c r="U5" s="109" t="s">
        <v>216</v>
      </c>
    </row>
    <row r="6" spans="1:21">
      <c r="A6" t="s">
        <v>92</v>
      </c>
      <c r="B6" t="s">
        <v>8</v>
      </c>
      <c r="C6" t="s">
        <v>206</v>
      </c>
      <c r="D6" t="s">
        <v>217</v>
      </c>
      <c r="E6" s="111" t="s">
        <v>218</v>
      </c>
      <c r="F6" t="s">
        <v>118</v>
      </c>
      <c r="G6" t="s">
        <v>3</v>
      </c>
      <c r="H6" t="s">
        <v>8</v>
      </c>
      <c r="I6" t="s">
        <v>1</v>
      </c>
      <c r="J6" t="s">
        <v>219</v>
      </c>
      <c r="K6" t="s">
        <v>8</v>
      </c>
      <c r="L6"/>
      <c r="M6" t="s">
        <v>3</v>
      </c>
      <c r="N6"/>
      <c r="O6" t="s">
        <v>3</v>
      </c>
      <c r="P6"/>
      <c r="Q6" t="s">
        <v>3</v>
      </c>
      <c r="R6"/>
      <c r="S6" t="s">
        <v>3</v>
      </c>
      <c r="T6" t="s">
        <v>111</v>
      </c>
      <c r="U6" s="109" t="s">
        <v>220</v>
      </c>
    </row>
    <row r="7" spans="1:21">
      <c r="A7" t="s">
        <v>118</v>
      </c>
      <c r="B7" t="s">
        <v>3</v>
      </c>
      <c r="C7" t="s">
        <v>208</v>
      </c>
      <c r="D7" t="s">
        <v>221</v>
      </c>
      <c r="E7" s="111" t="s">
        <v>6</v>
      </c>
      <c r="F7" t="s">
        <v>3</v>
      </c>
      <c r="G7" t="s">
        <v>3</v>
      </c>
      <c r="H7" t="s">
        <v>8</v>
      </c>
      <c r="I7" t="s">
        <v>108</v>
      </c>
      <c r="J7"/>
      <c r="K7" t="s">
        <v>3</v>
      </c>
      <c r="L7"/>
      <c r="M7" t="s">
        <v>3</v>
      </c>
      <c r="N7"/>
      <c r="O7" t="s">
        <v>3</v>
      </c>
      <c r="P7"/>
      <c r="Q7" t="s">
        <v>3</v>
      </c>
      <c r="R7"/>
      <c r="S7" t="s">
        <v>3</v>
      </c>
      <c r="T7" t="s">
        <v>111</v>
      </c>
      <c r="U7" s="109" t="s">
        <v>222</v>
      </c>
    </row>
    <row r="8" spans="1:21">
      <c r="A8" t="s">
        <v>64</v>
      </c>
      <c r="B8" t="s">
        <v>8</v>
      </c>
      <c r="C8" t="s">
        <v>223</v>
      </c>
      <c r="D8" t="s">
        <v>224</v>
      </c>
      <c r="E8" s="111" t="s">
        <v>218</v>
      </c>
      <c r="F8" t="s">
        <v>88</v>
      </c>
      <c r="G8" t="s">
        <v>3</v>
      </c>
      <c r="H8" t="s">
        <v>8</v>
      </c>
      <c r="I8" t="s">
        <v>1</v>
      </c>
      <c r="J8" t="s">
        <v>225</v>
      </c>
      <c r="K8" t="s">
        <v>8</v>
      </c>
      <c r="L8"/>
      <c r="M8" t="s">
        <v>3</v>
      </c>
      <c r="N8"/>
      <c r="O8" t="s">
        <v>3</v>
      </c>
      <c r="P8"/>
      <c r="Q8" t="s">
        <v>3</v>
      </c>
      <c r="R8"/>
      <c r="S8" t="s">
        <v>3</v>
      </c>
      <c r="T8" t="s">
        <v>111</v>
      </c>
      <c r="U8" s="109" t="s">
        <v>226</v>
      </c>
    </row>
    <row r="9" spans="1:21">
      <c r="A9" t="s">
        <v>88</v>
      </c>
      <c r="B9" t="s">
        <v>3</v>
      </c>
      <c r="C9" t="s">
        <v>208</v>
      </c>
      <c r="D9" t="s">
        <v>227</v>
      </c>
      <c r="E9" s="111" t="s">
        <v>6</v>
      </c>
      <c r="F9" t="s">
        <v>3</v>
      </c>
      <c r="G9" t="s">
        <v>3</v>
      </c>
      <c r="H9" t="s">
        <v>8</v>
      </c>
      <c r="I9" t="s">
        <v>108</v>
      </c>
      <c r="J9"/>
      <c r="K9" t="s">
        <v>3</v>
      </c>
      <c r="L9"/>
      <c r="M9" t="s">
        <v>3</v>
      </c>
      <c r="N9"/>
      <c r="O9" t="s">
        <v>3</v>
      </c>
      <c r="P9"/>
      <c r="Q9" t="s">
        <v>3</v>
      </c>
      <c r="R9"/>
      <c r="S9" t="s">
        <v>3</v>
      </c>
      <c r="T9" t="s">
        <v>111</v>
      </c>
      <c r="U9" s="109" t="s">
        <v>228</v>
      </c>
    </row>
    <row r="10" spans="1:21">
      <c r="A10" t="s">
        <v>75</v>
      </c>
      <c r="B10" t="s">
        <v>8</v>
      </c>
      <c r="C10" t="s">
        <v>229</v>
      </c>
      <c r="D10" t="s">
        <v>230</v>
      </c>
      <c r="E10" s="111" t="s">
        <v>3</v>
      </c>
      <c r="F10" t="s">
        <v>231</v>
      </c>
      <c r="G10" t="s">
        <v>8</v>
      </c>
      <c r="H10" t="s">
        <v>111</v>
      </c>
      <c r="I10" t="s">
        <v>3</v>
      </c>
      <c r="J10" t="s">
        <v>230</v>
      </c>
      <c r="K10" t="s">
        <v>3</v>
      </c>
      <c r="L10" t="s">
        <v>232</v>
      </c>
      <c r="M10" t="s">
        <v>3</v>
      </c>
      <c r="N10"/>
      <c r="O10" t="s">
        <v>3</v>
      </c>
      <c r="P10"/>
      <c r="Q10" t="s">
        <v>3</v>
      </c>
      <c r="R10"/>
      <c r="S10" t="s">
        <v>3</v>
      </c>
      <c r="T10" t="s">
        <v>111</v>
      </c>
      <c r="U10" s="109" t="s">
        <v>233</v>
      </c>
    </row>
    <row r="11" spans="1:21">
      <c r="A11" t="s">
        <v>231</v>
      </c>
      <c r="B11" t="s">
        <v>8</v>
      </c>
      <c r="C11" t="s">
        <v>234</v>
      </c>
      <c r="D11" t="s">
        <v>234</v>
      </c>
      <c r="E11" s="111" t="s">
        <v>3</v>
      </c>
      <c r="F11" t="s">
        <v>3</v>
      </c>
      <c r="G11" t="s">
        <v>8</v>
      </c>
      <c r="H11" t="s">
        <v>3</v>
      </c>
      <c r="I11" t="s">
        <v>3</v>
      </c>
      <c r="J11"/>
      <c r="K11" t="s">
        <v>3</v>
      </c>
      <c r="L11"/>
      <c r="M11" t="s">
        <v>3</v>
      </c>
      <c r="N11"/>
      <c r="O11" t="s">
        <v>3</v>
      </c>
      <c r="P11"/>
      <c r="Q11" t="s">
        <v>3</v>
      </c>
      <c r="R11"/>
      <c r="S11" t="s">
        <v>3</v>
      </c>
      <c r="T11" t="s">
        <v>111</v>
      </c>
      <c r="U11" s="109" t="s">
        <v>235</v>
      </c>
    </row>
    <row r="12" spans="1:21">
      <c r="A12" t="s">
        <v>1</v>
      </c>
      <c r="B12" t="s">
        <v>8</v>
      </c>
      <c r="C12" t="s">
        <v>236</v>
      </c>
      <c r="D12" t="s">
        <v>5</v>
      </c>
      <c r="E12" s="111" t="s">
        <v>7</v>
      </c>
      <c r="F12" t="s">
        <v>120</v>
      </c>
      <c r="G12" t="s">
        <v>8</v>
      </c>
      <c r="H12" t="s">
        <v>8</v>
      </c>
      <c r="I12" t="s">
        <v>6</v>
      </c>
      <c r="J12"/>
      <c r="K12" t="s">
        <v>3</v>
      </c>
      <c r="L12"/>
      <c r="M12" t="s">
        <v>3</v>
      </c>
      <c r="N12"/>
      <c r="O12" t="s">
        <v>3</v>
      </c>
      <c r="P12"/>
      <c r="Q12" t="s">
        <v>3</v>
      </c>
      <c r="R12"/>
      <c r="S12" t="s">
        <v>3</v>
      </c>
      <c r="T12" t="s">
        <v>111</v>
      </c>
      <c r="U12" s="109" t="s">
        <v>237</v>
      </c>
    </row>
    <row r="13" spans="1:21">
      <c r="A13" t="s">
        <v>120</v>
      </c>
      <c r="B13" t="s">
        <v>8</v>
      </c>
      <c r="C13" t="s">
        <v>238</v>
      </c>
      <c r="D13" t="s">
        <v>5</v>
      </c>
      <c r="E13" s="111" t="s">
        <v>7</v>
      </c>
      <c r="F13" t="s">
        <v>120</v>
      </c>
      <c r="G13" t="s">
        <v>8</v>
      </c>
      <c r="H13" t="s">
        <v>8</v>
      </c>
      <c r="I13" t="s">
        <v>6</v>
      </c>
      <c r="J13"/>
      <c r="K13" t="s">
        <v>3</v>
      </c>
      <c r="L13"/>
      <c r="M13" t="s">
        <v>3</v>
      </c>
      <c r="N13"/>
      <c r="O13" t="s">
        <v>3</v>
      </c>
      <c r="P13"/>
      <c r="Q13" t="s">
        <v>3</v>
      </c>
      <c r="R13"/>
      <c r="S13" t="s">
        <v>3</v>
      </c>
      <c r="T13" t="s">
        <v>111</v>
      </c>
      <c r="U13" s="109" t="s">
        <v>239</v>
      </c>
    </row>
    <row r="14" spans="1:21">
      <c r="A14" t="s">
        <v>240</v>
      </c>
      <c r="B14" t="s">
        <v>8</v>
      </c>
      <c r="C14" t="s">
        <v>241</v>
      </c>
      <c r="D14" t="s">
        <v>241</v>
      </c>
      <c r="E14" s="111" t="s">
        <v>3</v>
      </c>
      <c r="F14" t="s">
        <v>3</v>
      </c>
      <c r="G14" t="s">
        <v>8</v>
      </c>
      <c r="H14" t="s">
        <v>3</v>
      </c>
      <c r="I14" t="s">
        <v>3</v>
      </c>
      <c r="J14"/>
      <c r="K14" t="s">
        <v>3</v>
      </c>
      <c r="L14"/>
      <c r="M14" t="s">
        <v>3</v>
      </c>
      <c r="N14"/>
      <c r="O14" t="s">
        <v>3</v>
      </c>
      <c r="P14"/>
      <c r="Q14" t="s">
        <v>3</v>
      </c>
      <c r="R14"/>
      <c r="S14" t="s">
        <v>3</v>
      </c>
      <c r="T14" t="s">
        <v>111</v>
      </c>
      <c r="U14" s="109" t="s">
        <v>242</v>
      </c>
    </row>
    <row r="15" spans="1:21">
      <c r="A15" t="s">
        <v>133</v>
      </c>
      <c r="B15" t="s">
        <v>8</v>
      </c>
      <c r="C15" t="s">
        <v>243</v>
      </c>
      <c r="D15" t="s">
        <v>243</v>
      </c>
      <c r="E15" s="111" t="s">
        <v>3</v>
      </c>
      <c r="F15" t="s">
        <v>3</v>
      </c>
      <c r="G15" t="s">
        <v>8</v>
      </c>
      <c r="H15" t="s">
        <v>3</v>
      </c>
      <c r="I15" t="s">
        <v>3</v>
      </c>
      <c r="J15"/>
      <c r="K15" t="s">
        <v>3</v>
      </c>
      <c r="L15"/>
      <c r="M15" t="s">
        <v>3</v>
      </c>
      <c r="N15"/>
      <c r="O15" t="s">
        <v>3</v>
      </c>
      <c r="P15"/>
      <c r="Q15" t="s">
        <v>3</v>
      </c>
      <c r="R15"/>
      <c r="S15" t="s">
        <v>3</v>
      </c>
      <c r="T15" t="s">
        <v>111</v>
      </c>
      <c r="U15" s="109" t="s">
        <v>244</v>
      </c>
    </row>
    <row r="16" spans="1:21">
      <c r="A16" t="s">
        <v>245</v>
      </c>
      <c r="B16" t="s">
        <v>8</v>
      </c>
      <c r="C16" t="s">
        <v>246</v>
      </c>
      <c r="D16" t="s">
        <v>246</v>
      </c>
      <c r="E16" s="111" t="s">
        <v>3</v>
      </c>
      <c r="F16" t="s">
        <v>3</v>
      </c>
      <c r="G16" t="s">
        <v>8</v>
      </c>
      <c r="H16" t="s">
        <v>3</v>
      </c>
      <c r="I16" t="s">
        <v>3</v>
      </c>
      <c r="J16"/>
      <c r="K16" t="s">
        <v>3</v>
      </c>
      <c r="L16"/>
      <c r="M16" t="s">
        <v>3</v>
      </c>
      <c r="N16"/>
      <c r="O16" t="s">
        <v>3</v>
      </c>
      <c r="P16"/>
      <c r="Q16" t="s">
        <v>3</v>
      </c>
      <c r="R16"/>
      <c r="S16" t="s">
        <v>3</v>
      </c>
      <c r="T16" t="s">
        <v>111</v>
      </c>
      <c r="U16" s="109" t="s">
        <v>247</v>
      </c>
    </row>
    <row r="17" spans="1:21">
      <c r="A17" t="s">
        <v>248</v>
      </c>
      <c r="B17" t="s">
        <v>8</v>
      </c>
      <c r="C17" t="s">
        <v>249</v>
      </c>
      <c r="D17" t="s">
        <v>249</v>
      </c>
      <c r="E17" s="111" t="s">
        <v>3</v>
      </c>
      <c r="F17" t="s">
        <v>3</v>
      </c>
      <c r="G17" t="s">
        <v>8</v>
      </c>
      <c r="H17" t="s">
        <v>3</v>
      </c>
      <c r="I17" t="s">
        <v>3</v>
      </c>
      <c r="J17"/>
      <c r="K17" t="s">
        <v>3</v>
      </c>
      <c r="L17"/>
      <c r="M17" t="s">
        <v>3</v>
      </c>
      <c r="N17"/>
      <c r="O17" t="s">
        <v>3</v>
      </c>
      <c r="P17"/>
      <c r="Q17" t="s">
        <v>3</v>
      </c>
      <c r="R17"/>
      <c r="S17" t="s">
        <v>3</v>
      </c>
      <c r="T17" t="s">
        <v>111</v>
      </c>
      <c r="U17" s="109" t="s">
        <v>250</v>
      </c>
    </row>
    <row r="18" spans="1:21">
      <c r="A18" t="s">
        <v>6</v>
      </c>
      <c r="B18" t="s">
        <v>3</v>
      </c>
      <c r="C18" t="s">
        <v>251</v>
      </c>
      <c r="D18" t="s">
        <v>251</v>
      </c>
      <c r="E18" s="111" t="s">
        <v>3</v>
      </c>
      <c r="F18" t="s">
        <v>252</v>
      </c>
      <c r="G18" t="s">
        <v>8</v>
      </c>
      <c r="H18" t="s">
        <v>3</v>
      </c>
      <c r="I18" t="s">
        <v>3</v>
      </c>
      <c r="J18"/>
      <c r="K18" t="s">
        <v>3</v>
      </c>
      <c r="L18"/>
      <c r="M18" t="s">
        <v>3</v>
      </c>
      <c r="N18"/>
      <c r="O18" t="s">
        <v>3</v>
      </c>
      <c r="P18"/>
      <c r="Q18" t="s">
        <v>3</v>
      </c>
      <c r="R18"/>
      <c r="S18" t="s">
        <v>3</v>
      </c>
      <c r="T18" t="s">
        <v>111</v>
      </c>
      <c r="U18" s="109" t="s">
        <v>253</v>
      </c>
    </row>
    <row r="19" spans="1:21">
      <c r="A19" t="s">
        <v>252</v>
      </c>
      <c r="B19" t="s">
        <v>3</v>
      </c>
      <c r="C19" t="s">
        <v>254</v>
      </c>
      <c r="D19" t="s">
        <v>254</v>
      </c>
      <c r="E19" s="111" t="s">
        <v>3</v>
      </c>
      <c r="F19" t="s">
        <v>3</v>
      </c>
      <c r="G19" t="s">
        <v>8</v>
      </c>
      <c r="H19" t="s">
        <v>3</v>
      </c>
      <c r="I19" t="s">
        <v>3</v>
      </c>
      <c r="J19"/>
      <c r="K19" t="s">
        <v>3</v>
      </c>
      <c r="L19"/>
      <c r="M19" t="s">
        <v>3</v>
      </c>
      <c r="N19"/>
      <c r="O19" t="s">
        <v>3</v>
      </c>
      <c r="P19"/>
      <c r="Q19" t="s">
        <v>3</v>
      </c>
      <c r="R19"/>
      <c r="S19" t="s">
        <v>3</v>
      </c>
      <c r="T19" t="s">
        <v>111</v>
      </c>
      <c r="U19" s="109" t="s">
        <v>255</v>
      </c>
    </row>
    <row r="20" spans="1:21">
      <c r="A20" t="s">
        <v>256</v>
      </c>
      <c r="B20" t="s">
        <v>8</v>
      </c>
      <c r="C20" t="s">
        <v>257</v>
      </c>
      <c r="D20" t="s">
        <v>258</v>
      </c>
      <c r="E20" s="111" t="s">
        <v>2</v>
      </c>
      <c r="F20" t="s">
        <v>259</v>
      </c>
      <c r="G20" t="s">
        <v>8</v>
      </c>
      <c r="H20" t="s">
        <v>8</v>
      </c>
      <c r="I20" t="s">
        <v>1</v>
      </c>
      <c r="J20"/>
      <c r="K20" t="s">
        <v>3</v>
      </c>
      <c r="L20"/>
      <c r="M20" t="s">
        <v>3</v>
      </c>
      <c r="N20"/>
      <c r="O20" t="s">
        <v>3</v>
      </c>
      <c r="P20"/>
      <c r="Q20" t="s">
        <v>3</v>
      </c>
      <c r="R20"/>
      <c r="S20" t="s">
        <v>3</v>
      </c>
      <c r="T20" t="s">
        <v>111</v>
      </c>
      <c r="U20" s="109" t="s">
        <v>260</v>
      </c>
    </row>
    <row r="21" spans="1:21">
      <c r="A21" t="s">
        <v>259</v>
      </c>
      <c r="B21" t="s">
        <v>3</v>
      </c>
      <c r="C21" t="s">
        <v>261</v>
      </c>
      <c r="D21" t="s">
        <v>262</v>
      </c>
      <c r="E21" s="111" t="s">
        <v>6</v>
      </c>
      <c r="F21" t="s">
        <v>3</v>
      </c>
      <c r="G21" t="s">
        <v>8</v>
      </c>
      <c r="H21" t="s">
        <v>8</v>
      </c>
      <c r="I21" t="s">
        <v>108</v>
      </c>
      <c r="J21"/>
      <c r="K21" t="s">
        <v>3</v>
      </c>
      <c r="L21"/>
      <c r="M21" t="s">
        <v>3</v>
      </c>
      <c r="N21"/>
      <c r="O21" t="s">
        <v>3</v>
      </c>
      <c r="P21"/>
      <c r="Q21" t="s">
        <v>3</v>
      </c>
      <c r="R21"/>
      <c r="S21" t="s">
        <v>3</v>
      </c>
      <c r="T21" t="s">
        <v>111</v>
      </c>
      <c r="U21" s="109" t="s">
        <v>263</v>
      </c>
    </row>
    <row r="22" spans="1:21">
      <c r="A22" t="s">
        <v>264</v>
      </c>
      <c r="B22" t="s">
        <v>8</v>
      </c>
      <c r="C22" t="s">
        <v>257</v>
      </c>
      <c r="D22" t="s">
        <v>265</v>
      </c>
      <c r="E22" s="111" t="s">
        <v>218</v>
      </c>
      <c r="F22" t="s">
        <v>266</v>
      </c>
      <c r="G22" t="s">
        <v>8</v>
      </c>
      <c r="H22" t="s">
        <v>8</v>
      </c>
      <c r="I22" t="s">
        <v>1</v>
      </c>
      <c r="J22"/>
      <c r="K22" t="s">
        <v>3</v>
      </c>
      <c r="L22"/>
      <c r="M22" t="s">
        <v>3</v>
      </c>
      <c r="N22"/>
      <c r="O22" t="s">
        <v>3</v>
      </c>
      <c r="P22"/>
      <c r="Q22" t="s">
        <v>3</v>
      </c>
      <c r="R22"/>
      <c r="S22" t="s">
        <v>3</v>
      </c>
      <c r="T22" t="s">
        <v>111</v>
      </c>
      <c r="U22" s="109" t="s">
        <v>267</v>
      </c>
    </row>
    <row r="23" spans="1:21">
      <c r="A23" t="s">
        <v>266</v>
      </c>
      <c r="B23" t="s">
        <v>3</v>
      </c>
      <c r="C23" t="s">
        <v>261</v>
      </c>
      <c r="D23" t="s">
        <v>268</v>
      </c>
      <c r="E23" s="111" t="s">
        <v>6</v>
      </c>
      <c r="F23" t="s">
        <v>3</v>
      </c>
      <c r="G23" t="s">
        <v>8</v>
      </c>
      <c r="H23" t="s">
        <v>8</v>
      </c>
      <c r="I23" t="s">
        <v>108</v>
      </c>
      <c r="J23"/>
      <c r="K23" t="s">
        <v>3</v>
      </c>
      <c r="L23"/>
      <c r="M23" t="s">
        <v>3</v>
      </c>
      <c r="N23"/>
      <c r="O23" t="s">
        <v>3</v>
      </c>
      <c r="P23"/>
      <c r="Q23" t="s">
        <v>3</v>
      </c>
      <c r="R23"/>
      <c r="S23" t="s">
        <v>3</v>
      </c>
      <c r="T23" t="s">
        <v>111</v>
      </c>
      <c r="U23" s="109" t="s">
        <v>269</v>
      </c>
    </row>
    <row r="24" spans="1:21">
      <c r="A24" t="s">
        <v>270</v>
      </c>
      <c r="B24" t="s">
        <v>8</v>
      </c>
      <c r="C24" t="s">
        <v>271</v>
      </c>
      <c r="D24" t="s">
        <v>272</v>
      </c>
      <c r="E24" s="111" t="s">
        <v>3</v>
      </c>
      <c r="F24" t="s">
        <v>273</v>
      </c>
      <c r="G24" t="s">
        <v>8</v>
      </c>
      <c r="H24" t="s">
        <v>8</v>
      </c>
      <c r="I24" t="s">
        <v>74</v>
      </c>
      <c r="J24" t="s">
        <v>232</v>
      </c>
      <c r="K24" t="s">
        <v>3</v>
      </c>
      <c r="L24"/>
      <c r="M24" t="s">
        <v>3</v>
      </c>
      <c r="N24"/>
      <c r="O24" t="s">
        <v>3</v>
      </c>
      <c r="P24"/>
      <c r="Q24" t="s">
        <v>3</v>
      </c>
      <c r="R24"/>
      <c r="S24" t="s">
        <v>3</v>
      </c>
      <c r="T24" t="s">
        <v>111</v>
      </c>
      <c r="U24" s="109" t="s">
        <v>274</v>
      </c>
    </row>
    <row r="25" spans="1:21">
      <c r="A25" t="s">
        <v>273</v>
      </c>
      <c r="B25" t="s">
        <v>3</v>
      </c>
      <c r="C25" t="s">
        <v>275</v>
      </c>
      <c r="D25" t="s">
        <v>276</v>
      </c>
      <c r="E25" s="111" t="s">
        <v>3</v>
      </c>
      <c r="F25" t="s">
        <v>3</v>
      </c>
      <c r="G25" t="s">
        <v>8</v>
      </c>
      <c r="H25" t="s">
        <v>8</v>
      </c>
      <c r="I25" t="s">
        <v>3</v>
      </c>
      <c r="J25"/>
      <c r="K25" t="s">
        <v>3</v>
      </c>
      <c r="L25"/>
      <c r="M25" t="s">
        <v>3</v>
      </c>
      <c r="N25"/>
      <c r="O25" t="s">
        <v>3</v>
      </c>
      <c r="P25"/>
      <c r="Q25" t="s">
        <v>3</v>
      </c>
      <c r="R25"/>
      <c r="S25" t="s">
        <v>3</v>
      </c>
      <c r="T25" t="s">
        <v>111</v>
      </c>
      <c r="U25" s="109" t="s">
        <v>277</v>
      </c>
    </row>
    <row r="26" spans="1:21">
      <c r="A26" t="s">
        <v>278</v>
      </c>
      <c r="B26" t="s">
        <v>8</v>
      </c>
      <c r="C26" t="s">
        <v>279</v>
      </c>
      <c r="D26" t="s">
        <v>10</v>
      </c>
      <c r="E26" s="111" t="s">
        <v>12</v>
      </c>
      <c r="F26" t="s">
        <v>280</v>
      </c>
      <c r="G26" t="s">
        <v>8</v>
      </c>
      <c r="H26" t="s">
        <v>8</v>
      </c>
      <c r="I26" t="s">
        <v>11</v>
      </c>
      <c r="J26" t="s">
        <v>281</v>
      </c>
      <c r="K26" t="s">
        <v>3</v>
      </c>
      <c r="L26"/>
      <c r="M26" t="s">
        <v>3</v>
      </c>
      <c r="N26"/>
      <c r="O26" t="s">
        <v>3</v>
      </c>
      <c r="P26"/>
      <c r="Q26" t="s">
        <v>3</v>
      </c>
      <c r="R26"/>
      <c r="S26" t="s">
        <v>3</v>
      </c>
      <c r="T26" t="s">
        <v>111</v>
      </c>
      <c r="U26" s="109" t="s">
        <v>282</v>
      </c>
    </row>
    <row r="27" spans="1:21">
      <c r="A27" t="s">
        <v>280</v>
      </c>
      <c r="B27" t="s">
        <v>3</v>
      </c>
      <c r="C27" t="s">
        <v>283</v>
      </c>
      <c r="D27" t="s">
        <v>283</v>
      </c>
      <c r="E27" s="111" t="s">
        <v>3</v>
      </c>
      <c r="F27" t="s">
        <v>3</v>
      </c>
      <c r="G27" t="s">
        <v>8</v>
      </c>
      <c r="H27" t="s">
        <v>8</v>
      </c>
      <c r="I27" t="s">
        <v>3</v>
      </c>
      <c r="J27"/>
      <c r="K27" t="s">
        <v>3</v>
      </c>
      <c r="L27"/>
      <c r="M27" t="s">
        <v>3</v>
      </c>
      <c r="N27"/>
      <c r="O27" t="s">
        <v>3</v>
      </c>
      <c r="P27"/>
      <c r="Q27" t="s">
        <v>3</v>
      </c>
      <c r="R27"/>
      <c r="S27" t="s">
        <v>3</v>
      </c>
      <c r="T27" t="s">
        <v>111</v>
      </c>
      <c r="U27" s="109" t="s">
        <v>284</v>
      </c>
    </row>
    <row r="28" spans="1:21">
      <c r="A28" t="s">
        <v>110</v>
      </c>
      <c r="B28" t="s">
        <v>8</v>
      </c>
      <c r="C28" t="s">
        <v>285</v>
      </c>
      <c r="D28" t="s">
        <v>286</v>
      </c>
      <c r="E28" s="111" t="s">
        <v>3</v>
      </c>
      <c r="F28" t="s">
        <v>163</v>
      </c>
      <c r="G28" t="s">
        <v>8</v>
      </c>
      <c r="H28" t="s">
        <v>8</v>
      </c>
      <c r="I28" t="s">
        <v>1</v>
      </c>
      <c r="J28"/>
      <c r="K28" t="s">
        <v>3</v>
      </c>
      <c r="L28"/>
      <c r="M28" t="s">
        <v>3</v>
      </c>
      <c r="N28"/>
      <c r="O28" t="s">
        <v>3</v>
      </c>
      <c r="P28"/>
      <c r="Q28" t="s">
        <v>3</v>
      </c>
      <c r="R28"/>
      <c r="S28" t="s">
        <v>3</v>
      </c>
      <c r="T28" t="s">
        <v>111</v>
      </c>
      <c r="U28" s="109" t="s">
        <v>287</v>
      </c>
    </row>
    <row r="29" spans="1:21">
      <c r="A29" t="s">
        <v>163</v>
      </c>
      <c r="B29" t="s">
        <v>3</v>
      </c>
      <c r="C29" t="s">
        <v>288</v>
      </c>
      <c r="D29" t="s">
        <v>288</v>
      </c>
      <c r="E29" s="111" t="s">
        <v>3</v>
      </c>
      <c r="F29" t="s">
        <v>3</v>
      </c>
      <c r="G29" t="s">
        <v>8</v>
      </c>
      <c r="H29" t="s">
        <v>8</v>
      </c>
      <c r="I29" t="s">
        <v>3</v>
      </c>
      <c r="J29"/>
      <c r="K29" t="s">
        <v>3</v>
      </c>
      <c r="L29"/>
      <c r="M29" t="s">
        <v>3</v>
      </c>
      <c r="N29"/>
      <c r="O29" t="s">
        <v>3</v>
      </c>
      <c r="P29"/>
      <c r="Q29" t="s">
        <v>3</v>
      </c>
      <c r="R29"/>
      <c r="S29" t="s">
        <v>3</v>
      </c>
      <c r="T29" t="s">
        <v>111</v>
      </c>
      <c r="U29" s="109" t="s">
        <v>289</v>
      </c>
    </row>
    <row r="30" spans="1:21">
      <c r="A30" t="s">
        <v>290</v>
      </c>
      <c r="B30" t="s">
        <v>8</v>
      </c>
      <c r="C30" t="s">
        <v>291</v>
      </c>
      <c r="D30" t="s">
        <v>292</v>
      </c>
      <c r="E30" s="111" t="s">
        <v>3</v>
      </c>
      <c r="F30" t="s">
        <v>165</v>
      </c>
      <c r="G30" t="s">
        <v>8</v>
      </c>
      <c r="H30" t="s">
        <v>8</v>
      </c>
      <c r="I30" t="s">
        <v>1</v>
      </c>
      <c r="J30"/>
      <c r="K30" t="s">
        <v>3</v>
      </c>
      <c r="L30"/>
      <c r="M30" t="s">
        <v>3</v>
      </c>
      <c r="N30"/>
      <c r="O30" t="s">
        <v>3</v>
      </c>
      <c r="P30"/>
      <c r="Q30" t="s">
        <v>3</v>
      </c>
      <c r="R30"/>
      <c r="S30" t="s">
        <v>3</v>
      </c>
      <c r="T30" t="s">
        <v>111</v>
      </c>
      <c r="U30" s="109" t="s">
        <v>293</v>
      </c>
    </row>
    <row r="31" spans="1:21">
      <c r="A31" t="s">
        <v>165</v>
      </c>
      <c r="B31" t="s">
        <v>3</v>
      </c>
      <c r="C31" t="s">
        <v>294</v>
      </c>
      <c r="D31" t="s">
        <v>294</v>
      </c>
      <c r="E31" s="111" t="s">
        <v>3</v>
      </c>
      <c r="F31" t="s">
        <v>3</v>
      </c>
      <c r="G31" t="s">
        <v>8</v>
      </c>
      <c r="H31" t="s">
        <v>8</v>
      </c>
      <c r="I31" t="s">
        <v>3</v>
      </c>
      <c r="J31"/>
      <c r="K31" t="s">
        <v>3</v>
      </c>
      <c r="L31"/>
      <c r="M31" t="s">
        <v>3</v>
      </c>
      <c r="N31"/>
      <c r="O31" t="s">
        <v>3</v>
      </c>
      <c r="P31"/>
      <c r="Q31" t="s">
        <v>3</v>
      </c>
      <c r="R31"/>
      <c r="S31" t="s">
        <v>3</v>
      </c>
      <c r="T31" t="s">
        <v>111</v>
      </c>
      <c r="U31" s="109" t="s">
        <v>295</v>
      </c>
    </row>
    <row r="32" spans="1:21">
      <c r="A32" t="s">
        <v>296</v>
      </c>
      <c r="B32" t="s">
        <v>8</v>
      </c>
      <c r="C32" t="s">
        <v>297</v>
      </c>
      <c r="D32" t="s">
        <v>298</v>
      </c>
      <c r="E32" s="111" t="s">
        <v>3</v>
      </c>
      <c r="F32" t="s">
        <v>299</v>
      </c>
      <c r="G32" t="s">
        <v>8</v>
      </c>
      <c r="H32" t="s">
        <v>8</v>
      </c>
      <c r="I32" t="s">
        <v>11</v>
      </c>
      <c r="J32"/>
      <c r="K32" t="s">
        <v>3</v>
      </c>
      <c r="L32"/>
      <c r="M32" t="s">
        <v>3</v>
      </c>
      <c r="N32"/>
      <c r="O32" t="s">
        <v>3</v>
      </c>
      <c r="P32"/>
      <c r="Q32" t="s">
        <v>3</v>
      </c>
      <c r="R32"/>
      <c r="S32" t="s">
        <v>3</v>
      </c>
      <c r="T32" t="s">
        <v>111</v>
      </c>
      <c r="U32" s="109" t="s">
        <v>300</v>
      </c>
    </row>
    <row r="33" spans="1:21">
      <c r="A33" t="s">
        <v>299</v>
      </c>
      <c r="B33" t="s">
        <v>3</v>
      </c>
      <c r="C33" t="s">
        <v>301</v>
      </c>
      <c r="D33" t="s">
        <v>301</v>
      </c>
      <c r="E33" s="111" t="s">
        <v>3</v>
      </c>
      <c r="F33" t="s">
        <v>3</v>
      </c>
      <c r="G33" t="s">
        <v>8</v>
      </c>
      <c r="H33" t="s">
        <v>8</v>
      </c>
      <c r="I33" t="s">
        <v>3</v>
      </c>
      <c r="J33"/>
      <c r="K33" t="s">
        <v>3</v>
      </c>
      <c r="L33"/>
      <c r="M33" t="s">
        <v>3</v>
      </c>
      <c r="N33"/>
      <c r="O33" t="s">
        <v>3</v>
      </c>
      <c r="P33"/>
      <c r="Q33" t="s">
        <v>3</v>
      </c>
      <c r="R33"/>
      <c r="S33" t="s">
        <v>3</v>
      </c>
      <c r="T33" t="s">
        <v>111</v>
      </c>
      <c r="U33" s="109" t="s">
        <v>302</v>
      </c>
    </row>
    <row r="34" spans="1:21">
      <c r="A34" t="s">
        <v>303</v>
      </c>
      <c r="B34" t="s">
        <v>8</v>
      </c>
      <c r="C34" t="s">
        <v>304</v>
      </c>
      <c r="D34" t="s">
        <v>305</v>
      </c>
      <c r="E34" s="111" t="s">
        <v>3</v>
      </c>
      <c r="F34" t="s">
        <v>306</v>
      </c>
      <c r="G34" t="s">
        <v>8</v>
      </c>
      <c r="H34" t="s">
        <v>111</v>
      </c>
      <c r="I34" t="s">
        <v>3</v>
      </c>
      <c r="J34" t="s">
        <v>219</v>
      </c>
      <c r="K34" t="s">
        <v>8</v>
      </c>
      <c r="L34" t="s">
        <v>307</v>
      </c>
      <c r="M34" t="s">
        <v>3</v>
      </c>
      <c r="N34" t="s">
        <v>232</v>
      </c>
      <c r="O34" t="s">
        <v>3</v>
      </c>
      <c r="P34"/>
      <c r="Q34" t="s">
        <v>3</v>
      </c>
      <c r="R34"/>
      <c r="S34" t="s">
        <v>3</v>
      </c>
      <c r="T34" t="s">
        <v>111</v>
      </c>
      <c r="U34" s="109" t="s">
        <v>308</v>
      </c>
    </row>
    <row r="35" spans="1:21">
      <c r="A35" t="s">
        <v>306</v>
      </c>
      <c r="B35" t="s">
        <v>3</v>
      </c>
      <c r="C35" t="s">
        <v>309</v>
      </c>
      <c r="D35" t="s">
        <v>309</v>
      </c>
      <c r="E35" s="111" t="s">
        <v>3</v>
      </c>
      <c r="F35" t="s">
        <v>3</v>
      </c>
      <c r="G35" t="s">
        <v>8</v>
      </c>
      <c r="H35" t="s">
        <v>111</v>
      </c>
      <c r="I35" t="s">
        <v>3</v>
      </c>
      <c r="J35"/>
      <c r="K35" t="s">
        <v>3</v>
      </c>
      <c r="L35"/>
      <c r="M35" t="s">
        <v>3</v>
      </c>
      <c r="N35"/>
      <c r="O35" t="s">
        <v>3</v>
      </c>
      <c r="P35"/>
      <c r="Q35" t="s">
        <v>3</v>
      </c>
      <c r="R35"/>
      <c r="S35" t="s">
        <v>3</v>
      </c>
      <c r="T35" t="s">
        <v>111</v>
      </c>
      <c r="U35" s="109" t="s">
        <v>310</v>
      </c>
    </row>
    <row r="36" spans="1:21">
      <c r="A36" t="s">
        <v>311</v>
      </c>
      <c r="B36" t="s">
        <v>8</v>
      </c>
      <c r="C36" t="s">
        <v>312</v>
      </c>
      <c r="D36" t="s">
        <v>313</v>
      </c>
      <c r="E36" s="111" t="s">
        <v>3</v>
      </c>
      <c r="F36" t="s">
        <v>63</v>
      </c>
      <c r="G36" t="s">
        <v>8</v>
      </c>
      <c r="H36" t="s">
        <v>111</v>
      </c>
      <c r="I36" t="s">
        <v>3</v>
      </c>
      <c r="J36" t="s">
        <v>219</v>
      </c>
      <c r="K36" t="s">
        <v>8</v>
      </c>
      <c r="L36" t="s">
        <v>307</v>
      </c>
      <c r="M36" t="s">
        <v>3</v>
      </c>
      <c r="N36" t="s">
        <v>232</v>
      </c>
      <c r="O36" t="s">
        <v>3</v>
      </c>
      <c r="P36"/>
      <c r="Q36" t="s">
        <v>3</v>
      </c>
      <c r="R36"/>
      <c r="S36" t="s">
        <v>3</v>
      </c>
      <c r="T36" t="s">
        <v>111</v>
      </c>
      <c r="U36" s="109" t="s">
        <v>314</v>
      </c>
    </row>
    <row r="37" spans="1:21">
      <c r="A37" t="s">
        <v>63</v>
      </c>
      <c r="B37" t="s">
        <v>3</v>
      </c>
      <c r="C37" t="s">
        <v>315</v>
      </c>
      <c r="D37" t="s">
        <v>315</v>
      </c>
      <c r="E37" s="111" t="s">
        <v>3</v>
      </c>
      <c r="F37" t="s">
        <v>3</v>
      </c>
      <c r="G37" t="s">
        <v>8</v>
      </c>
      <c r="H37" t="s">
        <v>111</v>
      </c>
      <c r="I37" t="s">
        <v>3</v>
      </c>
      <c r="J37" t="s">
        <v>219</v>
      </c>
      <c r="K37" t="s">
        <v>8</v>
      </c>
      <c r="L37" t="s">
        <v>307</v>
      </c>
      <c r="M37" t="s">
        <v>3</v>
      </c>
      <c r="N37" t="s">
        <v>232</v>
      </c>
      <c r="O37" t="s">
        <v>3</v>
      </c>
      <c r="P37"/>
      <c r="Q37" t="s">
        <v>3</v>
      </c>
      <c r="R37"/>
      <c r="S37" t="s">
        <v>3</v>
      </c>
      <c r="T37" t="s">
        <v>111</v>
      </c>
      <c r="U37" s="109" t="s">
        <v>316</v>
      </c>
    </row>
    <row r="38" spans="1:21">
      <c r="A38" t="s">
        <v>317</v>
      </c>
      <c r="B38" t="s">
        <v>8</v>
      </c>
      <c r="C38" t="s">
        <v>318</v>
      </c>
      <c r="D38" t="s">
        <v>319</v>
      </c>
      <c r="E38" s="111" t="s">
        <v>3</v>
      </c>
      <c r="F38" t="s">
        <v>320</v>
      </c>
      <c r="G38" t="s">
        <v>8</v>
      </c>
      <c r="H38" t="s">
        <v>111</v>
      </c>
      <c r="I38" t="s">
        <v>3</v>
      </c>
      <c r="J38" t="s">
        <v>319</v>
      </c>
      <c r="K38" t="s">
        <v>3</v>
      </c>
      <c r="L38" t="s">
        <v>232</v>
      </c>
      <c r="M38" t="s">
        <v>3</v>
      </c>
      <c r="N38"/>
      <c r="O38" t="s">
        <v>3</v>
      </c>
      <c r="P38"/>
      <c r="Q38" t="s">
        <v>3</v>
      </c>
      <c r="R38"/>
      <c r="S38" t="s">
        <v>3</v>
      </c>
      <c r="T38" t="s">
        <v>111</v>
      </c>
      <c r="U38" s="109" t="s">
        <v>321</v>
      </c>
    </row>
    <row r="39" spans="1:21">
      <c r="A39" t="s">
        <v>320</v>
      </c>
      <c r="B39" t="s">
        <v>3</v>
      </c>
      <c r="C39" t="s">
        <v>322</v>
      </c>
      <c r="D39" t="s">
        <v>322</v>
      </c>
      <c r="E39" s="111" t="s">
        <v>3</v>
      </c>
      <c r="F39" t="s">
        <v>3</v>
      </c>
      <c r="G39" t="s">
        <v>8</v>
      </c>
      <c r="H39" t="s">
        <v>111</v>
      </c>
      <c r="I39" t="s">
        <v>3</v>
      </c>
      <c r="J39" t="s">
        <v>319</v>
      </c>
      <c r="K39" t="s">
        <v>3</v>
      </c>
      <c r="L39" t="s">
        <v>232</v>
      </c>
      <c r="M39" t="s">
        <v>3</v>
      </c>
      <c r="N39" t="s">
        <v>323</v>
      </c>
      <c r="O39" t="s">
        <v>3</v>
      </c>
      <c r="P39"/>
      <c r="Q39" t="s">
        <v>3</v>
      </c>
      <c r="R39"/>
      <c r="S39" t="s">
        <v>3</v>
      </c>
      <c r="T39" t="s">
        <v>111</v>
      </c>
      <c r="U39" s="109" t="s">
        <v>324</v>
      </c>
    </row>
    <row r="40" spans="1:21">
      <c r="A40" t="s">
        <v>140</v>
      </c>
      <c r="B40" t="s">
        <v>8</v>
      </c>
      <c r="C40" t="s">
        <v>325</v>
      </c>
      <c r="D40" t="s">
        <v>326</v>
      </c>
      <c r="E40" s="111" t="s">
        <v>3</v>
      </c>
      <c r="F40" t="s">
        <v>327</v>
      </c>
      <c r="G40" t="s">
        <v>8</v>
      </c>
      <c r="H40" t="s">
        <v>111</v>
      </c>
      <c r="I40" t="s">
        <v>3</v>
      </c>
      <c r="J40" t="s">
        <v>328</v>
      </c>
      <c r="K40" t="s">
        <v>3</v>
      </c>
      <c r="L40" t="s">
        <v>326</v>
      </c>
      <c r="M40" t="s">
        <v>3</v>
      </c>
      <c r="N40"/>
      <c r="O40" t="s">
        <v>3</v>
      </c>
      <c r="P40"/>
      <c r="Q40" t="s">
        <v>3</v>
      </c>
      <c r="R40"/>
      <c r="S40" t="s">
        <v>3</v>
      </c>
      <c r="T40" t="s">
        <v>111</v>
      </c>
      <c r="U40" s="109" t="s">
        <v>329</v>
      </c>
    </row>
    <row r="41" spans="1:21">
      <c r="A41" t="s">
        <v>327</v>
      </c>
      <c r="B41" t="s">
        <v>3</v>
      </c>
      <c r="C41" t="s">
        <v>330</v>
      </c>
      <c r="D41" t="s">
        <v>330</v>
      </c>
      <c r="E41" s="111" t="s">
        <v>3</v>
      </c>
      <c r="F41" t="s">
        <v>3</v>
      </c>
      <c r="G41" t="s">
        <v>8</v>
      </c>
      <c r="H41" t="s">
        <v>111</v>
      </c>
      <c r="I41" t="s">
        <v>3</v>
      </c>
      <c r="J41" t="s">
        <v>323</v>
      </c>
      <c r="K41" t="s">
        <v>3</v>
      </c>
      <c r="L41" t="s">
        <v>326</v>
      </c>
      <c r="M41" t="s">
        <v>3</v>
      </c>
      <c r="N41"/>
      <c r="O41" t="s">
        <v>3</v>
      </c>
      <c r="P41"/>
      <c r="Q41" t="s">
        <v>3</v>
      </c>
      <c r="R41"/>
      <c r="S41" t="s">
        <v>3</v>
      </c>
      <c r="T41" t="s">
        <v>111</v>
      </c>
      <c r="U41" s="109" t="s">
        <v>331</v>
      </c>
    </row>
    <row r="42" spans="1:21">
      <c r="A42" t="s">
        <v>332</v>
      </c>
      <c r="B42" t="s">
        <v>8</v>
      </c>
      <c r="C42" t="s">
        <v>333</v>
      </c>
      <c r="D42" t="s">
        <v>334</v>
      </c>
      <c r="E42" s="111" t="s">
        <v>62</v>
      </c>
      <c r="F42" t="s">
        <v>80</v>
      </c>
      <c r="G42" t="s">
        <v>8</v>
      </c>
      <c r="H42" t="s">
        <v>111</v>
      </c>
      <c r="I42" t="s">
        <v>103</v>
      </c>
      <c r="J42" t="s">
        <v>219</v>
      </c>
      <c r="K42" t="s">
        <v>8</v>
      </c>
      <c r="L42" t="s">
        <v>326</v>
      </c>
      <c r="M42" t="s">
        <v>3</v>
      </c>
      <c r="N42" t="s">
        <v>335</v>
      </c>
      <c r="O42" t="s">
        <v>3</v>
      </c>
      <c r="P42"/>
      <c r="Q42" t="s">
        <v>3</v>
      </c>
      <c r="R42"/>
      <c r="S42" t="s">
        <v>3</v>
      </c>
      <c r="T42" t="s">
        <v>111</v>
      </c>
      <c r="U42" s="109" t="s">
        <v>336</v>
      </c>
    </row>
    <row r="43" spans="1:21">
      <c r="A43" t="s">
        <v>80</v>
      </c>
      <c r="B43" t="s">
        <v>3</v>
      </c>
      <c r="C43" t="s">
        <v>337</v>
      </c>
      <c r="D43" t="s">
        <v>337</v>
      </c>
      <c r="E43" s="111" t="s">
        <v>3</v>
      </c>
      <c r="F43" t="s">
        <v>3</v>
      </c>
      <c r="G43" t="s">
        <v>8</v>
      </c>
      <c r="H43" t="s">
        <v>111</v>
      </c>
      <c r="I43" t="s">
        <v>3</v>
      </c>
      <c r="J43" t="s">
        <v>219</v>
      </c>
      <c r="K43" t="s">
        <v>8</v>
      </c>
      <c r="L43" t="s">
        <v>326</v>
      </c>
      <c r="M43" t="s">
        <v>3</v>
      </c>
      <c r="N43" t="s">
        <v>335</v>
      </c>
      <c r="O43" t="s">
        <v>3</v>
      </c>
      <c r="P43"/>
      <c r="Q43" t="s">
        <v>3</v>
      </c>
      <c r="R43"/>
      <c r="S43" t="s">
        <v>3</v>
      </c>
      <c r="T43" t="s">
        <v>111</v>
      </c>
      <c r="U43" s="109" t="s">
        <v>338</v>
      </c>
    </row>
    <row r="44" spans="1:21">
      <c r="A44" t="s">
        <v>339</v>
      </c>
      <c r="B44" t="s">
        <v>8</v>
      </c>
      <c r="C44" t="s">
        <v>340</v>
      </c>
      <c r="D44" t="s">
        <v>341</v>
      </c>
      <c r="E44" s="111" t="s">
        <v>3</v>
      </c>
      <c r="F44" t="s">
        <v>342</v>
      </c>
      <c r="G44" t="s">
        <v>8</v>
      </c>
      <c r="H44" t="s">
        <v>8</v>
      </c>
      <c r="I44" t="s">
        <v>69</v>
      </c>
      <c r="J44"/>
      <c r="K44" t="s">
        <v>3</v>
      </c>
      <c r="L44"/>
      <c r="M44" t="s">
        <v>3</v>
      </c>
      <c r="N44"/>
      <c r="O44" t="s">
        <v>3</v>
      </c>
      <c r="P44"/>
      <c r="Q44" t="s">
        <v>3</v>
      </c>
      <c r="R44"/>
      <c r="S44" t="s">
        <v>3</v>
      </c>
      <c r="T44" t="s">
        <v>111</v>
      </c>
      <c r="U44" s="109" t="s">
        <v>343</v>
      </c>
    </row>
    <row r="45" spans="1:21">
      <c r="A45" t="s">
        <v>342</v>
      </c>
      <c r="B45" t="s">
        <v>3</v>
      </c>
      <c r="C45" t="s">
        <v>344</v>
      </c>
      <c r="D45" t="s">
        <v>344</v>
      </c>
      <c r="E45" s="111" t="s">
        <v>3</v>
      </c>
      <c r="F45" t="s">
        <v>3</v>
      </c>
      <c r="G45" t="s">
        <v>8</v>
      </c>
      <c r="H45" t="s">
        <v>8</v>
      </c>
      <c r="I45" t="s">
        <v>64</v>
      </c>
      <c r="J45"/>
      <c r="K45" t="s">
        <v>3</v>
      </c>
      <c r="L45"/>
      <c r="M45" t="s">
        <v>3</v>
      </c>
      <c r="N45"/>
      <c r="O45" t="s">
        <v>3</v>
      </c>
      <c r="P45"/>
      <c r="Q45" t="s">
        <v>3</v>
      </c>
      <c r="R45"/>
      <c r="S45" t="s">
        <v>3</v>
      </c>
      <c r="T45" t="s">
        <v>111</v>
      </c>
      <c r="U45" s="109" t="s">
        <v>345</v>
      </c>
    </row>
    <row r="46" spans="1:21">
      <c r="A46" t="s">
        <v>346</v>
      </c>
      <c r="B46" t="s">
        <v>8</v>
      </c>
      <c r="C46" t="s">
        <v>347</v>
      </c>
      <c r="D46" t="s">
        <v>348</v>
      </c>
      <c r="E46" s="111" t="s">
        <v>3</v>
      </c>
      <c r="F46" t="s">
        <v>12</v>
      </c>
      <c r="G46" t="s">
        <v>8</v>
      </c>
      <c r="H46" t="s">
        <v>8</v>
      </c>
      <c r="I46" t="s">
        <v>3</v>
      </c>
      <c r="J46"/>
      <c r="K46" t="s">
        <v>3</v>
      </c>
      <c r="L46"/>
      <c r="M46" t="s">
        <v>3</v>
      </c>
      <c r="N46"/>
      <c r="O46" t="s">
        <v>3</v>
      </c>
      <c r="P46"/>
      <c r="Q46" t="s">
        <v>3</v>
      </c>
      <c r="R46"/>
      <c r="S46" t="s">
        <v>3</v>
      </c>
      <c r="T46" t="s">
        <v>111</v>
      </c>
      <c r="U46" s="109" t="s">
        <v>349</v>
      </c>
    </row>
    <row r="47" spans="1:21">
      <c r="A47" t="s">
        <v>12</v>
      </c>
      <c r="B47" t="s">
        <v>3</v>
      </c>
      <c r="C47" t="s">
        <v>350</v>
      </c>
      <c r="D47" t="s">
        <v>350</v>
      </c>
      <c r="E47" s="111" t="s">
        <v>3</v>
      </c>
      <c r="F47" t="s">
        <v>3</v>
      </c>
      <c r="G47" t="s">
        <v>8</v>
      </c>
      <c r="H47" t="s">
        <v>3</v>
      </c>
      <c r="I47" t="s">
        <v>3</v>
      </c>
      <c r="J47"/>
      <c r="K47" t="s">
        <v>3</v>
      </c>
      <c r="L47"/>
      <c r="M47" t="s">
        <v>3</v>
      </c>
      <c r="N47"/>
      <c r="O47" t="s">
        <v>3</v>
      </c>
      <c r="P47"/>
      <c r="Q47" t="s">
        <v>3</v>
      </c>
      <c r="R47"/>
      <c r="S47" t="s">
        <v>3</v>
      </c>
      <c r="T47" t="s">
        <v>111</v>
      </c>
      <c r="U47" s="109" t="s">
        <v>351</v>
      </c>
    </row>
    <row r="48" spans="1:21">
      <c r="A48" t="s">
        <v>113</v>
      </c>
      <c r="B48" t="s">
        <v>8</v>
      </c>
      <c r="C48" t="s">
        <v>352</v>
      </c>
      <c r="D48" t="s">
        <v>353</v>
      </c>
      <c r="E48" s="111" t="s">
        <v>3</v>
      </c>
      <c r="F48" t="s">
        <v>354</v>
      </c>
      <c r="G48" t="s">
        <v>8</v>
      </c>
      <c r="H48" t="s">
        <v>111</v>
      </c>
      <c r="I48" t="s">
        <v>3</v>
      </c>
      <c r="J48" t="s">
        <v>355</v>
      </c>
      <c r="K48" t="s">
        <v>3</v>
      </c>
      <c r="L48" t="s">
        <v>356</v>
      </c>
      <c r="M48" t="s">
        <v>3</v>
      </c>
      <c r="N48" t="s">
        <v>357</v>
      </c>
      <c r="O48" t="s">
        <v>3</v>
      </c>
      <c r="P48" t="s">
        <v>358</v>
      </c>
      <c r="Q48" t="s">
        <v>3</v>
      </c>
      <c r="R48" t="s">
        <v>359</v>
      </c>
      <c r="S48" t="s">
        <v>3</v>
      </c>
      <c r="T48" t="s">
        <v>111</v>
      </c>
      <c r="U48" s="109" t="s">
        <v>360</v>
      </c>
    </row>
    <row r="49" spans="1:21">
      <c r="A49" t="s">
        <v>354</v>
      </c>
      <c r="B49" t="s">
        <v>3</v>
      </c>
      <c r="C49" t="s">
        <v>361</v>
      </c>
      <c r="D49" t="s">
        <v>361</v>
      </c>
      <c r="E49" s="111" t="s">
        <v>3</v>
      </c>
      <c r="F49" t="s">
        <v>3</v>
      </c>
      <c r="G49" t="s">
        <v>8</v>
      </c>
      <c r="H49" t="s">
        <v>111</v>
      </c>
      <c r="I49" t="s">
        <v>3</v>
      </c>
      <c r="J49" t="s">
        <v>232</v>
      </c>
      <c r="K49" t="s">
        <v>3</v>
      </c>
      <c r="L49"/>
      <c r="M49" t="s">
        <v>3</v>
      </c>
      <c r="N49"/>
      <c r="O49" t="s">
        <v>3</v>
      </c>
      <c r="P49"/>
      <c r="Q49" t="s">
        <v>3</v>
      </c>
      <c r="R49"/>
      <c r="S49" t="s">
        <v>3</v>
      </c>
      <c r="T49" t="s">
        <v>111</v>
      </c>
      <c r="U49" s="109" t="s">
        <v>362</v>
      </c>
    </row>
    <row r="50" spans="1:21">
      <c r="A50" t="s">
        <v>94</v>
      </c>
      <c r="B50" t="s">
        <v>8</v>
      </c>
      <c r="C50" t="s">
        <v>363</v>
      </c>
      <c r="D50" t="s">
        <v>364</v>
      </c>
      <c r="E50" s="111" t="s">
        <v>3</v>
      </c>
      <c r="F50" t="s">
        <v>3</v>
      </c>
      <c r="G50" t="s">
        <v>8</v>
      </c>
      <c r="H50" t="s">
        <v>111</v>
      </c>
      <c r="I50" t="s">
        <v>3</v>
      </c>
      <c r="J50" t="s">
        <v>364</v>
      </c>
      <c r="K50" t="s">
        <v>3</v>
      </c>
      <c r="L50" t="s">
        <v>328</v>
      </c>
      <c r="M50" t="s">
        <v>3</v>
      </c>
      <c r="N50"/>
      <c r="O50" t="s">
        <v>3</v>
      </c>
      <c r="P50"/>
      <c r="Q50" t="s">
        <v>3</v>
      </c>
      <c r="R50"/>
      <c r="S50" t="s">
        <v>3</v>
      </c>
      <c r="T50" t="s">
        <v>111</v>
      </c>
      <c r="U50" s="109" t="s">
        <v>365</v>
      </c>
    </row>
    <row r="51" spans="1:21">
      <c r="A51" t="s">
        <v>366</v>
      </c>
      <c r="B51" t="s">
        <v>3</v>
      </c>
      <c r="C51" t="s">
        <v>367</v>
      </c>
      <c r="D51" t="s">
        <v>367</v>
      </c>
      <c r="E51" s="111" t="s">
        <v>3</v>
      </c>
      <c r="F51" t="s">
        <v>3</v>
      </c>
      <c r="G51" t="s">
        <v>8</v>
      </c>
      <c r="H51" t="s">
        <v>111</v>
      </c>
      <c r="I51" t="s">
        <v>3</v>
      </c>
      <c r="J51" t="s">
        <v>364</v>
      </c>
      <c r="K51" t="s">
        <v>3</v>
      </c>
      <c r="L51" t="s">
        <v>328</v>
      </c>
      <c r="M51" t="s">
        <v>3</v>
      </c>
      <c r="N51"/>
      <c r="O51" t="s">
        <v>3</v>
      </c>
      <c r="P51"/>
      <c r="Q51" t="s">
        <v>3</v>
      </c>
      <c r="R51"/>
      <c r="S51" t="s">
        <v>3</v>
      </c>
      <c r="T51" t="s">
        <v>111</v>
      </c>
      <c r="U51" s="109" t="s">
        <v>368</v>
      </c>
    </row>
    <row r="52" spans="1:21">
      <c r="A52" t="s">
        <v>369</v>
      </c>
      <c r="B52" t="s">
        <v>8</v>
      </c>
      <c r="C52" t="s">
        <v>370</v>
      </c>
      <c r="D52" t="s">
        <v>371</v>
      </c>
      <c r="E52" s="111" t="s">
        <v>3</v>
      </c>
      <c r="F52" t="s">
        <v>372</v>
      </c>
      <c r="G52" t="s">
        <v>8</v>
      </c>
      <c r="H52" t="s">
        <v>111</v>
      </c>
      <c r="I52" t="s">
        <v>3</v>
      </c>
      <c r="J52" t="s">
        <v>371</v>
      </c>
      <c r="K52" t="s">
        <v>8</v>
      </c>
      <c r="L52"/>
      <c r="M52" t="s">
        <v>3</v>
      </c>
      <c r="N52"/>
      <c r="O52" t="s">
        <v>3</v>
      </c>
      <c r="P52"/>
      <c r="Q52" t="s">
        <v>3</v>
      </c>
      <c r="R52"/>
      <c r="S52" t="s">
        <v>3</v>
      </c>
      <c r="T52" t="s">
        <v>111</v>
      </c>
      <c r="U52" s="109" t="s">
        <v>373</v>
      </c>
    </row>
    <row r="53" spans="1:21">
      <c r="A53" t="s">
        <v>372</v>
      </c>
      <c r="B53" t="s">
        <v>3</v>
      </c>
      <c r="C53" t="s">
        <v>374</v>
      </c>
      <c r="D53" t="s">
        <v>374</v>
      </c>
      <c r="E53" s="111" t="s">
        <v>3</v>
      </c>
      <c r="F53" t="s">
        <v>3</v>
      </c>
      <c r="G53" t="s">
        <v>8</v>
      </c>
      <c r="H53" t="s">
        <v>111</v>
      </c>
      <c r="I53" t="s">
        <v>3</v>
      </c>
      <c r="J53" t="s">
        <v>371</v>
      </c>
      <c r="K53" t="s">
        <v>8</v>
      </c>
      <c r="L53" t="s">
        <v>232</v>
      </c>
      <c r="M53" t="s">
        <v>3</v>
      </c>
      <c r="N53"/>
      <c r="O53" t="s">
        <v>3</v>
      </c>
      <c r="P53"/>
      <c r="Q53" t="s">
        <v>3</v>
      </c>
      <c r="R53"/>
      <c r="S53" t="s">
        <v>3</v>
      </c>
      <c r="T53" t="s">
        <v>111</v>
      </c>
      <c r="U53" s="109" t="s">
        <v>375</v>
      </c>
    </row>
    <row r="54" spans="1:21">
      <c r="A54" t="s">
        <v>376</v>
      </c>
      <c r="B54" t="s">
        <v>8</v>
      </c>
      <c r="C54" t="s">
        <v>377</v>
      </c>
      <c r="D54" t="s">
        <v>219</v>
      </c>
      <c r="E54" s="111" t="s">
        <v>3</v>
      </c>
      <c r="F54" t="s">
        <v>378</v>
      </c>
      <c r="G54" t="s">
        <v>8</v>
      </c>
      <c r="H54" t="s">
        <v>111</v>
      </c>
      <c r="I54" t="s">
        <v>3</v>
      </c>
      <c r="J54" t="s">
        <v>219</v>
      </c>
      <c r="K54" t="s">
        <v>8</v>
      </c>
      <c r="L54"/>
      <c r="M54" t="s">
        <v>3</v>
      </c>
      <c r="N54"/>
      <c r="O54" t="s">
        <v>3</v>
      </c>
      <c r="P54"/>
      <c r="Q54" t="s">
        <v>3</v>
      </c>
      <c r="R54"/>
      <c r="S54" t="s">
        <v>3</v>
      </c>
      <c r="T54" t="s">
        <v>111</v>
      </c>
      <c r="U54" s="109" t="s">
        <v>379</v>
      </c>
    </row>
    <row r="55" spans="1:21">
      <c r="A55" t="s">
        <v>378</v>
      </c>
      <c r="B55" t="s">
        <v>3</v>
      </c>
      <c r="C55" t="s">
        <v>380</v>
      </c>
      <c r="D55" t="s">
        <v>380</v>
      </c>
      <c r="E55" s="111" t="s">
        <v>3</v>
      </c>
      <c r="F55" t="s">
        <v>3</v>
      </c>
      <c r="G55" t="s">
        <v>8</v>
      </c>
      <c r="H55" t="s">
        <v>111</v>
      </c>
      <c r="I55" t="s">
        <v>3</v>
      </c>
      <c r="J55"/>
      <c r="K55" t="s">
        <v>3</v>
      </c>
      <c r="L55"/>
      <c r="M55" t="s">
        <v>3</v>
      </c>
      <c r="N55"/>
      <c r="O55" t="s">
        <v>3</v>
      </c>
      <c r="P55"/>
      <c r="Q55" t="s">
        <v>3</v>
      </c>
      <c r="R55"/>
      <c r="S55" t="s">
        <v>3</v>
      </c>
      <c r="T55" t="s">
        <v>111</v>
      </c>
      <c r="U55" s="109" t="s">
        <v>381</v>
      </c>
    </row>
    <row r="56" spans="1:21">
      <c r="A56" t="s">
        <v>382</v>
      </c>
      <c r="B56" t="s">
        <v>8</v>
      </c>
      <c r="C56" t="s">
        <v>383</v>
      </c>
      <c r="D56" t="s">
        <v>50</v>
      </c>
      <c r="E56" s="111" t="s">
        <v>3</v>
      </c>
      <c r="F56" t="s">
        <v>122</v>
      </c>
      <c r="G56" t="s">
        <v>8</v>
      </c>
      <c r="H56" t="s">
        <v>8</v>
      </c>
      <c r="I56" t="s">
        <v>3</v>
      </c>
      <c r="J56"/>
      <c r="K56" t="s">
        <v>3</v>
      </c>
      <c r="L56"/>
      <c r="M56" t="s">
        <v>3</v>
      </c>
      <c r="N56"/>
      <c r="O56" t="s">
        <v>3</v>
      </c>
      <c r="P56"/>
      <c r="Q56" t="s">
        <v>3</v>
      </c>
      <c r="R56"/>
      <c r="S56" t="s">
        <v>3</v>
      </c>
      <c r="T56" t="s">
        <v>111</v>
      </c>
      <c r="U56" s="109" t="s">
        <v>384</v>
      </c>
    </row>
    <row r="57" spans="1:21">
      <c r="A57" t="s">
        <v>122</v>
      </c>
      <c r="B57" t="s">
        <v>3</v>
      </c>
      <c r="C57" t="s">
        <v>385</v>
      </c>
      <c r="D57" t="s">
        <v>385</v>
      </c>
      <c r="E57" s="111" t="s">
        <v>3</v>
      </c>
      <c r="F57" t="s">
        <v>3</v>
      </c>
      <c r="G57" t="s">
        <v>8</v>
      </c>
      <c r="H57" t="s">
        <v>8</v>
      </c>
      <c r="I57" t="s">
        <v>3</v>
      </c>
      <c r="J57"/>
      <c r="K57" t="s">
        <v>3</v>
      </c>
      <c r="L57"/>
      <c r="M57" t="s">
        <v>3</v>
      </c>
      <c r="N57"/>
      <c r="O57" t="s">
        <v>3</v>
      </c>
      <c r="P57"/>
      <c r="Q57" t="s">
        <v>3</v>
      </c>
      <c r="R57"/>
      <c r="S57" t="s">
        <v>3</v>
      </c>
      <c r="T57" t="s">
        <v>111</v>
      </c>
      <c r="U57" s="109" t="s">
        <v>386</v>
      </c>
    </row>
    <row r="58" spans="1:21">
      <c r="A58" t="s">
        <v>52</v>
      </c>
      <c r="B58" t="s">
        <v>8</v>
      </c>
      <c r="C58" t="s">
        <v>387</v>
      </c>
      <c r="D58" t="s">
        <v>387</v>
      </c>
      <c r="E58" s="111" t="s">
        <v>3</v>
      </c>
      <c r="F58" t="s">
        <v>388</v>
      </c>
      <c r="G58" t="s">
        <v>8</v>
      </c>
      <c r="H58" t="s">
        <v>8</v>
      </c>
      <c r="I58" t="s">
        <v>3</v>
      </c>
      <c r="J58"/>
      <c r="K58" t="s">
        <v>3</v>
      </c>
      <c r="L58"/>
      <c r="M58" t="s">
        <v>3</v>
      </c>
      <c r="N58"/>
      <c r="O58" t="s">
        <v>3</v>
      </c>
      <c r="P58"/>
      <c r="Q58" t="s">
        <v>3</v>
      </c>
      <c r="R58"/>
      <c r="S58" t="s">
        <v>3</v>
      </c>
      <c r="T58" t="s">
        <v>111</v>
      </c>
      <c r="U58" s="109" t="s">
        <v>389</v>
      </c>
    </row>
    <row r="59" spans="1:21">
      <c r="A59" t="s">
        <v>388</v>
      </c>
      <c r="B59" t="s">
        <v>3</v>
      </c>
      <c r="C59" t="s">
        <v>390</v>
      </c>
      <c r="D59" t="s">
        <v>390</v>
      </c>
      <c r="E59" s="111" t="s">
        <v>3</v>
      </c>
      <c r="F59" t="s">
        <v>3</v>
      </c>
      <c r="G59" t="s">
        <v>8</v>
      </c>
      <c r="H59" t="s">
        <v>8</v>
      </c>
      <c r="I59" t="s">
        <v>3</v>
      </c>
      <c r="J59"/>
      <c r="K59" t="s">
        <v>3</v>
      </c>
      <c r="L59"/>
      <c r="M59" t="s">
        <v>3</v>
      </c>
      <c r="N59"/>
      <c r="O59" t="s">
        <v>3</v>
      </c>
      <c r="P59"/>
      <c r="Q59" t="s">
        <v>3</v>
      </c>
      <c r="R59"/>
      <c r="S59" t="s">
        <v>3</v>
      </c>
      <c r="T59" t="s">
        <v>111</v>
      </c>
      <c r="U59" s="109" t="s">
        <v>391</v>
      </c>
    </row>
    <row r="60" spans="1:21">
      <c r="A60" t="s">
        <v>392</v>
      </c>
      <c r="B60" t="s">
        <v>8</v>
      </c>
      <c r="C60" t="s">
        <v>393</v>
      </c>
      <c r="D60" t="s">
        <v>394</v>
      </c>
      <c r="E60" s="111" t="s">
        <v>3</v>
      </c>
      <c r="F60" t="s">
        <v>127</v>
      </c>
      <c r="G60" t="s">
        <v>8</v>
      </c>
      <c r="H60" t="s">
        <v>111</v>
      </c>
      <c r="I60" t="s">
        <v>3</v>
      </c>
      <c r="J60"/>
      <c r="K60" t="s">
        <v>3</v>
      </c>
      <c r="L60"/>
      <c r="M60" t="s">
        <v>3</v>
      </c>
      <c r="N60"/>
      <c r="O60" t="s">
        <v>3</v>
      </c>
      <c r="P60"/>
      <c r="Q60" t="s">
        <v>3</v>
      </c>
      <c r="R60"/>
      <c r="S60" t="s">
        <v>3</v>
      </c>
      <c r="T60" t="s">
        <v>111</v>
      </c>
      <c r="U60" s="109" t="s">
        <v>395</v>
      </c>
    </row>
    <row r="61" spans="1:21">
      <c r="A61" t="s">
        <v>127</v>
      </c>
      <c r="B61" t="s">
        <v>3</v>
      </c>
      <c r="C61" t="s">
        <v>396</v>
      </c>
      <c r="D61" t="s">
        <v>396</v>
      </c>
      <c r="E61" s="111" t="s">
        <v>3</v>
      </c>
      <c r="F61" t="s">
        <v>3</v>
      </c>
      <c r="G61" t="s">
        <v>8</v>
      </c>
      <c r="H61" t="s">
        <v>111</v>
      </c>
      <c r="I61" t="s">
        <v>3</v>
      </c>
      <c r="J61"/>
      <c r="K61" t="s">
        <v>3</v>
      </c>
      <c r="L61"/>
      <c r="M61" t="s">
        <v>3</v>
      </c>
      <c r="N61"/>
      <c r="O61" t="s">
        <v>3</v>
      </c>
      <c r="P61"/>
      <c r="Q61" t="s">
        <v>3</v>
      </c>
      <c r="R61"/>
      <c r="S61" t="s">
        <v>3</v>
      </c>
      <c r="T61" t="s">
        <v>111</v>
      </c>
      <c r="U61" s="109" t="s">
        <v>397</v>
      </c>
    </row>
    <row r="62" spans="1:21">
      <c r="A62" t="s">
        <v>398</v>
      </c>
      <c r="B62" t="s">
        <v>8</v>
      </c>
      <c r="C62" t="s">
        <v>399</v>
      </c>
      <c r="D62" t="s">
        <v>400</v>
      </c>
      <c r="E62" s="111" t="s">
        <v>3</v>
      </c>
      <c r="F62" t="s">
        <v>401</v>
      </c>
      <c r="G62" t="s">
        <v>8</v>
      </c>
      <c r="H62" t="s">
        <v>111</v>
      </c>
      <c r="I62" t="s">
        <v>3</v>
      </c>
      <c r="J62"/>
      <c r="K62" t="s">
        <v>3</v>
      </c>
      <c r="L62"/>
      <c r="M62" t="s">
        <v>3</v>
      </c>
      <c r="N62"/>
      <c r="O62" t="s">
        <v>3</v>
      </c>
      <c r="P62"/>
      <c r="Q62" t="s">
        <v>3</v>
      </c>
      <c r="R62"/>
      <c r="S62" t="s">
        <v>3</v>
      </c>
      <c r="T62" t="s">
        <v>111</v>
      </c>
      <c r="U62" s="109" t="s">
        <v>402</v>
      </c>
    </row>
    <row r="63" spans="1:21">
      <c r="A63" t="s">
        <v>401</v>
      </c>
      <c r="B63" t="s">
        <v>3</v>
      </c>
      <c r="C63" t="s">
        <v>403</v>
      </c>
      <c r="D63" t="s">
        <v>403</v>
      </c>
      <c r="E63" s="111" t="s">
        <v>3</v>
      </c>
      <c r="F63" t="s">
        <v>3</v>
      </c>
      <c r="G63" t="s">
        <v>8</v>
      </c>
      <c r="H63" t="s">
        <v>111</v>
      </c>
      <c r="I63" t="s">
        <v>3</v>
      </c>
      <c r="J63"/>
      <c r="K63" t="s">
        <v>3</v>
      </c>
      <c r="L63"/>
      <c r="M63" t="s">
        <v>3</v>
      </c>
      <c r="N63"/>
      <c r="O63" t="s">
        <v>3</v>
      </c>
      <c r="P63"/>
      <c r="Q63" t="s">
        <v>3</v>
      </c>
      <c r="R63"/>
      <c r="S63" t="s">
        <v>3</v>
      </c>
      <c r="T63" t="s">
        <v>111</v>
      </c>
      <c r="U63" s="109" t="s">
        <v>404</v>
      </c>
    </row>
    <row r="64" spans="1:21">
      <c r="A64" t="s">
        <v>405</v>
      </c>
      <c r="B64" t="s">
        <v>8</v>
      </c>
      <c r="C64" t="s">
        <v>406</v>
      </c>
      <c r="D64" t="s">
        <v>407</v>
      </c>
      <c r="E64" s="111" t="s">
        <v>3</v>
      </c>
      <c r="F64" t="s">
        <v>408</v>
      </c>
      <c r="G64" t="s">
        <v>8</v>
      </c>
      <c r="H64" t="s">
        <v>111</v>
      </c>
      <c r="I64" t="s">
        <v>3</v>
      </c>
      <c r="J64"/>
      <c r="K64" t="s">
        <v>3</v>
      </c>
      <c r="L64"/>
      <c r="M64" t="s">
        <v>3</v>
      </c>
      <c r="N64"/>
      <c r="O64" t="s">
        <v>3</v>
      </c>
      <c r="P64"/>
      <c r="Q64" t="s">
        <v>3</v>
      </c>
      <c r="R64"/>
      <c r="S64" t="s">
        <v>3</v>
      </c>
      <c r="T64" t="s">
        <v>111</v>
      </c>
      <c r="U64" s="109" t="s">
        <v>409</v>
      </c>
    </row>
    <row r="65" spans="1:21">
      <c r="A65" t="s">
        <v>408</v>
      </c>
      <c r="B65" t="s">
        <v>3</v>
      </c>
      <c r="C65" t="s">
        <v>410</v>
      </c>
      <c r="D65" t="s">
        <v>410</v>
      </c>
      <c r="E65" s="111" t="s">
        <v>3</v>
      </c>
      <c r="F65" t="s">
        <v>3</v>
      </c>
      <c r="G65" t="s">
        <v>8</v>
      </c>
      <c r="H65" t="s">
        <v>111</v>
      </c>
      <c r="I65" t="s">
        <v>3</v>
      </c>
      <c r="J65"/>
      <c r="K65" t="s">
        <v>3</v>
      </c>
      <c r="L65"/>
      <c r="M65" t="s">
        <v>3</v>
      </c>
      <c r="N65"/>
      <c r="O65" t="s">
        <v>3</v>
      </c>
      <c r="P65"/>
      <c r="Q65" t="s">
        <v>3</v>
      </c>
      <c r="R65"/>
      <c r="S65" t="s">
        <v>3</v>
      </c>
      <c r="T65" t="s">
        <v>111</v>
      </c>
      <c r="U65" s="109" t="s">
        <v>411</v>
      </c>
    </row>
    <row r="66" spans="1:21">
      <c r="A66" t="s">
        <v>412</v>
      </c>
      <c r="B66" t="s">
        <v>8</v>
      </c>
      <c r="C66" t="s">
        <v>413</v>
      </c>
      <c r="D66" t="s">
        <v>414</v>
      </c>
      <c r="E66" s="111" t="s">
        <v>3</v>
      </c>
      <c r="F66" t="s">
        <v>87</v>
      </c>
      <c r="G66" t="s">
        <v>67</v>
      </c>
      <c r="H66" t="s">
        <v>3</v>
      </c>
      <c r="I66" t="s">
        <v>3</v>
      </c>
      <c r="J66"/>
      <c r="K66" t="s">
        <v>3</v>
      </c>
      <c r="L66"/>
      <c r="M66" t="s">
        <v>3</v>
      </c>
      <c r="N66"/>
      <c r="O66" t="s">
        <v>3</v>
      </c>
      <c r="P66"/>
      <c r="Q66" t="s">
        <v>3</v>
      </c>
      <c r="R66"/>
      <c r="S66" t="s">
        <v>3</v>
      </c>
      <c r="T66" t="s">
        <v>111</v>
      </c>
      <c r="U66" s="109" t="s">
        <v>415</v>
      </c>
    </row>
    <row r="67" spans="1:21">
      <c r="A67" t="s">
        <v>87</v>
      </c>
      <c r="B67" t="s">
        <v>3</v>
      </c>
      <c r="C67" t="s">
        <v>416</v>
      </c>
      <c r="D67" t="s">
        <v>416</v>
      </c>
      <c r="E67" s="111" t="s">
        <v>3</v>
      </c>
      <c r="F67" t="s">
        <v>3</v>
      </c>
      <c r="G67" t="s">
        <v>67</v>
      </c>
      <c r="H67" t="s">
        <v>3</v>
      </c>
      <c r="I67" t="s">
        <v>3</v>
      </c>
      <c r="J67"/>
      <c r="K67" t="s">
        <v>3</v>
      </c>
      <c r="L67"/>
      <c r="M67" t="s">
        <v>3</v>
      </c>
      <c r="N67"/>
      <c r="O67" t="s">
        <v>3</v>
      </c>
      <c r="P67"/>
      <c r="Q67" t="s">
        <v>3</v>
      </c>
      <c r="R67"/>
      <c r="S67" t="s">
        <v>3</v>
      </c>
      <c r="T67" t="s">
        <v>111</v>
      </c>
      <c r="U67" s="109" t="s">
        <v>417</v>
      </c>
    </row>
    <row r="68" spans="1:21">
      <c r="A68" t="s">
        <v>418</v>
      </c>
      <c r="B68" t="s">
        <v>8</v>
      </c>
      <c r="C68" t="s">
        <v>419</v>
      </c>
      <c r="D68" t="s">
        <v>420</v>
      </c>
      <c r="E68" s="111" t="s">
        <v>3</v>
      </c>
      <c r="F68" t="s">
        <v>421</v>
      </c>
      <c r="G68" t="s">
        <v>67</v>
      </c>
      <c r="H68" t="s">
        <v>3</v>
      </c>
      <c r="I68" t="s">
        <v>3</v>
      </c>
      <c r="J68"/>
      <c r="K68" t="s">
        <v>3</v>
      </c>
      <c r="L68"/>
      <c r="M68" t="s">
        <v>3</v>
      </c>
      <c r="N68"/>
      <c r="O68" t="s">
        <v>3</v>
      </c>
      <c r="P68"/>
      <c r="Q68" t="s">
        <v>3</v>
      </c>
      <c r="R68"/>
      <c r="S68" t="s">
        <v>3</v>
      </c>
      <c r="T68" t="s">
        <v>111</v>
      </c>
      <c r="U68" s="109" t="s">
        <v>422</v>
      </c>
    </row>
    <row r="69" spans="1:21">
      <c r="A69" t="s">
        <v>421</v>
      </c>
      <c r="B69" t="s">
        <v>3</v>
      </c>
      <c r="C69" t="s">
        <v>423</v>
      </c>
      <c r="D69" t="s">
        <v>423</v>
      </c>
      <c r="E69" s="111" t="s">
        <v>3</v>
      </c>
      <c r="F69" t="s">
        <v>3</v>
      </c>
      <c r="G69" t="s">
        <v>67</v>
      </c>
      <c r="H69" t="s">
        <v>3</v>
      </c>
      <c r="I69" t="s">
        <v>3</v>
      </c>
      <c r="J69"/>
      <c r="K69" t="s">
        <v>3</v>
      </c>
      <c r="L69"/>
      <c r="M69" t="s">
        <v>3</v>
      </c>
      <c r="N69"/>
      <c r="O69" t="s">
        <v>3</v>
      </c>
      <c r="P69"/>
      <c r="Q69" t="s">
        <v>3</v>
      </c>
      <c r="R69"/>
      <c r="S69" t="s">
        <v>3</v>
      </c>
      <c r="T69" t="s">
        <v>111</v>
      </c>
      <c r="U69" s="109" t="s">
        <v>424</v>
      </c>
    </row>
    <row r="70" spans="1:21">
      <c r="A70" t="s">
        <v>425</v>
      </c>
      <c r="B70" t="s">
        <v>8</v>
      </c>
      <c r="C70" t="s">
        <v>47</v>
      </c>
      <c r="D70" t="s">
        <v>47</v>
      </c>
      <c r="E70" s="111" t="s">
        <v>3</v>
      </c>
      <c r="F70" t="s">
        <v>426</v>
      </c>
      <c r="G70" t="s">
        <v>67</v>
      </c>
      <c r="H70" t="s">
        <v>3</v>
      </c>
      <c r="I70" t="s">
        <v>3</v>
      </c>
      <c r="J70"/>
      <c r="K70" t="s">
        <v>3</v>
      </c>
      <c r="L70"/>
      <c r="M70" t="s">
        <v>3</v>
      </c>
      <c r="N70"/>
      <c r="O70" t="s">
        <v>3</v>
      </c>
      <c r="P70"/>
      <c r="Q70" t="s">
        <v>3</v>
      </c>
      <c r="R70"/>
      <c r="S70" t="s">
        <v>3</v>
      </c>
      <c r="T70" t="s">
        <v>111</v>
      </c>
      <c r="U70" s="109" t="s">
        <v>427</v>
      </c>
    </row>
    <row r="71" spans="1:21">
      <c r="A71" t="s">
        <v>105</v>
      </c>
      <c r="B71" t="s">
        <v>8</v>
      </c>
      <c r="C71" t="s">
        <v>428</v>
      </c>
      <c r="D71" t="s">
        <v>428</v>
      </c>
      <c r="E71" s="111" t="s">
        <v>3</v>
      </c>
      <c r="F71" t="s">
        <v>3</v>
      </c>
      <c r="G71" t="s">
        <v>67</v>
      </c>
      <c r="H71" t="s">
        <v>3</v>
      </c>
      <c r="I71" t="s">
        <v>3</v>
      </c>
      <c r="J71" t="s">
        <v>428</v>
      </c>
      <c r="K71" t="s">
        <v>3</v>
      </c>
      <c r="L71"/>
      <c r="M71" t="s">
        <v>3</v>
      </c>
      <c r="N71"/>
      <c r="O71" t="s">
        <v>3</v>
      </c>
      <c r="P71"/>
      <c r="Q71" t="s">
        <v>3</v>
      </c>
      <c r="R71"/>
      <c r="S71" t="s">
        <v>3</v>
      </c>
      <c r="T71" t="s">
        <v>111</v>
      </c>
      <c r="U71" s="109" t="s">
        <v>429</v>
      </c>
    </row>
    <row r="72" spans="1:21">
      <c r="A72" t="s">
        <v>102</v>
      </c>
      <c r="B72" t="s">
        <v>3</v>
      </c>
      <c r="C72" t="s">
        <v>430</v>
      </c>
      <c r="D72" t="s">
        <v>430</v>
      </c>
      <c r="E72" s="111" t="s">
        <v>3</v>
      </c>
      <c r="F72" t="s">
        <v>3</v>
      </c>
      <c r="G72" t="s">
        <v>67</v>
      </c>
      <c r="H72" t="s">
        <v>111</v>
      </c>
      <c r="I72" t="s">
        <v>3</v>
      </c>
      <c r="J72" t="s">
        <v>430</v>
      </c>
      <c r="K72" t="s">
        <v>3</v>
      </c>
      <c r="L72"/>
      <c r="M72" t="s">
        <v>3</v>
      </c>
      <c r="N72"/>
      <c r="O72" t="s">
        <v>3</v>
      </c>
      <c r="P72"/>
      <c r="Q72" t="s">
        <v>3</v>
      </c>
      <c r="R72"/>
      <c r="S72" t="s">
        <v>3</v>
      </c>
      <c r="T72" t="s">
        <v>111</v>
      </c>
      <c r="U72" s="109" t="s">
        <v>431</v>
      </c>
    </row>
    <row r="73" spans="1:21">
      <c r="A73" t="s">
        <v>432</v>
      </c>
      <c r="B73" t="s">
        <v>8</v>
      </c>
      <c r="C73" t="s">
        <v>433</v>
      </c>
      <c r="D73" t="s">
        <v>433</v>
      </c>
      <c r="E73" s="111" t="s">
        <v>3</v>
      </c>
      <c r="F73" t="s">
        <v>3</v>
      </c>
      <c r="G73" t="s">
        <v>67</v>
      </c>
      <c r="H73" t="s">
        <v>3</v>
      </c>
      <c r="I73" t="s">
        <v>3</v>
      </c>
      <c r="J73"/>
      <c r="K73" t="s">
        <v>3</v>
      </c>
      <c r="L73"/>
      <c r="M73" t="s">
        <v>3</v>
      </c>
      <c r="N73"/>
      <c r="O73" t="s">
        <v>3</v>
      </c>
      <c r="P73"/>
      <c r="Q73" t="s">
        <v>3</v>
      </c>
      <c r="R73"/>
      <c r="S73" t="s">
        <v>3</v>
      </c>
      <c r="T73" t="s">
        <v>111</v>
      </c>
      <c r="U73" s="109" t="s">
        <v>434</v>
      </c>
    </row>
    <row r="74" spans="1:21">
      <c r="A74" t="s">
        <v>435</v>
      </c>
      <c r="B74" t="s">
        <v>8</v>
      </c>
      <c r="C74" t="s">
        <v>436</v>
      </c>
      <c r="D74" t="s">
        <v>436</v>
      </c>
      <c r="E74" s="111" t="s">
        <v>3</v>
      </c>
      <c r="F74" t="s">
        <v>3</v>
      </c>
      <c r="G74" t="s">
        <v>67</v>
      </c>
      <c r="H74" t="s">
        <v>3</v>
      </c>
      <c r="I74" t="s">
        <v>3</v>
      </c>
      <c r="J74"/>
      <c r="K74" t="s">
        <v>3</v>
      </c>
      <c r="L74"/>
      <c r="M74" t="s">
        <v>3</v>
      </c>
      <c r="N74"/>
      <c r="O74" t="s">
        <v>3</v>
      </c>
      <c r="P74"/>
      <c r="Q74" t="s">
        <v>3</v>
      </c>
      <c r="R74"/>
      <c r="S74" t="s">
        <v>3</v>
      </c>
      <c r="T74" t="s">
        <v>111</v>
      </c>
      <c r="U74" s="109" t="s">
        <v>437</v>
      </c>
    </row>
    <row r="75" spans="1:21">
      <c r="A75" t="s">
        <v>438</v>
      </c>
      <c r="B75" t="s">
        <v>8</v>
      </c>
      <c r="C75" t="s">
        <v>439</v>
      </c>
      <c r="D75" t="s">
        <v>439</v>
      </c>
      <c r="E75" s="111" t="s">
        <v>3</v>
      </c>
      <c r="F75" t="s">
        <v>3</v>
      </c>
      <c r="G75" t="s">
        <v>67</v>
      </c>
      <c r="H75" t="s">
        <v>3</v>
      </c>
      <c r="I75" t="s">
        <v>3</v>
      </c>
      <c r="J75"/>
      <c r="K75" t="s">
        <v>3</v>
      </c>
      <c r="L75"/>
      <c r="M75" t="s">
        <v>3</v>
      </c>
      <c r="N75"/>
      <c r="O75" t="s">
        <v>3</v>
      </c>
      <c r="P75"/>
      <c r="Q75" t="s">
        <v>3</v>
      </c>
      <c r="R75"/>
      <c r="S75" t="s">
        <v>3</v>
      </c>
      <c r="T75" t="s">
        <v>111</v>
      </c>
      <c r="U75" s="109" t="s">
        <v>440</v>
      </c>
    </row>
    <row r="76" spans="1:21">
      <c r="A76" t="s">
        <v>54</v>
      </c>
      <c r="B76" t="s">
        <v>8</v>
      </c>
      <c r="C76" t="s">
        <v>441</v>
      </c>
      <c r="D76" t="s">
        <v>441</v>
      </c>
      <c r="E76" s="111" t="s">
        <v>3</v>
      </c>
      <c r="F76" t="s">
        <v>3</v>
      </c>
      <c r="G76" t="s">
        <v>67</v>
      </c>
      <c r="H76" t="s">
        <v>3</v>
      </c>
      <c r="I76" t="s">
        <v>3</v>
      </c>
      <c r="J76"/>
      <c r="K76" t="s">
        <v>3</v>
      </c>
      <c r="L76"/>
      <c r="M76" t="s">
        <v>3</v>
      </c>
      <c r="N76"/>
      <c r="O76" t="s">
        <v>3</v>
      </c>
      <c r="P76"/>
      <c r="Q76" t="s">
        <v>3</v>
      </c>
      <c r="R76"/>
      <c r="S76" t="s">
        <v>3</v>
      </c>
      <c r="T76" t="s">
        <v>111</v>
      </c>
      <c r="U76" s="109" t="s">
        <v>442</v>
      </c>
    </row>
    <row r="77" spans="1:21">
      <c r="A77" t="s">
        <v>443</v>
      </c>
      <c r="B77" t="s">
        <v>8</v>
      </c>
      <c r="C77" t="s">
        <v>444</v>
      </c>
      <c r="D77" t="s">
        <v>444</v>
      </c>
      <c r="E77" s="111" t="s">
        <v>3</v>
      </c>
      <c r="F77" t="s">
        <v>3</v>
      </c>
      <c r="G77" t="s">
        <v>67</v>
      </c>
      <c r="H77" t="s">
        <v>3</v>
      </c>
      <c r="I77" t="s">
        <v>3</v>
      </c>
      <c r="J77"/>
      <c r="K77" t="s">
        <v>3</v>
      </c>
      <c r="L77"/>
      <c r="M77" t="s">
        <v>3</v>
      </c>
      <c r="N77"/>
      <c r="O77" t="s">
        <v>3</v>
      </c>
      <c r="P77"/>
      <c r="Q77" t="s">
        <v>3</v>
      </c>
      <c r="R77"/>
      <c r="S77" t="s">
        <v>3</v>
      </c>
      <c r="T77" t="s">
        <v>111</v>
      </c>
      <c r="U77" s="109" t="s">
        <v>445</v>
      </c>
    </row>
    <row r="78" spans="1:21">
      <c r="A78" t="s">
        <v>149</v>
      </c>
      <c r="B78" t="s">
        <v>8</v>
      </c>
      <c r="C78" t="s">
        <v>446</v>
      </c>
      <c r="D78" t="s">
        <v>446</v>
      </c>
      <c r="E78" s="111" t="s">
        <v>3</v>
      </c>
      <c r="F78" t="s">
        <v>3</v>
      </c>
      <c r="G78" t="s">
        <v>67</v>
      </c>
      <c r="H78" t="s">
        <v>3</v>
      </c>
      <c r="I78" t="s">
        <v>3</v>
      </c>
      <c r="J78"/>
      <c r="K78" t="s">
        <v>3</v>
      </c>
      <c r="L78"/>
      <c r="M78" t="s">
        <v>3</v>
      </c>
      <c r="N78"/>
      <c r="O78" t="s">
        <v>3</v>
      </c>
      <c r="P78"/>
      <c r="Q78" t="s">
        <v>3</v>
      </c>
      <c r="R78"/>
      <c r="S78" t="s">
        <v>3</v>
      </c>
      <c r="T78" t="s">
        <v>111</v>
      </c>
      <c r="U78" s="109" t="s">
        <v>447</v>
      </c>
    </row>
    <row r="79" spans="1:21">
      <c r="A79" t="s">
        <v>448</v>
      </c>
      <c r="B79" t="s">
        <v>3</v>
      </c>
      <c r="C79" t="s">
        <v>449</v>
      </c>
      <c r="D79" t="s">
        <v>449</v>
      </c>
      <c r="E79" s="111" t="s">
        <v>3</v>
      </c>
      <c r="F79" t="s">
        <v>3</v>
      </c>
      <c r="G79" t="s">
        <v>8</v>
      </c>
      <c r="H79" t="s">
        <v>3</v>
      </c>
      <c r="I79" t="s">
        <v>3</v>
      </c>
      <c r="J79"/>
      <c r="K79" t="s">
        <v>3</v>
      </c>
      <c r="L79"/>
      <c r="M79" t="s">
        <v>3</v>
      </c>
      <c r="N79"/>
      <c r="O79" t="s">
        <v>3</v>
      </c>
      <c r="P79"/>
      <c r="Q79" t="s">
        <v>3</v>
      </c>
      <c r="R79"/>
      <c r="S79" t="s">
        <v>3</v>
      </c>
      <c r="T79" t="s">
        <v>111</v>
      </c>
      <c r="U79" s="109" t="s">
        <v>450</v>
      </c>
    </row>
    <row r="80" spans="1:21">
      <c r="A80" t="s">
        <v>451</v>
      </c>
      <c r="B80" t="s">
        <v>8</v>
      </c>
      <c r="C80" t="s">
        <v>452</v>
      </c>
      <c r="D80" t="s">
        <v>452</v>
      </c>
      <c r="E80" s="111" t="s">
        <v>3</v>
      </c>
      <c r="F80" t="s">
        <v>3</v>
      </c>
      <c r="G80" t="s">
        <v>67</v>
      </c>
      <c r="H80" t="s">
        <v>3</v>
      </c>
      <c r="I80" t="s">
        <v>3</v>
      </c>
      <c r="J80"/>
      <c r="K80" t="s">
        <v>3</v>
      </c>
      <c r="L80"/>
      <c r="M80" t="s">
        <v>3</v>
      </c>
      <c r="N80"/>
      <c r="O80" t="s">
        <v>3</v>
      </c>
      <c r="P80"/>
      <c r="Q80" t="s">
        <v>3</v>
      </c>
      <c r="R80"/>
      <c r="S80" t="s">
        <v>3</v>
      </c>
      <c r="T80" t="s">
        <v>111</v>
      </c>
      <c r="U80" s="109" t="s">
        <v>453</v>
      </c>
    </row>
    <row r="81" spans="1:21">
      <c r="A81" t="s">
        <v>164</v>
      </c>
      <c r="B81" t="s">
        <v>8</v>
      </c>
      <c r="C81" t="s">
        <v>454</v>
      </c>
      <c r="D81" t="s">
        <v>454</v>
      </c>
      <c r="E81" s="111" t="s">
        <v>3</v>
      </c>
      <c r="F81" t="s">
        <v>3</v>
      </c>
      <c r="G81" t="s">
        <v>67</v>
      </c>
      <c r="H81" t="s">
        <v>3</v>
      </c>
      <c r="I81" t="s">
        <v>3</v>
      </c>
      <c r="J81"/>
      <c r="K81" t="s">
        <v>3</v>
      </c>
      <c r="L81"/>
      <c r="M81" t="s">
        <v>3</v>
      </c>
      <c r="N81"/>
      <c r="O81" t="s">
        <v>3</v>
      </c>
      <c r="P81"/>
      <c r="Q81" t="s">
        <v>3</v>
      </c>
      <c r="R81"/>
      <c r="S81" t="s">
        <v>3</v>
      </c>
      <c r="T81" t="s">
        <v>111</v>
      </c>
      <c r="U81" s="109" t="s">
        <v>455</v>
      </c>
    </row>
    <row r="82" spans="1:21">
      <c r="A82" t="s">
        <v>456</v>
      </c>
      <c r="B82" t="s">
        <v>8</v>
      </c>
      <c r="C82" t="s">
        <v>457</v>
      </c>
      <c r="D82" t="s">
        <v>457</v>
      </c>
      <c r="E82" s="111" t="s">
        <v>3</v>
      </c>
      <c r="F82" t="s">
        <v>3</v>
      </c>
      <c r="G82" t="s">
        <v>8</v>
      </c>
      <c r="H82" t="s">
        <v>8</v>
      </c>
      <c r="I82" t="s">
        <v>74</v>
      </c>
      <c r="J82"/>
      <c r="K82" t="s">
        <v>3</v>
      </c>
      <c r="L82"/>
      <c r="M82" t="s">
        <v>3</v>
      </c>
      <c r="N82"/>
      <c r="O82" t="s">
        <v>3</v>
      </c>
      <c r="P82"/>
      <c r="Q82" t="s">
        <v>3</v>
      </c>
      <c r="R82"/>
      <c r="S82" t="s">
        <v>3</v>
      </c>
      <c r="T82" t="s">
        <v>111</v>
      </c>
      <c r="U82" s="109" t="s">
        <v>458</v>
      </c>
    </row>
    <row r="83" spans="1:21">
      <c r="A83" t="s">
        <v>459</v>
      </c>
      <c r="B83" t="s">
        <v>8</v>
      </c>
      <c r="C83" t="s">
        <v>460</v>
      </c>
      <c r="D83" t="s">
        <v>460</v>
      </c>
      <c r="E83" s="111" t="s">
        <v>3</v>
      </c>
      <c r="F83" t="s">
        <v>3</v>
      </c>
      <c r="G83" t="s">
        <v>67</v>
      </c>
      <c r="H83" t="s">
        <v>3</v>
      </c>
      <c r="I83" t="s">
        <v>3</v>
      </c>
      <c r="J83"/>
      <c r="K83" t="s">
        <v>3</v>
      </c>
      <c r="L83"/>
      <c r="M83" t="s">
        <v>3</v>
      </c>
      <c r="N83"/>
      <c r="O83" t="s">
        <v>3</v>
      </c>
      <c r="P83"/>
      <c r="Q83" t="s">
        <v>3</v>
      </c>
      <c r="R83"/>
      <c r="S83" t="s">
        <v>3</v>
      </c>
      <c r="T83" t="s">
        <v>111</v>
      </c>
      <c r="U83" s="109" t="s">
        <v>461</v>
      </c>
    </row>
    <row r="84" spans="1:21">
      <c r="A84" t="s">
        <v>462</v>
      </c>
      <c r="B84" t="s">
        <v>8</v>
      </c>
      <c r="C84" t="s">
        <v>463</v>
      </c>
      <c r="D84" t="s">
        <v>463</v>
      </c>
      <c r="E84" s="111" t="s">
        <v>3</v>
      </c>
      <c r="F84" t="s">
        <v>3</v>
      </c>
      <c r="G84" t="s">
        <v>67</v>
      </c>
      <c r="H84" t="s">
        <v>3</v>
      </c>
      <c r="I84" t="s">
        <v>3</v>
      </c>
      <c r="J84"/>
      <c r="K84" t="s">
        <v>3</v>
      </c>
      <c r="L84"/>
      <c r="M84" t="s">
        <v>3</v>
      </c>
      <c r="N84"/>
      <c r="O84" t="s">
        <v>3</v>
      </c>
      <c r="P84"/>
      <c r="Q84" t="s">
        <v>3</v>
      </c>
      <c r="R84"/>
      <c r="S84" t="s">
        <v>3</v>
      </c>
      <c r="T84" t="s">
        <v>111</v>
      </c>
      <c r="U84" s="109" t="s">
        <v>464</v>
      </c>
    </row>
    <row r="85" spans="1:21">
      <c r="A85" t="s">
        <v>465</v>
      </c>
      <c r="B85" t="s">
        <v>8</v>
      </c>
      <c r="C85" t="s">
        <v>466</v>
      </c>
      <c r="D85" t="s">
        <v>466</v>
      </c>
      <c r="E85" s="111" t="s">
        <v>3</v>
      </c>
      <c r="F85" t="s">
        <v>3</v>
      </c>
      <c r="G85" t="s">
        <v>111</v>
      </c>
      <c r="H85" t="s">
        <v>8</v>
      </c>
      <c r="I85" t="s">
        <v>3</v>
      </c>
      <c r="J85"/>
      <c r="K85" t="s">
        <v>3</v>
      </c>
      <c r="L85"/>
      <c r="M85" t="s">
        <v>3</v>
      </c>
      <c r="N85"/>
      <c r="O85" t="s">
        <v>3</v>
      </c>
      <c r="P85"/>
      <c r="Q85" t="s">
        <v>3</v>
      </c>
      <c r="R85"/>
      <c r="S85" t="s">
        <v>3</v>
      </c>
      <c r="T85" t="s">
        <v>111</v>
      </c>
      <c r="U85" s="109" t="s">
        <v>467</v>
      </c>
    </row>
    <row r="86" spans="1:21">
      <c r="A86" t="s">
        <v>468</v>
      </c>
      <c r="B86" t="s">
        <v>8</v>
      </c>
      <c r="C86" t="s">
        <v>469</v>
      </c>
      <c r="D86" t="s">
        <v>469</v>
      </c>
      <c r="E86" s="111" t="s">
        <v>3</v>
      </c>
      <c r="F86" t="s">
        <v>470</v>
      </c>
      <c r="G86" t="s">
        <v>8</v>
      </c>
      <c r="H86" t="s">
        <v>3</v>
      </c>
      <c r="I86" t="s">
        <v>3</v>
      </c>
      <c r="J86"/>
      <c r="K86" t="s">
        <v>3</v>
      </c>
      <c r="L86"/>
      <c r="M86" t="s">
        <v>3</v>
      </c>
      <c r="N86"/>
      <c r="O86" t="s">
        <v>3</v>
      </c>
      <c r="P86"/>
      <c r="Q86" t="s">
        <v>3</v>
      </c>
      <c r="R86"/>
      <c r="S86" t="s">
        <v>3</v>
      </c>
      <c r="T86" t="s">
        <v>111</v>
      </c>
      <c r="U86" s="109" t="s">
        <v>471</v>
      </c>
    </row>
    <row r="87" spans="1:21">
      <c r="A87" t="s">
        <v>472</v>
      </c>
      <c r="B87" t="s">
        <v>8</v>
      </c>
      <c r="C87" t="s">
        <v>473</v>
      </c>
      <c r="D87" t="s">
        <v>473</v>
      </c>
      <c r="E87" s="111" t="s">
        <v>3</v>
      </c>
      <c r="F87" t="s">
        <v>474</v>
      </c>
      <c r="G87" t="s">
        <v>8</v>
      </c>
      <c r="H87" t="s">
        <v>111</v>
      </c>
      <c r="I87" t="s">
        <v>3</v>
      </c>
      <c r="J87" t="s">
        <v>473</v>
      </c>
      <c r="K87" t="s">
        <v>8</v>
      </c>
      <c r="L87"/>
      <c r="M87" t="s">
        <v>3</v>
      </c>
      <c r="N87"/>
      <c r="O87" t="s">
        <v>3</v>
      </c>
      <c r="P87"/>
      <c r="Q87" t="s">
        <v>3</v>
      </c>
      <c r="R87"/>
      <c r="S87" t="s">
        <v>3</v>
      </c>
      <c r="T87" t="s">
        <v>111</v>
      </c>
      <c r="U87" s="109" t="s">
        <v>475</v>
      </c>
    </row>
    <row r="88" spans="1:21">
      <c r="A88" t="s">
        <v>476</v>
      </c>
      <c r="B88" t="s">
        <v>8</v>
      </c>
      <c r="C88" t="s">
        <v>477</v>
      </c>
      <c r="D88" t="s">
        <v>477</v>
      </c>
      <c r="E88" s="111" t="s">
        <v>3</v>
      </c>
      <c r="F88" t="s">
        <v>478</v>
      </c>
      <c r="G88" t="s">
        <v>8</v>
      </c>
      <c r="H88" t="s">
        <v>111</v>
      </c>
      <c r="I88" t="s">
        <v>3</v>
      </c>
      <c r="J88" t="s">
        <v>219</v>
      </c>
      <c r="K88" t="s">
        <v>8</v>
      </c>
      <c r="L88" t="s">
        <v>326</v>
      </c>
      <c r="M88" t="s">
        <v>3</v>
      </c>
      <c r="N88" t="s">
        <v>232</v>
      </c>
      <c r="O88" t="s">
        <v>3</v>
      </c>
      <c r="P88" t="s">
        <v>323</v>
      </c>
      <c r="Q88" t="s">
        <v>3</v>
      </c>
      <c r="R88" t="s">
        <v>479</v>
      </c>
      <c r="S88" t="s">
        <v>3</v>
      </c>
      <c r="T88" t="s">
        <v>111</v>
      </c>
      <c r="U88" s="109" t="s">
        <v>480</v>
      </c>
    </row>
    <row r="89" spans="1:21">
      <c r="A89" t="s">
        <v>481</v>
      </c>
      <c r="B89" t="s">
        <v>8</v>
      </c>
      <c r="C89" t="s">
        <v>482</v>
      </c>
      <c r="D89" t="s">
        <v>482</v>
      </c>
      <c r="E89" s="111" t="s">
        <v>3</v>
      </c>
      <c r="F89" t="s">
        <v>3</v>
      </c>
      <c r="G89" t="s">
        <v>8</v>
      </c>
      <c r="H89" t="s">
        <v>3</v>
      </c>
      <c r="I89" t="s">
        <v>3</v>
      </c>
      <c r="J89"/>
      <c r="K89" t="s">
        <v>3</v>
      </c>
      <c r="L89"/>
      <c r="M89" t="s">
        <v>3</v>
      </c>
      <c r="N89"/>
      <c r="O89" t="s">
        <v>3</v>
      </c>
      <c r="P89"/>
      <c r="Q89" t="s">
        <v>3</v>
      </c>
      <c r="R89"/>
      <c r="S89" t="s">
        <v>3</v>
      </c>
      <c r="T89" t="s">
        <v>111</v>
      </c>
      <c r="U89" s="109" t="s">
        <v>483</v>
      </c>
    </row>
    <row r="90" spans="1:21">
      <c r="A90" t="s">
        <v>96</v>
      </c>
      <c r="B90" t="s">
        <v>8</v>
      </c>
      <c r="C90" t="s">
        <v>484</v>
      </c>
      <c r="D90" t="s">
        <v>484</v>
      </c>
      <c r="E90" s="111" t="s">
        <v>3</v>
      </c>
      <c r="F90" t="s">
        <v>3</v>
      </c>
      <c r="G90" t="s">
        <v>111</v>
      </c>
      <c r="H90" t="s">
        <v>3</v>
      </c>
      <c r="I90" t="s">
        <v>3</v>
      </c>
      <c r="J90"/>
      <c r="K90" t="s">
        <v>3</v>
      </c>
      <c r="L90"/>
      <c r="M90" t="s">
        <v>3</v>
      </c>
      <c r="N90"/>
      <c r="O90" t="s">
        <v>3</v>
      </c>
      <c r="P90"/>
      <c r="Q90" t="s">
        <v>3</v>
      </c>
      <c r="R90"/>
      <c r="S90" t="s">
        <v>3</v>
      </c>
      <c r="T90" t="s">
        <v>111</v>
      </c>
      <c r="U90" s="109" t="s">
        <v>485</v>
      </c>
    </row>
    <row r="91" spans="1:21">
      <c r="A91" t="s">
        <v>486</v>
      </c>
      <c r="B91" t="s">
        <v>8</v>
      </c>
      <c r="C91" t="s">
        <v>487</v>
      </c>
      <c r="D91" t="s">
        <v>487</v>
      </c>
      <c r="E91" s="111" t="s">
        <v>3</v>
      </c>
      <c r="F91" t="s">
        <v>3</v>
      </c>
      <c r="G91" t="s">
        <v>3</v>
      </c>
      <c r="H91" t="s">
        <v>111</v>
      </c>
      <c r="I91" t="s">
        <v>3</v>
      </c>
      <c r="J91" t="s">
        <v>487</v>
      </c>
      <c r="K91" t="s">
        <v>3</v>
      </c>
      <c r="L91"/>
      <c r="M91" t="s">
        <v>3</v>
      </c>
      <c r="N91"/>
      <c r="O91" t="s">
        <v>3</v>
      </c>
      <c r="P91"/>
      <c r="Q91" t="s">
        <v>3</v>
      </c>
      <c r="R91"/>
      <c r="S91" t="s">
        <v>3</v>
      </c>
      <c r="T91" t="s">
        <v>111</v>
      </c>
      <c r="U91" s="109" t="s">
        <v>488</v>
      </c>
    </row>
    <row r="92" spans="1:21">
      <c r="A92" t="s">
        <v>489</v>
      </c>
      <c r="B92" t="s">
        <v>8</v>
      </c>
      <c r="C92" t="s">
        <v>490</v>
      </c>
      <c r="D92" t="s">
        <v>490</v>
      </c>
      <c r="E92" s="111" t="s">
        <v>3</v>
      </c>
      <c r="F92" t="s">
        <v>3</v>
      </c>
      <c r="G92" t="s">
        <v>111</v>
      </c>
      <c r="H92" t="s">
        <v>3</v>
      </c>
      <c r="I92" t="s">
        <v>3</v>
      </c>
      <c r="J92"/>
      <c r="K92" t="s">
        <v>3</v>
      </c>
      <c r="L92"/>
      <c r="M92" t="s">
        <v>3</v>
      </c>
      <c r="N92"/>
      <c r="O92" t="s">
        <v>3</v>
      </c>
      <c r="P92"/>
      <c r="Q92" t="s">
        <v>3</v>
      </c>
      <c r="R92"/>
      <c r="S92" t="s">
        <v>3</v>
      </c>
      <c r="T92" t="s">
        <v>111</v>
      </c>
      <c r="U92" s="109" t="s">
        <v>491</v>
      </c>
    </row>
    <row r="93" spans="1:21">
      <c r="A93" t="s">
        <v>492</v>
      </c>
      <c r="B93" t="s">
        <v>8</v>
      </c>
      <c r="C93" t="s">
        <v>493</v>
      </c>
      <c r="D93" t="s">
        <v>493</v>
      </c>
      <c r="E93" s="111" t="s">
        <v>3</v>
      </c>
      <c r="F93" t="s">
        <v>3</v>
      </c>
      <c r="G93" t="s">
        <v>8</v>
      </c>
      <c r="H93" t="s">
        <v>3</v>
      </c>
      <c r="I93" t="s">
        <v>3</v>
      </c>
      <c r="J93"/>
      <c r="K93" t="s">
        <v>3</v>
      </c>
      <c r="L93"/>
      <c r="M93" t="s">
        <v>3</v>
      </c>
      <c r="N93"/>
      <c r="O93" t="s">
        <v>3</v>
      </c>
      <c r="P93"/>
      <c r="Q93" t="s">
        <v>3</v>
      </c>
      <c r="R93"/>
      <c r="S93" t="s">
        <v>3</v>
      </c>
      <c r="T93" t="s">
        <v>111</v>
      </c>
      <c r="U93" s="109" t="s">
        <v>494</v>
      </c>
    </row>
    <row r="94" spans="1:21">
      <c r="A94" t="s">
        <v>53</v>
      </c>
      <c r="B94" t="s">
        <v>8</v>
      </c>
      <c r="C94" t="s">
        <v>495</v>
      </c>
      <c r="D94" t="s">
        <v>495</v>
      </c>
      <c r="E94" s="111" t="s">
        <v>3</v>
      </c>
      <c r="F94" t="s">
        <v>496</v>
      </c>
      <c r="G94" t="s">
        <v>8</v>
      </c>
      <c r="H94" t="s">
        <v>111</v>
      </c>
      <c r="I94" t="s">
        <v>3</v>
      </c>
      <c r="J94"/>
      <c r="K94" t="s">
        <v>3</v>
      </c>
      <c r="L94"/>
      <c r="M94" t="s">
        <v>3</v>
      </c>
      <c r="N94"/>
      <c r="O94" t="s">
        <v>3</v>
      </c>
      <c r="P94"/>
      <c r="Q94" t="s">
        <v>3</v>
      </c>
      <c r="R94"/>
      <c r="S94" t="s">
        <v>3</v>
      </c>
      <c r="T94" t="s">
        <v>111</v>
      </c>
      <c r="U94" s="109" t="s">
        <v>497</v>
      </c>
    </row>
    <row r="95" spans="1:21">
      <c r="A95" t="s">
        <v>498</v>
      </c>
      <c r="B95" t="s">
        <v>3</v>
      </c>
      <c r="C95" t="s">
        <v>499</v>
      </c>
      <c r="D95" t="s">
        <v>499</v>
      </c>
      <c r="E95" s="111" t="s">
        <v>3</v>
      </c>
      <c r="F95" t="s">
        <v>3</v>
      </c>
      <c r="G95" t="s">
        <v>111</v>
      </c>
      <c r="H95" t="s">
        <v>3</v>
      </c>
      <c r="I95" t="s">
        <v>3</v>
      </c>
      <c r="J95"/>
      <c r="K95" t="s">
        <v>3</v>
      </c>
      <c r="L95"/>
      <c r="M95" t="s">
        <v>3</v>
      </c>
      <c r="N95"/>
      <c r="O95" t="s">
        <v>3</v>
      </c>
      <c r="P95"/>
      <c r="Q95" t="s">
        <v>3</v>
      </c>
      <c r="R95"/>
      <c r="S95" t="s">
        <v>3</v>
      </c>
      <c r="T95" t="s">
        <v>111</v>
      </c>
      <c r="U95" s="109" t="s">
        <v>500</v>
      </c>
    </row>
    <row r="96" spans="1:21">
      <c r="A96" t="s">
        <v>501</v>
      </c>
      <c r="B96" t="s">
        <v>8</v>
      </c>
      <c r="C96" t="s">
        <v>502</v>
      </c>
      <c r="D96" t="s">
        <v>502</v>
      </c>
      <c r="E96" s="111" t="s">
        <v>3</v>
      </c>
      <c r="F96" t="s">
        <v>503</v>
      </c>
      <c r="G96" t="s">
        <v>8</v>
      </c>
      <c r="H96" t="s">
        <v>3</v>
      </c>
      <c r="I96" t="s">
        <v>3</v>
      </c>
      <c r="J96"/>
      <c r="K96" t="s">
        <v>3</v>
      </c>
      <c r="L96"/>
      <c r="M96" t="s">
        <v>3</v>
      </c>
      <c r="N96"/>
      <c r="O96" t="s">
        <v>3</v>
      </c>
      <c r="P96"/>
      <c r="Q96" t="s">
        <v>3</v>
      </c>
      <c r="R96"/>
      <c r="S96" t="s">
        <v>3</v>
      </c>
      <c r="T96" t="s">
        <v>111</v>
      </c>
      <c r="U96" s="109" t="s">
        <v>504</v>
      </c>
    </row>
    <row r="97" spans="1:21">
      <c r="A97" t="s">
        <v>505</v>
      </c>
      <c r="B97" t="s">
        <v>3</v>
      </c>
      <c r="C97" t="s">
        <v>506</v>
      </c>
      <c r="D97" t="s">
        <v>506</v>
      </c>
      <c r="E97" s="111" t="s">
        <v>3</v>
      </c>
      <c r="F97" t="s">
        <v>3</v>
      </c>
      <c r="G97" t="s">
        <v>111</v>
      </c>
      <c r="H97" t="s">
        <v>3</v>
      </c>
      <c r="I97" t="s">
        <v>3</v>
      </c>
      <c r="J97"/>
      <c r="K97" t="s">
        <v>3</v>
      </c>
      <c r="L97"/>
      <c r="M97" t="s">
        <v>3</v>
      </c>
      <c r="N97"/>
      <c r="O97" t="s">
        <v>3</v>
      </c>
      <c r="P97"/>
      <c r="Q97" t="s">
        <v>3</v>
      </c>
      <c r="R97"/>
      <c r="S97" t="s">
        <v>3</v>
      </c>
      <c r="T97" t="s">
        <v>111</v>
      </c>
      <c r="U97" s="109" t="s">
        <v>507</v>
      </c>
    </row>
    <row r="98" spans="1:21">
      <c r="A98" t="s">
        <v>508</v>
      </c>
      <c r="B98" t="s">
        <v>3</v>
      </c>
      <c r="C98" t="s">
        <v>509</v>
      </c>
      <c r="D98" t="s">
        <v>509</v>
      </c>
      <c r="E98" s="111" t="s">
        <v>3</v>
      </c>
      <c r="F98" t="s">
        <v>3</v>
      </c>
      <c r="G98" t="s">
        <v>111</v>
      </c>
      <c r="H98" t="s">
        <v>3</v>
      </c>
      <c r="I98" t="s">
        <v>3</v>
      </c>
      <c r="J98"/>
      <c r="K98" t="s">
        <v>3</v>
      </c>
      <c r="L98"/>
      <c r="M98" t="s">
        <v>3</v>
      </c>
      <c r="N98"/>
      <c r="O98" t="s">
        <v>3</v>
      </c>
      <c r="P98"/>
      <c r="Q98" t="s">
        <v>3</v>
      </c>
      <c r="R98"/>
      <c r="S98" t="s">
        <v>3</v>
      </c>
      <c r="T98" t="s">
        <v>111</v>
      </c>
      <c r="U98" s="109" t="s">
        <v>510</v>
      </c>
    </row>
    <row r="99" spans="1:21">
      <c r="A99" t="s">
        <v>511</v>
      </c>
      <c r="B99" t="s">
        <v>3</v>
      </c>
      <c r="C99" t="s">
        <v>512</v>
      </c>
      <c r="D99" t="s">
        <v>512</v>
      </c>
      <c r="E99" s="111" t="s">
        <v>3</v>
      </c>
      <c r="F99" t="s">
        <v>3</v>
      </c>
      <c r="G99" t="s">
        <v>111</v>
      </c>
      <c r="H99" t="s">
        <v>3</v>
      </c>
      <c r="I99" t="s">
        <v>3</v>
      </c>
      <c r="J99"/>
      <c r="K99" t="s">
        <v>3</v>
      </c>
      <c r="L99"/>
      <c r="M99" t="s">
        <v>3</v>
      </c>
      <c r="N99"/>
      <c r="O99" t="s">
        <v>3</v>
      </c>
      <c r="P99"/>
      <c r="Q99" t="s">
        <v>3</v>
      </c>
      <c r="R99"/>
      <c r="S99" t="s">
        <v>3</v>
      </c>
      <c r="T99" t="s">
        <v>111</v>
      </c>
      <c r="U99" s="109" t="s">
        <v>513</v>
      </c>
    </row>
    <row r="100" spans="1:21">
      <c r="A100" t="s">
        <v>146</v>
      </c>
      <c r="B100" t="s">
        <v>3</v>
      </c>
      <c r="C100" t="s">
        <v>514</v>
      </c>
      <c r="D100" t="s">
        <v>514</v>
      </c>
      <c r="E100" s="111" t="s">
        <v>3</v>
      </c>
      <c r="F100" t="s">
        <v>3</v>
      </c>
      <c r="G100" t="s">
        <v>8</v>
      </c>
      <c r="H100" t="s">
        <v>3</v>
      </c>
      <c r="I100" t="s">
        <v>3</v>
      </c>
      <c r="J100"/>
      <c r="K100" t="s">
        <v>3</v>
      </c>
      <c r="L100"/>
      <c r="M100" t="s">
        <v>3</v>
      </c>
      <c r="N100"/>
      <c r="O100" t="s">
        <v>3</v>
      </c>
      <c r="P100"/>
      <c r="Q100" t="s">
        <v>3</v>
      </c>
      <c r="R100"/>
      <c r="S100" t="s">
        <v>3</v>
      </c>
      <c r="T100" t="s">
        <v>111</v>
      </c>
      <c r="U100" s="109" t="s">
        <v>515</v>
      </c>
    </row>
    <row r="101" spans="1:21">
      <c r="A101" t="s">
        <v>516</v>
      </c>
      <c r="B101" t="s">
        <v>8</v>
      </c>
      <c r="C101" t="s">
        <v>517</v>
      </c>
      <c r="D101" t="s">
        <v>517</v>
      </c>
      <c r="E101" s="111" t="s">
        <v>3</v>
      </c>
      <c r="F101" t="s">
        <v>3</v>
      </c>
      <c r="G101" t="s">
        <v>8</v>
      </c>
      <c r="H101" t="s">
        <v>3</v>
      </c>
      <c r="I101" t="s">
        <v>3</v>
      </c>
      <c r="J101"/>
      <c r="K101" t="s">
        <v>3</v>
      </c>
      <c r="L101"/>
      <c r="M101" t="s">
        <v>3</v>
      </c>
      <c r="N101"/>
      <c r="O101" t="s">
        <v>3</v>
      </c>
      <c r="P101"/>
      <c r="Q101" t="s">
        <v>3</v>
      </c>
      <c r="R101"/>
      <c r="S101" t="s">
        <v>3</v>
      </c>
      <c r="T101" t="s">
        <v>111</v>
      </c>
      <c r="U101" s="109" t="s">
        <v>518</v>
      </c>
    </row>
    <row r="102" spans="1:21">
      <c r="A102" t="s">
        <v>519</v>
      </c>
      <c r="B102" t="s">
        <v>8</v>
      </c>
      <c r="C102" t="s">
        <v>520</v>
      </c>
      <c r="D102" t="s">
        <v>520</v>
      </c>
      <c r="E102" s="111" t="s">
        <v>3</v>
      </c>
      <c r="F102" t="s">
        <v>3</v>
      </c>
      <c r="G102" t="s">
        <v>8</v>
      </c>
      <c r="H102" t="s">
        <v>3</v>
      </c>
      <c r="I102" t="s">
        <v>3</v>
      </c>
      <c r="J102"/>
      <c r="K102" t="s">
        <v>3</v>
      </c>
      <c r="L102"/>
      <c r="M102" t="s">
        <v>3</v>
      </c>
      <c r="N102"/>
      <c r="O102" t="s">
        <v>3</v>
      </c>
      <c r="P102"/>
      <c r="Q102" t="s">
        <v>3</v>
      </c>
      <c r="R102"/>
      <c r="S102" t="s">
        <v>3</v>
      </c>
      <c r="T102" t="s">
        <v>111</v>
      </c>
      <c r="U102" s="109" t="s">
        <v>521</v>
      </c>
    </row>
    <row r="103" spans="1:21">
      <c r="A103" t="s">
        <v>522</v>
      </c>
      <c r="B103" t="s">
        <v>8</v>
      </c>
      <c r="C103" t="s">
        <v>523</v>
      </c>
      <c r="D103" t="s">
        <v>523</v>
      </c>
      <c r="E103" s="111" t="s">
        <v>3</v>
      </c>
      <c r="F103" t="s">
        <v>3</v>
      </c>
      <c r="G103" t="s">
        <v>8</v>
      </c>
      <c r="H103" t="s">
        <v>3</v>
      </c>
      <c r="I103" t="s">
        <v>3</v>
      </c>
      <c r="J103"/>
      <c r="K103" t="s">
        <v>3</v>
      </c>
      <c r="L103"/>
      <c r="M103" t="s">
        <v>3</v>
      </c>
      <c r="N103"/>
      <c r="O103" t="s">
        <v>3</v>
      </c>
      <c r="P103"/>
      <c r="Q103" t="s">
        <v>3</v>
      </c>
      <c r="R103"/>
      <c r="S103" t="s">
        <v>3</v>
      </c>
      <c r="T103" t="s">
        <v>111</v>
      </c>
      <c r="U103" s="109" t="s">
        <v>524</v>
      </c>
    </row>
    <row r="104" spans="1:21">
      <c r="A104" t="s">
        <v>525</v>
      </c>
      <c r="B104" t="s">
        <v>8</v>
      </c>
      <c r="C104" t="s">
        <v>526</v>
      </c>
      <c r="D104" t="s">
        <v>527</v>
      </c>
      <c r="E104" s="111" t="s">
        <v>3</v>
      </c>
      <c r="F104" t="s">
        <v>528</v>
      </c>
      <c r="G104" t="s">
        <v>8</v>
      </c>
      <c r="H104" t="s">
        <v>3</v>
      </c>
      <c r="I104" t="s">
        <v>3</v>
      </c>
      <c r="J104"/>
      <c r="K104" t="s">
        <v>3</v>
      </c>
      <c r="L104"/>
      <c r="M104" t="s">
        <v>3</v>
      </c>
      <c r="N104"/>
      <c r="O104" t="s">
        <v>3</v>
      </c>
      <c r="P104"/>
      <c r="Q104" t="s">
        <v>3</v>
      </c>
      <c r="R104"/>
      <c r="S104" t="s">
        <v>3</v>
      </c>
      <c r="T104" t="s">
        <v>111</v>
      </c>
      <c r="U104" s="109" t="s">
        <v>529</v>
      </c>
    </row>
    <row r="105" spans="1:21">
      <c r="A105" t="s">
        <v>530</v>
      </c>
      <c r="B105" t="s">
        <v>8</v>
      </c>
      <c r="C105" t="s">
        <v>531</v>
      </c>
      <c r="D105" t="s">
        <v>531</v>
      </c>
      <c r="E105" s="111" t="s">
        <v>3</v>
      </c>
      <c r="F105" t="s">
        <v>3</v>
      </c>
      <c r="G105" t="s">
        <v>8</v>
      </c>
      <c r="H105" t="s">
        <v>8</v>
      </c>
      <c r="I105" t="s">
        <v>163</v>
      </c>
      <c r="J105"/>
      <c r="K105" t="s">
        <v>3</v>
      </c>
      <c r="L105"/>
      <c r="M105" t="s">
        <v>3</v>
      </c>
      <c r="N105"/>
      <c r="O105" t="s">
        <v>3</v>
      </c>
      <c r="P105"/>
      <c r="Q105" t="s">
        <v>3</v>
      </c>
      <c r="R105"/>
      <c r="S105" t="s">
        <v>3</v>
      </c>
      <c r="T105" t="s">
        <v>111</v>
      </c>
      <c r="U105" s="109" t="s">
        <v>532</v>
      </c>
    </row>
    <row r="106" spans="1:21">
      <c r="A106" t="s">
        <v>533</v>
      </c>
      <c r="B106" t="s">
        <v>3</v>
      </c>
      <c r="C106" t="s">
        <v>534</v>
      </c>
      <c r="D106" t="s">
        <v>534</v>
      </c>
      <c r="E106" s="111" t="s">
        <v>3</v>
      </c>
      <c r="F106" t="s">
        <v>3</v>
      </c>
      <c r="G106" t="s">
        <v>111</v>
      </c>
      <c r="H106" t="s">
        <v>8</v>
      </c>
      <c r="I106" t="s">
        <v>163</v>
      </c>
      <c r="J106"/>
      <c r="K106" t="s">
        <v>3</v>
      </c>
      <c r="L106"/>
      <c r="M106" t="s">
        <v>3</v>
      </c>
      <c r="N106"/>
      <c r="O106" t="s">
        <v>3</v>
      </c>
      <c r="P106"/>
      <c r="Q106" t="s">
        <v>3</v>
      </c>
      <c r="R106"/>
      <c r="S106" t="s">
        <v>3</v>
      </c>
      <c r="T106" t="s">
        <v>111</v>
      </c>
      <c r="U106" s="109" t="s">
        <v>535</v>
      </c>
    </row>
    <row r="107" spans="1:21">
      <c r="A107" t="s">
        <v>536</v>
      </c>
      <c r="B107" t="s">
        <v>8</v>
      </c>
      <c r="C107" t="s">
        <v>537</v>
      </c>
      <c r="D107" t="s">
        <v>537</v>
      </c>
      <c r="E107" s="111" t="s">
        <v>3</v>
      </c>
      <c r="F107" t="s">
        <v>3</v>
      </c>
      <c r="G107" t="s">
        <v>8</v>
      </c>
      <c r="H107" t="s">
        <v>3</v>
      </c>
      <c r="I107" t="s">
        <v>3</v>
      </c>
      <c r="J107"/>
      <c r="K107" t="s">
        <v>3</v>
      </c>
      <c r="L107"/>
      <c r="M107" t="s">
        <v>3</v>
      </c>
      <c r="N107"/>
      <c r="O107" t="s">
        <v>3</v>
      </c>
      <c r="P107"/>
      <c r="Q107" t="s">
        <v>3</v>
      </c>
      <c r="R107"/>
      <c r="S107" t="s">
        <v>3</v>
      </c>
      <c r="T107" t="s">
        <v>111</v>
      </c>
      <c r="U107" s="109" t="s">
        <v>538</v>
      </c>
    </row>
    <row r="108" spans="1:21">
      <c r="A108" t="s">
        <v>539</v>
      </c>
      <c r="B108" t="s">
        <v>3</v>
      </c>
      <c r="C108" t="s">
        <v>540</v>
      </c>
      <c r="D108" t="s">
        <v>540</v>
      </c>
      <c r="E108" s="111" t="s">
        <v>3</v>
      </c>
      <c r="F108" t="s">
        <v>3</v>
      </c>
      <c r="G108" t="s">
        <v>111</v>
      </c>
      <c r="H108" t="s">
        <v>3</v>
      </c>
      <c r="I108" t="s">
        <v>3</v>
      </c>
      <c r="J108"/>
      <c r="K108" t="s">
        <v>3</v>
      </c>
      <c r="L108"/>
      <c r="M108" t="s">
        <v>3</v>
      </c>
      <c r="N108"/>
      <c r="O108" t="s">
        <v>3</v>
      </c>
      <c r="P108"/>
      <c r="Q108" t="s">
        <v>3</v>
      </c>
      <c r="R108"/>
      <c r="S108" t="s">
        <v>3</v>
      </c>
      <c r="T108" t="s">
        <v>111</v>
      </c>
      <c r="U108" s="109" t="s">
        <v>541</v>
      </c>
    </row>
    <row r="109" spans="1:21">
      <c r="A109" t="s">
        <v>542</v>
      </c>
      <c r="B109" t="s">
        <v>8</v>
      </c>
      <c r="C109" t="s">
        <v>543</v>
      </c>
      <c r="D109" t="s">
        <v>543</v>
      </c>
      <c r="E109" s="111" t="s">
        <v>3</v>
      </c>
      <c r="F109" t="s">
        <v>3</v>
      </c>
      <c r="G109" t="s">
        <v>8</v>
      </c>
      <c r="H109" t="s">
        <v>3</v>
      </c>
      <c r="I109" t="s">
        <v>3</v>
      </c>
      <c r="J109"/>
      <c r="K109" t="s">
        <v>3</v>
      </c>
      <c r="L109"/>
      <c r="M109" t="s">
        <v>3</v>
      </c>
      <c r="N109"/>
      <c r="O109" t="s">
        <v>3</v>
      </c>
      <c r="P109"/>
      <c r="Q109" t="s">
        <v>3</v>
      </c>
      <c r="R109"/>
      <c r="S109" t="s">
        <v>3</v>
      </c>
      <c r="T109" t="s">
        <v>111</v>
      </c>
      <c r="U109" s="109" t="s">
        <v>544</v>
      </c>
    </row>
    <row r="110" spans="1:21">
      <c r="A110" t="s">
        <v>545</v>
      </c>
      <c r="B110" t="s">
        <v>8</v>
      </c>
      <c r="C110" t="s">
        <v>50</v>
      </c>
      <c r="D110" t="s">
        <v>50</v>
      </c>
      <c r="E110" s="111" t="s">
        <v>3</v>
      </c>
      <c r="F110" t="s">
        <v>3</v>
      </c>
      <c r="G110" t="s">
        <v>8</v>
      </c>
      <c r="H110" t="s">
        <v>8</v>
      </c>
      <c r="I110" t="s">
        <v>546</v>
      </c>
      <c r="J110"/>
      <c r="K110" t="s">
        <v>3</v>
      </c>
      <c r="L110"/>
      <c r="M110" t="s">
        <v>3</v>
      </c>
      <c r="N110"/>
      <c r="O110" t="s">
        <v>3</v>
      </c>
      <c r="P110"/>
      <c r="Q110" t="s">
        <v>3</v>
      </c>
      <c r="R110"/>
      <c r="S110" t="s">
        <v>3</v>
      </c>
      <c r="T110" t="s">
        <v>111</v>
      </c>
      <c r="U110" s="109" t="s">
        <v>547</v>
      </c>
    </row>
    <row r="111" spans="1:21">
      <c r="A111" t="s">
        <v>548</v>
      </c>
      <c r="B111" t="s">
        <v>8</v>
      </c>
      <c r="C111" t="s">
        <v>549</v>
      </c>
      <c r="D111" t="s">
        <v>549</v>
      </c>
      <c r="E111" s="111" t="s">
        <v>3</v>
      </c>
      <c r="F111" t="s">
        <v>3</v>
      </c>
      <c r="G111" t="s">
        <v>8</v>
      </c>
      <c r="H111" t="s">
        <v>8</v>
      </c>
      <c r="I111" t="s">
        <v>163</v>
      </c>
      <c r="J111"/>
      <c r="K111" t="s">
        <v>3</v>
      </c>
      <c r="L111"/>
      <c r="M111" t="s">
        <v>3</v>
      </c>
      <c r="N111"/>
      <c r="O111" t="s">
        <v>3</v>
      </c>
      <c r="P111"/>
      <c r="Q111" t="s">
        <v>3</v>
      </c>
      <c r="R111"/>
      <c r="S111" t="s">
        <v>3</v>
      </c>
      <c r="T111" t="s">
        <v>111</v>
      </c>
      <c r="U111" s="109" t="s">
        <v>550</v>
      </c>
    </row>
    <row r="112" spans="1:21">
      <c r="A112" t="s">
        <v>551</v>
      </c>
      <c r="B112" t="s">
        <v>8</v>
      </c>
      <c r="C112" t="s">
        <v>552</v>
      </c>
      <c r="D112" t="s">
        <v>553</v>
      </c>
      <c r="E112" s="111" t="s">
        <v>3</v>
      </c>
      <c r="F112" t="s">
        <v>3</v>
      </c>
      <c r="G112" t="s">
        <v>8</v>
      </c>
      <c r="H112" t="s">
        <v>8</v>
      </c>
      <c r="I112" t="s">
        <v>546</v>
      </c>
      <c r="J112"/>
      <c r="K112" t="s">
        <v>3</v>
      </c>
      <c r="L112"/>
      <c r="M112" t="s">
        <v>3</v>
      </c>
      <c r="N112"/>
      <c r="O112" t="s">
        <v>3</v>
      </c>
      <c r="P112"/>
      <c r="Q112" t="s">
        <v>3</v>
      </c>
      <c r="R112"/>
      <c r="S112" t="s">
        <v>3</v>
      </c>
      <c r="T112" t="s">
        <v>111</v>
      </c>
      <c r="U112" s="109" t="s">
        <v>554</v>
      </c>
    </row>
    <row r="113" spans="1:21">
      <c r="A113" t="s">
        <v>555</v>
      </c>
      <c r="B113" t="s">
        <v>3</v>
      </c>
      <c r="C113" t="s">
        <v>556</v>
      </c>
      <c r="D113" t="s">
        <v>556</v>
      </c>
      <c r="E113" s="111" t="s">
        <v>3</v>
      </c>
      <c r="F113" t="s">
        <v>3</v>
      </c>
      <c r="G113" t="s">
        <v>111</v>
      </c>
      <c r="H113" t="s">
        <v>3</v>
      </c>
      <c r="I113" t="s">
        <v>3</v>
      </c>
      <c r="J113"/>
      <c r="K113" t="s">
        <v>3</v>
      </c>
      <c r="L113"/>
      <c r="M113" t="s">
        <v>3</v>
      </c>
      <c r="N113"/>
      <c r="O113" t="s">
        <v>3</v>
      </c>
      <c r="P113"/>
      <c r="Q113" t="s">
        <v>3</v>
      </c>
      <c r="R113"/>
      <c r="S113" t="s">
        <v>3</v>
      </c>
      <c r="T113" t="s">
        <v>111</v>
      </c>
      <c r="U113" s="109" t="s">
        <v>557</v>
      </c>
    </row>
    <row r="114" spans="1:21">
      <c r="A114" t="s">
        <v>558</v>
      </c>
      <c r="B114" t="s">
        <v>8</v>
      </c>
      <c r="C114" t="s">
        <v>559</v>
      </c>
      <c r="D114" t="s">
        <v>559</v>
      </c>
      <c r="E114" s="111" t="s">
        <v>3</v>
      </c>
      <c r="F114" t="s">
        <v>3</v>
      </c>
      <c r="G114" t="s">
        <v>8</v>
      </c>
      <c r="H114" t="s">
        <v>3</v>
      </c>
      <c r="I114" t="s">
        <v>3</v>
      </c>
      <c r="J114"/>
      <c r="K114" t="s">
        <v>3</v>
      </c>
      <c r="L114"/>
      <c r="M114" t="s">
        <v>3</v>
      </c>
      <c r="N114"/>
      <c r="O114" t="s">
        <v>3</v>
      </c>
      <c r="P114"/>
      <c r="Q114" t="s">
        <v>3</v>
      </c>
      <c r="R114"/>
      <c r="S114" t="s">
        <v>3</v>
      </c>
      <c r="T114" t="s">
        <v>111</v>
      </c>
      <c r="U114" s="109" t="s">
        <v>560</v>
      </c>
    </row>
    <row r="115" spans="1:21">
      <c r="A115" t="s">
        <v>154</v>
      </c>
      <c r="B115" t="s">
        <v>3</v>
      </c>
      <c r="C115" t="s">
        <v>561</v>
      </c>
      <c r="D115" t="s">
        <v>561</v>
      </c>
      <c r="E115" s="111" t="s">
        <v>3</v>
      </c>
      <c r="F115" t="s">
        <v>3</v>
      </c>
      <c r="G115" t="s">
        <v>111</v>
      </c>
      <c r="H115" t="s">
        <v>3</v>
      </c>
      <c r="I115" t="s">
        <v>3</v>
      </c>
      <c r="J115"/>
      <c r="K115" t="s">
        <v>3</v>
      </c>
      <c r="L115"/>
      <c r="M115" t="s">
        <v>3</v>
      </c>
      <c r="N115"/>
      <c r="O115" t="s">
        <v>3</v>
      </c>
      <c r="P115"/>
      <c r="Q115" t="s">
        <v>3</v>
      </c>
      <c r="R115"/>
      <c r="S115" t="s">
        <v>3</v>
      </c>
      <c r="T115" t="s">
        <v>111</v>
      </c>
      <c r="U115" s="109" t="s">
        <v>562</v>
      </c>
    </row>
    <row r="116" spans="1:21">
      <c r="A116" t="s">
        <v>563</v>
      </c>
      <c r="B116" t="s">
        <v>8</v>
      </c>
      <c r="C116" t="s">
        <v>564</v>
      </c>
      <c r="D116" t="s">
        <v>564</v>
      </c>
      <c r="E116" s="111" t="s">
        <v>3</v>
      </c>
      <c r="F116" t="s">
        <v>565</v>
      </c>
      <c r="G116" t="s">
        <v>8</v>
      </c>
      <c r="H116" t="s">
        <v>111</v>
      </c>
      <c r="I116" t="s">
        <v>3</v>
      </c>
      <c r="J116" t="s">
        <v>564</v>
      </c>
      <c r="K116" t="s">
        <v>3</v>
      </c>
      <c r="L116" t="s">
        <v>232</v>
      </c>
      <c r="M116" t="s">
        <v>3</v>
      </c>
      <c r="N116"/>
      <c r="O116" t="s">
        <v>3</v>
      </c>
      <c r="P116"/>
      <c r="Q116" t="s">
        <v>3</v>
      </c>
      <c r="R116"/>
      <c r="S116" t="s">
        <v>3</v>
      </c>
      <c r="T116" t="s">
        <v>111</v>
      </c>
      <c r="U116" s="109" t="s">
        <v>566</v>
      </c>
    </row>
    <row r="117" spans="1:21">
      <c r="A117" t="s">
        <v>567</v>
      </c>
      <c r="B117" t="s">
        <v>8</v>
      </c>
      <c r="C117" t="s">
        <v>568</v>
      </c>
      <c r="D117" t="s">
        <v>568</v>
      </c>
      <c r="E117" s="111" t="s">
        <v>3</v>
      </c>
      <c r="F117" t="s">
        <v>3</v>
      </c>
      <c r="G117" t="s">
        <v>3</v>
      </c>
      <c r="H117" t="s">
        <v>3</v>
      </c>
      <c r="I117" t="s">
        <v>3</v>
      </c>
      <c r="J117"/>
      <c r="K117" t="s">
        <v>3</v>
      </c>
      <c r="L117"/>
      <c r="M117" t="s">
        <v>3</v>
      </c>
      <c r="N117"/>
      <c r="O117" t="s">
        <v>3</v>
      </c>
      <c r="P117"/>
      <c r="Q117" t="s">
        <v>3</v>
      </c>
      <c r="R117"/>
      <c r="S117" t="s">
        <v>3</v>
      </c>
      <c r="T117" t="s">
        <v>111</v>
      </c>
      <c r="U117" s="109" t="s">
        <v>569</v>
      </c>
    </row>
    <row r="118" spans="1:21">
      <c r="A118" t="s">
        <v>570</v>
      </c>
      <c r="B118" t="s">
        <v>8</v>
      </c>
      <c r="C118" t="s">
        <v>571</v>
      </c>
      <c r="D118" t="s">
        <v>571</v>
      </c>
      <c r="E118" s="111" t="s">
        <v>3</v>
      </c>
      <c r="F118" t="s">
        <v>570</v>
      </c>
      <c r="G118" t="s">
        <v>3</v>
      </c>
      <c r="H118" t="s">
        <v>3</v>
      </c>
      <c r="I118" t="s">
        <v>3</v>
      </c>
      <c r="J118"/>
      <c r="K118" t="s">
        <v>3</v>
      </c>
      <c r="L118"/>
      <c r="M118" t="s">
        <v>3</v>
      </c>
      <c r="N118"/>
      <c r="O118" t="s">
        <v>3</v>
      </c>
      <c r="P118"/>
      <c r="Q118" t="s">
        <v>3</v>
      </c>
      <c r="R118"/>
      <c r="S118" t="s">
        <v>3</v>
      </c>
      <c r="T118" t="s">
        <v>111</v>
      </c>
      <c r="U118" s="109" t="s">
        <v>572</v>
      </c>
    </row>
    <row r="119" spans="1:21">
      <c r="A119" t="s">
        <v>573</v>
      </c>
      <c r="B119" t="s">
        <v>8</v>
      </c>
      <c r="C119" t="s">
        <v>574</v>
      </c>
      <c r="D119" t="s">
        <v>574</v>
      </c>
      <c r="E119" s="111" t="s">
        <v>3</v>
      </c>
      <c r="F119" t="s">
        <v>3</v>
      </c>
      <c r="G119" t="s">
        <v>3</v>
      </c>
      <c r="H119" t="s">
        <v>3</v>
      </c>
      <c r="I119" t="s">
        <v>3</v>
      </c>
      <c r="J119"/>
      <c r="K119" t="s">
        <v>3</v>
      </c>
      <c r="L119"/>
      <c r="M119" t="s">
        <v>3</v>
      </c>
      <c r="N119"/>
      <c r="O119" t="s">
        <v>3</v>
      </c>
      <c r="P119"/>
      <c r="Q119" t="s">
        <v>3</v>
      </c>
      <c r="R119"/>
      <c r="S119" t="s">
        <v>3</v>
      </c>
      <c r="T119" t="s">
        <v>111</v>
      </c>
      <c r="U119" s="109" t="s">
        <v>575</v>
      </c>
    </row>
    <row r="120" spans="1:21">
      <c r="A120" t="s">
        <v>576</v>
      </c>
      <c r="B120" t="s">
        <v>8</v>
      </c>
      <c r="C120" t="s">
        <v>577</v>
      </c>
      <c r="D120" t="s">
        <v>577</v>
      </c>
      <c r="E120" s="111" t="s">
        <v>578</v>
      </c>
      <c r="F120" t="s">
        <v>3</v>
      </c>
      <c r="G120" t="s">
        <v>8</v>
      </c>
      <c r="H120" t="s">
        <v>3</v>
      </c>
      <c r="I120" t="s">
        <v>3</v>
      </c>
      <c r="J120"/>
      <c r="K120" t="s">
        <v>3</v>
      </c>
      <c r="L120"/>
      <c r="M120" t="s">
        <v>3</v>
      </c>
      <c r="N120"/>
      <c r="O120" t="s">
        <v>3</v>
      </c>
      <c r="P120"/>
      <c r="Q120" t="s">
        <v>3</v>
      </c>
      <c r="R120"/>
      <c r="S120" t="s">
        <v>3</v>
      </c>
      <c r="T120" t="s">
        <v>111</v>
      </c>
      <c r="U120" s="109" t="s">
        <v>579</v>
      </c>
    </row>
    <row r="121" spans="1:21">
      <c r="A121" t="s">
        <v>580</v>
      </c>
      <c r="B121" t="s">
        <v>8</v>
      </c>
      <c r="C121" t="s">
        <v>581</v>
      </c>
      <c r="D121" t="s">
        <v>581</v>
      </c>
      <c r="E121" s="111" t="s">
        <v>3</v>
      </c>
      <c r="F121" t="s">
        <v>3</v>
      </c>
      <c r="G121" t="s">
        <v>8</v>
      </c>
      <c r="H121" t="s">
        <v>3</v>
      </c>
      <c r="I121" t="s">
        <v>3</v>
      </c>
      <c r="J121"/>
      <c r="K121" t="s">
        <v>3</v>
      </c>
      <c r="L121"/>
      <c r="M121" t="s">
        <v>3</v>
      </c>
      <c r="N121"/>
      <c r="O121" t="s">
        <v>3</v>
      </c>
      <c r="P121"/>
      <c r="Q121" t="s">
        <v>3</v>
      </c>
      <c r="R121"/>
      <c r="S121" t="s">
        <v>3</v>
      </c>
      <c r="T121" t="s">
        <v>111</v>
      </c>
      <c r="U121" s="109" t="s">
        <v>582</v>
      </c>
    </row>
    <row r="122" spans="1:21">
      <c r="A122" t="s">
        <v>583</v>
      </c>
      <c r="B122" t="s">
        <v>8</v>
      </c>
      <c r="C122" t="s">
        <v>584</v>
      </c>
      <c r="D122" t="s">
        <v>584</v>
      </c>
      <c r="E122" s="111" t="s">
        <v>3</v>
      </c>
      <c r="F122" t="s">
        <v>3</v>
      </c>
      <c r="G122" t="s">
        <v>8</v>
      </c>
      <c r="H122" t="s">
        <v>3</v>
      </c>
      <c r="I122" t="s">
        <v>3</v>
      </c>
      <c r="J122"/>
      <c r="K122" t="s">
        <v>3</v>
      </c>
      <c r="L122"/>
      <c r="M122" t="s">
        <v>3</v>
      </c>
      <c r="N122"/>
      <c r="O122" t="s">
        <v>3</v>
      </c>
      <c r="P122"/>
      <c r="Q122" t="s">
        <v>3</v>
      </c>
      <c r="R122"/>
      <c r="S122" t="s">
        <v>3</v>
      </c>
      <c r="T122" t="s">
        <v>111</v>
      </c>
      <c r="U122" s="109" t="s">
        <v>585</v>
      </c>
    </row>
    <row r="123" spans="1:21">
      <c r="A123" t="s">
        <v>586</v>
      </c>
      <c r="B123" t="s">
        <v>8</v>
      </c>
      <c r="C123" t="s">
        <v>587</v>
      </c>
      <c r="D123" t="s">
        <v>588</v>
      </c>
      <c r="E123" s="111" t="s">
        <v>3</v>
      </c>
      <c r="F123" t="s">
        <v>589</v>
      </c>
      <c r="G123" t="s">
        <v>8</v>
      </c>
      <c r="H123" t="s">
        <v>8</v>
      </c>
      <c r="I123" t="s">
        <v>11</v>
      </c>
      <c r="J123"/>
      <c r="K123" t="s">
        <v>3</v>
      </c>
      <c r="L123"/>
      <c r="M123" t="s">
        <v>3</v>
      </c>
      <c r="N123"/>
      <c r="O123" t="s">
        <v>3</v>
      </c>
      <c r="P123"/>
      <c r="Q123" t="s">
        <v>3</v>
      </c>
      <c r="R123"/>
      <c r="S123" t="s">
        <v>3</v>
      </c>
      <c r="T123" t="s">
        <v>111</v>
      </c>
      <c r="U123" s="109" t="s">
        <v>590</v>
      </c>
    </row>
    <row r="124" spans="1:21">
      <c r="A124" t="s">
        <v>62</v>
      </c>
      <c r="B124" t="s">
        <v>8</v>
      </c>
      <c r="C124" t="s">
        <v>225</v>
      </c>
      <c r="D124" t="s">
        <v>225</v>
      </c>
      <c r="E124" s="111" t="s">
        <v>3</v>
      </c>
      <c r="F124" t="s">
        <v>3</v>
      </c>
      <c r="G124" t="s">
        <v>111</v>
      </c>
      <c r="H124" t="s">
        <v>111</v>
      </c>
      <c r="I124" t="s">
        <v>3</v>
      </c>
      <c r="J124" t="s">
        <v>219</v>
      </c>
      <c r="K124" t="s">
        <v>8</v>
      </c>
      <c r="L124"/>
      <c r="M124" t="s">
        <v>3</v>
      </c>
      <c r="N124"/>
      <c r="O124" t="s">
        <v>3</v>
      </c>
      <c r="P124"/>
      <c r="Q124" t="s">
        <v>3</v>
      </c>
      <c r="R124"/>
      <c r="S124" t="s">
        <v>3</v>
      </c>
      <c r="T124" t="s">
        <v>111</v>
      </c>
      <c r="U124" s="109" t="s">
        <v>591</v>
      </c>
    </row>
    <row r="125" spans="1:21">
      <c r="A125" t="s">
        <v>592</v>
      </c>
      <c r="B125" t="s">
        <v>111</v>
      </c>
      <c r="C125" t="s">
        <v>593</v>
      </c>
      <c r="D125" t="s">
        <v>593</v>
      </c>
      <c r="E125" s="111" t="s">
        <v>3</v>
      </c>
      <c r="F125" t="s">
        <v>3</v>
      </c>
      <c r="G125" t="s">
        <v>111</v>
      </c>
      <c r="H125" t="s">
        <v>111</v>
      </c>
      <c r="I125" t="s">
        <v>3</v>
      </c>
      <c r="J125" t="s">
        <v>594</v>
      </c>
      <c r="K125" t="s">
        <v>3</v>
      </c>
      <c r="L125"/>
      <c r="M125" t="s">
        <v>3</v>
      </c>
      <c r="N125"/>
      <c r="O125" t="s">
        <v>3</v>
      </c>
      <c r="P125"/>
      <c r="Q125" t="s">
        <v>3</v>
      </c>
      <c r="R125"/>
      <c r="S125" t="s">
        <v>3</v>
      </c>
      <c r="T125" t="s">
        <v>111</v>
      </c>
      <c r="U125" s="109" t="s">
        <v>595</v>
      </c>
    </row>
    <row r="126" spans="1:21">
      <c r="A126" t="s">
        <v>596</v>
      </c>
      <c r="B126" t="s">
        <v>111</v>
      </c>
      <c r="C126" t="s">
        <v>597</v>
      </c>
      <c r="D126" t="s">
        <v>597</v>
      </c>
      <c r="E126" s="111" t="s">
        <v>3</v>
      </c>
      <c r="F126" t="s">
        <v>3</v>
      </c>
      <c r="G126" t="s">
        <v>111</v>
      </c>
      <c r="H126" t="s">
        <v>111</v>
      </c>
      <c r="I126" t="s">
        <v>3</v>
      </c>
      <c r="J126" t="s">
        <v>598</v>
      </c>
      <c r="K126" t="s">
        <v>3</v>
      </c>
      <c r="L126"/>
      <c r="M126" t="s">
        <v>3</v>
      </c>
      <c r="N126"/>
      <c r="O126" t="s">
        <v>3</v>
      </c>
      <c r="P126"/>
      <c r="Q126" t="s">
        <v>3</v>
      </c>
      <c r="R126"/>
      <c r="S126" t="s">
        <v>3</v>
      </c>
      <c r="T126" t="s">
        <v>111</v>
      </c>
      <c r="U126" s="109" t="s">
        <v>599</v>
      </c>
    </row>
    <row r="127" spans="1:21">
      <c r="A127" t="s">
        <v>600</v>
      </c>
      <c r="B127" t="s">
        <v>111</v>
      </c>
      <c r="C127" t="s">
        <v>601</v>
      </c>
      <c r="D127" t="s">
        <v>601</v>
      </c>
      <c r="E127" s="111" t="s">
        <v>3</v>
      </c>
      <c r="F127" t="s">
        <v>3</v>
      </c>
      <c r="G127" t="s">
        <v>111</v>
      </c>
      <c r="H127" t="s">
        <v>111</v>
      </c>
      <c r="I127" t="s">
        <v>3</v>
      </c>
      <c r="J127" t="s">
        <v>601</v>
      </c>
      <c r="K127" t="s">
        <v>3</v>
      </c>
      <c r="L127"/>
      <c r="M127" t="s">
        <v>3</v>
      </c>
      <c r="N127"/>
      <c r="O127" t="s">
        <v>3</v>
      </c>
      <c r="P127"/>
      <c r="Q127" t="s">
        <v>3</v>
      </c>
      <c r="R127"/>
      <c r="S127" t="s">
        <v>3</v>
      </c>
      <c r="T127" t="s">
        <v>111</v>
      </c>
      <c r="U127" s="109" t="s">
        <v>602</v>
      </c>
    </row>
    <row r="128" spans="1:21">
      <c r="A128" t="s">
        <v>603</v>
      </c>
      <c r="B128" t="s">
        <v>111</v>
      </c>
      <c r="C128" t="s">
        <v>604</v>
      </c>
      <c r="D128" t="s">
        <v>604</v>
      </c>
      <c r="E128" s="111" t="s">
        <v>3</v>
      </c>
      <c r="F128" t="s">
        <v>3</v>
      </c>
      <c r="G128" t="s">
        <v>111</v>
      </c>
      <c r="H128" t="s">
        <v>111</v>
      </c>
      <c r="I128" t="s">
        <v>3</v>
      </c>
      <c r="J128" t="s">
        <v>604</v>
      </c>
      <c r="K128" t="s">
        <v>3</v>
      </c>
      <c r="L128"/>
      <c r="M128" t="s">
        <v>3</v>
      </c>
      <c r="N128"/>
      <c r="O128" t="s">
        <v>3</v>
      </c>
      <c r="P128"/>
      <c r="Q128" t="s">
        <v>3</v>
      </c>
      <c r="R128"/>
      <c r="S128" t="s">
        <v>3</v>
      </c>
      <c r="T128" t="s">
        <v>111</v>
      </c>
      <c r="U128" s="109" t="s">
        <v>605</v>
      </c>
    </row>
    <row r="129" spans="1:21">
      <c r="A129" t="s">
        <v>606</v>
      </c>
      <c r="B129" t="s">
        <v>111</v>
      </c>
      <c r="C129" t="s">
        <v>607</v>
      </c>
      <c r="D129" t="s">
        <v>607</v>
      </c>
      <c r="E129" s="111" t="s">
        <v>3</v>
      </c>
      <c r="F129" t="s">
        <v>3</v>
      </c>
      <c r="G129" t="s">
        <v>111</v>
      </c>
      <c r="H129" t="s">
        <v>111</v>
      </c>
      <c r="I129" t="s">
        <v>3</v>
      </c>
      <c r="J129" t="s">
        <v>607</v>
      </c>
      <c r="K129" t="s">
        <v>3</v>
      </c>
      <c r="L129"/>
      <c r="M129" t="s">
        <v>3</v>
      </c>
      <c r="N129"/>
      <c r="O129" t="s">
        <v>3</v>
      </c>
      <c r="P129"/>
      <c r="Q129" t="s">
        <v>3</v>
      </c>
      <c r="R129"/>
      <c r="S129" t="s">
        <v>3</v>
      </c>
      <c r="T129" t="s">
        <v>111</v>
      </c>
      <c r="U129" s="109" t="s">
        <v>608</v>
      </c>
    </row>
    <row r="130" spans="1:21">
      <c r="A130" t="s">
        <v>65</v>
      </c>
      <c r="B130" t="s">
        <v>111</v>
      </c>
      <c r="C130" t="s">
        <v>609</v>
      </c>
      <c r="D130" t="s">
        <v>609</v>
      </c>
      <c r="E130" s="111" t="s">
        <v>3</v>
      </c>
      <c r="F130" t="s">
        <v>3</v>
      </c>
      <c r="G130" t="s">
        <v>111</v>
      </c>
      <c r="H130" t="s">
        <v>111</v>
      </c>
      <c r="I130" t="s">
        <v>3</v>
      </c>
      <c r="J130" t="s">
        <v>610</v>
      </c>
      <c r="K130" t="s">
        <v>3</v>
      </c>
      <c r="L130"/>
      <c r="M130" t="s">
        <v>3</v>
      </c>
      <c r="N130"/>
      <c r="O130" t="s">
        <v>3</v>
      </c>
      <c r="P130"/>
      <c r="Q130" t="s">
        <v>3</v>
      </c>
      <c r="R130"/>
      <c r="S130" t="s">
        <v>3</v>
      </c>
      <c r="T130" t="s">
        <v>111</v>
      </c>
      <c r="U130" s="109" t="s">
        <v>611</v>
      </c>
    </row>
    <row r="131" spans="1:21">
      <c r="A131" t="s">
        <v>66</v>
      </c>
      <c r="B131" t="s">
        <v>111</v>
      </c>
      <c r="C131" t="s">
        <v>612</v>
      </c>
      <c r="D131" t="s">
        <v>612</v>
      </c>
      <c r="E131" s="111" t="s">
        <v>3</v>
      </c>
      <c r="F131" t="s">
        <v>3</v>
      </c>
      <c r="G131" t="s">
        <v>111</v>
      </c>
      <c r="H131" t="s">
        <v>111</v>
      </c>
      <c r="I131" t="s">
        <v>3</v>
      </c>
      <c r="J131" t="s">
        <v>610</v>
      </c>
      <c r="K131" t="s">
        <v>3</v>
      </c>
      <c r="L131"/>
      <c r="M131" t="s">
        <v>3</v>
      </c>
      <c r="N131"/>
      <c r="O131" t="s">
        <v>3</v>
      </c>
      <c r="P131"/>
      <c r="Q131" t="s">
        <v>3</v>
      </c>
      <c r="R131"/>
      <c r="S131" t="s">
        <v>3</v>
      </c>
      <c r="T131" t="s">
        <v>111</v>
      </c>
      <c r="U131" s="109" t="s">
        <v>613</v>
      </c>
    </row>
    <row r="132" spans="1:21">
      <c r="A132" t="s">
        <v>614</v>
      </c>
      <c r="B132" t="s">
        <v>111</v>
      </c>
      <c r="C132" t="s">
        <v>615</v>
      </c>
      <c r="D132" t="s">
        <v>615</v>
      </c>
      <c r="E132" s="111" t="s">
        <v>3</v>
      </c>
      <c r="F132" t="s">
        <v>3</v>
      </c>
      <c r="G132" t="s">
        <v>111</v>
      </c>
      <c r="H132" t="s">
        <v>111</v>
      </c>
      <c r="I132" t="s">
        <v>3</v>
      </c>
      <c r="J132" t="s">
        <v>610</v>
      </c>
      <c r="K132" t="s">
        <v>3</v>
      </c>
      <c r="L132"/>
      <c r="M132" t="s">
        <v>3</v>
      </c>
      <c r="N132"/>
      <c r="O132" t="s">
        <v>3</v>
      </c>
      <c r="P132"/>
      <c r="Q132" t="s">
        <v>3</v>
      </c>
      <c r="R132"/>
      <c r="S132" t="s">
        <v>3</v>
      </c>
      <c r="T132" t="s">
        <v>111</v>
      </c>
      <c r="U132" s="109" t="s">
        <v>616</v>
      </c>
    </row>
    <row r="133" spans="1:21">
      <c r="A133" t="s">
        <v>617</v>
      </c>
      <c r="B133" t="s">
        <v>111</v>
      </c>
      <c r="C133" t="s">
        <v>618</v>
      </c>
      <c r="D133" t="s">
        <v>618</v>
      </c>
      <c r="E133" s="111" t="s">
        <v>3</v>
      </c>
      <c r="F133" t="s">
        <v>3</v>
      </c>
      <c r="G133" t="s">
        <v>111</v>
      </c>
      <c r="H133" t="s">
        <v>111</v>
      </c>
      <c r="I133" t="s">
        <v>3</v>
      </c>
      <c r="J133" t="s">
        <v>610</v>
      </c>
      <c r="K133" t="s">
        <v>3</v>
      </c>
      <c r="L133"/>
      <c r="M133" t="s">
        <v>3</v>
      </c>
      <c r="N133"/>
      <c r="O133" t="s">
        <v>3</v>
      </c>
      <c r="P133"/>
      <c r="Q133" t="s">
        <v>3</v>
      </c>
      <c r="R133"/>
      <c r="S133" t="s">
        <v>3</v>
      </c>
      <c r="T133" t="s">
        <v>111</v>
      </c>
      <c r="U133" s="109" t="s">
        <v>619</v>
      </c>
    </row>
    <row r="134" spans="1:21">
      <c r="A134" t="s">
        <v>620</v>
      </c>
      <c r="B134" t="s">
        <v>111</v>
      </c>
      <c r="C134" t="s">
        <v>621</v>
      </c>
      <c r="D134" t="s">
        <v>621</v>
      </c>
      <c r="E134" s="111" t="s">
        <v>3</v>
      </c>
      <c r="F134" t="s">
        <v>3</v>
      </c>
      <c r="G134" t="s">
        <v>111</v>
      </c>
      <c r="H134" t="s">
        <v>111</v>
      </c>
      <c r="I134" t="s">
        <v>3</v>
      </c>
      <c r="J134" t="s">
        <v>610</v>
      </c>
      <c r="K134" t="s">
        <v>3</v>
      </c>
      <c r="L134"/>
      <c r="M134" t="s">
        <v>3</v>
      </c>
      <c r="N134"/>
      <c r="O134" t="s">
        <v>3</v>
      </c>
      <c r="P134"/>
      <c r="Q134" t="s">
        <v>3</v>
      </c>
      <c r="R134"/>
      <c r="S134" t="s">
        <v>3</v>
      </c>
      <c r="T134" t="s">
        <v>111</v>
      </c>
      <c r="U134" s="109" t="s">
        <v>622</v>
      </c>
    </row>
    <row r="135" spans="1:21">
      <c r="A135" t="s">
        <v>623</v>
      </c>
      <c r="B135" t="s">
        <v>111</v>
      </c>
      <c r="C135" t="s">
        <v>624</v>
      </c>
      <c r="D135" t="s">
        <v>624</v>
      </c>
      <c r="E135" s="111" t="s">
        <v>3</v>
      </c>
      <c r="F135" t="s">
        <v>3</v>
      </c>
      <c r="G135" t="s">
        <v>111</v>
      </c>
      <c r="H135" t="s">
        <v>111</v>
      </c>
      <c r="I135" t="s">
        <v>3</v>
      </c>
      <c r="J135" t="s">
        <v>610</v>
      </c>
      <c r="K135" t="s">
        <v>3</v>
      </c>
      <c r="L135"/>
      <c r="M135" t="s">
        <v>3</v>
      </c>
      <c r="N135"/>
      <c r="O135" t="s">
        <v>3</v>
      </c>
      <c r="P135"/>
      <c r="Q135" t="s">
        <v>3</v>
      </c>
      <c r="R135"/>
      <c r="S135" t="s">
        <v>3</v>
      </c>
      <c r="T135" t="s">
        <v>111</v>
      </c>
      <c r="U135" s="109" t="s">
        <v>625</v>
      </c>
    </row>
    <row r="136" spans="1:21">
      <c r="A136" t="s">
        <v>626</v>
      </c>
      <c r="B136" t="s">
        <v>111</v>
      </c>
      <c r="C136" t="s">
        <v>627</v>
      </c>
      <c r="D136" t="s">
        <v>628</v>
      </c>
      <c r="E136" s="111" t="s">
        <v>3</v>
      </c>
      <c r="F136" t="s">
        <v>3</v>
      </c>
      <c r="G136" t="s">
        <v>111</v>
      </c>
      <c r="H136" t="s">
        <v>111</v>
      </c>
      <c r="I136" t="s">
        <v>3</v>
      </c>
      <c r="J136" t="s">
        <v>610</v>
      </c>
      <c r="K136" t="s">
        <v>3</v>
      </c>
      <c r="L136"/>
      <c r="M136" t="s">
        <v>3</v>
      </c>
      <c r="N136"/>
      <c r="O136" t="s">
        <v>3</v>
      </c>
      <c r="P136"/>
      <c r="Q136" t="s">
        <v>3</v>
      </c>
      <c r="R136"/>
      <c r="S136" t="s">
        <v>3</v>
      </c>
      <c r="T136" t="s">
        <v>111</v>
      </c>
      <c r="U136" s="109" t="s">
        <v>629</v>
      </c>
    </row>
    <row r="137" spans="1:21">
      <c r="A137" t="s">
        <v>630</v>
      </c>
      <c r="B137" t="s">
        <v>111</v>
      </c>
      <c r="C137" t="s">
        <v>631</v>
      </c>
      <c r="D137" t="s">
        <v>631</v>
      </c>
      <c r="E137" s="111" t="s">
        <v>3</v>
      </c>
      <c r="F137" t="s">
        <v>3</v>
      </c>
      <c r="G137" t="s">
        <v>111</v>
      </c>
      <c r="H137" t="s">
        <v>111</v>
      </c>
      <c r="I137" t="s">
        <v>3</v>
      </c>
      <c r="J137" t="s">
        <v>631</v>
      </c>
      <c r="K137" t="s">
        <v>3</v>
      </c>
      <c r="L137"/>
      <c r="M137" t="s">
        <v>3</v>
      </c>
      <c r="N137"/>
      <c r="O137" t="s">
        <v>3</v>
      </c>
      <c r="P137"/>
      <c r="Q137" t="s">
        <v>3</v>
      </c>
      <c r="R137"/>
      <c r="S137" t="s">
        <v>3</v>
      </c>
      <c r="T137" t="s">
        <v>111</v>
      </c>
      <c r="U137" s="109" t="s">
        <v>632</v>
      </c>
    </row>
    <row r="138" spans="1:21">
      <c r="A138" t="s">
        <v>633</v>
      </c>
      <c r="B138" t="s">
        <v>111</v>
      </c>
      <c r="C138" t="s">
        <v>543</v>
      </c>
      <c r="D138" t="s">
        <v>543</v>
      </c>
      <c r="E138" s="111" t="s">
        <v>3</v>
      </c>
      <c r="F138" t="s">
        <v>3</v>
      </c>
      <c r="G138" t="s">
        <v>111</v>
      </c>
      <c r="H138" t="s">
        <v>111</v>
      </c>
      <c r="I138" t="s">
        <v>3</v>
      </c>
      <c r="J138" t="s">
        <v>543</v>
      </c>
      <c r="K138" t="s">
        <v>3</v>
      </c>
      <c r="L138"/>
      <c r="M138" t="s">
        <v>3</v>
      </c>
      <c r="N138"/>
      <c r="O138" t="s">
        <v>3</v>
      </c>
      <c r="P138"/>
      <c r="Q138" t="s">
        <v>3</v>
      </c>
      <c r="R138"/>
      <c r="S138" t="s">
        <v>3</v>
      </c>
      <c r="T138" t="s">
        <v>111</v>
      </c>
      <c r="U138" s="109" t="s">
        <v>634</v>
      </c>
    </row>
    <row r="139" spans="1:21">
      <c r="A139" t="s">
        <v>635</v>
      </c>
      <c r="B139" t="s">
        <v>111</v>
      </c>
      <c r="C139" t="s">
        <v>636</v>
      </c>
      <c r="D139" t="s">
        <v>636</v>
      </c>
      <c r="E139" s="111" t="s">
        <v>3</v>
      </c>
      <c r="F139" t="s">
        <v>3</v>
      </c>
      <c r="G139" t="s">
        <v>111</v>
      </c>
      <c r="H139" t="s">
        <v>111</v>
      </c>
      <c r="I139" t="s">
        <v>3</v>
      </c>
      <c r="J139" t="s">
        <v>636</v>
      </c>
      <c r="K139" t="s">
        <v>3</v>
      </c>
      <c r="L139"/>
      <c r="M139" t="s">
        <v>3</v>
      </c>
      <c r="N139"/>
      <c r="O139" t="s">
        <v>3</v>
      </c>
      <c r="P139"/>
      <c r="Q139" t="s">
        <v>3</v>
      </c>
      <c r="R139"/>
      <c r="S139" t="s">
        <v>3</v>
      </c>
      <c r="T139" t="s">
        <v>111</v>
      </c>
      <c r="U139" s="109" t="s">
        <v>637</v>
      </c>
    </row>
    <row r="140" spans="1:21">
      <c r="A140" t="s">
        <v>638</v>
      </c>
      <c r="B140" t="s">
        <v>111</v>
      </c>
      <c r="C140" t="s">
        <v>639</v>
      </c>
      <c r="D140" t="s">
        <v>639</v>
      </c>
      <c r="E140" s="111" t="s">
        <v>3</v>
      </c>
      <c r="F140" t="s">
        <v>3</v>
      </c>
      <c r="G140" t="s">
        <v>111</v>
      </c>
      <c r="H140" t="s">
        <v>111</v>
      </c>
      <c r="I140" t="s">
        <v>3</v>
      </c>
      <c r="J140" t="s">
        <v>639</v>
      </c>
      <c r="K140" t="s">
        <v>3</v>
      </c>
      <c r="L140"/>
      <c r="M140" t="s">
        <v>3</v>
      </c>
      <c r="N140"/>
      <c r="O140" t="s">
        <v>3</v>
      </c>
      <c r="P140"/>
      <c r="Q140" t="s">
        <v>3</v>
      </c>
      <c r="R140"/>
      <c r="S140" t="s">
        <v>3</v>
      </c>
      <c r="T140" t="s">
        <v>111</v>
      </c>
      <c r="U140" s="109" t="s">
        <v>640</v>
      </c>
    </row>
    <row r="141" spans="1:21">
      <c r="A141" t="s">
        <v>641</v>
      </c>
      <c r="B141" t="s">
        <v>111</v>
      </c>
      <c r="C141" t="s">
        <v>642</v>
      </c>
      <c r="D141" t="s">
        <v>643</v>
      </c>
      <c r="E141" s="111" t="s">
        <v>3</v>
      </c>
      <c r="F141" t="s">
        <v>3</v>
      </c>
      <c r="G141" t="s">
        <v>111</v>
      </c>
      <c r="H141" t="s">
        <v>111</v>
      </c>
      <c r="I141" t="s">
        <v>3</v>
      </c>
      <c r="J141" t="s">
        <v>643</v>
      </c>
      <c r="K141" t="s">
        <v>3</v>
      </c>
      <c r="L141"/>
      <c r="M141" t="s">
        <v>3</v>
      </c>
      <c r="N141"/>
      <c r="O141" t="s">
        <v>3</v>
      </c>
      <c r="P141"/>
      <c r="Q141" t="s">
        <v>3</v>
      </c>
      <c r="R141"/>
      <c r="S141" t="s">
        <v>3</v>
      </c>
      <c r="T141" t="s">
        <v>111</v>
      </c>
      <c r="U141" s="109" t="s">
        <v>644</v>
      </c>
    </row>
    <row r="142" spans="1:21">
      <c r="A142" t="s">
        <v>645</v>
      </c>
      <c r="B142" t="s">
        <v>111</v>
      </c>
      <c r="C142" t="s">
        <v>642</v>
      </c>
      <c r="D142" t="s">
        <v>646</v>
      </c>
      <c r="E142" s="111" t="s">
        <v>3</v>
      </c>
      <c r="F142" t="s">
        <v>3</v>
      </c>
      <c r="G142" t="s">
        <v>111</v>
      </c>
      <c r="H142" t="s">
        <v>111</v>
      </c>
      <c r="I142" t="s">
        <v>3</v>
      </c>
      <c r="J142" t="s">
        <v>646</v>
      </c>
      <c r="K142" t="s">
        <v>3</v>
      </c>
      <c r="L142"/>
      <c r="M142" t="s">
        <v>3</v>
      </c>
      <c r="N142"/>
      <c r="O142" t="s">
        <v>3</v>
      </c>
      <c r="P142"/>
      <c r="Q142" t="s">
        <v>3</v>
      </c>
      <c r="R142"/>
      <c r="S142" t="s">
        <v>3</v>
      </c>
      <c r="T142" t="s">
        <v>111</v>
      </c>
      <c r="U142" s="109" t="s">
        <v>647</v>
      </c>
    </row>
    <row r="143" spans="1:21">
      <c r="A143" t="s">
        <v>648</v>
      </c>
      <c r="B143" t="s">
        <v>111</v>
      </c>
      <c r="C143" t="s">
        <v>649</v>
      </c>
      <c r="D143" t="s">
        <v>649</v>
      </c>
      <c r="E143" s="111" t="s">
        <v>3</v>
      </c>
      <c r="F143" t="s">
        <v>3</v>
      </c>
      <c r="G143" t="s">
        <v>111</v>
      </c>
      <c r="H143" t="s">
        <v>111</v>
      </c>
      <c r="I143" t="s">
        <v>3</v>
      </c>
      <c r="J143" t="s">
        <v>650</v>
      </c>
      <c r="K143" t="s">
        <v>3</v>
      </c>
      <c r="L143"/>
      <c r="M143" t="s">
        <v>3</v>
      </c>
      <c r="N143"/>
      <c r="O143" t="s">
        <v>3</v>
      </c>
      <c r="P143"/>
      <c r="Q143" t="s">
        <v>3</v>
      </c>
      <c r="R143"/>
      <c r="S143" t="s">
        <v>3</v>
      </c>
      <c r="T143" t="s">
        <v>111</v>
      </c>
      <c r="U143" s="109" t="s">
        <v>651</v>
      </c>
    </row>
    <row r="144" spans="1:21">
      <c r="A144" t="s">
        <v>652</v>
      </c>
      <c r="B144" t="s">
        <v>111</v>
      </c>
      <c r="C144" t="s">
        <v>232</v>
      </c>
      <c r="D144" t="s">
        <v>232</v>
      </c>
      <c r="E144" s="111" t="s">
        <v>3</v>
      </c>
      <c r="F144" t="s">
        <v>3</v>
      </c>
      <c r="G144" t="s">
        <v>111</v>
      </c>
      <c r="H144" t="s">
        <v>111</v>
      </c>
      <c r="I144" t="s">
        <v>3</v>
      </c>
      <c r="J144" t="s">
        <v>232</v>
      </c>
      <c r="K144" t="s">
        <v>3</v>
      </c>
      <c r="L144"/>
      <c r="M144" t="s">
        <v>3</v>
      </c>
      <c r="N144"/>
      <c r="O144" t="s">
        <v>3</v>
      </c>
      <c r="P144"/>
      <c r="Q144" t="s">
        <v>3</v>
      </c>
      <c r="R144"/>
      <c r="S144" t="s">
        <v>3</v>
      </c>
      <c r="T144" t="s">
        <v>111</v>
      </c>
      <c r="U144" s="109" t="s">
        <v>653</v>
      </c>
    </row>
    <row r="145" spans="1:21">
      <c r="A145" t="s">
        <v>654</v>
      </c>
      <c r="B145" t="s">
        <v>111</v>
      </c>
      <c r="C145" t="s">
        <v>323</v>
      </c>
      <c r="D145" t="s">
        <v>323</v>
      </c>
      <c r="E145" s="111" t="s">
        <v>3</v>
      </c>
      <c r="F145" t="s">
        <v>3</v>
      </c>
      <c r="G145" t="s">
        <v>111</v>
      </c>
      <c r="H145" t="s">
        <v>111</v>
      </c>
      <c r="I145" t="s">
        <v>3</v>
      </c>
      <c r="J145" t="s">
        <v>323</v>
      </c>
      <c r="K145" t="s">
        <v>3</v>
      </c>
      <c r="L145"/>
      <c r="M145" t="s">
        <v>3</v>
      </c>
      <c r="N145"/>
      <c r="O145" t="s">
        <v>3</v>
      </c>
      <c r="P145"/>
      <c r="Q145" t="s">
        <v>3</v>
      </c>
      <c r="R145"/>
      <c r="S145" t="s">
        <v>3</v>
      </c>
      <c r="T145" t="s">
        <v>111</v>
      </c>
      <c r="U145" s="109" t="s">
        <v>655</v>
      </c>
    </row>
    <row r="146" spans="1:21">
      <c r="A146" t="s">
        <v>656</v>
      </c>
      <c r="B146" t="s">
        <v>111</v>
      </c>
      <c r="C146" t="s">
        <v>657</v>
      </c>
      <c r="D146" t="s">
        <v>657</v>
      </c>
      <c r="E146" s="111" t="s">
        <v>3</v>
      </c>
      <c r="F146" t="s">
        <v>3</v>
      </c>
      <c r="G146" t="s">
        <v>111</v>
      </c>
      <c r="H146" t="s">
        <v>111</v>
      </c>
      <c r="I146" t="s">
        <v>3</v>
      </c>
      <c r="J146" t="s">
        <v>657</v>
      </c>
      <c r="K146" t="s">
        <v>3</v>
      </c>
      <c r="L146"/>
      <c r="M146" t="s">
        <v>3</v>
      </c>
      <c r="N146"/>
      <c r="O146" t="s">
        <v>3</v>
      </c>
      <c r="P146"/>
      <c r="Q146" t="s">
        <v>3</v>
      </c>
      <c r="R146"/>
      <c r="S146" t="s">
        <v>3</v>
      </c>
      <c r="T146" t="s">
        <v>111</v>
      </c>
      <c r="U146" s="109" t="s">
        <v>658</v>
      </c>
    </row>
    <row r="147" spans="1:21">
      <c r="A147" t="s">
        <v>659</v>
      </c>
      <c r="B147" t="s">
        <v>111</v>
      </c>
      <c r="C147" t="s">
        <v>660</v>
      </c>
      <c r="D147" t="s">
        <v>660</v>
      </c>
      <c r="E147" s="111" t="s">
        <v>3</v>
      </c>
      <c r="F147" t="s">
        <v>3</v>
      </c>
      <c r="G147" t="s">
        <v>111</v>
      </c>
      <c r="H147" t="s">
        <v>111</v>
      </c>
      <c r="I147" t="s">
        <v>3</v>
      </c>
      <c r="J147" t="s">
        <v>661</v>
      </c>
      <c r="K147" t="s">
        <v>3</v>
      </c>
      <c r="L147"/>
      <c r="M147" t="s">
        <v>3</v>
      </c>
      <c r="N147"/>
      <c r="O147" t="s">
        <v>3</v>
      </c>
      <c r="P147"/>
      <c r="Q147" t="s">
        <v>3</v>
      </c>
      <c r="R147"/>
      <c r="S147" t="s">
        <v>3</v>
      </c>
      <c r="T147" t="s">
        <v>111</v>
      </c>
      <c r="U147" s="109" t="s">
        <v>662</v>
      </c>
    </row>
    <row r="148" spans="1:21">
      <c r="A148" t="s">
        <v>663</v>
      </c>
      <c r="B148" t="s">
        <v>111</v>
      </c>
      <c r="C148" t="s">
        <v>326</v>
      </c>
      <c r="D148" t="s">
        <v>326</v>
      </c>
      <c r="E148" s="111" t="s">
        <v>3</v>
      </c>
      <c r="F148" t="s">
        <v>3</v>
      </c>
      <c r="G148" t="s">
        <v>111</v>
      </c>
      <c r="H148" t="s">
        <v>111</v>
      </c>
      <c r="I148" t="s">
        <v>3</v>
      </c>
      <c r="J148" t="s">
        <v>326</v>
      </c>
      <c r="K148" t="s">
        <v>3</v>
      </c>
      <c r="L148" t="s">
        <v>328</v>
      </c>
      <c r="M148" t="s">
        <v>3</v>
      </c>
      <c r="N148"/>
      <c r="O148" t="s">
        <v>3</v>
      </c>
      <c r="P148"/>
      <c r="Q148" t="s">
        <v>3</v>
      </c>
      <c r="R148"/>
      <c r="S148" t="s">
        <v>3</v>
      </c>
      <c r="T148" t="s">
        <v>111</v>
      </c>
      <c r="U148" s="109" t="s">
        <v>664</v>
      </c>
    </row>
    <row r="149" spans="1:21">
      <c r="A149" t="s">
        <v>665</v>
      </c>
      <c r="B149" t="s">
        <v>111</v>
      </c>
      <c r="C149"/>
      <c r="D149" t="s">
        <v>666</v>
      </c>
      <c r="E149" s="111" t="s">
        <v>3</v>
      </c>
      <c r="F149" t="s">
        <v>3</v>
      </c>
      <c r="G149" t="s">
        <v>111</v>
      </c>
      <c r="H149" t="s">
        <v>111</v>
      </c>
      <c r="I149" t="s">
        <v>3</v>
      </c>
      <c r="J149" t="s">
        <v>667</v>
      </c>
      <c r="K149" t="s">
        <v>3</v>
      </c>
      <c r="L149"/>
      <c r="M149" t="s">
        <v>3</v>
      </c>
      <c r="N149"/>
      <c r="O149" t="s">
        <v>3</v>
      </c>
      <c r="P149"/>
      <c r="Q149" t="s">
        <v>3</v>
      </c>
      <c r="R149"/>
      <c r="S149" t="s">
        <v>3</v>
      </c>
      <c r="T149" t="s">
        <v>111</v>
      </c>
      <c r="U149" s="109" t="s">
        <v>668</v>
      </c>
    </row>
    <row r="150" spans="1:21">
      <c r="A150" t="s">
        <v>669</v>
      </c>
      <c r="B150" t="s">
        <v>111</v>
      </c>
      <c r="C150" t="s">
        <v>670</v>
      </c>
      <c r="D150" t="s">
        <v>670</v>
      </c>
      <c r="E150" s="111" t="s">
        <v>3</v>
      </c>
      <c r="F150" t="s">
        <v>3</v>
      </c>
      <c r="G150" t="s">
        <v>111</v>
      </c>
      <c r="H150" t="s">
        <v>111</v>
      </c>
      <c r="I150" t="s">
        <v>3</v>
      </c>
      <c r="J150" t="s">
        <v>670</v>
      </c>
      <c r="K150" t="s">
        <v>3</v>
      </c>
      <c r="L150"/>
      <c r="M150" t="s">
        <v>3</v>
      </c>
      <c r="N150"/>
      <c r="O150" t="s">
        <v>3</v>
      </c>
      <c r="P150"/>
      <c r="Q150" t="s">
        <v>3</v>
      </c>
      <c r="R150"/>
      <c r="S150" t="s">
        <v>3</v>
      </c>
      <c r="T150" t="s">
        <v>111</v>
      </c>
      <c r="U150" s="109" t="s">
        <v>671</v>
      </c>
    </row>
    <row r="151" spans="1:21">
      <c r="A151" t="s">
        <v>672</v>
      </c>
      <c r="B151" t="s">
        <v>8</v>
      </c>
      <c r="C151" t="s">
        <v>673</v>
      </c>
      <c r="D151" t="s">
        <v>673</v>
      </c>
      <c r="E151" s="111" t="s">
        <v>3</v>
      </c>
      <c r="F151" t="s">
        <v>3</v>
      </c>
      <c r="G151" t="s">
        <v>67</v>
      </c>
      <c r="H151" t="s">
        <v>111</v>
      </c>
      <c r="I151" t="s">
        <v>3</v>
      </c>
      <c r="J151" t="s">
        <v>674</v>
      </c>
      <c r="K151" t="s">
        <v>3</v>
      </c>
      <c r="L151"/>
      <c r="M151" t="s">
        <v>3</v>
      </c>
      <c r="N151"/>
      <c r="O151" t="s">
        <v>3</v>
      </c>
      <c r="P151"/>
      <c r="Q151" t="s">
        <v>3</v>
      </c>
      <c r="R151"/>
      <c r="S151" t="s">
        <v>3</v>
      </c>
      <c r="T151" t="s">
        <v>111</v>
      </c>
      <c r="U151" s="109" t="s">
        <v>675</v>
      </c>
    </row>
    <row r="152" spans="1:21">
      <c r="A152" t="s">
        <v>676</v>
      </c>
      <c r="B152" t="s">
        <v>8</v>
      </c>
      <c r="C152" t="s">
        <v>677</v>
      </c>
      <c r="D152" t="s">
        <v>677</v>
      </c>
      <c r="E152" s="111" t="s">
        <v>3</v>
      </c>
      <c r="F152" t="s">
        <v>3</v>
      </c>
      <c r="G152" t="s">
        <v>67</v>
      </c>
      <c r="H152" t="s">
        <v>111</v>
      </c>
      <c r="I152" t="s">
        <v>3</v>
      </c>
      <c r="J152" t="s">
        <v>678</v>
      </c>
      <c r="K152" t="s">
        <v>3</v>
      </c>
      <c r="L152"/>
      <c r="M152" t="s">
        <v>3</v>
      </c>
      <c r="N152"/>
      <c r="O152" t="s">
        <v>3</v>
      </c>
      <c r="P152"/>
      <c r="Q152" t="s">
        <v>3</v>
      </c>
      <c r="R152"/>
      <c r="S152" t="s">
        <v>3</v>
      </c>
      <c r="T152" t="s">
        <v>111</v>
      </c>
      <c r="U152" s="109" t="s">
        <v>679</v>
      </c>
    </row>
    <row r="153" spans="1:21">
      <c r="A153" t="s">
        <v>680</v>
      </c>
      <c r="B153" t="s">
        <v>8</v>
      </c>
      <c r="C153" t="s">
        <v>681</v>
      </c>
      <c r="D153" t="s">
        <v>681</v>
      </c>
      <c r="E153" s="111" t="s">
        <v>3</v>
      </c>
      <c r="F153" t="s">
        <v>3</v>
      </c>
      <c r="G153" t="s">
        <v>67</v>
      </c>
      <c r="H153" t="s">
        <v>111</v>
      </c>
      <c r="I153" t="s">
        <v>3</v>
      </c>
      <c r="J153" t="s">
        <v>682</v>
      </c>
      <c r="K153" t="s">
        <v>3</v>
      </c>
      <c r="L153"/>
      <c r="M153" t="s">
        <v>3</v>
      </c>
      <c r="N153"/>
      <c r="O153" t="s">
        <v>3</v>
      </c>
      <c r="P153"/>
      <c r="Q153" t="s">
        <v>3</v>
      </c>
      <c r="R153"/>
      <c r="S153" t="s">
        <v>3</v>
      </c>
      <c r="T153" t="s">
        <v>111</v>
      </c>
      <c r="U153" s="109" t="s">
        <v>683</v>
      </c>
    </row>
    <row r="154" spans="1:21">
      <c r="A154" t="s">
        <v>684</v>
      </c>
      <c r="B154" t="s">
        <v>8</v>
      </c>
      <c r="C154" t="s">
        <v>685</v>
      </c>
      <c r="D154" t="s">
        <v>685</v>
      </c>
      <c r="E154" s="111" t="s">
        <v>3</v>
      </c>
      <c r="F154" t="s">
        <v>3</v>
      </c>
      <c r="G154" t="s">
        <v>67</v>
      </c>
      <c r="H154" t="s">
        <v>111</v>
      </c>
      <c r="I154" t="s">
        <v>3</v>
      </c>
      <c r="J154" t="s">
        <v>686</v>
      </c>
      <c r="K154" t="s">
        <v>3</v>
      </c>
      <c r="L154"/>
      <c r="M154" t="s">
        <v>3</v>
      </c>
      <c r="N154"/>
      <c r="O154" t="s">
        <v>3</v>
      </c>
      <c r="P154"/>
      <c r="Q154" t="s">
        <v>3</v>
      </c>
      <c r="R154"/>
      <c r="S154" t="s">
        <v>3</v>
      </c>
      <c r="T154" t="s">
        <v>111</v>
      </c>
      <c r="U154" s="109" t="s">
        <v>687</v>
      </c>
    </row>
    <row r="155" spans="1:21">
      <c r="A155" t="s">
        <v>688</v>
      </c>
      <c r="B155" t="s">
        <v>8</v>
      </c>
      <c r="C155" t="s">
        <v>689</v>
      </c>
      <c r="D155" t="s">
        <v>689</v>
      </c>
      <c r="E155" s="111" t="s">
        <v>3</v>
      </c>
      <c r="F155" t="s">
        <v>3</v>
      </c>
      <c r="G155" t="s">
        <v>67</v>
      </c>
      <c r="H155" t="s">
        <v>111</v>
      </c>
      <c r="I155" t="s">
        <v>3</v>
      </c>
      <c r="J155" t="s">
        <v>690</v>
      </c>
      <c r="K155" t="s">
        <v>3</v>
      </c>
      <c r="L155"/>
      <c r="M155" t="s">
        <v>3</v>
      </c>
      <c r="N155"/>
      <c r="O155" t="s">
        <v>3</v>
      </c>
      <c r="P155"/>
      <c r="Q155" t="s">
        <v>3</v>
      </c>
      <c r="R155"/>
      <c r="S155" t="s">
        <v>3</v>
      </c>
      <c r="T155" t="s">
        <v>111</v>
      </c>
      <c r="U155" s="109" t="s">
        <v>691</v>
      </c>
    </row>
    <row r="156" spans="1:21">
      <c r="A156" t="s">
        <v>692</v>
      </c>
      <c r="B156" t="s">
        <v>8</v>
      </c>
      <c r="C156" t="s">
        <v>693</v>
      </c>
      <c r="D156" t="s">
        <v>693</v>
      </c>
      <c r="E156" s="111" t="s">
        <v>3</v>
      </c>
      <c r="F156" t="s">
        <v>3</v>
      </c>
      <c r="G156" t="s">
        <v>67</v>
      </c>
      <c r="H156" t="s">
        <v>111</v>
      </c>
      <c r="I156" t="s">
        <v>3</v>
      </c>
      <c r="J156" t="s">
        <v>694</v>
      </c>
      <c r="K156" t="s">
        <v>3</v>
      </c>
      <c r="L156"/>
      <c r="M156" t="s">
        <v>3</v>
      </c>
      <c r="N156"/>
      <c r="O156" t="s">
        <v>3</v>
      </c>
      <c r="P156"/>
      <c r="Q156" t="s">
        <v>3</v>
      </c>
      <c r="R156"/>
      <c r="S156" t="s">
        <v>3</v>
      </c>
      <c r="T156" t="s">
        <v>111</v>
      </c>
      <c r="U156" s="109" t="s">
        <v>695</v>
      </c>
    </row>
    <row r="157" spans="1:21">
      <c r="A157" t="s">
        <v>90</v>
      </c>
      <c r="B157" t="s">
        <v>8</v>
      </c>
      <c r="C157" t="s">
        <v>696</v>
      </c>
      <c r="D157" t="s">
        <v>696</v>
      </c>
      <c r="E157" s="111" t="s">
        <v>3</v>
      </c>
      <c r="F157" t="s">
        <v>697</v>
      </c>
      <c r="G157" t="s">
        <v>8</v>
      </c>
      <c r="H157" t="s">
        <v>111</v>
      </c>
      <c r="I157" t="s">
        <v>3</v>
      </c>
      <c r="J157" t="s">
        <v>698</v>
      </c>
      <c r="K157" t="s">
        <v>3</v>
      </c>
      <c r="L157" t="s">
        <v>699</v>
      </c>
      <c r="M157" t="s">
        <v>3</v>
      </c>
      <c r="N157" t="s">
        <v>232</v>
      </c>
      <c r="O157" t="s">
        <v>3</v>
      </c>
      <c r="P157"/>
      <c r="Q157" t="s">
        <v>3</v>
      </c>
      <c r="R157"/>
      <c r="S157" t="s">
        <v>3</v>
      </c>
      <c r="T157" t="s">
        <v>111</v>
      </c>
      <c r="U157" s="109" t="s">
        <v>700</v>
      </c>
    </row>
    <row r="158" spans="1:21">
      <c r="A158" t="s">
        <v>697</v>
      </c>
      <c r="B158" t="s">
        <v>8</v>
      </c>
      <c r="C158" t="s">
        <v>696</v>
      </c>
      <c r="D158" t="s">
        <v>696</v>
      </c>
      <c r="E158" s="111" t="s">
        <v>3</v>
      </c>
      <c r="F158" t="s">
        <v>697</v>
      </c>
      <c r="G158" t="s">
        <v>8</v>
      </c>
      <c r="H158" t="s">
        <v>111</v>
      </c>
      <c r="I158" t="s">
        <v>3</v>
      </c>
      <c r="J158" t="s">
        <v>698</v>
      </c>
      <c r="K158" t="s">
        <v>3</v>
      </c>
      <c r="L158" t="s">
        <v>699</v>
      </c>
      <c r="M158" t="s">
        <v>3</v>
      </c>
      <c r="N158" t="s">
        <v>232</v>
      </c>
      <c r="O158" t="s">
        <v>3</v>
      </c>
      <c r="P158"/>
      <c r="Q158" t="s">
        <v>3</v>
      </c>
      <c r="R158"/>
      <c r="S158" t="s">
        <v>3</v>
      </c>
      <c r="T158" t="s">
        <v>111</v>
      </c>
      <c r="U158" s="109" t="s">
        <v>701</v>
      </c>
    </row>
    <row r="159" spans="1:21">
      <c r="A159" t="s">
        <v>702</v>
      </c>
      <c r="B159" t="s">
        <v>111</v>
      </c>
      <c r="C159" t="s">
        <v>703</v>
      </c>
      <c r="D159" t="s">
        <v>703</v>
      </c>
      <c r="E159" s="111" t="s">
        <v>3</v>
      </c>
      <c r="F159" t="s">
        <v>704</v>
      </c>
      <c r="G159" t="s">
        <v>111</v>
      </c>
      <c r="H159" t="s">
        <v>3</v>
      </c>
      <c r="I159" t="s">
        <v>3</v>
      </c>
      <c r="J159" t="s">
        <v>703</v>
      </c>
      <c r="K159" t="s">
        <v>3</v>
      </c>
      <c r="L159" t="s">
        <v>328</v>
      </c>
      <c r="M159" t="s">
        <v>3</v>
      </c>
      <c r="N159"/>
      <c r="O159" t="s">
        <v>3</v>
      </c>
      <c r="P159"/>
      <c r="Q159" t="s">
        <v>3</v>
      </c>
      <c r="R159"/>
      <c r="S159" t="s">
        <v>3</v>
      </c>
      <c r="T159" t="s">
        <v>111</v>
      </c>
      <c r="U159" s="109" t="s">
        <v>705</v>
      </c>
    </row>
    <row r="160" spans="1:21">
      <c r="A160" t="s">
        <v>706</v>
      </c>
      <c r="B160" t="s">
        <v>111</v>
      </c>
      <c r="C160" t="s">
        <v>707</v>
      </c>
      <c r="D160" t="s">
        <v>707</v>
      </c>
      <c r="E160" s="111" t="s">
        <v>3</v>
      </c>
      <c r="F160" t="s">
        <v>708</v>
      </c>
      <c r="G160" t="s">
        <v>111</v>
      </c>
      <c r="H160" t="s">
        <v>111</v>
      </c>
      <c r="I160" t="s">
        <v>3</v>
      </c>
      <c r="J160" t="s">
        <v>219</v>
      </c>
      <c r="K160" t="s">
        <v>8</v>
      </c>
      <c r="L160" t="s">
        <v>709</v>
      </c>
      <c r="M160" t="s">
        <v>3</v>
      </c>
      <c r="N160" t="s">
        <v>710</v>
      </c>
      <c r="O160" t="s">
        <v>3</v>
      </c>
      <c r="P160" t="s">
        <v>711</v>
      </c>
      <c r="Q160" t="s">
        <v>3</v>
      </c>
      <c r="R160" t="s">
        <v>328</v>
      </c>
      <c r="S160" t="s">
        <v>3</v>
      </c>
      <c r="T160" t="s">
        <v>130</v>
      </c>
      <c r="U160" s="109" t="s">
        <v>712</v>
      </c>
    </row>
    <row r="161" spans="1:21">
      <c r="A161" t="s">
        <v>708</v>
      </c>
      <c r="B161" t="s">
        <v>111</v>
      </c>
      <c r="C161" t="s">
        <v>713</v>
      </c>
      <c r="D161" t="s">
        <v>713</v>
      </c>
      <c r="E161" s="111" t="s">
        <v>3</v>
      </c>
      <c r="F161" t="s">
        <v>3</v>
      </c>
      <c r="G161" t="s">
        <v>111</v>
      </c>
      <c r="H161" t="s">
        <v>111</v>
      </c>
      <c r="I161" t="s">
        <v>3</v>
      </c>
      <c r="J161" t="s">
        <v>713</v>
      </c>
      <c r="K161" t="s">
        <v>3</v>
      </c>
      <c r="L161"/>
      <c r="M161" t="s">
        <v>3</v>
      </c>
      <c r="N161"/>
      <c r="O161" t="s">
        <v>3</v>
      </c>
      <c r="P161"/>
      <c r="Q161" t="s">
        <v>3</v>
      </c>
      <c r="R161"/>
      <c r="S161" t="s">
        <v>3</v>
      </c>
      <c r="T161" t="s">
        <v>111</v>
      </c>
      <c r="U161" s="109" t="s">
        <v>714</v>
      </c>
    </row>
    <row r="162" spans="1:21">
      <c r="A162" t="s">
        <v>161</v>
      </c>
      <c r="B162" t="s">
        <v>111</v>
      </c>
      <c r="C162" t="s">
        <v>715</v>
      </c>
      <c r="D162" t="s">
        <v>715</v>
      </c>
      <c r="E162" s="111" t="s">
        <v>3</v>
      </c>
      <c r="F162" t="s">
        <v>3</v>
      </c>
      <c r="G162" t="s">
        <v>111</v>
      </c>
      <c r="H162" t="s">
        <v>111</v>
      </c>
      <c r="I162" t="s">
        <v>3</v>
      </c>
      <c r="J162" t="s">
        <v>715</v>
      </c>
      <c r="K162" t="s">
        <v>3</v>
      </c>
      <c r="L162"/>
      <c r="M162" t="s">
        <v>3</v>
      </c>
      <c r="N162"/>
      <c r="O162" t="s">
        <v>3</v>
      </c>
      <c r="P162"/>
      <c r="Q162" t="s">
        <v>3</v>
      </c>
      <c r="R162"/>
      <c r="S162" t="s">
        <v>3</v>
      </c>
      <c r="T162" t="s">
        <v>111</v>
      </c>
      <c r="U162" s="109" t="s">
        <v>716</v>
      </c>
    </row>
    <row r="163" spans="1:21">
      <c r="A163" t="s">
        <v>717</v>
      </c>
      <c r="B163" t="s">
        <v>111</v>
      </c>
      <c r="C163" t="s">
        <v>718</v>
      </c>
      <c r="D163" t="s">
        <v>718</v>
      </c>
      <c r="E163" s="111" t="s">
        <v>3</v>
      </c>
      <c r="F163" t="s">
        <v>3</v>
      </c>
      <c r="G163" t="s">
        <v>111</v>
      </c>
      <c r="H163" t="s">
        <v>111</v>
      </c>
      <c r="I163" t="s">
        <v>3</v>
      </c>
      <c r="J163" t="s">
        <v>718</v>
      </c>
      <c r="K163" t="s">
        <v>3</v>
      </c>
      <c r="L163"/>
      <c r="M163" t="s">
        <v>3</v>
      </c>
      <c r="N163"/>
      <c r="O163" t="s">
        <v>3</v>
      </c>
      <c r="P163"/>
      <c r="Q163" t="s">
        <v>3</v>
      </c>
      <c r="R163"/>
      <c r="S163" t="s">
        <v>3</v>
      </c>
      <c r="T163" t="s">
        <v>111</v>
      </c>
      <c r="U163" s="109" t="s">
        <v>719</v>
      </c>
    </row>
    <row r="164" spans="1:21">
      <c r="A164" t="s">
        <v>720</v>
      </c>
      <c r="B164" t="s">
        <v>111</v>
      </c>
      <c r="C164" t="s">
        <v>721</v>
      </c>
      <c r="D164" t="s">
        <v>721</v>
      </c>
      <c r="E164" s="111" t="s">
        <v>3</v>
      </c>
      <c r="F164" t="s">
        <v>3</v>
      </c>
      <c r="G164" t="s">
        <v>111</v>
      </c>
      <c r="H164" t="s">
        <v>111</v>
      </c>
      <c r="I164" t="s">
        <v>3</v>
      </c>
      <c r="J164" t="s">
        <v>721</v>
      </c>
      <c r="K164" t="s">
        <v>3</v>
      </c>
      <c r="L164"/>
      <c r="M164" t="s">
        <v>3</v>
      </c>
      <c r="N164"/>
      <c r="O164" t="s">
        <v>3</v>
      </c>
      <c r="P164"/>
      <c r="Q164" t="s">
        <v>3</v>
      </c>
      <c r="R164"/>
      <c r="S164" t="s">
        <v>3</v>
      </c>
      <c r="T164" t="s">
        <v>111</v>
      </c>
      <c r="U164" s="109" t="s">
        <v>722</v>
      </c>
    </row>
    <row r="165" spans="1:21">
      <c r="A165" t="s">
        <v>723</v>
      </c>
      <c r="B165" t="s">
        <v>111</v>
      </c>
      <c r="C165" t="s">
        <v>724</v>
      </c>
      <c r="D165" t="s">
        <v>724</v>
      </c>
      <c r="E165" s="111" t="s">
        <v>3</v>
      </c>
      <c r="F165" t="s">
        <v>3</v>
      </c>
      <c r="G165" t="s">
        <v>111</v>
      </c>
      <c r="H165" t="s">
        <v>111</v>
      </c>
      <c r="I165" t="s">
        <v>3</v>
      </c>
      <c r="J165" t="s">
        <v>724</v>
      </c>
      <c r="K165" t="s">
        <v>3</v>
      </c>
      <c r="L165"/>
      <c r="M165" t="s">
        <v>3</v>
      </c>
      <c r="N165"/>
      <c r="O165" t="s">
        <v>3</v>
      </c>
      <c r="P165"/>
      <c r="Q165" t="s">
        <v>3</v>
      </c>
      <c r="R165"/>
      <c r="S165" t="s">
        <v>3</v>
      </c>
      <c r="T165" t="s">
        <v>111</v>
      </c>
      <c r="U165" s="109" t="s">
        <v>725</v>
      </c>
    </row>
    <row r="166" spans="1:21">
      <c r="A166" t="s">
        <v>726</v>
      </c>
      <c r="B166" t="s">
        <v>111</v>
      </c>
      <c r="C166" t="s">
        <v>727</v>
      </c>
      <c r="D166" t="s">
        <v>727</v>
      </c>
      <c r="E166" s="111" t="s">
        <v>3</v>
      </c>
      <c r="F166" t="s">
        <v>3</v>
      </c>
      <c r="G166" t="s">
        <v>111</v>
      </c>
      <c r="H166" t="s">
        <v>111</v>
      </c>
      <c r="I166" t="s">
        <v>3</v>
      </c>
      <c r="J166" t="s">
        <v>727</v>
      </c>
      <c r="K166" t="s">
        <v>3</v>
      </c>
      <c r="L166"/>
      <c r="M166" t="s">
        <v>3</v>
      </c>
      <c r="N166"/>
      <c r="O166" t="s">
        <v>3</v>
      </c>
      <c r="P166"/>
      <c r="Q166" t="s">
        <v>3</v>
      </c>
      <c r="R166"/>
      <c r="S166" t="s">
        <v>3</v>
      </c>
      <c r="T166" t="s">
        <v>111</v>
      </c>
      <c r="U166" s="109" t="s">
        <v>728</v>
      </c>
    </row>
    <row r="167" spans="1:21">
      <c r="A167" t="s">
        <v>729</v>
      </c>
      <c r="B167" t="s">
        <v>111</v>
      </c>
      <c r="C167" t="s">
        <v>730</v>
      </c>
      <c r="D167" t="s">
        <v>730</v>
      </c>
      <c r="E167" s="111" t="s">
        <v>3</v>
      </c>
      <c r="F167" t="s">
        <v>3</v>
      </c>
      <c r="G167" t="s">
        <v>111</v>
      </c>
      <c r="H167" t="s">
        <v>111</v>
      </c>
      <c r="I167" t="s">
        <v>3</v>
      </c>
      <c r="J167" t="s">
        <v>730</v>
      </c>
      <c r="K167" t="s">
        <v>3</v>
      </c>
      <c r="L167"/>
      <c r="M167" t="s">
        <v>3</v>
      </c>
      <c r="N167"/>
      <c r="O167" t="s">
        <v>3</v>
      </c>
      <c r="P167"/>
      <c r="Q167" t="s">
        <v>3</v>
      </c>
      <c r="R167"/>
      <c r="S167" t="s">
        <v>3</v>
      </c>
      <c r="T167" t="s">
        <v>111</v>
      </c>
      <c r="U167" s="109" t="s">
        <v>731</v>
      </c>
    </row>
    <row r="168" spans="1:21">
      <c r="A168" t="s">
        <v>732</v>
      </c>
      <c r="B168" t="s">
        <v>111</v>
      </c>
      <c r="C168" t="s">
        <v>733</v>
      </c>
      <c r="D168" t="s">
        <v>733</v>
      </c>
      <c r="E168" s="111" t="s">
        <v>3</v>
      </c>
      <c r="F168" t="s">
        <v>3</v>
      </c>
      <c r="G168" t="s">
        <v>111</v>
      </c>
      <c r="H168" t="s">
        <v>111</v>
      </c>
      <c r="I168" t="s">
        <v>3</v>
      </c>
      <c r="J168" t="s">
        <v>733</v>
      </c>
      <c r="K168" t="s">
        <v>3</v>
      </c>
      <c r="L168"/>
      <c r="M168" t="s">
        <v>3</v>
      </c>
      <c r="N168"/>
      <c r="O168" t="s">
        <v>3</v>
      </c>
      <c r="P168"/>
      <c r="Q168" t="s">
        <v>3</v>
      </c>
      <c r="R168"/>
      <c r="S168" t="s">
        <v>3</v>
      </c>
      <c r="T168" t="s">
        <v>111</v>
      </c>
      <c r="U168" s="109" t="s">
        <v>734</v>
      </c>
    </row>
    <row r="169" spans="1:21">
      <c r="A169" t="s">
        <v>735</v>
      </c>
      <c r="B169" t="s">
        <v>111</v>
      </c>
      <c r="C169" t="s">
        <v>736</v>
      </c>
      <c r="D169" t="s">
        <v>736</v>
      </c>
      <c r="E169" s="111" t="s">
        <v>3</v>
      </c>
      <c r="F169" t="s">
        <v>3</v>
      </c>
      <c r="G169" t="s">
        <v>111</v>
      </c>
      <c r="H169" t="s">
        <v>111</v>
      </c>
      <c r="I169" t="s">
        <v>3</v>
      </c>
      <c r="J169" t="s">
        <v>219</v>
      </c>
      <c r="K169" t="s">
        <v>8</v>
      </c>
      <c r="L169" t="s">
        <v>326</v>
      </c>
      <c r="M169" t="s">
        <v>3</v>
      </c>
      <c r="N169" t="s">
        <v>737</v>
      </c>
      <c r="O169" t="s">
        <v>3</v>
      </c>
      <c r="P169" t="s">
        <v>738</v>
      </c>
      <c r="Q169" t="s">
        <v>3</v>
      </c>
      <c r="R169" t="s">
        <v>739</v>
      </c>
      <c r="S169" t="s">
        <v>3</v>
      </c>
      <c r="T169" t="s">
        <v>111</v>
      </c>
      <c r="U169" s="109" t="s">
        <v>740</v>
      </c>
    </row>
    <row r="170" spans="1:21">
      <c r="A170" t="s">
        <v>741</v>
      </c>
      <c r="B170" t="s">
        <v>111</v>
      </c>
      <c r="C170" t="s">
        <v>742</v>
      </c>
      <c r="D170" t="s">
        <v>742</v>
      </c>
      <c r="E170" s="111" t="s">
        <v>3</v>
      </c>
      <c r="F170" t="s">
        <v>3</v>
      </c>
      <c r="G170" t="s">
        <v>111</v>
      </c>
      <c r="H170" t="s">
        <v>111</v>
      </c>
      <c r="I170" t="s">
        <v>3</v>
      </c>
      <c r="J170" t="s">
        <v>742</v>
      </c>
      <c r="K170" t="s">
        <v>3</v>
      </c>
      <c r="L170"/>
      <c r="M170" t="s">
        <v>3</v>
      </c>
      <c r="N170"/>
      <c r="O170" t="s">
        <v>3</v>
      </c>
      <c r="P170"/>
      <c r="Q170" t="s">
        <v>3</v>
      </c>
      <c r="R170"/>
      <c r="S170" t="s">
        <v>3</v>
      </c>
      <c r="T170" t="s">
        <v>111</v>
      </c>
      <c r="U170" s="109" t="s">
        <v>743</v>
      </c>
    </row>
    <row r="171" spans="1:21">
      <c r="A171" t="s">
        <v>744</v>
      </c>
      <c r="B171" t="s">
        <v>111</v>
      </c>
      <c r="C171" t="s">
        <v>745</v>
      </c>
      <c r="D171" t="s">
        <v>745</v>
      </c>
      <c r="E171" s="111" t="s">
        <v>3</v>
      </c>
      <c r="F171" t="s">
        <v>3</v>
      </c>
      <c r="G171" t="s">
        <v>111</v>
      </c>
      <c r="H171" t="s">
        <v>111</v>
      </c>
      <c r="I171" t="s">
        <v>3</v>
      </c>
      <c r="J171" t="s">
        <v>745</v>
      </c>
      <c r="K171" t="s">
        <v>3</v>
      </c>
      <c r="L171"/>
      <c r="M171" t="s">
        <v>3</v>
      </c>
      <c r="N171"/>
      <c r="O171" t="s">
        <v>3</v>
      </c>
      <c r="P171"/>
      <c r="Q171" t="s">
        <v>3</v>
      </c>
      <c r="R171"/>
      <c r="S171" t="s">
        <v>3</v>
      </c>
      <c r="T171" t="s">
        <v>111</v>
      </c>
      <c r="U171" s="109" t="s">
        <v>746</v>
      </c>
    </row>
    <row r="172" spans="1:21">
      <c r="A172" t="s">
        <v>747</v>
      </c>
      <c r="B172" t="s">
        <v>111</v>
      </c>
      <c r="C172" t="s">
        <v>748</v>
      </c>
      <c r="D172" t="s">
        <v>748</v>
      </c>
      <c r="E172" s="111" t="s">
        <v>3</v>
      </c>
      <c r="F172" t="s">
        <v>3</v>
      </c>
      <c r="G172" t="s">
        <v>111</v>
      </c>
      <c r="H172" t="s">
        <v>111</v>
      </c>
      <c r="I172" t="s">
        <v>3</v>
      </c>
      <c r="J172" t="s">
        <v>748</v>
      </c>
      <c r="K172" t="s">
        <v>3</v>
      </c>
      <c r="L172"/>
      <c r="M172" t="s">
        <v>3</v>
      </c>
      <c r="N172"/>
      <c r="O172" t="s">
        <v>3</v>
      </c>
      <c r="P172"/>
      <c r="Q172" t="s">
        <v>3</v>
      </c>
      <c r="R172"/>
      <c r="S172" t="s">
        <v>3</v>
      </c>
      <c r="T172" t="s">
        <v>111</v>
      </c>
      <c r="U172" s="109" t="s">
        <v>749</v>
      </c>
    </row>
    <row r="173" spans="1:21">
      <c r="A173" t="s">
        <v>750</v>
      </c>
      <c r="B173" t="s">
        <v>111</v>
      </c>
      <c r="C173" t="s">
        <v>751</v>
      </c>
      <c r="D173" t="s">
        <v>751</v>
      </c>
      <c r="E173" s="111" t="s">
        <v>3</v>
      </c>
      <c r="F173" t="s">
        <v>3</v>
      </c>
      <c r="G173" t="s">
        <v>111</v>
      </c>
      <c r="H173" t="s">
        <v>111</v>
      </c>
      <c r="I173" t="s">
        <v>3</v>
      </c>
      <c r="J173" t="s">
        <v>751</v>
      </c>
      <c r="K173" t="s">
        <v>3</v>
      </c>
      <c r="L173"/>
      <c r="M173" t="s">
        <v>3</v>
      </c>
      <c r="N173"/>
      <c r="O173" t="s">
        <v>3</v>
      </c>
      <c r="P173"/>
      <c r="Q173" t="s">
        <v>3</v>
      </c>
      <c r="R173"/>
      <c r="S173" t="s">
        <v>3</v>
      </c>
      <c r="T173" t="s">
        <v>111</v>
      </c>
      <c r="U173" s="109" t="s">
        <v>752</v>
      </c>
    </row>
    <row r="174" spans="1:21">
      <c r="A174" t="s">
        <v>753</v>
      </c>
      <c r="B174" t="s">
        <v>111</v>
      </c>
      <c r="C174" t="s">
        <v>754</v>
      </c>
      <c r="D174" t="s">
        <v>754</v>
      </c>
      <c r="E174" s="111" t="s">
        <v>3</v>
      </c>
      <c r="F174" t="s">
        <v>3</v>
      </c>
      <c r="G174" t="s">
        <v>111</v>
      </c>
      <c r="H174" t="s">
        <v>111</v>
      </c>
      <c r="I174" t="s">
        <v>3</v>
      </c>
      <c r="J174" t="s">
        <v>755</v>
      </c>
      <c r="K174" t="s">
        <v>3</v>
      </c>
      <c r="L174"/>
      <c r="M174" t="s">
        <v>3</v>
      </c>
      <c r="N174"/>
      <c r="O174" t="s">
        <v>3</v>
      </c>
      <c r="P174"/>
      <c r="Q174" t="s">
        <v>3</v>
      </c>
      <c r="R174"/>
      <c r="S174" t="s">
        <v>3</v>
      </c>
      <c r="T174" t="s">
        <v>111</v>
      </c>
      <c r="U174" s="109" t="s">
        <v>756</v>
      </c>
    </row>
    <row r="175" spans="1:21">
      <c r="A175" t="s">
        <v>757</v>
      </c>
      <c r="B175" t="s">
        <v>111</v>
      </c>
      <c r="C175" t="s">
        <v>758</v>
      </c>
      <c r="D175" t="s">
        <v>758</v>
      </c>
      <c r="E175" s="111" t="s">
        <v>3</v>
      </c>
      <c r="F175" t="s">
        <v>3</v>
      </c>
      <c r="G175" t="s">
        <v>111</v>
      </c>
      <c r="H175" t="s">
        <v>111</v>
      </c>
      <c r="I175" t="s">
        <v>3</v>
      </c>
      <c r="J175" t="s">
        <v>758</v>
      </c>
      <c r="K175" t="s">
        <v>3</v>
      </c>
      <c r="L175"/>
      <c r="M175" t="s">
        <v>3</v>
      </c>
      <c r="N175"/>
      <c r="O175" t="s">
        <v>3</v>
      </c>
      <c r="P175"/>
      <c r="Q175" t="s">
        <v>3</v>
      </c>
      <c r="R175"/>
      <c r="S175" t="s">
        <v>3</v>
      </c>
      <c r="T175" t="s">
        <v>111</v>
      </c>
      <c r="U175" s="109" t="s">
        <v>759</v>
      </c>
    </row>
    <row r="176" spans="1:21">
      <c r="A176" t="s">
        <v>760</v>
      </c>
      <c r="B176" t="s">
        <v>111</v>
      </c>
      <c r="C176" t="s">
        <v>761</v>
      </c>
      <c r="D176" t="s">
        <v>761</v>
      </c>
      <c r="E176" s="111" t="s">
        <v>3</v>
      </c>
      <c r="F176" t="s">
        <v>3</v>
      </c>
      <c r="G176" t="s">
        <v>111</v>
      </c>
      <c r="H176" t="s">
        <v>111</v>
      </c>
      <c r="I176" t="s">
        <v>3</v>
      </c>
      <c r="J176" t="s">
        <v>761</v>
      </c>
      <c r="K176" t="s">
        <v>3</v>
      </c>
      <c r="L176"/>
      <c r="M176" t="s">
        <v>3</v>
      </c>
      <c r="N176"/>
      <c r="O176" t="s">
        <v>3</v>
      </c>
      <c r="P176"/>
      <c r="Q176" t="s">
        <v>3</v>
      </c>
      <c r="R176"/>
      <c r="S176" t="s">
        <v>3</v>
      </c>
      <c r="T176" t="s">
        <v>111</v>
      </c>
      <c r="U176" s="109" t="s">
        <v>762</v>
      </c>
    </row>
    <row r="177" spans="1:21">
      <c r="A177" t="s">
        <v>763</v>
      </c>
      <c r="B177" t="s">
        <v>111</v>
      </c>
      <c r="C177" t="s">
        <v>581</v>
      </c>
      <c r="D177" t="s">
        <v>581</v>
      </c>
      <c r="E177" s="111" t="s">
        <v>3</v>
      </c>
      <c r="F177" t="s">
        <v>3</v>
      </c>
      <c r="G177" t="s">
        <v>111</v>
      </c>
      <c r="H177" t="s">
        <v>111</v>
      </c>
      <c r="I177" t="s">
        <v>3</v>
      </c>
      <c r="J177" t="s">
        <v>581</v>
      </c>
      <c r="K177" t="s">
        <v>3</v>
      </c>
      <c r="L177"/>
      <c r="M177" t="s">
        <v>3</v>
      </c>
      <c r="N177"/>
      <c r="O177" t="s">
        <v>3</v>
      </c>
      <c r="P177"/>
      <c r="Q177" t="s">
        <v>3</v>
      </c>
      <c r="R177"/>
      <c r="S177" t="s">
        <v>3</v>
      </c>
      <c r="T177" t="s">
        <v>111</v>
      </c>
      <c r="U177" s="109" t="s">
        <v>764</v>
      </c>
    </row>
    <row r="178" spans="1:21">
      <c r="A178" t="s">
        <v>765</v>
      </c>
      <c r="B178" t="s">
        <v>111</v>
      </c>
      <c r="C178" t="s">
        <v>584</v>
      </c>
      <c r="D178" t="s">
        <v>584</v>
      </c>
      <c r="E178" s="111" t="s">
        <v>3</v>
      </c>
      <c r="F178" t="s">
        <v>3</v>
      </c>
      <c r="G178" t="s">
        <v>111</v>
      </c>
      <c r="H178" t="s">
        <v>111</v>
      </c>
      <c r="I178" t="s">
        <v>3</v>
      </c>
      <c r="J178" t="s">
        <v>584</v>
      </c>
      <c r="K178" t="s">
        <v>3</v>
      </c>
      <c r="L178"/>
      <c r="M178" t="s">
        <v>3</v>
      </c>
      <c r="N178"/>
      <c r="O178" t="s">
        <v>3</v>
      </c>
      <c r="P178"/>
      <c r="Q178" t="s">
        <v>3</v>
      </c>
      <c r="R178"/>
      <c r="S178" t="s">
        <v>3</v>
      </c>
      <c r="T178" t="s">
        <v>111</v>
      </c>
      <c r="U178" s="109" t="s">
        <v>766</v>
      </c>
    </row>
    <row r="179" spans="1:21">
      <c r="A179" t="s">
        <v>767</v>
      </c>
      <c r="B179" t="s">
        <v>111</v>
      </c>
      <c r="C179" t="s">
        <v>738</v>
      </c>
      <c r="D179" t="s">
        <v>738</v>
      </c>
      <c r="E179" s="111" t="s">
        <v>3</v>
      </c>
      <c r="F179" t="s">
        <v>3</v>
      </c>
      <c r="G179" t="s">
        <v>111</v>
      </c>
      <c r="H179" t="s">
        <v>111</v>
      </c>
      <c r="I179" t="s">
        <v>3</v>
      </c>
      <c r="J179" t="s">
        <v>738</v>
      </c>
      <c r="K179" t="s">
        <v>3</v>
      </c>
      <c r="L179"/>
      <c r="M179" t="s">
        <v>3</v>
      </c>
      <c r="N179"/>
      <c r="O179" t="s">
        <v>3</v>
      </c>
      <c r="P179"/>
      <c r="Q179" t="s">
        <v>3</v>
      </c>
      <c r="R179"/>
      <c r="S179" t="s">
        <v>3</v>
      </c>
      <c r="T179" t="s">
        <v>111</v>
      </c>
      <c r="U179" s="109" t="s">
        <v>768</v>
      </c>
    </row>
    <row r="180" spans="1:21">
      <c r="A180" t="s">
        <v>769</v>
      </c>
      <c r="B180" t="s">
        <v>111</v>
      </c>
      <c r="C180" t="s">
        <v>739</v>
      </c>
      <c r="D180" t="s">
        <v>739</v>
      </c>
      <c r="E180" s="111" t="s">
        <v>3</v>
      </c>
      <c r="F180" t="s">
        <v>3</v>
      </c>
      <c r="G180" t="s">
        <v>111</v>
      </c>
      <c r="H180" t="s">
        <v>111</v>
      </c>
      <c r="I180" t="s">
        <v>3</v>
      </c>
      <c r="J180" t="s">
        <v>739</v>
      </c>
      <c r="K180" t="s">
        <v>3</v>
      </c>
      <c r="L180"/>
      <c r="M180" t="s">
        <v>3</v>
      </c>
      <c r="N180"/>
      <c r="O180" t="s">
        <v>3</v>
      </c>
      <c r="P180"/>
      <c r="Q180" t="s">
        <v>3</v>
      </c>
      <c r="R180"/>
      <c r="S180" t="s">
        <v>3</v>
      </c>
      <c r="T180" t="s">
        <v>111</v>
      </c>
      <c r="U180" s="109" t="s">
        <v>770</v>
      </c>
    </row>
    <row r="181" spans="1:21">
      <c r="A181" t="s">
        <v>771</v>
      </c>
      <c r="B181" t="s">
        <v>111</v>
      </c>
      <c r="C181" t="s">
        <v>772</v>
      </c>
      <c r="D181" t="s">
        <v>772</v>
      </c>
      <c r="E181" s="111" t="s">
        <v>3</v>
      </c>
      <c r="F181" t="s">
        <v>3</v>
      </c>
      <c r="G181" t="s">
        <v>111</v>
      </c>
      <c r="H181" t="s">
        <v>111</v>
      </c>
      <c r="I181" t="s">
        <v>3</v>
      </c>
      <c r="J181" t="s">
        <v>326</v>
      </c>
      <c r="K181" t="s">
        <v>3</v>
      </c>
      <c r="L181"/>
      <c r="M181" t="s">
        <v>3</v>
      </c>
      <c r="N181"/>
      <c r="O181" t="s">
        <v>3</v>
      </c>
      <c r="P181"/>
      <c r="Q181" t="s">
        <v>3</v>
      </c>
      <c r="R181"/>
      <c r="S181" t="s">
        <v>3</v>
      </c>
      <c r="T181" t="s">
        <v>111</v>
      </c>
      <c r="U181" s="109" t="s">
        <v>773</v>
      </c>
    </row>
    <row r="182" spans="1:21">
      <c r="A182" t="s">
        <v>774</v>
      </c>
      <c r="B182" t="s">
        <v>111</v>
      </c>
      <c r="C182" t="s">
        <v>775</v>
      </c>
      <c r="D182" t="s">
        <v>775</v>
      </c>
      <c r="E182" s="111" t="s">
        <v>3</v>
      </c>
      <c r="F182" t="s">
        <v>3</v>
      </c>
      <c r="G182" t="s">
        <v>111</v>
      </c>
      <c r="H182" t="s">
        <v>111</v>
      </c>
      <c r="I182" t="s">
        <v>3</v>
      </c>
      <c r="J182"/>
      <c r="K182" t="s">
        <v>3</v>
      </c>
      <c r="L182"/>
      <c r="M182" t="s">
        <v>3</v>
      </c>
      <c r="N182"/>
      <c r="O182" t="s">
        <v>3</v>
      </c>
      <c r="P182"/>
      <c r="Q182" t="s">
        <v>3</v>
      </c>
      <c r="R182"/>
      <c r="S182" t="s">
        <v>3</v>
      </c>
      <c r="T182" t="s">
        <v>111</v>
      </c>
      <c r="U182" s="109" t="s">
        <v>776</v>
      </c>
    </row>
    <row r="183" spans="1:21">
      <c r="A183" t="s">
        <v>777</v>
      </c>
      <c r="B183" t="s">
        <v>111</v>
      </c>
      <c r="C183" t="s">
        <v>778</v>
      </c>
      <c r="D183" t="s">
        <v>778</v>
      </c>
      <c r="E183" s="111" t="s">
        <v>3</v>
      </c>
      <c r="F183" t="s">
        <v>3</v>
      </c>
      <c r="G183" t="s">
        <v>111</v>
      </c>
      <c r="H183" t="s">
        <v>111</v>
      </c>
      <c r="I183" t="s">
        <v>3</v>
      </c>
      <c r="J183"/>
      <c r="K183" t="s">
        <v>3</v>
      </c>
      <c r="L183"/>
      <c r="M183" t="s">
        <v>3</v>
      </c>
      <c r="N183"/>
      <c r="O183" t="s">
        <v>3</v>
      </c>
      <c r="P183"/>
      <c r="Q183" t="s">
        <v>3</v>
      </c>
      <c r="R183"/>
      <c r="S183" t="s">
        <v>3</v>
      </c>
      <c r="T183" t="s">
        <v>111</v>
      </c>
      <c r="U183" s="109" t="s">
        <v>779</v>
      </c>
    </row>
    <row r="184" spans="1:21">
      <c r="A184" t="s">
        <v>780</v>
      </c>
      <c r="B184" t="s">
        <v>111</v>
      </c>
      <c r="C184" t="s">
        <v>781</v>
      </c>
      <c r="D184" t="s">
        <v>781</v>
      </c>
      <c r="E184" s="111" t="s">
        <v>3</v>
      </c>
      <c r="F184" t="s">
        <v>3</v>
      </c>
      <c r="G184" t="s">
        <v>111</v>
      </c>
      <c r="H184" t="s">
        <v>111</v>
      </c>
      <c r="I184" t="s">
        <v>3</v>
      </c>
      <c r="J184"/>
      <c r="K184" t="s">
        <v>3</v>
      </c>
      <c r="L184"/>
      <c r="M184" t="s">
        <v>3</v>
      </c>
      <c r="N184"/>
      <c r="O184" t="s">
        <v>3</v>
      </c>
      <c r="P184"/>
      <c r="Q184" t="s">
        <v>3</v>
      </c>
      <c r="R184"/>
      <c r="S184" t="s">
        <v>3</v>
      </c>
      <c r="T184" t="s">
        <v>111</v>
      </c>
      <c r="U184" s="109" t="s">
        <v>782</v>
      </c>
    </row>
    <row r="185" spans="1:21">
      <c r="A185" t="s">
        <v>783</v>
      </c>
      <c r="B185" t="s">
        <v>111</v>
      </c>
      <c r="C185" t="s">
        <v>784</v>
      </c>
      <c r="D185" t="s">
        <v>784</v>
      </c>
      <c r="E185" s="111" t="s">
        <v>3</v>
      </c>
      <c r="F185" t="s">
        <v>3</v>
      </c>
      <c r="G185" t="s">
        <v>111</v>
      </c>
      <c r="H185" t="s">
        <v>111</v>
      </c>
      <c r="I185" t="s">
        <v>3</v>
      </c>
      <c r="J185"/>
      <c r="K185" t="s">
        <v>3</v>
      </c>
      <c r="L185"/>
      <c r="M185" t="s">
        <v>3</v>
      </c>
      <c r="N185"/>
      <c r="O185" t="s">
        <v>3</v>
      </c>
      <c r="P185"/>
      <c r="Q185" t="s">
        <v>3</v>
      </c>
      <c r="R185"/>
      <c r="S185" t="s">
        <v>3</v>
      </c>
      <c r="T185" t="s">
        <v>111</v>
      </c>
      <c r="U185" s="109" t="s">
        <v>785</v>
      </c>
    </row>
    <row r="186" spans="1:21">
      <c r="A186" t="s">
        <v>786</v>
      </c>
      <c r="B186" t="s">
        <v>111</v>
      </c>
      <c r="C186" t="s">
        <v>787</v>
      </c>
      <c r="D186" t="s">
        <v>787</v>
      </c>
      <c r="E186" s="111" t="s">
        <v>3</v>
      </c>
      <c r="F186" t="s">
        <v>3</v>
      </c>
      <c r="G186" t="s">
        <v>111</v>
      </c>
      <c r="H186" t="s">
        <v>111</v>
      </c>
      <c r="I186" t="s">
        <v>3</v>
      </c>
      <c r="J186"/>
      <c r="K186" t="s">
        <v>3</v>
      </c>
      <c r="L186"/>
      <c r="M186" t="s">
        <v>3</v>
      </c>
      <c r="N186"/>
      <c r="O186" t="s">
        <v>3</v>
      </c>
      <c r="P186"/>
      <c r="Q186" t="s">
        <v>3</v>
      </c>
      <c r="R186"/>
      <c r="S186" t="s">
        <v>3</v>
      </c>
      <c r="T186" t="s">
        <v>111</v>
      </c>
      <c r="U186" s="109" t="s">
        <v>788</v>
      </c>
    </row>
    <row r="187" spans="1:21">
      <c r="A187" t="s">
        <v>789</v>
      </c>
      <c r="B187" t="s">
        <v>111</v>
      </c>
      <c r="C187" t="s">
        <v>790</v>
      </c>
      <c r="D187" t="s">
        <v>790</v>
      </c>
      <c r="E187" s="111" t="s">
        <v>3</v>
      </c>
      <c r="F187" t="s">
        <v>3</v>
      </c>
      <c r="G187" t="s">
        <v>111</v>
      </c>
      <c r="H187" t="s">
        <v>111</v>
      </c>
      <c r="I187" t="s">
        <v>3</v>
      </c>
      <c r="J187"/>
      <c r="K187" t="s">
        <v>3</v>
      </c>
      <c r="L187"/>
      <c r="M187" t="s">
        <v>3</v>
      </c>
      <c r="N187"/>
      <c r="O187" t="s">
        <v>3</v>
      </c>
      <c r="P187"/>
      <c r="Q187" t="s">
        <v>3</v>
      </c>
      <c r="R187"/>
      <c r="S187" t="s">
        <v>3</v>
      </c>
      <c r="T187" t="s">
        <v>111</v>
      </c>
      <c r="U187" s="109" t="s">
        <v>791</v>
      </c>
    </row>
    <row r="188" spans="1:21">
      <c r="A188" t="s">
        <v>792</v>
      </c>
      <c r="B188" t="s">
        <v>111</v>
      </c>
      <c r="C188" t="s">
        <v>670</v>
      </c>
      <c r="D188" t="s">
        <v>670</v>
      </c>
      <c r="E188" s="111" t="s">
        <v>3</v>
      </c>
      <c r="F188" t="s">
        <v>3</v>
      </c>
      <c r="G188" t="s">
        <v>111</v>
      </c>
      <c r="H188" t="s">
        <v>111</v>
      </c>
      <c r="I188" t="s">
        <v>3</v>
      </c>
      <c r="J188"/>
      <c r="K188" t="s">
        <v>3</v>
      </c>
      <c r="L188"/>
      <c r="M188" t="s">
        <v>3</v>
      </c>
      <c r="N188"/>
      <c r="O188" t="s">
        <v>3</v>
      </c>
      <c r="P188"/>
      <c r="Q188" t="s">
        <v>3</v>
      </c>
      <c r="R188"/>
      <c r="S188" t="s">
        <v>3</v>
      </c>
      <c r="T188" t="s">
        <v>111</v>
      </c>
      <c r="U188" s="109" t="s">
        <v>793</v>
      </c>
    </row>
    <row r="189" spans="1:21">
      <c r="A189" t="s">
        <v>794</v>
      </c>
      <c r="B189" t="s">
        <v>111</v>
      </c>
      <c r="C189" t="s">
        <v>323</v>
      </c>
      <c r="D189" t="s">
        <v>323</v>
      </c>
      <c r="E189" s="111" t="s">
        <v>3</v>
      </c>
      <c r="F189" t="s">
        <v>3</v>
      </c>
      <c r="G189" t="s">
        <v>111</v>
      </c>
      <c r="H189" t="s">
        <v>111</v>
      </c>
      <c r="I189" t="s">
        <v>3</v>
      </c>
      <c r="J189"/>
      <c r="K189" t="s">
        <v>3</v>
      </c>
      <c r="L189"/>
      <c r="M189" t="s">
        <v>3</v>
      </c>
      <c r="N189"/>
      <c r="O189" t="s">
        <v>3</v>
      </c>
      <c r="P189"/>
      <c r="Q189" t="s">
        <v>3</v>
      </c>
      <c r="R189"/>
      <c r="S189" t="s">
        <v>3</v>
      </c>
      <c r="T189" t="s">
        <v>111</v>
      </c>
      <c r="U189" s="109" t="s">
        <v>795</v>
      </c>
    </row>
    <row r="190" spans="1:21">
      <c r="A190" t="s">
        <v>796</v>
      </c>
      <c r="B190" t="s">
        <v>111</v>
      </c>
      <c r="C190" t="s">
        <v>797</v>
      </c>
      <c r="D190" t="s">
        <v>797</v>
      </c>
      <c r="E190" s="111" t="s">
        <v>3</v>
      </c>
      <c r="F190" t="s">
        <v>3</v>
      </c>
      <c r="G190" t="s">
        <v>111</v>
      </c>
      <c r="H190" t="s">
        <v>111</v>
      </c>
      <c r="I190" t="s">
        <v>3</v>
      </c>
      <c r="J190"/>
      <c r="K190" t="s">
        <v>3</v>
      </c>
      <c r="L190"/>
      <c r="M190" t="s">
        <v>3</v>
      </c>
      <c r="N190"/>
      <c r="O190" t="s">
        <v>3</v>
      </c>
      <c r="P190"/>
      <c r="Q190" t="s">
        <v>3</v>
      </c>
      <c r="R190"/>
      <c r="S190" t="s">
        <v>3</v>
      </c>
      <c r="T190" t="s">
        <v>111</v>
      </c>
      <c r="U190" s="109" t="s">
        <v>798</v>
      </c>
    </row>
    <row r="191" spans="1:21">
      <c r="A191" t="s">
        <v>799</v>
      </c>
      <c r="B191" t="s">
        <v>111</v>
      </c>
      <c r="C191" t="s">
        <v>800</v>
      </c>
      <c r="D191" t="s">
        <v>800</v>
      </c>
      <c r="E191" s="111" t="s">
        <v>3</v>
      </c>
      <c r="F191" t="s">
        <v>3</v>
      </c>
      <c r="G191" t="s">
        <v>111</v>
      </c>
      <c r="H191" t="s">
        <v>111</v>
      </c>
      <c r="I191" t="s">
        <v>3</v>
      </c>
      <c r="J191"/>
      <c r="K191" t="s">
        <v>3</v>
      </c>
      <c r="L191"/>
      <c r="M191" t="s">
        <v>3</v>
      </c>
      <c r="N191"/>
      <c r="O191" t="s">
        <v>3</v>
      </c>
      <c r="P191"/>
      <c r="Q191" t="s">
        <v>3</v>
      </c>
      <c r="R191"/>
      <c r="S191" t="s">
        <v>3</v>
      </c>
      <c r="T191" t="s">
        <v>111</v>
      </c>
      <c r="U191" s="109" t="s">
        <v>801</v>
      </c>
    </row>
    <row r="192" spans="1:21">
      <c r="A192" t="s">
        <v>802</v>
      </c>
      <c r="B192" t="s">
        <v>111</v>
      </c>
      <c r="C192" t="s">
        <v>803</v>
      </c>
      <c r="D192" t="s">
        <v>803</v>
      </c>
      <c r="E192" s="111" t="s">
        <v>3</v>
      </c>
      <c r="F192" t="s">
        <v>3</v>
      </c>
      <c r="G192" t="s">
        <v>111</v>
      </c>
      <c r="H192" t="s">
        <v>111</v>
      </c>
      <c r="I192" t="s">
        <v>3</v>
      </c>
      <c r="J192"/>
      <c r="K192" t="s">
        <v>3</v>
      </c>
      <c r="L192"/>
      <c r="M192" t="s">
        <v>3</v>
      </c>
      <c r="N192"/>
      <c r="O192" t="s">
        <v>3</v>
      </c>
      <c r="P192"/>
      <c r="Q192" t="s">
        <v>3</v>
      </c>
      <c r="R192"/>
      <c r="S192" t="s">
        <v>3</v>
      </c>
      <c r="T192" t="s">
        <v>111</v>
      </c>
      <c r="U192" s="109" t="s">
        <v>804</v>
      </c>
    </row>
    <row r="193" spans="1:21">
      <c r="A193" t="s">
        <v>805</v>
      </c>
      <c r="B193" t="s">
        <v>111</v>
      </c>
      <c r="C193" t="s">
        <v>806</v>
      </c>
      <c r="D193" t="s">
        <v>806</v>
      </c>
      <c r="E193" s="111" t="s">
        <v>3</v>
      </c>
      <c r="F193" t="s">
        <v>3</v>
      </c>
      <c r="G193" t="s">
        <v>111</v>
      </c>
      <c r="H193" t="s">
        <v>111</v>
      </c>
      <c r="I193" t="s">
        <v>3</v>
      </c>
      <c r="J193"/>
      <c r="K193" t="s">
        <v>3</v>
      </c>
      <c r="L193"/>
      <c r="M193" t="s">
        <v>3</v>
      </c>
      <c r="N193"/>
      <c r="O193" t="s">
        <v>3</v>
      </c>
      <c r="P193"/>
      <c r="Q193" t="s">
        <v>3</v>
      </c>
      <c r="R193"/>
      <c r="S193" t="s">
        <v>3</v>
      </c>
      <c r="T193" t="s">
        <v>111</v>
      </c>
      <c r="U193" s="109" t="s">
        <v>807</v>
      </c>
    </row>
    <row r="194" spans="1:21">
      <c r="A194" t="s">
        <v>808</v>
      </c>
      <c r="B194" t="s">
        <v>111</v>
      </c>
      <c r="C194" t="s">
        <v>809</v>
      </c>
      <c r="D194" t="s">
        <v>809</v>
      </c>
      <c r="E194" s="112" t="s">
        <v>3</v>
      </c>
      <c r="F194" t="s">
        <v>3</v>
      </c>
      <c r="G194" t="s">
        <v>111</v>
      </c>
      <c r="H194" t="s">
        <v>111</v>
      </c>
      <c r="I194" t="s">
        <v>3</v>
      </c>
      <c r="J194"/>
      <c r="K194" t="s">
        <v>3</v>
      </c>
      <c r="L194"/>
      <c r="M194" t="s">
        <v>3</v>
      </c>
      <c r="N194"/>
      <c r="O194" t="s">
        <v>3</v>
      </c>
      <c r="P194"/>
      <c r="Q194" t="s">
        <v>3</v>
      </c>
      <c r="R194"/>
      <c r="S194" t="s">
        <v>3</v>
      </c>
      <c r="T194" t="s">
        <v>111</v>
      </c>
      <c r="U194" s="109" t="s">
        <v>810</v>
      </c>
    </row>
    <row r="195" spans="1:21">
      <c r="A195" t="s">
        <v>811</v>
      </c>
      <c r="B195" t="s">
        <v>111</v>
      </c>
      <c r="C195" t="s">
        <v>812</v>
      </c>
      <c r="D195" t="s">
        <v>812</v>
      </c>
      <c r="E195" s="111" t="s">
        <v>3</v>
      </c>
      <c r="F195" t="s">
        <v>3</v>
      </c>
      <c r="G195" t="s">
        <v>111</v>
      </c>
      <c r="H195" t="s">
        <v>111</v>
      </c>
      <c r="I195" t="s">
        <v>3</v>
      </c>
      <c r="J195"/>
      <c r="K195" t="s">
        <v>3</v>
      </c>
      <c r="L195"/>
      <c r="M195" t="s">
        <v>3</v>
      </c>
      <c r="N195"/>
      <c r="O195" t="s">
        <v>3</v>
      </c>
      <c r="P195"/>
      <c r="Q195" t="s">
        <v>3</v>
      </c>
      <c r="R195"/>
      <c r="S195" t="s">
        <v>3</v>
      </c>
      <c r="T195" t="s">
        <v>111</v>
      </c>
      <c r="U195" s="109" t="s">
        <v>813</v>
      </c>
    </row>
    <row r="196" spans="1:21">
      <c r="A196" t="s">
        <v>814</v>
      </c>
      <c r="B196" t="s">
        <v>111</v>
      </c>
      <c r="C196" t="s">
        <v>815</v>
      </c>
      <c r="D196" t="s">
        <v>815</v>
      </c>
      <c r="E196" s="111" t="s">
        <v>3</v>
      </c>
      <c r="F196" t="s">
        <v>3</v>
      </c>
      <c r="G196" t="s">
        <v>111</v>
      </c>
      <c r="H196" t="s">
        <v>111</v>
      </c>
      <c r="I196" t="s">
        <v>3</v>
      </c>
      <c r="J196"/>
      <c r="K196" t="s">
        <v>3</v>
      </c>
      <c r="L196"/>
      <c r="M196" t="s">
        <v>3</v>
      </c>
      <c r="N196"/>
      <c r="O196" t="s">
        <v>3</v>
      </c>
      <c r="P196"/>
      <c r="Q196" t="s">
        <v>3</v>
      </c>
      <c r="R196"/>
      <c r="S196" t="s">
        <v>3</v>
      </c>
      <c r="T196" t="s">
        <v>111</v>
      </c>
      <c r="U196" s="109" t="s">
        <v>816</v>
      </c>
    </row>
    <row r="197" spans="1:21">
      <c r="A197" t="s">
        <v>817</v>
      </c>
      <c r="B197" t="s">
        <v>111</v>
      </c>
      <c r="C197" t="s">
        <v>818</v>
      </c>
      <c r="D197" t="s">
        <v>818</v>
      </c>
      <c r="E197" s="111" t="s">
        <v>3</v>
      </c>
      <c r="F197" t="s">
        <v>3</v>
      </c>
      <c r="G197" t="s">
        <v>111</v>
      </c>
      <c r="H197" t="s">
        <v>111</v>
      </c>
      <c r="I197" t="s">
        <v>3</v>
      </c>
      <c r="J197"/>
      <c r="K197" t="s">
        <v>3</v>
      </c>
      <c r="L197"/>
      <c r="M197" t="s">
        <v>3</v>
      </c>
      <c r="N197"/>
      <c r="O197" t="s">
        <v>3</v>
      </c>
      <c r="P197"/>
      <c r="Q197" t="s">
        <v>3</v>
      </c>
      <c r="R197"/>
      <c r="S197" t="s">
        <v>3</v>
      </c>
      <c r="T197" t="s">
        <v>111</v>
      </c>
      <c r="U197" s="109" t="s">
        <v>819</v>
      </c>
    </row>
    <row r="198" spans="1:21">
      <c r="A198" t="s">
        <v>820</v>
      </c>
      <c r="B198" t="s">
        <v>8</v>
      </c>
      <c r="C198" t="s">
        <v>821</v>
      </c>
      <c r="D198" t="s">
        <v>821</v>
      </c>
      <c r="E198" s="111" t="s">
        <v>3</v>
      </c>
      <c r="F198" t="s">
        <v>3</v>
      </c>
      <c r="G198" t="s">
        <v>67</v>
      </c>
      <c r="H198" t="s">
        <v>3</v>
      </c>
      <c r="I198" t="s">
        <v>3</v>
      </c>
      <c r="J198"/>
      <c r="K198" t="s">
        <v>3</v>
      </c>
      <c r="L198"/>
      <c r="M198" t="s">
        <v>3</v>
      </c>
      <c r="N198"/>
      <c r="O198" t="s">
        <v>3</v>
      </c>
      <c r="P198"/>
      <c r="Q198" t="s">
        <v>3</v>
      </c>
      <c r="R198"/>
      <c r="S198" t="s">
        <v>3</v>
      </c>
      <c r="T198" t="s">
        <v>111</v>
      </c>
      <c r="U198" s="109" t="s">
        <v>822</v>
      </c>
    </row>
    <row r="199" spans="1:21">
      <c r="A199" t="s">
        <v>823</v>
      </c>
      <c r="B199" t="s">
        <v>8</v>
      </c>
      <c r="C199" t="s">
        <v>824</v>
      </c>
      <c r="D199" t="s">
        <v>825</v>
      </c>
      <c r="E199" s="111" t="s">
        <v>826</v>
      </c>
      <c r="F199" t="s">
        <v>827</v>
      </c>
      <c r="G199" t="s">
        <v>8</v>
      </c>
      <c r="H199" t="s">
        <v>8</v>
      </c>
      <c r="I199" t="s">
        <v>11</v>
      </c>
      <c r="J199" t="s">
        <v>639</v>
      </c>
      <c r="K199" t="s">
        <v>3</v>
      </c>
      <c r="L199"/>
      <c r="M199" t="s">
        <v>3</v>
      </c>
      <c r="N199"/>
      <c r="O199" t="s">
        <v>3</v>
      </c>
      <c r="P199"/>
      <c r="Q199" t="s">
        <v>3</v>
      </c>
      <c r="R199"/>
      <c r="S199" t="s">
        <v>3</v>
      </c>
      <c r="T199" t="s">
        <v>111</v>
      </c>
      <c r="U199" s="109" t="s">
        <v>828</v>
      </c>
    </row>
    <row r="200" spans="1:21">
      <c r="A200" t="s">
        <v>827</v>
      </c>
      <c r="B200" t="s">
        <v>8</v>
      </c>
      <c r="C200" t="s">
        <v>829</v>
      </c>
      <c r="D200" t="s">
        <v>829</v>
      </c>
      <c r="E200" s="111" t="s">
        <v>826</v>
      </c>
      <c r="F200" t="s">
        <v>827</v>
      </c>
      <c r="G200" t="s">
        <v>8</v>
      </c>
      <c r="H200" t="s">
        <v>8</v>
      </c>
      <c r="I200" t="s">
        <v>11</v>
      </c>
      <c r="J200" t="s">
        <v>639</v>
      </c>
      <c r="K200" t="s">
        <v>3</v>
      </c>
      <c r="L200"/>
      <c r="M200" t="s">
        <v>3</v>
      </c>
      <c r="N200"/>
      <c r="O200" t="s">
        <v>3</v>
      </c>
      <c r="P200"/>
      <c r="Q200" t="s">
        <v>3</v>
      </c>
      <c r="R200"/>
      <c r="S200" t="s">
        <v>3</v>
      </c>
      <c r="T200" t="s">
        <v>111</v>
      </c>
      <c r="U200" s="109" t="s">
        <v>830</v>
      </c>
    </row>
    <row r="201" spans="1:21">
      <c r="A201" t="s">
        <v>831</v>
      </c>
      <c r="B201" t="s">
        <v>3</v>
      </c>
      <c r="C201" t="s">
        <v>832</v>
      </c>
      <c r="D201" t="s">
        <v>832</v>
      </c>
      <c r="E201" s="111" t="s">
        <v>3</v>
      </c>
      <c r="F201" t="s">
        <v>3</v>
      </c>
      <c r="G201" t="s">
        <v>8</v>
      </c>
      <c r="H201" t="s">
        <v>3</v>
      </c>
      <c r="I201" t="s">
        <v>3</v>
      </c>
      <c r="J201"/>
      <c r="K201" t="s">
        <v>3</v>
      </c>
      <c r="L201"/>
      <c r="M201" t="s">
        <v>3</v>
      </c>
      <c r="N201"/>
      <c r="O201" t="s">
        <v>3</v>
      </c>
      <c r="P201"/>
      <c r="Q201" t="s">
        <v>3</v>
      </c>
      <c r="R201"/>
      <c r="S201" t="s">
        <v>3</v>
      </c>
      <c r="T201" t="s">
        <v>111</v>
      </c>
      <c r="U201" s="109" t="s">
        <v>833</v>
      </c>
    </row>
    <row r="202" spans="1:21">
      <c r="A202" t="s">
        <v>834</v>
      </c>
      <c r="B202" t="s">
        <v>3</v>
      </c>
      <c r="C202" t="s">
        <v>835</v>
      </c>
      <c r="D202" t="s">
        <v>835</v>
      </c>
      <c r="E202" s="111" t="s">
        <v>3</v>
      </c>
      <c r="F202" t="s">
        <v>3</v>
      </c>
      <c r="G202" t="s">
        <v>3</v>
      </c>
      <c r="H202" t="s">
        <v>3</v>
      </c>
      <c r="I202" t="s">
        <v>3</v>
      </c>
      <c r="J202"/>
      <c r="K202" t="s">
        <v>3</v>
      </c>
      <c r="L202"/>
      <c r="M202" t="s">
        <v>3</v>
      </c>
      <c r="N202"/>
      <c r="O202" t="s">
        <v>3</v>
      </c>
      <c r="P202"/>
      <c r="Q202" t="s">
        <v>3</v>
      </c>
      <c r="R202"/>
      <c r="S202" t="s">
        <v>3</v>
      </c>
      <c r="T202" t="s">
        <v>111</v>
      </c>
      <c r="U202" s="109" t="s">
        <v>836</v>
      </c>
    </row>
    <row r="203" spans="1:21">
      <c r="A203" t="s">
        <v>837</v>
      </c>
      <c r="B203" t="s">
        <v>111</v>
      </c>
      <c r="C203" t="s">
        <v>657</v>
      </c>
      <c r="D203" t="s">
        <v>657</v>
      </c>
      <c r="E203" s="111" t="s">
        <v>3</v>
      </c>
      <c r="F203" t="s">
        <v>3</v>
      </c>
      <c r="G203" t="s">
        <v>116</v>
      </c>
      <c r="H203" t="s">
        <v>3</v>
      </c>
      <c r="I203" t="s">
        <v>3</v>
      </c>
      <c r="J203"/>
      <c r="K203" t="s">
        <v>3</v>
      </c>
      <c r="L203"/>
      <c r="M203" t="s">
        <v>3</v>
      </c>
      <c r="N203"/>
      <c r="O203" t="s">
        <v>3</v>
      </c>
      <c r="P203"/>
      <c r="Q203" t="s">
        <v>3</v>
      </c>
      <c r="R203"/>
      <c r="S203" t="s">
        <v>3</v>
      </c>
      <c r="T203" t="s">
        <v>111</v>
      </c>
      <c r="U203" s="109" t="s">
        <v>838</v>
      </c>
    </row>
    <row r="204" spans="1:21">
      <c r="A204" t="s">
        <v>839</v>
      </c>
      <c r="B204" t="s">
        <v>3</v>
      </c>
      <c r="C204" t="s">
        <v>840</v>
      </c>
      <c r="D204" t="s">
        <v>840</v>
      </c>
      <c r="E204" s="111" t="s">
        <v>3</v>
      </c>
      <c r="F204" t="s">
        <v>3</v>
      </c>
      <c r="G204" t="s">
        <v>3</v>
      </c>
      <c r="H204" t="s">
        <v>3</v>
      </c>
      <c r="I204" t="s">
        <v>3</v>
      </c>
      <c r="J204"/>
      <c r="K204" t="s">
        <v>3</v>
      </c>
      <c r="L204"/>
      <c r="M204" t="s">
        <v>3</v>
      </c>
      <c r="N204"/>
      <c r="O204" t="s">
        <v>3</v>
      </c>
      <c r="P204"/>
      <c r="Q204" t="s">
        <v>3</v>
      </c>
      <c r="R204"/>
      <c r="S204" t="s">
        <v>3</v>
      </c>
      <c r="T204" t="s">
        <v>111</v>
      </c>
      <c r="U204" s="109" t="s">
        <v>841</v>
      </c>
    </row>
    <row r="205" spans="1:21">
      <c r="A205" t="s">
        <v>842</v>
      </c>
      <c r="B205" t="s">
        <v>3</v>
      </c>
      <c r="C205" t="s">
        <v>843</v>
      </c>
      <c r="D205" t="s">
        <v>843</v>
      </c>
      <c r="E205" s="111" t="s">
        <v>3</v>
      </c>
      <c r="F205" t="s">
        <v>3</v>
      </c>
      <c r="G205" t="s">
        <v>3</v>
      </c>
      <c r="H205" t="s">
        <v>3</v>
      </c>
      <c r="I205" t="s">
        <v>3</v>
      </c>
      <c r="J205"/>
      <c r="K205" t="s">
        <v>3</v>
      </c>
      <c r="L205"/>
      <c r="M205" t="s">
        <v>3</v>
      </c>
      <c r="N205"/>
      <c r="O205" t="s">
        <v>3</v>
      </c>
      <c r="P205"/>
      <c r="Q205" t="s">
        <v>3</v>
      </c>
      <c r="R205"/>
      <c r="S205" t="s">
        <v>3</v>
      </c>
      <c r="T205" t="s">
        <v>111</v>
      </c>
      <c r="U205" s="109" t="s">
        <v>844</v>
      </c>
    </row>
    <row r="206" spans="1:21">
      <c r="A206" t="s">
        <v>845</v>
      </c>
      <c r="B206" t="s">
        <v>3</v>
      </c>
      <c r="C206" t="s">
        <v>846</v>
      </c>
      <c r="D206" t="s">
        <v>846</v>
      </c>
      <c r="E206" s="111" t="s">
        <v>3</v>
      </c>
      <c r="F206" t="s">
        <v>3</v>
      </c>
      <c r="G206" t="s">
        <v>3</v>
      </c>
      <c r="H206" t="s">
        <v>3</v>
      </c>
      <c r="I206" t="s">
        <v>3</v>
      </c>
      <c r="J206"/>
      <c r="K206" t="s">
        <v>3</v>
      </c>
      <c r="L206"/>
      <c r="M206" t="s">
        <v>3</v>
      </c>
      <c r="N206"/>
      <c r="O206" t="s">
        <v>3</v>
      </c>
      <c r="P206"/>
      <c r="Q206" t="s">
        <v>3</v>
      </c>
      <c r="R206"/>
      <c r="S206" t="s">
        <v>3</v>
      </c>
      <c r="T206" t="s">
        <v>111</v>
      </c>
      <c r="U206" s="109" t="s">
        <v>847</v>
      </c>
    </row>
    <row r="207" spans="1:21">
      <c r="A207" t="s">
        <v>848</v>
      </c>
      <c r="B207" t="s">
        <v>3</v>
      </c>
      <c r="C207" t="s">
        <v>849</v>
      </c>
      <c r="D207" t="s">
        <v>849</v>
      </c>
      <c r="E207" s="111" t="s">
        <v>3</v>
      </c>
      <c r="F207" t="s">
        <v>3</v>
      </c>
      <c r="G207" t="s">
        <v>3</v>
      </c>
      <c r="H207" t="s">
        <v>3</v>
      </c>
      <c r="I207" t="s">
        <v>3</v>
      </c>
      <c r="J207"/>
      <c r="K207" t="s">
        <v>3</v>
      </c>
      <c r="L207"/>
      <c r="M207" t="s">
        <v>3</v>
      </c>
      <c r="N207"/>
      <c r="O207" t="s">
        <v>3</v>
      </c>
      <c r="P207"/>
      <c r="Q207" t="s">
        <v>3</v>
      </c>
      <c r="R207"/>
      <c r="S207" t="s">
        <v>3</v>
      </c>
      <c r="T207" t="s">
        <v>111</v>
      </c>
      <c r="U207" s="109" t="s">
        <v>850</v>
      </c>
    </row>
    <row r="208" spans="1:21">
      <c r="A208" t="s">
        <v>851</v>
      </c>
      <c r="B208" t="s">
        <v>3</v>
      </c>
      <c r="C208" t="s">
        <v>852</v>
      </c>
      <c r="D208" t="s">
        <v>852</v>
      </c>
      <c r="E208" s="111" t="s">
        <v>3</v>
      </c>
      <c r="F208" t="s">
        <v>3</v>
      </c>
      <c r="G208" t="s">
        <v>3</v>
      </c>
      <c r="H208" t="s">
        <v>3</v>
      </c>
      <c r="I208" t="s">
        <v>3</v>
      </c>
      <c r="J208"/>
      <c r="K208" t="s">
        <v>3</v>
      </c>
      <c r="L208"/>
      <c r="M208" t="s">
        <v>3</v>
      </c>
      <c r="N208"/>
      <c r="O208" t="s">
        <v>3</v>
      </c>
      <c r="P208"/>
      <c r="Q208" t="s">
        <v>3</v>
      </c>
      <c r="R208"/>
      <c r="S208" t="s">
        <v>3</v>
      </c>
      <c r="T208" t="s">
        <v>111</v>
      </c>
      <c r="U208" s="109" t="s">
        <v>853</v>
      </c>
    </row>
    <row r="209" spans="1:21">
      <c r="A209" t="s">
        <v>854</v>
      </c>
      <c r="B209" t="s">
        <v>8</v>
      </c>
      <c r="C209" t="s">
        <v>855</v>
      </c>
      <c r="D209" t="s">
        <v>856</v>
      </c>
      <c r="E209" s="111" t="s">
        <v>3</v>
      </c>
      <c r="F209" t="s">
        <v>857</v>
      </c>
      <c r="G209" t="s">
        <v>8</v>
      </c>
      <c r="H209" t="s">
        <v>111</v>
      </c>
      <c r="I209" t="s">
        <v>3</v>
      </c>
      <c r="J209" t="s">
        <v>856</v>
      </c>
      <c r="K209" t="s">
        <v>3</v>
      </c>
      <c r="L209" t="s">
        <v>858</v>
      </c>
      <c r="M209" t="s">
        <v>3</v>
      </c>
      <c r="N209" t="s">
        <v>328</v>
      </c>
      <c r="O209" t="s">
        <v>3</v>
      </c>
      <c r="P209"/>
      <c r="Q209" t="s">
        <v>3</v>
      </c>
      <c r="R209"/>
      <c r="S209" t="s">
        <v>3</v>
      </c>
      <c r="T209" t="s">
        <v>111</v>
      </c>
      <c r="U209" s="109" t="s">
        <v>859</v>
      </c>
    </row>
    <row r="210" spans="1:21">
      <c r="A210" t="s">
        <v>857</v>
      </c>
      <c r="B210" t="s">
        <v>8</v>
      </c>
      <c r="C210" t="s">
        <v>860</v>
      </c>
      <c r="D210" t="s">
        <v>856</v>
      </c>
      <c r="E210" s="111" t="s">
        <v>3</v>
      </c>
      <c r="F210" t="s">
        <v>3</v>
      </c>
      <c r="G210" t="s">
        <v>8</v>
      </c>
      <c r="H210" t="s">
        <v>111</v>
      </c>
      <c r="I210" t="s">
        <v>3</v>
      </c>
      <c r="J210" t="s">
        <v>856</v>
      </c>
      <c r="K210" t="s">
        <v>3</v>
      </c>
      <c r="L210" t="s">
        <v>326</v>
      </c>
      <c r="M210" t="s">
        <v>3</v>
      </c>
      <c r="N210" t="s">
        <v>328</v>
      </c>
      <c r="O210" t="s">
        <v>3</v>
      </c>
      <c r="P210"/>
      <c r="Q210" t="s">
        <v>3</v>
      </c>
      <c r="R210"/>
      <c r="S210" t="s">
        <v>3</v>
      </c>
      <c r="T210" t="s">
        <v>111</v>
      </c>
      <c r="U210" s="109" t="s">
        <v>861</v>
      </c>
    </row>
    <row r="211" spans="1:21">
      <c r="A211" t="s">
        <v>862</v>
      </c>
      <c r="B211" t="s">
        <v>3</v>
      </c>
      <c r="C211" t="s">
        <v>326</v>
      </c>
      <c r="D211" t="s">
        <v>326</v>
      </c>
      <c r="E211" s="111" t="s">
        <v>3</v>
      </c>
      <c r="F211" t="s">
        <v>3</v>
      </c>
      <c r="G211" t="s">
        <v>3</v>
      </c>
      <c r="H211" t="s">
        <v>3</v>
      </c>
      <c r="I211" t="s">
        <v>3</v>
      </c>
      <c r="J211"/>
      <c r="K211" t="s">
        <v>3</v>
      </c>
      <c r="L211"/>
      <c r="M211" t="s">
        <v>3</v>
      </c>
      <c r="N211"/>
      <c r="O211" t="s">
        <v>3</v>
      </c>
      <c r="P211"/>
      <c r="Q211" t="s">
        <v>3</v>
      </c>
      <c r="R211"/>
      <c r="S211" t="s">
        <v>3</v>
      </c>
      <c r="T211" t="s">
        <v>111</v>
      </c>
      <c r="U211" s="109" t="s">
        <v>863</v>
      </c>
    </row>
    <row r="212" spans="1:21">
      <c r="A212" t="s">
        <v>864</v>
      </c>
      <c r="B212" t="s">
        <v>3</v>
      </c>
      <c r="C212" t="s">
        <v>865</v>
      </c>
      <c r="D212" t="s">
        <v>865</v>
      </c>
      <c r="E212" s="111" t="s">
        <v>3</v>
      </c>
      <c r="F212" t="s">
        <v>3</v>
      </c>
      <c r="G212" t="s">
        <v>3</v>
      </c>
      <c r="H212" t="s">
        <v>3</v>
      </c>
      <c r="I212" t="s">
        <v>3</v>
      </c>
      <c r="J212"/>
      <c r="K212" t="s">
        <v>3</v>
      </c>
      <c r="L212"/>
      <c r="M212" t="s">
        <v>3</v>
      </c>
      <c r="N212"/>
      <c r="O212" t="s">
        <v>3</v>
      </c>
      <c r="P212"/>
      <c r="Q212" t="s">
        <v>3</v>
      </c>
      <c r="R212"/>
      <c r="S212" t="s">
        <v>3</v>
      </c>
      <c r="T212" t="s">
        <v>111</v>
      </c>
      <c r="U212" s="109" t="s">
        <v>866</v>
      </c>
    </row>
    <row r="213" spans="1:21">
      <c r="A213" t="s">
        <v>867</v>
      </c>
      <c r="B213" t="s">
        <v>3</v>
      </c>
      <c r="C213" t="s">
        <v>868</v>
      </c>
      <c r="D213" t="s">
        <v>868</v>
      </c>
      <c r="E213" s="111" t="s">
        <v>3</v>
      </c>
      <c r="F213" t="s">
        <v>3</v>
      </c>
      <c r="G213" t="s">
        <v>3</v>
      </c>
      <c r="H213" t="s">
        <v>3</v>
      </c>
      <c r="I213" t="s">
        <v>3</v>
      </c>
      <c r="J213"/>
      <c r="K213" t="s">
        <v>3</v>
      </c>
      <c r="L213"/>
      <c r="M213" t="s">
        <v>3</v>
      </c>
      <c r="N213"/>
      <c r="O213" t="s">
        <v>3</v>
      </c>
      <c r="P213"/>
      <c r="Q213" t="s">
        <v>3</v>
      </c>
      <c r="R213"/>
      <c r="S213" t="s">
        <v>3</v>
      </c>
      <c r="T213" t="s">
        <v>111</v>
      </c>
      <c r="U213" s="109" t="s">
        <v>869</v>
      </c>
    </row>
    <row r="214" spans="1:21">
      <c r="A214" t="s">
        <v>870</v>
      </c>
      <c r="B214" t="s">
        <v>3</v>
      </c>
      <c r="C214" t="s">
        <v>871</v>
      </c>
      <c r="D214" t="s">
        <v>872</v>
      </c>
      <c r="E214" s="111" t="s">
        <v>3</v>
      </c>
      <c r="F214" t="s">
        <v>3</v>
      </c>
      <c r="G214" t="s">
        <v>3</v>
      </c>
      <c r="H214" t="s">
        <v>3</v>
      </c>
      <c r="I214" t="s">
        <v>3</v>
      </c>
      <c r="J214"/>
      <c r="K214" t="s">
        <v>3</v>
      </c>
      <c r="L214"/>
      <c r="M214" t="s">
        <v>3</v>
      </c>
      <c r="N214"/>
      <c r="O214" t="s">
        <v>3</v>
      </c>
      <c r="P214"/>
      <c r="Q214" t="s">
        <v>3</v>
      </c>
      <c r="R214"/>
      <c r="S214" t="s">
        <v>3</v>
      </c>
      <c r="T214" t="s">
        <v>111</v>
      </c>
      <c r="U214" s="109" t="s">
        <v>873</v>
      </c>
    </row>
    <row r="215" spans="1:21">
      <c r="A215" t="s">
        <v>874</v>
      </c>
      <c r="B215" t="s">
        <v>8</v>
      </c>
      <c r="C215" t="s">
        <v>875</v>
      </c>
      <c r="D215" t="s">
        <v>875</v>
      </c>
      <c r="E215" s="111" t="s">
        <v>3</v>
      </c>
      <c r="F215" t="s">
        <v>876</v>
      </c>
      <c r="G215" t="s">
        <v>8</v>
      </c>
      <c r="H215" t="s">
        <v>111</v>
      </c>
      <c r="I215" t="s">
        <v>3</v>
      </c>
      <c r="J215" t="s">
        <v>219</v>
      </c>
      <c r="K215" t="s">
        <v>8</v>
      </c>
      <c r="L215"/>
      <c r="M215" t="s">
        <v>3</v>
      </c>
      <c r="N215"/>
      <c r="O215" t="s">
        <v>3</v>
      </c>
      <c r="P215"/>
      <c r="Q215" t="s">
        <v>3</v>
      </c>
      <c r="R215"/>
      <c r="S215" t="s">
        <v>3</v>
      </c>
      <c r="T215" t="s">
        <v>111</v>
      </c>
      <c r="U215" s="109" t="s">
        <v>877</v>
      </c>
    </row>
    <row r="216" spans="1:21">
      <c r="A216" t="s">
        <v>876</v>
      </c>
      <c r="B216" t="s">
        <v>8</v>
      </c>
      <c r="C216" t="s">
        <v>400</v>
      </c>
      <c r="D216" t="s">
        <v>875</v>
      </c>
      <c r="E216" s="111" t="s">
        <v>3</v>
      </c>
      <c r="F216" t="s">
        <v>876</v>
      </c>
      <c r="G216" t="s">
        <v>8</v>
      </c>
      <c r="H216" t="s">
        <v>111</v>
      </c>
      <c r="I216" t="s">
        <v>3</v>
      </c>
      <c r="J216" t="s">
        <v>219</v>
      </c>
      <c r="K216" t="s">
        <v>8</v>
      </c>
      <c r="L216"/>
      <c r="M216" t="s">
        <v>3</v>
      </c>
      <c r="N216"/>
      <c r="O216" t="s">
        <v>3</v>
      </c>
      <c r="P216"/>
      <c r="Q216" t="s">
        <v>3</v>
      </c>
      <c r="R216"/>
      <c r="S216" t="s">
        <v>3</v>
      </c>
      <c r="T216" t="s">
        <v>111</v>
      </c>
      <c r="U216" s="109" t="s">
        <v>878</v>
      </c>
    </row>
    <row r="217" spans="1:21">
      <c r="A217" t="s">
        <v>879</v>
      </c>
      <c r="B217" t="s">
        <v>3</v>
      </c>
      <c r="C217" t="s">
        <v>880</v>
      </c>
      <c r="D217" t="s">
        <v>880</v>
      </c>
      <c r="E217" s="111" t="s">
        <v>3</v>
      </c>
      <c r="F217" t="s">
        <v>3</v>
      </c>
      <c r="G217" t="s">
        <v>3</v>
      </c>
      <c r="H217" t="s">
        <v>3</v>
      </c>
      <c r="I217" t="s">
        <v>3</v>
      </c>
      <c r="J217"/>
      <c r="K217" t="s">
        <v>3</v>
      </c>
      <c r="L217"/>
      <c r="M217" t="s">
        <v>3</v>
      </c>
      <c r="N217"/>
      <c r="O217" t="s">
        <v>3</v>
      </c>
      <c r="P217"/>
      <c r="Q217" t="s">
        <v>3</v>
      </c>
      <c r="R217"/>
      <c r="S217" t="s">
        <v>3</v>
      </c>
      <c r="T217" t="s">
        <v>111</v>
      </c>
      <c r="U217" s="109" t="s">
        <v>881</v>
      </c>
    </row>
    <row r="218" spans="1:21">
      <c r="A218" t="s">
        <v>882</v>
      </c>
      <c r="B218" t="s">
        <v>8</v>
      </c>
      <c r="C218" t="s">
        <v>883</v>
      </c>
      <c r="D218" t="s">
        <v>883</v>
      </c>
      <c r="E218" s="111" t="s">
        <v>3</v>
      </c>
      <c r="F218" t="s">
        <v>3</v>
      </c>
      <c r="G218" t="s">
        <v>8</v>
      </c>
      <c r="H218" t="s">
        <v>3</v>
      </c>
      <c r="I218" t="s">
        <v>3</v>
      </c>
      <c r="J218"/>
      <c r="K218" t="s">
        <v>3</v>
      </c>
      <c r="L218"/>
      <c r="M218" t="s">
        <v>3</v>
      </c>
      <c r="N218"/>
      <c r="O218" t="s">
        <v>3</v>
      </c>
      <c r="P218"/>
      <c r="Q218" t="s">
        <v>3</v>
      </c>
      <c r="R218"/>
      <c r="S218" t="s">
        <v>3</v>
      </c>
      <c r="T218" t="s">
        <v>111</v>
      </c>
      <c r="U218" s="109" t="s">
        <v>884</v>
      </c>
    </row>
    <row r="219" spans="1:21">
      <c r="A219" t="s">
        <v>885</v>
      </c>
      <c r="B219" t="s">
        <v>3</v>
      </c>
      <c r="C219" t="s">
        <v>886</v>
      </c>
      <c r="D219" t="s">
        <v>886</v>
      </c>
      <c r="E219" s="111" t="s">
        <v>3</v>
      </c>
      <c r="F219" t="s">
        <v>3</v>
      </c>
      <c r="G219" t="s">
        <v>3</v>
      </c>
      <c r="H219" t="s">
        <v>3</v>
      </c>
      <c r="I219" t="s">
        <v>3</v>
      </c>
      <c r="J219"/>
      <c r="K219" t="s">
        <v>3</v>
      </c>
      <c r="L219"/>
      <c r="M219" t="s">
        <v>3</v>
      </c>
      <c r="N219"/>
      <c r="O219" t="s">
        <v>3</v>
      </c>
      <c r="P219"/>
      <c r="Q219" t="s">
        <v>3</v>
      </c>
      <c r="R219"/>
      <c r="S219" t="s">
        <v>3</v>
      </c>
      <c r="T219" t="s">
        <v>111</v>
      </c>
      <c r="U219" s="109" t="s">
        <v>887</v>
      </c>
    </row>
    <row r="220" spans="1:21">
      <c r="A220" t="s">
        <v>888</v>
      </c>
      <c r="B220" t="s">
        <v>3</v>
      </c>
      <c r="C220" t="s">
        <v>889</v>
      </c>
      <c r="D220" t="s">
        <v>889</v>
      </c>
      <c r="E220" s="111" t="s">
        <v>3</v>
      </c>
      <c r="F220" t="s">
        <v>3</v>
      </c>
      <c r="G220" t="s">
        <v>3</v>
      </c>
      <c r="H220" t="s">
        <v>3</v>
      </c>
      <c r="I220" t="s">
        <v>3</v>
      </c>
      <c r="J220"/>
      <c r="K220" t="s">
        <v>3</v>
      </c>
      <c r="L220"/>
      <c r="M220" t="s">
        <v>3</v>
      </c>
      <c r="N220"/>
      <c r="O220" t="s">
        <v>3</v>
      </c>
      <c r="P220"/>
      <c r="Q220" t="s">
        <v>3</v>
      </c>
      <c r="R220"/>
      <c r="S220" t="s">
        <v>3</v>
      </c>
      <c r="T220" t="s">
        <v>111</v>
      </c>
      <c r="U220" s="109" t="s">
        <v>890</v>
      </c>
    </row>
    <row r="221" spans="1:21">
      <c r="A221" t="s">
        <v>891</v>
      </c>
      <c r="B221" t="s">
        <v>3</v>
      </c>
      <c r="C221" t="s">
        <v>892</v>
      </c>
      <c r="D221" t="s">
        <v>892</v>
      </c>
      <c r="E221" s="111" t="s">
        <v>3</v>
      </c>
      <c r="F221" t="s">
        <v>3</v>
      </c>
      <c r="G221" t="s">
        <v>3</v>
      </c>
      <c r="H221" t="s">
        <v>3</v>
      </c>
      <c r="I221" t="s">
        <v>3</v>
      </c>
      <c r="J221"/>
      <c r="K221" t="s">
        <v>3</v>
      </c>
      <c r="L221"/>
      <c r="M221" t="s">
        <v>3</v>
      </c>
      <c r="N221"/>
      <c r="O221" t="s">
        <v>3</v>
      </c>
      <c r="P221"/>
      <c r="Q221" t="s">
        <v>3</v>
      </c>
      <c r="R221"/>
      <c r="S221" t="s">
        <v>3</v>
      </c>
      <c r="T221" t="s">
        <v>111</v>
      </c>
      <c r="U221" s="109" t="s">
        <v>893</v>
      </c>
    </row>
    <row r="222" spans="1:21">
      <c r="A222" t="s">
        <v>894</v>
      </c>
      <c r="B222" t="s">
        <v>8</v>
      </c>
      <c r="C222" t="s">
        <v>895</v>
      </c>
      <c r="D222" t="s">
        <v>895</v>
      </c>
      <c r="E222" s="111" t="s">
        <v>3</v>
      </c>
      <c r="F222" t="s">
        <v>896</v>
      </c>
      <c r="G222" t="s">
        <v>8</v>
      </c>
      <c r="H222" t="s">
        <v>111</v>
      </c>
      <c r="I222" t="s">
        <v>3</v>
      </c>
      <c r="J222" t="s">
        <v>232</v>
      </c>
      <c r="K222" t="s">
        <v>3</v>
      </c>
      <c r="L222" t="s">
        <v>670</v>
      </c>
      <c r="M222" t="s">
        <v>3</v>
      </c>
      <c r="N222" t="s">
        <v>897</v>
      </c>
      <c r="O222" t="s">
        <v>3</v>
      </c>
      <c r="P222" t="s">
        <v>898</v>
      </c>
      <c r="Q222" t="s">
        <v>3</v>
      </c>
      <c r="R222"/>
      <c r="S222" t="s">
        <v>3</v>
      </c>
      <c r="T222" t="s">
        <v>111</v>
      </c>
      <c r="U222" s="109" t="s">
        <v>899</v>
      </c>
    </row>
    <row r="223" spans="1:21">
      <c r="A223" t="s">
        <v>896</v>
      </c>
      <c r="B223" t="s">
        <v>8</v>
      </c>
      <c r="C223" t="s">
        <v>895</v>
      </c>
      <c r="D223" t="s">
        <v>900</v>
      </c>
      <c r="E223" s="111" t="s">
        <v>3</v>
      </c>
      <c r="F223" t="s">
        <v>3</v>
      </c>
      <c r="G223" t="s">
        <v>8</v>
      </c>
      <c r="H223" t="s">
        <v>111</v>
      </c>
      <c r="I223" t="s">
        <v>3</v>
      </c>
      <c r="J223"/>
      <c r="K223" t="s">
        <v>3</v>
      </c>
      <c r="L223"/>
      <c r="M223" t="s">
        <v>3</v>
      </c>
      <c r="N223"/>
      <c r="O223" t="s">
        <v>3</v>
      </c>
      <c r="P223"/>
      <c r="Q223" t="s">
        <v>3</v>
      </c>
      <c r="R223"/>
      <c r="S223" t="s">
        <v>3</v>
      </c>
      <c r="T223" t="s">
        <v>111</v>
      </c>
      <c r="U223" s="109" t="s">
        <v>901</v>
      </c>
    </row>
    <row r="224" spans="1:21">
      <c r="A224" t="s">
        <v>902</v>
      </c>
      <c r="B224" t="s">
        <v>3</v>
      </c>
      <c r="C224" t="s">
        <v>903</v>
      </c>
      <c r="D224" t="s">
        <v>904</v>
      </c>
      <c r="E224" s="111" t="s">
        <v>3</v>
      </c>
      <c r="F224" t="s">
        <v>3</v>
      </c>
      <c r="G224" t="s">
        <v>3</v>
      </c>
      <c r="H224" t="s">
        <v>3</v>
      </c>
      <c r="I224" t="s">
        <v>3</v>
      </c>
      <c r="J224"/>
      <c r="K224" t="s">
        <v>3</v>
      </c>
      <c r="L224"/>
      <c r="M224" t="s">
        <v>3</v>
      </c>
      <c r="N224"/>
      <c r="O224" t="s">
        <v>3</v>
      </c>
      <c r="P224"/>
      <c r="Q224" t="s">
        <v>3</v>
      </c>
      <c r="R224"/>
      <c r="S224" t="s">
        <v>3</v>
      </c>
      <c r="T224" t="s">
        <v>111</v>
      </c>
      <c r="U224" s="109" t="s">
        <v>905</v>
      </c>
    </row>
    <row r="225" spans="1:21">
      <c r="A225" t="s">
        <v>906</v>
      </c>
      <c r="B225" t="s">
        <v>3</v>
      </c>
      <c r="C225" t="s">
        <v>907</v>
      </c>
      <c r="D225" t="s">
        <v>908</v>
      </c>
      <c r="E225" s="111" t="s">
        <v>3</v>
      </c>
      <c r="F225" t="s">
        <v>3</v>
      </c>
      <c r="G225" t="s">
        <v>3</v>
      </c>
      <c r="H225" t="s">
        <v>3</v>
      </c>
      <c r="I225" t="s">
        <v>3</v>
      </c>
      <c r="J225"/>
      <c r="K225" t="s">
        <v>3</v>
      </c>
      <c r="L225"/>
      <c r="M225" t="s">
        <v>3</v>
      </c>
      <c r="N225"/>
      <c r="O225" t="s">
        <v>3</v>
      </c>
      <c r="P225"/>
      <c r="Q225" t="s">
        <v>3</v>
      </c>
      <c r="R225"/>
      <c r="S225" t="s">
        <v>3</v>
      </c>
      <c r="T225" t="s">
        <v>111</v>
      </c>
      <c r="U225" s="109" t="s">
        <v>909</v>
      </c>
    </row>
    <row r="226" spans="1:21">
      <c r="A226" t="s">
        <v>910</v>
      </c>
      <c r="B226" t="s">
        <v>3</v>
      </c>
      <c r="C226" t="s">
        <v>911</v>
      </c>
      <c r="D226" t="s">
        <v>911</v>
      </c>
      <c r="E226" s="111" t="s">
        <v>3</v>
      </c>
      <c r="F226" t="s">
        <v>3</v>
      </c>
      <c r="G226" t="s">
        <v>3</v>
      </c>
      <c r="H226" t="s">
        <v>3</v>
      </c>
      <c r="I226" t="s">
        <v>3</v>
      </c>
      <c r="J226"/>
      <c r="K226" t="s">
        <v>3</v>
      </c>
      <c r="L226"/>
      <c r="M226" t="s">
        <v>3</v>
      </c>
      <c r="N226"/>
      <c r="O226" t="s">
        <v>3</v>
      </c>
      <c r="P226"/>
      <c r="Q226" t="s">
        <v>3</v>
      </c>
      <c r="R226"/>
      <c r="S226" t="s">
        <v>3</v>
      </c>
      <c r="T226" t="s">
        <v>111</v>
      </c>
      <c r="U226" s="109" t="s">
        <v>912</v>
      </c>
    </row>
    <row r="227" spans="1:21">
      <c r="A227" t="s">
        <v>913</v>
      </c>
      <c r="B227" t="s">
        <v>8</v>
      </c>
      <c r="C227" t="s">
        <v>914</v>
      </c>
      <c r="D227" t="s">
        <v>914</v>
      </c>
      <c r="E227" s="111" t="s">
        <v>3</v>
      </c>
      <c r="F227" t="s">
        <v>3</v>
      </c>
      <c r="G227" t="s">
        <v>8</v>
      </c>
      <c r="H227" t="s">
        <v>3</v>
      </c>
      <c r="I227" t="s">
        <v>3</v>
      </c>
      <c r="J227"/>
      <c r="K227" t="s">
        <v>3</v>
      </c>
      <c r="L227"/>
      <c r="M227" t="s">
        <v>3</v>
      </c>
      <c r="N227"/>
      <c r="O227" t="s">
        <v>3</v>
      </c>
      <c r="P227"/>
      <c r="Q227" t="s">
        <v>3</v>
      </c>
      <c r="R227"/>
      <c r="S227" t="s">
        <v>3</v>
      </c>
      <c r="T227" t="s">
        <v>111</v>
      </c>
      <c r="U227" s="109" t="s">
        <v>915</v>
      </c>
    </row>
    <row r="228" spans="1:21">
      <c r="A228" t="s">
        <v>916</v>
      </c>
      <c r="B228" t="s">
        <v>3</v>
      </c>
      <c r="C228" t="s">
        <v>917</v>
      </c>
      <c r="D228" t="s">
        <v>917</v>
      </c>
      <c r="E228" s="111" t="s">
        <v>3</v>
      </c>
      <c r="F228" t="s">
        <v>3</v>
      </c>
      <c r="G228" t="s">
        <v>3</v>
      </c>
      <c r="H228" t="s">
        <v>3</v>
      </c>
      <c r="I228" t="s">
        <v>3</v>
      </c>
      <c r="J228"/>
      <c r="K228" t="s">
        <v>3</v>
      </c>
      <c r="L228"/>
      <c r="M228" t="s">
        <v>3</v>
      </c>
      <c r="N228"/>
      <c r="O228" t="s">
        <v>3</v>
      </c>
      <c r="P228"/>
      <c r="Q228" t="s">
        <v>3</v>
      </c>
      <c r="R228"/>
      <c r="S228" t="s">
        <v>3</v>
      </c>
      <c r="T228" t="s">
        <v>111</v>
      </c>
      <c r="U228" s="109" t="s">
        <v>918</v>
      </c>
    </row>
    <row r="229" spans="1:21">
      <c r="A229" t="s">
        <v>919</v>
      </c>
      <c r="B229" t="s">
        <v>3</v>
      </c>
      <c r="C229" t="s">
        <v>920</v>
      </c>
      <c r="D229" t="s">
        <v>920</v>
      </c>
      <c r="E229" s="111" t="s">
        <v>3</v>
      </c>
      <c r="F229" t="s">
        <v>3</v>
      </c>
      <c r="G229" t="s">
        <v>3</v>
      </c>
      <c r="H229" t="s">
        <v>3</v>
      </c>
      <c r="I229" t="s">
        <v>3</v>
      </c>
      <c r="J229"/>
      <c r="K229" t="s">
        <v>3</v>
      </c>
      <c r="L229"/>
      <c r="M229" t="s">
        <v>3</v>
      </c>
      <c r="N229"/>
      <c r="O229" t="s">
        <v>3</v>
      </c>
      <c r="P229"/>
      <c r="Q229" t="s">
        <v>3</v>
      </c>
      <c r="R229"/>
      <c r="S229" t="s">
        <v>3</v>
      </c>
      <c r="T229" t="s">
        <v>111</v>
      </c>
      <c r="U229" s="109" t="s">
        <v>921</v>
      </c>
    </row>
    <row r="230" spans="1:21">
      <c r="A230" t="s">
        <v>922</v>
      </c>
      <c r="B230" t="s">
        <v>8</v>
      </c>
      <c r="C230" t="s">
        <v>923</v>
      </c>
      <c r="D230" t="s">
        <v>923</v>
      </c>
      <c r="E230" s="111" t="s">
        <v>3</v>
      </c>
      <c r="F230" t="s">
        <v>924</v>
      </c>
      <c r="G230" t="s">
        <v>8</v>
      </c>
      <c r="H230" t="s">
        <v>8</v>
      </c>
      <c r="I230" t="s">
        <v>163</v>
      </c>
      <c r="J230"/>
      <c r="K230" t="s">
        <v>3</v>
      </c>
      <c r="L230"/>
      <c r="M230" t="s">
        <v>3</v>
      </c>
      <c r="N230"/>
      <c r="O230" t="s">
        <v>3</v>
      </c>
      <c r="P230"/>
      <c r="Q230" t="s">
        <v>3</v>
      </c>
      <c r="R230"/>
      <c r="S230" t="s">
        <v>3</v>
      </c>
      <c r="T230" t="s">
        <v>111</v>
      </c>
      <c r="U230" s="109" t="s">
        <v>925</v>
      </c>
    </row>
    <row r="231" spans="1:21">
      <c r="A231" t="s">
        <v>926</v>
      </c>
      <c r="B231" t="s">
        <v>3</v>
      </c>
      <c r="C231" t="s">
        <v>927</v>
      </c>
      <c r="D231" t="s">
        <v>927</v>
      </c>
      <c r="E231" s="111" t="s">
        <v>3</v>
      </c>
      <c r="F231" t="s">
        <v>3</v>
      </c>
      <c r="G231" t="s">
        <v>3</v>
      </c>
      <c r="H231" t="s">
        <v>8</v>
      </c>
      <c r="I231" t="s">
        <v>163</v>
      </c>
      <c r="J231"/>
      <c r="K231" t="s">
        <v>3</v>
      </c>
      <c r="L231"/>
      <c r="M231" t="s">
        <v>3</v>
      </c>
      <c r="N231"/>
      <c r="O231" t="s">
        <v>3</v>
      </c>
      <c r="P231"/>
      <c r="Q231" t="s">
        <v>3</v>
      </c>
      <c r="R231"/>
      <c r="S231" t="s">
        <v>3</v>
      </c>
      <c r="T231" t="s">
        <v>111</v>
      </c>
      <c r="U231" s="109" t="s">
        <v>928</v>
      </c>
    </row>
    <row r="232" spans="1:21">
      <c r="A232" t="s">
        <v>929</v>
      </c>
      <c r="B232" t="s">
        <v>3</v>
      </c>
      <c r="C232" t="s">
        <v>930</v>
      </c>
      <c r="D232" t="s">
        <v>930</v>
      </c>
      <c r="E232" s="111" t="s">
        <v>3</v>
      </c>
      <c r="F232" t="s">
        <v>3</v>
      </c>
      <c r="G232" t="s">
        <v>3</v>
      </c>
      <c r="H232" t="s">
        <v>3</v>
      </c>
      <c r="I232" t="s">
        <v>3</v>
      </c>
      <c r="J232"/>
      <c r="K232" t="s">
        <v>3</v>
      </c>
      <c r="L232"/>
      <c r="M232" t="s">
        <v>3</v>
      </c>
      <c r="N232"/>
      <c r="O232" t="s">
        <v>3</v>
      </c>
      <c r="P232"/>
      <c r="Q232" t="s">
        <v>3</v>
      </c>
      <c r="R232"/>
      <c r="S232" t="s">
        <v>3</v>
      </c>
      <c r="T232" t="s">
        <v>111</v>
      </c>
      <c r="U232" s="109" t="s">
        <v>931</v>
      </c>
    </row>
    <row r="233" spans="1:21">
      <c r="A233" t="s">
        <v>932</v>
      </c>
      <c r="B233" t="s">
        <v>8</v>
      </c>
      <c r="C233" t="s">
        <v>933</v>
      </c>
      <c r="D233" t="s">
        <v>934</v>
      </c>
      <c r="E233" s="111" t="s">
        <v>3</v>
      </c>
      <c r="F233" t="s">
        <v>935</v>
      </c>
      <c r="G233" t="s">
        <v>8</v>
      </c>
      <c r="H233" t="s">
        <v>3</v>
      </c>
      <c r="I233" t="s">
        <v>3</v>
      </c>
      <c r="J233" t="s">
        <v>50</v>
      </c>
      <c r="K233" t="s">
        <v>3</v>
      </c>
      <c r="L233" t="s">
        <v>358</v>
      </c>
      <c r="M233" t="s">
        <v>3</v>
      </c>
      <c r="N233" t="s">
        <v>359</v>
      </c>
      <c r="O233" t="s">
        <v>3</v>
      </c>
      <c r="P233" t="s">
        <v>936</v>
      </c>
      <c r="Q233" t="s">
        <v>3</v>
      </c>
      <c r="R233" t="s">
        <v>937</v>
      </c>
      <c r="S233" t="s">
        <v>3</v>
      </c>
      <c r="T233" t="s">
        <v>111</v>
      </c>
      <c r="U233" s="109" t="s">
        <v>938</v>
      </c>
    </row>
    <row r="234" spans="1:21">
      <c r="A234" t="s">
        <v>939</v>
      </c>
      <c r="B234" t="s">
        <v>3</v>
      </c>
      <c r="C234" t="s">
        <v>940</v>
      </c>
      <c r="D234" t="s">
        <v>940</v>
      </c>
      <c r="E234" s="111" t="s">
        <v>3</v>
      </c>
      <c r="F234" t="s">
        <v>3</v>
      </c>
      <c r="G234" t="s">
        <v>3</v>
      </c>
      <c r="H234" t="s">
        <v>3</v>
      </c>
      <c r="I234" t="s">
        <v>3</v>
      </c>
      <c r="J234"/>
      <c r="K234" t="s">
        <v>3</v>
      </c>
      <c r="L234"/>
      <c r="M234" t="s">
        <v>3</v>
      </c>
      <c r="N234"/>
      <c r="O234" t="s">
        <v>3</v>
      </c>
      <c r="P234"/>
      <c r="Q234" t="s">
        <v>3</v>
      </c>
      <c r="R234"/>
      <c r="S234" t="s">
        <v>3</v>
      </c>
      <c r="T234" t="s">
        <v>111</v>
      </c>
      <c r="U234" s="109" t="s">
        <v>941</v>
      </c>
    </row>
    <row r="235" spans="1:21">
      <c r="A235" t="s">
        <v>942</v>
      </c>
      <c r="B235" t="s">
        <v>3</v>
      </c>
      <c r="C235" t="s">
        <v>943</v>
      </c>
      <c r="D235" t="s">
        <v>943</v>
      </c>
      <c r="E235" s="111" t="s">
        <v>3</v>
      </c>
      <c r="F235" t="s">
        <v>3</v>
      </c>
      <c r="G235" t="s">
        <v>3</v>
      </c>
      <c r="H235" t="s">
        <v>3</v>
      </c>
      <c r="I235" t="s">
        <v>3</v>
      </c>
      <c r="J235"/>
      <c r="K235" t="s">
        <v>3</v>
      </c>
      <c r="L235"/>
      <c r="M235" t="s">
        <v>3</v>
      </c>
      <c r="N235"/>
      <c r="O235" t="s">
        <v>3</v>
      </c>
      <c r="P235"/>
      <c r="Q235" t="s">
        <v>3</v>
      </c>
      <c r="R235"/>
      <c r="S235" t="s">
        <v>3</v>
      </c>
      <c r="T235" t="s">
        <v>111</v>
      </c>
      <c r="U235" s="109" t="s">
        <v>944</v>
      </c>
    </row>
    <row r="236" spans="1:21">
      <c r="A236" t="s">
        <v>935</v>
      </c>
      <c r="B236" t="s">
        <v>8</v>
      </c>
      <c r="C236" t="s">
        <v>945</v>
      </c>
      <c r="D236" t="s">
        <v>934</v>
      </c>
      <c r="E236" s="111" t="s">
        <v>3</v>
      </c>
      <c r="F236" t="s">
        <v>3</v>
      </c>
      <c r="G236" t="s">
        <v>8</v>
      </c>
      <c r="H236" t="s">
        <v>3</v>
      </c>
      <c r="I236" t="s">
        <v>3</v>
      </c>
      <c r="J236"/>
      <c r="K236" t="s">
        <v>3</v>
      </c>
      <c r="L236"/>
      <c r="M236" t="s">
        <v>3</v>
      </c>
      <c r="N236"/>
      <c r="O236" t="s">
        <v>3</v>
      </c>
      <c r="P236"/>
      <c r="Q236" t="s">
        <v>3</v>
      </c>
      <c r="R236"/>
      <c r="S236" t="s">
        <v>3</v>
      </c>
      <c r="T236" t="s">
        <v>111</v>
      </c>
      <c r="U236" s="109" t="s">
        <v>946</v>
      </c>
    </row>
    <row r="237" spans="1:21">
      <c r="A237" t="s">
        <v>947</v>
      </c>
      <c r="B237" t="s">
        <v>8</v>
      </c>
      <c r="C237" t="s">
        <v>948</v>
      </c>
      <c r="D237" t="s">
        <v>949</v>
      </c>
      <c r="E237" s="111" t="s">
        <v>3</v>
      </c>
      <c r="F237" t="s">
        <v>950</v>
      </c>
      <c r="G237" t="s">
        <v>8</v>
      </c>
      <c r="H237" t="s">
        <v>8</v>
      </c>
      <c r="I237" t="s">
        <v>69</v>
      </c>
      <c r="J237"/>
      <c r="K237" t="s">
        <v>3</v>
      </c>
      <c r="L237"/>
      <c r="M237" t="s">
        <v>3</v>
      </c>
      <c r="N237"/>
      <c r="O237" t="s">
        <v>3</v>
      </c>
      <c r="P237"/>
      <c r="Q237" t="s">
        <v>3</v>
      </c>
      <c r="R237"/>
      <c r="S237" t="s">
        <v>3</v>
      </c>
      <c r="T237" t="s">
        <v>111</v>
      </c>
      <c r="U237" s="109" t="s">
        <v>951</v>
      </c>
    </row>
    <row r="238" spans="1:21">
      <c r="A238" t="s">
        <v>950</v>
      </c>
      <c r="B238" t="s">
        <v>8</v>
      </c>
      <c r="C238" t="s">
        <v>952</v>
      </c>
      <c r="D238" t="s">
        <v>952</v>
      </c>
      <c r="E238" s="111" t="s">
        <v>3</v>
      </c>
      <c r="F238" t="s">
        <v>3</v>
      </c>
      <c r="G238" t="s">
        <v>8</v>
      </c>
      <c r="H238" t="s">
        <v>8</v>
      </c>
      <c r="I238" t="s">
        <v>64</v>
      </c>
      <c r="J238"/>
      <c r="K238" t="s">
        <v>3</v>
      </c>
      <c r="L238"/>
      <c r="M238" t="s">
        <v>3</v>
      </c>
      <c r="N238"/>
      <c r="O238" t="s">
        <v>3</v>
      </c>
      <c r="P238"/>
      <c r="Q238" t="s">
        <v>3</v>
      </c>
      <c r="R238"/>
      <c r="S238" t="s">
        <v>3</v>
      </c>
      <c r="T238" t="s">
        <v>111</v>
      </c>
      <c r="U238" s="109" t="s">
        <v>953</v>
      </c>
    </row>
    <row r="239" spans="1:21">
      <c r="A239" t="s">
        <v>954</v>
      </c>
      <c r="B239" t="s">
        <v>8</v>
      </c>
      <c r="C239" t="s">
        <v>955</v>
      </c>
      <c r="D239" t="s">
        <v>955</v>
      </c>
      <c r="E239" s="111" t="s">
        <v>3</v>
      </c>
      <c r="F239" t="s">
        <v>3</v>
      </c>
      <c r="G239" t="s">
        <v>3</v>
      </c>
      <c r="H239" t="s">
        <v>3</v>
      </c>
      <c r="I239" t="s">
        <v>3</v>
      </c>
      <c r="J239"/>
      <c r="K239" t="s">
        <v>3</v>
      </c>
      <c r="L239"/>
      <c r="M239" t="s">
        <v>3</v>
      </c>
      <c r="N239"/>
      <c r="O239" t="s">
        <v>3</v>
      </c>
      <c r="P239"/>
      <c r="Q239" t="s">
        <v>3</v>
      </c>
      <c r="R239"/>
      <c r="S239" t="s">
        <v>3</v>
      </c>
      <c r="T239" t="s">
        <v>111</v>
      </c>
      <c r="U239" s="109" t="s">
        <v>956</v>
      </c>
    </row>
    <row r="240" spans="1:21">
      <c r="A240" t="s">
        <v>957</v>
      </c>
      <c r="B240" t="s">
        <v>8</v>
      </c>
      <c r="C240" t="s">
        <v>958</v>
      </c>
      <c r="D240" t="s">
        <v>958</v>
      </c>
      <c r="E240" s="111" t="s">
        <v>3</v>
      </c>
      <c r="F240" t="s">
        <v>3</v>
      </c>
      <c r="G240" t="s">
        <v>3</v>
      </c>
      <c r="H240" t="s">
        <v>3</v>
      </c>
      <c r="I240" t="s">
        <v>3</v>
      </c>
      <c r="J240"/>
      <c r="K240" t="s">
        <v>3</v>
      </c>
      <c r="L240"/>
      <c r="M240" t="s">
        <v>3</v>
      </c>
      <c r="N240"/>
      <c r="O240" t="s">
        <v>3</v>
      </c>
      <c r="P240"/>
      <c r="Q240" t="s">
        <v>3</v>
      </c>
      <c r="R240"/>
      <c r="S240" t="s">
        <v>3</v>
      </c>
      <c r="T240" t="s">
        <v>111</v>
      </c>
      <c r="U240" s="109" t="s">
        <v>959</v>
      </c>
    </row>
    <row r="241" spans="1:21">
      <c r="A241" t="s">
        <v>960</v>
      </c>
      <c r="B241" t="s">
        <v>8</v>
      </c>
      <c r="C241" t="s">
        <v>961</v>
      </c>
      <c r="D241" t="s">
        <v>961</v>
      </c>
      <c r="E241" s="111" t="s">
        <v>3</v>
      </c>
      <c r="F241" t="s">
        <v>3</v>
      </c>
      <c r="G241" t="s">
        <v>3</v>
      </c>
      <c r="H241" t="s">
        <v>3</v>
      </c>
      <c r="I241" t="s">
        <v>3</v>
      </c>
      <c r="J241"/>
      <c r="K241" t="s">
        <v>3</v>
      </c>
      <c r="L241"/>
      <c r="M241" t="s">
        <v>3</v>
      </c>
      <c r="N241"/>
      <c r="O241" t="s">
        <v>3</v>
      </c>
      <c r="P241"/>
      <c r="Q241" t="s">
        <v>3</v>
      </c>
      <c r="R241"/>
      <c r="S241" t="s">
        <v>3</v>
      </c>
      <c r="T241" t="s">
        <v>111</v>
      </c>
      <c r="U241" s="109" t="s">
        <v>962</v>
      </c>
    </row>
    <row r="242" spans="1:21">
      <c r="A242" t="s">
        <v>963</v>
      </c>
      <c r="B242" t="s">
        <v>3</v>
      </c>
      <c r="C242" t="s">
        <v>964</v>
      </c>
      <c r="D242" t="s">
        <v>964</v>
      </c>
      <c r="E242" s="111" t="s">
        <v>3</v>
      </c>
      <c r="F242" t="s">
        <v>3</v>
      </c>
      <c r="G242" t="s">
        <v>3</v>
      </c>
      <c r="H242" t="s">
        <v>3</v>
      </c>
      <c r="I242" t="s">
        <v>3</v>
      </c>
      <c r="J242"/>
      <c r="K242" t="s">
        <v>3</v>
      </c>
      <c r="L242"/>
      <c r="M242" t="s">
        <v>3</v>
      </c>
      <c r="N242"/>
      <c r="O242" t="s">
        <v>3</v>
      </c>
      <c r="P242"/>
      <c r="Q242" t="s">
        <v>3</v>
      </c>
      <c r="R242"/>
      <c r="S242" t="s">
        <v>3</v>
      </c>
      <c r="T242" t="s">
        <v>111</v>
      </c>
      <c r="U242" s="109" t="s">
        <v>965</v>
      </c>
    </row>
    <row r="243" spans="1:21">
      <c r="A243" t="s">
        <v>966</v>
      </c>
      <c r="B243" t="s">
        <v>8</v>
      </c>
      <c r="C243" t="s">
        <v>967</v>
      </c>
      <c r="D243" t="s">
        <v>968</v>
      </c>
      <c r="E243" s="111" t="s">
        <v>3</v>
      </c>
      <c r="F243" t="s">
        <v>969</v>
      </c>
      <c r="G243" t="s">
        <v>8</v>
      </c>
      <c r="H243" t="s">
        <v>111</v>
      </c>
      <c r="I243" t="s">
        <v>3</v>
      </c>
      <c r="J243" t="s">
        <v>970</v>
      </c>
      <c r="K243" t="s">
        <v>3</v>
      </c>
      <c r="L243" t="s">
        <v>232</v>
      </c>
      <c r="M243" t="s">
        <v>3</v>
      </c>
      <c r="N243"/>
      <c r="O243" t="s">
        <v>3</v>
      </c>
      <c r="P243"/>
      <c r="Q243" t="s">
        <v>3</v>
      </c>
      <c r="R243"/>
      <c r="S243" t="s">
        <v>3</v>
      </c>
      <c r="T243" t="s">
        <v>111</v>
      </c>
      <c r="U243" s="109" t="s">
        <v>971</v>
      </c>
    </row>
    <row r="244" spans="1:21">
      <c r="A244" t="s">
        <v>969</v>
      </c>
      <c r="B244" t="s">
        <v>3</v>
      </c>
      <c r="C244" t="s">
        <v>972</v>
      </c>
      <c r="D244" t="s">
        <v>973</v>
      </c>
      <c r="E244" s="111" t="s">
        <v>3</v>
      </c>
      <c r="F244" t="s">
        <v>3</v>
      </c>
      <c r="G244" t="s">
        <v>3</v>
      </c>
      <c r="H244" t="s">
        <v>3</v>
      </c>
      <c r="I244" t="s">
        <v>3</v>
      </c>
      <c r="J244"/>
      <c r="K244" t="s">
        <v>3</v>
      </c>
      <c r="L244"/>
      <c r="M244" t="s">
        <v>3</v>
      </c>
      <c r="N244"/>
      <c r="O244" t="s">
        <v>3</v>
      </c>
      <c r="P244"/>
      <c r="Q244" t="s">
        <v>3</v>
      </c>
      <c r="R244"/>
      <c r="S244" t="s">
        <v>3</v>
      </c>
      <c r="T244" t="s">
        <v>111</v>
      </c>
      <c r="U244" s="109" t="s">
        <v>974</v>
      </c>
    </row>
    <row r="245" spans="1:21">
      <c r="A245" t="s">
        <v>975</v>
      </c>
      <c r="B245" t="s">
        <v>3</v>
      </c>
      <c r="C245" t="s">
        <v>976</v>
      </c>
      <c r="D245" t="s">
        <v>976</v>
      </c>
      <c r="E245" s="111" t="s">
        <v>3</v>
      </c>
      <c r="F245" t="s">
        <v>3</v>
      </c>
      <c r="G245" t="s">
        <v>3</v>
      </c>
      <c r="H245" t="s">
        <v>3</v>
      </c>
      <c r="I245" t="s">
        <v>3</v>
      </c>
      <c r="J245"/>
      <c r="K245" t="s">
        <v>3</v>
      </c>
      <c r="L245"/>
      <c r="M245" t="s">
        <v>3</v>
      </c>
      <c r="N245"/>
      <c r="O245" t="s">
        <v>3</v>
      </c>
      <c r="P245"/>
      <c r="Q245" t="s">
        <v>3</v>
      </c>
      <c r="R245"/>
      <c r="S245" t="s">
        <v>3</v>
      </c>
      <c r="T245" t="s">
        <v>111</v>
      </c>
      <c r="U245" s="109" t="s">
        <v>977</v>
      </c>
    </row>
    <row r="246" spans="1:21">
      <c r="A246" t="s">
        <v>978</v>
      </c>
      <c r="B246" t="s">
        <v>8</v>
      </c>
      <c r="C246" t="s">
        <v>979</v>
      </c>
      <c r="D246" t="s">
        <v>980</v>
      </c>
      <c r="E246" s="111" t="s">
        <v>3</v>
      </c>
      <c r="F246" t="s">
        <v>3</v>
      </c>
      <c r="G246" t="s">
        <v>8</v>
      </c>
      <c r="H246" t="s">
        <v>3</v>
      </c>
      <c r="I246" t="s">
        <v>3</v>
      </c>
      <c r="J246"/>
      <c r="K246" t="s">
        <v>3</v>
      </c>
      <c r="L246"/>
      <c r="M246" t="s">
        <v>3</v>
      </c>
      <c r="N246"/>
      <c r="O246" t="s">
        <v>3</v>
      </c>
      <c r="P246"/>
      <c r="Q246" t="s">
        <v>3</v>
      </c>
      <c r="R246"/>
      <c r="S246" t="s">
        <v>3</v>
      </c>
      <c r="T246" t="s">
        <v>111</v>
      </c>
      <c r="U246" s="109" t="s">
        <v>981</v>
      </c>
    </row>
    <row r="247" spans="1:21">
      <c r="A247" t="s">
        <v>982</v>
      </c>
      <c r="B247" t="s">
        <v>8</v>
      </c>
      <c r="C247" t="s">
        <v>983</v>
      </c>
      <c r="D247" t="s">
        <v>984</v>
      </c>
      <c r="E247" s="111" t="s">
        <v>3</v>
      </c>
      <c r="F247" t="s">
        <v>3</v>
      </c>
      <c r="G247" t="s">
        <v>8</v>
      </c>
      <c r="H247" t="s">
        <v>3</v>
      </c>
      <c r="I247" t="s">
        <v>3</v>
      </c>
      <c r="J247"/>
      <c r="K247" t="s">
        <v>3</v>
      </c>
      <c r="L247"/>
      <c r="M247" t="s">
        <v>3</v>
      </c>
      <c r="N247"/>
      <c r="O247" t="s">
        <v>3</v>
      </c>
      <c r="P247"/>
      <c r="Q247" t="s">
        <v>3</v>
      </c>
      <c r="R247"/>
      <c r="S247" t="s">
        <v>3</v>
      </c>
      <c r="T247" t="s">
        <v>111</v>
      </c>
      <c r="U247" s="109" t="s">
        <v>985</v>
      </c>
    </row>
    <row r="248" spans="1:21">
      <c r="A248" t="s">
        <v>986</v>
      </c>
      <c r="B248" t="s">
        <v>8</v>
      </c>
      <c r="C248" t="s">
        <v>681</v>
      </c>
      <c r="D248" t="s">
        <v>987</v>
      </c>
      <c r="E248" s="111" t="s">
        <v>3</v>
      </c>
      <c r="F248" t="s">
        <v>3</v>
      </c>
      <c r="G248" t="s">
        <v>8</v>
      </c>
      <c r="H248" t="s">
        <v>3</v>
      </c>
      <c r="I248" t="s">
        <v>3</v>
      </c>
      <c r="J248"/>
      <c r="K248" t="s">
        <v>3</v>
      </c>
      <c r="L248"/>
      <c r="M248" t="s">
        <v>3</v>
      </c>
      <c r="N248"/>
      <c r="O248" t="s">
        <v>3</v>
      </c>
      <c r="P248"/>
      <c r="Q248" t="s">
        <v>3</v>
      </c>
      <c r="R248"/>
      <c r="S248" t="s">
        <v>3</v>
      </c>
      <c r="T248" t="s">
        <v>111</v>
      </c>
      <c r="U248" s="109" t="s">
        <v>988</v>
      </c>
    </row>
    <row r="249" spans="1:21">
      <c r="A249" t="s">
        <v>989</v>
      </c>
      <c r="B249" t="s">
        <v>8</v>
      </c>
      <c r="C249" t="s">
        <v>990</v>
      </c>
      <c r="D249" t="s">
        <v>990</v>
      </c>
      <c r="E249" s="111" t="s">
        <v>3</v>
      </c>
      <c r="F249" t="s">
        <v>3</v>
      </c>
      <c r="G249" t="s">
        <v>8</v>
      </c>
      <c r="H249" t="s">
        <v>3</v>
      </c>
      <c r="I249" t="s">
        <v>3</v>
      </c>
      <c r="J249"/>
      <c r="K249" t="s">
        <v>3</v>
      </c>
      <c r="L249"/>
      <c r="M249" t="s">
        <v>3</v>
      </c>
      <c r="N249"/>
      <c r="O249" t="s">
        <v>3</v>
      </c>
      <c r="P249"/>
      <c r="Q249" t="s">
        <v>3</v>
      </c>
      <c r="R249"/>
      <c r="S249" t="s">
        <v>3</v>
      </c>
      <c r="T249" t="s">
        <v>111</v>
      </c>
      <c r="U249" s="109" t="s">
        <v>991</v>
      </c>
    </row>
    <row r="250" spans="1:21">
      <c r="A250" t="s">
        <v>992</v>
      </c>
      <c r="B250" t="s">
        <v>8</v>
      </c>
      <c r="C250" t="s">
        <v>993</v>
      </c>
      <c r="D250" t="s">
        <v>993</v>
      </c>
      <c r="E250" s="111" t="s">
        <v>3</v>
      </c>
      <c r="F250" t="s">
        <v>3</v>
      </c>
      <c r="G250" t="s">
        <v>8</v>
      </c>
      <c r="H250" t="s">
        <v>3</v>
      </c>
      <c r="I250" t="s">
        <v>3</v>
      </c>
      <c r="J250"/>
      <c r="K250" t="s">
        <v>3</v>
      </c>
      <c r="L250"/>
      <c r="M250" t="s">
        <v>3</v>
      </c>
      <c r="N250"/>
      <c r="O250" t="s">
        <v>3</v>
      </c>
      <c r="P250"/>
      <c r="Q250" t="s">
        <v>3</v>
      </c>
      <c r="R250"/>
      <c r="S250" t="s">
        <v>3</v>
      </c>
      <c r="T250" t="s">
        <v>111</v>
      </c>
      <c r="U250" s="109" t="s">
        <v>994</v>
      </c>
    </row>
    <row r="251" spans="1:21">
      <c r="A251" t="s">
        <v>995</v>
      </c>
      <c r="B251" t="s">
        <v>8</v>
      </c>
      <c r="C251" t="s">
        <v>693</v>
      </c>
      <c r="D251" t="s">
        <v>693</v>
      </c>
      <c r="E251" s="111" t="s">
        <v>3</v>
      </c>
      <c r="F251" t="s">
        <v>3</v>
      </c>
      <c r="G251" t="s">
        <v>8</v>
      </c>
      <c r="H251" t="s">
        <v>3</v>
      </c>
      <c r="I251" t="s">
        <v>3</v>
      </c>
      <c r="J251"/>
      <c r="K251" t="s">
        <v>3</v>
      </c>
      <c r="L251"/>
      <c r="M251" t="s">
        <v>3</v>
      </c>
      <c r="N251"/>
      <c r="O251" t="s">
        <v>3</v>
      </c>
      <c r="P251"/>
      <c r="Q251" t="s">
        <v>3</v>
      </c>
      <c r="R251"/>
      <c r="S251" t="s">
        <v>3</v>
      </c>
      <c r="T251" t="s">
        <v>111</v>
      </c>
      <c r="U251" s="109" t="s">
        <v>996</v>
      </c>
    </row>
    <row r="252" spans="1:21">
      <c r="A252" t="s">
        <v>589</v>
      </c>
      <c r="B252" t="s">
        <v>8</v>
      </c>
      <c r="C252" t="s">
        <v>997</v>
      </c>
      <c r="D252" t="s">
        <v>998</v>
      </c>
      <c r="E252" s="111" t="s">
        <v>3</v>
      </c>
      <c r="F252" t="s">
        <v>3</v>
      </c>
      <c r="G252" t="s">
        <v>8</v>
      </c>
      <c r="H252" t="s">
        <v>8</v>
      </c>
      <c r="I252" t="s">
        <v>11</v>
      </c>
      <c r="J252"/>
      <c r="K252" t="s">
        <v>3</v>
      </c>
      <c r="L252"/>
      <c r="M252" t="s">
        <v>3</v>
      </c>
      <c r="N252"/>
      <c r="O252" t="s">
        <v>3</v>
      </c>
      <c r="P252"/>
      <c r="Q252" t="s">
        <v>3</v>
      </c>
      <c r="R252"/>
      <c r="S252" t="s">
        <v>3</v>
      </c>
      <c r="T252" t="s">
        <v>111</v>
      </c>
      <c r="U252" s="109" t="s">
        <v>999</v>
      </c>
    </row>
    <row r="253" spans="1:21">
      <c r="A253" t="s">
        <v>1000</v>
      </c>
      <c r="B253" t="s">
        <v>8</v>
      </c>
      <c r="C253" t="s">
        <v>452</v>
      </c>
      <c r="D253" t="s">
        <v>452</v>
      </c>
      <c r="E253" s="112" t="s">
        <v>3</v>
      </c>
      <c r="F253" t="s">
        <v>3</v>
      </c>
      <c r="G253" t="s">
        <v>67</v>
      </c>
      <c r="H253" t="s">
        <v>3</v>
      </c>
      <c r="I253" t="s">
        <v>3</v>
      </c>
      <c r="J253"/>
      <c r="K253" t="s">
        <v>3</v>
      </c>
      <c r="L253"/>
      <c r="M253" t="s">
        <v>3</v>
      </c>
      <c r="N253"/>
      <c r="O253" t="s">
        <v>3</v>
      </c>
      <c r="P253"/>
      <c r="Q253" t="s">
        <v>3</v>
      </c>
      <c r="R253"/>
      <c r="S253" t="s">
        <v>3</v>
      </c>
      <c r="T253" t="s">
        <v>111</v>
      </c>
      <c r="U253" s="109" t="s">
        <v>1001</v>
      </c>
    </row>
    <row r="254" spans="1:21">
      <c r="A254" t="s">
        <v>1002</v>
      </c>
      <c r="B254" t="s">
        <v>8</v>
      </c>
      <c r="C254" t="s">
        <v>1003</v>
      </c>
      <c r="D254" t="s">
        <v>1003</v>
      </c>
      <c r="E254" s="110" t="s">
        <v>3</v>
      </c>
      <c r="F254" t="s">
        <v>3</v>
      </c>
      <c r="G254" t="s">
        <v>8</v>
      </c>
      <c r="H254" t="s">
        <v>3</v>
      </c>
      <c r="I254" t="s">
        <v>3</v>
      </c>
      <c r="J254"/>
      <c r="K254" t="s">
        <v>3</v>
      </c>
      <c r="L254"/>
      <c r="M254" t="s">
        <v>3</v>
      </c>
      <c r="N254"/>
      <c r="O254" t="s">
        <v>3</v>
      </c>
      <c r="P254"/>
      <c r="Q254" t="s">
        <v>3</v>
      </c>
      <c r="R254"/>
      <c r="S254" t="s">
        <v>3</v>
      </c>
      <c r="T254" t="s">
        <v>111</v>
      </c>
      <c r="U254" s="109" t="s">
        <v>1004</v>
      </c>
    </row>
    <row r="255" spans="1:21">
      <c r="A255" t="s">
        <v>1005</v>
      </c>
      <c r="B255" t="s">
        <v>8</v>
      </c>
      <c r="C255" t="s">
        <v>1006</v>
      </c>
      <c r="D255" t="s">
        <v>1006</v>
      </c>
      <c r="E255" s="111" t="s">
        <v>3</v>
      </c>
      <c r="F255" t="s">
        <v>3</v>
      </c>
      <c r="G255" t="s">
        <v>8</v>
      </c>
      <c r="H255" t="s">
        <v>3</v>
      </c>
      <c r="I255" t="s">
        <v>3</v>
      </c>
      <c r="J255"/>
      <c r="K255" t="s">
        <v>3</v>
      </c>
      <c r="L255"/>
      <c r="M255" t="s">
        <v>3</v>
      </c>
      <c r="N255"/>
      <c r="O255" t="s">
        <v>3</v>
      </c>
      <c r="P255"/>
      <c r="Q255" t="s">
        <v>3</v>
      </c>
      <c r="R255" t="s">
        <v>3</v>
      </c>
      <c r="S255" t="s">
        <v>3</v>
      </c>
      <c r="T255" t="s">
        <v>111</v>
      </c>
      <c r="U255" s="109" t="s">
        <v>1007</v>
      </c>
    </row>
    <row r="256" spans="1:21">
      <c r="A256" t="s">
        <v>1008</v>
      </c>
      <c r="B256" t="s">
        <v>8</v>
      </c>
      <c r="C256" t="s">
        <v>1009</v>
      </c>
      <c r="D256" t="s">
        <v>1009</v>
      </c>
      <c r="E256" s="111" t="s">
        <v>3</v>
      </c>
      <c r="F256" t="s">
        <v>3</v>
      </c>
      <c r="G256" t="s">
        <v>8</v>
      </c>
      <c r="H256" t="s">
        <v>3</v>
      </c>
      <c r="I256" t="s">
        <v>3</v>
      </c>
      <c r="J256"/>
      <c r="K256" t="s">
        <v>3</v>
      </c>
      <c r="L256"/>
      <c r="M256" t="s">
        <v>3</v>
      </c>
      <c r="N256"/>
      <c r="O256" t="s">
        <v>3</v>
      </c>
      <c r="P256"/>
      <c r="Q256" t="s">
        <v>3</v>
      </c>
      <c r="R256"/>
      <c r="S256" t="s">
        <v>3</v>
      </c>
      <c r="T256" t="s">
        <v>111</v>
      </c>
      <c r="U256" s="109" t="s">
        <v>1010</v>
      </c>
    </row>
    <row r="257" spans="1:21">
      <c r="A257" t="s">
        <v>1011</v>
      </c>
      <c r="B257" t="s">
        <v>8</v>
      </c>
      <c r="C257" t="s">
        <v>1012</v>
      </c>
      <c r="D257" t="s">
        <v>1012</v>
      </c>
      <c r="E257" s="111" t="s">
        <v>3</v>
      </c>
      <c r="F257" t="s">
        <v>1013</v>
      </c>
      <c r="G257" t="s">
        <v>67</v>
      </c>
      <c r="H257" t="s">
        <v>8</v>
      </c>
      <c r="I257" t="s">
        <v>3</v>
      </c>
      <c r="J257"/>
      <c r="K257" t="s">
        <v>3</v>
      </c>
      <c r="L257"/>
      <c r="M257" t="s">
        <v>3</v>
      </c>
      <c r="N257"/>
      <c r="O257" t="s">
        <v>3</v>
      </c>
      <c r="P257"/>
      <c r="Q257" t="s">
        <v>3</v>
      </c>
      <c r="R257"/>
      <c r="S257" t="s">
        <v>3</v>
      </c>
      <c r="T257" t="s">
        <v>111</v>
      </c>
      <c r="U257" s="109" t="s">
        <v>1014</v>
      </c>
    </row>
    <row r="258" spans="1:21">
      <c r="A258" t="s">
        <v>496</v>
      </c>
      <c r="B258" t="s">
        <v>3</v>
      </c>
      <c r="C258" t="s">
        <v>495</v>
      </c>
      <c r="D258" t="s">
        <v>495</v>
      </c>
      <c r="E258" s="111" t="s">
        <v>3</v>
      </c>
      <c r="F258" t="s">
        <v>3</v>
      </c>
      <c r="G258" t="s">
        <v>3</v>
      </c>
      <c r="H258" t="s">
        <v>3</v>
      </c>
      <c r="I258" t="s">
        <v>3</v>
      </c>
      <c r="J258"/>
      <c r="K258" t="s">
        <v>3</v>
      </c>
      <c r="L258"/>
      <c r="M258" t="s">
        <v>3</v>
      </c>
      <c r="N258"/>
      <c r="O258" t="s">
        <v>3</v>
      </c>
      <c r="P258"/>
      <c r="Q258" t="s">
        <v>3</v>
      </c>
      <c r="R258"/>
      <c r="S258" t="s">
        <v>3</v>
      </c>
      <c r="T258" t="s">
        <v>111</v>
      </c>
      <c r="U258" s="109" t="s">
        <v>1015</v>
      </c>
    </row>
    <row r="259" spans="1:21">
      <c r="A259" t="s">
        <v>1016</v>
      </c>
      <c r="B259" t="s">
        <v>3</v>
      </c>
      <c r="C259" t="s">
        <v>1017</v>
      </c>
      <c r="D259" t="s">
        <v>1017</v>
      </c>
      <c r="E259" s="111" t="s">
        <v>3</v>
      </c>
      <c r="F259" t="s">
        <v>3</v>
      </c>
      <c r="G259" t="s">
        <v>3</v>
      </c>
      <c r="H259" t="s">
        <v>3</v>
      </c>
      <c r="I259" t="s">
        <v>3</v>
      </c>
      <c r="J259"/>
      <c r="K259" t="s">
        <v>3</v>
      </c>
      <c r="L259"/>
      <c r="M259" t="s">
        <v>3</v>
      </c>
      <c r="N259"/>
      <c r="O259" t="s">
        <v>3</v>
      </c>
      <c r="P259"/>
      <c r="Q259" t="s">
        <v>3</v>
      </c>
      <c r="R259"/>
      <c r="S259" t="s">
        <v>3</v>
      </c>
      <c r="T259" t="s">
        <v>111</v>
      </c>
      <c r="U259" s="109" t="s">
        <v>1018</v>
      </c>
    </row>
    <row r="260" spans="1:21">
      <c r="A260" t="s">
        <v>1019</v>
      </c>
      <c r="B260" t="s">
        <v>8</v>
      </c>
      <c r="C260" t="s">
        <v>1020</v>
      </c>
      <c r="D260" t="s">
        <v>1020</v>
      </c>
      <c r="E260" s="111" t="s">
        <v>3</v>
      </c>
      <c r="F260" t="s">
        <v>1021</v>
      </c>
      <c r="G260" t="s">
        <v>67</v>
      </c>
      <c r="H260" t="s">
        <v>3</v>
      </c>
      <c r="I260" t="s">
        <v>3</v>
      </c>
      <c r="J260"/>
      <c r="K260" t="s">
        <v>3</v>
      </c>
      <c r="L260"/>
      <c r="M260" t="s">
        <v>3</v>
      </c>
      <c r="N260"/>
      <c r="O260" t="s">
        <v>3</v>
      </c>
      <c r="P260"/>
      <c r="Q260" t="s">
        <v>3</v>
      </c>
      <c r="R260"/>
      <c r="S260" t="s">
        <v>3</v>
      </c>
      <c r="T260" t="s">
        <v>111</v>
      </c>
      <c r="U260" s="109" t="s">
        <v>1022</v>
      </c>
    </row>
    <row r="261" spans="1:21">
      <c r="A261" t="s">
        <v>1021</v>
      </c>
      <c r="B261" t="s">
        <v>8</v>
      </c>
      <c r="C261" t="s">
        <v>1023</v>
      </c>
      <c r="D261" t="s">
        <v>1024</v>
      </c>
      <c r="E261" s="111" t="s">
        <v>3</v>
      </c>
      <c r="F261" t="s">
        <v>3</v>
      </c>
      <c r="G261" t="s">
        <v>67</v>
      </c>
      <c r="H261" t="s">
        <v>3</v>
      </c>
      <c r="I261" t="s">
        <v>3</v>
      </c>
      <c r="J261"/>
      <c r="K261" t="s">
        <v>3</v>
      </c>
      <c r="L261"/>
      <c r="M261" t="s">
        <v>3</v>
      </c>
      <c r="N261"/>
      <c r="O261" t="s">
        <v>3</v>
      </c>
      <c r="P261"/>
      <c r="Q261" t="s">
        <v>3</v>
      </c>
      <c r="R261"/>
      <c r="S261" t="s">
        <v>3</v>
      </c>
      <c r="T261" t="s">
        <v>111</v>
      </c>
      <c r="U261" s="109" t="s">
        <v>1025</v>
      </c>
    </row>
    <row r="262" spans="1:21">
      <c r="A262" t="s">
        <v>1026</v>
      </c>
      <c r="B262" t="s">
        <v>8</v>
      </c>
      <c r="C262" t="s">
        <v>1027</v>
      </c>
      <c r="D262" t="s">
        <v>1028</v>
      </c>
      <c r="E262" s="111" t="s">
        <v>3</v>
      </c>
      <c r="F262" t="s">
        <v>1029</v>
      </c>
      <c r="G262" t="s">
        <v>67</v>
      </c>
      <c r="H262" t="s">
        <v>3</v>
      </c>
      <c r="I262" t="s">
        <v>3</v>
      </c>
      <c r="J262"/>
      <c r="K262" t="s">
        <v>3</v>
      </c>
      <c r="L262"/>
      <c r="M262" t="s">
        <v>3</v>
      </c>
      <c r="N262"/>
      <c r="O262" t="s">
        <v>3</v>
      </c>
      <c r="P262"/>
      <c r="Q262" t="s">
        <v>3</v>
      </c>
      <c r="R262"/>
      <c r="S262" t="s">
        <v>3</v>
      </c>
      <c r="T262" t="s">
        <v>111</v>
      </c>
      <c r="U262" s="109" t="s">
        <v>1030</v>
      </c>
    </row>
    <row r="263" spans="1:21">
      <c r="A263" t="s">
        <v>1029</v>
      </c>
      <c r="B263" t="s">
        <v>8</v>
      </c>
      <c r="C263" t="s">
        <v>1031</v>
      </c>
      <c r="D263" t="s">
        <v>1031</v>
      </c>
      <c r="E263" s="111" t="s">
        <v>3</v>
      </c>
      <c r="F263" t="s">
        <v>3</v>
      </c>
      <c r="G263" t="s">
        <v>67</v>
      </c>
      <c r="H263" t="s">
        <v>3</v>
      </c>
      <c r="I263" t="s">
        <v>3</v>
      </c>
      <c r="J263"/>
      <c r="K263" t="s">
        <v>3</v>
      </c>
      <c r="L263"/>
      <c r="M263" t="s">
        <v>3</v>
      </c>
      <c r="N263"/>
      <c r="O263" t="s">
        <v>3</v>
      </c>
      <c r="P263"/>
      <c r="Q263" t="s">
        <v>3</v>
      </c>
      <c r="R263"/>
      <c r="S263" t="s">
        <v>3</v>
      </c>
      <c r="T263" t="s">
        <v>111</v>
      </c>
      <c r="U263" s="109" t="s">
        <v>1032</v>
      </c>
    </row>
    <row r="264" spans="1:21">
      <c r="A264" t="s">
        <v>73</v>
      </c>
      <c r="B264" t="s">
        <v>8</v>
      </c>
      <c r="C264" t="s">
        <v>1033</v>
      </c>
      <c r="D264" t="s">
        <v>1033</v>
      </c>
      <c r="E264" s="111" t="s">
        <v>2</v>
      </c>
      <c r="F264" t="s">
        <v>3</v>
      </c>
      <c r="G264" t="s">
        <v>3</v>
      </c>
      <c r="H264" t="s">
        <v>8</v>
      </c>
      <c r="I264" t="s">
        <v>1</v>
      </c>
      <c r="J264"/>
      <c r="K264" t="s">
        <v>3</v>
      </c>
      <c r="L264"/>
      <c r="M264" t="s">
        <v>3</v>
      </c>
      <c r="N264"/>
      <c r="O264" t="s">
        <v>3</v>
      </c>
      <c r="P264"/>
      <c r="Q264" t="s">
        <v>3</v>
      </c>
      <c r="R264"/>
      <c r="S264" t="s">
        <v>3</v>
      </c>
      <c r="T264" t="s">
        <v>111</v>
      </c>
      <c r="U264" s="109" t="s">
        <v>1034</v>
      </c>
    </row>
    <row r="265" spans="1:21">
      <c r="A265" t="s">
        <v>1035</v>
      </c>
      <c r="B265" t="s">
        <v>8</v>
      </c>
      <c r="C265" t="s">
        <v>1036</v>
      </c>
      <c r="D265" t="s">
        <v>1036</v>
      </c>
      <c r="E265" s="111" t="s">
        <v>2</v>
      </c>
      <c r="F265" t="s">
        <v>3</v>
      </c>
      <c r="G265" t="s">
        <v>3</v>
      </c>
      <c r="H265" t="s">
        <v>8</v>
      </c>
      <c r="I265" t="s">
        <v>1</v>
      </c>
      <c r="J265"/>
      <c r="K265" t="s">
        <v>3</v>
      </c>
      <c r="L265"/>
      <c r="M265" t="s">
        <v>3</v>
      </c>
      <c r="N265"/>
      <c r="O265" t="s">
        <v>3</v>
      </c>
      <c r="P265"/>
      <c r="Q265" t="s">
        <v>3</v>
      </c>
      <c r="R265"/>
      <c r="S265" t="s">
        <v>3</v>
      </c>
      <c r="T265" t="s">
        <v>111</v>
      </c>
      <c r="U265" s="109" t="s">
        <v>1037</v>
      </c>
    </row>
    <row r="266" spans="1:21">
      <c r="A266" t="s">
        <v>1038</v>
      </c>
      <c r="B266" t="s">
        <v>3</v>
      </c>
      <c r="C266" t="s">
        <v>1039</v>
      </c>
      <c r="D266" t="s">
        <v>1039</v>
      </c>
      <c r="E266" s="111" t="s">
        <v>3</v>
      </c>
      <c r="F266" t="s">
        <v>503</v>
      </c>
      <c r="G266" t="s">
        <v>3</v>
      </c>
      <c r="H266" t="s">
        <v>3</v>
      </c>
      <c r="I266" t="s">
        <v>3</v>
      </c>
      <c r="J266"/>
      <c r="K266" t="s">
        <v>3</v>
      </c>
      <c r="L266"/>
      <c r="M266" t="s">
        <v>3</v>
      </c>
      <c r="N266"/>
      <c r="O266" t="s">
        <v>3</v>
      </c>
      <c r="P266"/>
      <c r="Q266" t="s">
        <v>3</v>
      </c>
      <c r="R266"/>
      <c r="S266" t="s">
        <v>3</v>
      </c>
      <c r="T266" t="s">
        <v>111</v>
      </c>
      <c r="U266" s="109" t="s">
        <v>1040</v>
      </c>
    </row>
    <row r="267" spans="1:21">
      <c r="A267" t="s">
        <v>1041</v>
      </c>
      <c r="B267" t="s">
        <v>8</v>
      </c>
      <c r="C267" t="s">
        <v>1042</v>
      </c>
      <c r="D267" t="s">
        <v>1042</v>
      </c>
      <c r="E267" s="111" t="s">
        <v>3</v>
      </c>
      <c r="F267" t="s">
        <v>3</v>
      </c>
      <c r="G267" t="s">
        <v>8</v>
      </c>
      <c r="H267" t="s">
        <v>3</v>
      </c>
      <c r="I267" t="s">
        <v>3</v>
      </c>
      <c r="J267"/>
      <c r="K267" t="s">
        <v>3</v>
      </c>
      <c r="L267"/>
      <c r="M267" t="s">
        <v>3</v>
      </c>
      <c r="N267"/>
      <c r="O267" t="s">
        <v>3</v>
      </c>
      <c r="P267"/>
      <c r="Q267" t="s">
        <v>3</v>
      </c>
      <c r="R267"/>
      <c r="S267" t="s">
        <v>3</v>
      </c>
      <c r="T267" t="s">
        <v>111</v>
      </c>
      <c r="U267" s="109" t="s">
        <v>1043</v>
      </c>
    </row>
    <row r="268" spans="1:21">
      <c r="A268" t="s">
        <v>1044</v>
      </c>
      <c r="B268" t="s">
        <v>8</v>
      </c>
      <c r="C268" t="s">
        <v>1045</v>
      </c>
      <c r="D268" t="s">
        <v>1045</v>
      </c>
      <c r="E268" s="111" t="s">
        <v>3</v>
      </c>
      <c r="F268" t="s">
        <v>3</v>
      </c>
      <c r="G268" t="s">
        <v>8</v>
      </c>
      <c r="H268" t="s">
        <v>3</v>
      </c>
      <c r="I268" t="s">
        <v>3</v>
      </c>
      <c r="J268"/>
      <c r="K268" t="s">
        <v>3</v>
      </c>
      <c r="L268"/>
      <c r="M268" t="s">
        <v>3</v>
      </c>
      <c r="N268"/>
      <c r="O268" t="s">
        <v>3</v>
      </c>
      <c r="P268"/>
      <c r="Q268" t="s">
        <v>3</v>
      </c>
      <c r="R268"/>
      <c r="S268" t="s">
        <v>3</v>
      </c>
      <c r="T268" t="s">
        <v>111</v>
      </c>
      <c r="U268" s="109" t="s">
        <v>1046</v>
      </c>
    </row>
    <row r="269" spans="1:21">
      <c r="A269" t="s">
        <v>76</v>
      </c>
      <c r="B269" t="s">
        <v>3</v>
      </c>
      <c r="C269" t="s">
        <v>1047</v>
      </c>
      <c r="D269" t="s">
        <v>1048</v>
      </c>
      <c r="E269" s="112" t="s">
        <v>3</v>
      </c>
      <c r="F269" t="s">
        <v>77</v>
      </c>
      <c r="G269" t="s">
        <v>8</v>
      </c>
      <c r="H269" t="s">
        <v>8</v>
      </c>
      <c r="I269" t="s">
        <v>3</v>
      </c>
      <c r="J269"/>
      <c r="K269" t="s">
        <v>3</v>
      </c>
      <c r="L269"/>
      <c r="M269" t="s">
        <v>3</v>
      </c>
      <c r="N269"/>
      <c r="O269" t="s">
        <v>3</v>
      </c>
      <c r="P269"/>
      <c r="Q269" t="s">
        <v>3</v>
      </c>
      <c r="R269"/>
      <c r="S269" t="s">
        <v>3</v>
      </c>
      <c r="T269" t="s">
        <v>111</v>
      </c>
      <c r="U269" s="109" t="s">
        <v>1049</v>
      </c>
    </row>
    <row r="270" spans="1:21">
      <c r="A270" t="s">
        <v>77</v>
      </c>
      <c r="B270" t="s">
        <v>3</v>
      </c>
      <c r="C270" t="s">
        <v>1050</v>
      </c>
      <c r="D270" t="s">
        <v>1050</v>
      </c>
      <c r="E270" s="111" t="s">
        <v>3</v>
      </c>
      <c r="F270" t="s">
        <v>3</v>
      </c>
      <c r="G270" t="s">
        <v>8</v>
      </c>
      <c r="H270" t="s">
        <v>8</v>
      </c>
      <c r="I270" t="s">
        <v>3</v>
      </c>
      <c r="J270"/>
      <c r="K270" t="s">
        <v>3</v>
      </c>
      <c r="L270"/>
      <c r="M270" t="s">
        <v>3</v>
      </c>
      <c r="N270"/>
      <c r="O270" t="s">
        <v>3</v>
      </c>
      <c r="P270"/>
      <c r="Q270" t="s">
        <v>3</v>
      </c>
      <c r="R270"/>
      <c r="S270" t="s">
        <v>3</v>
      </c>
      <c r="T270" t="s">
        <v>111</v>
      </c>
      <c r="U270" s="109" t="s">
        <v>1051</v>
      </c>
    </row>
    <row r="271" spans="1:21">
      <c r="A271" t="s">
        <v>1052</v>
      </c>
      <c r="B271" t="s">
        <v>8</v>
      </c>
      <c r="C271" t="s">
        <v>1053</v>
      </c>
      <c r="D271" t="s">
        <v>1054</v>
      </c>
      <c r="E271" s="111" t="s">
        <v>2</v>
      </c>
      <c r="F271" t="s">
        <v>3</v>
      </c>
      <c r="G271" t="s">
        <v>3</v>
      </c>
      <c r="H271" t="s">
        <v>8</v>
      </c>
      <c r="I271" t="s">
        <v>1</v>
      </c>
      <c r="J271"/>
      <c r="K271" t="s">
        <v>3</v>
      </c>
      <c r="L271"/>
      <c r="M271" t="s">
        <v>3</v>
      </c>
      <c r="N271"/>
      <c r="O271" t="s">
        <v>3</v>
      </c>
      <c r="P271"/>
      <c r="Q271" t="s">
        <v>3</v>
      </c>
      <c r="R271"/>
      <c r="S271" t="s">
        <v>3</v>
      </c>
      <c r="T271" t="s">
        <v>111</v>
      </c>
      <c r="U271" s="109" t="s">
        <v>1055</v>
      </c>
    </row>
    <row r="272" spans="1:21">
      <c r="A272" t="s">
        <v>1056</v>
      </c>
      <c r="B272" t="s">
        <v>3</v>
      </c>
      <c r="C272" t="s">
        <v>1057</v>
      </c>
      <c r="D272" t="s">
        <v>1057</v>
      </c>
      <c r="E272" s="111" t="s">
        <v>3</v>
      </c>
      <c r="F272" t="s">
        <v>3</v>
      </c>
      <c r="G272" t="s">
        <v>8</v>
      </c>
      <c r="H272" t="s">
        <v>3</v>
      </c>
      <c r="I272" t="s">
        <v>3</v>
      </c>
      <c r="J272"/>
      <c r="K272" t="s">
        <v>3</v>
      </c>
      <c r="L272"/>
      <c r="M272" t="s">
        <v>3</v>
      </c>
      <c r="N272"/>
      <c r="O272" t="s">
        <v>3</v>
      </c>
      <c r="P272"/>
      <c r="Q272" t="s">
        <v>3</v>
      </c>
      <c r="R272"/>
      <c r="S272" t="s">
        <v>3</v>
      </c>
      <c r="T272" t="s">
        <v>111</v>
      </c>
      <c r="U272" s="109" t="s">
        <v>1058</v>
      </c>
    </row>
    <row r="273" spans="1:21">
      <c r="A273" t="s">
        <v>474</v>
      </c>
      <c r="B273" t="s">
        <v>8</v>
      </c>
      <c r="C273" t="s">
        <v>473</v>
      </c>
      <c r="D273" t="s">
        <v>473</v>
      </c>
      <c r="E273" s="111" t="s">
        <v>3</v>
      </c>
      <c r="F273" t="s">
        <v>3</v>
      </c>
      <c r="G273" t="s">
        <v>3</v>
      </c>
      <c r="H273" t="s">
        <v>3</v>
      </c>
      <c r="I273" t="s">
        <v>3</v>
      </c>
      <c r="J273"/>
      <c r="K273" t="s">
        <v>3</v>
      </c>
      <c r="L273"/>
      <c r="M273" t="s">
        <v>3</v>
      </c>
      <c r="N273"/>
      <c r="O273" t="s">
        <v>3</v>
      </c>
      <c r="P273"/>
      <c r="Q273" t="s">
        <v>3</v>
      </c>
      <c r="R273"/>
      <c r="S273" t="s">
        <v>3</v>
      </c>
      <c r="T273" t="s">
        <v>111</v>
      </c>
      <c r="U273" s="109" t="s">
        <v>1059</v>
      </c>
    </row>
    <row r="274" spans="1:21">
      <c r="A274" t="s">
        <v>1060</v>
      </c>
      <c r="B274" t="s">
        <v>8</v>
      </c>
      <c r="C274" t="s">
        <v>1061</v>
      </c>
      <c r="D274" t="s">
        <v>1061</v>
      </c>
      <c r="E274" s="111" t="s">
        <v>3</v>
      </c>
      <c r="F274" t="s">
        <v>3</v>
      </c>
      <c r="G274" t="s">
        <v>8</v>
      </c>
      <c r="H274" t="s">
        <v>3</v>
      </c>
      <c r="I274" t="s">
        <v>3</v>
      </c>
      <c r="J274"/>
      <c r="K274" t="s">
        <v>3</v>
      </c>
      <c r="L274"/>
      <c r="M274" t="s">
        <v>3</v>
      </c>
      <c r="N274"/>
      <c r="O274" t="s">
        <v>3</v>
      </c>
      <c r="P274"/>
      <c r="Q274" t="s">
        <v>3</v>
      </c>
      <c r="R274"/>
      <c r="S274" t="s">
        <v>3</v>
      </c>
      <c r="T274" t="s">
        <v>111</v>
      </c>
      <c r="U274" s="109" t="s">
        <v>1062</v>
      </c>
    </row>
    <row r="275" spans="1:21">
      <c r="A275" t="s">
        <v>1063</v>
      </c>
      <c r="B275" t="s">
        <v>8</v>
      </c>
      <c r="C275" t="s">
        <v>1064</v>
      </c>
      <c r="D275" t="s">
        <v>13</v>
      </c>
      <c r="E275" s="111" t="s">
        <v>3</v>
      </c>
      <c r="F275" t="s">
        <v>1065</v>
      </c>
      <c r="G275" t="s">
        <v>3</v>
      </c>
      <c r="H275" t="s">
        <v>111</v>
      </c>
      <c r="I275" t="s">
        <v>3</v>
      </c>
      <c r="J275" t="s">
        <v>219</v>
      </c>
      <c r="K275" t="s">
        <v>8</v>
      </c>
      <c r="L275" t="s">
        <v>326</v>
      </c>
      <c r="M275" t="s">
        <v>3</v>
      </c>
      <c r="N275" t="s">
        <v>232</v>
      </c>
      <c r="O275" t="s">
        <v>3</v>
      </c>
      <c r="P275" t="s">
        <v>738</v>
      </c>
      <c r="Q275" t="s">
        <v>3</v>
      </c>
      <c r="R275" t="s">
        <v>739</v>
      </c>
      <c r="S275" t="s">
        <v>3</v>
      </c>
      <c r="T275" t="s">
        <v>111</v>
      </c>
      <c r="U275" s="109" t="s">
        <v>1066</v>
      </c>
    </row>
    <row r="276" spans="1:21">
      <c r="A276" t="s">
        <v>1065</v>
      </c>
      <c r="B276" t="s">
        <v>8</v>
      </c>
      <c r="C276" t="s">
        <v>1067</v>
      </c>
      <c r="D276" t="s">
        <v>1068</v>
      </c>
      <c r="E276" s="111" t="s">
        <v>3</v>
      </c>
      <c r="F276" t="s">
        <v>3</v>
      </c>
      <c r="G276" t="s">
        <v>8</v>
      </c>
      <c r="H276" t="s">
        <v>111</v>
      </c>
      <c r="I276" t="s">
        <v>3</v>
      </c>
      <c r="J276"/>
      <c r="K276" t="s">
        <v>3</v>
      </c>
      <c r="L276"/>
      <c r="M276" t="s">
        <v>3</v>
      </c>
      <c r="N276"/>
      <c r="O276" t="s">
        <v>3</v>
      </c>
      <c r="P276"/>
      <c r="Q276" t="s">
        <v>3</v>
      </c>
      <c r="R276"/>
      <c r="S276" t="s">
        <v>3</v>
      </c>
      <c r="T276" t="s">
        <v>111</v>
      </c>
      <c r="U276" s="109" t="s">
        <v>1069</v>
      </c>
    </row>
    <row r="277" spans="1:21">
      <c r="A277" t="s">
        <v>1070</v>
      </c>
      <c r="B277" t="s">
        <v>8</v>
      </c>
      <c r="C277" t="s">
        <v>1071</v>
      </c>
      <c r="D277" t="s">
        <v>1071</v>
      </c>
      <c r="E277" s="111" t="s">
        <v>3</v>
      </c>
      <c r="F277" t="s">
        <v>3</v>
      </c>
      <c r="G277" t="s">
        <v>3</v>
      </c>
      <c r="H277" t="s">
        <v>3</v>
      </c>
      <c r="I277" t="s">
        <v>3</v>
      </c>
      <c r="J277"/>
      <c r="K277" t="s">
        <v>3</v>
      </c>
      <c r="L277"/>
      <c r="M277" t="s">
        <v>3</v>
      </c>
      <c r="N277"/>
      <c r="O277" t="s">
        <v>3</v>
      </c>
      <c r="P277"/>
      <c r="Q277" t="s">
        <v>3</v>
      </c>
      <c r="R277"/>
      <c r="S277" t="s">
        <v>3</v>
      </c>
      <c r="T277" t="s">
        <v>111</v>
      </c>
      <c r="U277" s="109" t="s">
        <v>1072</v>
      </c>
    </row>
    <row r="278" spans="1:21">
      <c r="A278" t="s">
        <v>1073</v>
      </c>
      <c r="B278" t="s">
        <v>8</v>
      </c>
      <c r="C278" t="s">
        <v>1074</v>
      </c>
      <c r="D278" t="s">
        <v>1074</v>
      </c>
      <c r="E278" s="111" t="s">
        <v>3</v>
      </c>
      <c r="F278" t="s">
        <v>3</v>
      </c>
      <c r="G278" t="s">
        <v>3</v>
      </c>
      <c r="H278" t="s">
        <v>3</v>
      </c>
      <c r="I278" t="s">
        <v>3</v>
      </c>
      <c r="J278"/>
      <c r="K278" t="s">
        <v>3</v>
      </c>
      <c r="L278"/>
      <c r="M278" t="s">
        <v>3</v>
      </c>
      <c r="N278"/>
      <c r="O278" t="s">
        <v>3</v>
      </c>
      <c r="P278"/>
      <c r="Q278" t="s">
        <v>3</v>
      </c>
      <c r="R278"/>
      <c r="S278" t="s">
        <v>3</v>
      </c>
      <c r="T278" t="s">
        <v>111</v>
      </c>
      <c r="U278" s="109" t="s">
        <v>1075</v>
      </c>
    </row>
    <row r="279" spans="1:21">
      <c r="A279" t="s">
        <v>1076</v>
      </c>
      <c r="B279" t="s">
        <v>8</v>
      </c>
      <c r="C279" t="s">
        <v>1077</v>
      </c>
      <c r="D279" t="s">
        <v>1077</v>
      </c>
      <c r="E279" s="111" t="s">
        <v>3</v>
      </c>
      <c r="F279" t="s">
        <v>3</v>
      </c>
      <c r="G279" t="s">
        <v>3</v>
      </c>
      <c r="H279" t="s">
        <v>3</v>
      </c>
      <c r="I279" t="s">
        <v>3</v>
      </c>
      <c r="J279"/>
      <c r="K279" t="s">
        <v>3</v>
      </c>
      <c r="L279"/>
      <c r="M279" t="s">
        <v>3</v>
      </c>
      <c r="N279"/>
      <c r="O279" t="s">
        <v>3</v>
      </c>
      <c r="P279"/>
      <c r="Q279" t="s">
        <v>3</v>
      </c>
      <c r="R279"/>
      <c r="S279" t="s">
        <v>3</v>
      </c>
      <c r="T279" t="s">
        <v>111</v>
      </c>
      <c r="U279" s="109" t="s">
        <v>1078</v>
      </c>
    </row>
    <row r="280" spans="1:21">
      <c r="A280" t="s">
        <v>1079</v>
      </c>
      <c r="B280" t="s">
        <v>8</v>
      </c>
      <c r="C280" t="s">
        <v>1080</v>
      </c>
      <c r="D280" t="s">
        <v>1080</v>
      </c>
      <c r="E280" s="111" t="s">
        <v>3</v>
      </c>
      <c r="F280" t="s">
        <v>3</v>
      </c>
      <c r="G280" t="s">
        <v>8</v>
      </c>
      <c r="H280" t="s">
        <v>3</v>
      </c>
      <c r="I280" t="s">
        <v>3</v>
      </c>
      <c r="J280"/>
      <c r="K280" t="s">
        <v>3</v>
      </c>
      <c r="L280"/>
      <c r="M280" t="s">
        <v>3</v>
      </c>
      <c r="N280"/>
      <c r="O280" t="s">
        <v>3</v>
      </c>
      <c r="P280"/>
      <c r="Q280" t="s">
        <v>3</v>
      </c>
      <c r="R280"/>
      <c r="S280" t="s">
        <v>3</v>
      </c>
      <c r="T280" t="s">
        <v>111</v>
      </c>
      <c r="U280" s="109" t="s">
        <v>1081</v>
      </c>
    </row>
    <row r="281" spans="1:21">
      <c r="A281" t="s">
        <v>1082</v>
      </c>
      <c r="B281" t="s">
        <v>8</v>
      </c>
      <c r="C281" t="s">
        <v>1083</v>
      </c>
      <c r="D281" t="s">
        <v>1083</v>
      </c>
      <c r="E281" s="111" t="s">
        <v>3</v>
      </c>
      <c r="F281" t="s">
        <v>3</v>
      </c>
      <c r="G281" t="s">
        <v>8</v>
      </c>
      <c r="H281" t="s">
        <v>3</v>
      </c>
      <c r="I281" t="s">
        <v>3</v>
      </c>
      <c r="J281"/>
      <c r="K281" t="s">
        <v>3</v>
      </c>
      <c r="L281"/>
      <c r="M281" t="s">
        <v>3</v>
      </c>
      <c r="N281"/>
      <c r="O281" t="s">
        <v>3</v>
      </c>
      <c r="P281"/>
      <c r="Q281" t="s">
        <v>3</v>
      </c>
      <c r="R281"/>
      <c r="S281" t="s">
        <v>3</v>
      </c>
      <c r="T281" t="s">
        <v>111</v>
      </c>
      <c r="U281" s="109" t="s">
        <v>1084</v>
      </c>
    </row>
    <row r="282" spans="1:21">
      <c r="A282" t="s">
        <v>1085</v>
      </c>
      <c r="B282" t="s">
        <v>8</v>
      </c>
      <c r="C282" t="s">
        <v>1086</v>
      </c>
      <c r="D282" t="s">
        <v>1086</v>
      </c>
      <c r="E282" s="111" t="s">
        <v>3</v>
      </c>
      <c r="F282" t="s">
        <v>3</v>
      </c>
      <c r="G282" t="s">
        <v>8</v>
      </c>
      <c r="H282" t="s">
        <v>111</v>
      </c>
      <c r="I282" t="s">
        <v>3</v>
      </c>
      <c r="J282" t="s">
        <v>639</v>
      </c>
      <c r="K282" t="s">
        <v>3</v>
      </c>
      <c r="L282"/>
      <c r="M282" t="s">
        <v>3</v>
      </c>
      <c r="N282"/>
      <c r="O282" t="s">
        <v>3</v>
      </c>
      <c r="P282"/>
      <c r="Q282" t="s">
        <v>3</v>
      </c>
      <c r="R282"/>
      <c r="S282" t="s">
        <v>3</v>
      </c>
      <c r="T282" t="s">
        <v>111</v>
      </c>
      <c r="U282" s="109" t="s">
        <v>1087</v>
      </c>
    </row>
    <row r="283" spans="1:21">
      <c r="A283" t="s">
        <v>1088</v>
      </c>
      <c r="B283" t="s">
        <v>8</v>
      </c>
      <c r="C283" t="s">
        <v>1089</v>
      </c>
      <c r="D283" t="s">
        <v>1090</v>
      </c>
      <c r="E283" s="111" t="s">
        <v>3</v>
      </c>
      <c r="F283" t="s">
        <v>1091</v>
      </c>
      <c r="G283" t="s">
        <v>67</v>
      </c>
      <c r="H283" t="s">
        <v>3</v>
      </c>
      <c r="I283" t="s">
        <v>3</v>
      </c>
      <c r="J283"/>
      <c r="K283" t="s">
        <v>3</v>
      </c>
      <c r="L283"/>
      <c r="M283" t="s">
        <v>3</v>
      </c>
      <c r="N283"/>
      <c r="O283" t="s">
        <v>3</v>
      </c>
      <c r="P283"/>
      <c r="Q283" t="s">
        <v>3</v>
      </c>
      <c r="R283"/>
      <c r="S283" t="s">
        <v>3</v>
      </c>
      <c r="T283" t="s">
        <v>111</v>
      </c>
      <c r="U283" s="109" t="s">
        <v>1092</v>
      </c>
    </row>
    <row r="284" spans="1:21">
      <c r="A284" t="s">
        <v>1091</v>
      </c>
      <c r="B284" t="s">
        <v>8</v>
      </c>
      <c r="C284" t="s">
        <v>1093</v>
      </c>
      <c r="D284" t="s">
        <v>1094</v>
      </c>
      <c r="E284" s="111" t="s">
        <v>3</v>
      </c>
      <c r="F284" t="s">
        <v>1091</v>
      </c>
      <c r="G284" t="s">
        <v>67</v>
      </c>
      <c r="H284" t="s">
        <v>3</v>
      </c>
      <c r="I284" t="s">
        <v>3</v>
      </c>
      <c r="J284"/>
      <c r="K284" t="s">
        <v>3</v>
      </c>
      <c r="L284"/>
      <c r="M284" t="s">
        <v>3</v>
      </c>
      <c r="N284"/>
      <c r="O284" t="s">
        <v>3</v>
      </c>
      <c r="P284"/>
      <c r="Q284" t="s">
        <v>3</v>
      </c>
      <c r="R284"/>
      <c r="S284" t="s">
        <v>3</v>
      </c>
      <c r="T284" t="s">
        <v>111</v>
      </c>
      <c r="U284" s="109" t="s">
        <v>1095</v>
      </c>
    </row>
    <row r="285" spans="1:21">
      <c r="A285" t="s">
        <v>1096</v>
      </c>
      <c r="B285" t="s">
        <v>8</v>
      </c>
      <c r="C285" t="s">
        <v>1097</v>
      </c>
      <c r="D285" t="s">
        <v>1098</v>
      </c>
      <c r="E285" s="111" t="s">
        <v>52</v>
      </c>
      <c r="F285" t="s">
        <v>1099</v>
      </c>
      <c r="G285" t="s">
        <v>8</v>
      </c>
      <c r="H285" t="s">
        <v>111</v>
      </c>
      <c r="I285" t="s">
        <v>88</v>
      </c>
      <c r="J285" t="s">
        <v>326</v>
      </c>
      <c r="K285" t="s">
        <v>3</v>
      </c>
      <c r="L285"/>
      <c r="M285" t="s">
        <v>3</v>
      </c>
      <c r="N285"/>
      <c r="O285" t="s">
        <v>3</v>
      </c>
      <c r="P285"/>
      <c r="Q285" t="s">
        <v>3</v>
      </c>
      <c r="R285"/>
      <c r="S285" t="s">
        <v>3</v>
      </c>
      <c r="T285" t="s">
        <v>111</v>
      </c>
      <c r="U285" s="109" t="s">
        <v>1100</v>
      </c>
    </row>
    <row r="286" spans="1:21">
      <c r="A286" t="s">
        <v>1099</v>
      </c>
      <c r="B286" t="s">
        <v>8</v>
      </c>
      <c r="C286" t="s">
        <v>1101</v>
      </c>
      <c r="D286" t="s">
        <v>1101</v>
      </c>
      <c r="E286" s="111" t="s">
        <v>52</v>
      </c>
      <c r="F286" t="s">
        <v>1099</v>
      </c>
      <c r="G286" t="s">
        <v>8</v>
      </c>
      <c r="H286" t="s">
        <v>111</v>
      </c>
      <c r="I286" t="s">
        <v>88</v>
      </c>
      <c r="J286" t="s">
        <v>326</v>
      </c>
      <c r="K286" t="s">
        <v>3</v>
      </c>
      <c r="L286"/>
      <c r="M286" t="s">
        <v>3</v>
      </c>
      <c r="N286"/>
      <c r="O286" t="s">
        <v>3</v>
      </c>
      <c r="P286"/>
      <c r="Q286" t="s">
        <v>3</v>
      </c>
      <c r="R286"/>
      <c r="S286" t="s">
        <v>3</v>
      </c>
      <c r="T286" t="s">
        <v>111</v>
      </c>
      <c r="U286" s="109" t="s">
        <v>1102</v>
      </c>
    </row>
    <row r="287" spans="1:21">
      <c r="A287" t="s">
        <v>1103</v>
      </c>
      <c r="B287" t="s">
        <v>8</v>
      </c>
      <c r="C287" t="s">
        <v>1104</v>
      </c>
      <c r="D287" t="s">
        <v>1104</v>
      </c>
      <c r="E287" s="111" t="s">
        <v>3</v>
      </c>
      <c r="F287" t="s">
        <v>3</v>
      </c>
      <c r="G287" t="s">
        <v>8</v>
      </c>
      <c r="H287" t="s">
        <v>3</v>
      </c>
      <c r="I287" t="s">
        <v>3</v>
      </c>
      <c r="J287"/>
      <c r="K287" t="s">
        <v>3</v>
      </c>
      <c r="L287"/>
      <c r="M287" t="s">
        <v>3</v>
      </c>
      <c r="N287"/>
      <c r="O287" t="s">
        <v>3</v>
      </c>
      <c r="P287"/>
      <c r="Q287" t="s">
        <v>3</v>
      </c>
      <c r="R287"/>
      <c r="S287" t="s">
        <v>3</v>
      </c>
      <c r="T287" t="s">
        <v>111</v>
      </c>
      <c r="U287" s="109" t="s">
        <v>1105</v>
      </c>
    </row>
    <row r="288" spans="1:21">
      <c r="A288" t="s">
        <v>1106</v>
      </c>
      <c r="B288" t="s">
        <v>8</v>
      </c>
      <c r="C288" t="s">
        <v>1107</v>
      </c>
      <c r="D288" t="s">
        <v>1107</v>
      </c>
      <c r="E288" s="111" t="s">
        <v>3</v>
      </c>
      <c r="F288" t="s">
        <v>1108</v>
      </c>
      <c r="G288" t="s">
        <v>8</v>
      </c>
      <c r="H288" t="s">
        <v>111</v>
      </c>
      <c r="I288" t="s">
        <v>6</v>
      </c>
      <c r="J288" t="s">
        <v>1109</v>
      </c>
      <c r="K288" t="s">
        <v>3</v>
      </c>
      <c r="L288" t="s">
        <v>328</v>
      </c>
      <c r="M288" t="s">
        <v>3</v>
      </c>
      <c r="N288"/>
      <c r="O288" t="s">
        <v>3</v>
      </c>
      <c r="P288"/>
      <c r="Q288" t="s">
        <v>3</v>
      </c>
      <c r="R288"/>
      <c r="S288" t="s">
        <v>3</v>
      </c>
      <c r="T288" t="s">
        <v>111</v>
      </c>
      <c r="U288" s="109" t="s">
        <v>1110</v>
      </c>
    </row>
    <row r="289" spans="1:21">
      <c r="A289" t="s">
        <v>1108</v>
      </c>
      <c r="B289" t="s">
        <v>8</v>
      </c>
      <c r="C289" t="s">
        <v>1107</v>
      </c>
      <c r="D289" t="s">
        <v>1107</v>
      </c>
      <c r="E289" s="111" t="s">
        <v>3</v>
      </c>
      <c r="F289" t="s">
        <v>3</v>
      </c>
      <c r="G289" t="s">
        <v>8</v>
      </c>
      <c r="H289" t="s">
        <v>3</v>
      </c>
      <c r="I289" t="s">
        <v>3</v>
      </c>
      <c r="J289"/>
      <c r="K289" t="s">
        <v>3</v>
      </c>
      <c r="L289"/>
      <c r="M289" t="s">
        <v>3</v>
      </c>
      <c r="N289"/>
      <c r="O289" t="s">
        <v>3</v>
      </c>
      <c r="P289"/>
      <c r="Q289" t="s">
        <v>3</v>
      </c>
      <c r="R289"/>
      <c r="S289" t="s">
        <v>3</v>
      </c>
      <c r="T289" t="s">
        <v>111</v>
      </c>
      <c r="U289" s="109" t="s">
        <v>1111</v>
      </c>
    </row>
    <row r="290" spans="1:21">
      <c r="A290" t="s">
        <v>1112</v>
      </c>
      <c r="B290" t="s">
        <v>8</v>
      </c>
      <c r="C290" t="s">
        <v>1113</v>
      </c>
      <c r="D290" t="s">
        <v>707</v>
      </c>
      <c r="E290" s="111" t="s">
        <v>3</v>
      </c>
      <c r="F290" t="s">
        <v>1114</v>
      </c>
      <c r="G290" t="s">
        <v>8</v>
      </c>
      <c r="H290" t="s">
        <v>111</v>
      </c>
      <c r="I290" t="s">
        <v>3</v>
      </c>
      <c r="J290" t="s">
        <v>219</v>
      </c>
      <c r="K290" t="s">
        <v>8</v>
      </c>
      <c r="L290" t="s">
        <v>709</v>
      </c>
      <c r="M290" t="s">
        <v>3</v>
      </c>
      <c r="N290" t="s">
        <v>710</v>
      </c>
      <c r="O290" t="s">
        <v>3</v>
      </c>
      <c r="P290" t="s">
        <v>711</v>
      </c>
      <c r="Q290" t="s">
        <v>3</v>
      </c>
      <c r="R290" t="s">
        <v>328</v>
      </c>
      <c r="S290" t="s">
        <v>3</v>
      </c>
      <c r="T290" t="s">
        <v>111</v>
      </c>
      <c r="U290" s="109" t="s">
        <v>1115</v>
      </c>
    </row>
    <row r="291" spans="1:21">
      <c r="A291" t="s">
        <v>1114</v>
      </c>
      <c r="B291" t="s">
        <v>8</v>
      </c>
      <c r="C291" t="s">
        <v>1116</v>
      </c>
      <c r="D291" t="s">
        <v>1116</v>
      </c>
      <c r="E291" s="111" t="s">
        <v>3</v>
      </c>
      <c r="F291" t="s">
        <v>1114</v>
      </c>
      <c r="G291" t="s">
        <v>8</v>
      </c>
      <c r="H291" t="s">
        <v>111</v>
      </c>
      <c r="I291" t="s">
        <v>3</v>
      </c>
      <c r="J291"/>
      <c r="K291" t="s">
        <v>3</v>
      </c>
      <c r="L291"/>
      <c r="M291" t="s">
        <v>3</v>
      </c>
      <c r="N291"/>
      <c r="O291" t="s">
        <v>3</v>
      </c>
      <c r="P291"/>
      <c r="Q291" t="s">
        <v>3</v>
      </c>
      <c r="R291"/>
      <c r="S291" t="s">
        <v>3</v>
      </c>
      <c r="T291" t="s">
        <v>111</v>
      </c>
      <c r="U291" s="109" t="s">
        <v>1117</v>
      </c>
    </row>
    <row r="292" spans="1:21">
      <c r="A292" t="s">
        <v>1118</v>
      </c>
      <c r="B292" t="s">
        <v>3</v>
      </c>
      <c r="C292" t="s">
        <v>1119</v>
      </c>
      <c r="D292" t="s">
        <v>1119</v>
      </c>
      <c r="E292" s="111" t="s">
        <v>3</v>
      </c>
      <c r="F292" t="s">
        <v>3</v>
      </c>
      <c r="G292" t="s">
        <v>3</v>
      </c>
      <c r="H292" t="s">
        <v>3</v>
      </c>
      <c r="I292" t="s">
        <v>3</v>
      </c>
      <c r="J292"/>
      <c r="K292" t="s">
        <v>3</v>
      </c>
      <c r="L292"/>
      <c r="M292" t="s">
        <v>3</v>
      </c>
      <c r="N292"/>
      <c r="O292" t="s">
        <v>3</v>
      </c>
      <c r="P292"/>
      <c r="Q292" t="s">
        <v>3</v>
      </c>
      <c r="R292"/>
      <c r="S292" t="s">
        <v>3</v>
      </c>
      <c r="T292" t="s">
        <v>111</v>
      </c>
      <c r="U292" s="109" t="s">
        <v>1120</v>
      </c>
    </row>
    <row r="293" spans="1:21">
      <c r="A293" t="s">
        <v>1121</v>
      </c>
      <c r="B293" t="s">
        <v>8</v>
      </c>
      <c r="C293" t="s">
        <v>1122</v>
      </c>
      <c r="D293" t="s">
        <v>1122</v>
      </c>
      <c r="E293" s="111" t="s">
        <v>3</v>
      </c>
      <c r="F293" t="s">
        <v>3</v>
      </c>
      <c r="G293" t="s">
        <v>8</v>
      </c>
      <c r="H293" t="s">
        <v>3</v>
      </c>
      <c r="I293" t="s">
        <v>546</v>
      </c>
      <c r="J293"/>
      <c r="K293" t="s">
        <v>3</v>
      </c>
      <c r="L293"/>
      <c r="M293" t="s">
        <v>3</v>
      </c>
      <c r="N293"/>
      <c r="O293" t="s">
        <v>3</v>
      </c>
      <c r="P293"/>
      <c r="Q293" t="s">
        <v>3</v>
      </c>
      <c r="R293"/>
      <c r="S293" t="s">
        <v>3</v>
      </c>
      <c r="T293" t="s">
        <v>111</v>
      </c>
      <c r="U293" s="109" t="s">
        <v>1123</v>
      </c>
    </row>
    <row r="294" spans="1:21">
      <c r="A294" t="s">
        <v>1124</v>
      </c>
      <c r="B294" t="s">
        <v>8</v>
      </c>
      <c r="C294" t="s">
        <v>1125</v>
      </c>
      <c r="D294" t="s">
        <v>1125</v>
      </c>
      <c r="E294" s="111" t="s">
        <v>3</v>
      </c>
      <c r="F294" t="s">
        <v>3</v>
      </c>
      <c r="G294" t="s">
        <v>8</v>
      </c>
      <c r="H294" t="s">
        <v>3</v>
      </c>
      <c r="I294" t="s">
        <v>546</v>
      </c>
      <c r="J294"/>
      <c r="K294" t="s">
        <v>3</v>
      </c>
      <c r="L294"/>
      <c r="M294" t="s">
        <v>3</v>
      </c>
      <c r="N294"/>
      <c r="O294" t="s">
        <v>3</v>
      </c>
      <c r="P294"/>
      <c r="Q294" t="s">
        <v>3</v>
      </c>
      <c r="R294"/>
      <c r="S294" t="s">
        <v>3</v>
      </c>
      <c r="T294" t="s">
        <v>111</v>
      </c>
      <c r="U294" s="109" t="s">
        <v>1126</v>
      </c>
    </row>
    <row r="295" spans="1:21">
      <c r="A295" t="s">
        <v>1127</v>
      </c>
      <c r="B295" t="s">
        <v>8</v>
      </c>
      <c r="C295" t="s">
        <v>1128</v>
      </c>
      <c r="D295" t="s">
        <v>1128</v>
      </c>
      <c r="E295" s="111" t="s">
        <v>3</v>
      </c>
      <c r="F295" t="s">
        <v>3</v>
      </c>
      <c r="G295" t="s">
        <v>8</v>
      </c>
      <c r="H295" t="s">
        <v>3</v>
      </c>
      <c r="I295" t="s">
        <v>546</v>
      </c>
      <c r="J295"/>
      <c r="K295" t="s">
        <v>3</v>
      </c>
      <c r="L295"/>
      <c r="M295" t="s">
        <v>3</v>
      </c>
      <c r="N295"/>
      <c r="O295" t="s">
        <v>3</v>
      </c>
      <c r="P295"/>
      <c r="Q295" t="s">
        <v>3</v>
      </c>
      <c r="R295"/>
      <c r="S295" t="s">
        <v>3</v>
      </c>
      <c r="T295" t="s">
        <v>111</v>
      </c>
      <c r="U295" s="109" t="s">
        <v>1129</v>
      </c>
    </row>
    <row r="296" spans="1:21">
      <c r="A296" t="s">
        <v>1130</v>
      </c>
      <c r="B296" t="s">
        <v>8</v>
      </c>
      <c r="C296" t="s">
        <v>1131</v>
      </c>
      <c r="D296" t="s">
        <v>1131</v>
      </c>
      <c r="E296" s="111" t="s">
        <v>3</v>
      </c>
      <c r="F296" t="s">
        <v>3</v>
      </c>
      <c r="G296" t="s">
        <v>8</v>
      </c>
      <c r="H296" t="s">
        <v>3</v>
      </c>
      <c r="I296" t="s">
        <v>546</v>
      </c>
      <c r="J296"/>
      <c r="K296" t="s">
        <v>3</v>
      </c>
      <c r="L296"/>
      <c r="M296" t="s">
        <v>3</v>
      </c>
      <c r="N296"/>
      <c r="O296" t="s">
        <v>3</v>
      </c>
      <c r="P296"/>
      <c r="Q296" t="s">
        <v>3</v>
      </c>
      <c r="R296"/>
      <c r="S296" t="s">
        <v>3</v>
      </c>
      <c r="T296" t="s">
        <v>111</v>
      </c>
      <c r="U296" s="109" t="s">
        <v>1132</v>
      </c>
    </row>
    <row r="297" spans="1:21">
      <c r="A297" t="s">
        <v>1133</v>
      </c>
      <c r="B297" t="s">
        <v>8</v>
      </c>
      <c r="C297" t="s">
        <v>1134</v>
      </c>
      <c r="D297" t="s">
        <v>1134</v>
      </c>
      <c r="E297" s="111" t="s">
        <v>3</v>
      </c>
      <c r="F297" t="s">
        <v>3</v>
      </c>
      <c r="G297" t="s">
        <v>8</v>
      </c>
      <c r="H297" t="s">
        <v>3</v>
      </c>
      <c r="I297" t="s">
        <v>3</v>
      </c>
      <c r="J297"/>
      <c r="K297" t="s">
        <v>3</v>
      </c>
      <c r="L297"/>
      <c r="M297" t="s">
        <v>3</v>
      </c>
      <c r="N297"/>
      <c r="O297" t="s">
        <v>3</v>
      </c>
      <c r="P297"/>
      <c r="Q297" t="s">
        <v>3</v>
      </c>
      <c r="R297"/>
      <c r="S297" t="s">
        <v>3</v>
      </c>
      <c r="T297" t="s">
        <v>111</v>
      </c>
      <c r="U297" s="109" t="s">
        <v>1135</v>
      </c>
    </row>
    <row r="298" spans="1:21">
      <c r="A298" t="s">
        <v>1136</v>
      </c>
      <c r="B298" t="s">
        <v>8</v>
      </c>
      <c r="C298" t="s">
        <v>1137</v>
      </c>
      <c r="D298" t="s">
        <v>1138</v>
      </c>
      <c r="E298" s="111" t="s">
        <v>3</v>
      </c>
      <c r="F298" t="s">
        <v>1139</v>
      </c>
      <c r="G298" t="s">
        <v>3</v>
      </c>
      <c r="H298" t="s">
        <v>3</v>
      </c>
      <c r="I298" t="s">
        <v>3</v>
      </c>
      <c r="J298"/>
      <c r="K298" t="s">
        <v>3</v>
      </c>
      <c r="L298"/>
      <c r="M298" t="s">
        <v>3</v>
      </c>
      <c r="N298"/>
      <c r="O298" t="s">
        <v>3</v>
      </c>
      <c r="P298"/>
      <c r="Q298" t="s">
        <v>3</v>
      </c>
      <c r="R298"/>
      <c r="S298" t="s">
        <v>3</v>
      </c>
      <c r="T298" t="s">
        <v>111</v>
      </c>
      <c r="U298" s="109" t="s">
        <v>1140</v>
      </c>
    </row>
    <row r="299" spans="1:21">
      <c r="A299" t="s">
        <v>1139</v>
      </c>
      <c r="B299" t="s">
        <v>8</v>
      </c>
      <c r="C299" t="s">
        <v>1141</v>
      </c>
      <c r="D299" t="s">
        <v>1141</v>
      </c>
      <c r="E299" s="111" t="s">
        <v>3</v>
      </c>
      <c r="F299" t="s">
        <v>3</v>
      </c>
      <c r="G299" t="s">
        <v>3</v>
      </c>
      <c r="H299" t="s">
        <v>3</v>
      </c>
      <c r="I299" t="s">
        <v>3</v>
      </c>
      <c r="J299"/>
      <c r="K299" t="s">
        <v>3</v>
      </c>
      <c r="L299"/>
      <c r="M299" t="s">
        <v>3</v>
      </c>
      <c r="N299"/>
      <c r="O299" t="s">
        <v>3</v>
      </c>
      <c r="P299"/>
      <c r="Q299" t="s">
        <v>3</v>
      </c>
      <c r="R299"/>
      <c r="S299" t="s">
        <v>3</v>
      </c>
      <c r="T299" t="s">
        <v>111</v>
      </c>
      <c r="U299" s="109" t="s">
        <v>1142</v>
      </c>
    </row>
    <row r="300" spans="1:21">
      <c r="A300" t="s">
        <v>1143</v>
      </c>
      <c r="B300" t="s">
        <v>8</v>
      </c>
      <c r="C300" t="s">
        <v>1144</v>
      </c>
      <c r="D300" t="s">
        <v>1144</v>
      </c>
      <c r="E300" s="111" t="s">
        <v>3</v>
      </c>
      <c r="F300" t="s">
        <v>3</v>
      </c>
      <c r="G300" t="s">
        <v>67</v>
      </c>
      <c r="H300" t="s">
        <v>111</v>
      </c>
      <c r="I300" t="s">
        <v>3</v>
      </c>
      <c r="J300" t="s">
        <v>674</v>
      </c>
      <c r="K300" t="s">
        <v>3</v>
      </c>
      <c r="L300"/>
      <c r="M300" t="s">
        <v>3</v>
      </c>
      <c r="N300"/>
      <c r="O300" t="s">
        <v>3</v>
      </c>
      <c r="P300"/>
      <c r="Q300" t="s">
        <v>3</v>
      </c>
      <c r="R300"/>
      <c r="S300" t="s">
        <v>3</v>
      </c>
      <c r="T300" t="s">
        <v>111</v>
      </c>
      <c r="U300" s="109" t="s">
        <v>1145</v>
      </c>
    </row>
    <row r="301" spans="1:21">
      <c r="A301" t="s">
        <v>1146</v>
      </c>
      <c r="B301" t="s">
        <v>8</v>
      </c>
      <c r="C301" t="s">
        <v>1147</v>
      </c>
      <c r="D301" t="s">
        <v>1148</v>
      </c>
      <c r="E301" s="111" t="s">
        <v>3</v>
      </c>
      <c r="F301" t="s">
        <v>3</v>
      </c>
      <c r="G301" t="s">
        <v>67</v>
      </c>
      <c r="H301" t="s">
        <v>111</v>
      </c>
      <c r="I301" t="s">
        <v>3</v>
      </c>
      <c r="J301" t="s">
        <v>1149</v>
      </c>
      <c r="K301" t="s">
        <v>3</v>
      </c>
      <c r="L301"/>
      <c r="M301" t="s">
        <v>3</v>
      </c>
      <c r="N301"/>
      <c r="O301" t="s">
        <v>3</v>
      </c>
      <c r="P301"/>
      <c r="Q301" t="s">
        <v>3</v>
      </c>
      <c r="R301"/>
      <c r="S301" t="s">
        <v>3</v>
      </c>
      <c r="T301" t="s">
        <v>111</v>
      </c>
      <c r="U301" s="109" t="s">
        <v>1150</v>
      </c>
    </row>
    <row r="302" spans="1:21">
      <c r="A302" t="s">
        <v>1151</v>
      </c>
      <c r="B302" t="s">
        <v>8</v>
      </c>
      <c r="C302" t="s">
        <v>1152</v>
      </c>
      <c r="D302" t="s">
        <v>1152</v>
      </c>
      <c r="E302" s="111" t="s">
        <v>3</v>
      </c>
      <c r="F302" t="s">
        <v>3</v>
      </c>
      <c r="G302" t="s">
        <v>67</v>
      </c>
      <c r="H302" t="s">
        <v>111</v>
      </c>
      <c r="I302" t="s">
        <v>3</v>
      </c>
      <c r="J302" t="s">
        <v>1153</v>
      </c>
      <c r="K302" t="s">
        <v>3</v>
      </c>
      <c r="L302"/>
      <c r="M302" t="s">
        <v>3</v>
      </c>
      <c r="N302"/>
      <c r="O302" t="s">
        <v>3</v>
      </c>
      <c r="P302"/>
      <c r="Q302" t="s">
        <v>3</v>
      </c>
      <c r="R302"/>
      <c r="S302" t="s">
        <v>3</v>
      </c>
      <c r="T302" t="s">
        <v>111</v>
      </c>
      <c r="U302" s="109" t="s">
        <v>1154</v>
      </c>
    </row>
    <row r="303" spans="1:21">
      <c r="A303" t="s">
        <v>1155</v>
      </c>
      <c r="B303" t="s">
        <v>8</v>
      </c>
      <c r="C303" t="s">
        <v>1156</v>
      </c>
      <c r="D303" t="s">
        <v>1156</v>
      </c>
      <c r="E303" s="111" t="s">
        <v>3</v>
      </c>
      <c r="F303" t="s">
        <v>3</v>
      </c>
      <c r="G303" t="s">
        <v>67</v>
      </c>
      <c r="H303" t="s">
        <v>111</v>
      </c>
      <c r="I303" t="s">
        <v>3</v>
      </c>
      <c r="J303" t="s">
        <v>1157</v>
      </c>
      <c r="K303" t="s">
        <v>3</v>
      </c>
      <c r="L303"/>
      <c r="M303" t="s">
        <v>3</v>
      </c>
      <c r="N303"/>
      <c r="O303" t="s">
        <v>3</v>
      </c>
      <c r="P303"/>
      <c r="Q303" t="s">
        <v>3</v>
      </c>
      <c r="R303"/>
      <c r="S303" t="s">
        <v>3</v>
      </c>
      <c r="T303" t="s">
        <v>111</v>
      </c>
      <c r="U303" s="109" t="s">
        <v>1158</v>
      </c>
    </row>
    <row r="304" spans="1:21">
      <c r="A304" t="s">
        <v>1159</v>
      </c>
      <c r="B304" t="s">
        <v>8</v>
      </c>
      <c r="C304" t="s">
        <v>1160</v>
      </c>
      <c r="D304" t="s">
        <v>1160</v>
      </c>
      <c r="E304" s="111" t="s">
        <v>3</v>
      </c>
      <c r="F304" t="s">
        <v>3</v>
      </c>
      <c r="G304" t="s">
        <v>67</v>
      </c>
      <c r="H304" t="s">
        <v>111</v>
      </c>
      <c r="I304" t="s">
        <v>3</v>
      </c>
      <c r="J304" t="s">
        <v>1161</v>
      </c>
      <c r="K304" t="s">
        <v>3</v>
      </c>
      <c r="L304"/>
      <c r="M304" t="s">
        <v>3</v>
      </c>
      <c r="N304"/>
      <c r="O304" t="s">
        <v>3</v>
      </c>
      <c r="P304"/>
      <c r="Q304" t="s">
        <v>3</v>
      </c>
      <c r="R304"/>
      <c r="S304" t="s">
        <v>3</v>
      </c>
      <c r="T304" t="s">
        <v>111</v>
      </c>
      <c r="U304" s="109" t="s">
        <v>1162</v>
      </c>
    </row>
    <row r="305" spans="1:21">
      <c r="A305" t="s">
        <v>1163</v>
      </c>
      <c r="B305" t="s">
        <v>8</v>
      </c>
      <c r="C305" t="s">
        <v>1068</v>
      </c>
      <c r="D305" t="s">
        <v>1164</v>
      </c>
      <c r="E305" s="111" t="s">
        <v>3</v>
      </c>
      <c r="F305" t="s">
        <v>1165</v>
      </c>
      <c r="G305" t="s">
        <v>3</v>
      </c>
      <c r="H305" t="s">
        <v>111</v>
      </c>
      <c r="I305" t="s">
        <v>3</v>
      </c>
      <c r="J305" t="s">
        <v>219</v>
      </c>
      <c r="K305" t="s">
        <v>8</v>
      </c>
      <c r="L305" t="s">
        <v>326</v>
      </c>
      <c r="M305" t="s">
        <v>3</v>
      </c>
      <c r="N305" t="s">
        <v>232</v>
      </c>
      <c r="O305" t="s">
        <v>3</v>
      </c>
      <c r="P305" t="s">
        <v>738</v>
      </c>
      <c r="Q305" t="s">
        <v>3</v>
      </c>
      <c r="R305" t="s">
        <v>739</v>
      </c>
      <c r="S305" t="s">
        <v>3</v>
      </c>
      <c r="T305" t="s">
        <v>111</v>
      </c>
      <c r="U305" s="109" t="s">
        <v>1166</v>
      </c>
    </row>
    <row r="306" spans="1:21">
      <c r="A306" t="s">
        <v>1165</v>
      </c>
      <c r="B306" t="s">
        <v>8</v>
      </c>
      <c r="C306" t="s">
        <v>1167</v>
      </c>
      <c r="D306" t="s">
        <v>1167</v>
      </c>
      <c r="E306" s="111" t="s">
        <v>3</v>
      </c>
      <c r="F306" t="s">
        <v>3</v>
      </c>
      <c r="G306" t="s">
        <v>8</v>
      </c>
      <c r="H306" t="s">
        <v>111</v>
      </c>
      <c r="I306" t="s">
        <v>3</v>
      </c>
      <c r="J306" t="s">
        <v>219</v>
      </c>
      <c r="K306" t="s">
        <v>8</v>
      </c>
      <c r="L306" t="s">
        <v>1168</v>
      </c>
      <c r="M306" t="s">
        <v>3</v>
      </c>
      <c r="N306" t="s">
        <v>326</v>
      </c>
      <c r="O306" t="s">
        <v>3</v>
      </c>
      <c r="P306"/>
      <c r="Q306" t="s">
        <v>3</v>
      </c>
      <c r="R306"/>
      <c r="S306" t="s">
        <v>3</v>
      </c>
      <c r="T306" t="s">
        <v>111</v>
      </c>
      <c r="U306" s="109" t="s">
        <v>1169</v>
      </c>
    </row>
    <row r="307" spans="1:21">
      <c r="A307" t="s">
        <v>1013</v>
      </c>
      <c r="B307" t="s">
        <v>3</v>
      </c>
      <c r="C307" t="s">
        <v>1170</v>
      </c>
      <c r="D307" t="s">
        <v>1170</v>
      </c>
      <c r="E307" s="111" t="s">
        <v>3</v>
      </c>
      <c r="F307" t="s">
        <v>3</v>
      </c>
      <c r="G307" t="s">
        <v>67</v>
      </c>
      <c r="H307" t="s">
        <v>3</v>
      </c>
      <c r="I307" t="s">
        <v>3</v>
      </c>
      <c r="J307"/>
      <c r="K307" t="s">
        <v>3</v>
      </c>
      <c r="L307"/>
      <c r="M307" t="s">
        <v>3</v>
      </c>
      <c r="N307"/>
      <c r="O307" t="s">
        <v>3</v>
      </c>
      <c r="P307"/>
      <c r="Q307" t="s">
        <v>3</v>
      </c>
      <c r="R307"/>
      <c r="S307" t="s">
        <v>3</v>
      </c>
      <c r="T307" t="s">
        <v>111</v>
      </c>
      <c r="U307" s="109" t="s">
        <v>1171</v>
      </c>
    </row>
    <row r="308" spans="1:21">
      <c r="A308" t="s">
        <v>924</v>
      </c>
      <c r="B308" t="s">
        <v>8</v>
      </c>
      <c r="C308" t="s">
        <v>923</v>
      </c>
      <c r="D308" t="s">
        <v>923</v>
      </c>
      <c r="E308" s="111" t="s">
        <v>3</v>
      </c>
      <c r="F308" t="s">
        <v>3</v>
      </c>
      <c r="G308" t="s">
        <v>8</v>
      </c>
      <c r="H308" t="s">
        <v>3</v>
      </c>
      <c r="I308" t="s">
        <v>3</v>
      </c>
      <c r="J308"/>
      <c r="K308" t="s">
        <v>3</v>
      </c>
      <c r="L308"/>
      <c r="M308" t="s">
        <v>3</v>
      </c>
      <c r="N308"/>
      <c r="O308" t="s">
        <v>3</v>
      </c>
      <c r="P308"/>
      <c r="Q308" t="s">
        <v>3</v>
      </c>
      <c r="R308"/>
      <c r="S308" t="s">
        <v>3</v>
      </c>
      <c r="T308" t="s">
        <v>111</v>
      </c>
      <c r="U308" s="109" t="s">
        <v>1172</v>
      </c>
    </row>
    <row r="309" spans="1:21">
      <c r="A309" t="s">
        <v>470</v>
      </c>
      <c r="B309" t="s">
        <v>8</v>
      </c>
      <c r="C309" t="s">
        <v>1173</v>
      </c>
      <c r="D309" t="s">
        <v>1173</v>
      </c>
      <c r="E309" s="111" t="s">
        <v>3</v>
      </c>
      <c r="F309" t="s">
        <v>3</v>
      </c>
      <c r="G309" t="s">
        <v>8</v>
      </c>
      <c r="H309" t="s">
        <v>3</v>
      </c>
      <c r="I309" t="s">
        <v>3</v>
      </c>
      <c r="J309"/>
      <c r="K309" t="s">
        <v>3</v>
      </c>
      <c r="L309"/>
      <c r="M309" t="s">
        <v>3</v>
      </c>
      <c r="N309"/>
      <c r="O309" t="s">
        <v>3</v>
      </c>
      <c r="P309"/>
      <c r="Q309" t="s">
        <v>3</v>
      </c>
      <c r="R309"/>
      <c r="S309" t="s">
        <v>3</v>
      </c>
      <c r="T309" t="s">
        <v>111</v>
      </c>
      <c r="U309" s="109" t="s">
        <v>1174</v>
      </c>
    </row>
    <row r="310" spans="1:21">
      <c r="A310" t="s">
        <v>1175</v>
      </c>
      <c r="B310" t="s">
        <v>8</v>
      </c>
      <c r="C310" t="s">
        <v>1176</v>
      </c>
      <c r="D310" t="s">
        <v>1176</v>
      </c>
      <c r="E310" s="111" t="s">
        <v>3</v>
      </c>
      <c r="F310" t="s">
        <v>89</v>
      </c>
      <c r="G310" t="s">
        <v>8</v>
      </c>
      <c r="H310" t="s">
        <v>3</v>
      </c>
      <c r="I310" t="s">
        <v>3</v>
      </c>
      <c r="J310"/>
      <c r="K310" t="s">
        <v>3</v>
      </c>
      <c r="L310"/>
      <c r="M310" t="s">
        <v>3</v>
      </c>
      <c r="N310"/>
      <c r="O310" t="s">
        <v>3</v>
      </c>
      <c r="P310"/>
      <c r="Q310" t="s">
        <v>3</v>
      </c>
      <c r="R310"/>
      <c r="S310" t="s">
        <v>3</v>
      </c>
      <c r="T310" t="s">
        <v>111</v>
      </c>
      <c r="U310" s="109" t="s">
        <v>1177</v>
      </c>
    </row>
    <row r="311" spans="1:21">
      <c r="A311" t="s">
        <v>89</v>
      </c>
      <c r="B311" t="s">
        <v>8</v>
      </c>
      <c r="C311" t="s">
        <v>1176</v>
      </c>
      <c r="D311" t="s">
        <v>1176</v>
      </c>
      <c r="E311" s="111" t="s">
        <v>3</v>
      </c>
      <c r="F311" t="s">
        <v>3</v>
      </c>
      <c r="G311" t="s">
        <v>8</v>
      </c>
      <c r="H311" t="s">
        <v>3</v>
      </c>
      <c r="I311" t="s">
        <v>3</v>
      </c>
      <c r="J311"/>
      <c r="K311" t="s">
        <v>3</v>
      </c>
      <c r="L311"/>
      <c r="M311" t="s">
        <v>3</v>
      </c>
      <c r="N311"/>
      <c r="O311" t="s">
        <v>3</v>
      </c>
      <c r="P311"/>
      <c r="Q311" t="s">
        <v>3</v>
      </c>
      <c r="R311"/>
      <c r="S311" t="s">
        <v>3</v>
      </c>
      <c r="T311" t="s">
        <v>111</v>
      </c>
      <c r="U311" s="109" t="s">
        <v>1178</v>
      </c>
    </row>
    <row r="312" spans="1:21">
      <c r="A312" t="s">
        <v>91</v>
      </c>
      <c r="B312" t="s">
        <v>8</v>
      </c>
      <c r="C312" t="s">
        <v>1179</v>
      </c>
      <c r="D312" t="s">
        <v>1179</v>
      </c>
      <c r="E312" s="111" t="s">
        <v>3</v>
      </c>
      <c r="F312" t="s">
        <v>1180</v>
      </c>
      <c r="G312" t="s">
        <v>3</v>
      </c>
      <c r="H312" t="s">
        <v>111</v>
      </c>
      <c r="I312" t="s">
        <v>3</v>
      </c>
      <c r="J312" t="s">
        <v>219</v>
      </c>
      <c r="K312" t="s">
        <v>8</v>
      </c>
      <c r="L312" t="s">
        <v>326</v>
      </c>
      <c r="M312" t="s">
        <v>3</v>
      </c>
      <c r="N312" t="s">
        <v>232</v>
      </c>
      <c r="O312" t="s">
        <v>3</v>
      </c>
      <c r="P312" t="s">
        <v>738</v>
      </c>
      <c r="Q312" t="s">
        <v>3</v>
      </c>
      <c r="R312" t="s">
        <v>739</v>
      </c>
      <c r="S312" t="s">
        <v>3</v>
      </c>
      <c r="T312" t="s">
        <v>111</v>
      </c>
      <c r="U312" s="109" t="s">
        <v>1181</v>
      </c>
    </row>
    <row r="313" spans="1:21">
      <c r="A313" t="s">
        <v>1180</v>
      </c>
      <c r="B313" t="s">
        <v>8</v>
      </c>
      <c r="C313" t="s">
        <v>1179</v>
      </c>
      <c r="D313" t="s">
        <v>1179</v>
      </c>
      <c r="E313" s="111" t="s">
        <v>3</v>
      </c>
      <c r="F313" t="s">
        <v>3</v>
      </c>
      <c r="G313" t="s">
        <v>8</v>
      </c>
      <c r="H313" t="s">
        <v>111</v>
      </c>
      <c r="I313" t="s">
        <v>3</v>
      </c>
      <c r="J313"/>
      <c r="K313" t="s">
        <v>3</v>
      </c>
      <c r="L313"/>
      <c r="M313" t="s">
        <v>3</v>
      </c>
      <c r="N313"/>
      <c r="O313" t="s">
        <v>3</v>
      </c>
      <c r="P313"/>
      <c r="Q313" t="s">
        <v>3</v>
      </c>
      <c r="R313"/>
      <c r="S313" t="s">
        <v>3</v>
      </c>
      <c r="T313" t="s">
        <v>111</v>
      </c>
      <c r="U313" s="109" t="s">
        <v>1182</v>
      </c>
    </row>
    <row r="314" spans="1:21">
      <c r="A314" t="s">
        <v>1183</v>
      </c>
      <c r="B314" t="s">
        <v>8</v>
      </c>
      <c r="C314" t="s">
        <v>1184</v>
      </c>
      <c r="D314" t="s">
        <v>1184</v>
      </c>
      <c r="E314" s="111" t="s">
        <v>3</v>
      </c>
      <c r="F314" t="s">
        <v>1185</v>
      </c>
      <c r="G314" t="s">
        <v>3</v>
      </c>
      <c r="H314" t="s">
        <v>111</v>
      </c>
      <c r="I314" t="s">
        <v>3</v>
      </c>
      <c r="J314" t="s">
        <v>219</v>
      </c>
      <c r="K314" t="s">
        <v>8</v>
      </c>
      <c r="L314" t="s">
        <v>326</v>
      </c>
      <c r="M314" t="s">
        <v>3</v>
      </c>
      <c r="N314" t="s">
        <v>232</v>
      </c>
      <c r="O314" t="s">
        <v>3</v>
      </c>
      <c r="P314" t="s">
        <v>738</v>
      </c>
      <c r="Q314" t="s">
        <v>3</v>
      </c>
      <c r="R314" t="s">
        <v>739</v>
      </c>
      <c r="S314" t="s">
        <v>3</v>
      </c>
      <c r="T314" t="s">
        <v>111</v>
      </c>
      <c r="U314" s="109" t="s">
        <v>1186</v>
      </c>
    </row>
    <row r="315" spans="1:21">
      <c r="A315" t="s">
        <v>1185</v>
      </c>
      <c r="B315" t="s">
        <v>8</v>
      </c>
      <c r="C315" t="s">
        <v>1184</v>
      </c>
      <c r="D315" t="s">
        <v>1184</v>
      </c>
      <c r="E315" s="111" t="s">
        <v>3</v>
      </c>
      <c r="F315" t="s">
        <v>3</v>
      </c>
      <c r="G315" t="s">
        <v>8</v>
      </c>
      <c r="H315" t="s">
        <v>111</v>
      </c>
      <c r="I315" t="s">
        <v>3</v>
      </c>
      <c r="J315"/>
      <c r="K315" t="s">
        <v>3</v>
      </c>
      <c r="L315"/>
      <c r="M315" t="s">
        <v>3</v>
      </c>
      <c r="N315"/>
      <c r="O315" t="s">
        <v>3</v>
      </c>
      <c r="P315"/>
      <c r="Q315" t="s">
        <v>3</v>
      </c>
      <c r="R315"/>
      <c r="S315" t="s">
        <v>3</v>
      </c>
      <c r="T315" t="s">
        <v>111</v>
      </c>
      <c r="U315" s="109" t="s">
        <v>1187</v>
      </c>
    </row>
    <row r="316" spans="1:21">
      <c r="A316" t="s">
        <v>1188</v>
      </c>
      <c r="B316" t="s">
        <v>8</v>
      </c>
      <c r="C316" t="s">
        <v>1189</v>
      </c>
      <c r="D316" t="s">
        <v>1189</v>
      </c>
      <c r="E316" s="111" t="s">
        <v>3</v>
      </c>
      <c r="F316" t="s">
        <v>1190</v>
      </c>
      <c r="G316" t="s">
        <v>3</v>
      </c>
      <c r="H316" t="s">
        <v>3</v>
      </c>
      <c r="I316" t="s">
        <v>3</v>
      </c>
      <c r="J316"/>
      <c r="K316" t="s">
        <v>3</v>
      </c>
      <c r="L316"/>
      <c r="M316" t="s">
        <v>3</v>
      </c>
      <c r="N316"/>
      <c r="O316" t="s">
        <v>3</v>
      </c>
      <c r="P316"/>
      <c r="Q316" t="s">
        <v>3</v>
      </c>
      <c r="R316"/>
      <c r="S316" t="s">
        <v>3</v>
      </c>
      <c r="T316" t="s">
        <v>111</v>
      </c>
      <c r="U316" s="109" t="s">
        <v>1191</v>
      </c>
    </row>
    <row r="317" spans="1:21">
      <c r="A317" t="s">
        <v>1190</v>
      </c>
      <c r="B317" t="s">
        <v>8</v>
      </c>
      <c r="C317" t="s">
        <v>1189</v>
      </c>
      <c r="D317" t="s">
        <v>1189</v>
      </c>
      <c r="E317" s="111" t="s">
        <v>3</v>
      </c>
      <c r="F317" t="s">
        <v>3</v>
      </c>
      <c r="G317" t="s">
        <v>8</v>
      </c>
      <c r="H317" t="s">
        <v>111</v>
      </c>
      <c r="I317" t="s">
        <v>3</v>
      </c>
      <c r="J317"/>
      <c r="K317" t="s">
        <v>3</v>
      </c>
      <c r="L317"/>
      <c r="M317" t="s">
        <v>3</v>
      </c>
      <c r="N317"/>
      <c r="O317" t="s">
        <v>3</v>
      </c>
      <c r="P317"/>
      <c r="Q317" t="s">
        <v>3</v>
      </c>
      <c r="R317"/>
      <c r="S317" t="s">
        <v>3</v>
      </c>
      <c r="T317" t="s">
        <v>111</v>
      </c>
      <c r="U317" s="109" t="s">
        <v>1192</v>
      </c>
    </row>
    <row r="318" spans="1:21">
      <c r="A318" t="s">
        <v>1193</v>
      </c>
      <c r="B318" t="s">
        <v>8</v>
      </c>
      <c r="C318" t="s">
        <v>713</v>
      </c>
      <c r="D318" t="s">
        <v>713</v>
      </c>
      <c r="E318" s="111" t="s">
        <v>3</v>
      </c>
      <c r="F318" t="s">
        <v>3</v>
      </c>
      <c r="G318" t="s">
        <v>8</v>
      </c>
      <c r="H318" t="s">
        <v>3</v>
      </c>
      <c r="I318" t="s">
        <v>163</v>
      </c>
      <c r="J318"/>
      <c r="K318" t="s">
        <v>3</v>
      </c>
      <c r="L318"/>
      <c r="M318" t="s">
        <v>3</v>
      </c>
      <c r="N318"/>
      <c r="O318" t="s">
        <v>3</v>
      </c>
      <c r="P318"/>
      <c r="Q318" t="s">
        <v>3</v>
      </c>
      <c r="R318"/>
      <c r="S318" t="s">
        <v>3</v>
      </c>
      <c r="T318" t="s">
        <v>111</v>
      </c>
      <c r="U318" s="109" t="s">
        <v>1194</v>
      </c>
    </row>
    <row r="319" spans="1:21">
      <c r="A319" t="s">
        <v>1195</v>
      </c>
      <c r="B319" t="s">
        <v>8</v>
      </c>
      <c r="C319" t="s">
        <v>1196</v>
      </c>
      <c r="D319" t="s">
        <v>1196</v>
      </c>
      <c r="E319" s="111" t="s">
        <v>3</v>
      </c>
      <c r="F319" t="s">
        <v>3</v>
      </c>
      <c r="G319" t="s">
        <v>8</v>
      </c>
      <c r="H319" t="s">
        <v>8</v>
      </c>
      <c r="I319" t="s">
        <v>546</v>
      </c>
      <c r="J319"/>
      <c r="K319" t="s">
        <v>3</v>
      </c>
      <c r="L319"/>
      <c r="M319" t="s">
        <v>3</v>
      </c>
      <c r="N319"/>
      <c r="O319" t="s">
        <v>3</v>
      </c>
      <c r="P319"/>
      <c r="Q319" t="s">
        <v>3</v>
      </c>
      <c r="R319"/>
      <c r="S319" t="s">
        <v>3</v>
      </c>
      <c r="T319" t="s">
        <v>111</v>
      </c>
      <c r="U319" s="109" t="s">
        <v>1197</v>
      </c>
    </row>
    <row r="320" spans="1:21">
      <c r="A320" t="s">
        <v>1198</v>
      </c>
      <c r="B320" t="s">
        <v>3</v>
      </c>
      <c r="C320" t="s">
        <v>1199</v>
      </c>
      <c r="D320" t="s">
        <v>1199</v>
      </c>
      <c r="E320" s="111" t="s">
        <v>3</v>
      </c>
      <c r="F320" t="s">
        <v>3</v>
      </c>
      <c r="G320" t="s">
        <v>3</v>
      </c>
      <c r="H320" t="s">
        <v>3</v>
      </c>
      <c r="I320" t="s">
        <v>3</v>
      </c>
      <c r="J320"/>
      <c r="K320" t="s">
        <v>3</v>
      </c>
      <c r="L320"/>
      <c r="M320" t="s">
        <v>3</v>
      </c>
      <c r="N320"/>
      <c r="O320" t="s">
        <v>3</v>
      </c>
      <c r="P320"/>
      <c r="Q320" t="s">
        <v>3</v>
      </c>
      <c r="R320"/>
      <c r="S320" t="s">
        <v>3</v>
      </c>
      <c r="T320" t="s">
        <v>111</v>
      </c>
      <c r="U320" s="109" t="s">
        <v>1200</v>
      </c>
    </row>
    <row r="321" spans="3:21">
      <c r="C321"/>
      <c r="D321"/>
      <c r="E321" s="111"/>
      <c r="F321"/>
      <c r="J321"/>
      <c r="K321"/>
      <c r="L321"/>
      <c r="M321"/>
      <c r="N321"/>
      <c r="O321"/>
      <c r="P321"/>
      <c r="Q321"/>
      <c r="R321"/>
      <c r="S321"/>
      <c r="U321" s="109"/>
    </row>
    <row r="322" spans="3:21">
      <c r="C322"/>
      <c r="E322" s="111"/>
      <c r="F322"/>
      <c r="K322"/>
      <c r="M322"/>
      <c r="O322"/>
      <c r="Q322"/>
      <c r="S322"/>
      <c r="U322" s="109"/>
    </row>
    <row r="323" spans="3:21">
      <c r="C323"/>
      <c r="E323" s="111"/>
      <c r="F323"/>
      <c r="K323"/>
      <c r="M323"/>
      <c r="O323"/>
      <c r="Q323"/>
      <c r="S323"/>
      <c r="U323" s="109"/>
    </row>
    <row r="324" spans="3:21">
      <c r="C324"/>
      <c r="D324"/>
      <c r="E324" s="111"/>
      <c r="F324"/>
      <c r="K324"/>
      <c r="M324"/>
      <c r="O324"/>
      <c r="Q324"/>
      <c r="S324"/>
      <c r="U324" s="109"/>
    </row>
    <row r="325" spans="3:21">
      <c r="C325"/>
      <c r="D325"/>
      <c r="E325" s="111"/>
      <c r="F325"/>
      <c r="K325"/>
      <c r="M325"/>
      <c r="O325"/>
      <c r="Q325"/>
      <c r="S325"/>
      <c r="U325" s="109"/>
    </row>
    <row r="326" spans="3:21">
      <c r="C326"/>
      <c r="D326"/>
      <c r="E326" s="111"/>
      <c r="F326"/>
      <c r="K326"/>
      <c r="M326"/>
      <c r="O326"/>
      <c r="Q326"/>
      <c r="S326"/>
      <c r="U326" s="109"/>
    </row>
    <row r="327" spans="3:21">
      <c r="C327"/>
      <c r="D327"/>
      <c r="E327" s="111"/>
      <c r="F327"/>
      <c r="K327"/>
      <c r="M327"/>
      <c r="O327"/>
      <c r="Q327"/>
      <c r="S327"/>
      <c r="U327" s="109"/>
    </row>
    <row r="328" spans="3:21">
      <c r="C328"/>
      <c r="D328"/>
      <c r="E328" s="111"/>
      <c r="F328"/>
      <c r="K328"/>
      <c r="M328"/>
      <c r="O328"/>
      <c r="Q328"/>
      <c r="S328"/>
      <c r="U328" s="109"/>
    </row>
    <row r="329" spans="3:21">
      <c r="C329"/>
      <c r="D329"/>
      <c r="E329" s="111"/>
      <c r="F329"/>
      <c r="K329"/>
      <c r="M329"/>
      <c r="O329"/>
      <c r="Q329"/>
      <c r="S329"/>
      <c r="U329" s="109"/>
    </row>
    <row r="330" spans="3:21">
      <c r="C330"/>
      <c r="E330" s="111"/>
      <c r="F330"/>
      <c r="K330"/>
      <c r="M330"/>
      <c r="O330"/>
      <c r="Q330"/>
      <c r="S330"/>
      <c r="U330" s="109"/>
    </row>
    <row r="331" spans="3:21">
      <c r="C331"/>
      <c r="D331"/>
      <c r="E331" s="111"/>
      <c r="F331"/>
      <c r="J331"/>
      <c r="K331"/>
      <c r="L331"/>
      <c r="M331"/>
      <c r="O331"/>
      <c r="Q331"/>
      <c r="S331"/>
      <c r="U331" s="109"/>
    </row>
    <row r="332" spans="3:21">
      <c r="C332"/>
      <c r="D332"/>
      <c r="E332" s="111"/>
      <c r="F332"/>
      <c r="K332"/>
      <c r="M332"/>
      <c r="O332"/>
      <c r="Q332"/>
      <c r="S332"/>
      <c r="U332" s="109"/>
    </row>
    <row r="333" spans="3:21">
      <c r="C333"/>
      <c r="E333" s="111"/>
      <c r="F333"/>
      <c r="K333"/>
      <c r="M333"/>
      <c r="O333"/>
      <c r="Q333"/>
      <c r="S333"/>
      <c r="U333" s="109"/>
    </row>
    <row r="334" spans="3:21">
      <c r="C334"/>
      <c r="E334" s="111"/>
      <c r="F334"/>
      <c r="K334"/>
      <c r="M334"/>
      <c r="O334"/>
      <c r="Q334"/>
      <c r="S334"/>
      <c r="U334" s="109"/>
    </row>
    <row r="335" spans="3:21">
      <c r="C335"/>
      <c r="D335"/>
      <c r="E335" s="111"/>
      <c r="F335"/>
      <c r="K335"/>
      <c r="M335"/>
      <c r="O335"/>
      <c r="Q335"/>
      <c r="S335"/>
      <c r="U335" s="109"/>
    </row>
    <row r="336" spans="3:21">
      <c r="C336"/>
      <c r="D336"/>
      <c r="E336" s="111"/>
      <c r="F336"/>
      <c r="K336"/>
      <c r="M336"/>
      <c r="O336"/>
      <c r="Q336"/>
      <c r="S336"/>
      <c r="U336" s="109"/>
    </row>
    <row r="337" spans="3:21">
      <c r="C337"/>
      <c r="D337"/>
      <c r="E337" s="111"/>
      <c r="F337"/>
      <c r="K337"/>
      <c r="M337"/>
      <c r="O337"/>
      <c r="Q337"/>
      <c r="S337"/>
      <c r="U337" s="109"/>
    </row>
    <row r="338" spans="3:21">
      <c r="C338"/>
      <c r="D338"/>
      <c r="E338" s="111"/>
      <c r="F338"/>
      <c r="K338"/>
      <c r="M338"/>
      <c r="O338"/>
      <c r="Q338"/>
      <c r="S338"/>
      <c r="U338" s="109"/>
    </row>
    <row r="339" spans="3:21">
      <c r="C339"/>
      <c r="D339"/>
      <c r="E339" s="111"/>
      <c r="F339"/>
      <c r="K339"/>
      <c r="M339"/>
      <c r="O339"/>
      <c r="Q339"/>
      <c r="S339"/>
      <c r="U339" s="109"/>
    </row>
    <row r="340" spans="3:21">
      <c r="C340"/>
      <c r="D340"/>
      <c r="E340" s="111"/>
      <c r="F340"/>
      <c r="K340"/>
      <c r="M340"/>
      <c r="O340"/>
      <c r="Q340"/>
      <c r="S340"/>
      <c r="U340" s="109"/>
    </row>
    <row r="341" spans="3:21">
      <c r="C341"/>
      <c r="D341"/>
      <c r="E341" s="111"/>
      <c r="F341"/>
      <c r="K341"/>
      <c r="M341"/>
      <c r="O341"/>
      <c r="Q341"/>
      <c r="S341"/>
      <c r="U341" s="109"/>
    </row>
    <row r="342" spans="3:21">
      <c r="C342"/>
      <c r="D342"/>
      <c r="E342" s="111"/>
      <c r="F342"/>
      <c r="K342"/>
      <c r="M342"/>
      <c r="O342"/>
      <c r="Q342"/>
      <c r="S342"/>
      <c r="U342" s="109"/>
    </row>
    <row r="343" spans="3:21">
      <c r="C343"/>
      <c r="D343"/>
      <c r="E343" s="111"/>
      <c r="F343"/>
      <c r="K343"/>
      <c r="M343"/>
      <c r="O343"/>
      <c r="Q343"/>
      <c r="S343"/>
      <c r="U343" s="109"/>
    </row>
    <row r="344" spans="3:21">
      <c r="C344"/>
      <c r="D344"/>
      <c r="E344" s="111"/>
      <c r="F344"/>
      <c r="K344"/>
      <c r="M344"/>
      <c r="O344"/>
      <c r="Q344"/>
      <c r="S344"/>
      <c r="U344" s="109"/>
    </row>
    <row r="345" spans="3:21">
      <c r="C345"/>
      <c r="D345"/>
      <c r="E345" s="111"/>
      <c r="F345"/>
      <c r="K345"/>
      <c r="M345"/>
      <c r="O345"/>
      <c r="Q345"/>
      <c r="S345"/>
      <c r="U345" s="109"/>
    </row>
    <row r="346" spans="3:21">
      <c r="C346"/>
      <c r="D346"/>
      <c r="E346" s="111"/>
      <c r="F346"/>
      <c r="K346"/>
      <c r="M346"/>
      <c r="O346"/>
      <c r="Q346"/>
      <c r="S346"/>
      <c r="U346" s="109"/>
    </row>
    <row r="347" spans="3:21">
      <c r="C347"/>
      <c r="D347"/>
      <c r="E347" s="111"/>
      <c r="F347"/>
      <c r="K347"/>
      <c r="M347"/>
      <c r="O347"/>
      <c r="Q347"/>
      <c r="S347"/>
      <c r="U347" s="109"/>
    </row>
    <row r="348" spans="3:21">
      <c r="C348"/>
      <c r="D348"/>
      <c r="E348" s="111"/>
      <c r="F348"/>
      <c r="K348"/>
      <c r="M348"/>
      <c r="O348"/>
      <c r="Q348"/>
      <c r="S348"/>
      <c r="U348" s="109"/>
    </row>
    <row r="349" spans="3:21">
      <c r="C349"/>
      <c r="D349"/>
      <c r="E349" s="111"/>
      <c r="F349"/>
      <c r="K349"/>
      <c r="M349"/>
      <c r="O349"/>
      <c r="Q349"/>
      <c r="S349"/>
      <c r="U349" s="109"/>
    </row>
    <row r="350" spans="3:21">
      <c r="C350"/>
      <c r="D350"/>
      <c r="E350" s="111"/>
      <c r="F350"/>
      <c r="K350"/>
      <c r="M350"/>
      <c r="O350"/>
      <c r="Q350"/>
      <c r="S350"/>
      <c r="U350" s="109"/>
    </row>
    <row r="351" spans="3:21">
      <c r="C351"/>
      <c r="D351"/>
      <c r="E351" s="111"/>
      <c r="F351"/>
      <c r="K351"/>
      <c r="M351"/>
      <c r="O351"/>
      <c r="Q351"/>
      <c r="S351"/>
      <c r="U351" s="109"/>
    </row>
    <row r="352" spans="3:21">
      <c r="C352"/>
      <c r="D352"/>
      <c r="E352" s="111"/>
      <c r="F352"/>
      <c r="K352"/>
      <c r="M352"/>
      <c r="O352"/>
      <c r="Q352"/>
      <c r="S352"/>
      <c r="U352" s="109"/>
    </row>
    <row r="353" spans="3:21">
      <c r="C353"/>
      <c r="D353"/>
      <c r="E353" s="111"/>
      <c r="F353"/>
      <c r="K353"/>
      <c r="M353"/>
      <c r="O353"/>
      <c r="Q353"/>
      <c r="S353"/>
      <c r="U353" s="109"/>
    </row>
    <row r="354" spans="3:21">
      <c r="C354"/>
      <c r="D354"/>
      <c r="E354" s="111"/>
      <c r="F354"/>
      <c r="K354"/>
      <c r="M354"/>
      <c r="O354"/>
      <c r="Q354"/>
      <c r="S354"/>
      <c r="U354" s="109"/>
    </row>
    <row r="355" spans="3:21">
      <c r="C355"/>
      <c r="D355"/>
      <c r="E355" s="111"/>
      <c r="F355"/>
      <c r="K355"/>
      <c r="M355"/>
      <c r="O355"/>
      <c r="Q355"/>
      <c r="S355"/>
      <c r="U355" s="109"/>
    </row>
    <row r="356" spans="3:21">
      <c r="C356"/>
      <c r="D356"/>
      <c r="E356" s="111"/>
      <c r="F356"/>
      <c r="K356"/>
      <c r="M356"/>
      <c r="O356"/>
      <c r="Q356"/>
      <c r="S356"/>
      <c r="U356" s="109"/>
    </row>
    <row r="357" spans="3:21">
      <c r="C357"/>
      <c r="D357"/>
      <c r="E357" s="111"/>
      <c r="F357"/>
      <c r="K357"/>
      <c r="M357"/>
      <c r="O357"/>
      <c r="Q357"/>
      <c r="S357"/>
      <c r="U357" s="109"/>
    </row>
    <row r="358" spans="3:21">
      <c r="C358"/>
      <c r="D358"/>
      <c r="E358" s="111"/>
      <c r="F358"/>
      <c r="K358"/>
      <c r="M358"/>
      <c r="O358"/>
      <c r="Q358"/>
      <c r="S358"/>
      <c r="U358" s="109"/>
    </row>
    <row r="359" spans="3:21">
      <c r="C359"/>
      <c r="D359"/>
      <c r="E359" s="111"/>
      <c r="F359"/>
      <c r="J359"/>
      <c r="K359"/>
      <c r="L359"/>
      <c r="M359"/>
      <c r="O359"/>
      <c r="Q359"/>
      <c r="S359"/>
      <c r="U359" s="109"/>
    </row>
    <row r="360" spans="3:21">
      <c r="C360"/>
      <c r="D360"/>
      <c r="E360" s="111"/>
      <c r="F360"/>
      <c r="K360"/>
      <c r="M360"/>
      <c r="O360"/>
      <c r="Q360"/>
      <c r="S360"/>
      <c r="U360" s="109"/>
    </row>
    <row r="361" spans="3:21">
      <c r="C361"/>
      <c r="D361"/>
      <c r="E361" s="111"/>
      <c r="F361"/>
      <c r="K361"/>
      <c r="M361"/>
      <c r="O361"/>
      <c r="Q361"/>
      <c r="S361"/>
      <c r="U361" s="109"/>
    </row>
    <row r="362" spans="3:21">
      <c r="C362"/>
      <c r="D362"/>
      <c r="E362" s="111"/>
      <c r="F362"/>
      <c r="K362"/>
      <c r="M362"/>
      <c r="O362"/>
      <c r="Q362"/>
      <c r="S362"/>
      <c r="U362" s="109"/>
    </row>
    <row r="363" spans="3:21">
      <c r="C363"/>
      <c r="D363"/>
      <c r="E363" s="111"/>
      <c r="F363"/>
      <c r="K363"/>
      <c r="M363"/>
      <c r="O363"/>
      <c r="Q363"/>
      <c r="S363"/>
      <c r="U363" s="109"/>
    </row>
    <row r="364" spans="3:21">
      <c r="C364"/>
      <c r="D364"/>
      <c r="E364" s="111"/>
      <c r="F364"/>
      <c r="K364"/>
      <c r="M364"/>
      <c r="O364"/>
      <c r="Q364"/>
      <c r="S364"/>
      <c r="U364" s="109"/>
    </row>
    <row r="365" spans="3:21">
      <c r="C365"/>
      <c r="D365"/>
      <c r="E365" s="111"/>
      <c r="F365"/>
      <c r="K365"/>
      <c r="M365"/>
      <c r="O365"/>
      <c r="Q365"/>
      <c r="S365"/>
      <c r="U365" s="109"/>
    </row>
    <row r="366" spans="3:21">
      <c r="C366"/>
      <c r="D366"/>
      <c r="E366" s="111"/>
      <c r="F366"/>
      <c r="K366"/>
      <c r="M366"/>
      <c r="O366"/>
      <c r="Q366"/>
      <c r="S366"/>
      <c r="U366" s="109"/>
    </row>
    <row r="367" spans="3:21">
      <c r="C367"/>
      <c r="D367"/>
      <c r="E367" s="111"/>
      <c r="F367"/>
      <c r="K367"/>
      <c r="M367"/>
      <c r="O367"/>
      <c r="Q367"/>
      <c r="S367"/>
      <c r="U367" s="109"/>
    </row>
    <row r="368" spans="3:21">
      <c r="C368"/>
      <c r="D368"/>
      <c r="E368" s="111"/>
      <c r="F368"/>
      <c r="K368"/>
      <c r="M368"/>
      <c r="O368"/>
      <c r="Q368"/>
      <c r="S368"/>
      <c r="U368" s="109"/>
    </row>
    <row r="369" spans="3:21">
      <c r="C369"/>
      <c r="D369"/>
      <c r="E369" s="111"/>
      <c r="F369"/>
      <c r="K369"/>
      <c r="M369"/>
      <c r="O369"/>
      <c r="Q369"/>
      <c r="S369"/>
      <c r="U369" s="109"/>
    </row>
    <row r="370" spans="3:21">
      <c r="C370"/>
      <c r="D370"/>
      <c r="E370" s="111"/>
      <c r="F370"/>
      <c r="J370"/>
      <c r="K370"/>
      <c r="L370"/>
      <c r="M370"/>
      <c r="N370"/>
      <c r="O370"/>
      <c r="Q370"/>
      <c r="S370"/>
      <c r="U370" s="109"/>
    </row>
    <row r="371" spans="3:21">
      <c r="C371"/>
      <c r="D371"/>
      <c r="E371" s="111"/>
      <c r="F371"/>
      <c r="K371"/>
      <c r="M371"/>
      <c r="O371"/>
      <c r="Q371"/>
      <c r="S371"/>
      <c r="U371" s="109"/>
    </row>
    <row r="372" spans="3:21">
      <c r="C372"/>
      <c r="D372"/>
      <c r="E372" s="111"/>
      <c r="F372"/>
      <c r="K372"/>
      <c r="M372"/>
      <c r="O372"/>
      <c r="Q372"/>
      <c r="S372"/>
      <c r="U372" s="109"/>
    </row>
    <row r="373" spans="3:21">
      <c r="C373"/>
      <c r="D373"/>
      <c r="E373" s="111"/>
      <c r="F373"/>
      <c r="K373"/>
      <c r="M373"/>
      <c r="O373"/>
      <c r="Q373"/>
      <c r="S373"/>
      <c r="U373" s="109"/>
    </row>
    <row r="374" spans="3:21">
      <c r="C374"/>
      <c r="D374"/>
      <c r="E374" s="111"/>
      <c r="F374"/>
      <c r="J374"/>
      <c r="K374"/>
      <c r="L374"/>
      <c r="M374"/>
      <c r="N374"/>
      <c r="O374"/>
      <c r="Q374"/>
      <c r="S374"/>
      <c r="U374" s="109"/>
    </row>
    <row r="375" spans="3:21">
      <c r="C375"/>
      <c r="D375"/>
      <c r="E375" s="111"/>
      <c r="F375"/>
      <c r="K375"/>
      <c r="M375"/>
      <c r="O375"/>
      <c r="Q375"/>
      <c r="S375"/>
      <c r="U375" s="109"/>
    </row>
    <row r="376" spans="3:21">
      <c r="C376"/>
      <c r="D376"/>
      <c r="E376" s="111"/>
      <c r="F376"/>
      <c r="J376"/>
      <c r="K376"/>
      <c r="L376"/>
      <c r="M376"/>
      <c r="N376"/>
      <c r="O376"/>
      <c r="Q376"/>
      <c r="S376"/>
      <c r="U376" s="109"/>
    </row>
    <row r="377" spans="3:21">
      <c r="C377"/>
      <c r="D377"/>
      <c r="E377" s="111"/>
      <c r="F377"/>
      <c r="J377"/>
      <c r="K377"/>
      <c r="L377"/>
      <c r="M377"/>
      <c r="N377"/>
      <c r="O377"/>
      <c r="Q377"/>
      <c r="S377"/>
      <c r="U377" s="109"/>
    </row>
    <row r="378" spans="3:21">
      <c r="C378"/>
      <c r="D378"/>
      <c r="E378" s="111"/>
      <c r="F378"/>
      <c r="J378"/>
      <c r="K378"/>
      <c r="L378"/>
      <c r="M378"/>
      <c r="N378"/>
      <c r="O378"/>
      <c r="Q378"/>
      <c r="S378"/>
      <c r="U378" s="109"/>
    </row>
    <row r="379" spans="3:21">
      <c r="C379"/>
      <c r="D379"/>
      <c r="E379" s="111"/>
      <c r="F379"/>
      <c r="J379"/>
      <c r="K379"/>
      <c r="L379"/>
      <c r="M379"/>
      <c r="N379"/>
      <c r="O379"/>
      <c r="Q379"/>
      <c r="S379"/>
      <c r="U379" s="109"/>
    </row>
    <row r="380" spans="3:21">
      <c r="C380"/>
      <c r="D380"/>
      <c r="E380" s="111"/>
      <c r="F380"/>
      <c r="J380"/>
      <c r="K380"/>
      <c r="L380"/>
      <c r="M380"/>
      <c r="N380"/>
      <c r="O380"/>
      <c r="Q380"/>
      <c r="S380"/>
      <c r="U380" s="109"/>
    </row>
    <row r="381" spans="3:21">
      <c r="C381"/>
      <c r="D381"/>
      <c r="E381" s="111"/>
      <c r="F381"/>
      <c r="K381"/>
      <c r="M381"/>
      <c r="O381"/>
      <c r="Q381"/>
      <c r="S381"/>
      <c r="U381" s="109"/>
    </row>
    <row r="382" spans="3:21">
      <c r="C382"/>
      <c r="D382"/>
      <c r="E382" s="111"/>
      <c r="F382"/>
      <c r="J382"/>
      <c r="K382"/>
      <c r="L382"/>
      <c r="M382"/>
      <c r="N382"/>
      <c r="O382"/>
      <c r="P382"/>
      <c r="Q382"/>
      <c r="R382"/>
      <c r="S382"/>
      <c r="U382" s="109"/>
    </row>
    <row r="383" spans="3:21">
      <c r="C383"/>
      <c r="D383"/>
      <c r="E383" s="111"/>
      <c r="F383"/>
      <c r="K383"/>
      <c r="M383"/>
      <c r="O383"/>
      <c r="Q383"/>
      <c r="S383"/>
      <c r="U383" s="109"/>
    </row>
    <row r="384" spans="3:21">
      <c r="C384"/>
      <c r="D384"/>
      <c r="E384" s="111"/>
      <c r="F384"/>
      <c r="J384"/>
      <c r="K384"/>
      <c r="L384"/>
      <c r="M384"/>
      <c r="N384"/>
      <c r="O384"/>
      <c r="P384"/>
      <c r="Q384"/>
      <c r="R384"/>
      <c r="S384"/>
      <c r="U384" s="109"/>
    </row>
    <row r="385" spans="3:21">
      <c r="C385"/>
      <c r="D385"/>
      <c r="E385" s="111"/>
      <c r="F385"/>
      <c r="K385"/>
      <c r="M385"/>
      <c r="O385"/>
      <c r="Q385"/>
      <c r="S385"/>
      <c r="U385" s="109"/>
    </row>
    <row r="386" spans="3:21">
      <c r="C386"/>
      <c r="D386"/>
      <c r="E386" s="111"/>
      <c r="F386"/>
      <c r="K386"/>
      <c r="M386"/>
      <c r="O386"/>
      <c r="Q386"/>
      <c r="S386"/>
      <c r="U386" s="109"/>
    </row>
    <row r="387" spans="3:21">
      <c r="C387"/>
      <c r="D387"/>
      <c r="E387" s="111"/>
      <c r="F387"/>
      <c r="K387"/>
      <c r="M387"/>
      <c r="O387"/>
      <c r="Q387"/>
      <c r="S387"/>
      <c r="U387" s="109"/>
    </row>
    <row r="388" spans="3:21">
      <c r="C388"/>
      <c r="D388"/>
      <c r="E388" s="111"/>
      <c r="F388"/>
      <c r="K388"/>
      <c r="M388"/>
      <c r="O388"/>
      <c r="Q388"/>
      <c r="S388"/>
      <c r="U388" s="109"/>
    </row>
    <row r="389" spans="3:21">
      <c r="C389"/>
      <c r="D389"/>
      <c r="E389" s="111"/>
      <c r="F389"/>
      <c r="K389"/>
      <c r="M389"/>
      <c r="O389"/>
      <c r="Q389"/>
      <c r="S389"/>
      <c r="U389" s="109"/>
    </row>
    <row r="390" spans="3:21">
      <c r="C390"/>
      <c r="D390"/>
      <c r="E390" s="111"/>
      <c r="F390"/>
      <c r="K390"/>
      <c r="M390"/>
      <c r="O390"/>
      <c r="Q390"/>
      <c r="S390"/>
      <c r="U390" s="109"/>
    </row>
    <row r="391" spans="3:21">
      <c r="C391"/>
      <c r="D391"/>
      <c r="E391" s="111"/>
      <c r="F391"/>
      <c r="J391"/>
      <c r="K391"/>
      <c r="M391"/>
      <c r="O391"/>
      <c r="Q391"/>
      <c r="S391"/>
      <c r="U391" s="109"/>
    </row>
    <row r="392" spans="3:21">
      <c r="C392"/>
      <c r="D392"/>
      <c r="E392" s="111"/>
      <c r="F392"/>
      <c r="J392"/>
      <c r="K392"/>
      <c r="M392"/>
      <c r="O392"/>
      <c r="Q392"/>
      <c r="S392"/>
      <c r="U392" s="109"/>
    </row>
    <row r="393" spans="3:21">
      <c r="C393"/>
      <c r="D393"/>
      <c r="E393" s="111"/>
      <c r="F393"/>
      <c r="J393"/>
      <c r="K393"/>
      <c r="M393"/>
      <c r="O393"/>
      <c r="Q393"/>
      <c r="S393"/>
      <c r="U393" s="109"/>
    </row>
    <row r="394" spans="3:21">
      <c r="C394"/>
      <c r="D394"/>
      <c r="E394" s="111"/>
      <c r="F394"/>
      <c r="K394"/>
      <c r="M394"/>
      <c r="O394"/>
      <c r="Q394"/>
      <c r="S394"/>
      <c r="U394" s="109"/>
    </row>
    <row r="395" spans="3:21">
      <c r="C395"/>
      <c r="D395"/>
      <c r="E395" s="111"/>
      <c r="F395"/>
      <c r="K395"/>
      <c r="M395"/>
      <c r="O395"/>
      <c r="Q395"/>
      <c r="S395"/>
      <c r="U395" s="109"/>
    </row>
    <row r="396" spans="3:21">
      <c r="C396"/>
      <c r="D396"/>
      <c r="E396" s="111"/>
      <c r="F396"/>
      <c r="J396"/>
      <c r="K396"/>
      <c r="L396"/>
      <c r="M396"/>
      <c r="O396"/>
      <c r="Q396"/>
      <c r="S396"/>
      <c r="U396" s="109"/>
    </row>
    <row r="397" spans="3:21">
      <c r="C397"/>
      <c r="D397"/>
      <c r="E397" s="111"/>
      <c r="F397"/>
      <c r="J397"/>
      <c r="K397"/>
      <c r="L397"/>
      <c r="M397"/>
      <c r="O397"/>
      <c r="Q397"/>
      <c r="S397"/>
      <c r="U397" s="109"/>
    </row>
    <row r="398" spans="3:21">
      <c r="C398"/>
      <c r="D398"/>
      <c r="E398" s="111"/>
      <c r="F398"/>
      <c r="J398"/>
      <c r="K398"/>
      <c r="M398"/>
      <c r="O398"/>
      <c r="Q398"/>
      <c r="S398"/>
      <c r="U398" s="109"/>
    </row>
    <row r="399" spans="3:21">
      <c r="C399"/>
      <c r="D399"/>
      <c r="E399" s="111"/>
      <c r="F399"/>
      <c r="J399"/>
      <c r="K399"/>
      <c r="M399"/>
      <c r="O399"/>
      <c r="Q399"/>
      <c r="S399"/>
      <c r="U399" s="109"/>
    </row>
    <row r="400" spans="3:21">
      <c r="C400"/>
      <c r="D400"/>
      <c r="E400" s="111"/>
      <c r="F400"/>
      <c r="J400"/>
      <c r="K400"/>
      <c r="L400"/>
      <c r="M400"/>
      <c r="N400"/>
      <c r="O400"/>
      <c r="Q400"/>
      <c r="S400"/>
      <c r="U400" s="109"/>
    </row>
    <row r="401" spans="3:21">
      <c r="C401"/>
      <c r="D401"/>
      <c r="E401" s="111"/>
      <c r="F401"/>
      <c r="J401"/>
      <c r="K401"/>
      <c r="L401"/>
      <c r="M401"/>
      <c r="N401"/>
      <c r="O401"/>
      <c r="Q401"/>
      <c r="S401"/>
      <c r="U401" s="109"/>
    </row>
    <row r="402" spans="3:21">
      <c r="C402"/>
      <c r="D402"/>
      <c r="E402" s="111"/>
      <c r="F402"/>
      <c r="K402"/>
      <c r="M402"/>
      <c r="O402"/>
      <c r="Q402"/>
      <c r="S402"/>
      <c r="U402" s="109"/>
    </row>
    <row r="403" spans="3:21">
      <c r="C403"/>
      <c r="D403"/>
      <c r="E403" s="111"/>
      <c r="F403"/>
      <c r="J403"/>
      <c r="K403"/>
      <c r="L403"/>
      <c r="M403"/>
      <c r="O403"/>
      <c r="Q403"/>
      <c r="S403"/>
      <c r="U403" s="109"/>
    </row>
    <row r="404" spans="3:21">
      <c r="C404"/>
      <c r="D404"/>
      <c r="E404" s="111"/>
      <c r="F404"/>
      <c r="K404"/>
      <c r="M404"/>
      <c r="O404"/>
      <c r="Q404"/>
      <c r="S404"/>
      <c r="U404" s="109"/>
    </row>
    <row r="405" spans="3:21">
      <c r="C405"/>
      <c r="D405"/>
      <c r="E405" s="111"/>
      <c r="F405"/>
      <c r="J405"/>
      <c r="K405"/>
      <c r="L405"/>
      <c r="M405"/>
      <c r="N405"/>
      <c r="O405"/>
      <c r="P405"/>
      <c r="Q405"/>
      <c r="R405"/>
      <c r="S405"/>
      <c r="U405" s="109"/>
    </row>
    <row r="406" spans="3:21">
      <c r="C406"/>
      <c r="D406"/>
      <c r="E406" s="111"/>
      <c r="F406"/>
      <c r="K406"/>
      <c r="M406"/>
      <c r="O406"/>
      <c r="Q406"/>
      <c r="S406"/>
      <c r="U406" s="109"/>
    </row>
    <row r="407" spans="3:21">
      <c r="C407"/>
      <c r="D407"/>
      <c r="E407" s="111"/>
      <c r="F407"/>
      <c r="K407"/>
      <c r="M407"/>
      <c r="O407"/>
      <c r="Q407"/>
      <c r="S407"/>
      <c r="U407" s="109"/>
    </row>
    <row r="408" spans="3:21">
      <c r="C408"/>
      <c r="D408"/>
      <c r="E408" s="111"/>
      <c r="F408"/>
      <c r="K408"/>
      <c r="M408"/>
      <c r="O408"/>
      <c r="Q408"/>
      <c r="S408"/>
      <c r="U408" s="109"/>
    </row>
    <row r="409" spans="3:21">
      <c r="C409"/>
      <c r="D409"/>
      <c r="E409" s="111"/>
      <c r="F409"/>
      <c r="K409"/>
      <c r="M409"/>
      <c r="O409"/>
      <c r="Q409"/>
      <c r="S409"/>
      <c r="U409" s="109"/>
    </row>
    <row r="410" spans="3:21">
      <c r="C410"/>
      <c r="D410"/>
      <c r="E410" s="111"/>
      <c r="F410"/>
      <c r="K410"/>
      <c r="M410"/>
      <c r="O410"/>
      <c r="Q410"/>
      <c r="S410"/>
      <c r="U410" s="109"/>
    </row>
    <row r="411" spans="3:21">
      <c r="C411"/>
      <c r="D411"/>
      <c r="E411" s="111"/>
      <c r="F411"/>
      <c r="K411"/>
      <c r="M411"/>
      <c r="O411"/>
      <c r="Q411"/>
      <c r="S411"/>
      <c r="U411" s="109"/>
    </row>
    <row r="412" spans="3:21">
      <c r="C412"/>
      <c r="D412"/>
      <c r="E412" s="111"/>
      <c r="F412"/>
      <c r="K412"/>
      <c r="M412"/>
      <c r="O412"/>
      <c r="Q412"/>
      <c r="S412"/>
      <c r="U412" s="109"/>
    </row>
    <row r="413" spans="3:21">
      <c r="C413"/>
      <c r="D413"/>
      <c r="E413" s="111"/>
      <c r="F413"/>
      <c r="K413"/>
      <c r="M413"/>
      <c r="O413"/>
      <c r="Q413"/>
      <c r="S413"/>
      <c r="U413" s="109"/>
    </row>
    <row r="414" spans="3:21">
      <c r="C414"/>
      <c r="D414"/>
      <c r="E414" s="111"/>
      <c r="F414"/>
      <c r="K414"/>
      <c r="M414"/>
      <c r="O414"/>
      <c r="Q414"/>
      <c r="S414"/>
      <c r="U414" s="109"/>
    </row>
    <row r="415" spans="3:21">
      <c r="C415"/>
      <c r="D415"/>
      <c r="E415" s="111"/>
      <c r="F415"/>
      <c r="J415"/>
      <c r="K415"/>
      <c r="M415"/>
      <c r="O415"/>
      <c r="Q415"/>
      <c r="S415"/>
      <c r="U415" s="109"/>
    </row>
    <row r="416" spans="3:21">
      <c r="C416"/>
      <c r="D416"/>
      <c r="E416" s="111"/>
      <c r="F416"/>
      <c r="J416"/>
      <c r="K416"/>
      <c r="M416"/>
      <c r="O416"/>
      <c r="Q416"/>
      <c r="S416"/>
      <c r="U416" s="109"/>
    </row>
    <row r="417" spans="3:21">
      <c r="C417"/>
      <c r="D417"/>
      <c r="E417" s="111"/>
      <c r="F417"/>
      <c r="J417"/>
      <c r="K417"/>
      <c r="M417"/>
      <c r="O417"/>
      <c r="Q417"/>
      <c r="S417"/>
      <c r="U417" s="109"/>
    </row>
    <row r="418" spans="3:21">
      <c r="C418"/>
      <c r="D418"/>
      <c r="E418" s="111"/>
      <c r="F418"/>
      <c r="J418"/>
      <c r="K418"/>
      <c r="M418"/>
      <c r="O418"/>
      <c r="Q418"/>
      <c r="S418"/>
      <c r="U418" s="109"/>
    </row>
    <row r="419" spans="3:21">
      <c r="C419"/>
      <c r="D419"/>
      <c r="E419" s="111"/>
      <c r="F419"/>
      <c r="J419"/>
      <c r="K419"/>
      <c r="M419"/>
      <c r="O419"/>
      <c r="Q419"/>
      <c r="S419"/>
      <c r="U419" s="109"/>
    </row>
    <row r="420" spans="3:21">
      <c r="C420"/>
      <c r="D420"/>
      <c r="E420" s="111"/>
      <c r="F420"/>
      <c r="J420"/>
      <c r="K420"/>
      <c r="L420"/>
      <c r="M420"/>
      <c r="N420"/>
      <c r="O420"/>
      <c r="P420"/>
      <c r="Q420"/>
      <c r="R420"/>
      <c r="S420"/>
      <c r="U420" s="109"/>
    </row>
    <row r="421" spans="3:21">
      <c r="C421"/>
      <c r="D421"/>
      <c r="E421" s="111"/>
      <c r="F421"/>
      <c r="J421"/>
      <c r="K421"/>
      <c r="L421"/>
      <c r="M421"/>
      <c r="N421"/>
      <c r="O421"/>
      <c r="Q421"/>
      <c r="S421"/>
      <c r="U421" s="109"/>
    </row>
    <row r="422" spans="3:21">
      <c r="C422"/>
      <c r="D422"/>
      <c r="E422" s="111"/>
      <c r="F422"/>
      <c r="J422"/>
      <c r="K422"/>
      <c r="L422"/>
      <c r="M422"/>
      <c r="O422"/>
      <c r="Q422"/>
      <c r="S422"/>
      <c r="U422" s="109"/>
    </row>
    <row r="423" spans="3:21">
      <c r="C423"/>
      <c r="D423"/>
      <c r="E423" s="111"/>
      <c r="F423"/>
      <c r="K423"/>
      <c r="M423"/>
      <c r="O423"/>
      <c r="Q423"/>
      <c r="S423"/>
      <c r="U423" s="109"/>
    </row>
    <row r="424" spans="3:21">
      <c r="C424"/>
      <c r="D424"/>
      <c r="E424" s="111"/>
      <c r="F424"/>
      <c r="K424"/>
      <c r="M424"/>
      <c r="O424"/>
      <c r="Q424"/>
      <c r="S424"/>
      <c r="U424" s="109"/>
    </row>
    <row r="425" spans="3:21">
      <c r="C425"/>
      <c r="D425"/>
      <c r="E425" s="111"/>
      <c r="F425"/>
      <c r="K425"/>
      <c r="M425"/>
      <c r="O425"/>
      <c r="Q425"/>
      <c r="S425"/>
      <c r="U425" s="109"/>
    </row>
    <row r="426" spans="3:21">
      <c r="C426"/>
      <c r="D426"/>
      <c r="E426" s="111"/>
      <c r="F426"/>
      <c r="K426"/>
      <c r="M426"/>
      <c r="O426"/>
      <c r="Q426"/>
      <c r="S426"/>
      <c r="U426" s="109"/>
    </row>
    <row r="427" spans="3:21">
      <c r="C427"/>
      <c r="D427"/>
      <c r="E427" s="111"/>
      <c r="F427"/>
      <c r="K427"/>
      <c r="M427"/>
      <c r="O427"/>
      <c r="Q427"/>
      <c r="S427"/>
      <c r="U427" s="109"/>
    </row>
    <row r="428" spans="3:21">
      <c r="C428"/>
      <c r="D428"/>
      <c r="E428" s="111"/>
      <c r="F428"/>
      <c r="K428"/>
      <c r="M428"/>
      <c r="O428"/>
      <c r="Q428"/>
      <c r="S428"/>
      <c r="U428" s="109"/>
    </row>
    <row r="429" spans="3:21">
      <c r="C429"/>
      <c r="D429"/>
      <c r="E429" s="111"/>
      <c r="F429"/>
      <c r="J429"/>
      <c r="K429"/>
      <c r="L429"/>
      <c r="M429"/>
      <c r="N429"/>
      <c r="O429"/>
      <c r="P429"/>
      <c r="Q429"/>
      <c r="R429"/>
      <c r="S429"/>
      <c r="U429" s="109"/>
    </row>
    <row r="430" spans="3:21">
      <c r="C430"/>
      <c r="D430"/>
      <c r="E430" s="111"/>
      <c r="F430"/>
      <c r="K430"/>
      <c r="M430"/>
      <c r="O430"/>
      <c r="Q430"/>
      <c r="S430"/>
      <c r="U430" s="109"/>
    </row>
    <row r="431" spans="3:21">
      <c r="C431"/>
      <c r="D431"/>
      <c r="E431" s="111"/>
      <c r="F431"/>
      <c r="J431"/>
      <c r="K431"/>
      <c r="L431"/>
      <c r="M431"/>
      <c r="N431"/>
      <c r="O431"/>
      <c r="P431"/>
      <c r="Q431"/>
      <c r="R431"/>
      <c r="S431"/>
      <c r="U431" s="109"/>
    </row>
    <row r="432" spans="3:21">
      <c r="C432"/>
      <c r="D432"/>
      <c r="E432" s="111"/>
      <c r="F432"/>
      <c r="K432"/>
      <c r="M432"/>
      <c r="O432"/>
      <c r="Q432"/>
      <c r="S432"/>
      <c r="U432" s="109"/>
    </row>
    <row r="433" spans="3:21">
      <c r="C433"/>
      <c r="D433"/>
      <c r="E433" s="111"/>
      <c r="F433"/>
      <c r="K433"/>
      <c r="M433"/>
      <c r="O433"/>
      <c r="Q433"/>
      <c r="S433"/>
      <c r="U433" s="109"/>
    </row>
    <row r="434" spans="3:21">
      <c r="C434"/>
      <c r="D434"/>
      <c r="E434" s="111"/>
      <c r="F434"/>
      <c r="K434"/>
      <c r="M434"/>
      <c r="O434"/>
      <c r="Q434"/>
      <c r="S434"/>
      <c r="U434" s="109"/>
    </row>
    <row r="435" spans="3:21">
      <c r="C435"/>
      <c r="D435"/>
      <c r="E435" s="111"/>
      <c r="F435"/>
      <c r="K435"/>
      <c r="M435"/>
      <c r="O435"/>
      <c r="Q435"/>
      <c r="S435"/>
      <c r="U435" s="109"/>
    </row>
    <row r="436" spans="3:21">
      <c r="C436"/>
      <c r="D436"/>
      <c r="E436" s="111"/>
      <c r="F436"/>
      <c r="K436"/>
      <c r="M436"/>
      <c r="O436"/>
      <c r="Q436"/>
      <c r="S436"/>
      <c r="U436" s="109"/>
    </row>
    <row r="437" spans="3:21">
      <c r="C437"/>
      <c r="D437"/>
      <c r="E437" s="111"/>
      <c r="F437"/>
      <c r="K437"/>
      <c r="M437"/>
      <c r="O437"/>
      <c r="Q437"/>
      <c r="S437"/>
      <c r="U437" s="109"/>
    </row>
    <row r="438" spans="3:21">
      <c r="E438" s="112"/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AF576"/>
  <sheetViews>
    <sheetView topLeftCell="A92" workbookViewId="0">
      <selection activeCell="Y237" sqref="Y237"/>
    </sheetView>
  </sheetViews>
  <sheetFormatPr defaultRowHeight="18"/>
  <cols>
    <col min="2" max="2" width="27.796875" style="180" customWidth="1"/>
    <col min="3" max="3" width="8.796875" customWidth="1"/>
    <col min="4" max="4" width="42.09765625" customWidth="1"/>
    <col min="20" max="23" width="8.796875" customWidth="1"/>
  </cols>
  <sheetData>
    <row r="1" spans="1:32">
      <c r="A1" t="s">
        <v>1201</v>
      </c>
      <c r="B1" t="s">
        <v>1202</v>
      </c>
      <c r="C1" t="s">
        <v>1203</v>
      </c>
      <c r="D1" t="s">
        <v>1204</v>
      </c>
      <c r="E1" t="s">
        <v>1205</v>
      </c>
      <c r="F1" t="s">
        <v>1206</v>
      </c>
      <c r="G1" t="s">
        <v>1207</v>
      </c>
      <c r="H1" t="s">
        <v>1208</v>
      </c>
      <c r="I1" t="s">
        <v>1209</v>
      </c>
      <c r="J1" t="s">
        <v>1210</v>
      </c>
      <c r="K1" t="s">
        <v>1211</v>
      </c>
      <c r="L1" t="s">
        <v>1212</v>
      </c>
      <c r="M1" t="s">
        <v>1213</v>
      </c>
      <c r="N1" t="s">
        <v>1214</v>
      </c>
      <c r="O1" t="s">
        <v>1215</v>
      </c>
      <c r="P1" t="s">
        <v>1216</v>
      </c>
      <c r="Q1" t="s">
        <v>1217</v>
      </c>
      <c r="R1" t="s">
        <v>1218</v>
      </c>
      <c r="S1" t="s">
        <v>1219</v>
      </c>
      <c r="T1" t="s">
        <v>1220</v>
      </c>
      <c r="U1" t="s">
        <v>1221</v>
      </c>
      <c r="V1" t="s">
        <v>1222</v>
      </c>
      <c r="W1" t="s">
        <v>1223</v>
      </c>
      <c r="X1" t="s">
        <v>1224</v>
      </c>
      <c r="Y1" t="s">
        <v>1225</v>
      </c>
      <c r="Z1" t="s">
        <v>1226</v>
      </c>
      <c r="AA1" t="s">
        <v>1227</v>
      </c>
      <c r="AB1" t="s">
        <v>1228</v>
      </c>
      <c r="AC1" t="s">
        <v>1229</v>
      </c>
      <c r="AD1" t="s">
        <v>1230</v>
      </c>
      <c r="AE1" t="s">
        <v>204</v>
      </c>
      <c r="AF1" t="s">
        <v>205</v>
      </c>
    </row>
    <row r="2" spans="1:32">
      <c r="A2" t="s">
        <v>8</v>
      </c>
      <c r="B2" t="s">
        <v>1231</v>
      </c>
      <c r="C2" t="s">
        <v>1232</v>
      </c>
      <c r="D2" t="s">
        <v>1231</v>
      </c>
      <c r="J2" t="s">
        <v>8</v>
      </c>
      <c r="K2" t="s">
        <v>3</v>
      </c>
      <c r="L2" t="s">
        <v>3</v>
      </c>
      <c r="M2" t="s">
        <v>122</v>
      </c>
      <c r="N2" t="s">
        <v>3</v>
      </c>
      <c r="O2" t="s">
        <v>3</v>
      </c>
      <c r="P2" t="s">
        <v>3</v>
      </c>
      <c r="Q2" t="s">
        <v>8</v>
      </c>
      <c r="R2" t="s">
        <v>122</v>
      </c>
      <c r="S2" t="s">
        <v>8</v>
      </c>
      <c r="T2" t="s">
        <v>8</v>
      </c>
      <c r="U2" t="s">
        <v>3</v>
      </c>
      <c r="V2" t="s">
        <v>3</v>
      </c>
      <c r="W2" t="s">
        <v>3</v>
      </c>
      <c r="AA2" t="s">
        <v>8</v>
      </c>
      <c r="AB2" t="s">
        <v>3</v>
      </c>
      <c r="AC2" t="s">
        <v>3</v>
      </c>
      <c r="AD2" t="s">
        <v>8</v>
      </c>
      <c r="AE2" t="s">
        <v>111</v>
      </c>
      <c r="AF2" t="s">
        <v>1233</v>
      </c>
    </row>
    <row r="3" spans="1:32">
      <c r="A3" t="s">
        <v>78</v>
      </c>
      <c r="B3" t="s">
        <v>1234</v>
      </c>
      <c r="C3" t="s">
        <v>1235</v>
      </c>
      <c r="D3" t="s">
        <v>1236</v>
      </c>
      <c r="E3" t="s">
        <v>1237</v>
      </c>
      <c r="F3" t="s">
        <v>1238</v>
      </c>
      <c r="H3" t="s">
        <v>1239</v>
      </c>
      <c r="J3" t="s">
        <v>8</v>
      </c>
      <c r="K3" t="s">
        <v>3</v>
      </c>
      <c r="L3" t="s">
        <v>3</v>
      </c>
      <c r="M3" t="s">
        <v>122</v>
      </c>
      <c r="N3" t="s">
        <v>3</v>
      </c>
      <c r="O3" t="s">
        <v>3</v>
      </c>
      <c r="P3" t="s">
        <v>3</v>
      </c>
      <c r="Q3" t="s">
        <v>8</v>
      </c>
      <c r="R3" t="s">
        <v>122</v>
      </c>
      <c r="S3" t="s">
        <v>8</v>
      </c>
      <c r="T3" t="s">
        <v>78</v>
      </c>
      <c r="U3" t="s">
        <v>3</v>
      </c>
      <c r="V3" t="s">
        <v>3</v>
      </c>
      <c r="W3" t="s">
        <v>3</v>
      </c>
      <c r="AA3" t="s">
        <v>8</v>
      </c>
      <c r="AB3" t="s">
        <v>3</v>
      </c>
      <c r="AC3" t="s">
        <v>3</v>
      </c>
      <c r="AD3" t="s">
        <v>8</v>
      </c>
      <c r="AE3" t="s">
        <v>111</v>
      </c>
      <c r="AF3" t="s">
        <v>1240</v>
      </c>
    </row>
    <row r="4" spans="1:32">
      <c r="A4" t="s">
        <v>108</v>
      </c>
      <c r="B4" t="s">
        <v>1241</v>
      </c>
      <c r="C4" t="s">
        <v>1242</v>
      </c>
      <c r="D4" t="s">
        <v>1243</v>
      </c>
      <c r="E4" t="s">
        <v>1237</v>
      </c>
      <c r="F4" t="s">
        <v>1244</v>
      </c>
      <c r="H4" t="s">
        <v>1245</v>
      </c>
      <c r="J4" t="s">
        <v>8</v>
      </c>
      <c r="K4" t="s">
        <v>3</v>
      </c>
      <c r="L4" t="s">
        <v>3</v>
      </c>
      <c r="M4" t="s">
        <v>122</v>
      </c>
      <c r="N4" t="s">
        <v>3</v>
      </c>
      <c r="O4" t="s">
        <v>3</v>
      </c>
      <c r="P4" t="s">
        <v>3</v>
      </c>
      <c r="Q4" t="s">
        <v>8</v>
      </c>
      <c r="R4" t="s">
        <v>122</v>
      </c>
      <c r="S4" t="s">
        <v>8</v>
      </c>
      <c r="T4" t="s">
        <v>108</v>
      </c>
      <c r="U4" t="s">
        <v>3</v>
      </c>
      <c r="V4" t="s">
        <v>3</v>
      </c>
      <c r="W4" t="s">
        <v>3</v>
      </c>
      <c r="AA4" t="s">
        <v>8</v>
      </c>
      <c r="AB4" t="s">
        <v>3</v>
      </c>
      <c r="AC4" t="s">
        <v>3</v>
      </c>
      <c r="AD4" t="s">
        <v>8</v>
      </c>
      <c r="AE4" t="s">
        <v>111</v>
      </c>
      <c r="AF4" t="s">
        <v>1246</v>
      </c>
    </row>
    <row r="5" spans="1:32">
      <c r="A5" t="s">
        <v>92</v>
      </c>
      <c r="B5" t="s">
        <v>1247</v>
      </c>
      <c r="C5" t="s">
        <v>1248</v>
      </c>
      <c r="D5" t="s">
        <v>1249</v>
      </c>
      <c r="E5" t="s">
        <v>1250</v>
      </c>
      <c r="F5" t="s">
        <v>1251</v>
      </c>
      <c r="H5" t="s">
        <v>1252</v>
      </c>
      <c r="J5" t="s">
        <v>8</v>
      </c>
      <c r="K5" t="s">
        <v>3</v>
      </c>
      <c r="L5" t="s">
        <v>3</v>
      </c>
      <c r="M5" t="s">
        <v>122</v>
      </c>
      <c r="N5" t="s">
        <v>3</v>
      </c>
      <c r="O5" t="s">
        <v>3</v>
      </c>
      <c r="P5" t="s">
        <v>3</v>
      </c>
      <c r="Q5" t="s">
        <v>8</v>
      </c>
      <c r="R5" t="s">
        <v>122</v>
      </c>
      <c r="S5" t="s">
        <v>8</v>
      </c>
      <c r="T5" t="s">
        <v>92</v>
      </c>
      <c r="U5" t="s">
        <v>3</v>
      </c>
      <c r="V5" t="s">
        <v>3</v>
      </c>
      <c r="W5" t="s">
        <v>3</v>
      </c>
      <c r="AA5" t="s">
        <v>8</v>
      </c>
      <c r="AB5" t="s">
        <v>3</v>
      </c>
      <c r="AC5" t="s">
        <v>3</v>
      </c>
      <c r="AD5" t="s">
        <v>8</v>
      </c>
      <c r="AE5" t="s">
        <v>111</v>
      </c>
      <c r="AF5" t="s">
        <v>1253</v>
      </c>
    </row>
    <row r="6" spans="1:32">
      <c r="A6" t="s">
        <v>118</v>
      </c>
      <c r="B6" t="s">
        <v>1254</v>
      </c>
      <c r="C6" t="s">
        <v>1255</v>
      </c>
      <c r="D6" t="s">
        <v>1256</v>
      </c>
      <c r="E6" t="s">
        <v>1250</v>
      </c>
      <c r="F6" t="s">
        <v>1251</v>
      </c>
      <c r="H6" t="s">
        <v>1257</v>
      </c>
      <c r="J6" t="s">
        <v>8</v>
      </c>
      <c r="K6" t="s">
        <v>3</v>
      </c>
      <c r="L6" t="s">
        <v>3</v>
      </c>
      <c r="M6" t="s">
        <v>122</v>
      </c>
      <c r="N6" t="s">
        <v>3</v>
      </c>
      <c r="O6" t="s">
        <v>3</v>
      </c>
      <c r="P6" t="s">
        <v>3</v>
      </c>
      <c r="Q6" t="s">
        <v>8</v>
      </c>
      <c r="R6" t="s">
        <v>122</v>
      </c>
      <c r="S6" t="s">
        <v>8</v>
      </c>
      <c r="T6" t="s">
        <v>118</v>
      </c>
      <c r="U6" t="s">
        <v>3</v>
      </c>
      <c r="V6" t="s">
        <v>3</v>
      </c>
      <c r="W6" t="s">
        <v>3</v>
      </c>
      <c r="AA6" t="s">
        <v>8</v>
      </c>
      <c r="AB6" t="s">
        <v>3</v>
      </c>
      <c r="AC6" t="s">
        <v>3</v>
      </c>
      <c r="AD6" t="s">
        <v>8</v>
      </c>
      <c r="AE6" t="s">
        <v>111</v>
      </c>
      <c r="AF6" t="s">
        <v>1258</v>
      </c>
    </row>
    <row r="7" spans="1:32">
      <c r="A7" t="s">
        <v>64</v>
      </c>
      <c r="B7" t="s">
        <v>1259</v>
      </c>
      <c r="C7" t="s">
        <v>1260</v>
      </c>
      <c r="D7" t="s">
        <v>1261</v>
      </c>
      <c r="E7" t="s">
        <v>1262</v>
      </c>
      <c r="F7" t="s">
        <v>1263</v>
      </c>
      <c r="H7" t="s">
        <v>1264</v>
      </c>
      <c r="J7" t="s">
        <v>8</v>
      </c>
      <c r="K7" t="s">
        <v>3</v>
      </c>
      <c r="L7" t="s">
        <v>3</v>
      </c>
      <c r="M7" t="s">
        <v>122</v>
      </c>
      <c r="N7" t="s">
        <v>3</v>
      </c>
      <c r="O7" t="s">
        <v>3</v>
      </c>
      <c r="P7" t="s">
        <v>3</v>
      </c>
      <c r="Q7" t="s">
        <v>8</v>
      </c>
      <c r="R7" t="s">
        <v>122</v>
      </c>
      <c r="S7" t="s">
        <v>8</v>
      </c>
      <c r="T7" t="s">
        <v>64</v>
      </c>
      <c r="U7" t="s">
        <v>3</v>
      </c>
      <c r="V7" t="s">
        <v>3</v>
      </c>
      <c r="W7" t="s">
        <v>3</v>
      </c>
      <c r="AA7" t="s">
        <v>8</v>
      </c>
      <c r="AB7" t="s">
        <v>3</v>
      </c>
      <c r="AC7" t="s">
        <v>3</v>
      </c>
      <c r="AD7" t="s">
        <v>8</v>
      </c>
      <c r="AE7" t="s">
        <v>111</v>
      </c>
      <c r="AF7" t="s">
        <v>1265</v>
      </c>
    </row>
    <row r="8" spans="1:32">
      <c r="A8" t="s">
        <v>88</v>
      </c>
      <c r="B8" t="s">
        <v>1266</v>
      </c>
      <c r="C8" t="s">
        <v>1267</v>
      </c>
      <c r="D8" t="s">
        <v>1268</v>
      </c>
      <c r="E8" t="s">
        <v>1262</v>
      </c>
      <c r="F8" t="s">
        <v>1263</v>
      </c>
      <c r="H8" t="s">
        <v>1269</v>
      </c>
      <c r="J8" t="s">
        <v>8</v>
      </c>
      <c r="K8" t="s">
        <v>3</v>
      </c>
      <c r="L8" t="s">
        <v>3</v>
      </c>
      <c r="M8" t="s">
        <v>122</v>
      </c>
      <c r="N8" t="s">
        <v>3</v>
      </c>
      <c r="O8" t="s">
        <v>3</v>
      </c>
      <c r="P8" t="s">
        <v>3</v>
      </c>
      <c r="Q8" t="s">
        <v>8</v>
      </c>
      <c r="R8" t="s">
        <v>122</v>
      </c>
      <c r="S8" t="s">
        <v>8</v>
      </c>
      <c r="T8" t="s">
        <v>88</v>
      </c>
      <c r="U8" t="s">
        <v>3</v>
      </c>
      <c r="V8" t="s">
        <v>3</v>
      </c>
      <c r="W8" t="s">
        <v>3</v>
      </c>
      <c r="AA8" t="s">
        <v>8</v>
      </c>
      <c r="AB8" t="s">
        <v>3</v>
      </c>
      <c r="AC8" t="s">
        <v>3</v>
      </c>
      <c r="AD8" t="s">
        <v>8</v>
      </c>
      <c r="AE8" t="s">
        <v>111</v>
      </c>
      <c r="AF8" t="s">
        <v>1270</v>
      </c>
    </row>
    <row r="9" spans="1:32">
      <c r="A9" t="s">
        <v>123</v>
      </c>
      <c r="B9" t="s">
        <v>1271</v>
      </c>
      <c r="C9" t="s">
        <v>1272</v>
      </c>
      <c r="D9" t="s">
        <v>1273</v>
      </c>
      <c r="E9" t="s">
        <v>1274</v>
      </c>
      <c r="F9" t="s">
        <v>1275</v>
      </c>
      <c r="H9" t="s">
        <v>1276</v>
      </c>
      <c r="J9" t="s">
        <v>8</v>
      </c>
      <c r="K9" t="s">
        <v>3</v>
      </c>
      <c r="L9" t="s">
        <v>3</v>
      </c>
      <c r="M9" t="s">
        <v>122</v>
      </c>
      <c r="N9" t="s">
        <v>3</v>
      </c>
      <c r="O9" t="s">
        <v>3</v>
      </c>
      <c r="P9" t="s">
        <v>3</v>
      </c>
      <c r="Q9" t="s">
        <v>8</v>
      </c>
      <c r="R9" t="s">
        <v>122</v>
      </c>
      <c r="S9" t="s">
        <v>8</v>
      </c>
      <c r="T9" t="s">
        <v>123</v>
      </c>
      <c r="U9" t="s">
        <v>3</v>
      </c>
      <c r="V9" t="s">
        <v>3</v>
      </c>
      <c r="W9" t="s">
        <v>3</v>
      </c>
      <c r="AA9" t="s">
        <v>8</v>
      </c>
      <c r="AB9" t="s">
        <v>3</v>
      </c>
      <c r="AC9" t="s">
        <v>3</v>
      </c>
      <c r="AD9" t="s">
        <v>8</v>
      </c>
      <c r="AE9" t="s">
        <v>111</v>
      </c>
      <c r="AF9" t="s">
        <v>1277</v>
      </c>
    </row>
    <row r="10" spans="1:32">
      <c r="A10" t="s">
        <v>11</v>
      </c>
      <c r="B10" t="s">
        <v>1278</v>
      </c>
      <c r="C10" t="s">
        <v>1279</v>
      </c>
      <c r="D10" t="s">
        <v>1280</v>
      </c>
      <c r="E10" t="s">
        <v>1274</v>
      </c>
      <c r="F10" t="s">
        <v>1275</v>
      </c>
      <c r="H10" t="s">
        <v>1281</v>
      </c>
      <c r="J10" t="s">
        <v>8</v>
      </c>
      <c r="K10" t="s">
        <v>3</v>
      </c>
      <c r="L10" t="s">
        <v>3</v>
      </c>
      <c r="M10" t="s">
        <v>122</v>
      </c>
      <c r="N10" t="s">
        <v>3</v>
      </c>
      <c r="O10" t="s">
        <v>3</v>
      </c>
      <c r="P10" t="s">
        <v>3</v>
      </c>
      <c r="Q10" t="s">
        <v>8</v>
      </c>
      <c r="R10" t="s">
        <v>122</v>
      </c>
      <c r="S10" t="s">
        <v>8</v>
      </c>
      <c r="T10" t="s">
        <v>11</v>
      </c>
      <c r="U10" t="s">
        <v>3</v>
      </c>
      <c r="V10" t="s">
        <v>3</v>
      </c>
      <c r="W10" t="s">
        <v>3</v>
      </c>
      <c r="AA10" t="s">
        <v>8</v>
      </c>
      <c r="AB10" t="s">
        <v>3</v>
      </c>
      <c r="AC10" t="s">
        <v>3</v>
      </c>
      <c r="AD10" t="s">
        <v>8</v>
      </c>
      <c r="AE10" t="s">
        <v>111</v>
      </c>
      <c r="AF10" t="s">
        <v>1282</v>
      </c>
    </row>
    <row r="11" spans="1:32">
      <c r="A11" t="s">
        <v>1283</v>
      </c>
      <c r="B11" t="s">
        <v>1284</v>
      </c>
      <c r="C11" t="s">
        <v>1285</v>
      </c>
      <c r="D11" t="s">
        <v>1286</v>
      </c>
      <c r="E11" t="s">
        <v>1274</v>
      </c>
      <c r="F11" t="s">
        <v>1275</v>
      </c>
      <c r="H11" t="s">
        <v>1287</v>
      </c>
      <c r="J11" t="s">
        <v>8</v>
      </c>
      <c r="K11" t="s">
        <v>3</v>
      </c>
      <c r="L11" t="s">
        <v>3</v>
      </c>
      <c r="M11" t="s">
        <v>122</v>
      </c>
      <c r="N11" t="s">
        <v>3</v>
      </c>
      <c r="O11" t="s">
        <v>3</v>
      </c>
      <c r="P11" t="s">
        <v>3</v>
      </c>
      <c r="Q11" t="s">
        <v>8</v>
      </c>
      <c r="R11" t="s">
        <v>122</v>
      </c>
      <c r="S11" t="s">
        <v>8</v>
      </c>
      <c r="T11" t="s">
        <v>1283</v>
      </c>
      <c r="U11" t="s">
        <v>3</v>
      </c>
      <c r="V11" t="s">
        <v>3</v>
      </c>
      <c r="W11" t="s">
        <v>3</v>
      </c>
      <c r="AA11" t="s">
        <v>8</v>
      </c>
      <c r="AB11" t="s">
        <v>3</v>
      </c>
      <c r="AC11" t="s">
        <v>3</v>
      </c>
      <c r="AD11" t="s">
        <v>8</v>
      </c>
      <c r="AE11" t="s">
        <v>111</v>
      </c>
      <c r="AF11" t="s">
        <v>1288</v>
      </c>
    </row>
    <row r="12" spans="1:32">
      <c r="A12" t="s">
        <v>69</v>
      </c>
      <c r="B12" t="s">
        <v>1289</v>
      </c>
      <c r="C12" t="s">
        <v>1290</v>
      </c>
      <c r="D12" t="s">
        <v>1291</v>
      </c>
      <c r="E12" t="s">
        <v>1292</v>
      </c>
      <c r="F12" t="s">
        <v>1293</v>
      </c>
      <c r="H12" t="s">
        <v>1294</v>
      </c>
      <c r="J12" t="s">
        <v>8</v>
      </c>
      <c r="K12" t="s">
        <v>3</v>
      </c>
      <c r="L12" t="s">
        <v>3</v>
      </c>
      <c r="M12" t="s">
        <v>122</v>
      </c>
      <c r="N12" t="s">
        <v>3</v>
      </c>
      <c r="O12" t="s">
        <v>3</v>
      </c>
      <c r="P12" t="s">
        <v>3</v>
      </c>
      <c r="Q12" t="s">
        <v>8</v>
      </c>
      <c r="R12" t="s">
        <v>122</v>
      </c>
      <c r="S12" t="s">
        <v>8</v>
      </c>
      <c r="T12" t="s">
        <v>69</v>
      </c>
      <c r="U12" t="s">
        <v>3</v>
      </c>
      <c r="V12" t="s">
        <v>3</v>
      </c>
      <c r="W12" t="s">
        <v>3</v>
      </c>
      <c r="AA12" t="s">
        <v>8</v>
      </c>
      <c r="AB12" t="s">
        <v>3</v>
      </c>
      <c r="AC12" t="s">
        <v>3</v>
      </c>
      <c r="AD12" t="s">
        <v>8</v>
      </c>
      <c r="AE12" t="s">
        <v>111</v>
      </c>
      <c r="AF12" t="s">
        <v>1295</v>
      </c>
    </row>
    <row r="13" spans="1:32">
      <c r="A13" t="s">
        <v>103</v>
      </c>
      <c r="B13" t="s">
        <v>1296</v>
      </c>
      <c r="C13" t="s">
        <v>1297</v>
      </c>
      <c r="D13" t="s">
        <v>1298</v>
      </c>
      <c r="E13" t="s">
        <v>1292</v>
      </c>
      <c r="F13" t="s">
        <v>1293</v>
      </c>
      <c r="H13" t="s">
        <v>1299</v>
      </c>
      <c r="J13" t="s">
        <v>8</v>
      </c>
      <c r="K13" t="s">
        <v>3</v>
      </c>
      <c r="L13" t="s">
        <v>3</v>
      </c>
      <c r="M13" t="s">
        <v>122</v>
      </c>
      <c r="N13" t="s">
        <v>3</v>
      </c>
      <c r="O13" t="s">
        <v>3</v>
      </c>
      <c r="P13" t="s">
        <v>3</v>
      </c>
      <c r="Q13" t="s">
        <v>8</v>
      </c>
      <c r="R13" t="s">
        <v>122</v>
      </c>
      <c r="S13" t="s">
        <v>8</v>
      </c>
      <c r="T13" t="s">
        <v>103</v>
      </c>
      <c r="U13" t="s">
        <v>3</v>
      </c>
      <c r="V13" t="s">
        <v>3</v>
      </c>
      <c r="W13" t="s">
        <v>3</v>
      </c>
      <c r="AA13" t="s">
        <v>8</v>
      </c>
      <c r="AB13" t="s">
        <v>3</v>
      </c>
      <c r="AC13" t="s">
        <v>3</v>
      </c>
      <c r="AD13" t="s">
        <v>8</v>
      </c>
      <c r="AE13" t="s">
        <v>111</v>
      </c>
      <c r="AF13" t="s">
        <v>1300</v>
      </c>
    </row>
    <row r="14" spans="1:32">
      <c r="A14" t="s">
        <v>75</v>
      </c>
      <c r="B14" t="s">
        <v>1301</v>
      </c>
      <c r="C14" t="s">
        <v>1302</v>
      </c>
      <c r="D14" t="s">
        <v>1303</v>
      </c>
      <c r="E14" t="s">
        <v>1292</v>
      </c>
      <c r="F14" t="s">
        <v>1293</v>
      </c>
      <c r="H14" t="s">
        <v>1304</v>
      </c>
      <c r="J14" t="s">
        <v>8</v>
      </c>
      <c r="K14" t="s">
        <v>3</v>
      </c>
      <c r="L14" t="s">
        <v>3</v>
      </c>
      <c r="M14" t="s">
        <v>122</v>
      </c>
      <c r="N14" t="s">
        <v>3</v>
      </c>
      <c r="O14" t="s">
        <v>3</v>
      </c>
      <c r="P14" t="s">
        <v>3</v>
      </c>
      <c r="Q14" t="s">
        <v>8</v>
      </c>
      <c r="R14" t="s">
        <v>122</v>
      </c>
      <c r="S14" t="s">
        <v>8</v>
      </c>
      <c r="T14" t="s">
        <v>75</v>
      </c>
      <c r="U14" t="s">
        <v>3</v>
      </c>
      <c r="V14" t="s">
        <v>3</v>
      </c>
      <c r="W14" t="s">
        <v>3</v>
      </c>
      <c r="AA14" t="s">
        <v>8</v>
      </c>
      <c r="AB14" t="s">
        <v>3</v>
      </c>
      <c r="AC14" t="s">
        <v>3</v>
      </c>
      <c r="AD14" t="s">
        <v>8</v>
      </c>
      <c r="AE14" t="s">
        <v>111</v>
      </c>
      <c r="AF14" t="s">
        <v>1305</v>
      </c>
    </row>
    <row r="15" spans="1:32">
      <c r="A15" t="s">
        <v>231</v>
      </c>
      <c r="B15" t="s">
        <v>1306</v>
      </c>
      <c r="C15" t="s">
        <v>1307</v>
      </c>
      <c r="D15" t="s">
        <v>1308</v>
      </c>
      <c r="E15" t="s">
        <v>1309</v>
      </c>
      <c r="F15" t="s">
        <v>1310</v>
      </c>
      <c r="H15" t="s">
        <v>1311</v>
      </c>
      <c r="J15" t="s">
        <v>8</v>
      </c>
      <c r="K15" t="s">
        <v>3</v>
      </c>
      <c r="L15" t="s">
        <v>3</v>
      </c>
      <c r="M15" t="s">
        <v>122</v>
      </c>
      <c r="N15" t="s">
        <v>3</v>
      </c>
      <c r="O15" t="s">
        <v>3</v>
      </c>
      <c r="P15" t="s">
        <v>3</v>
      </c>
      <c r="Q15" t="s">
        <v>8</v>
      </c>
      <c r="R15" t="s">
        <v>122</v>
      </c>
      <c r="S15" t="s">
        <v>8</v>
      </c>
      <c r="T15" t="s">
        <v>231</v>
      </c>
      <c r="U15" t="s">
        <v>3</v>
      </c>
      <c r="V15" t="s">
        <v>3</v>
      </c>
      <c r="W15" t="s">
        <v>3</v>
      </c>
      <c r="AA15" t="s">
        <v>8</v>
      </c>
      <c r="AB15" t="s">
        <v>3</v>
      </c>
      <c r="AC15" t="s">
        <v>3</v>
      </c>
      <c r="AD15" t="s">
        <v>8</v>
      </c>
      <c r="AE15" t="s">
        <v>111</v>
      </c>
      <c r="AF15" t="s">
        <v>1312</v>
      </c>
    </row>
    <row r="16" spans="1:32">
      <c r="A16" t="s">
        <v>1</v>
      </c>
      <c r="B16" t="s">
        <v>1313</v>
      </c>
      <c r="C16" t="s">
        <v>1314</v>
      </c>
      <c r="D16" t="s">
        <v>1315</v>
      </c>
      <c r="E16" t="s">
        <v>1309</v>
      </c>
      <c r="F16" t="s">
        <v>1310</v>
      </c>
      <c r="H16" t="s">
        <v>1316</v>
      </c>
      <c r="J16" t="s">
        <v>8</v>
      </c>
      <c r="K16" t="s">
        <v>3</v>
      </c>
      <c r="L16" t="s">
        <v>3</v>
      </c>
      <c r="M16" t="s">
        <v>122</v>
      </c>
      <c r="N16" t="s">
        <v>3</v>
      </c>
      <c r="O16" t="s">
        <v>3</v>
      </c>
      <c r="P16" t="s">
        <v>3</v>
      </c>
      <c r="Q16" t="s">
        <v>8</v>
      </c>
      <c r="R16" t="s">
        <v>122</v>
      </c>
      <c r="S16" t="s">
        <v>8</v>
      </c>
      <c r="T16" t="s">
        <v>1</v>
      </c>
      <c r="U16" t="s">
        <v>3</v>
      </c>
      <c r="V16" t="s">
        <v>3</v>
      </c>
      <c r="W16" t="s">
        <v>3</v>
      </c>
      <c r="AA16" t="s">
        <v>8</v>
      </c>
      <c r="AB16" t="s">
        <v>3</v>
      </c>
      <c r="AC16" t="s">
        <v>3</v>
      </c>
      <c r="AD16" t="s">
        <v>8</v>
      </c>
      <c r="AE16" t="s">
        <v>111</v>
      </c>
      <c r="AF16" t="s">
        <v>1317</v>
      </c>
    </row>
    <row r="17" spans="1:32">
      <c r="A17" t="s">
        <v>120</v>
      </c>
      <c r="B17" t="s">
        <v>1318</v>
      </c>
      <c r="C17" t="s">
        <v>1319</v>
      </c>
      <c r="D17" t="s">
        <v>1320</v>
      </c>
      <c r="E17" t="s">
        <v>1321</v>
      </c>
      <c r="F17" t="s">
        <v>1322</v>
      </c>
      <c r="H17" t="s">
        <v>1323</v>
      </c>
      <c r="J17" t="s">
        <v>8</v>
      </c>
      <c r="K17" t="s">
        <v>3</v>
      </c>
      <c r="L17" t="s">
        <v>3</v>
      </c>
      <c r="M17" t="s">
        <v>122</v>
      </c>
      <c r="N17" t="s">
        <v>3</v>
      </c>
      <c r="O17" t="s">
        <v>3</v>
      </c>
      <c r="P17" t="s">
        <v>3</v>
      </c>
      <c r="Q17" t="s">
        <v>8</v>
      </c>
      <c r="R17" t="s">
        <v>122</v>
      </c>
      <c r="S17" t="s">
        <v>8</v>
      </c>
      <c r="T17" t="s">
        <v>120</v>
      </c>
      <c r="U17" t="s">
        <v>3</v>
      </c>
      <c r="V17" t="s">
        <v>3</v>
      </c>
      <c r="W17" t="s">
        <v>3</v>
      </c>
      <c r="AA17" t="s">
        <v>8</v>
      </c>
      <c r="AB17" t="s">
        <v>3</v>
      </c>
      <c r="AC17" t="s">
        <v>3</v>
      </c>
      <c r="AD17" t="s">
        <v>8</v>
      </c>
      <c r="AE17" t="s">
        <v>111</v>
      </c>
      <c r="AF17" t="s">
        <v>1324</v>
      </c>
    </row>
    <row r="18" spans="1:32">
      <c r="A18" t="s">
        <v>240</v>
      </c>
      <c r="B18" t="s">
        <v>1325</v>
      </c>
      <c r="C18" t="s">
        <v>1326</v>
      </c>
      <c r="D18" t="s">
        <v>1327</v>
      </c>
      <c r="E18" t="s">
        <v>1321</v>
      </c>
      <c r="F18" t="s">
        <v>1328</v>
      </c>
      <c r="H18" t="s">
        <v>1329</v>
      </c>
      <c r="J18" t="s">
        <v>8</v>
      </c>
      <c r="K18" t="s">
        <v>3</v>
      </c>
      <c r="L18" t="s">
        <v>3</v>
      </c>
      <c r="M18" t="s">
        <v>122</v>
      </c>
      <c r="N18" t="s">
        <v>3</v>
      </c>
      <c r="O18" t="s">
        <v>3</v>
      </c>
      <c r="P18" t="s">
        <v>3</v>
      </c>
      <c r="Q18" t="s">
        <v>8</v>
      </c>
      <c r="R18" t="s">
        <v>122</v>
      </c>
      <c r="S18" t="s">
        <v>8</v>
      </c>
      <c r="T18" t="s">
        <v>240</v>
      </c>
      <c r="U18" t="s">
        <v>3</v>
      </c>
      <c r="V18" t="s">
        <v>3</v>
      </c>
      <c r="W18" t="s">
        <v>3</v>
      </c>
      <c r="AA18" t="s">
        <v>8</v>
      </c>
      <c r="AB18" t="s">
        <v>3</v>
      </c>
      <c r="AC18" t="s">
        <v>3</v>
      </c>
      <c r="AD18" t="s">
        <v>8</v>
      </c>
      <c r="AE18" t="s">
        <v>111</v>
      </c>
      <c r="AF18" t="s">
        <v>1330</v>
      </c>
    </row>
    <row r="19" spans="1:32">
      <c r="A19" t="s">
        <v>133</v>
      </c>
      <c r="B19" t="s">
        <v>1331</v>
      </c>
      <c r="C19" t="s">
        <v>1332</v>
      </c>
      <c r="D19" t="s">
        <v>1333</v>
      </c>
      <c r="E19" t="s">
        <v>1321</v>
      </c>
      <c r="F19" t="s">
        <v>1328</v>
      </c>
      <c r="H19" t="s">
        <v>1334</v>
      </c>
      <c r="J19" t="s">
        <v>8</v>
      </c>
      <c r="K19" t="s">
        <v>3</v>
      </c>
      <c r="L19" t="s">
        <v>3</v>
      </c>
      <c r="M19" t="s">
        <v>122</v>
      </c>
      <c r="N19" t="s">
        <v>3</v>
      </c>
      <c r="O19" t="s">
        <v>3</v>
      </c>
      <c r="P19" t="s">
        <v>3</v>
      </c>
      <c r="Q19" t="s">
        <v>8</v>
      </c>
      <c r="R19" t="s">
        <v>122</v>
      </c>
      <c r="S19" t="s">
        <v>8</v>
      </c>
      <c r="T19" t="s">
        <v>133</v>
      </c>
      <c r="U19" t="s">
        <v>3</v>
      </c>
      <c r="V19" t="s">
        <v>3</v>
      </c>
      <c r="W19" t="s">
        <v>3</v>
      </c>
      <c r="AA19" t="s">
        <v>8</v>
      </c>
      <c r="AB19" t="s">
        <v>3</v>
      </c>
      <c r="AC19" t="s">
        <v>3</v>
      </c>
      <c r="AD19" t="s">
        <v>8</v>
      </c>
      <c r="AE19" t="s">
        <v>111</v>
      </c>
      <c r="AF19" t="s">
        <v>1335</v>
      </c>
    </row>
    <row r="20" spans="1:32">
      <c r="A20" t="s">
        <v>6</v>
      </c>
      <c r="B20" t="s">
        <v>1336</v>
      </c>
      <c r="C20" t="s">
        <v>1337</v>
      </c>
      <c r="D20" t="s">
        <v>1338</v>
      </c>
      <c r="E20" t="s">
        <v>1339</v>
      </c>
      <c r="F20" t="s">
        <v>1340</v>
      </c>
      <c r="H20" t="s">
        <v>1341</v>
      </c>
      <c r="J20" t="s">
        <v>8</v>
      </c>
      <c r="K20" t="s">
        <v>3</v>
      </c>
      <c r="L20" t="s">
        <v>3</v>
      </c>
      <c r="M20" t="s">
        <v>122</v>
      </c>
      <c r="N20" t="s">
        <v>3</v>
      </c>
      <c r="O20" t="s">
        <v>3</v>
      </c>
      <c r="P20" t="s">
        <v>3</v>
      </c>
      <c r="Q20" t="s">
        <v>8</v>
      </c>
      <c r="R20" t="s">
        <v>122</v>
      </c>
      <c r="S20" t="s">
        <v>8</v>
      </c>
      <c r="T20" t="s">
        <v>6</v>
      </c>
      <c r="U20" t="s">
        <v>3</v>
      </c>
      <c r="V20" t="s">
        <v>3</v>
      </c>
      <c r="W20" t="s">
        <v>3</v>
      </c>
      <c r="AA20" t="s">
        <v>8</v>
      </c>
      <c r="AB20" t="s">
        <v>3</v>
      </c>
      <c r="AC20" t="s">
        <v>3</v>
      </c>
      <c r="AD20" t="s">
        <v>8</v>
      </c>
      <c r="AE20" t="s">
        <v>111</v>
      </c>
      <c r="AF20" t="s">
        <v>1342</v>
      </c>
    </row>
    <row r="21" spans="1:32">
      <c r="A21" t="s">
        <v>1343</v>
      </c>
      <c r="B21" t="s">
        <v>1344</v>
      </c>
      <c r="C21" t="s">
        <v>1345</v>
      </c>
      <c r="D21" t="s">
        <v>1346</v>
      </c>
      <c r="E21" t="s">
        <v>1347</v>
      </c>
      <c r="F21" t="s">
        <v>1348</v>
      </c>
      <c r="H21" t="s">
        <v>1349</v>
      </c>
      <c r="J21" t="s">
        <v>8</v>
      </c>
      <c r="K21" t="s">
        <v>3</v>
      </c>
      <c r="L21" t="s">
        <v>3</v>
      </c>
      <c r="M21" t="s">
        <v>122</v>
      </c>
      <c r="N21" t="s">
        <v>3</v>
      </c>
      <c r="O21" t="s">
        <v>3</v>
      </c>
      <c r="P21" t="s">
        <v>3</v>
      </c>
      <c r="Q21" t="s">
        <v>8</v>
      </c>
      <c r="R21" t="s">
        <v>122</v>
      </c>
      <c r="S21" t="s">
        <v>8</v>
      </c>
      <c r="T21" t="s">
        <v>1343</v>
      </c>
      <c r="U21" t="s">
        <v>3</v>
      </c>
      <c r="V21" t="s">
        <v>3</v>
      </c>
      <c r="W21" t="s">
        <v>3</v>
      </c>
      <c r="AA21" t="s">
        <v>8</v>
      </c>
      <c r="AB21" t="s">
        <v>3</v>
      </c>
      <c r="AC21" t="s">
        <v>3</v>
      </c>
      <c r="AD21" t="s">
        <v>8</v>
      </c>
      <c r="AE21" t="s">
        <v>111</v>
      </c>
      <c r="AF21" t="s">
        <v>1350</v>
      </c>
    </row>
    <row r="22" spans="1:32">
      <c r="A22" t="s">
        <v>256</v>
      </c>
      <c r="B22" t="s">
        <v>1351</v>
      </c>
      <c r="C22" t="s">
        <v>1352</v>
      </c>
      <c r="D22" t="s">
        <v>1353</v>
      </c>
      <c r="E22" t="s">
        <v>1347</v>
      </c>
      <c r="F22" t="s">
        <v>1348</v>
      </c>
      <c r="H22" t="s">
        <v>1354</v>
      </c>
      <c r="J22" t="s">
        <v>8</v>
      </c>
      <c r="K22" t="s">
        <v>3</v>
      </c>
      <c r="L22" t="s">
        <v>3</v>
      </c>
      <c r="M22" t="s">
        <v>122</v>
      </c>
      <c r="N22" t="s">
        <v>3</v>
      </c>
      <c r="O22" t="s">
        <v>3</v>
      </c>
      <c r="P22" t="s">
        <v>3</v>
      </c>
      <c r="Q22" t="s">
        <v>8</v>
      </c>
      <c r="R22" t="s">
        <v>122</v>
      </c>
      <c r="S22" t="s">
        <v>8</v>
      </c>
      <c r="T22" t="s">
        <v>256</v>
      </c>
      <c r="U22" t="s">
        <v>3</v>
      </c>
      <c r="V22" t="s">
        <v>3</v>
      </c>
      <c r="W22" t="s">
        <v>3</v>
      </c>
      <c r="AA22" t="s">
        <v>8</v>
      </c>
      <c r="AB22" t="s">
        <v>3</v>
      </c>
      <c r="AC22" t="s">
        <v>3</v>
      </c>
      <c r="AD22" t="s">
        <v>8</v>
      </c>
      <c r="AE22" t="s">
        <v>111</v>
      </c>
      <c r="AF22" t="s">
        <v>1355</v>
      </c>
    </row>
    <row r="23" spans="1:32">
      <c r="A23" t="s">
        <v>259</v>
      </c>
      <c r="B23" t="s">
        <v>1356</v>
      </c>
      <c r="C23" t="s">
        <v>1357</v>
      </c>
      <c r="D23" t="s">
        <v>1358</v>
      </c>
      <c r="E23" t="s">
        <v>1359</v>
      </c>
      <c r="F23" t="s">
        <v>1360</v>
      </c>
      <c r="H23" t="s">
        <v>1361</v>
      </c>
      <c r="J23" t="s">
        <v>8</v>
      </c>
      <c r="K23" t="s">
        <v>3</v>
      </c>
      <c r="L23" t="s">
        <v>3</v>
      </c>
      <c r="M23" t="s">
        <v>122</v>
      </c>
      <c r="N23" t="s">
        <v>3</v>
      </c>
      <c r="O23" t="s">
        <v>3</v>
      </c>
      <c r="P23" t="s">
        <v>3</v>
      </c>
      <c r="Q23" t="s">
        <v>8</v>
      </c>
      <c r="R23" t="s">
        <v>122</v>
      </c>
      <c r="S23" t="s">
        <v>8</v>
      </c>
      <c r="T23" t="s">
        <v>259</v>
      </c>
      <c r="U23" t="s">
        <v>3</v>
      </c>
      <c r="V23" t="s">
        <v>3</v>
      </c>
      <c r="W23" t="s">
        <v>3</v>
      </c>
      <c r="AA23" t="s">
        <v>8</v>
      </c>
      <c r="AB23" t="s">
        <v>3</v>
      </c>
      <c r="AC23" t="s">
        <v>3</v>
      </c>
      <c r="AD23" t="s">
        <v>8</v>
      </c>
      <c r="AE23" t="s">
        <v>130</v>
      </c>
      <c r="AF23" t="s">
        <v>1362</v>
      </c>
    </row>
    <row r="24" spans="1:32">
      <c r="A24" t="s">
        <v>264</v>
      </c>
      <c r="B24" t="s">
        <v>1363</v>
      </c>
      <c r="C24" t="s">
        <v>1364</v>
      </c>
      <c r="D24" t="s">
        <v>1365</v>
      </c>
      <c r="E24" t="s">
        <v>1359</v>
      </c>
      <c r="F24" t="s">
        <v>1360</v>
      </c>
      <c r="H24" t="s">
        <v>1366</v>
      </c>
      <c r="J24" t="s">
        <v>8</v>
      </c>
      <c r="K24" t="s">
        <v>3</v>
      </c>
      <c r="L24" t="s">
        <v>3</v>
      </c>
      <c r="M24" t="s">
        <v>122</v>
      </c>
      <c r="N24" t="s">
        <v>3</v>
      </c>
      <c r="O24" t="s">
        <v>3</v>
      </c>
      <c r="P24" t="s">
        <v>3</v>
      </c>
      <c r="Q24" t="s">
        <v>8</v>
      </c>
      <c r="R24" t="s">
        <v>122</v>
      </c>
      <c r="S24" t="s">
        <v>8</v>
      </c>
      <c r="T24" t="s">
        <v>264</v>
      </c>
      <c r="U24" t="s">
        <v>3</v>
      </c>
      <c r="V24" t="s">
        <v>3</v>
      </c>
      <c r="W24" t="s">
        <v>3</v>
      </c>
      <c r="AA24" t="s">
        <v>8</v>
      </c>
      <c r="AB24" t="s">
        <v>3</v>
      </c>
      <c r="AC24" t="s">
        <v>3</v>
      </c>
      <c r="AD24" t="s">
        <v>8</v>
      </c>
      <c r="AE24" t="s">
        <v>111</v>
      </c>
      <c r="AF24" t="s">
        <v>1367</v>
      </c>
    </row>
    <row r="25" spans="1:32">
      <c r="A25" t="s">
        <v>266</v>
      </c>
      <c r="B25" t="s">
        <v>1368</v>
      </c>
      <c r="C25" t="s">
        <v>1369</v>
      </c>
      <c r="D25" t="s">
        <v>1370</v>
      </c>
      <c r="E25" t="s">
        <v>1371</v>
      </c>
      <c r="F25" t="s">
        <v>1372</v>
      </c>
      <c r="H25" t="s">
        <v>1373</v>
      </c>
      <c r="J25" t="s">
        <v>8</v>
      </c>
      <c r="K25" t="s">
        <v>3</v>
      </c>
      <c r="L25" t="s">
        <v>3</v>
      </c>
      <c r="M25" t="s">
        <v>122</v>
      </c>
      <c r="N25" t="s">
        <v>3</v>
      </c>
      <c r="O25" t="s">
        <v>3</v>
      </c>
      <c r="P25" t="s">
        <v>3</v>
      </c>
      <c r="Q25" t="s">
        <v>8</v>
      </c>
      <c r="R25" t="s">
        <v>122</v>
      </c>
      <c r="S25" t="s">
        <v>8</v>
      </c>
      <c r="T25" t="s">
        <v>266</v>
      </c>
      <c r="U25" t="s">
        <v>3</v>
      </c>
      <c r="V25" t="s">
        <v>3</v>
      </c>
      <c r="W25" t="s">
        <v>3</v>
      </c>
      <c r="AA25" t="s">
        <v>8</v>
      </c>
      <c r="AB25" t="s">
        <v>3</v>
      </c>
      <c r="AC25" t="s">
        <v>3</v>
      </c>
      <c r="AD25" t="s">
        <v>8</v>
      </c>
      <c r="AE25" t="s">
        <v>111</v>
      </c>
      <c r="AF25" t="s">
        <v>1374</v>
      </c>
    </row>
    <row r="26" spans="1:32">
      <c r="A26" t="s">
        <v>270</v>
      </c>
      <c r="B26" t="s">
        <v>1375</v>
      </c>
      <c r="C26" t="s">
        <v>1376</v>
      </c>
      <c r="D26" t="s">
        <v>1377</v>
      </c>
      <c r="E26" t="s">
        <v>1371</v>
      </c>
      <c r="F26" t="s">
        <v>1372</v>
      </c>
      <c r="H26" t="s">
        <v>1378</v>
      </c>
      <c r="J26" t="s">
        <v>8</v>
      </c>
      <c r="K26" t="s">
        <v>3</v>
      </c>
      <c r="L26" t="s">
        <v>3</v>
      </c>
      <c r="M26" t="s">
        <v>122</v>
      </c>
      <c r="N26" t="s">
        <v>3</v>
      </c>
      <c r="O26" t="s">
        <v>3</v>
      </c>
      <c r="P26" t="s">
        <v>3</v>
      </c>
      <c r="Q26" t="s">
        <v>8</v>
      </c>
      <c r="R26" t="s">
        <v>122</v>
      </c>
      <c r="S26" t="s">
        <v>8</v>
      </c>
      <c r="T26" t="s">
        <v>270</v>
      </c>
      <c r="U26" t="s">
        <v>3</v>
      </c>
      <c r="V26" t="s">
        <v>3</v>
      </c>
      <c r="W26" t="s">
        <v>3</v>
      </c>
      <c r="AA26" t="s">
        <v>8</v>
      </c>
      <c r="AB26" t="s">
        <v>3</v>
      </c>
      <c r="AC26" t="s">
        <v>3</v>
      </c>
      <c r="AD26" t="s">
        <v>8</v>
      </c>
      <c r="AE26" t="s">
        <v>111</v>
      </c>
      <c r="AF26" t="s">
        <v>1379</v>
      </c>
    </row>
    <row r="27" spans="1:32">
      <c r="A27" t="s">
        <v>273</v>
      </c>
      <c r="B27" t="s">
        <v>1380</v>
      </c>
      <c r="C27" t="s">
        <v>1381</v>
      </c>
      <c r="D27" t="s">
        <v>1382</v>
      </c>
      <c r="E27" t="s">
        <v>1383</v>
      </c>
      <c r="F27" t="s">
        <v>1384</v>
      </c>
      <c r="H27" t="s">
        <v>1385</v>
      </c>
      <c r="J27" t="s">
        <v>8</v>
      </c>
      <c r="K27" t="s">
        <v>3</v>
      </c>
      <c r="L27" t="s">
        <v>3</v>
      </c>
      <c r="M27" t="s">
        <v>122</v>
      </c>
      <c r="N27" t="s">
        <v>3</v>
      </c>
      <c r="O27" t="s">
        <v>3</v>
      </c>
      <c r="P27" t="s">
        <v>3</v>
      </c>
      <c r="Q27" t="s">
        <v>8</v>
      </c>
      <c r="R27" t="s">
        <v>122</v>
      </c>
      <c r="S27" t="s">
        <v>8</v>
      </c>
      <c r="T27" t="s">
        <v>273</v>
      </c>
      <c r="U27" t="s">
        <v>3</v>
      </c>
      <c r="V27" t="s">
        <v>3</v>
      </c>
      <c r="W27" t="s">
        <v>3</v>
      </c>
      <c r="AA27" t="s">
        <v>8</v>
      </c>
      <c r="AB27" t="s">
        <v>3</v>
      </c>
      <c r="AC27" t="s">
        <v>3</v>
      </c>
      <c r="AD27" t="s">
        <v>8</v>
      </c>
      <c r="AE27" t="s">
        <v>130</v>
      </c>
      <c r="AF27" t="s">
        <v>1386</v>
      </c>
    </row>
    <row r="28" spans="1:32">
      <c r="A28" t="s">
        <v>280</v>
      </c>
      <c r="B28" t="s">
        <v>1387</v>
      </c>
      <c r="C28" t="s">
        <v>1388</v>
      </c>
      <c r="D28" t="s">
        <v>1389</v>
      </c>
      <c r="E28" t="s">
        <v>1390</v>
      </c>
      <c r="F28" t="s">
        <v>1391</v>
      </c>
      <c r="H28" t="s">
        <v>1392</v>
      </c>
      <c r="J28" t="s">
        <v>8</v>
      </c>
      <c r="K28" t="s">
        <v>3</v>
      </c>
      <c r="L28" t="s">
        <v>3</v>
      </c>
      <c r="M28" t="s">
        <v>122</v>
      </c>
      <c r="N28" t="s">
        <v>3</v>
      </c>
      <c r="O28" t="s">
        <v>3</v>
      </c>
      <c r="P28" t="s">
        <v>3</v>
      </c>
      <c r="Q28" t="s">
        <v>8</v>
      </c>
      <c r="R28" t="s">
        <v>122</v>
      </c>
      <c r="S28" t="s">
        <v>8</v>
      </c>
      <c r="T28" t="s">
        <v>280</v>
      </c>
      <c r="U28" t="s">
        <v>3</v>
      </c>
      <c r="V28" t="s">
        <v>3</v>
      </c>
      <c r="W28" t="s">
        <v>3</v>
      </c>
      <c r="AA28" t="s">
        <v>8</v>
      </c>
      <c r="AB28" t="s">
        <v>3</v>
      </c>
      <c r="AC28" t="s">
        <v>3</v>
      </c>
      <c r="AD28" t="s">
        <v>8</v>
      </c>
      <c r="AE28" t="s">
        <v>111</v>
      </c>
      <c r="AF28" t="s">
        <v>1393</v>
      </c>
    </row>
    <row r="29" spans="1:32">
      <c r="A29" t="s">
        <v>110</v>
      </c>
      <c r="B29" t="s">
        <v>1394</v>
      </c>
      <c r="C29" t="s">
        <v>1395</v>
      </c>
      <c r="D29" t="s">
        <v>1396</v>
      </c>
      <c r="E29" t="s">
        <v>1390</v>
      </c>
      <c r="F29" t="s">
        <v>1391</v>
      </c>
      <c r="H29" t="s">
        <v>1397</v>
      </c>
      <c r="J29" t="s">
        <v>8</v>
      </c>
      <c r="K29" t="s">
        <v>3</v>
      </c>
      <c r="L29" t="s">
        <v>3</v>
      </c>
      <c r="M29" t="s">
        <v>122</v>
      </c>
      <c r="N29" t="s">
        <v>3</v>
      </c>
      <c r="O29" t="s">
        <v>3</v>
      </c>
      <c r="P29" t="s">
        <v>3</v>
      </c>
      <c r="Q29" t="s">
        <v>8</v>
      </c>
      <c r="R29" t="s">
        <v>122</v>
      </c>
      <c r="S29" t="s">
        <v>8</v>
      </c>
      <c r="T29" t="s">
        <v>110</v>
      </c>
      <c r="U29" t="s">
        <v>3</v>
      </c>
      <c r="V29" t="s">
        <v>3</v>
      </c>
      <c r="W29" t="s">
        <v>3</v>
      </c>
      <c r="AA29" t="s">
        <v>8</v>
      </c>
      <c r="AB29" t="s">
        <v>3</v>
      </c>
      <c r="AC29" t="s">
        <v>3</v>
      </c>
      <c r="AD29" t="s">
        <v>8</v>
      </c>
      <c r="AE29" t="s">
        <v>111</v>
      </c>
      <c r="AF29" t="s">
        <v>1398</v>
      </c>
    </row>
    <row r="30" spans="1:32">
      <c r="A30" t="s">
        <v>163</v>
      </c>
      <c r="B30" t="s">
        <v>1399</v>
      </c>
      <c r="C30" t="s">
        <v>1400</v>
      </c>
      <c r="D30" t="s">
        <v>1401</v>
      </c>
      <c r="E30" t="s">
        <v>1402</v>
      </c>
      <c r="F30" t="s">
        <v>1403</v>
      </c>
      <c r="H30" t="s">
        <v>1404</v>
      </c>
      <c r="J30" t="s">
        <v>8</v>
      </c>
      <c r="K30" t="s">
        <v>3</v>
      </c>
      <c r="L30" t="s">
        <v>3</v>
      </c>
      <c r="M30" t="s">
        <v>122</v>
      </c>
      <c r="N30" t="s">
        <v>3</v>
      </c>
      <c r="O30" t="s">
        <v>3</v>
      </c>
      <c r="P30" t="s">
        <v>3</v>
      </c>
      <c r="Q30" t="s">
        <v>8</v>
      </c>
      <c r="R30" t="s">
        <v>122</v>
      </c>
      <c r="S30" t="s">
        <v>8</v>
      </c>
      <c r="T30" t="s">
        <v>163</v>
      </c>
      <c r="U30" t="s">
        <v>3</v>
      </c>
      <c r="V30" t="s">
        <v>3</v>
      </c>
      <c r="W30" t="s">
        <v>3</v>
      </c>
      <c r="AA30" t="s">
        <v>8</v>
      </c>
      <c r="AB30" t="s">
        <v>3</v>
      </c>
      <c r="AC30" t="s">
        <v>3</v>
      </c>
      <c r="AD30" t="s">
        <v>8</v>
      </c>
      <c r="AE30" t="s">
        <v>111</v>
      </c>
      <c r="AF30" t="s">
        <v>1405</v>
      </c>
    </row>
    <row r="31" spans="1:32">
      <c r="A31" t="s">
        <v>165</v>
      </c>
      <c r="B31" t="s">
        <v>1406</v>
      </c>
      <c r="C31" t="s">
        <v>1407</v>
      </c>
      <c r="D31" t="s">
        <v>1408</v>
      </c>
      <c r="E31" t="s">
        <v>1409</v>
      </c>
      <c r="F31" t="s">
        <v>1410</v>
      </c>
      <c r="H31" t="s">
        <v>1411</v>
      </c>
      <c r="J31" t="s">
        <v>8</v>
      </c>
      <c r="K31" t="s">
        <v>3</v>
      </c>
      <c r="L31" t="s">
        <v>3</v>
      </c>
      <c r="M31" t="s">
        <v>122</v>
      </c>
      <c r="N31" t="s">
        <v>3</v>
      </c>
      <c r="O31" t="s">
        <v>3</v>
      </c>
      <c r="P31" t="s">
        <v>3</v>
      </c>
      <c r="Q31" t="s">
        <v>8</v>
      </c>
      <c r="R31" t="s">
        <v>122</v>
      </c>
      <c r="S31" t="s">
        <v>8</v>
      </c>
      <c r="T31" t="s">
        <v>165</v>
      </c>
      <c r="U31" t="s">
        <v>3</v>
      </c>
      <c r="V31" t="s">
        <v>3</v>
      </c>
      <c r="W31" t="s">
        <v>3</v>
      </c>
      <c r="AA31" t="s">
        <v>8</v>
      </c>
      <c r="AB31" t="s">
        <v>3</v>
      </c>
      <c r="AC31" t="s">
        <v>3</v>
      </c>
      <c r="AD31" t="s">
        <v>8</v>
      </c>
      <c r="AE31" t="s">
        <v>111</v>
      </c>
      <c r="AF31" t="s">
        <v>1412</v>
      </c>
    </row>
    <row r="32" spans="1:32">
      <c r="A32" t="s">
        <v>296</v>
      </c>
      <c r="B32" t="s">
        <v>1413</v>
      </c>
      <c r="C32" t="s">
        <v>1414</v>
      </c>
      <c r="D32" t="s">
        <v>1415</v>
      </c>
      <c r="E32" t="s">
        <v>1409</v>
      </c>
      <c r="F32" t="s">
        <v>1410</v>
      </c>
      <c r="H32" t="s">
        <v>1416</v>
      </c>
      <c r="J32" t="s">
        <v>8</v>
      </c>
      <c r="K32" t="s">
        <v>3</v>
      </c>
      <c r="L32" t="s">
        <v>3</v>
      </c>
      <c r="M32" t="s">
        <v>122</v>
      </c>
      <c r="N32" t="s">
        <v>3</v>
      </c>
      <c r="O32" t="s">
        <v>3</v>
      </c>
      <c r="P32" t="s">
        <v>3</v>
      </c>
      <c r="Q32" t="s">
        <v>8</v>
      </c>
      <c r="R32" t="s">
        <v>122</v>
      </c>
      <c r="S32" t="s">
        <v>8</v>
      </c>
      <c r="T32" t="s">
        <v>296</v>
      </c>
      <c r="U32" t="s">
        <v>3</v>
      </c>
      <c r="V32" t="s">
        <v>3</v>
      </c>
      <c r="W32" t="s">
        <v>3</v>
      </c>
      <c r="AA32" t="s">
        <v>8</v>
      </c>
      <c r="AB32" t="s">
        <v>3</v>
      </c>
      <c r="AC32" t="s">
        <v>3</v>
      </c>
      <c r="AD32" t="s">
        <v>8</v>
      </c>
      <c r="AE32" t="s">
        <v>111</v>
      </c>
      <c r="AF32" t="s">
        <v>1417</v>
      </c>
    </row>
    <row r="33" spans="1:32">
      <c r="A33" t="s">
        <v>299</v>
      </c>
      <c r="B33" t="s">
        <v>1418</v>
      </c>
      <c r="C33" t="s">
        <v>1419</v>
      </c>
      <c r="D33" t="s">
        <v>1420</v>
      </c>
      <c r="E33" t="s">
        <v>1421</v>
      </c>
      <c r="F33" t="s">
        <v>1422</v>
      </c>
      <c r="H33" t="s">
        <v>1423</v>
      </c>
      <c r="J33" t="s">
        <v>8</v>
      </c>
      <c r="K33" t="s">
        <v>3</v>
      </c>
      <c r="L33" t="s">
        <v>3</v>
      </c>
      <c r="M33" t="s">
        <v>122</v>
      </c>
      <c r="N33" t="s">
        <v>3</v>
      </c>
      <c r="O33" t="s">
        <v>3</v>
      </c>
      <c r="P33" t="s">
        <v>3</v>
      </c>
      <c r="Q33" t="s">
        <v>8</v>
      </c>
      <c r="R33" t="s">
        <v>122</v>
      </c>
      <c r="S33" t="s">
        <v>8</v>
      </c>
      <c r="T33" t="s">
        <v>299</v>
      </c>
      <c r="U33" t="s">
        <v>3</v>
      </c>
      <c r="V33" t="s">
        <v>3</v>
      </c>
      <c r="W33" t="s">
        <v>3</v>
      </c>
      <c r="AA33" t="s">
        <v>8</v>
      </c>
      <c r="AB33" t="s">
        <v>3</v>
      </c>
      <c r="AC33" t="s">
        <v>3</v>
      </c>
      <c r="AD33" t="s">
        <v>8</v>
      </c>
      <c r="AE33" t="s">
        <v>111</v>
      </c>
      <c r="AF33" t="s">
        <v>1424</v>
      </c>
    </row>
    <row r="34" spans="1:32">
      <c r="A34" t="s">
        <v>1425</v>
      </c>
      <c r="B34" t="s">
        <v>1426</v>
      </c>
      <c r="C34" t="s">
        <v>1427</v>
      </c>
      <c r="D34" t="s">
        <v>1428</v>
      </c>
      <c r="E34" t="s">
        <v>1429</v>
      </c>
      <c r="F34" t="s">
        <v>1430</v>
      </c>
      <c r="H34" t="s">
        <v>1431</v>
      </c>
      <c r="J34" t="s">
        <v>8</v>
      </c>
      <c r="K34" t="s">
        <v>3</v>
      </c>
      <c r="L34" t="s">
        <v>3</v>
      </c>
      <c r="M34" t="s">
        <v>122</v>
      </c>
      <c r="N34" t="s">
        <v>3</v>
      </c>
      <c r="O34" t="s">
        <v>3</v>
      </c>
      <c r="P34" t="s">
        <v>3</v>
      </c>
      <c r="Q34" t="s">
        <v>8</v>
      </c>
      <c r="R34" t="s">
        <v>122</v>
      </c>
      <c r="S34" t="s">
        <v>8</v>
      </c>
      <c r="T34" t="s">
        <v>1425</v>
      </c>
      <c r="U34" t="s">
        <v>3</v>
      </c>
      <c r="V34" t="s">
        <v>3</v>
      </c>
      <c r="W34" t="s">
        <v>3</v>
      </c>
      <c r="AA34" t="s">
        <v>8</v>
      </c>
      <c r="AB34" t="s">
        <v>3</v>
      </c>
      <c r="AC34" t="s">
        <v>3</v>
      </c>
      <c r="AD34" t="s">
        <v>8</v>
      </c>
      <c r="AE34" t="s">
        <v>111</v>
      </c>
      <c r="AF34" t="s">
        <v>1432</v>
      </c>
    </row>
    <row r="35" spans="1:32">
      <c r="A35" t="s">
        <v>303</v>
      </c>
      <c r="B35" t="s">
        <v>1433</v>
      </c>
      <c r="C35" t="s">
        <v>1434</v>
      </c>
      <c r="D35" t="s">
        <v>1435</v>
      </c>
      <c r="E35" t="s">
        <v>1429</v>
      </c>
      <c r="F35" t="s">
        <v>1430</v>
      </c>
      <c r="H35" t="s">
        <v>1436</v>
      </c>
      <c r="J35" t="s">
        <v>8</v>
      </c>
      <c r="K35" t="s">
        <v>3</v>
      </c>
      <c r="L35" t="s">
        <v>3</v>
      </c>
      <c r="M35" t="s">
        <v>122</v>
      </c>
      <c r="N35" t="s">
        <v>3</v>
      </c>
      <c r="O35" t="s">
        <v>3</v>
      </c>
      <c r="P35" t="s">
        <v>3</v>
      </c>
      <c r="Q35" t="s">
        <v>8</v>
      </c>
      <c r="R35" t="s">
        <v>122</v>
      </c>
      <c r="S35" t="s">
        <v>8</v>
      </c>
      <c r="T35" t="s">
        <v>303</v>
      </c>
      <c r="U35" t="s">
        <v>3</v>
      </c>
      <c r="V35" t="s">
        <v>3</v>
      </c>
      <c r="W35" t="s">
        <v>3</v>
      </c>
      <c r="AA35" t="s">
        <v>8</v>
      </c>
      <c r="AB35" t="s">
        <v>3</v>
      </c>
      <c r="AC35" t="s">
        <v>3</v>
      </c>
      <c r="AD35" t="s">
        <v>8</v>
      </c>
      <c r="AE35" t="s">
        <v>111</v>
      </c>
      <c r="AF35" t="s">
        <v>1437</v>
      </c>
    </row>
    <row r="36" spans="1:32">
      <c r="A36" t="s">
        <v>306</v>
      </c>
      <c r="B36" t="s">
        <v>1438</v>
      </c>
      <c r="C36" t="s">
        <v>1439</v>
      </c>
      <c r="D36" t="s">
        <v>1440</v>
      </c>
      <c r="E36" t="s">
        <v>1441</v>
      </c>
      <c r="F36" t="s">
        <v>1442</v>
      </c>
      <c r="H36" t="s">
        <v>1443</v>
      </c>
      <c r="J36" t="s">
        <v>8</v>
      </c>
      <c r="K36" t="s">
        <v>3</v>
      </c>
      <c r="L36" t="s">
        <v>3</v>
      </c>
      <c r="M36" t="s">
        <v>122</v>
      </c>
      <c r="N36" t="s">
        <v>3</v>
      </c>
      <c r="O36" t="s">
        <v>3</v>
      </c>
      <c r="P36" t="s">
        <v>3</v>
      </c>
      <c r="Q36" t="s">
        <v>8</v>
      </c>
      <c r="R36" t="s">
        <v>122</v>
      </c>
      <c r="S36" t="s">
        <v>8</v>
      </c>
      <c r="T36" t="s">
        <v>306</v>
      </c>
      <c r="U36" t="s">
        <v>3</v>
      </c>
      <c r="V36" t="s">
        <v>3</v>
      </c>
      <c r="W36" t="s">
        <v>3</v>
      </c>
      <c r="AA36" t="s">
        <v>8</v>
      </c>
      <c r="AB36" t="s">
        <v>3</v>
      </c>
      <c r="AC36" t="s">
        <v>3</v>
      </c>
      <c r="AD36" t="s">
        <v>8</v>
      </c>
      <c r="AE36" t="s">
        <v>111</v>
      </c>
      <c r="AF36" t="s">
        <v>1444</v>
      </c>
    </row>
    <row r="37" spans="1:32">
      <c r="A37" t="s">
        <v>311</v>
      </c>
      <c r="B37" t="s">
        <v>1445</v>
      </c>
      <c r="C37" t="s">
        <v>1446</v>
      </c>
      <c r="D37" t="s">
        <v>1447</v>
      </c>
      <c r="E37" t="s">
        <v>1448</v>
      </c>
      <c r="F37" t="s">
        <v>1449</v>
      </c>
      <c r="H37" t="s">
        <v>1450</v>
      </c>
      <c r="J37" t="s">
        <v>8</v>
      </c>
      <c r="K37" t="s">
        <v>3</v>
      </c>
      <c r="L37" t="s">
        <v>3</v>
      </c>
      <c r="M37" t="s">
        <v>122</v>
      </c>
      <c r="N37" t="s">
        <v>3</v>
      </c>
      <c r="O37" t="s">
        <v>3</v>
      </c>
      <c r="P37" t="s">
        <v>3</v>
      </c>
      <c r="Q37" t="s">
        <v>8</v>
      </c>
      <c r="R37" t="s">
        <v>122</v>
      </c>
      <c r="S37" t="s">
        <v>8</v>
      </c>
      <c r="T37" t="s">
        <v>311</v>
      </c>
      <c r="U37" t="s">
        <v>3</v>
      </c>
      <c r="V37" t="s">
        <v>3</v>
      </c>
      <c r="W37" t="s">
        <v>3</v>
      </c>
      <c r="AA37" t="s">
        <v>8</v>
      </c>
      <c r="AB37" t="s">
        <v>3</v>
      </c>
      <c r="AC37" t="s">
        <v>3</v>
      </c>
      <c r="AD37" t="s">
        <v>8</v>
      </c>
      <c r="AE37" t="s">
        <v>130</v>
      </c>
      <c r="AF37" t="s">
        <v>1451</v>
      </c>
    </row>
    <row r="38" spans="1:32">
      <c r="A38" t="s">
        <v>80</v>
      </c>
      <c r="B38" t="s">
        <v>1452</v>
      </c>
      <c r="C38" t="s">
        <v>1453</v>
      </c>
      <c r="D38" t="s">
        <v>1454</v>
      </c>
      <c r="E38" t="s">
        <v>1455</v>
      </c>
      <c r="F38" t="s">
        <v>1456</v>
      </c>
      <c r="H38" t="s">
        <v>1457</v>
      </c>
      <c r="J38" t="s">
        <v>8</v>
      </c>
      <c r="K38" t="s">
        <v>3</v>
      </c>
      <c r="L38" t="s">
        <v>3</v>
      </c>
      <c r="M38" t="s">
        <v>122</v>
      </c>
      <c r="N38" t="s">
        <v>3</v>
      </c>
      <c r="O38" t="s">
        <v>3</v>
      </c>
      <c r="P38" t="s">
        <v>3</v>
      </c>
      <c r="Q38" t="s">
        <v>8</v>
      </c>
      <c r="R38" t="s">
        <v>122</v>
      </c>
      <c r="S38" t="s">
        <v>8</v>
      </c>
      <c r="T38" t="s">
        <v>80</v>
      </c>
      <c r="U38" t="s">
        <v>3</v>
      </c>
      <c r="V38" t="s">
        <v>3</v>
      </c>
      <c r="W38" t="s">
        <v>3</v>
      </c>
      <c r="AA38" t="s">
        <v>8</v>
      </c>
      <c r="AB38" t="s">
        <v>3</v>
      </c>
      <c r="AC38" t="s">
        <v>3</v>
      </c>
      <c r="AD38" t="s">
        <v>8</v>
      </c>
      <c r="AE38" t="s">
        <v>111</v>
      </c>
      <c r="AF38" t="s">
        <v>1458</v>
      </c>
    </row>
    <row r="39" spans="1:32">
      <c r="A39" t="s">
        <v>339</v>
      </c>
      <c r="B39" t="s">
        <v>1459</v>
      </c>
      <c r="C39" t="s">
        <v>1460</v>
      </c>
      <c r="D39" t="s">
        <v>1461</v>
      </c>
      <c r="E39" t="s">
        <v>1462</v>
      </c>
      <c r="F39" t="s">
        <v>1463</v>
      </c>
      <c r="H39" t="s">
        <v>1464</v>
      </c>
      <c r="J39" t="s">
        <v>8</v>
      </c>
      <c r="K39" t="s">
        <v>3</v>
      </c>
      <c r="L39" t="s">
        <v>3</v>
      </c>
      <c r="M39" t="s">
        <v>122</v>
      </c>
      <c r="N39" t="s">
        <v>3</v>
      </c>
      <c r="O39" t="s">
        <v>3</v>
      </c>
      <c r="P39" t="s">
        <v>3</v>
      </c>
      <c r="Q39" t="s">
        <v>8</v>
      </c>
      <c r="R39" t="s">
        <v>122</v>
      </c>
      <c r="S39" t="s">
        <v>8</v>
      </c>
      <c r="T39" t="s">
        <v>339</v>
      </c>
      <c r="U39" t="s">
        <v>3</v>
      </c>
      <c r="V39" t="s">
        <v>3</v>
      </c>
      <c r="W39" t="s">
        <v>3</v>
      </c>
      <c r="AA39" t="s">
        <v>8</v>
      </c>
      <c r="AB39" t="s">
        <v>3</v>
      </c>
      <c r="AC39" t="s">
        <v>3</v>
      </c>
      <c r="AD39" t="s">
        <v>8</v>
      </c>
      <c r="AE39" t="s">
        <v>111</v>
      </c>
      <c r="AF39" t="s">
        <v>1465</v>
      </c>
    </row>
    <row r="40" spans="1:32">
      <c r="A40" t="s">
        <v>342</v>
      </c>
      <c r="B40" t="s">
        <v>1466</v>
      </c>
      <c r="C40" t="s">
        <v>1467</v>
      </c>
      <c r="D40" t="s">
        <v>1468</v>
      </c>
      <c r="E40" t="s">
        <v>1469</v>
      </c>
      <c r="F40" t="s">
        <v>1470</v>
      </c>
      <c r="H40" t="s">
        <v>1471</v>
      </c>
      <c r="J40" t="s">
        <v>8</v>
      </c>
      <c r="K40" t="s">
        <v>3</v>
      </c>
      <c r="L40" t="s">
        <v>3</v>
      </c>
      <c r="M40" t="s">
        <v>122</v>
      </c>
      <c r="N40" t="s">
        <v>3</v>
      </c>
      <c r="O40" t="s">
        <v>3</v>
      </c>
      <c r="P40" t="s">
        <v>3</v>
      </c>
      <c r="Q40" t="s">
        <v>8</v>
      </c>
      <c r="R40" t="s">
        <v>122</v>
      </c>
      <c r="S40" t="s">
        <v>8</v>
      </c>
      <c r="T40" t="s">
        <v>342</v>
      </c>
      <c r="U40" t="s">
        <v>3</v>
      </c>
      <c r="V40" t="s">
        <v>3</v>
      </c>
      <c r="W40" t="s">
        <v>3</v>
      </c>
      <c r="AA40" t="s">
        <v>8</v>
      </c>
      <c r="AB40" t="s">
        <v>3</v>
      </c>
      <c r="AC40" t="s">
        <v>3</v>
      </c>
      <c r="AD40" t="s">
        <v>8</v>
      </c>
      <c r="AE40" t="s">
        <v>111</v>
      </c>
      <c r="AF40" t="s">
        <v>1472</v>
      </c>
    </row>
    <row r="41" spans="1:32">
      <c r="A41" t="s">
        <v>346</v>
      </c>
      <c r="B41" t="s">
        <v>1473</v>
      </c>
      <c r="C41" t="s">
        <v>1474</v>
      </c>
      <c r="D41" t="s">
        <v>1475</v>
      </c>
      <c r="E41" t="s">
        <v>1476</v>
      </c>
      <c r="F41" t="s">
        <v>1477</v>
      </c>
      <c r="H41" t="s">
        <v>1478</v>
      </c>
      <c r="I41" t="s">
        <v>1479</v>
      </c>
      <c r="J41" t="s">
        <v>8</v>
      </c>
      <c r="K41" t="s">
        <v>3</v>
      </c>
      <c r="L41" t="s">
        <v>3</v>
      </c>
      <c r="M41" t="s">
        <v>122</v>
      </c>
      <c r="N41" t="s">
        <v>3</v>
      </c>
      <c r="O41" t="s">
        <v>3</v>
      </c>
      <c r="P41" t="s">
        <v>3</v>
      </c>
      <c r="Q41" t="s">
        <v>8</v>
      </c>
      <c r="R41" t="s">
        <v>122</v>
      </c>
      <c r="S41" t="s">
        <v>8</v>
      </c>
      <c r="T41" t="s">
        <v>346</v>
      </c>
      <c r="U41" t="s">
        <v>3</v>
      </c>
      <c r="V41" t="s">
        <v>3</v>
      </c>
      <c r="W41" t="s">
        <v>3</v>
      </c>
      <c r="AA41" t="s">
        <v>8</v>
      </c>
      <c r="AB41" t="s">
        <v>3</v>
      </c>
      <c r="AC41" t="s">
        <v>3</v>
      </c>
      <c r="AD41" t="s">
        <v>8</v>
      </c>
      <c r="AE41" t="s">
        <v>111</v>
      </c>
      <c r="AF41" t="s">
        <v>1480</v>
      </c>
    </row>
    <row r="42" spans="1:32">
      <c r="A42" t="s">
        <v>218</v>
      </c>
      <c r="B42" t="s">
        <v>1481</v>
      </c>
      <c r="C42" t="s">
        <v>1482</v>
      </c>
      <c r="D42" t="s">
        <v>1483</v>
      </c>
      <c r="E42" t="s">
        <v>1484</v>
      </c>
      <c r="F42" t="s">
        <v>1485</v>
      </c>
      <c r="H42" t="s">
        <v>1486</v>
      </c>
      <c r="J42" t="s">
        <v>8</v>
      </c>
      <c r="K42" t="s">
        <v>3</v>
      </c>
      <c r="L42" t="s">
        <v>3</v>
      </c>
      <c r="M42" t="s">
        <v>122</v>
      </c>
      <c r="N42" t="s">
        <v>3</v>
      </c>
      <c r="O42" t="s">
        <v>3</v>
      </c>
      <c r="P42" t="s">
        <v>3</v>
      </c>
      <c r="Q42" t="s">
        <v>8</v>
      </c>
      <c r="R42" t="s">
        <v>122</v>
      </c>
      <c r="S42" t="s">
        <v>8</v>
      </c>
      <c r="T42" t="s">
        <v>218</v>
      </c>
      <c r="U42" t="s">
        <v>3</v>
      </c>
      <c r="V42" t="s">
        <v>3</v>
      </c>
      <c r="W42" t="s">
        <v>3</v>
      </c>
      <c r="AA42" t="s">
        <v>8</v>
      </c>
      <c r="AB42" t="s">
        <v>3</v>
      </c>
      <c r="AC42" t="s">
        <v>3</v>
      </c>
      <c r="AD42" t="s">
        <v>8</v>
      </c>
      <c r="AE42" t="s">
        <v>111</v>
      </c>
      <c r="AF42" t="s">
        <v>1487</v>
      </c>
    </row>
    <row r="43" spans="1:32">
      <c r="A43" t="s">
        <v>1488</v>
      </c>
      <c r="B43" t="s">
        <v>1489</v>
      </c>
      <c r="C43" t="s">
        <v>1490</v>
      </c>
      <c r="D43" t="s">
        <v>1491</v>
      </c>
      <c r="E43" t="s">
        <v>1492</v>
      </c>
      <c r="F43" t="s">
        <v>1493</v>
      </c>
      <c r="H43" t="s">
        <v>1494</v>
      </c>
      <c r="J43" t="s">
        <v>8</v>
      </c>
      <c r="K43" t="s">
        <v>3</v>
      </c>
      <c r="L43" t="s">
        <v>3</v>
      </c>
      <c r="M43" t="s">
        <v>122</v>
      </c>
      <c r="N43" t="s">
        <v>3</v>
      </c>
      <c r="O43" t="s">
        <v>3</v>
      </c>
      <c r="P43" t="s">
        <v>3</v>
      </c>
      <c r="Q43" t="s">
        <v>8</v>
      </c>
      <c r="R43" t="s">
        <v>122</v>
      </c>
      <c r="S43" t="s">
        <v>8</v>
      </c>
      <c r="T43" t="s">
        <v>1488</v>
      </c>
      <c r="U43" t="s">
        <v>3</v>
      </c>
      <c r="V43" t="s">
        <v>3</v>
      </c>
      <c r="W43" t="s">
        <v>3</v>
      </c>
      <c r="AA43" t="s">
        <v>8</v>
      </c>
      <c r="AB43" t="s">
        <v>3</v>
      </c>
      <c r="AC43" t="s">
        <v>3</v>
      </c>
      <c r="AD43" t="s">
        <v>8</v>
      </c>
      <c r="AE43" t="s">
        <v>111</v>
      </c>
      <c r="AF43" t="s">
        <v>1495</v>
      </c>
    </row>
    <row r="44" spans="1:32">
      <c r="A44" t="s">
        <v>58</v>
      </c>
      <c r="B44" t="s">
        <v>1496</v>
      </c>
      <c r="C44" t="s">
        <v>1497</v>
      </c>
      <c r="D44" t="s">
        <v>1498</v>
      </c>
      <c r="E44" t="s">
        <v>1499</v>
      </c>
      <c r="F44" t="s">
        <v>1500</v>
      </c>
      <c r="H44" t="s">
        <v>1501</v>
      </c>
      <c r="J44" t="s">
        <v>8</v>
      </c>
      <c r="K44" t="s">
        <v>3</v>
      </c>
      <c r="L44" t="s">
        <v>3</v>
      </c>
      <c r="M44" t="s">
        <v>122</v>
      </c>
      <c r="N44" t="s">
        <v>3</v>
      </c>
      <c r="O44" t="s">
        <v>3</v>
      </c>
      <c r="P44" t="s">
        <v>3</v>
      </c>
      <c r="Q44" t="s">
        <v>8</v>
      </c>
      <c r="R44" t="s">
        <v>122</v>
      </c>
      <c r="S44" t="s">
        <v>8</v>
      </c>
      <c r="T44" t="s">
        <v>58</v>
      </c>
      <c r="U44" t="s">
        <v>3</v>
      </c>
      <c r="V44" t="s">
        <v>3</v>
      </c>
      <c r="W44" t="s">
        <v>3</v>
      </c>
      <c r="AA44" t="s">
        <v>8</v>
      </c>
      <c r="AB44" t="s">
        <v>3</v>
      </c>
      <c r="AC44" t="s">
        <v>3</v>
      </c>
      <c r="AD44" t="s">
        <v>8</v>
      </c>
      <c r="AE44" t="s">
        <v>111</v>
      </c>
      <c r="AF44" t="s">
        <v>1502</v>
      </c>
    </row>
    <row r="45" spans="1:32">
      <c r="A45" t="s">
        <v>1503</v>
      </c>
      <c r="B45" t="s">
        <v>1504</v>
      </c>
      <c r="C45" t="s">
        <v>1505</v>
      </c>
      <c r="D45" t="s">
        <v>1506</v>
      </c>
      <c r="E45" t="s">
        <v>1507</v>
      </c>
      <c r="F45" t="s">
        <v>1508</v>
      </c>
      <c r="H45" t="s">
        <v>1509</v>
      </c>
      <c r="J45" t="s">
        <v>8</v>
      </c>
      <c r="K45" t="s">
        <v>3</v>
      </c>
      <c r="L45" t="s">
        <v>3</v>
      </c>
      <c r="M45" t="s">
        <v>122</v>
      </c>
      <c r="N45" t="s">
        <v>3</v>
      </c>
      <c r="O45" t="s">
        <v>3</v>
      </c>
      <c r="P45" t="s">
        <v>3</v>
      </c>
      <c r="Q45" t="s">
        <v>8</v>
      </c>
      <c r="R45" t="s">
        <v>122</v>
      </c>
      <c r="S45" t="s">
        <v>8</v>
      </c>
      <c r="T45" t="s">
        <v>1503</v>
      </c>
      <c r="U45" t="s">
        <v>3</v>
      </c>
      <c r="V45" t="s">
        <v>3</v>
      </c>
      <c r="W45" t="s">
        <v>3</v>
      </c>
      <c r="AA45" t="s">
        <v>8</v>
      </c>
      <c r="AB45" t="s">
        <v>3</v>
      </c>
      <c r="AC45" t="s">
        <v>3</v>
      </c>
      <c r="AD45" t="s">
        <v>8</v>
      </c>
      <c r="AE45" t="s">
        <v>111</v>
      </c>
      <c r="AF45" t="s">
        <v>1510</v>
      </c>
    </row>
    <row r="46" spans="1:32">
      <c r="A46" t="s">
        <v>1511</v>
      </c>
      <c r="B46" t="s">
        <v>1512</v>
      </c>
      <c r="C46" t="s">
        <v>1513</v>
      </c>
      <c r="D46" t="s">
        <v>1514</v>
      </c>
      <c r="E46" t="s">
        <v>1515</v>
      </c>
      <c r="F46" t="s">
        <v>1516</v>
      </c>
      <c r="H46" t="s">
        <v>1517</v>
      </c>
      <c r="J46" t="s">
        <v>8</v>
      </c>
      <c r="K46" t="s">
        <v>3</v>
      </c>
      <c r="L46" t="s">
        <v>3</v>
      </c>
      <c r="M46" t="s">
        <v>122</v>
      </c>
      <c r="N46" t="s">
        <v>3</v>
      </c>
      <c r="O46" t="s">
        <v>3</v>
      </c>
      <c r="P46" t="s">
        <v>3</v>
      </c>
      <c r="Q46" t="s">
        <v>8</v>
      </c>
      <c r="R46" t="s">
        <v>122</v>
      </c>
      <c r="S46" t="s">
        <v>8</v>
      </c>
      <c r="T46" t="s">
        <v>1511</v>
      </c>
      <c r="U46" t="s">
        <v>3</v>
      </c>
      <c r="V46" t="s">
        <v>3</v>
      </c>
      <c r="W46" t="s">
        <v>3</v>
      </c>
      <c r="AA46" t="s">
        <v>8</v>
      </c>
      <c r="AB46" t="s">
        <v>3</v>
      </c>
      <c r="AC46" t="s">
        <v>3</v>
      </c>
      <c r="AD46" t="s">
        <v>8</v>
      </c>
      <c r="AE46" t="s">
        <v>111</v>
      </c>
      <c r="AF46" t="s">
        <v>1518</v>
      </c>
    </row>
    <row r="47" spans="1:32">
      <c r="A47" t="s">
        <v>7</v>
      </c>
      <c r="B47" t="s">
        <v>1519</v>
      </c>
      <c r="C47" t="s">
        <v>1520</v>
      </c>
      <c r="D47" t="s">
        <v>1521</v>
      </c>
      <c r="E47" t="s">
        <v>1522</v>
      </c>
      <c r="F47" t="s">
        <v>1523</v>
      </c>
      <c r="H47" t="s">
        <v>1524</v>
      </c>
      <c r="J47" t="s">
        <v>8</v>
      </c>
      <c r="K47" t="s">
        <v>3</v>
      </c>
      <c r="L47" t="s">
        <v>3</v>
      </c>
      <c r="M47" t="s">
        <v>122</v>
      </c>
      <c r="N47" t="s">
        <v>3</v>
      </c>
      <c r="O47" t="s">
        <v>3</v>
      </c>
      <c r="P47" t="s">
        <v>3</v>
      </c>
      <c r="Q47" t="s">
        <v>8</v>
      </c>
      <c r="R47" t="s">
        <v>122</v>
      </c>
      <c r="S47" t="s">
        <v>8</v>
      </c>
      <c r="T47" t="s">
        <v>7</v>
      </c>
      <c r="U47" t="s">
        <v>3</v>
      </c>
      <c r="V47" t="s">
        <v>3</v>
      </c>
      <c r="W47" t="s">
        <v>3</v>
      </c>
      <c r="AA47" t="s">
        <v>8</v>
      </c>
      <c r="AB47" t="s">
        <v>3</v>
      </c>
      <c r="AC47" t="s">
        <v>3</v>
      </c>
      <c r="AD47" t="s">
        <v>8</v>
      </c>
      <c r="AE47" t="s">
        <v>111</v>
      </c>
      <c r="AF47" t="s">
        <v>1525</v>
      </c>
    </row>
    <row r="48" spans="1:32">
      <c r="A48" t="s">
        <v>162</v>
      </c>
      <c r="B48" t="s">
        <v>1526</v>
      </c>
      <c r="C48" t="s">
        <v>1527</v>
      </c>
      <c r="D48" t="s">
        <v>1528</v>
      </c>
      <c r="E48" t="s">
        <v>1529</v>
      </c>
      <c r="F48" t="s">
        <v>1530</v>
      </c>
      <c r="H48" t="s">
        <v>1531</v>
      </c>
      <c r="J48" t="s">
        <v>8</v>
      </c>
      <c r="K48" t="s">
        <v>3</v>
      </c>
      <c r="L48" t="s">
        <v>3</v>
      </c>
      <c r="M48" t="s">
        <v>122</v>
      </c>
      <c r="N48" t="s">
        <v>3</v>
      </c>
      <c r="O48" t="s">
        <v>3</v>
      </c>
      <c r="P48" t="s">
        <v>3</v>
      </c>
      <c r="Q48" t="s">
        <v>8</v>
      </c>
      <c r="R48" t="s">
        <v>122</v>
      </c>
      <c r="S48" t="s">
        <v>8</v>
      </c>
      <c r="T48" t="s">
        <v>162</v>
      </c>
      <c r="U48" t="s">
        <v>3</v>
      </c>
      <c r="V48" t="s">
        <v>3</v>
      </c>
      <c r="W48" t="s">
        <v>3</v>
      </c>
      <c r="AA48" t="s">
        <v>8</v>
      </c>
      <c r="AB48" t="s">
        <v>3</v>
      </c>
      <c r="AC48" t="s">
        <v>3</v>
      </c>
      <c r="AD48" t="s">
        <v>8</v>
      </c>
      <c r="AE48" t="s">
        <v>111</v>
      </c>
      <c r="AF48" t="s">
        <v>1532</v>
      </c>
    </row>
    <row r="49" spans="1:32">
      <c r="A49" t="s">
        <v>94</v>
      </c>
      <c r="B49" t="s">
        <v>1533</v>
      </c>
      <c r="C49" t="s">
        <v>1534</v>
      </c>
      <c r="D49" t="s">
        <v>1533</v>
      </c>
      <c r="E49" t="s">
        <v>1535</v>
      </c>
      <c r="F49" t="s">
        <v>1536</v>
      </c>
      <c r="G49" t="s">
        <v>1537</v>
      </c>
      <c r="H49" t="s">
        <v>1538</v>
      </c>
      <c r="J49" t="s">
        <v>8</v>
      </c>
      <c r="K49" t="s">
        <v>3</v>
      </c>
      <c r="L49" t="s">
        <v>3</v>
      </c>
      <c r="M49" t="s">
        <v>122</v>
      </c>
      <c r="N49" t="s">
        <v>3</v>
      </c>
      <c r="O49" t="s">
        <v>3</v>
      </c>
      <c r="P49" t="s">
        <v>3</v>
      </c>
      <c r="Q49" t="s">
        <v>8</v>
      </c>
      <c r="R49" t="s">
        <v>122</v>
      </c>
      <c r="S49" t="s">
        <v>8</v>
      </c>
      <c r="T49" t="s">
        <v>94</v>
      </c>
      <c r="U49" t="s">
        <v>3</v>
      </c>
      <c r="V49" t="s">
        <v>3</v>
      </c>
      <c r="W49" t="s">
        <v>3</v>
      </c>
      <c r="AA49" t="s">
        <v>8</v>
      </c>
      <c r="AB49" t="s">
        <v>3</v>
      </c>
      <c r="AC49" t="s">
        <v>3</v>
      </c>
      <c r="AD49" t="s">
        <v>8</v>
      </c>
      <c r="AE49" t="s">
        <v>111</v>
      </c>
      <c r="AF49" t="s">
        <v>1539</v>
      </c>
    </row>
    <row r="50" spans="1:32">
      <c r="A50" t="s">
        <v>366</v>
      </c>
      <c r="B50" t="s">
        <v>1540</v>
      </c>
      <c r="C50" t="s">
        <v>1541</v>
      </c>
      <c r="D50" t="s">
        <v>1540</v>
      </c>
      <c r="E50" t="s">
        <v>1542</v>
      </c>
      <c r="F50" t="s">
        <v>1543</v>
      </c>
      <c r="G50" t="s">
        <v>1544</v>
      </c>
      <c r="J50" t="s">
        <v>8</v>
      </c>
      <c r="K50" t="s">
        <v>3</v>
      </c>
      <c r="L50" t="s">
        <v>3</v>
      </c>
      <c r="M50" t="s">
        <v>122</v>
      </c>
      <c r="N50" t="s">
        <v>3</v>
      </c>
      <c r="O50" t="s">
        <v>3</v>
      </c>
      <c r="P50" t="s">
        <v>3</v>
      </c>
      <c r="Q50" t="s">
        <v>8</v>
      </c>
      <c r="R50" t="s">
        <v>122</v>
      </c>
      <c r="S50" t="s">
        <v>8</v>
      </c>
      <c r="T50" t="s">
        <v>366</v>
      </c>
      <c r="U50" t="s">
        <v>3</v>
      </c>
      <c r="V50" t="s">
        <v>3</v>
      </c>
      <c r="W50" t="s">
        <v>3</v>
      </c>
      <c r="AA50" t="s">
        <v>8</v>
      </c>
      <c r="AB50" t="s">
        <v>3</v>
      </c>
      <c r="AC50" t="s">
        <v>3</v>
      </c>
      <c r="AD50" t="s">
        <v>8</v>
      </c>
      <c r="AE50" t="s">
        <v>72</v>
      </c>
      <c r="AF50" t="s">
        <v>1545</v>
      </c>
    </row>
    <row r="51" spans="1:32">
      <c r="A51" t="s">
        <v>107</v>
      </c>
      <c r="B51" t="s">
        <v>1533</v>
      </c>
      <c r="C51" t="s">
        <v>1534</v>
      </c>
      <c r="D51" t="s">
        <v>1533</v>
      </c>
      <c r="E51" t="s">
        <v>1535</v>
      </c>
      <c r="F51" t="s">
        <v>1536</v>
      </c>
      <c r="G51" t="s">
        <v>1546</v>
      </c>
      <c r="H51" t="s">
        <v>1538</v>
      </c>
      <c r="J51" t="s">
        <v>8</v>
      </c>
      <c r="K51" t="s">
        <v>3</v>
      </c>
      <c r="L51" t="s">
        <v>3</v>
      </c>
      <c r="M51" t="s">
        <v>122</v>
      </c>
      <c r="N51" t="s">
        <v>3</v>
      </c>
      <c r="O51" t="s">
        <v>3</v>
      </c>
      <c r="P51" t="s">
        <v>3</v>
      </c>
      <c r="Q51" t="s">
        <v>8</v>
      </c>
      <c r="R51" t="s">
        <v>122</v>
      </c>
      <c r="S51" t="s">
        <v>8</v>
      </c>
      <c r="T51" t="s">
        <v>107</v>
      </c>
      <c r="U51" t="s">
        <v>3</v>
      </c>
      <c r="V51" t="s">
        <v>3</v>
      </c>
      <c r="W51" t="s">
        <v>3</v>
      </c>
      <c r="AA51" t="s">
        <v>8</v>
      </c>
      <c r="AB51" t="s">
        <v>3</v>
      </c>
      <c r="AC51" t="s">
        <v>3</v>
      </c>
      <c r="AD51" t="s">
        <v>8</v>
      </c>
      <c r="AE51" t="s">
        <v>111</v>
      </c>
      <c r="AF51" t="s">
        <v>1547</v>
      </c>
    </row>
    <row r="52" spans="1:32">
      <c r="A52" t="s">
        <v>1548</v>
      </c>
      <c r="B52" t="s">
        <v>1549</v>
      </c>
      <c r="C52" t="s">
        <v>1550</v>
      </c>
      <c r="D52" t="s">
        <v>1551</v>
      </c>
      <c r="E52" t="s">
        <v>1552</v>
      </c>
      <c r="F52" t="s">
        <v>1553</v>
      </c>
      <c r="G52" t="s">
        <v>1554</v>
      </c>
      <c r="H52" t="s">
        <v>1555</v>
      </c>
      <c r="I52" t="s">
        <v>1554</v>
      </c>
      <c r="J52" t="s">
        <v>8</v>
      </c>
      <c r="K52" t="s">
        <v>3</v>
      </c>
      <c r="L52" t="s">
        <v>3</v>
      </c>
      <c r="M52" t="s">
        <v>122</v>
      </c>
      <c r="N52" t="s">
        <v>3</v>
      </c>
      <c r="O52" t="s">
        <v>3</v>
      </c>
      <c r="P52" t="s">
        <v>3</v>
      </c>
      <c r="Q52" t="s">
        <v>111</v>
      </c>
      <c r="R52" t="s">
        <v>122</v>
      </c>
      <c r="S52" t="s">
        <v>8</v>
      </c>
      <c r="T52" t="s">
        <v>1548</v>
      </c>
      <c r="U52" t="s">
        <v>3</v>
      </c>
      <c r="V52" t="s">
        <v>3</v>
      </c>
      <c r="W52" t="s">
        <v>3</v>
      </c>
      <c r="AA52" t="s">
        <v>3</v>
      </c>
      <c r="AB52" t="s">
        <v>3</v>
      </c>
      <c r="AC52" t="s">
        <v>3</v>
      </c>
      <c r="AD52" t="s">
        <v>8</v>
      </c>
      <c r="AE52" t="s">
        <v>72</v>
      </c>
      <c r="AF52" t="s">
        <v>1556</v>
      </c>
    </row>
    <row r="53" spans="1:32">
      <c r="A53" t="s">
        <v>376</v>
      </c>
      <c r="B53" t="s">
        <v>1557</v>
      </c>
      <c r="C53" t="s">
        <v>1558</v>
      </c>
      <c r="D53" t="s">
        <v>1557</v>
      </c>
      <c r="E53" t="s">
        <v>1552</v>
      </c>
      <c r="F53" t="s">
        <v>1553</v>
      </c>
      <c r="G53" t="s">
        <v>1554</v>
      </c>
      <c r="H53" t="s">
        <v>1559</v>
      </c>
      <c r="I53" t="s">
        <v>1554</v>
      </c>
      <c r="J53" t="s">
        <v>8</v>
      </c>
      <c r="K53" t="s">
        <v>3</v>
      </c>
      <c r="L53" t="s">
        <v>3</v>
      </c>
      <c r="M53" t="s">
        <v>122</v>
      </c>
      <c r="N53" t="s">
        <v>3</v>
      </c>
      <c r="O53" t="s">
        <v>3</v>
      </c>
      <c r="P53" t="s">
        <v>3</v>
      </c>
      <c r="Q53" t="s">
        <v>111</v>
      </c>
      <c r="R53" t="s">
        <v>122</v>
      </c>
      <c r="S53" t="s">
        <v>8</v>
      </c>
      <c r="T53" t="s">
        <v>376</v>
      </c>
      <c r="U53" t="s">
        <v>3</v>
      </c>
      <c r="V53" t="s">
        <v>3</v>
      </c>
      <c r="W53" t="s">
        <v>3</v>
      </c>
      <c r="AA53" t="s">
        <v>3</v>
      </c>
      <c r="AB53" t="s">
        <v>3</v>
      </c>
      <c r="AC53" t="s">
        <v>3</v>
      </c>
      <c r="AD53" t="s">
        <v>8</v>
      </c>
      <c r="AE53" t="s">
        <v>72</v>
      </c>
      <c r="AF53" t="s">
        <v>1560</v>
      </c>
    </row>
    <row r="54" spans="1:32">
      <c r="A54" t="s">
        <v>378</v>
      </c>
      <c r="B54" t="s">
        <v>1561</v>
      </c>
      <c r="C54" t="s">
        <v>1562</v>
      </c>
      <c r="D54" t="s">
        <v>1563</v>
      </c>
      <c r="E54" t="s">
        <v>1564</v>
      </c>
      <c r="F54" t="s">
        <v>1565</v>
      </c>
      <c r="H54" t="s">
        <v>1566</v>
      </c>
      <c r="J54" t="s">
        <v>8</v>
      </c>
      <c r="K54" t="s">
        <v>3</v>
      </c>
      <c r="L54" t="s">
        <v>3</v>
      </c>
      <c r="M54" t="s">
        <v>122</v>
      </c>
      <c r="N54" t="s">
        <v>3</v>
      </c>
      <c r="O54" t="s">
        <v>3</v>
      </c>
      <c r="P54" t="s">
        <v>3</v>
      </c>
      <c r="Q54" t="s">
        <v>3</v>
      </c>
      <c r="R54" t="s">
        <v>122</v>
      </c>
      <c r="S54" t="s">
        <v>8</v>
      </c>
      <c r="T54" t="s">
        <v>378</v>
      </c>
      <c r="U54" t="s">
        <v>3</v>
      </c>
      <c r="V54" t="s">
        <v>3</v>
      </c>
      <c r="W54" t="s">
        <v>73</v>
      </c>
      <c r="AA54" t="s">
        <v>8</v>
      </c>
      <c r="AB54" t="s">
        <v>3</v>
      </c>
      <c r="AC54" t="s">
        <v>3</v>
      </c>
      <c r="AD54" t="s">
        <v>8</v>
      </c>
      <c r="AE54" t="s">
        <v>72</v>
      </c>
      <c r="AF54" t="s">
        <v>1567</v>
      </c>
    </row>
    <row r="55" spans="1:32">
      <c r="A55" t="s">
        <v>382</v>
      </c>
      <c r="B55" t="s">
        <v>1568</v>
      </c>
      <c r="C55" t="s">
        <v>1562</v>
      </c>
      <c r="D55" t="s">
        <v>1568</v>
      </c>
      <c r="E55" t="s">
        <v>1564</v>
      </c>
      <c r="F55" t="s">
        <v>1565</v>
      </c>
      <c r="H55" t="s">
        <v>1566</v>
      </c>
      <c r="J55" t="s">
        <v>8</v>
      </c>
      <c r="K55" t="s">
        <v>3</v>
      </c>
      <c r="L55" t="s">
        <v>3</v>
      </c>
      <c r="M55" t="s">
        <v>122</v>
      </c>
      <c r="N55" t="s">
        <v>3</v>
      </c>
      <c r="O55" t="s">
        <v>3</v>
      </c>
      <c r="P55" t="s">
        <v>3</v>
      </c>
      <c r="Q55" t="s">
        <v>8</v>
      </c>
      <c r="R55" t="s">
        <v>122</v>
      </c>
      <c r="S55" t="s">
        <v>8</v>
      </c>
      <c r="T55" t="s">
        <v>382</v>
      </c>
      <c r="U55" t="s">
        <v>3</v>
      </c>
      <c r="V55" t="s">
        <v>3</v>
      </c>
      <c r="W55" t="s">
        <v>73</v>
      </c>
      <c r="AA55" t="s">
        <v>8</v>
      </c>
      <c r="AB55" t="s">
        <v>3</v>
      </c>
      <c r="AC55" t="s">
        <v>3</v>
      </c>
      <c r="AD55" t="s">
        <v>8</v>
      </c>
      <c r="AE55" t="s">
        <v>72</v>
      </c>
      <c r="AF55" t="s">
        <v>1569</v>
      </c>
    </row>
    <row r="56" spans="1:32">
      <c r="A56" t="s">
        <v>122</v>
      </c>
      <c r="B56" t="s">
        <v>1570</v>
      </c>
      <c r="C56" t="s">
        <v>1571</v>
      </c>
      <c r="D56" t="s">
        <v>1570</v>
      </c>
      <c r="E56" t="s">
        <v>1552</v>
      </c>
      <c r="F56" t="s">
        <v>1553</v>
      </c>
      <c r="H56" t="s">
        <v>1572</v>
      </c>
      <c r="J56" t="s">
        <v>8</v>
      </c>
      <c r="K56" t="s">
        <v>3</v>
      </c>
      <c r="L56" t="s">
        <v>3</v>
      </c>
      <c r="M56" t="s">
        <v>122</v>
      </c>
      <c r="N56" t="s">
        <v>3</v>
      </c>
      <c r="O56" t="s">
        <v>3</v>
      </c>
      <c r="P56" t="s">
        <v>3</v>
      </c>
      <c r="Q56" t="s">
        <v>111</v>
      </c>
      <c r="R56" t="s">
        <v>122</v>
      </c>
      <c r="S56" t="s">
        <v>8</v>
      </c>
      <c r="T56" t="s">
        <v>122</v>
      </c>
      <c r="U56" t="s">
        <v>3</v>
      </c>
      <c r="V56" t="s">
        <v>3</v>
      </c>
      <c r="W56" t="s">
        <v>3</v>
      </c>
      <c r="AA56" t="s">
        <v>8</v>
      </c>
      <c r="AB56" t="s">
        <v>3</v>
      </c>
      <c r="AC56" t="s">
        <v>3</v>
      </c>
      <c r="AD56" t="s">
        <v>8</v>
      </c>
      <c r="AE56" t="s">
        <v>72</v>
      </c>
      <c r="AF56" t="s">
        <v>1573</v>
      </c>
    </row>
    <row r="57" spans="1:32">
      <c r="A57" t="s">
        <v>52</v>
      </c>
      <c r="B57" t="s">
        <v>1574</v>
      </c>
      <c r="C57" t="s">
        <v>1575</v>
      </c>
      <c r="D57" t="s">
        <v>1574</v>
      </c>
      <c r="E57" t="s">
        <v>1576</v>
      </c>
      <c r="F57" t="s">
        <v>1577</v>
      </c>
      <c r="H57" t="s">
        <v>1578</v>
      </c>
      <c r="I57" t="s">
        <v>1579</v>
      </c>
      <c r="J57" t="s">
        <v>8</v>
      </c>
      <c r="K57" t="s">
        <v>3</v>
      </c>
      <c r="L57" t="s">
        <v>3</v>
      </c>
      <c r="M57" t="s">
        <v>122</v>
      </c>
      <c r="N57" t="s">
        <v>3</v>
      </c>
      <c r="O57" t="s">
        <v>3</v>
      </c>
      <c r="P57" t="s">
        <v>3</v>
      </c>
      <c r="Q57" t="s">
        <v>111</v>
      </c>
      <c r="R57" t="s">
        <v>122</v>
      </c>
      <c r="S57" t="s">
        <v>8</v>
      </c>
      <c r="T57" t="s">
        <v>52</v>
      </c>
      <c r="U57" t="s">
        <v>3</v>
      </c>
      <c r="V57" t="s">
        <v>3</v>
      </c>
      <c r="W57" t="s">
        <v>69</v>
      </c>
      <c r="AA57" t="s">
        <v>8</v>
      </c>
      <c r="AB57" t="s">
        <v>3</v>
      </c>
      <c r="AC57" t="s">
        <v>3</v>
      </c>
      <c r="AD57" t="s">
        <v>8</v>
      </c>
      <c r="AE57" t="s">
        <v>111</v>
      </c>
      <c r="AF57" t="s">
        <v>1580</v>
      </c>
    </row>
    <row r="58" spans="1:32">
      <c r="A58" t="s">
        <v>388</v>
      </c>
      <c r="B58" t="s">
        <v>1581</v>
      </c>
      <c r="C58" t="s">
        <v>1582</v>
      </c>
      <c r="D58" t="s">
        <v>1581</v>
      </c>
      <c r="H58" t="s">
        <v>1578</v>
      </c>
      <c r="I58" t="s">
        <v>1579</v>
      </c>
      <c r="J58" t="s">
        <v>8</v>
      </c>
      <c r="K58" t="s">
        <v>3</v>
      </c>
      <c r="L58" t="s">
        <v>3</v>
      </c>
      <c r="M58" t="s">
        <v>122</v>
      </c>
      <c r="N58" t="s">
        <v>3</v>
      </c>
      <c r="O58" t="s">
        <v>3</v>
      </c>
      <c r="P58" t="s">
        <v>3</v>
      </c>
      <c r="Q58" t="s">
        <v>111</v>
      </c>
      <c r="R58" t="s">
        <v>122</v>
      </c>
      <c r="S58" t="s">
        <v>8</v>
      </c>
      <c r="T58" t="s">
        <v>388</v>
      </c>
      <c r="U58" t="s">
        <v>3</v>
      </c>
      <c r="V58" t="s">
        <v>3</v>
      </c>
      <c r="W58" t="s">
        <v>103</v>
      </c>
      <c r="AA58" t="s">
        <v>8</v>
      </c>
      <c r="AB58" t="s">
        <v>3</v>
      </c>
      <c r="AC58" t="s">
        <v>3</v>
      </c>
      <c r="AD58" t="s">
        <v>8</v>
      </c>
      <c r="AE58" t="s">
        <v>72</v>
      </c>
      <c r="AF58" t="s">
        <v>1583</v>
      </c>
    </row>
    <row r="59" spans="1:32">
      <c r="A59" t="s">
        <v>392</v>
      </c>
      <c r="B59" t="s">
        <v>1584</v>
      </c>
      <c r="C59" t="s">
        <v>1585</v>
      </c>
      <c r="D59" t="s">
        <v>1584</v>
      </c>
      <c r="H59" t="s">
        <v>1578</v>
      </c>
      <c r="I59" t="s">
        <v>1579</v>
      </c>
      <c r="J59" t="s">
        <v>8</v>
      </c>
      <c r="K59" t="s">
        <v>3</v>
      </c>
      <c r="L59" t="s">
        <v>3</v>
      </c>
      <c r="M59" t="s">
        <v>122</v>
      </c>
      <c r="N59" t="s">
        <v>3</v>
      </c>
      <c r="O59" t="s">
        <v>3</v>
      </c>
      <c r="P59" t="s">
        <v>3</v>
      </c>
      <c r="Q59" t="s">
        <v>111</v>
      </c>
      <c r="R59" t="s">
        <v>122</v>
      </c>
      <c r="S59" t="s">
        <v>8</v>
      </c>
      <c r="T59" t="s">
        <v>392</v>
      </c>
      <c r="U59" t="s">
        <v>3</v>
      </c>
      <c r="V59" t="s">
        <v>3</v>
      </c>
      <c r="W59" t="s">
        <v>75</v>
      </c>
      <c r="AA59" t="s">
        <v>8</v>
      </c>
      <c r="AB59" t="s">
        <v>3</v>
      </c>
      <c r="AC59" t="s">
        <v>3</v>
      </c>
      <c r="AD59" t="s">
        <v>8</v>
      </c>
      <c r="AE59" t="s">
        <v>72</v>
      </c>
      <c r="AF59" t="s">
        <v>1586</v>
      </c>
    </row>
    <row r="60" spans="1:32">
      <c r="A60" t="s">
        <v>127</v>
      </c>
      <c r="B60" t="s">
        <v>1587</v>
      </c>
      <c r="C60" t="s">
        <v>1588</v>
      </c>
      <c r="D60" t="s">
        <v>1587</v>
      </c>
      <c r="H60" t="s">
        <v>1578</v>
      </c>
      <c r="I60" t="s">
        <v>1579</v>
      </c>
      <c r="J60" t="s">
        <v>8</v>
      </c>
      <c r="K60" t="s">
        <v>3</v>
      </c>
      <c r="L60" t="s">
        <v>3</v>
      </c>
      <c r="M60" t="s">
        <v>122</v>
      </c>
      <c r="N60" t="s">
        <v>3</v>
      </c>
      <c r="O60" t="s">
        <v>3</v>
      </c>
      <c r="P60" t="s">
        <v>3</v>
      </c>
      <c r="Q60" t="s">
        <v>111</v>
      </c>
      <c r="R60" t="s">
        <v>122</v>
      </c>
      <c r="S60" t="s">
        <v>8</v>
      </c>
      <c r="T60" t="s">
        <v>127</v>
      </c>
      <c r="U60" t="s">
        <v>3</v>
      </c>
      <c r="V60" t="s">
        <v>3</v>
      </c>
      <c r="W60" t="s">
        <v>231</v>
      </c>
      <c r="AA60" t="s">
        <v>8</v>
      </c>
      <c r="AB60" t="s">
        <v>3</v>
      </c>
      <c r="AC60" t="s">
        <v>3</v>
      </c>
      <c r="AD60" t="s">
        <v>8</v>
      </c>
      <c r="AE60" t="s">
        <v>72</v>
      </c>
      <c r="AF60" t="s">
        <v>1589</v>
      </c>
    </row>
    <row r="61" spans="1:32">
      <c r="A61" t="s">
        <v>398</v>
      </c>
      <c r="B61" t="s">
        <v>1590</v>
      </c>
      <c r="C61" t="s">
        <v>1591</v>
      </c>
      <c r="D61" t="s">
        <v>1592</v>
      </c>
      <c r="H61" t="s">
        <v>1578</v>
      </c>
      <c r="I61" t="s">
        <v>1579</v>
      </c>
      <c r="J61" t="s">
        <v>8</v>
      </c>
      <c r="K61" t="s">
        <v>3</v>
      </c>
      <c r="L61" t="s">
        <v>3</v>
      </c>
      <c r="M61" t="s">
        <v>122</v>
      </c>
      <c r="N61" t="s">
        <v>3</v>
      </c>
      <c r="O61" t="s">
        <v>3</v>
      </c>
      <c r="P61" t="s">
        <v>3</v>
      </c>
      <c r="Q61" t="s">
        <v>111</v>
      </c>
      <c r="R61" t="s">
        <v>122</v>
      </c>
      <c r="S61" t="s">
        <v>8</v>
      </c>
      <c r="T61" t="s">
        <v>398</v>
      </c>
      <c r="U61" t="s">
        <v>3</v>
      </c>
      <c r="V61" t="s">
        <v>3</v>
      </c>
      <c r="W61" t="s">
        <v>1</v>
      </c>
      <c r="AA61" t="s">
        <v>8</v>
      </c>
      <c r="AB61" t="s">
        <v>3</v>
      </c>
      <c r="AC61" t="s">
        <v>3</v>
      </c>
      <c r="AD61" t="s">
        <v>8</v>
      </c>
      <c r="AE61" t="s">
        <v>72</v>
      </c>
      <c r="AF61" t="s">
        <v>1593</v>
      </c>
    </row>
    <row r="62" spans="1:32">
      <c r="A62" t="s">
        <v>401</v>
      </c>
      <c r="B62" t="s">
        <v>1594</v>
      </c>
      <c r="C62" t="s">
        <v>1595</v>
      </c>
      <c r="D62" t="s">
        <v>1596</v>
      </c>
      <c r="E62" t="s">
        <v>1576</v>
      </c>
      <c r="F62" t="s">
        <v>1597</v>
      </c>
      <c r="H62" t="s">
        <v>1578</v>
      </c>
      <c r="I62" t="s">
        <v>1579</v>
      </c>
      <c r="J62" t="s">
        <v>8</v>
      </c>
      <c r="K62" t="s">
        <v>3</v>
      </c>
      <c r="L62" t="s">
        <v>3</v>
      </c>
      <c r="M62" t="s">
        <v>122</v>
      </c>
      <c r="N62" t="s">
        <v>3</v>
      </c>
      <c r="O62" t="s">
        <v>3</v>
      </c>
      <c r="P62" t="s">
        <v>3</v>
      </c>
      <c r="Q62" t="s">
        <v>111</v>
      </c>
      <c r="R62" t="s">
        <v>122</v>
      </c>
      <c r="S62" t="s">
        <v>8</v>
      </c>
      <c r="T62" t="s">
        <v>401</v>
      </c>
      <c r="U62" t="s">
        <v>3</v>
      </c>
      <c r="V62" t="s">
        <v>3</v>
      </c>
      <c r="W62" t="s">
        <v>120</v>
      </c>
      <c r="AA62" t="s">
        <v>8</v>
      </c>
      <c r="AB62" t="s">
        <v>3</v>
      </c>
      <c r="AC62" t="s">
        <v>3</v>
      </c>
      <c r="AD62" t="s">
        <v>8</v>
      </c>
      <c r="AE62" t="s">
        <v>72</v>
      </c>
      <c r="AF62" t="s">
        <v>1598</v>
      </c>
    </row>
    <row r="63" spans="1:32">
      <c r="A63" t="s">
        <v>405</v>
      </c>
      <c r="B63" t="s">
        <v>1599</v>
      </c>
      <c r="C63" t="s">
        <v>1600</v>
      </c>
      <c r="D63" t="s">
        <v>1601</v>
      </c>
      <c r="E63" t="s">
        <v>1576</v>
      </c>
      <c r="F63" t="s">
        <v>1597</v>
      </c>
      <c r="H63" t="s">
        <v>1578</v>
      </c>
      <c r="I63" t="s">
        <v>1579</v>
      </c>
      <c r="J63" t="s">
        <v>8</v>
      </c>
      <c r="K63" t="s">
        <v>3</v>
      </c>
      <c r="L63" t="s">
        <v>3</v>
      </c>
      <c r="M63" t="s">
        <v>122</v>
      </c>
      <c r="N63" t="s">
        <v>3</v>
      </c>
      <c r="O63" t="s">
        <v>3</v>
      </c>
      <c r="P63" t="s">
        <v>3</v>
      </c>
      <c r="Q63" t="s">
        <v>111</v>
      </c>
      <c r="R63" t="s">
        <v>122</v>
      </c>
      <c r="S63" t="s">
        <v>8</v>
      </c>
      <c r="T63" t="s">
        <v>405</v>
      </c>
      <c r="U63" t="s">
        <v>3</v>
      </c>
      <c r="V63" t="s">
        <v>3</v>
      </c>
      <c r="W63" t="s">
        <v>69</v>
      </c>
      <c r="Z63" t="s">
        <v>1554</v>
      </c>
      <c r="AA63" t="s">
        <v>8</v>
      </c>
      <c r="AB63" t="s">
        <v>3</v>
      </c>
      <c r="AC63" t="s">
        <v>3</v>
      </c>
      <c r="AD63" t="s">
        <v>8</v>
      </c>
      <c r="AE63" t="s">
        <v>111</v>
      </c>
      <c r="AF63" t="s">
        <v>1602</v>
      </c>
    </row>
    <row r="64" spans="1:32">
      <c r="A64" t="s">
        <v>408</v>
      </c>
      <c r="B64" t="s">
        <v>1603</v>
      </c>
      <c r="C64" t="s">
        <v>1604</v>
      </c>
      <c r="D64" t="s">
        <v>1605</v>
      </c>
      <c r="E64" t="s">
        <v>1576</v>
      </c>
      <c r="F64" t="s">
        <v>1577</v>
      </c>
      <c r="H64" t="s">
        <v>1578</v>
      </c>
      <c r="I64" t="s">
        <v>1579</v>
      </c>
      <c r="J64" t="s">
        <v>8</v>
      </c>
      <c r="K64" t="s">
        <v>3</v>
      </c>
      <c r="L64" t="s">
        <v>3</v>
      </c>
      <c r="M64" t="s">
        <v>122</v>
      </c>
      <c r="N64" t="s">
        <v>3</v>
      </c>
      <c r="O64" t="s">
        <v>3</v>
      </c>
      <c r="P64" t="s">
        <v>3</v>
      </c>
      <c r="Q64" t="s">
        <v>111</v>
      </c>
      <c r="R64" t="s">
        <v>122</v>
      </c>
      <c r="S64" t="s">
        <v>8</v>
      </c>
      <c r="T64" t="s">
        <v>408</v>
      </c>
      <c r="U64" t="s">
        <v>3</v>
      </c>
      <c r="V64" t="s">
        <v>3</v>
      </c>
      <c r="W64" t="s">
        <v>69</v>
      </c>
      <c r="AA64" t="s">
        <v>8</v>
      </c>
      <c r="AB64" t="s">
        <v>3</v>
      </c>
      <c r="AC64" t="s">
        <v>3</v>
      </c>
      <c r="AD64" t="s">
        <v>8</v>
      </c>
      <c r="AE64" t="s">
        <v>72</v>
      </c>
      <c r="AF64" t="s">
        <v>1606</v>
      </c>
    </row>
    <row r="65" spans="1:32">
      <c r="A65" t="s">
        <v>412</v>
      </c>
      <c r="B65" t="s">
        <v>1607</v>
      </c>
      <c r="C65" t="s">
        <v>1608</v>
      </c>
      <c r="D65" t="s">
        <v>1607</v>
      </c>
      <c r="H65" t="s">
        <v>1578</v>
      </c>
      <c r="I65" t="s">
        <v>1579</v>
      </c>
      <c r="J65" t="s">
        <v>8</v>
      </c>
      <c r="K65" t="s">
        <v>3</v>
      </c>
      <c r="L65" t="s">
        <v>3</v>
      </c>
      <c r="M65" t="s">
        <v>122</v>
      </c>
      <c r="N65" t="s">
        <v>3</v>
      </c>
      <c r="O65" t="s">
        <v>3</v>
      </c>
      <c r="P65" t="s">
        <v>3</v>
      </c>
      <c r="Q65" t="s">
        <v>111</v>
      </c>
      <c r="R65" t="s">
        <v>122</v>
      </c>
      <c r="S65" t="s">
        <v>8</v>
      </c>
      <c r="T65" t="s">
        <v>412</v>
      </c>
      <c r="U65" t="s">
        <v>3</v>
      </c>
      <c r="V65" t="s">
        <v>3</v>
      </c>
      <c r="W65" t="s">
        <v>103</v>
      </c>
      <c r="AA65" t="s">
        <v>8</v>
      </c>
      <c r="AB65" t="s">
        <v>3</v>
      </c>
      <c r="AC65" t="s">
        <v>3</v>
      </c>
      <c r="AD65" t="s">
        <v>8</v>
      </c>
      <c r="AE65" t="s">
        <v>72</v>
      </c>
      <c r="AF65" t="s">
        <v>1609</v>
      </c>
    </row>
    <row r="66" spans="1:32">
      <c r="A66" t="s">
        <v>62</v>
      </c>
      <c r="B66" t="s">
        <v>1610</v>
      </c>
      <c r="C66" t="s">
        <v>1611</v>
      </c>
      <c r="D66" t="s">
        <v>1612</v>
      </c>
      <c r="E66" t="s">
        <v>1613</v>
      </c>
      <c r="F66" t="s">
        <v>1614</v>
      </c>
      <c r="H66" t="s">
        <v>1615</v>
      </c>
      <c r="I66" t="s">
        <v>1616</v>
      </c>
      <c r="J66" t="s">
        <v>8</v>
      </c>
      <c r="K66" t="s">
        <v>3</v>
      </c>
      <c r="L66" t="s">
        <v>3</v>
      </c>
      <c r="M66" t="s">
        <v>122</v>
      </c>
      <c r="N66" t="s">
        <v>3</v>
      </c>
      <c r="O66" t="s">
        <v>3</v>
      </c>
      <c r="P66" t="s">
        <v>3</v>
      </c>
      <c r="Q66" t="s">
        <v>111</v>
      </c>
      <c r="R66" t="s">
        <v>122</v>
      </c>
      <c r="S66" t="s">
        <v>8</v>
      </c>
      <c r="T66" t="s">
        <v>62</v>
      </c>
      <c r="U66" t="s">
        <v>3</v>
      </c>
      <c r="V66" t="s">
        <v>3</v>
      </c>
      <c r="W66" t="s">
        <v>306</v>
      </c>
      <c r="AA66" t="s">
        <v>8</v>
      </c>
      <c r="AB66" t="s">
        <v>3</v>
      </c>
      <c r="AC66" t="s">
        <v>3</v>
      </c>
      <c r="AD66" t="s">
        <v>8</v>
      </c>
      <c r="AE66" t="s">
        <v>111</v>
      </c>
      <c r="AF66" t="s">
        <v>1617</v>
      </c>
    </row>
    <row r="67" spans="1:32">
      <c r="A67" t="s">
        <v>592</v>
      </c>
      <c r="B67" t="s">
        <v>1618</v>
      </c>
      <c r="C67" t="s">
        <v>1619</v>
      </c>
      <c r="D67" t="s">
        <v>1618</v>
      </c>
      <c r="H67" t="s">
        <v>1615</v>
      </c>
      <c r="I67" t="s">
        <v>1616</v>
      </c>
      <c r="J67" t="s">
        <v>8</v>
      </c>
      <c r="K67" t="s">
        <v>3</v>
      </c>
      <c r="L67" t="s">
        <v>3</v>
      </c>
      <c r="M67" t="s">
        <v>122</v>
      </c>
      <c r="N67" t="s">
        <v>3</v>
      </c>
      <c r="O67" t="s">
        <v>3</v>
      </c>
      <c r="P67" t="s">
        <v>3</v>
      </c>
      <c r="Q67" t="s">
        <v>111</v>
      </c>
      <c r="R67" t="s">
        <v>122</v>
      </c>
      <c r="S67" t="s">
        <v>8</v>
      </c>
      <c r="T67" t="s">
        <v>592</v>
      </c>
      <c r="U67" t="s">
        <v>3</v>
      </c>
      <c r="V67" t="s">
        <v>3</v>
      </c>
      <c r="W67" t="s">
        <v>1620</v>
      </c>
      <c r="AA67" t="s">
        <v>8</v>
      </c>
      <c r="AB67" t="s">
        <v>3</v>
      </c>
      <c r="AC67" t="s">
        <v>3</v>
      </c>
      <c r="AD67" t="s">
        <v>8</v>
      </c>
      <c r="AE67" t="s">
        <v>72</v>
      </c>
      <c r="AF67" t="s">
        <v>1621</v>
      </c>
    </row>
    <row r="68" spans="1:32">
      <c r="A68" t="s">
        <v>596</v>
      </c>
      <c r="B68" t="s">
        <v>1622</v>
      </c>
      <c r="C68" t="s">
        <v>1623</v>
      </c>
      <c r="D68" t="s">
        <v>1622</v>
      </c>
      <c r="H68" t="s">
        <v>1615</v>
      </c>
      <c r="I68" t="s">
        <v>1616</v>
      </c>
      <c r="J68" t="s">
        <v>8</v>
      </c>
      <c r="K68" t="s">
        <v>3</v>
      </c>
      <c r="L68" t="s">
        <v>3</v>
      </c>
      <c r="M68" t="s">
        <v>122</v>
      </c>
      <c r="N68" t="s">
        <v>3</v>
      </c>
      <c r="O68" t="s">
        <v>3</v>
      </c>
      <c r="P68" t="s">
        <v>3</v>
      </c>
      <c r="Q68" t="s">
        <v>111</v>
      </c>
      <c r="R68" t="s">
        <v>122</v>
      </c>
      <c r="S68" t="s">
        <v>8</v>
      </c>
      <c r="T68" t="s">
        <v>596</v>
      </c>
      <c r="U68" t="s">
        <v>3</v>
      </c>
      <c r="V68" t="s">
        <v>3</v>
      </c>
      <c r="W68" t="s">
        <v>1620</v>
      </c>
      <c r="AA68" t="s">
        <v>8</v>
      </c>
      <c r="AB68" t="s">
        <v>3</v>
      </c>
      <c r="AC68" t="s">
        <v>3</v>
      </c>
      <c r="AD68" t="s">
        <v>8</v>
      </c>
      <c r="AE68" t="s">
        <v>72</v>
      </c>
      <c r="AF68" t="s">
        <v>1624</v>
      </c>
    </row>
    <row r="69" spans="1:32">
      <c r="A69" t="s">
        <v>600</v>
      </c>
      <c r="B69" t="s">
        <v>1625</v>
      </c>
      <c r="C69" t="s">
        <v>1626</v>
      </c>
      <c r="D69" t="s">
        <v>1625</v>
      </c>
      <c r="H69" t="s">
        <v>1615</v>
      </c>
      <c r="I69" t="s">
        <v>1616</v>
      </c>
      <c r="J69" t="s">
        <v>8</v>
      </c>
      <c r="K69" t="s">
        <v>3</v>
      </c>
      <c r="L69" t="s">
        <v>3</v>
      </c>
      <c r="M69" t="s">
        <v>122</v>
      </c>
      <c r="N69" t="s">
        <v>3</v>
      </c>
      <c r="O69" t="s">
        <v>3</v>
      </c>
      <c r="P69" t="s">
        <v>3</v>
      </c>
      <c r="Q69" t="s">
        <v>111</v>
      </c>
      <c r="R69" t="s">
        <v>122</v>
      </c>
      <c r="S69" t="s">
        <v>8</v>
      </c>
      <c r="T69" t="s">
        <v>600</v>
      </c>
      <c r="U69" t="s">
        <v>3</v>
      </c>
      <c r="V69" t="s">
        <v>3</v>
      </c>
      <c r="W69" t="s">
        <v>1620</v>
      </c>
      <c r="AA69" t="s">
        <v>8</v>
      </c>
      <c r="AB69" t="s">
        <v>3</v>
      </c>
      <c r="AC69" t="s">
        <v>3</v>
      </c>
      <c r="AD69" t="s">
        <v>8</v>
      </c>
      <c r="AE69" t="s">
        <v>72</v>
      </c>
      <c r="AF69" t="s">
        <v>1627</v>
      </c>
    </row>
    <row r="70" spans="1:32">
      <c r="A70" t="s">
        <v>603</v>
      </c>
      <c r="B70" t="s">
        <v>1628</v>
      </c>
      <c r="C70" t="s">
        <v>1629</v>
      </c>
      <c r="D70" t="s">
        <v>1628</v>
      </c>
      <c r="H70" t="s">
        <v>1615</v>
      </c>
      <c r="I70" t="s">
        <v>1616</v>
      </c>
      <c r="J70" t="s">
        <v>8</v>
      </c>
      <c r="K70" t="s">
        <v>3</v>
      </c>
      <c r="L70" t="s">
        <v>3</v>
      </c>
      <c r="M70" t="s">
        <v>122</v>
      </c>
      <c r="N70" t="s">
        <v>3</v>
      </c>
      <c r="O70" t="s">
        <v>3</v>
      </c>
      <c r="P70" t="s">
        <v>3</v>
      </c>
      <c r="Q70" t="s">
        <v>111</v>
      </c>
      <c r="R70" t="s">
        <v>122</v>
      </c>
      <c r="S70" t="s">
        <v>8</v>
      </c>
      <c r="T70" t="s">
        <v>603</v>
      </c>
      <c r="U70" t="s">
        <v>3</v>
      </c>
      <c r="V70" t="s">
        <v>3</v>
      </c>
      <c r="W70" t="s">
        <v>1620</v>
      </c>
      <c r="AA70" t="s">
        <v>8</v>
      </c>
      <c r="AB70" t="s">
        <v>3</v>
      </c>
      <c r="AC70" t="s">
        <v>3</v>
      </c>
      <c r="AD70" t="s">
        <v>8</v>
      </c>
      <c r="AE70" t="s">
        <v>130</v>
      </c>
      <c r="AF70" t="s">
        <v>1630</v>
      </c>
    </row>
    <row r="71" spans="1:32">
      <c r="A71" t="s">
        <v>606</v>
      </c>
      <c r="B71" t="s">
        <v>1631</v>
      </c>
      <c r="C71" t="s">
        <v>1632</v>
      </c>
      <c r="D71" t="s">
        <v>1631</v>
      </c>
      <c r="E71" t="s">
        <v>1613</v>
      </c>
      <c r="F71" t="s">
        <v>1614</v>
      </c>
      <c r="H71" t="s">
        <v>1615</v>
      </c>
      <c r="I71" t="s">
        <v>1616</v>
      </c>
      <c r="J71" t="s">
        <v>8</v>
      </c>
      <c r="K71" t="s">
        <v>3</v>
      </c>
      <c r="L71" t="s">
        <v>3</v>
      </c>
      <c r="M71" t="s">
        <v>122</v>
      </c>
      <c r="N71" t="s">
        <v>3</v>
      </c>
      <c r="O71" t="s">
        <v>3</v>
      </c>
      <c r="P71" t="s">
        <v>3</v>
      </c>
      <c r="Q71" t="s">
        <v>111</v>
      </c>
      <c r="R71" t="s">
        <v>122</v>
      </c>
      <c r="S71" t="s">
        <v>8</v>
      </c>
      <c r="T71" t="s">
        <v>606</v>
      </c>
      <c r="U71" t="s">
        <v>3</v>
      </c>
      <c r="V71" t="s">
        <v>3</v>
      </c>
      <c r="W71" t="s">
        <v>306</v>
      </c>
      <c r="AA71" t="s">
        <v>8</v>
      </c>
      <c r="AB71" t="s">
        <v>3</v>
      </c>
      <c r="AC71" t="s">
        <v>3</v>
      </c>
      <c r="AD71" t="s">
        <v>8</v>
      </c>
      <c r="AE71" t="s">
        <v>111</v>
      </c>
      <c r="AF71" t="s">
        <v>1633</v>
      </c>
    </row>
    <row r="72" spans="1:32">
      <c r="A72" t="s">
        <v>65</v>
      </c>
      <c r="B72" t="s">
        <v>1634</v>
      </c>
      <c r="C72" t="s">
        <v>1635</v>
      </c>
      <c r="D72" t="s">
        <v>1636</v>
      </c>
      <c r="E72" t="s">
        <v>1613</v>
      </c>
      <c r="F72" t="s">
        <v>1614</v>
      </c>
      <c r="H72" t="s">
        <v>1615</v>
      </c>
      <c r="I72" t="s">
        <v>1616</v>
      </c>
      <c r="J72" t="s">
        <v>8</v>
      </c>
      <c r="K72" t="s">
        <v>3</v>
      </c>
      <c r="L72" t="s">
        <v>3</v>
      </c>
      <c r="M72" t="s">
        <v>122</v>
      </c>
      <c r="N72" t="s">
        <v>3</v>
      </c>
      <c r="O72" t="s">
        <v>3</v>
      </c>
      <c r="P72" t="s">
        <v>3</v>
      </c>
      <c r="Q72" t="s">
        <v>111</v>
      </c>
      <c r="R72" t="s">
        <v>122</v>
      </c>
      <c r="S72" t="s">
        <v>8</v>
      </c>
      <c r="T72" t="s">
        <v>65</v>
      </c>
      <c r="U72" t="s">
        <v>3</v>
      </c>
      <c r="V72" t="s">
        <v>3</v>
      </c>
      <c r="W72" t="s">
        <v>306</v>
      </c>
      <c r="X72" t="s">
        <v>1637</v>
      </c>
      <c r="Y72" t="s">
        <v>1638</v>
      </c>
      <c r="AA72" t="s">
        <v>8</v>
      </c>
      <c r="AB72" t="s">
        <v>3</v>
      </c>
      <c r="AC72" t="s">
        <v>3</v>
      </c>
      <c r="AD72" t="s">
        <v>8</v>
      </c>
      <c r="AE72" t="s">
        <v>111</v>
      </c>
      <c r="AF72" t="s">
        <v>1639</v>
      </c>
    </row>
    <row r="73" spans="1:32">
      <c r="A73" t="s">
        <v>66</v>
      </c>
      <c r="B73" t="s">
        <v>1640</v>
      </c>
      <c r="C73" t="s">
        <v>1641</v>
      </c>
      <c r="D73" t="s">
        <v>1642</v>
      </c>
      <c r="E73" t="s">
        <v>1613</v>
      </c>
      <c r="F73" t="s">
        <v>1614</v>
      </c>
      <c r="H73" t="s">
        <v>1615</v>
      </c>
      <c r="I73" t="s">
        <v>1616</v>
      </c>
      <c r="J73" t="s">
        <v>8</v>
      </c>
      <c r="K73" t="s">
        <v>3</v>
      </c>
      <c r="L73" t="s">
        <v>3</v>
      </c>
      <c r="M73" t="s">
        <v>122</v>
      </c>
      <c r="N73" t="s">
        <v>3</v>
      </c>
      <c r="O73" t="s">
        <v>3</v>
      </c>
      <c r="P73" t="s">
        <v>3</v>
      </c>
      <c r="Q73" t="s">
        <v>111</v>
      </c>
      <c r="R73" t="s">
        <v>122</v>
      </c>
      <c r="S73" t="s">
        <v>8</v>
      </c>
      <c r="T73" t="s">
        <v>66</v>
      </c>
      <c r="U73" t="s">
        <v>3</v>
      </c>
      <c r="V73" t="s">
        <v>3</v>
      </c>
      <c r="W73" t="s">
        <v>306</v>
      </c>
      <c r="AA73" t="s">
        <v>8</v>
      </c>
      <c r="AB73" t="s">
        <v>3</v>
      </c>
      <c r="AC73" t="s">
        <v>3</v>
      </c>
      <c r="AD73" t="s">
        <v>8</v>
      </c>
      <c r="AE73" t="s">
        <v>111</v>
      </c>
      <c r="AF73" t="s">
        <v>1643</v>
      </c>
    </row>
    <row r="74" spans="1:32">
      <c r="A74" t="s">
        <v>1644</v>
      </c>
      <c r="B74" t="s">
        <v>1645</v>
      </c>
      <c r="C74" t="s">
        <v>1646</v>
      </c>
      <c r="D74" t="s">
        <v>1645</v>
      </c>
      <c r="E74" t="s">
        <v>1647</v>
      </c>
      <c r="F74" t="s">
        <v>1648</v>
      </c>
      <c r="H74" t="s">
        <v>1649</v>
      </c>
      <c r="I74" t="s">
        <v>1650</v>
      </c>
      <c r="J74" t="s">
        <v>8</v>
      </c>
      <c r="K74" t="s">
        <v>3</v>
      </c>
      <c r="L74" t="s">
        <v>3</v>
      </c>
      <c r="M74" t="s">
        <v>122</v>
      </c>
      <c r="N74" t="s">
        <v>3</v>
      </c>
      <c r="O74" t="s">
        <v>3</v>
      </c>
      <c r="P74" t="s">
        <v>3</v>
      </c>
      <c r="Q74" t="s">
        <v>111</v>
      </c>
      <c r="R74" t="s">
        <v>122</v>
      </c>
      <c r="S74" t="s">
        <v>8</v>
      </c>
      <c r="T74" t="s">
        <v>1644</v>
      </c>
      <c r="U74" t="s">
        <v>3</v>
      </c>
      <c r="V74" t="s">
        <v>3</v>
      </c>
      <c r="W74" t="s">
        <v>280</v>
      </c>
      <c r="AA74" t="s">
        <v>8</v>
      </c>
      <c r="AB74" t="s">
        <v>3</v>
      </c>
      <c r="AC74" t="s">
        <v>3</v>
      </c>
      <c r="AD74" t="s">
        <v>8</v>
      </c>
      <c r="AE74" t="s">
        <v>72</v>
      </c>
      <c r="AF74" t="s">
        <v>1651</v>
      </c>
    </row>
    <row r="75" spans="1:32">
      <c r="A75" t="s">
        <v>774</v>
      </c>
      <c r="B75" t="s">
        <v>1652</v>
      </c>
      <c r="C75" t="s">
        <v>1646</v>
      </c>
      <c r="D75" t="s">
        <v>1652</v>
      </c>
      <c r="E75" t="s">
        <v>1647</v>
      </c>
      <c r="F75" t="s">
        <v>1648</v>
      </c>
      <c r="H75" t="s">
        <v>1649</v>
      </c>
      <c r="I75" t="s">
        <v>1650</v>
      </c>
      <c r="J75" t="s">
        <v>8</v>
      </c>
      <c r="K75" t="s">
        <v>3</v>
      </c>
      <c r="L75" t="s">
        <v>3</v>
      </c>
      <c r="M75" t="s">
        <v>122</v>
      </c>
      <c r="N75" t="s">
        <v>3</v>
      </c>
      <c r="O75" t="s">
        <v>3</v>
      </c>
      <c r="P75" t="s">
        <v>3</v>
      </c>
      <c r="Q75" t="s">
        <v>111</v>
      </c>
      <c r="R75" t="s">
        <v>122</v>
      </c>
      <c r="S75" t="s">
        <v>8</v>
      </c>
      <c r="T75" t="s">
        <v>774</v>
      </c>
      <c r="U75" t="s">
        <v>3</v>
      </c>
      <c r="V75" t="s">
        <v>3</v>
      </c>
      <c r="W75" t="s">
        <v>3</v>
      </c>
      <c r="AA75" t="s">
        <v>8</v>
      </c>
      <c r="AB75" t="s">
        <v>3</v>
      </c>
      <c r="AC75" t="s">
        <v>3</v>
      </c>
      <c r="AD75" t="s">
        <v>8</v>
      </c>
      <c r="AE75" t="s">
        <v>72</v>
      </c>
      <c r="AF75" t="s">
        <v>1653</v>
      </c>
    </row>
    <row r="76" spans="1:32">
      <c r="A76" t="s">
        <v>777</v>
      </c>
      <c r="B76" t="s">
        <v>1654</v>
      </c>
      <c r="C76" t="s">
        <v>1655</v>
      </c>
      <c r="D76" t="s">
        <v>1654</v>
      </c>
      <c r="H76" t="s">
        <v>1649</v>
      </c>
      <c r="I76" t="s">
        <v>1650</v>
      </c>
      <c r="J76" t="s">
        <v>8</v>
      </c>
      <c r="K76" t="s">
        <v>3</v>
      </c>
      <c r="L76" t="s">
        <v>3</v>
      </c>
      <c r="M76" t="s">
        <v>122</v>
      </c>
      <c r="N76" t="s">
        <v>3</v>
      </c>
      <c r="O76" t="s">
        <v>3</v>
      </c>
      <c r="P76" t="s">
        <v>3</v>
      </c>
      <c r="Q76" t="s">
        <v>111</v>
      </c>
      <c r="R76" t="s">
        <v>122</v>
      </c>
      <c r="S76" t="s">
        <v>8</v>
      </c>
      <c r="T76" t="s">
        <v>777</v>
      </c>
      <c r="U76" t="s">
        <v>3</v>
      </c>
      <c r="V76" t="s">
        <v>3</v>
      </c>
      <c r="W76" t="s">
        <v>3</v>
      </c>
      <c r="AA76" t="s">
        <v>8</v>
      </c>
      <c r="AB76" t="s">
        <v>3</v>
      </c>
      <c r="AC76" t="s">
        <v>3</v>
      </c>
      <c r="AD76" t="s">
        <v>8</v>
      </c>
      <c r="AE76" t="s">
        <v>72</v>
      </c>
      <c r="AF76" t="s">
        <v>1656</v>
      </c>
    </row>
    <row r="77" spans="1:32">
      <c r="A77" t="s">
        <v>780</v>
      </c>
      <c r="B77" t="s">
        <v>1657</v>
      </c>
      <c r="C77" t="s">
        <v>1658</v>
      </c>
      <c r="D77" t="s">
        <v>1657</v>
      </c>
      <c r="H77" t="s">
        <v>1649</v>
      </c>
      <c r="I77" t="s">
        <v>1650</v>
      </c>
      <c r="J77" t="s">
        <v>8</v>
      </c>
      <c r="K77" t="s">
        <v>3</v>
      </c>
      <c r="L77" t="s">
        <v>3</v>
      </c>
      <c r="M77" t="s">
        <v>122</v>
      </c>
      <c r="N77" t="s">
        <v>3</v>
      </c>
      <c r="O77" t="s">
        <v>3</v>
      </c>
      <c r="P77" t="s">
        <v>3</v>
      </c>
      <c r="Q77" t="s">
        <v>111</v>
      </c>
      <c r="R77" t="s">
        <v>122</v>
      </c>
      <c r="S77" t="s">
        <v>8</v>
      </c>
      <c r="T77" t="s">
        <v>780</v>
      </c>
      <c r="U77" t="s">
        <v>3</v>
      </c>
      <c r="V77" t="s">
        <v>3</v>
      </c>
      <c r="W77" t="s">
        <v>290</v>
      </c>
      <c r="AA77" t="s">
        <v>3</v>
      </c>
      <c r="AB77" t="s">
        <v>3</v>
      </c>
      <c r="AC77" t="s">
        <v>3</v>
      </c>
      <c r="AD77" t="s">
        <v>8</v>
      </c>
      <c r="AE77" t="s">
        <v>72</v>
      </c>
      <c r="AF77" t="s">
        <v>1659</v>
      </c>
    </row>
    <row r="78" spans="1:32">
      <c r="A78" t="s">
        <v>786</v>
      </c>
      <c r="B78" t="s">
        <v>1660</v>
      </c>
      <c r="C78" t="s">
        <v>1661</v>
      </c>
      <c r="D78" t="s">
        <v>1662</v>
      </c>
      <c r="H78" t="s">
        <v>1649</v>
      </c>
      <c r="I78" t="s">
        <v>1650</v>
      </c>
      <c r="J78" t="s">
        <v>8</v>
      </c>
      <c r="K78" t="s">
        <v>3</v>
      </c>
      <c r="L78" t="s">
        <v>3</v>
      </c>
      <c r="M78" t="s">
        <v>122</v>
      </c>
      <c r="N78" t="s">
        <v>3</v>
      </c>
      <c r="O78" t="s">
        <v>3</v>
      </c>
      <c r="P78" t="s">
        <v>3</v>
      </c>
      <c r="Q78" t="s">
        <v>111</v>
      </c>
      <c r="R78" t="s">
        <v>122</v>
      </c>
      <c r="S78" t="s">
        <v>8</v>
      </c>
      <c r="T78" t="s">
        <v>780</v>
      </c>
      <c r="U78" t="s">
        <v>3</v>
      </c>
      <c r="V78" t="s">
        <v>3</v>
      </c>
      <c r="W78" t="s">
        <v>1663</v>
      </c>
      <c r="AA78" t="s">
        <v>3</v>
      </c>
      <c r="AB78" t="s">
        <v>3</v>
      </c>
      <c r="AC78" t="s">
        <v>3</v>
      </c>
      <c r="AD78" t="s">
        <v>8</v>
      </c>
      <c r="AE78" t="s">
        <v>130</v>
      </c>
      <c r="AF78" t="s">
        <v>1664</v>
      </c>
    </row>
    <row r="79" spans="1:32">
      <c r="A79" t="s">
        <v>68</v>
      </c>
      <c r="B79" t="s">
        <v>1665</v>
      </c>
      <c r="C79" t="s">
        <v>1666</v>
      </c>
      <c r="D79" t="s">
        <v>1667</v>
      </c>
      <c r="E79" t="s">
        <v>1668</v>
      </c>
      <c r="F79" t="s">
        <v>1669</v>
      </c>
      <c r="H79" t="s">
        <v>1670</v>
      </c>
      <c r="I79" t="s">
        <v>1671</v>
      </c>
      <c r="J79" t="s">
        <v>8</v>
      </c>
      <c r="K79" t="s">
        <v>3</v>
      </c>
      <c r="L79" t="s">
        <v>3</v>
      </c>
      <c r="M79" t="s">
        <v>122</v>
      </c>
      <c r="N79" t="s">
        <v>3</v>
      </c>
      <c r="O79" t="s">
        <v>3</v>
      </c>
      <c r="P79" t="s">
        <v>3</v>
      </c>
      <c r="Q79" t="s">
        <v>111</v>
      </c>
      <c r="R79" t="s">
        <v>122</v>
      </c>
      <c r="S79" t="s">
        <v>8</v>
      </c>
      <c r="T79" t="s">
        <v>68</v>
      </c>
      <c r="U79" t="s">
        <v>3</v>
      </c>
      <c r="V79" t="s">
        <v>3</v>
      </c>
      <c r="W79" t="s">
        <v>1672</v>
      </c>
      <c r="AA79" t="s">
        <v>8</v>
      </c>
      <c r="AB79" t="s">
        <v>3</v>
      </c>
      <c r="AC79" t="s">
        <v>3</v>
      </c>
      <c r="AD79" t="s">
        <v>8</v>
      </c>
      <c r="AE79" t="s">
        <v>111</v>
      </c>
      <c r="AF79" t="s">
        <v>1673</v>
      </c>
    </row>
    <row r="80" spans="1:32">
      <c r="A80" t="s">
        <v>1674</v>
      </c>
      <c r="B80" t="s">
        <v>1675</v>
      </c>
      <c r="C80" t="s">
        <v>1676</v>
      </c>
      <c r="D80" t="s">
        <v>1675</v>
      </c>
      <c r="H80" t="s">
        <v>1670</v>
      </c>
      <c r="I80" t="s">
        <v>1671</v>
      </c>
      <c r="J80" t="s">
        <v>8</v>
      </c>
      <c r="K80" t="s">
        <v>3</v>
      </c>
      <c r="L80" t="s">
        <v>3</v>
      </c>
      <c r="M80" t="s">
        <v>122</v>
      </c>
      <c r="N80" t="s">
        <v>3</v>
      </c>
      <c r="O80" t="s">
        <v>3</v>
      </c>
      <c r="P80" t="s">
        <v>3</v>
      </c>
      <c r="Q80" t="s">
        <v>111</v>
      </c>
      <c r="R80" t="s">
        <v>122</v>
      </c>
      <c r="S80" t="s">
        <v>8</v>
      </c>
      <c r="T80" t="s">
        <v>1674</v>
      </c>
      <c r="U80" t="s">
        <v>3</v>
      </c>
      <c r="V80" t="s">
        <v>3</v>
      </c>
      <c r="W80" t="s">
        <v>218</v>
      </c>
      <c r="AA80" t="s">
        <v>8</v>
      </c>
      <c r="AB80" t="s">
        <v>3</v>
      </c>
      <c r="AC80" t="s">
        <v>3</v>
      </c>
      <c r="AD80" t="s">
        <v>8</v>
      </c>
      <c r="AE80" t="s">
        <v>72</v>
      </c>
      <c r="AF80" t="s">
        <v>1677</v>
      </c>
    </row>
    <row r="81" spans="1:32">
      <c r="A81" t="s">
        <v>1678</v>
      </c>
      <c r="B81" t="s">
        <v>1679</v>
      </c>
      <c r="C81" t="s">
        <v>1680</v>
      </c>
      <c r="D81" t="s">
        <v>1679</v>
      </c>
      <c r="H81" t="s">
        <v>1670</v>
      </c>
      <c r="I81" t="s">
        <v>1671</v>
      </c>
      <c r="J81" t="s">
        <v>8</v>
      </c>
      <c r="K81" t="s">
        <v>3</v>
      </c>
      <c r="L81" t="s">
        <v>3</v>
      </c>
      <c r="M81" t="s">
        <v>122</v>
      </c>
      <c r="N81" t="s">
        <v>3</v>
      </c>
      <c r="O81" t="s">
        <v>3</v>
      </c>
      <c r="P81" t="s">
        <v>3</v>
      </c>
      <c r="Q81" t="s">
        <v>111</v>
      </c>
      <c r="R81" t="s">
        <v>122</v>
      </c>
      <c r="S81" t="s">
        <v>8</v>
      </c>
      <c r="T81" t="s">
        <v>1678</v>
      </c>
      <c r="U81" t="s">
        <v>3</v>
      </c>
      <c r="V81" t="s">
        <v>3</v>
      </c>
      <c r="W81" t="s">
        <v>218</v>
      </c>
      <c r="AA81" t="s">
        <v>8</v>
      </c>
      <c r="AB81" t="s">
        <v>3</v>
      </c>
      <c r="AC81" t="s">
        <v>3</v>
      </c>
      <c r="AD81" t="s">
        <v>8</v>
      </c>
      <c r="AE81" t="s">
        <v>72</v>
      </c>
      <c r="AF81" t="s">
        <v>1681</v>
      </c>
    </row>
    <row r="82" spans="1:32">
      <c r="A82" t="s">
        <v>820</v>
      </c>
      <c r="B82" t="s">
        <v>1682</v>
      </c>
      <c r="C82" t="s">
        <v>1683</v>
      </c>
      <c r="D82" t="s">
        <v>1682</v>
      </c>
      <c r="E82" t="s">
        <v>1668</v>
      </c>
      <c r="F82" t="s">
        <v>1684</v>
      </c>
      <c r="H82" t="s">
        <v>1670</v>
      </c>
      <c r="I82" t="s">
        <v>1671</v>
      </c>
      <c r="J82" t="s">
        <v>8</v>
      </c>
      <c r="K82" t="s">
        <v>3</v>
      </c>
      <c r="L82" t="s">
        <v>3</v>
      </c>
      <c r="M82" t="s">
        <v>122</v>
      </c>
      <c r="N82" t="s">
        <v>3</v>
      </c>
      <c r="O82" t="s">
        <v>3</v>
      </c>
      <c r="P82" t="s">
        <v>3</v>
      </c>
      <c r="Q82" t="s">
        <v>111</v>
      </c>
      <c r="R82" t="s">
        <v>122</v>
      </c>
      <c r="S82" t="s">
        <v>8</v>
      </c>
      <c r="T82" t="s">
        <v>820</v>
      </c>
      <c r="U82" t="s">
        <v>3</v>
      </c>
      <c r="V82" t="s">
        <v>3</v>
      </c>
      <c r="W82" t="s">
        <v>1672</v>
      </c>
      <c r="AA82" t="s">
        <v>8</v>
      </c>
      <c r="AB82" t="s">
        <v>3</v>
      </c>
      <c r="AC82" t="s">
        <v>3</v>
      </c>
      <c r="AD82" t="s">
        <v>8</v>
      </c>
      <c r="AE82" t="s">
        <v>111</v>
      </c>
      <c r="AF82" t="s">
        <v>1685</v>
      </c>
    </row>
    <row r="83" spans="1:32">
      <c r="A83" t="s">
        <v>1686</v>
      </c>
      <c r="B83" t="s">
        <v>1687</v>
      </c>
      <c r="C83" t="s">
        <v>1688</v>
      </c>
      <c r="D83" t="s">
        <v>1689</v>
      </c>
      <c r="H83" t="s">
        <v>1670</v>
      </c>
      <c r="I83" t="s">
        <v>1671</v>
      </c>
      <c r="J83" t="s">
        <v>8</v>
      </c>
      <c r="K83" t="s">
        <v>3</v>
      </c>
      <c r="L83" t="s">
        <v>3</v>
      </c>
      <c r="M83" t="s">
        <v>122</v>
      </c>
      <c r="N83" t="s">
        <v>3</v>
      </c>
      <c r="O83" t="s">
        <v>3</v>
      </c>
      <c r="P83" t="s">
        <v>3</v>
      </c>
      <c r="Q83" t="s">
        <v>111</v>
      </c>
      <c r="R83" t="s">
        <v>122</v>
      </c>
      <c r="S83" t="s">
        <v>8</v>
      </c>
      <c r="T83" t="s">
        <v>1686</v>
      </c>
      <c r="U83" t="s">
        <v>3</v>
      </c>
      <c r="V83" t="s">
        <v>3</v>
      </c>
      <c r="W83" t="s">
        <v>218</v>
      </c>
      <c r="AA83" t="s">
        <v>8</v>
      </c>
      <c r="AB83" t="s">
        <v>3</v>
      </c>
      <c r="AC83" t="s">
        <v>3</v>
      </c>
      <c r="AD83" t="s">
        <v>8</v>
      </c>
      <c r="AE83" t="s">
        <v>111</v>
      </c>
      <c r="AF83" t="s">
        <v>1690</v>
      </c>
    </row>
    <row r="84" spans="1:32">
      <c r="A84" t="s">
        <v>70</v>
      </c>
      <c r="B84" t="s">
        <v>1691</v>
      </c>
      <c r="C84" t="s">
        <v>1692</v>
      </c>
      <c r="D84" t="s">
        <v>1693</v>
      </c>
      <c r="E84" t="s">
        <v>1668</v>
      </c>
      <c r="F84" t="s">
        <v>1669</v>
      </c>
      <c r="H84" t="s">
        <v>1670</v>
      </c>
      <c r="I84" t="s">
        <v>1671</v>
      </c>
      <c r="J84" t="s">
        <v>8</v>
      </c>
      <c r="K84" t="s">
        <v>3</v>
      </c>
      <c r="L84" t="s">
        <v>3</v>
      </c>
      <c r="M84" t="s">
        <v>122</v>
      </c>
      <c r="N84" t="s">
        <v>3</v>
      </c>
      <c r="O84" t="s">
        <v>3</v>
      </c>
      <c r="P84" t="s">
        <v>3</v>
      </c>
      <c r="Q84" t="s">
        <v>111</v>
      </c>
      <c r="R84" t="s">
        <v>122</v>
      </c>
      <c r="S84" t="s">
        <v>8</v>
      </c>
      <c r="T84" t="s">
        <v>70</v>
      </c>
      <c r="U84" t="s">
        <v>3</v>
      </c>
      <c r="V84" t="s">
        <v>3</v>
      </c>
      <c r="W84" t="s">
        <v>1672</v>
      </c>
      <c r="X84" t="s">
        <v>1637</v>
      </c>
      <c r="Y84" t="s">
        <v>1638</v>
      </c>
      <c r="AA84" t="s">
        <v>8</v>
      </c>
      <c r="AB84" t="s">
        <v>3</v>
      </c>
      <c r="AC84" t="s">
        <v>3</v>
      </c>
      <c r="AD84" t="s">
        <v>8</v>
      </c>
      <c r="AE84" t="s">
        <v>111</v>
      </c>
      <c r="AF84" t="s">
        <v>1694</v>
      </c>
    </row>
    <row r="85" spans="1:32">
      <c r="A85" t="s">
        <v>71</v>
      </c>
      <c r="B85" t="s">
        <v>1695</v>
      </c>
      <c r="C85" t="s">
        <v>1696</v>
      </c>
      <c r="D85" t="s">
        <v>1697</v>
      </c>
      <c r="E85" t="s">
        <v>1668</v>
      </c>
      <c r="F85" t="s">
        <v>1669</v>
      </c>
      <c r="H85" t="s">
        <v>1670</v>
      </c>
      <c r="I85" t="s">
        <v>1671</v>
      </c>
      <c r="J85" t="s">
        <v>8</v>
      </c>
      <c r="K85" t="s">
        <v>3</v>
      </c>
      <c r="L85" t="s">
        <v>3</v>
      </c>
      <c r="M85" t="s">
        <v>122</v>
      </c>
      <c r="N85" t="s">
        <v>3</v>
      </c>
      <c r="O85" t="s">
        <v>3</v>
      </c>
      <c r="P85" t="s">
        <v>3</v>
      </c>
      <c r="Q85" t="s">
        <v>111</v>
      </c>
      <c r="R85" t="s">
        <v>122</v>
      </c>
      <c r="S85" t="s">
        <v>8</v>
      </c>
      <c r="T85" t="s">
        <v>71</v>
      </c>
      <c r="U85" t="s">
        <v>3</v>
      </c>
      <c r="V85" t="s">
        <v>3</v>
      </c>
      <c r="W85" t="s">
        <v>1672</v>
      </c>
      <c r="AA85" t="s">
        <v>8</v>
      </c>
      <c r="AB85" t="s">
        <v>3</v>
      </c>
      <c r="AC85" t="s">
        <v>3</v>
      </c>
      <c r="AD85" t="s">
        <v>8</v>
      </c>
      <c r="AE85" t="s">
        <v>111</v>
      </c>
      <c r="AF85" t="s">
        <v>1698</v>
      </c>
    </row>
    <row r="86" spans="1:32">
      <c r="A86" t="s">
        <v>73</v>
      </c>
      <c r="B86" t="s">
        <v>1699</v>
      </c>
      <c r="C86" t="s">
        <v>1700</v>
      </c>
      <c r="D86" t="s">
        <v>1701</v>
      </c>
      <c r="E86" t="s">
        <v>1702</v>
      </c>
      <c r="F86" t="s">
        <v>1703</v>
      </c>
      <c r="H86" t="s">
        <v>1704</v>
      </c>
      <c r="I86" t="s">
        <v>1705</v>
      </c>
      <c r="J86" t="s">
        <v>8</v>
      </c>
      <c r="K86" t="s">
        <v>3</v>
      </c>
      <c r="L86" t="s">
        <v>3</v>
      </c>
      <c r="M86" t="s">
        <v>122</v>
      </c>
      <c r="N86" t="s">
        <v>3</v>
      </c>
      <c r="O86" t="s">
        <v>3</v>
      </c>
      <c r="P86" t="s">
        <v>3</v>
      </c>
      <c r="Q86" t="s">
        <v>111</v>
      </c>
      <c r="R86" t="s">
        <v>122</v>
      </c>
      <c r="S86" t="s">
        <v>8</v>
      </c>
      <c r="T86" t="s">
        <v>73</v>
      </c>
      <c r="U86" t="s">
        <v>3</v>
      </c>
      <c r="V86" t="s">
        <v>3</v>
      </c>
      <c r="W86" t="s">
        <v>546</v>
      </c>
      <c r="AA86" t="s">
        <v>8</v>
      </c>
      <c r="AB86" t="s">
        <v>3</v>
      </c>
      <c r="AC86" t="s">
        <v>3</v>
      </c>
      <c r="AD86" t="s">
        <v>8</v>
      </c>
      <c r="AE86" t="s">
        <v>111</v>
      </c>
      <c r="AF86" t="s">
        <v>1706</v>
      </c>
    </row>
    <row r="87" spans="1:32">
      <c r="A87" t="s">
        <v>1035</v>
      </c>
      <c r="B87" t="s">
        <v>1707</v>
      </c>
      <c r="C87" t="s">
        <v>1708</v>
      </c>
      <c r="D87" t="s">
        <v>1707</v>
      </c>
      <c r="H87" t="s">
        <v>1704</v>
      </c>
      <c r="I87" t="s">
        <v>1705</v>
      </c>
      <c r="J87" t="s">
        <v>8</v>
      </c>
      <c r="K87" t="s">
        <v>3</v>
      </c>
      <c r="L87" t="s">
        <v>3</v>
      </c>
      <c r="M87" t="s">
        <v>122</v>
      </c>
      <c r="N87" t="s">
        <v>3</v>
      </c>
      <c r="O87" t="s">
        <v>3</v>
      </c>
      <c r="P87" t="s">
        <v>3</v>
      </c>
      <c r="Q87" t="s">
        <v>111</v>
      </c>
      <c r="R87" t="s">
        <v>122</v>
      </c>
      <c r="S87" t="s">
        <v>8</v>
      </c>
      <c r="T87" t="s">
        <v>1035</v>
      </c>
      <c r="U87" t="s">
        <v>3</v>
      </c>
      <c r="V87" t="s">
        <v>3</v>
      </c>
      <c r="W87" t="s">
        <v>1709</v>
      </c>
      <c r="AA87" t="s">
        <v>8</v>
      </c>
      <c r="AB87" t="s">
        <v>3</v>
      </c>
      <c r="AC87" t="s">
        <v>3</v>
      </c>
      <c r="AD87" t="s">
        <v>8</v>
      </c>
      <c r="AE87" t="s">
        <v>72</v>
      </c>
      <c r="AF87" t="s">
        <v>1710</v>
      </c>
    </row>
    <row r="88" spans="1:32">
      <c r="A88" t="s">
        <v>1038</v>
      </c>
      <c r="B88" t="s">
        <v>1711</v>
      </c>
      <c r="C88" t="s">
        <v>1712</v>
      </c>
      <c r="D88" t="s">
        <v>1711</v>
      </c>
      <c r="H88" t="s">
        <v>1704</v>
      </c>
      <c r="I88" t="s">
        <v>1705</v>
      </c>
      <c r="J88" t="s">
        <v>8</v>
      </c>
      <c r="K88" t="s">
        <v>3</v>
      </c>
      <c r="L88" t="s">
        <v>3</v>
      </c>
      <c r="M88" t="s">
        <v>122</v>
      </c>
      <c r="N88" t="s">
        <v>3</v>
      </c>
      <c r="O88" t="s">
        <v>3</v>
      </c>
      <c r="P88" t="s">
        <v>3</v>
      </c>
      <c r="Q88" t="s">
        <v>111</v>
      </c>
      <c r="R88" t="s">
        <v>122</v>
      </c>
      <c r="S88" t="s">
        <v>8</v>
      </c>
      <c r="T88" t="s">
        <v>1038</v>
      </c>
      <c r="U88" t="s">
        <v>3</v>
      </c>
      <c r="V88" t="s">
        <v>3</v>
      </c>
      <c r="W88" t="s">
        <v>1709</v>
      </c>
      <c r="AA88" t="s">
        <v>8</v>
      </c>
      <c r="AB88" t="s">
        <v>3</v>
      </c>
      <c r="AC88" t="s">
        <v>3</v>
      </c>
      <c r="AD88" t="s">
        <v>8</v>
      </c>
      <c r="AE88" t="s">
        <v>72</v>
      </c>
      <c r="AF88" t="s">
        <v>1713</v>
      </c>
    </row>
    <row r="89" spans="1:32">
      <c r="A89" t="s">
        <v>503</v>
      </c>
      <c r="B89" t="s">
        <v>1714</v>
      </c>
      <c r="C89" t="s">
        <v>1715</v>
      </c>
      <c r="D89" t="s">
        <v>1714</v>
      </c>
      <c r="H89" t="s">
        <v>1704</v>
      </c>
      <c r="I89" t="s">
        <v>1705</v>
      </c>
      <c r="J89" t="s">
        <v>8</v>
      </c>
      <c r="K89" t="s">
        <v>3</v>
      </c>
      <c r="L89" t="s">
        <v>3</v>
      </c>
      <c r="M89" t="s">
        <v>122</v>
      </c>
      <c r="N89" t="s">
        <v>3</v>
      </c>
      <c r="O89" t="s">
        <v>3</v>
      </c>
      <c r="P89" t="s">
        <v>3</v>
      </c>
      <c r="Q89" t="s">
        <v>111</v>
      </c>
      <c r="R89" t="s">
        <v>122</v>
      </c>
      <c r="S89" t="s">
        <v>8</v>
      </c>
      <c r="T89" t="s">
        <v>503</v>
      </c>
      <c r="U89" t="s">
        <v>3</v>
      </c>
      <c r="V89" t="s">
        <v>3</v>
      </c>
      <c r="W89" t="s">
        <v>1709</v>
      </c>
      <c r="AA89" t="s">
        <v>8</v>
      </c>
      <c r="AB89" t="s">
        <v>3</v>
      </c>
      <c r="AC89" t="s">
        <v>3</v>
      </c>
      <c r="AD89" t="s">
        <v>8</v>
      </c>
      <c r="AE89" t="s">
        <v>111</v>
      </c>
      <c r="AF89" t="s">
        <v>1716</v>
      </c>
    </row>
    <row r="90" spans="1:32">
      <c r="A90" t="s">
        <v>1041</v>
      </c>
      <c r="B90" t="s">
        <v>1717</v>
      </c>
      <c r="C90" t="s">
        <v>1718</v>
      </c>
      <c r="D90" t="s">
        <v>1719</v>
      </c>
      <c r="H90" t="s">
        <v>1704</v>
      </c>
      <c r="I90" t="s">
        <v>1705</v>
      </c>
      <c r="J90" t="s">
        <v>8</v>
      </c>
      <c r="K90" t="s">
        <v>3</v>
      </c>
      <c r="L90" t="s">
        <v>3</v>
      </c>
      <c r="M90" t="s">
        <v>122</v>
      </c>
      <c r="N90" t="s">
        <v>3</v>
      </c>
      <c r="O90" t="s">
        <v>3</v>
      </c>
      <c r="P90" t="s">
        <v>3</v>
      </c>
      <c r="Q90" t="s">
        <v>111</v>
      </c>
      <c r="R90" t="s">
        <v>122</v>
      </c>
      <c r="S90" t="s">
        <v>8</v>
      </c>
      <c r="T90" t="s">
        <v>1041</v>
      </c>
      <c r="U90" t="s">
        <v>3</v>
      </c>
      <c r="V90" t="s">
        <v>3</v>
      </c>
      <c r="W90" t="s">
        <v>1709</v>
      </c>
      <c r="AA90" t="s">
        <v>8</v>
      </c>
      <c r="AB90" t="s">
        <v>3</v>
      </c>
      <c r="AC90" t="s">
        <v>3</v>
      </c>
      <c r="AD90" t="s">
        <v>8</v>
      </c>
      <c r="AE90" t="s">
        <v>111</v>
      </c>
      <c r="AF90" t="s">
        <v>1720</v>
      </c>
    </row>
    <row r="91" spans="1:32">
      <c r="A91" t="s">
        <v>1044</v>
      </c>
      <c r="B91" t="s">
        <v>1721</v>
      </c>
      <c r="C91" t="s">
        <v>1722</v>
      </c>
      <c r="D91" t="s">
        <v>1721</v>
      </c>
      <c r="E91" t="s">
        <v>1702</v>
      </c>
      <c r="F91" t="s">
        <v>1703</v>
      </c>
      <c r="H91" t="s">
        <v>1704</v>
      </c>
      <c r="I91" t="s">
        <v>1705</v>
      </c>
      <c r="J91" t="s">
        <v>8</v>
      </c>
      <c r="K91" t="s">
        <v>3</v>
      </c>
      <c r="L91" t="s">
        <v>3</v>
      </c>
      <c r="M91" t="s">
        <v>122</v>
      </c>
      <c r="N91" t="s">
        <v>3</v>
      </c>
      <c r="O91" t="s">
        <v>3</v>
      </c>
      <c r="P91" t="s">
        <v>3</v>
      </c>
      <c r="Q91" t="s">
        <v>111</v>
      </c>
      <c r="R91" t="s">
        <v>122</v>
      </c>
      <c r="S91" t="s">
        <v>8</v>
      </c>
      <c r="T91" t="s">
        <v>1044</v>
      </c>
      <c r="U91" t="s">
        <v>3</v>
      </c>
      <c r="V91" t="s">
        <v>3</v>
      </c>
      <c r="W91" t="s">
        <v>546</v>
      </c>
      <c r="AA91" t="s">
        <v>8</v>
      </c>
      <c r="AB91" t="s">
        <v>3</v>
      </c>
      <c r="AC91" t="s">
        <v>3</v>
      </c>
      <c r="AD91" t="s">
        <v>8</v>
      </c>
      <c r="AE91" t="s">
        <v>111</v>
      </c>
      <c r="AF91" t="s">
        <v>1723</v>
      </c>
    </row>
    <row r="92" spans="1:32">
      <c r="A92" t="s">
        <v>76</v>
      </c>
      <c r="B92" t="s">
        <v>1724</v>
      </c>
      <c r="C92" t="s">
        <v>1725</v>
      </c>
      <c r="D92" t="s">
        <v>1726</v>
      </c>
      <c r="E92" t="s">
        <v>1702</v>
      </c>
      <c r="F92" t="s">
        <v>1703</v>
      </c>
      <c r="H92" t="s">
        <v>1704</v>
      </c>
      <c r="I92" t="s">
        <v>1705</v>
      </c>
      <c r="J92" t="s">
        <v>8</v>
      </c>
      <c r="K92" t="s">
        <v>3</v>
      </c>
      <c r="L92" t="s">
        <v>3</v>
      </c>
      <c r="M92" t="s">
        <v>122</v>
      </c>
      <c r="N92" t="s">
        <v>3</v>
      </c>
      <c r="O92" t="s">
        <v>3</v>
      </c>
      <c r="P92" t="s">
        <v>3</v>
      </c>
      <c r="Q92" t="s">
        <v>111</v>
      </c>
      <c r="R92" t="s">
        <v>122</v>
      </c>
      <c r="S92" t="s">
        <v>8</v>
      </c>
      <c r="T92" t="s">
        <v>76</v>
      </c>
      <c r="U92" t="s">
        <v>3</v>
      </c>
      <c r="V92" t="s">
        <v>3</v>
      </c>
      <c r="W92" t="s">
        <v>546</v>
      </c>
      <c r="X92" t="s">
        <v>1637</v>
      </c>
      <c r="Y92" t="s">
        <v>1638</v>
      </c>
      <c r="Z92" t="s">
        <v>1554</v>
      </c>
      <c r="AA92" t="s">
        <v>8</v>
      </c>
      <c r="AB92" t="s">
        <v>3</v>
      </c>
      <c r="AC92" t="s">
        <v>3</v>
      </c>
      <c r="AD92" t="s">
        <v>8</v>
      </c>
      <c r="AE92" t="s">
        <v>111</v>
      </c>
      <c r="AF92" t="s">
        <v>1727</v>
      </c>
    </row>
    <row r="93" spans="1:32">
      <c r="A93" t="s">
        <v>77</v>
      </c>
      <c r="B93" t="s">
        <v>1728</v>
      </c>
      <c r="C93" t="s">
        <v>1729</v>
      </c>
      <c r="D93" t="s">
        <v>1730</v>
      </c>
      <c r="E93" t="s">
        <v>1702</v>
      </c>
      <c r="F93" t="s">
        <v>1703</v>
      </c>
      <c r="H93" t="s">
        <v>1704</v>
      </c>
      <c r="I93" t="s">
        <v>1705</v>
      </c>
      <c r="J93" t="s">
        <v>8</v>
      </c>
      <c r="K93" t="s">
        <v>3</v>
      </c>
      <c r="L93" t="s">
        <v>3</v>
      </c>
      <c r="M93" t="s">
        <v>122</v>
      </c>
      <c r="N93" t="s">
        <v>3</v>
      </c>
      <c r="O93" t="s">
        <v>3</v>
      </c>
      <c r="P93" t="s">
        <v>3</v>
      </c>
      <c r="Q93" t="s">
        <v>111</v>
      </c>
      <c r="R93" t="s">
        <v>122</v>
      </c>
      <c r="S93" t="s">
        <v>8</v>
      </c>
      <c r="T93" t="s">
        <v>77</v>
      </c>
      <c r="U93" t="s">
        <v>3</v>
      </c>
      <c r="V93" t="s">
        <v>3</v>
      </c>
      <c r="W93" t="s">
        <v>546</v>
      </c>
      <c r="AA93" t="s">
        <v>8</v>
      </c>
      <c r="AB93" t="s">
        <v>3</v>
      </c>
      <c r="AC93" t="s">
        <v>3</v>
      </c>
      <c r="AD93" t="s">
        <v>8</v>
      </c>
      <c r="AE93" t="s">
        <v>111</v>
      </c>
      <c r="AF93" t="s">
        <v>1731</v>
      </c>
    </row>
    <row r="94" spans="1:32">
      <c r="A94" t="s">
        <v>86</v>
      </c>
      <c r="B94" t="s">
        <v>1732</v>
      </c>
      <c r="C94" t="s">
        <v>1733</v>
      </c>
      <c r="D94" t="s">
        <v>1734</v>
      </c>
      <c r="E94" t="s">
        <v>1735</v>
      </c>
      <c r="F94" t="s">
        <v>1736</v>
      </c>
      <c r="H94" t="s">
        <v>1737</v>
      </c>
      <c r="I94" t="s">
        <v>1738</v>
      </c>
      <c r="J94" t="s">
        <v>8</v>
      </c>
      <c r="K94" t="s">
        <v>3</v>
      </c>
      <c r="L94" t="s">
        <v>3</v>
      </c>
      <c r="M94" t="s">
        <v>122</v>
      </c>
      <c r="N94" t="s">
        <v>3</v>
      </c>
      <c r="O94" t="s">
        <v>3</v>
      </c>
      <c r="P94" t="s">
        <v>3</v>
      </c>
      <c r="Q94" t="s">
        <v>111</v>
      </c>
      <c r="R94" t="s">
        <v>122</v>
      </c>
      <c r="S94" t="s">
        <v>8</v>
      </c>
      <c r="T94" t="s">
        <v>86</v>
      </c>
      <c r="U94" t="s">
        <v>3</v>
      </c>
      <c r="V94" t="s">
        <v>3</v>
      </c>
      <c r="W94" t="s">
        <v>1739</v>
      </c>
      <c r="AA94" t="s">
        <v>8</v>
      </c>
      <c r="AB94" t="s">
        <v>3</v>
      </c>
      <c r="AC94" t="s">
        <v>3</v>
      </c>
      <c r="AD94" t="s">
        <v>8</v>
      </c>
      <c r="AE94" t="s">
        <v>111</v>
      </c>
      <c r="AF94" t="s">
        <v>1740</v>
      </c>
    </row>
    <row r="95" spans="1:32">
      <c r="A95" t="s">
        <v>1741</v>
      </c>
      <c r="B95" t="s">
        <v>1742</v>
      </c>
      <c r="C95" t="s">
        <v>1743</v>
      </c>
      <c r="D95" t="s">
        <v>1742</v>
      </c>
      <c r="H95" t="s">
        <v>1737</v>
      </c>
      <c r="I95" t="s">
        <v>1738</v>
      </c>
      <c r="J95" t="s">
        <v>8</v>
      </c>
      <c r="K95" t="s">
        <v>3</v>
      </c>
      <c r="L95" t="s">
        <v>3</v>
      </c>
      <c r="M95" t="s">
        <v>122</v>
      </c>
      <c r="N95" t="s">
        <v>3</v>
      </c>
      <c r="O95" t="s">
        <v>3</v>
      </c>
      <c r="P95" t="s">
        <v>3</v>
      </c>
      <c r="Q95" t="s">
        <v>111</v>
      </c>
      <c r="R95" t="s">
        <v>122</v>
      </c>
      <c r="S95" t="s">
        <v>8</v>
      </c>
      <c r="T95" t="s">
        <v>1741</v>
      </c>
      <c r="U95" t="s">
        <v>3</v>
      </c>
      <c r="V95" t="s">
        <v>3</v>
      </c>
      <c r="W95" t="s">
        <v>1744</v>
      </c>
      <c r="AA95" t="s">
        <v>8</v>
      </c>
      <c r="AB95" t="s">
        <v>3</v>
      </c>
      <c r="AC95" t="s">
        <v>3</v>
      </c>
      <c r="AD95" t="s">
        <v>8</v>
      </c>
      <c r="AE95" t="s">
        <v>72</v>
      </c>
      <c r="AF95" t="s">
        <v>1745</v>
      </c>
    </row>
    <row r="96" spans="1:32">
      <c r="A96" t="s">
        <v>1013</v>
      </c>
      <c r="B96" t="s">
        <v>1746</v>
      </c>
      <c r="C96" t="s">
        <v>1747</v>
      </c>
      <c r="D96" t="s">
        <v>1746</v>
      </c>
      <c r="H96" t="s">
        <v>1737</v>
      </c>
      <c r="I96" t="s">
        <v>1738</v>
      </c>
      <c r="J96" t="s">
        <v>8</v>
      </c>
      <c r="K96" t="s">
        <v>3</v>
      </c>
      <c r="L96" t="s">
        <v>3</v>
      </c>
      <c r="M96" t="s">
        <v>122</v>
      </c>
      <c r="N96" t="s">
        <v>3</v>
      </c>
      <c r="O96" t="s">
        <v>3</v>
      </c>
      <c r="P96" t="s">
        <v>3</v>
      </c>
      <c r="Q96" t="s">
        <v>111</v>
      </c>
      <c r="R96" t="s">
        <v>122</v>
      </c>
      <c r="S96" t="s">
        <v>8</v>
      </c>
      <c r="T96" t="s">
        <v>1013</v>
      </c>
      <c r="U96" t="s">
        <v>3</v>
      </c>
      <c r="V96" t="s">
        <v>3</v>
      </c>
      <c r="W96" t="s">
        <v>1744</v>
      </c>
      <c r="AA96" t="s">
        <v>8</v>
      </c>
      <c r="AB96" t="s">
        <v>3</v>
      </c>
      <c r="AC96" t="s">
        <v>3</v>
      </c>
      <c r="AD96" t="s">
        <v>8</v>
      </c>
      <c r="AE96" t="s">
        <v>72</v>
      </c>
      <c r="AF96" t="s">
        <v>1748</v>
      </c>
    </row>
    <row r="97" spans="1:32">
      <c r="A97" t="s">
        <v>924</v>
      </c>
      <c r="B97" t="s">
        <v>1749</v>
      </c>
      <c r="C97" t="s">
        <v>1750</v>
      </c>
      <c r="D97" t="s">
        <v>1751</v>
      </c>
      <c r="J97" t="s">
        <v>8</v>
      </c>
      <c r="K97" t="s">
        <v>3</v>
      </c>
      <c r="L97" t="s">
        <v>3</v>
      </c>
      <c r="M97" t="s">
        <v>122</v>
      </c>
      <c r="N97" t="s">
        <v>3</v>
      </c>
      <c r="O97" t="s">
        <v>3</v>
      </c>
      <c r="P97" t="s">
        <v>3</v>
      </c>
      <c r="Q97" t="s">
        <v>111</v>
      </c>
      <c r="R97" t="s">
        <v>122</v>
      </c>
      <c r="S97" t="s">
        <v>8</v>
      </c>
      <c r="T97" t="s">
        <v>924</v>
      </c>
      <c r="U97" t="s">
        <v>3</v>
      </c>
      <c r="V97" t="s">
        <v>3</v>
      </c>
      <c r="W97" t="s">
        <v>1739</v>
      </c>
      <c r="AA97" t="s">
        <v>8</v>
      </c>
      <c r="AB97" t="s">
        <v>3</v>
      </c>
      <c r="AC97" t="s">
        <v>3</v>
      </c>
      <c r="AD97" t="s">
        <v>8</v>
      </c>
      <c r="AE97" t="s">
        <v>111</v>
      </c>
      <c r="AF97" t="s">
        <v>1752</v>
      </c>
    </row>
    <row r="98" spans="1:32">
      <c r="A98" t="s">
        <v>470</v>
      </c>
      <c r="B98" t="s">
        <v>1753</v>
      </c>
      <c r="C98" t="s">
        <v>1754</v>
      </c>
      <c r="D98" t="s">
        <v>1755</v>
      </c>
      <c r="J98" t="s">
        <v>8</v>
      </c>
      <c r="K98" t="s">
        <v>3</v>
      </c>
      <c r="L98" t="s">
        <v>3</v>
      </c>
      <c r="M98" t="s">
        <v>122</v>
      </c>
      <c r="N98" t="s">
        <v>3</v>
      </c>
      <c r="O98" t="s">
        <v>3</v>
      </c>
      <c r="P98" t="s">
        <v>3</v>
      </c>
      <c r="Q98" t="s">
        <v>111</v>
      </c>
      <c r="R98" t="s">
        <v>122</v>
      </c>
      <c r="S98" t="s">
        <v>8</v>
      </c>
      <c r="T98" t="s">
        <v>470</v>
      </c>
      <c r="U98" t="s">
        <v>3</v>
      </c>
      <c r="V98" t="s">
        <v>3</v>
      </c>
      <c r="W98" t="s">
        <v>1739</v>
      </c>
      <c r="AA98" t="s">
        <v>8</v>
      </c>
      <c r="AB98" t="s">
        <v>3</v>
      </c>
      <c r="AC98" t="s">
        <v>3</v>
      </c>
      <c r="AD98" t="s">
        <v>8</v>
      </c>
      <c r="AE98" t="s">
        <v>111</v>
      </c>
      <c r="AF98" t="s">
        <v>1756</v>
      </c>
    </row>
    <row r="99" spans="1:32">
      <c r="A99" t="s">
        <v>1175</v>
      </c>
      <c r="B99" t="s">
        <v>1757</v>
      </c>
      <c r="C99" t="s">
        <v>1758</v>
      </c>
      <c r="D99" t="s">
        <v>1757</v>
      </c>
      <c r="E99" t="s">
        <v>1735</v>
      </c>
      <c r="F99" t="s">
        <v>1736</v>
      </c>
      <c r="H99" t="s">
        <v>1737</v>
      </c>
      <c r="I99" t="s">
        <v>1738</v>
      </c>
      <c r="J99" t="s">
        <v>8</v>
      </c>
      <c r="K99" t="s">
        <v>3</v>
      </c>
      <c r="L99" t="s">
        <v>3</v>
      </c>
      <c r="M99" t="s">
        <v>122</v>
      </c>
      <c r="N99" t="s">
        <v>3</v>
      </c>
      <c r="O99" t="s">
        <v>3</v>
      </c>
      <c r="P99" t="s">
        <v>3</v>
      </c>
      <c r="Q99" t="s">
        <v>111</v>
      </c>
      <c r="R99" t="s">
        <v>122</v>
      </c>
      <c r="S99" t="s">
        <v>8</v>
      </c>
      <c r="T99" t="s">
        <v>1175</v>
      </c>
      <c r="U99" t="s">
        <v>3</v>
      </c>
      <c r="V99" t="s">
        <v>3</v>
      </c>
      <c r="W99" t="s">
        <v>1739</v>
      </c>
      <c r="AA99" t="s">
        <v>8</v>
      </c>
      <c r="AB99" t="s">
        <v>3</v>
      </c>
      <c r="AC99" t="s">
        <v>3</v>
      </c>
      <c r="AD99" t="s">
        <v>8</v>
      </c>
      <c r="AE99" t="s">
        <v>111</v>
      </c>
      <c r="AF99" t="s">
        <v>1759</v>
      </c>
    </row>
    <row r="100" spans="1:32">
      <c r="A100" t="s">
        <v>89</v>
      </c>
      <c r="B100" t="s">
        <v>1760</v>
      </c>
      <c r="C100" t="s">
        <v>1761</v>
      </c>
      <c r="D100" t="s">
        <v>1762</v>
      </c>
      <c r="E100" t="s">
        <v>1735</v>
      </c>
      <c r="F100" t="s">
        <v>1736</v>
      </c>
      <c r="H100" t="s">
        <v>1737</v>
      </c>
      <c r="I100" t="s">
        <v>1738</v>
      </c>
      <c r="J100" t="s">
        <v>8</v>
      </c>
      <c r="K100" t="s">
        <v>3</v>
      </c>
      <c r="L100" t="s">
        <v>3</v>
      </c>
      <c r="M100" t="s">
        <v>122</v>
      </c>
      <c r="N100" t="s">
        <v>3</v>
      </c>
      <c r="O100" t="s">
        <v>3</v>
      </c>
      <c r="P100" t="s">
        <v>3</v>
      </c>
      <c r="Q100" t="s">
        <v>111</v>
      </c>
      <c r="R100" t="s">
        <v>122</v>
      </c>
      <c r="S100" t="s">
        <v>8</v>
      </c>
      <c r="T100" t="s">
        <v>89</v>
      </c>
      <c r="U100" t="s">
        <v>3</v>
      </c>
      <c r="V100" t="s">
        <v>3</v>
      </c>
      <c r="W100" t="s">
        <v>1739</v>
      </c>
      <c r="X100" t="s">
        <v>1637</v>
      </c>
      <c r="Y100" t="s">
        <v>1638</v>
      </c>
      <c r="Z100" t="s">
        <v>1554</v>
      </c>
      <c r="AA100" t="s">
        <v>8</v>
      </c>
      <c r="AB100" t="s">
        <v>3</v>
      </c>
      <c r="AC100" t="s">
        <v>3</v>
      </c>
      <c r="AD100" t="s">
        <v>8</v>
      </c>
      <c r="AE100" t="s">
        <v>111</v>
      </c>
      <c r="AF100" t="s">
        <v>1763</v>
      </c>
    </row>
    <row r="101" spans="1:32">
      <c r="A101" t="s">
        <v>91</v>
      </c>
      <c r="B101" t="s">
        <v>1764</v>
      </c>
      <c r="C101" t="s">
        <v>1765</v>
      </c>
      <c r="D101" t="s">
        <v>1766</v>
      </c>
      <c r="E101" t="s">
        <v>1735</v>
      </c>
      <c r="F101" t="s">
        <v>1736</v>
      </c>
      <c r="H101" t="s">
        <v>1737</v>
      </c>
      <c r="I101" t="s">
        <v>1738</v>
      </c>
      <c r="J101" t="s">
        <v>8</v>
      </c>
      <c r="K101" t="s">
        <v>3</v>
      </c>
      <c r="L101" t="s">
        <v>3</v>
      </c>
      <c r="M101" t="s">
        <v>122</v>
      </c>
      <c r="N101" t="s">
        <v>3</v>
      </c>
      <c r="O101" t="s">
        <v>3</v>
      </c>
      <c r="P101" t="s">
        <v>3</v>
      </c>
      <c r="Q101" t="s">
        <v>111</v>
      </c>
      <c r="R101" t="s">
        <v>122</v>
      </c>
      <c r="S101" t="s">
        <v>8</v>
      </c>
      <c r="T101" t="s">
        <v>91</v>
      </c>
      <c r="U101" t="s">
        <v>3</v>
      </c>
      <c r="V101" t="s">
        <v>3</v>
      </c>
      <c r="W101" t="s">
        <v>1739</v>
      </c>
      <c r="AA101" t="s">
        <v>8</v>
      </c>
      <c r="AB101" t="s">
        <v>3</v>
      </c>
      <c r="AC101" t="s">
        <v>3</v>
      </c>
      <c r="AD101" t="s">
        <v>8</v>
      </c>
      <c r="AE101" t="s">
        <v>111</v>
      </c>
      <c r="AF101" t="s">
        <v>1767</v>
      </c>
    </row>
    <row r="102" spans="1:32">
      <c r="A102" t="s">
        <v>93</v>
      </c>
      <c r="B102" t="s">
        <v>1768</v>
      </c>
      <c r="C102" t="s">
        <v>1769</v>
      </c>
      <c r="D102" t="s">
        <v>1770</v>
      </c>
      <c r="E102" t="s">
        <v>1771</v>
      </c>
      <c r="F102" t="s">
        <v>1772</v>
      </c>
      <c r="H102" t="s">
        <v>1773</v>
      </c>
      <c r="I102" t="s">
        <v>1774</v>
      </c>
      <c r="J102" t="s">
        <v>8</v>
      </c>
      <c r="K102" t="s">
        <v>3</v>
      </c>
      <c r="L102" t="s">
        <v>3</v>
      </c>
      <c r="M102" t="s">
        <v>122</v>
      </c>
      <c r="N102" t="s">
        <v>3</v>
      </c>
      <c r="O102" t="s">
        <v>3</v>
      </c>
      <c r="P102" t="s">
        <v>3</v>
      </c>
      <c r="Q102" t="s">
        <v>111</v>
      </c>
      <c r="R102" t="s">
        <v>122</v>
      </c>
      <c r="S102" t="s">
        <v>8</v>
      </c>
      <c r="T102" t="s">
        <v>93</v>
      </c>
      <c r="U102" t="s">
        <v>3</v>
      </c>
      <c r="V102" t="s">
        <v>3</v>
      </c>
      <c r="W102" t="s">
        <v>54</v>
      </c>
      <c r="AA102" t="s">
        <v>8</v>
      </c>
      <c r="AB102" t="s">
        <v>3</v>
      </c>
      <c r="AC102" t="s">
        <v>3</v>
      </c>
      <c r="AD102" t="s">
        <v>8</v>
      </c>
      <c r="AE102" t="s">
        <v>111</v>
      </c>
      <c r="AF102" t="s">
        <v>1775</v>
      </c>
    </row>
    <row r="103" spans="1:32">
      <c r="A103" t="s">
        <v>1776</v>
      </c>
      <c r="B103" t="s">
        <v>1777</v>
      </c>
      <c r="C103" t="s">
        <v>1778</v>
      </c>
      <c r="D103" t="s">
        <v>1779</v>
      </c>
      <c r="H103" t="s">
        <v>1773</v>
      </c>
      <c r="I103" t="s">
        <v>1774</v>
      </c>
      <c r="J103" t="s">
        <v>8</v>
      </c>
      <c r="K103" t="s">
        <v>3</v>
      </c>
      <c r="L103" t="s">
        <v>3</v>
      </c>
      <c r="M103" t="s">
        <v>122</v>
      </c>
      <c r="N103" t="s">
        <v>3</v>
      </c>
      <c r="O103" t="s">
        <v>3</v>
      </c>
      <c r="P103" t="s">
        <v>3</v>
      </c>
      <c r="Q103" t="s">
        <v>111</v>
      </c>
      <c r="R103" t="s">
        <v>122</v>
      </c>
      <c r="S103" t="s">
        <v>8</v>
      </c>
      <c r="T103" t="s">
        <v>1776</v>
      </c>
      <c r="U103" t="s">
        <v>3</v>
      </c>
      <c r="V103" t="s">
        <v>3</v>
      </c>
      <c r="W103" t="s">
        <v>443</v>
      </c>
      <c r="AA103" t="s">
        <v>8</v>
      </c>
      <c r="AB103" t="s">
        <v>3</v>
      </c>
      <c r="AC103" t="s">
        <v>3</v>
      </c>
      <c r="AD103" t="s">
        <v>8</v>
      </c>
      <c r="AE103" t="s">
        <v>72</v>
      </c>
      <c r="AF103" t="s">
        <v>1780</v>
      </c>
    </row>
    <row r="104" spans="1:32">
      <c r="A104" t="s">
        <v>1781</v>
      </c>
      <c r="B104" t="s">
        <v>1782</v>
      </c>
      <c r="C104" t="s">
        <v>1783</v>
      </c>
      <c r="D104" t="s">
        <v>1784</v>
      </c>
      <c r="H104" t="s">
        <v>1773</v>
      </c>
      <c r="I104" t="s">
        <v>1774</v>
      </c>
      <c r="J104" t="s">
        <v>8</v>
      </c>
      <c r="K104" t="s">
        <v>3</v>
      </c>
      <c r="L104" t="s">
        <v>3</v>
      </c>
      <c r="M104" t="s">
        <v>122</v>
      </c>
      <c r="N104" t="s">
        <v>3</v>
      </c>
      <c r="O104" t="s">
        <v>3</v>
      </c>
      <c r="P104" t="s">
        <v>3</v>
      </c>
      <c r="Q104" t="s">
        <v>111</v>
      </c>
      <c r="R104" t="s">
        <v>122</v>
      </c>
      <c r="S104" t="s">
        <v>8</v>
      </c>
      <c r="T104" t="s">
        <v>1781</v>
      </c>
      <c r="U104" t="s">
        <v>3</v>
      </c>
      <c r="V104" t="s">
        <v>3</v>
      </c>
      <c r="W104" t="s">
        <v>149</v>
      </c>
      <c r="AA104" t="s">
        <v>8</v>
      </c>
      <c r="AB104" t="s">
        <v>3</v>
      </c>
      <c r="AC104" t="s">
        <v>3</v>
      </c>
      <c r="AD104" t="s">
        <v>8</v>
      </c>
      <c r="AE104" t="s">
        <v>111</v>
      </c>
      <c r="AF104" t="s">
        <v>1785</v>
      </c>
    </row>
    <row r="105" spans="1:32">
      <c r="A105" t="s">
        <v>1786</v>
      </c>
      <c r="B105" t="s">
        <v>1787</v>
      </c>
      <c r="C105" t="s">
        <v>1788</v>
      </c>
      <c r="D105" t="s">
        <v>1789</v>
      </c>
      <c r="H105" t="s">
        <v>1773</v>
      </c>
      <c r="I105" t="s">
        <v>1774</v>
      </c>
      <c r="J105" t="s">
        <v>8</v>
      </c>
      <c r="K105" t="s">
        <v>3</v>
      </c>
      <c r="L105" t="s">
        <v>3</v>
      </c>
      <c r="M105" t="s">
        <v>122</v>
      </c>
      <c r="N105" t="s">
        <v>3</v>
      </c>
      <c r="O105" t="s">
        <v>3</v>
      </c>
      <c r="P105" t="s">
        <v>3</v>
      </c>
      <c r="Q105" t="s">
        <v>111</v>
      </c>
      <c r="R105" t="s">
        <v>122</v>
      </c>
      <c r="S105" t="s">
        <v>8</v>
      </c>
      <c r="T105" t="s">
        <v>1786</v>
      </c>
      <c r="U105" t="s">
        <v>3</v>
      </c>
      <c r="V105" t="s">
        <v>3</v>
      </c>
      <c r="W105" t="s">
        <v>448</v>
      </c>
      <c r="AA105" t="s">
        <v>8</v>
      </c>
      <c r="AB105" t="s">
        <v>3</v>
      </c>
      <c r="AC105" t="s">
        <v>3</v>
      </c>
      <c r="AD105" t="s">
        <v>8</v>
      </c>
      <c r="AE105" t="s">
        <v>111</v>
      </c>
      <c r="AF105" t="s">
        <v>1790</v>
      </c>
    </row>
    <row r="106" spans="1:32">
      <c r="A106" t="s">
        <v>1791</v>
      </c>
      <c r="B106" t="s">
        <v>1792</v>
      </c>
      <c r="C106" t="s">
        <v>1793</v>
      </c>
      <c r="D106" t="s">
        <v>1794</v>
      </c>
      <c r="H106" t="s">
        <v>1773</v>
      </c>
      <c r="I106" t="s">
        <v>1774</v>
      </c>
      <c r="J106" t="s">
        <v>8</v>
      </c>
      <c r="K106" t="s">
        <v>3</v>
      </c>
      <c r="L106" t="s">
        <v>3</v>
      </c>
      <c r="M106" t="s">
        <v>122</v>
      </c>
      <c r="N106" t="s">
        <v>3</v>
      </c>
      <c r="O106" t="s">
        <v>3</v>
      </c>
      <c r="P106" t="s">
        <v>3</v>
      </c>
      <c r="Q106" t="s">
        <v>111</v>
      </c>
      <c r="R106" t="s">
        <v>122</v>
      </c>
      <c r="S106" t="s">
        <v>8</v>
      </c>
      <c r="T106" t="s">
        <v>1791</v>
      </c>
      <c r="U106" t="s">
        <v>3</v>
      </c>
      <c r="V106" t="s">
        <v>3</v>
      </c>
      <c r="W106" t="s">
        <v>443</v>
      </c>
      <c r="AA106" t="s">
        <v>8</v>
      </c>
      <c r="AB106" t="s">
        <v>3</v>
      </c>
      <c r="AC106" t="s">
        <v>3</v>
      </c>
      <c r="AD106" t="s">
        <v>8</v>
      </c>
      <c r="AE106" t="s">
        <v>72</v>
      </c>
      <c r="AF106" t="s">
        <v>1795</v>
      </c>
    </row>
    <row r="107" spans="1:32">
      <c r="A107" t="s">
        <v>1796</v>
      </c>
      <c r="B107" t="s">
        <v>1797</v>
      </c>
      <c r="C107" t="s">
        <v>1798</v>
      </c>
      <c r="D107" t="s">
        <v>1799</v>
      </c>
      <c r="E107" t="s">
        <v>1771</v>
      </c>
      <c r="F107" t="s">
        <v>1772</v>
      </c>
      <c r="H107" t="s">
        <v>1773</v>
      </c>
      <c r="I107" t="s">
        <v>1774</v>
      </c>
      <c r="J107" t="s">
        <v>8</v>
      </c>
      <c r="K107" t="s">
        <v>3</v>
      </c>
      <c r="L107" t="s">
        <v>3</v>
      </c>
      <c r="M107" t="s">
        <v>122</v>
      </c>
      <c r="N107" t="s">
        <v>3</v>
      </c>
      <c r="O107" t="s">
        <v>3</v>
      </c>
      <c r="P107" t="s">
        <v>3</v>
      </c>
      <c r="Q107" t="s">
        <v>111</v>
      </c>
      <c r="R107" t="s">
        <v>122</v>
      </c>
      <c r="S107" t="s">
        <v>8</v>
      </c>
      <c r="T107" t="s">
        <v>1796</v>
      </c>
      <c r="U107" t="s">
        <v>3</v>
      </c>
      <c r="V107" t="s">
        <v>3</v>
      </c>
      <c r="W107" t="s">
        <v>54</v>
      </c>
      <c r="AA107" t="s">
        <v>8</v>
      </c>
      <c r="AB107" t="s">
        <v>3</v>
      </c>
      <c r="AC107" t="s">
        <v>3</v>
      </c>
      <c r="AD107" t="s">
        <v>8</v>
      </c>
      <c r="AE107" t="s">
        <v>72</v>
      </c>
      <c r="AF107" t="s">
        <v>1800</v>
      </c>
    </row>
    <row r="108" spans="1:32">
      <c r="A108" t="s">
        <v>95</v>
      </c>
      <c r="B108" t="s">
        <v>1801</v>
      </c>
      <c r="C108" t="s">
        <v>1802</v>
      </c>
      <c r="D108" t="s">
        <v>1803</v>
      </c>
      <c r="E108" t="s">
        <v>1771</v>
      </c>
      <c r="F108" t="s">
        <v>1772</v>
      </c>
      <c r="H108" t="s">
        <v>1773</v>
      </c>
      <c r="I108" t="s">
        <v>1774</v>
      </c>
      <c r="J108" t="s">
        <v>8</v>
      </c>
      <c r="K108" t="s">
        <v>3</v>
      </c>
      <c r="L108" t="s">
        <v>3</v>
      </c>
      <c r="M108" t="s">
        <v>122</v>
      </c>
      <c r="N108" t="s">
        <v>3</v>
      </c>
      <c r="O108" t="s">
        <v>3</v>
      </c>
      <c r="P108" t="s">
        <v>3</v>
      </c>
      <c r="Q108" t="s">
        <v>111</v>
      </c>
      <c r="R108" t="s">
        <v>122</v>
      </c>
      <c r="S108" t="s">
        <v>8</v>
      </c>
      <c r="T108" t="s">
        <v>95</v>
      </c>
      <c r="U108" t="s">
        <v>3</v>
      </c>
      <c r="V108" t="s">
        <v>3</v>
      </c>
      <c r="W108" t="s">
        <v>54</v>
      </c>
      <c r="X108" t="s">
        <v>1637</v>
      </c>
      <c r="Y108" t="s">
        <v>1638</v>
      </c>
      <c r="Z108" t="s">
        <v>1554</v>
      </c>
      <c r="AA108" t="s">
        <v>8</v>
      </c>
      <c r="AB108" t="s">
        <v>3</v>
      </c>
      <c r="AC108" t="s">
        <v>3</v>
      </c>
      <c r="AD108" t="s">
        <v>8</v>
      </c>
      <c r="AE108" t="s">
        <v>111</v>
      </c>
      <c r="AF108" t="s">
        <v>1804</v>
      </c>
    </row>
    <row r="109" spans="1:32">
      <c r="A109" t="s">
        <v>97</v>
      </c>
      <c r="B109" t="s">
        <v>1805</v>
      </c>
      <c r="C109" t="s">
        <v>1806</v>
      </c>
      <c r="D109" t="s">
        <v>1807</v>
      </c>
      <c r="E109" t="s">
        <v>1771</v>
      </c>
      <c r="F109" t="s">
        <v>1772</v>
      </c>
      <c r="H109" t="s">
        <v>1773</v>
      </c>
      <c r="I109" t="s">
        <v>1774</v>
      </c>
      <c r="J109" t="s">
        <v>8</v>
      </c>
      <c r="K109" t="s">
        <v>3</v>
      </c>
      <c r="L109" t="s">
        <v>3</v>
      </c>
      <c r="M109" t="s">
        <v>122</v>
      </c>
      <c r="N109" t="s">
        <v>3</v>
      </c>
      <c r="O109" t="s">
        <v>3</v>
      </c>
      <c r="P109" t="s">
        <v>3</v>
      </c>
      <c r="Q109" t="s">
        <v>111</v>
      </c>
      <c r="R109" t="s">
        <v>122</v>
      </c>
      <c r="S109" t="s">
        <v>8</v>
      </c>
      <c r="T109" t="s">
        <v>97</v>
      </c>
      <c r="U109" t="s">
        <v>3</v>
      </c>
      <c r="V109" t="s">
        <v>3</v>
      </c>
      <c r="W109" t="s">
        <v>54</v>
      </c>
      <c r="AA109" t="s">
        <v>8</v>
      </c>
      <c r="AB109" t="s">
        <v>3</v>
      </c>
      <c r="AC109" t="s">
        <v>3</v>
      </c>
      <c r="AD109" t="s">
        <v>8</v>
      </c>
      <c r="AE109" t="s">
        <v>111</v>
      </c>
      <c r="AF109" t="s">
        <v>1808</v>
      </c>
    </row>
    <row r="110" spans="1:32">
      <c r="A110" t="s">
        <v>1809</v>
      </c>
      <c r="B110" t="s">
        <v>1810</v>
      </c>
      <c r="C110" t="s">
        <v>1811</v>
      </c>
      <c r="D110" t="s">
        <v>1812</v>
      </c>
      <c r="H110" t="s">
        <v>1773</v>
      </c>
      <c r="I110" t="s">
        <v>1774</v>
      </c>
      <c r="J110" t="s">
        <v>8</v>
      </c>
      <c r="K110" t="s">
        <v>3</v>
      </c>
      <c r="L110" t="s">
        <v>3</v>
      </c>
      <c r="M110" t="s">
        <v>122</v>
      </c>
      <c r="N110" t="s">
        <v>3</v>
      </c>
      <c r="O110" t="s">
        <v>3</v>
      </c>
      <c r="P110" t="s">
        <v>3</v>
      </c>
      <c r="Q110" t="s">
        <v>111</v>
      </c>
      <c r="R110" t="s">
        <v>122</v>
      </c>
      <c r="S110" t="s">
        <v>8</v>
      </c>
      <c r="T110" t="s">
        <v>1809</v>
      </c>
      <c r="U110" t="s">
        <v>3</v>
      </c>
      <c r="V110" t="s">
        <v>3</v>
      </c>
      <c r="W110" t="s">
        <v>443</v>
      </c>
      <c r="AA110" t="s">
        <v>8</v>
      </c>
      <c r="AB110" t="s">
        <v>3</v>
      </c>
      <c r="AC110" t="s">
        <v>3</v>
      </c>
      <c r="AD110" t="s">
        <v>8</v>
      </c>
      <c r="AE110" t="s">
        <v>72</v>
      </c>
      <c r="AF110" t="s">
        <v>1813</v>
      </c>
    </row>
    <row r="111" spans="1:32">
      <c r="A111" t="s">
        <v>145</v>
      </c>
      <c r="B111" t="s">
        <v>1814</v>
      </c>
      <c r="C111" t="s">
        <v>1815</v>
      </c>
      <c r="D111" t="s">
        <v>1816</v>
      </c>
      <c r="E111" t="s">
        <v>1817</v>
      </c>
      <c r="F111" t="s">
        <v>1818</v>
      </c>
      <c r="H111" t="s">
        <v>1819</v>
      </c>
      <c r="I111" t="s">
        <v>1820</v>
      </c>
      <c r="J111" t="s">
        <v>8</v>
      </c>
      <c r="K111" t="s">
        <v>3</v>
      </c>
      <c r="L111" t="s">
        <v>3</v>
      </c>
      <c r="M111" t="s">
        <v>122</v>
      </c>
      <c r="N111" t="s">
        <v>3</v>
      </c>
      <c r="O111" t="s">
        <v>3</v>
      </c>
      <c r="P111" t="s">
        <v>3</v>
      </c>
      <c r="Q111" t="s">
        <v>8</v>
      </c>
      <c r="R111" t="s">
        <v>122</v>
      </c>
      <c r="S111" t="s">
        <v>8</v>
      </c>
      <c r="T111" t="s">
        <v>145</v>
      </c>
      <c r="U111" t="s">
        <v>3</v>
      </c>
      <c r="V111" t="s">
        <v>3</v>
      </c>
      <c r="W111" t="s">
        <v>1821</v>
      </c>
      <c r="X111" t="s">
        <v>1637</v>
      </c>
      <c r="Y111" t="s">
        <v>8</v>
      </c>
      <c r="AA111" t="s">
        <v>8</v>
      </c>
      <c r="AB111" t="s">
        <v>8</v>
      </c>
      <c r="AC111" t="s">
        <v>3</v>
      </c>
      <c r="AD111" t="s">
        <v>8</v>
      </c>
      <c r="AE111" t="s">
        <v>111</v>
      </c>
      <c r="AF111" t="s">
        <v>1822</v>
      </c>
    </row>
    <row r="112" spans="1:32">
      <c r="A112" t="s">
        <v>147</v>
      </c>
      <c r="B112" t="s">
        <v>38</v>
      </c>
      <c r="C112" t="s">
        <v>1823</v>
      </c>
      <c r="D112" t="s">
        <v>38</v>
      </c>
      <c r="E112" t="s">
        <v>1817</v>
      </c>
      <c r="F112" t="s">
        <v>1818</v>
      </c>
      <c r="H112" t="s">
        <v>1819</v>
      </c>
      <c r="I112" t="s">
        <v>1820</v>
      </c>
      <c r="J112" t="s">
        <v>8</v>
      </c>
      <c r="K112" t="s">
        <v>3</v>
      </c>
      <c r="L112" t="s">
        <v>3</v>
      </c>
      <c r="M112" t="s">
        <v>122</v>
      </c>
      <c r="N112" t="s">
        <v>3</v>
      </c>
      <c r="O112" t="s">
        <v>3</v>
      </c>
      <c r="P112" t="s">
        <v>3</v>
      </c>
      <c r="Q112" t="s">
        <v>8</v>
      </c>
      <c r="R112" t="s">
        <v>122</v>
      </c>
      <c r="S112" t="s">
        <v>8</v>
      </c>
      <c r="T112" t="s">
        <v>147</v>
      </c>
      <c r="U112" t="s">
        <v>3</v>
      </c>
      <c r="V112" t="s">
        <v>3</v>
      </c>
      <c r="W112" t="s">
        <v>1821</v>
      </c>
      <c r="AA112" t="s">
        <v>8</v>
      </c>
      <c r="AB112" t="s">
        <v>8</v>
      </c>
      <c r="AC112" t="s">
        <v>3</v>
      </c>
      <c r="AD112" t="s">
        <v>8</v>
      </c>
      <c r="AE112" t="s">
        <v>72</v>
      </c>
      <c r="AF112" t="s">
        <v>1824</v>
      </c>
    </row>
    <row r="113" spans="1:32">
      <c r="A113" t="s">
        <v>148</v>
      </c>
      <c r="B113" t="s">
        <v>1814</v>
      </c>
      <c r="C113" t="s">
        <v>1815</v>
      </c>
      <c r="D113" t="s">
        <v>1825</v>
      </c>
      <c r="E113" t="s">
        <v>1817</v>
      </c>
      <c r="F113" t="s">
        <v>1818</v>
      </c>
      <c r="H113" t="s">
        <v>1819</v>
      </c>
      <c r="I113" t="s">
        <v>1820</v>
      </c>
      <c r="J113" t="s">
        <v>8</v>
      </c>
      <c r="K113" t="s">
        <v>3</v>
      </c>
      <c r="L113" t="s">
        <v>3</v>
      </c>
      <c r="M113" t="s">
        <v>122</v>
      </c>
      <c r="N113" t="s">
        <v>3</v>
      </c>
      <c r="O113" t="s">
        <v>3</v>
      </c>
      <c r="P113" t="s">
        <v>3</v>
      </c>
      <c r="Q113" t="s">
        <v>8</v>
      </c>
      <c r="R113" t="s">
        <v>122</v>
      </c>
      <c r="S113" t="s">
        <v>8</v>
      </c>
      <c r="T113" t="s">
        <v>148</v>
      </c>
      <c r="U113" t="s">
        <v>3</v>
      </c>
      <c r="V113" t="s">
        <v>3</v>
      </c>
      <c r="W113" t="s">
        <v>1821</v>
      </c>
      <c r="X113" t="s">
        <v>568</v>
      </c>
      <c r="Y113" t="s">
        <v>8</v>
      </c>
      <c r="AA113" t="s">
        <v>8</v>
      </c>
      <c r="AB113" t="s">
        <v>3</v>
      </c>
      <c r="AC113" t="s">
        <v>3</v>
      </c>
      <c r="AD113" t="s">
        <v>8</v>
      </c>
      <c r="AE113" t="s">
        <v>111</v>
      </c>
      <c r="AF113" t="s">
        <v>1826</v>
      </c>
    </row>
    <row r="114" spans="1:32">
      <c r="A114" t="s">
        <v>1827</v>
      </c>
      <c r="B114" t="s">
        <v>1814</v>
      </c>
      <c r="C114" t="s">
        <v>1828</v>
      </c>
      <c r="D114" t="s">
        <v>1829</v>
      </c>
      <c r="E114" t="s">
        <v>1817</v>
      </c>
      <c r="F114" t="s">
        <v>1818</v>
      </c>
      <c r="H114" t="s">
        <v>1819</v>
      </c>
      <c r="I114" t="s">
        <v>1820</v>
      </c>
      <c r="J114" t="s">
        <v>8</v>
      </c>
      <c r="K114" t="s">
        <v>3</v>
      </c>
      <c r="L114" t="s">
        <v>3</v>
      </c>
      <c r="M114" t="s">
        <v>122</v>
      </c>
      <c r="N114" t="s">
        <v>3</v>
      </c>
      <c r="O114" t="s">
        <v>3</v>
      </c>
      <c r="P114" t="s">
        <v>3</v>
      </c>
      <c r="Q114" t="s">
        <v>8</v>
      </c>
      <c r="R114" t="s">
        <v>122</v>
      </c>
      <c r="S114" t="s">
        <v>8</v>
      </c>
      <c r="T114" t="s">
        <v>1827</v>
      </c>
      <c r="U114" t="s">
        <v>3</v>
      </c>
      <c r="V114" t="s">
        <v>3</v>
      </c>
      <c r="W114" t="s">
        <v>1821</v>
      </c>
      <c r="AA114" t="s">
        <v>8</v>
      </c>
      <c r="AB114" t="s">
        <v>3</v>
      </c>
      <c r="AC114" t="s">
        <v>3</v>
      </c>
      <c r="AD114" t="s">
        <v>8</v>
      </c>
      <c r="AE114" t="s">
        <v>111</v>
      </c>
      <c r="AF114" t="s">
        <v>1830</v>
      </c>
    </row>
    <row r="115" spans="1:32">
      <c r="A115" t="s">
        <v>1831</v>
      </c>
      <c r="B115" t="s">
        <v>1832</v>
      </c>
      <c r="C115" t="s">
        <v>1833</v>
      </c>
      <c r="D115" t="s">
        <v>1834</v>
      </c>
      <c r="E115" t="s">
        <v>1347</v>
      </c>
      <c r="F115" t="s">
        <v>1835</v>
      </c>
      <c r="H115" t="s">
        <v>1836</v>
      </c>
      <c r="I115" t="s">
        <v>1837</v>
      </c>
      <c r="J115" t="s">
        <v>8</v>
      </c>
      <c r="K115" t="s">
        <v>3</v>
      </c>
      <c r="L115" t="s">
        <v>3</v>
      </c>
      <c r="M115" t="s">
        <v>122</v>
      </c>
      <c r="N115" t="s">
        <v>3</v>
      </c>
      <c r="O115" t="s">
        <v>3</v>
      </c>
      <c r="P115" t="s">
        <v>3</v>
      </c>
      <c r="Q115" t="s">
        <v>8</v>
      </c>
      <c r="R115" t="s">
        <v>122</v>
      </c>
      <c r="S115" t="s">
        <v>8</v>
      </c>
      <c r="T115" t="s">
        <v>1831</v>
      </c>
      <c r="U115" t="s">
        <v>3</v>
      </c>
      <c r="V115" t="s">
        <v>3</v>
      </c>
      <c r="W115" t="s">
        <v>1838</v>
      </c>
      <c r="AA115" t="s">
        <v>3</v>
      </c>
      <c r="AB115" t="s">
        <v>8</v>
      </c>
      <c r="AC115" t="s">
        <v>3</v>
      </c>
      <c r="AD115" t="s">
        <v>8</v>
      </c>
      <c r="AE115" t="s">
        <v>8</v>
      </c>
      <c r="AF115" t="s">
        <v>1839</v>
      </c>
    </row>
    <row r="116" spans="1:32">
      <c r="A116" t="s">
        <v>1840</v>
      </c>
      <c r="B116" t="s">
        <v>1841</v>
      </c>
      <c r="C116" t="s">
        <v>1833</v>
      </c>
      <c r="D116" t="s">
        <v>1841</v>
      </c>
      <c r="H116" t="s">
        <v>1836</v>
      </c>
      <c r="I116" t="s">
        <v>1837</v>
      </c>
      <c r="J116" t="s">
        <v>8</v>
      </c>
      <c r="K116" t="s">
        <v>3</v>
      </c>
      <c r="L116" t="s">
        <v>3</v>
      </c>
      <c r="M116" t="s">
        <v>122</v>
      </c>
      <c r="N116" t="s">
        <v>3</v>
      </c>
      <c r="O116" t="s">
        <v>3</v>
      </c>
      <c r="P116" t="s">
        <v>3</v>
      </c>
      <c r="Q116" t="s">
        <v>8</v>
      </c>
      <c r="R116" t="s">
        <v>122</v>
      </c>
      <c r="S116" t="s">
        <v>8</v>
      </c>
      <c r="T116" t="s">
        <v>1840</v>
      </c>
      <c r="U116" t="s">
        <v>3</v>
      </c>
      <c r="V116" t="s">
        <v>3</v>
      </c>
      <c r="W116" t="s">
        <v>1842</v>
      </c>
      <c r="AA116" t="s">
        <v>8</v>
      </c>
      <c r="AB116" t="s">
        <v>8</v>
      </c>
      <c r="AC116" t="s">
        <v>3</v>
      </c>
      <c r="AD116" t="s">
        <v>8</v>
      </c>
      <c r="AE116" t="s">
        <v>111</v>
      </c>
      <c r="AF116" t="s">
        <v>1843</v>
      </c>
    </row>
    <row r="117" spans="1:32">
      <c r="A117" t="s">
        <v>1844</v>
      </c>
      <c r="B117" t="s">
        <v>1845</v>
      </c>
      <c r="C117" t="s">
        <v>1833</v>
      </c>
      <c r="D117" t="s">
        <v>1846</v>
      </c>
      <c r="H117" t="s">
        <v>1836</v>
      </c>
      <c r="I117" t="s">
        <v>1837</v>
      </c>
      <c r="J117" t="s">
        <v>8</v>
      </c>
      <c r="K117" t="s">
        <v>3</v>
      </c>
      <c r="L117" t="s">
        <v>3</v>
      </c>
      <c r="M117" t="s">
        <v>122</v>
      </c>
      <c r="N117" t="s">
        <v>3</v>
      </c>
      <c r="O117" t="s">
        <v>3</v>
      </c>
      <c r="P117" t="s">
        <v>3</v>
      </c>
      <c r="Q117" t="s">
        <v>8</v>
      </c>
      <c r="R117" t="s">
        <v>122</v>
      </c>
      <c r="S117" t="s">
        <v>8</v>
      </c>
      <c r="T117" t="s">
        <v>1844</v>
      </c>
      <c r="U117" t="s">
        <v>3</v>
      </c>
      <c r="V117" t="s">
        <v>3</v>
      </c>
      <c r="W117" t="s">
        <v>1847</v>
      </c>
      <c r="AA117" t="s">
        <v>3</v>
      </c>
      <c r="AB117" t="s">
        <v>8</v>
      </c>
      <c r="AC117" t="s">
        <v>3</v>
      </c>
      <c r="AD117" t="s">
        <v>8</v>
      </c>
      <c r="AE117" t="s">
        <v>8</v>
      </c>
      <c r="AF117" t="s">
        <v>1848</v>
      </c>
    </row>
    <row r="118" spans="1:32">
      <c r="A118" t="s">
        <v>1849</v>
      </c>
      <c r="B118" t="s">
        <v>1850</v>
      </c>
      <c r="C118" t="s">
        <v>1851</v>
      </c>
      <c r="D118" t="s">
        <v>1852</v>
      </c>
      <c r="E118" t="s">
        <v>1347</v>
      </c>
      <c r="F118" t="s">
        <v>1835</v>
      </c>
      <c r="H118" t="s">
        <v>1836</v>
      </c>
      <c r="I118" t="s">
        <v>1837</v>
      </c>
      <c r="J118" t="s">
        <v>8</v>
      </c>
      <c r="K118" t="s">
        <v>3</v>
      </c>
      <c r="L118" t="s">
        <v>3</v>
      </c>
      <c r="M118" t="s">
        <v>122</v>
      </c>
      <c r="N118" t="s">
        <v>3</v>
      </c>
      <c r="O118" t="s">
        <v>3</v>
      </c>
      <c r="P118" t="s">
        <v>3</v>
      </c>
      <c r="Q118" t="s">
        <v>8</v>
      </c>
      <c r="R118" t="s">
        <v>122</v>
      </c>
      <c r="S118" t="s">
        <v>8</v>
      </c>
      <c r="T118" t="s">
        <v>1849</v>
      </c>
      <c r="U118" t="s">
        <v>3</v>
      </c>
      <c r="V118" t="s">
        <v>3</v>
      </c>
      <c r="W118" t="s">
        <v>1838</v>
      </c>
      <c r="AA118" t="s">
        <v>8</v>
      </c>
      <c r="AB118" t="s">
        <v>8</v>
      </c>
      <c r="AC118" t="s">
        <v>3</v>
      </c>
      <c r="AD118" t="s">
        <v>8</v>
      </c>
      <c r="AE118" t="s">
        <v>84</v>
      </c>
      <c r="AF118" t="s">
        <v>1853</v>
      </c>
    </row>
    <row r="119" spans="1:32">
      <c r="A119" t="s">
        <v>1854</v>
      </c>
      <c r="B119" t="s">
        <v>1855</v>
      </c>
      <c r="C119" t="s">
        <v>1856</v>
      </c>
      <c r="D119" t="s">
        <v>1857</v>
      </c>
      <c r="E119" t="s">
        <v>1858</v>
      </c>
      <c r="F119" t="s">
        <v>1859</v>
      </c>
      <c r="H119" t="s">
        <v>1860</v>
      </c>
      <c r="I119" t="s">
        <v>1861</v>
      </c>
      <c r="J119" t="s">
        <v>8</v>
      </c>
      <c r="K119" t="s">
        <v>3</v>
      </c>
      <c r="L119" t="s">
        <v>3</v>
      </c>
      <c r="M119" t="s">
        <v>122</v>
      </c>
      <c r="N119" t="s">
        <v>3</v>
      </c>
      <c r="O119" t="s">
        <v>3</v>
      </c>
      <c r="P119" t="s">
        <v>3</v>
      </c>
      <c r="Q119" t="s">
        <v>8</v>
      </c>
      <c r="R119" t="s">
        <v>122</v>
      </c>
      <c r="S119" t="s">
        <v>8</v>
      </c>
      <c r="T119" t="s">
        <v>1854</v>
      </c>
      <c r="U119" t="s">
        <v>3</v>
      </c>
      <c r="V119" t="s">
        <v>3</v>
      </c>
      <c r="W119" t="s">
        <v>1862</v>
      </c>
      <c r="AA119" t="s">
        <v>3</v>
      </c>
      <c r="AB119" t="s">
        <v>8</v>
      </c>
      <c r="AC119" t="s">
        <v>3</v>
      </c>
      <c r="AD119" t="s">
        <v>8</v>
      </c>
      <c r="AE119" t="s">
        <v>111</v>
      </c>
      <c r="AF119" t="s">
        <v>1863</v>
      </c>
    </row>
    <row r="120" spans="1:32">
      <c r="A120" t="s">
        <v>1864</v>
      </c>
      <c r="B120" t="s">
        <v>1865</v>
      </c>
      <c r="C120" t="s">
        <v>1866</v>
      </c>
      <c r="D120" t="s">
        <v>1865</v>
      </c>
      <c r="H120" t="s">
        <v>1860</v>
      </c>
      <c r="I120" t="s">
        <v>1861</v>
      </c>
      <c r="J120" t="s">
        <v>8</v>
      </c>
      <c r="K120" t="s">
        <v>3</v>
      </c>
      <c r="L120" t="s">
        <v>3</v>
      </c>
      <c r="M120" t="s">
        <v>122</v>
      </c>
      <c r="N120" t="s">
        <v>3</v>
      </c>
      <c r="O120" t="s">
        <v>3</v>
      </c>
      <c r="P120" t="s">
        <v>3</v>
      </c>
      <c r="Q120" t="s">
        <v>8</v>
      </c>
      <c r="R120" t="s">
        <v>122</v>
      </c>
      <c r="S120" t="s">
        <v>8</v>
      </c>
      <c r="T120" t="s">
        <v>1864</v>
      </c>
      <c r="U120" t="s">
        <v>3</v>
      </c>
      <c r="V120" t="s">
        <v>3</v>
      </c>
      <c r="W120" t="s">
        <v>1867</v>
      </c>
      <c r="AA120" t="s">
        <v>8</v>
      </c>
      <c r="AB120" t="s">
        <v>8</v>
      </c>
      <c r="AC120" t="s">
        <v>3</v>
      </c>
      <c r="AD120" t="s">
        <v>8</v>
      </c>
      <c r="AE120" t="s">
        <v>111</v>
      </c>
      <c r="AF120" t="s">
        <v>1868</v>
      </c>
    </row>
    <row r="121" spans="1:32">
      <c r="A121" t="s">
        <v>1869</v>
      </c>
      <c r="B121" t="s">
        <v>1870</v>
      </c>
      <c r="C121" t="s">
        <v>1856</v>
      </c>
      <c r="D121" t="s">
        <v>1871</v>
      </c>
      <c r="H121" t="s">
        <v>1860</v>
      </c>
      <c r="I121" t="s">
        <v>1861</v>
      </c>
      <c r="J121" t="s">
        <v>8</v>
      </c>
      <c r="K121" t="s">
        <v>3</v>
      </c>
      <c r="L121" t="s">
        <v>3</v>
      </c>
      <c r="M121" t="s">
        <v>122</v>
      </c>
      <c r="N121" t="s">
        <v>3</v>
      </c>
      <c r="O121" t="s">
        <v>3</v>
      </c>
      <c r="P121" t="s">
        <v>3</v>
      </c>
      <c r="Q121" t="s">
        <v>8</v>
      </c>
      <c r="R121" t="s">
        <v>122</v>
      </c>
      <c r="S121" t="s">
        <v>8</v>
      </c>
      <c r="T121" t="s">
        <v>1869</v>
      </c>
      <c r="U121" t="s">
        <v>3</v>
      </c>
      <c r="V121" t="s">
        <v>3</v>
      </c>
      <c r="W121" t="s">
        <v>1872</v>
      </c>
      <c r="AA121" t="s">
        <v>3</v>
      </c>
      <c r="AB121" t="s">
        <v>8</v>
      </c>
      <c r="AC121" t="s">
        <v>3</v>
      </c>
      <c r="AD121" t="s">
        <v>8</v>
      </c>
      <c r="AE121" t="s">
        <v>60</v>
      </c>
      <c r="AF121" t="s">
        <v>1873</v>
      </c>
    </row>
    <row r="122" spans="1:32">
      <c r="A122" t="s">
        <v>1874</v>
      </c>
      <c r="B122" t="s">
        <v>1875</v>
      </c>
      <c r="C122" t="s">
        <v>1866</v>
      </c>
      <c r="D122" t="s">
        <v>1875</v>
      </c>
      <c r="H122" t="s">
        <v>1860</v>
      </c>
      <c r="I122" t="s">
        <v>1861</v>
      </c>
      <c r="J122" t="s">
        <v>8</v>
      </c>
      <c r="K122" t="s">
        <v>3</v>
      </c>
      <c r="L122" t="s">
        <v>3</v>
      </c>
      <c r="M122" t="s">
        <v>122</v>
      </c>
      <c r="N122" t="s">
        <v>3</v>
      </c>
      <c r="O122" t="s">
        <v>3</v>
      </c>
      <c r="P122" t="s">
        <v>3</v>
      </c>
      <c r="Q122" t="s">
        <v>8</v>
      </c>
      <c r="R122" t="s">
        <v>122</v>
      </c>
      <c r="S122" t="s">
        <v>8</v>
      </c>
      <c r="T122" t="s">
        <v>1874</v>
      </c>
      <c r="U122" t="s">
        <v>3</v>
      </c>
      <c r="V122" t="s">
        <v>3</v>
      </c>
      <c r="W122" t="s">
        <v>1867</v>
      </c>
      <c r="AA122" t="s">
        <v>3</v>
      </c>
      <c r="AB122" t="s">
        <v>8</v>
      </c>
      <c r="AC122" t="s">
        <v>3</v>
      </c>
      <c r="AD122" t="s">
        <v>8</v>
      </c>
      <c r="AE122" t="s">
        <v>111</v>
      </c>
      <c r="AF122" t="s">
        <v>1876</v>
      </c>
    </row>
    <row r="123" spans="1:32">
      <c r="A123" t="s">
        <v>1877</v>
      </c>
      <c r="B123" t="s">
        <v>1878</v>
      </c>
      <c r="C123" t="s">
        <v>1879</v>
      </c>
      <c r="D123" t="s">
        <v>1880</v>
      </c>
      <c r="E123" t="s">
        <v>1858</v>
      </c>
      <c r="F123" t="s">
        <v>1859</v>
      </c>
      <c r="H123" t="s">
        <v>1860</v>
      </c>
      <c r="I123" t="s">
        <v>1861</v>
      </c>
      <c r="J123" t="s">
        <v>8</v>
      </c>
      <c r="K123" t="s">
        <v>3</v>
      </c>
      <c r="L123" t="s">
        <v>3</v>
      </c>
      <c r="M123" t="s">
        <v>122</v>
      </c>
      <c r="N123" t="s">
        <v>3</v>
      </c>
      <c r="O123" t="s">
        <v>3</v>
      </c>
      <c r="P123" t="s">
        <v>3</v>
      </c>
      <c r="Q123" t="s">
        <v>8</v>
      </c>
      <c r="R123" t="s">
        <v>122</v>
      </c>
      <c r="S123" t="s">
        <v>8</v>
      </c>
      <c r="T123" t="s">
        <v>1877</v>
      </c>
      <c r="U123" t="s">
        <v>3</v>
      </c>
      <c r="V123" t="s">
        <v>3</v>
      </c>
      <c r="W123" t="s">
        <v>1862</v>
      </c>
      <c r="AA123" t="s">
        <v>8</v>
      </c>
      <c r="AB123" t="s">
        <v>8</v>
      </c>
      <c r="AC123" t="s">
        <v>3</v>
      </c>
      <c r="AD123" t="s">
        <v>8</v>
      </c>
      <c r="AE123" t="s">
        <v>84</v>
      </c>
      <c r="AF123" t="s">
        <v>1881</v>
      </c>
    </row>
    <row r="124" spans="1:32">
      <c r="A124" t="s">
        <v>1882</v>
      </c>
      <c r="B124" t="s">
        <v>1883</v>
      </c>
      <c r="C124" t="s">
        <v>1884</v>
      </c>
      <c r="D124" t="s">
        <v>1885</v>
      </c>
      <c r="E124" t="s">
        <v>1886</v>
      </c>
      <c r="F124" t="s">
        <v>1887</v>
      </c>
      <c r="H124" t="s">
        <v>1888</v>
      </c>
      <c r="I124" t="s">
        <v>1889</v>
      </c>
      <c r="J124" t="s">
        <v>8</v>
      </c>
      <c r="K124" t="s">
        <v>3</v>
      </c>
      <c r="L124" t="s">
        <v>3</v>
      </c>
      <c r="M124" t="s">
        <v>122</v>
      </c>
      <c r="N124" t="s">
        <v>3</v>
      </c>
      <c r="O124" t="s">
        <v>3</v>
      </c>
      <c r="P124" t="s">
        <v>3</v>
      </c>
      <c r="Q124" t="s">
        <v>8</v>
      </c>
      <c r="R124" t="s">
        <v>122</v>
      </c>
      <c r="S124" t="s">
        <v>8</v>
      </c>
      <c r="T124" t="s">
        <v>1882</v>
      </c>
      <c r="U124" t="s">
        <v>3</v>
      </c>
      <c r="V124" t="s">
        <v>3</v>
      </c>
      <c r="W124" t="s">
        <v>1890</v>
      </c>
      <c r="AA124" t="s">
        <v>3</v>
      </c>
      <c r="AB124" t="s">
        <v>8</v>
      </c>
      <c r="AC124" t="s">
        <v>3</v>
      </c>
      <c r="AD124" t="s">
        <v>8</v>
      </c>
      <c r="AE124" t="s">
        <v>111</v>
      </c>
      <c r="AF124" t="s">
        <v>1891</v>
      </c>
    </row>
    <row r="125" spans="1:32">
      <c r="A125" t="s">
        <v>1892</v>
      </c>
      <c r="B125" t="s">
        <v>1893</v>
      </c>
      <c r="C125" t="s">
        <v>1884</v>
      </c>
      <c r="D125" t="s">
        <v>1893</v>
      </c>
      <c r="H125" t="s">
        <v>1888</v>
      </c>
      <c r="I125" t="s">
        <v>1889</v>
      </c>
      <c r="J125" t="s">
        <v>8</v>
      </c>
      <c r="K125" t="s">
        <v>3</v>
      </c>
      <c r="L125" t="s">
        <v>3</v>
      </c>
      <c r="M125" t="s">
        <v>122</v>
      </c>
      <c r="N125" t="s">
        <v>3</v>
      </c>
      <c r="O125" t="s">
        <v>3</v>
      </c>
      <c r="P125" t="s">
        <v>3</v>
      </c>
      <c r="Q125" t="s">
        <v>8</v>
      </c>
      <c r="R125" t="s">
        <v>122</v>
      </c>
      <c r="S125" t="s">
        <v>8</v>
      </c>
      <c r="T125" t="s">
        <v>1892</v>
      </c>
      <c r="U125" t="s">
        <v>3</v>
      </c>
      <c r="V125" t="s">
        <v>3</v>
      </c>
      <c r="W125" t="s">
        <v>1890</v>
      </c>
      <c r="AA125" t="s">
        <v>8</v>
      </c>
      <c r="AB125" t="s">
        <v>8</v>
      </c>
      <c r="AC125" t="s">
        <v>3</v>
      </c>
      <c r="AD125" t="s">
        <v>8</v>
      </c>
      <c r="AE125" t="s">
        <v>111</v>
      </c>
      <c r="AF125" t="s">
        <v>1894</v>
      </c>
    </row>
    <row r="126" spans="1:32">
      <c r="A126" t="s">
        <v>1895</v>
      </c>
      <c r="B126" t="s">
        <v>1896</v>
      </c>
      <c r="C126" t="s">
        <v>1884</v>
      </c>
      <c r="D126" t="s">
        <v>1897</v>
      </c>
      <c r="H126" t="s">
        <v>1888</v>
      </c>
      <c r="I126" t="s">
        <v>1889</v>
      </c>
      <c r="J126" t="s">
        <v>8</v>
      </c>
      <c r="K126" t="s">
        <v>3</v>
      </c>
      <c r="L126" t="s">
        <v>3</v>
      </c>
      <c r="M126" t="s">
        <v>122</v>
      </c>
      <c r="N126" t="s">
        <v>3</v>
      </c>
      <c r="O126" t="s">
        <v>3</v>
      </c>
      <c r="P126" t="s">
        <v>3</v>
      </c>
      <c r="Q126" t="s">
        <v>8</v>
      </c>
      <c r="R126" t="s">
        <v>122</v>
      </c>
      <c r="S126" t="s">
        <v>8</v>
      </c>
      <c r="T126" t="s">
        <v>1895</v>
      </c>
      <c r="U126" t="s">
        <v>3</v>
      </c>
      <c r="V126" t="s">
        <v>3</v>
      </c>
      <c r="W126" t="s">
        <v>1898</v>
      </c>
      <c r="AA126" t="s">
        <v>3</v>
      </c>
      <c r="AB126" t="s">
        <v>8</v>
      </c>
      <c r="AC126" t="s">
        <v>3</v>
      </c>
      <c r="AD126" t="s">
        <v>8</v>
      </c>
      <c r="AE126" t="s">
        <v>84</v>
      </c>
      <c r="AF126" t="s">
        <v>1899</v>
      </c>
    </row>
    <row r="127" spans="1:32">
      <c r="A127" t="s">
        <v>1900</v>
      </c>
      <c r="B127" t="s">
        <v>1901</v>
      </c>
      <c r="C127" t="s">
        <v>1902</v>
      </c>
      <c r="D127" t="s">
        <v>1903</v>
      </c>
      <c r="E127" t="s">
        <v>1886</v>
      </c>
      <c r="F127" t="s">
        <v>1887</v>
      </c>
      <c r="H127" t="s">
        <v>1888</v>
      </c>
      <c r="I127" t="s">
        <v>1889</v>
      </c>
      <c r="J127" t="s">
        <v>8</v>
      </c>
      <c r="K127" t="s">
        <v>3</v>
      </c>
      <c r="L127" t="s">
        <v>3</v>
      </c>
      <c r="M127" t="s">
        <v>122</v>
      </c>
      <c r="N127" t="s">
        <v>3</v>
      </c>
      <c r="O127" t="s">
        <v>3</v>
      </c>
      <c r="P127" t="s">
        <v>3</v>
      </c>
      <c r="Q127" t="s">
        <v>8</v>
      </c>
      <c r="R127" t="s">
        <v>122</v>
      </c>
      <c r="S127" t="s">
        <v>8</v>
      </c>
      <c r="T127" t="s">
        <v>1900</v>
      </c>
      <c r="U127" t="s">
        <v>3</v>
      </c>
      <c r="V127" t="s">
        <v>3</v>
      </c>
      <c r="W127" t="s">
        <v>1890</v>
      </c>
      <c r="AA127" t="s">
        <v>8</v>
      </c>
      <c r="AB127" t="s">
        <v>8</v>
      </c>
      <c r="AC127" t="s">
        <v>3</v>
      </c>
      <c r="AD127" t="s">
        <v>8</v>
      </c>
      <c r="AE127" t="s">
        <v>84</v>
      </c>
      <c r="AF127" t="s">
        <v>1904</v>
      </c>
    </row>
    <row r="128" spans="1:32">
      <c r="A128" t="s">
        <v>1905</v>
      </c>
      <c r="B128" t="s">
        <v>1906</v>
      </c>
      <c r="C128" t="s">
        <v>1907</v>
      </c>
      <c r="D128" t="s">
        <v>1906</v>
      </c>
      <c r="E128" t="s">
        <v>1492</v>
      </c>
      <c r="F128" t="s">
        <v>1908</v>
      </c>
      <c r="H128" t="s">
        <v>1909</v>
      </c>
      <c r="I128" t="s">
        <v>1910</v>
      </c>
      <c r="J128" t="s">
        <v>8</v>
      </c>
      <c r="K128" t="s">
        <v>3</v>
      </c>
      <c r="L128" t="s">
        <v>3</v>
      </c>
      <c r="M128" t="s">
        <v>122</v>
      </c>
      <c r="N128" t="s">
        <v>3</v>
      </c>
      <c r="O128" t="s">
        <v>3</v>
      </c>
      <c r="P128" t="s">
        <v>3</v>
      </c>
      <c r="Q128" t="s">
        <v>8</v>
      </c>
      <c r="R128" t="s">
        <v>122</v>
      </c>
      <c r="S128" t="s">
        <v>8</v>
      </c>
      <c r="T128" t="s">
        <v>1905</v>
      </c>
      <c r="U128" t="s">
        <v>3</v>
      </c>
      <c r="V128" t="s">
        <v>3</v>
      </c>
      <c r="W128" t="s">
        <v>1911</v>
      </c>
      <c r="AA128" t="s">
        <v>3</v>
      </c>
      <c r="AB128" t="s">
        <v>8</v>
      </c>
      <c r="AC128" t="s">
        <v>3</v>
      </c>
      <c r="AD128" t="s">
        <v>8</v>
      </c>
      <c r="AE128" t="s">
        <v>84</v>
      </c>
      <c r="AF128" t="s">
        <v>1912</v>
      </c>
    </row>
    <row r="129" spans="1:32">
      <c r="A129" t="s">
        <v>1913</v>
      </c>
      <c r="B129" t="s">
        <v>1914</v>
      </c>
      <c r="C129" t="s">
        <v>1907</v>
      </c>
      <c r="D129" t="s">
        <v>1914</v>
      </c>
      <c r="H129" t="s">
        <v>1909</v>
      </c>
      <c r="I129" t="s">
        <v>1910</v>
      </c>
      <c r="J129" t="s">
        <v>8</v>
      </c>
      <c r="K129" t="s">
        <v>3</v>
      </c>
      <c r="L129" t="s">
        <v>3</v>
      </c>
      <c r="M129" t="s">
        <v>122</v>
      </c>
      <c r="N129" t="s">
        <v>3</v>
      </c>
      <c r="O129" t="s">
        <v>3</v>
      </c>
      <c r="P129" t="s">
        <v>3</v>
      </c>
      <c r="Q129" t="s">
        <v>8</v>
      </c>
      <c r="R129" t="s">
        <v>122</v>
      </c>
      <c r="S129" t="s">
        <v>8</v>
      </c>
      <c r="T129" t="s">
        <v>1913</v>
      </c>
      <c r="U129" t="s">
        <v>3</v>
      </c>
      <c r="V129" t="s">
        <v>3</v>
      </c>
      <c r="W129" t="s">
        <v>1915</v>
      </c>
      <c r="AA129" t="s">
        <v>3</v>
      </c>
      <c r="AB129" t="s">
        <v>8</v>
      </c>
      <c r="AC129" t="s">
        <v>3</v>
      </c>
      <c r="AD129" t="s">
        <v>8</v>
      </c>
      <c r="AE129" t="s">
        <v>111</v>
      </c>
      <c r="AF129" t="s">
        <v>1916</v>
      </c>
    </row>
    <row r="130" spans="1:32">
      <c r="A130" t="s">
        <v>1917</v>
      </c>
      <c r="B130" t="s">
        <v>1918</v>
      </c>
      <c r="C130" t="s">
        <v>1907</v>
      </c>
      <c r="D130" t="s">
        <v>1918</v>
      </c>
      <c r="H130" t="s">
        <v>1909</v>
      </c>
      <c r="I130" t="s">
        <v>1910</v>
      </c>
      <c r="J130" t="s">
        <v>8</v>
      </c>
      <c r="K130" t="s">
        <v>3</v>
      </c>
      <c r="L130" t="s">
        <v>3</v>
      </c>
      <c r="M130" t="s">
        <v>122</v>
      </c>
      <c r="N130" t="s">
        <v>3</v>
      </c>
      <c r="O130" t="s">
        <v>3</v>
      </c>
      <c r="P130" t="s">
        <v>3</v>
      </c>
      <c r="Q130" t="s">
        <v>8</v>
      </c>
      <c r="R130" t="s">
        <v>122</v>
      </c>
      <c r="S130" t="s">
        <v>8</v>
      </c>
      <c r="T130" t="s">
        <v>1917</v>
      </c>
      <c r="U130" t="s">
        <v>3</v>
      </c>
      <c r="V130" t="s">
        <v>3</v>
      </c>
      <c r="W130" t="s">
        <v>3</v>
      </c>
      <c r="AA130" t="s">
        <v>3</v>
      </c>
      <c r="AB130" t="s">
        <v>8</v>
      </c>
      <c r="AC130" t="s">
        <v>3</v>
      </c>
      <c r="AD130" t="s">
        <v>8</v>
      </c>
      <c r="AE130" t="s">
        <v>84</v>
      </c>
      <c r="AF130" t="s">
        <v>1919</v>
      </c>
    </row>
    <row r="131" spans="1:32">
      <c r="A131" t="s">
        <v>1920</v>
      </c>
      <c r="B131" t="s">
        <v>1921</v>
      </c>
      <c r="C131" t="s">
        <v>1922</v>
      </c>
      <c r="D131" t="s">
        <v>1921</v>
      </c>
      <c r="E131" t="s">
        <v>1499</v>
      </c>
      <c r="F131" t="s">
        <v>1923</v>
      </c>
      <c r="H131" t="s">
        <v>1924</v>
      </c>
      <c r="I131" t="s">
        <v>1925</v>
      </c>
      <c r="J131" t="s">
        <v>8</v>
      </c>
      <c r="K131" t="s">
        <v>3</v>
      </c>
      <c r="L131" t="s">
        <v>3</v>
      </c>
      <c r="M131" t="s">
        <v>122</v>
      </c>
      <c r="N131" t="s">
        <v>3</v>
      </c>
      <c r="O131" t="s">
        <v>3</v>
      </c>
      <c r="P131" t="s">
        <v>3</v>
      </c>
      <c r="Q131" t="s">
        <v>8</v>
      </c>
      <c r="R131" t="s">
        <v>122</v>
      </c>
      <c r="S131" t="s">
        <v>8</v>
      </c>
      <c r="T131" t="s">
        <v>1920</v>
      </c>
      <c r="U131" t="s">
        <v>3</v>
      </c>
      <c r="V131" t="s">
        <v>3</v>
      </c>
      <c r="W131" t="s">
        <v>1926</v>
      </c>
      <c r="AA131" t="s">
        <v>3</v>
      </c>
      <c r="AB131" t="s">
        <v>8</v>
      </c>
      <c r="AC131" t="s">
        <v>3</v>
      </c>
      <c r="AD131" t="s">
        <v>8</v>
      </c>
      <c r="AE131" t="s">
        <v>72</v>
      </c>
      <c r="AF131" t="s">
        <v>1927</v>
      </c>
    </row>
    <row r="132" spans="1:32">
      <c r="A132" t="s">
        <v>1928</v>
      </c>
      <c r="B132" t="s">
        <v>1929</v>
      </c>
      <c r="C132" t="s">
        <v>1922</v>
      </c>
      <c r="D132" t="s">
        <v>1929</v>
      </c>
      <c r="H132" t="s">
        <v>1924</v>
      </c>
      <c r="I132" t="s">
        <v>1925</v>
      </c>
      <c r="J132" t="s">
        <v>8</v>
      </c>
      <c r="K132" t="s">
        <v>3</v>
      </c>
      <c r="L132" t="s">
        <v>3</v>
      </c>
      <c r="M132" t="s">
        <v>122</v>
      </c>
      <c r="N132" t="s">
        <v>3</v>
      </c>
      <c r="O132" t="s">
        <v>3</v>
      </c>
      <c r="P132" t="s">
        <v>3</v>
      </c>
      <c r="Q132" t="s">
        <v>8</v>
      </c>
      <c r="R132" t="s">
        <v>122</v>
      </c>
      <c r="S132" t="s">
        <v>8</v>
      </c>
      <c r="T132" t="s">
        <v>1928</v>
      </c>
      <c r="U132" t="s">
        <v>3</v>
      </c>
      <c r="V132" t="s">
        <v>3</v>
      </c>
      <c r="W132" t="s">
        <v>1930</v>
      </c>
      <c r="AA132" t="s">
        <v>3</v>
      </c>
      <c r="AB132" t="s">
        <v>8</v>
      </c>
      <c r="AC132" t="s">
        <v>3</v>
      </c>
      <c r="AD132" t="s">
        <v>8</v>
      </c>
      <c r="AE132" t="s">
        <v>111</v>
      </c>
      <c r="AF132" t="s">
        <v>1931</v>
      </c>
    </row>
    <row r="133" spans="1:32">
      <c r="A133" t="s">
        <v>1932</v>
      </c>
      <c r="B133" t="s">
        <v>1933</v>
      </c>
      <c r="C133" t="s">
        <v>1922</v>
      </c>
      <c r="D133" t="s">
        <v>1933</v>
      </c>
      <c r="H133" t="s">
        <v>1924</v>
      </c>
      <c r="I133" t="s">
        <v>1925</v>
      </c>
      <c r="J133" t="s">
        <v>8</v>
      </c>
      <c r="K133" t="s">
        <v>3</v>
      </c>
      <c r="L133" t="s">
        <v>3</v>
      </c>
      <c r="M133" t="s">
        <v>122</v>
      </c>
      <c r="N133" t="s">
        <v>3</v>
      </c>
      <c r="O133" t="s">
        <v>3</v>
      </c>
      <c r="P133" t="s">
        <v>3</v>
      </c>
      <c r="Q133" t="s">
        <v>8</v>
      </c>
      <c r="R133" t="s">
        <v>122</v>
      </c>
      <c r="S133" t="s">
        <v>8</v>
      </c>
      <c r="T133" t="s">
        <v>1932</v>
      </c>
      <c r="U133" t="s">
        <v>3</v>
      </c>
      <c r="V133" t="s">
        <v>3</v>
      </c>
      <c r="W133" t="s">
        <v>3</v>
      </c>
      <c r="AA133" t="s">
        <v>3</v>
      </c>
      <c r="AB133" t="s">
        <v>8</v>
      </c>
      <c r="AC133" t="s">
        <v>3</v>
      </c>
      <c r="AD133" t="s">
        <v>8</v>
      </c>
      <c r="AE133" t="s">
        <v>84</v>
      </c>
      <c r="AF133" t="s">
        <v>1934</v>
      </c>
    </row>
    <row r="134" spans="1:32">
      <c r="A134" t="s">
        <v>1935</v>
      </c>
      <c r="B134" t="s">
        <v>1936</v>
      </c>
      <c r="C134" t="s">
        <v>1937</v>
      </c>
      <c r="D134" t="s">
        <v>1936</v>
      </c>
      <c r="E134" t="s">
        <v>1484</v>
      </c>
      <c r="F134" t="s">
        <v>1938</v>
      </c>
      <c r="H134" t="s">
        <v>1939</v>
      </c>
      <c r="I134" t="s">
        <v>1940</v>
      </c>
      <c r="J134" t="s">
        <v>8</v>
      </c>
      <c r="K134" t="s">
        <v>3</v>
      </c>
      <c r="L134" t="s">
        <v>3</v>
      </c>
      <c r="M134" t="s">
        <v>122</v>
      </c>
      <c r="N134" t="s">
        <v>3</v>
      </c>
      <c r="O134" t="s">
        <v>3</v>
      </c>
      <c r="P134" t="s">
        <v>3</v>
      </c>
      <c r="Q134" t="s">
        <v>8</v>
      </c>
      <c r="R134" t="s">
        <v>122</v>
      </c>
      <c r="S134" t="s">
        <v>8</v>
      </c>
      <c r="T134" t="s">
        <v>1935</v>
      </c>
      <c r="U134" t="s">
        <v>3</v>
      </c>
      <c r="V134" t="s">
        <v>3</v>
      </c>
      <c r="W134" t="s">
        <v>1941</v>
      </c>
      <c r="AA134" t="s">
        <v>3</v>
      </c>
      <c r="AB134" t="s">
        <v>8</v>
      </c>
      <c r="AC134" t="s">
        <v>3</v>
      </c>
      <c r="AD134" t="s">
        <v>8</v>
      </c>
      <c r="AE134" t="s">
        <v>84</v>
      </c>
      <c r="AF134" t="s">
        <v>1942</v>
      </c>
    </row>
    <row r="135" spans="1:32">
      <c r="A135" t="s">
        <v>1943</v>
      </c>
      <c r="B135" t="s">
        <v>1944</v>
      </c>
      <c r="C135" t="s">
        <v>1937</v>
      </c>
      <c r="D135" t="s">
        <v>1944</v>
      </c>
      <c r="H135" t="s">
        <v>1939</v>
      </c>
      <c r="I135" t="s">
        <v>1940</v>
      </c>
      <c r="J135" t="s">
        <v>8</v>
      </c>
      <c r="K135" t="s">
        <v>3</v>
      </c>
      <c r="L135" t="s">
        <v>3</v>
      </c>
      <c r="M135" t="s">
        <v>122</v>
      </c>
      <c r="N135" t="s">
        <v>3</v>
      </c>
      <c r="O135" t="s">
        <v>3</v>
      </c>
      <c r="P135" t="s">
        <v>3</v>
      </c>
      <c r="Q135" t="s">
        <v>8</v>
      </c>
      <c r="R135" t="s">
        <v>122</v>
      </c>
      <c r="S135" t="s">
        <v>8</v>
      </c>
      <c r="T135" t="s">
        <v>1943</v>
      </c>
      <c r="U135" t="s">
        <v>3</v>
      </c>
      <c r="V135" t="s">
        <v>3</v>
      </c>
      <c r="W135" t="s">
        <v>1945</v>
      </c>
      <c r="AA135" t="s">
        <v>3</v>
      </c>
      <c r="AB135" t="s">
        <v>8</v>
      </c>
      <c r="AC135" t="s">
        <v>3</v>
      </c>
      <c r="AD135" t="s">
        <v>8</v>
      </c>
      <c r="AE135" t="s">
        <v>111</v>
      </c>
      <c r="AF135" t="s">
        <v>1946</v>
      </c>
    </row>
    <row r="136" spans="1:32">
      <c r="A136" t="s">
        <v>1947</v>
      </c>
      <c r="B136" t="s">
        <v>1948</v>
      </c>
      <c r="C136" t="s">
        <v>1937</v>
      </c>
      <c r="D136" t="s">
        <v>1948</v>
      </c>
      <c r="H136" t="s">
        <v>1939</v>
      </c>
      <c r="I136" t="s">
        <v>1940</v>
      </c>
      <c r="J136" t="s">
        <v>8</v>
      </c>
      <c r="K136" t="s">
        <v>3</v>
      </c>
      <c r="L136" t="s">
        <v>3</v>
      </c>
      <c r="M136" t="s">
        <v>122</v>
      </c>
      <c r="N136" t="s">
        <v>3</v>
      </c>
      <c r="O136" t="s">
        <v>3</v>
      </c>
      <c r="P136" t="s">
        <v>3</v>
      </c>
      <c r="Q136" t="s">
        <v>8</v>
      </c>
      <c r="R136" t="s">
        <v>122</v>
      </c>
      <c r="S136" t="s">
        <v>8</v>
      </c>
      <c r="T136" t="s">
        <v>1947</v>
      </c>
      <c r="U136" t="s">
        <v>3</v>
      </c>
      <c r="V136" t="s">
        <v>3</v>
      </c>
      <c r="W136" t="s">
        <v>3</v>
      </c>
      <c r="AA136" t="s">
        <v>3</v>
      </c>
      <c r="AB136" t="s">
        <v>8</v>
      </c>
      <c r="AC136" t="s">
        <v>3</v>
      </c>
      <c r="AD136" t="s">
        <v>8</v>
      </c>
      <c r="AE136" t="s">
        <v>84</v>
      </c>
      <c r="AF136" t="s">
        <v>1949</v>
      </c>
    </row>
    <row r="137" spans="1:32">
      <c r="A137" t="s">
        <v>1950</v>
      </c>
      <c r="B137" t="s">
        <v>1951</v>
      </c>
      <c r="C137" t="s">
        <v>1952</v>
      </c>
      <c r="D137" t="s">
        <v>1953</v>
      </c>
      <c r="E137" t="s">
        <v>1954</v>
      </c>
      <c r="F137" t="s">
        <v>1955</v>
      </c>
      <c r="H137" t="s">
        <v>1956</v>
      </c>
      <c r="I137" t="s">
        <v>1957</v>
      </c>
      <c r="J137" t="s">
        <v>8</v>
      </c>
      <c r="K137" t="s">
        <v>3</v>
      </c>
      <c r="L137" t="s">
        <v>3</v>
      </c>
      <c r="M137" t="s">
        <v>122</v>
      </c>
      <c r="N137" t="s">
        <v>3</v>
      </c>
      <c r="O137" t="s">
        <v>3</v>
      </c>
      <c r="P137" t="s">
        <v>3</v>
      </c>
      <c r="Q137" t="s">
        <v>8</v>
      </c>
      <c r="R137" t="s">
        <v>122</v>
      </c>
      <c r="S137" t="s">
        <v>8</v>
      </c>
      <c r="T137" t="s">
        <v>1950</v>
      </c>
      <c r="U137" t="s">
        <v>3</v>
      </c>
      <c r="V137" t="s">
        <v>3</v>
      </c>
      <c r="W137" t="s">
        <v>799</v>
      </c>
      <c r="X137" t="s">
        <v>1039</v>
      </c>
      <c r="Y137" t="s">
        <v>1958</v>
      </c>
      <c r="AA137" t="s">
        <v>3</v>
      </c>
      <c r="AB137" t="s">
        <v>8</v>
      </c>
      <c r="AC137" t="s">
        <v>3</v>
      </c>
      <c r="AD137" t="s">
        <v>8</v>
      </c>
      <c r="AE137" t="s">
        <v>111</v>
      </c>
      <c r="AF137" t="s">
        <v>1959</v>
      </c>
    </row>
    <row r="138" spans="1:32">
      <c r="A138" t="s">
        <v>1960</v>
      </c>
      <c r="B138" t="s">
        <v>1961</v>
      </c>
      <c r="C138" t="s">
        <v>1952</v>
      </c>
      <c r="D138" t="s">
        <v>1961</v>
      </c>
      <c r="H138" t="s">
        <v>1956</v>
      </c>
      <c r="I138" t="s">
        <v>1957</v>
      </c>
      <c r="J138" t="s">
        <v>8</v>
      </c>
      <c r="K138" t="s">
        <v>3</v>
      </c>
      <c r="L138" t="s">
        <v>3</v>
      </c>
      <c r="M138" t="s">
        <v>122</v>
      </c>
      <c r="N138" t="s">
        <v>3</v>
      </c>
      <c r="O138" t="s">
        <v>3</v>
      </c>
      <c r="P138" t="s">
        <v>3</v>
      </c>
      <c r="Q138" t="s">
        <v>8</v>
      </c>
      <c r="R138" t="s">
        <v>122</v>
      </c>
      <c r="S138" t="s">
        <v>8</v>
      </c>
      <c r="T138" t="s">
        <v>1960</v>
      </c>
      <c r="U138" t="s">
        <v>3</v>
      </c>
      <c r="V138" t="s">
        <v>3</v>
      </c>
      <c r="W138" t="s">
        <v>3</v>
      </c>
      <c r="AA138" t="s">
        <v>3</v>
      </c>
      <c r="AB138" t="s">
        <v>8</v>
      </c>
      <c r="AC138" t="s">
        <v>3</v>
      </c>
      <c r="AD138" t="s">
        <v>8</v>
      </c>
      <c r="AE138" t="s">
        <v>111</v>
      </c>
      <c r="AF138" t="s">
        <v>1962</v>
      </c>
    </row>
    <row r="139" spans="1:32">
      <c r="A139" t="s">
        <v>1963</v>
      </c>
      <c r="B139" t="s">
        <v>1964</v>
      </c>
      <c r="C139" t="s">
        <v>1965</v>
      </c>
      <c r="D139" t="s">
        <v>1964</v>
      </c>
      <c r="E139" t="s">
        <v>1954</v>
      </c>
      <c r="F139" t="s">
        <v>1955</v>
      </c>
      <c r="H139" t="s">
        <v>1956</v>
      </c>
      <c r="I139" t="s">
        <v>1957</v>
      </c>
      <c r="J139" t="s">
        <v>8</v>
      </c>
      <c r="K139" t="s">
        <v>3</v>
      </c>
      <c r="L139" t="s">
        <v>3</v>
      </c>
      <c r="M139" t="s">
        <v>122</v>
      </c>
      <c r="N139" t="s">
        <v>3</v>
      </c>
      <c r="O139" t="s">
        <v>3</v>
      </c>
      <c r="P139" t="s">
        <v>3</v>
      </c>
      <c r="Q139" t="s">
        <v>8</v>
      </c>
      <c r="R139" t="s">
        <v>122</v>
      </c>
      <c r="S139" t="s">
        <v>8</v>
      </c>
      <c r="T139" t="s">
        <v>1963</v>
      </c>
      <c r="U139" t="s">
        <v>3</v>
      </c>
      <c r="V139" t="s">
        <v>3</v>
      </c>
      <c r="W139" t="s">
        <v>814</v>
      </c>
      <c r="AA139" t="s">
        <v>3</v>
      </c>
      <c r="AB139" t="s">
        <v>8</v>
      </c>
      <c r="AC139" t="s">
        <v>3</v>
      </c>
      <c r="AD139" t="s">
        <v>8</v>
      </c>
      <c r="AE139" t="s">
        <v>111</v>
      </c>
      <c r="AF139" t="s">
        <v>1966</v>
      </c>
    </row>
    <row r="140" spans="1:32">
      <c r="A140" t="s">
        <v>1967</v>
      </c>
      <c r="B140" t="s">
        <v>1968</v>
      </c>
      <c r="C140" t="s">
        <v>1969</v>
      </c>
      <c r="D140" t="s">
        <v>1968</v>
      </c>
      <c r="E140" t="s">
        <v>1970</v>
      </c>
      <c r="F140" t="s">
        <v>1971</v>
      </c>
      <c r="H140" t="s">
        <v>1972</v>
      </c>
      <c r="I140" t="s">
        <v>1973</v>
      </c>
      <c r="J140" t="s">
        <v>8</v>
      </c>
      <c r="K140" t="s">
        <v>3</v>
      </c>
      <c r="L140" t="s">
        <v>3</v>
      </c>
      <c r="M140" t="s">
        <v>122</v>
      </c>
      <c r="N140" t="s">
        <v>3</v>
      </c>
      <c r="O140" t="s">
        <v>3</v>
      </c>
      <c r="P140" t="s">
        <v>3</v>
      </c>
      <c r="Q140" t="s">
        <v>8</v>
      </c>
      <c r="R140" t="s">
        <v>122</v>
      </c>
      <c r="S140" t="s">
        <v>8</v>
      </c>
      <c r="T140" t="s">
        <v>1967</v>
      </c>
      <c r="U140" t="s">
        <v>3</v>
      </c>
      <c r="V140" t="s">
        <v>3</v>
      </c>
      <c r="W140" t="s">
        <v>1974</v>
      </c>
      <c r="X140" t="s">
        <v>1039</v>
      </c>
      <c r="Y140" t="s">
        <v>1958</v>
      </c>
      <c r="Z140" t="s">
        <v>1554</v>
      </c>
      <c r="AA140" t="s">
        <v>3</v>
      </c>
      <c r="AB140" t="s">
        <v>8</v>
      </c>
      <c r="AC140" t="s">
        <v>3</v>
      </c>
      <c r="AD140" t="s">
        <v>8</v>
      </c>
      <c r="AE140" t="s">
        <v>111</v>
      </c>
      <c r="AF140" t="s">
        <v>1975</v>
      </c>
    </row>
    <row r="141" spans="1:32">
      <c r="A141" t="s">
        <v>1976</v>
      </c>
      <c r="B141" t="s">
        <v>1977</v>
      </c>
      <c r="C141" t="s">
        <v>1969</v>
      </c>
      <c r="D141" t="s">
        <v>1977</v>
      </c>
      <c r="H141" t="s">
        <v>1972</v>
      </c>
      <c r="I141" t="s">
        <v>1973</v>
      </c>
      <c r="J141" t="s">
        <v>8</v>
      </c>
      <c r="K141" t="s">
        <v>3</v>
      </c>
      <c r="L141" t="s">
        <v>3</v>
      </c>
      <c r="M141" t="s">
        <v>122</v>
      </c>
      <c r="N141" t="s">
        <v>3</v>
      </c>
      <c r="O141" t="s">
        <v>3</v>
      </c>
      <c r="P141" t="s">
        <v>3</v>
      </c>
      <c r="Q141" t="s">
        <v>8</v>
      </c>
      <c r="R141" t="s">
        <v>122</v>
      </c>
      <c r="S141" t="s">
        <v>8</v>
      </c>
      <c r="T141" t="s">
        <v>1976</v>
      </c>
      <c r="U141" t="s">
        <v>3</v>
      </c>
      <c r="V141" t="s">
        <v>3</v>
      </c>
      <c r="W141" t="s">
        <v>1974</v>
      </c>
      <c r="AA141" t="s">
        <v>3</v>
      </c>
      <c r="AB141" t="s">
        <v>8</v>
      </c>
      <c r="AC141" t="s">
        <v>3</v>
      </c>
      <c r="AD141" t="s">
        <v>8</v>
      </c>
      <c r="AE141" t="s">
        <v>111</v>
      </c>
      <c r="AF141" t="s">
        <v>1978</v>
      </c>
    </row>
    <row r="142" spans="1:32">
      <c r="A142" t="s">
        <v>1979</v>
      </c>
      <c r="B142" t="s">
        <v>1980</v>
      </c>
      <c r="C142" t="s">
        <v>1981</v>
      </c>
      <c r="D142" t="s">
        <v>1982</v>
      </c>
      <c r="E142" t="s">
        <v>1970</v>
      </c>
      <c r="F142" t="s">
        <v>1971</v>
      </c>
      <c r="H142" t="s">
        <v>1972</v>
      </c>
      <c r="I142" t="s">
        <v>1983</v>
      </c>
      <c r="J142" t="s">
        <v>8</v>
      </c>
      <c r="K142" t="s">
        <v>3</v>
      </c>
      <c r="L142" t="s">
        <v>3</v>
      </c>
      <c r="M142" t="s">
        <v>122</v>
      </c>
      <c r="N142" t="s">
        <v>3</v>
      </c>
      <c r="O142" t="s">
        <v>3</v>
      </c>
      <c r="P142" t="s">
        <v>3</v>
      </c>
      <c r="Q142" t="s">
        <v>8</v>
      </c>
      <c r="R142" t="s">
        <v>122</v>
      </c>
      <c r="S142" t="s">
        <v>8</v>
      </c>
      <c r="T142" t="s">
        <v>1979</v>
      </c>
      <c r="U142" t="s">
        <v>3</v>
      </c>
      <c r="V142" t="s">
        <v>3</v>
      </c>
      <c r="W142" t="s">
        <v>1984</v>
      </c>
      <c r="AA142" t="s">
        <v>3</v>
      </c>
      <c r="AB142" t="s">
        <v>8</v>
      </c>
      <c r="AC142" t="s">
        <v>3</v>
      </c>
      <c r="AD142" t="s">
        <v>8</v>
      </c>
      <c r="AE142" t="s">
        <v>111</v>
      </c>
      <c r="AF142" t="s">
        <v>1985</v>
      </c>
    </row>
    <row r="143" spans="1:32">
      <c r="A143" t="s">
        <v>1986</v>
      </c>
      <c r="B143" t="s">
        <v>1987</v>
      </c>
      <c r="C143" t="s">
        <v>1988</v>
      </c>
      <c r="D143" t="s">
        <v>1987</v>
      </c>
      <c r="E143" t="s">
        <v>1989</v>
      </c>
      <c r="F143" t="s">
        <v>1990</v>
      </c>
      <c r="H143" t="s">
        <v>1991</v>
      </c>
      <c r="I143" t="s">
        <v>1973</v>
      </c>
      <c r="J143" t="s">
        <v>8</v>
      </c>
      <c r="K143" t="s">
        <v>3</v>
      </c>
      <c r="L143" t="s">
        <v>3</v>
      </c>
      <c r="M143" t="s">
        <v>122</v>
      </c>
      <c r="N143" t="s">
        <v>3</v>
      </c>
      <c r="O143" t="s">
        <v>3</v>
      </c>
      <c r="P143" t="s">
        <v>3</v>
      </c>
      <c r="Q143" t="s">
        <v>8</v>
      </c>
      <c r="R143" t="s">
        <v>122</v>
      </c>
      <c r="S143" t="s">
        <v>8</v>
      </c>
      <c r="T143" t="s">
        <v>1986</v>
      </c>
      <c r="U143" t="s">
        <v>3</v>
      </c>
      <c r="V143" t="s">
        <v>3</v>
      </c>
      <c r="W143" t="s">
        <v>1992</v>
      </c>
      <c r="X143" t="s">
        <v>1039</v>
      </c>
      <c r="Y143" t="s">
        <v>1958</v>
      </c>
      <c r="AA143" t="s">
        <v>3</v>
      </c>
      <c r="AB143" t="s">
        <v>8</v>
      </c>
      <c r="AC143" t="s">
        <v>3</v>
      </c>
      <c r="AD143" t="s">
        <v>8</v>
      </c>
      <c r="AE143" t="s">
        <v>111</v>
      </c>
      <c r="AF143" t="s">
        <v>1993</v>
      </c>
    </row>
    <row r="144" spans="1:32">
      <c r="A144" t="s">
        <v>1994</v>
      </c>
      <c r="B144" t="s">
        <v>1995</v>
      </c>
      <c r="C144" t="s">
        <v>1988</v>
      </c>
      <c r="D144" t="s">
        <v>1995</v>
      </c>
      <c r="H144" t="s">
        <v>1991</v>
      </c>
      <c r="I144" t="s">
        <v>1973</v>
      </c>
      <c r="J144" t="s">
        <v>8</v>
      </c>
      <c r="K144" t="s">
        <v>3</v>
      </c>
      <c r="L144" t="s">
        <v>3</v>
      </c>
      <c r="M144" t="s">
        <v>122</v>
      </c>
      <c r="N144" t="s">
        <v>3</v>
      </c>
      <c r="O144" t="s">
        <v>3</v>
      </c>
      <c r="P144" t="s">
        <v>3</v>
      </c>
      <c r="Q144" t="s">
        <v>8</v>
      </c>
      <c r="R144" t="s">
        <v>122</v>
      </c>
      <c r="S144" t="s">
        <v>8</v>
      </c>
      <c r="T144" t="s">
        <v>1994</v>
      </c>
      <c r="U144" t="s">
        <v>3</v>
      </c>
      <c r="V144" t="s">
        <v>3</v>
      </c>
      <c r="W144" t="s">
        <v>1996</v>
      </c>
      <c r="AA144" t="s">
        <v>3</v>
      </c>
      <c r="AB144" t="s">
        <v>8</v>
      </c>
      <c r="AC144" t="s">
        <v>3</v>
      </c>
      <c r="AD144" t="s">
        <v>8</v>
      </c>
      <c r="AE144" t="s">
        <v>111</v>
      </c>
      <c r="AF144" t="s">
        <v>1997</v>
      </c>
    </row>
    <row r="145" spans="1:32">
      <c r="A145" t="s">
        <v>1998</v>
      </c>
      <c r="B145" t="s">
        <v>1999</v>
      </c>
      <c r="C145" t="s">
        <v>2000</v>
      </c>
      <c r="D145" t="s">
        <v>2001</v>
      </c>
      <c r="E145" t="s">
        <v>1989</v>
      </c>
      <c r="F145" t="s">
        <v>2002</v>
      </c>
      <c r="H145" t="s">
        <v>1991</v>
      </c>
      <c r="I145" t="s">
        <v>1973</v>
      </c>
      <c r="J145" t="s">
        <v>8</v>
      </c>
      <c r="K145" t="s">
        <v>3</v>
      </c>
      <c r="L145" t="s">
        <v>3</v>
      </c>
      <c r="M145" t="s">
        <v>122</v>
      </c>
      <c r="N145" t="s">
        <v>3</v>
      </c>
      <c r="O145" t="s">
        <v>3</v>
      </c>
      <c r="P145" t="s">
        <v>3</v>
      </c>
      <c r="Q145" t="s">
        <v>8</v>
      </c>
      <c r="R145" t="s">
        <v>122</v>
      </c>
      <c r="S145" t="s">
        <v>8</v>
      </c>
      <c r="T145" t="s">
        <v>1998</v>
      </c>
      <c r="U145" t="s">
        <v>3</v>
      </c>
      <c r="V145" t="s">
        <v>3</v>
      </c>
      <c r="W145" t="s">
        <v>1992</v>
      </c>
      <c r="AA145" t="s">
        <v>3</v>
      </c>
      <c r="AB145" t="s">
        <v>8</v>
      </c>
      <c r="AC145" t="s">
        <v>3</v>
      </c>
      <c r="AD145" t="s">
        <v>8</v>
      </c>
      <c r="AE145" t="s">
        <v>111</v>
      </c>
      <c r="AF145" t="s">
        <v>2003</v>
      </c>
    </row>
    <row r="146" spans="1:32">
      <c r="A146" t="s">
        <v>2004</v>
      </c>
      <c r="B146" t="s">
        <v>2005</v>
      </c>
      <c r="C146" t="s">
        <v>2006</v>
      </c>
      <c r="D146" t="s">
        <v>1987</v>
      </c>
      <c r="E146" t="s">
        <v>1989</v>
      </c>
      <c r="F146" t="s">
        <v>1990</v>
      </c>
      <c r="H146" t="s">
        <v>1991</v>
      </c>
      <c r="I146" t="s">
        <v>1973</v>
      </c>
      <c r="J146" t="s">
        <v>8</v>
      </c>
      <c r="K146" t="s">
        <v>3</v>
      </c>
      <c r="L146" t="s">
        <v>3</v>
      </c>
      <c r="M146" t="s">
        <v>122</v>
      </c>
      <c r="N146" t="s">
        <v>3</v>
      </c>
      <c r="O146" t="s">
        <v>3</v>
      </c>
      <c r="P146" t="s">
        <v>3</v>
      </c>
      <c r="Q146" t="s">
        <v>8</v>
      </c>
      <c r="R146" t="s">
        <v>122</v>
      </c>
      <c r="S146" t="s">
        <v>8</v>
      </c>
      <c r="T146" t="s">
        <v>2004</v>
      </c>
      <c r="U146" t="s">
        <v>3</v>
      </c>
      <c r="V146" t="s">
        <v>3</v>
      </c>
      <c r="W146" t="s">
        <v>1992</v>
      </c>
      <c r="AA146" t="s">
        <v>3</v>
      </c>
      <c r="AB146" t="s">
        <v>8</v>
      </c>
      <c r="AC146" t="s">
        <v>3</v>
      </c>
      <c r="AD146" t="s">
        <v>8</v>
      </c>
      <c r="AE146" t="s">
        <v>111</v>
      </c>
      <c r="AF146" t="s">
        <v>2007</v>
      </c>
    </row>
    <row r="147" spans="1:32">
      <c r="A147" t="s">
        <v>2008</v>
      </c>
      <c r="B147" t="s">
        <v>2009</v>
      </c>
      <c r="C147" t="s">
        <v>2010</v>
      </c>
      <c r="D147" t="s">
        <v>1987</v>
      </c>
      <c r="E147" t="s">
        <v>1989</v>
      </c>
      <c r="F147" t="s">
        <v>1990</v>
      </c>
      <c r="H147" t="s">
        <v>1991</v>
      </c>
      <c r="I147" t="s">
        <v>1973</v>
      </c>
      <c r="J147" t="s">
        <v>8</v>
      </c>
      <c r="K147" t="s">
        <v>3</v>
      </c>
      <c r="L147" t="s">
        <v>3</v>
      </c>
      <c r="M147" t="s">
        <v>122</v>
      </c>
      <c r="N147" t="s">
        <v>3</v>
      </c>
      <c r="O147" t="s">
        <v>3</v>
      </c>
      <c r="P147" t="s">
        <v>3</v>
      </c>
      <c r="Q147" t="s">
        <v>8</v>
      </c>
      <c r="R147" t="s">
        <v>122</v>
      </c>
      <c r="S147" t="s">
        <v>8</v>
      </c>
      <c r="T147" t="s">
        <v>2008</v>
      </c>
      <c r="U147" t="s">
        <v>3</v>
      </c>
      <c r="V147" t="s">
        <v>3</v>
      </c>
      <c r="W147" t="s">
        <v>1992</v>
      </c>
      <c r="AA147" t="s">
        <v>3</v>
      </c>
      <c r="AB147" t="s">
        <v>8</v>
      </c>
      <c r="AC147" t="s">
        <v>3</v>
      </c>
      <c r="AD147" t="s">
        <v>8</v>
      </c>
      <c r="AE147" t="s">
        <v>111</v>
      </c>
      <c r="AF147" t="s">
        <v>2011</v>
      </c>
    </row>
    <row r="148" spans="1:32">
      <c r="A148" t="s">
        <v>2012</v>
      </c>
      <c r="B148" t="s">
        <v>2013</v>
      </c>
      <c r="C148" t="s">
        <v>2014</v>
      </c>
      <c r="D148" t="s">
        <v>2013</v>
      </c>
      <c r="E148" t="s">
        <v>1507</v>
      </c>
      <c r="F148" t="s">
        <v>2015</v>
      </c>
      <c r="H148" t="s">
        <v>2016</v>
      </c>
      <c r="I148" t="s">
        <v>2017</v>
      </c>
      <c r="J148" t="s">
        <v>8</v>
      </c>
      <c r="K148" t="s">
        <v>3</v>
      </c>
      <c r="L148" t="s">
        <v>3</v>
      </c>
      <c r="M148" t="s">
        <v>122</v>
      </c>
      <c r="N148" t="s">
        <v>3</v>
      </c>
      <c r="O148" t="s">
        <v>3</v>
      </c>
      <c r="P148" t="s">
        <v>3</v>
      </c>
      <c r="Q148" t="s">
        <v>111</v>
      </c>
      <c r="R148" t="s">
        <v>122</v>
      </c>
      <c r="S148" t="s">
        <v>8</v>
      </c>
      <c r="T148" t="s">
        <v>2012</v>
      </c>
      <c r="U148" t="s">
        <v>3</v>
      </c>
      <c r="V148" t="s">
        <v>3</v>
      </c>
      <c r="W148" t="s">
        <v>735</v>
      </c>
      <c r="AA148" t="s">
        <v>3</v>
      </c>
      <c r="AB148" t="s">
        <v>8</v>
      </c>
      <c r="AC148" t="s">
        <v>3</v>
      </c>
      <c r="AD148" t="s">
        <v>8</v>
      </c>
      <c r="AE148" t="s">
        <v>116</v>
      </c>
      <c r="AF148" t="s">
        <v>2018</v>
      </c>
    </row>
    <row r="149" spans="1:32">
      <c r="A149" t="s">
        <v>2019</v>
      </c>
      <c r="B149" t="s">
        <v>2020</v>
      </c>
      <c r="C149" t="s">
        <v>2014</v>
      </c>
      <c r="D149" t="s">
        <v>2020</v>
      </c>
      <c r="H149" t="s">
        <v>2016</v>
      </c>
      <c r="I149" t="s">
        <v>2017</v>
      </c>
      <c r="J149" t="s">
        <v>8</v>
      </c>
      <c r="K149" t="s">
        <v>3</v>
      </c>
      <c r="L149" t="s">
        <v>3</v>
      </c>
      <c r="M149" t="s">
        <v>122</v>
      </c>
      <c r="N149" t="s">
        <v>3</v>
      </c>
      <c r="O149" t="s">
        <v>3</v>
      </c>
      <c r="P149" t="s">
        <v>3</v>
      </c>
      <c r="Q149" t="s">
        <v>111</v>
      </c>
      <c r="R149" t="s">
        <v>122</v>
      </c>
      <c r="S149" t="s">
        <v>8</v>
      </c>
      <c r="T149" t="s">
        <v>2019</v>
      </c>
      <c r="U149" t="s">
        <v>3</v>
      </c>
      <c r="V149" t="s">
        <v>3</v>
      </c>
      <c r="W149" t="s">
        <v>741</v>
      </c>
      <c r="AA149" t="s">
        <v>3</v>
      </c>
      <c r="AB149" t="s">
        <v>8</v>
      </c>
      <c r="AC149" t="s">
        <v>3</v>
      </c>
      <c r="AD149" t="s">
        <v>8</v>
      </c>
      <c r="AE149" t="s">
        <v>111</v>
      </c>
      <c r="AF149" t="s">
        <v>2021</v>
      </c>
    </row>
    <row r="150" spans="1:32">
      <c r="A150" t="s">
        <v>2022</v>
      </c>
      <c r="B150" t="s">
        <v>2023</v>
      </c>
      <c r="C150" t="s">
        <v>2024</v>
      </c>
      <c r="D150" t="s">
        <v>2023</v>
      </c>
      <c r="H150" t="s">
        <v>2016</v>
      </c>
      <c r="I150" t="s">
        <v>2017</v>
      </c>
      <c r="J150" t="s">
        <v>8</v>
      </c>
      <c r="K150" t="s">
        <v>3</v>
      </c>
      <c r="L150" t="s">
        <v>3</v>
      </c>
      <c r="M150" t="s">
        <v>122</v>
      </c>
      <c r="N150" t="s">
        <v>3</v>
      </c>
      <c r="O150" t="s">
        <v>3</v>
      </c>
      <c r="P150" t="s">
        <v>3</v>
      </c>
      <c r="Q150" t="s">
        <v>111</v>
      </c>
      <c r="R150" t="s">
        <v>122</v>
      </c>
      <c r="S150" t="s">
        <v>8</v>
      </c>
      <c r="T150" t="s">
        <v>2022</v>
      </c>
      <c r="U150" t="s">
        <v>3</v>
      </c>
      <c r="V150" t="s">
        <v>3</v>
      </c>
      <c r="W150" t="s">
        <v>3</v>
      </c>
      <c r="AA150" t="s">
        <v>3</v>
      </c>
      <c r="AB150" t="s">
        <v>8</v>
      </c>
      <c r="AC150" t="s">
        <v>3</v>
      </c>
      <c r="AD150" t="s">
        <v>8</v>
      </c>
      <c r="AE150" t="s">
        <v>84</v>
      </c>
      <c r="AF150" t="s">
        <v>2025</v>
      </c>
    </row>
    <row r="151" spans="1:32">
      <c r="A151" t="s">
        <v>2026</v>
      </c>
      <c r="B151" t="s">
        <v>2027</v>
      </c>
      <c r="C151" t="s">
        <v>2028</v>
      </c>
      <c r="D151" t="s">
        <v>2029</v>
      </c>
      <c r="H151" t="s">
        <v>2016</v>
      </c>
      <c r="I151" t="s">
        <v>2017</v>
      </c>
      <c r="J151" t="s">
        <v>8</v>
      </c>
      <c r="K151" t="s">
        <v>3</v>
      </c>
      <c r="L151" t="s">
        <v>3</v>
      </c>
      <c r="M151" t="s">
        <v>122</v>
      </c>
      <c r="N151" t="s">
        <v>3</v>
      </c>
      <c r="O151" t="s">
        <v>3</v>
      </c>
      <c r="P151" t="s">
        <v>3</v>
      </c>
      <c r="Q151" t="s">
        <v>111</v>
      </c>
      <c r="R151" t="s">
        <v>122</v>
      </c>
      <c r="S151" t="s">
        <v>8</v>
      </c>
      <c r="T151" t="s">
        <v>2026</v>
      </c>
      <c r="U151" t="s">
        <v>3</v>
      </c>
      <c r="V151" t="s">
        <v>3</v>
      </c>
      <c r="W151" t="s">
        <v>741</v>
      </c>
      <c r="AA151" t="s">
        <v>8</v>
      </c>
      <c r="AB151" t="s">
        <v>8</v>
      </c>
      <c r="AC151" t="s">
        <v>3</v>
      </c>
      <c r="AD151" t="s">
        <v>8</v>
      </c>
      <c r="AE151" t="s">
        <v>111</v>
      </c>
      <c r="AF151" t="s">
        <v>2030</v>
      </c>
    </row>
    <row r="152" spans="1:32">
      <c r="A152" t="s">
        <v>2031</v>
      </c>
      <c r="B152" t="s">
        <v>2032</v>
      </c>
      <c r="C152" t="s">
        <v>2033</v>
      </c>
      <c r="D152" t="s">
        <v>2032</v>
      </c>
      <c r="H152" t="s">
        <v>2016</v>
      </c>
      <c r="I152" t="s">
        <v>2017</v>
      </c>
      <c r="J152" t="s">
        <v>8</v>
      </c>
      <c r="K152" t="s">
        <v>3</v>
      </c>
      <c r="L152" t="s">
        <v>3</v>
      </c>
      <c r="M152" t="s">
        <v>122</v>
      </c>
      <c r="N152" t="s">
        <v>3</v>
      </c>
      <c r="O152" t="s">
        <v>3</v>
      </c>
      <c r="P152" t="s">
        <v>3</v>
      </c>
      <c r="Q152" t="s">
        <v>111</v>
      </c>
      <c r="R152" t="s">
        <v>122</v>
      </c>
      <c r="S152" t="s">
        <v>8</v>
      </c>
      <c r="T152" t="s">
        <v>2031</v>
      </c>
      <c r="U152" t="s">
        <v>3</v>
      </c>
      <c r="V152" t="s">
        <v>3</v>
      </c>
      <c r="W152" t="s">
        <v>3</v>
      </c>
      <c r="AA152" t="s">
        <v>3</v>
      </c>
      <c r="AB152" t="s">
        <v>8</v>
      </c>
      <c r="AC152" t="s">
        <v>3</v>
      </c>
      <c r="AD152" t="s">
        <v>8</v>
      </c>
      <c r="AE152" t="s">
        <v>84</v>
      </c>
      <c r="AF152" t="s">
        <v>2034</v>
      </c>
    </row>
    <row r="153" spans="1:32">
      <c r="A153" t="s">
        <v>2035</v>
      </c>
      <c r="B153" t="s">
        <v>2036</v>
      </c>
      <c r="C153" t="s">
        <v>2037</v>
      </c>
      <c r="D153" t="s">
        <v>2038</v>
      </c>
      <c r="H153" t="s">
        <v>2016</v>
      </c>
      <c r="I153" t="s">
        <v>2017</v>
      </c>
      <c r="J153" t="s">
        <v>8</v>
      </c>
      <c r="K153" t="s">
        <v>3</v>
      </c>
      <c r="L153" t="s">
        <v>3</v>
      </c>
      <c r="M153" t="s">
        <v>122</v>
      </c>
      <c r="N153" t="s">
        <v>3</v>
      </c>
      <c r="O153" t="s">
        <v>3</v>
      </c>
      <c r="P153" t="s">
        <v>3</v>
      </c>
      <c r="Q153" t="s">
        <v>8</v>
      </c>
      <c r="R153" t="s">
        <v>122</v>
      </c>
      <c r="S153" t="s">
        <v>8</v>
      </c>
      <c r="T153" t="s">
        <v>2035</v>
      </c>
      <c r="U153" t="s">
        <v>3</v>
      </c>
      <c r="V153" t="s">
        <v>3</v>
      </c>
      <c r="W153" t="s">
        <v>744</v>
      </c>
      <c r="AA153" t="s">
        <v>8</v>
      </c>
      <c r="AB153" t="s">
        <v>8</v>
      </c>
      <c r="AC153" t="s">
        <v>3</v>
      </c>
      <c r="AD153" t="s">
        <v>8</v>
      </c>
      <c r="AE153" t="s">
        <v>60</v>
      </c>
      <c r="AF153" t="s">
        <v>2039</v>
      </c>
    </row>
    <row r="154" spans="1:32">
      <c r="A154" t="s">
        <v>2040</v>
      </c>
      <c r="B154" t="s">
        <v>2041</v>
      </c>
      <c r="C154" t="s">
        <v>2042</v>
      </c>
      <c r="D154" t="s">
        <v>2043</v>
      </c>
      <c r="E154" t="s">
        <v>1515</v>
      </c>
      <c r="F154" t="s">
        <v>2044</v>
      </c>
      <c r="H154" t="s">
        <v>2045</v>
      </c>
      <c r="I154" t="s">
        <v>2045</v>
      </c>
      <c r="J154" t="s">
        <v>8</v>
      </c>
      <c r="K154" t="s">
        <v>3</v>
      </c>
      <c r="L154" t="s">
        <v>3</v>
      </c>
      <c r="M154" t="s">
        <v>122</v>
      </c>
      <c r="N154" t="s">
        <v>3</v>
      </c>
      <c r="O154" t="s">
        <v>3</v>
      </c>
      <c r="P154" t="s">
        <v>3</v>
      </c>
      <c r="Q154" t="s">
        <v>8</v>
      </c>
      <c r="R154" t="s">
        <v>122</v>
      </c>
      <c r="S154" t="s">
        <v>8</v>
      </c>
      <c r="T154" t="s">
        <v>2040</v>
      </c>
      <c r="U154" t="s">
        <v>3</v>
      </c>
      <c r="V154" t="s">
        <v>3</v>
      </c>
      <c r="W154" t="s">
        <v>741</v>
      </c>
      <c r="AA154" t="s">
        <v>8</v>
      </c>
      <c r="AB154" t="s">
        <v>8</v>
      </c>
      <c r="AC154" t="s">
        <v>3</v>
      </c>
      <c r="AD154" t="s">
        <v>8</v>
      </c>
      <c r="AE154" t="s">
        <v>111</v>
      </c>
      <c r="AF154" t="s">
        <v>2046</v>
      </c>
    </row>
    <row r="155" spans="1:32">
      <c r="A155" t="s">
        <v>2047</v>
      </c>
      <c r="B155" t="s">
        <v>2048</v>
      </c>
      <c r="C155" t="s">
        <v>2049</v>
      </c>
      <c r="D155" t="s">
        <v>2048</v>
      </c>
      <c r="E155" t="s">
        <v>1515</v>
      </c>
      <c r="F155" t="s">
        <v>2050</v>
      </c>
      <c r="H155" t="s">
        <v>2045</v>
      </c>
      <c r="I155" t="s">
        <v>2051</v>
      </c>
      <c r="J155" t="s">
        <v>8</v>
      </c>
      <c r="K155" t="s">
        <v>3</v>
      </c>
      <c r="L155" t="s">
        <v>3</v>
      </c>
      <c r="M155" t="s">
        <v>122</v>
      </c>
      <c r="N155" t="s">
        <v>3</v>
      </c>
      <c r="O155" t="s">
        <v>3</v>
      </c>
      <c r="P155" t="s">
        <v>3</v>
      </c>
      <c r="Q155" t="s">
        <v>8</v>
      </c>
      <c r="R155" t="s">
        <v>122</v>
      </c>
      <c r="S155" t="s">
        <v>8</v>
      </c>
      <c r="T155" t="s">
        <v>2047</v>
      </c>
      <c r="U155" t="s">
        <v>3</v>
      </c>
      <c r="V155" t="s">
        <v>3</v>
      </c>
      <c r="W155" t="s">
        <v>769</v>
      </c>
      <c r="AA155" t="s">
        <v>3</v>
      </c>
      <c r="AB155" t="s">
        <v>8</v>
      </c>
      <c r="AC155" t="s">
        <v>3</v>
      </c>
      <c r="AD155" t="s">
        <v>8</v>
      </c>
      <c r="AE155" t="s">
        <v>84</v>
      </c>
      <c r="AF155" t="s">
        <v>2052</v>
      </c>
    </row>
    <row r="156" spans="1:32">
      <c r="A156" t="s">
        <v>2053</v>
      </c>
      <c r="B156" t="s">
        <v>2054</v>
      </c>
      <c r="C156" t="s">
        <v>2055</v>
      </c>
      <c r="D156" t="s">
        <v>2054</v>
      </c>
      <c r="J156" t="s">
        <v>8</v>
      </c>
      <c r="K156" t="s">
        <v>3</v>
      </c>
      <c r="L156" t="s">
        <v>3</v>
      </c>
      <c r="M156" t="s">
        <v>122</v>
      </c>
      <c r="N156" t="s">
        <v>3</v>
      </c>
      <c r="O156" t="s">
        <v>3</v>
      </c>
      <c r="P156" t="s">
        <v>3</v>
      </c>
      <c r="Q156" t="s">
        <v>8</v>
      </c>
      <c r="R156" t="s">
        <v>122</v>
      </c>
      <c r="S156" t="s">
        <v>8</v>
      </c>
      <c r="T156" t="s">
        <v>2053</v>
      </c>
      <c r="U156" t="s">
        <v>3</v>
      </c>
      <c r="V156" t="s">
        <v>3</v>
      </c>
      <c r="W156" t="s">
        <v>3</v>
      </c>
      <c r="AA156" t="s">
        <v>3</v>
      </c>
      <c r="AB156" t="s">
        <v>8</v>
      </c>
      <c r="AC156" t="s">
        <v>3</v>
      </c>
      <c r="AD156" t="s">
        <v>8</v>
      </c>
      <c r="AE156" t="s">
        <v>72</v>
      </c>
      <c r="AF156" t="s">
        <v>2056</v>
      </c>
    </row>
    <row r="157" spans="1:32">
      <c r="A157" t="s">
        <v>2057</v>
      </c>
      <c r="B157" t="s">
        <v>2058</v>
      </c>
      <c r="C157" t="s">
        <v>2059</v>
      </c>
      <c r="D157" t="s">
        <v>2058</v>
      </c>
      <c r="J157" t="s">
        <v>8</v>
      </c>
      <c r="K157" t="s">
        <v>3</v>
      </c>
      <c r="L157" t="s">
        <v>3</v>
      </c>
      <c r="M157" t="s">
        <v>122</v>
      </c>
      <c r="N157" t="s">
        <v>3</v>
      </c>
      <c r="O157" t="s">
        <v>3</v>
      </c>
      <c r="P157" t="s">
        <v>3</v>
      </c>
      <c r="Q157" t="s">
        <v>111</v>
      </c>
      <c r="R157" t="s">
        <v>122</v>
      </c>
      <c r="S157" t="s">
        <v>8</v>
      </c>
      <c r="T157" t="s">
        <v>2057</v>
      </c>
      <c r="U157" t="s">
        <v>3</v>
      </c>
      <c r="V157" t="s">
        <v>3</v>
      </c>
      <c r="W157" t="s">
        <v>3</v>
      </c>
      <c r="AA157" t="s">
        <v>3</v>
      </c>
      <c r="AB157" t="s">
        <v>8</v>
      </c>
      <c r="AC157" t="s">
        <v>3</v>
      </c>
      <c r="AD157" t="s">
        <v>8</v>
      </c>
      <c r="AE157" t="s">
        <v>67</v>
      </c>
      <c r="AF157" t="s">
        <v>2060</v>
      </c>
    </row>
    <row r="158" spans="1:32">
      <c r="A158" t="s">
        <v>2061</v>
      </c>
      <c r="B158" t="s">
        <v>2062</v>
      </c>
      <c r="C158" t="s">
        <v>2063</v>
      </c>
      <c r="D158" t="s">
        <v>2064</v>
      </c>
      <c r="E158" t="s">
        <v>2065</v>
      </c>
      <c r="F158" t="s">
        <v>2066</v>
      </c>
      <c r="H158" t="s">
        <v>2067</v>
      </c>
      <c r="I158" t="s">
        <v>2068</v>
      </c>
      <c r="J158" t="s">
        <v>8</v>
      </c>
      <c r="K158" t="s">
        <v>3</v>
      </c>
      <c r="L158" t="s">
        <v>3</v>
      </c>
      <c r="M158" t="s">
        <v>122</v>
      </c>
      <c r="N158" t="s">
        <v>3</v>
      </c>
      <c r="O158" t="s">
        <v>3</v>
      </c>
      <c r="P158" t="s">
        <v>3</v>
      </c>
      <c r="Q158" t="s">
        <v>8</v>
      </c>
      <c r="R158" t="s">
        <v>122</v>
      </c>
      <c r="S158" t="s">
        <v>8</v>
      </c>
      <c r="T158" t="s">
        <v>2061</v>
      </c>
      <c r="U158" t="s">
        <v>3</v>
      </c>
      <c r="V158" t="s">
        <v>3</v>
      </c>
      <c r="W158" t="s">
        <v>823</v>
      </c>
      <c r="AA158" t="s">
        <v>3</v>
      </c>
      <c r="AB158" t="s">
        <v>8</v>
      </c>
      <c r="AC158" t="s">
        <v>3</v>
      </c>
      <c r="AD158" t="s">
        <v>8</v>
      </c>
      <c r="AE158" t="s">
        <v>111</v>
      </c>
      <c r="AF158" t="s">
        <v>2069</v>
      </c>
    </row>
    <row r="159" spans="1:32">
      <c r="A159" t="s">
        <v>2070</v>
      </c>
      <c r="B159" t="s">
        <v>2071</v>
      </c>
      <c r="C159" t="s">
        <v>2063</v>
      </c>
      <c r="D159" t="s">
        <v>2071</v>
      </c>
      <c r="H159" t="s">
        <v>2067</v>
      </c>
      <c r="I159" t="s">
        <v>2068</v>
      </c>
      <c r="J159" t="s">
        <v>8</v>
      </c>
      <c r="K159" t="s">
        <v>3</v>
      </c>
      <c r="L159" t="s">
        <v>3</v>
      </c>
      <c r="M159" t="s">
        <v>122</v>
      </c>
      <c r="N159" t="s">
        <v>3</v>
      </c>
      <c r="O159" t="s">
        <v>3</v>
      </c>
      <c r="P159" t="s">
        <v>3</v>
      </c>
      <c r="Q159" t="s">
        <v>8</v>
      </c>
      <c r="R159" t="s">
        <v>122</v>
      </c>
      <c r="S159" t="s">
        <v>8</v>
      </c>
      <c r="T159" t="s">
        <v>2070</v>
      </c>
      <c r="U159" t="s">
        <v>3</v>
      </c>
      <c r="V159" t="s">
        <v>3</v>
      </c>
      <c r="W159" t="s">
        <v>827</v>
      </c>
      <c r="AA159" t="s">
        <v>3</v>
      </c>
      <c r="AB159" t="s">
        <v>8</v>
      </c>
      <c r="AC159" t="s">
        <v>3</v>
      </c>
      <c r="AD159" t="s">
        <v>8</v>
      </c>
      <c r="AE159" t="s">
        <v>111</v>
      </c>
      <c r="AF159" t="s">
        <v>2072</v>
      </c>
    </row>
    <row r="160" spans="1:32">
      <c r="A160" t="s">
        <v>2073</v>
      </c>
      <c r="B160" t="s">
        <v>2074</v>
      </c>
      <c r="C160" t="s">
        <v>2063</v>
      </c>
      <c r="D160" t="s">
        <v>2075</v>
      </c>
      <c r="H160" t="s">
        <v>2067</v>
      </c>
      <c r="I160" t="s">
        <v>2068</v>
      </c>
      <c r="J160" t="s">
        <v>8</v>
      </c>
      <c r="K160" t="s">
        <v>3</v>
      </c>
      <c r="L160" t="s">
        <v>3</v>
      </c>
      <c r="M160" t="s">
        <v>122</v>
      </c>
      <c r="N160" t="s">
        <v>3</v>
      </c>
      <c r="O160" t="s">
        <v>3</v>
      </c>
      <c r="P160" t="s">
        <v>3</v>
      </c>
      <c r="Q160" t="s">
        <v>8</v>
      </c>
      <c r="R160" t="s">
        <v>122</v>
      </c>
      <c r="S160" t="s">
        <v>8</v>
      </c>
      <c r="T160" t="s">
        <v>2073</v>
      </c>
      <c r="U160" t="s">
        <v>3</v>
      </c>
      <c r="V160" t="s">
        <v>3</v>
      </c>
      <c r="W160" t="s">
        <v>854</v>
      </c>
      <c r="AA160" t="s">
        <v>3</v>
      </c>
      <c r="AB160" t="s">
        <v>8</v>
      </c>
      <c r="AC160" t="s">
        <v>3</v>
      </c>
      <c r="AD160" t="s">
        <v>8</v>
      </c>
      <c r="AE160" t="s">
        <v>84</v>
      </c>
      <c r="AF160" t="s">
        <v>2076</v>
      </c>
    </row>
    <row r="161" spans="1:32">
      <c r="A161" t="s">
        <v>2077</v>
      </c>
      <c r="B161" t="s">
        <v>2078</v>
      </c>
      <c r="C161" t="s">
        <v>2063</v>
      </c>
      <c r="D161" t="s">
        <v>2079</v>
      </c>
      <c r="H161" t="s">
        <v>2067</v>
      </c>
      <c r="I161" t="s">
        <v>2068</v>
      </c>
      <c r="J161" t="s">
        <v>8</v>
      </c>
      <c r="K161" t="s">
        <v>3</v>
      </c>
      <c r="L161" t="s">
        <v>3</v>
      </c>
      <c r="M161" t="s">
        <v>122</v>
      </c>
      <c r="N161" t="s">
        <v>3</v>
      </c>
      <c r="O161" t="s">
        <v>3</v>
      </c>
      <c r="P161" t="s">
        <v>3</v>
      </c>
      <c r="Q161" t="s">
        <v>8</v>
      </c>
      <c r="R161" t="s">
        <v>122</v>
      </c>
      <c r="S161" t="s">
        <v>8</v>
      </c>
      <c r="T161" t="s">
        <v>2077</v>
      </c>
      <c r="U161" t="s">
        <v>3</v>
      </c>
      <c r="V161" t="s">
        <v>3</v>
      </c>
      <c r="W161" t="s">
        <v>874</v>
      </c>
      <c r="AA161" t="s">
        <v>3</v>
      </c>
      <c r="AB161" t="s">
        <v>8</v>
      </c>
      <c r="AC161" t="s">
        <v>3</v>
      </c>
      <c r="AD161" t="s">
        <v>8</v>
      </c>
      <c r="AE161" t="s">
        <v>84</v>
      </c>
      <c r="AF161" t="s">
        <v>2080</v>
      </c>
    </row>
    <row r="162" spans="1:32">
      <c r="A162" t="s">
        <v>2081</v>
      </c>
      <c r="B162" t="s">
        <v>2082</v>
      </c>
      <c r="C162" t="s">
        <v>2063</v>
      </c>
      <c r="D162" t="s">
        <v>2083</v>
      </c>
      <c r="H162" t="s">
        <v>2067</v>
      </c>
      <c r="I162" t="s">
        <v>2068</v>
      </c>
      <c r="J162" t="s">
        <v>8</v>
      </c>
      <c r="K162" t="s">
        <v>3</v>
      </c>
      <c r="L162" t="s">
        <v>3</v>
      </c>
      <c r="M162" t="s">
        <v>122</v>
      </c>
      <c r="N162" t="s">
        <v>3</v>
      </c>
      <c r="O162" t="s">
        <v>3</v>
      </c>
      <c r="P162" t="s">
        <v>3</v>
      </c>
      <c r="Q162" t="s">
        <v>8</v>
      </c>
      <c r="R162" t="s">
        <v>122</v>
      </c>
      <c r="S162" t="s">
        <v>8</v>
      </c>
      <c r="T162" t="s">
        <v>2081</v>
      </c>
      <c r="U162" t="s">
        <v>3</v>
      </c>
      <c r="V162" t="s">
        <v>3</v>
      </c>
      <c r="W162" t="s">
        <v>827</v>
      </c>
      <c r="AA162" t="s">
        <v>8</v>
      </c>
      <c r="AB162" t="s">
        <v>8</v>
      </c>
      <c r="AC162" t="s">
        <v>3</v>
      </c>
      <c r="AD162" t="s">
        <v>8</v>
      </c>
      <c r="AE162" t="s">
        <v>111</v>
      </c>
      <c r="AF162" t="s">
        <v>2084</v>
      </c>
    </row>
    <row r="163" spans="1:32">
      <c r="A163" t="s">
        <v>2085</v>
      </c>
      <c r="B163" t="s">
        <v>2086</v>
      </c>
      <c r="C163" t="s">
        <v>2063</v>
      </c>
      <c r="D163" t="s">
        <v>2086</v>
      </c>
      <c r="E163" t="s">
        <v>2065</v>
      </c>
      <c r="F163" t="s">
        <v>2066</v>
      </c>
      <c r="H163" t="s">
        <v>2067</v>
      </c>
      <c r="I163" t="s">
        <v>2068</v>
      </c>
      <c r="J163" t="s">
        <v>8</v>
      </c>
      <c r="K163" t="s">
        <v>3</v>
      </c>
      <c r="L163" t="s">
        <v>3</v>
      </c>
      <c r="M163" t="s">
        <v>122</v>
      </c>
      <c r="N163" t="s">
        <v>3</v>
      </c>
      <c r="O163" t="s">
        <v>3</v>
      </c>
      <c r="P163" t="s">
        <v>3</v>
      </c>
      <c r="Q163" t="s">
        <v>8</v>
      </c>
      <c r="R163" t="s">
        <v>122</v>
      </c>
      <c r="S163" t="s">
        <v>3</v>
      </c>
      <c r="T163" t="s">
        <v>2085</v>
      </c>
      <c r="U163" t="s">
        <v>3</v>
      </c>
      <c r="V163" t="s">
        <v>3</v>
      </c>
      <c r="AA163" t="s">
        <v>3</v>
      </c>
      <c r="AB163" t="s">
        <v>8</v>
      </c>
      <c r="AC163" t="s">
        <v>3</v>
      </c>
      <c r="AD163" t="s">
        <v>8</v>
      </c>
      <c r="AE163" t="s">
        <v>2087</v>
      </c>
      <c r="AF163" t="s">
        <v>2088</v>
      </c>
    </row>
    <row r="164" spans="1:32">
      <c r="A164" t="s">
        <v>2089</v>
      </c>
      <c r="B164" t="s">
        <v>2090</v>
      </c>
      <c r="C164" t="s">
        <v>2063</v>
      </c>
      <c r="D164" t="s">
        <v>2091</v>
      </c>
      <c r="H164" t="s">
        <v>2067</v>
      </c>
      <c r="I164" t="s">
        <v>2068</v>
      </c>
      <c r="J164" t="s">
        <v>8</v>
      </c>
      <c r="K164" t="s">
        <v>3</v>
      </c>
      <c r="L164" t="s">
        <v>3</v>
      </c>
      <c r="M164" t="s">
        <v>122</v>
      </c>
      <c r="N164" t="s">
        <v>3</v>
      </c>
      <c r="O164" t="s">
        <v>3</v>
      </c>
      <c r="P164" t="s">
        <v>3</v>
      </c>
      <c r="Q164" t="s">
        <v>8</v>
      </c>
      <c r="R164" t="s">
        <v>122</v>
      </c>
      <c r="S164" t="s">
        <v>8</v>
      </c>
      <c r="T164" t="s">
        <v>2089</v>
      </c>
      <c r="U164" t="s">
        <v>3</v>
      </c>
      <c r="V164" t="s">
        <v>3</v>
      </c>
      <c r="W164" t="s">
        <v>876</v>
      </c>
      <c r="Z164" t="s">
        <v>1554</v>
      </c>
      <c r="AA164" t="s">
        <v>3</v>
      </c>
      <c r="AB164" t="s">
        <v>8</v>
      </c>
      <c r="AC164" t="s">
        <v>3</v>
      </c>
      <c r="AD164" t="s">
        <v>8</v>
      </c>
      <c r="AE164" t="s">
        <v>111</v>
      </c>
      <c r="AF164" t="s">
        <v>2092</v>
      </c>
    </row>
    <row r="165" spans="1:32">
      <c r="A165" t="s">
        <v>2093</v>
      </c>
      <c r="B165" t="s">
        <v>2094</v>
      </c>
      <c r="C165" t="s">
        <v>2095</v>
      </c>
      <c r="D165" t="s">
        <v>2094</v>
      </c>
      <c r="E165" t="s">
        <v>2065</v>
      </c>
      <c r="F165" t="s">
        <v>2096</v>
      </c>
      <c r="H165" t="s">
        <v>2097</v>
      </c>
      <c r="I165" t="s">
        <v>2098</v>
      </c>
      <c r="J165" t="s">
        <v>8</v>
      </c>
      <c r="K165" t="s">
        <v>3</v>
      </c>
      <c r="L165" t="s">
        <v>3</v>
      </c>
      <c r="M165" t="s">
        <v>122</v>
      </c>
      <c r="N165" t="s">
        <v>3</v>
      </c>
      <c r="O165" t="s">
        <v>3</v>
      </c>
      <c r="P165" t="s">
        <v>3</v>
      </c>
      <c r="Q165" t="s">
        <v>8</v>
      </c>
      <c r="R165" t="s">
        <v>122</v>
      </c>
      <c r="S165" t="s">
        <v>8</v>
      </c>
      <c r="T165" t="s">
        <v>2093</v>
      </c>
      <c r="U165" t="s">
        <v>3</v>
      </c>
      <c r="V165" t="s">
        <v>3</v>
      </c>
      <c r="W165" t="s">
        <v>823</v>
      </c>
      <c r="AA165" t="s">
        <v>3</v>
      </c>
      <c r="AB165" t="s">
        <v>8</v>
      </c>
      <c r="AC165" t="s">
        <v>3</v>
      </c>
      <c r="AD165" t="s">
        <v>8</v>
      </c>
      <c r="AE165" t="s">
        <v>111</v>
      </c>
      <c r="AF165" t="s">
        <v>2099</v>
      </c>
    </row>
    <row r="166" spans="1:32">
      <c r="A166" t="s">
        <v>2100</v>
      </c>
      <c r="B166" t="s">
        <v>2101</v>
      </c>
      <c r="C166" t="s">
        <v>2102</v>
      </c>
      <c r="D166" t="s">
        <v>2101</v>
      </c>
      <c r="E166" t="s">
        <v>2065</v>
      </c>
      <c r="F166" t="s">
        <v>2096</v>
      </c>
      <c r="H166" t="s">
        <v>2097</v>
      </c>
      <c r="I166" t="s">
        <v>2098</v>
      </c>
      <c r="J166" t="s">
        <v>8</v>
      </c>
      <c r="K166" t="s">
        <v>3</v>
      </c>
      <c r="L166" t="s">
        <v>3</v>
      </c>
      <c r="M166" t="s">
        <v>122</v>
      </c>
      <c r="N166" t="s">
        <v>3</v>
      </c>
      <c r="O166" t="s">
        <v>3</v>
      </c>
      <c r="P166" t="s">
        <v>3</v>
      </c>
      <c r="Q166" t="s">
        <v>8</v>
      </c>
      <c r="R166" t="s">
        <v>122</v>
      </c>
      <c r="S166" t="s">
        <v>8</v>
      </c>
      <c r="T166" t="s">
        <v>2100</v>
      </c>
      <c r="U166" t="s">
        <v>3</v>
      </c>
      <c r="V166" t="s">
        <v>3</v>
      </c>
      <c r="W166" t="s">
        <v>823</v>
      </c>
      <c r="AA166" t="s">
        <v>3</v>
      </c>
      <c r="AB166" t="s">
        <v>8</v>
      </c>
      <c r="AC166" t="s">
        <v>3</v>
      </c>
      <c r="AD166" t="s">
        <v>8</v>
      </c>
      <c r="AE166" t="s">
        <v>111</v>
      </c>
      <c r="AF166" t="s">
        <v>2103</v>
      </c>
    </row>
    <row r="167" spans="1:32">
      <c r="A167" t="s">
        <v>2104</v>
      </c>
      <c r="B167" t="s">
        <v>2105</v>
      </c>
      <c r="C167" t="s">
        <v>2106</v>
      </c>
      <c r="D167" t="s">
        <v>2105</v>
      </c>
      <c r="E167" t="s">
        <v>2065</v>
      </c>
      <c r="F167" t="s">
        <v>2096</v>
      </c>
      <c r="H167" t="s">
        <v>2097</v>
      </c>
      <c r="I167" t="s">
        <v>2098</v>
      </c>
      <c r="J167" t="s">
        <v>8</v>
      </c>
      <c r="K167" t="s">
        <v>3</v>
      </c>
      <c r="L167" t="s">
        <v>3</v>
      </c>
      <c r="M167" t="s">
        <v>122</v>
      </c>
      <c r="N167" t="s">
        <v>3</v>
      </c>
      <c r="O167" t="s">
        <v>3</v>
      </c>
      <c r="P167" t="s">
        <v>3</v>
      </c>
      <c r="Q167" t="s">
        <v>8</v>
      </c>
      <c r="R167" t="s">
        <v>122</v>
      </c>
      <c r="S167" t="s">
        <v>8</v>
      </c>
      <c r="T167" t="s">
        <v>2104</v>
      </c>
      <c r="U167" t="s">
        <v>3</v>
      </c>
      <c r="V167" t="s">
        <v>3</v>
      </c>
      <c r="W167" t="s">
        <v>823</v>
      </c>
      <c r="AA167" t="s">
        <v>3</v>
      </c>
      <c r="AB167" t="s">
        <v>8</v>
      </c>
      <c r="AC167" t="s">
        <v>3</v>
      </c>
      <c r="AD167" t="s">
        <v>8</v>
      </c>
      <c r="AE167" t="s">
        <v>111</v>
      </c>
      <c r="AF167" t="s">
        <v>2107</v>
      </c>
    </row>
    <row r="168" spans="1:32">
      <c r="A168" t="s">
        <v>2108</v>
      </c>
      <c r="B168" t="s">
        <v>2109</v>
      </c>
      <c r="C168" t="s">
        <v>2110</v>
      </c>
      <c r="D168" t="s">
        <v>2109</v>
      </c>
      <c r="E168" t="s">
        <v>2065</v>
      </c>
      <c r="F168" t="s">
        <v>2096</v>
      </c>
      <c r="H168" t="s">
        <v>2097</v>
      </c>
      <c r="I168" t="s">
        <v>2098</v>
      </c>
      <c r="J168" t="s">
        <v>8</v>
      </c>
      <c r="K168" t="s">
        <v>3</v>
      </c>
      <c r="L168" t="s">
        <v>3</v>
      </c>
      <c r="M168" t="s">
        <v>122</v>
      </c>
      <c r="N168" t="s">
        <v>3</v>
      </c>
      <c r="O168" t="s">
        <v>3</v>
      </c>
      <c r="P168" t="s">
        <v>3</v>
      </c>
      <c r="Q168" t="s">
        <v>8</v>
      </c>
      <c r="R168" t="s">
        <v>122</v>
      </c>
      <c r="S168" t="s">
        <v>8</v>
      </c>
      <c r="T168" t="s">
        <v>2108</v>
      </c>
      <c r="U168" t="s">
        <v>3</v>
      </c>
      <c r="V168" t="s">
        <v>3</v>
      </c>
      <c r="W168" t="s">
        <v>823</v>
      </c>
      <c r="AA168" t="s">
        <v>3</v>
      </c>
      <c r="AB168" t="s">
        <v>8</v>
      </c>
      <c r="AC168" t="s">
        <v>3</v>
      </c>
      <c r="AD168" t="s">
        <v>8</v>
      </c>
      <c r="AE168" t="s">
        <v>111</v>
      </c>
      <c r="AF168" t="s">
        <v>2111</v>
      </c>
    </row>
    <row r="169" spans="1:32">
      <c r="A169" t="s">
        <v>2112</v>
      </c>
      <c r="B169" t="s">
        <v>2113</v>
      </c>
      <c r="C169" t="s">
        <v>2114</v>
      </c>
      <c r="D169" t="s">
        <v>2115</v>
      </c>
      <c r="E169" t="s">
        <v>2065</v>
      </c>
      <c r="F169" t="s">
        <v>2096</v>
      </c>
      <c r="H169" t="s">
        <v>2097</v>
      </c>
      <c r="I169" t="s">
        <v>2098</v>
      </c>
      <c r="J169" t="s">
        <v>8</v>
      </c>
      <c r="K169" t="s">
        <v>3</v>
      </c>
      <c r="L169" t="s">
        <v>3</v>
      </c>
      <c r="M169" t="s">
        <v>122</v>
      </c>
      <c r="N169" t="s">
        <v>3</v>
      </c>
      <c r="O169" t="s">
        <v>3</v>
      </c>
      <c r="P169" t="s">
        <v>3</v>
      </c>
      <c r="Q169" t="s">
        <v>8</v>
      </c>
      <c r="R169" t="s">
        <v>122</v>
      </c>
      <c r="S169" t="s">
        <v>8</v>
      </c>
      <c r="T169" t="s">
        <v>2112</v>
      </c>
      <c r="U169" t="s">
        <v>3</v>
      </c>
      <c r="V169" t="s">
        <v>3</v>
      </c>
      <c r="W169" t="s">
        <v>823</v>
      </c>
      <c r="AA169" t="s">
        <v>3</v>
      </c>
      <c r="AB169" t="s">
        <v>8</v>
      </c>
      <c r="AC169" t="s">
        <v>3</v>
      </c>
      <c r="AD169" t="s">
        <v>8</v>
      </c>
      <c r="AE169" t="s">
        <v>111</v>
      </c>
      <c r="AF169" t="s">
        <v>2116</v>
      </c>
    </row>
    <row r="170" spans="1:32">
      <c r="A170" t="s">
        <v>2117</v>
      </c>
      <c r="B170" t="s">
        <v>2118</v>
      </c>
      <c r="C170" t="s">
        <v>2119</v>
      </c>
      <c r="D170" t="s">
        <v>2118</v>
      </c>
      <c r="E170" t="s">
        <v>2065</v>
      </c>
      <c r="F170" t="s">
        <v>2096</v>
      </c>
      <c r="H170" t="s">
        <v>2097</v>
      </c>
      <c r="I170" t="s">
        <v>2098</v>
      </c>
      <c r="J170" t="s">
        <v>8</v>
      </c>
      <c r="K170" t="s">
        <v>3</v>
      </c>
      <c r="L170" t="s">
        <v>3</v>
      </c>
      <c r="M170" t="s">
        <v>122</v>
      </c>
      <c r="N170" t="s">
        <v>3</v>
      </c>
      <c r="O170" t="s">
        <v>3</v>
      </c>
      <c r="P170" t="s">
        <v>3</v>
      </c>
      <c r="Q170" t="s">
        <v>8</v>
      </c>
      <c r="R170" t="s">
        <v>122</v>
      </c>
      <c r="S170" t="s">
        <v>8</v>
      </c>
      <c r="T170" t="s">
        <v>2117</v>
      </c>
      <c r="U170" t="s">
        <v>3</v>
      </c>
      <c r="V170" t="s">
        <v>3</v>
      </c>
      <c r="W170" t="s">
        <v>823</v>
      </c>
      <c r="AA170" t="s">
        <v>3</v>
      </c>
      <c r="AB170" t="s">
        <v>8</v>
      </c>
      <c r="AC170" t="s">
        <v>3</v>
      </c>
      <c r="AD170" t="s">
        <v>8</v>
      </c>
      <c r="AE170" t="s">
        <v>111</v>
      </c>
      <c r="AF170" t="s">
        <v>2120</v>
      </c>
    </row>
    <row r="171" spans="1:32">
      <c r="A171" t="s">
        <v>2121</v>
      </c>
      <c r="B171" t="s">
        <v>2122</v>
      </c>
      <c r="C171" t="s">
        <v>2123</v>
      </c>
      <c r="D171" t="s">
        <v>2122</v>
      </c>
      <c r="E171" t="s">
        <v>2124</v>
      </c>
      <c r="F171" t="s">
        <v>2125</v>
      </c>
      <c r="H171" t="s">
        <v>2126</v>
      </c>
      <c r="I171" t="s">
        <v>2127</v>
      </c>
      <c r="J171" t="s">
        <v>8</v>
      </c>
      <c r="K171" t="s">
        <v>3</v>
      </c>
      <c r="L171" t="s">
        <v>3</v>
      </c>
      <c r="M171" t="s">
        <v>122</v>
      </c>
      <c r="N171" t="s">
        <v>3</v>
      </c>
      <c r="O171" t="s">
        <v>3</v>
      </c>
      <c r="P171" t="s">
        <v>3</v>
      </c>
      <c r="Q171" t="s">
        <v>8</v>
      </c>
      <c r="R171" t="s">
        <v>122</v>
      </c>
      <c r="S171" t="s">
        <v>8</v>
      </c>
      <c r="T171" t="s">
        <v>2121</v>
      </c>
      <c r="U171" t="s">
        <v>3</v>
      </c>
      <c r="V171" t="s">
        <v>3</v>
      </c>
      <c r="W171" t="s">
        <v>96</v>
      </c>
      <c r="AA171" t="s">
        <v>8</v>
      </c>
      <c r="AB171" t="s">
        <v>8</v>
      </c>
      <c r="AC171" t="s">
        <v>3</v>
      </c>
      <c r="AD171" t="s">
        <v>8</v>
      </c>
      <c r="AE171" t="s">
        <v>72</v>
      </c>
      <c r="AF171" t="s">
        <v>2128</v>
      </c>
    </row>
    <row r="172" spans="1:32">
      <c r="A172" t="s">
        <v>2129</v>
      </c>
      <c r="B172" t="s">
        <v>2130</v>
      </c>
      <c r="C172" t="s">
        <v>2123</v>
      </c>
      <c r="D172" t="s">
        <v>2131</v>
      </c>
      <c r="H172" t="s">
        <v>2126</v>
      </c>
      <c r="I172" t="s">
        <v>2127</v>
      </c>
      <c r="J172" t="s">
        <v>8</v>
      </c>
      <c r="K172" t="s">
        <v>3</v>
      </c>
      <c r="L172" t="s">
        <v>3</v>
      </c>
      <c r="M172" t="s">
        <v>122</v>
      </c>
      <c r="N172" t="s">
        <v>3</v>
      </c>
      <c r="O172" t="s">
        <v>3</v>
      </c>
      <c r="P172" t="s">
        <v>3</v>
      </c>
      <c r="Q172" t="s">
        <v>8</v>
      </c>
      <c r="R172" t="s">
        <v>122</v>
      </c>
      <c r="S172" t="s">
        <v>8</v>
      </c>
      <c r="T172" t="s">
        <v>2129</v>
      </c>
      <c r="U172" t="s">
        <v>3</v>
      </c>
      <c r="V172" t="s">
        <v>3</v>
      </c>
      <c r="W172" t="s">
        <v>486</v>
      </c>
      <c r="AA172" t="s">
        <v>8</v>
      </c>
      <c r="AB172" t="s">
        <v>8</v>
      </c>
      <c r="AC172" t="s">
        <v>3</v>
      </c>
      <c r="AD172" t="s">
        <v>8</v>
      </c>
      <c r="AE172" t="s">
        <v>111</v>
      </c>
      <c r="AF172" t="s">
        <v>2132</v>
      </c>
    </row>
    <row r="173" spans="1:32">
      <c r="A173" t="s">
        <v>2133</v>
      </c>
      <c r="B173" t="s">
        <v>2134</v>
      </c>
      <c r="C173" t="s">
        <v>2135</v>
      </c>
      <c r="D173" t="s">
        <v>2131</v>
      </c>
      <c r="H173" t="s">
        <v>2126</v>
      </c>
      <c r="I173" t="s">
        <v>2127</v>
      </c>
      <c r="J173" t="s">
        <v>8</v>
      </c>
      <c r="K173" t="s">
        <v>3</v>
      </c>
      <c r="L173" t="s">
        <v>3</v>
      </c>
      <c r="M173" t="s">
        <v>122</v>
      </c>
      <c r="N173" t="s">
        <v>3</v>
      </c>
      <c r="O173" t="s">
        <v>3</v>
      </c>
      <c r="P173" t="s">
        <v>3</v>
      </c>
      <c r="Q173" t="s">
        <v>3</v>
      </c>
      <c r="R173" t="s">
        <v>122</v>
      </c>
      <c r="S173" t="s">
        <v>8</v>
      </c>
      <c r="T173" t="s">
        <v>2133</v>
      </c>
      <c r="U173" t="s">
        <v>3</v>
      </c>
      <c r="V173" t="s">
        <v>3</v>
      </c>
      <c r="W173" t="s">
        <v>2136</v>
      </c>
      <c r="AA173" t="s">
        <v>8</v>
      </c>
      <c r="AB173" t="s">
        <v>3</v>
      </c>
      <c r="AC173" t="s">
        <v>3</v>
      </c>
      <c r="AD173" t="s">
        <v>8</v>
      </c>
      <c r="AE173" t="s">
        <v>72</v>
      </c>
      <c r="AF173" t="s">
        <v>2137</v>
      </c>
    </row>
    <row r="174" spans="1:32">
      <c r="A174" t="s">
        <v>2138</v>
      </c>
      <c r="B174" t="s">
        <v>2139</v>
      </c>
      <c r="C174" t="s">
        <v>2140</v>
      </c>
      <c r="D174" t="s">
        <v>2141</v>
      </c>
      <c r="E174" t="s">
        <v>2124</v>
      </c>
      <c r="F174" t="s">
        <v>2142</v>
      </c>
      <c r="H174" t="s">
        <v>2143</v>
      </c>
      <c r="I174" t="s">
        <v>2144</v>
      </c>
      <c r="J174" t="s">
        <v>8</v>
      </c>
      <c r="K174" t="s">
        <v>3</v>
      </c>
      <c r="L174" t="s">
        <v>3</v>
      </c>
      <c r="M174" t="s">
        <v>122</v>
      </c>
      <c r="N174" t="s">
        <v>3</v>
      </c>
      <c r="O174" t="s">
        <v>3</v>
      </c>
      <c r="P174" t="s">
        <v>3</v>
      </c>
      <c r="Q174" t="s">
        <v>8</v>
      </c>
      <c r="R174" t="s">
        <v>122</v>
      </c>
      <c r="S174" t="s">
        <v>8</v>
      </c>
      <c r="T174" t="s">
        <v>2138</v>
      </c>
      <c r="U174" t="s">
        <v>3</v>
      </c>
      <c r="V174" t="s">
        <v>3</v>
      </c>
      <c r="W174" t="s">
        <v>53</v>
      </c>
      <c r="AA174" t="s">
        <v>8</v>
      </c>
      <c r="AB174" t="s">
        <v>8</v>
      </c>
      <c r="AC174" t="s">
        <v>3</v>
      </c>
      <c r="AD174" t="s">
        <v>8</v>
      </c>
      <c r="AE174" t="s">
        <v>111</v>
      </c>
      <c r="AF174" t="s">
        <v>2145</v>
      </c>
    </row>
    <row r="175" spans="1:32">
      <c r="A175" t="s">
        <v>2146</v>
      </c>
      <c r="B175" t="s">
        <v>2147</v>
      </c>
      <c r="C175" t="s">
        <v>2140</v>
      </c>
      <c r="D175" t="s">
        <v>2147</v>
      </c>
      <c r="H175" t="s">
        <v>2143</v>
      </c>
      <c r="I175" t="s">
        <v>2144</v>
      </c>
      <c r="J175" t="s">
        <v>8</v>
      </c>
      <c r="K175" t="s">
        <v>3</v>
      </c>
      <c r="L175" t="s">
        <v>3</v>
      </c>
      <c r="M175" t="s">
        <v>122</v>
      </c>
      <c r="N175" t="s">
        <v>3</v>
      </c>
      <c r="O175" t="s">
        <v>3</v>
      </c>
      <c r="P175" t="s">
        <v>3</v>
      </c>
      <c r="Q175" t="s">
        <v>111</v>
      </c>
      <c r="R175" t="s">
        <v>122</v>
      </c>
      <c r="S175" t="s">
        <v>8</v>
      </c>
      <c r="T175" t="s">
        <v>2146</v>
      </c>
      <c r="U175" t="s">
        <v>3</v>
      </c>
      <c r="V175" t="s">
        <v>3</v>
      </c>
      <c r="W175" t="s">
        <v>498</v>
      </c>
      <c r="AA175" t="s">
        <v>8</v>
      </c>
      <c r="AB175" t="s">
        <v>8</v>
      </c>
      <c r="AC175" t="s">
        <v>3</v>
      </c>
      <c r="AD175" t="s">
        <v>8</v>
      </c>
      <c r="AE175" t="s">
        <v>111</v>
      </c>
      <c r="AF175" t="s">
        <v>2148</v>
      </c>
    </row>
    <row r="176" spans="1:32">
      <c r="A176" t="s">
        <v>2149</v>
      </c>
      <c r="B176" t="s">
        <v>1814</v>
      </c>
      <c r="C176" t="s">
        <v>1828</v>
      </c>
      <c r="D176" t="s">
        <v>1814</v>
      </c>
      <c r="E176" t="s">
        <v>1817</v>
      </c>
      <c r="F176" t="s">
        <v>1818</v>
      </c>
      <c r="H176" t="s">
        <v>1819</v>
      </c>
      <c r="I176" t="s">
        <v>1820</v>
      </c>
      <c r="J176" t="s">
        <v>8</v>
      </c>
      <c r="K176" t="s">
        <v>3</v>
      </c>
      <c r="L176" t="s">
        <v>3</v>
      </c>
      <c r="M176" t="s">
        <v>122</v>
      </c>
      <c r="N176" t="s">
        <v>3</v>
      </c>
      <c r="O176" t="s">
        <v>3</v>
      </c>
      <c r="P176" t="s">
        <v>3</v>
      </c>
      <c r="Q176" t="s">
        <v>8</v>
      </c>
      <c r="R176" t="s">
        <v>122</v>
      </c>
      <c r="S176" t="s">
        <v>8</v>
      </c>
      <c r="T176" t="s">
        <v>2149</v>
      </c>
      <c r="U176" t="s">
        <v>3</v>
      </c>
      <c r="V176" t="s">
        <v>3</v>
      </c>
      <c r="W176" t="s">
        <v>52</v>
      </c>
      <c r="AA176" t="s">
        <v>8</v>
      </c>
      <c r="AB176" t="s">
        <v>8</v>
      </c>
      <c r="AC176" t="s">
        <v>3</v>
      </c>
      <c r="AD176" t="s">
        <v>8</v>
      </c>
      <c r="AE176" t="s">
        <v>111</v>
      </c>
      <c r="AF176" t="s">
        <v>2150</v>
      </c>
    </row>
    <row r="177" spans="1:32">
      <c r="A177" t="s">
        <v>2151</v>
      </c>
      <c r="B177" t="s">
        <v>2152</v>
      </c>
      <c r="C177" t="s">
        <v>2153</v>
      </c>
      <c r="D177" t="s">
        <v>2152</v>
      </c>
      <c r="E177" t="s">
        <v>2154</v>
      </c>
      <c r="F177" t="s">
        <v>2155</v>
      </c>
      <c r="H177" t="s">
        <v>2156</v>
      </c>
      <c r="I177" t="s">
        <v>2157</v>
      </c>
      <c r="J177" t="s">
        <v>8</v>
      </c>
      <c r="K177" t="s">
        <v>3</v>
      </c>
      <c r="L177" t="s">
        <v>3</v>
      </c>
      <c r="M177" t="s">
        <v>122</v>
      </c>
      <c r="N177" t="s">
        <v>3</v>
      </c>
      <c r="O177" t="s">
        <v>3</v>
      </c>
      <c r="P177" t="s">
        <v>3</v>
      </c>
      <c r="Q177" t="s">
        <v>8</v>
      </c>
      <c r="R177" t="s">
        <v>122</v>
      </c>
      <c r="S177" t="s">
        <v>8</v>
      </c>
      <c r="T177" t="s">
        <v>2151</v>
      </c>
      <c r="U177" t="s">
        <v>3</v>
      </c>
      <c r="V177" t="s">
        <v>3</v>
      </c>
      <c r="W177" t="s">
        <v>135</v>
      </c>
      <c r="AA177" t="s">
        <v>8</v>
      </c>
      <c r="AB177" t="s">
        <v>8</v>
      </c>
      <c r="AC177" t="s">
        <v>3</v>
      </c>
      <c r="AD177" t="s">
        <v>8</v>
      </c>
      <c r="AE177" t="s">
        <v>111</v>
      </c>
      <c r="AF177" t="s">
        <v>2158</v>
      </c>
    </row>
    <row r="178" spans="1:32">
      <c r="A178" t="s">
        <v>2159</v>
      </c>
      <c r="B178" t="s">
        <v>2160</v>
      </c>
      <c r="C178" t="s">
        <v>2161</v>
      </c>
      <c r="D178" t="s">
        <v>2160</v>
      </c>
      <c r="E178" t="s">
        <v>2154</v>
      </c>
      <c r="F178" t="s">
        <v>2155</v>
      </c>
      <c r="H178" t="s">
        <v>2156</v>
      </c>
      <c r="I178" t="s">
        <v>2157</v>
      </c>
      <c r="J178" t="s">
        <v>8</v>
      </c>
      <c r="K178" t="s">
        <v>3</v>
      </c>
      <c r="L178" t="s">
        <v>3</v>
      </c>
      <c r="M178" t="s">
        <v>122</v>
      </c>
      <c r="N178" t="s">
        <v>3</v>
      </c>
      <c r="O178" t="s">
        <v>3</v>
      </c>
      <c r="P178" t="s">
        <v>3</v>
      </c>
      <c r="Q178" t="s">
        <v>8</v>
      </c>
      <c r="R178" t="s">
        <v>122</v>
      </c>
      <c r="S178" t="s">
        <v>8</v>
      </c>
      <c r="T178" t="s">
        <v>2159</v>
      </c>
      <c r="U178" t="s">
        <v>3</v>
      </c>
      <c r="V178" t="s">
        <v>3</v>
      </c>
      <c r="W178" t="s">
        <v>78</v>
      </c>
      <c r="AA178" t="s">
        <v>8</v>
      </c>
      <c r="AB178" t="s">
        <v>8</v>
      </c>
      <c r="AC178" t="s">
        <v>3</v>
      </c>
      <c r="AD178" t="s">
        <v>8</v>
      </c>
      <c r="AE178" t="s">
        <v>111</v>
      </c>
      <c r="AF178" t="s">
        <v>2162</v>
      </c>
    </row>
    <row r="179" spans="1:32">
      <c r="A179" t="s">
        <v>2163</v>
      </c>
      <c r="B179" t="s">
        <v>2164</v>
      </c>
      <c r="C179" t="s">
        <v>2165</v>
      </c>
      <c r="D179" t="s">
        <v>2164</v>
      </c>
      <c r="E179" t="s">
        <v>2166</v>
      </c>
      <c r="F179" t="s">
        <v>2167</v>
      </c>
      <c r="H179" t="s">
        <v>2168</v>
      </c>
      <c r="I179" t="s">
        <v>2169</v>
      </c>
      <c r="J179" t="s">
        <v>8</v>
      </c>
      <c r="K179" t="s">
        <v>3</v>
      </c>
      <c r="L179" t="s">
        <v>3</v>
      </c>
      <c r="M179" t="s">
        <v>122</v>
      </c>
      <c r="N179" t="s">
        <v>3</v>
      </c>
      <c r="O179" t="s">
        <v>3</v>
      </c>
      <c r="P179" t="s">
        <v>3</v>
      </c>
      <c r="Q179" t="s">
        <v>8</v>
      </c>
      <c r="R179" t="s">
        <v>122</v>
      </c>
      <c r="S179" t="s">
        <v>8</v>
      </c>
      <c r="T179" t="s">
        <v>2163</v>
      </c>
      <c r="U179" t="s">
        <v>3</v>
      </c>
      <c r="V179" t="s">
        <v>3</v>
      </c>
      <c r="W179" t="s">
        <v>6</v>
      </c>
      <c r="X179" t="s">
        <v>1039</v>
      </c>
      <c r="Y179" t="s">
        <v>72</v>
      </c>
      <c r="AA179" t="s">
        <v>3</v>
      </c>
      <c r="AB179" t="s">
        <v>8</v>
      </c>
      <c r="AC179" t="s">
        <v>3</v>
      </c>
      <c r="AD179" t="s">
        <v>8</v>
      </c>
      <c r="AE179" t="s">
        <v>111</v>
      </c>
      <c r="AF179" t="s">
        <v>2170</v>
      </c>
    </row>
    <row r="180" spans="1:32">
      <c r="A180" t="s">
        <v>2171</v>
      </c>
      <c r="B180" t="s">
        <v>2172</v>
      </c>
      <c r="C180" t="s">
        <v>2165</v>
      </c>
      <c r="D180" t="s">
        <v>2172</v>
      </c>
      <c r="H180" t="s">
        <v>2168</v>
      </c>
      <c r="I180" t="s">
        <v>2169</v>
      </c>
      <c r="J180" t="s">
        <v>8</v>
      </c>
      <c r="K180" t="s">
        <v>3</v>
      </c>
      <c r="L180" t="s">
        <v>3</v>
      </c>
      <c r="M180" t="s">
        <v>122</v>
      </c>
      <c r="N180" t="s">
        <v>3</v>
      </c>
      <c r="O180" t="s">
        <v>3</v>
      </c>
      <c r="P180" t="s">
        <v>3</v>
      </c>
      <c r="Q180" t="s">
        <v>8</v>
      </c>
      <c r="R180" t="s">
        <v>122</v>
      </c>
      <c r="S180" t="s">
        <v>8</v>
      </c>
      <c r="T180" t="s">
        <v>2171</v>
      </c>
      <c r="U180" t="s">
        <v>3</v>
      </c>
      <c r="V180" t="s">
        <v>3</v>
      </c>
      <c r="W180" t="s">
        <v>252</v>
      </c>
      <c r="AA180" t="s">
        <v>3</v>
      </c>
      <c r="AB180" t="s">
        <v>8</v>
      </c>
      <c r="AC180" t="s">
        <v>3</v>
      </c>
      <c r="AD180" t="s">
        <v>8</v>
      </c>
      <c r="AE180" t="s">
        <v>111</v>
      </c>
      <c r="AF180" t="s">
        <v>2173</v>
      </c>
    </row>
    <row r="181" spans="1:32">
      <c r="A181" t="s">
        <v>2174</v>
      </c>
      <c r="B181" t="s">
        <v>2172</v>
      </c>
      <c r="C181" t="s">
        <v>2165</v>
      </c>
      <c r="D181" t="s">
        <v>2172</v>
      </c>
      <c r="H181" t="s">
        <v>2168</v>
      </c>
      <c r="I181" t="s">
        <v>2169</v>
      </c>
      <c r="J181" t="s">
        <v>8</v>
      </c>
      <c r="K181" t="s">
        <v>3</v>
      </c>
      <c r="L181" t="s">
        <v>3</v>
      </c>
      <c r="M181" t="s">
        <v>122</v>
      </c>
      <c r="N181" t="s">
        <v>3</v>
      </c>
      <c r="O181" t="s">
        <v>3</v>
      </c>
      <c r="P181" t="s">
        <v>3</v>
      </c>
      <c r="Q181" t="s">
        <v>8</v>
      </c>
      <c r="R181" t="s">
        <v>122</v>
      </c>
      <c r="S181" t="s">
        <v>8</v>
      </c>
      <c r="T181" t="s">
        <v>2174</v>
      </c>
      <c r="U181" t="s">
        <v>3</v>
      </c>
      <c r="V181" t="s">
        <v>3</v>
      </c>
      <c r="W181" t="s">
        <v>252</v>
      </c>
      <c r="AA181" t="s">
        <v>3</v>
      </c>
      <c r="AB181" t="s">
        <v>3</v>
      </c>
      <c r="AC181" t="s">
        <v>3</v>
      </c>
      <c r="AD181" t="s">
        <v>8</v>
      </c>
      <c r="AE181" t="s">
        <v>111</v>
      </c>
      <c r="AF181" t="s">
        <v>2175</v>
      </c>
    </row>
    <row r="182" spans="1:32">
      <c r="A182" t="s">
        <v>2176</v>
      </c>
      <c r="B182" t="s">
        <v>2177</v>
      </c>
      <c r="C182" t="s">
        <v>2178</v>
      </c>
      <c r="D182" t="s">
        <v>2177</v>
      </c>
      <c r="E182" t="s">
        <v>2166</v>
      </c>
      <c r="F182" t="s">
        <v>2167</v>
      </c>
      <c r="H182" t="s">
        <v>2168</v>
      </c>
      <c r="I182" t="s">
        <v>2169</v>
      </c>
      <c r="J182" t="s">
        <v>8</v>
      </c>
      <c r="K182" t="s">
        <v>3</v>
      </c>
      <c r="L182" t="s">
        <v>3</v>
      </c>
      <c r="M182" t="s">
        <v>122</v>
      </c>
      <c r="N182" t="s">
        <v>3</v>
      </c>
      <c r="O182" t="s">
        <v>3</v>
      </c>
      <c r="P182" t="s">
        <v>3</v>
      </c>
      <c r="Q182" t="s">
        <v>8</v>
      </c>
      <c r="R182" t="s">
        <v>122</v>
      </c>
      <c r="S182" t="s">
        <v>8</v>
      </c>
      <c r="T182" t="s">
        <v>2176</v>
      </c>
      <c r="U182" t="s">
        <v>3</v>
      </c>
      <c r="V182" t="s">
        <v>3</v>
      </c>
      <c r="W182" t="s">
        <v>6</v>
      </c>
      <c r="AA182" t="s">
        <v>3</v>
      </c>
      <c r="AB182" t="s">
        <v>8</v>
      </c>
      <c r="AC182" t="s">
        <v>3</v>
      </c>
      <c r="AD182" t="s">
        <v>8</v>
      </c>
      <c r="AE182" t="s">
        <v>111</v>
      </c>
      <c r="AF182" t="s">
        <v>2179</v>
      </c>
    </row>
    <row r="183" spans="1:32">
      <c r="A183" t="s">
        <v>2180</v>
      </c>
      <c r="B183" t="s">
        <v>2172</v>
      </c>
      <c r="C183" t="s">
        <v>2165</v>
      </c>
      <c r="D183" t="s">
        <v>2172</v>
      </c>
      <c r="H183" t="s">
        <v>2168</v>
      </c>
      <c r="I183" t="s">
        <v>2169</v>
      </c>
      <c r="J183" t="s">
        <v>8</v>
      </c>
      <c r="K183" t="s">
        <v>3</v>
      </c>
      <c r="L183" t="s">
        <v>3</v>
      </c>
      <c r="M183" t="s">
        <v>122</v>
      </c>
      <c r="N183" t="s">
        <v>3</v>
      </c>
      <c r="O183" t="s">
        <v>3</v>
      </c>
      <c r="P183" t="s">
        <v>3</v>
      </c>
      <c r="Q183" t="s">
        <v>8</v>
      </c>
      <c r="R183" t="s">
        <v>122</v>
      </c>
      <c r="S183" t="s">
        <v>8</v>
      </c>
      <c r="T183" t="s">
        <v>2180</v>
      </c>
      <c r="U183" t="s">
        <v>3</v>
      </c>
      <c r="V183" t="s">
        <v>3</v>
      </c>
      <c r="W183" t="s">
        <v>252</v>
      </c>
      <c r="AA183" t="s">
        <v>3</v>
      </c>
      <c r="AB183" t="s">
        <v>8</v>
      </c>
      <c r="AC183" t="s">
        <v>8</v>
      </c>
      <c r="AD183" t="s">
        <v>8</v>
      </c>
      <c r="AE183" t="s">
        <v>67</v>
      </c>
      <c r="AF183" t="s">
        <v>2181</v>
      </c>
    </row>
    <row r="184" spans="1:32">
      <c r="A184" t="s">
        <v>2182</v>
      </c>
      <c r="B184" t="s">
        <v>2172</v>
      </c>
      <c r="C184" t="s">
        <v>2165</v>
      </c>
      <c r="D184" t="s">
        <v>2172</v>
      </c>
      <c r="H184" t="s">
        <v>2168</v>
      </c>
      <c r="I184" t="s">
        <v>2169</v>
      </c>
      <c r="J184" t="s">
        <v>8</v>
      </c>
      <c r="K184" t="s">
        <v>3</v>
      </c>
      <c r="L184" t="s">
        <v>3</v>
      </c>
      <c r="M184" t="s">
        <v>122</v>
      </c>
      <c r="N184" t="s">
        <v>3</v>
      </c>
      <c r="O184" t="s">
        <v>3</v>
      </c>
      <c r="P184" t="s">
        <v>3</v>
      </c>
      <c r="Q184" t="s">
        <v>8</v>
      </c>
      <c r="R184" t="s">
        <v>122</v>
      </c>
      <c r="S184" t="s">
        <v>8</v>
      </c>
      <c r="T184" t="s">
        <v>2182</v>
      </c>
      <c r="U184" t="s">
        <v>3</v>
      </c>
      <c r="V184" t="s">
        <v>3</v>
      </c>
      <c r="W184" t="s">
        <v>252</v>
      </c>
      <c r="AA184" t="s">
        <v>3</v>
      </c>
      <c r="AB184" t="s">
        <v>3</v>
      </c>
      <c r="AC184" t="s">
        <v>8</v>
      </c>
      <c r="AD184" t="s">
        <v>8</v>
      </c>
      <c r="AE184" t="s">
        <v>67</v>
      </c>
      <c r="AF184" t="s">
        <v>2183</v>
      </c>
    </row>
    <row r="185" spans="1:32">
      <c r="A185" t="s">
        <v>2184</v>
      </c>
      <c r="B185" t="s">
        <v>2185</v>
      </c>
      <c r="C185" t="s">
        <v>2186</v>
      </c>
      <c r="D185" t="s">
        <v>2185</v>
      </c>
      <c r="E185" t="s">
        <v>2187</v>
      </c>
      <c r="F185" t="s">
        <v>2188</v>
      </c>
      <c r="H185" t="s">
        <v>2189</v>
      </c>
      <c r="I185" t="s">
        <v>2190</v>
      </c>
      <c r="J185" t="s">
        <v>8</v>
      </c>
      <c r="K185" t="s">
        <v>3</v>
      </c>
      <c r="L185" t="s">
        <v>3</v>
      </c>
      <c r="M185" t="s">
        <v>122</v>
      </c>
      <c r="N185" t="s">
        <v>3</v>
      </c>
      <c r="O185" t="s">
        <v>3</v>
      </c>
      <c r="P185" t="s">
        <v>3</v>
      </c>
      <c r="Q185" t="s">
        <v>8</v>
      </c>
      <c r="R185" t="s">
        <v>122</v>
      </c>
      <c r="S185" t="s">
        <v>8</v>
      </c>
      <c r="T185" t="s">
        <v>2184</v>
      </c>
      <c r="U185" t="s">
        <v>3</v>
      </c>
      <c r="V185" t="s">
        <v>3</v>
      </c>
      <c r="W185" t="s">
        <v>332</v>
      </c>
      <c r="AA185" t="s">
        <v>8</v>
      </c>
      <c r="AB185" t="s">
        <v>8</v>
      </c>
      <c r="AC185" t="s">
        <v>3</v>
      </c>
      <c r="AD185" t="s">
        <v>8</v>
      </c>
      <c r="AE185" t="s">
        <v>111</v>
      </c>
      <c r="AF185" t="s">
        <v>2191</v>
      </c>
    </row>
    <row r="186" spans="1:32">
      <c r="A186" t="s">
        <v>2192</v>
      </c>
      <c r="B186" t="s">
        <v>2193</v>
      </c>
      <c r="C186" t="s">
        <v>2186</v>
      </c>
      <c r="D186" t="s">
        <v>2193</v>
      </c>
      <c r="H186" t="s">
        <v>2189</v>
      </c>
      <c r="I186" t="s">
        <v>2190</v>
      </c>
      <c r="J186" t="s">
        <v>8</v>
      </c>
      <c r="K186" t="s">
        <v>3</v>
      </c>
      <c r="L186" t="s">
        <v>3</v>
      </c>
      <c r="M186" t="s">
        <v>122</v>
      </c>
      <c r="N186" t="s">
        <v>3</v>
      </c>
      <c r="O186" t="s">
        <v>3</v>
      </c>
      <c r="P186" t="s">
        <v>3</v>
      </c>
      <c r="Q186" t="s">
        <v>8</v>
      </c>
      <c r="R186" t="s">
        <v>122</v>
      </c>
      <c r="S186" t="s">
        <v>8</v>
      </c>
      <c r="T186" t="s">
        <v>2192</v>
      </c>
      <c r="U186" t="s">
        <v>3</v>
      </c>
      <c r="V186" t="s">
        <v>3</v>
      </c>
      <c r="W186" t="s">
        <v>3</v>
      </c>
      <c r="AA186" t="s">
        <v>8</v>
      </c>
      <c r="AB186" t="s">
        <v>8</v>
      </c>
      <c r="AC186" t="s">
        <v>3</v>
      </c>
      <c r="AD186" t="s">
        <v>8</v>
      </c>
      <c r="AE186" t="s">
        <v>111</v>
      </c>
      <c r="AF186" t="s">
        <v>2194</v>
      </c>
    </row>
    <row r="187" spans="1:32">
      <c r="A187" t="s">
        <v>2195</v>
      </c>
      <c r="B187" t="s">
        <v>2196</v>
      </c>
      <c r="C187" t="s">
        <v>2197</v>
      </c>
      <c r="D187" t="s">
        <v>2196</v>
      </c>
      <c r="E187" t="s">
        <v>2198</v>
      </c>
      <c r="F187" t="s">
        <v>2199</v>
      </c>
      <c r="H187" t="s">
        <v>2200</v>
      </c>
      <c r="J187" t="s">
        <v>8</v>
      </c>
      <c r="K187" t="s">
        <v>3</v>
      </c>
      <c r="L187" t="s">
        <v>3</v>
      </c>
      <c r="M187" t="s">
        <v>122</v>
      </c>
      <c r="N187" t="s">
        <v>3</v>
      </c>
      <c r="O187" t="s">
        <v>3</v>
      </c>
      <c r="P187" t="s">
        <v>3</v>
      </c>
      <c r="Q187" t="s">
        <v>8</v>
      </c>
      <c r="R187" t="s">
        <v>122</v>
      </c>
      <c r="S187" t="s">
        <v>8</v>
      </c>
      <c r="T187" t="s">
        <v>2195</v>
      </c>
      <c r="U187" t="s">
        <v>3</v>
      </c>
      <c r="V187" t="s">
        <v>3</v>
      </c>
      <c r="W187" t="s">
        <v>94</v>
      </c>
      <c r="AA187" t="s">
        <v>8</v>
      </c>
      <c r="AB187" t="s">
        <v>8</v>
      </c>
      <c r="AC187" t="s">
        <v>3</v>
      </c>
      <c r="AD187" t="s">
        <v>8</v>
      </c>
      <c r="AE187" t="s">
        <v>111</v>
      </c>
      <c r="AF187" t="s">
        <v>2201</v>
      </c>
    </row>
    <row r="188" spans="1:32">
      <c r="A188" t="s">
        <v>2202</v>
      </c>
      <c r="B188" t="s">
        <v>2203</v>
      </c>
      <c r="C188" t="s">
        <v>2197</v>
      </c>
      <c r="D188" t="s">
        <v>2203</v>
      </c>
      <c r="H188" t="s">
        <v>2200</v>
      </c>
      <c r="J188" t="s">
        <v>8</v>
      </c>
      <c r="K188" t="s">
        <v>3</v>
      </c>
      <c r="L188" t="s">
        <v>3</v>
      </c>
      <c r="M188" t="s">
        <v>122</v>
      </c>
      <c r="N188" t="s">
        <v>3</v>
      </c>
      <c r="O188" t="s">
        <v>3</v>
      </c>
      <c r="P188" t="s">
        <v>3</v>
      </c>
      <c r="Q188" t="s">
        <v>8</v>
      </c>
      <c r="R188" t="s">
        <v>122</v>
      </c>
      <c r="S188" t="s">
        <v>8</v>
      </c>
      <c r="T188" t="s">
        <v>2202</v>
      </c>
      <c r="U188" t="s">
        <v>3</v>
      </c>
      <c r="V188" t="s">
        <v>3</v>
      </c>
      <c r="W188" t="s">
        <v>3</v>
      </c>
      <c r="AA188" t="s">
        <v>8</v>
      </c>
      <c r="AB188" t="s">
        <v>8</v>
      </c>
      <c r="AC188" t="s">
        <v>3</v>
      </c>
      <c r="AD188" t="s">
        <v>8</v>
      </c>
      <c r="AE188" t="s">
        <v>111</v>
      </c>
      <c r="AF188" t="s">
        <v>2204</v>
      </c>
    </row>
    <row r="189" spans="1:32">
      <c r="A189" t="s">
        <v>2205</v>
      </c>
      <c r="B189" t="s">
        <v>2206</v>
      </c>
      <c r="C189" t="s">
        <v>2207</v>
      </c>
      <c r="D189" t="s">
        <v>2208</v>
      </c>
      <c r="E189" t="s">
        <v>2209</v>
      </c>
      <c r="F189" t="s">
        <v>2210</v>
      </c>
      <c r="H189" t="s">
        <v>2211</v>
      </c>
      <c r="I189" t="s">
        <v>2212</v>
      </c>
      <c r="J189" t="s">
        <v>8</v>
      </c>
      <c r="K189" t="s">
        <v>3</v>
      </c>
      <c r="L189" t="s">
        <v>3</v>
      </c>
      <c r="M189" t="s">
        <v>122</v>
      </c>
      <c r="N189" t="s">
        <v>3</v>
      </c>
      <c r="O189" t="s">
        <v>3</v>
      </c>
      <c r="P189" t="s">
        <v>3</v>
      </c>
      <c r="Q189" t="s">
        <v>8</v>
      </c>
      <c r="R189" t="s">
        <v>122</v>
      </c>
      <c r="S189" t="s">
        <v>8</v>
      </c>
      <c r="T189" t="s">
        <v>2205</v>
      </c>
      <c r="U189" t="s">
        <v>3</v>
      </c>
      <c r="V189" t="s">
        <v>3</v>
      </c>
      <c r="W189" t="s">
        <v>525</v>
      </c>
      <c r="AA189" t="s">
        <v>3</v>
      </c>
      <c r="AB189" t="s">
        <v>8</v>
      </c>
      <c r="AC189" t="s">
        <v>3</v>
      </c>
      <c r="AD189" t="s">
        <v>8</v>
      </c>
      <c r="AE189" t="s">
        <v>111</v>
      </c>
      <c r="AF189" t="s">
        <v>2213</v>
      </c>
    </row>
    <row r="190" spans="1:32">
      <c r="A190" t="s">
        <v>2214</v>
      </c>
      <c r="B190" t="s">
        <v>2215</v>
      </c>
      <c r="C190" t="s">
        <v>2207</v>
      </c>
      <c r="D190" t="s">
        <v>2215</v>
      </c>
      <c r="H190" t="s">
        <v>2211</v>
      </c>
      <c r="I190" t="s">
        <v>2212</v>
      </c>
      <c r="J190" t="s">
        <v>8</v>
      </c>
      <c r="K190" t="s">
        <v>3</v>
      </c>
      <c r="L190" t="s">
        <v>3</v>
      </c>
      <c r="M190" t="s">
        <v>122</v>
      </c>
      <c r="N190" t="s">
        <v>3</v>
      </c>
      <c r="O190" t="s">
        <v>3</v>
      </c>
      <c r="P190" t="s">
        <v>3</v>
      </c>
      <c r="Q190" t="s">
        <v>8</v>
      </c>
      <c r="R190" t="s">
        <v>122</v>
      </c>
      <c r="S190" t="s">
        <v>8</v>
      </c>
      <c r="T190" t="s">
        <v>2214</v>
      </c>
      <c r="U190" t="s">
        <v>3</v>
      </c>
      <c r="V190" t="s">
        <v>3</v>
      </c>
      <c r="W190" t="s">
        <v>2216</v>
      </c>
      <c r="AA190" t="s">
        <v>3</v>
      </c>
      <c r="AB190" t="s">
        <v>8</v>
      </c>
      <c r="AC190" t="s">
        <v>3</v>
      </c>
      <c r="AD190" t="s">
        <v>8</v>
      </c>
      <c r="AE190" t="s">
        <v>111</v>
      </c>
      <c r="AF190" t="s">
        <v>2217</v>
      </c>
    </row>
    <row r="191" spans="1:32">
      <c r="A191" t="s">
        <v>2218</v>
      </c>
      <c r="B191" t="s">
        <v>2219</v>
      </c>
      <c r="C191" t="s">
        <v>2220</v>
      </c>
      <c r="D191" t="s">
        <v>2219</v>
      </c>
      <c r="E191" t="s">
        <v>2221</v>
      </c>
      <c r="F191" t="s">
        <v>2222</v>
      </c>
      <c r="H191" t="s">
        <v>2223</v>
      </c>
      <c r="I191" t="s">
        <v>2223</v>
      </c>
      <c r="J191" t="s">
        <v>8</v>
      </c>
      <c r="K191" t="s">
        <v>3</v>
      </c>
      <c r="L191" t="s">
        <v>3</v>
      </c>
      <c r="M191" t="s">
        <v>122</v>
      </c>
      <c r="N191" t="s">
        <v>3</v>
      </c>
      <c r="O191" t="s">
        <v>3</v>
      </c>
      <c r="P191" t="s">
        <v>3</v>
      </c>
      <c r="Q191" t="s">
        <v>8</v>
      </c>
      <c r="R191" t="s">
        <v>122</v>
      </c>
      <c r="S191" t="s">
        <v>8</v>
      </c>
      <c r="T191" t="s">
        <v>2218</v>
      </c>
      <c r="U191" t="s">
        <v>3</v>
      </c>
      <c r="V191" t="s">
        <v>3</v>
      </c>
      <c r="W191" t="s">
        <v>2224</v>
      </c>
      <c r="AA191" t="s">
        <v>8</v>
      </c>
      <c r="AB191" t="s">
        <v>8</v>
      </c>
      <c r="AC191" t="s">
        <v>3</v>
      </c>
      <c r="AD191" t="s">
        <v>8</v>
      </c>
      <c r="AE191" t="s">
        <v>111</v>
      </c>
      <c r="AF191" t="s">
        <v>2225</v>
      </c>
    </row>
    <row r="192" spans="1:32">
      <c r="A192" t="s">
        <v>2226</v>
      </c>
      <c r="B192" t="s">
        <v>2227</v>
      </c>
      <c r="C192" t="s">
        <v>2228</v>
      </c>
      <c r="D192" t="s">
        <v>2227</v>
      </c>
      <c r="J192" t="s">
        <v>8</v>
      </c>
      <c r="K192" t="s">
        <v>3</v>
      </c>
      <c r="L192" t="s">
        <v>3</v>
      </c>
      <c r="M192" t="s">
        <v>122</v>
      </c>
      <c r="N192" t="s">
        <v>3</v>
      </c>
      <c r="O192" t="s">
        <v>3</v>
      </c>
      <c r="P192" t="s">
        <v>3</v>
      </c>
      <c r="Q192" t="s">
        <v>8</v>
      </c>
      <c r="R192" t="s">
        <v>122</v>
      </c>
      <c r="S192" t="s">
        <v>8</v>
      </c>
      <c r="T192" t="s">
        <v>2226</v>
      </c>
      <c r="U192" t="s">
        <v>3</v>
      </c>
      <c r="V192" t="s">
        <v>3</v>
      </c>
      <c r="W192" t="s">
        <v>2229</v>
      </c>
      <c r="AA192" t="s">
        <v>8</v>
      </c>
      <c r="AB192" t="s">
        <v>8</v>
      </c>
      <c r="AC192" t="s">
        <v>3</v>
      </c>
      <c r="AD192" t="s">
        <v>8</v>
      </c>
      <c r="AE192" t="s">
        <v>111</v>
      </c>
      <c r="AF192" t="s">
        <v>2230</v>
      </c>
    </row>
    <row r="193" spans="1:32">
      <c r="A193" t="s">
        <v>2231</v>
      </c>
      <c r="B193" t="s">
        <v>2232</v>
      </c>
      <c r="C193" t="s">
        <v>2233</v>
      </c>
      <c r="D193" t="s">
        <v>2232</v>
      </c>
      <c r="E193" t="s">
        <v>2234</v>
      </c>
      <c r="F193" t="s">
        <v>2235</v>
      </c>
      <c r="H193" t="s">
        <v>2236</v>
      </c>
      <c r="I193" t="s">
        <v>2237</v>
      </c>
      <c r="J193" t="s">
        <v>8</v>
      </c>
      <c r="K193" t="s">
        <v>3</v>
      </c>
      <c r="L193" t="s">
        <v>3</v>
      </c>
      <c r="M193" t="s">
        <v>122</v>
      </c>
      <c r="N193" t="s">
        <v>3</v>
      </c>
      <c r="O193" t="s">
        <v>3</v>
      </c>
      <c r="P193" t="s">
        <v>3</v>
      </c>
      <c r="Q193" t="s">
        <v>3</v>
      </c>
      <c r="R193" t="s">
        <v>122</v>
      </c>
      <c r="S193" t="s">
        <v>8</v>
      </c>
      <c r="T193" t="s">
        <v>2231</v>
      </c>
      <c r="U193" t="s">
        <v>3</v>
      </c>
      <c r="V193" t="s">
        <v>3</v>
      </c>
      <c r="W193" t="s">
        <v>459</v>
      </c>
      <c r="AA193" t="s">
        <v>8</v>
      </c>
      <c r="AB193" t="s">
        <v>8</v>
      </c>
      <c r="AC193" t="s">
        <v>3</v>
      </c>
      <c r="AD193" t="s">
        <v>8</v>
      </c>
      <c r="AE193" t="s">
        <v>111</v>
      </c>
      <c r="AF193" t="s">
        <v>2238</v>
      </c>
    </row>
    <row r="194" spans="1:32">
      <c r="A194" t="s">
        <v>2239</v>
      </c>
      <c r="B194" t="s">
        <v>2240</v>
      </c>
      <c r="C194" t="s">
        <v>2233</v>
      </c>
      <c r="D194" t="s">
        <v>2240</v>
      </c>
      <c r="E194" t="s">
        <v>2234</v>
      </c>
      <c r="F194" t="s">
        <v>2235</v>
      </c>
      <c r="H194" t="s">
        <v>2236</v>
      </c>
      <c r="I194" t="s">
        <v>2237</v>
      </c>
      <c r="J194" t="s">
        <v>8</v>
      </c>
      <c r="K194" t="s">
        <v>3</v>
      </c>
      <c r="L194" t="s">
        <v>3</v>
      </c>
      <c r="M194" t="s">
        <v>122</v>
      </c>
      <c r="N194" t="s">
        <v>3</v>
      </c>
      <c r="O194" t="s">
        <v>3</v>
      </c>
      <c r="P194" t="s">
        <v>3</v>
      </c>
      <c r="Q194" t="s">
        <v>8</v>
      </c>
      <c r="R194" t="s">
        <v>122</v>
      </c>
      <c r="S194" t="s">
        <v>8</v>
      </c>
      <c r="T194" t="s">
        <v>2239</v>
      </c>
      <c r="U194" t="s">
        <v>3</v>
      </c>
      <c r="V194" t="s">
        <v>3</v>
      </c>
      <c r="W194" t="s">
        <v>462</v>
      </c>
      <c r="AA194" t="s">
        <v>8</v>
      </c>
      <c r="AB194" t="s">
        <v>8</v>
      </c>
      <c r="AC194" t="s">
        <v>3</v>
      </c>
      <c r="AD194" t="s">
        <v>8</v>
      </c>
      <c r="AE194" t="s">
        <v>111</v>
      </c>
      <c r="AF194" t="s">
        <v>2241</v>
      </c>
    </row>
    <row r="195" spans="1:32">
      <c r="A195" t="s">
        <v>2242</v>
      </c>
      <c r="B195" t="s">
        <v>2243</v>
      </c>
      <c r="C195" t="s">
        <v>2244</v>
      </c>
      <c r="D195" t="s">
        <v>2243</v>
      </c>
      <c r="E195" t="s">
        <v>2234</v>
      </c>
      <c r="F195" t="s">
        <v>2235</v>
      </c>
      <c r="H195" t="s">
        <v>2236</v>
      </c>
      <c r="I195" t="s">
        <v>2237</v>
      </c>
      <c r="J195" t="s">
        <v>8</v>
      </c>
      <c r="K195" t="s">
        <v>3</v>
      </c>
      <c r="L195" t="s">
        <v>3</v>
      </c>
      <c r="M195" t="s">
        <v>122</v>
      </c>
      <c r="N195" t="s">
        <v>3</v>
      </c>
      <c r="O195" t="s">
        <v>3</v>
      </c>
      <c r="P195" t="s">
        <v>3</v>
      </c>
      <c r="Q195" t="s">
        <v>3</v>
      </c>
      <c r="R195" t="s">
        <v>122</v>
      </c>
      <c r="S195" t="s">
        <v>8</v>
      </c>
      <c r="T195" t="s">
        <v>2242</v>
      </c>
      <c r="U195" t="s">
        <v>3</v>
      </c>
      <c r="V195" t="s">
        <v>3</v>
      </c>
      <c r="W195" t="s">
        <v>459</v>
      </c>
      <c r="AA195" t="s">
        <v>8</v>
      </c>
      <c r="AB195" t="s">
        <v>8</v>
      </c>
      <c r="AC195" t="s">
        <v>3</v>
      </c>
      <c r="AD195" t="s">
        <v>8</v>
      </c>
      <c r="AE195" t="s">
        <v>111</v>
      </c>
      <c r="AF195" t="s">
        <v>2245</v>
      </c>
    </row>
    <row r="196" spans="1:32">
      <c r="A196" t="s">
        <v>2246</v>
      </c>
      <c r="B196" t="s">
        <v>2247</v>
      </c>
      <c r="C196" t="s">
        <v>2248</v>
      </c>
      <c r="D196" t="s">
        <v>2249</v>
      </c>
      <c r="E196" t="s">
        <v>2234</v>
      </c>
      <c r="F196" t="s">
        <v>2235</v>
      </c>
      <c r="H196" t="s">
        <v>2236</v>
      </c>
      <c r="I196" t="s">
        <v>2237</v>
      </c>
      <c r="J196" t="s">
        <v>8</v>
      </c>
      <c r="K196" t="s">
        <v>3</v>
      </c>
      <c r="L196" t="s">
        <v>3</v>
      </c>
      <c r="M196" t="s">
        <v>122</v>
      </c>
      <c r="N196" t="s">
        <v>3</v>
      </c>
      <c r="O196" t="s">
        <v>3</v>
      </c>
      <c r="P196" t="s">
        <v>3</v>
      </c>
      <c r="Q196" t="s">
        <v>3</v>
      </c>
      <c r="R196" t="s">
        <v>122</v>
      </c>
      <c r="S196" t="s">
        <v>8</v>
      </c>
      <c r="T196" t="s">
        <v>2246</v>
      </c>
      <c r="U196" t="s">
        <v>3</v>
      </c>
      <c r="V196" t="s">
        <v>3</v>
      </c>
      <c r="W196" t="s">
        <v>459</v>
      </c>
      <c r="AA196" t="s">
        <v>8</v>
      </c>
      <c r="AB196" t="s">
        <v>8</v>
      </c>
      <c r="AC196" t="s">
        <v>3</v>
      </c>
      <c r="AD196" t="s">
        <v>8</v>
      </c>
      <c r="AE196" t="s">
        <v>67</v>
      </c>
      <c r="AF196" t="s">
        <v>2250</v>
      </c>
    </row>
    <row r="197" spans="1:32">
      <c r="A197" t="s">
        <v>101</v>
      </c>
      <c r="B197" t="s">
        <v>20</v>
      </c>
      <c r="C197" t="s">
        <v>2251</v>
      </c>
      <c r="D197" t="s">
        <v>20</v>
      </c>
      <c r="E197" t="s">
        <v>2252</v>
      </c>
      <c r="F197" t="s">
        <v>2253</v>
      </c>
      <c r="H197" t="s">
        <v>2254</v>
      </c>
      <c r="I197" t="s">
        <v>2255</v>
      </c>
      <c r="J197" t="s">
        <v>8</v>
      </c>
      <c r="K197" t="s">
        <v>3</v>
      </c>
      <c r="L197" t="s">
        <v>3</v>
      </c>
      <c r="M197" t="s">
        <v>122</v>
      </c>
      <c r="N197" t="s">
        <v>3</v>
      </c>
      <c r="O197" t="s">
        <v>3</v>
      </c>
      <c r="P197" t="s">
        <v>3</v>
      </c>
      <c r="Q197" t="s">
        <v>8</v>
      </c>
      <c r="R197" t="s">
        <v>122</v>
      </c>
      <c r="S197" t="s">
        <v>8</v>
      </c>
      <c r="T197" t="s">
        <v>101</v>
      </c>
      <c r="U197" t="s">
        <v>3</v>
      </c>
      <c r="V197" t="s">
        <v>3</v>
      </c>
      <c r="W197" t="s">
        <v>2256</v>
      </c>
      <c r="X197" t="s">
        <v>1039</v>
      </c>
      <c r="Y197" t="s">
        <v>111</v>
      </c>
      <c r="AA197" t="s">
        <v>3</v>
      </c>
      <c r="AB197" t="s">
        <v>8</v>
      </c>
      <c r="AC197" t="s">
        <v>3</v>
      </c>
      <c r="AD197" t="s">
        <v>8</v>
      </c>
      <c r="AE197" t="s">
        <v>111</v>
      </c>
      <c r="AF197" t="s">
        <v>2257</v>
      </c>
    </row>
    <row r="198" spans="1:32">
      <c r="A198" t="s">
        <v>2258</v>
      </c>
      <c r="B198" t="s">
        <v>2259</v>
      </c>
      <c r="C198" t="s">
        <v>2260</v>
      </c>
      <c r="D198" t="s">
        <v>2261</v>
      </c>
      <c r="E198" t="s">
        <v>2252</v>
      </c>
      <c r="F198" t="s">
        <v>2253</v>
      </c>
      <c r="H198" t="s">
        <v>2254</v>
      </c>
      <c r="I198" t="s">
        <v>2255</v>
      </c>
      <c r="J198" t="s">
        <v>8</v>
      </c>
      <c r="K198" t="s">
        <v>3</v>
      </c>
      <c r="L198" t="s">
        <v>3</v>
      </c>
      <c r="M198" t="s">
        <v>122</v>
      </c>
      <c r="N198" t="s">
        <v>3</v>
      </c>
      <c r="O198" t="s">
        <v>3</v>
      </c>
      <c r="P198" t="s">
        <v>3</v>
      </c>
      <c r="Q198" t="s">
        <v>8</v>
      </c>
      <c r="R198" t="s">
        <v>122</v>
      </c>
      <c r="S198" t="s">
        <v>8</v>
      </c>
      <c r="T198" t="s">
        <v>2258</v>
      </c>
      <c r="U198" t="s">
        <v>3</v>
      </c>
      <c r="V198" t="s">
        <v>3</v>
      </c>
      <c r="W198" t="s">
        <v>2262</v>
      </c>
      <c r="AA198" t="s">
        <v>8</v>
      </c>
      <c r="AB198" t="s">
        <v>8</v>
      </c>
      <c r="AC198" t="s">
        <v>3</v>
      </c>
      <c r="AD198" t="s">
        <v>8</v>
      </c>
      <c r="AE198" t="s">
        <v>111</v>
      </c>
      <c r="AF198" t="s">
        <v>2263</v>
      </c>
    </row>
    <row r="199" spans="1:32">
      <c r="A199" t="s">
        <v>2264</v>
      </c>
      <c r="B199" t="s">
        <v>2265</v>
      </c>
      <c r="C199" t="s">
        <v>2266</v>
      </c>
      <c r="D199" t="s">
        <v>2265</v>
      </c>
      <c r="E199" t="s">
        <v>2267</v>
      </c>
      <c r="F199" t="s">
        <v>2268</v>
      </c>
      <c r="H199" t="s">
        <v>2269</v>
      </c>
      <c r="I199" t="s">
        <v>2269</v>
      </c>
      <c r="J199" t="s">
        <v>8</v>
      </c>
      <c r="K199" t="s">
        <v>3</v>
      </c>
      <c r="L199" t="s">
        <v>3</v>
      </c>
      <c r="M199" t="s">
        <v>122</v>
      </c>
      <c r="N199" t="s">
        <v>3</v>
      </c>
      <c r="O199" t="s">
        <v>3</v>
      </c>
      <c r="P199" t="s">
        <v>3</v>
      </c>
      <c r="Q199" t="s">
        <v>8</v>
      </c>
      <c r="R199" t="s">
        <v>122</v>
      </c>
      <c r="S199" t="s">
        <v>8</v>
      </c>
      <c r="T199" t="s">
        <v>2264</v>
      </c>
      <c r="U199" t="s">
        <v>3</v>
      </c>
      <c r="V199" t="s">
        <v>3</v>
      </c>
      <c r="W199" t="s">
        <v>563</v>
      </c>
      <c r="AA199" t="s">
        <v>8</v>
      </c>
      <c r="AB199" t="s">
        <v>8</v>
      </c>
      <c r="AC199" t="s">
        <v>3</v>
      </c>
      <c r="AD199" t="s">
        <v>8</v>
      </c>
      <c r="AE199" t="s">
        <v>111</v>
      </c>
      <c r="AF199" t="s">
        <v>2270</v>
      </c>
    </row>
    <row r="200" spans="1:32">
      <c r="A200" t="s">
        <v>2271</v>
      </c>
      <c r="B200" t="s">
        <v>2272</v>
      </c>
      <c r="C200" t="s">
        <v>2273</v>
      </c>
      <c r="D200" t="s">
        <v>2272</v>
      </c>
      <c r="E200" t="s">
        <v>2274</v>
      </c>
      <c r="F200" t="s">
        <v>2275</v>
      </c>
      <c r="H200" t="s">
        <v>2276</v>
      </c>
      <c r="J200" t="s">
        <v>8</v>
      </c>
      <c r="K200" t="s">
        <v>3</v>
      </c>
      <c r="L200" t="s">
        <v>3</v>
      </c>
      <c r="M200" t="s">
        <v>122</v>
      </c>
      <c r="N200" t="s">
        <v>3</v>
      </c>
      <c r="O200" t="s">
        <v>3</v>
      </c>
      <c r="P200" t="s">
        <v>3</v>
      </c>
      <c r="Q200" t="s">
        <v>8</v>
      </c>
      <c r="R200" t="s">
        <v>122</v>
      </c>
      <c r="S200" t="s">
        <v>8</v>
      </c>
      <c r="T200" t="s">
        <v>2271</v>
      </c>
      <c r="U200" t="s">
        <v>3</v>
      </c>
      <c r="V200" t="s">
        <v>3</v>
      </c>
      <c r="W200" t="s">
        <v>947</v>
      </c>
      <c r="AA200" t="s">
        <v>8</v>
      </c>
      <c r="AB200" t="s">
        <v>8</v>
      </c>
      <c r="AC200" t="s">
        <v>3</v>
      </c>
      <c r="AD200" t="s">
        <v>8</v>
      </c>
      <c r="AE200" t="s">
        <v>60</v>
      </c>
      <c r="AF200" t="s">
        <v>2277</v>
      </c>
    </row>
    <row r="201" spans="1:32">
      <c r="A201" t="s">
        <v>104</v>
      </c>
      <c r="B201" t="s">
        <v>21</v>
      </c>
      <c r="C201" t="s">
        <v>2278</v>
      </c>
      <c r="D201" t="s">
        <v>2279</v>
      </c>
      <c r="E201" t="s">
        <v>2280</v>
      </c>
      <c r="F201" t="s">
        <v>2281</v>
      </c>
      <c r="H201" t="s">
        <v>2282</v>
      </c>
      <c r="I201" t="s">
        <v>2282</v>
      </c>
      <c r="J201" t="s">
        <v>8</v>
      </c>
      <c r="K201" t="s">
        <v>3</v>
      </c>
      <c r="L201" t="s">
        <v>3</v>
      </c>
      <c r="M201" t="s">
        <v>122</v>
      </c>
      <c r="N201" t="s">
        <v>3</v>
      </c>
      <c r="O201" t="s">
        <v>3</v>
      </c>
      <c r="P201" t="s">
        <v>3</v>
      </c>
      <c r="Q201" t="s">
        <v>8</v>
      </c>
      <c r="R201" t="s">
        <v>122</v>
      </c>
      <c r="S201" t="s">
        <v>8</v>
      </c>
      <c r="T201" t="s">
        <v>104</v>
      </c>
      <c r="U201" t="s">
        <v>3</v>
      </c>
      <c r="V201" t="s">
        <v>3</v>
      </c>
      <c r="W201" t="s">
        <v>2283</v>
      </c>
      <c r="AA201" t="s">
        <v>3</v>
      </c>
      <c r="AB201" t="s">
        <v>8</v>
      </c>
      <c r="AC201" t="s">
        <v>3</v>
      </c>
      <c r="AD201" t="s">
        <v>8</v>
      </c>
      <c r="AE201" t="s">
        <v>111</v>
      </c>
      <c r="AF201" t="s">
        <v>2284</v>
      </c>
    </row>
    <row r="202" spans="1:32">
      <c r="A202" t="s">
        <v>2285</v>
      </c>
      <c r="B202" t="s">
        <v>2286</v>
      </c>
      <c r="C202" t="s">
        <v>2278</v>
      </c>
      <c r="D202" t="s">
        <v>2286</v>
      </c>
      <c r="H202" t="s">
        <v>2282</v>
      </c>
      <c r="I202" t="s">
        <v>2282</v>
      </c>
      <c r="J202" t="s">
        <v>8</v>
      </c>
      <c r="K202" t="s">
        <v>3</v>
      </c>
      <c r="L202" t="s">
        <v>3</v>
      </c>
      <c r="M202" t="s">
        <v>122</v>
      </c>
      <c r="N202" t="s">
        <v>3</v>
      </c>
      <c r="O202" t="s">
        <v>3</v>
      </c>
      <c r="P202" t="s">
        <v>3</v>
      </c>
      <c r="Q202" t="s">
        <v>8</v>
      </c>
      <c r="R202" t="s">
        <v>122</v>
      </c>
      <c r="S202" t="s">
        <v>8</v>
      </c>
      <c r="T202" t="s">
        <v>2285</v>
      </c>
      <c r="U202" t="s">
        <v>3</v>
      </c>
      <c r="V202" t="s">
        <v>3</v>
      </c>
      <c r="W202" t="s">
        <v>565</v>
      </c>
      <c r="AA202" t="s">
        <v>3</v>
      </c>
      <c r="AB202" t="s">
        <v>8</v>
      </c>
      <c r="AC202" t="s">
        <v>3</v>
      </c>
      <c r="AD202" t="s">
        <v>8</v>
      </c>
      <c r="AE202" t="s">
        <v>111</v>
      </c>
      <c r="AF202" t="s">
        <v>2287</v>
      </c>
    </row>
    <row r="203" spans="1:32">
      <c r="A203" t="s">
        <v>578</v>
      </c>
      <c r="B203" t="s">
        <v>2288</v>
      </c>
      <c r="C203" t="s">
        <v>2289</v>
      </c>
      <c r="D203" t="s">
        <v>2288</v>
      </c>
      <c r="E203" t="s">
        <v>2290</v>
      </c>
      <c r="F203" t="s">
        <v>2291</v>
      </c>
      <c r="H203" t="s">
        <v>2292</v>
      </c>
      <c r="J203" t="s">
        <v>8</v>
      </c>
      <c r="K203" t="s">
        <v>3</v>
      </c>
      <c r="L203" t="s">
        <v>3</v>
      </c>
      <c r="M203" t="s">
        <v>122</v>
      </c>
      <c r="N203" t="s">
        <v>3</v>
      </c>
      <c r="O203" t="s">
        <v>3</v>
      </c>
      <c r="P203" t="s">
        <v>3</v>
      </c>
      <c r="Q203" t="s">
        <v>8</v>
      </c>
      <c r="R203" t="s">
        <v>122</v>
      </c>
      <c r="S203" t="s">
        <v>8</v>
      </c>
      <c r="T203" t="s">
        <v>578</v>
      </c>
      <c r="U203" t="s">
        <v>3</v>
      </c>
      <c r="V203" t="s">
        <v>3</v>
      </c>
      <c r="W203" t="s">
        <v>62</v>
      </c>
      <c r="AA203" t="s">
        <v>8</v>
      </c>
      <c r="AB203" t="s">
        <v>8</v>
      </c>
      <c r="AC203" t="s">
        <v>3</v>
      </c>
      <c r="AD203" t="s">
        <v>8</v>
      </c>
      <c r="AE203" t="s">
        <v>111</v>
      </c>
      <c r="AF203" t="s">
        <v>2293</v>
      </c>
    </row>
    <row r="204" spans="1:32">
      <c r="A204" t="s">
        <v>106</v>
      </c>
      <c r="B204" t="s">
        <v>22</v>
      </c>
      <c r="C204" t="s">
        <v>2294</v>
      </c>
      <c r="D204" t="s">
        <v>22</v>
      </c>
      <c r="E204" t="s">
        <v>2295</v>
      </c>
      <c r="F204" t="s">
        <v>2296</v>
      </c>
      <c r="H204" t="s">
        <v>2297</v>
      </c>
      <c r="I204" t="s">
        <v>2298</v>
      </c>
      <c r="J204" t="s">
        <v>8</v>
      </c>
      <c r="K204" t="s">
        <v>3</v>
      </c>
      <c r="L204" t="s">
        <v>3</v>
      </c>
      <c r="M204" t="s">
        <v>122</v>
      </c>
      <c r="N204" t="s">
        <v>3</v>
      </c>
      <c r="O204" t="s">
        <v>3</v>
      </c>
      <c r="P204" t="s">
        <v>3</v>
      </c>
      <c r="Q204" t="s">
        <v>8</v>
      </c>
      <c r="R204" t="s">
        <v>122</v>
      </c>
      <c r="S204" t="s">
        <v>8</v>
      </c>
      <c r="T204" t="s">
        <v>106</v>
      </c>
      <c r="U204" t="s">
        <v>3</v>
      </c>
      <c r="V204" t="s">
        <v>3</v>
      </c>
      <c r="W204" t="s">
        <v>620</v>
      </c>
      <c r="AA204" t="s">
        <v>3</v>
      </c>
      <c r="AB204" t="s">
        <v>8</v>
      </c>
      <c r="AC204" t="s">
        <v>3</v>
      </c>
      <c r="AD204" t="s">
        <v>8</v>
      </c>
      <c r="AE204" t="s">
        <v>84</v>
      </c>
      <c r="AF204" t="s">
        <v>2299</v>
      </c>
    </row>
    <row r="205" spans="1:32">
      <c r="A205" t="s">
        <v>2300</v>
      </c>
      <c r="B205" t="s">
        <v>2301</v>
      </c>
      <c r="C205" t="s">
        <v>2294</v>
      </c>
      <c r="D205" t="s">
        <v>2301</v>
      </c>
      <c r="H205" t="s">
        <v>2297</v>
      </c>
      <c r="I205" t="s">
        <v>2298</v>
      </c>
      <c r="J205" t="s">
        <v>8</v>
      </c>
      <c r="K205" t="s">
        <v>3</v>
      </c>
      <c r="L205" t="s">
        <v>3</v>
      </c>
      <c r="M205" t="s">
        <v>122</v>
      </c>
      <c r="N205" t="s">
        <v>3</v>
      </c>
      <c r="O205" t="s">
        <v>3</v>
      </c>
      <c r="P205" t="s">
        <v>3</v>
      </c>
      <c r="Q205" t="s">
        <v>8</v>
      </c>
      <c r="R205" t="s">
        <v>122</v>
      </c>
      <c r="S205" t="s">
        <v>8</v>
      </c>
      <c r="T205" t="s">
        <v>2300</v>
      </c>
      <c r="U205" t="s">
        <v>3</v>
      </c>
      <c r="V205" t="s">
        <v>3</v>
      </c>
      <c r="W205" t="s">
        <v>623</v>
      </c>
      <c r="AA205" t="s">
        <v>8</v>
      </c>
      <c r="AB205" t="s">
        <v>8</v>
      </c>
      <c r="AC205" t="s">
        <v>3</v>
      </c>
      <c r="AD205" t="s">
        <v>8</v>
      </c>
      <c r="AE205" t="s">
        <v>111</v>
      </c>
      <c r="AF205" t="s">
        <v>2302</v>
      </c>
    </row>
    <row r="206" spans="1:32">
      <c r="A206" t="s">
        <v>109</v>
      </c>
      <c r="B206" t="s">
        <v>23</v>
      </c>
      <c r="C206" t="s">
        <v>2303</v>
      </c>
      <c r="D206" t="s">
        <v>23</v>
      </c>
      <c r="E206" t="s">
        <v>2304</v>
      </c>
      <c r="F206" t="s">
        <v>2305</v>
      </c>
      <c r="H206" t="s">
        <v>2306</v>
      </c>
      <c r="I206" t="s">
        <v>2307</v>
      </c>
      <c r="J206" t="s">
        <v>8</v>
      </c>
      <c r="K206" t="s">
        <v>3</v>
      </c>
      <c r="L206" t="s">
        <v>3</v>
      </c>
      <c r="M206" t="s">
        <v>122</v>
      </c>
      <c r="N206" t="s">
        <v>3</v>
      </c>
      <c r="O206" t="s">
        <v>3</v>
      </c>
      <c r="P206" t="s">
        <v>3</v>
      </c>
      <c r="Q206" t="s">
        <v>8</v>
      </c>
      <c r="R206" t="s">
        <v>122</v>
      </c>
      <c r="S206" t="s">
        <v>8</v>
      </c>
      <c r="T206" t="s">
        <v>109</v>
      </c>
      <c r="U206" t="s">
        <v>3</v>
      </c>
      <c r="V206" t="s">
        <v>3</v>
      </c>
      <c r="W206" t="s">
        <v>652</v>
      </c>
      <c r="AA206" t="s">
        <v>8</v>
      </c>
      <c r="AB206" t="s">
        <v>8</v>
      </c>
      <c r="AC206" t="s">
        <v>3</v>
      </c>
      <c r="AD206" t="s">
        <v>8</v>
      </c>
      <c r="AE206" t="s">
        <v>72</v>
      </c>
      <c r="AF206" t="s">
        <v>2308</v>
      </c>
    </row>
    <row r="207" spans="1:32">
      <c r="A207" t="s">
        <v>2309</v>
      </c>
      <c r="B207" t="s">
        <v>2310</v>
      </c>
      <c r="C207" t="s">
        <v>2303</v>
      </c>
      <c r="D207" t="s">
        <v>2310</v>
      </c>
      <c r="H207" t="s">
        <v>2306</v>
      </c>
      <c r="I207" t="s">
        <v>2307</v>
      </c>
      <c r="J207" t="s">
        <v>8</v>
      </c>
      <c r="K207" t="s">
        <v>3</v>
      </c>
      <c r="L207" t="s">
        <v>3</v>
      </c>
      <c r="M207" t="s">
        <v>122</v>
      </c>
      <c r="N207" t="s">
        <v>3</v>
      </c>
      <c r="O207" t="s">
        <v>3</v>
      </c>
      <c r="P207" t="s">
        <v>3</v>
      </c>
      <c r="Q207" t="s">
        <v>8</v>
      </c>
      <c r="R207" t="s">
        <v>122</v>
      </c>
      <c r="S207" t="s">
        <v>8</v>
      </c>
      <c r="T207" t="s">
        <v>2309</v>
      </c>
      <c r="U207" t="s">
        <v>3</v>
      </c>
      <c r="V207" t="s">
        <v>3</v>
      </c>
      <c r="W207" t="s">
        <v>654</v>
      </c>
      <c r="AA207" t="s">
        <v>8</v>
      </c>
      <c r="AB207" t="s">
        <v>8</v>
      </c>
      <c r="AC207" t="s">
        <v>3</v>
      </c>
      <c r="AD207" t="s">
        <v>8</v>
      </c>
      <c r="AE207" t="s">
        <v>111</v>
      </c>
      <c r="AF207" t="s">
        <v>2311</v>
      </c>
    </row>
    <row r="208" spans="1:32">
      <c r="A208" t="s">
        <v>2312</v>
      </c>
      <c r="B208" t="s">
        <v>2313</v>
      </c>
      <c r="C208" t="s">
        <v>2314</v>
      </c>
      <c r="D208" t="s">
        <v>41</v>
      </c>
      <c r="E208" t="s">
        <v>2315</v>
      </c>
      <c r="F208" t="s">
        <v>2316</v>
      </c>
      <c r="H208" t="s">
        <v>2317</v>
      </c>
      <c r="I208" t="s">
        <v>2318</v>
      </c>
      <c r="J208" t="s">
        <v>8</v>
      </c>
      <c r="K208" t="s">
        <v>3</v>
      </c>
      <c r="L208" t="s">
        <v>3</v>
      </c>
      <c r="M208" t="s">
        <v>122</v>
      </c>
      <c r="N208" t="s">
        <v>3</v>
      </c>
      <c r="O208" t="s">
        <v>3</v>
      </c>
      <c r="P208" t="s">
        <v>3</v>
      </c>
      <c r="Q208" t="s">
        <v>8</v>
      </c>
      <c r="R208" t="s">
        <v>122</v>
      </c>
      <c r="S208" t="s">
        <v>8</v>
      </c>
      <c r="T208" t="s">
        <v>2312</v>
      </c>
      <c r="U208" t="s">
        <v>3</v>
      </c>
      <c r="V208" t="s">
        <v>3</v>
      </c>
      <c r="W208" t="s">
        <v>2319</v>
      </c>
      <c r="AA208" t="s">
        <v>8</v>
      </c>
      <c r="AB208" t="s">
        <v>8</v>
      </c>
      <c r="AC208" t="s">
        <v>3</v>
      </c>
      <c r="AD208" t="s">
        <v>8</v>
      </c>
      <c r="AE208" t="s">
        <v>111</v>
      </c>
      <c r="AF208" t="s">
        <v>2320</v>
      </c>
    </row>
    <row r="209" spans="1:32">
      <c r="A209" t="s">
        <v>2321</v>
      </c>
      <c r="B209" t="s">
        <v>2322</v>
      </c>
      <c r="C209" t="s">
        <v>2314</v>
      </c>
      <c r="D209" t="s">
        <v>2322</v>
      </c>
      <c r="H209" t="s">
        <v>2317</v>
      </c>
      <c r="I209" t="s">
        <v>2318</v>
      </c>
      <c r="J209" t="s">
        <v>8</v>
      </c>
      <c r="K209" t="s">
        <v>3</v>
      </c>
      <c r="L209" t="s">
        <v>3</v>
      </c>
      <c r="M209" t="s">
        <v>122</v>
      </c>
      <c r="N209" t="s">
        <v>3</v>
      </c>
      <c r="O209" t="s">
        <v>3</v>
      </c>
      <c r="P209" t="s">
        <v>3</v>
      </c>
      <c r="Q209" t="s">
        <v>8</v>
      </c>
      <c r="R209" t="s">
        <v>122</v>
      </c>
      <c r="S209" t="s">
        <v>8</v>
      </c>
      <c r="T209" t="s">
        <v>2321</v>
      </c>
      <c r="U209" t="s">
        <v>3</v>
      </c>
      <c r="V209" t="s">
        <v>3</v>
      </c>
      <c r="W209" t="s">
        <v>2319</v>
      </c>
      <c r="AA209" t="s">
        <v>8</v>
      </c>
      <c r="AB209" t="s">
        <v>8</v>
      </c>
      <c r="AC209" t="s">
        <v>3</v>
      </c>
      <c r="AD209" t="s">
        <v>8</v>
      </c>
      <c r="AE209" t="s">
        <v>111</v>
      </c>
      <c r="AF209" t="s">
        <v>2323</v>
      </c>
    </row>
    <row r="210" spans="1:32">
      <c r="A210" t="s">
        <v>2324</v>
      </c>
      <c r="B210" t="s">
        <v>2325</v>
      </c>
      <c r="C210" t="s">
        <v>2326</v>
      </c>
      <c r="D210" t="s">
        <v>2325</v>
      </c>
      <c r="E210" t="s">
        <v>1535</v>
      </c>
      <c r="F210" t="s">
        <v>2327</v>
      </c>
      <c r="H210" t="s">
        <v>2328</v>
      </c>
      <c r="I210" t="s">
        <v>2328</v>
      </c>
      <c r="J210" t="s">
        <v>8</v>
      </c>
      <c r="K210" t="s">
        <v>3</v>
      </c>
      <c r="L210" t="s">
        <v>3</v>
      </c>
      <c r="M210" t="s">
        <v>122</v>
      </c>
      <c r="N210" t="s">
        <v>3</v>
      </c>
      <c r="O210" t="s">
        <v>3</v>
      </c>
      <c r="P210" t="s">
        <v>3</v>
      </c>
      <c r="Q210" t="s">
        <v>8</v>
      </c>
      <c r="R210" t="s">
        <v>122</v>
      </c>
      <c r="S210" t="s">
        <v>8</v>
      </c>
      <c r="T210" t="s">
        <v>2324</v>
      </c>
      <c r="U210" t="s">
        <v>3</v>
      </c>
      <c r="V210" t="s">
        <v>3</v>
      </c>
      <c r="W210" t="s">
        <v>706</v>
      </c>
      <c r="AA210" t="s">
        <v>3</v>
      </c>
      <c r="AB210" t="s">
        <v>8</v>
      </c>
      <c r="AC210" t="s">
        <v>3</v>
      </c>
      <c r="AD210" t="s">
        <v>8</v>
      </c>
      <c r="AE210" t="s">
        <v>84</v>
      </c>
      <c r="AF210" t="s">
        <v>2329</v>
      </c>
    </row>
    <row r="211" spans="1:32">
      <c r="A211" t="s">
        <v>2330</v>
      </c>
      <c r="B211" t="s">
        <v>2331</v>
      </c>
      <c r="C211" t="s">
        <v>2332</v>
      </c>
      <c r="D211" t="s">
        <v>2325</v>
      </c>
      <c r="E211" t="s">
        <v>1535</v>
      </c>
      <c r="F211" t="s">
        <v>2327</v>
      </c>
      <c r="H211" t="s">
        <v>2328</v>
      </c>
      <c r="I211" t="s">
        <v>2328</v>
      </c>
      <c r="J211" t="s">
        <v>8</v>
      </c>
      <c r="K211" t="s">
        <v>3</v>
      </c>
      <c r="L211" t="s">
        <v>3</v>
      </c>
      <c r="M211" t="s">
        <v>122</v>
      </c>
      <c r="N211" t="s">
        <v>3</v>
      </c>
      <c r="O211" t="s">
        <v>3</v>
      </c>
      <c r="P211" t="s">
        <v>3</v>
      </c>
      <c r="Q211" t="s">
        <v>8</v>
      </c>
      <c r="R211" t="s">
        <v>122</v>
      </c>
      <c r="S211" t="s">
        <v>8</v>
      </c>
      <c r="T211" t="s">
        <v>2330</v>
      </c>
      <c r="U211" t="s">
        <v>3</v>
      </c>
      <c r="V211" t="s">
        <v>3</v>
      </c>
      <c r="W211" t="s">
        <v>708</v>
      </c>
      <c r="AA211" t="s">
        <v>8</v>
      </c>
      <c r="AB211" t="s">
        <v>8</v>
      </c>
      <c r="AC211" t="s">
        <v>3</v>
      </c>
      <c r="AD211" t="s">
        <v>8</v>
      </c>
      <c r="AE211" t="s">
        <v>67</v>
      </c>
      <c r="AF211" t="s">
        <v>2333</v>
      </c>
    </row>
    <row r="212" spans="1:32">
      <c r="A212" t="s">
        <v>2334</v>
      </c>
      <c r="B212" t="s">
        <v>2335</v>
      </c>
      <c r="C212" t="s">
        <v>2336</v>
      </c>
      <c r="D212" t="s">
        <v>2337</v>
      </c>
      <c r="E212" t="s">
        <v>1535</v>
      </c>
      <c r="F212" t="s">
        <v>2338</v>
      </c>
      <c r="H212" t="s">
        <v>2339</v>
      </c>
      <c r="I212" t="s">
        <v>2339</v>
      </c>
      <c r="J212" t="s">
        <v>8</v>
      </c>
      <c r="K212" t="s">
        <v>3</v>
      </c>
      <c r="L212" t="s">
        <v>3</v>
      </c>
      <c r="M212" t="s">
        <v>122</v>
      </c>
      <c r="N212" t="s">
        <v>3</v>
      </c>
      <c r="O212" t="s">
        <v>3</v>
      </c>
      <c r="P212" t="s">
        <v>3</v>
      </c>
      <c r="Q212" t="s">
        <v>8</v>
      </c>
      <c r="R212" t="s">
        <v>122</v>
      </c>
      <c r="S212" t="s">
        <v>8</v>
      </c>
      <c r="T212" t="s">
        <v>2334</v>
      </c>
      <c r="U212" t="s">
        <v>3</v>
      </c>
      <c r="V212" t="s">
        <v>3</v>
      </c>
      <c r="W212" t="s">
        <v>708</v>
      </c>
      <c r="AA212" t="s">
        <v>3</v>
      </c>
      <c r="AB212" t="s">
        <v>8</v>
      </c>
      <c r="AC212" t="s">
        <v>3</v>
      </c>
      <c r="AD212" t="s">
        <v>8</v>
      </c>
      <c r="AE212" t="s">
        <v>111</v>
      </c>
      <c r="AF212" t="s">
        <v>2340</v>
      </c>
    </row>
    <row r="213" spans="1:32">
      <c r="A213" t="s">
        <v>2341</v>
      </c>
      <c r="B213" t="s">
        <v>2342</v>
      </c>
      <c r="C213" t="s">
        <v>2343</v>
      </c>
      <c r="D213" t="s">
        <v>2342</v>
      </c>
      <c r="E213" t="s">
        <v>1535</v>
      </c>
      <c r="F213" t="s">
        <v>2327</v>
      </c>
      <c r="H213" t="s">
        <v>2328</v>
      </c>
      <c r="I213" t="s">
        <v>2328</v>
      </c>
      <c r="J213" t="s">
        <v>8</v>
      </c>
      <c r="K213" t="s">
        <v>3</v>
      </c>
      <c r="L213" t="s">
        <v>3</v>
      </c>
      <c r="M213" t="s">
        <v>122</v>
      </c>
      <c r="N213" t="s">
        <v>3</v>
      </c>
      <c r="O213" t="s">
        <v>3</v>
      </c>
      <c r="P213" t="s">
        <v>3</v>
      </c>
      <c r="Q213" t="s">
        <v>8</v>
      </c>
      <c r="R213" t="s">
        <v>122</v>
      </c>
      <c r="S213" t="s">
        <v>8</v>
      </c>
      <c r="T213" t="s">
        <v>2341</v>
      </c>
      <c r="U213" t="s">
        <v>3</v>
      </c>
      <c r="V213" t="s">
        <v>3</v>
      </c>
      <c r="W213" t="s">
        <v>706</v>
      </c>
      <c r="AA213" t="s">
        <v>3</v>
      </c>
      <c r="AB213" t="s">
        <v>8</v>
      </c>
      <c r="AC213" t="s">
        <v>3</v>
      </c>
      <c r="AD213" t="s">
        <v>8</v>
      </c>
      <c r="AE213" t="s">
        <v>111</v>
      </c>
      <c r="AF213" t="s">
        <v>2344</v>
      </c>
    </row>
    <row r="214" spans="1:32">
      <c r="A214" t="s">
        <v>2345</v>
      </c>
      <c r="B214" t="s">
        <v>2346</v>
      </c>
      <c r="C214" t="s">
        <v>2347</v>
      </c>
      <c r="D214" t="s">
        <v>2325</v>
      </c>
      <c r="E214" t="s">
        <v>1535</v>
      </c>
      <c r="F214" t="s">
        <v>2327</v>
      </c>
      <c r="H214" t="s">
        <v>2328</v>
      </c>
      <c r="I214" t="s">
        <v>2328</v>
      </c>
      <c r="J214" t="s">
        <v>8</v>
      </c>
      <c r="K214" t="s">
        <v>3</v>
      </c>
      <c r="L214" t="s">
        <v>3</v>
      </c>
      <c r="M214" t="s">
        <v>122</v>
      </c>
      <c r="N214" t="s">
        <v>3</v>
      </c>
      <c r="O214" t="s">
        <v>3</v>
      </c>
      <c r="P214" t="s">
        <v>3</v>
      </c>
      <c r="Q214" t="s">
        <v>8</v>
      </c>
      <c r="R214" t="s">
        <v>122</v>
      </c>
      <c r="S214" t="s">
        <v>8</v>
      </c>
      <c r="T214" t="s">
        <v>2345</v>
      </c>
      <c r="U214" t="s">
        <v>3</v>
      </c>
      <c r="V214" t="s">
        <v>3</v>
      </c>
      <c r="W214" t="s">
        <v>706</v>
      </c>
      <c r="AA214" t="s">
        <v>3</v>
      </c>
      <c r="AB214" t="s">
        <v>8</v>
      </c>
      <c r="AC214" t="s">
        <v>3</v>
      </c>
      <c r="AD214" t="s">
        <v>8</v>
      </c>
      <c r="AE214" t="s">
        <v>111</v>
      </c>
      <c r="AF214" t="s">
        <v>2348</v>
      </c>
    </row>
    <row r="215" spans="1:32">
      <c r="A215" t="s">
        <v>2349</v>
      </c>
      <c r="B215" t="s">
        <v>2350</v>
      </c>
      <c r="C215" t="s">
        <v>2351</v>
      </c>
      <c r="D215" t="s">
        <v>2352</v>
      </c>
      <c r="E215" t="s">
        <v>1535</v>
      </c>
      <c r="F215" t="s">
        <v>2338</v>
      </c>
      <c r="H215" t="s">
        <v>2339</v>
      </c>
      <c r="I215" t="s">
        <v>2339</v>
      </c>
      <c r="J215" t="s">
        <v>8</v>
      </c>
      <c r="K215" t="s">
        <v>3</v>
      </c>
      <c r="L215" t="s">
        <v>3</v>
      </c>
      <c r="M215" t="s">
        <v>122</v>
      </c>
      <c r="N215" t="s">
        <v>3</v>
      </c>
      <c r="O215" t="s">
        <v>3</v>
      </c>
      <c r="P215" t="s">
        <v>3</v>
      </c>
      <c r="Q215" t="s">
        <v>8</v>
      </c>
      <c r="R215" t="s">
        <v>122</v>
      </c>
      <c r="S215" t="s">
        <v>8</v>
      </c>
      <c r="T215" t="s">
        <v>2349</v>
      </c>
      <c r="U215" t="s">
        <v>3</v>
      </c>
      <c r="V215" t="s">
        <v>3</v>
      </c>
      <c r="W215" t="s">
        <v>708</v>
      </c>
      <c r="AA215" t="s">
        <v>3</v>
      </c>
      <c r="AB215" t="s">
        <v>8</v>
      </c>
      <c r="AC215" t="s">
        <v>3</v>
      </c>
      <c r="AD215" t="s">
        <v>8</v>
      </c>
      <c r="AE215" t="s">
        <v>111</v>
      </c>
      <c r="AF215" t="s">
        <v>2353</v>
      </c>
    </row>
    <row r="216" spans="1:32">
      <c r="A216" t="s">
        <v>2354</v>
      </c>
      <c r="B216" t="s">
        <v>2355</v>
      </c>
      <c r="C216" t="s">
        <v>2356</v>
      </c>
      <c r="D216" t="s">
        <v>2355</v>
      </c>
      <c r="E216" t="s">
        <v>1535</v>
      </c>
      <c r="F216" t="s">
        <v>2338</v>
      </c>
      <c r="H216" t="s">
        <v>2339</v>
      </c>
      <c r="I216" t="s">
        <v>2339</v>
      </c>
      <c r="J216" t="s">
        <v>8</v>
      </c>
      <c r="K216" t="s">
        <v>3</v>
      </c>
      <c r="L216" t="s">
        <v>3</v>
      </c>
      <c r="M216" t="s">
        <v>122</v>
      </c>
      <c r="N216" t="s">
        <v>3</v>
      </c>
      <c r="O216" t="s">
        <v>3</v>
      </c>
      <c r="P216" t="s">
        <v>3</v>
      </c>
      <c r="Q216" t="s">
        <v>8</v>
      </c>
      <c r="R216" t="s">
        <v>122</v>
      </c>
      <c r="S216" t="s">
        <v>8</v>
      </c>
      <c r="T216" t="s">
        <v>2354</v>
      </c>
      <c r="U216" t="s">
        <v>3</v>
      </c>
      <c r="V216" t="s">
        <v>3</v>
      </c>
      <c r="W216" t="s">
        <v>708</v>
      </c>
      <c r="AA216" t="s">
        <v>3</v>
      </c>
      <c r="AB216" t="s">
        <v>3</v>
      </c>
      <c r="AC216" t="s">
        <v>3</v>
      </c>
      <c r="AD216" t="s">
        <v>8</v>
      </c>
      <c r="AE216" t="s">
        <v>72</v>
      </c>
      <c r="AF216" t="s">
        <v>2357</v>
      </c>
    </row>
    <row r="217" spans="1:32">
      <c r="A217" t="s">
        <v>2358</v>
      </c>
      <c r="B217" t="s">
        <v>39</v>
      </c>
      <c r="C217" t="s">
        <v>2359</v>
      </c>
      <c r="D217" t="s">
        <v>39</v>
      </c>
      <c r="E217" t="s">
        <v>1421</v>
      </c>
      <c r="F217" t="s">
        <v>2360</v>
      </c>
      <c r="H217" t="s">
        <v>2361</v>
      </c>
      <c r="I217" t="s">
        <v>2362</v>
      </c>
      <c r="J217" t="s">
        <v>8</v>
      </c>
      <c r="K217" t="s">
        <v>3</v>
      </c>
      <c r="L217" t="s">
        <v>3</v>
      </c>
      <c r="M217" t="s">
        <v>122</v>
      </c>
      <c r="N217" t="s">
        <v>3</v>
      </c>
      <c r="O217" t="s">
        <v>3</v>
      </c>
      <c r="P217" t="s">
        <v>3</v>
      </c>
      <c r="Q217" t="s">
        <v>8</v>
      </c>
      <c r="R217" t="s">
        <v>122</v>
      </c>
      <c r="S217" t="s">
        <v>8</v>
      </c>
      <c r="T217" t="s">
        <v>2358</v>
      </c>
      <c r="U217" t="s">
        <v>3</v>
      </c>
      <c r="V217" t="s">
        <v>3</v>
      </c>
      <c r="W217" t="s">
        <v>1821</v>
      </c>
      <c r="AA217" t="s">
        <v>8</v>
      </c>
      <c r="AB217" t="s">
        <v>8</v>
      </c>
      <c r="AC217" t="s">
        <v>3</v>
      </c>
      <c r="AD217" t="s">
        <v>8</v>
      </c>
      <c r="AE217" t="s">
        <v>111</v>
      </c>
      <c r="AF217" t="s">
        <v>2363</v>
      </c>
    </row>
    <row r="218" spans="1:32">
      <c r="A218" t="s">
        <v>2364</v>
      </c>
      <c r="B218" t="s">
        <v>2365</v>
      </c>
      <c r="C218" t="s">
        <v>2359</v>
      </c>
      <c r="D218" t="s">
        <v>2365</v>
      </c>
      <c r="H218" t="s">
        <v>2361</v>
      </c>
      <c r="I218" t="s">
        <v>2362</v>
      </c>
      <c r="J218" t="s">
        <v>8</v>
      </c>
      <c r="K218" t="s">
        <v>3</v>
      </c>
      <c r="L218" t="s">
        <v>3</v>
      </c>
      <c r="M218" t="s">
        <v>122</v>
      </c>
      <c r="N218" t="s">
        <v>3</v>
      </c>
      <c r="O218" t="s">
        <v>3</v>
      </c>
      <c r="P218" t="s">
        <v>3</v>
      </c>
      <c r="Q218" t="s">
        <v>8</v>
      </c>
      <c r="R218" t="s">
        <v>122</v>
      </c>
      <c r="S218" t="s">
        <v>8</v>
      </c>
      <c r="T218" t="s">
        <v>2364</v>
      </c>
      <c r="U218" t="s">
        <v>3</v>
      </c>
      <c r="V218" t="s">
        <v>3</v>
      </c>
      <c r="W218" t="s">
        <v>1821</v>
      </c>
      <c r="AA218" t="s">
        <v>8</v>
      </c>
      <c r="AB218" t="s">
        <v>8</v>
      </c>
      <c r="AC218" t="s">
        <v>3</v>
      </c>
      <c r="AD218" t="s">
        <v>8</v>
      </c>
      <c r="AE218" t="s">
        <v>111</v>
      </c>
      <c r="AF218" t="s">
        <v>2366</v>
      </c>
    </row>
    <row r="219" spans="1:32">
      <c r="A219" t="s">
        <v>2367</v>
      </c>
      <c r="B219" t="s">
        <v>2368</v>
      </c>
      <c r="C219" t="s">
        <v>2369</v>
      </c>
      <c r="D219" t="s">
        <v>2368</v>
      </c>
      <c r="E219" t="s">
        <v>2370</v>
      </c>
      <c r="F219" t="s">
        <v>2371</v>
      </c>
      <c r="H219" t="s">
        <v>2372</v>
      </c>
      <c r="I219" t="s">
        <v>2373</v>
      </c>
      <c r="J219" t="s">
        <v>8</v>
      </c>
      <c r="K219" t="s">
        <v>3</v>
      </c>
      <c r="L219" t="s">
        <v>3</v>
      </c>
      <c r="M219" t="s">
        <v>122</v>
      </c>
      <c r="N219" t="s">
        <v>3</v>
      </c>
      <c r="O219" t="s">
        <v>3</v>
      </c>
      <c r="P219" t="s">
        <v>3</v>
      </c>
      <c r="Q219" t="s">
        <v>8</v>
      </c>
      <c r="R219" t="s">
        <v>122</v>
      </c>
      <c r="S219" t="s">
        <v>8</v>
      </c>
      <c r="T219" t="s">
        <v>2367</v>
      </c>
      <c r="U219" t="s">
        <v>3</v>
      </c>
      <c r="V219" t="s">
        <v>3</v>
      </c>
      <c r="W219" t="s">
        <v>2374</v>
      </c>
      <c r="AA219" t="s">
        <v>3</v>
      </c>
      <c r="AB219" t="s">
        <v>8</v>
      </c>
      <c r="AC219" t="s">
        <v>3</v>
      </c>
      <c r="AD219" t="s">
        <v>8</v>
      </c>
      <c r="AE219" t="s">
        <v>111</v>
      </c>
      <c r="AF219" t="s">
        <v>2375</v>
      </c>
    </row>
    <row r="220" spans="1:32">
      <c r="A220" t="s">
        <v>2376</v>
      </c>
      <c r="B220" t="s">
        <v>2377</v>
      </c>
      <c r="C220" t="s">
        <v>2369</v>
      </c>
      <c r="D220" t="s">
        <v>2377</v>
      </c>
      <c r="H220" t="s">
        <v>2372</v>
      </c>
      <c r="I220" t="s">
        <v>2373</v>
      </c>
      <c r="J220" t="s">
        <v>8</v>
      </c>
      <c r="K220" t="s">
        <v>3</v>
      </c>
      <c r="L220" t="s">
        <v>3</v>
      </c>
      <c r="M220" t="s">
        <v>122</v>
      </c>
      <c r="N220" t="s">
        <v>3</v>
      </c>
      <c r="O220" t="s">
        <v>3</v>
      </c>
      <c r="P220" t="s">
        <v>3</v>
      </c>
      <c r="Q220" t="s">
        <v>8</v>
      </c>
      <c r="R220" t="s">
        <v>122</v>
      </c>
      <c r="S220" t="s">
        <v>8</v>
      </c>
      <c r="T220" t="s">
        <v>2376</v>
      </c>
      <c r="U220" t="s">
        <v>3</v>
      </c>
      <c r="V220" t="s">
        <v>3</v>
      </c>
      <c r="W220" t="s">
        <v>2378</v>
      </c>
      <c r="AA220" t="s">
        <v>8</v>
      </c>
      <c r="AB220" t="s">
        <v>8</v>
      </c>
      <c r="AC220" t="s">
        <v>3</v>
      </c>
      <c r="AD220" t="s">
        <v>8</v>
      </c>
      <c r="AE220" t="s">
        <v>111</v>
      </c>
      <c r="AF220" t="s">
        <v>2379</v>
      </c>
    </row>
    <row r="221" spans="1:32">
      <c r="A221" t="s">
        <v>2380</v>
      </c>
      <c r="B221" t="s">
        <v>2381</v>
      </c>
      <c r="C221" t="s">
        <v>2382</v>
      </c>
      <c r="D221" t="s">
        <v>2383</v>
      </c>
      <c r="E221" t="s">
        <v>2384</v>
      </c>
      <c r="F221" t="s">
        <v>2385</v>
      </c>
      <c r="H221" t="s">
        <v>2386</v>
      </c>
      <c r="I221" t="s">
        <v>2387</v>
      </c>
      <c r="J221" t="s">
        <v>8</v>
      </c>
      <c r="K221" t="s">
        <v>3</v>
      </c>
      <c r="L221" t="s">
        <v>3</v>
      </c>
      <c r="M221" t="s">
        <v>122</v>
      </c>
      <c r="N221" t="s">
        <v>3</v>
      </c>
      <c r="O221" t="s">
        <v>3</v>
      </c>
      <c r="P221" t="s">
        <v>3</v>
      </c>
      <c r="Q221" t="s">
        <v>8</v>
      </c>
      <c r="R221" t="s">
        <v>122</v>
      </c>
      <c r="S221" t="s">
        <v>8</v>
      </c>
      <c r="T221" t="s">
        <v>2380</v>
      </c>
      <c r="U221" t="s">
        <v>3</v>
      </c>
      <c r="V221" t="s">
        <v>3</v>
      </c>
      <c r="W221" t="s">
        <v>1644</v>
      </c>
      <c r="AA221" t="s">
        <v>8</v>
      </c>
      <c r="AB221" t="s">
        <v>8</v>
      </c>
      <c r="AC221" t="s">
        <v>3</v>
      </c>
      <c r="AD221" t="s">
        <v>8</v>
      </c>
      <c r="AE221" t="s">
        <v>84</v>
      </c>
      <c r="AF221" t="s">
        <v>2388</v>
      </c>
    </row>
    <row r="222" spans="1:32">
      <c r="A222" t="s">
        <v>2389</v>
      </c>
      <c r="B222" t="s">
        <v>2390</v>
      </c>
      <c r="C222" t="s">
        <v>2391</v>
      </c>
      <c r="D222" t="s">
        <v>2390</v>
      </c>
      <c r="E222" t="s">
        <v>2384</v>
      </c>
      <c r="F222" t="s">
        <v>2392</v>
      </c>
      <c r="H222" t="s">
        <v>2393</v>
      </c>
      <c r="I222" t="s">
        <v>2387</v>
      </c>
      <c r="J222" t="s">
        <v>8</v>
      </c>
      <c r="K222" t="s">
        <v>3</v>
      </c>
      <c r="L222" t="s">
        <v>3</v>
      </c>
      <c r="M222" t="s">
        <v>122</v>
      </c>
      <c r="N222" t="s">
        <v>3</v>
      </c>
      <c r="O222" t="s">
        <v>3</v>
      </c>
      <c r="P222" t="s">
        <v>3</v>
      </c>
      <c r="Q222" t="s">
        <v>8</v>
      </c>
      <c r="R222" t="s">
        <v>122</v>
      </c>
      <c r="S222" t="s">
        <v>8</v>
      </c>
      <c r="T222" t="s">
        <v>2389</v>
      </c>
      <c r="U222" t="s">
        <v>3</v>
      </c>
      <c r="V222" t="s">
        <v>3</v>
      </c>
      <c r="W222" t="s">
        <v>3</v>
      </c>
      <c r="AA222" t="s">
        <v>8</v>
      </c>
      <c r="AB222" t="s">
        <v>8</v>
      </c>
      <c r="AC222" t="s">
        <v>3</v>
      </c>
      <c r="AD222" t="s">
        <v>8</v>
      </c>
      <c r="AE222" t="s">
        <v>72</v>
      </c>
      <c r="AF222" t="s">
        <v>2394</v>
      </c>
    </row>
    <row r="223" spans="1:32">
      <c r="A223" t="s">
        <v>2395</v>
      </c>
      <c r="B223" t="s">
        <v>2381</v>
      </c>
      <c r="C223" t="s">
        <v>2396</v>
      </c>
      <c r="D223" t="s">
        <v>2383</v>
      </c>
      <c r="E223" t="s">
        <v>2384</v>
      </c>
      <c r="F223" t="s">
        <v>2385</v>
      </c>
      <c r="H223" t="s">
        <v>2386</v>
      </c>
      <c r="I223" t="s">
        <v>2387</v>
      </c>
      <c r="J223" t="s">
        <v>8</v>
      </c>
      <c r="K223" t="s">
        <v>3</v>
      </c>
      <c r="L223" t="s">
        <v>3</v>
      </c>
      <c r="M223" t="s">
        <v>122</v>
      </c>
      <c r="N223" t="s">
        <v>3</v>
      </c>
      <c r="O223" t="s">
        <v>3</v>
      </c>
      <c r="P223" t="s">
        <v>3</v>
      </c>
      <c r="Q223" t="s">
        <v>8</v>
      </c>
      <c r="R223" t="s">
        <v>122</v>
      </c>
      <c r="S223" t="s">
        <v>8</v>
      </c>
      <c r="T223" t="s">
        <v>2395</v>
      </c>
      <c r="U223" t="s">
        <v>3</v>
      </c>
      <c r="V223" t="s">
        <v>3</v>
      </c>
      <c r="W223" t="s">
        <v>1644</v>
      </c>
      <c r="AA223" t="s">
        <v>8</v>
      </c>
      <c r="AB223" t="s">
        <v>8</v>
      </c>
      <c r="AC223" t="s">
        <v>3</v>
      </c>
      <c r="AD223" t="s">
        <v>8</v>
      </c>
      <c r="AE223" t="s">
        <v>72</v>
      </c>
      <c r="AF223" t="s">
        <v>2397</v>
      </c>
    </row>
    <row r="224" spans="1:32">
      <c r="A224" t="s">
        <v>2398</v>
      </c>
      <c r="B224" t="s">
        <v>2381</v>
      </c>
      <c r="C224" t="s">
        <v>2399</v>
      </c>
      <c r="D224" t="s">
        <v>2383</v>
      </c>
      <c r="E224" t="s">
        <v>2384</v>
      </c>
      <c r="F224" t="s">
        <v>2385</v>
      </c>
      <c r="H224" t="s">
        <v>2386</v>
      </c>
      <c r="I224" t="s">
        <v>2387</v>
      </c>
      <c r="J224" t="s">
        <v>8</v>
      </c>
      <c r="K224" t="s">
        <v>3</v>
      </c>
      <c r="L224" t="s">
        <v>3</v>
      </c>
      <c r="M224" t="s">
        <v>122</v>
      </c>
      <c r="N224" t="s">
        <v>3</v>
      </c>
      <c r="O224" t="s">
        <v>3</v>
      </c>
      <c r="P224" t="s">
        <v>3</v>
      </c>
      <c r="Q224" t="s">
        <v>8</v>
      </c>
      <c r="R224" t="s">
        <v>122</v>
      </c>
      <c r="S224" t="s">
        <v>8</v>
      </c>
      <c r="T224" t="s">
        <v>2398</v>
      </c>
      <c r="U224" t="s">
        <v>3</v>
      </c>
      <c r="V224" t="s">
        <v>3</v>
      </c>
      <c r="W224" t="s">
        <v>1644</v>
      </c>
      <c r="AA224" t="s">
        <v>8</v>
      </c>
      <c r="AB224" t="s">
        <v>8</v>
      </c>
      <c r="AC224" t="s">
        <v>3</v>
      </c>
      <c r="AD224" t="s">
        <v>8</v>
      </c>
      <c r="AE224" t="s">
        <v>67</v>
      </c>
      <c r="AF224" t="s">
        <v>2400</v>
      </c>
    </row>
    <row r="225" spans="1:32">
      <c r="A225" t="s">
        <v>2401</v>
      </c>
      <c r="B225" t="s">
        <v>2402</v>
      </c>
      <c r="C225" t="s">
        <v>2403</v>
      </c>
      <c r="D225" t="s">
        <v>2402</v>
      </c>
      <c r="E225" t="s">
        <v>2404</v>
      </c>
      <c r="F225" t="s">
        <v>2405</v>
      </c>
      <c r="H225" t="s">
        <v>2406</v>
      </c>
      <c r="I225" t="s">
        <v>2407</v>
      </c>
      <c r="J225" t="s">
        <v>8</v>
      </c>
      <c r="K225" t="s">
        <v>3</v>
      </c>
      <c r="L225" t="s">
        <v>3</v>
      </c>
      <c r="M225" t="s">
        <v>122</v>
      </c>
      <c r="N225" t="s">
        <v>3</v>
      </c>
      <c r="O225" t="s">
        <v>3</v>
      </c>
      <c r="P225" t="s">
        <v>3</v>
      </c>
      <c r="Q225" t="s">
        <v>8</v>
      </c>
      <c r="R225" t="s">
        <v>122</v>
      </c>
      <c r="S225" t="s">
        <v>8</v>
      </c>
      <c r="T225" t="s">
        <v>2401</v>
      </c>
      <c r="U225" t="s">
        <v>3</v>
      </c>
      <c r="V225" t="s">
        <v>3</v>
      </c>
      <c r="W225" t="s">
        <v>630</v>
      </c>
      <c r="AA225" t="s">
        <v>3</v>
      </c>
      <c r="AB225" t="s">
        <v>8</v>
      </c>
      <c r="AC225" t="s">
        <v>3</v>
      </c>
      <c r="AD225" t="s">
        <v>8</v>
      </c>
      <c r="AE225" t="s">
        <v>111</v>
      </c>
      <c r="AF225" t="s">
        <v>2408</v>
      </c>
    </row>
    <row r="226" spans="1:32">
      <c r="A226" t="s">
        <v>2409</v>
      </c>
      <c r="B226" t="s">
        <v>2410</v>
      </c>
      <c r="C226" t="s">
        <v>2411</v>
      </c>
      <c r="D226" t="s">
        <v>2410</v>
      </c>
      <c r="H226" t="s">
        <v>2406</v>
      </c>
      <c r="I226" t="s">
        <v>2407</v>
      </c>
      <c r="J226" t="s">
        <v>8</v>
      </c>
      <c r="K226" t="s">
        <v>3</v>
      </c>
      <c r="L226" t="s">
        <v>3</v>
      </c>
      <c r="M226" t="s">
        <v>122</v>
      </c>
      <c r="N226" t="s">
        <v>3</v>
      </c>
      <c r="O226" t="s">
        <v>3</v>
      </c>
      <c r="P226" t="s">
        <v>3</v>
      </c>
      <c r="Q226" t="s">
        <v>8</v>
      </c>
      <c r="R226" t="s">
        <v>122</v>
      </c>
      <c r="S226" t="s">
        <v>8</v>
      </c>
      <c r="T226" t="s">
        <v>2409</v>
      </c>
      <c r="U226" t="s">
        <v>3</v>
      </c>
      <c r="V226" t="s">
        <v>3</v>
      </c>
      <c r="W226" t="s">
        <v>3</v>
      </c>
      <c r="AA226" t="s">
        <v>3</v>
      </c>
      <c r="AB226" t="s">
        <v>8</v>
      </c>
      <c r="AC226" t="s">
        <v>3</v>
      </c>
      <c r="AD226" t="s">
        <v>8</v>
      </c>
      <c r="AE226" t="s">
        <v>111</v>
      </c>
      <c r="AF226" t="s">
        <v>2412</v>
      </c>
    </row>
    <row r="227" spans="1:32">
      <c r="A227" t="s">
        <v>2413</v>
      </c>
      <c r="B227" t="s">
        <v>2414</v>
      </c>
      <c r="C227" t="s">
        <v>2415</v>
      </c>
      <c r="D227" t="s">
        <v>2416</v>
      </c>
      <c r="H227" t="s">
        <v>2406</v>
      </c>
      <c r="I227" t="s">
        <v>2407</v>
      </c>
      <c r="J227" t="s">
        <v>8</v>
      </c>
      <c r="K227" t="s">
        <v>3</v>
      </c>
      <c r="L227" t="s">
        <v>3</v>
      </c>
      <c r="M227" t="s">
        <v>122</v>
      </c>
      <c r="N227" t="s">
        <v>3</v>
      </c>
      <c r="O227" t="s">
        <v>3</v>
      </c>
      <c r="P227" t="s">
        <v>3</v>
      </c>
      <c r="Q227" t="s">
        <v>8</v>
      </c>
      <c r="R227" t="s">
        <v>122</v>
      </c>
      <c r="S227" t="s">
        <v>8</v>
      </c>
      <c r="T227" t="s">
        <v>2413</v>
      </c>
      <c r="U227" t="s">
        <v>3</v>
      </c>
      <c r="V227" t="s">
        <v>3</v>
      </c>
      <c r="W227" t="s">
        <v>3</v>
      </c>
      <c r="AA227" t="s">
        <v>3</v>
      </c>
      <c r="AB227" t="s">
        <v>8</v>
      </c>
      <c r="AC227" t="s">
        <v>3</v>
      </c>
      <c r="AD227" t="s">
        <v>8</v>
      </c>
      <c r="AE227" t="s">
        <v>111</v>
      </c>
      <c r="AF227" t="s">
        <v>2417</v>
      </c>
    </row>
    <row r="228" spans="1:32">
      <c r="A228" t="s">
        <v>2418</v>
      </c>
      <c r="B228" t="s">
        <v>2419</v>
      </c>
      <c r="C228" t="s">
        <v>2420</v>
      </c>
      <c r="D228" t="s">
        <v>2419</v>
      </c>
      <c r="H228" t="s">
        <v>2406</v>
      </c>
      <c r="I228" t="s">
        <v>2407</v>
      </c>
      <c r="J228" t="s">
        <v>8</v>
      </c>
      <c r="K228" t="s">
        <v>3</v>
      </c>
      <c r="L228" t="s">
        <v>3</v>
      </c>
      <c r="M228" t="s">
        <v>122</v>
      </c>
      <c r="N228" t="s">
        <v>3</v>
      </c>
      <c r="O228" t="s">
        <v>3</v>
      </c>
      <c r="P228" t="s">
        <v>3</v>
      </c>
      <c r="Q228" t="s">
        <v>8</v>
      </c>
      <c r="R228" t="s">
        <v>122</v>
      </c>
      <c r="S228" t="s">
        <v>8</v>
      </c>
      <c r="T228" t="s">
        <v>2418</v>
      </c>
      <c r="U228" t="s">
        <v>3</v>
      </c>
      <c r="V228" t="s">
        <v>3</v>
      </c>
      <c r="W228" t="s">
        <v>3</v>
      </c>
      <c r="AA228" t="s">
        <v>3</v>
      </c>
      <c r="AB228" t="s">
        <v>8</v>
      </c>
      <c r="AC228" t="s">
        <v>3</v>
      </c>
      <c r="AD228" t="s">
        <v>8</v>
      </c>
      <c r="AE228" t="s">
        <v>111</v>
      </c>
      <c r="AF228" t="s">
        <v>2421</v>
      </c>
    </row>
    <row r="229" spans="1:32">
      <c r="A229" t="s">
        <v>2422</v>
      </c>
      <c r="B229" t="s">
        <v>2423</v>
      </c>
      <c r="C229" t="s">
        <v>2424</v>
      </c>
      <c r="D229" t="s">
        <v>2425</v>
      </c>
      <c r="J229" t="s">
        <v>8</v>
      </c>
      <c r="K229" t="s">
        <v>3</v>
      </c>
      <c r="L229" t="s">
        <v>3</v>
      </c>
      <c r="M229" t="s">
        <v>122</v>
      </c>
      <c r="N229" t="s">
        <v>3</v>
      </c>
      <c r="O229" t="s">
        <v>3</v>
      </c>
      <c r="P229" t="s">
        <v>3</v>
      </c>
      <c r="Q229" t="s">
        <v>8</v>
      </c>
      <c r="R229" t="s">
        <v>122</v>
      </c>
      <c r="S229" t="s">
        <v>8</v>
      </c>
      <c r="T229" t="s">
        <v>2422</v>
      </c>
      <c r="U229" t="s">
        <v>3</v>
      </c>
      <c r="V229" t="s">
        <v>3</v>
      </c>
      <c r="W229" t="s">
        <v>3</v>
      </c>
      <c r="AA229" t="s">
        <v>8</v>
      </c>
      <c r="AB229" t="s">
        <v>8</v>
      </c>
      <c r="AC229" t="s">
        <v>3</v>
      </c>
      <c r="AD229" t="s">
        <v>8</v>
      </c>
      <c r="AE229" t="s">
        <v>111</v>
      </c>
      <c r="AF229" t="s">
        <v>2426</v>
      </c>
    </row>
    <row r="230" spans="1:32">
      <c r="A230" t="s">
        <v>2427</v>
      </c>
      <c r="B230" t="s">
        <v>2428</v>
      </c>
      <c r="C230" t="s">
        <v>2429</v>
      </c>
      <c r="D230" t="s">
        <v>2430</v>
      </c>
      <c r="E230" t="s">
        <v>2431</v>
      </c>
      <c r="F230" t="s">
        <v>2432</v>
      </c>
      <c r="H230" t="s">
        <v>2433</v>
      </c>
      <c r="J230" t="s">
        <v>8</v>
      </c>
      <c r="K230" t="s">
        <v>3</v>
      </c>
      <c r="L230" t="s">
        <v>3</v>
      </c>
      <c r="M230" t="s">
        <v>122</v>
      </c>
      <c r="N230" t="s">
        <v>3</v>
      </c>
      <c r="O230" t="s">
        <v>3</v>
      </c>
      <c r="P230" t="s">
        <v>3</v>
      </c>
      <c r="Q230" t="s">
        <v>8</v>
      </c>
      <c r="R230" t="s">
        <v>122</v>
      </c>
      <c r="S230" t="s">
        <v>8</v>
      </c>
      <c r="T230" t="s">
        <v>2427</v>
      </c>
      <c r="U230" t="s">
        <v>3</v>
      </c>
      <c r="V230" t="s">
        <v>3</v>
      </c>
      <c r="W230" t="s">
        <v>896</v>
      </c>
      <c r="AA230" t="s">
        <v>3</v>
      </c>
      <c r="AB230" t="s">
        <v>8</v>
      </c>
      <c r="AC230" t="s">
        <v>3</v>
      </c>
      <c r="AD230" t="s">
        <v>8</v>
      </c>
      <c r="AE230" t="s">
        <v>84</v>
      </c>
      <c r="AF230" t="s">
        <v>2434</v>
      </c>
    </row>
    <row r="231" spans="1:32">
      <c r="A231" t="s">
        <v>2435</v>
      </c>
      <c r="B231" t="s">
        <v>2436</v>
      </c>
      <c r="C231" t="s">
        <v>2437</v>
      </c>
      <c r="D231" t="s">
        <v>2438</v>
      </c>
      <c r="E231" t="s">
        <v>2439</v>
      </c>
      <c r="F231" t="s">
        <v>2440</v>
      </c>
      <c r="H231" t="s">
        <v>2441</v>
      </c>
      <c r="I231" t="s">
        <v>2442</v>
      </c>
      <c r="J231" t="s">
        <v>8</v>
      </c>
      <c r="K231" t="s">
        <v>3</v>
      </c>
      <c r="L231" t="s">
        <v>3</v>
      </c>
      <c r="M231" t="s">
        <v>122</v>
      </c>
      <c r="N231" t="s">
        <v>3</v>
      </c>
      <c r="O231" t="s">
        <v>3</v>
      </c>
      <c r="P231" t="s">
        <v>3</v>
      </c>
      <c r="Q231" t="s">
        <v>8</v>
      </c>
      <c r="R231" t="s">
        <v>122</v>
      </c>
      <c r="S231" t="s">
        <v>8</v>
      </c>
      <c r="T231" t="s">
        <v>2435</v>
      </c>
      <c r="U231" t="s">
        <v>3</v>
      </c>
      <c r="V231" t="s">
        <v>3</v>
      </c>
      <c r="W231" t="s">
        <v>2443</v>
      </c>
      <c r="AA231" t="s">
        <v>3</v>
      </c>
      <c r="AB231" t="s">
        <v>8</v>
      </c>
      <c r="AC231" t="s">
        <v>3</v>
      </c>
      <c r="AD231" t="s">
        <v>8</v>
      </c>
      <c r="AE231" t="s">
        <v>84</v>
      </c>
      <c r="AF231" t="s">
        <v>2444</v>
      </c>
    </row>
    <row r="232" spans="1:32">
      <c r="A232" t="s">
        <v>2445</v>
      </c>
      <c r="B232" t="s">
        <v>2446</v>
      </c>
      <c r="C232" t="s">
        <v>2447</v>
      </c>
      <c r="D232" t="s">
        <v>2446</v>
      </c>
      <c r="E232" t="s">
        <v>2448</v>
      </c>
      <c r="F232" t="s">
        <v>2449</v>
      </c>
      <c r="H232" t="s">
        <v>2450</v>
      </c>
      <c r="J232" t="s">
        <v>8</v>
      </c>
      <c r="K232" t="s">
        <v>3</v>
      </c>
      <c r="L232" t="s">
        <v>3</v>
      </c>
      <c r="M232" t="s">
        <v>122</v>
      </c>
      <c r="N232" t="s">
        <v>3</v>
      </c>
      <c r="O232" t="s">
        <v>3</v>
      </c>
      <c r="P232" t="s">
        <v>3</v>
      </c>
      <c r="Q232" t="s">
        <v>3</v>
      </c>
      <c r="R232" t="s">
        <v>3</v>
      </c>
      <c r="S232" t="s">
        <v>8</v>
      </c>
      <c r="T232" t="s">
        <v>2445</v>
      </c>
      <c r="U232" t="s">
        <v>3</v>
      </c>
      <c r="V232" t="s">
        <v>3</v>
      </c>
      <c r="W232" t="s">
        <v>932</v>
      </c>
      <c r="AA232" t="s">
        <v>8</v>
      </c>
      <c r="AB232" t="s">
        <v>8</v>
      </c>
      <c r="AC232" t="s">
        <v>3</v>
      </c>
      <c r="AD232" t="s">
        <v>8</v>
      </c>
      <c r="AE232" t="s">
        <v>72</v>
      </c>
      <c r="AF232" t="s">
        <v>2451</v>
      </c>
    </row>
    <row r="233" spans="1:32">
      <c r="A233" t="s">
        <v>141</v>
      </c>
      <c r="B233" t="s">
        <v>36</v>
      </c>
      <c r="C233" t="s">
        <v>2452</v>
      </c>
      <c r="D233" t="s">
        <v>36</v>
      </c>
      <c r="J233" t="s">
        <v>8</v>
      </c>
      <c r="K233" t="s">
        <v>3</v>
      </c>
      <c r="L233" t="s">
        <v>3</v>
      </c>
      <c r="M233" t="s">
        <v>122</v>
      </c>
      <c r="N233" t="s">
        <v>3</v>
      </c>
      <c r="O233" t="s">
        <v>3</v>
      </c>
      <c r="P233" t="s">
        <v>3</v>
      </c>
      <c r="Q233" t="s">
        <v>8</v>
      </c>
      <c r="R233" t="s">
        <v>3</v>
      </c>
      <c r="S233" t="s">
        <v>8</v>
      </c>
      <c r="T233" t="s">
        <v>141</v>
      </c>
      <c r="U233" t="s">
        <v>3</v>
      </c>
      <c r="V233" t="s">
        <v>3</v>
      </c>
      <c r="W233" t="s">
        <v>2453</v>
      </c>
      <c r="AA233" t="s">
        <v>3</v>
      </c>
      <c r="AB233" t="s">
        <v>8</v>
      </c>
      <c r="AC233" t="s">
        <v>3</v>
      </c>
      <c r="AD233" t="s">
        <v>8</v>
      </c>
      <c r="AE233" t="s">
        <v>111</v>
      </c>
      <c r="AF233" t="s">
        <v>2454</v>
      </c>
    </row>
    <row r="234" spans="1:32">
      <c r="A234" t="s">
        <v>142</v>
      </c>
      <c r="B234" t="s">
        <v>37</v>
      </c>
      <c r="C234" t="s">
        <v>2455</v>
      </c>
      <c r="D234" t="s">
        <v>37</v>
      </c>
      <c r="J234" t="s">
        <v>8</v>
      </c>
      <c r="K234" t="s">
        <v>3</v>
      </c>
      <c r="L234" t="s">
        <v>3</v>
      </c>
      <c r="M234" t="s">
        <v>122</v>
      </c>
      <c r="N234" t="s">
        <v>3</v>
      </c>
      <c r="O234" t="s">
        <v>3</v>
      </c>
      <c r="P234" t="s">
        <v>3</v>
      </c>
      <c r="Q234" t="s">
        <v>8</v>
      </c>
      <c r="R234" t="s">
        <v>3</v>
      </c>
      <c r="S234" t="s">
        <v>8</v>
      </c>
      <c r="T234" t="s">
        <v>142</v>
      </c>
      <c r="U234" t="s">
        <v>3</v>
      </c>
      <c r="V234" t="s">
        <v>3</v>
      </c>
      <c r="W234" t="s">
        <v>2453</v>
      </c>
      <c r="AA234" t="s">
        <v>3</v>
      </c>
      <c r="AB234" t="s">
        <v>8</v>
      </c>
      <c r="AC234" t="s">
        <v>3</v>
      </c>
      <c r="AD234" t="s">
        <v>8</v>
      </c>
      <c r="AE234" t="s">
        <v>111</v>
      </c>
      <c r="AF234" t="s">
        <v>2456</v>
      </c>
    </row>
    <row r="235" spans="1:32">
      <c r="A235" t="s">
        <v>2457</v>
      </c>
      <c r="B235" t="s">
        <v>2458</v>
      </c>
      <c r="C235" t="s">
        <v>2459</v>
      </c>
      <c r="D235" t="s">
        <v>2460</v>
      </c>
      <c r="J235" t="s">
        <v>8</v>
      </c>
      <c r="K235" t="s">
        <v>3</v>
      </c>
      <c r="L235" t="s">
        <v>3</v>
      </c>
      <c r="M235" t="s">
        <v>122</v>
      </c>
      <c r="N235" t="s">
        <v>3</v>
      </c>
      <c r="O235" t="s">
        <v>3</v>
      </c>
      <c r="P235" t="s">
        <v>3</v>
      </c>
      <c r="Q235" t="s">
        <v>3</v>
      </c>
      <c r="R235" t="s">
        <v>3</v>
      </c>
      <c r="S235" t="s">
        <v>8</v>
      </c>
      <c r="T235" t="s">
        <v>2457</v>
      </c>
      <c r="U235" t="s">
        <v>3</v>
      </c>
      <c r="V235" t="s">
        <v>3</v>
      </c>
      <c r="W235" t="s">
        <v>1011</v>
      </c>
      <c r="AA235" t="s">
        <v>8</v>
      </c>
      <c r="AB235" t="s">
        <v>8</v>
      </c>
      <c r="AC235" t="s">
        <v>3</v>
      </c>
      <c r="AD235" t="s">
        <v>8</v>
      </c>
      <c r="AE235" t="s">
        <v>111</v>
      </c>
      <c r="AF235" t="s">
        <v>2461</v>
      </c>
    </row>
    <row r="236" spans="1:32">
      <c r="A236" t="s">
        <v>2462</v>
      </c>
      <c r="B236" t="s">
        <v>2463</v>
      </c>
      <c r="C236" t="s">
        <v>2464</v>
      </c>
      <c r="D236" t="s">
        <v>2465</v>
      </c>
      <c r="E236" t="s">
        <v>2466</v>
      </c>
      <c r="F236" t="s">
        <v>2467</v>
      </c>
      <c r="H236" t="s">
        <v>2468</v>
      </c>
      <c r="I236" t="s">
        <v>2468</v>
      </c>
      <c r="J236" t="s">
        <v>8</v>
      </c>
      <c r="K236" t="s">
        <v>3</v>
      </c>
      <c r="L236" t="s">
        <v>3</v>
      </c>
      <c r="M236" t="s">
        <v>122</v>
      </c>
      <c r="N236" t="s">
        <v>3</v>
      </c>
      <c r="O236" t="s">
        <v>3</v>
      </c>
      <c r="P236" t="s">
        <v>3</v>
      </c>
      <c r="Q236" t="s">
        <v>8</v>
      </c>
      <c r="R236" t="s">
        <v>3</v>
      </c>
      <c r="S236" t="s">
        <v>8</v>
      </c>
      <c r="T236" t="s">
        <v>2462</v>
      </c>
      <c r="U236" t="s">
        <v>3</v>
      </c>
      <c r="V236" t="s">
        <v>3</v>
      </c>
      <c r="W236" t="s">
        <v>935</v>
      </c>
      <c r="AA236" t="s">
        <v>8</v>
      </c>
      <c r="AB236" t="s">
        <v>8</v>
      </c>
      <c r="AC236" t="s">
        <v>3</v>
      </c>
      <c r="AD236" t="s">
        <v>8</v>
      </c>
      <c r="AE236" t="s">
        <v>111</v>
      </c>
      <c r="AF236" t="s">
        <v>2469</v>
      </c>
    </row>
    <row r="237" spans="1:32">
      <c r="A237" t="s">
        <v>57</v>
      </c>
      <c r="B237" t="s">
        <v>2470</v>
      </c>
      <c r="C237" t="s">
        <v>2471</v>
      </c>
      <c r="D237" t="s">
        <v>2472</v>
      </c>
      <c r="E237" t="s">
        <v>2473</v>
      </c>
      <c r="F237" t="s">
        <v>2474</v>
      </c>
      <c r="H237" t="s">
        <v>2475</v>
      </c>
      <c r="I237" t="s">
        <v>2476</v>
      </c>
      <c r="J237" t="s">
        <v>8</v>
      </c>
      <c r="K237" t="s">
        <v>3</v>
      </c>
      <c r="L237" t="s">
        <v>3</v>
      </c>
      <c r="M237" t="s">
        <v>122</v>
      </c>
      <c r="N237" t="s">
        <v>3</v>
      </c>
      <c r="O237" t="s">
        <v>3</v>
      </c>
      <c r="P237" t="s">
        <v>3</v>
      </c>
      <c r="Q237" t="s">
        <v>8</v>
      </c>
      <c r="R237" t="s">
        <v>3</v>
      </c>
      <c r="S237" t="s">
        <v>8</v>
      </c>
      <c r="T237" t="s">
        <v>57</v>
      </c>
      <c r="U237" t="s">
        <v>3</v>
      </c>
      <c r="V237" t="s">
        <v>3</v>
      </c>
      <c r="W237" t="s">
        <v>3</v>
      </c>
      <c r="X237" t="s">
        <v>1039</v>
      </c>
      <c r="Y237" t="s">
        <v>8</v>
      </c>
      <c r="AA237" t="s">
        <v>3</v>
      </c>
      <c r="AB237" t="s">
        <v>3</v>
      </c>
      <c r="AC237" t="s">
        <v>3</v>
      </c>
      <c r="AD237" t="s">
        <v>8</v>
      </c>
      <c r="AE237" t="s">
        <v>111</v>
      </c>
      <c r="AF237" t="s">
        <v>2477</v>
      </c>
    </row>
    <row r="238" spans="1:32">
      <c r="A238" t="s">
        <v>2478</v>
      </c>
      <c r="B238" t="s">
        <v>2470</v>
      </c>
      <c r="C238" t="s">
        <v>2471</v>
      </c>
      <c r="D238" t="s">
        <v>2470</v>
      </c>
      <c r="E238" t="s">
        <v>2473</v>
      </c>
      <c r="F238" t="s">
        <v>2474</v>
      </c>
      <c r="H238" t="s">
        <v>2475</v>
      </c>
      <c r="I238" t="s">
        <v>2479</v>
      </c>
      <c r="J238" t="s">
        <v>8</v>
      </c>
      <c r="K238" t="s">
        <v>3</v>
      </c>
      <c r="L238" t="s">
        <v>3</v>
      </c>
      <c r="M238" t="s">
        <v>122</v>
      </c>
      <c r="N238" t="s">
        <v>3</v>
      </c>
      <c r="O238" t="s">
        <v>3</v>
      </c>
      <c r="P238" t="s">
        <v>3</v>
      </c>
      <c r="Q238" t="s">
        <v>8</v>
      </c>
      <c r="R238" t="s">
        <v>3</v>
      </c>
      <c r="S238" t="s">
        <v>8</v>
      </c>
      <c r="T238" t="s">
        <v>2478</v>
      </c>
      <c r="U238" t="s">
        <v>3</v>
      </c>
      <c r="V238" t="s">
        <v>3</v>
      </c>
      <c r="W238" t="s">
        <v>3</v>
      </c>
      <c r="AA238" t="s">
        <v>3</v>
      </c>
      <c r="AB238" t="s">
        <v>3</v>
      </c>
      <c r="AC238" t="s">
        <v>3</v>
      </c>
      <c r="AD238" t="s">
        <v>8</v>
      </c>
      <c r="AE238" t="s">
        <v>72</v>
      </c>
      <c r="AF238" t="s">
        <v>2480</v>
      </c>
    </row>
    <row r="239" spans="1:32">
      <c r="A239" t="s">
        <v>2481</v>
      </c>
      <c r="B239" t="s">
        <v>2482</v>
      </c>
      <c r="C239" t="s">
        <v>2483</v>
      </c>
      <c r="D239" t="s">
        <v>2482</v>
      </c>
      <c r="E239" t="s">
        <v>2473</v>
      </c>
      <c r="F239" t="s">
        <v>2474</v>
      </c>
      <c r="H239" t="s">
        <v>2475</v>
      </c>
      <c r="I239" t="s">
        <v>2479</v>
      </c>
      <c r="J239" t="s">
        <v>8</v>
      </c>
      <c r="K239" t="s">
        <v>3</v>
      </c>
      <c r="L239" t="s">
        <v>3</v>
      </c>
      <c r="M239" t="s">
        <v>122</v>
      </c>
      <c r="N239" t="s">
        <v>3</v>
      </c>
      <c r="O239" t="s">
        <v>3</v>
      </c>
      <c r="P239" t="s">
        <v>3</v>
      </c>
      <c r="Q239" t="s">
        <v>8</v>
      </c>
      <c r="R239" t="s">
        <v>3</v>
      </c>
      <c r="S239" t="s">
        <v>8</v>
      </c>
      <c r="T239" t="s">
        <v>2481</v>
      </c>
      <c r="U239" t="s">
        <v>3</v>
      </c>
      <c r="V239" t="s">
        <v>3</v>
      </c>
      <c r="W239" t="s">
        <v>3</v>
      </c>
      <c r="AA239" t="s">
        <v>3</v>
      </c>
      <c r="AB239" t="s">
        <v>3</v>
      </c>
      <c r="AC239" t="s">
        <v>3</v>
      </c>
      <c r="AD239" t="s">
        <v>8</v>
      </c>
      <c r="AE239" t="s">
        <v>130</v>
      </c>
      <c r="AF239" t="s">
        <v>2484</v>
      </c>
    </row>
    <row r="240" spans="1:32">
      <c r="A240" t="s">
        <v>2485</v>
      </c>
      <c r="B240" t="s">
        <v>2486</v>
      </c>
      <c r="C240" t="s">
        <v>2487</v>
      </c>
      <c r="D240" t="s">
        <v>2486</v>
      </c>
      <c r="E240" t="s">
        <v>2488</v>
      </c>
      <c r="F240" t="s">
        <v>2489</v>
      </c>
      <c r="G240" t="s">
        <v>2490</v>
      </c>
      <c r="H240" t="s">
        <v>2491</v>
      </c>
      <c r="I240" t="s">
        <v>2491</v>
      </c>
      <c r="J240" t="s">
        <v>8</v>
      </c>
      <c r="K240" t="s">
        <v>3</v>
      </c>
      <c r="L240" t="s">
        <v>3</v>
      </c>
      <c r="M240" t="s">
        <v>122</v>
      </c>
      <c r="N240" t="s">
        <v>3</v>
      </c>
      <c r="O240" t="s">
        <v>3</v>
      </c>
      <c r="P240" t="s">
        <v>3</v>
      </c>
      <c r="Q240" t="s">
        <v>3</v>
      </c>
      <c r="R240" t="s">
        <v>3</v>
      </c>
      <c r="S240" t="s">
        <v>8</v>
      </c>
      <c r="T240" t="s">
        <v>2485</v>
      </c>
      <c r="U240" t="s">
        <v>3</v>
      </c>
      <c r="V240" t="s">
        <v>3</v>
      </c>
      <c r="W240" t="s">
        <v>950</v>
      </c>
      <c r="AA240" t="s">
        <v>8</v>
      </c>
      <c r="AB240" t="s">
        <v>8</v>
      </c>
      <c r="AC240" t="s">
        <v>3</v>
      </c>
      <c r="AD240" t="s">
        <v>8</v>
      </c>
      <c r="AE240" t="s">
        <v>60</v>
      </c>
      <c r="AF240" t="s">
        <v>2492</v>
      </c>
    </row>
    <row r="241" spans="1:32">
      <c r="A241" t="s">
        <v>2493</v>
      </c>
      <c r="B241" t="s">
        <v>2494</v>
      </c>
      <c r="C241" t="s">
        <v>2495</v>
      </c>
      <c r="D241" t="s">
        <v>2486</v>
      </c>
      <c r="E241" t="s">
        <v>2488</v>
      </c>
      <c r="F241" t="s">
        <v>2489</v>
      </c>
      <c r="G241" t="s">
        <v>2496</v>
      </c>
      <c r="H241" t="s">
        <v>2497</v>
      </c>
      <c r="I241" t="s">
        <v>2497</v>
      </c>
      <c r="J241" t="s">
        <v>8</v>
      </c>
      <c r="K241" t="s">
        <v>3</v>
      </c>
      <c r="L241" t="s">
        <v>3</v>
      </c>
      <c r="M241" t="s">
        <v>122</v>
      </c>
      <c r="N241" t="s">
        <v>3</v>
      </c>
      <c r="O241" t="s">
        <v>3</v>
      </c>
      <c r="P241" t="s">
        <v>3</v>
      </c>
      <c r="Q241" t="s">
        <v>3</v>
      </c>
      <c r="R241" t="s">
        <v>3</v>
      </c>
      <c r="S241" t="s">
        <v>8</v>
      </c>
      <c r="T241" t="s">
        <v>2493</v>
      </c>
      <c r="U241" t="s">
        <v>3</v>
      </c>
      <c r="V241" t="s">
        <v>3</v>
      </c>
      <c r="W241" t="s">
        <v>3</v>
      </c>
      <c r="AA241" t="s">
        <v>8</v>
      </c>
      <c r="AB241" t="s">
        <v>8</v>
      </c>
      <c r="AC241" t="s">
        <v>3</v>
      </c>
      <c r="AD241" t="s">
        <v>8</v>
      </c>
      <c r="AE241" t="s">
        <v>111</v>
      </c>
      <c r="AF241" t="s">
        <v>2498</v>
      </c>
    </row>
    <row r="242" spans="1:32">
      <c r="A242" t="s">
        <v>2499</v>
      </c>
      <c r="B242" t="s">
        <v>2500</v>
      </c>
      <c r="C242" t="s">
        <v>2501</v>
      </c>
      <c r="D242" t="s">
        <v>2500</v>
      </c>
      <c r="J242" t="s">
        <v>8</v>
      </c>
      <c r="K242" t="s">
        <v>3</v>
      </c>
      <c r="L242" t="s">
        <v>3</v>
      </c>
      <c r="M242" t="s">
        <v>122</v>
      </c>
      <c r="N242" t="s">
        <v>3</v>
      </c>
      <c r="O242" t="s">
        <v>3</v>
      </c>
      <c r="P242" t="s">
        <v>3</v>
      </c>
      <c r="Q242" t="s">
        <v>8</v>
      </c>
      <c r="R242" t="s">
        <v>122</v>
      </c>
      <c r="S242" t="s">
        <v>8</v>
      </c>
      <c r="T242" t="s">
        <v>2499</v>
      </c>
      <c r="U242" t="s">
        <v>3</v>
      </c>
      <c r="V242" t="s">
        <v>3</v>
      </c>
      <c r="W242" t="s">
        <v>982</v>
      </c>
      <c r="AA242" t="s">
        <v>3</v>
      </c>
      <c r="AB242" t="s">
        <v>8</v>
      </c>
      <c r="AC242" t="s">
        <v>3</v>
      </c>
      <c r="AD242" t="s">
        <v>8</v>
      </c>
      <c r="AE242" t="s">
        <v>111</v>
      </c>
      <c r="AF242" t="s">
        <v>2502</v>
      </c>
    </row>
    <row r="243" spans="1:32">
      <c r="A243" t="s">
        <v>2503</v>
      </c>
      <c r="B243" t="s">
        <v>40</v>
      </c>
      <c r="C243" t="s">
        <v>2504</v>
      </c>
      <c r="D243" t="s">
        <v>40</v>
      </c>
      <c r="E243" t="s">
        <v>2505</v>
      </c>
      <c r="F243" t="s">
        <v>2506</v>
      </c>
      <c r="H243" t="s">
        <v>2507</v>
      </c>
      <c r="I243" t="s">
        <v>2508</v>
      </c>
      <c r="J243" t="s">
        <v>8</v>
      </c>
      <c r="K243" t="s">
        <v>3</v>
      </c>
      <c r="L243" t="s">
        <v>3</v>
      </c>
      <c r="M243" t="s">
        <v>122</v>
      </c>
      <c r="N243" t="s">
        <v>3</v>
      </c>
      <c r="O243" t="s">
        <v>3</v>
      </c>
      <c r="P243" t="s">
        <v>3</v>
      </c>
      <c r="Q243" t="s">
        <v>8</v>
      </c>
      <c r="R243" t="s">
        <v>122</v>
      </c>
      <c r="S243" t="s">
        <v>8</v>
      </c>
      <c r="T243" t="s">
        <v>2503</v>
      </c>
      <c r="U243" t="s">
        <v>3</v>
      </c>
      <c r="V243" t="s">
        <v>3</v>
      </c>
      <c r="W243" t="s">
        <v>1821</v>
      </c>
      <c r="AA243" t="s">
        <v>3</v>
      </c>
      <c r="AB243" t="s">
        <v>8</v>
      </c>
      <c r="AC243" t="s">
        <v>3</v>
      </c>
      <c r="AD243" t="s">
        <v>8</v>
      </c>
      <c r="AE243" t="s">
        <v>111</v>
      </c>
      <c r="AF243" t="s">
        <v>2509</v>
      </c>
    </row>
    <row r="244" spans="1:32">
      <c r="A244" t="s">
        <v>2510</v>
      </c>
      <c r="B244" t="s">
        <v>2511</v>
      </c>
      <c r="C244" t="s">
        <v>2512</v>
      </c>
      <c r="D244" t="s">
        <v>2511</v>
      </c>
      <c r="J244" t="s">
        <v>3</v>
      </c>
      <c r="K244" t="s">
        <v>3</v>
      </c>
      <c r="L244" t="s">
        <v>3</v>
      </c>
      <c r="M244" t="s">
        <v>122</v>
      </c>
      <c r="N244" t="s">
        <v>3</v>
      </c>
      <c r="O244" t="s">
        <v>3</v>
      </c>
      <c r="P244" t="s">
        <v>3</v>
      </c>
      <c r="Q244" t="s">
        <v>3</v>
      </c>
      <c r="R244" t="s">
        <v>122</v>
      </c>
      <c r="S244" t="s">
        <v>8</v>
      </c>
      <c r="T244" t="s">
        <v>2510</v>
      </c>
      <c r="U244" t="s">
        <v>3</v>
      </c>
      <c r="V244" t="s">
        <v>3</v>
      </c>
      <c r="W244" t="s">
        <v>986</v>
      </c>
      <c r="AA244" t="s">
        <v>3</v>
      </c>
      <c r="AB244" t="s">
        <v>8</v>
      </c>
      <c r="AC244" t="s">
        <v>3</v>
      </c>
      <c r="AD244" t="s">
        <v>8</v>
      </c>
      <c r="AE244" t="s">
        <v>111</v>
      </c>
      <c r="AF244" t="s">
        <v>2513</v>
      </c>
    </row>
    <row r="245" spans="1:32">
      <c r="A245" t="s">
        <v>2514</v>
      </c>
      <c r="B245" t="s">
        <v>2515</v>
      </c>
      <c r="C245" t="s">
        <v>2516</v>
      </c>
      <c r="D245" t="s">
        <v>2515</v>
      </c>
      <c r="E245" t="s">
        <v>1292</v>
      </c>
      <c r="F245" t="s">
        <v>2517</v>
      </c>
      <c r="H245" t="s">
        <v>2518</v>
      </c>
      <c r="I245" t="s">
        <v>2519</v>
      </c>
      <c r="J245" t="s">
        <v>8</v>
      </c>
      <c r="K245" t="s">
        <v>3</v>
      </c>
      <c r="L245" t="s">
        <v>3</v>
      </c>
      <c r="M245" t="s">
        <v>122</v>
      </c>
      <c r="N245" t="s">
        <v>3</v>
      </c>
      <c r="O245" t="s">
        <v>3</v>
      </c>
      <c r="P245" t="s">
        <v>3</v>
      </c>
      <c r="Q245" t="s">
        <v>8</v>
      </c>
      <c r="R245" t="s">
        <v>122</v>
      </c>
      <c r="S245" t="s">
        <v>8</v>
      </c>
      <c r="T245" t="s">
        <v>2514</v>
      </c>
      <c r="U245" t="s">
        <v>3</v>
      </c>
      <c r="V245" t="s">
        <v>3</v>
      </c>
      <c r="W245" t="s">
        <v>2520</v>
      </c>
      <c r="AA245" t="s">
        <v>3</v>
      </c>
      <c r="AB245" t="s">
        <v>8</v>
      </c>
      <c r="AC245" t="s">
        <v>3</v>
      </c>
      <c r="AD245" t="s">
        <v>8</v>
      </c>
      <c r="AE245" t="s">
        <v>84</v>
      </c>
      <c r="AF245" t="s">
        <v>2521</v>
      </c>
    </row>
    <row r="246" spans="1:32">
      <c r="A246" t="s">
        <v>2522</v>
      </c>
      <c r="B246" t="s">
        <v>2523</v>
      </c>
      <c r="C246" t="s">
        <v>2524</v>
      </c>
      <c r="D246" t="s">
        <v>2525</v>
      </c>
      <c r="E246" t="s">
        <v>1292</v>
      </c>
      <c r="F246" t="s">
        <v>2517</v>
      </c>
      <c r="H246" t="s">
        <v>2518</v>
      </c>
      <c r="I246" t="s">
        <v>2519</v>
      </c>
      <c r="J246" t="s">
        <v>8</v>
      </c>
      <c r="K246" t="s">
        <v>3</v>
      </c>
      <c r="L246" t="s">
        <v>3</v>
      </c>
      <c r="M246" t="s">
        <v>122</v>
      </c>
      <c r="N246" t="s">
        <v>3</v>
      </c>
      <c r="O246" t="s">
        <v>3</v>
      </c>
      <c r="P246" t="s">
        <v>3</v>
      </c>
      <c r="Q246" t="s">
        <v>8</v>
      </c>
      <c r="R246" t="s">
        <v>122</v>
      </c>
      <c r="S246" t="s">
        <v>8</v>
      </c>
      <c r="T246" t="s">
        <v>2522</v>
      </c>
      <c r="U246" t="s">
        <v>3</v>
      </c>
      <c r="V246" t="s">
        <v>3</v>
      </c>
      <c r="W246" t="s">
        <v>2520</v>
      </c>
      <c r="AA246" t="s">
        <v>3</v>
      </c>
      <c r="AB246" t="s">
        <v>8</v>
      </c>
      <c r="AC246" t="s">
        <v>3</v>
      </c>
      <c r="AD246" t="s">
        <v>8</v>
      </c>
      <c r="AE246" t="s">
        <v>84</v>
      </c>
      <c r="AF246" t="s">
        <v>2526</v>
      </c>
    </row>
    <row r="247" spans="1:32">
      <c r="A247" t="s">
        <v>2527</v>
      </c>
      <c r="B247" t="s">
        <v>2528</v>
      </c>
      <c r="C247" t="s">
        <v>2529</v>
      </c>
      <c r="D247" t="s">
        <v>2530</v>
      </c>
      <c r="F247" t="s">
        <v>2531</v>
      </c>
      <c r="G247" t="s">
        <v>2532</v>
      </c>
      <c r="H247" t="s">
        <v>2533</v>
      </c>
      <c r="J247" t="s">
        <v>8</v>
      </c>
      <c r="K247" t="s">
        <v>3</v>
      </c>
      <c r="L247" t="s">
        <v>3</v>
      </c>
      <c r="M247" t="s">
        <v>122</v>
      </c>
      <c r="N247" t="s">
        <v>3</v>
      </c>
      <c r="O247" t="s">
        <v>3</v>
      </c>
      <c r="P247" t="s">
        <v>3</v>
      </c>
      <c r="Q247" t="s">
        <v>8</v>
      </c>
      <c r="R247" t="s">
        <v>122</v>
      </c>
      <c r="S247" t="s">
        <v>8</v>
      </c>
      <c r="T247" t="s">
        <v>2527</v>
      </c>
      <c r="U247" t="s">
        <v>3</v>
      </c>
      <c r="V247" t="s">
        <v>3</v>
      </c>
      <c r="W247" t="s">
        <v>954</v>
      </c>
      <c r="AA247" t="s">
        <v>3</v>
      </c>
      <c r="AB247" t="s">
        <v>8</v>
      </c>
      <c r="AC247" t="s">
        <v>3</v>
      </c>
      <c r="AD247" t="s">
        <v>8</v>
      </c>
      <c r="AE247" t="s">
        <v>111</v>
      </c>
      <c r="AF247" t="s">
        <v>2534</v>
      </c>
    </row>
    <row r="248" spans="1:32">
      <c r="A248" t="s">
        <v>2535</v>
      </c>
      <c r="B248" t="s">
        <v>2536</v>
      </c>
      <c r="C248" t="s">
        <v>2537</v>
      </c>
      <c r="D248" t="s">
        <v>2538</v>
      </c>
      <c r="E248" t="s">
        <v>2539</v>
      </c>
      <c r="F248" t="s">
        <v>2540</v>
      </c>
      <c r="H248" t="s">
        <v>2541</v>
      </c>
      <c r="I248" t="s">
        <v>2542</v>
      </c>
      <c r="J248" t="s">
        <v>8</v>
      </c>
      <c r="K248" t="s">
        <v>3</v>
      </c>
      <c r="L248" t="s">
        <v>3</v>
      </c>
      <c r="M248" t="s">
        <v>122</v>
      </c>
      <c r="N248" t="s">
        <v>3</v>
      </c>
      <c r="O248" t="s">
        <v>3</v>
      </c>
      <c r="P248" t="s">
        <v>3</v>
      </c>
      <c r="Q248" t="s">
        <v>8</v>
      </c>
      <c r="R248" t="s">
        <v>122</v>
      </c>
      <c r="S248" t="s">
        <v>8</v>
      </c>
      <c r="T248" t="s">
        <v>2535</v>
      </c>
      <c r="U248" t="s">
        <v>3</v>
      </c>
      <c r="V248" t="s">
        <v>3</v>
      </c>
      <c r="W248" t="s">
        <v>3</v>
      </c>
      <c r="AA248" t="s">
        <v>3</v>
      </c>
      <c r="AB248" t="s">
        <v>8</v>
      </c>
      <c r="AC248" t="s">
        <v>3</v>
      </c>
      <c r="AD248" t="s">
        <v>8</v>
      </c>
      <c r="AE248" t="s">
        <v>84</v>
      </c>
      <c r="AF248" t="s">
        <v>2543</v>
      </c>
    </row>
    <row r="249" spans="1:32">
      <c r="A249" t="s">
        <v>2544</v>
      </c>
      <c r="B249" t="s">
        <v>2545</v>
      </c>
      <c r="C249" t="s">
        <v>2546</v>
      </c>
      <c r="E249" t="s">
        <v>2547</v>
      </c>
      <c r="F249" t="s">
        <v>2548</v>
      </c>
      <c r="J249" t="s">
        <v>8</v>
      </c>
      <c r="K249" t="s">
        <v>3</v>
      </c>
      <c r="L249" t="s">
        <v>3</v>
      </c>
      <c r="M249" t="s">
        <v>122</v>
      </c>
      <c r="N249" t="s">
        <v>3</v>
      </c>
      <c r="O249" t="s">
        <v>3</v>
      </c>
      <c r="P249" t="s">
        <v>3</v>
      </c>
      <c r="Q249" t="s">
        <v>8</v>
      </c>
      <c r="R249" t="s">
        <v>122</v>
      </c>
      <c r="S249" t="s">
        <v>8</v>
      </c>
      <c r="T249" t="s">
        <v>2544</v>
      </c>
      <c r="U249" t="s">
        <v>3</v>
      </c>
      <c r="V249" t="s">
        <v>3</v>
      </c>
      <c r="W249" t="s">
        <v>3</v>
      </c>
      <c r="AA249" t="s">
        <v>3</v>
      </c>
      <c r="AB249" t="s">
        <v>8</v>
      </c>
      <c r="AC249" t="s">
        <v>3</v>
      </c>
      <c r="AD249" t="s">
        <v>8</v>
      </c>
      <c r="AE249" t="s">
        <v>111</v>
      </c>
      <c r="AF249" t="s">
        <v>2549</v>
      </c>
    </row>
    <row r="250" spans="1:32">
      <c r="A250" t="s">
        <v>115</v>
      </c>
      <c r="B250" t="s">
        <v>26</v>
      </c>
      <c r="C250" t="s">
        <v>2550</v>
      </c>
      <c r="D250" t="s">
        <v>26</v>
      </c>
      <c r="E250" t="s">
        <v>2551</v>
      </c>
      <c r="F250" t="s">
        <v>2552</v>
      </c>
      <c r="H250" t="s">
        <v>2553</v>
      </c>
      <c r="J250" t="s">
        <v>8</v>
      </c>
      <c r="K250" t="s">
        <v>3</v>
      </c>
      <c r="L250" t="s">
        <v>3</v>
      </c>
      <c r="M250" t="s">
        <v>122</v>
      </c>
      <c r="N250" t="s">
        <v>3</v>
      </c>
      <c r="O250" t="s">
        <v>3</v>
      </c>
      <c r="P250" t="s">
        <v>3</v>
      </c>
      <c r="Q250" t="s">
        <v>8</v>
      </c>
      <c r="R250" t="s">
        <v>122</v>
      </c>
      <c r="S250" t="s">
        <v>8</v>
      </c>
      <c r="T250" t="s">
        <v>115</v>
      </c>
      <c r="U250" t="s">
        <v>3</v>
      </c>
      <c r="V250" t="s">
        <v>3</v>
      </c>
      <c r="W250" t="s">
        <v>767</v>
      </c>
      <c r="AA250" t="s">
        <v>3</v>
      </c>
      <c r="AB250" t="s">
        <v>8</v>
      </c>
      <c r="AC250" t="s">
        <v>3</v>
      </c>
      <c r="AD250" t="s">
        <v>8</v>
      </c>
      <c r="AE250" t="s">
        <v>111</v>
      </c>
      <c r="AF250" t="s">
        <v>2554</v>
      </c>
    </row>
    <row r="251" spans="1:32">
      <c r="A251" t="s">
        <v>2555</v>
      </c>
      <c r="B251" t="s">
        <v>2556</v>
      </c>
      <c r="C251" t="s">
        <v>2557</v>
      </c>
      <c r="D251" t="s">
        <v>2558</v>
      </c>
      <c r="E251" t="s">
        <v>1564</v>
      </c>
      <c r="F251" t="s">
        <v>2559</v>
      </c>
      <c r="H251" t="s">
        <v>2560</v>
      </c>
      <c r="I251" t="s">
        <v>2560</v>
      </c>
      <c r="J251" t="s">
        <v>8</v>
      </c>
      <c r="K251" t="s">
        <v>3</v>
      </c>
      <c r="L251" t="s">
        <v>3</v>
      </c>
      <c r="M251" t="s">
        <v>122</v>
      </c>
      <c r="N251" t="s">
        <v>3</v>
      </c>
      <c r="O251" t="s">
        <v>3</v>
      </c>
      <c r="P251" t="s">
        <v>3</v>
      </c>
      <c r="Q251" t="s">
        <v>8</v>
      </c>
      <c r="R251" t="s">
        <v>122</v>
      </c>
      <c r="S251" t="s">
        <v>8</v>
      </c>
      <c r="T251" t="s">
        <v>2555</v>
      </c>
      <c r="U251" t="s">
        <v>3</v>
      </c>
      <c r="V251" t="s">
        <v>3</v>
      </c>
      <c r="W251" t="s">
        <v>122</v>
      </c>
      <c r="AA251" t="s">
        <v>3</v>
      </c>
      <c r="AB251" t="s">
        <v>8</v>
      </c>
      <c r="AC251" t="s">
        <v>3</v>
      </c>
      <c r="AD251" t="s">
        <v>8</v>
      </c>
      <c r="AE251" t="s">
        <v>84</v>
      </c>
      <c r="AF251" t="s">
        <v>2561</v>
      </c>
    </row>
    <row r="252" spans="1:32">
      <c r="A252" t="s">
        <v>2562</v>
      </c>
      <c r="B252" t="s">
        <v>2563</v>
      </c>
      <c r="C252" t="s">
        <v>2564</v>
      </c>
      <c r="D252" t="s">
        <v>2565</v>
      </c>
      <c r="E252" t="s">
        <v>2566</v>
      </c>
      <c r="F252" t="s">
        <v>2567</v>
      </c>
      <c r="H252" t="s">
        <v>2568</v>
      </c>
      <c r="J252" t="s">
        <v>8</v>
      </c>
      <c r="K252" t="s">
        <v>3</v>
      </c>
      <c r="L252" t="s">
        <v>3</v>
      </c>
      <c r="M252" t="s">
        <v>122</v>
      </c>
      <c r="N252" t="s">
        <v>3</v>
      </c>
      <c r="O252" t="s">
        <v>3</v>
      </c>
      <c r="P252" t="s">
        <v>3</v>
      </c>
      <c r="Q252" t="s">
        <v>8</v>
      </c>
      <c r="R252" t="s">
        <v>122</v>
      </c>
      <c r="S252" t="s">
        <v>8</v>
      </c>
      <c r="T252" t="s">
        <v>2562</v>
      </c>
      <c r="U252" t="s">
        <v>3</v>
      </c>
      <c r="V252" t="s">
        <v>3</v>
      </c>
      <c r="W252" t="s">
        <v>957</v>
      </c>
      <c r="Z252" t="s">
        <v>1554</v>
      </c>
      <c r="AA252" t="s">
        <v>3</v>
      </c>
      <c r="AB252" t="s">
        <v>8</v>
      </c>
      <c r="AC252" t="s">
        <v>3</v>
      </c>
      <c r="AD252" t="s">
        <v>8</v>
      </c>
      <c r="AE252" t="s">
        <v>111</v>
      </c>
      <c r="AF252" t="s">
        <v>2569</v>
      </c>
    </row>
    <row r="253" spans="1:32">
      <c r="A253" t="s">
        <v>2570</v>
      </c>
      <c r="B253" t="s">
        <v>2563</v>
      </c>
      <c r="C253" t="s">
        <v>2564</v>
      </c>
      <c r="D253" t="s">
        <v>2571</v>
      </c>
      <c r="E253" t="s">
        <v>2566</v>
      </c>
      <c r="F253" t="s">
        <v>2572</v>
      </c>
      <c r="H253" t="s">
        <v>2568</v>
      </c>
      <c r="J253" t="s">
        <v>8</v>
      </c>
      <c r="K253" t="s">
        <v>3</v>
      </c>
      <c r="L253" t="s">
        <v>3</v>
      </c>
      <c r="M253" t="s">
        <v>122</v>
      </c>
      <c r="N253" t="s">
        <v>3</v>
      </c>
      <c r="O253" t="s">
        <v>3</v>
      </c>
      <c r="P253" t="s">
        <v>3</v>
      </c>
      <c r="Q253" t="s">
        <v>8</v>
      </c>
      <c r="R253" t="s">
        <v>122</v>
      </c>
      <c r="S253" t="s">
        <v>8</v>
      </c>
      <c r="T253" t="s">
        <v>2570</v>
      </c>
      <c r="U253" t="s">
        <v>3</v>
      </c>
      <c r="V253" t="s">
        <v>3</v>
      </c>
      <c r="W253" t="s">
        <v>960</v>
      </c>
      <c r="AA253" t="s">
        <v>3</v>
      </c>
      <c r="AB253" t="s">
        <v>8</v>
      </c>
      <c r="AC253" t="s">
        <v>3</v>
      </c>
      <c r="AD253" t="s">
        <v>8</v>
      </c>
      <c r="AE253" t="s">
        <v>84</v>
      </c>
      <c r="AF253" t="s">
        <v>2573</v>
      </c>
    </row>
    <row r="254" spans="1:32">
      <c r="A254" t="s">
        <v>2574</v>
      </c>
      <c r="B254" t="s">
        <v>2575</v>
      </c>
      <c r="C254" t="s">
        <v>2576</v>
      </c>
      <c r="D254" t="s">
        <v>2575</v>
      </c>
      <c r="J254" t="s">
        <v>8</v>
      </c>
      <c r="K254" t="s">
        <v>3</v>
      </c>
      <c r="L254" t="s">
        <v>3</v>
      </c>
      <c r="M254" t="s">
        <v>122</v>
      </c>
      <c r="N254" t="s">
        <v>3</v>
      </c>
      <c r="O254" t="s">
        <v>3</v>
      </c>
      <c r="P254" t="s">
        <v>3</v>
      </c>
      <c r="Q254" t="s">
        <v>8</v>
      </c>
      <c r="R254" t="s">
        <v>122</v>
      </c>
      <c r="S254" t="s">
        <v>8</v>
      </c>
      <c r="T254" t="s">
        <v>2574</v>
      </c>
      <c r="U254" t="s">
        <v>3</v>
      </c>
      <c r="V254" t="s">
        <v>3</v>
      </c>
      <c r="W254" t="s">
        <v>3</v>
      </c>
      <c r="AA254" t="s">
        <v>3</v>
      </c>
      <c r="AB254" t="s">
        <v>8</v>
      </c>
      <c r="AC254" t="s">
        <v>3</v>
      </c>
      <c r="AD254" t="s">
        <v>8</v>
      </c>
      <c r="AE254" t="s">
        <v>111</v>
      </c>
      <c r="AF254" t="s">
        <v>2577</v>
      </c>
    </row>
    <row r="255" spans="1:32">
      <c r="A255" t="s">
        <v>2578</v>
      </c>
      <c r="B255" t="s">
        <v>2579</v>
      </c>
      <c r="C255" t="s">
        <v>2580</v>
      </c>
      <c r="D255" t="s">
        <v>2579</v>
      </c>
      <c r="E255" t="s">
        <v>2581</v>
      </c>
      <c r="F255" t="s">
        <v>2582</v>
      </c>
      <c r="H255" t="s">
        <v>2583</v>
      </c>
      <c r="J255" t="s">
        <v>8</v>
      </c>
      <c r="K255" t="s">
        <v>3</v>
      </c>
      <c r="L255" t="s">
        <v>3</v>
      </c>
      <c r="M255" t="s">
        <v>122</v>
      </c>
      <c r="N255" t="s">
        <v>3</v>
      </c>
      <c r="O255" t="s">
        <v>3</v>
      </c>
      <c r="P255" t="s">
        <v>3</v>
      </c>
      <c r="Q255" t="s">
        <v>8</v>
      </c>
      <c r="R255" t="s">
        <v>122</v>
      </c>
      <c r="S255" t="s">
        <v>8</v>
      </c>
      <c r="T255" t="s">
        <v>2578</v>
      </c>
      <c r="U255" t="s">
        <v>3</v>
      </c>
      <c r="V255" t="s">
        <v>3</v>
      </c>
      <c r="W255" t="s">
        <v>511</v>
      </c>
      <c r="AA255" t="s">
        <v>8</v>
      </c>
      <c r="AB255" t="s">
        <v>8</v>
      </c>
      <c r="AC255" t="s">
        <v>3</v>
      </c>
      <c r="AD255" t="s">
        <v>8</v>
      </c>
      <c r="AE255" t="s">
        <v>111</v>
      </c>
      <c r="AF255" t="s">
        <v>2584</v>
      </c>
    </row>
    <row r="256" spans="1:32">
      <c r="A256" t="s">
        <v>2585</v>
      </c>
      <c r="B256" t="s">
        <v>2586</v>
      </c>
      <c r="C256" t="s">
        <v>2587</v>
      </c>
      <c r="D256" t="s">
        <v>2579</v>
      </c>
      <c r="E256" t="s">
        <v>2581</v>
      </c>
      <c r="F256" t="s">
        <v>2588</v>
      </c>
      <c r="G256" t="s">
        <v>2589</v>
      </c>
      <c r="H256" t="s">
        <v>2583</v>
      </c>
      <c r="J256" t="s">
        <v>8</v>
      </c>
      <c r="K256" t="s">
        <v>3</v>
      </c>
      <c r="L256" t="s">
        <v>3</v>
      </c>
      <c r="M256" t="s">
        <v>122</v>
      </c>
      <c r="N256" t="s">
        <v>3</v>
      </c>
      <c r="O256" t="s">
        <v>3</v>
      </c>
      <c r="P256" t="s">
        <v>3</v>
      </c>
      <c r="Q256" t="s">
        <v>8</v>
      </c>
      <c r="R256" t="s">
        <v>122</v>
      </c>
      <c r="S256" t="s">
        <v>8</v>
      </c>
      <c r="T256" t="s">
        <v>2585</v>
      </c>
      <c r="U256" t="s">
        <v>3</v>
      </c>
      <c r="V256" t="s">
        <v>3</v>
      </c>
      <c r="W256" t="s">
        <v>511</v>
      </c>
      <c r="AA256" t="s">
        <v>3</v>
      </c>
      <c r="AB256" t="s">
        <v>8</v>
      </c>
      <c r="AC256" t="s">
        <v>3</v>
      </c>
      <c r="AD256" t="s">
        <v>8</v>
      </c>
      <c r="AE256" t="s">
        <v>111</v>
      </c>
      <c r="AF256" t="s">
        <v>2590</v>
      </c>
    </row>
    <row r="257" spans="1:32">
      <c r="A257" t="s">
        <v>2591</v>
      </c>
      <c r="B257" t="s">
        <v>2592</v>
      </c>
      <c r="C257" t="s">
        <v>2593</v>
      </c>
      <c r="D257" t="s">
        <v>2592</v>
      </c>
      <c r="E257" t="s">
        <v>2594</v>
      </c>
      <c r="F257" t="s">
        <v>2595</v>
      </c>
      <c r="H257" t="s">
        <v>2596</v>
      </c>
      <c r="I257" t="s">
        <v>2597</v>
      </c>
      <c r="J257" t="s">
        <v>8</v>
      </c>
      <c r="K257" t="s">
        <v>3</v>
      </c>
      <c r="L257" t="s">
        <v>3</v>
      </c>
      <c r="M257" t="s">
        <v>122</v>
      </c>
      <c r="N257" t="s">
        <v>3</v>
      </c>
      <c r="O257" t="s">
        <v>3</v>
      </c>
      <c r="P257" t="s">
        <v>3</v>
      </c>
      <c r="Q257" t="s">
        <v>8</v>
      </c>
      <c r="R257" t="s">
        <v>122</v>
      </c>
      <c r="S257" t="s">
        <v>8</v>
      </c>
      <c r="T257" t="s">
        <v>2591</v>
      </c>
      <c r="U257" t="s">
        <v>3</v>
      </c>
      <c r="V257" t="s">
        <v>3</v>
      </c>
      <c r="W257" t="s">
        <v>3</v>
      </c>
      <c r="AA257" t="s">
        <v>3</v>
      </c>
      <c r="AB257" t="s">
        <v>8</v>
      </c>
      <c r="AC257" t="s">
        <v>3</v>
      </c>
      <c r="AD257" t="s">
        <v>8</v>
      </c>
      <c r="AE257" t="s">
        <v>111</v>
      </c>
      <c r="AF257" t="s">
        <v>2598</v>
      </c>
    </row>
    <row r="258" spans="1:32">
      <c r="A258" t="s">
        <v>2599</v>
      </c>
      <c r="B258" t="s">
        <v>2600</v>
      </c>
      <c r="C258" t="s">
        <v>2601</v>
      </c>
      <c r="E258" t="s">
        <v>2594</v>
      </c>
      <c r="F258" t="s">
        <v>2602</v>
      </c>
      <c r="H258" t="s">
        <v>2603</v>
      </c>
      <c r="J258" t="s">
        <v>8</v>
      </c>
      <c r="K258" t="s">
        <v>3</v>
      </c>
      <c r="L258" t="s">
        <v>3</v>
      </c>
      <c r="M258" t="s">
        <v>122</v>
      </c>
      <c r="N258" t="s">
        <v>3</v>
      </c>
      <c r="O258" t="s">
        <v>3</v>
      </c>
      <c r="P258" t="s">
        <v>3</v>
      </c>
      <c r="Q258" t="s">
        <v>8</v>
      </c>
      <c r="R258" t="s">
        <v>122</v>
      </c>
      <c r="S258" t="s">
        <v>8</v>
      </c>
      <c r="T258" t="s">
        <v>2599</v>
      </c>
      <c r="U258" t="s">
        <v>3</v>
      </c>
      <c r="V258" t="s">
        <v>3</v>
      </c>
      <c r="W258" t="s">
        <v>3</v>
      </c>
      <c r="AA258" t="s">
        <v>3</v>
      </c>
      <c r="AB258" t="s">
        <v>8</v>
      </c>
      <c r="AC258" t="s">
        <v>3</v>
      </c>
      <c r="AD258" t="s">
        <v>8</v>
      </c>
      <c r="AE258" t="s">
        <v>84</v>
      </c>
      <c r="AF258" t="s">
        <v>2604</v>
      </c>
    </row>
    <row r="259" spans="1:32">
      <c r="A259" t="s">
        <v>2605</v>
      </c>
      <c r="B259" t="s">
        <v>2606</v>
      </c>
      <c r="C259" t="s">
        <v>2607</v>
      </c>
      <c r="D259" t="s">
        <v>2608</v>
      </c>
      <c r="E259" t="s">
        <v>2609</v>
      </c>
      <c r="F259" t="s">
        <v>2610</v>
      </c>
      <c r="H259" t="s">
        <v>2611</v>
      </c>
      <c r="I259" t="s">
        <v>2612</v>
      </c>
      <c r="J259" t="s">
        <v>8</v>
      </c>
      <c r="K259" t="s">
        <v>3</v>
      </c>
      <c r="L259" t="s">
        <v>3</v>
      </c>
      <c r="M259" t="s">
        <v>122</v>
      </c>
      <c r="N259" t="s">
        <v>3</v>
      </c>
      <c r="O259" t="s">
        <v>3</v>
      </c>
      <c r="P259" t="s">
        <v>3</v>
      </c>
      <c r="Q259" t="s">
        <v>8</v>
      </c>
      <c r="R259" t="s">
        <v>122</v>
      </c>
      <c r="S259" t="s">
        <v>8</v>
      </c>
      <c r="T259" t="s">
        <v>2605</v>
      </c>
      <c r="U259" t="s">
        <v>3</v>
      </c>
      <c r="V259" t="s">
        <v>3</v>
      </c>
      <c r="W259" t="s">
        <v>3</v>
      </c>
      <c r="AA259" t="s">
        <v>3</v>
      </c>
      <c r="AB259" t="s">
        <v>8</v>
      </c>
      <c r="AC259" t="s">
        <v>3</v>
      </c>
      <c r="AD259" t="s">
        <v>8</v>
      </c>
      <c r="AE259" t="s">
        <v>67</v>
      </c>
      <c r="AF259" t="s">
        <v>2613</v>
      </c>
    </row>
    <row r="260" spans="1:32">
      <c r="A260" t="s">
        <v>2614</v>
      </c>
      <c r="B260" t="s">
        <v>2615</v>
      </c>
      <c r="C260" t="s">
        <v>2616</v>
      </c>
      <c r="D260" t="s">
        <v>2617</v>
      </c>
      <c r="E260" t="s">
        <v>2618</v>
      </c>
      <c r="F260" t="s">
        <v>2619</v>
      </c>
      <c r="G260" t="s">
        <v>2620</v>
      </c>
      <c r="H260" t="s">
        <v>2621</v>
      </c>
      <c r="J260" t="s">
        <v>8</v>
      </c>
      <c r="K260" t="s">
        <v>3</v>
      </c>
      <c r="L260" t="s">
        <v>3</v>
      </c>
      <c r="M260" t="s">
        <v>122</v>
      </c>
      <c r="N260" t="s">
        <v>3</v>
      </c>
      <c r="O260" t="s">
        <v>3</v>
      </c>
      <c r="P260" t="s">
        <v>3</v>
      </c>
      <c r="Q260" t="s">
        <v>8</v>
      </c>
      <c r="R260" t="s">
        <v>122</v>
      </c>
      <c r="S260" t="s">
        <v>8</v>
      </c>
      <c r="T260" t="s">
        <v>2614</v>
      </c>
      <c r="U260" t="s">
        <v>3</v>
      </c>
      <c r="V260" t="s">
        <v>3</v>
      </c>
      <c r="W260" t="s">
        <v>8</v>
      </c>
      <c r="AA260" t="s">
        <v>3</v>
      </c>
      <c r="AB260" t="s">
        <v>8</v>
      </c>
      <c r="AC260" t="s">
        <v>3</v>
      </c>
      <c r="AD260" t="s">
        <v>8</v>
      </c>
      <c r="AE260" t="s">
        <v>111</v>
      </c>
      <c r="AF260" t="s">
        <v>2622</v>
      </c>
    </row>
    <row r="261" spans="1:32">
      <c r="A261" t="s">
        <v>2623</v>
      </c>
      <c r="B261" t="s">
        <v>2624</v>
      </c>
      <c r="C261" t="s">
        <v>2625</v>
      </c>
      <c r="D261" t="s">
        <v>2617</v>
      </c>
      <c r="E261" t="s">
        <v>2618</v>
      </c>
      <c r="F261" t="s">
        <v>2619</v>
      </c>
      <c r="G261" t="s">
        <v>2620</v>
      </c>
      <c r="H261" t="s">
        <v>2621</v>
      </c>
      <c r="I261" t="s">
        <v>2626</v>
      </c>
      <c r="J261" t="s">
        <v>8</v>
      </c>
      <c r="K261" t="s">
        <v>3</v>
      </c>
      <c r="L261" t="s">
        <v>3</v>
      </c>
      <c r="M261" t="s">
        <v>122</v>
      </c>
      <c r="N261" t="s">
        <v>3</v>
      </c>
      <c r="O261" t="s">
        <v>3</v>
      </c>
      <c r="P261" t="s">
        <v>3</v>
      </c>
      <c r="Q261" t="s">
        <v>8</v>
      </c>
      <c r="R261" t="s">
        <v>122</v>
      </c>
      <c r="S261" t="s">
        <v>8</v>
      </c>
      <c r="T261" t="s">
        <v>2623</v>
      </c>
      <c r="U261" t="s">
        <v>3</v>
      </c>
      <c r="V261" t="s">
        <v>3</v>
      </c>
      <c r="W261" t="s">
        <v>3</v>
      </c>
      <c r="AA261" t="s">
        <v>8</v>
      </c>
      <c r="AB261" t="s">
        <v>8</v>
      </c>
      <c r="AC261" t="s">
        <v>3</v>
      </c>
      <c r="AD261" t="s">
        <v>8</v>
      </c>
      <c r="AE261" t="s">
        <v>111</v>
      </c>
      <c r="AF261" t="s">
        <v>2627</v>
      </c>
    </row>
    <row r="262" spans="1:32">
      <c r="A262" t="s">
        <v>2628</v>
      </c>
      <c r="B262" t="s">
        <v>2629</v>
      </c>
      <c r="C262" t="s">
        <v>2630</v>
      </c>
      <c r="D262" t="s">
        <v>2617</v>
      </c>
      <c r="E262" t="s">
        <v>2618</v>
      </c>
      <c r="F262" t="s">
        <v>2619</v>
      </c>
      <c r="G262" t="s">
        <v>2620</v>
      </c>
      <c r="H262" t="s">
        <v>2621</v>
      </c>
      <c r="I262" t="s">
        <v>2626</v>
      </c>
      <c r="J262" t="s">
        <v>8</v>
      </c>
      <c r="K262" t="s">
        <v>3</v>
      </c>
      <c r="L262" t="s">
        <v>3</v>
      </c>
      <c r="M262" t="s">
        <v>122</v>
      </c>
      <c r="N262" t="s">
        <v>3</v>
      </c>
      <c r="O262" t="s">
        <v>3</v>
      </c>
      <c r="P262" t="s">
        <v>3</v>
      </c>
      <c r="Q262" t="s">
        <v>8</v>
      </c>
      <c r="R262" t="s">
        <v>122</v>
      </c>
      <c r="S262" t="s">
        <v>8</v>
      </c>
      <c r="T262" t="s">
        <v>2628</v>
      </c>
      <c r="U262" t="s">
        <v>3</v>
      </c>
      <c r="V262" t="s">
        <v>3</v>
      </c>
      <c r="W262" t="s">
        <v>3</v>
      </c>
      <c r="AA262" t="s">
        <v>8</v>
      </c>
      <c r="AB262" t="s">
        <v>8</v>
      </c>
      <c r="AC262" t="s">
        <v>3</v>
      </c>
      <c r="AD262" t="s">
        <v>8</v>
      </c>
      <c r="AE262" t="s">
        <v>111</v>
      </c>
      <c r="AF262" t="s">
        <v>2631</v>
      </c>
    </row>
    <row r="263" spans="1:32">
      <c r="A263" t="s">
        <v>2632</v>
      </c>
      <c r="B263" t="s">
        <v>2633</v>
      </c>
      <c r="C263" t="s">
        <v>2634</v>
      </c>
      <c r="D263" t="s">
        <v>2617</v>
      </c>
      <c r="E263" t="s">
        <v>2618</v>
      </c>
      <c r="F263" t="s">
        <v>2619</v>
      </c>
      <c r="G263" t="s">
        <v>2620</v>
      </c>
      <c r="H263" t="s">
        <v>2621</v>
      </c>
      <c r="I263" t="s">
        <v>2626</v>
      </c>
      <c r="J263" t="s">
        <v>8</v>
      </c>
      <c r="K263" t="s">
        <v>3</v>
      </c>
      <c r="L263" t="s">
        <v>3</v>
      </c>
      <c r="M263" t="s">
        <v>122</v>
      </c>
      <c r="N263" t="s">
        <v>3</v>
      </c>
      <c r="O263" t="s">
        <v>3</v>
      </c>
      <c r="P263" t="s">
        <v>3</v>
      </c>
      <c r="Q263" t="s">
        <v>8</v>
      </c>
      <c r="R263" t="s">
        <v>122</v>
      </c>
      <c r="S263" t="s">
        <v>8</v>
      </c>
      <c r="T263" t="s">
        <v>2632</v>
      </c>
      <c r="U263" t="s">
        <v>3</v>
      </c>
      <c r="V263" t="s">
        <v>3</v>
      </c>
      <c r="W263" t="s">
        <v>3</v>
      </c>
      <c r="AA263" t="s">
        <v>8</v>
      </c>
      <c r="AB263" t="s">
        <v>8</v>
      </c>
      <c r="AC263" t="s">
        <v>3</v>
      </c>
      <c r="AD263" t="s">
        <v>8</v>
      </c>
      <c r="AE263" t="s">
        <v>111</v>
      </c>
      <c r="AF263" t="s">
        <v>2635</v>
      </c>
    </row>
    <row r="264" spans="1:32">
      <c r="A264" t="s">
        <v>2636</v>
      </c>
      <c r="B264" t="s">
        <v>2637</v>
      </c>
      <c r="C264" t="s">
        <v>2638</v>
      </c>
      <c r="D264" t="s">
        <v>2639</v>
      </c>
      <c r="E264" t="s">
        <v>2640</v>
      </c>
      <c r="F264" t="s">
        <v>2641</v>
      </c>
      <c r="H264" t="s">
        <v>2642</v>
      </c>
      <c r="I264" t="s">
        <v>2642</v>
      </c>
      <c r="J264" t="s">
        <v>8</v>
      </c>
      <c r="K264" t="s">
        <v>3</v>
      </c>
      <c r="L264" t="s">
        <v>3</v>
      </c>
      <c r="M264" t="s">
        <v>122</v>
      </c>
      <c r="N264" t="s">
        <v>3</v>
      </c>
      <c r="O264" t="s">
        <v>3</v>
      </c>
      <c r="P264" t="s">
        <v>3</v>
      </c>
      <c r="Q264" t="s">
        <v>8</v>
      </c>
      <c r="R264" t="s">
        <v>122</v>
      </c>
      <c r="S264" t="s">
        <v>8</v>
      </c>
      <c r="T264" t="s">
        <v>2636</v>
      </c>
      <c r="U264" t="s">
        <v>3</v>
      </c>
      <c r="V264" t="s">
        <v>3</v>
      </c>
      <c r="W264" t="s">
        <v>1996</v>
      </c>
      <c r="Z264" t="s">
        <v>1554</v>
      </c>
      <c r="AA264" t="s">
        <v>8</v>
      </c>
      <c r="AB264" t="s">
        <v>8</v>
      </c>
      <c r="AC264" t="s">
        <v>3</v>
      </c>
      <c r="AD264" t="s">
        <v>8</v>
      </c>
      <c r="AE264" t="s">
        <v>111</v>
      </c>
      <c r="AF264" t="s">
        <v>2643</v>
      </c>
    </row>
    <row r="265" spans="1:32">
      <c r="A265" t="s">
        <v>2644</v>
      </c>
      <c r="B265" t="s">
        <v>2645</v>
      </c>
      <c r="C265" t="s">
        <v>2646</v>
      </c>
      <c r="D265" t="s">
        <v>2647</v>
      </c>
      <c r="E265" t="s">
        <v>2640</v>
      </c>
      <c r="F265" t="s">
        <v>2648</v>
      </c>
      <c r="H265" t="s">
        <v>2642</v>
      </c>
      <c r="I265" t="s">
        <v>2642</v>
      </c>
      <c r="J265" t="s">
        <v>8</v>
      </c>
      <c r="K265" t="s">
        <v>3</v>
      </c>
      <c r="L265" t="s">
        <v>3</v>
      </c>
      <c r="M265" t="s">
        <v>122</v>
      </c>
      <c r="N265" t="s">
        <v>3</v>
      </c>
      <c r="O265" t="s">
        <v>3</v>
      </c>
      <c r="P265" t="s">
        <v>3</v>
      </c>
      <c r="Q265" t="s">
        <v>3</v>
      </c>
      <c r="R265" t="s">
        <v>122</v>
      </c>
      <c r="S265" t="s">
        <v>8</v>
      </c>
      <c r="T265" t="s">
        <v>2644</v>
      </c>
      <c r="U265" t="s">
        <v>3</v>
      </c>
      <c r="V265" t="s">
        <v>3</v>
      </c>
      <c r="W265" t="s">
        <v>1996</v>
      </c>
      <c r="AA265" t="s">
        <v>3</v>
      </c>
      <c r="AB265" t="s">
        <v>8</v>
      </c>
      <c r="AC265" t="s">
        <v>3</v>
      </c>
      <c r="AD265" t="s">
        <v>8</v>
      </c>
      <c r="AE265" t="s">
        <v>111</v>
      </c>
      <c r="AF265" t="s">
        <v>2649</v>
      </c>
    </row>
    <row r="266" spans="1:32">
      <c r="A266" t="s">
        <v>2650</v>
      </c>
      <c r="B266" t="s">
        <v>2651</v>
      </c>
      <c r="C266" t="s">
        <v>2652</v>
      </c>
      <c r="D266" t="s">
        <v>2651</v>
      </c>
      <c r="J266" t="s">
        <v>8</v>
      </c>
      <c r="K266" t="s">
        <v>3</v>
      </c>
      <c r="L266" t="s">
        <v>3</v>
      </c>
      <c r="M266" t="s">
        <v>122</v>
      </c>
      <c r="N266" t="s">
        <v>3</v>
      </c>
      <c r="O266" t="s">
        <v>3</v>
      </c>
      <c r="P266" t="s">
        <v>3</v>
      </c>
      <c r="Q266" t="s">
        <v>3</v>
      </c>
      <c r="R266" t="s">
        <v>3</v>
      </c>
      <c r="S266" t="s">
        <v>8</v>
      </c>
      <c r="T266" t="s">
        <v>2650</v>
      </c>
      <c r="U266" t="s">
        <v>3</v>
      </c>
      <c r="V266" t="s">
        <v>3</v>
      </c>
      <c r="W266" t="s">
        <v>2653</v>
      </c>
      <c r="AA266" t="s">
        <v>3</v>
      </c>
      <c r="AB266" t="s">
        <v>8</v>
      </c>
      <c r="AC266" t="s">
        <v>3</v>
      </c>
      <c r="AD266" t="s">
        <v>8</v>
      </c>
      <c r="AE266" t="s">
        <v>111</v>
      </c>
      <c r="AF266" t="s">
        <v>2654</v>
      </c>
    </row>
    <row r="267" spans="1:32">
      <c r="A267" t="s">
        <v>2655</v>
      </c>
      <c r="B267" t="s">
        <v>2656</v>
      </c>
      <c r="C267" t="s">
        <v>2657</v>
      </c>
      <c r="D267" t="s">
        <v>2658</v>
      </c>
      <c r="E267" t="s">
        <v>2659</v>
      </c>
      <c r="F267" t="s">
        <v>2660</v>
      </c>
      <c r="H267" t="s">
        <v>2661</v>
      </c>
      <c r="I267" t="s">
        <v>2662</v>
      </c>
      <c r="J267" t="s">
        <v>8</v>
      </c>
      <c r="K267" t="s">
        <v>3</v>
      </c>
      <c r="L267" t="s">
        <v>3</v>
      </c>
      <c r="M267" t="s">
        <v>122</v>
      </c>
      <c r="N267" t="s">
        <v>3</v>
      </c>
      <c r="O267" t="s">
        <v>3</v>
      </c>
      <c r="P267" t="s">
        <v>3</v>
      </c>
      <c r="Q267" t="s">
        <v>8</v>
      </c>
      <c r="R267" t="s">
        <v>122</v>
      </c>
      <c r="S267" t="s">
        <v>8</v>
      </c>
      <c r="T267" t="s">
        <v>2655</v>
      </c>
      <c r="U267" t="s">
        <v>3</v>
      </c>
      <c r="V267" t="s">
        <v>3</v>
      </c>
      <c r="W267" t="s">
        <v>606</v>
      </c>
      <c r="AA267" t="s">
        <v>3</v>
      </c>
      <c r="AB267" t="s">
        <v>8</v>
      </c>
      <c r="AC267" t="s">
        <v>3</v>
      </c>
      <c r="AD267" t="s">
        <v>8</v>
      </c>
      <c r="AE267" t="s">
        <v>72</v>
      </c>
      <c r="AF267" t="s">
        <v>2663</v>
      </c>
    </row>
    <row r="268" spans="1:32">
      <c r="A268" t="s">
        <v>2664</v>
      </c>
      <c r="B268" t="s">
        <v>2665</v>
      </c>
      <c r="C268" t="s">
        <v>2666</v>
      </c>
      <c r="D268" t="s">
        <v>2667</v>
      </c>
      <c r="E268" t="s">
        <v>2659</v>
      </c>
      <c r="F268" t="s">
        <v>2660</v>
      </c>
      <c r="H268" t="s">
        <v>2661</v>
      </c>
      <c r="I268" t="s">
        <v>2662</v>
      </c>
      <c r="J268" t="s">
        <v>8</v>
      </c>
      <c r="K268" t="s">
        <v>3</v>
      </c>
      <c r="L268" t="s">
        <v>3</v>
      </c>
      <c r="M268" t="s">
        <v>122</v>
      </c>
      <c r="N268" t="s">
        <v>3</v>
      </c>
      <c r="O268" t="s">
        <v>3</v>
      </c>
      <c r="P268" t="s">
        <v>3</v>
      </c>
      <c r="Q268" t="s">
        <v>8</v>
      </c>
      <c r="R268" t="s">
        <v>122</v>
      </c>
      <c r="S268" t="s">
        <v>8</v>
      </c>
      <c r="T268" t="s">
        <v>2664</v>
      </c>
      <c r="U268" t="s">
        <v>3</v>
      </c>
      <c r="V268" t="s">
        <v>3</v>
      </c>
      <c r="W268" t="s">
        <v>65</v>
      </c>
      <c r="AA268" t="s">
        <v>3</v>
      </c>
      <c r="AB268" t="s">
        <v>8</v>
      </c>
      <c r="AC268" t="s">
        <v>3</v>
      </c>
      <c r="AD268" t="s">
        <v>8</v>
      </c>
      <c r="AE268" t="s">
        <v>84</v>
      </c>
      <c r="AF268" t="s">
        <v>2668</v>
      </c>
    </row>
    <row r="269" spans="1:32">
      <c r="A269" t="s">
        <v>2669</v>
      </c>
      <c r="B269" t="s">
        <v>2656</v>
      </c>
      <c r="C269" t="s">
        <v>2670</v>
      </c>
      <c r="D269" t="s">
        <v>2658</v>
      </c>
      <c r="E269" t="s">
        <v>2659</v>
      </c>
      <c r="F269" t="s">
        <v>2660</v>
      </c>
      <c r="H269" t="s">
        <v>2661</v>
      </c>
      <c r="I269" t="s">
        <v>2662</v>
      </c>
      <c r="J269" t="s">
        <v>8</v>
      </c>
      <c r="K269" t="s">
        <v>3</v>
      </c>
      <c r="L269" t="s">
        <v>3</v>
      </c>
      <c r="M269" t="s">
        <v>122</v>
      </c>
      <c r="N269" t="s">
        <v>3</v>
      </c>
      <c r="O269" t="s">
        <v>3</v>
      </c>
      <c r="P269" t="s">
        <v>3</v>
      </c>
      <c r="Q269" t="s">
        <v>8</v>
      </c>
      <c r="R269" t="s">
        <v>122</v>
      </c>
      <c r="S269" t="s">
        <v>8</v>
      </c>
      <c r="T269" t="s">
        <v>2669</v>
      </c>
      <c r="U269" t="s">
        <v>3</v>
      </c>
      <c r="V269" t="s">
        <v>3</v>
      </c>
      <c r="W269" t="s">
        <v>66</v>
      </c>
      <c r="AA269" t="s">
        <v>3</v>
      </c>
      <c r="AB269" t="s">
        <v>8</v>
      </c>
      <c r="AC269" t="s">
        <v>3</v>
      </c>
      <c r="AD269" t="s">
        <v>8</v>
      </c>
      <c r="AE269" t="s">
        <v>84</v>
      </c>
      <c r="AF269" t="s">
        <v>2671</v>
      </c>
    </row>
    <row r="270" spans="1:32">
      <c r="A270" t="s">
        <v>2672</v>
      </c>
      <c r="B270" t="s">
        <v>2673</v>
      </c>
      <c r="C270" t="s">
        <v>2674</v>
      </c>
      <c r="D270" t="s">
        <v>2673</v>
      </c>
      <c r="E270" t="s">
        <v>2659</v>
      </c>
      <c r="F270" t="s">
        <v>2660</v>
      </c>
      <c r="H270" t="s">
        <v>2661</v>
      </c>
      <c r="I270" t="s">
        <v>2662</v>
      </c>
      <c r="J270" t="s">
        <v>8</v>
      </c>
      <c r="K270" t="s">
        <v>3</v>
      </c>
      <c r="L270" t="s">
        <v>3</v>
      </c>
      <c r="M270" t="s">
        <v>122</v>
      </c>
      <c r="N270" t="s">
        <v>3</v>
      </c>
      <c r="O270" t="s">
        <v>3</v>
      </c>
      <c r="P270" t="s">
        <v>3</v>
      </c>
      <c r="Q270" t="s">
        <v>8</v>
      </c>
      <c r="R270" t="s">
        <v>122</v>
      </c>
      <c r="S270" t="s">
        <v>8</v>
      </c>
      <c r="T270" t="s">
        <v>2672</v>
      </c>
      <c r="U270" t="s">
        <v>3</v>
      </c>
      <c r="V270" t="s">
        <v>3</v>
      </c>
      <c r="W270" t="s">
        <v>66</v>
      </c>
      <c r="AA270" t="s">
        <v>3</v>
      </c>
      <c r="AB270" t="s">
        <v>8</v>
      </c>
      <c r="AC270" t="s">
        <v>3</v>
      </c>
      <c r="AD270" t="s">
        <v>8</v>
      </c>
      <c r="AE270" t="s">
        <v>111</v>
      </c>
      <c r="AF270" t="s">
        <v>2675</v>
      </c>
    </row>
    <row r="271" spans="1:32">
      <c r="A271" t="s">
        <v>2676</v>
      </c>
      <c r="B271" t="s">
        <v>2677</v>
      </c>
      <c r="C271" t="s">
        <v>2678</v>
      </c>
      <c r="D271" t="s">
        <v>2679</v>
      </c>
      <c r="F271" t="s">
        <v>2680</v>
      </c>
      <c r="H271" t="s">
        <v>2681</v>
      </c>
      <c r="J271" t="s">
        <v>8</v>
      </c>
      <c r="K271" t="s">
        <v>3</v>
      </c>
      <c r="L271" t="s">
        <v>3</v>
      </c>
      <c r="M271" t="s">
        <v>122</v>
      </c>
      <c r="N271" t="s">
        <v>3</v>
      </c>
      <c r="O271" t="s">
        <v>3</v>
      </c>
      <c r="P271" t="s">
        <v>3</v>
      </c>
      <c r="Q271" t="s">
        <v>8</v>
      </c>
      <c r="R271" t="s">
        <v>122</v>
      </c>
      <c r="S271" t="s">
        <v>8</v>
      </c>
      <c r="T271" t="s">
        <v>2676</v>
      </c>
      <c r="U271" t="s">
        <v>3</v>
      </c>
      <c r="V271" t="s">
        <v>3</v>
      </c>
      <c r="W271" t="s">
        <v>1038</v>
      </c>
      <c r="AA271" t="s">
        <v>3</v>
      </c>
      <c r="AB271" t="s">
        <v>3</v>
      </c>
      <c r="AC271" t="s">
        <v>3</v>
      </c>
      <c r="AD271" t="s">
        <v>8</v>
      </c>
      <c r="AE271" t="s">
        <v>111</v>
      </c>
      <c r="AF271" t="s">
        <v>2682</v>
      </c>
    </row>
    <row r="272" spans="1:32">
      <c r="A272" t="s">
        <v>2683</v>
      </c>
      <c r="B272" t="s">
        <v>2684</v>
      </c>
      <c r="C272" t="s">
        <v>2685</v>
      </c>
      <c r="D272" t="s">
        <v>2686</v>
      </c>
      <c r="F272" t="s">
        <v>2680</v>
      </c>
      <c r="H272" t="s">
        <v>2681</v>
      </c>
      <c r="J272" t="s">
        <v>8</v>
      </c>
      <c r="K272" t="s">
        <v>3</v>
      </c>
      <c r="L272" t="s">
        <v>3</v>
      </c>
      <c r="M272" t="s">
        <v>122</v>
      </c>
      <c r="N272" t="s">
        <v>3</v>
      </c>
      <c r="O272" t="s">
        <v>3</v>
      </c>
      <c r="P272" t="s">
        <v>3</v>
      </c>
      <c r="Q272" t="s">
        <v>8</v>
      </c>
      <c r="R272" t="s">
        <v>122</v>
      </c>
      <c r="S272" t="s">
        <v>8</v>
      </c>
      <c r="T272" t="s">
        <v>2683</v>
      </c>
      <c r="U272" t="s">
        <v>3</v>
      </c>
      <c r="V272" t="s">
        <v>3</v>
      </c>
      <c r="W272" t="s">
        <v>1038</v>
      </c>
      <c r="AA272" t="s">
        <v>3</v>
      </c>
      <c r="AB272" t="s">
        <v>3</v>
      </c>
      <c r="AC272" t="s">
        <v>3</v>
      </c>
      <c r="AD272" t="s">
        <v>8</v>
      </c>
      <c r="AE272" t="s">
        <v>111</v>
      </c>
      <c r="AF272" t="s">
        <v>2687</v>
      </c>
    </row>
    <row r="273" spans="1:32">
      <c r="A273" t="s">
        <v>2688</v>
      </c>
      <c r="B273" t="s">
        <v>2689</v>
      </c>
      <c r="C273" t="s">
        <v>2690</v>
      </c>
      <c r="D273" t="s">
        <v>2691</v>
      </c>
      <c r="F273" t="s">
        <v>2680</v>
      </c>
      <c r="H273" t="s">
        <v>2681</v>
      </c>
      <c r="J273" t="s">
        <v>8</v>
      </c>
      <c r="K273" t="s">
        <v>3</v>
      </c>
      <c r="L273" t="s">
        <v>3</v>
      </c>
      <c r="M273" t="s">
        <v>122</v>
      </c>
      <c r="N273" t="s">
        <v>3</v>
      </c>
      <c r="O273" t="s">
        <v>3</v>
      </c>
      <c r="P273" t="s">
        <v>3</v>
      </c>
      <c r="Q273" t="s">
        <v>8</v>
      </c>
      <c r="R273" t="s">
        <v>122</v>
      </c>
      <c r="S273" t="s">
        <v>8</v>
      </c>
      <c r="T273" t="s">
        <v>2688</v>
      </c>
      <c r="U273" t="s">
        <v>3</v>
      </c>
      <c r="V273" t="s">
        <v>3</v>
      </c>
      <c r="W273" t="s">
        <v>503</v>
      </c>
      <c r="AA273" t="s">
        <v>3</v>
      </c>
      <c r="AB273" t="s">
        <v>8</v>
      </c>
      <c r="AC273" t="s">
        <v>3</v>
      </c>
      <c r="AD273" t="s">
        <v>8</v>
      </c>
      <c r="AE273" t="s">
        <v>111</v>
      </c>
      <c r="AF273" t="s">
        <v>2692</v>
      </c>
    </row>
    <row r="274" spans="1:32">
      <c r="A274" t="s">
        <v>139</v>
      </c>
      <c r="B274" t="s">
        <v>2693</v>
      </c>
      <c r="C274" t="s">
        <v>2694</v>
      </c>
      <c r="D274" t="s">
        <v>2695</v>
      </c>
      <c r="F274" t="s">
        <v>2680</v>
      </c>
      <c r="H274" t="s">
        <v>2681</v>
      </c>
      <c r="J274" t="s">
        <v>8</v>
      </c>
      <c r="K274" t="s">
        <v>3</v>
      </c>
      <c r="L274" t="s">
        <v>3</v>
      </c>
      <c r="M274" t="s">
        <v>122</v>
      </c>
      <c r="N274" t="s">
        <v>3</v>
      </c>
      <c r="O274" t="s">
        <v>3</v>
      </c>
      <c r="P274" t="s">
        <v>3</v>
      </c>
      <c r="Q274" t="s">
        <v>8</v>
      </c>
      <c r="R274" t="s">
        <v>122</v>
      </c>
      <c r="S274" t="s">
        <v>8</v>
      </c>
      <c r="T274" t="s">
        <v>139</v>
      </c>
      <c r="U274" t="s">
        <v>3</v>
      </c>
      <c r="V274" t="s">
        <v>3</v>
      </c>
      <c r="W274" t="s">
        <v>1038</v>
      </c>
      <c r="AA274" t="s">
        <v>8</v>
      </c>
      <c r="AB274" t="s">
        <v>8</v>
      </c>
      <c r="AC274" t="s">
        <v>3</v>
      </c>
      <c r="AD274" t="s">
        <v>8</v>
      </c>
      <c r="AE274" t="s">
        <v>111</v>
      </c>
      <c r="AF274" t="s">
        <v>2696</v>
      </c>
    </row>
    <row r="275" spans="1:32">
      <c r="A275" t="s">
        <v>2697</v>
      </c>
      <c r="B275" t="s">
        <v>2698</v>
      </c>
      <c r="C275" t="s">
        <v>2699</v>
      </c>
      <c r="D275" t="s">
        <v>2700</v>
      </c>
      <c r="F275" t="s">
        <v>2680</v>
      </c>
      <c r="H275" t="s">
        <v>2681</v>
      </c>
      <c r="J275" t="s">
        <v>8</v>
      </c>
      <c r="K275" t="s">
        <v>3</v>
      </c>
      <c r="L275" t="s">
        <v>3</v>
      </c>
      <c r="M275" t="s">
        <v>122</v>
      </c>
      <c r="N275" t="s">
        <v>3</v>
      </c>
      <c r="O275" t="s">
        <v>3</v>
      </c>
      <c r="P275" t="s">
        <v>3</v>
      </c>
      <c r="Q275" t="s">
        <v>8</v>
      </c>
      <c r="R275" t="s">
        <v>122</v>
      </c>
      <c r="S275" t="s">
        <v>8</v>
      </c>
      <c r="T275" t="s">
        <v>2697</v>
      </c>
      <c r="U275" t="s">
        <v>3</v>
      </c>
      <c r="V275" t="s">
        <v>3</v>
      </c>
      <c r="W275" t="s">
        <v>1038</v>
      </c>
      <c r="AA275" t="s">
        <v>3</v>
      </c>
      <c r="AB275" t="s">
        <v>8</v>
      </c>
      <c r="AC275" t="s">
        <v>3</v>
      </c>
      <c r="AD275" t="s">
        <v>8</v>
      </c>
      <c r="AE275" t="s">
        <v>111</v>
      </c>
      <c r="AF275" t="s">
        <v>2701</v>
      </c>
    </row>
    <row r="276" spans="1:32">
      <c r="A276" t="s">
        <v>2702</v>
      </c>
      <c r="B276" t="s">
        <v>2703</v>
      </c>
      <c r="C276" t="s">
        <v>2704</v>
      </c>
      <c r="D276" t="s">
        <v>2705</v>
      </c>
      <c r="F276" t="s">
        <v>2680</v>
      </c>
      <c r="H276" t="s">
        <v>2681</v>
      </c>
      <c r="J276" t="s">
        <v>8</v>
      </c>
      <c r="K276" t="s">
        <v>3</v>
      </c>
      <c r="L276" t="s">
        <v>3</v>
      </c>
      <c r="M276" t="s">
        <v>122</v>
      </c>
      <c r="N276" t="s">
        <v>3</v>
      </c>
      <c r="O276" t="s">
        <v>3</v>
      </c>
      <c r="P276" t="s">
        <v>3</v>
      </c>
      <c r="Q276" t="s">
        <v>8</v>
      </c>
      <c r="R276" t="s">
        <v>122</v>
      </c>
      <c r="S276" t="s">
        <v>8</v>
      </c>
      <c r="T276" t="s">
        <v>2702</v>
      </c>
      <c r="U276" t="s">
        <v>3</v>
      </c>
      <c r="V276" t="s">
        <v>3</v>
      </c>
      <c r="W276" t="s">
        <v>503</v>
      </c>
      <c r="AA276" t="s">
        <v>8</v>
      </c>
      <c r="AB276" t="s">
        <v>8</v>
      </c>
      <c r="AC276" t="s">
        <v>3</v>
      </c>
      <c r="AD276" t="s">
        <v>8</v>
      </c>
      <c r="AE276" t="s">
        <v>111</v>
      </c>
      <c r="AF276" t="s">
        <v>2706</v>
      </c>
    </row>
    <row r="277" spans="1:32">
      <c r="A277" t="s">
        <v>2707</v>
      </c>
      <c r="B277" t="s">
        <v>2708</v>
      </c>
      <c r="C277" t="s">
        <v>2709</v>
      </c>
      <c r="D277" t="s">
        <v>2710</v>
      </c>
      <c r="F277" t="s">
        <v>2680</v>
      </c>
      <c r="H277" t="s">
        <v>2681</v>
      </c>
      <c r="J277" t="s">
        <v>8</v>
      </c>
      <c r="K277" t="s">
        <v>3</v>
      </c>
      <c r="L277" t="s">
        <v>3</v>
      </c>
      <c r="M277" t="s">
        <v>122</v>
      </c>
      <c r="N277" t="s">
        <v>3</v>
      </c>
      <c r="O277" t="s">
        <v>3</v>
      </c>
      <c r="P277" t="s">
        <v>3</v>
      </c>
      <c r="Q277" t="s">
        <v>8</v>
      </c>
      <c r="R277" t="s">
        <v>122</v>
      </c>
      <c r="S277" t="s">
        <v>8</v>
      </c>
      <c r="T277" t="s">
        <v>2707</v>
      </c>
      <c r="U277" t="s">
        <v>3</v>
      </c>
      <c r="V277" t="s">
        <v>3</v>
      </c>
      <c r="W277" t="s">
        <v>503</v>
      </c>
      <c r="AA277" t="s">
        <v>8</v>
      </c>
      <c r="AB277" t="s">
        <v>8</v>
      </c>
      <c r="AC277" t="s">
        <v>3</v>
      </c>
      <c r="AD277" t="s">
        <v>8</v>
      </c>
      <c r="AE277" t="s">
        <v>111</v>
      </c>
      <c r="AF277" t="s">
        <v>2711</v>
      </c>
    </row>
    <row r="278" spans="1:32">
      <c r="A278" t="s">
        <v>2712</v>
      </c>
      <c r="B278" t="s">
        <v>2713</v>
      </c>
      <c r="C278" t="s">
        <v>2714</v>
      </c>
      <c r="D278" t="s">
        <v>2715</v>
      </c>
      <c r="F278" t="s">
        <v>2680</v>
      </c>
      <c r="H278" t="s">
        <v>2681</v>
      </c>
      <c r="J278" t="s">
        <v>8</v>
      </c>
      <c r="K278" t="s">
        <v>3</v>
      </c>
      <c r="L278" t="s">
        <v>3</v>
      </c>
      <c r="M278" t="s">
        <v>122</v>
      </c>
      <c r="N278" t="s">
        <v>3</v>
      </c>
      <c r="O278" t="s">
        <v>3</v>
      </c>
      <c r="P278" t="s">
        <v>3</v>
      </c>
      <c r="Q278" t="s">
        <v>8</v>
      </c>
      <c r="R278" t="s">
        <v>122</v>
      </c>
      <c r="S278" t="s">
        <v>8</v>
      </c>
      <c r="T278" t="s">
        <v>2712</v>
      </c>
      <c r="U278" t="s">
        <v>3</v>
      </c>
      <c r="V278" t="s">
        <v>3</v>
      </c>
      <c r="W278" t="s">
        <v>503</v>
      </c>
      <c r="AA278" t="s">
        <v>8</v>
      </c>
      <c r="AB278" t="s">
        <v>8</v>
      </c>
      <c r="AC278" t="s">
        <v>3</v>
      </c>
      <c r="AD278" t="s">
        <v>8</v>
      </c>
      <c r="AE278" t="s">
        <v>111</v>
      </c>
      <c r="AF278" t="s">
        <v>2716</v>
      </c>
    </row>
    <row r="279" spans="1:32">
      <c r="A279" t="s">
        <v>2717</v>
      </c>
      <c r="B279" t="s">
        <v>2718</v>
      </c>
      <c r="C279" t="s">
        <v>2719</v>
      </c>
      <c r="D279" t="s">
        <v>2720</v>
      </c>
      <c r="F279" t="s">
        <v>2680</v>
      </c>
      <c r="H279" t="s">
        <v>2681</v>
      </c>
      <c r="J279" t="s">
        <v>8</v>
      </c>
      <c r="K279" t="s">
        <v>3</v>
      </c>
      <c r="L279" t="s">
        <v>3</v>
      </c>
      <c r="M279" t="s">
        <v>122</v>
      </c>
      <c r="N279" t="s">
        <v>3</v>
      </c>
      <c r="O279" t="s">
        <v>3</v>
      </c>
      <c r="P279" t="s">
        <v>3</v>
      </c>
      <c r="Q279" t="s">
        <v>8</v>
      </c>
      <c r="R279" t="s">
        <v>122</v>
      </c>
      <c r="S279" t="s">
        <v>8</v>
      </c>
      <c r="T279" t="s">
        <v>2717</v>
      </c>
      <c r="U279" t="s">
        <v>3</v>
      </c>
      <c r="V279" t="s">
        <v>3</v>
      </c>
      <c r="W279" t="s">
        <v>1038</v>
      </c>
      <c r="AA279" t="s">
        <v>8</v>
      </c>
      <c r="AB279" t="s">
        <v>3</v>
      </c>
      <c r="AC279" t="s">
        <v>3</v>
      </c>
      <c r="AD279" t="s">
        <v>8</v>
      </c>
      <c r="AE279" t="s">
        <v>111</v>
      </c>
      <c r="AF279" t="s">
        <v>2721</v>
      </c>
    </row>
    <row r="280" spans="1:32">
      <c r="A280" t="s">
        <v>2722</v>
      </c>
      <c r="B280" t="s">
        <v>2723</v>
      </c>
      <c r="C280" t="s">
        <v>2724</v>
      </c>
      <c r="D280" t="s">
        <v>2724</v>
      </c>
      <c r="E280" t="s">
        <v>2725</v>
      </c>
      <c r="F280" t="s">
        <v>2726</v>
      </c>
      <c r="G280" t="s">
        <v>2727</v>
      </c>
      <c r="J280" t="s">
        <v>8</v>
      </c>
      <c r="K280" t="s">
        <v>3</v>
      </c>
      <c r="L280" t="s">
        <v>3</v>
      </c>
      <c r="M280" t="s">
        <v>122</v>
      </c>
      <c r="N280" t="s">
        <v>3</v>
      </c>
      <c r="O280" t="s">
        <v>3</v>
      </c>
      <c r="P280" t="s">
        <v>3</v>
      </c>
      <c r="Q280" t="s">
        <v>8</v>
      </c>
      <c r="R280" t="s">
        <v>122</v>
      </c>
      <c r="S280" t="s">
        <v>8</v>
      </c>
      <c r="T280" t="s">
        <v>2722</v>
      </c>
      <c r="U280" t="s">
        <v>3</v>
      </c>
      <c r="V280" t="s">
        <v>3</v>
      </c>
      <c r="W280" t="s">
        <v>1038</v>
      </c>
      <c r="AA280" t="s">
        <v>3</v>
      </c>
      <c r="AB280" t="s">
        <v>3</v>
      </c>
      <c r="AC280" t="s">
        <v>3</v>
      </c>
      <c r="AD280" t="s">
        <v>8</v>
      </c>
      <c r="AE280" t="s">
        <v>111</v>
      </c>
      <c r="AF280" t="s">
        <v>2728</v>
      </c>
    </row>
    <row r="281" spans="1:32">
      <c r="A281" t="s">
        <v>2729</v>
      </c>
      <c r="B281" t="s">
        <v>2730</v>
      </c>
      <c r="C281" t="s">
        <v>2731</v>
      </c>
      <c r="D281" t="s">
        <v>2732</v>
      </c>
      <c r="F281" t="s">
        <v>2680</v>
      </c>
      <c r="H281" t="s">
        <v>2733</v>
      </c>
      <c r="J281" t="s">
        <v>8</v>
      </c>
      <c r="K281" t="s">
        <v>3</v>
      </c>
      <c r="L281" t="s">
        <v>3</v>
      </c>
      <c r="M281" t="s">
        <v>122</v>
      </c>
      <c r="N281" t="s">
        <v>3</v>
      </c>
      <c r="O281" t="s">
        <v>3</v>
      </c>
      <c r="P281" t="s">
        <v>3</v>
      </c>
      <c r="Q281" t="s">
        <v>8</v>
      </c>
      <c r="R281" t="s">
        <v>122</v>
      </c>
      <c r="S281" t="s">
        <v>8</v>
      </c>
      <c r="T281" t="s">
        <v>2729</v>
      </c>
      <c r="U281" t="s">
        <v>3</v>
      </c>
      <c r="V281" t="s">
        <v>3</v>
      </c>
      <c r="W281" t="s">
        <v>1038</v>
      </c>
      <c r="AA281" t="s">
        <v>8</v>
      </c>
      <c r="AB281" t="s">
        <v>3</v>
      </c>
      <c r="AC281" t="s">
        <v>3</v>
      </c>
      <c r="AD281" t="s">
        <v>8</v>
      </c>
      <c r="AE281" t="s">
        <v>111</v>
      </c>
      <c r="AF281" t="s">
        <v>2734</v>
      </c>
    </row>
    <row r="282" spans="1:32">
      <c r="A282" t="s">
        <v>2735</v>
      </c>
      <c r="B282" t="s">
        <v>2736</v>
      </c>
      <c r="C282" t="s">
        <v>2737</v>
      </c>
      <c r="D282" t="s">
        <v>2730</v>
      </c>
      <c r="F282" t="s">
        <v>2680</v>
      </c>
      <c r="H282" t="s">
        <v>2681</v>
      </c>
      <c r="J282" t="s">
        <v>8</v>
      </c>
      <c r="K282" t="s">
        <v>3</v>
      </c>
      <c r="L282" t="s">
        <v>3</v>
      </c>
      <c r="M282" t="s">
        <v>122</v>
      </c>
      <c r="N282" t="s">
        <v>3</v>
      </c>
      <c r="O282" t="s">
        <v>3</v>
      </c>
      <c r="P282" t="s">
        <v>3</v>
      </c>
      <c r="Q282" t="s">
        <v>8</v>
      </c>
      <c r="R282" t="s">
        <v>122</v>
      </c>
      <c r="S282" t="s">
        <v>8</v>
      </c>
      <c r="T282" t="s">
        <v>2735</v>
      </c>
      <c r="U282" t="s">
        <v>3</v>
      </c>
      <c r="V282" t="s">
        <v>3</v>
      </c>
      <c r="W282" t="s">
        <v>1038</v>
      </c>
      <c r="AA282" t="s">
        <v>8</v>
      </c>
      <c r="AB282" t="s">
        <v>8</v>
      </c>
      <c r="AC282" t="s">
        <v>3</v>
      </c>
      <c r="AD282" t="s">
        <v>8</v>
      </c>
      <c r="AE282" t="s">
        <v>111</v>
      </c>
      <c r="AF282" t="s">
        <v>2738</v>
      </c>
    </row>
    <row r="283" spans="1:32">
      <c r="A283" t="s">
        <v>2739</v>
      </c>
      <c r="B283" t="s">
        <v>2740</v>
      </c>
      <c r="C283" t="s">
        <v>2741</v>
      </c>
      <c r="D283" t="s">
        <v>2742</v>
      </c>
      <c r="F283" t="s">
        <v>2680</v>
      </c>
      <c r="H283" t="s">
        <v>2733</v>
      </c>
      <c r="J283" t="s">
        <v>8</v>
      </c>
      <c r="K283" t="s">
        <v>3</v>
      </c>
      <c r="L283" t="s">
        <v>3</v>
      </c>
      <c r="M283" t="s">
        <v>122</v>
      </c>
      <c r="N283" t="s">
        <v>3</v>
      </c>
      <c r="O283" t="s">
        <v>3</v>
      </c>
      <c r="P283" t="s">
        <v>3</v>
      </c>
      <c r="Q283" t="s">
        <v>8</v>
      </c>
      <c r="R283" t="s">
        <v>122</v>
      </c>
      <c r="S283" t="s">
        <v>8</v>
      </c>
      <c r="T283" t="s">
        <v>2739</v>
      </c>
      <c r="U283" t="s">
        <v>3</v>
      </c>
      <c r="V283" t="s">
        <v>3</v>
      </c>
      <c r="W283" t="s">
        <v>1038</v>
      </c>
      <c r="AA283" t="s">
        <v>8</v>
      </c>
      <c r="AB283" t="s">
        <v>8</v>
      </c>
      <c r="AC283" t="s">
        <v>3</v>
      </c>
      <c r="AD283" t="s">
        <v>8</v>
      </c>
      <c r="AE283" t="s">
        <v>111</v>
      </c>
      <c r="AF283" t="s">
        <v>2743</v>
      </c>
    </row>
    <row r="284" spans="1:32">
      <c r="A284" t="s">
        <v>2744</v>
      </c>
      <c r="B284" t="s">
        <v>2745</v>
      </c>
      <c r="C284" t="s">
        <v>2746</v>
      </c>
      <c r="D284" t="s">
        <v>2747</v>
      </c>
      <c r="F284" t="s">
        <v>2680</v>
      </c>
      <c r="H284" t="s">
        <v>2733</v>
      </c>
      <c r="J284" t="s">
        <v>8</v>
      </c>
      <c r="K284" t="s">
        <v>3</v>
      </c>
      <c r="L284" t="s">
        <v>3</v>
      </c>
      <c r="M284" t="s">
        <v>122</v>
      </c>
      <c r="N284" t="s">
        <v>3</v>
      </c>
      <c r="O284" t="s">
        <v>3</v>
      </c>
      <c r="P284" t="s">
        <v>3</v>
      </c>
      <c r="Q284" t="s">
        <v>8</v>
      </c>
      <c r="R284" t="s">
        <v>122</v>
      </c>
      <c r="S284" t="s">
        <v>8</v>
      </c>
      <c r="T284" t="s">
        <v>2744</v>
      </c>
      <c r="U284" t="s">
        <v>3</v>
      </c>
      <c r="V284" t="s">
        <v>3</v>
      </c>
      <c r="W284" t="s">
        <v>1038</v>
      </c>
      <c r="AA284" t="s">
        <v>8</v>
      </c>
      <c r="AB284" t="s">
        <v>3</v>
      </c>
      <c r="AC284" t="s">
        <v>3</v>
      </c>
      <c r="AD284" t="s">
        <v>8</v>
      </c>
      <c r="AE284" t="s">
        <v>111</v>
      </c>
      <c r="AF284" t="s">
        <v>2748</v>
      </c>
    </row>
    <row r="285" spans="1:32">
      <c r="A285" t="s">
        <v>2749</v>
      </c>
      <c r="B285" t="s">
        <v>2750</v>
      </c>
      <c r="C285" t="s">
        <v>2751</v>
      </c>
      <c r="D285" t="s">
        <v>2752</v>
      </c>
      <c r="F285" t="s">
        <v>2680</v>
      </c>
      <c r="H285" t="s">
        <v>2681</v>
      </c>
      <c r="J285" t="s">
        <v>8</v>
      </c>
      <c r="K285" t="s">
        <v>3</v>
      </c>
      <c r="L285" t="s">
        <v>3</v>
      </c>
      <c r="M285" t="s">
        <v>122</v>
      </c>
      <c r="N285" t="s">
        <v>3</v>
      </c>
      <c r="O285" t="s">
        <v>3</v>
      </c>
      <c r="P285" t="s">
        <v>3</v>
      </c>
      <c r="Q285" t="s">
        <v>8</v>
      </c>
      <c r="R285" t="s">
        <v>122</v>
      </c>
      <c r="S285" t="s">
        <v>8</v>
      </c>
      <c r="T285" t="s">
        <v>2749</v>
      </c>
      <c r="U285" t="s">
        <v>3</v>
      </c>
      <c r="V285" t="s">
        <v>3</v>
      </c>
      <c r="W285" t="s">
        <v>769</v>
      </c>
      <c r="AA285" t="s">
        <v>3</v>
      </c>
      <c r="AB285" t="s">
        <v>3</v>
      </c>
      <c r="AC285" t="s">
        <v>3</v>
      </c>
      <c r="AD285" t="s">
        <v>8</v>
      </c>
      <c r="AE285" t="s">
        <v>111</v>
      </c>
      <c r="AF285" t="s">
        <v>2753</v>
      </c>
    </row>
    <row r="286" spans="1:32">
      <c r="A286" t="s">
        <v>117</v>
      </c>
      <c r="B286" t="s">
        <v>2754</v>
      </c>
      <c r="C286" t="s">
        <v>2755</v>
      </c>
      <c r="D286" t="s">
        <v>2756</v>
      </c>
      <c r="F286" t="s">
        <v>2757</v>
      </c>
      <c r="H286" t="s">
        <v>2758</v>
      </c>
      <c r="J286" t="s">
        <v>8</v>
      </c>
      <c r="K286" t="s">
        <v>3</v>
      </c>
      <c r="L286" t="s">
        <v>3</v>
      </c>
      <c r="M286" t="s">
        <v>122</v>
      </c>
      <c r="N286" t="s">
        <v>3</v>
      </c>
      <c r="O286" t="s">
        <v>3</v>
      </c>
      <c r="P286" t="s">
        <v>3</v>
      </c>
      <c r="Q286" t="s">
        <v>8</v>
      </c>
      <c r="R286" t="s">
        <v>122</v>
      </c>
      <c r="S286" t="s">
        <v>8</v>
      </c>
      <c r="T286" t="s">
        <v>117</v>
      </c>
      <c r="U286" t="s">
        <v>3</v>
      </c>
      <c r="V286" t="s">
        <v>3</v>
      </c>
      <c r="W286" t="s">
        <v>767</v>
      </c>
      <c r="AA286" t="s">
        <v>3</v>
      </c>
      <c r="AB286" t="s">
        <v>3</v>
      </c>
      <c r="AC286" t="s">
        <v>3</v>
      </c>
      <c r="AD286" t="s">
        <v>8</v>
      </c>
      <c r="AE286" t="s">
        <v>111</v>
      </c>
      <c r="AF286" t="s">
        <v>2759</v>
      </c>
    </row>
    <row r="287" spans="1:32">
      <c r="A287" t="s">
        <v>2760</v>
      </c>
      <c r="B287" t="s">
        <v>2761</v>
      </c>
      <c r="C287" t="s">
        <v>2762</v>
      </c>
      <c r="D287" t="s">
        <v>2763</v>
      </c>
      <c r="F287" t="s">
        <v>2757</v>
      </c>
      <c r="H287" t="s">
        <v>2758</v>
      </c>
      <c r="J287" t="s">
        <v>8</v>
      </c>
      <c r="K287" t="s">
        <v>3</v>
      </c>
      <c r="L287" t="s">
        <v>3</v>
      </c>
      <c r="M287" t="s">
        <v>122</v>
      </c>
      <c r="N287" t="s">
        <v>3</v>
      </c>
      <c r="O287" t="s">
        <v>3</v>
      </c>
      <c r="P287" t="s">
        <v>3</v>
      </c>
      <c r="Q287" t="s">
        <v>8</v>
      </c>
      <c r="R287" t="s">
        <v>122</v>
      </c>
      <c r="S287" t="s">
        <v>8</v>
      </c>
      <c r="T287" t="s">
        <v>2760</v>
      </c>
      <c r="U287" t="s">
        <v>3</v>
      </c>
      <c r="V287" t="s">
        <v>3</v>
      </c>
      <c r="W287" t="s">
        <v>767</v>
      </c>
      <c r="AA287" t="s">
        <v>3</v>
      </c>
      <c r="AB287" t="s">
        <v>3</v>
      </c>
      <c r="AC287" t="s">
        <v>3</v>
      </c>
      <c r="AD287" t="s">
        <v>8</v>
      </c>
      <c r="AE287" t="s">
        <v>111</v>
      </c>
      <c r="AF287" t="s">
        <v>2764</v>
      </c>
    </row>
    <row r="288" spans="1:32">
      <c r="A288" t="s">
        <v>2765</v>
      </c>
      <c r="B288" t="s">
        <v>2766</v>
      </c>
      <c r="C288" t="s">
        <v>2767</v>
      </c>
      <c r="D288" t="s">
        <v>2768</v>
      </c>
      <c r="F288" t="s">
        <v>2769</v>
      </c>
      <c r="H288" t="s">
        <v>2758</v>
      </c>
      <c r="J288" t="s">
        <v>8</v>
      </c>
      <c r="K288" t="s">
        <v>3</v>
      </c>
      <c r="L288" t="s">
        <v>3</v>
      </c>
      <c r="M288" t="s">
        <v>122</v>
      </c>
      <c r="N288" t="s">
        <v>3</v>
      </c>
      <c r="O288" t="s">
        <v>3</v>
      </c>
      <c r="P288" t="s">
        <v>3</v>
      </c>
      <c r="Q288" t="s">
        <v>8</v>
      </c>
      <c r="R288" t="s">
        <v>122</v>
      </c>
      <c r="S288" t="s">
        <v>8</v>
      </c>
      <c r="T288" t="s">
        <v>2765</v>
      </c>
      <c r="U288" t="s">
        <v>3</v>
      </c>
      <c r="V288" t="s">
        <v>3</v>
      </c>
      <c r="W288" t="s">
        <v>744</v>
      </c>
      <c r="AA288" t="s">
        <v>3</v>
      </c>
      <c r="AB288" t="s">
        <v>8</v>
      </c>
      <c r="AC288" t="s">
        <v>3</v>
      </c>
      <c r="AD288" t="s">
        <v>8</v>
      </c>
      <c r="AE288" t="s">
        <v>111</v>
      </c>
      <c r="AF288" t="s">
        <v>2770</v>
      </c>
    </row>
    <row r="289" spans="1:32">
      <c r="A289" t="s">
        <v>119</v>
      </c>
      <c r="B289" t="s">
        <v>2771</v>
      </c>
      <c r="C289" t="s">
        <v>2772</v>
      </c>
      <c r="D289" t="s">
        <v>2773</v>
      </c>
      <c r="F289" t="s">
        <v>2769</v>
      </c>
      <c r="H289" t="s">
        <v>2758</v>
      </c>
      <c r="J289" t="s">
        <v>8</v>
      </c>
      <c r="K289" t="s">
        <v>3</v>
      </c>
      <c r="L289" t="s">
        <v>3</v>
      </c>
      <c r="M289" t="s">
        <v>122</v>
      </c>
      <c r="N289" t="s">
        <v>3</v>
      </c>
      <c r="O289" t="s">
        <v>3</v>
      </c>
      <c r="P289" t="s">
        <v>3</v>
      </c>
      <c r="Q289" t="s">
        <v>8</v>
      </c>
      <c r="R289" t="s">
        <v>122</v>
      </c>
      <c r="S289" t="s">
        <v>8</v>
      </c>
      <c r="T289" t="s">
        <v>119</v>
      </c>
      <c r="U289" t="s">
        <v>3</v>
      </c>
      <c r="V289" t="s">
        <v>3</v>
      </c>
      <c r="W289" t="s">
        <v>767</v>
      </c>
      <c r="AA289" t="s">
        <v>8</v>
      </c>
      <c r="AB289" t="s">
        <v>8</v>
      </c>
      <c r="AC289" t="s">
        <v>3</v>
      </c>
      <c r="AD289" t="s">
        <v>8</v>
      </c>
      <c r="AE289" t="s">
        <v>111</v>
      </c>
      <c r="AF289" t="s">
        <v>2774</v>
      </c>
    </row>
    <row r="290" spans="1:32">
      <c r="A290" t="s">
        <v>2775</v>
      </c>
      <c r="B290" t="s">
        <v>2761</v>
      </c>
      <c r="C290" t="s">
        <v>2762</v>
      </c>
      <c r="D290" t="s">
        <v>2776</v>
      </c>
      <c r="F290" t="s">
        <v>2769</v>
      </c>
      <c r="H290" t="s">
        <v>2758</v>
      </c>
      <c r="J290" t="s">
        <v>8</v>
      </c>
      <c r="K290" t="s">
        <v>3</v>
      </c>
      <c r="L290" t="s">
        <v>3</v>
      </c>
      <c r="M290" t="s">
        <v>122</v>
      </c>
      <c r="N290" t="s">
        <v>3</v>
      </c>
      <c r="O290" t="s">
        <v>3</v>
      </c>
      <c r="P290" t="s">
        <v>3</v>
      </c>
      <c r="Q290" t="s">
        <v>8</v>
      </c>
      <c r="R290" t="s">
        <v>122</v>
      </c>
      <c r="S290" t="s">
        <v>8</v>
      </c>
      <c r="T290" t="s">
        <v>2775</v>
      </c>
      <c r="U290" t="s">
        <v>3</v>
      </c>
      <c r="V290" t="s">
        <v>3</v>
      </c>
      <c r="W290" t="s">
        <v>767</v>
      </c>
      <c r="AA290" t="s">
        <v>3</v>
      </c>
      <c r="AB290" t="s">
        <v>8</v>
      </c>
      <c r="AC290" t="s">
        <v>3</v>
      </c>
      <c r="AD290" t="s">
        <v>8</v>
      </c>
      <c r="AE290" t="s">
        <v>111</v>
      </c>
      <c r="AF290" t="s">
        <v>2777</v>
      </c>
    </row>
    <row r="291" spans="1:32">
      <c r="A291" t="s">
        <v>2778</v>
      </c>
      <c r="B291" t="s">
        <v>2779</v>
      </c>
      <c r="C291" t="s">
        <v>2780</v>
      </c>
      <c r="D291" t="s">
        <v>2781</v>
      </c>
      <c r="E291" t="s">
        <v>1535</v>
      </c>
      <c r="F291" t="s">
        <v>2782</v>
      </c>
      <c r="H291" t="s">
        <v>2783</v>
      </c>
      <c r="I291" t="s">
        <v>2783</v>
      </c>
      <c r="J291" t="s">
        <v>8</v>
      </c>
      <c r="K291" t="s">
        <v>3</v>
      </c>
      <c r="L291" t="s">
        <v>3</v>
      </c>
      <c r="M291" t="s">
        <v>122</v>
      </c>
      <c r="N291" t="s">
        <v>3</v>
      </c>
      <c r="O291" t="s">
        <v>3</v>
      </c>
      <c r="P291" t="s">
        <v>3</v>
      </c>
      <c r="Q291" t="s">
        <v>8</v>
      </c>
      <c r="R291" t="s">
        <v>122</v>
      </c>
      <c r="S291" t="s">
        <v>8</v>
      </c>
      <c r="T291" t="s">
        <v>2778</v>
      </c>
      <c r="U291" t="s">
        <v>3</v>
      </c>
      <c r="V291" t="s">
        <v>3</v>
      </c>
      <c r="W291" t="s">
        <v>161</v>
      </c>
      <c r="AA291" t="s">
        <v>8</v>
      </c>
      <c r="AB291" t="s">
        <v>8</v>
      </c>
      <c r="AC291" t="s">
        <v>3</v>
      </c>
      <c r="AD291" t="s">
        <v>8</v>
      </c>
      <c r="AE291" t="s">
        <v>111</v>
      </c>
      <c r="AF291" t="s">
        <v>2784</v>
      </c>
    </row>
    <row r="292" spans="1:32">
      <c r="A292" t="s">
        <v>2785</v>
      </c>
      <c r="B292" t="s">
        <v>2786</v>
      </c>
      <c r="C292" t="s">
        <v>2787</v>
      </c>
      <c r="D292" t="s">
        <v>2788</v>
      </c>
      <c r="E292" t="s">
        <v>1535</v>
      </c>
      <c r="F292" t="s">
        <v>2782</v>
      </c>
      <c r="H292" t="s">
        <v>2783</v>
      </c>
      <c r="I292" t="s">
        <v>2783</v>
      </c>
      <c r="J292" t="s">
        <v>8</v>
      </c>
      <c r="K292" t="s">
        <v>3</v>
      </c>
      <c r="L292" t="s">
        <v>3</v>
      </c>
      <c r="M292" t="s">
        <v>122</v>
      </c>
      <c r="N292" t="s">
        <v>3</v>
      </c>
      <c r="O292" t="s">
        <v>3</v>
      </c>
      <c r="P292" t="s">
        <v>3</v>
      </c>
      <c r="Q292" t="s">
        <v>8</v>
      </c>
      <c r="R292" t="s">
        <v>122</v>
      </c>
      <c r="S292" t="s">
        <v>8</v>
      </c>
      <c r="T292" t="s">
        <v>2785</v>
      </c>
      <c r="U292" t="s">
        <v>3</v>
      </c>
      <c r="V292" t="s">
        <v>3</v>
      </c>
      <c r="W292" t="s">
        <v>161</v>
      </c>
      <c r="AA292" t="s">
        <v>8</v>
      </c>
      <c r="AB292" t="s">
        <v>8</v>
      </c>
      <c r="AC292" t="s">
        <v>3</v>
      </c>
      <c r="AD292" t="s">
        <v>8</v>
      </c>
      <c r="AE292" t="s">
        <v>111</v>
      </c>
      <c r="AF292" t="s">
        <v>2789</v>
      </c>
    </row>
    <row r="293" spans="1:32">
      <c r="A293" t="s">
        <v>2790</v>
      </c>
      <c r="B293" t="s">
        <v>2779</v>
      </c>
      <c r="C293" t="s">
        <v>2780</v>
      </c>
      <c r="D293" t="s">
        <v>2781</v>
      </c>
      <c r="E293" t="s">
        <v>1535</v>
      </c>
      <c r="F293" t="s">
        <v>2782</v>
      </c>
      <c r="H293" t="s">
        <v>2783</v>
      </c>
      <c r="I293" t="s">
        <v>2783</v>
      </c>
      <c r="J293" t="s">
        <v>8</v>
      </c>
      <c r="K293" t="s">
        <v>3</v>
      </c>
      <c r="L293" t="s">
        <v>3</v>
      </c>
      <c r="M293" t="s">
        <v>122</v>
      </c>
      <c r="N293" t="s">
        <v>3</v>
      </c>
      <c r="O293" t="s">
        <v>3</v>
      </c>
      <c r="P293" t="s">
        <v>3</v>
      </c>
      <c r="Q293" t="s">
        <v>8</v>
      </c>
      <c r="R293" t="s">
        <v>122</v>
      </c>
      <c r="S293" t="s">
        <v>8</v>
      </c>
      <c r="T293" t="s">
        <v>2790</v>
      </c>
      <c r="U293" t="s">
        <v>3</v>
      </c>
      <c r="V293" t="s">
        <v>3</v>
      </c>
      <c r="W293" t="s">
        <v>1548</v>
      </c>
      <c r="AA293" t="s">
        <v>8</v>
      </c>
      <c r="AB293" t="s">
        <v>8</v>
      </c>
      <c r="AC293" t="s">
        <v>3</v>
      </c>
      <c r="AD293" t="s">
        <v>8</v>
      </c>
      <c r="AE293" t="s">
        <v>111</v>
      </c>
      <c r="AF293" t="s">
        <v>2791</v>
      </c>
    </row>
    <row r="294" spans="1:32">
      <c r="A294" t="s">
        <v>126</v>
      </c>
      <c r="B294" t="s">
        <v>30</v>
      </c>
      <c r="C294" t="s">
        <v>2792</v>
      </c>
      <c r="D294" t="s">
        <v>30</v>
      </c>
      <c r="E294" t="s">
        <v>2793</v>
      </c>
      <c r="F294" t="s">
        <v>2794</v>
      </c>
      <c r="H294" t="s">
        <v>2795</v>
      </c>
      <c r="I294" t="s">
        <v>2796</v>
      </c>
      <c r="J294" t="s">
        <v>8</v>
      </c>
      <c r="K294" t="s">
        <v>3</v>
      </c>
      <c r="L294" t="s">
        <v>3</v>
      </c>
      <c r="M294" t="s">
        <v>122</v>
      </c>
      <c r="N294" t="s">
        <v>3</v>
      </c>
      <c r="O294" t="s">
        <v>3</v>
      </c>
      <c r="P294" t="s">
        <v>3</v>
      </c>
      <c r="Q294" t="s">
        <v>8</v>
      </c>
      <c r="R294" t="s">
        <v>122</v>
      </c>
      <c r="S294" t="s">
        <v>8</v>
      </c>
      <c r="T294" t="s">
        <v>126</v>
      </c>
      <c r="U294" t="s">
        <v>3</v>
      </c>
      <c r="V294" t="s">
        <v>3</v>
      </c>
      <c r="W294" t="s">
        <v>2797</v>
      </c>
      <c r="X294" t="s">
        <v>1039</v>
      </c>
      <c r="Y294" t="s">
        <v>2798</v>
      </c>
      <c r="Z294" t="s">
        <v>1554</v>
      </c>
      <c r="AA294" t="s">
        <v>3</v>
      </c>
      <c r="AB294" t="s">
        <v>8</v>
      </c>
      <c r="AC294" t="s">
        <v>3</v>
      </c>
      <c r="AD294" t="s">
        <v>8</v>
      </c>
      <c r="AE294" t="s">
        <v>111</v>
      </c>
      <c r="AF294" t="s">
        <v>2799</v>
      </c>
    </row>
    <row r="295" spans="1:32">
      <c r="A295" t="s">
        <v>2800</v>
      </c>
      <c r="B295" t="s">
        <v>2801</v>
      </c>
      <c r="C295" t="s">
        <v>2802</v>
      </c>
      <c r="D295" t="s">
        <v>2801</v>
      </c>
      <c r="E295" t="s">
        <v>2803</v>
      </c>
      <c r="F295" t="s">
        <v>2804</v>
      </c>
      <c r="H295" t="s">
        <v>2795</v>
      </c>
      <c r="I295" t="s">
        <v>2796</v>
      </c>
      <c r="J295" t="s">
        <v>8</v>
      </c>
      <c r="K295" t="s">
        <v>3</v>
      </c>
      <c r="L295" t="s">
        <v>3</v>
      </c>
      <c r="M295" t="s">
        <v>122</v>
      </c>
      <c r="N295" t="s">
        <v>3</v>
      </c>
      <c r="O295" t="s">
        <v>3</v>
      </c>
      <c r="P295" t="s">
        <v>3</v>
      </c>
      <c r="Q295" t="s">
        <v>8</v>
      </c>
      <c r="R295" t="s">
        <v>122</v>
      </c>
      <c r="S295" t="s">
        <v>8</v>
      </c>
      <c r="T295" t="s">
        <v>2800</v>
      </c>
      <c r="U295" t="s">
        <v>3</v>
      </c>
      <c r="V295" t="s">
        <v>3</v>
      </c>
      <c r="W295" t="s">
        <v>2805</v>
      </c>
      <c r="AA295" t="s">
        <v>3</v>
      </c>
      <c r="AB295" t="s">
        <v>8</v>
      </c>
      <c r="AC295" t="s">
        <v>3</v>
      </c>
      <c r="AD295" t="s">
        <v>8</v>
      </c>
      <c r="AE295" t="s">
        <v>111</v>
      </c>
      <c r="AF295" t="s">
        <v>2806</v>
      </c>
    </row>
    <row r="296" spans="1:32">
      <c r="A296" t="s">
        <v>2807</v>
      </c>
      <c r="B296" t="s">
        <v>2808</v>
      </c>
      <c r="C296" t="s">
        <v>2809</v>
      </c>
      <c r="D296" t="s">
        <v>2810</v>
      </c>
      <c r="E296" t="s">
        <v>2811</v>
      </c>
      <c r="F296" t="s">
        <v>2812</v>
      </c>
      <c r="H296" t="s">
        <v>2813</v>
      </c>
      <c r="I296" t="s">
        <v>2814</v>
      </c>
      <c r="J296" t="s">
        <v>8</v>
      </c>
      <c r="K296" t="s">
        <v>3</v>
      </c>
      <c r="L296" t="s">
        <v>3</v>
      </c>
      <c r="M296" t="s">
        <v>122</v>
      </c>
      <c r="N296" t="s">
        <v>3</v>
      </c>
      <c r="O296" t="s">
        <v>3</v>
      </c>
      <c r="P296" t="s">
        <v>3</v>
      </c>
      <c r="Q296" t="s">
        <v>8</v>
      </c>
      <c r="R296" t="s">
        <v>122</v>
      </c>
      <c r="S296" t="s">
        <v>8</v>
      </c>
      <c r="T296" t="s">
        <v>2807</v>
      </c>
      <c r="U296" t="s">
        <v>3</v>
      </c>
      <c r="V296" t="s">
        <v>3</v>
      </c>
      <c r="W296" t="s">
        <v>401</v>
      </c>
      <c r="AA296" t="s">
        <v>8</v>
      </c>
      <c r="AB296" t="s">
        <v>8</v>
      </c>
      <c r="AC296" t="s">
        <v>3</v>
      </c>
      <c r="AD296" t="s">
        <v>8</v>
      </c>
      <c r="AE296" t="s">
        <v>111</v>
      </c>
      <c r="AF296" t="s">
        <v>2815</v>
      </c>
    </row>
    <row r="297" spans="1:32">
      <c r="A297" t="s">
        <v>2816</v>
      </c>
      <c r="B297" t="s">
        <v>2817</v>
      </c>
      <c r="C297" t="s">
        <v>2818</v>
      </c>
      <c r="D297" t="s">
        <v>2817</v>
      </c>
      <c r="E297" t="s">
        <v>2609</v>
      </c>
      <c r="F297" t="s">
        <v>2819</v>
      </c>
      <c r="H297" t="s">
        <v>2820</v>
      </c>
      <c r="J297" t="s">
        <v>8</v>
      </c>
      <c r="K297" t="s">
        <v>3</v>
      </c>
      <c r="L297" t="s">
        <v>3</v>
      </c>
      <c r="M297" t="s">
        <v>122</v>
      </c>
      <c r="N297" t="s">
        <v>3</v>
      </c>
      <c r="O297" t="s">
        <v>3</v>
      </c>
      <c r="P297" t="s">
        <v>3</v>
      </c>
      <c r="Q297" t="s">
        <v>8</v>
      </c>
      <c r="R297" t="s">
        <v>122</v>
      </c>
      <c r="S297" t="s">
        <v>8</v>
      </c>
      <c r="T297" t="s">
        <v>2816</v>
      </c>
      <c r="U297" t="s">
        <v>3</v>
      </c>
      <c r="V297" t="s">
        <v>3</v>
      </c>
      <c r="W297" t="s">
        <v>264</v>
      </c>
      <c r="AA297" t="s">
        <v>3</v>
      </c>
      <c r="AB297" t="s">
        <v>8</v>
      </c>
      <c r="AC297" t="s">
        <v>3</v>
      </c>
      <c r="AD297" t="s">
        <v>8</v>
      </c>
      <c r="AE297" t="s">
        <v>84</v>
      </c>
      <c r="AF297" t="s">
        <v>2821</v>
      </c>
    </row>
    <row r="298" spans="1:32">
      <c r="A298" t="s">
        <v>2822</v>
      </c>
      <c r="B298" t="s">
        <v>2817</v>
      </c>
      <c r="C298" t="s">
        <v>2818</v>
      </c>
      <c r="D298" t="s">
        <v>2817</v>
      </c>
      <c r="E298" t="s">
        <v>2609</v>
      </c>
      <c r="F298" t="s">
        <v>2823</v>
      </c>
      <c r="H298" t="s">
        <v>2820</v>
      </c>
      <c r="J298" t="s">
        <v>8</v>
      </c>
      <c r="K298" t="s">
        <v>3</v>
      </c>
      <c r="L298" t="s">
        <v>3</v>
      </c>
      <c r="M298" t="s">
        <v>122</v>
      </c>
      <c r="N298" t="s">
        <v>3</v>
      </c>
      <c r="O298" t="s">
        <v>3</v>
      </c>
      <c r="P298" t="s">
        <v>3</v>
      </c>
      <c r="Q298" t="s">
        <v>8</v>
      </c>
      <c r="R298" t="s">
        <v>122</v>
      </c>
      <c r="S298" t="s">
        <v>8</v>
      </c>
      <c r="T298" t="s">
        <v>2822</v>
      </c>
      <c r="U298" t="s">
        <v>3</v>
      </c>
      <c r="V298" t="s">
        <v>3</v>
      </c>
      <c r="W298" t="s">
        <v>266</v>
      </c>
      <c r="AA298" t="s">
        <v>3</v>
      </c>
      <c r="AB298" t="s">
        <v>8</v>
      </c>
      <c r="AC298" t="s">
        <v>3</v>
      </c>
      <c r="AD298" t="s">
        <v>8</v>
      </c>
      <c r="AE298" t="s">
        <v>84</v>
      </c>
      <c r="AF298" t="s">
        <v>2824</v>
      </c>
    </row>
    <row r="299" spans="1:32">
      <c r="A299" t="s">
        <v>2825</v>
      </c>
      <c r="B299" t="s">
        <v>2826</v>
      </c>
      <c r="C299" t="s">
        <v>2827</v>
      </c>
      <c r="D299" t="s">
        <v>2828</v>
      </c>
      <c r="E299" t="s">
        <v>2609</v>
      </c>
      <c r="F299" t="s">
        <v>2819</v>
      </c>
      <c r="H299" t="s">
        <v>2820</v>
      </c>
      <c r="J299" t="s">
        <v>8</v>
      </c>
      <c r="K299" t="s">
        <v>3</v>
      </c>
      <c r="L299" t="s">
        <v>3</v>
      </c>
      <c r="M299" t="s">
        <v>122</v>
      </c>
      <c r="N299" t="s">
        <v>3</v>
      </c>
      <c r="O299" t="s">
        <v>3</v>
      </c>
      <c r="P299" t="s">
        <v>3</v>
      </c>
      <c r="Q299" t="s">
        <v>8</v>
      </c>
      <c r="R299" t="s">
        <v>122</v>
      </c>
      <c r="S299" t="s">
        <v>8</v>
      </c>
      <c r="T299" t="s">
        <v>2825</v>
      </c>
      <c r="U299" t="s">
        <v>3</v>
      </c>
      <c r="V299" t="s">
        <v>3</v>
      </c>
      <c r="W299" t="s">
        <v>3</v>
      </c>
      <c r="AA299" t="s">
        <v>3</v>
      </c>
      <c r="AB299" t="s">
        <v>8</v>
      </c>
      <c r="AC299" t="s">
        <v>3</v>
      </c>
      <c r="AD299" t="s">
        <v>8</v>
      </c>
      <c r="AE299" t="s">
        <v>84</v>
      </c>
      <c r="AF299" t="s">
        <v>2829</v>
      </c>
    </row>
    <row r="300" spans="1:32">
      <c r="A300" t="s">
        <v>2830</v>
      </c>
      <c r="B300" t="s">
        <v>2831</v>
      </c>
      <c r="C300" t="s">
        <v>2832</v>
      </c>
      <c r="D300" t="s">
        <v>2831</v>
      </c>
      <c r="E300" t="s">
        <v>2833</v>
      </c>
      <c r="F300" t="s">
        <v>2834</v>
      </c>
      <c r="H300" t="s">
        <v>2835</v>
      </c>
      <c r="J300" t="s">
        <v>8</v>
      </c>
      <c r="K300" t="s">
        <v>3</v>
      </c>
      <c r="L300" t="s">
        <v>3</v>
      </c>
      <c r="M300" t="s">
        <v>122</v>
      </c>
      <c r="N300" t="s">
        <v>3</v>
      </c>
      <c r="O300" t="s">
        <v>3</v>
      </c>
      <c r="P300" t="s">
        <v>3</v>
      </c>
      <c r="Q300" t="s">
        <v>8</v>
      </c>
      <c r="R300" t="s">
        <v>122</v>
      </c>
      <c r="S300" t="s">
        <v>8</v>
      </c>
      <c r="T300" t="s">
        <v>2830</v>
      </c>
      <c r="U300" t="s">
        <v>3</v>
      </c>
      <c r="V300" t="s">
        <v>3</v>
      </c>
      <c r="W300" t="s">
        <v>264</v>
      </c>
      <c r="AA300" t="s">
        <v>3</v>
      </c>
      <c r="AB300" t="s">
        <v>8</v>
      </c>
      <c r="AC300" t="s">
        <v>3</v>
      </c>
      <c r="AD300" t="s">
        <v>8</v>
      </c>
      <c r="AE300" t="s">
        <v>111</v>
      </c>
      <c r="AF300" t="s">
        <v>2836</v>
      </c>
    </row>
    <row r="301" spans="1:32">
      <c r="A301" t="s">
        <v>2837</v>
      </c>
      <c r="B301" t="s">
        <v>2838</v>
      </c>
      <c r="C301" t="s">
        <v>2839</v>
      </c>
      <c r="D301" t="s">
        <v>2838</v>
      </c>
      <c r="E301" t="s">
        <v>2840</v>
      </c>
      <c r="F301" t="s">
        <v>2841</v>
      </c>
      <c r="H301" t="s">
        <v>2842</v>
      </c>
      <c r="J301" t="s">
        <v>8</v>
      </c>
      <c r="K301" t="s">
        <v>3</v>
      </c>
      <c r="L301" t="s">
        <v>3</v>
      </c>
      <c r="M301" t="s">
        <v>122</v>
      </c>
      <c r="N301" t="s">
        <v>3</v>
      </c>
      <c r="O301" t="s">
        <v>3</v>
      </c>
      <c r="P301" t="s">
        <v>3</v>
      </c>
      <c r="Q301" t="s">
        <v>8</v>
      </c>
      <c r="R301" t="s">
        <v>122</v>
      </c>
      <c r="S301" t="s">
        <v>8</v>
      </c>
      <c r="T301" t="s">
        <v>2837</v>
      </c>
      <c r="U301" t="s">
        <v>3</v>
      </c>
      <c r="V301" t="s">
        <v>3</v>
      </c>
      <c r="W301" t="s">
        <v>2843</v>
      </c>
      <c r="AA301" t="s">
        <v>3</v>
      </c>
      <c r="AB301" t="s">
        <v>8</v>
      </c>
      <c r="AC301" t="s">
        <v>3</v>
      </c>
      <c r="AD301" t="s">
        <v>8</v>
      </c>
      <c r="AE301" t="s">
        <v>67</v>
      </c>
      <c r="AF301" t="s">
        <v>2844</v>
      </c>
    </row>
    <row r="302" spans="1:32">
      <c r="A302" t="s">
        <v>125</v>
      </c>
      <c r="B302" t="s">
        <v>29</v>
      </c>
      <c r="C302" t="s">
        <v>2845</v>
      </c>
      <c r="D302" t="s">
        <v>29</v>
      </c>
      <c r="E302" t="s">
        <v>2846</v>
      </c>
      <c r="F302" t="s">
        <v>2847</v>
      </c>
      <c r="H302" t="s">
        <v>2848</v>
      </c>
      <c r="I302" t="s">
        <v>2849</v>
      </c>
      <c r="J302" t="s">
        <v>8</v>
      </c>
      <c r="K302" t="s">
        <v>3</v>
      </c>
      <c r="L302" t="s">
        <v>3</v>
      </c>
      <c r="M302" t="s">
        <v>122</v>
      </c>
      <c r="N302" t="s">
        <v>3</v>
      </c>
      <c r="O302" t="s">
        <v>3</v>
      </c>
      <c r="P302" t="s">
        <v>3</v>
      </c>
      <c r="Q302" t="s">
        <v>8</v>
      </c>
      <c r="R302" t="s">
        <v>122</v>
      </c>
      <c r="S302" t="s">
        <v>8</v>
      </c>
      <c r="T302" t="s">
        <v>125</v>
      </c>
      <c r="U302" t="s">
        <v>3</v>
      </c>
      <c r="V302" t="s">
        <v>3</v>
      </c>
      <c r="W302" t="s">
        <v>2850</v>
      </c>
      <c r="X302" t="s">
        <v>1039</v>
      </c>
      <c r="Y302" t="s">
        <v>2851</v>
      </c>
      <c r="AA302" t="s">
        <v>8</v>
      </c>
      <c r="AB302" t="s">
        <v>8</v>
      </c>
      <c r="AC302" t="s">
        <v>3</v>
      </c>
      <c r="AD302" t="s">
        <v>8</v>
      </c>
      <c r="AE302" t="s">
        <v>111</v>
      </c>
      <c r="AF302" t="s">
        <v>2852</v>
      </c>
    </row>
    <row r="303" spans="1:32">
      <c r="A303" t="s">
        <v>2853</v>
      </c>
      <c r="B303" t="s">
        <v>2854</v>
      </c>
      <c r="C303" t="s">
        <v>2855</v>
      </c>
      <c r="D303" t="s">
        <v>2854</v>
      </c>
      <c r="E303" t="s">
        <v>2846</v>
      </c>
      <c r="F303" t="s">
        <v>2847</v>
      </c>
      <c r="J303" t="s">
        <v>8</v>
      </c>
      <c r="K303" t="s">
        <v>3</v>
      </c>
      <c r="L303" t="s">
        <v>3</v>
      </c>
      <c r="M303" t="s">
        <v>122</v>
      </c>
      <c r="N303" t="s">
        <v>3</v>
      </c>
      <c r="O303" t="s">
        <v>3</v>
      </c>
      <c r="P303" t="s">
        <v>3</v>
      </c>
      <c r="Q303" t="s">
        <v>8</v>
      </c>
      <c r="R303" t="s">
        <v>122</v>
      </c>
      <c r="S303" t="s">
        <v>8</v>
      </c>
      <c r="T303" t="s">
        <v>2853</v>
      </c>
      <c r="U303" t="s">
        <v>3</v>
      </c>
      <c r="V303" t="s">
        <v>3</v>
      </c>
      <c r="W303" t="s">
        <v>2850</v>
      </c>
      <c r="AA303" t="s">
        <v>8</v>
      </c>
      <c r="AB303" t="s">
        <v>8</v>
      </c>
      <c r="AC303" t="s">
        <v>3</v>
      </c>
      <c r="AD303" t="s">
        <v>8</v>
      </c>
      <c r="AE303" t="s">
        <v>111</v>
      </c>
      <c r="AF303" t="s">
        <v>2856</v>
      </c>
    </row>
    <row r="304" spans="1:32">
      <c r="A304" t="s">
        <v>2857</v>
      </c>
      <c r="B304" t="s">
        <v>2858</v>
      </c>
      <c r="C304" t="s">
        <v>2859</v>
      </c>
      <c r="D304" t="s">
        <v>2860</v>
      </c>
      <c r="E304" t="s">
        <v>2846</v>
      </c>
      <c r="F304" t="s">
        <v>2847</v>
      </c>
      <c r="H304" t="s">
        <v>2861</v>
      </c>
      <c r="I304" t="s">
        <v>2849</v>
      </c>
      <c r="J304" t="s">
        <v>8</v>
      </c>
      <c r="K304" t="s">
        <v>3</v>
      </c>
      <c r="L304" t="s">
        <v>3</v>
      </c>
      <c r="M304" t="s">
        <v>122</v>
      </c>
      <c r="N304" t="s">
        <v>3</v>
      </c>
      <c r="O304" t="s">
        <v>3</v>
      </c>
      <c r="P304" t="s">
        <v>3</v>
      </c>
      <c r="Q304" t="s">
        <v>8</v>
      </c>
      <c r="R304" t="s">
        <v>122</v>
      </c>
      <c r="S304" t="s">
        <v>8</v>
      </c>
      <c r="T304" t="s">
        <v>2857</v>
      </c>
      <c r="U304" t="s">
        <v>3</v>
      </c>
      <c r="V304" t="s">
        <v>3</v>
      </c>
      <c r="W304" t="s">
        <v>2850</v>
      </c>
      <c r="AA304" t="s">
        <v>8</v>
      </c>
      <c r="AB304" t="s">
        <v>8</v>
      </c>
      <c r="AC304" t="s">
        <v>3</v>
      </c>
      <c r="AD304" t="s">
        <v>8</v>
      </c>
      <c r="AE304" t="s">
        <v>111</v>
      </c>
      <c r="AF304" t="s">
        <v>2862</v>
      </c>
    </row>
    <row r="305" spans="1:32">
      <c r="A305" t="s">
        <v>2863</v>
      </c>
      <c r="B305" t="s">
        <v>2864</v>
      </c>
      <c r="C305" t="s">
        <v>2865</v>
      </c>
      <c r="D305" t="s">
        <v>2866</v>
      </c>
      <c r="E305" t="s">
        <v>2846</v>
      </c>
      <c r="F305" t="s">
        <v>2847</v>
      </c>
      <c r="H305" t="s">
        <v>2848</v>
      </c>
      <c r="I305" t="s">
        <v>2849</v>
      </c>
      <c r="J305" t="s">
        <v>8</v>
      </c>
      <c r="K305" t="s">
        <v>3</v>
      </c>
      <c r="L305" t="s">
        <v>3</v>
      </c>
      <c r="M305" t="s">
        <v>122</v>
      </c>
      <c r="N305" t="s">
        <v>3</v>
      </c>
      <c r="O305" t="s">
        <v>3</v>
      </c>
      <c r="P305" t="s">
        <v>3</v>
      </c>
      <c r="Q305" t="s">
        <v>8</v>
      </c>
      <c r="R305" t="s">
        <v>122</v>
      </c>
      <c r="S305" t="s">
        <v>8</v>
      </c>
      <c r="T305" t="s">
        <v>2863</v>
      </c>
      <c r="U305" t="s">
        <v>3</v>
      </c>
      <c r="V305" t="s">
        <v>3</v>
      </c>
      <c r="W305" t="s">
        <v>2850</v>
      </c>
      <c r="Z305" t="s">
        <v>1554</v>
      </c>
      <c r="AA305" t="s">
        <v>8</v>
      </c>
      <c r="AB305" t="s">
        <v>8</v>
      </c>
      <c r="AC305" t="s">
        <v>3</v>
      </c>
      <c r="AD305" t="s">
        <v>8</v>
      </c>
      <c r="AE305" t="s">
        <v>111</v>
      </c>
      <c r="AF305" t="s">
        <v>2867</v>
      </c>
    </row>
    <row r="306" spans="1:32">
      <c r="A306" t="s">
        <v>2868</v>
      </c>
      <c r="B306" t="s">
        <v>2869</v>
      </c>
      <c r="C306" t="s">
        <v>2870</v>
      </c>
      <c r="D306" t="s">
        <v>2869</v>
      </c>
      <c r="E306" t="s">
        <v>2846</v>
      </c>
      <c r="F306" t="s">
        <v>2847</v>
      </c>
      <c r="H306" t="s">
        <v>2848</v>
      </c>
      <c r="I306" t="s">
        <v>2849</v>
      </c>
      <c r="J306" t="s">
        <v>8</v>
      </c>
      <c r="K306" t="s">
        <v>3</v>
      </c>
      <c r="L306" t="s">
        <v>3</v>
      </c>
      <c r="M306" t="s">
        <v>122</v>
      </c>
      <c r="N306" t="s">
        <v>3</v>
      </c>
      <c r="O306" t="s">
        <v>3</v>
      </c>
      <c r="P306" t="s">
        <v>3</v>
      </c>
      <c r="Q306" t="s">
        <v>8</v>
      </c>
      <c r="R306" t="s">
        <v>122</v>
      </c>
      <c r="S306" t="s">
        <v>8</v>
      </c>
      <c r="T306" t="s">
        <v>2868</v>
      </c>
      <c r="U306" t="s">
        <v>3</v>
      </c>
      <c r="V306" t="s">
        <v>3</v>
      </c>
      <c r="W306" t="s">
        <v>2850</v>
      </c>
      <c r="AA306" t="s">
        <v>8</v>
      </c>
      <c r="AB306" t="s">
        <v>8</v>
      </c>
      <c r="AC306" t="s">
        <v>3</v>
      </c>
      <c r="AD306" t="s">
        <v>8</v>
      </c>
      <c r="AE306" t="s">
        <v>111</v>
      </c>
      <c r="AF306" t="s">
        <v>2871</v>
      </c>
    </row>
    <row r="307" spans="1:32">
      <c r="A307" t="s">
        <v>2872</v>
      </c>
      <c r="B307" t="s">
        <v>2873</v>
      </c>
      <c r="C307" t="s">
        <v>2874</v>
      </c>
      <c r="D307" t="s">
        <v>2873</v>
      </c>
      <c r="E307" t="s">
        <v>2875</v>
      </c>
      <c r="F307" t="s">
        <v>2876</v>
      </c>
      <c r="H307" t="s">
        <v>2877</v>
      </c>
      <c r="I307" t="s">
        <v>2878</v>
      </c>
      <c r="J307" t="s">
        <v>8</v>
      </c>
      <c r="K307" t="s">
        <v>3</v>
      </c>
      <c r="L307" t="s">
        <v>3</v>
      </c>
      <c r="M307" t="s">
        <v>122</v>
      </c>
      <c r="N307" t="s">
        <v>3</v>
      </c>
      <c r="O307" t="s">
        <v>3</v>
      </c>
      <c r="P307" t="s">
        <v>3</v>
      </c>
      <c r="Q307" t="s">
        <v>8</v>
      </c>
      <c r="R307" t="s">
        <v>122</v>
      </c>
      <c r="S307" t="s">
        <v>8</v>
      </c>
      <c r="T307" t="s">
        <v>2872</v>
      </c>
      <c r="U307" t="s">
        <v>3</v>
      </c>
      <c r="V307" t="s">
        <v>3</v>
      </c>
      <c r="W307" t="s">
        <v>317</v>
      </c>
      <c r="AA307" t="s">
        <v>8</v>
      </c>
      <c r="AB307" t="s">
        <v>8</v>
      </c>
      <c r="AC307" t="s">
        <v>3</v>
      </c>
      <c r="AD307" t="s">
        <v>8</v>
      </c>
      <c r="AE307" t="s">
        <v>111</v>
      </c>
      <c r="AF307" t="s">
        <v>2879</v>
      </c>
    </row>
    <row r="308" spans="1:32">
      <c r="A308" t="s">
        <v>2880</v>
      </c>
      <c r="B308" t="s">
        <v>2881</v>
      </c>
      <c r="C308" t="s">
        <v>2882</v>
      </c>
      <c r="D308" t="s">
        <v>2883</v>
      </c>
      <c r="E308" t="s">
        <v>2875</v>
      </c>
      <c r="F308" t="s">
        <v>2884</v>
      </c>
      <c r="H308" t="s">
        <v>2877</v>
      </c>
      <c r="I308" t="s">
        <v>2878</v>
      </c>
      <c r="J308" t="s">
        <v>8</v>
      </c>
      <c r="K308" t="s">
        <v>3</v>
      </c>
      <c r="L308" t="s">
        <v>3</v>
      </c>
      <c r="M308" t="s">
        <v>122</v>
      </c>
      <c r="N308" t="s">
        <v>3</v>
      </c>
      <c r="O308" t="s">
        <v>3</v>
      </c>
      <c r="P308" t="s">
        <v>3</v>
      </c>
      <c r="Q308" t="s">
        <v>8</v>
      </c>
      <c r="R308" t="s">
        <v>122</v>
      </c>
      <c r="S308" t="s">
        <v>8</v>
      </c>
      <c r="T308" t="s">
        <v>2880</v>
      </c>
      <c r="U308" t="s">
        <v>3</v>
      </c>
      <c r="V308" t="s">
        <v>3</v>
      </c>
      <c r="W308" t="s">
        <v>320</v>
      </c>
      <c r="AA308" t="s">
        <v>8</v>
      </c>
      <c r="AB308" t="s">
        <v>8</v>
      </c>
      <c r="AC308" t="s">
        <v>3</v>
      </c>
      <c r="AD308" t="s">
        <v>8</v>
      </c>
      <c r="AE308" t="s">
        <v>111</v>
      </c>
      <c r="AF308" t="s">
        <v>2885</v>
      </c>
    </row>
    <row r="309" spans="1:32">
      <c r="A309" t="s">
        <v>2886</v>
      </c>
      <c r="B309" t="s">
        <v>2887</v>
      </c>
      <c r="C309" t="s">
        <v>2888</v>
      </c>
      <c r="D309" t="s">
        <v>2883</v>
      </c>
      <c r="E309" t="s">
        <v>2875</v>
      </c>
      <c r="F309" t="s">
        <v>2884</v>
      </c>
      <c r="H309" t="s">
        <v>2877</v>
      </c>
      <c r="I309" t="s">
        <v>2878</v>
      </c>
      <c r="J309" t="s">
        <v>8</v>
      </c>
      <c r="K309" t="s">
        <v>3</v>
      </c>
      <c r="L309" t="s">
        <v>3</v>
      </c>
      <c r="M309" t="s">
        <v>122</v>
      </c>
      <c r="N309" t="s">
        <v>3</v>
      </c>
      <c r="O309" t="s">
        <v>3</v>
      </c>
      <c r="P309" t="s">
        <v>3</v>
      </c>
      <c r="Q309" t="s">
        <v>8</v>
      </c>
      <c r="R309" t="s">
        <v>122</v>
      </c>
      <c r="S309" t="s">
        <v>8</v>
      </c>
      <c r="T309" t="s">
        <v>2886</v>
      </c>
      <c r="U309" t="s">
        <v>3</v>
      </c>
      <c r="V309" t="s">
        <v>3</v>
      </c>
      <c r="W309" t="s">
        <v>320</v>
      </c>
      <c r="AA309" t="s">
        <v>8</v>
      </c>
      <c r="AB309" t="s">
        <v>3</v>
      </c>
      <c r="AC309" t="s">
        <v>3</v>
      </c>
      <c r="AD309" t="s">
        <v>8</v>
      </c>
      <c r="AE309" t="s">
        <v>111</v>
      </c>
      <c r="AF309" t="s">
        <v>2889</v>
      </c>
    </row>
    <row r="310" spans="1:32">
      <c r="A310" t="s">
        <v>2890</v>
      </c>
      <c r="B310" t="s">
        <v>2891</v>
      </c>
      <c r="C310" t="s">
        <v>2892</v>
      </c>
      <c r="D310" t="s">
        <v>2893</v>
      </c>
      <c r="E310" t="s">
        <v>2875</v>
      </c>
      <c r="F310" t="s">
        <v>2876</v>
      </c>
      <c r="H310" t="s">
        <v>2877</v>
      </c>
      <c r="I310" t="s">
        <v>2878</v>
      </c>
      <c r="J310" t="s">
        <v>8</v>
      </c>
      <c r="K310" t="s">
        <v>3</v>
      </c>
      <c r="L310" t="s">
        <v>3</v>
      </c>
      <c r="M310" t="s">
        <v>122</v>
      </c>
      <c r="N310" t="s">
        <v>3</v>
      </c>
      <c r="O310" t="s">
        <v>3</v>
      </c>
      <c r="P310" t="s">
        <v>3</v>
      </c>
      <c r="Q310" t="s">
        <v>8</v>
      </c>
      <c r="R310" t="s">
        <v>122</v>
      </c>
      <c r="S310" t="s">
        <v>8</v>
      </c>
      <c r="T310" t="s">
        <v>2890</v>
      </c>
      <c r="U310" t="s">
        <v>3</v>
      </c>
      <c r="V310" t="s">
        <v>3</v>
      </c>
      <c r="W310" t="s">
        <v>317</v>
      </c>
      <c r="AA310" t="s">
        <v>8</v>
      </c>
      <c r="AB310" t="s">
        <v>8</v>
      </c>
      <c r="AC310" t="s">
        <v>3</v>
      </c>
      <c r="AD310" t="s">
        <v>8</v>
      </c>
      <c r="AE310" t="s">
        <v>111</v>
      </c>
      <c r="AF310" t="s">
        <v>2894</v>
      </c>
    </row>
    <row r="311" spans="1:32">
      <c r="A311" t="s">
        <v>112</v>
      </c>
      <c r="B311" t="s">
        <v>24</v>
      </c>
      <c r="C311" t="s">
        <v>2895</v>
      </c>
      <c r="D311" t="s">
        <v>24</v>
      </c>
      <c r="E311" t="s">
        <v>2896</v>
      </c>
      <c r="F311" t="s">
        <v>2897</v>
      </c>
      <c r="H311" t="s">
        <v>2898</v>
      </c>
      <c r="I311" t="s">
        <v>2899</v>
      </c>
      <c r="J311" t="s">
        <v>8</v>
      </c>
      <c r="K311" t="s">
        <v>3</v>
      </c>
      <c r="L311" t="s">
        <v>3</v>
      </c>
      <c r="M311" t="s">
        <v>122</v>
      </c>
      <c r="N311" t="s">
        <v>3</v>
      </c>
      <c r="O311" t="s">
        <v>3</v>
      </c>
      <c r="P311" t="s">
        <v>3</v>
      </c>
      <c r="Q311" t="s">
        <v>8</v>
      </c>
      <c r="R311" t="s">
        <v>122</v>
      </c>
      <c r="S311" t="s">
        <v>8</v>
      </c>
      <c r="T311" t="s">
        <v>112</v>
      </c>
      <c r="U311" t="s">
        <v>3</v>
      </c>
      <c r="V311" t="s">
        <v>3</v>
      </c>
      <c r="W311" t="s">
        <v>652</v>
      </c>
      <c r="X311" t="s">
        <v>1637</v>
      </c>
      <c r="Y311" t="s">
        <v>1638</v>
      </c>
      <c r="AA311" t="s">
        <v>8</v>
      </c>
      <c r="AB311" t="s">
        <v>8</v>
      </c>
      <c r="AC311" t="s">
        <v>3</v>
      </c>
      <c r="AD311" t="s">
        <v>8</v>
      </c>
      <c r="AE311" t="s">
        <v>111</v>
      </c>
      <c r="AF311" t="s">
        <v>2900</v>
      </c>
    </row>
    <row r="312" spans="1:32">
      <c r="A312" t="s">
        <v>2901</v>
      </c>
      <c r="B312" t="s">
        <v>2902</v>
      </c>
      <c r="C312" t="s">
        <v>2903</v>
      </c>
      <c r="D312" t="s">
        <v>24</v>
      </c>
      <c r="E312" t="s">
        <v>2896</v>
      </c>
      <c r="F312" t="s">
        <v>2897</v>
      </c>
      <c r="H312" t="s">
        <v>2898</v>
      </c>
      <c r="I312" t="s">
        <v>2899</v>
      </c>
      <c r="J312" t="s">
        <v>8</v>
      </c>
      <c r="K312" t="s">
        <v>3</v>
      </c>
      <c r="L312" t="s">
        <v>3</v>
      </c>
      <c r="M312" t="s">
        <v>122</v>
      </c>
      <c r="N312" t="s">
        <v>3</v>
      </c>
      <c r="O312" t="s">
        <v>3</v>
      </c>
      <c r="P312" t="s">
        <v>3</v>
      </c>
      <c r="Q312" t="s">
        <v>8</v>
      </c>
      <c r="R312" t="s">
        <v>122</v>
      </c>
      <c r="S312" t="s">
        <v>8</v>
      </c>
      <c r="T312" t="s">
        <v>2901</v>
      </c>
      <c r="U312" t="s">
        <v>3</v>
      </c>
      <c r="V312" t="s">
        <v>3</v>
      </c>
      <c r="W312" t="s">
        <v>652</v>
      </c>
      <c r="AA312" t="s">
        <v>8</v>
      </c>
      <c r="AB312" t="s">
        <v>8</v>
      </c>
      <c r="AC312" t="s">
        <v>3</v>
      </c>
      <c r="AD312" t="s">
        <v>8</v>
      </c>
      <c r="AE312" t="s">
        <v>72</v>
      </c>
      <c r="AF312" t="s">
        <v>2904</v>
      </c>
    </row>
    <row r="313" spans="1:32">
      <c r="A313" t="s">
        <v>2905</v>
      </c>
      <c r="B313" t="s">
        <v>2906</v>
      </c>
      <c r="C313" t="s">
        <v>2907</v>
      </c>
      <c r="D313" t="s">
        <v>2906</v>
      </c>
      <c r="E313" t="s">
        <v>2896</v>
      </c>
      <c r="F313" t="s">
        <v>2897</v>
      </c>
      <c r="H313" t="s">
        <v>2898</v>
      </c>
      <c r="I313" t="s">
        <v>2899</v>
      </c>
      <c r="J313" t="s">
        <v>8</v>
      </c>
      <c r="K313" t="s">
        <v>3</v>
      </c>
      <c r="L313" t="s">
        <v>3</v>
      </c>
      <c r="M313" t="s">
        <v>122</v>
      </c>
      <c r="N313" t="s">
        <v>3</v>
      </c>
      <c r="O313" t="s">
        <v>3</v>
      </c>
      <c r="P313" t="s">
        <v>3</v>
      </c>
      <c r="Q313" t="s">
        <v>8</v>
      </c>
      <c r="R313" t="s">
        <v>122</v>
      </c>
      <c r="S313" t="s">
        <v>8</v>
      </c>
      <c r="T313" t="s">
        <v>2905</v>
      </c>
      <c r="U313" t="s">
        <v>3</v>
      </c>
      <c r="V313" t="s">
        <v>3</v>
      </c>
      <c r="W313" t="s">
        <v>652</v>
      </c>
      <c r="AA313" t="s">
        <v>8</v>
      </c>
      <c r="AB313" t="s">
        <v>8</v>
      </c>
      <c r="AC313" t="s">
        <v>3</v>
      </c>
      <c r="AD313" t="s">
        <v>8</v>
      </c>
      <c r="AE313" t="s">
        <v>72</v>
      </c>
      <c r="AF313" t="s">
        <v>2908</v>
      </c>
    </row>
    <row r="314" spans="1:32">
      <c r="A314" t="s">
        <v>132</v>
      </c>
      <c r="B314" t="s">
        <v>32</v>
      </c>
      <c r="C314" t="s">
        <v>2909</v>
      </c>
      <c r="D314" t="s">
        <v>32</v>
      </c>
      <c r="E314" t="s">
        <v>2910</v>
      </c>
      <c r="F314" t="s">
        <v>2911</v>
      </c>
      <c r="H314" t="s">
        <v>2912</v>
      </c>
      <c r="I314" t="s">
        <v>2913</v>
      </c>
      <c r="J314" t="s">
        <v>8</v>
      </c>
      <c r="K314" t="s">
        <v>3</v>
      </c>
      <c r="L314" t="s">
        <v>3</v>
      </c>
      <c r="M314" t="s">
        <v>122</v>
      </c>
      <c r="N314" t="s">
        <v>3</v>
      </c>
      <c r="O314" t="s">
        <v>3</v>
      </c>
      <c r="P314" t="s">
        <v>3</v>
      </c>
      <c r="Q314" t="s">
        <v>8</v>
      </c>
      <c r="R314" t="s">
        <v>122</v>
      </c>
      <c r="S314" t="s">
        <v>8</v>
      </c>
      <c r="T314" t="s">
        <v>132</v>
      </c>
      <c r="U314" t="s">
        <v>3</v>
      </c>
      <c r="V314" t="s">
        <v>3</v>
      </c>
      <c r="W314" t="s">
        <v>2443</v>
      </c>
      <c r="X314" t="s">
        <v>1039</v>
      </c>
      <c r="Y314" t="s">
        <v>111</v>
      </c>
      <c r="AA314" t="s">
        <v>3</v>
      </c>
      <c r="AB314" t="s">
        <v>8</v>
      </c>
      <c r="AC314" t="s">
        <v>3</v>
      </c>
      <c r="AD314" t="s">
        <v>8</v>
      </c>
      <c r="AE314" t="s">
        <v>111</v>
      </c>
      <c r="AF314" t="s">
        <v>2914</v>
      </c>
    </row>
    <row r="315" spans="1:32">
      <c r="A315" t="s">
        <v>2915</v>
      </c>
      <c r="B315" t="s">
        <v>2916</v>
      </c>
      <c r="C315" t="s">
        <v>2917</v>
      </c>
      <c r="D315" t="s">
        <v>2916</v>
      </c>
      <c r="E315" t="s">
        <v>2910</v>
      </c>
      <c r="F315" t="s">
        <v>2918</v>
      </c>
      <c r="H315" t="s">
        <v>2919</v>
      </c>
      <c r="I315" t="s">
        <v>2920</v>
      </c>
      <c r="J315" t="s">
        <v>8</v>
      </c>
      <c r="K315" t="s">
        <v>3</v>
      </c>
      <c r="L315" t="s">
        <v>3</v>
      </c>
      <c r="M315" t="s">
        <v>122</v>
      </c>
      <c r="N315" t="s">
        <v>3</v>
      </c>
      <c r="O315" t="s">
        <v>3</v>
      </c>
      <c r="P315" t="s">
        <v>3</v>
      </c>
      <c r="Q315" t="s">
        <v>3</v>
      </c>
      <c r="R315" t="s">
        <v>122</v>
      </c>
      <c r="S315" t="s">
        <v>8</v>
      </c>
      <c r="T315" t="s">
        <v>2915</v>
      </c>
      <c r="U315" t="s">
        <v>3</v>
      </c>
      <c r="V315" t="s">
        <v>3</v>
      </c>
      <c r="W315" t="s">
        <v>2443</v>
      </c>
      <c r="AA315" t="s">
        <v>3</v>
      </c>
      <c r="AB315" t="s">
        <v>8</v>
      </c>
      <c r="AC315" t="s">
        <v>3</v>
      </c>
      <c r="AD315" t="s">
        <v>8</v>
      </c>
      <c r="AE315" t="s">
        <v>116</v>
      </c>
      <c r="AF315" t="s">
        <v>2921</v>
      </c>
    </row>
    <row r="316" spans="1:32">
      <c r="A316" t="s">
        <v>2922</v>
      </c>
      <c r="B316" t="s">
        <v>2923</v>
      </c>
      <c r="C316" t="s">
        <v>2924</v>
      </c>
      <c r="D316" t="s">
        <v>2925</v>
      </c>
      <c r="E316" t="s">
        <v>2910</v>
      </c>
      <c r="F316" t="s">
        <v>2926</v>
      </c>
      <c r="H316" t="s">
        <v>2912</v>
      </c>
      <c r="I316" t="s">
        <v>2927</v>
      </c>
      <c r="J316" t="s">
        <v>8</v>
      </c>
      <c r="K316" t="s">
        <v>3</v>
      </c>
      <c r="L316" t="s">
        <v>3</v>
      </c>
      <c r="M316" t="s">
        <v>122</v>
      </c>
      <c r="N316" t="s">
        <v>3</v>
      </c>
      <c r="O316" t="s">
        <v>3</v>
      </c>
      <c r="P316" t="s">
        <v>3</v>
      </c>
      <c r="Q316" t="s">
        <v>8</v>
      </c>
      <c r="R316" t="s">
        <v>122</v>
      </c>
      <c r="S316" t="s">
        <v>8</v>
      </c>
      <c r="T316" t="s">
        <v>2922</v>
      </c>
      <c r="U316" t="s">
        <v>3</v>
      </c>
      <c r="V316" t="s">
        <v>3</v>
      </c>
      <c r="W316" t="s">
        <v>2928</v>
      </c>
      <c r="AA316" t="s">
        <v>3</v>
      </c>
      <c r="AB316" t="s">
        <v>8</v>
      </c>
      <c r="AC316" t="s">
        <v>3</v>
      </c>
      <c r="AD316" t="s">
        <v>8</v>
      </c>
      <c r="AE316" t="s">
        <v>111</v>
      </c>
      <c r="AF316" t="s">
        <v>2929</v>
      </c>
    </row>
    <row r="317" spans="1:32">
      <c r="A317" t="s">
        <v>2930</v>
      </c>
      <c r="B317" t="s">
        <v>2931</v>
      </c>
      <c r="C317" t="s">
        <v>2932</v>
      </c>
      <c r="D317" t="s">
        <v>32</v>
      </c>
      <c r="E317" t="s">
        <v>2910</v>
      </c>
      <c r="F317" t="s">
        <v>2911</v>
      </c>
      <c r="H317" t="s">
        <v>2912</v>
      </c>
      <c r="I317" t="s">
        <v>2913</v>
      </c>
      <c r="J317" t="s">
        <v>8</v>
      </c>
      <c r="K317" t="s">
        <v>3</v>
      </c>
      <c r="L317" t="s">
        <v>3</v>
      </c>
      <c r="M317" t="s">
        <v>122</v>
      </c>
      <c r="N317" t="s">
        <v>3</v>
      </c>
      <c r="O317" t="s">
        <v>3</v>
      </c>
      <c r="P317" t="s">
        <v>3</v>
      </c>
      <c r="Q317" t="s">
        <v>8</v>
      </c>
      <c r="R317" t="s">
        <v>122</v>
      </c>
      <c r="S317" t="s">
        <v>8</v>
      </c>
      <c r="T317" t="s">
        <v>2930</v>
      </c>
      <c r="U317" t="s">
        <v>3</v>
      </c>
      <c r="V317" t="s">
        <v>3</v>
      </c>
      <c r="W317" t="s">
        <v>2443</v>
      </c>
      <c r="AA317" t="s">
        <v>3</v>
      </c>
      <c r="AB317" t="s">
        <v>8</v>
      </c>
      <c r="AC317" t="s">
        <v>3</v>
      </c>
      <c r="AD317" t="s">
        <v>8</v>
      </c>
      <c r="AE317" t="s">
        <v>111</v>
      </c>
      <c r="AF317" t="s">
        <v>2933</v>
      </c>
    </row>
    <row r="318" spans="1:32">
      <c r="A318" t="s">
        <v>2934</v>
      </c>
      <c r="B318" t="s">
        <v>2032</v>
      </c>
      <c r="C318" t="s">
        <v>2935</v>
      </c>
      <c r="D318" t="s">
        <v>2936</v>
      </c>
      <c r="E318" t="s">
        <v>2910</v>
      </c>
      <c r="F318" t="s">
        <v>2918</v>
      </c>
      <c r="H318" t="s">
        <v>2912</v>
      </c>
      <c r="I318" t="s">
        <v>2913</v>
      </c>
      <c r="J318" t="s">
        <v>8</v>
      </c>
      <c r="K318" t="s">
        <v>3</v>
      </c>
      <c r="L318" t="s">
        <v>3</v>
      </c>
      <c r="M318" t="s">
        <v>122</v>
      </c>
      <c r="N318" t="s">
        <v>3</v>
      </c>
      <c r="O318" t="s">
        <v>3</v>
      </c>
      <c r="P318" t="s">
        <v>3</v>
      </c>
      <c r="Q318" t="s">
        <v>8</v>
      </c>
      <c r="R318" t="s">
        <v>122</v>
      </c>
      <c r="S318" t="s">
        <v>8</v>
      </c>
      <c r="T318" t="s">
        <v>2934</v>
      </c>
      <c r="U318" t="s">
        <v>3</v>
      </c>
      <c r="V318" t="s">
        <v>3</v>
      </c>
      <c r="W318" t="s">
        <v>882</v>
      </c>
      <c r="AA318" t="s">
        <v>3</v>
      </c>
      <c r="AB318" t="s">
        <v>8</v>
      </c>
      <c r="AC318" t="s">
        <v>3</v>
      </c>
      <c r="AD318" t="s">
        <v>8</v>
      </c>
      <c r="AE318" t="s">
        <v>84</v>
      </c>
      <c r="AF318" t="s">
        <v>2937</v>
      </c>
    </row>
    <row r="319" spans="1:32">
      <c r="A319" t="s">
        <v>2938</v>
      </c>
      <c r="B319" t="s">
        <v>2939</v>
      </c>
      <c r="C319" t="s">
        <v>2940</v>
      </c>
      <c r="D319" t="s">
        <v>2941</v>
      </c>
      <c r="E319" t="s">
        <v>2910</v>
      </c>
      <c r="F319" t="s">
        <v>2918</v>
      </c>
      <c r="H319" t="s">
        <v>2912</v>
      </c>
      <c r="I319" t="s">
        <v>2927</v>
      </c>
      <c r="J319" t="s">
        <v>8</v>
      </c>
      <c r="K319" t="s">
        <v>3</v>
      </c>
      <c r="L319" t="s">
        <v>3</v>
      </c>
      <c r="M319" t="s">
        <v>122</v>
      </c>
      <c r="N319" t="s">
        <v>3</v>
      </c>
      <c r="O319" t="s">
        <v>3</v>
      </c>
      <c r="P319" t="s">
        <v>3</v>
      </c>
      <c r="Q319" t="s">
        <v>111</v>
      </c>
      <c r="R319" t="s">
        <v>122</v>
      </c>
      <c r="S319" t="s">
        <v>8</v>
      </c>
      <c r="T319" t="s">
        <v>2938</v>
      </c>
      <c r="U319" t="s">
        <v>3</v>
      </c>
      <c r="V319" t="s">
        <v>3</v>
      </c>
      <c r="W319" t="s">
        <v>2928</v>
      </c>
      <c r="AA319" t="s">
        <v>3</v>
      </c>
      <c r="AB319" t="s">
        <v>8</v>
      </c>
      <c r="AC319" t="s">
        <v>3</v>
      </c>
      <c r="AD319" t="s">
        <v>8</v>
      </c>
      <c r="AE319" t="s">
        <v>111</v>
      </c>
      <c r="AF319" t="s">
        <v>2942</v>
      </c>
    </row>
    <row r="320" spans="1:32">
      <c r="A320" t="s">
        <v>2943</v>
      </c>
      <c r="B320" t="s">
        <v>2944</v>
      </c>
      <c r="C320" t="s">
        <v>2945</v>
      </c>
      <c r="D320" t="s">
        <v>2946</v>
      </c>
      <c r="E320" t="s">
        <v>2910</v>
      </c>
      <c r="F320" t="s">
        <v>2918</v>
      </c>
      <c r="H320" t="s">
        <v>2912</v>
      </c>
      <c r="I320" t="s">
        <v>2927</v>
      </c>
      <c r="J320" t="s">
        <v>8</v>
      </c>
      <c r="K320" t="s">
        <v>3</v>
      </c>
      <c r="L320" t="s">
        <v>3</v>
      </c>
      <c r="M320" t="s">
        <v>122</v>
      </c>
      <c r="N320" t="s">
        <v>3</v>
      </c>
      <c r="O320" t="s">
        <v>3</v>
      </c>
      <c r="P320" t="s">
        <v>3</v>
      </c>
      <c r="Q320" t="s">
        <v>8</v>
      </c>
      <c r="R320" t="s">
        <v>122</v>
      </c>
      <c r="S320" t="s">
        <v>8</v>
      </c>
      <c r="T320" t="s">
        <v>2943</v>
      </c>
      <c r="U320" t="s">
        <v>3</v>
      </c>
      <c r="V320" t="s">
        <v>3</v>
      </c>
      <c r="W320" t="s">
        <v>2928</v>
      </c>
      <c r="AA320" t="s">
        <v>3</v>
      </c>
      <c r="AB320" t="s">
        <v>8</v>
      </c>
      <c r="AC320" t="s">
        <v>3</v>
      </c>
      <c r="AD320" t="s">
        <v>8</v>
      </c>
      <c r="AE320" t="s">
        <v>111</v>
      </c>
      <c r="AF320" t="s">
        <v>2947</v>
      </c>
    </row>
    <row r="321" spans="1:32">
      <c r="A321" t="s">
        <v>2948</v>
      </c>
      <c r="B321" t="s">
        <v>2949</v>
      </c>
      <c r="C321" t="s">
        <v>2950</v>
      </c>
      <c r="D321" t="s">
        <v>2951</v>
      </c>
      <c r="E321" t="s">
        <v>2910</v>
      </c>
      <c r="F321" t="s">
        <v>2926</v>
      </c>
      <c r="H321" t="s">
        <v>2912</v>
      </c>
      <c r="I321" t="s">
        <v>2927</v>
      </c>
      <c r="J321" t="s">
        <v>8</v>
      </c>
      <c r="K321" t="s">
        <v>3</v>
      </c>
      <c r="L321" t="s">
        <v>3</v>
      </c>
      <c r="M321" t="s">
        <v>122</v>
      </c>
      <c r="N321" t="s">
        <v>3</v>
      </c>
      <c r="O321" t="s">
        <v>3</v>
      </c>
      <c r="P321" t="s">
        <v>3</v>
      </c>
      <c r="Q321" t="s">
        <v>8</v>
      </c>
      <c r="R321" t="s">
        <v>122</v>
      </c>
      <c r="S321" t="s">
        <v>8</v>
      </c>
      <c r="T321" t="s">
        <v>2948</v>
      </c>
      <c r="U321" t="s">
        <v>3</v>
      </c>
      <c r="V321" t="s">
        <v>3</v>
      </c>
      <c r="W321" t="s">
        <v>2928</v>
      </c>
      <c r="AA321" t="s">
        <v>3</v>
      </c>
      <c r="AB321" t="s">
        <v>8</v>
      </c>
      <c r="AC321" t="s">
        <v>3</v>
      </c>
      <c r="AD321" t="s">
        <v>8</v>
      </c>
      <c r="AE321" t="s">
        <v>111</v>
      </c>
      <c r="AF321" t="s">
        <v>2952</v>
      </c>
    </row>
    <row r="322" spans="1:32">
      <c r="A322" t="s">
        <v>2953</v>
      </c>
      <c r="B322" t="s">
        <v>2954</v>
      </c>
      <c r="C322" t="s">
        <v>2955</v>
      </c>
      <c r="D322" t="s">
        <v>2954</v>
      </c>
      <c r="E322" t="s">
        <v>1535</v>
      </c>
      <c r="F322" t="s">
        <v>2956</v>
      </c>
      <c r="H322" t="s">
        <v>2957</v>
      </c>
      <c r="I322" t="s">
        <v>2958</v>
      </c>
      <c r="J322" t="s">
        <v>8</v>
      </c>
      <c r="K322" t="s">
        <v>3</v>
      </c>
      <c r="L322" t="s">
        <v>3</v>
      </c>
      <c r="M322" t="s">
        <v>122</v>
      </c>
      <c r="N322" t="s">
        <v>3</v>
      </c>
      <c r="O322" t="s">
        <v>3</v>
      </c>
      <c r="P322" t="s">
        <v>3</v>
      </c>
      <c r="Q322" t="s">
        <v>8</v>
      </c>
      <c r="R322" t="s">
        <v>122</v>
      </c>
      <c r="S322" t="s">
        <v>8</v>
      </c>
      <c r="T322" t="s">
        <v>2953</v>
      </c>
      <c r="U322" t="s">
        <v>3</v>
      </c>
      <c r="V322" t="s">
        <v>3</v>
      </c>
      <c r="W322" t="s">
        <v>2928</v>
      </c>
      <c r="AA322" t="s">
        <v>3</v>
      </c>
      <c r="AB322" t="s">
        <v>8</v>
      </c>
      <c r="AC322" t="s">
        <v>3</v>
      </c>
      <c r="AD322" t="s">
        <v>8</v>
      </c>
      <c r="AE322" t="s">
        <v>111</v>
      </c>
      <c r="AF322" t="s">
        <v>2959</v>
      </c>
    </row>
    <row r="323" spans="1:32">
      <c r="A323" t="s">
        <v>2960</v>
      </c>
      <c r="B323" t="s">
        <v>2961</v>
      </c>
      <c r="C323" t="s">
        <v>2962</v>
      </c>
      <c r="D323" t="s">
        <v>2963</v>
      </c>
      <c r="E323" t="s">
        <v>2910</v>
      </c>
      <c r="F323" t="s">
        <v>2918</v>
      </c>
      <c r="H323" t="s">
        <v>2912</v>
      </c>
      <c r="I323" t="s">
        <v>2927</v>
      </c>
      <c r="J323" t="s">
        <v>8</v>
      </c>
      <c r="K323" t="s">
        <v>3</v>
      </c>
      <c r="L323" t="s">
        <v>3</v>
      </c>
      <c r="M323" t="s">
        <v>122</v>
      </c>
      <c r="N323" t="s">
        <v>3</v>
      </c>
      <c r="O323" t="s">
        <v>3</v>
      </c>
      <c r="P323" t="s">
        <v>3</v>
      </c>
      <c r="Q323" t="s">
        <v>8</v>
      </c>
      <c r="R323" t="s">
        <v>122</v>
      </c>
      <c r="S323" t="s">
        <v>8</v>
      </c>
      <c r="T323" t="s">
        <v>2960</v>
      </c>
      <c r="U323" t="s">
        <v>3</v>
      </c>
      <c r="V323" t="s">
        <v>3</v>
      </c>
      <c r="W323" t="s">
        <v>2928</v>
      </c>
      <c r="AA323" t="s">
        <v>3</v>
      </c>
      <c r="AB323" t="s">
        <v>8</v>
      </c>
      <c r="AC323" t="s">
        <v>3</v>
      </c>
      <c r="AD323" t="s">
        <v>8</v>
      </c>
      <c r="AE323" t="s">
        <v>60</v>
      </c>
      <c r="AF323" t="s">
        <v>2964</v>
      </c>
    </row>
    <row r="324" spans="1:32">
      <c r="A324" t="s">
        <v>2965</v>
      </c>
      <c r="B324" t="s">
        <v>2966</v>
      </c>
      <c r="C324" t="s">
        <v>2967</v>
      </c>
      <c r="D324" t="s">
        <v>2966</v>
      </c>
      <c r="E324" t="s">
        <v>2910</v>
      </c>
      <c r="F324" t="s">
        <v>2918</v>
      </c>
      <c r="H324" t="s">
        <v>2919</v>
      </c>
      <c r="I324" t="s">
        <v>2920</v>
      </c>
      <c r="J324" t="s">
        <v>8</v>
      </c>
      <c r="K324" t="s">
        <v>3</v>
      </c>
      <c r="L324" t="s">
        <v>3</v>
      </c>
      <c r="M324" t="s">
        <v>122</v>
      </c>
      <c r="N324" t="s">
        <v>3</v>
      </c>
      <c r="O324" t="s">
        <v>3</v>
      </c>
      <c r="P324" t="s">
        <v>3</v>
      </c>
      <c r="Q324" t="s">
        <v>3</v>
      </c>
      <c r="R324" t="s">
        <v>122</v>
      </c>
      <c r="S324" t="s">
        <v>8</v>
      </c>
      <c r="T324" t="s">
        <v>2965</v>
      </c>
      <c r="U324" t="s">
        <v>3</v>
      </c>
      <c r="V324" t="s">
        <v>3</v>
      </c>
      <c r="W324" t="s">
        <v>2443</v>
      </c>
      <c r="AA324" t="s">
        <v>3</v>
      </c>
      <c r="AB324" t="s">
        <v>3</v>
      </c>
      <c r="AC324" t="s">
        <v>3</v>
      </c>
      <c r="AD324" t="s">
        <v>8</v>
      </c>
      <c r="AE324" t="s">
        <v>111</v>
      </c>
      <c r="AF324" t="s">
        <v>2968</v>
      </c>
    </row>
    <row r="325" spans="1:32">
      <c r="A325" t="s">
        <v>2969</v>
      </c>
      <c r="B325" t="s">
        <v>2970</v>
      </c>
      <c r="C325" t="s">
        <v>2971</v>
      </c>
      <c r="D325" t="s">
        <v>2970</v>
      </c>
      <c r="E325" t="s">
        <v>2972</v>
      </c>
      <c r="F325" t="s">
        <v>2973</v>
      </c>
      <c r="H325" t="s">
        <v>2974</v>
      </c>
      <c r="I325" t="s">
        <v>2975</v>
      </c>
      <c r="J325" t="s">
        <v>8</v>
      </c>
      <c r="K325" t="s">
        <v>3</v>
      </c>
      <c r="L325" t="s">
        <v>3</v>
      </c>
      <c r="M325" t="s">
        <v>122</v>
      </c>
      <c r="N325" t="s">
        <v>3</v>
      </c>
      <c r="O325" t="s">
        <v>3</v>
      </c>
      <c r="P325" t="s">
        <v>3</v>
      </c>
      <c r="Q325" t="s">
        <v>8</v>
      </c>
      <c r="R325" t="s">
        <v>122</v>
      </c>
      <c r="S325" t="s">
        <v>8</v>
      </c>
      <c r="T325" t="s">
        <v>2969</v>
      </c>
      <c r="U325" t="s">
        <v>3</v>
      </c>
      <c r="V325" t="s">
        <v>3</v>
      </c>
      <c r="W325" t="s">
        <v>645</v>
      </c>
      <c r="AA325" t="s">
        <v>3</v>
      </c>
      <c r="AB325" t="s">
        <v>8</v>
      </c>
      <c r="AC325" t="s">
        <v>3</v>
      </c>
      <c r="AD325" t="s">
        <v>8</v>
      </c>
      <c r="AE325" t="s">
        <v>67</v>
      </c>
      <c r="AF325" t="s">
        <v>2976</v>
      </c>
    </row>
    <row r="326" spans="1:32">
      <c r="A326" t="s">
        <v>2977</v>
      </c>
      <c r="B326" t="s">
        <v>2970</v>
      </c>
      <c r="C326" t="s">
        <v>2971</v>
      </c>
      <c r="D326" t="s">
        <v>2970</v>
      </c>
      <c r="E326" t="s">
        <v>2972</v>
      </c>
      <c r="F326" t="s">
        <v>2973</v>
      </c>
      <c r="H326" t="s">
        <v>2974</v>
      </c>
      <c r="I326" t="s">
        <v>2975</v>
      </c>
      <c r="J326" t="s">
        <v>8</v>
      </c>
      <c r="K326" t="s">
        <v>3</v>
      </c>
      <c r="L326" t="s">
        <v>3</v>
      </c>
      <c r="M326" t="s">
        <v>122</v>
      </c>
      <c r="N326" t="s">
        <v>3</v>
      </c>
      <c r="O326" t="s">
        <v>3</v>
      </c>
      <c r="P326" t="s">
        <v>3</v>
      </c>
      <c r="Q326" t="s">
        <v>8</v>
      </c>
      <c r="R326" t="s">
        <v>122</v>
      </c>
      <c r="S326" t="s">
        <v>8</v>
      </c>
      <c r="T326" t="s">
        <v>2977</v>
      </c>
      <c r="U326" t="s">
        <v>3</v>
      </c>
      <c r="V326" t="s">
        <v>3</v>
      </c>
      <c r="W326" t="s">
        <v>645</v>
      </c>
      <c r="AA326" t="s">
        <v>3</v>
      </c>
      <c r="AB326" t="s">
        <v>8</v>
      </c>
      <c r="AC326" t="s">
        <v>3</v>
      </c>
      <c r="AD326" t="s">
        <v>8</v>
      </c>
      <c r="AE326" t="s">
        <v>8</v>
      </c>
      <c r="AF326" t="s">
        <v>2978</v>
      </c>
    </row>
    <row r="327" spans="1:32">
      <c r="A327" t="s">
        <v>2979</v>
      </c>
      <c r="B327" t="s">
        <v>2980</v>
      </c>
      <c r="C327" t="s">
        <v>2981</v>
      </c>
      <c r="D327" t="s">
        <v>2980</v>
      </c>
      <c r="F327" t="s">
        <v>2982</v>
      </c>
      <c r="H327" t="s">
        <v>2983</v>
      </c>
      <c r="I327" t="s">
        <v>2984</v>
      </c>
      <c r="J327" t="s">
        <v>8</v>
      </c>
      <c r="K327" t="s">
        <v>3</v>
      </c>
      <c r="L327" t="s">
        <v>3</v>
      </c>
      <c r="M327" t="s">
        <v>122</v>
      </c>
      <c r="N327" t="s">
        <v>3</v>
      </c>
      <c r="O327" t="s">
        <v>3</v>
      </c>
      <c r="P327" t="s">
        <v>3</v>
      </c>
      <c r="Q327" t="s">
        <v>8</v>
      </c>
      <c r="R327" t="s">
        <v>122</v>
      </c>
      <c r="S327" t="s">
        <v>8</v>
      </c>
      <c r="T327" t="s">
        <v>2979</v>
      </c>
      <c r="U327" t="s">
        <v>3</v>
      </c>
      <c r="V327" t="s">
        <v>3</v>
      </c>
      <c r="W327" t="s">
        <v>2985</v>
      </c>
      <c r="AA327" t="s">
        <v>3</v>
      </c>
      <c r="AB327" t="s">
        <v>8</v>
      </c>
      <c r="AC327" t="s">
        <v>3</v>
      </c>
      <c r="AD327" t="s">
        <v>8</v>
      </c>
      <c r="AE327" t="s">
        <v>116</v>
      </c>
      <c r="AF327" t="s">
        <v>2986</v>
      </c>
    </row>
    <row r="328" spans="1:32">
      <c r="A328" t="s">
        <v>2987</v>
      </c>
      <c r="B328" t="s">
        <v>2980</v>
      </c>
      <c r="C328" t="s">
        <v>2981</v>
      </c>
      <c r="D328" t="s">
        <v>2980</v>
      </c>
      <c r="F328" t="s">
        <v>2982</v>
      </c>
      <c r="J328" t="s">
        <v>8</v>
      </c>
      <c r="K328" t="s">
        <v>3</v>
      </c>
      <c r="L328" t="s">
        <v>3</v>
      </c>
      <c r="M328" t="s">
        <v>122</v>
      </c>
      <c r="N328" t="s">
        <v>3</v>
      </c>
      <c r="O328" t="s">
        <v>3</v>
      </c>
      <c r="P328" t="s">
        <v>3</v>
      </c>
      <c r="Q328" t="s">
        <v>8</v>
      </c>
      <c r="R328" t="s">
        <v>122</v>
      </c>
      <c r="S328" t="s">
        <v>8</v>
      </c>
      <c r="T328" t="s">
        <v>2987</v>
      </c>
      <c r="U328" t="s">
        <v>3</v>
      </c>
      <c r="V328" t="s">
        <v>3</v>
      </c>
      <c r="W328" t="s">
        <v>3</v>
      </c>
      <c r="AA328" t="s">
        <v>3</v>
      </c>
      <c r="AB328" t="s">
        <v>8</v>
      </c>
      <c r="AC328" t="s">
        <v>3</v>
      </c>
      <c r="AD328" t="s">
        <v>8</v>
      </c>
      <c r="AE328" t="s">
        <v>84</v>
      </c>
      <c r="AF328" t="s">
        <v>2988</v>
      </c>
    </row>
    <row r="329" spans="1:32">
      <c r="A329" t="s">
        <v>2989</v>
      </c>
      <c r="B329" t="s">
        <v>2990</v>
      </c>
      <c r="C329" t="s">
        <v>2991</v>
      </c>
      <c r="D329" t="s">
        <v>2992</v>
      </c>
      <c r="E329" t="s">
        <v>2993</v>
      </c>
      <c r="F329" t="s">
        <v>2994</v>
      </c>
      <c r="H329" t="s">
        <v>2995</v>
      </c>
      <c r="I329" t="s">
        <v>2996</v>
      </c>
      <c r="J329" t="s">
        <v>8</v>
      </c>
      <c r="K329" t="s">
        <v>3</v>
      </c>
      <c r="L329" t="s">
        <v>3</v>
      </c>
      <c r="M329" t="s">
        <v>122</v>
      </c>
      <c r="N329" t="s">
        <v>3</v>
      </c>
      <c r="O329" t="s">
        <v>3</v>
      </c>
      <c r="P329" t="s">
        <v>3</v>
      </c>
      <c r="Q329" t="s">
        <v>8</v>
      </c>
      <c r="R329" t="s">
        <v>122</v>
      </c>
      <c r="S329" t="s">
        <v>8</v>
      </c>
      <c r="T329" t="s">
        <v>2989</v>
      </c>
      <c r="U329" t="s">
        <v>3</v>
      </c>
      <c r="V329" t="s">
        <v>3</v>
      </c>
      <c r="W329" t="s">
        <v>539</v>
      </c>
      <c r="AA329" t="s">
        <v>3</v>
      </c>
      <c r="AB329" t="s">
        <v>8</v>
      </c>
      <c r="AC329" t="s">
        <v>3</v>
      </c>
      <c r="AD329" t="s">
        <v>8</v>
      </c>
      <c r="AE329" t="s">
        <v>116</v>
      </c>
      <c r="AF329" t="s">
        <v>2997</v>
      </c>
    </row>
    <row r="330" spans="1:32">
      <c r="A330" t="s">
        <v>2998</v>
      </c>
      <c r="B330" t="s">
        <v>2999</v>
      </c>
      <c r="C330" t="s">
        <v>3000</v>
      </c>
      <c r="D330" t="s">
        <v>3001</v>
      </c>
      <c r="E330" t="s">
        <v>3002</v>
      </c>
      <c r="F330" t="s">
        <v>2994</v>
      </c>
      <c r="H330" t="s">
        <v>3002</v>
      </c>
      <c r="I330" t="s">
        <v>3003</v>
      </c>
      <c r="J330" t="s">
        <v>8</v>
      </c>
      <c r="K330" t="s">
        <v>3</v>
      </c>
      <c r="L330" t="s">
        <v>3</v>
      </c>
      <c r="M330" t="s">
        <v>122</v>
      </c>
      <c r="N330" t="s">
        <v>3</v>
      </c>
      <c r="O330" t="s">
        <v>3</v>
      </c>
      <c r="P330" t="s">
        <v>3</v>
      </c>
      <c r="Q330" t="s">
        <v>8</v>
      </c>
      <c r="R330" t="s">
        <v>122</v>
      </c>
      <c r="S330" t="s">
        <v>8</v>
      </c>
      <c r="T330" t="s">
        <v>2998</v>
      </c>
      <c r="U330" t="s">
        <v>3</v>
      </c>
      <c r="V330" t="s">
        <v>3</v>
      </c>
      <c r="W330" t="s">
        <v>539</v>
      </c>
      <c r="AA330" t="s">
        <v>3</v>
      </c>
      <c r="AB330" t="s">
        <v>8</v>
      </c>
      <c r="AC330" t="s">
        <v>3</v>
      </c>
      <c r="AD330" t="s">
        <v>8</v>
      </c>
      <c r="AE330" t="s">
        <v>84</v>
      </c>
      <c r="AF330" t="s">
        <v>3004</v>
      </c>
    </row>
    <row r="331" spans="1:32">
      <c r="A331" t="s">
        <v>3005</v>
      </c>
      <c r="B331" t="s">
        <v>3006</v>
      </c>
      <c r="C331" t="s">
        <v>3007</v>
      </c>
      <c r="D331" t="s">
        <v>3008</v>
      </c>
      <c r="E331" t="s">
        <v>3009</v>
      </c>
      <c r="F331" t="s">
        <v>3010</v>
      </c>
      <c r="H331" t="s">
        <v>3011</v>
      </c>
      <c r="I331" t="s">
        <v>3012</v>
      </c>
      <c r="J331" t="s">
        <v>8</v>
      </c>
      <c r="K331" t="s">
        <v>3</v>
      </c>
      <c r="L331" t="s">
        <v>3</v>
      </c>
      <c r="M331" t="s">
        <v>122</v>
      </c>
      <c r="N331" t="s">
        <v>3</v>
      </c>
      <c r="O331" t="s">
        <v>3</v>
      </c>
      <c r="P331" t="s">
        <v>3</v>
      </c>
      <c r="Q331" t="s">
        <v>8</v>
      </c>
      <c r="R331" t="s">
        <v>122</v>
      </c>
      <c r="S331" t="s">
        <v>8</v>
      </c>
      <c r="T331" t="s">
        <v>3005</v>
      </c>
      <c r="U331" t="s">
        <v>3</v>
      </c>
      <c r="V331" t="s">
        <v>3</v>
      </c>
      <c r="W331" t="s">
        <v>932</v>
      </c>
      <c r="Z331" t="s">
        <v>1554</v>
      </c>
      <c r="AA331" t="s">
        <v>3</v>
      </c>
      <c r="AB331" t="s">
        <v>8</v>
      </c>
      <c r="AC331" t="s">
        <v>3</v>
      </c>
      <c r="AD331" t="s">
        <v>8</v>
      </c>
      <c r="AE331" t="s">
        <v>111</v>
      </c>
      <c r="AF331" t="s">
        <v>3013</v>
      </c>
    </row>
    <row r="332" spans="1:32">
      <c r="A332" t="s">
        <v>3014</v>
      </c>
      <c r="B332" t="s">
        <v>3015</v>
      </c>
      <c r="C332" t="s">
        <v>3016</v>
      </c>
      <c r="D332" t="s">
        <v>3017</v>
      </c>
      <c r="E332" t="s">
        <v>3018</v>
      </c>
      <c r="F332" t="s">
        <v>3019</v>
      </c>
      <c r="H332" t="s">
        <v>3020</v>
      </c>
      <c r="I332" t="s">
        <v>3021</v>
      </c>
      <c r="J332" t="s">
        <v>8</v>
      </c>
      <c r="K332" t="s">
        <v>3</v>
      </c>
      <c r="L332" t="s">
        <v>3</v>
      </c>
      <c r="M332" t="s">
        <v>122</v>
      </c>
      <c r="N332" t="s">
        <v>3</v>
      </c>
      <c r="O332" t="s">
        <v>3</v>
      </c>
      <c r="P332" t="s">
        <v>3</v>
      </c>
      <c r="Q332" t="s">
        <v>8</v>
      </c>
      <c r="R332" t="s">
        <v>122</v>
      </c>
      <c r="S332" t="s">
        <v>8</v>
      </c>
      <c r="T332" t="s">
        <v>3014</v>
      </c>
      <c r="U332" t="s">
        <v>3</v>
      </c>
      <c r="V332" t="s">
        <v>3</v>
      </c>
      <c r="W332" t="s">
        <v>266</v>
      </c>
      <c r="Z332" t="s">
        <v>1554</v>
      </c>
      <c r="AA332" t="s">
        <v>8</v>
      </c>
      <c r="AB332" t="s">
        <v>8</v>
      </c>
      <c r="AC332" t="s">
        <v>3</v>
      </c>
      <c r="AD332" t="s">
        <v>8</v>
      </c>
      <c r="AE332" t="s">
        <v>111</v>
      </c>
      <c r="AF332" t="s">
        <v>3022</v>
      </c>
    </row>
    <row r="333" spans="1:32">
      <c r="A333" t="s">
        <v>3023</v>
      </c>
      <c r="B333" t="s">
        <v>3024</v>
      </c>
      <c r="C333" t="s">
        <v>3025</v>
      </c>
      <c r="D333" t="s">
        <v>3024</v>
      </c>
      <c r="E333" t="s">
        <v>3018</v>
      </c>
      <c r="F333" t="s">
        <v>3019</v>
      </c>
      <c r="H333" t="s">
        <v>3020</v>
      </c>
      <c r="I333" t="s">
        <v>3021</v>
      </c>
      <c r="J333" t="s">
        <v>8</v>
      </c>
      <c r="K333" t="s">
        <v>3</v>
      </c>
      <c r="L333" t="s">
        <v>3</v>
      </c>
      <c r="M333" t="s">
        <v>122</v>
      </c>
      <c r="N333" t="s">
        <v>3</v>
      </c>
      <c r="O333" t="s">
        <v>3</v>
      </c>
      <c r="P333" t="s">
        <v>3</v>
      </c>
      <c r="Q333" t="s">
        <v>8</v>
      </c>
      <c r="R333" t="s">
        <v>122</v>
      </c>
      <c r="S333" t="s">
        <v>8</v>
      </c>
      <c r="T333" t="s">
        <v>3014</v>
      </c>
      <c r="U333" t="s">
        <v>3</v>
      </c>
      <c r="V333" t="s">
        <v>3</v>
      </c>
      <c r="W333" t="s">
        <v>266</v>
      </c>
      <c r="Z333" t="s">
        <v>1554</v>
      </c>
      <c r="AA333" t="s">
        <v>8</v>
      </c>
      <c r="AB333" t="s">
        <v>8</v>
      </c>
      <c r="AC333" t="s">
        <v>3</v>
      </c>
      <c r="AD333" t="s">
        <v>8</v>
      </c>
      <c r="AE333" t="s">
        <v>111</v>
      </c>
      <c r="AF333" t="s">
        <v>3026</v>
      </c>
    </row>
    <row r="334" spans="1:32">
      <c r="A334" t="s">
        <v>3027</v>
      </c>
      <c r="B334" t="s">
        <v>3015</v>
      </c>
      <c r="C334" t="s">
        <v>3028</v>
      </c>
      <c r="D334" t="s">
        <v>3017</v>
      </c>
      <c r="E334" t="s">
        <v>3018</v>
      </c>
      <c r="F334" t="s">
        <v>3019</v>
      </c>
      <c r="H334" t="s">
        <v>3020</v>
      </c>
      <c r="I334" t="s">
        <v>3021</v>
      </c>
      <c r="J334" t="s">
        <v>8</v>
      </c>
      <c r="K334" t="s">
        <v>3</v>
      </c>
      <c r="L334" t="s">
        <v>3</v>
      </c>
      <c r="M334" t="s">
        <v>122</v>
      </c>
      <c r="N334" t="s">
        <v>3</v>
      </c>
      <c r="O334" t="s">
        <v>3</v>
      </c>
      <c r="P334" t="s">
        <v>3</v>
      </c>
      <c r="Q334" t="s">
        <v>8</v>
      </c>
      <c r="R334" t="s">
        <v>122</v>
      </c>
      <c r="S334" t="s">
        <v>8</v>
      </c>
      <c r="T334" t="s">
        <v>3027</v>
      </c>
      <c r="U334" t="s">
        <v>3</v>
      </c>
      <c r="V334" t="s">
        <v>3</v>
      </c>
      <c r="W334" t="s">
        <v>266</v>
      </c>
      <c r="Z334" t="s">
        <v>1554</v>
      </c>
      <c r="AA334" t="s">
        <v>8</v>
      </c>
      <c r="AB334" t="s">
        <v>8</v>
      </c>
      <c r="AC334" t="s">
        <v>3</v>
      </c>
      <c r="AD334" t="s">
        <v>8</v>
      </c>
      <c r="AE334" t="s">
        <v>111</v>
      </c>
      <c r="AF334" t="s">
        <v>3029</v>
      </c>
    </row>
    <row r="335" spans="1:32">
      <c r="A335" t="s">
        <v>3030</v>
      </c>
      <c r="B335" t="s">
        <v>3015</v>
      </c>
      <c r="C335" t="s">
        <v>3031</v>
      </c>
      <c r="D335" t="s">
        <v>3032</v>
      </c>
      <c r="E335" t="s">
        <v>3018</v>
      </c>
      <c r="F335" t="s">
        <v>3019</v>
      </c>
      <c r="H335" t="s">
        <v>3020</v>
      </c>
      <c r="I335" t="s">
        <v>3021</v>
      </c>
      <c r="J335" t="s">
        <v>8</v>
      </c>
      <c r="K335" t="s">
        <v>3</v>
      </c>
      <c r="L335" t="s">
        <v>3</v>
      </c>
      <c r="M335" t="s">
        <v>122</v>
      </c>
      <c r="N335" t="s">
        <v>3</v>
      </c>
      <c r="O335" t="s">
        <v>3</v>
      </c>
      <c r="P335" t="s">
        <v>3</v>
      </c>
      <c r="Q335" t="s">
        <v>8</v>
      </c>
      <c r="R335" t="s">
        <v>122</v>
      </c>
      <c r="S335" t="s">
        <v>8</v>
      </c>
      <c r="T335" t="s">
        <v>3030</v>
      </c>
      <c r="U335" t="s">
        <v>3</v>
      </c>
      <c r="V335" t="s">
        <v>3</v>
      </c>
      <c r="W335" t="s">
        <v>266</v>
      </c>
      <c r="AA335" t="s">
        <v>8</v>
      </c>
      <c r="AB335" t="s">
        <v>8</v>
      </c>
      <c r="AC335" t="s">
        <v>3</v>
      </c>
      <c r="AD335" t="s">
        <v>8</v>
      </c>
      <c r="AE335" t="s">
        <v>111</v>
      </c>
      <c r="AF335" t="s">
        <v>3033</v>
      </c>
    </row>
    <row r="336" spans="1:32">
      <c r="A336" t="s">
        <v>3034</v>
      </c>
      <c r="B336" t="s">
        <v>3035</v>
      </c>
      <c r="C336" t="s">
        <v>3036</v>
      </c>
      <c r="D336" t="s">
        <v>3037</v>
      </c>
      <c r="E336" t="s">
        <v>2187</v>
      </c>
      <c r="F336" t="s">
        <v>3038</v>
      </c>
      <c r="H336" t="s">
        <v>3039</v>
      </c>
      <c r="I336" t="s">
        <v>3040</v>
      </c>
      <c r="J336" t="s">
        <v>8</v>
      </c>
      <c r="K336" t="s">
        <v>3</v>
      </c>
      <c r="L336" t="s">
        <v>3</v>
      </c>
      <c r="M336" t="s">
        <v>122</v>
      </c>
      <c r="N336" t="s">
        <v>3</v>
      </c>
      <c r="O336" t="s">
        <v>3</v>
      </c>
      <c r="P336" t="s">
        <v>3</v>
      </c>
      <c r="Q336" t="s">
        <v>8</v>
      </c>
      <c r="R336" t="s">
        <v>122</v>
      </c>
      <c r="S336" t="s">
        <v>8</v>
      </c>
      <c r="T336" t="s">
        <v>3034</v>
      </c>
      <c r="U336" t="s">
        <v>3</v>
      </c>
      <c r="V336" t="s">
        <v>3</v>
      </c>
      <c r="W336" t="s">
        <v>270</v>
      </c>
      <c r="Z336" t="s">
        <v>1554</v>
      </c>
      <c r="AA336" t="s">
        <v>3</v>
      </c>
      <c r="AB336" t="s">
        <v>8</v>
      </c>
      <c r="AC336" t="s">
        <v>3</v>
      </c>
      <c r="AD336" t="s">
        <v>8</v>
      </c>
      <c r="AE336" t="s">
        <v>111</v>
      </c>
      <c r="AF336" t="s">
        <v>3041</v>
      </c>
    </row>
    <row r="337" spans="1:32">
      <c r="A337" t="s">
        <v>3042</v>
      </c>
      <c r="B337" t="s">
        <v>3035</v>
      </c>
      <c r="C337" t="s">
        <v>3043</v>
      </c>
      <c r="D337" t="s">
        <v>3037</v>
      </c>
      <c r="E337" t="s">
        <v>2187</v>
      </c>
      <c r="F337" t="s">
        <v>3038</v>
      </c>
      <c r="H337" t="s">
        <v>3039</v>
      </c>
      <c r="I337" t="s">
        <v>3040</v>
      </c>
      <c r="J337" t="s">
        <v>8</v>
      </c>
      <c r="K337" t="s">
        <v>3</v>
      </c>
      <c r="L337" t="s">
        <v>3</v>
      </c>
      <c r="M337" t="s">
        <v>122</v>
      </c>
      <c r="N337" t="s">
        <v>3</v>
      </c>
      <c r="O337" t="s">
        <v>3</v>
      </c>
      <c r="P337" t="s">
        <v>3</v>
      </c>
      <c r="Q337" t="s">
        <v>8</v>
      </c>
      <c r="R337" t="s">
        <v>122</v>
      </c>
      <c r="S337" t="s">
        <v>8</v>
      </c>
      <c r="T337" t="s">
        <v>3042</v>
      </c>
      <c r="U337" t="s">
        <v>3</v>
      </c>
      <c r="V337" t="s">
        <v>3</v>
      </c>
      <c r="W337" t="s">
        <v>270</v>
      </c>
      <c r="Z337" t="s">
        <v>1554</v>
      </c>
      <c r="AA337" t="s">
        <v>3</v>
      </c>
      <c r="AB337" t="s">
        <v>8</v>
      </c>
      <c r="AC337" t="s">
        <v>3</v>
      </c>
      <c r="AD337" t="s">
        <v>8</v>
      </c>
      <c r="AE337" t="s">
        <v>111</v>
      </c>
      <c r="AF337" t="s">
        <v>3044</v>
      </c>
    </row>
    <row r="338" spans="1:32">
      <c r="A338" t="s">
        <v>3045</v>
      </c>
      <c r="B338" t="s">
        <v>3035</v>
      </c>
      <c r="C338" t="s">
        <v>3043</v>
      </c>
      <c r="D338" t="s">
        <v>3037</v>
      </c>
      <c r="E338" t="s">
        <v>2187</v>
      </c>
      <c r="F338" t="s">
        <v>3038</v>
      </c>
      <c r="H338" t="s">
        <v>3039</v>
      </c>
      <c r="I338" t="s">
        <v>3040</v>
      </c>
      <c r="J338" t="s">
        <v>8</v>
      </c>
      <c r="K338" t="s">
        <v>3</v>
      </c>
      <c r="L338" t="s">
        <v>3</v>
      </c>
      <c r="M338" t="s">
        <v>122</v>
      </c>
      <c r="N338" t="s">
        <v>3</v>
      </c>
      <c r="O338" t="s">
        <v>3</v>
      </c>
      <c r="P338" t="s">
        <v>3</v>
      </c>
      <c r="Q338" t="s">
        <v>8</v>
      </c>
      <c r="R338" t="s">
        <v>122</v>
      </c>
      <c r="S338" t="s">
        <v>8</v>
      </c>
      <c r="T338" t="s">
        <v>3045</v>
      </c>
      <c r="U338" t="s">
        <v>3</v>
      </c>
      <c r="V338" t="s">
        <v>3</v>
      </c>
      <c r="W338" t="s">
        <v>270</v>
      </c>
      <c r="AA338" t="s">
        <v>3</v>
      </c>
      <c r="AB338" t="s">
        <v>8</v>
      </c>
      <c r="AC338" t="s">
        <v>3</v>
      </c>
      <c r="AD338" t="s">
        <v>8</v>
      </c>
      <c r="AE338" t="s">
        <v>111</v>
      </c>
      <c r="AF338" t="s">
        <v>3046</v>
      </c>
    </row>
    <row r="339" spans="1:32">
      <c r="A339" t="s">
        <v>3047</v>
      </c>
      <c r="B339" t="s">
        <v>3048</v>
      </c>
      <c r="C339" t="s">
        <v>3043</v>
      </c>
      <c r="D339" t="s">
        <v>3049</v>
      </c>
      <c r="E339" t="s">
        <v>3050</v>
      </c>
      <c r="F339" t="s">
        <v>3051</v>
      </c>
      <c r="H339" t="s">
        <v>3052</v>
      </c>
      <c r="I339" t="s">
        <v>3053</v>
      </c>
      <c r="J339" t="s">
        <v>8</v>
      </c>
      <c r="K339" t="s">
        <v>3</v>
      </c>
      <c r="L339" t="s">
        <v>3</v>
      </c>
      <c r="M339" t="s">
        <v>122</v>
      </c>
      <c r="N339" t="s">
        <v>3</v>
      </c>
      <c r="O339" t="s">
        <v>3</v>
      </c>
      <c r="P339" t="s">
        <v>3</v>
      </c>
      <c r="Q339" t="s">
        <v>8</v>
      </c>
      <c r="R339" t="s">
        <v>122</v>
      </c>
      <c r="S339" t="s">
        <v>8</v>
      </c>
      <c r="T339" t="s">
        <v>3047</v>
      </c>
      <c r="U339" t="s">
        <v>3</v>
      </c>
      <c r="V339" t="s">
        <v>3</v>
      </c>
      <c r="W339" t="s">
        <v>273</v>
      </c>
      <c r="Z339" t="s">
        <v>1554</v>
      </c>
      <c r="AA339" t="s">
        <v>3</v>
      </c>
      <c r="AB339" t="s">
        <v>8</v>
      </c>
      <c r="AC339" t="s">
        <v>3</v>
      </c>
      <c r="AD339" t="s">
        <v>8</v>
      </c>
      <c r="AE339" t="s">
        <v>8</v>
      </c>
      <c r="AF339" t="s">
        <v>3054</v>
      </c>
    </row>
    <row r="340" spans="1:32">
      <c r="A340" t="s">
        <v>3055</v>
      </c>
      <c r="B340" t="s">
        <v>3048</v>
      </c>
      <c r="C340" t="s">
        <v>3036</v>
      </c>
      <c r="D340" t="s">
        <v>3049</v>
      </c>
      <c r="E340" t="s">
        <v>3050</v>
      </c>
      <c r="F340" t="s">
        <v>3051</v>
      </c>
      <c r="H340" t="s">
        <v>3052</v>
      </c>
      <c r="I340" t="s">
        <v>3053</v>
      </c>
      <c r="J340" t="s">
        <v>8</v>
      </c>
      <c r="K340" t="s">
        <v>3</v>
      </c>
      <c r="L340" t="s">
        <v>3</v>
      </c>
      <c r="M340" t="s">
        <v>122</v>
      </c>
      <c r="N340" t="s">
        <v>3</v>
      </c>
      <c r="O340" t="s">
        <v>3</v>
      </c>
      <c r="P340" t="s">
        <v>3</v>
      </c>
      <c r="Q340" t="s">
        <v>8</v>
      </c>
      <c r="R340" t="s">
        <v>122</v>
      </c>
      <c r="S340" t="s">
        <v>8</v>
      </c>
      <c r="T340" t="s">
        <v>3055</v>
      </c>
      <c r="U340" t="s">
        <v>3</v>
      </c>
      <c r="V340" t="s">
        <v>3</v>
      </c>
      <c r="W340" t="s">
        <v>273</v>
      </c>
      <c r="Z340" t="s">
        <v>1554</v>
      </c>
      <c r="AA340" t="s">
        <v>3</v>
      </c>
      <c r="AB340" t="s">
        <v>8</v>
      </c>
      <c r="AC340" t="s">
        <v>3</v>
      </c>
      <c r="AD340" t="s">
        <v>8</v>
      </c>
      <c r="AE340" t="s">
        <v>8</v>
      </c>
      <c r="AF340" t="s">
        <v>3056</v>
      </c>
    </row>
    <row r="341" spans="1:32">
      <c r="A341" t="s">
        <v>3057</v>
      </c>
      <c r="B341" t="s">
        <v>3048</v>
      </c>
      <c r="C341" t="s">
        <v>3043</v>
      </c>
      <c r="D341" t="s">
        <v>3049</v>
      </c>
      <c r="E341" t="s">
        <v>3050</v>
      </c>
      <c r="F341" t="s">
        <v>3051</v>
      </c>
      <c r="H341" t="s">
        <v>3052</v>
      </c>
      <c r="I341" t="s">
        <v>3053</v>
      </c>
      <c r="J341" t="s">
        <v>8</v>
      </c>
      <c r="K341" t="s">
        <v>3</v>
      </c>
      <c r="L341" t="s">
        <v>3</v>
      </c>
      <c r="M341" t="s">
        <v>122</v>
      </c>
      <c r="N341" t="s">
        <v>3</v>
      </c>
      <c r="O341" t="s">
        <v>3</v>
      </c>
      <c r="P341" t="s">
        <v>3</v>
      </c>
      <c r="Q341" t="s">
        <v>8</v>
      </c>
      <c r="R341" t="s">
        <v>122</v>
      </c>
      <c r="S341" t="s">
        <v>8</v>
      </c>
      <c r="T341" t="s">
        <v>3057</v>
      </c>
      <c r="U341" t="s">
        <v>3</v>
      </c>
      <c r="V341" t="s">
        <v>3</v>
      </c>
      <c r="W341" t="s">
        <v>3</v>
      </c>
      <c r="AA341" t="s">
        <v>3</v>
      </c>
      <c r="AB341" t="s">
        <v>8</v>
      </c>
      <c r="AC341" t="s">
        <v>3</v>
      </c>
      <c r="AD341" t="s">
        <v>8</v>
      </c>
      <c r="AE341" t="s">
        <v>8</v>
      </c>
      <c r="AF341" t="s">
        <v>3058</v>
      </c>
    </row>
    <row r="342" spans="1:32">
      <c r="A342" t="s">
        <v>3059</v>
      </c>
      <c r="B342" t="s">
        <v>3048</v>
      </c>
      <c r="C342" t="s">
        <v>3043</v>
      </c>
      <c r="D342" t="s">
        <v>3049</v>
      </c>
      <c r="E342" t="s">
        <v>3050</v>
      </c>
      <c r="F342" t="s">
        <v>3051</v>
      </c>
      <c r="H342" t="s">
        <v>3052</v>
      </c>
      <c r="I342" t="s">
        <v>3053</v>
      </c>
      <c r="J342" t="s">
        <v>8</v>
      </c>
      <c r="K342" t="s">
        <v>3</v>
      </c>
      <c r="L342" t="s">
        <v>3</v>
      </c>
      <c r="M342" t="s">
        <v>122</v>
      </c>
      <c r="N342" t="s">
        <v>3</v>
      </c>
      <c r="O342" t="s">
        <v>3</v>
      </c>
      <c r="P342" t="s">
        <v>3</v>
      </c>
      <c r="Q342" t="s">
        <v>8</v>
      </c>
      <c r="R342" t="s">
        <v>122</v>
      </c>
      <c r="S342" t="s">
        <v>8</v>
      </c>
      <c r="T342" t="s">
        <v>3060</v>
      </c>
      <c r="U342" t="s">
        <v>3</v>
      </c>
      <c r="V342" t="s">
        <v>3</v>
      </c>
      <c r="W342" t="s">
        <v>3</v>
      </c>
      <c r="AA342" t="s">
        <v>3</v>
      </c>
      <c r="AB342" t="s">
        <v>8</v>
      </c>
      <c r="AC342" t="s">
        <v>3</v>
      </c>
      <c r="AD342" t="s">
        <v>8</v>
      </c>
      <c r="AE342" t="s">
        <v>111</v>
      </c>
      <c r="AF342" t="s">
        <v>3061</v>
      </c>
    </row>
    <row r="343" spans="1:32">
      <c r="A343" t="s">
        <v>3062</v>
      </c>
      <c r="B343" t="s">
        <v>3063</v>
      </c>
      <c r="C343" t="s">
        <v>3064</v>
      </c>
      <c r="D343" t="s">
        <v>3065</v>
      </c>
      <c r="E343" t="s">
        <v>1535</v>
      </c>
      <c r="F343" t="s">
        <v>3066</v>
      </c>
      <c r="H343" t="s">
        <v>3067</v>
      </c>
      <c r="J343" t="s">
        <v>8</v>
      </c>
      <c r="K343" t="s">
        <v>3</v>
      </c>
      <c r="L343" t="s">
        <v>3</v>
      </c>
      <c r="M343" t="s">
        <v>122</v>
      </c>
      <c r="N343" t="s">
        <v>3</v>
      </c>
      <c r="O343" t="s">
        <v>3</v>
      </c>
      <c r="P343" t="s">
        <v>3</v>
      </c>
      <c r="Q343" t="s">
        <v>8</v>
      </c>
      <c r="R343" t="s">
        <v>122</v>
      </c>
      <c r="S343" t="s">
        <v>8</v>
      </c>
      <c r="T343" t="s">
        <v>3062</v>
      </c>
      <c r="U343" t="s">
        <v>3</v>
      </c>
      <c r="V343" t="s">
        <v>3</v>
      </c>
      <c r="W343" t="s">
        <v>726</v>
      </c>
      <c r="Z343" t="s">
        <v>1554</v>
      </c>
      <c r="AA343" t="s">
        <v>8</v>
      </c>
      <c r="AB343" t="s">
        <v>8</v>
      </c>
      <c r="AC343" t="s">
        <v>3</v>
      </c>
      <c r="AD343" t="s">
        <v>8</v>
      </c>
      <c r="AE343" t="s">
        <v>111</v>
      </c>
      <c r="AF343" t="s">
        <v>3068</v>
      </c>
    </row>
    <row r="344" spans="1:32">
      <c r="A344" t="s">
        <v>3069</v>
      </c>
      <c r="B344" t="s">
        <v>3063</v>
      </c>
      <c r="C344" t="s">
        <v>3064</v>
      </c>
      <c r="D344" t="s">
        <v>3065</v>
      </c>
      <c r="E344" t="s">
        <v>1535</v>
      </c>
      <c r="F344" t="s">
        <v>3066</v>
      </c>
      <c r="H344" t="s">
        <v>3067</v>
      </c>
      <c r="J344" t="s">
        <v>8</v>
      </c>
      <c r="K344" t="s">
        <v>3</v>
      </c>
      <c r="L344" t="s">
        <v>3</v>
      </c>
      <c r="M344" t="s">
        <v>122</v>
      </c>
      <c r="N344" t="s">
        <v>3</v>
      </c>
      <c r="O344" t="s">
        <v>3</v>
      </c>
      <c r="P344" t="s">
        <v>3</v>
      </c>
      <c r="Q344" t="s">
        <v>8</v>
      </c>
      <c r="R344" t="s">
        <v>122</v>
      </c>
      <c r="S344" t="s">
        <v>8</v>
      </c>
      <c r="T344" t="s">
        <v>3069</v>
      </c>
      <c r="U344" t="s">
        <v>3</v>
      </c>
      <c r="V344" t="s">
        <v>3</v>
      </c>
      <c r="W344" t="s">
        <v>726</v>
      </c>
      <c r="Z344" t="s">
        <v>1554</v>
      </c>
      <c r="AA344" t="s">
        <v>3</v>
      </c>
      <c r="AB344" t="s">
        <v>8</v>
      </c>
      <c r="AC344" t="s">
        <v>3</v>
      </c>
      <c r="AD344" t="s">
        <v>8</v>
      </c>
      <c r="AE344" t="s">
        <v>111</v>
      </c>
      <c r="AF344" t="s">
        <v>3070</v>
      </c>
    </row>
    <row r="345" spans="1:32">
      <c r="A345" t="s">
        <v>3071</v>
      </c>
      <c r="B345" t="s">
        <v>3063</v>
      </c>
      <c r="C345" t="s">
        <v>3064</v>
      </c>
      <c r="D345" t="s">
        <v>3065</v>
      </c>
      <c r="E345" t="s">
        <v>1535</v>
      </c>
      <c r="F345" t="s">
        <v>3066</v>
      </c>
      <c r="H345" t="s">
        <v>3067</v>
      </c>
      <c r="J345" t="s">
        <v>8</v>
      </c>
      <c r="K345" t="s">
        <v>3</v>
      </c>
      <c r="L345" t="s">
        <v>3</v>
      </c>
      <c r="M345" t="s">
        <v>122</v>
      </c>
      <c r="N345" t="s">
        <v>3</v>
      </c>
      <c r="O345" t="s">
        <v>3</v>
      </c>
      <c r="P345" t="s">
        <v>3</v>
      </c>
      <c r="Q345" t="s">
        <v>8</v>
      </c>
      <c r="R345" t="s">
        <v>122</v>
      </c>
      <c r="S345" t="s">
        <v>8</v>
      </c>
      <c r="T345" t="s">
        <v>3071</v>
      </c>
      <c r="U345" t="s">
        <v>3</v>
      </c>
      <c r="V345" t="s">
        <v>3</v>
      </c>
      <c r="W345" t="s">
        <v>726</v>
      </c>
      <c r="Z345" t="s">
        <v>1554</v>
      </c>
      <c r="AA345" t="s">
        <v>3</v>
      </c>
      <c r="AB345" t="s">
        <v>8</v>
      </c>
      <c r="AC345" t="s">
        <v>3</v>
      </c>
      <c r="AD345" t="s">
        <v>8</v>
      </c>
      <c r="AE345" t="s">
        <v>111</v>
      </c>
      <c r="AF345" t="s">
        <v>3072</v>
      </c>
    </row>
    <row r="346" spans="1:32">
      <c r="A346" t="s">
        <v>3073</v>
      </c>
      <c r="B346" t="s">
        <v>3074</v>
      </c>
      <c r="C346" t="s">
        <v>3075</v>
      </c>
      <c r="D346" t="s">
        <v>3076</v>
      </c>
      <c r="E346" t="s">
        <v>2065</v>
      </c>
      <c r="F346" t="s">
        <v>3077</v>
      </c>
      <c r="H346" t="s">
        <v>3078</v>
      </c>
      <c r="I346" t="s">
        <v>3079</v>
      </c>
      <c r="J346" t="s">
        <v>8</v>
      </c>
      <c r="K346" t="s">
        <v>3</v>
      </c>
      <c r="L346" t="s">
        <v>3</v>
      </c>
      <c r="M346" t="s">
        <v>122</v>
      </c>
      <c r="N346" t="s">
        <v>3</v>
      </c>
      <c r="O346" t="s">
        <v>3</v>
      </c>
      <c r="P346" t="s">
        <v>3</v>
      </c>
      <c r="Q346" t="s">
        <v>8</v>
      </c>
      <c r="R346" t="s">
        <v>122</v>
      </c>
      <c r="S346" t="s">
        <v>8</v>
      </c>
      <c r="T346" t="s">
        <v>3073</v>
      </c>
      <c r="U346" t="s">
        <v>3</v>
      </c>
      <c r="V346" t="s">
        <v>3</v>
      </c>
      <c r="W346" t="s">
        <v>3</v>
      </c>
      <c r="AA346" t="s">
        <v>8</v>
      </c>
      <c r="AB346" t="s">
        <v>8</v>
      </c>
      <c r="AC346" t="s">
        <v>3</v>
      </c>
      <c r="AD346" t="s">
        <v>8</v>
      </c>
      <c r="AE346" t="s">
        <v>111</v>
      </c>
      <c r="AF346" t="s">
        <v>3080</v>
      </c>
    </row>
    <row r="347" spans="1:32">
      <c r="A347" t="s">
        <v>3081</v>
      </c>
      <c r="B347" t="s">
        <v>3082</v>
      </c>
      <c r="C347" t="s">
        <v>3083</v>
      </c>
      <c r="D347" t="s">
        <v>3082</v>
      </c>
      <c r="E347" t="s">
        <v>2065</v>
      </c>
      <c r="F347" t="s">
        <v>3077</v>
      </c>
      <c r="H347" t="s">
        <v>3078</v>
      </c>
      <c r="I347" t="s">
        <v>3079</v>
      </c>
      <c r="J347" t="s">
        <v>8</v>
      </c>
      <c r="K347" t="s">
        <v>3</v>
      </c>
      <c r="L347" t="s">
        <v>3</v>
      </c>
      <c r="M347" t="s">
        <v>122</v>
      </c>
      <c r="N347" t="s">
        <v>3</v>
      </c>
      <c r="O347" t="s">
        <v>3</v>
      </c>
      <c r="P347" t="s">
        <v>3</v>
      </c>
      <c r="Q347" t="s">
        <v>8</v>
      </c>
      <c r="R347" t="s">
        <v>122</v>
      </c>
      <c r="S347" t="s">
        <v>8</v>
      </c>
      <c r="T347" t="s">
        <v>3073</v>
      </c>
      <c r="U347" t="s">
        <v>3</v>
      </c>
      <c r="V347" t="s">
        <v>3</v>
      </c>
      <c r="W347" t="s">
        <v>3</v>
      </c>
      <c r="AA347" t="s">
        <v>8</v>
      </c>
      <c r="AB347" t="s">
        <v>8</v>
      </c>
      <c r="AC347" t="s">
        <v>3</v>
      </c>
      <c r="AD347" t="s">
        <v>8</v>
      </c>
      <c r="AE347" t="s">
        <v>111</v>
      </c>
      <c r="AF347" t="s">
        <v>3084</v>
      </c>
    </row>
    <row r="348" spans="1:32">
      <c r="A348" t="s">
        <v>3085</v>
      </c>
      <c r="B348" t="s">
        <v>3086</v>
      </c>
      <c r="C348" t="s">
        <v>3087</v>
      </c>
      <c r="D348" t="s">
        <v>3086</v>
      </c>
      <c r="E348" t="s">
        <v>2065</v>
      </c>
      <c r="F348" t="s">
        <v>3077</v>
      </c>
      <c r="J348" t="s">
        <v>8</v>
      </c>
      <c r="K348" t="s">
        <v>3</v>
      </c>
      <c r="L348" t="s">
        <v>3</v>
      </c>
      <c r="M348" t="s">
        <v>122</v>
      </c>
      <c r="N348" t="s">
        <v>3</v>
      </c>
      <c r="O348" t="s">
        <v>3</v>
      </c>
      <c r="P348" t="s">
        <v>3</v>
      </c>
      <c r="Q348" t="s">
        <v>8</v>
      </c>
      <c r="R348" t="s">
        <v>122</v>
      </c>
      <c r="S348" t="s">
        <v>8</v>
      </c>
      <c r="T348" t="s">
        <v>3085</v>
      </c>
      <c r="U348" t="s">
        <v>3</v>
      </c>
      <c r="V348" t="s">
        <v>3</v>
      </c>
      <c r="W348" t="s">
        <v>3</v>
      </c>
      <c r="AA348" t="s">
        <v>8</v>
      </c>
      <c r="AB348" t="s">
        <v>8</v>
      </c>
      <c r="AC348" t="s">
        <v>3</v>
      </c>
      <c r="AD348" t="s">
        <v>8</v>
      </c>
      <c r="AE348" t="s">
        <v>111</v>
      </c>
      <c r="AF348" t="s">
        <v>3088</v>
      </c>
    </row>
    <row r="349" spans="1:32">
      <c r="A349" t="s">
        <v>3089</v>
      </c>
      <c r="B349" t="s">
        <v>3090</v>
      </c>
      <c r="C349" t="s">
        <v>3091</v>
      </c>
      <c r="D349" t="s">
        <v>3092</v>
      </c>
      <c r="E349" t="s">
        <v>2304</v>
      </c>
      <c r="F349" t="s">
        <v>3093</v>
      </c>
      <c r="G349" t="s">
        <v>3094</v>
      </c>
      <c r="H349" t="s">
        <v>3095</v>
      </c>
      <c r="I349" t="s">
        <v>3096</v>
      </c>
      <c r="J349" t="s">
        <v>8</v>
      </c>
      <c r="K349" t="s">
        <v>3</v>
      </c>
      <c r="L349" t="s">
        <v>3</v>
      </c>
      <c r="M349" t="s">
        <v>122</v>
      </c>
      <c r="N349" t="s">
        <v>3</v>
      </c>
      <c r="O349" t="s">
        <v>3</v>
      </c>
      <c r="P349" t="s">
        <v>3</v>
      </c>
      <c r="Q349" t="s">
        <v>8</v>
      </c>
      <c r="R349" t="s">
        <v>122</v>
      </c>
      <c r="S349" t="s">
        <v>8</v>
      </c>
      <c r="T349" t="s">
        <v>3089</v>
      </c>
      <c r="U349" t="s">
        <v>3</v>
      </c>
      <c r="V349" t="s">
        <v>3</v>
      </c>
      <c r="W349" t="s">
        <v>161</v>
      </c>
      <c r="AA349" t="s">
        <v>8</v>
      </c>
      <c r="AB349" t="s">
        <v>8</v>
      </c>
      <c r="AC349" t="s">
        <v>3</v>
      </c>
      <c r="AD349" t="s">
        <v>8</v>
      </c>
      <c r="AE349" t="s">
        <v>111</v>
      </c>
      <c r="AF349" t="s">
        <v>3097</v>
      </c>
    </row>
    <row r="350" spans="1:32">
      <c r="A350" t="s">
        <v>3098</v>
      </c>
      <c r="B350" t="s">
        <v>3099</v>
      </c>
      <c r="C350" t="s">
        <v>3100</v>
      </c>
      <c r="D350" t="s">
        <v>3101</v>
      </c>
      <c r="E350" t="s">
        <v>3102</v>
      </c>
      <c r="F350" t="s">
        <v>3103</v>
      </c>
      <c r="H350" t="s">
        <v>3104</v>
      </c>
      <c r="J350" t="s">
        <v>8</v>
      </c>
      <c r="K350" t="s">
        <v>3</v>
      </c>
      <c r="L350" t="s">
        <v>3</v>
      </c>
      <c r="M350" t="s">
        <v>122</v>
      </c>
      <c r="N350" t="s">
        <v>3</v>
      </c>
      <c r="O350" t="s">
        <v>3</v>
      </c>
      <c r="P350" t="s">
        <v>3</v>
      </c>
      <c r="Q350" t="s">
        <v>8</v>
      </c>
      <c r="R350" t="s">
        <v>122</v>
      </c>
      <c r="S350" t="s">
        <v>8</v>
      </c>
      <c r="T350" t="s">
        <v>3098</v>
      </c>
      <c r="U350" t="s">
        <v>3</v>
      </c>
      <c r="V350" t="s">
        <v>3</v>
      </c>
      <c r="W350" t="s">
        <v>3</v>
      </c>
      <c r="AA350" t="s">
        <v>3</v>
      </c>
      <c r="AB350" t="s">
        <v>8</v>
      </c>
      <c r="AC350" t="s">
        <v>3</v>
      </c>
      <c r="AD350" t="s">
        <v>8</v>
      </c>
      <c r="AE350" t="s">
        <v>111</v>
      </c>
      <c r="AF350" t="s">
        <v>3105</v>
      </c>
    </row>
    <row r="351" spans="1:32">
      <c r="A351" t="s">
        <v>3106</v>
      </c>
      <c r="B351" t="s">
        <v>3099</v>
      </c>
      <c r="C351" t="s">
        <v>3100</v>
      </c>
      <c r="D351" t="s">
        <v>3101</v>
      </c>
      <c r="E351" t="s">
        <v>3102</v>
      </c>
      <c r="F351" t="s">
        <v>3103</v>
      </c>
      <c r="H351" t="s">
        <v>3104</v>
      </c>
      <c r="J351" t="s">
        <v>8</v>
      </c>
      <c r="K351" t="s">
        <v>3</v>
      </c>
      <c r="L351" t="s">
        <v>3</v>
      </c>
      <c r="M351" t="s">
        <v>122</v>
      </c>
      <c r="N351" t="s">
        <v>3</v>
      </c>
      <c r="O351" t="s">
        <v>3</v>
      </c>
      <c r="P351" t="s">
        <v>3</v>
      </c>
      <c r="Q351" t="s">
        <v>8</v>
      </c>
      <c r="R351" t="s">
        <v>122</v>
      </c>
      <c r="S351" t="s">
        <v>8</v>
      </c>
      <c r="T351" t="s">
        <v>3106</v>
      </c>
      <c r="U351" t="s">
        <v>3</v>
      </c>
      <c r="V351" t="s">
        <v>3</v>
      </c>
      <c r="W351" t="s">
        <v>3</v>
      </c>
      <c r="AA351" t="s">
        <v>3</v>
      </c>
      <c r="AB351" t="s">
        <v>8</v>
      </c>
      <c r="AC351" t="s">
        <v>3</v>
      </c>
      <c r="AD351" t="s">
        <v>8</v>
      </c>
      <c r="AE351" t="s">
        <v>67</v>
      </c>
      <c r="AF351" t="s">
        <v>3107</v>
      </c>
    </row>
    <row r="352" spans="1:32">
      <c r="A352" t="s">
        <v>3108</v>
      </c>
      <c r="B352" t="s">
        <v>3109</v>
      </c>
      <c r="C352" t="s">
        <v>3110</v>
      </c>
      <c r="D352" t="s">
        <v>3109</v>
      </c>
      <c r="E352" t="s">
        <v>3111</v>
      </c>
      <c r="F352" t="s">
        <v>3112</v>
      </c>
      <c r="H352" t="s">
        <v>3113</v>
      </c>
      <c r="I352" t="s">
        <v>3114</v>
      </c>
      <c r="J352" t="s">
        <v>8</v>
      </c>
      <c r="K352" t="s">
        <v>3</v>
      </c>
      <c r="L352" t="s">
        <v>3</v>
      </c>
      <c r="M352" t="s">
        <v>122</v>
      </c>
      <c r="N352" t="s">
        <v>3</v>
      </c>
      <c r="O352" t="s">
        <v>3</v>
      </c>
      <c r="P352" t="s">
        <v>3</v>
      </c>
      <c r="Q352" t="s">
        <v>8</v>
      </c>
      <c r="R352" t="s">
        <v>122</v>
      </c>
      <c r="S352" t="s">
        <v>8</v>
      </c>
      <c r="T352" t="s">
        <v>3108</v>
      </c>
      <c r="U352" t="s">
        <v>3</v>
      </c>
      <c r="V352" t="s">
        <v>3</v>
      </c>
      <c r="W352" t="s">
        <v>939</v>
      </c>
      <c r="AA352" t="s">
        <v>8</v>
      </c>
      <c r="AB352" t="s">
        <v>8</v>
      </c>
      <c r="AC352" t="s">
        <v>3</v>
      </c>
      <c r="AD352" t="s">
        <v>8</v>
      </c>
      <c r="AE352" t="s">
        <v>111</v>
      </c>
      <c r="AF352" t="s">
        <v>3115</v>
      </c>
    </row>
    <row r="353" spans="1:32">
      <c r="A353" t="s">
        <v>3116</v>
      </c>
      <c r="B353" t="s">
        <v>3117</v>
      </c>
      <c r="C353" t="s">
        <v>3118</v>
      </c>
      <c r="D353" t="s">
        <v>3119</v>
      </c>
      <c r="E353" t="s">
        <v>3120</v>
      </c>
      <c r="F353" t="s">
        <v>3121</v>
      </c>
      <c r="H353" t="s">
        <v>3122</v>
      </c>
      <c r="I353" t="s">
        <v>3123</v>
      </c>
      <c r="J353" t="s">
        <v>8</v>
      </c>
      <c r="K353" t="s">
        <v>3</v>
      </c>
      <c r="L353" t="s">
        <v>3</v>
      </c>
      <c r="M353" t="s">
        <v>122</v>
      </c>
      <c r="N353" t="s">
        <v>3</v>
      </c>
      <c r="O353" t="s">
        <v>3</v>
      </c>
      <c r="P353" t="s">
        <v>3</v>
      </c>
      <c r="Q353" t="s">
        <v>8</v>
      </c>
      <c r="R353" t="s">
        <v>122</v>
      </c>
      <c r="S353" t="s">
        <v>8</v>
      </c>
      <c r="T353" t="s">
        <v>3116</v>
      </c>
      <c r="U353" t="s">
        <v>3</v>
      </c>
      <c r="V353" t="s">
        <v>3</v>
      </c>
      <c r="W353" t="s">
        <v>3</v>
      </c>
      <c r="AA353" t="s">
        <v>3</v>
      </c>
      <c r="AB353" t="s">
        <v>8</v>
      </c>
      <c r="AC353" t="s">
        <v>3</v>
      </c>
      <c r="AD353" t="s">
        <v>8</v>
      </c>
      <c r="AE353" t="s">
        <v>111</v>
      </c>
      <c r="AF353" t="s">
        <v>3124</v>
      </c>
    </row>
    <row r="354" spans="1:32">
      <c r="A354" t="s">
        <v>3125</v>
      </c>
      <c r="B354" t="s">
        <v>3126</v>
      </c>
      <c r="C354" t="s">
        <v>3127</v>
      </c>
      <c r="D354" t="s">
        <v>3128</v>
      </c>
      <c r="J354" t="s">
        <v>8</v>
      </c>
      <c r="K354" t="s">
        <v>3</v>
      </c>
      <c r="L354" t="s">
        <v>3</v>
      </c>
      <c r="M354" t="s">
        <v>122</v>
      </c>
      <c r="N354" t="s">
        <v>3</v>
      </c>
      <c r="O354" t="s">
        <v>3</v>
      </c>
      <c r="P354" t="s">
        <v>3</v>
      </c>
      <c r="Q354" t="s">
        <v>8</v>
      </c>
      <c r="R354" t="s">
        <v>122</v>
      </c>
      <c r="S354" t="s">
        <v>8</v>
      </c>
      <c r="T354" t="s">
        <v>3125</v>
      </c>
      <c r="U354" t="s">
        <v>3</v>
      </c>
      <c r="V354" t="s">
        <v>3</v>
      </c>
      <c r="W354" t="s">
        <v>939</v>
      </c>
      <c r="AA354" t="s">
        <v>3</v>
      </c>
      <c r="AB354" t="s">
        <v>8</v>
      </c>
      <c r="AC354" t="s">
        <v>3</v>
      </c>
      <c r="AD354" t="s">
        <v>8</v>
      </c>
      <c r="AE354" t="s">
        <v>111</v>
      </c>
      <c r="AF354" t="s">
        <v>3129</v>
      </c>
    </row>
    <row r="355" spans="1:32">
      <c r="A355" t="s">
        <v>3130</v>
      </c>
      <c r="B355" t="s">
        <v>3131</v>
      </c>
      <c r="C355" t="s">
        <v>3132</v>
      </c>
      <c r="D355" t="s">
        <v>3131</v>
      </c>
      <c r="E355" t="s">
        <v>3133</v>
      </c>
      <c r="F355" t="s">
        <v>3134</v>
      </c>
      <c r="I355" t="s">
        <v>3135</v>
      </c>
      <c r="J355" t="s">
        <v>8</v>
      </c>
      <c r="K355" t="s">
        <v>3</v>
      </c>
      <c r="L355" t="s">
        <v>3</v>
      </c>
      <c r="M355" t="s">
        <v>122</v>
      </c>
      <c r="N355" t="s">
        <v>3</v>
      </c>
      <c r="O355" t="s">
        <v>3</v>
      </c>
      <c r="P355" t="s">
        <v>3</v>
      </c>
      <c r="Q355" t="s">
        <v>8</v>
      </c>
      <c r="R355" t="s">
        <v>122</v>
      </c>
      <c r="S355" t="s">
        <v>8</v>
      </c>
      <c r="T355" t="s">
        <v>3130</v>
      </c>
      <c r="U355" t="s">
        <v>3</v>
      </c>
      <c r="V355" t="s">
        <v>3</v>
      </c>
      <c r="W355" t="s">
        <v>3136</v>
      </c>
      <c r="AA355" t="s">
        <v>8</v>
      </c>
      <c r="AB355" t="s">
        <v>8</v>
      </c>
      <c r="AC355" t="s">
        <v>3</v>
      </c>
      <c r="AD355" t="s">
        <v>8</v>
      </c>
      <c r="AE355" t="s">
        <v>84</v>
      </c>
      <c r="AF355" t="s">
        <v>3137</v>
      </c>
    </row>
    <row r="356" spans="1:32">
      <c r="A356" t="s">
        <v>3138</v>
      </c>
      <c r="B356" t="s">
        <v>3139</v>
      </c>
      <c r="C356" t="s">
        <v>3140</v>
      </c>
      <c r="D356" t="s">
        <v>3141</v>
      </c>
      <c r="E356" t="s">
        <v>3142</v>
      </c>
      <c r="F356" t="s">
        <v>3143</v>
      </c>
      <c r="H356" t="s">
        <v>3144</v>
      </c>
      <c r="I356" t="s">
        <v>3145</v>
      </c>
      <c r="J356" t="s">
        <v>8</v>
      </c>
      <c r="K356" t="s">
        <v>3</v>
      </c>
      <c r="L356" t="s">
        <v>3</v>
      </c>
      <c r="M356" t="s">
        <v>122</v>
      </c>
      <c r="N356" t="s">
        <v>3</v>
      </c>
      <c r="O356" t="s">
        <v>3</v>
      </c>
      <c r="P356" t="s">
        <v>3</v>
      </c>
      <c r="Q356" t="s">
        <v>8</v>
      </c>
      <c r="R356" t="s">
        <v>122</v>
      </c>
      <c r="S356" t="s">
        <v>8</v>
      </c>
      <c r="T356" t="s">
        <v>3138</v>
      </c>
      <c r="U356" t="s">
        <v>3</v>
      </c>
      <c r="V356" t="s">
        <v>3</v>
      </c>
      <c r="W356" t="s">
        <v>3</v>
      </c>
      <c r="AA356" t="s">
        <v>8</v>
      </c>
      <c r="AB356" t="s">
        <v>8</v>
      </c>
      <c r="AC356" t="s">
        <v>3</v>
      </c>
      <c r="AD356" t="s">
        <v>8</v>
      </c>
      <c r="AE356" t="s">
        <v>84</v>
      </c>
      <c r="AF356" t="s">
        <v>3146</v>
      </c>
    </row>
    <row r="357" spans="1:32">
      <c r="A357" t="s">
        <v>3147</v>
      </c>
      <c r="B357" t="s">
        <v>3139</v>
      </c>
      <c r="C357" t="s">
        <v>3140</v>
      </c>
      <c r="D357" t="s">
        <v>3141</v>
      </c>
      <c r="E357" t="s">
        <v>3142</v>
      </c>
      <c r="F357" t="s">
        <v>3143</v>
      </c>
      <c r="H357" t="s">
        <v>3144</v>
      </c>
      <c r="I357" t="s">
        <v>3145</v>
      </c>
      <c r="J357" t="s">
        <v>8</v>
      </c>
      <c r="K357" t="s">
        <v>3</v>
      </c>
      <c r="L357" t="s">
        <v>3</v>
      </c>
      <c r="M357" t="s">
        <v>122</v>
      </c>
      <c r="N357" t="s">
        <v>3</v>
      </c>
      <c r="O357" t="s">
        <v>3</v>
      </c>
      <c r="P357" t="s">
        <v>3</v>
      </c>
      <c r="Q357" t="s">
        <v>8</v>
      </c>
      <c r="R357" t="s">
        <v>122</v>
      </c>
      <c r="S357" t="s">
        <v>8</v>
      </c>
      <c r="T357" t="s">
        <v>3138</v>
      </c>
      <c r="U357" t="s">
        <v>3</v>
      </c>
      <c r="V357" t="s">
        <v>3</v>
      </c>
      <c r="W357" t="s">
        <v>3</v>
      </c>
      <c r="AA357" t="s">
        <v>8</v>
      </c>
      <c r="AB357" t="s">
        <v>8</v>
      </c>
      <c r="AC357" t="s">
        <v>3</v>
      </c>
      <c r="AD357" t="s">
        <v>8</v>
      </c>
      <c r="AE357" t="s">
        <v>84</v>
      </c>
      <c r="AF357" t="s">
        <v>3148</v>
      </c>
    </row>
    <row r="358" spans="1:32">
      <c r="A358" t="s">
        <v>3149</v>
      </c>
      <c r="B358" t="s">
        <v>3150</v>
      </c>
      <c r="C358" t="s">
        <v>3151</v>
      </c>
      <c r="D358" t="s">
        <v>3152</v>
      </c>
      <c r="E358" t="s">
        <v>3153</v>
      </c>
      <c r="F358" t="s">
        <v>3154</v>
      </c>
      <c r="H358" t="s">
        <v>3155</v>
      </c>
      <c r="I358" t="s">
        <v>3155</v>
      </c>
      <c r="J358" t="s">
        <v>8</v>
      </c>
      <c r="K358" t="s">
        <v>3</v>
      </c>
      <c r="L358" t="s">
        <v>3</v>
      </c>
      <c r="M358" t="s">
        <v>122</v>
      </c>
      <c r="N358" t="s">
        <v>3</v>
      </c>
      <c r="O358" t="s">
        <v>3</v>
      </c>
      <c r="P358" t="s">
        <v>3</v>
      </c>
      <c r="Q358" t="s">
        <v>8</v>
      </c>
      <c r="R358" t="s">
        <v>122</v>
      </c>
      <c r="S358" t="s">
        <v>8</v>
      </c>
      <c r="T358" t="s">
        <v>3149</v>
      </c>
      <c r="U358" t="s">
        <v>3</v>
      </c>
      <c r="V358" t="s">
        <v>3</v>
      </c>
      <c r="W358" t="s">
        <v>885</v>
      </c>
      <c r="AA358" t="s">
        <v>8</v>
      </c>
      <c r="AB358" t="s">
        <v>8</v>
      </c>
      <c r="AC358" t="s">
        <v>3</v>
      </c>
      <c r="AD358" t="s">
        <v>8</v>
      </c>
      <c r="AE358" t="s">
        <v>111</v>
      </c>
      <c r="AF358" t="s">
        <v>3156</v>
      </c>
    </row>
    <row r="359" spans="1:32">
      <c r="A359" t="s">
        <v>3157</v>
      </c>
      <c r="B359" t="s">
        <v>3150</v>
      </c>
      <c r="C359" t="s">
        <v>3151</v>
      </c>
      <c r="D359" t="s">
        <v>3152</v>
      </c>
      <c r="E359" t="s">
        <v>3153</v>
      </c>
      <c r="F359" t="s">
        <v>3154</v>
      </c>
      <c r="H359" t="s">
        <v>3155</v>
      </c>
      <c r="I359" t="s">
        <v>3155</v>
      </c>
      <c r="J359" t="s">
        <v>8</v>
      </c>
      <c r="K359" t="s">
        <v>3</v>
      </c>
      <c r="L359" t="s">
        <v>3</v>
      </c>
      <c r="M359" t="s">
        <v>122</v>
      </c>
      <c r="N359" t="s">
        <v>3</v>
      </c>
      <c r="O359" t="s">
        <v>3</v>
      </c>
      <c r="P359" t="s">
        <v>3</v>
      </c>
      <c r="Q359" t="s">
        <v>8</v>
      </c>
      <c r="R359" t="s">
        <v>122</v>
      </c>
      <c r="S359" t="s">
        <v>8</v>
      </c>
      <c r="T359" t="s">
        <v>3157</v>
      </c>
      <c r="U359" t="s">
        <v>3</v>
      </c>
      <c r="V359" t="s">
        <v>3</v>
      </c>
      <c r="W359" t="s">
        <v>885</v>
      </c>
      <c r="AA359" t="s">
        <v>8</v>
      </c>
      <c r="AB359" t="s">
        <v>8</v>
      </c>
      <c r="AC359" t="s">
        <v>3</v>
      </c>
      <c r="AD359" t="s">
        <v>8</v>
      </c>
      <c r="AE359" t="s">
        <v>111</v>
      </c>
      <c r="AF359" t="s">
        <v>3158</v>
      </c>
    </row>
    <row r="360" spans="1:32">
      <c r="A360" t="s">
        <v>3159</v>
      </c>
      <c r="B360" t="s">
        <v>3160</v>
      </c>
      <c r="C360" t="s">
        <v>3161</v>
      </c>
      <c r="D360" t="s">
        <v>3160</v>
      </c>
      <c r="E360" t="s">
        <v>3162</v>
      </c>
      <c r="F360" t="s">
        <v>3163</v>
      </c>
      <c r="H360" t="s">
        <v>3164</v>
      </c>
      <c r="J360" t="s">
        <v>8</v>
      </c>
      <c r="K360" t="s">
        <v>3</v>
      </c>
      <c r="L360" t="s">
        <v>3</v>
      </c>
      <c r="M360" t="s">
        <v>122</v>
      </c>
      <c r="N360" t="s">
        <v>3</v>
      </c>
      <c r="O360" t="s">
        <v>3</v>
      </c>
      <c r="P360" t="s">
        <v>3</v>
      </c>
      <c r="Q360" t="s">
        <v>8</v>
      </c>
      <c r="R360" t="s">
        <v>122</v>
      </c>
      <c r="S360" t="s">
        <v>8</v>
      </c>
      <c r="T360" t="s">
        <v>3159</v>
      </c>
      <c r="U360" t="s">
        <v>3</v>
      </c>
      <c r="V360" t="s">
        <v>3</v>
      </c>
      <c r="W360" t="s">
        <v>3</v>
      </c>
      <c r="AA360" t="s">
        <v>8</v>
      </c>
      <c r="AB360" t="s">
        <v>8</v>
      </c>
      <c r="AC360" t="s">
        <v>3</v>
      </c>
      <c r="AD360" t="s">
        <v>8</v>
      </c>
      <c r="AE360" t="s">
        <v>111</v>
      </c>
      <c r="AF360" t="s">
        <v>3165</v>
      </c>
    </row>
    <row r="361" spans="1:32">
      <c r="A361" t="s">
        <v>158</v>
      </c>
      <c r="B361" t="s">
        <v>666</v>
      </c>
      <c r="C361" t="s">
        <v>1554</v>
      </c>
      <c r="D361" t="s">
        <v>3166</v>
      </c>
      <c r="J361" t="s">
        <v>3</v>
      </c>
      <c r="K361" t="s">
        <v>3</v>
      </c>
      <c r="L361" t="s">
        <v>3</v>
      </c>
      <c r="M361" t="s">
        <v>122</v>
      </c>
      <c r="N361" t="s">
        <v>3</v>
      </c>
      <c r="O361" t="s">
        <v>3</v>
      </c>
      <c r="P361" t="s">
        <v>3</v>
      </c>
      <c r="Q361" t="s">
        <v>3</v>
      </c>
      <c r="R361" t="s">
        <v>122</v>
      </c>
      <c r="S361" t="s">
        <v>8</v>
      </c>
      <c r="T361" t="s">
        <v>158</v>
      </c>
      <c r="U361" t="s">
        <v>3</v>
      </c>
      <c r="V361" t="s">
        <v>3</v>
      </c>
      <c r="W361" t="s">
        <v>3167</v>
      </c>
      <c r="Z361" t="s">
        <v>1554</v>
      </c>
      <c r="AA361" t="s">
        <v>3</v>
      </c>
      <c r="AB361" t="s">
        <v>8</v>
      </c>
      <c r="AC361" t="s">
        <v>3</v>
      </c>
      <c r="AD361" t="s">
        <v>8</v>
      </c>
      <c r="AE361" t="s">
        <v>111</v>
      </c>
      <c r="AF361" t="s">
        <v>3168</v>
      </c>
    </row>
    <row r="362" spans="1:32">
      <c r="A362" t="s">
        <v>159</v>
      </c>
      <c r="B362" t="s">
        <v>666</v>
      </c>
      <c r="C362" t="s">
        <v>1554</v>
      </c>
      <c r="J362" t="s">
        <v>3</v>
      </c>
      <c r="K362" t="s">
        <v>3</v>
      </c>
      <c r="L362" t="s">
        <v>3</v>
      </c>
      <c r="M362" t="s">
        <v>122</v>
      </c>
      <c r="N362" t="s">
        <v>3</v>
      </c>
      <c r="O362" t="s">
        <v>3</v>
      </c>
      <c r="P362" t="s">
        <v>3</v>
      </c>
      <c r="Q362" t="s">
        <v>3</v>
      </c>
      <c r="R362" t="s">
        <v>122</v>
      </c>
      <c r="S362" t="s">
        <v>8</v>
      </c>
      <c r="T362" t="s">
        <v>159</v>
      </c>
      <c r="U362" t="s">
        <v>3</v>
      </c>
      <c r="V362" t="s">
        <v>3</v>
      </c>
      <c r="W362" t="s">
        <v>3169</v>
      </c>
      <c r="AA362" t="s">
        <v>3</v>
      </c>
      <c r="AB362" t="s">
        <v>8</v>
      </c>
      <c r="AC362" t="s">
        <v>3</v>
      </c>
      <c r="AD362" t="s">
        <v>8</v>
      </c>
      <c r="AE362" t="s">
        <v>111</v>
      </c>
      <c r="AF362" t="s">
        <v>3170</v>
      </c>
    </row>
    <row r="363" spans="1:32">
      <c r="A363" t="s">
        <v>160</v>
      </c>
      <c r="B363" t="s">
        <v>666</v>
      </c>
      <c r="C363" t="s">
        <v>1554</v>
      </c>
      <c r="J363" t="s">
        <v>3</v>
      </c>
      <c r="K363" t="s">
        <v>3</v>
      </c>
      <c r="L363" t="s">
        <v>3</v>
      </c>
      <c r="M363" t="s">
        <v>122</v>
      </c>
      <c r="N363" t="s">
        <v>3</v>
      </c>
      <c r="O363" t="s">
        <v>3</v>
      </c>
      <c r="P363" t="s">
        <v>3</v>
      </c>
      <c r="Q363" t="s">
        <v>3</v>
      </c>
      <c r="R363" t="s">
        <v>122</v>
      </c>
      <c r="S363" t="s">
        <v>8</v>
      </c>
      <c r="T363" t="s">
        <v>160</v>
      </c>
      <c r="U363" t="s">
        <v>3</v>
      </c>
      <c r="V363" t="s">
        <v>3</v>
      </c>
      <c r="W363" t="s">
        <v>3171</v>
      </c>
      <c r="AA363" t="s">
        <v>3</v>
      </c>
      <c r="AB363" t="s">
        <v>8</v>
      </c>
      <c r="AC363" t="s">
        <v>3</v>
      </c>
      <c r="AD363" t="s">
        <v>8</v>
      </c>
      <c r="AE363" t="s">
        <v>111</v>
      </c>
      <c r="AF363" t="s">
        <v>3172</v>
      </c>
    </row>
    <row r="364" spans="1:32">
      <c r="A364" t="s">
        <v>3173</v>
      </c>
      <c r="B364" t="s">
        <v>1086</v>
      </c>
      <c r="C364" t="s">
        <v>1554</v>
      </c>
      <c r="J364" t="s">
        <v>3</v>
      </c>
      <c r="K364" t="s">
        <v>3</v>
      </c>
      <c r="L364" t="s">
        <v>3</v>
      </c>
      <c r="M364" t="s">
        <v>3</v>
      </c>
      <c r="N364" t="s">
        <v>3</v>
      </c>
      <c r="O364" t="s">
        <v>3</v>
      </c>
      <c r="P364" t="s">
        <v>3</v>
      </c>
      <c r="Q364" t="s">
        <v>3</v>
      </c>
      <c r="R364" t="s">
        <v>122</v>
      </c>
      <c r="S364" t="s">
        <v>8</v>
      </c>
      <c r="T364" t="s">
        <v>3173</v>
      </c>
      <c r="U364" t="s">
        <v>3</v>
      </c>
      <c r="V364" t="s">
        <v>3</v>
      </c>
      <c r="W364" t="s">
        <v>3174</v>
      </c>
      <c r="AA364" t="s">
        <v>3</v>
      </c>
      <c r="AB364" t="s">
        <v>8</v>
      </c>
      <c r="AC364" t="s">
        <v>3</v>
      </c>
      <c r="AD364" t="s">
        <v>8</v>
      </c>
      <c r="AE364" t="s">
        <v>111</v>
      </c>
      <c r="AF364" t="s">
        <v>3175</v>
      </c>
    </row>
    <row r="365" spans="1:32">
      <c r="A365" t="s">
        <v>3176</v>
      </c>
      <c r="B365" t="s">
        <v>1086</v>
      </c>
      <c r="C365" t="s">
        <v>1554</v>
      </c>
      <c r="J365" t="s">
        <v>3</v>
      </c>
      <c r="K365" t="s">
        <v>3</v>
      </c>
      <c r="L365" t="s">
        <v>3</v>
      </c>
      <c r="M365" t="s">
        <v>3</v>
      </c>
      <c r="N365" t="s">
        <v>3</v>
      </c>
      <c r="O365" t="s">
        <v>3</v>
      </c>
      <c r="P365" t="s">
        <v>3</v>
      </c>
      <c r="Q365" t="s">
        <v>3</v>
      </c>
      <c r="R365" t="s">
        <v>122</v>
      </c>
      <c r="S365" t="s">
        <v>8</v>
      </c>
      <c r="T365" t="s">
        <v>3176</v>
      </c>
      <c r="U365" t="s">
        <v>3</v>
      </c>
      <c r="V365" t="s">
        <v>3</v>
      </c>
      <c r="W365" t="s">
        <v>3177</v>
      </c>
      <c r="AA365" t="s">
        <v>3</v>
      </c>
      <c r="AB365" t="s">
        <v>8</v>
      </c>
      <c r="AC365" t="s">
        <v>3</v>
      </c>
      <c r="AD365" t="s">
        <v>8</v>
      </c>
      <c r="AE365" t="s">
        <v>111</v>
      </c>
      <c r="AF365" t="s">
        <v>3178</v>
      </c>
    </row>
    <row r="366" spans="1:32">
      <c r="A366" t="s">
        <v>3179</v>
      </c>
      <c r="B366" t="s">
        <v>1086</v>
      </c>
      <c r="C366" t="s">
        <v>1554</v>
      </c>
      <c r="J366" t="s">
        <v>3</v>
      </c>
      <c r="K366" t="s">
        <v>3</v>
      </c>
      <c r="L366" t="s">
        <v>3</v>
      </c>
      <c r="M366" t="s">
        <v>3</v>
      </c>
      <c r="N366" t="s">
        <v>3</v>
      </c>
      <c r="O366" t="s">
        <v>3</v>
      </c>
      <c r="P366" t="s">
        <v>3</v>
      </c>
      <c r="Q366" t="s">
        <v>3</v>
      </c>
      <c r="R366" t="s">
        <v>122</v>
      </c>
      <c r="S366" t="s">
        <v>8</v>
      </c>
      <c r="T366" t="s">
        <v>3179</v>
      </c>
      <c r="U366" t="s">
        <v>3</v>
      </c>
      <c r="V366" t="s">
        <v>3</v>
      </c>
      <c r="W366" t="s">
        <v>3180</v>
      </c>
      <c r="AA366" t="s">
        <v>3</v>
      </c>
      <c r="AB366" t="s">
        <v>8</v>
      </c>
      <c r="AC366" t="s">
        <v>3</v>
      </c>
      <c r="AD366" t="s">
        <v>8</v>
      </c>
      <c r="AE366" t="s">
        <v>111</v>
      </c>
      <c r="AF366" t="s">
        <v>3181</v>
      </c>
    </row>
    <row r="367" spans="1:32">
      <c r="A367" t="s">
        <v>3182</v>
      </c>
      <c r="B367" t="s">
        <v>3183</v>
      </c>
      <c r="C367" t="s">
        <v>3184</v>
      </c>
      <c r="D367" t="s">
        <v>3185</v>
      </c>
      <c r="E367" t="s">
        <v>3186</v>
      </c>
      <c r="F367" t="s">
        <v>3187</v>
      </c>
      <c r="H367" t="s">
        <v>3188</v>
      </c>
      <c r="I367" t="s">
        <v>3189</v>
      </c>
      <c r="J367" t="s">
        <v>8</v>
      </c>
      <c r="K367" t="s">
        <v>3</v>
      </c>
      <c r="L367" t="s">
        <v>3</v>
      </c>
      <c r="M367" t="s">
        <v>122</v>
      </c>
      <c r="N367" t="s">
        <v>3</v>
      </c>
      <c r="O367" t="s">
        <v>3</v>
      </c>
      <c r="P367" t="s">
        <v>3</v>
      </c>
      <c r="Q367" t="s">
        <v>8</v>
      </c>
      <c r="R367" t="s">
        <v>122</v>
      </c>
      <c r="S367" t="s">
        <v>8</v>
      </c>
      <c r="T367" t="s">
        <v>3182</v>
      </c>
      <c r="U367" t="s">
        <v>3</v>
      </c>
      <c r="V367" t="s">
        <v>3</v>
      </c>
      <c r="W367" t="s">
        <v>3</v>
      </c>
      <c r="Z367" t="s">
        <v>1554</v>
      </c>
      <c r="AA367" t="s">
        <v>3</v>
      </c>
      <c r="AB367" t="s">
        <v>8</v>
      </c>
      <c r="AC367" t="s">
        <v>3</v>
      </c>
      <c r="AD367" t="s">
        <v>8</v>
      </c>
      <c r="AE367" t="s">
        <v>111</v>
      </c>
      <c r="AF367" t="s">
        <v>3190</v>
      </c>
    </row>
    <row r="368" spans="1:32">
      <c r="A368" t="s">
        <v>3191</v>
      </c>
      <c r="B368" t="s">
        <v>3192</v>
      </c>
      <c r="C368" t="s">
        <v>3193</v>
      </c>
      <c r="D368" t="s">
        <v>3194</v>
      </c>
      <c r="E368" t="s">
        <v>3186</v>
      </c>
      <c r="F368" t="s">
        <v>3187</v>
      </c>
      <c r="H368" t="s">
        <v>3188</v>
      </c>
      <c r="I368" t="s">
        <v>3195</v>
      </c>
      <c r="J368" t="s">
        <v>8</v>
      </c>
      <c r="K368" t="s">
        <v>3</v>
      </c>
      <c r="L368" t="s">
        <v>3</v>
      </c>
      <c r="M368" t="s">
        <v>122</v>
      </c>
      <c r="N368" t="s">
        <v>3</v>
      </c>
      <c r="O368" t="s">
        <v>3</v>
      </c>
      <c r="P368" t="s">
        <v>3</v>
      </c>
      <c r="Q368" t="s">
        <v>3</v>
      </c>
      <c r="R368" t="s">
        <v>122</v>
      </c>
      <c r="S368" t="s">
        <v>8</v>
      </c>
      <c r="T368" t="s">
        <v>3191</v>
      </c>
      <c r="U368" t="s">
        <v>3</v>
      </c>
      <c r="V368" t="s">
        <v>3</v>
      </c>
      <c r="W368" t="s">
        <v>3</v>
      </c>
      <c r="AA368" t="s">
        <v>3</v>
      </c>
      <c r="AB368" t="s">
        <v>8</v>
      </c>
      <c r="AC368" t="s">
        <v>3</v>
      </c>
      <c r="AD368" t="s">
        <v>8</v>
      </c>
      <c r="AE368" t="s">
        <v>130</v>
      </c>
      <c r="AF368" t="s">
        <v>3196</v>
      </c>
    </row>
    <row r="369" spans="1:32">
      <c r="A369" t="s">
        <v>3197</v>
      </c>
      <c r="B369" t="s">
        <v>3198</v>
      </c>
      <c r="C369" t="s">
        <v>3199</v>
      </c>
      <c r="D369" t="s">
        <v>3200</v>
      </c>
      <c r="E369" t="s">
        <v>3201</v>
      </c>
      <c r="F369" t="s">
        <v>3202</v>
      </c>
      <c r="H369" t="s">
        <v>3203</v>
      </c>
      <c r="I369" t="s">
        <v>3204</v>
      </c>
      <c r="J369" t="s">
        <v>8</v>
      </c>
      <c r="K369" t="s">
        <v>3</v>
      </c>
      <c r="L369" t="s">
        <v>3</v>
      </c>
      <c r="M369" t="s">
        <v>122</v>
      </c>
      <c r="N369" t="s">
        <v>3</v>
      </c>
      <c r="O369" t="s">
        <v>3</v>
      </c>
      <c r="P369" t="s">
        <v>3</v>
      </c>
      <c r="Q369" t="s">
        <v>8</v>
      </c>
      <c r="R369" t="s">
        <v>122</v>
      </c>
      <c r="S369" t="s">
        <v>8</v>
      </c>
      <c r="T369" t="s">
        <v>3197</v>
      </c>
      <c r="U369" t="s">
        <v>3</v>
      </c>
      <c r="V369" t="s">
        <v>3</v>
      </c>
      <c r="W369" t="s">
        <v>947</v>
      </c>
      <c r="AA369" t="s">
        <v>8</v>
      </c>
      <c r="AB369" t="s">
        <v>8</v>
      </c>
      <c r="AC369" t="s">
        <v>3</v>
      </c>
      <c r="AD369" t="s">
        <v>8</v>
      </c>
      <c r="AE369" t="s">
        <v>111</v>
      </c>
      <c r="AF369" t="s">
        <v>3205</v>
      </c>
    </row>
    <row r="370" spans="1:32">
      <c r="A370" t="s">
        <v>3206</v>
      </c>
      <c r="B370" t="s">
        <v>3198</v>
      </c>
      <c r="C370" t="s">
        <v>3199</v>
      </c>
      <c r="D370" t="s">
        <v>3200</v>
      </c>
      <c r="E370" t="s">
        <v>3201</v>
      </c>
      <c r="F370" t="s">
        <v>3202</v>
      </c>
      <c r="H370" t="s">
        <v>3203</v>
      </c>
      <c r="I370" t="s">
        <v>3204</v>
      </c>
      <c r="J370" t="s">
        <v>8</v>
      </c>
      <c r="K370" t="s">
        <v>3</v>
      </c>
      <c r="L370" t="s">
        <v>3</v>
      </c>
      <c r="M370" t="s">
        <v>122</v>
      </c>
      <c r="N370" t="s">
        <v>3</v>
      </c>
      <c r="O370" t="s">
        <v>3</v>
      </c>
      <c r="P370" t="s">
        <v>3</v>
      </c>
      <c r="Q370" t="s">
        <v>8</v>
      </c>
      <c r="R370" t="s">
        <v>122</v>
      </c>
      <c r="S370" t="s">
        <v>8</v>
      </c>
      <c r="T370" t="s">
        <v>3206</v>
      </c>
      <c r="U370" t="s">
        <v>3</v>
      </c>
      <c r="V370" t="s">
        <v>3</v>
      </c>
      <c r="W370" t="s">
        <v>947</v>
      </c>
      <c r="AA370" t="s">
        <v>3</v>
      </c>
      <c r="AB370" t="s">
        <v>8</v>
      </c>
      <c r="AC370" t="s">
        <v>3</v>
      </c>
      <c r="AD370" t="s">
        <v>8</v>
      </c>
      <c r="AE370" t="s">
        <v>111</v>
      </c>
      <c r="AF370" t="s">
        <v>3207</v>
      </c>
    </row>
    <row r="371" spans="1:32">
      <c r="A371" t="s">
        <v>3208</v>
      </c>
      <c r="B371" t="s">
        <v>3209</v>
      </c>
      <c r="C371" t="s">
        <v>3210</v>
      </c>
      <c r="D371" t="s">
        <v>3209</v>
      </c>
      <c r="E371" t="s">
        <v>3211</v>
      </c>
      <c r="F371" t="s">
        <v>3212</v>
      </c>
      <c r="H371" t="s">
        <v>3213</v>
      </c>
      <c r="J371" t="s">
        <v>3</v>
      </c>
      <c r="K371" t="s">
        <v>3</v>
      </c>
      <c r="L371" t="s">
        <v>3</v>
      </c>
      <c r="M371" t="s">
        <v>122</v>
      </c>
      <c r="N371" t="s">
        <v>3</v>
      </c>
      <c r="O371" t="s">
        <v>3</v>
      </c>
      <c r="P371" t="s">
        <v>3</v>
      </c>
      <c r="Q371" t="s">
        <v>8</v>
      </c>
      <c r="R371" t="s">
        <v>122</v>
      </c>
      <c r="S371" t="s">
        <v>8</v>
      </c>
      <c r="T371" t="s">
        <v>3208</v>
      </c>
      <c r="U371" t="s">
        <v>3</v>
      </c>
      <c r="V371" t="s">
        <v>3</v>
      </c>
      <c r="W371" t="s">
        <v>3</v>
      </c>
      <c r="AA371" t="s">
        <v>8</v>
      </c>
      <c r="AB371" t="s">
        <v>8</v>
      </c>
      <c r="AC371" t="s">
        <v>3</v>
      </c>
      <c r="AD371" t="s">
        <v>8</v>
      </c>
      <c r="AE371" t="s">
        <v>111</v>
      </c>
      <c r="AF371" t="s">
        <v>3214</v>
      </c>
    </row>
    <row r="372" spans="1:32">
      <c r="A372" t="s">
        <v>3215</v>
      </c>
      <c r="B372" t="s">
        <v>3216</v>
      </c>
      <c r="C372" t="s">
        <v>3217</v>
      </c>
      <c r="D372" t="s">
        <v>3216</v>
      </c>
      <c r="E372" t="s">
        <v>1564</v>
      </c>
      <c r="F372" t="s">
        <v>3218</v>
      </c>
      <c r="H372" t="s">
        <v>3219</v>
      </c>
      <c r="J372" t="s">
        <v>8</v>
      </c>
      <c r="K372" t="s">
        <v>3</v>
      </c>
      <c r="L372" t="s">
        <v>3</v>
      </c>
      <c r="M372" t="s">
        <v>122</v>
      </c>
      <c r="N372" t="s">
        <v>3</v>
      </c>
      <c r="O372" t="s">
        <v>3</v>
      </c>
      <c r="P372" t="s">
        <v>3</v>
      </c>
      <c r="Q372" t="s">
        <v>8</v>
      </c>
      <c r="R372" t="s">
        <v>122</v>
      </c>
      <c r="S372" t="s">
        <v>8</v>
      </c>
      <c r="T372" t="s">
        <v>3215</v>
      </c>
      <c r="U372" t="s">
        <v>3</v>
      </c>
      <c r="V372" t="s">
        <v>3</v>
      </c>
      <c r="W372" t="s">
        <v>369</v>
      </c>
      <c r="AA372" t="s">
        <v>8</v>
      </c>
      <c r="AB372" t="s">
        <v>8</v>
      </c>
      <c r="AC372" t="s">
        <v>3</v>
      </c>
      <c r="AD372" t="s">
        <v>8</v>
      </c>
      <c r="AE372" t="s">
        <v>111</v>
      </c>
      <c r="AF372" t="s">
        <v>3220</v>
      </c>
    </row>
    <row r="373" spans="1:32">
      <c r="A373" t="s">
        <v>3221</v>
      </c>
      <c r="B373" t="s">
        <v>3222</v>
      </c>
      <c r="C373" t="s">
        <v>3223</v>
      </c>
      <c r="D373" t="s">
        <v>3216</v>
      </c>
      <c r="E373" t="s">
        <v>1564</v>
      </c>
      <c r="F373" t="s">
        <v>3218</v>
      </c>
      <c r="H373" t="s">
        <v>3219</v>
      </c>
      <c r="J373" t="s">
        <v>8</v>
      </c>
      <c r="K373" t="s">
        <v>3</v>
      </c>
      <c r="L373" t="s">
        <v>3</v>
      </c>
      <c r="M373" t="s">
        <v>122</v>
      </c>
      <c r="N373" t="s">
        <v>3</v>
      </c>
      <c r="O373" t="s">
        <v>3</v>
      </c>
      <c r="P373" t="s">
        <v>3</v>
      </c>
      <c r="Q373" t="s">
        <v>8</v>
      </c>
      <c r="R373" t="s">
        <v>122</v>
      </c>
      <c r="S373" t="s">
        <v>8</v>
      </c>
      <c r="T373" t="s">
        <v>3221</v>
      </c>
      <c r="U373" t="s">
        <v>3</v>
      </c>
      <c r="V373" t="s">
        <v>3</v>
      </c>
      <c r="W373" t="s">
        <v>369</v>
      </c>
      <c r="AA373" t="s">
        <v>8</v>
      </c>
      <c r="AB373" t="s">
        <v>8</v>
      </c>
      <c r="AC373" t="s">
        <v>3</v>
      </c>
      <c r="AD373" t="s">
        <v>8</v>
      </c>
      <c r="AE373" t="s">
        <v>111</v>
      </c>
      <c r="AF373" t="s">
        <v>3224</v>
      </c>
    </row>
    <row r="374" spans="1:32">
      <c r="A374" t="s">
        <v>3225</v>
      </c>
      <c r="B374" t="s">
        <v>3226</v>
      </c>
      <c r="C374" t="s">
        <v>3227</v>
      </c>
      <c r="D374" t="s">
        <v>3228</v>
      </c>
      <c r="E374" t="s">
        <v>3229</v>
      </c>
      <c r="F374" t="s">
        <v>3230</v>
      </c>
      <c r="H374" t="s">
        <v>3231</v>
      </c>
      <c r="I374" t="s">
        <v>3232</v>
      </c>
      <c r="J374" t="s">
        <v>8</v>
      </c>
      <c r="K374" t="s">
        <v>3</v>
      </c>
      <c r="L374" t="s">
        <v>3</v>
      </c>
      <c r="M374" t="s">
        <v>122</v>
      </c>
      <c r="N374" t="s">
        <v>3</v>
      </c>
      <c r="O374" t="s">
        <v>3</v>
      </c>
      <c r="P374" t="s">
        <v>3</v>
      </c>
      <c r="Q374" t="s">
        <v>8</v>
      </c>
      <c r="R374" t="s">
        <v>122</v>
      </c>
      <c r="S374" t="s">
        <v>8</v>
      </c>
      <c r="T374" t="s">
        <v>3225</v>
      </c>
      <c r="U374" t="s">
        <v>3</v>
      </c>
      <c r="V374" t="s">
        <v>3</v>
      </c>
      <c r="W374" t="s">
        <v>957</v>
      </c>
      <c r="AA374" t="s">
        <v>8</v>
      </c>
      <c r="AB374" t="s">
        <v>8</v>
      </c>
      <c r="AC374" t="s">
        <v>3</v>
      </c>
      <c r="AD374" t="s">
        <v>8</v>
      </c>
      <c r="AE374" t="s">
        <v>111</v>
      </c>
      <c r="AF374" t="s">
        <v>3233</v>
      </c>
    </row>
    <row r="375" spans="1:32">
      <c r="A375" t="s">
        <v>3234</v>
      </c>
      <c r="B375" t="s">
        <v>3235</v>
      </c>
      <c r="C375" t="s">
        <v>3236</v>
      </c>
      <c r="D375" t="s">
        <v>3237</v>
      </c>
      <c r="E375" t="s">
        <v>3238</v>
      </c>
      <c r="F375" t="s">
        <v>3239</v>
      </c>
      <c r="G375" t="s">
        <v>3240</v>
      </c>
      <c r="H375" t="s">
        <v>3241</v>
      </c>
      <c r="I375" t="s">
        <v>3242</v>
      </c>
      <c r="J375" t="s">
        <v>8</v>
      </c>
      <c r="K375" t="s">
        <v>3</v>
      </c>
      <c r="L375" t="s">
        <v>3</v>
      </c>
      <c r="M375" t="s">
        <v>122</v>
      </c>
      <c r="N375" t="s">
        <v>3</v>
      </c>
      <c r="O375" t="s">
        <v>3</v>
      </c>
      <c r="P375" t="s">
        <v>3</v>
      </c>
      <c r="Q375" t="s">
        <v>8</v>
      </c>
      <c r="R375" t="s">
        <v>122</v>
      </c>
      <c r="S375" t="s">
        <v>8</v>
      </c>
      <c r="T375" t="s">
        <v>3234</v>
      </c>
      <c r="U375" t="s">
        <v>3</v>
      </c>
      <c r="V375" t="s">
        <v>3</v>
      </c>
      <c r="W375" t="s">
        <v>957</v>
      </c>
      <c r="AA375" t="s">
        <v>3</v>
      </c>
      <c r="AB375" t="s">
        <v>8</v>
      </c>
      <c r="AC375" t="s">
        <v>3</v>
      </c>
      <c r="AD375" t="s">
        <v>8</v>
      </c>
      <c r="AE375" t="s">
        <v>111</v>
      </c>
      <c r="AF375" t="s">
        <v>3243</v>
      </c>
    </row>
    <row r="376" spans="1:32">
      <c r="A376" t="s">
        <v>3244</v>
      </c>
      <c r="B376" t="s">
        <v>3245</v>
      </c>
      <c r="C376" t="s">
        <v>3246</v>
      </c>
      <c r="D376" t="s">
        <v>3245</v>
      </c>
      <c r="E376" t="s">
        <v>2594</v>
      </c>
      <c r="F376" t="s">
        <v>3247</v>
      </c>
      <c r="H376" t="s">
        <v>3248</v>
      </c>
      <c r="I376" t="s">
        <v>3249</v>
      </c>
      <c r="J376" t="s">
        <v>8</v>
      </c>
      <c r="K376" t="s">
        <v>3</v>
      </c>
      <c r="L376" t="s">
        <v>3</v>
      </c>
      <c r="M376" t="s">
        <v>122</v>
      </c>
      <c r="N376" t="s">
        <v>3</v>
      </c>
      <c r="O376" t="s">
        <v>3</v>
      </c>
      <c r="P376" t="s">
        <v>3</v>
      </c>
      <c r="Q376" t="s">
        <v>8</v>
      </c>
      <c r="R376" t="s">
        <v>122</v>
      </c>
      <c r="S376" t="s">
        <v>8</v>
      </c>
      <c r="T376" t="s">
        <v>3244</v>
      </c>
      <c r="U376" t="s">
        <v>3</v>
      </c>
      <c r="V376" t="s">
        <v>3</v>
      </c>
      <c r="W376" t="s">
        <v>3</v>
      </c>
      <c r="AA376" t="s">
        <v>8</v>
      </c>
      <c r="AB376" t="s">
        <v>8</v>
      </c>
      <c r="AC376" t="s">
        <v>3</v>
      </c>
      <c r="AD376" t="s">
        <v>8</v>
      </c>
      <c r="AE376" t="s">
        <v>72</v>
      </c>
      <c r="AF376" t="s">
        <v>3250</v>
      </c>
    </row>
    <row r="377" spans="1:32">
      <c r="A377" t="s">
        <v>3251</v>
      </c>
      <c r="B377" t="s">
        <v>3252</v>
      </c>
      <c r="C377" t="s">
        <v>3253</v>
      </c>
      <c r="D377" t="s">
        <v>3245</v>
      </c>
      <c r="E377" t="s">
        <v>2594</v>
      </c>
      <c r="F377" t="s">
        <v>3247</v>
      </c>
      <c r="H377" t="s">
        <v>3248</v>
      </c>
      <c r="I377" t="s">
        <v>3249</v>
      </c>
      <c r="J377" t="s">
        <v>8</v>
      </c>
      <c r="K377" t="s">
        <v>3</v>
      </c>
      <c r="L377" t="s">
        <v>3</v>
      </c>
      <c r="M377" t="s">
        <v>122</v>
      </c>
      <c r="N377" t="s">
        <v>3</v>
      </c>
      <c r="O377" t="s">
        <v>3</v>
      </c>
      <c r="P377" t="s">
        <v>3</v>
      </c>
      <c r="Q377" t="s">
        <v>8</v>
      </c>
      <c r="R377" t="s">
        <v>122</v>
      </c>
      <c r="S377" t="s">
        <v>8</v>
      </c>
      <c r="T377" t="s">
        <v>3244</v>
      </c>
      <c r="U377" t="s">
        <v>3</v>
      </c>
      <c r="V377" t="s">
        <v>3</v>
      </c>
      <c r="W377" t="s">
        <v>3</v>
      </c>
      <c r="AA377" t="s">
        <v>8</v>
      </c>
      <c r="AB377" t="s">
        <v>8</v>
      </c>
      <c r="AC377" t="s">
        <v>3</v>
      </c>
      <c r="AD377" t="s">
        <v>8</v>
      </c>
      <c r="AE377" t="s">
        <v>111</v>
      </c>
      <c r="AF377" t="s">
        <v>3254</v>
      </c>
    </row>
    <row r="378" spans="1:32">
      <c r="A378" t="s">
        <v>3255</v>
      </c>
      <c r="B378" t="s">
        <v>3256</v>
      </c>
      <c r="C378" t="s">
        <v>3257</v>
      </c>
      <c r="D378" t="s">
        <v>3256</v>
      </c>
      <c r="E378" t="s">
        <v>3258</v>
      </c>
      <c r="F378" t="s">
        <v>3259</v>
      </c>
      <c r="H378" t="s">
        <v>3260</v>
      </c>
      <c r="I378" t="s">
        <v>3261</v>
      </c>
      <c r="J378" t="s">
        <v>8</v>
      </c>
      <c r="K378" t="s">
        <v>3</v>
      </c>
      <c r="L378" t="s">
        <v>3</v>
      </c>
      <c r="M378" t="s">
        <v>122</v>
      </c>
      <c r="N378" t="s">
        <v>3</v>
      </c>
      <c r="O378" t="s">
        <v>3</v>
      </c>
      <c r="P378" t="s">
        <v>3</v>
      </c>
      <c r="Q378" t="s">
        <v>8</v>
      </c>
      <c r="R378" t="s">
        <v>122</v>
      </c>
      <c r="S378" t="s">
        <v>8</v>
      </c>
      <c r="T378" t="s">
        <v>3255</v>
      </c>
      <c r="U378" t="s">
        <v>3</v>
      </c>
      <c r="V378" t="s">
        <v>3</v>
      </c>
      <c r="W378" t="s">
        <v>3262</v>
      </c>
      <c r="AA378" t="s">
        <v>8</v>
      </c>
      <c r="AB378" t="s">
        <v>8</v>
      </c>
      <c r="AC378" t="s">
        <v>3</v>
      </c>
      <c r="AD378" t="s">
        <v>8</v>
      </c>
      <c r="AE378" t="s">
        <v>84</v>
      </c>
      <c r="AF378" t="s">
        <v>3263</v>
      </c>
    </row>
    <row r="379" spans="1:32">
      <c r="A379" t="s">
        <v>3264</v>
      </c>
      <c r="B379" t="s">
        <v>3256</v>
      </c>
      <c r="C379" t="s">
        <v>3257</v>
      </c>
      <c r="D379" t="s">
        <v>3256</v>
      </c>
      <c r="E379" t="s">
        <v>3258</v>
      </c>
      <c r="F379" t="s">
        <v>3259</v>
      </c>
      <c r="H379" t="s">
        <v>3260</v>
      </c>
      <c r="I379" t="s">
        <v>3261</v>
      </c>
      <c r="J379" t="s">
        <v>8</v>
      </c>
      <c r="K379" t="s">
        <v>3</v>
      </c>
      <c r="L379" t="s">
        <v>3</v>
      </c>
      <c r="M379" t="s">
        <v>122</v>
      </c>
      <c r="N379" t="s">
        <v>3</v>
      </c>
      <c r="O379" t="s">
        <v>3</v>
      </c>
      <c r="P379" t="s">
        <v>3</v>
      </c>
      <c r="Q379" t="s">
        <v>8</v>
      </c>
      <c r="R379" t="s">
        <v>122</v>
      </c>
      <c r="S379" t="s">
        <v>8</v>
      </c>
      <c r="T379" t="s">
        <v>3264</v>
      </c>
      <c r="U379" t="s">
        <v>3</v>
      </c>
      <c r="V379" t="s">
        <v>3</v>
      </c>
      <c r="W379" t="s">
        <v>3262</v>
      </c>
      <c r="AA379" t="s">
        <v>8</v>
      </c>
      <c r="AB379" t="s">
        <v>8</v>
      </c>
      <c r="AC379" t="s">
        <v>3</v>
      </c>
      <c r="AD379" t="s">
        <v>8</v>
      </c>
      <c r="AE379" t="s">
        <v>111</v>
      </c>
      <c r="AF379" t="s">
        <v>3265</v>
      </c>
    </row>
    <row r="380" spans="1:32">
      <c r="A380" t="s">
        <v>3266</v>
      </c>
      <c r="B380" t="s">
        <v>3267</v>
      </c>
      <c r="C380" t="s">
        <v>3268</v>
      </c>
      <c r="D380" t="s">
        <v>3267</v>
      </c>
      <c r="E380" t="s">
        <v>3269</v>
      </c>
      <c r="F380" t="s">
        <v>3270</v>
      </c>
      <c r="H380" t="s">
        <v>3271</v>
      </c>
      <c r="I380" t="s">
        <v>3272</v>
      </c>
      <c r="J380" t="s">
        <v>8</v>
      </c>
      <c r="K380" t="s">
        <v>3</v>
      </c>
      <c r="L380" t="s">
        <v>3</v>
      </c>
      <c r="M380" t="s">
        <v>122</v>
      </c>
      <c r="N380" t="s">
        <v>3</v>
      </c>
      <c r="O380" t="s">
        <v>3</v>
      </c>
      <c r="P380" t="s">
        <v>3</v>
      </c>
      <c r="Q380" t="s">
        <v>8</v>
      </c>
      <c r="R380" t="s">
        <v>122</v>
      </c>
      <c r="S380" t="s">
        <v>8</v>
      </c>
      <c r="T380" t="s">
        <v>3266</v>
      </c>
      <c r="U380" t="s">
        <v>3</v>
      </c>
      <c r="V380" t="s">
        <v>3</v>
      </c>
      <c r="W380" t="s">
        <v>3</v>
      </c>
      <c r="AA380" t="s">
        <v>8</v>
      </c>
      <c r="AB380" t="s">
        <v>8</v>
      </c>
      <c r="AC380" t="s">
        <v>3</v>
      </c>
      <c r="AD380" t="s">
        <v>8</v>
      </c>
      <c r="AE380" t="s">
        <v>111</v>
      </c>
      <c r="AF380" t="s">
        <v>3273</v>
      </c>
    </row>
    <row r="381" spans="1:32">
      <c r="A381" t="s">
        <v>3274</v>
      </c>
      <c r="B381" t="s">
        <v>3275</v>
      </c>
      <c r="C381" t="s">
        <v>3276</v>
      </c>
      <c r="D381" t="s">
        <v>3275</v>
      </c>
      <c r="E381" t="s">
        <v>3269</v>
      </c>
      <c r="F381" t="s">
        <v>3270</v>
      </c>
      <c r="H381" t="s">
        <v>3271</v>
      </c>
      <c r="I381" t="s">
        <v>3272</v>
      </c>
      <c r="J381" t="s">
        <v>8</v>
      </c>
      <c r="K381" t="s">
        <v>3</v>
      </c>
      <c r="L381" t="s">
        <v>3</v>
      </c>
      <c r="M381" t="s">
        <v>122</v>
      </c>
      <c r="N381" t="s">
        <v>3</v>
      </c>
      <c r="O381" t="s">
        <v>3</v>
      </c>
      <c r="P381" t="s">
        <v>3</v>
      </c>
      <c r="Q381" t="s">
        <v>8</v>
      </c>
      <c r="R381" t="s">
        <v>122</v>
      </c>
      <c r="S381" t="s">
        <v>8</v>
      </c>
      <c r="T381" t="s">
        <v>3274</v>
      </c>
      <c r="U381" t="s">
        <v>3</v>
      </c>
      <c r="V381" t="s">
        <v>3</v>
      </c>
      <c r="W381" t="s">
        <v>3</v>
      </c>
      <c r="AA381" t="s">
        <v>8</v>
      </c>
      <c r="AB381" t="s">
        <v>8</v>
      </c>
      <c r="AC381" t="s">
        <v>3</v>
      </c>
      <c r="AD381" t="s">
        <v>8</v>
      </c>
      <c r="AE381" t="s">
        <v>111</v>
      </c>
      <c r="AF381" t="s">
        <v>3277</v>
      </c>
    </row>
    <row r="382" spans="1:32">
      <c r="A382" t="s">
        <v>3278</v>
      </c>
      <c r="B382" t="s">
        <v>3279</v>
      </c>
      <c r="C382" t="s">
        <v>3280</v>
      </c>
      <c r="D382" t="s">
        <v>3279</v>
      </c>
      <c r="E382" t="s">
        <v>3269</v>
      </c>
      <c r="F382" t="s">
        <v>3270</v>
      </c>
      <c r="H382" t="s">
        <v>3271</v>
      </c>
      <c r="I382" t="s">
        <v>3272</v>
      </c>
      <c r="J382" t="s">
        <v>8</v>
      </c>
      <c r="K382" t="s">
        <v>3</v>
      </c>
      <c r="L382" t="s">
        <v>3</v>
      </c>
      <c r="M382" t="s">
        <v>122</v>
      </c>
      <c r="N382" t="s">
        <v>3</v>
      </c>
      <c r="O382" t="s">
        <v>3</v>
      </c>
      <c r="P382" t="s">
        <v>3</v>
      </c>
      <c r="Q382" t="s">
        <v>8</v>
      </c>
      <c r="R382" t="s">
        <v>122</v>
      </c>
      <c r="S382" t="s">
        <v>8</v>
      </c>
      <c r="T382" t="s">
        <v>3278</v>
      </c>
      <c r="U382" t="s">
        <v>3</v>
      </c>
      <c r="V382" t="s">
        <v>3</v>
      </c>
      <c r="W382" t="s">
        <v>3</v>
      </c>
      <c r="AA382" t="s">
        <v>8</v>
      </c>
      <c r="AB382" t="s">
        <v>8</v>
      </c>
      <c r="AC382" t="s">
        <v>3</v>
      </c>
      <c r="AD382" t="s">
        <v>8</v>
      </c>
      <c r="AE382" t="s">
        <v>111</v>
      </c>
      <c r="AF382" t="s">
        <v>3281</v>
      </c>
    </row>
    <row r="383" spans="1:32">
      <c r="A383" t="s">
        <v>3282</v>
      </c>
      <c r="B383" t="s">
        <v>3283</v>
      </c>
      <c r="C383" t="s">
        <v>3284</v>
      </c>
      <c r="D383" t="s">
        <v>3283</v>
      </c>
      <c r="E383" t="s">
        <v>3269</v>
      </c>
      <c r="F383" t="s">
        <v>3270</v>
      </c>
      <c r="H383" t="s">
        <v>3271</v>
      </c>
      <c r="I383" t="s">
        <v>3272</v>
      </c>
      <c r="J383" t="s">
        <v>8</v>
      </c>
      <c r="K383" t="s">
        <v>3</v>
      </c>
      <c r="L383" t="s">
        <v>3</v>
      </c>
      <c r="M383" t="s">
        <v>122</v>
      </c>
      <c r="N383" t="s">
        <v>3</v>
      </c>
      <c r="O383" t="s">
        <v>3</v>
      </c>
      <c r="P383" t="s">
        <v>3</v>
      </c>
      <c r="Q383" t="s">
        <v>8</v>
      </c>
      <c r="R383" t="s">
        <v>122</v>
      </c>
      <c r="S383" t="s">
        <v>8</v>
      </c>
      <c r="T383" t="s">
        <v>3282</v>
      </c>
      <c r="U383" t="s">
        <v>3</v>
      </c>
      <c r="V383" t="s">
        <v>3</v>
      </c>
      <c r="W383" t="s">
        <v>3</v>
      </c>
      <c r="AA383" t="s">
        <v>8</v>
      </c>
      <c r="AB383" t="s">
        <v>8</v>
      </c>
      <c r="AC383" t="s">
        <v>3</v>
      </c>
      <c r="AD383" t="s">
        <v>8</v>
      </c>
      <c r="AE383" t="s">
        <v>111</v>
      </c>
      <c r="AF383" t="s">
        <v>3285</v>
      </c>
    </row>
    <row r="384" spans="1:32">
      <c r="A384" t="s">
        <v>3286</v>
      </c>
      <c r="B384" t="s">
        <v>3287</v>
      </c>
      <c r="C384" t="s">
        <v>3288</v>
      </c>
      <c r="D384" t="s">
        <v>3287</v>
      </c>
      <c r="E384" t="s">
        <v>3269</v>
      </c>
      <c r="F384" t="s">
        <v>3270</v>
      </c>
      <c r="H384" t="s">
        <v>3271</v>
      </c>
      <c r="I384" t="s">
        <v>3272</v>
      </c>
      <c r="J384" t="s">
        <v>8</v>
      </c>
      <c r="K384" t="s">
        <v>3</v>
      </c>
      <c r="L384" t="s">
        <v>3</v>
      </c>
      <c r="M384" t="s">
        <v>122</v>
      </c>
      <c r="N384" t="s">
        <v>3</v>
      </c>
      <c r="O384" t="s">
        <v>3</v>
      </c>
      <c r="P384" t="s">
        <v>3</v>
      </c>
      <c r="Q384" t="s">
        <v>8</v>
      </c>
      <c r="R384" t="s">
        <v>122</v>
      </c>
      <c r="S384" t="s">
        <v>8</v>
      </c>
      <c r="T384" t="s">
        <v>3266</v>
      </c>
      <c r="U384" t="s">
        <v>3</v>
      </c>
      <c r="V384" t="s">
        <v>3</v>
      </c>
      <c r="W384" t="s">
        <v>3</v>
      </c>
      <c r="AA384" t="s">
        <v>8</v>
      </c>
      <c r="AB384" t="s">
        <v>8</v>
      </c>
      <c r="AC384" t="s">
        <v>3</v>
      </c>
      <c r="AD384" t="s">
        <v>8</v>
      </c>
      <c r="AE384" t="s">
        <v>111</v>
      </c>
      <c r="AF384" t="s">
        <v>3289</v>
      </c>
    </row>
    <row r="385" spans="1:32">
      <c r="A385" t="s">
        <v>3290</v>
      </c>
      <c r="B385" t="s">
        <v>3291</v>
      </c>
      <c r="C385" t="s">
        <v>3292</v>
      </c>
      <c r="D385" t="s">
        <v>3293</v>
      </c>
      <c r="E385" t="s">
        <v>3294</v>
      </c>
      <c r="F385" t="s">
        <v>3295</v>
      </c>
      <c r="H385" t="s">
        <v>3296</v>
      </c>
      <c r="I385" t="s">
        <v>3297</v>
      </c>
      <c r="J385" t="s">
        <v>8</v>
      </c>
      <c r="K385" t="s">
        <v>3</v>
      </c>
      <c r="L385" t="s">
        <v>3</v>
      </c>
      <c r="M385" t="s">
        <v>122</v>
      </c>
      <c r="N385" t="s">
        <v>3</v>
      </c>
      <c r="O385" t="s">
        <v>3</v>
      </c>
      <c r="P385" t="s">
        <v>3</v>
      </c>
      <c r="Q385" t="s">
        <v>8</v>
      </c>
      <c r="R385" t="s">
        <v>122</v>
      </c>
      <c r="S385" t="s">
        <v>8</v>
      </c>
      <c r="T385" t="s">
        <v>3290</v>
      </c>
      <c r="U385" t="s">
        <v>3</v>
      </c>
      <c r="V385" t="s">
        <v>3</v>
      </c>
      <c r="W385" t="s">
        <v>942</v>
      </c>
      <c r="AA385" t="s">
        <v>8</v>
      </c>
      <c r="AB385" t="s">
        <v>8</v>
      </c>
      <c r="AC385" t="s">
        <v>3</v>
      </c>
      <c r="AD385" t="s">
        <v>8</v>
      </c>
      <c r="AE385" t="s">
        <v>111</v>
      </c>
      <c r="AF385" t="s">
        <v>3298</v>
      </c>
    </row>
    <row r="386" spans="1:32">
      <c r="A386" t="s">
        <v>3299</v>
      </c>
      <c r="B386" t="s">
        <v>3300</v>
      </c>
      <c r="C386" t="s">
        <v>3301</v>
      </c>
      <c r="D386" t="s">
        <v>28</v>
      </c>
      <c r="E386" t="s">
        <v>3302</v>
      </c>
      <c r="F386" t="s">
        <v>3303</v>
      </c>
      <c r="H386" t="s">
        <v>3304</v>
      </c>
      <c r="I386" t="s">
        <v>3305</v>
      </c>
      <c r="J386" t="s">
        <v>8</v>
      </c>
      <c r="K386" t="s">
        <v>3</v>
      </c>
      <c r="L386" t="s">
        <v>3</v>
      </c>
      <c r="M386" t="s">
        <v>122</v>
      </c>
      <c r="N386" t="s">
        <v>3</v>
      </c>
      <c r="O386" t="s">
        <v>3</v>
      </c>
      <c r="P386" t="s">
        <v>3</v>
      </c>
      <c r="Q386" t="s">
        <v>8</v>
      </c>
      <c r="R386" t="s">
        <v>122</v>
      </c>
      <c r="S386" t="s">
        <v>8</v>
      </c>
      <c r="T386" t="s">
        <v>3299</v>
      </c>
      <c r="U386" t="s">
        <v>3</v>
      </c>
      <c r="V386" t="s">
        <v>3</v>
      </c>
      <c r="W386" t="s">
        <v>2985</v>
      </c>
      <c r="AA386" t="s">
        <v>3</v>
      </c>
      <c r="AB386" t="s">
        <v>8</v>
      </c>
      <c r="AC386" t="s">
        <v>3</v>
      </c>
      <c r="AD386" t="s">
        <v>8</v>
      </c>
      <c r="AE386" t="s">
        <v>111</v>
      </c>
      <c r="AF386" t="s">
        <v>3306</v>
      </c>
    </row>
    <row r="387" spans="1:32">
      <c r="A387" t="s">
        <v>3307</v>
      </c>
      <c r="B387" t="s">
        <v>3308</v>
      </c>
      <c r="C387" t="s">
        <v>3309</v>
      </c>
      <c r="D387" t="s">
        <v>3308</v>
      </c>
      <c r="E387" t="s">
        <v>1552</v>
      </c>
      <c r="F387" t="s">
        <v>3310</v>
      </c>
      <c r="H387" t="s">
        <v>3311</v>
      </c>
      <c r="I387" t="s">
        <v>3312</v>
      </c>
      <c r="J387" t="s">
        <v>8</v>
      </c>
      <c r="K387" t="s">
        <v>3</v>
      </c>
      <c r="L387" t="s">
        <v>3</v>
      </c>
      <c r="M387" t="s">
        <v>122</v>
      </c>
      <c r="N387" t="s">
        <v>3</v>
      </c>
      <c r="O387" t="s">
        <v>3</v>
      </c>
      <c r="P387" t="s">
        <v>3</v>
      </c>
      <c r="Q387" t="s">
        <v>8</v>
      </c>
      <c r="R387" t="s">
        <v>122</v>
      </c>
      <c r="S387" t="s">
        <v>8</v>
      </c>
      <c r="T387" t="s">
        <v>3307</v>
      </c>
      <c r="U387" t="s">
        <v>3</v>
      </c>
      <c r="V387" t="s">
        <v>3</v>
      </c>
      <c r="W387" t="s">
        <v>3313</v>
      </c>
      <c r="AA387" t="s">
        <v>3</v>
      </c>
      <c r="AB387" t="s">
        <v>8</v>
      </c>
      <c r="AC387" t="s">
        <v>3</v>
      </c>
      <c r="AD387" t="s">
        <v>8</v>
      </c>
      <c r="AE387" t="s">
        <v>111</v>
      </c>
      <c r="AF387" t="s">
        <v>3314</v>
      </c>
    </row>
    <row r="388" spans="1:32">
      <c r="A388" t="s">
        <v>3315</v>
      </c>
      <c r="B388" t="s">
        <v>3308</v>
      </c>
      <c r="C388" t="s">
        <v>3309</v>
      </c>
      <c r="D388" t="s">
        <v>3308</v>
      </c>
      <c r="E388" t="s">
        <v>1552</v>
      </c>
      <c r="F388" t="s">
        <v>3310</v>
      </c>
      <c r="H388" t="s">
        <v>3311</v>
      </c>
      <c r="I388" t="s">
        <v>3312</v>
      </c>
      <c r="J388" t="s">
        <v>8</v>
      </c>
      <c r="K388" t="s">
        <v>3</v>
      </c>
      <c r="L388" t="s">
        <v>3</v>
      </c>
      <c r="M388" t="s">
        <v>122</v>
      </c>
      <c r="N388" t="s">
        <v>3</v>
      </c>
      <c r="O388" t="s">
        <v>3</v>
      </c>
      <c r="P388" t="s">
        <v>3</v>
      </c>
      <c r="Q388" t="s">
        <v>8</v>
      </c>
      <c r="R388" t="s">
        <v>122</v>
      </c>
      <c r="S388" t="s">
        <v>8</v>
      </c>
      <c r="T388" t="s">
        <v>3315</v>
      </c>
      <c r="U388" t="s">
        <v>3</v>
      </c>
      <c r="V388" t="s">
        <v>3</v>
      </c>
      <c r="W388" t="s">
        <v>3313</v>
      </c>
      <c r="AA388" t="s">
        <v>3</v>
      </c>
      <c r="AB388" t="s">
        <v>8</v>
      </c>
      <c r="AC388" t="s">
        <v>3</v>
      </c>
      <c r="AD388" t="s">
        <v>8</v>
      </c>
      <c r="AE388" t="s">
        <v>111</v>
      </c>
      <c r="AF388" t="s">
        <v>3316</v>
      </c>
    </row>
    <row r="389" spans="1:32">
      <c r="A389" t="s">
        <v>3317</v>
      </c>
      <c r="B389" t="s">
        <v>3318</v>
      </c>
      <c r="C389" t="s">
        <v>3319</v>
      </c>
      <c r="D389" t="s">
        <v>3318</v>
      </c>
      <c r="E389" t="s">
        <v>3320</v>
      </c>
      <c r="F389" t="s">
        <v>3321</v>
      </c>
      <c r="H389" t="s">
        <v>3322</v>
      </c>
      <c r="I389" t="s">
        <v>3323</v>
      </c>
      <c r="J389" t="s">
        <v>8</v>
      </c>
      <c r="K389" t="s">
        <v>3</v>
      </c>
      <c r="L389" t="s">
        <v>3</v>
      </c>
      <c r="M389" t="s">
        <v>122</v>
      </c>
      <c r="N389" t="s">
        <v>3</v>
      </c>
      <c r="O389" t="s">
        <v>3</v>
      </c>
      <c r="P389" t="s">
        <v>3</v>
      </c>
      <c r="Q389" t="s">
        <v>8</v>
      </c>
      <c r="R389" t="s">
        <v>122</v>
      </c>
      <c r="S389" t="s">
        <v>8</v>
      </c>
      <c r="T389" t="s">
        <v>3317</v>
      </c>
      <c r="U389" t="s">
        <v>3</v>
      </c>
      <c r="V389" t="s">
        <v>3</v>
      </c>
      <c r="W389" t="s">
        <v>663</v>
      </c>
      <c r="AA389" t="s">
        <v>3</v>
      </c>
      <c r="AB389" t="s">
        <v>8</v>
      </c>
      <c r="AC389" t="s">
        <v>3</v>
      </c>
      <c r="AD389" t="s">
        <v>8</v>
      </c>
      <c r="AE389" t="s">
        <v>111</v>
      </c>
      <c r="AF389" t="s">
        <v>3324</v>
      </c>
    </row>
    <row r="390" spans="1:32">
      <c r="A390" t="s">
        <v>3325</v>
      </c>
      <c r="B390" t="s">
        <v>3326</v>
      </c>
      <c r="C390" t="s">
        <v>3327</v>
      </c>
      <c r="D390" t="s">
        <v>3326</v>
      </c>
      <c r="E390" t="s">
        <v>3328</v>
      </c>
      <c r="F390" t="s">
        <v>3329</v>
      </c>
      <c r="H390" t="s">
        <v>3330</v>
      </c>
      <c r="I390" t="s">
        <v>3330</v>
      </c>
      <c r="J390" t="s">
        <v>8</v>
      </c>
      <c r="K390" t="s">
        <v>3</v>
      </c>
      <c r="L390" t="s">
        <v>3</v>
      </c>
      <c r="M390" t="s">
        <v>122</v>
      </c>
      <c r="N390" t="s">
        <v>3</v>
      </c>
      <c r="O390" t="s">
        <v>3</v>
      </c>
      <c r="P390" t="s">
        <v>3</v>
      </c>
      <c r="Q390" t="s">
        <v>8</v>
      </c>
      <c r="R390" t="s">
        <v>122</v>
      </c>
      <c r="S390" t="s">
        <v>8</v>
      </c>
      <c r="T390" t="s">
        <v>3325</v>
      </c>
      <c r="U390" t="s">
        <v>3</v>
      </c>
      <c r="V390" t="s">
        <v>3</v>
      </c>
      <c r="W390" t="s">
        <v>1343</v>
      </c>
      <c r="AA390" t="s">
        <v>8</v>
      </c>
      <c r="AB390" t="s">
        <v>8</v>
      </c>
      <c r="AC390" t="s">
        <v>3</v>
      </c>
      <c r="AD390" t="s">
        <v>8</v>
      </c>
      <c r="AE390" t="s">
        <v>111</v>
      </c>
      <c r="AF390" t="s">
        <v>3331</v>
      </c>
    </row>
    <row r="391" spans="1:32">
      <c r="A391" t="s">
        <v>3332</v>
      </c>
      <c r="B391" t="s">
        <v>3333</v>
      </c>
      <c r="C391" t="s">
        <v>3334</v>
      </c>
      <c r="D391" t="s">
        <v>3335</v>
      </c>
      <c r="E391" t="s">
        <v>3336</v>
      </c>
      <c r="F391" t="s">
        <v>3337</v>
      </c>
      <c r="H391" t="s">
        <v>3338</v>
      </c>
      <c r="I391" t="s">
        <v>3338</v>
      </c>
      <c r="J391" t="s">
        <v>8</v>
      </c>
      <c r="K391" t="s">
        <v>3</v>
      </c>
      <c r="L391" t="s">
        <v>3</v>
      </c>
      <c r="M391" t="s">
        <v>122</v>
      </c>
      <c r="N391" t="s">
        <v>3</v>
      </c>
      <c r="O391" t="s">
        <v>3</v>
      </c>
      <c r="P391" t="s">
        <v>3</v>
      </c>
      <c r="Q391" t="s">
        <v>8</v>
      </c>
      <c r="R391" t="s">
        <v>122</v>
      </c>
      <c r="S391" t="s">
        <v>8</v>
      </c>
      <c r="T391" t="s">
        <v>3332</v>
      </c>
      <c r="U391" t="s">
        <v>3</v>
      </c>
      <c r="V391" t="s">
        <v>3</v>
      </c>
      <c r="W391" t="s">
        <v>3</v>
      </c>
      <c r="AA391" t="s">
        <v>8</v>
      </c>
      <c r="AB391" t="s">
        <v>8</v>
      </c>
      <c r="AC391" t="s">
        <v>3</v>
      </c>
      <c r="AD391" t="s">
        <v>8</v>
      </c>
      <c r="AE391" t="s">
        <v>60</v>
      </c>
      <c r="AF391" t="s">
        <v>3339</v>
      </c>
    </row>
    <row r="392" spans="1:32">
      <c r="A392" t="s">
        <v>3340</v>
      </c>
      <c r="B392" t="s">
        <v>3333</v>
      </c>
      <c r="C392" t="s">
        <v>3334</v>
      </c>
      <c r="D392" t="s">
        <v>3335</v>
      </c>
      <c r="E392" t="s">
        <v>3336</v>
      </c>
      <c r="F392" t="s">
        <v>3337</v>
      </c>
      <c r="H392" t="s">
        <v>3338</v>
      </c>
      <c r="I392" t="s">
        <v>3338</v>
      </c>
      <c r="J392" t="s">
        <v>8</v>
      </c>
      <c r="K392" t="s">
        <v>3</v>
      </c>
      <c r="L392" t="s">
        <v>3</v>
      </c>
      <c r="M392" t="s">
        <v>122</v>
      </c>
      <c r="N392" t="s">
        <v>3</v>
      </c>
      <c r="O392" t="s">
        <v>3</v>
      </c>
      <c r="P392" t="s">
        <v>3</v>
      </c>
      <c r="Q392" t="s">
        <v>8</v>
      </c>
      <c r="R392" t="s">
        <v>122</v>
      </c>
      <c r="S392" t="s">
        <v>8</v>
      </c>
      <c r="T392" t="s">
        <v>3340</v>
      </c>
      <c r="U392" t="s">
        <v>3</v>
      </c>
      <c r="V392" t="s">
        <v>3</v>
      </c>
      <c r="W392" t="s">
        <v>3</v>
      </c>
      <c r="AA392" t="s">
        <v>8</v>
      </c>
      <c r="AB392" t="s">
        <v>8</v>
      </c>
      <c r="AC392" t="s">
        <v>3</v>
      </c>
      <c r="AD392" t="s">
        <v>8</v>
      </c>
      <c r="AE392" t="s">
        <v>111</v>
      </c>
      <c r="AF392" t="s">
        <v>3341</v>
      </c>
    </row>
    <row r="393" spans="1:32">
      <c r="A393" t="s">
        <v>3342</v>
      </c>
      <c r="B393" t="s">
        <v>3343</v>
      </c>
      <c r="C393" t="s">
        <v>3344</v>
      </c>
      <c r="D393" t="s">
        <v>3335</v>
      </c>
      <c r="E393" t="s">
        <v>3336</v>
      </c>
      <c r="F393" t="s">
        <v>3337</v>
      </c>
      <c r="H393" t="s">
        <v>3338</v>
      </c>
      <c r="I393" t="s">
        <v>3338</v>
      </c>
      <c r="J393" t="s">
        <v>8</v>
      </c>
      <c r="K393" t="s">
        <v>3</v>
      </c>
      <c r="L393" t="s">
        <v>3</v>
      </c>
      <c r="M393" t="s">
        <v>122</v>
      </c>
      <c r="N393" t="s">
        <v>3</v>
      </c>
      <c r="O393" t="s">
        <v>3</v>
      </c>
      <c r="P393" t="s">
        <v>3</v>
      </c>
      <c r="Q393" t="s">
        <v>8</v>
      </c>
      <c r="R393" t="s">
        <v>122</v>
      </c>
      <c r="S393" t="s">
        <v>8</v>
      </c>
      <c r="T393" t="s">
        <v>3342</v>
      </c>
      <c r="U393" t="s">
        <v>3</v>
      </c>
      <c r="V393" t="s">
        <v>3</v>
      </c>
      <c r="W393" t="s">
        <v>3</v>
      </c>
      <c r="AA393" t="s">
        <v>8</v>
      </c>
      <c r="AB393" t="s">
        <v>8</v>
      </c>
      <c r="AC393" t="s">
        <v>3</v>
      </c>
      <c r="AD393" t="s">
        <v>8</v>
      </c>
      <c r="AE393" t="s">
        <v>111</v>
      </c>
      <c r="AF393" t="s">
        <v>3345</v>
      </c>
    </row>
    <row r="394" spans="1:32">
      <c r="A394" t="s">
        <v>124</v>
      </c>
      <c r="B394" t="s">
        <v>28</v>
      </c>
      <c r="C394" t="s">
        <v>3346</v>
      </c>
      <c r="D394" t="s">
        <v>28</v>
      </c>
      <c r="E394" t="s">
        <v>3347</v>
      </c>
      <c r="F394" t="s">
        <v>3348</v>
      </c>
      <c r="H394" t="s">
        <v>3304</v>
      </c>
      <c r="I394" t="s">
        <v>3305</v>
      </c>
      <c r="J394" t="s">
        <v>8</v>
      </c>
      <c r="K394" t="s">
        <v>3</v>
      </c>
      <c r="L394" t="s">
        <v>3</v>
      </c>
      <c r="M394" t="s">
        <v>122</v>
      </c>
      <c r="N394" t="s">
        <v>3</v>
      </c>
      <c r="O394" t="s">
        <v>3</v>
      </c>
      <c r="P394" t="s">
        <v>3</v>
      </c>
      <c r="Q394" t="s">
        <v>8</v>
      </c>
      <c r="R394" t="s">
        <v>122</v>
      </c>
      <c r="S394" t="s">
        <v>8</v>
      </c>
      <c r="T394" t="s">
        <v>124</v>
      </c>
      <c r="U394" t="s">
        <v>3</v>
      </c>
      <c r="V394" t="s">
        <v>3</v>
      </c>
      <c r="W394" t="s">
        <v>2985</v>
      </c>
      <c r="AA394" t="s">
        <v>8</v>
      </c>
      <c r="AB394" t="s">
        <v>8</v>
      </c>
      <c r="AC394" t="s">
        <v>3</v>
      </c>
      <c r="AD394" t="s">
        <v>8</v>
      </c>
      <c r="AE394" t="s">
        <v>72</v>
      </c>
      <c r="AF394" t="s">
        <v>3349</v>
      </c>
    </row>
    <row r="395" spans="1:32">
      <c r="A395" t="s">
        <v>3350</v>
      </c>
      <c r="B395" t="s">
        <v>3351</v>
      </c>
      <c r="C395" t="s">
        <v>3352</v>
      </c>
      <c r="D395" t="s">
        <v>3353</v>
      </c>
      <c r="E395" t="s">
        <v>3347</v>
      </c>
      <c r="F395" t="s">
        <v>3348</v>
      </c>
      <c r="H395" t="s">
        <v>3304</v>
      </c>
      <c r="I395" t="s">
        <v>3305</v>
      </c>
      <c r="J395" t="s">
        <v>8</v>
      </c>
      <c r="K395" t="s">
        <v>3</v>
      </c>
      <c r="L395" t="s">
        <v>3</v>
      </c>
      <c r="M395" t="s">
        <v>122</v>
      </c>
      <c r="N395" t="s">
        <v>3</v>
      </c>
      <c r="O395" t="s">
        <v>3</v>
      </c>
      <c r="P395" t="s">
        <v>3</v>
      </c>
      <c r="Q395" t="s">
        <v>8</v>
      </c>
      <c r="R395" t="s">
        <v>122</v>
      </c>
      <c r="S395" t="s">
        <v>8</v>
      </c>
      <c r="T395" t="s">
        <v>3350</v>
      </c>
      <c r="U395" t="s">
        <v>3</v>
      </c>
      <c r="V395" t="s">
        <v>3</v>
      </c>
      <c r="W395" t="s">
        <v>2985</v>
      </c>
      <c r="AA395" t="s">
        <v>8</v>
      </c>
      <c r="AB395" t="s">
        <v>8</v>
      </c>
      <c r="AC395" t="s">
        <v>3</v>
      </c>
      <c r="AD395" t="s">
        <v>8</v>
      </c>
      <c r="AE395" t="s">
        <v>111</v>
      </c>
      <c r="AF395" t="s">
        <v>3354</v>
      </c>
    </row>
    <row r="396" spans="1:32">
      <c r="A396" t="s">
        <v>3355</v>
      </c>
      <c r="B396" t="s">
        <v>3356</v>
      </c>
      <c r="C396" t="s">
        <v>3357</v>
      </c>
      <c r="D396" t="s">
        <v>3356</v>
      </c>
      <c r="E396" t="s">
        <v>3358</v>
      </c>
      <c r="F396" t="s">
        <v>3359</v>
      </c>
      <c r="H396" t="s">
        <v>3360</v>
      </c>
      <c r="I396" t="s">
        <v>3361</v>
      </c>
      <c r="J396" t="s">
        <v>8</v>
      </c>
      <c r="K396" t="s">
        <v>3</v>
      </c>
      <c r="L396" t="s">
        <v>3</v>
      </c>
      <c r="M396" t="s">
        <v>122</v>
      </c>
      <c r="N396" t="s">
        <v>3</v>
      </c>
      <c r="O396" t="s">
        <v>3</v>
      </c>
      <c r="P396" t="s">
        <v>3</v>
      </c>
      <c r="Q396" t="s">
        <v>8</v>
      </c>
      <c r="R396" t="s">
        <v>122</v>
      </c>
      <c r="S396" t="s">
        <v>8</v>
      </c>
      <c r="T396" t="s">
        <v>3355</v>
      </c>
      <c r="U396" t="s">
        <v>3</v>
      </c>
      <c r="V396" t="s">
        <v>3</v>
      </c>
      <c r="W396" t="s">
        <v>935</v>
      </c>
      <c r="AA396" t="s">
        <v>8</v>
      </c>
      <c r="AB396" t="s">
        <v>8</v>
      </c>
      <c r="AC396" t="s">
        <v>3</v>
      </c>
      <c r="AD396" t="s">
        <v>8</v>
      </c>
      <c r="AE396" t="s">
        <v>72</v>
      </c>
      <c r="AF396" t="s">
        <v>3362</v>
      </c>
    </row>
    <row r="397" spans="1:32">
      <c r="A397" t="s">
        <v>3363</v>
      </c>
      <c r="B397" t="s">
        <v>3364</v>
      </c>
      <c r="C397" t="s">
        <v>3365</v>
      </c>
      <c r="D397" t="s">
        <v>3366</v>
      </c>
      <c r="E397" t="s">
        <v>1954</v>
      </c>
      <c r="F397" t="s">
        <v>3367</v>
      </c>
      <c r="H397" t="s">
        <v>3368</v>
      </c>
      <c r="I397" t="s">
        <v>3368</v>
      </c>
      <c r="J397" t="s">
        <v>8</v>
      </c>
      <c r="K397" t="s">
        <v>3</v>
      </c>
      <c r="L397" t="s">
        <v>3</v>
      </c>
      <c r="M397" t="s">
        <v>122</v>
      </c>
      <c r="N397" t="s">
        <v>3</v>
      </c>
      <c r="O397" t="s">
        <v>3</v>
      </c>
      <c r="P397" t="s">
        <v>3</v>
      </c>
      <c r="Q397" t="s">
        <v>8</v>
      </c>
      <c r="R397" t="s">
        <v>122</v>
      </c>
      <c r="S397" t="s">
        <v>8</v>
      </c>
      <c r="T397" t="s">
        <v>3363</v>
      </c>
      <c r="U397" t="s">
        <v>3</v>
      </c>
      <c r="V397" t="s">
        <v>3</v>
      </c>
      <c r="W397" t="s">
        <v>796</v>
      </c>
      <c r="AA397" t="s">
        <v>8</v>
      </c>
      <c r="AB397" t="s">
        <v>8</v>
      </c>
      <c r="AC397" t="s">
        <v>3</v>
      </c>
      <c r="AD397" t="s">
        <v>8</v>
      </c>
      <c r="AE397" t="s">
        <v>111</v>
      </c>
      <c r="AF397" t="s">
        <v>3369</v>
      </c>
    </row>
    <row r="398" spans="1:32">
      <c r="A398" t="s">
        <v>3370</v>
      </c>
      <c r="B398" t="s">
        <v>3371</v>
      </c>
      <c r="C398" t="s">
        <v>3372</v>
      </c>
      <c r="D398" t="s">
        <v>3371</v>
      </c>
      <c r="E398" t="s">
        <v>3373</v>
      </c>
      <c r="F398" t="s">
        <v>3374</v>
      </c>
      <c r="G398" t="s">
        <v>3375</v>
      </c>
      <c r="H398" t="s">
        <v>3376</v>
      </c>
      <c r="J398" t="s">
        <v>8</v>
      </c>
      <c r="K398" t="s">
        <v>3</v>
      </c>
      <c r="L398" t="s">
        <v>3</v>
      </c>
      <c r="M398" t="s">
        <v>122</v>
      </c>
      <c r="N398" t="s">
        <v>3</v>
      </c>
      <c r="O398" t="s">
        <v>3</v>
      </c>
      <c r="P398" t="s">
        <v>3</v>
      </c>
      <c r="Q398" t="s">
        <v>8</v>
      </c>
      <c r="R398" t="s">
        <v>122</v>
      </c>
      <c r="S398" t="s">
        <v>8</v>
      </c>
      <c r="T398" t="s">
        <v>3370</v>
      </c>
      <c r="U398" t="s">
        <v>3</v>
      </c>
      <c r="V398" t="s">
        <v>3</v>
      </c>
      <c r="W398" t="s">
        <v>127</v>
      </c>
      <c r="AA398" t="s">
        <v>8</v>
      </c>
      <c r="AB398" t="s">
        <v>8</v>
      </c>
      <c r="AC398" t="s">
        <v>3</v>
      </c>
      <c r="AD398" t="s">
        <v>8</v>
      </c>
      <c r="AE398" t="s">
        <v>111</v>
      </c>
      <c r="AF398" t="s">
        <v>3377</v>
      </c>
    </row>
    <row r="399" spans="1:32">
      <c r="A399" t="s">
        <v>3378</v>
      </c>
      <c r="B399" t="s">
        <v>3379</v>
      </c>
      <c r="C399" t="s">
        <v>3380</v>
      </c>
      <c r="D399" t="s">
        <v>3379</v>
      </c>
      <c r="F399" t="s">
        <v>3381</v>
      </c>
      <c r="H399" t="s">
        <v>3382</v>
      </c>
      <c r="J399" t="s">
        <v>8</v>
      </c>
      <c r="K399" t="s">
        <v>3</v>
      </c>
      <c r="L399" t="s">
        <v>3</v>
      </c>
      <c r="M399" t="s">
        <v>122</v>
      </c>
      <c r="N399" t="s">
        <v>3</v>
      </c>
      <c r="O399" t="s">
        <v>3</v>
      </c>
      <c r="P399" t="s">
        <v>3</v>
      </c>
      <c r="Q399" t="s">
        <v>8</v>
      </c>
      <c r="R399" t="s">
        <v>122</v>
      </c>
      <c r="S399" t="s">
        <v>8</v>
      </c>
      <c r="T399" t="s">
        <v>3378</v>
      </c>
      <c r="U399" t="s">
        <v>3</v>
      </c>
      <c r="V399" t="s">
        <v>3</v>
      </c>
      <c r="W399" t="s">
        <v>3</v>
      </c>
      <c r="AA399" t="s">
        <v>8</v>
      </c>
      <c r="AB399" t="s">
        <v>8</v>
      </c>
      <c r="AC399" t="s">
        <v>3</v>
      </c>
      <c r="AD399" t="s">
        <v>8</v>
      </c>
      <c r="AE399" t="s">
        <v>111</v>
      </c>
      <c r="AF399" t="s">
        <v>3383</v>
      </c>
    </row>
    <row r="400" spans="1:32">
      <c r="A400" t="s">
        <v>3384</v>
      </c>
      <c r="B400" t="s">
        <v>3385</v>
      </c>
      <c r="C400" t="s">
        <v>3386</v>
      </c>
      <c r="D400" t="s">
        <v>3385</v>
      </c>
      <c r="E400" t="s">
        <v>2566</v>
      </c>
      <c r="F400" t="s">
        <v>3387</v>
      </c>
      <c r="H400" t="s">
        <v>3388</v>
      </c>
      <c r="J400" t="s">
        <v>8</v>
      </c>
      <c r="K400" t="s">
        <v>3</v>
      </c>
      <c r="L400" t="s">
        <v>3</v>
      </c>
      <c r="M400" t="s">
        <v>122</v>
      </c>
      <c r="N400" t="s">
        <v>3</v>
      </c>
      <c r="O400" t="s">
        <v>3</v>
      </c>
      <c r="P400" t="s">
        <v>3</v>
      </c>
      <c r="Q400" t="s">
        <v>8</v>
      </c>
      <c r="R400" t="s">
        <v>122</v>
      </c>
      <c r="S400" t="s">
        <v>8</v>
      </c>
      <c r="T400" t="s">
        <v>3384</v>
      </c>
      <c r="U400" t="s">
        <v>3</v>
      </c>
      <c r="V400" t="s">
        <v>3</v>
      </c>
      <c r="W400" t="s">
        <v>957</v>
      </c>
      <c r="AA400" t="s">
        <v>8</v>
      </c>
      <c r="AB400" t="s">
        <v>8</v>
      </c>
      <c r="AC400" t="s">
        <v>3</v>
      </c>
      <c r="AD400" t="s">
        <v>8</v>
      </c>
      <c r="AE400" t="s">
        <v>72</v>
      </c>
      <c r="AF400" t="s">
        <v>3389</v>
      </c>
    </row>
    <row r="401" spans="1:32">
      <c r="A401" t="s">
        <v>3390</v>
      </c>
      <c r="B401" t="s">
        <v>3391</v>
      </c>
      <c r="C401" t="s">
        <v>3392</v>
      </c>
      <c r="D401" t="s">
        <v>3393</v>
      </c>
      <c r="E401" t="s">
        <v>3111</v>
      </c>
      <c r="F401" t="s">
        <v>3394</v>
      </c>
      <c r="H401" t="s">
        <v>3395</v>
      </c>
      <c r="I401" t="s">
        <v>3396</v>
      </c>
      <c r="J401" t="s">
        <v>8</v>
      </c>
      <c r="K401" t="s">
        <v>3</v>
      </c>
      <c r="L401" t="s">
        <v>3</v>
      </c>
      <c r="M401" t="s">
        <v>122</v>
      </c>
      <c r="N401" t="s">
        <v>3</v>
      </c>
      <c r="O401" t="s">
        <v>3</v>
      </c>
      <c r="P401" t="s">
        <v>3</v>
      </c>
      <c r="Q401" t="s">
        <v>8</v>
      </c>
      <c r="R401" t="s">
        <v>122</v>
      </c>
      <c r="S401" t="s">
        <v>8</v>
      </c>
      <c r="T401" t="s">
        <v>3390</v>
      </c>
      <c r="U401" t="s">
        <v>3</v>
      </c>
      <c r="V401" t="s">
        <v>3</v>
      </c>
      <c r="W401" t="s">
        <v>939</v>
      </c>
      <c r="AA401" t="s">
        <v>8</v>
      </c>
      <c r="AB401" t="s">
        <v>8</v>
      </c>
      <c r="AC401" t="s">
        <v>3</v>
      </c>
      <c r="AD401" t="s">
        <v>8</v>
      </c>
      <c r="AE401" t="s">
        <v>72</v>
      </c>
      <c r="AF401" t="s">
        <v>3397</v>
      </c>
    </row>
    <row r="402" spans="1:32">
      <c r="A402" t="s">
        <v>3398</v>
      </c>
      <c r="B402" t="s">
        <v>3399</v>
      </c>
      <c r="C402" t="s">
        <v>3400</v>
      </c>
      <c r="D402" t="s">
        <v>3399</v>
      </c>
      <c r="E402" t="s">
        <v>1507</v>
      </c>
      <c r="F402" t="s">
        <v>3401</v>
      </c>
      <c r="H402" t="s">
        <v>3402</v>
      </c>
      <c r="J402" t="s">
        <v>8</v>
      </c>
      <c r="K402" t="s">
        <v>3</v>
      </c>
      <c r="L402" t="s">
        <v>3</v>
      </c>
      <c r="M402" t="s">
        <v>122</v>
      </c>
      <c r="N402" t="s">
        <v>3</v>
      </c>
      <c r="O402" t="s">
        <v>3</v>
      </c>
      <c r="P402" t="s">
        <v>3</v>
      </c>
      <c r="Q402" t="s">
        <v>8</v>
      </c>
      <c r="R402" t="s">
        <v>122</v>
      </c>
      <c r="S402" t="s">
        <v>8</v>
      </c>
      <c r="T402" t="s">
        <v>3398</v>
      </c>
      <c r="U402" t="s">
        <v>3</v>
      </c>
      <c r="V402" t="s">
        <v>3</v>
      </c>
      <c r="W402" t="s">
        <v>3</v>
      </c>
      <c r="AA402" t="s">
        <v>8</v>
      </c>
      <c r="AB402" t="s">
        <v>8</v>
      </c>
      <c r="AC402" t="s">
        <v>3</v>
      </c>
      <c r="AD402" t="s">
        <v>8</v>
      </c>
      <c r="AE402" t="s">
        <v>72</v>
      </c>
      <c r="AF402" t="s">
        <v>3403</v>
      </c>
    </row>
    <row r="403" spans="1:32">
      <c r="A403" t="s">
        <v>3404</v>
      </c>
      <c r="B403" t="s">
        <v>3405</v>
      </c>
      <c r="C403" t="s">
        <v>3406</v>
      </c>
      <c r="D403" t="s">
        <v>3407</v>
      </c>
      <c r="E403" t="s">
        <v>3408</v>
      </c>
      <c r="F403" t="s">
        <v>3409</v>
      </c>
      <c r="H403" t="s">
        <v>3410</v>
      </c>
      <c r="I403" t="s">
        <v>3411</v>
      </c>
      <c r="J403" t="s">
        <v>8</v>
      </c>
      <c r="K403" t="s">
        <v>3</v>
      </c>
      <c r="L403" t="s">
        <v>3</v>
      </c>
      <c r="M403" t="s">
        <v>122</v>
      </c>
      <c r="N403" t="s">
        <v>3</v>
      </c>
      <c r="O403" t="s">
        <v>3</v>
      </c>
      <c r="P403" t="s">
        <v>3</v>
      </c>
      <c r="Q403" t="s">
        <v>8</v>
      </c>
      <c r="R403" t="s">
        <v>122</v>
      </c>
      <c r="S403" t="s">
        <v>8</v>
      </c>
      <c r="T403" t="s">
        <v>3404</v>
      </c>
      <c r="U403" t="s">
        <v>3</v>
      </c>
      <c r="V403" t="s">
        <v>3</v>
      </c>
      <c r="W403" t="s">
        <v>3</v>
      </c>
      <c r="AA403" t="s">
        <v>8</v>
      </c>
      <c r="AB403" t="s">
        <v>8</v>
      </c>
      <c r="AC403" t="s">
        <v>3</v>
      </c>
      <c r="AD403" t="s">
        <v>8</v>
      </c>
      <c r="AE403" t="s">
        <v>111</v>
      </c>
      <c r="AF403" t="s">
        <v>3412</v>
      </c>
    </row>
    <row r="404" spans="1:32">
      <c r="A404" t="s">
        <v>3413</v>
      </c>
      <c r="B404" t="s">
        <v>3414</v>
      </c>
      <c r="C404" t="s">
        <v>3415</v>
      </c>
      <c r="D404" t="s">
        <v>3416</v>
      </c>
      <c r="E404" t="s">
        <v>3417</v>
      </c>
      <c r="F404" t="s">
        <v>3418</v>
      </c>
      <c r="J404" t="s">
        <v>8</v>
      </c>
      <c r="K404" t="s">
        <v>3</v>
      </c>
      <c r="L404" t="s">
        <v>3</v>
      </c>
      <c r="M404" t="s">
        <v>122</v>
      </c>
      <c r="N404" t="s">
        <v>3</v>
      </c>
      <c r="O404" t="s">
        <v>3</v>
      </c>
      <c r="P404" t="s">
        <v>3</v>
      </c>
      <c r="Q404" t="s">
        <v>8</v>
      </c>
      <c r="R404" t="s">
        <v>122</v>
      </c>
      <c r="S404" t="s">
        <v>8</v>
      </c>
      <c r="T404" t="s">
        <v>3413</v>
      </c>
      <c r="U404" t="s">
        <v>3</v>
      </c>
      <c r="V404" t="s">
        <v>3</v>
      </c>
      <c r="W404" t="s">
        <v>3</v>
      </c>
      <c r="AA404" t="s">
        <v>8</v>
      </c>
      <c r="AB404" t="s">
        <v>8</v>
      </c>
      <c r="AC404" t="s">
        <v>3</v>
      </c>
      <c r="AD404" t="s">
        <v>8</v>
      </c>
      <c r="AE404" t="s">
        <v>111</v>
      </c>
      <c r="AF404" t="s">
        <v>3419</v>
      </c>
    </row>
    <row r="405" spans="1:32">
      <c r="A405" t="s">
        <v>3420</v>
      </c>
      <c r="B405" t="s">
        <v>3421</v>
      </c>
      <c r="C405" t="s">
        <v>3422</v>
      </c>
      <c r="D405" t="s">
        <v>3423</v>
      </c>
      <c r="E405" t="s">
        <v>2252</v>
      </c>
      <c r="F405" t="s">
        <v>3424</v>
      </c>
      <c r="J405" t="s">
        <v>8</v>
      </c>
      <c r="K405" t="s">
        <v>3</v>
      </c>
      <c r="L405" t="s">
        <v>3</v>
      </c>
      <c r="M405" t="s">
        <v>122</v>
      </c>
      <c r="N405" t="s">
        <v>3</v>
      </c>
      <c r="O405" t="s">
        <v>3</v>
      </c>
      <c r="P405" t="s">
        <v>3</v>
      </c>
      <c r="Q405" t="s">
        <v>8</v>
      </c>
      <c r="R405" t="s">
        <v>122</v>
      </c>
      <c r="S405" t="s">
        <v>8</v>
      </c>
      <c r="T405" t="s">
        <v>3420</v>
      </c>
      <c r="U405" t="s">
        <v>3</v>
      </c>
      <c r="V405" t="s">
        <v>3</v>
      </c>
      <c r="W405" t="s">
        <v>3</v>
      </c>
      <c r="AA405" t="s">
        <v>8</v>
      </c>
      <c r="AB405" t="s">
        <v>8</v>
      </c>
      <c r="AC405" t="s">
        <v>3</v>
      </c>
      <c r="AD405" t="s">
        <v>8</v>
      </c>
      <c r="AE405" t="s">
        <v>111</v>
      </c>
      <c r="AF405" t="s">
        <v>3425</v>
      </c>
    </row>
    <row r="406" spans="1:32">
      <c r="A406" t="s">
        <v>3426</v>
      </c>
      <c r="B406" t="s">
        <v>3427</v>
      </c>
      <c r="C406" t="s">
        <v>3428</v>
      </c>
      <c r="D406" t="s">
        <v>3429</v>
      </c>
      <c r="E406" t="s">
        <v>3430</v>
      </c>
      <c r="F406" t="s">
        <v>3431</v>
      </c>
      <c r="J406" t="s">
        <v>8</v>
      </c>
      <c r="K406" t="s">
        <v>3</v>
      </c>
      <c r="L406" t="s">
        <v>3</v>
      </c>
      <c r="M406" t="s">
        <v>122</v>
      </c>
      <c r="N406" t="s">
        <v>3</v>
      </c>
      <c r="O406" t="s">
        <v>3</v>
      </c>
      <c r="P406" t="s">
        <v>3</v>
      </c>
      <c r="Q406" t="s">
        <v>8</v>
      </c>
      <c r="R406" t="s">
        <v>122</v>
      </c>
      <c r="S406" t="s">
        <v>8</v>
      </c>
      <c r="T406" t="s">
        <v>3426</v>
      </c>
      <c r="U406" t="s">
        <v>3</v>
      </c>
      <c r="V406" t="s">
        <v>3</v>
      </c>
      <c r="W406" t="s">
        <v>3</v>
      </c>
      <c r="AA406" t="s">
        <v>8</v>
      </c>
      <c r="AB406" t="s">
        <v>8</v>
      </c>
      <c r="AC406" t="s">
        <v>3</v>
      </c>
      <c r="AD406" t="s">
        <v>8</v>
      </c>
      <c r="AE406" t="s">
        <v>111</v>
      </c>
      <c r="AF406" t="s">
        <v>3432</v>
      </c>
    </row>
    <row r="407" spans="1:32">
      <c r="A407" t="s">
        <v>3433</v>
      </c>
      <c r="B407" t="s">
        <v>3434</v>
      </c>
      <c r="C407" t="s">
        <v>3435</v>
      </c>
      <c r="D407" t="s">
        <v>3436</v>
      </c>
      <c r="E407" t="s">
        <v>3437</v>
      </c>
      <c r="F407" t="s">
        <v>3438</v>
      </c>
      <c r="J407" t="s">
        <v>8</v>
      </c>
      <c r="K407" t="s">
        <v>3</v>
      </c>
      <c r="L407" t="s">
        <v>3</v>
      </c>
      <c r="M407" t="s">
        <v>122</v>
      </c>
      <c r="N407" t="s">
        <v>3</v>
      </c>
      <c r="O407" t="s">
        <v>3</v>
      </c>
      <c r="P407" t="s">
        <v>3</v>
      </c>
      <c r="Q407" t="s">
        <v>8</v>
      </c>
      <c r="R407" t="s">
        <v>122</v>
      </c>
      <c r="S407" t="s">
        <v>8</v>
      </c>
      <c r="T407" t="s">
        <v>3433</v>
      </c>
      <c r="U407" t="s">
        <v>3</v>
      </c>
      <c r="V407" t="s">
        <v>3</v>
      </c>
      <c r="W407" t="s">
        <v>3</v>
      </c>
      <c r="AA407" t="s">
        <v>8</v>
      </c>
      <c r="AB407" t="s">
        <v>8</v>
      </c>
      <c r="AC407" t="s">
        <v>3</v>
      </c>
      <c r="AD407" t="s">
        <v>8</v>
      </c>
      <c r="AE407" t="s">
        <v>111</v>
      </c>
      <c r="AF407" t="s">
        <v>3439</v>
      </c>
    </row>
    <row r="408" spans="1:32">
      <c r="A408" t="s">
        <v>3440</v>
      </c>
      <c r="B408" t="s">
        <v>3441</v>
      </c>
      <c r="C408" t="s">
        <v>3442</v>
      </c>
      <c r="D408" t="s">
        <v>3443</v>
      </c>
      <c r="E408" t="s">
        <v>1462</v>
      </c>
      <c r="F408" t="s">
        <v>3444</v>
      </c>
      <c r="J408" t="s">
        <v>8</v>
      </c>
      <c r="K408" t="s">
        <v>3</v>
      </c>
      <c r="L408" t="s">
        <v>3</v>
      </c>
      <c r="M408" t="s">
        <v>122</v>
      </c>
      <c r="N408" t="s">
        <v>3</v>
      </c>
      <c r="O408" t="s">
        <v>3</v>
      </c>
      <c r="P408" t="s">
        <v>3</v>
      </c>
      <c r="Q408" t="s">
        <v>8</v>
      </c>
      <c r="R408" t="s">
        <v>122</v>
      </c>
      <c r="S408" t="s">
        <v>8</v>
      </c>
      <c r="T408" t="s">
        <v>3440</v>
      </c>
      <c r="U408" t="s">
        <v>3</v>
      </c>
      <c r="V408" t="s">
        <v>3</v>
      </c>
      <c r="W408" t="s">
        <v>3</v>
      </c>
      <c r="AA408" t="s">
        <v>8</v>
      </c>
      <c r="AB408" t="s">
        <v>8</v>
      </c>
      <c r="AC408" t="s">
        <v>3</v>
      </c>
      <c r="AD408" t="s">
        <v>8</v>
      </c>
      <c r="AE408" t="s">
        <v>111</v>
      </c>
      <c r="AF408" t="s">
        <v>3445</v>
      </c>
    </row>
    <row r="409" spans="1:32">
      <c r="A409" t="s">
        <v>3446</v>
      </c>
      <c r="B409" t="s">
        <v>3447</v>
      </c>
      <c r="C409" t="s">
        <v>3448</v>
      </c>
      <c r="D409" t="s">
        <v>3447</v>
      </c>
      <c r="F409" t="s">
        <v>3449</v>
      </c>
      <c r="H409" t="s">
        <v>3450</v>
      </c>
      <c r="I409" t="s">
        <v>3451</v>
      </c>
      <c r="J409" t="s">
        <v>8</v>
      </c>
      <c r="K409" t="s">
        <v>3</v>
      </c>
      <c r="L409" t="s">
        <v>3</v>
      </c>
      <c r="M409" t="s">
        <v>122</v>
      </c>
      <c r="N409" t="s">
        <v>3</v>
      </c>
      <c r="O409" t="s">
        <v>3</v>
      </c>
      <c r="P409" t="s">
        <v>3</v>
      </c>
      <c r="Q409" t="s">
        <v>8</v>
      </c>
      <c r="R409" t="s">
        <v>122</v>
      </c>
      <c r="S409" t="s">
        <v>8</v>
      </c>
      <c r="T409" t="s">
        <v>3446</v>
      </c>
      <c r="U409" t="s">
        <v>3</v>
      </c>
      <c r="V409" t="s">
        <v>3</v>
      </c>
      <c r="W409" t="s">
        <v>3</v>
      </c>
      <c r="AA409" t="s">
        <v>8</v>
      </c>
      <c r="AB409" t="s">
        <v>8</v>
      </c>
      <c r="AC409" t="s">
        <v>3</v>
      </c>
      <c r="AD409" t="s">
        <v>8</v>
      </c>
      <c r="AE409" t="s">
        <v>67</v>
      </c>
      <c r="AF409" t="s">
        <v>3452</v>
      </c>
    </row>
    <row r="410" spans="1:32">
      <c r="A410" t="s">
        <v>3453</v>
      </c>
      <c r="B410" t="s">
        <v>3454</v>
      </c>
      <c r="C410" t="s">
        <v>3455</v>
      </c>
      <c r="D410" t="s">
        <v>3456</v>
      </c>
      <c r="E410" t="s">
        <v>2295</v>
      </c>
      <c r="F410" t="s">
        <v>3457</v>
      </c>
      <c r="H410" t="s">
        <v>3458</v>
      </c>
      <c r="I410" t="s">
        <v>3459</v>
      </c>
      <c r="J410" t="s">
        <v>8</v>
      </c>
      <c r="K410" t="s">
        <v>3</v>
      </c>
      <c r="L410" t="s">
        <v>3</v>
      </c>
      <c r="M410" t="s">
        <v>122</v>
      </c>
      <c r="N410" t="s">
        <v>3</v>
      </c>
      <c r="O410" t="s">
        <v>3</v>
      </c>
      <c r="P410" t="s">
        <v>3</v>
      </c>
      <c r="Q410" t="s">
        <v>8</v>
      </c>
      <c r="R410" t="s">
        <v>122</v>
      </c>
      <c r="S410" t="s">
        <v>8</v>
      </c>
      <c r="T410" t="s">
        <v>3453</v>
      </c>
      <c r="U410" t="s">
        <v>3</v>
      </c>
      <c r="V410" t="s">
        <v>3</v>
      </c>
      <c r="W410" t="s">
        <v>635</v>
      </c>
      <c r="AA410" t="s">
        <v>8</v>
      </c>
      <c r="AB410" t="s">
        <v>8</v>
      </c>
      <c r="AC410" t="s">
        <v>3</v>
      </c>
      <c r="AD410" t="s">
        <v>8</v>
      </c>
      <c r="AE410" t="s">
        <v>111</v>
      </c>
      <c r="AF410" t="s">
        <v>3460</v>
      </c>
    </row>
    <row r="411" spans="1:32">
      <c r="A411" t="s">
        <v>3461</v>
      </c>
      <c r="B411" t="s">
        <v>3462</v>
      </c>
      <c r="C411" t="s">
        <v>3463</v>
      </c>
      <c r="D411" t="s">
        <v>3462</v>
      </c>
      <c r="E411" t="s">
        <v>3464</v>
      </c>
      <c r="F411" t="s">
        <v>3465</v>
      </c>
      <c r="H411" t="s">
        <v>3466</v>
      </c>
      <c r="I411" t="s">
        <v>3467</v>
      </c>
      <c r="J411" t="s">
        <v>8</v>
      </c>
      <c r="K411" t="s">
        <v>3</v>
      </c>
      <c r="L411" t="s">
        <v>3</v>
      </c>
      <c r="M411" t="s">
        <v>122</v>
      </c>
      <c r="N411" t="s">
        <v>3</v>
      </c>
      <c r="O411" t="s">
        <v>3</v>
      </c>
      <c r="P411" t="s">
        <v>3</v>
      </c>
      <c r="Q411" t="s">
        <v>8</v>
      </c>
      <c r="R411" t="s">
        <v>122</v>
      </c>
      <c r="S411" t="s">
        <v>8</v>
      </c>
      <c r="T411" t="s">
        <v>3461</v>
      </c>
      <c r="U411" t="s">
        <v>3</v>
      </c>
      <c r="V411" t="s">
        <v>3</v>
      </c>
      <c r="W411" t="s">
        <v>3</v>
      </c>
      <c r="AA411" t="s">
        <v>8</v>
      </c>
      <c r="AB411" t="s">
        <v>8</v>
      </c>
      <c r="AC411" t="s">
        <v>3</v>
      </c>
      <c r="AD411" t="s">
        <v>8</v>
      </c>
      <c r="AE411" t="s">
        <v>111</v>
      </c>
      <c r="AF411" t="s">
        <v>3468</v>
      </c>
    </row>
    <row r="412" spans="1:32">
      <c r="A412" t="s">
        <v>3469</v>
      </c>
      <c r="B412" t="s">
        <v>3462</v>
      </c>
      <c r="C412" t="s">
        <v>3463</v>
      </c>
      <c r="D412" t="s">
        <v>3470</v>
      </c>
      <c r="E412" t="s">
        <v>3464</v>
      </c>
      <c r="F412" t="s">
        <v>3465</v>
      </c>
      <c r="H412" t="s">
        <v>3466</v>
      </c>
      <c r="I412" t="s">
        <v>3467</v>
      </c>
      <c r="J412" t="s">
        <v>8</v>
      </c>
      <c r="K412" t="s">
        <v>3</v>
      </c>
      <c r="L412" t="s">
        <v>3</v>
      </c>
      <c r="M412" t="s">
        <v>122</v>
      </c>
      <c r="N412" t="s">
        <v>3</v>
      </c>
      <c r="O412" t="s">
        <v>3</v>
      </c>
      <c r="P412" t="s">
        <v>3</v>
      </c>
      <c r="Q412" t="s">
        <v>8</v>
      </c>
      <c r="R412" t="s">
        <v>122</v>
      </c>
      <c r="S412" t="s">
        <v>8</v>
      </c>
      <c r="T412" t="s">
        <v>3461</v>
      </c>
      <c r="U412" t="s">
        <v>3</v>
      </c>
      <c r="V412" t="s">
        <v>3</v>
      </c>
      <c r="W412" t="s">
        <v>3</v>
      </c>
      <c r="AA412" t="s">
        <v>8</v>
      </c>
      <c r="AB412" t="s">
        <v>8</v>
      </c>
      <c r="AC412" t="s">
        <v>3</v>
      </c>
      <c r="AD412" t="s">
        <v>8</v>
      </c>
      <c r="AE412" t="s">
        <v>111</v>
      </c>
      <c r="AF412" t="s">
        <v>3471</v>
      </c>
    </row>
    <row r="413" spans="1:32">
      <c r="A413" t="s">
        <v>3472</v>
      </c>
      <c r="B413" t="s">
        <v>3473</v>
      </c>
      <c r="C413" t="s">
        <v>3474</v>
      </c>
      <c r="D413" t="s">
        <v>3473</v>
      </c>
      <c r="E413" t="s">
        <v>3475</v>
      </c>
      <c r="F413" t="s">
        <v>3476</v>
      </c>
      <c r="H413" t="s">
        <v>3477</v>
      </c>
      <c r="I413" t="s">
        <v>3478</v>
      </c>
      <c r="J413" t="s">
        <v>8</v>
      </c>
      <c r="K413" t="s">
        <v>3</v>
      </c>
      <c r="L413" t="s">
        <v>3</v>
      </c>
      <c r="M413" t="s">
        <v>122</v>
      </c>
      <c r="N413" t="s">
        <v>3</v>
      </c>
      <c r="O413" t="s">
        <v>3</v>
      </c>
      <c r="P413" t="s">
        <v>3</v>
      </c>
      <c r="Q413" t="s">
        <v>8</v>
      </c>
      <c r="R413" t="s">
        <v>122</v>
      </c>
      <c r="S413" t="s">
        <v>8</v>
      </c>
      <c r="T413" t="s">
        <v>3472</v>
      </c>
      <c r="U413" t="s">
        <v>3</v>
      </c>
      <c r="V413" t="s">
        <v>3</v>
      </c>
      <c r="W413" t="s">
        <v>3</v>
      </c>
      <c r="AA413" t="s">
        <v>8</v>
      </c>
      <c r="AB413" t="s">
        <v>8</v>
      </c>
      <c r="AC413" t="s">
        <v>3</v>
      </c>
      <c r="AD413" t="s">
        <v>8</v>
      </c>
      <c r="AE413" t="s">
        <v>111</v>
      </c>
      <c r="AF413" t="s">
        <v>3479</v>
      </c>
    </row>
    <row r="414" spans="1:32">
      <c r="A414" t="s">
        <v>3480</v>
      </c>
      <c r="B414" t="s">
        <v>3481</v>
      </c>
      <c r="C414" t="s">
        <v>3482</v>
      </c>
      <c r="D414" t="s">
        <v>3481</v>
      </c>
      <c r="E414" t="s">
        <v>3475</v>
      </c>
      <c r="F414" t="s">
        <v>3476</v>
      </c>
      <c r="H414" t="s">
        <v>3477</v>
      </c>
      <c r="I414" t="s">
        <v>3478</v>
      </c>
      <c r="J414" t="s">
        <v>8</v>
      </c>
      <c r="K414" t="s">
        <v>3</v>
      </c>
      <c r="L414" t="s">
        <v>3</v>
      </c>
      <c r="M414" t="s">
        <v>122</v>
      </c>
      <c r="N414" t="s">
        <v>3</v>
      </c>
      <c r="O414" t="s">
        <v>3</v>
      </c>
      <c r="P414" t="s">
        <v>3</v>
      </c>
      <c r="Q414" t="s">
        <v>8</v>
      </c>
      <c r="R414" t="s">
        <v>122</v>
      </c>
      <c r="S414" t="s">
        <v>8</v>
      </c>
      <c r="T414" t="s">
        <v>3472</v>
      </c>
      <c r="U414" t="s">
        <v>3</v>
      </c>
      <c r="V414" t="s">
        <v>3</v>
      </c>
      <c r="W414" t="s">
        <v>3</v>
      </c>
      <c r="AA414" t="s">
        <v>8</v>
      </c>
      <c r="AB414" t="s">
        <v>8</v>
      </c>
      <c r="AC414" t="s">
        <v>3</v>
      </c>
      <c r="AD414" t="s">
        <v>8</v>
      </c>
      <c r="AE414" t="s">
        <v>111</v>
      </c>
      <c r="AF414" t="s">
        <v>3483</v>
      </c>
    </row>
    <row r="415" spans="1:32">
      <c r="A415" t="s">
        <v>3484</v>
      </c>
      <c r="B415" t="s">
        <v>3473</v>
      </c>
      <c r="C415" t="s">
        <v>3474</v>
      </c>
      <c r="D415" t="s">
        <v>3481</v>
      </c>
      <c r="E415" t="s">
        <v>3475</v>
      </c>
      <c r="F415" t="s">
        <v>3476</v>
      </c>
      <c r="H415" t="s">
        <v>3477</v>
      </c>
      <c r="I415" t="s">
        <v>3478</v>
      </c>
      <c r="J415" t="s">
        <v>8</v>
      </c>
      <c r="K415" t="s">
        <v>3</v>
      </c>
      <c r="L415" t="s">
        <v>3</v>
      </c>
      <c r="M415" t="s">
        <v>122</v>
      </c>
      <c r="N415" t="s">
        <v>3</v>
      </c>
      <c r="O415" t="s">
        <v>3</v>
      </c>
      <c r="P415" t="s">
        <v>3</v>
      </c>
      <c r="Q415" t="s">
        <v>8</v>
      </c>
      <c r="R415" t="s">
        <v>122</v>
      </c>
      <c r="S415" t="s">
        <v>8</v>
      </c>
      <c r="T415" t="s">
        <v>3472</v>
      </c>
      <c r="U415" t="s">
        <v>3</v>
      </c>
      <c r="V415" t="s">
        <v>3</v>
      </c>
      <c r="W415" t="s">
        <v>3</v>
      </c>
      <c r="AA415" t="s">
        <v>8</v>
      </c>
      <c r="AB415" t="s">
        <v>8</v>
      </c>
      <c r="AC415" t="s">
        <v>3</v>
      </c>
      <c r="AD415" t="s">
        <v>8</v>
      </c>
      <c r="AE415" t="s">
        <v>111</v>
      </c>
      <c r="AF415" t="s">
        <v>3485</v>
      </c>
    </row>
    <row r="416" spans="1:32">
      <c r="A416" t="s">
        <v>128</v>
      </c>
      <c r="B416" t="s">
        <v>3486</v>
      </c>
      <c r="C416" t="s">
        <v>3487</v>
      </c>
      <c r="D416" t="s">
        <v>3486</v>
      </c>
      <c r="E416" t="s">
        <v>3488</v>
      </c>
      <c r="F416" t="s">
        <v>3489</v>
      </c>
      <c r="G416" t="s">
        <v>3490</v>
      </c>
      <c r="H416" t="s">
        <v>3491</v>
      </c>
      <c r="I416" t="s">
        <v>3492</v>
      </c>
      <c r="J416" t="s">
        <v>8</v>
      </c>
      <c r="K416" t="s">
        <v>3</v>
      </c>
      <c r="L416" t="s">
        <v>3</v>
      </c>
      <c r="M416" t="s">
        <v>122</v>
      </c>
      <c r="N416" t="s">
        <v>3</v>
      </c>
      <c r="O416" t="s">
        <v>3</v>
      </c>
      <c r="P416" t="s">
        <v>3</v>
      </c>
      <c r="Q416" t="s">
        <v>3</v>
      </c>
      <c r="R416" t="s">
        <v>122</v>
      </c>
      <c r="S416" t="s">
        <v>8</v>
      </c>
      <c r="T416" t="s">
        <v>128</v>
      </c>
      <c r="U416" t="s">
        <v>3</v>
      </c>
      <c r="V416" t="s">
        <v>3</v>
      </c>
      <c r="W416" t="s">
        <v>2805</v>
      </c>
      <c r="AA416" t="s">
        <v>8</v>
      </c>
      <c r="AB416" t="s">
        <v>8</v>
      </c>
      <c r="AC416" t="s">
        <v>3</v>
      </c>
      <c r="AD416" t="s">
        <v>8</v>
      </c>
      <c r="AE416" t="s">
        <v>84</v>
      </c>
      <c r="AF416" t="s">
        <v>3493</v>
      </c>
    </row>
    <row r="417" spans="1:32">
      <c r="A417" t="s">
        <v>129</v>
      </c>
      <c r="B417" t="s">
        <v>3494</v>
      </c>
      <c r="C417" t="s">
        <v>3495</v>
      </c>
      <c r="D417" t="s">
        <v>3496</v>
      </c>
      <c r="E417" t="s">
        <v>3497</v>
      </c>
      <c r="F417" t="s">
        <v>3498</v>
      </c>
      <c r="G417" t="s">
        <v>3499</v>
      </c>
      <c r="H417" t="s">
        <v>3500</v>
      </c>
      <c r="I417" t="s">
        <v>3501</v>
      </c>
      <c r="J417" t="s">
        <v>8</v>
      </c>
      <c r="K417" t="s">
        <v>3</v>
      </c>
      <c r="L417" t="s">
        <v>3</v>
      </c>
      <c r="M417" t="s">
        <v>122</v>
      </c>
      <c r="N417" t="s">
        <v>3</v>
      </c>
      <c r="O417" t="s">
        <v>3</v>
      </c>
      <c r="P417" t="s">
        <v>3</v>
      </c>
      <c r="Q417" t="s">
        <v>3</v>
      </c>
      <c r="R417" t="s">
        <v>122</v>
      </c>
      <c r="S417" t="s">
        <v>8</v>
      </c>
      <c r="T417" t="s">
        <v>129</v>
      </c>
      <c r="U417" t="s">
        <v>3</v>
      </c>
      <c r="V417" t="s">
        <v>3</v>
      </c>
      <c r="W417" t="s">
        <v>2805</v>
      </c>
      <c r="AA417" t="s">
        <v>8</v>
      </c>
      <c r="AB417" t="s">
        <v>8</v>
      </c>
      <c r="AC417" t="s">
        <v>3</v>
      </c>
      <c r="AD417" t="s">
        <v>8</v>
      </c>
      <c r="AE417" t="s">
        <v>111</v>
      </c>
      <c r="AF417" t="s">
        <v>3502</v>
      </c>
    </row>
    <row r="418" spans="1:32">
      <c r="A418" t="s">
        <v>79</v>
      </c>
      <c r="B418" t="s">
        <v>3503</v>
      </c>
      <c r="C418" t="s">
        <v>3504</v>
      </c>
      <c r="D418" t="s">
        <v>16</v>
      </c>
      <c r="E418" t="s">
        <v>3505</v>
      </c>
      <c r="F418" t="s">
        <v>3506</v>
      </c>
      <c r="H418" t="s">
        <v>3507</v>
      </c>
      <c r="I418" t="s">
        <v>3508</v>
      </c>
      <c r="J418" t="s">
        <v>8</v>
      </c>
      <c r="K418" t="s">
        <v>3</v>
      </c>
      <c r="L418" t="s">
        <v>3</v>
      </c>
      <c r="M418" t="s">
        <v>122</v>
      </c>
      <c r="N418" t="s">
        <v>3</v>
      </c>
      <c r="O418" t="s">
        <v>3</v>
      </c>
      <c r="P418" t="s">
        <v>3</v>
      </c>
      <c r="Q418" t="s">
        <v>8</v>
      </c>
      <c r="R418" t="s">
        <v>122</v>
      </c>
      <c r="S418" t="s">
        <v>8</v>
      </c>
      <c r="T418" t="s">
        <v>79</v>
      </c>
      <c r="U418" t="s">
        <v>3</v>
      </c>
      <c r="V418" t="s">
        <v>3</v>
      </c>
      <c r="W418" t="s">
        <v>401</v>
      </c>
      <c r="AA418" t="s">
        <v>8</v>
      </c>
      <c r="AB418" t="s">
        <v>8</v>
      </c>
      <c r="AC418" t="s">
        <v>3</v>
      </c>
      <c r="AD418" t="s">
        <v>8</v>
      </c>
      <c r="AE418" t="s">
        <v>67</v>
      </c>
      <c r="AF418" t="s">
        <v>3509</v>
      </c>
    </row>
    <row r="419" spans="1:32">
      <c r="A419" t="s">
        <v>3510</v>
      </c>
      <c r="B419" t="s">
        <v>3511</v>
      </c>
      <c r="C419" t="s">
        <v>3512</v>
      </c>
      <c r="D419" t="s">
        <v>3513</v>
      </c>
      <c r="E419" t="s">
        <v>3505</v>
      </c>
      <c r="F419" t="s">
        <v>3506</v>
      </c>
      <c r="H419" t="s">
        <v>3507</v>
      </c>
      <c r="J419" t="s">
        <v>8</v>
      </c>
      <c r="K419" t="s">
        <v>3</v>
      </c>
      <c r="L419" t="s">
        <v>3</v>
      </c>
      <c r="M419" t="s">
        <v>122</v>
      </c>
      <c r="N419" t="s">
        <v>3</v>
      </c>
      <c r="O419" t="s">
        <v>3</v>
      </c>
      <c r="P419" t="s">
        <v>3</v>
      </c>
      <c r="Q419" t="s">
        <v>8</v>
      </c>
      <c r="R419" t="s">
        <v>122</v>
      </c>
      <c r="S419" t="s">
        <v>8</v>
      </c>
      <c r="T419" t="s">
        <v>3510</v>
      </c>
      <c r="U419" t="s">
        <v>3</v>
      </c>
      <c r="V419" t="s">
        <v>3</v>
      </c>
      <c r="W419" t="s">
        <v>401</v>
      </c>
      <c r="AA419" t="s">
        <v>8</v>
      </c>
      <c r="AB419" t="s">
        <v>8</v>
      </c>
      <c r="AC419" t="s">
        <v>3</v>
      </c>
      <c r="AD419" t="s">
        <v>8</v>
      </c>
      <c r="AE419" t="s">
        <v>111</v>
      </c>
      <c r="AF419" t="s">
        <v>3514</v>
      </c>
    </row>
    <row r="420" spans="1:32">
      <c r="A420" t="s">
        <v>81</v>
      </c>
      <c r="B420" t="s">
        <v>3515</v>
      </c>
      <c r="C420" t="s">
        <v>3516</v>
      </c>
      <c r="D420" t="s">
        <v>3515</v>
      </c>
      <c r="E420" t="s">
        <v>3505</v>
      </c>
      <c r="F420" t="s">
        <v>3506</v>
      </c>
      <c r="H420" t="s">
        <v>3507</v>
      </c>
      <c r="J420" t="s">
        <v>8</v>
      </c>
      <c r="K420" t="s">
        <v>3</v>
      </c>
      <c r="L420" t="s">
        <v>3</v>
      </c>
      <c r="M420" t="s">
        <v>122</v>
      </c>
      <c r="N420" t="s">
        <v>3</v>
      </c>
      <c r="O420" t="s">
        <v>3</v>
      </c>
      <c r="P420" t="s">
        <v>3</v>
      </c>
      <c r="Q420" t="s">
        <v>8</v>
      </c>
      <c r="R420" t="s">
        <v>122</v>
      </c>
      <c r="S420" t="s">
        <v>8</v>
      </c>
      <c r="T420" t="s">
        <v>81</v>
      </c>
      <c r="U420" t="s">
        <v>3</v>
      </c>
      <c r="V420" t="s">
        <v>3</v>
      </c>
      <c r="W420" t="s">
        <v>401</v>
      </c>
      <c r="AA420" t="s">
        <v>8</v>
      </c>
      <c r="AB420" t="s">
        <v>8</v>
      </c>
      <c r="AC420" t="s">
        <v>3</v>
      </c>
      <c r="AD420" t="s">
        <v>8</v>
      </c>
      <c r="AE420" t="s">
        <v>111</v>
      </c>
      <c r="AF420" t="s">
        <v>3517</v>
      </c>
    </row>
    <row r="421" spans="1:32">
      <c r="A421" t="s">
        <v>82</v>
      </c>
      <c r="B421" t="s">
        <v>3518</v>
      </c>
      <c r="C421" t="s">
        <v>3519</v>
      </c>
      <c r="D421" t="s">
        <v>3518</v>
      </c>
      <c r="E421" t="s">
        <v>3505</v>
      </c>
      <c r="F421" t="s">
        <v>3506</v>
      </c>
      <c r="H421" t="s">
        <v>3507</v>
      </c>
      <c r="J421" t="s">
        <v>8</v>
      </c>
      <c r="K421" t="s">
        <v>3</v>
      </c>
      <c r="L421" t="s">
        <v>3</v>
      </c>
      <c r="M421" t="s">
        <v>122</v>
      </c>
      <c r="N421" t="s">
        <v>3</v>
      </c>
      <c r="O421" t="s">
        <v>3</v>
      </c>
      <c r="P421" t="s">
        <v>3</v>
      </c>
      <c r="Q421" t="s">
        <v>8</v>
      </c>
      <c r="R421" t="s">
        <v>122</v>
      </c>
      <c r="S421" t="s">
        <v>8</v>
      </c>
      <c r="T421" t="s">
        <v>82</v>
      </c>
      <c r="U421" t="s">
        <v>3</v>
      </c>
      <c r="V421" t="s">
        <v>3</v>
      </c>
      <c r="W421" t="s">
        <v>401</v>
      </c>
      <c r="AA421" t="s">
        <v>8</v>
      </c>
      <c r="AB421" t="s">
        <v>8</v>
      </c>
      <c r="AC421" t="s">
        <v>3</v>
      </c>
      <c r="AD421" t="s">
        <v>8</v>
      </c>
      <c r="AE421" t="s">
        <v>111</v>
      </c>
      <c r="AF421" t="s">
        <v>3520</v>
      </c>
    </row>
    <row r="422" spans="1:32">
      <c r="A422" t="s">
        <v>83</v>
      </c>
      <c r="B422" t="s">
        <v>3521</v>
      </c>
      <c r="C422" t="s">
        <v>3522</v>
      </c>
      <c r="D422" t="s">
        <v>3521</v>
      </c>
      <c r="E422" t="s">
        <v>3505</v>
      </c>
      <c r="F422" t="s">
        <v>3506</v>
      </c>
      <c r="H422" t="s">
        <v>3507</v>
      </c>
      <c r="J422" t="s">
        <v>8</v>
      </c>
      <c r="K422" t="s">
        <v>3</v>
      </c>
      <c r="L422" t="s">
        <v>3</v>
      </c>
      <c r="M422" t="s">
        <v>122</v>
      </c>
      <c r="N422" t="s">
        <v>3</v>
      </c>
      <c r="O422" t="s">
        <v>3</v>
      </c>
      <c r="P422" t="s">
        <v>3</v>
      </c>
      <c r="Q422" t="s">
        <v>8</v>
      </c>
      <c r="R422" t="s">
        <v>122</v>
      </c>
      <c r="S422" t="s">
        <v>8</v>
      </c>
      <c r="T422" t="s">
        <v>83</v>
      </c>
      <c r="U422" t="s">
        <v>3</v>
      </c>
      <c r="V422" t="s">
        <v>3</v>
      </c>
      <c r="W422" t="s">
        <v>401</v>
      </c>
      <c r="AA422" t="s">
        <v>8</v>
      </c>
      <c r="AB422" t="s">
        <v>8</v>
      </c>
      <c r="AC422" t="s">
        <v>3</v>
      </c>
      <c r="AD422" t="s">
        <v>8</v>
      </c>
      <c r="AE422" t="s">
        <v>67</v>
      </c>
      <c r="AF422" t="s">
        <v>3523</v>
      </c>
    </row>
    <row r="423" spans="1:32">
      <c r="A423" t="s">
        <v>3524</v>
      </c>
      <c r="B423" t="s">
        <v>3525</v>
      </c>
      <c r="C423" t="s">
        <v>3526</v>
      </c>
      <c r="D423" t="s">
        <v>3525</v>
      </c>
      <c r="E423" t="s">
        <v>3505</v>
      </c>
      <c r="F423" t="s">
        <v>3506</v>
      </c>
      <c r="H423" t="s">
        <v>3507</v>
      </c>
      <c r="J423" t="s">
        <v>8</v>
      </c>
      <c r="K423" t="s">
        <v>3</v>
      </c>
      <c r="L423" t="s">
        <v>3</v>
      </c>
      <c r="M423" t="s">
        <v>122</v>
      </c>
      <c r="N423" t="s">
        <v>3</v>
      </c>
      <c r="O423" t="s">
        <v>3</v>
      </c>
      <c r="P423" t="s">
        <v>3</v>
      </c>
      <c r="Q423" t="s">
        <v>8</v>
      </c>
      <c r="R423" t="s">
        <v>122</v>
      </c>
      <c r="S423" t="s">
        <v>8</v>
      </c>
      <c r="T423" t="s">
        <v>3524</v>
      </c>
      <c r="U423" t="s">
        <v>3</v>
      </c>
      <c r="V423" t="s">
        <v>3</v>
      </c>
      <c r="W423" t="s">
        <v>401</v>
      </c>
      <c r="AA423" t="s">
        <v>8</v>
      </c>
      <c r="AB423" t="s">
        <v>8</v>
      </c>
      <c r="AC423" t="s">
        <v>3</v>
      </c>
      <c r="AD423" t="s">
        <v>8</v>
      </c>
      <c r="AE423" t="s">
        <v>111</v>
      </c>
      <c r="AF423" t="s">
        <v>3527</v>
      </c>
    </row>
    <row r="424" spans="1:32">
      <c r="A424" t="s">
        <v>3528</v>
      </c>
      <c r="B424" t="s">
        <v>3529</v>
      </c>
      <c r="C424" t="s">
        <v>3530</v>
      </c>
      <c r="D424" t="s">
        <v>3529</v>
      </c>
      <c r="J424" t="s">
        <v>3</v>
      </c>
      <c r="K424" t="s">
        <v>3</v>
      </c>
      <c r="L424" t="s">
        <v>3</v>
      </c>
      <c r="M424" t="s">
        <v>3</v>
      </c>
      <c r="N424" t="s">
        <v>3</v>
      </c>
      <c r="O424" t="s">
        <v>3</v>
      </c>
      <c r="P424" t="s">
        <v>3</v>
      </c>
      <c r="Q424" t="s">
        <v>3</v>
      </c>
      <c r="R424" t="s">
        <v>3</v>
      </c>
      <c r="S424" t="s">
        <v>8</v>
      </c>
      <c r="T424" t="s">
        <v>3528</v>
      </c>
      <c r="U424" t="s">
        <v>3</v>
      </c>
      <c r="V424" t="s">
        <v>3</v>
      </c>
      <c r="W424" t="s">
        <v>3</v>
      </c>
      <c r="AA424" t="s">
        <v>3</v>
      </c>
      <c r="AB424" t="s">
        <v>8</v>
      </c>
      <c r="AC424" t="s">
        <v>3</v>
      </c>
      <c r="AD424" t="s">
        <v>8</v>
      </c>
      <c r="AE424" t="s">
        <v>111</v>
      </c>
      <c r="AF424" t="s">
        <v>3531</v>
      </c>
    </row>
    <row r="425" spans="1:32">
      <c r="A425" t="s">
        <v>3532</v>
      </c>
      <c r="B425" t="s">
        <v>3533</v>
      </c>
      <c r="C425" t="s">
        <v>3534</v>
      </c>
      <c r="D425" t="s">
        <v>3535</v>
      </c>
      <c r="E425" t="s">
        <v>3536</v>
      </c>
      <c r="F425" t="s">
        <v>3537</v>
      </c>
      <c r="H425" t="s">
        <v>3538</v>
      </c>
      <c r="I425" t="s">
        <v>3539</v>
      </c>
      <c r="J425" t="s">
        <v>8</v>
      </c>
      <c r="K425" t="s">
        <v>3</v>
      </c>
      <c r="L425" t="s">
        <v>3</v>
      </c>
      <c r="M425" t="s">
        <v>122</v>
      </c>
      <c r="N425" t="s">
        <v>3</v>
      </c>
      <c r="O425" t="s">
        <v>3</v>
      </c>
      <c r="P425" t="s">
        <v>3</v>
      </c>
      <c r="Q425" t="s">
        <v>8</v>
      </c>
      <c r="R425" t="s">
        <v>122</v>
      </c>
      <c r="S425" t="s">
        <v>8</v>
      </c>
      <c r="T425" t="s">
        <v>3532</v>
      </c>
      <c r="U425" t="s">
        <v>3</v>
      </c>
      <c r="V425" t="s">
        <v>3</v>
      </c>
      <c r="W425" t="s">
        <v>3</v>
      </c>
      <c r="AA425" t="s">
        <v>8</v>
      </c>
      <c r="AB425" t="s">
        <v>8</v>
      </c>
      <c r="AC425" t="s">
        <v>3</v>
      </c>
      <c r="AD425" t="s">
        <v>8</v>
      </c>
      <c r="AE425" t="s">
        <v>111</v>
      </c>
      <c r="AF425" t="s">
        <v>3540</v>
      </c>
    </row>
    <row r="426" spans="1:32">
      <c r="A426" t="s">
        <v>3541</v>
      </c>
      <c r="B426" t="s">
        <v>3542</v>
      </c>
      <c r="C426" t="s">
        <v>3543</v>
      </c>
      <c r="D426" t="s">
        <v>3544</v>
      </c>
      <c r="F426" t="s">
        <v>3545</v>
      </c>
      <c r="H426" t="s">
        <v>3546</v>
      </c>
      <c r="I426" t="s">
        <v>3547</v>
      </c>
      <c r="J426" t="s">
        <v>8</v>
      </c>
      <c r="K426" t="s">
        <v>3</v>
      </c>
      <c r="L426" t="s">
        <v>3</v>
      </c>
      <c r="M426" t="s">
        <v>122</v>
      </c>
      <c r="N426" t="s">
        <v>3</v>
      </c>
      <c r="O426" t="s">
        <v>3</v>
      </c>
      <c r="P426" t="s">
        <v>3</v>
      </c>
      <c r="Q426" t="s">
        <v>8</v>
      </c>
      <c r="R426" t="s">
        <v>122</v>
      </c>
      <c r="S426" t="s">
        <v>8</v>
      </c>
      <c r="T426" t="s">
        <v>3541</v>
      </c>
      <c r="U426" t="s">
        <v>3</v>
      </c>
      <c r="V426" t="s">
        <v>3</v>
      </c>
      <c r="W426" t="s">
        <v>3548</v>
      </c>
      <c r="AA426" t="s">
        <v>8</v>
      </c>
      <c r="AB426" t="s">
        <v>8</v>
      </c>
      <c r="AC426" t="s">
        <v>3</v>
      </c>
      <c r="AD426" t="s">
        <v>8</v>
      </c>
      <c r="AE426" t="s">
        <v>111</v>
      </c>
      <c r="AF426" t="s">
        <v>3549</v>
      </c>
    </row>
    <row r="427" spans="1:32">
      <c r="A427" t="s">
        <v>3550</v>
      </c>
      <c r="B427" t="s">
        <v>3551</v>
      </c>
      <c r="C427" t="s">
        <v>3552</v>
      </c>
      <c r="D427" t="s">
        <v>3551</v>
      </c>
      <c r="E427" t="s">
        <v>3553</v>
      </c>
      <c r="F427" t="s">
        <v>3554</v>
      </c>
      <c r="H427" t="s">
        <v>3555</v>
      </c>
      <c r="J427" t="s">
        <v>8</v>
      </c>
      <c r="K427" t="s">
        <v>3</v>
      </c>
      <c r="L427" t="s">
        <v>3</v>
      </c>
      <c r="M427" t="s">
        <v>122</v>
      </c>
      <c r="N427" t="s">
        <v>3</v>
      </c>
      <c r="O427" t="s">
        <v>3</v>
      </c>
      <c r="P427" t="s">
        <v>3</v>
      </c>
      <c r="Q427" t="s">
        <v>8</v>
      </c>
      <c r="R427" t="s">
        <v>122</v>
      </c>
      <c r="S427" t="s">
        <v>8</v>
      </c>
      <c r="T427" t="s">
        <v>3550</v>
      </c>
      <c r="U427" t="s">
        <v>3</v>
      </c>
      <c r="V427" t="s">
        <v>3</v>
      </c>
      <c r="W427" t="s">
        <v>3</v>
      </c>
      <c r="AA427" t="s">
        <v>8</v>
      </c>
      <c r="AB427" t="s">
        <v>8</v>
      </c>
      <c r="AC427" t="s">
        <v>3</v>
      </c>
      <c r="AD427" t="s">
        <v>8</v>
      </c>
      <c r="AE427" t="s">
        <v>111</v>
      </c>
      <c r="AF427" t="s">
        <v>3556</v>
      </c>
    </row>
    <row r="428" spans="1:32">
      <c r="A428" t="s">
        <v>3557</v>
      </c>
      <c r="B428" t="s">
        <v>3558</v>
      </c>
      <c r="C428" t="s">
        <v>3559</v>
      </c>
      <c r="D428" t="s">
        <v>3558</v>
      </c>
      <c r="E428" t="s">
        <v>3560</v>
      </c>
      <c r="F428" t="s">
        <v>3561</v>
      </c>
      <c r="H428" t="s">
        <v>3562</v>
      </c>
      <c r="I428" t="s">
        <v>3563</v>
      </c>
      <c r="J428" t="s">
        <v>8</v>
      </c>
      <c r="K428" t="s">
        <v>3</v>
      </c>
      <c r="L428" t="s">
        <v>3</v>
      </c>
      <c r="M428" t="s">
        <v>122</v>
      </c>
      <c r="N428" t="s">
        <v>3</v>
      </c>
      <c r="O428" t="s">
        <v>3</v>
      </c>
      <c r="P428" t="s">
        <v>3</v>
      </c>
      <c r="Q428" t="s">
        <v>8</v>
      </c>
      <c r="R428" t="s">
        <v>122</v>
      </c>
      <c r="S428" t="s">
        <v>8</v>
      </c>
      <c r="T428" t="s">
        <v>3557</v>
      </c>
      <c r="U428" t="s">
        <v>3</v>
      </c>
      <c r="V428" t="s">
        <v>3</v>
      </c>
      <c r="W428" t="s">
        <v>654</v>
      </c>
      <c r="AA428" t="s">
        <v>8</v>
      </c>
      <c r="AB428" t="s">
        <v>8</v>
      </c>
      <c r="AC428" t="s">
        <v>3</v>
      </c>
      <c r="AD428" t="s">
        <v>8</v>
      </c>
      <c r="AE428" t="s">
        <v>111</v>
      </c>
      <c r="AF428" t="s">
        <v>3564</v>
      </c>
    </row>
    <row r="429" spans="1:32">
      <c r="A429" t="s">
        <v>3565</v>
      </c>
      <c r="B429" t="s">
        <v>3566</v>
      </c>
      <c r="C429" t="s">
        <v>3567</v>
      </c>
      <c r="D429" t="s">
        <v>3558</v>
      </c>
      <c r="E429" t="s">
        <v>3560</v>
      </c>
      <c r="F429" t="s">
        <v>3561</v>
      </c>
      <c r="H429" t="s">
        <v>3562</v>
      </c>
      <c r="I429" t="s">
        <v>3563</v>
      </c>
      <c r="J429" t="s">
        <v>8</v>
      </c>
      <c r="K429" t="s">
        <v>3</v>
      </c>
      <c r="L429" t="s">
        <v>3</v>
      </c>
      <c r="M429" t="s">
        <v>122</v>
      </c>
      <c r="N429" t="s">
        <v>3</v>
      </c>
      <c r="O429" t="s">
        <v>3</v>
      </c>
      <c r="P429" t="s">
        <v>3</v>
      </c>
      <c r="Q429" t="s">
        <v>8</v>
      </c>
      <c r="R429" t="s">
        <v>122</v>
      </c>
      <c r="S429" t="s">
        <v>8</v>
      </c>
      <c r="T429" t="s">
        <v>3565</v>
      </c>
      <c r="U429" t="s">
        <v>3</v>
      </c>
      <c r="V429" t="s">
        <v>3</v>
      </c>
      <c r="W429" t="s">
        <v>654</v>
      </c>
      <c r="AA429" t="s">
        <v>8</v>
      </c>
      <c r="AB429" t="s">
        <v>8</v>
      </c>
      <c r="AC429" t="s">
        <v>3</v>
      </c>
      <c r="AD429" t="s">
        <v>8</v>
      </c>
      <c r="AE429" t="s">
        <v>111</v>
      </c>
      <c r="AF429" t="s">
        <v>3568</v>
      </c>
    </row>
    <row r="430" spans="1:32">
      <c r="A430" t="s">
        <v>3569</v>
      </c>
      <c r="B430" t="s">
        <v>3570</v>
      </c>
      <c r="C430" t="s">
        <v>3571</v>
      </c>
      <c r="D430" t="s">
        <v>3572</v>
      </c>
      <c r="E430" t="s">
        <v>3111</v>
      </c>
      <c r="F430" t="s">
        <v>3573</v>
      </c>
      <c r="G430" t="s">
        <v>3574</v>
      </c>
      <c r="H430" t="s">
        <v>3575</v>
      </c>
      <c r="I430" t="s">
        <v>3576</v>
      </c>
      <c r="J430" t="s">
        <v>8</v>
      </c>
      <c r="K430" t="s">
        <v>3</v>
      </c>
      <c r="L430" t="s">
        <v>3</v>
      </c>
      <c r="M430" t="s">
        <v>122</v>
      </c>
      <c r="N430" t="s">
        <v>3</v>
      </c>
      <c r="O430" t="s">
        <v>3</v>
      </c>
      <c r="P430" t="s">
        <v>3</v>
      </c>
      <c r="Q430" t="s">
        <v>8</v>
      </c>
      <c r="R430" t="s">
        <v>122</v>
      </c>
      <c r="S430" t="s">
        <v>8</v>
      </c>
      <c r="T430" t="s">
        <v>3569</v>
      </c>
      <c r="U430" t="s">
        <v>3</v>
      </c>
      <c r="V430" t="s">
        <v>3</v>
      </c>
      <c r="W430" t="s">
        <v>957</v>
      </c>
      <c r="AA430" t="s">
        <v>8</v>
      </c>
      <c r="AB430" t="s">
        <v>8</v>
      </c>
      <c r="AC430" t="s">
        <v>3</v>
      </c>
      <c r="AD430" t="s">
        <v>8</v>
      </c>
      <c r="AE430" t="s">
        <v>84</v>
      </c>
      <c r="AF430" t="s">
        <v>3577</v>
      </c>
    </row>
    <row r="431" spans="1:32">
      <c r="A431" t="s">
        <v>3578</v>
      </c>
      <c r="B431" t="s">
        <v>3579</v>
      </c>
      <c r="C431" t="s">
        <v>3580</v>
      </c>
      <c r="D431" t="s">
        <v>3581</v>
      </c>
      <c r="E431" t="s">
        <v>3582</v>
      </c>
      <c r="F431" t="s">
        <v>3583</v>
      </c>
      <c r="G431" t="s">
        <v>3584</v>
      </c>
      <c r="H431" t="s">
        <v>3585</v>
      </c>
      <c r="I431" t="s">
        <v>3585</v>
      </c>
      <c r="J431" t="s">
        <v>8</v>
      </c>
      <c r="K431" t="s">
        <v>3</v>
      </c>
      <c r="L431" t="s">
        <v>3</v>
      </c>
      <c r="M431" t="s">
        <v>122</v>
      </c>
      <c r="N431" t="s">
        <v>3</v>
      </c>
      <c r="O431" t="s">
        <v>3</v>
      </c>
      <c r="P431" t="s">
        <v>3</v>
      </c>
      <c r="Q431" t="s">
        <v>8</v>
      </c>
      <c r="R431" t="s">
        <v>122</v>
      </c>
      <c r="S431" t="s">
        <v>8</v>
      </c>
      <c r="T431" t="s">
        <v>3578</v>
      </c>
      <c r="U431" t="s">
        <v>3</v>
      </c>
      <c r="V431" t="s">
        <v>3</v>
      </c>
      <c r="W431" t="s">
        <v>3</v>
      </c>
      <c r="AA431" t="s">
        <v>8</v>
      </c>
      <c r="AB431" t="s">
        <v>8</v>
      </c>
      <c r="AC431" t="s">
        <v>3</v>
      </c>
      <c r="AD431" t="s">
        <v>8</v>
      </c>
      <c r="AE431" t="s">
        <v>84</v>
      </c>
      <c r="AF431" t="s">
        <v>3586</v>
      </c>
    </row>
    <row r="432" spans="1:32">
      <c r="A432" t="s">
        <v>3587</v>
      </c>
      <c r="B432" t="s">
        <v>3588</v>
      </c>
      <c r="C432" t="s">
        <v>3589</v>
      </c>
      <c r="D432" t="s">
        <v>3588</v>
      </c>
      <c r="E432" t="s">
        <v>3590</v>
      </c>
      <c r="F432" t="s">
        <v>3591</v>
      </c>
      <c r="H432" t="s">
        <v>3592</v>
      </c>
      <c r="I432" t="s">
        <v>3593</v>
      </c>
      <c r="J432" t="s">
        <v>8</v>
      </c>
      <c r="K432" t="s">
        <v>3</v>
      </c>
      <c r="L432" t="s">
        <v>3</v>
      </c>
      <c r="M432" t="s">
        <v>122</v>
      </c>
      <c r="N432" t="s">
        <v>3</v>
      </c>
      <c r="O432" t="s">
        <v>3</v>
      </c>
      <c r="P432" t="s">
        <v>3</v>
      </c>
      <c r="Q432" t="s">
        <v>8</v>
      </c>
      <c r="R432" t="s">
        <v>122</v>
      </c>
      <c r="S432" t="s">
        <v>8</v>
      </c>
      <c r="T432" t="s">
        <v>3587</v>
      </c>
      <c r="U432" t="s">
        <v>3</v>
      </c>
      <c r="V432" t="s">
        <v>3</v>
      </c>
      <c r="W432" t="s">
        <v>3</v>
      </c>
      <c r="AA432" t="s">
        <v>3</v>
      </c>
      <c r="AB432" t="s">
        <v>3</v>
      </c>
      <c r="AC432" t="s">
        <v>3</v>
      </c>
      <c r="AD432" t="s">
        <v>8</v>
      </c>
      <c r="AE432" t="s">
        <v>72</v>
      </c>
      <c r="AF432" t="s">
        <v>3594</v>
      </c>
    </row>
    <row r="433" spans="1:32">
      <c r="A433" t="s">
        <v>134</v>
      </c>
      <c r="B433" t="s">
        <v>3595</v>
      </c>
      <c r="C433" t="s">
        <v>3596</v>
      </c>
      <c r="D433" t="s">
        <v>3597</v>
      </c>
      <c r="E433" t="s">
        <v>3598</v>
      </c>
      <c r="F433" t="s">
        <v>3599</v>
      </c>
      <c r="H433" t="s">
        <v>3600</v>
      </c>
      <c r="I433" t="s">
        <v>3601</v>
      </c>
      <c r="J433" t="s">
        <v>8</v>
      </c>
      <c r="K433" t="s">
        <v>3</v>
      </c>
      <c r="L433" t="s">
        <v>3</v>
      </c>
      <c r="M433" t="s">
        <v>122</v>
      </c>
      <c r="N433" t="s">
        <v>3</v>
      </c>
      <c r="O433" t="s">
        <v>3</v>
      </c>
      <c r="P433" t="s">
        <v>3</v>
      </c>
      <c r="Q433" t="s">
        <v>8</v>
      </c>
      <c r="R433" t="s">
        <v>3</v>
      </c>
      <c r="S433" t="s">
        <v>8</v>
      </c>
      <c r="T433" t="s">
        <v>134</v>
      </c>
      <c r="U433" t="s">
        <v>3</v>
      </c>
      <c r="V433" t="s">
        <v>3</v>
      </c>
      <c r="W433" t="s">
        <v>957</v>
      </c>
      <c r="AA433" t="s">
        <v>3</v>
      </c>
      <c r="AB433" t="s">
        <v>3</v>
      </c>
      <c r="AC433" t="s">
        <v>3</v>
      </c>
      <c r="AD433" t="s">
        <v>8</v>
      </c>
      <c r="AE433" t="s">
        <v>111</v>
      </c>
      <c r="AF433" t="s">
        <v>3602</v>
      </c>
    </row>
    <row r="434" spans="1:32">
      <c r="A434" t="s">
        <v>3603</v>
      </c>
      <c r="B434" t="s">
        <v>3604</v>
      </c>
      <c r="C434" t="s">
        <v>3605</v>
      </c>
      <c r="D434" t="s">
        <v>3606</v>
      </c>
      <c r="E434" t="s">
        <v>3598</v>
      </c>
      <c r="F434" t="s">
        <v>3599</v>
      </c>
      <c r="H434" t="s">
        <v>3600</v>
      </c>
      <c r="I434" t="s">
        <v>3601</v>
      </c>
      <c r="J434" t="s">
        <v>8</v>
      </c>
      <c r="K434" t="s">
        <v>3</v>
      </c>
      <c r="L434" t="s">
        <v>3</v>
      </c>
      <c r="M434" t="s">
        <v>122</v>
      </c>
      <c r="N434" t="s">
        <v>3</v>
      </c>
      <c r="O434" t="s">
        <v>3</v>
      </c>
      <c r="P434" t="s">
        <v>3</v>
      </c>
      <c r="Q434" t="s">
        <v>8</v>
      </c>
      <c r="R434" t="s">
        <v>3</v>
      </c>
      <c r="S434" t="s">
        <v>8</v>
      </c>
      <c r="T434" t="s">
        <v>3603</v>
      </c>
      <c r="U434" t="s">
        <v>3</v>
      </c>
      <c r="V434" t="s">
        <v>3</v>
      </c>
      <c r="W434" t="s">
        <v>3</v>
      </c>
      <c r="AA434" t="s">
        <v>8</v>
      </c>
      <c r="AB434" t="s">
        <v>3</v>
      </c>
      <c r="AC434" t="s">
        <v>3</v>
      </c>
      <c r="AD434" t="s">
        <v>8</v>
      </c>
      <c r="AE434" t="s">
        <v>111</v>
      </c>
      <c r="AF434" t="s">
        <v>3607</v>
      </c>
    </row>
    <row r="435" spans="1:32">
      <c r="A435" t="s">
        <v>3608</v>
      </c>
      <c r="B435" t="s">
        <v>3609</v>
      </c>
      <c r="C435" t="s">
        <v>3610</v>
      </c>
      <c r="D435" t="s">
        <v>3611</v>
      </c>
      <c r="E435" t="s">
        <v>3598</v>
      </c>
      <c r="F435" t="s">
        <v>3599</v>
      </c>
      <c r="H435" t="s">
        <v>3600</v>
      </c>
      <c r="I435" t="s">
        <v>3601</v>
      </c>
      <c r="J435" t="s">
        <v>8</v>
      </c>
      <c r="K435" t="s">
        <v>3</v>
      </c>
      <c r="L435" t="s">
        <v>3</v>
      </c>
      <c r="M435" t="s">
        <v>122</v>
      </c>
      <c r="N435" t="s">
        <v>3</v>
      </c>
      <c r="O435" t="s">
        <v>3</v>
      </c>
      <c r="P435" t="s">
        <v>3</v>
      </c>
      <c r="Q435" t="s">
        <v>8</v>
      </c>
      <c r="R435" t="s">
        <v>3</v>
      </c>
      <c r="S435" t="s">
        <v>8</v>
      </c>
      <c r="T435" t="s">
        <v>3608</v>
      </c>
      <c r="U435" t="s">
        <v>3</v>
      </c>
      <c r="V435" t="s">
        <v>3</v>
      </c>
      <c r="W435" t="s">
        <v>3</v>
      </c>
      <c r="AA435" t="s">
        <v>8</v>
      </c>
      <c r="AB435" t="s">
        <v>3</v>
      </c>
      <c r="AC435" t="s">
        <v>3</v>
      </c>
      <c r="AD435" t="s">
        <v>8</v>
      </c>
      <c r="AE435" t="s">
        <v>111</v>
      </c>
      <c r="AF435" t="s">
        <v>3612</v>
      </c>
    </row>
    <row r="436" spans="1:32">
      <c r="A436" t="s">
        <v>3613</v>
      </c>
      <c r="B436" t="s">
        <v>3614</v>
      </c>
      <c r="C436" t="s">
        <v>3615</v>
      </c>
      <c r="D436" t="s">
        <v>3616</v>
      </c>
      <c r="E436" t="s">
        <v>3598</v>
      </c>
      <c r="F436" t="s">
        <v>3599</v>
      </c>
      <c r="H436" t="s">
        <v>3600</v>
      </c>
      <c r="I436" t="s">
        <v>3601</v>
      </c>
      <c r="J436" t="s">
        <v>8</v>
      </c>
      <c r="K436" t="s">
        <v>3</v>
      </c>
      <c r="L436" t="s">
        <v>3</v>
      </c>
      <c r="M436" t="s">
        <v>122</v>
      </c>
      <c r="N436" t="s">
        <v>3</v>
      </c>
      <c r="O436" t="s">
        <v>3</v>
      </c>
      <c r="P436" t="s">
        <v>3</v>
      </c>
      <c r="Q436" t="s">
        <v>8</v>
      </c>
      <c r="R436" t="s">
        <v>3</v>
      </c>
      <c r="S436" t="s">
        <v>8</v>
      </c>
      <c r="T436" t="s">
        <v>3613</v>
      </c>
      <c r="U436" t="s">
        <v>3</v>
      </c>
      <c r="V436" t="s">
        <v>3</v>
      </c>
      <c r="W436" t="s">
        <v>3</v>
      </c>
      <c r="AA436" t="s">
        <v>3</v>
      </c>
      <c r="AB436" t="s">
        <v>3</v>
      </c>
      <c r="AC436" t="s">
        <v>3</v>
      </c>
      <c r="AD436" t="s">
        <v>8</v>
      </c>
      <c r="AE436" t="s">
        <v>111</v>
      </c>
      <c r="AF436" t="s">
        <v>3617</v>
      </c>
    </row>
    <row r="437" spans="1:32">
      <c r="A437" t="s">
        <v>3618</v>
      </c>
      <c r="B437" t="s">
        <v>3619</v>
      </c>
      <c r="C437" t="s">
        <v>3615</v>
      </c>
      <c r="D437" t="s">
        <v>3620</v>
      </c>
      <c r="E437" t="s">
        <v>3598</v>
      </c>
      <c r="F437" t="s">
        <v>3599</v>
      </c>
      <c r="H437" t="s">
        <v>3600</v>
      </c>
      <c r="I437" t="s">
        <v>3601</v>
      </c>
      <c r="J437" t="s">
        <v>8</v>
      </c>
      <c r="K437" t="s">
        <v>3</v>
      </c>
      <c r="L437" t="s">
        <v>3</v>
      </c>
      <c r="M437" t="s">
        <v>122</v>
      </c>
      <c r="N437" t="s">
        <v>3</v>
      </c>
      <c r="O437" t="s">
        <v>3</v>
      </c>
      <c r="P437" t="s">
        <v>3</v>
      </c>
      <c r="Q437" t="s">
        <v>8</v>
      </c>
      <c r="R437" t="s">
        <v>3</v>
      </c>
      <c r="S437" t="s">
        <v>8</v>
      </c>
      <c r="T437" t="s">
        <v>3618</v>
      </c>
      <c r="U437" t="s">
        <v>3</v>
      </c>
      <c r="V437" t="s">
        <v>3</v>
      </c>
      <c r="W437" t="s">
        <v>3</v>
      </c>
      <c r="AA437" t="s">
        <v>8</v>
      </c>
      <c r="AB437" t="s">
        <v>3</v>
      </c>
      <c r="AC437" t="s">
        <v>3</v>
      </c>
      <c r="AD437" t="s">
        <v>8</v>
      </c>
      <c r="AE437" t="s">
        <v>111</v>
      </c>
      <c r="AF437" t="s">
        <v>3621</v>
      </c>
    </row>
    <row r="438" spans="1:32">
      <c r="A438" t="s">
        <v>3622</v>
      </c>
      <c r="B438" t="s">
        <v>3623</v>
      </c>
      <c r="C438" t="s">
        <v>3624</v>
      </c>
      <c r="D438" t="s">
        <v>3625</v>
      </c>
      <c r="E438" t="s">
        <v>3598</v>
      </c>
      <c r="F438" t="s">
        <v>3599</v>
      </c>
      <c r="H438" t="s">
        <v>3600</v>
      </c>
      <c r="I438" t="s">
        <v>3601</v>
      </c>
      <c r="J438" t="s">
        <v>8</v>
      </c>
      <c r="K438" t="s">
        <v>3</v>
      </c>
      <c r="L438" t="s">
        <v>3</v>
      </c>
      <c r="M438" t="s">
        <v>122</v>
      </c>
      <c r="N438" t="s">
        <v>3</v>
      </c>
      <c r="O438" t="s">
        <v>3</v>
      </c>
      <c r="P438" t="s">
        <v>3</v>
      </c>
      <c r="Q438" t="s">
        <v>8</v>
      </c>
      <c r="R438" t="s">
        <v>3</v>
      </c>
      <c r="S438" t="s">
        <v>8</v>
      </c>
      <c r="T438" t="s">
        <v>3622</v>
      </c>
      <c r="U438" t="s">
        <v>3</v>
      </c>
      <c r="V438" t="s">
        <v>3</v>
      </c>
      <c r="W438" t="s">
        <v>3</v>
      </c>
      <c r="AA438" t="s">
        <v>8</v>
      </c>
      <c r="AB438" t="s">
        <v>8</v>
      </c>
      <c r="AC438" t="s">
        <v>3</v>
      </c>
      <c r="AD438" t="s">
        <v>8</v>
      </c>
      <c r="AE438" t="s">
        <v>111</v>
      </c>
      <c r="AF438" t="s">
        <v>3626</v>
      </c>
    </row>
    <row r="439" spans="1:32">
      <c r="A439" t="s">
        <v>3627</v>
      </c>
      <c r="B439" t="s">
        <v>3628</v>
      </c>
      <c r="C439" t="s">
        <v>3629</v>
      </c>
      <c r="D439" t="s">
        <v>3625</v>
      </c>
      <c r="E439" t="s">
        <v>3598</v>
      </c>
      <c r="F439" t="s">
        <v>3599</v>
      </c>
      <c r="H439" t="s">
        <v>3600</v>
      </c>
      <c r="I439" t="s">
        <v>3601</v>
      </c>
      <c r="J439" t="s">
        <v>8</v>
      </c>
      <c r="K439" t="s">
        <v>3</v>
      </c>
      <c r="L439" t="s">
        <v>3</v>
      </c>
      <c r="M439" t="s">
        <v>122</v>
      </c>
      <c r="N439" t="s">
        <v>3</v>
      </c>
      <c r="O439" t="s">
        <v>3</v>
      </c>
      <c r="P439" t="s">
        <v>3</v>
      </c>
      <c r="Q439" t="s">
        <v>8</v>
      </c>
      <c r="R439" t="s">
        <v>3</v>
      </c>
      <c r="S439" t="s">
        <v>8</v>
      </c>
      <c r="T439" t="s">
        <v>3627</v>
      </c>
      <c r="U439" t="s">
        <v>3</v>
      </c>
      <c r="V439" t="s">
        <v>3</v>
      </c>
      <c r="W439" t="s">
        <v>3</v>
      </c>
      <c r="AA439" t="s">
        <v>8</v>
      </c>
      <c r="AB439" t="s">
        <v>3</v>
      </c>
      <c r="AC439" t="s">
        <v>3</v>
      </c>
      <c r="AD439" t="s">
        <v>8</v>
      </c>
      <c r="AE439" t="s">
        <v>111</v>
      </c>
      <c r="AF439" t="s">
        <v>3630</v>
      </c>
    </row>
    <row r="440" spans="1:32">
      <c r="A440" t="s">
        <v>3631</v>
      </c>
      <c r="B440" t="s">
        <v>3632</v>
      </c>
      <c r="C440" t="s">
        <v>3629</v>
      </c>
      <c r="D440" t="s">
        <v>3633</v>
      </c>
      <c r="E440" t="s">
        <v>3598</v>
      </c>
      <c r="F440" t="s">
        <v>3599</v>
      </c>
      <c r="H440" t="s">
        <v>3600</v>
      </c>
      <c r="I440" t="s">
        <v>3601</v>
      </c>
      <c r="J440" t="s">
        <v>8</v>
      </c>
      <c r="K440" t="s">
        <v>3</v>
      </c>
      <c r="L440" t="s">
        <v>3</v>
      </c>
      <c r="M440" t="s">
        <v>122</v>
      </c>
      <c r="N440" t="s">
        <v>3</v>
      </c>
      <c r="O440" t="s">
        <v>3</v>
      </c>
      <c r="P440" t="s">
        <v>3</v>
      </c>
      <c r="Q440" t="s">
        <v>8</v>
      </c>
      <c r="R440" t="s">
        <v>3</v>
      </c>
      <c r="S440" t="s">
        <v>8</v>
      </c>
      <c r="T440" t="s">
        <v>3631</v>
      </c>
      <c r="U440" t="s">
        <v>3</v>
      </c>
      <c r="V440" t="s">
        <v>3</v>
      </c>
      <c r="W440" t="s">
        <v>3</v>
      </c>
      <c r="AA440" t="s">
        <v>8</v>
      </c>
      <c r="AB440" t="s">
        <v>3</v>
      </c>
      <c r="AC440" t="s">
        <v>3</v>
      </c>
      <c r="AD440" t="s">
        <v>8</v>
      </c>
      <c r="AE440" t="s">
        <v>111</v>
      </c>
      <c r="AF440" t="s">
        <v>3634</v>
      </c>
    </row>
    <row r="441" spans="1:32">
      <c r="A441" t="s">
        <v>3635</v>
      </c>
      <c r="B441" t="s">
        <v>3636</v>
      </c>
      <c r="C441" t="s">
        <v>3637</v>
      </c>
      <c r="D441" t="s">
        <v>3638</v>
      </c>
      <c r="E441" t="s">
        <v>3639</v>
      </c>
      <c r="F441" t="s">
        <v>3640</v>
      </c>
      <c r="G441" t="s">
        <v>3641</v>
      </c>
      <c r="H441" t="s">
        <v>3642</v>
      </c>
      <c r="I441" t="s">
        <v>3642</v>
      </c>
      <c r="J441" t="s">
        <v>8</v>
      </c>
      <c r="K441" t="s">
        <v>3</v>
      </c>
      <c r="L441" t="s">
        <v>3</v>
      </c>
      <c r="M441" t="s">
        <v>122</v>
      </c>
      <c r="N441" t="s">
        <v>3</v>
      </c>
      <c r="O441" t="s">
        <v>3</v>
      </c>
      <c r="P441" t="s">
        <v>3</v>
      </c>
      <c r="Q441" t="s">
        <v>8</v>
      </c>
      <c r="R441" t="s">
        <v>122</v>
      </c>
      <c r="S441" t="s">
        <v>8</v>
      </c>
      <c r="T441" t="s">
        <v>3635</v>
      </c>
      <c r="U441" t="s">
        <v>3</v>
      </c>
      <c r="V441" t="s">
        <v>3</v>
      </c>
      <c r="W441" t="s">
        <v>3</v>
      </c>
      <c r="AA441" t="s">
        <v>8</v>
      </c>
      <c r="AB441" t="s">
        <v>8</v>
      </c>
      <c r="AC441" t="s">
        <v>3</v>
      </c>
      <c r="AD441" t="s">
        <v>8</v>
      </c>
      <c r="AE441" t="s">
        <v>72</v>
      </c>
      <c r="AF441" t="s">
        <v>3643</v>
      </c>
    </row>
    <row r="442" spans="1:32">
      <c r="A442" t="s">
        <v>3644</v>
      </c>
      <c r="B442" t="s">
        <v>3645</v>
      </c>
      <c r="C442" t="s">
        <v>3646</v>
      </c>
      <c r="D442" t="s">
        <v>3645</v>
      </c>
      <c r="E442" t="s">
        <v>2304</v>
      </c>
      <c r="F442" t="s">
        <v>3647</v>
      </c>
      <c r="H442" t="s">
        <v>3648</v>
      </c>
      <c r="I442" t="s">
        <v>3649</v>
      </c>
      <c r="J442" t="s">
        <v>8</v>
      </c>
      <c r="K442" t="s">
        <v>3</v>
      </c>
      <c r="L442" t="s">
        <v>3</v>
      </c>
      <c r="M442" t="s">
        <v>122</v>
      </c>
      <c r="N442" t="s">
        <v>3</v>
      </c>
      <c r="O442" t="s">
        <v>3</v>
      </c>
      <c r="P442" t="s">
        <v>3</v>
      </c>
      <c r="Q442" t="s">
        <v>8</v>
      </c>
      <c r="R442" t="s">
        <v>122</v>
      </c>
      <c r="S442" t="s">
        <v>8</v>
      </c>
      <c r="T442" t="s">
        <v>3644</v>
      </c>
      <c r="U442" t="s">
        <v>3</v>
      </c>
      <c r="V442" t="s">
        <v>3</v>
      </c>
      <c r="W442" t="s">
        <v>652</v>
      </c>
      <c r="AA442" t="s">
        <v>8</v>
      </c>
      <c r="AB442" t="s">
        <v>8</v>
      </c>
      <c r="AC442" t="s">
        <v>3</v>
      </c>
      <c r="AD442" t="s">
        <v>8</v>
      </c>
      <c r="AE442" t="s">
        <v>111</v>
      </c>
      <c r="AF442" t="s">
        <v>3650</v>
      </c>
    </row>
    <row r="443" spans="1:32">
      <c r="A443" t="s">
        <v>3651</v>
      </c>
      <c r="B443" t="s">
        <v>3652</v>
      </c>
      <c r="C443" t="s">
        <v>3653</v>
      </c>
      <c r="D443" t="s">
        <v>3645</v>
      </c>
      <c r="E443" t="s">
        <v>2304</v>
      </c>
      <c r="F443" t="s">
        <v>3647</v>
      </c>
      <c r="H443" t="s">
        <v>3648</v>
      </c>
      <c r="I443" t="s">
        <v>3649</v>
      </c>
      <c r="J443" t="s">
        <v>8</v>
      </c>
      <c r="K443" t="s">
        <v>3</v>
      </c>
      <c r="L443" t="s">
        <v>3</v>
      </c>
      <c r="M443" t="s">
        <v>122</v>
      </c>
      <c r="N443" t="s">
        <v>3</v>
      </c>
      <c r="O443" t="s">
        <v>3</v>
      </c>
      <c r="P443" t="s">
        <v>3</v>
      </c>
      <c r="Q443" t="s">
        <v>8</v>
      </c>
      <c r="R443" t="s">
        <v>122</v>
      </c>
      <c r="S443" t="s">
        <v>8</v>
      </c>
      <c r="T443" t="s">
        <v>3651</v>
      </c>
      <c r="U443" t="s">
        <v>3</v>
      </c>
      <c r="V443" t="s">
        <v>3</v>
      </c>
      <c r="W443" t="s">
        <v>652</v>
      </c>
      <c r="AA443" t="s">
        <v>8</v>
      </c>
      <c r="AB443" t="s">
        <v>8</v>
      </c>
      <c r="AC443" t="s">
        <v>3</v>
      </c>
      <c r="AD443" t="s">
        <v>8</v>
      </c>
      <c r="AE443" t="s">
        <v>111</v>
      </c>
      <c r="AF443" t="s">
        <v>3654</v>
      </c>
    </row>
    <row r="444" spans="1:32">
      <c r="A444" t="s">
        <v>3655</v>
      </c>
      <c r="B444" t="s">
        <v>3656</v>
      </c>
      <c r="C444" t="s">
        <v>3657</v>
      </c>
      <c r="D444" t="s">
        <v>3658</v>
      </c>
      <c r="E444" t="s">
        <v>3659</v>
      </c>
      <c r="F444" t="s">
        <v>3660</v>
      </c>
      <c r="H444" t="s">
        <v>3661</v>
      </c>
      <c r="I444" t="s">
        <v>3662</v>
      </c>
      <c r="J444" t="s">
        <v>8</v>
      </c>
      <c r="K444" t="s">
        <v>3</v>
      </c>
      <c r="L444" t="s">
        <v>3</v>
      </c>
      <c r="M444" t="s">
        <v>122</v>
      </c>
      <c r="N444" t="s">
        <v>3</v>
      </c>
      <c r="O444" t="s">
        <v>3</v>
      </c>
      <c r="P444" t="s">
        <v>3</v>
      </c>
      <c r="Q444" t="s">
        <v>8</v>
      </c>
      <c r="R444" t="s">
        <v>122</v>
      </c>
      <c r="S444" t="s">
        <v>8</v>
      </c>
      <c r="T444" t="s">
        <v>3655</v>
      </c>
      <c r="U444" t="s">
        <v>3</v>
      </c>
      <c r="V444" t="s">
        <v>3</v>
      </c>
      <c r="W444" t="s">
        <v>2520</v>
      </c>
      <c r="AA444" t="s">
        <v>8</v>
      </c>
      <c r="AB444" t="s">
        <v>8</v>
      </c>
      <c r="AC444" t="s">
        <v>3</v>
      </c>
      <c r="AD444" t="s">
        <v>8</v>
      </c>
      <c r="AE444" t="s">
        <v>111</v>
      </c>
      <c r="AF444" t="s">
        <v>3663</v>
      </c>
    </row>
    <row r="445" spans="1:32">
      <c r="A445" t="s">
        <v>3664</v>
      </c>
      <c r="B445" t="s">
        <v>3665</v>
      </c>
      <c r="C445" t="s">
        <v>3666</v>
      </c>
      <c r="D445" t="s">
        <v>3667</v>
      </c>
      <c r="E445" t="s">
        <v>2618</v>
      </c>
      <c r="F445" t="s">
        <v>3668</v>
      </c>
      <c r="H445" t="s">
        <v>2621</v>
      </c>
      <c r="I445" t="s">
        <v>2626</v>
      </c>
      <c r="J445" t="s">
        <v>8</v>
      </c>
      <c r="K445" t="s">
        <v>3</v>
      </c>
      <c r="L445" t="s">
        <v>3</v>
      </c>
      <c r="M445" t="s">
        <v>122</v>
      </c>
      <c r="N445" t="s">
        <v>3</v>
      </c>
      <c r="O445" t="s">
        <v>3</v>
      </c>
      <c r="P445" t="s">
        <v>3</v>
      </c>
      <c r="Q445" t="s">
        <v>8</v>
      </c>
      <c r="R445" t="s">
        <v>122</v>
      </c>
      <c r="S445" t="s">
        <v>8</v>
      </c>
      <c r="T445" t="s">
        <v>3664</v>
      </c>
      <c r="U445" t="s">
        <v>3</v>
      </c>
      <c r="V445" t="s">
        <v>3</v>
      </c>
      <c r="W445" t="s">
        <v>3</v>
      </c>
      <c r="AA445" t="s">
        <v>8</v>
      </c>
      <c r="AB445" t="s">
        <v>8</v>
      </c>
      <c r="AC445" t="s">
        <v>3</v>
      </c>
      <c r="AD445" t="s">
        <v>8</v>
      </c>
      <c r="AE445" t="s">
        <v>111</v>
      </c>
      <c r="AF445" t="s">
        <v>3669</v>
      </c>
    </row>
    <row r="446" spans="1:32">
      <c r="A446" t="s">
        <v>3670</v>
      </c>
      <c r="B446" t="s">
        <v>3671</v>
      </c>
      <c r="C446" t="s">
        <v>3672</v>
      </c>
      <c r="D446" t="s">
        <v>3671</v>
      </c>
      <c r="E446" t="s">
        <v>3673</v>
      </c>
      <c r="F446" t="s">
        <v>3674</v>
      </c>
      <c r="H446" t="s">
        <v>3675</v>
      </c>
      <c r="I446" t="s">
        <v>3676</v>
      </c>
      <c r="J446" t="s">
        <v>8</v>
      </c>
      <c r="K446" t="s">
        <v>3</v>
      </c>
      <c r="L446" t="s">
        <v>3</v>
      </c>
      <c r="M446" t="s">
        <v>122</v>
      </c>
      <c r="N446" t="s">
        <v>3</v>
      </c>
      <c r="O446" t="s">
        <v>3</v>
      </c>
      <c r="P446" t="s">
        <v>3</v>
      </c>
      <c r="Q446" t="s">
        <v>8</v>
      </c>
      <c r="R446" t="s">
        <v>122</v>
      </c>
      <c r="S446" t="s">
        <v>8</v>
      </c>
      <c r="T446" t="s">
        <v>3670</v>
      </c>
      <c r="U446" t="s">
        <v>3</v>
      </c>
      <c r="V446" t="s">
        <v>3</v>
      </c>
      <c r="W446" t="s">
        <v>3</v>
      </c>
      <c r="AA446" t="s">
        <v>8</v>
      </c>
      <c r="AB446" t="s">
        <v>8</v>
      </c>
      <c r="AC446" t="s">
        <v>3</v>
      </c>
      <c r="AD446" t="s">
        <v>8</v>
      </c>
      <c r="AE446" t="s">
        <v>111</v>
      </c>
      <c r="AF446" t="s">
        <v>3677</v>
      </c>
    </row>
    <row r="447" spans="1:32">
      <c r="A447" t="s">
        <v>3678</v>
      </c>
      <c r="B447" t="s">
        <v>3679</v>
      </c>
      <c r="C447" t="s">
        <v>3680</v>
      </c>
      <c r="D447" t="s">
        <v>3679</v>
      </c>
      <c r="E447" t="s">
        <v>2304</v>
      </c>
      <c r="F447" t="s">
        <v>3681</v>
      </c>
      <c r="G447" t="s">
        <v>3682</v>
      </c>
      <c r="H447" t="s">
        <v>3683</v>
      </c>
      <c r="I447" t="s">
        <v>3683</v>
      </c>
      <c r="J447" t="s">
        <v>8</v>
      </c>
      <c r="K447" t="s">
        <v>3</v>
      </c>
      <c r="L447" t="s">
        <v>3</v>
      </c>
      <c r="M447" t="s">
        <v>122</v>
      </c>
      <c r="N447" t="s">
        <v>3</v>
      </c>
      <c r="O447" t="s">
        <v>3</v>
      </c>
      <c r="P447" t="s">
        <v>3</v>
      </c>
      <c r="Q447" t="s">
        <v>8</v>
      </c>
      <c r="R447" t="s">
        <v>122</v>
      </c>
      <c r="S447" t="s">
        <v>8</v>
      </c>
      <c r="T447" t="s">
        <v>3678</v>
      </c>
      <c r="U447" t="s">
        <v>3</v>
      </c>
      <c r="V447" t="s">
        <v>3</v>
      </c>
      <c r="W447" t="s">
        <v>932</v>
      </c>
      <c r="AA447" t="s">
        <v>8</v>
      </c>
      <c r="AB447" t="s">
        <v>8</v>
      </c>
      <c r="AC447" t="s">
        <v>3</v>
      </c>
      <c r="AD447" t="s">
        <v>8</v>
      </c>
      <c r="AE447" t="s">
        <v>111</v>
      </c>
      <c r="AF447" t="s">
        <v>3684</v>
      </c>
    </row>
    <row r="448" spans="1:32">
      <c r="A448" t="s">
        <v>3685</v>
      </c>
      <c r="B448" t="s">
        <v>3686</v>
      </c>
      <c r="C448" t="s">
        <v>3687</v>
      </c>
      <c r="D448" t="s">
        <v>3686</v>
      </c>
      <c r="E448" t="s">
        <v>2304</v>
      </c>
      <c r="F448" t="s">
        <v>3681</v>
      </c>
      <c r="G448" t="s">
        <v>3682</v>
      </c>
      <c r="H448" t="s">
        <v>3688</v>
      </c>
      <c r="J448" t="s">
        <v>8</v>
      </c>
      <c r="K448" t="s">
        <v>3</v>
      </c>
      <c r="L448" t="s">
        <v>3</v>
      </c>
      <c r="M448" t="s">
        <v>122</v>
      </c>
      <c r="N448" t="s">
        <v>3</v>
      </c>
      <c r="O448" t="s">
        <v>3</v>
      </c>
      <c r="P448" t="s">
        <v>3</v>
      </c>
      <c r="Q448" t="s">
        <v>8</v>
      </c>
      <c r="R448" t="s">
        <v>122</v>
      </c>
      <c r="S448" t="s">
        <v>8</v>
      </c>
      <c r="T448" t="s">
        <v>3685</v>
      </c>
      <c r="U448" t="s">
        <v>3</v>
      </c>
      <c r="V448" t="s">
        <v>3</v>
      </c>
      <c r="W448" t="s">
        <v>654</v>
      </c>
      <c r="AA448" t="s">
        <v>8</v>
      </c>
      <c r="AB448" t="s">
        <v>8</v>
      </c>
      <c r="AC448" t="s">
        <v>3</v>
      </c>
      <c r="AD448" t="s">
        <v>8</v>
      </c>
      <c r="AE448" t="s">
        <v>72</v>
      </c>
      <c r="AF448" t="s">
        <v>3689</v>
      </c>
    </row>
    <row r="449" spans="1:32">
      <c r="A449" t="s">
        <v>3690</v>
      </c>
      <c r="B449" t="s">
        <v>3691</v>
      </c>
      <c r="C449" t="s">
        <v>3692</v>
      </c>
      <c r="D449" t="s">
        <v>3691</v>
      </c>
      <c r="E449" t="s">
        <v>3693</v>
      </c>
      <c r="F449" t="s">
        <v>3694</v>
      </c>
      <c r="H449" t="s">
        <v>3695</v>
      </c>
      <c r="I449" t="s">
        <v>3696</v>
      </c>
      <c r="J449" t="s">
        <v>8</v>
      </c>
      <c r="K449" t="s">
        <v>3</v>
      </c>
      <c r="L449" t="s">
        <v>3</v>
      </c>
      <c r="M449" t="s">
        <v>122</v>
      </c>
      <c r="N449" t="s">
        <v>3</v>
      </c>
      <c r="O449" t="s">
        <v>3</v>
      </c>
      <c r="P449" t="s">
        <v>3</v>
      </c>
      <c r="Q449" t="s">
        <v>8</v>
      </c>
      <c r="R449" t="s">
        <v>122</v>
      </c>
      <c r="S449" t="s">
        <v>8</v>
      </c>
      <c r="T449" t="s">
        <v>3690</v>
      </c>
      <c r="U449" t="s">
        <v>3</v>
      </c>
      <c r="V449" t="s">
        <v>3</v>
      </c>
      <c r="W449" t="s">
        <v>3</v>
      </c>
      <c r="AA449" t="s">
        <v>8</v>
      </c>
      <c r="AB449" t="s">
        <v>8</v>
      </c>
      <c r="AC449" t="s">
        <v>3</v>
      </c>
      <c r="AD449" t="s">
        <v>8</v>
      </c>
      <c r="AE449" t="s">
        <v>111</v>
      </c>
      <c r="AF449" t="s">
        <v>3697</v>
      </c>
    </row>
    <row r="450" spans="1:32">
      <c r="A450" t="s">
        <v>137</v>
      </c>
      <c r="B450" t="s">
        <v>34</v>
      </c>
      <c r="C450" t="s">
        <v>3698</v>
      </c>
      <c r="D450" t="s">
        <v>34</v>
      </c>
      <c r="F450" t="s">
        <v>3699</v>
      </c>
      <c r="G450" t="s">
        <v>3700</v>
      </c>
      <c r="H450" t="s">
        <v>3701</v>
      </c>
      <c r="I450" t="s">
        <v>3702</v>
      </c>
      <c r="J450" t="s">
        <v>8</v>
      </c>
      <c r="K450" t="s">
        <v>3</v>
      </c>
      <c r="L450" t="s">
        <v>3</v>
      </c>
      <c r="M450" t="s">
        <v>122</v>
      </c>
      <c r="N450" t="s">
        <v>3</v>
      </c>
      <c r="O450" t="s">
        <v>3</v>
      </c>
      <c r="P450" t="s">
        <v>3</v>
      </c>
      <c r="Q450" t="s">
        <v>8</v>
      </c>
      <c r="R450" t="s">
        <v>122</v>
      </c>
      <c r="S450" t="s">
        <v>8</v>
      </c>
      <c r="T450" t="s">
        <v>137</v>
      </c>
      <c r="U450" t="s">
        <v>3</v>
      </c>
      <c r="V450" t="s">
        <v>3</v>
      </c>
      <c r="W450" t="s">
        <v>963</v>
      </c>
      <c r="AA450" t="s">
        <v>8</v>
      </c>
      <c r="AB450" t="s">
        <v>8</v>
      </c>
      <c r="AC450" t="s">
        <v>3</v>
      </c>
      <c r="AD450" t="s">
        <v>8</v>
      </c>
      <c r="AE450" t="s">
        <v>72</v>
      </c>
      <c r="AF450" t="s">
        <v>3703</v>
      </c>
    </row>
    <row r="451" spans="1:32">
      <c r="A451" t="s">
        <v>3704</v>
      </c>
      <c r="B451" t="s">
        <v>3705</v>
      </c>
      <c r="C451" t="s">
        <v>3706</v>
      </c>
      <c r="D451" t="s">
        <v>3707</v>
      </c>
      <c r="F451" t="s">
        <v>3708</v>
      </c>
      <c r="H451" t="s">
        <v>3709</v>
      </c>
      <c r="I451" t="s">
        <v>3710</v>
      </c>
      <c r="J451" t="s">
        <v>8</v>
      </c>
      <c r="K451" t="s">
        <v>3</v>
      </c>
      <c r="L451" t="s">
        <v>3</v>
      </c>
      <c r="M451" t="s">
        <v>122</v>
      </c>
      <c r="N451" t="s">
        <v>3</v>
      </c>
      <c r="O451" t="s">
        <v>3</v>
      </c>
      <c r="P451" t="s">
        <v>3</v>
      </c>
      <c r="Q451" t="s">
        <v>8</v>
      </c>
      <c r="R451" t="s">
        <v>122</v>
      </c>
      <c r="S451" t="s">
        <v>8</v>
      </c>
      <c r="T451" t="s">
        <v>3704</v>
      </c>
      <c r="U451" t="s">
        <v>3</v>
      </c>
      <c r="V451" t="s">
        <v>3</v>
      </c>
      <c r="W451" t="s">
        <v>966</v>
      </c>
      <c r="AA451" t="s">
        <v>8</v>
      </c>
      <c r="AB451" t="s">
        <v>8</v>
      </c>
      <c r="AC451" t="s">
        <v>3</v>
      </c>
      <c r="AD451" t="s">
        <v>8</v>
      </c>
      <c r="AE451" t="s">
        <v>130</v>
      </c>
      <c r="AF451" t="s">
        <v>3711</v>
      </c>
    </row>
    <row r="452" spans="1:32">
      <c r="A452" t="s">
        <v>3712</v>
      </c>
      <c r="B452" t="s">
        <v>3713</v>
      </c>
      <c r="C452" t="s">
        <v>3714</v>
      </c>
      <c r="D452" t="s">
        <v>3715</v>
      </c>
      <c r="E452" t="s">
        <v>3716</v>
      </c>
      <c r="F452" t="s">
        <v>3717</v>
      </c>
      <c r="H452" t="s">
        <v>3718</v>
      </c>
      <c r="I452" t="s">
        <v>3719</v>
      </c>
      <c r="J452" t="s">
        <v>8</v>
      </c>
      <c r="K452" t="s">
        <v>3</v>
      </c>
      <c r="L452" t="s">
        <v>3</v>
      </c>
      <c r="M452" t="s">
        <v>122</v>
      </c>
      <c r="N452" t="s">
        <v>3</v>
      </c>
      <c r="O452" t="s">
        <v>3</v>
      </c>
      <c r="P452" t="s">
        <v>3</v>
      </c>
      <c r="Q452" t="s">
        <v>8</v>
      </c>
      <c r="R452" t="s">
        <v>122</v>
      </c>
      <c r="S452" t="s">
        <v>8</v>
      </c>
      <c r="T452" t="s">
        <v>3712</v>
      </c>
      <c r="U452" t="s">
        <v>3</v>
      </c>
      <c r="V452" t="s">
        <v>3</v>
      </c>
      <c r="W452" t="s">
        <v>963</v>
      </c>
      <c r="AA452" t="s">
        <v>8</v>
      </c>
      <c r="AB452" t="s">
        <v>8</v>
      </c>
      <c r="AC452" t="s">
        <v>3</v>
      </c>
      <c r="AD452" t="s">
        <v>8</v>
      </c>
      <c r="AE452" t="s">
        <v>111</v>
      </c>
      <c r="AF452" t="s">
        <v>3720</v>
      </c>
    </row>
    <row r="453" spans="1:32">
      <c r="A453" t="s">
        <v>3721</v>
      </c>
      <c r="B453" t="s">
        <v>3722</v>
      </c>
      <c r="C453" t="s">
        <v>3723</v>
      </c>
      <c r="D453" t="s">
        <v>3722</v>
      </c>
      <c r="E453" t="s">
        <v>3724</v>
      </c>
      <c r="F453" t="s">
        <v>3725</v>
      </c>
      <c r="H453" t="s">
        <v>3726</v>
      </c>
      <c r="I453" t="s">
        <v>3727</v>
      </c>
      <c r="J453" t="s">
        <v>8</v>
      </c>
      <c r="K453" t="s">
        <v>3</v>
      </c>
      <c r="L453" t="s">
        <v>3</v>
      </c>
      <c r="M453" t="s">
        <v>122</v>
      </c>
      <c r="N453" t="s">
        <v>3</v>
      </c>
      <c r="O453" t="s">
        <v>3</v>
      </c>
      <c r="P453" t="s">
        <v>3</v>
      </c>
      <c r="Q453" t="s">
        <v>8</v>
      </c>
      <c r="R453" t="s">
        <v>122</v>
      </c>
      <c r="S453" t="s">
        <v>8</v>
      </c>
      <c r="T453" t="s">
        <v>3721</v>
      </c>
      <c r="U453" t="s">
        <v>3</v>
      </c>
      <c r="V453" t="s">
        <v>3</v>
      </c>
      <c r="W453" t="s">
        <v>3</v>
      </c>
      <c r="AA453" t="s">
        <v>8</v>
      </c>
      <c r="AB453" t="s">
        <v>8</v>
      </c>
      <c r="AC453" t="s">
        <v>3</v>
      </c>
      <c r="AD453" t="s">
        <v>8</v>
      </c>
      <c r="AE453" t="s">
        <v>111</v>
      </c>
      <c r="AF453" t="s">
        <v>3728</v>
      </c>
    </row>
    <row r="454" spans="1:32">
      <c r="A454" t="s">
        <v>3729</v>
      </c>
      <c r="B454" t="s">
        <v>3730</v>
      </c>
      <c r="C454" t="s">
        <v>3731</v>
      </c>
      <c r="D454" t="s">
        <v>3732</v>
      </c>
      <c r="E454" t="s">
        <v>2295</v>
      </c>
      <c r="F454" t="s">
        <v>3733</v>
      </c>
      <c r="H454" t="s">
        <v>3734</v>
      </c>
      <c r="I454" t="s">
        <v>3734</v>
      </c>
      <c r="J454" t="s">
        <v>8</v>
      </c>
      <c r="K454" t="s">
        <v>3</v>
      </c>
      <c r="L454" t="s">
        <v>3</v>
      </c>
      <c r="M454" t="s">
        <v>122</v>
      </c>
      <c r="N454" t="s">
        <v>3</v>
      </c>
      <c r="O454" t="s">
        <v>3</v>
      </c>
      <c r="P454" t="s">
        <v>3</v>
      </c>
      <c r="Q454" t="s">
        <v>8</v>
      </c>
      <c r="R454" t="s">
        <v>122</v>
      </c>
      <c r="S454" t="s">
        <v>8</v>
      </c>
      <c r="T454" t="s">
        <v>3729</v>
      </c>
      <c r="U454" t="s">
        <v>3</v>
      </c>
      <c r="V454" t="s">
        <v>3</v>
      </c>
      <c r="W454" t="s">
        <v>620</v>
      </c>
      <c r="AA454" t="s">
        <v>8</v>
      </c>
      <c r="AB454" t="s">
        <v>8</v>
      </c>
      <c r="AC454" t="s">
        <v>3</v>
      </c>
      <c r="AD454" t="s">
        <v>8</v>
      </c>
      <c r="AE454" t="s">
        <v>111</v>
      </c>
      <c r="AF454" t="s">
        <v>3735</v>
      </c>
    </row>
    <row r="455" spans="1:32">
      <c r="A455" t="s">
        <v>3736</v>
      </c>
      <c r="B455" t="s">
        <v>3737</v>
      </c>
      <c r="C455" t="s">
        <v>3738</v>
      </c>
      <c r="D455" t="s">
        <v>3737</v>
      </c>
      <c r="E455" t="s">
        <v>3739</v>
      </c>
      <c r="F455" t="s">
        <v>3740</v>
      </c>
      <c r="H455" t="s">
        <v>3741</v>
      </c>
      <c r="I455" t="s">
        <v>3742</v>
      </c>
      <c r="J455" t="s">
        <v>8</v>
      </c>
      <c r="K455" t="s">
        <v>3</v>
      </c>
      <c r="L455" t="s">
        <v>3</v>
      </c>
      <c r="M455" t="s">
        <v>122</v>
      </c>
      <c r="N455" t="s">
        <v>3</v>
      </c>
      <c r="O455" t="s">
        <v>3</v>
      </c>
      <c r="P455" t="s">
        <v>3</v>
      </c>
      <c r="Q455" t="s">
        <v>8</v>
      </c>
      <c r="R455" t="s">
        <v>135</v>
      </c>
      <c r="S455" t="s">
        <v>8</v>
      </c>
      <c r="T455" t="s">
        <v>3736</v>
      </c>
      <c r="U455" t="s">
        <v>3</v>
      </c>
      <c r="V455" t="s">
        <v>3</v>
      </c>
      <c r="W455" t="s">
        <v>767</v>
      </c>
      <c r="AA455" t="s">
        <v>8</v>
      </c>
      <c r="AB455" t="s">
        <v>8</v>
      </c>
      <c r="AC455" t="s">
        <v>3</v>
      </c>
      <c r="AD455" t="s">
        <v>8</v>
      </c>
      <c r="AE455" t="s">
        <v>130</v>
      </c>
      <c r="AF455" t="s">
        <v>3743</v>
      </c>
    </row>
    <row r="456" spans="1:32">
      <c r="A456" t="s">
        <v>3744</v>
      </c>
      <c r="B456" t="s">
        <v>3745</v>
      </c>
      <c r="C456" t="s">
        <v>3746</v>
      </c>
      <c r="D456" t="s">
        <v>3745</v>
      </c>
      <c r="E456" t="s">
        <v>3739</v>
      </c>
      <c r="F456" t="s">
        <v>3747</v>
      </c>
      <c r="H456" t="s">
        <v>3742</v>
      </c>
      <c r="J456" t="s">
        <v>8</v>
      </c>
      <c r="K456" t="s">
        <v>3</v>
      </c>
      <c r="L456" t="s">
        <v>3</v>
      </c>
      <c r="M456" t="s">
        <v>122</v>
      </c>
      <c r="N456" t="s">
        <v>3</v>
      </c>
      <c r="O456" t="s">
        <v>3</v>
      </c>
      <c r="P456" t="s">
        <v>3</v>
      </c>
      <c r="Q456" t="s">
        <v>8</v>
      </c>
      <c r="R456" t="s">
        <v>135</v>
      </c>
      <c r="S456" t="s">
        <v>8</v>
      </c>
      <c r="T456" t="s">
        <v>3744</v>
      </c>
      <c r="U456" t="s">
        <v>3</v>
      </c>
      <c r="V456" t="s">
        <v>3</v>
      </c>
      <c r="W456" t="s">
        <v>767</v>
      </c>
      <c r="AA456" t="s">
        <v>8</v>
      </c>
      <c r="AB456" t="s">
        <v>8</v>
      </c>
      <c r="AC456" t="s">
        <v>3</v>
      </c>
      <c r="AD456" t="s">
        <v>8</v>
      </c>
      <c r="AE456" t="s">
        <v>130</v>
      </c>
      <c r="AF456" t="s">
        <v>3748</v>
      </c>
    </row>
    <row r="457" spans="1:32">
      <c r="A457" t="s">
        <v>3749</v>
      </c>
      <c r="B457" t="s">
        <v>3750</v>
      </c>
      <c r="C457" t="s">
        <v>3751</v>
      </c>
      <c r="D457" t="s">
        <v>3752</v>
      </c>
      <c r="E457" t="s">
        <v>3753</v>
      </c>
      <c r="F457" t="s">
        <v>3754</v>
      </c>
      <c r="H457" t="s">
        <v>3755</v>
      </c>
      <c r="I457" t="s">
        <v>3756</v>
      </c>
      <c r="J457" t="s">
        <v>8</v>
      </c>
      <c r="K457" t="s">
        <v>3</v>
      </c>
      <c r="L457" t="s">
        <v>3</v>
      </c>
      <c r="M457" t="s">
        <v>122</v>
      </c>
      <c r="N457" t="s">
        <v>3</v>
      </c>
      <c r="O457" t="s">
        <v>3</v>
      </c>
      <c r="P457" t="s">
        <v>3</v>
      </c>
      <c r="Q457" t="s">
        <v>8</v>
      </c>
      <c r="R457" t="s">
        <v>122</v>
      </c>
      <c r="S457" t="s">
        <v>8</v>
      </c>
      <c r="T457" t="s">
        <v>3749</v>
      </c>
      <c r="U457" t="s">
        <v>3</v>
      </c>
      <c r="V457" t="s">
        <v>3</v>
      </c>
      <c r="W457" t="s">
        <v>3</v>
      </c>
      <c r="AA457" t="s">
        <v>8</v>
      </c>
      <c r="AB457" t="s">
        <v>8</v>
      </c>
      <c r="AC457" t="s">
        <v>3</v>
      </c>
      <c r="AD457" t="s">
        <v>8</v>
      </c>
      <c r="AE457" t="s">
        <v>111</v>
      </c>
      <c r="AF457" t="s">
        <v>3757</v>
      </c>
    </row>
    <row r="458" spans="1:32">
      <c r="A458" t="s">
        <v>3758</v>
      </c>
      <c r="B458" t="s">
        <v>3759</v>
      </c>
      <c r="C458" t="s">
        <v>3760</v>
      </c>
      <c r="D458" t="s">
        <v>3761</v>
      </c>
      <c r="E458" t="s">
        <v>3753</v>
      </c>
      <c r="F458" t="s">
        <v>3754</v>
      </c>
      <c r="H458" t="s">
        <v>3755</v>
      </c>
      <c r="I458" t="s">
        <v>3756</v>
      </c>
      <c r="J458" t="s">
        <v>8</v>
      </c>
      <c r="K458" t="s">
        <v>3</v>
      </c>
      <c r="L458" t="s">
        <v>3</v>
      </c>
      <c r="M458" t="s">
        <v>122</v>
      </c>
      <c r="N458" t="s">
        <v>3</v>
      </c>
      <c r="O458" t="s">
        <v>3</v>
      </c>
      <c r="P458" t="s">
        <v>3</v>
      </c>
      <c r="Q458" t="s">
        <v>8</v>
      </c>
      <c r="R458" t="s">
        <v>122</v>
      </c>
      <c r="S458" t="s">
        <v>8</v>
      </c>
      <c r="T458" t="s">
        <v>3758</v>
      </c>
      <c r="U458" t="s">
        <v>3</v>
      </c>
      <c r="V458" t="s">
        <v>3</v>
      </c>
      <c r="W458" t="s">
        <v>3</v>
      </c>
      <c r="AA458" t="s">
        <v>8</v>
      </c>
      <c r="AB458" t="s">
        <v>8</v>
      </c>
      <c r="AC458" t="s">
        <v>3</v>
      </c>
      <c r="AD458" t="s">
        <v>8</v>
      </c>
      <c r="AE458" t="s">
        <v>111</v>
      </c>
      <c r="AF458" t="s">
        <v>3762</v>
      </c>
    </row>
    <row r="459" spans="1:32">
      <c r="A459" t="s">
        <v>3763</v>
      </c>
      <c r="B459" t="s">
        <v>3764</v>
      </c>
      <c r="C459" t="s">
        <v>3765</v>
      </c>
      <c r="D459" t="s">
        <v>3766</v>
      </c>
      <c r="E459" t="s">
        <v>3753</v>
      </c>
      <c r="F459" t="s">
        <v>3754</v>
      </c>
      <c r="H459" t="s">
        <v>3755</v>
      </c>
      <c r="I459" t="s">
        <v>3756</v>
      </c>
      <c r="J459" t="s">
        <v>8</v>
      </c>
      <c r="K459" t="s">
        <v>3</v>
      </c>
      <c r="L459" t="s">
        <v>3</v>
      </c>
      <c r="M459" t="s">
        <v>122</v>
      </c>
      <c r="N459" t="s">
        <v>3</v>
      </c>
      <c r="O459" t="s">
        <v>3</v>
      </c>
      <c r="P459" t="s">
        <v>3</v>
      </c>
      <c r="Q459" t="s">
        <v>8</v>
      </c>
      <c r="R459" t="s">
        <v>122</v>
      </c>
      <c r="S459" t="s">
        <v>8</v>
      </c>
      <c r="T459" t="s">
        <v>3763</v>
      </c>
      <c r="U459" t="s">
        <v>3</v>
      </c>
      <c r="V459" t="s">
        <v>3</v>
      </c>
      <c r="W459" t="s">
        <v>3</v>
      </c>
      <c r="AA459" t="s">
        <v>8</v>
      </c>
      <c r="AB459" t="s">
        <v>8</v>
      </c>
      <c r="AC459" t="s">
        <v>3</v>
      </c>
      <c r="AD459" t="s">
        <v>8</v>
      </c>
      <c r="AE459" t="s">
        <v>111</v>
      </c>
      <c r="AF459" t="s">
        <v>3767</v>
      </c>
    </row>
    <row r="460" spans="1:32">
      <c r="A460" t="s">
        <v>3768</v>
      </c>
      <c r="B460" t="s">
        <v>3769</v>
      </c>
      <c r="C460" t="s">
        <v>3770</v>
      </c>
      <c r="D460" t="s">
        <v>3769</v>
      </c>
      <c r="E460" t="s">
        <v>3771</v>
      </c>
      <c r="F460" t="s">
        <v>3772</v>
      </c>
      <c r="H460" t="s">
        <v>3773</v>
      </c>
      <c r="I460" t="s">
        <v>3774</v>
      </c>
      <c r="J460" t="s">
        <v>8</v>
      </c>
      <c r="K460" t="s">
        <v>3</v>
      </c>
      <c r="L460" t="s">
        <v>3</v>
      </c>
      <c r="M460" t="s">
        <v>122</v>
      </c>
      <c r="N460" t="s">
        <v>3</v>
      </c>
      <c r="O460" t="s">
        <v>3</v>
      </c>
      <c r="P460" t="s">
        <v>3</v>
      </c>
      <c r="Q460" t="s">
        <v>8</v>
      </c>
      <c r="R460" t="s">
        <v>122</v>
      </c>
      <c r="S460" t="s">
        <v>8</v>
      </c>
      <c r="T460" t="s">
        <v>3768</v>
      </c>
      <c r="U460" t="s">
        <v>3</v>
      </c>
      <c r="V460" t="s">
        <v>3</v>
      </c>
      <c r="W460" t="s">
        <v>652</v>
      </c>
      <c r="Z460" t="s">
        <v>1554</v>
      </c>
      <c r="AA460" t="s">
        <v>3</v>
      </c>
      <c r="AB460" t="s">
        <v>8</v>
      </c>
      <c r="AC460" t="s">
        <v>3</v>
      </c>
      <c r="AD460" t="s">
        <v>8</v>
      </c>
      <c r="AE460" t="s">
        <v>72</v>
      </c>
      <c r="AF460" t="s">
        <v>3775</v>
      </c>
    </row>
    <row r="461" spans="1:32">
      <c r="A461" t="s">
        <v>3776</v>
      </c>
      <c r="B461" t="s">
        <v>3777</v>
      </c>
      <c r="C461" t="s">
        <v>3778</v>
      </c>
      <c r="D461" t="s">
        <v>3779</v>
      </c>
      <c r="E461" t="s">
        <v>3771</v>
      </c>
      <c r="F461" t="s">
        <v>3772</v>
      </c>
      <c r="H461" t="s">
        <v>3773</v>
      </c>
      <c r="I461" t="s">
        <v>3773</v>
      </c>
      <c r="J461" t="s">
        <v>8</v>
      </c>
      <c r="K461" t="s">
        <v>3</v>
      </c>
      <c r="L461" t="s">
        <v>3</v>
      </c>
      <c r="M461" t="s">
        <v>122</v>
      </c>
      <c r="N461" t="s">
        <v>3</v>
      </c>
      <c r="O461" t="s">
        <v>3</v>
      </c>
      <c r="P461" t="s">
        <v>3</v>
      </c>
      <c r="Q461" t="s">
        <v>8</v>
      </c>
      <c r="R461" t="s">
        <v>122</v>
      </c>
      <c r="S461" t="s">
        <v>8</v>
      </c>
      <c r="T461" t="s">
        <v>3776</v>
      </c>
      <c r="U461" t="s">
        <v>3</v>
      </c>
      <c r="V461" t="s">
        <v>3</v>
      </c>
      <c r="W461" t="s">
        <v>652</v>
      </c>
      <c r="Z461" t="s">
        <v>1554</v>
      </c>
      <c r="AA461" t="s">
        <v>3</v>
      </c>
      <c r="AB461" t="s">
        <v>8</v>
      </c>
      <c r="AC461" t="s">
        <v>3</v>
      </c>
      <c r="AD461" t="s">
        <v>8</v>
      </c>
      <c r="AE461" t="s">
        <v>111</v>
      </c>
      <c r="AF461" t="s">
        <v>3780</v>
      </c>
    </row>
    <row r="462" spans="1:32">
      <c r="A462" t="s">
        <v>3781</v>
      </c>
      <c r="B462" t="s">
        <v>3782</v>
      </c>
      <c r="C462" t="s">
        <v>3783</v>
      </c>
      <c r="D462" t="s">
        <v>3782</v>
      </c>
      <c r="E462" t="s">
        <v>2267</v>
      </c>
      <c r="F462" t="s">
        <v>3784</v>
      </c>
      <c r="H462" t="s">
        <v>3785</v>
      </c>
      <c r="I462" t="s">
        <v>3786</v>
      </c>
      <c r="J462" t="s">
        <v>8</v>
      </c>
      <c r="K462" t="s">
        <v>3</v>
      </c>
      <c r="L462" t="s">
        <v>3</v>
      </c>
      <c r="M462" t="s">
        <v>122</v>
      </c>
      <c r="N462" t="s">
        <v>3</v>
      </c>
      <c r="O462" t="s">
        <v>3</v>
      </c>
      <c r="P462" t="s">
        <v>3</v>
      </c>
      <c r="Q462" t="s">
        <v>8</v>
      </c>
      <c r="R462" t="s">
        <v>122</v>
      </c>
      <c r="S462" t="s">
        <v>8</v>
      </c>
      <c r="T462" t="s">
        <v>3781</v>
      </c>
      <c r="U462" t="s">
        <v>3</v>
      </c>
      <c r="V462" t="s">
        <v>3</v>
      </c>
      <c r="W462" t="s">
        <v>2256</v>
      </c>
      <c r="AA462" t="s">
        <v>8</v>
      </c>
      <c r="AB462" t="s">
        <v>8</v>
      </c>
      <c r="AC462" t="s">
        <v>3</v>
      </c>
      <c r="AD462" t="s">
        <v>8</v>
      </c>
      <c r="AE462" t="s">
        <v>8</v>
      </c>
      <c r="AF462" t="s">
        <v>3787</v>
      </c>
    </row>
    <row r="463" spans="1:32">
      <c r="A463" t="s">
        <v>3788</v>
      </c>
      <c r="B463" t="s">
        <v>3789</v>
      </c>
      <c r="C463" t="s">
        <v>3790</v>
      </c>
      <c r="D463" t="s">
        <v>3789</v>
      </c>
      <c r="E463" t="s">
        <v>3791</v>
      </c>
      <c r="F463" t="s">
        <v>3792</v>
      </c>
      <c r="H463" t="s">
        <v>3793</v>
      </c>
      <c r="I463" t="s">
        <v>3794</v>
      </c>
      <c r="J463" t="s">
        <v>8</v>
      </c>
      <c r="K463" t="s">
        <v>3</v>
      </c>
      <c r="L463" t="s">
        <v>3</v>
      </c>
      <c r="M463" t="s">
        <v>122</v>
      </c>
      <c r="N463" t="s">
        <v>3</v>
      </c>
      <c r="O463" t="s">
        <v>3</v>
      </c>
      <c r="P463" t="s">
        <v>3</v>
      </c>
      <c r="Q463" t="s">
        <v>8</v>
      </c>
      <c r="R463" t="s">
        <v>122</v>
      </c>
      <c r="S463" t="s">
        <v>8</v>
      </c>
      <c r="T463" t="s">
        <v>3788</v>
      </c>
      <c r="U463" t="s">
        <v>3</v>
      </c>
      <c r="V463" t="s">
        <v>3</v>
      </c>
      <c r="W463" t="s">
        <v>950</v>
      </c>
      <c r="AA463" t="s">
        <v>8</v>
      </c>
      <c r="AB463" t="s">
        <v>8</v>
      </c>
      <c r="AC463" t="s">
        <v>3</v>
      </c>
      <c r="AD463" t="s">
        <v>8</v>
      </c>
      <c r="AE463" t="s">
        <v>67</v>
      </c>
      <c r="AF463" t="s">
        <v>3795</v>
      </c>
    </row>
    <row r="464" spans="1:32">
      <c r="A464" t="s">
        <v>3796</v>
      </c>
      <c r="B464" t="s">
        <v>3797</v>
      </c>
      <c r="C464" t="s">
        <v>3798</v>
      </c>
      <c r="D464" t="s">
        <v>3799</v>
      </c>
      <c r="E464" t="s">
        <v>3102</v>
      </c>
      <c r="F464" t="s">
        <v>3800</v>
      </c>
      <c r="H464" t="s">
        <v>3801</v>
      </c>
      <c r="I464" t="s">
        <v>3801</v>
      </c>
      <c r="J464" t="s">
        <v>8</v>
      </c>
      <c r="K464" t="s">
        <v>3</v>
      </c>
      <c r="L464" t="s">
        <v>3</v>
      </c>
      <c r="M464" t="s">
        <v>122</v>
      </c>
      <c r="N464" t="s">
        <v>3</v>
      </c>
      <c r="O464" t="s">
        <v>3</v>
      </c>
      <c r="P464" t="s">
        <v>3</v>
      </c>
      <c r="Q464" t="s">
        <v>8</v>
      </c>
      <c r="R464" t="s">
        <v>122</v>
      </c>
      <c r="S464" t="s">
        <v>8</v>
      </c>
      <c r="T464" t="s">
        <v>3796</v>
      </c>
      <c r="U464" t="s">
        <v>3</v>
      </c>
      <c r="V464" t="s">
        <v>3</v>
      </c>
      <c r="W464" t="s">
        <v>672</v>
      </c>
      <c r="AA464" t="s">
        <v>8</v>
      </c>
      <c r="AB464" t="s">
        <v>8</v>
      </c>
      <c r="AC464" t="s">
        <v>3</v>
      </c>
      <c r="AD464" t="s">
        <v>8</v>
      </c>
      <c r="AE464" t="s">
        <v>111</v>
      </c>
      <c r="AF464" t="s">
        <v>3802</v>
      </c>
    </row>
    <row r="465" spans="1:32">
      <c r="A465" t="s">
        <v>3803</v>
      </c>
      <c r="B465" t="s">
        <v>3804</v>
      </c>
      <c r="C465" t="s">
        <v>3805</v>
      </c>
      <c r="D465" t="s">
        <v>3804</v>
      </c>
      <c r="E465" t="s">
        <v>1347</v>
      </c>
      <c r="F465" t="s">
        <v>3806</v>
      </c>
      <c r="G465" t="s">
        <v>3807</v>
      </c>
      <c r="H465" t="s">
        <v>3808</v>
      </c>
      <c r="J465" t="s">
        <v>8</v>
      </c>
      <c r="K465" t="s">
        <v>3</v>
      </c>
      <c r="L465" t="s">
        <v>3</v>
      </c>
      <c r="M465" t="s">
        <v>122</v>
      </c>
      <c r="N465" t="s">
        <v>3</v>
      </c>
      <c r="O465" t="s">
        <v>3</v>
      </c>
      <c r="P465" t="s">
        <v>3</v>
      </c>
      <c r="Q465" t="s">
        <v>8</v>
      </c>
      <c r="R465" t="s">
        <v>122</v>
      </c>
      <c r="S465" t="s">
        <v>8</v>
      </c>
      <c r="T465" t="s">
        <v>3803</v>
      </c>
      <c r="U465" t="s">
        <v>3</v>
      </c>
      <c r="V465" t="s">
        <v>3</v>
      </c>
      <c r="W465" t="s">
        <v>3</v>
      </c>
      <c r="AA465" t="s">
        <v>8</v>
      </c>
      <c r="AB465" t="s">
        <v>8</v>
      </c>
      <c r="AC465" t="s">
        <v>3</v>
      </c>
      <c r="AD465" t="s">
        <v>8</v>
      </c>
      <c r="AE465" t="s">
        <v>111</v>
      </c>
      <c r="AF465" t="s">
        <v>3809</v>
      </c>
    </row>
    <row r="466" spans="1:32">
      <c r="A466" t="s">
        <v>3810</v>
      </c>
      <c r="B466" t="s">
        <v>3811</v>
      </c>
      <c r="C466" t="s">
        <v>3812</v>
      </c>
      <c r="D466" t="s">
        <v>3813</v>
      </c>
      <c r="E466" t="s">
        <v>3142</v>
      </c>
      <c r="F466" t="s">
        <v>3814</v>
      </c>
      <c r="G466" t="s">
        <v>3815</v>
      </c>
      <c r="H466" t="s">
        <v>3816</v>
      </c>
      <c r="I466" t="s">
        <v>3816</v>
      </c>
      <c r="J466" t="s">
        <v>8</v>
      </c>
      <c r="K466" t="s">
        <v>3</v>
      </c>
      <c r="L466" t="s">
        <v>3</v>
      </c>
      <c r="M466" t="s">
        <v>122</v>
      </c>
      <c r="N466" t="s">
        <v>3</v>
      </c>
      <c r="O466" t="s">
        <v>3</v>
      </c>
      <c r="P466" t="s">
        <v>3</v>
      </c>
      <c r="Q466" t="s">
        <v>8</v>
      </c>
      <c r="R466" t="s">
        <v>122</v>
      </c>
      <c r="S466" t="s">
        <v>8</v>
      </c>
      <c r="T466" t="s">
        <v>3810</v>
      </c>
      <c r="U466" t="s">
        <v>3</v>
      </c>
      <c r="V466" t="s">
        <v>3</v>
      </c>
      <c r="W466" t="s">
        <v>1821</v>
      </c>
      <c r="AA466" t="s">
        <v>8</v>
      </c>
      <c r="AB466" t="s">
        <v>8</v>
      </c>
      <c r="AC466" t="s">
        <v>3</v>
      </c>
      <c r="AD466" t="s">
        <v>8</v>
      </c>
      <c r="AE466" t="s">
        <v>111</v>
      </c>
      <c r="AF466" t="s">
        <v>3817</v>
      </c>
    </row>
    <row r="467" spans="1:32">
      <c r="A467" t="s">
        <v>3818</v>
      </c>
      <c r="B467" t="s">
        <v>3819</v>
      </c>
      <c r="C467" t="s">
        <v>3820</v>
      </c>
      <c r="D467" t="s">
        <v>3821</v>
      </c>
      <c r="E467" t="s">
        <v>3142</v>
      </c>
      <c r="F467" t="s">
        <v>3814</v>
      </c>
      <c r="G467" t="s">
        <v>3815</v>
      </c>
      <c r="H467" t="s">
        <v>3816</v>
      </c>
      <c r="I467" t="s">
        <v>3816</v>
      </c>
      <c r="J467" t="s">
        <v>8</v>
      </c>
      <c r="K467" t="s">
        <v>3</v>
      </c>
      <c r="L467" t="s">
        <v>3</v>
      </c>
      <c r="M467" t="s">
        <v>122</v>
      </c>
      <c r="N467" t="s">
        <v>3</v>
      </c>
      <c r="O467" t="s">
        <v>3</v>
      </c>
      <c r="P467" t="s">
        <v>3</v>
      </c>
      <c r="Q467" t="s">
        <v>8</v>
      </c>
      <c r="R467" t="s">
        <v>122</v>
      </c>
      <c r="S467" t="s">
        <v>8</v>
      </c>
      <c r="T467" t="s">
        <v>3818</v>
      </c>
      <c r="U467" t="s">
        <v>3</v>
      </c>
      <c r="V467" t="s">
        <v>3</v>
      </c>
      <c r="W467" t="s">
        <v>94</v>
      </c>
      <c r="AA467" t="s">
        <v>8</v>
      </c>
      <c r="AB467" t="s">
        <v>8</v>
      </c>
      <c r="AC467" t="s">
        <v>3</v>
      </c>
      <c r="AD467" t="s">
        <v>8</v>
      </c>
      <c r="AE467" t="s">
        <v>111</v>
      </c>
      <c r="AF467" t="s">
        <v>3822</v>
      </c>
    </row>
    <row r="468" spans="1:32">
      <c r="A468" t="s">
        <v>3823</v>
      </c>
      <c r="B468" t="s">
        <v>3824</v>
      </c>
      <c r="C468" t="s">
        <v>3825</v>
      </c>
      <c r="D468" t="s">
        <v>3826</v>
      </c>
      <c r="E468" t="s">
        <v>3142</v>
      </c>
      <c r="F468" t="s">
        <v>3827</v>
      </c>
      <c r="H468" t="s">
        <v>3828</v>
      </c>
      <c r="I468" t="s">
        <v>3829</v>
      </c>
      <c r="J468" t="s">
        <v>8</v>
      </c>
      <c r="K468" t="s">
        <v>3</v>
      </c>
      <c r="L468" t="s">
        <v>3</v>
      </c>
      <c r="M468" t="s">
        <v>122</v>
      </c>
      <c r="N468" t="s">
        <v>3</v>
      </c>
      <c r="O468" t="s">
        <v>3</v>
      </c>
      <c r="P468" t="s">
        <v>3</v>
      </c>
      <c r="Q468" t="s">
        <v>8</v>
      </c>
      <c r="R468" t="s">
        <v>122</v>
      </c>
      <c r="S468" t="s">
        <v>8</v>
      </c>
      <c r="T468" t="s">
        <v>3823</v>
      </c>
      <c r="U468" t="s">
        <v>3</v>
      </c>
      <c r="V468" t="s">
        <v>3</v>
      </c>
      <c r="W468" t="s">
        <v>3830</v>
      </c>
      <c r="AA468" t="s">
        <v>8</v>
      </c>
      <c r="AB468" t="s">
        <v>8</v>
      </c>
      <c r="AC468" t="s">
        <v>3</v>
      </c>
      <c r="AD468" t="s">
        <v>8</v>
      </c>
      <c r="AE468" t="s">
        <v>111</v>
      </c>
      <c r="AF468" t="s">
        <v>3831</v>
      </c>
    </row>
    <row r="469" spans="1:32">
      <c r="A469" t="s">
        <v>3832</v>
      </c>
      <c r="B469" t="s">
        <v>3824</v>
      </c>
      <c r="C469" t="s">
        <v>3825</v>
      </c>
      <c r="D469" t="s">
        <v>3826</v>
      </c>
      <c r="E469" t="s">
        <v>3142</v>
      </c>
      <c r="F469" t="s">
        <v>3827</v>
      </c>
      <c r="H469" t="s">
        <v>3816</v>
      </c>
      <c r="J469" t="s">
        <v>8</v>
      </c>
      <c r="K469" t="s">
        <v>3</v>
      </c>
      <c r="L469" t="s">
        <v>3</v>
      </c>
      <c r="M469" t="s">
        <v>122</v>
      </c>
      <c r="N469" t="s">
        <v>3</v>
      </c>
      <c r="O469" t="s">
        <v>3</v>
      </c>
      <c r="P469" t="s">
        <v>3</v>
      </c>
      <c r="Q469" t="s">
        <v>8</v>
      </c>
      <c r="R469" t="s">
        <v>122</v>
      </c>
      <c r="S469" t="s">
        <v>8</v>
      </c>
      <c r="T469" t="s">
        <v>3832</v>
      </c>
      <c r="U469" t="s">
        <v>3</v>
      </c>
      <c r="V469" t="s">
        <v>3</v>
      </c>
      <c r="W469" t="s">
        <v>94</v>
      </c>
      <c r="AA469" t="s">
        <v>8</v>
      </c>
      <c r="AB469" t="s">
        <v>8</v>
      </c>
      <c r="AC469" t="s">
        <v>8</v>
      </c>
      <c r="AD469" t="s">
        <v>8</v>
      </c>
      <c r="AE469" t="s">
        <v>72</v>
      </c>
      <c r="AF469" t="s">
        <v>3833</v>
      </c>
    </row>
    <row r="470" spans="1:32">
      <c r="A470" t="s">
        <v>3834</v>
      </c>
      <c r="B470" t="s">
        <v>3835</v>
      </c>
      <c r="C470" t="s">
        <v>3836</v>
      </c>
      <c r="D470" t="s">
        <v>3837</v>
      </c>
      <c r="E470" t="s">
        <v>3142</v>
      </c>
      <c r="F470" t="s">
        <v>3827</v>
      </c>
      <c r="H470" t="s">
        <v>3816</v>
      </c>
      <c r="J470" t="s">
        <v>8</v>
      </c>
      <c r="K470" t="s">
        <v>3</v>
      </c>
      <c r="L470" t="s">
        <v>3</v>
      </c>
      <c r="M470" t="s">
        <v>122</v>
      </c>
      <c r="N470" t="s">
        <v>3</v>
      </c>
      <c r="O470" t="s">
        <v>3</v>
      </c>
      <c r="P470" t="s">
        <v>3</v>
      </c>
      <c r="Q470" t="s">
        <v>8</v>
      </c>
      <c r="R470" t="s">
        <v>122</v>
      </c>
      <c r="S470" t="s">
        <v>8</v>
      </c>
      <c r="T470" t="s">
        <v>3834</v>
      </c>
      <c r="U470" t="s">
        <v>3</v>
      </c>
      <c r="V470" t="s">
        <v>3</v>
      </c>
      <c r="W470" t="s">
        <v>1821</v>
      </c>
      <c r="AA470" t="s">
        <v>8</v>
      </c>
      <c r="AB470" t="s">
        <v>8</v>
      </c>
      <c r="AC470" t="s">
        <v>3</v>
      </c>
      <c r="AD470" t="s">
        <v>8</v>
      </c>
      <c r="AE470" t="s">
        <v>130</v>
      </c>
      <c r="AF470" t="s">
        <v>3838</v>
      </c>
    </row>
    <row r="471" spans="1:32">
      <c r="A471" t="s">
        <v>3839</v>
      </c>
      <c r="B471" t="s">
        <v>3840</v>
      </c>
      <c r="C471" t="s">
        <v>3841</v>
      </c>
      <c r="D471" t="s">
        <v>3842</v>
      </c>
      <c r="J471" t="s">
        <v>8</v>
      </c>
      <c r="K471" t="s">
        <v>3</v>
      </c>
      <c r="L471" t="s">
        <v>3</v>
      </c>
      <c r="M471" t="s">
        <v>122</v>
      </c>
      <c r="N471" t="s">
        <v>3</v>
      </c>
      <c r="O471" t="s">
        <v>3</v>
      </c>
      <c r="P471" t="s">
        <v>3</v>
      </c>
      <c r="Q471" t="s">
        <v>8</v>
      </c>
      <c r="R471" t="s">
        <v>122</v>
      </c>
      <c r="S471" t="s">
        <v>8</v>
      </c>
      <c r="T471" t="s">
        <v>3839</v>
      </c>
      <c r="U471" t="s">
        <v>3</v>
      </c>
      <c r="V471" t="s">
        <v>3</v>
      </c>
      <c r="W471" t="s">
        <v>94</v>
      </c>
      <c r="AA471" t="s">
        <v>8</v>
      </c>
      <c r="AB471" t="s">
        <v>8</v>
      </c>
      <c r="AC471" t="s">
        <v>3</v>
      </c>
      <c r="AD471" t="s">
        <v>8</v>
      </c>
      <c r="AE471" t="s">
        <v>111</v>
      </c>
      <c r="AF471" t="s">
        <v>3843</v>
      </c>
    </row>
    <row r="472" spans="1:32">
      <c r="A472" t="s">
        <v>3844</v>
      </c>
      <c r="B472" t="s">
        <v>3845</v>
      </c>
      <c r="C472" t="s">
        <v>3846</v>
      </c>
      <c r="D472" t="s">
        <v>3847</v>
      </c>
      <c r="E472" t="s">
        <v>3848</v>
      </c>
      <c r="F472" t="s">
        <v>3849</v>
      </c>
      <c r="H472" t="s">
        <v>3850</v>
      </c>
      <c r="J472" t="s">
        <v>8</v>
      </c>
      <c r="K472" t="s">
        <v>3</v>
      </c>
      <c r="L472" t="s">
        <v>3</v>
      </c>
      <c r="M472" t="s">
        <v>122</v>
      </c>
      <c r="N472" t="s">
        <v>3</v>
      </c>
      <c r="O472" t="s">
        <v>3</v>
      </c>
      <c r="P472" t="s">
        <v>3</v>
      </c>
      <c r="Q472" t="s">
        <v>8</v>
      </c>
      <c r="R472" t="s">
        <v>122</v>
      </c>
      <c r="S472" t="s">
        <v>8</v>
      </c>
      <c r="T472" t="s">
        <v>3844</v>
      </c>
      <c r="U472" t="s">
        <v>3</v>
      </c>
      <c r="V472" t="s">
        <v>3</v>
      </c>
      <c r="W472" t="s">
        <v>2797</v>
      </c>
      <c r="AA472" t="s">
        <v>8</v>
      </c>
      <c r="AB472" t="s">
        <v>8</v>
      </c>
      <c r="AC472" t="s">
        <v>3</v>
      </c>
      <c r="AD472" t="s">
        <v>8</v>
      </c>
      <c r="AE472" t="s">
        <v>111</v>
      </c>
      <c r="AF472" t="s">
        <v>3851</v>
      </c>
    </row>
    <row r="473" spans="1:32">
      <c r="A473" t="s">
        <v>3852</v>
      </c>
      <c r="B473" t="s">
        <v>3845</v>
      </c>
      <c r="C473" t="s">
        <v>3846</v>
      </c>
      <c r="D473" t="s">
        <v>3847</v>
      </c>
      <c r="E473" t="s">
        <v>3848</v>
      </c>
      <c r="F473" t="s">
        <v>3849</v>
      </c>
      <c r="H473" t="s">
        <v>3850</v>
      </c>
      <c r="J473" t="s">
        <v>8</v>
      </c>
      <c r="K473" t="s">
        <v>3</v>
      </c>
      <c r="L473" t="s">
        <v>3</v>
      </c>
      <c r="M473" t="s">
        <v>122</v>
      </c>
      <c r="N473" t="s">
        <v>3</v>
      </c>
      <c r="O473" t="s">
        <v>3</v>
      </c>
      <c r="P473" t="s">
        <v>3</v>
      </c>
      <c r="Q473" t="s">
        <v>8</v>
      </c>
      <c r="R473" t="s">
        <v>122</v>
      </c>
      <c r="S473" t="s">
        <v>8</v>
      </c>
      <c r="T473" t="s">
        <v>3852</v>
      </c>
      <c r="U473" t="s">
        <v>3</v>
      </c>
      <c r="V473" t="s">
        <v>3</v>
      </c>
      <c r="W473" t="s">
        <v>2797</v>
      </c>
      <c r="AA473" t="s">
        <v>8</v>
      </c>
      <c r="AB473" t="s">
        <v>8</v>
      </c>
      <c r="AC473" t="s">
        <v>3</v>
      </c>
      <c r="AD473" t="s">
        <v>8</v>
      </c>
      <c r="AE473" t="s">
        <v>99</v>
      </c>
      <c r="AF473" t="s">
        <v>3853</v>
      </c>
    </row>
    <row r="474" spans="1:32">
      <c r="A474" t="s">
        <v>3854</v>
      </c>
      <c r="B474" t="s">
        <v>3855</v>
      </c>
      <c r="C474" t="s">
        <v>3856</v>
      </c>
      <c r="D474" t="s">
        <v>3847</v>
      </c>
      <c r="E474" t="s">
        <v>3848</v>
      </c>
      <c r="F474" t="s">
        <v>3849</v>
      </c>
      <c r="H474" t="s">
        <v>3850</v>
      </c>
      <c r="J474" t="s">
        <v>8</v>
      </c>
      <c r="K474" t="s">
        <v>3</v>
      </c>
      <c r="L474" t="s">
        <v>3</v>
      </c>
      <c r="M474" t="s">
        <v>122</v>
      </c>
      <c r="N474" t="s">
        <v>3</v>
      </c>
      <c r="O474" t="s">
        <v>3</v>
      </c>
      <c r="P474" t="s">
        <v>3</v>
      </c>
      <c r="Q474" t="s">
        <v>8</v>
      </c>
      <c r="R474" t="s">
        <v>122</v>
      </c>
      <c r="S474" t="s">
        <v>8</v>
      </c>
      <c r="T474" t="s">
        <v>3854</v>
      </c>
      <c r="U474" t="s">
        <v>3</v>
      </c>
      <c r="V474" t="s">
        <v>3</v>
      </c>
      <c r="W474" t="s">
        <v>2797</v>
      </c>
      <c r="AA474" t="s">
        <v>8</v>
      </c>
      <c r="AB474" t="s">
        <v>8</v>
      </c>
      <c r="AC474" t="s">
        <v>3</v>
      </c>
      <c r="AD474" t="s">
        <v>8</v>
      </c>
      <c r="AE474" t="s">
        <v>72</v>
      </c>
      <c r="AF474" t="s">
        <v>3857</v>
      </c>
    </row>
    <row r="475" spans="1:32">
      <c r="A475" t="s">
        <v>3858</v>
      </c>
      <c r="B475" t="s">
        <v>3859</v>
      </c>
      <c r="C475" t="s">
        <v>3860</v>
      </c>
      <c r="D475" t="s">
        <v>3859</v>
      </c>
      <c r="J475" t="s">
        <v>8</v>
      </c>
      <c r="K475" t="s">
        <v>3</v>
      </c>
      <c r="L475" t="s">
        <v>3</v>
      </c>
      <c r="M475" t="s">
        <v>122</v>
      </c>
      <c r="N475" t="s">
        <v>3</v>
      </c>
      <c r="O475" t="s">
        <v>3</v>
      </c>
      <c r="P475" t="s">
        <v>3</v>
      </c>
      <c r="Q475" t="s">
        <v>8</v>
      </c>
      <c r="R475" t="s">
        <v>122</v>
      </c>
      <c r="S475" t="s">
        <v>8</v>
      </c>
      <c r="T475" t="s">
        <v>3858</v>
      </c>
      <c r="U475" t="s">
        <v>3</v>
      </c>
      <c r="V475" t="s">
        <v>3</v>
      </c>
      <c r="W475" t="s">
        <v>3</v>
      </c>
      <c r="Z475" t="s">
        <v>1554</v>
      </c>
      <c r="AA475" t="s">
        <v>8</v>
      </c>
      <c r="AB475" t="s">
        <v>8</v>
      </c>
      <c r="AC475" t="s">
        <v>3</v>
      </c>
      <c r="AD475" t="s">
        <v>8</v>
      </c>
      <c r="AE475" t="s">
        <v>111</v>
      </c>
      <c r="AF475" t="s">
        <v>3861</v>
      </c>
    </row>
    <row r="476" spans="1:32">
      <c r="A476" t="s">
        <v>3862</v>
      </c>
      <c r="B476" t="s">
        <v>3863</v>
      </c>
      <c r="C476" t="s">
        <v>3864</v>
      </c>
      <c r="D476" t="s">
        <v>3865</v>
      </c>
      <c r="E476" t="s">
        <v>1954</v>
      </c>
      <c r="F476" t="s">
        <v>3866</v>
      </c>
      <c r="H476" t="s">
        <v>3867</v>
      </c>
      <c r="I476" t="s">
        <v>3868</v>
      </c>
      <c r="J476" t="s">
        <v>8</v>
      </c>
      <c r="K476" t="s">
        <v>3</v>
      </c>
      <c r="L476" t="s">
        <v>3</v>
      </c>
      <c r="M476" t="s">
        <v>122</v>
      </c>
      <c r="N476" t="s">
        <v>3</v>
      </c>
      <c r="O476" t="s">
        <v>3</v>
      </c>
      <c r="P476" t="s">
        <v>3</v>
      </c>
      <c r="Q476" t="s">
        <v>8</v>
      </c>
      <c r="R476" t="s">
        <v>122</v>
      </c>
      <c r="S476" t="s">
        <v>8</v>
      </c>
      <c r="T476" t="s">
        <v>3862</v>
      </c>
      <c r="U476" t="s">
        <v>3</v>
      </c>
      <c r="V476" t="s">
        <v>3</v>
      </c>
      <c r="W476" t="s">
        <v>796</v>
      </c>
      <c r="AA476" t="s">
        <v>8</v>
      </c>
      <c r="AB476" t="s">
        <v>8</v>
      </c>
      <c r="AC476" t="s">
        <v>3</v>
      </c>
      <c r="AD476" t="s">
        <v>8</v>
      </c>
      <c r="AE476" t="s">
        <v>111</v>
      </c>
      <c r="AF476" t="s">
        <v>3869</v>
      </c>
    </row>
    <row r="477" spans="1:32">
      <c r="A477" t="s">
        <v>3870</v>
      </c>
      <c r="B477" t="s">
        <v>3871</v>
      </c>
      <c r="C477" t="s">
        <v>3872</v>
      </c>
      <c r="D477" t="s">
        <v>3873</v>
      </c>
      <c r="E477" t="s">
        <v>3874</v>
      </c>
      <c r="F477" t="s">
        <v>3875</v>
      </c>
      <c r="H477" t="s">
        <v>3876</v>
      </c>
      <c r="J477" t="s">
        <v>8</v>
      </c>
      <c r="K477" t="s">
        <v>3</v>
      </c>
      <c r="L477" t="s">
        <v>3</v>
      </c>
      <c r="M477" t="s">
        <v>122</v>
      </c>
      <c r="N477" t="s">
        <v>3</v>
      </c>
      <c r="O477" t="s">
        <v>3</v>
      </c>
      <c r="P477" t="s">
        <v>3</v>
      </c>
      <c r="Q477" t="s">
        <v>8</v>
      </c>
      <c r="R477" t="s">
        <v>122</v>
      </c>
      <c r="S477" t="s">
        <v>8</v>
      </c>
      <c r="T477" t="s">
        <v>3870</v>
      </c>
      <c r="U477" t="s">
        <v>3</v>
      </c>
      <c r="V477" t="s">
        <v>3</v>
      </c>
      <c r="W477" t="s">
        <v>589</v>
      </c>
      <c r="AA477" t="s">
        <v>8</v>
      </c>
      <c r="AB477" t="s">
        <v>8</v>
      </c>
      <c r="AC477" t="s">
        <v>3</v>
      </c>
      <c r="AD477" t="s">
        <v>8</v>
      </c>
      <c r="AE477" t="s">
        <v>116</v>
      </c>
      <c r="AF477" t="s">
        <v>3877</v>
      </c>
    </row>
    <row r="478" spans="1:32">
      <c r="A478" t="s">
        <v>3878</v>
      </c>
      <c r="B478" t="s">
        <v>3879</v>
      </c>
      <c r="C478" t="s">
        <v>3880</v>
      </c>
      <c r="D478" t="s">
        <v>3879</v>
      </c>
      <c r="E478" t="s">
        <v>3739</v>
      </c>
      <c r="F478" t="s">
        <v>3881</v>
      </c>
      <c r="H478" t="s">
        <v>3882</v>
      </c>
      <c r="J478" t="s">
        <v>8</v>
      </c>
      <c r="K478" t="s">
        <v>3</v>
      </c>
      <c r="L478" t="s">
        <v>3</v>
      </c>
      <c r="M478" t="s">
        <v>122</v>
      </c>
      <c r="N478" t="s">
        <v>3</v>
      </c>
      <c r="O478" t="s">
        <v>3</v>
      </c>
      <c r="P478" t="s">
        <v>3</v>
      </c>
      <c r="Q478" t="s">
        <v>8</v>
      </c>
      <c r="R478" t="s">
        <v>122</v>
      </c>
      <c r="S478" t="s">
        <v>8</v>
      </c>
      <c r="T478" t="s">
        <v>3878</v>
      </c>
      <c r="U478" t="s">
        <v>3</v>
      </c>
      <c r="V478" t="s">
        <v>3</v>
      </c>
      <c r="W478" t="s">
        <v>767</v>
      </c>
      <c r="AA478" t="s">
        <v>8</v>
      </c>
      <c r="AB478" t="s">
        <v>8</v>
      </c>
      <c r="AC478" t="s">
        <v>3</v>
      </c>
      <c r="AD478" t="s">
        <v>8</v>
      </c>
      <c r="AE478" t="s">
        <v>111</v>
      </c>
      <c r="AF478" t="s">
        <v>3883</v>
      </c>
    </row>
    <row r="479" spans="1:32">
      <c r="A479" t="s">
        <v>85</v>
      </c>
      <c r="B479" t="s">
        <v>17</v>
      </c>
      <c r="C479" t="s">
        <v>3884</v>
      </c>
      <c r="D479" t="s">
        <v>17</v>
      </c>
      <c r="E479" t="s">
        <v>3102</v>
      </c>
      <c r="F479" t="s">
        <v>3885</v>
      </c>
      <c r="G479" t="s">
        <v>3886</v>
      </c>
      <c r="H479" t="s">
        <v>3887</v>
      </c>
      <c r="J479" t="s">
        <v>8</v>
      </c>
      <c r="K479" t="s">
        <v>3</v>
      </c>
      <c r="L479" t="s">
        <v>3</v>
      </c>
      <c r="M479" t="s">
        <v>122</v>
      </c>
      <c r="N479" t="s">
        <v>3</v>
      </c>
      <c r="O479" t="s">
        <v>3</v>
      </c>
      <c r="P479" t="s">
        <v>3</v>
      </c>
      <c r="Q479" t="s">
        <v>8</v>
      </c>
      <c r="R479" t="s">
        <v>122</v>
      </c>
      <c r="S479" t="s">
        <v>8</v>
      </c>
      <c r="T479" t="s">
        <v>85</v>
      </c>
      <c r="U479" t="s">
        <v>3</v>
      </c>
      <c r="V479" t="s">
        <v>3</v>
      </c>
      <c r="W479" t="s">
        <v>401</v>
      </c>
      <c r="AA479" t="s">
        <v>8</v>
      </c>
      <c r="AB479" t="s">
        <v>8</v>
      </c>
      <c r="AC479" t="s">
        <v>3</v>
      </c>
      <c r="AD479" t="s">
        <v>8</v>
      </c>
      <c r="AE479" t="s">
        <v>111</v>
      </c>
      <c r="AF479" t="s">
        <v>3888</v>
      </c>
    </row>
    <row r="480" spans="1:32">
      <c r="A480" t="s">
        <v>3889</v>
      </c>
      <c r="B480" t="s">
        <v>3890</v>
      </c>
      <c r="C480" t="s">
        <v>3891</v>
      </c>
      <c r="D480" t="s">
        <v>3890</v>
      </c>
      <c r="E480" t="s">
        <v>3102</v>
      </c>
      <c r="F480" t="s">
        <v>3885</v>
      </c>
      <c r="G480" t="s">
        <v>3886</v>
      </c>
      <c r="H480" t="s">
        <v>3887</v>
      </c>
      <c r="J480" t="s">
        <v>8</v>
      </c>
      <c r="K480" t="s">
        <v>3</v>
      </c>
      <c r="L480" t="s">
        <v>3</v>
      </c>
      <c r="M480" t="s">
        <v>122</v>
      </c>
      <c r="N480" t="s">
        <v>3</v>
      </c>
      <c r="O480" t="s">
        <v>3</v>
      </c>
      <c r="P480" t="s">
        <v>3</v>
      </c>
      <c r="Q480" t="s">
        <v>8</v>
      </c>
      <c r="R480" t="s">
        <v>122</v>
      </c>
      <c r="S480" t="s">
        <v>8</v>
      </c>
      <c r="T480" t="s">
        <v>3889</v>
      </c>
      <c r="U480" t="s">
        <v>3</v>
      </c>
      <c r="V480" t="s">
        <v>3</v>
      </c>
      <c r="W480" t="s">
        <v>401</v>
      </c>
      <c r="AA480" t="s">
        <v>8</v>
      </c>
      <c r="AB480" t="s">
        <v>8</v>
      </c>
      <c r="AC480" t="s">
        <v>3</v>
      </c>
      <c r="AD480" t="s">
        <v>8</v>
      </c>
      <c r="AE480" t="s">
        <v>111</v>
      </c>
      <c r="AF480" t="s">
        <v>3892</v>
      </c>
    </row>
    <row r="481" spans="1:32">
      <c r="A481" t="s">
        <v>3893</v>
      </c>
      <c r="B481" t="s">
        <v>3894</v>
      </c>
      <c r="C481" t="s">
        <v>3895</v>
      </c>
      <c r="D481" t="s">
        <v>3896</v>
      </c>
      <c r="E481" t="s">
        <v>3897</v>
      </c>
      <c r="F481" t="s">
        <v>3898</v>
      </c>
      <c r="G481" t="s">
        <v>3899</v>
      </c>
      <c r="H481" t="s">
        <v>3900</v>
      </c>
      <c r="I481" t="s">
        <v>3901</v>
      </c>
      <c r="J481" t="s">
        <v>8</v>
      </c>
      <c r="K481" t="s">
        <v>3</v>
      </c>
      <c r="L481" t="s">
        <v>3</v>
      </c>
      <c r="M481" t="s">
        <v>122</v>
      </c>
      <c r="N481" t="s">
        <v>3</v>
      </c>
      <c r="O481" t="s">
        <v>3</v>
      </c>
      <c r="P481" t="s">
        <v>3</v>
      </c>
      <c r="Q481" t="s">
        <v>8</v>
      </c>
      <c r="R481" t="s">
        <v>122</v>
      </c>
      <c r="S481" t="s">
        <v>8</v>
      </c>
      <c r="T481" t="s">
        <v>3893</v>
      </c>
      <c r="U481" t="s">
        <v>3</v>
      </c>
      <c r="V481" t="s">
        <v>3</v>
      </c>
      <c r="W481" t="s">
        <v>3</v>
      </c>
      <c r="Z481" t="s">
        <v>1554</v>
      </c>
      <c r="AA481" t="s">
        <v>8</v>
      </c>
      <c r="AB481" t="s">
        <v>8</v>
      </c>
      <c r="AC481" t="s">
        <v>3</v>
      </c>
      <c r="AD481" t="s">
        <v>8</v>
      </c>
      <c r="AE481" t="s">
        <v>72</v>
      </c>
      <c r="AF481" t="s">
        <v>3902</v>
      </c>
    </row>
    <row r="482" spans="1:32">
      <c r="A482" t="s">
        <v>3903</v>
      </c>
      <c r="B482" t="s">
        <v>3904</v>
      </c>
      <c r="C482" t="s">
        <v>3905</v>
      </c>
      <c r="D482" t="s">
        <v>3904</v>
      </c>
      <c r="E482" t="s">
        <v>3906</v>
      </c>
      <c r="F482" t="s">
        <v>3907</v>
      </c>
      <c r="H482" t="s">
        <v>3908</v>
      </c>
      <c r="I482" t="s">
        <v>3908</v>
      </c>
      <c r="J482" t="s">
        <v>8</v>
      </c>
      <c r="K482" t="s">
        <v>3</v>
      </c>
      <c r="L482" t="s">
        <v>3</v>
      </c>
      <c r="M482" t="s">
        <v>122</v>
      </c>
      <c r="N482" t="s">
        <v>3</v>
      </c>
      <c r="O482" t="s">
        <v>3</v>
      </c>
      <c r="P482" t="s">
        <v>3</v>
      </c>
      <c r="Q482" t="s">
        <v>8</v>
      </c>
      <c r="R482" t="s">
        <v>122</v>
      </c>
      <c r="S482" t="s">
        <v>8</v>
      </c>
      <c r="T482" t="s">
        <v>3903</v>
      </c>
      <c r="U482" t="s">
        <v>3</v>
      </c>
      <c r="V482" t="s">
        <v>3</v>
      </c>
      <c r="W482" t="s">
        <v>53</v>
      </c>
      <c r="AA482" t="s">
        <v>8</v>
      </c>
      <c r="AB482" t="s">
        <v>8</v>
      </c>
      <c r="AC482" t="s">
        <v>3</v>
      </c>
      <c r="AD482" t="s">
        <v>8</v>
      </c>
      <c r="AE482" t="s">
        <v>111</v>
      </c>
      <c r="AF482" t="s">
        <v>3909</v>
      </c>
    </row>
    <row r="483" spans="1:32">
      <c r="A483" t="s">
        <v>3910</v>
      </c>
      <c r="B483" t="s">
        <v>3911</v>
      </c>
      <c r="C483" t="s">
        <v>3912</v>
      </c>
      <c r="D483" t="s">
        <v>3913</v>
      </c>
      <c r="E483" t="s">
        <v>3914</v>
      </c>
      <c r="G483" t="s">
        <v>3915</v>
      </c>
      <c r="H483" t="s">
        <v>3916</v>
      </c>
      <c r="I483" t="s">
        <v>3917</v>
      </c>
      <c r="J483" t="s">
        <v>8</v>
      </c>
      <c r="K483" t="s">
        <v>3</v>
      </c>
      <c r="L483" t="s">
        <v>3</v>
      </c>
      <c r="M483" t="s">
        <v>122</v>
      </c>
      <c r="N483" t="s">
        <v>3</v>
      </c>
      <c r="O483" t="s">
        <v>3</v>
      </c>
      <c r="P483" t="s">
        <v>3</v>
      </c>
      <c r="Q483" t="s">
        <v>8</v>
      </c>
      <c r="R483" t="s">
        <v>122</v>
      </c>
      <c r="S483" t="s">
        <v>8</v>
      </c>
      <c r="T483" t="s">
        <v>3910</v>
      </c>
      <c r="U483" t="s">
        <v>3</v>
      </c>
      <c r="V483" t="s">
        <v>3</v>
      </c>
      <c r="W483" t="s">
        <v>1821</v>
      </c>
      <c r="AA483" t="s">
        <v>8</v>
      </c>
      <c r="AB483" t="s">
        <v>3</v>
      </c>
      <c r="AC483" t="s">
        <v>3</v>
      </c>
      <c r="AD483" t="s">
        <v>8</v>
      </c>
      <c r="AE483" t="s">
        <v>111</v>
      </c>
      <c r="AF483" t="s">
        <v>3918</v>
      </c>
    </row>
    <row r="484" spans="1:32">
      <c r="A484" t="s">
        <v>3919</v>
      </c>
      <c r="B484" t="s">
        <v>3920</v>
      </c>
      <c r="C484" t="s">
        <v>3921</v>
      </c>
      <c r="D484" t="s">
        <v>3922</v>
      </c>
      <c r="E484" t="s">
        <v>3914</v>
      </c>
      <c r="G484" t="s">
        <v>3915</v>
      </c>
      <c r="H484" t="s">
        <v>3916</v>
      </c>
      <c r="I484" t="s">
        <v>3917</v>
      </c>
      <c r="J484" t="s">
        <v>8</v>
      </c>
      <c r="K484" t="s">
        <v>3</v>
      </c>
      <c r="L484" t="s">
        <v>3</v>
      </c>
      <c r="M484" t="s">
        <v>122</v>
      </c>
      <c r="N484" t="s">
        <v>3</v>
      </c>
      <c r="O484" t="s">
        <v>3</v>
      </c>
      <c r="P484" t="s">
        <v>3</v>
      </c>
      <c r="Q484" t="s">
        <v>8</v>
      </c>
      <c r="R484" t="s">
        <v>122</v>
      </c>
      <c r="S484" t="s">
        <v>8</v>
      </c>
      <c r="T484" t="s">
        <v>3919</v>
      </c>
      <c r="U484" t="s">
        <v>3</v>
      </c>
      <c r="V484" t="s">
        <v>3</v>
      </c>
      <c r="W484" t="s">
        <v>1821</v>
      </c>
      <c r="AA484" t="s">
        <v>8</v>
      </c>
      <c r="AB484" t="s">
        <v>3</v>
      </c>
      <c r="AC484" t="s">
        <v>3</v>
      </c>
      <c r="AD484" t="s">
        <v>8</v>
      </c>
      <c r="AE484" t="s">
        <v>111</v>
      </c>
      <c r="AF484" t="s">
        <v>3923</v>
      </c>
    </row>
    <row r="485" spans="1:32">
      <c r="A485" t="s">
        <v>3924</v>
      </c>
      <c r="B485" t="s">
        <v>3925</v>
      </c>
      <c r="C485" t="s">
        <v>3926</v>
      </c>
      <c r="D485" t="s">
        <v>3925</v>
      </c>
      <c r="E485" t="s">
        <v>3927</v>
      </c>
      <c r="F485" t="s">
        <v>3928</v>
      </c>
      <c r="H485" t="s">
        <v>3929</v>
      </c>
      <c r="J485" t="s">
        <v>8</v>
      </c>
      <c r="K485" t="s">
        <v>3</v>
      </c>
      <c r="L485" t="s">
        <v>3</v>
      </c>
      <c r="M485" t="s">
        <v>122</v>
      </c>
      <c r="N485" t="s">
        <v>3</v>
      </c>
      <c r="O485" t="s">
        <v>3</v>
      </c>
      <c r="P485" t="s">
        <v>3</v>
      </c>
      <c r="Q485" t="s">
        <v>8</v>
      </c>
      <c r="R485" t="s">
        <v>122</v>
      </c>
      <c r="S485" t="s">
        <v>8</v>
      </c>
      <c r="T485" t="s">
        <v>3924</v>
      </c>
      <c r="U485" t="s">
        <v>3</v>
      </c>
      <c r="V485" t="s">
        <v>3</v>
      </c>
      <c r="W485" t="s">
        <v>401</v>
      </c>
      <c r="AA485" t="s">
        <v>3</v>
      </c>
      <c r="AB485" t="s">
        <v>3</v>
      </c>
      <c r="AC485" t="s">
        <v>3</v>
      </c>
      <c r="AD485" t="s">
        <v>8</v>
      </c>
      <c r="AE485" t="s">
        <v>72</v>
      </c>
      <c r="AF485" t="s">
        <v>3930</v>
      </c>
    </row>
    <row r="486" spans="1:32">
      <c r="A486" t="s">
        <v>121</v>
      </c>
      <c r="B486" t="s">
        <v>3931</v>
      </c>
      <c r="C486" t="s">
        <v>3932</v>
      </c>
      <c r="D486" t="s">
        <v>27</v>
      </c>
      <c r="E486" t="s">
        <v>3933</v>
      </c>
      <c r="F486" t="s">
        <v>3934</v>
      </c>
      <c r="H486" t="s">
        <v>3935</v>
      </c>
      <c r="I486" t="s">
        <v>3936</v>
      </c>
      <c r="J486" t="s">
        <v>8</v>
      </c>
      <c r="K486" t="s">
        <v>3</v>
      </c>
      <c r="L486" t="s">
        <v>3</v>
      </c>
      <c r="M486" t="s">
        <v>122</v>
      </c>
      <c r="N486" t="s">
        <v>3</v>
      </c>
      <c r="O486" t="s">
        <v>3</v>
      </c>
      <c r="P486" t="s">
        <v>3</v>
      </c>
      <c r="Q486" t="s">
        <v>8</v>
      </c>
      <c r="R486" t="s">
        <v>122</v>
      </c>
      <c r="S486" t="s">
        <v>8</v>
      </c>
      <c r="T486" t="s">
        <v>121</v>
      </c>
      <c r="U486" t="s">
        <v>3</v>
      </c>
      <c r="V486" t="s">
        <v>3</v>
      </c>
      <c r="W486" t="s">
        <v>769</v>
      </c>
      <c r="AA486" t="s">
        <v>8</v>
      </c>
      <c r="AB486" t="s">
        <v>8</v>
      </c>
      <c r="AC486" t="s">
        <v>3</v>
      </c>
      <c r="AD486" t="s">
        <v>8</v>
      </c>
      <c r="AE486" t="s">
        <v>72</v>
      </c>
      <c r="AF486" t="s">
        <v>3937</v>
      </c>
    </row>
    <row r="487" spans="1:32">
      <c r="A487" t="s">
        <v>3938</v>
      </c>
      <c r="B487" t="s">
        <v>3939</v>
      </c>
      <c r="C487" t="s">
        <v>3940</v>
      </c>
      <c r="D487" t="s">
        <v>3941</v>
      </c>
      <c r="E487" t="s">
        <v>3942</v>
      </c>
      <c r="F487" t="s">
        <v>3943</v>
      </c>
      <c r="H487" t="s">
        <v>3944</v>
      </c>
      <c r="J487" t="s">
        <v>8</v>
      </c>
      <c r="K487" t="s">
        <v>3</v>
      </c>
      <c r="L487" t="s">
        <v>3</v>
      </c>
      <c r="M487" t="s">
        <v>122</v>
      </c>
      <c r="N487" t="s">
        <v>3</v>
      </c>
      <c r="O487" t="s">
        <v>3</v>
      </c>
      <c r="P487" t="s">
        <v>3</v>
      </c>
      <c r="Q487" t="s">
        <v>8</v>
      </c>
      <c r="R487" t="s">
        <v>122</v>
      </c>
      <c r="S487" t="s">
        <v>8</v>
      </c>
      <c r="T487" t="s">
        <v>3938</v>
      </c>
      <c r="U487" t="s">
        <v>3</v>
      </c>
      <c r="V487" t="s">
        <v>3</v>
      </c>
      <c r="W487" t="s">
        <v>8</v>
      </c>
      <c r="AA487" t="s">
        <v>8</v>
      </c>
      <c r="AB487" t="s">
        <v>3</v>
      </c>
      <c r="AC487" t="s">
        <v>3</v>
      </c>
      <c r="AD487" t="s">
        <v>8</v>
      </c>
      <c r="AE487" t="s">
        <v>111</v>
      </c>
      <c r="AF487" t="s">
        <v>3945</v>
      </c>
    </row>
    <row r="488" spans="1:32">
      <c r="A488" t="s">
        <v>3946</v>
      </c>
      <c r="B488" t="s">
        <v>3947</v>
      </c>
      <c r="C488" t="s">
        <v>3948</v>
      </c>
      <c r="D488" t="s">
        <v>3947</v>
      </c>
      <c r="E488" t="s">
        <v>3949</v>
      </c>
      <c r="F488" t="s">
        <v>3950</v>
      </c>
      <c r="H488" t="s">
        <v>3951</v>
      </c>
      <c r="J488" t="s">
        <v>8</v>
      </c>
      <c r="K488" t="s">
        <v>3</v>
      </c>
      <c r="L488" t="s">
        <v>3</v>
      </c>
      <c r="M488" t="s">
        <v>122</v>
      </c>
      <c r="N488" t="s">
        <v>3</v>
      </c>
      <c r="O488" t="s">
        <v>3</v>
      </c>
      <c r="P488" t="s">
        <v>3</v>
      </c>
      <c r="Q488" t="s">
        <v>8</v>
      </c>
      <c r="R488" t="s">
        <v>122</v>
      </c>
      <c r="S488" t="s">
        <v>8</v>
      </c>
      <c r="T488" t="s">
        <v>3946</v>
      </c>
      <c r="U488" t="s">
        <v>3</v>
      </c>
      <c r="V488" t="s">
        <v>3</v>
      </c>
      <c r="W488" t="s">
        <v>8</v>
      </c>
      <c r="AA488" t="s">
        <v>8</v>
      </c>
      <c r="AB488" t="s">
        <v>3</v>
      </c>
      <c r="AC488" t="s">
        <v>3</v>
      </c>
      <c r="AD488" t="s">
        <v>8</v>
      </c>
      <c r="AE488" t="s">
        <v>111</v>
      </c>
      <c r="AF488" t="s">
        <v>3952</v>
      </c>
    </row>
    <row r="489" spans="1:32">
      <c r="A489" t="s">
        <v>3953</v>
      </c>
      <c r="B489" t="s">
        <v>3954</v>
      </c>
      <c r="C489" t="s">
        <v>3955</v>
      </c>
      <c r="D489" t="s">
        <v>3954</v>
      </c>
      <c r="E489" t="s">
        <v>2304</v>
      </c>
      <c r="F489" t="s">
        <v>3956</v>
      </c>
      <c r="H489" t="s">
        <v>3957</v>
      </c>
      <c r="J489" t="s">
        <v>8</v>
      </c>
      <c r="K489" t="s">
        <v>3</v>
      </c>
      <c r="L489" t="s">
        <v>3</v>
      </c>
      <c r="M489" t="s">
        <v>122</v>
      </c>
      <c r="N489" t="s">
        <v>3</v>
      </c>
      <c r="O489" t="s">
        <v>3</v>
      </c>
      <c r="P489" t="s">
        <v>3</v>
      </c>
      <c r="Q489" t="s">
        <v>8</v>
      </c>
      <c r="R489" t="s">
        <v>122</v>
      </c>
      <c r="S489" t="s">
        <v>8</v>
      </c>
      <c r="T489" t="s">
        <v>3953</v>
      </c>
      <c r="U489" t="s">
        <v>3</v>
      </c>
      <c r="V489" t="s">
        <v>3</v>
      </c>
      <c r="W489" t="s">
        <v>8</v>
      </c>
      <c r="AA489" t="s">
        <v>8</v>
      </c>
      <c r="AB489" t="s">
        <v>8</v>
      </c>
      <c r="AC489" t="s">
        <v>3</v>
      </c>
      <c r="AD489" t="s">
        <v>8</v>
      </c>
      <c r="AE489" t="s">
        <v>72</v>
      </c>
      <c r="AF489" t="s">
        <v>3958</v>
      </c>
    </row>
    <row r="490" spans="1:32">
      <c r="A490" t="s">
        <v>3959</v>
      </c>
      <c r="B490" t="s">
        <v>3960</v>
      </c>
      <c r="C490" t="s">
        <v>3961</v>
      </c>
      <c r="D490" t="s">
        <v>3960</v>
      </c>
      <c r="E490" t="s">
        <v>3962</v>
      </c>
      <c r="F490" t="s">
        <v>3963</v>
      </c>
      <c r="G490" t="s">
        <v>3964</v>
      </c>
      <c r="H490" t="s">
        <v>3965</v>
      </c>
      <c r="J490" t="s">
        <v>8</v>
      </c>
      <c r="K490" t="s">
        <v>3</v>
      </c>
      <c r="L490" t="s">
        <v>3</v>
      </c>
      <c r="M490" t="s">
        <v>122</v>
      </c>
      <c r="N490" t="s">
        <v>3</v>
      </c>
      <c r="O490" t="s">
        <v>3</v>
      </c>
      <c r="P490" t="s">
        <v>3</v>
      </c>
      <c r="Q490" t="s">
        <v>8</v>
      </c>
      <c r="R490" t="s">
        <v>122</v>
      </c>
      <c r="S490" t="s">
        <v>8</v>
      </c>
      <c r="T490" t="s">
        <v>3959</v>
      </c>
      <c r="U490" t="s">
        <v>3</v>
      </c>
      <c r="V490" t="s">
        <v>3</v>
      </c>
      <c r="W490" t="s">
        <v>3</v>
      </c>
      <c r="AA490" t="s">
        <v>8</v>
      </c>
      <c r="AB490" t="s">
        <v>8</v>
      </c>
      <c r="AC490" t="s">
        <v>3</v>
      </c>
      <c r="AD490" t="s">
        <v>8</v>
      </c>
      <c r="AE490" t="s">
        <v>72</v>
      </c>
      <c r="AF490" t="s">
        <v>3966</v>
      </c>
    </row>
    <row r="491" spans="1:32">
      <c r="A491" t="s">
        <v>3967</v>
      </c>
      <c r="B491" t="s">
        <v>3968</v>
      </c>
      <c r="C491" t="s">
        <v>3969</v>
      </c>
      <c r="D491" t="s">
        <v>3968</v>
      </c>
      <c r="E491" t="s">
        <v>3970</v>
      </c>
      <c r="F491" t="s">
        <v>3971</v>
      </c>
      <c r="H491" t="s">
        <v>3972</v>
      </c>
      <c r="I491" t="s">
        <v>3973</v>
      </c>
      <c r="J491" t="s">
        <v>8</v>
      </c>
      <c r="K491" t="s">
        <v>3</v>
      </c>
      <c r="L491" t="s">
        <v>3</v>
      </c>
      <c r="M491" t="s">
        <v>122</v>
      </c>
      <c r="N491" t="s">
        <v>3</v>
      </c>
      <c r="O491" t="s">
        <v>3</v>
      </c>
      <c r="P491" t="s">
        <v>3</v>
      </c>
      <c r="Q491" t="s">
        <v>8</v>
      </c>
      <c r="R491" t="s">
        <v>122</v>
      </c>
      <c r="S491" t="s">
        <v>8</v>
      </c>
      <c r="T491" t="s">
        <v>3967</v>
      </c>
      <c r="U491" t="s">
        <v>3</v>
      </c>
      <c r="V491" t="s">
        <v>3</v>
      </c>
      <c r="W491" t="s">
        <v>3</v>
      </c>
      <c r="AA491" t="s">
        <v>8</v>
      </c>
      <c r="AB491" t="s">
        <v>8</v>
      </c>
      <c r="AC491" t="s">
        <v>3</v>
      </c>
      <c r="AD491" t="s">
        <v>8</v>
      </c>
      <c r="AE491" t="s">
        <v>111</v>
      </c>
      <c r="AF491" t="s">
        <v>3974</v>
      </c>
    </row>
    <row r="492" spans="1:32">
      <c r="A492" t="s">
        <v>3975</v>
      </c>
      <c r="B492" t="s">
        <v>3976</v>
      </c>
      <c r="C492" t="s">
        <v>3977</v>
      </c>
      <c r="D492" t="s">
        <v>3978</v>
      </c>
      <c r="E492" t="s">
        <v>2618</v>
      </c>
      <c r="F492" t="s">
        <v>3979</v>
      </c>
      <c r="H492" t="s">
        <v>3980</v>
      </c>
      <c r="J492" t="s">
        <v>8</v>
      </c>
      <c r="K492" t="s">
        <v>3</v>
      </c>
      <c r="L492" t="s">
        <v>3</v>
      </c>
      <c r="M492" t="s">
        <v>122</v>
      </c>
      <c r="N492" t="s">
        <v>3</v>
      </c>
      <c r="O492" t="s">
        <v>3</v>
      </c>
      <c r="P492" t="s">
        <v>3</v>
      </c>
      <c r="Q492" t="s">
        <v>8</v>
      </c>
      <c r="R492" t="s">
        <v>122</v>
      </c>
      <c r="S492" t="s">
        <v>8</v>
      </c>
      <c r="T492" t="s">
        <v>3975</v>
      </c>
      <c r="U492" t="s">
        <v>3</v>
      </c>
      <c r="V492" t="s">
        <v>3</v>
      </c>
      <c r="W492" t="s">
        <v>8</v>
      </c>
      <c r="AA492" t="s">
        <v>8</v>
      </c>
      <c r="AB492" t="s">
        <v>3</v>
      </c>
      <c r="AC492" t="s">
        <v>3</v>
      </c>
      <c r="AD492" t="s">
        <v>8</v>
      </c>
      <c r="AE492" t="s">
        <v>111</v>
      </c>
      <c r="AF492" t="s">
        <v>3981</v>
      </c>
    </row>
    <row r="493" spans="1:32">
      <c r="A493" t="s">
        <v>3982</v>
      </c>
      <c r="B493" t="s">
        <v>3976</v>
      </c>
      <c r="C493" t="s">
        <v>3977</v>
      </c>
      <c r="D493" t="s">
        <v>3983</v>
      </c>
      <c r="E493" t="s">
        <v>2618</v>
      </c>
      <c r="F493" t="s">
        <v>3979</v>
      </c>
      <c r="H493" t="s">
        <v>3980</v>
      </c>
      <c r="J493" t="s">
        <v>8</v>
      </c>
      <c r="K493" t="s">
        <v>3</v>
      </c>
      <c r="L493" t="s">
        <v>3</v>
      </c>
      <c r="M493" t="s">
        <v>122</v>
      </c>
      <c r="N493" t="s">
        <v>3</v>
      </c>
      <c r="O493" t="s">
        <v>3</v>
      </c>
      <c r="P493" t="s">
        <v>3</v>
      </c>
      <c r="Q493" t="s">
        <v>8</v>
      </c>
      <c r="R493" t="s">
        <v>122</v>
      </c>
      <c r="S493" t="s">
        <v>8</v>
      </c>
      <c r="T493" t="s">
        <v>3975</v>
      </c>
      <c r="U493" t="s">
        <v>3</v>
      </c>
      <c r="V493" t="s">
        <v>3</v>
      </c>
      <c r="W493" t="s">
        <v>8</v>
      </c>
      <c r="AA493" t="s">
        <v>8</v>
      </c>
      <c r="AB493" t="s">
        <v>8</v>
      </c>
      <c r="AC493" t="s">
        <v>3</v>
      </c>
      <c r="AD493" t="s">
        <v>8</v>
      </c>
      <c r="AE493" t="s">
        <v>72</v>
      </c>
      <c r="AF493" t="s">
        <v>3984</v>
      </c>
    </row>
    <row r="494" spans="1:32">
      <c r="A494" t="s">
        <v>3985</v>
      </c>
      <c r="B494" t="s">
        <v>3986</v>
      </c>
      <c r="C494" t="s">
        <v>3987</v>
      </c>
      <c r="D494" t="s">
        <v>3986</v>
      </c>
      <c r="E494" t="s">
        <v>1576</v>
      </c>
      <c r="F494" t="s">
        <v>3988</v>
      </c>
      <c r="H494" t="s">
        <v>3989</v>
      </c>
      <c r="I494" t="s">
        <v>3990</v>
      </c>
      <c r="J494" t="s">
        <v>8</v>
      </c>
      <c r="K494" t="s">
        <v>3</v>
      </c>
      <c r="L494" t="s">
        <v>3</v>
      </c>
      <c r="M494" t="s">
        <v>122</v>
      </c>
      <c r="N494" t="s">
        <v>3</v>
      </c>
      <c r="O494" t="s">
        <v>3</v>
      </c>
      <c r="P494" t="s">
        <v>3</v>
      </c>
      <c r="Q494" t="s">
        <v>8</v>
      </c>
      <c r="R494" t="s">
        <v>122</v>
      </c>
      <c r="S494" t="s">
        <v>8</v>
      </c>
      <c r="T494" t="s">
        <v>3985</v>
      </c>
      <c r="U494" t="s">
        <v>3</v>
      </c>
      <c r="V494" t="s">
        <v>3</v>
      </c>
      <c r="W494" t="s">
        <v>8</v>
      </c>
      <c r="AA494" t="s">
        <v>3</v>
      </c>
      <c r="AB494" t="s">
        <v>8</v>
      </c>
      <c r="AC494" t="s">
        <v>3</v>
      </c>
      <c r="AD494" t="s">
        <v>8</v>
      </c>
      <c r="AE494" t="s">
        <v>72</v>
      </c>
      <c r="AF494" t="s">
        <v>3991</v>
      </c>
    </row>
    <row r="495" spans="1:32">
      <c r="A495" t="s">
        <v>98</v>
      </c>
      <c r="B495" t="s">
        <v>18</v>
      </c>
      <c r="C495" t="s">
        <v>3992</v>
      </c>
      <c r="D495" t="s">
        <v>18</v>
      </c>
      <c r="E495" t="s">
        <v>3993</v>
      </c>
      <c r="F495" t="s">
        <v>3994</v>
      </c>
      <c r="H495" t="s">
        <v>3995</v>
      </c>
      <c r="J495" t="s">
        <v>8</v>
      </c>
      <c r="K495" t="s">
        <v>3</v>
      </c>
      <c r="L495" t="s">
        <v>3</v>
      </c>
      <c r="M495" t="s">
        <v>122</v>
      </c>
      <c r="N495" t="s">
        <v>3</v>
      </c>
      <c r="O495" t="s">
        <v>3</v>
      </c>
      <c r="P495" t="s">
        <v>3</v>
      </c>
      <c r="Q495" t="s">
        <v>8</v>
      </c>
      <c r="R495" t="s">
        <v>122</v>
      </c>
      <c r="S495" t="s">
        <v>8</v>
      </c>
      <c r="T495" t="s">
        <v>98</v>
      </c>
      <c r="U495" t="s">
        <v>3</v>
      </c>
      <c r="V495" t="s">
        <v>3</v>
      </c>
      <c r="W495" t="s">
        <v>511</v>
      </c>
      <c r="AA495" t="s">
        <v>8</v>
      </c>
      <c r="AB495" t="s">
        <v>8</v>
      </c>
      <c r="AC495" t="s">
        <v>3</v>
      </c>
      <c r="AD495" t="s">
        <v>8</v>
      </c>
      <c r="AE495" t="s">
        <v>84</v>
      </c>
      <c r="AF495" t="s">
        <v>3996</v>
      </c>
    </row>
    <row r="496" spans="1:32">
      <c r="A496" t="s">
        <v>3997</v>
      </c>
      <c r="B496" t="s">
        <v>3998</v>
      </c>
      <c r="C496" t="s">
        <v>3217</v>
      </c>
      <c r="D496" t="s">
        <v>3998</v>
      </c>
      <c r="E496" t="s">
        <v>3999</v>
      </c>
      <c r="F496" t="s">
        <v>4000</v>
      </c>
      <c r="H496" t="s">
        <v>4001</v>
      </c>
      <c r="I496" t="s">
        <v>4002</v>
      </c>
      <c r="J496" t="s">
        <v>8</v>
      </c>
      <c r="K496" t="s">
        <v>3</v>
      </c>
      <c r="L496" t="s">
        <v>3</v>
      </c>
      <c r="M496" t="s">
        <v>122</v>
      </c>
      <c r="N496" t="s">
        <v>3</v>
      </c>
      <c r="O496" t="s">
        <v>3</v>
      </c>
      <c r="P496" t="s">
        <v>3</v>
      </c>
      <c r="Q496" t="s">
        <v>8</v>
      </c>
      <c r="R496" t="s">
        <v>122</v>
      </c>
      <c r="S496" t="s">
        <v>8</v>
      </c>
      <c r="T496" t="s">
        <v>3997</v>
      </c>
      <c r="U496" t="s">
        <v>3</v>
      </c>
      <c r="V496" t="s">
        <v>3</v>
      </c>
      <c r="W496" t="s">
        <v>252</v>
      </c>
      <c r="AA496" t="s">
        <v>8</v>
      </c>
      <c r="AB496" t="s">
        <v>8</v>
      </c>
      <c r="AC496" t="s">
        <v>3</v>
      </c>
      <c r="AD496" t="s">
        <v>8</v>
      </c>
      <c r="AE496" t="s">
        <v>111</v>
      </c>
      <c r="AF496" t="s">
        <v>4003</v>
      </c>
    </row>
    <row r="497" spans="1:32">
      <c r="A497" t="s">
        <v>4004</v>
      </c>
      <c r="B497" t="s">
        <v>4005</v>
      </c>
      <c r="C497" t="s">
        <v>4006</v>
      </c>
      <c r="D497" t="s">
        <v>4007</v>
      </c>
      <c r="E497" t="s">
        <v>3999</v>
      </c>
      <c r="F497" t="s">
        <v>4000</v>
      </c>
      <c r="H497" t="s">
        <v>4001</v>
      </c>
      <c r="I497" t="s">
        <v>4002</v>
      </c>
      <c r="J497" t="s">
        <v>8</v>
      </c>
      <c r="K497" t="s">
        <v>3</v>
      </c>
      <c r="L497" t="s">
        <v>3</v>
      </c>
      <c r="M497" t="s">
        <v>122</v>
      </c>
      <c r="N497" t="s">
        <v>3</v>
      </c>
      <c r="O497" t="s">
        <v>3</v>
      </c>
      <c r="P497" t="s">
        <v>3</v>
      </c>
      <c r="Q497" t="s">
        <v>8</v>
      </c>
      <c r="R497" t="s">
        <v>122</v>
      </c>
      <c r="S497" t="s">
        <v>8</v>
      </c>
      <c r="T497" t="s">
        <v>4004</v>
      </c>
      <c r="U497" t="s">
        <v>3</v>
      </c>
      <c r="V497" t="s">
        <v>3</v>
      </c>
      <c r="W497" t="s">
        <v>8</v>
      </c>
      <c r="AA497" t="s">
        <v>8</v>
      </c>
      <c r="AB497" t="s">
        <v>8</v>
      </c>
      <c r="AC497" t="s">
        <v>3</v>
      </c>
      <c r="AD497" t="s">
        <v>8</v>
      </c>
      <c r="AE497" t="s">
        <v>111</v>
      </c>
      <c r="AF497" t="s">
        <v>4008</v>
      </c>
    </row>
    <row r="498" spans="1:32">
      <c r="A498" t="s">
        <v>4009</v>
      </c>
      <c r="B498" t="s">
        <v>4010</v>
      </c>
      <c r="C498" t="s">
        <v>4011</v>
      </c>
      <c r="D498" t="s">
        <v>4010</v>
      </c>
      <c r="E498" t="s">
        <v>4012</v>
      </c>
      <c r="F498" t="s">
        <v>4013</v>
      </c>
      <c r="H498" t="s">
        <v>4014</v>
      </c>
      <c r="J498" t="s">
        <v>8</v>
      </c>
      <c r="K498" t="s">
        <v>3</v>
      </c>
      <c r="L498" t="s">
        <v>3</v>
      </c>
      <c r="M498" t="s">
        <v>122</v>
      </c>
      <c r="N498" t="s">
        <v>3</v>
      </c>
      <c r="O498" t="s">
        <v>3</v>
      </c>
      <c r="P498" t="s">
        <v>3</v>
      </c>
      <c r="Q498" t="s">
        <v>8</v>
      </c>
      <c r="R498" t="s">
        <v>122</v>
      </c>
      <c r="S498" t="s">
        <v>8</v>
      </c>
      <c r="T498" t="s">
        <v>4009</v>
      </c>
      <c r="U498" t="s">
        <v>3</v>
      </c>
      <c r="V498" t="s">
        <v>3</v>
      </c>
      <c r="W498" t="s">
        <v>3</v>
      </c>
      <c r="AA498" t="s">
        <v>8</v>
      </c>
      <c r="AB498" t="s">
        <v>8</v>
      </c>
      <c r="AC498" t="s">
        <v>3</v>
      </c>
      <c r="AD498" t="s">
        <v>8</v>
      </c>
      <c r="AE498" t="s">
        <v>72</v>
      </c>
      <c r="AF498" t="s">
        <v>4015</v>
      </c>
    </row>
    <row r="499" spans="1:32">
      <c r="A499" t="s">
        <v>4016</v>
      </c>
      <c r="B499" t="s">
        <v>4017</v>
      </c>
      <c r="C499" t="s">
        <v>4018</v>
      </c>
      <c r="D499" t="s">
        <v>4019</v>
      </c>
      <c r="E499" t="s">
        <v>4020</v>
      </c>
      <c r="F499" t="s">
        <v>4021</v>
      </c>
      <c r="H499" t="s">
        <v>4022</v>
      </c>
      <c r="I499" t="s">
        <v>4023</v>
      </c>
      <c r="J499" t="s">
        <v>8</v>
      </c>
      <c r="K499" t="s">
        <v>3</v>
      </c>
      <c r="L499" t="s">
        <v>3</v>
      </c>
      <c r="M499" t="s">
        <v>122</v>
      </c>
      <c r="N499" t="s">
        <v>3</v>
      </c>
      <c r="O499" t="s">
        <v>3</v>
      </c>
      <c r="P499" t="s">
        <v>3</v>
      </c>
      <c r="Q499" t="s">
        <v>8</v>
      </c>
      <c r="R499" t="s">
        <v>122</v>
      </c>
      <c r="S499" t="s">
        <v>8</v>
      </c>
      <c r="T499" t="s">
        <v>4016</v>
      </c>
      <c r="U499" t="s">
        <v>3</v>
      </c>
      <c r="V499" t="s">
        <v>3</v>
      </c>
      <c r="W499" t="s">
        <v>4016</v>
      </c>
      <c r="AA499" t="s">
        <v>8</v>
      </c>
      <c r="AB499" t="s">
        <v>8</v>
      </c>
      <c r="AC499" t="s">
        <v>3</v>
      </c>
      <c r="AD499" t="s">
        <v>8</v>
      </c>
      <c r="AE499" t="s">
        <v>72</v>
      </c>
      <c r="AF499" t="s">
        <v>4024</v>
      </c>
    </row>
    <row r="500" spans="1:32">
      <c r="A500" t="s">
        <v>4025</v>
      </c>
      <c r="B500" t="s">
        <v>4026</v>
      </c>
      <c r="C500" t="s">
        <v>4027</v>
      </c>
      <c r="D500" t="s">
        <v>4026</v>
      </c>
      <c r="E500" t="s">
        <v>4028</v>
      </c>
      <c r="F500" t="s">
        <v>4029</v>
      </c>
      <c r="H500" t="s">
        <v>4030</v>
      </c>
      <c r="J500" t="s">
        <v>8</v>
      </c>
      <c r="K500" t="s">
        <v>3</v>
      </c>
      <c r="L500" t="s">
        <v>3</v>
      </c>
      <c r="M500" t="s">
        <v>122</v>
      </c>
      <c r="N500" t="s">
        <v>3</v>
      </c>
      <c r="O500" t="s">
        <v>3</v>
      </c>
      <c r="P500" t="s">
        <v>3</v>
      </c>
      <c r="Q500" t="s">
        <v>8</v>
      </c>
      <c r="R500" t="s">
        <v>122</v>
      </c>
      <c r="S500" t="s">
        <v>8</v>
      </c>
      <c r="T500" t="s">
        <v>4025</v>
      </c>
      <c r="U500" t="s">
        <v>3</v>
      </c>
      <c r="V500" t="s">
        <v>3</v>
      </c>
      <c r="W500" t="s">
        <v>3</v>
      </c>
      <c r="AA500" t="s">
        <v>8</v>
      </c>
      <c r="AB500" t="s">
        <v>8</v>
      </c>
      <c r="AC500" t="s">
        <v>3</v>
      </c>
      <c r="AD500" t="s">
        <v>8</v>
      </c>
      <c r="AE500" t="s">
        <v>72</v>
      </c>
      <c r="AF500" t="s">
        <v>4031</v>
      </c>
    </row>
    <row r="501" spans="1:32">
      <c r="A501" t="s">
        <v>4032</v>
      </c>
      <c r="B501" t="s">
        <v>4033</v>
      </c>
      <c r="C501" t="s">
        <v>4034</v>
      </c>
      <c r="D501" t="s">
        <v>4035</v>
      </c>
      <c r="E501" t="s">
        <v>2274</v>
      </c>
      <c r="F501" t="s">
        <v>4036</v>
      </c>
      <c r="G501" t="s">
        <v>4037</v>
      </c>
      <c r="H501" t="s">
        <v>4038</v>
      </c>
      <c r="J501" t="s">
        <v>8</v>
      </c>
      <c r="K501" t="s">
        <v>3</v>
      </c>
      <c r="L501" t="s">
        <v>3</v>
      </c>
      <c r="M501" t="s">
        <v>122</v>
      </c>
      <c r="N501" t="s">
        <v>3</v>
      </c>
      <c r="O501" t="s">
        <v>3</v>
      </c>
      <c r="P501" t="s">
        <v>3</v>
      </c>
      <c r="Q501" t="s">
        <v>8</v>
      </c>
      <c r="R501" t="s">
        <v>122</v>
      </c>
      <c r="S501" t="s">
        <v>8</v>
      </c>
      <c r="T501" t="s">
        <v>4032</v>
      </c>
      <c r="U501" t="s">
        <v>3</v>
      </c>
      <c r="V501" t="s">
        <v>3</v>
      </c>
      <c r="W501" t="s">
        <v>3</v>
      </c>
      <c r="AA501" t="s">
        <v>8</v>
      </c>
      <c r="AB501" t="s">
        <v>8</v>
      </c>
      <c r="AC501" t="s">
        <v>3</v>
      </c>
      <c r="AD501" t="s">
        <v>8</v>
      </c>
      <c r="AE501" t="s">
        <v>84</v>
      </c>
      <c r="AF501" t="s">
        <v>4039</v>
      </c>
    </row>
    <row r="502" spans="1:32">
      <c r="A502" t="s">
        <v>4040</v>
      </c>
      <c r="B502" t="s">
        <v>4041</v>
      </c>
      <c r="C502" t="s">
        <v>4042</v>
      </c>
      <c r="D502" t="s">
        <v>4041</v>
      </c>
      <c r="E502" t="s">
        <v>4043</v>
      </c>
      <c r="F502" t="s">
        <v>4044</v>
      </c>
      <c r="H502" t="s">
        <v>4045</v>
      </c>
      <c r="I502" t="s">
        <v>4045</v>
      </c>
      <c r="J502" t="s">
        <v>8</v>
      </c>
      <c r="K502" t="s">
        <v>3</v>
      </c>
      <c r="L502" t="s">
        <v>3</v>
      </c>
      <c r="M502" t="s">
        <v>122</v>
      </c>
      <c r="N502" t="s">
        <v>3</v>
      </c>
      <c r="O502" t="s">
        <v>3</v>
      </c>
      <c r="P502" t="s">
        <v>3</v>
      </c>
      <c r="Q502" t="s">
        <v>8</v>
      </c>
      <c r="R502" t="s">
        <v>122</v>
      </c>
      <c r="S502" t="s">
        <v>8</v>
      </c>
      <c r="T502" t="s">
        <v>4040</v>
      </c>
      <c r="U502" t="s">
        <v>3</v>
      </c>
      <c r="V502" t="s">
        <v>3</v>
      </c>
      <c r="W502" t="s">
        <v>3</v>
      </c>
      <c r="AA502" t="s">
        <v>8</v>
      </c>
      <c r="AB502" t="s">
        <v>8</v>
      </c>
      <c r="AC502" t="s">
        <v>3</v>
      </c>
      <c r="AD502" t="s">
        <v>8</v>
      </c>
      <c r="AE502" t="s">
        <v>111</v>
      </c>
      <c r="AF502" t="s">
        <v>4046</v>
      </c>
    </row>
    <row r="503" spans="1:32">
      <c r="A503" t="s">
        <v>4047</v>
      </c>
      <c r="B503" t="s">
        <v>4048</v>
      </c>
      <c r="C503" t="s">
        <v>4049</v>
      </c>
      <c r="D503" t="s">
        <v>4050</v>
      </c>
      <c r="E503" t="s">
        <v>4051</v>
      </c>
      <c r="F503" t="s">
        <v>4052</v>
      </c>
      <c r="H503" t="s">
        <v>4053</v>
      </c>
      <c r="I503" t="s">
        <v>4054</v>
      </c>
      <c r="J503" t="s">
        <v>8</v>
      </c>
      <c r="K503" t="s">
        <v>3</v>
      </c>
      <c r="L503" t="s">
        <v>3</v>
      </c>
      <c r="M503" t="s">
        <v>122</v>
      </c>
      <c r="N503" t="s">
        <v>3</v>
      </c>
      <c r="O503" t="s">
        <v>3</v>
      </c>
      <c r="P503" t="s">
        <v>3</v>
      </c>
      <c r="Q503" t="s">
        <v>8</v>
      </c>
      <c r="R503" t="s">
        <v>122</v>
      </c>
      <c r="S503" t="s">
        <v>8</v>
      </c>
      <c r="T503" t="s">
        <v>4047</v>
      </c>
      <c r="U503" t="s">
        <v>3</v>
      </c>
      <c r="V503" t="s">
        <v>3</v>
      </c>
      <c r="W503" t="s">
        <v>3830</v>
      </c>
      <c r="AA503" t="s">
        <v>8</v>
      </c>
      <c r="AB503" t="s">
        <v>3</v>
      </c>
      <c r="AC503" t="s">
        <v>3</v>
      </c>
      <c r="AD503" t="s">
        <v>8</v>
      </c>
      <c r="AE503" t="s">
        <v>130</v>
      </c>
      <c r="AF503" t="s">
        <v>4055</v>
      </c>
    </row>
    <row r="504" spans="1:32">
      <c r="A504" t="s">
        <v>4056</v>
      </c>
      <c r="B504" t="s">
        <v>4057</v>
      </c>
      <c r="C504" t="s">
        <v>4058</v>
      </c>
      <c r="D504" t="s">
        <v>4050</v>
      </c>
      <c r="E504" t="s">
        <v>4051</v>
      </c>
      <c r="F504" t="s">
        <v>4052</v>
      </c>
      <c r="H504" t="s">
        <v>4059</v>
      </c>
      <c r="J504" t="s">
        <v>8</v>
      </c>
      <c r="K504" t="s">
        <v>3</v>
      </c>
      <c r="L504" t="s">
        <v>3</v>
      </c>
      <c r="M504" t="s">
        <v>122</v>
      </c>
      <c r="N504" t="s">
        <v>3</v>
      </c>
      <c r="O504" t="s">
        <v>3</v>
      </c>
      <c r="P504" t="s">
        <v>3</v>
      </c>
      <c r="Q504" t="s">
        <v>8</v>
      </c>
      <c r="R504" t="s">
        <v>122</v>
      </c>
      <c r="S504" t="s">
        <v>8</v>
      </c>
      <c r="T504" t="s">
        <v>4056</v>
      </c>
      <c r="U504" t="s">
        <v>3</v>
      </c>
      <c r="V504" t="s">
        <v>3</v>
      </c>
      <c r="W504" t="s">
        <v>3830</v>
      </c>
      <c r="AA504" t="s">
        <v>8</v>
      </c>
      <c r="AB504" t="s">
        <v>3</v>
      </c>
      <c r="AC504" t="s">
        <v>3</v>
      </c>
      <c r="AD504" t="s">
        <v>8</v>
      </c>
      <c r="AE504" t="s">
        <v>130</v>
      </c>
      <c r="AF504" t="s">
        <v>4060</v>
      </c>
    </row>
    <row r="505" spans="1:32">
      <c r="A505" t="s">
        <v>4061</v>
      </c>
      <c r="B505" t="s">
        <v>4062</v>
      </c>
      <c r="C505" t="s">
        <v>4063</v>
      </c>
      <c r="D505" t="s">
        <v>4062</v>
      </c>
      <c r="E505" t="s">
        <v>4064</v>
      </c>
      <c r="F505" t="s">
        <v>4065</v>
      </c>
      <c r="H505" t="s">
        <v>4066</v>
      </c>
      <c r="J505" t="s">
        <v>8</v>
      </c>
      <c r="K505" t="s">
        <v>3</v>
      </c>
      <c r="L505" t="s">
        <v>3</v>
      </c>
      <c r="M505" t="s">
        <v>122</v>
      </c>
      <c r="N505" t="s">
        <v>3</v>
      </c>
      <c r="O505" t="s">
        <v>3</v>
      </c>
      <c r="P505" t="s">
        <v>3</v>
      </c>
      <c r="Q505" t="s">
        <v>8</v>
      </c>
      <c r="R505" t="s">
        <v>122</v>
      </c>
      <c r="S505" t="s">
        <v>8</v>
      </c>
      <c r="T505" t="s">
        <v>4061</v>
      </c>
      <c r="U505" t="s">
        <v>3</v>
      </c>
      <c r="V505" t="s">
        <v>3</v>
      </c>
      <c r="W505" t="s">
        <v>401</v>
      </c>
      <c r="AA505" t="s">
        <v>8</v>
      </c>
      <c r="AB505" t="s">
        <v>8</v>
      </c>
      <c r="AC505" t="s">
        <v>3</v>
      </c>
      <c r="AD505" t="s">
        <v>8</v>
      </c>
      <c r="AE505" t="s">
        <v>111</v>
      </c>
      <c r="AF505" t="s">
        <v>4067</v>
      </c>
    </row>
    <row r="506" spans="1:32">
      <c r="A506" t="s">
        <v>100</v>
      </c>
      <c r="B506" t="s">
        <v>19</v>
      </c>
      <c r="C506" t="s">
        <v>4068</v>
      </c>
      <c r="D506" t="s">
        <v>19</v>
      </c>
      <c r="E506" t="s">
        <v>2315</v>
      </c>
      <c r="F506" t="s">
        <v>4069</v>
      </c>
      <c r="H506" t="s">
        <v>4070</v>
      </c>
      <c r="J506" t="s">
        <v>8</v>
      </c>
      <c r="K506" t="s">
        <v>3</v>
      </c>
      <c r="L506" t="s">
        <v>3</v>
      </c>
      <c r="M506" t="s">
        <v>122</v>
      </c>
      <c r="N506" t="s">
        <v>3</v>
      </c>
      <c r="O506" t="s">
        <v>3</v>
      </c>
      <c r="P506" t="s">
        <v>3</v>
      </c>
      <c r="Q506" t="s">
        <v>8</v>
      </c>
      <c r="R506" t="s">
        <v>122</v>
      </c>
      <c r="S506" t="s">
        <v>8</v>
      </c>
      <c r="T506" t="s">
        <v>100</v>
      </c>
      <c r="U506" t="s">
        <v>3</v>
      </c>
      <c r="V506" t="s">
        <v>3</v>
      </c>
      <c r="W506" t="s">
        <v>511</v>
      </c>
      <c r="Z506" t="s">
        <v>1554</v>
      </c>
      <c r="AA506" t="s">
        <v>8</v>
      </c>
      <c r="AB506" t="s">
        <v>8</v>
      </c>
      <c r="AC506" t="s">
        <v>3</v>
      </c>
      <c r="AD506" t="s">
        <v>8</v>
      </c>
      <c r="AE506" t="s">
        <v>111</v>
      </c>
      <c r="AF506" t="s">
        <v>4071</v>
      </c>
    </row>
    <row r="507" spans="1:32">
      <c r="A507" t="s">
        <v>59</v>
      </c>
      <c r="B507" t="s">
        <v>14</v>
      </c>
      <c r="C507" t="s">
        <v>4072</v>
      </c>
      <c r="D507" t="s">
        <v>14</v>
      </c>
      <c r="E507" t="s">
        <v>3408</v>
      </c>
      <c r="F507" t="s">
        <v>4073</v>
      </c>
      <c r="H507" t="s">
        <v>4074</v>
      </c>
      <c r="I507" t="s">
        <v>4075</v>
      </c>
      <c r="J507" t="s">
        <v>8</v>
      </c>
      <c r="K507" t="s">
        <v>3</v>
      </c>
      <c r="L507" t="s">
        <v>3</v>
      </c>
      <c r="M507" t="s">
        <v>122</v>
      </c>
      <c r="N507" t="s">
        <v>3</v>
      </c>
      <c r="O507" t="s">
        <v>3</v>
      </c>
      <c r="P507" t="s">
        <v>3</v>
      </c>
      <c r="Q507" t="s">
        <v>8</v>
      </c>
      <c r="R507" t="s">
        <v>122</v>
      </c>
      <c r="S507" t="s">
        <v>8</v>
      </c>
      <c r="T507" t="s">
        <v>59</v>
      </c>
      <c r="U507" t="s">
        <v>3</v>
      </c>
      <c r="V507" t="s">
        <v>3</v>
      </c>
      <c r="W507" t="s">
        <v>3</v>
      </c>
      <c r="AA507" t="s">
        <v>8</v>
      </c>
      <c r="AB507" t="s">
        <v>8</v>
      </c>
      <c r="AC507" t="s">
        <v>3</v>
      </c>
      <c r="AD507" t="s">
        <v>8</v>
      </c>
      <c r="AE507" t="s">
        <v>72</v>
      </c>
      <c r="AF507" t="s">
        <v>4076</v>
      </c>
    </row>
    <row r="508" spans="1:32">
      <c r="A508" t="s">
        <v>4077</v>
      </c>
      <c r="B508" t="s">
        <v>4078</v>
      </c>
      <c r="C508" t="s">
        <v>4079</v>
      </c>
      <c r="D508" t="s">
        <v>4078</v>
      </c>
      <c r="E508" t="s">
        <v>4080</v>
      </c>
      <c r="F508" t="s">
        <v>4081</v>
      </c>
      <c r="H508" t="s">
        <v>4082</v>
      </c>
      <c r="J508" t="s">
        <v>8</v>
      </c>
      <c r="K508" t="s">
        <v>3</v>
      </c>
      <c r="L508" t="s">
        <v>3</v>
      </c>
      <c r="M508" t="s">
        <v>122</v>
      </c>
      <c r="N508" t="s">
        <v>3</v>
      </c>
      <c r="O508" t="s">
        <v>3</v>
      </c>
      <c r="P508" t="s">
        <v>3</v>
      </c>
      <c r="Q508" t="s">
        <v>8</v>
      </c>
      <c r="R508" t="s">
        <v>122</v>
      </c>
      <c r="S508" t="s">
        <v>8</v>
      </c>
      <c r="T508" t="s">
        <v>4077</v>
      </c>
      <c r="U508" t="s">
        <v>3</v>
      </c>
      <c r="V508" t="s">
        <v>3</v>
      </c>
      <c r="W508" t="s">
        <v>3</v>
      </c>
      <c r="AA508" t="s">
        <v>8</v>
      </c>
      <c r="AB508" t="s">
        <v>8</v>
      </c>
      <c r="AC508" t="s">
        <v>3</v>
      </c>
      <c r="AD508" t="s">
        <v>8</v>
      </c>
      <c r="AE508" t="s">
        <v>111</v>
      </c>
      <c r="AF508" t="s">
        <v>4083</v>
      </c>
    </row>
    <row r="509" spans="1:32">
      <c r="A509" t="s">
        <v>4084</v>
      </c>
      <c r="B509" t="s">
        <v>4085</v>
      </c>
      <c r="C509" t="s">
        <v>4086</v>
      </c>
      <c r="D509" t="s">
        <v>4085</v>
      </c>
      <c r="E509" t="s">
        <v>4087</v>
      </c>
      <c r="F509" t="s">
        <v>4088</v>
      </c>
      <c r="H509" t="s">
        <v>4089</v>
      </c>
      <c r="J509" t="s">
        <v>8</v>
      </c>
      <c r="K509" t="s">
        <v>3</v>
      </c>
      <c r="L509" t="s">
        <v>3</v>
      </c>
      <c r="M509" t="s">
        <v>122</v>
      </c>
      <c r="N509" t="s">
        <v>3</v>
      </c>
      <c r="O509" t="s">
        <v>3</v>
      </c>
      <c r="P509" t="s">
        <v>3</v>
      </c>
      <c r="Q509" t="s">
        <v>8</v>
      </c>
      <c r="R509" t="s">
        <v>122</v>
      </c>
      <c r="S509" t="s">
        <v>8</v>
      </c>
      <c r="T509" t="s">
        <v>4084</v>
      </c>
      <c r="U509" t="s">
        <v>3</v>
      </c>
      <c r="V509" t="s">
        <v>3</v>
      </c>
      <c r="W509" t="s">
        <v>3</v>
      </c>
      <c r="AA509" t="s">
        <v>8</v>
      </c>
      <c r="AB509" t="s">
        <v>8</v>
      </c>
      <c r="AC509" t="s">
        <v>3</v>
      </c>
      <c r="AD509" t="s">
        <v>8</v>
      </c>
      <c r="AE509" t="s">
        <v>84</v>
      </c>
      <c r="AF509" t="s">
        <v>4090</v>
      </c>
    </row>
    <row r="510" spans="1:32">
      <c r="A510" t="s">
        <v>136</v>
      </c>
      <c r="B510" t="s">
        <v>4091</v>
      </c>
      <c r="C510" t="s">
        <v>4092</v>
      </c>
      <c r="D510" t="s">
        <v>33</v>
      </c>
      <c r="E510" t="s">
        <v>2439</v>
      </c>
      <c r="F510" t="s">
        <v>4093</v>
      </c>
      <c r="H510" t="s">
        <v>4094</v>
      </c>
      <c r="I510" t="s">
        <v>4094</v>
      </c>
      <c r="J510" t="s">
        <v>8</v>
      </c>
      <c r="K510" t="s">
        <v>3</v>
      </c>
      <c r="L510" t="s">
        <v>3</v>
      </c>
      <c r="M510" t="s">
        <v>122</v>
      </c>
      <c r="N510" t="s">
        <v>3</v>
      </c>
      <c r="O510" t="s">
        <v>3</v>
      </c>
      <c r="P510" t="s">
        <v>3</v>
      </c>
      <c r="Q510" t="s">
        <v>8</v>
      </c>
      <c r="R510" t="s">
        <v>122</v>
      </c>
      <c r="S510" t="s">
        <v>8</v>
      </c>
      <c r="T510" t="s">
        <v>136</v>
      </c>
      <c r="U510" t="s">
        <v>3</v>
      </c>
      <c r="V510" t="s">
        <v>3</v>
      </c>
      <c r="W510" t="s">
        <v>957</v>
      </c>
      <c r="AA510" t="s">
        <v>8</v>
      </c>
      <c r="AB510" t="s">
        <v>8</v>
      </c>
      <c r="AC510" t="s">
        <v>3</v>
      </c>
      <c r="AD510" t="s">
        <v>8</v>
      </c>
      <c r="AE510" t="s">
        <v>111</v>
      </c>
      <c r="AF510" t="s">
        <v>4095</v>
      </c>
    </row>
    <row r="511" spans="1:32">
      <c r="A511" t="s">
        <v>4096</v>
      </c>
      <c r="B511" t="s">
        <v>4097</v>
      </c>
      <c r="C511" t="s">
        <v>4098</v>
      </c>
      <c r="D511" t="s">
        <v>4097</v>
      </c>
      <c r="E511" t="s">
        <v>4099</v>
      </c>
      <c r="F511" t="s">
        <v>4100</v>
      </c>
      <c r="G511" t="s">
        <v>4101</v>
      </c>
      <c r="H511" t="s">
        <v>4102</v>
      </c>
      <c r="I511" t="s">
        <v>4103</v>
      </c>
      <c r="J511" t="s">
        <v>8</v>
      </c>
      <c r="K511" t="s">
        <v>3</v>
      </c>
      <c r="L511" t="s">
        <v>3</v>
      </c>
      <c r="M511" t="s">
        <v>122</v>
      </c>
      <c r="N511" t="s">
        <v>3</v>
      </c>
      <c r="O511" t="s">
        <v>3</v>
      </c>
      <c r="P511" t="s">
        <v>3</v>
      </c>
      <c r="Q511" t="s">
        <v>8</v>
      </c>
      <c r="R511" t="s">
        <v>122</v>
      </c>
      <c r="S511" t="s">
        <v>8</v>
      </c>
      <c r="T511" t="s">
        <v>4096</v>
      </c>
      <c r="U511" t="s">
        <v>3</v>
      </c>
      <c r="V511" t="s">
        <v>3</v>
      </c>
      <c r="W511" t="s">
        <v>2374</v>
      </c>
      <c r="AA511" t="s">
        <v>8</v>
      </c>
      <c r="AB511" t="s">
        <v>8</v>
      </c>
      <c r="AC511" t="s">
        <v>3</v>
      </c>
      <c r="AD511" t="s">
        <v>8</v>
      </c>
      <c r="AE511" t="s">
        <v>111</v>
      </c>
      <c r="AF511" t="s">
        <v>4104</v>
      </c>
    </row>
    <row r="512" spans="1:32">
      <c r="A512" t="s">
        <v>4105</v>
      </c>
      <c r="B512" t="s">
        <v>4106</v>
      </c>
      <c r="C512" t="s">
        <v>4107</v>
      </c>
      <c r="D512" t="s">
        <v>4106</v>
      </c>
      <c r="E512" t="s">
        <v>4099</v>
      </c>
      <c r="F512" t="s">
        <v>4100</v>
      </c>
      <c r="G512" t="s">
        <v>4101</v>
      </c>
      <c r="H512" t="s">
        <v>4102</v>
      </c>
      <c r="I512" t="s">
        <v>4103</v>
      </c>
      <c r="J512" t="s">
        <v>8</v>
      </c>
      <c r="K512" t="s">
        <v>3</v>
      </c>
      <c r="L512" t="s">
        <v>3</v>
      </c>
      <c r="M512" t="s">
        <v>122</v>
      </c>
      <c r="N512" t="s">
        <v>3</v>
      </c>
      <c r="O512" t="s">
        <v>3</v>
      </c>
      <c r="P512" t="s">
        <v>3</v>
      </c>
      <c r="Q512" t="s">
        <v>8</v>
      </c>
      <c r="R512" t="s">
        <v>122</v>
      </c>
      <c r="S512" t="s">
        <v>8</v>
      </c>
      <c r="T512" t="s">
        <v>4105</v>
      </c>
      <c r="U512" t="s">
        <v>3</v>
      </c>
      <c r="V512" t="s">
        <v>3</v>
      </c>
      <c r="W512" t="s">
        <v>2374</v>
      </c>
      <c r="AA512" t="s">
        <v>8</v>
      </c>
      <c r="AB512" t="s">
        <v>8</v>
      </c>
      <c r="AC512" t="s">
        <v>3</v>
      </c>
      <c r="AD512" t="s">
        <v>8</v>
      </c>
      <c r="AE512" t="s">
        <v>111</v>
      </c>
      <c r="AF512" t="s">
        <v>4108</v>
      </c>
    </row>
    <row r="513" spans="1:32">
      <c r="A513" t="s">
        <v>138</v>
      </c>
      <c r="B513" t="s">
        <v>4109</v>
      </c>
      <c r="C513" t="s">
        <v>4110</v>
      </c>
      <c r="D513" t="s">
        <v>35</v>
      </c>
      <c r="E513" t="s">
        <v>3111</v>
      </c>
      <c r="F513" t="s">
        <v>4111</v>
      </c>
      <c r="G513" t="s">
        <v>4112</v>
      </c>
      <c r="H513" t="s">
        <v>4113</v>
      </c>
      <c r="I513" t="s">
        <v>4114</v>
      </c>
      <c r="J513" t="s">
        <v>8</v>
      </c>
      <c r="K513" t="s">
        <v>3</v>
      </c>
      <c r="L513" t="s">
        <v>3</v>
      </c>
      <c r="M513" t="s">
        <v>122</v>
      </c>
      <c r="N513" t="s">
        <v>3</v>
      </c>
      <c r="O513" t="s">
        <v>3</v>
      </c>
      <c r="P513" t="s">
        <v>3</v>
      </c>
      <c r="Q513" t="s">
        <v>8</v>
      </c>
      <c r="R513" t="s">
        <v>122</v>
      </c>
      <c r="S513" t="s">
        <v>8</v>
      </c>
      <c r="T513" t="s">
        <v>138</v>
      </c>
      <c r="U513" t="s">
        <v>3</v>
      </c>
      <c r="V513" t="s">
        <v>3</v>
      </c>
      <c r="W513" t="s">
        <v>963</v>
      </c>
      <c r="AA513" t="s">
        <v>8</v>
      </c>
      <c r="AB513" t="s">
        <v>3</v>
      </c>
      <c r="AC513" t="s">
        <v>3</v>
      </c>
      <c r="AD513" t="s">
        <v>8</v>
      </c>
      <c r="AE513" t="s">
        <v>111</v>
      </c>
      <c r="AF513" t="s">
        <v>4115</v>
      </c>
    </row>
    <row r="514" spans="1:32">
      <c r="A514" t="s">
        <v>4116</v>
      </c>
      <c r="B514" t="s">
        <v>4117</v>
      </c>
      <c r="C514" t="s">
        <v>4118</v>
      </c>
      <c r="D514" t="s">
        <v>4119</v>
      </c>
      <c r="E514" t="s">
        <v>4120</v>
      </c>
      <c r="F514" t="s">
        <v>4121</v>
      </c>
      <c r="H514" t="s">
        <v>4122</v>
      </c>
      <c r="J514" t="s">
        <v>8</v>
      </c>
      <c r="K514" t="s">
        <v>3</v>
      </c>
      <c r="L514" t="s">
        <v>3</v>
      </c>
      <c r="M514" t="s">
        <v>122</v>
      </c>
      <c r="N514" t="s">
        <v>3</v>
      </c>
      <c r="O514" t="s">
        <v>3</v>
      </c>
      <c r="P514" t="s">
        <v>3</v>
      </c>
      <c r="Q514" t="s">
        <v>8</v>
      </c>
      <c r="R514" t="s">
        <v>122</v>
      </c>
      <c r="S514" t="s">
        <v>8</v>
      </c>
      <c r="T514" t="s">
        <v>4116</v>
      </c>
      <c r="U514" t="s">
        <v>3</v>
      </c>
      <c r="V514" t="s">
        <v>3</v>
      </c>
      <c r="W514" t="s">
        <v>1038</v>
      </c>
      <c r="AA514" t="s">
        <v>8</v>
      </c>
      <c r="AB514" t="s">
        <v>8</v>
      </c>
      <c r="AC514" t="s">
        <v>3</v>
      </c>
      <c r="AD514" t="s">
        <v>8</v>
      </c>
      <c r="AE514" t="s">
        <v>111</v>
      </c>
      <c r="AF514" t="s">
        <v>4123</v>
      </c>
    </row>
    <row r="515" spans="1:32">
      <c r="A515" t="s">
        <v>4124</v>
      </c>
      <c r="B515" t="s">
        <v>4125</v>
      </c>
      <c r="C515" t="s">
        <v>4126</v>
      </c>
      <c r="D515" t="s">
        <v>4127</v>
      </c>
      <c r="E515" t="s">
        <v>2221</v>
      </c>
      <c r="F515" t="s">
        <v>4128</v>
      </c>
      <c r="H515" t="s">
        <v>4129</v>
      </c>
      <c r="J515" t="s">
        <v>8</v>
      </c>
      <c r="K515" t="s">
        <v>3</v>
      </c>
      <c r="L515" t="s">
        <v>3</v>
      </c>
      <c r="M515" t="s">
        <v>122</v>
      </c>
      <c r="N515" t="s">
        <v>3</v>
      </c>
      <c r="O515" t="s">
        <v>3</v>
      </c>
      <c r="P515" t="s">
        <v>3</v>
      </c>
      <c r="Q515" t="s">
        <v>8</v>
      </c>
      <c r="R515" t="s">
        <v>122</v>
      </c>
      <c r="S515" t="s">
        <v>8</v>
      </c>
      <c r="T515" t="s">
        <v>4124</v>
      </c>
      <c r="U515" t="s">
        <v>3</v>
      </c>
      <c r="V515" t="s">
        <v>3</v>
      </c>
      <c r="W515" t="s">
        <v>1038</v>
      </c>
      <c r="AA515" t="s">
        <v>8</v>
      </c>
      <c r="AB515" t="s">
        <v>8</v>
      </c>
      <c r="AC515" t="s">
        <v>3</v>
      </c>
      <c r="AD515" t="s">
        <v>8</v>
      </c>
      <c r="AE515" t="s">
        <v>111</v>
      </c>
      <c r="AF515" t="s">
        <v>4130</v>
      </c>
    </row>
    <row r="516" spans="1:32">
      <c r="A516" t="s">
        <v>4131</v>
      </c>
      <c r="B516" t="s">
        <v>4132</v>
      </c>
      <c r="C516" t="s">
        <v>4133</v>
      </c>
      <c r="D516" t="s">
        <v>4134</v>
      </c>
      <c r="J516" t="s">
        <v>8</v>
      </c>
      <c r="K516" t="s">
        <v>3</v>
      </c>
      <c r="L516" t="s">
        <v>3</v>
      </c>
      <c r="M516" t="s">
        <v>122</v>
      </c>
      <c r="N516" t="s">
        <v>3</v>
      </c>
      <c r="O516" t="s">
        <v>3</v>
      </c>
      <c r="P516" t="s">
        <v>3</v>
      </c>
      <c r="Q516" t="s">
        <v>8</v>
      </c>
      <c r="R516" t="s">
        <v>122</v>
      </c>
      <c r="S516" t="s">
        <v>8</v>
      </c>
      <c r="T516" t="s">
        <v>4131</v>
      </c>
      <c r="U516" t="s">
        <v>3</v>
      </c>
      <c r="V516" t="s">
        <v>3</v>
      </c>
      <c r="W516" t="s">
        <v>3</v>
      </c>
      <c r="AA516" t="s">
        <v>8</v>
      </c>
      <c r="AB516" t="s">
        <v>3</v>
      </c>
      <c r="AC516" t="s">
        <v>3</v>
      </c>
      <c r="AD516" t="s">
        <v>8</v>
      </c>
      <c r="AE516" t="s">
        <v>84</v>
      </c>
      <c r="AF516" t="s">
        <v>4135</v>
      </c>
    </row>
    <row r="517" spans="1:32">
      <c r="A517" t="s">
        <v>4136</v>
      </c>
      <c r="B517" t="s">
        <v>4137</v>
      </c>
      <c r="C517" t="s">
        <v>4138</v>
      </c>
      <c r="D517" t="s">
        <v>4137</v>
      </c>
      <c r="E517" t="s">
        <v>4139</v>
      </c>
      <c r="F517" t="s">
        <v>4140</v>
      </c>
      <c r="H517" t="s">
        <v>4141</v>
      </c>
      <c r="J517" t="s">
        <v>8</v>
      </c>
      <c r="K517" t="s">
        <v>3</v>
      </c>
      <c r="L517" t="s">
        <v>3</v>
      </c>
      <c r="M517" t="s">
        <v>122</v>
      </c>
      <c r="N517" t="s">
        <v>3</v>
      </c>
      <c r="O517" t="s">
        <v>3</v>
      </c>
      <c r="P517" t="s">
        <v>3</v>
      </c>
      <c r="Q517" t="s">
        <v>8</v>
      </c>
      <c r="R517" t="s">
        <v>122</v>
      </c>
      <c r="S517" t="s">
        <v>8</v>
      </c>
      <c r="T517" t="s">
        <v>4136</v>
      </c>
      <c r="U517" t="s">
        <v>3</v>
      </c>
      <c r="V517" t="s">
        <v>3</v>
      </c>
      <c r="W517" t="s">
        <v>1038</v>
      </c>
      <c r="AA517" t="s">
        <v>8</v>
      </c>
      <c r="AB517" t="s">
        <v>8</v>
      </c>
      <c r="AC517" t="s">
        <v>3</v>
      </c>
      <c r="AD517" t="s">
        <v>8</v>
      </c>
      <c r="AE517" t="s">
        <v>111</v>
      </c>
      <c r="AF517" t="s">
        <v>4142</v>
      </c>
    </row>
    <row r="518" spans="1:32">
      <c r="A518" t="s">
        <v>4143</v>
      </c>
      <c r="B518" t="s">
        <v>4137</v>
      </c>
      <c r="C518" t="s">
        <v>4138</v>
      </c>
      <c r="D518" t="s">
        <v>4137</v>
      </c>
      <c r="E518" t="s">
        <v>4139</v>
      </c>
      <c r="H518" t="s">
        <v>4141</v>
      </c>
      <c r="J518" t="s">
        <v>8</v>
      </c>
      <c r="K518" t="s">
        <v>3</v>
      </c>
      <c r="L518" t="s">
        <v>3</v>
      </c>
      <c r="M518" t="s">
        <v>122</v>
      </c>
      <c r="N518" t="s">
        <v>3</v>
      </c>
      <c r="O518" t="s">
        <v>3</v>
      </c>
      <c r="P518" t="s">
        <v>3</v>
      </c>
      <c r="Q518" t="s">
        <v>8</v>
      </c>
      <c r="R518" t="s">
        <v>122</v>
      </c>
      <c r="S518" t="s">
        <v>8</v>
      </c>
      <c r="T518" t="s">
        <v>4143</v>
      </c>
      <c r="U518" t="s">
        <v>3</v>
      </c>
      <c r="V518" t="s">
        <v>3</v>
      </c>
      <c r="W518" t="s">
        <v>503</v>
      </c>
      <c r="AA518" t="s">
        <v>8</v>
      </c>
      <c r="AB518" t="s">
        <v>8</v>
      </c>
      <c r="AC518" t="s">
        <v>3</v>
      </c>
      <c r="AD518" t="s">
        <v>8</v>
      </c>
      <c r="AE518" t="s">
        <v>84</v>
      </c>
      <c r="AF518" t="s">
        <v>4144</v>
      </c>
    </row>
    <row r="519" spans="1:32">
      <c r="A519" t="s">
        <v>4145</v>
      </c>
      <c r="B519" t="s">
        <v>4146</v>
      </c>
      <c r="C519" t="s">
        <v>4147</v>
      </c>
      <c r="D519" t="s">
        <v>4146</v>
      </c>
      <c r="E519" t="s">
        <v>4148</v>
      </c>
      <c r="F519" t="s">
        <v>4149</v>
      </c>
      <c r="H519" t="s">
        <v>4150</v>
      </c>
      <c r="I519" t="s">
        <v>4151</v>
      </c>
      <c r="J519" t="s">
        <v>8</v>
      </c>
      <c r="K519" t="s">
        <v>3</v>
      </c>
      <c r="L519" t="s">
        <v>3</v>
      </c>
      <c r="M519" t="s">
        <v>122</v>
      </c>
      <c r="N519" t="s">
        <v>3</v>
      </c>
      <c r="O519" t="s">
        <v>3</v>
      </c>
      <c r="P519" t="s">
        <v>3</v>
      </c>
      <c r="Q519" t="s">
        <v>8</v>
      </c>
      <c r="R519" t="s">
        <v>122</v>
      </c>
      <c r="S519" t="s">
        <v>8</v>
      </c>
      <c r="T519" t="s">
        <v>4145</v>
      </c>
      <c r="U519" t="s">
        <v>3</v>
      </c>
      <c r="V519" t="s">
        <v>3</v>
      </c>
      <c r="W519" t="s">
        <v>3</v>
      </c>
      <c r="AA519" t="s">
        <v>8</v>
      </c>
      <c r="AB519" t="s">
        <v>8</v>
      </c>
      <c r="AC519" t="s">
        <v>3</v>
      </c>
      <c r="AD519" t="s">
        <v>8</v>
      </c>
      <c r="AE519" t="s">
        <v>111</v>
      </c>
      <c r="AF519" t="s">
        <v>4152</v>
      </c>
    </row>
    <row r="520" spans="1:32">
      <c r="A520" t="s">
        <v>61</v>
      </c>
      <c r="B520" t="s">
        <v>15</v>
      </c>
      <c r="C520" t="s">
        <v>4153</v>
      </c>
      <c r="D520" t="s">
        <v>15</v>
      </c>
      <c r="E520" t="s">
        <v>4154</v>
      </c>
      <c r="F520" t="s">
        <v>4155</v>
      </c>
      <c r="H520" t="s">
        <v>4156</v>
      </c>
      <c r="I520" t="s">
        <v>4157</v>
      </c>
      <c r="J520" t="s">
        <v>8</v>
      </c>
      <c r="K520" t="s">
        <v>3</v>
      </c>
      <c r="L520" t="s">
        <v>3</v>
      </c>
      <c r="M520" t="s">
        <v>122</v>
      </c>
      <c r="N520" t="s">
        <v>3</v>
      </c>
      <c r="O520" t="s">
        <v>3</v>
      </c>
      <c r="P520" t="s">
        <v>3</v>
      </c>
      <c r="Q520" t="s">
        <v>8</v>
      </c>
      <c r="R520" t="s">
        <v>122</v>
      </c>
      <c r="S520" t="s">
        <v>8</v>
      </c>
      <c r="T520" t="s">
        <v>61</v>
      </c>
      <c r="U520" t="s">
        <v>3</v>
      </c>
      <c r="V520" t="s">
        <v>3</v>
      </c>
      <c r="W520" t="s">
        <v>1343</v>
      </c>
      <c r="AA520" t="s">
        <v>8</v>
      </c>
      <c r="AB520" t="s">
        <v>8</v>
      </c>
      <c r="AC520" t="s">
        <v>3</v>
      </c>
      <c r="AD520" t="s">
        <v>8</v>
      </c>
      <c r="AE520" t="s">
        <v>111</v>
      </c>
      <c r="AF520" t="s">
        <v>4158</v>
      </c>
    </row>
    <row r="521" spans="1:32">
      <c r="A521" t="s">
        <v>4159</v>
      </c>
      <c r="B521" t="s">
        <v>4160</v>
      </c>
      <c r="C521" t="s">
        <v>4161</v>
      </c>
      <c r="D521" t="s">
        <v>4162</v>
      </c>
      <c r="E521" t="s">
        <v>4154</v>
      </c>
      <c r="F521" t="s">
        <v>4163</v>
      </c>
      <c r="H521" t="s">
        <v>4164</v>
      </c>
      <c r="J521" t="s">
        <v>8</v>
      </c>
      <c r="K521" t="s">
        <v>3</v>
      </c>
      <c r="L521" t="s">
        <v>3</v>
      </c>
      <c r="M521" t="s">
        <v>122</v>
      </c>
      <c r="N521" t="s">
        <v>3</v>
      </c>
      <c r="O521" t="s">
        <v>3</v>
      </c>
      <c r="P521" t="s">
        <v>3</v>
      </c>
      <c r="Q521" t="s">
        <v>8</v>
      </c>
      <c r="R521" t="s">
        <v>122</v>
      </c>
      <c r="S521" t="s">
        <v>8</v>
      </c>
      <c r="T521" t="s">
        <v>4159</v>
      </c>
      <c r="U521" t="s">
        <v>3</v>
      </c>
      <c r="V521" t="s">
        <v>3</v>
      </c>
      <c r="W521" t="s">
        <v>256</v>
      </c>
      <c r="AA521" t="s">
        <v>8</v>
      </c>
      <c r="AB521" t="s">
        <v>8</v>
      </c>
      <c r="AC521" t="s">
        <v>3</v>
      </c>
      <c r="AD521" t="s">
        <v>8</v>
      </c>
      <c r="AE521" t="s">
        <v>111</v>
      </c>
      <c r="AF521" t="s">
        <v>4165</v>
      </c>
    </row>
    <row r="522" spans="1:32">
      <c r="A522" t="s">
        <v>131</v>
      </c>
      <c r="B522" t="s">
        <v>4166</v>
      </c>
      <c r="C522" t="s">
        <v>4167</v>
      </c>
      <c r="D522" t="s">
        <v>31</v>
      </c>
      <c r="E522" t="s">
        <v>4168</v>
      </c>
      <c r="F522" t="s">
        <v>4169</v>
      </c>
      <c r="H522" t="s">
        <v>4170</v>
      </c>
      <c r="J522" t="s">
        <v>8</v>
      </c>
      <c r="K522" t="s">
        <v>3</v>
      </c>
      <c r="L522" t="s">
        <v>3</v>
      </c>
      <c r="M522" t="s">
        <v>122</v>
      </c>
      <c r="N522" t="s">
        <v>3</v>
      </c>
      <c r="O522" t="s">
        <v>3</v>
      </c>
      <c r="P522" t="s">
        <v>3</v>
      </c>
      <c r="Q522" t="s">
        <v>8</v>
      </c>
      <c r="R522" t="s">
        <v>122</v>
      </c>
      <c r="S522" t="s">
        <v>8</v>
      </c>
      <c r="T522" t="s">
        <v>131</v>
      </c>
      <c r="U522" t="s">
        <v>3</v>
      </c>
      <c r="V522" t="s">
        <v>3</v>
      </c>
      <c r="W522" t="s">
        <v>3548</v>
      </c>
      <c r="AA522" t="s">
        <v>8</v>
      </c>
      <c r="AB522" t="s">
        <v>8</v>
      </c>
      <c r="AC522" t="s">
        <v>3</v>
      </c>
      <c r="AD522" t="s">
        <v>8</v>
      </c>
      <c r="AE522" t="s">
        <v>111</v>
      </c>
      <c r="AF522" t="s">
        <v>4171</v>
      </c>
    </row>
    <row r="523" spans="1:32">
      <c r="A523" t="s">
        <v>4172</v>
      </c>
      <c r="B523" t="s">
        <v>4173</v>
      </c>
      <c r="C523" t="s">
        <v>4174</v>
      </c>
      <c r="D523" t="s">
        <v>4175</v>
      </c>
      <c r="E523" t="s">
        <v>4168</v>
      </c>
      <c r="F523" t="s">
        <v>4169</v>
      </c>
      <c r="H523" t="s">
        <v>4170</v>
      </c>
      <c r="J523" t="s">
        <v>8</v>
      </c>
      <c r="K523" t="s">
        <v>3</v>
      </c>
      <c r="L523" t="s">
        <v>3</v>
      </c>
      <c r="M523" t="s">
        <v>122</v>
      </c>
      <c r="N523" t="s">
        <v>3</v>
      </c>
      <c r="O523" t="s">
        <v>3</v>
      </c>
      <c r="P523" t="s">
        <v>3</v>
      </c>
      <c r="Q523" t="s">
        <v>8</v>
      </c>
      <c r="R523" t="s">
        <v>122</v>
      </c>
      <c r="S523" t="s">
        <v>8</v>
      </c>
      <c r="T523" t="s">
        <v>4172</v>
      </c>
      <c r="U523" t="s">
        <v>3</v>
      </c>
      <c r="V523" t="s">
        <v>3</v>
      </c>
      <c r="W523" t="s">
        <v>3548</v>
      </c>
      <c r="AA523" t="s">
        <v>8</v>
      </c>
      <c r="AB523" t="s">
        <v>8</v>
      </c>
      <c r="AC523" t="s">
        <v>3</v>
      </c>
      <c r="AD523" t="s">
        <v>8</v>
      </c>
      <c r="AE523" t="s">
        <v>111</v>
      </c>
      <c r="AF523" t="s">
        <v>4176</v>
      </c>
    </row>
    <row r="524" spans="1:32">
      <c r="A524" t="s">
        <v>4177</v>
      </c>
      <c r="B524" t="s">
        <v>4178</v>
      </c>
      <c r="C524" t="s">
        <v>4179</v>
      </c>
      <c r="D524" t="s">
        <v>4180</v>
      </c>
      <c r="F524" t="s">
        <v>4181</v>
      </c>
      <c r="H524" t="s">
        <v>4182</v>
      </c>
      <c r="J524" t="s">
        <v>8</v>
      </c>
      <c r="K524" t="s">
        <v>3</v>
      </c>
      <c r="L524" t="s">
        <v>3</v>
      </c>
      <c r="M524" t="s">
        <v>122</v>
      </c>
      <c r="N524" t="s">
        <v>3</v>
      </c>
      <c r="O524" t="s">
        <v>3</v>
      </c>
      <c r="P524" t="s">
        <v>3</v>
      </c>
      <c r="Q524" t="s">
        <v>8</v>
      </c>
      <c r="R524" t="s">
        <v>122</v>
      </c>
      <c r="S524" t="s">
        <v>8</v>
      </c>
      <c r="T524" t="s">
        <v>4177</v>
      </c>
      <c r="U524" t="s">
        <v>3</v>
      </c>
      <c r="V524" t="s">
        <v>3</v>
      </c>
      <c r="W524" t="s">
        <v>1911</v>
      </c>
      <c r="Z524" t="s">
        <v>4183</v>
      </c>
      <c r="AA524" t="s">
        <v>8</v>
      </c>
      <c r="AB524" t="s">
        <v>3</v>
      </c>
      <c r="AC524" t="s">
        <v>3</v>
      </c>
      <c r="AD524" t="s">
        <v>8</v>
      </c>
      <c r="AE524" t="s">
        <v>111</v>
      </c>
      <c r="AF524" t="s">
        <v>4184</v>
      </c>
    </row>
    <row r="525" spans="1:32">
      <c r="A525" t="s">
        <v>4185</v>
      </c>
      <c r="B525" t="s">
        <v>3782</v>
      </c>
      <c r="C525" t="s">
        <v>3783</v>
      </c>
      <c r="D525" t="s">
        <v>3782</v>
      </c>
      <c r="E525" t="s">
        <v>2267</v>
      </c>
      <c r="F525" t="s">
        <v>3784</v>
      </c>
      <c r="H525" t="s">
        <v>3785</v>
      </c>
      <c r="I525" t="s">
        <v>3786</v>
      </c>
      <c r="J525" t="s">
        <v>8</v>
      </c>
      <c r="K525" t="s">
        <v>3</v>
      </c>
      <c r="L525" t="s">
        <v>3</v>
      </c>
      <c r="M525" t="s">
        <v>122</v>
      </c>
      <c r="N525" t="s">
        <v>3</v>
      </c>
      <c r="O525" t="s">
        <v>3</v>
      </c>
      <c r="P525" t="s">
        <v>3</v>
      </c>
      <c r="Q525" t="s">
        <v>8</v>
      </c>
      <c r="R525" t="s">
        <v>122</v>
      </c>
      <c r="S525" t="s">
        <v>8</v>
      </c>
      <c r="T525" t="s">
        <v>4185</v>
      </c>
      <c r="U525" t="s">
        <v>3</v>
      </c>
      <c r="V525" t="s">
        <v>3</v>
      </c>
      <c r="W525" t="s">
        <v>2256</v>
      </c>
      <c r="AA525" t="s">
        <v>8</v>
      </c>
      <c r="AB525" t="s">
        <v>8</v>
      </c>
      <c r="AC525" t="s">
        <v>3</v>
      </c>
      <c r="AD525" t="s">
        <v>8</v>
      </c>
      <c r="AE525" t="s">
        <v>111</v>
      </c>
      <c r="AF525" t="s">
        <v>4186</v>
      </c>
    </row>
    <row r="526" spans="1:32">
      <c r="A526" t="s">
        <v>4187</v>
      </c>
      <c r="B526" t="s">
        <v>4188</v>
      </c>
      <c r="C526" t="s">
        <v>4189</v>
      </c>
      <c r="D526" t="s">
        <v>4188</v>
      </c>
      <c r="E526" t="s">
        <v>4190</v>
      </c>
      <c r="F526" t="s">
        <v>4191</v>
      </c>
      <c r="H526" t="s">
        <v>4192</v>
      </c>
      <c r="I526" t="s">
        <v>4193</v>
      </c>
      <c r="J526" t="s">
        <v>8</v>
      </c>
      <c r="K526" t="s">
        <v>3</v>
      </c>
      <c r="L526" t="s">
        <v>3</v>
      </c>
      <c r="M526" t="s">
        <v>122</v>
      </c>
      <c r="N526" t="s">
        <v>3</v>
      </c>
      <c r="O526" t="s">
        <v>3</v>
      </c>
      <c r="P526" t="s">
        <v>3</v>
      </c>
      <c r="Q526" t="s">
        <v>8</v>
      </c>
      <c r="R526" t="s">
        <v>122</v>
      </c>
      <c r="S526" t="s">
        <v>8</v>
      </c>
      <c r="T526" t="s">
        <v>4187</v>
      </c>
      <c r="U526" t="s">
        <v>3</v>
      </c>
      <c r="V526" t="s">
        <v>3</v>
      </c>
      <c r="W526" t="s">
        <v>3</v>
      </c>
      <c r="AA526" t="s">
        <v>8</v>
      </c>
      <c r="AB526" t="s">
        <v>8</v>
      </c>
      <c r="AC526" t="s">
        <v>3</v>
      </c>
      <c r="AD526" t="s">
        <v>8</v>
      </c>
      <c r="AE526" t="s">
        <v>111</v>
      </c>
      <c r="AF526" t="s">
        <v>4194</v>
      </c>
    </row>
    <row r="527" spans="1:32">
      <c r="A527" t="s">
        <v>114</v>
      </c>
      <c r="B527" t="s">
        <v>25</v>
      </c>
      <c r="C527" t="s">
        <v>4195</v>
      </c>
      <c r="D527" t="s">
        <v>25</v>
      </c>
      <c r="E527" t="s">
        <v>4196</v>
      </c>
      <c r="F527" t="s">
        <v>4197</v>
      </c>
      <c r="G527" t="s">
        <v>4198</v>
      </c>
      <c r="H527" t="s">
        <v>4199</v>
      </c>
      <c r="J527" t="s">
        <v>8</v>
      </c>
      <c r="K527" t="s">
        <v>3</v>
      </c>
      <c r="L527" t="s">
        <v>3</v>
      </c>
      <c r="M527" t="s">
        <v>122</v>
      </c>
      <c r="N527" t="s">
        <v>3</v>
      </c>
      <c r="O527" t="s">
        <v>3</v>
      </c>
      <c r="P527" t="s">
        <v>3</v>
      </c>
      <c r="Q527" t="s">
        <v>8</v>
      </c>
      <c r="R527" t="s">
        <v>122</v>
      </c>
      <c r="S527" t="s">
        <v>8</v>
      </c>
      <c r="T527" t="s">
        <v>114</v>
      </c>
      <c r="U527" t="s">
        <v>3</v>
      </c>
      <c r="V527" t="s">
        <v>3</v>
      </c>
      <c r="W527" t="s">
        <v>652</v>
      </c>
      <c r="AA527" t="s">
        <v>8</v>
      </c>
      <c r="AB527" t="s">
        <v>8</v>
      </c>
      <c r="AC527" t="s">
        <v>3</v>
      </c>
      <c r="AD527" t="s">
        <v>8</v>
      </c>
      <c r="AE527" t="s">
        <v>111</v>
      </c>
      <c r="AF527" t="s">
        <v>4200</v>
      </c>
    </row>
    <row r="528" spans="1:32">
      <c r="A528" t="s">
        <v>4201</v>
      </c>
      <c r="B528" t="s">
        <v>4202</v>
      </c>
      <c r="C528" t="s">
        <v>4203</v>
      </c>
      <c r="D528" t="s">
        <v>4202</v>
      </c>
      <c r="E528" t="s">
        <v>4204</v>
      </c>
      <c r="F528" t="s">
        <v>4205</v>
      </c>
      <c r="H528" t="s">
        <v>4206</v>
      </c>
      <c r="I528" t="s">
        <v>4207</v>
      </c>
      <c r="J528" t="s">
        <v>8</v>
      </c>
      <c r="K528" t="s">
        <v>3</v>
      </c>
      <c r="L528" t="s">
        <v>3</v>
      </c>
      <c r="M528" t="s">
        <v>122</v>
      </c>
      <c r="N528" t="s">
        <v>3</v>
      </c>
      <c r="O528" t="s">
        <v>3</v>
      </c>
      <c r="P528" t="s">
        <v>3</v>
      </c>
      <c r="Q528" t="s">
        <v>8</v>
      </c>
      <c r="R528" t="s">
        <v>122</v>
      </c>
      <c r="S528" t="s">
        <v>8</v>
      </c>
      <c r="T528" t="s">
        <v>4201</v>
      </c>
      <c r="U528" t="s">
        <v>3</v>
      </c>
      <c r="V528" t="s">
        <v>3</v>
      </c>
      <c r="W528" t="s">
        <v>2224</v>
      </c>
      <c r="AA528" t="s">
        <v>8</v>
      </c>
      <c r="AB528" t="s">
        <v>8</v>
      </c>
      <c r="AC528" t="s">
        <v>3</v>
      </c>
      <c r="AD528" t="s">
        <v>8</v>
      </c>
      <c r="AE528" t="s">
        <v>84</v>
      </c>
      <c r="AF528" t="s">
        <v>4208</v>
      </c>
    </row>
    <row r="529" spans="1:32">
      <c r="A529" t="s">
        <v>4209</v>
      </c>
      <c r="B529" t="s">
        <v>4210</v>
      </c>
      <c r="C529" t="s">
        <v>4211</v>
      </c>
      <c r="D529" t="s">
        <v>4210</v>
      </c>
      <c r="E529" t="s">
        <v>1441</v>
      </c>
      <c r="F529" t="s">
        <v>4212</v>
      </c>
      <c r="H529" t="s">
        <v>4213</v>
      </c>
      <c r="J529" t="s">
        <v>8</v>
      </c>
      <c r="K529" t="s">
        <v>3</v>
      </c>
      <c r="L529" t="s">
        <v>3</v>
      </c>
      <c r="M529" t="s">
        <v>122</v>
      </c>
      <c r="N529" t="s">
        <v>3</v>
      </c>
      <c r="O529" t="s">
        <v>3</v>
      </c>
      <c r="P529" t="s">
        <v>3</v>
      </c>
      <c r="Q529" t="s">
        <v>8</v>
      </c>
      <c r="R529" t="s">
        <v>122</v>
      </c>
      <c r="S529" t="s">
        <v>8</v>
      </c>
      <c r="T529" t="s">
        <v>4209</v>
      </c>
      <c r="U529" t="s">
        <v>3</v>
      </c>
      <c r="V529" t="s">
        <v>3</v>
      </c>
      <c r="W529" t="s">
        <v>4209</v>
      </c>
      <c r="AA529" t="s">
        <v>8</v>
      </c>
      <c r="AB529" t="s">
        <v>8</v>
      </c>
      <c r="AC529" t="s">
        <v>3</v>
      </c>
      <c r="AD529" t="s">
        <v>8</v>
      </c>
      <c r="AE529" t="s">
        <v>111</v>
      </c>
      <c r="AF529" t="s">
        <v>4214</v>
      </c>
    </row>
    <row r="530" spans="1:32">
      <c r="A530" t="s">
        <v>4215</v>
      </c>
      <c r="B530" t="s">
        <v>4216</v>
      </c>
      <c r="C530" t="s">
        <v>4217</v>
      </c>
      <c r="D530" t="s">
        <v>4218</v>
      </c>
      <c r="F530" t="s">
        <v>4219</v>
      </c>
      <c r="H530" t="s">
        <v>4220</v>
      </c>
      <c r="I530" t="s">
        <v>4221</v>
      </c>
      <c r="J530" t="s">
        <v>8</v>
      </c>
      <c r="K530" t="s">
        <v>3</v>
      </c>
      <c r="L530" t="s">
        <v>3</v>
      </c>
      <c r="M530" t="s">
        <v>122</v>
      </c>
      <c r="N530" t="s">
        <v>3</v>
      </c>
      <c r="O530" t="s">
        <v>3</v>
      </c>
      <c r="P530" t="s">
        <v>3</v>
      </c>
      <c r="Q530" t="s">
        <v>8</v>
      </c>
      <c r="R530" t="s">
        <v>122</v>
      </c>
      <c r="S530" t="s">
        <v>8</v>
      </c>
      <c r="T530" t="s">
        <v>4215</v>
      </c>
      <c r="U530" t="s">
        <v>3</v>
      </c>
      <c r="V530" t="s">
        <v>3</v>
      </c>
      <c r="W530" t="s">
        <v>2843</v>
      </c>
      <c r="AA530" t="s">
        <v>3</v>
      </c>
      <c r="AB530" t="s">
        <v>8</v>
      </c>
      <c r="AC530" t="s">
        <v>3</v>
      </c>
      <c r="AD530" t="s">
        <v>8</v>
      </c>
      <c r="AE530" t="s">
        <v>116</v>
      </c>
      <c r="AF530" t="s">
        <v>4222</v>
      </c>
    </row>
    <row r="531" spans="1:32">
      <c r="A531" t="s">
        <v>4223</v>
      </c>
      <c r="B531" t="s">
        <v>4224</v>
      </c>
      <c r="C531" t="s">
        <v>4225</v>
      </c>
      <c r="D531" t="s">
        <v>4224</v>
      </c>
      <c r="E531" t="s">
        <v>1339</v>
      </c>
      <c r="F531" t="s">
        <v>4226</v>
      </c>
      <c r="H531" t="s">
        <v>4227</v>
      </c>
      <c r="J531" t="s">
        <v>8</v>
      </c>
      <c r="K531" t="s">
        <v>3</v>
      </c>
      <c r="L531" t="s">
        <v>3</v>
      </c>
      <c r="M531" t="s">
        <v>122</v>
      </c>
      <c r="N531" t="s">
        <v>3</v>
      </c>
      <c r="O531" t="s">
        <v>3</v>
      </c>
      <c r="P531" t="s">
        <v>3</v>
      </c>
      <c r="Q531" t="s">
        <v>8</v>
      </c>
      <c r="R531" t="s">
        <v>122</v>
      </c>
      <c r="S531" t="s">
        <v>8</v>
      </c>
      <c r="T531" t="s">
        <v>4223</v>
      </c>
      <c r="U531" t="s">
        <v>3</v>
      </c>
      <c r="V531" t="s">
        <v>3</v>
      </c>
      <c r="W531" t="s">
        <v>4228</v>
      </c>
      <c r="AA531" t="s">
        <v>3</v>
      </c>
      <c r="AB531" t="s">
        <v>8</v>
      </c>
      <c r="AC531" t="s">
        <v>3</v>
      </c>
      <c r="AD531" t="s">
        <v>8</v>
      </c>
      <c r="AE531" t="s">
        <v>116</v>
      </c>
      <c r="AF531" t="s">
        <v>4229</v>
      </c>
    </row>
    <row r="532" spans="1:32">
      <c r="A532" t="s">
        <v>4230</v>
      </c>
      <c r="B532" t="s">
        <v>4231</v>
      </c>
      <c r="C532" t="s">
        <v>4232</v>
      </c>
      <c r="D532" t="s">
        <v>4231</v>
      </c>
      <c r="E532" t="s">
        <v>4233</v>
      </c>
      <c r="F532" t="s">
        <v>4234</v>
      </c>
      <c r="G532" t="s">
        <v>4235</v>
      </c>
      <c r="H532" t="s">
        <v>4236</v>
      </c>
      <c r="I532" t="s">
        <v>4236</v>
      </c>
      <c r="J532" t="s">
        <v>8</v>
      </c>
      <c r="K532" t="s">
        <v>3</v>
      </c>
      <c r="L532" t="s">
        <v>3</v>
      </c>
      <c r="M532" t="s">
        <v>122</v>
      </c>
      <c r="N532" t="s">
        <v>3</v>
      </c>
      <c r="O532" t="s">
        <v>3</v>
      </c>
      <c r="P532" t="s">
        <v>3</v>
      </c>
      <c r="Q532" t="s">
        <v>8</v>
      </c>
      <c r="R532" t="s">
        <v>122</v>
      </c>
      <c r="S532" t="s">
        <v>8</v>
      </c>
      <c r="T532" t="s">
        <v>4230</v>
      </c>
      <c r="U532" t="s">
        <v>3</v>
      </c>
      <c r="V532" t="s">
        <v>3</v>
      </c>
      <c r="W532" t="s">
        <v>767</v>
      </c>
      <c r="AA532" t="s">
        <v>8</v>
      </c>
      <c r="AB532" t="s">
        <v>8</v>
      </c>
      <c r="AC532" t="s">
        <v>3</v>
      </c>
      <c r="AD532" t="s">
        <v>8</v>
      </c>
      <c r="AE532" t="s">
        <v>111</v>
      </c>
      <c r="AF532" t="s">
        <v>4237</v>
      </c>
    </row>
    <row r="533" spans="1:32">
      <c r="A533" t="s">
        <v>4238</v>
      </c>
      <c r="B533" t="s">
        <v>4239</v>
      </c>
      <c r="C533" t="s">
        <v>4240</v>
      </c>
      <c r="D533" t="s">
        <v>4239</v>
      </c>
      <c r="E533" t="s">
        <v>4241</v>
      </c>
      <c r="F533" t="s">
        <v>4234</v>
      </c>
      <c r="G533" t="s">
        <v>4235</v>
      </c>
      <c r="H533" t="s">
        <v>4236</v>
      </c>
      <c r="I533" t="s">
        <v>4236</v>
      </c>
      <c r="J533" t="s">
        <v>8</v>
      </c>
      <c r="K533" t="s">
        <v>3</v>
      </c>
      <c r="L533" t="s">
        <v>3</v>
      </c>
      <c r="M533" t="s">
        <v>122</v>
      </c>
      <c r="N533" t="s">
        <v>3</v>
      </c>
      <c r="O533" t="s">
        <v>3</v>
      </c>
      <c r="P533" t="s">
        <v>3</v>
      </c>
      <c r="Q533" t="s">
        <v>8</v>
      </c>
      <c r="R533" t="s">
        <v>122</v>
      </c>
      <c r="S533" t="s">
        <v>8</v>
      </c>
      <c r="T533" t="s">
        <v>4238</v>
      </c>
      <c r="U533" t="s">
        <v>3</v>
      </c>
      <c r="V533" t="s">
        <v>3</v>
      </c>
      <c r="W533" t="s">
        <v>769</v>
      </c>
      <c r="AA533" t="s">
        <v>8</v>
      </c>
      <c r="AB533" t="s">
        <v>8</v>
      </c>
      <c r="AC533" t="s">
        <v>3</v>
      </c>
      <c r="AD533" t="s">
        <v>8</v>
      </c>
      <c r="AE533" t="s">
        <v>72</v>
      </c>
      <c r="AF533" t="s">
        <v>4242</v>
      </c>
    </row>
    <row r="534" spans="1:32">
      <c r="A534" t="s">
        <v>4243</v>
      </c>
      <c r="B534" t="s">
        <v>4244</v>
      </c>
      <c r="C534" t="s">
        <v>4245</v>
      </c>
      <c r="D534" t="s">
        <v>4246</v>
      </c>
      <c r="J534" t="s">
        <v>8</v>
      </c>
      <c r="K534" t="s">
        <v>3</v>
      </c>
      <c r="L534" t="s">
        <v>3</v>
      </c>
      <c r="M534" t="s">
        <v>122</v>
      </c>
      <c r="N534" t="s">
        <v>3</v>
      </c>
      <c r="O534" t="s">
        <v>3</v>
      </c>
      <c r="P534" t="s">
        <v>3</v>
      </c>
      <c r="Q534" t="s">
        <v>8</v>
      </c>
      <c r="R534" t="s">
        <v>122</v>
      </c>
      <c r="S534" t="s">
        <v>8</v>
      </c>
      <c r="T534" t="s">
        <v>4243</v>
      </c>
      <c r="U534" t="s">
        <v>3</v>
      </c>
      <c r="V534" t="s">
        <v>3</v>
      </c>
      <c r="W534" t="s">
        <v>4243</v>
      </c>
      <c r="AA534" t="s">
        <v>8</v>
      </c>
      <c r="AB534" t="s">
        <v>8</v>
      </c>
      <c r="AC534" t="s">
        <v>3</v>
      </c>
      <c r="AD534" t="s">
        <v>8</v>
      </c>
      <c r="AE534" t="s">
        <v>111</v>
      </c>
      <c r="AF534" t="s">
        <v>4247</v>
      </c>
    </row>
    <row r="535" spans="1:32">
      <c r="A535" t="s">
        <v>4248</v>
      </c>
      <c r="B535" t="s">
        <v>4249</v>
      </c>
      <c r="C535" t="s">
        <v>4250</v>
      </c>
      <c r="D535" t="s">
        <v>4251</v>
      </c>
      <c r="J535" t="s">
        <v>8</v>
      </c>
      <c r="K535" t="s">
        <v>3</v>
      </c>
      <c r="L535" t="s">
        <v>3</v>
      </c>
      <c r="M535" t="s">
        <v>122</v>
      </c>
      <c r="N535" t="s">
        <v>3</v>
      </c>
      <c r="O535" t="s">
        <v>3</v>
      </c>
      <c r="P535" t="s">
        <v>3</v>
      </c>
      <c r="Q535" t="s">
        <v>8</v>
      </c>
      <c r="R535" t="s">
        <v>122</v>
      </c>
      <c r="S535" t="s">
        <v>8</v>
      </c>
      <c r="T535" t="s">
        <v>4248</v>
      </c>
      <c r="U535" t="s">
        <v>3</v>
      </c>
      <c r="V535" t="s">
        <v>3</v>
      </c>
      <c r="W535" t="s">
        <v>4248</v>
      </c>
      <c r="AA535" t="s">
        <v>8</v>
      </c>
      <c r="AB535" t="s">
        <v>8</v>
      </c>
      <c r="AC535" t="s">
        <v>3</v>
      </c>
      <c r="AD535" t="s">
        <v>8</v>
      </c>
      <c r="AE535" t="s">
        <v>111</v>
      </c>
      <c r="AF535" t="s">
        <v>4252</v>
      </c>
    </row>
    <row r="536" spans="1:32">
      <c r="A536" t="s">
        <v>4253</v>
      </c>
      <c r="B536" t="s">
        <v>4254</v>
      </c>
      <c r="C536" t="s">
        <v>4255</v>
      </c>
      <c r="D536" t="s">
        <v>4256</v>
      </c>
      <c r="J536" t="s">
        <v>8</v>
      </c>
      <c r="K536" t="s">
        <v>3</v>
      </c>
      <c r="L536" t="s">
        <v>3</v>
      </c>
      <c r="M536" t="s">
        <v>122</v>
      </c>
      <c r="N536" t="s">
        <v>3</v>
      </c>
      <c r="O536" t="s">
        <v>3</v>
      </c>
      <c r="P536" t="s">
        <v>3</v>
      </c>
      <c r="Q536" t="s">
        <v>8</v>
      </c>
      <c r="R536" t="s">
        <v>122</v>
      </c>
      <c r="S536" t="s">
        <v>8</v>
      </c>
      <c r="T536" t="s">
        <v>4253</v>
      </c>
      <c r="U536" t="s">
        <v>3</v>
      </c>
      <c r="V536" t="s">
        <v>3</v>
      </c>
      <c r="W536" t="s">
        <v>4253</v>
      </c>
      <c r="AA536" t="s">
        <v>1638</v>
      </c>
      <c r="AB536" t="s">
        <v>8</v>
      </c>
      <c r="AC536" t="s">
        <v>3</v>
      </c>
      <c r="AD536" t="s">
        <v>8</v>
      </c>
      <c r="AE536" t="s">
        <v>111</v>
      </c>
      <c r="AF536" t="s">
        <v>4257</v>
      </c>
    </row>
    <row r="537" spans="1:32">
      <c r="A537" t="s">
        <v>143</v>
      </c>
      <c r="B537" t="s">
        <v>4258</v>
      </c>
      <c r="C537" t="s">
        <v>4259</v>
      </c>
      <c r="D537" t="s">
        <v>4260</v>
      </c>
      <c r="J537" t="s">
        <v>8</v>
      </c>
      <c r="K537" t="s">
        <v>3</v>
      </c>
      <c r="L537" t="s">
        <v>3</v>
      </c>
      <c r="M537" t="s">
        <v>122</v>
      </c>
      <c r="N537" t="s">
        <v>3</v>
      </c>
      <c r="O537" t="s">
        <v>3</v>
      </c>
      <c r="P537" t="s">
        <v>3</v>
      </c>
      <c r="Q537" t="s">
        <v>8</v>
      </c>
      <c r="R537" t="s">
        <v>122</v>
      </c>
      <c r="S537" t="s">
        <v>8</v>
      </c>
      <c r="T537" t="s">
        <v>143</v>
      </c>
      <c r="U537" t="s">
        <v>3</v>
      </c>
      <c r="V537" t="s">
        <v>3</v>
      </c>
      <c r="W537" t="s">
        <v>143</v>
      </c>
      <c r="AA537" t="s">
        <v>1638</v>
      </c>
      <c r="AB537" t="s">
        <v>8</v>
      </c>
      <c r="AC537" t="s">
        <v>3</v>
      </c>
      <c r="AD537" t="s">
        <v>8</v>
      </c>
      <c r="AE537" t="s">
        <v>111</v>
      </c>
      <c r="AF537" t="s">
        <v>4261</v>
      </c>
    </row>
    <row r="538" spans="1:32">
      <c r="A538" t="s">
        <v>144</v>
      </c>
      <c r="B538" t="s">
        <v>4262</v>
      </c>
      <c r="C538" t="s">
        <v>4263</v>
      </c>
      <c r="D538" t="s">
        <v>4264</v>
      </c>
      <c r="J538" t="s">
        <v>8</v>
      </c>
      <c r="K538" t="s">
        <v>3</v>
      </c>
      <c r="L538" t="s">
        <v>3</v>
      </c>
      <c r="M538" t="s">
        <v>122</v>
      </c>
      <c r="N538" t="s">
        <v>3</v>
      </c>
      <c r="O538" t="s">
        <v>3</v>
      </c>
      <c r="P538" t="s">
        <v>3</v>
      </c>
      <c r="Q538" t="s">
        <v>8</v>
      </c>
      <c r="R538" t="s">
        <v>122</v>
      </c>
      <c r="S538" t="s">
        <v>8</v>
      </c>
      <c r="T538" t="s">
        <v>144</v>
      </c>
      <c r="U538" t="s">
        <v>3</v>
      </c>
      <c r="V538" t="s">
        <v>3</v>
      </c>
      <c r="W538" t="s">
        <v>144</v>
      </c>
      <c r="AA538" t="s">
        <v>1638</v>
      </c>
      <c r="AB538" t="s">
        <v>8</v>
      </c>
      <c r="AC538" t="s">
        <v>3</v>
      </c>
      <c r="AD538" t="s">
        <v>8</v>
      </c>
      <c r="AE538" t="s">
        <v>111</v>
      </c>
      <c r="AF538" t="s">
        <v>4265</v>
      </c>
    </row>
    <row r="539" spans="1:32">
      <c r="A539" t="s">
        <v>1663</v>
      </c>
      <c r="B539" t="s">
        <v>4266</v>
      </c>
      <c r="C539" t="s">
        <v>4266</v>
      </c>
      <c r="D539" t="s">
        <v>4266</v>
      </c>
      <c r="E539" t="s">
        <v>3142</v>
      </c>
      <c r="F539" t="s">
        <v>3827</v>
      </c>
      <c r="H539" t="s">
        <v>3816</v>
      </c>
      <c r="J539" t="s">
        <v>8</v>
      </c>
      <c r="K539" t="s">
        <v>3</v>
      </c>
      <c r="L539" t="s">
        <v>3</v>
      </c>
      <c r="M539" t="s">
        <v>122</v>
      </c>
      <c r="N539" t="s">
        <v>3</v>
      </c>
      <c r="O539" t="s">
        <v>3</v>
      </c>
      <c r="P539" t="s">
        <v>3</v>
      </c>
      <c r="Q539" t="s">
        <v>8</v>
      </c>
      <c r="R539" t="s">
        <v>122</v>
      </c>
      <c r="S539" t="s">
        <v>8</v>
      </c>
      <c r="T539" t="s">
        <v>1663</v>
      </c>
      <c r="U539" t="s">
        <v>3</v>
      </c>
      <c r="V539" t="s">
        <v>3</v>
      </c>
      <c r="W539" t="s">
        <v>1663</v>
      </c>
      <c r="AA539" t="s">
        <v>8</v>
      </c>
      <c r="AB539" t="s">
        <v>8</v>
      </c>
      <c r="AC539" t="s">
        <v>3</v>
      </c>
      <c r="AD539" t="s">
        <v>8</v>
      </c>
      <c r="AE539" t="s">
        <v>111</v>
      </c>
      <c r="AF539" t="s">
        <v>4267</v>
      </c>
    </row>
    <row r="540" spans="1:32">
      <c r="A540" t="s">
        <v>4268</v>
      </c>
      <c r="B540" t="s">
        <v>4269</v>
      </c>
      <c r="C540" t="s">
        <v>4270</v>
      </c>
      <c r="D540" t="s">
        <v>4269</v>
      </c>
      <c r="J540" t="s">
        <v>8</v>
      </c>
      <c r="K540" t="s">
        <v>3</v>
      </c>
      <c r="L540" t="s">
        <v>3</v>
      </c>
      <c r="M540" t="s">
        <v>122</v>
      </c>
      <c r="N540" t="s">
        <v>3</v>
      </c>
      <c r="O540" t="s">
        <v>3</v>
      </c>
      <c r="P540" t="s">
        <v>3</v>
      </c>
      <c r="Q540" t="s">
        <v>8</v>
      </c>
      <c r="R540" t="s">
        <v>122</v>
      </c>
      <c r="S540" t="s">
        <v>8</v>
      </c>
      <c r="T540" t="s">
        <v>4268</v>
      </c>
      <c r="U540" t="s">
        <v>3</v>
      </c>
      <c r="V540" t="s">
        <v>3</v>
      </c>
      <c r="W540" t="s">
        <v>4268</v>
      </c>
      <c r="AA540" t="s">
        <v>8</v>
      </c>
      <c r="AB540" t="s">
        <v>8</v>
      </c>
      <c r="AC540" t="s">
        <v>3</v>
      </c>
      <c r="AD540" t="s">
        <v>8</v>
      </c>
      <c r="AE540" t="s">
        <v>130</v>
      </c>
      <c r="AF540" t="s">
        <v>4271</v>
      </c>
    </row>
    <row r="541" spans="1:32">
      <c r="A541" t="s">
        <v>4272</v>
      </c>
      <c r="B541" t="s">
        <v>4273</v>
      </c>
      <c r="C541" t="s">
        <v>4274</v>
      </c>
      <c r="D541" t="s">
        <v>4275</v>
      </c>
      <c r="H541" t="s">
        <v>4276</v>
      </c>
      <c r="I541" t="s">
        <v>4277</v>
      </c>
      <c r="J541" t="s">
        <v>8</v>
      </c>
      <c r="K541" t="s">
        <v>3</v>
      </c>
      <c r="L541" t="s">
        <v>3</v>
      </c>
      <c r="M541" t="s">
        <v>122</v>
      </c>
      <c r="N541" t="s">
        <v>3</v>
      </c>
      <c r="O541" t="s">
        <v>3</v>
      </c>
      <c r="P541" t="s">
        <v>3</v>
      </c>
      <c r="Q541" t="s">
        <v>8</v>
      </c>
      <c r="R541" t="s">
        <v>122</v>
      </c>
      <c r="S541" t="s">
        <v>8</v>
      </c>
      <c r="T541" t="s">
        <v>4272</v>
      </c>
      <c r="U541" t="s">
        <v>3</v>
      </c>
      <c r="V541" t="s">
        <v>3</v>
      </c>
      <c r="W541" t="s">
        <v>4272</v>
      </c>
      <c r="AA541" t="s">
        <v>1638</v>
      </c>
      <c r="AB541" t="s">
        <v>8</v>
      </c>
      <c r="AC541" t="s">
        <v>3</v>
      </c>
      <c r="AD541" t="s">
        <v>8</v>
      </c>
      <c r="AE541" t="s">
        <v>130</v>
      </c>
      <c r="AF541" t="s">
        <v>4278</v>
      </c>
    </row>
    <row r="542" spans="1:32">
      <c r="A542" t="s">
        <v>4279</v>
      </c>
      <c r="B542" t="s">
        <v>4280</v>
      </c>
      <c r="C542" t="s">
        <v>4281</v>
      </c>
      <c r="D542" t="s">
        <v>4282</v>
      </c>
      <c r="J542" t="s">
        <v>8</v>
      </c>
      <c r="K542" t="s">
        <v>3</v>
      </c>
      <c r="L542" t="s">
        <v>3</v>
      </c>
      <c r="M542" t="s">
        <v>122</v>
      </c>
      <c r="N542" t="s">
        <v>3</v>
      </c>
      <c r="O542" t="s">
        <v>3</v>
      </c>
      <c r="P542" t="s">
        <v>3</v>
      </c>
      <c r="Q542" t="s">
        <v>8</v>
      </c>
      <c r="R542" t="s">
        <v>122</v>
      </c>
      <c r="S542" t="s">
        <v>8</v>
      </c>
      <c r="T542" t="s">
        <v>4279</v>
      </c>
      <c r="U542" t="s">
        <v>3</v>
      </c>
      <c r="V542" t="s">
        <v>3</v>
      </c>
      <c r="W542" t="s">
        <v>4279</v>
      </c>
      <c r="AA542" t="s">
        <v>1638</v>
      </c>
      <c r="AB542" t="s">
        <v>8</v>
      </c>
      <c r="AC542" t="s">
        <v>3</v>
      </c>
      <c r="AD542" t="s">
        <v>8</v>
      </c>
      <c r="AE542" t="s">
        <v>111</v>
      </c>
      <c r="AF542" t="s">
        <v>4283</v>
      </c>
    </row>
    <row r="543" spans="1:32">
      <c r="A543" t="s">
        <v>4284</v>
      </c>
      <c r="B543" t="s">
        <v>4285</v>
      </c>
      <c r="C543" t="s">
        <v>4286</v>
      </c>
      <c r="D543" t="s">
        <v>4285</v>
      </c>
      <c r="J543" t="s">
        <v>8</v>
      </c>
      <c r="K543" t="s">
        <v>3</v>
      </c>
      <c r="L543" t="s">
        <v>3</v>
      </c>
      <c r="M543" t="s">
        <v>122</v>
      </c>
      <c r="N543" t="s">
        <v>3</v>
      </c>
      <c r="O543" t="s">
        <v>3</v>
      </c>
      <c r="P543" t="s">
        <v>3</v>
      </c>
      <c r="Q543" t="s">
        <v>8</v>
      </c>
      <c r="R543" t="s">
        <v>122</v>
      </c>
      <c r="S543" t="s">
        <v>8</v>
      </c>
      <c r="T543" t="s">
        <v>4284</v>
      </c>
      <c r="U543" t="s">
        <v>3</v>
      </c>
      <c r="V543" t="s">
        <v>3</v>
      </c>
      <c r="W543" t="s">
        <v>2453</v>
      </c>
      <c r="AA543" t="s">
        <v>1638</v>
      </c>
      <c r="AB543" t="s">
        <v>8</v>
      </c>
      <c r="AC543" t="s">
        <v>3</v>
      </c>
      <c r="AD543" t="s">
        <v>8</v>
      </c>
      <c r="AE543" t="s">
        <v>111</v>
      </c>
      <c r="AF543" t="s">
        <v>4287</v>
      </c>
    </row>
    <row r="544" spans="1:32">
      <c r="A544" t="s">
        <v>1821</v>
      </c>
      <c r="B544" t="s">
        <v>4288</v>
      </c>
      <c r="C544" t="s">
        <v>4289</v>
      </c>
      <c r="D544" t="s">
        <v>4290</v>
      </c>
      <c r="E544" t="s">
        <v>1347</v>
      </c>
      <c r="F544" t="s">
        <v>4291</v>
      </c>
      <c r="H544" t="s">
        <v>4292</v>
      </c>
      <c r="J544" t="s">
        <v>8</v>
      </c>
      <c r="K544" t="s">
        <v>3</v>
      </c>
      <c r="L544" t="s">
        <v>3</v>
      </c>
      <c r="M544" t="s">
        <v>122</v>
      </c>
      <c r="N544" t="s">
        <v>3</v>
      </c>
      <c r="O544" t="s">
        <v>3</v>
      </c>
      <c r="P544" t="s">
        <v>3</v>
      </c>
      <c r="Q544" t="s">
        <v>8</v>
      </c>
      <c r="R544" t="s">
        <v>122</v>
      </c>
      <c r="S544" t="s">
        <v>8</v>
      </c>
      <c r="T544" t="s">
        <v>1821</v>
      </c>
      <c r="U544" t="s">
        <v>3</v>
      </c>
      <c r="V544" t="s">
        <v>3</v>
      </c>
      <c r="W544" t="s">
        <v>1821</v>
      </c>
      <c r="AA544" t="s">
        <v>8</v>
      </c>
      <c r="AB544" t="s">
        <v>8</v>
      </c>
      <c r="AC544" t="s">
        <v>3</v>
      </c>
      <c r="AD544" t="s">
        <v>8</v>
      </c>
      <c r="AE544" t="s">
        <v>111</v>
      </c>
      <c r="AF544" t="s">
        <v>4293</v>
      </c>
    </row>
    <row r="545" spans="1:32">
      <c r="A545" t="s">
        <v>3830</v>
      </c>
      <c r="B545" t="s">
        <v>4294</v>
      </c>
      <c r="C545" t="s">
        <v>4295</v>
      </c>
      <c r="D545" t="s">
        <v>4296</v>
      </c>
      <c r="J545" t="s">
        <v>8</v>
      </c>
      <c r="K545" t="s">
        <v>3</v>
      </c>
      <c r="L545" t="s">
        <v>3</v>
      </c>
      <c r="M545" t="s">
        <v>122</v>
      </c>
      <c r="N545" t="s">
        <v>3</v>
      </c>
      <c r="O545" t="s">
        <v>3</v>
      </c>
      <c r="P545" t="s">
        <v>3</v>
      </c>
      <c r="Q545" t="s">
        <v>8</v>
      </c>
      <c r="R545" t="s">
        <v>122</v>
      </c>
      <c r="S545" t="s">
        <v>8</v>
      </c>
      <c r="T545" t="s">
        <v>144</v>
      </c>
      <c r="U545" t="s">
        <v>3</v>
      </c>
      <c r="V545" t="s">
        <v>3</v>
      </c>
      <c r="W545" t="s">
        <v>144</v>
      </c>
      <c r="AA545" t="s">
        <v>1638</v>
      </c>
      <c r="AB545" t="s">
        <v>8</v>
      </c>
      <c r="AC545" t="s">
        <v>3</v>
      </c>
      <c r="AD545" t="s">
        <v>8</v>
      </c>
      <c r="AE545" t="s">
        <v>130</v>
      </c>
      <c r="AF545" t="s">
        <v>4297</v>
      </c>
    </row>
    <row r="546" spans="1:32">
      <c r="A546" t="s">
        <v>4298</v>
      </c>
      <c r="B546" t="s">
        <v>4299</v>
      </c>
      <c r="C546" t="s">
        <v>4300</v>
      </c>
      <c r="D546" t="s">
        <v>4299</v>
      </c>
      <c r="E546" t="s">
        <v>4301</v>
      </c>
      <c r="F546" t="s">
        <v>4302</v>
      </c>
      <c r="H546" t="s">
        <v>4303</v>
      </c>
      <c r="J546" t="s">
        <v>8</v>
      </c>
      <c r="K546" t="s">
        <v>3</v>
      </c>
      <c r="L546" t="s">
        <v>3</v>
      </c>
      <c r="M546" t="s">
        <v>122</v>
      </c>
      <c r="N546" t="s">
        <v>3</v>
      </c>
      <c r="O546" t="s">
        <v>3</v>
      </c>
      <c r="P546" t="s">
        <v>3</v>
      </c>
      <c r="Q546" t="s">
        <v>8</v>
      </c>
      <c r="R546" t="s">
        <v>122</v>
      </c>
      <c r="S546" t="s">
        <v>8</v>
      </c>
      <c r="T546" t="s">
        <v>4298</v>
      </c>
      <c r="U546" t="s">
        <v>3</v>
      </c>
      <c r="V546" t="s">
        <v>3</v>
      </c>
      <c r="W546" t="s">
        <v>4298</v>
      </c>
      <c r="AA546" t="s">
        <v>8</v>
      </c>
      <c r="AB546" t="s">
        <v>8</v>
      </c>
      <c r="AC546" t="s">
        <v>3</v>
      </c>
      <c r="AD546" t="s">
        <v>8</v>
      </c>
      <c r="AE546" t="s">
        <v>111</v>
      </c>
      <c r="AF546" t="s">
        <v>4304</v>
      </c>
    </row>
    <row r="547" spans="1:32">
      <c r="A547" t="s">
        <v>4305</v>
      </c>
      <c r="B547" t="s">
        <v>4306</v>
      </c>
      <c r="C547" t="s">
        <v>4307</v>
      </c>
      <c r="D547" t="s">
        <v>4308</v>
      </c>
      <c r="E547" t="s">
        <v>3739</v>
      </c>
      <c r="F547" t="s">
        <v>4309</v>
      </c>
      <c r="H547" t="s">
        <v>4310</v>
      </c>
      <c r="J547" t="s">
        <v>8</v>
      </c>
      <c r="K547" t="s">
        <v>3</v>
      </c>
      <c r="L547" t="s">
        <v>3</v>
      </c>
      <c r="M547" t="s">
        <v>122</v>
      </c>
      <c r="N547" t="s">
        <v>3</v>
      </c>
      <c r="O547" t="s">
        <v>3</v>
      </c>
      <c r="P547" t="s">
        <v>3</v>
      </c>
      <c r="Q547" t="s">
        <v>8</v>
      </c>
      <c r="R547" t="s">
        <v>122</v>
      </c>
      <c r="S547" t="s">
        <v>8</v>
      </c>
      <c r="T547" t="s">
        <v>4305</v>
      </c>
      <c r="U547" t="s">
        <v>3</v>
      </c>
      <c r="V547" t="s">
        <v>3</v>
      </c>
      <c r="W547" t="s">
        <v>4305</v>
      </c>
      <c r="AA547" t="s">
        <v>8</v>
      </c>
      <c r="AB547" t="s">
        <v>8</v>
      </c>
      <c r="AC547" t="s">
        <v>3</v>
      </c>
      <c r="AD547" t="s">
        <v>8</v>
      </c>
      <c r="AE547" t="s">
        <v>111</v>
      </c>
      <c r="AF547" t="s">
        <v>4311</v>
      </c>
    </row>
    <row r="548" spans="1:32">
      <c r="A548" t="s">
        <v>4312</v>
      </c>
      <c r="B548" t="s">
        <v>4313</v>
      </c>
      <c r="C548" t="s">
        <v>4314</v>
      </c>
      <c r="D548" t="s">
        <v>4315</v>
      </c>
      <c r="J548" t="s">
        <v>8</v>
      </c>
      <c r="K548" t="s">
        <v>3</v>
      </c>
      <c r="L548" t="s">
        <v>3</v>
      </c>
      <c r="M548" t="s">
        <v>122</v>
      </c>
      <c r="N548" t="s">
        <v>3</v>
      </c>
      <c r="O548" t="s">
        <v>3</v>
      </c>
      <c r="P548" t="s">
        <v>3</v>
      </c>
      <c r="Q548" t="s">
        <v>8</v>
      </c>
      <c r="R548" t="s">
        <v>122</v>
      </c>
      <c r="S548" t="s">
        <v>8</v>
      </c>
      <c r="T548" t="s">
        <v>143</v>
      </c>
      <c r="U548" t="s">
        <v>3</v>
      </c>
      <c r="V548" t="s">
        <v>3</v>
      </c>
      <c r="W548" t="s">
        <v>2453</v>
      </c>
      <c r="AA548" t="s">
        <v>1638</v>
      </c>
      <c r="AB548" t="s">
        <v>8</v>
      </c>
      <c r="AC548" t="s">
        <v>3</v>
      </c>
      <c r="AD548" t="s">
        <v>111</v>
      </c>
      <c r="AE548" t="s">
        <v>130</v>
      </c>
      <c r="AF548" t="s">
        <v>4316</v>
      </c>
    </row>
    <row r="549" spans="1:32">
      <c r="A549" t="s">
        <v>4317</v>
      </c>
      <c r="B549" t="s">
        <v>4318</v>
      </c>
      <c r="C549" t="s">
        <v>4319</v>
      </c>
      <c r="D549" t="s">
        <v>4318</v>
      </c>
      <c r="E549" t="s">
        <v>4320</v>
      </c>
      <c r="F549" t="s">
        <v>4321</v>
      </c>
      <c r="H549" t="s">
        <v>4322</v>
      </c>
      <c r="I549" t="s">
        <v>4323</v>
      </c>
      <c r="J549" t="s">
        <v>8</v>
      </c>
      <c r="K549" t="s">
        <v>3</v>
      </c>
      <c r="L549" t="s">
        <v>3</v>
      </c>
      <c r="M549" t="s">
        <v>122</v>
      </c>
      <c r="N549" t="s">
        <v>3</v>
      </c>
      <c r="O549" t="s">
        <v>3</v>
      </c>
      <c r="P549" t="s">
        <v>3</v>
      </c>
      <c r="Q549" t="s">
        <v>8</v>
      </c>
      <c r="R549" t="s">
        <v>122</v>
      </c>
      <c r="S549" t="s">
        <v>8</v>
      </c>
      <c r="T549" t="s">
        <v>4317</v>
      </c>
      <c r="U549" t="s">
        <v>3</v>
      </c>
      <c r="V549" t="s">
        <v>3</v>
      </c>
      <c r="W549" t="s">
        <v>4305</v>
      </c>
      <c r="AA549" t="s">
        <v>8</v>
      </c>
      <c r="AB549" t="s">
        <v>8</v>
      </c>
      <c r="AC549" t="s">
        <v>3</v>
      </c>
      <c r="AD549" t="s">
        <v>8</v>
      </c>
      <c r="AE549" t="s">
        <v>111</v>
      </c>
      <c r="AF549" t="s">
        <v>4324</v>
      </c>
    </row>
    <row r="550" spans="1:32">
      <c r="A550" t="s">
        <v>2319</v>
      </c>
      <c r="B550" t="s">
        <v>4325</v>
      </c>
      <c r="C550" t="s">
        <v>4326</v>
      </c>
      <c r="D550" t="s">
        <v>4327</v>
      </c>
      <c r="E550" t="s">
        <v>4328</v>
      </c>
      <c r="F550" t="s">
        <v>4329</v>
      </c>
      <c r="H550" t="s">
        <v>4330</v>
      </c>
      <c r="I550" t="s">
        <v>4331</v>
      </c>
      <c r="J550" t="s">
        <v>8</v>
      </c>
      <c r="K550" t="s">
        <v>3</v>
      </c>
      <c r="L550" t="s">
        <v>3</v>
      </c>
      <c r="M550" t="s">
        <v>122</v>
      </c>
      <c r="N550" t="s">
        <v>3</v>
      </c>
      <c r="O550" t="s">
        <v>3</v>
      </c>
      <c r="P550" t="s">
        <v>3</v>
      </c>
      <c r="Q550" t="s">
        <v>8</v>
      </c>
      <c r="R550" t="s">
        <v>122</v>
      </c>
      <c r="S550" t="s">
        <v>8</v>
      </c>
      <c r="T550" t="s">
        <v>2319</v>
      </c>
      <c r="U550" t="s">
        <v>3</v>
      </c>
      <c r="V550" t="s">
        <v>3</v>
      </c>
      <c r="W550" t="s">
        <v>2319</v>
      </c>
      <c r="AA550" t="s">
        <v>8</v>
      </c>
      <c r="AB550" t="s">
        <v>3</v>
      </c>
      <c r="AC550" t="s">
        <v>3</v>
      </c>
      <c r="AD550" t="s">
        <v>8</v>
      </c>
      <c r="AE550" t="s">
        <v>130</v>
      </c>
      <c r="AF550" t="s">
        <v>4332</v>
      </c>
    </row>
    <row r="551" spans="1:32">
      <c r="A551" t="s">
        <v>4333</v>
      </c>
      <c r="B551" t="s">
        <v>4334</v>
      </c>
      <c r="C551" t="s">
        <v>4335</v>
      </c>
      <c r="D551" t="s">
        <v>4336</v>
      </c>
      <c r="E551" t="s">
        <v>4328</v>
      </c>
      <c r="F551" t="s">
        <v>4329</v>
      </c>
      <c r="H551" t="s">
        <v>4330</v>
      </c>
      <c r="I551" t="s">
        <v>4331</v>
      </c>
      <c r="J551" t="s">
        <v>8</v>
      </c>
      <c r="K551" t="s">
        <v>3</v>
      </c>
      <c r="L551" t="s">
        <v>3</v>
      </c>
      <c r="M551" t="s">
        <v>122</v>
      </c>
      <c r="N551" t="s">
        <v>3</v>
      </c>
      <c r="O551" t="s">
        <v>3</v>
      </c>
      <c r="P551" t="s">
        <v>3</v>
      </c>
      <c r="Q551" t="s">
        <v>8</v>
      </c>
      <c r="R551" t="s">
        <v>122</v>
      </c>
      <c r="S551" t="s">
        <v>8</v>
      </c>
      <c r="T551" t="s">
        <v>4333</v>
      </c>
      <c r="U551" t="s">
        <v>3</v>
      </c>
      <c r="V551" t="s">
        <v>3</v>
      </c>
      <c r="W551" t="s">
        <v>4333</v>
      </c>
      <c r="AA551" t="s">
        <v>8</v>
      </c>
      <c r="AB551" t="s">
        <v>3</v>
      </c>
      <c r="AC551" t="s">
        <v>3</v>
      </c>
      <c r="AD551" t="s">
        <v>8</v>
      </c>
      <c r="AE551" t="s">
        <v>130</v>
      </c>
      <c r="AF551" t="s">
        <v>4337</v>
      </c>
    </row>
    <row r="552" spans="1:32">
      <c r="A552" t="s">
        <v>4338</v>
      </c>
      <c r="B552" t="s">
        <v>4339</v>
      </c>
      <c r="C552" t="s">
        <v>4340</v>
      </c>
      <c r="D552" t="s">
        <v>4339</v>
      </c>
      <c r="E552" t="s">
        <v>4328</v>
      </c>
      <c r="F552" t="s">
        <v>4329</v>
      </c>
      <c r="H552" t="s">
        <v>4330</v>
      </c>
      <c r="I552" t="s">
        <v>4331</v>
      </c>
      <c r="J552" t="s">
        <v>8</v>
      </c>
      <c r="K552" t="s">
        <v>3</v>
      </c>
      <c r="L552" t="s">
        <v>3</v>
      </c>
      <c r="M552" t="s">
        <v>122</v>
      </c>
      <c r="N552" t="s">
        <v>3</v>
      </c>
      <c r="O552" t="s">
        <v>3</v>
      </c>
      <c r="P552" t="s">
        <v>3</v>
      </c>
      <c r="Q552" t="s">
        <v>8</v>
      </c>
      <c r="R552" t="s">
        <v>122</v>
      </c>
      <c r="S552" t="s">
        <v>8</v>
      </c>
      <c r="T552" t="s">
        <v>4338</v>
      </c>
      <c r="U552" t="s">
        <v>3</v>
      </c>
      <c r="V552" t="s">
        <v>3</v>
      </c>
      <c r="W552" t="s">
        <v>4338</v>
      </c>
      <c r="AA552" t="s">
        <v>8</v>
      </c>
      <c r="AB552" t="s">
        <v>3</v>
      </c>
      <c r="AC552" t="s">
        <v>3</v>
      </c>
      <c r="AD552" t="s">
        <v>8</v>
      </c>
      <c r="AE552" t="s">
        <v>111</v>
      </c>
      <c r="AF552" t="s">
        <v>4341</v>
      </c>
    </row>
    <row r="553" spans="1:32">
      <c r="A553" t="s">
        <v>4342</v>
      </c>
      <c r="B553" t="s">
        <v>4343</v>
      </c>
      <c r="C553" t="s">
        <v>4344</v>
      </c>
      <c r="D553" t="s">
        <v>4339</v>
      </c>
      <c r="E553" t="s">
        <v>4328</v>
      </c>
      <c r="F553" t="s">
        <v>4329</v>
      </c>
      <c r="H553" t="s">
        <v>4330</v>
      </c>
      <c r="I553" t="s">
        <v>4331</v>
      </c>
      <c r="J553" t="s">
        <v>8</v>
      </c>
      <c r="K553" t="s">
        <v>3</v>
      </c>
      <c r="L553" t="s">
        <v>3</v>
      </c>
      <c r="M553" t="s">
        <v>122</v>
      </c>
      <c r="N553" t="s">
        <v>3</v>
      </c>
      <c r="O553" t="s">
        <v>3</v>
      </c>
      <c r="P553" t="s">
        <v>3</v>
      </c>
      <c r="Q553" t="s">
        <v>8</v>
      </c>
      <c r="R553" t="s">
        <v>122</v>
      </c>
      <c r="S553" t="s">
        <v>8</v>
      </c>
      <c r="T553" t="s">
        <v>4342</v>
      </c>
      <c r="U553" t="s">
        <v>3</v>
      </c>
      <c r="V553" t="s">
        <v>3</v>
      </c>
      <c r="W553" t="s">
        <v>4338</v>
      </c>
      <c r="AA553" t="s">
        <v>8</v>
      </c>
      <c r="AB553" t="s">
        <v>3</v>
      </c>
      <c r="AC553" t="s">
        <v>3</v>
      </c>
      <c r="AD553" t="s">
        <v>8</v>
      </c>
      <c r="AE553" t="s">
        <v>111</v>
      </c>
      <c r="AF553" t="s">
        <v>4345</v>
      </c>
    </row>
    <row r="554" spans="1:32">
      <c r="A554" t="s">
        <v>4346</v>
      </c>
      <c r="B554" t="s">
        <v>4285</v>
      </c>
      <c r="C554" t="s">
        <v>4286</v>
      </c>
      <c r="D554" t="s">
        <v>4285</v>
      </c>
      <c r="J554" t="s">
        <v>8</v>
      </c>
      <c r="K554" t="s">
        <v>3</v>
      </c>
      <c r="L554" t="s">
        <v>3</v>
      </c>
      <c r="M554" t="s">
        <v>122</v>
      </c>
      <c r="N554" t="s">
        <v>3</v>
      </c>
      <c r="O554" t="s">
        <v>3</v>
      </c>
      <c r="P554" t="s">
        <v>3</v>
      </c>
      <c r="Q554" t="s">
        <v>8</v>
      </c>
      <c r="R554" t="s">
        <v>122</v>
      </c>
      <c r="S554" t="s">
        <v>8</v>
      </c>
      <c r="T554" t="s">
        <v>4346</v>
      </c>
      <c r="U554" t="s">
        <v>3</v>
      </c>
      <c r="V554" t="s">
        <v>3</v>
      </c>
      <c r="W554" t="s">
        <v>4346</v>
      </c>
      <c r="AA554" t="s">
        <v>8</v>
      </c>
      <c r="AB554" t="s">
        <v>8</v>
      </c>
      <c r="AC554" t="s">
        <v>3</v>
      </c>
      <c r="AD554" t="s">
        <v>8</v>
      </c>
      <c r="AE554" t="s">
        <v>130</v>
      </c>
      <c r="AF554" t="s">
        <v>4347</v>
      </c>
    </row>
    <row r="555" spans="1:32">
      <c r="A555" t="s">
        <v>4348</v>
      </c>
      <c r="B555" t="s">
        <v>4273</v>
      </c>
      <c r="C555" t="s">
        <v>4274</v>
      </c>
      <c r="D555" t="s">
        <v>4275</v>
      </c>
      <c r="H555" t="s">
        <v>4276</v>
      </c>
      <c r="I555" t="s">
        <v>4277</v>
      </c>
      <c r="J555" t="s">
        <v>8</v>
      </c>
      <c r="K555" t="s">
        <v>3</v>
      </c>
      <c r="L555" t="s">
        <v>3</v>
      </c>
      <c r="M555" t="s">
        <v>122</v>
      </c>
      <c r="N555" t="s">
        <v>3</v>
      </c>
      <c r="O555" t="s">
        <v>3</v>
      </c>
      <c r="P555" t="s">
        <v>3</v>
      </c>
      <c r="Q555" t="s">
        <v>8</v>
      </c>
      <c r="R555" t="s">
        <v>122</v>
      </c>
      <c r="S555" t="s">
        <v>8</v>
      </c>
      <c r="T555" t="s">
        <v>4348</v>
      </c>
      <c r="U555" t="s">
        <v>3</v>
      </c>
      <c r="V555" t="s">
        <v>3</v>
      </c>
      <c r="W555" t="s">
        <v>4348</v>
      </c>
      <c r="AA555" t="s">
        <v>1638</v>
      </c>
      <c r="AB555" t="s">
        <v>8</v>
      </c>
      <c r="AC555" t="s">
        <v>3</v>
      </c>
      <c r="AD555" t="s">
        <v>8</v>
      </c>
      <c r="AE555" t="s">
        <v>130</v>
      </c>
      <c r="AF555" t="s">
        <v>4349</v>
      </c>
    </row>
    <row r="556" spans="1:32">
      <c r="A556" t="s">
        <v>4350</v>
      </c>
      <c r="B556" t="s">
        <v>4325</v>
      </c>
      <c r="C556" t="s">
        <v>4326</v>
      </c>
      <c r="D556" t="s">
        <v>4327</v>
      </c>
      <c r="E556" t="s">
        <v>4328</v>
      </c>
      <c r="F556" t="s">
        <v>4329</v>
      </c>
      <c r="H556" t="s">
        <v>4330</v>
      </c>
      <c r="I556" t="s">
        <v>4331</v>
      </c>
      <c r="J556" t="s">
        <v>8</v>
      </c>
      <c r="K556" t="s">
        <v>3</v>
      </c>
      <c r="L556" t="s">
        <v>3</v>
      </c>
      <c r="M556" t="s">
        <v>122</v>
      </c>
      <c r="N556" t="s">
        <v>3</v>
      </c>
      <c r="O556" t="s">
        <v>3</v>
      </c>
      <c r="P556" t="s">
        <v>3</v>
      </c>
      <c r="Q556" t="s">
        <v>8</v>
      </c>
      <c r="R556" t="s">
        <v>122</v>
      </c>
      <c r="S556" t="s">
        <v>8</v>
      </c>
      <c r="T556" t="s">
        <v>4350</v>
      </c>
      <c r="U556" t="s">
        <v>3</v>
      </c>
      <c r="V556" t="s">
        <v>3</v>
      </c>
      <c r="W556" t="s">
        <v>4350</v>
      </c>
      <c r="AA556" t="s">
        <v>8</v>
      </c>
      <c r="AB556" t="s">
        <v>3</v>
      </c>
      <c r="AC556" t="s">
        <v>3</v>
      </c>
      <c r="AD556" t="s">
        <v>111</v>
      </c>
      <c r="AE556" t="s">
        <v>111</v>
      </c>
      <c r="AF556" t="s">
        <v>4351</v>
      </c>
    </row>
    <row r="557" spans="1:32">
      <c r="A557" t="s">
        <v>4352</v>
      </c>
      <c r="B557" t="s">
        <v>4334</v>
      </c>
      <c r="C557" t="s">
        <v>4335</v>
      </c>
      <c r="D557" t="s">
        <v>4336</v>
      </c>
      <c r="E557" t="s">
        <v>4328</v>
      </c>
      <c r="F557" t="s">
        <v>4329</v>
      </c>
      <c r="H557" t="s">
        <v>4330</v>
      </c>
      <c r="I557" t="s">
        <v>4331</v>
      </c>
      <c r="J557" t="s">
        <v>8</v>
      </c>
      <c r="K557" t="s">
        <v>3</v>
      </c>
      <c r="L557" t="s">
        <v>3</v>
      </c>
      <c r="M557" t="s">
        <v>122</v>
      </c>
      <c r="N557" t="s">
        <v>3</v>
      </c>
      <c r="O557" t="s">
        <v>3</v>
      </c>
      <c r="P557" t="s">
        <v>3</v>
      </c>
      <c r="Q557" t="s">
        <v>8</v>
      </c>
      <c r="R557" t="s">
        <v>122</v>
      </c>
      <c r="S557" t="s">
        <v>8</v>
      </c>
      <c r="T557" t="s">
        <v>4352</v>
      </c>
      <c r="U557" t="s">
        <v>3</v>
      </c>
      <c r="V557" t="s">
        <v>3</v>
      </c>
      <c r="W557" t="s">
        <v>4352</v>
      </c>
      <c r="AA557" t="s">
        <v>8</v>
      </c>
      <c r="AB557" t="s">
        <v>3</v>
      </c>
      <c r="AC557" t="s">
        <v>3</v>
      </c>
      <c r="AD557" t="s">
        <v>8</v>
      </c>
      <c r="AE557" t="s">
        <v>130</v>
      </c>
      <c r="AF557" t="s">
        <v>4353</v>
      </c>
    </row>
    <row r="558" spans="1:32">
      <c r="A558" t="s">
        <v>4354</v>
      </c>
      <c r="B558" t="s">
        <v>4339</v>
      </c>
      <c r="C558" t="s">
        <v>4340</v>
      </c>
      <c r="D558" t="s">
        <v>4339</v>
      </c>
      <c r="E558" t="s">
        <v>4328</v>
      </c>
      <c r="F558" t="s">
        <v>4329</v>
      </c>
      <c r="H558" t="s">
        <v>4330</v>
      </c>
      <c r="I558" t="s">
        <v>4331</v>
      </c>
      <c r="J558" t="s">
        <v>8</v>
      </c>
      <c r="K558" t="s">
        <v>3</v>
      </c>
      <c r="L558" t="s">
        <v>3</v>
      </c>
      <c r="M558" t="s">
        <v>122</v>
      </c>
      <c r="N558" t="s">
        <v>3</v>
      </c>
      <c r="O558" t="s">
        <v>3</v>
      </c>
      <c r="P558" t="s">
        <v>3</v>
      </c>
      <c r="Q558" t="s">
        <v>8</v>
      </c>
      <c r="R558" t="s">
        <v>122</v>
      </c>
      <c r="S558" t="s">
        <v>8</v>
      </c>
      <c r="T558" t="s">
        <v>4354</v>
      </c>
      <c r="U558" t="s">
        <v>3</v>
      </c>
      <c r="V558" t="s">
        <v>3</v>
      </c>
      <c r="W558" t="s">
        <v>4354</v>
      </c>
      <c r="AA558" t="s">
        <v>8</v>
      </c>
      <c r="AB558" t="s">
        <v>3</v>
      </c>
      <c r="AC558" t="s">
        <v>3</v>
      </c>
      <c r="AD558" t="s">
        <v>8</v>
      </c>
      <c r="AE558" t="s">
        <v>130</v>
      </c>
      <c r="AF558" t="s">
        <v>4355</v>
      </c>
    </row>
    <row r="559" spans="1:32">
      <c r="A559" t="s">
        <v>4356</v>
      </c>
      <c r="B559" t="s">
        <v>4343</v>
      </c>
      <c r="C559" t="s">
        <v>4344</v>
      </c>
      <c r="D559" t="s">
        <v>4357</v>
      </c>
      <c r="E559" t="s">
        <v>4328</v>
      </c>
      <c r="F559" t="s">
        <v>4329</v>
      </c>
      <c r="H559" t="s">
        <v>4330</v>
      </c>
      <c r="I559" t="s">
        <v>4331</v>
      </c>
      <c r="J559" t="s">
        <v>8</v>
      </c>
      <c r="K559" t="s">
        <v>3</v>
      </c>
      <c r="L559" t="s">
        <v>3</v>
      </c>
      <c r="M559" t="s">
        <v>122</v>
      </c>
      <c r="N559" t="s">
        <v>3</v>
      </c>
      <c r="O559" t="s">
        <v>3</v>
      </c>
      <c r="P559" t="s">
        <v>3</v>
      </c>
      <c r="Q559" t="s">
        <v>8</v>
      </c>
      <c r="R559" t="s">
        <v>122</v>
      </c>
      <c r="S559" t="s">
        <v>8</v>
      </c>
      <c r="T559" t="s">
        <v>4356</v>
      </c>
      <c r="U559" t="s">
        <v>3</v>
      </c>
      <c r="V559" t="s">
        <v>3</v>
      </c>
      <c r="W559" t="s">
        <v>4356</v>
      </c>
      <c r="AA559" t="s">
        <v>8</v>
      </c>
      <c r="AB559" t="s">
        <v>3</v>
      </c>
      <c r="AC559" t="s">
        <v>3</v>
      </c>
      <c r="AD559" t="s">
        <v>8</v>
      </c>
      <c r="AE559" t="s">
        <v>111</v>
      </c>
      <c r="AF559" t="s">
        <v>4358</v>
      </c>
    </row>
    <row r="560" spans="1:32">
      <c r="A560" t="s">
        <v>4359</v>
      </c>
      <c r="B560" t="s">
        <v>3911</v>
      </c>
      <c r="C560" t="s">
        <v>3912</v>
      </c>
      <c r="D560" t="s">
        <v>3913</v>
      </c>
      <c r="E560" t="s">
        <v>3914</v>
      </c>
      <c r="G560" t="s">
        <v>3915</v>
      </c>
      <c r="H560" t="s">
        <v>3916</v>
      </c>
      <c r="I560" t="s">
        <v>3917</v>
      </c>
      <c r="J560" t="s">
        <v>8</v>
      </c>
      <c r="K560" t="s">
        <v>3</v>
      </c>
      <c r="L560" t="s">
        <v>3</v>
      </c>
      <c r="M560" t="s">
        <v>122</v>
      </c>
      <c r="N560" t="s">
        <v>3</v>
      </c>
      <c r="O560" t="s">
        <v>3</v>
      </c>
      <c r="P560" t="s">
        <v>3</v>
      </c>
      <c r="Q560" t="s">
        <v>8</v>
      </c>
      <c r="R560" t="s">
        <v>122</v>
      </c>
      <c r="S560" t="s">
        <v>8</v>
      </c>
      <c r="T560" t="s">
        <v>4359</v>
      </c>
      <c r="U560" t="s">
        <v>3</v>
      </c>
      <c r="V560" t="s">
        <v>3</v>
      </c>
      <c r="W560" t="s">
        <v>4359</v>
      </c>
      <c r="X560" t="s">
        <v>1039</v>
      </c>
      <c r="Y560" t="s">
        <v>67</v>
      </c>
      <c r="AA560" t="s">
        <v>8</v>
      </c>
      <c r="AB560" t="s">
        <v>8</v>
      </c>
      <c r="AC560" t="s">
        <v>3</v>
      </c>
      <c r="AD560" t="s">
        <v>8</v>
      </c>
      <c r="AE560" t="s">
        <v>111</v>
      </c>
      <c r="AF560" t="s">
        <v>4360</v>
      </c>
    </row>
    <row r="561" spans="1:32">
      <c r="A561" t="s">
        <v>4361</v>
      </c>
      <c r="B561" t="s">
        <v>3920</v>
      </c>
      <c r="C561" t="s">
        <v>3921</v>
      </c>
      <c r="D561" t="s">
        <v>3922</v>
      </c>
      <c r="E561" t="s">
        <v>3914</v>
      </c>
      <c r="G561" t="s">
        <v>3915</v>
      </c>
      <c r="H561" t="s">
        <v>3916</v>
      </c>
      <c r="I561" t="s">
        <v>3917</v>
      </c>
      <c r="J561" t="s">
        <v>8</v>
      </c>
      <c r="K561" t="s">
        <v>3</v>
      </c>
      <c r="L561" t="s">
        <v>3</v>
      </c>
      <c r="M561" t="s">
        <v>122</v>
      </c>
      <c r="N561" t="s">
        <v>3</v>
      </c>
      <c r="O561" t="s">
        <v>3</v>
      </c>
      <c r="P561" t="s">
        <v>3</v>
      </c>
      <c r="Q561" t="s">
        <v>8</v>
      </c>
      <c r="R561" t="s">
        <v>122</v>
      </c>
      <c r="S561" t="s">
        <v>8</v>
      </c>
      <c r="T561" t="s">
        <v>4361</v>
      </c>
      <c r="U561" t="s">
        <v>3</v>
      </c>
      <c r="V561" t="s">
        <v>3</v>
      </c>
      <c r="W561" t="s">
        <v>4361</v>
      </c>
      <c r="AA561" t="s">
        <v>8</v>
      </c>
      <c r="AB561" t="s">
        <v>8</v>
      </c>
      <c r="AC561" t="s">
        <v>3</v>
      </c>
      <c r="AD561" t="s">
        <v>8</v>
      </c>
      <c r="AE561" t="s">
        <v>130</v>
      </c>
      <c r="AF561" t="s">
        <v>4362</v>
      </c>
    </row>
    <row r="562" spans="1:32">
      <c r="A562" t="s">
        <v>150</v>
      </c>
      <c r="B562" t="s">
        <v>39</v>
      </c>
      <c r="C562" t="s">
        <v>2359</v>
      </c>
      <c r="D562" t="s">
        <v>39</v>
      </c>
      <c r="E562" t="s">
        <v>1421</v>
      </c>
      <c r="F562" t="s">
        <v>2360</v>
      </c>
      <c r="H562" t="s">
        <v>2361</v>
      </c>
      <c r="I562" t="s">
        <v>2362</v>
      </c>
      <c r="J562" t="s">
        <v>8</v>
      </c>
      <c r="K562" t="s">
        <v>3</v>
      </c>
      <c r="L562" t="s">
        <v>3</v>
      </c>
      <c r="M562" t="s">
        <v>122</v>
      </c>
      <c r="N562" t="s">
        <v>3</v>
      </c>
      <c r="O562" t="s">
        <v>3</v>
      </c>
      <c r="P562" t="s">
        <v>3</v>
      </c>
      <c r="Q562" t="s">
        <v>8</v>
      </c>
      <c r="R562" t="s">
        <v>122</v>
      </c>
      <c r="S562" t="s">
        <v>8</v>
      </c>
      <c r="T562" t="s">
        <v>150</v>
      </c>
      <c r="U562" t="s">
        <v>3</v>
      </c>
      <c r="V562" t="s">
        <v>3</v>
      </c>
      <c r="W562" t="s">
        <v>150</v>
      </c>
      <c r="AA562" t="s">
        <v>8</v>
      </c>
      <c r="AB562" t="s">
        <v>8</v>
      </c>
      <c r="AC562" t="s">
        <v>3</v>
      </c>
      <c r="AD562" t="s">
        <v>8</v>
      </c>
      <c r="AE562" t="s">
        <v>130</v>
      </c>
      <c r="AF562" t="s">
        <v>4363</v>
      </c>
    </row>
    <row r="563" spans="1:32">
      <c r="A563" t="s">
        <v>4364</v>
      </c>
      <c r="B563" t="s">
        <v>2365</v>
      </c>
      <c r="C563" t="s">
        <v>2359</v>
      </c>
      <c r="D563" t="s">
        <v>2365</v>
      </c>
      <c r="H563" t="s">
        <v>2361</v>
      </c>
      <c r="I563" t="s">
        <v>2362</v>
      </c>
      <c r="J563" t="s">
        <v>8</v>
      </c>
      <c r="K563" t="s">
        <v>3</v>
      </c>
      <c r="L563" t="s">
        <v>3</v>
      </c>
      <c r="M563" t="s">
        <v>122</v>
      </c>
      <c r="N563" t="s">
        <v>3</v>
      </c>
      <c r="O563" t="s">
        <v>3</v>
      </c>
      <c r="P563" t="s">
        <v>3</v>
      </c>
      <c r="Q563" t="s">
        <v>8</v>
      </c>
      <c r="R563" t="s">
        <v>122</v>
      </c>
      <c r="S563" t="s">
        <v>8</v>
      </c>
      <c r="T563" t="s">
        <v>4364</v>
      </c>
      <c r="U563" t="s">
        <v>3</v>
      </c>
      <c r="V563" t="s">
        <v>3</v>
      </c>
      <c r="W563" t="s">
        <v>4364</v>
      </c>
      <c r="AA563" t="s">
        <v>8</v>
      </c>
      <c r="AB563" t="s">
        <v>8</v>
      </c>
      <c r="AC563" t="s">
        <v>3</v>
      </c>
      <c r="AD563" t="s">
        <v>8</v>
      </c>
      <c r="AE563" t="s">
        <v>130</v>
      </c>
      <c r="AF563" t="s">
        <v>4365</v>
      </c>
    </row>
    <row r="564" spans="1:32">
      <c r="A564" t="s">
        <v>151</v>
      </c>
      <c r="B564" t="s">
        <v>40</v>
      </c>
      <c r="C564" t="s">
        <v>2504</v>
      </c>
      <c r="D564" t="s">
        <v>40</v>
      </c>
      <c r="E564" t="s">
        <v>2505</v>
      </c>
      <c r="F564" t="s">
        <v>2506</v>
      </c>
      <c r="H564" t="s">
        <v>2507</v>
      </c>
      <c r="I564" t="s">
        <v>2508</v>
      </c>
      <c r="J564" t="s">
        <v>8</v>
      </c>
      <c r="K564" t="s">
        <v>3</v>
      </c>
      <c r="L564" t="s">
        <v>3</v>
      </c>
      <c r="M564" t="s">
        <v>122</v>
      </c>
      <c r="N564" t="s">
        <v>3</v>
      </c>
      <c r="O564" t="s">
        <v>3</v>
      </c>
      <c r="P564" t="s">
        <v>3</v>
      </c>
      <c r="Q564" t="s">
        <v>8</v>
      </c>
      <c r="R564" t="s">
        <v>122</v>
      </c>
      <c r="S564" t="s">
        <v>8</v>
      </c>
      <c r="T564" t="s">
        <v>151</v>
      </c>
      <c r="U564" t="s">
        <v>3</v>
      </c>
      <c r="V564" t="s">
        <v>3</v>
      </c>
      <c r="W564" t="s">
        <v>151</v>
      </c>
      <c r="AA564" t="s">
        <v>3</v>
      </c>
      <c r="AB564" t="s">
        <v>8</v>
      </c>
      <c r="AC564" t="s">
        <v>3</v>
      </c>
      <c r="AD564" t="s">
        <v>8</v>
      </c>
      <c r="AE564" t="s">
        <v>130</v>
      </c>
      <c r="AF564" t="s">
        <v>4366</v>
      </c>
    </row>
    <row r="565" spans="1:32">
      <c r="A565" t="s">
        <v>4367</v>
      </c>
      <c r="B565" t="s">
        <v>4368</v>
      </c>
      <c r="C565" t="s">
        <v>4369</v>
      </c>
      <c r="D565" t="s">
        <v>4368</v>
      </c>
      <c r="E565" t="s">
        <v>4370</v>
      </c>
      <c r="F565" t="s">
        <v>4371</v>
      </c>
      <c r="H565" t="s">
        <v>4372</v>
      </c>
      <c r="J565" t="s">
        <v>8</v>
      </c>
      <c r="K565" t="s">
        <v>3</v>
      </c>
      <c r="L565" t="s">
        <v>3</v>
      </c>
      <c r="M565" t="s">
        <v>122</v>
      </c>
      <c r="N565" t="s">
        <v>3</v>
      </c>
      <c r="O565" t="s">
        <v>3</v>
      </c>
      <c r="P565" t="s">
        <v>3</v>
      </c>
      <c r="Q565" t="s">
        <v>8</v>
      </c>
      <c r="R565" t="s">
        <v>122</v>
      </c>
      <c r="S565" t="s">
        <v>8</v>
      </c>
      <c r="T565" t="s">
        <v>4367</v>
      </c>
      <c r="U565" t="s">
        <v>3</v>
      </c>
      <c r="V565" t="s">
        <v>3</v>
      </c>
      <c r="W565" t="s">
        <v>4367</v>
      </c>
      <c r="AA565" t="s">
        <v>8</v>
      </c>
      <c r="AB565" t="s">
        <v>8</v>
      </c>
      <c r="AC565" t="s">
        <v>3</v>
      </c>
      <c r="AD565" t="s">
        <v>8</v>
      </c>
      <c r="AE565" t="s">
        <v>130</v>
      </c>
      <c r="AF565" t="s">
        <v>4373</v>
      </c>
    </row>
    <row r="566" spans="1:32">
      <c r="A566" t="s">
        <v>152</v>
      </c>
      <c r="B566" t="s">
        <v>2313</v>
      </c>
      <c r="C566" t="s">
        <v>2314</v>
      </c>
      <c r="D566" t="s">
        <v>41</v>
      </c>
      <c r="E566" t="s">
        <v>2315</v>
      </c>
      <c r="F566" t="s">
        <v>2316</v>
      </c>
      <c r="H566" t="s">
        <v>2317</v>
      </c>
      <c r="I566" t="s">
        <v>2318</v>
      </c>
      <c r="J566" t="s">
        <v>8</v>
      </c>
      <c r="K566" t="s">
        <v>3</v>
      </c>
      <c r="L566" t="s">
        <v>3</v>
      </c>
      <c r="M566" t="s">
        <v>122</v>
      </c>
      <c r="N566" t="s">
        <v>3</v>
      </c>
      <c r="O566" t="s">
        <v>3</v>
      </c>
      <c r="P566" t="s">
        <v>3</v>
      </c>
      <c r="Q566" t="s">
        <v>8</v>
      </c>
      <c r="R566" t="s">
        <v>122</v>
      </c>
      <c r="S566" t="s">
        <v>8</v>
      </c>
      <c r="T566" t="s">
        <v>152</v>
      </c>
      <c r="U566" t="s">
        <v>3</v>
      </c>
      <c r="V566" t="s">
        <v>3</v>
      </c>
      <c r="W566" t="s">
        <v>152</v>
      </c>
      <c r="AA566" t="s">
        <v>8</v>
      </c>
      <c r="AB566" t="s">
        <v>8</v>
      </c>
      <c r="AC566" t="s">
        <v>3</v>
      </c>
      <c r="AD566" t="s">
        <v>8</v>
      </c>
      <c r="AE566" t="s">
        <v>130</v>
      </c>
      <c r="AF566" t="s">
        <v>4374</v>
      </c>
    </row>
    <row r="567" spans="1:32">
      <c r="A567" t="s">
        <v>4375</v>
      </c>
      <c r="B567" t="s">
        <v>2322</v>
      </c>
      <c r="C567" t="s">
        <v>2314</v>
      </c>
      <c r="D567" t="s">
        <v>2322</v>
      </c>
      <c r="H567" t="s">
        <v>2317</v>
      </c>
      <c r="I567" t="s">
        <v>2318</v>
      </c>
      <c r="J567" t="s">
        <v>8</v>
      </c>
      <c r="K567" t="s">
        <v>3</v>
      </c>
      <c r="L567" t="s">
        <v>3</v>
      </c>
      <c r="M567" t="s">
        <v>122</v>
      </c>
      <c r="N567" t="s">
        <v>3</v>
      </c>
      <c r="O567" t="s">
        <v>3</v>
      </c>
      <c r="P567" t="s">
        <v>3</v>
      </c>
      <c r="Q567" t="s">
        <v>8</v>
      </c>
      <c r="R567" t="s">
        <v>122</v>
      </c>
      <c r="S567" t="s">
        <v>8</v>
      </c>
      <c r="T567" t="s">
        <v>4375</v>
      </c>
      <c r="U567" t="s">
        <v>3</v>
      </c>
      <c r="V567" t="s">
        <v>3</v>
      </c>
      <c r="W567" t="s">
        <v>4375</v>
      </c>
      <c r="AA567" t="s">
        <v>8</v>
      </c>
      <c r="AB567" t="s">
        <v>8</v>
      </c>
      <c r="AC567" t="s">
        <v>3</v>
      </c>
      <c r="AD567" t="s">
        <v>8</v>
      </c>
      <c r="AE567" t="s">
        <v>130</v>
      </c>
      <c r="AF567" t="s">
        <v>4376</v>
      </c>
    </row>
    <row r="568" spans="1:32">
      <c r="A568" t="s">
        <v>153</v>
      </c>
      <c r="B568" t="s">
        <v>4377</v>
      </c>
      <c r="C568" t="s">
        <v>4378</v>
      </c>
      <c r="D568" t="s">
        <v>42</v>
      </c>
      <c r="E568" t="s">
        <v>4379</v>
      </c>
      <c r="F568" t="s">
        <v>4380</v>
      </c>
      <c r="H568" t="s">
        <v>4381</v>
      </c>
      <c r="I568" t="s">
        <v>4382</v>
      </c>
      <c r="J568" t="s">
        <v>8</v>
      </c>
      <c r="K568" t="s">
        <v>3</v>
      </c>
      <c r="L568" t="s">
        <v>3</v>
      </c>
      <c r="M568" t="s">
        <v>122</v>
      </c>
      <c r="N568" t="s">
        <v>3</v>
      </c>
      <c r="O568" t="s">
        <v>3</v>
      </c>
      <c r="P568" t="s">
        <v>3</v>
      </c>
      <c r="Q568" t="s">
        <v>8</v>
      </c>
      <c r="R568" t="s">
        <v>122</v>
      </c>
      <c r="S568" t="s">
        <v>8</v>
      </c>
      <c r="T568" t="s">
        <v>153</v>
      </c>
      <c r="U568" t="s">
        <v>3</v>
      </c>
      <c r="V568" t="s">
        <v>3</v>
      </c>
      <c r="W568" t="s">
        <v>153</v>
      </c>
      <c r="AA568" t="s">
        <v>3</v>
      </c>
      <c r="AB568" t="s">
        <v>8</v>
      </c>
      <c r="AC568" t="s">
        <v>3</v>
      </c>
      <c r="AD568" t="s">
        <v>8</v>
      </c>
      <c r="AE568" t="s">
        <v>99</v>
      </c>
      <c r="AF568" t="s">
        <v>4383</v>
      </c>
    </row>
    <row r="569" spans="1:32">
      <c r="A569" t="s">
        <v>4384</v>
      </c>
      <c r="B569" t="s">
        <v>4385</v>
      </c>
      <c r="C569" t="s">
        <v>4386</v>
      </c>
      <c r="D569" t="s">
        <v>4385</v>
      </c>
      <c r="E569" t="s">
        <v>3497</v>
      </c>
      <c r="F569" t="s">
        <v>4387</v>
      </c>
      <c r="H569" t="s">
        <v>4388</v>
      </c>
      <c r="I569" t="s">
        <v>4389</v>
      </c>
      <c r="J569" t="s">
        <v>8</v>
      </c>
      <c r="K569" t="s">
        <v>3</v>
      </c>
      <c r="L569" t="s">
        <v>3</v>
      </c>
      <c r="M569" t="s">
        <v>122</v>
      </c>
      <c r="N569" t="s">
        <v>3</v>
      </c>
      <c r="O569" t="s">
        <v>3</v>
      </c>
      <c r="P569" t="s">
        <v>3</v>
      </c>
      <c r="Q569" t="s">
        <v>8</v>
      </c>
      <c r="R569" t="s">
        <v>122</v>
      </c>
      <c r="S569" t="s">
        <v>8</v>
      </c>
      <c r="T569" t="s">
        <v>4384</v>
      </c>
      <c r="U569" t="s">
        <v>3</v>
      </c>
      <c r="V569" t="s">
        <v>3</v>
      </c>
      <c r="W569" t="s">
        <v>4384</v>
      </c>
      <c r="AA569" t="s">
        <v>8</v>
      </c>
      <c r="AB569" t="s">
        <v>8</v>
      </c>
      <c r="AC569" t="s">
        <v>3</v>
      </c>
      <c r="AD569" t="s">
        <v>8</v>
      </c>
      <c r="AE569" t="s">
        <v>99</v>
      </c>
      <c r="AF569" t="s">
        <v>4390</v>
      </c>
    </row>
    <row r="570" spans="1:32">
      <c r="A570" t="s">
        <v>4391</v>
      </c>
      <c r="B570" t="s">
        <v>4392</v>
      </c>
      <c r="C570" t="s">
        <v>4393</v>
      </c>
      <c r="D570" t="s">
        <v>4394</v>
      </c>
      <c r="E570" t="s">
        <v>1492</v>
      </c>
      <c r="F570" t="s">
        <v>4395</v>
      </c>
      <c r="H570" t="s">
        <v>4396</v>
      </c>
      <c r="J570" t="s">
        <v>8</v>
      </c>
      <c r="K570" t="s">
        <v>3</v>
      </c>
      <c r="L570" t="s">
        <v>3</v>
      </c>
      <c r="M570" t="s">
        <v>122</v>
      </c>
      <c r="N570" t="s">
        <v>3</v>
      </c>
      <c r="O570" t="s">
        <v>3</v>
      </c>
      <c r="P570" t="s">
        <v>3</v>
      </c>
      <c r="Q570" t="s">
        <v>8</v>
      </c>
      <c r="R570" t="s">
        <v>122</v>
      </c>
      <c r="S570" t="s">
        <v>8</v>
      </c>
      <c r="T570" t="s">
        <v>4391</v>
      </c>
      <c r="U570" t="s">
        <v>3</v>
      </c>
      <c r="V570" t="s">
        <v>3</v>
      </c>
      <c r="W570" t="s">
        <v>4391</v>
      </c>
      <c r="AA570" t="s">
        <v>3</v>
      </c>
      <c r="AB570" t="s">
        <v>8</v>
      </c>
      <c r="AC570" t="s">
        <v>3</v>
      </c>
      <c r="AD570" t="s">
        <v>8</v>
      </c>
      <c r="AE570" t="s">
        <v>99</v>
      </c>
      <c r="AF570" t="s">
        <v>4397</v>
      </c>
    </row>
    <row r="571" spans="1:32">
      <c r="A571" t="s">
        <v>4398</v>
      </c>
      <c r="B571" t="s">
        <v>4202</v>
      </c>
      <c r="C571" t="s">
        <v>4203</v>
      </c>
      <c r="D571" t="s">
        <v>4202</v>
      </c>
      <c r="E571" t="s">
        <v>4204</v>
      </c>
      <c r="F571" t="s">
        <v>4399</v>
      </c>
      <c r="H571" t="s">
        <v>4206</v>
      </c>
      <c r="I571" t="s">
        <v>4207</v>
      </c>
      <c r="J571" t="s">
        <v>8</v>
      </c>
      <c r="K571" t="s">
        <v>3</v>
      </c>
      <c r="L571" t="s">
        <v>3</v>
      </c>
      <c r="M571" t="s">
        <v>122</v>
      </c>
      <c r="N571" t="s">
        <v>3</v>
      </c>
      <c r="O571" t="s">
        <v>3</v>
      </c>
      <c r="P571" t="s">
        <v>3</v>
      </c>
      <c r="Q571" t="s">
        <v>8</v>
      </c>
      <c r="R571" t="s">
        <v>122</v>
      </c>
      <c r="S571" t="s">
        <v>8</v>
      </c>
      <c r="T571" t="s">
        <v>4398</v>
      </c>
      <c r="U571" t="s">
        <v>3</v>
      </c>
      <c r="V571" t="s">
        <v>3</v>
      </c>
      <c r="W571" t="s">
        <v>4398</v>
      </c>
      <c r="AA571" t="s">
        <v>8</v>
      </c>
      <c r="AB571" t="s">
        <v>8</v>
      </c>
      <c r="AC571" t="s">
        <v>3</v>
      </c>
      <c r="AD571" t="s">
        <v>8</v>
      </c>
      <c r="AE571" t="s">
        <v>130</v>
      </c>
      <c r="AF571" t="s">
        <v>4400</v>
      </c>
    </row>
    <row r="572" spans="1:32">
      <c r="A572" t="s">
        <v>4401</v>
      </c>
      <c r="B572" t="s">
        <v>4402</v>
      </c>
      <c r="C572" t="s">
        <v>4403</v>
      </c>
      <c r="D572" t="s">
        <v>4402</v>
      </c>
      <c r="E572" t="s">
        <v>4404</v>
      </c>
      <c r="F572" t="s">
        <v>4405</v>
      </c>
      <c r="H572" t="s">
        <v>4406</v>
      </c>
      <c r="J572" t="s">
        <v>8</v>
      </c>
      <c r="K572" t="s">
        <v>3</v>
      </c>
      <c r="L572" t="s">
        <v>3</v>
      </c>
      <c r="M572" t="s">
        <v>122</v>
      </c>
      <c r="N572" t="s">
        <v>3</v>
      </c>
      <c r="O572" t="s">
        <v>3</v>
      </c>
      <c r="P572" t="s">
        <v>3</v>
      </c>
      <c r="Q572" t="s">
        <v>8</v>
      </c>
      <c r="R572" t="s">
        <v>122</v>
      </c>
      <c r="S572" t="s">
        <v>8</v>
      </c>
      <c r="T572" t="s">
        <v>4401</v>
      </c>
      <c r="U572" t="s">
        <v>3</v>
      </c>
      <c r="V572" t="s">
        <v>3</v>
      </c>
      <c r="W572" t="s">
        <v>4401</v>
      </c>
      <c r="AA572" t="s">
        <v>8</v>
      </c>
      <c r="AB572" t="s">
        <v>8</v>
      </c>
      <c r="AC572" t="s">
        <v>3</v>
      </c>
      <c r="AD572" t="s">
        <v>8</v>
      </c>
      <c r="AE572" t="s">
        <v>111</v>
      </c>
      <c r="AF572" t="s">
        <v>4407</v>
      </c>
    </row>
    <row r="573" spans="1:32">
      <c r="A573" t="s">
        <v>4408</v>
      </c>
      <c r="B573" t="s">
        <v>4409</v>
      </c>
      <c r="C573" t="s">
        <v>4410</v>
      </c>
      <c r="D573" t="s">
        <v>4409</v>
      </c>
      <c r="E573" t="s">
        <v>4411</v>
      </c>
      <c r="F573" t="s">
        <v>4412</v>
      </c>
      <c r="H573" t="s">
        <v>4413</v>
      </c>
      <c r="J573" t="s">
        <v>8</v>
      </c>
      <c r="K573" t="s">
        <v>3</v>
      </c>
      <c r="L573" t="s">
        <v>3</v>
      </c>
      <c r="M573" t="s">
        <v>122</v>
      </c>
      <c r="N573" t="s">
        <v>3</v>
      </c>
      <c r="O573" t="s">
        <v>3</v>
      </c>
      <c r="P573" t="s">
        <v>3</v>
      </c>
      <c r="Q573" t="s">
        <v>8</v>
      </c>
      <c r="R573" t="s">
        <v>122</v>
      </c>
      <c r="S573" t="s">
        <v>8</v>
      </c>
      <c r="T573" t="s">
        <v>4408</v>
      </c>
      <c r="U573" t="s">
        <v>3</v>
      </c>
      <c r="V573" t="s">
        <v>3</v>
      </c>
      <c r="W573" t="s">
        <v>4408</v>
      </c>
      <c r="AA573" t="s">
        <v>3</v>
      </c>
      <c r="AB573" t="s">
        <v>8</v>
      </c>
      <c r="AC573" t="s">
        <v>3</v>
      </c>
      <c r="AD573" t="s">
        <v>8</v>
      </c>
      <c r="AE573" t="s">
        <v>111</v>
      </c>
      <c r="AF573" t="s">
        <v>4414</v>
      </c>
    </row>
    <row r="574" spans="1:32">
      <c r="A574" t="s">
        <v>155</v>
      </c>
      <c r="B574" t="s">
        <v>4415</v>
      </c>
      <c r="C574" t="s">
        <v>4416</v>
      </c>
      <c r="D574" t="s">
        <v>4415</v>
      </c>
      <c r="E574" t="s">
        <v>2439</v>
      </c>
      <c r="F574" t="s">
        <v>4417</v>
      </c>
      <c r="H574" t="s">
        <v>4418</v>
      </c>
      <c r="J574" t="s">
        <v>8</v>
      </c>
      <c r="K574" t="s">
        <v>3</v>
      </c>
      <c r="L574" t="s">
        <v>3</v>
      </c>
      <c r="M574" t="s">
        <v>122</v>
      </c>
      <c r="N574" t="s">
        <v>3</v>
      </c>
      <c r="O574" t="s">
        <v>3</v>
      </c>
      <c r="P574" t="s">
        <v>3</v>
      </c>
      <c r="Q574" t="s">
        <v>8</v>
      </c>
      <c r="R574" t="s">
        <v>122</v>
      </c>
      <c r="S574" t="s">
        <v>8</v>
      </c>
      <c r="T574" t="s">
        <v>155</v>
      </c>
      <c r="U574" t="s">
        <v>3</v>
      </c>
      <c r="V574" t="s">
        <v>3</v>
      </c>
      <c r="W574" t="s">
        <v>155</v>
      </c>
      <c r="AA574" t="s">
        <v>8</v>
      </c>
      <c r="AB574" t="s">
        <v>8</v>
      </c>
      <c r="AC574" t="s">
        <v>3</v>
      </c>
      <c r="AD574" t="s">
        <v>8</v>
      </c>
      <c r="AE574" t="s">
        <v>99</v>
      </c>
      <c r="AF574" t="s">
        <v>4419</v>
      </c>
    </row>
    <row r="575" spans="1:32">
      <c r="A575" t="s">
        <v>156</v>
      </c>
      <c r="B575" t="s">
        <v>4420</v>
      </c>
      <c r="C575" t="s">
        <v>4421</v>
      </c>
      <c r="D575" t="s">
        <v>4420</v>
      </c>
      <c r="E575" t="s">
        <v>1359</v>
      </c>
      <c r="F575" t="s">
        <v>4422</v>
      </c>
      <c r="H575" t="s">
        <v>4423</v>
      </c>
      <c r="J575" t="s">
        <v>8</v>
      </c>
      <c r="K575" t="s">
        <v>3</v>
      </c>
      <c r="L575" t="s">
        <v>3</v>
      </c>
      <c r="M575" t="s">
        <v>122</v>
      </c>
      <c r="N575" t="s">
        <v>3</v>
      </c>
      <c r="O575" t="s">
        <v>3</v>
      </c>
      <c r="P575" t="s">
        <v>3</v>
      </c>
      <c r="Q575" t="s">
        <v>8</v>
      </c>
      <c r="R575" t="s">
        <v>122</v>
      </c>
      <c r="S575" t="s">
        <v>8</v>
      </c>
      <c r="T575" t="s">
        <v>156</v>
      </c>
      <c r="U575" t="s">
        <v>3</v>
      </c>
      <c r="V575" t="s">
        <v>3</v>
      </c>
      <c r="W575" t="s">
        <v>156</v>
      </c>
      <c r="AA575" t="s">
        <v>8</v>
      </c>
      <c r="AB575" t="s">
        <v>8</v>
      </c>
      <c r="AC575" t="s">
        <v>3</v>
      </c>
      <c r="AD575" t="s">
        <v>8</v>
      </c>
      <c r="AE575" t="s">
        <v>99</v>
      </c>
      <c r="AF575" t="s">
        <v>4424</v>
      </c>
    </row>
    <row r="576" spans="1:32">
      <c r="A576" t="s">
        <v>157</v>
      </c>
      <c r="B576" t="s">
        <v>4425</v>
      </c>
      <c r="C576" t="s">
        <v>4426</v>
      </c>
      <c r="D576" t="s">
        <v>4425</v>
      </c>
      <c r="E576" t="s">
        <v>4427</v>
      </c>
      <c r="F576" t="s">
        <v>4428</v>
      </c>
      <c r="H576" t="s">
        <v>4429</v>
      </c>
      <c r="J576" t="s">
        <v>8</v>
      </c>
      <c r="K576" t="s">
        <v>3</v>
      </c>
      <c r="L576" t="s">
        <v>3</v>
      </c>
      <c r="M576" t="s">
        <v>122</v>
      </c>
      <c r="N576" t="s">
        <v>3</v>
      </c>
      <c r="O576" t="s">
        <v>3</v>
      </c>
      <c r="P576" t="s">
        <v>3</v>
      </c>
      <c r="Q576" t="s">
        <v>8</v>
      </c>
      <c r="R576" t="s">
        <v>122</v>
      </c>
      <c r="S576" t="s">
        <v>8</v>
      </c>
      <c r="T576" t="s">
        <v>157</v>
      </c>
      <c r="U576" t="s">
        <v>3</v>
      </c>
      <c r="V576" t="s">
        <v>3</v>
      </c>
      <c r="W576" t="s">
        <v>157</v>
      </c>
      <c r="AA576" t="s">
        <v>8</v>
      </c>
      <c r="AB576" t="s">
        <v>8</v>
      </c>
      <c r="AC576" t="s">
        <v>3</v>
      </c>
      <c r="AD576" t="s">
        <v>8</v>
      </c>
      <c r="AE576" t="s">
        <v>99</v>
      </c>
      <c r="AF576" t="s">
        <v>4430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15</vt:i4>
      </vt:variant>
    </vt:vector>
  </HeadingPairs>
  <TitlesOfParts>
    <vt:vector size="15" baseType="lpstr">
      <vt:lpstr>注文弁当の抽出</vt:lpstr>
      <vt:lpstr>クライアント抽出</vt:lpstr>
      <vt:lpstr>貼り付け用</vt:lpstr>
      <vt:lpstr>数出表_Excel</vt:lpstr>
      <vt:lpstr>数出表_Excel（アレルギー入力）</vt:lpstr>
      <vt:lpstr>まとめ札</vt:lpstr>
      <vt:lpstr>先生札</vt:lpstr>
      <vt:lpstr>社食等の札</vt:lpstr>
      <vt:lpstr>盛付札（関数）</vt:lpstr>
      <vt:lpstr>札_まとめ（印刷用）</vt:lpstr>
      <vt:lpstr>変更先抽出【15時】</vt:lpstr>
      <vt:lpstr>まとめ札【15時】</vt:lpstr>
      <vt:lpstr>札_まとめ（印刷用）【15時】</vt:lpstr>
      <vt:lpstr>商品マスタ</vt:lpstr>
      <vt:lpstr>得意先マスタ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優 井崎</dc:creator>
  <cp:lastModifiedBy>井﨑 優</cp:lastModifiedBy>
  <cp:lastPrinted>2025-08-24T00:43:41Z</cp:lastPrinted>
  <dcterms:created xsi:type="dcterms:W3CDTF">2025-03-09T00:44:18Z</dcterms:created>
  <dcterms:modified xsi:type="dcterms:W3CDTF">2025-10-19T20:30:57Z</dcterms:modified>
</cp:coreProperties>
</file>